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Hierarchy" sheetId="2" state="visible" r:id="rId4"/>
    <sheet name="Tree View" sheetId="3" state="visible" r:id="rId5"/>
    <sheet name="Label Map" sheetId="4" state="visible" r:id="rId6"/>
    <sheet name="Excluded" sheetId="5" state="visible" r:id="rId7"/>
    <sheet name="New Label Check" sheetId="6" state="visible" r:id="rId8"/>
    <sheet name="Decisions" sheetId="7" state="visible" r:id="rId9"/>
  </sheets>
  <definedNames>
    <definedName function="false" hidden="true" localSheetId="1" name="_xlnm._FilterDatabase" vbProcedure="false">Hierarchy!$A$1:$R$1295</definedName>
    <definedName function="false" hidden="true" localSheetId="3" name="_xlnm._FilterDatabase" vbProcedure="false">'Label Map'!$A$1:$P$2019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<sst xmlns="http://schemas.openxmlformats.org/spreadsheetml/2006/main" count="22442" uniqueCount="2981">
  <si>
    <t xml:space="preserve">Purpose</t>
  </si>
  <si>
    <t xml:space="preserve">One hierarchy that every MDP geographic label points to. Fix a place once on Hierarchy and every label that maps to it follows.</t>
  </si>
  <si>
    <t xml:space="preserve">HIERARCHY LEVELS</t>
  </si>
  <si>
    <t xml:space="preserve">Global</t>
  </si>
  <si>
    <t xml:space="preserve">Root. Also holds non-regional buckets (International, Domestic, Rest of World, Other) and multi-region composites</t>
  </si>
  <si>
    <t xml:space="preserve">Region</t>
  </si>
  <si>
    <t xml:space="preserve">AMER (Americas) · EMEA (Europe, Middle East, and Africa) · APAC (Asia-Pacific)</t>
  </si>
  <si>
    <t xml:space="preserve">Sub-region</t>
  </si>
  <si>
    <t xml:space="preserve">AMER: North America (NORAM), Latin America (LATAM) · EMEA: Europe, Middle East, Africa · APAC: South Asia, East Asia, Southeast Asia (ASEAN), Oceania (ANZ)</t>
  </si>
  <si>
    <t xml:space="preserve">Country</t>
  </si>
  <si>
    <t xml:space="preserve">All 242 inhabited ISO 3166 countries/territories plus Kosovo, with ISO3. Groupings column shows memberships (Western Europe, EU, Nordics, GCC, Greater China…)</t>
  </si>
  <si>
    <t xml:space="preserve">State/Province</t>
  </si>
  <si>
    <t xml:space="preserve">US, Canada, Mexico, Brazil, UK, Germany, France, UAE, Saudi Arabia, South Africa, Nigeria, India, China, Japan, Indonesia, Malaysia, Australia, New Zealand. US regions (incl. Census divisions) and cities also sit under their country</t>
  </si>
  <si>
    <t xml:space="preserve">EMEA sub-regions</t>
  </si>
  <si>
    <t xml:space="preserve">Europe · Middle East · Africa (components: North Africa, Sub-Saharan Africa and its West/East/Central/Southern Africa). MENA = Middle East + North Africa, kept as a grouping</t>
  </si>
  <si>
    <t xml:space="preserve">Components</t>
  </si>
  <si>
    <t xml:space="preserve">Sit inside one sub-region: e.g. Western Europe, CEE, Nordics, DACH under Europe; Middle East, North Africa, GCC under MENA; Greater China, Northeast Asia under East Asia; Caribbean, Central/South America under LATAM</t>
  </si>
  <si>
    <t xml:space="preserve">Tree View</t>
  </si>
  <si>
    <t xml:space="preserve">Indented view of Global &gt; Region &gt; Sub-region &gt; Country &gt; State/Province (and business regions) &gt; City, in the same order as Hierarchy</t>
  </si>
  <si>
    <t xml:space="preserve">Business groupings</t>
  </si>
  <si>
    <t xml:space="preserve">NOLA, SOLA, CAC, NAFTA/USMCA, Mercosur, Pacific Alliance, CEEMEA, Northern/Central/Southeast Europe, Scandinavia, Maghreb, West/East/Central/Southern Africa, Mekong; market groupings BRIC, BRICS, G7, OECD, Frontier</t>
  </si>
  <si>
    <t xml:space="preserve">Cities</t>
  </si>
  <si>
    <t xml:space="preserve">~200 major business cities and metro areas (Greater Toronto Area, Bay Area, Dallas–Fort Worth…) placed under state/province where known</t>
  </si>
  <si>
    <t xml:space="preserve">MAPPING RULES</t>
  </si>
  <si>
    <t xml:space="preserve">1. Smallest container</t>
  </si>
  <si>
    <t xml:space="preserve">Map each label to the smallest node that fully contains what it describes (China + Hong Kong → Greater China)</t>
  </si>
  <si>
    <t xml:space="preserve">2. Scope</t>
  </si>
  <si>
    <t xml:space="preserve">Exact = same geography · Partial = subset, e.g. 'Europe excl. UK' · Residual = 'Other X' · Combined = spans several nodes under one parent</t>
  </si>
  <si>
    <t xml:space="preserve">3. International</t>
  </si>
  <si>
    <t xml:space="preserve">When a filing gives only broad non-US reporting (Foreign, Non-US, Outside the U.S.), use International</t>
  </si>
  <si>
    <t xml:space="preserve">4. Cross-region</t>
  </si>
  <si>
    <t xml:space="preserve">Labels spanning regions go to a Multi-region node, never to one of the regions they span</t>
  </si>
  <si>
    <t xml:space="preserve">5. Not a place</t>
  </si>
  <si>
    <t xml:space="preserve">Segments, facilities, tax categories and scraper artifacts go on Excluded</t>
  </si>
  <si>
    <t xml:space="preserve">HOW TO MAINTAIN</t>
  </si>
  <si>
    <t xml:space="preserve">New label</t>
  </si>
  <si>
    <t xml:space="preserve">Paste it into New Label Check. If Auto-matched, add it to Label Map with that node. If UNMAPPED, add a Label Map row and pick a node from the dropdown in column D</t>
  </si>
  <si>
    <t xml:space="preserve">New place</t>
  </si>
  <si>
    <t xml:space="preserve">Add one row on Hierarchy only when no existing node fits</t>
  </si>
  <si>
    <t xml:space="preserve">Reclassify</t>
  </si>
  <si>
    <t xml:space="preserve">Change Region/Sub-region on the node's Hierarchy row; all mapped labels update</t>
  </si>
  <si>
    <t xml:space="preserve">Blue text</t>
  </si>
  <si>
    <t xml:space="preserve">Inputs you edit. Black text is formula-driven</t>
  </si>
  <si>
    <t xml:space="preserve">COUNTS</t>
  </si>
  <si>
    <t xml:space="preserve">Hierarchy nodes</t>
  </si>
  <si>
    <t xml:space="preserve">Labels mapped</t>
  </si>
  <si>
    <t xml:space="preserve">Labels pre-seeded for future scrapes</t>
  </si>
  <si>
    <t xml:space="preserve">Labels changed vs previous</t>
  </si>
  <si>
    <t xml:space="preserve">Labels excluded</t>
  </si>
  <si>
    <t xml:space="preserve">Key conflicts (should be 0)</t>
  </si>
  <si>
    <t xml:space="preserve">Node not found (should be 0)</t>
  </si>
  <si>
    <t xml:space="preserve">Open decisions</t>
  </si>
  <si>
    <t xml:space="preserve">See Decisions sheet</t>
  </si>
  <si>
    <t xml:space="preserve">SOURCES</t>
  </si>
  <si>
    <t xml:space="preserve">UN M49</t>
  </si>
  <si>
    <t xml:space="preserve">UN Statistics Division M49 standard (region, sub-region, intermediate region, LDC/LLDC/SIDS) via the datasets/country-codes open dataset: github.com/datasets/country-codes</t>
  </si>
  <si>
    <t xml:space="preserve">World Bank</t>
  </si>
  <si>
    <t xml:space="preserve">World Bank Country and Lending Groups, FY27 (thresholds on 2025 GNI per capita, Atlas method): datahelpdesk.worldbank.org/knowledgebase/articles/906519</t>
  </si>
  <si>
    <t xml:space="preserve">States/provinces</t>
  </si>
  <si>
    <t xml:space="preserve">ISO 3166-2 subdivisions (English names used; local spellings pre-seeded as aliases)</t>
  </si>
  <si>
    <t xml:space="preserve">Standard Node</t>
  </si>
  <si>
    <t xml:space="preserve">Level</t>
  </si>
  <si>
    <t xml:space="preserve">ISO3</t>
  </si>
  <si>
    <t xml:space="preserve">City</t>
  </si>
  <si>
    <t xml:space="preserve">Parent Node</t>
  </si>
  <si>
    <t xml:space="preserve">Groupings</t>
  </si>
  <si>
    <t xml:space="preserve">UN M49 Region</t>
  </si>
  <si>
    <t xml:space="preserve">UN M49 Sub-region</t>
  </si>
  <si>
    <t xml:space="preserve">UN M49 Intermediate Region</t>
  </si>
  <si>
    <t xml:space="preserve">World Bank Region (FY27)</t>
  </si>
  <si>
    <t xml:space="preserve">World Bank Income Group (FY27)</t>
  </si>
  <si>
    <t xml:space="preserve">Definition / Notes</t>
  </si>
  <si>
    <t xml:space="preserve">Labels Mapped</t>
  </si>
  <si>
    <t xml:space="preserve">Root of the hierarchy — worldwide / consolidated total</t>
  </si>
  <si>
    <t xml:space="preserve">AMER (Americas)</t>
  </si>
  <si>
    <t xml:space="preserve">AMER</t>
  </si>
  <si>
    <t xml:space="preserve">North America (NORAM) + Latin America (LATAM)</t>
  </si>
  <si>
    <t xml:space="preserve">NAFTA / USMCA</t>
  </si>
  <si>
    <t xml:space="preserve">Sub-region group</t>
  </si>
  <si>
    <t xml:space="preserve">Members: United States, Canada, Mexico — spans NORAM and LATAM</t>
  </si>
  <si>
    <t xml:space="preserve">North America (NORAM)</t>
  </si>
  <si>
    <t xml:space="preserve">United States</t>
  </si>
  <si>
    <t xml:space="preserve">USA</t>
  </si>
  <si>
    <t xml:space="preserve">NAFTA / USMCA, G7, OECD</t>
  </si>
  <si>
    <t xml:space="preserve">Americas</t>
  </si>
  <si>
    <t xml:space="preserve">Northern America</t>
  </si>
  <si>
    <t xml:space="preserve">North America</t>
  </si>
  <si>
    <t xml:space="preserve">High income</t>
  </si>
  <si>
    <t xml:space="preserve">US Carolinas</t>
  </si>
  <si>
    <t xml:space="preserve">Sub-national region</t>
  </si>
  <si>
    <t xml:space="preserve">North and South Carolina</t>
  </si>
  <si>
    <t xml:space="preserve">US Central</t>
  </si>
  <si>
    <t xml:space="preserve">US East</t>
  </si>
  <si>
    <t xml:space="preserve">US East North Central</t>
  </si>
  <si>
    <t xml:space="preserve">Census division</t>
  </si>
  <si>
    <t xml:space="preserve">US East South Central</t>
  </si>
  <si>
    <t xml:space="preserve">US Great Lakes</t>
  </si>
  <si>
    <t xml:space="preserve">US Gulf Coast</t>
  </si>
  <si>
    <t xml:space="preserve">US Mid-Atlantic</t>
  </si>
  <si>
    <t xml:space="preserve">US Mid-South</t>
  </si>
  <si>
    <t xml:space="preserve">US Midwest</t>
  </si>
  <si>
    <t xml:space="preserve">US Mountain</t>
  </si>
  <si>
    <t xml:space="preserve">US New England</t>
  </si>
  <si>
    <t xml:space="preserve">US North</t>
  </si>
  <si>
    <t xml:space="preserve">US Northeast</t>
  </si>
  <si>
    <t xml:space="preserve">US Northeast Corridor</t>
  </si>
  <si>
    <t xml:space="preserve">Boston–Washington</t>
  </si>
  <si>
    <t xml:space="preserve">US Northwest</t>
  </si>
  <si>
    <t xml:space="preserve">US Pacific</t>
  </si>
  <si>
    <t xml:space="preserve">Census division (not Asia Pacific)</t>
  </si>
  <si>
    <t xml:space="preserve">US Pacific Northwest</t>
  </si>
  <si>
    <t xml:space="preserve">US Rust Belt</t>
  </si>
  <si>
    <t xml:space="preserve">US South</t>
  </si>
  <si>
    <t xml:space="preserve">US South Atlantic</t>
  </si>
  <si>
    <t xml:space="preserve">US South Central</t>
  </si>
  <si>
    <t xml:space="preserve">Assumed US region — confirm</t>
  </si>
  <si>
    <t xml:space="preserve">US Southeast</t>
  </si>
  <si>
    <t xml:space="preserve">US Southwest</t>
  </si>
  <si>
    <t xml:space="preserve">US Sun Belt</t>
  </si>
  <si>
    <t xml:space="preserve">US Tri-State Area</t>
  </si>
  <si>
    <t xml:space="preserve">New York, New Jersey, Connecticut</t>
  </si>
  <si>
    <t xml:space="preserve">US Upper Midwest</t>
  </si>
  <si>
    <t xml:space="preserve">US Washington Metro (DMV)</t>
  </si>
  <si>
    <t xml:space="preserve">DC, Maryland, Virginia</t>
  </si>
  <si>
    <t xml:space="preserve">US West</t>
  </si>
  <si>
    <t xml:space="preserve">US West Coast</t>
  </si>
  <si>
    <t xml:space="preserve">US West North Central</t>
  </si>
  <si>
    <t xml:space="preserve">US West South Central</t>
  </si>
  <si>
    <t xml:space="preserve">Alabama</t>
  </si>
  <si>
    <t xml:space="preserve">Alaska</t>
  </si>
  <si>
    <t xml:space="preserve">American Samoa</t>
  </si>
  <si>
    <t xml:space="preserve">US territory</t>
  </si>
  <si>
    <t xml:space="preserve">Arizona</t>
  </si>
  <si>
    <t xml:space="preserve">Phoenix</t>
  </si>
  <si>
    <t xml:space="preserve">Scottsdale</t>
  </si>
  <si>
    <t xml:space="preserve">Tucson</t>
  </si>
  <si>
    <t xml:space="preserve">Arkansas</t>
  </si>
  <si>
    <t xml:space="preserve">Bentonville</t>
  </si>
  <si>
    <t xml:space="preserve">California</t>
  </si>
  <si>
    <t xml:space="preserve">Greater Los Angeles</t>
  </si>
  <si>
    <t xml:space="preserve">Inland Empire</t>
  </si>
  <si>
    <t xml:space="preserve">Irwindale</t>
  </si>
  <si>
    <t xml:space="preserve">Los Angeles</t>
  </si>
  <si>
    <t xml:space="preserve">Oceanside</t>
  </si>
  <si>
    <t xml:space="preserve">Assumed Oceanside, CA — confirm</t>
  </si>
  <si>
    <t xml:space="preserve">Sacramento</t>
  </si>
  <si>
    <t xml:space="preserve">Sacramento Area</t>
  </si>
  <si>
    <t xml:space="preserve">Metro area</t>
  </si>
  <si>
    <t xml:space="preserve">San Bernardino</t>
  </si>
  <si>
    <t xml:space="preserve">San Diego</t>
  </si>
  <si>
    <t xml:space="preserve">San Francisco</t>
  </si>
  <si>
    <t xml:space="preserve">San Francisco Bay Area</t>
  </si>
  <si>
    <t xml:space="preserve">San Jose</t>
  </si>
  <si>
    <t xml:space="preserve">Santa Ana</t>
  </si>
  <si>
    <t xml:space="preserve">Santa Clara</t>
  </si>
  <si>
    <t xml:space="preserve">Silicon Valley</t>
  </si>
  <si>
    <t xml:space="preserve">Colorado</t>
  </si>
  <si>
    <t xml:space="preserve">Colorado Springs</t>
  </si>
  <si>
    <t xml:space="preserve">Denver</t>
  </si>
  <si>
    <t xml:space="preserve">Connecticut</t>
  </si>
  <si>
    <t xml:space="preserve">Delaware</t>
  </si>
  <si>
    <t xml:space="preserve">District of Columbia</t>
  </si>
  <si>
    <t xml:space="preserve">Federal district; treated at state level</t>
  </si>
  <si>
    <t xml:space="preserve">Florida</t>
  </si>
  <si>
    <t xml:space="preserve">Hollywood</t>
  </si>
  <si>
    <t xml:space="preserve">Assumed Hollywood, FL (Hard Rock Casino context in filings)</t>
  </si>
  <si>
    <t xml:space="preserve">Jacksonville</t>
  </si>
  <si>
    <t xml:space="preserve">Miami</t>
  </si>
  <si>
    <t xml:space="preserve">Orlando</t>
  </si>
  <si>
    <t xml:space="preserve">Tampa</t>
  </si>
  <si>
    <t xml:space="preserve">Georgia</t>
  </si>
  <si>
    <t xml:space="preserve">US state. The country is 'Georgia (Country)' — see Decisions</t>
  </si>
  <si>
    <t xml:space="preserve">Atlanta</t>
  </si>
  <si>
    <t xml:space="preserve">Savannah</t>
  </si>
  <si>
    <t xml:space="preserve">Guam</t>
  </si>
  <si>
    <t xml:space="preserve">US territory — reported inside US segments by US filers</t>
  </si>
  <si>
    <t xml:space="preserve">Hawaii</t>
  </si>
  <si>
    <t xml:space="preserve">Honolulu</t>
  </si>
  <si>
    <t xml:space="preserve">Idaho</t>
  </si>
  <si>
    <t xml:space="preserve">Illinois</t>
  </si>
  <si>
    <t xml:space="preserve">Chicago</t>
  </si>
  <si>
    <t xml:space="preserve">Chicagoland</t>
  </si>
  <si>
    <t xml:space="preserve">Indiana</t>
  </si>
  <si>
    <t xml:space="preserve">Indianapolis</t>
  </si>
  <si>
    <t xml:space="preserve">Iowa</t>
  </si>
  <si>
    <t xml:space="preserve">Kansas</t>
  </si>
  <si>
    <t xml:space="preserve">Kentucky</t>
  </si>
  <si>
    <t xml:space="preserve">Louisville</t>
  </si>
  <si>
    <t xml:space="preserve">Louisiana</t>
  </si>
  <si>
    <t xml:space="preserve">New Orleans</t>
  </si>
  <si>
    <t xml:space="preserve">Maine</t>
  </si>
  <si>
    <t xml:space="preserve">Maryland</t>
  </si>
  <si>
    <t xml:space="preserve">Baltimore</t>
  </si>
  <si>
    <t xml:space="preserve">Massachusetts</t>
  </si>
  <si>
    <t xml:space="preserve">Boston</t>
  </si>
  <si>
    <t xml:space="preserve">Greater Boston</t>
  </si>
  <si>
    <t xml:space="preserve">Michigan</t>
  </si>
  <si>
    <t xml:space="preserve">Detroit</t>
  </si>
  <si>
    <t xml:space="preserve">Minnesota</t>
  </si>
  <si>
    <t xml:space="preserve">Minneapolis</t>
  </si>
  <si>
    <t xml:space="preserve">Mississippi</t>
  </si>
  <si>
    <t xml:space="preserve">Missouri</t>
  </si>
  <si>
    <t xml:space="preserve">Kansas City</t>
  </si>
  <si>
    <t xml:space="preserve">Assumed Kansas City, MO</t>
  </si>
  <si>
    <t xml:space="preserve">St. Louis</t>
  </si>
  <si>
    <t xml:space="preserve">Montana</t>
  </si>
  <si>
    <t xml:space="preserve">Nebraska</t>
  </si>
  <si>
    <t xml:space="preserve">Nevada</t>
  </si>
  <si>
    <t xml:space="preserve">Las Vegas</t>
  </si>
  <si>
    <t xml:space="preserve">Reno</t>
  </si>
  <si>
    <t xml:space="preserve">New Hampshire</t>
  </si>
  <si>
    <t xml:space="preserve">New Jersey</t>
  </si>
  <si>
    <t xml:space="preserve">New Mexico</t>
  </si>
  <si>
    <t xml:space="preserve">Albuquerque</t>
  </si>
  <si>
    <t xml:space="preserve">New York</t>
  </si>
  <si>
    <t xml:space="preserve">Buffalo</t>
  </si>
  <si>
    <t xml:space="preserve">Greater New York</t>
  </si>
  <si>
    <t xml:space="preserve">Long Island</t>
  </si>
  <si>
    <t xml:space="preserve">Area rather than a city</t>
  </si>
  <si>
    <t xml:space="preserve">New York City</t>
  </si>
  <si>
    <t xml:space="preserve">North Carolina</t>
  </si>
  <si>
    <t xml:space="preserve">Charlotte</t>
  </si>
  <si>
    <t xml:space="preserve">Raleigh</t>
  </si>
  <si>
    <t xml:space="preserve">North Dakota</t>
  </si>
  <si>
    <t xml:space="preserve">Northern Mariana Islands</t>
  </si>
  <si>
    <t xml:space="preserve">Ohio</t>
  </si>
  <si>
    <t xml:space="preserve">Cincinnati</t>
  </si>
  <si>
    <t xml:space="preserve">Cleveland</t>
  </si>
  <si>
    <t xml:space="preserve">Columbus</t>
  </si>
  <si>
    <t xml:space="preserve">Oklahoma</t>
  </si>
  <si>
    <t xml:space="preserve">Oregon</t>
  </si>
  <si>
    <t xml:space="preserve">Portland</t>
  </si>
  <si>
    <t xml:space="preserve">Assumed Portland, OR</t>
  </si>
  <si>
    <t xml:space="preserve">Pennsylvania</t>
  </si>
  <si>
    <t xml:space="preserve">Bethlehem</t>
  </si>
  <si>
    <t xml:space="preserve">Philadelphia</t>
  </si>
  <si>
    <t xml:space="preserve">Pittsburgh</t>
  </si>
  <si>
    <t xml:space="preserve">Puerto Rico</t>
  </si>
  <si>
    <t xml:space="preserve">San Juan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</si>
  <si>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</si>
  <si>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</si>
  <si>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</si>
  <si>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</si>
  <si>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Memphis</t>
  </si>
  <si>
    <t xml:space="preserve">Nashville</t>
  </si>
  <si>
    <t xml:space="preserve">Texas</t>
  </si>
  <si>
    <t xml:space="preserve">Austin</t>
  </si>
  <si>
    <t xml:space="preserve">Dallas</t>
  </si>
  <si>
    <t xml:space="preserve">Dallas–Fort Worth</t>
  </si>
  <si>
    <t xml:space="preserve">Fort Worth</t>
  </si>
  <si>
    <t xml:space="preserve">Houston</t>
  </si>
  <si>
    <t xml:space="preserve">Plano</t>
  </si>
  <si>
    <t xml:space="preserve">San Antonio</t>
  </si>
  <si>
    <t xml:space="preserve">US Virgin Islands</t>
  </si>
  <si>
    <t xml:space="preserve">Utah</t>
  </si>
  <si>
    <t xml:space="preserve">Salt Lake City</t>
  </si>
  <si>
    <t xml:space="preserve">Vermont</t>
  </si>
  <si>
    <t xml:space="preserve">Virginia</t>
  </si>
  <si>
    <t xml:space="preserve">Washington</t>
  </si>
  <si>
    <t xml:space="preserve">US state (not Washington, D.C.)</t>
  </si>
  <si>
    <t xml:space="preserve">Bellevue</t>
  </si>
  <si>
    <t xml:space="preserve">Redmond</t>
  </si>
  <si>
    <t xml:space="preserve">Seattle</t>
  </si>
  <si>
    <t xml:space="preserve">West Virginia</t>
  </si>
  <si>
    <t xml:space="preserve">Wisconsin</t>
  </si>
  <si>
    <t xml:space="preserve">Milwaukee</t>
  </si>
  <si>
    <t xml:space="preserve">Wyoming</t>
  </si>
  <si>
    <t xml:space="preserve">Gainesville</t>
  </si>
  <si>
    <t xml:space="preserve">State unknown (FL or GA) — confirm</t>
  </si>
  <si>
    <t xml:space="preserve">Union City</t>
  </si>
  <si>
    <t xml:space="preserve">State unknown (CA, NJ or GA) — confirm</t>
  </si>
  <si>
    <t xml:space="preserve">Canada</t>
  </si>
  <si>
    <t xml:space="preserve">CAN</t>
  </si>
  <si>
    <t xml:space="preserve">Atlantic Canada</t>
  </si>
  <si>
    <t xml:space="preserve">Central Canada</t>
  </si>
  <si>
    <t xml:space="preserve">Eastern Canada</t>
  </si>
  <si>
    <t xml:space="preserve">Northern Canada</t>
  </si>
  <si>
    <t xml:space="preserve">Prairies</t>
  </si>
  <si>
    <t xml:space="preserve">Western Canada</t>
  </si>
  <si>
    <t xml:space="preserve">Alberta</t>
  </si>
  <si>
    <t xml:space="preserve">Province</t>
  </si>
  <si>
    <t xml:space="preserve">Calgary</t>
  </si>
  <si>
    <t xml:space="preserve">Edmonton</t>
  </si>
  <si>
    <t xml:space="preserve">British Columbia</t>
  </si>
  <si>
    <t xml:space="preserve">Vancouver</t>
  </si>
  <si>
    <t xml:space="preserve">Manitoba</t>
  </si>
  <si>
    <t xml:space="preserve">Winnipeg</t>
  </si>
  <si>
    <t xml:space="preserve">New Brunswick</t>
  </si>
  <si>
    <t xml:space="preserve">Newfoundland and Labrador</t>
  </si>
  <si>
    <t xml:space="preserve">Northwest Territories</t>
  </si>
  <si>
    <t xml:space="preserve">Territory</t>
  </si>
  <si>
    <t xml:space="preserve">Nova Scotia</t>
  </si>
  <si>
    <t xml:space="preserve">Nunavut</t>
  </si>
  <si>
    <t xml:space="preserve">Ontario</t>
  </si>
  <si>
    <t xml:space="preserve">Greater Toronto Area</t>
  </si>
  <si>
    <t xml:space="preserve">Ottawa</t>
  </si>
  <si>
    <t xml:space="preserve">Toronto</t>
  </si>
  <si>
    <t xml:space="preserve">Prince Edward Island</t>
  </si>
  <si>
    <t xml:space="preserve">Quebec</t>
  </si>
  <si>
    <t xml:space="preserve">Montreal</t>
  </si>
  <si>
    <t xml:space="preserve">Quebec City</t>
  </si>
  <si>
    <t xml:space="preserve">Saskatchewan</t>
  </si>
  <si>
    <t xml:space="preserve">Yukon</t>
  </si>
  <si>
    <t xml:space="preserve">Bermuda</t>
  </si>
  <si>
    <t xml:space="preserve">BMU</t>
  </si>
  <si>
    <t xml:space="preserve">British Overseas Territory, grouped by geography</t>
  </si>
  <si>
    <t xml:space="preserve">Greenland</t>
  </si>
  <si>
    <t xml:space="preserve">GRL</t>
  </si>
  <si>
    <t xml:space="preserve">Europe and Central Asia</t>
  </si>
  <si>
    <t xml:space="preserve">Saint Pierre and Miquelon</t>
  </si>
  <si>
    <t xml:space="preserve">SPM</t>
  </si>
  <si>
    <t xml:space="preserve">Not classified</t>
  </si>
  <si>
    <t xml:space="preserve">Latin America (LATAM)</t>
  </si>
  <si>
    <t xml:space="preserve">Andean Region</t>
  </si>
  <si>
    <t xml:space="preserve">Sub-region component</t>
  </si>
  <si>
    <t xml:space="preserve">South America</t>
  </si>
  <si>
    <t xml:space="preserve">Members: Bolivia, Colombia, Ecuador, Peru, Venezuela</t>
  </si>
  <si>
    <t xml:space="preserve">CAC (Central America and Caribbean)</t>
  </si>
  <si>
    <t xml:space="preserve">Central America + Caribbean</t>
  </si>
  <si>
    <t xml:space="preserve">Caribbean</t>
  </si>
  <si>
    <t xml:space="preserve">Central America</t>
  </si>
  <si>
    <t xml:space="preserve">Members: Belize, Costa Rica, El Salvador, Guatemala, Honduras, Nicaragua, Panama</t>
  </si>
  <si>
    <t xml:space="preserve">Mercosur</t>
  </si>
  <si>
    <t xml:space="preserve">Members: Argentina, Brazil, Paraguay, Uruguay</t>
  </si>
  <si>
    <t xml:space="preserve">NOLA (Northern Latin America)</t>
  </si>
  <si>
    <t xml:space="preserve">Mexico, Central America, Caribbean, Colombia, Venezuela, Ecuador — definitions vary by filer</t>
  </si>
  <si>
    <t xml:space="preserve">Pacific Alliance</t>
  </si>
  <si>
    <t xml:space="preserve">Members: Chile, Colombia, Mexico, Peru</t>
  </si>
  <si>
    <t xml:space="preserve">SOLA (Southern Latin America)</t>
  </si>
  <si>
    <t xml:space="preserve">Members: Brazil, Argentina, Chile, Uruguay, Paraguay, Bolivia, Peru — definitions vary by filer</t>
  </si>
  <si>
    <t xml:space="preserve">Southern Cone</t>
  </si>
  <si>
    <t xml:space="preserve">Members: Argentina, Chile, Uruguay, Paraguay</t>
  </si>
  <si>
    <t xml:space="preserve">Brazil</t>
  </si>
  <si>
    <t xml:space="preserve">BRA</t>
  </si>
  <si>
    <t xml:space="preserve">South America, Mercosur, SOLA (Southern Latin America), BRIC, BRICS</t>
  </si>
  <si>
    <t xml:space="preserve">Latin America and the Caribbean</t>
  </si>
  <si>
    <t xml:space="preserve">Latin America &amp; the Caribbean</t>
  </si>
  <si>
    <t xml:space="preserve">Upper-middle income</t>
  </si>
  <si>
    <t xml:space="preserve">Central-West Region (Brazil)</t>
  </si>
  <si>
    <t xml:space="preserve">IBGE macro-region</t>
  </si>
  <si>
    <t xml:space="preserve">North Region (Brazil)</t>
  </si>
  <si>
    <t xml:space="preserve">Northeast Region (Brazil)</t>
  </si>
  <si>
    <t xml:space="preserve">South Region (Brazil)</t>
  </si>
  <si>
    <t xml:space="preserve">Southeast Region (Brazil)</t>
  </si>
  <si>
    <t xml:space="preserve">Acre</t>
  </si>
  <si>
    <t xml:space="preserve">State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</si>
  <si>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</si>
  <si>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</si>
  <si>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</si>
  <si>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</si>
  <si>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</si>
  <si>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Espírito Santo</t>
  </si>
  <si>
    <t xml:space="preserve">Federal District (Brazil)</t>
  </si>
  <si>
    <t xml:space="preserve">Federal district</t>
  </si>
  <si>
    <t xml:space="preserve">Brasília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</si>
  <si>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</si>
  <si>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</si>
  <si>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</si>
  <si>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</si>
  <si>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</si>
  <si>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Paraná</t>
  </si>
  <si>
    <t xml:space="preserve">Paraíba</t>
  </si>
  <si>
    <t xml:space="preserve">Pará</t>
  </si>
  <si>
    <t xml:space="preserve">Pernambuco</t>
  </si>
  <si>
    <t xml:space="preserve">Piauí</t>
  </si>
  <si>
    <t xml:space="preserve">Rio Grande do Norte</t>
  </si>
  <si>
    <t xml:space="preserve">Rio Grande do Sul</t>
  </si>
  <si>
    <t xml:space="preserve">Rio de Janeiro</t>
  </si>
  <si>
    <t xml:space="preserve">Rio de Janeiro (city)</t>
  </si>
  <si>
    <t xml:space="preserve">Rondônia</t>
  </si>
  <si>
    <t xml:space="preserve">Roraima</t>
  </si>
  <si>
    <t xml:space="preserve">Santa Catarina</t>
  </si>
  <si>
    <t xml:space="preserve">Sergipe</t>
  </si>
  <si>
    <t xml:space="preserve">São Paulo</t>
  </si>
  <si>
    <t xml:space="preserve">São Paulo (city)</t>
  </si>
  <si>
    <t xml:space="preserve">Tocantins</t>
  </si>
  <si>
    <t xml:space="preserve">Mexico</t>
  </si>
  <si>
    <t xml:space="preserve">MEX</t>
  </si>
  <si>
    <t xml:space="preserve">Pacific Alliance, NOLA (Northern Latin America), NAFTA / USMCA, OECD</t>
  </si>
  <si>
    <t xml:space="preserve">Bajío</t>
  </si>
  <si>
    <t xml:space="preserve">Central Mexico</t>
  </si>
  <si>
    <t xml:space="preserve">Northern Mexico</t>
  </si>
  <si>
    <t xml:space="preserve">Southern Mexico</t>
  </si>
  <si>
    <t xml:space="preserve">Aguascalientes</t>
  </si>
  <si>
    <t xml:space="preserve">Baja California</t>
  </si>
  <si>
    <t xml:space="preserve">Tijuana</t>
  </si>
  <si>
    <t xml:space="preserve">Baja California Sur</t>
  </si>
  <si>
    <t xml:space="preserve">Campeche</t>
  </si>
  <si>
    <t xml:space="preserve">Chiapas</t>
  </si>
  <si>
    <t xml:space="preserve">Chihuahua</t>
  </si>
  <si>
    <t xml:space="preserve">Coahuila</t>
  </si>
  <si>
    <t xml:space="preserve">Colima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</si>
  <si>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</si>
  <si>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</si>
  <si>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</si>
  <si>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</si>
  <si>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</si>
  <si>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Guadalajara</t>
  </si>
  <si>
    <t xml:space="preserve">Mexico City</t>
  </si>
  <si>
    <t xml:space="preserve">Federal entity (capital)</t>
  </si>
  <si>
    <t xml:space="preserve">Michoacán</t>
  </si>
  <si>
    <t xml:space="preserve">Morelos</t>
  </si>
  <si>
    <t xml:space="preserve">Nayarit</t>
  </si>
  <si>
    <t xml:space="preserve">Nuevo León</t>
  </si>
  <si>
    <t xml:space="preserve">Monterrey</t>
  </si>
  <si>
    <t xml:space="preserve">Oaxaca</t>
  </si>
  <si>
    <t xml:space="preserve">Puebla</t>
  </si>
  <si>
    <t xml:space="preserve">Querétaro</t>
  </si>
  <si>
    <t xml:space="preserve">Quintana Roo</t>
  </si>
  <si>
    <t xml:space="preserve">Cancún</t>
  </si>
  <si>
    <t xml:space="preserve">San Luis Potosí</t>
  </si>
  <si>
    <t xml:space="preserve">Sinaloa</t>
  </si>
  <si>
    <t xml:space="preserve">Sonora</t>
  </si>
  <si>
    <t xml:space="preserve">State of Mexico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</si>
  <si>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</si>
  <si>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</si>
  <si>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</si>
  <si>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</si>
  <si>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</si>
  <si>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</si>
  <si>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Anguilla</t>
  </si>
  <si>
    <t xml:space="preserve">AIA</t>
  </si>
  <si>
    <t xml:space="preserve">Caribbean, CAC (Central America and Caribbean), NOLA (Northern Latin America), UN SIDS</t>
  </si>
  <si>
    <t xml:space="preserve">Antigua and Barbuda</t>
  </si>
  <si>
    <t xml:space="preserve">ATG</t>
  </si>
  <si>
    <t xml:space="preserve">Argentina</t>
  </si>
  <si>
    <t xml:space="preserve">ARG</t>
  </si>
  <si>
    <t xml:space="preserve">Southern Cone, South America, Mercosur, SOLA (Southern Latin America)</t>
  </si>
  <si>
    <t xml:space="preserve">Autonomous City of Buenos Aires</t>
  </si>
  <si>
    <t xml:space="preserve">Autonomous city</t>
  </si>
  <si>
    <t xml:space="preserve">Buenos Aires Province</t>
  </si>
  <si>
    <t xml:space="preserve">Catamarca</t>
  </si>
  <si>
    <t xml:space="preserve">Chaco</t>
  </si>
  <si>
    <t xml:space="preserve">Chubut</t>
  </si>
  <si>
    <t xml:space="preserve">Corrientes</t>
  </si>
  <si>
    <t xml:space="preserve">Córdoba Province (Argentina)</t>
  </si>
  <si>
    <t xml:space="preserve">Entre Ríos</t>
  </si>
  <si>
    <t xml:space="preserve">Formosa</t>
  </si>
  <si>
    <t xml:space="preserve">Jujuy</t>
  </si>
  <si>
    <t xml:space="preserve">La Pampa</t>
  </si>
  <si>
    <t xml:space="preserve">La Rioja (Argentina)</t>
  </si>
  <si>
    <t xml:space="preserve">Mendoza</t>
  </si>
  <si>
    <t xml:space="preserve">Misiones</t>
  </si>
  <si>
    <t xml:space="preserve">Neuquén</t>
  </si>
  <si>
    <t xml:space="preserve">Río Negro</t>
  </si>
  <si>
    <t xml:space="preserve">Salta</t>
  </si>
  <si>
    <t xml:space="preserve">San Juan (Argentina)</t>
  </si>
  <si>
    <t xml:space="preserve">San Luis</t>
  </si>
  <si>
    <t xml:space="preserve">Santa Cruz (Argentina)</t>
  </si>
  <si>
    <t xml:space="preserve">Santa Fe</t>
  </si>
  <si>
    <t xml:space="preserve">Santiago del Estero</t>
  </si>
  <si>
    <t xml:space="preserve">Tierra del Fuego</t>
  </si>
  <si>
    <t xml:space="preserve">Tucumán</t>
  </si>
  <si>
    <t xml:space="preserve">Buenos Aires</t>
  </si>
  <si>
    <t xml:space="preserve">Córdoba (Argentina)</t>
  </si>
  <si>
    <t xml:space="preserve">Aruba</t>
  </si>
  <si>
    <t xml:space="preserve">ABW</t>
  </si>
  <si>
    <t xml:space="preserve">Part of the Kingdom of the Netherlands, grouped by geography</t>
  </si>
  <si>
    <t xml:space="preserve">Bahamas</t>
  </si>
  <si>
    <t xml:space="preserve">BHS</t>
  </si>
  <si>
    <t xml:space="preserve">Barbados</t>
  </si>
  <si>
    <t xml:space="preserve">BRB</t>
  </si>
  <si>
    <t xml:space="preserve">Belize</t>
  </si>
  <si>
    <t xml:space="preserve">BLZ</t>
  </si>
  <si>
    <t xml:space="preserve">Central America, CAC (Central America and Caribbean), NOLA (Northern Latin America), UN SIDS</t>
  </si>
  <si>
    <t xml:space="preserve">Bolivia</t>
  </si>
  <si>
    <t xml:space="preserve">BOL</t>
  </si>
  <si>
    <t xml:space="preserve">Andean Region, South America, SOLA (Southern Latin America), UN LLDC</t>
  </si>
  <si>
    <t xml:space="preserve">Lower-middle income</t>
  </si>
  <si>
    <t xml:space="preserve">Bonaire, Sint Eustatius and Saba</t>
  </si>
  <si>
    <t xml:space="preserve">BES</t>
  </si>
  <si>
    <t xml:space="preserve">British Virgin Islands</t>
  </si>
  <si>
    <t xml:space="preserve">VGB</t>
  </si>
  <si>
    <t xml:space="preserve">Cayman Islands</t>
  </si>
  <si>
    <t xml:space="preserve">CYM</t>
  </si>
  <si>
    <t xml:space="preserve">Caribbean, CAC (Central America and Caribbean), NOLA (Northern Latin America)</t>
  </si>
  <si>
    <t xml:space="preserve">Chile</t>
  </si>
  <si>
    <t xml:space="preserve">CHL</t>
  </si>
  <si>
    <t xml:space="preserve">Southern Cone, South America, Pacific Alliance, SOLA (Southern Latin America), OECD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</si>
  <si>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</si>
  <si>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</si>
  <si>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</si>
  <si>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</si>
  <si>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</si>
  <si>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</si>
  <si>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</si>
  <si>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</si>
  <si>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</si>
  <si>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</si>
  <si>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</si>
  <si>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O'Higgins</t>
  </si>
  <si>
    <t xml:space="preserve">Santiago Metropolitan Region</t>
  </si>
  <si>
    <t xml:space="preserve">Tarapacá</t>
  </si>
  <si>
    <t xml:space="preserve">Valparaíso</t>
  </si>
  <si>
    <t xml:space="preserve">Santiago</t>
  </si>
  <si>
    <t xml:space="preserve">Ñuble</t>
  </si>
  <si>
    <t xml:space="preserve">Colombia</t>
  </si>
  <si>
    <t xml:space="preserve">COL</t>
  </si>
  <si>
    <t xml:space="preserve">Andean Region, South America, Pacific Alliance, NOLA (Northern Latin America), OECD</t>
  </si>
  <si>
    <t xml:space="preserve">Amazonas (Colombia)</t>
  </si>
  <si>
    <t xml:space="preserve">Department</t>
  </si>
  <si>
    <t xml:space="preserve">Antioquia</t>
  </si>
  <si>
    <t xml:space="preserve">Arauca</t>
  </si>
  <si>
    <t xml:space="preserve">Atlántico</t>
  </si>
  <si>
    <t xml:space="preserve">Bogotá Capital District</t>
  </si>
  <si>
    <t xml:space="preserve">Capital district</t>
  </si>
  <si>
    <t xml:space="preserve">Bolívar</t>
  </si>
  <si>
    <t xml:space="preserve">Boyacá</t>
  </si>
  <si>
    <t xml:space="preserve">Caldas</t>
  </si>
  <si>
    <t xml:space="preserve">Caquetá</t>
  </si>
  <si>
    <t xml:space="preserve">Casanare</t>
  </si>
  <si>
    <t xml:space="preserve">Cauca</t>
  </si>
  <si>
    <t xml:space="preserve">Cesar</t>
  </si>
  <si>
    <t xml:space="preserve">Chocó</t>
  </si>
  <si>
    <t xml:space="preserve">Cundinamarca</t>
  </si>
  <si>
    <t xml:space="preserve">Córdoba (Colombia)</t>
  </si>
  <si>
    <t xml:space="preserve">Guainía</t>
  </si>
  <si>
    <t xml:space="preserve">Guaviare</t>
  </si>
  <si>
    <t xml:space="preserve">Huila</t>
  </si>
  <si>
    <t xml:space="preserve">La Guajira</t>
  </si>
  <si>
    <t xml:space="preserve">Magdalena</t>
  </si>
  <si>
    <t xml:space="preserve">Meta</t>
  </si>
  <si>
    <t xml:space="preserve">Nariño</t>
  </si>
  <si>
    <t xml:space="preserve">Norte de Santander</t>
  </si>
  <si>
    <t xml:space="preserve">Putumayo</t>
  </si>
  <si>
    <t xml:space="preserve">Quindío</t>
  </si>
  <si>
    <t xml:space="preserve">Risaralda</t>
  </si>
  <si>
    <t xml:space="preserve">San Andrés and Providencia</t>
  </si>
  <si>
    <t xml:space="preserve">Santander</t>
  </si>
  <si>
    <t xml:space="preserve">Sucre</t>
  </si>
  <si>
    <t xml:space="preserve">Tolima</t>
  </si>
  <si>
    <t xml:space="preserve">Valle del Cauca</t>
  </si>
  <si>
    <t xml:space="preserve">Vaupés</t>
  </si>
  <si>
    <t xml:space="preserve">Vichada</t>
  </si>
  <si>
    <t xml:space="preserve">Bogotá</t>
  </si>
  <si>
    <t xml:space="preserve">Medellín</t>
  </si>
  <si>
    <t xml:space="preserve">Costa Rica</t>
  </si>
  <si>
    <t xml:space="preserve">CRI</t>
  </si>
  <si>
    <t xml:space="preserve">Central America, CAC (Central America and Caribbean), NOLA (Northern Latin America), OECD</t>
  </si>
  <si>
    <t xml:space="preserve">San José (Costa Rica)</t>
  </si>
  <si>
    <t xml:space="preserve">Cuba</t>
  </si>
  <si>
    <t xml:space="preserve">CUB</t>
  </si>
  <si>
    <t xml:space="preserve">Curaçao</t>
  </si>
  <si>
    <t xml:space="preserve">CUW</t>
  </si>
  <si>
    <t xml:space="preserve">Dominica</t>
  </si>
  <si>
    <t xml:space="preserve">DMA</t>
  </si>
  <si>
    <t xml:space="preserve">Dominican Republic</t>
  </si>
  <si>
    <t xml:space="preserve">DOM</t>
  </si>
  <si>
    <t xml:space="preserve">Santo Domingo</t>
  </si>
  <si>
    <t xml:space="preserve">Ecuador</t>
  </si>
  <si>
    <t xml:space="preserve">ECU</t>
  </si>
  <si>
    <t xml:space="preserve">Andean Region, South America, NOLA (Northern Latin America)</t>
  </si>
  <si>
    <t xml:space="preserve">El Salvador</t>
  </si>
  <si>
    <t xml:space="preserve">SLV</t>
  </si>
  <si>
    <t xml:space="preserve">Central America, CAC (Central America and Caribbean), NOLA (Northern Latin America)</t>
  </si>
  <si>
    <t xml:space="preserve">Falkland Islands</t>
  </si>
  <si>
    <t xml:space="preserve">FLK</t>
  </si>
  <si>
    <t xml:space="preserve">French Guiana</t>
  </si>
  <si>
    <t xml:space="preserve">GUF</t>
  </si>
  <si>
    <t xml:space="preserve">Grenada</t>
  </si>
  <si>
    <t xml:space="preserve">GRD</t>
  </si>
  <si>
    <t xml:space="preserve">Guadeloupe</t>
  </si>
  <si>
    <t xml:space="preserve">GLP</t>
  </si>
  <si>
    <t xml:space="preserve">Guatemala</t>
  </si>
  <si>
    <t xml:space="preserve">GTM</t>
  </si>
  <si>
    <t xml:space="preserve">Guyana</t>
  </si>
  <si>
    <t xml:space="preserve">GUY</t>
  </si>
  <si>
    <t xml:space="preserve">South America, UN SIDS</t>
  </si>
  <si>
    <t xml:space="preserve">Haiti</t>
  </si>
  <si>
    <t xml:space="preserve">HTI</t>
  </si>
  <si>
    <t xml:space="preserve">Caribbean, CAC (Central America and Caribbean), NOLA (Northern Latin America), UN LDC, UN SIDS</t>
  </si>
  <si>
    <t xml:space="preserve">Honduras</t>
  </si>
  <si>
    <t xml:space="preserve">HND</t>
  </si>
  <si>
    <t xml:space="preserve">Jamaica</t>
  </si>
  <si>
    <t xml:space="preserve">JAM</t>
  </si>
  <si>
    <t xml:space="preserve">Martinique</t>
  </si>
  <si>
    <t xml:space="preserve">MTQ</t>
  </si>
  <si>
    <t xml:space="preserve">Montserrat</t>
  </si>
  <si>
    <t xml:space="preserve">MSR</t>
  </si>
  <si>
    <t xml:space="preserve">Nicaragua</t>
  </si>
  <si>
    <t xml:space="preserve">NIC</t>
  </si>
  <si>
    <t xml:space="preserve">Panama</t>
  </si>
  <si>
    <t xml:space="preserve">PAN</t>
  </si>
  <si>
    <t xml:space="preserve">Panama City</t>
  </si>
  <si>
    <t xml:space="preserve">Paraguay</t>
  </si>
  <si>
    <t xml:space="preserve">PRY</t>
  </si>
  <si>
    <t xml:space="preserve">Southern Cone, South America, Mercosur, SOLA (Southern Latin America), UN LLDC</t>
  </si>
  <si>
    <t xml:space="preserve">Peru</t>
  </si>
  <si>
    <t xml:space="preserve">PER</t>
  </si>
  <si>
    <t xml:space="preserve">Andean Region, South America, Pacific Alliance, SOLA (Southern Latin America)</t>
  </si>
  <si>
    <t xml:space="preserve">Lima</t>
  </si>
  <si>
    <t xml:space="preserve">Saint Barthélemy</t>
  </si>
  <si>
    <t xml:space="preserve">BLM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</si>
  <si>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</si>
  <si>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</si>
  <si>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</si>
  <si>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</si>
  <si>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Martin (French part)</t>
  </si>
  <si>
    <t xml:space="preserve">MAF</t>
  </si>
  <si>
    <t xml:space="preserve">Saint Vincent and the Grenadines</t>
  </si>
  <si>
    <t xml:space="preserve">VCT</t>
  </si>
  <si>
    <t xml:space="preserve">Sint Maarten (Dutch part)</t>
  </si>
  <si>
    <t xml:space="preserve">SXM</t>
  </si>
  <si>
    <t xml:space="preserve">Suriname</t>
  </si>
  <si>
    <t xml:space="preserve">SUR</t>
  </si>
  <si>
    <t xml:space="preserve">Trinidad and Tobago</t>
  </si>
  <si>
    <t xml:space="preserve">TTO</t>
  </si>
  <si>
    <t xml:space="preserve">Turks and Caicos Islands</t>
  </si>
  <si>
    <t xml:space="preserve">TCA</t>
  </si>
  <si>
    <t xml:space="preserve">Uruguay</t>
  </si>
  <si>
    <t xml:space="preserve">URY</t>
  </si>
  <si>
    <t xml:space="preserve">Venezuela</t>
  </si>
  <si>
    <t xml:space="preserve">VEN</t>
  </si>
  <si>
    <t xml:space="preserve">EMEA (Europe, Middle East, and Africa)</t>
  </si>
  <si>
    <t xml:space="preserve">EMEA</t>
  </si>
  <si>
    <t xml:space="preserve">Europe + MENA + Sub-Saharan Africa</t>
  </si>
  <si>
    <t xml:space="preserve">CEEMEA</t>
  </si>
  <si>
    <t xml:space="preserve">Central &amp; Eastern Europe + Middle East + Africa (also EEMEA, CEMEA)</t>
  </si>
  <si>
    <t xml:space="preserve">Middle East &amp; North Africa (MENA)</t>
  </si>
  <si>
    <t xml:space="preserve">Middle East + North Africa</t>
  </si>
  <si>
    <t xml:space="preserve">Middle East and Africa</t>
  </si>
  <si>
    <t xml:space="preserve">MENA + Sub-Saharan Africa</t>
  </si>
  <si>
    <t xml:space="preserve">Europe</t>
  </si>
  <si>
    <t xml:space="preserve">Balkans</t>
  </si>
  <si>
    <t xml:space="preserve">CEE (Central &amp; Eastern Europe)</t>
  </si>
  <si>
    <t xml:space="preserve">Members: Albania, Bosnia and Herzegovina, Croatia, Kosovo, Montenegro, North Macedonia, Serbia, Slovenia, Bulgaria</t>
  </si>
  <si>
    <t xml:space="preserve">Baltics</t>
  </si>
  <si>
    <t xml:space="preserve">Members: Estonia, Latvia, Lithuania</t>
  </si>
  <si>
    <t xml:space="preserve">Benelux</t>
  </si>
  <si>
    <t xml:space="preserve">Western Europe</t>
  </si>
  <si>
    <t xml:space="preserve">Members: Belgium, Netherlands, Luxembourg</t>
  </si>
  <si>
    <t xml:space="preserve">Central &amp; Eastern Europe incl. Russia/CIS, Türkiye, Caucasus, Central Asia</t>
  </si>
  <si>
    <t xml:space="preserve">CIS (Commonwealth of Independent States)</t>
  </si>
  <si>
    <t xml:space="preserve">Members: Russia, Belarus, Kazakhstan, Kyrgyzstan, Tajikistan, Uzbekistan, Armenia, Azerbaijan, Moldova</t>
  </si>
  <si>
    <t xml:space="preserve">Caucasus</t>
  </si>
  <si>
    <t xml:space="preserve">Members: Georgia (Country), Armenia, Azerbaijan</t>
  </si>
  <si>
    <t xml:space="preserve">Central Asia</t>
  </si>
  <si>
    <t xml:space="preserve">Members: Kazakhstan, Kyrgyzstan, Tajikistan, Turkmenistan, Uzbekistan — kept in EMEA with CIS, as most filers do</t>
  </si>
  <si>
    <t xml:space="preserve">Central Europe</t>
  </si>
  <si>
    <t xml:space="preserve">Members: Germany, Austria, Switzerland, Poland, Czech Republic, Slovakia, Hungary, Slovenia, Liechtenstein</t>
  </si>
  <si>
    <t xml:space="preserve">DACH</t>
  </si>
  <si>
    <t xml:space="preserve">Members: Germany, Austria, Switzerland</t>
  </si>
  <si>
    <t xml:space="preserve">Eastern Europe</t>
  </si>
  <si>
    <t xml:space="preserve">Members: Belarus, Bulgaria, Czech Republic, Hungary, Moldova, Poland, Romania, Russia, Slovakia, Ukraine</t>
  </si>
  <si>
    <t xml:space="preserve">European Union</t>
  </si>
  <si>
    <t xml:space="preserve">EU-27</t>
  </si>
  <si>
    <t xml:space="preserve">Iberia</t>
  </si>
  <si>
    <t xml:space="preserve">Members: Spain, Portugal</t>
  </si>
  <si>
    <t xml:space="preserve">Nordics</t>
  </si>
  <si>
    <t xml:space="preserve">Members: Denmark, Finland, Iceland, Norway, Sweden</t>
  </si>
  <si>
    <t xml:space="preserve">Northern Europe</t>
  </si>
  <si>
    <t xml:space="preserve">Members: Denmark, Finland, Iceland, Norway, Sweden, Estonia, Latvia, Lithuania, United Kingdom, Ireland</t>
  </si>
  <si>
    <t xml:space="preserve">Scandinavia</t>
  </si>
  <si>
    <t xml:space="preserve">Members: Denmark, Norway, Sweden</t>
  </si>
  <si>
    <t xml:space="preserve">Southeast Europe</t>
  </si>
  <si>
    <t xml:space="preserve">Members: Albania, Bosnia and Herzegovina, Bulgaria, Croatia, Greece, Kosovo, Montenegro, North Macedonia, Romania, Serbia, Slovenia</t>
  </si>
  <si>
    <t xml:space="preserve">Southern Europe</t>
  </si>
  <si>
    <t xml:space="preserve">Members: Italy, Spain, Portugal, Greece, Malta, Cyprus, Andorra, San Marino, Vatican City, Gibraltar</t>
  </si>
  <si>
    <t xml:space="preserve">UK and Ireland</t>
  </si>
  <si>
    <t xml:space="preserve">Members: United Kingdom, Ireland, Guernsey, Jersey, Isle of Man</t>
  </si>
  <si>
    <t xml:space="preserve">Western, Northern and Southern Europe</t>
  </si>
  <si>
    <t xml:space="preserve">United Kingdom</t>
  </si>
  <si>
    <t xml:space="preserve">GBR</t>
  </si>
  <si>
    <t xml:space="preserve">Western Europe, UK and Ireland, Northern Europe, G7, OECD</t>
  </si>
  <si>
    <t xml:space="preserve">England</t>
  </si>
  <si>
    <t xml:space="preserve">Constituent country of the UK, treated at state/province level</t>
  </si>
  <si>
    <t xml:space="preserve">East Midlands</t>
  </si>
  <si>
    <t xml:space="preserve">ITL1 region</t>
  </si>
  <si>
    <t xml:space="preserve">East of England</t>
  </si>
  <si>
    <t xml:space="preserve">Greater London</t>
  </si>
  <si>
    <t xml:space="preserve">North East England</t>
  </si>
  <si>
    <t xml:space="preserve">North West England</t>
  </si>
  <si>
    <t xml:space="preserve">South East England</t>
  </si>
  <si>
    <t xml:space="preserve">South West England</t>
  </si>
  <si>
    <t xml:space="preserve">West Midlands</t>
  </si>
  <si>
    <t xml:space="preserve">Yorkshire and the Humber</t>
  </si>
  <si>
    <t xml:space="preserve">Birmingham (UK)</t>
  </si>
  <si>
    <t xml:space="preserve">Bristol</t>
  </si>
  <si>
    <t xml:space="preserve">Leeds</t>
  </si>
  <si>
    <t xml:space="preserve">Liverpool</t>
  </si>
  <si>
    <t xml:space="preserve">London</t>
  </si>
  <si>
    <t xml:space="preserve">Manchester</t>
  </si>
  <si>
    <t xml:space="preserve">Northern Ireland</t>
  </si>
  <si>
    <t xml:space="preserve">Belfast</t>
  </si>
  <si>
    <t xml:space="preserve">Scotland</t>
  </si>
  <si>
    <t xml:space="preserve">Edinburgh</t>
  </si>
  <si>
    <t xml:space="preserve">Glasgow</t>
  </si>
  <si>
    <t xml:space="preserve">Wales</t>
  </si>
  <si>
    <t xml:space="preserve">Cardiff</t>
  </si>
  <si>
    <t xml:space="preserve">Germany</t>
  </si>
  <si>
    <t xml:space="preserve">DEU</t>
  </si>
  <si>
    <t xml:space="preserve">Western Europe, DACH, European Union, Central Europe, G7, OECD</t>
  </si>
  <si>
    <t xml:space="preserve">Baden-Württemberg</t>
  </si>
  <si>
    <t xml:space="preserve">State (Land)</t>
  </si>
  <si>
    <t xml:space="preserve">Stuttgart</t>
  </si>
  <si>
    <t xml:space="preserve">Bavaria</t>
  </si>
  <si>
    <t xml:space="preserve">Munich</t>
  </si>
  <si>
    <t xml:space="preserve">Berlin</t>
  </si>
  <si>
    <t xml:space="preserve">Brandenburg</t>
  </si>
  <si>
    <t xml:space="preserve">Bremen</t>
  </si>
  <si>
    <t xml:space="preserve">Hamburg</t>
  </si>
  <si>
    <t xml:space="preserve">Hesse</t>
  </si>
  <si>
    <t xml:space="preserve">Frankfurt</t>
  </si>
  <si>
    <t xml:space="preserve">Lower Saxony</t>
  </si>
  <si>
    <t xml:space="preserve">Mecklenburg-Western Pomerania</t>
  </si>
  <si>
    <t xml:space="preserve">North Rhine-Westphalia</t>
  </si>
  <si>
    <t xml:space="preserve">Cologne</t>
  </si>
  <si>
    <t xml:space="preserve">Düsseldorf</t>
  </si>
  <si>
    <t xml:space="preserve">Rhineland-Palatinate</t>
  </si>
  <si>
    <t xml:space="preserve">Saarland</t>
  </si>
  <si>
    <t xml:space="preserve">Saxony</t>
  </si>
  <si>
    <t xml:space="preserve">Saxony-Anhalt</t>
  </si>
  <si>
    <t xml:space="preserve">Schleswig-Holstein</t>
  </si>
  <si>
    <t xml:space="preserve">Thuringia</t>
  </si>
  <si>
    <t xml:space="preserve">France</t>
  </si>
  <si>
    <t xml:space="preserve">FRA</t>
  </si>
  <si>
    <t xml:space="preserve">Western Europe, European Union, G7, OECD</t>
  </si>
  <si>
    <t xml:space="preserve">Auvergne-Rhône-Alpes</t>
  </si>
  <si>
    <t xml:space="preserve">Metropolitan region</t>
  </si>
  <si>
    <t xml:space="preserve">Lyon</t>
  </si>
  <si>
    <t xml:space="preserve">Bourgogne-Franche-Comté</t>
  </si>
  <si>
    <t xml:space="preserve">Brittany</t>
  </si>
  <si>
    <t xml:space="preserve">Centre-Val de Loire</t>
  </si>
  <si>
    <t xml:space="preserve">Corsica</t>
  </si>
  <si>
    <t xml:space="preserve">Grand Est</t>
  </si>
  <si>
    <t xml:space="preserve">Hauts-de-France</t>
  </si>
  <si>
    <t xml:space="preserve">Normandy</t>
  </si>
  <si>
    <t xml:space="preserve">Nouvelle-Aquitaine</t>
  </si>
  <si>
    <t xml:space="preserve">Occitanie</t>
  </si>
  <si>
    <t xml:space="preserve">Pays de la Loire</t>
  </si>
  <si>
    <t xml:space="preserve">Provence-Alpes-Côte d'Azur</t>
  </si>
  <si>
    <t xml:space="preserve">Marseille</t>
  </si>
  <si>
    <t xml:space="preserve">Nice</t>
  </si>
  <si>
    <t xml:space="preserve">Île-de-France</t>
  </si>
  <si>
    <t xml:space="preserve">Paris</t>
  </si>
  <si>
    <t xml:space="preserve">Albania</t>
  </si>
  <si>
    <t xml:space="preserve">ALB</t>
  </si>
  <si>
    <t xml:space="preserve">CEE (Central &amp; Eastern Europe), Balkans, Southeast Europe</t>
  </si>
  <si>
    <t xml:space="preserve">Andorra</t>
  </si>
  <si>
    <t xml:space="preserve">AND</t>
  </si>
  <si>
    <t xml:space="preserve">Western Europe, Southern Europe</t>
  </si>
  <si>
    <t xml:space="preserve">Armenia</t>
  </si>
  <si>
    <t xml:space="preserve">ARM</t>
  </si>
  <si>
    <t xml:space="preserve">CEE (Central &amp; Eastern Europe), Caucasus, CIS (Commonwealth of Independent States), UN LLDC</t>
  </si>
  <si>
    <t xml:space="preserve">Asia</t>
  </si>
  <si>
    <t xml:space="preserve">Western Asia</t>
  </si>
  <si>
    <t xml:space="preserve">Austria</t>
  </si>
  <si>
    <t xml:space="preserve">AUT</t>
  </si>
  <si>
    <t xml:space="preserve">Western Europe, DACH, European Union, Central Europe, OECD</t>
  </si>
  <si>
    <t xml:space="preserve">Burgenland</t>
  </si>
  <si>
    <t xml:space="preserve">Carinthia</t>
  </si>
  <si>
    <t xml:space="preserve">Lower Austria</t>
  </si>
  <si>
    <t xml:space="preserve">Salzburg</t>
  </si>
  <si>
    <t xml:space="preserve">Styria</t>
  </si>
  <si>
    <t xml:space="preserve">Tyrol</t>
  </si>
  <si>
    <t xml:space="preserve">Upper Austria</t>
  </si>
  <si>
    <t xml:space="preserve">Vienna (state)</t>
  </si>
  <si>
    <t xml:space="preserve">Vorarlberg</t>
  </si>
  <si>
    <t xml:space="preserve">Vienna</t>
  </si>
  <si>
    <t xml:space="preserve">Azerbaijan</t>
  </si>
  <si>
    <t xml:space="preserve">AZE</t>
  </si>
  <si>
    <t xml:space="preserve">Belarus</t>
  </si>
  <si>
    <t xml:space="preserve">BLR</t>
  </si>
  <si>
    <t xml:space="preserve">CEE (Central &amp; Eastern Europe), CIS (Commonwealth of Independent States), Eastern Europe</t>
  </si>
  <si>
    <t xml:space="preserve">Belgium</t>
  </si>
  <si>
    <t xml:space="preserve">BEL</t>
  </si>
  <si>
    <t xml:space="preserve">Western Europe, Benelux, European Union, OECD</t>
  </si>
  <si>
    <t xml:space="preserve">Brussels-Capital Region</t>
  </si>
  <si>
    <t xml:space="preserve">Flanders</t>
  </si>
  <si>
    <t xml:space="preserve">Wallonia</t>
  </si>
  <si>
    <t xml:space="preserve">Antwerp</t>
  </si>
  <si>
    <t xml:space="preserve">Brussels</t>
  </si>
  <si>
    <t xml:space="preserve">Bosnia and Herzegovina</t>
  </si>
  <si>
    <t xml:space="preserve">BIH</t>
  </si>
  <si>
    <t xml:space="preserve">Bulgaria</t>
  </si>
  <si>
    <t xml:space="preserve">BGR</t>
  </si>
  <si>
    <t xml:space="preserve">CEE (Central &amp; Eastern Europe), Balkans, Eastern Europe, European Union, Southeast Europe</t>
  </si>
  <si>
    <t xml:space="preserve">Croatia</t>
  </si>
  <si>
    <t xml:space="preserve">HRV</t>
  </si>
  <si>
    <t xml:space="preserve">CEE (Central &amp; Eastern Europe), Balkans, European Union, Southeast Europe</t>
  </si>
  <si>
    <t xml:space="preserve">Cyprus</t>
  </si>
  <si>
    <t xml:space="preserve">CYP</t>
  </si>
  <si>
    <t xml:space="preserve">Western Europe, Southern Europe, European Union</t>
  </si>
  <si>
    <t xml:space="preserve">Czech Republic</t>
  </si>
  <si>
    <t xml:space="preserve">CZE</t>
  </si>
  <si>
    <t xml:space="preserve">CEE (Central &amp; Eastern Europe), Eastern Europe, European Union, Central Europe, OECD</t>
  </si>
  <si>
    <t xml:space="preserve">Prague</t>
  </si>
  <si>
    <t xml:space="preserve">Denmark</t>
  </si>
  <si>
    <t xml:space="preserve">DNK</t>
  </si>
  <si>
    <t xml:space="preserve">Western Europe, Nordics, European Union, Scandinavia, Northern Europe, OECD</t>
  </si>
  <si>
    <t xml:space="preserve">Copenhagen</t>
  </si>
  <si>
    <t xml:space="preserve">Estonia</t>
  </si>
  <si>
    <t xml:space="preserve">EST</t>
  </si>
  <si>
    <t xml:space="preserve">CEE (Central &amp; Eastern Europe), Baltics, European Union, Northern Europe, OECD</t>
  </si>
  <si>
    <t xml:space="preserve">Faroe Islands</t>
  </si>
  <si>
    <t xml:space="preserve">FRO</t>
  </si>
  <si>
    <t xml:space="preserve">Finland</t>
  </si>
  <si>
    <t xml:space="preserve">FIN</t>
  </si>
  <si>
    <t xml:space="preserve">Western Europe, Nordics, European Union, Northern Europe, OECD</t>
  </si>
  <si>
    <t xml:space="preserve">Helsinki</t>
  </si>
  <si>
    <t xml:space="preserve">Georgia (Country)</t>
  </si>
  <si>
    <t xml:space="preserve">GEO</t>
  </si>
  <si>
    <t xml:space="preserve">CEE (Central &amp; Eastern Europe), Caucasus</t>
  </si>
  <si>
    <t xml:space="preserve">The country. The US state is 'Georgia'</t>
  </si>
  <si>
    <t xml:space="preserve">Gibraltar</t>
  </si>
  <si>
    <t xml:space="preserve">GIB</t>
  </si>
  <si>
    <t xml:space="preserve">Greece</t>
  </si>
  <si>
    <t xml:space="preserve">GRC</t>
  </si>
  <si>
    <t xml:space="preserve">Western Europe, Southern Europe, European Union, Southeast Europe, OECD</t>
  </si>
  <si>
    <t xml:space="preserve">Athens</t>
  </si>
  <si>
    <t xml:space="preserve">Guernsey</t>
  </si>
  <si>
    <t xml:space="preserve">GGY</t>
  </si>
  <si>
    <t xml:space="preserve">Western Europe, UK and Ireland</t>
  </si>
  <si>
    <t xml:space="preserve">Hungary</t>
  </si>
  <si>
    <t xml:space="preserve">HUN</t>
  </si>
  <si>
    <t xml:space="preserve">Budapest</t>
  </si>
  <si>
    <t xml:space="preserve">Iceland</t>
  </si>
  <si>
    <t xml:space="preserve">ISL</t>
  </si>
  <si>
    <t xml:space="preserve">Western Europe, Nordics, Northern Europe, OECD</t>
  </si>
  <si>
    <t xml:space="preserve">Ireland</t>
  </si>
  <si>
    <t xml:space="preserve">IRL</t>
  </si>
  <si>
    <t xml:space="preserve">Western Europe, UK and Ireland, European Union, Northern Europe, OECD</t>
  </si>
  <si>
    <t xml:space="preserve">Connacht</t>
  </si>
  <si>
    <t xml:space="preserve">Leinster</t>
  </si>
  <si>
    <t xml:space="preserve">Munster</t>
  </si>
  <si>
    <t xml:space="preserve">Ulster (Ireland)</t>
  </si>
  <si>
    <t xml:space="preserve">Dublin</t>
  </si>
  <si>
    <t xml:space="preserve">Isle of Man</t>
  </si>
  <si>
    <t xml:space="preserve">IMN</t>
  </si>
  <si>
    <t xml:space="preserve">Italy</t>
  </si>
  <si>
    <t xml:space="preserve">ITA</t>
  </si>
  <si>
    <t xml:space="preserve">Western Europe, Southern Europe, European Union, G7, OECD</t>
  </si>
  <si>
    <t xml:space="preserve">Abruzzo</t>
  </si>
  <si>
    <t xml:space="preserve">Aosta Valley</t>
  </si>
  <si>
    <t xml:space="preserve">Apulia</t>
  </si>
  <si>
    <t xml:space="preserve">Basilicata</t>
  </si>
  <si>
    <t xml:space="preserve">Calabria</t>
  </si>
  <si>
    <t xml:space="preserve">Campania</t>
  </si>
  <si>
    <t xml:space="preserve">Emilia-Romagna</t>
  </si>
  <si>
    <t xml:space="preserve">Friuli-Venezia Giulia</t>
  </si>
  <si>
    <t xml:space="preserve">Lazio</t>
  </si>
  <si>
    <t xml:space="preserve">Liguria</t>
  </si>
  <si>
    <t xml:space="preserve">Lombardy</t>
  </si>
  <si>
    <t xml:space="preserve">Marche</t>
  </si>
  <si>
    <t xml:space="preserve">Molise</t>
  </si>
  <si>
    <t xml:space="preserve">Piedmont</t>
  </si>
  <si>
    <t xml:space="preserve">Sardinia</t>
  </si>
  <si>
    <t xml:space="preserve">Sicily</t>
  </si>
  <si>
    <t xml:space="preserve">Trentino-Alto Adige</t>
  </si>
  <si>
    <t xml:space="preserve">Tuscany</t>
  </si>
  <si>
    <t xml:space="preserve">Umbria</t>
  </si>
  <si>
    <t xml:space="preserve">Veneto</t>
  </si>
  <si>
    <t xml:space="preserve">Milan</t>
  </si>
  <si>
    <t xml:space="preserve">Rome</t>
  </si>
  <si>
    <t xml:space="preserve">Jersey</t>
  </si>
  <si>
    <t xml:space="preserve">JEY</t>
  </si>
  <si>
    <t xml:space="preserve">Kazakhstan</t>
  </si>
  <si>
    <t xml:space="preserve">KAZ</t>
  </si>
  <si>
    <t xml:space="preserve">CEE (Central &amp; Eastern Europe), Central Asia, CIS (Commonwealth of Independent States), UN LLDC</t>
  </si>
  <si>
    <t xml:space="preserve">Kosovo</t>
  </si>
  <si>
    <t xml:space="preserve">XKX</t>
  </si>
  <si>
    <t xml:space="preserve">Kyrgyzstan</t>
  </si>
  <si>
    <t xml:space="preserve">KGZ</t>
  </si>
  <si>
    <t xml:space="preserve">Latvia</t>
  </si>
  <si>
    <t xml:space="preserve">LVA</t>
  </si>
  <si>
    <t xml:space="preserve">Liechtenstein</t>
  </si>
  <si>
    <t xml:space="preserve">LIE</t>
  </si>
  <si>
    <t xml:space="preserve">Western Europe, Central Europe</t>
  </si>
  <si>
    <t xml:space="preserve">Lithuania</t>
  </si>
  <si>
    <t xml:space="preserve">LTU</t>
  </si>
  <si>
    <t xml:space="preserve">Luxembourg</t>
  </si>
  <si>
    <t xml:space="preserve">LUX</t>
  </si>
  <si>
    <t xml:space="preserve">Luxembourg City</t>
  </si>
  <si>
    <t xml:space="preserve">Malta</t>
  </si>
  <si>
    <t xml:space="preserve">MLT</t>
  </si>
  <si>
    <t xml:space="preserve">Middle East, North Africa, Afghanistan and Pakistan</t>
  </si>
  <si>
    <t xml:space="preserve">Moldova</t>
  </si>
  <si>
    <t xml:space="preserve">MDA</t>
  </si>
  <si>
    <t xml:space="preserve">CEE (Central &amp; Eastern Europe), CIS (Commonwealth of Independent States), Eastern Europe, UN LLDC</t>
  </si>
  <si>
    <t xml:space="preserve">Monaco</t>
  </si>
  <si>
    <t xml:space="preserve">MCO</t>
  </si>
  <si>
    <t xml:space="preserve">Montenegro</t>
  </si>
  <si>
    <t xml:space="preserve">MNE</t>
  </si>
  <si>
    <t xml:space="preserve">Netherlands</t>
  </si>
  <si>
    <t xml:space="preserve">NLD</t>
  </si>
  <si>
    <t xml:space="preserve">Drenthe</t>
  </si>
  <si>
    <t xml:space="preserve">Flevoland</t>
  </si>
  <si>
    <t xml:space="preserve">Friesland</t>
  </si>
  <si>
    <t xml:space="preserve">Gelderland</t>
  </si>
  <si>
    <t xml:space="preserve">Groningen</t>
  </si>
  <si>
    <t xml:space="preserve">Limburg (Netherlands)</t>
  </si>
  <si>
    <t xml:space="preserve">North Brabant</t>
  </si>
  <si>
    <t xml:space="preserve">North Holland</t>
  </si>
  <si>
    <t xml:space="preserve">Overijssel</t>
  </si>
  <si>
    <t xml:space="preserve">South Holland</t>
  </si>
  <si>
    <t xml:space="preserve">Utrecht</t>
  </si>
  <si>
    <t xml:space="preserve">Zeeland</t>
  </si>
  <si>
    <t xml:space="preserve">Amsterdam</t>
  </si>
  <si>
    <t xml:space="preserve">Rotterdam</t>
  </si>
  <si>
    <t xml:space="preserve">North Macedonia</t>
  </si>
  <si>
    <t xml:space="preserve">MKD</t>
  </si>
  <si>
    <t xml:space="preserve">CEE (Central &amp; Eastern Europe), Balkans, Southeast Europe, UN LLDC</t>
  </si>
  <si>
    <t xml:space="preserve">Norway</t>
  </si>
  <si>
    <t xml:space="preserve">NOR</t>
  </si>
  <si>
    <t xml:space="preserve">Western Europe, Nordics, Scandinavia, Northern Europe, OECD</t>
  </si>
  <si>
    <t xml:space="preserve">Oslo</t>
  </si>
  <si>
    <t xml:space="preserve">Poland</t>
  </si>
  <si>
    <t xml:space="preserve">POL</t>
  </si>
  <si>
    <t xml:space="preserve">Greater Poland</t>
  </si>
  <si>
    <t xml:space="preserve">Voivodeship</t>
  </si>
  <si>
    <t xml:space="preserve">Holy Cross</t>
  </si>
  <si>
    <t xml:space="preserve">Kuyavian-Pomeranian</t>
  </si>
  <si>
    <t xml:space="preserve">Lesser Poland</t>
  </si>
  <si>
    <t xml:space="preserve">Lower Silesian</t>
  </si>
  <si>
    <t xml:space="preserve">Lublin</t>
  </si>
  <si>
    <t xml:space="preserve">Lubusz</t>
  </si>
  <si>
    <t xml:space="preserve">Masovian</t>
  </si>
  <si>
    <t xml:space="preserve">Opole</t>
  </si>
  <si>
    <t xml:space="preserve">Podlaskie</t>
  </si>
  <si>
    <t xml:space="preserve">Pomeranian</t>
  </si>
  <si>
    <t xml:space="preserve">Silesian</t>
  </si>
  <si>
    <t xml:space="preserve">Subcarpathian</t>
  </si>
  <si>
    <t xml:space="preserve">Warmian-Masurian</t>
  </si>
  <si>
    <t xml:space="preserve">West Pomeranian</t>
  </si>
  <si>
    <t xml:space="preserve">Warsaw</t>
  </si>
  <si>
    <t xml:space="preserve">Łódź</t>
  </si>
  <si>
    <t xml:space="preserve">Portugal</t>
  </si>
  <si>
    <t xml:space="preserve">PRT</t>
  </si>
  <si>
    <t xml:space="preserve">Western Europe, Iberia, Southern Europe, European Union, OECD</t>
  </si>
  <si>
    <t xml:space="preserve">Lisbon</t>
  </si>
  <si>
    <t xml:space="preserve">Romania</t>
  </si>
  <si>
    <t xml:space="preserve">ROU</t>
  </si>
  <si>
    <t xml:space="preserve">CEE (Central &amp; Eastern Europe), Eastern Europe, European Union, Southeast Europe</t>
  </si>
  <si>
    <t xml:space="preserve">Bucharest</t>
  </si>
  <si>
    <t xml:space="preserve">Russia</t>
  </si>
  <si>
    <t xml:space="preserve">RUS</t>
  </si>
  <si>
    <t xml:space="preserve">CEE (Central &amp; Eastern Europe), CIS (Commonwealth of Independent States), Eastern Europe, BRIC, BRICS</t>
  </si>
  <si>
    <t xml:space="preserve">Moscow</t>
  </si>
  <si>
    <t xml:space="preserve">St. Petersburg</t>
  </si>
  <si>
    <t xml:space="preserve">San Marino</t>
  </si>
  <si>
    <t xml:space="preserve">SMR</t>
  </si>
  <si>
    <t xml:space="preserve">Serbia</t>
  </si>
  <si>
    <t xml:space="preserve">SRB</t>
  </si>
  <si>
    <t xml:space="preserve">Belgrade</t>
  </si>
  <si>
    <t xml:space="preserve">Slovakia</t>
  </si>
  <si>
    <t xml:space="preserve">SVK</t>
  </si>
  <si>
    <t xml:space="preserve">Slovenia</t>
  </si>
  <si>
    <t xml:space="preserve">SVN</t>
  </si>
  <si>
    <t xml:space="preserve">CEE (Central &amp; Eastern Europe), Balkans, European Union, Central Europe, Southeast Europe, OECD</t>
  </si>
  <si>
    <t xml:space="preserve">Spain</t>
  </si>
  <si>
    <t xml:space="preserve">ESP</t>
  </si>
  <si>
    <t xml:space="preserve">Andalusia</t>
  </si>
  <si>
    <t xml:space="preserve">Autonomous community</t>
  </si>
  <si>
    <t xml:space="preserve">Aragon</t>
  </si>
  <si>
    <t xml:space="preserve">Asturias</t>
  </si>
  <si>
    <t xml:space="preserve">Balearic Islands</t>
  </si>
  <si>
    <t xml:space="preserve">Basque Country</t>
  </si>
  <si>
    <t xml:space="preserve">Canary Islands</t>
  </si>
  <si>
    <t xml:space="preserve">Cantabria</t>
  </si>
  <si>
    <t xml:space="preserve">Castile and León</t>
  </si>
  <si>
    <t xml:space="preserve">Castilla–La Mancha</t>
  </si>
  <si>
    <t xml:space="preserve">Catalonia</t>
  </si>
  <si>
    <t xml:space="preserve">Ceuta</t>
  </si>
  <si>
    <t xml:space="preserve">Community of Madrid</t>
  </si>
  <si>
    <t xml:space="preserve">Extremadura</t>
  </si>
  <si>
    <t xml:space="preserve">Galicia</t>
  </si>
  <si>
    <t xml:space="preserve">La Rioja</t>
  </si>
  <si>
    <t xml:space="preserve">Melilla</t>
  </si>
  <si>
    <t xml:space="preserve">Navarre</t>
  </si>
  <si>
    <t xml:space="preserve">Region of Murcia</t>
  </si>
  <si>
    <t xml:space="preserve">Valencian Community</t>
  </si>
  <si>
    <t xml:space="preserve">Barcelona</t>
  </si>
  <si>
    <t xml:space="preserve">Madrid</t>
  </si>
  <si>
    <t xml:space="preserve">Svalbard and Jan Mayen</t>
  </si>
  <si>
    <t xml:space="preserve">SJM</t>
  </si>
  <si>
    <t xml:space="preserve">Sweden</t>
  </si>
  <si>
    <t xml:space="preserve">SWE</t>
  </si>
  <si>
    <t xml:space="preserve">Stockholm</t>
  </si>
  <si>
    <t xml:space="preserve">Switzerland</t>
  </si>
  <si>
    <t xml:space="preserve">CHE</t>
  </si>
  <si>
    <t xml:space="preserve">Western Europe, DACH, Central Europe, OECD</t>
  </si>
  <si>
    <t xml:space="preserve">Aargau</t>
  </si>
  <si>
    <t xml:space="preserve">Canton</t>
  </si>
  <si>
    <t xml:space="preserve">Appenzell Ausserrhoden</t>
  </si>
  <si>
    <t xml:space="preserve">Appenzell Innerrhoden</t>
  </si>
  <si>
    <t xml:space="preserve">Basel-Landschaft</t>
  </si>
  <si>
    <t xml:space="preserve">Basel-Stadt</t>
  </si>
  <si>
    <t xml:space="preserve">Bern</t>
  </si>
  <si>
    <t xml:space="preserve">Fribourg</t>
  </si>
  <si>
    <t xml:space="preserve">Geneva (canton)</t>
  </si>
  <si>
    <t xml:space="preserve">Glarus</t>
  </si>
  <si>
    <t xml:space="preserve">Graubünden</t>
  </si>
  <si>
    <t xml:space="preserve">Jura</t>
  </si>
  <si>
    <t xml:space="preserve">Lucerne</t>
  </si>
  <si>
    <t xml:space="preserve">Neuchâtel</t>
  </si>
  <si>
    <t xml:space="preserve">Nidwalden</t>
  </si>
  <si>
    <t xml:space="preserve">Obwalden</t>
  </si>
  <si>
    <t xml:space="preserve">Schaffhausen</t>
  </si>
  <si>
    <t xml:space="preserve">Schwyz</t>
  </si>
  <si>
    <t xml:space="preserve">Solothurn</t>
  </si>
  <si>
    <t xml:space="preserve">St. Gallen</t>
  </si>
  <si>
    <t xml:space="preserve">Thurgau</t>
  </si>
  <si>
    <t xml:space="preserve">Ticino</t>
  </si>
  <si>
    <t xml:space="preserve">Uri</t>
  </si>
  <si>
    <t xml:space="preserve">Valais</t>
  </si>
  <si>
    <t xml:space="preserve">Vaud</t>
  </si>
  <si>
    <t xml:space="preserve">Zug</t>
  </si>
  <si>
    <t xml:space="preserve">Zurich (canton)</t>
  </si>
  <si>
    <t xml:space="preserve">Geneva</t>
  </si>
  <si>
    <t xml:space="preserve">Zurich</t>
  </si>
  <si>
    <t xml:space="preserve">Tajikistan</t>
  </si>
  <si>
    <t xml:space="preserve">TJK</t>
  </si>
  <si>
    <t xml:space="preserve">Turkmenistan</t>
  </si>
  <si>
    <t xml:space="preserve">TKM</t>
  </si>
  <si>
    <t xml:space="preserve">CEE (Central &amp; Eastern Europe), Central Asia, UN LLDC</t>
  </si>
  <si>
    <t xml:space="preserve">Türkiye</t>
  </si>
  <si>
    <t xml:space="preserve">TUR</t>
  </si>
  <si>
    <t xml:space="preserve">CEE (Central &amp; Eastern Europe), OECD</t>
  </si>
  <si>
    <t xml:space="preserve">Ankara</t>
  </si>
  <si>
    <t xml:space="preserve">Istanbul</t>
  </si>
  <si>
    <t xml:space="preserve">Ukraine</t>
  </si>
  <si>
    <t xml:space="preserve">UKR</t>
  </si>
  <si>
    <t xml:space="preserve">CEE (Central &amp; Eastern Europe), Eastern Europe</t>
  </si>
  <si>
    <t xml:space="preserve">Kyiv</t>
  </si>
  <si>
    <t xml:space="preserve">Uzbekistan</t>
  </si>
  <si>
    <t xml:space="preserve">UZB</t>
  </si>
  <si>
    <t xml:space="preserve">Vatican City</t>
  </si>
  <si>
    <t xml:space="preserve">VAT</t>
  </si>
  <si>
    <t xml:space="preserve">Åland Islands</t>
  </si>
  <si>
    <t xml:space="preserve">ALA</t>
  </si>
  <si>
    <t xml:space="preserve">Middle East</t>
  </si>
  <si>
    <t xml:space="preserve">GCC (Gulf Cooperation Council)</t>
  </si>
  <si>
    <t xml:space="preserve">Members: United Arab Emirates, Saudi Arabia, Qatar, Kuwait, Bahrain, Oman</t>
  </si>
  <si>
    <t xml:space="preserve">Levant</t>
  </si>
  <si>
    <t xml:space="preserve">Members: Israel, Jordan, Lebanon, Palestine, Syria</t>
  </si>
  <si>
    <t xml:space="preserve">United Arab Emirates</t>
  </si>
  <si>
    <t xml:space="preserve">ARE</t>
  </si>
  <si>
    <t xml:space="preserve">GCC (Gulf Cooperation Council), BRICS</t>
  </si>
  <si>
    <t xml:space="preserve">Abu Dhabi</t>
  </si>
  <si>
    <t xml:space="preserve">Emirate</t>
  </si>
  <si>
    <t xml:space="preserve">Ajman</t>
  </si>
  <si>
    <t xml:space="preserve">Dubai</t>
  </si>
  <si>
    <t xml:space="preserve">Fujairah</t>
  </si>
  <si>
    <t xml:space="preserve">Ras Al Khaimah</t>
  </si>
  <si>
    <t xml:space="preserve">Sharjah</t>
  </si>
  <si>
    <t xml:space="preserve">Umm Al Quwain</t>
  </si>
  <si>
    <t xml:space="preserve">Saudi Arabia</t>
  </si>
  <si>
    <t xml:space="preserve">SAU</t>
  </si>
  <si>
    <t xml:space="preserve">Al Bahah Province</t>
  </si>
  <si>
    <t xml:space="preserve">Al Jawf Province</t>
  </si>
  <si>
    <t xml:space="preserve">Asir Province</t>
  </si>
  <si>
    <t xml:space="preserve">Eastern Province</t>
  </si>
  <si>
    <t xml:space="preserve">Dammam</t>
  </si>
  <si>
    <t xml:space="preserve">Hail Province</t>
  </si>
  <si>
    <t xml:space="preserve">Jazan Province</t>
  </si>
  <si>
    <t xml:space="preserve">Mecca Province</t>
  </si>
  <si>
    <t xml:space="preserve">Jeddah</t>
  </si>
  <si>
    <t xml:space="preserve">Medina Province</t>
  </si>
  <si>
    <t xml:space="preserve">Najran Province</t>
  </si>
  <si>
    <t xml:space="preserve">Northern Borders Province</t>
  </si>
  <si>
    <t xml:space="preserve">Qassim Province</t>
  </si>
  <si>
    <t xml:space="preserve">Riyadh Province</t>
  </si>
  <si>
    <t xml:space="preserve">Tabuk Province</t>
  </si>
  <si>
    <t xml:space="preserve">Bahrain</t>
  </si>
  <si>
    <t xml:space="preserve">BHR</t>
  </si>
  <si>
    <t xml:space="preserve">Iran</t>
  </si>
  <si>
    <t xml:space="preserve">IRN</t>
  </si>
  <si>
    <t xml:space="preserve">BRICS</t>
  </si>
  <si>
    <t xml:space="preserve">Southern Asia</t>
  </si>
  <si>
    <t xml:space="preserve">Iraq</t>
  </si>
  <si>
    <t xml:space="preserve">IRQ</t>
  </si>
  <si>
    <t xml:space="preserve">Israel</t>
  </si>
  <si>
    <t xml:space="preserve">ISR</t>
  </si>
  <si>
    <t xml:space="preserve">Levant, OECD</t>
  </si>
  <si>
    <t xml:space="preserve">Jerusalem</t>
  </si>
  <si>
    <t xml:space="preserve">Tel Aviv</t>
  </si>
  <si>
    <t xml:space="preserve">Jordan</t>
  </si>
  <si>
    <t xml:space="preserve">JOR</t>
  </si>
  <si>
    <t xml:space="preserve">Kuwait</t>
  </si>
  <si>
    <t xml:space="preserve">KWT</t>
  </si>
  <si>
    <t xml:space="preserve">Kuwait City</t>
  </si>
  <si>
    <t xml:space="preserve">Lebanon</t>
  </si>
  <si>
    <t xml:space="preserve">LBN</t>
  </si>
  <si>
    <t xml:space="preserve">Oman</t>
  </si>
  <si>
    <t xml:space="preserve">OMN</t>
  </si>
  <si>
    <t xml:space="preserve">Palestine</t>
  </si>
  <si>
    <t xml:space="preserve">PSE</t>
  </si>
  <si>
    <t xml:space="preserve">Qatar</t>
  </si>
  <si>
    <t xml:space="preserve">QAT</t>
  </si>
  <si>
    <t xml:space="preserve">Doha</t>
  </si>
  <si>
    <t xml:space="preserve">Syria</t>
  </si>
  <si>
    <t xml:space="preserve">SYR</t>
  </si>
  <si>
    <t xml:space="preserve">Low income</t>
  </si>
  <si>
    <t xml:space="preserve">Yemen</t>
  </si>
  <si>
    <t xml:space="preserve">YEM</t>
  </si>
  <si>
    <t xml:space="preserve">UN LDC</t>
  </si>
  <si>
    <t xml:space="preserve">Africa</t>
  </si>
  <si>
    <t xml:space="preserve">Central Africa</t>
  </si>
  <si>
    <t xml:space="preserve">Sub-Saharan Africa (SSA)</t>
  </si>
  <si>
    <t xml:space="preserve">Members: Angola, Cameroon, Central African Republic, Chad, Republic of the Congo, Democratic Republic of the Congo (DRC), Equatorial Guinea, Gabon, Sao Tome and Principe</t>
  </si>
  <si>
    <t xml:space="preserve">East Africa</t>
  </si>
  <si>
    <t xml:space="preserve">Members: Burundi, Comoros, Djibouti, Eritrea, Ethiopia, Kenya, Madagascar, Malawi, Mauritius, Mayotte, Mozambique, Réunion, Rwanda, Seychelles, Somalia, South Sudan, Tanzania, Uganda, Zambia, Zimbabwe</t>
  </si>
  <si>
    <t xml:space="preserve">Maghreb</t>
  </si>
  <si>
    <t xml:space="preserve">North Africa</t>
  </si>
  <si>
    <t xml:space="preserve">Morocco, Algeria, Tunisia, Libya (+ Mauritania, which sits in SSA)</t>
  </si>
  <si>
    <t xml:space="preserve">Algeria, Egypt, Libya, Morocco, Sudan, Tunisia, Western Sahara (UN M49 Northern Africa)</t>
  </si>
  <si>
    <t xml:space="preserve">Southern Africa</t>
  </si>
  <si>
    <t xml:space="preserve">Members: Botswana, Eswatini, Lesotho, Namibia, South Africa</t>
  </si>
  <si>
    <t xml:space="preserve">All of Africa except North Africa (UN M49 definition)</t>
  </si>
  <si>
    <t xml:space="preserve">West Africa</t>
  </si>
  <si>
    <t xml:space="preserve">Members: Benin, Burkina Faso, Cabo Verde, Côte d'Ivoire (Ivory Coast), Gambia, Ghana, Guinea, Guinea-Bissau, Liberia, Mali, Mauritania, Niger, Nigeria, Senegal, Sierra Leone, Togo, Saint Helena, Ascension and Tristan da Cunha</t>
  </si>
  <si>
    <t xml:space="preserve">South Africa</t>
  </si>
  <si>
    <t xml:space="preserve">ZAF</t>
  </si>
  <si>
    <t xml:space="preserve">Sub-Saharan Africa (SSA), Southern Africa, BRICS</t>
  </si>
  <si>
    <t xml:space="preserve">Sub-Saharan Africa</t>
  </si>
  <si>
    <t xml:space="preserve">Eastern Cape</t>
  </si>
  <si>
    <t xml:space="preserve">Free State</t>
  </si>
  <si>
    <t xml:space="preserve">Gauteng</t>
  </si>
  <si>
    <t xml:space="preserve">Johannesburg</t>
  </si>
  <si>
    <t xml:space="preserve">Pretoria</t>
  </si>
  <si>
    <t xml:space="preserve">KwaZulu-Natal</t>
  </si>
  <si>
    <t xml:space="preserve">Durban</t>
  </si>
  <si>
    <t xml:space="preserve">Limpopo</t>
  </si>
  <si>
    <t xml:space="preserve">Mpumalanga</t>
  </si>
  <si>
    <t xml:space="preserve">North West</t>
  </si>
  <si>
    <t xml:space="preserve">Northern Cape</t>
  </si>
  <si>
    <t xml:space="preserve">Western Cape</t>
  </si>
  <si>
    <t xml:space="preserve">Cape Town</t>
  </si>
  <si>
    <t xml:space="preserve">Nigeria</t>
  </si>
  <si>
    <t xml:space="preserve">NGA</t>
  </si>
  <si>
    <t xml:space="preserve">Sub-Saharan Africa (SSA), West Africa</t>
  </si>
  <si>
    <t xml:space="preserve">Western Africa</t>
  </si>
  <si>
    <t xml:space="preserve">Abia</t>
  </si>
  <si>
    <t xml:space="preserve">Adamawa</t>
  </si>
  <si>
    <t xml:space="preserve">Akwa Ibom</t>
  </si>
  <si>
    <t xml:space="preserve">Anambra</t>
  </si>
  <si>
    <t xml:space="preserve">Bauchi</t>
  </si>
  <si>
    <t xml:space="preserve">Bayelsa</t>
  </si>
  <si>
    <t xml:space="preserve">Benue</t>
  </si>
  <si>
    <t xml:space="preserve">Borno</t>
  </si>
  <si>
    <t xml:space="preserve">Cross River</t>
  </si>
  <si>
    <t xml:space="preserve">Delta</t>
  </si>
  <si>
    <t xml:space="preserve">Ebonyi</t>
  </si>
  <si>
    <t xml:space="preserve">Edo</t>
  </si>
  <si>
    <t xml:space="preserve">Ekiti</t>
  </si>
  <si>
    <t xml:space="preserve">Enugu</t>
  </si>
  <si>
    <t xml:space="preserve">Federal Capital Territory (Abuja)</t>
  </si>
  <si>
    <t xml:space="preserve">Capital territory</t>
  </si>
  <si>
    <t xml:space="preserve">Gombe</t>
  </si>
  <si>
    <t xml:space="preserve">Imo</t>
  </si>
  <si>
    <t xml:space="preserve">Jigawa</t>
  </si>
  <si>
    <t xml:space="preserve">Kaduna</t>
  </si>
  <si>
    <t xml:space="preserve">Kano</t>
  </si>
  <si>
    <t xml:space="preserve">Katsina</t>
  </si>
  <si>
    <t xml:space="preserve">Kebbi</t>
  </si>
  <si>
    <t xml:space="preserve">Kogi</t>
  </si>
  <si>
    <t xml:space="preserve">Kwara</t>
  </si>
  <si>
    <t xml:space="preserve">Lagos</t>
  </si>
  <si>
    <t xml:space="preserve">Nasarawa</t>
  </si>
  <si>
    <t xml:space="preserve">Niger State</t>
  </si>
  <si>
    <t xml:space="preserve">Ogun</t>
  </si>
  <si>
    <t xml:space="preserve">Ondo</t>
  </si>
  <si>
    <t xml:space="preserve">Osun</t>
  </si>
  <si>
    <t xml:space="preserve">Oyo</t>
  </si>
  <si>
    <t xml:space="preserve">Plateau</t>
  </si>
  <si>
    <t xml:space="preserve">Rivers</t>
  </si>
  <si>
    <t xml:space="preserve">Sokoto</t>
  </si>
  <si>
    <t xml:space="preserve">Taraba</t>
  </si>
  <si>
    <t xml:space="preserve">Yobe</t>
  </si>
  <si>
    <t xml:space="preserve">Zamfara</t>
  </si>
  <si>
    <t xml:space="preserve">Algeria</t>
  </si>
  <si>
    <t xml:space="preserve">DZA</t>
  </si>
  <si>
    <t xml:space="preserve">North Africa, Maghreb</t>
  </si>
  <si>
    <t xml:space="preserve">Northern Africa</t>
  </si>
  <si>
    <t xml:space="preserve">Angola</t>
  </si>
  <si>
    <t xml:space="preserve">AGO</t>
  </si>
  <si>
    <t xml:space="preserve">Sub-Saharan Africa (SSA), Central Africa, UN LDC</t>
  </si>
  <si>
    <t xml:space="preserve">Middle Africa</t>
  </si>
  <si>
    <t xml:space="preserve">Benin</t>
  </si>
  <si>
    <t xml:space="preserve">BEN</t>
  </si>
  <si>
    <t xml:space="preserve">Sub-Saharan Africa (SSA), West Africa, UN LDC</t>
  </si>
  <si>
    <t xml:space="preserve">Botswana</t>
  </si>
  <si>
    <t xml:space="preserve">BWA</t>
  </si>
  <si>
    <t xml:space="preserve">Sub-Saharan Africa (SSA), Southern Africa, UN LLDC</t>
  </si>
  <si>
    <t xml:space="preserve">Burkina Faso</t>
  </si>
  <si>
    <t xml:space="preserve">BFA</t>
  </si>
  <si>
    <t xml:space="preserve">Sub-Saharan Africa (SSA), West Africa, UN LDC, UN LLDC</t>
  </si>
  <si>
    <t xml:space="preserve">Burundi</t>
  </si>
  <si>
    <t xml:space="preserve">BDI</t>
  </si>
  <si>
    <t xml:space="preserve">Sub-Saharan Africa (SSA), East Africa, UN LDC, UN LLDC</t>
  </si>
  <si>
    <t xml:space="preserve">Eastern Africa</t>
  </si>
  <si>
    <t xml:space="preserve">Cabo Verde</t>
  </si>
  <si>
    <t xml:space="preserve">CPV</t>
  </si>
  <si>
    <t xml:space="preserve">Sub-Saharan Africa (SSA), West Africa, UN SIDS</t>
  </si>
  <si>
    <t xml:space="preserve">Cameroon</t>
  </si>
  <si>
    <t xml:space="preserve">CMR</t>
  </si>
  <si>
    <t xml:space="preserve">Sub-Saharan Africa (SSA), Central Africa</t>
  </si>
  <si>
    <t xml:space="preserve">Central African Republic</t>
  </si>
  <si>
    <t xml:space="preserve">CAF</t>
  </si>
  <si>
    <t xml:space="preserve">Sub-Saharan Africa (SSA), Central Africa, UN LDC, UN LLDC</t>
  </si>
  <si>
    <t xml:space="preserve">Chad</t>
  </si>
  <si>
    <t xml:space="preserve">TCD</t>
  </si>
  <si>
    <t xml:space="preserve">Comoros</t>
  </si>
  <si>
    <t xml:space="preserve">COM</t>
  </si>
  <si>
    <t xml:space="preserve">Sub-Saharan Africa (SSA), East Africa, UN LDC, UN SIDS</t>
  </si>
  <si>
    <t xml:space="preserve">Côte d'Ivoire (Ivory Coast)</t>
  </si>
  <si>
    <t xml:space="preserve">CIV</t>
  </si>
  <si>
    <t xml:space="preserve">Democratic Republic of the Congo (DRC)</t>
  </si>
  <si>
    <t xml:space="preserve">COD</t>
  </si>
  <si>
    <t xml:space="preserve">Djibouti</t>
  </si>
  <si>
    <t xml:space="preserve">DJI</t>
  </si>
  <si>
    <t xml:space="preserve">Sub-Saharan Africa (SSA), East Africa, UN LDC</t>
  </si>
  <si>
    <t xml:space="preserve">Egypt</t>
  </si>
  <si>
    <t xml:space="preserve">EGY</t>
  </si>
  <si>
    <t xml:space="preserve">North Africa, BRICS</t>
  </si>
  <si>
    <t xml:space="preserve">Cairo</t>
  </si>
  <si>
    <t xml:space="preserve">Equatorial Guinea</t>
  </si>
  <si>
    <t xml:space="preserve">GNQ</t>
  </si>
  <si>
    <t xml:space="preserve">Eritrea</t>
  </si>
  <si>
    <t xml:space="preserve">ERI</t>
  </si>
  <si>
    <t xml:space="preserve">Eswatini</t>
  </si>
  <si>
    <t xml:space="preserve">SWZ</t>
  </si>
  <si>
    <t xml:space="preserve">Ethiopia</t>
  </si>
  <si>
    <t xml:space="preserve">ETH</t>
  </si>
  <si>
    <t xml:space="preserve">Sub-Saharan Africa (SSA), East Africa, BRICS, UN LDC, UN LLDC</t>
  </si>
  <si>
    <t xml:space="preserve">Gabon</t>
  </si>
  <si>
    <t xml:space="preserve">GAB</t>
  </si>
  <si>
    <t xml:space="preserve">Gambia</t>
  </si>
  <si>
    <t xml:space="preserve">GMB</t>
  </si>
  <si>
    <t xml:space="preserve">Ghana</t>
  </si>
  <si>
    <t xml:space="preserve">GHA</t>
  </si>
  <si>
    <t xml:space="preserve">Accra</t>
  </si>
  <si>
    <t xml:space="preserve">Guinea</t>
  </si>
  <si>
    <t xml:space="preserve">GIN</t>
  </si>
  <si>
    <t xml:space="preserve">Guinea-Bissau</t>
  </si>
  <si>
    <t xml:space="preserve">GNB</t>
  </si>
  <si>
    <t xml:space="preserve">Sub-Saharan Africa (SSA), West Africa, UN LDC, UN SIDS</t>
  </si>
  <si>
    <t xml:space="preserve">Kenya</t>
  </si>
  <si>
    <t xml:space="preserve">KEN</t>
  </si>
  <si>
    <t xml:space="preserve">Sub-Saharan Africa (SSA), East Africa</t>
  </si>
  <si>
    <t xml:space="preserve">Nairobi</t>
  </si>
  <si>
    <t xml:space="preserve">Lesotho</t>
  </si>
  <si>
    <t xml:space="preserve">LSO</t>
  </si>
  <si>
    <t xml:space="preserve">Sub-Saharan Africa (SSA), Southern Africa, UN LDC, UN LLDC</t>
  </si>
  <si>
    <t xml:space="preserve">Liberia</t>
  </si>
  <si>
    <t xml:space="preserve">LBR</t>
  </si>
  <si>
    <t xml:space="preserve">Libya</t>
  </si>
  <si>
    <t xml:space="preserve">LBY</t>
  </si>
  <si>
    <t xml:space="preserve">Madagascar</t>
  </si>
  <si>
    <t xml:space="preserve">MDG</t>
  </si>
  <si>
    <t xml:space="preserve">Malawi</t>
  </si>
  <si>
    <t xml:space="preserve">MWI</t>
  </si>
  <si>
    <t xml:space="preserve">Mali</t>
  </si>
  <si>
    <t xml:space="preserve">MLI</t>
  </si>
  <si>
    <t xml:space="preserve">Mauritania</t>
  </si>
  <si>
    <t xml:space="preserve">MRT</t>
  </si>
  <si>
    <t xml:space="preserve">Sub-Saharan Africa (SSA), Maghreb, West Africa, UN LDC</t>
  </si>
  <si>
    <t xml:space="preserve">Mauritius</t>
  </si>
  <si>
    <t xml:space="preserve">MUS</t>
  </si>
  <si>
    <t xml:space="preserve">Sub-Saharan Africa (SSA), East Africa, UN SIDS</t>
  </si>
  <si>
    <t xml:space="preserve">Mayotte</t>
  </si>
  <si>
    <t xml:space="preserve">MYT</t>
  </si>
  <si>
    <t xml:space="preserve">Morocco</t>
  </si>
  <si>
    <t xml:space="preserve">MAR</t>
  </si>
  <si>
    <t xml:space="preserve">Casablanca</t>
  </si>
  <si>
    <t xml:space="preserve">Mozambique</t>
  </si>
  <si>
    <t xml:space="preserve">MOZ</t>
  </si>
  <si>
    <t xml:space="preserve">Namibia</t>
  </si>
  <si>
    <t xml:space="preserve">NAM</t>
  </si>
  <si>
    <t xml:space="preserve">Sub-Saharan Africa (SSA), Southern Africa</t>
  </si>
  <si>
    <t xml:space="preserve">Niger</t>
  </si>
  <si>
    <t xml:space="preserve">NER</t>
  </si>
  <si>
    <t xml:space="preserve">Republic of the Congo</t>
  </si>
  <si>
    <t xml:space="preserve">COG</t>
  </si>
  <si>
    <t xml:space="preserve">Rwanda</t>
  </si>
  <si>
    <t xml:space="preserve">RWA</t>
  </si>
  <si>
    <t xml:space="preserve">Réunion</t>
  </si>
  <si>
    <t xml:space="preserve">REU</t>
  </si>
  <si>
    <t xml:space="preserve">Saint Helena, Ascension and Tristan da Cunha</t>
  </si>
  <si>
    <t xml:space="preserve">SHN</t>
  </si>
  <si>
    <t xml:space="preserve">Sao Tome and Principe</t>
  </si>
  <si>
    <t xml:space="preserve">STP</t>
  </si>
  <si>
    <t xml:space="preserve">Sub-Saharan Africa (SSA), Central Africa, UN LDC, UN SIDS</t>
  </si>
  <si>
    <t xml:space="preserve">Senegal</t>
  </si>
  <si>
    <t xml:space="preserve">SEN</t>
  </si>
  <si>
    <t xml:space="preserve">Seychelles</t>
  </si>
  <si>
    <t xml:space="preserve">SYC</t>
  </si>
  <si>
    <t xml:space="preserve">Sierra Leone</t>
  </si>
  <si>
    <t xml:space="preserve">SLE</t>
  </si>
  <si>
    <t xml:space="preserve">Somalia</t>
  </si>
  <si>
    <t xml:space="preserve">SOM</t>
  </si>
  <si>
    <t xml:space="preserve">South Sudan</t>
  </si>
  <si>
    <t xml:space="preserve">SSD</t>
  </si>
  <si>
    <t xml:space="preserve">Sudan</t>
  </si>
  <si>
    <t xml:space="preserve">SDN</t>
  </si>
  <si>
    <t xml:space="preserve">North Africa, UN LDC</t>
  </si>
  <si>
    <t xml:space="preserve">Tanzania</t>
  </si>
  <si>
    <t xml:space="preserve">TZA</t>
  </si>
  <si>
    <t xml:space="preserve">Togo</t>
  </si>
  <si>
    <t xml:space="preserve">TGO</t>
  </si>
  <si>
    <t xml:space="preserve">Tunisia</t>
  </si>
  <si>
    <t xml:space="preserve">TUN</t>
  </si>
  <si>
    <t xml:space="preserve">Uganda</t>
  </si>
  <si>
    <t xml:space="preserve">UGA</t>
  </si>
  <si>
    <t xml:space="preserve">Western Sahara</t>
  </si>
  <si>
    <t xml:space="preserve">ESH</t>
  </si>
  <si>
    <t xml:space="preserve">Zambia</t>
  </si>
  <si>
    <t xml:space="preserve">ZMB</t>
  </si>
  <si>
    <t xml:space="preserve">Zimbabwe</t>
  </si>
  <si>
    <t xml:space="preserve">ZWE</t>
  </si>
  <si>
    <t xml:space="preserve">Sub-Saharan Africa (SSA), East Africa, UN LLDC</t>
  </si>
  <si>
    <t xml:space="preserve">APAC (Asia-Pacific)</t>
  </si>
  <si>
    <t xml:space="preserve">APAC</t>
  </si>
  <si>
    <t xml:space="preserve">South Asia + East Asia + Southeast Asia + Oceania</t>
  </si>
  <si>
    <t xml:space="preserve">APAC excluding Oceania</t>
  </si>
  <si>
    <t xml:space="preserve">South Asia</t>
  </si>
  <si>
    <t xml:space="preserve">India</t>
  </si>
  <si>
    <t xml:space="preserve">IND</t>
  </si>
  <si>
    <t xml:space="preserve">BRIC, BRICS</t>
  </si>
  <si>
    <t xml:space="preserve">Central India</t>
  </si>
  <si>
    <t xml:space="preserve">East India</t>
  </si>
  <si>
    <t xml:space="preserve">North India</t>
  </si>
  <si>
    <t xml:space="preserve">Northeast India</t>
  </si>
  <si>
    <t xml:space="preserve">South India</t>
  </si>
  <si>
    <t xml:space="preserve">West India</t>
  </si>
  <si>
    <t xml:space="preserve">Andaman and Nicobar Islands</t>
  </si>
  <si>
    <t xml:space="preserve">Union territory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</si>
  <si>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</si>
  <si>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</si>
  <si>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</si>
  <si>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</si>
  <si>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</si>
  <si>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</si>
  <si>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Dadra and Nagar Haveli and Daman and Diu</t>
  </si>
  <si>
    <t xml:space="preserve">Delhi</t>
  </si>
  <si>
    <t xml:space="preserve">New Delhi</t>
  </si>
  <si>
    <t xml:space="preserve">Goa</t>
  </si>
  <si>
    <t xml:space="preserve">Gujarat</t>
  </si>
  <si>
    <t xml:space="preserve">Ahmedabad</t>
  </si>
  <si>
    <t xml:space="preserve">Haryana</t>
  </si>
  <si>
    <t xml:space="preserve">Gurugram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</si>
  <si>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</si>
  <si>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</si>
  <si>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</si>
  <si>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</si>
  <si>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Bengaluru</t>
  </si>
  <si>
    <t xml:space="preserve">Kerala</t>
  </si>
  <si>
    <t xml:space="preserve">Ladakh</t>
  </si>
  <si>
    <t xml:space="preserve">Lakshadweep</t>
  </si>
  <si>
    <t xml:space="preserve">Madhya Pradesh</t>
  </si>
  <si>
    <t xml:space="preserve">Maharashtra</t>
  </si>
  <si>
    <t xml:space="preserve">Mumbai</t>
  </si>
  <si>
    <t xml:space="preserve">Pune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</si>
  <si>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</si>
  <si>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</si>
  <si>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</si>
  <si>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</si>
  <si>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</si>
  <si>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</si>
  <si>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</si>
  <si>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</si>
  <si>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</si>
  <si>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</si>
  <si>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Chennai</t>
  </si>
  <si>
    <t xml:space="preserve">Telangana</t>
  </si>
  <si>
    <t xml:space="preserve">Hyderabad</t>
  </si>
  <si>
    <t xml:space="preserve">Tripura</t>
  </si>
  <si>
    <t xml:space="preserve">Uttar Pradesh</t>
  </si>
  <si>
    <t xml:space="preserve">Noida</t>
  </si>
  <si>
    <t xml:space="preserve">Uttarakhand</t>
  </si>
  <si>
    <t xml:space="preserve">West Bengal</t>
  </si>
  <si>
    <t xml:space="preserve">Kolkata</t>
  </si>
  <si>
    <t xml:space="preserve">Afghanistan</t>
  </si>
  <si>
    <t xml:space="preserve">AFG</t>
  </si>
  <si>
    <t xml:space="preserve">UN LDC, UN LLDC</t>
  </si>
  <si>
    <t xml:space="preserve">Bangladesh</t>
  </si>
  <si>
    <t xml:space="preserve">BGD</t>
  </si>
  <si>
    <t xml:space="preserve">Barishal</t>
  </si>
  <si>
    <t xml:space="preserve">Division</t>
  </si>
  <si>
    <t xml:space="preserve">Chattogram</t>
  </si>
  <si>
    <t xml:space="preserve">Dhaka Division</t>
  </si>
  <si>
    <t xml:space="preserve">Khulna</t>
  </si>
  <si>
    <t xml:space="preserve">Mymensingh</t>
  </si>
  <si>
    <t xml:space="preserve">Rajshahi</t>
  </si>
  <si>
    <t xml:space="preserve">Rangpur</t>
  </si>
  <si>
    <t xml:space="preserve">Sylhet</t>
  </si>
  <si>
    <t xml:space="preserve">Dhaka</t>
  </si>
  <si>
    <t xml:space="preserve">Bhutan</t>
  </si>
  <si>
    <t xml:space="preserve">BTN</t>
  </si>
  <si>
    <t xml:space="preserve">UN LLDC</t>
  </si>
  <si>
    <t xml:space="preserve">Maldives</t>
  </si>
  <si>
    <t xml:space="preserve">MDV</t>
  </si>
  <si>
    <t xml:space="preserve">UN SIDS</t>
  </si>
  <si>
    <t xml:space="preserve">Nepal</t>
  </si>
  <si>
    <t xml:space="preserve">NPL</t>
  </si>
  <si>
    <t xml:space="preserve">Pakistan</t>
  </si>
  <si>
    <t xml:space="preserve">PAK</t>
  </si>
  <si>
    <t xml:space="preserve">Azad Jammu and Kashmir</t>
  </si>
  <si>
    <t xml:space="preserve">Province / territory</t>
  </si>
  <si>
    <t xml:space="preserve">Balochistan</t>
  </si>
  <si>
    <t xml:space="preserve">Gilgit-Baltistan</t>
  </si>
  <si>
    <t xml:space="preserve">Islamabad Capital Territory</t>
  </si>
  <si>
    <t xml:space="preserve">Khyber Pakhtunkhwa</t>
  </si>
  <si>
    <t xml:space="preserve">Punjab (Pakistan)</t>
  </si>
  <si>
    <t xml:space="preserve">Sindh</t>
  </si>
  <si>
    <t xml:space="preserve">Karachi</t>
  </si>
  <si>
    <t xml:space="preserve">Lahore</t>
  </si>
  <si>
    <t xml:space="preserve">Sri Lanka</t>
  </si>
  <si>
    <t xml:space="preserve">LKA</t>
  </si>
  <si>
    <t xml:space="preserve">Central Province (Sri Lanka)</t>
  </si>
  <si>
    <t xml:space="preserve">Eastern Province (Sri Lanka)</t>
  </si>
  <si>
    <t xml:space="preserve">North Central Province (Sri Lanka)</t>
  </si>
  <si>
    <t xml:space="preserve">North Western Province (Sri Lanka)</t>
  </si>
  <si>
    <t xml:space="preserve">Northern Province (Sri Lanka)</t>
  </si>
  <si>
    <t xml:space="preserve">Sabaragamuwa Province (Sri Lanka)</t>
  </si>
  <si>
    <t xml:space="preserve">Southern Province (Sri Lanka)</t>
  </si>
  <si>
    <t xml:space="preserve">Uva Province (Sri Lanka)</t>
  </si>
  <si>
    <t xml:space="preserve">Western Province (Sri Lanka)</t>
  </si>
  <si>
    <t xml:space="preserve">Colombo</t>
  </si>
  <si>
    <t xml:space="preserve">East Asia</t>
  </si>
  <si>
    <t xml:space="preserve">Greater China</t>
  </si>
  <si>
    <t xml:space="preserve">China, Hong Kong, Taiwan, Macau</t>
  </si>
  <si>
    <t xml:space="preserve">Northeast Asia</t>
  </si>
  <si>
    <t xml:space="preserve">Japan, South Korea, North Korea, Mongolia</t>
  </si>
  <si>
    <t xml:space="preserve">Japan</t>
  </si>
  <si>
    <t xml:space="preserve">JPN</t>
  </si>
  <si>
    <t xml:space="preserve">Northeast Asia, G7, OECD</t>
  </si>
  <si>
    <t xml:space="preserve">Eastern Asia</t>
  </si>
  <si>
    <t xml:space="preserve">East Asia and Pacific</t>
  </si>
  <si>
    <t xml:space="preserve">Chubu Region</t>
  </si>
  <si>
    <t xml:space="preserve">Chugoku Region</t>
  </si>
  <si>
    <t xml:space="preserve">Hokkaido Region</t>
  </si>
  <si>
    <t xml:space="preserve">Kansai Region</t>
  </si>
  <si>
    <t xml:space="preserve">Kanto Region</t>
  </si>
  <si>
    <t xml:space="preserve">Kyushu Region</t>
  </si>
  <si>
    <t xml:space="preserve">Shikoku Region</t>
  </si>
  <si>
    <t xml:space="preserve">Tohoku Region</t>
  </si>
  <si>
    <t xml:space="preserve">Aichi</t>
  </si>
  <si>
    <t xml:space="preserve">Prefecture</t>
  </si>
  <si>
    <t xml:space="preserve">Nagoya</t>
  </si>
  <si>
    <t xml:space="preserve">Akita</t>
  </si>
  <si>
    <t xml:space="preserve">Aomori</t>
  </si>
  <si>
    <t xml:space="preserve">Chiba</t>
  </si>
  <si>
    <t xml:space="preserve">Ehime</t>
  </si>
  <si>
    <t xml:space="preserve">Fukui</t>
  </si>
  <si>
    <t xml:space="preserve">Fukuoka</t>
  </si>
  <si>
    <t xml:space="preserve">Fukushima</t>
  </si>
  <si>
    <t xml:space="preserve">Gifu</t>
  </si>
  <si>
    <t xml:space="preserve">Gunma</t>
  </si>
  <si>
    <t xml:space="preserve">Hiroshima</t>
  </si>
  <si>
    <t xml:space="preserve">Hokkaido</t>
  </si>
  <si>
    <t xml:space="preserve">Sapporo</t>
  </si>
  <si>
    <t xml:space="preserve">Hyogo</t>
  </si>
  <si>
    <t xml:space="preserve">Ibaraki</t>
  </si>
  <si>
    <t xml:space="preserve">Ishikawa</t>
  </si>
  <si>
    <t xml:space="preserve">Iwate</t>
  </si>
  <si>
    <t xml:space="preserve">Kagawa</t>
  </si>
  <si>
    <t xml:space="preserve">Kagoshima</t>
  </si>
  <si>
    <t xml:space="preserve">Kanagawa</t>
  </si>
  <si>
    <t xml:space="preserve">Yokohama</t>
  </si>
  <si>
    <t xml:space="preserve">Kochi</t>
  </si>
  <si>
    <t xml:space="preserve">Kumamoto</t>
  </si>
  <si>
    <t xml:space="preserve">Kyoto</t>
  </si>
  <si>
    <t xml:space="preserve">Mie</t>
  </si>
  <si>
    <t xml:space="preserve">Miyagi</t>
  </si>
  <si>
    <t xml:space="preserve">Miyazaki</t>
  </si>
  <si>
    <t xml:space="preserve">Nagano</t>
  </si>
  <si>
    <t xml:space="preserve">Nagasaki</t>
  </si>
  <si>
    <t xml:space="preserve">Nara</t>
  </si>
  <si>
    <t xml:space="preserve">Niigata</t>
  </si>
  <si>
    <t xml:space="preserve">Oita</t>
  </si>
  <si>
    <t xml:space="preserve">Okayama</t>
  </si>
  <si>
    <t xml:space="preserve">Okinawa</t>
  </si>
  <si>
    <t xml:space="preserve">Osaka</t>
  </si>
  <si>
    <t xml:space="preserve">Saga</t>
  </si>
  <si>
    <t xml:space="preserve">Saitama</t>
  </si>
  <si>
    <t xml:space="preserve">Shiga</t>
  </si>
  <si>
    <t xml:space="preserve">Shimane</t>
  </si>
  <si>
    <t xml:space="preserve">Shizuoka</t>
  </si>
  <si>
    <t xml:space="preserve">Tochigi</t>
  </si>
  <si>
    <t xml:space="preserve">Tokushima</t>
  </si>
  <si>
    <t xml:space="preserve">Tokyo</t>
  </si>
  <si>
    <t xml:space="preserve">Tottori</t>
  </si>
  <si>
    <t xml:space="preserve">Toyama</t>
  </si>
  <si>
    <t xml:space="preserve">Wakayama</t>
  </si>
  <si>
    <t xml:space="preserve">Yamagata</t>
  </si>
  <si>
    <t xml:space="preserve">Yamaguchi</t>
  </si>
  <si>
    <t xml:space="preserve">Yamanashi</t>
  </si>
  <si>
    <t xml:space="preserve">China</t>
  </si>
  <si>
    <t xml:space="preserve">CHN</t>
  </si>
  <si>
    <t xml:space="preserve">Greater China, BRIC, BRICS</t>
  </si>
  <si>
    <t xml:space="preserve">Central China</t>
  </si>
  <si>
    <t xml:space="preserve">East China</t>
  </si>
  <si>
    <t xml:space="preserve">Greater Bay Area</t>
  </si>
  <si>
    <t xml:space="preserve">Guangdong-Hong Kong-Macau; Hong Kong and Macau are separate country nodes</t>
  </si>
  <si>
    <t xml:space="preserve">North China</t>
  </si>
  <si>
    <t xml:space="preserve">Northeast China</t>
  </si>
  <si>
    <t xml:space="preserve">Northwest China</t>
  </si>
  <si>
    <t xml:space="preserve">South China</t>
  </si>
  <si>
    <t xml:space="preserve">Southwest China</t>
  </si>
  <si>
    <t xml:space="preserve">Yangtze River Delta</t>
  </si>
  <si>
    <t xml:space="preserve">Shanghai, Jiangsu, Zhejiang, Anhui</t>
  </si>
  <si>
    <t xml:space="preserve">Anhui</t>
  </si>
  <si>
    <t xml:space="preserve">Fujian</t>
  </si>
  <si>
    <t xml:space="preserve">Xiamen</t>
  </si>
  <si>
    <t xml:space="preserve">Gansu</t>
  </si>
  <si>
    <t xml:space="preserve">Guangdong</t>
  </si>
  <si>
    <t xml:space="preserve">Dongguan</t>
  </si>
  <si>
    <t xml:space="preserve">Guangzhou</t>
  </si>
  <si>
    <t xml:space="preserve">Shenzhen</t>
  </si>
  <si>
    <t xml:space="preserve">Guangxi</t>
  </si>
  <si>
    <t xml:space="preserve">Autonomous region</t>
  </si>
  <si>
    <t xml:space="preserve">Guizhou</t>
  </si>
  <si>
    <t xml:space="preserve">Hainan</t>
  </si>
  <si>
    <t xml:space="preserve">Hebei</t>
  </si>
  <si>
    <t xml:space="preserve">Heilongjiang</t>
  </si>
  <si>
    <t xml:space="preserve">Henan</t>
  </si>
  <si>
    <t xml:space="preserve">Hubei</t>
  </si>
  <si>
    <t xml:space="preserve">Wuhan</t>
  </si>
  <si>
    <t xml:space="preserve">Hunan</t>
  </si>
  <si>
    <t xml:space="preserve">Inner Mongolia</t>
  </si>
  <si>
    <t xml:space="preserve">Jiangsu</t>
  </si>
  <si>
    <t xml:space="preserve">Nanjing</t>
  </si>
  <si>
    <t xml:space="preserve">Suzhou</t>
  </si>
  <si>
    <t xml:space="preserve">Wuxi</t>
  </si>
  <si>
    <t xml:space="preserve">Jiangxi</t>
  </si>
  <si>
    <t xml:space="preserve">Jilin</t>
  </si>
  <si>
    <t xml:space="preserve">Liaoning</t>
  </si>
  <si>
    <t xml:space="preserve">Dalian</t>
  </si>
  <si>
    <t xml:space="preserve">Shenyang</t>
  </si>
  <si>
    <t xml:space="preserve">Ningxia</t>
  </si>
  <si>
    <t xml:space="preserve">Qinghai</t>
  </si>
  <si>
    <t xml:space="preserve">Shaanxi</t>
  </si>
  <si>
    <t xml:space="preserve">Xi'an</t>
  </si>
  <si>
    <t xml:space="preserve">Shandong</t>
  </si>
  <si>
    <t xml:space="preserve">Qingdao</t>
  </si>
  <si>
    <t xml:space="preserve">Shanxi</t>
  </si>
  <si>
    <t xml:space="preserve">Sichuan</t>
  </si>
  <si>
    <t xml:space="preserve">Chengdu</t>
  </si>
  <si>
    <t xml:space="preserve">Tibet</t>
  </si>
  <si>
    <t xml:space="preserve">Xinjiang</t>
  </si>
  <si>
    <t xml:space="preserve">Yunnan</t>
  </si>
  <si>
    <t xml:space="preserve">Zhejiang</t>
  </si>
  <si>
    <t xml:space="preserve">Hangzhou</t>
  </si>
  <si>
    <t xml:space="preserve">Ningbo</t>
  </si>
  <si>
    <t xml:space="preserve">Beijing</t>
  </si>
  <si>
    <t xml:space="preserve">Province-level municipality</t>
  </si>
  <si>
    <t xml:space="preserve">Chongqing</t>
  </si>
  <si>
    <t xml:space="preserve">Shanghai</t>
  </si>
  <si>
    <t xml:space="preserve">Tianjin</t>
  </si>
  <si>
    <t xml:space="preserve">Hong Kong</t>
  </si>
  <si>
    <t xml:space="preserve">HKG</t>
  </si>
  <si>
    <t xml:space="preserve">Macau</t>
  </si>
  <si>
    <t xml:space="preserve">MAC</t>
  </si>
  <si>
    <t xml:space="preserve">Mongolia</t>
  </si>
  <si>
    <t xml:space="preserve">MNG</t>
  </si>
  <si>
    <t xml:space="preserve">Northeast Asia, UN LLDC</t>
  </si>
  <si>
    <t xml:space="preserve">North Korea</t>
  </si>
  <si>
    <t xml:space="preserve">PRK</t>
  </si>
  <si>
    <t xml:space="preserve">South Korea</t>
  </si>
  <si>
    <t xml:space="preserve">KOR</t>
  </si>
  <si>
    <t xml:space="preserve">Northeast Asia, OECD</t>
  </si>
  <si>
    <t xml:space="preserve">Busan Metropolitan City</t>
  </si>
  <si>
    <t xml:space="preserve">Province / metropolitan city</t>
  </si>
  <si>
    <t xml:space="preserve">Daegu</t>
  </si>
  <si>
    <t xml:space="preserve">Daejeon</t>
  </si>
  <si>
    <t xml:space="preserve">Gangwon</t>
  </si>
  <si>
    <t xml:space="preserve">Gwangju</t>
  </si>
  <si>
    <t xml:space="preserve">Gyeonggi</t>
  </si>
  <si>
    <t xml:space="preserve">Incheon</t>
  </si>
  <si>
    <t xml:space="preserve">Jeju</t>
  </si>
  <si>
    <t xml:space="preserve">North Chungcheong</t>
  </si>
  <si>
    <t xml:space="preserve">North Gyeongsang</t>
  </si>
  <si>
    <t xml:space="preserve">North Jeolla</t>
  </si>
  <si>
    <t xml:space="preserve">Sejong</t>
  </si>
  <si>
    <t xml:space="preserve">Seoul Special City</t>
  </si>
  <si>
    <t xml:space="preserve">South Chungcheong</t>
  </si>
  <si>
    <t xml:space="preserve">South Gyeongsang</t>
  </si>
  <si>
    <t xml:space="preserve">South Jeolla</t>
  </si>
  <si>
    <t xml:space="preserve">Ulsan</t>
  </si>
  <si>
    <t xml:space="preserve">Busan</t>
  </si>
  <si>
    <t xml:space="preserve">Seoul</t>
  </si>
  <si>
    <t xml:space="preserve">Taiwan</t>
  </si>
  <si>
    <t xml:space="preserve">TWN</t>
  </si>
  <si>
    <t xml:space="preserve">Taipei</t>
  </si>
  <si>
    <t xml:space="preserve">Southeast Asia (ASEAN)</t>
  </si>
  <si>
    <t xml:space="preserve">Mekong Region</t>
  </si>
  <si>
    <t xml:space="preserve">Members: Cambodia, Laos, Myanmar, Thailand, Vietnam</t>
  </si>
  <si>
    <t xml:space="preserve">Indonesia</t>
  </si>
  <si>
    <t xml:space="preserve">IDN</t>
  </si>
  <si>
    <t xml:space="preserve">South-eastern Asia</t>
  </si>
  <si>
    <t xml:space="preserve">Aceh</t>
  </si>
  <si>
    <t xml:space="preserve">Bali</t>
  </si>
  <si>
    <t xml:space="preserve">Bangka Belitung Islands</t>
  </si>
  <si>
    <t xml:space="preserve">Banten</t>
  </si>
  <si>
    <t xml:space="preserve">Bengkulu</t>
  </si>
  <si>
    <t xml:space="preserve">Central Java</t>
  </si>
  <si>
    <t xml:space="preserve">Central Kalimantan</t>
  </si>
  <si>
    <t xml:space="preserve">Central Papua</t>
  </si>
  <si>
    <t xml:space="preserve">Central Sulawesi</t>
  </si>
  <si>
    <t xml:space="preserve">East Java</t>
  </si>
  <si>
    <t xml:space="preserve">Surabaya</t>
  </si>
  <si>
    <t xml:space="preserve">East Kalimantan</t>
  </si>
  <si>
    <t xml:space="preserve">East Nusa Tenggara</t>
  </si>
  <si>
    <t xml:space="preserve">Gorontalo</t>
  </si>
  <si>
    <t xml:space="preserve">Highland Papua</t>
  </si>
  <si>
    <t xml:space="preserve">Jakarta</t>
  </si>
  <si>
    <t xml:space="preserve">Jambi</t>
  </si>
  <si>
    <t xml:space="preserve">Lampung</t>
  </si>
  <si>
    <t xml:space="preserve">Maluku</t>
  </si>
  <si>
    <t xml:space="preserve">North Kalimantan</t>
  </si>
  <si>
    <t xml:space="preserve">North Maluku</t>
  </si>
  <si>
    <t xml:space="preserve">North Sulawesi</t>
  </si>
  <si>
    <t xml:space="preserve">North Sumatra</t>
  </si>
  <si>
    <t xml:space="preserve">Papua</t>
  </si>
  <si>
    <t xml:space="preserve">Riau</t>
  </si>
  <si>
    <t xml:space="preserve">Riau Islands</t>
  </si>
  <si>
    <t xml:space="preserve">South Kalimantan</t>
  </si>
  <si>
    <t xml:space="preserve">South Papua</t>
  </si>
  <si>
    <t xml:space="preserve">South Sulawesi</t>
  </si>
  <si>
    <t xml:space="preserve">South Sumatra</t>
  </si>
  <si>
    <t xml:space="preserve">Southeast Sulawesi</t>
  </si>
  <si>
    <t xml:space="preserve">Southwest Papua</t>
  </si>
  <si>
    <t xml:space="preserve">West Java</t>
  </si>
  <si>
    <t xml:space="preserve">Bandung</t>
  </si>
  <si>
    <t xml:space="preserve">West Kalimantan</t>
  </si>
  <si>
    <t xml:space="preserve">West Nusa Tenggara</t>
  </si>
  <si>
    <t xml:space="preserve">West Papua</t>
  </si>
  <si>
    <t xml:space="preserve">West Sulawesi</t>
  </si>
  <si>
    <t xml:space="preserve">West Sumatra</t>
  </si>
  <si>
    <t xml:space="preserve">Yogyakarta</t>
  </si>
  <si>
    <t xml:space="preserve">Malaysia</t>
  </si>
  <si>
    <t xml:space="preserve">MYS</t>
  </si>
  <si>
    <t xml:space="preserve">Johor</t>
  </si>
  <si>
    <t xml:space="preserve">Johor Bahru</t>
  </si>
  <si>
    <t xml:space="preserve">Kedah</t>
  </si>
  <si>
    <t xml:space="preserve">Kelantan</t>
  </si>
  <si>
    <t xml:space="preserve">Kuala Lumpur</t>
  </si>
  <si>
    <t xml:space="preserve">Federal territory</t>
  </si>
  <si>
    <t xml:space="preserve">Labuan</t>
  </si>
  <si>
    <t xml:space="preserve">Malacca</t>
  </si>
  <si>
    <t xml:space="preserve">Negeri Sembilan</t>
  </si>
  <si>
    <t xml:space="preserve">Pahang</t>
  </si>
  <si>
    <t xml:space="preserve">Penang</t>
  </si>
  <si>
    <t xml:space="preserve">Perak</t>
  </si>
  <si>
    <t xml:space="preserve">Perlis</t>
  </si>
  <si>
    <t xml:space="preserve">Putrajaya</t>
  </si>
  <si>
    <t xml:space="preserve">Sabah</t>
  </si>
  <si>
    <t xml:space="preserve">Sarawak</t>
  </si>
  <si>
    <t xml:space="preserve">Selangor</t>
  </si>
  <si>
    <t xml:space="preserve">Terengganu</t>
  </si>
  <si>
    <t xml:space="preserve">Brunei</t>
  </si>
  <si>
    <t xml:space="preserve">BRN</t>
  </si>
  <si>
    <t xml:space="preserve">Cambodia</t>
  </si>
  <si>
    <t xml:space="preserve">KHM</t>
  </si>
  <si>
    <t xml:space="preserve">Mekong Region, UN LDC</t>
  </si>
  <si>
    <t xml:space="preserve">Laos</t>
  </si>
  <si>
    <t xml:space="preserve">LAO</t>
  </si>
  <si>
    <t xml:space="preserve">Mekong Region, UN LDC, UN LLDC</t>
  </si>
  <si>
    <t xml:space="preserve">Myanmar</t>
  </si>
  <si>
    <t xml:space="preserve">MMR</t>
  </si>
  <si>
    <t xml:space="preserve">Philippines</t>
  </si>
  <si>
    <t xml:space="preserve">PHL</t>
  </si>
  <si>
    <t xml:space="preserve">Bangsamoro (BARMM)</t>
  </si>
  <si>
    <t xml:space="preserve">Bicol Region</t>
  </si>
  <si>
    <t xml:space="preserve">Cagayan Valley</t>
  </si>
  <si>
    <t xml:space="preserve">Calabarzon</t>
  </si>
  <si>
    <t xml:space="preserve">Caraga</t>
  </si>
  <si>
    <t xml:space="preserve">Central Luzon</t>
  </si>
  <si>
    <t xml:space="preserve">Central Visayas</t>
  </si>
  <si>
    <t xml:space="preserve">Cordillera Administrative Region</t>
  </si>
  <si>
    <t xml:space="preserve">Davao Region</t>
  </si>
  <si>
    <t xml:space="preserve">Eastern Visayas</t>
  </si>
  <si>
    <t xml:space="preserve">Ilocos Region</t>
  </si>
  <si>
    <t xml:space="preserve">Mimaropa</t>
  </si>
  <si>
    <t xml:space="preserve">National Capital Region (Metro Manila)</t>
  </si>
  <si>
    <t xml:space="preserve">Negros Island Region</t>
  </si>
  <si>
    <t xml:space="preserve">Northern Mindanao</t>
  </si>
  <si>
    <t xml:space="preserve">Soccsksargen</t>
  </si>
  <si>
    <t xml:space="preserve">Western Visayas</t>
  </si>
  <si>
    <t xml:space="preserve">Zamboanga Peninsula</t>
  </si>
  <si>
    <t xml:space="preserve">Manila</t>
  </si>
  <si>
    <t xml:space="preserve">Singapore</t>
  </si>
  <si>
    <t xml:space="preserve">SGP</t>
  </si>
  <si>
    <t xml:space="preserve">Thailand</t>
  </si>
  <si>
    <t xml:space="preserve">THA</t>
  </si>
  <si>
    <t xml:space="preserve">Bangkok</t>
  </si>
  <si>
    <t xml:space="preserve">Timor-Leste</t>
  </si>
  <si>
    <t xml:space="preserve">TLS</t>
  </si>
  <si>
    <t xml:space="preserve">UN LDC, UN SIDS</t>
  </si>
  <si>
    <t xml:space="preserve">Vietnam</t>
  </si>
  <si>
    <t xml:space="preserve">VNM</t>
  </si>
  <si>
    <t xml:space="preserve">Hanoi</t>
  </si>
  <si>
    <t xml:space="preserve">Ho Chi Minh City</t>
  </si>
  <si>
    <t xml:space="preserve">Oceania (ANZ)</t>
  </si>
  <si>
    <t xml:space="preserve">Pacific Islands</t>
  </si>
  <si>
    <t xml:space="preserve">Oceania excluding Australia and New Zealand</t>
  </si>
  <si>
    <t xml:space="preserve">Australia</t>
  </si>
  <si>
    <t xml:space="preserve">AUS</t>
  </si>
  <si>
    <t xml:space="preserve">OECD</t>
  </si>
  <si>
    <t xml:space="preserve">Oceania</t>
  </si>
  <si>
    <t xml:space="preserve">Australia and New Zealand</t>
  </si>
  <si>
    <t xml:space="preserve">Australian Capital Territory</t>
  </si>
  <si>
    <t xml:space="preserve">New South Wales</t>
  </si>
  <si>
    <t xml:space="preserve">Sydney</t>
  </si>
  <si>
    <t xml:space="preserve">Northern Territory</t>
  </si>
  <si>
    <t xml:space="preserve">Queensland</t>
  </si>
  <si>
    <t xml:space="preserve">Brisbane</t>
  </si>
  <si>
    <t xml:space="preserve">South Australia</t>
  </si>
  <si>
    <t xml:space="preserve">Adelaide</t>
  </si>
  <si>
    <t xml:space="preserve">Tasmania</t>
  </si>
  <si>
    <t xml:space="preserve">Victoria</t>
  </si>
  <si>
    <t xml:space="preserve">Melbourne</t>
  </si>
  <si>
    <t xml:space="preserve">Western Australia</t>
  </si>
  <si>
    <t xml:space="preserve">Perth</t>
  </si>
  <si>
    <t xml:space="preserve">Perth, Australia</t>
  </si>
  <si>
    <t xml:space="preserve">New Zealand</t>
  </si>
  <si>
    <t xml:space="preserve">NZL</t>
  </si>
  <si>
    <t xml:space="preserve">Auckland</t>
  </si>
  <si>
    <t xml:space="preserve">Bay of Plenty</t>
  </si>
  <si>
    <t xml:space="preserve">Canterbury</t>
  </si>
  <si>
    <t xml:space="preserve">Christchurch</t>
  </si>
  <si>
    <t xml:space="preserve">Chatham Islands</t>
  </si>
  <si>
    <t xml:space="preserve">Gisborne</t>
  </si>
  <si>
    <t xml:space="preserve">Hawke's Bay</t>
  </si>
  <si>
    <t xml:space="preserve">Manawatū-Whanganui</t>
  </si>
  <si>
    <t xml:space="preserve">Marlborough</t>
  </si>
  <si>
    <t xml:space="preserve">Nelson</t>
  </si>
  <si>
    <t xml:space="preserve">Northland</t>
  </si>
  <si>
    <t xml:space="preserve">Otago</t>
  </si>
  <si>
    <t xml:space="preserve">Southland</t>
  </si>
  <si>
    <t xml:space="preserve">Taranaki</t>
  </si>
  <si>
    <t xml:space="preserve">Tasman</t>
  </si>
  <si>
    <t xml:space="preserve">Waikato</t>
  </si>
  <si>
    <t xml:space="preserve">Wellington</t>
  </si>
  <si>
    <t xml:space="preserve">West Coast (NZ)</t>
  </si>
  <si>
    <t xml:space="preserve">Christmas Island</t>
  </si>
  <si>
    <t xml:space="preserve">CXR</t>
  </si>
  <si>
    <t xml:space="preserve">Cocos (Keeling) Islands</t>
  </si>
  <si>
    <t xml:space="preserve">CCK</t>
  </si>
  <si>
    <t xml:space="preserve">Cook Islands</t>
  </si>
  <si>
    <t xml:space="preserve">COK</t>
  </si>
  <si>
    <t xml:space="preserve">Pacific Islands, UN SIDS</t>
  </si>
  <si>
    <t xml:space="preserve">Polynesia</t>
  </si>
  <si>
    <t xml:space="preserve">Fiji</t>
  </si>
  <si>
    <t xml:space="preserve">FJI</t>
  </si>
  <si>
    <t xml:space="preserve">Melanesia</t>
  </si>
  <si>
    <t xml:space="preserve">French Polynesia</t>
  </si>
  <si>
    <t xml:space="preserve">PYF</t>
  </si>
  <si>
    <t xml:space="preserve">Kiribati</t>
  </si>
  <si>
    <t xml:space="preserve">KIR</t>
  </si>
  <si>
    <t xml:space="preserve">Pacific Islands, UN LDC, UN SIDS</t>
  </si>
  <si>
    <t xml:space="preserve">Micronesia</t>
  </si>
  <si>
    <t xml:space="preserve">Marshall Islands</t>
  </si>
  <si>
    <t xml:space="preserve">MHL</t>
  </si>
  <si>
    <t xml:space="preserve">FSM</t>
  </si>
  <si>
    <t xml:space="preserve">Nauru</t>
  </si>
  <si>
    <t xml:space="preserve">NRU</t>
  </si>
  <si>
    <t xml:space="preserve">New Caledonia</t>
  </si>
  <si>
    <t xml:space="preserve">NCL</t>
  </si>
  <si>
    <t xml:space="preserve">Niue</t>
  </si>
  <si>
    <t xml:space="preserve">NIU</t>
  </si>
  <si>
    <t xml:space="preserve">Norfolk Island</t>
  </si>
  <si>
    <t xml:space="preserve">NFK</t>
  </si>
  <si>
    <t xml:space="preserve">Palau</t>
  </si>
  <si>
    <t xml:space="preserve">PLW</t>
  </si>
  <si>
    <t xml:space="preserve">Papua New Guinea</t>
  </si>
  <si>
    <t xml:space="preserve">PNG</t>
  </si>
  <si>
    <t xml:space="preserve">Pitcairn</t>
  </si>
  <si>
    <t xml:space="preserve">PCN</t>
  </si>
  <si>
    <t xml:space="preserve">Samoa</t>
  </si>
  <si>
    <t xml:space="preserve">WSM</t>
  </si>
  <si>
    <t xml:space="preserve">Solomon Islands</t>
  </si>
  <si>
    <t xml:space="preserve">SLB</t>
  </si>
  <si>
    <t xml:space="preserve">Tokelau</t>
  </si>
  <si>
    <t xml:space="preserve">TKL</t>
  </si>
  <si>
    <t xml:space="preserve">Tonga</t>
  </si>
  <si>
    <t xml:space="preserve">TON</t>
  </si>
  <si>
    <t xml:space="preserve">Tuvalu</t>
  </si>
  <si>
    <t xml:space="preserve">TUV</t>
  </si>
  <si>
    <t xml:space="preserve">Vanuatu</t>
  </si>
  <si>
    <t xml:space="preserve">VUT</t>
  </si>
  <si>
    <t xml:space="preserve">Wallis and Futuna</t>
  </si>
  <si>
    <t xml:space="preserve">WLF</t>
  </si>
  <si>
    <t xml:space="preserve">International</t>
  </si>
  <si>
    <t xml:space="preserve">Bucket</t>
  </si>
  <si>
    <t xml:space="preserve">Non-regional</t>
  </si>
  <si>
    <t xml:space="preserve">All markets outside the filer's home market (usually the US). Replaces 'Foreign' and 'Non-US'</t>
  </si>
  <si>
    <t xml:space="preserve">Domestic</t>
  </si>
  <si>
    <t xml:space="preserve">Filer's home market; resolves to the filer's HQ country</t>
  </si>
  <si>
    <t xml:space="preserve">Rest of World (RoW)</t>
  </si>
  <si>
    <t xml:space="preserve">Other</t>
  </si>
  <si>
    <t xml:space="preserve">Unallocated residual with no geographic parent</t>
  </si>
  <si>
    <t xml:space="preserve">APAC and Latin America</t>
  </si>
  <si>
    <t xml:space="preserve">Multi-region</t>
  </si>
  <si>
    <t xml:space="preserve">Covers APLA and LAAP segment labels</t>
  </si>
  <si>
    <t xml:space="preserve">APAC, Middle East and Africa (APMEA)</t>
  </si>
  <si>
    <t xml:space="preserve">Americas and APAC</t>
  </si>
  <si>
    <t xml:space="preserve">Americas and EMEA</t>
  </si>
  <si>
    <t xml:space="preserve">Asia, Middle East and Africa (AMEA)</t>
  </si>
  <si>
    <t xml:space="preserve">EMEA and APAC</t>
  </si>
  <si>
    <t xml:space="preserve">Europe, Asia and Middle East (EAME)</t>
  </si>
  <si>
    <t xml:space="preserve">Europe, Middle East, India and Africa (EMEIA)</t>
  </si>
  <si>
    <t xml:space="preserve">Multi-region (Other)</t>
  </si>
  <si>
    <t xml:space="preserve">One-off combinations that span regions</t>
  </si>
  <si>
    <t xml:space="preserve">BRIC</t>
  </si>
  <si>
    <t xml:space="preserve">Market grouping</t>
  </si>
  <si>
    <t xml:space="preserve">Members: Brazil, Russia, India, China</t>
  </si>
  <si>
    <t xml:space="preserve">Members: Brazil, Russia, India, China, South Africa, Egypt, Ethiopia, Iran, United Arab Emirates, Indonesia (expanded membership)</t>
  </si>
  <si>
    <t xml:space="preserve">Developed Markets</t>
  </si>
  <si>
    <t xml:space="preserve">Economic, not geographic, grouping</t>
  </si>
  <si>
    <t xml:space="preserve">Emerging Markets</t>
  </si>
  <si>
    <t xml:space="preserve">Frontier Markets</t>
  </si>
  <si>
    <t xml:space="preserve">G7</t>
  </si>
  <si>
    <t xml:space="preserve">Members: United States, Canada, United Kingdom, Germany, France, Italy, Japan</t>
  </si>
  <si>
    <t xml:space="preserve">38 member countries (see Groupings column)</t>
  </si>
  <si>
    <t xml:space="preserve">Asia (UN M49)</t>
  </si>
  <si>
    <t xml:space="preserve">Reference grouping</t>
  </si>
  <si>
    <t xml:space="preserve">Reference (UN / World Bank)</t>
  </si>
  <si>
    <t xml:space="preserve">UN M49 region — includes Western and Central Asia</t>
  </si>
  <si>
    <t xml:space="preserve">Central America (UN M49)</t>
  </si>
  <si>
    <t xml:space="preserve">Includes Mexico</t>
  </si>
  <si>
    <t xml:space="preserve">East Asia and Pacific (World Bank)</t>
  </si>
  <si>
    <t xml:space="preserve">World Bank region, FY27 classification</t>
  </si>
  <si>
    <t xml:space="preserve">Europe (UN M49)</t>
  </si>
  <si>
    <t xml:space="preserve">UN M49 region — includes Russia; excludes Türkiye, Caucasus, Central Asia</t>
  </si>
  <si>
    <t xml:space="preserve">Europe and Central Asia (World Bank)</t>
  </si>
  <si>
    <t xml:space="preserve">High Income Economies (World Bank)</t>
  </si>
  <si>
    <t xml:space="preserve">GNI per capita &gt; $14,375 (FY27, Atlas method)</t>
  </si>
  <si>
    <t xml:space="preserve">Landlocked Developing Countries (UN LLDC)</t>
  </si>
  <si>
    <t xml:space="preserve">UN list; see Groupings column</t>
  </si>
  <si>
    <t xml:space="preserve">Latin America and the Caribbean (World Bank)</t>
  </si>
  <si>
    <t xml:space="preserve">Least Developed Countries (UN LDC)</t>
  </si>
  <si>
    <t xml:space="preserve">Low Income Economies (World Bank)</t>
  </si>
  <si>
    <t xml:space="preserve">GNI per capita ≤ $1,175 (FY27)</t>
  </si>
  <si>
    <t xml:space="preserve">Lower-Middle Income Economies (World Bank)</t>
  </si>
  <si>
    <t xml:space="preserve">GNI per capita $1,176–$4,635 (FY27)</t>
  </si>
  <si>
    <t xml:space="preserve">Melanesia (UN M49)</t>
  </si>
  <si>
    <t xml:space="preserve">Fiji, New Caledonia, Papua New Guinea, Solomon Islands, Vanuatu</t>
  </si>
  <si>
    <t xml:space="preserve">Micronesia Region (UN M49)</t>
  </si>
  <si>
    <t xml:space="preserve">Guam, Kiribati, Marshall Islands, Micronesia, Nauru, Northern Mariana Islands, Palau</t>
  </si>
  <si>
    <t xml:space="preserve">Middle East, North Africa, Afghanistan and Pakistan (World Bank)</t>
  </si>
  <si>
    <t xml:space="preserve">World Bank region (MENAAP), FY27 classification</t>
  </si>
  <si>
    <t xml:space="preserve">Middle Income Economies (World Bank)</t>
  </si>
  <si>
    <t xml:space="preserve">Upper-middle + lower-middle income</t>
  </si>
  <si>
    <t xml:space="preserve">North America (World Bank)</t>
  </si>
  <si>
    <t xml:space="preserve">World Bank region: Bermuda, Canada, United States</t>
  </si>
  <si>
    <t xml:space="preserve">Northern Europe (UN M49)</t>
  </si>
  <si>
    <t xml:space="preserve">Nordics, Baltics, UK, Ireland, Channel Islands, Isle of Man</t>
  </si>
  <si>
    <t xml:space="preserve">Polynesia (UN M49)</t>
  </si>
  <si>
    <t xml:space="preserve">Samoa, Tonga, Tuvalu, French Polynesia, Cook Islands and others</t>
  </si>
  <si>
    <t xml:space="preserve">Small Island Developing States (UN SIDS)</t>
  </si>
  <si>
    <t xml:space="preserve">South Asia (World Bank)</t>
  </si>
  <si>
    <t xml:space="preserve">World Bank region: Bangladesh, Bhutan, India, Maldives, Nepal, Sri Lanka</t>
  </si>
  <si>
    <t xml:space="preserve">Southern Asia (UN M49)</t>
  </si>
  <si>
    <t xml:space="preserve">South Asia + Iran</t>
  </si>
  <si>
    <t xml:space="preserve">Southern Europe (UN M49)</t>
  </si>
  <si>
    <t xml:space="preserve">Iberia, Italy, Greece, Malta and the Balkans</t>
  </si>
  <si>
    <t xml:space="preserve">Sub-Saharan Africa (World Bank)</t>
  </si>
  <si>
    <t xml:space="preserve">World Bank region, FY27 classification (includes Sudan and Mauritania)</t>
  </si>
  <si>
    <t xml:space="preserve">Upper-Middle Income Economies (World Bank)</t>
  </si>
  <si>
    <t xml:space="preserve">GNI per capita $4,636–$14,375 (FY27)</t>
  </si>
  <si>
    <t xml:space="preserve">Western Asia (UN M49)</t>
  </si>
  <si>
    <t xml:space="preserve">Middle East + Türkiye, Cyprus, Armenia, Azerbaijan, Georgia</t>
  </si>
  <si>
    <t xml:space="preserve">Western Europe (UN M49)</t>
  </si>
  <si>
    <t xml:space="preserve">Austria, Belgium, France, Germany, Liechtenstein, Luxembourg, Monaco, Netherlands, Switzerland</t>
  </si>
  <si>
    <t xml:space="preserve">San Miguel</t>
  </si>
  <si>
    <t xml:space="preserve">Unresolved</t>
  </si>
  <si>
    <t xml:space="preserve">Location unknown — confirm</t>
  </si>
  <si>
    <t xml:space="preserve">Global &gt; Region &gt; Sub-region &gt; Country &gt; State/Province (business regions in italics) &gt; City. Names are live links to Hierarchy. Groupings (Nordics, GCC, NOLA…) and non-regional buckets are on Hierarchy only.</t>
  </si>
  <si>
    <t xml:space="preserve">State/Province / Region</t>
  </si>
  <si>
    <t xml:space="preserve">MDP Label (raw)</t>
  </si>
  <si>
    <t xml:space="preserve">Source Sheet</t>
  </si>
  <si>
    <t xml:space="preserve">Previous MDP Name</t>
  </si>
  <si>
    <t xml:space="preserve">Scope</t>
  </si>
  <si>
    <t xml:space="preserve">Change vs Previous</t>
  </si>
  <si>
    <t xml:space="preserve">Match Key</t>
  </si>
  <si>
    <t xml:space="preserve">Key Conflict</t>
  </si>
  <si>
    <t xml:space="preserve">Note</t>
  </si>
  <si>
    <t xml:space="preserve">Pre-seeded</t>
  </si>
  <si>
    <t xml:space="preserve">Exact</t>
  </si>
  <si>
    <t xml:space="preserve">Abroad</t>
  </si>
  <si>
    <t xml:space="preserve">Mapping</t>
  </si>
  <si>
    <t xml:space="preserve">Abuja</t>
  </si>
  <si>
    <t xml:space="preserve">Africa/Eurasia</t>
  </si>
  <si>
    <t xml:space="preserve">final</t>
  </si>
  <si>
    <t xml:space="preserve">Combined</t>
  </si>
  <si>
    <t xml:space="preserve">Spans EMEA and APAC</t>
  </si>
  <si>
    <t xml:space="preserve">ALABAMA</t>
  </si>
  <si>
    <t xml:space="preserve">Aland Islands</t>
  </si>
  <si>
    <t xml:space="preserve">Alaska and Hawaii</t>
  </si>
  <si>
    <t xml:space="preserve">Partial</t>
  </si>
  <si>
    <t xml:space="preserve">Two states</t>
  </si>
  <si>
    <t xml:space="preserve">All foreign countries</t>
  </si>
  <si>
    <t xml:space="preserve">Foreign</t>
  </si>
  <si>
    <t xml:space="preserve">Foreign → International</t>
  </si>
  <si>
    <t xml:space="preserve">All international</t>
  </si>
  <si>
    <t xml:space="preserve">All other</t>
  </si>
  <si>
    <t xml:space="preserve">Residual</t>
  </si>
  <si>
    <t xml:space="preserve">All other countries</t>
  </si>
  <si>
    <t xml:space="preserve">All Other Foreign Countries</t>
  </si>
  <si>
    <t xml:space="preserve">All other international</t>
  </si>
  <si>
    <t xml:space="preserve">All other regions</t>
  </si>
  <si>
    <t xml:space="preserve">All others international</t>
  </si>
  <si>
    <t xml:space="preserve">AllOtherGeographiesMember</t>
  </si>
  <si>
    <t xml:space="preserve">Excluded → mapped</t>
  </si>
  <si>
    <t xml:space="preserve">(excluded)</t>
  </si>
  <si>
    <t xml:space="preserve">XBRL name for 'All other geographies'; moved from Excluded</t>
  </si>
  <si>
    <t xml:space="preserve">Almea</t>
  </si>
  <si>
    <t xml:space="preserve">remove (decoded)</t>
  </si>
  <si>
    <t xml:space="preserve">Likely Asia, Latin America, Middle East &amp; Africa — confirm</t>
  </si>
  <si>
    <t xml:space="preserve">Amea</t>
  </si>
  <si>
    <t xml:space="preserve">America</t>
  </si>
  <si>
    <t xml:space="preserve">Ambiguous — could mean US; confirm per filer</t>
  </si>
  <si>
    <t xml:space="preserve">Americas (excluding United States)</t>
  </si>
  <si>
    <t xml:space="preserve">Excludes US</t>
  </si>
  <si>
    <t xml:space="preserve">Americas (non-U.S.)</t>
  </si>
  <si>
    <t xml:space="preserve">Americas - Other</t>
  </si>
  <si>
    <t xml:space="preserve">Americas - U.S.</t>
  </si>
  <si>
    <t xml:space="preserve">Was Americas; label is the US line within Americas</t>
  </si>
  <si>
    <t xml:space="preserve">Americas - United States</t>
  </si>
  <si>
    <t xml:space="preserve">Americas and Europe</t>
  </si>
  <si>
    <t xml:space="preserve">Americas excluding U.S.</t>
  </si>
  <si>
    <t xml:space="preserve">Andalucía</t>
  </si>
  <si>
    <t xml:space="preserve">Andean</t>
  </si>
  <si>
    <t xml:space="preserve">ANZ</t>
  </si>
  <si>
    <t xml:space="preserve">Asia Pacific (APAC)</t>
  </si>
  <si>
    <t xml:space="preserve">APAC Geographic Region</t>
  </si>
  <si>
    <t xml:space="preserve">APEJ</t>
  </si>
  <si>
    <t xml:space="preserve">Apj</t>
  </si>
  <si>
    <t xml:space="preserve">APJ = Asia Pacific &amp; Japan</t>
  </si>
  <si>
    <t xml:space="preserve">Apjc</t>
  </si>
  <si>
    <t xml:space="preserve">Apla</t>
  </si>
  <si>
    <t xml:space="preserve">APLA = Asia Pacific &amp; Latin America</t>
  </si>
  <si>
    <t xml:space="preserve">APMEA</t>
  </si>
  <si>
    <t xml:space="preserve">Arab Republic of Egypt</t>
  </si>
  <si>
    <t xml:space="preserve">ISO 3166 name</t>
  </si>
  <si>
    <t xml:space="preserve">Arab World</t>
  </si>
  <si>
    <t xml:space="preserve">Arabian Peninsula</t>
  </si>
  <si>
    <t xml:space="preserve">ARGENTINA</t>
  </si>
  <si>
    <t xml:space="preserve">Argentine Republic</t>
  </si>
  <si>
    <t xml:space="preserve">ARIZONA</t>
  </si>
  <si>
    <t xml:space="preserve">ARKANSAS</t>
  </si>
  <si>
    <t xml:space="preserve">Was Netherlands (rolled to EMEA)</t>
  </si>
  <si>
    <t xml:space="preserve">ASEAN</t>
  </si>
  <si>
    <t xml:space="preserve">Asia (excluding China region)</t>
  </si>
  <si>
    <t xml:space="preserve">Asia and Oceania</t>
  </si>
  <si>
    <t xml:space="preserve">Asia and Pacific</t>
  </si>
  <si>
    <t xml:space="preserve">Asia ex-China</t>
  </si>
  <si>
    <t xml:space="preserve">Asia ex-Japan</t>
  </si>
  <si>
    <t xml:space="preserve">Asia excluding China</t>
  </si>
  <si>
    <t xml:space="preserve">Asia excluding Japan</t>
  </si>
  <si>
    <t xml:space="preserve">Asia Pacific</t>
  </si>
  <si>
    <t xml:space="preserve">Asia Pacific &amp; Japan (APJ)</t>
  </si>
  <si>
    <t xml:space="preserve">Review 2026-09-16</t>
  </si>
  <si>
    <t xml:space="preserve">Review file (spelling variant)</t>
  </si>
  <si>
    <t xml:space="preserve">Asia Pacific &amp; Latin America (APLA)</t>
  </si>
  <si>
    <t xml:space="preserve">Was Asia</t>
  </si>
  <si>
    <t xml:space="preserve">Asia Pacific ("APAC")</t>
  </si>
  <si>
    <t xml:space="preserve">Asia Pacific (excluding China and Japan)</t>
  </si>
  <si>
    <t xml:space="preserve">Asia Pacific (excluding China, Taiwan and Japan)</t>
  </si>
  <si>
    <t xml:space="preserve">Asia Pacific (including Oceania)</t>
  </si>
  <si>
    <t xml:space="preserve">Asia Pacific (other than China and Japan)</t>
  </si>
  <si>
    <t xml:space="preserve">Asia Pacific (other than Japan and China)</t>
  </si>
  <si>
    <t xml:space="preserve">Asia Pacific (“APAC”)</t>
  </si>
  <si>
    <t xml:space="preserve">Asia Pacific and Japan</t>
  </si>
  <si>
    <t xml:space="preserve">APJ</t>
  </si>
  <si>
    <t xml:space="preserve">Asia Pacific and Japan ("APAC")</t>
  </si>
  <si>
    <t xml:space="preserve">Review file</t>
  </si>
  <si>
    <t xml:space="preserve">Asia Pacific and other</t>
  </si>
  <si>
    <t xml:space="preserve">Asia Pacific excluding Japan</t>
  </si>
  <si>
    <t xml:space="preserve">Asia Pacific excluding Japan (APEJ)</t>
  </si>
  <si>
    <t xml:space="preserve">Asia Pacific, Europe, Middle East and Africa</t>
  </si>
  <si>
    <t xml:space="preserve">Europe, Middle East and Africa (EMEA)</t>
  </si>
  <si>
    <t xml:space="preserve">Was EMEA, but label includes APAC</t>
  </si>
  <si>
    <t xml:space="preserve">Asia Pacific, Japan &amp; China (APJC)</t>
  </si>
  <si>
    <t xml:space="preserve">Asia Pacific, Middle East and Africa</t>
  </si>
  <si>
    <t xml:space="preserve">Asia Pacific, Other</t>
  </si>
  <si>
    <t xml:space="preserve">Asia, Middle East &amp; Africa (AMEA)</t>
  </si>
  <si>
    <t xml:space="preserve">Was Africa</t>
  </si>
  <si>
    <t xml:space="preserve">Asia-Pacific</t>
  </si>
  <si>
    <t xml:space="preserve">Asia-Pacific and Japan</t>
  </si>
  <si>
    <t xml:space="preserve">Asia/ Pacific</t>
  </si>
  <si>
    <t xml:space="preserve">Asia/Pacific</t>
  </si>
  <si>
    <t xml:space="preserve">Asia/  Pacific</t>
  </si>
  <si>
    <t xml:space="preserve">Australasia</t>
  </si>
  <si>
    <t xml:space="preserve">AUSTRALIA</t>
  </si>
  <si>
    <t xml:space="preserve">Australia &amp; New Zealand</t>
  </si>
  <si>
    <t xml:space="preserve">Australia / New Zealand</t>
  </si>
  <si>
    <t xml:space="preserve">Australia and New Zealand (ANZ)</t>
  </si>
  <si>
    <t xml:space="preserve">Australia/New Zealand</t>
  </si>
  <si>
    <t xml:space="preserve">BAHRAIN</t>
  </si>
  <si>
    <t xml:space="preserve">Baltic States</t>
  </si>
  <si>
    <t xml:space="preserve">Bangalore</t>
  </si>
  <si>
    <t xml:space="preserve">BARBADOS</t>
  </si>
  <si>
    <t xml:space="preserve">Bay Area</t>
  </si>
  <si>
    <t xml:space="preserve">Bayern</t>
  </si>
  <si>
    <t xml:space="preserve">BELGIUM</t>
  </si>
  <si>
    <t xml:space="preserve">BERMUDA</t>
  </si>
  <si>
    <t xml:space="preserve">Was United Kingdom</t>
  </si>
  <si>
    <t xml:space="preserve">Bethlehem, Pennsylvania and Dallas, Texas</t>
  </si>
  <si>
    <t xml:space="preserve">Two cities in different states; moved from Excluded</t>
  </si>
  <si>
    <t xml:space="preserve">Bogota</t>
  </si>
  <si>
    <t xml:space="preserve">Bolivarian Republic of Venezuela</t>
  </si>
  <si>
    <t xml:space="preserve">Bolivia, Plurinational State of</t>
  </si>
  <si>
    <t xml:space="preserve">Bombay</t>
  </si>
  <si>
    <t xml:space="preserve">Brasilia</t>
  </si>
  <si>
    <t xml:space="preserve">BRAZIL</t>
  </si>
  <si>
    <t xml:space="preserve">Bretagne</t>
  </si>
  <si>
    <t xml:space="preserve">Britain</t>
  </si>
  <si>
    <t xml:space="preserve">British Isles</t>
  </si>
  <si>
    <t xml:space="preserve">Brunei Darussalam</t>
  </si>
  <si>
    <t xml:space="preserve">Burma</t>
  </si>
  <si>
    <t xml:space="preserve">CAC</t>
  </si>
  <si>
    <t xml:space="preserve">CALIFORNIA</t>
  </si>
  <si>
    <t xml:space="preserve">CAMBODIA</t>
  </si>
  <si>
    <t xml:space="preserve">CANADA</t>
  </si>
  <si>
    <t xml:space="preserve">Canada and Latin America</t>
  </si>
  <si>
    <t xml:space="preserve">Canada and other international</t>
  </si>
  <si>
    <t xml:space="preserve">Non-US total incl. Canada</t>
  </si>
  <si>
    <t xml:space="preserve">Canada Operations</t>
  </si>
  <si>
    <t xml:space="preserve">Canada, Caribbean and Central America</t>
  </si>
  <si>
    <t xml:space="preserve">Canada/Mexico</t>
  </si>
  <si>
    <t xml:space="preserve">Canada (North America) + Mexico (LAC)</t>
  </si>
  <si>
    <t xml:space="preserve">Canada:</t>
  </si>
  <si>
    <t xml:space="preserve">Canadian</t>
  </si>
  <si>
    <t xml:space="preserve">Canadian Operations</t>
  </si>
  <si>
    <t xml:space="preserve">Cancun</t>
  </si>
  <si>
    <t xml:space="preserve">Cape Verde</t>
  </si>
  <si>
    <t xml:space="preserve">Caribbean and Central America</t>
  </si>
  <si>
    <t xml:space="preserve">Caribbean Netherlands</t>
  </si>
  <si>
    <t xml:space="preserve">Caribbean Operations</t>
  </si>
  <si>
    <t xml:space="preserve">Needs review</t>
  </si>
  <si>
    <t xml:space="preserve">Caribbean, Central and South America</t>
  </si>
  <si>
    <t xml:space="preserve">Central</t>
  </si>
  <si>
    <t xml:space="preserve">Excludes Mexico</t>
  </si>
  <si>
    <t xml:space="preserve">Catalunya</t>
  </si>
  <si>
    <t xml:space="preserve">Cataluña</t>
  </si>
  <si>
    <t xml:space="preserve">CAYMAN ISLANDS</t>
  </si>
  <si>
    <t xml:space="preserve">CDMX</t>
  </si>
  <si>
    <t xml:space="preserve">CEE</t>
  </si>
  <si>
    <t xml:space="preserve">CEMEA</t>
  </si>
  <si>
    <t xml:space="preserve">Central America and Caribbean</t>
  </si>
  <si>
    <t xml:space="preserve">Central American Operations</t>
  </si>
  <si>
    <t xml:space="preserve">Central and Eastern Europe</t>
  </si>
  <si>
    <t xml:space="preserve">Central and South America</t>
  </si>
  <si>
    <t xml:space="preserve">Central Eastern Europe, Middle East and Africa</t>
  </si>
  <si>
    <t xml:space="preserve">Central Region</t>
  </si>
  <si>
    <t xml:space="preserve">Channel Islands</t>
  </si>
  <si>
    <t xml:space="preserve">CHINA</t>
  </si>
  <si>
    <t xml:space="preserve">China (including Hong Kong)</t>
  </si>
  <si>
    <t xml:space="preserve">China + Hong Kong; smallest node containing both</t>
  </si>
  <si>
    <t xml:space="preserve">China (including Taiwan)</t>
  </si>
  <si>
    <t xml:space="preserve">China and Hong Kong</t>
  </si>
  <si>
    <t xml:space="preserve">China Including Hong Kong</t>
  </si>
  <si>
    <t xml:space="preserve">China Mainland</t>
  </si>
  <si>
    <t xml:space="preserve">China region</t>
  </si>
  <si>
    <t xml:space="preserve">Chinese Taipei</t>
  </si>
  <si>
    <t xml:space="preserve">Cincinnati, Ohio Market Area Restaurants</t>
  </si>
  <si>
    <t xml:space="preserve">Market-area label; moved from Excluded</t>
  </si>
  <si>
    <t xml:space="preserve">Cis</t>
  </si>
  <si>
    <t xml:space="preserve">Ciudad de México</t>
  </si>
  <si>
    <t xml:space="preserve">Colombia Operations</t>
  </si>
  <si>
    <t xml:space="preserve">COLORADO</t>
  </si>
  <si>
    <t xml:space="preserve">Colorado Springs, Colorado</t>
  </si>
  <si>
    <t xml:space="preserve">Columbia</t>
  </si>
  <si>
    <t xml:space="preserve">Commonwealth of Dominica</t>
  </si>
  <si>
    <t xml:space="preserve">Commonwealth of Independent States</t>
  </si>
  <si>
    <t xml:space="preserve">Commonwealth of Independent States (CIS)</t>
  </si>
  <si>
    <t xml:space="preserve">Commonwealth of the Bahamas</t>
  </si>
  <si>
    <t xml:space="preserve">Congo</t>
  </si>
  <si>
    <t xml:space="preserve">Congo (Brazzaville)</t>
  </si>
  <si>
    <t xml:space="preserve">Congo (Kinshasa)</t>
  </si>
  <si>
    <t xml:space="preserve">Congo, The Democratic Republic of the</t>
  </si>
  <si>
    <t xml:space="preserve">Consolidated</t>
  </si>
  <si>
    <t xml:space="preserve">Continental Europe</t>
  </si>
  <si>
    <t xml:space="preserve">Core North America</t>
  </si>
  <si>
    <t xml:space="preserve">Corse</t>
  </si>
  <si>
    <t xml:space="preserve">Cote d'Ivoire</t>
  </si>
  <si>
    <t xml:space="preserve">Curacao</t>
  </si>
  <si>
    <t xml:space="preserve">CYPRUS</t>
  </si>
  <si>
    <t xml:space="preserve">Czechia</t>
  </si>
  <si>
    <t xml:space="preserve">Côte d'Ivoire</t>
  </si>
  <si>
    <t xml:space="preserve">Dallas-Fort Worth</t>
  </si>
  <si>
    <t xml:space="preserve">DELAWARE</t>
  </si>
  <si>
    <t xml:space="preserve">Democratic People's Republic of Korea</t>
  </si>
  <si>
    <t xml:space="preserve">Democratic Republic of Congo</t>
  </si>
  <si>
    <t xml:space="preserve">Democratic Republic of Sao Tome and Principe</t>
  </si>
  <si>
    <t xml:space="preserve">Democratic Republic of Timor-Leste</t>
  </si>
  <si>
    <t xml:space="preserve">Democratic Socialist Republic of Sri Lanka</t>
  </si>
  <si>
    <t xml:space="preserve">DENMARK</t>
  </si>
  <si>
    <t xml:space="preserve">Developed</t>
  </si>
  <si>
    <t xml:space="preserve">Developed Asia</t>
  </si>
  <si>
    <t xml:space="preserve">Developed Europe</t>
  </si>
  <si>
    <t xml:space="preserve">Developed International</t>
  </si>
  <si>
    <t xml:space="preserve">Developed Rest of World</t>
  </si>
  <si>
    <t xml:space="preserve">DFW</t>
  </si>
  <si>
    <t xml:space="preserve">DKI Jakarta</t>
  </si>
  <si>
    <t xml:space="preserve">DMV</t>
  </si>
  <si>
    <t xml:space="preserve">Domestic (Non-US Title)</t>
  </si>
  <si>
    <t xml:space="preserve">Non-US filer; Domestic = filer's home country</t>
  </si>
  <si>
    <t xml:space="preserve">Domestic Operations</t>
  </si>
  <si>
    <t xml:space="preserve">Domestic/United States</t>
  </si>
  <si>
    <t xml:space="preserve">DOMINICAN REPUBLIC</t>
  </si>
  <si>
    <t xml:space="preserve">DRC</t>
  </si>
  <si>
    <t xml:space="preserve">Eame</t>
  </si>
  <si>
    <t xml:space="preserve">EAP</t>
  </si>
  <si>
    <t xml:space="preserve">East</t>
  </si>
  <si>
    <t xml:space="preserve">East and Southeast Asia</t>
  </si>
  <si>
    <t xml:space="preserve">Southeast Asia</t>
  </si>
  <si>
    <t xml:space="preserve">Was Southeast Asia</t>
  </si>
  <si>
    <t xml:space="preserve">East Asia &amp; Pacific</t>
  </si>
  <si>
    <t xml:space="preserve">East Asia and Australia</t>
  </si>
  <si>
    <t xml:space="preserve">East North Central</t>
  </si>
  <si>
    <t xml:space="preserve">East South Central</t>
  </si>
  <si>
    <t xml:space="preserve">East Timor</t>
  </si>
  <si>
    <t xml:space="preserve">Eastern Europe, Middle East &amp; Africa</t>
  </si>
  <si>
    <t xml:space="preserve">Excludes Western Europe</t>
  </si>
  <si>
    <t xml:space="preserve">Eastern Hemisphere</t>
  </si>
  <si>
    <t xml:space="preserve">Eastern Mediterranean</t>
  </si>
  <si>
    <t xml:space="preserve">Spans Southern Europe, Türkiye and the Levant</t>
  </si>
  <si>
    <t xml:space="preserve">Eastern Region</t>
  </si>
  <si>
    <t xml:space="preserve">Eastern Republic of Uruguay</t>
  </si>
  <si>
    <t xml:space="preserve">ECA</t>
  </si>
  <si>
    <t xml:space="preserve">EEMEA</t>
  </si>
  <si>
    <t xml:space="preserve">EM</t>
  </si>
  <si>
    <t xml:space="preserve">EMEA (Europe, Middle East and Africa)</t>
  </si>
  <si>
    <t xml:space="preserve">EMEA And Asia Pacific</t>
  </si>
  <si>
    <t xml:space="preserve">EMEA Geographic Region</t>
  </si>
  <si>
    <t xml:space="preserve">EMEIA</t>
  </si>
  <si>
    <t xml:space="preserve">Emerging</t>
  </si>
  <si>
    <t xml:space="preserve">Emerging Asia</t>
  </si>
  <si>
    <t xml:space="preserve">Emerging Economies</t>
  </si>
  <si>
    <t xml:space="preserve">Emerging Europe</t>
  </si>
  <si>
    <t xml:space="preserve">Emirates</t>
  </si>
  <si>
    <t xml:space="preserve">Estado de México</t>
  </si>
  <si>
    <t xml:space="preserve">EU</t>
  </si>
  <si>
    <t xml:space="preserve">EU27</t>
  </si>
  <si>
    <t xml:space="preserve">Eurasia</t>
  </si>
  <si>
    <t xml:space="preserve">Europe &amp; Central Asia</t>
  </si>
  <si>
    <t xml:space="preserve">Europe (Excluding United Kingdom)</t>
  </si>
  <si>
    <t xml:space="preserve">Excludes UK</t>
  </si>
  <si>
    <t xml:space="preserve">Europe and Asia</t>
  </si>
  <si>
    <t xml:space="preserve">Europe and other</t>
  </si>
  <si>
    <t xml:space="preserve">Europe Member]</t>
  </si>
  <si>
    <t xml:space="preserve">Europe Middle East And Africa</t>
  </si>
  <si>
    <t xml:space="preserve">Europe, Asia &amp; Middle East (EAME)</t>
  </si>
  <si>
    <t xml:space="preserve">Europe, excluding United Kingdom</t>
  </si>
  <si>
    <t xml:space="preserve">Europe, Middle East &amp; Africa</t>
  </si>
  <si>
    <t xml:space="preserve">Europe, Middle East and Africa</t>
  </si>
  <si>
    <t xml:space="preserve">Europe, Middle East And Africa</t>
  </si>
  <si>
    <t xml:space="preserve">Europe, Middle East and Africa ("EMEA")</t>
  </si>
  <si>
    <t xml:space="preserve">Europe, Middle East and Africa (a)</t>
  </si>
  <si>
    <t xml:space="preserve">Europe, Middle East And Africa (EMEA)</t>
  </si>
  <si>
    <t xml:space="preserve">Europe, Middle East and Africa (“EMEA”)</t>
  </si>
  <si>
    <t xml:space="preserve">Europe, Middle East, Africa</t>
  </si>
  <si>
    <t xml:space="preserve">Europe, Middle East, and Africa</t>
  </si>
  <si>
    <t xml:space="preserve">Europe, Middle East, and Africa (EMEA)</t>
  </si>
  <si>
    <t xml:space="preserve">Europe, Middle East, and Africa (“EMEA”)</t>
  </si>
  <si>
    <t xml:space="preserve">Europe, Middle East, and Africa, Other</t>
  </si>
  <si>
    <t xml:space="preserve">Europe, Middle East, India and Africa</t>
  </si>
  <si>
    <t xml:space="preserve">Europe, the Middle East &amp; Africa</t>
  </si>
  <si>
    <t xml:space="preserve">Europe, the Middle East and Africa</t>
  </si>
  <si>
    <t xml:space="preserve">Europe, the Middle East and Africa (EMEA)</t>
  </si>
  <si>
    <t xml:space="preserve">Europe, the Middle East and North Africa</t>
  </si>
  <si>
    <t xml:space="preserve">North Africa only</t>
  </si>
  <si>
    <t xml:space="preserve">Europe, the Middle East, and Africa (“EMEA”)</t>
  </si>
  <si>
    <t xml:space="preserve">Europe, the Middle East &amp; Africa</t>
  </si>
  <si>
    <t xml:space="preserve">Europe, the United Kingdom and Ireland and Emerging Markets ("EUKEM")</t>
  </si>
  <si>
    <t xml:space="preserve">Europe + unspecified emerging markets</t>
  </si>
  <si>
    <t xml:space="preserve">Europe/Middle East and Africa</t>
  </si>
  <si>
    <t xml:space="preserve">Europe/Middle East/Africa</t>
  </si>
  <si>
    <t xml:space="preserve">Europe:</t>
  </si>
  <si>
    <t xml:space="preserve">European Economic Area</t>
  </si>
  <si>
    <t xml:space="preserve">European Union (EU)</t>
  </si>
  <si>
    <t xml:space="preserve">Eurozone</t>
  </si>
  <si>
    <t xml:space="preserve">Ex-US</t>
  </si>
  <si>
    <t xml:space="preserve">Factories in Houston, Texas, and Hiji, Japan</t>
  </si>
  <si>
    <t xml:space="preserve">Review file: place named in label</t>
  </si>
  <si>
    <t xml:space="preserve">Falkland Islands (Malvinas)</t>
  </si>
  <si>
    <t xml:space="preserve">Far East</t>
  </si>
  <si>
    <t xml:space="preserve">Federal Democratic Republic of Ethiopia</t>
  </si>
  <si>
    <t xml:space="preserve">Federal Democratic Republic of Nepal</t>
  </si>
  <si>
    <t xml:space="preserve">Federal Republic of Germany</t>
  </si>
  <si>
    <t xml:space="preserve">Federal Republic of Nigeria</t>
  </si>
  <si>
    <t xml:space="preserve">Federal Republic of Somalia</t>
  </si>
  <si>
    <t xml:space="preserve">Federated States of Micronesia</t>
  </si>
  <si>
    <t xml:space="preserve">Federative Republic of Brazil</t>
  </si>
  <si>
    <t xml:space="preserve">FINLAND</t>
  </si>
  <si>
    <t xml:space="preserve">FLORIDA</t>
  </si>
  <si>
    <t xml:space="preserve">Foreign → International (broad non-US reporting)</t>
  </si>
  <si>
    <t xml:space="preserve">Foreign countries</t>
  </si>
  <si>
    <t xml:space="preserve">Foreign Operations</t>
  </si>
  <si>
    <t xml:space="preserve">Foreign source revenue</t>
  </si>
  <si>
    <t xml:space="preserve">Foreign, excluding The United States of America and Canada</t>
  </si>
  <si>
    <t xml:space="preserve">Excludes Canada</t>
  </si>
  <si>
    <t xml:space="preserve">Foreign, primarily Europe</t>
  </si>
  <si>
    <t xml:space="preserve">Mostly Europe per label</t>
  </si>
  <si>
    <t xml:space="preserve">FRANCE</t>
  </si>
  <si>
    <t xml:space="preserve">French Republic</t>
  </si>
  <si>
    <t xml:space="preserve">Frontier</t>
  </si>
  <si>
    <t xml:space="preserve">G B</t>
  </si>
  <si>
    <t xml:space="preserve">Gabonese Republic</t>
  </si>
  <si>
    <t xml:space="preserve">GameStop Iberia</t>
  </si>
  <si>
    <t xml:space="preserve">Subsidiary name; moved from Excluded</t>
  </si>
  <si>
    <t xml:space="preserve">GCC</t>
  </si>
  <si>
    <t xml:space="preserve">Geographical, outside the United States</t>
  </si>
  <si>
    <t xml:space="preserve">Non-US</t>
  </si>
  <si>
    <t xml:space="preserve">Non-US → International (broad non-US reporting)</t>
  </si>
  <si>
    <t xml:space="preserve">Mapped to US state (was country Georgia on states sheet) — confirm</t>
  </si>
  <si>
    <t xml:space="preserve">GEORGIA</t>
  </si>
  <si>
    <t xml:space="preserve">German</t>
  </si>
  <si>
    <t xml:space="preserve">GERMANY</t>
  </si>
  <si>
    <t xml:space="preserve">Germany and Italy</t>
  </si>
  <si>
    <t xml:space="preserve">Germany, Italy, and Japan</t>
  </si>
  <si>
    <t xml:space="preserve">Germany, Italy, Japan, and Australia</t>
  </si>
  <si>
    <t xml:space="preserve">Global Emerging Markets</t>
  </si>
  <si>
    <t xml:space="preserve">Grand Duchy of Luxembourg</t>
  </si>
  <si>
    <t xml:space="preserve">Great Britain</t>
  </si>
  <si>
    <t xml:space="preserve">Great Lakes</t>
  </si>
  <si>
    <t xml:space="preserve">Greater London Area</t>
  </si>
  <si>
    <t xml:space="preserve">Greater Toronto</t>
  </si>
  <si>
    <t xml:space="preserve">Greater Wellington</t>
  </si>
  <si>
    <t xml:space="preserve">GTA</t>
  </si>
  <si>
    <t xml:space="preserve">GUAM</t>
  </si>
  <si>
    <t xml:space="preserve">GUATEMALA</t>
  </si>
  <si>
    <t xml:space="preserve">Guatemala And Guatemala</t>
  </si>
  <si>
    <t xml:space="preserve">Gulf Coast</t>
  </si>
  <si>
    <t xml:space="preserve">Gulf Cooperation Council</t>
  </si>
  <si>
    <t xml:space="preserve">Gulf Cooperation Council (GCC)</t>
  </si>
  <si>
    <t xml:space="preserve">Gulf Region</t>
  </si>
  <si>
    <t xml:space="preserve">Gulf States</t>
  </si>
  <si>
    <t xml:space="preserve">Gurgaon</t>
  </si>
  <si>
    <t xml:space="preserve">Gyeonggi-do</t>
  </si>
  <si>
    <t xml:space="preserve">HAITI</t>
  </si>
  <si>
    <t xml:space="preserve">Hard Rock Casino And Hotel, Hollywood And Tampa, Florida</t>
  </si>
  <si>
    <t xml:space="preserve">Property name (Hollywood + Tampa); moved from Excluded</t>
  </si>
  <si>
    <t xml:space="preserve">Hard Rock Casino and Hotel, Hollywood, Florida</t>
  </si>
  <si>
    <t xml:space="preserve">Property name; moved from Excluded</t>
  </si>
  <si>
    <t xml:space="preserve">Hard Rock Casino and Hotel, Tampa, Florida</t>
  </si>
  <si>
    <t xml:space="preserve">Hashemite Kingdom of Jordan</t>
  </si>
  <si>
    <t xml:space="preserve">Hellenic Republic</t>
  </si>
  <si>
    <t xml:space="preserve">Hessen</t>
  </si>
  <si>
    <t xml:space="preserve">High-income countries</t>
  </si>
  <si>
    <t xml:space="preserve">Holland</t>
  </si>
  <si>
    <t xml:space="preserve">Holy See (Vatican City State)</t>
  </si>
  <si>
    <t xml:space="preserve">Home Market</t>
  </si>
  <si>
    <t xml:space="preserve">HONDURAS</t>
  </si>
  <si>
    <t xml:space="preserve">HONG KONG</t>
  </si>
  <si>
    <t xml:space="preserve">Hong Kong and Macau</t>
  </si>
  <si>
    <t xml:space="preserve">Hong Kong SAR</t>
  </si>
  <si>
    <t xml:space="preserve">Hong Kong SAR, Taiwan, and Macau SAR</t>
  </si>
  <si>
    <t xml:space="preserve">Excludes mainland China</t>
  </si>
  <si>
    <t xml:space="preserve">Hong Kong Special Administrative Region of China</t>
  </si>
  <si>
    <t xml:space="preserve">Horn of Africa</t>
  </si>
  <si>
    <t xml:space="preserve">HUNGARY</t>
  </si>
  <si>
    <t xml:space="preserve">Iberian Peninsula</t>
  </si>
  <si>
    <t xml:space="preserve">ICELAND</t>
  </si>
  <si>
    <t xml:space="preserve">IDAHO</t>
  </si>
  <si>
    <t xml:space="preserve">Ile-de-France</t>
  </si>
  <si>
    <t xml:space="preserve">ILLINOIS</t>
  </si>
  <si>
    <t xml:space="preserve">In the U.S.</t>
  </si>
  <si>
    <t xml:space="preserve">Independent State of Papua New Guinea</t>
  </si>
  <si>
    <t xml:space="preserve">Independent State of Samoa</t>
  </si>
  <si>
    <t xml:space="preserve">INDIA</t>
  </si>
  <si>
    <t xml:space="preserve">Indian Subcontinent</t>
  </si>
  <si>
    <t xml:space="preserve">Indo-Pacific</t>
  </si>
  <si>
    <t xml:space="preserve">Indochina</t>
  </si>
  <si>
    <t xml:space="preserve">Inside the U.S.</t>
  </si>
  <si>
    <t xml:space="preserve">Inside United States</t>
  </si>
  <si>
    <t xml:space="preserve">Int'l</t>
  </si>
  <si>
    <t xml:space="preserve">Int'l.</t>
  </si>
  <si>
    <t xml:space="preserve">International (excluding US)</t>
  </si>
  <si>
    <t xml:space="preserve">International - other</t>
  </si>
  <si>
    <t xml:space="preserve">International and other</t>
  </si>
  <si>
    <t xml:space="preserve">International Franchise</t>
  </si>
  <si>
    <t xml:space="preserve">Channel qualifier dropped</t>
  </si>
  <si>
    <t xml:space="preserve">International Markets</t>
  </si>
  <si>
    <t xml:space="preserve">International Operations</t>
  </si>
  <si>
    <t xml:space="preserve">International Region</t>
  </si>
  <si>
    <t xml:space="preserve">International Segment</t>
  </si>
  <si>
    <t xml:space="preserve">International Wholesale</t>
  </si>
  <si>
    <t xml:space="preserve">International, Excluding North America</t>
  </si>
  <si>
    <t xml:space="preserve">IOWA</t>
  </si>
  <si>
    <t xml:space="preserve">Iran, Islamic Republic of</t>
  </si>
  <si>
    <t xml:space="preserve">IRELAND</t>
  </si>
  <si>
    <t xml:space="preserve">Irwindale Brewery</t>
  </si>
  <si>
    <t xml:space="preserve">Facility name; moved from Excluded</t>
  </si>
  <si>
    <t xml:space="preserve">Islamic Republic of Afghanistan</t>
  </si>
  <si>
    <t xml:space="preserve">Islamic Republic of Iran</t>
  </si>
  <si>
    <t xml:space="preserve">Islamic Republic of Mauritania</t>
  </si>
  <si>
    <t xml:space="preserve">Islamic Republic of Pakistan</t>
  </si>
  <si>
    <t xml:space="preserve">ISRAEL</t>
  </si>
  <si>
    <t xml:space="preserve">Italian Republic</t>
  </si>
  <si>
    <t xml:space="preserve">ITALY</t>
  </si>
  <si>
    <t xml:space="preserve">Ivory Coast</t>
  </si>
  <si>
    <t xml:space="preserve">JAPA Geographic Region</t>
  </si>
  <si>
    <t xml:space="preserve">JAPA = Japan &amp; Asia Pacific</t>
  </si>
  <si>
    <t xml:space="preserve">JAPAC</t>
  </si>
  <si>
    <t xml:space="preserve">JAPAN</t>
  </si>
  <si>
    <t xml:space="preserve">Japan and Asia Pacific</t>
  </si>
  <si>
    <t xml:space="preserve">Japan and Korea</t>
  </si>
  <si>
    <t xml:space="preserve">Japan.</t>
  </si>
  <si>
    <t xml:space="preserve">KENTUCKY</t>
  </si>
  <si>
    <t xml:space="preserve">Kiev</t>
  </si>
  <si>
    <t xml:space="preserve">Kingdom of Bahrain</t>
  </si>
  <si>
    <t xml:space="preserve">Kingdom of Belgium</t>
  </si>
  <si>
    <t xml:space="preserve">Kingdom of Bhutan</t>
  </si>
  <si>
    <t xml:space="preserve">Kingdom of Cambodia</t>
  </si>
  <si>
    <t xml:space="preserve">Kingdom of Denmark</t>
  </si>
  <si>
    <t xml:space="preserve">Kingdom of Eswatini</t>
  </si>
  <si>
    <t xml:space="preserve">Kingdom of Lesotho</t>
  </si>
  <si>
    <t xml:space="preserve">Kingdom of Morocco</t>
  </si>
  <si>
    <t xml:space="preserve">Kingdom of Norway</t>
  </si>
  <si>
    <t xml:space="preserve">Kingdom of Saudi Arabia</t>
  </si>
  <si>
    <t xml:space="preserve">Kingdom of Spain</t>
  </si>
  <si>
    <t xml:space="preserve">Kingdom of Sweden</t>
  </si>
  <si>
    <t xml:space="preserve">Kingdom of Thailand</t>
  </si>
  <si>
    <t xml:space="preserve">Kingdom of the Netherlands</t>
  </si>
  <si>
    <t xml:space="preserve">Kingdom of Tonga</t>
  </si>
  <si>
    <t xml:space="preserve">Korea</t>
  </si>
  <si>
    <t xml:space="preserve">KOREA</t>
  </si>
  <si>
    <t xml:space="preserve">Korea (South)</t>
  </si>
  <si>
    <t xml:space="preserve">Korea, Democratic People's Republic of</t>
  </si>
  <si>
    <t xml:space="preserve">KOREA, REPUBLIC OF</t>
  </si>
  <si>
    <t xml:space="preserve">Korea, South</t>
  </si>
  <si>
    <t xml:space="preserve">KSA</t>
  </si>
  <si>
    <t xml:space="preserve">Kyrgyz Republic</t>
  </si>
  <si>
    <t xml:space="preserve">Kärnten</t>
  </si>
  <si>
    <t xml:space="preserve">Laap</t>
  </si>
  <si>
    <t xml:space="preserve">LAAP = Latin America &amp; Asia Pacific</t>
  </si>
  <si>
    <t xml:space="preserve">LAC</t>
  </si>
  <si>
    <t xml:space="preserve">Lacc</t>
  </si>
  <si>
    <t xml:space="preserve">LACC = Latin America &amp; Caribbean</t>
  </si>
  <si>
    <t xml:space="preserve">LACC Geographic Region</t>
  </si>
  <si>
    <t xml:space="preserve">Landlocked Developing Countries</t>
  </si>
  <si>
    <t xml:space="preserve">Lao PDR</t>
  </si>
  <si>
    <t xml:space="preserve">Lao People's Democratic Republic</t>
  </si>
  <si>
    <t xml:space="preserve">LATAM</t>
  </si>
  <si>
    <t xml:space="preserve">Latin America</t>
  </si>
  <si>
    <t xml:space="preserve">Latin America &amp; Asia Pacific (LAAP)</t>
  </si>
  <si>
    <t xml:space="preserve">Latin America &amp; Canada</t>
  </si>
  <si>
    <t xml:space="preserve">Americas excluding US; Canada is not in Latin America</t>
  </si>
  <si>
    <t xml:space="preserve">Latin America ("LATAM")</t>
  </si>
  <si>
    <t xml:space="preserve">Latin America ("LatAm")</t>
  </si>
  <si>
    <t xml:space="preserve">Latin America (“LATAM”)</t>
  </si>
  <si>
    <t xml:space="preserve">Latin America And Caribbean</t>
  </si>
  <si>
    <t xml:space="preserve">Latin America and Caribbean</t>
  </si>
  <si>
    <t xml:space="preserve">Latin America and Other</t>
  </si>
  <si>
    <t xml:space="preserve">Latin America and the Caribbean (LAC)</t>
  </si>
  <si>
    <t xml:space="preserve">Latin America {Member}</t>
  </si>
  <si>
    <t xml:space="preserve">Latin America, Other</t>
  </si>
  <si>
    <t xml:space="preserve">Latin America/Caribbean</t>
  </si>
  <si>
    <t xml:space="preserve">Latin  America</t>
  </si>
  <si>
    <t xml:space="preserve">LDC</t>
  </si>
  <si>
    <t xml:space="preserve">LDCs</t>
  </si>
  <si>
    <t xml:space="preserve">Least Developed Countries</t>
  </si>
  <si>
    <t xml:space="preserve">Lebanese Republic</t>
  </si>
  <si>
    <t xml:space="preserve">LLDC</t>
  </si>
  <si>
    <t xml:space="preserve">Lombardia</t>
  </si>
  <si>
    <t xml:space="preserve">London, England</t>
  </si>
  <si>
    <t xml:space="preserve">London, United Kingdom</t>
  </si>
  <si>
    <t xml:space="preserve">LOUISIANA</t>
  </si>
  <si>
    <t xml:space="preserve">Low Countries</t>
  </si>
  <si>
    <t xml:space="preserve">Lower middle income</t>
  </si>
  <si>
    <t xml:space="preserve">LUXEMBOURG</t>
  </si>
  <si>
    <t xml:space="preserve">Macao</t>
  </si>
  <si>
    <t xml:space="preserve">Macao SAR</t>
  </si>
  <si>
    <t xml:space="preserve">Macao Special Administrative Region of China</t>
  </si>
  <si>
    <t xml:space="preserve">Macau SAR</t>
  </si>
  <si>
    <t xml:space="preserve">Macedonia</t>
  </si>
  <si>
    <t xml:space="preserve">Madrid Region</t>
  </si>
  <si>
    <t xml:space="preserve">Mainland China</t>
  </si>
  <si>
    <t xml:space="preserve">Mainland China (excluding Hong Kong)</t>
  </si>
  <si>
    <t xml:space="preserve">Makkah</t>
  </si>
  <si>
    <t xml:space="preserve">MALAYSIA</t>
  </si>
  <si>
    <t xml:space="preserve">MALTA</t>
  </si>
  <si>
    <t xml:space="preserve">Manufacturing facility in Houston, Texas</t>
  </si>
  <si>
    <t xml:space="preserve">Facility description; moved from Excluded</t>
  </si>
  <si>
    <t xml:space="preserve">MARYLAND</t>
  </si>
  <si>
    <t xml:space="preserve">MASSACHUSETTS</t>
  </si>
  <si>
    <t xml:space="preserve">Mazowieckie</t>
  </si>
  <si>
    <t xml:space="preserve">Mci</t>
  </si>
  <si>
    <t xml:space="preserve">Molson Coors International segment code — confirm</t>
  </si>
  <si>
    <t xml:space="preserve">MEA</t>
  </si>
  <si>
    <t xml:space="preserve">Mecca</t>
  </si>
  <si>
    <t xml:space="preserve">Mecklenburg-Vorpommern</t>
  </si>
  <si>
    <t xml:space="preserve">Mediterranean</t>
  </si>
  <si>
    <t xml:space="preserve">Melaka</t>
  </si>
  <si>
    <t xml:space="preserve">MENA</t>
  </si>
  <si>
    <t xml:space="preserve">MENAAP</t>
  </si>
  <si>
    <t xml:space="preserve">Metro Manila</t>
  </si>
  <si>
    <t xml:space="preserve">MEXICO</t>
  </si>
  <si>
    <t xml:space="preserve">Mexico and Canada</t>
  </si>
  <si>
    <t xml:space="preserve">Mexico and Central America</t>
  </si>
  <si>
    <t xml:space="preserve">MICHIGAN</t>
  </si>
  <si>
    <t xml:space="preserve">Micronesia, Federated States of</t>
  </si>
  <si>
    <t xml:space="preserve">Mid Atlantic</t>
  </si>
  <si>
    <t xml:space="preserve">Mid East</t>
  </si>
  <si>
    <t xml:space="preserve">Mid-Atlantic</t>
  </si>
  <si>
    <t xml:space="preserve">Mid-West</t>
  </si>
  <si>
    <t xml:space="preserve">Middle East &amp; Africa</t>
  </si>
  <si>
    <t xml:space="preserve">Middle East And Africa</t>
  </si>
  <si>
    <t xml:space="preserve">Middle East and Africa (MEA)</t>
  </si>
  <si>
    <t xml:space="preserve">Middle East and North Africa</t>
  </si>
  <si>
    <t xml:space="preserve">Middle East and Turkey</t>
  </si>
  <si>
    <t xml:space="preserve">Middle income</t>
  </si>
  <si>
    <t xml:space="preserve">Middle-income countries</t>
  </si>
  <si>
    <t xml:space="preserve">Midwest</t>
  </si>
  <si>
    <t xml:space="preserve">West</t>
  </si>
  <si>
    <t xml:space="preserve">Was West</t>
  </si>
  <si>
    <t xml:space="preserve">Midwestern</t>
  </si>
  <si>
    <t xml:space="preserve">MISSOURI</t>
  </si>
  <si>
    <t xml:space="preserve">Moldova, Republic of</t>
  </si>
  <si>
    <t xml:space="preserve">MONTANA</t>
  </si>
  <si>
    <t xml:space="preserve">MONTENEGRO</t>
  </si>
  <si>
    <t xml:space="preserve">Montreal Brewery</t>
  </si>
  <si>
    <t xml:space="preserve">Mountain</t>
  </si>
  <si>
    <t xml:space="preserve">Was Montana; this is the US Mountain region</t>
  </si>
  <si>
    <t xml:space="preserve">Mountain West</t>
  </si>
  <si>
    <t xml:space="preserve">Munchen</t>
  </si>
  <si>
    <t xml:space="preserve">München</t>
  </si>
  <si>
    <t xml:space="preserve">NAFTA</t>
  </si>
  <si>
    <t xml:space="preserve">NCR Delhi</t>
  </si>
  <si>
    <t xml:space="preserve">Near East</t>
  </si>
  <si>
    <t xml:space="preserve">Netherland</t>
  </si>
  <si>
    <t xml:space="preserve">NETHERLANDS</t>
  </si>
  <si>
    <t xml:space="preserve">NEVADA</t>
  </si>
  <si>
    <t xml:space="preserve">New England</t>
  </si>
  <si>
    <t xml:space="preserve">NEW JERSEY</t>
  </si>
  <si>
    <t xml:space="preserve">NEW MEXICO</t>
  </si>
  <si>
    <t xml:space="preserve">NEW YORK</t>
  </si>
  <si>
    <t xml:space="preserve">NEW ZEALAND</t>
  </si>
  <si>
    <t xml:space="preserve">Niedersachsen</t>
  </si>
  <si>
    <t xml:space="preserve">NOLA</t>
  </si>
  <si>
    <t xml:space="preserve">Non U.S.</t>
  </si>
  <si>
    <t xml:space="preserve">Non United States</t>
  </si>
  <si>
    <t xml:space="preserve">Non Us</t>
  </si>
  <si>
    <t xml:space="preserve">Non US</t>
  </si>
  <si>
    <t xml:space="preserve">Non US Operations</t>
  </si>
  <si>
    <t xml:space="preserve">Non-domestic</t>
  </si>
  <si>
    <t xml:space="preserve">Was Americas/Domestic; non-domestic = outside home market</t>
  </si>
  <si>
    <t xml:space="preserve">Non-North America</t>
  </si>
  <si>
    <t xml:space="preserve">Non-U.S.</t>
  </si>
  <si>
    <t xml:space="preserve">Non-U.S. operations</t>
  </si>
  <si>
    <t xml:space="preserve">Non-United States</t>
  </si>
  <si>
    <t xml:space="preserve">Noord-Holland</t>
  </si>
  <si>
    <t xml:space="preserve">NORAM</t>
  </si>
  <si>
    <t xml:space="preserve">Nordic countries</t>
  </si>
  <si>
    <t xml:space="preserve">Nordic region</t>
  </si>
  <si>
    <t xml:space="preserve">Nordrhein-Westfalen</t>
  </si>
  <si>
    <t xml:space="preserve">Normandie</t>
  </si>
  <si>
    <t xml:space="preserve">North</t>
  </si>
  <si>
    <t xml:space="preserve">Only D.R. Horton / Toll Brothers file this; US North region</t>
  </si>
  <si>
    <t xml:space="preserve">North America (a)</t>
  </si>
  <si>
    <t xml:space="preserve">North America (U.S., Canada and Latin America)</t>
  </si>
  <si>
    <t xml:space="preserve">Filer calls it North America but it includes Latin America</t>
  </si>
  <si>
    <t xml:space="preserve">North American Markets</t>
  </si>
  <si>
    <t xml:space="preserve">North American Region</t>
  </si>
  <si>
    <t xml:space="preserve">North Asia</t>
  </si>
  <si>
    <t xml:space="preserve">NORTH CAROLINA</t>
  </si>
  <si>
    <t xml:space="preserve">North East</t>
  </si>
  <si>
    <t xml:space="preserve">North Latin America</t>
  </si>
  <si>
    <t xml:space="preserve">Northeast</t>
  </si>
  <si>
    <t xml:space="preserve">Northern California</t>
  </si>
  <si>
    <t xml:space="preserve">Northern Marianas</t>
  </si>
  <si>
    <t xml:space="preserve">Northwest</t>
  </si>
  <si>
    <t xml:space="preserve">Was North America; this is a US region</t>
  </si>
  <si>
    <t xml:space="preserve">North  America</t>
  </si>
  <si>
    <t xml:space="preserve">NSW</t>
  </si>
  <si>
    <t xml:space="preserve">Nuevo Leon</t>
  </si>
  <si>
    <t xml:space="preserve">NY</t>
  </si>
  <si>
    <t xml:space="preserve">NYC</t>
  </si>
  <si>
    <t xml:space="preserve">of which France</t>
  </si>
  <si>
    <t xml:space="preserve">of which Germany</t>
  </si>
  <si>
    <t xml:space="preserve">of which Japan</t>
  </si>
  <si>
    <t xml:space="preserve">of which United States</t>
  </si>
  <si>
    <t xml:space="preserve">OHIO</t>
  </si>
  <si>
    <t xml:space="preserve">ONTARIO</t>
  </si>
  <si>
    <t xml:space="preserve">OREGON</t>
  </si>
  <si>
    <t xml:space="preserve">Other - International</t>
  </si>
  <si>
    <t xml:space="preserve">Other [member]</t>
  </si>
  <si>
    <t xml:space="preserve">Other Americas</t>
  </si>
  <si>
    <t xml:space="preserve">Was South America; residual of Americas</t>
  </si>
  <si>
    <t xml:space="preserve">Other AP</t>
  </si>
  <si>
    <t xml:space="preserve">Was Other; 'AP' = Asia Pacific</t>
  </si>
  <si>
    <t xml:space="preserve">Other APAC</t>
  </si>
  <si>
    <t xml:space="preserve">Other areas</t>
  </si>
  <si>
    <t xml:space="preserve">Other Asia</t>
  </si>
  <si>
    <t xml:space="preserve">Other Asia Pacific</t>
  </si>
  <si>
    <t xml:space="preserve">Other Countries</t>
  </si>
  <si>
    <t xml:space="preserve">Other countries, excluding United States and Japan</t>
  </si>
  <si>
    <t xml:space="preserve">Excludes Japan</t>
  </si>
  <si>
    <t xml:space="preserve">Other EMEA</t>
  </si>
  <si>
    <t xml:space="preserve">Other Europe</t>
  </si>
  <si>
    <t xml:space="preserve">Was Western Europe; residual of Europe</t>
  </si>
  <si>
    <t xml:space="preserve">Other European Countries</t>
  </si>
  <si>
    <t xml:space="preserve">Other foreign</t>
  </si>
  <si>
    <t xml:space="preserve">Was Other</t>
  </si>
  <si>
    <t xml:space="preserve">Other foreign (1)</t>
  </si>
  <si>
    <t xml:space="preserve">Other foreign countries</t>
  </si>
  <si>
    <t xml:space="preserve">Other foreign locations</t>
  </si>
  <si>
    <t xml:space="preserve">Other geographic areas</t>
  </si>
  <si>
    <t xml:space="preserve">Other Geographic Areas:</t>
  </si>
  <si>
    <t xml:space="preserve">Other Geographic Region</t>
  </si>
  <si>
    <t xml:space="preserve">Other Geographical Area</t>
  </si>
  <si>
    <t xml:space="preserve">Other Geographical Areas</t>
  </si>
  <si>
    <t xml:space="preserve">Other International</t>
  </si>
  <si>
    <t xml:space="preserve">Other international locations</t>
  </si>
  <si>
    <t xml:space="preserve">Other International Operations</t>
  </si>
  <si>
    <t xml:space="preserve">Other Latin America</t>
  </si>
  <si>
    <t xml:space="preserve">Other locations</t>
  </si>
  <si>
    <t xml:space="preserve">Other Non-U.S.</t>
  </si>
  <si>
    <t xml:space="preserve">Other non-U.S.</t>
  </si>
  <si>
    <t xml:space="preserve">Other Non-United States</t>
  </si>
  <si>
    <t xml:space="preserve">Other Regions</t>
  </si>
  <si>
    <t xml:space="preserve">Other regions</t>
  </si>
  <si>
    <t xml:space="preserve">Other(a)</t>
  </si>
  <si>
    <t xml:space="preserve">Other-Asia</t>
  </si>
  <si>
    <t xml:space="preserve">Other.</t>
  </si>
  <si>
    <t xml:space="preserve">Other:</t>
  </si>
  <si>
    <t xml:space="preserve">Others</t>
  </si>
  <si>
    <t xml:space="preserve">Outside Canada</t>
  </si>
  <si>
    <t xml:space="preserve">Canadian filer; home market = Canada</t>
  </si>
  <si>
    <t xml:space="preserve">Outside of North America</t>
  </si>
  <si>
    <t xml:space="preserve">Outside of the U.S.</t>
  </si>
  <si>
    <t xml:space="preserve">Outside of the United States</t>
  </si>
  <si>
    <t xml:space="preserve">Outside of the United States and India</t>
  </si>
  <si>
    <t xml:space="preserve">Excludes India</t>
  </si>
  <si>
    <t xml:space="preserve">Outside of the United States, China, and India</t>
  </si>
  <si>
    <t xml:space="preserve">Excludes China and India</t>
  </si>
  <si>
    <t xml:space="preserve">Outside of U.S</t>
  </si>
  <si>
    <t xml:space="preserve">Outside of U.S.</t>
  </si>
  <si>
    <t xml:space="preserve">Outside of United States</t>
  </si>
  <si>
    <t xml:space="preserve">Outside Of United States</t>
  </si>
  <si>
    <t xml:space="preserve">Outside the U.S.</t>
  </si>
  <si>
    <t xml:space="preserve">Outside the United States</t>
  </si>
  <si>
    <t xml:space="preserve">Outside U.S.</t>
  </si>
  <si>
    <t xml:space="preserve">Outside United States</t>
  </si>
  <si>
    <t xml:space="preserve">OUTSIDE UNITED STATES</t>
  </si>
  <si>
    <t xml:space="preserve">Outside US</t>
  </si>
  <si>
    <t xml:space="preserve">Overseas</t>
  </si>
  <si>
    <t xml:space="preserve">Pacific</t>
  </si>
  <si>
    <t xml:space="preserve">Pacific Basin and Far East</t>
  </si>
  <si>
    <t xml:space="preserve">Pacific Northwest</t>
  </si>
  <si>
    <t xml:space="preserve">Pacific Rim</t>
  </si>
  <si>
    <t xml:space="preserve">PAKISTAN</t>
  </si>
  <si>
    <t xml:space="preserve">Palestine, State of</t>
  </si>
  <si>
    <t xml:space="preserve">Palestinian Territories</t>
  </si>
  <si>
    <t xml:space="preserve">Paris Region</t>
  </si>
  <si>
    <t xml:space="preserve">PENNSYLVANIA</t>
  </si>
  <si>
    <t xml:space="preserve">Pension Benefits - U.S.</t>
  </si>
  <si>
    <t xml:space="preserve">People's Democratic Republic of Algeria</t>
  </si>
  <si>
    <t xml:space="preserve">People's Republic of Bangladesh</t>
  </si>
  <si>
    <t xml:space="preserve">People's Republic of China</t>
  </si>
  <si>
    <t xml:space="preserve">pf0:CA</t>
  </si>
  <si>
    <t xml:space="preserve">pf0:US</t>
  </si>
  <si>
    <t xml:space="preserve">PHILIPPINES</t>
  </si>
  <si>
    <t xml:space="preserve">Piemonte</t>
  </si>
  <si>
    <t xml:space="preserve">Plurinational State of Bolivia</t>
  </si>
  <si>
    <t xml:space="preserve">POLAND</t>
  </si>
  <si>
    <t xml:space="preserve">PORTUGAL</t>
  </si>
  <si>
    <t xml:space="preserve">Portuguese Republic</t>
  </si>
  <si>
    <t xml:space="preserve">PRC</t>
  </si>
  <si>
    <t xml:space="preserve">Principality of Andorra</t>
  </si>
  <si>
    <t xml:space="preserve">Principality of Liechtenstein</t>
  </si>
  <si>
    <t xml:space="preserve">Principality of Monaco</t>
  </si>
  <si>
    <t xml:space="preserve">PUERTO RICO</t>
  </si>
  <si>
    <t xml:space="preserve">Pulau Pinang</t>
  </si>
  <si>
    <t xml:space="preserve">Québec</t>
  </si>
  <si>
    <t xml:space="preserve">Real estate in Santa Clara, California</t>
  </si>
  <si>
    <t xml:space="preserve">Regions Excluding North America</t>
  </si>
  <si>
    <t xml:space="preserve">Regions outside the U.S.</t>
  </si>
  <si>
    <t xml:space="preserve">Republic of Albania</t>
  </si>
  <si>
    <t xml:space="preserve">Republic of Angola</t>
  </si>
  <si>
    <t xml:space="preserve">Republic of Armenia</t>
  </si>
  <si>
    <t xml:space="preserve">Republic of Austria</t>
  </si>
  <si>
    <t xml:space="preserve">Republic of Azerbaijan</t>
  </si>
  <si>
    <t xml:space="preserve">Republic of Belarus</t>
  </si>
  <si>
    <t xml:space="preserve">Republic of Benin</t>
  </si>
  <si>
    <t xml:space="preserve">Republic of Bosnia and Herzegovina</t>
  </si>
  <si>
    <t xml:space="preserve">Republic of Botswana</t>
  </si>
  <si>
    <t xml:space="preserve">Republic of Bulgaria</t>
  </si>
  <si>
    <t xml:space="preserve">Republic of Burundi</t>
  </si>
  <si>
    <t xml:space="preserve">Republic of Cabo Verde</t>
  </si>
  <si>
    <t xml:space="preserve">Republic of Cameroon</t>
  </si>
  <si>
    <t xml:space="preserve">Republic of Chad</t>
  </si>
  <si>
    <t xml:space="preserve">Republic of Chile</t>
  </si>
  <si>
    <t xml:space="preserve">Republic of Colombia</t>
  </si>
  <si>
    <t xml:space="preserve">Republic of Congo</t>
  </si>
  <si>
    <t xml:space="preserve">Republic of Costa Rica</t>
  </si>
  <si>
    <t xml:space="preserve">Republic of Croatia</t>
  </si>
  <si>
    <t xml:space="preserve">Republic of Cuba</t>
  </si>
  <si>
    <t xml:space="preserve">Republic of Cyprus</t>
  </si>
  <si>
    <t xml:space="preserve">Republic of Côte d'Ivoire</t>
  </si>
  <si>
    <t xml:space="preserve">Republic of Djibouti</t>
  </si>
  <si>
    <t xml:space="preserve">Republic of Ecuador</t>
  </si>
  <si>
    <t xml:space="preserve">Republic of El Salvador</t>
  </si>
  <si>
    <t xml:space="preserve">Republic of Equatorial Guinea</t>
  </si>
  <si>
    <t xml:space="preserve">Republic of Estonia</t>
  </si>
  <si>
    <t xml:space="preserve">Republic of Fiji</t>
  </si>
  <si>
    <t xml:space="preserve">Republic of Finland</t>
  </si>
  <si>
    <t xml:space="preserve">Republic of Ghana</t>
  </si>
  <si>
    <t xml:space="preserve">Republic of Guatemala</t>
  </si>
  <si>
    <t xml:space="preserve">Republic of Guinea</t>
  </si>
  <si>
    <t xml:space="preserve">Republic of Guinea-Bissau</t>
  </si>
  <si>
    <t xml:space="preserve">Republic of Guyana</t>
  </si>
  <si>
    <t xml:space="preserve">Republic of Haiti</t>
  </si>
  <si>
    <t xml:space="preserve">Republic of Honduras</t>
  </si>
  <si>
    <t xml:space="preserve">Republic of Iceland</t>
  </si>
  <si>
    <t xml:space="preserve">Republic of India</t>
  </si>
  <si>
    <t xml:space="preserve">Republic of Indonesia</t>
  </si>
  <si>
    <t xml:space="preserve">Republic of Iraq</t>
  </si>
  <si>
    <t xml:space="preserve">Republic of Ireland</t>
  </si>
  <si>
    <t xml:space="preserve">Republic of Kazakhstan</t>
  </si>
  <si>
    <t xml:space="preserve">Republic of Kenya</t>
  </si>
  <si>
    <t xml:space="preserve">Republic of Kiribati</t>
  </si>
  <si>
    <t xml:space="preserve">Republic of Korea</t>
  </si>
  <si>
    <t xml:space="preserve">Republic of Latvia</t>
  </si>
  <si>
    <t xml:space="preserve">Republic of Liberia</t>
  </si>
  <si>
    <t xml:space="preserve">Republic of Lithuania</t>
  </si>
  <si>
    <t xml:space="preserve">Republic of Madagascar</t>
  </si>
  <si>
    <t xml:space="preserve">Republic of Malawi</t>
  </si>
  <si>
    <t xml:space="preserve">Republic of Maldives</t>
  </si>
  <si>
    <t xml:space="preserve">Republic of Mali</t>
  </si>
  <si>
    <t xml:space="preserve">Republic of Malta</t>
  </si>
  <si>
    <t xml:space="preserve">Republic of Mauritius</t>
  </si>
  <si>
    <t xml:space="preserve">Republic of Moldova</t>
  </si>
  <si>
    <t xml:space="preserve">Republic of Mozambique</t>
  </si>
  <si>
    <t xml:space="preserve">Republic of Myanmar</t>
  </si>
  <si>
    <t xml:space="preserve">Republic of Namibia</t>
  </si>
  <si>
    <t xml:space="preserve">Republic of Nauru</t>
  </si>
  <si>
    <t xml:space="preserve">Republic of Nicaragua</t>
  </si>
  <si>
    <t xml:space="preserve">Republic of North Macedonia</t>
  </si>
  <si>
    <t xml:space="preserve">Republic of Palau</t>
  </si>
  <si>
    <t xml:space="preserve">Republic of Panama</t>
  </si>
  <si>
    <t xml:space="preserve">Republic of Paraguay</t>
  </si>
  <si>
    <t xml:space="preserve">Republic of Peru</t>
  </si>
  <si>
    <t xml:space="preserve">Republic of Poland</t>
  </si>
  <si>
    <t xml:space="preserve">Republic of San Marino</t>
  </si>
  <si>
    <t xml:space="preserve">Republic of Senegal</t>
  </si>
  <si>
    <t xml:space="preserve">Republic of Serbia</t>
  </si>
  <si>
    <t xml:space="preserve">Republic of Seychelles</t>
  </si>
  <si>
    <t xml:space="preserve">Republic of Sierra Leone</t>
  </si>
  <si>
    <t xml:space="preserve">Republic of Singapore</t>
  </si>
  <si>
    <t xml:space="preserve">Republic of Slovenia</t>
  </si>
  <si>
    <t xml:space="preserve">Republic of South Africa</t>
  </si>
  <si>
    <t xml:space="preserve">Republic of South Sudan</t>
  </si>
  <si>
    <t xml:space="preserve">Republic of Suriname</t>
  </si>
  <si>
    <t xml:space="preserve">Republic of Tajikistan</t>
  </si>
  <si>
    <t xml:space="preserve">Republic of the Gambia</t>
  </si>
  <si>
    <t xml:space="preserve">Republic of the Marshall Islands</t>
  </si>
  <si>
    <t xml:space="preserve">Republic of the Niger</t>
  </si>
  <si>
    <t xml:space="preserve">Republic of the Philippines</t>
  </si>
  <si>
    <t xml:space="preserve">Republic of the Sudan</t>
  </si>
  <si>
    <t xml:space="preserve">Republic of Trinidad and Tobago</t>
  </si>
  <si>
    <t xml:space="preserve">Republic of Tunisia</t>
  </si>
  <si>
    <t xml:space="preserve">Republic of Türkiye</t>
  </si>
  <si>
    <t xml:space="preserve">Republic of Uganda</t>
  </si>
  <si>
    <t xml:space="preserve">Republic of Uzbekistan</t>
  </si>
  <si>
    <t xml:space="preserve">Republic of Vanuatu</t>
  </si>
  <si>
    <t xml:space="preserve">Republic of Yemen</t>
  </si>
  <si>
    <t xml:space="preserve">Republic of Zambia</t>
  </si>
  <si>
    <t xml:space="preserve">Republic of Zimbabwe</t>
  </si>
  <si>
    <t xml:space="preserve">Rest of Americas</t>
  </si>
  <si>
    <t xml:space="preserve">Rest of APAC</t>
  </si>
  <si>
    <t xml:space="preserve">Rest of Asia</t>
  </si>
  <si>
    <t xml:space="preserve">Rest of Asia Pacific</t>
  </si>
  <si>
    <t xml:space="preserve">Rest of EMEA</t>
  </si>
  <si>
    <t xml:space="preserve">Rest of Europe</t>
  </si>
  <si>
    <t xml:space="preserve">Rest of Latin America</t>
  </si>
  <si>
    <t xml:space="preserve">Rest of North and South America</t>
  </si>
  <si>
    <t xml:space="preserve">Rest of the World</t>
  </si>
  <si>
    <t xml:space="preserve">Rest of the world</t>
  </si>
  <si>
    <t xml:space="preserve">Rest of The World</t>
  </si>
  <si>
    <t xml:space="preserve">Rest of World</t>
  </si>
  <si>
    <t xml:space="preserve">Rest of world</t>
  </si>
  <si>
    <t xml:space="preserve">Rest Of World</t>
  </si>
  <si>
    <t xml:space="preserve">Rest-of-World</t>
  </si>
  <si>
    <t xml:space="preserve">Rest of world</t>
  </si>
  <si>
    <t xml:space="preserve">Reunion</t>
  </si>
  <si>
    <t xml:space="preserve">Rheinland-Pfalz</t>
  </si>
  <si>
    <t xml:space="preserve">Riyadh</t>
  </si>
  <si>
    <t xml:space="preserve">Rocky Mountain</t>
  </si>
  <si>
    <t xml:space="preserve">ROW</t>
  </si>
  <si>
    <t xml:space="preserve">Russia and CIS</t>
  </si>
  <si>
    <t xml:space="preserve">Russia:</t>
  </si>
  <si>
    <t xml:space="preserve">RUSSIAN FEDERATION</t>
  </si>
  <si>
    <t xml:space="preserve">Rwandese Republic</t>
  </si>
  <si>
    <t xml:space="preserve">SAARC</t>
  </si>
  <si>
    <t xml:space="preserve">Sachsen</t>
  </si>
  <si>
    <t xml:space="preserve">Sachsen-Anhalt</t>
  </si>
  <si>
    <t xml:space="preserve">Saigon</t>
  </si>
  <si>
    <t xml:space="preserve">Location unknown (El Salvador, Philippines, US?) — confirm</t>
  </si>
  <si>
    <t xml:space="preserve">Sao Paulo</t>
  </si>
  <si>
    <t xml:space="preserve">SAUDI ARABIA</t>
  </si>
  <si>
    <t xml:space="preserve">SEE</t>
  </si>
  <si>
    <t xml:space="preserve">Semiconductor manufacturing facilities in Hiji, Japan, and Houston, Texas</t>
  </si>
  <si>
    <t xml:space="preserve">Semiconductor manufacturing facilities In Houston, Texas</t>
  </si>
  <si>
    <t xml:space="preserve">Semiconductor manufacturing facilities in Plano, Texas</t>
  </si>
  <si>
    <t xml:space="preserve">Semiconductor manufacturing facility in Nice, France</t>
  </si>
  <si>
    <t xml:space="preserve">Sicilia</t>
  </si>
  <si>
    <t xml:space="preserve">SIDS</t>
  </si>
  <si>
    <t xml:space="preserve">SINGAPORE</t>
  </si>
  <si>
    <t xml:space="preserve">Singapore:</t>
  </si>
  <si>
    <t xml:space="preserve">Site in Nice, France</t>
  </si>
  <si>
    <t xml:space="preserve">Site in Plano, Texas</t>
  </si>
  <si>
    <t xml:space="preserve">Slovak Republic</t>
  </si>
  <si>
    <t xml:space="preserve">Small Island Developing States</t>
  </si>
  <si>
    <t xml:space="preserve">Socialist Republic of Viet Nam</t>
  </si>
  <si>
    <t xml:space="preserve">SOLA</t>
  </si>
  <si>
    <t xml:space="preserve">South</t>
  </si>
  <si>
    <t xml:space="preserve">Only Toll Brothers / Children's Place file this; US South region</t>
  </si>
  <si>
    <t xml:space="preserve">South &amp; Southeast Asia</t>
  </si>
  <si>
    <t xml:space="preserve">South Asia + Southeast Asia</t>
  </si>
  <si>
    <t xml:space="preserve">SOUTH AFRICA</t>
  </si>
  <si>
    <t xml:space="preserve">South and Central America</t>
  </si>
  <si>
    <t xml:space="preserve">South Atlantic</t>
  </si>
  <si>
    <t xml:space="preserve">SOUTH CAROLINA</t>
  </si>
  <si>
    <t xml:space="preserve">South Caucasus</t>
  </si>
  <si>
    <t xml:space="preserve">South Central</t>
  </si>
  <si>
    <t xml:space="preserve">South East</t>
  </si>
  <si>
    <t xml:space="preserve">South Eastern Europe</t>
  </si>
  <si>
    <t xml:space="preserve">South Latin America</t>
  </si>
  <si>
    <t xml:space="preserve">Southeast</t>
  </si>
  <si>
    <t xml:space="preserve">Southern</t>
  </si>
  <si>
    <t xml:space="preserve">Southern California</t>
  </si>
  <si>
    <t xml:space="preserve">Southwest</t>
  </si>
  <si>
    <t xml:space="preserve">Was South East</t>
  </si>
  <si>
    <t xml:space="preserve">SPAIN</t>
  </si>
  <si>
    <t xml:space="preserve">SSA</t>
  </si>
  <si>
    <t xml:space="preserve">SSEA, CIS &amp; MEA</t>
  </si>
  <si>
    <t xml:space="preserve">Southeast Asia, CIS, Middle East &amp; Africa</t>
  </si>
  <si>
    <t xml:space="preserve">St. Kitts and Nevis</t>
  </si>
  <si>
    <t xml:space="preserve">St. Lucia</t>
  </si>
  <si>
    <t xml:space="preserve">State of Israel</t>
  </si>
  <si>
    <t xml:space="preserve">State of Kuwait</t>
  </si>
  <si>
    <t xml:space="preserve">State of Qatar</t>
  </si>
  <si>
    <t xml:space="preserve">Steiermark</t>
  </si>
  <si>
    <t xml:space="preserve">Subtotal all foreign countries</t>
  </si>
  <si>
    <t xml:space="preserve">Subtotal all foreign regions</t>
  </si>
  <si>
    <t xml:space="preserve">Sultanate of Oman</t>
  </si>
  <si>
    <t xml:space="preserve">Swaziland</t>
  </si>
  <si>
    <t xml:space="preserve">SWEDEN</t>
  </si>
  <si>
    <t xml:space="preserve">Swiss Confederation</t>
  </si>
  <si>
    <t xml:space="preserve">Swiss subsidiary</t>
  </si>
  <si>
    <t xml:space="preserve">Entity descriptor; moved from Excluded</t>
  </si>
  <si>
    <t xml:space="preserve">SWITZERLAND</t>
  </si>
  <si>
    <t xml:space="preserve">Syrian Arab Republic</t>
  </si>
  <si>
    <t xml:space="preserve">TAIWAN</t>
  </si>
  <si>
    <t xml:space="preserve">Taiwan, China</t>
  </si>
  <si>
    <t xml:space="preserve">TAIWAN, PROVINCE OF CHINA</t>
  </si>
  <si>
    <t xml:space="preserve">Tanzania, United Republic of</t>
  </si>
  <si>
    <t xml:space="preserve">Tennesse</t>
  </si>
  <si>
    <t xml:space="preserve">TENNESSEE</t>
  </si>
  <si>
    <t xml:space="preserve">TEXAS</t>
  </si>
  <si>
    <t xml:space="preserve">THAILAND</t>
  </si>
  <si>
    <t xml:space="preserve">The Americas</t>
  </si>
  <si>
    <t xml:space="preserve">The Americas Group</t>
  </si>
  <si>
    <t xml:space="preserve">The Netherlands</t>
  </si>
  <si>
    <t xml:space="preserve">the State of Eritrea</t>
  </si>
  <si>
    <t xml:space="preserve">the State of Palestine</t>
  </si>
  <si>
    <t xml:space="preserve">Thüringen</t>
  </si>
  <si>
    <t xml:space="preserve">Tirol</t>
  </si>
  <si>
    <t xml:space="preserve">Togolese Republic</t>
  </si>
  <si>
    <t xml:space="preserve">Toscana</t>
  </si>
  <si>
    <t xml:space="preserve">Total Americas</t>
  </si>
  <si>
    <t xml:space="preserve">Total EMEA</t>
  </si>
  <si>
    <t xml:space="preserve">Total Europe</t>
  </si>
  <si>
    <t xml:space="preserve">Total foreign</t>
  </si>
  <si>
    <t xml:space="preserve">Total Foreign</t>
  </si>
  <si>
    <t xml:space="preserve">Total International</t>
  </si>
  <si>
    <t xml:space="preserve">Total international</t>
  </si>
  <si>
    <t xml:space="preserve">Total Non-U.S.</t>
  </si>
  <si>
    <t xml:space="preserve">Total non-U.S.</t>
  </si>
  <si>
    <t xml:space="preserve">Total Non-United States</t>
  </si>
  <si>
    <t xml:space="preserve">Total North America</t>
  </si>
  <si>
    <t xml:space="preserve">Total outside United States</t>
  </si>
  <si>
    <t xml:space="preserve">Total U.S.</t>
  </si>
  <si>
    <t xml:space="preserve">Tri-State</t>
  </si>
  <si>
    <t xml:space="preserve">Trinidad</t>
  </si>
  <si>
    <t xml:space="preserve">Turkey</t>
  </si>
  <si>
    <t xml:space="preserve">Turkey, New Lira</t>
  </si>
  <si>
    <t xml:space="preserve">Currency-style label; kept as Türkiye</t>
  </si>
  <si>
    <t xml:space="preserve">Turkiye</t>
  </si>
  <si>
    <t xml:space="preserve">U S</t>
  </si>
  <si>
    <t xml:space="preserve">U.K</t>
  </si>
  <si>
    <t xml:space="preserve">U.K.</t>
  </si>
  <si>
    <t xml:space="preserve">U.K. and Europe</t>
  </si>
  <si>
    <t xml:space="preserve">U.S</t>
  </si>
  <si>
    <t xml:space="preserve">U.S.</t>
  </si>
  <si>
    <t xml:space="preserve">U.S. - Federal</t>
  </si>
  <si>
    <t xml:space="preserve">Tax jurisdiction label; names the US</t>
  </si>
  <si>
    <t xml:space="preserve">U.S. and Canada</t>
  </si>
  <si>
    <t xml:space="preserve">U.S. Facilities</t>
  </si>
  <si>
    <t xml:space="preserve">Facility descriptor; moved from Excluded</t>
  </si>
  <si>
    <t xml:space="preserve">U.S. Federal</t>
  </si>
  <si>
    <t xml:space="preserve">Tax jurisdiction label; moved from Excluded (names the US)</t>
  </si>
  <si>
    <t xml:space="preserve">U.S. federal</t>
  </si>
  <si>
    <t xml:space="preserve">U.S. Federal NOL's</t>
  </si>
  <si>
    <t xml:space="preserve">Tax (NOL) label; moved from Excluded (names the US)</t>
  </si>
  <si>
    <t xml:space="preserve">U.S. Member]</t>
  </si>
  <si>
    <t xml:space="preserve">U.S. operations</t>
  </si>
  <si>
    <t xml:space="preserve">U.S. Pension Benefits</t>
  </si>
  <si>
    <t xml:space="preserve">U.S. pensions</t>
  </si>
  <si>
    <t xml:space="preserve">U.S. segment</t>
  </si>
  <si>
    <t xml:space="preserve">U.S. Stock Funds</t>
  </si>
  <si>
    <t xml:space="preserve">Investment-fund label; place by name only — moved from Excluded</t>
  </si>
  <si>
    <t xml:space="preserve">UAE</t>
  </si>
  <si>
    <t xml:space="preserve">UK</t>
  </si>
  <si>
    <t xml:space="preserve">UKI</t>
  </si>
  <si>
    <t xml:space="preserve">UKRAINE</t>
  </si>
  <si>
    <t xml:space="preserve">Unallocated</t>
  </si>
  <si>
    <t xml:space="preserve">Union of the Comoros</t>
  </si>
  <si>
    <t xml:space="preserve">UNITED ARAB EMIRATES</t>
  </si>
  <si>
    <t xml:space="preserve">UNITED KINGDOM</t>
  </si>
  <si>
    <t xml:space="preserve">United Kingdom (U.K.)</t>
  </si>
  <si>
    <t xml:space="preserve">United Kingdom (“U.K.”)</t>
  </si>
  <si>
    <t xml:space="preserve">United Kingdom of Great Britain and Northern Ireland</t>
  </si>
  <si>
    <t xml:space="preserve">United Mexican States</t>
  </si>
  <si>
    <t xml:space="preserve">United Republic of Tanzania</t>
  </si>
  <si>
    <t xml:space="preserve">United State</t>
  </si>
  <si>
    <t xml:space="preserve">UNITED STATES</t>
  </si>
  <si>
    <t xml:space="preserve">United states</t>
  </si>
  <si>
    <t xml:space="preserve">United States &amp; Canada</t>
  </si>
  <si>
    <t xml:space="preserve">United States (a)</t>
  </si>
  <si>
    <t xml:space="preserve">United States (U.S.)</t>
  </si>
  <si>
    <t xml:space="preserve">United States (“U.S.”)</t>
  </si>
  <si>
    <t xml:space="preserve">United States [Member}</t>
  </si>
  <si>
    <t xml:space="preserve">United States and Canada</t>
  </si>
  <si>
    <t xml:space="preserve">United States and Canada ("US&amp;CAN")</t>
  </si>
  <si>
    <t xml:space="preserve">United States Federal</t>
  </si>
  <si>
    <t xml:space="preserve">United States Geographic Region</t>
  </si>
  <si>
    <t xml:space="preserve">United States of America</t>
  </si>
  <si>
    <t xml:space="preserve">United States Operations</t>
  </si>
  <si>
    <t xml:space="preserve">United States, Canada And Latin America (Americas)</t>
  </si>
  <si>
    <t xml:space="preserve">United States.</t>
  </si>
  <si>
    <t xml:space="preserve">United States:</t>
  </si>
  <si>
    <t xml:space="preserve">Upper middle income</t>
  </si>
  <si>
    <t xml:space="preserve">US</t>
  </si>
  <si>
    <t xml:space="preserve">US &amp; Canada</t>
  </si>
  <si>
    <t xml:space="preserve">US, Canada and Mexico</t>
  </si>
  <si>
    <t xml:space="preserve">USMCA</t>
  </si>
  <si>
    <t xml:space="preserve">USVI</t>
  </si>
  <si>
    <t xml:space="preserve">UTAH</t>
  </si>
  <si>
    <t xml:space="preserve">Vatican</t>
  </si>
  <si>
    <t xml:space="preserve">VENEZUELA</t>
  </si>
  <si>
    <t xml:space="preserve">Venezuela, Bolivarian Republic of</t>
  </si>
  <si>
    <t xml:space="preserve">VIET NAM</t>
  </si>
  <si>
    <t xml:space="preserve">VIETNAM</t>
  </si>
  <si>
    <t xml:space="preserve">Virgin Islands, British</t>
  </si>
  <si>
    <t xml:space="preserve">VIRGINIA</t>
  </si>
  <si>
    <t xml:space="preserve">Vlaanderen</t>
  </si>
  <si>
    <t xml:space="preserve">Wallonie</t>
  </si>
  <si>
    <t xml:space="preserve">WASHINGTON</t>
  </si>
  <si>
    <t xml:space="preserve">Washington D.C.</t>
  </si>
  <si>
    <t xml:space="preserve">West Coast</t>
  </si>
  <si>
    <t xml:space="preserve">West North Central</t>
  </si>
  <si>
    <t xml:space="preserve">West South Central</t>
  </si>
  <si>
    <t xml:space="preserve">Western Balkans</t>
  </si>
  <si>
    <t xml:space="preserve">Western Hemisphere</t>
  </si>
  <si>
    <t xml:space="preserve">Western Region</t>
  </si>
  <si>
    <t xml:space="preserve">WISCONSIN</t>
  </si>
  <si>
    <t xml:space="preserve">Worldwide</t>
  </si>
  <si>
    <t xml:space="preserve">Zuid-Holland</t>
  </si>
  <si>
    <t xml:space="preserve">Zürich</t>
  </si>
  <si>
    <t xml:space="preserve">– France</t>
  </si>
  <si>
    <t xml:space="preserve">– Hong Kong</t>
  </si>
  <si>
    <t xml:space="preserve">– UK</t>
  </si>
  <si>
    <t xml:space="preserve">– US</t>
  </si>
  <si>
    <t xml:space="preserve">Category</t>
  </si>
  <si>
    <t xml:space="preserve">Reason</t>
  </si>
  <si>
    <t xml:space="preserve">Source</t>
  </si>
  <si>
    <t xml:space="preserve">Corporate Segment</t>
  </si>
  <si>
    <t xml:space="preserve">Product/business segment</t>
  </si>
  <si>
    <t xml:space="preserve">Business segment, not a place</t>
  </si>
  <si>
    <t xml:space="preserve">remove</t>
  </si>
  <si>
    <t xml:space="preserve">Traditional Homebuilding</t>
  </si>
  <si>
    <t xml:space="preserve">Toll Brothers business segment</t>
  </si>
  <si>
    <t xml:space="preserve">Corporate/Other</t>
  </si>
  <si>
    <t xml:space="preserve">City Living</t>
  </si>
  <si>
    <t xml:space="preserve">Toll Brothers home-type product line, not a place</t>
  </si>
  <si>
    <t xml:space="preserve">Non-branded and bulk</t>
  </si>
  <si>
    <t xml:space="preserve">Product category, Brown-Forman</t>
  </si>
  <si>
    <t xml:space="preserve">Travel Retail</t>
  </si>
  <si>
    <t xml:space="preserve">Sales channel, Brown-Forman</t>
  </si>
  <si>
    <t xml:space="preserve">Export</t>
  </si>
  <si>
    <t xml:space="preserve">Sales channel, Pilgrim's Pride</t>
  </si>
  <si>
    <t xml:space="preserve">Parts and Accessories</t>
  </si>
  <si>
    <t xml:space="preserve">Product segment, Brunswick</t>
  </si>
  <si>
    <t xml:space="preserve">Fresh</t>
  </si>
  <si>
    <t xml:space="preserve">Product line (fresh vs. prepared chicken), Pilgrim's Pride</t>
  </si>
  <si>
    <t xml:space="preserve">Prepared</t>
  </si>
  <si>
    <t xml:space="preserve">Product line, Pilgrim's Pride</t>
  </si>
  <si>
    <t xml:space="preserve">Other Products</t>
  </si>
  <si>
    <t xml:space="preserve">Other, net of eliminations</t>
  </si>
  <si>
    <t xml:space="preserve">Tax/accounting category</t>
  </si>
  <si>
    <t xml:space="preserve">Accounting category, Motorola Solutions</t>
  </si>
  <si>
    <t xml:space="preserve">Other Unallocated</t>
  </si>
  <si>
    <t xml:space="preserve">Accounting category, American Express</t>
  </si>
  <si>
    <t xml:space="preserve">State and Municipalities</t>
  </si>
  <si>
    <t xml:space="preserve">Tax category, Citigroup</t>
  </si>
  <si>
    <t xml:space="preserve">Bare generic word, Group 1 Automotive — almost certainly a tax category, not a place</t>
  </si>
  <si>
    <t xml:space="preserve">State and Local Jurisdiction</t>
  </si>
  <si>
    <t xml:space="preserve">Tax category, Lands' End</t>
  </si>
  <si>
    <t xml:space="preserve">srt_SegmentGeographicalDomain</t>
  </si>
  <si>
    <t xml:space="preserve">Scraper/XBRL artifact</t>
  </si>
  <si>
    <t xml:space="preserve">This is the XBRL axis DOMAIN itself, not a member value — a scraping bug; should never have been captured as a screener option</t>
  </si>
  <si>
    <t xml:space="preserve">Tab</t>
  </si>
  <si>
    <t xml:space="preserve">Meaningless fragment — likely truncated during scraping, PepsiCo</t>
  </si>
  <si>
    <t xml:space="preserve">Paste new MDP labels in the yellow column. Matching ignores case, punctuation, 'Total', 'The', 'Operations', [Member] tags and &amp; vs and. Row 4 is an example — overwrite it.</t>
  </si>
  <si>
    <t xml:space="preserve">New Label (input)</t>
  </si>
  <si>
    <t xml:space="preserve">Status</t>
  </si>
  <si>
    <t xml:space="preserve">Suggested Node</t>
  </si>
  <si>
    <t xml:space="preserve">TOTAL ASIA-PACIFIC:</t>
  </si>
  <si>
    <t xml:space="preserve">#</t>
  </si>
  <si>
    <t xml:space="preserve">Item</t>
  </si>
  <si>
    <t xml:space="preserve">Labels Affected</t>
  </si>
  <si>
    <t xml:space="preserve">Default Applied in This File</t>
  </si>
  <si>
    <t xml:space="preserve">Why</t>
  </si>
  <si>
    <t xml:space="preserve">Confirm (Y / change to)</t>
  </si>
  <si>
    <t xml:space="preserve">Structure follows your template</t>
  </si>
  <si>
    <t xml:space="preserve">All</t>
  </si>
  <si>
    <t xml:space="preserve">Global &gt; AMER / EMEA / APAC &gt; NORAM, LATAM · Europe, Middle East, Africa · South Asia, East Asia, Southeast Asia (ASEAN), Oceania (ANZ) &gt; Country &gt; State</t>
  </si>
  <si>
    <t xml:space="preserve">Former sub-regions (Western Europe, CEE, Middle East, North Africa, Greater China, Northeast Asia, Caribbean…) kept as components under the new sub-regions</t>
  </si>
  <si>
    <t xml:space="preserve">EMEA = Europe | Middle East | Africa</t>
  </si>
  <si>
    <t xml:space="preserve">All EMEA countries</t>
  </si>
  <si>
    <t xml:space="preserve">Middle East is its own sub-region; Africa is one sub-region with North Africa and Sub-Saharan Africa (SSA) as components; MENA kept as a grouping (Middle East + North Africa)</t>
  </si>
  <si>
    <t xml:space="preserve">Africa split follows UN M49 (Northern Africa vs Sub-Saharan Africa): Sudan and Western Sahara in North Africa, Mauritania in SSA. World Bank puts Sudan and Mauritania in SSA — see World Bank Region column</t>
  </si>
  <si>
    <t xml:space="preserve">UN M49 and World Bank reference columns</t>
  </si>
  <si>
    <t xml:space="preserve">Every country</t>
  </si>
  <si>
    <t xml:space="preserve">Added UN M49 region/sub-region/intermediate region, World Bank region and FY27 income group, plus UN LDC/LLDC/SIDS flags</t>
  </si>
  <si>
    <t xml:space="preserve">Sources on Read Me. Reference-grouping nodes added so labels like 'Western Asia', 'MENAAP' or 'Low income' map cleanly</t>
  </si>
  <si>
    <t xml:space="preserve">Türkiye, Caucasus and Central Asia in Europe</t>
  </si>
  <si>
    <t xml:space="preserve">Türkiye, Russia, Georgia, Armenia, Azerbaijan, Kazakhstan, Uzbekistan, etc.</t>
  </si>
  <si>
    <t xml:space="preserve">Europe (component CEE)</t>
  </si>
  <si>
    <t xml:space="preserve">Most filers report these with Europe/CIS. Move to MENA or APAC on Hierarchy if preferred</t>
  </si>
  <si>
    <t xml:space="preserve">Caribbean in LATAM; Bermuda and Greenland in NORAM</t>
  </si>
  <si>
    <t xml:space="preserve">Caribbean islands, Bermuda, Greenland, Saint Pierre and Miquelon</t>
  </si>
  <si>
    <t xml:space="preserve">As stated</t>
  </si>
  <si>
    <t xml:space="preserve">Grouped by geography</t>
  </si>
  <si>
    <t xml:space="preserve">ASEAN = Southeast Asia; ANZ = Oceania</t>
  </si>
  <si>
    <t xml:space="preserve">ASEAN, ANZ, Australia and New Zealand labels</t>
  </si>
  <si>
    <t xml:space="preserve">Southeast Asia (ASEAN); Oceania (ANZ)</t>
  </si>
  <si>
    <t xml:space="preserve">Template treats them as the same sub-region. Pacific Islands kept as a component of Oceania</t>
  </si>
  <si>
    <t xml:space="preserve">Display-name changes</t>
  </si>
  <si>
    <t xml:space="preserve">Americas, EMEA, APAC, North America, Latin America, Southeast Asia, Oceania</t>
  </si>
  <si>
    <t xml:space="preserve">AMER (Americas), EMEA (Europe, Middle East, and Africa), APAC (Asia-Pacific), etc.</t>
  </si>
  <si>
    <t xml:space="preserve">These renames account for many 'Changed' flags on the Label Map</t>
  </si>
  <si>
    <t xml:space="preserve">Foreign and Non-US → International</t>
  </si>
  <si>
    <t xml:space="preserve">Foreign, Non-US, Outside the U.S. and variants</t>
  </si>
  <si>
    <t xml:space="preserve">International (non-regional bucket under Global)</t>
  </si>
  <si>
    <t xml:space="preserve">Agreed preference for broad non-US reporting</t>
  </si>
  <si>
    <t xml:space="preserve">North / South are US regions</t>
  </si>
  <si>
    <t xml:space="preserve">North, South</t>
  </si>
  <si>
    <t xml:space="preserve">US North, US South</t>
  </si>
  <si>
    <t xml:space="preserve">Only D.R. Horton, Toll Brothers and Children's Place file these; they mean US regions</t>
  </si>
  <si>
    <t xml:space="preserve">Georgia = US state</t>
  </si>
  <si>
    <t xml:space="preserve">Georgia, GEORGIA</t>
  </si>
  <si>
    <t xml:space="preserve">Georgia (US state)</t>
  </si>
  <si>
    <t xml:space="preserve">The country is the separate node 'Georgia (Country)'</t>
  </si>
  <si>
    <t xml:space="preserve">Overseas territories by geography</t>
  </si>
  <si>
    <t xml:space="preserve">Aruba, Bermuda, Cayman Islands, BVI, Greenland, Réunion, Curaçao, Channel Islands…</t>
  </si>
  <si>
    <t xml:space="preserve">Own country nodes</t>
  </si>
  <si>
    <t xml:space="preserve">US territories (Puerto Rico, Guam, USVI…) stay under United States</t>
  </si>
  <si>
    <t xml:space="preserve">Place-named Excluded labels now mapped</t>
  </si>
  <si>
    <t xml:space="preserve">U.S. Federal family, U.S. Facilities, Montreal/Irwindale Brewery, Swiss subsidiary, GameStop Iberia, Hard Rock (Hollywood/Tampa), Houston/Plano/Santa Clara facilities, Cincinnati, AllOtherGeographiesMember</t>
  </si>
  <si>
    <t xml:space="preserve">Mapped to the place they name (Source = Excluded → mapped)</t>
  </si>
  <si>
    <t xml:space="preserve">Per your rule. Only labels with no place (segments, product lines, tax categories like 'State', scraper fragments) stay Excluded</t>
  </si>
  <si>
    <t xml:space="preserve">Business regions added</t>
  </si>
  <si>
    <t xml:space="preserve">NOLA/SOLA, CAC, NAFTA/USMCA, Mercosur, CEEMEA, Northern/Central/Southeast Europe, Maghreb, West/East/Central/Southern Africa, Mekong, BRIC(S), G7, OECD; country regions (Western Canada, South China, Kanto, UK ITL1, Brazil macro-regions, US Sun Belt…)</t>
  </si>
  <si>
    <t xml:space="preserve">New nodes + pre-seeded aliases</t>
  </si>
  <si>
    <t xml:space="preserve">NOLA/SOLA and BRICS definitions vary by filer — members listed in Definition column</t>
  </si>
  <si>
    <t xml:space="preserve">China combos → Greater China</t>
  </si>
  <si>
    <t xml:space="preserve">China (including Hong Kong), China and Hong Kong, China (including Taiwan)</t>
  </si>
  <si>
    <t xml:space="preserve">Greater China, Scope = Combined</t>
  </si>
  <si>
    <t xml:space="preserve">Smallest node containing both places</t>
  </si>
  <si>
    <t xml:space="preserve">Ambiguous places</t>
  </si>
  <si>
    <t xml:space="preserve">Gainesville, Union City, San Miguel, Oceanside, Hollywood, South Central, America, Mci, Almea</t>
  </si>
  <si>
    <t xml:space="preserve">See Note column</t>
  </si>
  <si>
    <t xml:space="preserve">Need filer context to resolve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</si>
</sst>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1"/>
      <color rgb="FF7F6000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6.8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/>
      <c r="B2" s="2"/>
    </row>
    <row r="3" customFormat="false" ht="15" hidden="false" customHeight="false" outlineLevel="0" collapsed="false">
      <c r="A3" s="3" t="s">
        <v>2</v>
      </c>
      <c r="B3" s="4"/>
    </row>
    <row r="4" customFormat="false" ht="26.85" hidden="false" customHeight="false" outlineLevel="0" collapsed="false">
      <c r="A4" s="1" t="s">
        <v>3</v>
      </c>
      <c r="B4" s="2" t="s">
        <v>4</v>
      </c>
    </row>
    <row r="5" customFormat="false" ht="15" hidden="false" customHeight="false" outlineLevel="0" collapsed="false">
      <c r="A5" s="1" t="s">
        <v>5</v>
      </c>
      <c r="B5" s="2" t="s">
        <v>6</v>
      </c>
    </row>
    <row r="6" customFormat="false" ht="26.85" hidden="false" customHeight="false" outlineLevel="0" collapsed="false">
      <c r="A6" s="1" t="s">
        <v>7</v>
      </c>
      <c r="B6" s="2" t="s">
        <v>8</v>
      </c>
    </row>
    <row r="7" customFormat="false" ht="26.85" hidden="false" customHeight="false" outlineLevel="0" collapsed="false">
      <c r="A7" s="1" t="s">
        <v>9</v>
      </c>
      <c r="B7" s="2" t="s">
        <v>10</v>
      </c>
    </row>
    <row r="8" customFormat="false" ht="39.55" hidden="false" customHeight="false" outlineLevel="0" collapsed="false">
      <c r="A8" s="1" t="s">
        <v>11</v>
      </c>
      <c r="B8" s="2" t="s">
        <v>12</v>
      </c>
    </row>
    <row r="9" customFormat="false" ht="26.85" hidden="false" customHeight="false" outlineLevel="0" collapsed="false">
      <c r="A9" s="1" t="s">
        <v>13</v>
      </c>
      <c r="B9" s="2" t="s">
        <v>14</v>
      </c>
    </row>
    <row r="10" customFormat="false" ht="39.55" hidden="false" customHeight="false" outlineLevel="0" collapsed="false">
      <c r="A10" s="1" t="s">
        <v>15</v>
      </c>
      <c r="B10" s="2" t="s">
        <v>16</v>
      </c>
    </row>
    <row r="11" customFormat="false" ht="26.85" hidden="false" customHeight="false" outlineLevel="0" collapsed="false">
      <c r="A11" s="1" t="s">
        <v>17</v>
      </c>
      <c r="B11" s="2" t="s">
        <v>18</v>
      </c>
    </row>
    <row r="12" customFormat="false" ht="39.55" hidden="false" customHeight="false" outlineLevel="0" collapsed="false">
      <c r="A12" s="1" t="s">
        <v>19</v>
      </c>
      <c r="B12" s="2" t="s">
        <v>20</v>
      </c>
    </row>
    <row r="13" customFormat="false" ht="26.85" hidden="false" customHeight="false" outlineLevel="0" collapsed="false">
      <c r="A13" s="1" t="s">
        <v>21</v>
      </c>
      <c r="B13" s="2" t="s">
        <v>22</v>
      </c>
    </row>
    <row r="14" customFormat="false" ht="15" hidden="false" customHeight="false" outlineLevel="0" collapsed="false">
      <c r="A14" s="1"/>
      <c r="B14" s="2"/>
    </row>
    <row r="15" customFormat="false" ht="15" hidden="false" customHeight="false" outlineLevel="0" collapsed="false">
      <c r="A15" s="3" t="s">
        <v>23</v>
      </c>
      <c r="B15" s="4"/>
    </row>
    <row r="16" customFormat="false" ht="26.85" hidden="false" customHeight="false" outlineLevel="0" collapsed="false">
      <c r="A16" s="1" t="s">
        <v>24</v>
      </c>
      <c r="B16" s="2" t="s">
        <v>25</v>
      </c>
    </row>
    <row r="17" customFormat="false" ht="26.85" hidden="false" customHeight="false" outlineLevel="0" collapsed="false">
      <c r="A17" s="1" t="s">
        <v>26</v>
      </c>
      <c r="B17" s="2" t="s">
        <v>27</v>
      </c>
    </row>
    <row r="18" customFormat="false" ht="15" hidden="false" customHeight="false" outlineLevel="0" collapsed="false">
      <c r="A18" s="1" t="s">
        <v>28</v>
      </c>
      <c r="B18" s="2" t="s">
        <v>29</v>
      </c>
    </row>
    <row r="19" customFormat="false" ht="15" hidden="false" customHeight="false" outlineLevel="0" collapsed="false">
      <c r="A19" s="1" t="s">
        <v>30</v>
      </c>
      <c r="B19" s="2" t="s">
        <v>31</v>
      </c>
    </row>
    <row r="20" customFormat="false" ht="15" hidden="false" customHeight="false" outlineLevel="0" collapsed="false">
      <c r="A20" s="1" t="s">
        <v>32</v>
      </c>
      <c r="B20" s="2" t="s">
        <v>33</v>
      </c>
    </row>
    <row r="21" customFormat="false" ht="15" hidden="false" customHeight="false" outlineLevel="0" collapsed="false">
      <c r="A21" s="1"/>
      <c r="B21" s="2"/>
    </row>
    <row r="22" customFormat="false" ht="15" hidden="false" customHeight="false" outlineLevel="0" collapsed="false">
      <c r="A22" s="3" t="s">
        <v>34</v>
      </c>
      <c r="B22" s="4"/>
    </row>
    <row r="23" customFormat="false" ht="26.85" hidden="false" customHeight="false" outlineLevel="0" collapsed="false">
      <c r="A23" s="1" t="s">
        <v>35</v>
      </c>
      <c r="B23" s="2" t="s">
        <v>36</v>
      </c>
    </row>
    <row r="24" customFormat="false" ht="15" hidden="false" customHeight="false" outlineLevel="0" collapsed="false">
      <c r="A24" s="1" t="s">
        <v>37</v>
      </c>
      <c r="B24" s="2" t="s">
        <v>38</v>
      </c>
    </row>
    <row r="25" customFormat="false" ht="15" hidden="false" customHeight="false" outlineLevel="0" collapsed="false">
      <c r="A25" s="1" t="s">
        <v>39</v>
      </c>
      <c r="B25" s="2" t="s">
        <v>40</v>
      </c>
    </row>
    <row r="26" customFormat="false" ht="15" hidden="false" customHeight="false" outlineLevel="0" collapsed="false">
      <c r="A26" s="1" t="s">
        <v>41</v>
      </c>
      <c r="B26" s="2" t="s">
        <v>42</v>
      </c>
    </row>
    <row r="27" customFormat="false" ht="15" hidden="false" customHeight="false" outlineLevel="0" collapsed="false">
      <c r="A27" s="1"/>
      <c r="B27" s="2"/>
    </row>
    <row r="28" customFormat="false" ht="15" hidden="false" customHeight="false" outlineLevel="0" collapsed="false">
      <c r="A28" s="3" t="s">
        <v>43</v>
      </c>
      <c r="B28" s="4"/>
    </row>
    <row r="29" customFormat="false" ht="15" hidden="false" customHeight="false" outlineLevel="0" collapsed="false">
      <c r="A29" s="1" t="s">
        <v>44</v>
      </c>
      <c r="B29" s="2" t="n">
        <f aca="false">COUNTA(Hierarchy!A2:A1295)</f>
        <v>1294</v>
      </c>
    </row>
    <row r="30" customFormat="false" ht="15" hidden="false" customHeight="false" outlineLevel="0" collapsed="false">
      <c r="A30" s="1" t="s">
        <v>45</v>
      </c>
      <c r="B30" s="2" t="n">
        <f aca="false">COUNTA('Label Map'!A2:A2019)</f>
        <v>2018</v>
      </c>
    </row>
    <row r="31" customFormat="false" ht="15" hidden="false" customHeight="false" outlineLevel="0" collapsed="false">
      <c r="A31" s="1" t="s">
        <v>46</v>
      </c>
      <c r="B31" s="2" t="n">
        <f aca="false">COUNTIF('Label Map'!M2:M2019,"Pre-seeded")</f>
        <v>1341</v>
      </c>
    </row>
    <row r="32" customFormat="false" ht="15" hidden="false" customHeight="false" outlineLevel="0" collapsed="false">
      <c r="A32" s="1" t="s">
        <v>47</v>
      </c>
      <c r="B32" s="2" t="n">
        <f aca="false">COUNTIF('Label Map'!M2:M2019,"Changed")</f>
        <v>240</v>
      </c>
    </row>
    <row r="33" customFormat="false" ht="15" hidden="false" customHeight="false" outlineLevel="0" collapsed="false">
      <c r="A33" s="1" t="s">
        <v>48</v>
      </c>
      <c r="B33" s="2" t="n">
        <f aca="false">COUNTA(Excluded!A2:A19)</f>
        <v>18</v>
      </c>
    </row>
    <row r="34" customFormat="false" ht="15" hidden="false" customHeight="false" outlineLevel="0" collapsed="false">
      <c r="A34" s="1" t="s">
        <v>49</v>
      </c>
      <c r="B34" s="2" t="n">
        <f aca="false">COUNTIF('Label Map'!O2:O2019,"CONFLICT")</f>
        <v>0</v>
      </c>
    </row>
    <row r="35" customFormat="false" ht="15" hidden="false" customHeight="false" outlineLevel="0" collapsed="false">
      <c r="A35" s="1" t="s">
        <v>50</v>
      </c>
      <c r="B35" s="2" t="n">
        <f aca="false">COUNTIF('Label Map'!F2:F2019,"NODE NOT FOUND")</f>
        <v>0</v>
      </c>
    </row>
    <row r="36" customFormat="false" ht="15" hidden="false" customHeight="false" outlineLevel="0" collapsed="false">
      <c r="A36" s="1" t="s">
        <v>51</v>
      </c>
      <c r="B36" s="2" t="s">
        <v>52</v>
      </c>
    </row>
    <row r="37" customFormat="false" ht="15" hidden="false" customHeight="false" outlineLevel="0" collapsed="false">
      <c r="A37" s="1"/>
      <c r="B37" s="2"/>
    </row>
    <row r="38" customFormat="false" ht="15" hidden="false" customHeight="false" outlineLevel="0" collapsed="false">
      <c r="A38" s="3" t="s">
        <v>53</v>
      </c>
      <c r="B38" s="4"/>
    </row>
    <row r="39" customFormat="false" ht="26.85" hidden="false" customHeight="false" outlineLevel="0" collapsed="false">
      <c r="A39" s="3" t="s">
        <v>54</v>
      </c>
      <c r="B39" s="4" t="s">
        <v>55</v>
      </c>
    </row>
    <row r="40" customFormat="false" ht="26.85" hidden="false" customHeight="false" outlineLevel="0" collapsed="false">
      <c r="A40" s="1" t="s">
        <v>56</v>
      </c>
      <c r="B40" s="2" t="s">
        <v>57</v>
      </c>
    </row>
    <row r="41" customFormat="false" ht="15" hidden="false" customHeight="false" outlineLevel="0" collapsed="false">
      <c r="A41" s="1" t="s">
        <v>58</v>
      </c>
      <c r="B41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30"/>
    <col collapsed="false" customWidth="true" hidden="false" outlineLevel="0" max="16" min="16" style="0" width="22"/>
    <col collapsed="false" customWidth="true" hidden="false" outlineLevel="0" max="17" min="17" style="0" width="50"/>
    <col collapsed="false" customWidth="true" hidden="false" outlineLevel="0" max="18" min="18" style="0" width="9"/>
  </cols>
  <sheetData>
    <row r="1" customFormat="false" ht="30" hidden="false" customHeight="true" outlineLevel="0" collapsed="false">
      <c r="A1" s="5" t="s">
        <v>60</v>
      </c>
      <c r="B1" s="5" t="s">
        <v>61</v>
      </c>
      <c r="C1" s="5" t="s">
        <v>3</v>
      </c>
      <c r="D1" s="5" t="s">
        <v>5</v>
      </c>
      <c r="E1" s="5" t="s">
        <v>7</v>
      </c>
      <c r="F1" s="5" t="s">
        <v>9</v>
      </c>
      <c r="G1" s="5" t="s">
        <v>62</v>
      </c>
      <c r="H1" s="5" t="s">
        <v>11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</row>
    <row r="2" customFormat="false" ht="15" hidden="false" customHeight="false" outlineLevel="0" collapsed="false">
      <c r="A2" s="6" t="s">
        <v>3</v>
      </c>
      <c r="B2" s="6" t="s">
        <v>3</v>
      </c>
      <c r="C2" s="6" t="s">
        <v>3</v>
      </c>
      <c r="D2" s="6" t="s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 t="s">
        <v>73</v>
      </c>
      <c r="R2" s="7" t="n">
        <f aca="false">COUNTIF('Label Map'!$D$2:$D$2000,A2)</f>
        <v>3</v>
      </c>
    </row>
    <row r="3" customFormat="false" ht="15" hidden="false" customHeight="false" outlineLevel="0" collapsed="false">
      <c r="A3" s="6" t="s">
        <v>74</v>
      </c>
      <c r="B3" s="6" t="s">
        <v>5</v>
      </c>
      <c r="C3" s="6" t="s">
        <v>3</v>
      </c>
      <c r="D3" s="6" t="s">
        <v>75</v>
      </c>
      <c r="E3" s="6"/>
      <c r="F3" s="6"/>
      <c r="G3" s="6"/>
      <c r="H3" s="6"/>
      <c r="I3" s="6"/>
      <c r="J3" s="6" t="s">
        <v>3</v>
      </c>
      <c r="K3" s="6"/>
      <c r="L3" s="6"/>
      <c r="M3" s="6"/>
      <c r="N3" s="6"/>
      <c r="O3" s="6"/>
      <c r="P3" s="6"/>
      <c r="Q3" s="6" t="s">
        <v>76</v>
      </c>
      <c r="R3" s="7" t="n">
        <f aca="false">COUNTIF('Label Map'!$D$2:$D$2000,A3)</f>
        <v>22</v>
      </c>
    </row>
    <row r="4" customFormat="false" ht="15" hidden="false" customHeight="false" outlineLevel="0" collapsed="false">
      <c r="A4" s="6" t="s">
        <v>77</v>
      </c>
      <c r="B4" s="6" t="s">
        <v>78</v>
      </c>
      <c r="C4" s="6" t="s">
        <v>3</v>
      </c>
      <c r="D4" s="6" t="s">
        <v>75</v>
      </c>
      <c r="E4" s="6"/>
      <c r="F4" s="6"/>
      <c r="G4" s="6"/>
      <c r="H4" s="6"/>
      <c r="I4" s="6"/>
      <c r="J4" s="6" t="s">
        <v>74</v>
      </c>
      <c r="K4" s="6"/>
      <c r="L4" s="6"/>
      <c r="M4" s="6"/>
      <c r="N4" s="6"/>
      <c r="O4" s="6"/>
      <c r="P4" s="6"/>
      <c r="Q4" s="6" t="s">
        <v>79</v>
      </c>
      <c r="R4" s="7" t="n">
        <f aca="false">COUNTIF('Label Map'!$D$2:$D$2000,A4)</f>
        <v>4</v>
      </c>
    </row>
    <row r="5" customFormat="false" ht="15" hidden="false" customHeight="false" outlineLevel="0" collapsed="false">
      <c r="A5" s="6" t="s">
        <v>80</v>
      </c>
      <c r="B5" s="6" t="s">
        <v>7</v>
      </c>
      <c r="C5" s="6" t="s">
        <v>3</v>
      </c>
      <c r="D5" s="6" t="s">
        <v>75</v>
      </c>
      <c r="E5" s="6" t="s">
        <v>80</v>
      </c>
      <c r="F5" s="6"/>
      <c r="G5" s="6"/>
      <c r="H5" s="6"/>
      <c r="I5" s="6"/>
      <c r="J5" s="6" t="s">
        <v>74</v>
      </c>
      <c r="K5" s="6"/>
      <c r="L5" s="6"/>
      <c r="M5" s="6"/>
      <c r="N5" s="6"/>
      <c r="O5" s="6"/>
      <c r="P5" s="6"/>
      <c r="Q5" s="6"/>
      <c r="R5" s="7" t="n">
        <f aca="false">COUNTIF('Label Map'!$D$2:$D$2000,A5)</f>
        <v>15</v>
      </c>
    </row>
    <row r="6" customFormat="false" ht="15" hidden="false" customHeight="false" outlineLevel="0" collapsed="false">
      <c r="A6" s="6" t="s">
        <v>81</v>
      </c>
      <c r="B6" s="6" t="s">
        <v>9</v>
      </c>
      <c r="C6" s="6" t="s">
        <v>3</v>
      </c>
      <c r="D6" s="6" t="s">
        <v>75</v>
      </c>
      <c r="E6" s="6" t="s">
        <v>80</v>
      </c>
      <c r="F6" s="6" t="s">
        <v>81</v>
      </c>
      <c r="G6" s="6" t="s">
        <v>82</v>
      </c>
      <c r="H6" s="6"/>
      <c r="I6" s="6"/>
      <c r="J6" s="6" t="s">
        <v>80</v>
      </c>
      <c r="K6" s="6" t="s">
        <v>83</v>
      </c>
      <c r="L6" s="6" t="s">
        <v>84</v>
      </c>
      <c r="M6" s="6" t="s">
        <v>85</v>
      </c>
      <c r="N6" s="6"/>
      <c r="O6" s="6" t="s">
        <v>86</v>
      </c>
      <c r="P6" s="6" t="s">
        <v>87</v>
      </c>
      <c r="Q6" s="6"/>
      <c r="R6" s="7" t="n">
        <f aca="false">COUNTIF('Label Map'!$D$2:$D$2000,A6)</f>
        <v>42</v>
      </c>
    </row>
    <row r="7" customFormat="false" ht="15" hidden="false" customHeight="false" outlineLevel="0" collapsed="false">
      <c r="A7" s="6" t="s">
        <v>88</v>
      </c>
      <c r="B7" s="6" t="s">
        <v>89</v>
      </c>
      <c r="C7" s="6" t="s">
        <v>3</v>
      </c>
      <c r="D7" s="6" t="s">
        <v>75</v>
      </c>
      <c r="E7" s="6" t="s">
        <v>80</v>
      </c>
      <c r="F7" s="6" t="s">
        <v>81</v>
      </c>
      <c r="G7" s="6" t="s">
        <v>82</v>
      </c>
      <c r="H7" s="6"/>
      <c r="I7" s="6"/>
      <c r="J7" s="6" t="s">
        <v>81</v>
      </c>
      <c r="K7" s="6"/>
      <c r="L7" s="6"/>
      <c r="M7" s="6"/>
      <c r="N7" s="6"/>
      <c r="O7" s="6"/>
      <c r="P7" s="6"/>
      <c r="Q7" s="6" t="s">
        <v>90</v>
      </c>
      <c r="R7" s="7" t="n">
        <f aca="false">COUNTIF('Label Map'!$D$2:$D$2000,A7)</f>
        <v>1</v>
      </c>
    </row>
    <row r="8" customFormat="false" ht="15" hidden="false" customHeight="false" outlineLevel="0" collapsed="false">
      <c r="A8" s="6" t="s">
        <v>91</v>
      </c>
      <c r="B8" s="6" t="s">
        <v>89</v>
      </c>
      <c r="C8" s="6" t="s">
        <v>3</v>
      </c>
      <c r="D8" s="6" t="s">
        <v>75</v>
      </c>
      <c r="E8" s="6" t="s">
        <v>80</v>
      </c>
      <c r="F8" s="6" t="s">
        <v>81</v>
      </c>
      <c r="G8" s="6" t="s">
        <v>82</v>
      </c>
      <c r="H8" s="6"/>
      <c r="I8" s="6"/>
      <c r="J8" s="6" t="s">
        <v>81</v>
      </c>
      <c r="K8" s="6"/>
      <c r="L8" s="6"/>
      <c r="M8" s="6"/>
      <c r="N8" s="6"/>
      <c r="O8" s="6"/>
      <c r="P8" s="6"/>
      <c r="Q8" s="6"/>
      <c r="R8" s="7" t="n">
        <f aca="false">COUNTIF('Label Map'!$D$2:$D$2000,A8)</f>
        <v>3</v>
      </c>
    </row>
    <row r="9" customFormat="false" ht="15" hidden="false" customHeight="false" outlineLevel="0" collapsed="false">
      <c r="A9" s="6" t="s">
        <v>92</v>
      </c>
      <c r="B9" s="6" t="s">
        <v>89</v>
      </c>
      <c r="C9" s="6" t="s">
        <v>3</v>
      </c>
      <c r="D9" s="6" t="s">
        <v>75</v>
      </c>
      <c r="E9" s="6" t="s">
        <v>80</v>
      </c>
      <c r="F9" s="6" t="s">
        <v>81</v>
      </c>
      <c r="G9" s="6" t="s">
        <v>82</v>
      </c>
      <c r="H9" s="6"/>
      <c r="I9" s="6"/>
      <c r="J9" s="6" t="s">
        <v>81</v>
      </c>
      <c r="K9" s="6"/>
      <c r="L9" s="6"/>
      <c r="M9" s="6"/>
      <c r="N9" s="6"/>
      <c r="O9" s="6"/>
      <c r="P9" s="6"/>
      <c r="Q9" s="6"/>
      <c r="R9" s="7" t="n">
        <f aca="false">COUNTIF('Label Map'!$D$2:$D$2000,A9)</f>
        <v>3</v>
      </c>
    </row>
    <row r="10" customFormat="false" ht="15" hidden="false" customHeight="false" outlineLevel="0" collapsed="false">
      <c r="A10" s="6" t="s">
        <v>93</v>
      </c>
      <c r="B10" s="6" t="s">
        <v>89</v>
      </c>
      <c r="C10" s="6" t="s">
        <v>3</v>
      </c>
      <c r="D10" s="6" t="s">
        <v>75</v>
      </c>
      <c r="E10" s="6" t="s">
        <v>80</v>
      </c>
      <c r="F10" s="6" t="s">
        <v>81</v>
      </c>
      <c r="G10" s="6" t="s">
        <v>82</v>
      </c>
      <c r="H10" s="6"/>
      <c r="I10" s="6"/>
      <c r="J10" s="6" t="s">
        <v>81</v>
      </c>
      <c r="K10" s="6"/>
      <c r="L10" s="6"/>
      <c r="M10" s="6"/>
      <c r="N10" s="6"/>
      <c r="O10" s="6"/>
      <c r="P10" s="6"/>
      <c r="Q10" s="6" t="s">
        <v>94</v>
      </c>
      <c r="R10" s="7" t="n">
        <f aca="false">COUNTIF('Label Map'!$D$2:$D$2000,A10)</f>
        <v>2</v>
      </c>
    </row>
    <row r="11" customFormat="false" ht="15" hidden="false" customHeight="false" outlineLevel="0" collapsed="false">
      <c r="A11" s="6" t="s">
        <v>95</v>
      </c>
      <c r="B11" s="6" t="s">
        <v>89</v>
      </c>
      <c r="C11" s="6" t="s">
        <v>3</v>
      </c>
      <c r="D11" s="6" t="s">
        <v>75</v>
      </c>
      <c r="E11" s="6" t="s">
        <v>80</v>
      </c>
      <c r="F11" s="6" t="s">
        <v>81</v>
      </c>
      <c r="G11" s="6" t="s">
        <v>82</v>
      </c>
      <c r="H11" s="6"/>
      <c r="I11" s="6"/>
      <c r="J11" s="6" t="s">
        <v>81</v>
      </c>
      <c r="K11" s="6"/>
      <c r="L11" s="6"/>
      <c r="M11" s="6"/>
      <c r="N11" s="6"/>
      <c r="O11" s="6"/>
      <c r="P11" s="6"/>
      <c r="Q11" s="6" t="s">
        <v>94</v>
      </c>
      <c r="R11" s="7" t="n">
        <f aca="false">COUNTIF('Label Map'!$D$2:$D$2000,A11)</f>
        <v>2</v>
      </c>
    </row>
    <row r="12" customFormat="false" ht="15" hidden="false" customHeight="false" outlineLevel="0" collapsed="false">
      <c r="A12" s="6" t="s">
        <v>96</v>
      </c>
      <c r="B12" s="6" t="s">
        <v>89</v>
      </c>
      <c r="C12" s="6" t="s">
        <v>3</v>
      </c>
      <c r="D12" s="6" t="s">
        <v>75</v>
      </c>
      <c r="E12" s="6" t="s">
        <v>80</v>
      </c>
      <c r="F12" s="6" t="s">
        <v>81</v>
      </c>
      <c r="G12" s="6" t="s">
        <v>82</v>
      </c>
      <c r="H12" s="6"/>
      <c r="I12" s="6"/>
      <c r="J12" s="6" t="s">
        <v>81</v>
      </c>
      <c r="K12" s="6"/>
      <c r="L12" s="6"/>
      <c r="M12" s="6"/>
      <c r="N12" s="6"/>
      <c r="O12" s="6"/>
      <c r="P12" s="6"/>
      <c r="Q12" s="6"/>
      <c r="R12" s="7" t="n">
        <f aca="false">COUNTIF('Label Map'!$D$2:$D$2000,A12)</f>
        <v>2</v>
      </c>
    </row>
    <row r="13" customFormat="false" ht="15" hidden="false" customHeight="false" outlineLevel="0" collapsed="false">
      <c r="A13" s="6" t="s">
        <v>97</v>
      </c>
      <c r="B13" s="6" t="s">
        <v>89</v>
      </c>
      <c r="C13" s="6" t="s">
        <v>3</v>
      </c>
      <c r="D13" s="6" t="s">
        <v>75</v>
      </c>
      <c r="E13" s="6" t="s">
        <v>80</v>
      </c>
      <c r="F13" s="6" t="s">
        <v>81</v>
      </c>
      <c r="G13" s="6" t="s">
        <v>82</v>
      </c>
      <c r="H13" s="6"/>
      <c r="I13" s="6"/>
      <c r="J13" s="6" t="s">
        <v>81</v>
      </c>
      <c r="K13" s="6"/>
      <c r="L13" s="6"/>
      <c r="M13" s="6"/>
      <c r="N13" s="6"/>
      <c r="O13" s="6"/>
      <c r="P13" s="6"/>
      <c r="Q13" s="6"/>
      <c r="R13" s="7" t="n">
        <f aca="false">COUNTIF('Label Map'!$D$2:$D$2000,A13)</f>
        <v>2</v>
      </c>
    </row>
    <row r="14" customFormat="false" ht="15" hidden="false" customHeight="false" outlineLevel="0" collapsed="false">
      <c r="A14" s="6" t="s">
        <v>98</v>
      </c>
      <c r="B14" s="6" t="s">
        <v>89</v>
      </c>
      <c r="C14" s="6" t="s">
        <v>3</v>
      </c>
      <c r="D14" s="6" t="s">
        <v>75</v>
      </c>
      <c r="E14" s="6" t="s">
        <v>80</v>
      </c>
      <c r="F14" s="6" t="s">
        <v>81</v>
      </c>
      <c r="G14" s="6" t="s">
        <v>82</v>
      </c>
      <c r="H14" s="6"/>
      <c r="I14" s="6"/>
      <c r="J14" s="6" t="s">
        <v>81</v>
      </c>
      <c r="K14" s="6"/>
      <c r="L14" s="6"/>
      <c r="M14" s="6"/>
      <c r="N14" s="6"/>
      <c r="O14" s="6"/>
      <c r="P14" s="6"/>
      <c r="Q14" s="6"/>
      <c r="R14" s="7" t="n">
        <f aca="false">COUNTIF('Label Map'!$D$2:$D$2000,A14)</f>
        <v>3</v>
      </c>
    </row>
    <row r="15" customFormat="false" ht="15" hidden="false" customHeight="false" outlineLevel="0" collapsed="false">
      <c r="A15" s="6" t="s">
        <v>99</v>
      </c>
      <c r="B15" s="6" t="s">
        <v>89</v>
      </c>
      <c r="C15" s="6" t="s">
        <v>3</v>
      </c>
      <c r="D15" s="6" t="s">
        <v>75</v>
      </c>
      <c r="E15" s="6" t="s">
        <v>80</v>
      </c>
      <c r="F15" s="6" t="s">
        <v>81</v>
      </c>
      <c r="G15" s="6" t="s">
        <v>82</v>
      </c>
      <c r="H15" s="6"/>
      <c r="I15" s="6"/>
      <c r="J15" s="6" t="s">
        <v>81</v>
      </c>
      <c r="K15" s="6"/>
      <c r="L15" s="6"/>
      <c r="M15" s="6"/>
      <c r="N15" s="6"/>
      <c r="O15" s="6"/>
      <c r="P15" s="6"/>
      <c r="Q15" s="6"/>
      <c r="R15" s="7" t="n">
        <f aca="false">COUNTIF('Label Map'!$D$2:$D$2000,A15)</f>
        <v>1</v>
      </c>
    </row>
    <row r="16" customFormat="false" ht="15" hidden="false" customHeight="false" outlineLevel="0" collapsed="false">
      <c r="A16" s="6" t="s">
        <v>100</v>
      </c>
      <c r="B16" s="6" t="s">
        <v>89</v>
      </c>
      <c r="C16" s="6" t="s">
        <v>3</v>
      </c>
      <c r="D16" s="6" t="s">
        <v>75</v>
      </c>
      <c r="E16" s="6" t="s">
        <v>80</v>
      </c>
      <c r="F16" s="6" t="s">
        <v>81</v>
      </c>
      <c r="G16" s="6" t="s">
        <v>82</v>
      </c>
      <c r="H16" s="6"/>
      <c r="I16" s="6"/>
      <c r="J16" s="6" t="s">
        <v>81</v>
      </c>
      <c r="K16" s="6"/>
      <c r="L16" s="6"/>
      <c r="M16" s="6"/>
      <c r="N16" s="6"/>
      <c r="O16" s="6"/>
      <c r="P16" s="6"/>
      <c r="Q16" s="6"/>
      <c r="R16" s="7" t="n">
        <f aca="false">COUNTIF('Label Map'!$D$2:$D$2000,A16)</f>
        <v>4</v>
      </c>
    </row>
    <row r="17" customFormat="false" ht="15" hidden="false" customHeight="false" outlineLevel="0" collapsed="false">
      <c r="A17" s="6" t="s">
        <v>101</v>
      </c>
      <c r="B17" s="6" t="s">
        <v>89</v>
      </c>
      <c r="C17" s="6" t="s">
        <v>3</v>
      </c>
      <c r="D17" s="6" t="s">
        <v>75</v>
      </c>
      <c r="E17" s="6" t="s">
        <v>80</v>
      </c>
      <c r="F17" s="6" t="s">
        <v>81</v>
      </c>
      <c r="G17" s="6" t="s">
        <v>82</v>
      </c>
      <c r="H17" s="6"/>
      <c r="I17" s="6"/>
      <c r="J17" s="6" t="s">
        <v>81</v>
      </c>
      <c r="K17" s="6"/>
      <c r="L17" s="6"/>
      <c r="M17" s="6"/>
      <c r="N17" s="6"/>
      <c r="O17" s="6"/>
      <c r="P17" s="6"/>
      <c r="Q17" s="6"/>
      <c r="R17" s="7" t="n">
        <f aca="false">COUNTIF('Label Map'!$D$2:$D$2000,A17)</f>
        <v>4</v>
      </c>
    </row>
    <row r="18" customFormat="false" ht="15" hidden="false" customHeight="false" outlineLevel="0" collapsed="false">
      <c r="A18" s="6" t="s">
        <v>102</v>
      </c>
      <c r="B18" s="6" t="s">
        <v>89</v>
      </c>
      <c r="C18" s="6" t="s">
        <v>3</v>
      </c>
      <c r="D18" s="6" t="s">
        <v>75</v>
      </c>
      <c r="E18" s="6" t="s">
        <v>80</v>
      </c>
      <c r="F18" s="6" t="s">
        <v>81</v>
      </c>
      <c r="G18" s="6" t="s">
        <v>82</v>
      </c>
      <c r="H18" s="6"/>
      <c r="I18" s="6"/>
      <c r="J18" s="6" t="s">
        <v>81</v>
      </c>
      <c r="K18" s="6"/>
      <c r="L18" s="6"/>
      <c r="M18" s="6"/>
      <c r="N18" s="6"/>
      <c r="O18" s="6"/>
      <c r="P18" s="6"/>
      <c r="Q18" s="6" t="s">
        <v>94</v>
      </c>
      <c r="R18" s="7" t="n">
        <f aca="false">COUNTIF('Label Map'!$D$2:$D$2000,A18)</f>
        <v>2</v>
      </c>
    </row>
    <row r="19" customFormat="false" ht="15" hidden="false" customHeight="false" outlineLevel="0" collapsed="false">
      <c r="A19" s="6" t="s">
        <v>103</v>
      </c>
      <c r="B19" s="6" t="s">
        <v>89</v>
      </c>
      <c r="C19" s="6" t="s">
        <v>3</v>
      </c>
      <c r="D19" s="6" t="s">
        <v>75</v>
      </c>
      <c r="E19" s="6" t="s">
        <v>80</v>
      </c>
      <c r="F19" s="6" t="s">
        <v>81</v>
      </c>
      <c r="G19" s="6" t="s">
        <v>82</v>
      </c>
      <c r="H19" s="6"/>
      <c r="I19" s="6"/>
      <c r="J19" s="6" t="s">
        <v>81</v>
      </c>
      <c r="K19" s="6"/>
      <c r="L19" s="6"/>
      <c r="M19" s="6"/>
      <c r="N19" s="6"/>
      <c r="O19" s="6"/>
      <c r="P19" s="6"/>
      <c r="Q19" s="6"/>
      <c r="R19" s="7" t="n">
        <f aca="false">COUNTIF('Label Map'!$D$2:$D$2000,A19)</f>
        <v>2</v>
      </c>
    </row>
    <row r="20" customFormat="false" ht="15" hidden="false" customHeight="false" outlineLevel="0" collapsed="false">
      <c r="A20" s="6" t="s">
        <v>104</v>
      </c>
      <c r="B20" s="6" t="s">
        <v>89</v>
      </c>
      <c r="C20" s="6" t="s">
        <v>3</v>
      </c>
      <c r="D20" s="6" t="s">
        <v>75</v>
      </c>
      <c r="E20" s="6" t="s">
        <v>80</v>
      </c>
      <c r="F20" s="6" t="s">
        <v>81</v>
      </c>
      <c r="G20" s="6" t="s">
        <v>82</v>
      </c>
      <c r="H20" s="6"/>
      <c r="I20" s="6"/>
      <c r="J20" s="6" t="s">
        <v>81</v>
      </c>
      <c r="K20" s="6"/>
      <c r="L20" s="6"/>
      <c r="M20" s="6"/>
      <c r="N20" s="6"/>
      <c r="O20" s="6"/>
      <c r="P20" s="6"/>
      <c r="Q20" s="6"/>
      <c r="R20" s="7" t="n">
        <f aca="false">COUNTIF('Label Map'!$D$2:$D$2000,A20)</f>
        <v>3</v>
      </c>
    </row>
    <row r="21" customFormat="false" ht="15" hidden="false" customHeight="false" outlineLevel="0" collapsed="false">
      <c r="A21" s="6" t="s">
        <v>105</v>
      </c>
      <c r="B21" s="6" t="s">
        <v>89</v>
      </c>
      <c r="C21" s="6" t="s">
        <v>3</v>
      </c>
      <c r="D21" s="6" t="s">
        <v>75</v>
      </c>
      <c r="E21" s="6" t="s">
        <v>80</v>
      </c>
      <c r="F21" s="6" t="s">
        <v>81</v>
      </c>
      <c r="G21" s="6" t="s">
        <v>82</v>
      </c>
      <c r="H21" s="6"/>
      <c r="I21" s="6"/>
      <c r="J21" s="6" t="s">
        <v>81</v>
      </c>
      <c r="K21" s="6"/>
      <c r="L21" s="6"/>
      <c r="M21" s="6"/>
      <c r="N21" s="6"/>
      <c r="O21" s="6"/>
      <c r="P21" s="6"/>
      <c r="Q21" s="6" t="s">
        <v>106</v>
      </c>
      <c r="R21" s="7" t="n">
        <f aca="false">COUNTIF('Label Map'!$D$2:$D$2000,A21)</f>
        <v>1</v>
      </c>
    </row>
    <row r="22" customFormat="false" ht="15" hidden="false" customHeight="false" outlineLevel="0" collapsed="false">
      <c r="A22" s="6" t="s">
        <v>107</v>
      </c>
      <c r="B22" s="6" t="s">
        <v>89</v>
      </c>
      <c r="C22" s="6" t="s">
        <v>3</v>
      </c>
      <c r="D22" s="6" t="s">
        <v>75</v>
      </c>
      <c r="E22" s="6" t="s">
        <v>80</v>
      </c>
      <c r="F22" s="6" t="s">
        <v>81</v>
      </c>
      <c r="G22" s="6" t="s">
        <v>82</v>
      </c>
      <c r="H22" s="6"/>
      <c r="I22" s="6"/>
      <c r="J22" s="6" t="s">
        <v>81</v>
      </c>
      <c r="K22" s="6"/>
      <c r="L22" s="6"/>
      <c r="M22" s="6"/>
      <c r="N22" s="6"/>
      <c r="O22" s="6"/>
      <c r="P22" s="6"/>
      <c r="Q22" s="6"/>
      <c r="R22" s="7" t="n">
        <f aca="false">COUNTIF('Label Map'!$D$2:$D$2000,A22)</f>
        <v>2</v>
      </c>
    </row>
    <row r="23" customFormat="false" ht="15" hidden="false" customHeight="false" outlineLevel="0" collapsed="false">
      <c r="A23" s="6" t="s">
        <v>108</v>
      </c>
      <c r="B23" s="6" t="s">
        <v>89</v>
      </c>
      <c r="C23" s="6" t="s">
        <v>3</v>
      </c>
      <c r="D23" s="6" t="s">
        <v>75</v>
      </c>
      <c r="E23" s="6" t="s">
        <v>80</v>
      </c>
      <c r="F23" s="6" t="s">
        <v>81</v>
      </c>
      <c r="G23" s="6" t="s">
        <v>82</v>
      </c>
      <c r="H23" s="6"/>
      <c r="I23" s="6"/>
      <c r="J23" s="6" t="s">
        <v>81</v>
      </c>
      <c r="K23" s="6"/>
      <c r="L23" s="6"/>
      <c r="M23" s="6"/>
      <c r="N23" s="6"/>
      <c r="O23" s="6"/>
      <c r="P23" s="6"/>
      <c r="Q23" s="6" t="s">
        <v>109</v>
      </c>
      <c r="R23" s="7" t="n">
        <f aca="false">COUNTIF('Label Map'!$D$2:$D$2000,A23)</f>
        <v>1</v>
      </c>
    </row>
    <row r="24" customFormat="false" ht="15" hidden="false" customHeight="false" outlineLevel="0" collapsed="false">
      <c r="A24" s="6" t="s">
        <v>110</v>
      </c>
      <c r="B24" s="6" t="s">
        <v>89</v>
      </c>
      <c r="C24" s="6" t="s">
        <v>3</v>
      </c>
      <c r="D24" s="6" t="s">
        <v>75</v>
      </c>
      <c r="E24" s="6" t="s">
        <v>80</v>
      </c>
      <c r="F24" s="6" t="s">
        <v>81</v>
      </c>
      <c r="G24" s="6" t="s">
        <v>82</v>
      </c>
      <c r="H24" s="6"/>
      <c r="I24" s="6"/>
      <c r="J24" s="6" t="s">
        <v>81</v>
      </c>
      <c r="K24" s="6"/>
      <c r="L24" s="6"/>
      <c r="M24" s="6"/>
      <c r="N24" s="6"/>
      <c r="O24" s="6"/>
      <c r="P24" s="6"/>
      <c r="Q24" s="6"/>
      <c r="R24" s="7" t="n">
        <f aca="false">COUNTIF('Label Map'!$D$2:$D$2000,A24)</f>
        <v>2</v>
      </c>
    </row>
    <row r="25" customFormat="false" ht="15" hidden="false" customHeight="false" outlineLevel="0" collapsed="false">
      <c r="A25" s="6" t="s">
        <v>111</v>
      </c>
      <c r="B25" s="6" t="s">
        <v>89</v>
      </c>
      <c r="C25" s="6" t="s">
        <v>3</v>
      </c>
      <c r="D25" s="6" t="s">
        <v>75</v>
      </c>
      <c r="E25" s="6" t="s">
        <v>80</v>
      </c>
      <c r="F25" s="6" t="s">
        <v>81</v>
      </c>
      <c r="G25" s="6" t="s">
        <v>82</v>
      </c>
      <c r="H25" s="6"/>
      <c r="I25" s="6"/>
      <c r="J25" s="6" t="s">
        <v>81</v>
      </c>
      <c r="K25" s="6"/>
      <c r="L25" s="6"/>
      <c r="M25" s="6"/>
      <c r="N25" s="6"/>
      <c r="O25" s="6"/>
      <c r="P25" s="6"/>
      <c r="Q25" s="6"/>
      <c r="R25" s="7" t="n">
        <f aca="false">COUNTIF('Label Map'!$D$2:$D$2000,A25)</f>
        <v>1</v>
      </c>
    </row>
    <row r="26" customFormat="false" ht="15" hidden="false" customHeight="false" outlineLevel="0" collapsed="false">
      <c r="A26" s="6" t="s">
        <v>112</v>
      </c>
      <c r="B26" s="6" t="s">
        <v>89</v>
      </c>
      <c r="C26" s="6" t="s">
        <v>3</v>
      </c>
      <c r="D26" s="6" t="s">
        <v>75</v>
      </c>
      <c r="E26" s="6" t="s">
        <v>80</v>
      </c>
      <c r="F26" s="6" t="s">
        <v>81</v>
      </c>
      <c r="G26" s="6" t="s">
        <v>82</v>
      </c>
      <c r="H26" s="6"/>
      <c r="I26" s="6"/>
      <c r="J26" s="6" t="s">
        <v>81</v>
      </c>
      <c r="K26" s="6"/>
      <c r="L26" s="6"/>
      <c r="M26" s="6"/>
      <c r="N26" s="6"/>
      <c r="O26" s="6"/>
      <c r="P26" s="6"/>
      <c r="Q26" s="6"/>
      <c r="R26" s="7" t="n">
        <f aca="false">COUNTIF('Label Map'!$D$2:$D$2000,A26)</f>
        <v>3</v>
      </c>
    </row>
    <row r="27" customFormat="false" ht="15" hidden="false" customHeight="false" outlineLevel="0" collapsed="false">
      <c r="A27" s="6" t="s">
        <v>113</v>
      </c>
      <c r="B27" s="6" t="s">
        <v>89</v>
      </c>
      <c r="C27" s="6" t="s">
        <v>3</v>
      </c>
      <c r="D27" s="6" t="s">
        <v>75</v>
      </c>
      <c r="E27" s="6" t="s">
        <v>80</v>
      </c>
      <c r="F27" s="6" t="s">
        <v>81</v>
      </c>
      <c r="G27" s="6" t="s">
        <v>82</v>
      </c>
      <c r="H27" s="6"/>
      <c r="I27" s="6"/>
      <c r="J27" s="6" t="s">
        <v>81</v>
      </c>
      <c r="K27" s="6"/>
      <c r="L27" s="6"/>
      <c r="M27" s="6"/>
      <c r="N27" s="6"/>
      <c r="O27" s="6"/>
      <c r="P27" s="6"/>
      <c r="Q27" s="6" t="s">
        <v>94</v>
      </c>
      <c r="R27" s="7" t="n">
        <f aca="false">COUNTIF('Label Map'!$D$2:$D$2000,A27)</f>
        <v>2</v>
      </c>
    </row>
    <row r="28" customFormat="false" ht="15" hidden="false" customHeight="false" outlineLevel="0" collapsed="false">
      <c r="A28" s="6" t="s">
        <v>114</v>
      </c>
      <c r="B28" s="6" t="s">
        <v>89</v>
      </c>
      <c r="C28" s="6" t="s">
        <v>3</v>
      </c>
      <c r="D28" s="6" t="s">
        <v>75</v>
      </c>
      <c r="E28" s="6" t="s">
        <v>80</v>
      </c>
      <c r="F28" s="6" t="s">
        <v>81</v>
      </c>
      <c r="G28" s="6" t="s">
        <v>82</v>
      </c>
      <c r="H28" s="6"/>
      <c r="I28" s="6"/>
      <c r="J28" s="6" t="s">
        <v>81</v>
      </c>
      <c r="K28" s="6"/>
      <c r="L28" s="6"/>
      <c r="M28" s="6"/>
      <c r="N28" s="6"/>
      <c r="O28" s="6"/>
      <c r="P28" s="6"/>
      <c r="Q28" s="6" t="s">
        <v>115</v>
      </c>
      <c r="R28" s="7" t="n">
        <f aca="false">COUNTIF('Label Map'!$D$2:$D$2000,A28)</f>
        <v>2</v>
      </c>
    </row>
    <row r="29" customFormat="false" ht="15" hidden="false" customHeight="false" outlineLevel="0" collapsed="false">
      <c r="A29" s="6" t="s">
        <v>116</v>
      </c>
      <c r="B29" s="6" t="s">
        <v>89</v>
      </c>
      <c r="C29" s="6" t="s">
        <v>3</v>
      </c>
      <c r="D29" s="6" t="s">
        <v>75</v>
      </c>
      <c r="E29" s="6" t="s">
        <v>80</v>
      </c>
      <c r="F29" s="6" t="s">
        <v>81</v>
      </c>
      <c r="G29" s="6" t="s">
        <v>82</v>
      </c>
      <c r="H29" s="6"/>
      <c r="I29" s="6"/>
      <c r="J29" s="6" t="s">
        <v>81</v>
      </c>
      <c r="K29" s="6"/>
      <c r="L29" s="6"/>
      <c r="M29" s="6"/>
      <c r="N29" s="6"/>
      <c r="O29" s="6"/>
      <c r="P29" s="6"/>
      <c r="Q29" s="6"/>
      <c r="R29" s="7" t="n">
        <f aca="false">COUNTIF('Label Map'!$D$2:$D$2000,A29)</f>
        <v>3</v>
      </c>
    </row>
    <row r="30" customFormat="false" ht="15" hidden="false" customHeight="false" outlineLevel="0" collapsed="false">
      <c r="A30" s="6" t="s">
        <v>117</v>
      </c>
      <c r="B30" s="6" t="s">
        <v>89</v>
      </c>
      <c r="C30" s="6" t="s">
        <v>3</v>
      </c>
      <c r="D30" s="6" t="s">
        <v>75</v>
      </c>
      <c r="E30" s="6" t="s">
        <v>80</v>
      </c>
      <c r="F30" s="6" t="s">
        <v>81</v>
      </c>
      <c r="G30" s="6" t="s">
        <v>82</v>
      </c>
      <c r="H30" s="6"/>
      <c r="I30" s="6"/>
      <c r="J30" s="6" t="s">
        <v>81</v>
      </c>
      <c r="K30" s="6"/>
      <c r="L30" s="6"/>
      <c r="M30" s="6"/>
      <c r="N30" s="6"/>
      <c r="O30" s="6"/>
      <c r="P30" s="6"/>
      <c r="Q30" s="6"/>
      <c r="R30" s="7" t="n">
        <f aca="false">COUNTIF('Label Map'!$D$2:$D$2000,A30)</f>
        <v>2</v>
      </c>
    </row>
    <row r="31" customFormat="false" ht="15" hidden="false" customHeight="false" outlineLevel="0" collapsed="false">
      <c r="A31" s="6" t="s">
        <v>118</v>
      </c>
      <c r="B31" s="6" t="s">
        <v>89</v>
      </c>
      <c r="C31" s="6" t="s">
        <v>3</v>
      </c>
      <c r="D31" s="6" t="s">
        <v>75</v>
      </c>
      <c r="E31" s="6" t="s">
        <v>80</v>
      </c>
      <c r="F31" s="6" t="s">
        <v>81</v>
      </c>
      <c r="G31" s="6" t="s">
        <v>82</v>
      </c>
      <c r="H31" s="6"/>
      <c r="I31" s="6"/>
      <c r="J31" s="6" t="s">
        <v>81</v>
      </c>
      <c r="K31" s="6"/>
      <c r="L31" s="6"/>
      <c r="M31" s="6"/>
      <c r="N31" s="6"/>
      <c r="O31" s="6"/>
      <c r="P31" s="6"/>
      <c r="Q31" s="6"/>
      <c r="R31" s="7" t="n">
        <f aca="false">COUNTIF('Label Map'!$D$2:$D$2000,A31)</f>
        <v>1</v>
      </c>
    </row>
    <row r="32" customFormat="false" ht="15" hidden="false" customHeight="false" outlineLevel="0" collapsed="false">
      <c r="A32" s="6" t="s">
        <v>119</v>
      </c>
      <c r="B32" s="6" t="s">
        <v>89</v>
      </c>
      <c r="C32" s="6" t="s">
        <v>3</v>
      </c>
      <c r="D32" s="6" t="s">
        <v>75</v>
      </c>
      <c r="E32" s="6" t="s">
        <v>80</v>
      </c>
      <c r="F32" s="6" t="s">
        <v>81</v>
      </c>
      <c r="G32" s="6" t="s">
        <v>82</v>
      </c>
      <c r="H32" s="6"/>
      <c r="I32" s="6"/>
      <c r="J32" s="6" t="s">
        <v>81</v>
      </c>
      <c r="K32" s="6"/>
      <c r="L32" s="6"/>
      <c r="M32" s="6"/>
      <c r="N32" s="6"/>
      <c r="O32" s="6"/>
      <c r="P32" s="6"/>
      <c r="Q32" s="6" t="s">
        <v>120</v>
      </c>
      <c r="R32" s="7" t="n">
        <f aca="false">COUNTIF('Label Map'!$D$2:$D$2000,A32)</f>
        <v>2</v>
      </c>
    </row>
    <row r="33" customFormat="false" ht="15" hidden="false" customHeight="false" outlineLevel="0" collapsed="false">
      <c r="A33" s="6" t="s">
        <v>121</v>
      </c>
      <c r="B33" s="6" t="s">
        <v>89</v>
      </c>
      <c r="C33" s="6" t="s">
        <v>3</v>
      </c>
      <c r="D33" s="6" t="s">
        <v>75</v>
      </c>
      <c r="E33" s="6" t="s">
        <v>80</v>
      </c>
      <c r="F33" s="6" t="s">
        <v>81</v>
      </c>
      <c r="G33" s="6" t="s">
        <v>82</v>
      </c>
      <c r="H33" s="6"/>
      <c r="I33" s="6"/>
      <c r="J33" s="6" t="s">
        <v>81</v>
      </c>
      <c r="K33" s="6"/>
      <c r="L33" s="6"/>
      <c r="M33" s="6"/>
      <c r="N33" s="6"/>
      <c r="O33" s="6"/>
      <c r="P33" s="6"/>
      <c r="Q33" s="6"/>
      <c r="R33" s="7" t="n">
        <f aca="false">COUNTIF('Label Map'!$D$2:$D$2000,A33)</f>
        <v>1</v>
      </c>
    </row>
    <row r="34" customFormat="false" ht="15" hidden="false" customHeight="false" outlineLevel="0" collapsed="false">
      <c r="A34" s="6" t="s">
        <v>122</v>
      </c>
      <c r="B34" s="6" t="s">
        <v>89</v>
      </c>
      <c r="C34" s="6" t="s">
        <v>3</v>
      </c>
      <c r="D34" s="6" t="s">
        <v>75</v>
      </c>
      <c r="E34" s="6" t="s">
        <v>80</v>
      </c>
      <c r="F34" s="6" t="s">
        <v>81</v>
      </c>
      <c r="G34" s="6" t="s">
        <v>82</v>
      </c>
      <c r="H34" s="6"/>
      <c r="I34" s="6"/>
      <c r="J34" s="6" t="s">
        <v>81</v>
      </c>
      <c r="K34" s="6"/>
      <c r="L34" s="6"/>
      <c r="M34" s="6"/>
      <c r="N34" s="6"/>
      <c r="O34" s="6"/>
      <c r="P34" s="6"/>
      <c r="Q34" s="6" t="s">
        <v>123</v>
      </c>
      <c r="R34" s="7" t="n">
        <f aca="false">COUNTIF('Label Map'!$D$2:$D$2000,A34)</f>
        <v>2</v>
      </c>
    </row>
    <row r="35" customFormat="false" ht="15" hidden="false" customHeight="false" outlineLevel="0" collapsed="false">
      <c r="A35" s="6" t="s">
        <v>124</v>
      </c>
      <c r="B35" s="6" t="s">
        <v>89</v>
      </c>
      <c r="C35" s="6" t="s">
        <v>3</v>
      </c>
      <c r="D35" s="6" t="s">
        <v>75</v>
      </c>
      <c r="E35" s="6" t="s">
        <v>80</v>
      </c>
      <c r="F35" s="6" t="s">
        <v>81</v>
      </c>
      <c r="G35" s="6" t="s">
        <v>82</v>
      </c>
      <c r="H35" s="6"/>
      <c r="I35" s="6"/>
      <c r="J35" s="6" t="s">
        <v>81</v>
      </c>
      <c r="K35" s="6"/>
      <c r="L35" s="6"/>
      <c r="M35" s="6"/>
      <c r="N35" s="6"/>
      <c r="O35" s="6"/>
      <c r="P35" s="6"/>
      <c r="Q35" s="6"/>
      <c r="R35" s="7" t="n">
        <f aca="false">COUNTIF('Label Map'!$D$2:$D$2000,A35)</f>
        <v>3</v>
      </c>
    </row>
    <row r="36" customFormat="false" ht="15" hidden="false" customHeight="false" outlineLevel="0" collapsed="false">
      <c r="A36" s="6" t="s">
        <v>125</v>
      </c>
      <c r="B36" s="6" t="s">
        <v>89</v>
      </c>
      <c r="C36" s="6" t="s">
        <v>3</v>
      </c>
      <c r="D36" s="6" t="s">
        <v>75</v>
      </c>
      <c r="E36" s="6" t="s">
        <v>80</v>
      </c>
      <c r="F36" s="6" t="s">
        <v>81</v>
      </c>
      <c r="G36" s="6" t="s">
        <v>82</v>
      </c>
      <c r="H36" s="6"/>
      <c r="I36" s="6"/>
      <c r="J36" s="6" t="s">
        <v>81</v>
      </c>
      <c r="K36" s="6"/>
      <c r="L36" s="6"/>
      <c r="M36" s="6"/>
      <c r="N36" s="6"/>
      <c r="O36" s="6"/>
      <c r="P36" s="6"/>
      <c r="Q36" s="6"/>
      <c r="R36" s="7" t="n">
        <f aca="false">COUNTIF('Label Map'!$D$2:$D$2000,A36)</f>
        <v>2</v>
      </c>
    </row>
    <row r="37" customFormat="false" ht="15" hidden="false" customHeight="false" outlineLevel="0" collapsed="false">
      <c r="A37" s="6" t="s">
        <v>126</v>
      </c>
      <c r="B37" s="6" t="s">
        <v>89</v>
      </c>
      <c r="C37" s="6" t="s">
        <v>3</v>
      </c>
      <c r="D37" s="6" t="s">
        <v>75</v>
      </c>
      <c r="E37" s="6" t="s">
        <v>80</v>
      </c>
      <c r="F37" s="6" t="s">
        <v>81</v>
      </c>
      <c r="G37" s="6" t="s">
        <v>82</v>
      </c>
      <c r="H37" s="6"/>
      <c r="I37" s="6"/>
      <c r="J37" s="6" t="s">
        <v>81</v>
      </c>
      <c r="K37" s="6"/>
      <c r="L37" s="6"/>
      <c r="M37" s="6"/>
      <c r="N37" s="6"/>
      <c r="O37" s="6"/>
      <c r="P37" s="6"/>
      <c r="Q37" s="6" t="s">
        <v>94</v>
      </c>
      <c r="R37" s="7" t="n">
        <f aca="false">COUNTIF('Label Map'!$D$2:$D$2000,A37)</f>
        <v>2</v>
      </c>
    </row>
    <row r="38" customFormat="false" ht="15" hidden="false" customHeight="false" outlineLevel="0" collapsed="false">
      <c r="A38" s="6" t="s">
        <v>127</v>
      </c>
      <c r="B38" s="6" t="s">
        <v>89</v>
      </c>
      <c r="C38" s="6" t="s">
        <v>3</v>
      </c>
      <c r="D38" s="6" t="s">
        <v>75</v>
      </c>
      <c r="E38" s="6" t="s">
        <v>80</v>
      </c>
      <c r="F38" s="6" t="s">
        <v>81</v>
      </c>
      <c r="G38" s="6" t="s">
        <v>82</v>
      </c>
      <c r="H38" s="6"/>
      <c r="I38" s="6"/>
      <c r="J38" s="6" t="s">
        <v>81</v>
      </c>
      <c r="K38" s="6"/>
      <c r="L38" s="6"/>
      <c r="M38" s="6"/>
      <c r="N38" s="6"/>
      <c r="O38" s="6"/>
      <c r="P38" s="6"/>
      <c r="Q38" s="6" t="s">
        <v>94</v>
      </c>
      <c r="R38" s="7" t="n">
        <f aca="false">COUNTIF('Label Map'!$D$2:$D$2000,A38)</f>
        <v>2</v>
      </c>
    </row>
    <row r="39" customFormat="false" ht="15" hidden="false" customHeight="false" outlineLevel="0" collapsed="false">
      <c r="A39" s="6" t="s">
        <v>128</v>
      </c>
      <c r="B39" s="6" t="s">
        <v>11</v>
      </c>
      <c r="C39" s="6" t="s">
        <v>3</v>
      </c>
      <c r="D39" s="6" t="s">
        <v>75</v>
      </c>
      <c r="E39" s="6" t="s">
        <v>80</v>
      </c>
      <c r="F39" s="6" t="s">
        <v>81</v>
      </c>
      <c r="G39" s="6" t="s">
        <v>82</v>
      </c>
      <c r="H39" s="6" t="s">
        <v>128</v>
      </c>
      <c r="I39" s="6"/>
      <c r="J39" s="6" t="s">
        <v>81</v>
      </c>
      <c r="K39" s="6"/>
      <c r="L39" s="6"/>
      <c r="M39" s="6"/>
      <c r="N39" s="6"/>
      <c r="O39" s="6"/>
      <c r="P39" s="6"/>
      <c r="Q39" s="6"/>
      <c r="R39" s="7" t="n">
        <f aca="false">COUNTIF('Label Map'!$D$2:$D$2000,A39)</f>
        <v>2</v>
      </c>
    </row>
    <row r="40" customFormat="false" ht="15" hidden="false" customHeight="false" outlineLevel="0" collapsed="false">
      <c r="A40" s="6" t="s">
        <v>129</v>
      </c>
      <c r="B40" s="6" t="s">
        <v>11</v>
      </c>
      <c r="C40" s="6" t="s">
        <v>3</v>
      </c>
      <c r="D40" s="6" t="s">
        <v>75</v>
      </c>
      <c r="E40" s="6" t="s">
        <v>80</v>
      </c>
      <c r="F40" s="6" t="s">
        <v>81</v>
      </c>
      <c r="G40" s="6" t="s">
        <v>82</v>
      </c>
      <c r="H40" s="6" t="s">
        <v>129</v>
      </c>
      <c r="I40" s="6"/>
      <c r="J40" s="6" t="s">
        <v>81</v>
      </c>
      <c r="K40" s="6"/>
      <c r="L40" s="6"/>
      <c r="M40" s="6"/>
      <c r="N40" s="6"/>
      <c r="O40" s="6"/>
      <c r="P40" s="6"/>
      <c r="Q40" s="6"/>
      <c r="R40" s="7" t="n">
        <f aca="false">COUNTIF('Label Map'!$D$2:$D$2000,A40)</f>
        <v>1</v>
      </c>
    </row>
    <row r="41" customFormat="false" ht="15" hidden="false" customHeight="false" outlineLevel="0" collapsed="false">
      <c r="A41" s="6" t="s">
        <v>130</v>
      </c>
      <c r="B41" s="6" t="s">
        <v>11</v>
      </c>
      <c r="C41" s="6" t="s">
        <v>3</v>
      </c>
      <c r="D41" s="6" t="s">
        <v>75</v>
      </c>
      <c r="E41" s="6" t="s">
        <v>80</v>
      </c>
      <c r="F41" s="6" t="s">
        <v>81</v>
      </c>
      <c r="G41" s="6" t="s">
        <v>82</v>
      </c>
      <c r="H41" s="6" t="s">
        <v>130</v>
      </c>
      <c r="I41" s="6"/>
      <c r="J41" s="6" t="s">
        <v>81</v>
      </c>
      <c r="K41" s="6"/>
      <c r="L41" s="6"/>
      <c r="M41" s="6"/>
      <c r="N41" s="6"/>
      <c r="O41" s="6"/>
      <c r="P41" s="6"/>
      <c r="Q41" s="6" t="s">
        <v>131</v>
      </c>
      <c r="R41" s="7" t="n">
        <f aca="false">COUNTIF('Label Map'!$D$2:$D$2000,A41)</f>
        <v>1</v>
      </c>
    </row>
    <row r="42" customFormat="false" ht="15" hidden="false" customHeight="false" outlineLevel="0" collapsed="false">
      <c r="A42" s="6" t="s">
        <v>132</v>
      </c>
      <c r="B42" s="6" t="s">
        <v>11</v>
      </c>
      <c r="C42" s="6" t="s">
        <v>3</v>
      </c>
      <c r="D42" s="6" t="s">
        <v>75</v>
      </c>
      <c r="E42" s="6" t="s">
        <v>80</v>
      </c>
      <c r="F42" s="6" t="s">
        <v>81</v>
      </c>
      <c r="G42" s="6" t="s">
        <v>82</v>
      </c>
      <c r="H42" s="6" t="s">
        <v>132</v>
      </c>
      <c r="I42" s="6"/>
      <c r="J42" s="6" t="s">
        <v>81</v>
      </c>
      <c r="K42" s="6"/>
      <c r="L42" s="6"/>
      <c r="M42" s="6"/>
      <c r="N42" s="6"/>
      <c r="O42" s="6"/>
      <c r="P42" s="6"/>
      <c r="Q42" s="6"/>
      <c r="R42" s="7" t="n">
        <f aca="false">COUNTIF('Label Map'!$D$2:$D$2000,A42)</f>
        <v>2</v>
      </c>
    </row>
    <row r="43" customFormat="false" ht="15" hidden="false" customHeight="false" outlineLevel="0" collapsed="false">
      <c r="A43" s="6" t="s">
        <v>133</v>
      </c>
      <c r="B43" s="6" t="s">
        <v>63</v>
      </c>
      <c r="C43" s="6" t="s">
        <v>3</v>
      </c>
      <c r="D43" s="6" t="s">
        <v>75</v>
      </c>
      <c r="E43" s="6" t="s">
        <v>80</v>
      </c>
      <c r="F43" s="6" t="s">
        <v>81</v>
      </c>
      <c r="G43" s="6" t="s">
        <v>82</v>
      </c>
      <c r="H43" s="6" t="s">
        <v>132</v>
      </c>
      <c r="I43" s="6" t="s">
        <v>133</v>
      </c>
      <c r="J43" s="6" t="s">
        <v>132</v>
      </c>
      <c r="K43" s="6"/>
      <c r="L43" s="6"/>
      <c r="M43" s="6"/>
      <c r="N43" s="6"/>
      <c r="O43" s="6"/>
      <c r="P43" s="6"/>
      <c r="Q43" s="6"/>
      <c r="R43" s="7" t="n">
        <f aca="false">COUNTIF('Label Map'!$D$2:$D$2000,A43)</f>
        <v>1</v>
      </c>
    </row>
    <row r="44" customFormat="false" ht="15" hidden="false" customHeight="false" outlineLevel="0" collapsed="false">
      <c r="A44" s="6" t="s">
        <v>134</v>
      </c>
      <c r="B44" s="6" t="s">
        <v>63</v>
      </c>
      <c r="C44" s="6" t="s">
        <v>3</v>
      </c>
      <c r="D44" s="6" t="s">
        <v>75</v>
      </c>
      <c r="E44" s="6" t="s">
        <v>80</v>
      </c>
      <c r="F44" s="6" t="s">
        <v>81</v>
      </c>
      <c r="G44" s="6" t="s">
        <v>82</v>
      </c>
      <c r="H44" s="6" t="s">
        <v>132</v>
      </c>
      <c r="I44" s="6" t="s">
        <v>134</v>
      </c>
      <c r="J44" s="6" t="s">
        <v>132</v>
      </c>
      <c r="K44" s="6"/>
      <c r="L44" s="6"/>
      <c r="M44" s="6"/>
      <c r="N44" s="6"/>
      <c r="O44" s="6"/>
      <c r="P44" s="6"/>
      <c r="Q44" s="6"/>
      <c r="R44" s="7" t="n">
        <f aca="false">COUNTIF('Label Map'!$D$2:$D$2000,A44)</f>
        <v>0</v>
      </c>
    </row>
    <row r="45" customFormat="false" ht="15" hidden="false" customHeight="false" outlineLevel="0" collapsed="false">
      <c r="A45" s="6" t="s">
        <v>135</v>
      </c>
      <c r="B45" s="6" t="s">
        <v>63</v>
      </c>
      <c r="C45" s="6" t="s">
        <v>3</v>
      </c>
      <c r="D45" s="6" t="s">
        <v>75</v>
      </c>
      <c r="E45" s="6" t="s">
        <v>80</v>
      </c>
      <c r="F45" s="6" t="s">
        <v>81</v>
      </c>
      <c r="G45" s="6" t="s">
        <v>82</v>
      </c>
      <c r="H45" s="6" t="s">
        <v>132</v>
      </c>
      <c r="I45" s="6" t="s">
        <v>135</v>
      </c>
      <c r="J45" s="6" t="s">
        <v>132</v>
      </c>
      <c r="K45" s="6"/>
      <c r="L45" s="6"/>
      <c r="M45" s="6"/>
      <c r="N45" s="6"/>
      <c r="O45" s="6"/>
      <c r="P45" s="6"/>
      <c r="Q45" s="6"/>
      <c r="R45" s="7" t="n">
        <f aca="false">COUNTIF('Label Map'!$D$2:$D$2000,A45)</f>
        <v>0</v>
      </c>
    </row>
    <row r="46" customFormat="false" ht="15" hidden="false" customHeight="false" outlineLevel="0" collapsed="false">
      <c r="A46" s="6" t="s">
        <v>136</v>
      </c>
      <c r="B46" s="6" t="s">
        <v>11</v>
      </c>
      <c r="C46" s="6" t="s">
        <v>3</v>
      </c>
      <c r="D46" s="6" t="s">
        <v>75</v>
      </c>
      <c r="E46" s="6" t="s">
        <v>80</v>
      </c>
      <c r="F46" s="6" t="s">
        <v>81</v>
      </c>
      <c r="G46" s="6" t="s">
        <v>82</v>
      </c>
      <c r="H46" s="6" t="s">
        <v>136</v>
      </c>
      <c r="I46" s="6"/>
      <c r="J46" s="6" t="s">
        <v>81</v>
      </c>
      <c r="K46" s="6"/>
      <c r="L46" s="6"/>
      <c r="M46" s="6"/>
      <c r="N46" s="6"/>
      <c r="O46" s="6"/>
      <c r="P46" s="6"/>
      <c r="Q46" s="6"/>
      <c r="R46" s="7" t="n">
        <f aca="false">COUNTIF('Label Map'!$D$2:$D$2000,A46)</f>
        <v>2</v>
      </c>
    </row>
    <row r="47" customFormat="false" ht="15" hidden="false" customHeight="false" outlineLevel="0" collapsed="false">
      <c r="A47" s="6" t="s">
        <v>137</v>
      </c>
      <c r="B47" s="6" t="s">
        <v>63</v>
      </c>
      <c r="C47" s="6" t="s">
        <v>3</v>
      </c>
      <c r="D47" s="6" t="s">
        <v>75</v>
      </c>
      <c r="E47" s="6" t="s">
        <v>80</v>
      </c>
      <c r="F47" s="6" t="s">
        <v>81</v>
      </c>
      <c r="G47" s="6" t="s">
        <v>82</v>
      </c>
      <c r="H47" s="6" t="s">
        <v>136</v>
      </c>
      <c r="I47" s="6" t="s">
        <v>137</v>
      </c>
      <c r="J47" s="6" t="s">
        <v>136</v>
      </c>
      <c r="K47" s="6"/>
      <c r="L47" s="6"/>
      <c r="M47" s="6"/>
      <c r="N47" s="6"/>
      <c r="O47" s="6"/>
      <c r="P47" s="6"/>
      <c r="Q47" s="6"/>
      <c r="R47" s="7" t="n">
        <f aca="false">COUNTIF('Label Map'!$D$2:$D$2000,A47)</f>
        <v>0</v>
      </c>
    </row>
    <row r="48" customFormat="false" ht="15" hidden="false" customHeight="false" outlineLevel="0" collapsed="false">
      <c r="A48" s="6" t="s">
        <v>138</v>
      </c>
      <c r="B48" s="6" t="s">
        <v>11</v>
      </c>
      <c r="C48" s="6" t="s">
        <v>3</v>
      </c>
      <c r="D48" s="6" t="s">
        <v>75</v>
      </c>
      <c r="E48" s="6" t="s">
        <v>80</v>
      </c>
      <c r="F48" s="6" t="s">
        <v>81</v>
      </c>
      <c r="G48" s="6" t="s">
        <v>82</v>
      </c>
      <c r="H48" s="6" t="s">
        <v>138</v>
      </c>
      <c r="I48" s="6"/>
      <c r="J48" s="6" t="s">
        <v>81</v>
      </c>
      <c r="K48" s="6"/>
      <c r="L48" s="6"/>
      <c r="M48" s="6"/>
      <c r="N48" s="6"/>
      <c r="O48" s="6"/>
      <c r="P48" s="6"/>
      <c r="Q48" s="6"/>
      <c r="R48" s="7" t="n">
        <f aca="false">COUNTIF('Label Map'!$D$2:$D$2000,A48)</f>
        <v>4</v>
      </c>
    </row>
    <row r="49" customFormat="false" ht="15" hidden="false" customHeight="false" outlineLevel="0" collapsed="false">
      <c r="A49" s="6" t="s">
        <v>139</v>
      </c>
      <c r="B49" s="6" t="s">
        <v>63</v>
      </c>
      <c r="C49" s="6" t="s">
        <v>3</v>
      </c>
      <c r="D49" s="6" t="s">
        <v>75</v>
      </c>
      <c r="E49" s="6" t="s">
        <v>80</v>
      </c>
      <c r="F49" s="6" t="s">
        <v>81</v>
      </c>
      <c r="G49" s="6" t="s">
        <v>82</v>
      </c>
      <c r="H49" s="6" t="s">
        <v>138</v>
      </c>
      <c r="I49" s="6" t="s">
        <v>139</v>
      </c>
      <c r="J49" s="6" t="s">
        <v>138</v>
      </c>
      <c r="K49" s="6"/>
      <c r="L49" s="6"/>
      <c r="M49" s="6"/>
      <c r="N49" s="6"/>
      <c r="O49" s="6"/>
      <c r="P49" s="6"/>
      <c r="Q49" s="6"/>
      <c r="R49" s="7" t="n">
        <f aca="false">COUNTIF('Label Map'!$D$2:$D$2000,A49)</f>
        <v>0</v>
      </c>
    </row>
    <row r="50" customFormat="false" ht="15" hidden="false" customHeight="false" outlineLevel="0" collapsed="false">
      <c r="A50" s="6" t="s">
        <v>140</v>
      </c>
      <c r="B50" s="6" t="s">
        <v>63</v>
      </c>
      <c r="C50" s="6" t="s">
        <v>3</v>
      </c>
      <c r="D50" s="6" t="s">
        <v>75</v>
      </c>
      <c r="E50" s="6" t="s">
        <v>80</v>
      </c>
      <c r="F50" s="6" t="s">
        <v>81</v>
      </c>
      <c r="G50" s="6" t="s">
        <v>82</v>
      </c>
      <c r="H50" s="6" t="s">
        <v>138</v>
      </c>
      <c r="I50" s="6" t="s">
        <v>140</v>
      </c>
      <c r="J50" s="6" t="s">
        <v>138</v>
      </c>
      <c r="K50" s="6"/>
      <c r="L50" s="6"/>
      <c r="M50" s="6"/>
      <c r="N50" s="6"/>
      <c r="O50" s="6"/>
      <c r="P50" s="6"/>
      <c r="Q50" s="6"/>
      <c r="R50" s="7" t="n">
        <f aca="false">COUNTIF('Label Map'!$D$2:$D$2000,A50)</f>
        <v>0</v>
      </c>
    </row>
    <row r="51" customFormat="false" ht="15" hidden="false" customHeight="false" outlineLevel="0" collapsed="false">
      <c r="A51" s="6" t="s">
        <v>141</v>
      </c>
      <c r="B51" s="6" t="s">
        <v>63</v>
      </c>
      <c r="C51" s="6" t="s">
        <v>3</v>
      </c>
      <c r="D51" s="6" t="s">
        <v>75</v>
      </c>
      <c r="E51" s="6" t="s">
        <v>80</v>
      </c>
      <c r="F51" s="6" t="s">
        <v>81</v>
      </c>
      <c r="G51" s="6" t="s">
        <v>82</v>
      </c>
      <c r="H51" s="6" t="s">
        <v>138</v>
      </c>
      <c r="I51" s="6" t="s">
        <v>141</v>
      </c>
      <c r="J51" s="6" t="s">
        <v>138</v>
      </c>
      <c r="K51" s="6"/>
      <c r="L51" s="6"/>
      <c r="M51" s="6"/>
      <c r="N51" s="6"/>
      <c r="O51" s="6"/>
      <c r="P51" s="6"/>
      <c r="Q51" s="6"/>
      <c r="R51" s="7" t="n">
        <f aca="false">COUNTIF('Label Map'!$D$2:$D$2000,A51)</f>
        <v>1</v>
      </c>
    </row>
    <row r="52" customFormat="false" ht="15" hidden="false" customHeight="false" outlineLevel="0" collapsed="false">
      <c r="A52" s="6" t="s">
        <v>142</v>
      </c>
      <c r="B52" s="6" t="s">
        <v>63</v>
      </c>
      <c r="C52" s="6" t="s">
        <v>3</v>
      </c>
      <c r="D52" s="6" t="s">
        <v>75</v>
      </c>
      <c r="E52" s="6" t="s">
        <v>80</v>
      </c>
      <c r="F52" s="6" t="s">
        <v>81</v>
      </c>
      <c r="G52" s="6" t="s">
        <v>82</v>
      </c>
      <c r="H52" s="6" t="s">
        <v>138</v>
      </c>
      <c r="I52" s="6" t="s">
        <v>142</v>
      </c>
      <c r="J52" s="6" t="s">
        <v>138</v>
      </c>
      <c r="K52" s="6"/>
      <c r="L52" s="6"/>
      <c r="M52" s="6"/>
      <c r="N52" s="6"/>
      <c r="O52" s="6"/>
      <c r="P52" s="6"/>
      <c r="Q52" s="6"/>
      <c r="R52" s="7" t="n">
        <f aca="false">COUNTIF('Label Map'!$D$2:$D$2000,A52)</f>
        <v>1</v>
      </c>
    </row>
    <row r="53" customFormat="false" ht="15" hidden="false" customHeight="false" outlineLevel="0" collapsed="false">
      <c r="A53" s="6" t="s">
        <v>143</v>
      </c>
      <c r="B53" s="6" t="s">
        <v>63</v>
      </c>
      <c r="C53" s="6" t="s">
        <v>3</v>
      </c>
      <c r="D53" s="6" t="s">
        <v>75</v>
      </c>
      <c r="E53" s="6" t="s">
        <v>80</v>
      </c>
      <c r="F53" s="6" t="s">
        <v>81</v>
      </c>
      <c r="G53" s="6" t="s">
        <v>82</v>
      </c>
      <c r="H53" s="6" t="s">
        <v>138</v>
      </c>
      <c r="I53" s="6" t="s">
        <v>143</v>
      </c>
      <c r="J53" s="6" t="s">
        <v>138</v>
      </c>
      <c r="K53" s="6"/>
      <c r="L53" s="6"/>
      <c r="M53" s="6"/>
      <c r="N53" s="6"/>
      <c r="O53" s="6"/>
      <c r="P53" s="6"/>
      <c r="Q53" s="6" t="s">
        <v>144</v>
      </c>
      <c r="R53" s="7" t="n">
        <f aca="false">COUNTIF('Label Map'!$D$2:$D$2000,A53)</f>
        <v>1</v>
      </c>
    </row>
    <row r="54" customFormat="false" ht="15" hidden="false" customHeight="false" outlineLevel="0" collapsed="false">
      <c r="A54" s="6" t="s">
        <v>145</v>
      </c>
      <c r="B54" s="6" t="s">
        <v>63</v>
      </c>
      <c r="C54" s="6" t="s">
        <v>3</v>
      </c>
      <c r="D54" s="6" t="s">
        <v>75</v>
      </c>
      <c r="E54" s="6" t="s">
        <v>80</v>
      </c>
      <c r="F54" s="6" t="s">
        <v>81</v>
      </c>
      <c r="G54" s="6" t="s">
        <v>82</v>
      </c>
      <c r="H54" s="6" t="s">
        <v>138</v>
      </c>
      <c r="I54" s="6" t="s">
        <v>145</v>
      </c>
      <c r="J54" s="6" t="s">
        <v>138</v>
      </c>
      <c r="K54" s="6"/>
      <c r="L54" s="6"/>
      <c r="M54" s="6"/>
      <c r="N54" s="6"/>
      <c r="O54" s="6"/>
      <c r="P54" s="6"/>
      <c r="Q54" s="6"/>
      <c r="R54" s="7" t="n">
        <f aca="false">COUNTIF('Label Map'!$D$2:$D$2000,A54)</f>
        <v>0</v>
      </c>
    </row>
    <row r="55" customFormat="false" ht="15" hidden="false" customHeight="false" outlineLevel="0" collapsed="false">
      <c r="A55" s="6" t="s">
        <v>146</v>
      </c>
      <c r="B55" s="6" t="s">
        <v>63</v>
      </c>
      <c r="C55" s="6" t="s">
        <v>3</v>
      </c>
      <c r="D55" s="6" t="s">
        <v>75</v>
      </c>
      <c r="E55" s="6" t="s">
        <v>80</v>
      </c>
      <c r="F55" s="6" t="s">
        <v>81</v>
      </c>
      <c r="G55" s="6" t="s">
        <v>82</v>
      </c>
      <c r="H55" s="6" t="s">
        <v>138</v>
      </c>
      <c r="I55" s="6" t="s">
        <v>146</v>
      </c>
      <c r="J55" s="6" t="s">
        <v>138</v>
      </c>
      <c r="K55" s="6"/>
      <c r="L55" s="6"/>
      <c r="M55" s="6"/>
      <c r="N55" s="6"/>
      <c r="O55" s="6"/>
      <c r="P55" s="6"/>
      <c r="Q55" s="6" t="s">
        <v>147</v>
      </c>
      <c r="R55" s="7" t="n">
        <f aca="false">COUNTIF('Label Map'!$D$2:$D$2000,A55)</f>
        <v>1</v>
      </c>
    </row>
    <row r="56" customFormat="false" ht="15" hidden="false" customHeight="false" outlineLevel="0" collapsed="false">
      <c r="A56" s="6" t="s">
        <v>148</v>
      </c>
      <c r="B56" s="6" t="s">
        <v>63</v>
      </c>
      <c r="C56" s="6" t="s">
        <v>3</v>
      </c>
      <c r="D56" s="6" t="s">
        <v>75</v>
      </c>
      <c r="E56" s="6" t="s">
        <v>80</v>
      </c>
      <c r="F56" s="6" t="s">
        <v>81</v>
      </c>
      <c r="G56" s="6" t="s">
        <v>82</v>
      </c>
      <c r="H56" s="6" t="s">
        <v>138</v>
      </c>
      <c r="I56" s="6" t="s">
        <v>148</v>
      </c>
      <c r="J56" s="6" t="s">
        <v>138</v>
      </c>
      <c r="K56" s="6"/>
      <c r="L56" s="6"/>
      <c r="M56" s="6"/>
      <c r="N56" s="6"/>
      <c r="O56" s="6"/>
      <c r="P56" s="6"/>
      <c r="Q56" s="6"/>
      <c r="R56" s="7" t="n">
        <f aca="false">COUNTIF('Label Map'!$D$2:$D$2000,A56)</f>
        <v>1</v>
      </c>
    </row>
    <row r="57" customFormat="false" ht="15" hidden="false" customHeight="false" outlineLevel="0" collapsed="false">
      <c r="A57" s="6" t="s">
        <v>149</v>
      </c>
      <c r="B57" s="6" t="s">
        <v>63</v>
      </c>
      <c r="C57" s="6" t="s">
        <v>3</v>
      </c>
      <c r="D57" s="6" t="s">
        <v>75</v>
      </c>
      <c r="E57" s="6" t="s">
        <v>80</v>
      </c>
      <c r="F57" s="6" t="s">
        <v>81</v>
      </c>
      <c r="G57" s="6" t="s">
        <v>82</v>
      </c>
      <c r="H57" s="6" t="s">
        <v>138</v>
      </c>
      <c r="I57" s="6" t="s">
        <v>149</v>
      </c>
      <c r="J57" s="6" t="s">
        <v>138</v>
      </c>
      <c r="K57" s="6"/>
      <c r="L57" s="6"/>
      <c r="M57" s="6"/>
      <c r="N57" s="6"/>
      <c r="O57" s="6"/>
      <c r="P57" s="6"/>
      <c r="Q57" s="6"/>
      <c r="R57" s="7" t="n">
        <f aca="false">COUNTIF('Label Map'!$D$2:$D$2000,A57)</f>
        <v>0</v>
      </c>
    </row>
    <row r="58" customFormat="false" ht="15" hidden="false" customHeight="false" outlineLevel="0" collapsed="false">
      <c r="A58" s="6" t="s">
        <v>150</v>
      </c>
      <c r="B58" s="6" t="s">
        <v>63</v>
      </c>
      <c r="C58" s="6" t="s">
        <v>3</v>
      </c>
      <c r="D58" s="6" t="s">
        <v>75</v>
      </c>
      <c r="E58" s="6" t="s">
        <v>80</v>
      </c>
      <c r="F58" s="6" t="s">
        <v>81</v>
      </c>
      <c r="G58" s="6" t="s">
        <v>82</v>
      </c>
      <c r="H58" s="6" t="s">
        <v>138</v>
      </c>
      <c r="I58" s="6" t="s">
        <v>150</v>
      </c>
      <c r="J58" s="6" t="s">
        <v>138</v>
      </c>
      <c r="K58" s="6"/>
      <c r="L58" s="6"/>
      <c r="M58" s="6"/>
      <c r="N58" s="6"/>
      <c r="O58" s="6"/>
      <c r="P58" s="6"/>
      <c r="Q58" s="6"/>
      <c r="R58" s="7" t="n">
        <f aca="false">COUNTIF('Label Map'!$D$2:$D$2000,A58)</f>
        <v>1</v>
      </c>
    </row>
    <row r="59" customFormat="false" ht="15" hidden="false" customHeight="false" outlineLevel="0" collapsed="false">
      <c r="A59" s="6" t="s">
        <v>151</v>
      </c>
      <c r="B59" s="6" t="s">
        <v>63</v>
      </c>
      <c r="C59" s="6" t="s">
        <v>3</v>
      </c>
      <c r="D59" s="6" t="s">
        <v>75</v>
      </c>
      <c r="E59" s="6" t="s">
        <v>80</v>
      </c>
      <c r="F59" s="6" t="s">
        <v>81</v>
      </c>
      <c r="G59" s="6" t="s">
        <v>82</v>
      </c>
      <c r="H59" s="6" t="s">
        <v>138</v>
      </c>
      <c r="I59" s="6" t="s">
        <v>151</v>
      </c>
      <c r="J59" s="6" t="s">
        <v>138</v>
      </c>
      <c r="K59" s="6"/>
      <c r="L59" s="6"/>
      <c r="M59" s="6"/>
      <c r="N59" s="6"/>
      <c r="O59" s="6"/>
      <c r="P59" s="6"/>
      <c r="Q59" s="6"/>
      <c r="R59" s="7" t="n">
        <f aca="false">COUNTIF('Label Map'!$D$2:$D$2000,A59)</f>
        <v>1</v>
      </c>
    </row>
    <row r="60" customFormat="false" ht="15" hidden="false" customHeight="false" outlineLevel="0" collapsed="false">
      <c r="A60" s="6" t="s">
        <v>152</v>
      </c>
      <c r="B60" s="6" t="s">
        <v>63</v>
      </c>
      <c r="C60" s="6" t="s">
        <v>3</v>
      </c>
      <c r="D60" s="6" t="s">
        <v>75</v>
      </c>
      <c r="E60" s="6" t="s">
        <v>80</v>
      </c>
      <c r="F60" s="6" t="s">
        <v>81</v>
      </c>
      <c r="G60" s="6" t="s">
        <v>82</v>
      </c>
      <c r="H60" s="6" t="s">
        <v>138</v>
      </c>
      <c r="I60" s="6" t="s">
        <v>152</v>
      </c>
      <c r="J60" s="6" t="s">
        <v>138</v>
      </c>
      <c r="K60" s="6"/>
      <c r="L60" s="6"/>
      <c r="M60" s="6"/>
      <c r="N60" s="6"/>
      <c r="O60" s="6"/>
      <c r="P60" s="6"/>
      <c r="Q60" s="6"/>
      <c r="R60" s="7" t="n">
        <f aca="false">COUNTIF('Label Map'!$D$2:$D$2000,A60)</f>
        <v>0</v>
      </c>
    </row>
    <row r="61" customFormat="false" ht="15" hidden="false" customHeight="false" outlineLevel="0" collapsed="false">
      <c r="A61" s="6" t="s">
        <v>153</v>
      </c>
      <c r="B61" s="6" t="s">
        <v>63</v>
      </c>
      <c r="C61" s="6" t="s">
        <v>3</v>
      </c>
      <c r="D61" s="6" t="s">
        <v>75</v>
      </c>
      <c r="E61" s="6" t="s">
        <v>80</v>
      </c>
      <c r="F61" s="6" t="s">
        <v>81</v>
      </c>
      <c r="G61" s="6" t="s">
        <v>82</v>
      </c>
      <c r="H61" s="6" t="s">
        <v>138</v>
      </c>
      <c r="I61" s="6" t="s">
        <v>153</v>
      </c>
      <c r="J61" s="6" t="s">
        <v>138</v>
      </c>
      <c r="K61" s="6"/>
      <c r="L61" s="6"/>
      <c r="M61" s="6"/>
      <c r="N61" s="6"/>
      <c r="O61" s="6"/>
      <c r="P61" s="6"/>
      <c r="Q61" s="6"/>
      <c r="R61" s="7" t="n">
        <f aca="false">COUNTIF('Label Map'!$D$2:$D$2000,A61)</f>
        <v>1</v>
      </c>
    </row>
    <row r="62" customFormat="false" ht="15" hidden="false" customHeight="false" outlineLevel="0" collapsed="false">
      <c r="A62" s="6" t="s">
        <v>154</v>
      </c>
      <c r="B62" s="6" t="s">
        <v>63</v>
      </c>
      <c r="C62" s="6" t="s">
        <v>3</v>
      </c>
      <c r="D62" s="6" t="s">
        <v>75</v>
      </c>
      <c r="E62" s="6" t="s">
        <v>80</v>
      </c>
      <c r="F62" s="6" t="s">
        <v>81</v>
      </c>
      <c r="G62" s="6" t="s">
        <v>82</v>
      </c>
      <c r="H62" s="6" t="s">
        <v>138</v>
      </c>
      <c r="I62" s="6" t="s">
        <v>154</v>
      </c>
      <c r="J62" s="6" t="s">
        <v>138</v>
      </c>
      <c r="K62" s="6"/>
      <c r="L62" s="6"/>
      <c r="M62" s="6"/>
      <c r="N62" s="6"/>
      <c r="O62" s="6"/>
      <c r="P62" s="6"/>
      <c r="Q62" s="6"/>
      <c r="R62" s="7" t="n">
        <f aca="false">COUNTIF('Label Map'!$D$2:$D$2000,A62)</f>
        <v>1</v>
      </c>
    </row>
    <row r="63" customFormat="false" ht="15" hidden="false" customHeight="false" outlineLevel="0" collapsed="false">
      <c r="A63" s="6" t="s">
        <v>155</v>
      </c>
      <c r="B63" s="6" t="s">
        <v>63</v>
      </c>
      <c r="C63" s="6" t="s">
        <v>3</v>
      </c>
      <c r="D63" s="6" t="s">
        <v>75</v>
      </c>
      <c r="E63" s="6" t="s">
        <v>80</v>
      </c>
      <c r="F63" s="6" t="s">
        <v>81</v>
      </c>
      <c r="G63" s="6" t="s">
        <v>82</v>
      </c>
      <c r="H63" s="6" t="s">
        <v>138</v>
      </c>
      <c r="I63" s="6" t="s">
        <v>155</v>
      </c>
      <c r="J63" s="6" t="s">
        <v>138</v>
      </c>
      <c r="K63" s="6"/>
      <c r="L63" s="6"/>
      <c r="M63" s="6"/>
      <c r="N63" s="6"/>
      <c r="O63" s="6"/>
      <c r="P63" s="6"/>
      <c r="Q63" s="6"/>
      <c r="R63" s="7" t="n">
        <f aca="false">COUNTIF('Label Map'!$D$2:$D$2000,A63)</f>
        <v>0</v>
      </c>
    </row>
    <row r="64" customFormat="false" ht="15" hidden="false" customHeight="false" outlineLevel="0" collapsed="false">
      <c r="A64" s="6" t="s">
        <v>156</v>
      </c>
      <c r="B64" s="6" t="s">
        <v>11</v>
      </c>
      <c r="C64" s="6" t="s">
        <v>3</v>
      </c>
      <c r="D64" s="6" t="s">
        <v>75</v>
      </c>
      <c r="E64" s="6" t="s">
        <v>80</v>
      </c>
      <c r="F64" s="6" t="s">
        <v>81</v>
      </c>
      <c r="G64" s="6" t="s">
        <v>82</v>
      </c>
      <c r="H64" s="6" t="s">
        <v>156</v>
      </c>
      <c r="I64" s="6"/>
      <c r="J64" s="6" t="s">
        <v>81</v>
      </c>
      <c r="K64" s="6"/>
      <c r="L64" s="6"/>
      <c r="M64" s="6"/>
      <c r="N64" s="6"/>
      <c r="O64" s="6"/>
      <c r="P64" s="6"/>
      <c r="Q64" s="6"/>
      <c r="R64" s="7" t="n">
        <f aca="false">COUNTIF('Label Map'!$D$2:$D$2000,A64)</f>
        <v>2</v>
      </c>
    </row>
    <row r="65" customFormat="false" ht="15" hidden="false" customHeight="false" outlineLevel="0" collapsed="false">
      <c r="A65" s="6" t="s">
        <v>157</v>
      </c>
      <c r="B65" s="6" t="s">
        <v>63</v>
      </c>
      <c r="C65" s="6" t="s">
        <v>3</v>
      </c>
      <c r="D65" s="6" t="s">
        <v>75</v>
      </c>
      <c r="E65" s="6" t="s">
        <v>80</v>
      </c>
      <c r="F65" s="6" t="s">
        <v>81</v>
      </c>
      <c r="G65" s="6" t="s">
        <v>82</v>
      </c>
      <c r="H65" s="6" t="s">
        <v>156</v>
      </c>
      <c r="I65" s="6" t="s">
        <v>157</v>
      </c>
      <c r="J65" s="6" t="s">
        <v>156</v>
      </c>
      <c r="K65" s="6"/>
      <c r="L65" s="6"/>
      <c r="M65" s="6"/>
      <c r="N65" s="6"/>
      <c r="O65" s="6"/>
      <c r="P65" s="6"/>
      <c r="Q65" s="6"/>
      <c r="R65" s="7" t="n">
        <f aca="false">COUNTIF('Label Map'!$D$2:$D$2000,A65)</f>
        <v>1</v>
      </c>
    </row>
    <row r="66" customFormat="false" ht="15" hidden="false" customHeight="false" outlineLevel="0" collapsed="false">
      <c r="A66" s="6" t="s">
        <v>158</v>
      </c>
      <c r="B66" s="6" t="s">
        <v>63</v>
      </c>
      <c r="C66" s="6" t="s">
        <v>3</v>
      </c>
      <c r="D66" s="6" t="s">
        <v>75</v>
      </c>
      <c r="E66" s="6" t="s">
        <v>80</v>
      </c>
      <c r="F66" s="6" t="s">
        <v>81</v>
      </c>
      <c r="G66" s="6" t="s">
        <v>82</v>
      </c>
      <c r="H66" s="6" t="s">
        <v>156</v>
      </c>
      <c r="I66" s="6" t="s">
        <v>158</v>
      </c>
      <c r="J66" s="6" t="s">
        <v>156</v>
      </c>
      <c r="K66" s="6"/>
      <c r="L66" s="6"/>
      <c r="M66" s="6"/>
      <c r="N66" s="6"/>
      <c r="O66" s="6"/>
      <c r="P66" s="6"/>
      <c r="Q66" s="6"/>
      <c r="R66" s="7" t="n">
        <f aca="false">COUNTIF('Label Map'!$D$2:$D$2000,A66)</f>
        <v>0</v>
      </c>
    </row>
    <row r="67" customFormat="false" ht="15" hidden="false" customHeight="false" outlineLevel="0" collapsed="false">
      <c r="A67" s="6" t="s">
        <v>159</v>
      </c>
      <c r="B67" s="6" t="s">
        <v>11</v>
      </c>
      <c r="C67" s="6" t="s">
        <v>3</v>
      </c>
      <c r="D67" s="6" t="s">
        <v>75</v>
      </c>
      <c r="E67" s="6" t="s">
        <v>80</v>
      </c>
      <c r="F67" s="6" t="s">
        <v>81</v>
      </c>
      <c r="G67" s="6" t="s">
        <v>82</v>
      </c>
      <c r="H67" s="6" t="s">
        <v>159</v>
      </c>
      <c r="I67" s="6"/>
      <c r="J67" s="6" t="s">
        <v>81</v>
      </c>
      <c r="K67" s="6"/>
      <c r="L67" s="6"/>
      <c r="M67" s="6"/>
      <c r="N67" s="6"/>
      <c r="O67" s="6"/>
      <c r="P67" s="6"/>
      <c r="Q67" s="6"/>
      <c r="R67" s="7" t="n">
        <f aca="false">COUNTIF('Label Map'!$D$2:$D$2000,A67)</f>
        <v>1</v>
      </c>
    </row>
    <row r="68" customFormat="false" ht="15" hidden="false" customHeight="false" outlineLevel="0" collapsed="false">
      <c r="A68" s="6" t="s">
        <v>160</v>
      </c>
      <c r="B68" s="6" t="s">
        <v>11</v>
      </c>
      <c r="C68" s="6" t="s">
        <v>3</v>
      </c>
      <c r="D68" s="6" t="s">
        <v>75</v>
      </c>
      <c r="E68" s="6" t="s">
        <v>80</v>
      </c>
      <c r="F68" s="6" t="s">
        <v>81</v>
      </c>
      <c r="G68" s="6" t="s">
        <v>82</v>
      </c>
      <c r="H68" s="6" t="s">
        <v>160</v>
      </c>
      <c r="I68" s="6"/>
      <c r="J68" s="6" t="s">
        <v>81</v>
      </c>
      <c r="K68" s="6"/>
      <c r="L68" s="6"/>
      <c r="M68" s="6"/>
      <c r="N68" s="6"/>
      <c r="O68" s="6"/>
      <c r="P68" s="6"/>
      <c r="Q68" s="6"/>
      <c r="R68" s="7" t="n">
        <f aca="false">COUNTIF('Label Map'!$D$2:$D$2000,A68)</f>
        <v>2</v>
      </c>
    </row>
    <row r="69" customFormat="false" ht="15" hidden="false" customHeight="false" outlineLevel="0" collapsed="false">
      <c r="A69" s="6" t="s">
        <v>161</v>
      </c>
      <c r="B69" s="6" t="s">
        <v>11</v>
      </c>
      <c r="C69" s="6" t="s">
        <v>3</v>
      </c>
      <c r="D69" s="6" t="s">
        <v>75</v>
      </c>
      <c r="E69" s="6" t="s">
        <v>80</v>
      </c>
      <c r="F69" s="6" t="s">
        <v>81</v>
      </c>
      <c r="G69" s="6" t="s">
        <v>82</v>
      </c>
      <c r="H69" s="6" t="s">
        <v>161</v>
      </c>
      <c r="I69" s="6"/>
      <c r="J69" s="6" t="s">
        <v>81</v>
      </c>
      <c r="K69" s="6"/>
      <c r="L69" s="6"/>
      <c r="M69" s="6"/>
      <c r="N69" s="6"/>
      <c r="O69" s="6"/>
      <c r="P69" s="6"/>
      <c r="Q69" s="6" t="s">
        <v>162</v>
      </c>
      <c r="R69" s="7" t="n">
        <f aca="false">COUNTIF('Label Map'!$D$2:$D$2000,A69)</f>
        <v>2</v>
      </c>
    </row>
    <row r="70" customFormat="false" ht="15" hidden="false" customHeight="false" outlineLevel="0" collapsed="false">
      <c r="A70" s="6" t="s">
        <v>163</v>
      </c>
      <c r="B70" s="6" t="s">
        <v>11</v>
      </c>
      <c r="C70" s="6" t="s">
        <v>3</v>
      </c>
      <c r="D70" s="6" t="s">
        <v>75</v>
      </c>
      <c r="E70" s="6" t="s">
        <v>80</v>
      </c>
      <c r="F70" s="6" t="s">
        <v>81</v>
      </c>
      <c r="G70" s="6" t="s">
        <v>82</v>
      </c>
      <c r="H70" s="6" t="s">
        <v>163</v>
      </c>
      <c r="I70" s="6"/>
      <c r="J70" s="6" t="s">
        <v>81</v>
      </c>
      <c r="K70" s="6"/>
      <c r="L70" s="6"/>
      <c r="M70" s="6"/>
      <c r="N70" s="6"/>
      <c r="O70" s="6"/>
      <c r="P70" s="6"/>
      <c r="Q70" s="6"/>
      <c r="R70" s="7" t="n">
        <f aca="false">COUNTIF('Label Map'!$D$2:$D$2000,A70)</f>
        <v>3</v>
      </c>
    </row>
    <row r="71" customFormat="false" ht="15" hidden="false" customHeight="false" outlineLevel="0" collapsed="false">
      <c r="A71" s="6" t="s">
        <v>164</v>
      </c>
      <c r="B71" s="6" t="s">
        <v>63</v>
      </c>
      <c r="C71" s="6" t="s">
        <v>3</v>
      </c>
      <c r="D71" s="6" t="s">
        <v>75</v>
      </c>
      <c r="E71" s="6" t="s">
        <v>80</v>
      </c>
      <c r="F71" s="6" t="s">
        <v>81</v>
      </c>
      <c r="G71" s="6" t="s">
        <v>82</v>
      </c>
      <c r="H71" s="6" t="s">
        <v>163</v>
      </c>
      <c r="I71" s="6" t="s">
        <v>164</v>
      </c>
      <c r="J71" s="6" t="s">
        <v>163</v>
      </c>
      <c r="K71" s="6"/>
      <c r="L71" s="6"/>
      <c r="M71" s="6"/>
      <c r="N71" s="6"/>
      <c r="O71" s="6"/>
      <c r="P71" s="6"/>
      <c r="Q71" s="6" t="s">
        <v>165</v>
      </c>
      <c r="R71" s="7" t="n">
        <f aca="false">COUNTIF('Label Map'!$D$2:$D$2000,A71)</f>
        <v>2</v>
      </c>
    </row>
    <row r="72" customFormat="false" ht="15" hidden="false" customHeight="false" outlineLevel="0" collapsed="false">
      <c r="A72" s="6" t="s">
        <v>166</v>
      </c>
      <c r="B72" s="6" t="s">
        <v>63</v>
      </c>
      <c r="C72" s="6" t="s">
        <v>3</v>
      </c>
      <c r="D72" s="6" t="s">
        <v>75</v>
      </c>
      <c r="E72" s="6" t="s">
        <v>80</v>
      </c>
      <c r="F72" s="6" t="s">
        <v>81</v>
      </c>
      <c r="G72" s="6" t="s">
        <v>82</v>
      </c>
      <c r="H72" s="6" t="s">
        <v>163</v>
      </c>
      <c r="I72" s="6" t="s">
        <v>166</v>
      </c>
      <c r="J72" s="6" t="s">
        <v>163</v>
      </c>
      <c r="K72" s="6"/>
      <c r="L72" s="6"/>
      <c r="M72" s="6"/>
      <c r="N72" s="6"/>
      <c r="O72" s="6"/>
      <c r="P72" s="6"/>
      <c r="Q72" s="6"/>
      <c r="R72" s="7" t="n">
        <f aca="false">COUNTIF('Label Map'!$D$2:$D$2000,A72)</f>
        <v>0</v>
      </c>
    </row>
    <row r="73" customFormat="false" ht="15" hidden="false" customHeight="false" outlineLevel="0" collapsed="false">
      <c r="A73" s="6" t="s">
        <v>167</v>
      </c>
      <c r="B73" s="6" t="s">
        <v>63</v>
      </c>
      <c r="C73" s="6" t="s">
        <v>3</v>
      </c>
      <c r="D73" s="6" t="s">
        <v>75</v>
      </c>
      <c r="E73" s="6" t="s">
        <v>80</v>
      </c>
      <c r="F73" s="6" t="s">
        <v>81</v>
      </c>
      <c r="G73" s="6" t="s">
        <v>82</v>
      </c>
      <c r="H73" s="6" t="s">
        <v>163</v>
      </c>
      <c r="I73" s="6" t="s">
        <v>167</v>
      </c>
      <c r="J73" s="6" t="s">
        <v>163</v>
      </c>
      <c r="K73" s="6"/>
      <c r="L73" s="6"/>
      <c r="M73" s="6"/>
      <c r="N73" s="6"/>
      <c r="O73" s="6"/>
      <c r="P73" s="6"/>
      <c r="Q73" s="6"/>
      <c r="R73" s="7" t="n">
        <f aca="false">COUNTIF('Label Map'!$D$2:$D$2000,A73)</f>
        <v>0</v>
      </c>
    </row>
    <row r="74" customFormat="false" ht="15" hidden="false" customHeight="false" outlineLevel="0" collapsed="false">
      <c r="A74" s="6" t="s">
        <v>168</v>
      </c>
      <c r="B74" s="6" t="s">
        <v>63</v>
      </c>
      <c r="C74" s="6" t="s">
        <v>3</v>
      </c>
      <c r="D74" s="6" t="s">
        <v>75</v>
      </c>
      <c r="E74" s="6" t="s">
        <v>80</v>
      </c>
      <c r="F74" s="6" t="s">
        <v>81</v>
      </c>
      <c r="G74" s="6" t="s">
        <v>82</v>
      </c>
      <c r="H74" s="6" t="s">
        <v>163</v>
      </c>
      <c r="I74" s="6" t="s">
        <v>168</v>
      </c>
      <c r="J74" s="6" t="s">
        <v>163</v>
      </c>
      <c r="K74" s="6"/>
      <c r="L74" s="6"/>
      <c r="M74" s="6"/>
      <c r="N74" s="6"/>
      <c r="O74" s="6"/>
      <c r="P74" s="6"/>
      <c r="Q74" s="6"/>
      <c r="R74" s="7" t="n">
        <f aca="false">COUNTIF('Label Map'!$D$2:$D$2000,A74)</f>
        <v>0</v>
      </c>
    </row>
    <row r="75" customFormat="false" ht="15" hidden="false" customHeight="false" outlineLevel="0" collapsed="false">
      <c r="A75" s="6" t="s">
        <v>169</v>
      </c>
      <c r="B75" s="6" t="s">
        <v>63</v>
      </c>
      <c r="C75" s="6" t="s">
        <v>3</v>
      </c>
      <c r="D75" s="6" t="s">
        <v>75</v>
      </c>
      <c r="E75" s="6" t="s">
        <v>80</v>
      </c>
      <c r="F75" s="6" t="s">
        <v>81</v>
      </c>
      <c r="G75" s="6" t="s">
        <v>82</v>
      </c>
      <c r="H75" s="6" t="s">
        <v>163</v>
      </c>
      <c r="I75" s="6" t="s">
        <v>169</v>
      </c>
      <c r="J75" s="6" t="s">
        <v>163</v>
      </c>
      <c r="K75" s="6"/>
      <c r="L75" s="6"/>
      <c r="M75" s="6"/>
      <c r="N75" s="6"/>
      <c r="O75" s="6"/>
      <c r="P75" s="6"/>
      <c r="Q75" s="6"/>
      <c r="R75" s="7" t="n">
        <f aca="false">COUNTIF('Label Map'!$D$2:$D$2000,A75)</f>
        <v>2</v>
      </c>
    </row>
    <row r="76" customFormat="false" ht="15" hidden="false" customHeight="false" outlineLevel="0" collapsed="false">
      <c r="A76" s="6" t="s">
        <v>170</v>
      </c>
      <c r="B76" s="6" t="s">
        <v>11</v>
      </c>
      <c r="C76" s="6" t="s">
        <v>3</v>
      </c>
      <c r="D76" s="6" t="s">
        <v>75</v>
      </c>
      <c r="E76" s="6" t="s">
        <v>80</v>
      </c>
      <c r="F76" s="6" t="s">
        <v>81</v>
      </c>
      <c r="G76" s="6" t="s">
        <v>82</v>
      </c>
      <c r="H76" s="6" t="s">
        <v>170</v>
      </c>
      <c r="I76" s="6"/>
      <c r="J76" s="6" t="s">
        <v>81</v>
      </c>
      <c r="K76" s="6"/>
      <c r="L76" s="6"/>
      <c r="M76" s="6"/>
      <c r="N76" s="6"/>
      <c r="O76" s="6"/>
      <c r="P76" s="6"/>
      <c r="Q76" s="6" t="s">
        <v>171</v>
      </c>
      <c r="R76" s="7" t="n">
        <f aca="false">COUNTIF('Label Map'!$D$2:$D$2000,A76)</f>
        <v>2</v>
      </c>
    </row>
    <row r="77" customFormat="false" ht="15" hidden="false" customHeight="false" outlineLevel="0" collapsed="false">
      <c r="A77" s="6" t="s">
        <v>172</v>
      </c>
      <c r="B77" s="6" t="s">
        <v>63</v>
      </c>
      <c r="C77" s="6" t="s">
        <v>3</v>
      </c>
      <c r="D77" s="6" t="s">
        <v>75</v>
      </c>
      <c r="E77" s="6" t="s">
        <v>80</v>
      </c>
      <c r="F77" s="6" t="s">
        <v>81</v>
      </c>
      <c r="G77" s="6" t="s">
        <v>82</v>
      </c>
      <c r="H77" s="6" t="s">
        <v>170</v>
      </c>
      <c r="I77" s="6" t="s">
        <v>172</v>
      </c>
      <c r="J77" s="6" t="s">
        <v>170</v>
      </c>
      <c r="K77" s="6"/>
      <c r="L77" s="6"/>
      <c r="M77" s="6"/>
      <c r="N77" s="6"/>
      <c r="O77" s="6"/>
      <c r="P77" s="6"/>
      <c r="Q77" s="6"/>
      <c r="R77" s="7" t="n">
        <f aca="false">COUNTIF('Label Map'!$D$2:$D$2000,A77)</f>
        <v>1</v>
      </c>
    </row>
    <row r="78" customFormat="false" ht="15" hidden="false" customHeight="false" outlineLevel="0" collapsed="false">
      <c r="A78" s="6" t="s">
        <v>173</v>
      </c>
      <c r="B78" s="6" t="s">
        <v>63</v>
      </c>
      <c r="C78" s="6" t="s">
        <v>3</v>
      </c>
      <c r="D78" s="6" t="s">
        <v>75</v>
      </c>
      <c r="E78" s="6" t="s">
        <v>80</v>
      </c>
      <c r="F78" s="6" t="s">
        <v>81</v>
      </c>
      <c r="G78" s="6" t="s">
        <v>82</v>
      </c>
      <c r="H78" s="6" t="s">
        <v>170</v>
      </c>
      <c r="I78" s="6" t="s">
        <v>173</v>
      </c>
      <c r="J78" s="6" t="s">
        <v>170</v>
      </c>
      <c r="K78" s="6"/>
      <c r="L78" s="6"/>
      <c r="M78" s="6"/>
      <c r="N78" s="6"/>
      <c r="O78" s="6"/>
      <c r="P78" s="6"/>
      <c r="Q78" s="6"/>
      <c r="R78" s="7" t="n">
        <f aca="false">COUNTIF('Label Map'!$D$2:$D$2000,A78)</f>
        <v>0</v>
      </c>
    </row>
    <row r="79" customFormat="false" ht="15" hidden="false" customHeight="false" outlineLevel="0" collapsed="false">
      <c r="A79" s="6" t="s">
        <v>174</v>
      </c>
      <c r="B79" s="6" t="s">
        <v>11</v>
      </c>
      <c r="C79" s="6" t="s">
        <v>3</v>
      </c>
      <c r="D79" s="6" t="s">
        <v>75</v>
      </c>
      <c r="E79" s="6" t="s">
        <v>80</v>
      </c>
      <c r="F79" s="6" t="s">
        <v>81</v>
      </c>
      <c r="G79" s="6" t="s">
        <v>82</v>
      </c>
      <c r="H79" s="6" t="s">
        <v>174</v>
      </c>
      <c r="I79" s="6"/>
      <c r="J79" s="6" t="s">
        <v>81</v>
      </c>
      <c r="K79" s="6"/>
      <c r="L79" s="6"/>
      <c r="M79" s="6"/>
      <c r="N79" s="6"/>
      <c r="O79" s="6"/>
      <c r="P79" s="6"/>
      <c r="Q79" s="6" t="s">
        <v>175</v>
      </c>
      <c r="R79" s="7" t="n">
        <f aca="false">COUNTIF('Label Map'!$D$2:$D$2000,A79)</f>
        <v>1</v>
      </c>
    </row>
    <row r="80" customFormat="false" ht="15" hidden="false" customHeight="false" outlineLevel="0" collapsed="false">
      <c r="A80" s="6" t="s">
        <v>176</v>
      </c>
      <c r="B80" s="6" t="s">
        <v>11</v>
      </c>
      <c r="C80" s="6" t="s">
        <v>3</v>
      </c>
      <c r="D80" s="6" t="s">
        <v>75</v>
      </c>
      <c r="E80" s="6" t="s">
        <v>80</v>
      </c>
      <c r="F80" s="6" t="s">
        <v>81</v>
      </c>
      <c r="G80" s="6" t="s">
        <v>82</v>
      </c>
      <c r="H80" s="6" t="s">
        <v>176</v>
      </c>
      <c r="I80" s="6"/>
      <c r="J80" s="6" t="s">
        <v>81</v>
      </c>
      <c r="K80" s="6"/>
      <c r="L80" s="6"/>
      <c r="M80" s="6"/>
      <c r="N80" s="6"/>
      <c r="O80" s="6"/>
      <c r="P80" s="6"/>
      <c r="Q80" s="6"/>
      <c r="R80" s="7" t="n">
        <f aca="false">COUNTIF('Label Map'!$D$2:$D$2000,A80)</f>
        <v>1</v>
      </c>
    </row>
    <row r="81" customFormat="false" ht="15" hidden="false" customHeight="false" outlineLevel="0" collapsed="false">
      <c r="A81" s="6" t="s">
        <v>177</v>
      </c>
      <c r="B81" s="6" t="s">
        <v>63</v>
      </c>
      <c r="C81" s="6" t="s">
        <v>3</v>
      </c>
      <c r="D81" s="6" t="s">
        <v>75</v>
      </c>
      <c r="E81" s="6" t="s">
        <v>80</v>
      </c>
      <c r="F81" s="6" t="s">
        <v>81</v>
      </c>
      <c r="G81" s="6" t="s">
        <v>82</v>
      </c>
      <c r="H81" s="6" t="s">
        <v>176</v>
      </c>
      <c r="I81" s="6" t="s">
        <v>177</v>
      </c>
      <c r="J81" s="6" t="s">
        <v>176</v>
      </c>
      <c r="K81" s="6"/>
      <c r="L81" s="6"/>
      <c r="M81" s="6"/>
      <c r="N81" s="6"/>
      <c r="O81" s="6"/>
      <c r="P81" s="6"/>
      <c r="Q81" s="6"/>
      <c r="R81" s="7" t="n">
        <f aca="false">COUNTIF('Label Map'!$D$2:$D$2000,A81)</f>
        <v>0</v>
      </c>
    </row>
    <row r="82" customFormat="false" ht="15" hidden="false" customHeight="false" outlineLevel="0" collapsed="false">
      <c r="A82" s="6" t="s">
        <v>178</v>
      </c>
      <c r="B82" s="6" t="s">
        <v>11</v>
      </c>
      <c r="C82" s="6" t="s">
        <v>3</v>
      </c>
      <c r="D82" s="6" t="s">
        <v>75</v>
      </c>
      <c r="E82" s="6" t="s">
        <v>80</v>
      </c>
      <c r="F82" s="6" t="s">
        <v>81</v>
      </c>
      <c r="G82" s="6" t="s">
        <v>82</v>
      </c>
      <c r="H82" s="6" t="s">
        <v>178</v>
      </c>
      <c r="I82" s="6"/>
      <c r="J82" s="6" t="s">
        <v>81</v>
      </c>
      <c r="K82" s="6"/>
      <c r="L82" s="6"/>
      <c r="M82" s="6"/>
      <c r="N82" s="6"/>
      <c r="O82" s="6"/>
      <c r="P82" s="6"/>
      <c r="Q82" s="6"/>
      <c r="R82" s="7" t="n">
        <f aca="false">COUNTIF('Label Map'!$D$2:$D$2000,A82)</f>
        <v>2</v>
      </c>
    </row>
    <row r="83" customFormat="false" ht="15" hidden="false" customHeight="false" outlineLevel="0" collapsed="false">
      <c r="A83" s="6" t="s">
        <v>179</v>
      </c>
      <c r="B83" s="6" t="s">
        <v>11</v>
      </c>
      <c r="C83" s="6" t="s">
        <v>3</v>
      </c>
      <c r="D83" s="6" t="s">
        <v>75</v>
      </c>
      <c r="E83" s="6" t="s">
        <v>80</v>
      </c>
      <c r="F83" s="6" t="s">
        <v>81</v>
      </c>
      <c r="G83" s="6" t="s">
        <v>82</v>
      </c>
      <c r="H83" s="6" t="s">
        <v>179</v>
      </c>
      <c r="I83" s="6"/>
      <c r="J83" s="6" t="s">
        <v>81</v>
      </c>
      <c r="K83" s="6"/>
      <c r="L83" s="6"/>
      <c r="M83" s="6"/>
      <c r="N83" s="6"/>
      <c r="O83" s="6"/>
      <c r="P83" s="6"/>
      <c r="Q83" s="6"/>
      <c r="R83" s="7" t="n">
        <f aca="false">COUNTIF('Label Map'!$D$2:$D$2000,A83)</f>
        <v>2</v>
      </c>
    </row>
    <row r="84" customFormat="false" ht="15" hidden="false" customHeight="false" outlineLevel="0" collapsed="false">
      <c r="A84" s="6" t="s">
        <v>180</v>
      </c>
      <c r="B84" s="6" t="s">
        <v>63</v>
      </c>
      <c r="C84" s="6" t="s">
        <v>3</v>
      </c>
      <c r="D84" s="6" t="s">
        <v>75</v>
      </c>
      <c r="E84" s="6" t="s">
        <v>80</v>
      </c>
      <c r="F84" s="6" t="s">
        <v>81</v>
      </c>
      <c r="G84" s="6" t="s">
        <v>82</v>
      </c>
      <c r="H84" s="6" t="s">
        <v>179</v>
      </c>
      <c r="I84" s="6" t="s">
        <v>180</v>
      </c>
      <c r="J84" s="6" t="s">
        <v>179</v>
      </c>
      <c r="K84" s="6"/>
      <c r="L84" s="6"/>
      <c r="M84" s="6"/>
      <c r="N84" s="6"/>
      <c r="O84" s="6"/>
      <c r="P84" s="6"/>
      <c r="Q84" s="6"/>
      <c r="R84" s="7" t="n">
        <f aca="false">COUNTIF('Label Map'!$D$2:$D$2000,A84)</f>
        <v>1</v>
      </c>
    </row>
    <row r="85" customFormat="false" ht="15" hidden="false" customHeight="false" outlineLevel="0" collapsed="false">
      <c r="A85" s="6" t="s">
        <v>181</v>
      </c>
      <c r="B85" s="6" t="s">
        <v>63</v>
      </c>
      <c r="C85" s="6" t="s">
        <v>3</v>
      </c>
      <c r="D85" s="6" t="s">
        <v>75</v>
      </c>
      <c r="E85" s="6" t="s">
        <v>80</v>
      </c>
      <c r="F85" s="6" t="s">
        <v>81</v>
      </c>
      <c r="G85" s="6" t="s">
        <v>82</v>
      </c>
      <c r="H85" s="6" t="s">
        <v>179</v>
      </c>
      <c r="I85" s="6" t="s">
        <v>181</v>
      </c>
      <c r="J85" s="6" t="s">
        <v>179</v>
      </c>
      <c r="K85" s="6"/>
      <c r="L85" s="6"/>
      <c r="M85" s="6"/>
      <c r="N85" s="6"/>
      <c r="O85" s="6"/>
      <c r="P85" s="6"/>
      <c r="Q85" s="6"/>
      <c r="R85" s="7" t="n">
        <f aca="false">COUNTIF('Label Map'!$D$2:$D$2000,A85)</f>
        <v>0</v>
      </c>
    </row>
    <row r="86" customFormat="false" ht="15" hidden="false" customHeight="false" outlineLevel="0" collapsed="false">
      <c r="A86" s="6" t="s">
        <v>182</v>
      </c>
      <c r="B86" s="6" t="s">
        <v>11</v>
      </c>
      <c r="C86" s="6" t="s">
        <v>3</v>
      </c>
      <c r="D86" s="6" t="s">
        <v>75</v>
      </c>
      <c r="E86" s="6" t="s">
        <v>80</v>
      </c>
      <c r="F86" s="6" t="s">
        <v>81</v>
      </c>
      <c r="G86" s="6" t="s">
        <v>82</v>
      </c>
      <c r="H86" s="6" t="s">
        <v>182</v>
      </c>
      <c r="I86" s="6"/>
      <c r="J86" s="6" t="s">
        <v>81</v>
      </c>
      <c r="K86" s="6"/>
      <c r="L86" s="6"/>
      <c r="M86" s="6"/>
      <c r="N86" s="6"/>
      <c r="O86" s="6"/>
      <c r="P86" s="6"/>
      <c r="Q86" s="6"/>
      <c r="R86" s="7" t="n">
        <f aca="false">COUNTIF('Label Map'!$D$2:$D$2000,A86)</f>
        <v>1</v>
      </c>
    </row>
    <row r="87" customFormat="false" ht="15" hidden="false" customHeight="false" outlineLevel="0" collapsed="false">
      <c r="A87" s="6" t="s">
        <v>183</v>
      </c>
      <c r="B87" s="6" t="s">
        <v>63</v>
      </c>
      <c r="C87" s="6" t="s">
        <v>3</v>
      </c>
      <c r="D87" s="6" t="s">
        <v>75</v>
      </c>
      <c r="E87" s="6" t="s">
        <v>80</v>
      </c>
      <c r="F87" s="6" t="s">
        <v>81</v>
      </c>
      <c r="G87" s="6" t="s">
        <v>82</v>
      </c>
      <c r="H87" s="6" t="s">
        <v>182</v>
      </c>
      <c r="I87" s="6" t="s">
        <v>183</v>
      </c>
      <c r="J87" s="6" t="s">
        <v>182</v>
      </c>
      <c r="K87" s="6"/>
      <c r="L87" s="6"/>
      <c r="M87" s="6"/>
      <c r="N87" s="6"/>
      <c r="O87" s="6"/>
      <c r="P87" s="6"/>
      <c r="Q87" s="6"/>
      <c r="R87" s="7" t="n">
        <f aca="false">COUNTIF('Label Map'!$D$2:$D$2000,A87)</f>
        <v>0</v>
      </c>
    </row>
    <row r="88" customFormat="false" ht="15" hidden="false" customHeight="false" outlineLevel="0" collapsed="false">
      <c r="A88" s="6" t="s">
        <v>184</v>
      </c>
      <c r="B88" s="6" t="s">
        <v>11</v>
      </c>
      <c r="C88" s="6" t="s">
        <v>3</v>
      </c>
      <c r="D88" s="6" t="s">
        <v>75</v>
      </c>
      <c r="E88" s="6" t="s">
        <v>80</v>
      </c>
      <c r="F88" s="6" t="s">
        <v>81</v>
      </c>
      <c r="G88" s="6" t="s">
        <v>82</v>
      </c>
      <c r="H88" s="6" t="s">
        <v>184</v>
      </c>
      <c r="I88" s="6"/>
      <c r="J88" s="6" t="s">
        <v>81</v>
      </c>
      <c r="K88" s="6"/>
      <c r="L88" s="6"/>
      <c r="M88" s="6"/>
      <c r="N88" s="6"/>
      <c r="O88" s="6"/>
      <c r="P88" s="6"/>
      <c r="Q88" s="6"/>
      <c r="R88" s="7" t="n">
        <f aca="false">COUNTIF('Label Map'!$D$2:$D$2000,A88)</f>
        <v>2</v>
      </c>
    </row>
    <row r="89" customFormat="false" ht="15" hidden="false" customHeight="false" outlineLevel="0" collapsed="false">
      <c r="A89" s="6" t="s">
        <v>185</v>
      </c>
      <c r="B89" s="6" t="s">
        <v>11</v>
      </c>
      <c r="C89" s="6" t="s">
        <v>3</v>
      </c>
      <c r="D89" s="6" t="s">
        <v>75</v>
      </c>
      <c r="E89" s="6" t="s">
        <v>80</v>
      </c>
      <c r="F89" s="6" t="s">
        <v>81</v>
      </c>
      <c r="G89" s="6" t="s">
        <v>82</v>
      </c>
      <c r="H89" s="6" t="s">
        <v>185</v>
      </c>
      <c r="I89" s="6"/>
      <c r="J89" s="6" t="s">
        <v>81</v>
      </c>
      <c r="K89" s="6"/>
      <c r="L89" s="6"/>
      <c r="M89" s="6"/>
      <c r="N89" s="6"/>
      <c r="O89" s="6"/>
      <c r="P89" s="6"/>
      <c r="Q89" s="6"/>
      <c r="R89" s="7" t="n">
        <f aca="false">COUNTIF('Label Map'!$D$2:$D$2000,A89)</f>
        <v>1</v>
      </c>
    </row>
    <row r="90" customFormat="false" ht="15" hidden="false" customHeight="false" outlineLevel="0" collapsed="false">
      <c r="A90" s="6" t="s">
        <v>186</v>
      </c>
      <c r="B90" s="6" t="s">
        <v>11</v>
      </c>
      <c r="C90" s="6" t="s">
        <v>3</v>
      </c>
      <c r="D90" s="6" t="s">
        <v>75</v>
      </c>
      <c r="E90" s="6" t="s">
        <v>80</v>
      </c>
      <c r="F90" s="6" t="s">
        <v>81</v>
      </c>
      <c r="G90" s="6" t="s">
        <v>82</v>
      </c>
      <c r="H90" s="6" t="s">
        <v>186</v>
      </c>
      <c r="I90" s="6"/>
      <c r="J90" s="6" t="s">
        <v>81</v>
      </c>
      <c r="K90" s="6"/>
      <c r="L90" s="6"/>
      <c r="M90" s="6"/>
      <c r="N90" s="6"/>
      <c r="O90" s="6"/>
      <c r="P90" s="6"/>
      <c r="Q90" s="6"/>
      <c r="R90" s="7" t="n">
        <f aca="false">COUNTIF('Label Map'!$D$2:$D$2000,A90)</f>
        <v>2</v>
      </c>
    </row>
    <row r="91" customFormat="false" ht="15" hidden="false" customHeight="false" outlineLevel="0" collapsed="false">
      <c r="A91" s="6" t="s">
        <v>187</v>
      </c>
      <c r="B91" s="6" t="s">
        <v>63</v>
      </c>
      <c r="C91" s="6" t="s">
        <v>3</v>
      </c>
      <c r="D91" s="6" t="s">
        <v>75</v>
      </c>
      <c r="E91" s="6" t="s">
        <v>80</v>
      </c>
      <c r="F91" s="6" t="s">
        <v>81</v>
      </c>
      <c r="G91" s="6" t="s">
        <v>82</v>
      </c>
      <c r="H91" s="6" t="s">
        <v>186</v>
      </c>
      <c r="I91" s="6" t="s">
        <v>187</v>
      </c>
      <c r="J91" s="6" t="s">
        <v>186</v>
      </c>
      <c r="K91" s="6"/>
      <c r="L91" s="6"/>
      <c r="M91" s="6"/>
      <c r="N91" s="6"/>
      <c r="O91" s="6"/>
      <c r="P91" s="6"/>
      <c r="Q91" s="6"/>
      <c r="R91" s="7" t="n">
        <f aca="false">COUNTIF('Label Map'!$D$2:$D$2000,A91)</f>
        <v>0</v>
      </c>
    </row>
    <row r="92" customFormat="false" ht="15" hidden="false" customHeight="false" outlineLevel="0" collapsed="false">
      <c r="A92" s="6" t="s">
        <v>188</v>
      </c>
      <c r="B92" s="6" t="s">
        <v>11</v>
      </c>
      <c r="C92" s="6" t="s">
        <v>3</v>
      </c>
      <c r="D92" s="6" t="s">
        <v>75</v>
      </c>
      <c r="E92" s="6" t="s">
        <v>80</v>
      </c>
      <c r="F92" s="6" t="s">
        <v>81</v>
      </c>
      <c r="G92" s="6" t="s">
        <v>82</v>
      </c>
      <c r="H92" s="6" t="s">
        <v>188</v>
      </c>
      <c r="I92" s="6"/>
      <c r="J92" s="6" t="s">
        <v>81</v>
      </c>
      <c r="K92" s="6"/>
      <c r="L92" s="6"/>
      <c r="M92" s="6"/>
      <c r="N92" s="6"/>
      <c r="O92" s="6"/>
      <c r="P92" s="6"/>
      <c r="Q92" s="6"/>
      <c r="R92" s="7" t="n">
        <f aca="false">COUNTIF('Label Map'!$D$2:$D$2000,A92)</f>
        <v>2</v>
      </c>
    </row>
    <row r="93" customFormat="false" ht="15" hidden="false" customHeight="false" outlineLevel="0" collapsed="false">
      <c r="A93" s="6" t="s">
        <v>189</v>
      </c>
      <c r="B93" s="6" t="s">
        <v>63</v>
      </c>
      <c r="C93" s="6" t="s">
        <v>3</v>
      </c>
      <c r="D93" s="6" t="s">
        <v>75</v>
      </c>
      <c r="E93" s="6" t="s">
        <v>80</v>
      </c>
      <c r="F93" s="6" t="s">
        <v>81</v>
      </c>
      <c r="G93" s="6" t="s">
        <v>82</v>
      </c>
      <c r="H93" s="6" t="s">
        <v>188</v>
      </c>
      <c r="I93" s="6" t="s">
        <v>189</v>
      </c>
      <c r="J93" s="6" t="s">
        <v>188</v>
      </c>
      <c r="K93" s="6"/>
      <c r="L93" s="6"/>
      <c r="M93" s="6"/>
      <c r="N93" s="6"/>
      <c r="O93" s="6"/>
      <c r="P93" s="6"/>
      <c r="Q93" s="6"/>
      <c r="R93" s="7" t="n">
        <f aca="false">COUNTIF('Label Map'!$D$2:$D$2000,A93)</f>
        <v>0</v>
      </c>
    </row>
    <row r="94" customFormat="false" ht="15" hidden="false" customHeight="false" outlineLevel="0" collapsed="false">
      <c r="A94" s="6" t="s">
        <v>190</v>
      </c>
      <c r="B94" s="6" t="s">
        <v>11</v>
      </c>
      <c r="C94" s="6" t="s">
        <v>3</v>
      </c>
      <c r="D94" s="6" t="s">
        <v>75</v>
      </c>
      <c r="E94" s="6" t="s">
        <v>80</v>
      </c>
      <c r="F94" s="6" t="s">
        <v>81</v>
      </c>
      <c r="G94" s="6" t="s">
        <v>82</v>
      </c>
      <c r="H94" s="6" t="s">
        <v>190</v>
      </c>
      <c r="I94" s="6"/>
      <c r="J94" s="6" t="s">
        <v>81</v>
      </c>
      <c r="K94" s="6"/>
      <c r="L94" s="6"/>
      <c r="M94" s="6"/>
      <c r="N94" s="6"/>
      <c r="O94" s="6"/>
      <c r="P94" s="6"/>
      <c r="Q94" s="6"/>
      <c r="R94" s="7" t="n">
        <f aca="false">COUNTIF('Label Map'!$D$2:$D$2000,A94)</f>
        <v>1</v>
      </c>
    </row>
    <row r="95" customFormat="false" ht="15" hidden="false" customHeight="false" outlineLevel="0" collapsed="false">
      <c r="A95" s="6" t="s">
        <v>191</v>
      </c>
      <c r="B95" s="6" t="s">
        <v>11</v>
      </c>
      <c r="C95" s="6" t="s">
        <v>3</v>
      </c>
      <c r="D95" s="6" t="s">
        <v>75</v>
      </c>
      <c r="E95" s="6" t="s">
        <v>80</v>
      </c>
      <c r="F95" s="6" t="s">
        <v>81</v>
      </c>
      <c r="G95" s="6" t="s">
        <v>82</v>
      </c>
      <c r="H95" s="6" t="s">
        <v>191</v>
      </c>
      <c r="I95" s="6"/>
      <c r="J95" s="6" t="s">
        <v>81</v>
      </c>
      <c r="K95" s="6"/>
      <c r="L95" s="6"/>
      <c r="M95" s="6"/>
      <c r="N95" s="6"/>
      <c r="O95" s="6"/>
      <c r="P95" s="6"/>
      <c r="Q95" s="6"/>
      <c r="R95" s="7" t="n">
        <f aca="false">COUNTIF('Label Map'!$D$2:$D$2000,A95)</f>
        <v>2</v>
      </c>
    </row>
    <row r="96" customFormat="false" ht="15" hidden="false" customHeight="false" outlineLevel="0" collapsed="false">
      <c r="A96" s="6" t="s">
        <v>192</v>
      </c>
      <c r="B96" s="6" t="s">
        <v>63</v>
      </c>
      <c r="C96" s="6" t="s">
        <v>3</v>
      </c>
      <c r="D96" s="6" t="s">
        <v>75</v>
      </c>
      <c r="E96" s="6" t="s">
        <v>80</v>
      </c>
      <c r="F96" s="6" t="s">
        <v>81</v>
      </c>
      <c r="G96" s="6" t="s">
        <v>82</v>
      </c>
      <c r="H96" s="6" t="s">
        <v>191</v>
      </c>
      <c r="I96" s="6" t="s">
        <v>192</v>
      </c>
      <c r="J96" s="6" t="s">
        <v>191</v>
      </c>
      <c r="K96" s="6"/>
      <c r="L96" s="6"/>
      <c r="M96" s="6"/>
      <c r="N96" s="6"/>
      <c r="O96" s="6"/>
      <c r="P96" s="6"/>
      <c r="Q96" s="6"/>
      <c r="R96" s="7" t="n">
        <f aca="false">COUNTIF('Label Map'!$D$2:$D$2000,A96)</f>
        <v>0</v>
      </c>
    </row>
    <row r="97" customFormat="false" ht="15" hidden="false" customHeight="false" outlineLevel="0" collapsed="false">
      <c r="A97" s="6" t="s">
        <v>193</v>
      </c>
      <c r="B97" s="6" t="s">
        <v>11</v>
      </c>
      <c r="C97" s="6" t="s">
        <v>3</v>
      </c>
      <c r="D97" s="6" t="s">
        <v>75</v>
      </c>
      <c r="E97" s="6" t="s">
        <v>80</v>
      </c>
      <c r="F97" s="6" t="s">
        <v>81</v>
      </c>
      <c r="G97" s="6" t="s">
        <v>82</v>
      </c>
      <c r="H97" s="6" t="s">
        <v>193</v>
      </c>
      <c r="I97" s="6"/>
      <c r="J97" s="6" t="s">
        <v>81</v>
      </c>
      <c r="K97" s="6"/>
      <c r="L97" s="6"/>
      <c r="M97" s="6"/>
      <c r="N97" s="6"/>
      <c r="O97" s="6"/>
      <c r="P97" s="6"/>
      <c r="Q97" s="6"/>
      <c r="R97" s="7" t="n">
        <f aca="false">COUNTIF('Label Map'!$D$2:$D$2000,A97)</f>
        <v>2</v>
      </c>
    </row>
    <row r="98" customFormat="false" ht="15" hidden="false" customHeight="false" outlineLevel="0" collapsed="false">
      <c r="A98" s="6" t="s">
        <v>194</v>
      </c>
      <c r="B98" s="6" t="s">
        <v>63</v>
      </c>
      <c r="C98" s="6" t="s">
        <v>3</v>
      </c>
      <c r="D98" s="6" t="s">
        <v>75</v>
      </c>
      <c r="E98" s="6" t="s">
        <v>80</v>
      </c>
      <c r="F98" s="6" t="s">
        <v>81</v>
      </c>
      <c r="G98" s="6" t="s">
        <v>82</v>
      </c>
      <c r="H98" s="6" t="s">
        <v>193</v>
      </c>
      <c r="I98" s="6" t="s">
        <v>194</v>
      </c>
      <c r="J98" s="6" t="s">
        <v>193</v>
      </c>
      <c r="K98" s="6"/>
      <c r="L98" s="6"/>
      <c r="M98" s="6"/>
      <c r="N98" s="6"/>
      <c r="O98" s="6"/>
      <c r="P98" s="6"/>
      <c r="Q98" s="6"/>
      <c r="R98" s="7" t="n">
        <f aca="false">COUNTIF('Label Map'!$D$2:$D$2000,A98)</f>
        <v>1</v>
      </c>
    </row>
    <row r="99" customFormat="false" ht="15" hidden="false" customHeight="false" outlineLevel="0" collapsed="false">
      <c r="A99" s="6" t="s">
        <v>195</v>
      </c>
      <c r="B99" s="6" t="s">
        <v>63</v>
      </c>
      <c r="C99" s="6" t="s">
        <v>3</v>
      </c>
      <c r="D99" s="6" t="s">
        <v>75</v>
      </c>
      <c r="E99" s="6" t="s">
        <v>80</v>
      </c>
      <c r="F99" s="6" t="s">
        <v>81</v>
      </c>
      <c r="G99" s="6" t="s">
        <v>82</v>
      </c>
      <c r="H99" s="6" t="s">
        <v>193</v>
      </c>
      <c r="I99" s="6" t="s">
        <v>195</v>
      </c>
      <c r="J99" s="6" t="s">
        <v>193</v>
      </c>
      <c r="K99" s="6"/>
      <c r="L99" s="6"/>
      <c r="M99" s="6"/>
      <c r="N99" s="6"/>
      <c r="O99" s="6"/>
      <c r="P99" s="6"/>
      <c r="Q99" s="6"/>
      <c r="R99" s="7" t="n">
        <f aca="false">COUNTIF('Label Map'!$D$2:$D$2000,A99)</f>
        <v>0</v>
      </c>
    </row>
    <row r="100" customFormat="false" ht="15" hidden="false" customHeight="false" outlineLevel="0" collapsed="false">
      <c r="A100" s="6" t="s">
        <v>196</v>
      </c>
      <c r="B100" s="6" t="s">
        <v>11</v>
      </c>
      <c r="C100" s="6" t="s">
        <v>3</v>
      </c>
      <c r="D100" s="6" t="s">
        <v>75</v>
      </c>
      <c r="E100" s="6" t="s">
        <v>80</v>
      </c>
      <c r="F100" s="6" t="s">
        <v>81</v>
      </c>
      <c r="G100" s="6" t="s">
        <v>82</v>
      </c>
      <c r="H100" s="6" t="s">
        <v>196</v>
      </c>
      <c r="I100" s="6"/>
      <c r="J100" s="6" t="s">
        <v>81</v>
      </c>
      <c r="K100" s="6"/>
      <c r="L100" s="6"/>
      <c r="M100" s="6"/>
      <c r="N100" s="6"/>
      <c r="O100" s="6"/>
      <c r="P100" s="6"/>
      <c r="Q100" s="6"/>
      <c r="R100" s="7" t="n">
        <f aca="false">COUNTIF('Label Map'!$D$2:$D$2000,A100)</f>
        <v>2</v>
      </c>
    </row>
    <row r="101" customFormat="false" ht="15" hidden="false" customHeight="false" outlineLevel="0" collapsed="false">
      <c r="A101" s="6" t="s">
        <v>197</v>
      </c>
      <c r="B101" s="6" t="s">
        <v>63</v>
      </c>
      <c r="C101" s="6" t="s">
        <v>3</v>
      </c>
      <c r="D101" s="6" t="s">
        <v>75</v>
      </c>
      <c r="E101" s="6" t="s">
        <v>80</v>
      </c>
      <c r="F101" s="6" t="s">
        <v>81</v>
      </c>
      <c r="G101" s="6" t="s">
        <v>82</v>
      </c>
      <c r="H101" s="6" t="s">
        <v>196</v>
      </c>
      <c r="I101" s="6" t="s">
        <v>197</v>
      </c>
      <c r="J101" s="6" t="s">
        <v>196</v>
      </c>
      <c r="K101" s="6"/>
      <c r="L101" s="6"/>
      <c r="M101" s="6"/>
      <c r="N101" s="6"/>
      <c r="O101" s="6"/>
      <c r="P101" s="6"/>
      <c r="Q101" s="6"/>
      <c r="R101" s="7" t="n">
        <f aca="false">COUNTIF('Label Map'!$D$2:$D$2000,A101)</f>
        <v>0</v>
      </c>
    </row>
    <row r="102" customFormat="false" ht="15" hidden="false" customHeight="false" outlineLevel="0" collapsed="false">
      <c r="A102" s="6" t="s">
        <v>198</v>
      </c>
      <c r="B102" s="6" t="s">
        <v>11</v>
      </c>
      <c r="C102" s="6" t="s">
        <v>3</v>
      </c>
      <c r="D102" s="6" t="s">
        <v>75</v>
      </c>
      <c r="E102" s="6" t="s">
        <v>80</v>
      </c>
      <c r="F102" s="6" t="s">
        <v>81</v>
      </c>
      <c r="G102" s="6" t="s">
        <v>82</v>
      </c>
      <c r="H102" s="6" t="s">
        <v>198</v>
      </c>
      <c r="I102" s="6"/>
      <c r="J102" s="6" t="s">
        <v>81</v>
      </c>
      <c r="K102" s="6"/>
      <c r="L102" s="6"/>
      <c r="M102" s="6"/>
      <c r="N102" s="6"/>
      <c r="O102" s="6"/>
      <c r="P102" s="6"/>
      <c r="Q102" s="6"/>
      <c r="R102" s="7" t="n">
        <f aca="false">COUNTIF('Label Map'!$D$2:$D$2000,A102)</f>
        <v>1</v>
      </c>
    </row>
    <row r="103" customFormat="false" ht="15" hidden="false" customHeight="false" outlineLevel="0" collapsed="false">
      <c r="A103" s="6" t="s">
        <v>199</v>
      </c>
      <c r="B103" s="6" t="s">
        <v>63</v>
      </c>
      <c r="C103" s="6" t="s">
        <v>3</v>
      </c>
      <c r="D103" s="6" t="s">
        <v>75</v>
      </c>
      <c r="E103" s="6" t="s">
        <v>80</v>
      </c>
      <c r="F103" s="6" t="s">
        <v>81</v>
      </c>
      <c r="G103" s="6" t="s">
        <v>82</v>
      </c>
      <c r="H103" s="6" t="s">
        <v>198</v>
      </c>
      <c r="I103" s="6" t="s">
        <v>199</v>
      </c>
      <c r="J103" s="6" t="s">
        <v>198</v>
      </c>
      <c r="K103" s="6"/>
      <c r="L103" s="6"/>
      <c r="M103" s="6"/>
      <c r="N103" s="6"/>
      <c r="O103" s="6"/>
      <c r="P103" s="6"/>
      <c r="Q103" s="6"/>
      <c r="R103" s="7" t="n">
        <f aca="false">COUNTIF('Label Map'!$D$2:$D$2000,A103)</f>
        <v>0</v>
      </c>
    </row>
    <row r="104" customFormat="false" ht="15" hidden="false" customHeight="false" outlineLevel="0" collapsed="false">
      <c r="A104" s="6" t="s">
        <v>200</v>
      </c>
      <c r="B104" s="6" t="s">
        <v>11</v>
      </c>
      <c r="C104" s="6" t="s">
        <v>3</v>
      </c>
      <c r="D104" s="6" t="s">
        <v>75</v>
      </c>
      <c r="E104" s="6" t="s">
        <v>80</v>
      </c>
      <c r="F104" s="6" t="s">
        <v>81</v>
      </c>
      <c r="G104" s="6" t="s">
        <v>82</v>
      </c>
      <c r="H104" s="6" t="s">
        <v>200</v>
      </c>
      <c r="I104" s="6"/>
      <c r="J104" s="6" t="s">
        <v>81</v>
      </c>
      <c r="K104" s="6"/>
      <c r="L104" s="6"/>
      <c r="M104" s="6"/>
      <c r="N104" s="6"/>
      <c r="O104" s="6"/>
      <c r="P104" s="6"/>
      <c r="Q104" s="6"/>
      <c r="R104" s="7" t="n">
        <f aca="false">COUNTIF('Label Map'!$D$2:$D$2000,A104)</f>
        <v>1</v>
      </c>
    </row>
    <row r="105" customFormat="false" ht="15" hidden="false" customHeight="false" outlineLevel="0" collapsed="false">
      <c r="A105" s="6" t="s">
        <v>201</v>
      </c>
      <c r="B105" s="6" t="s">
        <v>11</v>
      </c>
      <c r="C105" s="6" t="s">
        <v>3</v>
      </c>
      <c r="D105" s="6" t="s">
        <v>75</v>
      </c>
      <c r="E105" s="6" t="s">
        <v>80</v>
      </c>
      <c r="F105" s="6" t="s">
        <v>81</v>
      </c>
      <c r="G105" s="6" t="s">
        <v>82</v>
      </c>
      <c r="H105" s="6" t="s">
        <v>201</v>
      </c>
      <c r="I105" s="6"/>
      <c r="J105" s="6" t="s">
        <v>81</v>
      </c>
      <c r="K105" s="6"/>
      <c r="L105" s="6"/>
      <c r="M105" s="6"/>
      <c r="N105" s="6"/>
      <c r="O105" s="6"/>
      <c r="P105" s="6"/>
      <c r="Q105" s="6"/>
      <c r="R105" s="7" t="n">
        <f aca="false">COUNTIF('Label Map'!$D$2:$D$2000,A105)</f>
        <v>2</v>
      </c>
    </row>
    <row r="106" customFormat="false" ht="15" hidden="false" customHeight="false" outlineLevel="0" collapsed="false">
      <c r="A106" s="6" t="s">
        <v>202</v>
      </c>
      <c r="B106" s="6" t="s">
        <v>63</v>
      </c>
      <c r="C106" s="6" t="s">
        <v>3</v>
      </c>
      <c r="D106" s="6" t="s">
        <v>75</v>
      </c>
      <c r="E106" s="6" t="s">
        <v>80</v>
      </c>
      <c r="F106" s="6" t="s">
        <v>81</v>
      </c>
      <c r="G106" s="6" t="s">
        <v>82</v>
      </c>
      <c r="H106" s="6" t="s">
        <v>201</v>
      </c>
      <c r="I106" s="6" t="s">
        <v>202</v>
      </c>
      <c r="J106" s="6" t="s">
        <v>201</v>
      </c>
      <c r="K106" s="6"/>
      <c r="L106" s="6"/>
      <c r="M106" s="6"/>
      <c r="N106" s="6"/>
      <c r="O106" s="6"/>
      <c r="P106" s="6"/>
      <c r="Q106" s="6" t="s">
        <v>203</v>
      </c>
      <c r="R106" s="7" t="n">
        <f aca="false">COUNTIF('Label Map'!$D$2:$D$2000,A106)</f>
        <v>0</v>
      </c>
    </row>
    <row r="107" customFormat="false" ht="15" hidden="false" customHeight="false" outlineLevel="0" collapsed="false">
      <c r="A107" s="6" t="s">
        <v>204</v>
      </c>
      <c r="B107" s="6" t="s">
        <v>63</v>
      </c>
      <c r="C107" s="6" t="s">
        <v>3</v>
      </c>
      <c r="D107" s="6" t="s">
        <v>75</v>
      </c>
      <c r="E107" s="6" t="s">
        <v>80</v>
      </c>
      <c r="F107" s="6" t="s">
        <v>81</v>
      </c>
      <c r="G107" s="6" t="s">
        <v>82</v>
      </c>
      <c r="H107" s="6" t="s">
        <v>201</v>
      </c>
      <c r="I107" s="6" t="s">
        <v>204</v>
      </c>
      <c r="J107" s="6" t="s">
        <v>201</v>
      </c>
      <c r="K107" s="6"/>
      <c r="L107" s="6"/>
      <c r="M107" s="6"/>
      <c r="N107" s="6"/>
      <c r="O107" s="6"/>
      <c r="P107" s="6"/>
      <c r="Q107" s="6"/>
      <c r="R107" s="7" t="n">
        <f aca="false">COUNTIF('Label Map'!$D$2:$D$2000,A107)</f>
        <v>0</v>
      </c>
    </row>
    <row r="108" customFormat="false" ht="15" hidden="false" customHeight="false" outlineLevel="0" collapsed="false">
      <c r="A108" s="6" t="s">
        <v>205</v>
      </c>
      <c r="B108" s="6" t="s">
        <v>11</v>
      </c>
      <c r="C108" s="6" t="s">
        <v>3</v>
      </c>
      <c r="D108" s="6" t="s">
        <v>75</v>
      </c>
      <c r="E108" s="6" t="s">
        <v>80</v>
      </c>
      <c r="F108" s="6" t="s">
        <v>81</v>
      </c>
      <c r="G108" s="6" t="s">
        <v>82</v>
      </c>
      <c r="H108" s="6" t="s">
        <v>205</v>
      </c>
      <c r="I108" s="6"/>
      <c r="J108" s="6" t="s">
        <v>81</v>
      </c>
      <c r="K108" s="6"/>
      <c r="L108" s="6"/>
      <c r="M108" s="6"/>
      <c r="N108" s="6"/>
      <c r="O108" s="6"/>
      <c r="P108" s="6"/>
      <c r="Q108" s="6"/>
      <c r="R108" s="7" t="n">
        <f aca="false">COUNTIF('Label Map'!$D$2:$D$2000,A108)</f>
        <v>2</v>
      </c>
    </row>
    <row r="109" customFormat="false" ht="15" hidden="false" customHeight="false" outlineLevel="0" collapsed="false">
      <c r="A109" s="6" t="s">
        <v>206</v>
      </c>
      <c r="B109" s="6" t="s">
        <v>11</v>
      </c>
      <c r="C109" s="6" t="s">
        <v>3</v>
      </c>
      <c r="D109" s="6" t="s">
        <v>75</v>
      </c>
      <c r="E109" s="6" t="s">
        <v>80</v>
      </c>
      <c r="F109" s="6" t="s">
        <v>81</v>
      </c>
      <c r="G109" s="6" t="s">
        <v>82</v>
      </c>
      <c r="H109" s="6" t="s">
        <v>206</v>
      </c>
      <c r="I109" s="6"/>
      <c r="J109" s="6" t="s">
        <v>81</v>
      </c>
      <c r="K109" s="6"/>
      <c r="L109" s="6"/>
      <c r="M109" s="6"/>
      <c r="N109" s="6"/>
      <c r="O109" s="6"/>
      <c r="P109" s="6"/>
      <c r="Q109" s="6"/>
      <c r="R109" s="7" t="n">
        <f aca="false">COUNTIF('Label Map'!$D$2:$D$2000,A109)</f>
        <v>1</v>
      </c>
    </row>
    <row r="110" customFormat="false" ht="15" hidden="false" customHeight="false" outlineLevel="0" collapsed="false">
      <c r="A110" s="6" t="s">
        <v>207</v>
      </c>
      <c r="B110" s="6" t="s">
        <v>11</v>
      </c>
      <c r="C110" s="6" t="s">
        <v>3</v>
      </c>
      <c r="D110" s="6" t="s">
        <v>75</v>
      </c>
      <c r="E110" s="6" t="s">
        <v>80</v>
      </c>
      <c r="F110" s="6" t="s">
        <v>81</v>
      </c>
      <c r="G110" s="6" t="s">
        <v>82</v>
      </c>
      <c r="H110" s="6" t="s">
        <v>207</v>
      </c>
      <c r="I110" s="6"/>
      <c r="J110" s="6" t="s">
        <v>81</v>
      </c>
      <c r="K110" s="6"/>
      <c r="L110" s="6"/>
      <c r="M110" s="6"/>
      <c r="N110" s="6"/>
      <c r="O110" s="6"/>
      <c r="P110" s="6"/>
      <c r="Q110" s="6"/>
      <c r="R110" s="7" t="n">
        <f aca="false">COUNTIF('Label Map'!$D$2:$D$2000,A110)</f>
        <v>2</v>
      </c>
    </row>
    <row r="111" customFormat="false" ht="15" hidden="false" customHeight="false" outlineLevel="0" collapsed="false">
      <c r="A111" s="6" t="s">
        <v>208</v>
      </c>
      <c r="B111" s="6" t="s">
        <v>63</v>
      </c>
      <c r="C111" s="6" t="s">
        <v>3</v>
      </c>
      <c r="D111" s="6" t="s">
        <v>75</v>
      </c>
      <c r="E111" s="6" t="s">
        <v>80</v>
      </c>
      <c r="F111" s="6" t="s">
        <v>81</v>
      </c>
      <c r="G111" s="6" t="s">
        <v>82</v>
      </c>
      <c r="H111" s="6" t="s">
        <v>207</v>
      </c>
      <c r="I111" s="6" t="s">
        <v>208</v>
      </c>
      <c r="J111" s="6" t="s">
        <v>207</v>
      </c>
      <c r="K111" s="6"/>
      <c r="L111" s="6"/>
      <c r="M111" s="6"/>
      <c r="N111" s="6"/>
      <c r="O111" s="6"/>
      <c r="P111" s="6"/>
      <c r="Q111" s="6"/>
      <c r="R111" s="7" t="n">
        <f aca="false">COUNTIF('Label Map'!$D$2:$D$2000,A111)</f>
        <v>1</v>
      </c>
    </row>
    <row r="112" customFormat="false" ht="15" hidden="false" customHeight="false" outlineLevel="0" collapsed="false">
      <c r="A112" s="6" t="s">
        <v>209</v>
      </c>
      <c r="B112" s="6" t="s">
        <v>63</v>
      </c>
      <c r="C112" s="6" t="s">
        <v>3</v>
      </c>
      <c r="D112" s="6" t="s">
        <v>75</v>
      </c>
      <c r="E112" s="6" t="s">
        <v>80</v>
      </c>
      <c r="F112" s="6" t="s">
        <v>81</v>
      </c>
      <c r="G112" s="6" t="s">
        <v>82</v>
      </c>
      <c r="H112" s="6" t="s">
        <v>207</v>
      </c>
      <c r="I112" s="6" t="s">
        <v>209</v>
      </c>
      <c r="J112" s="6" t="s">
        <v>207</v>
      </c>
      <c r="K112" s="6"/>
      <c r="L112" s="6"/>
      <c r="M112" s="6"/>
      <c r="N112" s="6"/>
      <c r="O112" s="6"/>
      <c r="P112" s="6"/>
      <c r="Q112" s="6"/>
      <c r="R112" s="7" t="n">
        <f aca="false">COUNTIF('Label Map'!$D$2:$D$2000,A112)</f>
        <v>0</v>
      </c>
    </row>
    <row r="113" customFormat="false" ht="15" hidden="false" customHeight="false" outlineLevel="0" collapsed="false">
      <c r="A113" s="6" t="s">
        <v>210</v>
      </c>
      <c r="B113" s="6" t="s">
        <v>11</v>
      </c>
      <c r="C113" s="6" t="s">
        <v>3</v>
      </c>
      <c r="D113" s="6" t="s">
        <v>75</v>
      </c>
      <c r="E113" s="6" t="s">
        <v>80</v>
      </c>
      <c r="F113" s="6" t="s">
        <v>81</v>
      </c>
      <c r="G113" s="6" t="s">
        <v>82</v>
      </c>
      <c r="H113" s="6" t="s">
        <v>210</v>
      </c>
      <c r="I113" s="6"/>
      <c r="J113" s="6" t="s">
        <v>81</v>
      </c>
      <c r="K113" s="6"/>
      <c r="L113" s="6"/>
      <c r="M113" s="6"/>
      <c r="N113" s="6"/>
      <c r="O113" s="6"/>
      <c r="P113" s="6"/>
      <c r="Q113" s="6"/>
      <c r="R113" s="7" t="n">
        <f aca="false">COUNTIF('Label Map'!$D$2:$D$2000,A113)</f>
        <v>1</v>
      </c>
    </row>
    <row r="114" customFormat="false" ht="15" hidden="false" customHeight="false" outlineLevel="0" collapsed="false">
      <c r="A114" s="6" t="s">
        <v>211</v>
      </c>
      <c r="B114" s="6" t="s">
        <v>11</v>
      </c>
      <c r="C114" s="6" t="s">
        <v>3</v>
      </c>
      <c r="D114" s="6" t="s">
        <v>75</v>
      </c>
      <c r="E114" s="6" t="s">
        <v>80</v>
      </c>
      <c r="F114" s="6" t="s">
        <v>81</v>
      </c>
      <c r="G114" s="6" t="s">
        <v>82</v>
      </c>
      <c r="H114" s="6" t="s">
        <v>211</v>
      </c>
      <c r="I114" s="6"/>
      <c r="J114" s="6" t="s">
        <v>81</v>
      </c>
      <c r="K114" s="6"/>
      <c r="L114" s="6"/>
      <c r="M114" s="6"/>
      <c r="N114" s="6"/>
      <c r="O114" s="6"/>
      <c r="P114" s="6"/>
      <c r="Q114" s="6"/>
      <c r="R114" s="7" t="n">
        <f aca="false">COUNTIF('Label Map'!$D$2:$D$2000,A114)</f>
        <v>2</v>
      </c>
    </row>
    <row r="115" customFormat="false" ht="15" hidden="false" customHeight="false" outlineLevel="0" collapsed="false">
      <c r="A115" s="6" t="s">
        <v>212</v>
      </c>
      <c r="B115" s="6" t="s">
        <v>11</v>
      </c>
      <c r="C115" s="6" t="s">
        <v>3</v>
      </c>
      <c r="D115" s="6" t="s">
        <v>75</v>
      </c>
      <c r="E115" s="6" t="s">
        <v>80</v>
      </c>
      <c r="F115" s="6" t="s">
        <v>81</v>
      </c>
      <c r="G115" s="6" t="s">
        <v>82</v>
      </c>
      <c r="H115" s="6" t="s">
        <v>212</v>
      </c>
      <c r="I115" s="6"/>
      <c r="J115" s="6" t="s">
        <v>81</v>
      </c>
      <c r="K115" s="6"/>
      <c r="L115" s="6"/>
      <c r="M115" s="6"/>
      <c r="N115" s="6"/>
      <c r="O115" s="6"/>
      <c r="P115" s="6"/>
      <c r="Q115" s="6"/>
      <c r="R115" s="7" t="n">
        <f aca="false">COUNTIF('Label Map'!$D$2:$D$2000,A115)</f>
        <v>2</v>
      </c>
    </row>
    <row r="116" customFormat="false" ht="15" hidden="false" customHeight="false" outlineLevel="0" collapsed="false">
      <c r="A116" s="6" t="s">
        <v>213</v>
      </c>
      <c r="B116" s="6" t="s">
        <v>63</v>
      </c>
      <c r="C116" s="6" t="s">
        <v>3</v>
      </c>
      <c r="D116" s="6" t="s">
        <v>75</v>
      </c>
      <c r="E116" s="6" t="s">
        <v>80</v>
      </c>
      <c r="F116" s="6" t="s">
        <v>81</v>
      </c>
      <c r="G116" s="6" t="s">
        <v>82</v>
      </c>
      <c r="H116" s="6" t="s">
        <v>212</v>
      </c>
      <c r="I116" s="6" t="s">
        <v>213</v>
      </c>
      <c r="J116" s="6" t="s">
        <v>212</v>
      </c>
      <c r="K116" s="6"/>
      <c r="L116" s="6"/>
      <c r="M116" s="6"/>
      <c r="N116" s="6"/>
      <c r="O116" s="6"/>
      <c r="P116" s="6"/>
      <c r="Q116" s="6"/>
      <c r="R116" s="7" t="n">
        <f aca="false">COUNTIF('Label Map'!$D$2:$D$2000,A116)</f>
        <v>0</v>
      </c>
    </row>
    <row r="117" customFormat="false" ht="15" hidden="false" customHeight="false" outlineLevel="0" collapsed="false">
      <c r="A117" s="6" t="s">
        <v>214</v>
      </c>
      <c r="B117" s="6" t="s">
        <v>11</v>
      </c>
      <c r="C117" s="6" t="s">
        <v>3</v>
      </c>
      <c r="D117" s="6" t="s">
        <v>75</v>
      </c>
      <c r="E117" s="6" t="s">
        <v>80</v>
      </c>
      <c r="F117" s="6" t="s">
        <v>81</v>
      </c>
      <c r="G117" s="6" t="s">
        <v>82</v>
      </c>
      <c r="H117" s="6" t="s">
        <v>214</v>
      </c>
      <c r="I117" s="6"/>
      <c r="J117" s="6" t="s">
        <v>81</v>
      </c>
      <c r="K117" s="6"/>
      <c r="L117" s="6"/>
      <c r="M117" s="6"/>
      <c r="N117" s="6"/>
      <c r="O117" s="6"/>
      <c r="P117" s="6"/>
      <c r="Q117" s="6"/>
      <c r="R117" s="7" t="n">
        <f aca="false">COUNTIF('Label Map'!$D$2:$D$2000,A117)</f>
        <v>3</v>
      </c>
    </row>
    <row r="118" customFormat="false" ht="15" hidden="false" customHeight="false" outlineLevel="0" collapsed="false">
      <c r="A118" s="6" t="s">
        <v>215</v>
      </c>
      <c r="B118" s="6" t="s">
        <v>63</v>
      </c>
      <c r="C118" s="6" t="s">
        <v>3</v>
      </c>
      <c r="D118" s="6" t="s">
        <v>75</v>
      </c>
      <c r="E118" s="6" t="s">
        <v>80</v>
      </c>
      <c r="F118" s="6" t="s">
        <v>81</v>
      </c>
      <c r="G118" s="6" t="s">
        <v>82</v>
      </c>
      <c r="H118" s="6" t="s">
        <v>214</v>
      </c>
      <c r="I118" s="6" t="s">
        <v>215</v>
      </c>
      <c r="J118" s="6" t="s">
        <v>214</v>
      </c>
      <c r="K118" s="6"/>
      <c r="L118" s="6"/>
      <c r="M118" s="6"/>
      <c r="N118" s="6"/>
      <c r="O118" s="6"/>
      <c r="P118" s="6"/>
      <c r="Q118" s="6"/>
      <c r="R118" s="7" t="n">
        <f aca="false">COUNTIF('Label Map'!$D$2:$D$2000,A118)</f>
        <v>0</v>
      </c>
    </row>
    <row r="119" customFormat="false" ht="15" hidden="false" customHeight="false" outlineLevel="0" collapsed="false">
      <c r="A119" s="6" t="s">
        <v>216</v>
      </c>
      <c r="B119" s="6" t="s">
        <v>63</v>
      </c>
      <c r="C119" s="6" t="s">
        <v>3</v>
      </c>
      <c r="D119" s="6" t="s">
        <v>75</v>
      </c>
      <c r="E119" s="6" t="s">
        <v>80</v>
      </c>
      <c r="F119" s="6" t="s">
        <v>81</v>
      </c>
      <c r="G119" s="6" t="s">
        <v>82</v>
      </c>
      <c r="H119" s="6" t="s">
        <v>214</v>
      </c>
      <c r="I119" s="6" t="s">
        <v>216</v>
      </c>
      <c r="J119" s="6" t="s">
        <v>214</v>
      </c>
      <c r="K119" s="6"/>
      <c r="L119" s="6"/>
      <c r="M119" s="6"/>
      <c r="N119" s="6"/>
      <c r="O119" s="6"/>
      <c r="P119" s="6"/>
      <c r="Q119" s="6"/>
      <c r="R119" s="7" t="n">
        <f aca="false">COUNTIF('Label Map'!$D$2:$D$2000,A119)</f>
        <v>0</v>
      </c>
    </row>
    <row r="120" customFormat="false" ht="15" hidden="false" customHeight="false" outlineLevel="0" collapsed="false">
      <c r="A120" s="6" t="s">
        <v>217</v>
      </c>
      <c r="B120" s="6" t="s">
        <v>63</v>
      </c>
      <c r="C120" s="6" t="s">
        <v>3</v>
      </c>
      <c r="D120" s="6" t="s">
        <v>75</v>
      </c>
      <c r="E120" s="6" t="s">
        <v>80</v>
      </c>
      <c r="F120" s="6" t="s">
        <v>81</v>
      </c>
      <c r="G120" s="6" t="s">
        <v>82</v>
      </c>
      <c r="H120" s="6" t="s">
        <v>214</v>
      </c>
      <c r="I120" s="6" t="s">
        <v>217</v>
      </c>
      <c r="J120" s="6" t="s">
        <v>214</v>
      </c>
      <c r="K120" s="6"/>
      <c r="L120" s="6"/>
      <c r="M120" s="6"/>
      <c r="N120" s="6"/>
      <c r="O120" s="6"/>
      <c r="P120" s="6"/>
      <c r="Q120" s="6" t="s">
        <v>218</v>
      </c>
      <c r="R120" s="7" t="n">
        <f aca="false">COUNTIF('Label Map'!$D$2:$D$2000,A120)</f>
        <v>1</v>
      </c>
    </row>
    <row r="121" customFormat="false" ht="15" hidden="false" customHeight="false" outlineLevel="0" collapsed="false">
      <c r="A121" s="6" t="s">
        <v>219</v>
      </c>
      <c r="B121" s="6" t="s">
        <v>63</v>
      </c>
      <c r="C121" s="6" t="s">
        <v>3</v>
      </c>
      <c r="D121" s="6" t="s">
        <v>75</v>
      </c>
      <c r="E121" s="6" t="s">
        <v>80</v>
      </c>
      <c r="F121" s="6" t="s">
        <v>81</v>
      </c>
      <c r="G121" s="6" t="s">
        <v>82</v>
      </c>
      <c r="H121" s="6" t="s">
        <v>214</v>
      </c>
      <c r="I121" s="6" t="s">
        <v>219</v>
      </c>
      <c r="J121" s="6" t="s">
        <v>214</v>
      </c>
      <c r="K121" s="6"/>
      <c r="L121" s="6"/>
      <c r="M121" s="6"/>
      <c r="N121" s="6"/>
      <c r="O121" s="6"/>
      <c r="P121" s="6"/>
      <c r="Q121" s="6"/>
      <c r="R121" s="7" t="n">
        <f aca="false">COUNTIF('Label Map'!$D$2:$D$2000,A121)</f>
        <v>2</v>
      </c>
    </row>
    <row r="122" customFormat="false" ht="15" hidden="false" customHeight="false" outlineLevel="0" collapsed="false">
      <c r="A122" s="6" t="s">
        <v>220</v>
      </c>
      <c r="B122" s="6" t="s">
        <v>11</v>
      </c>
      <c r="C122" s="6" t="s">
        <v>3</v>
      </c>
      <c r="D122" s="6" t="s">
        <v>75</v>
      </c>
      <c r="E122" s="6" t="s">
        <v>80</v>
      </c>
      <c r="F122" s="6" t="s">
        <v>81</v>
      </c>
      <c r="G122" s="6" t="s">
        <v>82</v>
      </c>
      <c r="H122" s="6" t="s">
        <v>220</v>
      </c>
      <c r="I122" s="6"/>
      <c r="J122" s="6" t="s">
        <v>81</v>
      </c>
      <c r="K122" s="6"/>
      <c r="L122" s="6"/>
      <c r="M122" s="6"/>
      <c r="N122" s="6"/>
      <c r="O122" s="6"/>
      <c r="P122" s="6"/>
      <c r="Q122" s="6"/>
      <c r="R122" s="7" t="n">
        <f aca="false">COUNTIF('Label Map'!$D$2:$D$2000,A122)</f>
        <v>2</v>
      </c>
    </row>
    <row r="123" customFormat="false" ht="15" hidden="false" customHeight="false" outlineLevel="0" collapsed="false">
      <c r="A123" s="6" t="s">
        <v>221</v>
      </c>
      <c r="B123" s="6" t="s">
        <v>63</v>
      </c>
      <c r="C123" s="6" t="s">
        <v>3</v>
      </c>
      <c r="D123" s="6" t="s">
        <v>75</v>
      </c>
      <c r="E123" s="6" t="s">
        <v>80</v>
      </c>
      <c r="F123" s="6" t="s">
        <v>81</v>
      </c>
      <c r="G123" s="6" t="s">
        <v>82</v>
      </c>
      <c r="H123" s="6" t="s">
        <v>220</v>
      </c>
      <c r="I123" s="6" t="s">
        <v>221</v>
      </c>
      <c r="J123" s="6" t="s">
        <v>220</v>
      </c>
      <c r="K123" s="6"/>
      <c r="L123" s="6"/>
      <c r="M123" s="6"/>
      <c r="N123" s="6"/>
      <c r="O123" s="6"/>
      <c r="P123" s="6"/>
      <c r="Q123" s="6"/>
      <c r="R123" s="7" t="n">
        <f aca="false">COUNTIF('Label Map'!$D$2:$D$2000,A123)</f>
        <v>0</v>
      </c>
    </row>
    <row r="124" customFormat="false" ht="15" hidden="false" customHeight="false" outlineLevel="0" collapsed="false">
      <c r="A124" s="6" t="s">
        <v>222</v>
      </c>
      <c r="B124" s="6" t="s">
        <v>63</v>
      </c>
      <c r="C124" s="6" t="s">
        <v>3</v>
      </c>
      <c r="D124" s="6" t="s">
        <v>75</v>
      </c>
      <c r="E124" s="6" t="s">
        <v>80</v>
      </c>
      <c r="F124" s="6" t="s">
        <v>81</v>
      </c>
      <c r="G124" s="6" t="s">
        <v>82</v>
      </c>
      <c r="H124" s="6" t="s">
        <v>220</v>
      </c>
      <c r="I124" s="6" t="s">
        <v>222</v>
      </c>
      <c r="J124" s="6" t="s">
        <v>220</v>
      </c>
      <c r="K124" s="6"/>
      <c r="L124" s="6"/>
      <c r="M124" s="6"/>
      <c r="N124" s="6"/>
      <c r="O124" s="6"/>
      <c r="P124" s="6"/>
      <c r="Q124" s="6"/>
      <c r="R124" s="7" t="n">
        <f aca="false">COUNTIF('Label Map'!$D$2:$D$2000,A124)</f>
        <v>0</v>
      </c>
    </row>
    <row r="125" customFormat="false" ht="15" hidden="false" customHeight="false" outlineLevel="0" collapsed="false">
      <c r="A125" s="6" t="s">
        <v>223</v>
      </c>
      <c r="B125" s="6" t="s">
        <v>11</v>
      </c>
      <c r="C125" s="6" t="s">
        <v>3</v>
      </c>
      <c r="D125" s="6" t="s">
        <v>75</v>
      </c>
      <c r="E125" s="6" t="s">
        <v>80</v>
      </c>
      <c r="F125" s="6" t="s">
        <v>81</v>
      </c>
      <c r="G125" s="6" t="s">
        <v>82</v>
      </c>
      <c r="H125" s="6" t="s">
        <v>223</v>
      </c>
      <c r="I125" s="6"/>
      <c r="J125" s="6" t="s">
        <v>81</v>
      </c>
      <c r="K125" s="6"/>
      <c r="L125" s="6"/>
      <c r="M125" s="6"/>
      <c r="N125" s="6"/>
      <c r="O125" s="6"/>
      <c r="P125" s="6"/>
      <c r="Q125" s="6"/>
      <c r="R125" s="7" t="n">
        <f aca="false">COUNTIF('Label Map'!$D$2:$D$2000,A125)</f>
        <v>1</v>
      </c>
    </row>
    <row r="126" customFormat="false" ht="15" hidden="false" customHeight="false" outlineLevel="0" collapsed="false">
      <c r="A126" s="6" t="s">
        <v>224</v>
      </c>
      <c r="B126" s="6" t="s">
        <v>11</v>
      </c>
      <c r="C126" s="6" t="s">
        <v>3</v>
      </c>
      <c r="D126" s="6" t="s">
        <v>75</v>
      </c>
      <c r="E126" s="6" t="s">
        <v>80</v>
      </c>
      <c r="F126" s="6" t="s">
        <v>81</v>
      </c>
      <c r="G126" s="6" t="s">
        <v>82</v>
      </c>
      <c r="H126" s="6" t="s">
        <v>224</v>
      </c>
      <c r="I126" s="6"/>
      <c r="J126" s="6" t="s">
        <v>81</v>
      </c>
      <c r="K126" s="6"/>
      <c r="L126" s="6"/>
      <c r="M126" s="6"/>
      <c r="N126" s="6"/>
      <c r="O126" s="6"/>
      <c r="P126" s="6"/>
      <c r="Q126" s="6" t="s">
        <v>131</v>
      </c>
      <c r="R126" s="7" t="n">
        <f aca="false">COUNTIF('Label Map'!$D$2:$D$2000,A126)</f>
        <v>2</v>
      </c>
    </row>
    <row r="127" customFormat="false" ht="15" hidden="false" customHeight="false" outlineLevel="0" collapsed="false">
      <c r="A127" s="6" t="s">
        <v>225</v>
      </c>
      <c r="B127" s="6" t="s">
        <v>11</v>
      </c>
      <c r="C127" s="6" t="s">
        <v>3</v>
      </c>
      <c r="D127" s="6" t="s">
        <v>75</v>
      </c>
      <c r="E127" s="6" t="s">
        <v>80</v>
      </c>
      <c r="F127" s="6" t="s">
        <v>81</v>
      </c>
      <c r="G127" s="6" t="s">
        <v>82</v>
      </c>
      <c r="H127" s="6" t="s">
        <v>225</v>
      </c>
      <c r="I127" s="6"/>
      <c r="J127" s="6" t="s">
        <v>81</v>
      </c>
      <c r="K127" s="6"/>
      <c r="L127" s="6"/>
      <c r="M127" s="6"/>
      <c r="N127" s="6"/>
      <c r="O127" s="6"/>
      <c r="P127" s="6"/>
      <c r="Q127" s="6"/>
      <c r="R127" s="7" t="n">
        <f aca="false">COUNTIF('Label Map'!$D$2:$D$2000,A127)</f>
        <v>2</v>
      </c>
    </row>
    <row r="128" customFormat="false" ht="15" hidden="false" customHeight="false" outlineLevel="0" collapsed="false">
      <c r="A128" s="6" t="s">
        <v>226</v>
      </c>
      <c r="B128" s="6" t="s">
        <v>63</v>
      </c>
      <c r="C128" s="6" t="s">
        <v>3</v>
      </c>
      <c r="D128" s="6" t="s">
        <v>75</v>
      </c>
      <c r="E128" s="6" t="s">
        <v>80</v>
      </c>
      <c r="F128" s="6" t="s">
        <v>81</v>
      </c>
      <c r="G128" s="6" t="s">
        <v>82</v>
      </c>
      <c r="H128" s="6" t="s">
        <v>225</v>
      </c>
      <c r="I128" s="6" t="s">
        <v>226</v>
      </c>
      <c r="J128" s="6" t="s">
        <v>225</v>
      </c>
      <c r="K128" s="6"/>
      <c r="L128" s="6"/>
      <c r="M128" s="6"/>
      <c r="N128" s="6"/>
      <c r="O128" s="6"/>
      <c r="P128" s="6"/>
      <c r="Q128" s="6"/>
      <c r="R128" s="7" t="n">
        <f aca="false">COUNTIF('Label Map'!$D$2:$D$2000,A128)</f>
        <v>1</v>
      </c>
    </row>
    <row r="129" customFormat="false" ht="15" hidden="false" customHeight="false" outlineLevel="0" collapsed="false">
      <c r="A129" s="6" t="s">
        <v>227</v>
      </c>
      <c r="B129" s="6" t="s">
        <v>63</v>
      </c>
      <c r="C129" s="6" t="s">
        <v>3</v>
      </c>
      <c r="D129" s="6" t="s">
        <v>75</v>
      </c>
      <c r="E129" s="6" t="s">
        <v>80</v>
      </c>
      <c r="F129" s="6" t="s">
        <v>81</v>
      </c>
      <c r="G129" s="6" t="s">
        <v>82</v>
      </c>
      <c r="H129" s="6" t="s">
        <v>225</v>
      </c>
      <c r="I129" s="6" t="s">
        <v>227</v>
      </c>
      <c r="J129" s="6" t="s">
        <v>225</v>
      </c>
      <c r="K129" s="6"/>
      <c r="L129" s="6"/>
      <c r="M129" s="6"/>
      <c r="N129" s="6"/>
      <c r="O129" s="6"/>
      <c r="P129" s="6"/>
      <c r="Q129" s="6"/>
      <c r="R129" s="7" t="n">
        <f aca="false">COUNTIF('Label Map'!$D$2:$D$2000,A129)</f>
        <v>0</v>
      </c>
    </row>
    <row r="130" customFormat="false" ht="15" hidden="false" customHeight="false" outlineLevel="0" collapsed="false">
      <c r="A130" s="6" t="s">
        <v>228</v>
      </c>
      <c r="B130" s="6" t="s">
        <v>63</v>
      </c>
      <c r="C130" s="6" t="s">
        <v>3</v>
      </c>
      <c r="D130" s="6" t="s">
        <v>75</v>
      </c>
      <c r="E130" s="6" t="s">
        <v>80</v>
      </c>
      <c r="F130" s="6" t="s">
        <v>81</v>
      </c>
      <c r="G130" s="6" t="s">
        <v>82</v>
      </c>
      <c r="H130" s="6" t="s">
        <v>225</v>
      </c>
      <c r="I130" s="6" t="s">
        <v>228</v>
      </c>
      <c r="J130" s="6" t="s">
        <v>225</v>
      </c>
      <c r="K130" s="6"/>
      <c r="L130" s="6"/>
      <c r="M130" s="6"/>
      <c r="N130" s="6"/>
      <c r="O130" s="6"/>
      <c r="P130" s="6"/>
      <c r="Q130" s="6"/>
      <c r="R130" s="7" t="n">
        <f aca="false">COUNTIF('Label Map'!$D$2:$D$2000,A130)</f>
        <v>0</v>
      </c>
    </row>
    <row r="131" customFormat="false" ht="15" hidden="false" customHeight="false" outlineLevel="0" collapsed="false">
      <c r="A131" s="6" t="s">
        <v>229</v>
      </c>
      <c r="B131" s="6" t="s">
        <v>11</v>
      </c>
      <c r="C131" s="6" t="s">
        <v>3</v>
      </c>
      <c r="D131" s="6" t="s">
        <v>75</v>
      </c>
      <c r="E131" s="6" t="s">
        <v>80</v>
      </c>
      <c r="F131" s="6" t="s">
        <v>81</v>
      </c>
      <c r="G131" s="6" t="s">
        <v>82</v>
      </c>
      <c r="H131" s="6" t="s">
        <v>229</v>
      </c>
      <c r="I131" s="6"/>
      <c r="J131" s="6" t="s">
        <v>81</v>
      </c>
      <c r="K131" s="6"/>
      <c r="L131" s="6"/>
      <c r="M131" s="6"/>
      <c r="N131" s="6"/>
      <c r="O131" s="6"/>
      <c r="P131" s="6"/>
      <c r="Q131" s="6"/>
      <c r="R131" s="7" t="n">
        <f aca="false">COUNTIF('Label Map'!$D$2:$D$2000,A131)</f>
        <v>1</v>
      </c>
    </row>
    <row r="132" customFormat="false" ht="15" hidden="false" customHeight="false" outlineLevel="0" collapsed="false">
      <c r="A132" s="6" t="s">
        <v>230</v>
      </c>
      <c r="B132" s="6" t="s">
        <v>11</v>
      </c>
      <c r="C132" s="6" t="s">
        <v>3</v>
      </c>
      <c r="D132" s="6" t="s">
        <v>75</v>
      </c>
      <c r="E132" s="6" t="s">
        <v>80</v>
      </c>
      <c r="F132" s="6" t="s">
        <v>81</v>
      </c>
      <c r="G132" s="6" t="s">
        <v>82</v>
      </c>
      <c r="H132" s="6" t="s">
        <v>230</v>
      </c>
      <c r="I132" s="6"/>
      <c r="J132" s="6" t="s">
        <v>81</v>
      </c>
      <c r="K132" s="6"/>
      <c r="L132" s="6"/>
      <c r="M132" s="6"/>
      <c r="N132" s="6"/>
      <c r="O132" s="6"/>
      <c r="P132" s="6"/>
      <c r="Q132" s="6"/>
      <c r="R132" s="7" t="n">
        <f aca="false">COUNTIF('Label Map'!$D$2:$D$2000,A132)</f>
        <v>2</v>
      </c>
    </row>
    <row r="133" customFormat="false" ht="15" hidden="false" customHeight="false" outlineLevel="0" collapsed="false">
      <c r="A133" s="6" t="s">
        <v>231</v>
      </c>
      <c r="B133" s="6" t="s">
        <v>63</v>
      </c>
      <c r="C133" s="6" t="s">
        <v>3</v>
      </c>
      <c r="D133" s="6" t="s">
        <v>75</v>
      </c>
      <c r="E133" s="6" t="s">
        <v>80</v>
      </c>
      <c r="F133" s="6" t="s">
        <v>81</v>
      </c>
      <c r="G133" s="6" t="s">
        <v>82</v>
      </c>
      <c r="H133" s="6" t="s">
        <v>230</v>
      </c>
      <c r="I133" s="6" t="s">
        <v>231</v>
      </c>
      <c r="J133" s="6" t="s">
        <v>230</v>
      </c>
      <c r="K133" s="6"/>
      <c r="L133" s="6"/>
      <c r="M133" s="6"/>
      <c r="N133" s="6"/>
      <c r="O133" s="6"/>
      <c r="P133" s="6"/>
      <c r="Q133" s="6" t="s">
        <v>232</v>
      </c>
      <c r="R133" s="7" t="n">
        <f aca="false">COUNTIF('Label Map'!$D$2:$D$2000,A133)</f>
        <v>0</v>
      </c>
    </row>
    <row r="134" customFormat="false" ht="15" hidden="false" customHeight="false" outlineLevel="0" collapsed="false">
      <c r="A134" s="6" t="s">
        <v>233</v>
      </c>
      <c r="B134" s="6" t="s">
        <v>11</v>
      </c>
      <c r="C134" s="6" t="s">
        <v>3</v>
      </c>
      <c r="D134" s="6" t="s">
        <v>75</v>
      </c>
      <c r="E134" s="6" t="s">
        <v>80</v>
      </c>
      <c r="F134" s="6" t="s">
        <v>81</v>
      </c>
      <c r="G134" s="6" t="s">
        <v>82</v>
      </c>
      <c r="H134" s="6" t="s">
        <v>233</v>
      </c>
      <c r="I134" s="6"/>
      <c r="J134" s="6" t="s">
        <v>81</v>
      </c>
      <c r="K134" s="6"/>
      <c r="L134" s="6"/>
      <c r="M134" s="6"/>
      <c r="N134" s="6"/>
      <c r="O134" s="6"/>
      <c r="P134" s="6"/>
      <c r="Q134" s="6"/>
      <c r="R134" s="7" t="n">
        <f aca="false">COUNTIF('Label Map'!$D$2:$D$2000,A134)</f>
        <v>2</v>
      </c>
    </row>
    <row r="135" customFormat="false" ht="15" hidden="false" customHeight="false" outlineLevel="0" collapsed="false">
      <c r="A135" s="6" t="s">
        <v>234</v>
      </c>
      <c r="B135" s="6" t="s">
        <v>63</v>
      </c>
      <c r="C135" s="6" t="s">
        <v>3</v>
      </c>
      <c r="D135" s="6" t="s">
        <v>75</v>
      </c>
      <c r="E135" s="6" t="s">
        <v>80</v>
      </c>
      <c r="F135" s="6" t="s">
        <v>81</v>
      </c>
      <c r="G135" s="6" t="s">
        <v>82</v>
      </c>
      <c r="H135" s="6" t="s">
        <v>233</v>
      </c>
      <c r="I135" s="6" t="s">
        <v>234</v>
      </c>
      <c r="J135" s="6" t="s">
        <v>233</v>
      </c>
      <c r="K135" s="6"/>
      <c r="L135" s="6"/>
      <c r="M135" s="6"/>
      <c r="N135" s="6"/>
      <c r="O135" s="6"/>
      <c r="P135" s="6"/>
      <c r="Q135" s="6"/>
      <c r="R135" s="7" t="n">
        <f aca="false">COUNTIF('Label Map'!$D$2:$D$2000,A135)</f>
        <v>0</v>
      </c>
    </row>
    <row r="136" customFormat="false" ht="15" hidden="false" customHeight="false" outlineLevel="0" collapsed="false">
      <c r="A136" s="6" t="s">
        <v>235</v>
      </c>
      <c r="B136" s="6" t="s">
        <v>63</v>
      </c>
      <c r="C136" s="6" t="s">
        <v>3</v>
      </c>
      <c r="D136" s="6" t="s">
        <v>75</v>
      </c>
      <c r="E136" s="6" t="s">
        <v>80</v>
      </c>
      <c r="F136" s="6" t="s">
        <v>81</v>
      </c>
      <c r="G136" s="6" t="s">
        <v>82</v>
      </c>
      <c r="H136" s="6" t="s">
        <v>233</v>
      </c>
      <c r="I136" s="6" t="s">
        <v>235</v>
      </c>
      <c r="J136" s="6" t="s">
        <v>233</v>
      </c>
      <c r="K136" s="6"/>
      <c r="L136" s="6"/>
      <c r="M136" s="6"/>
      <c r="N136" s="6"/>
      <c r="O136" s="6"/>
      <c r="P136" s="6"/>
      <c r="Q136" s="6"/>
      <c r="R136" s="7" t="n">
        <f aca="false">COUNTIF('Label Map'!$D$2:$D$2000,A136)</f>
        <v>0</v>
      </c>
    </row>
    <row r="137" customFormat="false" ht="15" hidden="false" customHeight="false" outlineLevel="0" collapsed="false">
      <c r="A137" s="6" t="s">
        <v>236</v>
      </c>
      <c r="B137" s="6" t="s">
        <v>63</v>
      </c>
      <c r="C137" s="6" t="s">
        <v>3</v>
      </c>
      <c r="D137" s="6" t="s">
        <v>75</v>
      </c>
      <c r="E137" s="6" t="s">
        <v>80</v>
      </c>
      <c r="F137" s="6" t="s">
        <v>81</v>
      </c>
      <c r="G137" s="6" t="s">
        <v>82</v>
      </c>
      <c r="H137" s="6" t="s">
        <v>233</v>
      </c>
      <c r="I137" s="6" t="s">
        <v>236</v>
      </c>
      <c r="J137" s="6" t="s">
        <v>233</v>
      </c>
      <c r="K137" s="6"/>
      <c r="L137" s="6"/>
      <c r="M137" s="6"/>
      <c r="N137" s="6"/>
      <c r="O137" s="6"/>
      <c r="P137" s="6"/>
      <c r="Q137" s="6"/>
      <c r="R137" s="7" t="n">
        <f aca="false">COUNTIF('Label Map'!$D$2:$D$2000,A137)</f>
        <v>0</v>
      </c>
    </row>
    <row r="138" customFormat="false" ht="15" hidden="false" customHeight="false" outlineLevel="0" collapsed="false">
      <c r="A138" s="6" t="s">
        <v>237</v>
      </c>
      <c r="B138" s="6" t="s">
        <v>11</v>
      </c>
      <c r="C138" s="6" t="s">
        <v>3</v>
      </c>
      <c r="D138" s="6" t="s">
        <v>75</v>
      </c>
      <c r="E138" s="6" t="s">
        <v>80</v>
      </c>
      <c r="F138" s="6" t="s">
        <v>81</v>
      </c>
      <c r="G138" s="6" t="s">
        <v>82</v>
      </c>
      <c r="H138" s="6" t="s">
        <v>237</v>
      </c>
      <c r="I138" s="6"/>
      <c r="J138" s="6" t="s">
        <v>81</v>
      </c>
      <c r="K138" s="6"/>
      <c r="L138" s="6"/>
      <c r="M138" s="6"/>
      <c r="N138" s="6"/>
      <c r="O138" s="6"/>
      <c r="P138" s="6"/>
      <c r="Q138" s="6" t="s">
        <v>175</v>
      </c>
      <c r="R138" s="7" t="n">
        <f aca="false">COUNTIF('Label Map'!$D$2:$D$2000,A138)</f>
        <v>2</v>
      </c>
    </row>
    <row r="139" customFormat="false" ht="15" hidden="false" customHeight="false" outlineLevel="0" collapsed="false">
      <c r="A139" s="6" t="s">
        <v>238</v>
      </c>
      <c r="B139" s="6" t="s">
        <v>63</v>
      </c>
      <c r="C139" s="6" t="s">
        <v>3</v>
      </c>
      <c r="D139" s="6" t="s">
        <v>75</v>
      </c>
      <c r="E139" s="6" t="s">
        <v>80</v>
      </c>
      <c r="F139" s="6" t="s">
        <v>81</v>
      </c>
      <c r="G139" s="6" t="s">
        <v>82</v>
      </c>
      <c r="H139" s="6" t="s">
        <v>237</v>
      </c>
      <c r="I139" s="6" t="s">
        <v>238</v>
      </c>
      <c r="J139" s="6" t="s">
        <v>237</v>
      </c>
      <c r="K139" s="6"/>
      <c r="L139" s="6"/>
      <c r="M139" s="6"/>
      <c r="N139" s="6"/>
      <c r="O139" s="6"/>
      <c r="P139" s="6"/>
      <c r="Q139" s="6"/>
      <c r="R139" s="7" t="n">
        <f aca="false">COUNTIF('Label Map'!$D$2:$D$2000,A139)</f>
        <v>0</v>
      </c>
    </row>
    <row r="140" customFormat="false" ht="15" hidden="false" customHeight="false" outlineLevel="0" collapsed="false">
      <c r="A140" s="6" t="s">
        <v>239</v>
      </c>
      <c r="B140" s="6" t="s">
        <v>11</v>
      </c>
      <c r="C140" s="6" t="s">
        <v>3</v>
      </c>
      <c r="D140" s="6" t="s">
        <v>75</v>
      </c>
      <c r="E140" s="6" t="s">
        <v>80</v>
      </c>
      <c r="F140" s="6" t="s">
        <v>81</v>
      </c>
      <c r="G140" s="6" t="s">
        <v>82</v>
      </c>
      <c r="H140" s="6" t="s">
        <v>239</v>
      </c>
      <c r="I140" s="6"/>
      <c r="J140" s="6" t="s">
        <v>81</v>
      </c>
      <c r="K140" s="6"/>
      <c r="L140" s="6"/>
      <c r="M140" s="6"/>
      <c r="N140" s="6"/>
      <c r="O140" s="6"/>
      <c r="P140" s="6"/>
      <c r="Q140" s="6"/>
      <c r="R140" s="7" t="n">
        <f aca="false">COUNTIF('Label Map'!$D$2:$D$2000,A140)</f>
        <v>1</v>
      </c>
    </row>
    <row r="141" customFormat="false" ht="15" hidden="false" customHeight="false" outlineLevel="0" collapsed="false">
      <c r="A141" s="6" t="s">
        <v>240</v>
      </c>
      <c r="B141" s="6" t="s">
        <v>11</v>
      </c>
      <c r="C141" s="6" t="s">
        <v>3</v>
      </c>
      <c r="D141" s="6" t="s">
        <v>75</v>
      </c>
      <c r="E141" s="6" t="s">
        <v>80</v>
      </c>
      <c r="F141" s="6" t="s">
        <v>81</v>
      </c>
      <c r="G141" s="6" t="s">
        <v>82</v>
      </c>
      <c r="H141" s="6" t="s">
        <v>240</v>
      </c>
      <c r="I141" s="6"/>
      <c r="J141" s="6" t="s">
        <v>81</v>
      </c>
      <c r="K141" s="6"/>
      <c r="L141" s="6"/>
      <c r="M141" s="6"/>
      <c r="N141" s="6"/>
      <c r="O141" s="6"/>
      <c r="P141" s="6"/>
      <c r="Q141" s="6"/>
      <c r="R141" s="7" t="n">
        <f aca="false">COUNTIF('Label Map'!$D$2:$D$2000,A141)</f>
        <v>2</v>
      </c>
    </row>
    <row r="142" customFormat="false" ht="15" hidden="false" customHeight="false" outlineLevel="0" collapsed="false">
      <c r="A142" s="6" t="s">
        <v>241</v>
      </c>
      <c r="B142" s="6" t="s">
        <v>11</v>
      </c>
      <c r="C142" s="6" t="s">
        <v>3</v>
      </c>
      <c r="D142" s="6" t="s">
        <v>75</v>
      </c>
      <c r="E142" s="6" t="s">
        <v>80</v>
      </c>
      <c r="F142" s="6" t="s">
        <v>81</v>
      </c>
      <c r="G142" s="6" t="s">
        <v>82</v>
      </c>
      <c r="H142" s="6" t="s">
        <v>241</v>
      </c>
      <c r="I142" s="6"/>
      <c r="J142" s="6" t="s">
        <v>81</v>
      </c>
      <c r="K142" s="6"/>
      <c r="L142" s="6"/>
      <c r="M142" s="6"/>
      <c r="N142" s="6"/>
      <c r="O142" s="6"/>
      <c r="P142" s="6"/>
      <c r="Q142" s="6"/>
      <c r="R142" s="7" t="n">
        <f aca="false">COUNTIF('Label Map'!$D$2:$D$2000,A142)</f>
        <v>1</v>
      </c>
    </row>
    <row r="143" customFormat="false" ht="15" hidden="false" customHeight="false" outlineLevel="0" collapsed="false">
      <c r="A143" s="6" t="s">
        <v>242</v>
      </c>
      <c r="B143" s="6" t="s">
        <v>11</v>
      </c>
      <c r="C143" s="6" t="s">
        <v>3</v>
      </c>
      <c r="D143" s="6" t="s">
        <v>75</v>
      </c>
      <c r="E143" s="6" t="s">
        <v>80</v>
      </c>
      <c r="F143" s="6" t="s">
        <v>81</v>
      </c>
      <c r="G143" s="6" t="s">
        <v>82</v>
      </c>
      <c r="H143" s="6" t="s">
        <v>242</v>
      </c>
      <c r="I143" s="6"/>
      <c r="J143" s="6" t="s">
        <v>81</v>
      </c>
      <c r="K143" s="6"/>
      <c r="L143" s="6"/>
      <c r="M143" s="6"/>
      <c r="N143" s="6"/>
      <c r="O143" s="6"/>
      <c r="P143" s="6"/>
      <c r="Q143" s="6"/>
      <c r="R143" s="7" t="n">
        <f aca="false">COUNTIF('Label Map'!$D$2:$D$2000,A143)</f>
        <v>3</v>
      </c>
    </row>
    <row r="144" customFormat="false" ht="15" hidden="false" customHeight="false" outlineLevel="0" collapsed="false">
      <c r="A144" s="6" t="s">
        <v>243</v>
      </c>
      <c r="B144" s="6" t="s">
        <v>63</v>
      </c>
      <c r="C144" s="6" t="s">
        <v>3</v>
      </c>
      <c r="D144" s="6" t="s">
        <v>75</v>
      </c>
      <c r="E144" s="6" t="s">
        <v>80</v>
      </c>
      <c r="F144" s="6" t="s">
        <v>81</v>
      </c>
      <c r="G144" s="6" t="s">
        <v>82</v>
      </c>
      <c r="H144" s="6" t="s">
        <v>242</v>
      </c>
      <c r="I144" s="6" t="s">
        <v>243</v>
      </c>
      <c r="J144" s="6" t="s">
        <v>242</v>
      </c>
      <c r="K144" s="6"/>
      <c r="L144" s="6"/>
      <c r="M144" s="6"/>
      <c r="N144" s="6"/>
      <c r="O144" s="6"/>
      <c r="P144" s="6"/>
      <c r="Q144" s="6"/>
      <c r="R144" s="7" t="n">
        <f aca="false">COUNTIF('Label Map'!$D$2:$D$2000,A144)</f>
        <v>0</v>
      </c>
    </row>
    <row r="145" customFormat="false" ht="15" hidden="false" customHeight="false" outlineLevel="0" collapsed="false">
      <c r="A145" s="6" t="s">
        <v>244</v>
      </c>
      <c r="B145" s="6" t="s">
        <v>63</v>
      </c>
      <c r="C145" s="6" t="s">
        <v>3</v>
      </c>
      <c r="D145" s="6" t="s">
        <v>75</v>
      </c>
      <c r="E145" s="6" t="s">
        <v>80</v>
      </c>
      <c r="F145" s="6" t="s">
        <v>81</v>
      </c>
      <c r="G145" s="6" t="s">
        <v>82</v>
      </c>
      <c r="H145" s="6" t="s">
        <v>242</v>
      </c>
      <c r="I145" s="6" t="s">
        <v>244</v>
      </c>
      <c r="J145" s="6" t="s">
        <v>242</v>
      </c>
      <c r="K145" s="6"/>
      <c r="L145" s="6"/>
      <c r="M145" s="6"/>
      <c r="N145" s="6"/>
      <c r="O145" s="6"/>
      <c r="P145" s="6"/>
      <c r="Q145" s="6"/>
      <c r="R145" s="7" t="n">
        <f aca="false">COUNTIF('Label Map'!$D$2:$D$2000,A145)</f>
        <v>0</v>
      </c>
    </row>
    <row r="146" customFormat="false" ht="15" hidden="false" customHeight="false" outlineLevel="0" collapsed="false">
      <c r="A146" s="6" t="s">
        <v>245</v>
      </c>
      <c r="B146" s="6" t="s">
        <v>11</v>
      </c>
      <c r="C146" s="6" t="s">
        <v>3</v>
      </c>
      <c r="D146" s="6" t="s">
        <v>75</v>
      </c>
      <c r="E146" s="6" t="s">
        <v>80</v>
      </c>
      <c r="F146" s="6" t="s">
        <v>81</v>
      </c>
      <c r="G146" s="6" t="s">
        <v>82</v>
      </c>
      <c r="H146" s="6" t="s">
        <v>245</v>
      </c>
      <c r="I146" s="6"/>
      <c r="J146" s="6" t="s">
        <v>81</v>
      </c>
      <c r="K146" s="6"/>
      <c r="L146" s="6"/>
      <c r="M146" s="6"/>
      <c r="N146" s="6"/>
      <c r="O146" s="6"/>
      <c r="P146" s="6"/>
      <c r="Q146" s="6"/>
      <c r="R146" s="7" t="n">
        <f aca="false">COUNTIF('Label Map'!$D$2:$D$2000,A146)</f>
        <v>2</v>
      </c>
    </row>
    <row r="147" customFormat="false" ht="15" hidden="false" customHeight="false" outlineLevel="0" collapsed="false">
      <c r="A147" s="6" t="s">
        <v>246</v>
      </c>
      <c r="B147" s="6" t="s">
        <v>63</v>
      </c>
      <c r="C147" s="6" t="s">
        <v>3</v>
      </c>
      <c r="D147" s="6" t="s">
        <v>75</v>
      </c>
      <c r="E147" s="6" t="s">
        <v>80</v>
      </c>
      <c r="F147" s="6" t="s">
        <v>81</v>
      </c>
      <c r="G147" s="6" t="s">
        <v>82</v>
      </c>
      <c r="H147" s="6" t="s">
        <v>245</v>
      </c>
      <c r="I147" s="6" t="s">
        <v>246</v>
      </c>
      <c r="J147" s="6" t="s">
        <v>245</v>
      </c>
      <c r="K147" s="6"/>
      <c r="L147" s="6"/>
      <c r="M147" s="6"/>
      <c r="N147" s="6"/>
      <c r="O147" s="6"/>
      <c r="P147" s="6"/>
      <c r="Q147" s="6"/>
      <c r="R147" s="7" t="n">
        <f aca="false">COUNTIF('Label Map'!$D$2:$D$2000,A147)</f>
        <v>0</v>
      </c>
    </row>
    <row r="148" customFormat="false" ht="15" hidden="false" customHeight="false" outlineLevel="0" collapsed="false">
      <c r="A148" s="6" t="s">
        <v>247</v>
      </c>
      <c r="B148" s="6" t="s">
        <v>63</v>
      </c>
      <c r="C148" s="6" t="s">
        <v>3</v>
      </c>
      <c r="D148" s="6" t="s">
        <v>75</v>
      </c>
      <c r="E148" s="6" t="s">
        <v>80</v>
      </c>
      <c r="F148" s="6" t="s">
        <v>81</v>
      </c>
      <c r="G148" s="6" t="s">
        <v>82</v>
      </c>
      <c r="H148" s="6" t="s">
        <v>245</v>
      </c>
      <c r="I148" s="6" t="s">
        <v>247</v>
      </c>
      <c r="J148" s="6" t="s">
        <v>245</v>
      </c>
      <c r="K148" s="6"/>
      <c r="L148" s="6"/>
      <c r="M148" s="6"/>
      <c r="N148" s="6"/>
      <c r="O148" s="6"/>
      <c r="P148" s="6"/>
      <c r="Q148" s="6"/>
      <c r="R148" s="7" t="n">
        <f aca="false">COUNTIF('Label Map'!$D$2:$D$2000,A148)</f>
        <v>0</v>
      </c>
    </row>
    <row r="149" customFormat="false" ht="15" hidden="false" customHeight="false" outlineLevel="0" collapsed="false">
      <c r="A149" s="6" t="s">
        <v>248</v>
      </c>
      <c r="B149" s="6" t="s">
        <v>63</v>
      </c>
      <c r="C149" s="6" t="s">
        <v>3</v>
      </c>
      <c r="D149" s="6" t="s">
        <v>75</v>
      </c>
      <c r="E149" s="6" t="s">
        <v>80</v>
      </c>
      <c r="F149" s="6" t="s">
        <v>81</v>
      </c>
      <c r="G149" s="6" t="s">
        <v>82</v>
      </c>
      <c r="H149" s="6" t="s">
        <v>245</v>
      </c>
      <c r="I149" s="6" t="s">
        <v>248</v>
      </c>
      <c r="J149" s="6" t="s">
        <v>245</v>
      </c>
      <c r="K149" s="6"/>
      <c r="L149" s="6"/>
      <c r="M149" s="6"/>
      <c r="N149" s="6"/>
      <c r="O149" s="6"/>
      <c r="P149" s="6"/>
      <c r="Q149" s="6"/>
      <c r="R149" s="7" t="n">
        <f aca="false">COUNTIF('Label Map'!$D$2:$D$2000,A149)</f>
        <v>2</v>
      </c>
    </row>
    <row r="150" customFormat="false" ht="15" hidden="false" customHeight="false" outlineLevel="0" collapsed="false">
      <c r="A150" s="6" t="s">
        <v>249</v>
      </c>
      <c r="B150" s="6" t="s">
        <v>63</v>
      </c>
      <c r="C150" s="6" t="s">
        <v>3</v>
      </c>
      <c r="D150" s="6" t="s">
        <v>75</v>
      </c>
      <c r="E150" s="6" t="s">
        <v>80</v>
      </c>
      <c r="F150" s="6" t="s">
        <v>81</v>
      </c>
      <c r="G150" s="6" t="s">
        <v>82</v>
      </c>
      <c r="H150" s="6" t="s">
        <v>245</v>
      </c>
      <c r="I150" s="6" t="s">
        <v>249</v>
      </c>
      <c r="J150" s="6" t="s">
        <v>245</v>
      </c>
      <c r="K150" s="6"/>
      <c r="L150" s="6"/>
      <c r="M150" s="6"/>
      <c r="N150" s="6"/>
      <c r="O150" s="6"/>
      <c r="P150" s="6"/>
      <c r="Q150" s="6"/>
      <c r="R150" s="7" t="n">
        <f aca="false">COUNTIF('Label Map'!$D$2:$D$2000,A150)</f>
        <v>0</v>
      </c>
    </row>
    <row r="151" customFormat="false" ht="15" hidden="false" customHeight="false" outlineLevel="0" collapsed="false">
      <c r="A151" s="6" t="s">
        <v>250</v>
      </c>
      <c r="B151" s="6" t="s">
        <v>63</v>
      </c>
      <c r="C151" s="6" t="s">
        <v>3</v>
      </c>
      <c r="D151" s="6" t="s">
        <v>75</v>
      </c>
      <c r="E151" s="6" t="s">
        <v>80</v>
      </c>
      <c r="F151" s="6" t="s">
        <v>81</v>
      </c>
      <c r="G151" s="6" t="s">
        <v>82</v>
      </c>
      <c r="H151" s="6" t="s">
        <v>245</v>
      </c>
      <c r="I151" s="6" t="s">
        <v>250</v>
      </c>
      <c r="J151" s="6" t="s">
        <v>245</v>
      </c>
      <c r="K151" s="6"/>
      <c r="L151" s="6"/>
      <c r="M151" s="6"/>
      <c r="N151" s="6"/>
      <c r="O151" s="6"/>
      <c r="P151" s="6"/>
      <c r="Q151" s="6"/>
      <c r="R151" s="7" t="n">
        <f aca="false">COUNTIF('Label Map'!$D$2:$D$2000,A151)</f>
        <v>3</v>
      </c>
    </row>
    <row r="152" customFormat="false" ht="15" hidden="false" customHeight="false" outlineLevel="0" collapsed="false">
      <c r="A152" s="6" t="s">
        <v>251</v>
      </c>
      <c r="B152" s="6" t="s">
        <v>63</v>
      </c>
      <c r="C152" s="6" t="s">
        <v>3</v>
      </c>
      <c r="D152" s="6" t="s">
        <v>75</v>
      </c>
      <c r="E152" s="6" t="s">
        <v>80</v>
      </c>
      <c r="F152" s="6" t="s">
        <v>81</v>
      </c>
      <c r="G152" s="6" t="s">
        <v>82</v>
      </c>
      <c r="H152" s="6" t="s">
        <v>245</v>
      </c>
      <c r="I152" s="6" t="s">
        <v>251</v>
      </c>
      <c r="J152" s="6" t="s">
        <v>245</v>
      </c>
      <c r="K152" s="6"/>
      <c r="L152" s="6"/>
      <c r="M152" s="6"/>
      <c r="N152" s="6"/>
      <c r="O152" s="6"/>
      <c r="P152" s="6"/>
      <c r="Q152" s="6"/>
      <c r="R152" s="7" t="n">
        <f aca="false">COUNTIF('Label Map'!$D$2:$D$2000,A152)</f>
        <v>2</v>
      </c>
    </row>
    <row r="153" customFormat="false" ht="15" hidden="false" customHeight="false" outlineLevel="0" collapsed="false">
      <c r="A153" s="6" t="s">
        <v>252</v>
      </c>
      <c r="B153" s="6" t="s">
        <v>63</v>
      </c>
      <c r="C153" s="6" t="s">
        <v>3</v>
      </c>
      <c r="D153" s="6" t="s">
        <v>75</v>
      </c>
      <c r="E153" s="6" t="s">
        <v>80</v>
      </c>
      <c r="F153" s="6" t="s">
        <v>81</v>
      </c>
      <c r="G153" s="6" t="s">
        <v>82</v>
      </c>
      <c r="H153" s="6" t="s">
        <v>245</v>
      </c>
      <c r="I153" s="6" t="s">
        <v>252</v>
      </c>
      <c r="J153" s="6" t="s">
        <v>245</v>
      </c>
      <c r="K153" s="6"/>
      <c r="L153" s="6"/>
      <c r="M153" s="6"/>
      <c r="N153" s="6"/>
      <c r="O153" s="6"/>
      <c r="P153" s="6"/>
      <c r="Q153" s="6"/>
      <c r="R153" s="7" t="n">
        <f aca="false">COUNTIF('Label Map'!$D$2:$D$2000,A153)</f>
        <v>0</v>
      </c>
    </row>
    <row r="154" customFormat="false" ht="15" hidden="false" customHeight="false" outlineLevel="0" collapsed="false">
      <c r="A154" s="6" t="s">
        <v>253</v>
      </c>
      <c r="B154" s="6" t="s">
        <v>11</v>
      </c>
      <c r="C154" s="6" t="s">
        <v>3</v>
      </c>
      <c r="D154" s="6" t="s">
        <v>75</v>
      </c>
      <c r="E154" s="6" t="s">
        <v>80</v>
      </c>
      <c r="F154" s="6" t="s">
        <v>81</v>
      </c>
      <c r="G154" s="6" t="s">
        <v>82</v>
      </c>
      <c r="H154" s="6" t="s">
        <v>253</v>
      </c>
      <c r="I154" s="6"/>
      <c r="J154" s="6" t="s">
        <v>81</v>
      </c>
      <c r="K154" s="6"/>
      <c r="L154" s="6"/>
      <c r="M154" s="6"/>
      <c r="N154" s="6"/>
      <c r="O154" s="6"/>
      <c r="P154" s="6"/>
      <c r="Q154" s="6" t="s">
        <v>131</v>
      </c>
      <c r="R154" s="7" t="n">
        <f aca="false">COUNTIF('Label Map'!$D$2:$D$2000,A154)</f>
        <v>2</v>
      </c>
    </row>
    <row r="155" customFormat="false" ht="15" hidden="false" customHeight="false" outlineLevel="0" collapsed="false">
      <c r="A155" s="6" t="s">
        <v>254</v>
      </c>
      <c r="B155" s="6" t="s">
        <v>11</v>
      </c>
      <c r="C155" s="6" t="s">
        <v>3</v>
      </c>
      <c r="D155" s="6" t="s">
        <v>75</v>
      </c>
      <c r="E155" s="6" t="s">
        <v>80</v>
      </c>
      <c r="F155" s="6" t="s">
        <v>81</v>
      </c>
      <c r="G155" s="6" t="s">
        <v>82</v>
      </c>
      <c r="H155" s="6" t="s">
        <v>254</v>
      </c>
      <c r="I155" s="6"/>
      <c r="J155" s="6" t="s">
        <v>81</v>
      </c>
      <c r="K155" s="6"/>
      <c r="L155" s="6"/>
      <c r="M155" s="6"/>
      <c r="N155" s="6"/>
      <c r="O155" s="6"/>
      <c r="P155" s="6"/>
      <c r="Q155" s="6"/>
      <c r="R155" s="7" t="n">
        <f aca="false">COUNTIF('Label Map'!$D$2:$D$2000,A155)</f>
        <v>2</v>
      </c>
    </row>
    <row r="156" customFormat="false" ht="15" hidden="false" customHeight="false" outlineLevel="0" collapsed="false">
      <c r="A156" s="6" t="s">
        <v>255</v>
      </c>
      <c r="B156" s="6" t="s">
        <v>63</v>
      </c>
      <c r="C156" s="6" t="s">
        <v>3</v>
      </c>
      <c r="D156" s="6" t="s">
        <v>75</v>
      </c>
      <c r="E156" s="6" t="s">
        <v>80</v>
      </c>
      <c r="F156" s="6" t="s">
        <v>81</v>
      </c>
      <c r="G156" s="6" t="s">
        <v>82</v>
      </c>
      <c r="H156" s="6" t="s">
        <v>254</v>
      </c>
      <c r="I156" s="6" t="s">
        <v>255</v>
      </c>
      <c r="J156" s="6" t="s">
        <v>254</v>
      </c>
      <c r="K156" s="6"/>
      <c r="L156" s="6"/>
      <c r="M156" s="6"/>
      <c r="N156" s="6"/>
      <c r="O156" s="6"/>
      <c r="P156" s="6"/>
      <c r="Q156" s="6"/>
      <c r="R156" s="7" t="n">
        <f aca="false">COUNTIF('Label Map'!$D$2:$D$2000,A156)</f>
        <v>0</v>
      </c>
    </row>
    <row r="157" customFormat="false" ht="15" hidden="false" customHeight="false" outlineLevel="0" collapsed="false">
      <c r="A157" s="6" t="s">
        <v>256</v>
      </c>
      <c r="B157" s="6" t="s">
        <v>11</v>
      </c>
      <c r="C157" s="6" t="s">
        <v>3</v>
      </c>
      <c r="D157" s="6" t="s">
        <v>75</v>
      </c>
      <c r="E157" s="6" t="s">
        <v>80</v>
      </c>
      <c r="F157" s="6" t="s">
        <v>81</v>
      </c>
      <c r="G157" s="6" t="s">
        <v>82</v>
      </c>
      <c r="H157" s="6" t="s">
        <v>256</v>
      </c>
      <c r="I157" s="6"/>
      <c r="J157" s="6" t="s">
        <v>81</v>
      </c>
      <c r="K157" s="6"/>
      <c r="L157" s="6"/>
      <c r="M157" s="6"/>
      <c r="N157" s="6"/>
      <c r="O157" s="6"/>
      <c r="P157" s="6"/>
      <c r="Q157" s="6"/>
      <c r="R157" s="7" t="n">
        <f aca="false">COUNTIF('Label Map'!$D$2:$D$2000,A157)</f>
        <v>1</v>
      </c>
    </row>
    <row r="158" customFormat="false" ht="15" hidden="false" customHeight="false" outlineLevel="0" collapsed="false">
      <c r="A158" s="6" t="s">
        <v>257</v>
      </c>
      <c r="B158" s="6" t="s">
        <v>11</v>
      </c>
      <c r="C158" s="6" t="s">
        <v>3</v>
      </c>
      <c r="D158" s="6" t="s">
        <v>75</v>
      </c>
      <c r="E158" s="6" t="s">
        <v>80</v>
      </c>
      <c r="F158" s="6" t="s">
        <v>81</v>
      </c>
      <c r="G158" s="6" t="s">
        <v>82</v>
      </c>
      <c r="H158" s="6" t="s">
        <v>257</v>
      </c>
      <c r="I158" s="6"/>
      <c r="J158" s="6" t="s">
        <v>81</v>
      </c>
      <c r="K158" s="6"/>
      <c r="L158" s="6"/>
      <c r="M158" s="6"/>
      <c r="N158" s="6"/>
      <c r="O158" s="6"/>
      <c r="P158" s="6"/>
      <c r="Q158" s="6"/>
      <c r="R158" s="7" t="n">
        <f aca="false">COUNTIF('Label Map'!$D$2:$D$2000,A158)</f>
        <v>2</v>
      </c>
    </row>
    <row r="159" customFormat="false" ht="15" hidden="false" customHeight="false" outlineLevel="0" collapsed="false">
      <c r="A159" s="6" t="s">
        <v>258</v>
      </c>
      <c r="B159" s="6" t="s">
        <v>11</v>
      </c>
      <c r="C159" s="6" t="s">
        <v>3</v>
      </c>
      <c r="D159" s="6" t="s">
        <v>75</v>
      </c>
      <c r="E159" s="6" t="s">
        <v>80</v>
      </c>
      <c r="F159" s="6" t="s">
        <v>81</v>
      </c>
      <c r="G159" s="6" t="s">
        <v>82</v>
      </c>
      <c r="H159" s="6" t="s">
        <v>258</v>
      </c>
      <c r="I159" s="6"/>
      <c r="J159" s="6" t="s">
        <v>81</v>
      </c>
      <c r="K159" s="6"/>
      <c r="L159" s="6"/>
      <c r="M159" s="6"/>
      <c r="N159" s="6"/>
      <c r="O159" s="6"/>
      <c r="P159" s="6"/>
      <c r="Q159" s="6" t="s">
        <v>259</v>
      </c>
      <c r="R159" s="7" t="n">
        <f aca="false">COUNTIF('Label Map'!$D$2:$D$2000,A159)</f>
        <v>2</v>
      </c>
    </row>
    <row r="160" customFormat="false" ht="15" hidden="false" customHeight="false" outlineLevel="0" collapsed="false">
      <c r="A160" s="6" t="s">
        <v>260</v>
      </c>
      <c r="B160" s="6" t="s">
        <v>63</v>
      </c>
      <c r="C160" s="6" t="s">
        <v>3</v>
      </c>
      <c r="D160" s="6" t="s">
        <v>75</v>
      </c>
      <c r="E160" s="6" t="s">
        <v>80</v>
      </c>
      <c r="F160" s="6" t="s">
        <v>81</v>
      </c>
      <c r="G160" s="6" t="s">
        <v>82</v>
      </c>
      <c r="H160" s="6" t="s">
        <v>258</v>
      </c>
      <c r="I160" s="6" t="s">
        <v>260</v>
      </c>
      <c r="J160" s="6" t="s">
        <v>258</v>
      </c>
      <c r="K160" s="6"/>
      <c r="L160" s="6"/>
      <c r="M160" s="6"/>
      <c r="N160" s="6"/>
      <c r="O160" s="6"/>
      <c r="P160" s="6"/>
      <c r="Q160" s="6"/>
      <c r="R160" s="7" t="n">
        <f aca="false">COUNTIF('Label Map'!$D$2:$D$2000,A160)</f>
        <v>0</v>
      </c>
    </row>
    <row r="161" customFormat="false" ht="15" hidden="false" customHeight="false" outlineLevel="0" collapsed="false">
      <c r="A161" s="6" t="s">
        <v>261</v>
      </c>
      <c r="B161" s="6" t="s">
        <v>63</v>
      </c>
      <c r="C161" s="6" t="s">
        <v>3</v>
      </c>
      <c r="D161" s="6" t="s">
        <v>75</v>
      </c>
      <c r="E161" s="6" t="s">
        <v>80</v>
      </c>
      <c r="F161" s="6" t="s">
        <v>81</v>
      </c>
      <c r="G161" s="6" t="s">
        <v>82</v>
      </c>
      <c r="H161" s="6" t="s">
        <v>258</v>
      </c>
      <c r="I161" s="6" t="s">
        <v>261</v>
      </c>
      <c r="J161" s="6" t="s">
        <v>258</v>
      </c>
      <c r="K161" s="6"/>
      <c r="L161" s="6"/>
      <c r="M161" s="6"/>
      <c r="N161" s="6"/>
      <c r="O161" s="6"/>
      <c r="P161" s="6"/>
      <c r="Q161" s="6"/>
      <c r="R161" s="7" t="n">
        <f aca="false">COUNTIF('Label Map'!$D$2:$D$2000,A161)</f>
        <v>0</v>
      </c>
    </row>
    <row r="162" customFormat="false" ht="15" hidden="false" customHeight="false" outlineLevel="0" collapsed="false">
      <c r="A162" s="6" t="s">
        <v>262</v>
      </c>
      <c r="B162" s="6" t="s">
        <v>63</v>
      </c>
      <c r="C162" s="6" t="s">
        <v>3</v>
      </c>
      <c r="D162" s="6" t="s">
        <v>75</v>
      </c>
      <c r="E162" s="6" t="s">
        <v>80</v>
      </c>
      <c r="F162" s="6" t="s">
        <v>81</v>
      </c>
      <c r="G162" s="6" t="s">
        <v>82</v>
      </c>
      <c r="H162" s="6" t="s">
        <v>258</v>
      </c>
      <c r="I162" s="6" t="s">
        <v>262</v>
      </c>
      <c r="J162" s="6" t="s">
        <v>258</v>
      </c>
      <c r="K162" s="6"/>
      <c r="L162" s="6"/>
      <c r="M162" s="6"/>
      <c r="N162" s="6"/>
      <c r="O162" s="6"/>
      <c r="P162" s="6"/>
      <c r="Q162" s="6"/>
      <c r="R162" s="7" t="n">
        <f aca="false">COUNTIF('Label Map'!$D$2:$D$2000,A162)</f>
        <v>1</v>
      </c>
    </row>
    <row r="163" customFormat="false" ht="15" hidden="false" customHeight="false" outlineLevel="0" collapsed="false">
      <c r="A163" s="6" t="s">
        <v>263</v>
      </c>
      <c r="B163" s="6" t="s">
        <v>11</v>
      </c>
      <c r="C163" s="6" t="s">
        <v>3</v>
      </c>
      <c r="D163" s="6" t="s">
        <v>75</v>
      </c>
      <c r="E163" s="6" t="s">
        <v>80</v>
      </c>
      <c r="F163" s="6" t="s">
        <v>81</v>
      </c>
      <c r="G163" s="6" t="s">
        <v>82</v>
      </c>
      <c r="H163" s="6" t="s">
        <v>263</v>
      </c>
      <c r="I163" s="6"/>
      <c r="J163" s="6" t="s">
        <v>81</v>
      </c>
      <c r="K163" s="6"/>
      <c r="L163" s="6"/>
      <c r="M163" s="6"/>
      <c r="N163" s="6"/>
      <c r="O163" s="6"/>
      <c r="P163" s="6"/>
      <c r="Q163" s="6"/>
      <c r="R163" s="7" t="n">
        <f aca="false">COUNTIF('Label Map'!$D$2:$D$2000,A163)</f>
        <v>1</v>
      </c>
    </row>
    <row r="164" customFormat="false" ht="15" hidden="false" customHeight="false" outlineLevel="0" collapsed="false">
      <c r="A164" s="6" t="s">
        <v>264</v>
      </c>
      <c r="B164" s="6" t="s">
        <v>11</v>
      </c>
      <c r="C164" s="6" t="s">
        <v>3</v>
      </c>
      <c r="D164" s="6" t="s">
        <v>75</v>
      </c>
      <c r="E164" s="6" t="s">
        <v>80</v>
      </c>
      <c r="F164" s="6" t="s">
        <v>81</v>
      </c>
      <c r="G164" s="6" t="s">
        <v>82</v>
      </c>
      <c r="H164" s="6" t="s">
        <v>264</v>
      </c>
      <c r="I164" s="6"/>
      <c r="J164" s="6" t="s">
        <v>81</v>
      </c>
      <c r="K164" s="6"/>
      <c r="L164" s="6"/>
      <c r="M164" s="6"/>
      <c r="N164" s="6"/>
      <c r="O164" s="6"/>
      <c r="P164" s="6"/>
      <c r="Q164" s="6"/>
      <c r="R164" s="7" t="n">
        <f aca="false">COUNTIF('Label Map'!$D$2:$D$2000,A164)</f>
        <v>2</v>
      </c>
    </row>
    <row r="165" customFormat="false" ht="15" hidden="false" customHeight="false" outlineLevel="0" collapsed="false">
      <c r="A165" s="6" t="s">
        <v>265</v>
      </c>
      <c r="B165" s="6" t="s">
        <v>63</v>
      </c>
      <c r="C165" s="6" t="s">
        <v>3</v>
      </c>
      <c r="D165" s="6" t="s">
        <v>75</v>
      </c>
      <c r="E165" s="6" t="s">
        <v>80</v>
      </c>
      <c r="F165" s="6" t="s">
        <v>81</v>
      </c>
      <c r="G165" s="6" t="s">
        <v>82</v>
      </c>
      <c r="H165" s="6" t="s">
        <v>264</v>
      </c>
      <c r="I165" s="6" t="s">
        <v>265</v>
      </c>
      <c r="J165" s="6" t="s">
        <v>264</v>
      </c>
      <c r="K165" s="6"/>
      <c r="L165" s="6"/>
      <c r="M165" s="6"/>
      <c r="N165" s="6"/>
      <c r="O165" s="6"/>
      <c r="P165" s="6"/>
      <c r="Q165" s="6"/>
      <c r="R165" s="7" t="n">
        <f aca="false">COUNTIF('Label Map'!$D$2:$D$2000,A165)</f>
        <v>0</v>
      </c>
    </row>
    <row r="166" customFormat="false" ht="15" hidden="false" customHeight="false" outlineLevel="0" collapsed="false">
      <c r="A166" s="6" t="s">
        <v>266</v>
      </c>
      <c r="B166" s="6" t="s">
        <v>11</v>
      </c>
      <c r="C166" s="6" t="s">
        <v>3</v>
      </c>
      <c r="D166" s="6" t="s">
        <v>75</v>
      </c>
      <c r="E166" s="6" t="s">
        <v>80</v>
      </c>
      <c r="F166" s="6" t="s">
        <v>81</v>
      </c>
      <c r="G166" s="6" t="s">
        <v>82</v>
      </c>
      <c r="H166" s="6" t="s">
        <v>266</v>
      </c>
      <c r="I166" s="6"/>
      <c r="J166" s="6" t="s">
        <v>81</v>
      </c>
      <c r="K166" s="6"/>
      <c r="L166" s="6"/>
      <c r="M166" s="6"/>
      <c r="N166" s="6"/>
      <c r="O166" s="6"/>
      <c r="P166" s="6"/>
      <c r="Q166" s="6"/>
      <c r="R166" s="7" t="n">
        <f aca="false">COUNTIF('Label Map'!$D$2:$D$2000,A166)</f>
        <v>1</v>
      </c>
    </row>
    <row r="167" customFormat="false" ht="15" hidden="false" customHeight="false" outlineLevel="0" collapsed="false">
      <c r="A167" s="6" t="s">
        <v>267</v>
      </c>
      <c r="B167" s="6" t="s">
        <v>63</v>
      </c>
      <c r="C167" s="6" t="s">
        <v>3</v>
      </c>
      <c r="D167" s="6" t="s">
        <v>75</v>
      </c>
      <c r="E167" s="6" t="s">
        <v>80</v>
      </c>
      <c r="F167" s="6" t="s">
        <v>81</v>
      </c>
      <c r="G167" s="6" t="s">
        <v>82</v>
      </c>
      <c r="H167" s="6"/>
      <c r="I167" s="6" t="s">
        <v>267</v>
      </c>
      <c r="J167" s="6" t="s">
        <v>81</v>
      </c>
      <c r="K167" s="6"/>
      <c r="L167" s="6"/>
      <c r="M167" s="6"/>
      <c r="N167" s="6"/>
      <c r="O167" s="6"/>
      <c r="P167" s="6"/>
      <c r="Q167" s="6" t="s">
        <v>268</v>
      </c>
      <c r="R167" s="7" t="n">
        <f aca="false">COUNTIF('Label Map'!$D$2:$D$2000,A167)</f>
        <v>1</v>
      </c>
    </row>
    <row r="168" customFormat="false" ht="15" hidden="false" customHeight="false" outlineLevel="0" collapsed="false">
      <c r="A168" s="6" t="s">
        <v>269</v>
      </c>
      <c r="B168" s="6" t="s">
        <v>63</v>
      </c>
      <c r="C168" s="6" t="s">
        <v>3</v>
      </c>
      <c r="D168" s="6" t="s">
        <v>75</v>
      </c>
      <c r="E168" s="6" t="s">
        <v>80</v>
      </c>
      <c r="F168" s="6" t="s">
        <v>81</v>
      </c>
      <c r="G168" s="6" t="s">
        <v>82</v>
      </c>
      <c r="H168" s="6"/>
      <c r="I168" s="6" t="s">
        <v>269</v>
      </c>
      <c r="J168" s="6" t="s">
        <v>81</v>
      </c>
      <c r="K168" s="6"/>
      <c r="L168" s="6"/>
      <c r="M168" s="6"/>
      <c r="N168" s="6"/>
      <c r="O168" s="6"/>
      <c r="P168" s="6"/>
      <c r="Q168" s="6" t="s">
        <v>270</v>
      </c>
      <c r="R168" s="7" t="n">
        <f aca="false">COUNTIF('Label Map'!$D$2:$D$2000,A168)</f>
        <v>1</v>
      </c>
    </row>
    <row r="169" customFormat="false" ht="15" hidden="false" customHeight="false" outlineLevel="0" collapsed="false">
      <c r="A169" s="6" t="s">
        <v>271</v>
      </c>
      <c r="B169" s="6" t="s">
        <v>9</v>
      </c>
      <c r="C169" s="6" t="s">
        <v>3</v>
      </c>
      <c r="D169" s="6" t="s">
        <v>75</v>
      </c>
      <c r="E169" s="6" t="s">
        <v>80</v>
      </c>
      <c r="F169" s="6" t="s">
        <v>271</v>
      </c>
      <c r="G169" s="6" t="s">
        <v>272</v>
      </c>
      <c r="H169" s="6"/>
      <c r="I169" s="6"/>
      <c r="J169" s="6" t="s">
        <v>80</v>
      </c>
      <c r="K169" s="6" t="s">
        <v>83</v>
      </c>
      <c r="L169" s="6" t="s">
        <v>84</v>
      </c>
      <c r="M169" s="6" t="s">
        <v>85</v>
      </c>
      <c r="N169" s="6"/>
      <c r="O169" s="6" t="s">
        <v>86</v>
      </c>
      <c r="P169" s="6" t="s">
        <v>87</v>
      </c>
      <c r="Q169" s="6"/>
      <c r="R169" s="7" t="n">
        <f aca="false">COUNTIF('Label Map'!$D$2:$D$2000,A169)</f>
        <v>7</v>
      </c>
    </row>
    <row r="170" customFormat="false" ht="15" hidden="false" customHeight="false" outlineLevel="0" collapsed="false">
      <c r="A170" s="6" t="s">
        <v>273</v>
      </c>
      <c r="B170" s="6" t="s">
        <v>89</v>
      </c>
      <c r="C170" s="6" t="s">
        <v>3</v>
      </c>
      <c r="D170" s="6" t="s">
        <v>75</v>
      </c>
      <c r="E170" s="6" t="s">
        <v>80</v>
      </c>
      <c r="F170" s="6" t="s">
        <v>271</v>
      </c>
      <c r="G170" s="6" t="s">
        <v>272</v>
      </c>
      <c r="H170" s="6"/>
      <c r="I170" s="6"/>
      <c r="J170" s="6" t="s">
        <v>271</v>
      </c>
      <c r="K170" s="6"/>
      <c r="L170" s="6"/>
      <c r="M170" s="6"/>
      <c r="N170" s="6"/>
      <c r="O170" s="6"/>
      <c r="P170" s="6"/>
      <c r="Q170" s="6"/>
      <c r="R170" s="7" t="n">
        <f aca="false">COUNTIF('Label Map'!$D$2:$D$2000,A170)</f>
        <v>1</v>
      </c>
    </row>
    <row r="171" customFormat="false" ht="15" hidden="false" customHeight="false" outlineLevel="0" collapsed="false">
      <c r="A171" s="6" t="s">
        <v>274</v>
      </c>
      <c r="B171" s="6" t="s">
        <v>89</v>
      </c>
      <c r="C171" s="6" t="s">
        <v>3</v>
      </c>
      <c r="D171" s="6" t="s">
        <v>75</v>
      </c>
      <c r="E171" s="6" t="s">
        <v>80</v>
      </c>
      <c r="F171" s="6" t="s">
        <v>271</v>
      </c>
      <c r="G171" s="6" t="s">
        <v>272</v>
      </c>
      <c r="H171" s="6"/>
      <c r="I171" s="6"/>
      <c r="J171" s="6" t="s">
        <v>271</v>
      </c>
      <c r="K171" s="6"/>
      <c r="L171" s="6"/>
      <c r="M171" s="6"/>
      <c r="N171" s="6"/>
      <c r="O171" s="6"/>
      <c r="P171" s="6"/>
      <c r="Q171" s="6"/>
      <c r="R171" s="7" t="n">
        <f aca="false">COUNTIF('Label Map'!$D$2:$D$2000,A171)</f>
        <v>1</v>
      </c>
    </row>
    <row r="172" customFormat="false" ht="15" hidden="false" customHeight="false" outlineLevel="0" collapsed="false">
      <c r="A172" s="6" t="s">
        <v>275</v>
      </c>
      <c r="B172" s="6" t="s">
        <v>89</v>
      </c>
      <c r="C172" s="6" t="s">
        <v>3</v>
      </c>
      <c r="D172" s="6" t="s">
        <v>75</v>
      </c>
      <c r="E172" s="6" t="s">
        <v>80</v>
      </c>
      <c r="F172" s="6" t="s">
        <v>271</v>
      </c>
      <c r="G172" s="6" t="s">
        <v>272</v>
      </c>
      <c r="H172" s="6"/>
      <c r="I172" s="6"/>
      <c r="J172" s="6" t="s">
        <v>271</v>
      </c>
      <c r="K172" s="6"/>
      <c r="L172" s="6"/>
      <c r="M172" s="6"/>
      <c r="N172" s="6"/>
      <c r="O172" s="6"/>
      <c r="P172" s="6"/>
      <c r="Q172" s="6"/>
      <c r="R172" s="7" t="n">
        <f aca="false">COUNTIF('Label Map'!$D$2:$D$2000,A172)</f>
        <v>1</v>
      </c>
    </row>
    <row r="173" customFormat="false" ht="15" hidden="false" customHeight="false" outlineLevel="0" collapsed="false">
      <c r="A173" s="6" t="s">
        <v>276</v>
      </c>
      <c r="B173" s="6" t="s">
        <v>89</v>
      </c>
      <c r="C173" s="6" t="s">
        <v>3</v>
      </c>
      <c r="D173" s="6" t="s">
        <v>75</v>
      </c>
      <c r="E173" s="6" t="s">
        <v>80</v>
      </c>
      <c r="F173" s="6" t="s">
        <v>271</v>
      </c>
      <c r="G173" s="6" t="s">
        <v>272</v>
      </c>
      <c r="H173" s="6"/>
      <c r="I173" s="6"/>
      <c r="J173" s="6" t="s">
        <v>271</v>
      </c>
      <c r="K173" s="6"/>
      <c r="L173" s="6"/>
      <c r="M173" s="6"/>
      <c r="N173" s="6"/>
      <c r="O173" s="6"/>
      <c r="P173" s="6"/>
      <c r="Q173" s="6"/>
      <c r="R173" s="7" t="n">
        <f aca="false">COUNTIF('Label Map'!$D$2:$D$2000,A173)</f>
        <v>1</v>
      </c>
    </row>
    <row r="174" customFormat="false" ht="15" hidden="false" customHeight="false" outlineLevel="0" collapsed="false">
      <c r="A174" s="6" t="s">
        <v>277</v>
      </c>
      <c r="B174" s="6" t="s">
        <v>89</v>
      </c>
      <c r="C174" s="6" t="s">
        <v>3</v>
      </c>
      <c r="D174" s="6" t="s">
        <v>75</v>
      </c>
      <c r="E174" s="6" t="s">
        <v>80</v>
      </c>
      <c r="F174" s="6" t="s">
        <v>271</v>
      </c>
      <c r="G174" s="6" t="s">
        <v>272</v>
      </c>
      <c r="H174" s="6"/>
      <c r="I174" s="6"/>
      <c r="J174" s="6" t="s">
        <v>271</v>
      </c>
      <c r="K174" s="6"/>
      <c r="L174" s="6"/>
      <c r="M174" s="6"/>
      <c r="N174" s="6"/>
      <c r="O174" s="6"/>
      <c r="P174" s="6"/>
      <c r="Q174" s="6"/>
      <c r="R174" s="7" t="n">
        <f aca="false">COUNTIF('Label Map'!$D$2:$D$2000,A174)</f>
        <v>1</v>
      </c>
    </row>
    <row r="175" customFormat="false" ht="15" hidden="false" customHeight="false" outlineLevel="0" collapsed="false">
      <c r="A175" s="6" t="s">
        <v>278</v>
      </c>
      <c r="B175" s="6" t="s">
        <v>89</v>
      </c>
      <c r="C175" s="6" t="s">
        <v>3</v>
      </c>
      <c r="D175" s="6" t="s">
        <v>75</v>
      </c>
      <c r="E175" s="6" t="s">
        <v>80</v>
      </c>
      <c r="F175" s="6" t="s">
        <v>271</v>
      </c>
      <c r="G175" s="6" t="s">
        <v>272</v>
      </c>
      <c r="H175" s="6"/>
      <c r="I175" s="6"/>
      <c r="J175" s="6" t="s">
        <v>271</v>
      </c>
      <c r="K175" s="6"/>
      <c r="L175" s="6"/>
      <c r="M175" s="6"/>
      <c r="N175" s="6"/>
      <c r="O175" s="6"/>
      <c r="P175" s="6"/>
      <c r="Q175" s="6"/>
      <c r="R175" s="7" t="n">
        <f aca="false">COUNTIF('Label Map'!$D$2:$D$2000,A175)</f>
        <v>1</v>
      </c>
    </row>
    <row r="176" customFormat="false" ht="15" hidden="false" customHeight="false" outlineLevel="0" collapsed="false">
      <c r="A176" s="6" t="s">
        <v>279</v>
      </c>
      <c r="B176" s="6" t="s">
        <v>11</v>
      </c>
      <c r="C176" s="6" t="s">
        <v>3</v>
      </c>
      <c r="D176" s="6" t="s">
        <v>75</v>
      </c>
      <c r="E176" s="6" t="s">
        <v>80</v>
      </c>
      <c r="F176" s="6" t="s">
        <v>271</v>
      </c>
      <c r="G176" s="6" t="s">
        <v>272</v>
      </c>
      <c r="H176" s="6" t="s">
        <v>279</v>
      </c>
      <c r="I176" s="6"/>
      <c r="J176" s="6" t="s">
        <v>271</v>
      </c>
      <c r="K176" s="6"/>
      <c r="L176" s="6"/>
      <c r="M176" s="6"/>
      <c r="N176" s="6"/>
      <c r="O176" s="6"/>
      <c r="P176" s="6"/>
      <c r="Q176" s="6" t="s">
        <v>280</v>
      </c>
      <c r="R176" s="7" t="n">
        <f aca="false">COUNTIF('Label Map'!$D$2:$D$2000,A176)</f>
        <v>1</v>
      </c>
    </row>
    <row r="177" customFormat="false" ht="15" hidden="false" customHeight="false" outlineLevel="0" collapsed="false">
      <c r="A177" s="6" t="s">
        <v>281</v>
      </c>
      <c r="B177" s="6" t="s">
        <v>63</v>
      </c>
      <c r="C177" s="6" t="s">
        <v>3</v>
      </c>
      <c r="D177" s="6" t="s">
        <v>75</v>
      </c>
      <c r="E177" s="6" t="s">
        <v>80</v>
      </c>
      <c r="F177" s="6" t="s">
        <v>271</v>
      </c>
      <c r="G177" s="6" t="s">
        <v>272</v>
      </c>
      <c r="H177" s="6" t="s">
        <v>279</v>
      </c>
      <c r="I177" s="6" t="s">
        <v>281</v>
      </c>
      <c r="J177" s="6" t="s">
        <v>279</v>
      </c>
      <c r="K177" s="6"/>
      <c r="L177" s="6"/>
      <c r="M177" s="6"/>
      <c r="N177" s="6"/>
      <c r="O177" s="6"/>
      <c r="P177" s="6"/>
      <c r="Q177" s="6"/>
      <c r="R177" s="7" t="n">
        <f aca="false">COUNTIF('Label Map'!$D$2:$D$2000,A177)</f>
        <v>0</v>
      </c>
    </row>
    <row r="178" customFormat="false" ht="15" hidden="false" customHeight="false" outlineLevel="0" collapsed="false">
      <c r="A178" s="6" t="s">
        <v>282</v>
      </c>
      <c r="B178" s="6" t="s">
        <v>63</v>
      </c>
      <c r="C178" s="6" t="s">
        <v>3</v>
      </c>
      <c r="D178" s="6" t="s">
        <v>75</v>
      </c>
      <c r="E178" s="6" t="s">
        <v>80</v>
      </c>
      <c r="F178" s="6" t="s">
        <v>271</v>
      </c>
      <c r="G178" s="6" t="s">
        <v>272</v>
      </c>
      <c r="H178" s="6" t="s">
        <v>279</v>
      </c>
      <c r="I178" s="6" t="s">
        <v>282</v>
      </c>
      <c r="J178" s="6" t="s">
        <v>279</v>
      </c>
      <c r="K178" s="6"/>
      <c r="L178" s="6"/>
      <c r="M178" s="6"/>
      <c r="N178" s="6"/>
      <c r="O178" s="6"/>
      <c r="P178" s="6"/>
      <c r="Q178" s="6"/>
      <c r="R178" s="7" t="n">
        <f aca="false">COUNTIF('Label Map'!$D$2:$D$2000,A178)</f>
        <v>0</v>
      </c>
    </row>
    <row r="179" customFormat="false" ht="15" hidden="false" customHeight="false" outlineLevel="0" collapsed="false">
      <c r="A179" s="6" t="s">
        <v>283</v>
      </c>
      <c r="B179" s="6" t="s">
        <v>11</v>
      </c>
      <c r="C179" s="6" t="s">
        <v>3</v>
      </c>
      <c r="D179" s="6" t="s">
        <v>75</v>
      </c>
      <c r="E179" s="6" t="s">
        <v>80</v>
      </c>
      <c r="F179" s="6" t="s">
        <v>271</v>
      </c>
      <c r="G179" s="6" t="s">
        <v>272</v>
      </c>
      <c r="H179" s="6" t="s">
        <v>283</v>
      </c>
      <c r="I179" s="6"/>
      <c r="J179" s="6" t="s">
        <v>271</v>
      </c>
      <c r="K179" s="6"/>
      <c r="L179" s="6"/>
      <c r="M179" s="6"/>
      <c r="N179" s="6"/>
      <c r="O179" s="6"/>
      <c r="P179" s="6"/>
      <c r="Q179" s="6" t="s">
        <v>280</v>
      </c>
      <c r="R179" s="7" t="n">
        <f aca="false">COUNTIF('Label Map'!$D$2:$D$2000,A179)</f>
        <v>1</v>
      </c>
    </row>
    <row r="180" customFormat="false" ht="15" hidden="false" customHeight="false" outlineLevel="0" collapsed="false">
      <c r="A180" s="6" t="s">
        <v>284</v>
      </c>
      <c r="B180" s="6" t="s">
        <v>63</v>
      </c>
      <c r="C180" s="6" t="s">
        <v>3</v>
      </c>
      <c r="D180" s="6" t="s">
        <v>75</v>
      </c>
      <c r="E180" s="6" t="s">
        <v>80</v>
      </c>
      <c r="F180" s="6" t="s">
        <v>271</v>
      </c>
      <c r="G180" s="6" t="s">
        <v>272</v>
      </c>
      <c r="H180" s="6" t="s">
        <v>283</v>
      </c>
      <c r="I180" s="6" t="s">
        <v>284</v>
      </c>
      <c r="J180" s="6" t="s">
        <v>283</v>
      </c>
      <c r="K180" s="6"/>
      <c r="L180" s="6"/>
      <c r="M180" s="6"/>
      <c r="N180" s="6"/>
      <c r="O180" s="6"/>
      <c r="P180" s="6"/>
      <c r="Q180" s="6"/>
      <c r="R180" s="7" t="n">
        <f aca="false">COUNTIF('Label Map'!$D$2:$D$2000,A180)</f>
        <v>0</v>
      </c>
    </row>
    <row r="181" customFormat="false" ht="15" hidden="false" customHeight="false" outlineLevel="0" collapsed="false">
      <c r="A181" s="6" t="s">
        <v>285</v>
      </c>
      <c r="B181" s="6" t="s">
        <v>11</v>
      </c>
      <c r="C181" s="6" t="s">
        <v>3</v>
      </c>
      <c r="D181" s="6" t="s">
        <v>75</v>
      </c>
      <c r="E181" s="6" t="s">
        <v>80</v>
      </c>
      <c r="F181" s="6" t="s">
        <v>271</v>
      </c>
      <c r="G181" s="6" t="s">
        <v>272</v>
      </c>
      <c r="H181" s="6" t="s">
        <v>285</v>
      </c>
      <c r="I181" s="6"/>
      <c r="J181" s="6" t="s">
        <v>271</v>
      </c>
      <c r="K181" s="6"/>
      <c r="L181" s="6"/>
      <c r="M181" s="6"/>
      <c r="N181" s="6"/>
      <c r="O181" s="6"/>
      <c r="P181" s="6"/>
      <c r="Q181" s="6" t="s">
        <v>280</v>
      </c>
      <c r="R181" s="7" t="n">
        <f aca="false">COUNTIF('Label Map'!$D$2:$D$2000,A181)</f>
        <v>1</v>
      </c>
    </row>
    <row r="182" customFormat="false" ht="15" hidden="false" customHeight="false" outlineLevel="0" collapsed="false">
      <c r="A182" s="6" t="s">
        <v>286</v>
      </c>
      <c r="B182" s="6" t="s">
        <v>63</v>
      </c>
      <c r="C182" s="6" t="s">
        <v>3</v>
      </c>
      <c r="D182" s="6" t="s">
        <v>75</v>
      </c>
      <c r="E182" s="6" t="s">
        <v>80</v>
      </c>
      <c r="F182" s="6" t="s">
        <v>271</v>
      </c>
      <c r="G182" s="6" t="s">
        <v>272</v>
      </c>
      <c r="H182" s="6" t="s">
        <v>285</v>
      </c>
      <c r="I182" s="6" t="s">
        <v>286</v>
      </c>
      <c r="J182" s="6" t="s">
        <v>285</v>
      </c>
      <c r="K182" s="6"/>
      <c r="L182" s="6"/>
      <c r="M182" s="6"/>
      <c r="N182" s="6"/>
      <c r="O182" s="6"/>
      <c r="P182" s="6"/>
      <c r="Q182" s="6"/>
      <c r="R182" s="7" t="n">
        <f aca="false">COUNTIF('Label Map'!$D$2:$D$2000,A182)</f>
        <v>0</v>
      </c>
    </row>
    <row r="183" customFormat="false" ht="15" hidden="false" customHeight="false" outlineLevel="0" collapsed="false">
      <c r="A183" s="6" t="s">
        <v>287</v>
      </c>
      <c r="B183" s="6" t="s">
        <v>11</v>
      </c>
      <c r="C183" s="6" t="s">
        <v>3</v>
      </c>
      <c r="D183" s="6" t="s">
        <v>75</v>
      </c>
      <c r="E183" s="6" t="s">
        <v>80</v>
      </c>
      <c r="F183" s="6" t="s">
        <v>271</v>
      </c>
      <c r="G183" s="6" t="s">
        <v>272</v>
      </c>
      <c r="H183" s="6" t="s">
        <v>287</v>
      </c>
      <c r="I183" s="6"/>
      <c r="J183" s="6" t="s">
        <v>271</v>
      </c>
      <c r="K183" s="6"/>
      <c r="L183" s="6"/>
      <c r="M183" s="6"/>
      <c r="N183" s="6"/>
      <c r="O183" s="6"/>
      <c r="P183" s="6"/>
      <c r="Q183" s="6" t="s">
        <v>280</v>
      </c>
      <c r="R183" s="7" t="n">
        <f aca="false">COUNTIF('Label Map'!$D$2:$D$2000,A183)</f>
        <v>1</v>
      </c>
    </row>
    <row r="184" customFormat="false" ht="15" hidden="false" customHeight="false" outlineLevel="0" collapsed="false">
      <c r="A184" s="6" t="s">
        <v>288</v>
      </c>
      <c r="B184" s="6" t="s">
        <v>11</v>
      </c>
      <c r="C184" s="6" t="s">
        <v>3</v>
      </c>
      <c r="D184" s="6" t="s">
        <v>75</v>
      </c>
      <c r="E184" s="6" t="s">
        <v>80</v>
      </c>
      <c r="F184" s="6" t="s">
        <v>271</v>
      </c>
      <c r="G184" s="6" t="s">
        <v>272</v>
      </c>
      <c r="H184" s="6" t="s">
        <v>288</v>
      </c>
      <c r="I184" s="6"/>
      <c r="J184" s="6" t="s">
        <v>271</v>
      </c>
      <c r="K184" s="6"/>
      <c r="L184" s="6"/>
      <c r="M184" s="6"/>
      <c r="N184" s="6"/>
      <c r="O184" s="6"/>
      <c r="P184" s="6"/>
      <c r="Q184" s="6" t="s">
        <v>280</v>
      </c>
      <c r="R184" s="7" t="n">
        <f aca="false">COUNTIF('Label Map'!$D$2:$D$2000,A184)</f>
        <v>1</v>
      </c>
    </row>
    <row r="185" customFormat="false" ht="15" hidden="false" customHeight="false" outlineLevel="0" collapsed="false">
      <c r="A185" s="6" t="s">
        <v>289</v>
      </c>
      <c r="B185" s="6" t="s">
        <v>11</v>
      </c>
      <c r="C185" s="6" t="s">
        <v>3</v>
      </c>
      <c r="D185" s="6" t="s">
        <v>75</v>
      </c>
      <c r="E185" s="6" t="s">
        <v>80</v>
      </c>
      <c r="F185" s="6" t="s">
        <v>271</v>
      </c>
      <c r="G185" s="6" t="s">
        <v>272</v>
      </c>
      <c r="H185" s="6" t="s">
        <v>289</v>
      </c>
      <c r="I185" s="6"/>
      <c r="J185" s="6" t="s">
        <v>271</v>
      </c>
      <c r="K185" s="6"/>
      <c r="L185" s="6"/>
      <c r="M185" s="6"/>
      <c r="N185" s="6"/>
      <c r="O185" s="6"/>
      <c r="P185" s="6"/>
      <c r="Q185" s="6" t="s">
        <v>290</v>
      </c>
      <c r="R185" s="7" t="n">
        <f aca="false">COUNTIF('Label Map'!$D$2:$D$2000,A185)</f>
        <v>1</v>
      </c>
    </row>
    <row r="186" customFormat="false" ht="15" hidden="false" customHeight="false" outlineLevel="0" collapsed="false">
      <c r="A186" s="6" t="s">
        <v>291</v>
      </c>
      <c r="B186" s="6" t="s">
        <v>11</v>
      </c>
      <c r="C186" s="6" t="s">
        <v>3</v>
      </c>
      <c r="D186" s="6" t="s">
        <v>75</v>
      </c>
      <c r="E186" s="6" t="s">
        <v>80</v>
      </c>
      <c r="F186" s="6" t="s">
        <v>271</v>
      </c>
      <c r="G186" s="6" t="s">
        <v>272</v>
      </c>
      <c r="H186" s="6" t="s">
        <v>291</v>
      </c>
      <c r="I186" s="6"/>
      <c r="J186" s="6" t="s">
        <v>271</v>
      </c>
      <c r="K186" s="6"/>
      <c r="L186" s="6"/>
      <c r="M186" s="6"/>
      <c r="N186" s="6"/>
      <c r="O186" s="6"/>
      <c r="P186" s="6"/>
      <c r="Q186" s="6" t="s">
        <v>280</v>
      </c>
      <c r="R186" s="7" t="n">
        <f aca="false">COUNTIF('Label Map'!$D$2:$D$2000,A186)</f>
        <v>1</v>
      </c>
    </row>
    <row r="187" customFormat="false" ht="15" hidden="false" customHeight="false" outlineLevel="0" collapsed="false">
      <c r="A187" s="6" t="s">
        <v>292</v>
      </c>
      <c r="B187" s="6" t="s">
        <v>11</v>
      </c>
      <c r="C187" s="6" t="s">
        <v>3</v>
      </c>
      <c r="D187" s="6" t="s">
        <v>75</v>
      </c>
      <c r="E187" s="6" t="s">
        <v>80</v>
      </c>
      <c r="F187" s="6" t="s">
        <v>271</v>
      </c>
      <c r="G187" s="6" t="s">
        <v>272</v>
      </c>
      <c r="H187" s="6" t="s">
        <v>292</v>
      </c>
      <c r="I187" s="6"/>
      <c r="J187" s="6" t="s">
        <v>271</v>
      </c>
      <c r="K187" s="6"/>
      <c r="L187" s="6"/>
      <c r="M187" s="6"/>
      <c r="N187" s="6"/>
      <c r="O187" s="6"/>
      <c r="P187" s="6"/>
      <c r="Q187" s="6" t="s">
        <v>290</v>
      </c>
      <c r="R187" s="7" t="n">
        <f aca="false">COUNTIF('Label Map'!$D$2:$D$2000,A187)</f>
        <v>1</v>
      </c>
    </row>
    <row r="188" customFormat="false" ht="15" hidden="false" customHeight="false" outlineLevel="0" collapsed="false">
      <c r="A188" s="6" t="s">
        <v>293</v>
      </c>
      <c r="B188" s="6" t="s">
        <v>11</v>
      </c>
      <c r="C188" s="6" t="s">
        <v>3</v>
      </c>
      <c r="D188" s="6" t="s">
        <v>75</v>
      </c>
      <c r="E188" s="6" t="s">
        <v>80</v>
      </c>
      <c r="F188" s="6" t="s">
        <v>271</v>
      </c>
      <c r="G188" s="6" t="s">
        <v>272</v>
      </c>
      <c r="H188" s="6" t="s">
        <v>293</v>
      </c>
      <c r="I188" s="6"/>
      <c r="J188" s="6" t="s">
        <v>271</v>
      </c>
      <c r="K188" s="6"/>
      <c r="L188" s="6"/>
      <c r="M188" s="6"/>
      <c r="N188" s="6"/>
      <c r="O188" s="6"/>
      <c r="P188" s="6"/>
      <c r="Q188" s="6" t="s">
        <v>280</v>
      </c>
      <c r="R188" s="7" t="n">
        <f aca="false">COUNTIF('Label Map'!$D$2:$D$2000,A188)</f>
        <v>1</v>
      </c>
    </row>
    <row r="189" customFormat="false" ht="15" hidden="false" customHeight="false" outlineLevel="0" collapsed="false">
      <c r="A189" s="6" t="s">
        <v>294</v>
      </c>
      <c r="B189" s="6" t="s">
        <v>63</v>
      </c>
      <c r="C189" s="6" t="s">
        <v>3</v>
      </c>
      <c r="D189" s="6" t="s">
        <v>75</v>
      </c>
      <c r="E189" s="6" t="s">
        <v>80</v>
      </c>
      <c r="F189" s="6" t="s">
        <v>271</v>
      </c>
      <c r="G189" s="6" t="s">
        <v>272</v>
      </c>
      <c r="H189" s="6" t="s">
        <v>293</v>
      </c>
      <c r="I189" s="6" t="s">
        <v>294</v>
      </c>
      <c r="J189" s="6" t="s">
        <v>293</v>
      </c>
      <c r="K189" s="6"/>
      <c r="L189" s="6"/>
      <c r="M189" s="6"/>
      <c r="N189" s="6"/>
      <c r="O189" s="6"/>
      <c r="P189" s="6"/>
      <c r="Q189" s="6"/>
      <c r="R189" s="7" t="n">
        <f aca="false">COUNTIF('Label Map'!$D$2:$D$2000,A189)</f>
        <v>2</v>
      </c>
    </row>
    <row r="190" customFormat="false" ht="15" hidden="false" customHeight="false" outlineLevel="0" collapsed="false">
      <c r="A190" s="6" t="s">
        <v>295</v>
      </c>
      <c r="B190" s="6" t="s">
        <v>63</v>
      </c>
      <c r="C190" s="6" t="s">
        <v>3</v>
      </c>
      <c r="D190" s="6" t="s">
        <v>75</v>
      </c>
      <c r="E190" s="6" t="s">
        <v>80</v>
      </c>
      <c r="F190" s="6" t="s">
        <v>271</v>
      </c>
      <c r="G190" s="6" t="s">
        <v>272</v>
      </c>
      <c r="H190" s="6" t="s">
        <v>293</v>
      </c>
      <c r="I190" s="6" t="s">
        <v>295</v>
      </c>
      <c r="J190" s="6" t="s">
        <v>293</v>
      </c>
      <c r="K190" s="6"/>
      <c r="L190" s="6"/>
      <c r="M190" s="6"/>
      <c r="N190" s="6"/>
      <c r="O190" s="6"/>
      <c r="P190" s="6"/>
      <c r="Q190" s="6"/>
      <c r="R190" s="7" t="n">
        <f aca="false">COUNTIF('Label Map'!$D$2:$D$2000,A190)</f>
        <v>0</v>
      </c>
    </row>
    <row r="191" customFormat="false" ht="15" hidden="false" customHeight="false" outlineLevel="0" collapsed="false">
      <c r="A191" s="6" t="s">
        <v>296</v>
      </c>
      <c r="B191" s="6" t="s">
        <v>63</v>
      </c>
      <c r="C191" s="6" t="s">
        <v>3</v>
      </c>
      <c r="D191" s="6" t="s">
        <v>75</v>
      </c>
      <c r="E191" s="6" t="s">
        <v>80</v>
      </c>
      <c r="F191" s="6" t="s">
        <v>271</v>
      </c>
      <c r="G191" s="6" t="s">
        <v>272</v>
      </c>
      <c r="H191" s="6" t="s">
        <v>293</v>
      </c>
      <c r="I191" s="6" t="s">
        <v>296</v>
      </c>
      <c r="J191" s="6" t="s">
        <v>293</v>
      </c>
      <c r="K191" s="6"/>
      <c r="L191" s="6"/>
      <c r="M191" s="6"/>
      <c r="N191" s="6"/>
      <c r="O191" s="6"/>
      <c r="P191" s="6"/>
      <c r="Q191" s="6"/>
      <c r="R191" s="7" t="n">
        <f aca="false">COUNTIF('Label Map'!$D$2:$D$2000,A191)</f>
        <v>0</v>
      </c>
    </row>
    <row r="192" customFormat="false" ht="15" hidden="false" customHeight="false" outlineLevel="0" collapsed="false">
      <c r="A192" s="6" t="s">
        <v>297</v>
      </c>
      <c r="B192" s="6" t="s">
        <v>11</v>
      </c>
      <c r="C192" s="6" t="s">
        <v>3</v>
      </c>
      <c r="D192" s="6" t="s">
        <v>75</v>
      </c>
      <c r="E192" s="6" t="s">
        <v>80</v>
      </c>
      <c r="F192" s="6" t="s">
        <v>271</v>
      </c>
      <c r="G192" s="6" t="s">
        <v>272</v>
      </c>
      <c r="H192" s="6" t="s">
        <v>297</v>
      </c>
      <c r="I192" s="6"/>
      <c r="J192" s="6" t="s">
        <v>271</v>
      </c>
      <c r="K192" s="6"/>
      <c r="L192" s="6"/>
      <c r="M192" s="6"/>
      <c r="N192" s="6"/>
      <c r="O192" s="6"/>
      <c r="P192" s="6"/>
      <c r="Q192" s="6" t="s">
        <v>280</v>
      </c>
      <c r="R192" s="7" t="n">
        <f aca="false">COUNTIF('Label Map'!$D$2:$D$2000,A192)</f>
        <v>1</v>
      </c>
    </row>
    <row r="193" customFormat="false" ht="15" hidden="false" customHeight="false" outlineLevel="0" collapsed="false">
      <c r="A193" s="6" t="s">
        <v>298</v>
      </c>
      <c r="B193" s="6" t="s">
        <v>11</v>
      </c>
      <c r="C193" s="6" t="s">
        <v>3</v>
      </c>
      <c r="D193" s="6" t="s">
        <v>75</v>
      </c>
      <c r="E193" s="6" t="s">
        <v>80</v>
      </c>
      <c r="F193" s="6" t="s">
        <v>271</v>
      </c>
      <c r="G193" s="6" t="s">
        <v>272</v>
      </c>
      <c r="H193" s="6" t="s">
        <v>298</v>
      </c>
      <c r="I193" s="6"/>
      <c r="J193" s="6" t="s">
        <v>271</v>
      </c>
      <c r="K193" s="6"/>
      <c r="L193" s="6"/>
      <c r="M193" s="6"/>
      <c r="N193" s="6"/>
      <c r="O193" s="6"/>
      <c r="P193" s="6"/>
      <c r="Q193" s="6" t="s">
        <v>280</v>
      </c>
      <c r="R193" s="7" t="n">
        <f aca="false">COUNTIF('Label Map'!$D$2:$D$2000,A193)</f>
        <v>2</v>
      </c>
    </row>
    <row r="194" customFormat="false" ht="15" hidden="false" customHeight="false" outlineLevel="0" collapsed="false">
      <c r="A194" s="6" t="s">
        <v>299</v>
      </c>
      <c r="B194" s="6" t="s">
        <v>63</v>
      </c>
      <c r="C194" s="6" t="s">
        <v>3</v>
      </c>
      <c r="D194" s="6" t="s">
        <v>75</v>
      </c>
      <c r="E194" s="6" t="s">
        <v>80</v>
      </c>
      <c r="F194" s="6" t="s">
        <v>271</v>
      </c>
      <c r="G194" s="6" t="s">
        <v>272</v>
      </c>
      <c r="H194" s="6" t="s">
        <v>298</v>
      </c>
      <c r="I194" s="6" t="s">
        <v>299</v>
      </c>
      <c r="J194" s="6" t="s">
        <v>298</v>
      </c>
      <c r="K194" s="6"/>
      <c r="L194" s="6"/>
      <c r="M194" s="6"/>
      <c r="N194" s="6"/>
      <c r="O194" s="6"/>
      <c r="P194" s="6"/>
      <c r="Q194" s="6"/>
      <c r="R194" s="7" t="n">
        <f aca="false">COUNTIF('Label Map'!$D$2:$D$2000,A194)</f>
        <v>1</v>
      </c>
    </row>
    <row r="195" customFormat="false" ht="15" hidden="false" customHeight="false" outlineLevel="0" collapsed="false">
      <c r="A195" s="6" t="s">
        <v>300</v>
      </c>
      <c r="B195" s="6" t="s">
        <v>63</v>
      </c>
      <c r="C195" s="6" t="s">
        <v>3</v>
      </c>
      <c r="D195" s="6" t="s">
        <v>75</v>
      </c>
      <c r="E195" s="6" t="s">
        <v>80</v>
      </c>
      <c r="F195" s="6" t="s">
        <v>271</v>
      </c>
      <c r="G195" s="6" t="s">
        <v>272</v>
      </c>
      <c r="H195" s="6" t="s">
        <v>298</v>
      </c>
      <c r="I195" s="6" t="s">
        <v>300</v>
      </c>
      <c r="J195" s="6" t="s">
        <v>298</v>
      </c>
      <c r="K195" s="6"/>
      <c r="L195" s="6"/>
      <c r="M195" s="6"/>
      <c r="N195" s="6"/>
      <c r="O195" s="6"/>
      <c r="P195" s="6"/>
      <c r="Q195" s="6"/>
      <c r="R195" s="7" t="n">
        <f aca="false">COUNTIF('Label Map'!$D$2:$D$2000,A195)</f>
        <v>0</v>
      </c>
    </row>
    <row r="196" customFormat="false" ht="15" hidden="false" customHeight="false" outlineLevel="0" collapsed="false">
      <c r="A196" s="6" t="s">
        <v>301</v>
      </c>
      <c r="B196" s="6" t="s">
        <v>11</v>
      </c>
      <c r="C196" s="6" t="s">
        <v>3</v>
      </c>
      <c r="D196" s="6" t="s">
        <v>75</v>
      </c>
      <c r="E196" s="6" t="s">
        <v>80</v>
      </c>
      <c r="F196" s="6" t="s">
        <v>271</v>
      </c>
      <c r="G196" s="6" t="s">
        <v>272</v>
      </c>
      <c r="H196" s="6" t="s">
        <v>301</v>
      </c>
      <c r="I196" s="6"/>
      <c r="J196" s="6" t="s">
        <v>271</v>
      </c>
      <c r="K196" s="6"/>
      <c r="L196" s="6"/>
      <c r="M196" s="6"/>
      <c r="N196" s="6"/>
      <c r="O196" s="6"/>
      <c r="P196" s="6"/>
      <c r="Q196" s="6" t="s">
        <v>280</v>
      </c>
      <c r="R196" s="7" t="n">
        <f aca="false">COUNTIF('Label Map'!$D$2:$D$2000,A196)</f>
        <v>1</v>
      </c>
    </row>
    <row r="197" customFormat="false" ht="15" hidden="false" customHeight="false" outlineLevel="0" collapsed="false">
      <c r="A197" s="6" t="s">
        <v>302</v>
      </c>
      <c r="B197" s="6" t="s">
        <v>11</v>
      </c>
      <c r="C197" s="6" t="s">
        <v>3</v>
      </c>
      <c r="D197" s="6" t="s">
        <v>75</v>
      </c>
      <c r="E197" s="6" t="s">
        <v>80</v>
      </c>
      <c r="F197" s="6" t="s">
        <v>271</v>
      </c>
      <c r="G197" s="6" t="s">
        <v>272</v>
      </c>
      <c r="H197" s="6" t="s">
        <v>302</v>
      </c>
      <c r="I197" s="6"/>
      <c r="J197" s="6" t="s">
        <v>271</v>
      </c>
      <c r="K197" s="6"/>
      <c r="L197" s="6"/>
      <c r="M197" s="6"/>
      <c r="N197" s="6"/>
      <c r="O197" s="6"/>
      <c r="P197" s="6"/>
      <c r="Q197" s="6" t="s">
        <v>290</v>
      </c>
      <c r="R197" s="7" t="n">
        <f aca="false">COUNTIF('Label Map'!$D$2:$D$2000,A197)</f>
        <v>1</v>
      </c>
    </row>
    <row r="198" customFormat="false" ht="15" hidden="false" customHeight="false" outlineLevel="0" collapsed="false">
      <c r="A198" s="6" t="s">
        <v>303</v>
      </c>
      <c r="B198" s="6" t="s">
        <v>9</v>
      </c>
      <c r="C198" s="6" t="s">
        <v>3</v>
      </c>
      <c r="D198" s="6" t="s">
        <v>75</v>
      </c>
      <c r="E198" s="6" t="s">
        <v>80</v>
      </c>
      <c r="F198" s="6" t="s">
        <v>303</v>
      </c>
      <c r="G198" s="6" t="s">
        <v>304</v>
      </c>
      <c r="H198" s="6"/>
      <c r="I198" s="6"/>
      <c r="J198" s="6" t="s">
        <v>80</v>
      </c>
      <c r="K198" s="6"/>
      <c r="L198" s="6" t="s">
        <v>84</v>
      </c>
      <c r="M198" s="6" t="s">
        <v>85</v>
      </c>
      <c r="N198" s="6"/>
      <c r="O198" s="6" t="s">
        <v>86</v>
      </c>
      <c r="P198" s="6" t="s">
        <v>87</v>
      </c>
      <c r="Q198" s="6" t="s">
        <v>305</v>
      </c>
      <c r="R198" s="7" t="n">
        <f aca="false">COUNTIF('Label Map'!$D$2:$D$2000,A198)</f>
        <v>2</v>
      </c>
    </row>
    <row r="199" customFormat="false" ht="15" hidden="false" customHeight="false" outlineLevel="0" collapsed="false">
      <c r="A199" s="6" t="s">
        <v>306</v>
      </c>
      <c r="B199" s="6" t="s">
        <v>9</v>
      </c>
      <c r="C199" s="6" t="s">
        <v>3</v>
      </c>
      <c r="D199" s="6" t="s">
        <v>75</v>
      </c>
      <c r="E199" s="6" t="s">
        <v>80</v>
      </c>
      <c r="F199" s="6" t="s">
        <v>306</v>
      </c>
      <c r="G199" s="6" t="s">
        <v>307</v>
      </c>
      <c r="H199" s="6"/>
      <c r="I199" s="6"/>
      <c r="J199" s="6" t="s">
        <v>80</v>
      </c>
      <c r="K199" s="6"/>
      <c r="L199" s="6" t="s">
        <v>84</v>
      </c>
      <c r="M199" s="6" t="s">
        <v>85</v>
      </c>
      <c r="N199" s="6"/>
      <c r="O199" s="6" t="s">
        <v>308</v>
      </c>
      <c r="P199" s="6" t="s">
        <v>87</v>
      </c>
      <c r="Q199" s="6"/>
      <c r="R199" s="7" t="n">
        <f aca="false">COUNTIF('Label Map'!$D$2:$D$2000,A199)</f>
        <v>1</v>
      </c>
    </row>
    <row r="200" customFormat="false" ht="15" hidden="false" customHeight="false" outlineLevel="0" collapsed="false">
      <c r="A200" s="6" t="s">
        <v>309</v>
      </c>
      <c r="B200" s="6" t="s">
        <v>9</v>
      </c>
      <c r="C200" s="6" t="s">
        <v>3</v>
      </c>
      <c r="D200" s="6" t="s">
        <v>75</v>
      </c>
      <c r="E200" s="6" t="s">
        <v>80</v>
      </c>
      <c r="F200" s="6" t="s">
        <v>309</v>
      </c>
      <c r="G200" s="6" t="s">
        <v>310</v>
      </c>
      <c r="H200" s="6"/>
      <c r="I200" s="6"/>
      <c r="J200" s="6" t="s">
        <v>80</v>
      </c>
      <c r="K200" s="6"/>
      <c r="L200" s="6" t="s">
        <v>84</v>
      </c>
      <c r="M200" s="6" t="s">
        <v>85</v>
      </c>
      <c r="N200" s="6"/>
      <c r="O200" s="6" t="s">
        <v>311</v>
      </c>
      <c r="P200" s="6" t="s">
        <v>311</v>
      </c>
      <c r="Q200" s="6"/>
      <c r="R200" s="7" t="n">
        <f aca="false">COUNTIF('Label Map'!$D$2:$D$2000,A200)</f>
        <v>1</v>
      </c>
    </row>
    <row r="201" customFormat="false" ht="15" hidden="false" customHeight="false" outlineLevel="0" collapsed="false">
      <c r="A201" s="6" t="s">
        <v>312</v>
      </c>
      <c r="B201" s="6" t="s">
        <v>7</v>
      </c>
      <c r="C201" s="6" t="s">
        <v>3</v>
      </c>
      <c r="D201" s="6" t="s">
        <v>75</v>
      </c>
      <c r="E201" s="6" t="s">
        <v>312</v>
      </c>
      <c r="F201" s="6"/>
      <c r="G201" s="6"/>
      <c r="H201" s="6"/>
      <c r="I201" s="6"/>
      <c r="J201" s="6" t="s">
        <v>74</v>
      </c>
      <c r="K201" s="6"/>
      <c r="L201" s="6"/>
      <c r="M201" s="6"/>
      <c r="N201" s="6"/>
      <c r="O201" s="6"/>
      <c r="P201" s="6"/>
      <c r="Q201" s="6"/>
      <c r="R201" s="7" t="n">
        <f aca="false">COUNTIF('Label Map'!$D$2:$D$2000,A201)</f>
        <v>25</v>
      </c>
    </row>
    <row r="202" customFormat="false" ht="15" hidden="false" customHeight="false" outlineLevel="0" collapsed="false">
      <c r="A202" s="6" t="s">
        <v>313</v>
      </c>
      <c r="B202" s="6" t="s">
        <v>314</v>
      </c>
      <c r="C202" s="6" t="s">
        <v>3</v>
      </c>
      <c r="D202" s="6" t="s">
        <v>75</v>
      </c>
      <c r="E202" s="6" t="s">
        <v>312</v>
      </c>
      <c r="F202" s="6"/>
      <c r="G202" s="6"/>
      <c r="H202" s="6"/>
      <c r="I202" s="6"/>
      <c r="J202" s="6" t="s">
        <v>315</v>
      </c>
      <c r="K202" s="6"/>
      <c r="L202" s="6"/>
      <c r="M202" s="6"/>
      <c r="N202" s="6"/>
      <c r="O202" s="6"/>
      <c r="P202" s="6"/>
      <c r="Q202" s="6" t="s">
        <v>316</v>
      </c>
      <c r="R202" s="7" t="n">
        <f aca="false">COUNTIF('Label Map'!$D$2:$D$2000,A202)</f>
        <v>2</v>
      </c>
    </row>
    <row r="203" customFormat="false" ht="15" hidden="false" customHeight="false" outlineLevel="0" collapsed="false">
      <c r="A203" s="6" t="s">
        <v>317</v>
      </c>
      <c r="B203" s="6" t="s">
        <v>314</v>
      </c>
      <c r="C203" s="6" t="s">
        <v>3</v>
      </c>
      <c r="D203" s="6" t="s">
        <v>75</v>
      </c>
      <c r="E203" s="6" t="s">
        <v>312</v>
      </c>
      <c r="F203" s="6"/>
      <c r="G203" s="6"/>
      <c r="H203" s="6"/>
      <c r="I203" s="6"/>
      <c r="J203" s="6" t="s">
        <v>312</v>
      </c>
      <c r="K203" s="6"/>
      <c r="L203" s="6"/>
      <c r="M203" s="6"/>
      <c r="N203" s="6"/>
      <c r="O203" s="6"/>
      <c r="P203" s="6"/>
      <c r="Q203" s="6" t="s">
        <v>318</v>
      </c>
      <c r="R203" s="7" t="n">
        <f aca="false">COUNTIF('Label Map'!$D$2:$D$2000,A203)</f>
        <v>3</v>
      </c>
    </row>
    <row r="204" customFormat="false" ht="15" hidden="false" customHeight="false" outlineLevel="0" collapsed="false">
      <c r="A204" s="6" t="s">
        <v>319</v>
      </c>
      <c r="B204" s="6" t="s">
        <v>314</v>
      </c>
      <c r="C204" s="6" t="s">
        <v>3</v>
      </c>
      <c r="D204" s="6" t="s">
        <v>75</v>
      </c>
      <c r="E204" s="6" t="s">
        <v>312</v>
      </c>
      <c r="F204" s="6"/>
      <c r="G204" s="6"/>
      <c r="H204" s="6"/>
      <c r="I204" s="6"/>
      <c r="J204" s="6" t="s">
        <v>312</v>
      </c>
      <c r="K204" s="6"/>
      <c r="L204" s="6"/>
      <c r="M204" s="6"/>
      <c r="N204" s="6"/>
      <c r="O204" s="6"/>
      <c r="P204" s="6"/>
      <c r="Q204" s="6"/>
      <c r="R204" s="7" t="n">
        <f aca="false">COUNTIF('Label Map'!$D$2:$D$2000,A204)</f>
        <v>1</v>
      </c>
    </row>
    <row r="205" customFormat="false" ht="15" hidden="false" customHeight="false" outlineLevel="0" collapsed="false">
      <c r="A205" s="6" t="s">
        <v>320</v>
      </c>
      <c r="B205" s="6" t="s">
        <v>314</v>
      </c>
      <c r="C205" s="6" t="s">
        <v>3</v>
      </c>
      <c r="D205" s="6" t="s">
        <v>75</v>
      </c>
      <c r="E205" s="6" t="s">
        <v>312</v>
      </c>
      <c r="F205" s="6"/>
      <c r="G205" s="6"/>
      <c r="H205" s="6"/>
      <c r="I205" s="6"/>
      <c r="J205" s="6" t="s">
        <v>312</v>
      </c>
      <c r="K205" s="6"/>
      <c r="L205" s="6"/>
      <c r="M205" s="6"/>
      <c r="N205" s="6"/>
      <c r="O205" s="6"/>
      <c r="P205" s="6"/>
      <c r="Q205" s="6" t="s">
        <v>321</v>
      </c>
      <c r="R205" s="7" t="n">
        <f aca="false">COUNTIF('Label Map'!$D$2:$D$2000,A205)</f>
        <v>2</v>
      </c>
    </row>
    <row r="206" customFormat="false" ht="15" hidden="false" customHeight="false" outlineLevel="0" collapsed="false">
      <c r="A206" s="6" t="s">
        <v>322</v>
      </c>
      <c r="B206" s="6" t="s">
        <v>314</v>
      </c>
      <c r="C206" s="6" t="s">
        <v>3</v>
      </c>
      <c r="D206" s="6" t="s">
        <v>75</v>
      </c>
      <c r="E206" s="6" t="s">
        <v>312</v>
      </c>
      <c r="F206" s="6"/>
      <c r="G206" s="6"/>
      <c r="H206" s="6"/>
      <c r="I206" s="6"/>
      <c r="J206" s="6" t="s">
        <v>315</v>
      </c>
      <c r="K206" s="6"/>
      <c r="L206" s="6"/>
      <c r="M206" s="6"/>
      <c r="N206" s="6"/>
      <c r="O206" s="6"/>
      <c r="P206" s="6"/>
      <c r="Q206" s="6" t="s">
        <v>323</v>
      </c>
      <c r="R206" s="7" t="n">
        <f aca="false">COUNTIF('Label Map'!$D$2:$D$2000,A206)</f>
        <v>1</v>
      </c>
    </row>
    <row r="207" customFormat="false" ht="15" hidden="false" customHeight="false" outlineLevel="0" collapsed="false">
      <c r="A207" s="6" t="s">
        <v>324</v>
      </c>
      <c r="B207" s="6" t="s">
        <v>314</v>
      </c>
      <c r="C207" s="6" t="s">
        <v>3</v>
      </c>
      <c r="D207" s="6" t="s">
        <v>75</v>
      </c>
      <c r="E207" s="6" t="s">
        <v>312</v>
      </c>
      <c r="F207" s="6"/>
      <c r="G207" s="6"/>
      <c r="H207" s="6"/>
      <c r="I207" s="6"/>
      <c r="J207" s="6" t="s">
        <v>312</v>
      </c>
      <c r="K207" s="6"/>
      <c r="L207" s="6"/>
      <c r="M207" s="6"/>
      <c r="N207" s="6"/>
      <c r="O207" s="6"/>
      <c r="P207" s="6"/>
      <c r="Q207" s="6" t="s">
        <v>325</v>
      </c>
      <c r="R207" s="7" t="n">
        <f aca="false">COUNTIF('Label Map'!$D$2:$D$2000,A207)</f>
        <v>3</v>
      </c>
    </row>
    <row r="208" customFormat="false" ht="15" hidden="false" customHeight="false" outlineLevel="0" collapsed="false">
      <c r="A208" s="6" t="s">
        <v>326</v>
      </c>
      <c r="B208" s="6" t="s">
        <v>314</v>
      </c>
      <c r="C208" s="6" t="s">
        <v>3</v>
      </c>
      <c r="D208" s="6" t="s">
        <v>75</v>
      </c>
      <c r="E208" s="6" t="s">
        <v>312</v>
      </c>
      <c r="F208" s="6"/>
      <c r="G208" s="6"/>
      <c r="H208" s="6"/>
      <c r="I208" s="6"/>
      <c r="J208" s="6" t="s">
        <v>312</v>
      </c>
      <c r="K208" s="6"/>
      <c r="L208" s="6"/>
      <c r="M208" s="6"/>
      <c r="N208" s="6"/>
      <c r="O208" s="6"/>
      <c r="P208" s="6"/>
      <c r="Q208" s="6" t="s">
        <v>327</v>
      </c>
      <c r="R208" s="7" t="n">
        <f aca="false">COUNTIF('Label Map'!$D$2:$D$2000,A208)</f>
        <v>1</v>
      </c>
    </row>
    <row r="209" customFormat="false" ht="15" hidden="false" customHeight="false" outlineLevel="0" collapsed="false">
      <c r="A209" s="6" t="s">
        <v>328</v>
      </c>
      <c r="B209" s="6" t="s">
        <v>314</v>
      </c>
      <c r="C209" s="6" t="s">
        <v>3</v>
      </c>
      <c r="D209" s="6" t="s">
        <v>75</v>
      </c>
      <c r="E209" s="6" t="s">
        <v>312</v>
      </c>
      <c r="F209" s="6"/>
      <c r="G209" s="6"/>
      <c r="H209" s="6"/>
      <c r="I209" s="6"/>
      <c r="J209" s="6" t="s">
        <v>312</v>
      </c>
      <c r="K209" s="6"/>
      <c r="L209" s="6"/>
      <c r="M209" s="6"/>
      <c r="N209" s="6"/>
      <c r="O209" s="6"/>
      <c r="P209" s="6"/>
      <c r="Q209" s="6" t="s">
        <v>329</v>
      </c>
      <c r="R209" s="7" t="n">
        <f aca="false">COUNTIF('Label Map'!$D$2:$D$2000,A209)</f>
        <v>3</v>
      </c>
    </row>
    <row r="210" customFormat="false" ht="15" hidden="false" customHeight="false" outlineLevel="0" collapsed="false">
      <c r="A210" s="6" t="s">
        <v>315</v>
      </c>
      <c r="B210" s="6" t="s">
        <v>314</v>
      </c>
      <c r="C210" s="6" t="s">
        <v>3</v>
      </c>
      <c r="D210" s="6" t="s">
        <v>75</v>
      </c>
      <c r="E210" s="6" t="s">
        <v>312</v>
      </c>
      <c r="F210" s="6"/>
      <c r="G210" s="6"/>
      <c r="H210" s="6"/>
      <c r="I210" s="6"/>
      <c r="J210" s="6" t="s">
        <v>312</v>
      </c>
      <c r="K210" s="6"/>
      <c r="L210" s="6"/>
      <c r="M210" s="6"/>
      <c r="N210" s="6"/>
      <c r="O210" s="6"/>
      <c r="P210" s="6"/>
      <c r="Q210" s="6"/>
      <c r="R210" s="7" t="n">
        <f aca="false">COUNTIF('Label Map'!$D$2:$D$2000,A210)</f>
        <v>1</v>
      </c>
    </row>
    <row r="211" customFormat="false" ht="15" hidden="false" customHeight="false" outlineLevel="0" collapsed="false">
      <c r="A211" s="6" t="s">
        <v>330</v>
      </c>
      <c r="B211" s="6" t="s">
        <v>314</v>
      </c>
      <c r="C211" s="6" t="s">
        <v>3</v>
      </c>
      <c r="D211" s="6" t="s">
        <v>75</v>
      </c>
      <c r="E211" s="6" t="s">
        <v>312</v>
      </c>
      <c r="F211" s="6"/>
      <c r="G211" s="6"/>
      <c r="H211" s="6"/>
      <c r="I211" s="6"/>
      <c r="J211" s="6" t="s">
        <v>315</v>
      </c>
      <c r="K211" s="6"/>
      <c r="L211" s="6"/>
      <c r="M211" s="6"/>
      <c r="N211" s="6"/>
      <c r="O211" s="6"/>
      <c r="P211" s="6"/>
      <c r="Q211" s="6" t="s">
        <v>331</v>
      </c>
      <c r="R211" s="7" t="n">
        <f aca="false">COUNTIF('Label Map'!$D$2:$D$2000,A211)</f>
        <v>1</v>
      </c>
    </row>
    <row r="212" customFormat="false" ht="15" hidden="false" customHeight="false" outlineLevel="0" collapsed="false">
      <c r="A212" s="6" t="s">
        <v>332</v>
      </c>
      <c r="B212" s="6" t="s">
        <v>9</v>
      </c>
      <c r="C212" s="6" t="s">
        <v>3</v>
      </c>
      <c r="D212" s="6" t="s">
        <v>75</v>
      </c>
      <c r="E212" s="6" t="s">
        <v>312</v>
      </c>
      <c r="F212" s="6" t="s">
        <v>332</v>
      </c>
      <c r="G212" s="6" t="s">
        <v>333</v>
      </c>
      <c r="H212" s="6"/>
      <c r="I212" s="6"/>
      <c r="J212" s="6" t="s">
        <v>312</v>
      </c>
      <c r="K212" s="6" t="s">
        <v>334</v>
      </c>
      <c r="L212" s="6" t="s">
        <v>84</v>
      </c>
      <c r="M212" s="6" t="s">
        <v>335</v>
      </c>
      <c r="N212" s="6" t="s">
        <v>315</v>
      </c>
      <c r="O212" s="6" t="s">
        <v>336</v>
      </c>
      <c r="P212" s="6" t="s">
        <v>337</v>
      </c>
      <c r="Q212" s="6"/>
      <c r="R212" s="7" t="n">
        <f aca="false">COUNTIF('Label Map'!$D$2:$D$2000,A212)</f>
        <v>3</v>
      </c>
    </row>
    <row r="213" customFormat="false" ht="15" hidden="false" customHeight="false" outlineLevel="0" collapsed="false">
      <c r="A213" s="6" t="s">
        <v>338</v>
      </c>
      <c r="B213" s="6" t="s">
        <v>89</v>
      </c>
      <c r="C213" s="6" t="s">
        <v>3</v>
      </c>
      <c r="D213" s="6" t="s">
        <v>75</v>
      </c>
      <c r="E213" s="6" t="s">
        <v>312</v>
      </c>
      <c r="F213" s="6" t="s">
        <v>332</v>
      </c>
      <c r="G213" s="6" t="s">
        <v>333</v>
      </c>
      <c r="H213" s="6"/>
      <c r="I213" s="6"/>
      <c r="J213" s="6" t="s">
        <v>332</v>
      </c>
      <c r="K213" s="6"/>
      <c r="L213" s="6"/>
      <c r="M213" s="6"/>
      <c r="N213" s="6"/>
      <c r="O213" s="6"/>
      <c r="P213" s="6"/>
      <c r="Q213" s="6" t="s">
        <v>339</v>
      </c>
      <c r="R213" s="7" t="n">
        <f aca="false">COUNTIF('Label Map'!$D$2:$D$2000,A213)</f>
        <v>1</v>
      </c>
    </row>
    <row r="214" customFormat="false" ht="15" hidden="false" customHeight="false" outlineLevel="0" collapsed="false">
      <c r="A214" s="6" t="s">
        <v>340</v>
      </c>
      <c r="B214" s="6" t="s">
        <v>89</v>
      </c>
      <c r="C214" s="6" t="s">
        <v>3</v>
      </c>
      <c r="D214" s="6" t="s">
        <v>75</v>
      </c>
      <c r="E214" s="6" t="s">
        <v>312</v>
      </c>
      <c r="F214" s="6" t="s">
        <v>332</v>
      </c>
      <c r="G214" s="6" t="s">
        <v>333</v>
      </c>
      <c r="H214" s="6"/>
      <c r="I214" s="6"/>
      <c r="J214" s="6" t="s">
        <v>332</v>
      </c>
      <c r="K214" s="6"/>
      <c r="L214" s="6"/>
      <c r="M214" s="6"/>
      <c r="N214" s="6"/>
      <c r="O214" s="6"/>
      <c r="P214" s="6"/>
      <c r="Q214" s="6" t="s">
        <v>339</v>
      </c>
      <c r="R214" s="7" t="n">
        <f aca="false">COUNTIF('Label Map'!$D$2:$D$2000,A214)</f>
        <v>1</v>
      </c>
    </row>
    <row r="215" customFormat="false" ht="15" hidden="false" customHeight="false" outlineLevel="0" collapsed="false">
      <c r="A215" s="6" t="s">
        <v>341</v>
      </c>
      <c r="B215" s="6" t="s">
        <v>89</v>
      </c>
      <c r="C215" s="6" t="s">
        <v>3</v>
      </c>
      <c r="D215" s="6" t="s">
        <v>75</v>
      </c>
      <c r="E215" s="6" t="s">
        <v>312</v>
      </c>
      <c r="F215" s="6" t="s">
        <v>332</v>
      </c>
      <c r="G215" s="6" t="s">
        <v>333</v>
      </c>
      <c r="H215" s="6"/>
      <c r="I215" s="6"/>
      <c r="J215" s="6" t="s">
        <v>332</v>
      </c>
      <c r="K215" s="6"/>
      <c r="L215" s="6"/>
      <c r="M215" s="6"/>
      <c r="N215" s="6"/>
      <c r="O215" s="6"/>
      <c r="P215" s="6"/>
      <c r="Q215" s="6" t="s">
        <v>339</v>
      </c>
      <c r="R215" s="7" t="n">
        <f aca="false">COUNTIF('Label Map'!$D$2:$D$2000,A215)</f>
        <v>1</v>
      </c>
    </row>
    <row r="216" customFormat="false" ht="15" hidden="false" customHeight="false" outlineLevel="0" collapsed="false">
      <c r="A216" s="6" t="s">
        <v>342</v>
      </c>
      <c r="B216" s="6" t="s">
        <v>89</v>
      </c>
      <c r="C216" s="6" t="s">
        <v>3</v>
      </c>
      <c r="D216" s="6" t="s">
        <v>75</v>
      </c>
      <c r="E216" s="6" t="s">
        <v>312</v>
      </c>
      <c r="F216" s="6" t="s">
        <v>332</v>
      </c>
      <c r="G216" s="6" t="s">
        <v>333</v>
      </c>
      <c r="H216" s="6"/>
      <c r="I216" s="6"/>
      <c r="J216" s="6" t="s">
        <v>332</v>
      </c>
      <c r="K216" s="6"/>
      <c r="L216" s="6"/>
      <c r="M216" s="6"/>
      <c r="N216" s="6"/>
      <c r="O216" s="6"/>
      <c r="P216" s="6"/>
      <c r="Q216" s="6" t="s">
        <v>339</v>
      </c>
      <c r="R216" s="7" t="n">
        <f aca="false">COUNTIF('Label Map'!$D$2:$D$2000,A216)</f>
        <v>1</v>
      </c>
    </row>
    <row r="217" customFormat="false" ht="15" hidden="false" customHeight="false" outlineLevel="0" collapsed="false">
      <c r="A217" s="6" t="s">
        <v>343</v>
      </c>
      <c r="B217" s="6" t="s">
        <v>89</v>
      </c>
      <c r="C217" s="6" t="s">
        <v>3</v>
      </c>
      <c r="D217" s="6" t="s">
        <v>75</v>
      </c>
      <c r="E217" s="6" t="s">
        <v>312</v>
      </c>
      <c r="F217" s="6" t="s">
        <v>332</v>
      </c>
      <c r="G217" s="6" t="s">
        <v>333</v>
      </c>
      <c r="H217" s="6"/>
      <c r="I217" s="6"/>
      <c r="J217" s="6" t="s">
        <v>332</v>
      </c>
      <c r="K217" s="6"/>
      <c r="L217" s="6"/>
      <c r="M217" s="6"/>
      <c r="N217" s="6"/>
      <c r="O217" s="6"/>
      <c r="P217" s="6"/>
      <c r="Q217" s="6" t="s">
        <v>339</v>
      </c>
      <c r="R217" s="7" t="n">
        <f aca="false">COUNTIF('Label Map'!$D$2:$D$2000,A217)</f>
        <v>1</v>
      </c>
    </row>
    <row r="218" customFormat="false" ht="15" hidden="false" customHeight="false" outlineLevel="0" collapsed="false">
      <c r="A218" s="6" t="s">
        <v>344</v>
      </c>
      <c r="B218" s="6" t="s">
        <v>11</v>
      </c>
      <c r="C218" s="6" t="s">
        <v>3</v>
      </c>
      <c r="D218" s="6" t="s">
        <v>75</v>
      </c>
      <c r="E218" s="6" t="s">
        <v>312</v>
      </c>
      <c r="F218" s="6" t="s">
        <v>332</v>
      </c>
      <c r="G218" s="6" t="s">
        <v>333</v>
      </c>
      <c r="H218" s="6" t="s">
        <v>344</v>
      </c>
      <c r="I218" s="6"/>
      <c r="J218" s="6" t="s">
        <v>332</v>
      </c>
      <c r="K218" s="6"/>
      <c r="L218" s="6"/>
      <c r="M218" s="6"/>
      <c r="N218" s="6"/>
      <c r="O218" s="6"/>
      <c r="P218" s="6"/>
      <c r="Q218" s="6" t="s">
        <v>345</v>
      </c>
      <c r="R218" s="7" t="n">
        <f aca="false">COUNTIF('Label Map'!$D$2:$D$2000,A218)</f>
        <v>1</v>
      </c>
    </row>
    <row r="219" customFormat="false" ht="15" hidden="false" customHeight="false" outlineLevel="0" collapsed="false">
      <c r="A219" s="6" t="s">
        <v>346</v>
      </c>
      <c r="B219" s="6" t="s">
        <v>11</v>
      </c>
      <c r="C219" s="6" t="s">
        <v>3</v>
      </c>
      <c r="D219" s="6" t="s">
        <v>75</v>
      </c>
      <c r="E219" s="6" t="s">
        <v>312</v>
      </c>
      <c r="F219" s="6" t="s">
        <v>332</v>
      </c>
      <c r="G219" s="6" t="s">
        <v>333</v>
      </c>
      <c r="H219" s="6" t="s">
        <v>346</v>
      </c>
      <c r="I219" s="6"/>
      <c r="J219" s="6" t="s">
        <v>332</v>
      </c>
      <c r="K219" s="6"/>
      <c r="L219" s="6"/>
      <c r="M219" s="6"/>
      <c r="N219" s="6"/>
      <c r="O219" s="6"/>
      <c r="P219" s="6"/>
      <c r="Q219" s="6" t="s">
        <v>345</v>
      </c>
      <c r="R219" s="7" t="n">
        <f aca="false">COUNTIF('Label Map'!$D$2:$D$2000,A219)</f>
        <v>1</v>
      </c>
    </row>
    <row r="220" customFormat="false" ht="15" hidden="false" customHeight="false" outlineLevel="0" collapsed="false">
      <c r="A220" s="6" t="s">
        <v>347</v>
      </c>
      <c r="B220" s="6" t="s">
        <v>11</v>
      </c>
      <c r="C220" s="6" t="s">
        <v>3</v>
      </c>
      <c r="D220" s="6" t="s">
        <v>75</v>
      </c>
      <c r="E220" s="6" t="s">
        <v>312</v>
      </c>
      <c r="F220" s="6" t="s">
        <v>332</v>
      </c>
      <c r="G220" s="6" t="s">
        <v>333</v>
      </c>
      <c r="H220" s="6" t="s">
        <v>347</v>
      </c>
      <c r="I220" s="6"/>
      <c r="J220" s="6" t="s">
        <v>332</v>
      </c>
      <c r="K220" s="6"/>
      <c r="L220" s="6"/>
      <c r="M220" s="6"/>
      <c r="N220" s="6"/>
      <c r="O220" s="6"/>
      <c r="P220" s="6"/>
      <c r="Q220" s="6" t="s">
        <v>345</v>
      </c>
      <c r="R220" s="7" t="n">
        <f aca="false">COUNTIF('Label Map'!$D$2:$D$2000,A220)</f>
        <v>1</v>
      </c>
    </row>
    <row r="221" customFormat="false" ht="15" hidden="false" customHeight="false" outlineLevel="0" collapsed="false">
      <c r="A221" s="6" t="s">
        <v>348</v>
      </c>
      <c r="B221" s="6" t="s">
        <v>11</v>
      </c>
      <c r="C221" s="6" t="s">
        <v>3</v>
      </c>
      <c r="D221" s="6" t="s">
        <v>75</v>
      </c>
      <c r="E221" s="6" t="s">
        <v>312</v>
      </c>
      <c r="F221" s="6" t="s">
        <v>332</v>
      </c>
      <c r="G221" s="6" t="s">
        <v>333</v>
      </c>
      <c r="H221" s="6" t="s">
        <v>348</v>
      </c>
      <c r="I221" s="6"/>
      <c r="J221" s="6" t="s">
        <v>332</v>
      </c>
      <c r="K221" s="6"/>
      <c r="L221" s="6"/>
      <c r="M221" s="6"/>
      <c r="N221" s="6"/>
      <c r="O221" s="6"/>
      <c r="P221" s="6"/>
      <c r="Q221" s="6" t="s">
        <v>345</v>
      </c>
      <c r="R221" s="7" t="n">
        <f aca="false">COUNTIF('Label Map'!$D$2:$D$2000,A221)</f>
        <v>1</v>
      </c>
    </row>
    <row r="222" customFormat="false" ht="15" hidden="false" customHeight="false" outlineLevel="0" collapsed="false">
      <c r="A222" s="6" t="s">
        <v>349</v>
      </c>
      <c r="B222" s="6" t="s">
        <v>11</v>
      </c>
      <c r="C222" s="6" t="s">
        <v>3</v>
      </c>
      <c r="D222" s="6" t="s">
        <v>75</v>
      </c>
      <c r="E222" s="6" t="s">
        <v>312</v>
      </c>
      <c r="F222" s="6" t="s">
        <v>332</v>
      </c>
      <c r="G222" s="6" t="s">
        <v>333</v>
      </c>
      <c r="H222" s="6" t="s">
        <v>349</v>
      </c>
      <c r="I222" s="6"/>
      <c r="J222" s="6" t="s">
        <v>332</v>
      </c>
      <c r="K222" s="6"/>
      <c r="L222" s="6"/>
      <c r="M222" s="6"/>
      <c r="N222" s="6"/>
      <c r="O222" s="6"/>
      <c r="P222" s="6"/>
      <c r="Q222" s="6" t="s">
        <v>345</v>
      </c>
      <c r="R222" s="7" t="n">
        <f aca="false">COUNTIF('Label Map'!$D$2:$D$2000,A222)</f>
        <v>1</v>
      </c>
    </row>
    <row r="223" customFormat="false" ht="15" hidden="false" customHeight="false" outlineLevel="0" collapsed="false">
      <c r="A223" s="6" t="s">
        <v>350</v>
      </c>
      <c r="B223" s="6" t="s">
        <v>11</v>
      </c>
      <c r="C223" s="6" t="s">
        <v>3</v>
      </c>
      <c r="D223" s="6" t="s">
        <v>75</v>
      </c>
      <c r="E223" s="6" t="s">
        <v>312</v>
      </c>
      <c r="F223" s="6" t="s">
        <v>332</v>
      </c>
      <c r="G223" s="6" t="s">
        <v>333</v>
      </c>
      <c r="H223" s="6" t="s">
        <v>350</v>
      </c>
      <c r="I223" s="6"/>
      <c r="J223" s="6" t="s">
        <v>332</v>
      </c>
      <c r="K223" s="6"/>
      <c r="L223" s="6"/>
      <c r="M223" s="6"/>
      <c r="N223" s="6"/>
      <c r="O223" s="6"/>
      <c r="P223" s="6"/>
      <c r="Q223" s="6" t="s">
        <v>345</v>
      </c>
      <c r="R223" s="7" t="n">
        <f aca="false">COUNTIF('Label Map'!$D$2:$D$2000,A223)</f>
        <v>1</v>
      </c>
    </row>
    <row r="224" customFormat="false" ht="15" hidden="false" customHeight="false" outlineLevel="0" collapsed="false">
      <c r="A224" s="6" t="s">
        <v>351</v>
      </c>
      <c r="B224" s="6" t="s">
        <v>11</v>
      </c>
      <c r="C224" s="6" t="s">
        <v>3</v>
      </c>
      <c r="D224" s="6" t="s">
        <v>75</v>
      </c>
      <c r="E224" s="6" t="s">
        <v>312</v>
      </c>
      <c r="F224" s="6" t="s">
        <v>332</v>
      </c>
      <c r="G224" s="6" t="s">
        <v>333</v>
      </c>
      <c r="H224" s="6" t="s">
        <v>351</v>
      </c>
      <c r="I224" s="6"/>
      <c r="J224" s="6" t="s">
        <v>332</v>
      </c>
      <c r="K224" s="6"/>
      <c r="L224" s="6"/>
      <c r="M224" s="6"/>
      <c r="N224" s="6"/>
      <c r="O224" s="6"/>
      <c r="P224" s="6"/>
      <c r="Q224" s="6" t="s">
        <v>345</v>
      </c>
      <c r="R224" s="7" t="n">
        <f aca="false">COUNTIF('Label Map'!$D$2:$D$2000,A224)</f>
        <v>1</v>
      </c>
    </row>
    <row r="225" customFormat="false" ht="15" hidden="false" customHeight="false" outlineLevel="0" collapsed="false">
      <c r="A225" s="6" t="s">
        <v>352</v>
      </c>
      <c r="B225" s="6" t="s">
        <v>11</v>
      </c>
      <c r="C225" s="6" t="s">
        <v>3</v>
      </c>
      <c r="D225" s="6" t="s">
        <v>75</v>
      </c>
      <c r="E225" s="6" t="s">
        <v>312</v>
      </c>
      <c r="F225" s="6" t="s">
        <v>332</v>
      </c>
      <c r="G225" s="6" t="s">
        <v>333</v>
      </c>
      <c r="H225" s="6" t="s">
        <v>352</v>
      </c>
      <c r="I225" s="6"/>
      <c r="J225" s="6" t="s">
        <v>332</v>
      </c>
      <c r="K225" s="6"/>
      <c r="L225" s="6"/>
      <c r="M225" s="6"/>
      <c r="N225" s="6"/>
      <c r="O225" s="6"/>
      <c r="P225" s="6"/>
      <c r="Q225" s="6" t="s">
        <v>353</v>
      </c>
      <c r="R225" s="7" t="n">
        <f aca="false">COUNTIF('Label Map'!$D$2:$D$2000,A225)</f>
        <v>1</v>
      </c>
    </row>
    <row r="226" customFormat="false" ht="15" hidden="false" customHeight="false" outlineLevel="0" collapsed="false">
      <c r="A226" s="6" t="s">
        <v>354</v>
      </c>
      <c r="B226" s="6" t="s">
        <v>63</v>
      </c>
      <c r="C226" s="6" t="s">
        <v>3</v>
      </c>
      <c r="D226" s="6" t="s">
        <v>75</v>
      </c>
      <c r="E226" s="6" t="s">
        <v>312</v>
      </c>
      <c r="F226" s="6" t="s">
        <v>332</v>
      </c>
      <c r="G226" s="6" t="s">
        <v>333</v>
      </c>
      <c r="H226" s="6" t="s">
        <v>352</v>
      </c>
      <c r="I226" s="6" t="s">
        <v>354</v>
      </c>
      <c r="J226" s="6" t="s">
        <v>352</v>
      </c>
      <c r="K226" s="6"/>
      <c r="L226" s="6"/>
      <c r="M226" s="6"/>
      <c r="N226" s="6"/>
      <c r="O226" s="6"/>
      <c r="P226" s="6"/>
      <c r="Q226" s="6"/>
      <c r="R226" s="7" t="n">
        <f aca="false">COUNTIF('Label Map'!$D$2:$D$2000,A226)</f>
        <v>1</v>
      </c>
    </row>
    <row r="227" customFormat="false" ht="15" hidden="false" customHeight="false" outlineLevel="0" collapsed="false">
      <c r="A227" s="6" t="s">
        <v>355</v>
      </c>
      <c r="B227" s="6" t="s">
        <v>11</v>
      </c>
      <c r="C227" s="6" t="s">
        <v>3</v>
      </c>
      <c r="D227" s="6" t="s">
        <v>75</v>
      </c>
      <c r="E227" s="6" t="s">
        <v>312</v>
      </c>
      <c r="F227" s="6" t="s">
        <v>332</v>
      </c>
      <c r="G227" s="6" t="s">
        <v>333</v>
      </c>
      <c r="H227" s="6" t="s">
        <v>355</v>
      </c>
      <c r="I227" s="6"/>
      <c r="J227" s="6" t="s">
        <v>332</v>
      </c>
      <c r="K227" s="6"/>
      <c r="L227" s="6"/>
      <c r="M227" s="6"/>
      <c r="N227" s="6"/>
      <c r="O227" s="6"/>
      <c r="P227" s="6"/>
      <c r="Q227" s="6" t="s">
        <v>345</v>
      </c>
      <c r="R227" s="7" t="n">
        <f aca="false">COUNTIF('Label Map'!$D$2:$D$2000,A227)</f>
        <v>1</v>
      </c>
    </row>
    <row r="228" customFormat="false" ht="15" hidden="false" customHeight="false" outlineLevel="0" collapsed="false">
      <c r="A228" s="6" t="s">
        <v>356</v>
      </c>
      <c r="B228" s="6" t="s">
        <v>11</v>
      </c>
      <c r="C228" s="6" t="s">
        <v>3</v>
      </c>
      <c r="D228" s="6" t="s">
        <v>75</v>
      </c>
      <c r="E228" s="6" t="s">
        <v>312</v>
      </c>
      <c r="F228" s="6" t="s">
        <v>332</v>
      </c>
      <c r="G228" s="6" t="s">
        <v>333</v>
      </c>
      <c r="H228" s="6" t="s">
        <v>356</v>
      </c>
      <c r="I228" s="6"/>
      <c r="J228" s="6" t="s">
        <v>332</v>
      </c>
      <c r="K228" s="6"/>
      <c r="L228" s="6"/>
      <c r="M228" s="6"/>
      <c r="N228" s="6"/>
      <c r="O228" s="6"/>
      <c r="P228" s="6"/>
      <c r="Q228" s="6" t="s">
        <v>345</v>
      </c>
      <c r="R228" s="7" t="n">
        <f aca="false">COUNTIF('Label Map'!$D$2:$D$2000,A228)</f>
        <v>1</v>
      </c>
    </row>
    <row r="229" customFormat="false" ht="15" hidden="false" customHeight="false" outlineLevel="0" collapsed="false">
      <c r="A229" s="6" t="s">
        <v>357</v>
      </c>
      <c r="B229" s="6" t="s">
        <v>11</v>
      </c>
      <c r="C229" s="6" t="s">
        <v>3</v>
      </c>
      <c r="D229" s="6" t="s">
        <v>75</v>
      </c>
      <c r="E229" s="6" t="s">
        <v>312</v>
      </c>
      <c r="F229" s="6" t="s">
        <v>332</v>
      </c>
      <c r="G229" s="6" t="s">
        <v>333</v>
      </c>
      <c r="H229" s="6" t="s">
        <v>357</v>
      </c>
      <c r="I229" s="6"/>
      <c r="J229" s="6" t="s">
        <v>332</v>
      </c>
      <c r="K229" s="6"/>
      <c r="L229" s="6"/>
      <c r="M229" s="6"/>
      <c r="N229" s="6"/>
      <c r="O229" s="6"/>
      <c r="P229" s="6"/>
      <c r="Q229" s="6" t="s">
        <v>345</v>
      </c>
      <c r="R229" s="7" t="n">
        <f aca="false">COUNTIF('Label Map'!$D$2:$D$2000,A229)</f>
        <v>1</v>
      </c>
    </row>
    <row r="230" customFormat="false" ht="15" hidden="false" customHeight="false" outlineLevel="0" collapsed="false">
      <c r="A230" s="6" t="s">
        <v>358</v>
      </c>
      <c r="B230" s="6" t="s">
        <v>11</v>
      </c>
      <c r="C230" s="6" t="s">
        <v>3</v>
      </c>
      <c r="D230" s="6" t="s">
        <v>75</v>
      </c>
      <c r="E230" s="6" t="s">
        <v>312</v>
      </c>
      <c r="F230" s="6" t="s">
        <v>332</v>
      </c>
      <c r="G230" s="6" t="s">
        <v>333</v>
      </c>
      <c r="H230" s="6" t="s">
        <v>358</v>
      </c>
      <c r="I230" s="6"/>
      <c r="J230" s="6" t="s">
        <v>332</v>
      </c>
      <c r="K230" s="6"/>
      <c r="L230" s="6"/>
      <c r="M230" s="6"/>
      <c r="N230" s="6"/>
      <c r="O230" s="6"/>
      <c r="P230" s="6"/>
      <c r="Q230" s="6" t="s">
        <v>345</v>
      </c>
      <c r="R230" s="7" t="n">
        <f aca="false">COUNTIF('Label Map'!$D$2:$D$2000,A230)</f>
        <v>1</v>
      </c>
    </row>
    <row r="231" customFormat="false" ht="15" hidden="false" customHeight="false" outlineLevel="0" collapsed="false">
      <c r="A231" s="6" t="s">
        <v>359</v>
      </c>
      <c r="B231" s="6" t="s">
        <v>11</v>
      </c>
      <c r="C231" s="6" t="s">
        <v>3</v>
      </c>
      <c r="D231" s="6" t="s">
        <v>75</v>
      </c>
      <c r="E231" s="6" t="s">
        <v>312</v>
      </c>
      <c r="F231" s="6" t="s">
        <v>332</v>
      </c>
      <c r="G231" s="6" t="s">
        <v>333</v>
      </c>
      <c r="H231" s="6" t="s">
        <v>359</v>
      </c>
      <c r="I231" s="6"/>
      <c r="J231" s="6" t="s">
        <v>332</v>
      </c>
      <c r="K231" s="6"/>
      <c r="L231" s="6"/>
      <c r="M231" s="6"/>
      <c r="N231" s="6"/>
      <c r="O231" s="6"/>
      <c r="P231" s="6"/>
      <c r="Q231" s="6" t="s">
        <v>345</v>
      </c>
      <c r="R231" s="7" t="n">
        <f aca="false">COUNTIF('Label Map'!$D$2:$D$2000,A231)</f>
        <v>1</v>
      </c>
    </row>
    <row r="232" customFormat="false" ht="15" hidden="false" customHeight="false" outlineLevel="0" collapsed="false">
      <c r="A232" s="6" t="s">
        <v>360</v>
      </c>
      <c r="B232" s="6" t="s">
        <v>11</v>
      </c>
      <c r="C232" s="6" t="s">
        <v>3</v>
      </c>
      <c r="D232" s="6" t="s">
        <v>75</v>
      </c>
      <c r="E232" s="6" t="s">
        <v>312</v>
      </c>
      <c r="F232" s="6" t="s">
        <v>332</v>
      </c>
      <c r="G232" s="6" t="s">
        <v>333</v>
      </c>
      <c r="H232" s="6" t="s">
        <v>360</v>
      </c>
      <c r="I232" s="6"/>
      <c r="J232" s="6" t="s">
        <v>332</v>
      </c>
      <c r="K232" s="6"/>
      <c r="L232" s="6"/>
      <c r="M232" s="6"/>
      <c r="N232" s="6"/>
      <c r="O232" s="6"/>
      <c r="P232" s="6"/>
      <c r="Q232" s="6" t="s">
        <v>345</v>
      </c>
      <c r="R232" s="7" t="n">
        <f aca="false">COUNTIF('Label Map'!$D$2:$D$2000,A232)</f>
        <v>1</v>
      </c>
    </row>
    <row r="233" customFormat="false" ht="15" hidden="false" customHeight="false" outlineLevel="0" collapsed="false">
      <c r="A233" s="6" t="s">
        <v>361</v>
      </c>
      <c r="B233" s="6" t="s">
        <v>11</v>
      </c>
      <c r="C233" s="6" t="s">
        <v>3</v>
      </c>
      <c r="D233" s="6" t="s">
        <v>75</v>
      </c>
      <c r="E233" s="6" t="s">
        <v>312</v>
      </c>
      <c r="F233" s="6" t="s">
        <v>332</v>
      </c>
      <c r="G233" s="6" t="s">
        <v>333</v>
      </c>
      <c r="H233" s="6" t="s">
        <v>361</v>
      </c>
      <c r="I233" s="6"/>
      <c r="J233" s="6" t="s">
        <v>332</v>
      </c>
      <c r="K233" s="6"/>
      <c r="L233" s="6"/>
      <c r="M233" s="6"/>
      <c r="N233" s="6"/>
      <c r="O233" s="6"/>
      <c r="P233" s="6"/>
      <c r="Q233" s="6" t="s">
        <v>345</v>
      </c>
      <c r="R233" s="7" t="n">
        <f aca="false">COUNTIF('Label Map'!$D$2:$D$2000,A233)</f>
        <v>1</v>
      </c>
    </row>
    <row r="234" customFormat="false" ht="15" hidden="false" customHeight="false" outlineLevel="0" collapsed="false">
      <c r="A234" s="6" t="s">
        <v>362</v>
      </c>
      <c r="B234" s="6" t="s">
        <v>11</v>
      </c>
      <c r="C234" s="6" t="s">
        <v>3</v>
      </c>
      <c r="D234" s="6" t="s">
        <v>75</v>
      </c>
      <c r="E234" s="6" t="s">
        <v>312</v>
      </c>
      <c r="F234" s="6" t="s">
        <v>332</v>
      </c>
      <c r="G234" s="6" t="s">
        <v>333</v>
      </c>
      <c r="H234" s="6" t="s">
        <v>362</v>
      </c>
      <c r="I234" s="6"/>
      <c r="J234" s="6" t="s">
        <v>332</v>
      </c>
      <c r="K234" s="6"/>
      <c r="L234" s="6"/>
      <c r="M234" s="6"/>
      <c r="N234" s="6"/>
      <c r="O234" s="6"/>
      <c r="P234" s="6"/>
      <c r="Q234" s="6" t="s">
        <v>345</v>
      </c>
      <c r="R234" s="7" t="n">
        <f aca="false">COUNTIF('Label Map'!$D$2:$D$2000,A234)</f>
        <v>1</v>
      </c>
    </row>
    <row r="235" customFormat="false" ht="15" hidden="false" customHeight="false" outlineLevel="0" collapsed="false">
      <c r="A235" s="6" t="s">
        <v>363</v>
      </c>
      <c r="B235" s="6" t="s">
        <v>11</v>
      </c>
      <c r="C235" s="6" t="s">
        <v>3</v>
      </c>
      <c r="D235" s="6" t="s">
        <v>75</v>
      </c>
      <c r="E235" s="6" t="s">
        <v>312</v>
      </c>
      <c r="F235" s="6" t="s">
        <v>332</v>
      </c>
      <c r="G235" s="6" t="s">
        <v>333</v>
      </c>
      <c r="H235" s="6" t="s">
        <v>363</v>
      </c>
      <c r="I235" s="6"/>
      <c r="J235" s="6" t="s">
        <v>332</v>
      </c>
      <c r="K235" s="6"/>
      <c r="L235" s="6"/>
      <c r="M235" s="6"/>
      <c r="N235" s="6"/>
      <c r="O235" s="6"/>
      <c r="P235" s="6"/>
      <c r="Q235" s="6" t="s">
        <v>345</v>
      </c>
      <c r="R235" s="7" t="n">
        <f aca="false">COUNTIF('Label Map'!$D$2:$D$2000,A235)</f>
        <v>1</v>
      </c>
    </row>
    <row r="236" customFormat="false" ht="15" hidden="false" customHeight="false" outlineLevel="0" collapsed="false">
      <c r="A236" s="6" t="s">
        <v>364</v>
      </c>
      <c r="B236" s="6" t="s">
        <v>11</v>
      </c>
      <c r="C236" s="6" t="s">
        <v>3</v>
      </c>
      <c r="D236" s="6" t="s">
        <v>75</v>
      </c>
      <c r="E236" s="6" t="s">
        <v>312</v>
      </c>
      <c r="F236" s="6" t="s">
        <v>332</v>
      </c>
      <c r="G236" s="6" t="s">
        <v>333</v>
      </c>
      <c r="H236" s="6" t="s">
        <v>364</v>
      </c>
      <c r="I236" s="6"/>
      <c r="J236" s="6" t="s">
        <v>332</v>
      </c>
      <c r="K236" s="6"/>
      <c r="L236" s="6"/>
      <c r="M236" s="6"/>
      <c r="N236" s="6"/>
      <c r="O236" s="6"/>
      <c r="P236" s="6"/>
      <c r="Q236" s="6" t="s">
        <v>345</v>
      </c>
      <c r="R236" s="7" t="n">
        <f aca="false">COUNTIF('Label Map'!$D$2:$D$2000,A236)</f>
        <v>1</v>
      </c>
    </row>
    <row r="237" customFormat="false" ht="15" hidden="false" customHeight="false" outlineLevel="0" collapsed="false">
      <c r="A237" s="6" t="s">
        <v>365</v>
      </c>
      <c r="B237" s="6" t="s">
        <v>11</v>
      </c>
      <c r="C237" s="6" t="s">
        <v>3</v>
      </c>
      <c r="D237" s="6" t="s">
        <v>75</v>
      </c>
      <c r="E237" s="6" t="s">
        <v>312</v>
      </c>
      <c r="F237" s="6" t="s">
        <v>332</v>
      </c>
      <c r="G237" s="6" t="s">
        <v>333</v>
      </c>
      <c r="H237" s="6" t="s">
        <v>365</v>
      </c>
      <c r="I237" s="6"/>
      <c r="J237" s="6" t="s">
        <v>332</v>
      </c>
      <c r="K237" s="6"/>
      <c r="L237" s="6"/>
      <c r="M237" s="6"/>
      <c r="N237" s="6"/>
      <c r="O237" s="6"/>
      <c r="P237" s="6"/>
      <c r="Q237" s="6" t="s">
        <v>345</v>
      </c>
      <c r="R237" s="7" t="n">
        <f aca="false">COUNTIF('Label Map'!$D$2:$D$2000,A237)</f>
        <v>1</v>
      </c>
    </row>
    <row r="238" customFormat="false" ht="15" hidden="false" customHeight="false" outlineLevel="0" collapsed="false">
      <c r="A238" s="6" t="s">
        <v>366</v>
      </c>
      <c r="B238" s="6" t="s">
        <v>11</v>
      </c>
      <c r="C238" s="6" t="s">
        <v>3</v>
      </c>
      <c r="D238" s="6" t="s">
        <v>75</v>
      </c>
      <c r="E238" s="6" t="s">
        <v>312</v>
      </c>
      <c r="F238" s="6" t="s">
        <v>332</v>
      </c>
      <c r="G238" s="6" t="s">
        <v>333</v>
      </c>
      <c r="H238" s="6" t="s">
        <v>366</v>
      </c>
      <c r="I238" s="6"/>
      <c r="J238" s="6" t="s">
        <v>332</v>
      </c>
      <c r="K238" s="6"/>
      <c r="L238" s="6"/>
      <c r="M238" s="6"/>
      <c r="N238" s="6"/>
      <c r="O238" s="6"/>
      <c r="P238" s="6"/>
      <c r="Q238" s="6" t="s">
        <v>345</v>
      </c>
      <c r="R238" s="7" t="n">
        <f aca="false">COUNTIF('Label Map'!$D$2:$D$2000,A238)</f>
        <v>1</v>
      </c>
    </row>
    <row r="239" customFormat="false" ht="15" hidden="false" customHeight="false" outlineLevel="0" collapsed="false">
      <c r="A239" s="6" t="s">
        <v>367</v>
      </c>
      <c r="B239" s="6" t="s">
        <v>11</v>
      </c>
      <c r="C239" s="6" t="s">
        <v>3</v>
      </c>
      <c r="D239" s="6" t="s">
        <v>75</v>
      </c>
      <c r="E239" s="6" t="s">
        <v>312</v>
      </c>
      <c r="F239" s="6" t="s">
        <v>332</v>
      </c>
      <c r="G239" s="6" t="s">
        <v>333</v>
      </c>
      <c r="H239" s="6" t="s">
        <v>367</v>
      </c>
      <c r="I239" s="6"/>
      <c r="J239" s="6" t="s">
        <v>332</v>
      </c>
      <c r="K239" s="6"/>
      <c r="L239" s="6"/>
      <c r="M239" s="6"/>
      <c r="N239" s="6"/>
      <c r="O239" s="6"/>
      <c r="P239" s="6"/>
      <c r="Q239" s="6" t="s">
        <v>345</v>
      </c>
      <c r="R239" s="7" t="n">
        <f aca="false">COUNTIF('Label Map'!$D$2:$D$2000,A239)</f>
        <v>1</v>
      </c>
    </row>
    <row r="240" customFormat="false" ht="15" hidden="false" customHeight="false" outlineLevel="0" collapsed="false">
      <c r="A240" s="6" t="s">
        <v>368</v>
      </c>
      <c r="B240" s="6" t="s">
        <v>63</v>
      </c>
      <c r="C240" s="6" t="s">
        <v>3</v>
      </c>
      <c r="D240" s="6" t="s">
        <v>75</v>
      </c>
      <c r="E240" s="6" t="s">
        <v>312</v>
      </c>
      <c r="F240" s="6" t="s">
        <v>332</v>
      </c>
      <c r="G240" s="6" t="s">
        <v>333</v>
      </c>
      <c r="H240" s="6" t="s">
        <v>367</v>
      </c>
      <c r="I240" s="6" t="s">
        <v>368</v>
      </c>
      <c r="J240" s="6" t="s">
        <v>367</v>
      </c>
      <c r="K240" s="6"/>
      <c r="L240" s="6"/>
      <c r="M240" s="6"/>
      <c r="N240" s="6"/>
      <c r="O240" s="6"/>
      <c r="P240" s="6"/>
      <c r="Q240" s="6"/>
      <c r="R240" s="7" t="n">
        <f aca="false">COUNTIF('Label Map'!$D$2:$D$2000,A240)</f>
        <v>0</v>
      </c>
    </row>
    <row r="241" customFormat="false" ht="15" hidden="false" customHeight="false" outlineLevel="0" collapsed="false">
      <c r="A241" s="6" t="s">
        <v>369</v>
      </c>
      <c r="B241" s="6" t="s">
        <v>11</v>
      </c>
      <c r="C241" s="6" t="s">
        <v>3</v>
      </c>
      <c r="D241" s="6" t="s">
        <v>75</v>
      </c>
      <c r="E241" s="6" t="s">
        <v>312</v>
      </c>
      <c r="F241" s="6" t="s">
        <v>332</v>
      </c>
      <c r="G241" s="6" t="s">
        <v>333</v>
      </c>
      <c r="H241" s="6" t="s">
        <v>369</v>
      </c>
      <c r="I241" s="6"/>
      <c r="J241" s="6" t="s">
        <v>332</v>
      </c>
      <c r="K241" s="6"/>
      <c r="L241" s="6"/>
      <c r="M241" s="6"/>
      <c r="N241" s="6"/>
      <c r="O241" s="6"/>
      <c r="P241" s="6"/>
      <c r="Q241" s="6" t="s">
        <v>345</v>
      </c>
      <c r="R241" s="7" t="n">
        <f aca="false">COUNTIF('Label Map'!$D$2:$D$2000,A241)</f>
        <v>1</v>
      </c>
    </row>
    <row r="242" customFormat="false" ht="15" hidden="false" customHeight="false" outlineLevel="0" collapsed="false">
      <c r="A242" s="6" t="s">
        <v>370</v>
      </c>
      <c r="B242" s="6" t="s">
        <v>11</v>
      </c>
      <c r="C242" s="6" t="s">
        <v>3</v>
      </c>
      <c r="D242" s="6" t="s">
        <v>75</v>
      </c>
      <c r="E242" s="6" t="s">
        <v>312</v>
      </c>
      <c r="F242" s="6" t="s">
        <v>332</v>
      </c>
      <c r="G242" s="6" t="s">
        <v>333</v>
      </c>
      <c r="H242" s="6" t="s">
        <v>370</v>
      </c>
      <c r="I242" s="6"/>
      <c r="J242" s="6" t="s">
        <v>332</v>
      </c>
      <c r="K242" s="6"/>
      <c r="L242" s="6"/>
      <c r="M242" s="6"/>
      <c r="N242" s="6"/>
      <c r="O242" s="6"/>
      <c r="P242" s="6"/>
      <c r="Q242" s="6" t="s">
        <v>345</v>
      </c>
      <c r="R242" s="7" t="n">
        <f aca="false">COUNTIF('Label Map'!$D$2:$D$2000,A242)</f>
        <v>1</v>
      </c>
    </row>
    <row r="243" customFormat="false" ht="15" hidden="false" customHeight="false" outlineLevel="0" collapsed="false">
      <c r="A243" s="6" t="s">
        <v>371</v>
      </c>
      <c r="B243" s="6" t="s">
        <v>11</v>
      </c>
      <c r="C243" s="6" t="s">
        <v>3</v>
      </c>
      <c r="D243" s="6" t="s">
        <v>75</v>
      </c>
      <c r="E243" s="6" t="s">
        <v>312</v>
      </c>
      <c r="F243" s="6" t="s">
        <v>332</v>
      </c>
      <c r="G243" s="6" t="s">
        <v>333</v>
      </c>
      <c r="H243" s="6" t="s">
        <v>371</v>
      </c>
      <c r="I243" s="6"/>
      <c r="J243" s="6" t="s">
        <v>332</v>
      </c>
      <c r="K243" s="6"/>
      <c r="L243" s="6"/>
      <c r="M243" s="6"/>
      <c r="N243" s="6"/>
      <c r="O243" s="6"/>
      <c r="P243" s="6"/>
      <c r="Q243" s="6" t="s">
        <v>345</v>
      </c>
      <c r="R243" s="7" t="n">
        <f aca="false">COUNTIF('Label Map'!$D$2:$D$2000,A243)</f>
        <v>1</v>
      </c>
    </row>
    <row r="244" customFormat="false" ht="15" hidden="false" customHeight="false" outlineLevel="0" collapsed="false">
      <c r="A244" s="6" t="s">
        <v>372</v>
      </c>
      <c r="B244" s="6" t="s">
        <v>11</v>
      </c>
      <c r="C244" s="6" t="s">
        <v>3</v>
      </c>
      <c r="D244" s="6" t="s">
        <v>75</v>
      </c>
      <c r="E244" s="6" t="s">
        <v>312</v>
      </c>
      <c r="F244" s="6" t="s">
        <v>332</v>
      </c>
      <c r="G244" s="6" t="s">
        <v>333</v>
      </c>
      <c r="H244" s="6" t="s">
        <v>372</v>
      </c>
      <c r="I244" s="6"/>
      <c r="J244" s="6" t="s">
        <v>332</v>
      </c>
      <c r="K244" s="6"/>
      <c r="L244" s="6"/>
      <c r="M244" s="6"/>
      <c r="N244" s="6"/>
      <c r="O244" s="6"/>
      <c r="P244" s="6"/>
      <c r="Q244" s="6" t="s">
        <v>345</v>
      </c>
      <c r="R244" s="7" t="n">
        <f aca="false">COUNTIF('Label Map'!$D$2:$D$2000,A244)</f>
        <v>1</v>
      </c>
    </row>
    <row r="245" customFormat="false" ht="15" hidden="false" customHeight="false" outlineLevel="0" collapsed="false">
      <c r="A245" s="6" t="s">
        <v>373</v>
      </c>
      <c r="B245" s="6" t="s">
        <v>11</v>
      </c>
      <c r="C245" s="6" t="s">
        <v>3</v>
      </c>
      <c r="D245" s="6" t="s">
        <v>75</v>
      </c>
      <c r="E245" s="6" t="s">
        <v>312</v>
      </c>
      <c r="F245" s="6" t="s">
        <v>332</v>
      </c>
      <c r="G245" s="6" t="s">
        <v>333</v>
      </c>
      <c r="H245" s="6" t="s">
        <v>373</v>
      </c>
      <c r="I245" s="6"/>
      <c r="J245" s="6" t="s">
        <v>332</v>
      </c>
      <c r="K245" s="6"/>
      <c r="L245" s="6"/>
      <c r="M245" s="6"/>
      <c r="N245" s="6"/>
      <c r="O245" s="6"/>
      <c r="P245" s="6"/>
      <c r="Q245" s="6" t="s">
        <v>345</v>
      </c>
      <c r="R245" s="7" t="n">
        <f aca="false">COUNTIF('Label Map'!$D$2:$D$2000,A245)</f>
        <v>2</v>
      </c>
    </row>
    <row r="246" customFormat="false" ht="15" hidden="false" customHeight="false" outlineLevel="0" collapsed="false">
      <c r="A246" s="6" t="s">
        <v>374</v>
      </c>
      <c r="B246" s="6" t="s">
        <v>63</v>
      </c>
      <c r="C246" s="6" t="s">
        <v>3</v>
      </c>
      <c r="D246" s="6" t="s">
        <v>75</v>
      </c>
      <c r="E246" s="6" t="s">
        <v>312</v>
      </c>
      <c r="F246" s="6" t="s">
        <v>332</v>
      </c>
      <c r="G246" s="6" t="s">
        <v>333</v>
      </c>
      <c r="H246" s="6" t="s">
        <v>373</v>
      </c>
      <c r="I246" s="6" t="s">
        <v>374</v>
      </c>
      <c r="J246" s="6" t="s">
        <v>373</v>
      </c>
      <c r="K246" s="6"/>
      <c r="L246" s="6"/>
      <c r="M246" s="6"/>
      <c r="N246" s="6"/>
      <c r="O246" s="6"/>
      <c r="P246" s="6"/>
      <c r="Q246" s="6"/>
      <c r="R246" s="7" t="n">
        <f aca="false">COUNTIF('Label Map'!$D$2:$D$2000,A246)</f>
        <v>0</v>
      </c>
    </row>
    <row r="247" customFormat="false" ht="15" hidden="false" customHeight="false" outlineLevel="0" collapsed="false">
      <c r="A247" s="6" t="s">
        <v>375</v>
      </c>
      <c r="B247" s="6" t="s">
        <v>11</v>
      </c>
      <c r="C247" s="6" t="s">
        <v>3</v>
      </c>
      <c r="D247" s="6" t="s">
        <v>75</v>
      </c>
      <c r="E247" s="6" t="s">
        <v>312</v>
      </c>
      <c r="F247" s="6" t="s">
        <v>332</v>
      </c>
      <c r="G247" s="6" t="s">
        <v>333</v>
      </c>
      <c r="H247" s="6" t="s">
        <v>375</v>
      </c>
      <c r="I247" s="6"/>
      <c r="J247" s="6" t="s">
        <v>332</v>
      </c>
      <c r="K247" s="6"/>
      <c r="L247" s="6"/>
      <c r="M247" s="6"/>
      <c r="N247" s="6"/>
      <c r="O247" s="6"/>
      <c r="P247" s="6"/>
      <c r="Q247" s="6" t="s">
        <v>345</v>
      </c>
      <c r="R247" s="7" t="n">
        <f aca="false">COUNTIF('Label Map'!$D$2:$D$2000,A247)</f>
        <v>1</v>
      </c>
    </row>
    <row r="248" customFormat="false" ht="15" hidden="false" customHeight="false" outlineLevel="0" collapsed="false">
      <c r="A248" s="6" t="s">
        <v>376</v>
      </c>
      <c r="B248" s="6" t="s">
        <v>9</v>
      </c>
      <c r="C248" s="6" t="s">
        <v>3</v>
      </c>
      <c r="D248" s="6" t="s">
        <v>75</v>
      </c>
      <c r="E248" s="6" t="s">
        <v>312</v>
      </c>
      <c r="F248" s="6" t="s">
        <v>376</v>
      </c>
      <c r="G248" s="6" t="s">
        <v>377</v>
      </c>
      <c r="H248" s="6"/>
      <c r="I248" s="6"/>
      <c r="J248" s="6" t="s">
        <v>312</v>
      </c>
      <c r="K248" s="6" t="s">
        <v>378</v>
      </c>
      <c r="L248" s="6" t="s">
        <v>84</v>
      </c>
      <c r="M248" s="6" t="s">
        <v>335</v>
      </c>
      <c r="N248" s="6" t="s">
        <v>320</v>
      </c>
      <c r="O248" s="6" t="s">
        <v>336</v>
      </c>
      <c r="P248" s="6" t="s">
        <v>337</v>
      </c>
      <c r="Q248" s="6"/>
      <c r="R248" s="7" t="n">
        <f aca="false">COUNTIF('Label Map'!$D$2:$D$2000,A248)</f>
        <v>3</v>
      </c>
    </row>
    <row r="249" customFormat="false" ht="15" hidden="false" customHeight="false" outlineLevel="0" collapsed="false">
      <c r="A249" s="6" t="s">
        <v>379</v>
      </c>
      <c r="B249" s="6" t="s">
        <v>89</v>
      </c>
      <c r="C249" s="6" t="s">
        <v>3</v>
      </c>
      <c r="D249" s="6" t="s">
        <v>75</v>
      </c>
      <c r="E249" s="6" t="s">
        <v>312</v>
      </c>
      <c r="F249" s="6" t="s">
        <v>376</v>
      </c>
      <c r="G249" s="6" t="s">
        <v>377</v>
      </c>
      <c r="H249" s="6"/>
      <c r="I249" s="6"/>
      <c r="J249" s="6" t="s">
        <v>376</v>
      </c>
      <c r="K249" s="6"/>
      <c r="L249" s="6"/>
      <c r="M249" s="6"/>
      <c r="N249" s="6"/>
      <c r="O249" s="6"/>
      <c r="P249" s="6"/>
      <c r="Q249" s="6"/>
      <c r="R249" s="7" t="n">
        <f aca="false">COUNTIF('Label Map'!$D$2:$D$2000,A249)</f>
        <v>1</v>
      </c>
    </row>
    <row r="250" customFormat="false" ht="15" hidden="false" customHeight="false" outlineLevel="0" collapsed="false">
      <c r="A250" s="6" t="s">
        <v>380</v>
      </c>
      <c r="B250" s="6" t="s">
        <v>89</v>
      </c>
      <c r="C250" s="6" t="s">
        <v>3</v>
      </c>
      <c r="D250" s="6" t="s">
        <v>75</v>
      </c>
      <c r="E250" s="6" t="s">
        <v>312</v>
      </c>
      <c r="F250" s="6" t="s">
        <v>376</v>
      </c>
      <c r="G250" s="6" t="s">
        <v>377</v>
      </c>
      <c r="H250" s="6"/>
      <c r="I250" s="6"/>
      <c r="J250" s="6" t="s">
        <v>376</v>
      </c>
      <c r="K250" s="6"/>
      <c r="L250" s="6"/>
      <c r="M250" s="6"/>
      <c r="N250" s="6"/>
      <c r="O250" s="6"/>
      <c r="P250" s="6"/>
      <c r="Q250" s="6"/>
      <c r="R250" s="7" t="n">
        <f aca="false">COUNTIF('Label Map'!$D$2:$D$2000,A250)</f>
        <v>1</v>
      </c>
    </row>
    <row r="251" customFormat="false" ht="15" hidden="false" customHeight="false" outlineLevel="0" collapsed="false">
      <c r="A251" s="6" t="s">
        <v>381</v>
      </c>
      <c r="B251" s="6" t="s">
        <v>89</v>
      </c>
      <c r="C251" s="6" t="s">
        <v>3</v>
      </c>
      <c r="D251" s="6" t="s">
        <v>75</v>
      </c>
      <c r="E251" s="6" t="s">
        <v>312</v>
      </c>
      <c r="F251" s="6" t="s">
        <v>376</v>
      </c>
      <c r="G251" s="6" t="s">
        <v>377</v>
      </c>
      <c r="H251" s="6"/>
      <c r="I251" s="6"/>
      <c r="J251" s="6" t="s">
        <v>376</v>
      </c>
      <c r="K251" s="6"/>
      <c r="L251" s="6"/>
      <c r="M251" s="6"/>
      <c r="N251" s="6"/>
      <c r="O251" s="6"/>
      <c r="P251" s="6"/>
      <c r="Q251" s="6"/>
      <c r="R251" s="7" t="n">
        <f aca="false">COUNTIF('Label Map'!$D$2:$D$2000,A251)</f>
        <v>1</v>
      </c>
    </row>
    <row r="252" customFormat="false" ht="15" hidden="false" customHeight="false" outlineLevel="0" collapsed="false">
      <c r="A252" s="6" t="s">
        <v>382</v>
      </c>
      <c r="B252" s="6" t="s">
        <v>89</v>
      </c>
      <c r="C252" s="6" t="s">
        <v>3</v>
      </c>
      <c r="D252" s="6" t="s">
        <v>75</v>
      </c>
      <c r="E252" s="6" t="s">
        <v>312</v>
      </c>
      <c r="F252" s="6" t="s">
        <v>376</v>
      </c>
      <c r="G252" s="6" t="s">
        <v>377</v>
      </c>
      <c r="H252" s="6"/>
      <c r="I252" s="6"/>
      <c r="J252" s="6" t="s">
        <v>376</v>
      </c>
      <c r="K252" s="6"/>
      <c r="L252" s="6"/>
      <c r="M252" s="6"/>
      <c r="N252" s="6"/>
      <c r="O252" s="6"/>
      <c r="P252" s="6"/>
      <c r="Q252" s="6"/>
      <c r="R252" s="7" t="n">
        <f aca="false">COUNTIF('Label Map'!$D$2:$D$2000,A252)</f>
        <v>1</v>
      </c>
    </row>
    <row r="253" customFormat="false" ht="15" hidden="false" customHeight="false" outlineLevel="0" collapsed="false">
      <c r="A253" s="6" t="s">
        <v>383</v>
      </c>
      <c r="B253" s="6" t="s">
        <v>11</v>
      </c>
      <c r="C253" s="6" t="s">
        <v>3</v>
      </c>
      <c r="D253" s="6" t="s">
        <v>75</v>
      </c>
      <c r="E253" s="6" t="s">
        <v>312</v>
      </c>
      <c r="F253" s="6" t="s">
        <v>376</v>
      </c>
      <c r="G253" s="6" t="s">
        <v>377</v>
      </c>
      <c r="H253" s="6" t="s">
        <v>383</v>
      </c>
      <c r="I253" s="6"/>
      <c r="J253" s="6" t="s">
        <v>376</v>
      </c>
      <c r="K253" s="6"/>
      <c r="L253" s="6"/>
      <c r="M253" s="6"/>
      <c r="N253" s="6"/>
      <c r="O253" s="6"/>
      <c r="P253" s="6"/>
      <c r="Q253" s="6" t="s">
        <v>345</v>
      </c>
      <c r="R253" s="7" t="n">
        <f aca="false">COUNTIF('Label Map'!$D$2:$D$2000,A253)</f>
        <v>1</v>
      </c>
    </row>
    <row r="254" customFormat="false" ht="15" hidden="false" customHeight="false" outlineLevel="0" collapsed="false">
      <c r="A254" s="6" t="s">
        <v>384</v>
      </c>
      <c r="B254" s="6" t="s">
        <v>11</v>
      </c>
      <c r="C254" s="6" t="s">
        <v>3</v>
      </c>
      <c r="D254" s="6" t="s">
        <v>75</v>
      </c>
      <c r="E254" s="6" t="s">
        <v>312</v>
      </c>
      <c r="F254" s="6" t="s">
        <v>376</v>
      </c>
      <c r="G254" s="6" t="s">
        <v>377</v>
      </c>
      <c r="H254" s="6" t="s">
        <v>384</v>
      </c>
      <c r="I254" s="6"/>
      <c r="J254" s="6" t="s">
        <v>376</v>
      </c>
      <c r="K254" s="6"/>
      <c r="L254" s="6"/>
      <c r="M254" s="6"/>
      <c r="N254" s="6"/>
      <c r="O254" s="6"/>
      <c r="P254" s="6"/>
      <c r="Q254" s="6" t="s">
        <v>345</v>
      </c>
      <c r="R254" s="7" t="n">
        <f aca="false">COUNTIF('Label Map'!$D$2:$D$2000,A254)</f>
        <v>1</v>
      </c>
    </row>
    <row r="255" customFormat="false" ht="15" hidden="false" customHeight="false" outlineLevel="0" collapsed="false">
      <c r="A255" s="6" t="s">
        <v>385</v>
      </c>
      <c r="B255" s="6" t="s">
        <v>63</v>
      </c>
      <c r="C255" s="6" t="s">
        <v>3</v>
      </c>
      <c r="D255" s="6" t="s">
        <v>75</v>
      </c>
      <c r="E255" s="6" t="s">
        <v>312</v>
      </c>
      <c r="F255" s="6" t="s">
        <v>376</v>
      </c>
      <c r="G255" s="6" t="s">
        <v>377</v>
      </c>
      <c r="H255" s="6" t="s">
        <v>384</v>
      </c>
      <c r="I255" s="6" t="s">
        <v>385</v>
      </c>
      <c r="J255" s="6" t="s">
        <v>384</v>
      </c>
      <c r="K255" s="6"/>
      <c r="L255" s="6"/>
      <c r="M255" s="6"/>
      <c r="N255" s="6"/>
      <c r="O255" s="6"/>
      <c r="P255" s="6"/>
      <c r="Q255" s="6"/>
      <c r="R255" s="7" t="n">
        <f aca="false">COUNTIF('Label Map'!$D$2:$D$2000,A255)</f>
        <v>0</v>
      </c>
    </row>
    <row r="256" customFormat="false" ht="15" hidden="false" customHeight="false" outlineLevel="0" collapsed="false">
      <c r="A256" s="6" t="s">
        <v>386</v>
      </c>
      <c r="B256" s="6" t="s">
        <v>11</v>
      </c>
      <c r="C256" s="6" t="s">
        <v>3</v>
      </c>
      <c r="D256" s="6" t="s">
        <v>75</v>
      </c>
      <c r="E256" s="6" t="s">
        <v>312</v>
      </c>
      <c r="F256" s="6" t="s">
        <v>376</v>
      </c>
      <c r="G256" s="6" t="s">
        <v>377</v>
      </c>
      <c r="H256" s="6" t="s">
        <v>386</v>
      </c>
      <c r="I256" s="6"/>
      <c r="J256" s="6" t="s">
        <v>376</v>
      </c>
      <c r="K256" s="6"/>
      <c r="L256" s="6"/>
      <c r="M256" s="6"/>
      <c r="N256" s="6"/>
      <c r="O256" s="6"/>
      <c r="P256" s="6"/>
      <c r="Q256" s="6" t="s">
        <v>345</v>
      </c>
      <c r="R256" s="7" t="n">
        <f aca="false">COUNTIF('Label Map'!$D$2:$D$2000,A256)</f>
        <v>1</v>
      </c>
    </row>
    <row r="257" customFormat="false" ht="15" hidden="false" customHeight="false" outlineLevel="0" collapsed="false">
      <c r="A257" s="6" t="s">
        <v>387</v>
      </c>
      <c r="B257" s="6" t="s">
        <v>11</v>
      </c>
      <c r="C257" s="6" t="s">
        <v>3</v>
      </c>
      <c r="D257" s="6" t="s">
        <v>75</v>
      </c>
      <c r="E257" s="6" t="s">
        <v>312</v>
      </c>
      <c r="F257" s="6" t="s">
        <v>376</v>
      </c>
      <c r="G257" s="6" t="s">
        <v>377</v>
      </c>
      <c r="H257" s="6" t="s">
        <v>387</v>
      </c>
      <c r="I257" s="6"/>
      <c r="J257" s="6" t="s">
        <v>376</v>
      </c>
      <c r="K257" s="6"/>
      <c r="L257" s="6"/>
      <c r="M257" s="6"/>
      <c r="N257" s="6"/>
      <c r="O257" s="6"/>
      <c r="P257" s="6"/>
      <c r="Q257" s="6" t="s">
        <v>345</v>
      </c>
      <c r="R257" s="7" t="n">
        <f aca="false">COUNTIF('Label Map'!$D$2:$D$2000,A257)</f>
        <v>1</v>
      </c>
    </row>
    <row r="258" customFormat="false" ht="15" hidden="false" customHeight="false" outlineLevel="0" collapsed="false">
      <c r="A258" s="6" t="s">
        <v>388</v>
      </c>
      <c r="B258" s="6" t="s">
        <v>11</v>
      </c>
      <c r="C258" s="6" t="s">
        <v>3</v>
      </c>
      <c r="D258" s="6" t="s">
        <v>75</v>
      </c>
      <c r="E258" s="6" t="s">
        <v>312</v>
      </c>
      <c r="F258" s="6" t="s">
        <v>376</v>
      </c>
      <c r="G258" s="6" t="s">
        <v>377</v>
      </c>
      <c r="H258" s="6" t="s">
        <v>388</v>
      </c>
      <c r="I258" s="6"/>
      <c r="J258" s="6" t="s">
        <v>376</v>
      </c>
      <c r="K258" s="6"/>
      <c r="L258" s="6"/>
      <c r="M258" s="6"/>
      <c r="N258" s="6"/>
      <c r="O258" s="6"/>
      <c r="P258" s="6"/>
      <c r="Q258" s="6" t="s">
        <v>345</v>
      </c>
      <c r="R258" s="7" t="n">
        <f aca="false">COUNTIF('Label Map'!$D$2:$D$2000,A258)</f>
        <v>1</v>
      </c>
    </row>
    <row r="259" customFormat="false" ht="15" hidden="false" customHeight="false" outlineLevel="0" collapsed="false">
      <c r="A259" s="6" t="s">
        <v>389</v>
      </c>
      <c r="B259" s="6" t="s">
        <v>11</v>
      </c>
      <c r="C259" s="6" t="s">
        <v>3</v>
      </c>
      <c r="D259" s="6" t="s">
        <v>75</v>
      </c>
      <c r="E259" s="6" t="s">
        <v>312</v>
      </c>
      <c r="F259" s="6" t="s">
        <v>376</v>
      </c>
      <c r="G259" s="6" t="s">
        <v>377</v>
      </c>
      <c r="H259" s="6" t="s">
        <v>389</v>
      </c>
      <c r="I259" s="6"/>
      <c r="J259" s="6" t="s">
        <v>376</v>
      </c>
      <c r="K259" s="6"/>
      <c r="L259" s="6"/>
      <c r="M259" s="6"/>
      <c r="N259" s="6"/>
      <c r="O259" s="6"/>
      <c r="P259" s="6"/>
      <c r="Q259" s="6" t="s">
        <v>345</v>
      </c>
      <c r="R259" s="7" t="n">
        <f aca="false">COUNTIF('Label Map'!$D$2:$D$2000,A259)</f>
        <v>1</v>
      </c>
    </row>
    <row r="260" customFormat="false" ht="15" hidden="false" customHeight="false" outlineLevel="0" collapsed="false">
      <c r="A260" s="6" t="s">
        <v>390</v>
      </c>
      <c r="B260" s="6" t="s">
        <v>11</v>
      </c>
      <c r="C260" s="6" t="s">
        <v>3</v>
      </c>
      <c r="D260" s="6" t="s">
        <v>75</v>
      </c>
      <c r="E260" s="6" t="s">
        <v>312</v>
      </c>
      <c r="F260" s="6" t="s">
        <v>376</v>
      </c>
      <c r="G260" s="6" t="s">
        <v>377</v>
      </c>
      <c r="H260" s="6" t="s">
        <v>390</v>
      </c>
      <c r="I260" s="6"/>
      <c r="J260" s="6" t="s">
        <v>376</v>
      </c>
      <c r="K260" s="6"/>
      <c r="L260" s="6"/>
      <c r="M260" s="6"/>
      <c r="N260" s="6"/>
      <c r="O260" s="6"/>
      <c r="P260" s="6"/>
      <c r="Q260" s="6" t="s">
        <v>345</v>
      </c>
      <c r="R260" s="7" t="n">
        <f aca="false">COUNTIF('Label Map'!$D$2:$D$2000,A260)</f>
        <v>1</v>
      </c>
    </row>
    <row r="261" customFormat="false" ht="15" hidden="false" customHeight="false" outlineLevel="0" collapsed="false">
      <c r="A261" s="6" t="s">
        <v>391</v>
      </c>
      <c r="B261" s="6" t="s">
        <v>11</v>
      </c>
      <c r="C261" s="6" t="s">
        <v>3</v>
      </c>
      <c r="D261" s="6" t="s">
        <v>75</v>
      </c>
      <c r="E261" s="6" t="s">
        <v>312</v>
      </c>
      <c r="F261" s="6" t="s">
        <v>376</v>
      </c>
      <c r="G261" s="6" t="s">
        <v>377</v>
      </c>
      <c r="H261" s="6" t="s">
        <v>391</v>
      </c>
      <c r="I261" s="6"/>
      <c r="J261" s="6" t="s">
        <v>376</v>
      </c>
      <c r="K261" s="6"/>
      <c r="L261" s="6"/>
      <c r="M261" s="6"/>
      <c r="N261" s="6"/>
      <c r="O261" s="6"/>
      <c r="P261" s="6"/>
      <c r="Q261" s="6" t="s">
        <v>345</v>
      </c>
      <c r="R261" s="7" t="n">
        <f aca="false">COUNTIF('Label Map'!$D$2:$D$2000,A261)</f>
        <v>1</v>
      </c>
    </row>
    <row r="262" customFormat="false" ht="15" hidden="false" customHeight="false" outlineLevel="0" collapsed="false">
      <c r="A262" s="6" t="s">
        <v>392</v>
      </c>
      <c r="B262" s="6" t="s">
        <v>11</v>
      </c>
      <c r="C262" s="6" t="s">
        <v>3</v>
      </c>
      <c r="D262" s="6" t="s">
        <v>75</v>
      </c>
      <c r="E262" s="6" t="s">
        <v>312</v>
      </c>
      <c r="F262" s="6" t="s">
        <v>376</v>
      </c>
      <c r="G262" s="6" t="s">
        <v>377</v>
      </c>
      <c r="H262" s="6" t="s">
        <v>392</v>
      </c>
      <c r="I262" s="6"/>
      <c r="J262" s="6" t="s">
        <v>376</v>
      </c>
      <c r="K262" s="6"/>
      <c r="L262" s="6"/>
      <c r="M262" s="6"/>
      <c r="N262" s="6"/>
      <c r="O262" s="6"/>
      <c r="P262" s="6"/>
      <c r="Q262" s="6" t="s">
        <v>345</v>
      </c>
      <c r="R262" s="7" t="n">
        <f aca="false">COUNTIF('Label Map'!$D$2:$D$2000,A262)</f>
        <v>1</v>
      </c>
    </row>
    <row r="263" customFormat="false" ht="15" hidden="false" customHeight="false" outlineLevel="0" collapsed="false">
      <c r="A263" s="6" t="s">
        <v>393</v>
      </c>
      <c r="B263" s="6" t="s">
        <v>11</v>
      </c>
      <c r="C263" s="6" t="s">
        <v>3</v>
      </c>
      <c r="D263" s="6" t="s">
        <v>75</v>
      </c>
      <c r="E263" s="6" t="s">
        <v>312</v>
      </c>
      <c r="F263" s="6" t="s">
        <v>376</v>
      </c>
      <c r="G263" s="6" t="s">
        <v>377</v>
      </c>
      <c r="H263" s="6" t="s">
        <v>393</v>
      </c>
      <c r="I263" s="6"/>
      <c r="J263" s="6" t="s">
        <v>376</v>
      </c>
      <c r="K263" s="6"/>
      <c r="L263" s="6"/>
      <c r="M263" s="6"/>
      <c r="N263" s="6"/>
      <c r="O263" s="6"/>
      <c r="P263" s="6"/>
      <c r="Q263" s="6" t="s">
        <v>345</v>
      </c>
      <c r="R263" s="7" t="n">
        <f aca="false">COUNTIF('Label Map'!$D$2:$D$2000,A263)</f>
        <v>1</v>
      </c>
    </row>
    <row r="264" customFormat="false" ht="15" hidden="false" customHeight="false" outlineLevel="0" collapsed="false">
      <c r="A264" s="6" t="s">
        <v>394</v>
      </c>
      <c r="B264" s="6" t="s">
        <v>11</v>
      </c>
      <c r="C264" s="6" t="s">
        <v>3</v>
      </c>
      <c r="D264" s="6" t="s">
        <v>75</v>
      </c>
      <c r="E264" s="6" t="s">
        <v>312</v>
      </c>
      <c r="F264" s="6" t="s">
        <v>376</v>
      </c>
      <c r="G264" s="6" t="s">
        <v>377</v>
      </c>
      <c r="H264" s="6" t="s">
        <v>394</v>
      </c>
      <c r="I264" s="6"/>
      <c r="J264" s="6" t="s">
        <v>376</v>
      </c>
      <c r="K264" s="6"/>
      <c r="L264" s="6"/>
      <c r="M264" s="6"/>
      <c r="N264" s="6"/>
      <c r="O264" s="6"/>
      <c r="P264" s="6"/>
      <c r="Q264" s="6" t="s">
        <v>345</v>
      </c>
      <c r="R264" s="7" t="n">
        <f aca="false">COUNTIF('Label Map'!$D$2:$D$2000,A264)</f>
        <v>1</v>
      </c>
    </row>
    <row r="265" customFormat="false" ht="15" hidden="false" customHeight="false" outlineLevel="0" collapsed="false">
      <c r="A265" s="6" t="s">
        <v>395</v>
      </c>
      <c r="B265" s="6" t="s">
        <v>11</v>
      </c>
      <c r="C265" s="6" t="s">
        <v>3</v>
      </c>
      <c r="D265" s="6" t="s">
        <v>75</v>
      </c>
      <c r="E265" s="6" t="s">
        <v>312</v>
      </c>
      <c r="F265" s="6" t="s">
        <v>376</v>
      </c>
      <c r="G265" s="6" t="s">
        <v>377</v>
      </c>
      <c r="H265" s="6" t="s">
        <v>395</v>
      </c>
      <c r="I265" s="6"/>
      <c r="J265" s="6" t="s">
        <v>376</v>
      </c>
      <c r="K265" s="6"/>
      <c r="L265" s="6"/>
      <c r="M265" s="6"/>
      <c r="N265" s="6"/>
      <c r="O265" s="6"/>
      <c r="P265" s="6"/>
      <c r="Q265" s="6" t="s">
        <v>345</v>
      </c>
      <c r="R265" s="7" t="n">
        <f aca="false">COUNTIF('Label Map'!$D$2:$D$2000,A265)</f>
        <v>1</v>
      </c>
    </row>
    <row r="266" customFormat="false" ht="15" hidden="false" customHeight="false" outlineLevel="0" collapsed="false">
      <c r="A266" s="6" t="s">
        <v>396</v>
      </c>
      <c r="B266" s="6" t="s">
        <v>11</v>
      </c>
      <c r="C266" s="6" t="s">
        <v>3</v>
      </c>
      <c r="D266" s="6" t="s">
        <v>75</v>
      </c>
      <c r="E266" s="6" t="s">
        <v>312</v>
      </c>
      <c r="F266" s="6" t="s">
        <v>376</v>
      </c>
      <c r="G266" s="6" t="s">
        <v>377</v>
      </c>
      <c r="H266" s="6" t="s">
        <v>396</v>
      </c>
      <c r="I266" s="6"/>
      <c r="J266" s="6" t="s">
        <v>376</v>
      </c>
      <c r="K266" s="6"/>
      <c r="L266" s="6"/>
      <c r="M266" s="6"/>
      <c r="N266" s="6"/>
      <c r="O266" s="6"/>
      <c r="P266" s="6"/>
      <c r="Q266" s="6" t="s">
        <v>345</v>
      </c>
      <c r="R266" s="7" t="n">
        <f aca="false">COUNTIF('Label Map'!$D$2:$D$2000,A266)</f>
        <v>1</v>
      </c>
    </row>
    <row r="267" customFormat="false" ht="15" hidden="false" customHeight="false" outlineLevel="0" collapsed="false">
      <c r="A267" s="6" t="s">
        <v>397</v>
      </c>
      <c r="B267" s="6" t="s">
        <v>63</v>
      </c>
      <c r="C267" s="6" t="s">
        <v>3</v>
      </c>
      <c r="D267" s="6" t="s">
        <v>75</v>
      </c>
      <c r="E267" s="6" t="s">
        <v>312</v>
      </c>
      <c r="F267" s="6" t="s">
        <v>376</v>
      </c>
      <c r="G267" s="6" t="s">
        <v>377</v>
      </c>
      <c r="H267" s="6" t="s">
        <v>396</v>
      </c>
      <c r="I267" s="6" t="s">
        <v>397</v>
      </c>
      <c r="J267" s="6" t="s">
        <v>396</v>
      </c>
      <c r="K267" s="6"/>
      <c r="L267" s="6"/>
      <c r="M267" s="6"/>
      <c r="N267" s="6"/>
      <c r="O267" s="6"/>
      <c r="P267" s="6"/>
      <c r="Q267" s="6"/>
      <c r="R267" s="7" t="n">
        <f aca="false">COUNTIF('Label Map'!$D$2:$D$2000,A267)</f>
        <v>0</v>
      </c>
    </row>
    <row r="268" customFormat="false" ht="15" hidden="false" customHeight="false" outlineLevel="0" collapsed="false">
      <c r="A268" s="6" t="s">
        <v>398</v>
      </c>
      <c r="B268" s="6" t="s">
        <v>11</v>
      </c>
      <c r="C268" s="6" t="s">
        <v>3</v>
      </c>
      <c r="D268" s="6" t="s">
        <v>75</v>
      </c>
      <c r="E268" s="6" t="s">
        <v>312</v>
      </c>
      <c r="F268" s="6" t="s">
        <v>376</v>
      </c>
      <c r="G268" s="6" t="s">
        <v>377</v>
      </c>
      <c r="H268" s="6" t="s">
        <v>398</v>
      </c>
      <c r="I268" s="6"/>
      <c r="J268" s="6" t="s">
        <v>376</v>
      </c>
      <c r="K268" s="6"/>
      <c r="L268" s="6"/>
      <c r="M268" s="6"/>
      <c r="N268" s="6"/>
      <c r="O268" s="6"/>
      <c r="P268" s="6"/>
      <c r="Q268" s="6" t="s">
        <v>399</v>
      </c>
      <c r="R268" s="7" t="n">
        <f aca="false">COUNTIF('Label Map'!$D$2:$D$2000,A268)</f>
        <v>3</v>
      </c>
    </row>
    <row r="269" customFormat="false" ht="15" hidden="false" customHeight="false" outlineLevel="0" collapsed="false">
      <c r="A269" s="6" t="s">
        <v>400</v>
      </c>
      <c r="B269" s="6" t="s">
        <v>11</v>
      </c>
      <c r="C269" s="6" t="s">
        <v>3</v>
      </c>
      <c r="D269" s="6" t="s">
        <v>75</v>
      </c>
      <c r="E269" s="6" t="s">
        <v>312</v>
      </c>
      <c r="F269" s="6" t="s">
        <v>376</v>
      </c>
      <c r="G269" s="6" t="s">
        <v>377</v>
      </c>
      <c r="H269" s="6" t="s">
        <v>400</v>
      </c>
      <c r="I269" s="6"/>
      <c r="J269" s="6" t="s">
        <v>376</v>
      </c>
      <c r="K269" s="6"/>
      <c r="L269" s="6"/>
      <c r="M269" s="6"/>
      <c r="N269" s="6"/>
      <c r="O269" s="6"/>
      <c r="P269" s="6"/>
      <c r="Q269" s="6" t="s">
        <v>345</v>
      </c>
      <c r="R269" s="7" t="n">
        <f aca="false">COUNTIF('Label Map'!$D$2:$D$2000,A269)</f>
        <v>1</v>
      </c>
    </row>
    <row r="270" customFormat="false" ht="15" hidden="false" customHeight="false" outlineLevel="0" collapsed="false">
      <c r="A270" s="6" t="s">
        <v>401</v>
      </c>
      <c r="B270" s="6" t="s">
        <v>11</v>
      </c>
      <c r="C270" s="6" t="s">
        <v>3</v>
      </c>
      <c r="D270" s="6" t="s">
        <v>75</v>
      </c>
      <c r="E270" s="6" t="s">
        <v>312</v>
      </c>
      <c r="F270" s="6" t="s">
        <v>376</v>
      </c>
      <c r="G270" s="6" t="s">
        <v>377</v>
      </c>
      <c r="H270" s="6" t="s">
        <v>401</v>
      </c>
      <c r="I270" s="6"/>
      <c r="J270" s="6" t="s">
        <v>376</v>
      </c>
      <c r="K270" s="6"/>
      <c r="L270" s="6"/>
      <c r="M270" s="6"/>
      <c r="N270" s="6"/>
      <c r="O270" s="6"/>
      <c r="P270" s="6"/>
      <c r="Q270" s="6" t="s">
        <v>345</v>
      </c>
      <c r="R270" s="7" t="n">
        <f aca="false">COUNTIF('Label Map'!$D$2:$D$2000,A270)</f>
        <v>1</v>
      </c>
    </row>
    <row r="271" customFormat="false" ht="15" hidden="false" customHeight="false" outlineLevel="0" collapsed="false">
      <c r="A271" s="6" t="s">
        <v>402</v>
      </c>
      <c r="B271" s="6" t="s">
        <v>11</v>
      </c>
      <c r="C271" s="6" t="s">
        <v>3</v>
      </c>
      <c r="D271" s="6" t="s">
        <v>75</v>
      </c>
      <c r="E271" s="6" t="s">
        <v>312</v>
      </c>
      <c r="F271" s="6" t="s">
        <v>376</v>
      </c>
      <c r="G271" s="6" t="s">
        <v>377</v>
      </c>
      <c r="H271" s="6" t="s">
        <v>402</v>
      </c>
      <c r="I271" s="6"/>
      <c r="J271" s="6" t="s">
        <v>376</v>
      </c>
      <c r="K271" s="6"/>
      <c r="L271" s="6"/>
      <c r="M271" s="6"/>
      <c r="N271" s="6"/>
      <c r="O271" s="6"/>
      <c r="P271" s="6"/>
      <c r="Q271" s="6" t="s">
        <v>345</v>
      </c>
      <c r="R271" s="7" t="n">
        <f aca="false">COUNTIF('Label Map'!$D$2:$D$2000,A271)</f>
        <v>1</v>
      </c>
    </row>
    <row r="272" customFormat="false" ht="15" hidden="false" customHeight="false" outlineLevel="0" collapsed="false">
      <c r="A272" s="6" t="s">
        <v>403</v>
      </c>
      <c r="B272" s="6" t="s">
        <v>11</v>
      </c>
      <c r="C272" s="6" t="s">
        <v>3</v>
      </c>
      <c r="D272" s="6" t="s">
        <v>75</v>
      </c>
      <c r="E272" s="6" t="s">
        <v>312</v>
      </c>
      <c r="F272" s="6" t="s">
        <v>376</v>
      </c>
      <c r="G272" s="6" t="s">
        <v>377</v>
      </c>
      <c r="H272" s="6" t="s">
        <v>403</v>
      </c>
      <c r="I272" s="6"/>
      <c r="J272" s="6" t="s">
        <v>376</v>
      </c>
      <c r="K272" s="6"/>
      <c r="L272" s="6"/>
      <c r="M272" s="6"/>
      <c r="N272" s="6"/>
      <c r="O272" s="6"/>
      <c r="P272" s="6"/>
      <c r="Q272" s="6" t="s">
        <v>345</v>
      </c>
      <c r="R272" s="7" t="n">
        <f aca="false">COUNTIF('Label Map'!$D$2:$D$2000,A272)</f>
        <v>2</v>
      </c>
    </row>
    <row r="273" customFormat="false" ht="15" hidden="false" customHeight="false" outlineLevel="0" collapsed="false">
      <c r="A273" s="6" t="s">
        <v>404</v>
      </c>
      <c r="B273" s="6" t="s">
        <v>63</v>
      </c>
      <c r="C273" s="6" t="s">
        <v>3</v>
      </c>
      <c r="D273" s="6" t="s">
        <v>75</v>
      </c>
      <c r="E273" s="6" t="s">
        <v>312</v>
      </c>
      <c r="F273" s="6" t="s">
        <v>376</v>
      </c>
      <c r="G273" s="6" t="s">
        <v>377</v>
      </c>
      <c r="H273" s="6" t="s">
        <v>403</v>
      </c>
      <c r="I273" s="6" t="s">
        <v>404</v>
      </c>
      <c r="J273" s="6" t="s">
        <v>403</v>
      </c>
      <c r="K273" s="6"/>
      <c r="L273" s="6"/>
      <c r="M273" s="6"/>
      <c r="N273" s="6"/>
      <c r="O273" s="6"/>
      <c r="P273" s="6"/>
      <c r="Q273" s="6"/>
      <c r="R273" s="7" t="n">
        <f aca="false">COUNTIF('Label Map'!$D$2:$D$2000,A273)</f>
        <v>0</v>
      </c>
    </row>
    <row r="274" customFormat="false" ht="15" hidden="false" customHeight="false" outlineLevel="0" collapsed="false">
      <c r="A274" s="6" t="s">
        <v>405</v>
      </c>
      <c r="B274" s="6" t="s">
        <v>11</v>
      </c>
      <c r="C274" s="6" t="s">
        <v>3</v>
      </c>
      <c r="D274" s="6" t="s">
        <v>75</v>
      </c>
      <c r="E274" s="6" t="s">
        <v>312</v>
      </c>
      <c r="F274" s="6" t="s">
        <v>376</v>
      </c>
      <c r="G274" s="6" t="s">
        <v>377</v>
      </c>
      <c r="H274" s="6" t="s">
        <v>405</v>
      </c>
      <c r="I274" s="6"/>
      <c r="J274" s="6" t="s">
        <v>376</v>
      </c>
      <c r="K274" s="6"/>
      <c r="L274" s="6"/>
      <c r="M274" s="6"/>
      <c r="N274" s="6"/>
      <c r="O274" s="6"/>
      <c r="P274" s="6"/>
      <c r="Q274" s="6" t="s">
        <v>345</v>
      </c>
      <c r="R274" s="7" t="n">
        <f aca="false">COUNTIF('Label Map'!$D$2:$D$2000,A274)</f>
        <v>1</v>
      </c>
    </row>
    <row r="275" customFormat="false" ht="15" hidden="false" customHeight="false" outlineLevel="0" collapsed="false">
      <c r="A275" s="6" t="s">
        <v>406</v>
      </c>
      <c r="B275" s="6" t="s">
        <v>11</v>
      </c>
      <c r="C275" s="6" t="s">
        <v>3</v>
      </c>
      <c r="D275" s="6" t="s">
        <v>75</v>
      </c>
      <c r="E275" s="6" t="s">
        <v>312</v>
      </c>
      <c r="F275" s="6" t="s">
        <v>376</v>
      </c>
      <c r="G275" s="6" t="s">
        <v>377</v>
      </c>
      <c r="H275" s="6" t="s">
        <v>406</v>
      </c>
      <c r="I275" s="6"/>
      <c r="J275" s="6" t="s">
        <v>376</v>
      </c>
      <c r="K275" s="6"/>
      <c r="L275" s="6"/>
      <c r="M275" s="6"/>
      <c r="N275" s="6"/>
      <c r="O275" s="6"/>
      <c r="P275" s="6"/>
      <c r="Q275" s="6" t="s">
        <v>345</v>
      </c>
      <c r="R275" s="7" t="n">
        <f aca="false">COUNTIF('Label Map'!$D$2:$D$2000,A275)</f>
        <v>1</v>
      </c>
    </row>
    <row r="276" customFormat="false" ht="15" hidden="false" customHeight="false" outlineLevel="0" collapsed="false">
      <c r="A276" s="6" t="s">
        <v>407</v>
      </c>
      <c r="B276" s="6" t="s">
        <v>11</v>
      </c>
      <c r="C276" s="6" t="s">
        <v>3</v>
      </c>
      <c r="D276" s="6" t="s">
        <v>75</v>
      </c>
      <c r="E276" s="6" t="s">
        <v>312</v>
      </c>
      <c r="F276" s="6" t="s">
        <v>376</v>
      </c>
      <c r="G276" s="6" t="s">
        <v>377</v>
      </c>
      <c r="H276" s="6" t="s">
        <v>407</v>
      </c>
      <c r="I276" s="6"/>
      <c r="J276" s="6" t="s">
        <v>376</v>
      </c>
      <c r="K276" s="6"/>
      <c r="L276" s="6"/>
      <c r="M276" s="6"/>
      <c r="N276" s="6"/>
      <c r="O276" s="6"/>
      <c r="P276" s="6"/>
      <c r="Q276" s="6" t="s">
        <v>345</v>
      </c>
      <c r="R276" s="7" t="n">
        <f aca="false">COUNTIF('Label Map'!$D$2:$D$2000,A276)</f>
        <v>1</v>
      </c>
    </row>
    <row r="277" customFormat="false" ht="15" hidden="false" customHeight="false" outlineLevel="0" collapsed="false">
      <c r="A277" s="6" t="s">
        <v>408</v>
      </c>
      <c r="B277" s="6" t="s">
        <v>11</v>
      </c>
      <c r="C277" s="6" t="s">
        <v>3</v>
      </c>
      <c r="D277" s="6" t="s">
        <v>75</v>
      </c>
      <c r="E277" s="6" t="s">
        <v>312</v>
      </c>
      <c r="F277" s="6" t="s">
        <v>376</v>
      </c>
      <c r="G277" s="6" t="s">
        <v>377</v>
      </c>
      <c r="H277" s="6" t="s">
        <v>408</v>
      </c>
      <c r="I277" s="6"/>
      <c r="J277" s="6" t="s">
        <v>376</v>
      </c>
      <c r="K277" s="6"/>
      <c r="L277" s="6"/>
      <c r="M277" s="6"/>
      <c r="N277" s="6"/>
      <c r="O277" s="6"/>
      <c r="P277" s="6"/>
      <c r="Q277" s="6" t="s">
        <v>345</v>
      </c>
      <c r="R277" s="7" t="n">
        <f aca="false">COUNTIF('Label Map'!$D$2:$D$2000,A277)</f>
        <v>1</v>
      </c>
    </row>
    <row r="278" customFormat="false" ht="15" hidden="false" customHeight="false" outlineLevel="0" collapsed="false">
      <c r="A278" s="6" t="s">
        <v>409</v>
      </c>
      <c r="B278" s="6" t="s">
        <v>63</v>
      </c>
      <c r="C278" s="6" t="s">
        <v>3</v>
      </c>
      <c r="D278" s="6" t="s">
        <v>75</v>
      </c>
      <c r="E278" s="6" t="s">
        <v>312</v>
      </c>
      <c r="F278" s="6" t="s">
        <v>376</v>
      </c>
      <c r="G278" s="6" t="s">
        <v>377</v>
      </c>
      <c r="H278" s="6" t="s">
        <v>408</v>
      </c>
      <c r="I278" s="6" t="s">
        <v>409</v>
      </c>
      <c r="J278" s="6" t="s">
        <v>408</v>
      </c>
      <c r="K278" s="6"/>
      <c r="L278" s="6"/>
      <c r="M278" s="6"/>
      <c r="N278" s="6"/>
      <c r="O278" s="6"/>
      <c r="P278" s="6"/>
      <c r="Q278" s="6"/>
      <c r="R278" s="7" t="n">
        <f aca="false">COUNTIF('Label Map'!$D$2:$D$2000,A278)</f>
        <v>1</v>
      </c>
    </row>
    <row r="279" customFormat="false" ht="15" hidden="false" customHeight="false" outlineLevel="0" collapsed="false">
      <c r="A279" s="6" t="s">
        <v>410</v>
      </c>
      <c r="B279" s="6" t="s">
        <v>11</v>
      </c>
      <c r="C279" s="6" t="s">
        <v>3</v>
      </c>
      <c r="D279" s="6" t="s">
        <v>75</v>
      </c>
      <c r="E279" s="6" t="s">
        <v>312</v>
      </c>
      <c r="F279" s="6" t="s">
        <v>376</v>
      </c>
      <c r="G279" s="6" t="s">
        <v>377</v>
      </c>
      <c r="H279" s="6" t="s">
        <v>410</v>
      </c>
      <c r="I279" s="6"/>
      <c r="J279" s="6" t="s">
        <v>376</v>
      </c>
      <c r="K279" s="6"/>
      <c r="L279" s="6"/>
      <c r="M279" s="6"/>
      <c r="N279" s="6"/>
      <c r="O279" s="6"/>
      <c r="P279" s="6"/>
      <c r="Q279" s="6" t="s">
        <v>345</v>
      </c>
      <c r="R279" s="7" t="n">
        <f aca="false">COUNTIF('Label Map'!$D$2:$D$2000,A279)</f>
        <v>1</v>
      </c>
    </row>
    <row r="280" customFormat="false" ht="15" hidden="false" customHeight="false" outlineLevel="0" collapsed="false">
      <c r="A280" s="6" t="s">
        <v>411</v>
      </c>
      <c r="B280" s="6" t="s">
        <v>11</v>
      </c>
      <c r="C280" s="6" t="s">
        <v>3</v>
      </c>
      <c r="D280" s="6" t="s">
        <v>75</v>
      </c>
      <c r="E280" s="6" t="s">
        <v>312</v>
      </c>
      <c r="F280" s="6" t="s">
        <v>376</v>
      </c>
      <c r="G280" s="6" t="s">
        <v>377</v>
      </c>
      <c r="H280" s="6" t="s">
        <v>411</v>
      </c>
      <c r="I280" s="6"/>
      <c r="J280" s="6" t="s">
        <v>376</v>
      </c>
      <c r="K280" s="6"/>
      <c r="L280" s="6"/>
      <c r="M280" s="6"/>
      <c r="N280" s="6"/>
      <c r="O280" s="6"/>
      <c r="P280" s="6"/>
      <c r="Q280" s="6" t="s">
        <v>345</v>
      </c>
      <c r="R280" s="7" t="n">
        <f aca="false">COUNTIF('Label Map'!$D$2:$D$2000,A280)</f>
        <v>1</v>
      </c>
    </row>
    <row r="281" customFormat="false" ht="15" hidden="false" customHeight="false" outlineLevel="0" collapsed="false">
      <c r="A281" s="6" t="s">
        <v>412</v>
      </c>
      <c r="B281" s="6" t="s">
        <v>11</v>
      </c>
      <c r="C281" s="6" t="s">
        <v>3</v>
      </c>
      <c r="D281" s="6" t="s">
        <v>75</v>
      </c>
      <c r="E281" s="6" t="s">
        <v>312</v>
      </c>
      <c r="F281" s="6" t="s">
        <v>376</v>
      </c>
      <c r="G281" s="6" t="s">
        <v>377</v>
      </c>
      <c r="H281" s="6" t="s">
        <v>412</v>
      </c>
      <c r="I281" s="6"/>
      <c r="J281" s="6" t="s">
        <v>376</v>
      </c>
      <c r="K281" s="6"/>
      <c r="L281" s="6"/>
      <c r="M281" s="6"/>
      <c r="N281" s="6"/>
      <c r="O281" s="6"/>
      <c r="P281" s="6"/>
      <c r="Q281" s="6" t="s">
        <v>345</v>
      </c>
      <c r="R281" s="7" t="n">
        <f aca="false">COUNTIF('Label Map'!$D$2:$D$2000,A281)</f>
        <v>1</v>
      </c>
    </row>
    <row r="282" customFormat="false" ht="15" hidden="false" customHeight="false" outlineLevel="0" collapsed="false">
      <c r="A282" s="6" t="s">
        <v>413</v>
      </c>
      <c r="B282" s="6" t="s">
        <v>11</v>
      </c>
      <c r="C282" s="6" t="s">
        <v>3</v>
      </c>
      <c r="D282" s="6" t="s">
        <v>75</v>
      </c>
      <c r="E282" s="6" t="s">
        <v>312</v>
      </c>
      <c r="F282" s="6" t="s">
        <v>376</v>
      </c>
      <c r="G282" s="6" t="s">
        <v>377</v>
      </c>
      <c r="H282" s="6" t="s">
        <v>413</v>
      </c>
      <c r="I282" s="6"/>
      <c r="J282" s="6" t="s">
        <v>376</v>
      </c>
      <c r="K282" s="6"/>
      <c r="L282" s="6"/>
      <c r="M282" s="6"/>
      <c r="N282" s="6"/>
      <c r="O282" s="6"/>
      <c r="P282" s="6"/>
      <c r="Q282" s="6" t="s">
        <v>345</v>
      </c>
      <c r="R282" s="7" t="n">
        <f aca="false">COUNTIF('Label Map'!$D$2:$D$2000,A282)</f>
        <v>2</v>
      </c>
    </row>
    <row r="283" customFormat="false" ht="15" hidden="false" customHeight="false" outlineLevel="0" collapsed="false">
      <c r="A283" s="6" t="s">
        <v>414</v>
      </c>
      <c r="B283" s="6" t="s">
        <v>11</v>
      </c>
      <c r="C283" s="6" t="s">
        <v>3</v>
      </c>
      <c r="D283" s="6" t="s">
        <v>75</v>
      </c>
      <c r="E283" s="6" t="s">
        <v>312</v>
      </c>
      <c r="F283" s="6" t="s">
        <v>376</v>
      </c>
      <c r="G283" s="6" t="s">
        <v>377</v>
      </c>
      <c r="H283" s="6" t="s">
        <v>414</v>
      </c>
      <c r="I283" s="6"/>
      <c r="J283" s="6" t="s">
        <v>376</v>
      </c>
      <c r="K283" s="6"/>
      <c r="L283" s="6"/>
      <c r="M283" s="6"/>
      <c r="N283" s="6"/>
      <c r="O283" s="6"/>
      <c r="P283" s="6"/>
      <c r="Q283" s="6" t="s">
        <v>345</v>
      </c>
      <c r="R283" s="7" t="n">
        <f aca="false">COUNTIF('Label Map'!$D$2:$D$2000,A283)</f>
        <v>1</v>
      </c>
    </row>
    <row r="284" customFormat="false" ht="15" hidden="false" customHeight="false" outlineLevel="0" collapsed="false">
      <c r="A284" s="6" t="s">
        <v>415</v>
      </c>
      <c r="B284" s="6" t="s">
        <v>11</v>
      </c>
      <c r="C284" s="6" t="s">
        <v>3</v>
      </c>
      <c r="D284" s="6" t="s">
        <v>75</v>
      </c>
      <c r="E284" s="6" t="s">
        <v>312</v>
      </c>
      <c r="F284" s="6" t="s">
        <v>376</v>
      </c>
      <c r="G284" s="6" t="s">
        <v>377</v>
      </c>
      <c r="H284" s="6" t="s">
        <v>415</v>
      </c>
      <c r="I284" s="6"/>
      <c r="J284" s="6" t="s">
        <v>376</v>
      </c>
      <c r="K284" s="6"/>
      <c r="L284" s="6"/>
      <c r="M284" s="6"/>
      <c r="N284" s="6"/>
      <c r="O284" s="6"/>
      <c r="P284" s="6"/>
      <c r="Q284" s="6" t="s">
        <v>345</v>
      </c>
      <c r="R284" s="7" t="n">
        <f aca="false">COUNTIF('Label Map'!$D$2:$D$2000,A284)</f>
        <v>1</v>
      </c>
    </row>
    <row r="285" customFormat="false" ht="15" hidden="false" customHeight="false" outlineLevel="0" collapsed="false">
      <c r="A285" s="6" t="s">
        <v>416</v>
      </c>
      <c r="B285" s="6" t="s">
        <v>11</v>
      </c>
      <c r="C285" s="6" t="s">
        <v>3</v>
      </c>
      <c r="D285" s="6" t="s">
        <v>75</v>
      </c>
      <c r="E285" s="6" t="s">
        <v>312</v>
      </c>
      <c r="F285" s="6" t="s">
        <v>376</v>
      </c>
      <c r="G285" s="6" t="s">
        <v>377</v>
      </c>
      <c r="H285" s="6" t="s">
        <v>416</v>
      </c>
      <c r="I285" s="6"/>
      <c r="J285" s="6" t="s">
        <v>376</v>
      </c>
      <c r="K285" s="6"/>
      <c r="L285" s="6"/>
      <c r="M285" s="6"/>
      <c r="N285" s="6"/>
      <c r="O285" s="6"/>
      <c r="P285" s="6"/>
      <c r="Q285" s="6" t="s">
        <v>345</v>
      </c>
      <c r="R285" s="7" t="n">
        <f aca="false">COUNTIF('Label Map'!$D$2:$D$2000,A285)</f>
        <v>1</v>
      </c>
    </row>
    <row r="286" customFormat="false" ht="15" hidden="false" customHeight="false" outlineLevel="0" collapsed="false">
      <c r="A286" s="6" t="s">
        <v>417</v>
      </c>
      <c r="B286" s="6" t="s">
        <v>11</v>
      </c>
      <c r="C286" s="6" t="s">
        <v>3</v>
      </c>
      <c r="D286" s="6" t="s">
        <v>75</v>
      </c>
      <c r="E286" s="6" t="s">
        <v>312</v>
      </c>
      <c r="F286" s="6" t="s">
        <v>376</v>
      </c>
      <c r="G286" s="6" t="s">
        <v>377</v>
      </c>
      <c r="H286" s="6" t="s">
        <v>417</v>
      </c>
      <c r="I286" s="6"/>
      <c r="J286" s="6" t="s">
        <v>376</v>
      </c>
      <c r="K286" s="6"/>
      <c r="L286" s="6"/>
      <c r="M286" s="6"/>
      <c r="N286" s="6"/>
      <c r="O286" s="6"/>
      <c r="P286" s="6"/>
      <c r="Q286" s="6" t="s">
        <v>345</v>
      </c>
      <c r="R286" s="7" t="n">
        <f aca="false">COUNTIF('Label Map'!$D$2:$D$2000,A286)</f>
        <v>1</v>
      </c>
    </row>
    <row r="287" customFormat="false" ht="15" hidden="false" customHeight="false" outlineLevel="0" collapsed="false">
      <c r="A287" s="6" t="s">
        <v>418</v>
      </c>
      <c r="B287" s="6" t="s">
        <v>11</v>
      </c>
      <c r="C287" s="6" t="s">
        <v>3</v>
      </c>
      <c r="D287" s="6" t="s">
        <v>75</v>
      </c>
      <c r="E287" s="6" t="s">
        <v>312</v>
      </c>
      <c r="F287" s="6" t="s">
        <v>376</v>
      </c>
      <c r="G287" s="6" t="s">
        <v>377</v>
      </c>
      <c r="H287" s="6" t="s">
        <v>418</v>
      </c>
      <c r="I287" s="6"/>
      <c r="J287" s="6" t="s">
        <v>376</v>
      </c>
      <c r="K287" s="6"/>
      <c r="L287" s="6"/>
      <c r="M287" s="6"/>
      <c r="N287" s="6"/>
      <c r="O287" s="6"/>
      <c r="P287" s="6"/>
      <c r="Q287" s="6" t="s">
        <v>345</v>
      </c>
      <c r="R287" s="7" t="n">
        <f aca="false">COUNTIF('Label Map'!$D$2:$D$2000,A287)</f>
        <v>1</v>
      </c>
    </row>
    <row r="288" customFormat="false" ht="15" hidden="false" customHeight="false" outlineLevel="0" collapsed="false">
      <c r="A288" s="6" t="s">
        <v>419</v>
      </c>
      <c r="B288" s="6" t="s">
        <v>11</v>
      </c>
      <c r="C288" s="6" t="s">
        <v>3</v>
      </c>
      <c r="D288" s="6" t="s">
        <v>75</v>
      </c>
      <c r="E288" s="6" t="s">
        <v>312</v>
      </c>
      <c r="F288" s="6" t="s">
        <v>376</v>
      </c>
      <c r="G288" s="6" t="s">
        <v>377</v>
      </c>
      <c r="H288" s="6" t="s">
        <v>419</v>
      </c>
      <c r="I288" s="6"/>
      <c r="J288" s="6" t="s">
        <v>376</v>
      </c>
      <c r="K288" s="6"/>
      <c r="L288" s="6"/>
      <c r="M288" s="6"/>
      <c r="N288" s="6"/>
      <c r="O288" s="6"/>
      <c r="P288" s="6"/>
      <c r="Q288" s="6" t="s">
        <v>345</v>
      </c>
      <c r="R288" s="7" t="n">
        <f aca="false">COUNTIF('Label Map'!$D$2:$D$2000,A288)</f>
        <v>0</v>
      </c>
    </row>
    <row r="289" customFormat="false" ht="15" hidden="false" customHeight="false" outlineLevel="0" collapsed="false">
      <c r="A289" s="6" t="s">
        <v>420</v>
      </c>
      <c r="B289" s="6" t="s">
        <v>9</v>
      </c>
      <c r="C289" s="6" t="s">
        <v>3</v>
      </c>
      <c r="D289" s="6" t="s">
        <v>75</v>
      </c>
      <c r="E289" s="6" t="s">
        <v>312</v>
      </c>
      <c r="F289" s="6" t="s">
        <v>420</v>
      </c>
      <c r="G289" s="6" t="s">
        <v>421</v>
      </c>
      <c r="H289" s="6"/>
      <c r="I289" s="6"/>
      <c r="J289" s="6" t="s">
        <v>312</v>
      </c>
      <c r="K289" s="6" t="s">
        <v>422</v>
      </c>
      <c r="L289" s="6" t="s">
        <v>84</v>
      </c>
      <c r="M289" s="6" t="s">
        <v>335</v>
      </c>
      <c r="N289" s="6" t="s">
        <v>319</v>
      </c>
      <c r="O289" s="6" t="s">
        <v>311</v>
      </c>
      <c r="P289" s="6" t="s">
        <v>311</v>
      </c>
      <c r="Q289" s="6"/>
      <c r="R289" s="7" t="n">
        <f aca="false">COUNTIF('Label Map'!$D$2:$D$2000,A289)</f>
        <v>1</v>
      </c>
    </row>
    <row r="290" customFormat="false" ht="15" hidden="false" customHeight="false" outlineLevel="0" collapsed="false">
      <c r="A290" s="6" t="s">
        <v>423</v>
      </c>
      <c r="B290" s="6" t="s">
        <v>9</v>
      </c>
      <c r="C290" s="6" t="s">
        <v>3</v>
      </c>
      <c r="D290" s="6" t="s">
        <v>75</v>
      </c>
      <c r="E290" s="6" t="s">
        <v>312</v>
      </c>
      <c r="F290" s="6" t="s">
        <v>423</v>
      </c>
      <c r="G290" s="6" t="s">
        <v>424</v>
      </c>
      <c r="H290" s="6"/>
      <c r="I290" s="6"/>
      <c r="J290" s="6" t="s">
        <v>312</v>
      </c>
      <c r="K290" s="6" t="s">
        <v>422</v>
      </c>
      <c r="L290" s="6" t="s">
        <v>84</v>
      </c>
      <c r="M290" s="6" t="s">
        <v>335</v>
      </c>
      <c r="N290" s="6" t="s">
        <v>319</v>
      </c>
      <c r="O290" s="6" t="s">
        <v>336</v>
      </c>
      <c r="P290" s="6" t="s">
        <v>87</v>
      </c>
      <c r="Q290" s="6"/>
      <c r="R290" s="7" t="n">
        <f aca="false">COUNTIF('Label Map'!$D$2:$D$2000,A290)</f>
        <v>1</v>
      </c>
    </row>
    <row r="291" customFormat="false" ht="15" hidden="false" customHeight="false" outlineLevel="0" collapsed="false">
      <c r="A291" s="6" t="s">
        <v>425</v>
      </c>
      <c r="B291" s="6" t="s">
        <v>9</v>
      </c>
      <c r="C291" s="6" t="s">
        <v>3</v>
      </c>
      <c r="D291" s="6" t="s">
        <v>75</v>
      </c>
      <c r="E291" s="6" t="s">
        <v>312</v>
      </c>
      <c r="F291" s="6" t="s">
        <v>425</v>
      </c>
      <c r="G291" s="6" t="s">
        <v>426</v>
      </c>
      <c r="H291" s="6"/>
      <c r="I291" s="6"/>
      <c r="J291" s="6" t="s">
        <v>312</v>
      </c>
      <c r="K291" s="6" t="s">
        <v>427</v>
      </c>
      <c r="L291" s="6" t="s">
        <v>84</v>
      </c>
      <c r="M291" s="6" t="s">
        <v>335</v>
      </c>
      <c r="N291" s="6" t="s">
        <v>315</v>
      </c>
      <c r="O291" s="6" t="s">
        <v>336</v>
      </c>
      <c r="P291" s="6" t="s">
        <v>337</v>
      </c>
      <c r="Q291" s="6"/>
      <c r="R291" s="7" t="n">
        <f aca="false">COUNTIF('Label Map'!$D$2:$D$2000,A291)</f>
        <v>3</v>
      </c>
    </row>
    <row r="292" customFormat="false" ht="15" hidden="false" customHeight="false" outlineLevel="0" collapsed="false">
      <c r="A292" s="6" t="s">
        <v>428</v>
      </c>
      <c r="B292" s="6" t="s">
        <v>11</v>
      </c>
      <c r="C292" s="6" t="s">
        <v>3</v>
      </c>
      <c r="D292" s="6" t="s">
        <v>75</v>
      </c>
      <c r="E292" s="6" t="s">
        <v>312</v>
      </c>
      <c r="F292" s="6" t="s">
        <v>425</v>
      </c>
      <c r="G292" s="6" t="s">
        <v>426</v>
      </c>
      <c r="H292" s="6" t="s">
        <v>428</v>
      </c>
      <c r="I292" s="6"/>
      <c r="J292" s="6" t="s">
        <v>425</v>
      </c>
      <c r="K292" s="6"/>
      <c r="L292" s="6"/>
      <c r="M292" s="6"/>
      <c r="N292" s="6"/>
      <c r="O292" s="6"/>
      <c r="P292" s="6"/>
      <c r="Q292" s="6" t="s">
        <v>429</v>
      </c>
      <c r="R292" s="7" t="n">
        <f aca="false">COUNTIF('Label Map'!$D$2:$D$2000,A292)</f>
        <v>1</v>
      </c>
    </row>
    <row r="293" customFormat="false" ht="15" hidden="false" customHeight="false" outlineLevel="0" collapsed="false">
      <c r="A293" s="6" t="s">
        <v>430</v>
      </c>
      <c r="B293" s="6" t="s">
        <v>11</v>
      </c>
      <c r="C293" s="6" t="s">
        <v>3</v>
      </c>
      <c r="D293" s="6" t="s">
        <v>75</v>
      </c>
      <c r="E293" s="6" t="s">
        <v>312</v>
      </c>
      <c r="F293" s="6" t="s">
        <v>425</v>
      </c>
      <c r="G293" s="6" t="s">
        <v>426</v>
      </c>
      <c r="H293" s="6" t="s">
        <v>430</v>
      </c>
      <c r="I293" s="6"/>
      <c r="J293" s="6" t="s">
        <v>425</v>
      </c>
      <c r="K293" s="6"/>
      <c r="L293" s="6"/>
      <c r="M293" s="6"/>
      <c r="N293" s="6"/>
      <c r="O293" s="6"/>
      <c r="P293" s="6"/>
      <c r="Q293" s="6" t="s">
        <v>280</v>
      </c>
      <c r="R293" s="7" t="n">
        <f aca="false">COUNTIF('Label Map'!$D$2:$D$2000,A293)</f>
        <v>1</v>
      </c>
    </row>
    <row r="294" customFormat="false" ht="15" hidden="false" customHeight="false" outlineLevel="0" collapsed="false">
      <c r="A294" s="6" t="s">
        <v>431</v>
      </c>
      <c r="B294" s="6" t="s">
        <v>11</v>
      </c>
      <c r="C294" s="6" t="s">
        <v>3</v>
      </c>
      <c r="D294" s="6" t="s">
        <v>75</v>
      </c>
      <c r="E294" s="6" t="s">
        <v>312</v>
      </c>
      <c r="F294" s="6" t="s">
        <v>425</v>
      </c>
      <c r="G294" s="6" t="s">
        <v>426</v>
      </c>
      <c r="H294" s="6" t="s">
        <v>431</v>
      </c>
      <c r="I294" s="6"/>
      <c r="J294" s="6" t="s">
        <v>425</v>
      </c>
      <c r="K294" s="6"/>
      <c r="L294" s="6"/>
      <c r="M294" s="6"/>
      <c r="N294" s="6"/>
      <c r="O294" s="6"/>
      <c r="P294" s="6"/>
      <c r="Q294" s="6" t="s">
        <v>280</v>
      </c>
      <c r="R294" s="7" t="n">
        <f aca="false">COUNTIF('Label Map'!$D$2:$D$2000,A294)</f>
        <v>1</v>
      </c>
    </row>
    <row r="295" customFormat="false" ht="15" hidden="false" customHeight="false" outlineLevel="0" collapsed="false">
      <c r="A295" s="6" t="s">
        <v>432</v>
      </c>
      <c r="B295" s="6" t="s">
        <v>11</v>
      </c>
      <c r="C295" s="6" t="s">
        <v>3</v>
      </c>
      <c r="D295" s="6" t="s">
        <v>75</v>
      </c>
      <c r="E295" s="6" t="s">
        <v>312</v>
      </c>
      <c r="F295" s="6" t="s">
        <v>425</v>
      </c>
      <c r="G295" s="6" t="s">
        <v>426</v>
      </c>
      <c r="H295" s="6" t="s">
        <v>432</v>
      </c>
      <c r="I295" s="6"/>
      <c r="J295" s="6" t="s">
        <v>425</v>
      </c>
      <c r="K295" s="6"/>
      <c r="L295" s="6"/>
      <c r="M295" s="6"/>
      <c r="N295" s="6"/>
      <c r="O295" s="6"/>
      <c r="P295" s="6"/>
      <c r="Q295" s="6" t="s">
        <v>280</v>
      </c>
      <c r="R295" s="7" t="n">
        <f aca="false">COUNTIF('Label Map'!$D$2:$D$2000,A295)</f>
        <v>1</v>
      </c>
    </row>
    <row r="296" customFormat="false" ht="15" hidden="false" customHeight="false" outlineLevel="0" collapsed="false">
      <c r="A296" s="6" t="s">
        <v>433</v>
      </c>
      <c r="B296" s="6" t="s">
        <v>11</v>
      </c>
      <c r="C296" s="6" t="s">
        <v>3</v>
      </c>
      <c r="D296" s="6" t="s">
        <v>75</v>
      </c>
      <c r="E296" s="6" t="s">
        <v>312</v>
      </c>
      <c r="F296" s="6" t="s">
        <v>425</v>
      </c>
      <c r="G296" s="6" t="s">
        <v>426</v>
      </c>
      <c r="H296" s="6" t="s">
        <v>433</v>
      </c>
      <c r="I296" s="6"/>
      <c r="J296" s="6" t="s">
        <v>425</v>
      </c>
      <c r="K296" s="6"/>
      <c r="L296" s="6"/>
      <c r="M296" s="6"/>
      <c r="N296" s="6"/>
      <c r="O296" s="6"/>
      <c r="P296" s="6"/>
      <c r="Q296" s="6" t="s">
        <v>280</v>
      </c>
      <c r="R296" s="7" t="n">
        <f aca="false">COUNTIF('Label Map'!$D$2:$D$2000,A296)</f>
        <v>1</v>
      </c>
    </row>
    <row r="297" customFormat="false" ht="15" hidden="false" customHeight="false" outlineLevel="0" collapsed="false">
      <c r="A297" s="6" t="s">
        <v>434</v>
      </c>
      <c r="B297" s="6" t="s">
        <v>11</v>
      </c>
      <c r="C297" s="6" t="s">
        <v>3</v>
      </c>
      <c r="D297" s="6" t="s">
        <v>75</v>
      </c>
      <c r="E297" s="6" t="s">
        <v>312</v>
      </c>
      <c r="F297" s="6" t="s">
        <v>425</v>
      </c>
      <c r="G297" s="6" t="s">
        <v>426</v>
      </c>
      <c r="H297" s="6" t="s">
        <v>434</v>
      </c>
      <c r="I297" s="6"/>
      <c r="J297" s="6" t="s">
        <v>425</v>
      </c>
      <c r="K297" s="6"/>
      <c r="L297" s="6"/>
      <c r="M297" s="6"/>
      <c r="N297" s="6"/>
      <c r="O297" s="6"/>
      <c r="P297" s="6"/>
      <c r="Q297" s="6" t="s">
        <v>280</v>
      </c>
      <c r="R297" s="7" t="n">
        <f aca="false">COUNTIF('Label Map'!$D$2:$D$2000,A297)</f>
        <v>1</v>
      </c>
    </row>
    <row r="298" customFormat="false" ht="15" hidden="false" customHeight="false" outlineLevel="0" collapsed="false">
      <c r="A298" s="6" t="s">
        <v>435</v>
      </c>
      <c r="B298" s="6" t="s">
        <v>11</v>
      </c>
      <c r="C298" s="6" t="s">
        <v>3</v>
      </c>
      <c r="D298" s="6" t="s">
        <v>75</v>
      </c>
      <c r="E298" s="6" t="s">
        <v>312</v>
      </c>
      <c r="F298" s="6" t="s">
        <v>425</v>
      </c>
      <c r="G298" s="6" t="s">
        <v>426</v>
      </c>
      <c r="H298" s="6" t="s">
        <v>435</v>
      </c>
      <c r="I298" s="6"/>
      <c r="J298" s="6" t="s">
        <v>425</v>
      </c>
      <c r="K298" s="6"/>
      <c r="L298" s="6"/>
      <c r="M298" s="6"/>
      <c r="N298" s="6"/>
      <c r="O298" s="6"/>
      <c r="P298" s="6"/>
      <c r="Q298" s="6" t="s">
        <v>280</v>
      </c>
      <c r="R298" s="7" t="n">
        <f aca="false">COUNTIF('Label Map'!$D$2:$D$2000,A298)</f>
        <v>1</v>
      </c>
    </row>
    <row r="299" customFormat="false" ht="15" hidden="false" customHeight="false" outlineLevel="0" collapsed="false">
      <c r="A299" s="6" t="s">
        <v>436</v>
      </c>
      <c r="B299" s="6" t="s">
        <v>11</v>
      </c>
      <c r="C299" s="6" t="s">
        <v>3</v>
      </c>
      <c r="D299" s="6" t="s">
        <v>75</v>
      </c>
      <c r="E299" s="6" t="s">
        <v>312</v>
      </c>
      <c r="F299" s="6" t="s">
        <v>425</v>
      </c>
      <c r="G299" s="6" t="s">
        <v>426</v>
      </c>
      <c r="H299" s="6" t="s">
        <v>436</v>
      </c>
      <c r="I299" s="6"/>
      <c r="J299" s="6" t="s">
        <v>425</v>
      </c>
      <c r="K299" s="6"/>
      <c r="L299" s="6"/>
      <c r="M299" s="6"/>
      <c r="N299" s="6"/>
      <c r="O299" s="6"/>
      <c r="P299" s="6"/>
      <c r="Q299" s="6" t="s">
        <v>280</v>
      </c>
      <c r="R299" s="7" t="n">
        <f aca="false">COUNTIF('Label Map'!$D$2:$D$2000,A299)</f>
        <v>1</v>
      </c>
    </row>
    <row r="300" customFormat="false" ht="15" hidden="false" customHeight="false" outlineLevel="0" collapsed="false">
      <c r="A300" s="6" t="s">
        <v>437</v>
      </c>
      <c r="B300" s="6" t="s">
        <v>11</v>
      </c>
      <c r="C300" s="6" t="s">
        <v>3</v>
      </c>
      <c r="D300" s="6" t="s">
        <v>75</v>
      </c>
      <c r="E300" s="6" t="s">
        <v>312</v>
      </c>
      <c r="F300" s="6" t="s">
        <v>425</v>
      </c>
      <c r="G300" s="6" t="s">
        <v>426</v>
      </c>
      <c r="H300" s="6" t="s">
        <v>437</v>
      </c>
      <c r="I300" s="6"/>
      <c r="J300" s="6" t="s">
        <v>425</v>
      </c>
      <c r="K300" s="6"/>
      <c r="L300" s="6"/>
      <c r="M300" s="6"/>
      <c r="N300" s="6"/>
      <c r="O300" s="6"/>
      <c r="P300" s="6"/>
      <c r="Q300" s="6" t="s">
        <v>280</v>
      </c>
      <c r="R300" s="7" t="n">
        <f aca="false">COUNTIF('Label Map'!$D$2:$D$2000,A300)</f>
        <v>1</v>
      </c>
    </row>
    <row r="301" customFormat="false" ht="15" hidden="false" customHeight="false" outlineLevel="0" collapsed="false">
      <c r="A301" s="6" t="s">
        <v>438</v>
      </c>
      <c r="B301" s="6" t="s">
        <v>11</v>
      </c>
      <c r="C301" s="6" t="s">
        <v>3</v>
      </c>
      <c r="D301" s="6" t="s">
        <v>75</v>
      </c>
      <c r="E301" s="6" t="s">
        <v>312</v>
      </c>
      <c r="F301" s="6" t="s">
        <v>425</v>
      </c>
      <c r="G301" s="6" t="s">
        <v>426</v>
      </c>
      <c r="H301" s="6" t="s">
        <v>438</v>
      </c>
      <c r="I301" s="6"/>
      <c r="J301" s="6" t="s">
        <v>425</v>
      </c>
      <c r="K301" s="6"/>
      <c r="L301" s="6"/>
      <c r="M301" s="6"/>
      <c r="N301" s="6"/>
      <c r="O301" s="6"/>
      <c r="P301" s="6"/>
      <c r="Q301" s="6" t="s">
        <v>280</v>
      </c>
      <c r="R301" s="7" t="n">
        <f aca="false">COUNTIF('Label Map'!$D$2:$D$2000,A301)</f>
        <v>1</v>
      </c>
    </row>
    <row r="302" customFormat="false" ht="15" hidden="false" customHeight="false" outlineLevel="0" collapsed="false">
      <c r="A302" s="6" t="s">
        <v>439</v>
      </c>
      <c r="B302" s="6" t="s">
        <v>11</v>
      </c>
      <c r="C302" s="6" t="s">
        <v>3</v>
      </c>
      <c r="D302" s="6" t="s">
        <v>75</v>
      </c>
      <c r="E302" s="6" t="s">
        <v>312</v>
      </c>
      <c r="F302" s="6" t="s">
        <v>425</v>
      </c>
      <c r="G302" s="6" t="s">
        <v>426</v>
      </c>
      <c r="H302" s="6" t="s">
        <v>439</v>
      </c>
      <c r="I302" s="6"/>
      <c r="J302" s="6" t="s">
        <v>425</v>
      </c>
      <c r="K302" s="6"/>
      <c r="L302" s="6"/>
      <c r="M302" s="6"/>
      <c r="N302" s="6"/>
      <c r="O302" s="6"/>
      <c r="P302" s="6"/>
      <c r="Q302" s="6" t="s">
        <v>280</v>
      </c>
      <c r="R302" s="7" t="n">
        <f aca="false">COUNTIF('Label Map'!$D$2:$D$2000,A302)</f>
        <v>1</v>
      </c>
    </row>
    <row r="303" customFormat="false" ht="15" hidden="false" customHeight="false" outlineLevel="0" collapsed="false">
      <c r="A303" s="6" t="s">
        <v>440</v>
      </c>
      <c r="B303" s="6" t="s">
        <v>11</v>
      </c>
      <c r="C303" s="6" t="s">
        <v>3</v>
      </c>
      <c r="D303" s="6" t="s">
        <v>75</v>
      </c>
      <c r="E303" s="6" t="s">
        <v>312</v>
      </c>
      <c r="F303" s="6" t="s">
        <v>425</v>
      </c>
      <c r="G303" s="6" t="s">
        <v>426</v>
      </c>
      <c r="H303" s="6" t="s">
        <v>440</v>
      </c>
      <c r="I303" s="6"/>
      <c r="J303" s="6" t="s">
        <v>425</v>
      </c>
      <c r="K303" s="6"/>
      <c r="L303" s="6"/>
      <c r="M303" s="6"/>
      <c r="N303" s="6"/>
      <c r="O303" s="6"/>
      <c r="P303" s="6"/>
      <c r="Q303" s="6" t="s">
        <v>280</v>
      </c>
      <c r="R303" s="7" t="n">
        <f aca="false">COUNTIF('Label Map'!$D$2:$D$2000,A303)</f>
        <v>1</v>
      </c>
    </row>
    <row r="304" customFormat="false" ht="15" hidden="false" customHeight="false" outlineLevel="0" collapsed="false">
      <c r="A304" s="6" t="s">
        <v>441</v>
      </c>
      <c r="B304" s="6" t="s">
        <v>11</v>
      </c>
      <c r="C304" s="6" t="s">
        <v>3</v>
      </c>
      <c r="D304" s="6" t="s">
        <v>75</v>
      </c>
      <c r="E304" s="6" t="s">
        <v>312</v>
      </c>
      <c r="F304" s="6" t="s">
        <v>425</v>
      </c>
      <c r="G304" s="6" t="s">
        <v>426</v>
      </c>
      <c r="H304" s="6" t="s">
        <v>441</v>
      </c>
      <c r="I304" s="6"/>
      <c r="J304" s="6" t="s">
        <v>425</v>
      </c>
      <c r="K304" s="6"/>
      <c r="L304" s="6"/>
      <c r="M304" s="6"/>
      <c r="N304" s="6"/>
      <c r="O304" s="6"/>
      <c r="P304" s="6"/>
      <c r="Q304" s="6" t="s">
        <v>280</v>
      </c>
      <c r="R304" s="7" t="n">
        <f aca="false">COUNTIF('Label Map'!$D$2:$D$2000,A304)</f>
        <v>1</v>
      </c>
    </row>
    <row r="305" customFormat="false" ht="15" hidden="false" customHeight="false" outlineLevel="0" collapsed="false">
      <c r="A305" s="6" t="s">
        <v>442</v>
      </c>
      <c r="B305" s="6" t="s">
        <v>11</v>
      </c>
      <c r="C305" s="6" t="s">
        <v>3</v>
      </c>
      <c r="D305" s="6" t="s">
        <v>75</v>
      </c>
      <c r="E305" s="6" t="s">
        <v>312</v>
      </c>
      <c r="F305" s="6" t="s">
        <v>425</v>
      </c>
      <c r="G305" s="6" t="s">
        <v>426</v>
      </c>
      <c r="H305" s="6" t="s">
        <v>442</v>
      </c>
      <c r="I305" s="6"/>
      <c r="J305" s="6" t="s">
        <v>425</v>
      </c>
      <c r="K305" s="6"/>
      <c r="L305" s="6"/>
      <c r="M305" s="6"/>
      <c r="N305" s="6"/>
      <c r="O305" s="6"/>
      <c r="P305" s="6"/>
      <c r="Q305" s="6" t="s">
        <v>280</v>
      </c>
      <c r="R305" s="7" t="n">
        <f aca="false">COUNTIF('Label Map'!$D$2:$D$2000,A305)</f>
        <v>1</v>
      </c>
    </row>
    <row r="306" customFormat="false" ht="15" hidden="false" customHeight="false" outlineLevel="0" collapsed="false">
      <c r="A306" s="6" t="s">
        <v>443</v>
      </c>
      <c r="B306" s="6" t="s">
        <v>11</v>
      </c>
      <c r="C306" s="6" t="s">
        <v>3</v>
      </c>
      <c r="D306" s="6" t="s">
        <v>75</v>
      </c>
      <c r="E306" s="6" t="s">
        <v>312</v>
      </c>
      <c r="F306" s="6" t="s">
        <v>425</v>
      </c>
      <c r="G306" s="6" t="s">
        <v>426</v>
      </c>
      <c r="H306" s="6" t="s">
        <v>443</v>
      </c>
      <c r="I306" s="6"/>
      <c r="J306" s="6" t="s">
        <v>425</v>
      </c>
      <c r="K306" s="6"/>
      <c r="L306" s="6"/>
      <c r="M306" s="6"/>
      <c r="N306" s="6"/>
      <c r="O306" s="6"/>
      <c r="P306" s="6"/>
      <c r="Q306" s="6" t="s">
        <v>280</v>
      </c>
      <c r="R306" s="7" t="n">
        <f aca="false">COUNTIF('Label Map'!$D$2:$D$2000,A306)</f>
        <v>1</v>
      </c>
    </row>
    <row r="307" customFormat="false" ht="15" hidden="false" customHeight="false" outlineLevel="0" collapsed="false">
      <c r="A307" s="6" t="s">
        <v>444</v>
      </c>
      <c r="B307" s="6" t="s">
        <v>11</v>
      </c>
      <c r="C307" s="6" t="s">
        <v>3</v>
      </c>
      <c r="D307" s="6" t="s">
        <v>75</v>
      </c>
      <c r="E307" s="6" t="s">
        <v>312</v>
      </c>
      <c r="F307" s="6" t="s">
        <v>425</v>
      </c>
      <c r="G307" s="6" t="s">
        <v>426</v>
      </c>
      <c r="H307" s="6" t="s">
        <v>444</v>
      </c>
      <c r="I307" s="6"/>
      <c r="J307" s="6" t="s">
        <v>425</v>
      </c>
      <c r="K307" s="6"/>
      <c r="L307" s="6"/>
      <c r="M307" s="6"/>
      <c r="N307" s="6"/>
      <c r="O307" s="6"/>
      <c r="P307" s="6"/>
      <c r="Q307" s="6" t="s">
        <v>280</v>
      </c>
      <c r="R307" s="7" t="n">
        <f aca="false">COUNTIF('Label Map'!$D$2:$D$2000,A307)</f>
        <v>1</v>
      </c>
    </row>
    <row r="308" customFormat="false" ht="15" hidden="false" customHeight="false" outlineLevel="0" collapsed="false">
      <c r="A308" s="6" t="s">
        <v>445</v>
      </c>
      <c r="B308" s="6" t="s">
        <v>11</v>
      </c>
      <c r="C308" s="6" t="s">
        <v>3</v>
      </c>
      <c r="D308" s="6" t="s">
        <v>75</v>
      </c>
      <c r="E308" s="6" t="s">
        <v>312</v>
      </c>
      <c r="F308" s="6" t="s">
        <v>425</v>
      </c>
      <c r="G308" s="6" t="s">
        <v>426</v>
      </c>
      <c r="H308" s="6" t="s">
        <v>445</v>
      </c>
      <c r="I308" s="6"/>
      <c r="J308" s="6" t="s">
        <v>425</v>
      </c>
      <c r="K308" s="6"/>
      <c r="L308" s="6"/>
      <c r="M308" s="6"/>
      <c r="N308" s="6"/>
      <c r="O308" s="6"/>
      <c r="P308" s="6"/>
      <c r="Q308" s="6" t="s">
        <v>280</v>
      </c>
      <c r="R308" s="7" t="n">
        <f aca="false">COUNTIF('Label Map'!$D$2:$D$2000,A308)</f>
        <v>1</v>
      </c>
    </row>
    <row r="309" customFormat="false" ht="15" hidden="false" customHeight="false" outlineLevel="0" collapsed="false">
      <c r="A309" s="6" t="s">
        <v>446</v>
      </c>
      <c r="B309" s="6" t="s">
        <v>11</v>
      </c>
      <c r="C309" s="6" t="s">
        <v>3</v>
      </c>
      <c r="D309" s="6" t="s">
        <v>75</v>
      </c>
      <c r="E309" s="6" t="s">
        <v>312</v>
      </c>
      <c r="F309" s="6" t="s">
        <v>425</v>
      </c>
      <c r="G309" s="6" t="s">
        <v>426</v>
      </c>
      <c r="H309" s="6" t="s">
        <v>446</v>
      </c>
      <c r="I309" s="6"/>
      <c r="J309" s="6" t="s">
        <v>425</v>
      </c>
      <c r="K309" s="6"/>
      <c r="L309" s="6"/>
      <c r="M309" s="6"/>
      <c r="N309" s="6"/>
      <c r="O309" s="6"/>
      <c r="P309" s="6"/>
      <c r="Q309" s="6" t="s">
        <v>280</v>
      </c>
      <c r="R309" s="7" t="n">
        <f aca="false">COUNTIF('Label Map'!$D$2:$D$2000,A309)</f>
        <v>1</v>
      </c>
    </row>
    <row r="310" customFormat="false" ht="15" hidden="false" customHeight="false" outlineLevel="0" collapsed="false">
      <c r="A310" s="6" t="s">
        <v>447</v>
      </c>
      <c r="B310" s="6" t="s">
        <v>11</v>
      </c>
      <c r="C310" s="6" t="s">
        <v>3</v>
      </c>
      <c r="D310" s="6" t="s">
        <v>75</v>
      </c>
      <c r="E310" s="6" t="s">
        <v>312</v>
      </c>
      <c r="F310" s="6" t="s">
        <v>425</v>
      </c>
      <c r="G310" s="6" t="s">
        <v>426</v>
      </c>
      <c r="H310" s="6" t="s">
        <v>447</v>
      </c>
      <c r="I310" s="6"/>
      <c r="J310" s="6" t="s">
        <v>425</v>
      </c>
      <c r="K310" s="6"/>
      <c r="L310" s="6"/>
      <c r="M310" s="6"/>
      <c r="N310" s="6"/>
      <c r="O310" s="6"/>
      <c r="P310" s="6"/>
      <c r="Q310" s="6" t="s">
        <v>280</v>
      </c>
      <c r="R310" s="7" t="n">
        <f aca="false">COUNTIF('Label Map'!$D$2:$D$2000,A310)</f>
        <v>1</v>
      </c>
    </row>
    <row r="311" customFormat="false" ht="15" hidden="false" customHeight="false" outlineLevel="0" collapsed="false">
      <c r="A311" s="6" t="s">
        <v>448</v>
      </c>
      <c r="B311" s="6" t="s">
        <v>11</v>
      </c>
      <c r="C311" s="6" t="s">
        <v>3</v>
      </c>
      <c r="D311" s="6" t="s">
        <v>75</v>
      </c>
      <c r="E311" s="6" t="s">
        <v>312</v>
      </c>
      <c r="F311" s="6" t="s">
        <v>425</v>
      </c>
      <c r="G311" s="6" t="s">
        <v>426</v>
      </c>
      <c r="H311" s="6" t="s">
        <v>448</v>
      </c>
      <c r="I311" s="6"/>
      <c r="J311" s="6" t="s">
        <v>425</v>
      </c>
      <c r="K311" s="6"/>
      <c r="L311" s="6"/>
      <c r="M311" s="6"/>
      <c r="N311" s="6"/>
      <c r="O311" s="6"/>
      <c r="P311" s="6"/>
      <c r="Q311" s="6" t="s">
        <v>280</v>
      </c>
      <c r="R311" s="7" t="n">
        <f aca="false">COUNTIF('Label Map'!$D$2:$D$2000,A311)</f>
        <v>1</v>
      </c>
    </row>
    <row r="312" customFormat="false" ht="15" hidden="false" customHeight="false" outlineLevel="0" collapsed="false">
      <c r="A312" s="6" t="s">
        <v>449</v>
      </c>
      <c r="B312" s="6" t="s">
        <v>11</v>
      </c>
      <c r="C312" s="6" t="s">
        <v>3</v>
      </c>
      <c r="D312" s="6" t="s">
        <v>75</v>
      </c>
      <c r="E312" s="6" t="s">
        <v>312</v>
      </c>
      <c r="F312" s="6" t="s">
        <v>425</v>
      </c>
      <c r="G312" s="6" t="s">
        <v>426</v>
      </c>
      <c r="H312" s="6" t="s">
        <v>449</v>
      </c>
      <c r="I312" s="6"/>
      <c r="J312" s="6" t="s">
        <v>425</v>
      </c>
      <c r="K312" s="6"/>
      <c r="L312" s="6"/>
      <c r="M312" s="6"/>
      <c r="N312" s="6"/>
      <c r="O312" s="6"/>
      <c r="P312" s="6"/>
      <c r="Q312" s="6" t="s">
        <v>280</v>
      </c>
      <c r="R312" s="7" t="n">
        <f aca="false">COUNTIF('Label Map'!$D$2:$D$2000,A312)</f>
        <v>1</v>
      </c>
    </row>
    <row r="313" customFormat="false" ht="15" hidden="false" customHeight="false" outlineLevel="0" collapsed="false">
      <c r="A313" s="6" t="s">
        <v>450</v>
      </c>
      <c r="B313" s="6" t="s">
        <v>11</v>
      </c>
      <c r="C313" s="6" t="s">
        <v>3</v>
      </c>
      <c r="D313" s="6" t="s">
        <v>75</v>
      </c>
      <c r="E313" s="6" t="s">
        <v>312</v>
      </c>
      <c r="F313" s="6" t="s">
        <v>425</v>
      </c>
      <c r="G313" s="6" t="s">
        <v>426</v>
      </c>
      <c r="H313" s="6" t="s">
        <v>450</v>
      </c>
      <c r="I313" s="6"/>
      <c r="J313" s="6" t="s">
        <v>425</v>
      </c>
      <c r="K313" s="6"/>
      <c r="L313" s="6"/>
      <c r="M313" s="6"/>
      <c r="N313" s="6"/>
      <c r="O313" s="6"/>
      <c r="P313" s="6"/>
      <c r="Q313" s="6" t="s">
        <v>280</v>
      </c>
      <c r="R313" s="7" t="n">
        <f aca="false">COUNTIF('Label Map'!$D$2:$D$2000,A313)</f>
        <v>1</v>
      </c>
    </row>
    <row r="314" customFormat="false" ht="15" hidden="false" customHeight="false" outlineLevel="0" collapsed="false">
      <c r="A314" s="6" t="s">
        <v>451</v>
      </c>
      <c r="B314" s="6" t="s">
        <v>11</v>
      </c>
      <c r="C314" s="6" t="s">
        <v>3</v>
      </c>
      <c r="D314" s="6" t="s">
        <v>75</v>
      </c>
      <c r="E314" s="6" t="s">
        <v>312</v>
      </c>
      <c r="F314" s="6" t="s">
        <v>425</v>
      </c>
      <c r="G314" s="6" t="s">
        <v>426</v>
      </c>
      <c r="H314" s="6" t="s">
        <v>451</v>
      </c>
      <c r="I314" s="6"/>
      <c r="J314" s="6" t="s">
        <v>425</v>
      </c>
      <c r="K314" s="6"/>
      <c r="L314" s="6"/>
      <c r="M314" s="6"/>
      <c r="N314" s="6"/>
      <c r="O314" s="6"/>
      <c r="P314" s="6"/>
      <c r="Q314" s="6" t="s">
        <v>280</v>
      </c>
      <c r="R314" s="7" t="n">
        <f aca="false">COUNTIF('Label Map'!$D$2:$D$2000,A314)</f>
        <v>1</v>
      </c>
    </row>
    <row r="315" customFormat="false" ht="15" hidden="false" customHeight="false" outlineLevel="0" collapsed="false">
      <c r="A315" s="6" t="s">
        <v>452</v>
      </c>
      <c r="B315" s="6" t="s">
        <v>11</v>
      </c>
      <c r="C315" s="6" t="s">
        <v>3</v>
      </c>
      <c r="D315" s="6" t="s">
        <v>75</v>
      </c>
      <c r="E315" s="6" t="s">
        <v>312</v>
      </c>
      <c r="F315" s="6" t="s">
        <v>425</v>
      </c>
      <c r="G315" s="6" t="s">
        <v>426</v>
      </c>
      <c r="H315" s="6" t="s">
        <v>452</v>
      </c>
      <c r="I315" s="6"/>
      <c r="J315" s="6" t="s">
        <v>425</v>
      </c>
      <c r="K315" s="6"/>
      <c r="L315" s="6"/>
      <c r="M315" s="6"/>
      <c r="N315" s="6"/>
      <c r="O315" s="6"/>
      <c r="P315" s="6"/>
      <c r="Q315" s="6" t="s">
        <v>280</v>
      </c>
      <c r="R315" s="7" t="n">
        <f aca="false">COUNTIF('Label Map'!$D$2:$D$2000,A315)</f>
        <v>1</v>
      </c>
    </row>
    <row r="316" customFormat="false" ht="15" hidden="false" customHeight="false" outlineLevel="0" collapsed="false">
      <c r="A316" s="6" t="s">
        <v>453</v>
      </c>
      <c r="B316" s="6" t="s">
        <v>63</v>
      </c>
      <c r="C316" s="6" t="s">
        <v>3</v>
      </c>
      <c r="D316" s="6" t="s">
        <v>75</v>
      </c>
      <c r="E316" s="6" t="s">
        <v>312</v>
      </c>
      <c r="F316" s="6" t="s">
        <v>425</v>
      </c>
      <c r="G316" s="6" t="s">
        <v>426</v>
      </c>
      <c r="H316" s="6"/>
      <c r="I316" s="6" t="s">
        <v>453</v>
      </c>
      <c r="J316" s="6" t="s">
        <v>425</v>
      </c>
      <c r="K316" s="6"/>
      <c r="L316" s="6"/>
      <c r="M316" s="6"/>
      <c r="N316" s="6"/>
      <c r="O316" s="6"/>
      <c r="P316" s="6"/>
      <c r="Q316" s="6" t="s">
        <v>429</v>
      </c>
      <c r="R316" s="7" t="n">
        <f aca="false">COUNTIF('Label Map'!$D$2:$D$2000,A316)</f>
        <v>1</v>
      </c>
    </row>
    <row r="317" customFormat="false" ht="15" hidden="false" customHeight="false" outlineLevel="0" collapsed="false">
      <c r="A317" s="6" t="s">
        <v>454</v>
      </c>
      <c r="B317" s="6" t="s">
        <v>63</v>
      </c>
      <c r="C317" s="6" t="s">
        <v>3</v>
      </c>
      <c r="D317" s="6" t="s">
        <v>75</v>
      </c>
      <c r="E317" s="6" t="s">
        <v>312</v>
      </c>
      <c r="F317" s="6" t="s">
        <v>425</v>
      </c>
      <c r="G317" s="6" t="s">
        <v>426</v>
      </c>
      <c r="H317" s="6"/>
      <c r="I317" s="6" t="s">
        <v>454</v>
      </c>
      <c r="J317" s="6" t="s">
        <v>425</v>
      </c>
      <c r="K317" s="6"/>
      <c r="L317" s="6"/>
      <c r="M317" s="6"/>
      <c r="N317" s="6"/>
      <c r="O317" s="6"/>
      <c r="P317" s="6"/>
      <c r="Q317" s="6"/>
      <c r="R317" s="7" t="n">
        <f aca="false">COUNTIF('Label Map'!$D$2:$D$2000,A317)</f>
        <v>0</v>
      </c>
    </row>
    <row r="318" customFormat="false" ht="15" hidden="false" customHeight="false" outlineLevel="0" collapsed="false">
      <c r="A318" s="6" t="s">
        <v>455</v>
      </c>
      <c r="B318" s="6" t="s">
        <v>9</v>
      </c>
      <c r="C318" s="6" t="s">
        <v>3</v>
      </c>
      <c r="D318" s="6" t="s">
        <v>75</v>
      </c>
      <c r="E318" s="6" t="s">
        <v>312</v>
      </c>
      <c r="F318" s="6" t="s">
        <v>455</v>
      </c>
      <c r="G318" s="6" t="s">
        <v>456</v>
      </c>
      <c r="H318" s="6"/>
      <c r="I318" s="6"/>
      <c r="J318" s="6" t="s">
        <v>312</v>
      </c>
      <c r="K318" s="6" t="s">
        <v>422</v>
      </c>
      <c r="L318" s="6" t="s">
        <v>84</v>
      </c>
      <c r="M318" s="6" t="s">
        <v>335</v>
      </c>
      <c r="N318" s="6" t="s">
        <v>319</v>
      </c>
      <c r="O318" s="6" t="s">
        <v>336</v>
      </c>
      <c r="P318" s="6" t="s">
        <v>87</v>
      </c>
      <c r="Q318" s="6" t="s">
        <v>457</v>
      </c>
      <c r="R318" s="7" t="n">
        <f aca="false">COUNTIF('Label Map'!$D$2:$D$2000,A318)</f>
        <v>1</v>
      </c>
    </row>
    <row r="319" customFormat="false" ht="15" hidden="false" customHeight="false" outlineLevel="0" collapsed="false">
      <c r="A319" s="6" t="s">
        <v>458</v>
      </c>
      <c r="B319" s="6" t="s">
        <v>9</v>
      </c>
      <c r="C319" s="6" t="s">
        <v>3</v>
      </c>
      <c r="D319" s="6" t="s">
        <v>75</v>
      </c>
      <c r="E319" s="6" t="s">
        <v>312</v>
      </c>
      <c r="F319" s="6" t="s">
        <v>458</v>
      </c>
      <c r="G319" s="6" t="s">
        <v>459</v>
      </c>
      <c r="H319" s="6"/>
      <c r="I319" s="6"/>
      <c r="J319" s="6" t="s">
        <v>312</v>
      </c>
      <c r="K319" s="6" t="s">
        <v>422</v>
      </c>
      <c r="L319" s="6" t="s">
        <v>84</v>
      </c>
      <c r="M319" s="6" t="s">
        <v>335</v>
      </c>
      <c r="N319" s="6" t="s">
        <v>319</v>
      </c>
      <c r="O319" s="6" t="s">
        <v>336</v>
      </c>
      <c r="P319" s="6" t="s">
        <v>87</v>
      </c>
      <c r="Q319" s="6"/>
      <c r="R319" s="7" t="n">
        <f aca="false">COUNTIF('Label Map'!$D$2:$D$2000,A319)</f>
        <v>2</v>
      </c>
    </row>
    <row r="320" customFormat="false" ht="15" hidden="false" customHeight="false" outlineLevel="0" collapsed="false">
      <c r="A320" s="6" t="s">
        <v>460</v>
      </c>
      <c r="B320" s="6" t="s">
        <v>9</v>
      </c>
      <c r="C320" s="6" t="s">
        <v>3</v>
      </c>
      <c r="D320" s="6" t="s">
        <v>75</v>
      </c>
      <c r="E320" s="6" t="s">
        <v>312</v>
      </c>
      <c r="F320" s="6" t="s">
        <v>460</v>
      </c>
      <c r="G320" s="6" t="s">
        <v>461</v>
      </c>
      <c r="H320" s="6"/>
      <c r="I320" s="6"/>
      <c r="J320" s="6" t="s">
        <v>312</v>
      </c>
      <c r="K320" s="6" t="s">
        <v>422</v>
      </c>
      <c r="L320" s="6" t="s">
        <v>84</v>
      </c>
      <c r="M320" s="6" t="s">
        <v>335</v>
      </c>
      <c r="N320" s="6" t="s">
        <v>319</v>
      </c>
      <c r="O320" s="6" t="s">
        <v>336</v>
      </c>
      <c r="P320" s="6" t="s">
        <v>87</v>
      </c>
      <c r="Q320" s="6"/>
      <c r="R320" s="7" t="n">
        <f aca="false">COUNTIF('Label Map'!$D$2:$D$2000,A320)</f>
        <v>2</v>
      </c>
    </row>
    <row r="321" customFormat="false" ht="15" hidden="false" customHeight="false" outlineLevel="0" collapsed="false">
      <c r="A321" s="6" t="s">
        <v>462</v>
      </c>
      <c r="B321" s="6" t="s">
        <v>9</v>
      </c>
      <c r="C321" s="6" t="s">
        <v>3</v>
      </c>
      <c r="D321" s="6" t="s">
        <v>75</v>
      </c>
      <c r="E321" s="6" t="s">
        <v>312</v>
      </c>
      <c r="F321" s="6" t="s">
        <v>462</v>
      </c>
      <c r="G321" s="6" t="s">
        <v>463</v>
      </c>
      <c r="H321" s="6"/>
      <c r="I321" s="6"/>
      <c r="J321" s="6" t="s">
        <v>312</v>
      </c>
      <c r="K321" s="6" t="s">
        <v>464</v>
      </c>
      <c r="L321" s="6" t="s">
        <v>84</v>
      </c>
      <c r="M321" s="6" t="s">
        <v>335</v>
      </c>
      <c r="N321" s="6" t="s">
        <v>320</v>
      </c>
      <c r="O321" s="6" t="s">
        <v>336</v>
      </c>
      <c r="P321" s="6" t="s">
        <v>337</v>
      </c>
      <c r="Q321" s="6"/>
      <c r="R321" s="7" t="n">
        <f aca="false">COUNTIF('Label Map'!$D$2:$D$2000,A321)</f>
        <v>1</v>
      </c>
    </row>
    <row r="322" customFormat="false" ht="15" hidden="false" customHeight="false" outlineLevel="0" collapsed="false">
      <c r="A322" s="6" t="s">
        <v>465</v>
      </c>
      <c r="B322" s="6" t="s">
        <v>9</v>
      </c>
      <c r="C322" s="6" t="s">
        <v>3</v>
      </c>
      <c r="D322" s="6" t="s">
        <v>75</v>
      </c>
      <c r="E322" s="6" t="s">
        <v>312</v>
      </c>
      <c r="F322" s="6" t="s">
        <v>465</v>
      </c>
      <c r="G322" s="6" t="s">
        <v>466</v>
      </c>
      <c r="H322" s="6"/>
      <c r="I322" s="6"/>
      <c r="J322" s="6" t="s">
        <v>312</v>
      </c>
      <c r="K322" s="6" t="s">
        <v>467</v>
      </c>
      <c r="L322" s="6" t="s">
        <v>84</v>
      </c>
      <c r="M322" s="6" t="s">
        <v>335</v>
      </c>
      <c r="N322" s="6" t="s">
        <v>315</v>
      </c>
      <c r="O322" s="6" t="s">
        <v>336</v>
      </c>
      <c r="P322" s="6" t="s">
        <v>468</v>
      </c>
      <c r="Q322" s="6"/>
      <c r="R322" s="7" t="n">
        <f aca="false">COUNTIF('Label Map'!$D$2:$D$2000,A322)</f>
        <v>3</v>
      </c>
    </row>
    <row r="323" customFormat="false" ht="15" hidden="false" customHeight="false" outlineLevel="0" collapsed="false">
      <c r="A323" s="6" t="s">
        <v>469</v>
      </c>
      <c r="B323" s="6" t="s">
        <v>9</v>
      </c>
      <c r="C323" s="6" t="s">
        <v>3</v>
      </c>
      <c r="D323" s="6" t="s">
        <v>75</v>
      </c>
      <c r="E323" s="6" t="s">
        <v>312</v>
      </c>
      <c r="F323" s="6" t="s">
        <v>469</v>
      </c>
      <c r="G323" s="6" t="s">
        <v>470</v>
      </c>
      <c r="H323" s="6"/>
      <c r="I323" s="6"/>
      <c r="J323" s="6" t="s">
        <v>312</v>
      </c>
      <c r="K323" s="6" t="s">
        <v>422</v>
      </c>
      <c r="L323" s="6" t="s">
        <v>84</v>
      </c>
      <c r="M323" s="6" t="s">
        <v>335</v>
      </c>
      <c r="N323" s="6" t="s">
        <v>319</v>
      </c>
      <c r="O323" s="6" t="s">
        <v>311</v>
      </c>
      <c r="P323" s="6" t="s">
        <v>311</v>
      </c>
      <c r="Q323" s="6"/>
      <c r="R323" s="7" t="n">
        <f aca="false">COUNTIF('Label Map'!$D$2:$D$2000,A323)</f>
        <v>2</v>
      </c>
    </row>
    <row r="324" customFormat="false" ht="15" hidden="false" customHeight="false" outlineLevel="0" collapsed="false">
      <c r="A324" s="6" t="s">
        <v>471</v>
      </c>
      <c r="B324" s="6" t="s">
        <v>9</v>
      </c>
      <c r="C324" s="6" t="s">
        <v>3</v>
      </c>
      <c r="D324" s="6" t="s">
        <v>75</v>
      </c>
      <c r="E324" s="6" t="s">
        <v>312</v>
      </c>
      <c r="F324" s="6" t="s">
        <v>471</v>
      </c>
      <c r="G324" s="6" t="s">
        <v>472</v>
      </c>
      <c r="H324" s="6"/>
      <c r="I324" s="6"/>
      <c r="J324" s="6" t="s">
        <v>312</v>
      </c>
      <c r="K324" s="6" t="s">
        <v>422</v>
      </c>
      <c r="L324" s="6" t="s">
        <v>84</v>
      </c>
      <c r="M324" s="6" t="s">
        <v>335</v>
      </c>
      <c r="N324" s="6" t="s">
        <v>319</v>
      </c>
      <c r="O324" s="6" t="s">
        <v>336</v>
      </c>
      <c r="P324" s="6" t="s">
        <v>87</v>
      </c>
      <c r="Q324" s="6" t="s">
        <v>305</v>
      </c>
      <c r="R324" s="7" t="n">
        <f aca="false">COUNTIF('Label Map'!$D$2:$D$2000,A324)</f>
        <v>2</v>
      </c>
    </row>
    <row r="325" customFormat="false" ht="15" hidden="false" customHeight="false" outlineLevel="0" collapsed="false">
      <c r="A325" s="6" t="s">
        <v>473</v>
      </c>
      <c r="B325" s="6" t="s">
        <v>9</v>
      </c>
      <c r="C325" s="6" t="s">
        <v>3</v>
      </c>
      <c r="D325" s="6" t="s">
        <v>75</v>
      </c>
      <c r="E325" s="6" t="s">
        <v>312</v>
      </c>
      <c r="F325" s="6" t="s">
        <v>473</v>
      </c>
      <c r="G325" s="6" t="s">
        <v>474</v>
      </c>
      <c r="H325" s="6"/>
      <c r="I325" s="6"/>
      <c r="J325" s="6" t="s">
        <v>312</v>
      </c>
      <c r="K325" s="6" t="s">
        <v>475</v>
      </c>
      <c r="L325" s="6" t="s">
        <v>84</v>
      </c>
      <c r="M325" s="6" t="s">
        <v>335</v>
      </c>
      <c r="N325" s="6" t="s">
        <v>319</v>
      </c>
      <c r="O325" s="6" t="s">
        <v>336</v>
      </c>
      <c r="P325" s="6" t="s">
        <v>87</v>
      </c>
      <c r="Q325" s="6" t="s">
        <v>305</v>
      </c>
      <c r="R325" s="7" t="n">
        <f aca="false">COUNTIF('Label Map'!$D$2:$D$2000,A325)</f>
        <v>2</v>
      </c>
    </row>
    <row r="326" customFormat="false" ht="15" hidden="false" customHeight="false" outlineLevel="0" collapsed="false">
      <c r="A326" s="6" t="s">
        <v>476</v>
      </c>
      <c r="B326" s="6" t="s">
        <v>9</v>
      </c>
      <c r="C326" s="6" t="s">
        <v>3</v>
      </c>
      <c r="D326" s="6" t="s">
        <v>75</v>
      </c>
      <c r="E326" s="6" t="s">
        <v>312</v>
      </c>
      <c r="F326" s="6" t="s">
        <v>476</v>
      </c>
      <c r="G326" s="6" t="s">
        <v>477</v>
      </c>
      <c r="H326" s="6"/>
      <c r="I326" s="6"/>
      <c r="J326" s="6" t="s">
        <v>312</v>
      </c>
      <c r="K326" s="6" t="s">
        <v>478</v>
      </c>
      <c r="L326" s="6" t="s">
        <v>84</v>
      </c>
      <c r="M326" s="6" t="s">
        <v>335</v>
      </c>
      <c r="N326" s="6" t="s">
        <v>315</v>
      </c>
      <c r="O326" s="6" t="s">
        <v>336</v>
      </c>
      <c r="P326" s="6" t="s">
        <v>87</v>
      </c>
      <c r="Q326" s="6"/>
      <c r="R326" s="7" t="n">
        <f aca="false">COUNTIF('Label Map'!$D$2:$D$2000,A326)</f>
        <v>2</v>
      </c>
    </row>
    <row r="327" customFormat="false" ht="15" hidden="false" customHeight="false" outlineLevel="0" collapsed="false">
      <c r="A327" s="6" t="s">
        <v>479</v>
      </c>
      <c r="B327" s="6" t="s">
        <v>11</v>
      </c>
      <c r="C327" s="6" t="s">
        <v>3</v>
      </c>
      <c r="D327" s="6" t="s">
        <v>75</v>
      </c>
      <c r="E327" s="6" t="s">
        <v>312</v>
      </c>
      <c r="F327" s="6" t="s">
        <v>476</v>
      </c>
      <c r="G327" s="6" t="s">
        <v>477</v>
      </c>
      <c r="H327" s="6" t="s">
        <v>479</v>
      </c>
      <c r="I327" s="6"/>
      <c r="J327" s="6" t="s">
        <v>476</v>
      </c>
      <c r="K327" s="6"/>
      <c r="L327" s="6"/>
      <c r="M327" s="6"/>
      <c r="N327" s="6"/>
      <c r="O327" s="6"/>
      <c r="P327" s="6"/>
      <c r="Q327" s="6" t="s">
        <v>5</v>
      </c>
      <c r="R327" s="7" t="n">
        <f aca="false">COUNTIF('Label Map'!$D$2:$D$2000,A327)</f>
        <v>1</v>
      </c>
    </row>
    <row r="328" customFormat="false" ht="15" hidden="false" customHeight="false" outlineLevel="0" collapsed="false">
      <c r="A328" s="6" t="s">
        <v>480</v>
      </c>
      <c r="B328" s="6" t="s">
        <v>11</v>
      </c>
      <c r="C328" s="6" t="s">
        <v>3</v>
      </c>
      <c r="D328" s="6" t="s">
        <v>75</v>
      </c>
      <c r="E328" s="6" t="s">
        <v>312</v>
      </c>
      <c r="F328" s="6" t="s">
        <v>476</v>
      </c>
      <c r="G328" s="6" t="s">
        <v>477</v>
      </c>
      <c r="H328" s="6" t="s">
        <v>480</v>
      </c>
      <c r="I328" s="6"/>
      <c r="J328" s="6" t="s">
        <v>476</v>
      </c>
      <c r="K328" s="6"/>
      <c r="L328" s="6"/>
      <c r="M328" s="6"/>
      <c r="N328" s="6"/>
      <c r="O328" s="6"/>
      <c r="P328" s="6"/>
      <c r="Q328" s="6" t="s">
        <v>5</v>
      </c>
      <c r="R328" s="7" t="n">
        <f aca="false">COUNTIF('Label Map'!$D$2:$D$2000,A328)</f>
        <v>1</v>
      </c>
    </row>
    <row r="329" customFormat="false" ht="15" hidden="false" customHeight="false" outlineLevel="0" collapsed="false">
      <c r="A329" s="6" t="s">
        <v>481</v>
      </c>
      <c r="B329" s="6" t="s">
        <v>11</v>
      </c>
      <c r="C329" s="6" t="s">
        <v>3</v>
      </c>
      <c r="D329" s="6" t="s">
        <v>75</v>
      </c>
      <c r="E329" s="6" t="s">
        <v>312</v>
      </c>
      <c r="F329" s="6" t="s">
        <v>476</v>
      </c>
      <c r="G329" s="6" t="s">
        <v>477</v>
      </c>
      <c r="H329" s="6" t="s">
        <v>481</v>
      </c>
      <c r="I329" s="6"/>
      <c r="J329" s="6" t="s">
        <v>476</v>
      </c>
      <c r="K329" s="6"/>
      <c r="L329" s="6"/>
      <c r="M329" s="6"/>
      <c r="N329" s="6"/>
      <c r="O329" s="6"/>
      <c r="P329" s="6"/>
      <c r="Q329" s="6" t="s">
        <v>5</v>
      </c>
      <c r="R329" s="7" t="n">
        <f aca="false">COUNTIF('Label Map'!$D$2:$D$2000,A329)</f>
        <v>1</v>
      </c>
    </row>
    <row r="330" customFormat="false" ht="15" hidden="false" customHeight="false" outlineLevel="0" collapsed="false">
      <c r="A330" s="6" t="s">
        <v>482</v>
      </c>
      <c r="B330" s="6" t="s">
        <v>11</v>
      </c>
      <c r="C330" s="6" t="s">
        <v>3</v>
      </c>
      <c r="D330" s="6" t="s">
        <v>75</v>
      </c>
      <c r="E330" s="6" t="s">
        <v>312</v>
      </c>
      <c r="F330" s="6" t="s">
        <v>476</v>
      </c>
      <c r="G330" s="6" t="s">
        <v>477</v>
      </c>
      <c r="H330" s="6" t="s">
        <v>482</v>
      </c>
      <c r="I330" s="6"/>
      <c r="J330" s="6" t="s">
        <v>476</v>
      </c>
      <c r="K330" s="6"/>
      <c r="L330" s="6"/>
      <c r="M330" s="6"/>
      <c r="N330" s="6"/>
      <c r="O330" s="6"/>
      <c r="P330" s="6"/>
      <c r="Q330" s="6" t="s">
        <v>5</v>
      </c>
      <c r="R330" s="7" t="n">
        <f aca="false">COUNTIF('Label Map'!$D$2:$D$2000,A330)</f>
        <v>1</v>
      </c>
    </row>
    <row r="331" customFormat="false" ht="15" hidden="false" customHeight="false" outlineLevel="0" collapsed="false">
      <c r="A331" s="6" t="s">
        <v>483</v>
      </c>
      <c r="B331" s="6" t="s">
        <v>11</v>
      </c>
      <c r="C331" s="6" t="s">
        <v>3</v>
      </c>
      <c r="D331" s="6" t="s">
        <v>75</v>
      </c>
      <c r="E331" s="6" t="s">
        <v>312</v>
      </c>
      <c r="F331" s="6" t="s">
        <v>476</v>
      </c>
      <c r="G331" s="6" t="s">
        <v>477</v>
      </c>
      <c r="H331" s="6" t="s">
        <v>483</v>
      </c>
      <c r="I331" s="6"/>
      <c r="J331" s="6" t="s">
        <v>476</v>
      </c>
      <c r="K331" s="6"/>
      <c r="L331" s="6"/>
      <c r="M331" s="6"/>
      <c r="N331" s="6"/>
      <c r="O331" s="6"/>
      <c r="P331" s="6"/>
      <c r="Q331" s="6" t="s">
        <v>5</v>
      </c>
      <c r="R331" s="7" t="n">
        <f aca="false">COUNTIF('Label Map'!$D$2:$D$2000,A331)</f>
        <v>1</v>
      </c>
    </row>
    <row r="332" customFormat="false" ht="15" hidden="false" customHeight="false" outlineLevel="0" collapsed="false">
      <c r="A332" s="6" t="s">
        <v>484</v>
      </c>
      <c r="B332" s="6" t="s">
        <v>11</v>
      </c>
      <c r="C332" s="6" t="s">
        <v>3</v>
      </c>
      <c r="D332" s="6" t="s">
        <v>75</v>
      </c>
      <c r="E332" s="6" t="s">
        <v>312</v>
      </c>
      <c r="F332" s="6" t="s">
        <v>476</v>
      </c>
      <c r="G332" s="6" t="s">
        <v>477</v>
      </c>
      <c r="H332" s="6" t="s">
        <v>484</v>
      </c>
      <c r="I332" s="6"/>
      <c r="J332" s="6" t="s">
        <v>476</v>
      </c>
      <c r="K332" s="6"/>
      <c r="L332" s="6"/>
      <c r="M332" s="6"/>
      <c r="N332" s="6"/>
      <c r="O332" s="6"/>
      <c r="P332" s="6"/>
      <c r="Q332" s="6" t="s">
        <v>5</v>
      </c>
      <c r="R332" s="7" t="n">
        <f aca="false">COUNTIF('Label Map'!$D$2:$D$2000,A332)</f>
        <v>1</v>
      </c>
    </row>
    <row r="333" customFormat="false" ht="15" hidden="false" customHeight="false" outlineLevel="0" collapsed="false">
      <c r="A333" s="6" t="s">
        <v>485</v>
      </c>
      <c r="B333" s="6" t="s">
        <v>11</v>
      </c>
      <c r="C333" s="6" t="s">
        <v>3</v>
      </c>
      <c r="D333" s="6" t="s">
        <v>75</v>
      </c>
      <c r="E333" s="6" t="s">
        <v>312</v>
      </c>
      <c r="F333" s="6" t="s">
        <v>476</v>
      </c>
      <c r="G333" s="6" t="s">
        <v>477</v>
      </c>
      <c r="H333" s="6" t="s">
        <v>485</v>
      </c>
      <c r="I333" s="6"/>
      <c r="J333" s="6" t="s">
        <v>476</v>
      </c>
      <c r="K333" s="6"/>
      <c r="L333" s="6"/>
      <c r="M333" s="6"/>
      <c r="N333" s="6"/>
      <c r="O333" s="6"/>
      <c r="P333" s="6"/>
      <c r="Q333" s="6" t="s">
        <v>5</v>
      </c>
      <c r="R333" s="7" t="n">
        <f aca="false">COUNTIF('Label Map'!$D$2:$D$2000,A333)</f>
        <v>1</v>
      </c>
    </row>
    <row r="334" customFormat="false" ht="15" hidden="false" customHeight="false" outlineLevel="0" collapsed="false">
      <c r="A334" s="6" t="s">
        <v>486</v>
      </c>
      <c r="B334" s="6" t="s">
        <v>11</v>
      </c>
      <c r="C334" s="6" t="s">
        <v>3</v>
      </c>
      <c r="D334" s="6" t="s">
        <v>75</v>
      </c>
      <c r="E334" s="6" t="s">
        <v>312</v>
      </c>
      <c r="F334" s="6" t="s">
        <v>476</v>
      </c>
      <c r="G334" s="6" t="s">
        <v>477</v>
      </c>
      <c r="H334" s="6" t="s">
        <v>486</v>
      </c>
      <c r="I334" s="6"/>
      <c r="J334" s="6" t="s">
        <v>476</v>
      </c>
      <c r="K334" s="6"/>
      <c r="L334" s="6"/>
      <c r="M334" s="6"/>
      <c r="N334" s="6"/>
      <c r="O334" s="6"/>
      <c r="P334" s="6"/>
      <c r="Q334" s="6" t="s">
        <v>5</v>
      </c>
      <c r="R334" s="7" t="n">
        <f aca="false">COUNTIF('Label Map'!$D$2:$D$2000,A334)</f>
        <v>1</v>
      </c>
    </row>
    <row r="335" customFormat="false" ht="15" hidden="false" customHeight="false" outlineLevel="0" collapsed="false">
      <c r="A335" s="6" t="s">
        <v>487</v>
      </c>
      <c r="B335" s="6" t="s">
        <v>11</v>
      </c>
      <c r="C335" s="6" t="s">
        <v>3</v>
      </c>
      <c r="D335" s="6" t="s">
        <v>75</v>
      </c>
      <c r="E335" s="6" t="s">
        <v>312</v>
      </c>
      <c r="F335" s="6" t="s">
        <v>476</v>
      </c>
      <c r="G335" s="6" t="s">
        <v>477</v>
      </c>
      <c r="H335" s="6" t="s">
        <v>487</v>
      </c>
      <c r="I335" s="6"/>
      <c r="J335" s="6" t="s">
        <v>476</v>
      </c>
      <c r="K335" s="6"/>
      <c r="L335" s="6"/>
      <c r="M335" s="6"/>
      <c r="N335" s="6"/>
      <c r="O335" s="6"/>
      <c r="P335" s="6"/>
      <c r="Q335" s="6" t="s">
        <v>5</v>
      </c>
      <c r="R335" s="7" t="n">
        <f aca="false">COUNTIF('Label Map'!$D$2:$D$2000,A335)</f>
        <v>1</v>
      </c>
    </row>
    <row r="336" customFormat="false" ht="15" hidden="false" customHeight="false" outlineLevel="0" collapsed="false">
      <c r="A336" s="6" t="s">
        <v>488</v>
      </c>
      <c r="B336" s="6" t="s">
        <v>11</v>
      </c>
      <c r="C336" s="6" t="s">
        <v>3</v>
      </c>
      <c r="D336" s="6" t="s">
        <v>75</v>
      </c>
      <c r="E336" s="6" t="s">
        <v>312</v>
      </c>
      <c r="F336" s="6" t="s">
        <v>476</v>
      </c>
      <c r="G336" s="6" t="s">
        <v>477</v>
      </c>
      <c r="H336" s="6" t="s">
        <v>488</v>
      </c>
      <c r="I336" s="6"/>
      <c r="J336" s="6" t="s">
        <v>476</v>
      </c>
      <c r="K336" s="6"/>
      <c r="L336" s="6"/>
      <c r="M336" s="6"/>
      <c r="N336" s="6"/>
      <c r="O336" s="6"/>
      <c r="P336" s="6"/>
      <c r="Q336" s="6" t="s">
        <v>5</v>
      </c>
      <c r="R336" s="7" t="n">
        <f aca="false">COUNTIF('Label Map'!$D$2:$D$2000,A336)</f>
        <v>1</v>
      </c>
    </row>
    <row r="337" customFormat="false" ht="15" hidden="false" customHeight="false" outlineLevel="0" collapsed="false">
      <c r="A337" s="6" t="s">
        <v>489</v>
      </c>
      <c r="B337" s="6" t="s">
        <v>11</v>
      </c>
      <c r="C337" s="6" t="s">
        <v>3</v>
      </c>
      <c r="D337" s="6" t="s">
        <v>75</v>
      </c>
      <c r="E337" s="6" t="s">
        <v>312</v>
      </c>
      <c r="F337" s="6" t="s">
        <v>476</v>
      </c>
      <c r="G337" s="6" t="s">
        <v>477</v>
      </c>
      <c r="H337" s="6" t="s">
        <v>489</v>
      </c>
      <c r="I337" s="6"/>
      <c r="J337" s="6" t="s">
        <v>476</v>
      </c>
      <c r="K337" s="6"/>
      <c r="L337" s="6"/>
      <c r="M337" s="6"/>
      <c r="N337" s="6"/>
      <c r="O337" s="6"/>
      <c r="P337" s="6"/>
      <c r="Q337" s="6" t="s">
        <v>5</v>
      </c>
      <c r="R337" s="7" t="n">
        <f aca="false">COUNTIF('Label Map'!$D$2:$D$2000,A337)</f>
        <v>1</v>
      </c>
    </row>
    <row r="338" customFormat="false" ht="15" hidden="false" customHeight="false" outlineLevel="0" collapsed="false">
      <c r="A338" s="6" t="s">
        <v>490</v>
      </c>
      <c r="B338" s="6" t="s">
        <v>11</v>
      </c>
      <c r="C338" s="6" t="s">
        <v>3</v>
      </c>
      <c r="D338" s="6" t="s">
        <v>75</v>
      </c>
      <c r="E338" s="6" t="s">
        <v>312</v>
      </c>
      <c r="F338" s="6" t="s">
        <v>476</v>
      </c>
      <c r="G338" s="6" t="s">
        <v>477</v>
      </c>
      <c r="H338" s="6" t="s">
        <v>490</v>
      </c>
      <c r="I338" s="6"/>
      <c r="J338" s="6" t="s">
        <v>476</v>
      </c>
      <c r="K338" s="6"/>
      <c r="L338" s="6"/>
      <c r="M338" s="6"/>
      <c r="N338" s="6"/>
      <c r="O338" s="6"/>
      <c r="P338" s="6"/>
      <c r="Q338" s="6" t="s">
        <v>5</v>
      </c>
      <c r="R338" s="7" t="n">
        <f aca="false">COUNTIF('Label Map'!$D$2:$D$2000,A338)</f>
        <v>1</v>
      </c>
    </row>
    <row r="339" customFormat="false" ht="15" hidden="false" customHeight="false" outlineLevel="0" collapsed="false">
      <c r="A339" s="6" t="s">
        <v>491</v>
      </c>
      <c r="B339" s="6" t="s">
        <v>11</v>
      </c>
      <c r="C339" s="6" t="s">
        <v>3</v>
      </c>
      <c r="D339" s="6" t="s">
        <v>75</v>
      </c>
      <c r="E339" s="6" t="s">
        <v>312</v>
      </c>
      <c r="F339" s="6" t="s">
        <v>476</v>
      </c>
      <c r="G339" s="6" t="s">
        <v>477</v>
      </c>
      <c r="H339" s="6" t="s">
        <v>491</v>
      </c>
      <c r="I339" s="6"/>
      <c r="J339" s="6" t="s">
        <v>476</v>
      </c>
      <c r="K339" s="6"/>
      <c r="L339" s="6"/>
      <c r="M339" s="6"/>
      <c r="N339" s="6"/>
      <c r="O339" s="6"/>
      <c r="P339" s="6"/>
      <c r="Q339" s="6" t="s">
        <v>5</v>
      </c>
      <c r="R339" s="7" t="n">
        <f aca="false">COUNTIF('Label Map'!$D$2:$D$2000,A339)</f>
        <v>1</v>
      </c>
    </row>
    <row r="340" customFormat="false" ht="15" hidden="false" customHeight="false" outlineLevel="0" collapsed="false">
      <c r="A340" s="6" t="s">
        <v>492</v>
      </c>
      <c r="B340" s="6" t="s">
        <v>11</v>
      </c>
      <c r="C340" s="6" t="s">
        <v>3</v>
      </c>
      <c r="D340" s="6" t="s">
        <v>75</v>
      </c>
      <c r="E340" s="6" t="s">
        <v>312</v>
      </c>
      <c r="F340" s="6" t="s">
        <v>476</v>
      </c>
      <c r="G340" s="6" t="s">
        <v>477</v>
      </c>
      <c r="H340" s="6" t="s">
        <v>492</v>
      </c>
      <c r="I340" s="6"/>
      <c r="J340" s="6" t="s">
        <v>476</v>
      </c>
      <c r="K340" s="6"/>
      <c r="L340" s="6"/>
      <c r="M340" s="6"/>
      <c r="N340" s="6"/>
      <c r="O340" s="6"/>
      <c r="P340" s="6"/>
      <c r="Q340" s="6" t="s">
        <v>5</v>
      </c>
      <c r="R340" s="7" t="n">
        <f aca="false">COUNTIF('Label Map'!$D$2:$D$2000,A340)</f>
        <v>1</v>
      </c>
    </row>
    <row r="341" customFormat="false" ht="15" hidden="false" customHeight="false" outlineLevel="0" collapsed="false">
      <c r="A341" s="6" t="s">
        <v>493</v>
      </c>
      <c r="B341" s="6" t="s">
        <v>11</v>
      </c>
      <c r="C341" s="6" t="s">
        <v>3</v>
      </c>
      <c r="D341" s="6" t="s">
        <v>75</v>
      </c>
      <c r="E341" s="6" t="s">
        <v>312</v>
      </c>
      <c r="F341" s="6" t="s">
        <v>476</v>
      </c>
      <c r="G341" s="6" t="s">
        <v>477</v>
      </c>
      <c r="H341" s="6" t="s">
        <v>493</v>
      </c>
      <c r="I341" s="6"/>
      <c r="J341" s="6" t="s">
        <v>476</v>
      </c>
      <c r="K341" s="6"/>
      <c r="L341" s="6"/>
      <c r="M341" s="6"/>
      <c r="N341" s="6"/>
      <c r="O341" s="6"/>
      <c r="P341" s="6"/>
      <c r="Q341" s="6" t="s">
        <v>5</v>
      </c>
      <c r="R341" s="7" t="n">
        <f aca="false">COUNTIF('Label Map'!$D$2:$D$2000,A341)</f>
        <v>1</v>
      </c>
    </row>
    <row r="342" customFormat="false" ht="15" hidden="false" customHeight="false" outlineLevel="0" collapsed="false">
      <c r="A342" s="6" t="s">
        <v>494</v>
      </c>
      <c r="B342" s="6" t="s">
        <v>63</v>
      </c>
      <c r="C342" s="6" t="s">
        <v>3</v>
      </c>
      <c r="D342" s="6" t="s">
        <v>75</v>
      </c>
      <c r="E342" s="6" t="s">
        <v>312</v>
      </c>
      <c r="F342" s="6" t="s">
        <v>476</v>
      </c>
      <c r="G342" s="6" t="s">
        <v>477</v>
      </c>
      <c r="H342" s="6"/>
      <c r="I342" s="6" t="s">
        <v>494</v>
      </c>
      <c r="J342" s="6" t="s">
        <v>476</v>
      </c>
      <c r="K342" s="6"/>
      <c r="L342" s="6"/>
      <c r="M342" s="6"/>
      <c r="N342" s="6"/>
      <c r="O342" s="6"/>
      <c r="P342" s="6"/>
      <c r="Q342" s="6"/>
      <c r="R342" s="7" t="n">
        <f aca="false">COUNTIF('Label Map'!$D$2:$D$2000,A342)</f>
        <v>0</v>
      </c>
    </row>
    <row r="343" customFormat="false" ht="15" hidden="false" customHeight="false" outlineLevel="0" collapsed="false">
      <c r="A343" s="6" t="s">
        <v>495</v>
      </c>
      <c r="B343" s="6" t="s">
        <v>11</v>
      </c>
      <c r="C343" s="6" t="s">
        <v>3</v>
      </c>
      <c r="D343" s="6" t="s">
        <v>75</v>
      </c>
      <c r="E343" s="6" t="s">
        <v>312</v>
      </c>
      <c r="F343" s="6" t="s">
        <v>476</v>
      </c>
      <c r="G343" s="6" t="s">
        <v>477</v>
      </c>
      <c r="H343" s="6" t="s">
        <v>495</v>
      </c>
      <c r="I343" s="6"/>
      <c r="J343" s="6" t="s">
        <v>476</v>
      </c>
      <c r="K343" s="6"/>
      <c r="L343" s="6"/>
      <c r="M343" s="6"/>
      <c r="N343" s="6"/>
      <c r="O343" s="6"/>
      <c r="P343" s="6"/>
      <c r="Q343" s="6" t="s">
        <v>5</v>
      </c>
      <c r="R343" s="7" t="n">
        <f aca="false">COUNTIF('Label Map'!$D$2:$D$2000,A343)</f>
        <v>0</v>
      </c>
    </row>
    <row r="344" customFormat="false" ht="15" hidden="false" customHeight="false" outlineLevel="0" collapsed="false">
      <c r="A344" s="6" t="s">
        <v>496</v>
      </c>
      <c r="B344" s="6" t="s">
        <v>9</v>
      </c>
      <c r="C344" s="6" t="s">
        <v>3</v>
      </c>
      <c r="D344" s="6" t="s">
        <v>75</v>
      </c>
      <c r="E344" s="6" t="s">
        <v>312</v>
      </c>
      <c r="F344" s="6" t="s">
        <v>496</v>
      </c>
      <c r="G344" s="6" t="s">
        <v>497</v>
      </c>
      <c r="H344" s="6"/>
      <c r="I344" s="6"/>
      <c r="J344" s="6" t="s">
        <v>312</v>
      </c>
      <c r="K344" s="6" t="s">
        <v>498</v>
      </c>
      <c r="L344" s="6" t="s">
        <v>84</v>
      </c>
      <c r="M344" s="6" t="s">
        <v>335</v>
      </c>
      <c r="N344" s="6" t="s">
        <v>315</v>
      </c>
      <c r="O344" s="6" t="s">
        <v>336</v>
      </c>
      <c r="P344" s="6" t="s">
        <v>337</v>
      </c>
      <c r="Q344" s="6"/>
      <c r="R344" s="7" t="n">
        <f aca="false">COUNTIF('Label Map'!$D$2:$D$2000,A344)</f>
        <v>4</v>
      </c>
    </row>
    <row r="345" customFormat="false" ht="15" hidden="false" customHeight="false" outlineLevel="0" collapsed="false">
      <c r="A345" s="6" t="s">
        <v>499</v>
      </c>
      <c r="B345" s="6" t="s">
        <v>11</v>
      </c>
      <c r="C345" s="6" t="s">
        <v>3</v>
      </c>
      <c r="D345" s="6" t="s">
        <v>75</v>
      </c>
      <c r="E345" s="6" t="s">
        <v>312</v>
      </c>
      <c r="F345" s="6" t="s">
        <v>496</v>
      </c>
      <c r="G345" s="6" t="s">
        <v>497</v>
      </c>
      <c r="H345" s="6" t="s">
        <v>499</v>
      </c>
      <c r="I345" s="6"/>
      <c r="J345" s="6" t="s">
        <v>496</v>
      </c>
      <c r="K345" s="6"/>
      <c r="L345" s="6"/>
      <c r="M345" s="6"/>
      <c r="N345" s="6"/>
      <c r="O345" s="6"/>
      <c r="P345" s="6"/>
      <c r="Q345" s="6" t="s">
        <v>500</v>
      </c>
      <c r="R345" s="7" t="n">
        <f aca="false">COUNTIF('Label Map'!$D$2:$D$2000,A345)</f>
        <v>1</v>
      </c>
    </row>
    <row r="346" customFormat="false" ht="15" hidden="false" customHeight="false" outlineLevel="0" collapsed="false">
      <c r="A346" s="6" t="s">
        <v>501</v>
      </c>
      <c r="B346" s="6" t="s">
        <v>11</v>
      </c>
      <c r="C346" s="6" t="s">
        <v>3</v>
      </c>
      <c r="D346" s="6" t="s">
        <v>75</v>
      </c>
      <c r="E346" s="6" t="s">
        <v>312</v>
      </c>
      <c r="F346" s="6" t="s">
        <v>496</v>
      </c>
      <c r="G346" s="6" t="s">
        <v>497</v>
      </c>
      <c r="H346" s="6" t="s">
        <v>501</v>
      </c>
      <c r="I346" s="6"/>
      <c r="J346" s="6" t="s">
        <v>496</v>
      </c>
      <c r="K346" s="6"/>
      <c r="L346" s="6"/>
      <c r="M346" s="6"/>
      <c r="N346" s="6"/>
      <c r="O346" s="6"/>
      <c r="P346" s="6"/>
      <c r="Q346" s="6" t="s">
        <v>500</v>
      </c>
      <c r="R346" s="7" t="n">
        <f aca="false">COUNTIF('Label Map'!$D$2:$D$2000,A346)</f>
        <v>1</v>
      </c>
    </row>
    <row r="347" customFormat="false" ht="15" hidden="false" customHeight="false" outlineLevel="0" collapsed="false">
      <c r="A347" s="6" t="s">
        <v>502</v>
      </c>
      <c r="B347" s="6" t="s">
        <v>11</v>
      </c>
      <c r="C347" s="6" t="s">
        <v>3</v>
      </c>
      <c r="D347" s="6" t="s">
        <v>75</v>
      </c>
      <c r="E347" s="6" t="s">
        <v>312</v>
      </c>
      <c r="F347" s="6" t="s">
        <v>496</v>
      </c>
      <c r="G347" s="6" t="s">
        <v>497</v>
      </c>
      <c r="H347" s="6" t="s">
        <v>502</v>
      </c>
      <c r="I347" s="6"/>
      <c r="J347" s="6" t="s">
        <v>496</v>
      </c>
      <c r="K347" s="6"/>
      <c r="L347" s="6"/>
      <c r="M347" s="6"/>
      <c r="N347" s="6"/>
      <c r="O347" s="6"/>
      <c r="P347" s="6"/>
      <c r="Q347" s="6" t="s">
        <v>500</v>
      </c>
      <c r="R347" s="7" t="n">
        <f aca="false">COUNTIF('Label Map'!$D$2:$D$2000,A347)</f>
        <v>1</v>
      </c>
    </row>
    <row r="348" customFormat="false" ht="15" hidden="false" customHeight="false" outlineLevel="0" collapsed="false">
      <c r="A348" s="6" t="s">
        <v>503</v>
      </c>
      <c r="B348" s="6" t="s">
        <v>11</v>
      </c>
      <c r="C348" s="6" t="s">
        <v>3</v>
      </c>
      <c r="D348" s="6" t="s">
        <v>75</v>
      </c>
      <c r="E348" s="6" t="s">
        <v>312</v>
      </c>
      <c r="F348" s="6" t="s">
        <v>496</v>
      </c>
      <c r="G348" s="6" t="s">
        <v>497</v>
      </c>
      <c r="H348" s="6" t="s">
        <v>503</v>
      </c>
      <c r="I348" s="6"/>
      <c r="J348" s="6" t="s">
        <v>496</v>
      </c>
      <c r="K348" s="6"/>
      <c r="L348" s="6"/>
      <c r="M348" s="6"/>
      <c r="N348" s="6"/>
      <c r="O348" s="6"/>
      <c r="P348" s="6"/>
      <c r="Q348" s="6" t="s">
        <v>500</v>
      </c>
      <c r="R348" s="7" t="n">
        <f aca="false">COUNTIF('Label Map'!$D$2:$D$2000,A348)</f>
        <v>1</v>
      </c>
    </row>
    <row r="349" customFormat="false" ht="15" hidden="false" customHeight="false" outlineLevel="0" collapsed="false">
      <c r="A349" s="6" t="s">
        <v>504</v>
      </c>
      <c r="B349" s="6" t="s">
        <v>11</v>
      </c>
      <c r="C349" s="6" t="s">
        <v>3</v>
      </c>
      <c r="D349" s="6" t="s">
        <v>75</v>
      </c>
      <c r="E349" s="6" t="s">
        <v>312</v>
      </c>
      <c r="F349" s="6" t="s">
        <v>496</v>
      </c>
      <c r="G349" s="6" t="s">
        <v>497</v>
      </c>
      <c r="H349" s="6" t="s">
        <v>504</v>
      </c>
      <c r="I349" s="6"/>
      <c r="J349" s="6" t="s">
        <v>496</v>
      </c>
      <c r="K349" s="6"/>
      <c r="L349" s="6"/>
      <c r="M349" s="6"/>
      <c r="N349" s="6"/>
      <c r="O349" s="6"/>
      <c r="P349" s="6"/>
      <c r="Q349" s="6" t="s">
        <v>505</v>
      </c>
      <c r="R349" s="7" t="n">
        <f aca="false">COUNTIF('Label Map'!$D$2:$D$2000,A349)</f>
        <v>1</v>
      </c>
    </row>
    <row r="350" customFormat="false" ht="15" hidden="false" customHeight="false" outlineLevel="0" collapsed="false">
      <c r="A350" s="6" t="s">
        <v>506</v>
      </c>
      <c r="B350" s="6" t="s">
        <v>11</v>
      </c>
      <c r="C350" s="6" t="s">
        <v>3</v>
      </c>
      <c r="D350" s="6" t="s">
        <v>75</v>
      </c>
      <c r="E350" s="6" t="s">
        <v>312</v>
      </c>
      <c r="F350" s="6" t="s">
        <v>496</v>
      </c>
      <c r="G350" s="6" t="s">
        <v>497</v>
      </c>
      <c r="H350" s="6" t="s">
        <v>506</v>
      </c>
      <c r="I350" s="6"/>
      <c r="J350" s="6" t="s">
        <v>496</v>
      </c>
      <c r="K350" s="6"/>
      <c r="L350" s="6"/>
      <c r="M350" s="6"/>
      <c r="N350" s="6"/>
      <c r="O350" s="6"/>
      <c r="P350" s="6"/>
      <c r="Q350" s="6" t="s">
        <v>500</v>
      </c>
      <c r="R350" s="7" t="n">
        <f aca="false">COUNTIF('Label Map'!$D$2:$D$2000,A350)</f>
        <v>1</v>
      </c>
    </row>
    <row r="351" customFormat="false" ht="15" hidden="false" customHeight="false" outlineLevel="0" collapsed="false">
      <c r="A351" s="6" t="s">
        <v>507</v>
      </c>
      <c r="B351" s="6" t="s">
        <v>11</v>
      </c>
      <c r="C351" s="6" t="s">
        <v>3</v>
      </c>
      <c r="D351" s="6" t="s">
        <v>75</v>
      </c>
      <c r="E351" s="6" t="s">
        <v>312</v>
      </c>
      <c r="F351" s="6" t="s">
        <v>496</v>
      </c>
      <c r="G351" s="6" t="s">
        <v>497</v>
      </c>
      <c r="H351" s="6" t="s">
        <v>507</v>
      </c>
      <c r="I351" s="6"/>
      <c r="J351" s="6" t="s">
        <v>496</v>
      </c>
      <c r="K351" s="6"/>
      <c r="L351" s="6"/>
      <c r="M351" s="6"/>
      <c r="N351" s="6"/>
      <c r="O351" s="6"/>
      <c r="P351" s="6"/>
      <c r="Q351" s="6" t="s">
        <v>500</v>
      </c>
      <c r="R351" s="7" t="n">
        <f aca="false">COUNTIF('Label Map'!$D$2:$D$2000,A351)</f>
        <v>1</v>
      </c>
    </row>
    <row r="352" customFormat="false" ht="15" hidden="false" customHeight="false" outlineLevel="0" collapsed="false">
      <c r="A352" s="6" t="s">
        <v>508</v>
      </c>
      <c r="B352" s="6" t="s">
        <v>11</v>
      </c>
      <c r="C352" s="6" t="s">
        <v>3</v>
      </c>
      <c r="D352" s="6" t="s">
        <v>75</v>
      </c>
      <c r="E352" s="6" t="s">
        <v>312</v>
      </c>
      <c r="F352" s="6" t="s">
        <v>496</v>
      </c>
      <c r="G352" s="6" t="s">
        <v>497</v>
      </c>
      <c r="H352" s="6" t="s">
        <v>508</v>
      </c>
      <c r="I352" s="6"/>
      <c r="J352" s="6" t="s">
        <v>496</v>
      </c>
      <c r="K352" s="6"/>
      <c r="L352" s="6"/>
      <c r="M352" s="6"/>
      <c r="N352" s="6"/>
      <c r="O352" s="6"/>
      <c r="P352" s="6"/>
      <c r="Q352" s="6" t="s">
        <v>500</v>
      </c>
      <c r="R352" s="7" t="n">
        <f aca="false">COUNTIF('Label Map'!$D$2:$D$2000,A352)</f>
        <v>1</v>
      </c>
    </row>
    <row r="353" customFormat="false" ht="15" hidden="false" customHeight="false" outlineLevel="0" collapsed="false">
      <c r="A353" s="6" t="s">
        <v>509</v>
      </c>
      <c r="B353" s="6" t="s">
        <v>11</v>
      </c>
      <c r="C353" s="6" t="s">
        <v>3</v>
      </c>
      <c r="D353" s="6" t="s">
        <v>75</v>
      </c>
      <c r="E353" s="6" t="s">
        <v>312</v>
      </c>
      <c r="F353" s="6" t="s">
        <v>496</v>
      </c>
      <c r="G353" s="6" t="s">
        <v>497</v>
      </c>
      <c r="H353" s="6" t="s">
        <v>509</v>
      </c>
      <c r="I353" s="6"/>
      <c r="J353" s="6" t="s">
        <v>496</v>
      </c>
      <c r="K353" s="6"/>
      <c r="L353" s="6"/>
      <c r="M353" s="6"/>
      <c r="N353" s="6"/>
      <c r="O353" s="6"/>
      <c r="P353" s="6"/>
      <c r="Q353" s="6" t="s">
        <v>500</v>
      </c>
      <c r="R353" s="7" t="n">
        <f aca="false">COUNTIF('Label Map'!$D$2:$D$2000,A353)</f>
        <v>1</v>
      </c>
    </row>
    <row r="354" customFormat="false" ht="15" hidden="false" customHeight="false" outlineLevel="0" collapsed="false">
      <c r="A354" s="6" t="s">
        <v>510</v>
      </c>
      <c r="B354" s="6" t="s">
        <v>11</v>
      </c>
      <c r="C354" s="6" t="s">
        <v>3</v>
      </c>
      <c r="D354" s="6" t="s">
        <v>75</v>
      </c>
      <c r="E354" s="6" t="s">
        <v>312</v>
      </c>
      <c r="F354" s="6" t="s">
        <v>496</v>
      </c>
      <c r="G354" s="6" t="s">
        <v>497</v>
      </c>
      <c r="H354" s="6" t="s">
        <v>510</v>
      </c>
      <c r="I354" s="6"/>
      <c r="J354" s="6" t="s">
        <v>496</v>
      </c>
      <c r="K354" s="6"/>
      <c r="L354" s="6"/>
      <c r="M354" s="6"/>
      <c r="N354" s="6"/>
      <c r="O354" s="6"/>
      <c r="P354" s="6"/>
      <c r="Q354" s="6" t="s">
        <v>500</v>
      </c>
      <c r="R354" s="7" t="n">
        <f aca="false">COUNTIF('Label Map'!$D$2:$D$2000,A354)</f>
        <v>1</v>
      </c>
    </row>
    <row r="355" customFormat="false" ht="15" hidden="false" customHeight="false" outlineLevel="0" collapsed="false">
      <c r="A355" s="6" t="s">
        <v>511</v>
      </c>
      <c r="B355" s="6" t="s">
        <v>11</v>
      </c>
      <c r="C355" s="6" t="s">
        <v>3</v>
      </c>
      <c r="D355" s="6" t="s">
        <v>75</v>
      </c>
      <c r="E355" s="6" t="s">
        <v>312</v>
      </c>
      <c r="F355" s="6" t="s">
        <v>496</v>
      </c>
      <c r="G355" s="6" t="s">
        <v>497</v>
      </c>
      <c r="H355" s="6" t="s">
        <v>511</v>
      </c>
      <c r="I355" s="6"/>
      <c r="J355" s="6" t="s">
        <v>496</v>
      </c>
      <c r="K355" s="6"/>
      <c r="L355" s="6"/>
      <c r="M355" s="6"/>
      <c r="N355" s="6"/>
      <c r="O355" s="6"/>
      <c r="P355" s="6"/>
      <c r="Q355" s="6" t="s">
        <v>500</v>
      </c>
      <c r="R355" s="7" t="n">
        <f aca="false">COUNTIF('Label Map'!$D$2:$D$2000,A355)</f>
        <v>1</v>
      </c>
    </row>
    <row r="356" customFormat="false" ht="15" hidden="false" customHeight="false" outlineLevel="0" collapsed="false">
      <c r="A356" s="6" t="s">
        <v>512</v>
      </c>
      <c r="B356" s="6" t="s">
        <v>11</v>
      </c>
      <c r="C356" s="6" t="s">
        <v>3</v>
      </c>
      <c r="D356" s="6" t="s">
        <v>75</v>
      </c>
      <c r="E356" s="6" t="s">
        <v>312</v>
      </c>
      <c r="F356" s="6" t="s">
        <v>496</v>
      </c>
      <c r="G356" s="6" t="s">
        <v>497</v>
      </c>
      <c r="H356" s="6" t="s">
        <v>512</v>
      </c>
      <c r="I356" s="6"/>
      <c r="J356" s="6" t="s">
        <v>496</v>
      </c>
      <c r="K356" s="6"/>
      <c r="L356" s="6"/>
      <c r="M356" s="6"/>
      <c r="N356" s="6"/>
      <c r="O356" s="6"/>
      <c r="P356" s="6"/>
      <c r="Q356" s="6" t="s">
        <v>500</v>
      </c>
      <c r="R356" s="7" t="n">
        <f aca="false">COUNTIF('Label Map'!$D$2:$D$2000,A356)</f>
        <v>1</v>
      </c>
    </row>
    <row r="357" customFormat="false" ht="15" hidden="false" customHeight="false" outlineLevel="0" collapsed="false">
      <c r="A357" s="6" t="s">
        <v>513</v>
      </c>
      <c r="B357" s="6" t="s">
        <v>11</v>
      </c>
      <c r="C357" s="6" t="s">
        <v>3</v>
      </c>
      <c r="D357" s="6" t="s">
        <v>75</v>
      </c>
      <c r="E357" s="6" t="s">
        <v>312</v>
      </c>
      <c r="F357" s="6" t="s">
        <v>496</v>
      </c>
      <c r="G357" s="6" t="s">
        <v>497</v>
      </c>
      <c r="H357" s="6" t="s">
        <v>513</v>
      </c>
      <c r="I357" s="6"/>
      <c r="J357" s="6" t="s">
        <v>496</v>
      </c>
      <c r="K357" s="6"/>
      <c r="L357" s="6"/>
      <c r="M357" s="6"/>
      <c r="N357" s="6"/>
      <c r="O357" s="6"/>
      <c r="P357" s="6"/>
      <c r="Q357" s="6" t="s">
        <v>500</v>
      </c>
      <c r="R357" s="7" t="n">
        <f aca="false">COUNTIF('Label Map'!$D$2:$D$2000,A357)</f>
        <v>1</v>
      </c>
    </row>
    <row r="358" customFormat="false" ht="15" hidden="false" customHeight="false" outlineLevel="0" collapsed="false">
      <c r="A358" s="6" t="s">
        <v>514</v>
      </c>
      <c r="B358" s="6" t="s">
        <v>11</v>
      </c>
      <c r="C358" s="6" t="s">
        <v>3</v>
      </c>
      <c r="D358" s="6" t="s">
        <v>75</v>
      </c>
      <c r="E358" s="6" t="s">
        <v>312</v>
      </c>
      <c r="F358" s="6" t="s">
        <v>496</v>
      </c>
      <c r="G358" s="6" t="s">
        <v>497</v>
      </c>
      <c r="H358" s="6" t="s">
        <v>514</v>
      </c>
      <c r="I358" s="6"/>
      <c r="J358" s="6" t="s">
        <v>496</v>
      </c>
      <c r="K358" s="6"/>
      <c r="L358" s="6"/>
      <c r="M358" s="6"/>
      <c r="N358" s="6"/>
      <c r="O358" s="6"/>
      <c r="P358" s="6"/>
      <c r="Q358" s="6" t="s">
        <v>500</v>
      </c>
      <c r="R358" s="7" t="n">
        <f aca="false">COUNTIF('Label Map'!$D$2:$D$2000,A358)</f>
        <v>1</v>
      </c>
    </row>
    <row r="359" customFormat="false" ht="15" hidden="false" customHeight="false" outlineLevel="0" collapsed="false">
      <c r="A359" s="6" t="s">
        <v>515</v>
      </c>
      <c r="B359" s="6" t="s">
        <v>11</v>
      </c>
      <c r="C359" s="6" t="s">
        <v>3</v>
      </c>
      <c r="D359" s="6" t="s">
        <v>75</v>
      </c>
      <c r="E359" s="6" t="s">
        <v>312</v>
      </c>
      <c r="F359" s="6" t="s">
        <v>496</v>
      </c>
      <c r="G359" s="6" t="s">
        <v>497</v>
      </c>
      <c r="H359" s="6" t="s">
        <v>515</v>
      </c>
      <c r="I359" s="6"/>
      <c r="J359" s="6" t="s">
        <v>496</v>
      </c>
      <c r="K359" s="6"/>
      <c r="L359" s="6"/>
      <c r="M359" s="6"/>
      <c r="N359" s="6"/>
      <c r="O359" s="6"/>
      <c r="P359" s="6"/>
      <c r="Q359" s="6" t="s">
        <v>500</v>
      </c>
      <c r="R359" s="7" t="n">
        <f aca="false">COUNTIF('Label Map'!$D$2:$D$2000,A359)</f>
        <v>1</v>
      </c>
    </row>
    <row r="360" customFormat="false" ht="15" hidden="false" customHeight="false" outlineLevel="0" collapsed="false">
      <c r="A360" s="6" t="s">
        <v>516</v>
      </c>
      <c r="B360" s="6" t="s">
        <v>11</v>
      </c>
      <c r="C360" s="6" t="s">
        <v>3</v>
      </c>
      <c r="D360" s="6" t="s">
        <v>75</v>
      </c>
      <c r="E360" s="6" t="s">
        <v>312</v>
      </c>
      <c r="F360" s="6" t="s">
        <v>496</v>
      </c>
      <c r="G360" s="6" t="s">
        <v>497</v>
      </c>
      <c r="H360" s="6" t="s">
        <v>516</v>
      </c>
      <c r="I360" s="6"/>
      <c r="J360" s="6" t="s">
        <v>496</v>
      </c>
      <c r="K360" s="6"/>
      <c r="L360" s="6"/>
      <c r="M360" s="6"/>
      <c r="N360" s="6"/>
      <c r="O360" s="6"/>
      <c r="P360" s="6"/>
      <c r="Q360" s="6" t="s">
        <v>500</v>
      </c>
      <c r="R360" s="7" t="n">
        <f aca="false">COUNTIF('Label Map'!$D$2:$D$2000,A360)</f>
        <v>1</v>
      </c>
    </row>
    <row r="361" customFormat="false" ht="15" hidden="false" customHeight="false" outlineLevel="0" collapsed="false">
      <c r="A361" s="6" t="s">
        <v>517</v>
      </c>
      <c r="B361" s="6" t="s">
        <v>11</v>
      </c>
      <c r="C361" s="6" t="s">
        <v>3</v>
      </c>
      <c r="D361" s="6" t="s">
        <v>75</v>
      </c>
      <c r="E361" s="6" t="s">
        <v>312</v>
      </c>
      <c r="F361" s="6" t="s">
        <v>496</v>
      </c>
      <c r="G361" s="6" t="s">
        <v>497</v>
      </c>
      <c r="H361" s="6" t="s">
        <v>517</v>
      </c>
      <c r="I361" s="6"/>
      <c r="J361" s="6" t="s">
        <v>496</v>
      </c>
      <c r="K361" s="6"/>
      <c r="L361" s="6"/>
      <c r="M361" s="6"/>
      <c r="N361" s="6"/>
      <c r="O361" s="6"/>
      <c r="P361" s="6"/>
      <c r="Q361" s="6" t="s">
        <v>500</v>
      </c>
      <c r="R361" s="7" t="n">
        <f aca="false">COUNTIF('Label Map'!$D$2:$D$2000,A361)</f>
        <v>1</v>
      </c>
    </row>
    <row r="362" customFormat="false" ht="15" hidden="false" customHeight="false" outlineLevel="0" collapsed="false">
      <c r="A362" s="6" t="s">
        <v>518</v>
      </c>
      <c r="B362" s="6" t="s">
        <v>11</v>
      </c>
      <c r="C362" s="6" t="s">
        <v>3</v>
      </c>
      <c r="D362" s="6" t="s">
        <v>75</v>
      </c>
      <c r="E362" s="6" t="s">
        <v>312</v>
      </c>
      <c r="F362" s="6" t="s">
        <v>496</v>
      </c>
      <c r="G362" s="6" t="s">
        <v>497</v>
      </c>
      <c r="H362" s="6" t="s">
        <v>518</v>
      </c>
      <c r="I362" s="6"/>
      <c r="J362" s="6" t="s">
        <v>496</v>
      </c>
      <c r="K362" s="6"/>
      <c r="L362" s="6"/>
      <c r="M362" s="6"/>
      <c r="N362" s="6"/>
      <c r="O362" s="6"/>
      <c r="P362" s="6"/>
      <c r="Q362" s="6" t="s">
        <v>500</v>
      </c>
      <c r="R362" s="7" t="n">
        <f aca="false">COUNTIF('Label Map'!$D$2:$D$2000,A362)</f>
        <v>1</v>
      </c>
    </row>
    <row r="363" customFormat="false" ht="15" hidden="false" customHeight="false" outlineLevel="0" collapsed="false">
      <c r="A363" s="6" t="s">
        <v>519</v>
      </c>
      <c r="B363" s="6" t="s">
        <v>11</v>
      </c>
      <c r="C363" s="6" t="s">
        <v>3</v>
      </c>
      <c r="D363" s="6" t="s">
        <v>75</v>
      </c>
      <c r="E363" s="6" t="s">
        <v>312</v>
      </c>
      <c r="F363" s="6" t="s">
        <v>496</v>
      </c>
      <c r="G363" s="6" t="s">
        <v>497</v>
      </c>
      <c r="H363" s="6" t="s">
        <v>519</v>
      </c>
      <c r="I363" s="6"/>
      <c r="J363" s="6" t="s">
        <v>496</v>
      </c>
      <c r="K363" s="6"/>
      <c r="L363" s="6"/>
      <c r="M363" s="6"/>
      <c r="N363" s="6"/>
      <c r="O363" s="6"/>
      <c r="P363" s="6"/>
      <c r="Q363" s="6" t="s">
        <v>500</v>
      </c>
      <c r="R363" s="7" t="n">
        <f aca="false">COUNTIF('Label Map'!$D$2:$D$2000,A363)</f>
        <v>1</v>
      </c>
    </row>
    <row r="364" customFormat="false" ht="15" hidden="false" customHeight="false" outlineLevel="0" collapsed="false">
      <c r="A364" s="6" t="s">
        <v>520</v>
      </c>
      <c r="B364" s="6" t="s">
        <v>11</v>
      </c>
      <c r="C364" s="6" t="s">
        <v>3</v>
      </c>
      <c r="D364" s="6" t="s">
        <v>75</v>
      </c>
      <c r="E364" s="6" t="s">
        <v>312</v>
      </c>
      <c r="F364" s="6" t="s">
        <v>496</v>
      </c>
      <c r="G364" s="6" t="s">
        <v>497</v>
      </c>
      <c r="H364" s="6" t="s">
        <v>520</v>
      </c>
      <c r="I364" s="6"/>
      <c r="J364" s="6" t="s">
        <v>496</v>
      </c>
      <c r="K364" s="6"/>
      <c r="L364" s="6"/>
      <c r="M364" s="6"/>
      <c r="N364" s="6"/>
      <c r="O364" s="6"/>
      <c r="P364" s="6"/>
      <c r="Q364" s="6" t="s">
        <v>500</v>
      </c>
      <c r="R364" s="7" t="n">
        <f aca="false">COUNTIF('Label Map'!$D$2:$D$2000,A364)</f>
        <v>1</v>
      </c>
    </row>
    <row r="365" customFormat="false" ht="15" hidden="false" customHeight="false" outlineLevel="0" collapsed="false">
      <c r="A365" s="6" t="s">
        <v>521</v>
      </c>
      <c r="B365" s="6" t="s">
        <v>11</v>
      </c>
      <c r="C365" s="6" t="s">
        <v>3</v>
      </c>
      <c r="D365" s="6" t="s">
        <v>75</v>
      </c>
      <c r="E365" s="6" t="s">
        <v>312</v>
      </c>
      <c r="F365" s="6" t="s">
        <v>496</v>
      </c>
      <c r="G365" s="6" t="s">
        <v>497</v>
      </c>
      <c r="H365" s="6" t="s">
        <v>521</v>
      </c>
      <c r="I365" s="6"/>
      <c r="J365" s="6" t="s">
        <v>496</v>
      </c>
      <c r="K365" s="6"/>
      <c r="L365" s="6"/>
      <c r="M365" s="6"/>
      <c r="N365" s="6"/>
      <c r="O365" s="6"/>
      <c r="P365" s="6"/>
      <c r="Q365" s="6" t="s">
        <v>500</v>
      </c>
      <c r="R365" s="7" t="n">
        <f aca="false">COUNTIF('Label Map'!$D$2:$D$2000,A365)</f>
        <v>1</v>
      </c>
    </row>
    <row r="366" customFormat="false" ht="15" hidden="false" customHeight="false" outlineLevel="0" collapsed="false">
      <c r="A366" s="6" t="s">
        <v>522</v>
      </c>
      <c r="B366" s="6" t="s">
        <v>11</v>
      </c>
      <c r="C366" s="6" t="s">
        <v>3</v>
      </c>
      <c r="D366" s="6" t="s">
        <v>75</v>
      </c>
      <c r="E366" s="6" t="s">
        <v>312</v>
      </c>
      <c r="F366" s="6" t="s">
        <v>496</v>
      </c>
      <c r="G366" s="6" t="s">
        <v>497</v>
      </c>
      <c r="H366" s="6" t="s">
        <v>522</v>
      </c>
      <c r="I366" s="6"/>
      <c r="J366" s="6" t="s">
        <v>496</v>
      </c>
      <c r="K366" s="6"/>
      <c r="L366" s="6"/>
      <c r="M366" s="6"/>
      <c r="N366" s="6"/>
      <c r="O366" s="6"/>
      <c r="P366" s="6"/>
      <c r="Q366" s="6" t="s">
        <v>500</v>
      </c>
      <c r="R366" s="7" t="n">
        <f aca="false">COUNTIF('Label Map'!$D$2:$D$2000,A366)</f>
        <v>1</v>
      </c>
    </row>
    <row r="367" customFormat="false" ht="15" hidden="false" customHeight="false" outlineLevel="0" collapsed="false">
      <c r="A367" s="6" t="s">
        <v>523</v>
      </c>
      <c r="B367" s="6" t="s">
        <v>11</v>
      </c>
      <c r="C367" s="6" t="s">
        <v>3</v>
      </c>
      <c r="D367" s="6" t="s">
        <v>75</v>
      </c>
      <c r="E367" s="6" t="s">
        <v>312</v>
      </c>
      <c r="F367" s="6" t="s">
        <v>496</v>
      </c>
      <c r="G367" s="6" t="s">
        <v>497</v>
      </c>
      <c r="H367" s="6" t="s">
        <v>523</v>
      </c>
      <c r="I367" s="6"/>
      <c r="J367" s="6" t="s">
        <v>496</v>
      </c>
      <c r="K367" s="6"/>
      <c r="L367" s="6"/>
      <c r="M367" s="6"/>
      <c r="N367" s="6"/>
      <c r="O367" s="6"/>
      <c r="P367" s="6"/>
      <c r="Q367" s="6" t="s">
        <v>500</v>
      </c>
      <c r="R367" s="7" t="n">
        <f aca="false">COUNTIF('Label Map'!$D$2:$D$2000,A367)</f>
        <v>1</v>
      </c>
    </row>
    <row r="368" customFormat="false" ht="15" hidden="false" customHeight="false" outlineLevel="0" collapsed="false">
      <c r="A368" s="6" t="s">
        <v>524</v>
      </c>
      <c r="B368" s="6" t="s">
        <v>11</v>
      </c>
      <c r="C368" s="6" t="s">
        <v>3</v>
      </c>
      <c r="D368" s="6" t="s">
        <v>75</v>
      </c>
      <c r="E368" s="6" t="s">
        <v>312</v>
      </c>
      <c r="F368" s="6" t="s">
        <v>496</v>
      </c>
      <c r="G368" s="6" t="s">
        <v>497</v>
      </c>
      <c r="H368" s="6" t="s">
        <v>524</v>
      </c>
      <c r="I368" s="6"/>
      <c r="J368" s="6" t="s">
        <v>496</v>
      </c>
      <c r="K368" s="6"/>
      <c r="L368" s="6"/>
      <c r="M368" s="6"/>
      <c r="N368" s="6"/>
      <c r="O368" s="6"/>
      <c r="P368" s="6"/>
      <c r="Q368" s="6" t="s">
        <v>500</v>
      </c>
      <c r="R368" s="7" t="n">
        <f aca="false">COUNTIF('Label Map'!$D$2:$D$2000,A368)</f>
        <v>1</v>
      </c>
    </row>
    <row r="369" customFormat="false" ht="15" hidden="false" customHeight="false" outlineLevel="0" collapsed="false">
      <c r="A369" s="6" t="s">
        <v>525</v>
      </c>
      <c r="B369" s="6" t="s">
        <v>11</v>
      </c>
      <c r="C369" s="6" t="s">
        <v>3</v>
      </c>
      <c r="D369" s="6" t="s">
        <v>75</v>
      </c>
      <c r="E369" s="6" t="s">
        <v>312</v>
      </c>
      <c r="F369" s="6" t="s">
        <v>496</v>
      </c>
      <c r="G369" s="6" t="s">
        <v>497</v>
      </c>
      <c r="H369" s="6" t="s">
        <v>525</v>
      </c>
      <c r="I369" s="6"/>
      <c r="J369" s="6" t="s">
        <v>496</v>
      </c>
      <c r="K369" s="6"/>
      <c r="L369" s="6"/>
      <c r="M369" s="6"/>
      <c r="N369" s="6"/>
      <c r="O369" s="6"/>
      <c r="P369" s="6"/>
      <c r="Q369" s="6" t="s">
        <v>500</v>
      </c>
      <c r="R369" s="7" t="n">
        <f aca="false">COUNTIF('Label Map'!$D$2:$D$2000,A369)</f>
        <v>1</v>
      </c>
    </row>
    <row r="370" customFormat="false" ht="15" hidden="false" customHeight="false" outlineLevel="0" collapsed="false">
      <c r="A370" s="6" t="s">
        <v>526</v>
      </c>
      <c r="B370" s="6" t="s">
        <v>11</v>
      </c>
      <c r="C370" s="6" t="s">
        <v>3</v>
      </c>
      <c r="D370" s="6" t="s">
        <v>75</v>
      </c>
      <c r="E370" s="6" t="s">
        <v>312</v>
      </c>
      <c r="F370" s="6" t="s">
        <v>496</v>
      </c>
      <c r="G370" s="6" t="s">
        <v>497</v>
      </c>
      <c r="H370" s="6" t="s">
        <v>526</v>
      </c>
      <c r="I370" s="6"/>
      <c r="J370" s="6" t="s">
        <v>496</v>
      </c>
      <c r="K370" s="6"/>
      <c r="L370" s="6"/>
      <c r="M370" s="6"/>
      <c r="N370" s="6"/>
      <c r="O370" s="6"/>
      <c r="P370" s="6"/>
      <c r="Q370" s="6" t="s">
        <v>500</v>
      </c>
      <c r="R370" s="7" t="n">
        <f aca="false">COUNTIF('Label Map'!$D$2:$D$2000,A370)</f>
        <v>1</v>
      </c>
    </row>
    <row r="371" customFormat="false" ht="15" hidden="false" customHeight="false" outlineLevel="0" collapsed="false">
      <c r="A371" s="6" t="s">
        <v>527</v>
      </c>
      <c r="B371" s="6" t="s">
        <v>11</v>
      </c>
      <c r="C371" s="6" t="s">
        <v>3</v>
      </c>
      <c r="D371" s="6" t="s">
        <v>75</v>
      </c>
      <c r="E371" s="6" t="s">
        <v>312</v>
      </c>
      <c r="F371" s="6" t="s">
        <v>496</v>
      </c>
      <c r="G371" s="6" t="s">
        <v>497</v>
      </c>
      <c r="H371" s="6" t="s">
        <v>527</v>
      </c>
      <c r="I371" s="6"/>
      <c r="J371" s="6" t="s">
        <v>496</v>
      </c>
      <c r="K371" s="6"/>
      <c r="L371" s="6"/>
      <c r="M371" s="6"/>
      <c r="N371" s="6"/>
      <c r="O371" s="6"/>
      <c r="P371" s="6"/>
      <c r="Q371" s="6" t="s">
        <v>500</v>
      </c>
      <c r="R371" s="7" t="n">
        <f aca="false">COUNTIF('Label Map'!$D$2:$D$2000,A371)</f>
        <v>1</v>
      </c>
    </row>
    <row r="372" customFormat="false" ht="15" hidden="false" customHeight="false" outlineLevel="0" collapsed="false">
      <c r="A372" s="6" t="s">
        <v>528</v>
      </c>
      <c r="B372" s="6" t="s">
        <v>11</v>
      </c>
      <c r="C372" s="6" t="s">
        <v>3</v>
      </c>
      <c r="D372" s="6" t="s">
        <v>75</v>
      </c>
      <c r="E372" s="6" t="s">
        <v>312</v>
      </c>
      <c r="F372" s="6" t="s">
        <v>496</v>
      </c>
      <c r="G372" s="6" t="s">
        <v>497</v>
      </c>
      <c r="H372" s="6" t="s">
        <v>528</v>
      </c>
      <c r="I372" s="6"/>
      <c r="J372" s="6" t="s">
        <v>496</v>
      </c>
      <c r="K372" s="6"/>
      <c r="L372" s="6"/>
      <c r="M372" s="6"/>
      <c r="N372" s="6"/>
      <c r="O372" s="6"/>
      <c r="P372" s="6"/>
      <c r="Q372" s="6" t="s">
        <v>500</v>
      </c>
      <c r="R372" s="7" t="n">
        <f aca="false">COUNTIF('Label Map'!$D$2:$D$2000,A372)</f>
        <v>1</v>
      </c>
    </row>
    <row r="373" customFormat="false" ht="15" hidden="false" customHeight="false" outlineLevel="0" collapsed="false">
      <c r="A373" s="6" t="s">
        <v>529</v>
      </c>
      <c r="B373" s="6" t="s">
        <v>11</v>
      </c>
      <c r="C373" s="6" t="s">
        <v>3</v>
      </c>
      <c r="D373" s="6" t="s">
        <v>75</v>
      </c>
      <c r="E373" s="6" t="s">
        <v>312</v>
      </c>
      <c r="F373" s="6" t="s">
        <v>496</v>
      </c>
      <c r="G373" s="6" t="s">
        <v>497</v>
      </c>
      <c r="H373" s="6" t="s">
        <v>529</v>
      </c>
      <c r="I373" s="6"/>
      <c r="J373" s="6" t="s">
        <v>496</v>
      </c>
      <c r="K373" s="6"/>
      <c r="L373" s="6"/>
      <c r="M373" s="6"/>
      <c r="N373" s="6"/>
      <c r="O373" s="6"/>
      <c r="P373" s="6"/>
      <c r="Q373" s="6" t="s">
        <v>500</v>
      </c>
      <c r="R373" s="7" t="n">
        <f aca="false">COUNTIF('Label Map'!$D$2:$D$2000,A373)</f>
        <v>1</v>
      </c>
    </row>
    <row r="374" customFormat="false" ht="15" hidden="false" customHeight="false" outlineLevel="0" collapsed="false">
      <c r="A374" s="6" t="s">
        <v>530</v>
      </c>
      <c r="B374" s="6" t="s">
        <v>11</v>
      </c>
      <c r="C374" s="6" t="s">
        <v>3</v>
      </c>
      <c r="D374" s="6" t="s">
        <v>75</v>
      </c>
      <c r="E374" s="6" t="s">
        <v>312</v>
      </c>
      <c r="F374" s="6" t="s">
        <v>496</v>
      </c>
      <c r="G374" s="6" t="s">
        <v>497</v>
      </c>
      <c r="H374" s="6" t="s">
        <v>530</v>
      </c>
      <c r="I374" s="6"/>
      <c r="J374" s="6" t="s">
        <v>496</v>
      </c>
      <c r="K374" s="6"/>
      <c r="L374" s="6"/>
      <c r="M374" s="6"/>
      <c r="N374" s="6"/>
      <c r="O374" s="6"/>
      <c r="P374" s="6"/>
      <c r="Q374" s="6" t="s">
        <v>500</v>
      </c>
      <c r="R374" s="7" t="n">
        <f aca="false">COUNTIF('Label Map'!$D$2:$D$2000,A374)</f>
        <v>1</v>
      </c>
    </row>
    <row r="375" customFormat="false" ht="15" hidden="false" customHeight="false" outlineLevel="0" collapsed="false">
      <c r="A375" s="6" t="s">
        <v>531</v>
      </c>
      <c r="B375" s="6" t="s">
        <v>11</v>
      </c>
      <c r="C375" s="6" t="s">
        <v>3</v>
      </c>
      <c r="D375" s="6" t="s">
        <v>75</v>
      </c>
      <c r="E375" s="6" t="s">
        <v>312</v>
      </c>
      <c r="F375" s="6" t="s">
        <v>496</v>
      </c>
      <c r="G375" s="6" t="s">
        <v>497</v>
      </c>
      <c r="H375" s="6" t="s">
        <v>531</v>
      </c>
      <c r="I375" s="6"/>
      <c r="J375" s="6" t="s">
        <v>496</v>
      </c>
      <c r="K375" s="6"/>
      <c r="L375" s="6"/>
      <c r="M375" s="6"/>
      <c r="N375" s="6"/>
      <c r="O375" s="6"/>
      <c r="P375" s="6"/>
      <c r="Q375" s="6" t="s">
        <v>500</v>
      </c>
      <c r="R375" s="7" t="n">
        <f aca="false">COUNTIF('Label Map'!$D$2:$D$2000,A375)</f>
        <v>1</v>
      </c>
    </row>
    <row r="376" customFormat="false" ht="15" hidden="false" customHeight="false" outlineLevel="0" collapsed="false">
      <c r="A376" s="6" t="s">
        <v>532</v>
      </c>
      <c r="B376" s="6" t="s">
        <v>11</v>
      </c>
      <c r="C376" s="6" t="s">
        <v>3</v>
      </c>
      <c r="D376" s="6" t="s">
        <v>75</v>
      </c>
      <c r="E376" s="6" t="s">
        <v>312</v>
      </c>
      <c r="F376" s="6" t="s">
        <v>496</v>
      </c>
      <c r="G376" s="6" t="s">
        <v>497</v>
      </c>
      <c r="H376" s="6" t="s">
        <v>532</v>
      </c>
      <c r="I376" s="6"/>
      <c r="J376" s="6" t="s">
        <v>496</v>
      </c>
      <c r="K376" s="6"/>
      <c r="L376" s="6"/>
      <c r="M376" s="6"/>
      <c r="N376" s="6"/>
      <c r="O376" s="6"/>
      <c r="P376" s="6"/>
      <c r="Q376" s="6" t="s">
        <v>500</v>
      </c>
      <c r="R376" s="7" t="n">
        <f aca="false">COUNTIF('Label Map'!$D$2:$D$2000,A376)</f>
        <v>1</v>
      </c>
    </row>
    <row r="377" customFormat="false" ht="15" hidden="false" customHeight="false" outlineLevel="0" collapsed="false">
      <c r="A377" s="6" t="s">
        <v>533</v>
      </c>
      <c r="B377" s="6" t="s">
        <v>11</v>
      </c>
      <c r="C377" s="6" t="s">
        <v>3</v>
      </c>
      <c r="D377" s="6" t="s">
        <v>75</v>
      </c>
      <c r="E377" s="6" t="s">
        <v>312</v>
      </c>
      <c r="F377" s="6" t="s">
        <v>496</v>
      </c>
      <c r="G377" s="6" t="s">
        <v>497</v>
      </c>
      <c r="H377" s="6" t="s">
        <v>533</v>
      </c>
      <c r="I377" s="6"/>
      <c r="J377" s="6" t="s">
        <v>496</v>
      </c>
      <c r="K377" s="6"/>
      <c r="L377" s="6"/>
      <c r="M377" s="6"/>
      <c r="N377" s="6"/>
      <c r="O377" s="6"/>
      <c r="P377" s="6"/>
      <c r="Q377" s="6" t="s">
        <v>500</v>
      </c>
      <c r="R377" s="7" t="n">
        <f aca="false">COUNTIF('Label Map'!$D$2:$D$2000,A377)</f>
        <v>1</v>
      </c>
    </row>
    <row r="378" customFormat="false" ht="15" hidden="false" customHeight="false" outlineLevel="0" collapsed="false">
      <c r="A378" s="6" t="s">
        <v>534</v>
      </c>
      <c r="B378" s="6" t="s">
        <v>63</v>
      </c>
      <c r="C378" s="6" t="s">
        <v>3</v>
      </c>
      <c r="D378" s="6" t="s">
        <v>75</v>
      </c>
      <c r="E378" s="6" t="s">
        <v>312</v>
      </c>
      <c r="F378" s="6" t="s">
        <v>496</v>
      </c>
      <c r="G378" s="6" t="s">
        <v>497</v>
      </c>
      <c r="H378" s="6"/>
      <c r="I378" s="6" t="s">
        <v>534</v>
      </c>
      <c r="J378" s="6" t="s">
        <v>496</v>
      </c>
      <c r="K378" s="6"/>
      <c r="L378" s="6"/>
      <c r="M378" s="6"/>
      <c r="N378" s="6"/>
      <c r="O378" s="6"/>
      <c r="P378" s="6"/>
      <c r="Q378" s="6"/>
      <c r="R378" s="7" t="n">
        <f aca="false">COUNTIF('Label Map'!$D$2:$D$2000,A378)</f>
        <v>1</v>
      </c>
    </row>
    <row r="379" customFormat="false" ht="15" hidden="false" customHeight="false" outlineLevel="0" collapsed="false">
      <c r="A379" s="6" t="s">
        <v>535</v>
      </c>
      <c r="B379" s="6" t="s">
        <v>63</v>
      </c>
      <c r="C379" s="6" t="s">
        <v>3</v>
      </c>
      <c r="D379" s="6" t="s">
        <v>75</v>
      </c>
      <c r="E379" s="6" t="s">
        <v>312</v>
      </c>
      <c r="F379" s="6" t="s">
        <v>496</v>
      </c>
      <c r="G379" s="6" t="s">
        <v>497</v>
      </c>
      <c r="H379" s="6"/>
      <c r="I379" s="6" t="s">
        <v>535</v>
      </c>
      <c r="J379" s="6" t="s">
        <v>496</v>
      </c>
      <c r="K379" s="6"/>
      <c r="L379" s="6"/>
      <c r="M379" s="6"/>
      <c r="N379" s="6"/>
      <c r="O379" s="6"/>
      <c r="P379" s="6"/>
      <c r="Q379" s="6"/>
      <c r="R379" s="7" t="n">
        <f aca="false">COUNTIF('Label Map'!$D$2:$D$2000,A379)</f>
        <v>0</v>
      </c>
    </row>
    <row r="380" customFormat="false" ht="15" hidden="false" customHeight="false" outlineLevel="0" collapsed="false">
      <c r="A380" s="6" t="s">
        <v>536</v>
      </c>
      <c r="B380" s="6" t="s">
        <v>9</v>
      </c>
      <c r="C380" s="6" t="s">
        <v>3</v>
      </c>
      <c r="D380" s="6" t="s">
        <v>75</v>
      </c>
      <c r="E380" s="6" t="s">
        <v>312</v>
      </c>
      <c r="F380" s="6" t="s">
        <v>536</v>
      </c>
      <c r="G380" s="6" t="s">
        <v>537</v>
      </c>
      <c r="H380" s="6"/>
      <c r="I380" s="6"/>
      <c r="J380" s="6" t="s">
        <v>312</v>
      </c>
      <c r="K380" s="6" t="s">
        <v>538</v>
      </c>
      <c r="L380" s="6" t="s">
        <v>84</v>
      </c>
      <c r="M380" s="6" t="s">
        <v>335</v>
      </c>
      <c r="N380" s="6" t="s">
        <v>320</v>
      </c>
      <c r="O380" s="6" t="s">
        <v>336</v>
      </c>
      <c r="P380" s="6" t="s">
        <v>87</v>
      </c>
      <c r="Q380" s="6"/>
      <c r="R380" s="7" t="n">
        <f aca="false">COUNTIF('Label Map'!$D$2:$D$2000,A380)</f>
        <v>2</v>
      </c>
    </row>
    <row r="381" customFormat="false" ht="15" hidden="false" customHeight="false" outlineLevel="0" collapsed="false">
      <c r="A381" s="6" t="s">
        <v>539</v>
      </c>
      <c r="B381" s="6" t="s">
        <v>63</v>
      </c>
      <c r="C381" s="6" t="s">
        <v>3</v>
      </c>
      <c r="D381" s="6" t="s">
        <v>75</v>
      </c>
      <c r="E381" s="6" t="s">
        <v>312</v>
      </c>
      <c r="F381" s="6" t="s">
        <v>536</v>
      </c>
      <c r="G381" s="6" t="s">
        <v>537</v>
      </c>
      <c r="H381" s="6"/>
      <c r="I381" s="6" t="s">
        <v>539</v>
      </c>
      <c r="J381" s="6" t="s">
        <v>536</v>
      </c>
      <c r="K381" s="6"/>
      <c r="L381" s="6"/>
      <c r="M381" s="6"/>
      <c r="N381" s="6"/>
      <c r="O381" s="6"/>
      <c r="P381" s="6"/>
      <c r="Q381" s="6"/>
      <c r="R381" s="7" t="n">
        <f aca="false">COUNTIF('Label Map'!$D$2:$D$2000,A381)</f>
        <v>0</v>
      </c>
    </row>
    <row r="382" customFormat="false" ht="15" hidden="false" customHeight="false" outlineLevel="0" collapsed="false">
      <c r="A382" s="6" t="s">
        <v>540</v>
      </c>
      <c r="B382" s="6" t="s">
        <v>9</v>
      </c>
      <c r="C382" s="6" t="s">
        <v>3</v>
      </c>
      <c r="D382" s="6" t="s">
        <v>75</v>
      </c>
      <c r="E382" s="6" t="s">
        <v>312</v>
      </c>
      <c r="F382" s="6" t="s">
        <v>540</v>
      </c>
      <c r="G382" s="6" t="s">
        <v>541</v>
      </c>
      <c r="H382" s="6"/>
      <c r="I382" s="6"/>
      <c r="J382" s="6" t="s">
        <v>312</v>
      </c>
      <c r="K382" s="6" t="s">
        <v>422</v>
      </c>
      <c r="L382" s="6" t="s">
        <v>84</v>
      </c>
      <c r="M382" s="6" t="s">
        <v>335</v>
      </c>
      <c r="N382" s="6" t="s">
        <v>319</v>
      </c>
      <c r="O382" s="6" t="s">
        <v>336</v>
      </c>
      <c r="P382" s="6" t="s">
        <v>337</v>
      </c>
      <c r="Q382" s="6"/>
      <c r="R382" s="7" t="n">
        <f aca="false">COUNTIF('Label Map'!$D$2:$D$2000,A382)</f>
        <v>2</v>
      </c>
    </row>
    <row r="383" customFormat="false" ht="15" hidden="false" customHeight="false" outlineLevel="0" collapsed="false">
      <c r="A383" s="6" t="s">
        <v>542</v>
      </c>
      <c r="B383" s="6" t="s">
        <v>9</v>
      </c>
      <c r="C383" s="6" t="s">
        <v>3</v>
      </c>
      <c r="D383" s="6" t="s">
        <v>75</v>
      </c>
      <c r="E383" s="6" t="s">
        <v>312</v>
      </c>
      <c r="F383" s="6" t="s">
        <v>542</v>
      </c>
      <c r="G383" s="6" t="s">
        <v>543</v>
      </c>
      <c r="H383" s="6"/>
      <c r="I383" s="6"/>
      <c r="J383" s="6" t="s">
        <v>312</v>
      </c>
      <c r="K383" s="6" t="s">
        <v>422</v>
      </c>
      <c r="L383" s="6" t="s">
        <v>84</v>
      </c>
      <c r="M383" s="6" t="s">
        <v>335</v>
      </c>
      <c r="N383" s="6" t="s">
        <v>319</v>
      </c>
      <c r="O383" s="6" t="s">
        <v>336</v>
      </c>
      <c r="P383" s="6" t="s">
        <v>87</v>
      </c>
      <c r="Q383" s="6"/>
      <c r="R383" s="7" t="n">
        <f aca="false">COUNTIF('Label Map'!$D$2:$D$2000,A383)</f>
        <v>2</v>
      </c>
    </row>
    <row r="384" customFormat="false" ht="15" hidden="false" customHeight="false" outlineLevel="0" collapsed="false">
      <c r="A384" s="6" t="s">
        <v>544</v>
      </c>
      <c r="B384" s="6" t="s">
        <v>9</v>
      </c>
      <c r="C384" s="6" t="s">
        <v>3</v>
      </c>
      <c r="D384" s="6" t="s">
        <v>75</v>
      </c>
      <c r="E384" s="6" t="s">
        <v>312</v>
      </c>
      <c r="F384" s="6" t="s">
        <v>544</v>
      </c>
      <c r="G384" s="6" t="s">
        <v>545</v>
      </c>
      <c r="H384" s="6"/>
      <c r="I384" s="6"/>
      <c r="J384" s="6" t="s">
        <v>312</v>
      </c>
      <c r="K384" s="6" t="s">
        <v>422</v>
      </c>
      <c r="L384" s="6" t="s">
        <v>84</v>
      </c>
      <c r="M384" s="6" t="s">
        <v>335</v>
      </c>
      <c r="N384" s="6" t="s">
        <v>319</v>
      </c>
      <c r="O384" s="6" t="s">
        <v>336</v>
      </c>
      <c r="P384" s="6" t="s">
        <v>337</v>
      </c>
      <c r="Q384" s="6"/>
      <c r="R384" s="7" t="n">
        <f aca="false">COUNTIF('Label Map'!$D$2:$D$2000,A384)</f>
        <v>2</v>
      </c>
    </row>
    <row r="385" customFormat="false" ht="15" hidden="false" customHeight="false" outlineLevel="0" collapsed="false">
      <c r="A385" s="6" t="s">
        <v>546</v>
      </c>
      <c r="B385" s="6" t="s">
        <v>9</v>
      </c>
      <c r="C385" s="6" t="s">
        <v>3</v>
      </c>
      <c r="D385" s="6" t="s">
        <v>75</v>
      </c>
      <c r="E385" s="6" t="s">
        <v>312</v>
      </c>
      <c r="F385" s="6" t="s">
        <v>546</v>
      </c>
      <c r="G385" s="6" t="s">
        <v>547</v>
      </c>
      <c r="H385" s="6"/>
      <c r="I385" s="6"/>
      <c r="J385" s="6" t="s">
        <v>312</v>
      </c>
      <c r="K385" s="6" t="s">
        <v>422</v>
      </c>
      <c r="L385" s="6" t="s">
        <v>84</v>
      </c>
      <c r="M385" s="6" t="s">
        <v>335</v>
      </c>
      <c r="N385" s="6" t="s">
        <v>319</v>
      </c>
      <c r="O385" s="6" t="s">
        <v>336</v>
      </c>
      <c r="P385" s="6" t="s">
        <v>337</v>
      </c>
      <c r="Q385" s="6"/>
      <c r="R385" s="7" t="n">
        <f aca="false">COUNTIF('Label Map'!$D$2:$D$2000,A385)</f>
        <v>2</v>
      </c>
    </row>
    <row r="386" customFormat="false" ht="15" hidden="false" customHeight="false" outlineLevel="0" collapsed="false">
      <c r="A386" s="6" t="s">
        <v>548</v>
      </c>
      <c r="B386" s="6" t="s">
        <v>63</v>
      </c>
      <c r="C386" s="6" t="s">
        <v>3</v>
      </c>
      <c r="D386" s="6" t="s">
        <v>75</v>
      </c>
      <c r="E386" s="6" t="s">
        <v>312</v>
      </c>
      <c r="F386" s="6" t="s">
        <v>546</v>
      </c>
      <c r="G386" s="6" t="s">
        <v>547</v>
      </c>
      <c r="H386" s="6"/>
      <c r="I386" s="6" t="s">
        <v>548</v>
      </c>
      <c r="J386" s="6" t="s">
        <v>546</v>
      </c>
      <c r="K386" s="6"/>
      <c r="L386" s="6"/>
      <c r="M386" s="6"/>
      <c r="N386" s="6"/>
      <c r="O386" s="6"/>
      <c r="P386" s="6"/>
      <c r="Q386" s="6"/>
      <c r="R386" s="7" t="n">
        <f aca="false">COUNTIF('Label Map'!$D$2:$D$2000,A386)</f>
        <v>0</v>
      </c>
    </row>
    <row r="387" customFormat="false" ht="15" hidden="false" customHeight="false" outlineLevel="0" collapsed="false">
      <c r="A387" s="6" t="s">
        <v>549</v>
      </c>
      <c r="B387" s="6" t="s">
        <v>9</v>
      </c>
      <c r="C387" s="6" t="s">
        <v>3</v>
      </c>
      <c r="D387" s="6" t="s">
        <v>75</v>
      </c>
      <c r="E387" s="6" t="s">
        <v>312</v>
      </c>
      <c r="F387" s="6" t="s">
        <v>549</v>
      </c>
      <c r="G387" s="6" t="s">
        <v>550</v>
      </c>
      <c r="H387" s="6"/>
      <c r="I387" s="6"/>
      <c r="J387" s="6" t="s">
        <v>312</v>
      </c>
      <c r="K387" s="6" t="s">
        <v>551</v>
      </c>
      <c r="L387" s="6" t="s">
        <v>84</v>
      </c>
      <c r="M387" s="6" t="s">
        <v>335</v>
      </c>
      <c r="N387" s="6" t="s">
        <v>315</v>
      </c>
      <c r="O387" s="6" t="s">
        <v>336</v>
      </c>
      <c r="P387" s="6" t="s">
        <v>337</v>
      </c>
      <c r="Q387" s="6"/>
      <c r="R387" s="7" t="n">
        <f aca="false">COUNTIF('Label Map'!$D$2:$D$2000,A387)</f>
        <v>2</v>
      </c>
    </row>
    <row r="388" customFormat="false" ht="15" hidden="false" customHeight="false" outlineLevel="0" collapsed="false">
      <c r="A388" s="6" t="s">
        <v>552</v>
      </c>
      <c r="B388" s="6" t="s">
        <v>9</v>
      </c>
      <c r="C388" s="6" t="s">
        <v>3</v>
      </c>
      <c r="D388" s="6" t="s">
        <v>75</v>
      </c>
      <c r="E388" s="6" t="s">
        <v>312</v>
      </c>
      <c r="F388" s="6" t="s">
        <v>552</v>
      </c>
      <c r="G388" s="6" t="s">
        <v>553</v>
      </c>
      <c r="H388" s="6"/>
      <c r="I388" s="6"/>
      <c r="J388" s="6" t="s">
        <v>312</v>
      </c>
      <c r="K388" s="6" t="s">
        <v>554</v>
      </c>
      <c r="L388" s="6" t="s">
        <v>84</v>
      </c>
      <c r="M388" s="6" t="s">
        <v>335</v>
      </c>
      <c r="N388" s="6" t="s">
        <v>320</v>
      </c>
      <c r="O388" s="6" t="s">
        <v>336</v>
      </c>
      <c r="P388" s="6" t="s">
        <v>337</v>
      </c>
      <c r="Q388" s="6"/>
      <c r="R388" s="7" t="n">
        <f aca="false">COUNTIF('Label Map'!$D$2:$D$2000,A388)</f>
        <v>2</v>
      </c>
    </row>
    <row r="389" customFormat="false" ht="15" hidden="false" customHeight="false" outlineLevel="0" collapsed="false">
      <c r="A389" s="6" t="s">
        <v>555</v>
      </c>
      <c r="B389" s="6" t="s">
        <v>9</v>
      </c>
      <c r="C389" s="6" t="s">
        <v>3</v>
      </c>
      <c r="D389" s="6" t="s">
        <v>75</v>
      </c>
      <c r="E389" s="6" t="s">
        <v>312</v>
      </c>
      <c r="F389" s="6" t="s">
        <v>555</v>
      </c>
      <c r="G389" s="6" t="s">
        <v>556</v>
      </c>
      <c r="H389" s="6"/>
      <c r="I389" s="6"/>
      <c r="J389" s="6" t="s">
        <v>312</v>
      </c>
      <c r="K389" s="6" t="s">
        <v>315</v>
      </c>
      <c r="L389" s="6" t="s">
        <v>84</v>
      </c>
      <c r="M389" s="6" t="s">
        <v>335</v>
      </c>
      <c r="N389" s="6" t="s">
        <v>315</v>
      </c>
      <c r="O389" s="6" t="s">
        <v>311</v>
      </c>
      <c r="P389" s="6" t="s">
        <v>311</v>
      </c>
      <c r="Q389" s="6"/>
      <c r="R389" s="7" t="n">
        <f aca="false">COUNTIF('Label Map'!$D$2:$D$2000,A389)</f>
        <v>2</v>
      </c>
    </row>
    <row r="390" customFormat="false" ht="15" hidden="false" customHeight="false" outlineLevel="0" collapsed="false">
      <c r="A390" s="6" t="s">
        <v>557</v>
      </c>
      <c r="B390" s="6" t="s">
        <v>9</v>
      </c>
      <c r="C390" s="6" t="s">
        <v>3</v>
      </c>
      <c r="D390" s="6" t="s">
        <v>75</v>
      </c>
      <c r="E390" s="6" t="s">
        <v>312</v>
      </c>
      <c r="F390" s="6" t="s">
        <v>557</v>
      </c>
      <c r="G390" s="6" t="s">
        <v>558</v>
      </c>
      <c r="H390" s="6"/>
      <c r="I390" s="6"/>
      <c r="J390" s="6" t="s">
        <v>312</v>
      </c>
      <c r="K390" s="6" t="s">
        <v>315</v>
      </c>
      <c r="L390" s="6" t="s">
        <v>84</v>
      </c>
      <c r="M390" s="6" t="s">
        <v>335</v>
      </c>
      <c r="N390" s="6" t="s">
        <v>315</v>
      </c>
      <c r="O390" s="6" t="s">
        <v>311</v>
      </c>
      <c r="P390" s="6" t="s">
        <v>311</v>
      </c>
      <c r="Q390" s="6"/>
      <c r="R390" s="7" t="n">
        <f aca="false">COUNTIF('Label Map'!$D$2:$D$2000,A390)</f>
        <v>1</v>
      </c>
    </row>
    <row r="391" customFormat="false" ht="15" hidden="false" customHeight="false" outlineLevel="0" collapsed="false">
      <c r="A391" s="6" t="s">
        <v>559</v>
      </c>
      <c r="B391" s="6" t="s">
        <v>9</v>
      </c>
      <c r="C391" s="6" t="s">
        <v>3</v>
      </c>
      <c r="D391" s="6" t="s">
        <v>75</v>
      </c>
      <c r="E391" s="6" t="s">
        <v>312</v>
      </c>
      <c r="F391" s="6" t="s">
        <v>559</v>
      </c>
      <c r="G391" s="6" t="s">
        <v>560</v>
      </c>
      <c r="H391" s="6"/>
      <c r="I391" s="6"/>
      <c r="J391" s="6" t="s">
        <v>312</v>
      </c>
      <c r="K391" s="6" t="s">
        <v>422</v>
      </c>
      <c r="L391" s="6" t="s">
        <v>84</v>
      </c>
      <c r="M391" s="6" t="s">
        <v>335</v>
      </c>
      <c r="N391" s="6" t="s">
        <v>319</v>
      </c>
      <c r="O391" s="6" t="s">
        <v>336</v>
      </c>
      <c r="P391" s="6" t="s">
        <v>337</v>
      </c>
      <c r="Q391" s="6"/>
      <c r="R391" s="7" t="n">
        <f aca="false">COUNTIF('Label Map'!$D$2:$D$2000,A391)</f>
        <v>1</v>
      </c>
    </row>
    <row r="392" customFormat="false" ht="15" hidden="false" customHeight="false" outlineLevel="0" collapsed="false">
      <c r="A392" s="6" t="s">
        <v>561</v>
      </c>
      <c r="B392" s="6" t="s">
        <v>9</v>
      </c>
      <c r="C392" s="6" t="s">
        <v>3</v>
      </c>
      <c r="D392" s="6" t="s">
        <v>75</v>
      </c>
      <c r="E392" s="6" t="s">
        <v>312</v>
      </c>
      <c r="F392" s="6" t="s">
        <v>561</v>
      </c>
      <c r="G392" s="6" t="s">
        <v>562</v>
      </c>
      <c r="H392" s="6"/>
      <c r="I392" s="6"/>
      <c r="J392" s="6" t="s">
        <v>312</v>
      </c>
      <c r="K392" s="6" t="s">
        <v>475</v>
      </c>
      <c r="L392" s="6" t="s">
        <v>84</v>
      </c>
      <c r="M392" s="6" t="s">
        <v>335</v>
      </c>
      <c r="N392" s="6" t="s">
        <v>319</v>
      </c>
      <c r="O392" s="6" t="s">
        <v>311</v>
      </c>
      <c r="P392" s="6" t="s">
        <v>311</v>
      </c>
      <c r="Q392" s="6"/>
      <c r="R392" s="7" t="n">
        <f aca="false">COUNTIF('Label Map'!$D$2:$D$2000,A392)</f>
        <v>1</v>
      </c>
    </row>
    <row r="393" customFormat="false" ht="15" hidden="false" customHeight="false" outlineLevel="0" collapsed="false">
      <c r="A393" s="6" t="s">
        <v>563</v>
      </c>
      <c r="B393" s="6" t="s">
        <v>9</v>
      </c>
      <c r="C393" s="6" t="s">
        <v>3</v>
      </c>
      <c r="D393" s="6" t="s">
        <v>75</v>
      </c>
      <c r="E393" s="6" t="s">
        <v>312</v>
      </c>
      <c r="F393" s="6" t="s">
        <v>563</v>
      </c>
      <c r="G393" s="6" t="s">
        <v>564</v>
      </c>
      <c r="H393" s="6"/>
      <c r="I393" s="6"/>
      <c r="J393" s="6" t="s">
        <v>312</v>
      </c>
      <c r="K393" s="6" t="s">
        <v>554</v>
      </c>
      <c r="L393" s="6" t="s">
        <v>84</v>
      </c>
      <c r="M393" s="6" t="s">
        <v>335</v>
      </c>
      <c r="N393" s="6" t="s">
        <v>320</v>
      </c>
      <c r="O393" s="6" t="s">
        <v>336</v>
      </c>
      <c r="P393" s="6" t="s">
        <v>337</v>
      </c>
      <c r="Q393" s="6"/>
      <c r="R393" s="7" t="n">
        <f aca="false">COUNTIF('Label Map'!$D$2:$D$2000,A393)</f>
        <v>4</v>
      </c>
    </row>
    <row r="394" customFormat="false" ht="15" hidden="false" customHeight="false" outlineLevel="0" collapsed="false">
      <c r="A394" s="6" t="s">
        <v>565</v>
      </c>
      <c r="B394" s="6" t="s">
        <v>9</v>
      </c>
      <c r="C394" s="6" t="s">
        <v>3</v>
      </c>
      <c r="D394" s="6" t="s">
        <v>75</v>
      </c>
      <c r="E394" s="6" t="s">
        <v>312</v>
      </c>
      <c r="F394" s="6" t="s">
        <v>565</v>
      </c>
      <c r="G394" s="6" t="s">
        <v>566</v>
      </c>
      <c r="H394" s="6"/>
      <c r="I394" s="6"/>
      <c r="J394" s="6" t="s">
        <v>312</v>
      </c>
      <c r="K394" s="6" t="s">
        <v>567</v>
      </c>
      <c r="L394" s="6" t="s">
        <v>84</v>
      </c>
      <c r="M394" s="6" t="s">
        <v>335</v>
      </c>
      <c r="N394" s="6" t="s">
        <v>315</v>
      </c>
      <c r="O394" s="6" t="s">
        <v>336</v>
      </c>
      <c r="P394" s="6" t="s">
        <v>87</v>
      </c>
      <c r="Q394" s="6"/>
      <c r="R394" s="7" t="n">
        <f aca="false">COUNTIF('Label Map'!$D$2:$D$2000,A394)</f>
        <v>2</v>
      </c>
    </row>
    <row r="395" customFormat="false" ht="15" hidden="false" customHeight="false" outlineLevel="0" collapsed="false">
      <c r="A395" s="6" t="s">
        <v>568</v>
      </c>
      <c r="B395" s="6" t="s">
        <v>9</v>
      </c>
      <c r="C395" s="6" t="s">
        <v>3</v>
      </c>
      <c r="D395" s="6" t="s">
        <v>75</v>
      </c>
      <c r="E395" s="6" t="s">
        <v>312</v>
      </c>
      <c r="F395" s="6" t="s">
        <v>568</v>
      </c>
      <c r="G395" s="6" t="s">
        <v>569</v>
      </c>
      <c r="H395" s="6"/>
      <c r="I395" s="6"/>
      <c r="J395" s="6" t="s">
        <v>312</v>
      </c>
      <c r="K395" s="6" t="s">
        <v>570</v>
      </c>
      <c r="L395" s="6" t="s">
        <v>84</v>
      </c>
      <c r="M395" s="6" t="s">
        <v>335</v>
      </c>
      <c r="N395" s="6" t="s">
        <v>319</v>
      </c>
      <c r="O395" s="6" t="s">
        <v>336</v>
      </c>
      <c r="P395" s="6" t="s">
        <v>468</v>
      </c>
      <c r="Q395" s="6"/>
      <c r="R395" s="7" t="n">
        <f aca="false">COUNTIF('Label Map'!$D$2:$D$2000,A395)</f>
        <v>3</v>
      </c>
    </row>
    <row r="396" customFormat="false" ht="15" hidden="false" customHeight="false" outlineLevel="0" collapsed="false">
      <c r="A396" s="6" t="s">
        <v>571</v>
      </c>
      <c r="B396" s="6" t="s">
        <v>9</v>
      </c>
      <c r="C396" s="6" t="s">
        <v>3</v>
      </c>
      <c r="D396" s="6" t="s">
        <v>75</v>
      </c>
      <c r="E396" s="6" t="s">
        <v>312</v>
      </c>
      <c r="F396" s="6" t="s">
        <v>571</v>
      </c>
      <c r="G396" s="6" t="s">
        <v>572</v>
      </c>
      <c r="H396" s="6"/>
      <c r="I396" s="6"/>
      <c r="J396" s="6" t="s">
        <v>312</v>
      </c>
      <c r="K396" s="6" t="s">
        <v>554</v>
      </c>
      <c r="L396" s="6" t="s">
        <v>84</v>
      </c>
      <c r="M396" s="6" t="s">
        <v>335</v>
      </c>
      <c r="N396" s="6" t="s">
        <v>320</v>
      </c>
      <c r="O396" s="6" t="s">
        <v>336</v>
      </c>
      <c r="P396" s="6" t="s">
        <v>468</v>
      </c>
      <c r="Q396" s="6"/>
      <c r="R396" s="7" t="n">
        <f aca="false">COUNTIF('Label Map'!$D$2:$D$2000,A396)</f>
        <v>3</v>
      </c>
    </row>
    <row r="397" customFormat="false" ht="15" hidden="false" customHeight="false" outlineLevel="0" collapsed="false">
      <c r="A397" s="6" t="s">
        <v>573</v>
      </c>
      <c r="B397" s="6" t="s">
        <v>9</v>
      </c>
      <c r="C397" s="6" t="s">
        <v>3</v>
      </c>
      <c r="D397" s="6" t="s">
        <v>75</v>
      </c>
      <c r="E397" s="6" t="s">
        <v>312</v>
      </c>
      <c r="F397" s="6" t="s">
        <v>573</v>
      </c>
      <c r="G397" s="6" t="s">
        <v>574</v>
      </c>
      <c r="H397" s="6"/>
      <c r="I397" s="6"/>
      <c r="J397" s="6" t="s">
        <v>312</v>
      </c>
      <c r="K397" s="6" t="s">
        <v>422</v>
      </c>
      <c r="L397" s="6" t="s">
        <v>84</v>
      </c>
      <c r="M397" s="6" t="s">
        <v>335</v>
      </c>
      <c r="N397" s="6" t="s">
        <v>319</v>
      </c>
      <c r="O397" s="6" t="s">
        <v>336</v>
      </c>
      <c r="P397" s="6" t="s">
        <v>337</v>
      </c>
      <c r="Q397" s="6"/>
      <c r="R397" s="7" t="n">
        <f aca="false">COUNTIF('Label Map'!$D$2:$D$2000,A397)</f>
        <v>1</v>
      </c>
    </row>
    <row r="398" customFormat="false" ht="15" hidden="false" customHeight="false" outlineLevel="0" collapsed="false">
      <c r="A398" s="6" t="s">
        <v>575</v>
      </c>
      <c r="B398" s="6" t="s">
        <v>9</v>
      </c>
      <c r="C398" s="6" t="s">
        <v>3</v>
      </c>
      <c r="D398" s="6" t="s">
        <v>75</v>
      </c>
      <c r="E398" s="6" t="s">
        <v>312</v>
      </c>
      <c r="F398" s="6" t="s">
        <v>575</v>
      </c>
      <c r="G398" s="6" t="s">
        <v>576</v>
      </c>
      <c r="H398" s="6"/>
      <c r="I398" s="6"/>
      <c r="J398" s="6" t="s">
        <v>312</v>
      </c>
      <c r="K398" s="6" t="s">
        <v>475</v>
      </c>
      <c r="L398" s="6" t="s">
        <v>84</v>
      </c>
      <c r="M398" s="6" t="s">
        <v>335</v>
      </c>
      <c r="N398" s="6" t="s">
        <v>319</v>
      </c>
      <c r="O398" s="6" t="s">
        <v>311</v>
      </c>
      <c r="P398" s="6" t="s">
        <v>311</v>
      </c>
      <c r="Q398" s="6"/>
      <c r="R398" s="7" t="n">
        <f aca="false">COUNTIF('Label Map'!$D$2:$D$2000,A398)</f>
        <v>1</v>
      </c>
    </row>
    <row r="399" customFormat="false" ht="15" hidden="false" customHeight="false" outlineLevel="0" collapsed="false">
      <c r="A399" s="6" t="s">
        <v>577</v>
      </c>
      <c r="B399" s="6" t="s">
        <v>9</v>
      </c>
      <c r="C399" s="6" t="s">
        <v>3</v>
      </c>
      <c r="D399" s="6" t="s">
        <v>75</v>
      </c>
      <c r="E399" s="6" t="s">
        <v>312</v>
      </c>
      <c r="F399" s="6" t="s">
        <v>577</v>
      </c>
      <c r="G399" s="6" t="s">
        <v>578</v>
      </c>
      <c r="H399" s="6"/>
      <c r="I399" s="6"/>
      <c r="J399" s="6" t="s">
        <v>312</v>
      </c>
      <c r="K399" s="6" t="s">
        <v>422</v>
      </c>
      <c r="L399" s="6" t="s">
        <v>84</v>
      </c>
      <c r="M399" s="6" t="s">
        <v>335</v>
      </c>
      <c r="N399" s="6" t="s">
        <v>319</v>
      </c>
      <c r="O399" s="6" t="s">
        <v>311</v>
      </c>
      <c r="P399" s="6" t="s">
        <v>311</v>
      </c>
      <c r="Q399" s="6"/>
      <c r="R399" s="7" t="n">
        <f aca="false">COUNTIF('Label Map'!$D$2:$D$2000,A399)</f>
        <v>1</v>
      </c>
    </row>
    <row r="400" customFormat="false" ht="15" hidden="false" customHeight="false" outlineLevel="0" collapsed="false">
      <c r="A400" s="6" t="s">
        <v>579</v>
      </c>
      <c r="B400" s="6" t="s">
        <v>9</v>
      </c>
      <c r="C400" s="6" t="s">
        <v>3</v>
      </c>
      <c r="D400" s="6" t="s">
        <v>75</v>
      </c>
      <c r="E400" s="6" t="s">
        <v>312</v>
      </c>
      <c r="F400" s="6" t="s">
        <v>579</v>
      </c>
      <c r="G400" s="6" t="s">
        <v>580</v>
      </c>
      <c r="H400" s="6"/>
      <c r="I400" s="6"/>
      <c r="J400" s="6" t="s">
        <v>312</v>
      </c>
      <c r="K400" s="6" t="s">
        <v>554</v>
      </c>
      <c r="L400" s="6" t="s">
        <v>84</v>
      </c>
      <c r="M400" s="6" t="s">
        <v>335</v>
      </c>
      <c r="N400" s="6" t="s">
        <v>320</v>
      </c>
      <c r="O400" s="6" t="s">
        <v>336</v>
      </c>
      <c r="P400" s="6" t="s">
        <v>468</v>
      </c>
      <c r="Q400" s="6"/>
      <c r="R400" s="7" t="n">
        <f aca="false">COUNTIF('Label Map'!$D$2:$D$2000,A400)</f>
        <v>2</v>
      </c>
    </row>
    <row r="401" customFormat="false" ht="15" hidden="false" customHeight="false" outlineLevel="0" collapsed="false">
      <c r="A401" s="6" t="s">
        <v>581</v>
      </c>
      <c r="B401" s="6" t="s">
        <v>9</v>
      </c>
      <c r="C401" s="6" t="s">
        <v>3</v>
      </c>
      <c r="D401" s="6" t="s">
        <v>75</v>
      </c>
      <c r="E401" s="6" t="s">
        <v>312</v>
      </c>
      <c r="F401" s="6" t="s">
        <v>581</v>
      </c>
      <c r="G401" s="6" t="s">
        <v>582</v>
      </c>
      <c r="H401" s="6"/>
      <c r="I401" s="6"/>
      <c r="J401" s="6" t="s">
        <v>312</v>
      </c>
      <c r="K401" s="6" t="s">
        <v>554</v>
      </c>
      <c r="L401" s="6" t="s">
        <v>84</v>
      </c>
      <c r="M401" s="6" t="s">
        <v>335</v>
      </c>
      <c r="N401" s="6" t="s">
        <v>320</v>
      </c>
      <c r="O401" s="6" t="s">
        <v>336</v>
      </c>
      <c r="P401" s="6" t="s">
        <v>87</v>
      </c>
      <c r="Q401" s="6"/>
      <c r="R401" s="7" t="n">
        <f aca="false">COUNTIF('Label Map'!$D$2:$D$2000,A401)</f>
        <v>2</v>
      </c>
    </row>
    <row r="402" customFormat="false" ht="15" hidden="false" customHeight="false" outlineLevel="0" collapsed="false">
      <c r="A402" s="6" t="s">
        <v>583</v>
      </c>
      <c r="B402" s="6" t="s">
        <v>63</v>
      </c>
      <c r="C402" s="6" t="s">
        <v>3</v>
      </c>
      <c r="D402" s="6" t="s">
        <v>75</v>
      </c>
      <c r="E402" s="6" t="s">
        <v>312</v>
      </c>
      <c r="F402" s="6" t="s">
        <v>581</v>
      </c>
      <c r="G402" s="6" t="s">
        <v>582</v>
      </c>
      <c r="H402" s="6"/>
      <c r="I402" s="6" t="s">
        <v>583</v>
      </c>
      <c r="J402" s="6" t="s">
        <v>581</v>
      </c>
      <c r="K402" s="6"/>
      <c r="L402" s="6"/>
      <c r="M402" s="6"/>
      <c r="N402" s="6"/>
      <c r="O402" s="6"/>
      <c r="P402" s="6"/>
      <c r="Q402" s="6"/>
      <c r="R402" s="7" t="n">
        <f aca="false">COUNTIF('Label Map'!$D$2:$D$2000,A402)</f>
        <v>0</v>
      </c>
    </row>
    <row r="403" customFormat="false" ht="15" hidden="false" customHeight="false" outlineLevel="0" collapsed="false">
      <c r="A403" s="6" t="s">
        <v>584</v>
      </c>
      <c r="B403" s="6" t="s">
        <v>9</v>
      </c>
      <c r="C403" s="6" t="s">
        <v>3</v>
      </c>
      <c r="D403" s="6" t="s">
        <v>75</v>
      </c>
      <c r="E403" s="6" t="s">
        <v>312</v>
      </c>
      <c r="F403" s="6" t="s">
        <v>584</v>
      </c>
      <c r="G403" s="6" t="s">
        <v>585</v>
      </c>
      <c r="H403" s="6"/>
      <c r="I403" s="6"/>
      <c r="J403" s="6" t="s">
        <v>312</v>
      </c>
      <c r="K403" s="6" t="s">
        <v>586</v>
      </c>
      <c r="L403" s="6" t="s">
        <v>84</v>
      </c>
      <c r="M403" s="6" t="s">
        <v>335</v>
      </c>
      <c r="N403" s="6" t="s">
        <v>315</v>
      </c>
      <c r="O403" s="6" t="s">
        <v>336</v>
      </c>
      <c r="P403" s="6" t="s">
        <v>337</v>
      </c>
      <c r="Q403" s="6"/>
      <c r="R403" s="7" t="n">
        <f aca="false">COUNTIF('Label Map'!$D$2:$D$2000,A403)</f>
        <v>2</v>
      </c>
    </row>
    <row r="404" customFormat="false" ht="15" hidden="false" customHeight="false" outlineLevel="0" collapsed="false">
      <c r="A404" s="6" t="s">
        <v>587</v>
      </c>
      <c r="B404" s="6" t="s">
        <v>9</v>
      </c>
      <c r="C404" s="6" t="s">
        <v>3</v>
      </c>
      <c r="D404" s="6" t="s">
        <v>75</v>
      </c>
      <c r="E404" s="6" t="s">
        <v>312</v>
      </c>
      <c r="F404" s="6" t="s">
        <v>587</v>
      </c>
      <c r="G404" s="6" t="s">
        <v>588</v>
      </c>
      <c r="H404" s="6"/>
      <c r="I404" s="6"/>
      <c r="J404" s="6" t="s">
        <v>312</v>
      </c>
      <c r="K404" s="6" t="s">
        <v>589</v>
      </c>
      <c r="L404" s="6" t="s">
        <v>84</v>
      </c>
      <c r="M404" s="6" t="s">
        <v>335</v>
      </c>
      <c r="N404" s="6" t="s">
        <v>315</v>
      </c>
      <c r="O404" s="6" t="s">
        <v>336</v>
      </c>
      <c r="P404" s="6" t="s">
        <v>337</v>
      </c>
      <c r="Q404" s="6"/>
      <c r="R404" s="7" t="n">
        <f aca="false">COUNTIF('Label Map'!$D$2:$D$2000,A404)</f>
        <v>2</v>
      </c>
    </row>
    <row r="405" customFormat="false" ht="15" hidden="false" customHeight="false" outlineLevel="0" collapsed="false">
      <c r="A405" s="6" t="s">
        <v>590</v>
      </c>
      <c r="B405" s="6" t="s">
        <v>63</v>
      </c>
      <c r="C405" s="6" t="s">
        <v>3</v>
      </c>
      <c r="D405" s="6" t="s">
        <v>75</v>
      </c>
      <c r="E405" s="6" t="s">
        <v>312</v>
      </c>
      <c r="F405" s="6" t="s">
        <v>587</v>
      </c>
      <c r="G405" s="6" t="s">
        <v>588</v>
      </c>
      <c r="H405" s="6"/>
      <c r="I405" s="6" t="s">
        <v>590</v>
      </c>
      <c r="J405" s="6" t="s">
        <v>587</v>
      </c>
      <c r="K405" s="6"/>
      <c r="L405" s="6"/>
      <c r="M405" s="6"/>
      <c r="N405" s="6"/>
      <c r="O405" s="6"/>
      <c r="P405" s="6"/>
      <c r="Q405" s="6"/>
      <c r="R405" s="7" t="n">
        <f aca="false">COUNTIF('Label Map'!$D$2:$D$2000,A405)</f>
        <v>0</v>
      </c>
    </row>
    <row r="406" customFormat="false" ht="15" hidden="false" customHeight="false" outlineLevel="0" collapsed="false">
      <c r="A406" s="6" t="s">
        <v>591</v>
      </c>
      <c r="B406" s="6" t="s">
        <v>9</v>
      </c>
      <c r="C406" s="6" t="s">
        <v>3</v>
      </c>
      <c r="D406" s="6" t="s">
        <v>75</v>
      </c>
      <c r="E406" s="6" t="s">
        <v>312</v>
      </c>
      <c r="F406" s="6" t="s">
        <v>591</v>
      </c>
      <c r="G406" s="6" t="s">
        <v>592</v>
      </c>
      <c r="H406" s="6"/>
      <c r="I406" s="6"/>
      <c r="J406" s="6" t="s">
        <v>312</v>
      </c>
      <c r="K406" s="6" t="s">
        <v>475</v>
      </c>
      <c r="L406" s="6" t="s">
        <v>84</v>
      </c>
      <c r="M406" s="6" t="s">
        <v>335</v>
      </c>
      <c r="N406" s="6" t="s">
        <v>319</v>
      </c>
      <c r="O406" s="6" t="s">
        <v>311</v>
      </c>
      <c r="P406" s="6" t="s">
        <v>311</v>
      </c>
      <c r="Q406" s="6"/>
      <c r="R406" s="7" t="n">
        <f aca="false">COUNTIF('Label Map'!$D$2:$D$2000,A406)</f>
        <v>1</v>
      </c>
    </row>
    <row r="407" customFormat="false" ht="15" hidden="false" customHeight="false" outlineLevel="0" collapsed="false">
      <c r="A407" s="6" t="s">
        <v>593</v>
      </c>
      <c r="B407" s="6" t="s">
        <v>9</v>
      </c>
      <c r="C407" s="6" t="s">
        <v>3</v>
      </c>
      <c r="D407" s="6" t="s">
        <v>75</v>
      </c>
      <c r="E407" s="6" t="s">
        <v>312</v>
      </c>
      <c r="F407" s="6" t="s">
        <v>593</v>
      </c>
      <c r="G407" s="6" t="s">
        <v>594</v>
      </c>
      <c r="H407" s="6"/>
      <c r="I407" s="6"/>
      <c r="J407" s="6" t="s">
        <v>312</v>
      </c>
      <c r="K407" s="6" t="s">
        <v>422</v>
      </c>
      <c r="L407" s="6" t="s">
        <v>84</v>
      </c>
      <c r="M407" s="6" t="s">
        <v>335</v>
      </c>
      <c r="N407" s="6" t="s">
        <v>319</v>
      </c>
      <c r="O407" s="6" t="s">
        <v>336</v>
      </c>
      <c r="P407" s="6" t="s">
        <v>87</v>
      </c>
      <c r="Q407" s="6"/>
      <c r="R407" s="7" t="n">
        <f aca="false">COUNTIF('Label Map'!$D$2:$D$2000,A407)</f>
        <v>2</v>
      </c>
    </row>
    <row r="408" customFormat="false" ht="15" hidden="false" customHeight="false" outlineLevel="0" collapsed="false">
      <c r="A408" s="6" t="s">
        <v>595</v>
      </c>
      <c r="B408" s="6" t="s">
        <v>9</v>
      </c>
      <c r="C408" s="6" t="s">
        <v>3</v>
      </c>
      <c r="D408" s="6" t="s">
        <v>75</v>
      </c>
      <c r="E408" s="6" t="s">
        <v>312</v>
      </c>
      <c r="F408" s="6" t="s">
        <v>595</v>
      </c>
      <c r="G408" s="6" t="s">
        <v>596</v>
      </c>
      <c r="H408" s="6"/>
      <c r="I408" s="6"/>
      <c r="J408" s="6" t="s">
        <v>312</v>
      </c>
      <c r="K408" s="6" t="s">
        <v>422</v>
      </c>
      <c r="L408" s="6" t="s">
        <v>84</v>
      </c>
      <c r="M408" s="6" t="s">
        <v>335</v>
      </c>
      <c r="N408" s="6" t="s">
        <v>319</v>
      </c>
      <c r="O408" s="6" t="s">
        <v>336</v>
      </c>
      <c r="P408" s="6" t="s">
        <v>337</v>
      </c>
      <c r="Q408" s="6"/>
      <c r="R408" s="7" t="n">
        <f aca="false">COUNTIF('Label Map'!$D$2:$D$2000,A408)</f>
        <v>2</v>
      </c>
    </row>
    <row r="409" customFormat="false" ht="15" hidden="false" customHeight="false" outlineLevel="0" collapsed="false">
      <c r="A409" s="6" t="s">
        <v>597</v>
      </c>
      <c r="B409" s="6" t="s">
        <v>9</v>
      </c>
      <c r="C409" s="6" t="s">
        <v>3</v>
      </c>
      <c r="D409" s="6" t="s">
        <v>75</v>
      </c>
      <c r="E409" s="6" t="s">
        <v>312</v>
      </c>
      <c r="F409" s="6" t="s">
        <v>597</v>
      </c>
      <c r="G409" s="6" t="s">
        <v>598</v>
      </c>
      <c r="H409" s="6"/>
      <c r="I409" s="6"/>
      <c r="J409" s="6" t="s">
        <v>312</v>
      </c>
      <c r="K409" s="6" t="s">
        <v>475</v>
      </c>
      <c r="L409" s="6" t="s">
        <v>84</v>
      </c>
      <c r="M409" s="6" t="s">
        <v>335</v>
      </c>
      <c r="N409" s="6" t="s">
        <v>319</v>
      </c>
      <c r="O409" s="6" t="s">
        <v>336</v>
      </c>
      <c r="P409" s="6" t="s">
        <v>87</v>
      </c>
      <c r="Q409" s="6"/>
      <c r="R409" s="7" t="n">
        <f aca="false">COUNTIF('Label Map'!$D$2:$D$2000,A409)</f>
        <v>1</v>
      </c>
    </row>
    <row r="410" customFormat="false" ht="15" hidden="false" customHeight="false" outlineLevel="0" collapsed="false">
      <c r="A410" s="6" t="s">
        <v>599</v>
      </c>
      <c r="B410" s="6" t="s">
        <v>9</v>
      </c>
      <c r="C410" s="6" t="s">
        <v>3</v>
      </c>
      <c r="D410" s="6" t="s">
        <v>75</v>
      </c>
      <c r="E410" s="6" t="s">
        <v>312</v>
      </c>
      <c r="F410" s="6" t="s">
        <v>599</v>
      </c>
      <c r="G410" s="6" t="s">
        <v>600</v>
      </c>
      <c r="H410" s="6"/>
      <c r="I410" s="6"/>
      <c r="J410" s="6" t="s">
        <v>312</v>
      </c>
      <c r="K410" s="6" t="s">
        <v>422</v>
      </c>
      <c r="L410" s="6" t="s">
        <v>84</v>
      </c>
      <c r="M410" s="6" t="s">
        <v>335</v>
      </c>
      <c r="N410" s="6" t="s">
        <v>319</v>
      </c>
      <c r="O410" s="6" t="s">
        <v>336</v>
      </c>
      <c r="P410" s="6" t="s">
        <v>337</v>
      </c>
      <c r="Q410" s="6"/>
      <c r="R410" s="7" t="n">
        <f aca="false">COUNTIF('Label Map'!$D$2:$D$2000,A410)</f>
        <v>1</v>
      </c>
    </row>
    <row r="411" customFormat="false" ht="15" hidden="false" customHeight="false" outlineLevel="0" collapsed="false">
      <c r="A411" s="6" t="s">
        <v>601</v>
      </c>
      <c r="B411" s="6" t="s">
        <v>9</v>
      </c>
      <c r="C411" s="6" t="s">
        <v>3</v>
      </c>
      <c r="D411" s="6" t="s">
        <v>75</v>
      </c>
      <c r="E411" s="6" t="s">
        <v>312</v>
      </c>
      <c r="F411" s="6" t="s">
        <v>601</v>
      </c>
      <c r="G411" s="6" t="s">
        <v>602</v>
      </c>
      <c r="H411" s="6"/>
      <c r="I411" s="6"/>
      <c r="J411" s="6" t="s">
        <v>312</v>
      </c>
      <c r="K411" s="6" t="s">
        <v>422</v>
      </c>
      <c r="L411" s="6" t="s">
        <v>84</v>
      </c>
      <c r="M411" s="6" t="s">
        <v>335</v>
      </c>
      <c r="N411" s="6" t="s">
        <v>319</v>
      </c>
      <c r="O411" s="6" t="s">
        <v>336</v>
      </c>
      <c r="P411" s="6" t="s">
        <v>87</v>
      </c>
      <c r="Q411" s="6"/>
      <c r="R411" s="7" t="n">
        <f aca="false">COUNTIF('Label Map'!$D$2:$D$2000,A411)</f>
        <v>1</v>
      </c>
    </row>
    <row r="412" customFormat="false" ht="15" hidden="false" customHeight="false" outlineLevel="0" collapsed="false">
      <c r="A412" s="6" t="s">
        <v>603</v>
      </c>
      <c r="B412" s="6" t="s">
        <v>9</v>
      </c>
      <c r="C412" s="6" t="s">
        <v>3</v>
      </c>
      <c r="D412" s="6" t="s">
        <v>75</v>
      </c>
      <c r="E412" s="6" t="s">
        <v>312</v>
      </c>
      <c r="F412" s="6" t="s">
        <v>603</v>
      </c>
      <c r="G412" s="6" t="s">
        <v>604</v>
      </c>
      <c r="H412" s="6"/>
      <c r="I412" s="6"/>
      <c r="J412" s="6" t="s">
        <v>312</v>
      </c>
      <c r="K412" s="6" t="s">
        <v>567</v>
      </c>
      <c r="L412" s="6" t="s">
        <v>84</v>
      </c>
      <c r="M412" s="6" t="s">
        <v>335</v>
      </c>
      <c r="N412" s="6" t="s">
        <v>315</v>
      </c>
      <c r="O412" s="6" t="s">
        <v>336</v>
      </c>
      <c r="P412" s="6" t="s">
        <v>337</v>
      </c>
      <c r="Q412" s="6"/>
      <c r="R412" s="7" t="n">
        <f aca="false">COUNTIF('Label Map'!$D$2:$D$2000,A412)</f>
        <v>2</v>
      </c>
    </row>
    <row r="413" customFormat="false" ht="15" hidden="false" customHeight="false" outlineLevel="0" collapsed="false">
      <c r="A413" s="6" t="s">
        <v>605</v>
      </c>
      <c r="B413" s="6" t="s">
        <v>9</v>
      </c>
      <c r="C413" s="6" t="s">
        <v>3</v>
      </c>
      <c r="D413" s="6" t="s">
        <v>75</v>
      </c>
      <c r="E413" s="6" t="s">
        <v>312</v>
      </c>
      <c r="F413" s="6" t="s">
        <v>605</v>
      </c>
      <c r="G413" s="6" t="s">
        <v>606</v>
      </c>
      <c r="H413" s="6"/>
      <c r="I413" s="6"/>
      <c r="J413" s="6" t="s">
        <v>312</v>
      </c>
      <c r="K413" s="6" t="s">
        <v>422</v>
      </c>
      <c r="L413" s="6" t="s">
        <v>84</v>
      </c>
      <c r="M413" s="6" t="s">
        <v>335</v>
      </c>
      <c r="N413" s="6" t="s">
        <v>319</v>
      </c>
      <c r="O413" s="6" t="s">
        <v>336</v>
      </c>
      <c r="P413" s="6" t="s">
        <v>87</v>
      </c>
      <c r="Q413" s="6"/>
      <c r="R413" s="7" t="n">
        <f aca="false">COUNTIF('Label Map'!$D$2:$D$2000,A413)</f>
        <v>3</v>
      </c>
    </row>
    <row r="414" customFormat="false" ht="15" hidden="false" customHeight="false" outlineLevel="0" collapsed="false">
      <c r="A414" s="6" t="s">
        <v>607</v>
      </c>
      <c r="B414" s="6" t="s">
        <v>9</v>
      </c>
      <c r="C414" s="6" t="s">
        <v>3</v>
      </c>
      <c r="D414" s="6" t="s">
        <v>75</v>
      </c>
      <c r="E414" s="6" t="s">
        <v>312</v>
      </c>
      <c r="F414" s="6" t="s">
        <v>607</v>
      </c>
      <c r="G414" s="6" t="s">
        <v>608</v>
      </c>
      <c r="H414" s="6"/>
      <c r="I414" s="6"/>
      <c r="J414" s="6" t="s">
        <v>312</v>
      </c>
      <c r="K414" s="6" t="s">
        <v>475</v>
      </c>
      <c r="L414" s="6" t="s">
        <v>84</v>
      </c>
      <c r="M414" s="6" t="s">
        <v>335</v>
      </c>
      <c r="N414" s="6" t="s">
        <v>319</v>
      </c>
      <c r="O414" s="6" t="s">
        <v>336</v>
      </c>
      <c r="P414" s="6" t="s">
        <v>87</v>
      </c>
      <c r="Q414" s="6"/>
      <c r="R414" s="7" t="n">
        <f aca="false">COUNTIF('Label Map'!$D$2:$D$2000,A414)</f>
        <v>1</v>
      </c>
    </row>
    <row r="415" customFormat="false" ht="15" hidden="false" customHeight="false" outlineLevel="0" collapsed="false">
      <c r="A415" s="6" t="s">
        <v>609</v>
      </c>
      <c r="B415" s="6" t="s">
        <v>9</v>
      </c>
      <c r="C415" s="6" t="s">
        <v>3</v>
      </c>
      <c r="D415" s="6" t="s">
        <v>75</v>
      </c>
      <c r="E415" s="6" t="s">
        <v>312</v>
      </c>
      <c r="F415" s="6" t="s">
        <v>609</v>
      </c>
      <c r="G415" s="6" t="s">
        <v>610</v>
      </c>
      <c r="H415" s="6"/>
      <c r="I415" s="6"/>
      <c r="J415" s="6" t="s">
        <v>312</v>
      </c>
      <c r="K415" s="6" t="s">
        <v>427</v>
      </c>
      <c r="L415" s="6" t="s">
        <v>84</v>
      </c>
      <c r="M415" s="6" t="s">
        <v>335</v>
      </c>
      <c r="N415" s="6" t="s">
        <v>315</v>
      </c>
      <c r="O415" s="6" t="s">
        <v>336</v>
      </c>
      <c r="P415" s="6" t="s">
        <v>87</v>
      </c>
      <c r="Q415" s="6"/>
      <c r="R415" s="7" t="n">
        <f aca="false">COUNTIF('Label Map'!$D$2:$D$2000,A415)</f>
        <v>2</v>
      </c>
    </row>
    <row r="416" customFormat="false" ht="15" hidden="false" customHeight="false" outlineLevel="0" collapsed="false">
      <c r="A416" s="6" t="s">
        <v>611</v>
      </c>
      <c r="B416" s="6" t="s">
        <v>9</v>
      </c>
      <c r="C416" s="6" t="s">
        <v>3</v>
      </c>
      <c r="D416" s="6" t="s">
        <v>75</v>
      </c>
      <c r="E416" s="6" t="s">
        <v>312</v>
      </c>
      <c r="F416" s="6" t="s">
        <v>611</v>
      </c>
      <c r="G416" s="6" t="s">
        <v>612</v>
      </c>
      <c r="H416" s="6"/>
      <c r="I416" s="6"/>
      <c r="J416" s="6" t="s">
        <v>312</v>
      </c>
      <c r="K416" s="6" t="s">
        <v>551</v>
      </c>
      <c r="L416" s="6" t="s">
        <v>84</v>
      </c>
      <c r="M416" s="6" t="s">
        <v>335</v>
      </c>
      <c r="N416" s="6" t="s">
        <v>315</v>
      </c>
      <c r="O416" s="6" t="s">
        <v>336</v>
      </c>
      <c r="P416" s="6" t="s">
        <v>468</v>
      </c>
      <c r="Q416" s="6"/>
      <c r="R416" s="7" t="n">
        <f aca="false">COUNTIF('Label Map'!$D$2:$D$2000,A416)</f>
        <v>4</v>
      </c>
    </row>
    <row r="417" customFormat="false" ht="15" hidden="false" customHeight="false" outlineLevel="0" collapsed="false">
      <c r="A417" s="6" t="s">
        <v>613</v>
      </c>
      <c r="B417" s="6" t="s">
        <v>5</v>
      </c>
      <c r="C417" s="6" t="s">
        <v>3</v>
      </c>
      <c r="D417" s="6" t="s">
        <v>614</v>
      </c>
      <c r="E417" s="6"/>
      <c r="F417" s="6"/>
      <c r="G417" s="6"/>
      <c r="H417" s="6"/>
      <c r="I417" s="6"/>
      <c r="J417" s="6" t="s">
        <v>3</v>
      </c>
      <c r="K417" s="6"/>
      <c r="L417" s="6"/>
      <c r="M417" s="6"/>
      <c r="N417" s="6"/>
      <c r="O417" s="6"/>
      <c r="P417" s="6"/>
      <c r="Q417" s="6" t="s">
        <v>615</v>
      </c>
      <c r="R417" s="7" t="n">
        <f aca="false">COUNTIF('Label Map'!$D$2:$D$2000,A417)</f>
        <v>32</v>
      </c>
    </row>
    <row r="418" customFormat="false" ht="15" hidden="false" customHeight="false" outlineLevel="0" collapsed="false">
      <c r="A418" s="6" t="s">
        <v>616</v>
      </c>
      <c r="B418" s="6" t="s">
        <v>78</v>
      </c>
      <c r="C418" s="6" t="s">
        <v>3</v>
      </c>
      <c r="D418" s="6" t="s">
        <v>614</v>
      </c>
      <c r="E418" s="6"/>
      <c r="F418" s="6"/>
      <c r="G418" s="6"/>
      <c r="H418" s="6"/>
      <c r="I418" s="6"/>
      <c r="J418" s="6" t="s">
        <v>613</v>
      </c>
      <c r="K418" s="6"/>
      <c r="L418" s="6"/>
      <c r="M418" s="6"/>
      <c r="N418" s="6"/>
      <c r="O418" s="6"/>
      <c r="P418" s="6"/>
      <c r="Q418" s="6" t="s">
        <v>617</v>
      </c>
      <c r="R418" s="7" t="n">
        <f aca="false">COUNTIF('Label Map'!$D$2:$D$2000,A418)</f>
        <v>4</v>
      </c>
    </row>
    <row r="419" customFormat="false" ht="15" hidden="false" customHeight="false" outlineLevel="0" collapsed="false">
      <c r="A419" s="6" t="s">
        <v>618</v>
      </c>
      <c r="B419" s="6" t="s">
        <v>78</v>
      </c>
      <c r="C419" s="6" t="s">
        <v>3</v>
      </c>
      <c r="D419" s="6" t="s">
        <v>614</v>
      </c>
      <c r="E419" s="6"/>
      <c r="F419" s="6"/>
      <c r="G419" s="6"/>
      <c r="H419" s="6"/>
      <c r="I419" s="6"/>
      <c r="J419" s="6" t="s">
        <v>613</v>
      </c>
      <c r="K419" s="6"/>
      <c r="L419" s="6"/>
      <c r="M419" s="6"/>
      <c r="N419" s="6"/>
      <c r="O419" s="6"/>
      <c r="P419" s="6"/>
      <c r="Q419" s="6" t="s">
        <v>619</v>
      </c>
      <c r="R419" s="7" t="n">
        <f aca="false">COUNTIF('Label Map'!$D$2:$D$2000,A419)</f>
        <v>4</v>
      </c>
    </row>
    <row r="420" customFormat="false" ht="15" hidden="false" customHeight="false" outlineLevel="0" collapsed="false">
      <c r="A420" s="6" t="s">
        <v>620</v>
      </c>
      <c r="B420" s="6" t="s">
        <v>78</v>
      </c>
      <c r="C420" s="6" t="s">
        <v>3</v>
      </c>
      <c r="D420" s="6" t="s">
        <v>614</v>
      </c>
      <c r="E420" s="6"/>
      <c r="F420" s="6"/>
      <c r="G420" s="6"/>
      <c r="H420" s="6"/>
      <c r="I420" s="6"/>
      <c r="J420" s="6" t="s">
        <v>613</v>
      </c>
      <c r="K420" s="6"/>
      <c r="L420" s="6"/>
      <c r="M420" s="6"/>
      <c r="N420" s="6"/>
      <c r="O420" s="6"/>
      <c r="P420" s="6"/>
      <c r="Q420" s="6" t="s">
        <v>621</v>
      </c>
      <c r="R420" s="7" t="n">
        <f aca="false">COUNTIF('Label Map'!$D$2:$D$2000,A420)</f>
        <v>5</v>
      </c>
    </row>
    <row r="421" customFormat="false" ht="15" hidden="false" customHeight="false" outlineLevel="0" collapsed="false">
      <c r="A421" s="6" t="s">
        <v>622</v>
      </c>
      <c r="B421" s="6" t="s">
        <v>7</v>
      </c>
      <c r="C421" s="6" t="s">
        <v>3</v>
      </c>
      <c r="D421" s="6" t="s">
        <v>614</v>
      </c>
      <c r="E421" s="6" t="s">
        <v>622</v>
      </c>
      <c r="F421" s="6"/>
      <c r="G421" s="6"/>
      <c r="H421" s="6"/>
      <c r="I421" s="6"/>
      <c r="J421" s="6" t="s">
        <v>613</v>
      </c>
      <c r="K421" s="6"/>
      <c r="L421" s="6"/>
      <c r="M421" s="6"/>
      <c r="N421" s="6"/>
      <c r="O421" s="6"/>
      <c r="P421" s="6"/>
      <c r="Q421" s="6"/>
      <c r="R421" s="7" t="n">
        <f aca="false">COUNTIF('Label Map'!$D$2:$D$2000,A421)</f>
        <v>14</v>
      </c>
    </row>
    <row r="422" customFormat="false" ht="15" hidden="false" customHeight="false" outlineLevel="0" collapsed="false">
      <c r="A422" s="6" t="s">
        <v>623</v>
      </c>
      <c r="B422" s="6" t="s">
        <v>314</v>
      </c>
      <c r="C422" s="6" t="s">
        <v>3</v>
      </c>
      <c r="D422" s="6" t="s">
        <v>614</v>
      </c>
      <c r="E422" s="6" t="s">
        <v>622</v>
      </c>
      <c r="F422" s="6"/>
      <c r="G422" s="6"/>
      <c r="H422" s="6"/>
      <c r="I422" s="6"/>
      <c r="J422" s="6" t="s">
        <v>624</v>
      </c>
      <c r="K422" s="6"/>
      <c r="L422" s="6"/>
      <c r="M422" s="6"/>
      <c r="N422" s="6"/>
      <c r="O422" s="6"/>
      <c r="P422" s="6"/>
      <c r="Q422" s="6" t="s">
        <v>625</v>
      </c>
      <c r="R422" s="7" t="n">
        <f aca="false">COUNTIF('Label Map'!$D$2:$D$2000,A422)</f>
        <v>2</v>
      </c>
    </row>
    <row r="423" customFormat="false" ht="15" hidden="false" customHeight="false" outlineLevel="0" collapsed="false">
      <c r="A423" s="6" t="s">
        <v>626</v>
      </c>
      <c r="B423" s="6" t="s">
        <v>314</v>
      </c>
      <c r="C423" s="6" t="s">
        <v>3</v>
      </c>
      <c r="D423" s="6" t="s">
        <v>614</v>
      </c>
      <c r="E423" s="6" t="s">
        <v>622</v>
      </c>
      <c r="F423" s="6"/>
      <c r="G423" s="6"/>
      <c r="H423" s="6"/>
      <c r="I423" s="6"/>
      <c r="J423" s="6" t="s">
        <v>624</v>
      </c>
      <c r="K423" s="6"/>
      <c r="L423" s="6"/>
      <c r="M423" s="6"/>
      <c r="N423" s="6"/>
      <c r="O423" s="6"/>
      <c r="P423" s="6"/>
      <c r="Q423" s="6" t="s">
        <v>627</v>
      </c>
      <c r="R423" s="7" t="n">
        <f aca="false">COUNTIF('Label Map'!$D$2:$D$2000,A423)</f>
        <v>2</v>
      </c>
    </row>
    <row r="424" customFormat="false" ht="15" hidden="false" customHeight="false" outlineLevel="0" collapsed="false">
      <c r="A424" s="6" t="s">
        <v>628</v>
      </c>
      <c r="B424" s="6" t="s">
        <v>314</v>
      </c>
      <c r="C424" s="6" t="s">
        <v>3</v>
      </c>
      <c r="D424" s="6" t="s">
        <v>614</v>
      </c>
      <c r="E424" s="6" t="s">
        <v>622</v>
      </c>
      <c r="F424" s="6"/>
      <c r="G424" s="6"/>
      <c r="H424" s="6"/>
      <c r="I424" s="6"/>
      <c r="J424" s="6" t="s">
        <v>629</v>
      </c>
      <c r="K424" s="6"/>
      <c r="L424" s="6"/>
      <c r="M424" s="6"/>
      <c r="N424" s="6"/>
      <c r="O424" s="6"/>
      <c r="P424" s="6"/>
      <c r="Q424" s="6" t="s">
        <v>630</v>
      </c>
      <c r="R424" s="7" t="n">
        <f aca="false">COUNTIF('Label Map'!$D$2:$D$2000,A424)</f>
        <v>2</v>
      </c>
    </row>
    <row r="425" customFormat="false" ht="15" hidden="false" customHeight="false" outlineLevel="0" collapsed="false">
      <c r="A425" s="6" t="s">
        <v>624</v>
      </c>
      <c r="B425" s="6" t="s">
        <v>314</v>
      </c>
      <c r="C425" s="6" t="s">
        <v>3</v>
      </c>
      <c r="D425" s="6" t="s">
        <v>614</v>
      </c>
      <c r="E425" s="6" t="s">
        <v>622</v>
      </c>
      <c r="F425" s="6"/>
      <c r="G425" s="6"/>
      <c r="H425" s="6"/>
      <c r="I425" s="6"/>
      <c r="J425" s="6" t="s">
        <v>622</v>
      </c>
      <c r="K425" s="6"/>
      <c r="L425" s="6"/>
      <c r="M425" s="6"/>
      <c r="N425" s="6"/>
      <c r="O425" s="6"/>
      <c r="P425" s="6"/>
      <c r="Q425" s="6" t="s">
        <v>631</v>
      </c>
      <c r="R425" s="7" t="n">
        <f aca="false">COUNTIF('Label Map'!$D$2:$D$2000,A425)</f>
        <v>4</v>
      </c>
    </row>
    <row r="426" customFormat="false" ht="15" hidden="false" customHeight="false" outlineLevel="0" collapsed="false">
      <c r="A426" s="6" t="s">
        <v>632</v>
      </c>
      <c r="B426" s="6" t="s">
        <v>314</v>
      </c>
      <c r="C426" s="6" t="s">
        <v>3</v>
      </c>
      <c r="D426" s="6" t="s">
        <v>614</v>
      </c>
      <c r="E426" s="6" t="s">
        <v>622</v>
      </c>
      <c r="F426" s="6"/>
      <c r="G426" s="6"/>
      <c r="H426" s="6"/>
      <c r="I426" s="6"/>
      <c r="J426" s="6" t="s">
        <v>624</v>
      </c>
      <c r="K426" s="6"/>
      <c r="L426" s="6"/>
      <c r="M426" s="6"/>
      <c r="N426" s="6"/>
      <c r="O426" s="6"/>
      <c r="P426" s="6"/>
      <c r="Q426" s="6" t="s">
        <v>633</v>
      </c>
      <c r="R426" s="7" t="n">
        <f aca="false">COUNTIF('Label Map'!$D$2:$D$2000,A426)</f>
        <v>5</v>
      </c>
    </row>
    <row r="427" customFormat="false" ht="15" hidden="false" customHeight="false" outlineLevel="0" collapsed="false">
      <c r="A427" s="6" t="s">
        <v>634</v>
      </c>
      <c r="B427" s="6" t="s">
        <v>314</v>
      </c>
      <c r="C427" s="6" t="s">
        <v>3</v>
      </c>
      <c r="D427" s="6" t="s">
        <v>614</v>
      </c>
      <c r="E427" s="6" t="s">
        <v>622</v>
      </c>
      <c r="F427" s="6"/>
      <c r="G427" s="6"/>
      <c r="H427" s="6"/>
      <c r="I427" s="6"/>
      <c r="J427" s="6" t="s">
        <v>624</v>
      </c>
      <c r="K427" s="6"/>
      <c r="L427" s="6"/>
      <c r="M427" s="6"/>
      <c r="N427" s="6"/>
      <c r="O427" s="6"/>
      <c r="P427" s="6"/>
      <c r="Q427" s="6" t="s">
        <v>635</v>
      </c>
      <c r="R427" s="7" t="n">
        <f aca="false">COUNTIF('Label Map'!$D$2:$D$2000,A427)</f>
        <v>2</v>
      </c>
    </row>
    <row r="428" customFormat="false" ht="15" hidden="false" customHeight="false" outlineLevel="0" collapsed="false">
      <c r="A428" s="6" t="s">
        <v>636</v>
      </c>
      <c r="B428" s="6" t="s">
        <v>314</v>
      </c>
      <c r="C428" s="6" t="s">
        <v>3</v>
      </c>
      <c r="D428" s="6" t="s">
        <v>614</v>
      </c>
      <c r="E428" s="6" t="s">
        <v>622</v>
      </c>
      <c r="F428" s="6"/>
      <c r="G428" s="6"/>
      <c r="H428" s="6"/>
      <c r="I428" s="6"/>
      <c r="J428" s="6" t="s">
        <v>624</v>
      </c>
      <c r="K428" s="6"/>
      <c r="L428" s="6"/>
      <c r="M428" s="6"/>
      <c r="N428" s="6"/>
      <c r="O428" s="6"/>
      <c r="P428" s="6"/>
      <c r="Q428" s="6" t="s">
        <v>637</v>
      </c>
      <c r="R428" s="7" t="n">
        <f aca="false">COUNTIF('Label Map'!$D$2:$D$2000,A428)</f>
        <v>1</v>
      </c>
    </row>
    <row r="429" customFormat="false" ht="15" hidden="false" customHeight="false" outlineLevel="0" collapsed="false">
      <c r="A429" s="6" t="s">
        <v>638</v>
      </c>
      <c r="B429" s="6" t="s">
        <v>314</v>
      </c>
      <c r="C429" s="6" t="s">
        <v>3</v>
      </c>
      <c r="D429" s="6" t="s">
        <v>614</v>
      </c>
      <c r="E429" s="6" t="s">
        <v>622</v>
      </c>
      <c r="F429" s="6"/>
      <c r="G429" s="6"/>
      <c r="H429" s="6"/>
      <c r="I429" s="6"/>
      <c r="J429" s="6" t="s">
        <v>622</v>
      </c>
      <c r="K429" s="6"/>
      <c r="L429" s="6"/>
      <c r="M429" s="6"/>
      <c r="N429" s="6"/>
      <c r="O429" s="6"/>
      <c r="P429" s="6"/>
      <c r="Q429" s="6" t="s">
        <v>639</v>
      </c>
      <c r="R429" s="7" t="n">
        <f aca="false">COUNTIF('Label Map'!$D$2:$D$2000,A429)</f>
        <v>1</v>
      </c>
    </row>
    <row r="430" customFormat="false" ht="15" hidden="false" customHeight="false" outlineLevel="0" collapsed="false">
      <c r="A430" s="6" t="s">
        <v>640</v>
      </c>
      <c r="B430" s="6" t="s">
        <v>314</v>
      </c>
      <c r="C430" s="6" t="s">
        <v>3</v>
      </c>
      <c r="D430" s="6" t="s">
        <v>614</v>
      </c>
      <c r="E430" s="6" t="s">
        <v>622</v>
      </c>
      <c r="F430" s="6"/>
      <c r="G430" s="6"/>
      <c r="H430" s="6"/>
      <c r="I430" s="6"/>
      <c r="J430" s="6" t="s">
        <v>629</v>
      </c>
      <c r="K430" s="6"/>
      <c r="L430" s="6"/>
      <c r="M430" s="6"/>
      <c r="N430" s="6"/>
      <c r="O430" s="6"/>
      <c r="P430" s="6"/>
      <c r="Q430" s="6" t="s">
        <v>641</v>
      </c>
      <c r="R430" s="7" t="n">
        <f aca="false">COUNTIF('Label Map'!$D$2:$D$2000,A430)</f>
        <v>1</v>
      </c>
    </row>
    <row r="431" customFormat="false" ht="15" hidden="false" customHeight="false" outlineLevel="0" collapsed="false">
      <c r="A431" s="6" t="s">
        <v>642</v>
      </c>
      <c r="B431" s="6" t="s">
        <v>314</v>
      </c>
      <c r="C431" s="6" t="s">
        <v>3</v>
      </c>
      <c r="D431" s="6" t="s">
        <v>614</v>
      </c>
      <c r="E431" s="6" t="s">
        <v>622</v>
      </c>
      <c r="F431" s="6"/>
      <c r="G431" s="6"/>
      <c r="H431" s="6"/>
      <c r="I431" s="6"/>
      <c r="J431" s="6" t="s">
        <v>624</v>
      </c>
      <c r="K431" s="6"/>
      <c r="L431" s="6"/>
      <c r="M431" s="6"/>
      <c r="N431" s="6"/>
      <c r="O431" s="6"/>
      <c r="P431" s="6"/>
      <c r="Q431" s="6" t="s">
        <v>643</v>
      </c>
      <c r="R431" s="7" t="n">
        <f aca="false">COUNTIF('Label Map'!$D$2:$D$2000,A431)</f>
        <v>1</v>
      </c>
    </row>
    <row r="432" customFormat="false" ht="15" hidden="false" customHeight="false" outlineLevel="0" collapsed="false">
      <c r="A432" s="6" t="s">
        <v>644</v>
      </c>
      <c r="B432" s="6" t="s">
        <v>314</v>
      </c>
      <c r="C432" s="6" t="s">
        <v>3</v>
      </c>
      <c r="D432" s="6" t="s">
        <v>614</v>
      </c>
      <c r="E432" s="6" t="s">
        <v>622</v>
      </c>
      <c r="F432" s="6"/>
      <c r="G432" s="6"/>
      <c r="H432" s="6"/>
      <c r="I432" s="6"/>
      <c r="J432" s="6" t="s">
        <v>622</v>
      </c>
      <c r="K432" s="6"/>
      <c r="L432" s="6"/>
      <c r="M432" s="6"/>
      <c r="N432" s="6"/>
      <c r="O432" s="6"/>
      <c r="P432" s="6"/>
      <c r="Q432" s="6" t="s">
        <v>645</v>
      </c>
      <c r="R432" s="7" t="n">
        <f aca="false">COUNTIF('Label Map'!$D$2:$D$2000,A432)</f>
        <v>6</v>
      </c>
    </row>
    <row r="433" customFormat="false" ht="15" hidden="false" customHeight="false" outlineLevel="0" collapsed="false">
      <c r="A433" s="6" t="s">
        <v>646</v>
      </c>
      <c r="B433" s="6" t="s">
        <v>314</v>
      </c>
      <c r="C433" s="6" t="s">
        <v>3</v>
      </c>
      <c r="D433" s="6" t="s">
        <v>614</v>
      </c>
      <c r="E433" s="6" t="s">
        <v>622</v>
      </c>
      <c r="F433" s="6"/>
      <c r="G433" s="6"/>
      <c r="H433" s="6"/>
      <c r="I433" s="6"/>
      <c r="J433" s="6" t="s">
        <v>629</v>
      </c>
      <c r="K433" s="6"/>
      <c r="L433" s="6"/>
      <c r="M433" s="6"/>
      <c r="N433" s="6"/>
      <c r="O433" s="6"/>
      <c r="P433" s="6"/>
      <c r="Q433" s="6" t="s">
        <v>647</v>
      </c>
      <c r="R433" s="7" t="n">
        <f aca="false">COUNTIF('Label Map'!$D$2:$D$2000,A433)</f>
        <v>3</v>
      </c>
    </row>
    <row r="434" customFormat="false" ht="15" hidden="false" customHeight="false" outlineLevel="0" collapsed="false">
      <c r="A434" s="6" t="s">
        <v>648</v>
      </c>
      <c r="B434" s="6" t="s">
        <v>314</v>
      </c>
      <c r="C434" s="6" t="s">
        <v>3</v>
      </c>
      <c r="D434" s="6" t="s">
        <v>614</v>
      </c>
      <c r="E434" s="6" t="s">
        <v>622</v>
      </c>
      <c r="F434" s="6"/>
      <c r="G434" s="6"/>
      <c r="H434" s="6"/>
      <c r="I434" s="6"/>
      <c r="J434" s="6" t="s">
        <v>629</v>
      </c>
      <c r="K434" s="6"/>
      <c r="L434" s="6"/>
      <c r="M434" s="6"/>
      <c r="N434" s="6"/>
      <c r="O434" s="6"/>
      <c r="P434" s="6"/>
      <c r="Q434" s="6" t="s">
        <v>649</v>
      </c>
      <c r="R434" s="7" t="n">
        <f aca="false">COUNTIF('Label Map'!$D$2:$D$2000,A434)</f>
        <v>3</v>
      </c>
    </row>
    <row r="435" customFormat="false" ht="15" hidden="false" customHeight="false" outlineLevel="0" collapsed="false">
      <c r="A435" s="6" t="s">
        <v>650</v>
      </c>
      <c r="B435" s="6" t="s">
        <v>314</v>
      </c>
      <c r="C435" s="6" t="s">
        <v>3</v>
      </c>
      <c r="D435" s="6" t="s">
        <v>614</v>
      </c>
      <c r="E435" s="6" t="s">
        <v>622</v>
      </c>
      <c r="F435" s="6"/>
      <c r="G435" s="6"/>
      <c r="H435" s="6"/>
      <c r="I435" s="6"/>
      <c r="J435" s="6" t="s">
        <v>622</v>
      </c>
      <c r="K435" s="6"/>
      <c r="L435" s="6"/>
      <c r="M435" s="6"/>
      <c r="N435" s="6"/>
      <c r="O435" s="6"/>
      <c r="P435" s="6"/>
      <c r="Q435" s="6" t="s">
        <v>651</v>
      </c>
      <c r="R435" s="7" t="n">
        <f aca="false">COUNTIF('Label Map'!$D$2:$D$2000,A435)</f>
        <v>1</v>
      </c>
    </row>
    <row r="436" customFormat="false" ht="15" hidden="false" customHeight="false" outlineLevel="0" collapsed="false">
      <c r="A436" s="6" t="s">
        <v>652</v>
      </c>
      <c r="B436" s="6" t="s">
        <v>314</v>
      </c>
      <c r="C436" s="6" t="s">
        <v>3</v>
      </c>
      <c r="D436" s="6" t="s">
        <v>614</v>
      </c>
      <c r="E436" s="6" t="s">
        <v>622</v>
      </c>
      <c r="F436" s="6"/>
      <c r="G436" s="6"/>
      <c r="H436" s="6"/>
      <c r="I436" s="6"/>
      <c r="J436" s="6" t="s">
        <v>648</v>
      </c>
      <c r="K436" s="6"/>
      <c r="L436" s="6"/>
      <c r="M436" s="6"/>
      <c r="N436" s="6"/>
      <c r="O436" s="6"/>
      <c r="P436" s="6"/>
      <c r="Q436" s="6" t="s">
        <v>653</v>
      </c>
      <c r="R436" s="7" t="n">
        <f aca="false">COUNTIF('Label Map'!$D$2:$D$2000,A436)</f>
        <v>1</v>
      </c>
    </row>
    <row r="437" customFormat="false" ht="15" hidden="false" customHeight="false" outlineLevel="0" collapsed="false">
      <c r="A437" s="6" t="s">
        <v>654</v>
      </c>
      <c r="B437" s="6" t="s">
        <v>314</v>
      </c>
      <c r="C437" s="6" t="s">
        <v>3</v>
      </c>
      <c r="D437" s="6" t="s">
        <v>614</v>
      </c>
      <c r="E437" s="6" t="s">
        <v>622</v>
      </c>
      <c r="F437" s="6"/>
      <c r="G437" s="6"/>
      <c r="H437" s="6"/>
      <c r="I437" s="6"/>
      <c r="J437" s="6" t="s">
        <v>622</v>
      </c>
      <c r="K437" s="6"/>
      <c r="L437" s="6"/>
      <c r="M437" s="6"/>
      <c r="N437" s="6"/>
      <c r="O437" s="6"/>
      <c r="P437" s="6"/>
      <c r="Q437" s="6" t="s">
        <v>655</v>
      </c>
      <c r="R437" s="7" t="n">
        <f aca="false">COUNTIF('Label Map'!$D$2:$D$2000,A437)</f>
        <v>3</v>
      </c>
    </row>
    <row r="438" customFormat="false" ht="15" hidden="false" customHeight="false" outlineLevel="0" collapsed="false">
      <c r="A438" s="6" t="s">
        <v>656</v>
      </c>
      <c r="B438" s="6" t="s">
        <v>314</v>
      </c>
      <c r="C438" s="6" t="s">
        <v>3</v>
      </c>
      <c r="D438" s="6" t="s">
        <v>614</v>
      </c>
      <c r="E438" s="6" t="s">
        <v>622</v>
      </c>
      <c r="F438" s="6"/>
      <c r="G438" s="6"/>
      <c r="H438" s="6"/>
      <c r="I438" s="6"/>
      <c r="J438" s="6" t="s">
        <v>629</v>
      </c>
      <c r="K438" s="6"/>
      <c r="L438" s="6"/>
      <c r="M438" s="6"/>
      <c r="N438" s="6"/>
      <c r="O438" s="6"/>
      <c r="P438" s="6"/>
      <c r="Q438" s="6" t="s">
        <v>657</v>
      </c>
      <c r="R438" s="7" t="n">
        <f aca="false">COUNTIF('Label Map'!$D$2:$D$2000,A438)</f>
        <v>1</v>
      </c>
    </row>
    <row r="439" customFormat="false" ht="15" hidden="false" customHeight="false" outlineLevel="0" collapsed="false">
      <c r="A439" s="6" t="s">
        <v>658</v>
      </c>
      <c r="B439" s="6" t="s">
        <v>314</v>
      </c>
      <c r="C439" s="6" t="s">
        <v>3</v>
      </c>
      <c r="D439" s="6" t="s">
        <v>614</v>
      </c>
      <c r="E439" s="6" t="s">
        <v>622</v>
      </c>
      <c r="F439" s="6"/>
      <c r="G439" s="6"/>
      <c r="H439" s="6"/>
      <c r="I439" s="6"/>
      <c r="J439" s="6" t="s">
        <v>629</v>
      </c>
      <c r="K439" s="6"/>
      <c r="L439" s="6"/>
      <c r="M439" s="6"/>
      <c r="N439" s="6"/>
      <c r="O439" s="6"/>
      <c r="P439" s="6"/>
      <c r="Q439" s="6" t="s">
        <v>659</v>
      </c>
      <c r="R439" s="7" t="n">
        <f aca="false">COUNTIF('Label Map'!$D$2:$D$2000,A439)</f>
        <v>4</v>
      </c>
    </row>
    <row r="440" customFormat="false" ht="15" hidden="false" customHeight="false" outlineLevel="0" collapsed="false">
      <c r="A440" s="6" t="s">
        <v>629</v>
      </c>
      <c r="B440" s="6" t="s">
        <v>314</v>
      </c>
      <c r="C440" s="6" t="s">
        <v>3</v>
      </c>
      <c r="D440" s="6" t="s">
        <v>614</v>
      </c>
      <c r="E440" s="6" t="s">
        <v>622</v>
      </c>
      <c r="F440" s="6"/>
      <c r="G440" s="6"/>
      <c r="H440" s="6"/>
      <c r="I440" s="6"/>
      <c r="J440" s="6" t="s">
        <v>622</v>
      </c>
      <c r="K440" s="6"/>
      <c r="L440" s="6"/>
      <c r="M440" s="6"/>
      <c r="N440" s="6"/>
      <c r="O440" s="6"/>
      <c r="P440" s="6"/>
      <c r="Q440" s="6" t="s">
        <v>660</v>
      </c>
      <c r="R440" s="7" t="n">
        <f aca="false">COUNTIF('Label Map'!$D$2:$D$2000,A440)</f>
        <v>2</v>
      </c>
    </row>
    <row r="441" customFormat="false" ht="15" hidden="false" customHeight="false" outlineLevel="0" collapsed="false">
      <c r="A441" s="6" t="s">
        <v>661</v>
      </c>
      <c r="B441" s="6" t="s">
        <v>9</v>
      </c>
      <c r="C441" s="6" t="s">
        <v>3</v>
      </c>
      <c r="D441" s="6" t="s">
        <v>614</v>
      </c>
      <c r="E441" s="6" t="s">
        <v>622</v>
      </c>
      <c r="F441" s="6" t="s">
        <v>661</v>
      </c>
      <c r="G441" s="6" t="s">
        <v>662</v>
      </c>
      <c r="H441" s="6"/>
      <c r="I441" s="6"/>
      <c r="J441" s="6" t="s">
        <v>622</v>
      </c>
      <c r="K441" s="6" t="s">
        <v>663</v>
      </c>
      <c r="L441" s="6" t="s">
        <v>622</v>
      </c>
      <c r="M441" s="6" t="s">
        <v>650</v>
      </c>
      <c r="N441" s="6"/>
      <c r="O441" s="6" t="s">
        <v>308</v>
      </c>
      <c r="P441" s="6" t="s">
        <v>87</v>
      </c>
      <c r="Q441" s="6"/>
      <c r="R441" s="7" t="n">
        <f aca="false">COUNTIF('Label Map'!$D$2:$D$2000,A441)</f>
        <v>11</v>
      </c>
    </row>
    <row r="442" customFormat="false" ht="15" hidden="false" customHeight="false" outlineLevel="0" collapsed="false">
      <c r="A442" s="6" t="s">
        <v>664</v>
      </c>
      <c r="B442" s="6" t="s">
        <v>11</v>
      </c>
      <c r="C442" s="6" t="s">
        <v>3</v>
      </c>
      <c r="D442" s="6" t="s">
        <v>614</v>
      </c>
      <c r="E442" s="6" t="s">
        <v>622</v>
      </c>
      <c r="F442" s="6" t="s">
        <v>661</v>
      </c>
      <c r="G442" s="6" t="s">
        <v>662</v>
      </c>
      <c r="H442" s="6" t="s">
        <v>664</v>
      </c>
      <c r="I442" s="6"/>
      <c r="J442" s="6" t="s">
        <v>661</v>
      </c>
      <c r="K442" s="6"/>
      <c r="L442" s="6"/>
      <c r="M442" s="6"/>
      <c r="N442" s="6"/>
      <c r="O442" s="6"/>
      <c r="P442" s="6"/>
      <c r="Q442" s="6" t="s">
        <v>665</v>
      </c>
      <c r="R442" s="7" t="n">
        <f aca="false">COUNTIF('Label Map'!$D$2:$D$2000,A442)</f>
        <v>1</v>
      </c>
    </row>
    <row r="443" customFormat="false" ht="15" hidden="false" customHeight="false" outlineLevel="0" collapsed="false">
      <c r="A443" s="6" t="s">
        <v>666</v>
      </c>
      <c r="B443" s="6" t="s">
        <v>89</v>
      </c>
      <c r="C443" s="6" t="s">
        <v>3</v>
      </c>
      <c r="D443" s="6" t="s">
        <v>614</v>
      </c>
      <c r="E443" s="6" t="s">
        <v>622</v>
      </c>
      <c r="F443" s="6" t="s">
        <v>661</v>
      </c>
      <c r="G443" s="6" t="s">
        <v>662</v>
      </c>
      <c r="H443" s="6" t="s">
        <v>664</v>
      </c>
      <c r="I443" s="6"/>
      <c r="J443" s="6" t="s">
        <v>664</v>
      </c>
      <c r="K443" s="6"/>
      <c r="L443" s="6"/>
      <c r="M443" s="6"/>
      <c r="N443" s="6"/>
      <c r="O443" s="6"/>
      <c r="P443" s="6"/>
      <c r="Q443" s="6" t="s">
        <v>667</v>
      </c>
      <c r="R443" s="7" t="n">
        <f aca="false">COUNTIF('Label Map'!$D$2:$D$2000,A443)</f>
        <v>1</v>
      </c>
    </row>
    <row r="444" customFormat="false" ht="15" hidden="false" customHeight="false" outlineLevel="0" collapsed="false">
      <c r="A444" s="6" t="s">
        <v>668</v>
      </c>
      <c r="B444" s="6" t="s">
        <v>89</v>
      </c>
      <c r="C444" s="6" t="s">
        <v>3</v>
      </c>
      <c r="D444" s="6" t="s">
        <v>614</v>
      </c>
      <c r="E444" s="6" t="s">
        <v>622</v>
      </c>
      <c r="F444" s="6" t="s">
        <v>661</v>
      </c>
      <c r="G444" s="6" t="s">
        <v>662</v>
      </c>
      <c r="H444" s="6" t="s">
        <v>664</v>
      </c>
      <c r="I444" s="6"/>
      <c r="J444" s="6" t="s">
        <v>664</v>
      </c>
      <c r="K444" s="6"/>
      <c r="L444" s="6"/>
      <c r="M444" s="6"/>
      <c r="N444" s="6"/>
      <c r="O444" s="6"/>
      <c r="P444" s="6"/>
      <c r="Q444" s="6" t="s">
        <v>667</v>
      </c>
      <c r="R444" s="7" t="n">
        <f aca="false">COUNTIF('Label Map'!$D$2:$D$2000,A444)</f>
        <v>1</v>
      </c>
    </row>
    <row r="445" customFormat="false" ht="15" hidden="false" customHeight="false" outlineLevel="0" collapsed="false">
      <c r="A445" s="6" t="s">
        <v>669</v>
      </c>
      <c r="B445" s="6" t="s">
        <v>89</v>
      </c>
      <c r="C445" s="6" t="s">
        <v>3</v>
      </c>
      <c r="D445" s="6" t="s">
        <v>614</v>
      </c>
      <c r="E445" s="6" t="s">
        <v>622</v>
      </c>
      <c r="F445" s="6" t="s">
        <v>661</v>
      </c>
      <c r="G445" s="6" t="s">
        <v>662</v>
      </c>
      <c r="H445" s="6" t="s">
        <v>664</v>
      </c>
      <c r="I445" s="6"/>
      <c r="J445" s="6" t="s">
        <v>664</v>
      </c>
      <c r="K445" s="6"/>
      <c r="L445" s="6"/>
      <c r="M445" s="6"/>
      <c r="N445" s="6"/>
      <c r="O445" s="6"/>
      <c r="P445" s="6"/>
      <c r="Q445" s="6" t="s">
        <v>667</v>
      </c>
      <c r="R445" s="7" t="n">
        <f aca="false">COUNTIF('Label Map'!$D$2:$D$2000,A445)</f>
        <v>2</v>
      </c>
    </row>
    <row r="446" customFormat="false" ht="15" hidden="false" customHeight="false" outlineLevel="0" collapsed="false">
      <c r="A446" s="6" t="s">
        <v>670</v>
      </c>
      <c r="B446" s="6" t="s">
        <v>89</v>
      </c>
      <c r="C446" s="6" t="s">
        <v>3</v>
      </c>
      <c r="D446" s="6" t="s">
        <v>614</v>
      </c>
      <c r="E446" s="6" t="s">
        <v>622</v>
      </c>
      <c r="F446" s="6" t="s">
        <v>661</v>
      </c>
      <c r="G446" s="6" t="s">
        <v>662</v>
      </c>
      <c r="H446" s="6" t="s">
        <v>664</v>
      </c>
      <c r="I446" s="6"/>
      <c r="J446" s="6" t="s">
        <v>664</v>
      </c>
      <c r="K446" s="6"/>
      <c r="L446" s="6"/>
      <c r="M446" s="6"/>
      <c r="N446" s="6"/>
      <c r="O446" s="6"/>
      <c r="P446" s="6"/>
      <c r="Q446" s="6" t="s">
        <v>667</v>
      </c>
      <c r="R446" s="7" t="n">
        <f aca="false">COUNTIF('Label Map'!$D$2:$D$2000,A446)</f>
        <v>1</v>
      </c>
    </row>
    <row r="447" customFormat="false" ht="15" hidden="false" customHeight="false" outlineLevel="0" collapsed="false">
      <c r="A447" s="6" t="s">
        <v>671</v>
      </c>
      <c r="B447" s="6" t="s">
        <v>89</v>
      </c>
      <c r="C447" s="6" t="s">
        <v>3</v>
      </c>
      <c r="D447" s="6" t="s">
        <v>614</v>
      </c>
      <c r="E447" s="6" t="s">
        <v>622</v>
      </c>
      <c r="F447" s="6" t="s">
        <v>661</v>
      </c>
      <c r="G447" s="6" t="s">
        <v>662</v>
      </c>
      <c r="H447" s="6" t="s">
        <v>664</v>
      </c>
      <c r="I447" s="6"/>
      <c r="J447" s="6" t="s">
        <v>664</v>
      </c>
      <c r="K447" s="6"/>
      <c r="L447" s="6"/>
      <c r="M447" s="6"/>
      <c r="N447" s="6"/>
      <c r="O447" s="6"/>
      <c r="P447" s="6"/>
      <c r="Q447" s="6" t="s">
        <v>667</v>
      </c>
      <c r="R447" s="7" t="n">
        <f aca="false">COUNTIF('Label Map'!$D$2:$D$2000,A447)</f>
        <v>1</v>
      </c>
    </row>
    <row r="448" customFormat="false" ht="15" hidden="false" customHeight="false" outlineLevel="0" collapsed="false">
      <c r="A448" s="6" t="s">
        <v>672</v>
      </c>
      <c r="B448" s="6" t="s">
        <v>89</v>
      </c>
      <c r="C448" s="6" t="s">
        <v>3</v>
      </c>
      <c r="D448" s="6" t="s">
        <v>614</v>
      </c>
      <c r="E448" s="6" t="s">
        <v>622</v>
      </c>
      <c r="F448" s="6" t="s">
        <v>661</v>
      </c>
      <c r="G448" s="6" t="s">
        <v>662</v>
      </c>
      <c r="H448" s="6" t="s">
        <v>664</v>
      </c>
      <c r="I448" s="6"/>
      <c r="J448" s="6" t="s">
        <v>664</v>
      </c>
      <c r="K448" s="6"/>
      <c r="L448" s="6"/>
      <c r="M448" s="6"/>
      <c r="N448" s="6"/>
      <c r="O448" s="6"/>
      <c r="P448" s="6"/>
      <c r="Q448" s="6" t="s">
        <v>667</v>
      </c>
      <c r="R448" s="7" t="n">
        <f aca="false">COUNTIF('Label Map'!$D$2:$D$2000,A448)</f>
        <v>1</v>
      </c>
    </row>
    <row r="449" customFormat="false" ht="15" hidden="false" customHeight="false" outlineLevel="0" collapsed="false">
      <c r="A449" s="6" t="s">
        <v>673</v>
      </c>
      <c r="B449" s="6" t="s">
        <v>89</v>
      </c>
      <c r="C449" s="6" t="s">
        <v>3</v>
      </c>
      <c r="D449" s="6" t="s">
        <v>614</v>
      </c>
      <c r="E449" s="6" t="s">
        <v>622</v>
      </c>
      <c r="F449" s="6" t="s">
        <v>661</v>
      </c>
      <c r="G449" s="6" t="s">
        <v>662</v>
      </c>
      <c r="H449" s="6" t="s">
        <v>664</v>
      </c>
      <c r="I449" s="6"/>
      <c r="J449" s="6" t="s">
        <v>664</v>
      </c>
      <c r="K449" s="6"/>
      <c r="L449" s="6"/>
      <c r="M449" s="6"/>
      <c r="N449" s="6"/>
      <c r="O449" s="6"/>
      <c r="P449" s="6"/>
      <c r="Q449" s="6" t="s">
        <v>667</v>
      </c>
      <c r="R449" s="7" t="n">
        <f aca="false">COUNTIF('Label Map'!$D$2:$D$2000,A449)</f>
        <v>1</v>
      </c>
    </row>
    <row r="450" customFormat="false" ht="15" hidden="false" customHeight="false" outlineLevel="0" collapsed="false">
      <c r="A450" s="6" t="s">
        <v>674</v>
      </c>
      <c r="B450" s="6" t="s">
        <v>89</v>
      </c>
      <c r="C450" s="6" t="s">
        <v>3</v>
      </c>
      <c r="D450" s="6" t="s">
        <v>614</v>
      </c>
      <c r="E450" s="6" t="s">
        <v>622</v>
      </c>
      <c r="F450" s="6" t="s">
        <v>661</v>
      </c>
      <c r="G450" s="6" t="s">
        <v>662</v>
      </c>
      <c r="H450" s="6" t="s">
        <v>664</v>
      </c>
      <c r="I450" s="6"/>
      <c r="J450" s="6" t="s">
        <v>664</v>
      </c>
      <c r="K450" s="6"/>
      <c r="L450" s="6"/>
      <c r="M450" s="6"/>
      <c r="N450" s="6"/>
      <c r="O450" s="6"/>
      <c r="P450" s="6"/>
      <c r="Q450" s="6" t="s">
        <v>667</v>
      </c>
      <c r="R450" s="7" t="n">
        <f aca="false">COUNTIF('Label Map'!$D$2:$D$2000,A450)</f>
        <v>1</v>
      </c>
    </row>
    <row r="451" customFormat="false" ht="15" hidden="false" customHeight="false" outlineLevel="0" collapsed="false">
      <c r="A451" s="6" t="s">
        <v>675</v>
      </c>
      <c r="B451" s="6" t="s">
        <v>89</v>
      </c>
      <c r="C451" s="6" t="s">
        <v>3</v>
      </c>
      <c r="D451" s="6" t="s">
        <v>614</v>
      </c>
      <c r="E451" s="6" t="s">
        <v>622</v>
      </c>
      <c r="F451" s="6" t="s">
        <v>661</v>
      </c>
      <c r="G451" s="6" t="s">
        <v>662</v>
      </c>
      <c r="H451" s="6" t="s">
        <v>664</v>
      </c>
      <c r="I451" s="6"/>
      <c r="J451" s="6" t="s">
        <v>664</v>
      </c>
      <c r="K451" s="6"/>
      <c r="L451" s="6"/>
      <c r="M451" s="6"/>
      <c r="N451" s="6"/>
      <c r="O451" s="6"/>
      <c r="P451" s="6"/>
      <c r="Q451" s="6" t="s">
        <v>667</v>
      </c>
      <c r="R451" s="7" t="n">
        <f aca="false">COUNTIF('Label Map'!$D$2:$D$2000,A451)</f>
        <v>1</v>
      </c>
    </row>
    <row r="452" customFormat="false" ht="15" hidden="false" customHeight="false" outlineLevel="0" collapsed="false">
      <c r="A452" s="6" t="s">
        <v>676</v>
      </c>
      <c r="B452" s="6" t="s">
        <v>63</v>
      </c>
      <c r="C452" s="6" t="s">
        <v>3</v>
      </c>
      <c r="D452" s="6" t="s">
        <v>614</v>
      </c>
      <c r="E452" s="6" t="s">
        <v>622</v>
      </c>
      <c r="F452" s="6" t="s">
        <v>661</v>
      </c>
      <c r="G452" s="6" t="s">
        <v>662</v>
      </c>
      <c r="H452" s="6" t="s">
        <v>664</v>
      </c>
      <c r="I452" s="6" t="s">
        <v>676</v>
      </c>
      <c r="J452" s="6" t="s">
        <v>664</v>
      </c>
      <c r="K452" s="6"/>
      <c r="L452" s="6"/>
      <c r="M452" s="6"/>
      <c r="N452" s="6"/>
      <c r="O452" s="6"/>
      <c r="P452" s="6"/>
      <c r="Q452" s="6"/>
      <c r="R452" s="7" t="n">
        <f aca="false">COUNTIF('Label Map'!$D$2:$D$2000,A452)</f>
        <v>0</v>
      </c>
    </row>
    <row r="453" customFormat="false" ht="15" hidden="false" customHeight="false" outlineLevel="0" collapsed="false">
      <c r="A453" s="6" t="s">
        <v>677</v>
      </c>
      <c r="B453" s="6" t="s">
        <v>63</v>
      </c>
      <c r="C453" s="6" t="s">
        <v>3</v>
      </c>
      <c r="D453" s="6" t="s">
        <v>614</v>
      </c>
      <c r="E453" s="6" t="s">
        <v>622</v>
      </c>
      <c r="F453" s="6" t="s">
        <v>661</v>
      </c>
      <c r="G453" s="6" t="s">
        <v>662</v>
      </c>
      <c r="H453" s="6" t="s">
        <v>664</v>
      </c>
      <c r="I453" s="6" t="s">
        <v>677</v>
      </c>
      <c r="J453" s="6" t="s">
        <v>664</v>
      </c>
      <c r="K453" s="6"/>
      <c r="L453" s="6"/>
      <c r="M453" s="6"/>
      <c r="N453" s="6"/>
      <c r="O453" s="6"/>
      <c r="P453" s="6"/>
      <c r="Q453" s="6"/>
      <c r="R453" s="7" t="n">
        <f aca="false">COUNTIF('Label Map'!$D$2:$D$2000,A453)</f>
        <v>0</v>
      </c>
    </row>
    <row r="454" customFormat="false" ht="15" hidden="false" customHeight="false" outlineLevel="0" collapsed="false">
      <c r="A454" s="6" t="s">
        <v>678</v>
      </c>
      <c r="B454" s="6" t="s">
        <v>63</v>
      </c>
      <c r="C454" s="6" t="s">
        <v>3</v>
      </c>
      <c r="D454" s="6" t="s">
        <v>614</v>
      </c>
      <c r="E454" s="6" t="s">
        <v>622</v>
      </c>
      <c r="F454" s="6" t="s">
        <v>661</v>
      </c>
      <c r="G454" s="6" t="s">
        <v>662</v>
      </c>
      <c r="H454" s="6" t="s">
        <v>664</v>
      </c>
      <c r="I454" s="6" t="s">
        <v>678</v>
      </c>
      <c r="J454" s="6" t="s">
        <v>664</v>
      </c>
      <c r="K454" s="6"/>
      <c r="L454" s="6"/>
      <c r="M454" s="6"/>
      <c r="N454" s="6"/>
      <c r="O454" s="6"/>
      <c r="P454" s="6"/>
      <c r="Q454" s="6"/>
      <c r="R454" s="7" t="n">
        <f aca="false">COUNTIF('Label Map'!$D$2:$D$2000,A454)</f>
        <v>0</v>
      </c>
    </row>
    <row r="455" customFormat="false" ht="15" hidden="false" customHeight="false" outlineLevel="0" collapsed="false">
      <c r="A455" s="6" t="s">
        <v>679</v>
      </c>
      <c r="B455" s="6" t="s">
        <v>63</v>
      </c>
      <c r="C455" s="6" t="s">
        <v>3</v>
      </c>
      <c r="D455" s="6" t="s">
        <v>614</v>
      </c>
      <c r="E455" s="6" t="s">
        <v>622</v>
      </c>
      <c r="F455" s="6" t="s">
        <v>661</v>
      </c>
      <c r="G455" s="6" t="s">
        <v>662</v>
      </c>
      <c r="H455" s="6" t="s">
        <v>664</v>
      </c>
      <c r="I455" s="6" t="s">
        <v>679</v>
      </c>
      <c r="J455" s="6" t="s">
        <v>664</v>
      </c>
      <c r="K455" s="6"/>
      <c r="L455" s="6"/>
      <c r="M455" s="6"/>
      <c r="N455" s="6"/>
      <c r="O455" s="6"/>
      <c r="P455" s="6"/>
      <c r="Q455" s="6"/>
      <c r="R455" s="7" t="n">
        <f aca="false">COUNTIF('Label Map'!$D$2:$D$2000,A455)</f>
        <v>0</v>
      </c>
    </row>
    <row r="456" customFormat="false" ht="15" hidden="false" customHeight="false" outlineLevel="0" collapsed="false">
      <c r="A456" s="6" t="s">
        <v>680</v>
      </c>
      <c r="B456" s="6" t="s">
        <v>63</v>
      </c>
      <c r="C456" s="6" t="s">
        <v>3</v>
      </c>
      <c r="D456" s="6" t="s">
        <v>614</v>
      </c>
      <c r="E456" s="6" t="s">
        <v>622</v>
      </c>
      <c r="F456" s="6" t="s">
        <v>661</v>
      </c>
      <c r="G456" s="6" t="s">
        <v>662</v>
      </c>
      <c r="H456" s="6" t="s">
        <v>664</v>
      </c>
      <c r="I456" s="6" t="s">
        <v>680</v>
      </c>
      <c r="J456" s="6" t="s">
        <v>664</v>
      </c>
      <c r="K456" s="6"/>
      <c r="L456" s="6"/>
      <c r="M456" s="6"/>
      <c r="N456" s="6"/>
      <c r="O456" s="6"/>
      <c r="P456" s="6"/>
      <c r="Q456" s="6"/>
      <c r="R456" s="7" t="n">
        <f aca="false">COUNTIF('Label Map'!$D$2:$D$2000,A456)</f>
        <v>2</v>
      </c>
    </row>
    <row r="457" customFormat="false" ht="15" hidden="false" customHeight="false" outlineLevel="0" collapsed="false">
      <c r="A457" s="6" t="s">
        <v>681</v>
      </c>
      <c r="B457" s="6" t="s">
        <v>63</v>
      </c>
      <c r="C457" s="6" t="s">
        <v>3</v>
      </c>
      <c r="D457" s="6" t="s">
        <v>614</v>
      </c>
      <c r="E457" s="6" t="s">
        <v>622</v>
      </c>
      <c r="F457" s="6" t="s">
        <v>661</v>
      </c>
      <c r="G457" s="6" t="s">
        <v>662</v>
      </c>
      <c r="H457" s="6" t="s">
        <v>664</v>
      </c>
      <c r="I457" s="6" t="s">
        <v>681</v>
      </c>
      <c r="J457" s="6" t="s">
        <v>664</v>
      </c>
      <c r="K457" s="6"/>
      <c r="L457" s="6"/>
      <c r="M457" s="6"/>
      <c r="N457" s="6"/>
      <c r="O457" s="6"/>
      <c r="P457" s="6"/>
      <c r="Q457" s="6"/>
      <c r="R457" s="7" t="n">
        <f aca="false">COUNTIF('Label Map'!$D$2:$D$2000,A457)</f>
        <v>0</v>
      </c>
    </row>
    <row r="458" customFormat="false" ht="15" hidden="false" customHeight="false" outlineLevel="0" collapsed="false">
      <c r="A458" s="6" t="s">
        <v>682</v>
      </c>
      <c r="B458" s="6" t="s">
        <v>11</v>
      </c>
      <c r="C458" s="6" t="s">
        <v>3</v>
      </c>
      <c r="D458" s="6" t="s">
        <v>614</v>
      </c>
      <c r="E458" s="6" t="s">
        <v>622</v>
      </c>
      <c r="F458" s="6" t="s">
        <v>661</v>
      </c>
      <c r="G458" s="6" t="s">
        <v>662</v>
      </c>
      <c r="H458" s="6" t="s">
        <v>682</v>
      </c>
      <c r="I458" s="6"/>
      <c r="J458" s="6" t="s">
        <v>661</v>
      </c>
      <c r="K458" s="6"/>
      <c r="L458" s="6"/>
      <c r="M458" s="6"/>
      <c r="N458" s="6"/>
      <c r="O458" s="6"/>
      <c r="P458" s="6"/>
      <c r="Q458" s="6" t="s">
        <v>665</v>
      </c>
      <c r="R458" s="7" t="n">
        <f aca="false">COUNTIF('Label Map'!$D$2:$D$2000,A458)</f>
        <v>1</v>
      </c>
    </row>
    <row r="459" customFormat="false" ht="15" hidden="false" customHeight="false" outlineLevel="0" collapsed="false">
      <c r="A459" s="6" t="s">
        <v>683</v>
      </c>
      <c r="B459" s="6" t="s">
        <v>63</v>
      </c>
      <c r="C459" s="6" t="s">
        <v>3</v>
      </c>
      <c r="D459" s="6" t="s">
        <v>614</v>
      </c>
      <c r="E459" s="6" t="s">
        <v>622</v>
      </c>
      <c r="F459" s="6" t="s">
        <v>661</v>
      </c>
      <c r="G459" s="6" t="s">
        <v>662</v>
      </c>
      <c r="H459" s="6" t="s">
        <v>682</v>
      </c>
      <c r="I459" s="6" t="s">
        <v>683</v>
      </c>
      <c r="J459" s="6" t="s">
        <v>682</v>
      </c>
      <c r="K459" s="6"/>
      <c r="L459" s="6"/>
      <c r="M459" s="6"/>
      <c r="N459" s="6"/>
      <c r="O459" s="6"/>
      <c r="P459" s="6"/>
      <c r="Q459" s="6"/>
      <c r="R459" s="7" t="n">
        <f aca="false">COUNTIF('Label Map'!$D$2:$D$2000,A459)</f>
        <v>0</v>
      </c>
    </row>
    <row r="460" customFormat="false" ht="15" hidden="false" customHeight="false" outlineLevel="0" collapsed="false">
      <c r="A460" s="6" t="s">
        <v>684</v>
      </c>
      <c r="B460" s="6" t="s">
        <v>11</v>
      </c>
      <c r="C460" s="6" t="s">
        <v>3</v>
      </c>
      <c r="D460" s="6" t="s">
        <v>614</v>
      </c>
      <c r="E460" s="6" t="s">
        <v>622</v>
      </c>
      <c r="F460" s="6" t="s">
        <v>661</v>
      </c>
      <c r="G460" s="6" t="s">
        <v>662</v>
      </c>
      <c r="H460" s="6" t="s">
        <v>684</v>
      </c>
      <c r="I460" s="6"/>
      <c r="J460" s="6" t="s">
        <v>661</v>
      </c>
      <c r="K460" s="6"/>
      <c r="L460" s="6"/>
      <c r="M460" s="6"/>
      <c r="N460" s="6"/>
      <c r="O460" s="6"/>
      <c r="P460" s="6"/>
      <c r="Q460" s="6" t="s">
        <v>665</v>
      </c>
      <c r="R460" s="7" t="n">
        <f aca="false">COUNTIF('Label Map'!$D$2:$D$2000,A460)</f>
        <v>1</v>
      </c>
    </row>
    <row r="461" customFormat="false" ht="15" hidden="false" customHeight="false" outlineLevel="0" collapsed="false">
      <c r="A461" s="6" t="s">
        <v>685</v>
      </c>
      <c r="B461" s="6" t="s">
        <v>63</v>
      </c>
      <c r="C461" s="6" t="s">
        <v>3</v>
      </c>
      <c r="D461" s="6" t="s">
        <v>614</v>
      </c>
      <c r="E461" s="6" t="s">
        <v>622</v>
      </c>
      <c r="F461" s="6" t="s">
        <v>661</v>
      </c>
      <c r="G461" s="6" t="s">
        <v>662</v>
      </c>
      <c r="H461" s="6" t="s">
        <v>684</v>
      </c>
      <c r="I461" s="6" t="s">
        <v>685</v>
      </c>
      <c r="J461" s="6" t="s">
        <v>684</v>
      </c>
      <c r="K461" s="6"/>
      <c r="L461" s="6"/>
      <c r="M461" s="6"/>
      <c r="N461" s="6"/>
      <c r="O461" s="6"/>
      <c r="P461" s="6"/>
      <c r="Q461" s="6"/>
      <c r="R461" s="7" t="n">
        <f aca="false">COUNTIF('Label Map'!$D$2:$D$2000,A461)</f>
        <v>0</v>
      </c>
    </row>
    <row r="462" customFormat="false" ht="15" hidden="false" customHeight="false" outlineLevel="0" collapsed="false">
      <c r="A462" s="6" t="s">
        <v>686</v>
      </c>
      <c r="B462" s="6" t="s">
        <v>63</v>
      </c>
      <c r="C462" s="6" t="s">
        <v>3</v>
      </c>
      <c r="D462" s="6" t="s">
        <v>614</v>
      </c>
      <c r="E462" s="6" t="s">
        <v>622</v>
      </c>
      <c r="F462" s="6" t="s">
        <v>661</v>
      </c>
      <c r="G462" s="6" t="s">
        <v>662</v>
      </c>
      <c r="H462" s="6" t="s">
        <v>684</v>
      </c>
      <c r="I462" s="6" t="s">
        <v>686</v>
      </c>
      <c r="J462" s="6" t="s">
        <v>684</v>
      </c>
      <c r="K462" s="6"/>
      <c r="L462" s="6"/>
      <c r="M462" s="6"/>
      <c r="N462" s="6"/>
      <c r="O462" s="6"/>
      <c r="P462" s="6"/>
      <c r="Q462" s="6"/>
      <c r="R462" s="7" t="n">
        <f aca="false">COUNTIF('Label Map'!$D$2:$D$2000,A462)</f>
        <v>0</v>
      </c>
    </row>
    <row r="463" customFormat="false" ht="15" hidden="false" customHeight="false" outlineLevel="0" collapsed="false">
      <c r="A463" s="6" t="s">
        <v>687</v>
      </c>
      <c r="B463" s="6" t="s">
        <v>11</v>
      </c>
      <c r="C463" s="6" t="s">
        <v>3</v>
      </c>
      <c r="D463" s="6" t="s">
        <v>614</v>
      </c>
      <c r="E463" s="6" t="s">
        <v>622</v>
      </c>
      <c r="F463" s="6" t="s">
        <v>661</v>
      </c>
      <c r="G463" s="6" t="s">
        <v>662</v>
      </c>
      <c r="H463" s="6" t="s">
        <v>687</v>
      </c>
      <c r="I463" s="6"/>
      <c r="J463" s="6" t="s">
        <v>661</v>
      </c>
      <c r="K463" s="6"/>
      <c r="L463" s="6"/>
      <c r="M463" s="6"/>
      <c r="N463" s="6"/>
      <c r="O463" s="6"/>
      <c r="P463" s="6"/>
      <c r="Q463" s="6" t="s">
        <v>665</v>
      </c>
      <c r="R463" s="7" t="n">
        <f aca="false">COUNTIF('Label Map'!$D$2:$D$2000,A463)</f>
        <v>1</v>
      </c>
    </row>
    <row r="464" customFormat="false" ht="15" hidden="false" customHeight="false" outlineLevel="0" collapsed="false">
      <c r="A464" s="6" t="s">
        <v>688</v>
      </c>
      <c r="B464" s="6" t="s">
        <v>63</v>
      </c>
      <c r="C464" s="6" t="s">
        <v>3</v>
      </c>
      <c r="D464" s="6" t="s">
        <v>614</v>
      </c>
      <c r="E464" s="6" t="s">
        <v>622</v>
      </c>
      <c r="F464" s="6" t="s">
        <v>661</v>
      </c>
      <c r="G464" s="6" t="s">
        <v>662</v>
      </c>
      <c r="H464" s="6" t="s">
        <v>687</v>
      </c>
      <c r="I464" s="6" t="s">
        <v>688</v>
      </c>
      <c r="J464" s="6" t="s">
        <v>687</v>
      </c>
      <c r="K464" s="6"/>
      <c r="L464" s="6"/>
      <c r="M464" s="6"/>
      <c r="N464" s="6"/>
      <c r="O464" s="6"/>
      <c r="P464" s="6"/>
      <c r="Q464" s="6"/>
      <c r="R464" s="7" t="n">
        <f aca="false">COUNTIF('Label Map'!$D$2:$D$2000,A464)</f>
        <v>0</v>
      </c>
    </row>
    <row r="465" customFormat="false" ht="15" hidden="false" customHeight="false" outlineLevel="0" collapsed="false">
      <c r="A465" s="6" t="s">
        <v>689</v>
      </c>
      <c r="B465" s="6" t="s">
        <v>9</v>
      </c>
      <c r="C465" s="6" t="s">
        <v>3</v>
      </c>
      <c r="D465" s="6" t="s">
        <v>614</v>
      </c>
      <c r="E465" s="6" t="s">
        <v>622</v>
      </c>
      <c r="F465" s="6" t="s">
        <v>689</v>
      </c>
      <c r="G465" s="6" t="s">
        <v>690</v>
      </c>
      <c r="H465" s="6"/>
      <c r="I465" s="6"/>
      <c r="J465" s="6" t="s">
        <v>622</v>
      </c>
      <c r="K465" s="6" t="s">
        <v>691</v>
      </c>
      <c r="L465" s="6" t="s">
        <v>622</v>
      </c>
      <c r="M465" s="6" t="s">
        <v>629</v>
      </c>
      <c r="N465" s="6"/>
      <c r="O465" s="6" t="s">
        <v>308</v>
      </c>
      <c r="P465" s="6" t="s">
        <v>87</v>
      </c>
      <c r="Q465" s="6"/>
      <c r="R465" s="7" t="n">
        <f aca="false">COUNTIF('Label Map'!$D$2:$D$2000,A465)</f>
        <v>5</v>
      </c>
    </row>
    <row r="466" customFormat="false" ht="15" hidden="false" customHeight="false" outlineLevel="0" collapsed="false">
      <c r="A466" s="6" t="s">
        <v>692</v>
      </c>
      <c r="B466" s="6" t="s">
        <v>11</v>
      </c>
      <c r="C466" s="6" t="s">
        <v>3</v>
      </c>
      <c r="D466" s="6" t="s">
        <v>614</v>
      </c>
      <c r="E466" s="6" t="s">
        <v>622</v>
      </c>
      <c r="F466" s="6" t="s">
        <v>689</v>
      </c>
      <c r="G466" s="6" t="s">
        <v>690</v>
      </c>
      <c r="H466" s="6" t="s">
        <v>692</v>
      </c>
      <c r="I466" s="6"/>
      <c r="J466" s="6" t="s">
        <v>689</v>
      </c>
      <c r="K466" s="6"/>
      <c r="L466" s="6"/>
      <c r="M466" s="6"/>
      <c r="N466" s="6"/>
      <c r="O466" s="6"/>
      <c r="P466" s="6"/>
      <c r="Q466" s="6" t="s">
        <v>693</v>
      </c>
      <c r="R466" s="7" t="n">
        <f aca="false">COUNTIF('Label Map'!$D$2:$D$2000,A466)</f>
        <v>1</v>
      </c>
    </row>
    <row r="467" customFormat="false" ht="15" hidden="false" customHeight="false" outlineLevel="0" collapsed="false">
      <c r="A467" s="6" t="s">
        <v>694</v>
      </c>
      <c r="B467" s="6" t="s">
        <v>63</v>
      </c>
      <c r="C467" s="6" t="s">
        <v>3</v>
      </c>
      <c r="D467" s="6" t="s">
        <v>614</v>
      </c>
      <c r="E467" s="6" t="s">
        <v>622</v>
      </c>
      <c r="F467" s="6" t="s">
        <v>689</v>
      </c>
      <c r="G467" s="6" t="s">
        <v>690</v>
      </c>
      <c r="H467" s="6" t="s">
        <v>692</v>
      </c>
      <c r="I467" s="6" t="s">
        <v>694</v>
      </c>
      <c r="J467" s="6" t="s">
        <v>692</v>
      </c>
      <c r="K467" s="6"/>
      <c r="L467" s="6"/>
      <c r="M467" s="6"/>
      <c r="N467" s="6"/>
      <c r="O467" s="6"/>
      <c r="P467" s="6"/>
      <c r="Q467" s="6"/>
      <c r="R467" s="7" t="n">
        <f aca="false">COUNTIF('Label Map'!$D$2:$D$2000,A467)</f>
        <v>0</v>
      </c>
    </row>
    <row r="468" customFormat="false" ht="15" hidden="false" customHeight="false" outlineLevel="0" collapsed="false">
      <c r="A468" s="6" t="s">
        <v>695</v>
      </c>
      <c r="B468" s="6" t="s">
        <v>11</v>
      </c>
      <c r="C468" s="6" t="s">
        <v>3</v>
      </c>
      <c r="D468" s="6" t="s">
        <v>614</v>
      </c>
      <c r="E468" s="6" t="s">
        <v>622</v>
      </c>
      <c r="F468" s="6" t="s">
        <v>689</v>
      </c>
      <c r="G468" s="6" t="s">
        <v>690</v>
      </c>
      <c r="H468" s="6" t="s">
        <v>695</v>
      </c>
      <c r="I468" s="6"/>
      <c r="J468" s="6" t="s">
        <v>689</v>
      </c>
      <c r="K468" s="6"/>
      <c r="L468" s="6"/>
      <c r="M468" s="6"/>
      <c r="N468" s="6"/>
      <c r="O468" s="6"/>
      <c r="P468" s="6"/>
      <c r="Q468" s="6" t="s">
        <v>693</v>
      </c>
      <c r="R468" s="7" t="n">
        <f aca="false">COUNTIF('Label Map'!$D$2:$D$2000,A468)</f>
        <v>2</v>
      </c>
    </row>
    <row r="469" customFormat="false" ht="15" hidden="false" customHeight="false" outlineLevel="0" collapsed="false">
      <c r="A469" s="6" t="s">
        <v>696</v>
      </c>
      <c r="B469" s="6" t="s">
        <v>63</v>
      </c>
      <c r="C469" s="6" t="s">
        <v>3</v>
      </c>
      <c r="D469" s="6" t="s">
        <v>614</v>
      </c>
      <c r="E469" s="6" t="s">
        <v>622</v>
      </c>
      <c r="F469" s="6" t="s">
        <v>689</v>
      </c>
      <c r="G469" s="6" t="s">
        <v>690</v>
      </c>
      <c r="H469" s="6" t="s">
        <v>695</v>
      </c>
      <c r="I469" s="6" t="s">
        <v>696</v>
      </c>
      <c r="J469" s="6" t="s">
        <v>695</v>
      </c>
      <c r="K469" s="6"/>
      <c r="L469" s="6"/>
      <c r="M469" s="6"/>
      <c r="N469" s="6"/>
      <c r="O469" s="6"/>
      <c r="P469" s="6"/>
      <c r="Q469" s="6"/>
      <c r="R469" s="7" t="n">
        <f aca="false">COUNTIF('Label Map'!$D$2:$D$2000,A469)</f>
        <v>2</v>
      </c>
    </row>
    <row r="470" customFormat="false" ht="15" hidden="false" customHeight="false" outlineLevel="0" collapsed="false">
      <c r="A470" s="6" t="s">
        <v>697</v>
      </c>
      <c r="B470" s="6" t="s">
        <v>11</v>
      </c>
      <c r="C470" s="6" t="s">
        <v>3</v>
      </c>
      <c r="D470" s="6" t="s">
        <v>614</v>
      </c>
      <c r="E470" s="6" t="s">
        <v>622</v>
      </c>
      <c r="F470" s="6" t="s">
        <v>689</v>
      </c>
      <c r="G470" s="6" t="s">
        <v>690</v>
      </c>
      <c r="H470" s="6" t="s">
        <v>697</v>
      </c>
      <c r="I470" s="6"/>
      <c r="J470" s="6" t="s">
        <v>689</v>
      </c>
      <c r="K470" s="6"/>
      <c r="L470" s="6"/>
      <c r="M470" s="6"/>
      <c r="N470" s="6"/>
      <c r="O470" s="6"/>
      <c r="P470" s="6"/>
      <c r="Q470" s="6" t="s">
        <v>693</v>
      </c>
      <c r="R470" s="7" t="n">
        <f aca="false">COUNTIF('Label Map'!$D$2:$D$2000,A470)</f>
        <v>1</v>
      </c>
    </row>
    <row r="471" customFormat="false" ht="15" hidden="false" customHeight="false" outlineLevel="0" collapsed="false">
      <c r="A471" s="6" t="s">
        <v>698</v>
      </c>
      <c r="B471" s="6" t="s">
        <v>11</v>
      </c>
      <c r="C471" s="6" t="s">
        <v>3</v>
      </c>
      <c r="D471" s="6" t="s">
        <v>614</v>
      </c>
      <c r="E471" s="6" t="s">
        <v>622</v>
      </c>
      <c r="F471" s="6" t="s">
        <v>689</v>
      </c>
      <c r="G471" s="6" t="s">
        <v>690</v>
      </c>
      <c r="H471" s="6" t="s">
        <v>698</v>
      </c>
      <c r="I471" s="6"/>
      <c r="J471" s="6" t="s">
        <v>689</v>
      </c>
      <c r="K471" s="6"/>
      <c r="L471" s="6"/>
      <c r="M471" s="6"/>
      <c r="N471" s="6"/>
      <c r="O471" s="6"/>
      <c r="P471" s="6"/>
      <c r="Q471" s="6" t="s">
        <v>693</v>
      </c>
      <c r="R471" s="7" t="n">
        <f aca="false">COUNTIF('Label Map'!$D$2:$D$2000,A471)</f>
        <v>1</v>
      </c>
    </row>
    <row r="472" customFormat="false" ht="15" hidden="false" customHeight="false" outlineLevel="0" collapsed="false">
      <c r="A472" s="6" t="s">
        <v>699</v>
      </c>
      <c r="B472" s="6" t="s">
        <v>11</v>
      </c>
      <c r="C472" s="6" t="s">
        <v>3</v>
      </c>
      <c r="D472" s="6" t="s">
        <v>614</v>
      </c>
      <c r="E472" s="6" t="s">
        <v>622</v>
      </c>
      <c r="F472" s="6" t="s">
        <v>689</v>
      </c>
      <c r="G472" s="6" t="s">
        <v>690</v>
      </c>
      <c r="H472" s="6" t="s">
        <v>699</v>
      </c>
      <c r="I472" s="6"/>
      <c r="J472" s="6" t="s">
        <v>689</v>
      </c>
      <c r="K472" s="6"/>
      <c r="L472" s="6"/>
      <c r="M472" s="6"/>
      <c r="N472" s="6"/>
      <c r="O472" s="6"/>
      <c r="P472" s="6"/>
      <c r="Q472" s="6" t="s">
        <v>693</v>
      </c>
      <c r="R472" s="7" t="n">
        <f aca="false">COUNTIF('Label Map'!$D$2:$D$2000,A472)</f>
        <v>1</v>
      </c>
    </row>
    <row r="473" customFormat="false" ht="15" hidden="false" customHeight="false" outlineLevel="0" collapsed="false">
      <c r="A473" s="6" t="s">
        <v>700</v>
      </c>
      <c r="B473" s="6" t="s">
        <v>11</v>
      </c>
      <c r="C473" s="6" t="s">
        <v>3</v>
      </c>
      <c r="D473" s="6" t="s">
        <v>614</v>
      </c>
      <c r="E473" s="6" t="s">
        <v>622</v>
      </c>
      <c r="F473" s="6" t="s">
        <v>689</v>
      </c>
      <c r="G473" s="6" t="s">
        <v>690</v>
      </c>
      <c r="H473" s="6" t="s">
        <v>700</v>
      </c>
      <c r="I473" s="6"/>
      <c r="J473" s="6" t="s">
        <v>689</v>
      </c>
      <c r="K473" s="6"/>
      <c r="L473" s="6"/>
      <c r="M473" s="6"/>
      <c r="N473" s="6"/>
      <c r="O473" s="6"/>
      <c r="P473" s="6"/>
      <c r="Q473" s="6" t="s">
        <v>693</v>
      </c>
      <c r="R473" s="7" t="n">
        <f aca="false">COUNTIF('Label Map'!$D$2:$D$2000,A473)</f>
        <v>1</v>
      </c>
    </row>
    <row r="474" customFormat="false" ht="15" hidden="false" customHeight="false" outlineLevel="0" collapsed="false">
      <c r="A474" s="6" t="s">
        <v>701</v>
      </c>
      <c r="B474" s="6" t="s">
        <v>11</v>
      </c>
      <c r="C474" s="6" t="s">
        <v>3</v>
      </c>
      <c r="D474" s="6" t="s">
        <v>614</v>
      </c>
      <c r="E474" s="6" t="s">
        <v>622</v>
      </c>
      <c r="F474" s="6" t="s">
        <v>689</v>
      </c>
      <c r="G474" s="6" t="s">
        <v>690</v>
      </c>
      <c r="H474" s="6" t="s">
        <v>701</v>
      </c>
      <c r="I474" s="6"/>
      <c r="J474" s="6" t="s">
        <v>689</v>
      </c>
      <c r="K474" s="6"/>
      <c r="L474" s="6"/>
      <c r="M474" s="6"/>
      <c r="N474" s="6"/>
      <c r="O474" s="6"/>
      <c r="P474" s="6"/>
      <c r="Q474" s="6" t="s">
        <v>693</v>
      </c>
      <c r="R474" s="7" t="n">
        <f aca="false">COUNTIF('Label Map'!$D$2:$D$2000,A474)</f>
        <v>2</v>
      </c>
    </row>
    <row r="475" customFormat="false" ht="15" hidden="false" customHeight="false" outlineLevel="0" collapsed="false">
      <c r="A475" s="6" t="s">
        <v>702</v>
      </c>
      <c r="B475" s="6" t="s">
        <v>63</v>
      </c>
      <c r="C475" s="6" t="s">
        <v>3</v>
      </c>
      <c r="D475" s="6" t="s">
        <v>614</v>
      </c>
      <c r="E475" s="6" t="s">
        <v>622</v>
      </c>
      <c r="F475" s="6" t="s">
        <v>689</v>
      </c>
      <c r="G475" s="6" t="s">
        <v>690</v>
      </c>
      <c r="H475" s="6" t="s">
        <v>701</v>
      </c>
      <c r="I475" s="6" t="s">
        <v>702</v>
      </c>
      <c r="J475" s="6" t="s">
        <v>701</v>
      </c>
      <c r="K475" s="6"/>
      <c r="L475" s="6"/>
      <c r="M475" s="6"/>
      <c r="N475" s="6"/>
      <c r="O475" s="6"/>
      <c r="P475" s="6"/>
      <c r="Q475" s="6"/>
      <c r="R475" s="7" t="n">
        <f aca="false">COUNTIF('Label Map'!$D$2:$D$2000,A475)</f>
        <v>0</v>
      </c>
    </row>
    <row r="476" customFormat="false" ht="15" hidden="false" customHeight="false" outlineLevel="0" collapsed="false">
      <c r="A476" s="6" t="s">
        <v>703</v>
      </c>
      <c r="B476" s="6" t="s">
        <v>11</v>
      </c>
      <c r="C476" s="6" t="s">
        <v>3</v>
      </c>
      <c r="D476" s="6" t="s">
        <v>614</v>
      </c>
      <c r="E476" s="6" t="s">
        <v>622</v>
      </c>
      <c r="F476" s="6" t="s">
        <v>689</v>
      </c>
      <c r="G476" s="6" t="s">
        <v>690</v>
      </c>
      <c r="H476" s="6" t="s">
        <v>703</v>
      </c>
      <c r="I476" s="6"/>
      <c r="J476" s="6" t="s">
        <v>689</v>
      </c>
      <c r="K476" s="6"/>
      <c r="L476" s="6"/>
      <c r="M476" s="6"/>
      <c r="N476" s="6"/>
      <c r="O476" s="6"/>
      <c r="P476" s="6"/>
      <c r="Q476" s="6" t="s">
        <v>693</v>
      </c>
      <c r="R476" s="7" t="n">
        <f aca="false">COUNTIF('Label Map'!$D$2:$D$2000,A476)</f>
        <v>2</v>
      </c>
    </row>
    <row r="477" customFormat="false" ht="15" hidden="false" customHeight="false" outlineLevel="0" collapsed="false">
      <c r="A477" s="6" t="s">
        <v>704</v>
      </c>
      <c r="B477" s="6" t="s">
        <v>11</v>
      </c>
      <c r="C477" s="6" t="s">
        <v>3</v>
      </c>
      <c r="D477" s="6" t="s">
        <v>614</v>
      </c>
      <c r="E477" s="6" t="s">
        <v>622</v>
      </c>
      <c r="F477" s="6" t="s">
        <v>689</v>
      </c>
      <c r="G477" s="6" t="s">
        <v>690</v>
      </c>
      <c r="H477" s="6" t="s">
        <v>704</v>
      </c>
      <c r="I477" s="6"/>
      <c r="J477" s="6" t="s">
        <v>689</v>
      </c>
      <c r="K477" s="6"/>
      <c r="L477" s="6"/>
      <c r="M477" s="6"/>
      <c r="N477" s="6"/>
      <c r="O477" s="6"/>
      <c r="P477" s="6"/>
      <c r="Q477" s="6" t="s">
        <v>693</v>
      </c>
      <c r="R477" s="7" t="n">
        <f aca="false">COUNTIF('Label Map'!$D$2:$D$2000,A477)</f>
        <v>2</v>
      </c>
    </row>
    <row r="478" customFormat="false" ht="15" hidden="false" customHeight="false" outlineLevel="0" collapsed="false">
      <c r="A478" s="6" t="s">
        <v>705</v>
      </c>
      <c r="B478" s="6" t="s">
        <v>11</v>
      </c>
      <c r="C478" s="6" t="s">
        <v>3</v>
      </c>
      <c r="D478" s="6" t="s">
        <v>614</v>
      </c>
      <c r="E478" s="6" t="s">
        <v>622</v>
      </c>
      <c r="F478" s="6" t="s">
        <v>689</v>
      </c>
      <c r="G478" s="6" t="s">
        <v>690</v>
      </c>
      <c r="H478" s="6" t="s">
        <v>705</v>
      </c>
      <c r="I478" s="6"/>
      <c r="J478" s="6" t="s">
        <v>689</v>
      </c>
      <c r="K478" s="6"/>
      <c r="L478" s="6"/>
      <c r="M478" s="6"/>
      <c r="N478" s="6"/>
      <c r="O478" s="6"/>
      <c r="P478" s="6"/>
      <c r="Q478" s="6" t="s">
        <v>693</v>
      </c>
      <c r="R478" s="7" t="n">
        <f aca="false">COUNTIF('Label Map'!$D$2:$D$2000,A478)</f>
        <v>2</v>
      </c>
    </row>
    <row r="479" customFormat="false" ht="15" hidden="false" customHeight="false" outlineLevel="0" collapsed="false">
      <c r="A479" s="6" t="s">
        <v>706</v>
      </c>
      <c r="B479" s="6" t="s">
        <v>63</v>
      </c>
      <c r="C479" s="6" t="s">
        <v>3</v>
      </c>
      <c r="D479" s="6" t="s">
        <v>614</v>
      </c>
      <c r="E479" s="6" t="s">
        <v>622</v>
      </c>
      <c r="F479" s="6" t="s">
        <v>689</v>
      </c>
      <c r="G479" s="6" t="s">
        <v>690</v>
      </c>
      <c r="H479" s="6" t="s">
        <v>705</v>
      </c>
      <c r="I479" s="6" t="s">
        <v>706</v>
      </c>
      <c r="J479" s="6" t="s">
        <v>705</v>
      </c>
      <c r="K479" s="6"/>
      <c r="L479" s="6"/>
      <c r="M479" s="6"/>
      <c r="N479" s="6"/>
      <c r="O479" s="6"/>
      <c r="P479" s="6"/>
      <c r="Q479" s="6"/>
      <c r="R479" s="7" t="n">
        <f aca="false">COUNTIF('Label Map'!$D$2:$D$2000,A479)</f>
        <v>0</v>
      </c>
    </row>
    <row r="480" customFormat="false" ht="15" hidden="false" customHeight="false" outlineLevel="0" collapsed="false">
      <c r="A480" s="6" t="s">
        <v>707</v>
      </c>
      <c r="B480" s="6" t="s">
        <v>63</v>
      </c>
      <c r="C480" s="6" t="s">
        <v>3</v>
      </c>
      <c r="D480" s="6" t="s">
        <v>614</v>
      </c>
      <c r="E480" s="6" t="s">
        <v>622</v>
      </c>
      <c r="F480" s="6" t="s">
        <v>689</v>
      </c>
      <c r="G480" s="6" t="s">
        <v>690</v>
      </c>
      <c r="H480" s="6" t="s">
        <v>705</v>
      </c>
      <c r="I480" s="6" t="s">
        <v>707</v>
      </c>
      <c r="J480" s="6" t="s">
        <v>705</v>
      </c>
      <c r="K480" s="6"/>
      <c r="L480" s="6"/>
      <c r="M480" s="6"/>
      <c r="N480" s="6"/>
      <c r="O480" s="6"/>
      <c r="P480" s="6"/>
      <c r="Q480" s="6"/>
      <c r="R480" s="7" t="n">
        <f aca="false">COUNTIF('Label Map'!$D$2:$D$2000,A480)</f>
        <v>0</v>
      </c>
    </row>
    <row r="481" customFormat="false" ht="15" hidden="false" customHeight="false" outlineLevel="0" collapsed="false">
      <c r="A481" s="6" t="s">
        <v>708</v>
      </c>
      <c r="B481" s="6" t="s">
        <v>11</v>
      </c>
      <c r="C481" s="6" t="s">
        <v>3</v>
      </c>
      <c r="D481" s="6" t="s">
        <v>614</v>
      </c>
      <c r="E481" s="6" t="s">
        <v>622</v>
      </c>
      <c r="F481" s="6" t="s">
        <v>689</v>
      </c>
      <c r="G481" s="6" t="s">
        <v>690</v>
      </c>
      <c r="H481" s="6" t="s">
        <v>708</v>
      </c>
      <c r="I481" s="6"/>
      <c r="J481" s="6" t="s">
        <v>689</v>
      </c>
      <c r="K481" s="6"/>
      <c r="L481" s="6"/>
      <c r="M481" s="6"/>
      <c r="N481" s="6"/>
      <c r="O481" s="6"/>
      <c r="P481" s="6"/>
      <c r="Q481" s="6" t="s">
        <v>693</v>
      </c>
      <c r="R481" s="7" t="n">
        <f aca="false">COUNTIF('Label Map'!$D$2:$D$2000,A481)</f>
        <v>2</v>
      </c>
    </row>
    <row r="482" customFormat="false" ht="15" hidden="false" customHeight="false" outlineLevel="0" collapsed="false">
      <c r="A482" s="6" t="s">
        <v>709</v>
      </c>
      <c r="B482" s="6" t="s">
        <v>11</v>
      </c>
      <c r="C482" s="6" t="s">
        <v>3</v>
      </c>
      <c r="D482" s="6" t="s">
        <v>614</v>
      </c>
      <c r="E482" s="6" t="s">
        <v>622</v>
      </c>
      <c r="F482" s="6" t="s">
        <v>689</v>
      </c>
      <c r="G482" s="6" t="s">
        <v>690</v>
      </c>
      <c r="H482" s="6" t="s">
        <v>709</v>
      </c>
      <c r="I482" s="6"/>
      <c r="J482" s="6" t="s">
        <v>689</v>
      </c>
      <c r="K482" s="6"/>
      <c r="L482" s="6"/>
      <c r="M482" s="6"/>
      <c r="N482" s="6"/>
      <c r="O482" s="6"/>
      <c r="P482" s="6"/>
      <c r="Q482" s="6" t="s">
        <v>693</v>
      </c>
      <c r="R482" s="7" t="n">
        <f aca="false">COUNTIF('Label Map'!$D$2:$D$2000,A482)</f>
        <v>1</v>
      </c>
    </row>
    <row r="483" customFormat="false" ht="15" hidden="false" customHeight="false" outlineLevel="0" collapsed="false">
      <c r="A483" s="6" t="s">
        <v>710</v>
      </c>
      <c r="B483" s="6" t="s">
        <v>11</v>
      </c>
      <c r="C483" s="6" t="s">
        <v>3</v>
      </c>
      <c r="D483" s="6" t="s">
        <v>614</v>
      </c>
      <c r="E483" s="6" t="s">
        <v>622</v>
      </c>
      <c r="F483" s="6" t="s">
        <v>689</v>
      </c>
      <c r="G483" s="6" t="s">
        <v>690</v>
      </c>
      <c r="H483" s="6" t="s">
        <v>710</v>
      </c>
      <c r="I483" s="6"/>
      <c r="J483" s="6" t="s">
        <v>689</v>
      </c>
      <c r="K483" s="6"/>
      <c r="L483" s="6"/>
      <c r="M483" s="6"/>
      <c r="N483" s="6"/>
      <c r="O483" s="6"/>
      <c r="P483" s="6"/>
      <c r="Q483" s="6" t="s">
        <v>693</v>
      </c>
      <c r="R483" s="7" t="n">
        <f aca="false">COUNTIF('Label Map'!$D$2:$D$2000,A483)</f>
        <v>2</v>
      </c>
    </row>
    <row r="484" customFormat="false" ht="15" hidden="false" customHeight="false" outlineLevel="0" collapsed="false">
      <c r="A484" s="6" t="s">
        <v>711</v>
      </c>
      <c r="B484" s="6" t="s">
        <v>11</v>
      </c>
      <c r="C484" s="6" t="s">
        <v>3</v>
      </c>
      <c r="D484" s="6" t="s">
        <v>614</v>
      </c>
      <c r="E484" s="6" t="s">
        <v>622</v>
      </c>
      <c r="F484" s="6" t="s">
        <v>689</v>
      </c>
      <c r="G484" s="6" t="s">
        <v>690</v>
      </c>
      <c r="H484" s="6" t="s">
        <v>711</v>
      </c>
      <c r="I484" s="6"/>
      <c r="J484" s="6" t="s">
        <v>689</v>
      </c>
      <c r="K484" s="6"/>
      <c r="L484" s="6"/>
      <c r="M484" s="6"/>
      <c r="N484" s="6"/>
      <c r="O484" s="6"/>
      <c r="P484" s="6"/>
      <c r="Q484" s="6" t="s">
        <v>693</v>
      </c>
      <c r="R484" s="7" t="n">
        <f aca="false">COUNTIF('Label Map'!$D$2:$D$2000,A484)</f>
        <v>2</v>
      </c>
    </row>
    <row r="485" customFormat="false" ht="15" hidden="false" customHeight="false" outlineLevel="0" collapsed="false">
      <c r="A485" s="6" t="s">
        <v>712</v>
      </c>
      <c r="B485" s="6" t="s">
        <v>11</v>
      </c>
      <c r="C485" s="6" t="s">
        <v>3</v>
      </c>
      <c r="D485" s="6" t="s">
        <v>614</v>
      </c>
      <c r="E485" s="6" t="s">
        <v>622</v>
      </c>
      <c r="F485" s="6" t="s">
        <v>689</v>
      </c>
      <c r="G485" s="6" t="s">
        <v>690</v>
      </c>
      <c r="H485" s="6" t="s">
        <v>712</v>
      </c>
      <c r="I485" s="6"/>
      <c r="J485" s="6" t="s">
        <v>689</v>
      </c>
      <c r="K485" s="6"/>
      <c r="L485" s="6"/>
      <c r="M485" s="6"/>
      <c r="N485" s="6"/>
      <c r="O485" s="6"/>
      <c r="P485" s="6"/>
      <c r="Q485" s="6" t="s">
        <v>693</v>
      </c>
      <c r="R485" s="7" t="n">
        <f aca="false">COUNTIF('Label Map'!$D$2:$D$2000,A485)</f>
        <v>1</v>
      </c>
    </row>
    <row r="486" customFormat="false" ht="15" hidden="false" customHeight="false" outlineLevel="0" collapsed="false">
      <c r="A486" s="6" t="s">
        <v>713</v>
      </c>
      <c r="B486" s="6" t="s">
        <v>11</v>
      </c>
      <c r="C486" s="6" t="s">
        <v>3</v>
      </c>
      <c r="D486" s="6" t="s">
        <v>614</v>
      </c>
      <c r="E486" s="6" t="s">
        <v>622</v>
      </c>
      <c r="F486" s="6" t="s">
        <v>689</v>
      </c>
      <c r="G486" s="6" t="s">
        <v>690</v>
      </c>
      <c r="H486" s="6" t="s">
        <v>713</v>
      </c>
      <c r="I486" s="6"/>
      <c r="J486" s="6" t="s">
        <v>689</v>
      </c>
      <c r="K486" s="6"/>
      <c r="L486" s="6"/>
      <c r="M486" s="6"/>
      <c r="N486" s="6"/>
      <c r="O486" s="6"/>
      <c r="P486" s="6"/>
      <c r="Q486" s="6" t="s">
        <v>693</v>
      </c>
      <c r="R486" s="7" t="n">
        <f aca="false">COUNTIF('Label Map'!$D$2:$D$2000,A486)</f>
        <v>2</v>
      </c>
    </row>
    <row r="487" customFormat="false" ht="15" hidden="false" customHeight="false" outlineLevel="0" collapsed="false">
      <c r="A487" s="6" t="s">
        <v>714</v>
      </c>
      <c r="B487" s="6" t="s">
        <v>9</v>
      </c>
      <c r="C487" s="6" t="s">
        <v>3</v>
      </c>
      <c r="D487" s="6" t="s">
        <v>614</v>
      </c>
      <c r="E487" s="6" t="s">
        <v>622</v>
      </c>
      <c r="F487" s="6" t="s">
        <v>714</v>
      </c>
      <c r="G487" s="6" t="s">
        <v>715</v>
      </c>
      <c r="H487" s="6"/>
      <c r="I487" s="6"/>
      <c r="J487" s="6" t="s">
        <v>622</v>
      </c>
      <c r="K487" s="6" t="s">
        <v>716</v>
      </c>
      <c r="L487" s="6" t="s">
        <v>622</v>
      </c>
      <c r="M487" s="6" t="s">
        <v>629</v>
      </c>
      <c r="N487" s="6"/>
      <c r="O487" s="6" t="s">
        <v>308</v>
      </c>
      <c r="P487" s="6" t="s">
        <v>87</v>
      </c>
      <c r="Q487" s="6"/>
      <c r="R487" s="7" t="n">
        <f aca="false">COUNTIF('Label Map'!$D$2:$D$2000,A487)</f>
        <v>4</v>
      </c>
    </row>
    <row r="488" customFormat="false" ht="15" hidden="false" customHeight="false" outlineLevel="0" collapsed="false">
      <c r="A488" s="6" t="s">
        <v>717</v>
      </c>
      <c r="B488" s="6" t="s">
        <v>11</v>
      </c>
      <c r="C488" s="6" t="s">
        <v>3</v>
      </c>
      <c r="D488" s="6" t="s">
        <v>614</v>
      </c>
      <c r="E488" s="6" t="s">
        <v>622</v>
      </c>
      <c r="F488" s="6" t="s">
        <v>714</v>
      </c>
      <c r="G488" s="6" t="s">
        <v>715</v>
      </c>
      <c r="H488" s="6" t="s">
        <v>717</v>
      </c>
      <c r="I488" s="6"/>
      <c r="J488" s="6" t="s">
        <v>714</v>
      </c>
      <c r="K488" s="6"/>
      <c r="L488" s="6"/>
      <c r="M488" s="6"/>
      <c r="N488" s="6"/>
      <c r="O488" s="6"/>
      <c r="P488" s="6"/>
      <c r="Q488" s="6" t="s">
        <v>718</v>
      </c>
      <c r="R488" s="7" t="n">
        <f aca="false">COUNTIF('Label Map'!$D$2:$D$2000,A488)</f>
        <v>1</v>
      </c>
    </row>
    <row r="489" customFormat="false" ht="15" hidden="false" customHeight="false" outlineLevel="0" collapsed="false">
      <c r="A489" s="6" t="s">
        <v>719</v>
      </c>
      <c r="B489" s="6" t="s">
        <v>63</v>
      </c>
      <c r="C489" s="6" t="s">
        <v>3</v>
      </c>
      <c r="D489" s="6" t="s">
        <v>614</v>
      </c>
      <c r="E489" s="6" t="s">
        <v>622</v>
      </c>
      <c r="F489" s="6" t="s">
        <v>714</v>
      </c>
      <c r="G489" s="6" t="s">
        <v>715</v>
      </c>
      <c r="H489" s="6" t="s">
        <v>717</v>
      </c>
      <c r="I489" s="6" t="s">
        <v>719</v>
      </c>
      <c r="J489" s="6" t="s">
        <v>717</v>
      </c>
      <c r="K489" s="6"/>
      <c r="L489" s="6"/>
      <c r="M489" s="6"/>
      <c r="N489" s="6"/>
      <c r="O489" s="6"/>
      <c r="P489" s="6"/>
      <c r="Q489" s="6"/>
      <c r="R489" s="7" t="n">
        <f aca="false">COUNTIF('Label Map'!$D$2:$D$2000,A489)</f>
        <v>0</v>
      </c>
    </row>
    <row r="490" customFormat="false" ht="15" hidden="false" customHeight="false" outlineLevel="0" collapsed="false">
      <c r="A490" s="6" t="s">
        <v>720</v>
      </c>
      <c r="B490" s="6" t="s">
        <v>11</v>
      </c>
      <c r="C490" s="6" t="s">
        <v>3</v>
      </c>
      <c r="D490" s="6" t="s">
        <v>614</v>
      </c>
      <c r="E490" s="6" t="s">
        <v>622</v>
      </c>
      <c r="F490" s="6" t="s">
        <v>714</v>
      </c>
      <c r="G490" s="6" t="s">
        <v>715</v>
      </c>
      <c r="H490" s="6" t="s">
        <v>720</v>
      </c>
      <c r="I490" s="6"/>
      <c r="J490" s="6" t="s">
        <v>714</v>
      </c>
      <c r="K490" s="6"/>
      <c r="L490" s="6"/>
      <c r="M490" s="6"/>
      <c r="N490" s="6"/>
      <c r="O490" s="6"/>
      <c r="P490" s="6"/>
      <c r="Q490" s="6" t="s">
        <v>718</v>
      </c>
      <c r="R490" s="7" t="n">
        <f aca="false">COUNTIF('Label Map'!$D$2:$D$2000,A490)</f>
        <v>1</v>
      </c>
    </row>
    <row r="491" customFormat="false" ht="15" hidden="false" customHeight="false" outlineLevel="0" collapsed="false">
      <c r="A491" s="6" t="s">
        <v>721</v>
      </c>
      <c r="B491" s="6" t="s">
        <v>11</v>
      </c>
      <c r="C491" s="6" t="s">
        <v>3</v>
      </c>
      <c r="D491" s="6" t="s">
        <v>614</v>
      </c>
      <c r="E491" s="6" t="s">
        <v>622</v>
      </c>
      <c r="F491" s="6" t="s">
        <v>714</v>
      </c>
      <c r="G491" s="6" t="s">
        <v>715</v>
      </c>
      <c r="H491" s="6" t="s">
        <v>721</v>
      </c>
      <c r="I491" s="6"/>
      <c r="J491" s="6" t="s">
        <v>714</v>
      </c>
      <c r="K491" s="6"/>
      <c r="L491" s="6"/>
      <c r="M491" s="6"/>
      <c r="N491" s="6"/>
      <c r="O491" s="6"/>
      <c r="P491" s="6"/>
      <c r="Q491" s="6" t="s">
        <v>718</v>
      </c>
      <c r="R491" s="7" t="n">
        <f aca="false">COUNTIF('Label Map'!$D$2:$D$2000,A491)</f>
        <v>2</v>
      </c>
    </row>
    <row r="492" customFormat="false" ht="15" hidden="false" customHeight="false" outlineLevel="0" collapsed="false">
      <c r="A492" s="6" t="s">
        <v>722</v>
      </c>
      <c r="B492" s="6" t="s">
        <v>11</v>
      </c>
      <c r="C492" s="6" t="s">
        <v>3</v>
      </c>
      <c r="D492" s="6" t="s">
        <v>614</v>
      </c>
      <c r="E492" s="6" t="s">
        <v>622</v>
      </c>
      <c r="F492" s="6" t="s">
        <v>714</v>
      </c>
      <c r="G492" s="6" t="s">
        <v>715</v>
      </c>
      <c r="H492" s="6" t="s">
        <v>722</v>
      </c>
      <c r="I492" s="6"/>
      <c r="J492" s="6" t="s">
        <v>714</v>
      </c>
      <c r="K492" s="6"/>
      <c r="L492" s="6"/>
      <c r="M492" s="6"/>
      <c r="N492" s="6"/>
      <c r="O492" s="6"/>
      <c r="P492" s="6"/>
      <c r="Q492" s="6" t="s">
        <v>718</v>
      </c>
      <c r="R492" s="7" t="n">
        <f aca="false">COUNTIF('Label Map'!$D$2:$D$2000,A492)</f>
        <v>1</v>
      </c>
    </row>
    <row r="493" customFormat="false" ht="15" hidden="false" customHeight="false" outlineLevel="0" collapsed="false">
      <c r="A493" s="6" t="s">
        <v>723</v>
      </c>
      <c r="B493" s="6" t="s">
        <v>11</v>
      </c>
      <c r="C493" s="6" t="s">
        <v>3</v>
      </c>
      <c r="D493" s="6" t="s">
        <v>614</v>
      </c>
      <c r="E493" s="6" t="s">
        <v>622</v>
      </c>
      <c r="F493" s="6" t="s">
        <v>714</v>
      </c>
      <c r="G493" s="6" t="s">
        <v>715</v>
      </c>
      <c r="H493" s="6" t="s">
        <v>723</v>
      </c>
      <c r="I493" s="6"/>
      <c r="J493" s="6" t="s">
        <v>714</v>
      </c>
      <c r="K493" s="6"/>
      <c r="L493" s="6"/>
      <c r="M493" s="6"/>
      <c r="N493" s="6"/>
      <c r="O493" s="6"/>
      <c r="P493" s="6"/>
      <c r="Q493" s="6" t="s">
        <v>718</v>
      </c>
      <c r="R493" s="7" t="n">
        <f aca="false">COUNTIF('Label Map'!$D$2:$D$2000,A493)</f>
        <v>2</v>
      </c>
    </row>
    <row r="494" customFormat="false" ht="15" hidden="false" customHeight="false" outlineLevel="0" collapsed="false">
      <c r="A494" s="6" t="s">
        <v>724</v>
      </c>
      <c r="B494" s="6" t="s">
        <v>11</v>
      </c>
      <c r="C494" s="6" t="s">
        <v>3</v>
      </c>
      <c r="D494" s="6" t="s">
        <v>614</v>
      </c>
      <c r="E494" s="6" t="s">
        <v>622</v>
      </c>
      <c r="F494" s="6" t="s">
        <v>714</v>
      </c>
      <c r="G494" s="6" t="s">
        <v>715</v>
      </c>
      <c r="H494" s="6" t="s">
        <v>724</v>
      </c>
      <c r="I494" s="6"/>
      <c r="J494" s="6" t="s">
        <v>714</v>
      </c>
      <c r="K494" s="6"/>
      <c r="L494" s="6"/>
      <c r="M494" s="6"/>
      <c r="N494" s="6"/>
      <c r="O494" s="6"/>
      <c r="P494" s="6"/>
      <c r="Q494" s="6" t="s">
        <v>718</v>
      </c>
      <c r="R494" s="7" t="n">
        <f aca="false">COUNTIF('Label Map'!$D$2:$D$2000,A494)</f>
        <v>1</v>
      </c>
    </row>
    <row r="495" customFormat="false" ht="15" hidden="false" customHeight="false" outlineLevel="0" collapsed="false">
      <c r="A495" s="6" t="s">
        <v>725</v>
      </c>
      <c r="B495" s="6" t="s">
        <v>11</v>
      </c>
      <c r="C495" s="6" t="s">
        <v>3</v>
      </c>
      <c r="D495" s="6" t="s">
        <v>614</v>
      </c>
      <c r="E495" s="6" t="s">
        <v>622</v>
      </c>
      <c r="F495" s="6" t="s">
        <v>714</v>
      </c>
      <c r="G495" s="6" t="s">
        <v>715</v>
      </c>
      <c r="H495" s="6" t="s">
        <v>725</v>
      </c>
      <c r="I495" s="6"/>
      <c r="J495" s="6" t="s">
        <v>714</v>
      </c>
      <c r="K495" s="6"/>
      <c r="L495" s="6"/>
      <c r="M495" s="6"/>
      <c r="N495" s="6"/>
      <c r="O495" s="6"/>
      <c r="P495" s="6"/>
      <c r="Q495" s="6" t="s">
        <v>718</v>
      </c>
      <c r="R495" s="7" t="n">
        <f aca="false">COUNTIF('Label Map'!$D$2:$D$2000,A495)</f>
        <v>1</v>
      </c>
    </row>
    <row r="496" customFormat="false" ht="15" hidden="false" customHeight="false" outlineLevel="0" collapsed="false">
      <c r="A496" s="6" t="s">
        <v>726</v>
      </c>
      <c r="B496" s="6" t="s">
        <v>11</v>
      </c>
      <c r="C496" s="6" t="s">
        <v>3</v>
      </c>
      <c r="D496" s="6" t="s">
        <v>614</v>
      </c>
      <c r="E496" s="6" t="s">
        <v>622</v>
      </c>
      <c r="F496" s="6" t="s">
        <v>714</v>
      </c>
      <c r="G496" s="6" t="s">
        <v>715</v>
      </c>
      <c r="H496" s="6" t="s">
        <v>726</v>
      </c>
      <c r="I496" s="6"/>
      <c r="J496" s="6" t="s">
        <v>714</v>
      </c>
      <c r="K496" s="6"/>
      <c r="L496" s="6"/>
      <c r="M496" s="6"/>
      <c r="N496" s="6"/>
      <c r="O496" s="6"/>
      <c r="P496" s="6"/>
      <c r="Q496" s="6" t="s">
        <v>718</v>
      </c>
      <c r="R496" s="7" t="n">
        <f aca="false">COUNTIF('Label Map'!$D$2:$D$2000,A496)</f>
        <v>2</v>
      </c>
    </row>
    <row r="497" customFormat="false" ht="15" hidden="false" customHeight="false" outlineLevel="0" collapsed="false">
      <c r="A497" s="6" t="s">
        <v>727</v>
      </c>
      <c r="B497" s="6" t="s">
        <v>11</v>
      </c>
      <c r="C497" s="6" t="s">
        <v>3</v>
      </c>
      <c r="D497" s="6" t="s">
        <v>614</v>
      </c>
      <c r="E497" s="6" t="s">
        <v>622</v>
      </c>
      <c r="F497" s="6" t="s">
        <v>714</v>
      </c>
      <c r="G497" s="6" t="s">
        <v>715</v>
      </c>
      <c r="H497" s="6" t="s">
        <v>727</v>
      </c>
      <c r="I497" s="6"/>
      <c r="J497" s="6" t="s">
        <v>714</v>
      </c>
      <c r="K497" s="6"/>
      <c r="L497" s="6"/>
      <c r="M497" s="6"/>
      <c r="N497" s="6"/>
      <c r="O497" s="6"/>
      <c r="P497" s="6"/>
      <c r="Q497" s="6" t="s">
        <v>718</v>
      </c>
      <c r="R497" s="7" t="n">
        <f aca="false">COUNTIF('Label Map'!$D$2:$D$2000,A497)</f>
        <v>1</v>
      </c>
    </row>
    <row r="498" customFormat="false" ht="15" hidden="false" customHeight="false" outlineLevel="0" collapsed="false">
      <c r="A498" s="6" t="s">
        <v>728</v>
      </c>
      <c r="B498" s="6" t="s">
        <v>11</v>
      </c>
      <c r="C498" s="6" t="s">
        <v>3</v>
      </c>
      <c r="D498" s="6" t="s">
        <v>614</v>
      </c>
      <c r="E498" s="6" t="s">
        <v>622</v>
      </c>
      <c r="F498" s="6" t="s">
        <v>714</v>
      </c>
      <c r="G498" s="6" t="s">
        <v>715</v>
      </c>
      <c r="H498" s="6" t="s">
        <v>728</v>
      </c>
      <c r="I498" s="6"/>
      <c r="J498" s="6" t="s">
        <v>714</v>
      </c>
      <c r="K498" s="6"/>
      <c r="L498" s="6"/>
      <c r="M498" s="6"/>
      <c r="N498" s="6"/>
      <c r="O498" s="6"/>
      <c r="P498" s="6"/>
      <c r="Q498" s="6" t="s">
        <v>718</v>
      </c>
      <c r="R498" s="7" t="n">
        <f aca="false">COUNTIF('Label Map'!$D$2:$D$2000,A498)</f>
        <v>1</v>
      </c>
    </row>
    <row r="499" customFormat="false" ht="15" hidden="false" customHeight="false" outlineLevel="0" collapsed="false">
      <c r="A499" s="6" t="s">
        <v>729</v>
      </c>
      <c r="B499" s="6" t="s">
        <v>11</v>
      </c>
      <c r="C499" s="6" t="s">
        <v>3</v>
      </c>
      <c r="D499" s="6" t="s">
        <v>614</v>
      </c>
      <c r="E499" s="6" t="s">
        <v>622</v>
      </c>
      <c r="F499" s="6" t="s">
        <v>714</v>
      </c>
      <c r="G499" s="6" t="s">
        <v>715</v>
      </c>
      <c r="H499" s="6" t="s">
        <v>729</v>
      </c>
      <c r="I499" s="6"/>
      <c r="J499" s="6" t="s">
        <v>714</v>
      </c>
      <c r="K499" s="6"/>
      <c r="L499" s="6"/>
      <c r="M499" s="6"/>
      <c r="N499" s="6"/>
      <c r="O499" s="6"/>
      <c r="P499" s="6"/>
      <c r="Q499" s="6" t="s">
        <v>718</v>
      </c>
      <c r="R499" s="7" t="n">
        <f aca="false">COUNTIF('Label Map'!$D$2:$D$2000,A499)</f>
        <v>1</v>
      </c>
    </row>
    <row r="500" customFormat="false" ht="15" hidden="false" customHeight="false" outlineLevel="0" collapsed="false">
      <c r="A500" s="6" t="s">
        <v>730</v>
      </c>
      <c r="B500" s="6" t="s">
        <v>11</v>
      </c>
      <c r="C500" s="6" t="s">
        <v>3</v>
      </c>
      <c r="D500" s="6" t="s">
        <v>614</v>
      </c>
      <c r="E500" s="6" t="s">
        <v>622</v>
      </c>
      <c r="F500" s="6" t="s">
        <v>714</v>
      </c>
      <c r="G500" s="6" t="s">
        <v>715</v>
      </c>
      <c r="H500" s="6" t="s">
        <v>730</v>
      </c>
      <c r="I500" s="6"/>
      <c r="J500" s="6" t="s">
        <v>714</v>
      </c>
      <c r="K500" s="6"/>
      <c r="L500" s="6"/>
      <c r="M500" s="6"/>
      <c r="N500" s="6"/>
      <c r="O500" s="6"/>
      <c r="P500" s="6"/>
      <c r="Q500" s="6" t="s">
        <v>718</v>
      </c>
      <c r="R500" s="7" t="n">
        <f aca="false">COUNTIF('Label Map'!$D$2:$D$2000,A500)</f>
        <v>1</v>
      </c>
    </row>
    <row r="501" customFormat="false" ht="15" hidden="false" customHeight="false" outlineLevel="0" collapsed="false">
      <c r="A501" s="6" t="s">
        <v>731</v>
      </c>
      <c r="B501" s="6" t="s">
        <v>63</v>
      </c>
      <c r="C501" s="6" t="s">
        <v>3</v>
      </c>
      <c r="D501" s="6" t="s">
        <v>614</v>
      </c>
      <c r="E501" s="6" t="s">
        <v>622</v>
      </c>
      <c r="F501" s="6" t="s">
        <v>714</v>
      </c>
      <c r="G501" s="6" t="s">
        <v>715</v>
      </c>
      <c r="H501" s="6" t="s">
        <v>730</v>
      </c>
      <c r="I501" s="6" t="s">
        <v>731</v>
      </c>
      <c r="J501" s="6" t="s">
        <v>730</v>
      </c>
      <c r="K501" s="6"/>
      <c r="L501" s="6"/>
      <c r="M501" s="6"/>
      <c r="N501" s="6"/>
      <c r="O501" s="6"/>
      <c r="P501" s="6"/>
      <c r="Q501" s="6"/>
      <c r="R501" s="7" t="n">
        <f aca="false">COUNTIF('Label Map'!$D$2:$D$2000,A501)</f>
        <v>0</v>
      </c>
    </row>
    <row r="502" customFormat="false" ht="15" hidden="false" customHeight="false" outlineLevel="0" collapsed="false">
      <c r="A502" s="6" t="s">
        <v>732</v>
      </c>
      <c r="B502" s="6" t="s">
        <v>63</v>
      </c>
      <c r="C502" s="6" t="s">
        <v>3</v>
      </c>
      <c r="D502" s="6" t="s">
        <v>614</v>
      </c>
      <c r="E502" s="6" t="s">
        <v>622</v>
      </c>
      <c r="F502" s="6" t="s">
        <v>714</v>
      </c>
      <c r="G502" s="6" t="s">
        <v>715</v>
      </c>
      <c r="H502" s="6" t="s">
        <v>730</v>
      </c>
      <c r="I502" s="6" t="s">
        <v>732</v>
      </c>
      <c r="J502" s="6" t="s">
        <v>730</v>
      </c>
      <c r="K502" s="6"/>
      <c r="L502" s="6"/>
      <c r="M502" s="6"/>
      <c r="N502" s="6"/>
      <c r="O502" s="6"/>
      <c r="P502" s="6"/>
      <c r="Q502" s="6"/>
      <c r="R502" s="7" t="n">
        <f aca="false">COUNTIF('Label Map'!$D$2:$D$2000,A502)</f>
        <v>2</v>
      </c>
    </row>
    <row r="503" customFormat="false" ht="15" hidden="false" customHeight="false" outlineLevel="0" collapsed="false">
      <c r="A503" s="6" t="s">
        <v>733</v>
      </c>
      <c r="B503" s="6" t="s">
        <v>11</v>
      </c>
      <c r="C503" s="6" t="s">
        <v>3</v>
      </c>
      <c r="D503" s="6" t="s">
        <v>614</v>
      </c>
      <c r="E503" s="6" t="s">
        <v>622</v>
      </c>
      <c r="F503" s="6" t="s">
        <v>714</v>
      </c>
      <c r="G503" s="6" t="s">
        <v>715</v>
      </c>
      <c r="H503" s="6" t="s">
        <v>733</v>
      </c>
      <c r="I503" s="6"/>
      <c r="J503" s="6" t="s">
        <v>714</v>
      </c>
      <c r="K503" s="6"/>
      <c r="L503" s="6"/>
      <c r="M503" s="6"/>
      <c r="N503" s="6"/>
      <c r="O503" s="6"/>
      <c r="P503" s="6"/>
      <c r="Q503" s="6" t="s">
        <v>718</v>
      </c>
      <c r="R503" s="7" t="n">
        <f aca="false">COUNTIF('Label Map'!$D$2:$D$2000,A503)</f>
        <v>2</v>
      </c>
    </row>
    <row r="504" customFormat="false" ht="15" hidden="false" customHeight="false" outlineLevel="0" collapsed="false">
      <c r="A504" s="6" t="s">
        <v>734</v>
      </c>
      <c r="B504" s="6" t="s">
        <v>63</v>
      </c>
      <c r="C504" s="6" t="s">
        <v>3</v>
      </c>
      <c r="D504" s="6" t="s">
        <v>614</v>
      </c>
      <c r="E504" s="6" t="s">
        <v>622</v>
      </c>
      <c r="F504" s="6" t="s">
        <v>714</v>
      </c>
      <c r="G504" s="6" t="s">
        <v>715</v>
      </c>
      <c r="H504" s="6" t="s">
        <v>733</v>
      </c>
      <c r="I504" s="6" t="s">
        <v>734</v>
      </c>
      <c r="J504" s="6" t="s">
        <v>733</v>
      </c>
      <c r="K504" s="6"/>
      <c r="L504" s="6"/>
      <c r="M504" s="6"/>
      <c r="N504" s="6"/>
      <c r="O504" s="6"/>
      <c r="P504" s="6"/>
      <c r="Q504" s="6"/>
      <c r="R504" s="7" t="n">
        <f aca="false">COUNTIF('Label Map'!$D$2:$D$2000,A504)</f>
        <v>0</v>
      </c>
    </row>
    <row r="505" customFormat="false" ht="15" hidden="false" customHeight="false" outlineLevel="0" collapsed="false">
      <c r="A505" s="6" t="s">
        <v>735</v>
      </c>
      <c r="B505" s="6" t="s">
        <v>9</v>
      </c>
      <c r="C505" s="6" t="s">
        <v>3</v>
      </c>
      <c r="D505" s="6" t="s">
        <v>614</v>
      </c>
      <c r="E505" s="6" t="s">
        <v>622</v>
      </c>
      <c r="F505" s="6" t="s">
        <v>735</v>
      </c>
      <c r="G505" s="6" t="s">
        <v>736</v>
      </c>
      <c r="H505" s="6"/>
      <c r="I505" s="6"/>
      <c r="J505" s="6" t="s">
        <v>622</v>
      </c>
      <c r="K505" s="6" t="s">
        <v>737</v>
      </c>
      <c r="L505" s="6" t="s">
        <v>622</v>
      </c>
      <c r="M505" s="6" t="s">
        <v>656</v>
      </c>
      <c r="N505" s="6"/>
      <c r="O505" s="6" t="s">
        <v>308</v>
      </c>
      <c r="P505" s="6" t="s">
        <v>337</v>
      </c>
      <c r="Q505" s="6"/>
      <c r="R505" s="7" t="n">
        <f aca="false">COUNTIF('Label Map'!$D$2:$D$2000,A505)</f>
        <v>2</v>
      </c>
    </row>
    <row r="506" customFormat="false" ht="15" hidden="false" customHeight="false" outlineLevel="0" collapsed="false">
      <c r="A506" s="6" t="s">
        <v>738</v>
      </c>
      <c r="B506" s="6" t="s">
        <v>9</v>
      </c>
      <c r="C506" s="6" t="s">
        <v>3</v>
      </c>
      <c r="D506" s="6" t="s">
        <v>614</v>
      </c>
      <c r="E506" s="6" t="s">
        <v>622</v>
      </c>
      <c r="F506" s="6" t="s">
        <v>738</v>
      </c>
      <c r="G506" s="6" t="s">
        <v>739</v>
      </c>
      <c r="H506" s="6"/>
      <c r="I506" s="6"/>
      <c r="J506" s="6" t="s">
        <v>622</v>
      </c>
      <c r="K506" s="6" t="s">
        <v>740</v>
      </c>
      <c r="L506" s="6" t="s">
        <v>622</v>
      </c>
      <c r="M506" s="6" t="s">
        <v>656</v>
      </c>
      <c r="N506" s="6"/>
      <c r="O506" s="6" t="s">
        <v>308</v>
      </c>
      <c r="P506" s="6" t="s">
        <v>87</v>
      </c>
      <c r="Q506" s="6"/>
      <c r="R506" s="7" t="n">
        <f aca="false">COUNTIF('Label Map'!$D$2:$D$2000,A506)</f>
        <v>2</v>
      </c>
    </row>
    <row r="507" customFormat="false" ht="15" hidden="false" customHeight="false" outlineLevel="0" collapsed="false">
      <c r="A507" s="6" t="s">
        <v>741</v>
      </c>
      <c r="B507" s="6" t="s">
        <v>9</v>
      </c>
      <c r="C507" s="6" t="s">
        <v>3</v>
      </c>
      <c r="D507" s="6" t="s">
        <v>614</v>
      </c>
      <c r="E507" s="6" t="s">
        <v>622</v>
      </c>
      <c r="F507" s="6" t="s">
        <v>741</v>
      </c>
      <c r="G507" s="6" t="s">
        <v>742</v>
      </c>
      <c r="H507" s="6"/>
      <c r="I507" s="6"/>
      <c r="J507" s="6" t="s">
        <v>622</v>
      </c>
      <c r="K507" s="6" t="s">
        <v>743</v>
      </c>
      <c r="L507" s="6" t="s">
        <v>744</v>
      </c>
      <c r="M507" s="6" t="s">
        <v>745</v>
      </c>
      <c r="N507" s="6"/>
      <c r="O507" s="6" t="s">
        <v>308</v>
      </c>
      <c r="P507" s="6" t="s">
        <v>337</v>
      </c>
      <c r="Q507" s="6"/>
      <c r="R507" s="7" t="n">
        <f aca="false">COUNTIF('Label Map'!$D$2:$D$2000,A507)</f>
        <v>2</v>
      </c>
    </row>
    <row r="508" customFormat="false" ht="15" hidden="false" customHeight="false" outlineLevel="0" collapsed="false">
      <c r="A508" s="6" t="s">
        <v>746</v>
      </c>
      <c r="B508" s="6" t="s">
        <v>9</v>
      </c>
      <c r="C508" s="6" t="s">
        <v>3</v>
      </c>
      <c r="D508" s="6" t="s">
        <v>614</v>
      </c>
      <c r="E508" s="6" t="s">
        <v>622</v>
      </c>
      <c r="F508" s="6" t="s">
        <v>746</v>
      </c>
      <c r="G508" s="6" t="s">
        <v>747</v>
      </c>
      <c r="H508" s="6"/>
      <c r="I508" s="6"/>
      <c r="J508" s="6" t="s">
        <v>622</v>
      </c>
      <c r="K508" s="6" t="s">
        <v>748</v>
      </c>
      <c r="L508" s="6" t="s">
        <v>622</v>
      </c>
      <c r="M508" s="6" t="s">
        <v>629</v>
      </c>
      <c r="N508" s="6"/>
      <c r="O508" s="6" t="s">
        <v>308</v>
      </c>
      <c r="P508" s="6" t="s">
        <v>87</v>
      </c>
      <c r="Q508" s="6"/>
      <c r="R508" s="7" t="n">
        <f aca="false">COUNTIF('Label Map'!$D$2:$D$2000,A508)</f>
        <v>2</v>
      </c>
    </row>
    <row r="509" customFormat="false" ht="15" hidden="false" customHeight="false" outlineLevel="0" collapsed="false">
      <c r="A509" s="6" t="s">
        <v>749</v>
      </c>
      <c r="B509" s="6" t="s">
        <v>11</v>
      </c>
      <c r="C509" s="6" t="s">
        <v>3</v>
      </c>
      <c r="D509" s="6" t="s">
        <v>614</v>
      </c>
      <c r="E509" s="6" t="s">
        <v>622</v>
      </c>
      <c r="F509" s="6" t="s">
        <v>746</v>
      </c>
      <c r="G509" s="6" t="s">
        <v>747</v>
      </c>
      <c r="H509" s="6" t="s">
        <v>749</v>
      </c>
      <c r="I509" s="6"/>
      <c r="J509" s="6" t="s">
        <v>746</v>
      </c>
      <c r="K509" s="6"/>
      <c r="L509" s="6"/>
      <c r="M509" s="6"/>
      <c r="N509" s="6"/>
      <c r="O509" s="6"/>
      <c r="P509" s="6"/>
      <c r="Q509" s="6" t="s">
        <v>345</v>
      </c>
      <c r="R509" s="7" t="n">
        <f aca="false">COUNTIF('Label Map'!$D$2:$D$2000,A509)</f>
        <v>1</v>
      </c>
    </row>
    <row r="510" customFormat="false" ht="15" hidden="false" customHeight="false" outlineLevel="0" collapsed="false">
      <c r="A510" s="6" t="s">
        <v>750</v>
      </c>
      <c r="B510" s="6" t="s">
        <v>11</v>
      </c>
      <c r="C510" s="6" t="s">
        <v>3</v>
      </c>
      <c r="D510" s="6" t="s">
        <v>614</v>
      </c>
      <c r="E510" s="6" t="s">
        <v>622</v>
      </c>
      <c r="F510" s="6" t="s">
        <v>746</v>
      </c>
      <c r="G510" s="6" t="s">
        <v>747</v>
      </c>
      <c r="H510" s="6" t="s">
        <v>750</v>
      </c>
      <c r="I510" s="6"/>
      <c r="J510" s="6" t="s">
        <v>746</v>
      </c>
      <c r="K510" s="6"/>
      <c r="L510" s="6"/>
      <c r="M510" s="6"/>
      <c r="N510" s="6"/>
      <c r="O510" s="6"/>
      <c r="P510" s="6"/>
      <c r="Q510" s="6" t="s">
        <v>345</v>
      </c>
      <c r="R510" s="7" t="n">
        <f aca="false">COUNTIF('Label Map'!$D$2:$D$2000,A510)</f>
        <v>2</v>
      </c>
    </row>
    <row r="511" customFormat="false" ht="15" hidden="false" customHeight="false" outlineLevel="0" collapsed="false">
      <c r="A511" s="6" t="s">
        <v>751</v>
      </c>
      <c r="B511" s="6" t="s">
        <v>11</v>
      </c>
      <c r="C511" s="6" t="s">
        <v>3</v>
      </c>
      <c r="D511" s="6" t="s">
        <v>614</v>
      </c>
      <c r="E511" s="6" t="s">
        <v>622</v>
      </c>
      <c r="F511" s="6" t="s">
        <v>746</v>
      </c>
      <c r="G511" s="6" t="s">
        <v>747</v>
      </c>
      <c r="H511" s="6" t="s">
        <v>751</v>
      </c>
      <c r="I511" s="6"/>
      <c r="J511" s="6" t="s">
        <v>746</v>
      </c>
      <c r="K511" s="6"/>
      <c r="L511" s="6"/>
      <c r="M511" s="6"/>
      <c r="N511" s="6"/>
      <c r="O511" s="6"/>
      <c r="P511" s="6"/>
      <c r="Q511" s="6" t="s">
        <v>345</v>
      </c>
      <c r="R511" s="7" t="n">
        <f aca="false">COUNTIF('Label Map'!$D$2:$D$2000,A511)</f>
        <v>1</v>
      </c>
    </row>
    <row r="512" customFormat="false" ht="15" hidden="false" customHeight="false" outlineLevel="0" collapsed="false">
      <c r="A512" s="6" t="s">
        <v>752</v>
      </c>
      <c r="B512" s="6" t="s">
        <v>11</v>
      </c>
      <c r="C512" s="6" t="s">
        <v>3</v>
      </c>
      <c r="D512" s="6" t="s">
        <v>614</v>
      </c>
      <c r="E512" s="6" t="s">
        <v>622</v>
      </c>
      <c r="F512" s="6" t="s">
        <v>746</v>
      </c>
      <c r="G512" s="6" t="s">
        <v>747</v>
      </c>
      <c r="H512" s="6" t="s">
        <v>752</v>
      </c>
      <c r="I512" s="6"/>
      <c r="J512" s="6" t="s">
        <v>746</v>
      </c>
      <c r="K512" s="6"/>
      <c r="L512" s="6"/>
      <c r="M512" s="6"/>
      <c r="N512" s="6"/>
      <c r="O512" s="6"/>
      <c r="P512" s="6"/>
      <c r="Q512" s="6" t="s">
        <v>345</v>
      </c>
      <c r="R512" s="7" t="n">
        <f aca="false">COUNTIF('Label Map'!$D$2:$D$2000,A512)</f>
        <v>1</v>
      </c>
    </row>
    <row r="513" customFormat="false" ht="15" hidden="false" customHeight="false" outlineLevel="0" collapsed="false">
      <c r="A513" s="6" t="s">
        <v>753</v>
      </c>
      <c r="B513" s="6" t="s">
        <v>11</v>
      </c>
      <c r="C513" s="6" t="s">
        <v>3</v>
      </c>
      <c r="D513" s="6" t="s">
        <v>614</v>
      </c>
      <c r="E513" s="6" t="s">
        <v>622</v>
      </c>
      <c r="F513" s="6" t="s">
        <v>746</v>
      </c>
      <c r="G513" s="6" t="s">
        <v>747</v>
      </c>
      <c r="H513" s="6" t="s">
        <v>753</v>
      </c>
      <c r="I513" s="6"/>
      <c r="J513" s="6" t="s">
        <v>746</v>
      </c>
      <c r="K513" s="6"/>
      <c r="L513" s="6"/>
      <c r="M513" s="6"/>
      <c r="N513" s="6"/>
      <c r="O513" s="6"/>
      <c r="P513" s="6"/>
      <c r="Q513" s="6" t="s">
        <v>345</v>
      </c>
      <c r="R513" s="7" t="n">
        <f aca="false">COUNTIF('Label Map'!$D$2:$D$2000,A513)</f>
        <v>2</v>
      </c>
    </row>
    <row r="514" customFormat="false" ht="15" hidden="false" customHeight="false" outlineLevel="0" collapsed="false">
      <c r="A514" s="6" t="s">
        <v>754</v>
      </c>
      <c r="B514" s="6" t="s">
        <v>11</v>
      </c>
      <c r="C514" s="6" t="s">
        <v>3</v>
      </c>
      <c r="D514" s="6" t="s">
        <v>614</v>
      </c>
      <c r="E514" s="6" t="s">
        <v>622</v>
      </c>
      <c r="F514" s="6" t="s">
        <v>746</v>
      </c>
      <c r="G514" s="6" t="s">
        <v>747</v>
      </c>
      <c r="H514" s="6" t="s">
        <v>754</v>
      </c>
      <c r="I514" s="6"/>
      <c r="J514" s="6" t="s">
        <v>746</v>
      </c>
      <c r="K514" s="6"/>
      <c r="L514" s="6"/>
      <c r="M514" s="6"/>
      <c r="N514" s="6"/>
      <c r="O514" s="6"/>
      <c r="P514" s="6"/>
      <c r="Q514" s="6" t="s">
        <v>345</v>
      </c>
      <c r="R514" s="7" t="n">
        <f aca="false">COUNTIF('Label Map'!$D$2:$D$2000,A514)</f>
        <v>2</v>
      </c>
    </row>
    <row r="515" customFormat="false" ht="15" hidden="false" customHeight="false" outlineLevel="0" collapsed="false">
      <c r="A515" s="6" t="s">
        <v>755</v>
      </c>
      <c r="B515" s="6" t="s">
        <v>11</v>
      </c>
      <c r="C515" s="6" t="s">
        <v>3</v>
      </c>
      <c r="D515" s="6" t="s">
        <v>614</v>
      </c>
      <c r="E515" s="6" t="s">
        <v>622</v>
      </c>
      <c r="F515" s="6" t="s">
        <v>746</v>
      </c>
      <c r="G515" s="6" t="s">
        <v>747</v>
      </c>
      <c r="H515" s="6" t="s">
        <v>755</v>
      </c>
      <c r="I515" s="6"/>
      <c r="J515" s="6" t="s">
        <v>746</v>
      </c>
      <c r="K515" s="6"/>
      <c r="L515" s="6"/>
      <c r="M515" s="6"/>
      <c r="N515" s="6"/>
      <c r="O515" s="6"/>
      <c r="P515" s="6"/>
      <c r="Q515" s="6" t="s">
        <v>345</v>
      </c>
      <c r="R515" s="7" t="n">
        <f aca="false">COUNTIF('Label Map'!$D$2:$D$2000,A515)</f>
        <v>1</v>
      </c>
    </row>
    <row r="516" customFormat="false" ht="15" hidden="false" customHeight="false" outlineLevel="0" collapsed="false">
      <c r="A516" s="6" t="s">
        <v>756</v>
      </c>
      <c r="B516" s="6" t="s">
        <v>11</v>
      </c>
      <c r="C516" s="6" t="s">
        <v>3</v>
      </c>
      <c r="D516" s="6" t="s">
        <v>614</v>
      </c>
      <c r="E516" s="6" t="s">
        <v>622</v>
      </c>
      <c r="F516" s="6" t="s">
        <v>746</v>
      </c>
      <c r="G516" s="6" t="s">
        <v>747</v>
      </c>
      <c r="H516" s="6" t="s">
        <v>756</v>
      </c>
      <c r="I516" s="6"/>
      <c r="J516" s="6" t="s">
        <v>746</v>
      </c>
      <c r="K516" s="6"/>
      <c r="L516" s="6"/>
      <c r="M516" s="6"/>
      <c r="N516" s="6"/>
      <c r="O516" s="6"/>
      <c r="P516" s="6"/>
      <c r="Q516" s="6" t="s">
        <v>345</v>
      </c>
      <c r="R516" s="7" t="n">
        <f aca="false">COUNTIF('Label Map'!$D$2:$D$2000,A516)</f>
        <v>1</v>
      </c>
    </row>
    <row r="517" customFormat="false" ht="15" hidden="false" customHeight="false" outlineLevel="0" collapsed="false">
      <c r="A517" s="6" t="s">
        <v>757</v>
      </c>
      <c r="B517" s="6" t="s">
        <v>11</v>
      </c>
      <c r="C517" s="6" t="s">
        <v>3</v>
      </c>
      <c r="D517" s="6" t="s">
        <v>614</v>
      </c>
      <c r="E517" s="6" t="s">
        <v>622</v>
      </c>
      <c r="F517" s="6" t="s">
        <v>746</v>
      </c>
      <c r="G517" s="6" t="s">
        <v>747</v>
      </c>
      <c r="H517" s="6" t="s">
        <v>757</v>
      </c>
      <c r="I517" s="6"/>
      <c r="J517" s="6" t="s">
        <v>746</v>
      </c>
      <c r="K517" s="6"/>
      <c r="L517" s="6"/>
      <c r="M517" s="6"/>
      <c r="N517" s="6"/>
      <c r="O517" s="6"/>
      <c r="P517" s="6"/>
      <c r="Q517" s="6" t="s">
        <v>345</v>
      </c>
      <c r="R517" s="7" t="n">
        <f aca="false">COUNTIF('Label Map'!$D$2:$D$2000,A517)</f>
        <v>1</v>
      </c>
    </row>
    <row r="518" customFormat="false" ht="15" hidden="false" customHeight="false" outlineLevel="0" collapsed="false">
      <c r="A518" s="6" t="s">
        <v>758</v>
      </c>
      <c r="B518" s="6" t="s">
        <v>63</v>
      </c>
      <c r="C518" s="6" t="s">
        <v>3</v>
      </c>
      <c r="D518" s="6" t="s">
        <v>614</v>
      </c>
      <c r="E518" s="6" t="s">
        <v>622</v>
      </c>
      <c r="F518" s="6" t="s">
        <v>746</v>
      </c>
      <c r="G518" s="6" t="s">
        <v>747</v>
      </c>
      <c r="H518" s="6"/>
      <c r="I518" s="6" t="s">
        <v>758</v>
      </c>
      <c r="J518" s="6" t="s">
        <v>746</v>
      </c>
      <c r="K518" s="6"/>
      <c r="L518" s="6"/>
      <c r="M518" s="6"/>
      <c r="N518" s="6"/>
      <c r="O518" s="6"/>
      <c r="P518" s="6"/>
      <c r="Q518" s="6"/>
      <c r="R518" s="7" t="n">
        <f aca="false">COUNTIF('Label Map'!$D$2:$D$2000,A518)</f>
        <v>0</v>
      </c>
    </row>
    <row r="519" customFormat="false" ht="15" hidden="false" customHeight="false" outlineLevel="0" collapsed="false">
      <c r="A519" s="6" t="s">
        <v>759</v>
      </c>
      <c r="B519" s="6" t="s">
        <v>9</v>
      </c>
      <c r="C519" s="6" t="s">
        <v>3</v>
      </c>
      <c r="D519" s="6" t="s">
        <v>614</v>
      </c>
      <c r="E519" s="6" t="s">
        <v>622</v>
      </c>
      <c r="F519" s="6" t="s">
        <v>759</v>
      </c>
      <c r="G519" s="6" t="s">
        <v>760</v>
      </c>
      <c r="H519" s="6"/>
      <c r="I519" s="6"/>
      <c r="J519" s="6" t="s">
        <v>622</v>
      </c>
      <c r="K519" s="6" t="s">
        <v>743</v>
      </c>
      <c r="L519" s="6" t="s">
        <v>744</v>
      </c>
      <c r="M519" s="6" t="s">
        <v>745</v>
      </c>
      <c r="N519" s="6"/>
      <c r="O519" s="6" t="s">
        <v>308</v>
      </c>
      <c r="P519" s="6" t="s">
        <v>337</v>
      </c>
      <c r="Q519" s="6"/>
      <c r="R519" s="7" t="n">
        <f aca="false">COUNTIF('Label Map'!$D$2:$D$2000,A519)</f>
        <v>2</v>
      </c>
    </row>
    <row r="520" customFormat="false" ht="15" hidden="false" customHeight="false" outlineLevel="0" collapsed="false">
      <c r="A520" s="6" t="s">
        <v>761</v>
      </c>
      <c r="B520" s="6" t="s">
        <v>9</v>
      </c>
      <c r="C520" s="6" t="s">
        <v>3</v>
      </c>
      <c r="D520" s="6" t="s">
        <v>614</v>
      </c>
      <c r="E520" s="6" t="s">
        <v>622</v>
      </c>
      <c r="F520" s="6" t="s">
        <v>761</v>
      </c>
      <c r="G520" s="6" t="s">
        <v>762</v>
      </c>
      <c r="H520" s="6"/>
      <c r="I520" s="6"/>
      <c r="J520" s="6" t="s">
        <v>622</v>
      </c>
      <c r="K520" s="6" t="s">
        <v>763</v>
      </c>
      <c r="L520" s="6" t="s">
        <v>622</v>
      </c>
      <c r="M520" s="6" t="s">
        <v>642</v>
      </c>
      <c r="N520" s="6"/>
      <c r="O520" s="6" t="s">
        <v>308</v>
      </c>
      <c r="P520" s="6" t="s">
        <v>337</v>
      </c>
      <c r="Q520" s="6"/>
      <c r="R520" s="7" t="n">
        <f aca="false">COUNTIF('Label Map'!$D$2:$D$2000,A520)</f>
        <v>2</v>
      </c>
    </row>
    <row r="521" customFormat="false" ht="15" hidden="false" customHeight="false" outlineLevel="0" collapsed="false">
      <c r="A521" s="6" t="s">
        <v>764</v>
      </c>
      <c r="B521" s="6" t="s">
        <v>9</v>
      </c>
      <c r="C521" s="6" t="s">
        <v>3</v>
      </c>
      <c r="D521" s="6" t="s">
        <v>614</v>
      </c>
      <c r="E521" s="6" t="s">
        <v>622</v>
      </c>
      <c r="F521" s="6" t="s">
        <v>764</v>
      </c>
      <c r="G521" s="6" t="s">
        <v>765</v>
      </c>
      <c r="H521" s="6"/>
      <c r="I521" s="6"/>
      <c r="J521" s="6" t="s">
        <v>622</v>
      </c>
      <c r="K521" s="6" t="s">
        <v>766</v>
      </c>
      <c r="L521" s="6" t="s">
        <v>622</v>
      </c>
      <c r="M521" s="6" t="s">
        <v>629</v>
      </c>
      <c r="N521" s="6"/>
      <c r="O521" s="6" t="s">
        <v>308</v>
      </c>
      <c r="P521" s="6" t="s">
        <v>87</v>
      </c>
      <c r="Q521" s="6"/>
      <c r="R521" s="7" t="n">
        <f aca="false">COUNTIF('Label Map'!$D$2:$D$2000,A521)</f>
        <v>3</v>
      </c>
    </row>
    <row r="522" customFormat="false" ht="15" hidden="false" customHeight="false" outlineLevel="0" collapsed="false">
      <c r="A522" s="6" t="s">
        <v>767</v>
      </c>
      <c r="B522" s="6" t="s">
        <v>11</v>
      </c>
      <c r="C522" s="6" t="s">
        <v>3</v>
      </c>
      <c r="D522" s="6" t="s">
        <v>614</v>
      </c>
      <c r="E522" s="6" t="s">
        <v>622</v>
      </c>
      <c r="F522" s="6" t="s">
        <v>764</v>
      </c>
      <c r="G522" s="6" t="s">
        <v>765</v>
      </c>
      <c r="H522" s="6" t="s">
        <v>767</v>
      </c>
      <c r="I522" s="6"/>
      <c r="J522" s="6" t="s">
        <v>764</v>
      </c>
      <c r="K522" s="6"/>
      <c r="L522" s="6"/>
      <c r="M522" s="6"/>
      <c r="N522" s="6"/>
      <c r="O522" s="6"/>
      <c r="P522" s="6"/>
      <c r="Q522" s="6" t="s">
        <v>5</v>
      </c>
      <c r="R522" s="7" t="n">
        <f aca="false">COUNTIF('Label Map'!$D$2:$D$2000,A522)</f>
        <v>1</v>
      </c>
    </row>
    <row r="523" customFormat="false" ht="15" hidden="false" customHeight="false" outlineLevel="0" collapsed="false">
      <c r="A523" s="6" t="s">
        <v>768</v>
      </c>
      <c r="B523" s="6" t="s">
        <v>11</v>
      </c>
      <c r="C523" s="6" t="s">
        <v>3</v>
      </c>
      <c r="D523" s="6" t="s">
        <v>614</v>
      </c>
      <c r="E523" s="6" t="s">
        <v>622</v>
      </c>
      <c r="F523" s="6" t="s">
        <v>764</v>
      </c>
      <c r="G523" s="6" t="s">
        <v>765</v>
      </c>
      <c r="H523" s="6" t="s">
        <v>768</v>
      </c>
      <c r="I523" s="6"/>
      <c r="J523" s="6" t="s">
        <v>764</v>
      </c>
      <c r="K523" s="6"/>
      <c r="L523" s="6"/>
      <c r="M523" s="6"/>
      <c r="N523" s="6"/>
      <c r="O523" s="6"/>
      <c r="P523" s="6"/>
      <c r="Q523" s="6" t="s">
        <v>5</v>
      </c>
      <c r="R523" s="7" t="n">
        <f aca="false">COUNTIF('Label Map'!$D$2:$D$2000,A523)</f>
        <v>2</v>
      </c>
    </row>
    <row r="524" customFormat="false" ht="15" hidden="false" customHeight="false" outlineLevel="0" collapsed="false">
      <c r="A524" s="6" t="s">
        <v>769</v>
      </c>
      <c r="B524" s="6" t="s">
        <v>11</v>
      </c>
      <c r="C524" s="6" t="s">
        <v>3</v>
      </c>
      <c r="D524" s="6" t="s">
        <v>614</v>
      </c>
      <c r="E524" s="6" t="s">
        <v>622</v>
      </c>
      <c r="F524" s="6" t="s">
        <v>764</v>
      </c>
      <c r="G524" s="6" t="s">
        <v>765</v>
      </c>
      <c r="H524" s="6" t="s">
        <v>769</v>
      </c>
      <c r="I524" s="6"/>
      <c r="J524" s="6" t="s">
        <v>764</v>
      </c>
      <c r="K524" s="6"/>
      <c r="L524" s="6"/>
      <c r="M524" s="6"/>
      <c r="N524" s="6"/>
      <c r="O524" s="6"/>
      <c r="P524" s="6"/>
      <c r="Q524" s="6" t="s">
        <v>5</v>
      </c>
      <c r="R524" s="7" t="n">
        <f aca="false">COUNTIF('Label Map'!$D$2:$D$2000,A524)</f>
        <v>2</v>
      </c>
    </row>
    <row r="525" customFormat="false" ht="15" hidden="false" customHeight="false" outlineLevel="0" collapsed="false">
      <c r="A525" s="6" t="s">
        <v>770</v>
      </c>
      <c r="B525" s="6" t="s">
        <v>63</v>
      </c>
      <c r="C525" s="6" t="s">
        <v>3</v>
      </c>
      <c r="D525" s="6" t="s">
        <v>614</v>
      </c>
      <c r="E525" s="6" t="s">
        <v>622</v>
      </c>
      <c r="F525" s="6" t="s">
        <v>764</v>
      </c>
      <c r="G525" s="6" t="s">
        <v>765</v>
      </c>
      <c r="H525" s="6"/>
      <c r="I525" s="6" t="s">
        <v>770</v>
      </c>
      <c r="J525" s="6" t="s">
        <v>764</v>
      </c>
      <c r="K525" s="6"/>
      <c r="L525" s="6"/>
      <c r="M525" s="6"/>
      <c r="N525" s="6"/>
      <c r="O525" s="6"/>
      <c r="P525" s="6"/>
      <c r="Q525" s="6"/>
      <c r="R525" s="7" t="n">
        <f aca="false">COUNTIF('Label Map'!$D$2:$D$2000,A525)</f>
        <v>0</v>
      </c>
    </row>
    <row r="526" customFormat="false" ht="15" hidden="false" customHeight="false" outlineLevel="0" collapsed="false">
      <c r="A526" s="6" t="s">
        <v>771</v>
      </c>
      <c r="B526" s="6" t="s">
        <v>63</v>
      </c>
      <c r="C526" s="6" t="s">
        <v>3</v>
      </c>
      <c r="D526" s="6" t="s">
        <v>614</v>
      </c>
      <c r="E526" s="6" t="s">
        <v>622</v>
      </c>
      <c r="F526" s="6" t="s">
        <v>764</v>
      </c>
      <c r="G526" s="6" t="s">
        <v>765</v>
      </c>
      <c r="H526" s="6"/>
      <c r="I526" s="6" t="s">
        <v>771</v>
      </c>
      <c r="J526" s="6" t="s">
        <v>764</v>
      </c>
      <c r="K526" s="6"/>
      <c r="L526" s="6"/>
      <c r="M526" s="6"/>
      <c r="N526" s="6"/>
      <c r="O526" s="6"/>
      <c r="P526" s="6"/>
      <c r="Q526" s="6"/>
      <c r="R526" s="7" t="n">
        <f aca="false">COUNTIF('Label Map'!$D$2:$D$2000,A526)</f>
        <v>0</v>
      </c>
    </row>
    <row r="527" customFormat="false" ht="15" hidden="false" customHeight="false" outlineLevel="0" collapsed="false">
      <c r="A527" s="6" t="s">
        <v>772</v>
      </c>
      <c r="B527" s="6" t="s">
        <v>9</v>
      </c>
      <c r="C527" s="6" t="s">
        <v>3</v>
      </c>
      <c r="D527" s="6" t="s">
        <v>614</v>
      </c>
      <c r="E527" s="6" t="s">
        <v>622</v>
      </c>
      <c r="F527" s="6" t="s">
        <v>772</v>
      </c>
      <c r="G527" s="6" t="s">
        <v>773</v>
      </c>
      <c r="H527" s="6"/>
      <c r="I527" s="6"/>
      <c r="J527" s="6" t="s">
        <v>622</v>
      </c>
      <c r="K527" s="6" t="s">
        <v>737</v>
      </c>
      <c r="L527" s="6" t="s">
        <v>622</v>
      </c>
      <c r="M527" s="6" t="s">
        <v>656</v>
      </c>
      <c r="N527" s="6"/>
      <c r="O527" s="6" t="s">
        <v>308</v>
      </c>
      <c r="P527" s="6" t="s">
        <v>337</v>
      </c>
      <c r="Q527" s="6"/>
      <c r="R527" s="7" t="n">
        <f aca="false">COUNTIF('Label Map'!$D$2:$D$2000,A527)</f>
        <v>2</v>
      </c>
    </row>
    <row r="528" customFormat="false" ht="15" hidden="false" customHeight="false" outlineLevel="0" collapsed="false">
      <c r="A528" s="6" t="s">
        <v>774</v>
      </c>
      <c r="B528" s="6" t="s">
        <v>9</v>
      </c>
      <c r="C528" s="6" t="s">
        <v>3</v>
      </c>
      <c r="D528" s="6" t="s">
        <v>614</v>
      </c>
      <c r="E528" s="6" t="s">
        <v>622</v>
      </c>
      <c r="F528" s="6" t="s">
        <v>774</v>
      </c>
      <c r="G528" s="6" t="s">
        <v>775</v>
      </c>
      <c r="H528" s="6"/>
      <c r="I528" s="6"/>
      <c r="J528" s="6" t="s">
        <v>622</v>
      </c>
      <c r="K528" s="6" t="s">
        <v>776</v>
      </c>
      <c r="L528" s="6" t="s">
        <v>622</v>
      </c>
      <c r="M528" s="6" t="s">
        <v>642</v>
      </c>
      <c r="N528" s="6"/>
      <c r="O528" s="6" t="s">
        <v>308</v>
      </c>
      <c r="P528" s="6" t="s">
        <v>87</v>
      </c>
      <c r="Q528" s="6"/>
      <c r="R528" s="7" t="n">
        <f aca="false">COUNTIF('Label Map'!$D$2:$D$2000,A528)</f>
        <v>2</v>
      </c>
    </row>
    <row r="529" customFormat="false" ht="15" hidden="false" customHeight="false" outlineLevel="0" collapsed="false">
      <c r="A529" s="6" t="s">
        <v>777</v>
      </c>
      <c r="B529" s="6" t="s">
        <v>9</v>
      </c>
      <c r="C529" s="6" t="s">
        <v>3</v>
      </c>
      <c r="D529" s="6" t="s">
        <v>614</v>
      </c>
      <c r="E529" s="6" t="s">
        <v>622</v>
      </c>
      <c r="F529" s="6" t="s">
        <v>777</v>
      </c>
      <c r="G529" s="6" t="s">
        <v>778</v>
      </c>
      <c r="H529" s="6"/>
      <c r="I529" s="6"/>
      <c r="J529" s="6" t="s">
        <v>622</v>
      </c>
      <c r="K529" s="6" t="s">
        <v>779</v>
      </c>
      <c r="L529" s="6" t="s">
        <v>622</v>
      </c>
      <c r="M529" s="6" t="s">
        <v>656</v>
      </c>
      <c r="N529" s="6"/>
      <c r="O529" s="6" t="s">
        <v>308</v>
      </c>
      <c r="P529" s="6" t="s">
        <v>87</v>
      </c>
      <c r="Q529" s="6"/>
      <c r="R529" s="7" t="n">
        <f aca="false">COUNTIF('Label Map'!$D$2:$D$2000,A529)</f>
        <v>2</v>
      </c>
    </row>
    <row r="530" customFormat="false" ht="15" hidden="false" customHeight="false" outlineLevel="0" collapsed="false">
      <c r="A530" s="6" t="s">
        <v>780</v>
      </c>
      <c r="B530" s="6" t="s">
        <v>9</v>
      </c>
      <c r="C530" s="6" t="s">
        <v>3</v>
      </c>
      <c r="D530" s="6" t="s">
        <v>614</v>
      </c>
      <c r="E530" s="6" t="s">
        <v>622</v>
      </c>
      <c r="F530" s="6" t="s">
        <v>780</v>
      </c>
      <c r="G530" s="6" t="s">
        <v>781</v>
      </c>
      <c r="H530" s="6"/>
      <c r="I530" s="6"/>
      <c r="J530" s="6" t="s">
        <v>622</v>
      </c>
      <c r="K530" s="6" t="s">
        <v>782</v>
      </c>
      <c r="L530" s="6" t="s">
        <v>744</v>
      </c>
      <c r="M530" s="6" t="s">
        <v>745</v>
      </c>
      <c r="N530" s="6"/>
      <c r="O530" s="6" t="s">
        <v>308</v>
      </c>
      <c r="P530" s="6" t="s">
        <v>87</v>
      </c>
      <c r="Q530" s="6"/>
      <c r="R530" s="7" t="n">
        <f aca="false">COUNTIF('Label Map'!$D$2:$D$2000,A530)</f>
        <v>3</v>
      </c>
    </row>
    <row r="531" customFormat="false" ht="15" hidden="false" customHeight="false" outlineLevel="0" collapsed="false">
      <c r="A531" s="6" t="s">
        <v>783</v>
      </c>
      <c r="B531" s="6" t="s">
        <v>9</v>
      </c>
      <c r="C531" s="6" t="s">
        <v>3</v>
      </c>
      <c r="D531" s="6" t="s">
        <v>614</v>
      </c>
      <c r="E531" s="6" t="s">
        <v>622</v>
      </c>
      <c r="F531" s="6" t="s">
        <v>783</v>
      </c>
      <c r="G531" s="6" t="s">
        <v>784</v>
      </c>
      <c r="H531" s="6"/>
      <c r="I531" s="6"/>
      <c r="J531" s="6" t="s">
        <v>622</v>
      </c>
      <c r="K531" s="6" t="s">
        <v>785</v>
      </c>
      <c r="L531" s="6" t="s">
        <v>622</v>
      </c>
      <c r="M531" s="6" t="s">
        <v>642</v>
      </c>
      <c r="N531" s="6"/>
      <c r="O531" s="6" t="s">
        <v>308</v>
      </c>
      <c r="P531" s="6" t="s">
        <v>87</v>
      </c>
      <c r="Q531" s="6"/>
      <c r="R531" s="7" t="n">
        <f aca="false">COUNTIF('Label Map'!$D$2:$D$2000,A531)</f>
        <v>2</v>
      </c>
    </row>
    <row r="532" customFormat="false" ht="15" hidden="false" customHeight="false" outlineLevel="0" collapsed="false">
      <c r="A532" s="6" t="s">
        <v>786</v>
      </c>
      <c r="B532" s="6" t="s">
        <v>63</v>
      </c>
      <c r="C532" s="6" t="s">
        <v>3</v>
      </c>
      <c r="D532" s="6" t="s">
        <v>614</v>
      </c>
      <c r="E532" s="6" t="s">
        <v>622</v>
      </c>
      <c r="F532" s="6" t="s">
        <v>783</v>
      </c>
      <c r="G532" s="6" t="s">
        <v>784</v>
      </c>
      <c r="H532" s="6"/>
      <c r="I532" s="6" t="s">
        <v>786</v>
      </c>
      <c r="J532" s="6" t="s">
        <v>783</v>
      </c>
      <c r="K532" s="6"/>
      <c r="L532" s="6"/>
      <c r="M532" s="6"/>
      <c r="N532" s="6"/>
      <c r="O532" s="6"/>
      <c r="P532" s="6"/>
      <c r="Q532" s="6"/>
      <c r="R532" s="7" t="n">
        <f aca="false">COUNTIF('Label Map'!$D$2:$D$2000,A532)</f>
        <v>0</v>
      </c>
    </row>
    <row r="533" customFormat="false" ht="15" hidden="false" customHeight="false" outlineLevel="0" collapsed="false">
      <c r="A533" s="6" t="s">
        <v>787</v>
      </c>
      <c r="B533" s="6" t="s">
        <v>9</v>
      </c>
      <c r="C533" s="6" t="s">
        <v>3</v>
      </c>
      <c r="D533" s="6" t="s">
        <v>614</v>
      </c>
      <c r="E533" s="6" t="s">
        <v>622</v>
      </c>
      <c r="F533" s="6" t="s">
        <v>787</v>
      </c>
      <c r="G533" s="6" t="s">
        <v>788</v>
      </c>
      <c r="H533" s="6"/>
      <c r="I533" s="6"/>
      <c r="J533" s="6" t="s">
        <v>622</v>
      </c>
      <c r="K533" s="6" t="s">
        <v>789</v>
      </c>
      <c r="L533" s="6" t="s">
        <v>622</v>
      </c>
      <c r="M533" s="6" t="s">
        <v>650</v>
      </c>
      <c r="N533" s="6"/>
      <c r="O533" s="6" t="s">
        <v>308</v>
      </c>
      <c r="P533" s="6" t="s">
        <v>87</v>
      </c>
      <c r="Q533" s="6"/>
      <c r="R533" s="7" t="n">
        <f aca="false">COUNTIF('Label Map'!$D$2:$D$2000,A533)</f>
        <v>3</v>
      </c>
    </row>
    <row r="534" customFormat="false" ht="15" hidden="false" customHeight="false" outlineLevel="0" collapsed="false">
      <c r="A534" s="6" t="s">
        <v>790</v>
      </c>
      <c r="B534" s="6" t="s">
        <v>63</v>
      </c>
      <c r="C534" s="6" t="s">
        <v>3</v>
      </c>
      <c r="D534" s="6" t="s">
        <v>614</v>
      </c>
      <c r="E534" s="6" t="s">
        <v>622</v>
      </c>
      <c r="F534" s="6" t="s">
        <v>787</v>
      </c>
      <c r="G534" s="6" t="s">
        <v>788</v>
      </c>
      <c r="H534" s="6"/>
      <c r="I534" s="6" t="s">
        <v>790</v>
      </c>
      <c r="J534" s="6" t="s">
        <v>787</v>
      </c>
      <c r="K534" s="6"/>
      <c r="L534" s="6"/>
      <c r="M534" s="6"/>
      <c r="N534" s="6"/>
      <c r="O534" s="6"/>
      <c r="P534" s="6"/>
      <c r="Q534" s="6"/>
      <c r="R534" s="7" t="n">
        <f aca="false">COUNTIF('Label Map'!$D$2:$D$2000,A534)</f>
        <v>0</v>
      </c>
    </row>
    <row r="535" customFormat="false" ht="15" hidden="false" customHeight="false" outlineLevel="0" collapsed="false">
      <c r="A535" s="6" t="s">
        <v>791</v>
      </c>
      <c r="B535" s="6" t="s">
        <v>9</v>
      </c>
      <c r="C535" s="6" t="s">
        <v>3</v>
      </c>
      <c r="D535" s="6" t="s">
        <v>614</v>
      </c>
      <c r="E535" s="6" t="s">
        <v>622</v>
      </c>
      <c r="F535" s="6" t="s">
        <v>791</v>
      </c>
      <c r="G535" s="6" t="s">
        <v>792</v>
      </c>
      <c r="H535" s="6"/>
      <c r="I535" s="6"/>
      <c r="J535" s="6" t="s">
        <v>622</v>
      </c>
      <c r="K535" s="6" t="s">
        <v>793</v>
      </c>
      <c r="L535" s="6" t="s">
        <v>622</v>
      </c>
      <c r="M535" s="6" t="s">
        <v>650</v>
      </c>
      <c r="N535" s="6"/>
      <c r="O535" s="6" t="s">
        <v>308</v>
      </c>
      <c r="P535" s="6" t="s">
        <v>87</v>
      </c>
      <c r="Q535" s="6"/>
      <c r="R535" s="7" t="n">
        <f aca="false">COUNTIF('Label Map'!$D$2:$D$2000,A535)</f>
        <v>2</v>
      </c>
    </row>
    <row r="536" customFormat="false" ht="15" hidden="false" customHeight="false" outlineLevel="0" collapsed="false">
      <c r="A536" s="6" t="s">
        <v>794</v>
      </c>
      <c r="B536" s="6" t="s">
        <v>9</v>
      </c>
      <c r="C536" s="6" t="s">
        <v>3</v>
      </c>
      <c r="D536" s="6" t="s">
        <v>614</v>
      </c>
      <c r="E536" s="6" t="s">
        <v>622</v>
      </c>
      <c r="F536" s="6" t="s">
        <v>794</v>
      </c>
      <c r="G536" s="6" t="s">
        <v>795</v>
      </c>
      <c r="H536" s="6"/>
      <c r="I536" s="6"/>
      <c r="J536" s="6" t="s">
        <v>622</v>
      </c>
      <c r="K536" s="6" t="s">
        <v>629</v>
      </c>
      <c r="L536" s="6" t="s">
        <v>622</v>
      </c>
      <c r="M536" s="6" t="s">
        <v>650</v>
      </c>
      <c r="N536" s="6"/>
      <c r="O536" s="6" t="s">
        <v>308</v>
      </c>
      <c r="P536" s="6" t="s">
        <v>87</v>
      </c>
      <c r="Q536" s="6"/>
      <c r="R536" s="7" t="n">
        <f aca="false">COUNTIF('Label Map'!$D$2:$D$2000,A536)</f>
        <v>1</v>
      </c>
    </row>
    <row r="537" customFormat="false" ht="15" hidden="false" customHeight="false" outlineLevel="0" collapsed="false">
      <c r="A537" s="6" t="s">
        <v>796</v>
      </c>
      <c r="B537" s="6" t="s">
        <v>9</v>
      </c>
      <c r="C537" s="6" t="s">
        <v>3</v>
      </c>
      <c r="D537" s="6" t="s">
        <v>614</v>
      </c>
      <c r="E537" s="6" t="s">
        <v>622</v>
      </c>
      <c r="F537" s="6" t="s">
        <v>796</v>
      </c>
      <c r="G537" s="6" t="s">
        <v>797</v>
      </c>
      <c r="H537" s="6"/>
      <c r="I537" s="6"/>
      <c r="J537" s="6" t="s">
        <v>622</v>
      </c>
      <c r="K537" s="6" t="s">
        <v>798</v>
      </c>
      <c r="L537" s="6" t="s">
        <v>622</v>
      </c>
      <c r="M537" s="6" t="s">
        <v>650</v>
      </c>
      <c r="N537" s="6"/>
      <c r="O537" s="6" t="s">
        <v>308</v>
      </c>
      <c r="P537" s="6" t="s">
        <v>87</v>
      </c>
      <c r="Q537" s="6"/>
      <c r="R537" s="7" t="n">
        <f aca="false">COUNTIF('Label Map'!$D$2:$D$2000,A537)</f>
        <v>3</v>
      </c>
    </row>
    <row r="538" customFormat="false" ht="15" hidden="false" customHeight="false" outlineLevel="0" collapsed="false">
      <c r="A538" s="6" t="s">
        <v>799</v>
      </c>
      <c r="B538" s="6" t="s">
        <v>63</v>
      </c>
      <c r="C538" s="6" t="s">
        <v>3</v>
      </c>
      <c r="D538" s="6" t="s">
        <v>614</v>
      </c>
      <c r="E538" s="6" t="s">
        <v>622</v>
      </c>
      <c r="F538" s="6" t="s">
        <v>796</v>
      </c>
      <c r="G538" s="6" t="s">
        <v>797</v>
      </c>
      <c r="H538" s="6"/>
      <c r="I538" s="6" t="s">
        <v>799</v>
      </c>
      <c r="J538" s="6" t="s">
        <v>796</v>
      </c>
      <c r="K538" s="6"/>
      <c r="L538" s="6"/>
      <c r="M538" s="6"/>
      <c r="N538" s="6"/>
      <c r="O538" s="6"/>
      <c r="P538" s="6"/>
      <c r="Q538" s="6"/>
      <c r="R538" s="7" t="n">
        <f aca="false">COUNTIF('Label Map'!$D$2:$D$2000,A538)</f>
        <v>0</v>
      </c>
    </row>
    <row r="539" customFormat="false" ht="15" hidden="false" customHeight="false" outlineLevel="0" collapsed="false">
      <c r="A539" s="6" t="s">
        <v>800</v>
      </c>
      <c r="B539" s="6" t="s">
        <v>9</v>
      </c>
      <c r="C539" s="6" t="s">
        <v>3</v>
      </c>
      <c r="D539" s="6" t="s">
        <v>614</v>
      </c>
      <c r="E539" s="6" t="s">
        <v>622</v>
      </c>
      <c r="F539" s="6" t="s">
        <v>800</v>
      </c>
      <c r="G539" s="6" t="s">
        <v>801</v>
      </c>
      <c r="H539" s="6"/>
      <c r="I539" s="6"/>
      <c r="J539" s="6" t="s">
        <v>622</v>
      </c>
      <c r="K539" s="6" t="s">
        <v>802</v>
      </c>
      <c r="L539" s="6" t="s">
        <v>744</v>
      </c>
      <c r="M539" s="6" t="s">
        <v>745</v>
      </c>
      <c r="N539" s="6"/>
      <c r="O539" s="6" t="s">
        <v>308</v>
      </c>
      <c r="P539" s="6" t="s">
        <v>337</v>
      </c>
      <c r="Q539" s="6" t="s">
        <v>803</v>
      </c>
      <c r="R539" s="7" t="n">
        <f aca="false">COUNTIF('Label Map'!$D$2:$D$2000,A539)</f>
        <v>1</v>
      </c>
    </row>
    <row r="540" customFormat="false" ht="15" hidden="false" customHeight="false" outlineLevel="0" collapsed="false">
      <c r="A540" s="6" t="s">
        <v>804</v>
      </c>
      <c r="B540" s="6" t="s">
        <v>9</v>
      </c>
      <c r="C540" s="6" t="s">
        <v>3</v>
      </c>
      <c r="D540" s="6" t="s">
        <v>614</v>
      </c>
      <c r="E540" s="6" t="s">
        <v>622</v>
      </c>
      <c r="F540" s="6" t="s">
        <v>804</v>
      </c>
      <c r="G540" s="6" t="s">
        <v>805</v>
      </c>
      <c r="H540" s="6"/>
      <c r="I540" s="6"/>
      <c r="J540" s="6" t="s">
        <v>622</v>
      </c>
      <c r="K540" s="6" t="s">
        <v>740</v>
      </c>
      <c r="L540" s="6" t="s">
        <v>622</v>
      </c>
      <c r="M540" s="6" t="s">
        <v>656</v>
      </c>
      <c r="N540" s="6"/>
      <c r="O540" s="6" t="s">
        <v>308</v>
      </c>
      <c r="P540" s="6" t="s">
        <v>87</v>
      </c>
      <c r="Q540" s="6"/>
      <c r="R540" s="7" t="n">
        <f aca="false">COUNTIF('Label Map'!$D$2:$D$2000,A540)</f>
        <v>1</v>
      </c>
    </row>
    <row r="541" customFormat="false" ht="15" hidden="false" customHeight="false" outlineLevel="0" collapsed="false">
      <c r="A541" s="6" t="s">
        <v>806</v>
      </c>
      <c r="B541" s="6" t="s">
        <v>9</v>
      </c>
      <c r="C541" s="6" t="s">
        <v>3</v>
      </c>
      <c r="D541" s="6" t="s">
        <v>614</v>
      </c>
      <c r="E541" s="6" t="s">
        <v>622</v>
      </c>
      <c r="F541" s="6" t="s">
        <v>806</v>
      </c>
      <c r="G541" s="6" t="s">
        <v>807</v>
      </c>
      <c r="H541" s="6"/>
      <c r="I541" s="6"/>
      <c r="J541" s="6" t="s">
        <v>622</v>
      </c>
      <c r="K541" s="6" t="s">
        <v>808</v>
      </c>
      <c r="L541" s="6" t="s">
        <v>622</v>
      </c>
      <c r="M541" s="6" t="s">
        <v>656</v>
      </c>
      <c r="N541" s="6"/>
      <c r="O541" s="6" t="s">
        <v>308</v>
      </c>
      <c r="P541" s="6" t="s">
        <v>87</v>
      </c>
      <c r="Q541" s="6"/>
      <c r="R541" s="7" t="n">
        <f aca="false">COUNTIF('Label Map'!$D$2:$D$2000,A541)</f>
        <v>2</v>
      </c>
    </row>
    <row r="542" customFormat="false" ht="15" hidden="false" customHeight="false" outlineLevel="0" collapsed="false">
      <c r="A542" s="6" t="s">
        <v>809</v>
      </c>
      <c r="B542" s="6" t="s">
        <v>63</v>
      </c>
      <c r="C542" s="6" t="s">
        <v>3</v>
      </c>
      <c r="D542" s="6" t="s">
        <v>614</v>
      </c>
      <c r="E542" s="6" t="s">
        <v>622</v>
      </c>
      <c r="F542" s="6" t="s">
        <v>806</v>
      </c>
      <c r="G542" s="6" t="s">
        <v>807</v>
      </c>
      <c r="H542" s="6"/>
      <c r="I542" s="6" t="s">
        <v>809</v>
      </c>
      <c r="J542" s="6" t="s">
        <v>806</v>
      </c>
      <c r="K542" s="6"/>
      <c r="L542" s="6"/>
      <c r="M542" s="6"/>
      <c r="N542" s="6"/>
      <c r="O542" s="6"/>
      <c r="P542" s="6"/>
      <c r="Q542" s="6"/>
      <c r="R542" s="7" t="n">
        <f aca="false">COUNTIF('Label Map'!$D$2:$D$2000,A542)</f>
        <v>0</v>
      </c>
    </row>
    <row r="543" customFormat="false" ht="15" hidden="false" customHeight="false" outlineLevel="0" collapsed="false">
      <c r="A543" s="6" t="s">
        <v>810</v>
      </c>
      <c r="B543" s="6" t="s">
        <v>9</v>
      </c>
      <c r="C543" s="6" t="s">
        <v>3</v>
      </c>
      <c r="D543" s="6" t="s">
        <v>614</v>
      </c>
      <c r="E543" s="6" t="s">
        <v>622</v>
      </c>
      <c r="F543" s="6" t="s">
        <v>810</v>
      </c>
      <c r="G543" s="6" t="s">
        <v>811</v>
      </c>
      <c r="H543" s="6"/>
      <c r="I543" s="6"/>
      <c r="J543" s="6" t="s">
        <v>622</v>
      </c>
      <c r="K543" s="6" t="s">
        <v>812</v>
      </c>
      <c r="L543" s="6" t="s">
        <v>622</v>
      </c>
      <c r="M543" s="6" t="s">
        <v>650</v>
      </c>
      <c r="N543" s="6"/>
      <c r="O543" s="6" t="s">
        <v>308</v>
      </c>
      <c r="P543" s="6" t="s">
        <v>87</v>
      </c>
      <c r="Q543" s="6"/>
      <c r="R543" s="7" t="n">
        <f aca="false">COUNTIF('Label Map'!$D$2:$D$2000,A543)</f>
        <v>1</v>
      </c>
    </row>
    <row r="544" customFormat="false" ht="15" hidden="false" customHeight="false" outlineLevel="0" collapsed="false">
      <c r="A544" s="6" t="s">
        <v>813</v>
      </c>
      <c r="B544" s="6" t="s">
        <v>9</v>
      </c>
      <c r="C544" s="6" t="s">
        <v>3</v>
      </c>
      <c r="D544" s="6" t="s">
        <v>614</v>
      </c>
      <c r="E544" s="6" t="s">
        <v>622</v>
      </c>
      <c r="F544" s="6" t="s">
        <v>813</v>
      </c>
      <c r="G544" s="6" t="s">
        <v>814</v>
      </c>
      <c r="H544" s="6"/>
      <c r="I544" s="6"/>
      <c r="J544" s="6" t="s">
        <v>622</v>
      </c>
      <c r="K544" s="6" t="s">
        <v>785</v>
      </c>
      <c r="L544" s="6" t="s">
        <v>622</v>
      </c>
      <c r="M544" s="6" t="s">
        <v>642</v>
      </c>
      <c r="N544" s="6"/>
      <c r="O544" s="6" t="s">
        <v>308</v>
      </c>
      <c r="P544" s="6" t="s">
        <v>87</v>
      </c>
      <c r="Q544" s="6"/>
      <c r="R544" s="7" t="n">
        <f aca="false">COUNTIF('Label Map'!$D$2:$D$2000,A544)</f>
        <v>2</v>
      </c>
    </row>
    <row r="545" customFormat="false" ht="15" hidden="false" customHeight="false" outlineLevel="0" collapsed="false">
      <c r="A545" s="6" t="s">
        <v>815</v>
      </c>
      <c r="B545" s="6" t="s">
        <v>63</v>
      </c>
      <c r="C545" s="6" t="s">
        <v>3</v>
      </c>
      <c r="D545" s="6" t="s">
        <v>614</v>
      </c>
      <c r="E545" s="6" t="s">
        <v>622</v>
      </c>
      <c r="F545" s="6" t="s">
        <v>813</v>
      </c>
      <c r="G545" s="6" t="s">
        <v>814</v>
      </c>
      <c r="H545" s="6"/>
      <c r="I545" s="6" t="s">
        <v>815</v>
      </c>
      <c r="J545" s="6" t="s">
        <v>813</v>
      </c>
      <c r="K545" s="6"/>
      <c r="L545" s="6"/>
      <c r="M545" s="6"/>
      <c r="N545" s="6"/>
      <c r="O545" s="6"/>
      <c r="P545" s="6"/>
      <c r="Q545" s="6"/>
      <c r="R545" s="7" t="n">
        <f aca="false">COUNTIF('Label Map'!$D$2:$D$2000,A545)</f>
        <v>0</v>
      </c>
    </row>
    <row r="546" customFormat="false" ht="15" hidden="false" customHeight="false" outlineLevel="0" collapsed="false">
      <c r="A546" s="6" t="s">
        <v>816</v>
      </c>
      <c r="B546" s="6" t="s">
        <v>9</v>
      </c>
      <c r="C546" s="6" t="s">
        <v>3</v>
      </c>
      <c r="D546" s="6" t="s">
        <v>614</v>
      </c>
      <c r="E546" s="6" t="s">
        <v>622</v>
      </c>
      <c r="F546" s="6" t="s">
        <v>816</v>
      </c>
      <c r="G546" s="6" t="s">
        <v>817</v>
      </c>
      <c r="H546" s="6"/>
      <c r="I546" s="6"/>
      <c r="J546" s="6" t="s">
        <v>622</v>
      </c>
      <c r="K546" s="6" t="s">
        <v>818</v>
      </c>
      <c r="L546" s="6" t="s">
        <v>622</v>
      </c>
      <c r="M546" s="6" t="s">
        <v>650</v>
      </c>
      <c r="N546" s="6"/>
      <c r="O546" s="6" t="s">
        <v>308</v>
      </c>
      <c r="P546" s="6" t="s">
        <v>87</v>
      </c>
      <c r="Q546" s="6"/>
      <c r="R546" s="7" t="n">
        <f aca="false">COUNTIF('Label Map'!$D$2:$D$2000,A546)</f>
        <v>2</v>
      </c>
    </row>
    <row r="547" customFormat="false" ht="15" hidden="false" customHeight="false" outlineLevel="0" collapsed="false">
      <c r="A547" s="6" t="s">
        <v>819</v>
      </c>
      <c r="B547" s="6" t="s">
        <v>9</v>
      </c>
      <c r="C547" s="6" t="s">
        <v>3</v>
      </c>
      <c r="D547" s="6" t="s">
        <v>614</v>
      </c>
      <c r="E547" s="6" t="s">
        <v>622</v>
      </c>
      <c r="F547" s="6" t="s">
        <v>819</v>
      </c>
      <c r="G547" s="6" t="s">
        <v>820</v>
      </c>
      <c r="H547" s="6"/>
      <c r="I547" s="6"/>
      <c r="J547" s="6" t="s">
        <v>622</v>
      </c>
      <c r="K547" s="6" t="s">
        <v>821</v>
      </c>
      <c r="L547" s="6" t="s">
        <v>622</v>
      </c>
      <c r="M547" s="6" t="s">
        <v>650</v>
      </c>
      <c r="N547" s="6"/>
      <c r="O547" s="6" t="s">
        <v>308</v>
      </c>
      <c r="P547" s="6" t="s">
        <v>87</v>
      </c>
      <c r="Q547" s="6"/>
      <c r="R547" s="7" t="n">
        <f aca="false">COUNTIF('Label Map'!$D$2:$D$2000,A547)</f>
        <v>3</v>
      </c>
    </row>
    <row r="548" customFormat="false" ht="15" hidden="false" customHeight="false" outlineLevel="0" collapsed="false">
      <c r="A548" s="6" t="s">
        <v>822</v>
      </c>
      <c r="B548" s="6" t="s">
        <v>11</v>
      </c>
      <c r="C548" s="6" t="s">
        <v>3</v>
      </c>
      <c r="D548" s="6" t="s">
        <v>614</v>
      </c>
      <c r="E548" s="6" t="s">
        <v>622</v>
      </c>
      <c r="F548" s="6" t="s">
        <v>819</v>
      </c>
      <c r="G548" s="6" t="s">
        <v>820</v>
      </c>
      <c r="H548" s="6" t="s">
        <v>822</v>
      </c>
      <c r="I548" s="6"/>
      <c r="J548" s="6" t="s">
        <v>819</v>
      </c>
      <c r="K548" s="6"/>
      <c r="L548" s="6"/>
      <c r="M548" s="6"/>
      <c r="N548" s="6"/>
      <c r="O548" s="6"/>
      <c r="P548" s="6"/>
      <c r="Q548" s="6" t="s">
        <v>280</v>
      </c>
      <c r="R548" s="7" t="n">
        <f aca="false">COUNTIF('Label Map'!$D$2:$D$2000,A548)</f>
        <v>1</v>
      </c>
    </row>
    <row r="549" customFormat="false" ht="15" hidden="false" customHeight="false" outlineLevel="0" collapsed="false">
      <c r="A549" s="6" t="s">
        <v>823</v>
      </c>
      <c r="B549" s="6" t="s">
        <v>11</v>
      </c>
      <c r="C549" s="6" t="s">
        <v>3</v>
      </c>
      <c r="D549" s="6" t="s">
        <v>614</v>
      </c>
      <c r="E549" s="6" t="s">
        <v>622</v>
      </c>
      <c r="F549" s="6" t="s">
        <v>819</v>
      </c>
      <c r="G549" s="6" t="s">
        <v>820</v>
      </c>
      <c r="H549" s="6" t="s">
        <v>823</v>
      </c>
      <c r="I549" s="6"/>
      <c r="J549" s="6" t="s">
        <v>819</v>
      </c>
      <c r="K549" s="6"/>
      <c r="L549" s="6"/>
      <c r="M549" s="6"/>
      <c r="N549" s="6"/>
      <c r="O549" s="6"/>
      <c r="P549" s="6"/>
      <c r="Q549" s="6" t="s">
        <v>280</v>
      </c>
      <c r="R549" s="7" t="n">
        <f aca="false">COUNTIF('Label Map'!$D$2:$D$2000,A549)</f>
        <v>1</v>
      </c>
    </row>
    <row r="550" customFormat="false" ht="15" hidden="false" customHeight="false" outlineLevel="0" collapsed="false">
      <c r="A550" s="6" t="s">
        <v>824</v>
      </c>
      <c r="B550" s="6" t="s">
        <v>11</v>
      </c>
      <c r="C550" s="6" t="s">
        <v>3</v>
      </c>
      <c r="D550" s="6" t="s">
        <v>614</v>
      </c>
      <c r="E550" s="6" t="s">
        <v>622</v>
      </c>
      <c r="F550" s="6" t="s">
        <v>819</v>
      </c>
      <c r="G550" s="6" t="s">
        <v>820</v>
      </c>
      <c r="H550" s="6" t="s">
        <v>824</v>
      </c>
      <c r="I550" s="6"/>
      <c r="J550" s="6" t="s">
        <v>819</v>
      </c>
      <c r="K550" s="6"/>
      <c r="L550" s="6"/>
      <c r="M550" s="6"/>
      <c r="N550" s="6"/>
      <c r="O550" s="6"/>
      <c r="P550" s="6"/>
      <c r="Q550" s="6" t="s">
        <v>280</v>
      </c>
      <c r="R550" s="7" t="n">
        <f aca="false">COUNTIF('Label Map'!$D$2:$D$2000,A550)</f>
        <v>1</v>
      </c>
    </row>
    <row r="551" customFormat="false" ht="15" hidden="false" customHeight="false" outlineLevel="0" collapsed="false">
      <c r="A551" s="6" t="s">
        <v>825</v>
      </c>
      <c r="B551" s="6" t="s">
        <v>11</v>
      </c>
      <c r="C551" s="6" t="s">
        <v>3</v>
      </c>
      <c r="D551" s="6" t="s">
        <v>614</v>
      </c>
      <c r="E551" s="6" t="s">
        <v>622</v>
      </c>
      <c r="F551" s="6" t="s">
        <v>819</v>
      </c>
      <c r="G551" s="6" t="s">
        <v>820</v>
      </c>
      <c r="H551" s="6" t="s">
        <v>825</v>
      </c>
      <c r="I551" s="6"/>
      <c r="J551" s="6" t="s">
        <v>819</v>
      </c>
      <c r="K551" s="6"/>
      <c r="L551" s="6"/>
      <c r="M551" s="6"/>
      <c r="N551" s="6"/>
      <c r="O551" s="6"/>
      <c r="P551" s="6"/>
      <c r="Q551" s="6" t="s">
        <v>280</v>
      </c>
      <c r="R551" s="7" t="n">
        <f aca="false">COUNTIF('Label Map'!$D$2:$D$2000,A551)</f>
        <v>1</v>
      </c>
    </row>
    <row r="552" customFormat="false" ht="15" hidden="false" customHeight="false" outlineLevel="0" collapsed="false">
      <c r="A552" s="6" t="s">
        <v>826</v>
      </c>
      <c r="B552" s="6" t="s">
        <v>63</v>
      </c>
      <c r="C552" s="6" t="s">
        <v>3</v>
      </c>
      <c r="D552" s="6" t="s">
        <v>614</v>
      </c>
      <c r="E552" s="6" t="s">
        <v>622</v>
      </c>
      <c r="F552" s="6" t="s">
        <v>819</v>
      </c>
      <c r="G552" s="6" t="s">
        <v>820</v>
      </c>
      <c r="H552" s="6"/>
      <c r="I552" s="6" t="s">
        <v>826</v>
      </c>
      <c r="J552" s="6" t="s">
        <v>819</v>
      </c>
      <c r="K552" s="6"/>
      <c r="L552" s="6"/>
      <c r="M552" s="6"/>
      <c r="N552" s="6"/>
      <c r="O552" s="6"/>
      <c r="P552" s="6"/>
      <c r="Q552" s="6"/>
      <c r="R552" s="7" t="n">
        <f aca="false">COUNTIF('Label Map'!$D$2:$D$2000,A552)</f>
        <v>0</v>
      </c>
    </row>
    <row r="553" customFormat="false" ht="15" hidden="false" customHeight="false" outlineLevel="0" collapsed="false">
      <c r="A553" s="6" t="s">
        <v>827</v>
      </c>
      <c r="B553" s="6" t="s">
        <v>9</v>
      </c>
      <c r="C553" s="6" t="s">
        <v>3</v>
      </c>
      <c r="D553" s="6" t="s">
        <v>614</v>
      </c>
      <c r="E553" s="6" t="s">
        <v>622</v>
      </c>
      <c r="F553" s="6" t="s">
        <v>827</v>
      </c>
      <c r="G553" s="6" t="s">
        <v>828</v>
      </c>
      <c r="H553" s="6"/>
      <c r="I553" s="6"/>
      <c r="J553" s="6" t="s">
        <v>622</v>
      </c>
      <c r="K553" s="6" t="s">
        <v>812</v>
      </c>
      <c r="L553" s="6" t="s">
        <v>622</v>
      </c>
      <c r="M553" s="6" t="s">
        <v>650</v>
      </c>
      <c r="N553" s="6"/>
      <c r="O553" s="6" t="s">
        <v>308</v>
      </c>
      <c r="P553" s="6" t="s">
        <v>87</v>
      </c>
      <c r="Q553" s="6"/>
      <c r="R553" s="7" t="n">
        <f aca="false">COUNTIF('Label Map'!$D$2:$D$2000,A553)</f>
        <v>1</v>
      </c>
    </row>
    <row r="554" customFormat="false" ht="15" hidden="false" customHeight="false" outlineLevel="0" collapsed="false">
      <c r="A554" s="6" t="s">
        <v>829</v>
      </c>
      <c r="B554" s="6" t="s">
        <v>9</v>
      </c>
      <c r="C554" s="6" t="s">
        <v>3</v>
      </c>
      <c r="D554" s="6" t="s">
        <v>614</v>
      </c>
      <c r="E554" s="6" t="s">
        <v>622</v>
      </c>
      <c r="F554" s="6" t="s">
        <v>829</v>
      </c>
      <c r="G554" s="6" t="s">
        <v>830</v>
      </c>
      <c r="H554" s="6"/>
      <c r="I554" s="6"/>
      <c r="J554" s="6" t="s">
        <v>622</v>
      </c>
      <c r="K554" s="6" t="s">
        <v>831</v>
      </c>
      <c r="L554" s="6" t="s">
        <v>622</v>
      </c>
      <c r="M554" s="6" t="s">
        <v>656</v>
      </c>
      <c r="N554" s="6"/>
      <c r="O554" s="6" t="s">
        <v>308</v>
      </c>
      <c r="P554" s="6" t="s">
        <v>87</v>
      </c>
      <c r="Q554" s="6"/>
      <c r="R554" s="7" t="n">
        <f aca="false">COUNTIF('Label Map'!$D$2:$D$2000,A554)</f>
        <v>3</v>
      </c>
    </row>
    <row r="555" customFormat="false" ht="15" hidden="false" customHeight="false" outlineLevel="0" collapsed="false">
      <c r="A555" s="6" t="s">
        <v>832</v>
      </c>
      <c r="B555" s="6" t="s">
        <v>11</v>
      </c>
      <c r="C555" s="6" t="s">
        <v>3</v>
      </c>
      <c r="D555" s="6" t="s">
        <v>614</v>
      </c>
      <c r="E555" s="6" t="s">
        <v>622</v>
      </c>
      <c r="F555" s="6" t="s">
        <v>829</v>
      </c>
      <c r="G555" s="6" t="s">
        <v>830</v>
      </c>
      <c r="H555" s="6" t="s">
        <v>832</v>
      </c>
      <c r="I555" s="6"/>
      <c r="J555" s="6" t="s">
        <v>829</v>
      </c>
      <c r="K555" s="6"/>
      <c r="L555" s="6"/>
      <c r="M555" s="6"/>
      <c r="N555" s="6"/>
      <c r="O555" s="6"/>
      <c r="P555" s="6"/>
      <c r="Q555" s="6" t="s">
        <v>5</v>
      </c>
      <c r="R555" s="7" t="n">
        <f aca="false">COUNTIF('Label Map'!$D$2:$D$2000,A555)</f>
        <v>1</v>
      </c>
    </row>
    <row r="556" customFormat="false" ht="15" hidden="false" customHeight="false" outlineLevel="0" collapsed="false">
      <c r="A556" s="6" t="s">
        <v>833</v>
      </c>
      <c r="B556" s="6" t="s">
        <v>11</v>
      </c>
      <c r="C556" s="6" t="s">
        <v>3</v>
      </c>
      <c r="D556" s="6" t="s">
        <v>614</v>
      </c>
      <c r="E556" s="6" t="s">
        <v>622</v>
      </c>
      <c r="F556" s="6" t="s">
        <v>829</v>
      </c>
      <c r="G556" s="6" t="s">
        <v>830</v>
      </c>
      <c r="H556" s="6" t="s">
        <v>833</v>
      </c>
      <c r="I556" s="6"/>
      <c r="J556" s="6" t="s">
        <v>829</v>
      </c>
      <c r="K556" s="6"/>
      <c r="L556" s="6"/>
      <c r="M556" s="6"/>
      <c r="N556" s="6"/>
      <c r="O556" s="6"/>
      <c r="P556" s="6"/>
      <c r="Q556" s="6" t="s">
        <v>5</v>
      </c>
      <c r="R556" s="7" t="n">
        <f aca="false">COUNTIF('Label Map'!$D$2:$D$2000,A556)</f>
        <v>1</v>
      </c>
    </row>
    <row r="557" customFormat="false" ht="15" hidden="false" customHeight="false" outlineLevel="0" collapsed="false">
      <c r="A557" s="6" t="s">
        <v>834</v>
      </c>
      <c r="B557" s="6" t="s">
        <v>11</v>
      </c>
      <c r="C557" s="6" t="s">
        <v>3</v>
      </c>
      <c r="D557" s="6" t="s">
        <v>614</v>
      </c>
      <c r="E557" s="6" t="s">
        <v>622</v>
      </c>
      <c r="F557" s="6" t="s">
        <v>829</v>
      </c>
      <c r="G557" s="6" t="s">
        <v>830</v>
      </c>
      <c r="H557" s="6" t="s">
        <v>834</v>
      </c>
      <c r="I557" s="6"/>
      <c r="J557" s="6" t="s">
        <v>829</v>
      </c>
      <c r="K557" s="6"/>
      <c r="L557" s="6"/>
      <c r="M557" s="6"/>
      <c r="N557" s="6"/>
      <c r="O557" s="6"/>
      <c r="P557" s="6"/>
      <c r="Q557" s="6" t="s">
        <v>5</v>
      </c>
      <c r="R557" s="7" t="n">
        <f aca="false">COUNTIF('Label Map'!$D$2:$D$2000,A557)</f>
        <v>1</v>
      </c>
    </row>
    <row r="558" customFormat="false" ht="15" hidden="false" customHeight="false" outlineLevel="0" collapsed="false">
      <c r="A558" s="6" t="s">
        <v>835</v>
      </c>
      <c r="B558" s="6" t="s">
        <v>11</v>
      </c>
      <c r="C558" s="6" t="s">
        <v>3</v>
      </c>
      <c r="D558" s="6" t="s">
        <v>614</v>
      </c>
      <c r="E558" s="6" t="s">
        <v>622</v>
      </c>
      <c r="F558" s="6" t="s">
        <v>829</v>
      </c>
      <c r="G558" s="6" t="s">
        <v>830</v>
      </c>
      <c r="H558" s="6" t="s">
        <v>835</v>
      </c>
      <c r="I558" s="6"/>
      <c r="J558" s="6" t="s">
        <v>829</v>
      </c>
      <c r="K558" s="6"/>
      <c r="L558" s="6"/>
      <c r="M558" s="6"/>
      <c r="N558" s="6"/>
      <c r="O558" s="6"/>
      <c r="P558" s="6"/>
      <c r="Q558" s="6" t="s">
        <v>5</v>
      </c>
      <c r="R558" s="7" t="n">
        <f aca="false">COUNTIF('Label Map'!$D$2:$D$2000,A558)</f>
        <v>1</v>
      </c>
    </row>
    <row r="559" customFormat="false" ht="15" hidden="false" customHeight="false" outlineLevel="0" collapsed="false">
      <c r="A559" s="6" t="s">
        <v>836</v>
      </c>
      <c r="B559" s="6" t="s">
        <v>11</v>
      </c>
      <c r="C559" s="6" t="s">
        <v>3</v>
      </c>
      <c r="D559" s="6" t="s">
        <v>614</v>
      </c>
      <c r="E559" s="6" t="s">
        <v>622</v>
      </c>
      <c r="F559" s="6" t="s">
        <v>829</v>
      </c>
      <c r="G559" s="6" t="s">
        <v>830</v>
      </c>
      <c r="H559" s="6" t="s">
        <v>836</v>
      </c>
      <c r="I559" s="6"/>
      <c r="J559" s="6" t="s">
        <v>829</v>
      </c>
      <c r="K559" s="6"/>
      <c r="L559" s="6"/>
      <c r="M559" s="6"/>
      <c r="N559" s="6"/>
      <c r="O559" s="6"/>
      <c r="P559" s="6"/>
      <c r="Q559" s="6" t="s">
        <v>5</v>
      </c>
      <c r="R559" s="7" t="n">
        <f aca="false">COUNTIF('Label Map'!$D$2:$D$2000,A559)</f>
        <v>1</v>
      </c>
    </row>
    <row r="560" customFormat="false" ht="15" hidden="false" customHeight="false" outlineLevel="0" collapsed="false">
      <c r="A560" s="6" t="s">
        <v>837</v>
      </c>
      <c r="B560" s="6" t="s">
        <v>11</v>
      </c>
      <c r="C560" s="6" t="s">
        <v>3</v>
      </c>
      <c r="D560" s="6" t="s">
        <v>614</v>
      </c>
      <c r="E560" s="6" t="s">
        <v>622</v>
      </c>
      <c r="F560" s="6" t="s">
        <v>829</v>
      </c>
      <c r="G560" s="6" t="s">
        <v>830</v>
      </c>
      <c r="H560" s="6" t="s">
        <v>837</v>
      </c>
      <c r="I560" s="6"/>
      <c r="J560" s="6" t="s">
        <v>829</v>
      </c>
      <c r="K560" s="6"/>
      <c r="L560" s="6"/>
      <c r="M560" s="6"/>
      <c r="N560" s="6"/>
      <c r="O560" s="6"/>
      <c r="P560" s="6"/>
      <c r="Q560" s="6" t="s">
        <v>5</v>
      </c>
      <c r="R560" s="7" t="n">
        <f aca="false">COUNTIF('Label Map'!$D$2:$D$2000,A560)</f>
        <v>1</v>
      </c>
    </row>
    <row r="561" customFormat="false" ht="15" hidden="false" customHeight="false" outlineLevel="0" collapsed="false">
      <c r="A561" s="6" t="s">
        <v>838</v>
      </c>
      <c r="B561" s="6" t="s">
        <v>11</v>
      </c>
      <c r="C561" s="6" t="s">
        <v>3</v>
      </c>
      <c r="D561" s="6" t="s">
        <v>614</v>
      </c>
      <c r="E561" s="6" t="s">
        <v>622</v>
      </c>
      <c r="F561" s="6" t="s">
        <v>829</v>
      </c>
      <c r="G561" s="6" t="s">
        <v>830</v>
      </c>
      <c r="H561" s="6" t="s">
        <v>838</v>
      </c>
      <c r="I561" s="6"/>
      <c r="J561" s="6" t="s">
        <v>829</v>
      </c>
      <c r="K561" s="6"/>
      <c r="L561" s="6"/>
      <c r="M561" s="6"/>
      <c r="N561" s="6"/>
      <c r="O561" s="6"/>
      <c r="P561" s="6"/>
      <c r="Q561" s="6" t="s">
        <v>5</v>
      </c>
      <c r="R561" s="7" t="n">
        <f aca="false">COUNTIF('Label Map'!$D$2:$D$2000,A561)</f>
        <v>1</v>
      </c>
    </row>
    <row r="562" customFormat="false" ht="15" hidden="false" customHeight="false" outlineLevel="0" collapsed="false">
      <c r="A562" s="6" t="s">
        <v>839</v>
      </c>
      <c r="B562" s="6" t="s">
        <v>11</v>
      </c>
      <c r="C562" s="6" t="s">
        <v>3</v>
      </c>
      <c r="D562" s="6" t="s">
        <v>614</v>
      </c>
      <c r="E562" s="6" t="s">
        <v>622</v>
      </c>
      <c r="F562" s="6" t="s">
        <v>829</v>
      </c>
      <c r="G562" s="6" t="s">
        <v>830</v>
      </c>
      <c r="H562" s="6" t="s">
        <v>839</v>
      </c>
      <c r="I562" s="6"/>
      <c r="J562" s="6" t="s">
        <v>829</v>
      </c>
      <c r="K562" s="6"/>
      <c r="L562" s="6"/>
      <c r="M562" s="6"/>
      <c r="N562" s="6"/>
      <c r="O562" s="6"/>
      <c r="P562" s="6"/>
      <c r="Q562" s="6" t="s">
        <v>5</v>
      </c>
      <c r="R562" s="7" t="n">
        <f aca="false">COUNTIF('Label Map'!$D$2:$D$2000,A562)</f>
        <v>1</v>
      </c>
    </row>
    <row r="563" customFormat="false" ht="15" hidden="false" customHeight="false" outlineLevel="0" collapsed="false">
      <c r="A563" s="6" t="s">
        <v>840</v>
      </c>
      <c r="B563" s="6" t="s">
        <v>11</v>
      </c>
      <c r="C563" s="6" t="s">
        <v>3</v>
      </c>
      <c r="D563" s="6" t="s">
        <v>614</v>
      </c>
      <c r="E563" s="6" t="s">
        <v>622</v>
      </c>
      <c r="F563" s="6" t="s">
        <v>829</v>
      </c>
      <c r="G563" s="6" t="s">
        <v>830</v>
      </c>
      <c r="H563" s="6" t="s">
        <v>840</v>
      </c>
      <c r="I563" s="6"/>
      <c r="J563" s="6" t="s">
        <v>829</v>
      </c>
      <c r="K563" s="6"/>
      <c r="L563" s="6"/>
      <c r="M563" s="6"/>
      <c r="N563" s="6"/>
      <c r="O563" s="6"/>
      <c r="P563" s="6"/>
      <c r="Q563" s="6" t="s">
        <v>5</v>
      </c>
      <c r="R563" s="7" t="n">
        <f aca="false">COUNTIF('Label Map'!$D$2:$D$2000,A563)</f>
        <v>1</v>
      </c>
    </row>
    <row r="564" customFormat="false" ht="15" hidden="false" customHeight="false" outlineLevel="0" collapsed="false">
      <c r="A564" s="6" t="s">
        <v>841</v>
      </c>
      <c r="B564" s="6" t="s">
        <v>11</v>
      </c>
      <c r="C564" s="6" t="s">
        <v>3</v>
      </c>
      <c r="D564" s="6" t="s">
        <v>614</v>
      </c>
      <c r="E564" s="6" t="s">
        <v>622</v>
      </c>
      <c r="F564" s="6" t="s">
        <v>829</v>
      </c>
      <c r="G564" s="6" t="s">
        <v>830</v>
      </c>
      <c r="H564" s="6" t="s">
        <v>841</v>
      </c>
      <c r="I564" s="6"/>
      <c r="J564" s="6" t="s">
        <v>829</v>
      </c>
      <c r="K564" s="6"/>
      <c r="L564" s="6"/>
      <c r="M564" s="6"/>
      <c r="N564" s="6"/>
      <c r="O564" s="6"/>
      <c r="P564" s="6"/>
      <c r="Q564" s="6" t="s">
        <v>5</v>
      </c>
      <c r="R564" s="7" t="n">
        <f aca="false">COUNTIF('Label Map'!$D$2:$D$2000,A564)</f>
        <v>1</v>
      </c>
    </row>
    <row r="565" customFormat="false" ht="15" hidden="false" customHeight="false" outlineLevel="0" collapsed="false">
      <c r="A565" s="6" t="s">
        <v>842</v>
      </c>
      <c r="B565" s="6" t="s">
        <v>11</v>
      </c>
      <c r="C565" s="6" t="s">
        <v>3</v>
      </c>
      <c r="D565" s="6" t="s">
        <v>614</v>
      </c>
      <c r="E565" s="6" t="s">
        <v>622</v>
      </c>
      <c r="F565" s="6" t="s">
        <v>829</v>
      </c>
      <c r="G565" s="6" t="s">
        <v>830</v>
      </c>
      <c r="H565" s="6" t="s">
        <v>842</v>
      </c>
      <c r="I565" s="6"/>
      <c r="J565" s="6" t="s">
        <v>829</v>
      </c>
      <c r="K565" s="6"/>
      <c r="L565" s="6"/>
      <c r="M565" s="6"/>
      <c r="N565" s="6"/>
      <c r="O565" s="6"/>
      <c r="P565" s="6"/>
      <c r="Q565" s="6" t="s">
        <v>5</v>
      </c>
      <c r="R565" s="7" t="n">
        <f aca="false">COUNTIF('Label Map'!$D$2:$D$2000,A565)</f>
        <v>2</v>
      </c>
    </row>
    <row r="566" customFormat="false" ht="15" hidden="false" customHeight="false" outlineLevel="0" collapsed="false">
      <c r="A566" s="6" t="s">
        <v>843</v>
      </c>
      <c r="B566" s="6" t="s">
        <v>11</v>
      </c>
      <c r="C566" s="6" t="s">
        <v>3</v>
      </c>
      <c r="D566" s="6" t="s">
        <v>614</v>
      </c>
      <c r="E566" s="6" t="s">
        <v>622</v>
      </c>
      <c r="F566" s="6" t="s">
        <v>829</v>
      </c>
      <c r="G566" s="6" t="s">
        <v>830</v>
      </c>
      <c r="H566" s="6" t="s">
        <v>843</v>
      </c>
      <c r="I566" s="6"/>
      <c r="J566" s="6" t="s">
        <v>829</v>
      </c>
      <c r="K566" s="6"/>
      <c r="L566" s="6"/>
      <c r="M566" s="6"/>
      <c r="N566" s="6"/>
      <c r="O566" s="6"/>
      <c r="P566" s="6"/>
      <c r="Q566" s="6" t="s">
        <v>5</v>
      </c>
      <c r="R566" s="7" t="n">
        <f aca="false">COUNTIF('Label Map'!$D$2:$D$2000,A566)</f>
        <v>1</v>
      </c>
    </row>
    <row r="567" customFormat="false" ht="15" hidden="false" customHeight="false" outlineLevel="0" collapsed="false">
      <c r="A567" s="6" t="s">
        <v>844</v>
      </c>
      <c r="B567" s="6" t="s">
        <v>11</v>
      </c>
      <c r="C567" s="6" t="s">
        <v>3</v>
      </c>
      <c r="D567" s="6" t="s">
        <v>614</v>
      </c>
      <c r="E567" s="6" t="s">
        <v>622</v>
      </c>
      <c r="F567" s="6" t="s">
        <v>829</v>
      </c>
      <c r="G567" s="6" t="s">
        <v>830</v>
      </c>
      <c r="H567" s="6" t="s">
        <v>844</v>
      </c>
      <c r="I567" s="6"/>
      <c r="J567" s="6" t="s">
        <v>829</v>
      </c>
      <c r="K567" s="6"/>
      <c r="L567" s="6"/>
      <c r="M567" s="6"/>
      <c r="N567" s="6"/>
      <c r="O567" s="6"/>
      <c r="P567" s="6"/>
      <c r="Q567" s="6" t="s">
        <v>5</v>
      </c>
      <c r="R567" s="7" t="n">
        <f aca="false">COUNTIF('Label Map'!$D$2:$D$2000,A567)</f>
        <v>1</v>
      </c>
    </row>
    <row r="568" customFormat="false" ht="15" hidden="false" customHeight="false" outlineLevel="0" collapsed="false">
      <c r="A568" s="6" t="s">
        <v>845</v>
      </c>
      <c r="B568" s="6" t="s">
        <v>11</v>
      </c>
      <c r="C568" s="6" t="s">
        <v>3</v>
      </c>
      <c r="D568" s="6" t="s">
        <v>614</v>
      </c>
      <c r="E568" s="6" t="s">
        <v>622</v>
      </c>
      <c r="F568" s="6" t="s">
        <v>829</v>
      </c>
      <c r="G568" s="6" t="s">
        <v>830</v>
      </c>
      <c r="H568" s="6" t="s">
        <v>845</v>
      </c>
      <c r="I568" s="6"/>
      <c r="J568" s="6" t="s">
        <v>829</v>
      </c>
      <c r="K568" s="6"/>
      <c r="L568" s="6"/>
      <c r="M568" s="6"/>
      <c r="N568" s="6"/>
      <c r="O568" s="6"/>
      <c r="P568" s="6"/>
      <c r="Q568" s="6" t="s">
        <v>5</v>
      </c>
      <c r="R568" s="7" t="n">
        <f aca="false">COUNTIF('Label Map'!$D$2:$D$2000,A568)</f>
        <v>2</v>
      </c>
    </row>
    <row r="569" customFormat="false" ht="15" hidden="false" customHeight="false" outlineLevel="0" collapsed="false">
      <c r="A569" s="6" t="s">
        <v>846</v>
      </c>
      <c r="B569" s="6" t="s">
        <v>11</v>
      </c>
      <c r="C569" s="6" t="s">
        <v>3</v>
      </c>
      <c r="D569" s="6" t="s">
        <v>614</v>
      </c>
      <c r="E569" s="6" t="s">
        <v>622</v>
      </c>
      <c r="F569" s="6" t="s">
        <v>829</v>
      </c>
      <c r="G569" s="6" t="s">
        <v>830</v>
      </c>
      <c r="H569" s="6" t="s">
        <v>846</v>
      </c>
      <c r="I569" s="6"/>
      <c r="J569" s="6" t="s">
        <v>829</v>
      </c>
      <c r="K569" s="6"/>
      <c r="L569" s="6"/>
      <c r="M569" s="6"/>
      <c r="N569" s="6"/>
      <c r="O569" s="6"/>
      <c r="P569" s="6"/>
      <c r="Q569" s="6" t="s">
        <v>5</v>
      </c>
      <c r="R569" s="7" t="n">
        <f aca="false">COUNTIF('Label Map'!$D$2:$D$2000,A569)</f>
        <v>1</v>
      </c>
    </row>
    <row r="570" customFormat="false" ht="15" hidden="false" customHeight="false" outlineLevel="0" collapsed="false">
      <c r="A570" s="6" t="s">
        <v>847</v>
      </c>
      <c r="B570" s="6" t="s">
        <v>11</v>
      </c>
      <c r="C570" s="6" t="s">
        <v>3</v>
      </c>
      <c r="D570" s="6" t="s">
        <v>614</v>
      </c>
      <c r="E570" s="6" t="s">
        <v>622</v>
      </c>
      <c r="F570" s="6" t="s">
        <v>829</v>
      </c>
      <c r="G570" s="6" t="s">
        <v>830</v>
      </c>
      <c r="H570" s="6" t="s">
        <v>847</v>
      </c>
      <c r="I570" s="6"/>
      <c r="J570" s="6" t="s">
        <v>829</v>
      </c>
      <c r="K570" s="6"/>
      <c r="L570" s="6"/>
      <c r="M570" s="6"/>
      <c r="N570" s="6"/>
      <c r="O570" s="6"/>
      <c r="P570" s="6"/>
      <c r="Q570" s="6" t="s">
        <v>5</v>
      </c>
      <c r="R570" s="7" t="n">
        <f aca="false">COUNTIF('Label Map'!$D$2:$D$2000,A570)</f>
        <v>2</v>
      </c>
    </row>
    <row r="571" customFormat="false" ht="15" hidden="false" customHeight="false" outlineLevel="0" collapsed="false">
      <c r="A571" s="6" t="s">
        <v>848</v>
      </c>
      <c r="B571" s="6" t="s">
        <v>11</v>
      </c>
      <c r="C571" s="6" t="s">
        <v>3</v>
      </c>
      <c r="D571" s="6" t="s">
        <v>614</v>
      </c>
      <c r="E571" s="6" t="s">
        <v>622</v>
      </c>
      <c r="F571" s="6" t="s">
        <v>829</v>
      </c>
      <c r="G571" s="6" t="s">
        <v>830</v>
      </c>
      <c r="H571" s="6" t="s">
        <v>848</v>
      </c>
      <c r="I571" s="6"/>
      <c r="J571" s="6" t="s">
        <v>829</v>
      </c>
      <c r="K571" s="6"/>
      <c r="L571" s="6"/>
      <c r="M571" s="6"/>
      <c r="N571" s="6"/>
      <c r="O571" s="6"/>
      <c r="P571" s="6"/>
      <c r="Q571" s="6" t="s">
        <v>5</v>
      </c>
      <c r="R571" s="7" t="n">
        <f aca="false">COUNTIF('Label Map'!$D$2:$D$2000,A571)</f>
        <v>1</v>
      </c>
    </row>
    <row r="572" customFormat="false" ht="15" hidden="false" customHeight="false" outlineLevel="0" collapsed="false">
      <c r="A572" s="6" t="s">
        <v>849</v>
      </c>
      <c r="B572" s="6" t="s">
        <v>11</v>
      </c>
      <c r="C572" s="6" t="s">
        <v>3</v>
      </c>
      <c r="D572" s="6" t="s">
        <v>614</v>
      </c>
      <c r="E572" s="6" t="s">
        <v>622</v>
      </c>
      <c r="F572" s="6" t="s">
        <v>829</v>
      </c>
      <c r="G572" s="6" t="s">
        <v>830</v>
      </c>
      <c r="H572" s="6" t="s">
        <v>849</v>
      </c>
      <c r="I572" s="6"/>
      <c r="J572" s="6" t="s">
        <v>829</v>
      </c>
      <c r="K572" s="6"/>
      <c r="L572" s="6"/>
      <c r="M572" s="6"/>
      <c r="N572" s="6"/>
      <c r="O572" s="6"/>
      <c r="P572" s="6"/>
      <c r="Q572" s="6" t="s">
        <v>5</v>
      </c>
      <c r="R572" s="7" t="n">
        <f aca="false">COUNTIF('Label Map'!$D$2:$D$2000,A572)</f>
        <v>2</v>
      </c>
    </row>
    <row r="573" customFormat="false" ht="15" hidden="false" customHeight="false" outlineLevel="0" collapsed="false">
      <c r="A573" s="6" t="s">
        <v>850</v>
      </c>
      <c r="B573" s="6" t="s">
        <v>11</v>
      </c>
      <c r="C573" s="6" t="s">
        <v>3</v>
      </c>
      <c r="D573" s="6" t="s">
        <v>614</v>
      </c>
      <c r="E573" s="6" t="s">
        <v>622</v>
      </c>
      <c r="F573" s="6" t="s">
        <v>829</v>
      </c>
      <c r="G573" s="6" t="s">
        <v>830</v>
      </c>
      <c r="H573" s="6" t="s">
        <v>850</v>
      </c>
      <c r="I573" s="6"/>
      <c r="J573" s="6" t="s">
        <v>829</v>
      </c>
      <c r="K573" s="6"/>
      <c r="L573" s="6"/>
      <c r="M573" s="6"/>
      <c r="N573" s="6"/>
      <c r="O573" s="6"/>
      <c r="P573" s="6"/>
      <c r="Q573" s="6" t="s">
        <v>5</v>
      </c>
      <c r="R573" s="7" t="n">
        <f aca="false">COUNTIF('Label Map'!$D$2:$D$2000,A573)</f>
        <v>1</v>
      </c>
    </row>
    <row r="574" customFormat="false" ht="15" hidden="false" customHeight="false" outlineLevel="0" collapsed="false">
      <c r="A574" s="6" t="s">
        <v>851</v>
      </c>
      <c r="B574" s="6" t="s">
        <v>11</v>
      </c>
      <c r="C574" s="6" t="s">
        <v>3</v>
      </c>
      <c r="D574" s="6" t="s">
        <v>614</v>
      </c>
      <c r="E574" s="6" t="s">
        <v>622</v>
      </c>
      <c r="F574" s="6" t="s">
        <v>829</v>
      </c>
      <c r="G574" s="6" t="s">
        <v>830</v>
      </c>
      <c r="H574" s="6" t="s">
        <v>851</v>
      </c>
      <c r="I574" s="6"/>
      <c r="J574" s="6" t="s">
        <v>829</v>
      </c>
      <c r="K574" s="6"/>
      <c r="L574" s="6"/>
      <c r="M574" s="6"/>
      <c r="N574" s="6"/>
      <c r="O574" s="6"/>
      <c r="P574" s="6"/>
      <c r="Q574" s="6" t="s">
        <v>5</v>
      </c>
      <c r="R574" s="7" t="n">
        <f aca="false">COUNTIF('Label Map'!$D$2:$D$2000,A574)</f>
        <v>1</v>
      </c>
    </row>
    <row r="575" customFormat="false" ht="15" hidden="false" customHeight="false" outlineLevel="0" collapsed="false">
      <c r="A575" s="6" t="s">
        <v>852</v>
      </c>
      <c r="B575" s="6" t="s">
        <v>63</v>
      </c>
      <c r="C575" s="6" t="s">
        <v>3</v>
      </c>
      <c r="D575" s="6" t="s">
        <v>614</v>
      </c>
      <c r="E575" s="6" t="s">
        <v>622</v>
      </c>
      <c r="F575" s="6" t="s">
        <v>829</v>
      </c>
      <c r="G575" s="6" t="s">
        <v>830</v>
      </c>
      <c r="H575" s="6"/>
      <c r="I575" s="6" t="s">
        <v>852</v>
      </c>
      <c r="J575" s="6" t="s">
        <v>829</v>
      </c>
      <c r="K575" s="6"/>
      <c r="L575" s="6"/>
      <c r="M575" s="6"/>
      <c r="N575" s="6"/>
      <c r="O575" s="6"/>
      <c r="P575" s="6"/>
      <c r="Q575" s="6"/>
      <c r="R575" s="7" t="n">
        <f aca="false">COUNTIF('Label Map'!$D$2:$D$2000,A575)</f>
        <v>0</v>
      </c>
    </row>
    <row r="576" customFormat="false" ht="15" hidden="false" customHeight="false" outlineLevel="0" collapsed="false">
      <c r="A576" s="6" t="s">
        <v>853</v>
      </c>
      <c r="B576" s="6" t="s">
        <v>63</v>
      </c>
      <c r="C576" s="6" t="s">
        <v>3</v>
      </c>
      <c r="D576" s="6" t="s">
        <v>614</v>
      </c>
      <c r="E576" s="6" t="s">
        <v>622</v>
      </c>
      <c r="F576" s="6" t="s">
        <v>829</v>
      </c>
      <c r="G576" s="6" t="s">
        <v>830</v>
      </c>
      <c r="H576" s="6"/>
      <c r="I576" s="6" t="s">
        <v>853</v>
      </c>
      <c r="J576" s="6" t="s">
        <v>829</v>
      </c>
      <c r="K576" s="6"/>
      <c r="L576" s="6"/>
      <c r="M576" s="6"/>
      <c r="N576" s="6"/>
      <c r="O576" s="6"/>
      <c r="P576" s="6"/>
      <c r="Q576" s="6"/>
      <c r="R576" s="7" t="n">
        <f aca="false">COUNTIF('Label Map'!$D$2:$D$2000,A576)</f>
        <v>0</v>
      </c>
    </row>
    <row r="577" customFormat="false" ht="15" hidden="false" customHeight="false" outlineLevel="0" collapsed="false">
      <c r="A577" s="6" t="s">
        <v>854</v>
      </c>
      <c r="B577" s="6" t="s">
        <v>9</v>
      </c>
      <c r="C577" s="6" t="s">
        <v>3</v>
      </c>
      <c r="D577" s="6" t="s">
        <v>614</v>
      </c>
      <c r="E577" s="6" t="s">
        <v>622</v>
      </c>
      <c r="F577" s="6" t="s">
        <v>854</v>
      </c>
      <c r="G577" s="6" t="s">
        <v>855</v>
      </c>
      <c r="H577" s="6"/>
      <c r="I577" s="6"/>
      <c r="J577" s="6" t="s">
        <v>622</v>
      </c>
      <c r="K577" s="6" t="s">
        <v>812</v>
      </c>
      <c r="L577" s="6" t="s">
        <v>622</v>
      </c>
      <c r="M577" s="6" t="s">
        <v>650</v>
      </c>
      <c r="N577" s="6"/>
      <c r="O577" s="6" t="s">
        <v>308</v>
      </c>
      <c r="P577" s="6" t="s">
        <v>87</v>
      </c>
      <c r="Q577" s="6"/>
      <c r="R577" s="7" t="n">
        <f aca="false">COUNTIF('Label Map'!$D$2:$D$2000,A577)</f>
        <v>1</v>
      </c>
    </row>
    <row r="578" customFormat="false" ht="15" hidden="false" customHeight="false" outlineLevel="0" collapsed="false">
      <c r="A578" s="6" t="s">
        <v>856</v>
      </c>
      <c r="B578" s="6" t="s">
        <v>9</v>
      </c>
      <c r="C578" s="6" t="s">
        <v>3</v>
      </c>
      <c r="D578" s="6" t="s">
        <v>614</v>
      </c>
      <c r="E578" s="6" t="s">
        <v>622</v>
      </c>
      <c r="F578" s="6" t="s">
        <v>856</v>
      </c>
      <c r="G578" s="6" t="s">
        <v>857</v>
      </c>
      <c r="H578" s="6"/>
      <c r="I578" s="6"/>
      <c r="J578" s="6" t="s">
        <v>622</v>
      </c>
      <c r="K578" s="6" t="s">
        <v>858</v>
      </c>
      <c r="L578" s="6" t="s">
        <v>744</v>
      </c>
      <c r="M578" s="6" t="s">
        <v>636</v>
      </c>
      <c r="N578" s="6"/>
      <c r="O578" s="6" t="s">
        <v>308</v>
      </c>
      <c r="P578" s="6" t="s">
        <v>337</v>
      </c>
      <c r="Q578" s="6"/>
      <c r="R578" s="7" t="n">
        <f aca="false">COUNTIF('Label Map'!$D$2:$D$2000,A578)</f>
        <v>2</v>
      </c>
    </row>
    <row r="579" customFormat="false" ht="15" hidden="false" customHeight="false" outlineLevel="0" collapsed="false">
      <c r="A579" s="6" t="s">
        <v>859</v>
      </c>
      <c r="B579" s="6" t="s">
        <v>9</v>
      </c>
      <c r="C579" s="6" t="s">
        <v>3</v>
      </c>
      <c r="D579" s="6" t="s">
        <v>614</v>
      </c>
      <c r="E579" s="6" t="s">
        <v>622</v>
      </c>
      <c r="F579" s="6" t="s">
        <v>859</v>
      </c>
      <c r="G579" s="6" t="s">
        <v>860</v>
      </c>
      <c r="H579" s="6"/>
      <c r="I579" s="6"/>
      <c r="J579" s="6" t="s">
        <v>622</v>
      </c>
      <c r="K579" s="6" t="s">
        <v>737</v>
      </c>
      <c r="L579" s="6"/>
      <c r="M579" s="6"/>
      <c r="N579" s="6"/>
      <c r="O579" s="6" t="s">
        <v>308</v>
      </c>
      <c r="P579" s="6" t="s">
        <v>337</v>
      </c>
      <c r="Q579" s="6"/>
      <c r="R579" s="7" t="n">
        <f aca="false">COUNTIF('Label Map'!$D$2:$D$2000,A579)</f>
        <v>1</v>
      </c>
    </row>
    <row r="580" customFormat="false" ht="15" hidden="false" customHeight="false" outlineLevel="0" collapsed="false">
      <c r="A580" s="6" t="s">
        <v>861</v>
      </c>
      <c r="B580" s="6" t="s">
        <v>9</v>
      </c>
      <c r="C580" s="6" t="s">
        <v>3</v>
      </c>
      <c r="D580" s="6" t="s">
        <v>614</v>
      </c>
      <c r="E580" s="6" t="s">
        <v>622</v>
      </c>
      <c r="F580" s="6" t="s">
        <v>861</v>
      </c>
      <c r="G580" s="6" t="s">
        <v>862</v>
      </c>
      <c r="H580" s="6"/>
      <c r="I580" s="6"/>
      <c r="J580" s="6" t="s">
        <v>622</v>
      </c>
      <c r="K580" s="6" t="s">
        <v>858</v>
      </c>
      <c r="L580" s="6" t="s">
        <v>744</v>
      </c>
      <c r="M580" s="6" t="s">
        <v>636</v>
      </c>
      <c r="N580" s="6"/>
      <c r="O580" s="6" t="s">
        <v>308</v>
      </c>
      <c r="P580" s="6" t="s">
        <v>468</v>
      </c>
      <c r="Q580" s="6"/>
      <c r="R580" s="7" t="n">
        <f aca="false">COUNTIF('Label Map'!$D$2:$D$2000,A580)</f>
        <v>2</v>
      </c>
    </row>
    <row r="581" customFormat="false" ht="15" hidden="false" customHeight="false" outlineLevel="0" collapsed="false">
      <c r="A581" s="6" t="s">
        <v>863</v>
      </c>
      <c r="B581" s="6" t="s">
        <v>9</v>
      </c>
      <c r="C581" s="6" t="s">
        <v>3</v>
      </c>
      <c r="D581" s="6" t="s">
        <v>614</v>
      </c>
      <c r="E581" s="6" t="s">
        <v>622</v>
      </c>
      <c r="F581" s="6" t="s">
        <v>863</v>
      </c>
      <c r="G581" s="6" t="s">
        <v>864</v>
      </c>
      <c r="H581" s="6"/>
      <c r="I581" s="6"/>
      <c r="J581" s="6" t="s">
        <v>622</v>
      </c>
      <c r="K581" s="6" t="s">
        <v>793</v>
      </c>
      <c r="L581" s="6" t="s">
        <v>622</v>
      </c>
      <c r="M581" s="6" t="s">
        <v>650</v>
      </c>
      <c r="N581" s="6"/>
      <c r="O581" s="6" t="s">
        <v>308</v>
      </c>
      <c r="P581" s="6" t="s">
        <v>87</v>
      </c>
      <c r="Q581" s="6"/>
      <c r="R581" s="7" t="n">
        <f aca="false">COUNTIF('Label Map'!$D$2:$D$2000,A581)</f>
        <v>2</v>
      </c>
    </row>
    <row r="582" customFormat="false" ht="15" hidden="false" customHeight="false" outlineLevel="0" collapsed="false">
      <c r="A582" s="6" t="s">
        <v>865</v>
      </c>
      <c r="B582" s="6" t="s">
        <v>9</v>
      </c>
      <c r="C582" s="6" t="s">
        <v>3</v>
      </c>
      <c r="D582" s="6" t="s">
        <v>614</v>
      </c>
      <c r="E582" s="6" t="s">
        <v>622</v>
      </c>
      <c r="F582" s="6" t="s">
        <v>865</v>
      </c>
      <c r="G582" s="6" t="s">
        <v>866</v>
      </c>
      <c r="H582" s="6"/>
      <c r="I582" s="6"/>
      <c r="J582" s="6" t="s">
        <v>622</v>
      </c>
      <c r="K582" s="6" t="s">
        <v>867</v>
      </c>
      <c r="L582" s="6" t="s">
        <v>622</v>
      </c>
      <c r="M582" s="6" t="s">
        <v>629</v>
      </c>
      <c r="N582" s="6"/>
      <c r="O582" s="6" t="s">
        <v>308</v>
      </c>
      <c r="P582" s="6" t="s">
        <v>87</v>
      </c>
      <c r="Q582" s="6"/>
      <c r="R582" s="7" t="n">
        <f aca="false">COUNTIF('Label Map'!$D$2:$D$2000,A582)</f>
        <v>2</v>
      </c>
    </row>
    <row r="583" customFormat="false" ht="15" hidden="false" customHeight="false" outlineLevel="0" collapsed="false">
      <c r="A583" s="6" t="s">
        <v>868</v>
      </c>
      <c r="B583" s="6" t="s">
        <v>9</v>
      </c>
      <c r="C583" s="6" t="s">
        <v>3</v>
      </c>
      <c r="D583" s="6" t="s">
        <v>614</v>
      </c>
      <c r="E583" s="6" t="s">
        <v>622</v>
      </c>
      <c r="F583" s="6" t="s">
        <v>868</v>
      </c>
      <c r="G583" s="6" t="s">
        <v>869</v>
      </c>
      <c r="H583" s="6"/>
      <c r="I583" s="6"/>
      <c r="J583" s="6" t="s">
        <v>622</v>
      </c>
      <c r="K583" s="6" t="s">
        <v>793</v>
      </c>
      <c r="L583" s="6" t="s">
        <v>622</v>
      </c>
      <c r="M583" s="6" t="s">
        <v>650</v>
      </c>
      <c r="N583" s="6"/>
      <c r="O583" s="6" t="s">
        <v>308</v>
      </c>
      <c r="P583" s="6" t="s">
        <v>87</v>
      </c>
      <c r="Q583" s="6"/>
      <c r="R583" s="7" t="n">
        <f aca="false">COUNTIF('Label Map'!$D$2:$D$2000,A583)</f>
        <v>2</v>
      </c>
    </row>
    <row r="584" customFormat="false" ht="15" hidden="false" customHeight="false" outlineLevel="0" collapsed="false">
      <c r="A584" s="6" t="s">
        <v>870</v>
      </c>
      <c r="B584" s="6" t="s">
        <v>9</v>
      </c>
      <c r="C584" s="6" t="s">
        <v>3</v>
      </c>
      <c r="D584" s="6" t="s">
        <v>614</v>
      </c>
      <c r="E584" s="6" t="s">
        <v>622</v>
      </c>
      <c r="F584" s="6" t="s">
        <v>870</v>
      </c>
      <c r="G584" s="6" t="s">
        <v>871</v>
      </c>
      <c r="H584" s="6"/>
      <c r="I584" s="6"/>
      <c r="J584" s="6" t="s">
        <v>622</v>
      </c>
      <c r="K584" s="6" t="s">
        <v>766</v>
      </c>
      <c r="L584" s="6" t="s">
        <v>622</v>
      </c>
      <c r="M584" s="6" t="s">
        <v>629</v>
      </c>
      <c r="N584" s="6"/>
      <c r="O584" s="6" t="s">
        <v>308</v>
      </c>
      <c r="P584" s="6" t="s">
        <v>87</v>
      </c>
      <c r="Q584" s="6"/>
      <c r="R584" s="7" t="n">
        <f aca="false">COUNTIF('Label Map'!$D$2:$D$2000,A584)</f>
        <v>3</v>
      </c>
    </row>
    <row r="585" customFormat="false" ht="15" hidden="false" customHeight="false" outlineLevel="0" collapsed="false">
      <c r="A585" s="6" t="s">
        <v>872</v>
      </c>
      <c r="B585" s="6" t="s">
        <v>63</v>
      </c>
      <c r="C585" s="6" t="s">
        <v>3</v>
      </c>
      <c r="D585" s="6" t="s">
        <v>614</v>
      </c>
      <c r="E585" s="6" t="s">
        <v>622</v>
      </c>
      <c r="F585" s="6" t="s">
        <v>870</v>
      </c>
      <c r="G585" s="6" t="s">
        <v>871</v>
      </c>
      <c r="H585" s="6"/>
      <c r="I585" s="6" t="s">
        <v>872</v>
      </c>
      <c r="J585" s="6" t="s">
        <v>870</v>
      </c>
      <c r="K585" s="6"/>
      <c r="L585" s="6"/>
      <c r="M585" s="6"/>
      <c r="N585" s="6"/>
      <c r="O585" s="6"/>
      <c r="P585" s="6"/>
      <c r="Q585" s="6"/>
      <c r="R585" s="7" t="n">
        <f aca="false">COUNTIF('Label Map'!$D$2:$D$2000,A585)</f>
        <v>0</v>
      </c>
    </row>
    <row r="586" customFormat="false" ht="15" hidden="false" customHeight="false" outlineLevel="0" collapsed="false">
      <c r="A586" s="6" t="s">
        <v>873</v>
      </c>
      <c r="B586" s="6" t="s">
        <v>9</v>
      </c>
      <c r="C586" s="6" t="s">
        <v>3</v>
      </c>
      <c r="D586" s="6" t="s">
        <v>614</v>
      </c>
      <c r="E586" s="6" t="s">
        <v>622</v>
      </c>
      <c r="F586" s="6" t="s">
        <v>873</v>
      </c>
      <c r="G586" s="6" t="s">
        <v>874</v>
      </c>
      <c r="H586" s="6"/>
      <c r="I586" s="6"/>
      <c r="J586" s="6" t="s">
        <v>622</v>
      </c>
      <c r="K586" s="6" t="s">
        <v>782</v>
      </c>
      <c r="L586" s="6" t="s">
        <v>622</v>
      </c>
      <c r="M586" s="6" t="s">
        <v>656</v>
      </c>
      <c r="N586" s="6"/>
      <c r="O586" s="6" t="s">
        <v>875</v>
      </c>
      <c r="P586" s="6" t="s">
        <v>87</v>
      </c>
      <c r="Q586" s="6"/>
      <c r="R586" s="7" t="n">
        <f aca="false">COUNTIF('Label Map'!$D$2:$D$2000,A586)</f>
        <v>2</v>
      </c>
    </row>
    <row r="587" customFormat="false" ht="15" hidden="false" customHeight="false" outlineLevel="0" collapsed="false">
      <c r="A587" s="6" t="s">
        <v>876</v>
      </c>
      <c r="B587" s="6" t="s">
        <v>9</v>
      </c>
      <c r="C587" s="6" t="s">
        <v>3</v>
      </c>
      <c r="D587" s="6" t="s">
        <v>614</v>
      </c>
      <c r="E587" s="6" t="s">
        <v>622</v>
      </c>
      <c r="F587" s="6" t="s">
        <v>876</v>
      </c>
      <c r="G587" s="6" t="s">
        <v>877</v>
      </c>
      <c r="H587" s="6"/>
      <c r="I587" s="6"/>
      <c r="J587" s="6" t="s">
        <v>622</v>
      </c>
      <c r="K587" s="6" t="s">
        <v>878</v>
      </c>
      <c r="L587" s="6" t="s">
        <v>622</v>
      </c>
      <c r="M587" s="6" t="s">
        <v>642</v>
      </c>
      <c r="N587" s="6"/>
      <c r="O587" s="6" t="s">
        <v>308</v>
      </c>
      <c r="P587" s="6" t="s">
        <v>337</v>
      </c>
      <c r="Q587" s="6"/>
      <c r="R587" s="7" t="n">
        <f aca="false">COUNTIF('Label Map'!$D$2:$D$2000,A587)</f>
        <v>3</v>
      </c>
    </row>
    <row r="588" customFormat="false" ht="15" hidden="false" customHeight="false" outlineLevel="0" collapsed="false">
      <c r="A588" s="6" t="s">
        <v>879</v>
      </c>
      <c r="B588" s="6" t="s">
        <v>9</v>
      </c>
      <c r="C588" s="6" t="s">
        <v>3</v>
      </c>
      <c r="D588" s="6" t="s">
        <v>614</v>
      </c>
      <c r="E588" s="6" t="s">
        <v>622</v>
      </c>
      <c r="F588" s="6" t="s">
        <v>879</v>
      </c>
      <c r="G588" s="6" t="s">
        <v>880</v>
      </c>
      <c r="H588" s="6"/>
      <c r="I588" s="6"/>
      <c r="J588" s="6" t="s">
        <v>622</v>
      </c>
      <c r="K588" s="6" t="s">
        <v>629</v>
      </c>
      <c r="L588" s="6" t="s">
        <v>622</v>
      </c>
      <c r="M588" s="6" t="s">
        <v>629</v>
      </c>
      <c r="N588" s="6"/>
      <c r="O588" s="6" t="s">
        <v>308</v>
      </c>
      <c r="P588" s="6" t="s">
        <v>87</v>
      </c>
      <c r="Q588" s="6"/>
      <c r="R588" s="7" t="n">
        <f aca="false">COUNTIF('Label Map'!$D$2:$D$2000,A588)</f>
        <v>2</v>
      </c>
    </row>
    <row r="589" customFormat="false" ht="15" hidden="false" customHeight="false" outlineLevel="0" collapsed="false">
      <c r="A589" s="6" t="s">
        <v>881</v>
      </c>
      <c r="B589" s="6" t="s">
        <v>9</v>
      </c>
      <c r="C589" s="6" t="s">
        <v>3</v>
      </c>
      <c r="D589" s="6" t="s">
        <v>614</v>
      </c>
      <c r="E589" s="6" t="s">
        <v>622</v>
      </c>
      <c r="F589" s="6" t="s">
        <v>881</v>
      </c>
      <c r="G589" s="6" t="s">
        <v>882</v>
      </c>
      <c r="H589" s="6"/>
      <c r="I589" s="6"/>
      <c r="J589" s="6" t="s">
        <v>622</v>
      </c>
      <c r="K589" s="6" t="s">
        <v>737</v>
      </c>
      <c r="L589" s="6" t="s">
        <v>622</v>
      </c>
      <c r="M589" s="6" t="s">
        <v>656</v>
      </c>
      <c r="N589" s="6"/>
      <c r="O589" s="6" t="s">
        <v>308</v>
      </c>
      <c r="P589" s="6" t="s">
        <v>337</v>
      </c>
      <c r="Q589" s="6"/>
      <c r="R589" s="7" t="n">
        <f aca="false">COUNTIF('Label Map'!$D$2:$D$2000,A589)</f>
        <v>1</v>
      </c>
    </row>
    <row r="590" customFormat="false" ht="15" hidden="false" customHeight="false" outlineLevel="0" collapsed="false">
      <c r="A590" s="6" t="s">
        <v>883</v>
      </c>
      <c r="B590" s="6" t="s">
        <v>9</v>
      </c>
      <c r="C590" s="6" t="s">
        <v>3</v>
      </c>
      <c r="D590" s="6" t="s">
        <v>614</v>
      </c>
      <c r="E590" s="6" t="s">
        <v>622</v>
      </c>
      <c r="F590" s="6" t="s">
        <v>883</v>
      </c>
      <c r="G590" s="6" t="s">
        <v>884</v>
      </c>
      <c r="H590" s="6"/>
      <c r="I590" s="6"/>
      <c r="J590" s="6" t="s">
        <v>622</v>
      </c>
      <c r="K590" s="6" t="s">
        <v>766</v>
      </c>
      <c r="L590" s="6" t="s">
        <v>622</v>
      </c>
      <c r="M590" s="6" t="s">
        <v>629</v>
      </c>
      <c r="N590" s="6"/>
      <c r="O590" s="6" t="s">
        <v>308</v>
      </c>
      <c r="P590" s="6" t="s">
        <v>87</v>
      </c>
      <c r="Q590" s="6"/>
      <c r="R590" s="7" t="n">
        <f aca="false">COUNTIF('Label Map'!$D$2:$D$2000,A590)</f>
        <v>6</v>
      </c>
    </row>
    <row r="591" customFormat="false" ht="15" hidden="false" customHeight="false" outlineLevel="0" collapsed="false">
      <c r="A591" s="6" t="s">
        <v>885</v>
      </c>
      <c r="B591" s="6" t="s">
        <v>11</v>
      </c>
      <c r="C591" s="6" t="s">
        <v>3</v>
      </c>
      <c r="D591" s="6" t="s">
        <v>614</v>
      </c>
      <c r="E591" s="6" t="s">
        <v>622</v>
      </c>
      <c r="F591" s="6" t="s">
        <v>883</v>
      </c>
      <c r="G591" s="6" t="s">
        <v>884</v>
      </c>
      <c r="H591" s="6" t="s">
        <v>885</v>
      </c>
      <c r="I591" s="6"/>
      <c r="J591" s="6" t="s">
        <v>883</v>
      </c>
      <c r="K591" s="6"/>
      <c r="L591" s="6"/>
      <c r="M591" s="6"/>
      <c r="N591" s="6"/>
      <c r="O591" s="6"/>
      <c r="P591" s="6"/>
      <c r="Q591" s="6" t="s">
        <v>280</v>
      </c>
      <c r="R591" s="7" t="n">
        <f aca="false">COUNTIF('Label Map'!$D$2:$D$2000,A591)</f>
        <v>1</v>
      </c>
    </row>
    <row r="592" customFormat="false" ht="15" hidden="false" customHeight="false" outlineLevel="0" collapsed="false">
      <c r="A592" s="6" t="s">
        <v>886</v>
      </c>
      <c r="B592" s="6" t="s">
        <v>11</v>
      </c>
      <c r="C592" s="6" t="s">
        <v>3</v>
      </c>
      <c r="D592" s="6" t="s">
        <v>614</v>
      </c>
      <c r="E592" s="6" t="s">
        <v>622</v>
      </c>
      <c r="F592" s="6" t="s">
        <v>883</v>
      </c>
      <c r="G592" s="6" t="s">
        <v>884</v>
      </c>
      <c r="H592" s="6" t="s">
        <v>886</v>
      </c>
      <c r="I592" s="6"/>
      <c r="J592" s="6" t="s">
        <v>883</v>
      </c>
      <c r="K592" s="6"/>
      <c r="L592" s="6"/>
      <c r="M592" s="6"/>
      <c r="N592" s="6"/>
      <c r="O592" s="6"/>
      <c r="P592" s="6"/>
      <c r="Q592" s="6" t="s">
        <v>280</v>
      </c>
      <c r="R592" s="7" t="n">
        <f aca="false">COUNTIF('Label Map'!$D$2:$D$2000,A592)</f>
        <v>1</v>
      </c>
    </row>
    <row r="593" customFormat="false" ht="15" hidden="false" customHeight="false" outlineLevel="0" collapsed="false">
      <c r="A593" s="6" t="s">
        <v>887</v>
      </c>
      <c r="B593" s="6" t="s">
        <v>11</v>
      </c>
      <c r="C593" s="6" t="s">
        <v>3</v>
      </c>
      <c r="D593" s="6" t="s">
        <v>614</v>
      </c>
      <c r="E593" s="6" t="s">
        <v>622</v>
      </c>
      <c r="F593" s="6" t="s">
        <v>883</v>
      </c>
      <c r="G593" s="6" t="s">
        <v>884</v>
      </c>
      <c r="H593" s="6" t="s">
        <v>887</v>
      </c>
      <c r="I593" s="6"/>
      <c r="J593" s="6" t="s">
        <v>883</v>
      </c>
      <c r="K593" s="6"/>
      <c r="L593" s="6"/>
      <c r="M593" s="6"/>
      <c r="N593" s="6"/>
      <c r="O593" s="6"/>
      <c r="P593" s="6"/>
      <c r="Q593" s="6" t="s">
        <v>280</v>
      </c>
      <c r="R593" s="7" t="n">
        <f aca="false">COUNTIF('Label Map'!$D$2:$D$2000,A593)</f>
        <v>1</v>
      </c>
    </row>
    <row r="594" customFormat="false" ht="15" hidden="false" customHeight="false" outlineLevel="0" collapsed="false">
      <c r="A594" s="6" t="s">
        <v>888</v>
      </c>
      <c r="B594" s="6" t="s">
        <v>11</v>
      </c>
      <c r="C594" s="6" t="s">
        <v>3</v>
      </c>
      <c r="D594" s="6" t="s">
        <v>614</v>
      </c>
      <c r="E594" s="6" t="s">
        <v>622</v>
      </c>
      <c r="F594" s="6" t="s">
        <v>883</v>
      </c>
      <c r="G594" s="6" t="s">
        <v>884</v>
      </c>
      <c r="H594" s="6" t="s">
        <v>888</v>
      </c>
      <c r="I594" s="6"/>
      <c r="J594" s="6" t="s">
        <v>883</v>
      </c>
      <c r="K594" s="6"/>
      <c r="L594" s="6"/>
      <c r="M594" s="6"/>
      <c r="N594" s="6"/>
      <c r="O594" s="6"/>
      <c r="P594" s="6"/>
      <c r="Q594" s="6" t="s">
        <v>280</v>
      </c>
      <c r="R594" s="7" t="n">
        <f aca="false">COUNTIF('Label Map'!$D$2:$D$2000,A594)</f>
        <v>1</v>
      </c>
    </row>
    <row r="595" customFormat="false" ht="15" hidden="false" customHeight="false" outlineLevel="0" collapsed="false">
      <c r="A595" s="6" t="s">
        <v>889</v>
      </c>
      <c r="B595" s="6" t="s">
        <v>11</v>
      </c>
      <c r="C595" s="6" t="s">
        <v>3</v>
      </c>
      <c r="D595" s="6" t="s">
        <v>614</v>
      </c>
      <c r="E595" s="6" t="s">
        <v>622</v>
      </c>
      <c r="F595" s="6" t="s">
        <v>883</v>
      </c>
      <c r="G595" s="6" t="s">
        <v>884</v>
      </c>
      <c r="H595" s="6" t="s">
        <v>889</v>
      </c>
      <c r="I595" s="6"/>
      <c r="J595" s="6" t="s">
        <v>883</v>
      </c>
      <c r="K595" s="6"/>
      <c r="L595" s="6"/>
      <c r="M595" s="6"/>
      <c r="N595" s="6"/>
      <c r="O595" s="6"/>
      <c r="P595" s="6"/>
      <c r="Q595" s="6" t="s">
        <v>280</v>
      </c>
      <c r="R595" s="7" t="n">
        <f aca="false">COUNTIF('Label Map'!$D$2:$D$2000,A595)</f>
        <v>1</v>
      </c>
    </row>
    <row r="596" customFormat="false" ht="15" hidden="false" customHeight="false" outlineLevel="0" collapsed="false">
      <c r="A596" s="6" t="s">
        <v>890</v>
      </c>
      <c r="B596" s="6" t="s">
        <v>11</v>
      </c>
      <c r="C596" s="6" t="s">
        <v>3</v>
      </c>
      <c r="D596" s="6" t="s">
        <v>614</v>
      </c>
      <c r="E596" s="6" t="s">
        <v>622</v>
      </c>
      <c r="F596" s="6" t="s">
        <v>883</v>
      </c>
      <c r="G596" s="6" t="s">
        <v>884</v>
      </c>
      <c r="H596" s="6" t="s">
        <v>890</v>
      </c>
      <c r="I596" s="6"/>
      <c r="J596" s="6" t="s">
        <v>883</v>
      </c>
      <c r="K596" s="6"/>
      <c r="L596" s="6"/>
      <c r="M596" s="6"/>
      <c r="N596" s="6"/>
      <c r="O596" s="6"/>
      <c r="P596" s="6"/>
      <c r="Q596" s="6" t="s">
        <v>280</v>
      </c>
      <c r="R596" s="7" t="n">
        <f aca="false">COUNTIF('Label Map'!$D$2:$D$2000,A596)</f>
        <v>1</v>
      </c>
    </row>
    <row r="597" customFormat="false" ht="15" hidden="false" customHeight="false" outlineLevel="0" collapsed="false">
      <c r="A597" s="6" t="s">
        <v>891</v>
      </c>
      <c r="B597" s="6" t="s">
        <v>11</v>
      </c>
      <c r="C597" s="6" t="s">
        <v>3</v>
      </c>
      <c r="D597" s="6" t="s">
        <v>614</v>
      </c>
      <c r="E597" s="6" t="s">
        <v>622</v>
      </c>
      <c r="F597" s="6" t="s">
        <v>883</v>
      </c>
      <c r="G597" s="6" t="s">
        <v>884</v>
      </c>
      <c r="H597" s="6" t="s">
        <v>891</v>
      </c>
      <c r="I597" s="6"/>
      <c r="J597" s="6" t="s">
        <v>883</v>
      </c>
      <c r="K597" s="6"/>
      <c r="L597" s="6"/>
      <c r="M597" s="6"/>
      <c r="N597" s="6"/>
      <c r="O597" s="6"/>
      <c r="P597" s="6"/>
      <c r="Q597" s="6" t="s">
        <v>280</v>
      </c>
      <c r="R597" s="7" t="n">
        <f aca="false">COUNTIF('Label Map'!$D$2:$D$2000,A597)</f>
        <v>1</v>
      </c>
    </row>
    <row r="598" customFormat="false" ht="15" hidden="false" customHeight="false" outlineLevel="0" collapsed="false">
      <c r="A598" s="6" t="s">
        <v>892</v>
      </c>
      <c r="B598" s="6" t="s">
        <v>11</v>
      </c>
      <c r="C598" s="6" t="s">
        <v>3</v>
      </c>
      <c r="D598" s="6" t="s">
        <v>614</v>
      </c>
      <c r="E598" s="6" t="s">
        <v>622</v>
      </c>
      <c r="F598" s="6" t="s">
        <v>883</v>
      </c>
      <c r="G598" s="6" t="s">
        <v>884</v>
      </c>
      <c r="H598" s="6" t="s">
        <v>892</v>
      </c>
      <c r="I598" s="6"/>
      <c r="J598" s="6" t="s">
        <v>883</v>
      </c>
      <c r="K598" s="6"/>
      <c r="L598" s="6"/>
      <c r="M598" s="6"/>
      <c r="N598" s="6"/>
      <c r="O598" s="6"/>
      <c r="P598" s="6"/>
      <c r="Q598" s="6" t="s">
        <v>280</v>
      </c>
      <c r="R598" s="7" t="n">
        <f aca="false">COUNTIF('Label Map'!$D$2:$D$2000,A598)</f>
        <v>2</v>
      </c>
    </row>
    <row r="599" customFormat="false" ht="15" hidden="false" customHeight="false" outlineLevel="0" collapsed="false">
      <c r="A599" s="6" t="s">
        <v>893</v>
      </c>
      <c r="B599" s="6" t="s">
        <v>11</v>
      </c>
      <c r="C599" s="6" t="s">
        <v>3</v>
      </c>
      <c r="D599" s="6" t="s">
        <v>614</v>
      </c>
      <c r="E599" s="6" t="s">
        <v>622</v>
      </c>
      <c r="F599" s="6" t="s">
        <v>883</v>
      </c>
      <c r="G599" s="6" t="s">
        <v>884</v>
      </c>
      <c r="H599" s="6" t="s">
        <v>893</v>
      </c>
      <c r="I599" s="6"/>
      <c r="J599" s="6" t="s">
        <v>883</v>
      </c>
      <c r="K599" s="6"/>
      <c r="L599" s="6"/>
      <c r="M599" s="6"/>
      <c r="N599" s="6"/>
      <c r="O599" s="6"/>
      <c r="P599" s="6"/>
      <c r="Q599" s="6" t="s">
        <v>280</v>
      </c>
      <c r="R599" s="7" t="n">
        <f aca="false">COUNTIF('Label Map'!$D$2:$D$2000,A599)</f>
        <v>1</v>
      </c>
    </row>
    <row r="600" customFormat="false" ht="15" hidden="false" customHeight="false" outlineLevel="0" collapsed="false">
      <c r="A600" s="6" t="s">
        <v>894</v>
      </c>
      <c r="B600" s="6" t="s">
        <v>11</v>
      </c>
      <c r="C600" s="6" t="s">
        <v>3</v>
      </c>
      <c r="D600" s="6" t="s">
        <v>614</v>
      </c>
      <c r="E600" s="6" t="s">
        <v>622</v>
      </c>
      <c r="F600" s="6" t="s">
        <v>883</v>
      </c>
      <c r="G600" s="6" t="s">
        <v>884</v>
      </c>
      <c r="H600" s="6" t="s">
        <v>894</v>
      </c>
      <c r="I600" s="6"/>
      <c r="J600" s="6" t="s">
        <v>883</v>
      </c>
      <c r="K600" s="6"/>
      <c r="L600" s="6"/>
      <c r="M600" s="6"/>
      <c r="N600" s="6"/>
      <c r="O600" s="6"/>
      <c r="P600" s="6"/>
      <c r="Q600" s="6" t="s">
        <v>280</v>
      </c>
      <c r="R600" s="7" t="n">
        <f aca="false">COUNTIF('Label Map'!$D$2:$D$2000,A600)</f>
        <v>1</v>
      </c>
    </row>
    <row r="601" customFormat="false" ht="15" hidden="false" customHeight="false" outlineLevel="0" collapsed="false">
      <c r="A601" s="6" t="s">
        <v>895</v>
      </c>
      <c r="B601" s="6" t="s">
        <v>11</v>
      </c>
      <c r="C601" s="6" t="s">
        <v>3</v>
      </c>
      <c r="D601" s="6" t="s">
        <v>614</v>
      </c>
      <c r="E601" s="6" t="s">
        <v>622</v>
      </c>
      <c r="F601" s="6" t="s">
        <v>883</v>
      </c>
      <c r="G601" s="6" t="s">
        <v>884</v>
      </c>
      <c r="H601" s="6" t="s">
        <v>895</v>
      </c>
      <c r="I601" s="6"/>
      <c r="J601" s="6" t="s">
        <v>883</v>
      </c>
      <c r="K601" s="6"/>
      <c r="L601" s="6"/>
      <c r="M601" s="6"/>
      <c r="N601" s="6"/>
      <c r="O601" s="6"/>
      <c r="P601" s="6"/>
      <c r="Q601" s="6" t="s">
        <v>280</v>
      </c>
      <c r="R601" s="7" t="n">
        <f aca="false">COUNTIF('Label Map'!$D$2:$D$2000,A601)</f>
        <v>1</v>
      </c>
    </row>
    <row r="602" customFormat="false" ht="15" hidden="false" customHeight="false" outlineLevel="0" collapsed="false">
      <c r="A602" s="6" t="s">
        <v>896</v>
      </c>
      <c r="B602" s="6" t="s">
        <v>11</v>
      </c>
      <c r="C602" s="6" t="s">
        <v>3</v>
      </c>
      <c r="D602" s="6" t="s">
        <v>614</v>
      </c>
      <c r="E602" s="6" t="s">
        <v>622</v>
      </c>
      <c r="F602" s="6" t="s">
        <v>883</v>
      </c>
      <c r="G602" s="6" t="s">
        <v>884</v>
      </c>
      <c r="H602" s="6" t="s">
        <v>896</v>
      </c>
      <c r="I602" s="6"/>
      <c r="J602" s="6" t="s">
        <v>883</v>
      </c>
      <c r="K602" s="6"/>
      <c r="L602" s="6"/>
      <c r="M602" s="6"/>
      <c r="N602" s="6"/>
      <c r="O602" s="6"/>
      <c r="P602" s="6"/>
      <c r="Q602" s="6" t="s">
        <v>280</v>
      </c>
      <c r="R602" s="7" t="n">
        <f aca="false">COUNTIF('Label Map'!$D$2:$D$2000,A602)</f>
        <v>0</v>
      </c>
    </row>
    <row r="603" customFormat="false" ht="15" hidden="false" customHeight="false" outlineLevel="0" collapsed="false">
      <c r="A603" s="6" t="s">
        <v>897</v>
      </c>
      <c r="B603" s="6" t="s">
        <v>63</v>
      </c>
      <c r="C603" s="6" t="s">
        <v>3</v>
      </c>
      <c r="D603" s="6" t="s">
        <v>614</v>
      </c>
      <c r="E603" s="6" t="s">
        <v>622</v>
      </c>
      <c r="F603" s="6" t="s">
        <v>883</v>
      </c>
      <c r="G603" s="6" t="s">
        <v>884</v>
      </c>
      <c r="H603" s="6"/>
      <c r="I603" s="6" t="s">
        <v>897</v>
      </c>
      <c r="J603" s="6" t="s">
        <v>883</v>
      </c>
      <c r="K603" s="6"/>
      <c r="L603" s="6"/>
      <c r="M603" s="6"/>
      <c r="N603" s="6"/>
      <c r="O603" s="6"/>
      <c r="P603" s="6"/>
      <c r="Q603" s="6"/>
      <c r="R603" s="7" t="n">
        <f aca="false">COUNTIF('Label Map'!$D$2:$D$2000,A603)</f>
        <v>0</v>
      </c>
    </row>
    <row r="604" customFormat="false" ht="15" hidden="false" customHeight="false" outlineLevel="0" collapsed="false">
      <c r="A604" s="6" t="s">
        <v>898</v>
      </c>
      <c r="B604" s="6" t="s">
        <v>63</v>
      </c>
      <c r="C604" s="6" t="s">
        <v>3</v>
      </c>
      <c r="D604" s="6" t="s">
        <v>614</v>
      </c>
      <c r="E604" s="6" t="s">
        <v>622</v>
      </c>
      <c r="F604" s="6" t="s">
        <v>883</v>
      </c>
      <c r="G604" s="6" t="s">
        <v>884</v>
      </c>
      <c r="H604" s="6"/>
      <c r="I604" s="6" t="s">
        <v>898</v>
      </c>
      <c r="J604" s="6" t="s">
        <v>883</v>
      </c>
      <c r="K604" s="6"/>
      <c r="L604" s="6"/>
      <c r="M604" s="6"/>
      <c r="N604" s="6"/>
      <c r="O604" s="6"/>
      <c r="P604" s="6"/>
      <c r="Q604" s="6"/>
      <c r="R604" s="7" t="n">
        <f aca="false">COUNTIF('Label Map'!$D$2:$D$2000,A604)</f>
        <v>0</v>
      </c>
    </row>
    <row r="605" customFormat="false" ht="15" hidden="false" customHeight="false" outlineLevel="0" collapsed="false">
      <c r="A605" s="6" t="s">
        <v>899</v>
      </c>
      <c r="B605" s="6" t="s">
        <v>9</v>
      </c>
      <c r="C605" s="6" t="s">
        <v>3</v>
      </c>
      <c r="D605" s="6" t="s">
        <v>614</v>
      </c>
      <c r="E605" s="6" t="s">
        <v>622</v>
      </c>
      <c r="F605" s="6" t="s">
        <v>899</v>
      </c>
      <c r="G605" s="6" t="s">
        <v>900</v>
      </c>
      <c r="H605" s="6"/>
      <c r="I605" s="6"/>
      <c r="J605" s="6" t="s">
        <v>622</v>
      </c>
      <c r="K605" s="6" t="s">
        <v>901</v>
      </c>
      <c r="L605" s="6" t="s">
        <v>622</v>
      </c>
      <c r="M605" s="6" t="s">
        <v>656</v>
      </c>
      <c r="N605" s="6"/>
      <c r="O605" s="6" t="s">
        <v>308</v>
      </c>
      <c r="P605" s="6" t="s">
        <v>337</v>
      </c>
      <c r="Q605" s="6"/>
      <c r="R605" s="7" t="n">
        <f aca="false">COUNTIF('Label Map'!$D$2:$D$2000,A605)</f>
        <v>3</v>
      </c>
    </row>
    <row r="606" customFormat="false" ht="15" hidden="false" customHeight="false" outlineLevel="0" collapsed="false">
      <c r="A606" s="6" t="s">
        <v>902</v>
      </c>
      <c r="B606" s="6" t="s">
        <v>9</v>
      </c>
      <c r="C606" s="6" t="s">
        <v>3</v>
      </c>
      <c r="D606" s="6" t="s">
        <v>614</v>
      </c>
      <c r="E606" s="6" t="s">
        <v>622</v>
      </c>
      <c r="F606" s="6" t="s">
        <v>902</v>
      </c>
      <c r="G606" s="6" t="s">
        <v>903</v>
      </c>
      <c r="H606" s="6"/>
      <c r="I606" s="6"/>
      <c r="J606" s="6" t="s">
        <v>622</v>
      </c>
      <c r="K606" s="6" t="s">
        <v>904</v>
      </c>
      <c r="L606" s="6" t="s">
        <v>622</v>
      </c>
      <c r="M606" s="6" t="s">
        <v>650</v>
      </c>
      <c r="N606" s="6"/>
      <c r="O606" s="6" t="s">
        <v>308</v>
      </c>
      <c r="P606" s="6" t="s">
        <v>87</v>
      </c>
      <c r="Q606" s="6"/>
      <c r="R606" s="7" t="n">
        <f aca="false">COUNTIF('Label Map'!$D$2:$D$2000,A606)</f>
        <v>2</v>
      </c>
    </row>
    <row r="607" customFormat="false" ht="15" hidden="false" customHeight="false" outlineLevel="0" collapsed="false">
      <c r="A607" s="6" t="s">
        <v>905</v>
      </c>
      <c r="B607" s="6" t="s">
        <v>63</v>
      </c>
      <c r="C607" s="6" t="s">
        <v>3</v>
      </c>
      <c r="D607" s="6" t="s">
        <v>614</v>
      </c>
      <c r="E607" s="6" t="s">
        <v>622</v>
      </c>
      <c r="F607" s="6" t="s">
        <v>902</v>
      </c>
      <c r="G607" s="6" t="s">
        <v>903</v>
      </c>
      <c r="H607" s="6"/>
      <c r="I607" s="6" t="s">
        <v>905</v>
      </c>
      <c r="J607" s="6" t="s">
        <v>902</v>
      </c>
      <c r="K607" s="6"/>
      <c r="L607" s="6"/>
      <c r="M607" s="6"/>
      <c r="N607" s="6"/>
      <c r="O607" s="6"/>
      <c r="P607" s="6"/>
      <c r="Q607" s="6"/>
      <c r="R607" s="7" t="n">
        <f aca="false">COUNTIF('Label Map'!$D$2:$D$2000,A607)</f>
        <v>0</v>
      </c>
    </row>
    <row r="608" customFormat="false" ht="15" hidden="false" customHeight="false" outlineLevel="0" collapsed="false">
      <c r="A608" s="6" t="s">
        <v>906</v>
      </c>
      <c r="B608" s="6" t="s">
        <v>9</v>
      </c>
      <c r="C608" s="6" t="s">
        <v>3</v>
      </c>
      <c r="D608" s="6" t="s">
        <v>614</v>
      </c>
      <c r="E608" s="6" t="s">
        <v>622</v>
      </c>
      <c r="F608" s="6" t="s">
        <v>906</v>
      </c>
      <c r="G608" s="6" t="s">
        <v>907</v>
      </c>
      <c r="H608" s="6"/>
      <c r="I608" s="6"/>
      <c r="J608" s="6" t="s">
        <v>622</v>
      </c>
      <c r="K608" s="6" t="s">
        <v>785</v>
      </c>
      <c r="L608" s="6" t="s">
        <v>622</v>
      </c>
      <c r="M608" s="6" t="s">
        <v>642</v>
      </c>
      <c r="N608" s="6"/>
      <c r="O608" s="6" t="s">
        <v>308</v>
      </c>
      <c r="P608" s="6" t="s">
        <v>87</v>
      </c>
      <c r="Q608" s="6"/>
      <c r="R608" s="7" t="n">
        <f aca="false">COUNTIF('Label Map'!$D$2:$D$2000,A608)</f>
        <v>3</v>
      </c>
    </row>
    <row r="609" customFormat="false" ht="15" hidden="false" customHeight="false" outlineLevel="0" collapsed="false">
      <c r="A609" s="6" t="s">
        <v>908</v>
      </c>
      <c r="B609" s="6" t="s">
        <v>11</v>
      </c>
      <c r="C609" s="6" t="s">
        <v>3</v>
      </c>
      <c r="D609" s="6" t="s">
        <v>614</v>
      </c>
      <c r="E609" s="6" t="s">
        <v>622</v>
      </c>
      <c r="F609" s="6" t="s">
        <v>906</v>
      </c>
      <c r="G609" s="6" t="s">
        <v>907</v>
      </c>
      <c r="H609" s="6" t="s">
        <v>908</v>
      </c>
      <c r="I609" s="6"/>
      <c r="J609" s="6" t="s">
        <v>906</v>
      </c>
      <c r="K609" s="6"/>
      <c r="L609" s="6"/>
      <c r="M609" s="6"/>
      <c r="N609" s="6"/>
      <c r="O609" s="6"/>
      <c r="P609" s="6"/>
      <c r="Q609" s="6" t="s">
        <v>909</v>
      </c>
      <c r="R609" s="7" t="n">
        <f aca="false">COUNTIF('Label Map'!$D$2:$D$2000,A609)</f>
        <v>1</v>
      </c>
    </row>
    <row r="610" customFormat="false" ht="15" hidden="false" customHeight="false" outlineLevel="0" collapsed="false">
      <c r="A610" s="6" t="s">
        <v>910</v>
      </c>
      <c r="B610" s="6" t="s">
        <v>11</v>
      </c>
      <c r="C610" s="6" t="s">
        <v>3</v>
      </c>
      <c r="D610" s="6" t="s">
        <v>614</v>
      </c>
      <c r="E610" s="6" t="s">
        <v>622</v>
      </c>
      <c r="F610" s="6" t="s">
        <v>906</v>
      </c>
      <c r="G610" s="6" t="s">
        <v>907</v>
      </c>
      <c r="H610" s="6" t="s">
        <v>910</v>
      </c>
      <c r="I610" s="6"/>
      <c r="J610" s="6" t="s">
        <v>906</v>
      </c>
      <c r="K610" s="6"/>
      <c r="L610" s="6"/>
      <c r="M610" s="6"/>
      <c r="N610" s="6"/>
      <c r="O610" s="6"/>
      <c r="P610" s="6"/>
      <c r="Q610" s="6" t="s">
        <v>909</v>
      </c>
      <c r="R610" s="7" t="n">
        <f aca="false">COUNTIF('Label Map'!$D$2:$D$2000,A610)</f>
        <v>1</v>
      </c>
    </row>
    <row r="611" customFormat="false" ht="15" hidden="false" customHeight="false" outlineLevel="0" collapsed="false">
      <c r="A611" s="6" t="s">
        <v>911</v>
      </c>
      <c r="B611" s="6" t="s">
        <v>11</v>
      </c>
      <c r="C611" s="6" t="s">
        <v>3</v>
      </c>
      <c r="D611" s="6" t="s">
        <v>614</v>
      </c>
      <c r="E611" s="6" t="s">
        <v>622</v>
      </c>
      <c r="F611" s="6" t="s">
        <v>906</v>
      </c>
      <c r="G611" s="6" t="s">
        <v>907</v>
      </c>
      <c r="H611" s="6" t="s">
        <v>911</v>
      </c>
      <c r="I611" s="6"/>
      <c r="J611" s="6" t="s">
        <v>906</v>
      </c>
      <c r="K611" s="6"/>
      <c r="L611" s="6"/>
      <c r="M611" s="6"/>
      <c r="N611" s="6"/>
      <c r="O611" s="6"/>
      <c r="P611" s="6"/>
      <c r="Q611" s="6" t="s">
        <v>909</v>
      </c>
      <c r="R611" s="7" t="n">
        <f aca="false">COUNTIF('Label Map'!$D$2:$D$2000,A611)</f>
        <v>1</v>
      </c>
    </row>
    <row r="612" customFormat="false" ht="15" hidden="false" customHeight="false" outlineLevel="0" collapsed="false">
      <c r="A612" s="6" t="s">
        <v>912</v>
      </c>
      <c r="B612" s="6" t="s">
        <v>11</v>
      </c>
      <c r="C612" s="6" t="s">
        <v>3</v>
      </c>
      <c r="D612" s="6" t="s">
        <v>614</v>
      </c>
      <c r="E612" s="6" t="s">
        <v>622</v>
      </c>
      <c r="F612" s="6" t="s">
        <v>906</v>
      </c>
      <c r="G612" s="6" t="s">
        <v>907</v>
      </c>
      <c r="H612" s="6" t="s">
        <v>912</v>
      </c>
      <c r="I612" s="6"/>
      <c r="J612" s="6" t="s">
        <v>906</v>
      </c>
      <c r="K612" s="6"/>
      <c r="L612" s="6"/>
      <c r="M612" s="6"/>
      <c r="N612" s="6"/>
      <c r="O612" s="6"/>
      <c r="P612" s="6"/>
      <c r="Q612" s="6" t="s">
        <v>909</v>
      </c>
      <c r="R612" s="7" t="n">
        <f aca="false">COUNTIF('Label Map'!$D$2:$D$2000,A612)</f>
        <v>1</v>
      </c>
    </row>
    <row r="613" customFormat="false" ht="15" hidden="false" customHeight="false" outlineLevel="0" collapsed="false">
      <c r="A613" s="6" t="s">
        <v>913</v>
      </c>
      <c r="B613" s="6" t="s">
        <v>11</v>
      </c>
      <c r="C613" s="6" t="s">
        <v>3</v>
      </c>
      <c r="D613" s="6" t="s">
        <v>614</v>
      </c>
      <c r="E613" s="6" t="s">
        <v>622</v>
      </c>
      <c r="F613" s="6" t="s">
        <v>906</v>
      </c>
      <c r="G613" s="6" t="s">
        <v>907</v>
      </c>
      <c r="H613" s="6" t="s">
        <v>913</v>
      </c>
      <c r="I613" s="6"/>
      <c r="J613" s="6" t="s">
        <v>906</v>
      </c>
      <c r="K613" s="6"/>
      <c r="L613" s="6"/>
      <c r="M613" s="6"/>
      <c r="N613" s="6"/>
      <c r="O613" s="6"/>
      <c r="P613" s="6"/>
      <c r="Q613" s="6" t="s">
        <v>909</v>
      </c>
      <c r="R613" s="7" t="n">
        <f aca="false">COUNTIF('Label Map'!$D$2:$D$2000,A613)</f>
        <v>1</v>
      </c>
    </row>
    <row r="614" customFormat="false" ht="15" hidden="false" customHeight="false" outlineLevel="0" collapsed="false">
      <c r="A614" s="6" t="s">
        <v>914</v>
      </c>
      <c r="B614" s="6" t="s">
        <v>11</v>
      </c>
      <c r="C614" s="6" t="s">
        <v>3</v>
      </c>
      <c r="D614" s="6" t="s">
        <v>614</v>
      </c>
      <c r="E614" s="6" t="s">
        <v>622</v>
      </c>
      <c r="F614" s="6" t="s">
        <v>906</v>
      </c>
      <c r="G614" s="6" t="s">
        <v>907</v>
      </c>
      <c r="H614" s="6" t="s">
        <v>914</v>
      </c>
      <c r="I614" s="6"/>
      <c r="J614" s="6" t="s">
        <v>906</v>
      </c>
      <c r="K614" s="6"/>
      <c r="L614" s="6"/>
      <c r="M614" s="6"/>
      <c r="N614" s="6"/>
      <c r="O614" s="6"/>
      <c r="P614" s="6"/>
      <c r="Q614" s="6" t="s">
        <v>909</v>
      </c>
      <c r="R614" s="7" t="n">
        <f aca="false">COUNTIF('Label Map'!$D$2:$D$2000,A614)</f>
        <v>1</v>
      </c>
    </row>
    <row r="615" customFormat="false" ht="15" hidden="false" customHeight="false" outlineLevel="0" collapsed="false">
      <c r="A615" s="6" t="s">
        <v>915</v>
      </c>
      <c r="B615" s="6" t="s">
        <v>11</v>
      </c>
      <c r="C615" s="6" t="s">
        <v>3</v>
      </c>
      <c r="D615" s="6" t="s">
        <v>614</v>
      </c>
      <c r="E615" s="6" t="s">
        <v>622</v>
      </c>
      <c r="F615" s="6" t="s">
        <v>906</v>
      </c>
      <c r="G615" s="6" t="s">
        <v>907</v>
      </c>
      <c r="H615" s="6" t="s">
        <v>915</v>
      </c>
      <c r="I615" s="6"/>
      <c r="J615" s="6" t="s">
        <v>906</v>
      </c>
      <c r="K615" s="6"/>
      <c r="L615" s="6"/>
      <c r="M615" s="6"/>
      <c r="N615" s="6"/>
      <c r="O615" s="6"/>
      <c r="P615" s="6"/>
      <c r="Q615" s="6" t="s">
        <v>909</v>
      </c>
      <c r="R615" s="7" t="n">
        <f aca="false">COUNTIF('Label Map'!$D$2:$D$2000,A615)</f>
        <v>1</v>
      </c>
    </row>
    <row r="616" customFormat="false" ht="15" hidden="false" customHeight="false" outlineLevel="0" collapsed="false">
      <c r="A616" s="6" t="s">
        <v>916</v>
      </c>
      <c r="B616" s="6" t="s">
        <v>11</v>
      </c>
      <c r="C616" s="6" t="s">
        <v>3</v>
      </c>
      <c r="D616" s="6" t="s">
        <v>614</v>
      </c>
      <c r="E616" s="6" t="s">
        <v>622</v>
      </c>
      <c r="F616" s="6" t="s">
        <v>906</v>
      </c>
      <c r="G616" s="6" t="s">
        <v>907</v>
      </c>
      <c r="H616" s="6" t="s">
        <v>916</v>
      </c>
      <c r="I616" s="6"/>
      <c r="J616" s="6" t="s">
        <v>906</v>
      </c>
      <c r="K616" s="6"/>
      <c r="L616" s="6"/>
      <c r="M616" s="6"/>
      <c r="N616" s="6"/>
      <c r="O616" s="6"/>
      <c r="P616" s="6"/>
      <c r="Q616" s="6" t="s">
        <v>909</v>
      </c>
      <c r="R616" s="7" t="n">
        <f aca="false">COUNTIF('Label Map'!$D$2:$D$2000,A616)</f>
        <v>2</v>
      </c>
    </row>
    <row r="617" customFormat="false" ht="15" hidden="false" customHeight="false" outlineLevel="0" collapsed="false">
      <c r="A617" s="6" t="s">
        <v>917</v>
      </c>
      <c r="B617" s="6" t="s">
        <v>11</v>
      </c>
      <c r="C617" s="6" t="s">
        <v>3</v>
      </c>
      <c r="D617" s="6" t="s">
        <v>614</v>
      </c>
      <c r="E617" s="6" t="s">
        <v>622</v>
      </c>
      <c r="F617" s="6" t="s">
        <v>906</v>
      </c>
      <c r="G617" s="6" t="s">
        <v>907</v>
      </c>
      <c r="H617" s="6" t="s">
        <v>917</v>
      </c>
      <c r="I617" s="6"/>
      <c r="J617" s="6" t="s">
        <v>906</v>
      </c>
      <c r="K617" s="6"/>
      <c r="L617" s="6"/>
      <c r="M617" s="6"/>
      <c r="N617" s="6"/>
      <c r="O617" s="6"/>
      <c r="P617" s="6"/>
      <c r="Q617" s="6" t="s">
        <v>909</v>
      </c>
      <c r="R617" s="7" t="n">
        <f aca="false">COUNTIF('Label Map'!$D$2:$D$2000,A617)</f>
        <v>1</v>
      </c>
    </row>
    <row r="618" customFormat="false" ht="15" hidden="false" customHeight="false" outlineLevel="0" collapsed="false">
      <c r="A618" s="6" t="s">
        <v>918</v>
      </c>
      <c r="B618" s="6" t="s">
        <v>11</v>
      </c>
      <c r="C618" s="6" t="s">
        <v>3</v>
      </c>
      <c r="D618" s="6" t="s">
        <v>614</v>
      </c>
      <c r="E618" s="6" t="s">
        <v>622</v>
      </c>
      <c r="F618" s="6" t="s">
        <v>906</v>
      </c>
      <c r="G618" s="6" t="s">
        <v>907</v>
      </c>
      <c r="H618" s="6" t="s">
        <v>918</v>
      </c>
      <c r="I618" s="6"/>
      <c r="J618" s="6" t="s">
        <v>906</v>
      </c>
      <c r="K618" s="6"/>
      <c r="L618" s="6"/>
      <c r="M618" s="6"/>
      <c r="N618" s="6"/>
      <c r="O618" s="6"/>
      <c r="P618" s="6"/>
      <c r="Q618" s="6" t="s">
        <v>909</v>
      </c>
      <c r="R618" s="7" t="n">
        <f aca="false">COUNTIF('Label Map'!$D$2:$D$2000,A618)</f>
        <v>1</v>
      </c>
    </row>
    <row r="619" customFormat="false" ht="15" hidden="false" customHeight="false" outlineLevel="0" collapsed="false">
      <c r="A619" s="6" t="s">
        <v>919</v>
      </c>
      <c r="B619" s="6" t="s">
        <v>11</v>
      </c>
      <c r="C619" s="6" t="s">
        <v>3</v>
      </c>
      <c r="D619" s="6" t="s">
        <v>614</v>
      </c>
      <c r="E619" s="6" t="s">
        <v>622</v>
      </c>
      <c r="F619" s="6" t="s">
        <v>906</v>
      </c>
      <c r="G619" s="6" t="s">
        <v>907</v>
      </c>
      <c r="H619" s="6" t="s">
        <v>919</v>
      </c>
      <c r="I619" s="6"/>
      <c r="J619" s="6" t="s">
        <v>906</v>
      </c>
      <c r="K619" s="6"/>
      <c r="L619" s="6"/>
      <c r="M619" s="6"/>
      <c r="N619" s="6"/>
      <c r="O619" s="6"/>
      <c r="P619" s="6"/>
      <c r="Q619" s="6" t="s">
        <v>909</v>
      </c>
      <c r="R619" s="7" t="n">
        <f aca="false">COUNTIF('Label Map'!$D$2:$D$2000,A619)</f>
        <v>1</v>
      </c>
    </row>
    <row r="620" customFormat="false" ht="15" hidden="false" customHeight="false" outlineLevel="0" collapsed="false">
      <c r="A620" s="6" t="s">
        <v>920</v>
      </c>
      <c r="B620" s="6" t="s">
        <v>11</v>
      </c>
      <c r="C620" s="6" t="s">
        <v>3</v>
      </c>
      <c r="D620" s="6" t="s">
        <v>614</v>
      </c>
      <c r="E620" s="6" t="s">
        <v>622</v>
      </c>
      <c r="F620" s="6" t="s">
        <v>906</v>
      </c>
      <c r="G620" s="6" t="s">
        <v>907</v>
      </c>
      <c r="H620" s="6" t="s">
        <v>920</v>
      </c>
      <c r="I620" s="6"/>
      <c r="J620" s="6" t="s">
        <v>906</v>
      </c>
      <c r="K620" s="6"/>
      <c r="L620" s="6"/>
      <c r="M620" s="6"/>
      <c r="N620" s="6"/>
      <c r="O620" s="6"/>
      <c r="P620" s="6"/>
      <c r="Q620" s="6" t="s">
        <v>909</v>
      </c>
      <c r="R620" s="7" t="n">
        <f aca="false">COUNTIF('Label Map'!$D$2:$D$2000,A620)</f>
        <v>1</v>
      </c>
    </row>
    <row r="621" customFormat="false" ht="15" hidden="false" customHeight="false" outlineLevel="0" collapsed="false">
      <c r="A621" s="6" t="s">
        <v>921</v>
      </c>
      <c r="B621" s="6" t="s">
        <v>11</v>
      </c>
      <c r="C621" s="6" t="s">
        <v>3</v>
      </c>
      <c r="D621" s="6" t="s">
        <v>614</v>
      </c>
      <c r="E621" s="6" t="s">
        <v>622</v>
      </c>
      <c r="F621" s="6" t="s">
        <v>906</v>
      </c>
      <c r="G621" s="6" t="s">
        <v>907</v>
      </c>
      <c r="H621" s="6" t="s">
        <v>921</v>
      </c>
      <c r="I621" s="6"/>
      <c r="J621" s="6" t="s">
        <v>906</v>
      </c>
      <c r="K621" s="6"/>
      <c r="L621" s="6"/>
      <c r="M621" s="6"/>
      <c r="N621" s="6"/>
      <c r="O621" s="6"/>
      <c r="P621" s="6"/>
      <c r="Q621" s="6" t="s">
        <v>909</v>
      </c>
      <c r="R621" s="7" t="n">
        <f aca="false">COUNTIF('Label Map'!$D$2:$D$2000,A621)</f>
        <v>1</v>
      </c>
    </row>
    <row r="622" customFormat="false" ht="15" hidden="false" customHeight="false" outlineLevel="0" collapsed="false">
      <c r="A622" s="6" t="s">
        <v>922</v>
      </c>
      <c r="B622" s="6" t="s">
        <v>11</v>
      </c>
      <c r="C622" s="6" t="s">
        <v>3</v>
      </c>
      <c r="D622" s="6" t="s">
        <v>614</v>
      </c>
      <c r="E622" s="6" t="s">
        <v>622</v>
      </c>
      <c r="F622" s="6" t="s">
        <v>906</v>
      </c>
      <c r="G622" s="6" t="s">
        <v>907</v>
      </c>
      <c r="H622" s="6" t="s">
        <v>922</v>
      </c>
      <c r="I622" s="6"/>
      <c r="J622" s="6" t="s">
        <v>906</v>
      </c>
      <c r="K622" s="6"/>
      <c r="L622" s="6"/>
      <c r="M622" s="6"/>
      <c r="N622" s="6"/>
      <c r="O622" s="6"/>
      <c r="P622" s="6"/>
      <c r="Q622" s="6" t="s">
        <v>909</v>
      </c>
      <c r="R622" s="7" t="n">
        <f aca="false">COUNTIF('Label Map'!$D$2:$D$2000,A622)</f>
        <v>1</v>
      </c>
    </row>
    <row r="623" customFormat="false" ht="15" hidden="false" customHeight="false" outlineLevel="0" collapsed="false">
      <c r="A623" s="6" t="s">
        <v>923</v>
      </c>
      <c r="B623" s="6" t="s">
        <v>11</v>
      </c>
      <c r="C623" s="6" t="s">
        <v>3</v>
      </c>
      <c r="D623" s="6" t="s">
        <v>614</v>
      </c>
      <c r="E623" s="6" t="s">
        <v>622</v>
      </c>
      <c r="F623" s="6" t="s">
        <v>906</v>
      </c>
      <c r="G623" s="6" t="s">
        <v>907</v>
      </c>
      <c r="H623" s="6" t="s">
        <v>923</v>
      </c>
      <c r="I623" s="6"/>
      <c r="J623" s="6" t="s">
        <v>906</v>
      </c>
      <c r="K623" s="6"/>
      <c r="L623" s="6"/>
      <c r="M623" s="6"/>
      <c r="N623" s="6"/>
      <c r="O623" s="6"/>
      <c r="P623" s="6"/>
      <c r="Q623" s="6" t="s">
        <v>909</v>
      </c>
      <c r="R623" s="7" t="n">
        <f aca="false">COUNTIF('Label Map'!$D$2:$D$2000,A623)</f>
        <v>1</v>
      </c>
    </row>
    <row r="624" customFormat="false" ht="15" hidden="false" customHeight="false" outlineLevel="0" collapsed="false">
      <c r="A624" s="6" t="s">
        <v>924</v>
      </c>
      <c r="B624" s="6" t="s">
        <v>63</v>
      </c>
      <c r="C624" s="6" t="s">
        <v>3</v>
      </c>
      <c r="D624" s="6" t="s">
        <v>614</v>
      </c>
      <c r="E624" s="6" t="s">
        <v>622</v>
      </c>
      <c r="F624" s="6" t="s">
        <v>906</v>
      </c>
      <c r="G624" s="6" t="s">
        <v>907</v>
      </c>
      <c r="H624" s="6"/>
      <c r="I624" s="6" t="s">
        <v>924</v>
      </c>
      <c r="J624" s="6" t="s">
        <v>906</v>
      </c>
      <c r="K624" s="6"/>
      <c r="L624" s="6"/>
      <c r="M624" s="6"/>
      <c r="N624" s="6"/>
      <c r="O624" s="6"/>
      <c r="P624" s="6"/>
      <c r="Q624" s="6"/>
      <c r="R624" s="7" t="n">
        <f aca="false">COUNTIF('Label Map'!$D$2:$D$2000,A624)</f>
        <v>0</v>
      </c>
    </row>
    <row r="625" customFormat="false" ht="15" hidden="false" customHeight="false" outlineLevel="0" collapsed="false">
      <c r="A625" s="6" t="s">
        <v>925</v>
      </c>
      <c r="B625" s="6" t="s">
        <v>11</v>
      </c>
      <c r="C625" s="6" t="s">
        <v>3</v>
      </c>
      <c r="D625" s="6" t="s">
        <v>614</v>
      </c>
      <c r="E625" s="6" t="s">
        <v>622</v>
      </c>
      <c r="F625" s="6" t="s">
        <v>906</v>
      </c>
      <c r="G625" s="6" t="s">
        <v>907</v>
      </c>
      <c r="H625" s="6" t="s">
        <v>925</v>
      </c>
      <c r="I625" s="6"/>
      <c r="J625" s="6" t="s">
        <v>906</v>
      </c>
      <c r="K625" s="6"/>
      <c r="L625" s="6"/>
      <c r="M625" s="6"/>
      <c r="N625" s="6"/>
      <c r="O625" s="6"/>
      <c r="P625" s="6"/>
      <c r="Q625" s="6" t="s">
        <v>909</v>
      </c>
      <c r="R625" s="7" t="n">
        <f aca="false">COUNTIF('Label Map'!$D$2:$D$2000,A625)</f>
        <v>0</v>
      </c>
    </row>
    <row r="626" customFormat="false" ht="15" hidden="false" customHeight="false" outlineLevel="0" collapsed="false">
      <c r="A626" s="6" t="s">
        <v>926</v>
      </c>
      <c r="B626" s="6" t="s">
        <v>9</v>
      </c>
      <c r="C626" s="6" t="s">
        <v>3</v>
      </c>
      <c r="D626" s="6" t="s">
        <v>614</v>
      </c>
      <c r="E626" s="6" t="s">
        <v>622</v>
      </c>
      <c r="F626" s="6" t="s">
        <v>926</v>
      </c>
      <c r="G626" s="6" t="s">
        <v>927</v>
      </c>
      <c r="H626" s="6"/>
      <c r="I626" s="6"/>
      <c r="J626" s="6" t="s">
        <v>622</v>
      </c>
      <c r="K626" s="6" t="s">
        <v>928</v>
      </c>
      <c r="L626" s="6" t="s">
        <v>622</v>
      </c>
      <c r="M626" s="6" t="s">
        <v>656</v>
      </c>
      <c r="N626" s="6"/>
      <c r="O626" s="6" t="s">
        <v>308</v>
      </c>
      <c r="P626" s="6" t="s">
        <v>87</v>
      </c>
      <c r="Q626" s="6"/>
      <c r="R626" s="7" t="n">
        <f aca="false">COUNTIF('Label Map'!$D$2:$D$2000,A626)</f>
        <v>3</v>
      </c>
    </row>
    <row r="627" customFormat="false" ht="15" hidden="false" customHeight="false" outlineLevel="0" collapsed="false">
      <c r="A627" s="6" t="s">
        <v>929</v>
      </c>
      <c r="B627" s="6" t="s">
        <v>63</v>
      </c>
      <c r="C627" s="6" t="s">
        <v>3</v>
      </c>
      <c r="D627" s="6" t="s">
        <v>614</v>
      </c>
      <c r="E627" s="6" t="s">
        <v>622</v>
      </c>
      <c r="F627" s="6" t="s">
        <v>926</v>
      </c>
      <c r="G627" s="6" t="s">
        <v>927</v>
      </c>
      <c r="H627" s="6"/>
      <c r="I627" s="6" t="s">
        <v>929</v>
      </c>
      <c r="J627" s="6" t="s">
        <v>926</v>
      </c>
      <c r="K627" s="6"/>
      <c r="L627" s="6"/>
      <c r="M627" s="6"/>
      <c r="N627" s="6"/>
      <c r="O627" s="6"/>
      <c r="P627" s="6"/>
      <c r="Q627" s="6"/>
      <c r="R627" s="7" t="n">
        <f aca="false">COUNTIF('Label Map'!$D$2:$D$2000,A627)</f>
        <v>0</v>
      </c>
    </row>
    <row r="628" customFormat="false" ht="15" hidden="false" customHeight="false" outlineLevel="0" collapsed="false">
      <c r="A628" s="6" t="s">
        <v>930</v>
      </c>
      <c r="B628" s="6" t="s">
        <v>9</v>
      </c>
      <c r="C628" s="6" t="s">
        <v>3</v>
      </c>
      <c r="D628" s="6" t="s">
        <v>614</v>
      </c>
      <c r="E628" s="6" t="s">
        <v>622</v>
      </c>
      <c r="F628" s="6" t="s">
        <v>930</v>
      </c>
      <c r="G628" s="6" t="s">
        <v>931</v>
      </c>
      <c r="H628" s="6"/>
      <c r="I628" s="6"/>
      <c r="J628" s="6" t="s">
        <v>622</v>
      </c>
      <c r="K628" s="6" t="s">
        <v>932</v>
      </c>
      <c r="L628" s="6" t="s">
        <v>622</v>
      </c>
      <c r="M628" s="6" t="s">
        <v>642</v>
      </c>
      <c r="N628" s="6"/>
      <c r="O628" s="6" t="s">
        <v>308</v>
      </c>
      <c r="P628" s="6" t="s">
        <v>87</v>
      </c>
      <c r="Q628" s="6"/>
      <c r="R628" s="7" t="n">
        <f aca="false">COUNTIF('Label Map'!$D$2:$D$2000,A628)</f>
        <v>1</v>
      </c>
    </row>
    <row r="629" customFormat="false" ht="15" hidden="false" customHeight="false" outlineLevel="0" collapsed="false">
      <c r="A629" s="6" t="s">
        <v>933</v>
      </c>
      <c r="B629" s="6" t="s">
        <v>63</v>
      </c>
      <c r="C629" s="6" t="s">
        <v>3</v>
      </c>
      <c r="D629" s="6" t="s">
        <v>614</v>
      </c>
      <c r="E629" s="6" t="s">
        <v>622</v>
      </c>
      <c r="F629" s="6" t="s">
        <v>930</v>
      </c>
      <c r="G629" s="6" t="s">
        <v>931</v>
      </c>
      <c r="H629" s="6"/>
      <c r="I629" s="6" t="s">
        <v>933</v>
      </c>
      <c r="J629" s="6" t="s">
        <v>930</v>
      </c>
      <c r="K629" s="6"/>
      <c r="L629" s="6"/>
      <c r="M629" s="6"/>
      <c r="N629" s="6"/>
      <c r="O629" s="6"/>
      <c r="P629" s="6"/>
      <c r="Q629" s="6"/>
      <c r="R629" s="7" t="n">
        <f aca="false">COUNTIF('Label Map'!$D$2:$D$2000,A629)</f>
        <v>0</v>
      </c>
    </row>
    <row r="630" customFormat="false" ht="15" hidden="false" customHeight="false" outlineLevel="0" collapsed="false">
      <c r="A630" s="6" t="s">
        <v>934</v>
      </c>
      <c r="B630" s="6" t="s">
        <v>9</v>
      </c>
      <c r="C630" s="6" t="s">
        <v>3</v>
      </c>
      <c r="D630" s="6" t="s">
        <v>614</v>
      </c>
      <c r="E630" s="6" t="s">
        <v>622</v>
      </c>
      <c r="F630" s="6" t="s">
        <v>934</v>
      </c>
      <c r="G630" s="6" t="s">
        <v>935</v>
      </c>
      <c r="H630" s="6"/>
      <c r="I630" s="6"/>
      <c r="J630" s="6" t="s">
        <v>622</v>
      </c>
      <c r="K630" s="6" t="s">
        <v>936</v>
      </c>
      <c r="L630" s="6" t="s">
        <v>622</v>
      </c>
      <c r="M630" s="6" t="s">
        <v>642</v>
      </c>
      <c r="N630" s="6"/>
      <c r="O630" s="6" t="s">
        <v>308</v>
      </c>
      <c r="P630" s="6" t="s">
        <v>87</v>
      </c>
      <c r="Q630" s="6"/>
      <c r="R630" s="7" t="n">
        <f aca="false">COUNTIF('Label Map'!$D$2:$D$2000,A630)</f>
        <v>3</v>
      </c>
    </row>
    <row r="631" customFormat="false" ht="15" hidden="false" customHeight="false" outlineLevel="0" collapsed="false">
      <c r="A631" s="6" t="s">
        <v>937</v>
      </c>
      <c r="B631" s="6" t="s">
        <v>63</v>
      </c>
      <c r="C631" s="6" t="s">
        <v>3</v>
      </c>
      <c r="D631" s="6" t="s">
        <v>614</v>
      </c>
      <c r="E631" s="6" t="s">
        <v>622</v>
      </c>
      <c r="F631" s="6" t="s">
        <v>934</v>
      </c>
      <c r="G631" s="6" t="s">
        <v>935</v>
      </c>
      <c r="H631" s="6"/>
      <c r="I631" s="6" t="s">
        <v>937</v>
      </c>
      <c r="J631" s="6" t="s">
        <v>934</v>
      </c>
      <c r="K631" s="6"/>
      <c r="L631" s="6"/>
      <c r="M631" s="6"/>
      <c r="N631" s="6"/>
      <c r="O631" s="6"/>
      <c r="P631" s="6"/>
      <c r="Q631" s="6"/>
      <c r="R631" s="7" t="n">
        <f aca="false">COUNTIF('Label Map'!$D$2:$D$2000,A631)</f>
        <v>0</v>
      </c>
    </row>
    <row r="632" customFormat="false" ht="15" hidden="false" customHeight="false" outlineLevel="0" collapsed="false">
      <c r="A632" s="6" t="s">
        <v>938</v>
      </c>
      <c r="B632" s="6" t="s">
        <v>63</v>
      </c>
      <c r="C632" s="6" t="s">
        <v>3</v>
      </c>
      <c r="D632" s="6" t="s">
        <v>614</v>
      </c>
      <c r="E632" s="6" t="s">
        <v>622</v>
      </c>
      <c r="F632" s="6" t="s">
        <v>934</v>
      </c>
      <c r="G632" s="6" t="s">
        <v>935</v>
      </c>
      <c r="H632" s="6"/>
      <c r="I632" s="6" t="s">
        <v>938</v>
      </c>
      <c r="J632" s="6" t="s">
        <v>934</v>
      </c>
      <c r="K632" s="6"/>
      <c r="L632" s="6"/>
      <c r="M632" s="6"/>
      <c r="N632" s="6"/>
      <c r="O632" s="6"/>
      <c r="P632" s="6"/>
      <c r="Q632" s="6"/>
      <c r="R632" s="7" t="n">
        <f aca="false">COUNTIF('Label Map'!$D$2:$D$2000,A632)</f>
        <v>0</v>
      </c>
    </row>
    <row r="633" customFormat="false" ht="15" hidden="false" customHeight="false" outlineLevel="0" collapsed="false">
      <c r="A633" s="6" t="s">
        <v>939</v>
      </c>
      <c r="B633" s="6" t="s">
        <v>9</v>
      </c>
      <c r="C633" s="6" t="s">
        <v>3</v>
      </c>
      <c r="D633" s="6" t="s">
        <v>614</v>
      </c>
      <c r="E633" s="6" t="s">
        <v>622</v>
      </c>
      <c r="F633" s="6" t="s">
        <v>939</v>
      </c>
      <c r="G633" s="6" t="s">
        <v>940</v>
      </c>
      <c r="H633" s="6"/>
      <c r="I633" s="6"/>
      <c r="J633" s="6" t="s">
        <v>622</v>
      </c>
      <c r="K633" s="6" t="s">
        <v>740</v>
      </c>
      <c r="L633" s="6" t="s">
        <v>622</v>
      </c>
      <c r="M633" s="6" t="s">
        <v>656</v>
      </c>
      <c r="N633" s="6"/>
      <c r="O633" s="6" t="s">
        <v>308</v>
      </c>
      <c r="P633" s="6" t="s">
        <v>87</v>
      </c>
      <c r="Q633" s="6"/>
      <c r="R633" s="7" t="n">
        <f aca="false">COUNTIF('Label Map'!$D$2:$D$2000,A633)</f>
        <v>2</v>
      </c>
    </row>
    <row r="634" customFormat="false" ht="15" hidden="false" customHeight="false" outlineLevel="0" collapsed="false">
      <c r="A634" s="6" t="s">
        <v>941</v>
      </c>
      <c r="B634" s="6" t="s">
        <v>9</v>
      </c>
      <c r="C634" s="6" t="s">
        <v>3</v>
      </c>
      <c r="D634" s="6" t="s">
        <v>614</v>
      </c>
      <c r="E634" s="6" t="s">
        <v>622</v>
      </c>
      <c r="F634" s="6" t="s">
        <v>941</v>
      </c>
      <c r="G634" s="6" t="s">
        <v>942</v>
      </c>
      <c r="H634" s="6"/>
      <c r="I634" s="6"/>
      <c r="J634" s="6" t="s">
        <v>622</v>
      </c>
      <c r="K634" s="6" t="s">
        <v>737</v>
      </c>
      <c r="L634" s="6" t="s">
        <v>622</v>
      </c>
      <c r="M634" s="6" t="s">
        <v>656</v>
      </c>
      <c r="N634" s="6"/>
      <c r="O634" s="6" t="s">
        <v>308</v>
      </c>
      <c r="P634" s="6" t="s">
        <v>337</v>
      </c>
      <c r="Q634" s="6"/>
      <c r="R634" s="7" t="n">
        <f aca="false">COUNTIF('Label Map'!$D$2:$D$2000,A634)</f>
        <v>2</v>
      </c>
    </row>
    <row r="635" customFormat="false" ht="15" hidden="false" customHeight="false" outlineLevel="0" collapsed="false">
      <c r="A635" s="6" t="s">
        <v>943</v>
      </c>
      <c r="B635" s="6" t="s">
        <v>63</v>
      </c>
      <c r="C635" s="6" t="s">
        <v>3</v>
      </c>
      <c r="D635" s="6" t="s">
        <v>614</v>
      </c>
      <c r="E635" s="6" t="s">
        <v>622</v>
      </c>
      <c r="F635" s="6" t="s">
        <v>941</v>
      </c>
      <c r="G635" s="6" t="s">
        <v>942</v>
      </c>
      <c r="H635" s="6"/>
      <c r="I635" s="6" t="s">
        <v>943</v>
      </c>
      <c r="J635" s="6" t="s">
        <v>941</v>
      </c>
      <c r="K635" s="6"/>
      <c r="L635" s="6"/>
      <c r="M635" s="6"/>
      <c r="N635" s="6"/>
      <c r="O635" s="6"/>
      <c r="P635" s="6"/>
      <c r="Q635" s="6"/>
      <c r="R635" s="7" t="n">
        <f aca="false">COUNTIF('Label Map'!$D$2:$D$2000,A635)</f>
        <v>0</v>
      </c>
    </row>
    <row r="636" customFormat="false" ht="15" hidden="false" customHeight="false" outlineLevel="0" collapsed="false">
      <c r="A636" s="6" t="s">
        <v>944</v>
      </c>
      <c r="B636" s="6" t="s">
        <v>9</v>
      </c>
      <c r="C636" s="6" t="s">
        <v>3</v>
      </c>
      <c r="D636" s="6" t="s">
        <v>614</v>
      </c>
      <c r="E636" s="6" t="s">
        <v>622</v>
      </c>
      <c r="F636" s="6" t="s">
        <v>944</v>
      </c>
      <c r="G636" s="6" t="s">
        <v>945</v>
      </c>
      <c r="H636" s="6"/>
      <c r="I636" s="6"/>
      <c r="J636" s="6" t="s">
        <v>622</v>
      </c>
      <c r="K636" s="6" t="s">
        <v>785</v>
      </c>
      <c r="L636" s="6" t="s">
        <v>622</v>
      </c>
      <c r="M636" s="6" t="s">
        <v>642</v>
      </c>
      <c r="N636" s="6"/>
      <c r="O636" s="6" t="s">
        <v>308</v>
      </c>
      <c r="P636" s="6" t="s">
        <v>87</v>
      </c>
      <c r="Q636" s="6"/>
      <c r="R636" s="7" t="n">
        <f aca="false">COUNTIF('Label Map'!$D$2:$D$2000,A636)</f>
        <v>2</v>
      </c>
    </row>
    <row r="637" customFormat="false" ht="15" hidden="false" customHeight="false" outlineLevel="0" collapsed="false">
      <c r="A637" s="6" t="s">
        <v>946</v>
      </c>
      <c r="B637" s="6" t="s">
        <v>9</v>
      </c>
      <c r="C637" s="6" t="s">
        <v>3</v>
      </c>
      <c r="D637" s="6" t="s">
        <v>614</v>
      </c>
      <c r="E637" s="6" t="s">
        <v>622</v>
      </c>
      <c r="F637" s="6" t="s">
        <v>946</v>
      </c>
      <c r="G637" s="6" t="s">
        <v>947</v>
      </c>
      <c r="H637" s="6"/>
      <c r="I637" s="6"/>
      <c r="J637" s="6" t="s">
        <v>622</v>
      </c>
      <c r="K637" s="6" t="s">
        <v>948</v>
      </c>
      <c r="L637" s="6" t="s">
        <v>622</v>
      </c>
      <c r="M637" s="6" t="s">
        <v>656</v>
      </c>
      <c r="N637" s="6"/>
      <c r="O637" s="6" t="s">
        <v>308</v>
      </c>
      <c r="P637" s="6" t="s">
        <v>87</v>
      </c>
      <c r="Q637" s="6"/>
      <c r="R637" s="7" t="n">
        <f aca="false">COUNTIF('Label Map'!$D$2:$D$2000,A637)</f>
        <v>2</v>
      </c>
    </row>
    <row r="638" customFormat="false" ht="15" hidden="false" customHeight="false" outlineLevel="0" collapsed="false">
      <c r="A638" s="6" t="s">
        <v>949</v>
      </c>
      <c r="B638" s="6" t="s">
        <v>9</v>
      </c>
      <c r="C638" s="6" t="s">
        <v>3</v>
      </c>
      <c r="D638" s="6" t="s">
        <v>614</v>
      </c>
      <c r="E638" s="6" t="s">
        <v>622</v>
      </c>
      <c r="F638" s="6" t="s">
        <v>949</v>
      </c>
      <c r="G638" s="6" t="s">
        <v>950</v>
      </c>
      <c r="H638" s="6"/>
      <c r="I638" s="6"/>
      <c r="J638" s="6" t="s">
        <v>622</v>
      </c>
      <c r="K638" s="6" t="s">
        <v>928</v>
      </c>
      <c r="L638" s="6" t="s">
        <v>622</v>
      </c>
      <c r="M638" s="6" t="s">
        <v>656</v>
      </c>
      <c r="N638" s="6"/>
      <c r="O638" s="6" t="s">
        <v>308</v>
      </c>
      <c r="P638" s="6" t="s">
        <v>87</v>
      </c>
      <c r="Q638" s="6"/>
      <c r="R638" s="7" t="n">
        <f aca="false">COUNTIF('Label Map'!$D$2:$D$2000,A638)</f>
        <v>3</v>
      </c>
    </row>
    <row r="639" customFormat="false" ht="15" hidden="false" customHeight="false" outlineLevel="0" collapsed="false">
      <c r="A639" s="6" t="s">
        <v>951</v>
      </c>
      <c r="B639" s="6" t="s">
        <v>11</v>
      </c>
      <c r="C639" s="6" t="s">
        <v>3</v>
      </c>
      <c r="D639" s="6" t="s">
        <v>614</v>
      </c>
      <c r="E639" s="6" t="s">
        <v>622</v>
      </c>
      <c r="F639" s="6" t="s">
        <v>949</v>
      </c>
      <c r="G639" s="6" t="s">
        <v>950</v>
      </c>
      <c r="H639" s="6" t="s">
        <v>951</v>
      </c>
      <c r="I639" s="6"/>
      <c r="J639" s="6" t="s">
        <v>949</v>
      </c>
      <c r="K639" s="6"/>
      <c r="L639" s="6"/>
      <c r="M639" s="6"/>
      <c r="N639" s="6"/>
      <c r="O639" s="6"/>
      <c r="P639" s="6"/>
      <c r="Q639" s="6" t="s">
        <v>952</v>
      </c>
      <c r="R639" s="7" t="n">
        <f aca="false">COUNTIF('Label Map'!$D$2:$D$2000,A639)</f>
        <v>2</v>
      </c>
    </row>
    <row r="640" customFormat="false" ht="15" hidden="false" customHeight="false" outlineLevel="0" collapsed="false">
      <c r="A640" s="6" t="s">
        <v>953</v>
      </c>
      <c r="B640" s="6" t="s">
        <v>11</v>
      </c>
      <c r="C640" s="6" t="s">
        <v>3</v>
      </c>
      <c r="D640" s="6" t="s">
        <v>614</v>
      </c>
      <c r="E640" s="6" t="s">
        <v>622</v>
      </c>
      <c r="F640" s="6" t="s">
        <v>949</v>
      </c>
      <c r="G640" s="6" t="s">
        <v>950</v>
      </c>
      <c r="H640" s="6" t="s">
        <v>953</v>
      </c>
      <c r="I640" s="6"/>
      <c r="J640" s="6" t="s">
        <v>949</v>
      </c>
      <c r="K640" s="6"/>
      <c r="L640" s="6"/>
      <c r="M640" s="6"/>
      <c r="N640" s="6"/>
      <c r="O640" s="6"/>
      <c r="P640" s="6"/>
      <c r="Q640" s="6" t="s">
        <v>952</v>
      </c>
      <c r="R640" s="7" t="n">
        <f aca="false">COUNTIF('Label Map'!$D$2:$D$2000,A640)</f>
        <v>1</v>
      </c>
    </row>
    <row r="641" customFormat="false" ht="15" hidden="false" customHeight="false" outlineLevel="0" collapsed="false">
      <c r="A641" s="6" t="s">
        <v>954</v>
      </c>
      <c r="B641" s="6" t="s">
        <v>11</v>
      </c>
      <c r="C641" s="6" t="s">
        <v>3</v>
      </c>
      <c r="D641" s="6" t="s">
        <v>614</v>
      </c>
      <c r="E641" s="6" t="s">
        <v>622</v>
      </c>
      <c r="F641" s="6" t="s">
        <v>949</v>
      </c>
      <c r="G641" s="6" t="s">
        <v>950</v>
      </c>
      <c r="H641" s="6" t="s">
        <v>954</v>
      </c>
      <c r="I641" s="6"/>
      <c r="J641" s="6" t="s">
        <v>949</v>
      </c>
      <c r="K641" s="6"/>
      <c r="L641" s="6"/>
      <c r="M641" s="6"/>
      <c r="N641" s="6"/>
      <c r="O641" s="6"/>
      <c r="P641" s="6"/>
      <c r="Q641" s="6" t="s">
        <v>952</v>
      </c>
      <c r="R641" s="7" t="n">
        <f aca="false">COUNTIF('Label Map'!$D$2:$D$2000,A641)</f>
        <v>1</v>
      </c>
    </row>
    <row r="642" customFormat="false" ht="15" hidden="false" customHeight="false" outlineLevel="0" collapsed="false">
      <c r="A642" s="6" t="s">
        <v>955</v>
      </c>
      <c r="B642" s="6" t="s">
        <v>11</v>
      </c>
      <c r="C642" s="6" t="s">
        <v>3</v>
      </c>
      <c r="D642" s="6" t="s">
        <v>614</v>
      </c>
      <c r="E642" s="6" t="s">
        <v>622</v>
      </c>
      <c r="F642" s="6" t="s">
        <v>949</v>
      </c>
      <c r="G642" s="6" t="s">
        <v>950</v>
      </c>
      <c r="H642" s="6" t="s">
        <v>955</v>
      </c>
      <c r="I642" s="6"/>
      <c r="J642" s="6" t="s">
        <v>949</v>
      </c>
      <c r="K642" s="6"/>
      <c r="L642" s="6"/>
      <c r="M642" s="6"/>
      <c r="N642" s="6"/>
      <c r="O642" s="6"/>
      <c r="P642" s="6"/>
      <c r="Q642" s="6" t="s">
        <v>952</v>
      </c>
      <c r="R642" s="7" t="n">
        <f aca="false">COUNTIF('Label Map'!$D$2:$D$2000,A642)</f>
        <v>1</v>
      </c>
    </row>
    <row r="643" customFormat="false" ht="15" hidden="false" customHeight="false" outlineLevel="0" collapsed="false">
      <c r="A643" s="6" t="s">
        <v>956</v>
      </c>
      <c r="B643" s="6" t="s">
        <v>11</v>
      </c>
      <c r="C643" s="6" t="s">
        <v>3</v>
      </c>
      <c r="D643" s="6" t="s">
        <v>614</v>
      </c>
      <c r="E643" s="6" t="s">
        <v>622</v>
      </c>
      <c r="F643" s="6" t="s">
        <v>949</v>
      </c>
      <c r="G643" s="6" t="s">
        <v>950</v>
      </c>
      <c r="H643" s="6" t="s">
        <v>956</v>
      </c>
      <c r="I643" s="6"/>
      <c r="J643" s="6" t="s">
        <v>949</v>
      </c>
      <c r="K643" s="6"/>
      <c r="L643" s="6"/>
      <c r="M643" s="6"/>
      <c r="N643" s="6"/>
      <c r="O643" s="6"/>
      <c r="P643" s="6"/>
      <c r="Q643" s="6" t="s">
        <v>952</v>
      </c>
      <c r="R643" s="7" t="n">
        <f aca="false">COUNTIF('Label Map'!$D$2:$D$2000,A643)</f>
        <v>1</v>
      </c>
    </row>
    <row r="644" customFormat="false" ht="15" hidden="false" customHeight="false" outlineLevel="0" collapsed="false">
      <c r="A644" s="6" t="s">
        <v>957</v>
      </c>
      <c r="B644" s="6" t="s">
        <v>11</v>
      </c>
      <c r="C644" s="6" t="s">
        <v>3</v>
      </c>
      <c r="D644" s="6" t="s">
        <v>614</v>
      </c>
      <c r="E644" s="6" t="s">
        <v>622</v>
      </c>
      <c r="F644" s="6" t="s">
        <v>949</v>
      </c>
      <c r="G644" s="6" t="s">
        <v>950</v>
      </c>
      <c r="H644" s="6" t="s">
        <v>957</v>
      </c>
      <c r="I644" s="6"/>
      <c r="J644" s="6" t="s">
        <v>949</v>
      </c>
      <c r="K644" s="6"/>
      <c r="L644" s="6"/>
      <c r="M644" s="6"/>
      <c r="N644" s="6"/>
      <c r="O644" s="6"/>
      <c r="P644" s="6"/>
      <c r="Q644" s="6" t="s">
        <v>952</v>
      </c>
      <c r="R644" s="7" t="n">
        <f aca="false">COUNTIF('Label Map'!$D$2:$D$2000,A644)</f>
        <v>1</v>
      </c>
    </row>
    <row r="645" customFormat="false" ht="15" hidden="false" customHeight="false" outlineLevel="0" collapsed="false">
      <c r="A645" s="6" t="s">
        <v>958</v>
      </c>
      <c r="B645" s="6" t="s">
        <v>11</v>
      </c>
      <c r="C645" s="6" t="s">
        <v>3</v>
      </c>
      <c r="D645" s="6" t="s">
        <v>614</v>
      </c>
      <c r="E645" s="6" t="s">
        <v>622</v>
      </c>
      <c r="F645" s="6" t="s">
        <v>949</v>
      </c>
      <c r="G645" s="6" t="s">
        <v>950</v>
      </c>
      <c r="H645" s="6" t="s">
        <v>958</v>
      </c>
      <c r="I645" s="6"/>
      <c r="J645" s="6" t="s">
        <v>949</v>
      </c>
      <c r="K645" s="6"/>
      <c r="L645" s="6"/>
      <c r="M645" s="6"/>
      <c r="N645" s="6"/>
      <c r="O645" s="6"/>
      <c r="P645" s="6"/>
      <c r="Q645" s="6" t="s">
        <v>952</v>
      </c>
      <c r="R645" s="7" t="n">
        <f aca="false">COUNTIF('Label Map'!$D$2:$D$2000,A645)</f>
        <v>1</v>
      </c>
    </row>
    <row r="646" customFormat="false" ht="15" hidden="false" customHeight="false" outlineLevel="0" collapsed="false">
      <c r="A646" s="6" t="s">
        <v>959</v>
      </c>
      <c r="B646" s="6" t="s">
        <v>11</v>
      </c>
      <c r="C646" s="6" t="s">
        <v>3</v>
      </c>
      <c r="D646" s="6" t="s">
        <v>614</v>
      </c>
      <c r="E646" s="6" t="s">
        <v>622</v>
      </c>
      <c r="F646" s="6" t="s">
        <v>949</v>
      </c>
      <c r="G646" s="6" t="s">
        <v>950</v>
      </c>
      <c r="H646" s="6" t="s">
        <v>959</v>
      </c>
      <c r="I646" s="6"/>
      <c r="J646" s="6" t="s">
        <v>949</v>
      </c>
      <c r="K646" s="6"/>
      <c r="L646" s="6"/>
      <c r="M646" s="6"/>
      <c r="N646" s="6"/>
      <c r="O646" s="6"/>
      <c r="P646" s="6"/>
      <c r="Q646" s="6" t="s">
        <v>952</v>
      </c>
      <c r="R646" s="7" t="n">
        <f aca="false">COUNTIF('Label Map'!$D$2:$D$2000,A646)</f>
        <v>1</v>
      </c>
    </row>
    <row r="647" customFormat="false" ht="15" hidden="false" customHeight="false" outlineLevel="0" collapsed="false">
      <c r="A647" s="6" t="s">
        <v>960</v>
      </c>
      <c r="B647" s="6" t="s">
        <v>11</v>
      </c>
      <c r="C647" s="6" t="s">
        <v>3</v>
      </c>
      <c r="D647" s="6" t="s">
        <v>614</v>
      </c>
      <c r="E647" s="6" t="s">
        <v>622</v>
      </c>
      <c r="F647" s="6" t="s">
        <v>949</v>
      </c>
      <c r="G647" s="6" t="s">
        <v>950</v>
      </c>
      <c r="H647" s="6" t="s">
        <v>960</v>
      </c>
      <c r="I647" s="6"/>
      <c r="J647" s="6" t="s">
        <v>949</v>
      </c>
      <c r="K647" s="6"/>
      <c r="L647" s="6"/>
      <c r="M647" s="6"/>
      <c r="N647" s="6"/>
      <c r="O647" s="6"/>
      <c r="P647" s="6"/>
      <c r="Q647" s="6" t="s">
        <v>952</v>
      </c>
      <c r="R647" s="7" t="n">
        <f aca="false">COUNTIF('Label Map'!$D$2:$D$2000,A647)</f>
        <v>1</v>
      </c>
    </row>
    <row r="648" customFormat="false" ht="15" hidden="false" customHeight="false" outlineLevel="0" collapsed="false">
      <c r="A648" s="6" t="s">
        <v>961</v>
      </c>
      <c r="B648" s="6" t="s">
        <v>11</v>
      </c>
      <c r="C648" s="6" t="s">
        <v>3</v>
      </c>
      <c r="D648" s="6" t="s">
        <v>614</v>
      </c>
      <c r="E648" s="6" t="s">
        <v>622</v>
      </c>
      <c r="F648" s="6" t="s">
        <v>949</v>
      </c>
      <c r="G648" s="6" t="s">
        <v>950</v>
      </c>
      <c r="H648" s="6" t="s">
        <v>961</v>
      </c>
      <c r="I648" s="6"/>
      <c r="J648" s="6" t="s">
        <v>949</v>
      </c>
      <c r="K648" s="6"/>
      <c r="L648" s="6"/>
      <c r="M648" s="6"/>
      <c r="N648" s="6"/>
      <c r="O648" s="6"/>
      <c r="P648" s="6"/>
      <c r="Q648" s="6" t="s">
        <v>952</v>
      </c>
      <c r="R648" s="7" t="n">
        <f aca="false">COUNTIF('Label Map'!$D$2:$D$2000,A648)</f>
        <v>3</v>
      </c>
    </row>
    <row r="649" customFormat="false" ht="15" hidden="false" customHeight="false" outlineLevel="0" collapsed="false">
      <c r="A649" s="6" t="s">
        <v>962</v>
      </c>
      <c r="B649" s="6" t="s">
        <v>11</v>
      </c>
      <c r="C649" s="6" t="s">
        <v>3</v>
      </c>
      <c r="D649" s="6" t="s">
        <v>614</v>
      </c>
      <c r="E649" s="6" t="s">
        <v>622</v>
      </c>
      <c r="F649" s="6" t="s">
        <v>949</v>
      </c>
      <c r="G649" s="6" t="s">
        <v>950</v>
      </c>
      <c r="H649" s="6" t="s">
        <v>962</v>
      </c>
      <c r="I649" s="6"/>
      <c r="J649" s="6" t="s">
        <v>949</v>
      </c>
      <c r="K649" s="6"/>
      <c r="L649" s="6"/>
      <c r="M649" s="6"/>
      <c r="N649" s="6"/>
      <c r="O649" s="6"/>
      <c r="P649" s="6"/>
      <c r="Q649" s="6" t="s">
        <v>429</v>
      </c>
      <c r="R649" s="7" t="n">
        <f aca="false">COUNTIF('Label Map'!$D$2:$D$2000,A649)</f>
        <v>1</v>
      </c>
    </row>
    <row r="650" customFormat="false" ht="15" hidden="false" customHeight="false" outlineLevel="0" collapsed="false">
      <c r="A650" s="6" t="s">
        <v>963</v>
      </c>
      <c r="B650" s="6" t="s">
        <v>11</v>
      </c>
      <c r="C650" s="6" t="s">
        <v>3</v>
      </c>
      <c r="D650" s="6" t="s">
        <v>614</v>
      </c>
      <c r="E650" s="6" t="s">
        <v>622</v>
      </c>
      <c r="F650" s="6" t="s">
        <v>949</v>
      </c>
      <c r="G650" s="6" t="s">
        <v>950</v>
      </c>
      <c r="H650" s="6" t="s">
        <v>963</v>
      </c>
      <c r="I650" s="6"/>
      <c r="J650" s="6" t="s">
        <v>949</v>
      </c>
      <c r="K650" s="6"/>
      <c r="L650" s="6"/>
      <c r="M650" s="6"/>
      <c r="N650" s="6"/>
      <c r="O650" s="6"/>
      <c r="P650" s="6"/>
      <c r="Q650" s="6" t="s">
        <v>952</v>
      </c>
      <c r="R650" s="7" t="n">
        <f aca="false">COUNTIF('Label Map'!$D$2:$D$2000,A650)</f>
        <v>2</v>
      </c>
    </row>
    <row r="651" customFormat="false" ht="15" hidden="false" customHeight="false" outlineLevel="0" collapsed="false">
      <c r="A651" s="6" t="s">
        <v>964</v>
      </c>
      <c r="B651" s="6" t="s">
        <v>11</v>
      </c>
      <c r="C651" s="6" t="s">
        <v>3</v>
      </c>
      <c r="D651" s="6" t="s">
        <v>614</v>
      </c>
      <c r="E651" s="6" t="s">
        <v>622</v>
      </c>
      <c r="F651" s="6" t="s">
        <v>949</v>
      </c>
      <c r="G651" s="6" t="s">
        <v>950</v>
      </c>
      <c r="H651" s="6" t="s">
        <v>964</v>
      </c>
      <c r="I651" s="6"/>
      <c r="J651" s="6" t="s">
        <v>949</v>
      </c>
      <c r="K651" s="6"/>
      <c r="L651" s="6"/>
      <c r="M651" s="6"/>
      <c r="N651" s="6"/>
      <c r="O651" s="6"/>
      <c r="P651" s="6"/>
      <c r="Q651" s="6" t="s">
        <v>952</v>
      </c>
      <c r="R651" s="7" t="n">
        <f aca="false">COUNTIF('Label Map'!$D$2:$D$2000,A651)</f>
        <v>1</v>
      </c>
    </row>
    <row r="652" customFormat="false" ht="15" hidden="false" customHeight="false" outlineLevel="0" collapsed="false">
      <c r="A652" s="6" t="s">
        <v>965</v>
      </c>
      <c r="B652" s="6" t="s">
        <v>11</v>
      </c>
      <c r="C652" s="6" t="s">
        <v>3</v>
      </c>
      <c r="D652" s="6" t="s">
        <v>614</v>
      </c>
      <c r="E652" s="6" t="s">
        <v>622</v>
      </c>
      <c r="F652" s="6" t="s">
        <v>949</v>
      </c>
      <c r="G652" s="6" t="s">
        <v>950</v>
      </c>
      <c r="H652" s="6" t="s">
        <v>965</v>
      </c>
      <c r="I652" s="6"/>
      <c r="J652" s="6" t="s">
        <v>949</v>
      </c>
      <c r="K652" s="6"/>
      <c r="L652" s="6"/>
      <c r="M652" s="6"/>
      <c r="N652" s="6"/>
      <c r="O652" s="6"/>
      <c r="P652" s="6"/>
      <c r="Q652" s="6" t="s">
        <v>952</v>
      </c>
      <c r="R652" s="7" t="n">
        <f aca="false">COUNTIF('Label Map'!$D$2:$D$2000,A652)</f>
        <v>1</v>
      </c>
    </row>
    <row r="653" customFormat="false" ht="15" hidden="false" customHeight="false" outlineLevel="0" collapsed="false">
      <c r="A653" s="6" t="s">
        <v>966</v>
      </c>
      <c r="B653" s="6" t="s">
        <v>11</v>
      </c>
      <c r="C653" s="6" t="s">
        <v>3</v>
      </c>
      <c r="D653" s="6" t="s">
        <v>614</v>
      </c>
      <c r="E653" s="6" t="s">
        <v>622</v>
      </c>
      <c r="F653" s="6" t="s">
        <v>949</v>
      </c>
      <c r="G653" s="6" t="s">
        <v>950</v>
      </c>
      <c r="H653" s="6" t="s">
        <v>966</v>
      </c>
      <c r="I653" s="6"/>
      <c r="J653" s="6" t="s">
        <v>949</v>
      </c>
      <c r="K653" s="6"/>
      <c r="L653" s="6"/>
      <c r="M653" s="6"/>
      <c r="N653" s="6"/>
      <c r="O653" s="6"/>
      <c r="P653" s="6"/>
      <c r="Q653" s="6" t="s">
        <v>952</v>
      </c>
      <c r="R653" s="7" t="n">
        <f aca="false">COUNTIF('Label Map'!$D$2:$D$2000,A653)</f>
        <v>1</v>
      </c>
    </row>
    <row r="654" customFormat="false" ht="15" hidden="false" customHeight="false" outlineLevel="0" collapsed="false">
      <c r="A654" s="6" t="s">
        <v>967</v>
      </c>
      <c r="B654" s="6" t="s">
        <v>11</v>
      </c>
      <c r="C654" s="6" t="s">
        <v>3</v>
      </c>
      <c r="D654" s="6" t="s">
        <v>614</v>
      </c>
      <c r="E654" s="6" t="s">
        <v>622</v>
      </c>
      <c r="F654" s="6" t="s">
        <v>949</v>
      </c>
      <c r="G654" s="6" t="s">
        <v>950</v>
      </c>
      <c r="H654" s="6" t="s">
        <v>967</v>
      </c>
      <c r="I654" s="6"/>
      <c r="J654" s="6" t="s">
        <v>949</v>
      </c>
      <c r="K654" s="6"/>
      <c r="L654" s="6"/>
      <c r="M654" s="6"/>
      <c r="N654" s="6"/>
      <c r="O654" s="6"/>
      <c r="P654" s="6"/>
      <c r="Q654" s="6" t="s">
        <v>429</v>
      </c>
      <c r="R654" s="7" t="n">
        <f aca="false">COUNTIF('Label Map'!$D$2:$D$2000,A654)</f>
        <v>1</v>
      </c>
    </row>
    <row r="655" customFormat="false" ht="15" hidden="false" customHeight="false" outlineLevel="0" collapsed="false">
      <c r="A655" s="6" t="s">
        <v>968</v>
      </c>
      <c r="B655" s="6" t="s">
        <v>11</v>
      </c>
      <c r="C655" s="6" t="s">
        <v>3</v>
      </c>
      <c r="D655" s="6" t="s">
        <v>614</v>
      </c>
      <c r="E655" s="6" t="s">
        <v>622</v>
      </c>
      <c r="F655" s="6" t="s">
        <v>949</v>
      </c>
      <c r="G655" s="6" t="s">
        <v>950</v>
      </c>
      <c r="H655" s="6" t="s">
        <v>968</v>
      </c>
      <c r="I655" s="6"/>
      <c r="J655" s="6" t="s">
        <v>949</v>
      </c>
      <c r="K655" s="6"/>
      <c r="L655" s="6"/>
      <c r="M655" s="6"/>
      <c r="N655" s="6"/>
      <c r="O655" s="6"/>
      <c r="P655" s="6"/>
      <c r="Q655" s="6" t="s">
        <v>952</v>
      </c>
      <c r="R655" s="7" t="n">
        <f aca="false">COUNTIF('Label Map'!$D$2:$D$2000,A655)</f>
        <v>1</v>
      </c>
    </row>
    <row r="656" customFormat="false" ht="15" hidden="false" customHeight="false" outlineLevel="0" collapsed="false">
      <c r="A656" s="6" t="s">
        <v>969</v>
      </c>
      <c r="B656" s="6" t="s">
        <v>11</v>
      </c>
      <c r="C656" s="6" t="s">
        <v>3</v>
      </c>
      <c r="D656" s="6" t="s">
        <v>614</v>
      </c>
      <c r="E656" s="6" t="s">
        <v>622</v>
      </c>
      <c r="F656" s="6" t="s">
        <v>949</v>
      </c>
      <c r="G656" s="6" t="s">
        <v>950</v>
      </c>
      <c r="H656" s="6" t="s">
        <v>969</v>
      </c>
      <c r="I656" s="6"/>
      <c r="J656" s="6" t="s">
        <v>949</v>
      </c>
      <c r="K656" s="6"/>
      <c r="L656" s="6"/>
      <c r="M656" s="6"/>
      <c r="N656" s="6"/>
      <c r="O656" s="6"/>
      <c r="P656" s="6"/>
      <c r="Q656" s="6" t="s">
        <v>952</v>
      </c>
      <c r="R656" s="7" t="n">
        <f aca="false">COUNTIF('Label Map'!$D$2:$D$2000,A656)</f>
        <v>1</v>
      </c>
    </row>
    <row r="657" customFormat="false" ht="15" hidden="false" customHeight="false" outlineLevel="0" collapsed="false">
      <c r="A657" s="6" t="s">
        <v>970</v>
      </c>
      <c r="B657" s="6" t="s">
        <v>11</v>
      </c>
      <c r="C657" s="6" t="s">
        <v>3</v>
      </c>
      <c r="D657" s="6" t="s">
        <v>614</v>
      </c>
      <c r="E657" s="6" t="s">
        <v>622</v>
      </c>
      <c r="F657" s="6" t="s">
        <v>949</v>
      </c>
      <c r="G657" s="6" t="s">
        <v>950</v>
      </c>
      <c r="H657" s="6" t="s">
        <v>970</v>
      </c>
      <c r="I657" s="6"/>
      <c r="J657" s="6" t="s">
        <v>949</v>
      </c>
      <c r="K657" s="6"/>
      <c r="L657" s="6"/>
      <c r="M657" s="6"/>
      <c r="N657" s="6"/>
      <c r="O657" s="6"/>
      <c r="P657" s="6"/>
      <c r="Q657" s="6" t="s">
        <v>952</v>
      </c>
      <c r="R657" s="7" t="n">
        <f aca="false">COUNTIF('Label Map'!$D$2:$D$2000,A657)</f>
        <v>1</v>
      </c>
    </row>
    <row r="658" customFormat="false" ht="15" hidden="false" customHeight="false" outlineLevel="0" collapsed="false">
      <c r="A658" s="6" t="s">
        <v>971</v>
      </c>
      <c r="B658" s="6" t="s">
        <v>63</v>
      </c>
      <c r="C658" s="6" t="s">
        <v>3</v>
      </c>
      <c r="D658" s="6" t="s">
        <v>614</v>
      </c>
      <c r="E658" s="6" t="s">
        <v>622</v>
      </c>
      <c r="F658" s="6" t="s">
        <v>949</v>
      </c>
      <c r="G658" s="6" t="s">
        <v>950</v>
      </c>
      <c r="H658" s="6"/>
      <c r="I658" s="6" t="s">
        <v>971</v>
      </c>
      <c r="J658" s="6" t="s">
        <v>949</v>
      </c>
      <c r="K658" s="6"/>
      <c r="L658" s="6"/>
      <c r="M658" s="6"/>
      <c r="N658" s="6"/>
      <c r="O658" s="6"/>
      <c r="P658" s="6"/>
      <c r="Q658" s="6"/>
      <c r="R658" s="7" t="n">
        <f aca="false">COUNTIF('Label Map'!$D$2:$D$2000,A658)</f>
        <v>0</v>
      </c>
    </row>
    <row r="659" customFormat="false" ht="15" hidden="false" customHeight="false" outlineLevel="0" collapsed="false">
      <c r="A659" s="6" t="s">
        <v>972</v>
      </c>
      <c r="B659" s="6" t="s">
        <v>63</v>
      </c>
      <c r="C659" s="6" t="s">
        <v>3</v>
      </c>
      <c r="D659" s="6" t="s">
        <v>614</v>
      </c>
      <c r="E659" s="6" t="s">
        <v>622</v>
      </c>
      <c r="F659" s="6" t="s">
        <v>949</v>
      </c>
      <c r="G659" s="6" t="s">
        <v>950</v>
      </c>
      <c r="H659" s="6"/>
      <c r="I659" s="6" t="s">
        <v>972</v>
      </c>
      <c r="J659" s="6" t="s">
        <v>949</v>
      </c>
      <c r="K659" s="6"/>
      <c r="L659" s="6"/>
      <c r="M659" s="6"/>
      <c r="N659" s="6"/>
      <c r="O659" s="6"/>
      <c r="P659" s="6"/>
      <c r="Q659" s="6"/>
      <c r="R659" s="7" t="n">
        <f aca="false">COUNTIF('Label Map'!$D$2:$D$2000,A659)</f>
        <v>0</v>
      </c>
    </row>
    <row r="660" customFormat="false" ht="15" hidden="false" customHeight="false" outlineLevel="0" collapsed="false">
      <c r="A660" s="6" t="s">
        <v>973</v>
      </c>
      <c r="B660" s="6" t="s">
        <v>9</v>
      </c>
      <c r="C660" s="6" t="s">
        <v>3</v>
      </c>
      <c r="D660" s="6" t="s">
        <v>614</v>
      </c>
      <c r="E660" s="6" t="s">
        <v>622</v>
      </c>
      <c r="F660" s="6" t="s">
        <v>973</v>
      </c>
      <c r="G660" s="6" t="s">
        <v>974</v>
      </c>
      <c r="H660" s="6"/>
      <c r="I660" s="6"/>
      <c r="J660" s="6" t="s">
        <v>622</v>
      </c>
      <c r="K660" s="6" t="s">
        <v>629</v>
      </c>
      <c r="L660" s="6" t="s">
        <v>622</v>
      </c>
      <c r="M660" s="6" t="s">
        <v>650</v>
      </c>
      <c r="N660" s="6"/>
      <c r="O660" s="6" t="s">
        <v>311</v>
      </c>
      <c r="P660" s="6" t="s">
        <v>311</v>
      </c>
      <c r="Q660" s="6"/>
      <c r="R660" s="7" t="n">
        <f aca="false">COUNTIF('Label Map'!$D$2:$D$2000,A660)</f>
        <v>1</v>
      </c>
    </row>
    <row r="661" customFormat="false" ht="15" hidden="false" customHeight="false" outlineLevel="0" collapsed="false">
      <c r="A661" s="6" t="s">
        <v>975</v>
      </c>
      <c r="B661" s="6" t="s">
        <v>9</v>
      </c>
      <c r="C661" s="6" t="s">
        <v>3</v>
      </c>
      <c r="D661" s="6" t="s">
        <v>614</v>
      </c>
      <c r="E661" s="6" t="s">
        <v>622</v>
      </c>
      <c r="F661" s="6" t="s">
        <v>975</v>
      </c>
      <c r="G661" s="6" t="s">
        <v>976</v>
      </c>
      <c r="H661" s="6"/>
      <c r="I661" s="6"/>
      <c r="J661" s="6" t="s">
        <v>622</v>
      </c>
      <c r="K661" s="6" t="s">
        <v>789</v>
      </c>
      <c r="L661" s="6" t="s">
        <v>622</v>
      </c>
      <c r="M661" s="6" t="s">
        <v>650</v>
      </c>
      <c r="N661" s="6"/>
      <c r="O661" s="6" t="s">
        <v>308</v>
      </c>
      <c r="P661" s="6" t="s">
        <v>87</v>
      </c>
      <c r="Q661" s="6"/>
      <c r="R661" s="7" t="n">
        <f aca="false">COUNTIF('Label Map'!$D$2:$D$2000,A661)</f>
        <v>3</v>
      </c>
    </row>
    <row r="662" customFormat="false" ht="15" hidden="false" customHeight="false" outlineLevel="0" collapsed="false">
      <c r="A662" s="6" t="s">
        <v>977</v>
      </c>
      <c r="B662" s="6" t="s">
        <v>63</v>
      </c>
      <c r="C662" s="6" t="s">
        <v>3</v>
      </c>
      <c r="D662" s="6" t="s">
        <v>614</v>
      </c>
      <c r="E662" s="6" t="s">
        <v>622</v>
      </c>
      <c r="F662" s="6" t="s">
        <v>975</v>
      </c>
      <c r="G662" s="6" t="s">
        <v>976</v>
      </c>
      <c r="H662" s="6"/>
      <c r="I662" s="6" t="s">
        <v>977</v>
      </c>
      <c r="J662" s="6" t="s">
        <v>975</v>
      </c>
      <c r="K662" s="6"/>
      <c r="L662" s="6"/>
      <c r="M662" s="6"/>
      <c r="N662" s="6"/>
      <c r="O662" s="6"/>
      <c r="P662" s="6"/>
      <c r="Q662" s="6"/>
      <c r="R662" s="7" t="n">
        <f aca="false">COUNTIF('Label Map'!$D$2:$D$2000,A662)</f>
        <v>0</v>
      </c>
    </row>
    <row r="663" customFormat="false" ht="15" hidden="false" customHeight="false" outlineLevel="0" collapsed="false">
      <c r="A663" s="6" t="s">
        <v>978</v>
      </c>
      <c r="B663" s="6" t="s">
        <v>9</v>
      </c>
      <c r="C663" s="6" t="s">
        <v>3</v>
      </c>
      <c r="D663" s="6" t="s">
        <v>614</v>
      </c>
      <c r="E663" s="6" t="s">
        <v>622</v>
      </c>
      <c r="F663" s="6" t="s">
        <v>978</v>
      </c>
      <c r="G663" s="6" t="s">
        <v>979</v>
      </c>
      <c r="H663" s="6"/>
      <c r="I663" s="6"/>
      <c r="J663" s="6" t="s">
        <v>622</v>
      </c>
      <c r="K663" s="6" t="s">
        <v>980</v>
      </c>
      <c r="L663" s="6" t="s">
        <v>622</v>
      </c>
      <c r="M663" s="6" t="s">
        <v>629</v>
      </c>
      <c r="N663" s="6"/>
      <c r="O663" s="6" t="s">
        <v>308</v>
      </c>
      <c r="P663" s="6" t="s">
        <v>87</v>
      </c>
      <c r="Q663" s="6"/>
      <c r="R663" s="7" t="n">
        <f aca="false">COUNTIF('Label Map'!$D$2:$D$2000,A663)</f>
        <v>4</v>
      </c>
    </row>
    <row r="664" customFormat="false" ht="15" hidden="false" customHeight="false" outlineLevel="0" collapsed="false">
      <c r="A664" s="6" t="s">
        <v>981</v>
      </c>
      <c r="B664" s="6" t="s">
        <v>11</v>
      </c>
      <c r="C664" s="6" t="s">
        <v>3</v>
      </c>
      <c r="D664" s="6" t="s">
        <v>614</v>
      </c>
      <c r="E664" s="6" t="s">
        <v>622</v>
      </c>
      <c r="F664" s="6" t="s">
        <v>978</v>
      </c>
      <c r="G664" s="6" t="s">
        <v>979</v>
      </c>
      <c r="H664" s="6" t="s">
        <v>981</v>
      </c>
      <c r="I664" s="6"/>
      <c r="J664" s="6" t="s">
        <v>978</v>
      </c>
      <c r="K664" s="6"/>
      <c r="L664" s="6"/>
      <c r="M664" s="6"/>
      <c r="N664" s="6"/>
      <c r="O664" s="6"/>
      <c r="P664" s="6"/>
      <c r="Q664" s="6" t="s">
        <v>982</v>
      </c>
      <c r="R664" s="7" t="n">
        <f aca="false">COUNTIF('Label Map'!$D$2:$D$2000,A664)</f>
        <v>1</v>
      </c>
    </row>
    <row r="665" customFormat="false" ht="15" hidden="false" customHeight="false" outlineLevel="0" collapsed="false">
      <c r="A665" s="6" t="s">
        <v>983</v>
      </c>
      <c r="B665" s="6" t="s">
        <v>11</v>
      </c>
      <c r="C665" s="6" t="s">
        <v>3</v>
      </c>
      <c r="D665" s="6" t="s">
        <v>614</v>
      </c>
      <c r="E665" s="6" t="s">
        <v>622</v>
      </c>
      <c r="F665" s="6" t="s">
        <v>978</v>
      </c>
      <c r="G665" s="6" t="s">
        <v>979</v>
      </c>
      <c r="H665" s="6" t="s">
        <v>983</v>
      </c>
      <c r="I665" s="6"/>
      <c r="J665" s="6" t="s">
        <v>978</v>
      </c>
      <c r="K665" s="6"/>
      <c r="L665" s="6"/>
      <c r="M665" s="6"/>
      <c r="N665" s="6"/>
      <c r="O665" s="6"/>
      <c r="P665" s="6"/>
      <c r="Q665" s="6" t="s">
        <v>982</v>
      </c>
      <c r="R665" s="7" t="n">
        <f aca="false">COUNTIF('Label Map'!$D$2:$D$2000,A665)</f>
        <v>1</v>
      </c>
    </row>
    <row r="666" customFormat="false" ht="15" hidden="false" customHeight="false" outlineLevel="0" collapsed="false">
      <c r="A666" s="6" t="s">
        <v>984</v>
      </c>
      <c r="B666" s="6" t="s">
        <v>11</v>
      </c>
      <c r="C666" s="6" t="s">
        <v>3</v>
      </c>
      <c r="D666" s="6" t="s">
        <v>614</v>
      </c>
      <c r="E666" s="6" t="s">
        <v>622</v>
      </c>
      <c r="F666" s="6" t="s">
        <v>978</v>
      </c>
      <c r="G666" s="6" t="s">
        <v>979</v>
      </c>
      <c r="H666" s="6" t="s">
        <v>984</v>
      </c>
      <c r="I666" s="6"/>
      <c r="J666" s="6" t="s">
        <v>978</v>
      </c>
      <c r="K666" s="6"/>
      <c r="L666" s="6"/>
      <c r="M666" s="6"/>
      <c r="N666" s="6"/>
      <c r="O666" s="6"/>
      <c r="P666" s="6"/>
      <c r="Q666" s="6" t="s">
        <v>982</v>
      </c>
      <c r="R666" s="7" t="n">
        <f aca="false">COUNTIF('Label Map'!$D$2:$D$2000,A666)</f>
        <v>1</v>
      </c>
    </row>
    <row r="667" customFormat="false" ht="15" hidden="false" customHeight="false" outlineLevel="0" collapsed="false">
      <c r="A667" s="6" t="s">
        <v>985</v>
      </c>
      <c r="B667" s="6" t="s">
        <v>11</v>
      </c>
      <c r="C667" s="6" t="s">
        <v>3</v>
      </c>
      <c r="D667" s="6" t="s">
        <v>614</v>
      </c>
      <c r="E667" s="6" t="s">
        <v>622</v>
      </c>
      <c r="F667" s="6" t="s">
        <v>978</v>
      </c>
      <c r="G667" s="6" t="s">
        <v>979</v>
      </c>
      <c r="H667" s="6" t="s">
        <v>985</v>
      </c>
      <c r="I667" s="6"/>
      <c r="J667" s="6" t="s">
        <v>978</v>
      </c>
      <c r="K667" s="6"/>
      <c r="L667" s="6"/>
      <c r="M667" s="6"/>
      <c r="N667" s="6"/>
      <c r="O667" s="6"/>
      <c r="P667" s="6"/>
      <c r="Q667" s="6" t="s">
        <v>982</v>
      </c>
      <c r="R667" s="7" t="n">
        <f aca="false">COUNTIF('Label Map'!$D$2:$D$2000,A667)</f>
        <v>1</v>
      </c>
    </row>
    <row r="668" customFormat="false" ht="15" hidden="false" customHeight="false" outlineLevel="0" collapsed="false">
      <c r="A668" s="6" t="s">
        <v>986</v>
      </c>
      <c r="B668" s="6" t="s">
        <v>11</v>
      </c>
      <c r="C668" s="6" t="s">
        <v>3</v>
      </c>
      <c r="D668" s="6" t="s">
        <v>614</v>
      </c>
      <c r="E668" s="6" t="s">
        <v>622</v>
      </c>
      <c r="F668" s="6" t="s">
        <v>978</v>
      </c>
      <c r="G668" s="6" t="s">
        <v>979</v>
      </c>
      <c r="H668" s="6" t="s">
        <v>986</v>
      </c>
      <c r="I668" s="6"/>
      <c r="J668" s="6" t="s">
        <v>978</v>
      </c>
      <c r="K668" s="6"/>
      <c r="L668" s="6"/>
      <c r="M668" s="6"/>
      <c r="N668" s="6"/>
      <c r="O668" s="6"/>
      <c r="P668" s="6"/>
      <c r="Q668" s="6" t="s">
        <v>982</v>
      </c>
      <c r="R668" s="7" t="n">
        <f aca="false">COUNTIF('Label Map'!$D$2:$D$2000,A668)</f>
        <v>1</v>
      </c>
    </row>
    <row r="669" customFormat="false" ht="15" hidden="false" customHeight="false" outlineLevel="0" collapsed="false">
      <c r="A669" s="6" t="s">
        <v>987</v>
      </c>
      <c r="B669" s="6" t="s">
        <v>11</v>
      </c>
      <c r="C669" s="6" t="s">
        <v>3</v>
      </c>
      <c r="D669" s="6" t="s">
        <v>614</v>
      </c>
      <c r="E669" s="6" t="s">
        <v>622</v>
      </c>
      <c r="F669" s="6" t="s">
        <v>978</v>
      </c>
      <c r="G669" s="6" t="s">
        <v>979</v>
      </c>
      <c r="H669" s="6" t="s">
        <v>987</v>
      </c>
      <c r="I669" s="6"/>
      <c r="J669" s="6" t="s">
        <v>978</v>
      </c>
      <c r="K669" s="6"/>
      <c r="L669" s="6"/>
      <c r="M669" s="6"/>
      <c r="N669" s="6"/>
      <c r="O669" s="6"/>
      <c r="P669" s="6"/>
      <c r="Q669" s="6" t="s">
        <v>982</v>
      </c>
      <c r="R669" s="7" t="n">
        <f aca="false">COUNTIF('Label Map'!$D$2:$D$2000,A669)</f>
        <v>1</v>
      </c>
    </row>
    <row r="670" customFormat="false" ht="15" hidden="false" customHeight="false" outlineLevel="0" collapsed="false">
      <c r="A670" s="6" t="s">
        <v>988</v>
      </c>
      <c r="B670" s="6" t="s">
        <v>11</v>
      </c>
      <c r="C670" s="6" t="s">
        <v>3</v>
      </c>
      <c r="D670" s="6" t="s">
        <v>614</v>
      </c>
      <c r="E670" s="6" t="s">
        <v>622</v>
      </c>
      <c r="F670" s="6" t="s">
        <v>978</v>
      </c>
      <c r="G670" s="6" t="s">
        <v>979</v>
      </c>
      <c r="H670" s="6" t="s">
        <v>988</v>
      </c>
      <c r="I670" s="6"/>
      <c r="J670" s="6" t="s">
        <v>978</v>
      </c>
      <c r="K670" s="6"/>
      <c r="L670" s="6"/>
      <c r="M670" s="6"/>
      <c r="N670" s="6"/>
      <c r="O670" s="6"/>
      <c r="P670" s="6"/>
      <c r="Q670" s="6" t="s">
        <v>982</v>
      </c>
      <c r="R670" s="7" t="n">
        <f aca="false">COUNTIF('Label Map'!$D$2:$D$2000,A670)</f>
        <v>1</v>
      </c>
    </row>
    <row r="671" customFormat="false" ht="15" hidden="false" customHeight="false" outlineLevel="0" collapsed="false">
      <c r="A671" s="6" t="s">
        <v>989</v>
      </c>
      <c r="B671" s="6" t="s">
        <v>11</v>
      </c>
      <c r="C671" s="6" t="s">
        <v>3</v>
      </c>
      <c r="D671" s="6" t="s">
        <v>614</v>
      </c>
      <c r="E671" s="6" t="s">
        <v>622</v>
      </c>
      <c r="F671" s="6" t="s">
        <v>978</v>
      </c>
      <c r="G671" s="6" t="s">
        <v>979</v>
      </c>
      <c r="H671" s="6" t="s">
        <v>989</v>
      </c>
      <c r="I671" s="6"/>
      <c r="J671" s="6" t="s">
        <v>978</v>
      </c>
      <c r="K671" s="6"/>
      <c r="L671" s="6"/>
      <c r="M671" s="6"/>
      <c r="N671" s="6"/>
      <c r="O671" s="6"/>
      <c r="P671" s="6"/>
      <c r="Q671" s="6" t="s">
        <v>982</v>
      </c>
      <c r="R671" s="7" t="n">
        <f aca="false">COUNTIF('Label Map'!$D$2:$D$2000,A671)</f>
        <v>1</v>
      </c>
    </row>
    <row r="672" customFormat="false" ht="15" hidden="false" customHeight="false" outlineLevel="0" collapsed="false">
      <c r="A672" s="6" t="s">
        <v>990</v>
      </c>
      <c r="B672" s="6" t="s">
        <v>11</v>
      </c>
      <c r="C672" s="6" t="s">
        <v>3</v>
      </c>
      <c r="D672" s="6" t="s">
        <v>614</v>
      </c>
      <c r="E672" s="6" t="s">
        <v>622</v>
      </c>
      <c r="F672" s="6" t="s">
        <v>978</v>
      </c>
      <c r="G672" s="6" t="s">
        <v>979</v>
      </c>
      <c r="H672" s="6" t="s">
        <v>990</v>
      </c>
      <c r="I672" s="6"/>
      <c r="J672" s="6" t="s">
        <v>978</v>
      </c>
      <c r="K672" s="6"/>
      <c r="L672" s="6"/>
      <c r="M672" s="6"/>
      <c r="N672" s="6"/>
      <c r="O672" s="6"/>
      <c r="P672" s="6"/>
      <c r="Q672" s="6" t="s">
        <v>982</v>
      </c>
      <c r="R672" s="7" t="n">
        <f aca="false">COUNTIF('Label Map'!$D$2:$D$2000,A672)</f>
        <v>1</v>
      </c>
    </row>
    <row r="673" customFormat="false" ht="15" hidden="false" customHeight="false" outlineLevel="0" collapsed="false">
      <c r="A673" s="6" t="s">
        <v>991</v>
      </c>
      <c r="B673" s="6" t="s">
        <v>11</v>
      </c>
      <c r="C673" s="6" t="s">
        <v>3</v>
      </c>
      <c r="D673" s="6" t="s">
        <v>614</v>
      </c>
      <c r="E673" s="6" t="s">
        <v>622</v>
      </c>
      <c r="F673" s="6" t="s">
        <v>978</v>
      </c>
      <c r="G673" s="6" t="s">
        <v>979</v>
      </c>
      <c r="H673" s="6" t="s">
        <v>991</v>
      </c>
      <c r="I673" s="6"/>
      <c r="J673" s="6" t="s">
        <v>978</v>
      </c>
      <c r="K673" s="6"/>
      <c r="L673" s="6"/>
      <c r="M673" s="6"/>
      <c r="N673" s="6"/>
      <c r="O673" s="6"/>
      <c r="P673" s="6"/>
      <c r="Q673" s="6" t="s">
        <v>982</v>
      </c>
      <c r="R673" s="7" t="n">
        <f aca="false">COUNTIF('Label Map'!$D$2:$D$2000,A673)</f>
        <v>1</v>
      </c>
    </row>
    <row r="674" customFormat="false" ht="15" hidden="false" customHeight="false" outlineLevel="0" collapsed="false">
      <c r="A674" s="6" t="s">
        <v>992</v>
      </c>
      <c r="B674" s="6" t="s">
        <v>11</v>
      </c>
      <c r="C674" s="6" t="s">
        <v>3</v>
      </c>
      <c r="D674" s="6" t="s">
        <v>614</v>
      </c>
      <c r="E674" s="6" t="s">
        <v>622</v>
      </c>
      <c r="F674" s="6" t="s">
        <v>978</v>
      </c>
      <c r="G674" s="6" t="s">
        <v>979</v>
      </c>
      <c r="H674" s="6" t="s">
        <v>992</v>
      </c>
      <c r="I674" s="6"/>
      <c r="J674" s="6" t="s">
        <v>978</v>
      </c>
      <c r="K674" s="6"/>
      <c r="L674" s="6"/>
      <c r="M674" s="6"/>
      <c r="N674" s="6"/>
      <c r="O674" s="6"/>
      <c r="P674" s="6"/>
      <c r="Q674" s="6" t="s">
        <v>982</v>
      </c>
      <c r="R674" s="7" t="n">
        <f aca="false">COUNTIF('Label Map'!$D$2:$D$2000,A674)</f>
        <v>1</v>
      </c>
    </row>
    <row r="675" customFormat="false" ht="15" hidden="false" customHeight="false" outlineLevel="0" collapsed="false">
      <c r="A675" s="6" t="s">
        <v>993</v>
      </c>
      <c r="B675" s="6" t="s">
        <v>11</v>
      </c>
      <c r="C675" s="6" t="s">
        <v>3</v>
      </c>
      <c r="D675" s="6" t="s">
        <v>614</v>
      </c>
      <c r="E675" s="6" t="s">
        <v>622</v>
      </c>
      <c r="F675" s="6" t="s">
        <v>978</v>
      </c>
      <c r="G675" s="6" t="s">
        <v>979</v>
      </c>
      <c r="H675" s="6" t="s">
        <v>993</v>
      </c>
      <c r="I675" s="6"/>
      <c r="J675" s="6" t="s">
        <v>978</v>
      </c>
      <c r="K675" s="6"/>
      <c r="L675" s="6"/>
      <c r="M675" s="6"/>
      <c r="N675" s="6"/>
      <c r="O675" s="6"/>
      <c r="P675" s="6"/>
      <c r="Q675" s="6" t="s">
        <v>982</v>
      </c>
      <c r="R675" s="7" t="n">
        <f aca="false">COUNTIF('Label Map'!$D$2:$D$2000,A675)</f>
        <v>1</v>
      </c>
    </row>
    <row r="676" customFormat="false" ht="15" hidden="false" customHeight="false" outlineLevel="0" collapsed="false">
      <c r="A676" s="6" t="s">
        <v>994</v>
      </c>
      <c r="B676" s="6" t="s">
        <v>11</v>
      </c>
      <c r="C676" s="6" t="s">
        <v>3</v>
      </c>
      <c r="D676" s="6" t="s">
        <v>614</v>
      </c>
      <c r="E676" s="6" t="s">
        <v>622</v>
      </c>
      <c r="F676" s="6" t="s">
        <v>978</v>
      </c>
      <c r="G676" s="6" t="s">
        <v>979</v>
      </c>
      <c r="H676" s="6" t="s">
        <v>994</v>
      </c>
      <c r="I676" s="6"/>
      <c r="J676" s="6" t="s">
        <v>978</v>
      </c>
      <c r="K676" s="6"/>
      <c r="L676" s="6"/>
      <c r="M676" s="6"/>
      <c r="N676" s="6"/>
      <c r="O676" s="6"/>
      <c r="P676" s="6"/>
      <c r="Q676" s="6" t="s">
        <v>982</v>
      </c>
      <c r="R676" s="7" t="n">
        <f aca="false">COUNTIF('Label Map'!$D$2:$D$2000,A676)</f>
        <v>1</v>
      </c>
    </row>
    <row r="677" customFormat="false" ht="15" hidden="false" customHeight="false" outlineLevel="0" collapsed="false">
      <c r="A677" s="6" t="s">
        <v>995</v>
      </c>
      <c r="B677" s="6" t="s">
        <v>11</v>
      </c>
      <c r="C677" s="6" t="s">
        <v>3</v>
      </c>
      <c r="D677" s="6" t="s">
        <v>614</v>
      </c>
      <c r="E677" s="6" t="s">
        <v>622</v>
      </c>
      <c r="F677" s="6" t="s">
        <v>978</v>
      </c>
      <c r="G677" s="6" t="s">
        <v>979</v>
      </c>
      <c r="H677" s="6" t="s">
        <v>995</v>
      </c>
      <c r="I677" s="6"/>
      <c r="J677" s="6" t="s">
        <v>978</v>
      </c>
      <c r="K677" s="6"/>
      <c r="L677" s="6"/>
      <c r="M677" s="6"/>
      <c r="N677" s="6"/>
      <c r="O677" s="6"/>
      <c r="P677" s="6"/>
      <c r="Q677" s="6" t="s">
        <v>982</v>
      </c>
      <c r="R677" s="7" t="n">
        <f aca="false">COUNTIF('Label Map'!$D$2:$D$2000,A677)</f>
        <v>1</v>
      </c>
    </row>
    <row r="678" customFormat="false" ht="15" hidden="false" customHeight="false" outlineLevel="0" collapsed="false">
      <c r="A678" s="6" t="s">
        <v>996</v>
      </c>
      <c r="B678" s="6" t="s">
        <v>11</v>
      </c>
      <c r="C678" s="6" t="s">
        <v>3</v>
      </c>
      <c r="D678" s="6" t="s">
        <v>614</v>
      </c>
      <c r="E678" s="6" t="s">
        <v>622</v>
      </c>
      <c r="F678" s="6" t="s">
        <v>978</v>
      </c>
      <c r="G678" s="6" t="s">
        <v>979</v>
      </c>
      <c r="H678" s="6" t="s">
        <v>996</v>
      </c>
      <c r="I678" s="6"/>
      <c r="J678" s="6" t="s">
        <v>978</v>
      </c>
      <c r="K678" s="6"/>
      <c r="L678" s="6"/>
      <c r="M678" s="6"/>
      <c r="N678" s="6"/>
      <c r="O678" s="6"/>
      <c r="P678" s="6"/>
      <c r="Q678" s="6" t="s">
        <v>982</v>
      </c>
      <c r="R678" s="7" t="n">
        <f aca="false">COUNTIF('Label Map'!$D$2:$D$2000,A678)</f>
        <v>1</v>
      </c>
    </row>
    <row r="679" customFormat="false" ht="15" hidden="false" customHeight="false" outlineLevel="0" collapsed="false">
      <c r="A679" s="6" t="s">
        <v>997</v>
      </c>
      <c r="B679" s="6" t="s">
        <v>11</v>
      </c>
      <c r="C679" s="6" t="s">
        <v>3</v>
      </c>
      <c r="D679" s="6" t="s">
        <v>614</v>
      </c>
      <c r="E679" s="6" t="s">
        <v>622</v>
      </c>
      <c r="F679" s="6" t="s">
        <v>978</v>
      </c>
      <c r="G679" s="6" t="s">
        <v>979</v>
      </c>
      <c r="H679" s="6" t="s">
        <v>997</v>
      </c>
      <c r="I679" s="6"/>
      <c r="J679" s="6" t="s">
        <v>978</v>
      </c>
      <c r="K679" s="6"/>
      <c r="L679" s="6"/>
      <c r="M679" s="6"/>
      <c r="N679" s="6"/>
      <c r="O679" s="6"/>
      <c r="P679" s="6"/>
      <c r="Q679" s="6" t="s">
        <v>982</v>
      </c>
      <c r="R679" s="7" t="n">
        <f aca="false">COUNTIF('Label Map'!$D$2:$D$2000,A679)</f>
        <v>1</v>
      </c>
    </row>
    <row r="680" customFormat="false" ht="15" hidden="false" customHeight="false" outlineLevel="0" collapsed="false">
      <c r="A680" s="6" t="s">
        <v>998</v>
      </c>
      <c r="B680" s="6" t="s">
        <v>11</v>
      </c>
      <c r="C680" s="6" t="s">
        <v>3</v>
      </c>
      <c r="D680" s="6" t="s">
        <v>614</v>
      </c>
      <c r="E680" s="6" t="s">
        <v>622</v>
      </c>
      <c r="F680" s="6" t="s">
        <v>978</v>
      </c>
      <c r="G680" s="6" t="s">
        <v>979</v>
      </c>
      <c r="H680" s="6" t="s">
        <v>998</v>
      </c>
      <c r="I680" s="6"/>
      <c r="J680" s="6" t="s">
        <v>978</v>
      </c>
      <c r="K680" s="6"/>
      <c r="L680" s="6"/>
      <c r="M680" s="6"/>
      <c r="N680" s="6"/>
      <c r="O680" s="6"/>
      <c r="P680" s="6"/>
      <c r="Q680" s="6" t="s">
        <v>982</v>
      </c>
      <c r="R680" s="7" t="n">
        <f aca="false">COUNTIF('Label Map'!$D$2:$D$2000,A680)</f>
        <v>1</v>
      </c>
    </row>
    <row r="681" customFormat="false" ht="15" hidden="false" customHeight="false" outlineLevel="0" collapsed="false">
      <c r="A681" s="6" t="s">
        <v>999</v>
      </c>
      <c r="B681" s="6" t="s">
        <v>11</v>
      </c>
      <c r="C681" s="6" t="s">
        <v>3</v>
      </c>
      <c r="D681" s="6" t="s">
        <v>614</v>
      </c>
      <c r="E681" s="6" t="s">
        <v>622</v>
      </c>
      <c r="F681" s="6" t="s">
        <v>978</v>
      </c>
      <c r="G681" s="6" t="s">
        <v>979</v>
      </c>
      <c r="H681" s="6" t="s">
        <v>999</v>
      </c>
      <c r="I681" s="6"/>
      <c r="J681" s="6" t="s">
        <v>978</v>
      </c>
      <c r="K681" s="6"/>
      <c r="L681" s="6"/>
      <c r="M681" s="6"/>
      <c r="N681" s="6"/>
      <c r="O681" s="6"/>
      <c r="P681" s="6"/>
      <c r="Q681" s="6" t="s">
        <v>982</v>
      </c>
      <c r="R681" s="7" t="n">
        <f aca="false">COUNTIF('Label Map'!$D$2:$D$2000,A681)</f>
        <v>1</v>
      </c>
    </row>
    <row r="682" customFormat="false" ht="15" hidden="false" customHeight="false" outlineLevel="0" collapsed="false">
      <c r="A682" s="6" t="s">
        <v>1000</v>
      </c>
      <c r="B682" s="6" t="s">
        <v>11</v>
      </c>
      <c r="C682" s="6" t="s">
        <v>3</v>
      </c>
      <c r="D682" s="6" t="s">
        <v>614</v>
      </c>
      <c r="E682" s="6" t="s">
        <v>622</v>
      </c>
      <c r="F682" s="6" t="s">
        <v>978</v>
      </c>
      <c r="G682" s="6" t="s">
        <v>979</v>
      </c>
      <c r="H682" s="6" t="s">
        <v>1000</v>
      </c>
      <c r="I682" s="6"/>
      <c r="J682" s="6" t="s">
        <v>978</v>
      </c>
      <c r="K682" s="6"/>
      <c r="L682" s="6"/>
      <c r="M682" s="6"/>
      <c r="N682" s="6"/>
      <c r="O682" s="6"/>
      <c r="P682" s="6"/>
      <c r="Q682" s="6" t="s">
        <v>982</v>
      </c>
      <c r="R682" s="7" t="n">
        <f aca="false">COUNTIF('Label Map'!$D$2:$D$2000,A682)</f>
        <v>1</v>
      </c>
    </row>
    <row r="683" customFormat="false" ht="15" hidden="false" customHeight="false" outlineLevel="0" collapsed="false">
      <c r="A683" s="6" t="s">
        <v>1001</v>
      </c>
      <c r="B683" s="6" t="s">
        <v>11</v>
      </c>
      <c r="C683" s="6" t="s">
        <v>3</v>
      </c>
      <c r="D683" s="6" t="s">
        <v>614</v>
      </c>
      <c r="E683" s="6" t="s">
        <v>622</v>
      </c>
      <c r="F683" s="6" t="s">
        <v>978</v>
      </c>
      <c r="G683" s="6" t="s">
        <v>979</v>
      </c>
      <c r="H683" s="6" t="s">
        <v>1001</v>
      </c>
      <c r="I683" s="6"/>
      <c r="J683" s="6" t="s">
        <v>978</v>
      </c>
      <c r="K683" s="6"/>
      <c r="L683" s="6"/>
      <c r="M683" s="6"/>
      <c r="N683" s="6"/>
      <c r="O683" s="6"/>
      <c r="P683" s="6"/>
      <c r="Q683" s="6" t="s">
        <v>982</v>
      </c>
      <c r="R683" s="7" t="n">
        <f aca="false">COUNTIF('Label Map'!$D$2:$D$2000,A683)</f>
        <v>1</v>
      </c>
    </row>
    <row r="684" customFormat="false" ht="15" hidden="false" customHeight="false" outlineLevel="0" collapsed="false">
      <c r="A684" s="6" t="s">
        <v>1002</v>
      </c>
      <c r="B684" s="6" t="s">
        <v>11</v>
      </c>
      <c r="C684" s="6" t="s">
        <v>3</v>
      </c>
      <c r="D684" s="6" t="s">
        <v>614</v>
      </c>
      <c r="E684" s="6" t="s">
        <v>622</v>
      </c>
      <c r="F684" s="6" t="s">
        <v>978</v>
      </c>
      <c r="G684" s="6" t="s">
        <v>979</v>
      </c>
      <c r="H684" s="6" t="s">
        <v>1002</v>
      </c>
      <c r="I684" s="6"/>
      <c r="J684" s="6" t="s">
        <v>978</v>
      </c>
      <c r="K684" s="6"/>
      <c r="L684" s="6"/>
      <c r="M684" s="6"/>
      <c r="N684" s="6"/>
      <c r="O684" s="6"/>
      <c r="P684" s="6"/>
      <c r="Q684" s="6" t="s">
        <v>982</v>
      </c>
      <c r="R684" s="7" t="n">
        <f aca="false">COUNTIF('Label Map'!$D$2:$D$2000,A684)</f>
        <v>1</v>
      </c>
    </row>
    <row r="685" customFormat="false" ht="15" hidden="false" customHeight="false" outlineLevel="0" collapsed="false">
      <c r="A685" s="6" t="s">
        <v>1003</v>
      </c>
      <c r="B685" s="6" t="s">
        <v>11</v>
      </c>
      <c r="C685" s="6" t="s">
        <v>3</v>
      </c>
      <c r="D685" s="6" t="s">
        <v>614</v>
      </c>
      <c r="E685" s="6" t="s">
        <v>622</v>
      </c>
      <c r="F685" s="6" t="s">
        <v>978</v>
      </c>
      <c r="G685" s="6" t="s">
        <v>979</v>
      </c>
      <c r="H685" s="6" t="s">
        <v>1003</v>
      </c>
      <c r="I685" s="6"/>
      <c r="J685" s="6" t="s">
        <v>978</v>
      </c>
      <c r="K685" s="6"/>
      <c r="L685" s="6"/>
      <c r="M685" s="6"/>
      <c r="N685" s="6"/>
      <c r="O685" s="6"/>
      <c r="P685" s="6"/>
      <c r="Q685" s="6" t="s">
        <v>982</v>
      </c>
      <c r="R685" s="7" t="n">
        <f aca="false">COUNTIF('Label Map'!$D$2:$D$2000,A685)</f>
        <v>1</v>
      </c>
    </row>
    <row r="686" customFormat="false" ht="15" hidden="false" customHeight="false" outlineLevel="0" collapsed="false">
      <c r="A686" s="6" t="s">
        <v>1004</v>
      </c>
      <c r="B686" s="6" t="s">
        <v>11</v>
      </c>
      <c r="C686" s="6" t="s">
        <v>3</v>
      </c>
      <c r="D686" s="6" t="s">
        <v>614</v>
      </c>
      <c r="E686" s="6" t="s">
        <v>622</v>
      </c>
      <c r="F686" s="6" t="s">
        <v>978</v>
      </c>
      <c r="G686" s="6" t="s">
        <v>979</v>
      </c>
      <c r="H686" s="6" t="s">
        <v>1004</v>
      </c>
      <c r="I686" s="6"/>
      <c r="J686" s="6" t="s">
        <v>978</v>
      </c>
      <c r="K686" s="6"/>
      <c r="L686" s="6"/>
      <c r="M686" s="6"/>
      <c r="N686" s="6"/>
      <c r="O686" s="6"/>
      <c r="P686" s="6"/>
      <c r="Q686" s="6" t="s">
        <v>982</v>
      </c>
      <c r="R686" s="7" t="n">
        <f aca="false">COUNTIF('Label Map'!$D$2:$D$2000,A686)</f>
        <v>1</v>
      </c>
    </row>
    <row r="687" customFormat="false" ht="15" hidden="false" customHeight="false" outlineLevel="0" collapsed="false">
      <c r="A687" s="6" t="s">
        <v>1005</v>
      </c>
      <c r="B687" s="6" t="s">
        <v>11</v>
      </c>
      <c r="C687" s="6" t="s">
        <v>3</v>
      </c>
      <c r="D687" s="6" t="s">
        <v>614</v>
      </c>
      <c r="E687" s="6" t="s">
        <v>622</v>
      </c>
      <c r="F687" s="6" t="s">
        <v>978</v>
      </c>
      <c r="G687" s="6" t="s">
        <v>979</v>
      </c>
      <c r="H687" s="6" t="s">
        <v>1005</v>
      </c>
      <c r="I687" s="6"/>
      <c r="J687" s="6" t="s">
        <v>978</v>
      </c>
      <c r="K687" s="6"/>
      <c r="L687" s="6"/>
      <c r="M687" s="6"/>
      <c r="N687" s="6"/>
      <c r="O687" s="6"/>
      <c r="P687" s="6"/>
      <c r="Q687" s="6" t="s">
        <v>982</v>
      </c>
      <c r="R687" s="7" t="n">
        <f aca="false">COUNTIF('Label Map'!$D$2:$D$2000,A687)</f>
        <v>1</v>
      </c>
    </row>
    <row r="688" customFormat="false" ht="15" hidden="false" customHeight="false" outlineLevel="0" collapsed="false">
      <c r="A688" s="6" t="s">
        <v>1006</v>
      </c>
      <c r="B688" s="6" t="s">
        <v>11</v>
      </c>
      <c r="C688" s="6" t="s">
        <v>3</v>
      </c>
      <c r="D688" s="6" t="s">
        <v>614</v>
      </c>
      <c r="E688" s="6" t="s">
        <v>622</v>
      </c>
      <c r="F688" s="6" t="s">
        <v>978</v>
      </c>
      <c r="G688" s="6" t="s">
        <v>979</v>
      </c>
      <c r="H688" s="6" t="s">
        <v>1006</v>
      </c>
      <c r="I688" s="6"/>
      <c r="J688" s="6" t="s">
        <v>978</v>
      </c>
      <c r="K688" s="6"/>
      <c r="L688" s="6"/>
      <c r="M688" s="6"/>
      <c r="N688" s="6"/>
      <c r="O688" s="6"/>
      <c r="P688" s="6"/>
      <c r="Q688" s="6" t="s">
        <v>982</v>
      </c>
      <c r="R688" s="7" t="n">
        <f aca="false">COUNTIF('Label Map'!$D$2:$D$2000,A688)</f>
        <v>0</v>
      </c>
    </row>
    <row r="689" customFormat="false" ht="15" hidden="false" customHeight="false" outlineLevel="0" collapsed="false">
      <c r="A689" s="6" t="s">
        <v>1007</v>
      </c>
      <c r="B689" s="6" t="s">
        <v>11</v>
      </c>
      <c r="C689" s="6" t="s">
        <v>3</v>
      </c>
      <c r="D689" s="6" t="s">
        <v>614</v>
      </c>
      <c r="E689" s="6" t="s">
        <v>622</v>
      </c>
      <c r="F689" s="6" t="s">
        <v>978</v>
      </c>
      <c r="G689" s="6" t="s">
        <v>979</v>
      </c>
      <c r="H689" s="6" t="s">
        <v>1007</v>
      </c>
      <c r="I689" s="6"/>
      <c r="J689" s="6" t="s">
        <v>978</v>
      </c>
      <c r="K689" s="6"/>
      <c r="L689" s="6"/>
      <c r="M689" s="6"/>
      <c r="N689" s="6"/>
      <c r="O689" s="6"/>
      <c r="P689" s="6"/>
      <c r="Q689" s="6" t="s">
        <v>982</v>
      </c>
      <c r="R689" s="7" t="n">
        <f aca="false">COUNTIF('Label Map'!$D$2:$D$2000,A689)</f>
        <v>0</v>
      </c>
    </row>
    <row r="690" customFormat="false" ht="15" hidden="false" customHeight="false" outlineLevel="0" collapsed="false">
      <c r="A690" s="6" t="s">
        <v>1008</v>
      </c>
      <c r="B690" s="6" t="s">
        <v>63</v>
      </c>
      <c r="C690" s="6" t="s">
        <v>3</v>
      </c>
      <c r="D690" s="6" t="s">
        <v>614</v>
      </c>
      <c r="E690" s="6" t="s">
        <v>622</v>
      </c>
      <c r="F690" s="6" t="s">
        <v>978</v>
      </c>
      <c r="G690" s="6" t="s">
        <v>979</v>
      </c>
      <c r="H690" s="6"/>
      <c r="I690" s="6" t="s">
        <v>1008</v>
      </c>
      <c r="J690" s="6" t="s">
        <v>978</v>
      </c>
      <c r="K690" s="6"/>
      <c r="L690" s="6"/>
      <c r="M690" s="6"/>
      <c r="N690" s="6"/>
      <c r="O690" s="6"/>
      <c r="P690" s="6"/>
      <c r="Q690" s="6"/>
      <c r="R690" s="7" t="n">
        <f aca="false">COUNTIF('Label Map'!$D$2:$D$2000,A690)</f>
        <v>0</v>
      </c>
    </row>
    <row r="691" customFormat="false" ht="15" hidden="false" customHeight="false" outlineLevel="0" collapsed="false">
      <c r="A691" s="6" t="s">
        <v>1009</v>
      </c>
      <c r="B691" s="6" t="s">
        <v>63</v>
      </c>
      <c r="C691" s="6" t="s">
        <v>3</v>
      </c>
      <c r="D691" s="6" t="s">
        <v>614</v>
      </c>
      <c r="E691" s="6" t="s">
        <v>622</v>
      </c>
      <c r="F691" s="6" t="s">
        <v>978</v>
      </c>
      <c r="G691" s="6" t="s">
        <v>979</v>
      </c>
      <c r="H691" s="6"/>
      <c r="I691" s="6" t="s">
        <v>1009</v>
      </c>
      <c r="J691" s="6" t="s">
        <v>978</v>
      </c>
      <c r="K691" s="6"/>
      <c r="L691" s="6"/>
      <c r="M691" s="6"/>
      <c r="N691" s="6"/>
      <c r="O691" s="6"/>
      <c r="P691" s="6"/>
      <c r="Q691" s="6"/>
      <c r="R691" s="7" t="n">
        <f aca="false">COUNTIF('Label Map'!$D$2:$D$2000,A691)</f>
        <v>0</v>
      </c>
    </row>
    <row r="692" customFormat="false" ht="15" hidden="false" customHeight="false" outlineLevel="0" collapsed="false">
      <c r="A692" s="6" t="s">
        <v>1010</v>
      </c>
      <c r="B692" s="6" t="s">
        <v>9</v>
      </c>
      <c r="C692" s="6" t="s">
        <v>3</v>
      </c>
      <c r="D692" s="6" t="s">
        <v>614</v>
      </c>
      <c r="E692" s="6" t="s">
        <v>622</v>
      </c>
      <c r="F692" s="6" t="s">
        <v>1010</v>
      </c>
      <c r="G692" s="6" t="s">
        <v>1011</v>
      </c>
      <c r="H692" s="6"/>
      <c r="I692" s="6"/>
      <c r="J692" s="6" t="s">
        <v>622</v>
      </c>
      <c r="K692" s="6" t="s">
        <v>858</v>
      </c>
      <c r="L692" s="6" t="s">
        <v>744</v>
      </c>
      <c r="M692" s="6" t="s">
        <v>636</v>
      </c>
      <c r="N692" s="6"/>
      <c r="O692" s="6" t="s">
        <v>308</v>
      </c>
      <c r="P692" s="6" t="s">
        <v>468</v>
      </c>
      <c r="Q692" s="6"/>
      <c r="R692" s="7" t="n">
        <f aca="false">COUNTIF('Label Map'!$D$2:$D$2000,A692)</f>
        <v>2</v>
      </c>
    </row>
    <row r="693" customFormat="false" ht="15" hidden="false" customHeight="false" outlineLevel="0" collapsed="false">
      <c r="A693" s="6" t="s">
        <v>1012</v>
      </c>
      <c r="B693" s="6" t="s">
        <v>9</v>
      </c>
      <c r="C693" s="6" t="s">
        <v>3</v>
      </c>
      <c r="D693" s="6" t="s">
        <v>614</v>
      </c>
      <c r="E693" s="6" t="s">
        <v>622</v>
      </c>
      <c r="F693" s="6" t="s">
        <v>1012</v>
      </c>
      <c r="G693" s="6" t="s">
        <v>1013</v>
      </c>
      <c r="H693" s="6"/>
      <c r="I693" s="6"/>
      <c r="J693" s="6" t="s">
        <v>622</v>
      </c>
      <c r="K693" s="6" t="s">
        <v>1014</v>
      </c>
      <c r="L693" s="6" t="s">
        <v>744</v>
      </c>
      <c r="M693" s="6" t="s">
        <v>636</v>
      </c>
      <c r="N693" s="6"/>
      <c r="O693" s="6" t="s">
        <v>308</v>
      </c>
      <c r="P693" s="6" t="s">
        <v>337</v>
      </c>
      <c r="Q693" s="6"/>
      <c r="R693" s="7" t="n">
        <f aca="false">COUNTIF('Label Map'!$D$2:$D$2000,A693)</f>
        <v>1</v>
      </c>
    </row>
    <row r="694" customFormat="false" ht="15" hidden="false" customHeight="false" outlineLevel="0" collapsed="false">
      <c r="A694" s="6" t="s">
        <v>1015</v>
      </c>
      <c r="B694" s="6" t="s">
        <v>9</v>
      </c>
      <c r="C694" s="6" t="s">
        <v>3</v>
      </c>
      <c r="D694" s="6" t="s">
        <v>614</v>
      </c>
      <c r="E694" s="6" t="s">
        <v>622</v>
      </c>
      <c r="F694" s="6" t="s">
        <v>1015</v>
      </c>
      <c r="G694" s="6" t="s">
        <v>1016</v>
      </c>
      <c r="H694" s="6"/>
      <c r="I694" s="6"/>
      <c r="J694" s="6" t="s">
        <v>622</v>
      </c>
      <c r="K694" s="6" t="s">
        <v>1017</v>
      </c>
      <c r="L694" s="6" t="s">
        <v>744</v>
      </c>
      <c r="M694" s="6" t="s">
        <v>745</v>
      </c>
      <c r="N694" s="6"/>
      <c r="O694" s="6" t="s">
        <v>308</v>
      </c>
      <c r="P694" s="6" t="s">
        <v>337</v>
      </c>
      <c r="Q694" s="6"/>
      <c r="R694" s="7" t="n">
        <f aca="false">COUNTIF('Label Map'!$D$2:$D$2000,A694)</f>
        <v>5</v>
      </c>
    </row>
    <row r="695" customFormat="false" ht="15" hidden="false" customHeight="false" outlineLevel="0" collapsed="false">
      <c r="A695" s="6" t="s">
        <v>1018</v>
      </c>
      <c r="B695" s="6" t="s">
        <v>63</v>
      </c>
      <c r="C695" s="6" t="s">
        <v>3</v>
      </c>
      <c r="D695" s="6" t="s">
        <v>614</v>
      </c>
      <c r="E695" s="6" t="s">
        <v>622</v>
      </c>
      <c r="F695" s="6" t="s">
        <v>1015</v>
      </c>
      <c r="G695" s="6" t="s">
        <v>1016</v>
      </c>
      <c r="H695" s="6"/>
      <c r="I695" s="6" t="s">
        <v>1018</v>
      </c>
      <c r="J695" s="6" t="s">
        <v>1015</v>
      </c>
      <c r="K695" s="6"/>
      <c r="L695" s="6"/>
      <c r="M695" s="6"/>
      <c r="N695" s="6"/>
      <c r="O695" s="6"/>
      <c r="P695" s="6"/>
      <c r="Q695" s="6"/>
      <c r="R695" s="7" t="n">
        <f aca="false">COUNTIF('Label Map'!$D$2:$D$2000,A695)</f>
        <v>0</v>
      </c>
    </row>
    <row r="696" customFormat="false" ht="15" hidden="false" customHeight="false" outlineLevel="0" collapsed="false">
      <c r="A696" s="6" t="s">
        <v>1019</v>
      </c>
      <c r="B696" s="6" t="s">
        <v>63</v>
      </c>
      <c r="C696" s="6" t="s">
        <v>3</v>
      </c>
      <c r="D696" s="6" t="s">
        <v>614</v>
      </c>
      <c r="E696" s="6" t="s">
        <v>622</v>
      </c>
      <c r="F696" s="6" t="s">
        <v>1015</v>
      </c>
      <c r="G696" s="6" t="s">
        <v>1016</v>
      </c>
      <c r="H696" s="6"/>
      <c r="I696" s="6" t="s">
        <v>1019</v>
      </c>
      <c r="J696" s="6" t="s">
        <v>1015</v>
      </c>
      <c r="K696" s="6"/>
      <c r="L696" s="6"/>
      <c r="M696" s="6"/>
      <c r="N696" s="6"/>
      <c r="O696" s="6"/>
      <c r="P696" s="6"/>
      <c r="Q696" s="6"/>
      <c r="R696" s="7" t="n">
        <f aca="false">COUNTIF('Label Map'!$D$2:$D$2000,A696)</f>
        <v>0</v>
      </c>
    </row>
    <row r="697" customFormat="false" ht="15" hidden="false" customHeight="false" outlineLevel="0" collapsed="false">
      <c r="A697" s="6" t="s">
        <v>1020</v>
      </c>
      <c r="B697" s="6" t="s">
        <v>9</v>
      </c>
      <c r="C697" s="6" t="s">
        <v>3</v>
      </c>
      <c r="D697" s="6" t="s">
        <v>614</v>
      </c>
      <c r="E697" s="6" t="s">
        <v>622</v>
      </c>
      <c r="F697" s="6" t="s">
        <v>1020</v>
      </c>
      <c r="G697" s="6" t="s">
        <v>1021</v>
      </c>
      <c r="H697" s="6"/>
      <c r="I697" s="6"/>
      <c r="J697" s="6" t="s">
        <v>622</v>
      </c>
      <c r="K697" s="6" t="s">
        <v>1022</v>
      </c>
      <c r="L697" s="6" t="s">
        <v>622</v>
      </c>
      <c r="M697" s="6" t="s">
        <v>642</v>
      </c>
      <c r="N697" s="6"/>
      <c r="O697" s="6" t="s">
        <v>308</v>
      </c>
      <c r="P697" s="6" t="s">
        <v>337</v>
      </c>
      <c r="Q697" s="6"/>
      <c r="R697" s="7" t="n">
        <f aca="false">COUNTIF('Label Map'!$D$2:$D$2000,A697)</f>
        <v>2</v>
      </c>
    </row>
    <row r="698" customFormat="false" ht="15" hidden="false" customHeight="false" outlineLevel="0" collapsed="false">
      <c r="A698" s="6" t="s">
        <v>1023</v>
      </c>
      <c r="B698" s="6" t="s">
        <v>63</v>
      </c>
      <c r="C698" s="6" t="s">
        <v>3</v>
      </c>
      <c r="D698" s="6" t="s">
        <v>614</v>
      </c>
      <c r="E698" s="6" t="s">
        <v>622</v>
      </c>
      <c r="F698" s="6" t="s">
        <v>1020</v>
      </c>
      <c r="G698" s="6" t="s">
        <v>1021</v>
      </c>
      <c r="H698" s="6"/>
      <c r="I698" s="6" t="s">
        <v>1023</v>
      </c>
      <c r="J698" s="6" t="s">
        <v>1020</v>
      </c>
      <c r="K698" s="6"/>
      <c r="L698" s="6"/>
      <c r="M698" s="6"/>
      <c r="N698" s="6"/>
      <c r="O698" s="6"/>
      <c r="P698" s="6"/>
      <c r="Q698" s="6"/>
      <c r="R698" s="7" t="n">
        <f aca="false">COUNTIF('Label Map'!$D$2:$D$2000,A698)</f>
        <v>1</v>
      </c>
    </row>
    <row r="699" customFormat="false" ht="15" hidden="false" customHeight="false" outlineLevel="0" collapsed="false">
      <c r="A699" s="6" t="s">
        <v>1024</v>
      </c>
      <c r="B699" s="6" t="s">
        <v>9</v>
      </c>
      <c r="C699" s="6" t="s">
        <v>3</v>
      </c>
      <c r="D699" s="6" t="s">
        <v>614</v>
      </c>
      <c r="E699" s="6" t="s">
        <v>622</v>
      </c>
      <c r="F699" s="6" t="s">
        <v>1024</v>
      </c>
      <c r="G699" s="6" t="s">
        <v>1025</v>
      </c>
      <c r="H699" s="6"/>
      <c r="I699" s="6"/>
      <c r="J699" s="6" t="s">
        <v>622</v>
      </c>
      <c r="K699" s="6" t="s">
        <v>858</v>
      </c>
      <c r="L699" s="6" t="s">
        <v>744</v>
      </c>
      <c r="M699" s="6" t="s">
        <v>636</v>
      </c>
      <c r="N699" s="6"/>
      <c r="O699" s="6" t="s">
        <v>308</v>
      </c>
      <c r="P699" s="6" t="s">
        <v>468</v>
      </c>
      <c r="Q699" s="6"/>
      <c r="R699" s="7" t="n">
        <f aca="false">COUNTIF('Label Map'!$D$2:$D$2000,A699)</f>
        <v>2</v>
      </c>
    </row>
    <row r="700" customFormat="false" ht="15" hidden="false" customHeight="false" outlineLevel="0" collapsed="false">
      <c r="A700" s="6" t="s">
        <v>1026</v>
      </c>
      <c r="B700" s="6" t="s">
        <v>9</v>
      </c>
      <c r="C700" s="6" t="s">
        <v>3</v>
      </c>
      <c r="D700" s="6" t="s">
        <v>614</v>
      </c>
      <c r="E700" s="6" t="s">
        <v>622</v>
      </c>
      <c r="F700" s="6" t="s">
        <v>1026</v>
      </c>
      <c r="G700" s="6" t="s">
        <v>1027</v>
      </c>
      <c r="H700" s="6"/>
      <c r="I700" s="6"/>
      <c r="J700" s="6" t="s">
        <v>622</v>
      </c>
      <c r="K700" s="6" t="s">
        <v>740</v>
      </c>
      <c r="L700" s="6" t="s">
        <v>622</v>
      </c>
      <c r="M700" s="6" t="s">
        <v>656</v>
      </c>
      <c r="N700" s="6"/>
      <c r="O700" s="6" t="s">
        <v>311</v>
      </c>
      <c r="P700" s="6" t="s">
        <v>311</v>
      </c>
      <c r="Q700" s="6"/>
      <c r="R700" s="7" t="n">
        <f aca="false">COUNTIF('Label Map'!$D$2:$D$2000,A700)</f>
        <v>3</v>
      </c>
    </row>
    <row r="701" customFormat="false" ht="15" hidden="false" customHeight="false" outlineLevel="0" collapsed="false">
      <c r="A701" s="6" t="s">
        <v>1028</v>
      </c>
      <c r="B701" s="6" t="s">
        <v>9</v>
      </c>
      <c r="C701" s="6" t="s">
        <v>3</v>
      </c>
      <c r="D701" s="6" t="s">
        <v>614</v>
      </c>
      <c r="E701" s="6" t="s">
        <v>622</v>
      </c>
      <c r="F701" s="6" t="s">
        <v>1028</v>
      </c>
      <c r="G701" s="6" t="s">
        <v>1029</v>
      </c>
      <c r="H701" s="6"/>
      <c r="I701" s="6"/>
      <c r="J701" s="6" t="s">
        <v>622</v>
      </c>
      <c r="K701" s="6" t="s">
        <v>629</v>
      </c>
      <c r="L701" s="6" t="s">
        <v>622</v>
      </c>
      <c r="M701" s="6" t="s">
        <v>650</v>
      </c>
      <c r="N701" s="6"/>
      <c r="O701" s="6" t="s">
        <v>311</v>
      </c>
      <c r="P701" s="6" t="s">
        <v>311</v>
      </c>
      <c r="Q701" s="6"/>
      <c r="R701" s="7" t="n">
        <f aca="false">COUNTIF('Label Map'!$D$2:$D$2000,A701)</f>
        <v>1</v>
      </c>
    </row>
    <row r="702" customFormat="false" ht="15" hidden="false" customHeight="false" outlineLevel="0" collapsed="false">
      <c r="A702" s="6" t="s">
        <v>1030</v>
      </c>
      <c r="B702" s="6" t="s">
        <v>7</v>
      </c>
      <c r="C702" s="6" t="s">
        <v>3</v>
      </c>
      <c r="D702" s="6" t="s">
        <v>614</v>
      </c>
      <c r="E702" s="6" t="s">
        <v>1030</v>
      </c>
      <c r="F702" s="6"/>
      <c r="G702" s="6"/>
      <c r="H702" s="6"/>
      <c r="I702" s="6"/>
      <c r="J702" s="6" t="s">
        <v>613</v>
      </c>
      <c r="K702" s="6"/>
      <c r="L702" s="6"/>
      <c r="M702" s="6"/>
      <c r="N702" s="6"/>
      <c r="O702" s="6"/>
      <c r="P702" s="6"/>
      <c r="Q702" s="6"/>
      <c r="R702" s="7" t="n">
        <f aca="false">COUNTIF('Label Map'!$D$2:$D$2000,A702)</f>
        <v>3</v>
      </c>
    </row>
    <row r="703" customFormat="false" ht="15" hidden="false" customHeight="false" outlineLevel="0" collapsed="false">
      <c r="A703" s="6" t="s">
        <v>1031</v>
      </c>
      <c r="B703" s="6" t="s">
        <v>314</v>
      </c>
      <c r="C703" s="6" t="s">
        <v>3</v>
      </c>
      <c r="D703" s="6" t="s">
        <v>614</v>
      </c>
      <c r="E703" s="6" t="s">
        <v>1030</v>
      </c>
      <c r="F703" s="6"/>
      <c r="G703" s="6"/>
      <c r="H703" s="6"/>
      <c r="I703" s="6"/>
      <c r="J703" s="6" t="s">
        <v>1030</v>
      </c>
      <c r="K703" s="6"/>
      <c r="L703" s="6"/>
      <c r="M703" s="6"/>
      <c r="N703" s="6"/>
      <c r="O703" s="6"/>
      <c r="P703" s="6"/>
      <c r="Q703" s="6" t="s">
        <v>1032</v>
      </c>
      <c r="R703" s="7" t="n">
        <f aca="false">COUNTIF('Label Map'!$D$2:$D$2000,A703)</f>
        <v>7</v>
      </c>
    </row>
    <row r="704" customFormat="false" ht="15" hidden="false" customHeight="false" outlineLevel="0" collapsed="false">
      <c r="A704" s="6" t="s">
        <v>1033</v>
      </c>
      <c r="B704" s="6" t="s">
        <v>314</v>
      </c>
      <c r="C704" s="6" t="s">
        <v>3</v>
      </c>
      <c r="D704" s="6" t="s">
        <v>614</v>
      </c>
      <c r="E704" s="6" t="s">
        <v>1030</v>
      </c>
      <c r="F704" s="6"/>
      <c r="G704" s="6"/>
      <c r="H704" s="6"/>
      <c r="I704" s="6"/>
      <c r="J704" s="6" t="s">
        <v>1030</v>
      </c>
      <c r="K704" s="6"/>
      <c r="L704" s="6"/>
      <c r="M704" s="6"/>
      <c r="N704" s="6"/>
      <c r="O704" s="6"/>
      <c r="P704" s="6"/>
      <c r="Q704" s="6" t="s">
        <v>1034</v>
      </c>
      <c r="R704" s="7" t="n">
        <f aca="false">COUNTIF('Label Map'!$D$2:$D$2000,A704)</f>
        <v>1</v>
      </c>
    </row>
    <row r="705" customFormat="false" ht="15" hidden="false" customHeight="false" outlineLevel="0" collapsed="false">
      <c r="A705" s="6" t="s">
        <v>1035</v>
      </c>
      <c r="B705" s="6" t="s">
        <v>9</v>
      </c>
      <c r="C705" s="6" t="s">
        <v>3</v>
      </c>
      <c r="D705" s="6" t="s">
        <v>614</v>
      </c>
      <c r="E705" s="6" t="s">
        <v>1030</v>
      </c>
      <c r="F705" s="6" t="s">
        <v>1035</v>
      </c>
      <c r="G705" s="6" t="s">
        <v>1036</v>
      </c>
      <c r="H705" s="6"/>
      <c r="I705" s="6"/>
      <c r="J705" s="6" t="s">
        <v>1030</v>
      </c>
      <c r="K705" s="6" t="s">
        <v>1037</v>
      </c>
      <c r="L705" s="6" t="s">
        <v>744</v>
      </c>
      <c r="M705" s="6" t="s">
        <v>745</v>
      </c>
      <c r="N705" s="6"/>
      <c r="O705" s="6" t="s">
        <v>875</v>
      </c>
      <c r="P705" s="6" t="s">
        <v>87</v>
      </c>
      <c r="Q705" s="6"/>
      <c r="R705" s="7" t="n">
        <f aca="false">COUNTIF('Label Map'!$D$2:$D$2000,A705)</f>
        <v>4</v>
      </c>
    </row>
    <row r="706" customFormat="false" ht="15" hidden="false" customHeight="false" outlineLevel="0" collapsed="false">
      <c r="A706" s="6" t="s">
        <v>1038</v>
      </c>
      <c r="B706" s="6" t="s">
        <v>11</v>
      </c>
      <c r="C706" s="6" t="s">
        <v>3</v>
      </c>
      <c r="D706" s="6" t="s">
        <v>614</v>
      </c>
      <c r="E706" s="6" t="s">
        <v>1030</v>
      </c>
      <c r="F706" s="6" t="s">
        <v>1035</v>
      </c>
      <c r="G706" s="6" t="s">
        <v>1036</v>
      </c>
      <c r="H706" s="6" t="s">
        <v>1038</v>
      </c>
      <c r="I706" s="6"/>
      <c r="J706" s="6" t="s">
        <v>1035</v>
      </c>
      <c r="K706" s="6"/>
      <c r="L706" s="6"/>
      <c r="M706" s="6"/>
      <c r="N706" s="6"/>
      <c r="O706" s="6"/>
      <c r="P706" s="6"/>
      <c r="Q706" s="6" t="s">
        <v>1039</v>
      </c>
      <c r="R706" s="7" t="n">
        <f aca="false">COUNTIF('Label Map'!$D$2:$D$2000,A706)</f>
        <v>1</v>
      </c>
    </row>
    <row r="707" customFormat="false" ht="15" hidden="false" customHeight="false" outlineLevel="0" collapsed="false">
      <c r="A707" s="6" t="s">
        <v>1040</v>
      </c>
      <c r="B707" s="6" t="s">
        <v>11</v>
      </c>
      <c r="C707" s="6" t="s">
        <v>3</v>
      </c>
      <c r="D707" s="6" t="s">
        <v>614</v>
      </c>
      <c r="E707" s="6" t="s">
        <v>1030</v>
      </c>
      <c r="F707" s="6" t="s">
        <v>1035</v>
      </c>
      <c r="G707" s="6" t="s">
        <v>1036</v>
      </c>
      <c r="H707" s="6" t="s">
        <v>1040</v>
      </c>
      <c r="I707" s="6"/>
      <c r="J707" s="6" t="s">
        <v>1035</v>
      </c>
      <c r="K707" s="6"/>
      <c r="L707" s="6"/>
      <c r="M707" s="6"/>
      <c r="N707" s="6"/>
      <c r="O707" s="6"/>
      <c r="P707" s="6"/>
      <c r="Q707" s="6" t="s">
        <v>1039</v>
      </c>
      <c r="R707" s="7" t="n">
        <f aca="false">COUNTIF('Label Map'!$D$2:$D$2000,A707)</f>
        <v>1</v>
      </c>
    </row>
    <row r="708" customFormat="false" ht="15" hidden="false" customHeight="false" outlineLevel="0" collapsed="false">
      <c r="A708" s="6" t="s">
        <v>1041</v>
      </c>
      <c r="B708" s="6" t="s">
        <v>11</v>
      </c>
      <c r="C708" s="6" t="s">
        <v>3</v>
      </c>
      <c r="D708" s="6" t="s">
        <v>614</v>
      </c>
      <c r="E708" s="6" t="s">
        <v>1030</v>
      </c>
      <c r="F708" s="6" t="s">
        <v>1035</v>
      </c>
      <c r="G708" s="6" t="s">
        <v>1036</v>
      </c>
      <c r="H708" s="6" t="s">
        <v>1041</v>
      </c>
      <c r="I708" s="6"/>
      <c r="J708" s="6" t="s">
        <v>1035</v>
      </c>
      <c r="K708" s="6"/>
      <c r="L708" s="6"/>
      <c r="M708" s="6"/>
      <c r="N708" s="6"/>
      <c r="O708" s="6"/>
      <c r="P708" s="6"/>
      <c r="Q708" s="6" t="s">
        <v>1039</v>
      </c>
      <c r="R708" s="7" t="n">
        <f aca="false">COUNTIF('Label Map'!$D$2:$D$2000,A708)</f>
        <v>1</v>
      </c>
    </row>
    <row r="709" customFormat="false" ht="15" hidden="false" customHeight="false" outlineLevel="0" collapsed="false">
      <c r="A709" s="6" t="s">
        <v>1042</v>
      </c>
      <c r="B709" s="6" t="s">
        <v>11</v>
      </c>
      <c r="C709" s="6" t="s">
        <v>3</v>
      </c>
      <c r="D709" s="6" t="s">
        <v>614</v>
      </c>
      <c r="E709" s="6" t="s">
        <v>1030</v>
      </c>
      <c r="F709" s="6" t="s">
        <v>1035</v>
      </c>
      <c r="G709" s="6" t="s">
        <v>1036</v>
      </c>
      <c r="H709" s="6" t="s">
        <v>1042</v>
      </c>
      <c r="I709" s="6"/>
      <c r="J709" s="6" t="s">
        <v>1035</v>
      </c>
      <c r="K709" s="6"/>
      <c r="L709" s="6"/>
      <c r="M709" s="6"/>
      <c r="N709" s="6"/>
      <c r="O709" s="6"/>
      <c r="P709" s="6"/>
      <c r="Q709" s="6" t="s">
        <v>1039</v>
      </c>
      <c r="R709" s="7" t="n">
        <f aca="false">COUNTIF('Label Map'!$D$2:$D$2000,A709)</f>
        <v>1</v>
      </c>
    </row>
    <row r="710" customFormat="false" ht="15" hidden="false" customHeight="false" outlineLevel="0" collapsed="false">
      <c r="A710" s="6" t="s">
        <v>1043</v>
      </c>
      <c r="B710" s="6" t="s">
        <v>11</v>
      </c>
      <c r="C710" s="6" t="s">
        <v>3</v>
      </c>
      <c r="D710" s="6" t="s">
        <v>614</v>
      </c>
      <c r="E710" s="6" t="s">
        <v>1030</v>
      </c>
      <c r="F710" s="6" t="s">
        <v>1035</v>
      </c>
      <c r="G710" s="6" t="s">
        <v>1036</v>
      </c>
      <c r="H710" s="6" t="s">
        <v>1043</v>
      </c>
      <c r="I710" s="6"/>
      <c r="J710" s="6" t="s">
        <v>1035</v>
      </c>
      <c r="K710" s="6"/>
      <c r="L710" s="6"/>
      <c r="M710" s="6"/>
      <c r="N710" s="6"/>
      <c r="O710" s="6"/>
      <c r="P710" s="6"/>
      <c r="Q710" s="6" t="s">
        <v>1039</v>
      </c>
      <c r="R710" s="7" t="n">
        <f aca="false">COUNTIF('Label Map'!$D$2:$D$2000,A710)</f>
        <v>1</v>
      </c>
    </row>
    <row r="711" customFormat="false" ht="15" hidden="false" customHeight="false" outlineLevel="0" collapsed="false">
      <c r="A711" s="6" t="s">
        <v>1044</v>
      </c>
      <c r="B711" s="6" t="s">
        <v>11</v>
      </c>
      <c r="C711" s="6" t="s">
        <v>3</v>
      </c>
      <c r="D711" s="6" t="s">
        <v>614</v>
      </c>
      <c r="E711" s="6" t="s">
        <v>1030</v>
      </c>
      <c r="F711" s="6" t="s">
        <v>1035</v>
      </c>
      <c r="G711" s="6" t="s">
        <v>1036</v>
      </c>
      <c r="H711" s="6" t="s">
        <v>1044</v>
      </c>
      <c r="I711" s="6"/>
      <c r="J711" s="6" t="s">
        <v>1035</v>
      </c>
      <c r="K711" s="6"/>
      <c r="L711" s="6"/>
      <c r="M711" s="6"/>
      <c r="N711" s="6"/>
      <c r="O711" s="6"/>
      <c r="P711" s="6"/>
      <c r="Q711" s="6" t="s">
        <v>1039</v>
      </c>
      <c r="R711" s="7" t="n">
        <f aca="false">COUNTIF('Label Map'!$D$2:$D$2000,A711)</f>
        <v>1</v>
      </c>
    </row>
    <row r="712" customFormat="false" ht="15" hidden="false" customHeight="false" outlineLevel="0" collapsed="false">
      <c r="A712" s="6" t="s">
        <v>1045</v>
      </c>
      <c r="B712" s="6" t="s">
        <v>11</v>
      </c>
      <c r="C712" s="6" t="s">
        <v>3</v>
      </c>
      <c r="D712" s="6" t="s">
        <v>614</v>
      </c>
      <c r="E712" s="6" t="s">
        <v>1030</v>
      </c>
      <c r="F712" s="6" t="s">
        <v>1035</v>
      </c>
      <c r="G712" s="6" t="s">
        <v>1036</v>
      </c>
      <c r="H712" s="6" t="s">
        <v>1045</v>
      </c>
      <c r="I712" s="6"/>
      <c r="J712" s="6" t="s">
        <v>1035</v>
      </c>
      <c r="K712" s="6"/>
      <c r="L712" s="6"/>
      <c r="M712" s="6"/>
      <c r="N712" s="6"/>
      <c r="O712" s="6"/>
      <c r="P712" s="6"/>
      <c r="Q712" s="6" t="s">
        <v>1039</v>
      </c>
      <c r="R712" s="7" t="n">
        <f aca="false">COUNTIF('Label Map'!$D$2:$D$2000,A712)</f>
        <v>1</v>
      </c>
    </row>
    <row r="713" customFormat="false" ht="15" hidden="false" customHeight="false" outlineLevel="0" collapsed="false">
      <c r="A713" s="6" t="s">
        <v>1046</v>
      </c>
      <c r="B713" s="6" t="s">
        <v>9</v>
      </c>
      <c r="C713" s="6" t="s">
        <v>3</v>
      </c>
      <c r="D713" s="6" t="s">
        <v>614</v>
      </c>
      <c r="E713" s="6" t="s">
        <v>1030</v>
      </c>
      <c r="F713" s="6" t="s">
        <v>1046</v>
      </c>
      <c r="G713" s="6" t="s">
        <v>1047</v>
      </c>
      <c r="H713" s="6"/>
      <c r="I713" s="6"/>
      <c r="J713" s="6" t="s">
        <v>1030</v>
      </c>
      <c r="K713" s="6" t="s">
        <v>1031</v>
      </c>
      <c r="L713" s="6" t="s">
        <v>744</v>
      </c>
      <c r="M713" s="6" t="s">
        <v>745</v>
      </c>
      <c r="N713" s="6"/>
      <c r="O713" s="6" t="s">
        <v>875</v>
      </c>
      <c r="P713" s="6" t="s">
        <v>87</v>
      </c>
      <c r="Q713" s="6"/>
      <c r="R713" s="7" t="n">
        <f aca="false">COUNTIF('Label Map'!$D$2:$D$2000,A713)</f>
        <v>4</v>
      </c>
    </row>
    <row r="714" customFormat="false" ht="15" hidden="false" customHeight="false" outlineLevel="0" collapsed="false">
      <c r="A714" s="6" t="s">
        <v>1048</v>
      </c>
      <c r="B714" s="6" t="s">
        <v>11</v>
      </c>
      <c r="C714" s="6" t="s">
        <v>3</v>
      </c>
      <c r="D714" s="6" t="s">
        <v>614</v>
      </c>
      <c r="E714" s="6" t="s">
        <v>1030</v>
      </c>
      <c r="F714" s="6" t="s">
        <v>1046</v>
      </c>
      <c r="G714" s="6" t="s">
        <v>1047</v>
      </c>
      <c r="H714" s="6" t="s">
        <v>1048</v>
      </c>
      <c r="I714" s="6"/>
      <c r="J714" s="6" t="s">
        <v>1046</v>
      </c>
      <c r="K714" s="6"/>
      <c r="L714" s="6"/>
      <c r="M714" s="6"/>
      <c r="N714" s="6"/>
      <c r="O714" s="6"/>
      <c r="P714" s="6"/>
      <c r="Q714" s="6" t="s">
        <v>280</v>
      </c>
      <c r="R714" s="7" t="n">
        <f aca="false">COUNTIF('Label Map'!$D$2:$D$2000,A714)</f>
        <v>1</v>
      </c>
    </row>
    <row r="715" customFormat="false" ht="15" hidden="false" customHeight="false" outlineLevel="0" collapsed="false">
      <c r="A715" s="6" t="s">
        <v>1049</v>
      </c>
      <c r="B715" s="6" t="s">
        <v>11</v>
      </c>
      <c r="C715" s="6" t="s">
        <v>3</v>
      </c>
      <c r="D715" s="6" t="s">
        <v>614</v>
      </c>
      <c r="E715" s="6" t="s">
        <v>1030</v>
      </c>
      <c r="F715" s="6" t="s">
        <v>1046</v>
      </c>
      <c r="G715" s="6" t="s">
        <v>1047</v>
      </c>
      <c r="H715" s="6" t="s">
        <v>1049</v>
      </c>
      <c r="I715" s="6"/>
      <c r="J715" s="6" t="s">
        <v>1046</v>
      </c>
      <c r="K715" s="6"/>
      <c r="L715" s="6"/>
      <c r="M715" s="6"/>
      <c r="N715" s="6"/>
      <c r="O715" s="6"/>
      <c r="P715" s="6"/>
      <c r="Q715" s="6" t="s">
        <v>280</v>
      </c>
      <c r="R715" s="7" t="n">
        <f aca="false">COUNTIF('Label Map'!$D$2:$D$2000,A715)</f>
        <v>1</v>
      </c>
    </row>
    <row r="716" customFormat="false" ht="15" hidden="false" customHeight="false" outlineLevel="0" collapsed="false">
      <c r="A716" s="6" t="s">
        <v>1050</v>
      </c>
      <c r="B716" s="6" t="s">
        <v>11</v>
      </c>
      <c r="C716" s="6" t="s">
        <v>3</v>
      </c>
      <c r="D716" s="6" t="s">
        <v>614</v>
      </c>
      <c r="E716" s="6" t="s">
        <v>1030</v>
      </c>
      <c r="F716" s="6" t="s">
        <v>1046</v>
      </c>
      <c r="G716" s="6" t="s">
        <v>1047</v>
      </c>
      <c r="H716" s="6" t="s">
        <v>1050</v>
      </c>
      <c r="I716" s="6"/>
      <c r="J716" s="6" t="s">
        <v>1046</v>
      </c>
      <c r="K716" s="6"/>
      <c r="L716" s="6"/>
      <c r="M716" s="6"/>
      <c r="N716" s="6"/>
      <c r="O716" s="6"/>
      <c r="P716" s="6"/>
      <c r="Q716" s="6" t="s">
        <v>280</v>
      </c>
      <c r="R716" s="7" t="n">
        <f aca="false">COUNTIF('Label Map'!$D$2:$D$2000,A716)</f>
        <v>1</v>
      </c>
    </row>
    <row r="717" customFormat="false" ht="15" hidden="false" customHeight="false" outlineLevel="0" collapsed="false">
      <c r="A717" s="6" t="s">
        <v>1051</v>
      </c>
      <c r="B717" s="6" t="s">
        <v>11</v>
      </c>
      <c r="C717" s="6" t="s">
        <v>3</v>
      </c>
      <c r="D717" s="6" t="s">
        <v>614</v>
      </c>
      <c r="E717" s="6" t="s">
        <v>1030</v>
      </c>
      <c r="F717" s="6" t="s">
        <v>1046</v>
      </c>
      <c r="G717" s="6" t="s">
        <v>1047</v>
      </c>
      <c r="H717" s="6" t="s">
        <v>1051</v>
      </c>
      <c r="I717" s="6"/>
      <c r="J717" s="6" t="s">
        <v>1046</v>
      </c>
      <c r="K717" s="6"/>
      <c r="L717" s="6"/>
      <c r="M717" s="6"/>
      <c r="N717" s="6"/>
      <c r="O717" s="6"/>
      <c r="P717" s="6"/>
      <c r="Q717" s="6" t="s">
        <v>280</v>
      </c>
      <c r="R717" s="7" t="n">
        <f aca="false">COUNTIF('Label Map'!$D$2:$D$2000,A717)</f>
        <v>1</v>
      </c>
    </row>
    <row r="718" customFormat="false" ht="15" hidden="false" customHeight="false" outlineLevel="0" collapsed="false">
      <c r="A718" s="6" t="s">
        <v>1052</v>
      </c>
      <c r="B718" s="6" t="s">
        <v>63</v>
      </c>
      <c r="C718" s="6" t="s">
        <v>3</v>
      </c>
      <c r="D718" s="6" t="s">
        <v>614</v>
      </c>
      <c r="E718" s="6" t="s">
        <v>1030</v>
      </c>
      <c r="F718" s="6" t="s">
        <v>1046</v>
      </c>
      <c r="G718" s="6" t="s">
        <v>1047</v>
      </c>
      <c r="H718" s="6" t="s">
        <v>1051</v>
      </c>
      <c r="I718" s="6" t="s">
        <v>1052</v>
      </c>
      <c r="J718" s="6" t="s">
        <v>1051</v>
      </c>
      <c r="K718" s="6"/>
      <c r="L718" s="6"/>
      <c r="M718" s="6"/>
      <c r="N718" s="6"/>
      <c r="O718" s="6"/>
      <c r="P718" s="6"/>
      <c r="Q718" s="6"/>
      <c r="R718" s="7" t="n">
        <f aca="false">COUNTIF('Label Map'!$D$2:$D$2000,A718)</f>
        <v>0</v>
      </c>
    </row>
    <row r="719" customFormat="false" ht="15" hidden="false" customHeight="false" outlineLevel="0" collapsed="false">
      <c r="A719" s="6" t="s">
        <v>1053</v>
      </c>
      <c r="B719" s="6" t="s">
        <v>11</v>
      </c>
      <c r="C719" s="6" t="s">
        <v>3</v>
      </c>
      <c r="D719" s="6" t="s">
        <v>614</v>
      </c>
      <c r="E719" s="6" t="s">
        <v>1030</v>
      </c>
      <c r="F719" s="6" t="s">
        <v>1046</v>
      </c>
      <c r="G719" s="6" t="s">
        <v>1047</v>
      </c>
      <c r="H719" s="6" t="s">
        <v>1053</v>
      </c>
      <c r="I719" s="6"/>
      <c r="J719" s="6" t="s">
        <v>1046</v>
      </c>
      <c r="K719" s="6"/>
      <c r="L719" s="6"/>
      <c r="M719" s="6"/>
      <c r="N719" s="6"/>
      <c r="O719" s="6"/>
      <c r="P719" s="6"/>
      <c r="Q719" s="6" t="s">
        <v>280</v>
      </c>
      <c r="R719" s="7" t="n">
        <f aca="false">COUNTIF('Label Map'!$D$2:$D$2000,A719)</f>
        <v>1</v>
      </c>
    </row>
    <row r="720" customFormat="false" ht="15" hidden="false" customHeight="false" outlineLevel="0" collapsed="false">
      <c r="A720" s="6" t="s">
        <v>1054</v>
      </c>
      <c r="B720" s="6" t="s">
        <v>11</v>
      </c>
      <c r="C720" s="6" t="s">
        <v>3</v>
      </c>
      <c r="D720" s="6" t="s">
        <v>614</v>
      </c>
      <c r="E720" s="6" t="s">
        <v>1030</v>
      </c>
      <c r="F720" s="6" t="s">
        <v>1046</v>
      </c>
      <c r="G720" s="6" t="s">
        <v>1047</v>
      </c>
      <c r="H720" s="6" t="s">
        <v>1054</v>
      </c>
      <c r="I720" s="6"/>
      <c r="J720" s="6" t="s">
        <v>1046</v>
      </c>
      <c r="K720" s="6"/>
      <c r="L720" s="6"/>
      <c r="M720" s="6"/>
      <c r="N720" s="6"/>
      <c r="O720" s="6"/>
      <c r="P720" s="6"/>
      <c r="Q720" s="6" t="s">
        <v>280</v>
      </c>
      <c r="R720" s="7" t="n">
        <f aca="false">COUNTIF('Label Map'!$D$2:$D$2000,A720)</f>
        <v>1</v>
      </c>
    </row>
    <row r="721" customFormat="false" ht="15" hidden="false" customHeight="false" outlineLevel="0" collapsed="false">
      <c r="A721" s="6" t="s">
        <v>1055</v>
      </c>
      <c r="B721" s="6" t="s">
        <v>11</v>
      </c>
      <c r="C721" s="6" t="s">
        <v>3</v>
      </c>
      <c r="D721" s="6" t="s">
        <v>614</v>
      </c>
      <c r="E721" s="6" t="s">
        <v>1030</v>
      </c>
      <c r="F721" s="6" t="s">
        <v>1046</v>
      </c>
      <c r="G721" s="6" t="s">
        <v>1047</v>
      </c>
      <c r="H721" s="6" t="s">
        <v>1055</v>
      </c>
      <c r="I721" s="6"/>
      <c r="J721" s="6" t="s">
        <v>1046</v>
      </c>
      <c r="K721" s="6"/>
      <c r="L721" s="6"/>
      <c r="M721" s="6"/>
      <c r="N721" s="6"/>
      <c r="O721" s="6"/>
      <c r="P721" s="6"/>
      <c r="Q721" s="6" t="s">
        <v>280</v>
      </c>
      <c r="R721" s="7" t="n">
        <f aca="false">COUNTIF('Label Map'!$D$2:$D$2000,A721)</f>
        <v>3</v>
      </c>
    </row>
    <row r="722" customFormat="false" ht="15" hidden="false" customHeight="false" outlineLevel="0" collapsed="false">
      <c r="A722" s="6" t="s">
        <v>1056</v>
      </c>
      <c r="B722" s="6" t="s">
        <v>63</v>
      </c>
      <c r="C722" s="6" t="s">
        <v>3</v>
      </c>
      <c r="D722" s="6" t="s">
        <v>614</v>
      </c>
      <c r="E722" s="6" t="s">
        <v>1030</v>
      </c>
      <c r="F722" s="6" t="s">
        <v>1046</v>
      </c>
      <c r="G722" s="6" t="s">
        <v>1047</v>
      </c>
      <c r="H722" s="6" t="s">
        <v>1055</v>
      </c>
      <c r="I722" s="6" t="s">
        <v>1056</v>
      </c>
      <c r="J722" s="6" t="s">
        <v>1055</v>
      </c>
      <c r="K722" s="6"/>
      <c r="L722" s="6"/>
      <c r="M722" s="6"/>
      <c r="N722" s="6"/>
      <c r="O722" s="6"/>
      <c r="P722" s="6"/>
      <c r="Q722" s="6"/>
      <c r="R722" s="7" t="n">
        <f aca="false">COUNTIF('Label Map'!$D$2:$D$2000,A722)</f>
        <v>0</v>
      </c>
    </row>
    <row r="723" customFormat="false" ht="15" hidden="false" customHeight="false" outlineLevel="0" collapsed="false">
      <c r="A723" s="6" t="s">
        <v>1057</v>
      </c>
      <c r="B723" s="6" t="s">
        <v>11</v>
      </c>
      <c r="C723" s="6" t="s">
        <v>3</v>
      </c>
      <c r="D723" s="6" t="s">
        <v>614</v>
      </c>
      <c r="E723" s="6" t="s">
        <v>1030</v>
      </c>
      <c r="F723" s="6" t="s">
        <v>1046</v>
      </c>
      <c r="G723" s="6" t="s">
        <v>1047</v>
      </c>
      <c r="H723" s="6" t="s">
        <v>1057</v>
      </c>
      <c r="I723" s="6"/>
      <c r="J723" s="6" t="s">
        <v>1046</v>
      </c>
      <c r="K723" s="6"/>
      <c r="L723" s="6"/>
      <c r="M723" s="6"/>
      <c r="N723" s="6"/>
      <c r="O723" s="6"/>
      <c r="P723" s="6"/>
      <c r="Q723" s="6" t="s">
        <v>280</v>
      </c>
      <c r="R723" s="7" t="n">
        <f aca="false">COUNTIF('Label Map'!$D$2:$D$2000,A723)</f>
        <v>1</v>
      </c>
    </row>
    <row r="724" customFormat="false" ht="15" hidden="false" customHeight="false" outlineLevel="0" collapsed="false">
      <c r="A724" s="6" t="s">
        <v>1058</v>
      </c>
      <c r="B724" s="6" t="s">
        <v>11</v>
      </c>
      <c r="C724" s="6" t="s">
        <v>3</v>
      </c>
      <c r="D724" s="6" t="s">
        <v>614</v>
      </c>
      <c r="E724" s="6" t="s">
        <v>1030</v>
      </c>
      <c r="F724" s="6" t="s">
        <v>1046</v>
      </c>
      <c r="G724" s="6" t="s">
        <v>1047</v>
      </c>
      <c r="H724" s="6" t="s">
        <v>1058</v>
      </c>
      <c r="I724" s="6"/>
      <c r="J724" s="6" t="s">
        <v>1046</v>
      </c>
      <c r="K724" s="6"/>
      <c r="L724" s="6"/>
      <c r="M724" s="6"/>
      <c r="N724" s="6"/>
      <c r="O724" s="6"/>
      <c r="P724" s="6"/>
      <c r="Q724" s="6" t="s">
        <v>280</v>
      </c>
      <c r="R724" s="7" t="n">
        <f aca="false">COUNTIF('Label Map'!$D$2:$D$2000,A724)</f>
        <v>1</v>
      </c>
    </row>
    <row r="725" customFormat="false" ht="15" hidden="false" customHeight="false" outlineLevel="0" collapsed="false">
      <c r="A725" s="6" t="s">
        <v>1059</v>
      </c>
      <c r="B725" s="6" t="s">
        <v>11</v>
      </c>
      <c r="C725" s="6" t="s">
        <v>3</v>
      </c>
      <c r="D725" s="6" t="s">
        <v>614</v>
      </c>
      <c r="E725" s="6" t="s">
        <v>1030</v>
      </c>
      <c r="F725" s="6" t="s">
        <v>1046</v>
      </c>
      <c r="G725" s="6" t="s">
        <v>1047</v>
      </c>
      <c r="H725" s="6" t="s">
        <v>1059</v>
      </c>
      <c r="I725" s="6"/>
      <c r="J725" s="6" t="s">
        <v>1046</v>
      </c>
      <c r="K725" s="6"/>
      <c r="L725" s="6"/>
      <c r="M725" s="6"/>
      <c r="N725" s="6"/>
      <c r="O725" s="6"/>
      <c r="P725" s="6"/>
      <c r="Q725" s="6" t="s">
        <v>280</v>
      </c>
      <c r="R725" s="7" t="n">
        <f aca="false">COUNTIF('Label Map'!$D$2:$D$2000,A725)</f>
        <v>1</v>
      </c>
    </row>
    <row r="726" customFormat="false" ht="15" hidden="false" customHeight="false" outlineLevel="0" collapsed="false">
      <c r="A726" s="6" t="s">
        <v>1060</v>
      </c>
      <c r="B726" s="6" t="s">
        <v>11</v>
      </c>
      <c r="C726" s="6" t="s">
        <v>3</v>
      </c>
      <c r="D726" s="6" t="s">
        <v>614</v>
      </c>
      <c r="E726" s="6" t="s">
        <v>1030</v>
      </c>
      <c r="F726" s="6" t="s">
        <v>1046</v>
      </c>
      <c r="G726" s="6" t="s">
        <v>1047</v>
      </c>
      <c r="H726" s="6" t="s">
        <v>1060</v>
      </c>
      <c r="I726" s="6"/>
      <c r="J726" s="6" t="s">
        <v>1046</v>
      </c>
      <c r="K726" s="6"/>
      <c r="L726" s="6"/>
      <c r="M726" s="6"/>
      <c r="N726" s="6"/>
      <c r="O726" s="6"/>
      <c r="P726" s="6"/>
      <c r="Q726" s="6" t="s">
        <v>280</v>
      </c>
      <c r="R726" s="7" t="n">
        <f aca="false">COUNTIF('Label Map'!$D$2:$D$2000,A726)</f>
        <v>1</v>
      </c>
    </row>
    <row r="727" customFormat="false" ht="15" hidden="false" customHeight="false" outlineLevel="0" collapsed="false">
      <c r="A727" s="6" t="s">
        <v>1061</v>
      </c>
      <c r="B727" s="6" t="s">
        <v>11</v>
      </c>
      <c r="C727" s="6" t="s">
        <v>3</v>
      </c>
      <c r="D727" s="6" t="s">
        <v>614</v>
      </c>
      <c r="E727" s="6" t="s">
        <v>1030</v>
      </c>
      <c r="F727" s="6" t="s">
        <v>1046</v>
      </c>
      <c r="G727" s="6" t="s">
        <v>1047</v>
      </c>
      <c r="H727" s="6" t="s">
        <v>1061</v>
      </c>
      <c r="I727" s="6"/>
      <c r="J727" s="6" t="s">
        <v>1046</v>
      </c>
      <c r="K727" s="6"/>
      <c r="L727" s="6"/>
      <c r="M727" s="6"/>
      <c r="N727" s="6"/>
      <c r="O727" s="6"/>
      <c r="P727" s="6"/>
      <c r="Q727" s="6" t="s">
        <v>280</v>
      </c>
      <c r="R727" s="7" t="n">
        <f aca="false">COUNTIF('Label Map'!$D$2:$D$2000,A727)</f>
        <v>2</v>
      </c>
    </row>
    <row r="728" customFormat="false" ht="15" hidden="false" customHeight="false" outlineLevel="0" collapsed="false">
      <c r="A728" s="6" t="s">
        <v>1062</v>
      </c>
      <c r="B728" s="6" t="s">
        <v>11</v>
      </c>
      <c r="C728" s="6" t="s">
        <v>3</v>
      </c>
      <c r="D728" s="6" t="s">
        <v>614</v>
      </c>
      <c r="E728" s="6" t="s">
        <v>1030</v>
      </c>
      <c r="F728" s="6" t="s">
        <v>1046</v>
      </c>
      <c r="G728" s="6" t="s">
        <v>1047</v>
      </c>
      <c r="H728" s="6" t="s">
        <v>1062</v>
      </c>
      <c r="I728" s="6"/>
      <c r="J728" s="6" t="s">
        <v>1046</v>
      </c>
      <c r="K728" s="6"/>
      <c r="L728" s="6"/>
      <c r="M728" s="6"/>
      <c r="N728" s="6"/>
      <c r="O728" s="6"/>
      <c r="P728" s="6"/>
      <c r="Q728" s="6" t="s">
        <v>280</v>
      </c>
      <c r="R728" s="7" t="n">
        <f aca="false">COUNTIF('Label Map'!$D$2:$D$2000,A728)</f>
        <v>1</v>
      </c>
    </row>
    <row r="729" customFormat="false" ht="15" hidden="false" customHeight="false" outlineLevel="0" collapsed="false">
      <c r="A729" s="6" t="s">
        <v>1063</v>
      </c>
      <c r="B729" s="6" t="s">
        <v>9</v>
      </c>
      <c r="C729" s="6" t="s">
        <v>3</v>
      </c>
      <c r="D729" s="6" t="s">
        <v>614</v>
      </c>
      <c r="E729" s="6" t="s">
        <v>1030</v>
      </c>
      <c r="F729" s="6" t="s">
        <v>1063</v>
      </c>
      <c r="G729" s="6" t="s">
        <v>1064</v>
      </c>
      <c r="H729" s="6"/>
      <c r="I729" s="6"/>
      <c r="J729" s="6" t="s">
        <v>1030</v>
      </c>
      <c r="K729" s="6" t="s">
        <v>1031</v>
      </c>
      <c r="L729" s="6" t="s">
        <v>744</v>
      </c>
      <c r="M729" s="6" t="s">
        <v>745</v>
      </c>
      <c r="N729" s="6"/>
      <c r="O729" s="6" t="s">
        <v>875</v>
      </c>
      <c r="P729" s="6" t="s">
        <v>87</v>
      </c>
      <c r="Q729" s="6"/>
      <c r="R729" s="7" t="n">
        <f aca="false">COUNTIF('Label Map'!$D$2:$D$2000,A729)</f>
        <v>2</v>
      </c>
    </row>
    <row r="730" customFormat="false" ht="15" hidden="false" customHeight="false" outlineLevel="0" collapsed="false">
      <c r="A730" s="6" t="s">
        <v>1065</v>
      </c>
      <c r="B730" s="6" t="s">
        <v>9</v>
      </c>
      <c r="C730" s="6" t="s">
        <v>3</v>
      </c>
      <c r="D730" s="6" t="s">
        <v>614</v>
      </c>
      <c r="E730" s="6" t="s">
        <v>1030</v>
      </c>
      <c r="F730" s="6" t="s">
        <v>1065</v>
      </c>
      <c r="G730" s="6" t="s">
        <v>1066</v>
      </c>
      <c r="H730" s="6"/>
      <c r="I730" s="6"/>
      <c r="J730" s="6" t="s">
        <v>1030</v>
      </c>
      <c r="K730" s="6" t="s">
        <v>1067</v>
      </c>
      <c r="L730" s="6" t="s">
        <v>744</v>
      </c>
      <c r="M730" s="6" t="s">
        <v>1068</v>
      </c>
      <c r="N730" s="6"/>
      <c r="O730" s="6" t="s">
        <v>875</v>
      </c>
      <c r="P730" s="6" t="s">
        <v>337</v>
      </c>
      <c r="Q730" s="6"/>
      <c r="R730" s="7" t="n">
        <f aca="false">COUNTIF('Label Map'!$D$2:$D$2000,A730)</f>
        <v>3</v>
      </c>
    </row>
    <row r="731" customFormat="false" ht="15" hidden="false" customHeight="false" outlineLevel="0" collapsed="false">
      <c r="A731" s="6" t="s">
        <v>1069</v>
      </c>
      <c r="B731" s="6" t="s">
        <v>9</v>
      </c>
      <c r="C731" s="6" t="s">
        <v>3</v>
      </c>
      <c r="D731" s="6" t="s">
        <v>614</v>
      </c>
      <c r="E731" s="6" t="s">
        <v>1030</v>
      </c>
      <c r="F731" s="6" t="s">
        <v>1069</v>
      </c>
      <c r="G731" s="6" t="s">
        <v>1070</v>
      </c>
      <c r="H731" s="6"/>
      <c r="I731" s="6"/>
      <c r="J731" s="6" t="s">
        <v>1030</v>
      </c>
      <c r="K731" s="6"/>
      <c r="L731" s="6" t="s">
        <v>744</v>
      </c>
      <c r="M731" s="6" t="s">
        <v>745</v>
      </c>
      <c r="N731" s="6"/>
      <c r="O731" s="6" t="s">
        <v>875</v>
      </c>
      <c r="P731" s="6" t="s">
        <v>337</v>
      </c>
      <c r="Q731" s="6"/>
      <c r="R731" s="7" t="n">
        <f aca="false">COUNTIF('Label Map'!$D$2:$D$2000,A731)</f>
        <v>2</v>
      </c>
    </row>
    <row r="732" customFormat="false" ht="15" hidden="false" customHeight="false" outlineLevel="0" collapsed="false">
      <c r="A732" s="6" t="s">
        <v>1071</v>
      </c>
      <c r="B732" s="6" t="s">
        <v>9</v>
      </c>
      <c r="C732" s="6" t="s">
        <v>3</v>
      </c>
      <c r="D732" s="6" t="s">
        <v>614</v>
      </c>
      <c r="E732" s="6" t="s">
        <v>1030</v>
      </c>
      <c r="F732" s="6" t="s">
        <v>1071</v>
      </c>
      <c r="G732" s="6" t="s">
        <v>1072</v>
      </c>
      <c r="H732" s="6"/>
      <c r="I732" s="6"/>
      <c r="J732" s="6" t="s">
        <v>1030</v>
      </c>
      <c r="K732" s="6" t="s">
        <v>1073</v>
      </c>
      <c r="L732" s="6" t="s">
        <v>744</v>
      </c>
      <c r="M732" s="6" t="s">
        <v>745</v>
      </c>
      <c r="N732" s="6"/>
      <c r="O732" s="6" t="s">
        <v>875</v>
      </c>
      <c r="P732" s="6" t="s">
        <v>87</v>
      </c>
      <c r="Q732" s="6"/>
      <c r="R732" s="7" t="n">
        <f aca="false">COUNTIF('Label Map'!$D$2:$D$2000,A732)</f>
        <v>3</v>
      </c>
    </row>
    <row r="733" customFormat="false" ht="15" hidden="false" customHeight="false" outlineLevel="0" collapsed="false">
      <c r="A733" s="6" t="s">
        <v>1074</v>
      </c>
      <c r="B733" s="6" t="s">
        <v>63</v>
      </c>
      <c r="C733" s="6" t="s">
        <v>3</v>
      </c>
      <c r="D733" s="6" t="s">
        <v>614</v>
      </c>
      <c r="E733" s="6" t="s">
        <v>1030</v>
      </c>
      <c r="F733" s="6" t="s">
        <v>1071</v>
      </c>
      <c r="G733" s="6" t="s">
        <v>1072</v>
      </c>
      <c r="H733" s="6"/>
      <c r="I733" s="6" t="s">
        <v>1074</v>
      </c>
      <c r="J733" s="6" t="s">
        <v>1071</v>
      </c>
      <c r="K733" s="6"/>
      <c r="L733" s="6"/>
      <c r="M733" s="6"/>
      <c r="N733" s="6"/>
      <c r="O733" s="6"/>
      <c r="P733" s="6"/>
      <c r="Q733" s="6"/>
      <c r="R733" s="7" t="n">
        <f aca="false">COUNTIF('Label Map'!$D$2:$D$2000,A733)</f>
        <v>0</v>
      </c>
    </row>
    <row r="734" customFormat="false" ht="15" hidden="false" customHeight="false" outlineLevel="0" collapsed="false">
      <c r="A734" s="6" t="s">
        <v>1075</v>
      </c>
      <c r="B734" s="6" t="s">
        <v>63</v>
      </c>
      <c r="C734" s="6" t="s">
        <v>3</v>
      </c>
      <c r="D734" s="6" t="s">
        <v>614</v>
      </c>
      <c r="E734" s="6" t="s">
        <v>1030</v>
      </c>
      <c r="F734" s="6" t="s">
        <v>1071</v>
      </c>
      <c r="G734" s="6" t="s">
        <v>1072</v>
      </c>
      <c r="H734" s="6"/>
      <c r="I734" s="6" t="s">
        <v>1075</v>
      </c>
      <c r="J734" s="6" t="s">
        <v>1071</v>
      </c>
      <c r="K734" s="6"/>
      <c r="L734" s="6"/>
      <c r="M734" s="6"/>
      <c r="N734" s="6"/>
      <c r="O734" s="6"/>
      <c r="P734" s="6"/>
      <c r="Q734" s="6"/>
      <c r="R734" s="7" t="n">
        <f aca="false">COUNTIF('Label Map'!$D$2:$D$2000,A734)</f>
        <v>0</v>
      </c>
    </row>
    <row r="735" customFormat="false" ht="15" hidden="false" customHeight="false" outlineLevel="0" collapsed="false">
      <c r="A735" s="6" t="s">
        <v>1076</v>
      </c>
      <c r="B735" s="6" t="s">
        <v>9</v>
      </c>
      <c r="C735" s="6" t="s">
        <v>3</v>
      </c>
      <c r="D735" s="6" t="s">
        <v>614</v>
      </c>
      <c r="E735" s="6" t="s">
        <v>1030</v>
      </c>
      <c r="F735" s="6" t="s">
        <v>1076</v>
      </c>
      <c r="G735" s="6" t="s">
        <v>1077</v>
      </c>
      <c r="H735" s="6"/>
      <c r="I735" s="6"/>
      <c r="J735" s="6" t="s">
        <v>1030</v>
      </c>
      <c r="K735" s="6" t="s">
        <v>1033</v>
      </c>
      <c r="L735" s="6" t="s">
        <v>744</v>
      </c>
      <c r="M735" s="6" t="s">
        <v>745</v>
      </c>
      <c r="N735" s="6"/>
      <c r="O735" s="6" t="s">
        <v>875</v>
      </c>
      <c r="P735" s="6" t="s">
        <v>337</v>
      </c>
      <c r="Q735" s="6"/>
      <c r="R735" s="7" t="n">
        <f aca="false">COUNTIF('Label Map'!$D$2:$D$2000,A735)</f>
        <v>2</v>
      </c>
    </row>
    <row r="736" customFormat="false" ht="15" hidden="false" customHeight="false" outlineLevel="0" collapsed="false">
      <c r="A736" s="6" t="s">
        <v>1078</v>
      </c>
      <c r="B736" s="6" t="s">
        <v>9</v>
      </c>
      <c r="C736" s="6" t="s">
        <v>3</v>
      </c>
      <c r="D736" s="6" t="s">
        <v>614</v>
      </c>
      <c r="E736" s="6" t="s">
        <v>1030</v>
      </c>
      <c r="F736" s="6" t="s">
        <v>1078</v>
      </c>
      <c r="G736" s="6" t="s">
        <v>1079</v>
      </c>
      <c r="H736" s="6"/>
      <c r="I736" s="6"/>
      <c r="J736" s="6" t="s">
        <v>1030</v>
      </c>
      <c r="K736" s="6" t="s">
        <v>1031</v>
      </c>
      <c r="L736" s="6" t="s">
        <v>744</v>
      </c>
      <c r="M736" s="6" t="s">
        <v>745</v>
      </c>
      <c r="N736" s="6"/>
      <c r="O736" s="6" t="s">
        <v>875</v>
      </c>
      <c r="P736" s="6" t="s">
        <v>87</v>
      </c>
      <c r="Q736" s="6"/>
      <c r="R736" s="7" t="n">
        <f aca="false">COUNTIF('Label Map'!$D$2:$D$2000,A736)</f>
        <v>2</v>
      </c>
    </row>
    <row r="737" customFormat="false" ht="15" hidden="false" customHeight="false" outlineLevel="0" collapsed="false">
      <c r="A737" s="6" t="s">
        <v>1080</v>
      </c>
      <c r="B737" s="6" t="s">
        <v>63</v>
      </c>
      <c r="C737" s="6" t="s">
        <v>3</v>
      </c>
      <c r="D737" s="6" t="s">
        <v>614</v>
      </c>
      <c r="E737" s="6" t="s">
        <v>1030</v>
      </c>
      <c r="F737" s="6" t="s">
        <v>1078</v>
      </c>
      <c r="G737" s="6" t="s">
        <v>1079</v>
      </c>
      <c r="H737" s="6"/>
      <c r="I737" s="6" t="s">
        <v>1080</v>
      </c>
      <c r="J737" s="6" t="s">
        <v>1078</v>
      </c>
      <c r="K737" s="6"/>
      <c r="L737" s="6"/>
      <c r="M737" s="6"/>
      <c r="N737" s="6"/>
      <c r="O737" s="6"/>
      <c r="P737" s="6"/>
      <c r="Q737" s="6"/>
      <c r="R737" s="7" t="n">
        <f aca="false">COUNTIF('Label Map'!$D$2:$D$2000,A737)</f>
        <v>0</v>
      </c>
    </row>
    <row r="738" customFormat="false" ht="15" hidden="false" customHeight="false" outlineLevel="0" collapsed="false">
      <c r="A738" s="6" t="s">
        <v>1081</v>
      </c>
      <c r="B738" s="6" t="s">
        <v>9</v>
      </c>
      <c r="C738" s="6" t="s">
        <v>3</v>
      </c>
      <c r="D738" s="6" t="s">
        <v>614</v>
      </c>
      <c r="E738" s="6" t="s">
        <v>1030</v>
      </c>
      <c r="F738" s="6" t="s">
        <v>1081</v>
      </c>
      <c r="G738" s="6" t="s">
        <v>1082</v>
      </c>
      <c r="H738" s="6"/>
      <c r="I738" s="6"/>
      <c r="J738" s="6" t="s">
        <v>1030</v>
      </c>
      <c r="K738" s="6" t="s">
        <v>1033</v>
      </c>
      <c r="L738" s="6" t="s">
        <v>744</v>
      </c>
      <c r="M738" s="6" t="s">
        <v>745</v>
      </c>
      <c r="N738" s="6"/>
      <c r="O738" s="6" t="s">
        <v>875</v>
      </c>
      <c r="P738" s="6" t="s">
        <v>468</v>
      </c>
      <c r="Q738" s="6"/>
      <c r="R738" s="7" t="n">
        <f aca="false">COUNTIF('Label Map'!$D$2:$D$2000,A738)</f>
        <v>2</v>
      </c>
    </row>
    <row r="739" customFormat="false" ht="15" hidden="false" customHeight="false" outlineLevel="0" collapsed="false">
      <c r="A739" s="6" t="s">
        <v>1083</v>
      </c>
      <c r="B739" s="6" t="s">
        <v>9</v>
      </c>
      <c r="C739" s="6" t="s">
        <v>3</v>
      </c>
      <c r="D739" s="6" t="s">
        <v>614</v>
      </c>
      <c r="E739" s="6" t="s">
        <v>1030</v>
      </c>
      <c r="F739" s="6" t="s">
        <v>1083</v>
      </c>
      <c r="G739" s="6" t="s">
        <v>1084</v>
      </c>
      <c r="H739" s="6"/>
      <c r="I739" s="6"/>
      <c r="J739" s="6" t="s">
        <v>1030</v>
      </c>
      <c r="K739" s="6" t="s">
        <v>1031</v>
      </c>
      <c r="L739" s="6" t="s">
        <v>744</v>
      </c>
      <c r="M739" s="6" t="s">
        <v>745</v>
      </c>
      <c r="N739" s="6"/>
      <c r="O739" s="6" t="s">
        <v>875</v>
      </c>
      <c r="P739" s="6" t="s">
        <v>87</v>
      </c>
      <c r="Q739" s="6"/>
      <c r="R739" s="7" t="n">
        <f aca="false">COUNTIF('Label Map'!$D$2:$D$2000,A739)</f>
        <v>2</v>
      </c>
    </row>
    <row r="740" customFormat="false" ht="15" hidden="false" customHeight="false" outlineLevel="0" collapsed="false">
      <c r="A740" s="6" t="s">
        <v>1085</v>
      </c>
      <c r="B740" s="6" t="s">
        <v>9</v>
      </c>
      <c r="C740" s="6" t="s">
        <v>3</v>
      </c>
      <c r="D740" s="6" t="s">
        <v>614</v>
      </c>
      <c r="E740" s="6" t="s">
        <v>1030</v>
      </c>
      <c r="F740" s="6" t="s">
        <v>1085</v>
      </c>
      <c r="G740" s="6" t="s">
        <v>1086</v>
      </c>
      <c r="H740" s="6"/>
      <c r="I740" s="6"/>
      <c r="J740" s="6" t="s">
        <v>1030</v>
      </c>
      <c r="K740" s="6" t="s">
        <v>1033</v>
      </c>
      <c r="L740" s="6" t="s">
        <v>744</v>
      </c>
      <c r="M740" s="6" t="s">
        <v>745</v>
      </c>
      <c r="N740" s="6"/>
      <c r="O740" s="6" t="s">
        <v>875</v>
      </c>
      <c r="P740" s="6" t="s">
        <v>468</v>
      </c>
      <c r="Q740" s="6"/>
      <c r="R740" s="7" t="n">
        <f aca="false">COUNTIF('Label Map'!$D$2:$D$2000,A740)</f>
        <v>4</v>
      </c>
    </row>
    <row r="741" customFormat="false" ht="15" hidden="false" customHeight="false" outlineLevel="0" collapsed="false">
      <c r="A741" s="6" t="s">
        <v>1087</v>
      </c>
      <c r="B741" s="6" t="s">
        <v>9</v>
      </c>
      <c r="C741" s="6" t="s">
        <v>3</v>
      </c>
      <c r="D741" s="6" t="s">
        <v>614</v>
      </c>
      <c r="E741" s="6" t="s">
        <v>1030</v>
      </c>
      <c r="F741" s="6" t="s">
        <v>1087</v>
      </c>
      <c r="G741" s="6" t="s">
        <v>1088</v>
      </c>
      <c r="H741" s="6"/>
      <c r="I741" s="6"/>
      <c r="J741" s="6" t="s">
        <v>1030</v>
      </c>
      <c r="K741" s="6" t="s">
        <v>1031</v>
      </c>
      <c r="L741" s="6" t="s">
        <v>744</v>
      </c>
      <c r="M741" s="6" t="s">
        <v>745</v>
      </c>
      <c r="N741" s="6"/>
      <c r="O741" s="6" t="s">
        <v>875</v>
      </c>
      <c r="P741" s="6" t="s">
        <v>87</v>
      </c>
      <c r="Q741" s="6"/>
      <c r="R741" s="7" t="n">
        <f aca="false">COUNTIF('Label Map'!$D$2:$D$2000,A741)</f>
        <v>2</v>
      </c>
    </row>
    <row r="742" customFormat="false" ht="15" hidden="false" customHeight="false" outlineLevel="0" collapsed="false">
      <c r="A742" s="6" t="s">
        <v>1089</v>
      </c>
      <c r="B742" s="6" t="s">
        <v>63</v>
      </c>
      <c r="C742" s="6" t="s">
        <v>3</v>
      </c>
      <c r="D742" s="6" t="s">
        <v>614</v>
      </c>
      <c r="E742" s="6" t="s">
        <v>1030</v>
      </c>
      <c r="F742" s="6" t="s">
        <v>1087</v>
      </c>
      <c r="G742" s="6" t="s">
        <v>1088</v>
      </c>
      <c r="H742" s="6"/>
      <c r="I742" s="6" t="s">
        <v>1089</v>
      </c>
      <c r="J742" s="6" t="s">
        <v>1087</v>
      </c>
      <c r="K742" s="6"/>
      <c r="L742" s="6"/>
      <c r="M742" s="6"/>
      <c r="N742" s="6"/>
      <c r="O742" s="6"/>
      <c r="P742" s="6"/>
      <c r="Q742" s="6"/>
      <c r="R742" s="7" t="n">
        <f aca="false">COUNTIF('Label Map'!$D$2:$D$2000,A742)</f>
        <v>0</v>
      </c>
    </row>
    <row r="743" customFormat="false" ht="15" hidden="false" customHeight="false" outlineLevel="0" collapsed="false">
      <c r="A743" s="6" t="s">
        <v>1090</v>
      </c>
      <c r="B743" s="6" t="s">
        <v>9</v>
      </c>
      <c r="C743" s="6" t="s">
        <v>3</v>
      </c>
      <c r="D743" s="6" t="s">
        <v>614</v>
      </c>
      <c r="E743" s="6" t="s">
        <v>1030</v>
      </c>
      <c r="F743" s="6" t="s">
        <v>1090</v>
      </c>
      <c r="G743" s="6" t="s">
        <v>1091</v>
      </c>
      <c r="H743" s="6"/>
      <c r="I743" s="6"/>
      <c r="J743" s="6" t="s">
        <v>1030</v>
      </c>
      <c r="K743" s="6" t="s">
        <v>1033</v>
      </c>
      <c r="L743" s="6" t="s">
        <v>744</v>
      </c>
      <c r="M743" s="6" t="s">
        <v>745</v>
      </c>
      <c r="N743" s="6"/>
      <c r="O743" s="6" t="s">
        <v>875</v>
      </c>
      <c r="P743" s="6" t="s">
        <v>1092</v>
      </c>
      <c r="Q743" s="6"/>
      <c r="R743" s="7" t="n">
        <f aca="false">COUNTIF('Label Map'!$D$2:$D$2000,A743)</f>
        <v>2</v>
      </c>
    </row>
    <row r="744" customFormat="false" ht="15" hidden="false" customHeight="false" outlineLevel="0" collapsed="false">
      <c r="A744" s="6" t="s">
        <v>1093</v>
      </c>
      <c r="B744" s="6" t="s">
        <v>9</v>
      </c>
      <c r="C744" s="6" t="s">
        <v>3</v>
      </c>
      <c r="D744" s="6" t="s">
        <v>614</v>
      </c>
      <c r="E744" s="6" t="s">
        <v>1030</v>
      </c>
      <c r="F744" s="6" t="s">
        <v>1093</v>
      </c>
      <c r="G744" s="6" t="s">
        <v>1094</v>
      </c>
      <c r="H744" s="6"/>
      <c r="I744" s="6"/>
      <c r="J744" s="6" t="s">
        <v>1030</v>
      </c>
      <c r="K744" s="6" t="s">
        <v>1095</v>
      </c>
      <c r="L744" s="6" t="s">
        <v>744</v>
      </c>
      <c r="M744" s="6" t="s">
        <v>745</v>
      </c>
      <c r="N744" s="6"/>
      <c r="O744" s="6" t="s">
        <v>875</v>
      </c>
      <c r="P744" s="6" t="s">
        <v>1092</v>
      </c>
      <c r="Q744" s="6"/>
      <c r="R744" s="7" t="n">
        <f aca="false">COUNTIF('Label Map'!$D$2:$D$2000,A744)</f>
        <v>2</v>
      </c>
    </row>
    <row r="745" customFormat="false" ht="15" hidden="false" customHeight="false" outlineLevel="0" collapsed="false">
      <c r="A745" s="6" t="s">
        <v>1096</v>
      </c>
      <c r="B745" s="6" t="s">
        <v>7</v>
      </c>
      <c r="C745" s="6" t="s">
        <v>3</v>
      </c>
      <c r="D745" s="6" t="s">
        <v>614</v>
      </c>
      <c r="E745" s="6" t="s">
        <v>1096</v>
      </c>
      <c r="F745" s="6"/>
      <c r="G745" s="6"/>
      <c r="H745" s="6"/>
      <c r="I745" s="6"/>
      <c r="J745" s="6" t="s">
        <v>613</v>
      </c>
      <c r="K745" s="6"/>
      <c r="L745" s="6"/>
      <c r="M745" s="6"/>
      <c r="N745" s="6"/>
      <c r="O745" s="6"/>
      <c r="P745" s="6"/>
      <c r="Q745" s="6"/>
      <c r="R745" s="7" t="n">
        <f aca="false">COUNTIF('Label Map'!$D$2:$D$2000,A745)</f>
        <v>1</v>
      </c>
    </row>
    <row r="746" customFormat="false" ht="15" hidden="false" customHeight="false" outlineLevel="0" collapsed="false">
      <c r="A746" s="6" t="s">
        <v>1097</v>
      </c>
      <c r="B746" s="6" t="s">
        <v>314</v>
      </c>
      <c r="C746" s="6" t="s">
        <v>3</v>
      </c>
      <c r="D746" s="6" t="s">
        <v>614</v>
      </c>
      <c r="E746" s="6" t="s">
        <v>1096</v>
      </c>
      <c r="F746" s="6"/>
      <c r="G746" s="6"/>
      <c r="H746" s="6"/>
      <c r="I746" s="6"/>
      <c r="J746" s="6" t="s">
        <v>1098</v>
      </c>
      <c r="K746" s="6"/>
      <c r="L746" s="6"/>
      <c r="M746" s="6"/>
      <c r="N746" s="6"/>
      <c r="O746" s="6"/>
      <c r="P746" s="6"/>
      <c r="Q746" s="6" t="s">
        <v>1099</v>
      </c>
      <c r="R746" s="7" t="n">
        <f aca="false">COUNTIF('Label Map'!$D$2:$D$2000,A746)</f>
        <v>2</v>
      </c>
    </row>
    <row r="747" customFormat="false" ht="15" hidden="false" customHeight="false" outlineLevel="0" collapsed="false">
      <c r="A747" s="6" t="s">
        <v>1100</v>
      </c>
      <c r="B747" s="6" t="s">
        <v>314</v>
      </c>
      <c r="C747" s="6" t="s">
        <v>3</v>
      </c>
      <c r="D747" s="6" t="s">
        <v>614</v>
      </c>
      <c r="E747" s="6" t="s">
        <v>1096</v>
      </c>
      <c r="F747" s="6"/>
      <c r="G747" s="6"/>
      <c r="H747" s="6"/>
      <c r="I747" s="6"/>
      <c r="J747" s="6" t="s">
        <v>1098</v>
      </c>
      <c r="K747" s="6"/>
      <c r="L747" s="6"/>
      <c r="M747" s="6"/>
      <c r="N747" s="6"/>
      <c r="O747" s="6"/>
      <c r="P747" s="6"/>
      <c r="Q747" s="6" t="s">
        <v>1101</v>
      </c>
      <c r="R747" s="7" t="n">
        <f aca="false">COUNTIF('Label Map'!$D$2:$D$2000,A747)</f>
        <v>3</v>
      </c>
    </row>
    <row r="748" customFormat="false" ht="15" hidden="false" customHeight="false" outlineLevel="0" collapsed="false">
      <c r="A748" s="6" t="s">
        <v>1102</v>
      </c>
      <c r="B748" s="6" t="s">
        <v>314</v>
      </c>
      <c r="C748" s="6" t="s">
        <v>3</v>
      </c>
      <c r="D748" s="6" t="s">
        <v>614</v>
      </c>
      <c r="E748" s="6" t="s">
        <v>1096</v>
      </c>
      <c r="F748" s="6"/>
      <c r="G748" s="6"/>
      <c r="H748" s="6"/>
      <c r="I748" s="6"/>
      <c r="J748" s="6" t="s">
        <v>1103</v>
      </c>
      <c r="K748" s="6"/>
      <c r="L748" s="6"/>
      <c r="M748" s="6"/>
      <c r="N748" s="6"/>
      <c r="O748" s="6"/>
      <c r="P748" s="6"/>
      <c r="Q748" s="6" t="s">
        <v>1104</v>
      </c>
      <c r="R748" s="7" t="n">
        <f aca="false">COUNTIF('Label Map'!$D$2:$D$2000,A748)</f>
        <v>1</v>
      </c>
    </row>
    <row r="749" customFormat="false" ht="15" hidden="false" customHeight="false" outlineLevel="0" collapsed="false">
      <c r="A749" s="6" t="s">
        <v>1103</v>
      </c>
      <c r="B749" s="6" t="s">
        <v>314</v>
      </c>
      <c r="C749" s="6" t="s">
        <v>3</v>
      </c>
      <c r="D749" s="6" t="s">
        <v>614</v>
      </c>
      <c r="E749" s="6" t="s">
        <v>1096</v>
      </c>
      <c r="F749" s="6"/>
      <c r="G749" s="6"/>
      <c r="H749" s="6"/>
      <c r="I749" s="6"/>
      <c r="J749" s="6" t="s">
        <v>1096</v>
      </c>
      <c r="K749" s="6"/>
      <c r="L749" s="6"/>
      <c r="M749" s="6"/>
      <c r="N749" s="6"/>
      <c r="O749" s="6"/>
      <c r="P749" s="6"/>
      <c r="Q749" s="6" t="s">
        <v>1105</v>
      </c>
      <c r="R749" s="7" t="n">
        <f aca="false">COUNTIF('Label Map'!$D$2:$D$2000,A749)</f>
        <v>2</v>
      </c>
    </row>
    <row r="750" customFormat="false" ht="15" hidden="false" customHeight="false" outlineLevel="0" collapsed="false">
      <c r="A750" s="6" t="s">
        <v>1106</v>
      </c>
      <c r="B750" s="6" t="s">
        <v>314</v>
      </c>
      <c r="C750" s="6" t="s">
        <v>3</v>
      </c>
      <c r="D750" s="6" t="s">
        <v>614</v>
      </c>
      <c r="E750" s="6" t="s">
        <v>1096</v>
      </c>
      <c r="F750" s="6"/>
      <c r="G750" s="6"/>
      <c r="H750" s="6"/>
      <c r="I750" s="6"/>
      <c r="J750" s="6" t="s">
        <v>1098</v>
      </c>
      <c r="K750" s="6"/>
      <c r="L750" s="6"/>
      <c r="M750" s="6"/>
      <c r="N750" s="6"/>
      <c r="O750" s="6"/>
      <c r="P750" s="6"/>
      <c r="Q750" s="6" t="s">
        <v>1107</v>
      </c>
      <c r="R750" s="7" t="n">
        <f aca="false">COUNTIF('Label Map'!$D$2:$D$2000,A750)</f>
        <v>1</v>
      </c>
    </row>
    <row r="751" customFormat="false" ht="15" hidden="false" customHeight="false" outlineLevel="0" collapsed="false">
      <c r="A751" s="6" t="s">
        <v>1098</v>
      </c>
      <c r="B751" s="6" t="s">
        <v>314</v>
      </c>
      <c r="C751" s="6" t="s">
        <v>3</v>
      </c>
      <c r="D751" s="6" t="s">
        <v>614</v>
      </c>
      <c r="E751" s="6" t="s">
        <v>1096</v>
      </c>
      <c r="F751" s="6"/>
      <c r="G751" s="6"/>
      <c r="H751" s="6"/>
      <c r="I751" s="6"/>
      <c r="J751" s="6" t="s">
        <v>1096</v>
      </c>
      <c r="K751" s="6"/>
      <c r="L751" s="6"/>
      <c r="M751" s="6"/>
      <c r="N751" s="6"/>
      <c r="O751" s="6"/>
      <c r="P751" s="6"/>
      <c r="Q751" s="6" t="s">
        <v>1108</v>
      </c>
      <c r="R751" s="7" t="n">
        <f aca="false">COUNTIF('Label Map'!$D$2:$D$2000,A751)</f>
        <v>3</v>
      </c>
    </row>
    <row r="752" customFormat="false" ht="15" hidden="false" customHeight="false" outlineLevel="0" collapsed="false">
      <c r="A752" s="6" t="s">
        <v>1109</v>
      </c>
      <c r="B752" s="6" t="s">
        <v>314</v>
      </c>
      <c r="C752" s="6" t="s">
        <v>3</v>
      </c>
      <c r="D752" s="6" t="s">
        <v>614</v>
      </c>
      <c r="E752" s="6" t="s">
        <v>1096</v>
      </c>
      <c r="F752" s="6"/>
      <c r="G752" s="6"/>
      <c r="H752" s="6"/>
      <c r="I752" s="6"/>
      <c r="J752" s="6" t="s">
        <v>1098</v>
      </c>
      <c r="K752" s="6"/>
      <c r="L752" s="6"/>
      <c r="M752" s="6"/>
      <c r="N752" s="6"/>
      <c r="O752" s="6"/>
      <c r="P752" s="6"/>
      <c r="Q752" s="6" t="s">
        <v>1110</v>
      </c>
      <c r="R752" s="7" t="n">
        <f aca="false">COUNTIF('Label Map'!$D$2:$D$2000,A752)</f>
        <v>2</v>
      </c>
    </row>
    <row r="753" customFormat="false" ht="15" hidden="false" customHeight="false" outlineLevel="0" collapsed="false">
      <c r="A753" s="6" t="s">
        <v>1111</v>
      </c>
      <c r="B753" s="6" t="s">
        <v>9</v>
      </c>
      <c r="C753" s="6" t="s">
        <v>3</v>
      </c>
      <c r="D753" s="6" t="s">
        <v>614</v>
      </c>
      <c r="E753" s="6" t="s">
        <v>1096</v>
      </c>
      <c r="F753" s="6" t="s">
        <v>1111</v>
      </c>
      <c r="G753" s="6" t="s">
        <v>1112</v>
      </c>
      <c r="H753" s="6"/>
      <c r="I753" s="6"/>
      <c r="J753" s="6" t="s">
        <v>1096</v>
      </c>
      <c r="K753" s="6" t="s">
        <v>1113</v>
      </c>
      <c r="L753" s="6" t="s">
        <v>1096</v>
      </c>
      <c r="M753" s="6" t="s">
        <v>1114</v>
      </c>
      <c r="N753" s="6" t="s">
        <v>1106</v>
      </c>
      <c r="O753" s="6" t="s">
        <v>1114</v>
      </c>
      <c r="P753" s="6" t="s">
        <v>337</v>
      </c>
      <c r="Q753" s="6"/>
      <c r="R753" s="7" t="n">
        <f aca="false">COUNTIF('Label Map'!$D$2:$D$2000,A753)</f>
        <v>3</v>
      </c>
    </row>
    <row r="754" customFormat="false" ht="15" hidden="false" customHeight="false" outlineLevel="0" collapsed="false">
      <c r="A754" s="6" t="s">
        <v>1115</v>
      </c>
      <c r="B754" s="6" t="s">
        <v>11</v>
      </c>
      <c r="C754" s="6" t="s">
        <v>3</v>
      </c>
      <c r="D754" s="6" t="s">
        <v>614</v>
      </c>
      <c r="E754" s="6" t="s">
        <v>1096</v>
      </c>
      <c r="F754" s="6" t="s">
        <v>1111</v>
      </c>
      <c r="G754" s="6" t="s">
        <v>1112</v>
      </c>
      <c r="H754" s="6" t="s">
        <v>1115</v>
      </c>
      <c r="I754" s="6"/>
      <c r="J754" s="6" t="s">
        <v>1111</v>
      </c>
      <c r="K754" s="6"/>
      <c r="L754" s="6"/>
      <c r="M754" s="6"/>
      <c r="N754" s="6"/>
      <c r="O754" s="6"/>
      <c r="P754" s="6"/>
      <c r="Q754" s="6" t="s">
        <v>280</v>
      </c>
      <c r="R754" s="7" t="n">
        <f aca="false">COUNTIF('Label Map'!$D$2:$D$2000,A754)</f>
        <v>1</v>
      </c>
    </row>
    <row r="755" customFormat="false" ht="15" hidden="false" customHeight="false" outlineLevel="0" collapsed="false">
      <c r="A755" s="6" t="s">
        <v>1116</v>
      </c>
      <c r="B755" s="6" t="s">
        <v>11</v>
      </c>
      <c r="C755" s="6" t="s">
        <v>3</v>
      </c>
      <c r="D755" s="6" t="s">
        <v>614</v>
      </c>
      <c r="E755" s="6" t="s">
        <v>1096</v>
      </c>
      <c r="F755" s="6" t="s">
        <v>1111</v>
      </c>
      <c r="G755" s="6" t="s">
        <v>1112</v>
      </c>
      <c r="H755" s="6" t="s">
        <v>1116</v>
      </c>
      <c r="I755" s="6"/>
      <c r="J755" s="6" t="s">
        <v>1111</v>
      </c>
      <c r="K755" s="6"/>
      <c r="L755" s="6"/>
      <c r="M755" s="6"/>
      <c r="N755" s="6"/>
      <c r="O755" s="6"/>
      <c r="P755" s="6"/>
      <c r="Q755" s="6" t="s">
        <v>280</v>
      </c>
      <c r="R755" s="7" t="n">
        <f aca="false">COUNTIF('Label Map'!$D$2:$D$2000,A755)</f>
        <v>1</v>
      </c>
    </row>
    <row r="756" customFormat="false" ht="15" hidden="false" customHeight="false" outlineLevel="0" collapsed="false">
      <c r="A756" s="6" t="s">
        <v>1117</v>
      </c>
      <c r="B756" s="6" t="s">
        <v>11</v>
      </c>
      <c r="C756" s="6" t="s">
        <v>3</v>
      </c>
      <c r="D756" s="6" t="s">
        <v>614</v>
      </c>
      <c r="E756" s="6" t="s">
        <v>1096</v>
      </c>
      <c r="F756" s="6" t="s">
        <v>1111</v>
      </c>
      <c r="G756" s="6" t="s">
        <v>1112</v>
      </c>
      <c r="H756" s="6" t="s">
        <v>1117</v>
      </c>
      <c r="I756" s="6"/>
      <c r="J756" s="6" t="s">
        <v>1111</v>
      </c>
      <c r="K756" s="6"/>
      <c r="L756" s="6"/>
      <c r="M756" s="6"/>
      <c r="N756" s="6"/>
      <c r="O756" s="6"/>
      <c r="P756" s="6"/>
      <c r="Q756" s="6" t="s">
        <v>280</v>
      </c>
      <c r="R756" s="7" t="n">
        <f aca="false">COUNTIF('Label Map'!$D$2:$D$2000,A756)</f>
        <v>1</v>
      </c>
    </row>
    <row r="757" customFormat="false" ht="15" hidden="false" customHeight="false" outlineLevel="0" collapsed="false">
      <c r="A757" s="6" t="s">
        <v>1118</v>
      </c>
      <c r="B757" s="6" t="s">
        <v>63</v>
      </c>
      <c r="C757" s="6" t="s">
        <v>3</v>
      </c>
      <c r="D757" s="6" t="s">
        <v>614</v>
      </c>
      <c r="E757" s="6" t="s">
        <v>1096</v>
      </c>
      <c r="F757" s="6" t="s">
        <v>1111</v>
      </c>
      <c r="G757" s="6" t="s">
        <v>1112</v>
      </c>
      <c r="H757" s="6" t="s">
        <v>1117</v>
      </c>
      <c r="I757" s="6" t="s">
        <v>1118</v>
      </c>
      <c r="J757" s="6" t="s">
        <v>1117</v>
      </c>
      <c r="K757" s="6"/>
      <c r="L757" s="6"/>
      <c r="M757" s="6"/>
      <c r="N757" s="6"/>
      <c r="O757" s="6"/>
      <c r="P757" s="6"/>
      <c r="Q757" s="6"/>
      <c r="R757" s="7" t="n">
        <f aca="false">COUNTIF('Label Map'!$D$2:$D$2000,A757)</f>
        <v>0</v>
      </c>
    </row>
    <row r="758" customFormat="false" ht="15" hidden="false" customHeight="false" outlineLevel="0" collapsed="false">
      <c r="A758" s="6" t="s">
        <v>1119</v>
      </c>
      <c r="B758" s="6" t="s">
        <v>63</v>
      </c>
      <c r="C758" s="6" t="s">
        <v>3</v>
      </c>
      <c r="D758" s="6" t="s">
        <v>614</v>
      </c>
      <c r="E758" s="6" t="s">
        <v>1096</v>
      </c>
      <c r="F758" s="6" t="s">
        <v>1111</v>
      </c>
      <c r="G758" s="6" t="s">
        <v>1112</v>
      </c>
      <c r="H758" s="6" t="s">
        <v>1117</v>
      </c>
      <c r="I758" s="6" t="s">
        <v>1119</v>
      </c>
      <c r="J758" s="6" t="s">
        <v>1117</v>
      </c>
      <c r="K758" s="6"/>
      <c r="L758" s="6"/>
      <c r="M758" s="6"/>
      <c r="N758" s="6"/>
      <c r="O758" s="6"/>
      <c r="P758" s="6"/>
      <c r="Q758" s="6"/>
      <c r="R758" s="7" t="n">
        <f aca="false">COUNTIF('Label Map'!$D$2:$D$2000,A758)</f>
        <v>0</v>
      </c>
    </row>
    <row r="759" customFormat="false" ht="15" hidden="false" customHeight="false" outlineLevel="0" collapsed="false">
      <c r="A759" s="6" t="s">
        <v>1120</v>
      </c>
      <c r="B759" s="6" t="s">
        <v>11</v>
      </c>
      <c r="C759" s="6" t="s">
        <v>3</v>
      </c>
      <c r="D759" s="6" t="s">
        <v>614</v>
      </c>
      <c r="E759" s="6" t="s">
        <v>1096</v>
      </c>
      <c r="F759" s="6" t="s">
        <v>1111</v>
      </c>
      <c r="G759" s="6" t="s">
        <v>1112</v>
      </c>
      <c r="H759" s="6" t="s">
        <v>1120</v>
      </c>
      <c r="I759" s="6"/>
      <c r="J759" s="6" t="s">
        <v>1111</v>
      </c>
      <c r="K759" s="6"/>
      <c r="L759" s="6"/>
      <c r="M759" s="6"/>
      <c r="N759" s="6"/>
      <c r="O759" s="6"/>
      <c r="P759" s="6"/>
      <c r="Q759" s="6" t="s">
        <v>280</v>
      </c>
      <c r="R759" s="7" t="n">
        <f aca="false">COUNTIF('Label Map'!$D$2:$D$2000,A759)</f>
        <v>1</v>
      </c>
    </row>
    <row r="760" customFormat="false" ht="15" hidden="false" customHeight="false" outlineLevel="0" collapsed="false">
      <c r="A760" s="6" t="s">
        <v>1121</v>
      </c>
      <c r="B760" s="6" t="s">
        <v>63</v>
      </c>
      <c r="C760" s="6" t="s">
        <v>3</v>
      </c>
      <c r="D760" s="6" t="s">
        <v>614</v>
      </c>
      <c r="E760" s="6" t="s">
        <v>1096</v>
      </c>
      <c r="F760" s="6" t="s">
        <v>1111</v>
      </c>
      <c r="G760" s="6" t="s">
        <v>1112</v>
      </c>
      <c r="H760" s="6" t="s">
        <v>1120</v>
      </c>
      <c r="I760" s="6" t="s">
        <v>1121</v>
      </c>
      <c r="J760" s="6" t="s">
        <v>1120</v>
      </c>
      <c r="K760" s="6"/>
      <c r="L760" s="6"/>
      <c r="M760" s="6"/>
      <c r="N760" s="6"/>
      <c r="O760" s="6"/>
      <c r="P760" s="6"/>
      <c r="Q760" s="6"/>
      <c r="R760" s="7" t="n">
        <f aca="false">COUNTIF('Label Map'!$D$2:$D$2000,A760)</f>
        <v>0</v>
      </c>
    </row>
    <row r="761" customFormat="false" ht="15" hidden="false" customHeight="false" outlineLevel="0" collapsed="false">
      <c r="A761" s="6" t="s">
        <v>1122</v>
      </c>
      <c r="B761" s="6" t="s">
        <v>11</v>
      </c>
      <c r="C761" s="6" t="s">
        <v>3</v>
      </c>
      <c r="D761" s="6" t="s">
        <v>614</v>
      </c>
      <c r="E761" s="6" t="s">
        <v>1096</v>
      </c>
      <c r="F761" s="6" t="s">
        <v>1111</v>
      </c>
      <c r="G761" s="6" t="s">
        <v>1112</v>
      </c>
      <c r="H761" s="6" t="s">
        <v>1122</v>
      </c>
      <c r="I761" s="6"/>
      <c r="J761" s="6" t="s">
        <v>1111</v>
      </c>
      <c r="K761" s="6"/>
      <c r="L761" s="6"/>
      <c r="M761" s="6"/>
      <c r="N761" s="6"/>
      <c r="O761" s="6"/>
      <c r="P761" s="6"/>
      <c r="Q761" s="6" t="s">
        <v>280</v>
      </c>
      <c r="R761" s="7" t="n">
        <f aca="false">COUNTIF('Label Map'!$D$2:$D$2000,A761)</f>
        <v>1</v>
      </c>
    </row>
    <row r="762" customFormat="false" ht="15" hidden="false" customHeight="false" outlineLevel="0" collapsed="false">
      <c r="A762" s="6" t="s">
        <v>1123</v>
      </c>
      <c r="B762" s="6" t="s">
        <v>11</v>
      </c>
      <c r="C762" s="6" t="s">
        <v>3</v>
      </c>
      <c r="D762" s="6" t="s">
        <v>614</v>
      </c>
      <c r="E762" s="6" t="s">
        <v>1096</v>
      </c>
      <c r="F762" s="6" t="s">
        <v>1111</v>
      </c>
      <c r="G762" s="6" t="s">
        <v>1112</v>
      </c>
      <c r="H762" s="6" t="s">
        <v>1123</v>
      </c>
      <c r="I762" s="6"/>
      <c r="J762" s="6" t="s">
        <v>1111</v>
      </c>
      <c r="K762" s="6"/>
      <c r="L762" s="6"/>
      <c r="M762" s="6"/>
      <c r="N762" s="6"/>
      <c r="O762" s="6"/>
      <c r="P762" s="6"/>
      <c r="Q762" s="6" t="s">
        <v>280</v>
      </c>
      <c r="R762" s="7" t="n">
        <f aca="false">COUNTIF('Label Map'!$D$2:$D$2000,A762)</f>
        <v>1</v>
      </c>
    </row>
    <row r="763" customFormat="false" ht="15" hidden="false" customHeight="false" outlineLevel="0" collapsed="false">
      <c r="A763" s="6" t="s">
        <v>1124</v>
      </c>
      <c r="B763" s="6" t="s">
        <v>11</v>
      </c>
      <c r="C763" s="6" t="s">
        <v>3</v>
      </c>
      <c r="D763" s="6" t="s">
        <v>614</v>
      </c>
      <c r="E763" s="6" t="s">
        <v>1096</v>
      </c>
      <c r="F763" s="6" t="s">
        <v>1111</v>
      </c>
      <c r="G763" s="6" t="s">
        <v>1112</v>
      </c>
      <c r="H763" s="6" t="s">
        <v>1124</v>
      </c>
      <c r="I763" s="6"/>
      <c r="J763" s="6" t="s">
        <v>1111</v>
      </c>
      <c r="K763" s="6"/>
      <c r="L763" s="6"/>
      <c r="M763" s="6"/>
      <c r="N763" s="6"/>
      <c r="O763" s="6"/>
      <c r="P763" s="6"/>
      <c r="Q763" s="6" t="s">
        <v>280</v>
      </c>
      <c r="R763" s="7" t="n">
        <f aca="false">COUNTIF('Label Map'!$D$2:$D$2000,A763)</f>
        <v>1</v>
      </c>
    </row>
    <row r="764" customFormat="false" ht="15" hidden="false" customHeight="false" outlineLevel="0" collapsed="false">
      <c r="A764" s="6" t="s">
        <v>1125</v>
      </c>
      <c r="B764" s="6" t="s">
        <v>11</v>
      </c>
      <c r="C764" s="6" t="s">
        <v>3</v>
      </c>
      <c r="D764" s="6" t="s">
        <v>614</v>
      </c>
      <c r="E764" s="6" t="s">
        <v>1096</v>
      </c>
      <c r="F764" s="6" t="s">
        <v>1111</v>
      </c>
      <c r="G764" s="6" t="s">
        <v>1112</v>
      </c>
      <c r="H764" s="6" t="s">
        <v>1125</v>
      </c>
      <c r="I764" s="6"/>
      <c r="J764" s="6" t="s">
        <v>1111</v>
      </c>
      <c r="K764" s="6"/>
      <c r="L764" s="6"/>
      <c r="M764" s="6"/>
      <c r="N764" s="6"/>
      <c r="O764" s="6"/>
      <c r="P764" s="6"/>
      <c r="Q764" s="6" t="s">
        <v>280</v>
      </c>
      <c r="R764" s="7" t="n">
        <f aca="false">COUNTIF('Label Map'!$D$2:$D$2000,A764)</f>
        <v>1</v>
      </c>
    </row>
    <row r="765" customFormat="false" ht="15" hidden="false" customHeight="false" outlineLevel="0" collapsed="false">
      <c r="A765" s="6" t="s">
        <v>1126</v>
      </c>
      <c r="B765" s="6" t="s">
        <v>11</v>
      </c>
      <c r="C765" s="6" t="s">
        <v>3</v>
      </c>
      <c r="D765" s="6" t="s">
        <v>614</v>
      </c>
      <c r="E765" s="6" t="s">
        <v>1096</v>
      </c>
      <c r="F765" s="6" t="s">
        <v>1111</v>
      </c>
      <c r="G765" s="6" t="s">
        <v>1112</v>
      </c>
      <c r="H765" s="6" t="s">
        <v>1126</v>
      </c>
      <c r="I765" s="6"/>
      <c r="J765" s="6" t="s">
        <v>1111</v>
      </c>
      <c r="K765" s="6"/>
      <c r="L765" s="6"/>
      <c r="M765" s="6"/>
      <c r="N765" s="6"/>
      <c r="O765" s="6"/>
      <c r="P765" s="6"/>
      <c r="Q765" s="6" t="s">
        <v>280</v>
      </c>
      <c r="R765" s="7" t="n">
        <f aca="false">COUNTIF('Label Map'!$D$2:$D$2000,A765)</f>
        <v>1</v>
      </c>
    </row>
    <row r="766" customFormat="false" ht="15" hidden="false" customHeight="false" outlineLevel="0" collapsed="false">
      <c r="A766" s="6" t="s">
        <v>1127</v>
      </c>
      <c r="B766" s="6" t="s">
        <v>63</v>
      </c>
      <c r="C766" s="6" t="s">
        <v>3</v>
      </c>
      <c r="D766" s="6" t="s">
        <v>614</v>
      </c>
      <c r="E766" s="6" t="s">
        <v>1096</v>
      </c>
      <c r="F766" s="6" t="s">
        <v>1111</v>
      </c>
      <c r="G766" s="6" t="s">
        <v>1112</v>
      </c>
      <c r="H766" s="6" t="s">
        <v>1126</v>
      </c>
      <c r="I766" s="6" t="s">
        <v>1127</v>
      </c>
      <c r="J766" s="6" t="s">
        <v>1126</v>
      </c>
      <c r="K766" s="6"/>
      <c r="L766" s="6"/>
      <c r="M766" s="6"/>
      <c r="N766" s="6"/>
      <c r="O766" s="6"/>
      <c r="P766" s="6"/>
      <c r="Q766" s="6"/>
      <c r="R766" s="7" t="n">
        <f aca="false">COUNTIF('Label Map'!$D$2:$D$2000,A766)</f>
        <v>0</v>
      </c>
    </row>
    <row r="767" customFormat="false" ht="15" hidden="false" customHeight="false" outlineLevel="0" collapsed="false">
      <c r="A767" s="6" t="s">
        <v>1128</v>
      </c>
      <c r="B767" s="6" t="s">
        <v>9</v>
      </c>
      <c r="C767" s="6" t="s">
        <v>3</v>
      </c>
      <c r="D767" s="6" t="s">
        <v>614</v>
      </c>
      <c r="E767" s="6" t="s">
        <v>1096</v>
      </c>
      <c r="F767" s="6" t="s">
        <v>1128</v>
      </c>
      <c r="G767" s="6" t="s">
        <v>1129</v>
      </c>
      <c r="H767" s="6"/>
      <c r="I767" s="6"/>
      <c r="J767" s="6" t="s">
        <v>1096</v>
      </c>
      <c r="K767" s="6" t="s">
        <v>1130</v>
      </c>
      <c r="L767" s="6" t="s">
        <v>1096</v>
      </c>
      <c r="M767" s="6" t="s">
        <v>1114</v>
      </c>
      <c r="N767" s="6" t="s">
        <v>1131</v>
      </c>
      <c r="O767" s="6" t="s">
        <v>1114</v>
      </c>
      <c r="P767" s="6" t="s">
        <v>468</v>
      </c>
      <c r="Q767" s="6"/>
      <c r="R767" s="7" t="n">
        <f aca="false">COUNTIF('Label Map'!$D$2:$D$2000,A767)</f>
        <v>2</v>
      </c>
    </row>
    <row r="768" customFormat="false" ht="15" hidden="false" customHeight="false" outlineLevel="0" collapsed="false">
      <c r="A768" s="6" t="s">
        <v>1132</v>
      </c>
      <c r="B768" s="6" t="s">
        <v>11</v>
      </c>
      <c r="C768" s="6" t="s">
        <v>3</v>
      </c>
      <c r="D768" s="6" t="s">
        <v>614</v>
      </c>
      <c r="E768" s="6" t="s">
        <v>1096</v>
      </c>
      <c r="F768" s="6" t="s">
        <v>1128</v>
      </c>
      <c r="G768" s="6" t="s">
        <v>1129</v>
      </c>
      <c r="H768" s="6" t="s">
        <v>1132</v>
      </c>
      <c r="I768" s="6"/>
      <c r="J768" s="6" t="s">
        <v>1128</v>
      </c>
      <c r="K768" s="6"/>
      <c r="L768" s="6"/>
      <c r="M768" s="6"/>
      <c r="N768" s="6"/>
      <c r="O768" s="6"/>
      <c r="P768" s="6"/>
      <c r="Q768" s="6" t="s">
        <v>345</v>
      </c>
      <c r="R768" s="7" t="n">
        <f aca="false">COUNTIF('Label Map'!$D$2:$D$2000,A768)</f>
        <v>1</v>
      </c>
    </row>
    <row r="769" customFormat="false" ht="15" hidden="false" customHeight="false" outlineLevel="0" collapsed="false">
      <c r="A769" s="6" t="s">
        <v>1133</v>
      </c>
      <c r="B769" s="6" t="s">
        <v>11</v>
      </c>
      <c r="C769" s="6" t="s">
        <v>3</v>
      </c>
      <c r="D769" s="6" t="s">
        <v>614</v>
      </c>
      <c r="E769" s="6" t="s">
        <v>1096</v>
      </c>
      <c r="F769" s="6" t="s">
        <v>1128</v>
      </c>
      <c r="G769" s="6" t="s">
        <v>1129</v>
      </c>
      <c r="H769" s="6" t="s">
        <v>1133</v>
      </c>
      <c r="I769" s="6"/>
      <c r="J769" s="6" t="s">
        <v>1128</v>
      </c>
      <c r="K769" s="6"/>
      <c r="L769" s="6"/>
      <c r="M769" s="6"/>
      <c r="N769" s="6"/>
      <c r="O769" s="6"/>
      <c r="P769" s="6"/>
      <c r="Q769" s="6" t="s">
        <v>345</v>
      </c>
      <c r="R769" s="7" t="n">
        <f aca="false">COUNTIF('Label Map'!$D$2:$D$2000,A769)</f>
        <v>1</v>
      </c>
    </row>
    <row r="770" customFormat="false" ht="15" hidden="false" customHeight="false" outlineLevel="0" collapsed="false">
      <c r="A770" s="6" t="s">
        <v>1134</v>
      </c>
      <c r="B770" s="6" t="s">
        <v>11</v>
      </c>
      <c r="C770" s="6" t="s">
        <v>3</v>
      </c>
      <c r="D770" s="6" t="s">
        <v>614</v>
      </c>
      <c r="E770" s="6" t="s">
        <v>1096</v>
      </c>
      <c r="F770" s="6" t="s">
        <v>1128</v>
      </c>
      <c r="G770" s="6" t="s">
        <v>1129</v>
      </c>
      <c r="H770" s="6" t="s">
        <v>1134</v>
      </c>
      <c r="I770" s="6"/>
      <c r="J770" s="6" t="s">
        <v>1128</v>
      </c>
      <c r="K770" s="6"/>
      <c r="L770" s="6"/>
      <c r="M770" s="6"/>
      <c r="N770" s="6"/>
      <c r="O770" s="6"/>
      <c r="P770" s="6"/>
      <c r="Q770" s="6" t="s">
        <v>345</v>
      </c>
      <c r="R770" s="7" t="n">
        <f aca="false">COUNTIF('Label Map'!$D$2:$D$2000,A770)</f>
        <v>1</v>
      </c>
    </row>
    <row r="771" customFormat="false" ht="15" hidden="false" customHeight="false" outlineLevel="0" collapsed="false">
      <c r="A771" s="6" t="s">
        <v>1135</v>
      </c>
      <c r="B771" s="6" t="s">
        <v>11</v>
      </c>
      <c r="C771" s="6" t="s">
        <v>3</v>
      </c>
      <c r="D771" s="6" t="s">
        <v>614</v>
      </c>
      <c r="E771" s="6" t="s">
        <v>1096</v>
      </c>
      <c r="F771" s="6" t="s">
        <v>1128</v>
      </c>
      <c r="G771" s="6" t="s">
        <v>1129</v>
      </c>
      <c r="H771" s="6" t="s">
        <v>1135</v>
      </c>
      <c r="I771" s="6"/>
      <c r="J771" s="6" t="s">
        <v>1128</v>
      </c>
      <c r="K771" s="6"/>
      <c r="L771" s="6"/>
      <c r="M771" s="6"/>
      <c r="N771" s="6"/>
      <c r="O771" s="6"/>
      <c r="P771" s="6"/>
      <c r="Q771" s="6" t="s">
        <v>345</v>
      </c>
      <c r="R771" s="7" t="n">
        <f aca="false">COUNTIF('Label Map'!$D$2:$D$2000,A771)</f>
        <v>1</v>
      </c>
    </row>
    <row r="772" customFormat="false" ht="15" hidden="false" customHeight="false" outlineLevel="0" collapsed="false">
      <c r="A772" s="6" t="s">
        <v>1136</v>
      </c>
      <c r="B772" s="6" t="s">
        <v>11</v>
      </c>
      <c r="C772" s="6" t="s">
        <v>3</v>
      </c>
      <c r="D772" s="6" t="s">
        <v>614</v>
      </c>
      <c r="E772" s="6" t="s">
        <v>1096</v>
      </c>
      <c r="F772" s="6" t="s">
        <v>1128</v>
      </c>
      <c r="G772" s="6" t="s">
        <v>1129</v>
      </c>
      <c r="H772" s="6" t="s">
        <v>1136</v>
      </c>
      <c r="I772" s="6"/>
      <c r="J772" s="6" t="s">
        <v>1128</v>
      </c>
      <c r="K772" s="6"/>
      <c r="L772" s="6"/>
      <c r="M772" s="6"/>
      <c r="N772" s="6"/>
      <c r="O772" s="6"/>
      <c r="P772" s="6"/>
      <c r="Q772" s="6" t="s">
        <v>345</v>
      </c>
      <c r="R772" s="7" t="n">
        <f aca="false">COUNTIF('Label Map'!$D$2:$D$2000,A772)</f>
        <v>1</v>
      </c>
    </row>
    <row r="773" customFormat="false" ht="15" hidden="false" customHeight="false" outlineLevel="0" collapsed="false">
      <c r="A773" s="6" t="s">
        <v>1137</v>
      </c>
      <c r="B773" s="6" t="s">
        <v>11</v>
      </c>
      <c r="C773" s="6" t="s">
        <v>3</v>
      </c>
      <c r="D773" s="6" t="s">
        <v>614</v>
      </c>
      <c r="E773" s="6" t="s">
        <v>1096</v>
      </c>
      <c r="F773" s="6" t="s">
        <v>1128</v>
      </c>
      <c r="G773" s="6" t="s">
        <v>1129</v>
      </c>
      <c r="H773" s="6" t="s">
        <v>1137</v>
      </c>
      <c r="I773" s="6"/>
      <c r="J773" s="6" t="s">
        <v>1128</v>
      </c>
      <c r="K773" s="6"/>
      <c r="L773" s="6"/>
      <c r="M773" s="6"/>
      <c r="N773" s="6"/>
      <c r="O773" s="6"/>
      <c r="P773" s="6"/>
      <c r="Q773" s="6" t="s">
        <v>345</v>
      </c>
      <c r="R773" s="7" t="n">
        <f aca="false">COUNTIF('Label Map'!$D$2:$D$2000,A773)</f>
        <v>1</v>
      </c>
    </row>
    <row r="774" customFormat="false" ht="15" hidden="false" customHeight="false" outlineLevel="0" collapsed="false">
      <c r="A774" s="6" t="s">
        <v>1138</v>
      </c>
      <c r="B774" s="6" t="s">
        <v>11</v>
      </c>
      <c r="C774" s="6" t="s">
        <v>3</v>
      </c>
      <c r="D774" s="6" t="s">
        <v>614</v>
      </c>
      <c r="E774" s="6" t="s">
        <v>1096</v>
      </c>
      <c r="F774" s="6" t="s">
        <v>1128</v>
      </c>
      <c r="G774" s="6" t="s">
        <v>1129</v>
      </c>
      <c r="H774" s="6" t="s">
        <v>1138</v>
      </c>
      <c r="I774" s="6"/>
      <c r="J774" s="6" t="s">
        <v>1128</v>
      </c>
      <c r="K774" s="6"/>
      <c r="L774" s="6"/>
      <c r="M774" s="6"/>
      <c r="N774" s="6"/>
      <c r="O774" s="6"/>
      <c r="P774" s="6"/>
      <c r="Q774" s="6" t="s">
        <v>345</v>
      </c>
      <c r="R774" s="7" t="n">
        <f aca="false">COUNTIF('Label Map'!$D$2:$D$2000,A774)</f>
        <v>1</v>
      </c>
    </row>
    <row r="775" customFormat="false" ht="15" hidden="false" customHeight="false" outlineLevel="0" collapsed="false">
      <c r="A775" s="6" t="s">
        <v>1139</v>
      </c>
      <c r="B775" s="6" t="s">
        <v>11</v>
      </c>
      <c r="C775" s="6" t="s">
        <v>3</v>
      </c>
      <c r="D775" s="6" t="s">
        <v>614</v>
      </c>
      <c r="E775" s="6" t="s">
        <v>1096</v>
      </c>
      <c r="F775" s="6" t="s">
        <v>1128</v>
      </c>
      <c r="G775" s="6" t="s">
        <v>1129</v>
      </c>
      <c r="H775" s="6" t="s">
        <v>1139</v>
      </c>
      <c r="I775" s="6"/>
      <c r="J775" s="6" t="s">
        <v>1128</v>
      </c>
      <c r="K775" s="6"/>
      <c r="L775" s="6"/>
      <c r="M775" s="6"/>
      <c r="N775" s="6"/>
      <c r="O775" s="6"/>
      <c r="P775" s="6"/>
      <c r="Q775" s="6" t="s">
        <v>345</v>
      </c>
      <c r="R775" s="7" t="n">
        <f aca="false">COUNTIF('Label Map'!$D$2:$D$2000,A775)</f>
        <v>1</v>
      </c>
    </row>
    <row r="776" customFormat="false" ht="15" hidden="false" customHeight="false" outlineLevel="0" collapsed="false">
      <c r="A776" s="6" t="s">
        <v>1140</v>
      </c>
      <c r="B776" s="6" t="s">
        <v>11</v>
      </c>
      <c r="C776" s="6" t="s">
        <v>3</v>
      </c>
      <c r="D776" s="6" t="s">
        <v>614</v>
      </c>
      <c r="E776" s="6" t="s">
        <v>1096</v>
      </c>
      <c r="F776" s="6" t="s">
        <v>1128</v>
      </c>
      <c r="G776" s="6" t="s">
        <v>1129</v>
      </c>
      <c r="H776" s="6" t="s">
        <v>1140</v>
      </c>
      <c r="I776" s="6"/>
      <c r="J776" s="6" t="s">
        <v>1128</v>
      </c>
      <c r="K776" s="6"/>
      <c r="L776" s="6"/>
      <c r="M776" s="6"/>
      <c r="N776" s="6"/>
      <c r="O776" s="6"/>
      <c r="P776" s="6"/>
      <c r="Q776" s="6" t="s">
        <v>345</v>
      </c>
      <c r="R776" s="7" t="n">
        <f aca="false">COUNTIF('Label Map'!$D$2:$D$2000,A776)</f>
        <v>1</v>
      </c>
    </row>
    <row r="777" customFormat="false" ht="15" hidden="false" customHeight="false" outlineLevel="0" collapsed="false">
      <c r="A777" s="6" t="s">
        <v>1141</v>
      </c>
      <c r="B777" s="6" t="s">
        <v>11</v>
      </c>
      <c r="C777" s="6" t="s">
        <v>3</v>
      </c>
      <c r="D777" s="6" t="s">
        <v>614</v>
      </c>
      <c r="E777" s="6" t="s">
        <v>1096</v>
      </c>
      <c r="F777" s="6" t="s">
        <v>1128</v>
      </c>
      <c r="G777" s="6" t="s">
        <v>1129</v>
      </c>
      <c r="H777" s="6" t="s">
        <v>1141</v>
      </c>
      <c r="I777" s="6"/>
      <c r="J777" s="6" t="s">
        <v>1128</v>
      </c>
      <c r="K777" s="6"/>
      <c r="L777" s="6"/>
      <c r="M777" s="6"/>
      <c r="N777" s="6"/>
      <c r="O777" s="6"/>
      <c r="P777" s="6"/>
      <c r="Q777" s="6" t="s">
        <v>345</v>
      </c>
      <c r="R777" s="7" t="n">
        <f aca="false">COUNTIF('Label Map'!$D$2:$D$2000,A777)</f>
        <v>1</v>
      </c>
    </row>
    <row r="778" customFormat="false" ht="15" hidden="false" customHeight="false" outlineLevel="0" collapsed="false">
      <c r="A778" s="6" t="s">
        <v>1142</v>
      </c>
      <c r="B778" s="6" t="s">
        <v>11</v>
      </c>
      <c r="C778" s="6" t="s">
        <v>3</v>
      </c>
      <c r="D778" s="6" t="s">
        <v>614</v>
      </c>
      <c r="E778" s="6" t="s">
        <v>1096</v>
      </c>
      <c r="F778" s="6" t="s">
        <v>1128</v>
      </c>
      <c r="G778" s="6" t="s">
        <v>1129</v>
      </c>
      <c r="H778" s="6" t="s">
        <v>1142</v>
      </c>
      <c r="I778" s="6"/>
      <c r="J778" s="6" t="s">
        <v>1128</v>
      </c>
      <c r="K778" s="6"/>
      <c r="L778" s="6"/>
      <c r="M778" s="6"/>
      <c r="N778" s="6"/>
      <c r="O778" s="6"/>
      <c r="P778" s="6"/>
      <c r="Q778" s="6" t="s">
        <v>345</v>
      </c>
      <c r="R778" s="7" t="n">
        <f aca="false">COUNTIF('Label Map'!$D$2:$D$2000,A778)</f>
        <v>1</v>
      </c>
    </row>
    <row r="779" customFormat="false" ht="15" hidden="false" customHeight="false" outlineLevel="0" collapsed="false">
      <c r="A779" s="6" t="s">
        <v>1143</v>
      </c>
      <c r="B779" s="6" t="s">
        <v>11</v>
      </c>
      <c r="C779" s="6" t="s">
        <v>3</v>
      </c>
      <c r="D779" s="6" t="s">
        <v>614</v>
      </c>
      <c r="E779" s="6" t="s">
        <v>1096</v>
      </c>
      <c r="F779" s="6" t="s">
        <v>1128</v>
      </c>
      <c r="G779" s="6" t="s">
        <v>1129</v>
      </c>
      <c r="H779" s="6" t="s">
        <v>1143</v>
      </c>
      <c r="I779" s="6"/>
      <c r="J779" s="6" t="s">
        <v>1128</v>
      </c>
      <c r="K779" s="6"/>
      <c r="L779" s="6"/>
      <c r="M779" s="6"/>
      <c r="N779" s="6"/>
      <c r="O779" s="6"/>
      <c r="P779" s="6"/>
      <c r="Q779" s="6" t="s">
        <v>345</v>
      </c>
      <c r="R779" s="7" t="n">
        <f aca="false">COUNTIF('Label Map'!$D$2:$D$2000,A779)</f>
        <v>1</v>
      </c>
    </row>
    <row r="780" customFormat="false" ht="15" hidden="false" customHeight="false" outlineLevel="0" collapsed="false">
      <c r="A780" s="6" t="s">
        <v>1144</v>
      </c>
      <c r="B780" s="6" t="s">
        <v>11</v>
      </c>
      <c r="C780" s="6" t="s">
        <v>3</v>
      </c>
      <c r="D780" s="6" t="s">
        <v>614</v>
      </c>
      <c r="E780" s="6" t="s">
        <v>1096</v>
      </c>
      <c r="F780" s="6" t="s">
        <v>1128</v>
      </c>
      <c r="G780" s="6" t="s">
        <v>1129</v>
      </c>
      <c r="H780" s="6" t="s">
        <v>1144</v>
      </c>
      <c r="I780" s="6"/>
      <c r="J780" s="6" t="s">
        <v>1128</v>
      </c>
      <c r="K780" s="6"/>
      <c r="L780" s="6"/>
      <c r="M780" s="6"/>
      <c r="N780" s="6"/>
      <c r="O780" s="6"/>
      <c r="P780" s="6"/>
      <c r="Q780" s="6" t="s">
        <v>345</v>
      </c>
      <c r="R780" s="7" t="n">
        <f aca="false">COUNTIF('Label Map'!$D$2:$D$2000,A780)</f>
        <v>1</v>
      </c>
    </row>
    <row r="781" customFormat="false" ht="15" hidden="false" customHeight="false" outlineLevel="0" collapsed="false">
      <c r="A781" s="6" t="s">
        <v>1145</v>
      </c>
      <c r="B781" s="6" t="s">
        <v>11</v>
      </c>
      <c r="C781" s="6" t="s">
        <v>3</v>
      </c>
      <c r="D781" s="6" t="s">
        <v>614</v>
      </c>
      <c r="E781" s="6" t="s">
        <v>1096</v>
      </c>
      <c r="F781" s="6" t="s">
        <v>1128</v>
      </c>
      <c r="G781" s="6" t="s">
        <v>1129</v>
      </c>
      <c r="H781" s="6" t="s">
        <v>1145</v>
      </c>
      <c r="I781" s="6"/>
      <c r="J781" s="6" t="s">
        <v>1128</v>
      </c>
      <c r="K781" s="6"/>
      <c r="L781" s="6"/>
      <c r="M781" s="6"/>
      <c r="N781" s="6"/>
      <c r="O781" s="6"/>
      <c r="P781" s="6"/>
      <c r="Q781" s="6" t="s">
        <v>345</v>
      </c>
      <c r="R781" s="7" t="n">
        <f aca="false">COUNTIF('Label Map'!$D$2:$D$2000,A781)</f>
        <v>1</v>
      </c>
    </row>
    <row r="782" customFormat="false" ht="15" hidden="false" customHeight="false" outlineLevel="0" collapsed="false">
      <c r="A782" s="6" t="s">
        <v>1146</v>
      </c>
      <c r="B782" s="6" t="s">
        <v>11</v>
      </c>
      <c r="C782" s="6" t="s">
        <v>3</v>
      </c>
      <c r="D782" s="6" t="s">
        <v>614</v>
      </c>
      <c r="E782" s="6" t="s">
        <v>1096</v>
      </c>
      <c r="F782" s="6" t="s">
        <v>1128</v>
      </c>
      <c r="G782" s="6" t="s">
        <v>1129</v>
      </c>
      <c r="H782" s="6" t="s">
        <v>1146</v>
      </c>
      <c r="I782" s="6"/>
      <c r="J782" s="6" t="s">
        <v>1128</v>
      </c>
      <c r="K782" s="6"/>
      <c r="L782" s="6"/>
      <c r="M782" s="6"/>
      <c r="N782" s="6"/>
      <c r="O782" s="6"/>
      <c r="P782" s="6"/>
      <c r="Q782" s="6" t="s">
        <v>1147</v>
      </c>
      <c r="R782" s="7" t="n">
        <f aca="false">COUNTIF('Label Map'!$D$2:$D$2000,A782)</f>
        <v>2</v>
      </c>
    </row>
    <row r="783" customFormat="false" ht="15" hidden="false" customHeight="false" outlineLevel="0" collapsed="false">
      <c r="A783" s="6" t="s">
        <v>1148</v>
      </c>
      <c r="B783" s="6" t="s">
        <v>11</v>
      </c>
      <c r="C783" s="6" t="s">
        <v>3</v>
      </c>
      <c r="D783" s="6" t="s">
        <v>614</v>
      </c>
      <c r="E783" s="6" t="s">
        <v>1096</v>
      </c>
      <c r="F783" s="6" t="s">
        <v>1128</v>
      </c>
      <c r="G783" s="6" t="s">
        <v>1129</v>
      </c>
      <c r="H783" s="6" t="s">
        <v>1148</v>
      </c>
      <c r="I783" s="6"/>
      <c r="J783" s="6" t="s">
        <v>1128</v>
      </c>
      <c r="K783" s="6"/>
      <c r="L783" s="6"/>
      <c r="M783" s="6"/>
      <c r="N783" s="6"/>
      <c r="O783" s="6"/>
      <c r="P783" s="6"/>
      <c r="Q783" s="6" t="s">
        <v>345</v>
      </c>
      <c r="R783" s="7" t="n">
        <f aca="false">COUNTIF('Label Map'!$D$2:$D$2000,A783)</f>
        <v>1</v>
      </c>
    </row>
    <row r="784" customFormat="false" ht="15" hidden="false" customHeight="false" outlineLevel="0" collapsed="false">
      <c r="A784" s="6" t="s">
        <v>1149</v>
      </c>
      <c r="B784" s="6" t="s">
        <v>11</v>
      </c>
      <c r="C784" s="6" t="s">
        <v>3</v>
      </c>
      <c r="D784" s="6" t="s">
        <v>614</v>
      </c>
      <c r="E784" s="6" t="s">
        <v>1096</v>
      </c>
      <c r="F784" s="6" t="s">
        <v>1128</v>
      </c>
      <c r="G784" s="6" t="s">
        <v>1129</v>
      </c>
      <c r="H784" s="6" t="s">
        <v>1149</v>
      </c>
      <c r="I784" s="6"/>
      <c r="J784" s="6" t="s">
        <v>1128</v>
      </c>
      <c r="K784" s="6"/>
      <c r="L784" s="6"/>
      <c r="M784" s="6"/>
      <c r="N784" s="6"/>
      <c r="O784" s="6"/>
      <c r="P784" s="6"/>
      <c r="Q784" s="6" t="s">
        <v>345</v>
      </c>
      <c r="R784" s="7" t="n">
        <f aca="false">COUNTIF('Label Map'!$D$2:$D$2000,A784)</f>
        <v>1</v>
      </c>
    </row>
    <row r="785" customFormat="false" ht="15" hidden="false" customHeight="false" outlineLevel="0" collapsed="false">
      <c r="A785" s="6" t="s">
        <v>1150</v>
      </c>
      <c r="B785" s="6" t="s">
        <v>11</v>
      </c>
      <c r="C785" s="6" t="s">
        <v>3</v>
      </c>
      <c r="D785" s="6" t="s">
        <v>614</v>
      </c>
      <c r="E785" s="6" t="s">
        <v>1096</v>
      </c>
      <c r="F785" s="6" t="s">
        <v>1128</v>
      </c>
      <c r="G785" s="6" t="s">
        <v>1129</v>
      </c>
      <c r="H785" s="6" t="s">
        <v>1150</v>
      </c>
      <c r="I785" s="6"/>
      <c r="J785" s="6" t="s">
        <v>1128</v>
      </c>
      <c r="K785" s="6"/>
      <c r="L785" s="6"/>
      <c r="M785" s="6"/>
      <c r="N785" s="6"/>
      <c r="O785" s="6"/>
      <c r="P785" s="6"/>
      <c r="Q785" s="6" t="s">
        <v>345</v>
      </c>
      <c r="R785" s="7" t="n">
        <f aca="false">COUNTIF('Label Map'!$D$2:$D$2000,A785)</f>
        <v>1</v>
      </c>
    </row>
    <row r="786" customFormat="false" ht="15" hidden="false" customHeight="false" outlineLevel="0" collapsed="false">
      <c r="A786" s="6" t="s">
        <v>1151</v>
      </c>
      <c r="B786" s="6" t="s">
        <v>11</v>
      </c>
      <c r="C786" s="6" t="s">
        <v>3</v>
      </c>
      <c r="D786" s="6" t="s">
        <v>614</v>
      </c>
      <c r="E786" s="6" t="s">
        <v>1096</v>
      </c>
      <c r="F786" s="6" t="s">
        <v>1128</v>
      </c>
      <c r="G786" s="6" t="s">
        <v>1129</v>
      </c>
      <c r="H786" s="6" t="s">
        <v>1151</v>
      </c>
      <c r="I786" s="6"/>
      <c r="J786" s="6" t="s">
        <v>1128</v>
      </c>
      <c r="K786" s="6"/>
      <c r="L786" s="6"/>
      <c r="M786" s="6"/>
      <c r="N786" s="6"/>
      <c r="O786" s="6"/>
      <c r="P786" s="6"/>
      <c r="Q786" s="6" t="s">
        <v>345</v>
      </c>
      <c r="R786" s="7" t="n">
        <f aca="false">COUNTIF('Label Map'!$D$2:$D$2000,A786)</f>
        <v>1</v>
      </c>
    </row>
    <row r="787" customFormat="false" ht="15" hidden="false" customHeight="false" outlineLevel="0" collapsed="false">
      <c r="A787" s="6" t="s">
        <v>1152</v>
      </c>
      <c r="B787" s="6" t="s">
        <v>11</v>
      </c>
      <c r="C787" s="6" t="s">
        <v>3</v>
      </c>
      <c r="D787" s="6" t="s">
        <v>614</v>
      </c>
      <c r="E787" s="6" t="s">
        <v>1096</v>
      </c>
      <c r="F787" s="6" t="s">
        <v>1128</v>
      </c>
      <c r="G787" s="6" t="s">
        <v>1129</v>
      </c>
      <c r="H787" s="6" t="s">
        <v>1152</v>
      </c>
      <c r="I787" s="6"/>
      <c r="J787" s="6" t="s">
        <v>1128</v>
      </c>
      <c r="K787" s="6"/>
      <c r="L787" s="6"/>
      <c r="M787" s="6"/>
      <c r="N787" s="6"/>
      <c r="O787" s="6"/>
      <c r="P787" s="6"/>
      <c r="Q787" s="6" t="s">
        <v>345</v>
      </c>
      <c r="R787" s="7" t="n">
        <f aca="false">COUNTIF('Label Map'!$D$2:$D$2000,A787)</f>
        <v>1</v>
      </c>
    </row>
    <row r="788" customFormat="false" ht="15" hidden="false" customHeight="false" outlineLevel="0" collapsed="false">
      <c r="A788" s="6" t="s">
        <v>1153</v>
      </c>
      <c r="B788" s="6" t="s">
        <v>11</v>
      </c>
      <c r="C788" s="6" t="s">
        <v>3</v>
      </c>
      <c r="D788" s="6" t="s">
        <v>614</v>
      </c>
      <c r="E788" s="6" t="s">
        <v>1096</v>
      </c>
      <c r="F788" s="6" t="s">
        <v>1128</v>
      </c>
      <c r="G788" s="6" t="s">
        <v>1129</v>
      </c>
      <c r="H788" s="6" t="s">
        <v>1153</v>
      </c>
      <c r="I788" s="6"/>
      <c r="J788" s="6" t="s">
        <v>1128</v>
      </c>
      <c r="K788" s="6"/>
      <c r="L788" s="6"/>
      <c r="M788" s="6"/>
      <c r="N788" s="6"/>
      <c r="O788" s="6"/>
      <c r="P788" s="6"/>
      <c r="Q788" s="6" t="s">
        <v>345</v>
      </c>
      <c r="R788" s="7" t="n">
        <f aca="false">COUNTIF('Label Map'!$D$2:$D$2000,A788)</f>
        <v>1</v>
      </c>
    </row>
    <row r="789" customFormat="false" ht="15" hidden="false" customHeight="false" outlineLevel="0" collapsed="false">
      <c r="A789" s="6" t="s">
        <v>1154</v>
      </c>
      <c r="B789" s="6" t="s">
        <v>11</v>
      </c>
      <c r="C789" s="6" t="s">
        <v>3</v>
      </c>
      <c r="D789" s="6" t="s">
        <v>614</v>
      </c>
      <c r="E789" s="6" t="s">
        <v>1096</v>
      </c>
      <c r="F789" s="6" t="s">
        <v>1128</v>
      </c>
      <c r="G789" s="6" t="s">
        <v>1129</v>
      </c>
      <c r="H789" s="6" t="s">
        <v>1154</v>
      </c>
      <c r="I789" s="6"/>
      <c r="J789" s="6" t="s">
        <v>1128</v>
      </c>
      <c r="K789" s="6"/>
      <c r="L789" s="6"/>
      <c r="M789" s="6"/>
      <c r="N789" s="6"/>
      <c r="O789" s="6"/>
      <c r="P789" s="6"/>
      <c r="Q789" s="6" t="s">
        <v>345</v>
      </c>
      <c r="R789" s="7" t="n">
        <f aca="false">COUNTIF('Label Map'!$D$2:$D$2000,A789)</f>
        <v>1</v>
      </c>
    </row>
    <row r="790" customFormat="false" ht="15" hidden="false" customHeight="false" outlineLevel="0" collapsed="false">
      <c r="A790" s="6" t="s">
        <v>1155</v>
      </c>
      <c r="B790" s="6" t="s">
        <v>11</v>
      </c>
      <c r="C790" s="6" t="s">
        <v>3</v>
      </c>
      <c r="D790" s="6" t="s">
        <v>614</v>
      </c>
      <c r="E790" s="6" t="s">
        <v>1096</v>
      </c>
      <c r="F790" s="6" t="s">
        <v>1128</v>
      </c>
      <c r="G790" s="6" t="s">
        <v>1129</v>
      </c>
      <c r="H790" s="6" t="s">
        <v>1155</v>
      </c>
      <c r="I790" s="6"/>
      <c r="J790" s="6" t="s">
        <v>1128</v>
      </c>
      <c r="K790" s="6"/>
      <c r="L790" s="6"/>
      <c r="M790" s="6"/>
      <c r="N790" s="6"/>
      <c r="O790" s="6"/>
      <c r="P790" s="6"/>
      <c r="Q790" s="6" t="s">
        <v>345</v>
      </c>
      <c r="R790" s="7" t="n">
        <f aca="false">COUNTIF('Label Map'!$D$2:$D$2000,A790)</f>
        <v>1</v>
      </c>
    </row>
    <row r="791" customFormat="false" ht="15" hidden="false" customHeight="false" outlineLevel="0" collapsed="false">
      <c r="A791" s="6" t="s">
        <v>1156</v>
      </c>
      <c r="B791" s="6" t="s">
        <v>11</v>
      </c>
      <c r="C791" s="6" t="s">
        <v>3</v>
      </c>
      <c r="D791" s="6" t="s">
        <v>614</v>
      </c>
      <c r="E791" s="6" t="s">
        <v>1096</v>
      </c>
      <c r="F791" s="6" t="s">
        <v>1128</v>
      </c>
      <c r="G791" s="6" t="s">
        <v>1129</v>
      </c>
      <c r="H791" s="6" t="s">
        <v>1156</v>
      </c>
      <c r="I791" s="6"/>
      <c r="J791" s="6" t="s">
        <v>1128</v>
      </c>
      <c r="K791" s="6"/>
      <c r="L791" s="6"/>
      <c r="M791" s="6"/>
      <c r="N791" s="6"/>
      <c r="O791" s="6"/>
      <c r="P791" s="6"/>
      <c r="Q791" s="6" t="s">
        <v>345</v>
      </c>
      <c r="R791" s="7" t="n">
        <f aca="false">COUNTIF('Label Map'!$D$2:$D$2000,A791)</f>
        <v>1</v>
      </c>
    </row>
    <row r="792" customFormat="false" ht="15" hidden="false" customHeight="false" outlineLevel="0" collapsed="false">
      <c r="A792" s="6" t="s">
        <v>1157</v>
      </c>
      <c r="B792" s="6" t="s">
        <v>11</v>
      </c>
      <c r="C792" s="6" t="s">
        <v>3</v>
      </c>
      <c r="D792" s="6" t="s">
        <v>614</v>
      </c>
      <c r="E792" s="6" t="s">
        <v>1096</v>
      </c>
      <c r="F792" s="6" t="s">
        <v>1128</v>
      </c>
      <c r="G792" s="6" t="s">
        <v>1129</v>
      </c>
      <c r="H792" s="6" t="s">
        <v>1157</v>
      </c>
      <c r="I792" s="6"/>
      <c r="J792" s="6" t="s">
        <v>1128</v>
      </c>
      <c r="K792" s="6"/>
      <c r="L792" s="6"/>
      <c r="M792" s="6"/>
      <c r="N792" s="6"/>
      <c r="O792" s="6"/>
      <c r="P792" s="6"/>
      <c r="Q792" s="6" t="s">
        <v>345</v>
      </c>
      <c r="R792" s="7" t="n">
        <f aca="false">COUNTIF('Label Map'!$D$2:$D$2000,A792)</f>
        <v>1</v>
      </c>
    </row>
    <row r="793" customFormat="false" ht="15" hidden="false" customHeight="false" outlineLevel="0" collapsed="false">
      <c r="A793" s="6" t="s">
        <v>1158</v>
      </c>
      <c r="B793" s="6" t="s">
        <v>11</v>
      </c>
      <c r="C793" s="6" t="s">
        <v>3</v>
      </c>
      <c r="D793" s="6" t="s">
        <v>614</v>
      </c>
      <c r="E793" s="6" t="s">
        <v>1096</v>
      </c>
      <c r="F793" s="6" t="s">
        <v>1128</v>
      </c>
      <c r="G793" s="6" t="s">
        <v>1129</v>
      </c>
      <c r="H793" s="6" t="s">
        <v>1158</v>
      </c>
      <c r="I793" s="6"/>
      <c r="J793" s="6" t="s">
        <v>1128</v>
      </c>
      <c r="K793" s="6"/>
      <c r="L793" s="6"/>
      <c r="M793" s="6"/>
      <c r="N793" s="6"/>
      <c r="O793" s="6"/>
      <c r="P793" s="6"/>
      <c r="Q793" s="6" t="s">
        <v>345</v>
      </c>
      <c r="R793" s="7" t="n">
        <f aca="false">COUNTIF('Label Map'!$D$2:$D$2000,A793)</f>
        <v>1</v>
      </c>
    </row>
    <row r="794" customFormat="false" ht="15" hidden="false" customHeight="false" outlineLevel="0" collapsed="false">
      <c r="A794" s="6" t="s">
        <v>1159</v>
      </c>
      <c r="B794" s="6" t="s">
        <v>11</v>
      </c>
      <c r="C794" s="6" t="s">
        <v>3</v>
      </c>
      <c r="D794" s="6" t="s">
        <v>614</v>
      </c>
      <c r="E794" s="6" t="s">
        <v>1096</v>
      </c>
      <c r="F794" s="6" t="s">
        <v>1128</v>
      </c>
      <c r="G794" s="6" t="s">
        <v>1129</v>
      </c>
      <c r="H794" s="6" t="s">
        <v>1159</v>
      </c>
      <c r="I794" s="6"/>
      <c r="J794" s="6" t="s">
        <v>1128</v>
      </c>
      <c r="K794" s="6"/>
      <c r="L794" s="6"/>
      <c r="M794" s="6"/>
      <c r="N794" s="6"/>
      <c r="O794" s="6"/>
      <c r="P794" s="6"/>
      <c r="Q794" s="6" t="s">
        <v>345</v>
      </c>
      <c r="R794" s="7" t="n">
        <f aca="false">COUNTIF('Label Map'!$D$2:$D$2000,A794)</f>
        <v>1</v>
      </c>
    </row>
    <row r="795" customFormat="false" ht="15" hidden="false" customHeight="false" outlineLevel="0" collapsed="false">
      <c r="A795" s="6" t="s">
        <v>1160</v>
      </c>
      <c r="B795" s="6" t="s">
        <v>11</v>
      </c>
      <c r="C795" s="6" t="s">
        <v>3</v>
      </c>
      <c r="D795" s="6" t="s">
        <v>614</v>
      </c>
      <c r="E795" s="6" t="s">
        <v>1096</v>
      </c>
      <c r="F795" s="6" t="s">
        <v>1128</v>
      </c>
      <c r="G795" s="6" t="s">
        <v>1129</v>
      </c>
      <c r="H795" s="6" t="s">
        <v>1160</v>
      </c>
      <c r="I795" s="6"/>
      <c r="J795" s="6" t="s">
        <v>1128</v>
      </c>
      <c r="K795" s="6"/>
      <c r="L795" s="6"/>
      <c r="M795" s="6"/>
      <c r="N795" s="6"/>
      <c r="O795" s="6"/>
      <c r="P795" s="6"/>
      <c r="Q795" s="6" t="s">
        <v>345</v>
      </c>
      <c r="R795" s="7" t="n">
        <f aca="false">COUNTIF('Label Map'!$D$2:$D$2000,A795)</f>
        <v>1</v>
      </c>
    </row>
    <row r="796" customFormat="false" ht="15" hidden="false" customHeight="false" outlineLevel="0" collapsed="false">
      <c r="A796" s="6" t="s">
        <v>1161</v>
      </c>
      <c r="B796" s="6" t="s">
        <v>11</v>
      </c>
      <c r="C796" s="6" t="s">
        <v>3</v>
      </c>
      <c r="D796" s="6" t="s">
        <v>614</v>
      </c>
      <c r="E796" s="6" t="s">
        <v>1096</v>
      </c>
      <c r="F796" s="6" t="s">
        <v>1128</v>
      </c>
      <c r="G796" s="6" t="s">
        <v>1129</v>
      </c>
      <c r="H796" s="6" t="s">
        <v>1161</v>
      </c>
      <c r="I796" s="6"/>
      <c r="J796" s="6" t="s">
        <v>1128</v>
      </c>
      <c r="K796" s="6"/>
      <c r="L796" s="6"/>
      <c r="M796" s="6"/>
      <c r="N796" s="6"/>
      <c r="O796" s="6"/>
      <c r="P796" s="6"/>
      <c r="Q796" s="6" t="s">
        <v>345</v>
      </c>
      <c r="R796" s="7" t="n">
        <f aca="false">COUNTIF('Label Map'!$D$2:$D$2000,A796)</f>
        <v>1</v>
      </c>
    </row>
    <row r="797" customFormat="false" ht="15" hidden="false" customHeight="false" outlineLevel="0" collapsed="false">
      <c r="A797" s="6" t="s">
        <v>1162</v>
      </c>
      <c r="B797" s="6" t="s">
        <v>11</v>
      </c>
      <c r="C797" s="6" t="s">
        <v>3</v>
      </c>
      <c r="D797" s="6" t="s">
        <v>614</v>
      </c>
      <c r="E797" s="6" t="s">
        <v>1096</v>
      </c>
      <c r="F797" s="6" t="s">
        <v>1128</v>
      </c>
      <c r="G797" s="6" t="s">
        <v>1129</v>
      </c>
      <c r="H797" s="6" t="s">
        <v>1162</v>
      </c>
      <c r="I797" s="6"/>
      <c r="J797" s="6" t="s">
        <v>1128</v>
      </c>
      <c r="K797" s="6"/>
      <c r="L797" s="6"/>
      <c r="M797" s="6"/>
      <c r="N797" s="6"/>
      <c r="O797" s="6"/>
      <c r="P797" s="6"/>
      <c r="Q797" s="6" t="s">
        <v>345</v>
      </c>
      <c r="R797" s="7" t="n">
        <f aca="false">COUNTIF('Label Map'!$D$2:$D$2000,A797)</f>
        <v>1</v>
      </c>
    </row>
    <row r="798" customFormat="false" ht="15" hidden="false" customHeight="false" outlineLevel="0" collapsed="false">
      <c r="A798" s="6" t="s">
        <v>1163</v>
      </c>
      <c r="B798" s="6" t="s">
        <v>11</v>
      </c>
      <c r="C798" s="6" t="s">
        <v>3</v>
      </c>
      <c r="D798" s="6" t="s">
        <v>614</v>
      </c>
      <c r="E798" s="6" t="s">
        <v>1096</v>
      </c>
      <c r="F798" s="6" t="s">
        <v>1128</v>
      </c>
      <c r="G798" s="6" t="s">
        <v>1129</v>
      </c>
      <c r="H798" s="6" t="s">
        <v>1163</v>
      </c>
      <c r="I798" s="6"/>
      <c r="J798" s="6" t="s">
        <v>1128</v>
      </c>
      <c r="K798" s="6"/>
      <c r="L798" s="6"/>
      <c r="M798" s="6"/>
      <c r="N798" s="6"/>
      <c r="O798" s="6"/>
      <c r="P798" s="6"/>
      <c r="Q798" s="6" t="s">
        <v>345</v>
      </c>
      <c r="R798" s="7" t="n">
        <f aca="false">COUNTIF('Label Map'!$D$2:$D$2000,A798)</f>
        <v>1</v>
      </c>
    </row>
    <row r="799" customFormat="false" ht="15" hidden="false" customHeight="false" outlineLevel="0" collapsed="false">
      <c r="A799" s="6" t="s">
        <v>1164</v>
      </c>
      <c r="B799" s="6" t="s">
        <v>11</v>
      </c>
      <c r="C799" s="6" t="s">
        <v>3</v>
      </c>
      <c r="D799" s="6" t="s">
        <v>614</v>
      </c>
      <c r="E799" s="6" t="s">
        <v>1096</v>
      </c>
      <c r="F799" s="6" t="s">
        <v>1128</v>
      </c>
      <c r="G799" s="6" t="s">
        <v>1129</v>
      </c>
      <c r="H799" s="6" t="s">
        <v>1164</v>
      </c>
      <c r="I799" s="6"/>
      <c r="J799" s="6" t="s">
        <v>1128</v>
      </c>
      <c r="K799" s="6"/>
      <c r="L799" s="6"/>
      <c r="M799" s="6"/>
      <c r="N799" s="6"/>
      <c r="O799" s="6"/>
      <c r="P799" s="6"/>
      <c r="Q799" s="6" t="s">
        <v>345</v>
      </c>
      <c r="R799" s="7" t="n">
        <f aca="false">COUNTIF('Label Map'!$D$2:$D$2000,A799)</f>
        <v>1</v>
      </c>
    </row>
    <row r="800" customFormat="false" ht="15" hidden="false" customHeight="false" outlineLevel="0" collapsed="false">
      <c r="A800" s="6" t="s">
        <v>1165</v>
      </c>
      <c r="B800" s="6" t="s">
        <v>11</v>
      </c>
      <c r="C800" s="6" t="s">
        <v>3</v>
      </c>
      <c r="D800" s="6" t="s">
        <v>614</v>
      </c>
      <c r="E800" s="6" t="s">
        <v>1096</v>
      </c>
      <c r="F800" s="6" t="s">
        <v>1128</v>
      </c>
      <c r="G800" s="6" t="s">
        <v>1129</v>
      </c>
      <c r="H800" s="6" t="s">
        <v>1165</v>
      </c>
      <c r="I800" s="6"/>
      <c r="J800" s="6" t="s">
        <v>1128</v>
      </c>
      <c r="K800" s="6"/>
      <c r="L800" s="6"/>
      <c r="M800" s="6"/>
      <c r="N800" s="6"/>
      <c r="O800" s="6"/>
      <c r="P800" s="6"/>
      <c r="Q800" s="6" t="s">
        <v>345</v>
      </c>
      <c r="R800" s="7" t="n">
        <f aca="false">COUNTIF('Label Map'!$D$2:$D$2000,A800)</f>
        <v>1</v>
      </c>
    </row>
    <row r="801" customFormat="false" ht="15" hidden="false" customHeight="false" outlineLevel="0" collapsed="false">
      <c r="A801" s="6" t="s">
        <v>1166</v>
      </c>
      <c r="B801" s="6" t="s">
        <v>11</v>
      </c>
      <c r="C801" s="6" t="s">
        <v>3</v>
      </c>
      <c r="D801" s="6" t="s">
        <v>614</v>
      </c>
      <c r="E801" s="6" t="s">
        <v>1096</v>
      </c>
      <c r="F801" s="6" t="s">
        <v>1128</v>
      </c>
      <c r="G801" s="6" t="s">
        <v>1129</v>
      </c>
      <c r="H801" s="6" t="s">
        <v>1166</v>
      </c>
      <c r="I801" s="6"/>
      <c r="J801" s="6" t="s">
        <v>1128</v>
      </c>
      <c r="K801" s="6"/>
      <c r="L801" s="6"/>
      <c r="M801" s="6"/>
      <c r="N801" s="6"/>
      <c r="O801" s="6"/>
      <c r="P801" s="6"/>
      <c r="Q801" s="6" t="s">
        <v>345</v>
      </c>
      <c r="R801" s="7" t="n">
        <f aca="false">COUNTIF('Label Map'!$D$2:$D$2000,A801)</f>
        <v>1</v>
      </c>
    </row>
    <row r="802" customFormat="false" ht="15" hidden="false" customHeight="false" outlineLevel="0" collapsed="false">
      <c r="A802" s="6" t="s">
        <v>1167</v>
      </c>
      <c r="B802" s="6" t="s">
        <v>11</v>
      </c>
      <c r="C802" s="6" t="s">
        <v>3</v>
      </c>
      <c r="D802" s="6" t="s">
        <v>614</v>
      </c>
      <c r="E802" s="6" t="s">
        <v>1096</v>
      </c>
      <c r="F802" s="6" t="s">
        <v>1128</v>
      </c>
      <c r="G802" s="6" t="s">
        <v>1129</v>
      </c>
      <c r="H802" s="6" t="s">
        <v>1167</v>
      </c>
      <c r="I802" s="6"/>
      <c r="J802" s="6" t="s">
        <v>1128</v>
      </c>
      <c r="K802" s="6"/>
      <c r="L802" s="6"/>
      <c r="M802" s="6"/>
      <c r="N802" s="6"/>
      <c r="O802" s="6"/>
      <c r="P802" s="6"/>
      <c r="Q802" s="6" t="s">
        <v>345</v>
      </c>
      <c r="R802" s="7" t="n">
        <f aca="false">COUNTIF('Label Map'!$D$2:$D$2000,A802)</f>
        <v>1</v>
      </c>
    </row>
    <row r="803" customFormat="false" ht="15" hidden="false" customHeight="false" outlineLevel="0" collapsed="false">
      <c r="A803" s="6" t="s">
        <v>1168</v>
      </c>
      <c r="B803" s="6" t="s">
        <v>11</v>
      </c>
      <c r="C803" s="6" t="s">
        <v>3</v>
      </c>
      <c r="D803" s="6" t="s">
        <v>614</v>
      </c>
      <c r="E803" s="6" t="s">
        <v>1096</v>
      </c>
      <c r="F803" s="6" t="s">
        <v>1128</v>
      </c>
      <c r="G803" s="6" t="s">
        <v>1129</v>
      </c>
      <c r="H803" s="6" t="s">
        <v>1168</v>
      </c>
      <c r="I803" s="6"/>
      <c r="J803" s="6" t="s">
        <v>1128</v>
      </c>
      <c r="K803" s="6"/>
      <c r="L803" s="6"/>
      <c r="M803" s="6"/>
      <c r="N803" s="6"/>
      <c r="O803" s="6"/>
      <c r="P803" s="6"/>
      <c r="Q803" s="6" t="s">
        <v>345</v>
      </c>
      <c r="R803" s="7" t="n">
        <f aca="false">COUNTIF('Label Map'!$D$2:$D$2000,A803)</f>
        <v>1</v>
      </c>
    </row>
    <row r="804" customFormat="false" ht="15" hidden="false" customHeight="false" outlineLevel="0" collapsed="false">
      <c r="A804" s="6" t="s">
        <v>1169</v>
      </c>
      <c r="B804" s="6" t="s">
        <v>11</v>
      </c>
      <c r="C804" s="6" t="s">
        <v>3</v>
      </c>
      <c r="D804" s="6" t="s">
        <v>614</v>
      </c>
      <c r="E804" s="6" t="s">
        <v>1096</v>
      </c>
      <c r="F804" s="6" t="s">
        <v>1128</v>
      </c>
      <c r="G804" s="6" t="s">
        <v>1129</v>
      </c>
      <c r="H804" s="6" t="s">
        <v>1169</v>
      </c>
      <c r="I804" s="6"/>
      <c r="J804" s="6" t="s">
        <v>1128</v>
      </c>
      <c r="K804" s="6"/>
      <c r="L804" s="6"/>
      <c r="M804" s="6"/>
      <c r="N804" s="6"/>
      <c r="O804" s="6"/>
      <c r="P804" s="6"/>
      <c r="Q804" s="6" t="s">
        <v>345</v>
      </c>
      <c r="R804" s="7" t="n">
        <f aca="false">COUNTIF('Label Map'!$D$2:$D$2000,A804)</f>
        <v>0</v>
      </c>
    </row>
    <row r="805" customFormat="false" ht="15" hidden="false" customHeight="false" outlineLevel="0" collapsed="false">
      <c r="A805" s="6" t="s">
        <v>1170</v>
      </c>
      <c r="B805" s="6" t="s">
        <v>9</v>
      </c>
      <c r="C805" s="6" t="s">
        <v>3</v>
      </c>
      <c r="D805" s="6" t="s">
        <v>614</v>
      </c>
      <c r="E805" s="6" t="s">
        <v>1096</v>
      </c>
      <c r="F805" s="6" t="s">
        <v>1170</v>
      </c>
      <c r="G805" s="6" t="s">
        <v>1171</v>
      </c>
      <c r="H805" s="6"/>
      <c r="I805" s="6"/>
      <c r="J805" s="6" t="s">
        <v>1096</v>
      </c>
      <c r="K805" s="6" t="s">
        <v>1172</v>
      </c>
      <c r="L805" s="6" t="s">
        <v>1096</v>
      </c>
      <c r="M805" s="6" t="s">
        <v>1173</v>
      </c>
      <c r="N805" s="6"/>
      <c r="O805" s="6" t="s">
        <v>875</v>
      </c>
      <c r="P805" s="6" t="s">
        <v>337</v>
      </c>
      <c r="Q805" s="6"/>
      <c r="R805" s="7" t="n">
        <f aca="false">COUNTIF('Label Map'!$D$2:$D$2000,A805)</f>
        <v>2</v>
      </c>
    </row>
    <row r="806" customFormat="false" ht="15" hidden="false" customHeight="false" outlineLevel="0" collapsed="false">
      <c r="A806" s="6" t="s">
        <v>1174</v>
      </c>
      <c r="B806" s="6" t="s">
        <v>9</v>
      </c>
      <c r="C806" s="6" t="s">
        <v>3</v>
      </c>
      <c r="D806" s="6" t="s">
        <v>614</v>
      </c>
      <c r="E806" s="6" t="s">
        <v>1096</v>
      </c>
      <c r="F806" s="6" t="s">
        <v>1174</v>
      </c>
      <c r="G806" s="6" t="s">
        <v>1175</v>
      </c>
      <c r="H806" s="6"/>
      <c r="I806" s="6"/>
      <c r="J806" s="6" t="s">
        <v>1096</v>
      </c>
      <c r="K806" s="6" t="s">
        <v>1176</v>
      </c>
      <c r="L806" s="6" t="s">
        <v>1096</v>
      </c>
      <c r="M806" s="6" t="s">
        <v>1114</v>
      </c>
      <c r="N806" s="6" t="s">
        <v>1177</v>
      </c>
      <c r="O806" s="6" t="s">
        <v>1114</v>
      </c>
      <c r="P806" s="6" t="s">
        <v>468</v>
      </c>
      <c r="Q806" s="6"/>
      <c r="R806" s="7" t="n">
        <f aca="false">COUNTIF('Label Map'!$D$2:$D$2000,A806)</f>
        <v>2</v>
      </c>
    </row>
    <row r="807" customFormat="false" ht="15" hidden="false" customHeight="false" outlineLevel="0" collapsed="false">
      <c r="A807" s="6" t="s">
        <v>1178</v>
      </c>
      <c r="B807" s="6" t="s">
        <v>9</v>
      </c>
      <c r="C807" s="6" t="s">
        <v>3</v>
      </c>
      <c r="D807" s="6" t="s">
        <v>614</v>
      </c>
      <c r="E807" s="6" t="s">
        <v>1096</v>
      </c>
      <c r="F807" s="6" t="s">
        <v>1178</v>
      </c>
      <c r="G807" s="6" t="s">
        <v>1179</v>
      </c>
      <c r="H807" s="6"/>
      <c r="I807" s="6"/>
      <c r="J807" s="6" t="s">
        <v>1096</v>
      </c>
      <c r="K807" s="6" t="s">
        <v>1180</v>
      </c>
      <c r="L807" s="6" t="s">
        <v>1096</v>
      </c>
      <c r="M807" s="6" t="s">
        <v>1114</v>
      </c>
      <c r="N807" s="6" t="s">
        <v>1131</v>
      </c>
      <c r="O807" s="6" t="s">
        <v>1114</v>
      </c>
      <c r="P807" s="6" t="s">
        <v>468</v>
      </c>
      <c r="Q807" s="6"/>
      <c r="R807" s="7" t="n">
        <f aca="false">COUNTIF('Label Map'!$D$2:$D$2000,A807)</f>
        <v>2</v>
      </c>
    </row>
    <row r="808" customFormat="false" ht="15" hidden="false" customHeight="false" outlineLevel="0" collapsed="false">
      <c r="A808" s="6" t="s">
        <v>1181</v>
      </c>
      <c r="B808" s="6" t="s">
        <v>9</v>
      </c>
      <c r="C808" s="6" t="s">
        <v>3</v>
      </c>
      <c r="D808" s="6" t="s">
        <v>614</v>
      </c>
      <c r="E808" s="6" t="s">
        <v>1096</v>
      </c>
      <c r="F808" s="6" t="s">
        <v>1181</v>
      </c>
      <c r="G808" s="6" t="s">
        <v>1182</v>
      </c>
      <c r="H808" s="6"/>
      <c r="I808" s="6"/>
      <c r="J808" s="6" t="s">
        <v>1096</v>
      </c>
      <c r="K808" s="6" t="s">
        <v>1183</v>
      </c>
      <c r="L808" s="6" t="s">
        <v>1096</v>
      </c>
      <c r="M808" s="6" t="s">
        <v>1114</v>
      </c>
      <c r="N808" s="6" t="s">
        <v>1106</v>
      </c>
      <c r="O808" s="6" t="s">
        <v>1114</v>
      </c>
      <c r="P808" s="6" t="s">
        <v>337</v>
      </c>
      <c r="Q808" s="6"/>
      <c r="R808" s="7" t="n">
        <f aca="false">COUNTIF('Label Map'!$D$2:$D$2000,A808)</f>
        <v>2</v>
      </c>
    </row>
    <row r="809" customFormat="false" ht="15" hidden="false" customHeight="false" outlineLevel="0" collapsed="false">
      <c r="A809" s="6" t="s">
        <v>1184</v>
      </c>
      <c r="B809" s="6" t="s">
        <v>9</v>
      </c>
      <c r="C809" s="6" t="s">
        <v>3</v>
      </c>
      <c r="D809" s="6" t="s">
        <v>614</v>
      </c>
      <c r="E809" s="6" t="s">
        <v>1096</v>
      </c>
      <c r="F809" s="6" t="s">
        <v>1184</v>
      </c>
      <c r="G809" s="6" t="s">
        <v>1185</v>
      </c>
      <c r="H809" s="6"/>
      <c r="I809" s="6"/>
      <c r="J809" s="6" t="s">
        <v>1096</v>
      </c>
      <c r="K809" s="6" t="s">
        <v>1186</v>
      </c>
      <c r="L809" s="6" t="s">
        <v>1096</v>
      </c>
      <c r="M809" s="6" t="s">
        <v>1114</v>
      </c>
      <c r="N809" s="6" t="s">
        <v>1131</v>
      </c>
      <c r="O809" s="6" t="s">
        <v>1114</v>
      </c>
      <c r="P809" s="6" t="s">
        <v>1092</v>
      </c>
      <c r="Q809" s="6"/>
      <c r="R809" s="7" t="n">
        <f aca="false">COUNTIF('Label Map'!$D$2:$D$2000,A809)</f>
        <v>1</v>
      </c>
    </row>
    <row r="810" customFormat="false" ht="15" hidden="false" customHeight="false" outlineLevel="0" collapsed="false">
      <c r="A810" s="6" t="s">
        <v>1187</v>
      </c>
      <c r="B810" s="6" t="s">
        <v>9</v>
      </c>
      <c r="C810" s="6" t="s">
        <v>3</v>
      </c>
      <c r="D810" s="6" t="s">
        <v>614</v>
      </c>
      <c r="E810" s="6" t="s">
        <v>1096</v>
      </c>
      <c r="F810" s="6" t="s">
        <v>1187</v>
      </c>
      <c r="G810" s="6" t="s">
        <v>1188</v>
      </c>
      <c r="H810" s="6"/>
      <c r="I810" s="6"/>
      <c r="J810" s="6" t="s">
        <v>1096</v>
      </c>
      <c r="K810" s="6" t="s">
        <v>1189</v>
      </c>
      <c r="L810" s="6" t="s">
        <v>1096</v>
      </c>
      <c r="M810" s="6" t="s">
        <v>1114</v>
      </c>
      <c r="N810" s="6" t="s">
        <v>1190</v>
      </c>
      <c r="O810" s="6" t="s">
        <v>1114</v>
      </c>
      <c r="P810" s="6" t="s">
        <v>1092</v>
      </c>
      <c r="Q810" s="6"/>
      <c r="R810" s="7" t="n">
        <f aca="false">COUNTIF('Label Map'!$D$2:$D$2000,A810)</f>
        <v>2</v>
      </c>
    </row>
    <row r="811" customFormat="false" ht="15" hidden="false" customHeight="false" outlineLevel="0" collapsed="false">
      <c r="A811" s="6" t="s">
        <v>1191</v>
      </c>
      <c r="B811" s="6" t="s">
        <v>9</v>
      </c>
      <c r="C811" s="6" t="s">
        <v>3</v>
      </c>
      <c r="D811" s="6" t="s">
        <v>614</v>
      </c>
      <c r="E811" s="6" t="s">
        <v>1096</v>
      </c>
      <c r="F811" s="6" t="s">
        <v>1191</v>
      </c>
      <c r="G811" s="6" t="s">
        <v>1192</v>
      </c>
      <c r="H811" s="6"/>
      <c r="I811" s="6"/>
      <c r="J811" s="6" t="s">
        <v>1096</v>
      </c>
      <c r="K811" s="6" t="s">
        <v>1193</v>
      </c>
      <c r="L811" s="6" t="s">
        <v>1096</v>
      </c>
      <c r="M811" s="6" t="s">
        <v>1114</v>
      </c>
      <c r="N811" s="6" t="s">
        <v>1131</v>
      </c>
      <c r="O811" s="6" t="s">
        <v>1114</v>
      </c>
      <c r="P811" s="6" t="s">
        <v>337</v>
      </c>
      <c r="Q811" s="6"/>
      <c r="R811" s="7" t="n">
        <f aca="false">COUNTIF('Label Map'!$D$2:$D$2000,A811)</f>
        <v>3</v>
      </c>
    </row>
    <row r="812" customFormat="false" ht="15" hidden="false" customHeight="false" outlineLevel="0" collapsed="false">
      <c r="A812" s="6" t="s">
        <v>1194</v>
      </c>
      <c r="B812" s="6" t="s">
        <v>9</v>
      </c>
      <c r="C812" s="6" t="s">
        <v>3</v>
      </c>
      <c r="D812" s="6" t="s">
        <v>614</v>
      </c>
      <c r="E812" s="6" t="s">
        <v>1096</v>
      </c>
      <c r="F812" s="6" t="s">
        <v>1194</v>
      </c>
      <c r="G812" s="6" t="s">
        <v>1195</v>
      </c>
      <c r="H812" s="6"/>
      <c r="I812" s="6"/>
      <c r="J812" s="6" t="s">
        <v>1096</v>
      </c>
      <c r="K812" s="6" t="s">
        <v>1196</v>
      </c>
      <c r="L812" s="6" t="s">
        <v>1096</v>
      </c>
      <c r="M812" s="6" t="s">
        <v>1114</v>
      </c>
      <c r="N812" s="6" t="s">
        <v>1177</v>
      </c>
      <c r="O812" s="6" t="s">
        <v>1114</v>
      </c>
      <c r="P812" s="6" t="s">
        <v>468</v>
      </c>
      <c r="Q812" s="6"/>
      <c r="R812" s="7" t="n">
        <f aca="false">COUNTIF('Label Map'!$D$2:$D$2000,A812)</f>
        <v>2</v>
      </c>
    </row>
    <row r="813" customFormat="false" ht="15" hidden="false" customHeight="false" outlineLevel="0" collapsed="false">
      <c r="A813" s="6" t="s">
        <v>1197</v>
      </c>
      <c r="B813" s="6" t="s">
        <v>9</v>
      </c>
      <c r="C813" s="6" t="s">
        <v>3</v>
      </c>
      <c r="D813" s="6" t="s">
        <v>614</v>
      </c>
      <c r="E813" s="6" t="s">
        <v>1096</v>
      </c>
      <c r="F813" s="6" t="s">
        <v>1197</v>
      </c>
      <c r="G813" s="6" t="s">
        <v>1198</v>
      </c>
      <c r="H813" s="6"/>
      <c r="I813" s="6"/>
      <c r="J813" s="6" t="s">
        <v>1096</v>
      </c>
      <c r="K813" s="6" t="s">
        <v>1199</v>
      </c>
      <c r="L813" s="6" t="s">
        <v>1096</v>
      </c>
      <c r="M813" s="6" t="s">
        <v>1114</v>
      </c>
      <c r="N813" s="6" t="s">
        <v>1177</v>
      </c>
      <c r="O813" s="6" t="s">
        <v>1114</v>
      </c>
      <c r="P813" s="6" t="s">
        <v>1092</v>
      </c>
      <c r="Q813" s="6"/>
      <c r="R813" s="7" t="n">
        <f aca="false">COUNTIF('Label Map'!$D$2:$D$2000,A813)</f>
        <v>1</v>
      </c>
    </row>
    <row r="814" customFormat="false" ht="15" hidden="false" customHeight="false" outlineLevel="0" collapsed="false">
      <c r="A814" s="6" t="s">
        <v>1200</v>
      </c>
      <c r="B814" s="6" t="s">
        <v>9</v>
      </c>
      <c r="C814" s="6" t="s">
        <v>3</v>
      </c>
      <c r="D814" s="6" t="s">
        <v>614</v>
      </c>
      <c r="E814" s="6" t="s">
        <v>1096</v>
      </c>
      <c r="F814" s="6" t="s">
        <v>1200</v>
      </c>
      <c r="G814" s="6" t="s">
        <v>1201</v>
      </c>
      <c r="H814" s="6"/>
      <c r="I814" s="6"/>
      <c r="J814" s="6" t="s">
        <v>1096</v>
      </c>
      <c r="K814" s="6" t="s">
        <v>1199</v>
      </c>
      <c r="L814" s="6" t="s">
        <v>1096</v>
      </c>
      <c r="M814" s="6" t="s">
        <v>1114</v>
      </c>
      <c r="N814" s="6" t="s">
        <v>1177</v>
      </c>
      <c r="O814" s="6" t="s">
        <v>1114</v>
      </c>
      <c r="P814" s="6" t="s">
        <v>1092</v>
      </c>
      <c r="Q814" s="6"/>
      <c r="R814" s="7" t="n">
        <f aca="false">COUNTIF('Label Map'!$D$2:$D$2000,A814)</f>
        <v>2</v>
      </c>
    </row>
    <row r="815" customFormat="false" ht="15" hidden="false" customHeight="false" outlineLevel="0" collapsed="false">
      <c r="A815" s="6" t="s">
        <v>1202</v>
      </c>
      <c r="B815" s="6" t="s">
        <v>9</v>
      </c>
      <c r="C815" s="6" t="s">
        <v>3</v>
      </c>
      <c r="D815" s="6" t="s">
        <v>614</v>
      </c>
      <c r="E815" s="6" t="s">
        <v>1096</v>
      </c>
      <c r="F815" s="6" t="s">
        <v>1202</v>
      </c>
      <c r="G815" s="6" t="s">
        <v>1203</v>
      </c>
      <c r="H815" s="6"/>
      <c r="I815" s="6"/>
      <c r="J815" s="6" t="s">
        <v>1096</v>
      </c>
      <c r="K815" s="6" t="s">
        <v>1204</v>
      </c>
      <c r="L815" s="6" t="s">
        <v>1096</v>
      </c>
      <c r="M815" s="6" t="s">
        <v>1114</v>
      </c>
      <c r="N815" s="6" t="s">
        <v>1190</v>
      </c>
      <c r="O815" s="6" t="s">
        <v>1114</v>
      </c>
      <c r="P815" s="6" t="s">
        <v>468</v>
      </c>
      <c r="Q815" s="6"/>
      <c r="R815" s="7" t="n">
        <f aca="false">COUNTIF('Label Map'!$D$2:$D$2000,A815)</f>
        <v>2</v>
      </c>
    </row>
    <row r="816" customFormat="false" ht="15" hidden="false" customHeight="false" outlineLevel="0" collapsed="false">
      <c r="A816" s="6" t="s">
        <v>1205</v>
      </c>
      <c r="B816" s="6" t="s">
        <v>9</v>
      </c>
      <c r="C816" s="6" t="s">
        <v>3</v>
      </c>
      <c r="D816" s="6" t="s">
        <v>614</v>
      </c>
      <c r="E816" s="6" t="s">
        <v>1096</v>
      </c>
      <c r="F816" s="6" t="s">
        <v>1205</v>
      </c>
      <c r="G816" s="6" t="s">
        <v>1206</v>
      </c>
      <c r="H816" s="6"/>
      <c r="I816" s="6"/>
      <c r="J816" s="6" t="s">
        <v>1096</v>
      </c>
      <c r="K816" s="6" t="s">
        <v>1130</v>
      </c>
      <c r="L816" s="6" t="s">
        <v>1096</v>
      </c>
      <c r="M816" s="6" t="s">
        <v>1114</v>
      </c>
      <c r="N816" s="6" t="s">
        <v>1131</v>
      </c>
      <c r="O816" s="6" t="s">
        <v>1114</v>
      </c>
      <c r="P816" s="6" t="s">
        <v>468</v>
      </c>
      <c r="Q816" s="6"/>
      <c r="R816" s="7" t="n">
        <f aca="false">COUNTIF('Label Map'!$D$2:$D$2000,A816)</f>
        <v>5</v>
      </c>
    </row>
    <row r="817" customFormat="false" ht="15" hidden="false" customHeight="false" outlineLevel="0" collapsed="false">
      <c r="A817" s="6" t="s">
        <v>1207</v>
      </c>
      <c r="B817" s="6" t="s">
        <v>9</v>
      </c>
      <c r="C817" s="6" t="s">
        <v>3</v>
      </c>
      <c r="D817" s="6" t="s">
        <v>614</v>
      </c>
      <c r="E817" s="6" t="s">
        <v>1096</v>
      </c>
      <c r="F817" s="6" t="s">
        <v>1207</v>
      </c>
      <c r="G817" s="6" t="s">
        <v>1208</v>
      </c>
      <c r="H817" s="6"/>
      <c r="I817" s="6"/>
      <c r="J817" s="6" t="s">
        <v>1096</v>
      </c>
      <c r="K817" s="6" t="s">
        <v>1176</v>
      </c>
      <c r="L817" s="6" t="s">
        <v>1096</v>
      </c>
      <c r="M817" s="6" t="s">
        <v>1114</v>
      </c>
      <c r="N817" s="6" t="s">
        <v>1177</v>
      </c>
      <c r="O817" s="6" t="s">
        <v>1114</v>
      </c>
      <c r="P817" s="6" t="s">
        <v>1092</v>
      </c>
      <c r="Q817" s="6"/>
      <c r="R817" s="7" t="n">
        <f aca="false">COUNTIF('Label Map'!$D$2:$D$2000,A817)</f>
        <v>5</v>
      </c>
    </row>
    <row r="818" customFormat="false" ht="15" hidden="false" customHeight="false" outlineLevel="0" collapsed="false">
      <c r="A818" s="6" t="s">
        <v>1209</v>
      </c>
      <c r="B818" s="6" t="s">
        <v>9</v>
      </c>
      <c r="C818" s="6" t="s">
        <v>3</v>
      </c>
      <c r="D818" s="6" t="s">
        <v>614</v>
      </c>
      <c r="E818" s="6" t="s">
        <v>1096</v>
      </c>
      <c r="F818" s="6" t="s">
        <v>1209</v>
      </c>
      <c r="G818" s="6" t="s">
        <v>1210</v>
      </c>
      <c r="H818" s="6"/>
      <c r="I818" s="6"/>
      <c r="J818" s="6" t="s">
        <v>1096</v>
      </c>
      <c r="K818" s="6" t="s">
        <v>1211</v>
      </c>
      <c r="L818" s="6" t="s">
        <v>1096</v>
      </c>
      <c r="M818" s="6" t="s">
        <v>1114</v>
      </c>
      <c r="N818" s="6" t="s">
        <v>1190</v>
      </c>
      <c r="O818" s="6" t="s">
        <v>875</v>
      </c>
      <c r="P818" s="6" t="s">
        <v>468</v>
      </c>
      <c r="Q818" s="6"/>
      <c r="R818" s="7" t="n">
        <f aca="false">COUNTIF('Label Map'!$D$2:$D$2000,A818)</f>
        <v>2</v>
      </c>
    </row>
    <row r="819" customFormat="false" ht="15" hidden="false" customHeight="false" outlineLevel="0" collapsed="false">
      <c r="A819" s="6" t="s">
        <v>1212</v>
      </c>
      <c r="B819" s="6" t="s">
        <v>9</v>
      </c>
      <c r="C819" s="6" t="s">
        <v>3</v>
      </c>
      <c r="D819" s="6" t="s">
        <v>614</v>
      </c>
      <c r="E819" s="6" t="s">
        <v>1096</v>
      </c>
      <c r="F819" s="6" t="s">
        <v>1212</v>
      </c>
      <c r="G819" s="6" t="s">
        <v>1213</v>
      </c>
      <c r="H819" s="6"/>
      <c r="I819" s="6"/>
      <c r="J819" s="6" t="s">
        <v>1096</v>
      </c>
      <c r="K819" s="6" t="s">
        <v>1214</v>
      </c>
      <c r="L819" s="6" t="s">
        <v>1096</v>
      </c>
      <c r="M819" s="6" t="s">
        <v>1173</v>
      </c>
      <c r="N819" s="6"/>
      <c r="O819" s="6" t="s">
        <v>875</v>
      </c>
      <c r="P819" s="6" t="s">
        <v>468</v>
      </c>
      <c r="Q819" s="6"/>
      <c r="R819" s="7" t="n">
        <f aca="false">COUNTIF('Label Map'!$D$2:$D$2000,A819)</f>
        <v>2</v>
      </c>
    </row>
    <row r="820" customFormat="false" ht="15" hidden="false" customHeight="false" outlineLevel="0" collapsed="false">
      <c r="A820" s="6" t="s">
        <v>1215</v>
      </c>
      <c r="B820" s="6" t="s">
        <v>63</v>
      </c>
      <c r="C820" s="6" t="s">
        <v>3</v>
      </c>
      <c r="D820" s="6" t="s">
        <v>614</v>
      </c>
      <c r="E820" s="6" t="s">
        <v>1096</v>
      </c>
      <c r="F820" s="6" t="s">
        <v>1212</v>
      </c>
      <c r="G820" s="6" t="s">
        <v>1213</v>
      </c>
      <c r="H820" s="6"/>
      <c r="I820" s="6" t="s">
        <v>1215</v>
      </c>
      <c r="J820" s="6" t="s">
        <v>1212</v>
      </c>
      <c r="K820" s="6"/>
      <c r="L820" s="6"/>
      <c r="M820" s="6"/>
      <c r="N820" s="6"/>
      <c r="O820" s="6"/>
      <c r="P820" s="6"/>
      <c r="Q820" s="6"/>
      <c r="R820" s="7" t="n">
        <f aca="false">COUNTIF('Label Map'!$D$2:$D$2000,A820)</f>
        <v>0</v>
      </c>
    </row>
    <row r="821" customFormat="false" ht="15" hidden="false" customHeight="false" outlineLevel="0" collapsed="false">
      <c r="A821" s="6" t="s">
        <v>1216</v>
      </c>
      <c r="B821" s="6" t="s">
        <v>9</v>
      </c>
      <c r="C821" s="6" t="s">
        <v>3</v>
      </c>
      <c r="D821" s="6" t="s">
        <v>614</v>
      </c>
      <c r="E821" s="6" t="s">
        <v>1096</v>
      </c>
      <c r="F821" s="6" t="s">
        <v>1216</v>
      </c>
      <c r="G821" s="6" t="s">
        <v>1217</v>
      </c>
      <c r="H821" s="6"/>
      <c r="I821" s="6"/>
      <c r="J821" s="6" t="s">
        <v>1096</v>
      </c>
      <c r="K821" s="6" t="s">
        <v>1196</v>
      </c>
      <c r="L821" s="6" t="s">
        <v>1096</v>
      </c>
      <c r="M821" s="6" t="s">
        <v>1114</v>
      </c>
      <c r="N821" s="6" t="s">
        <v>1177</v>
      </c>
      <c r="O821" s="6" t="s">
        <v>1114</v>
      </c>
      <c r="P821" s="6" t="s">
        <v>337</v>
      </c>
      <c r="Q821" s="6"/>
      <c r="R821" s="7" t="n">
        <f aca="false">COUNTIF('Label Map'!$D$2:$D$2000,A821)</f>
        <v>2</v>
      </c>
    </row>
    <row r="822" customFormat="false" ht="15" hidden="false" customHeight="false" outlineLevel="0" collapsed="false">
      <c r="A822" s="6" t="s">
        <v>1218</v>
      </c>
      <c r="B822" s="6" t="s">
        <v>9</v>
      </c>
      <c r="C822" s="6" t="s">
        <v>3</v>
      </c>
      <c r="D822" s="6" t="s">
        <v>614</v>
      </c>
      <c r="E822" s="6" t="s">
        <v>1096</v>
      </c>
      <c r="F822" s="6" t="s">
        <v>1218</v>
      </c>
      <c r="G822" s="6" t="s">
        <v>1219</v>
      </c>
      <c r="H822" s="6"/>
      <c r="I822" s="6"/>
      <c r="J822" s="6" t="s">
        <v>1096</v>
      </c>
      <c r="K822" s="6" t="s">
        <v>1211</v>
      </c>
      <c r="L822" s="6" t="s">
        <v>1096</v>
      </c>
      <c r="M822" s="6" t="s">
        <v>1114</v>
      </c>
      <c r="N822" s="6" t="s">
        <v>1190</v>
      </c>
      <c r="O822" s="6" t="s">
        <v>1114</v>
      </c>
      <c r="P822" s="6" t="s">
        <v>1092</v>
      </c>
      <c r="Q822" s="6"/>
      <c r="R822" s="7" t="n">
        <f aca="false">COUNTIF('Label Map'!$D$2:$D$2000,A822)</f>
        <v>2</v>
      </c>
    </row>
    <row r="823" customFormat="false" ht="15" hidden="false" customHeight="false" outlineLevel="0" collapsed="false">
      <c r="A823" s="6" t="s">
        <v>1220</v>
      </c>
      <c r="B823" s="6" t="s">
        <v>9</v>
      </c>
      <c r="C823" s="6" t="s">
        <v>3</v>
      </c>
      <c r="D823" s="6" t="s">
        <v>614</v>
      </c>
      <c r="E823" s="6" t="s">
        <v>1096</v>
      </c>
      <c r="F823" s="6" t="s">
        <v>1220</v>
      </c>
      <c r="G823" s="6" t="s">
        <v>1221</v>
      </c>
      <c r="H823" s="6"/>
      <c r="I823" s="6"/>
      <c r="J823" s="6" t="s">
        <v>1096</v>
      </c>
      <c r="K823" s="6" t="s">
        <v>1183</v>
      </c>
      <c r="L823" s="6" t="s">
        <v>1096</v>
      </c>
      <c r="M823" s="6" t="s">
        <v>1114</v>
      </c>
      <c r="N823" s="6" t="s">
        <v>1106</v>
      </c>
      <c r="O823" s="6" t="s">
        <v>1114</v>
      </c>
      <c r="P823" s="6" t="s">
        <v>468</v>
      </c>
      <c r="Q823" s="6"/>
      <c r="R823" s="7" t="n">
        <f aca="false">COUNTIF('Label Map'!$D$2:$D$2000,A823)</f>
        <v>3</v>
      </c>
    </row>
    <row r="824" customFormat="false" ht="15" hidden="false" customHeight="false" outlineLevel="0" collapsed="false">
      <c r="A824" s="6" t="s">
        <v>1222</v>
      </c>
      <c r="B824" s="6" t="s">
        <v>9</v>
      </c>
      <c r="C824" s="6" t="s">
        <v>3</v>
      </c>
      <c r="D824" s="6" t="s">
        <v>614</v>
      </c>
      <c r="E824" s="6" t="s">
        <v>1096</v>
      </c>
      <c r="F824" s="6" t="s">
        <v>1222</v>
      </c>
      <c r="G824" s="6" t="s">
        <v>1223</v>
      </c>
      <c r="H824" s="6"/>
      <c r="I824" s="6"/>
      <c r="J824" s="6" t="s">
        <v>1096</v>
      </c>
      <c r="K824" s="6" t="s">
        <v>1224</v>
      </c>
      <c r="L824" s="6" t="s">
        <v>1096</v>
      </c>
      <c r="M824" s="6" t="s">
        <v>1114</v>
      </c>
      <c r="N824" s="6" t="s">
        <v>1190</v>
      </c>
      <c r="O824" s="6" t="s">
        <v>1114</v>
      </c>
      <c r="P824" s="6" t="s">
        <v>1092</v>
      </c>
      <c r="Q824" s="6"/>
      <c r="R824" s="7" t="n">
        <f aca="false">COUNTIF('Label Map'!$D$2:$D$2000,A824)</f>
        <v>2</v>
      </c>
    </row>
    <row r="825" customFormat="false" ht="15" hidden="false" customHeight="false" outlineLevel="0" collapsed="false">
      <c r="A825" s="6" t="s">
        <v>1225</v>
      </c>
      <c r="B825" s="6" t="s">
        <v>9</v>
      </c>
      <c r="C825" s="6" t="s">
        <v>3</v>
      </c>
      <c r="D825" s="6" t="s">
        <v>614</v>
      </c>
      <c r="E825" s="6" t="s">
        <v>1096</v>
      </c>
      <c r="F825" s="6" t="s">
        <v>1225</v>
      </c>
      <c r="G825" s="6" t="s">
        <v>1226</v>
      </c>
      <c r="H825" s="6"/>
      <c r="I825" s="6"/>
      <c r="J825" s="6" t="s">
        <v>1096</v>
      </c>
      <c r="K825" s="6" t="s">
        <v>1196</v>
      </c>
      <c r="L825" s="6" t="s">
        <v>1096</v>
      </c>
      <c r="M825" s="6" t="s">
        <v>1114</v>
      </c>
      <c r="N825" s="6" t="s">
        <v>1177</v>
      </c>
      <c r="O825" s="6" t="s">
        <v>1114</v>
      </c>
      <c r="P825" s="6" t="s">
        <v>337</v>
      </c>
      <c r="Q825" s="6"/>
      <c r="R825" s="7" t="n">
        <f aca="false">COUNTIF('Label Map'!$D$2:$D$2000,A825)</f>
        <v>2</v>
      </c>
    </row>
    <row r="826" customFormat="false" ht="15" hidden="false" customHeight="false" outlineLevel="0" collapsed="false">
      <c r="A826" s="6" t="s">
        <v>1227</v>
      </c>
      <c r="B826" s="6" t="s">
        <v>9</v>
      </c>
      <c r="C826" s="6" t="s">
        <v>3</v>
      </c>
      <c r="D826" s="6" t="s">
        <v>614</v>
      </c>
      <c r="E826" s="6" t="s">
        <v>1096</v>
      </c>
      <c r="F826" s="6" t="s">
        <v>1227</v>
      </c>
      <c r="G826" s="6" t="s">
        <v>1228</v>
      </c>
      <c r="H826" s="6"/>
      <c r="I826" s="6"/>
      <c r="J826" s="6" t="s">
        <v>1096</v>
      </c>
      <c r="K826" s="6" t="s">
        <v>1180</v>
      </c>
      <c r="L826" s="6" t="s">
        <v>1096</v>
      </c>
      <c r="M826" s="6" t="s">
        <v>1114</v>
      </c>
      <c r="N826" s="6" t="s">
        <v>1131</v>
      </c>
      <c r="O826" s="6" t="s">
        <v>1114</v>
      </c>
      <c r="P826" s="6" t="s">
        <v>1092</v>
      </c>
      <c r="Q826" s="6"/>
      <c r="R826" s="7" t="n">
        <f aca="false">COUNTIF('Label Map'!$D$2:$D$2000,A826)</f>
        <v>2</v>
      </c>
    </row>
    <row r="827" customFormat="false" ht="15" hidden="false" customHeight="false" outlineLevel="0" collapsed="false">
      <c r="A827" s="6" t="s">
        <v>1229</v>
      </c>
      <c r="B827" s="6" t="s">
        <v>9</v>
      </c>
      <c r="C827" s="6" t="s">
        <v>3</v>
      </c>
      <c r="D827" s="6" t="s">
        <v>614</v>
      </c>
      <c r="E827" s="6" t="s">
        <v>1096</v>
      </c>
      <c r="F827" s="6" t="s">
        <v>1229</v>
      </c>
      <c r="G827" s="6" t="s">
        <v>1230</v>
      </c>
      <c r="H827" s="6"/>
      <c r="I827" s="6"/>
      <c r="J827" s="6" t="s">
        <v>1096</v>
      </c>
      <c r="K827" s="6" t="s">
        <v>1130</v>
      </c>
      <c r="L827" s="6" t="s">
        <v>1096</v>
      </c>
      <c r="M827" s="6" t="s">
        <v>1114</v>
      </c>
      <c r="N827" s="6" t="s">
        <v>1131</v>
      </c>
      <c r="O827" s="6" t="s">
        <v>1114</v>
      </c>
      <c r="P827" s="6" t="s">
        <v>468</v>
      </c>
      <c r="Q827" s="6"/>
      <c r="R827" s="7" t="n">
        <f aca="false">COUNTIF('Label Map'!$D$2:$D$2000,A827)</f>
        <v>2</v>
      </c>
    </row>
    <row r="828" customFormat="false" ht="15" hidden="false" customHeight="false" outlineLevel="0" collapsed="false">
      <c r="A828" s="6" t="s">
        <v>1231</v>
      </c>
      <c r="B828" s="6" t="s">
        <v>63</v>
      </c>
      <c r="C828" s="6" t="s">
        <v>3</v>
      </c>
      <c r="D828" s="6" t="s">
        <v>614</v>
      </c>
      <c r="E828" s="6" t="s">
        <v>1096</v>
      </c>
      <c r="F828" s="6" t="s">
        <v>1229</v>
      </c>
      <c r="G828" s="6" t="s">
        <v>1230</v>
      </c>
      <c r="H828" s="6"/>
      <c r="I828" s="6" t="s">
        <v>1231</v>
      </c>
      <c r="J828" s="6" t="s">
        <v>1229</v>
      </c>
      <c r="K828" s="6"/>
      <c r="L828" s="6"/>
      <c r="M828" s="6"/>
      <c r="N828" s="6"/>
      <c r="O828" s="6"/>
      <c r="P828" s="6"/>
      <c r="Q828" s="6"/>
      <c r="R828" s="7" t="n">
        <f aca="false">COUNTIF('Label Map'!$D$2:$D$2000,A828)</f>
        <v>0</v>
      </c>
    </row>
    <row r="829" customFormat="false" ht="15" hidden="false" customHeight="false" outlineLevel="0" collapsed="false">
      <c r="A829" s="6" t="s">
        <v>1232</v>
      </c>
      <c r="B829" s="6" t="s">
        <v>9</v>
      </c>
      <c r="C829" s="6" t="s">
        <v>3</v>
      </c>
      <c r="D829" s="6" t="s">
        <v>614</v>
      </c>
      <c r="E829" s="6" t="s">
        <v>1096</v>
      </c>
      <c r="F829" s="6" t="s">
        <v>1232</v>
      </c>
      <c r="G829" s="6" t="s">
        <v>1233</v>
      </c>
      <c r="H829" s="6"/>
      <c r="I829" s="6"/>
      <c r="J829" s="6" t="s">
        <v>1096</v>
      </c>
      <c r="K829" s="6" t="s">
        <v>1180</v>
      </c>
      <c r="L829" s="6" t="s">
        <v>1096</v>
      </c>
      <c r="M829" s="6" t="s">
        <v>1114</v>
      </c>
      <c r="N829" s="6" t="s">
        <v>1131</v>
      </c>
      <c r="O829" s="6" t="s">
        <v>1114</v>
      </c>
      <c r="P829" s="6" t="s">
        <v>468</v>
      </c>
      <c r="Q829" s="6"/>
      <c r="R829" s="7" t="n">
        <f aca="false">COUNTIF('Label Map'!$D$2:$D$2000,A829)</f>
        <v>2</v>
      </c>
    </row>
    <row r="830" customFormat="false" ht="15" hidden="false" customHeight="false" outlineLevel="0" collapsed="false">
      <c r="A830" s="6" t="s">
        <v>1234</v>
      </c>
      <c r="B830" s="6" t="s">
        <v>9</v>
      </c>
      <c r="C830" s="6" t="s">
        <v>3</v>
      </c>
      <c r="D830" s="6" t="s">
        <v>614</v>
      </c>
      <c r="E830" s="6" t="s">
        <v>1096</v>
      </c>
      <c r="F830" s="6" t="s">
        <v>1234</v>
      </c>
      <c r="G830" s="6" t="s">
        <v>1235</v>
      </c>
      <c r="H830" s="6"/>
      <c r="I830" s="6"/>
      <c r="J830" s="6" t="s">
        <v>1096</v>
      </c>
      <c r="K830" s="6" t="s">
        <v>1236</v>
      </c>
      <c r="L830" s="6" t="s">
        <v>1096</v>
      </c>
      <c r="M830" s="6" t="s">
        <v>1114</v>
      </c>
      <c r="N830" s="6" t="s">
        <v>1131</v>
      </c>
      <c r="O830" s="6" t="s">
        <v>1114</v>
      </c>
      <c r="P830" s="6" t="s">
        <v>1092</v>
      </c>
      <c r="Q830" s="6"/>
      <c r="R830" s="7" t="n">
        <f aca="false">COUNTIF('Label Map'!$D$2:$D$2000,A830)</f>
        <v>2</v>
      </c>
    </row>
    <row r="831" customFormat="false" ht="15" hidden="false" customHeight="false" outlineLevel="0" collapsed="false">
      <c r="A831" s="6" t="s">
        <v>1237</v>
      </c>
      <c r="B831" s="6" t="s">
        <v>9</v>
      </c>
      <c r="C831" s="6" t="s">
        <v>3</v>
      </c>
      <c r="D831" s="6" t="s">
        <v>614</v>
      </c>
      <c r="E831" s="6" t="s">
        <v>1096</v>
      </c>
      <c r="F831" s="6" t="s">
        <v>1237</v>
      </c>
      <c r="G831" s="6" t="s">
        <v>1238</v>
      </c>
      <c r="H831" s="6"/>
      <c r="I831" s="6"/>
      <c r="J831" s="6" t="s">
        <v>1096</v>
      </c>
      <c r="K831" s="6" t="s">
        <v>1239</v>
      </c>
      <c r="L831" s="6" t="s">
        <v>1096</v>
      </c>
      <c r="M831" s="6" t="s">
        <v>1114</v>
      </c>
      <c r="N831" s="6" t="s">
        <v>1190</v>
      </c>
      <c r="O831" s="6" t="s">
        <v>1114</v>
      </c>
      <c r="P831" s="6" t="s">
        <v>468</v>
      </c>
      <c r="Q831" s="6"/>
      <c r="R831" s="7" t="n">
        <f aca="false">COUNTIF('Label Map'!$D$2:$D$2000,A831)</f>
        <v>2</v>
      </c>
    </row>
    <row r="832" customFormat="false" ht="15" hidden="false" customHeight="false" outlineLevel="0" collapsed="false">
      <c r="A832" s="6" t="s">
        <v>1240</v>
      </c>
      <c r="B832" s="6" t="s">
        <v>63</v>
      </c>
      <c r="C832" s="6" t="s">
        <v>3</v>
      </c>
      <c r="D832" s="6" t="s">
        <v>614</v>
      </c>
      <c r="E832" s="6" t="s">
        <v>1096</v>
      </c>
      <c r="F832" s="6" t="s">
        <v>1237</v>
      </c>
      <c r="G832" s="6" t="s">
        <v>1238</v>
      </c>
      <c r="H832" s="6"/>
      <c r="I832" s="6" t="s">
        <v>1240</v>
      </c>
      <c r="J832" s="6" t="s">
        <v>1237</v>
      </c>
      <c r="K832" s="6"/>
      <c r="L832" s="6"/>
      <c r="M832" s="6"/>
      <c r="N832" s="6"/>
      <c r="O832" s="6"/>
      <c r="P832" s="6"/>
      <c r="Q832" s="6"/>
      <c r="R832" s="7" t="n">
        <f aca="false">COUNTIF('Label Map'!$D$2:$D$2000,A832)</f>
        <v>0</v>
      </c>
    </row>
    <row r="833" customFormat="false" ht="15" hidden="false" customHeight="false" outlineLevel="0" collapsed="false">
      <c r="A833" s="6" t="s">
        <v>1241</v>
      </c>
      <c r="B833" s="6" t="s">
        <v>9</v>
      </c>
      <c r="C833" s="6" t="s">
        <v>3</v>
      </c>
      <c r="D833" s="6" t="s">
        <v>614</v>
      </c>
      <c r="E833" s="6" t="s">
        <v>1096</v>
      </c>
      <c r="F833" s="6" t="s">
        <v>1241</v>
      </c>
      <c r="G833" s="6" t="s">
        <v>1242</v>
      </c>
      <c r="H833" s="6"/>
      <c r="I833" s="6"/>
      <c r="J833" s="6" t="s">
        <v>1096</v>
      </c>
      <c r="K833" s="6" t="s">
        <v>1243</v>
      </c>
      <c r="L833" s="6" t="s">
        <v>1096</v>
      </c>
      <c r="M833" s="6" t="s">
        <v>1114</v>
      </c>
      <c r="N833" s="6" t="s">
        <v>1106</v>
      </c>
      <c r="O833" s="6" t="s">
        <v>1114</v>
      </c>
      <c r="P833" s="6" t="s">
        <v>468</v>
      </c>
      <c r="Q833" s="6"/>
      <c r="R833" s="7" t="n">
        <f aca="false">COUNTIF('Label Map'!$D$2:$D$2000,A833)</f>
        <v>2</v>
      </c>
    </row>
    <row r="834" customFormat="false" ht="15" hidden="false" customHeight="false" outlineLevel="0" collapsed="false">
      <c r="A834" s="6" t="s">
        <v>1244</v>
      </c>
      <c r="B834" s="6" t="s">
        <v>9</v>
      </c>
      <c r="C834" s="6" t="s">
        <v>3</v>
      </c>
      <c r="D834" s="6" t="s">
        <v>614</v>
      </c>
      <c r="E834" s="6" t="s">
        <v>1096</v>
      </c>
      <c r="F834" s="6" t="s">
        <v>1244</v>
      </c>
      <c r="G834" s="6" t="s">
        <v>1245</v>
      </c>
      <c r="H834" s="6"/>
      <c r="I834" s="6"/>
      <c r="J834" s="6" t="s">
        <v>1096</v>
      </c>
      <c r="K834" s="6" t="s">
        <v>1180</v>
      </c>
      <c r="L834" s="6" t="s">
        <v>1096</v>
      </c>
      <c r="M834" s="6" t="s">
        <v>1114</v>
      </c>
      <c r="N834" s="6" t="s">
        <v>1131</v>
      </c>
      <c r="O834" s="6" t="s">
        <v>1114</v>
      </c>
      <c r="P834" s="6" t="s">
        <v>1092</v>
      </c>
      <c r="Q834" s="6"/>
      <c r="R834" s="7" t="n">
        <f aca="false">COUNTIF('Label Map'!$D$2:$D$2000,A834)</f>
        <v>2</v>
      </c>
    </row>
    <row r="835" customFormat="false" ht="15" hidden="false" customHeight="false" outlineLevel="0" collapsed="false">
      <c r="A835" s="6" t="s">
        <v>1246</v>
      </c>
      <c r="B835" s="6" t="s">
        <v>9</v>
      </c>
      <c r="C835" s="6" t="s">
        <v>3</v>
      </c>
      <c r="D835" s="6" t="s">
        <v>614</v>
      </c>
      <c r="E835" s="6" t="s">
        <v>1096</v>
      </c>
      <c r="F835" s="6" t="s">
        <v>1246</v>
      </c>
      <c r="G835" s="6" t="s">
        <v>1247</v>
      </c>
      <c r="H835" s="6"/>
      <c r="I835" s="6"/>
      <c r="J835" s="6" t="s">
        <v>1096</v>
      </c>
      <c r="K835" s="6" t="s">
        <v>1172</v>
      </c>
      <c r="L835" s="6" t="s">
        <v>1096</v>
      </c>
      <c r="M835" s="6" t="s">
        <v>1173</v>
      </c>
      <c r="N835" s="6"/>
      <c r="O835" s="6" t="s">
        <v>875</v>
      </c>
      <c r="P835" s="6" t="s">
        <v>337</v>
      </c>
      <c r="Q835" s="6"/>
      <c r="R835" s="7" t="n">
        <f aca="false">COUNTIF('Label Map'!$D$2:$D$2000,A835)</f>
        <v>1</v>
      </c>
    </row>
    <row r="836" customFormat="false" ht="15" hidden="false" customHeight="false" outlineLevel="0" collapsed="false">
      <c r="A836" s="6" t="s">
        <v>1248</v>
      </c>
      <c r="B836" s="6" t="s">
        <v>9</v>
      </c>
      <c r="C836" s="6" t="s">
        <v>3</v>
      </c>
      <c r="D836" s="6" t="s">
        <v>614</v>
      </c>
      <c r="E836" s="6" t="s">
        <v>1096</v>
      </c>
      <c r="F836" s="6" t="s">
        <v>1248</v>
      </c>
      <c r="G836" s="6" t="s">
        <v>1249</v>
      </c>
      <c r="H836" s="6"/>
      <c r="I836" s="6"/>
      <c r="J836" s="6" t="s">
        <v>1096</v>
      </c>
      <c r="K836" s="6" t="s">
        <v>1211</v>
      </c>
      <c r="L836" s="6" t="s">
        <v>1096</v>
      </c>
      <c r="M836" s="6" t="s">
        <v>1114</v>
      </c>
      <c r="N836" s="6" t="s">
        <v>1190</v>
      </c>
      <c r="O836" s="6" t="s">
        <v>1114</v>
      </c>
      <c r="P836" s="6" t="s">
        <v>1092</v>
      </c>
      <c r="Q836" s="6"/>
      <c r="R836" s="7" t="n">
        <f aca="false">COUNTIF('Label Map'!$D$2:$D$2000,A836)</f>
        <v>2</v>
      </c>
    </row>
    <row r="837" customFormat="false" ht="15" hidden="false" customHeight="false" outlineLevel="0" collapsed="false">
      <c r="A837" s="6" t="s">
        <v>1250</v>
      </c>
      <c r="B837" s="6" t="s">
        <v>9</v>
      </c>
      <c r="C837" s="6" t="s">
        <v>3</v>
      </c>
      <c r="D837" s="6" t="s">
        <v>614</v>
      </c>
      <c r="E837" s="6" t="s">
        <v>1096</v>
      </c>
      <c r="F837" s="6" t="s">
        <v>1250</v>
      </c>
      <c r="G837" s="6" t="s">
        <v>1251</v>
      </c>
      <c r="H837" s="6"/>
      <c r="I837" s="6"/>
      <c r="J837" s="6" t="s">
        <v>1096</v>
      </c>
      <c r="K837" s="6" t="s">
        <v>1189</v>
      </c>
      <c r="L837" s="6" t="s">
        <v>1096</v>
      </c>
      <c r="M837" s="6" t="s">
        <v>1114</v>
      </c>
      <c r="N837" s="6" t="s">
        <v>1190</v>
      </c>
      <c r="O837" s="6" t="s">
        <v>1114</v>
      </c>
      <c r="P837" s="6" t="s">
        <v>1092</v>
      </c>
      <c r="Q837" s="6"/>
      <c r="R837" s="7" t="n">
        <f aca="false">COUNTIF('Label Map'!$D$2:$D$2000,A837)</f>
        <v>2</v>
      </c>
    </row>
    <row r="838" customFormat="false" ht="15" hidden="false" customHeight="false" outlineLevel="0" collapsed="false">
      <c r="A838" s="6" t="s">
        <v>1252</v>
      </c>
      <c r="B838" s="6" t="s">
        <v>9</v>
      </c>
      <c r="C838" s="6" t="s">
        <v>3</v>
      </c>
      <c r="D838" s="6" t="s">
        <v>614</v>
      </c>
      <c r="E838" s="6" t="s">
        <v>1096</v>
      </c>
      <c r="F838" s="6" t="s">
        <v>1252</v>
      </c>
      <c r="G838" s="6" t="s">
        <v>1253</v>
      </c>
      <c r="H838" s="6"/>
      <c r="I838" s="6"/>
      <c r="J838" s="6" t="s">
        <v>1096</v>
      </c>
      <c r="K838" s="6" t="s">
        <v>1186</v>
      </c>
      <c r="L838" s="6" t="s">
        <v>1096</v>
      </c>
      <c r="M838" s="6" t="s">
        <v>1114</v>
      </c>
      <c r="N838" s="6" t="s">
        <v>1131</v>
      </c>
      <c r="O838" s="6" t="s">
        <v>1114</v>
      </c>
      <c r="P838" s="6" t="s">
        <v>1092</v>
      </c>
      <c r="Q838" s="6"/>
      <c r="R838" s="7" t="n">
        <f aca="false">COUNTIF('Label Map'!$D$2:$D$2000,A838)</f>
        <v>2</v>
      </c>
    </row>
    <row r="839" customFormat="false" ht="15" hidden="false" customHeight="false" outlineLevel="0" collapsed="false">
      <c r="A839" s="6" t="s">
        <v>1254</v>
      </c>
      <c r="B839" s="6" t="s">
        <v>9</v>
      </c>
      <c r="C839" s="6" t="s">
        <v>3</v>
      </c>
      <c r="D839" s="6" t="s">
        <v>614</v>
      </c>
      <c r="E839" s="6" t="s">
        <v>1096</v>
      </c>
      <c r="F839" s="6" t="s">
        <v>1254</v>
      </c>
      <c r="G839" s="6" t="s">
        <v>1255</v>
      </c>
      <c r="H839" s="6"/>
      <c r="I839" s="6"/>
      <c r="J839" s="6" t="s">
        <v>1096</v>
      </c>
      <c r="K839" s="6" t="s">
        <v>1256</v>
      </c>
      <c r="L839" s="6" t="s">
        <v>1096</v>
      </c>
      <c r="M839" s="6" t="s">
        <v>1114</v>
      </c>
      <c r="N839" s="6" t="s">
        <v>1131</v>
      </c>
      <c r="O839" s="6" t="s">
        <v>1114</v>
      </c>
      <c r="P839" s="6" t="s">
        <v>468</v>
      </c>
      <c r="Q839" s="6"/>
      <c r="R839" s="7" t="n">
        <f aca="false">COUNTIF('Label Map'!$D$2:$D$2000,A839)</f>
        <v>2</v>
      </c>
    </row>
    <row r="840" customFormat="false" ht="15" hidden="false" customHeight="false" outlineLevel="0" collapsed="false">
      <c r="A840" s="6" t="s">
        <v>1257</v>
      </c>
      <c r="B840" s="6" t="s">
        <v>9</v>
      </c>
      <c r="C840" s="6" t="s">
        <v>3</v>
      </c>
      <c r="D840" s="6" t="s">
        <v>614</v>
      </c>
      <c r="E840" s="6" t="s">
        <v>1096</v>
      </c>
      <c r="F840" s="6" t="s">
        <v>1257</v>
      </c>
      <c r="G840" s="6" t="s">
        <v>1258</v>
      </c>
      <c r="H840" s="6"/>
      <c r="I840" s="6"/>
      <c r="J840" s="6" t="s">
        <v>1096</v>
      </c>
      <c r="K840" s="6" t="s">
        <v>1259</v>
      </c>
      <c r="L840" s="6" t="s">
        <v>1096</v>
      </c>
      <c r="M840" s="6" t="s">
        <v>1114</v>
      </c>
      <c r="N840" s="6" t="s">
        <v>1190</v>
      </c>
      <c r="O840" s="6" t="s">
        <v>1114</v>
      </c>
      <c r="P840" s="6" t="s">
        <v>337</v>
      </c>
      <c r="Q840" s="6"/>
      <c r="R840" s="7" t="n">
        <f aca="false">COUNTIF('Label Map'!$D$2:$D$2000,A840)</f>
        <v>2</v>
      </c>
    </row>
    <row r="841" customFormat="false" ht="15" hidden="false" customHeight="false" outlineLevel="0" collapsed="false">
      <c r="A841" s="6" t="s">
        <v>1260</v>
      </c>
      <c r="B841" s="6" t="s">
        <v>9</v>
      </c>
      <c r="C841" s="6" t="s">
        <v>3</v>
      </c>
      <c r="D841" s="6" t="s">
        <v>614</v>
      </c>
      <c r="E841" s="6" t="s">
        <v>1096</v>
      </c>
      <c r="F841" s="6" t="s">
        <v>1260</v>
      </c>
      <c r="G841" s="6" t="s">
        <v>1261</v>
      </c>
      <c r="H841" s="6"/>
      <c r="I841" s="6"/>
      <c r="J841" s="6" t="s">
        <v>1096</v>
      </c>
      <c r="K841" s="6" t="s">
        <v>1239</v>
      </c>
      <c r="L841" s="6" t="s">
        <v>1096</v>
      </c>
      <c r="M841" s="6" t="s">
        <v>1114</v>
      </c>
      <c r="N841" s="6" t="s">
        <v>1190</v>
      </c>
      <c r="O841" s="6" t="s">
        <v>311</v>
      </c>
      <c r="P841" s="6" t="s">
        <v>311</v>
      </c>
      <c r="Q841" s="6"/>
      <c r="R841" s="7" t="n">
        <f aca="false">COUNTIF('Label Map'!$D$2:$D$2000,A841)</f>
        <v>1</v>
      </c>
    </row>
    <row r="842" customFormat="false" ht="15" hidden="false" customHeight="false" outlineLevel="0" collapsed="false">
      <c r="A842" s="6" t="s">
        <v>1262</v>
      </c>
      <c r="B842" s="6" t="s">
        <v>9</v>
      </c>
      <c r="C842" s="6" t="s">
        <v>3</v>
      </c>
      <c r="D842" s="6" t="s">
        <v>614</v>
      </c>
      <c r="E842" s="6" t="s">
        <v>1096</v>
      </c>
      <c r="F842" s="6" t="s">
        <v>1262</v>
      </c>
      <c r="G842" s="6" t="s">
        <v>1263</v>
      </c>
      <c r="H842" s="6"/>
      <c r="I842" s="6"/>
      <c r="J842" s="6" t="s">
        <v>1096</v>
      </c>
      <c r="K842" s="6" t="s">
        <v>1172</v>
      </c>
      <c r="L842" s="6" t="s">
        <v>1096</v>
      </c>
      <c r="M842" s="6" t="s">
        <v>1173</v>
      </c>
      <c r="N842" s="6"/>
      <c r="O842" s="6" t="s">
        <v>875</v>
      </c>
      <c r="P842" s="6" t="s">
        <v>468</v>
      </c>
      <c r="Q842" s="6"/>
      <c r="R842" s="7" t="n">
        <f aca="false">COUNTIF('Label Map'!$D$2:$D$2000,A842)</f>
        <v>2</v>
      </c>
    </row>
    <row r="843" customFormat="false" ht="15" hidden="false" customHeight="false" outlineLevel="0" collapsed="false">
      <c r="A843" s="6" t="s">
        <v>1264</v>
      </c>
      <c r="B843" s="6" t="s">
        <v>63</v>
      </c>
      <c r="C843" s="6" t="s">
        <v>3</v>
      </c>
      <c r="D843" s="6" t="s">
        <v>614</v>
      </c>
      <c r="E843" s="6" t="s">
        <v>1096</v>
      </c>
      <c r="F843" s="6" t="s">
        <v>1262</v>
      </c>
      <c r="G843" s="6" t="s">
        <v>1263</v>
      </c>
      <c r="H843" s="6"/>
      <c r="I843" s="6" t="s">
        <v>1264</v>
      </c>
      <c r="J843" s="6" t="s">
        <v>1262</v>
      </c>
      <c r="K843" s="6"/>
      <c r="L843" s="6"/>
      <c r="M843" s="6"/>
      <c r="N843" s="6"/>
      <c r="O843" s="6"/>
      <c r="P843" s="6"/>
      <c r="Q843" s="6"/>
      <c r="R843" s="7" t="n">
        <f aca="false">COUNTIF('Label Map'!$D$2:$D$2000,A843)</f>
        <v>0</v>
      </c>
    </row>
    <row r="844" customFormat="false" ht="15" hidden="false" customHeight="false" outlineLevel="0" collapsed="false">
      <c r="A844" s="6" t="s">
        <v>1265</v>
      </c>
      <c r="B844" s="6" t="s">
        <v>9</v>
      </c>
      <c r="C844" s="6" t="s">
        <v>3</v>
      </c>
      <c r="D844" s="6" t="s">
        <v>614</v>
      </c>
      <c r="E844" s="6" t="s">
        <v>1096</v>
      </c>
      <c r="F844" s="6" t="s">
        <v>1265</v>
      </c>
      <c r="G844" s="6" t="s">
        <v>1266</v>
      </c>
      <c r="H844" s="6"/>
      <c r="I844" s="6"/>
      <c r="J844" s="6" t="s">
        <v>1096</v>
      </c>
      <c r="K844" s="6" t="s">
        <v>1211</v>
      </c>
      <c r="L844" s="6" t="s">
        <v>1096</v>
      </c>
      <c r="M844" s="6" t="s">
        <v>1114</v>
      </c>
      <c r="N844" s="6" t="s">
        <v>1190</v>
      </c>
      <c r="O844" s="6" t="s">
        <v>1114</v>
      </c>
      <c r="P844" s="6" t="s">
        <v>1092</v>
      </c>
      <c r="Q844" s="6"/>
      <c r="R844" s="7" t="n">
        <f aca="false">COUNTIF('Label Map'!$D$2:$D$2000,A844)</f>
        <v>2</v>
      </c>
    </row>
    <row r="845" customFormat="false" ht="15" hidden="false" customHeight="false" outlineLevel="0" collapsed="false">
      <c r="A845" s="6" t="s">
        <v>1267</v>
      </c>
      <c r="B845" s="6" t="s">
        <v>9</v>
      </c>
      <c r="C845" s="6" t="s">
        <v>3</v>
      </c>
      <c r="D845" s="6" t="s">
        <v>614</v>
      </c>
      <c r="E845" s="6" t="s">
        <v>1096</v>
      </c>
      <c r="F845" s="6" t="s">
        <v>1267</v>
      </c>
      <c r="G845" s="6" t="s">
        <v>1268</v>
      </c>
      <c r="H845" s="6"/>
      <c r="I845" s="6"/>
      <c r="J845" s="6" t="s">
        <v>1096</v>
      </c>
      <c r="K845" s="6" t="s">
        <v>1269</v>
      </c>
      <c r="L845" s="6" t="s">
        <v>1096</v>
      </c>
      <c r="M845" s="6" t="s">
        <v>1114</v>
      </c>
      <c r="N845" s="6" t="s">
        <v>1106</v>
      </c>
      <c r="O845" s="6" t="s">
        <v>1114</v>
      </c>
      <c r="P845" s="6" t="s">
        <v>468</v>
      </c>
      <c r="Q845" s="6"/>
      <c r="R845" s="7" t="n">
        <f aca="false">COUNTIF('Label Map'!$D$2:$D$2000,A845)</f>
        <v>2</v>
      </c>
    </row>
    <row r="846" customFormat="false" ht="15" hidden="false" customHeight="false" outlineLevel="0" collapsed="false">
      <c r="A846" s="6" t="s">
        <v>1270</v>
      </c>
      <c r="B846" s="6" t="s">
        <v>9</v>
      </c>
      <c r="C846" s="6" t="s">
        <v>3</v>
      </c>
      <c r="D846" s="6" t="s">
        <v>614</v>
      </c>
      <c r="E846" s="6" t="s">
        <v>1096</v>
      </c>
      <c r="F846" s="6" t="s">
        <v>1270</v>
      </c>
      <c r="G846" s="6" t="s">
        <v>1271</v>
      </c>
      <c r="H846" s="6"/>
      <c r="I846" s="6"/>
      <c r="J846" s="6" t="s">
        <v>1096</v>
      </c>
      <c r="K846" s="6" t="s">
        <v>1186</v>
      </c>
      <c r="L846" s="6" t="s">
        <v>1096</v>
      </c>
      <c r="M846" s="6" t="s">
        <v>1114</v>
      </c>
      <c r="N846" s="6" t="s">
        <v>1131</v>
      </c>
      <c r="O846" s="6" t="s">
        <v>1114</v>
      </c>
      <c r="P846" s="6" t="s">
        <v>1092</v>
      </c>
      <c r="Q846" s="6"/>
      <c r="R846" s="7" t="n">
        <f aca="false">COUNTIF('Label Map'!$D$2:$D$2000,A846)</f>
        <v>2</v>
      </c>
    </row>
    <row r="847" customFormat="false" ht="15" hidden="false" customHeight="false" outlineLevel="0" collapsed="false">
      <c r="A847" s="6" t="s">
        <v>1272</v>
      </c>
      <c r="B847" s="6" t="s">
        <v>9</v>
      </c>
      <c r="C847" s="6" t="s">
        <v>3</v>
      </c>
      <c r="D847" s="6" t="s">
        <v>614</v>
      </c>
      <c r="E847" s="6" t="s">
        <v>1096</v>
      </c>
      <c r="F847" s="6" t="s">
        <v>1272</v>
      </c>
      <c r="G847" s="6" t="s">
        <v>1273</v>
      </c>
      <c r="H847" s="6"/>
      <c r="I847" s="6"/>
      <c r="J847" s="6" t="s">
        <v>1096</v>
      </c>
      <c r="K847" s="6" t="s">
        <v>1196</v>
      </c>
      <c r="L847" s="6" t="s">
        <v>1096</v>
      </c>
      <c r="M847" s="6" t="s">
        <v>1114</v>
      </c>
      <c r="N847" s="6" t="s">
        <v>1177</v>
      </c>
      <c r="O847" s="6" t="s">
        <v>1114</v>
      </c>
      <c r="P847" s="6" t="s">
        <v>468</v>
      </c>
      <c r="Q847" s="6"/>
      <c r="R847" s="7" t="n">
        <f aca="false">COUNTIF('Label Map'!$D$2:$D$2000,A847)</f>
        <v>3</v>
      </c>
    </row>
    <row r="848" customFormat="false" ht="15" hidden="false" customHeight="false" outlineLevel="0" collapsed="false">
      <c r="A848" s="6" t="s">
        <v>1274</v>
      </c>
      <c r="B848" s="6" t="s">
        <v>9</v>
      </c>
      <c r="C848" s="6" t="s">
        <v>3</v>
      </c>
      <c r="D848" s="6" t="s">
        <v>614</v>
      </c>
      <c r="E848" s="6" t="s">
        <v>1096</v>
      </c>
      <c r="F848" s="6" t="s">
        <v>1274</v>
      </c>
      <c r="G848" s="6" t="s">
        <v>1275</v>
      </c>
      <c r="H848" s="6"/>
      <c r="I848" s="6"/>
      <c r="J848" s="6" t="s">
        <v>1096</v>
      </c>
      <c r="K848" s="6" t="s">
        <v>1189</v>
      </c>
      <c r="L848" s="6" t="s">
        <v>1096</v>
      </c>
      <c r="M848" s="6" t="s">
        <v>1114</v>
      </c>
      <c r="N848" s="6" t="s">
        <v>1190</v>
      </c>
      <c r="O848" s="6" t="s">
        <v>1114</v>
      </c>
      <c r="P848" s="6" t="s">
        <v>1092</v>
      </c>
      <c r="Q848" s="6"/>
      <c r="R848" s="7" t="n">
        <f aca="false">COUNTIF('Label Map'!$D$2:$D$2000,A848)</f>
        <v>2</v>
      </c>
    </row>
    <row r="849" customFormat="false" ht="15" hidden="false" customHeight="false" outlineLevel="0" collapsed="false">
      <c r="A849" s="6" t="s">
        <v>1276</v>
      </c>
      <c r="B849" s="6" t="s">
        <v>9</v>
      </c>
      <c r="C849" s="6" t="s">
        <v>3</v>
      </c>
      <c r="D849" s="6" t="s">
        <v>614</v>
      </c>
      <c r="E849" s="6" t="s">
        <v>1096</v>
      </c>
      <c r="F849" s="6" t="s">
        <v>1276</v>
      </c>
      <c r="G849" s="6" t="s">
        <v>1277</v>
      </c>
      <c r="H849" s="6"/>
      <c r="I849" s="6"/>
      <c r="J849" s="6" t="s">
        <v>1096</v>
      </c>
      <c r="K849" s="6" t="s">
        <v>1239</v>
      </c>
      <c r="L849" s="6" t="s">
        <v>1096</v>
      </c>
      <c r="M849" s="6" t="s">
        <v>1114</v>
      </c>
      <c r="N849" s="6" t="s">
        <v>1190</v>
      </c>
      <c r="O849" s="6" t="s">
        <v>311</v>
      </c>
      <c r="P849" s="6" t="s">
        <v>311</v>
      </c>
      <c r="Q849" s="6"/>
      <c r="R849" s="7" t="n">
        <f aca="false">COUNTIF('Label Map'!$D$2:$D$2000,A849)</f>
        <v>2</v>
      </c>
    </row>
    <row r="850" customFormat="false" ht="15" hidden="false" customHeight="false" outlineLevel="0" collapsed="false">
      <c r="A850" s="6" t="s">
        <v>1278</v>
      </c>
      <c r="B850" s="6" t="s">
        <v>9</v>
      </c>
      <c r="C850" s="6" t="s">
        <v>3</v>
      </c>
      <c r="D850" s="6" t="s">
        <v>614</v>
      </c>
      <c r="E850" s="6" t="s">
        <v>1096</v>
      </c>
      <c r="F850" s="6" t="s">
        <v>1278</v>
      </c>
      <c r="G850" s="6" t="s">
        <v>1279</v>
      </c>
      <c r="H850" s="6"/>
      <c r="I850" s="6"/>
      <c r="J850" s="6" t="s">
        <v>1096</v>
      </c>
      <c r="K850" s="6" t="s">
        <v>1130</v>
      </c>
      <c r="L850" s="6" t="s">
        <v>1096</v>
      </c>
      <c r="M850" s="6" t="s">
        <v>1114</v>
      </c>
      <c r="N850" s="6" t="s">
        <v>1131</v>
      </c>
      <c r="O850" s="6" t="s">
        <v>311</v>
      </c>
      <c r="P850" s="6" t="s">
        <v>311</v>
      </c>
      <c r="Q850" s="6"/>
      <c r="R850" s="7" t="n">
        <f aca="false">COUNTIF('Label Map'!$D$2:$D$2000,A850)</f>
        <v>1</v>
      </c>
    </row>
    <row r="851" customFormat="false" ht="15" hidden="false" customHeight="false" outlineLevel="0" collapsed="false">
      <c r="A851" s="6" t="s">
        <v>1280</v>
      </c>
      <c r="B851" s="6" t="s">
        <v>9</v>
      </c>
      <c r="C851" s="6" t="s">
        <v>3</v>
      </c>
      <c r="D851" s="6" t="s">
        <v>614</v>
      </c>
      <c r="E851" s="6" t="s">
        <v>1096</v>
      </c>
      <c r="F851" s="6" t="s">
        <v>1280</v>
      </c>
      <c r="G851" s="6" t="s">
        <v>1281</v>
      </c>
      <c r="H851" s="6"/>
      <c r="I851" s="6"/>
      <c r="J851" s="6" t="s">
        <v>1096</v>
      </c>
      <c r="K851" s="6" t="s">
        <v>1282</v>
      </c>
      <c r="L851" s="6" t="s">
        <v>1096</v>
      </c>
      <c r="M851" s="6" t="s">
        <v>1114</v>
      </c>
      <c r="N851" s="6" t="s">
        <v>1177</v>
      </c>
      <c r="O851" s="6" t="s">
        <v>1114</v>
      </c>
      <c r="P851" s="6" t="s">
        <v>468</v>
      </c>
      <c r="Q851" s="6"/>
      <c r="R851" s="7" t="n">
        <f aca="false">COUNTIF('Label Map'!$D$2:$D$2000,A851)</f>
        <v>2</v>
      </c>
    </row>
    <row r="852" customFormat="false" ht="15" hidden="false" customHeight="false" outlineLevel="0" collapsed="false">
      <c r="A852" s="6" t="s">
        <v>1283</v>
      </c>
      <c r="B852" s="6" t="s">
        <v>9</v>
      </c>
      <c r="C852" s="6" t="s">
        <v>3</v>
      </c>
      <c r="D852" s="6" t="s">
        <v>614</v>
      </c>
      <c r="E852" s="6" t="s">
        <v>1096</v>
      </c>
      <c r="F852" s="6" t="s">
        <v>1283</v>
      </c>
      <c r="G852" s="6" t="s">
        <v>1284</v>
      </c>
      <c r="H852" s="6"/>
      <c r="I852" s="6"/>
      <c r="J852" s="6" t="s">
        <v>1096</v>
      </c>
      <c r="K852" s="6" t="s">
        <v>1180</v>
      </c>
      <c r="L852" s="6" t="s">
        <v>1096</v>
      </c>
      <c r="M852" s="6" t="s">
        <v>1114</v>
      </c>
      <c r="N852" s="6" t="s">
        <v>1131</v>
      </c>
      <c r="O852" s="6" t="s">
        <v>1114</v>
      </c>
      <c r="P852" s="6" t="s">
        <v>468</v>
      </c>
      <c r="Q852" s="6"/>
      <c r="R852" s="7" t="n">
        <f aca="false">COUNTIF('Label Map'!$D$2:$D$2000,A852)</f>
        <v>2</v>
      </c>
    </row>
    <row r="853" customFormat="false" ht="15" hidden="false" customHeight="false" outlineLevel="0" collapsed="false">
      <c r="A853" s="6" t="s">
        <v>1285</v>
      </c>
      <c r="B853" s="6" t="s">
        <v>9</v>
      </c>
      <c r="C853" s="6" t="s">
        <v>3</v>
      </c>
      <c r="D853" s="6" t="s">
        <v>614</v>
      </c>
      <c r="E853" s="6" t="s">
        <v>1096</v>
      </c>
      <c r="F853" s="6" t="s">
        <v>1285</v>
      </c>
      <c r="G853" s="6" t="s">
        <v>1286</v>
      </c>
      <c r="H853" s="6"/>
      <c r="I853" s="6"/>
      <c r="J853" s="6" t="s">
        <v>1096</v>
      </c>
      <c r="K853" s="6" t="s">
        <v>1259</v>
      </c>
      <c r="L853" s="6" t="s">
        <v>1096</v>
      </c>
      <c r="M853" s="6" t="s">
        <v>1114</v>
      </c>
      <c r="N853" s="6" t="s">
        <v>1190</v>
      </c>
      <c r="O853" s="6" t="s">
        <v>1114</v>
      </c>
      <c r="P853" s="6" t="s">
        <v>87</v>
      </c>
      <c r="Q853" s="6"/>
      <c r="R853" s="7" t="n">
        <f aca="false">COUNTIF('Label Map'!$D$2:$D$2000,A853)</f>
        <v>2</v>
      </c>
    </row>
    <row r="854" customFormat="false" ht="15" hidden="false" customHeight="false" outlineLevel="0" collapsed="false">
      <c r="A854" s="6" t="s">
        <v>1287</v>
      </c>
      <c r="B854" s="6" t="s">
        <v>9</v>
      </c>
      <c r="C854" s="6" t="s">
        <v>3</v>
      </c>
      <c r="D854" s="6" t="s">
        <v>614</v>
      </c>
      <c r="E854" s="6" t="s">
        <v>1096</v>
      </c>
      <c r="F854" s="6" t="s">
        <v>1287</v>
      </c>
      <c r="G854" s="6" t="s">
        <v>1288</v>
      </c>
      <c r="H854" s="6"/>
      <c r="I854" s="6"/>
      <c r="J854" s="6" t="s">
        <v>1096</v>
      </c>
      <c r="K854" s="6" t="s">
        <v>1180</v>
      </c>
      <c r="L854" s="6" t="s">
        <v>1096</v>
      </c>
      <c r="M854" s="6" t="s">
        <v>1114</v>
      </c>
      <c r="N854" s="6" t="s">
        <v>1131</v>
      </c>
      <c r="O854" s="6" t="s">
        <v>1114</v>
      </c>
      <c r="P854" s="6" t="s">
        <v>1092</v>
      </c>
      <c r="Q854" s="6"/>
      <c r="R854" s="7" t="n">
        <f aca="false">COUNTIF('Label Map'!$D$2:$D$2000,A854)</f>
        <v>2</v>
      </c>
    </row>
    <row r="855" customFormat="false" ht="15" hidden="false" customHeight="false" outlineLevel="0" collapsed="false">
      <c r="A855" s="6" t="s">
        <v>1289</v>
      </c>
      <c r="B855" s="6" t="s">
        <v>9</v>
      </c>
      <c r="C855" s="6" t="s">
        <v>3</v>
      </c>
      <c r="D855" s="6" t="s">
        <v>614</v>
      </c>
      <c r="E855" s="6" t="s">
        <v>1096</v>
      </c>
      <c r="F855" s="6" t="s">
        <v>1289</v>
      </c>
      <c r="G855" s="6" t="s">
        <v>1290</v>
      </c>
      <c r="H855" s="6"/>
      <c r="I855" s="6"/>
      <c r="J855" s="6" t="s">
        <v>1096</v>
      </c>
      <c r="K855" s="6" t="s">
        <v>1211</v>
      </c>
      <c r="L855" s="6" t="s">
        <v>1096</v>
      </c>
      <c r="M855" s="6" t="s">
        <v>1114</v>
      </c>
      <c r="N855" s="6" t="s">
        <v>1190</v>
      </c>
      <c r="O855" s="6" t="s">
        <v>1114</v>
      </c>
      <c r="P855" s="6" t="s">
        <v>1092</v>
      </c>
      <c r="Q855" s="6"/>
      <c r="R855" s="7" t="n">
        <f aca="false">COUNTIF('Label Map'!$D$2:$D$2000,A855)</f>
        <v>2</v>
      </c>
    </row>
    <row r="856" customFormat="false" ht="15" hidden="false" customHeight="false" outlineLevel="0" collapsed="false">
      <c r="A856" s="6" t="s">
        <v>1291</v>
      </c>
      <c r="B856" s="6" t="s">
        <v>9</v>
      </c>
      <c r="C856" s="6" t="s">
        <v>3</v>
      </c>
      <c r="D856" s="6" t="s">
        <v>614</v>
      </c>
      <c r="E856" s="6" t="s">
        <v>1096</v>
      </c>
      <c r="F856" s="6" t="s">
        <v>1291</v>
      </c>
      <c r="G856" s="6" t="s">
        <v>1292</v>
      </c>
      <c r="H856" s="6"/>
      <c r="I856" s="6"/>
      <c r="J856" s="6" t="s">
        <v>1096</v>
      </c>
      <c r="K856" s="6" t="s">
        <v>1189</v>
      </c>
      <c r="L856" s="6" t="s">
        <v>1096</v>
      </c>
      <c r="M856" s="6" t="s">
        <v>1114</v>
      </c>
      <c r="N856" s="6" t="s">
        <v>1190</v>
      </c>
      <c r="O856" s="6" t="s">
        <v>1114</v>
      </c>
      <c r="P856" s="6" t="s">
        <v>1092</v>
      </c>
      <c r="Q856" s="6"/>
      <c r="R856" s="7" t="n">
        <f aca="false">COUNTIF('Label Map'!$D$2:$D$2000,A856)</f>
        <v>2</v>
      </c>
    </row>
    <row r="857" customFormat="false" ht="15" hidden="false" customHeight="false" outlineLevel="0" collapsed="false">
      <c r="A857" s="6" t="s">
        <v>1293</v>
      </c>
      <c r="B857" s="6" t="s">
        <v>9</v>
      </c>
      <c r="C857" s="6" t="s">
        <v>3</v>
      </c>
      <c r="D857" s="6" t="s">
        <v>614</v>
      </c>
      <c r="E857" s="6" t="s">
        <v>1096</v>
      </c>
      <c r="F857" s="6" t="s">
        <v>1293</v>
      </c>
      <c r="G857" s="6" t="s">
        <v>1294</v>
      </c>
      <c r="H857" s="6"/>
      <c r="I857" s="6"/>
      <c r="J857" s="6" t="s">
        <v>1096</v>
      </c>
      <c r="K857" s="6" t="s">
        <v>1295</v>
      </c>
      <c r="L857" s="6" t="s">
        <v>1096</v>
      </c>
      <c r="M857" s="6" t="s">
        <v>1173</v>
      </c>
      <c r="N857" s="6"/>
      <c r="O857" s="6" t="s">
        <v>1114</v>
      </c>
      <c r="P857" s="6" t="s">
        <v>1092</v>
      </c>
      <c r="Q857" s="6"/>
      <c r="R857" s="7" t="n">
        <f aca="false">COUNTIF('Label Map'!$D$2:$D$2000,A857)</f>
        <v>2</v>
      </c>
    </row>
    <row r="858" customFormat="false" ht="15" hidden="false" customHeight="false" outlineLevel="0" collapsed="false">
      <c r="A858" s="6" t="s">
        <v>1296</v>
      </c>
      <c r="B858" s="6" t="s">
        <v>9</v>
      </c>
      <c r="C858" s="6" t="s">
        <v>3</v>
      </c>
      <c r="D858" s="6" t="s">
        <v>614</v>
      </c>
      <c r="E858" s="6" t="s">
        <v>1096</v>
      </c>
      <c r="F858" s="6" t="s">
        <v>1296</v>
      </c>
      <c r="G858" s="6" t="s">
        <v>1297</v>
      </c>
      <c r="H858" s="6"/>
      <c r="I858" s="6"/>
      <c r="J858" s="6" t="s">
        <v>1096</v>
      </c>
      <c r="K858" s="6" t="s">
        <v>1211</v>
      </c>
      <c r="L858" s="6" t="s">
        <v>1096</v>
      </c>
      <c r="M858" s="6" t="s">
        <v>1114</v>
      </c>
      <c r="N858" s="6" t="s">
        <v>1190</v>
      </c>
      <c r="O858" s="6" t="s">
        <v>1114</v>
      </c>
      <c r="P858" s="6" t="s">
        <v>468</v>
      </c>
      <c r="Q858" s="6"/>
      <c r="R858" s="7" t="n">
        <f aca="false">COUNTIF('Label Map'!$D$2:$D$2000,A858)</f>
        <v>3</v>
      </c>
    </row>
    <row r="859" customFormat="false" ht="15" hidden="false" customHeight="false" outlineLevel="0" collapsed="false">
      <c r="A859" s="6" t="s">
        <v>1298</v>
      </c>
      <c r="B859" s="6" t="s">
        <v>9</v>
      </c>
      <c r="C859" s="6" t="s">
        <v>3</v>
      </c>
      <c r="D859" s="6" t="s">
        <v>614</v>
      </c>
      <c r="E859" s="6" t="s">
        <v>1096</v>
      </c>
      <c r="F859" s="6" t="s">
        <v>1298</v>
      </c>
      <c r="G859" s="6" t="s">
        <v>1299</v>
      </c>
      <c r="H859" s="6"/>
      <c r="I859" s="6"/>
      <c r="J859" s="6" t="s">
        <v>1096</v>
      </c>
      <c r="K859" s="6" t="s">
        <v>1180</v>
      </c>
      <c r="L859" s="6" t="s">
        <v>1096</v>
      </c>
      <c r="M859" s="6" t="s">
        <v>1114</v>
      </c>
      <c r="N859" s="6" t="s">
        <v>1131</v>
      </c>
      <c r="O859" s="6" t="s">
        <v>1114</v>
      </c>
      <c r="P859" s="6" t="s">
        <v>468</v>
      </c>
      <c r="Q859" s="6"/>
      <c r="R859" s="7" t="n">
        <f aca="false">COUNTIF('Label Map'!$D$2:$D$2000,A859)</f>
        <v>2</v>
      </c>
    </row>
    <row r="860" customFormat="false" ht="15" hidden="false" customHeight="false" outlineLevel="0" collapsed="false">
      <c r="A860" s="6" t="s">
        <v>1300</v>
      </c>
      <c r="B860" s="6" t="s">
        <v>9</v>
      </c>
      <c r="C860" s="6" t="s">
        <v>3</v>
      </c>
      <c r="D860" s="6" t="s">
        <v>614</v>
      </c>
      <c r="E860" s="6" t="s">
        <v>1096</v>
      </c>
      <c r="F860" s="6" t="s">
        <v>1300</v>
      </c>
      <c r="G860" s="6" t="s">
        <v>1301</v>
      </c>
      <c r="H860" s="6"/>
      <c r="I860" s="6"/>
      <c r="J860" s="6" t="s">
        <v>1096</v>
      </c>
      <c r="K860" s="6" t="s">
        <v>1172</v>
      </c>
      <c r="L860" s="6" t="s">
        <v>1096</v>
      </c>
      <c r="M860" s="6" t="s">
        <v>1173</v>
      </c>
      <c r="N860" s="6"/>
      <c r="O860" s="6" t="s">
        <v>875</v>
      </c>
      <c r="P860" s="6" t="s">
        <v>468</v>
      </c>
      <c r="Q860" s="6"/>
      <c r="R860" s="7" t="n">
        <f aca="false">COUNTIF('Label Map'!$D$2:$D$2000,A860)</f>
        <v>2</v>
      </c>
    </row>
    <row r="861" customFormat="false" ht="15" hidden="false" customHeight="false" outlineLevel="0" collapsed="false">
      <c r="A861" s="6" t="s">
        <v>1302</v>
      </c>
      <c r="B861" s="6" t="s">
        <v>9</v>
      </c>
      <c r="C861" s="6" t="s">
        <v>3</v>
      </c>
      <c r="D861" s="6" t="s">
        <v>614</v>
      </c>
      <c r="E861" s="6" t="s">
        <v>1096</v>
      </c>
      <c r="F861" s="6" t="s">
        <v>1302</v>
      </c>
      <c r="G861" s="6" t="s">
        <v>1303</v>
      </c>
      <c r="H861" s="6"/>
      <c r="I861" s="6"/>
      <c r="J861" s="6" t="s">
        <v>1096</v>
      </c>
      <c r="K861" s="6" t="s">
        <v>1189</v>
      </c>
      <c r="L861" s="6" t="s">
        <v>1096</v>
      </c>
      <c r="M861" s="6" t="s">
        <v>1114</v>
      </c>
      <c r="N861" s="6" t="s">
        <v>1190</v>
      </c>
      <c r="O861" s="6" t="s">
        <v>1114</v>
      </c>
      <c r="P861" s="6" t="s">
        <v>1092</v>
      </c>
      <c r="Q861" s="6"/>
      <c r="R861" s="7" t="n">
        <f aca="false">COUNTIF('Label Map'!$D$2:$D$2000,A861)</f>
        <v>2</v>
      </c>
    </row>
    <row r="862" customFormat="false" ht="15" hidden="false" customHeight="false" outlineLevel="0" collapsed="false">
      <c r="A862" s="6" t="s">
        <v>1304</v>
      </c>
      <c r="B862" s="6" t="s">
        <v>9</v>
      </c>
      <c r="C862" s="6" t="s">
        <v>3</v>
      </c>
      <c r="D862" s="6" t="s">
        <v>614</v>
      </c>
      <c r="E862" s="6" t="s">
        <v>1096</v>
      </c>
      <c r="F862" s="6" t="s">
        <v>1304</v>
      </c>
      <c r="G862" s="6" t="s">
        <v>1305</v>
      </c>
      <c r="H862" s="6"/>
      <c r="I862" s="6"/>
      <c r="J862" s="6" t="s">
        <v>1096</v>
      </c>
      <c r="K862" s="6" t="s">
        <v>1103</v>
      </c>
      <c r="L862" s="6" t="s">
        <v>1096</v>
      </c>
      <c r="M862" s="6" t="s">
        <v>1173</v>
      </c>
      <c r="N862" s="6"/>
      <c r="O862" s="6" t="s">
        <v>311</v>
      </c>
      <c r="P862" s="6" t="s">
        <v>311</v>
      </c>
      <c r="Q862" s="6"/>
      <c r="R862" s="7" t="n">
        <f aca="false">COUNTIF('Label Map'!$D$2:$D$2000,A862)</f>
        <v>1</v>
      </c>
    </row>
    <row r="863" customFormat="false" ht="15" hidden="false" customHeight="false" outlineLevel="0" collapsed="false">
      <c r="A863" s="6" t="s">
        <v>1306</v>
      </c>
      <c r="B863" s="6" t="s">
        <v>9</v>
      </c>
      <c r="C863" s="6" t="s">
        <v>3</v>
      </c>
      <c r="D863" s="6" t="s">
        <v>614</v>
      </c>
      <c r="E863" s="6" t="s">
        <v>1096</v>
      </c>
      <c r="F863" s="6" t="s">
        <v>1306</v>
      </c>
      <c r="G863" s="6" t="s">
        <v>1307</v>
      </c>
      <c r="H863" s="6"/>
      <c r="I863" s="6"/>
      <c r="J863" s="6" t="s">
        <v>1096</v>
      </c>
      <c r="K863" s="6" t="s">
        <v>1189</v>
      </c>
      <c r="L863" s="6" t="s">
        <v>1096</v>
      </c>
      <c r="M863" s="6" t="s">
        <v>1114</v>
      </c>
      <c r="N863" s="6" t="s">
        <v>1190</v>
      </c>
      <c r="O863" s="6" t="s">
        <v>1114</v>
      </c>
      <c r="P863" s="6" t="s">
        <v>468</v>
      </c>
      <c r="Q863" s="6"/>
      <c r="R863" s="7" t="n">
        <f aca="false">COUNTIF('Label Map'!$D$2:$D$2000,A863)</f>
        <v>1</v>
      </c>
    </row>
    <row r="864" customFormat="false" ht="15" hidden="false" customHeight="false" outlineLevel="0" collapsed="false">
      <c r="A864" s="6" t="s">
        <v>1308</v>
      </c>
      <c r="B864" s="6" t="s">
        <v>9</v>
      </c>
      <c r="C864" s="6" t="s">
        <v>3</v>
      </c>
      <c r="D864" s="6" t="s">
        <v>614</v>
      </c>
      <c r="E864" s="6" t="s">
        <v>1096</v>
      </c>
      <c r="F864" s="6" t="s">
        <v>1308</v>
      </c>
      <c r="G864" s="6" t="s">
        <v>1309</v>
      </c>
      <c r="H864" s="6"/>
      <c r="I864" s="6"/>
      <c r="J864" s="6" t="s">
        <v>1096</v>
      </c>
      <c r="K864" s="6" t="s">
        <v>1310</v>
      </c>
      <c r="L864" s="6" t="s">
        <v>1096</v>
      </c>
      <c r="M864" s="6" t="s">
        <v>1114</v>
      </c>
      <c r="N864" s="6" t="s">
        <v>1190</v>
      </c>
      <c r="O864" s="6" t="s">
        <v>1114</v>
      </c>
      <c r="P864" s="6" t="s">
        <v>468</v>
      </c>
      <c r="Q864" s="6"/>
      <c r="R864" s="7" t="n">
        <f aca="false">COUNTIF('Label Map'!$D$2:$D$2000,A864)</f>
        <v>1</v>
      </c>
    </row>
    <row r="865" customFormat="false" ht="15" hidden="false" customHeight="false" outlineLevel="0" collapsed="false">
      <c r="A865" s="6" t="s">
        <v>1311</v>
      </c>
      <c r="B865" s="6" t="s">
        <v>5</v>
      </c>
      <c r="C865" s="6" t="s">
        <v>3</v>
      </c>
      <c r="D865" s="6" t="s">
        <v>1312</v>
      </c>
      <c r="E865" s="6"/>
      <c r="F865" s="6"/>
      <c r="G865" s="6"/>
      <c r="H865" s="6"/>
      <c r="I865" s="6"/>
      <c r="J865" s="6" t="s">
        <v>3</v>
      </c>
      <c r="K865" s="6"/>
      <c r="L865" s="6"/>
      <c r="M865" s="6"/>
      <c r="N865" s="6"/>
      <c r="O865" s="6"/>
      <c r="P865" s="6"/>
      <c r="Q865" s="6" t="s">
        <v>1313</v>
      </c>
      <c r="R865" s="7" t="n">
        <f aca="false">COUNTIF('Label Map'!$D$2:$D$2000,A865)</f>
        <v>42</v>
      </c>
    </row>
    <row r="866" customFormat="false" ht="15" hidden="false" customHeight="false" outlineLevel="0" collapsed="false">
      <c r="A866" s="6" t="s">
        <v>744</v>
      </c>
      <c r="B866" s="6" t="s">
        <v>78</v>
      </c>
      <c r="C866" s="6" t="s">
        <v>3</v>
      </c>
      <c r="D866" s="6" t="s">
        <v>1312</v>
      </c>
      <c r="E866" s="6"/>
      <c r="F866" s="6"/>
      <c r="G866" s="6"/>
      <c r="H866" s="6"/>
      <c r="I866" s="6"/>
      <c r="J866" s="6" t="s">
        <v>1311</v>
      </c>
      <c r="K866" s="6"/>
      <c r="L866" s="6"/>
      <c r="M866" s="6"/>
      <c r="N866" s="6"/>
      <c r="O866" s="6"/>
      <c r="P866" s="6"/>
      <c r="Q866" s="6" t="s">
        <v>1314</v>
      </c>
      <c r="R866" s="7" t="n">
        <f aca="false">COUNTIF('Label Map'!$D$2:$D$2000,A866)</f>
        <v>14</v>
      </c>
    </row>
    <row r="867" customFormat="false" ht="15" hidden="false" customHeight="false" outlineLevel="0" collapsed="false">
      <c r="A867" s="6" t="s">
        <v>1315</v>
      </c>
      <c r="B867" s="6" t="s">
        <v>7</v>
      </c>
      <c r="C867" s="6" t="s">
        <v>3</v>
      </c>
      <c r="D867" s="6" t="s">
        <v>1312</v>
      </c>
      <c r="E867" s="6" t="s">
        <v>1315</v>
      </c>
      <c r="F867" s="6"/>
      <c r="G867" s="6"/>
      <c r="H867" s="6"/>
      <c r="I867" s="6"/>
      <c r="J867" s="6" t="s">
        <v>1311</v>
      </c>
      <c r="K867" s="6"/>
      <c r="L867" s="6"/>
      <c r="M867" s="6"/>
      <c r="N867" s="6"/>
      <c r="O867" s="6"/>
      <c r="P867" s="6"/>
      <c r="Q867" s="6"/>
      <c r="R867" s="7" t="n">
        <f aca="false">COUNTIF('Label Map'!$D$2:$D$2000,A867)</f>
        <v>3</v>
      </c>
    </row>
    <row r="868" customFormat="false" ht="15" hidden="false" customHeight="false" outlineLevel="0" collapsed="false">
      <c r="A868" s="6" t="s">
        <v>1316</v>
      </c>
      <c r="B868" s="6" t="s">
        <v>9</v>
      </c>
      <c r="C868" s="6" t="s">
        <v>3</v>
      </c>
      <c r="D868" s="6" t="s">
        <v>1312</v>
      </c>
      <c r="E868" s="6" t="s">
        <v>1315</v>
      </c>
      <c r="F868" s="6" t="s">
        <v>1316</v>
      </c>
      <c r="G868" s="6" t="s">
        <v>1317</v>
      </c>
      <c r="H868" s="6"/>
      <c r="I868" s="6"/>
      <c r="J868" s="6" t="s">
        <v>1315</v>
      </c>
      <c r="K868" s="6" t="s">
        <v>1318</v>
      </c>
      <c r="L868" s="6" t="s">
        <v>744</v>
      </c>
      <c r="M868" s="6" t="s">
        <v>1068</v>
      </c>
      <c r="N868" s="6"/>
      <c r="O868" s="6" t="s">
        <v>1315</v>
      </c>
      <c r="P868" s="6" t="s">
        <v>468</v>
      </c>
      <c r="Q868" s="6"/>
      <c r="R868" s="7" t="n">
        <f aca="false">COUNTIF('Label Map'!$D$2:$D$2000,A868)</f>
        <v>3</v>
      </c>
    </row>
    <row r="869" customFormat="false" ht="15" hidden="false" customHeight="false" outlineLevel="0" collapsed="false">
      <c r="A869" s="6" t="s">
        <v>1319</v>
      </c>
      <c r="B869" s="6" t="s">
        <v>89</v>
      </c>
      <c r="C869" s="6" t="s">
        <v>3</v>
      </c>
      <c r="D869" s="6" t="s">
        <v>1312</v>
      </c>
      <c r="E869" s="6" t="s">
        <v>1315</v>
      </c>
      <c r="F869" s="6" t="s">
        <v>1316</v>
      </c>
      <c r="G869" s="6" t="s">
        <v>1317</v>
      </c>
      <c r="H869" s="6"/>
      <c r="I869" s="6"/>
      <c r="J869" s="6" t="s">
        <v>1316</v>
      </c>
      <c r="K869" s="6"/>
      <c r="L869" s="6"/>
      <c r="M869" s="6"/>
      <c r="N869" s="6"/>
      <c r="O869" s="6"/>
      <c r="P869" s="6"/>
      <c r="Q869" s="6"/>
      <c r="R869" s="7" t="n">
        <f aca="false">COUNTIF('Label Map'!$D$2:$D$2000,A869)</f>
        <v>1</v>
      </c>
    </row>
    <row r="870" customFormat="false" ht="15" hidden="false" customHeight="false" outlineLevel="0" collapsed="false">
      <c r="A870" s="6" t="s">
        <v>1320</v>
      </c>
      <c r="B870" s="6" t="s">
        <v>89</v>
      </c>
      <c r="C870" s="6" t="s">
        <v>3</v>
      </c>
      <c r="D870" s="6" t="s">
        <v>1312</v>
      </c>
      <c r="E870" s="6" t="s">
        <v>1315</v>
      </c>
      <c r="F870" s="6" t="s">
        <v>1316</v>
      </c>
      <c r="G870" s="6" t="s">
        <v>1317</v>
      </c>
      <c r="H870" s="6"/>
      <c r="I870" s="6"/>
      <c r="J870" s="6" t="s">
        <v>1316</v>
      </c>
      <c r="K870" s="6"/>
      <c r="L870" s="6"/>
      <c r="M870" s="6"/>
      <c r="N870" s="6"/>
      <c r="O870" s="6"/>
      <c r="P870" s="6"/>
      <c r="Q870" s="6"/>
      <c r="R870" s="7" t="n">
        <f aca="false">COUNTIF('Label Map'!$D$2:$D$2000,A870)</f>
        <v>1</v>
      </c>
    </row>
    <row r="871" customFormat="false" ht="15" hidden="false" customHeight="false" outlineLevel="0" collapsed="false">
      <c r="A871" s="6" t="s">
        <v>1321</v>
      </c>
      <c r="B871" s="6" t="s">
        <v>89</v>
      </c>
      <c r="C871" s="6" t="s">
        <v>3</v>
      </c>
      <c r="D871" s="6" t="s">
        <v>1312</v>
      </c>
      <c r="E871" s="6" t="s">
        <v>1315</v>
      </c>
      <c r="F871" s="6" t="s">
        <v>1316</v>
      </c>
      <c r="G871" s="6" t="s">
        <v>1317</v>
      </c>
      <c r="H871" s="6"/>
      <c r="I871" s="6"/>
      <c r="J871" s="6" t="s">
        <v>1316</v>
      </c>
      <c r="K871" s="6"/>
      <c r="L871" s="6"/>
      <c r="M871" s="6"/>
      <c r="N871" s="6"/>
      <c r="O871" s="6"/>
      <c r="P871" s="6"/>
      <c r="Q871" s="6"/>
      <c r="R871" s="7" t="n">
        <f aca="false">COUNTIF('Label Map'!$D$2:$D$2000,A871)</f>
        <v>1</v>
      </c>
    </row>
    <row r="872" customFormat="false" ht="15" hidden="false" customHeight="false" outlineLevel="0" collapsed="false">
      <c r="A872" s="6" t="s">
        <v>1322</v>
      </c>
      <c r="B872" s="6" t="s">
        <v>89</v>
      </c>
      <c r="C872" s="6" t="s">
        <v>3</v>
      </c>
      <c r="D872" s="6" t="s">
        <v>1312</v>
      </c>
      <c r="E872" s="6" t="s">
        <v>1315</v>
      </c>
      <c r="F872" s="6" t="s">
        <v>1316</v>
      </c>
      <c r="G872" s="6" t="s">
        <v>1317</v>
      </c>
      <c r="H872" s="6"/>
      <c r="I872" s="6"/>
      <c r="J872" s="6" t="s">
        <v>1316</v>
      </c>
      <c r="K872" s="6"/>
      <c r="L872" s="6"/>
      <c r="M872" s="6"/>
      <c r="N872" s="6"/>
      <c r="O872" s="6"/>
      <c r="P872" s="6"/>
      <c r="Q872" s="6"/>
      <c r="R872" s="7" t="n">
        <f aca="false">COUNTIF('Label Map'!$D$2:$D$2000,A872)</f>
        <v>1</v>
      </c>
    </row>
    <row r="873" customFormat="false" ht="15" hidden="false" customHeight="false" outlineLevel="0" collapsed="false">
      <c r="A873" s="6" t="s">
        <v>1323</v>
      </c>
      <c r="B873" s="6" t="s">
        <v>89</v>
      </c>
      <c r="C873" s="6" t="s">
        <v>3</v>
      </c>
      <c r="D873" s="6" t="s">
        <v>1312</v>
      </c>
      <c r="E873" s="6" t="s">
        <v>1315</v>
      </c>
      <c r="F873" s="6" t="s">
        <v>1316</v>
      </c>
      <c r="G873" s="6" t="s">
        <v>1317</v>
      </c>
      <c r="H873" s="6"/>
      <c r="I873" s="6"/>
      <c r="J873" s="6" t="s">
        <v>1316</v>
      </c>
      <c r="K873" s="6"/>
      <c r="L873" s="6"/>
      <c r="M873" s="6"/>
      <c r="N873" s="6"/>
      <c r="O873" s="6"/>
      <c r="P873" s="6"/>
      <c r="Q873" s="6"/>
      <c r="R873" s="7" t="n">
        <f aca="false">COUNTIF('Label Map'!$D$2:$D$2000,A873)</f>
        <v>1</v>
      </c>
    </row>
    <row r="874" customFormat="false" ht="15" hidden="false" customHeight="false" outlineLevel="0" collapsed="false">
      <c r="A874" s="6" t="s">
        <v>1324</v>
      </c>
      <c r="B874" s="6" t="s">
        <v>89</v>
      </c>
      <c r="C874" s="6" t="s">
        <v>3</v>
      </c>
      <c r="D874" s="6" t="s">
        <v>1312</v>
      </c>
      <c r="E874" s="6" t="s">
        <v>1315</v>
      </c>
      <c r="F874" s="6" t="s">
        <v>1316</v>
      </c>
      <c r="G874" s="6" t="s">
        <v>1317</v>
      </c>
      <c r="H874" s="6"/>
      <c r="I874" s="6"/>
      <c r="J874" s="6" t="s">
        <v>1316</v>
      </c>
      <c r="K874" s="6"/>
      <c r="L874" s="6"/>
      <c r="M874" s="6"/>
      <c r="N874" s="6"/>
      <c r="O874" s="6"/>
      <c r="P874" s="6"/>
      <c r="Q874" s="6"/>
      <c r="R874" s="7" t="n">
        <f aca="false">COUNTIF('Label Map'!$D$2:$D$2000,A874)</f>
        <v>1</v>
      </c>
    </row>
    <row r="875" customFormat="false" ht="15" hidden="false" customHeight="false" outlineLevel="0" collapsed="false">
      <c r="A875" s="6" t="s">
        <v>1325</v>
      </c>
      <c r="B875" s="6" t="s">
        <v>11</v>
      </c>
      <c r="C875" s="6" t="s">
        <v>3</v>
      </c>
      <c r="D875" s="6" t="s">
        <v>1312</v>
      </c>
      <c r="E875" s="6" t="s">
        <v>1315</v>
      </c>
      <c r="F875" s="6" t="s">
        <v>1316</v>
      </c>
      <c r="G875" s="6" t="s">
        <v>1317</v>
      </c>
      <c r="H875" s="6" t="s">
        <v>1325</v>
      </c>
      <c r="I875" s="6"/>
      <c r="J875" s="6" t="s">
        <v>1316</v>
      </c>
      <c r="K875" s="6"/>
      <c r="L875" s="6"/>
      <c r="M875" s="6"/>
      <c r="N875" s="6"/>
      <c r="O875" s="6"/>
      <c r="P875" s="6"/>
      <c r="Q875" s="6" t="s">
        <v>1326</v>
      </c>
      <c r="R875" s="7" t="n">
        <f aca="false">COUNTIF('Label Map'!$D$2:$D$2000,A875)</f>
        <v>1</v>
      </c>
    </row>
    <row r="876" customFormat="false" ht="15" hidden="false" customHeight="false" outlineLevel="0" collapsed="false">
      <c r="A876" s="6" t="s">
        <v>1327</v>
      </c>
      <c r="B876" s="6" t="s">
        <v>11</v>
      </c>
      <c r="C876" s="6" t="s">
        <v>3</v>
      </c>
      <c r="D876" s="6" t="s">
        <v>1312</v>
      </c>
      <c r="E876" s="6" t="s">
        <v>1315</v>
      </c>
      <c r="F876" s="6" t="s">
        <v>1316</v>
      </c>
      <c r="G876" s="6" t="s">
        <v>1317</v>
      </c>
      <c r="H876" s="6" t="s">
        <v>1327</v>
      </c>
      <c r="I876" s="6"/>
      <c r="J876" s="6" t="s">
        <v>1316</v>
      </c>
      <c r="K876" s="6"/>
      <c r="L876" s="6"/>
      <c r="M876" s="6"/>
      <c r="N876" s="6"/>
      <c r="O876" s="6"/>
      <c r="P876" s="6"/>
      <c r="Q876" s="6" t="s">
        <v>345</v>
      </c>
      <c r="R876" s="7" t="n">
        <f aca="false">COUNTIF('Label Map'!$D$2:$D$2000,A876)</f>
        <v>1</v>
      </c>
    </row>
    <row r="877" customFormat="false" ht="15" hidden="false" customHeight="false" outlineLevel="0" collapsed="false">
      <c r="A877" s="6" t="s">
        <v>1328</v>
      </c>
      <c r="B877" s="6" t="s">
        <v>11</v>
      </c>
      <c r="C877" s="6" t="s">
        <v>3</v>
      </c>
      <c r="D877" s="6" t="s">
        <v>1312</v>
      </c>
      <c r="E877" s="6" t="s">
        <v>1315</v>
      </c>
      <c r="F877" s="6" t="s">
        <v>1316</v>
      </c>
      <c r="G877" s="6" t="s">
        <v>1317</v>
      </c>
      <c r="H877" s="6" t="s">
        <v>1328</v>
      </c>
      <c r="I877" s="6"/>
      <c r="J877" s="6" t="s">
        <v>1316</v>
      </c>
      <c r="K877" s="6"/>
      <c r="L877" s="6"/>
      <c r="M877" s="6"/>
      <c r="N877" s="6"/>
      <c r="O877" s="6"/>
      <c r="P877" s="6"/>
      <c r="Q877" s="6" t="s">
        <v>345</v>
      </c>
      <c r="R877" s="7" t="n">
        <f aca="false">COUNTIF('Label Map'!$D$2:$D$2000,A877)</f>
        <v>1</v>
      </c>
    </row>
    <row r="878" customFormat="false" ht="15" hidden="false" customHeight="false" outlineLevel="0" collapsed="false">
      <c r="A878" s="6" t="s">
        <v>1329</v>
      </c>
      <c r="B878" s="6" t="s">
        <v>11</v>
      </c>
      <c r="C878" s="6" t="s">
        <v>3</v>
      </c>
      <c r="D878" s="6" t="s">
        <v>1312</v>
      </c>
      <c r="E878" s="6" t="s">
        <v>1315</v>
      </c>
      <c r="F878" s="6" t="s">
        <v>1316</v>
      </c>
      <c r="G878" s="6" t="s">
        <v>1317</v>
      </c>
      <c r="H878" s="6" t="s">
        <v>1329</v>
      </c>
      <c r="I878" s="6"/>
      <c r="J878" s="6" t="s">
        <v>1316</v>
      </c>
      <c r="K878" s="6"/>
      <c r="L878" s="6"/>
      <c r="M878" s="6"/>
      <c r="N878" s="6"/>
      <c r="O878" s="6"/>
      <c r="P878" s="6"/>
      <c r="Q878" s="6" t="s">
        <v>345</v>
      </c>
      <c r="R878" s="7" t="n">
        <f aca="false">COUNTIF('Label Map'!$D$2:$D$2000,A878)</f>
        <v>1</v>
      </c>
    </row>
    <row r="879" customFormat="false" ht="15" hidden="false" customHeight="false" outlineLevel="0" collapsed="false">
      <c r="A879" s="6" t="s">
        <v>1330</v>
      </c>
      <c r="B879" s="6" t="s">
        <v>11</v>
      </c>
      <c r="C879" s="6" t="s">
        <v>3</v>
      </c>
      <c r="D879" s="6" t="s">
        <v>1312</v>
      </c>
      <c r="E879" s="6" t="s">
        <v>1315</v>
      </c>
      <c r="F879" s="6" t="s">
        <v>1316</v>
      </c>
      <c r="G879" s="6" t="s">
        <v>1317</v>
      </c>
      <c r="H879" s="6" t="s">
        <v>1330</v>
      </c>
      <c r="I879" s="6"/>
      <c r="J879" s="6" t="s">
        <v>1316</v>
      </c>
      <c r="K879" s="6"/>
      <c r="L879" s="6"/>
      <c r="M879" s="6"/>
      <c r="N879" s="6"/>
      <c r="O879" s="6"/>
      <c r="P879" s="6"/>
      <c r="Q879" s="6" t="s">
        <v>345</v>
      </c>
      <c r="R879" s="7" t="n">
        <f aca="false">COUNTIF('Label Map'!$D$2:$D$2000,A879)</f>
        <v>1</v>
      </c>
    </row>
    <row r="880" customFormat="false" ht="15" hidden="false" customHeight="false" outlineLevel="0" collapsed="false">
      <c r="A880" s="6" t="s">
        <v>1331</v>
      </c>
      <c r="B880" s="6" t="s">
        <v>11</v>
      </c>
      <c r="C880" s="6" t="s">
        <v>3</v>
      </c>
      <c r="D880" s="6" t="s">
        <v>1312</v>
      </c>
      <c r="E880" s="6" t="s">
        <v>1315</v>
      </c>
      <c r="F880" s="6" t="s">
        <v>1316</v>
      </c>
      <c r="G880" s="6" t="s">
        <v>1317</v>
      </c>
      <c r="H880" s="6" t="s">
        <v>1331</v>
      </c>
      <c r="I880" s="6"/>
      <c r="J880" s="6" t="s">
        <v>1316</v>
      </c>
      <c r="K880" s="6"/>
      <c r="L880" s="6"/>
      <c r="M880" s="6"/>
      <c r="N880" s="6"/>
      <c r="O880" s="6"/>
      <c r="P880" s="6"/>
      <c r="Q880" s="6" t="s">
        <v>1326</v>
      </c>
      <c r="R880" s="7" t="n">
        <f aca="false">COUNTIF('Label Map'!$D$2:$D$2000,A880)</f>
        <v>1</v>
      </c>
    </row>
    <row r="881" customFormat="false" ht="15" hidden="false" customHeight="false" outlineLevel="0" collapsed="false">
      <c r="A881" s="6" t="s">
        <v>1332</v>
      </c>
      <c r="B881" s="6" t="s">
        <v>11</v>
      </c>
      <c r="C881" s="6" t="s">
        <v>3</v>
      </c>
      <c r="D881" s="6" t="s">
        <v>1312</v>
      </c>
      <c r="E881" s="6" t="s">
        <v>1315</v>
      </c>
      <c r="F881" s="6" t="s">
        <v>1316</v>
      </c>
      <c r="G881" s="6" t="s">
        <v>1317</v>
      </c>
      <c r="H881" s="6" t="s">
        <v>1332</v>
      </c>
      <c r="I881" s="6"/>
      <c r="J881" s="6" t="s">
        <v>1316</v>
      </c>
      <c r="K881" s="6"/>
      <c r="L881" s="6"/>
      <c r="M881" s="6"/>
      <c r="N881" s="6"/>
      <c r="O881" s="6"/>
      <c r="P881" s="6"/>
      <c r="Q881" s="6" t="s">
        <v>345</v>
      </c>
      <c r="R881" s="7" t="n">
        <f aca="false">COUNTIF('Label Map'!$D$2:$D$2000,A881)</f>
        <v>1</v>
      </c>
    </row>
    <row r="882" customFormat="false" ht="15" hidden="false" customHeight="false" outlineLevel="0" collapsed="false">
      <c r="A882" s="6" t="s">
        <v>1333</v>
      </c>
      <c r="B882" s="6" t="s">
        <v>11</v>
      </c>
      <c r="C882" s="6" t="s">
        <v>3</v>
      </c>
      <c r="D882" s="6" t="s">
        <v>1312</v>
      </c>
      <c r="E882" s="6" t="s">
        <v>1315</v>
      </c>
      <c r="F882" s="6" t="s">
        <v>1316</v>
      </c>
      <c r="G882" s="6" t="s">
        <v>1317</v>
      </c>
      <c r="H882" s="6" t="s">
        <v>1333</v>
      </c>
      <c r="I882" s="6"/>
      <c r="J882" s="6" t="s">
        <v>1316</v>
      </c>
      <c r="K882" s="6"/>
      <c r="L882" s="6"/>
      <c r="M882" s="6"/>
      <c r="N882" s="6"/>
      <c r="O882" s="6"/>
      <c r="P882" s="6"/>
      <c r="Q882" s="6" t="s">
        <v>1326</v>
      </c>
      <c r="R882" s="7" t="n">
        <f aca="false">COUNTIF('Label Map'!$D$2:$D$2000,A882)</f>
        <v>1</v>
      </c>
    </row>
    <row r="883" customFormat="false" ht="15" hidden="false" customHeight="false" outlineLevel="0" collapsed="false">
      <c r="A883" s="6" t="s">
        <v>1334</v>
      </c>
      <c r="B883" s="6" t="s">
        <v>11</v>
      </c>
      <c r="C883" s="6" t="s">
        <v>3</v>
      </c>
      <c r="D883" s="6" t="s">
        <v>1312</v>
      </c>
      <c r="E883" s="6" t="s">
        <v>1315</v>
      </c>
      <c r="F883" s="6" t="s">
        <v>1316</v>
      </c>
      <c r="G883" s="6" t="s">
        <v>1317</v>
      </c>
      <c r="H883" s="6" t="s">
        <v>1334</v>
      </c>
      <c r="I883" s="6"/>
      <c r="J883" s="6" t="s">
        <v>1316</v>
      </c>
      <c r="K883" s="6"/>
      <c r="L883" s="6"/>
      <c r="M883" s="6"/>
      <c r="N883" s="6"/>
      <c r="O883" s="6"/>
      <c r="P883" s="6"/>
      <c r="Q883" s="6" t="s">
        <v>1326</v>
      </c>
      <c r="R883" s="7" t="n">
        <f aca="false">COUNTIF('Label Map'!$D$2:$D$2000,A883)</f>
        <v>3</v>
      </c>
    </row>
    <row r="884" customFormat="false" ht="15" hidden="false" customHeight="false" outlineLevel="0" collapsed="false">
      <c r="A884" s="6" t="s">
        <v>1335</v>
      </c>
      <c r="B884" s="6" t="s">
        <v>63</v>
      </c>
      <c r="C884" s="6" t="s">
        <v>3</v>
      </c>
      <c r="D884" s="6" t="s">
        <v>1312</v>
      </c>
      <c r="E884" s="6" t="s">
        <v>1315</v>
      </c>
      <c r="F884" s="6" t="s">
        <v>1316</v>
      </c>
      <c r="G884" s="6" t="s">
        <v>1317</v>
      </c>
      <c r="H884" s="6" t="s">
        <v>1334</v>
      </c>
      <c r="I884" s="6" t="s">
        <v>1335</v>
      </c>
      <c r="J884" s="6" t="s">
        <v>1334</v>
      </c>
      <c r="K884" s="6"/>
      <c r="L884" s="6"/>
      <c r="M884" s="6"/>
      <c r="N884" s="6"/>
      <c r="O884" s="6"/>
      <c r="P884" s="6"/>
      <c r="Q884" s="6"/>
      <c r="R884" s="7" t="n">
        <f aca="false">COUNTIF('Label Map'!$D$2:$D$2000,A884)</f>
        <v>0</v>
      </c>
    </row>
    <row r="885" customFormat="false" ht="15" hidden="false" customHeight="false" outlineLevel="0" collapsed="false">
      <c r="A885" s="6" t="s">
        <v>1336</v>
      </c>
      <c r="B885" s="6" t="s">
        <v>11</v>
      </c>
      <c r="C885" s="6" t="s">
        <v>3</v>
      </c>
      <c r="D885" s="6" t="s">
        <v>1312</v>
      </c>
      <c r="E885" s="6" t="s">
        <v>1315</v>
      </c>
      <c r="F885" s="6" t="s">
        <v>1316</v>
      </c>
      <c r="G885" s="6" t="s">
        <v>1317</v>
      </c>
      <c r="H885" s="6" t="s">
        <v>1336</v>
      </c>
      <c r="I885" s="6"/>
      <c r="J885" s="6" t="s">
        <v>1316</v>
      </c>
      <c r="K885" s="6"/>
      <c r="L885" s="6"/>
      <c r="M885" s="6"/>
      <c r="N885" s="6"/>
      <c r="O885" s="6"/>
      <c r="P885" s="6"/>
      <c r="Q885" s="6" t="s">
        <v>345</v>
      </c>
      <c r="R885" s="7" t="n">
        <f aca="false">COUNTIF('Label Map'!$D$2:$D$2000,A885)</f>
        <v>1</v>
      </c>
    </row>
    <row r="886" customFormat="false" ht="15" hidden="false" customHeight="false" outlineLevel="0" collapsed="false">
      <c r="A886" s="6" t="s">
        <v>1337</v>
      </c>
      <c r="B886" s="6" t="s">
        <v>11</v>
      </c>
      <c r="C886" s="6" t="s">
        <v>3</v>
      </c>
      <c r="D886" s="6" t="s">
        <v>1312</v>
      </c>
      <c r="E886" s="6" t="s">
        <v>1315</v>
      </c>
      <c r="F886" s="6" t="s">
        <v>1316</v>
      </c>
      <c r="G886" s="6" t="s">
        <v>1317</v>
      </c>
      <c r="H886" s="6" t="s">
        <v>1337</v>
      </c>
      <c r="I886" s="6"/>
      <c r="J886" s="6" t="s">
        <v>1316</v>
      </c>
      <c r="K886" s="6"/>
      <c r="L886" s="6"/>
      <c r="M886" s="6"/>
      <c r="N886" s="6"/>
      <c r="O886" s="6"/>
      <c r="P886" s="6"/>
      <c r="Q886" s="6" t="s">
        <v>345</v>
      </c>
      <c r="R886" s="7" t="n">
        <f aca="false">COUNTIF('Label Map'!$D$2:$D$2000,A886)</f>
        <v>1</v>
      </c>
    </row>
    <row r="887" customFormat="false" ht="15" hidden="false" customHeight="false" outlineLevel="0" collapsed="false">
      <c r="A887" s="6" t="s">
        <v>1338</v>
      </c>
      <c r="B887" s="6" t="s">
        <v>63</v>
      </c>
      <c r="C887" s="6" t="s">
        <v>3</v>
      </c>
      <c r="D887" s="6" t="s">
        <v>1312</v>
      </c>
      <c r="E887" s="6" t="s">
        <v>1315</v>
      </c>
      <c r="F887" s="6" t="s">
        <v>1316</v>
      </c>
      <c r="G887" s="6" t="s">
        <v>1317</v>
      </c>
      <c r="H887" s="6" t="s">
        <v>1337</v>
      </c>
      <c r="I887" s="6" t="s">
        <v>1338</v>
      </c>
      <c r="J887" s="6" t="s">
        <v>1337</v>
      </c>
      <c r="K887" s="6"/>
      <c r="L887" s="6"/>
      <c r="M887" s="6"/>
      <c r="N887" s="6"/>
      <c r="O887" s="6"/>
      <c r="P887" s="6"/>
      <c r="Q887" s="6"/>
      <c r="R887" s="7" t="n">
        <f aca="false">COUNTIF('Label Map'!$D$2:$D$2000,A887)</f>
        <v>0</v>
      </c>
    </row>
    <row r="888" customFormat="false" ht="15" hidden="false" customHeight="false" outlineLevel="0" collapsed="false">
      <c r="A888" s="6" t="s">
        <v>1339</v>
      </c>
      <c r="B888" s="6" t="s">
        <v>11</v>
      </c>
      <c r="C888" s="6" t="s">
        <v>3</v>
      </c>
      <c r="D888" s="6" t="s">
        <v>1312</v>
      </c>
      <c r="E888" s="6" t="s">
        <v>1315</v>
      </c>
      <c r="F888" s="6" t="s">
        <v>1316</v>
      </c>
      <c r="G888" s="6" t="s">
        <v>1317</v>
      </c>
      <c r="H888" s="6" t="s">
        <v>1339</v>
      </c>
      <c r="I888" s="6"/>
      <c r="J888" s="6" t="s">
        <v>1316</v>
      </c>
      <c r="K888" s="6"/>
      <c r="L888" s="6"/>
      <c r="M888" s="6"/>
      <c r="N888" s="6"/>
      <c r="O888" s="6"/>
      <c r="P888" s="6"/>
      <c r="Q888" s="6" t="s">
        <v>345</v>
      </c>
      <c r="R888" s="7" t="n">
        <f aca="false">COUNTIF('Label Map'!$D$2:$D$2000,A888)</f>
        <v>1</v>
      </c>
    </row>
    <row r="889" customFormat="false" ht="15" hidden="false" customHeight="false" outlineLevel="0" collapsed="false">
      <c r="A889" s="6" t="s">
        <v>1340</v>
      </c>
      <c r="B889" s="6" t="s">
        <v>63</v>
      </c>
      <c r="C889" s="6" t="s">
        <v>3</v>
      </c>
      <c r="D889" s="6" t="s">
        <v>1312</v>
      </c>
      <c r="E889" s="6" t="s">
        <v>1315</v>
      </c>
      <c r="F889" s="6" t="s">
        <v>1316</v>
      </c>
      <c r="G889" s="6" t="s">
        <v>1317</v>
      </c>
      <c r="H889" s="6" t="s">
        <v>1339</v>
      </c>
      <c r="I889" s="6" t="s">
        <v>1340</v>
      </c>
      <c r="J889" s="6" t="s">
        <v>1339</v>
      </c>
      <c r="K889" s="6"/>
      <c r="L889" s="6"/>
      <c r="M889" s="6"/>
      <c r="N889" s="6"/>
      <c r="O889" s="6"/>
      <c r="P889" s="6"/>
      <c r="Q889" s="6"/>
      <c r="R889" s="7" t="n">
        <f aca="false">COUNTIF('Label Map'!$D$2:$D$2000,A889)</f>
        <v>1</v>
      </c>
    </row>
    <row r="890" customFormat="false" ht="15" hidden="false" customHeight="false" outlineLevel="0" collapsed="false">
      <c r="A890" s="6" t="s">
        <v>1341</v>
      </c>
      <c r="B890" s="6" t="s">
        <v>11</v>
      </c>
      <c r="C890" s="6" t="s">
        <v>3</v>
      </c>
      <c r="D890" s="6" t="s">
        <v>1312</v>
      </c>
      <c r="E890" s="6" t="s">
        <v>1315</v>
      </c>
      <c r="F890" s="6" t="s">
        <v>1316</v>
      </c>
      <c r="G890" s="6" t="s">
        <v>1317</v>
      </c>
      <c r="H890" s="6" t="s">
        <v>1341</v>
      </c>
      <c r="I890" s="6"/>
      <c r="J890" s="6" t="s">
        <v>1316</v>
      </c>
      <c r="K890" s="6"/>
      <c r="L890" s="6"/>
      <c r="M890" s="6"/>
      <c r="N890" s="6"/>
      <c r="O890" s="6"/>
      <c r="P890" s="6"/>
      <c r="Q890" s="6" t="s">
        <v>345</v>
      </c>
      <c r="R890" s="7" t="n">
        <f aca="false">COUNTIF('Label Map'!$D$2:$D$2000,A890)</f>
        <v>1</v>
      </c>
    </row>
    <row r="891" customFormat="false" ht="15" hidden="false" customHeight="false" outlineLevel="0" collapsed="false">
      <c r="A891" s="6" t="s">
        <v>1342</v>
      </c>
      <c r="B891" s="6" t="s">
        <v>11</v>
      </c>
      <c r="C891" s="6" t="s">
        <v>3</v>
      </c>
      <c r="D891" s="6" t="s">
        <v>1312</v>
      </c>
      <c r="E891" s="6" t="s">
        <v>1315</v>
      </c>
      <c r="F891" s="6" t="s">
        <v>1316</v>
      </c>
      <c r="G891" s="6" t="s">
        <v>1317</v>
      </c>
      <c r="H891" s="6" t="s">
        <v>1342</v>
      </c>
      <c r="I891" s="6"/>
      <c r="J891" s="6" t="s">
        <v>1316</v>
      </c>
      <c r="K891" s="6"/>
      <c r="L891" s="6"/>
      <c r="M891" s="6"/>
      <c r="N891" s="6"/>
      <c r="O891" s="6"/>
      <c r="P891" s="6"/>
      <c r="Q891" s="6" t="s">
        <v>1326</v>
      </c>
      <c r="R891" s="7" t="n">
        <f aca="false">COUNTIF('Label Map'!$D$2:$D$2000,A891)</f>
        <v>1</v>
      </c>
    </row>
    <row r="892" customFormat="false" ht="15" hidden="false" customHeight="false" outlineLevel="0" collapsed="false">
      <c r="A892" s="6" t="s">
        <v>1343</v>
      </c>
      <c r="B892" s="6" t="s">
        <v>11</v>
      </c>
      <c r="C892" s="6" t="s">
        <v>3</v>
      </c>
      <c r="D892" s="6" t="s">
        <v>1312</v>
      </c>
      <c r="E892" s="6" t="s">
        <v>1315</v>
      </c>
      <c r="F892" s="6" t="s">
        <v>1316</v>
      </c>
      <c r="G892" s="6" t="s">
        <v>1317</v>
      </c>
      <c r="H892" s="6" t="s">
        <v>1343</v>
      </c>
      <c r="I892" s="6"/>
      <c r="J892" s="6" t="s">
        <v>1316</v>
      </c>
      <c r="K892" s="6"/>
      <c r="L892" s="6"/>
      <c r="M892" s="6"/>
      <c r="N892" s="6"/>
      <c r="O892" s="6"/>
      <c r="P892" s="6"/>
      <c r="Q892" s="6" t="s">
        <v>345</v>
      </c>
      <c r="R892" s="7" t="n">
        <f aca="false">COUNTIF('Label Map'!$D$2:$D$2000,A892)</f>
        <v>1</v>
      </c>
    </row>
    <row r="893" customFormat="false" ht="15" hidden="false" customHeight="false" outlineLevel="0" collapsed="false">
      <c r="A893" s="6" t="s">
        <v>1344</v>
      </c>
      <c r="B893" s="6" t="s">
        <v>11</v>
      </c>
      <c r="C893" s="6" t="s">
        <v>3</v>
      </c>
      <c r="D893" s="6" t="s">
        <v>1312</v>
      </c>
      <c r="E893" s="6" t="s">
        <v>1315</v>
      </c>
      <c r="F893" s="6" t="s">
        <v>1316</v>
      </c>
      <c r="G893" s="6" t="s">
        <v>1317</v>
      </c>
      <c r="H893" s="6" t="s">
        <v>1344</v>
      </c>
      <c r="I893" s="6"/>
      <c r="J893" s="6" t="s">
        <v>1316</v>
      </c>
      <c r="K893" s="6"/>
      <c r="L893" s="6"/>
      <c r="M893" s="6"/>
      <c r="N893" s="6"/>
      <c r="O893" s="6"/>
      <c r="P893" s="6"/>
      <c r="Q893" s="6" t="s">
        <v>345</v>
      </c>
      <c r="R893" s="7" t="n">
        <f aca="false">COUNTIF('Label Map'!$D$2:$D$2000,A893)</f>
        <v>1</v>
      </c>
    </row>
    <row r="894" customFormat="false" ht="15" hidden="false" customHeight="false" outlineLevel="0" collapsed="false">
      <c r="A894" s="6" t="s">
        <v>1345</v>
      </c>
      <c r="B894" s="6" t="s">
        <v>63</v>
      </c>
      <c r="C894" s="6" t="s">
        <v>3</v>
      </c>
      <c r="D894" s="6" t="s">
        <v>1312</v>
      </c>
      <c r="E894" s="6" t="s">
        <v>1315</v>
      </c>
      <c r="F894" s="6" t="s">
        <v>1316</v>
      </c>
      <c r="G894" s="6" t="s">
        <v>1317</v>
      </c>
      <c r="H894" s="6" t="s">
        <v>1344</v>
      </c>
      <c r="I894" s="6" t="s">
        <v>1345</v>
      </c>
      <c r="J894" s="6" t="s">
        <v>1344</v>
      </c>
      <c r="K894" s="6"/>
      <c r="L894" s="6"/>
      <c r="M894" s="6"/>
      <c r="N894" s="6"/>
      <c r="O894" s="6"/>
      <c r="P894" s="6"/>
      <c r="Q894" s="6"/>
      <c r="R894" s="7" t="n">
        <f aca="false">COUNTIF('Label Map'!$D$2:$D$2000,A894)</f>
        <v>1</v>
      </c>
    </row>
    <row r="895" customFormat="false" ht="15" hidden="false" customHeight="false" outlineLevel="0" collapsed="false">
      <c r="A895" s="6" t="s">
        <v>1346</v>
      </c>
      <c r="B895" s="6" t="s">
        <v>11</v>
      </c>
      <c r="C895" s="6" t="s">
        <v>3</v>
      </c>
      <c r="D895" s="6" t="s">
        <v>1312</v>
      </c>
      <c r="E895" s="6" t="s">
        <v>1315</v>
      </c>
      <c r="F895" s="6" t="s">
        <v>1316</v>
      </c>
      <c r="G895" s="6" t="s">
        <v>1317</v>
      </c>
      <c r="H895" s="6" t="s">
        <v>1346</v>
      </c>
      <c r="I895" s="6"/>
      <c r="J895" s="6" t="s">
        <v>1316</v>
      </c>
      <c r="K895" s="6"/>
      <c r="L895" s="6"/>
      <c r="M895" s="6"/>
      <c r="N895" s="6"/>
      <c r="O895" s="6"/>
      <c r="P895" s="6"/>
      <c r="Q895" s="6" t="s">
        <v>345</v>
      </c>
      <c r="R895" s="7" t="n">
        <f aca="false">COUNTIF('Label Map'!$D$2:$D$2000,A895)</f>
        <v>1</v>
      </c>
    </row>
    <row r="896" customFormat="false" ht="15" hidden="false" customHeight="false" outlineLevel="0" collapsed="false">
      <c r="A896" s="6" t="s">
        <v>1347</v>
      </c>
      <c r="B896" s="6" t="s">
        <v>11</v>
      </c>
      <c r="C896" s="6" t="s">
        <v>3</v>
      </c>
      <c r="D896" s="6" t="s">
        <v>1312</v>
      </c>
      <c r="E896" s="6" t="s">
        <v>1315</v>
      </c>
      <c r="F896" s="6" t="s">
        <v>1316</v>
      </c>
      <c r="G896" s="6" t="s">
        <v>1317</v>
      </c>
      <c r="H896" s="6" t="s">
        <v>1347</v>
      </c>
      <c r="I896" s="6"/>
      <c r="J896" s="6" t="s">
        <v>1316</v>
      </c>
      <c r="K896" s="6"/>
      <c r="L896" s="6"/>
      <c r="M896" s="6"/>
      <c r="N896" s="6"/>
      <c r="O896" s="6"/>
      <c r="P896" s="6"/>
      <c r="Q896" s="6" t="s">
        <v>1326</v>
      </c>
      <c r="R896" s="7" t="n">
        <f aca="false">COUNTIF('Label Map'!$D$2:$D$2000,A896)</f>
        <v>1</v>
      </c>
    </row>
    <row r="897" customFormat="false" ht="15" hidden="false" customHeight="false" outlineLevel="0" collapsed="false">
      <c r="A897" s="6" t="s">
        <v>1348</v>
      </c>
      <c r="B897" s="6" t="s">
        <v>11</v>
      </c>
      <c r="C897" s="6" t="s">
        <v>3</v>
      </c>
      <c r="D897" s="6" t="s">
        <v>1312</v>
      </c>
      <c r="E897" s="6" t="s">
        <v>1315</v>
      </c>
      <c r="F897" s="6" t="s">
        <v>1316</v>
      </c>
      <c r="G897" s="6" t="s">
        <v>1317</v>
      </c>
      <c r="H897" s="6" t="s">
        <v>1348</v>
      </c>
      <c r="I897" s="6"/>
      <c r="J897" s="6" t="s">
        <v>1316</v>
      </c>
      <c r="K897" s="6"/>
      <c r="L897" s="6"/>
      <c r="M897" s="6"/>
      <c r="N897" s="6"/>
      <c r="O897" s="6"/>
      <c r="P897" s="6"/>
      <c r="Q897" s="6" t="s">
        <v>1326</v>
      </c>
      <c r="R897" s="7" t="n">
        <f aca="false">COUNTIF('Label Map'!$D$2:$D$2000,A897)</f>
        <v>1</v>
      </c>
    </row>
    <row r="898" customFormat="false" ht="15" hidden="false" customHeight="false" outlineLevel="0" collapsed="false">
      <c r="A898" s="6" t="s">
        <v>1349</v>
      </c>
      <c r="B898" s="6" t="s">
        <v>11</v>
      </c>
      <c r="C898" s="6" t="s">
        <v>3</v>
      </c>
      <c r="D898" s="6" t="s">
        <v>1312</v>
      </c>
      <c r="E898" s="6" t="s">
        <v>1315</v>
      </c>
      <c r="F898" s="6" t="s">
        <v>1316</v>
      </c>
      <c r="G898" s="6" t="s">
        <v>1317</v>
      </c>
      <c r="H898" s="6" t="s">
        <v>1349</v>
      </c>
      <c r="I898" s="6"/>
      <c r="J898" s="6" t="s">
        <v>1316</v>
      </c>
      <c r="K898" s="6"/>
      <c r="L898" s="6"/>
      <c r="M898" s="6"/>
      <c r="N898" s="6"/>
      <c r="O898" s="6"/>
      <c r="P898" s="6"/>
      <c r="Q898" s="6" t="s">
        <v>345</v>
      </c>
      <c r="R898" s="7" t="n">
        <f aca="false">COUNTIF('Label Map'!$D$2:$D$2000,A898)</f>
        <v>1</v>
      </c>
    </row>
    <row r="899" customFormat="false" ht="15" hidden="false" customHeight="false" outlineLevel="0" collapsed="false">
      <c r="A899" s="6" t="s">
        <v>1350</v>
      </c>
      <c r="B899" s="6" t="s">
        <v>11</v>
      </c>
      <c r="C899" s="6" t="s">
        <v>3</v>
      </c>
      <c r="D899" s="6" t="s">
        <v>1312</v>
      </c>
      <c r="E899" s="6" t="s">
        <v>1315</v>
      </c>
      <c r="F899" s="6" t="s">
        <v>1316</v>
      </c>
      <c r="G899" s="6" t="s">
        <v>1317</v>
      </c>
      <c r="H899" s="6" t="s">
        <v>1350</v>
      </c>
      <c r="I899" s="6"/>
      <c r="J899" s="6" t="s">
        <v>1316</v>
      </c>
      <c r="K899" s="6"/>
      <c r="L899" s="6"/>
      <c r="M899" s="6"/>
      <c r="N899" s="6"/>
      <c r="O899" s="6"/>
      <c r="P899" s="6"/>
      <c r="Q899" s="6" t="s">
        <v>345</v>
      </c>
      <c r="R899" s="7" t="n">
        <f aca="false">COUNTIF('Label Map'!$D$2:$D$2000,A899)</f>
        <v>1</v>
      </c>
    </row>
    <row r="900" customFormat="false" ht="15" hidden="false" customHeight="false" outlineLevel="0" collapsed="false">
      <c r="A900" s="6" t="s">
        <v>1351</v>
      </c>
      <c r="B900" s="6" t="s">
        <v>63</v>
      </c>
      <c r="C900" s="6" t="s">
        <v>3</v>
      </c>
      <c r="D900" s="6" t="s">
        <v>1312</v>
      </c>
      <c r="E900" s="6" t="s">
        <v>1315</v>
      </c>
      <c r="F900" s="6" t="s">
        <v>1316</v>
      </c>
      <c r="G900" s="6" t="s">
        <v>1317</v>
      </c>
      <c r="H900" s="6" t="s">
        <v>1350</v>
      </c>
      <c r="I900" s="6" t="s">
        <v>1351</v>
      </c>
      <c r="J900" s="6" t="s">
        <v>1350</v>
      </c>
      <c r="K900" s="6"/>
      <c r="L900" s="6"/>
      <c r="M900" s="6"/>
      <c r="N900" s="6"/>
      <c r="O900" s="6"/>
      <c r="P900" s="6"/>
      <c r="Q900" s="6"/>
      <c r="R900" s="7" t="n">
        <f aca="false">COUNTIF('Label Map'!$D$2:$D$2000,A900)</f>
        <v>1</v>
      </c>
    </row>
    <row r="901" customFormat="false" ht="15" hidden="false" customHeight="false" outlineLevel="0" collapsed="false">
      <c r="A901" s="6" t="s">
        <v>1352</v>
      </c>
      <c r="B901" s="6" t="s">
        <v>63</v>
      </c>
      <c r="C901" s="6" t="s">
        <v>3</v>
      </c>
      <c r="D901" s="6" t="s">
        <v>1312</v>
      </c>
      <c r="E901" s="6" t="s">
        <v>1315</v>
      </c>
      <c r="F901" s="6" t="s">
        <v>1316</v>
      </c>
      <c r="G901" s="6" t="s">
        <v>1317</v>
      </c>
      <c r="H901" s="6" t="s">
        <v>1350</v>
      </c>
      <c r="I901" s="6" t="s">
        <v>1352</v>
      </c>
      <c r="J901" s="6" t="s">
        <v>1350</v>
      </c>
      <c r="K901" s="6"/>
      <c r="L901" s="6"/>
      <c r="M901" s="6"/>
      <c r="N901" s="6"/>
      <c r="O901" s="6"/>
      <c r="P901" s="6"/>
      <c r="Q901" s="6"/>
      <c r="R901" s="7" t="n">
        <f aca="false">COUNTIF('Label Map'!$D$2:$D$2000,A901)</f>
        <v>0</v>
      </c>
    </row>
    <row r="902" customFormat="false" ht="15" hidden="false" customHeight="false" outlineLevel="0" collapsed="false">
      <c r="A902" s="6" t="s">
        <v>1353</v>
      </c>
      <c r="B902" s="6" t="s">
        <v>11</v>
      </c>
      <c r="C902" s="6" t="s">
        <v>3</v>
      </c>
      <c r="D902" s="6" t="s">
        <v>1312</v>
      </c>
      <c r="E902" s="6" t="s">
        <v>1315</v>
      </c>
      <c r="F902" s="6" t="s">
        <v>1316</v>
      </c>
      <c r="G902" s="6" t="s">
        <v>1317</v>
      </c>
      <c r="H902" s="6" t="s">
        <v>1353</v>
      </c>
      <c r="I902" s="6"/>
      <c r="J902" s="6" t="s">
        <v>1316</v>
      </c>
      <c r="K902" s="6"/>
      <c r="L902" s="6"/>
      <c r="M902" s="6"/>
      <c r="N902" s="6"/>
      <c r="O902" s="6"/>
      <c r="P902" s="6"/>
      <c r="Q902" s="6" t="s">
        <v>345</v>
      </c>
      <c r="R902" s="7" t="n">
        <f aca="false">COUNTIF('Label Map'!$D$2:$D$2000,A902)</f>
        <v>1</v>
      </c>
    </row>
    <row r="903" customFormat="false" ht="15" hidden="false" customHeight="false" outlineLevel="0" collapsed="false">
      <c r="A903" s="6" t="s">
        <v>1354</v>
      </c>
      <c r="B903" s="6" t="s">
        <v>11</v>
      </c>
      <c r="C903" s="6" t="s">
        <v>3</v>
      </c>
      <c r="D903" s="6" t="s">
        <v>1312</v>
      </c>
      <c r="E903" s="6" t="s">
        <v>1315</v>
      </c>
      <c r="F903" s="6" t="s">
        <v>1316</v>
      </c>
      <c r="G903" s="6" t="s">
        <v>1317</v>
      </c>
      <c r="H903" s="6" t="s">
        <v>1354</v>
      </c>
      <c r="I903" s="6"/>
      <c r="J903" s="6" t="s">
        <v>1316</v>
      </c>
      <c r="K903" s="6"/>
      <c r="L903" s="6"/>
      <c r="M903" s="6"/>
      <c r="N903" s="6"/>
      <c r="O903" s="6"/>
      <c r="P903" s="6"/>
      <c r="Q903" s="6" t="s">
        <v>345</v>
      </c>
      <c r="R903" s="7" t="n">
        <f aca="false">COUNTIF('Label Map'!$D$2:$D$2000,A903)</f>
        <v>1</v>
      </c>
    </row>
    <row r="904" customFormat="false" ht="15" hidden="false" customHeight="false" outlineLevel="0" collapsed="false">
      <c r="A904" s="6" t="s">
        <v>1355</v>
      </c>
      <c r="B904" s="6" t="s">
        <v>11</v>
      </c>
      <c r="C904" s="6" t="s">
        <v>3</v>
      </c>
      <c r="D904" s="6" t="s">
        <v>1312</v>
      </c>
      <c r="E904" s="6" t="s">
        <v>1315</v>
      </c>
      <c r="F904" s="6" t="s">
        <v>1316</v>
      </c>
      <c r="G904" s="6" t="s">
        <v>1317</v>
      </c>
      <c r="H904" s="6" t="s">
        <v>1355</v>
      </c>
      <c r="I904" s="6"/>
      <c r="J904" s="6" t="s">
        <v>1316</v>
      </c>
      <c r="K904" s="6"/>
      <c r="L904" s="6"/>
      <c r="M904" s="6"/>
      <c r="N904" s="6"/>
      <c r="O904" s="6"/>
      <c r="P904" s="6"/>
      <c r="Q904" s="6" t="s">
        <v>345</v>
      </c>
      <c r="R904" s="7" t="n">
        <f aca="false">COUNTIF('Label Map'!$D$2:$D$2000,A904)</f>
        <v>1</v>
      </c>
    </row>
    <row r="905" customFormat="false" ht="15" hidden="false" customHeight="false" outlineLevel="0" collapsed="false">
      <c r="A905" s="6" t="s">
        <v>1356</v>
      </c>
      <c r="B905" s="6" t="s">
        <v>11</v>
      </c>
      <c r="C905" s="6" t="s">
        <v>3</v>
      </c>
      <c r="D905" s="6" t="s">
        <v>1312</v>
      </c>
      <c r="E905" s="6" t="s">
        <v>1315</v>
      </c>
      <c r="F905" s="6" t="s">
        <v>1316</v>
      </c>
      <c r="G905" s="6" t="s">
        <v>1317</v>
      </c>
      <c r="H905" s="6" t="s">
        <v>1356</v>
      </c>
      <c r="I905" s="6"/>
      <c r="J905" s="6" t="s">
        <v>1316</v>
      </c>
      <c r="K905" s="6"/>
      <c r="L905" s="6"/>
      <c r="M905" s="6"/>
      <c r="N905" s="6"/>
      <c r="O905" s="6"/>
      <c r="P905" s="6"/>
      <c r="Q905" s="6" t="s">
        <v>345</v>
      </c>
      <c r="R905" s="7" t="n">
        <f aca="false">COUNTIF('Label Map'!$D$2:$D$2000,A905)</f>
        <v>1</v>
      </c>
    </row>
    <row r="906" customFormat="false" ht="15" hidden="false" customHeight="false" outlineLevel="0" collapsed="false">
      <c r="A906" s="6" t="s">
        <v>1357</v>
      </c>
      <c r="B906" s="6" t="s">
        <v>11</v>
      </c>
      <c r="C906" s="6" t="s">
        <v>3</v>
      </c>
      <c r="D906" s="6" t="s">
        <v>1312</v>
      </c>
      <c r="E906" s="6" t="s">
        <v>1315</v>
      </c>
      <c r="F906" s="6" t="s">
        <v>1316</v>
      </c>
      <c r="G906" s="6" t="s">
        <v>1317</v>
      </c>
      <c r="H906" s="6" t="s">
        <v>1357</v>
      </c>
      <c r="I906" s="6"/>
      <c r="J906" s="6" t="s">
        <v>1316</v>
      </c>
      <c r="K906" s="6"/>
      <c r="L906" s="6"/>
      <c r="M906" s="6"/>
      <c r="N906" s="6"/>
      <c r="O906" s="6"/>
      <c r="P906" s="6"/>
      <c r="Q906" s="6" t="s">
        <v>345</v>
      </c>
      <c r="R906" s="7" t="n">
        <f aca="false">COUNTIF('Label Map'!$D$2:$D$2000,A906)</f>
        <v>1</v>
      </c>
    </row>
    <row r="907" customFormat="false" ht="15" hidden="false" customHeight="false" outlineLevel="0" collapsed="false">
      <c r="A907" s="6" t="s">
        <v>1358</v>
      </c>
      <c r="B907" s="6" t="s">
        <v>11</v>
      </c>
      <c r="C907" s="6" t="s">
        <v>3</v>
      </c>
      <c r="D907" s="6" t="s">
        <v>1312</v>
      </c>
      <c r="E907" s="6" t="s">
        <v>1315</v>
      </c>
      <c r="F907" s="6" t="s">
        <v>1316</v>
      </c>
      <c r="G907" s="6" t="s">
        <v>1317</v>
      </c>
      <c r="H907" s="6" t="s">
        <v>1358</v>
      </c>
      <c r="I907" s="6"/>
      <c r="J907" s="6" t="s">
        <v>1316</v>
      </c>
      <c r="K907" s="6"/>
      <c r="L907" s="6"/>
      <c r="M907" s="6"/>
      <c r="N907" s="6"/>
      <c r="O907" s="6"/>
      <c r="P907" s="6"/>
      <c r="Q907" s="6" t="s">
        <v>1326</v>
      </c>
      <c r="R907" s="7" t="n">
        <f aca="false">COUNTIF('Label Map'!$D$2:$D$2000,A907)</f>
        <v>1</v>
      </c>
    </row>
    <row r="908" customFormat="false" ht="15" hidden="false" customHeight="false" outlineLevel="0" collapsed="false">
      <c r="A908" s="6" t="s">
        <v>1359</v>
      </c>
      <c r="B908" s="6" t="s">
        <v>11</v>
      </c>
      <c r="C908" s="6" t="s">
        <v>3</v>
      </c>
      <c r="D908" s="6" t="s">
        <v>1312</v>
      </c>
      <c r="E908" s="6" t="s">
        <v>1315</v>
      </c>
      <c r="F908" s="6" t="s">
        <v>1316</v>
      </c>
      <c r="G908" s="6" t="s">
        <v>1317</v>
      </c>
      <c r="H908" s="6" t="s">
        <v>1359</v>
      </c>
      <c r="I908" s="6"/>
      <c r="J908" s="6" t="s">
        <v>1316</v>
      </c>
      <c r="K908" s="6"/>
      <c r="L908" s="6"/>
      <c r="M908" s="6"/>
      <c r="N908" s="6"/>
      <c r="O908" s="6"/>
      <c r="P908" s="6"/>
      <c r="Q908" s="6" t="s">
        <v>345</v>
      </c>
      <c r="R908" s="7" t="n">
        <f aca="false">COUNTIF('Label Map'!$D$2:$D$2000,A908)</f>
        <v>1</v>
      </c>
    </row>
    <row r="909" customFormat="false" ht="15" hidden="false" customHeight="false" outlineLevel="0" collapsed="false">
      <c r="A909" s="6" t="s">
        <v>1360</v>
      </c>
      <c r="B909" s="6" t="s">
        <v>11</v>
      </c>
      <c r="C909" s="6" t="s">
        <v>3</v>
      </c>
      <c r="D909" s="6" t="s">
        <v>1312</v>
      </c>
      <c r="E909" s="6" t="s">
        <v>1315</v>
      </c>
      <c r="F909" s="6" t="s">
        <v>1316</v>
      </c>
      <c r="G909" s="6" t="s">
        <v>1317</v>
      </c>
      <c r="H909" s="6" t="s">
        <v>1360</v>
      </c>
      <c r="I909" s="6"/>
      <c r="J909" s="6" t="s">
        <v>1316</v>
      </c>
      <c r="K909" s="6"/>
      <c r="L909" s="6"/>
      <c r="M909" s="6"/>
      <c r="N909" s="6"/>
      <c r="O909" s="6"/>
      <c r="P909" s="6"/>
      <c r="Q909" s="6" t="s">
        <v>345</v>
      </c>
      <c r="R909" s="7" t="n">
        <f aca="false">COUNTIF('Label Map'!$D$2:$D$2000,A909)</f>
        <v>1</v>
      </c>
    </row>
    <row r="910" customFormat="false" ht="15" hidden="false" customHeight="false" outlineLevel="0" collapsed="false">
      <c r="A910" s="6" t="s">
        <v>1361</v>
      </c>
      <c r="B910" s="6" t="s">
        <v>11</v>
      </c>
      <c r="C910" s="6" t="s">
        <v>3</v>
      </c>
      <c r="D910" s="6" t="s">
        <v>1312</v>
      </c>
      <c r="E910" s="6" t="s">
        <v>1315</v>
      </c>
      <c r="F910" s="6" t="s">
        <v>1316</v>
      </c>
      <c r="G910" s="6" t="s">
        <v>1317</v>
      </c>
      <c r="H910" s="6" t="s">
        <v>1361</v>
      </c>
      <c r="I910" s="6"/>
      <c r="J910" s="6" t="s">
        <v>1316</v>
      </c>
      <c r="K910" s="6"/>
      <c r="L910" s="6"/>
      <c r="M910" s="6"/>
      <c r="N910" s="6"/>
      <c r="O910" s="6"/>
      <c r="P910" s="6"/>
      <c r="Q910" s="6" t="s">
        <v>345</v>
      </c>
      <c r="R910" s="7" t="n">
        <f aca="false">COUNTIF('Label Map'!$D$2:$D$2000,A910)</f>
        <v>1</v>
      </c>
    </row>
    <row r="911" customFormat="false" ht="15" hidden="false" customHeight="false" outlineLevel="0" collapsed="false">
      <c r="A911" s="6" t="s">
        <v>1362</v>
      </c>
      <c r="B911" s="6" t="s">
        <v>11</v>
      </c>
      <c r="C911" s="6" t="s">
        <v>3</v>
      </c>
      <c r="D911" s="6" t="s">
        <v>1312</v>
      </c>
      <c r="E911" s="6" t="s">
        <v>1315</v>
      </c>
      <c r="F911" s="6" t="s">
        <v>1316</v>
      </c>
      <c r="G911" s="6" t="s">
        <v>1317</v>
      </c>
      <c r="H911" s="6" t="s">
        <v>1362</v>
      </c>
      <c r="I911" s="6"/>
      <c r="J911" s="6" t="s">
        <v>1316</v>
      </c>
      <c r="K911" s="6"/>
      <c r="L911" s="6"/>
      <c r="M911" s="6"/>
      <c r="N911" s="6"/>
      <c r="O911" s="6"/>
      <c r="P911" s="6"/>
      <c r="Q911" s="6" t="s">
        <v>345</v>
      </c>
      <c r="R911" s="7" t="n">
        <f aca="false">COUNTIF('Label Map'!$D$2:$D$2000,A911)</f>
        <v>1</v>
      </c>
    </row>
    <row r="912" customFormat="false" ht="15" hidden="false" customHeight="false" outlineLevel="0" collapsed="false">
      <c r="A912" s="6" t="s">
        <v>1363</v>
      </c>
      <c r="B912" s="6" t="s">
        <v>63</v>
      </c>
      <c r="C912" s="6" t="s">
        <v>3</v>
      </c>
      <c r="D912" s="6" t="s">
        <v>1312</v>
      </c>
      <c r="E912" s="6" t="s">
        <v>1315</v>
      </c>
      <c r="F912" s="6" t="s">
        <v>1316</v>
      </c>
      <c r="G912" s="6" t="s">
        <v>1317</v>
      </c>
      <c r="H912" s="6" t="s">
        <v>1362</v>
      </c>
      <c r="I912" s="6" t="s">
        <v>1363</v>
      </c>
      <c r="J912" s="6" t="s">
        <v>1362</v>
      </c>
      <c r="K912" s="6"/>
      <c r="L912" s="6"/>
      <c r="M912" s="6"/>
      <c r="N912" s="6"/>
      <c r="O912" s="6"/>
      <c r="P912" s="6"/>
      <c r="Q912" s="6"/>
      <c r="R912" s="7" t="n">
        <f aca="false">COUNTIF('Label Map'!$D$2:$D$2000,A912)</f>
        <v>0</v>
      </c>
    </row>
    <row r="913" customFormat="false" ht="15" hidden="false" customHeight="false" outlineLevel="0" collapsed="false">
      <c r="A913" s="6" t="s">
        <v>1364</v>
      </c>
      <c r="B913" s="6" t="s">
        <v>11</v>
      </c>
      <c r="C913" s="6" t="s">
        <v>3</v>
      </c>
      <c r="D913" s="6" t="s">
        <v>1312</v>
      </c>
      <c r="E913" s="6" t="s">
        <v>1315</v>
      </c>
      <c r="F913" s="6" t="s">
        <v>1316</v>
      </c>
      <c r="G913" s="6" t="s">
        <v>1317</v>
      </c>
      <c r="H913" s="6" t="s">
        <v>1364</v>
      </c>
      <c r="I913" s="6"/>
      <c r="J913" s="6" t="s">
        <v>1316</v>
      </c>
      <c r="K913" s="6"/>
      <c r="L913" s="6"/>
      <c r="M913" s="6"/>
      <c r="N913" s="6"/>
      <c r="O913" s="6"/>
      <c r="P913" s="6"/>
      <c r="Q913" s="6" t="s">
        <v>345</v>
      </c>
      <c r="R913" s="7" t="n">
        <f aca="false">COUNTIF('Label Map'!$D$2:$D$2000,A913)</f>
        <v>1</v>
      </c>
    </row>
    <row r="914" customFormat="false" ht="15" hidden="false" customHeight="false" outlineLevel="0" collapsed="false">
      <c r="A914" s="6" t="s">
        <v>1365</v>
      </c>
      <c r="B914" s="6" t="s">
        <v>63</v>
      </c>
      <c r="C914" s="6" t="s">
        <v>3</v>
      </c>
      <c r="D914" s="6" t="s">
        <v>1312</v>
      </c>
      <c r="E914" s="6" t="s">
        <v>1315</v>
      </c>
      <c r="F914" s="6" t="s">
        <v>1316</v>
      </c>
      <c r="G914" s="6" t="s">
        <v>1317</v>
      </c>
      <c r="H914" s="6" t="s">
        <v>1364</v>
      </c>
      <c r="I914" s="6" t="s">
        <v>1365</v>
      </c>
      <c r="J914" s="6" t="s">
        <v>1364</v>
      </c>
      <c r="K914" s="6"/>
      <c r="L914" s="6"/>
      <c r="M914" s="6"/>
      <c r="N914" s="6"/>
      <c r="O914" s="6"/>
      <c r="P914" s="6"/>
      <c r="Q914" s="6"/>
      <c r="R914" s="7" t="n">
        <f aca="false">COUNTIF('Label Map'!$D$2:$D$2000,A914)</f>
        <v>0</v>
      </c>
    </row>
    <row r="915" customFormat="false" ht="15" hidden="false" customHeight="false" outlineLevel="0" collapsed="false">
      <c r="A915" s="6" t="s">
        <v>1366</v>
      </c>
      <c r="B915" s="6" t="s">
        <v>11</v>
      </c>
      <c r="C915" s="6" t="s">
        <v>3</v>
      </c>
      <c r="D915" s="6" t="s">
        <v>1312</v>
      </c>
      <c r="E915" s="6" t="s">
        <v>1315</v>
      </c>
      <c r="F915" s="6" t="s">
        <v>1316</v>
      </c>
      <c r="G915" s="6" t="s">
        <v>1317</v>
      </c>
      <c r="H915" s="6" t="s">
        <v>1366</v>
      </c>
      <c r="I915" s="6"/>
      <c r="J915" s="6" t="s">
        <v>1316</v>
      </c>
      <c r="K915" s="6"/>
      <c r="L915" s="6"/>
      <c r="M915" s="6"/>
      <c r="N915" s="6"/>
      <c r="O915" s="6"/>
      <c r="P915" s="6"/>
      <c r="Q915" s="6" t="s">
        <v>345</v>
      </c>
      <c r="R915" s="7" t="n">
        <f aca="false">COUNTIF('Label Map'!$D$2:$D$2000,A915)</f>
        <v>1</v>
      </c>
    </row>
    <row r="916" customFormat="false" ht="15" hidden="false" customHeight="false" outlineLevel="0" collapsed="false">
      <c r="A916" s="6" t="s">
        <v>1367</v>
      </c>
      <c r="B916" s="6" t="s">
        <v>11</v>
      </c>
      <c r="C916" s="6" t="s">
        <v>3</v>
      </c>
      <c r="D916" s="6" t="s">
        <v>1312</v>
      </c>
      <c r="E916" s="6" t="s">
        <v>1315</v>
      </c>
      <c r="F916" s="6" t="s">
        <v>1316</v>
      </c>
      <c r="G916" s="6" t="s">
        <v>1317</v>
      </c>
      <c r="H916" s="6" t="s">
        <v>1367</v>
      </c>
      <c r="I916" s="6"/>
      <c r="J916" s="6" t="s">
        <v>1316</v>
      </c>
      <c r="K916" s="6"/>
      <c r="L916" s="6"/>
      <c r="M916" s="6"/>
      <c r="N916" s="6"/>
      <c r="O916" s="6"/>
      <c r="P916" s="6"/>
      <c r="Q916" s="6" t="s">
        <v>345</v>
      </c>
      <c r="R916" s="7" t="n">
        <f aca="false">COUNTIF('Label Map'!$D$2:$D$2000,A916)</f>
        <v>1</v>
      </c>
    </row>
    <row r="917" customFormat="false" ht="15" hidden="false" customHeight="false" outlineLevel="0" collapsed="false">
      <c r="A917" s="6" t="s">
        <v>1368</v>
      </c>
      <c r="B917" s="6" t="s">
        <v>63</v>
      </c>
      <c r="C917" s="6" t="s">
        <v>3</v>
      </c>
      <c r="D917" s="6" t="s">
        <v>1312</v>
      </c>
      <c r="E917" s="6" t="s">
        <v>1315</v>
      </c>
      <c r="F917" s="6" t="s">
        <v>1316</v>
      </c>
      <c r="G917" s="6" t="s">
        <v>1317</v>
      </c>
      <c r="H917" s="6" t="s">
        <v>1367</v>
      </c>
      <c r="I917" s="6" t="s">
        <v>1368</v>
      </c>
      <c r="J917" s="6" t="s">
        <v>1367</v>
      </c>
      <c r="K917" s="6"/>
      <c r="L917" s="6"/>
      <c r="M917" s="6"/>
      <c r="N917" s="6"/>
      <c r="O917" s="6"/>
      <c r="P917" s="6"/>
      <c r="Q917" s="6"/>
      <c r="R917" s="7" t="n">
        <f aca="false">COUNTIF('Label Map'!$D$2:$D$2000,A917)</f>
        <v>0</v>
      </c>
    </row>
    <row r="918" customFormat="false" ht="15" hidden="false" customHeight="false" outlineLevel="0" collapsed="false">
      <c r="A918" s="6" t="s">
        <v>1369</v>
      </c>
      <c r="B918" s="6" t="s">
        <v>11</v>
      </c>
      <c r="C918" s="6" t="s">
        <v>3</v>
      </c>
      <c r="D918" s="6" t="s">
        <v>1312</v>
      </c>
      <c r="E918" s="6" t="s">
        <v>1315</v>
      </c>
      <c r="F918" s="6" t="s">
        <v>1316</v>
      </c>
      <c r="G918" s="6" t="s">
        <v>1317</v>
      </c>
      <c r="H918" s="6" t="s">
        <v>1369</v>
      </c>
      <c r="I918" s="6"/>
      <c r="J918" s="6" t="s">
        <v>1316</v>
      </c>
      <c r="K918" s="6"/>
      <c r="L918" s="6"/>
      <c r="M918" s="6"/>
      <c r="N918" s="6"/>
      <c r="O918" s="6"/>
      <c r="P918" s="6"/>
      <c r="Q918" s="6" t="s">
        <v>345</v>
      </c>
      <c r="R918" s="7" t="n">
        <f aca="false">COUNTIF('Label Map'!$D$2:$D$2000,A918)</f>
        <v>1</v>
      </c>
    </row>
    <row r="919" customFormat="false" ht="15" hidden="false" customHeight="false" outlineLevel="0" collapsed="false">
      <c r="A919" s="6" t="s">
        <v>1370</v>
      </c>
      <c r="B919" s="6" t="s">
        <v>11</v>
      </c>
      <c r="C919" s="6" t="s">
        <v>3</v>
      </c>
      <c r="D919" s="6" t="s">
        <v>1312</v>
      </c>
      <c r="E919" s="6" t="s">
        <v>1315</v>
      </c>
      <c r="F919" s="6" t="s">
        <v>1316</v>
      </c>
      <c r="G919" s="6" t="s">
        <v>1317</v>
      </c>
      <c r="H919" s="6" t="s">
        <v>1370</v>
      </c>
      <c r="I919" s="6"/>
      <c r="J919" s="6" t="s">
        <v>1316</v>
      </c>
      <c r="K919" s="6"/>
      <c r="L919" s="6"/>
      <c r="M919" s="6"/>
      <c r="N919" s="6"/>
      <c r="O919" s="6"/>
      <c r="P919" s="6"/>
      <c r="Q919" s="6" t="s">
        <v>345</v>
      </c>
      <c r="R919" s="7" t="n">
        <f aca="false">COUNTIF('Label Map'!$D$2:$D$2000,A919)</f>
        <v>1</v>
      </c>
    </row>
    <row r="920" customFormat="false" ht="15" hidden="false" customHeight="false" outlineLevel="0" collapsed="false">
      <c r="A920" s="6" t="s">
        <v>1371</v>
      </c>
      <c r="B920" s="6" t="s">
        <v>63</v>
      </c>
      <c r="C920" s="6" t="s">
        <v>3</v>
      </c>
      <c r="D920" s="6" t="s">
        <v>1312</v>
      </c>
      <c r="E920" s="6" t="s">
        <v>1315</v>
      </c>
      <c r="F920" s="6" t="s">
        <v>1316</v>
      </c>
      <c r="G920" s="6" t="s">
        <v>1317</v>
      </c>
      <c r="H920" s="6" t="s">
        <v>1370</v>
      </c>
      <c r="I920" s="6" t="s">
        <v>1371</v>
      </c>
      <c r="J920" s="6" t="s">
        <v>1370</v>
      </c>
      <c r="K920" s="6"/>
      <c r="L920" s="6"/>
      <c r="M920" s="6"/>
      <c r="N920" s="6"/>
      <c r="O920" s="6"/>
      <c r="P920" s="6"/>
      <c r="Q920" s="6"/>
      <c r="R920" s="7" t="n">
        <f aca="false">COUNTIF('Label Map'!$D$2:$D$2000,A920)</f>
        <v>0</v>
      </c>
    </row>
    <row r="921" customFormat="false" ht="15" hidden="false" customHeight="false" outlineLevel="0" collapsed="false">
      <c r="A921" s="6" t="s">
        <v>1372</v>
      </c>
      <c r="B921" s="6" t="s">
        <v>9</v>
      </c>
      <c r="C921" s="6" t="s">
        <v>3</v>
      </c>
      <c r="D921" s="6" t="s">
        <v>1312</v>
      </c>
      <c r="E921" s="6" t="s">
        <v>1315</v>
      </c>
      <c r="F921" s="6" t="s">
        <v>1372</v>
      </c>
      <c r="G921" s="6" t="s">
        <v>1373</v>
      </c>
      <c r="H921" s="6"/>
      <c r="I921" s="6"/>
      <c r="J921" s="6" t="s">
        <v>1315</v>
      </c>
      <c r="K921" s="6" t="s">
        <v>1374</v>
      </c>
      <c r="L921" s="6" t="s">
        <v>744</v>
      </c>
      <c r="M921" s="6" t="s">
        <v>1068</v>
      </c>
      <c r="N921" s="6"/>
      <c r="O921" s="6" t="s">
        <v>875</v>
      </c>
      <c r="P921" s="6" t="s">
        <v>1092</v>
      </c>
      <c r="Q921" s="6"/>
      <c r="R921" s="7" t="n">
        <f aca="false">COUNTIF('Label Map'!$D$2:$D$2000,A921)</f>
        <v>2</v>
      </c>
    </row>
    <row r="922" customFormat="false" ht="15" hidden="false" customHeight="false" outlineLevel="0" collapsed="false">
      <c r="A922" s="6" t="s">
        <v>1375</v>
      </c>
      <c r="B922" s="6" t="s">
        <v>9</v>
      </c>
      <c r="C922" s="6" t="s">
        <v>3</v>
      </c>
      <c r="D922" s="6" t="s">
        <v>1312</v>
      </c>
      <c r="E922" s="6" t="s">
        <v>1315</v>
      </c>
      <c r="F922" s="6" t="s">
        <v>1375</v>
      </c>
      <c r="G922" s="6" t="s">
        <v>1376</v>
      </c>
      <c r="H922" s="6"/>
      <c r="I922" s="6"/>
      <c r="J922" s="6" t="s">
        <v>1315</v>
      </c>
      <c r="K922" s="6" t="s">
        <v>1095</v>
      </c>
      <c r="L922" s="6" t="s">
        <v>744</v>
      </c>
      <c r="M922" s="6" t="s">
        <v>1068</v>
      </c>
      <c r="N922" s="6"/>
      <c r="O922" s="6" t="s">
        <v>1315</v>
      </c>
      <c r="P922" s="6" t="s">
        <v>468</v>
      </c>
      <c r="Q922" s="6"/>
      <c r="R922" s="7" t="n">
        <f aca="false">COUNTIF('Label Map'!$D$2:$D$2000,A922)</f>
        <v>2</v>
      </c>
    </row>
    <row r="923" customFormat="false" ht="15" hidden="false" customHeight="false" outlineLevel="0" collapsed="false">
      <c r="A923" s="6" t="s">
        <v>1377</v>
      </c>
      <c r="B923" s="6" t="s">
        <v>11</v>
      </c>
      <c r="C923" s="6" t="s">
        <v>3</v>
      </c>
      <c r="D923" s="6" t="s">
        <v>1312</v>
      </c>
      <c r="E923" s="6" t="s">
        <v>1315</v>
      </c>
      <c r="F923" s="6" t="s">
        <v>1375</v>
      </c>
      <c r="G923" s="6" t="s">
        <v>1376</v>
      </c>
      <c r="H923" s="6" t="s">
        <v>1377</v>
      </c>
      <c r="I923" s="6"/>
      <c r="J923" s="6" t="s">
        <v>1375</v>
      </c>
      <c r="K923" s="6"/>
      <c r="L923" s="6"/>
      <c r="M923" s="6"/>
      <c r="N923" s="6"/>
      <c r="O923" s="6"/>
      <c r="P923" s="6"/>
      <c r="Q923" s="6" t="s">
        <v>1378</v>
      </c>
      <c r="R923" s="7" t="n">
        <f aca="false">COUNTIF('Label Map'!$D$2:$D$2000,A923)</f>
        <v>1</v>
      </c>
    </row>
    <row r="924" customFormat="false" ht="15" hidden="false" customHeight="false" outlineLevel="0" collapsed="false">
      <c r="A924" s="6" t="s">
        <v>1379</v>
      </c>
      <c r="B924" s="6" t="s">
        <v>11</v>
      </c>
      <c r="C924" s="6" t="s">
        <v>3</v>
      </c>
      <c r="D924" s="6" t="s">
        <v>1312</v>
      </c>
      <c r="E924" s="6" t="s">
        <v>1315</v>
      </c>
      <c r="F924" s="6" t="s">
        <v>1375</v>
      </c>
      <c r="G924" s="6" t="s">
        <v>1376</v>
      </c>
      <c r="H924" s="6" t="s">
        <v>1379</v>
      </c>
      <c r="I924" s="6"/>
      <c r="J924" s="6" t="s">
        <v>1375</v>
      </c>
      <c r="K924" s="6"/>
      <c r="L924" s="6"/>
      <c r="M924" s="6"/>
      <c r="N924" s="6"/>
      <c r="O924" s="6"/>
      <c r="P924" s="6"/>
      <c r="Q924" s="6" t="s">
        <v>1378</v>
      </c>
      <c r="R924" s="7" t="n">
        <f aca="false">COUNTIF('Label Map'!$D$2:$D$2000,A924)</f>
        <v>1</v>
      </c>
    </row>
    <row r="925" customFormat="false" ht="15" hidden="false" customHeight="false" outlineLevel="0" collapsed="false">
      <c r="A925" s="6" t="s">
        <v>1380</v>
      </c>
      <c r="B925" s="6" t="s">
        <v>11</v>
      </c>
      <c r="C925" s="6" t="s">
        <v>3</v>
      </c>
      <c r="D925" s="6" t="s">
        <v>1312</v>
      </c>
      <c r="E925" s="6" t="s">
        <v>1315</v>
      </c>
      <c r="F925" s="6" t="s">
        <v>1375</v>
      </c>
      <c r="G925" s="6" t="s">
        <v>1376</v>
      </c>
      <c r="H925" s="6" t="s">
        <v>1380</v>
      </c>
      <c r="I925" s="6"/>
      <c r="J925" s="6" t="s">
        <v>1375</v>
      </c>
      <c r="K925" s="6"/>
      <c r="L925" s="6"/>
      <c r="M925" s="6"/>
      <c r="N925" s="6"/>
      <c r="O925" s="6"/>
      <c r="P925" s="6"/>
      <c r="Q925" s="6" t="s">
        <v>1378</v>
      </c>
      <c r="R925" s="7" t="n">
        <f aca="false">COUNTIF('Label Map'!$D$2:$D$2000,A925)</f>
        <v>1</v>
      </c>
    </row>
    <row r="926" customFormat="false" ht="15" hidden="false" customHeight="false" outlineLevel="0" collapsed="false">
      <c r="A926" s="6" t="s">
        <v>1381</v>
      </c>
      <c r="B926" s="6" t="s">
        <v>11</v>
      </c>
      <c r="C926" s="6" t="s">
        <v>3</v>
      </c>
      <c r="D926" s="6" t="s">
        <v>1312</v>
      </c>
      <c r="E926" s="6" t="s">
        <v>1315</v>
      </c>
      <c r="F926" s="6" t="s">
        <v>1375</v>
      </c>
      <c r="G926" s="6" t="s">
        <v>1376</v>
      </c>
      <c r="H926" s="6" t="s">
        <v>1381</v>
      </c>
      <c r="I926" s="6"/>
      <c r="J926" s="6" t="s">
        <v>1375</v>
      </c>
      <c r="K926" s="6"/>
      <c r="L926" s="6"/>
      <c r="M926" s="6"/>
      <c r="N926" s="6"/>
      <c r="O926" s="6"/>
      <c r="P926" s="6"/>
      <c r="Q926" s="6" t="s">
        <v>1378</v>
      </c>
      <c r="R926" s="7" t="n">
        <f aca="false">COUNTIF('Label Map'!$D$2:$D$2000,A926)</f>
        <v>1</v>
      </c>
    </row>
    <row r="927" customFormat="false" ht="15" hidden="false" customHeight="false" outlineLevel="0" collapsed="false">
      <c r="A927" s="6" t="s">
        <v>1382</v>
      </c>
      <c r="B927" s="6" t="s">
        <v>11</v>
      </c>
      <c r="C927" s="6" t="s">
        <v>3</v>
      </c>
      <c r="D927" s="6" t="s">
        <v>1312</v>
      </c>
      <c r="E927" s="6" t="s">
        <v>1315</v>
      </c>
      <c r="F927" s="6" t="s">
        <v>1375</v>
      </c>
      <c r="G927" s="6" t="s">
        <v>1376</v>
      </c>
      <c r="H927" s="6" t="s">
        <v>1382</v>
      </c>
      <c r="I927" s="6"/>
      <c r="J927" s="6" t="s">
        <v>1375</v>
      </c>
      <c r="K927" s="6"/>
      <c r="L927" s="6"/>
      <c r="M927" s="6"/>
      <c r="N927" s="6"/>
      <c r="O927" s="6"/>
      <c r="P927" s="6"/>
      <c r="Q927" s="6" t="s">
        <v>1378</v>
      </c>
      <c r="R927" s="7" t="n">
        <f aca="false">COUNTIF('Label Map'!$D$2:$D$2000,A927)</f>
        <v>1</v>
      </c>
    </row>
    <row r="928" customFormat="false" ht="15" hidden="false" customHeight="false" outlineLevel="0" collapsed="false">
      <c r="A928" s="6" t="s">
        <v>1383</v>
      </c>
      <c r="B928" s="6" t="s">
        <v>11</v>
      </c>
      <c r="C928" s="6" t="s">
        <v>3</v>
      </c>
      <c r="D928" s="6" t="s">
        <v>1312</v>
      </c>
      <c r="E928" s="6" t="s">
        <v>1315</v>
      </c>
      <c r="F928" s="6" t="s">
        <v>1375</v>
      </c>
      <c r="G928" s="6" t="s">
        <v>1376</v>
      </c>
      <c r="H928" s="6" t="s">
        <v>1383</v>
      </c>
      <c r="I928" s="6"/>
      <c r="J928" s="6" t="s">
        <v>1375</v>
      </c>
      <c r="K928" s="6"/>
      <c r="L928" s="6"/>
      <c r="M928" s="6"/>
      <c r="N928" s="6"/>
      <c r="O928" s="6"/>
      <c r="P928" s="6"/>
      <c r="Q928" s="6" t="s">
        <v>1378</v>
      </c>
      <c r="R928" s="7" t="n">
        <f aca="false">COUNTIF('Label Map'!$D$2:$D$2000,A928)</f>
        <v>1</v>
      </c>
    </row>
    <row r="929" customFormat="false" ht="15" hidden="false" customHeight="false" outlineLevel="0" collapsed="false">
      <c r="A929" s="6" t="s">
        <v>1384</v>
      </c>
      <c r="B929" s="6" t="s">
        <v>11</v>
      </c>
      <c r="C929" s="6" t="s">
        <v>3</v>
      </c>
      <c r="D929" s="6" t="s">
        <v>1312</v>
      </c>
      <c r="E929" s="6" t="s">
        <v>1315</v>
      </c>
      <c r="F929" s="6" t="s">
        <v>1375</v>
      </c>
      <c r="G929" s="6" t="s">
        <v>1376</v>
      </c>
      <c r="H929" s="6" t="s">
        <v>1384</v>
      </c>
      <c r="I929" s="6"/>
      <c r="J929" s="6" t="s">
        <v>1375</v>
      </c>
      <c r="K929" s="6"/>
      <c r="L929" s="6"/>
      <c r="M929" s="6"/>
      <c r="N929" s="6"/>
      <c r="O929" s="6"/>
      <c r="P929" s="6"/>
      <c r="Q929" s="6" t="s">
        <v>1378</v>
      </c>
      <c r="R929" s="7" t="n">
        <f aca="false">COUNTIF('Label Map'!$D$2:$D$2000,A929)</f>
        <v>1</v>
      </c>
    </row>
    <row r="930" customFormat="false" ht="15" hidden="false" customHeight="false" outlineLevel="0" collapsed="false">
      <c r="A930" s="6" t="s">
        <v>1385</v>
      </c>
      <c r="B930" s="6" t="s">
        <v>11</v>
      </c>
      <c r="C930" s="6" t="s">
        <v>3</v>
      </c>
      <c r="D930" s="6" t="s">
        <v>1312</v>
      </c>
      <c r="E930" s="6" t="s">
        <v>1315</v>
      </c>
      <c r="F930" s="6" t="s">
        <v>1375</v>
      </c>
      <c r="G930" s="6" t="s">
        <v>1376</v>
      </c>
      <c r="H930" s="6" t="s">
        <v>1385</v>
      </c>
      <c r="I930" s="6"/>
      <c r="J930" s="6" t="s">
        <v>1375</v>
      </c>
      <c r="K930" s="6"/>
      <c r="L930" s="6"/>
      <c r="M930" s="6"/>
      <c r="N930" s="6"/>
      <c r="O930" s="6"/>
      <c r="P930" s="6"/>
      <c r="Q930" s="6" t="s">
        <v>1378</v>
      </c>
      <c r="R930" s="7" t="n">
        <f aca="false">COUNTIF('Label Map'!$D$2:$D$2000,A930)</f>
        <v>1</v>
      </c>
    </row>
    <row r="931" customFormat="false" ht="15" hidden="false" customHeight="false" outlineLevel="0" collapsed="false">
      <c r="A931" s="6" t="s">
        <v>1386</v>
      </c>
      <c r="B931" s="6" t="s">
        <v>63</v>
      </c>
      <c r="C931" s="6" t="s">
        <v>3</v>
      </c>
      <c r="D931" s="6" t="s">
        <v>1312</v>
      </c>
      <c r="E931" s="6" t="s">
        <v>1315</v>
      </c>
      <c r="F931" s="6" t="s">
        <v>1375</v>
      </c>
      <c r="G931" s="6" t="s">
        <v>1376</v>
      </c>
      <c r="H931" s="6"/>
      <c r="I931" s="6" t="s">
        <v>1386</v>
      </c>
      <c r="J931" s="6" t="s">
        <v>1375</v>
      </c>
      <c r="K931" s="6"/>
      <c r="L931" s="6"/>
      <c r="M931" s="6"/>
      <c r="N931" s="6"/>
      <c r="O931" s="6"/>
      <c r="P931" s="6"/>
      <c r="Q931" s="6"/>
      <c r="R931" s="7" t="n">
        <f aca="false">COUNTIF('Label Map'!$D$2:$D$2000,A931)</f>
        <v>0</v>
      </c>
    </row>
    <row r="932" customFormat="false" ht="15" hidden="false" customHeight="false" outlineLevel="0" collapsed="false">
      <c r="A932" s="6" t="s">
        <v>1387</v>
      </c>
      <c r="B932" s="6" t="s">
        <v>9</v>
      </c>
      <c r="C932" s="6" t="s">
        <v>3</v>
      </c>
      <c r="D932" s="6" t="s">
        <v>1312</v>
      </c>
      <c r="E932" s="6" t="s">
        <v>1315</v>
      </c>
      <c r="F932" s="6" t="s">
        <v>1387</v>
      </c>
      <c r="G932" s="6" t="s">
        <v>1388</v>
      </c>
      <c r="H932" s="6"/>
      <c r="I932" s="6"/>
      <c r="J932" s="6" t="s">
        <v>1315</v>
      </c>
      <c r="K932" s="6" t="s">
        <v>1389</v>
      </c>
      <c r="L932" s="6" t="s">
        <v>744</v>
      </c>
      <c r="M932" s="6" t="s">
        <v>1068</v>
      </c>
      <c r="N932" s="6"/>
      <c r="O932" s="6" t="s">
        <v>1315</v>
      </c>
      <c r="P932" s="6" t="s">
        <v>468</v>
      </c>
      <c r="Q932" s="6"/>
      <c r="R932" s="7" t="n">
        <f aca="false">COUNTIF('Label Map'!$D$2:$D$2000,A932)</f>
        <v>2</v>
      </c>
    </row>
    <row r="933" customFormat="false" ht="15" hidden="false" customHeight="false" outlineLevel="0" collapsed="false">
      <c r="A933" s="6" t="s">
        <v>1390</v>
      </c>
      <c r="B933" s="6" t="s">
        <v>9</v>
      </c>
      <c r="C933" s="6" t="s">
        <v>3</v>
      </c>
      <c r="D933" s="6" t="s">
        <v>1312</v>
      </c>
      <c r="E933" s="6" t="s">
        <v>1315</v>
      </c>
      <c r="F933" s="6" t="s">
        <v>1390</v>
      </c>
      <c r="G933" s="6" t="s">
        <v>1391</v>
      </c>
      <c r="H933" s="6"/>
      <c r="I933" s="6"/>
      <c r="J933" s="6" t="s">
        <v>1315</v>
      </c>
      <c r="K933" s="6" t="s">
        <v>1392</v>
      </c>
      <c r="L933" s="6" t="s">
        <v>744</v>
      </c>
      <c r="M933" s="6" t="s">
        <v>1068</v>
      </c>
      <c r="N933" s="6"/>
      <c r="O933" s="6" t="s">
        <v>1315</v>
      </c>
      <c r="P933" s="6" t="s">
        <v>337</v>
      </c>
      <c r="Q933" s="6"/>
      <c r="R933" s="7" t="n">
        <f aca="false">COUNTIF('Label Map'!$D$2:$D$2000,A933)</f>
        <v>2</v>
      </c>
    </row>
    <row r="934" customFormat="false" ht="15" hidden="false" customHeight="false" outlineLevel="0" collapsed="false">
      <c r="A934" s="6" t="s">
        <v>1393</v>
      </c>
      <c r="B934" s="6" t="s">
        <v>9</v>
      </c>
      <c r="C934" s="6" t="s">
        <v>3</v>
      </c>
      <c r="D934" s="6" t="s">
        <v>1312</v>
      </c>
      <c r="E934" s="6" t="s">
        <v>1315</v>
      </c>
      <c r="F934" s="6" t="s">
        <v>1393</v>
      </c>
      <c r="G934" s="6" t="s">
        <v>1394</v>
      </c>
      <c r="H934" s="6"/>
      <c r="I934" s="6"/>
      <c r="J934" s="6" t="s">
        <v>1315</v>
      </c>
      <c r="K934" s="6" t="s">
        <v>1374</v>
      </c>
      <c r="L934" s="6" t="s">
        <v>744</v>
      </c>
      <c r="M934" s="6" t="s">
        <v>1068</v>
      </c>
      <c r="N934" s="6"/>
      <c r="O934" s="6" t="s">
        <v>1315</v>
      </c>
      <c r="P934" s="6" t="s">
        <v>468</v>
      </c>
      <c r="Q934" s="6"/>
      <c r="R934" s="7" t="n">
        <f aca="false">COUNTIF('Label Map'!$D$2:$D$2000,A934)</f>
        <v>2</v>
      </c>
    </row>
    <row r="935" customFormat="false" ht="15" hidden="false" customHeight="false" outlineLevel="0" collapsed="false">
      <c r="A935" s="6" t="s">
        <v>1395</v>
      </c>
      <c r="B935" s="6" t="s">
        <v>9</v>
      </c>
      <c r="C935" s="6" t="s">
        <v>3</v>
      </c>
      <c r="D935" s="6" t="s">
        <v>1312</v>
      </c>
      <c r="E935" s="6" t="s">
        <v>1315</v>
      </c>
      <c r="F935" s="6" t="s">
        <v>1395</v>
      </c>
      <c r="G935" s="6" t="s">
        <v>1396</v>
      </c>
      <c r="H935" s="6"/>
      <c r="I935" s="6"/>
      <c r="J935" s="6" t="s">
        <v>1315</v>
      </c>
      <c r="K935" s="6"/>
      <c r="L935" s="6" t="s">
        <v>744</v>
      </c>
      <c r="M935" s="6" t="s">
        <v>1068</v>
      </c>
      <c r="N935" s="6"/>
      <c r="O935" s="6" t="s">
        <v>875</v>
      </c>
      <c r="P935" s="6" t="s">
        <v>468</v>
      </c>
      <c r="Q935" s="6"/>
      <c r="R935" s="7" t="n">
        <f aca="false">COUNTIF('Label Map'!$D$2:$D$2000,A935)</f>
        <v>3</v>
      </c>
    </row>
    <row r="936" customFormat="false" ht="15" hidden="false" customHeight="false" outlineLevel="0" collapsed="false">
      <c r="A936" s="6" t="s">
        <v>1397</v>
      </c>
      <c r="B936" s="6" t="s">
        <v>11</v>
      </c>
      <c r="C936" s="6" t="s">
        <v>3</v>
      </c>
      <c r="D936" s="6" t="s">
        <v>1312</v>
      </c>
      <c r="E936" s="6" t="s">
        <v>1315</v>
      </c>
      <c r="F936" s="6" t="s">
        <v>1395</v>
      </c>
      <c r="G936" s="6" t="s">
        <v>1396</v>
      </c>
      <c r="H936" s="6" t="s">
        <v>1397</v>
      </c>
      <c r="I936" s="6"/>
      <c r="J936" s="6" t="s">
        <v>1395</v>
      </c>
      <c r="K936" s="6"/>
      <c r="L936" s="6"/>
      <c r="M936" s="6"/>
      <c r="N936" s="6"/>
      <c r="O936" s="6"/>
      <c r="P936" s="6"/>
      <c r="Q936" s="6" t="s">
        <v>1398</v>
      </c>
      <c r="R936" s="7" t="n">
        <f aca="false">COUNTIF('Label Map'!$D$2:$D$2000,A936)</f>
        <v>1</v>
      </c>
    </row>
    <row r="937" customFormat="false" ht="15" hidden="false" customHeight="false" outlineLevel="0" collapsed="false">
      <c r="A937" s="6" t="s">
        <v>1399</v>
      </c>
      <c r="B937" s="6" t="s">
        <v>11</v>
      </c>
      <c r="C937" s="6" t="s">
        <v>3</v>
      </c>
      <c r="D937" s="6" t="s">
        <v>1312</v>
      </c>
      <c r="E937" s="6" t="s">
        <v>1315</v>
      </c>
      <c r="F937" s="6" t="s">
        <v>1395</v>
      </c>
      <c r="G937" s="6" t="s">
        <v>1396</v>
      </c>
      <c r="H937" s="6" t="s">
        <v>1399</v>
      </c>
      <c r="I937" s="6"/>
      <c r="J937" s="6" t="s">
        <v>1395</v>
      </c>
      <c r="K937" s="6"/>
      <c r="L937" s="6"/>
      <c r="M937" s="6"/>
      <c r="N937" s="6"/>
      <c r="O937" s="6"/>
      <c r="P937" s="6"/>
      <c r="Q937" s="6" t="s">
        <v>1398</v>
      </c>
      <c r="R937" s="7" t="n">
        <f aca="false">COUNTIF('Label Map'!$D$2:$D$2000,A937)</f>
        <v>1</v>
      </c>
    </row>
    <row r="938" customFormat="false" ht="15" hidden="false" customHeight="false" outlineLevel="0" collapsed="false">
      <c r="A938" s="6" t="s">
        <v>1400</v>
      </c>
      <c r="B938" s="6" t="s">
        <v>11</v>
      </c>
      <c r="C938" s="6" t="s">
        <v>3</v>
      </c>
      <c r="D938" s="6" t="s">
        <v>1312</v>
      </c>
      <c r="E938" s="6" t="s">
        <v>1315</v>
      </c>
      <c r="F938" s="6" t="s">
        <v>1395</v>
      </c>
      <c r="G938" s="6" t="s">
        <v>1396</v>
      </c>
      <c r="H938" s="6" t="s">
        <v>1400</v>
      </c>
      <c r="I938" s="6"/>
      <c r="J938" s="6" t="s">
        <v>1395</v>
      </c>
      <c r="K938" s="6"/>
      <c r="L938" s="6"/>
      <c r="M938" s="6"/>
      <c r="N938" s="6"/>
      <c r="O938" s="6"/>
      <c r="P938" s="6"/>
      <c r="Q938" s="6" t="s">
        <v>1398</v>
      </c>
      <c r="R938" s="7" t="n">
        <f aca="false">COUNTIF('Label Map'!$D$2:$D$2000,A938)</f>
        <v>1</v>
      </c>
    </row>
    <row r="939" customFormat="false" ht="15" hidden="false" customHeight="false" outlineLevel="0" collapsed="false">
      <c r="A939" s="6" t="s">
        <v>1401</v>
      </c>
      <c r="B939" s="6" t="s">
        <v>11</v>
      </c>
      <c r="C939" s="6" t="s">
        <v>3</v>
      </c>
      <c r="D939" s="6" t="s">
        <v>1312</v>
      </c>
      <c r="E939" s="6" t="s">
        <v>1315</v>
      </c>
      <c r="F939" s="6" t="s">
        <v>1395</v>
      </c>
      <c r="G939" s="6" t="s">
        <v>1396</v>
      </c>
      <c r="H939" s="6" t="s">
        <v>1401</v>
      </c>
      <c r="I939" s="6"/>
      <c r="J939" s="6" t="s">
        <v>1395</v>
      </c>
      <c r="K939" s="6"/>
      <c r="L939" s="6"/>
      <c r="M939" s="6"/>
      <c r="N939" s="6"/>
      <c r="O939" s="6"/>
      <c r="P939" s="6"/>
      <c r="Q939" s="6" t="s">
        <v>1398</v>
      </c>
      <c r="R939" s="7" t="n">
        <f aca="false">COUNTIF('Label Map'!$D$2:$D$2000,A939)</f>
        <v>1</v>
      </c>
    </row>
    <row r="940" customFormat="false" ht="15" hidden="false" customHeight="false" outlineLevel="0" collapsed="false">
      <c r="A940" s="6" t="s">
        <v>1402</v>
      </c>
      <c r="B940" s="6" t="s">
        <v>11</v>
      </c>
      <c r="C940" s="6" t="s">
        <v>3</v>
      </c>
      <c r="D940" s="6" t="s">
        <v>1312</v>
      </c>
      <c r="E940" s="6" t="s">
        <v>1315</v>
      </c>
      <c r="F940" s="6" t="s">
        <v>1395</v>
      </c>
      <c r="G940" s="6" t="s">
        <v>1396</v>
      </c>
      <c r="H940" s="6" t="s">
        <v>1402</v>
      </c>
      <c r="I940" s="6"/>
      <c r="J940" s="6" t="s">
        <v>1395</v>
      </c>
      <c r="K940" s="6"/>
      <c r="L940" s="6"/>
      <c r="M940" s="6"/>
      <c r="N940" s="6"/>
      <c r="O940" s="6"/>
      <c r="P940" s="6"/>
      <c r="Q940" s="6" t="s">
        <v>1398</v>
      </c>
      <c r="R940" s="7" t="n">
        <f aca="false">COUNTIF('Label Map'!$D$2:$D$2000,A940)</f>
        <v>1</v>
      </c>
    </row>
    <row r="941" customFormat="false" ht="15" hidden="false" customHeight="false" outlineLevel="0" collapsed="false">
      <c r="A941" s="6" t="s">
        <v>1403</v>
      </c>
      <c r="B941" s="6" t="s">
        <v>11</v>
      </c>
      <c r="C941" s="6" t="s">
        <v>3</v>
      </c>
      <c r="D941" s="6" t="s">
        <v>1312</v>
      </c>
      <c r="E941" s="6" t="s">
        <v>1315</v>
      </c>
      <c r="F941" s="6" t="s">
        <v>1395</v>
      </c>
      <c r="G941" s="6" t="s">
        <v>1396</v>
      </c>
      <c r="H941" s="6" t="s">
        <v>1403</v>
      </c>
      <c r="I941" s="6"/>
      <c r="J941" s="6" t="s">
        <v>1395</v>
      </c>
      <c r="K941" s="6"/>
      <c r="L941" s="6"/>
      <c r="M941" s="6"/>
      <c r="N941" s="6"/>
      <c r="O941" s="6"/>
      <c r="P941" s="6"/>
      <c r="Q941" s="6" t="s">
        <v>1398</v>
      </c>
      <c r="R941" s="7" t="n">
        <f aca="false">COUNTIF('Label Map'!$D$2:$D$2000,A941)</f>
        <v>1</v>
      </c>
    </row>
    <row r="942" customFormat="false" ht="15" hidden="false" customHeight="false" outlineLevel="0" collapsed="false">
      <c r="A942" s="6" t="s">
        <v>1404</v>
      </c>
      <c r="B942" s="6" t="s">
        <v>11</v>
      </c>
      <c r="C942" s="6" t="s">
        <v>3</v>
      </c>
      <c r="D942" s="6" t="s">
        <v>1312</v>
      </c>
      <c r="E942" s="6" t="s">
        <v>1315</v>
      </c>
      <c r="F942" s="6" t="s">
        <v>1395</v>
      </c>
      <c r="G942" s="6" t="s">
        <v>1396</v>
      </c>
      <c r="H942" s="6" t="s">
        <v>1404</v>
      </c>
      <c r="I942" s="6"/>
      <c r="J942" s="6" t="s">
        <v>1395</v>
      </c>
      <c r="K942" s="6"/>
      <c r="L942" s="6"/>
      <c r="M942" s="6"/>
      <c r="N942" s="6"/>
      <c r="O942" s="6"/>
      <c r="P942" s="6"/>
      <c r="Q942" s="6" t="s">
        <v>1398</v>
      </c>
      <c r="R942" s="7" t="n">
        <f aca="false">COUNTIF('Label Map'!$D$2:$D$2000,A942)</f>
        <v>1</v>
      </c>
    </row>
    <row r="943" customFormat="false" ht="15" hidden="false" customHeight="false" outlineLevel="0" collapsed="false">
      <c r="A943" s="6" t="s">
        <v>1405</v>
      </c>
      <c r="B943" s="6" t="s">
        <v>63</v>
      </c>
      <c r="C943" s="6" t="s">
        <v>3</v>
      </c>
      <c r="D943" s="6" t="s">
        <v>1312</v>
      </c>
      <c r="E943" s="6" t="s">
        <v>1315</v>
      </c>
      <c r="F943" s="6" t="s">
        <v>1395</v>
      </c>
      <c r="G943" s="6" t="s">
        <v>1396</v>
      </c>
      <c r="H943" s="6"/>
      <c r="I943" s="6" t="s">
        <v>1405</v>
      </c>
      <c r="J943" s="6" t="s">
        <v>1395</v>
      </c>
      <c r="K943" s="6"/>
      <c r="L943" s="6"/>
      <c r="M943" s="6"/>
      <c r="N943" s="6"/>
      <c r="O943" s="6"/>
      <c r="P943" s="6"/>
      <c r="Q943" s="6"/>
      <c r="R943" s="7" t="n">
        <f aca="false">COUNTIF('Label Map'!$D$2:$D$2000,A943)</f>
        <v>0</v>
      </c>
    </row>
    <row r="944" customFormat="false" ht="15" hidden="false" customHeight="false" outlineLevel="0" collapsed="false">
      <c r="A944" s="6" t="s">
        <v>1406</v>
      </c>
      <c r="B944" s="6" t="s">
        <v>63</v>
      </c>
      <c r="C944" s="6" t="s">
        <v>3</v>
      </c>
      <c r="D944" s="6" t="s">
        <v>1312</v>
      </c>
      <c r="E944" s="6" t="s">
        <v>1315</v>
      </c>
      <c r="F944" s="6" t="s">
        <v>1395</v>
      </c>
      <c r="G944" s="6" t="s">
        <v>1396</v>
      </c>
      <c r="H944" s="6"/>
      <c r="I944" s="6" t="s">
        <v>1406</v>
      </c>
      <c r="J944" s="6" t="s">
        <v>1395</v>
      </c>
      <c r="K944" s="6"/>
      <c r="L944" s="6"/>
      <c r="M944" s="6"/>
      <c r="N944" s="6"/>
      <c r="O944" s="6"/>
      <c r="P944" s="6"/>
      <c r="Q944" s="6"/>
      <c r="R944" s="7" t="n">
        <f aca="false">COUNTIF('Label Map'!$D$2:$D$2000,A944)</f>
        <v>0</v>
      </c>
    </row>
    <row r="945" customFormat="false" ht="15" hidden="false" customHeight="false" outlineLevel="0" collapsed="false">
      <c r="A945" s="6" t="s">
        <v>1407</v>
      </c>
      <c r="B945" s="6" t="s">
        <v>9</v>
      </c>
      <c r="C945" s="6" t="s">
        <v>3</v>
      </c>
      <c r="D945" s="6" t="s">
        <v>1312</v>
      </c>
      <c r="E945" s="6" t="s">
        <v>1315</v>
      </c>
      <c r="F945" s="6" t="s">
        <v>1407</v>
      </c>
      <c r="G945" s="6" t="s">
        <v>1408</v>
      </c>
      <c r="H945" s="6"/>
      <c r="I945" s="6"/>
      <c r="J945" s="6" t="s">
        <v>1315</v>
      </c>
      <c r="K945" s="6"/>
      <c r="L945" s="6" t="s">
        <v>744</v>
      </c>
      <c r="M945" s="6" t="s">
        <v>1068</v>
      </c>
      <c r="N945" s="6"/>
      <c r="O945" s="6" t="s">
        <v>1315</v>
      </c>
      <c r="P945" s="6" t="s">
        <v>337</v>
      </c>
      <c r="Q945" s="6"/>
      <c r="R945" s="7" t="n">
        <f aca="false">COUNTIF('Label Map'!$D$2:$D$2000,A945)</f>
        <v>2</v>
      </c>
    </row>
    <row r="946" customFormat="false" ht="15" hidden="false" customHeight="false" outlineLevel="0" collapsed="false">
      <c r="A946" s="6" t="s">
        <v>1409</v>
      </c>
      <c r="B946" s="6" t="s">
        <v>11</v>
      </c>
      <c r="C946" s="6" t="s">
        <v>3</v>
      </c>
      <c r="D946" s="6" t="s">
        <v>1312</v>
      </c>
      <c r="E946" s="6" t="s">
        <v>1315</v>
      </c>
      <c r="F946" s="6" t="s">
        <v>1407</v>
      </c>
      <c r="G946" s="6" t="s">
        <v>1408</v>
      </c>
      <c r="H946" s="6" t="s">
        <v>1409</v>
      </c>
      <c r="I946" s="6"/>
      <c r="J946" s="6" t="s">
        <v>1407</v>
      </c>
      <c r="K946" s="6"/>
      <c r="L946" s="6"/>
      <c r="M946" s="6"/>
      <c r="N946" s="6"/>
      <c r="O946" s="6"/>
      <c r="P946" s="6"/>
      <c r="Q946" s="6" t="s">
        <v>280</v>
      </c>
      <c r="R946" s="7" t="n">
        <f aca="false">COUNTIF('Label Map'!$D$2:$D$2000,A946)</f>
        <v>1</v>
      </c>
    </row>
    <row r="947" customFormat="false" ht="15" hidden="false" customHeight="false" outlineLevel="0" collapsed="false">
      <c r="A947" s="6" t="s">
        <v>1410</v>
      </c>
      <c r="B947" s="6" t="s">
        <v>11</v>
      </c>
      <c r="C947" s="6" t="s">
        <v>3</v>
      </c>
      <c r="D947" s="6" t="s">
        <v>1312</v>
      </c>
      <c r="E947" s="6" t="s">
        <v>1315</v>
      </c>
      <c r="F947" s="6" t="s">
        <v>1407</v>
      </c>
      <c r="G947" s="6" t="s">
        <v>1408</v>
      </c>
      <c r="H947" s="6" t="s">
        <v>1410</v>
      </c>
      <c r="I947" s="6"/>
      <c r="J947" s="6" t="s">
        <v>1407</v>
      </c>
      <c r="K947" s="6"/>
      <c r="L947" s="6"/>
      <c r="M947" s="6"/>
      <c r="N947" s="6"/>
      <c r="O947" s="6"/>
      <c r="P947" s="6"/>
      <c r="Q947" s="6" t="s">
        <v>280</v>
      </c>
      <c r="R947" s="7" t="n">
        <f aca="false">COUNTIF('Label Map'!$D$2:$D$2000,A947)</f>
        <v>1</v>
      </c>
    </row>
    <row r="948" customFormat="false" ht="15" hidden="false" customHeight="false" outlineLevel="0" collapsed="false">
      <c r="A948" s="6" t="s">
        <v>1411</v>
      </c>
      <c r="B948" s="6" t="s">
        <v>11</v>
      </c>
      <c r="C948" s="6" t="s">
        <v>3</v>
      </c>
      <c r="D948" s="6" t="s">
        <v>1312</v>
      </c>
      <c r="E948" s="6" t="s">
        <v>1315</v>
      </c>
      <c r="F948" s="6" t="s">
        <v>1407</v>
      </c>
      <c r="G948" s="6" t="s">
        <v>1408</v>
      </c>
      <c r="H948" s="6" t="s">
        <v>1411</v>
      </c>
      <c r="I948" s="6"/>
      <c r="J948" s="6" t="s">
        <v>1407</v>
      </c>
      <c r="K948" s="6"/>
      <c r="L948" s="6"/>
      <c r="M948" s="6"/>
      <c r="N948" s="6"/>
      <c r="O948" s="6"/>
      <c r="P948" s="6"/>
      <c r="Q948" s="6" t="s">
        <v>280</v>
      </c>
      <c r="R948" s="7" t="n">
        <f aca="false">COUNTIF('Label Map'!$D$2:$D$2000,A948)</f>
        <v>1</v>
      </c>
    </row>
    <row r="949" customFormat="false" ht="15" hidden="false" customHeight="false" outlineLevel="0" collapsed="false">
      <c r="A949" s="6" t="s">
        <v>1412</v>
      </c>
      <c r="B949" s="6" t="s">
        <v>11</v>
      </c>
      <c r="C949" s="6" t="s">
        <v>3</v>
      </c>
      <c r="D949" s="6" t="s">
        <v>1312</v>
      </c>
      <c r="E949" s="6" t="s">
        <v>1315</v>
      </c>
      <c r="F949" s="6" t="s">
        <v>1407</v>
      </c>
      <c r="G949" s="6" t="s">
        <v>1408</v>
      </c>
      <c r="H949" s="6" t="s">
        <v>1412</v>
      </c>
      <c r="I949" s="6"/>
      <c r="J949" s="6" t="s">
        <v>1407</v>
      </c>
      <c r="K949" s="6"/>
      <c r="L949" s="6"/>
      <c r="M949" s="6"/>
      <c r="N949" s="6"/>
      <c r="O949" s="6"/>
      <c r="P949" s="6"/>
      <c r="Q949" s="6" t="s">
        <v>280</v>
      </c>
      <c r="R949" s="7" t="n">
        <f aca="false">COUNTIF('Label Map'!$D$2:$D$2000,A949)</f>
        <v>1</v>
      </c>
    </row>
    <row r="950" customFormat="false" ht="15" hidden="false" customHeight="false" outlineLevel="0" collapsed="false">
      <c r="A950" s="6" t="s">
        <v>1413</v>
      </c>
      <c r="B950" s="6" t="s">
        <v>11</v>
      </c>
      <c r="C950" s="6" t="s">
        <v>3</v>
      </c>
      <c r="D950" s="6" t="s">
        <v>1312</v>
      </c>
      <c r="E950" s="6" t="s">
        <v>1315</v>
      </c>
      <c r="F950" s="6" t="s">
        <v>1407</v>
      </c>
      <c r="G950" s="6" t="s">
        <v>1408</v>
      </c>
      <c r="H950" s="6" t="s">
        <v>1413</v>
      </c>
      <c r="I950" s="6"/>
      <c r="J950" s="6" t="s">
        <v>1407</v>
      </c>
      <c r="K950" s="6"/>
      <c r="L950" s="6"/>
      <c r="M950" s="6"/>
      <c r="N950" s="6"/>
      <c r="O950" s="6"/>
      <c r="P950" s="6"/>
      <c r="Q950" s="6" t="s">
        <v>280</v>
      </c>
      <c r="R950" s="7" t="n">
        <f aca="false">COUNTIF('Label Map'!$D$2:$D$2000,A950)</f>
        <v>1</v>
      </c>
    </row>
    <row r="951" customFormat="false" ht="15" hidden="false" customHeight="false" outlineLevel="0" collapsed="false">
      <c r="A951" s="6" t="s">
        <v>1414</v>
      </c>
      <c r="B951" s="6" t="s">
        <v>11</v>
      </c>
      <c r="C951" s="6" t="s">
        <v>3</v>
      </c>
      <c r="D951" s="6" t="s">
        <v>1312</v>
      </c>
      <c r="E951" s="6" t="s">
        <v>1315</v>
      </c>
      <c r="F951" s="6" t="s">
        <v>1407</v>
      </c>
      <c r="G951" s="6" t="s">
        <v>1408</v>
      </c>
      <c r="H951" s="6" t="s">
        <v>1414</v>
      </c>
      <c r="I951" s="6"/>
      <c r="J951" s="6" t="s">
        <v>1407</v>
      </c>
      <c r="K951" s="6"/>
      <c r="L951" s="6"/>
      <c r="M951" s="6"/>
      <c r="N951" s="6"/>
      <c r="O951" s="6"/>
      <c r="P951" s="6"/>
      <c r="Q951" s="6" t="s">
        <v>280</v>
      </c>
      <c r="R951" s="7" t="n">
        <f aca="false">COUNTIF('Label Map'!$D$2:$D$2000,A951)</f>
        <v>1</v>
      </c>
    </row>
    <row r="952" customFormat="false" ht="15" hidden="false" customHeight="false" outlineLevel="0" collapsed="false">
      <c r="A952" s="6" t="s">
        <v>1415</v>
      </c>
      <c r="B952" s="6" t="s">
        <v>11</v>
      </c>
      <c r="C952" s="6" t="s">
        <v>3</v>
      </c>
      <c r="D952" s="6" t="s">
        <v>1312</v>
      </c>
      <c r="E952" s="6" t="s">
        <v>1315</v>
      </c>
      <c r="F952" s="6" t="s">
        <v>1407</v>
      </c>
      <c r="G952" s="6" t="s">
        <v>1408</v>
      </c>
      <c r="H952" s="6" t="s">
        <v>1415</v>
      </c>
      <c r="I952" s="6"/>
      <c r="J952" s="6" t="s">
        <v>1407</v>
      </c>
      <c r="K952" s="6"/>
      <c r="L952" s="6"/>
      <c r="M952" s="6"/>
      <c r="N952" s="6"/>
      <c r="O952" s="6"/>
      <c r="P952" s="6"/>
      <c r="Q952" s="6" t="s">
        <v>280</v>
      </c>
      <c r="R952" s="7" t="n">
        <f aca="false">COUNTIF('Label Map'!$D$2:$D$2000,A952)</f>
        <v>1</v>
      </c>
    </row>
    <row r="953" customFormat="false" ht="15" hidden="false" customHeight="false" outlineLevel="0" collapsed="false">
      <c r="A953" s="6" t="s">
        <v>1416</v>
      </c>
      <c r="B953" s="6" t="s">
        <v>11</v>
      </c>
      <c r="C953" s="6" t="s">
        <v>3</v>
      </c>
      <c r="D953" s="6" t="s">
        <v>1312</v>
      </c>
      <c r="E953" s="6" t="s">
        <v>1315</v>
      </c>
      <c r="F953" s="6" t="s">
        <v>1407</v>
      </c>
      <c r="G953" s="6" t="s">
        <v>1408</v>
      </c>
      <c r="H953" s="6" t="s">
        <v>1416</v>
      </c>
      <c r="I953" s="6"/>
      <c r="J953" s="6" t="s">
        <v>1407</v>
      </c>
      <c r="K953" s="6"/>
      <c r="L953" s="6"/>
      <c r="M953" s="6"/>
      <c r="N953" s="6"/>
      <c r="O953" s="6"/>
      <c r="P953" s="6"/>
      <c r="Q953" s="6" t="s">
        <v>280</v>
      </c>
      <c r="R953" s="7" t="n">
        <f aca="false">COUNTIF('Label Map'!$D$2:$D$2000,A953)</f>
        <v>1</v>
      </c>
    </row>
    <row r="954" customFormat="false" ht="15" hidden="false" customHeight="false" outlineLevel="0" collapsed="false">
      <c r="A954" s="6" t="s">
        <v>1417</v>
      </c>
      <c r="B954" s="6" t="s">
        <v>11</v>
      </c>
      <c r="C954" s="6" t="s">
        <v>3</v>
      </c>
      <c r="D954" s="6" t="s">
        <v>1312</v>
      </c>
      <c r="E954" s="6" t="s">
        <v>1315</v>
      </c>
      <c r="F954" s="6" t="s">
        <v>1407</v>
      </c>
      <c r="G954" s="6" t="s">
        <v>1408</v>
      </c>
      <c r="H954" s="6" t="s">
        <v>1417</v>
      </c>
      <c r="I954" s="6"/>
      <c r="J954" s="6" t="s">
        <v>1407</v>
      </c>
      <c r="K954" s="6"/>
      <c r="L954" s="6"/>
      <c r="M954" s="6"/>
      <c r="N954" s="6"/>
      <c r="O954" s="6"/>
      <c r="P954" s="6"/>
      <c r="Q954" s="6" t="s">
        <v>280</v>
      </c>
      <c r="R954" s="7" t="n">
        <f aca="false">COUNTIF('Label Map'!$D$2:$D$2000,A954)</f>
        <v>1</v>
      </c>
    </row>
    <row r="955" customFormat="false" ht="15" hidden="false" customHeight="false" outlineLevel="0" collapsed="false">
      <c r="A955" s="6" t="s">
        <v>1418</v>
      </c>
      <c r="B955" s="6" t="s">
        <v>63</v>
      </c>
      <c r="C955" s="6" t="s">
        <v>3</v>
      </c>
      <c r="D955" s="6" t="s">
        <v>1312</v>
      </c>
      <c r="E955" s="6" t="s">
        <v>1315</v>
      </c>
      <c r="F955" s="6" t="s">
        <v>1407</v>
      </c>
      <c r="G955" s="6" t="s">
        <v>1408</v>
      </c>
      <c r="H955" s="6"/>
      <c r="I955" s="6" t="s">
        <v>1418</v>
      </c>
      <c r="J955" s="6" t="s">
        <v>1407</v>
      </c>
      <c r="K955" s="6"/>
      <c r="L955" s="6"/>
      <c r="M955" s="6"/>
      <c r="N955" s="6"/>
      <c r="O955" s="6"/>
      <c r="P955" s="6"/>
      <c r="Q955" s="6"/>
      <c r="R955" s="7" t="n">
        <f aca="false">COUNTIF('Label Map'!$D$2:$D$2000,A955)</f>
        <v>0</v>
      </c>
    </row>
    <row r="956" customFormat="false" ht="15" hidden="false" customHeight="false" outlineLevel="0" collapsed="false">
      <c r="A956" s="6" t="s">
        <v>1419</v>
      </c>
      <c r="B956" s="6" t="s">
        <v>7</v>
      </c>
      <c r="C956" s="6" t="s">
        <v>3</v>
      </c>
      <c r="D956" s="6" t="s">
        <v>1312</v>
      </c>
      <c r="E956" s="6" t="s">
        <v>1419</v>
      </c>
      <c r="F956" s="6"/>
      <c r="G956" s="6"/>
      <c r="H956" s="6"/>
      <c r="I956" s="6"/>
      <c r="J956" s="6" t="s">
        <v>1311</v>
      </c>
      <c r="K956" s="6"/>
      <c r="L956" s="6"/>
      <c r="M956" s="6"/>
      <c r="N956" s="6"/>
      <c r="O956" s="6"/>
      <c r="P956" s="6"/>
      <c r="Q956" s="6"/>
      <c r="R956" s="7" t="n">
        <f aca="false">COUNTIF('Label Map'!$D$2:$D$2000,A956)</f>
        <v>3</v>
      </c>
    </row>
    <row r="957" customFormat="false" ht="15" hidden="false" customHeight="false" outlineLevel="0" collapsed="false">
      <c r="A957" s="6" t="s">
        <v>1420</v>
      </c>
      <c r="B957" s="6" t="s">
        <v>314</v>
      </c>
      <c r="C957" s="6" t="s">
        <v>3</v>
      </c>
      <c r="D957" s="6" t="s">
        <v>1312</v>
      </c>
      <c r="E957" s="6" t="s">
        <v>1419</v>
      </c>
      <c r="F957" s="6"/>
      <c r="G957" s="6"/>
      <c r="H957" s="6"/>
      <c r="I957" s="6"/>
      <c r="J957" s="6" t="s">
        <v>1419</v>
      </c>
      <c r="K957" s="6"/>
      <c r="L957" s="6"/>
      <c r="M957" s="6"/>
      <c r="N957" s="6"/>
      <c r="O957" s="6"/>
      <c r="P957" s="6"/>
      <c r="Q957" s="6" t="s">
        <v>1421</v>
      </c>
      <c r="R957" s="7" t="n">
        <f aca="false">COUNTIF('Label Map'!$D$2:$D$2000,A957)</f>
        <v>7</v>
      </c>
    </row>
    <row r="958" customFormat="false" ht="15" hidden="false" customHeight="false" outlineLevel="0" collapsed="false">
      <c r="A958" s="6" t="s">
        <v>1422</v>
      </c>
      <c r="B958" s="6" t="s">
        <v>314</v>
      </c>
      <c r="C958" s="6" t="s">
        <v>3</v>
      </c>
      <c r="D958" s="6" t="s">
        <v>1312</v>
      </c>
      <c r="E958" s="6" t="s">
        <v>1419</v>
      </c>
      <c r="F958" s="6"/>
      <c r="G958" s="6"/>
      <c r="H958" s="6"/>
      <c r="I958" s="6"/>
      <c r="J958" s="6" t="s">
        <v>1419</v>
      </c>
      <c r="K958" s="6"/>
      <c r="L958" s="6"/>
      <c r="M958" s="6"/>
      <c r="N958" s="6"/>
      <c r="O958" s="6"/>
      <c r="P958" s="6"/>
      <c r="Q958" s="6" t="s">
        <v>1423</v>
      </c>
      <c r="R958" s="7" t="n">
        <f aca="false">COUNTIF('Label Map'!$D$2:$D$2000,A958)</f>
        <v>2</v>
      </c>
    </row>
    <row r="959" customFormat="false" ht="15" hidden="false" customHeight="false" outlineLevel="0" collapsed="false">
      <c r="A959" s="6" t="s">
        <v>1424</v>
      </c>
      <c r="B959" s="6" t="s">
        <v>9</v>
      </c>
      <c r="C959" s="6" t="s">
        <v>3</v>
      </c>
      <c r="D959" s="6" t="s">
        <v>1312</v>
      </c>
      <c r="E959" s="6" t="s">
        <v>1419</v>
      </c>
      <c r="F959" s="6" t="s">
        <v>1424</v>
      </c>
      <c r="G959" s="6" t="s">
        <v>1425</v>
      </c>
      <c r="H959" s="6"/>
      <c r="I959" s="6"/>
      <c r="J959" s="6" t="s">
        <v>1419</v>
      </c>
      <c r="K959" s="6" t="s">
        <v>1426</v>
      </c>
      <c r="L959" s="6" t="s">
        <v>744</v>
      </c>
      <c r="M959" s="6" t="s">
        <v>1427</v>
      </c>
      <c r="N959" s="6"/>
      <c r="O959" s="6" t="s">
        <v>1428</v>
      </c>
      <c r="P959" s="6" t="s">
        <v>87</v>
      </c>
      <c r="Q959" s="6"/>
      <c r="R959" s="7" t="n">
        <f aca="false">COUNTIF('Label Map'!$D$2:$D$2000,A959)</f>
        <v>4</v>
      </c>
    </row>
    <row r="960" customFormat="false" ht="15" hidden="false" customHeight="false" outlineLevel="0" collapsed="false">
      <c r="A960" s="6" t="s">
        <v>1429</v>
      </c>
      <c r="B960" s="6" t="s">
        <v>89</v>
      </c>
      <c r="C960" s="6" t="s">
        <v>3</v>
      </c>
      <c r="D960" s="6" t="s">
        <v>1312</v>
      </c>
      <c r="E960" s="6" t="s">
        <v>1419</v>
      </c>
      <c r="F960" s="6" t="s">
        <v>1424</v>
      </c>
      <c r="G960" s="6" t="s">
        <v>1425</v>
      </c>
      <c r="H960" s="6"/>
      <c r="I960" s="6"/>
      <c r="J960" s="6" t="s">
        <v>1424</v>
      </c>
      <c r="K960" s="6"/>
      <c r="L960" s="6"/>
      <c r="M960" s="6"/>
      <c r="N960" s="6"/>
      <c r="O960" s="6"/>
      <c r="P960" s="6"/>
      <c r="Q960" s="6"/>
      <c r="R960" s="7" t="n">
        <f aca="false">COUNTIF('Label Map'!$D$2:$D$2000,A960)</f>
        <v>1</v>
      </c>
    </row>
    <row r="961" customFormat="false" ht="15" hidden="false" customHeight="false" outlineLevel="0" collapsed="false">
      <c r="A961" s="6" t="s">
        <v>1430</v>
      </c>
      <c r="B961" s="6" t="s">
        <v>89</v>
      </c>
      <c r="C961" s="6" t="s">
        <v>3</v>
      </c>
      <c r="D961" s="6" t="s">
        <v>1312</v>
      </c>
      <c r="E961" s="6" t="s">
        <v>1419</v>
      </c>
      <c r="F961" s="6" t="s">
        <v>1424</v>
      </c>
      <c r="G961" s="6" t="s">
        <v>1425</v>
      </c>
      <c r="H961" s="6"/>
      <c r="I961" s="6"/>
      <c r="J961" s="6" t="s">
        <v>1424</v>
      </c>
      <c r="K961" s="6"/>
      <c r="L961" s="6"/>
      <c r="M961" s="6"/>
      <c r="N961" s="6"/>
      <c r="O961" s="6"/>
      <c r="P961" s="6"/>
      <c r="Q961" s="6"/>
      <c r="R961" s="7" t="n">
        <f aca="false">COUNTIF('Label Map'!$D$2:$D$2000,A961)</f>
        <v>1</v>
      </c>
    </row>
    <row r="962" customFormat="false" ht="15" hidden="false" customHeight="false" outlineLevel="0" collapsed="false">
      <c r="A962" s="6" t="s">
        <v>1431</v>
      </c>
      <c r="B962" s="6" t="s">
        <v>89</v>
      </c>
      <c r="C962" s="6" t="s">
        <v>3</v>
      </c>
      <c r="D962" s="6" t="s">
        <v>1312</v>
      </c>
      <c r="E962" s="6" t="s">
        <v>1419</v>
      </c>
      <c r="F962" s="6" t="s">
        <v>1424</v>
      </c>
      <c r="G962" s="6" t="s">
        <v>1425</v>
      </c>
      <c r="H962" s="6"/>
      <c r="I962" s="6"/>
      <c r="J962" s="6" t="s">
        <v>1424</v>
      </c>
      <c r="K962" s="6"/>
      <c r="L962" s="6"/>
      <c r="M962" s="6"/>
      <c r="N962" s="6"/>
      <c r="O962" s="6"/>
      <c r="P962" s="6"/>
      <c r="Q962" s="6"/>
      <c r="R962" s="7" t="n">
        <f aca="false">COUNTIF('Label Map'!$D$2:$D$2000,A962)</f>
        <v>1</v>
      </c>
    </row>
    <row r="963" customFormat="false" ht="15" hidden="false" customHeight="false" outlineLevel="0" collapsed="false">
      <c r="A963" s="6" t="s">
        <v>1432</v>
      </c>
      <c r="B963" s="6" t="s">
        <v>89</v>
      </c>
      <c r="C963" s="6" t="s">
        <v>3</v>
      </c>
      <c r="D963" s="6" t="s">
        <v>1312</v>
      </c>
      <c r="E963" s="6" t="s">
        <v>1419</v>
      </c>
      <c r="F963" s="6" t="s">
        <v>1424</v>
      </c>
      <c r="G963" s="6" t="s">
        <v>1425</v>
      </c>
      <c r="H963" s="6"/>
      <c r="I963" s="6"/>
      <c r="J963" s="6" t="s">
        <v>1424</v>
      </c>
      <c r="K963" s="6"/>
      <c r="L963" s="6"/>
      <c r="M963" s="6"/>
      <c r="N963" s="6"/>
      <c r="O963" s="6"/>
      <c r="P963" s="6"/>
      <c r="Q963" s="6"/>
      <c r="R963" s="7" t="n">
        <f aca="false">COUNTIF('Label Map'!$D$2:$D$2000,A963)</f>
        <v>1</v>
      </c>
    </row>
    <row r="964" customFormat="false" ht="15" hidden="false" customHeight="false" outlineLevel="0" collapsed="false">
      <c r="A964" s="6" t="s">
        <v>1433</v>
      </c>
      <c r="B964" s="6" t="s">
        <v>89</v>
      </c>
      <c r="C964" s="6" t="s">
        <v>3</v>
      </c>
      <c r="D964" s="6" t="s">
        <v>1312</v>
      </c>
      <c r="E964" s="6" t="s">
        <v>1419</v>
      </c>
      <c r="F964" s="6" t="s">
        <v>1424</v>
      </c>
      <c r="G964" s="6" t="s">
        <v>1425</v>
      </c>
      <c r="H964" s="6"/>
      <c r="I964" s="6"/>
      <c r="J964" s="6" t="s">
        <v>1424</v>
      </c>
      <c r="K964" s="6"/>
      <c r="L964" s="6"/>
      <c r="M964" s="6"/>
      <c r="N964" s="6"/>
      <c r="O964" s="6"/>
      <c r="P964" s="6"/>
      <c r="Q964" s="6"/>
      <c r="R964" s="7" t="n">
        <f aca="false">COUNTIF('Label Map'!$D$2:$D$2000,A964)</f>
        <v>1</v>
      </c>
    </row>
    <row r="965" customFormat="false" ht="15" hidden="false" customHeight="false" outlineLevel="0" collapsed="false">
      <c r="A965" s="6" t="s">
        <v>1434</v>
      </c>
      <c r="B965" s="6" t="s">
        <v>89</v>
      </c>
      <c r="C965" s="6" t="s">
        <v>3</v>
      </c>
      <c r="D965" s="6" t="s">
        <v>1312</v>
      </c>
      <c r="E965" s="6" t="s">
        <v>1419</v>
      </c>
      <c r="F965" s="6" t="s">
        <v>1424</v>
      </c>
      <c r="G965" s="6" t="s">
        <v>1425</v>
      </c>
      <c r="H965" s="6"/>
      <c r="I965" s="6"/>
      <c r="J965" s="6" t="s">
        <v>1424</v>
      </c>
      <c r="K965" s="6"/>
      <c r="L965" s="6"/>
      <c r="M965" s="6"/>
      <c r="N965" s="6"/>
      <c r="O965" s="6"/>
      <c r="P965" s="6"/>
      <c r="Q965" s="6"/>
      <c r="R965" s="7" t="n">
        <f aca="false">COUNTIF('Label Map'!$D$2:$D$2000,A965)</f>
        <v>1</v>
      </c>
    </row>
    <row r="966" customFormat="false" ht="15" hidden="false" customHeight="false" outlineLevel="0" collapsed="false">
      <c r="A966" s="6" t="s">
        <v>1435</v>
      </c>
      <c r="B966" s="6" t="s">
        <v>89</v>
      </c>
      <c r="C966" s="6" t="s">
        <v>3</v>
      </c>
      <c r="D966" s="6" t="s">
        <v>1312</v>
      </c>
      <c r="E966" s="6" t="s">
        <v>1419</v>
      </c>
      <c r="F966" s="6" t="s">
        <v>1424</v>
      </c>
      <c r="G966" s="6" t="s">
        <v>1425</v>
      </c>
      <c r="H966" s="6"/>
      <c r="I966" s="6"/>
      <c r="J966" s="6" t="s">
        <v>1424</v>
      </c>
      <c r="K966" s="6"/>
      <c r="L966" s="6"/>
      <c r="M966" s="6"/>
      <c r="N966" s="6"/>
      <c r="O966" s="6"/>
      <c r="P966" s="6"/>
      <c r="Q966" s="6"/>
      <c r="R966" s="7" t="n">
        <f aca="false">COUNTIF('Label Map'!$D$2:$D$2000,A966)</f>
        <v>1</v>
      </c>
    </row>
    <row r="967" customFormat="false" ht="15" hidden="false" customHeight="false" outlineLevel="0" collapsed="false">
      <c r="A967" s="6" t="s">
        <v>1436</v>
      </c>
      <c r="B967" s="6" t="s">
        <v>89</v>
      </c>
      <c r="C967" s="6" t="s">
        <v>3</v>
      </c>
      <c r="D967" s="6" t="s">
        <v>1312</v>
      </c>
      <c r="E967" s="6" t="s">
        <v>1419</v>
      </c>
      <c r="F967" s="6" t="s">
        <v>1424</v>
      </c>
      <c r="G967" s="6" t="s">
        <v>1425</v>
      </c>
      <c r="H967" s="6"/>
      <c r="I967" s="6"/>
      <c r="J967" s="6" t="s">
        <v>1424</v>
      </c>
      <c r="K967" s="6"/>
      <c r="L967" s="6"/>
      <c r="M967" s="6"/>
      <c r="N967" s="6"/>
      <c r="O967" s="6"/>
      <c r="P967" s="6"/>
      <c r="Q967" s="6"/>
      <c r="R967" s="7" t="n">
        <f aca="false">COUNTIF('Label Map'!$D$2:$D$2000,A967)</f>
        <v>1</v>
      </c>
    </row>
    <row r="968" customFormat="false" ht="15" hidden="false" customHeight="false" outlineLevel="0" collapsed="false">
      <c r="A968" s="6" t="s">
        <v>1437</v>
      </c>
      <c r="B968" s="6" t="s">
        <v>11</v>
      </c>
      <c r="C968" s="6" t="s">
        <v>3</v>
      </c>
      <c r="D968" s="6" t="s">
        <v>1312</v>
      </c>
      <c r="E968" s="6" t="s">
        <v>1419</v>
      </c>
      <c r="F968" s="6" t="s">
        <v>1424</v>
      </c>
      <c r="G968" s="6" t="s">
        <v>1425</v>
      </c>
      <c r="H968" s="6" t="s">
        <v>1437</v>
      </c>
      <c r="I968" s="6"/>
      <c r="J968" s="6" t="s">
        <v>1424</v>
      </c>
      <c r="K968" s="6"/>
      <c r="L968" s="6"/>
      <c r="M968" s="6"/>
      <c r="N968" s="6"/>
      <c r="O968" s="6"/>
      <c r="P968" s="6"/>
      <c r="Q968" s="6" t="s">
        <v>1438</v>
      </c>
      <c r="R968" s="7" t="n">
        <f aca="false">COUNTIF('Label Map'!$D$2:$D$2000,A968)</f>
        <v>1</v>
      </c>
    </row>
    <row r="969" customFormat="false" ht="15" hidden="false" customHeight="false" outlineLevel="0" collapsed="false">
      <c r="A969" s="6" t="s">
        <v>1439</v>
      </c>
      <c r="B969" s="6" t="s">
        <v>63</v>
      </c>
      <c r="C969" s="6" t="s">
        <v>3</v>
      </c>
      <c r="D969" s="6" t="s">
        <v>1312</v>
      </c>
      <c r="E969" s="6" t="s">
        <v>1419</v>
      </c>
      <c r="F969" s="6" t="s">
        <v>1424</v>
      </c>
      <c r="G969" s="6" t="s">
        <v>1425</v>
      </c>
      <c r="H969" s="6" t="s">
        <v>1437</v>
      </c>
      <c r="I969" s="6" t="s">
        <v>1439</v>
      </c>
      <c r="J969" s="6" t="s">
        <v>1437</v>
      </c>
      <c r="K969" s="6"/>
      <c r="L969" s="6"/>
      <c r="M969" s="6"/>
      <c r="N969" s="6"/>
      <c r="O969" s="6"/>
      <c r="P969" s="6"/>
      <c r="Q969" s="6"/>
      <c r="R969" s="7" t="n">
        <f aca="false">COUNTIF('Label Map'!$D$2:$D$2000,A969)</f>
        <v>0</v>
      </c>
    </row>
    <row r="970" customFormat="false" ht="15" hidden="false" customHeight="false" outlineLevel="0" collapsed="false">
      <c r="A970" s="6" t="s">
        <v>1440</v>
      </c>
      <c r="B970" s="6" t="s">
        <v>11</v>
      </c>
      <c r="C970" s="6" t="s">
        <v>3</v>
      </c>
      <c r="D970" s="6" t="s">
        <v>1312</v>
      </c>
      <c r="E970" s="6" t="s">
        <v>1419</v>
      </c>
      <c r="F970" s="6" t="s">
        <v>1424</v>
      </c>
      <c r="G970" s="6" t="s">
        <v>1425</v>
      </c>
      <c r="H970" s="6" t="s">
        <v>1440</v>
      </c>
      <c r="I970" s="6"/>
      <c r="J970" s="6" t="s">
        <v>1424</v>
      </c>
      <c r="K970" s="6"/>
      <c r="L970" s="6"/>
      <c r="M970" s="6"/>
      <c r="N970" s="6"/>
      <c r="O970" s="6"/>
      <c r="P970" s="6"/>
      <c r="Q970" s="6" t="s">
        <v>1438</v>
      </c>
      <c r="R970" s="7" t="n">
        <f aca="false">COUNTIF('Label Map'!$D$2:$D$2000,A970)</f>
        <v>1</v>
      </c>
    </row>
    <row r="971" customFormat="false" ht="15" hidden="false" customHeight="false" outlineLevel="0" collapsed="false">
      <c r="A971" s="6" t="s">
        <v>1441</v>
      </c>
      <c r="B971" s="6" t="s">
        <v>11</v>
      </c>
      <c r="C971" s="6" t="s">
        <v>3</v>
      </c>
      <c r="D971" s="6" t="s">
        <v>1312</v>
      </c>
      <c r="E971" s="6" t="s">
        <v>1419</v>
      </c>
      <c r="F971" s="6" t="s">
        <v>1424</v>
      </c>
      <c r="G971" s="6" t="s">
        <v>1425</v>
      </c>
      <c r="H971" s="6" t="s">
        <v>1441</v>
      </c>
      <c r="I971" s="6"/>
      <c r="J971" s="6" t="s">
        <v>1424</v>
      </c>
      <c r="K971" s="6"/>
      <c r="L971" s="6"/>
      <c r="M971" s="6"/>
      <c r="N971" s="6"/>
      <c r="O971" s="6"/>
      <c r="P971" s="6"/>
      <c r="Q971" s="6" t="s">
        <v>1438</v>
      </c>
      <c r="R971" s="7" t="n">
        <f aca="false">COUNTIF('Label Map'!$D$2:$D$2000,A971)</f>
        <v>1</v>
      </c>
    </row>
    <row r="972" customFormat="false" ht="15" hidden="false" customHeight="false" outlineLevel="0" collapsed="false">
      <c r="A972" s="6" t="s">
        <v>1442</v>
      </c>
      <c r="B972" s="6" t="s">
        <v>11</v>
      </c>
      <c r="C972" s="6" t="s">
        <v>3</v>
      </c>
      <c r="D972" s="6" t="s">
        <v>1312</v>
      </c>
      <c r="E972" s="6" t="s">
        <v>1419</v>
      </c>
      <c r="F972" s="6" t="s">
        <v>1424</v>
      </c>
      <c r="G972" s="6" t="s">
        <v>1425</v>
      </c>
      <c r="H972" s="6" t="s">
        <v>1442</v>
      </c>
      <c r="I972" s="6"/>
      <c r="J972" s="6" t="s">
        <v>1424</v>
      </c>
      <c r="K972" s="6"/>
      <c r="L972" s="6"/>
      <c r="M972" s="6"/>
      <c r="N972" s="6"/>
      <c r="O972" s="6"/>
      <c r="P972" s="6"/>
      <c r="Q972" s="6" t="s">
        <v>1438</v>
      </c>
      <c r="R972" s="7" t="n">
        <f aca="false">COUNTIF('Label Map'!$D$2:$D$2000,A972)</f>
        <v>1</v>
      </c>
    </row>
    <row r="973" customFormat="false" ht="15" hidden="false" customHeight="false" outlineLevel="0" collapsed="false">
      <c r="A973" s="6" t="s">
        <v>1443</v>
      </c>
      <c r="B973" s="6" t="s">
        <v>11</v>
      </c>
      <c r="C973" s="6" t="s">
        <v>3</v>
      </c>
      <c r="D973" s="6" t="s">
        <v>1312</v>
      </c>
      <c r="E973" s="6" t="s">
        <v>1419</v>
      </c>
      <c r="F973" s="6" t="s">
        <v>1424</v>
      </c>
      <c r="G973" s="6" t="s">
        <v>1425</v>
      </c>
      <c r="H973" s="6" t="s">
        <v>1443</v>
      </c>
      <c r="I973" s="6"/>
      <c r="J973" s="6" t="s">
        <v>1424</v>
      </c>
      <c r="K973" s="6"/>
      <c r="L973" s="6"/>
      <c r="M973" s="6"/>
      <c r="N973" s="6"/>
      <c r="O973" s="6"/>
      <c r="P973" s="6"/>
      <c r="Q973" s="6" t="s">
        <v>1438</v>
      </c>
      <c r="R973" s="7" t="n">
        <f aca="false">COUNTIF('Label Map'!$D$2:$D$2000,A973)</f>
        <v>1</v>
      </c>
    </row>
    <row r="974" customFormat="false" ht="15" hidden="false" customHeight="false" outlineLevel="0" collapsed="false">
      <c r="A974" s="6" t="s">
        <v>1444</v>
      </c>
      <c r="B974" s="6" t="s">
        <v>11</v>
      </c>
      <c r="C974" s="6" t="s">
        <v>3</v>
      </c>
      <c r="D974" s="6" t="s">
        <v>1312</v>
      </c>
      <c r="E974" s="6" t="s">
        <v>1419</v>
      </c>
      <c r="F974" s="6" t="s">
        <v>1424</v>
      </c>
      <c r="G974" s="6" t="s">
        <v>1425</v>
      </c>
      <c r="H974" s="6" t="s">
        <v>1444</v>
      </c>
      <c r="I974" s="6"/>
      <c r="J974" s="6" t="s">
        <v>1424</v>
      </c>
      <c r="K974" s="6"/>
      <c r="L974" s="6"/>
      <c r="M974" s="6"/>
      <c r="N974" s="6"/>
      <c r="O974" s="6"/>
      <c r="P974" s="6"/>
      <c r="Q974" s="6" t="s">
        <v>1438</v>
      </c>
      <c r="R974" s="7" t="n">
        <f aca="false">COUNTIF('Label Map'!$D$2:$D$2000,A974)</f>
        <v>1</v>
      </c>
    </row>
    <row r="975" customFormat="false" ht="15" hidden="false" customHeight="false" outlineLevel="0" collapsed="false">
      <c r="A975" s="6" t="s">
        <v>1445</v>
      </c>
      <c r="B975" s="6" t="s">
        <v>11</v>
      </c>
      <c r="C975" s="6" t="s">
        <v>3</v>
      </c>
      <c r="D975" s="6" t="s">
        <v>1312</v>
      </c>
      <c r="E975" s="6" t="s">
        <v>1419</v>
      </c>
      <c r="F975" s="6" t="s">
        <v>1424</v>
      </c>
      <c r="G975" s="6" t="s">
        <v>1425</v>
      </c>
      <c r="H975" s="6" t="s">
        <v>1445</v>
      </c>
      <c r="I975" s="6"/>
      <c r="J975" s="6" t="s">
        <v>1424</v>
      </c>
      <c r="K975" s="6"/>
      <c r="L975" s="6"/>
      <c r="M975" s="6"/>
      <c r="N975" s="6"/>
      <c r="O975" s="6"/>
      <c r="P975" s="6"/>
      <c r="Q975" s="6" t="s">
        <v>1438</v>
      </c>
      <c r="R975" s="7" t="n">
        <f aca="false">COUNTIF('Label Map'!$D$2:$D$2000,A975)</f>
        <v>1</v>
      </c>
    </row>
    <row r="976" customFormat="false" ht="15" hidden="false" customHeight="false" outlineLevel="0" collapsed="false">
      <c r="A976" s="6" t="s">
        <v>1446</v>
      </c>
      <c r="B976" s="6" t="s">
        <v>11</v>
      </c>
      <c r="C976" s="6" t="s">
        <v>3</v>
      </c>
      <c r="D976" s="6" t="s">
        <v>1312</v>
      </c>
      <c r="E976" s="6" t="s">
        <v>1419</v>
      </c>
      <c r="F976" s="6" t="s">
        <v>1424</v>
      </c>
      <c r="G976" s="6" t="s">
        <v>1425</v>
      </c>
      <c r="H976" s="6" t="s">
        <v>1446</v>
      </c>
      <c r="I976" s="6"/>
      <c r="J976" s="6" t="s">
        <v>1424</v>
      </c>
      <c r="K976" s="6"/>
      <c r="L976" s="6"/>
      <c r="M976" s="6"/>
      <c r="N976" s="6"/>
      <c r="O976" s="6"/>
      <c r="P976" s="6"/>
      <c r="Q976" s="6" t="s">
        <v>1438</v>
      </c>
      <c r="R976" s="7" t="n">
        <f aca="false">COUNTIF('Label Map'!$D$2:$D$2000,A976)</f>
        <v>1</v>
      </c>
    </row>
    <row r="977" customFormat="false" ht="15" hidden="false" customHeight="false" outlineLevel="0" collapsed="false">
      <c r="A977" s="6" t="s">
        <v>1447</v>
      </c>
      <c r="B977" s="6" t="s">
        <v>11</v>
      </c>
      <c r="C977" s="6" t="s">
        <v>3</v>
      </c>
      <c r="D977" s="6" t="s">
        <v>1312</v>
      </c>
      <c r="E977" s="6" t="s">
        <v>1419</v>
      </c>
      <c r="F977" s="6" t="s">
        <v>1424</v>
      </c>
      <c r="G977" s="6" t="s">
        <v>1425</v>
      </c>
      <c r="H977" s="6" t="s">
        <v>1447</v>
      </c>
      <c r="I977" s="6"/>
      <c r="J977" s="6" t="s">
        <v>1424</v>
      </c>
      <c r="K977" s="6"/>
      <c r="L977" s="6"/>
      <c r="M977" s="6"/>
      <c r="N977" s="6"/>
      <c r="O977" s="6"/>
      <c r="P977" s="6"/>
      <c r="Q977" s="6" t="s">
        <v>1438</v>
      </c>
      <c r="R977" s="7" t="n">
        <f aca="false">COUNTIF('Label Map'!$D$2:$D$2000,A977)</f>
        <v>1</v>
      </c>
    </row>
    <row r="978" customFormat="false" ht="15" hidden="false" customHeight="false" outlineLevel="0" collapsed="false">
      <c r="A978" s="6" t="s">
        <v>1448</v>
      </c>
      <c r="B978" s="6" t="s">
        <v>11</v>
      </c>
      <c r="C978" s="6" t="s">
        <v>3</v>
      </c>
      <c r="D978" s="6" t="s">
        <v>1312</v>
      </c>
      <c r="E978" s="6" t="s">
        <v>1419</v>
      </c>
      <c r="F978" s="6" t="s">
        <v>1424</v>
      </c>
      <c r="G978" s="6" t="s">
        <v>1425</v>
      </c>
      <c r="H978" s="6" t="s">
        <v>1448</v>
      </c>
      <c r="I978" s="6"/>
      <c r="J978" s="6" t="s">
        <v>1424</v>
      </c>
      <c r="K978" s="6"/>
      <c r="L978" s="6"/>
      <c r="M978" s="6"/>
      <c r="N978" s="6"/>
      <c r="O978" s="6"/>
      <c r="P978" s="6"/>
      <c r="Q978" s="6" t="s">
        <v>1438</v>
      </c>
      <c r="R978" s="7" t="n">
        <f aca="false">COUNTIF('Label Map'!$D$2:$D$2000,A978)</f>
        <v>1</v>
      </c>
    </row>
    <row r="979" customFormat="false" ht="15" hidden="false" customHeight="false" outlineLevel="0" collapsed="false">
      <c r="A979" s="6" t="s">
        <v>1449</v>
      </c>
      <c r="B979" s="6" t="s">
        <v>11</v>
      </c>
      <c r="C979" s="6" t="s">
        <v>3</v>
      </c>
      <c r="D979" s="6" t="s">
        <v>1312</v>
      </c>
      <c r="E979" s="6" t="s">
        <v>1419</v>
      </c>
      <c r="F979" s="6" t="s">
        <v>1424</v>
      </c>
      <c r="G979" s="6" t="s">
        <v>1425</v>
      </c>
      <c r="H979" s="6" t="s">
        <v>1449</v>
      </c>
      <c r="I979" s="6"/>
      <c r="J979" s="6" t="s">
        <v>1424</v>
      </c>
      <c r="K979" s="6"/>
      <c r="L979" s="6"/>
      <c r="M979" s="6"/>
      <c r="N979" s="6"/>
      <c r="O979" s="6"/>
      <c r="P979" s="6"/>
      <c r="Q979" s="6" t="s">
        <v>1438</v>
      </c>
      <c r="R979" s="7" t="n">
        <f aca="false">COUNTIF('Label Map'!$D$2:$D$2000,A979)</f>
        <v>1</v>
      </c>
    </row>
    <row r="980" customFormat="false" ht="15" hidden="false" customHeight="false" outlineLevel="0" collapsed="false">
      <c r="A980" s="6" t="s">
        <v>1450</v>
      </c>
      <c r="B980" s="6" t="s">
        <v>11</v>
      </c>
      <c r="C980" s="6" t="s">
        <v>3</v>
      </c>
      <c r="D980" s="6" t="s">
        <v>1312</v>
      </c>
      <c r="E980" s="6" t="s">
        <v>1419</v>
      </c>
      <c r="F980" s="6" t="s">
        <v>1424</v>
      </c>
      <c r="G980" s="6" t="s">
        <v>1425</v>
      </c>
      <c r="H980" s="6" t="s">
        <v>1450</v>
      </c>
      <c r="I980" s="6"/>
      <c r="J980" s="6" t="s">
        <v>1424</v>
      </c>
      <c r="K980" s="6"/>
      <c r="L980" s="6"/>
      <c r="M980" s="6"/>
      <c r="N980" s="6"/>
      <c r="O980" s="6"/>
      <c r="P980" s="6"/>
      <c r="Q980" s="6" t="s">
        <v>1438</v>
      </c>
      <c r="R980" s="7" t="n">
        <f aca="false">COUNTIF('Label Map'!$D$2:$D$2000,A980)</f>
        <v>1</v>
      </c>
    </row>
    <row r="981" customFormat="false" ht="15" hidden="false" customHeight="false" outlineLevel="0" collapsed="false">
      <c r="A981" s="6" t="s">
        <v>1451</v>
      </c>
      <c r="B981" s="6" t="s">
        <v>63</v>
      </c>
      <c r="C981" s="6" t="s">
        <v>3</v>
      </c>
      <c r="D981" s="6" t="s">
        <v>1312</v>
      </c>
      <c r="E981" s="6" t="s">
        <v>1419</v>
      </c>
      <c r="F981" s="6" t="s">
        <v>1424</v>
      </c>
      <c r="G981" s="6" t="s">
        <v>1425</v>
      </c>
      <c r="H981" s="6" t="s">
        <v>1450</v>
      </c>
      <c r="I981" s="6" t="s">
        <v>1451</v>
      </c>
      <c r="J981" s="6" t="s">
        <v>1450</v>
      </c>
      <c r="K981" s="6"/>
      <c r="L981" s="6"/>
      <c r="M981" s="6"/>
      <c r="N981" s="6"/>
      <c r="O981" s="6"/>
      <c r="P981" s="6"/>
      <c r="Q981" s="6"/>
      <c r="R981" s="7" t="n">
        <f aca="false">COUNTIF('Label Map'!$D$2:$D$2000,A981)</f>
        <v>0</v>
      </c>
    </row>
    <row r="982" customFormat="false" ht="15" hidden="false" customHeight="false" outlineLevel="0" collapsed="false">
      <c r="A982" s="6" t="s">
        <v>1452</v>
      </c>
      <c r="B982" s="6" t="s">
        <v>11</v>
      </c>
      <c r="C982" s="6" t="s">
        <v>3</v>
      </c>
      <c r="D982" s="6" t="s">
        <v>1312</v>
      </c>
      <c r="E982" s="6" t="s">
        <v>1419</v>
      </c>
      <c r="F982" s="6" t="s">
        <v>1424</v>
      </c>
      <c r="G982" s="6" t="s">
        <v>1425</v>
      </c>
      <c r="H982" s="6" t="s">
        <v>1452</v>
      </c>
      <c r="I982" s="6"/>
      <c r="J982" s="6" t="s">
        <v>1424</v>
      </c>
      <c r="K982" s="6"/>
      <c r="L982" s="6"/>
      <c r="M982" s="6"/>
      <c r="N982" s="6"/>
      <c r="O982" s="6"/>
      <c r="P982" s="6"/>
      <c r="Q982" s="6" t="s">
        <v>1438</v>
      </c>
      <c r="R982" s="7" t="n">
        <f aca="false">COUNTIF('Label Map'!$D$2:$D$2000,A982)</f>
        <v>1</v>
      </c>
    </row>
    <row r="983" customFormat="false" ht="15" hidden="false" customHeight="false" outlineLevel="0" collapsed="false">
      <c r="A983" s="6" t="s">
        <v>1453</v>
      </c>
      <c r="B983" s="6" t="s">
        <v>11</v>
      </c>
      <c r="C983" s="6" t="s">
        <v>3</v>
      </c>
      <c r="D983" s="6" t="s">
        <v>1312</v>
      </c>
      <c r="E983" s="6" t="s">
        <v>1419</v>
      </c>
      <c r="F983" s="6" t="s">
        <v>1424</v>
      </c>
      <c r="G983" s="6" t="s">
        <v>1425</v>
      </c>
      <c r="H983" s="6" t="s">
        <v>1453</v>
      </c>
      <c r="I983" s="6"/>
      <c r="J983" s="6" t="s">
        <v>1424</v>
      </c>
      <c r="K983" s="6"/>
      <c r="L983" s="6"/>
      <c r="M983" s="6"/>
      <c r="N983" s="6"/>
      <c r="O983" s="6"/>
      <c r="P983" s="6"/>
      <c r="Q983" s="6" t="s">
        <v>1438</v>
      </c>
      <c r="R983" s="7" t="n">
        <f aca="false">COUNTIF('Label Map'!$D$2:$D$2000,A983)</f>
        <v>1</v>
      </c>
    </row>
    <row r="984" customFormat="false" ht="15" hidden="false" customHeight="false" outlineLevel="0" collapsed="false">
      <c r="A984" s="6" t="s">
        <v>1454</v>
      </c>
      <c r="B984" s="6" t="s">
        <v>11</v>
      </c>
      <c r="C984" s="6" t="s">
        <v>3</v>
      </c>
      <c r="D984" s="6" t="s">
        <v>1312</v>
      </c>
      <c r="E984" s="6" t="s">
        <v>1419</v>
      </c>
      <c r="F984" s="6" t="s">
        <v>1424</v>
      </c>
      <c r="G984" s="6" t="s">
        <v>1425</v>
      </c>
      <c r="H984" s="6" t="s">
        <v>1454</v>
      </c>
      <c r="I984" s="6"/>
      <c r="J984" s="6" t="s">
        <v>1424</v>
      </c>
      <c r="K984" s="6"/>
      <c r="L984" s="6"/>
      <c r="M984" s="6"/>
      <c r="N984" s="6"/>
      <c r="O984" s="6"/>
      <c r="P984" s="6"/>
      <c r="Q984" s="6" t="s">
        <v>1438</v>
      </c>
      <c r="R984" s="7" t="n">
        <f aca="false">COUNTIF('Label Map'!$D$2:$D$2000,A984)</f>
        <v>1</v>
      </c>
    </row>
    <row r="985" customFormat="false" ht="15" hidden="false" customHeight="false" outlineLevel="0" collapsed="false">
      <c r="A985" s="6" t="s">
        <v>1455</v>
      </c>
      <c r="B985" s="6" t="s">
        <v>11</v>
      </c>
      <c r="C985" s="6" t="s">
        <v>3</v>
      </c>
      <c r="D985" s="6" t="s">
        <v>1312</v>
      </c>
      <c r="E985" s="6" t="s">
        <v>1419</v>
      </c>
      <c r="F985" s="6" t="s">
        <v>1424</v>
      </c>
      <c r="G985" s="6" t="s">
        <v>1425</v>
      </c>
      <c r="H985" s="6" t="s">
        <v>1455</v>
      </c>
      <c r="I985" s="6"/>
      <c r="J985" s="6" t="s">
        <v>1424</v>
      </c>
      <c r="K985" s="6"/>
      <c r="L985" s="6"/>
      <c r="M985" s="6"/>
      <c r="N985" s="6"/>
      <c r="O985" s="6"/>
      <c r="P985" s="6"/>
      <c r="Q985" s="6" t="s">
        <v>1438</v>
      </c>
      <c r="R985" s="7" t="n">
        <f aca="false">COUNTIF('Label Map'!$D$2:$D$2000,A985)</f>
        <v>1</v>
      </c>
    </row>
    <row r="986" customFormat="false" ht="15" hidden="false" customHeight="false" outlineLevel="0" collapsed="false">
      <c r="A986" s="6" t="s">
        <v>1456</v>
      </c>
      <c r="B986" s="6" t="s">
        <v>11</v>
      </c>
      <c r="C986" s="6" t="s">
        <v>3</v>
      </c>
      <c r="D986" s="6" t="s">
        <v>1312</v>
      </c>
      <c r="E986" s="6" t="s">
        <v>1419</v>
      </c>
      <c r="F986" s="6" t="s">
        <v>1424</v>
      </c>
      <c r="G986" s="6" t="s">
        <v>1425</v>
      </c>
      <c r="H986" s="6" t="s">
        <v>1456</v>
      </c>
      <c r="I986" s="6"/>
      <c r="J986" s="6" t="s">
        <v>1424</v>
      </c>
      <c r="K986" s="6"/>
      <c r="L986" s="6"/>
      <c r="M986" s="6"/>
      <c r="N986" s="6"/>
      <c r="O986" s="6"/>
      <c r="P986" s="6"/>
      <c r="Q986" s="6" t="s">
        <v>1438</v>
      </c>
      <c r="R986" s="7" t="n">
        <f aca="false">COUNTIF('Label Map'!$D$2:$D$2000,A986)</f>
        <v>1</v>
      </c>
    </row>
    <row r="987" customFormat="false" ht="15" hidden="false" customHeight="false" outlineLevel="0" collapsed="false">
      <c r="A987" s="6" t="s">
        <v>1457</v>
      </c>
      <c r="B987" s="6" t="s">
        <v>11</v>
      </c>
      <c r="C987" s="6" t="s">
        <v>3</v>
      </c>
      <c r="D987" s="6" t="s">
        <v>1312</v>
      </c>
      <c r="E987" s="6" t="s">
        <v>1419</v>
      </c>
      <c r="F987" s="6" t="s">
        <v>1424</v>
      </c>
      <c r="G987" s="6" t="s">
        <v>1425</v>
      </c>
      <c r="H987" s="6" t="s">
        <v>1457</v>
      </c>
      <c r="I987" s="6"/>
      <c r="J987" s="6" t="s">
        <v>1424</v>
      </c>
      <c r="K987" s="6"/>
      <c r="L987" s="6"/>
      <c r="M987" s="6"/>
      <c r="N987" s="6"/>
      <c r="O987" s="6"/>
      <c r="P987" s="6"/>
      <c r="Q987" s="6" t="s">
        <v>1438</v>
      </c>
      <c r="R987" s="7" t="n">
        <f aca="false">COUNTIF('Label Map'!$D$2:$D$2000,A987)</f>
        <v>1</v>
      </c>
    </row>
    <row r="988" customFormat="false" ht="15" hidden="false" customHeight="false" outlineLevel="0" collapsed="false">
      <c r="A988" s="6" t="s">
        <v>1458</v>
      </c>
      <c r="B988" s="6" t="s">
        <v>11</v>
      </c>
      <c r="C988" s="6" t="s">
        <v>3</v>
      </c>
      <c r="D988" s="6" t="s">
        <v>1312</v>
      </c>
      <c r="E988" s="6" t="s">
        <v>1419</v>
      </c>
      <c r="F988" s="6" t="s">
        <v>1424</v>
      </c>
      <c r="G988" s="6" t="s">
        <v>1425</v>
      </c>
      <c r="H988" s="6" t="s">
        <v>1458</v>
      </c>
      <c r="I988" s="6"/>
      <c r="J988" s="6" t="s">
        <v>1424</v>
      </c>
      <c r="K988" s="6"/>
      <c r="L988" s="6"/>
      <c r="M988" s="6"/>
      <c r="N988" s="6"/>
      <c r="O988" s="6"/>
      <c r="P988" s="6"/>
      <c r="Q988" s="6" t="s">
        <v>1438</v>
      </c>
      <c r="R988" s="7" t="n">
        <f aca="false">COUNTIF('Label Map'!$D$2:$D$2000,A988)</f>
        <v>1</v>
      </c>
    </row>
    <row r="989" customFormat="false" ht="15" hidden="false" customHeight="false" outlineLevel="0" collapsed="false">
      <c r="A989" s="6" t="s">
        <v>1459</v>
      </c>
      <c r="B989" s="6" t="s">
        <v>63</v>
      </c>
      <c r="C989" s="6" t="s">
        <v>3</v>
      </c>
      <c r="D989" s="6" t="s">
        <v>1312</v>
      </c>
      <c r="E989" s="6" t="s">
        <v>1419</v>
      </c>
      <c r="F989" s="6" t="s">
        <v>1424</v>
      </c>
      <c r="G989" s="6" t="s">
        <v>1425</v>
      </c>
      <c r="H989" s="6" t="s">
        <v>1458</v>
      </c>
      <c r="I989" s="6" t="s">
        <v>1459</v>
      </c>
      <c r="J989" s="6" t="s">
        <v>1458</v>
      </c>
      <c r="K989" s="6"/>
      <c r="L989" s="6"/>
      <c r="M989" s="6"/>
      <c r="N989" s="6"/>
      <c r="O989" s="6"/>
      <c r="P989" s="6"/>
      <c r="Q989" s="6"/>
      <c r="R989" s="7" t="n">
        <f aca="false">COUNTIF('Label Map'!$D$2:$D$2000,A989)</f>
        <v>0</v>
      </c>
    </row>
    <row r="990" customFormat="false" ht="15" hidden="false" customHeight="false" outlineLevel="0" collapsed="false">
      <c r="A990" s="6" t="s">
        <v>1460</v>
      </c>
      <c r="B990" s="6" t="s">
        <v>11</v>
      </c>
      <c r="C990" s="6" t="s">
        <v>3</v>
      </c>
      <c r="D990" s="6" t="s">
        <v>1312</v>
      </c>
      <c r="E990" s="6" t="s">
        <v>1419</v>
      </c>
      <c r="F990" s="6" t="s">
        <v>1424</v>
      </c>
      <c r="G990" s="6" t="s">
        <v>1425</v>
      </c>
      <c r="H990" s="6" t="s">
        <v>1460</v>
      </c>
      <c r="I990" s="6"/>
      <c r="J990" s="6" t="s">
        <v>1424</v>
      </c>
      <c r="K990" s="6"/>
      <c r="L990" s="6"/>
      <c r="M990" s="6"/>
      <c r="N990" s="6"/>
      <c r="O990" s="6"/>
      <c r="P990" s="6"/>
      <c r="Q990" s="6" t="s">
        <v>1438</v>
      </c>
      <c r="R990" s="7" t="n">
        <f aca="false">COUNTIF('Label Map'!$D$2:$D$2000,A990)</f>
        <v>1</v>
      </c>
    </row>
    <row r="991" customFormat="false" ht="15" hidden="false" customHeight="false" outlineLevel="0" collapsed="false">
      <c r="A991" s="6" t="s">
        <v>1461</v>
      </c>
      <c r="B991" s="6" t="s">
        <v>11</v>
      </c>
      <c r="C991" s="6" t="s">
        <v>3</v>
      </c>
      <c r="D991" s="6" t="s">
        <v>1312</v>
      </c>
      <c r="E991" s="6" t="s">
        <v>1419</v>
      </c>
      <c r="F991" s="6" t="s">
        <v>1424</v>
      </c>
      <c r="G991" s="6" t="s">
        <v>1425</v>
      </c>
      <c r="H991" s="6" t="s">
        <v>1461</v>
      </c>
      <c r="I991" s="6"/>
      <c r="J991" s="6" t="s">
        <v>1424</v>
      </c>
      <c r="K991" s="6"/>
      <c r="L991" s="6"/>
      <c r="M991" s="6"/>
      <c r="N991" s="6"/>
      <c r="O991" s="6"/>
      <c r="P991" s="6"/>
      <c r="Q991" s="6" t="s">
        <v>1438</v>
      </c>
      <c r="R991" s="7" t="n">
        <f aca="false">COUNTIF('Label Map'!$D$2:$D$2000,A991)</f>
        <v>1</v>
      </c>
    </row>
    <row r="992" customFormat="false" ht="15" hidden="false" customHeight="false" outlineLevel="0" collapsed="false">
      <c r="A992" s="6" t="s">
        <v>1462</v>
      </c>
      <c r="B992" s="6" t="s">
        <v>11</v>
      </c>
      <c r="C992" s="6" t="s">
        <v>3</v>
      </c>
      <c r="D992" s="6" t="s">
        <v>1312</v>
      </c>
      <c r="E992" s="6" t="s">
        <v>1419</v>
      </c>
      <c r="F992" s="6" t="s">
        <v>1424</v>
      </c>
      <c r="G992" s="6" t="s">
        <v>1425</v>
      </c>
      <c r="H992" s="6" t="s">
        <v>1462</v>
      </c>
      <c r="I992" s="6"/>
      <c r="J992" s="6" t="s">
        <v>1424</v>
      </c>
      <c r="K992" s="6"/>
      <c r="L992" s="6"/>
      <c r="M992" s="6"/>
      <c r="N992" s="6"/>
      <c r="O992" s="6"/>
      <c r="P992" s="6"/>
      <c r="Q992" s="6" t="s">
        <v>1438</v>
      </c>
      <c r="R992" s="7" t="n">
        <f aca="false">COUNTIF('Label Map'!$D$2:$D$2000,A992)</f>
        <v>1</v>
      </c>
    </row>
    <row r="993" customFormat="false" ht="15" hidden="false" customHeight="false" outlineLevel="0" collapsed="false">
      <c r="A993" s="6" t="s">
        <v>1463</v>
      </c>
      <c r="B993" s="6" t="s">
        <v>11</v>
      </c>
      <c r="C993" s="6" t="s">
        <v>3</v>
      </c>
      <c r="D993" s="6" t="s">
        <v>1312</v>
      </c>
      <c r="E993" s="6" t="s">
        <v>1419</v>
      </c>
      <c r="F993" s="6" t="s">
        <v>1424</v>
      </c>
      <c r="G993" s="6" t="s">
        <v>1425</v>
      </c>
      <c r="H993" s="6" t="s">
        <v>1463</v>
      </c>
      <c r="I993" s="6"/>
      <c r="J993" s="6" t="s">
        <v>1424</v>
      </c>
      <c r="K993" s="6"/>
      <c r="L993" s="6"/>
      <c r="M993" s="6"/>
      <c r="N993" s="6"/>
      <c r="O993" s="6"/>
      <c r="P993" s="6"/>
      <c r="Q993" s="6" t="s">
        <v>1438</v>
      </c>
      <c r="R993" s="7" t="n">
        <f aca="false">COUNTIF('Label Map'!$D$2:$D$2000,A993)</f>
        <v>1</v>
      </c>
    </row>
    <row r="994" customFormat="false" ht="15" hidden="false" customHeight="false" outlineLevel="0" collapsed="false">
      <c r="A994" s="6" t="s">
        <v>1464</v>
      </c>
      <c r="B994" s="6" t="s">
        <v>11</v>
      </c>
      <c r="C994" s="6" t="s">
        <v>3</v>
      </c>
      <c r="D994" s="6" t="s">
        <v>1312</v>
      </c>
      <c r="E994" s="6" t="s">
        <v>1419</v>
      </c>
      <c r="F994" s="6" t="s">
        <v>1424</v>
      </c>
      <c r="G994" s="6" t="s">
        <v>1425</v>
      </c>
      <c r="H994" s="6" t="s">
        <v>1464</v>
      </c>
      <c r="I994" s="6"/>
      <c r="J994" s="6" t="s">
        <v>1424</v>
      </c>
      <c r="K994" s="6"/>
      <c r="L994" s="6"/>
      <c r="M994" s="6"/>
      <c r="N994" s="6"/>
      <c r="O994" s="6"/>
      <c r="P994" s="6"/>
      <c r="Q994" s="6" t="s">
        <v>1438</v>
      </c>
      <c r="R994" s="7" t="n">
        <f aca="false">COUNTIF('Label Map'!$D$2:$D$2000,A994)</f>
        <v>1</v>
      </c>
    </row>
    <row r="995" customFormat="false" ht="15" hidden="false" customHeight="false" outlineLevel="0" collapsed="false">
      <c r="A995" s="6" t="s">
        <v>1465</v>
      </c>
      <c r="B995" s="6" t="s">
        <v>11</v>
      </c>
      <c r="C995" s="6" t="s">
        <v>3</v>
      </c>
      <c r="D995" s="6" t="s">
        <v>1312</v>
      </c>
      <c r="E995" s="6" t="s">
        <v>1419</v>
      </c>
      <c r="F995" s="6" t="s">
        <v>1424</v>
      </c>
      <c r="G995" s="6" t="s">
        <v>1425</v>
      </c>
      <c r="H995" s="6" t="s">
        <v>1465</v>
      </c>
      <c r="I995" s="6"/>
      <c r="J995" s="6" t="s">
        <v>1424</v>
      </c>
      <c r="K995" s="6"/>
      <c r="L995" s="6"/>
      <c r="M995" s="6"/>
      <c r="N995" s="6"/>
      <c r="O995" s="6"/>
      <c r="P995" s="6"/>
      <c r="Q995" s="6" t="s">
        <v>1438</v>
      </c>
      <c r="R995" s="7" t="n">
        <f aca="false">COUNTIF('Label Map'!$D$2:$D$2000,A995)</f>
        <v>1</v>
      </c>
    </row>
    <row r="996" customFormat="false" ht="15" hidden="false" customHeight="false" outlineLevel="0" collapsed="false">
      <c r="A996" s="6" t="s">
        <v>1466</v>
      </c>
      <c r="B996" s="6" t="s">
        <v>11</v>
      </c>
      <c r="C996" s="6" t="s">
        <v>3</v>
      </c>
      <c r="D996" s="6" t="s">
        <v>1312</v>
      </c>
      <c r="E996" s="6" t="s">
        <v>1419</v>
      </c>
      <c r="F996" s="6" t="s">
        <v>1424</v>
      </c>
      <c r="G996" s="6" t="s">
        <v>1425</v>
      </c>
      <c r="H996" s="6" t="s">
        <v>1466</v>
      </c>
      <c r="I996" s="6"/>
      <c r="J996" s="6" t="s">
        <v>1424</v>
      </c>
      <c r="K996" s="6"/>
      <c r="L996" s="6"/>
      <c r="M996" s="6"/>
      <c r="N996" s="6"/>
      <c r="O996" s="6"/>
      <c r="P996" s="6"/>
      <c r="Q996" s="6" t="s">
        <v>1438</v>
      </c>
      <c r="R996" s="7" t="n">
        <f aca="false">COUNTIF('Label Map'!$D$2:$D$2000,A996)</f>
        <v>1</v>
      </c>
    </row>
    <row r="997" customFormat="false" ht="15" hidden="false" customHeight="false" outlineLevel="0" collapsed="false">
      <c r="A997" s="6" t="s">
        <v>1467</v>
      </c>
      <c r="B997" s="6" t="s">
        <v>11</v>
      </c>
      <c r="C997" s="6" t="s">
        <v>3</v>
      </c>
      <c r="D997" s="6" t="s">
        <v>1312</v>
      </c>
      <c r="E997" s="6" t="s">
        <v>1419</v>
      </c>
      <c r="F997" s="6" t="s">
        <v>1424</v>
      </c>
      <c r="G997" s="6" t="s">
        <v>1425</v>
      </c>
      <c r="H997" s="6" t="s">
        <v>1467</v>
      </c>
      <c r="I997" s="6"/>
      <c r="J997" s="6" t="s">
        <v>1424</v>
      </c>
      <c r="K997" s="6"/>
      <c r="L997" s="6"/>
      <c r="M997" s="6"/>
      <c r="N997" s="6"/>
      <c r="O997" s="6"/>
      <c r="P997" s="6"/>
      <c r="Q997" s="6" t="s">
        <v>1438</v>
      </c>
      <c r="R997" s="7" t="n">
        <f aca="false">COUNTIF('Label Map'!$D$2:$D$2000,A997)</f>
        <v>1</v>
      </c>
    </row>
    <row r="998" customFormat="false" ht="15" hidden="false" customHeight="false" outlineLevel="0" collapsed="false">
      <c r="A998" s="6" t="s">
        <v>1468</v>
      </c>
      <c r="B998" s="6" t="s">
        <v>11</v>
      </c>
      <c r="C998" s="6" t="s">
        <v>3</v>
      </c>
      <c r="D998" s="6" t="s">
        <v>1312</v>
      </c>
      <c r="E998" s="6" t="s">
        <v>1419</v>
      </c>
      <c r="F998" s="6" t="s">
        <v>1424</v>
      </c>
      <c r="G998" s="6" t="s">
        <v>1425</v>
      </c>
      <c r="H998" s="6" t="s">
        <v>1468</v>
      </c>
      <c r="I998" s="6"/>
      <c r="J998" s="6" t="s">
        <v>1424</v>
      </c>
      <c r="K998" s="6"/>
      <c r="L998" s="6"/>
      <c r="M998" s="6"/>
      <c r="N998" s="6"/>
      <c r="O998" s="6"/>
      <c r="P998" s="6"/>
      <c r="Q998" s="6" t="s">
        <v>1438</v>
      </c>
      <c r="R998" s="7" t="n">
        <f aca="false">COUNTIF('Label Map'!$D$2:$D$2000,A998)</f>
        <v>1</v>
      </c>
    </row>
    <row r="999" customFormat="false" ht="15" hidden="false" customHeight="false" outlineLevel="0" collapsed="false">
      <c r="A999" s="6" t="s">
        <v>1469</v>
      </c>
      <c r="B999" s="6" t="s">
        <v>11</v>
      </c>
      <c r="C999" s="6" t="s">
        <v>3</v>
      </c>
      <c r="D999" s="6" t="s">
        <v>1312</v>
      </c>
      <c r="E999" s="6" t="s">
        <v>1419</v>
      </c>
      <c r="F999" s="6" t="s">
        <v>1424</v>
      </c>
      <c r="G999" s="6" t="s">
        <v>1425</v>
      </c>
      <c r="H999" s="6" t="s">
        <v>1469</v>
      </c>
      <c r="I999" s="6"/>
      <c r="J999" s="6" t="s">
        <v>1424</v>
      </c>
      <c r="K999" s="6"/>
      <c r="L999" s="6"/>
      <c r="M999" s="6"/>
      <c r="N999" s="6"/>
      <c r="O999" s="6"/>
      <c r="P999" s="6"/>
      <c r="Q999" s="6" t="s">
        <v>1438</v>
      </c>
      <c r="R999" s="7" t="n">
        <f aca="false">COUNTIF('Label Map'!$D$2:$D$2000,A999)</f>
        <v>1</v>
      </c>
    </row>
    <row r="1000" customFormat="false" ht="15" hidden="false" customHeight="false" outlineLevel="0" collapsed="false">
      <c r="A1000" s="6" t="s">
        <v>1470</v>
      </c>
      <c r="B1000" s="6" t="s">
        <v>11</v>
      </c>
      <c r="C1000" s="6" t="s">
        <v>3</v>
      </c>
      <c r="D1000" s="6" t="s">
        <v>1312</v>
      </c>
      <c r="E1000" s="6" t="s">
        <v>1419</v>
      </c>
      <c r="F1000" s="6" t="s">
        <v>1424</v>
      </c>
      <c r="G1000" s="6" t="s">
        <v>1425</v>
      </c>
      <c r="H1000" s="6" t="s">
        <v>1470</v>
      </c>
      <c r="I1000" s="6"/>
      <c r="J1000" s="6" t="s">
        <v>1424</v>
      </c>
      <c r="K1000" s="6"/>
      <c r="L1000" s="6"/>
      <c r="M1000" s="6"/>
      <c r="N1000" s="6"/>
      <c r="O1000" s="6"/>
      <c r="P1000" s="6"/>
      <c r="Q1000" s="6" t="s">
        <v>1438</v>
      </c>
      <c r="R1000" s="7" t="n">
        <f aca="false">COUNTIF('Label Map'!$D$2:$D$2000,A1000)</f>
        <v>1</v>
      </c>
    </row>
    <row r="1001" customFormat="false" ht="15" hidden="false" customHeight="false" outlineLevel="0" collapsed="false">
      <c r="A1001" s="6" t="s">
        <v>1471</v>
      </c>
      <c r="B1001" s="6" t="s">
        <v>11</v>
      </c>
      <c r="C1001" s="6" t="s">
        <v>3</v>
      </c>
      <c r="D1001" s="6" t="s">
        <v>1312</v>
      </c>
      <c r="E1001" s="6" t="s">
        <v>1419</v>
      </c>
      <c r="F1001" s="6" t="s">
        <v>1424</v>
      </c>
      <c r="G1001" s="6" t="s">
        <v>1425</v>
      </c>
      <c r="H1001" s="6" t="s">
        <v>1471</v>
      </c>
      <c r="I1001" s="6"/>
      <c r="J1001" s="6" t="s">
        <v>1424</v>
      </c>
      <c r="K1001" s="6"/>
      <c r="L1001" s="6"/>
      <c r="M1001" s="6"/>
      <c r="N1001" s="6"/>
      <c r="O1001" s="6"/>
      <c r="P1001" s="6"/>
      <c r="Q1001" s="6" t="s">
        <v>1438</v>
      </c>
      <c r="R1001" s="7" t="n">
        <f aca="false">COUNTIF('Label Map'!$D$2:$D$2000,A1001)</f>
        <v>1</v>
      </c>
    </row>
    <row r="1002" customFormat="false" ht="15" hidden="false" customHeight="false" outlineLevel="0" collapsed="false">
      <c r="A1002" s="6" t="s">
        <v>1472</v>
      </c>
      <c r="B1002" s="6" t="s">
        <v>11</v>
      </c>
      <c r="C1002" s="6" t="s">
        <v>3</v>
      </c>
      <c r="D1002" s="6" t="s">
        <v>1312</v>
      </c>
      <c r="E1002" s="6" t="s">
        <v>1419</v>
      </c>
      <c r="F1002" s="6" t="s">
        <v>1424</v>
      </c>
      <c r="G1002" s="6" t="s">
        <v>1425</v>
      </c>
      <c r="H1002" s="6" t="s">
        <v>1472</v>
      </c>
      <c r="I1002" s="6"/>
      <c r="J1002" s="6" t="s">
        <v>1424</v>
      </c>
      <c r="K1002" s="6"/>
      <c r="L1002" s="6"/>
      <c r="M1002" s="6"/>
      <c r="N1002" s="6"/>
      <c r="O1002" s="6"/>
      <c r="P1002" s="6"/>
      <c r="Q1002" s="6" t="s">
        <v>1438</v>
      </c>
      <c r="R1002" s="7" t="n">
        <f aca="false">COUNTIF('Label Map'!$D$2:$D$2000,A1002)</f>
        <v>1</v>
      </c>
    </row>
    <row r="1003" customFormat="false" ht="15" hidden="false" customHeight="false" outlineLevel="0" collapsed="false">
      <c r="A1003" s="6" t="s">
        <v>1473</v>
      </c>
      <c r="B1003" s="6" t="s">
        <v>11</v>
      </c>
      <c r="C1003" s="6" t="s">
        <v>3</v>
      </c>
      <c r="D1003" s="6" t="s">
        <v>1312</v>
      </c>
      <c r="E1003" s="6" t="s">
        <v>1419</v>
      </c>
      <c r="F1003" s="6" t="s">
        <v>1424</v>
      </c>
      <c r="G1003" s="6" t="s">
        <v>1425</v>
      </c>
      <c r="H1003" s="6" t="s">
        <v>1473</v>
      </c>
      <c r="I1003" s="6"/>
      <c r="J1003" s="6" t="s">
        <v>1424</v>
      </c>
      <c r="K1003" s="6"/>
      <c r="L1003" s="6"/>
      <c r="M1003" s="6"/>
      <c r="N1003" s="6"/>
      <c r="O1003" s="6"/>
      <c r="P1003" s="6"/>
      <c r="Q1003" s="6" t="s">
        <v>1438</v>
      </c>
      <c r="R1003" s="7" t="n">
        <f aca="false">COUNTIF('Label Map'!$D$2:$D$2000,A1003)</f>
        <v>1</v>
      </c>
    </row>
    <row r="1004" customFormat="false" ht="15" hidden="false" customHeight="false" outlineLevel="0" collapsed="false">
      <c r="A1004" s="6" t="s">
        <v>1474</v>
      </c>
      <c r="B1004" s="6" t="s">
        <v>11</v>
      </c>
      <c r="C1004" s="6" t="s">
        <v>3</v>
      </c>
      <c r="D1004" s="6" t="s">
        <v>1312</v>
      </c>
      <c r="E1004" s="6" t="s">
        <v>1419</v>
      </c>
      <c r="F1004" s="6" t="s">
        <v>1424</v>
      </c>
      <c r="G1004" s="6" t="s">
        <v>1425</v>
      </c>
      <c r="H1004" s="6" t="s">
        <v>1474</v>
      </c>
      <c r="I1004" s="6"/>
      <c r="J1004" s="6" t="s">
        <v>1424</v>
      </c>
      <c r="K1004" s="6"/>
      <c r="L1004" s="6"/>
      <c r="M1004" s="6"/>
      <c r="N1004" s="6"/>
      <c r="O1004" s="6"/>
      <c r="P1004" s="6"/>
      <c r="Q1004" s="6" t="s">
        <v>1438</v>
      </c>
      <c r="R1004" s="7" t="n">
        <f aca="false">COUNTIF('Label Map'!$D$2:$D$2000,A1004)</f>
        <v>1</v>
      </c>
    </row>
    <row r="1005" customFormat="false" ht="15" hidden="false" customHeight="false" outlineLevel="0" collapsed="false">
      <c r="A1005" s="6" t="s">
        <v>1475</v>
      </c>
      <c r="B1005" s="6" t="s">
        <v>11</v>
      </c>
      <c r="C1005" s="6" t="s">
        <v>3</v>
      </c>
      <c r="D1005" s="6" t="s">
        <v>1312</v>
      </c>
      <c r="E1005" s="6" t="s">
        <v>1419</v>
      </c>
      <c r="F1005" s="6" t="s">
        <v>1424</v>
      </c>
      <c r="G1005" s="6" t="s">
        <v>1425</v>
      </c>
      <c r="H1005" s="6" t="s">
        <v>1475</v>
      </c>
      <c r="I1005" s="6"/>
      <c r="J1005" s="6" t="s">
        <v>1424</v>
      </c>
      <c r="K1005" s="6"/>
      <c r="L1005" s="6"/>
      <c r="M1005" s="6"/>
      <c r="N1005" s="6"/>
      <c r="O1005" s="6"/>
      <c r="P1005" s="6"/>
      <c r="Q1005" s="6" t="s">
        <v>1438</v>
      </c>
      <c r="R1005" s="7" t="n">
        <f aca="false">COUNTIF('Label Map'!$D$2:$D$2000,A1005)</f>
        <v>1</v>
      </c>
    </row>
    <row r="1006" customFormat="false" ht="15" hidden="false" customHeight="false" outlineLevel="0" collapsed="false">
      <c r="A1006" s="6" t="s">
        <v>1476</v>
      </c>
      <c r="B1006" s="6" t="s">
        <v>11</v>
      </c>
      <c r="C1006" s="6" t="s">
        <v>3</v>
      </c>
      <c r="D1006" s="6" t="s">
        <v>1312</v>
      </c>
      <c r="E1006" s="6" t="s">
        <v>1419</v>
      </c>
      <c r="F1006" s="6" t="s">
        <v>1424</v>
      </c>
      <c r="G1006" s="6" t="s">
        <v>1425</v>
      </c>
      <c r="H1006" s="6" t="s">
        <v>1476</v>
      </c>
      <c r="I1006" s="6"/>
      <c r="J1006" s="6" t="s">
        <v>1424</v>
      </c>
      <c r="K1006" s="6"/>
      <c r="L1006" s="6"/>
      <c r="M1006" s="6"/>
      <c r="N1006" s="6"/>
      <c r="O1006" s="6"/>
      <c r="P1006" s="6"/>
      <c r="Q1006" s="6" t="s">
        <v>1438</v>
      </c>
      <c r="R1006" s="7" t="n">
        <f aca="false">COUNTIF('Label Map'!$D$2:$D$2000,A1006)</f>
        <v>1</v>
      </c>
    </row>
    <row r="1007" customFormat="false" ht="15" hidden="false" customHeight="false" outlineLevel="0" collapsed="false">
      <c r="A1007" s="6" t="s">
        <v>1477</v>
      </c>
      <c r="B1007" s="6" t="s">
        <v>11</v>
      </c>
      <c r="C1007" s="6" t="s">
        <v>3</v>
      </c>
      <c r="D1007" s="6" t="s">
        <v>1312</v>
      </c>
      <c r="E1007" s="6" t="s">
        <v>1419</v>
      </c>
      <c r="F1007" s="6" t="s">
        <v>1424</v>
      </c>
      <c r="G1007" s="6" t="s">
        <v>1425</v>
      </c>
      <c r="H1007" s="6" t="s">
        <v>1477</v>
      </c>
      <c r="I1007" s="6"/>
      <c r="J1007" s="6" t="s">
        <v>1424</v>
      </c>
      <c r="K1007" s="6"/>
      <c r="L1007" s="6"/>
      <c r="M1007" s="6"/>
      <c r="N1007" s="6"/>
      <c r="O1007" s="6"/>
      <c r="P1007" s="6"/>
      <c r="Q1007" s="6" t="s">
        <v>1438</v>
      </c>
      <c r="R1007" s="7" t="n">
        <f aca="false">COUNTIF('Label Map'!$D$2:$D$2000,A1007)</f>
        <v>1</v>
      </c>
    </row>
    <row r="1008" customFormat="false" ht="15" hidden="false" customHeight="false" outlineLevel="0" collapsed="false">
      <c r="A1008" s="6" t="s">
        <v>1478</v>
      </c>
      <c r="B1008" s="6" t="s">
        <v>11</v>
      </c>
      <c r="C1008" s="6" t="s">
        <v>3</v>
      </c>
      <c r="D1008" s="6" t="s">
        <v>1312</v>
      </c>
      <c r="E1008" s="6" t="s">
        <v>1419</v>
      </c>
      <c r="F1008" s="6" t="s">
        <v>1424</v>
      </c>
      <c r="G1008" s="6" t="s">
        <v>1425</v>
      </c>
      <c r="H1008" s="6" t="s">
        <v>1478</v>
      </c>
      <c r="I1008" s="6"/>
      <c r="J1008" s="6" t="s">
        <v>1424</v>
      </c>
      <c r="K1008" s="6"/>
      <c r="L1008" s="6"/>
      <c r="M1008" s="6"/>
      <c r="N1008" s="6"/>
      <c r="O1008" s="6"/>
      <c r="P1008" s="6"/>
      <c r="Q1008" s="6" t="s">
        <v>1438</v>
      </c>
      <c r="R1008" s="7" t="n">
        <f aca="false">COUNTIF('Label Map'!$D$2:$D$2000,A1008)</f>
        <v>1</v>
      </c>
    </row>
    <row r="1009" customFormat="false" ht="15" hidden="false" customHeight="false" outlineLevel="0" collapsed="false">
      <c r="A1009" s="6" t="s">
        <v>1479</v>
      </c>
      <c r="B1009" s="6" t="s">
        <v>11</v>
      </c>
      <c r="C1009" s="6" t="s">
        <v>3</v>
      </c>
      <c r="D1009" s="6" t="s">
        <v>1312</v>
      </c>
      <c r="E1009" s="6" t="s">
        <v>1419</v>
      </c>
      <c r="F1009" s="6" t="s">
        <v>1424</v>
      </c>
      <c r="G1009" s="6" t="s">
        <v>1425</v>
      </c>
      <c r="H1009" s="6" t="s">
        <v>1479</v>
      </c>
      <c r="I1009" s="6"/>
      <c r="J1009" s="6" t="s">
        <v>1424</v>
      </c>
      <c r="K1009" s="6"/>
      <c r="L1009" s="6"/>
      <c r="M1009" s="6"/>
      <c r="N1009" s="6"/>
      <c r="O1009" s="6"/>
      <c r="P1009" s="6"/>
      <c r="Q1009" s="6" t="s">
        <v>1438</v>
      </c>
      <c r="R1009" s="7" t="n">
        <f aca="false">COUNTIF('Label Map'!$D$2:$D$2000,A1009)</f>
        <v>1</v>
      </c>
    </row>
    <row r="1010" customFormat="false" ht="15" hidden="false" customHeight="false" outlineLevel="0" collapsed="false">
      <c r="A1010" s="6" t="s">
        <v>1480</v>
      </c>
      <c r="B1010" s="6" t="s">
        <v>11</v>
      </c>
      <c r="C1010" s="6" t="s">
        <v>3</v>
      </c>
      <c r="D1010" s="6" t="s">
        <v>1312</v>
      </c>
      <c r="E1010" s="6" t="s">
        <v>1419</v>
      </c>
      <c r="F1010" s="6" t="s">
        <v>1424</v>
      </c>
      <c r="G1010" s="6" t="s">
        <v>1425</v>
      </c>
      <c r="H1010" s="6" t="s">
        <v>1480</v>
      </c>
      <c r="I1010" s="6"/>
      <c r="J1010" s="6" t="s">
        <v>1424</v>
      </c>
      <c r="K1010" s="6"/>
      <c r="L1010" s="6"/>
      <c r="M1010" s="6"/>
      <c r="N1010" s="6"/>
      <c r="O1010" s="6"/>
      <c r="P1010" s="6"/>
      <c r="Q1010" s="6" t="s">
        <v>1438</v>
      </c>
      <c r="R1010" s="7" t="n">
        <f aca="false">COUNTIF('Label Map'!$D$2:$D$2000,A1010)</f>
        <v>1</v>
      </c>
    </row>
    <row r="1011" customFormat="false" ht="15" hidden="false" customHeight="false" outlineLevel="0" collapsed="false">
      <c r="A1011" s="6" t="s">
        <v>1481</v>
      </c>
      <c r="B1011" s="6" t="s">
        <v>11</v>
      </c>
      <c r="C1011" s="6" t="s">
        <v>3</v>
      </c>
      <c r="D1011" s="6" t="s">
        <v>1312</v>
      </c>
      <c r="E1011" s="6" t="s">
        <v>1419</v>
      </c>
      <c r="F1011" s="6" t="s">
        <v>1424</v>
      </c>
      <c r="G1011" s="6" t="s">
        <v>1425</v>
      </c>
      <c r="H1011" s="6" t="s">
        <v>1481</v>
      </c>
      <c r="I1011" s="6"/>
      <c r="J1011" s="6" t="s">
        <v>1424</v>
      </c>
      <c r="K1011" s="6"/>
      <c r="L1011" s="6"/>
      <c r="M1011" s="6"/>
      <c r="N1011" s="6"/>
      <c r="O1011" s="6"/>
      <c r="P1011" s="6"/>
      <c r="Q1011" s="6" t="s">
        <v>1438</v>
      </c>
      <c r="R1011" s="7" t="n">
        <f aca="false">COUNTIF('Label Map'!$D$2:$D$2000,A1011)</f>
        <v>1</v>
      </c>
    </row>
    <row r="1012" customFormat="false" ht="15" hidden="false" customHeight="false" outlineLevel="0" collapsed="false">
      <c r="A1012" s="6" t="s">
        <v>1482</v>
      </c>
      <c r="B1012" s="6" t="s">
        <v>11</v>
      </c>
      <c r="C1012" s="6" t="s">
        <v>3</v>
      </c>
      <c r="D1012" s="6" t="s">
        <v>1312</v>
      </c>
      <c r="E1012" s="6" t="s">
        <v>1419</v>
      </c>
      <c r="F1012" s="6" t="s">
        <v>1424</v>
      </c>
      <c r="G1012" s="6" t="s">
        <v>1425</v>
      </c>
      <c r="H1012" s="6" t="s">
        <v>1482</v>
      </c>
      <c r="I1012" s="6"/>
      <c r="J1012" s="6" t="s">
        <v>1424</v>
      </c>
      <c r="K1012" s="6"/>
      <c r="L1012" s="6"/>
      <c r="M1012" s="6"/>
      <c r="N1012" s="6"/>
      <c r="O1012" s="6"/>
      <c r="P1012" s="6"/>
      <c r="Q1012" s="6" t="s">
        <v>1438</v>
      </c>
      <c r="R1012" s="7" t="n">
        <f aca="false">COUNTIF('Label Map'!$D$2:$D$2000,A1012)</f>
        <v>1</v>
      </c>
    </row>
    <row r="1013" customFormat="false" ht="15" hidden="false" customHeight="false" outlineLevel="0" collapsed="false">
      <c r="A1013" s="6" t="s">
        <v>1483</v>
      </c>
      <c r="B1013" s="6" t="s">
        <v>11</v>
      </c>
      <c r="C1013" s="6" t="s">
        <v>3</v>
      </c>
      <c r="D1013" s="6" t="s">
        <v>1312</v>
      </c>
      <c r="E1013" s="6" t="s">
        <v>1419</v>
      </c>
      <c r="F1013" s="6" t="s">
        <v>1424</v>
      </c>
      <c r="G1013" s="6" t="s">
        <v>1425</v>
      </c>
      <c r="H1013" s="6" t="s">
        <v>1483</v>
      </c>
      <c r="I1013" s="6"/>
      <c r="J1013" s="6" t="s">
        <v>1424</v>
      </c>
      <c r="K1013" s="6"/>
      <c r="L1013" s="6"/>
      <c r="M1013" s="6"/>
      <c r="N1013" s="6"/>
      <c r="O1013" s="6"/>
      <c r="P1013" s="6"/>
      <c r="Q1013" s="6" t="s">
        <v>1438</v>
      </c>
      <c r="R1013" s="7" t="n">
        <f aca="false">COUNTIF('Label Map'!$D$2:$D$2000,A1013)</f>
        <v>1</v>
      </c>
    </row>
    <row r="1014" customFormat="false" ht="15" hidden="false" customHeight="false" outlineLevel="0" collapsed="false">
      <c r="A1014" s="6" t="s">
        <v>1484</v>
      </c>
      <c r="B1014" s="6" t="s">
        <v>11</v>
      </c>
      <c r="C1014" s="6" t="s">
        <v>3</v>
      </c>
      <c r="D1014" s="6" t="s">
        <v>1312</v>
      </c>
      <c r="E1014" s="6" t="s">
        <v>1419</v>
      </c>
      <c r="F1014" s="6" t="s">
        <v>1424</v>
      </c>
      <c r="G1014" s="6" t="s">
        <v>1425</v>
      </c>
      <c r="H1014" s="6" t="s">
        <v>1484</v>
      </c>
      <c r="I1014" s="6"/>
      <c r="J1014" s="6" t="s">
        <v>1424</v>
      </c>
      <c r="K1014" s="6"/>
      <c r="L1014" s="6"/>
      <c r="M1014" s="6"/>
      <c r="N1014" s="6"/>
      <c r="O1014" s="6"/>
      <c r="P1014" s="6"/>
      <c r="Q1014" s="6" t="s">
        <v>1438</v>
      </c>
      <c r="R1014" s="7" t="n">
        <f aca="false">COUNTIF('Label Map'!$D$2:$D$2000,A1014)</f>
        <v>1</v>
      </c>
    </row>
    <row r="1015" customFormat="false" ht="15" hidden="false" customHeight="false" outlineLevel="0" collapsed="false">
      <c r="A1015" s="6" t="s">
        <v>1485</v>
      </c>
      <c r="B1015" s="6" t="s">
        <v>11</v>
      </c>
      <c r="C1015" s="6" t="s">
        <v>3</v>
      </c>
      <c r="D1015" s="6" t="s">
        <v>1312</v>
      </c>
      <c r="E1015" s="6" t="s">
        <v>1419</v>
      </c>
      <c r="F1015" s="6" t="s">
        <v>1424</v>
      </c>
      <c r="G1015" s="6" t="s">
        <v>1425</v>
      </c>
      <c r="H1015" s="6" t="s">
        <v>1485</v>
      </c>
      <c r="I1015" s="6"/>
      <c r="J1015" s="6" t="s">
        <v>1424</v>
      </c>
      <c r="K1015" s="6"/>
      <c r="L1015" s="6"/>
      <c r="M1015" s="6"/>
      <c r="N1015" s="6"/>
      <c r="O1015" s="6"/>
      <c r="P1015" s="6"/>
      <c r="Q1015" s="6" t="s">
        <v>1438</v>
      </c>
      <c r="R1015" s="7" t="n">
        <f aca="false">COUNTIF('Label Map'!$D$2:$D$2000,A1015)</f>
        <v>1</v>
      </c>
    </row>
    <row r="1016" customFormat="false" ht="15" hidden="false" customHeight="false" outlineLevel="0" collapsed="false">
      <c r="A1016" s="6" t="s">
        <v>1486</v>
      </c>
      <c r="B1016" s="6" t="s">
        <v>11</v>
      </c>
      <c r="C1016" s="6" t="s">
        <v>3</v>
      </c>
      <c r="D1016" s="6" t="s">
        <v>1312</v>
      </c>
      <c r="E1016" s="6" t="s">
        <v>1419</v>
      </c>
      <c r="F1016" s="6" t="s">
        <v>1424</v>
      </c>
      <c r="G1016" s="6" t="s">
        <v>1425</v>
      </c>
      <c r="H1016" s="6" t="s">
        <v>1486</v>
      </c>
      <c r="I1016" s="6"/>
      <c r="J1016" s="6" t="s">
        <v>1424</v>
      </c>
      <c r="K1016" s="6"/>
      <c r="L1016" s="6"/>
      <c r="M1016" s="6"/>
      <c r="N1016" s="6"/>
      <c r="O1016" s="6"/>
      <c r="P1016" s="6"/>
      <c r="Q1016" s="6" t="s">
        <v>1438</v>
      </c>
      <c r="R1016" s="7" t="n">
        <f aca="false">COUNTIF('Label Map'!$D$2:$D$2000,A1016)</f>
        <v>1</v>
      </c>
    </row>
    <row r="1017" customFormat="false" ht="15" hidden="false" customHeight="false" outlineLevel="0" collapsed="false">
      <c r="A1017" s="6" t="s">
        <v>1487</v>
      </c>
      <c r="B1017" s="6" t="s">
        <v>11</v>
      </c>
      <c r="C1017" s="6" t="s">
        <v>3</v>
      </c>
      <c r="D1017" s="6" t="s">
        <v>1312</v>
      </c>
      <c r="E1017" s="6" t="s">
        <v>1419</v>
      </c>
      <c r="F1017" s="6" t="s">
        <v>1424</v>
      </c>
      <c r="G1017" s="6" t="s">
        <v>1425</v>
      </c>
      <c r="H1017" s="6" t="s">
        <v>1487</v>
      </c>
      <c r="I1017" s="6"/>
      <c r="J1017" s="6" t="s">
        <v>1424</v>
      </c>
      <c r="K1017" s="6"/>
      <c r="L1017" s="6"/>
      <c r="M1017" s="6"/>
      <c r="N1017" s="6"/>
      <c r="O1017" s="6"/>
      <c r="P1017" s="6"/>
      <c r="Q1017" s="6" t="s">
        <v>1438</v>
      </c>
      <c r="R1017" s="7" t="n">
        <f aca="false">COUNTIF('Label Map'!$D$2:$D$2000,A1017)</f>
        <v>1</v>
      </c>
    </row>
    <row r="1018" customFormat="false" ht="15" hidden="false" customHeight="false" outlineLevel="0" collapsed="false">
      <c r="A1018" s="6" t="s">
        <v>1488</v>
      </c>
      <c r="B1018" s="6" t="s">
        <v>9</v>
      </c>
      <c r="C1018" s="6" t="s">
        <v>3</v>
      </c>
      <c r="D1018" s="6" t="s">
        <v>1312</v>
      </c>
      <c r="E1018" s="6" t="s">
        <v>1419</v>
      </c>
      <c r="F1018" s="6" t="s">
        <v>1488</v>
      </c>
      <c r="G1018" s="6" t="s">
        <v>1489</v>
      </c>
      <c r="H1018" s="6"/>
      <c r="I1018" s="6"/>
      <c r="J1018" s="6" t="s">
        <v>1419</v>
      </c>
      <c r="K1018" s="6" t="s">
        <v>1490</v>
      </c>
      <c r="L1018" s="6" t="s">
        <v>744</v>
      </c>
      <c r="M1018" s="6" t="s">
        <v>1427</v>
      </c>
      <c r="N1018" s="6"/>
      <c r="O1018" s="6" t="s">
        <v>1428</v>
      </c>
      <c r="P1018" s="6" t="s">
        <v>337</v>
      </c>
      <c r="Q1018" s="6"/>
      <c r="R1018" s="7" t="n">
        <f aca="false">COUNTIF('Label Map'!$D$2:$D$2000,A1018)</f>
        <v>8</v>
      </c>
    </row>
    <row r="1019" customFormat="false" ht="15" hidden="false" customHeight="false" outlineLevel="0" collapsed="false">
      <c r="A1019" s="6" t="s">
        <v>1491</v>
      </c>
      <c r="B1019" s="6" t="s">
        <v>89</v>
      </c>
      <c r="C1019" s="6" t="s">
        <v>3</v>
      </c>
      <c r="D1019" s="6" t="s">
        <v>1312</v>
      </c>
      <c r="E1019" s="6" t="s">
        <v>1419</v>
      </c>
      <c r="F1019" s="6" t="s">
        <v>1488</v>
      </c>
      <c r="G1019" s="6" t="s">
        <v>1489</v>
      </c>
      <c r="H1019" s="6"/>
      <c r="I1019" s="6"/>
      <c r="J1019" s="6" t="s">
        <v>1488</v>
      </c>
      <c r="K1019" s="6"/>
      <c r="L1019" s="6"/>
      <c r="M1019" s="6"/>
      <c r="N1019" s="6"/>
      <c r="O1019" s="6"/>
      <c r="P1019" s="6"/>
      <c r="Q1019" s="6"/>
      <c r="R1019" s="7" t="n">
        <f aca="false">COUNTIF('Label Map'!$D$2:$D$2000,A1019)</f>
        <v>1</v>
      </c>
    </row>
    <row r="1020" customFormat="false" ht="15" hidden="false" customHeight="false" outlineLevel="0" collapsed="false">
      <c r="A1020" s="6" t="s">
        <v>1492</v>
      </c>
      <c r="B1020" s="6" t="s">
        <v>89</v>
      </c>
      <c r="C1020" s="6" t="s">
        <v>3</v>
      </c>
      <c r="D1020" s="6" t="s">
        <v>1312</v>
      </c>
      <c r="E1020" s="6" t="s">
        <v>1419</v>
      </c>
      <c r="F1020" s="6" t="s">
        <v>1488</v>
      </c>
      <c r="G1020" s="6" t="s">
        <v>1489</v>
      </c>
      <c r="H1020" s="6"/>
      <c r="I1020" s="6"/>
      <c r="J1020" s="6" t="s">
        <v>1488</v>
      </c>
      <c r="K1020" s="6"/>
      <c r="L1020" s="6"/>
      <c r="M1020" s="6"/>
      <c r="N1020" s="6"/>
      <c r="O1020" s="6"/>
      <c r="P1020" s="6"/>
      <c r="Q1020" s="6"/>
      <c r="R1020" s="7" t="n">
        <f aca="false">COUNTIF('Label Map'!$D$2:$D$2000,A1020)</f>
        <v>1</v>
      </c>
    </row>
    <row r="1021" customFormat="false" ht="15" hidden="false" customHeight="false" outlineLevel="0" collapsed="false">
      <c r="A1021" s="6" t="s">
        <v>1493</v>
      </c>
      <c r="B1021" s="6" t="s">
        <v>89</v>
      </c>
      <c r="C1021" s="6" t="s">
        <v>3</v>
      </c>
      <c r="D1021" s="6" t="s">
        <v>1312</v>
      </c>
      <c r="E1021" s="6" t="s">
        <v>1419</v>
      </c>
      <c r="F1021" s="6" t="s">
        <v>1488</v>
      </c>
      <c r="G1021" s="6" t="s">
        <v>1489</v>
      </c>
      <c r="H1021" s="6"/>
      <c r="I1021" s="6"/>
      <c r="J1021" s="6" t="s">
        <v>1488</v>
      </c>
      <c r="K1021" s="6"/>
      <c r="L1021" s="6"/>
      <c r="M1021" s="6"/>
      <c r="N1021" s="6"/>
      <c r="O1021" s="6"/>
      <c r="P1021" s="6"/>
      <c r="Q1021" s="6" t="s">
        <v>1494</v>
      </c>
      <c r="R1021" s="7" t="n">
        <f aca="false">COUNTIF('Label Map'!$D$2:$D$2000,A1021)</f>
        <v>1</v>
      </c>
    </row>
    <row r="1022" customFormat="false" ht="15" hidden="false" customHeight="false" outlineLevel="0" collapsed="false">
      <c r="A1022" s="6" t="s">
        <v>1495</v>
      </c>
      <c r="B1022" s="6" t="s">
        <v>89</v>
      </c>
      <c r="C1022" s="6" t="s">
        <v>3</v>
      </c>
      <c r="D1022" s="6" t="s">
        <v>1312</v>
      </c>
      <c r="E1022" s="6" t="s">
        <v>1419</v>
      </c>
      <c r="F1022" s="6" t="s">
        <v>1488</v>
      </c>
      <c r="G1022" s="6" t="s">
        <v>1489</v>
      </c>
      <c r="H1022" s="6"/>
      <c r="I1022" s="6"/>
      <c r="J1022" s="6" t="s">
        <v>1488</v>
      </c>
      <c r="K1022" s="6"/>
      <c r="L1022" s="6"/>
      <c r="M1022" s="6"/>
      <c r="N1022" s="6"/>
      <c r="O1022" s="6"/>
      <c r="P1022" s="6"/>
      <c r="Q1022" s="6"/>
      <c r="R1022" s="7" t="n">
        <f aca="false">COUNTIF('Label Map'!$D$2:$D$2000,A1022)</f>
        <v>1</v>
      </c>
    </row>
    <row r="1023" customFormat="false" ht="15" hidden="false" customHeight="false" outlineLevel="0" collapsed="false">
      <c r="A1023" s="6" t="s">
        <v>1496</v>
      </c>
      <c r="B1023" s="6" t="s">
        <v>89</v>
      </c>
      <c r="C1023" s="6" t="s">
        <v>3</v>
      </c>
      <c r="D1023" s="6" t="s">
        <v>1312</v>
      </c>
      <c r="E1023" s="6" t="s">
        <v>1419</v>
      </c>
      <c r="F1023" s="6" t="s">
        <v>1488</v>
      </c>
      <c r="G1023" s="6" t="s">
        <v>1489</v>
      </c>
      <c r="H1023" s="6"/>
      <c r="I1023" s="6"/>
      <c r="J1023" s="6" t="s">
        <v>1488</v>
      </c>
      <c r="K1023" s="6"/>
      <c r="L1023" s="6"/>
      <c r="M1023" s="6"/>
      <c r="N1023" s="6"/>
      <c r="O1023" s="6"/>
      <c r="P1023" s="6"/>
      <c r="Q1023" s="6"/>
      <c r="R1023" s="7" t="n">
        <f aca="false">COUNTIF('Label Map'!$D$2:$D$2000,A1023)</f>
        <v>1</v>
      </c>
    </row>
    <row r="1024" customFormat="false" ht="15" hidden="false" customHeight="false" outlineLevel="0" collapsed="false">
      <c r="A1024" s="6" t="s">
        <v>1497</v>
      </c>
      <c r="B1024" s="6" t="s">
        <v>89</v>
      </c>
      <c r="C1024" s="6" t="s">
        <v>3</v>
      </c>
      <c r="D1024" s="6" t="s">
        <v>1312</v>
      </c>
      <c r="E1024" s="6" t="s">
        <v>1419</v>
      </c>
      <c r="F1024" s="6" t="s">
        <v>1488</v>
      </c>
      <c r="G1024" s="6" t="s">
        <v>1489</v>
      </c>
      <c r="H1024" s="6"/>
      <c r="I1024" s="6"/>
      <c r="J1024" s="6" t="s">
        <v>1488</v>
      </c>
      <c r="K1024" s="6"/>
      <c r="L1024" s="6"/>
      <c r="M1024" s="6"/>
      <c r="N1024" s="6"/>
      <c r="O1024" s="6"/>
      <c r="P1024" s="6"/>
      <c r="Q1024" s="6"/>
      <c r="R1024" s="7" t="n">
        <f aca="false">COUNTIF('Label Map'!$D$2:$D$2000,A1024)</f>
        <v>1</v>
      </c>
    </row>
    <row r="1025" customFormat="false" ht="15" hidden="false" customHeight="false" outlineLevel="0" collapsed="false">
      <c r="A1025" s="6" t="s">
        <v>1498</v>
      </c>
      <c r="B1025" s="6" t="s">
        <v>89</v>
      </c>
      <c r="C1025" s="6" t="s">
        <v>3</v>
      </c>
      <c r="D1025" s="6" t="s">
        <v>1312</v>
      </c>
      <c r="E1025" s="6" t="s">
        <v>1419</v>
      </c>
      <c r="F1025" s="6" t="s">
        <v>1488</v>
      </c>
      <c r="G1025" s="6" t="s">
        <v>1489</v>
      </c>
      <c r="H1025" s="6"/>
      <c r="I1025" s="6"/>
      <c r="J1025" s="6" t="s">
        <v>1488</v>
      </c>
      <c r="K1025" s="6"/>
      <c r="L1025" s="6"/>
      <c r="M1025" s="6"/>
      <c r="N1025" s="6"/>
      <c r="O1025" s="6"/>
      <c r="P1025" s="6"/>
      <c r="Q1025" s="6"/>
      <c r="R1025" s="7" t="n">
        <f aca="false">COUNTIF('Label Map'!$D$2:$D$2000,A1025)</f>
        <v>1</v>
      </c>
    </row>
    <row r="1026" customFormat="false" ht="15" hidden="false" customHeight="false" outlineLevel="0" collapsed="false">
      <c r="A1026" s="6" t="s">
        <v>1499</v>
      </c>
      <c r="B1026" s="6" t="s">
        <v>89</v>
      </c>
      <c r="C1026" s="6" t="s">
        <v>3</v>
      </c>
      <c r="D1026" s="6" t="s">
        <v>1312</v>
      </c>
      <c r="E1026" s="6" t="s">
        <v>1419</v>
      </c>
      <c r="F1026" s="6" t="s">
        <v>1488</v>
      </c>
      <c r="G1026" s="6" t="s">
        <v>1489</v>
      </c>
      <c r="H1026" s="6"/>
      <c r="I1026" s="6"/>
      <c r="J1026" s="6" t="s">
        <v>1488</v>
      </c>
      <c r="K1026" s="6"/>
      <c r="L1026" s="6"/>
      <c r="M1026" s="6"/>
      <c r="N1026" s="6"/>
      <c r="O1026" s="6"/>
      <c r="P1026" s="6"/>
      <c r="Q1026" s="6"/>
      <c r="R1026" s="7" t="n">
        <f aca="false">COUNTIF('Label Map'!$D$2:$D$2000,A1026)</f>
        <v>1</v>
      </c>
    </row>
    <row r="1027" customFormat="false" ht="15" hidden="false" customHeight="false" outlineLevel="0" collapsed="false">
      <c r="A1027" s="6" t="s">
        <v>1500</v>
      </c>
      <c r="B1027" s="6" t="s">
        <v>89</v>
      </c>
      <c r="C1027" s="6" t="s">
        <v>3</v>
      </c>
      <c r="D1027" s="6" t="s">
        <v>1312</v>
      </c>
      <c r="E1027" s="6" t="s">
        <v>1419</v>
      </c>
      <c r="F1027" s="6" t="s">
        <v>1488</v>
      </c>
      <c r="G1027" s="6" t="s">
        <v>1489</v>
      </c>
      <c r="H1027" s="6"/>
      <c r="I1027" s="6"/>
      <c r="J1027" s="6" t="s">
        <v>1488</v>
      </c>
      <c r="K1027" s="6"/>
      <c r="L1027" s="6"/>
      <c r="M1027" s="6"/>
      <c r="N1027" s="6"/>
      <c r="O1027" s="6"/>
      <c r="P1027" s="6"/>
      <c r="Q1027" s="6" t="s">
        <v>1501</v>
      </c>
      <c r="R1027" s="7" t="n">
        <f aca="false">COUNTIF('Label Map'!$D$2:$D$2000,A1027)</f>
        <v>1</v>
      </c>
    </row>
    <row r="1028" customFormat="false" ht="15" hidden="false" customHeight="false" outlineLevel="0" collapsed="false">
      <c r="A1028" s="6" t="s">
        <v>1502</v>
      </c>
      <c r="B1028" s="6" t="s">
        <v>11</v>
      </c>
      <c r="C1028" s="6" t="s">
        <v>3</v>
      </c>
      <c r="D1028" s="6" t="s">
        <v>1312</v>
      </c>
      <c r="E1028" s="6" t="s">
        <v>1419</v>
      </c>
      <c r="F1028" s="6" t="s">
        <v>1488</v>
      </c>
      <c r="G1028" s="6" t="s">
        <v>1489</v>
      </c>
      <c r="H1028" s="6" t="s">
        <v>1502</v>
      </c>
      <c r="I1028" s="6"/>
      <c r="J1028" s="6" t="s">
        <v>1488</v>
      </c>
      <c r="K1028" s="6"/>
      <c r="L1028" s="6"/>
      <c r="M1028" s="6"/>
      <c r="N1028" s="6"/>
      <c r="O1028" s="6"/>
      <c r="P1028" s="6"/>
      <c r="Q1028" s="6" t="s">
        <v>280</v>
      </c>
      <c r="R1028" s="7" t="n">
        <f aca="false">COUNTIF('Label Map'!$D$2:$D$2000,A1028)</f>
        <v>1</v>
      </c>
    </row>
    <row r="1029" customFormat="false" ht="15" hidden="false" customHeight="false" outlineLevel="0" collapsed="false">
      <c r="A1029" s="6" t="s">
        <v>1503</v>
      </c>
      <c r="B1029" s="6" t="s">
        <v>11</v>
      </c>
      <c r="C1029" s="6" t="s">
        <v>3</v>
      </c>
      <c r="D1029" s="6" t="s">
        <v>1312</v>
      </c>
      <c r="E1029" s="6" t="s">
        <v>1419</v>
      </c>
      <c r="F1029" s="6" t="s">
        <v>1488</v>
      </c>
      <c r="G1029" s="6" t="s">
        <v>1489</v>
      </c>
      <c r="H1029" s="6" t="s">
        <v>1503</v>
      </c>
      <c r="I1029" s="6"/>
      <c r="J1029" s="6" t="s">
        <v>1488</v>
      </c>
      <c r="K1029" s="6"/>
      <c r="L1029" s="6"/>
      <c r="M1029" s="6"/>
      <c r="N1029" s="6"/>
      <c r="O1029" s="6"/>
      <c r="P1029" s="6"/>
      <c r="Q1029" s="6" t="s">
        <v>280</v>
      </c>
      <c r="R1029" s="7" t="n">
        <f aca="false">COUNTIF('Label Map'!$D$2:$D$2000,A1029)</f>
        <v>1</v>
      </c>
    </row>
    <row r="1030" customFormat="false" ht="15" hidden="false" customHeight="false" outlineLevel="0" collapsed="false">
      <c r="A1030" s="6" t="s">
        <v>1504</v>
      </c>
      <c r="B1030" s="6" t="s">
        <v>63</v>
      </c>
      <c r="C1030" s="6" t="s">
        <v>3</v>
      </c>
      <c r="D1030" s="6" t="s">
        <v>1312</v>
      </c>
      <c r="E1030" s="6" t="s">
        <v>1419</v>
      </c>
      <c r="F1030" s="6" t="s">
        <v>1488</v>
      </c>
      <c r="G1030" s="6" t="s">
        <v>1489</v>
      </c>
      <c r="H1030" s="6" t="s">
        <v>1503</v>
      </c>
      <c r="I1030" s="6" t="s">
        <v>1504</v>
      </c>
      <c r="J1030" s="6" t="s">
        <v>1503</v>
      </c>
      <c r="K1030" s="6"/>
      <c r="L1030" s="6"/>
      <c r="M1030" s="6"/>
      <c r="N1030" s="6"/>
      <c r="O1030" s="6"/>
      <c r="P1030" s="6"/>
      <c r="Q1030" s="6"/>
      <c r="R1030" s="7" t="n">
        <f aca="false">COUNTIF('Label Map'!$D$2:$D$2000,A1030)</f>
        <v>0</v>
      </c>
    </row>
    <row r="1031" customFormat="false" ht="15" hidden="false" customHeight="false" outlineLevel="0" collapsed="false">
      <c r="A1031" s="6" t="s">
        <v>1505</v>
      </c>
      <c r="B1031" s="6" t="s">
        <v>11</v>
      </c>
      <c r="C1031" s="6" t="s">
        <v>3</v>
      </c>
      <c r="D1031" s="6" t="s">
        <v>1312</v>
      </c>
      <c r="E1031" s="6" t="s">
        <v>1419</v>
      </c>
      <c r="F1031" s="6" t="s">
        <v>1488</v>
      </c>
      <c r="G1031" s="6" t="s">
        <v>1489</v>
      </c>
      <c r="H1031" s="6" t="s">
        <v>1505</v>
      </c>
      <c r="I1031" s="6"/>
      <c r="J1031" s="6" t="s">
        <v>1488</v>
      </c>
      <c r="K1031" s="6"/>
      <c r="L1031" s="6"/>
      <c r="M1031" s="6"/>
      <c r="N1031" s="6"/>
      <c r="O1031" s="6"/>
      <c r="P1031" s="6"/>
      <c r="Q1031" s="6" t="s">
        <v>280</v>
      </c>
      <c r="R1031" s="7" t="n">
        <f aca="false">COUNTIF('Label Map'!$D$2:$D$2000,A1031)</f>
        <v>1</v>
      </c>
    </row>
    <row r="1032" customFormat="false" ht="15" hidden="false" customHeight="false" outlineLevel="0" collapsed="false">
      <c r="A1032" s="6" t="s">
        <v>1506</v>
      </c>
      <c r="B1032" s="6" t="s">
        <v>11</v>
      </c>
      <c r="C1032" s="6" t="s">
        <v>3</v>
      </c>
      <c r="D1032" s="6" t="s">
        <v>1312</v>
      </c>
      <c r="E1032" s="6" t="s">
        <v>1419</v>
      </c>
      <c r="F1032" s="6" t="s">
        <v>1488</v>
      </c>
      <c r="G1032" s="6" t="s">
        <v>1489</v>
      </c>
      <c r="H1032" s="6" t="s">
        <v>1506</v>
      </c>
      <c r="I1032" s="6"/>
      <c r="J1032" s="6" t="s">
        <v>1488</v>
      </c>
      <c r="K1032" s="6"/>
      <c r="L1032" s="6"/>
      <c r="M1032" s="6"/>
      <c r="N1032" s="6"/>
      <c r="O1032" s="6"/>
      <c r="P1032" s="6"/>
      <c r="Q1032" s="6" t="s">
        <v>280</v>
      </c>
      <c r="R1032" s="7" t="n">
        <f aca="false">COUNTIF('Label Map'!$D$2:$D$2000,A1032)</f>
        <v>1</v>
      </c>
    </row>
    <row r="1033" customFormat="false" ht="15" hidden="false" customHeight="false" outlineLevel="0" collapsed="false">
      <c r="A1033" s="6" t="s">
        <v>1507</v>
      </c>
      <c r="B1033" s="6" t="s">
        <v>63</v>
      </c>
      <c r="C1033" s="6" t="s">
        <v>3</v>
      </c>
      <c r="D1033" s="6" t="s">
        <v>1312</v>
      </c>
      <c r="E1033" s="6" t="s">
        <v>1419</v>
      </c>
      <c r="F1033" s="6" t="s">
        <v>1488</v>
      </c>
      <c r="G1033" s="6" t="s">
        <v>1489</v>
      </c>
      <c r="H1033" s="6" t="s">
        <v>1506</v>
      </c>
      <c r="I1033" s="6" t="s">
        <v>1507</v>
      </c>
      <c r="J1033" s="6" t="s">
        <v>1506</v>
      </c>
      <c r="K1033" s="6"/>
      <c r="L1033" s="6"/>
      <c r="M1033" s="6"/>
      <c r="N1033" s="6"/>
      <c r="O1033" s="6"/>
      <c r="P1033" s="6"/>
      <c r="Q1033" s="6"/>
      <c r="R1033" s="7" t="n">
        <f aca="false">COUNTIF('Label Map'!$D$2:$D$2000,A1033)</f>
        <v>0</v>
      </c>
    </row>
    <row r="1034" customFormat="false" ht="15" hidden="false" customHeight="false" outlineLevel="0" collapsed="false">
      <c r="A1034" s="6" t="s">
        <v>1508</v>
      </c>
      <c r="B1034" s="6" t="s">
        <v>63</v>
      </c>
      <c r="C1034" s="6" t="s">
        <v>3</v>
      </c>
      <c r="D1034" s="6" t="s">
        <v>1312</v>
      </c>
      <c r="E1034" s="6" t="s">
        <v>1419</v>
      </c>
      <c r="F1034" s="6" t="s">
        <v>1488</v>
      </c>
      <c r="G1034" s="6" t="s">
        <v>1489</v>
      </c>
      <c r="H1034" s="6" t="s">
        <v>1506</v>
      </c>
      <c r="I1034" s="6" t="s">
        <v>1508</v>
      </c>
      <c r="J1034" s="6" t="s">
        <v>1506</v>
      </c>
      <c r="K1034" s="6"/>
      <c r="L1034" s="6"/>
      <c r="M1034" s="6"/>
      <c r="N1034" s="6"/>
      <c r="O1034" s="6"/>
      <c r="P1034" s="6"/>
      <c r="Q1034" s="6"/>
      <c r="R1034" s="7" t="n">
        <f aca="false">COUNTIF('Label Map'!$D$2:$D$2000,A1034)</f>
        <v>0</v>
      </c>
    </row>
    <row r="1035" customFormat="false" ht="15" hidden="false" customHeight="false" outlineLevel="0" collapsed="false">
      <c r="A1035" s="6" t="s">
        <v>1509</v>
      </c>
      <c r="B1035" s="6" t="s">
        <v>63</v>
      </c>
      <c r="C1035" s="6" t="s">
        <v>3</v>
      </c>
      <c r="D1035" s="6" t="s">
        <v>1312</v>
      </c>
      <c r="E1035" s="6" t="s">
        <v>1419</v>
      </c>
      <c r="F1035" s="6" t="s">
        <v>1488</v>
      </c>
      <c r="G1035" s="6" t="s">
        <v>1489</v>
      </c>
      <c r="H1035" s="6" t="s">
        <v>1506</v>
      </c>
      <c r="I1035" s="6" t="s">
        <v>1509</v>
      </c>
      <c r="J1035" s="6" t="s">
        <v>1506</v>
      </c>
      <c r="K1035" s="6"/>
      <c r="L1035" s="6"/>
      <c r="M1035" s="6"/>
      <c r="N1035" s="6"/>
      <c r="O1035" s="6"/>
      <c r="P1035" s="6"/>
      <c r="Q1035" s="6"/>
      <c r="R1035" s="7" t="n">
        <f aca="false">COUNTIF('Label Map'!$D$2:$D$2000,A1035)</f>
        <v>0</v>
      </c>
    </row>
    <row r="1036" customFormat="false" ht="15" hidden="false" customHeight="false" outlineLevel="0" collapsed="false">
      <c r="A1036" s="6" t="s">
        <v>1510</v>
      </c>
      <c r="B1036" s="6" t="s">
        <v>11</v>
      </c>
      <c r="C1036" s="6" t="s">
        <v>3</v>
      </c>
      <c r="D1036" s="6" t="s">
        <v>1312</v>
      </c>
      <c r="E1036" s="6" t="s">
        <v>1419</v>
      </c>
      <c r="F1036" s="6" t="s">
        <v>1488</v>
      </c>
      <c r="G1036" s="6" t="s">
        <v>1489</v>
      </c>
      <c r="H1036" s="6" t="s">
        <v>1510</v>
      </c>
      <c r="I1036" s="6"/>
      <c r="J1036" s="6" t="s">
        <v>1488</v>
      </c>
      <c r="K1036" s="6"/>
      <c r="L1036" s="6"/>
      <c r="M1036" s="6"/>
      <c r="N1036" s="6"/>
      <c r="O1036" s="6"/>
      <c r="P1036" s="6"/>
      <c r="Q1036" s="6" t="s">
        <v>1511</v>
      </c>
      <c r="R1036" s="7" t="n">
        <f aca="false">COUNTIF('Label Map'!$D$2:$D$2000,A1036)</f>
        <v>1</v>
      </c>
    </row>
    <row r="1037" customFormat="false" ht="15" hidden="false" customHeight="false" outlineLevel="0" collapsed="false">
      <c r="A1037" s="6" t="s">
        <v>1512</v>
      </c>
      <c r="B1037" s="6" t="s">
        <v>11</v>
      </c>
      <c r="C1037" s="6" t="s">
        <v>3</v>
      </c>
      <c r="D1037" s="6" t="s">
        <v>1312</v>
      </c>
      <c r="E1037" s="6" t="s">
        <v>1419</v>
      </c>
      <c r="F1037" s="6" t="s">
        <v>1488</v>
      </c>
      <c r="G1037" s="6" t="s">
        <v>1489</v>
      </c>
      <c r="H1037" s="6" t="s">
        <v>1512</v>
      </c>
      <c r="I1037" s="6"/>
      <c r="J1037" s="6" t="s">
        <v>1488</v>
      </c>
      <c r="K1037" s="6"/>
      <c r="L1037" s="6"/>
      <c r="M1037" s="6"/>
      <c r="N1037" s="6"/>
      <c r="O1037" s="6"/>
      <c r="P1037" s="6"/>
      <c r="Q1037" s="6" t="s">
        <v>280</v>
      </c>
      <c r="R1037" s="7" t="n">
        <f aca="false">COUNTIF('Label Map'!$D$2:$D$2000,A1037)</f>
        <v>1</v>
      </c>
    </row>
    <row r="1038" customFormat="false" ht="15" hidden="false" customHeight="false" outlineLevel="0" collapsed="false">
      <c r="A1038" s="6" t="s">
        <v>1513</v>
      </c>
      <c r="B1038" s="6" t="s">
        <v>11</v>
      </c>
      <c r="C1038" s="6" t="s">
        <v>3</v>
      </c>
      <c r="D1038" s="6" t="s">
        <v>1312</v>
      </c>
      <c r="E1038" s="6" t="s">
        <v>1419</v>
      </c>
      <c r="F1038" s="6" t="s">
        <v>1488</v>
      </c>
      <c r="G1038" s="6" t="s">
        <v>1489</v>
      </c>
      <c r="H1038" s="6" t="s">
        <v>1513</v>
      </c>
      <c r="I1038" s="6"/>
      <c r="J1038" s="6" t="s">
        <v>1488</v>
      </c>
      <c r="K1038" s="6"/>
      <c r="L1038" s="6"/>
      <c r="M1038" s="6"/>
      <c r="N1038" s="6"/>
      <c r="O1038" s="6"/>
      <c r="P1038" s="6"/>
      <c r="Q1038" s="6" t="s">
        <v>280</v>
      </c>
      <c r="R1038" s="7" t="n">
        <f aca="false">COUNTIF('Label Map'!$D$2:$D$2000,A1038)</f>
        <v>1</v>
      </c>
    </row>
    <row r="1039" customFormat="false" ht="15" hidden="false" customHeight="false" outlineLevel="0" collapsed="false">
      <c r="A1039" s="6" t="s">
        <v>1514</v>
      </c>
      <c r="B1039" s="6" t="s">
        <v>11</v>
      </c>
      <c r="C1039" s="6" t="s">
        <v>3</v>
      </c>
      <c r="D1039" s="6" t="s">
        <v>1312</v>
      </c>
      <c r="E1039" s="6" t="s">
        <v>1419</v>
      </c>
      <c r="F1039" s="6" t="s">
        <v>1488</v>
      </c>
      <c r="G1039" s="6" t="s">
        <v>1489</v>
      </c>
      <c r="H1039" s="6" t="s">
        <v>1514</v>
      </c>
      <c r="I1039" s="6"/>
      <c r="J1039" s="6" t="s">
        <v>1488</v>
      </c>
      <c r="K1039" s="6"/>
      <c r="L1039" s="6"/>
      <c r="M1039" s="6"/>
      <c r="N1039" s="6"/>
      <c r="O1039" s="6"/>
      <c r="P1039" s="6"/>
      <c r="Q1039" s="6" t="s">
        <v>280</v>
      </c>
      <c r="R1039" s="7" t="n">
        <f aca="false">COUNTIF('Label Map'!$D$2:$D$2000,A1039)</f>
        <v>1</v>
      </c>
    </row>
    <row r="1040" customFormat="false" ht="15" hidden="false" customHeight="false" outlineLevel="0" collapsed="false">
      <c r="A1040" s="6" t="s">
        <v>1515</v>
      </c>
      <c r="B1040" s="6" t="s">
        <v>11</v>
      </c>
      <c r="C1040" s="6" t="s">
        <v>3</v>
      </c>
      <c r="D1040" s="6" t="s">
        <v>1312</v>
      </c>
      <c r="E1040" s="6" t="s">
        <v>1419</v>
      </c>
      <c r="F1040" s="6" t="s">
        <v>1488</v>
      </c>
      <c r="G1040" s="6" t="s">
        <v>1489</v>
      </c>
      <c r="H1040" s="6" t="s">
        <v>1515</v>
      </c>
      <c r="I1040" s="6"/>
      <c r="J1040" s="6" t="s">
        <v>1488</v>
      </c>
      <c r="K1040" s="6"/>
      <c r="L1040" s="6"/>
      <c r="M1040" s="6"/>
      <c r="N1040" s="6"/>
      <c r="O1040" s="6"/>
      <c r="P1040" s="6"/>
      <c r="Q1040" s="6" t="s">
        <v>280</v>
      </c>
      <c r="R1040" s="7" t="n">
        <f aca="false">COUNTIF('Label Map'!$D$2:$D$2000,A1040)</f>
        <v>1</v>
      </c>
    </row>
    <row r="1041" customFormat="false" ht="15" hidden="false" customHeight="false" outlineLevel="0" collapsed="false">
      <c r="A1041" s="6" t="s">
        <v>1516</v>
      </c>
      <c r="B1041" s="6" t="s">
        <v>11</v>
      </c>
      <c r="C1041" s="6" t="s">
        <v>3</v>
      </c>
      <c r="D1041" s="6" t="s">
        <v>1312</v>
      </c>
      <c r="E1041" s="6" t="s">
        <v>1419</v>
      </c>
      <c r="F1041" s="6" t="s">
        <v>1488</v>
      </c>
      <c r="G1041" s="6" t="s">
        <v>1489</v>
      </c>
      <c r="H1041" s="6" t="s">
        <v>1516</v>
      </c>
      <c r="I1041" s="6"/>
      <c r="J1041" s="6" t="s">
        <v>1488</v>
      </c>
      <c r="K1041" s="6"/>
      <c r="L1041" s="6"/>
      <c r="M1041" s="6"/>
      <c r="N1041" s="6"/>
      <c r="O1041" s="6"/>
      <c r="P1041" s="6"/>
      <c r="Q1041" s="6" t="s">
        <v>280</v>
      </c>
      <c r="R1041" s="7" t="n">
        <f aca="false">COUNTIF('Label Map'!$D$2:$D$2000,A1041)</f>
        <v>1</v>
      </c>
    </row>
    <row r="1042" customFormat="false" ht="15" hidden="false" customHeight="false" outlineLevel="0" collapsed="false">
      <c r="A1042" s="6" t="s">
        <v>1517</v>
      </c>
      <c r="B1042" s="6" t="s">
        <v>11</v>
      </c>
      <c r="C1042" s="6" t="s">
        <v>3</v>
      </c>
      <c r="D1042" s="6" t="s">
        <v>1312</v>
      </c>
      <c r="E1042" s="6" t="s">
        <v>1419</v>
      </c>
      <c r="F1042" s="6" t="s">
        <v>1488</v>
      </c>
      <c r="G1042" s="6" t="s">
        <v>1489</v>
      </c>
      <c r="H1042" s="6" t="s">
        <v>1517</v>
      </c>
      <c r="I1042" s="6"/>
      <c r="J1042" s="6" t="s">
        <v>1488</v>
      </c>
      <c r="K1042" s="6"/>
      <c r="L1042" s="6"/>
      <c r="M1042" s="6"/>
      <c r="N1042" s="6"/>
      <c r="O1042" s="6"/>
      <c r="P1042" s="6"/>
      <c r="Q1042" s="6" t="s">
        <v>280</v>
      </c>
      <c r="R1042" s="7" t="n">
        <f aca="false">COUNTIF('Label Map'!$D$2:$D$2000,A1042)</f>
        <v>1</v>
      </c>
    </row>
    <row r="1043" customFormat="false" ht="15" hidden="false" customHeight="false" outlineLevel="0" collapsed="false">
      <c r="A1043" s="6" t="s">
        <v>1518</v>
      </c>
      <c r="B1043" s="6" t="s">
        <v>63</v>
      </c>
      <c r="C1043" s="6" t="s">
        <v>3</v>
      </c>
      <c r="D1043" s="6" t="s">
        <v>1312</v>
      </c>
      <c r="E1043" s="6" t="s">
        <v>1419</v>
      </c>
      <c r="F1043" s="6" t="s">
        <v>1488</v>
      </c>
      <c r="G1043" s="6" t="s">
        <v>1489</v>
      </c>
      <c r="H1043" s="6" t="s">
        <v>1517</v>
      </c>
      <c r="I1043" s="6" t="s">
        <v>1518</v>
      </c>
      <c r="J1043" s="6" t="s">
        <v>1517</v>
      </c>
      <c r="K1043" s="6"/>
      <c r="L1043" s="6"/>
      <c r="M1043" s="6"/>
      <c r="N1043" s="6"/>
      <c r="O1043" s="6"/>
      <c r="P1043" s="6"/>
      <c r="Q1043" s="6"/>
      <c r="R1043" s="7" t="n">
        <f aca="false">COUNTIF('Label Map'!$D$2:$D$2000,A1043)</f>
        <v>0</v>
      </c>
    </row>
    <row r="1044" customFormat="false" ht="15" hidden="false" customHeight="false" outlineLevel="0" collapsed="false">
      <c r="A1044" s="6" t="s">
        <v>1519</v>
      </c>
      <c r="B1044" s="6" t="s">
        <v>11</v>
      </c>
      <c r="C1044" s="6" t="s">
        <v>3</v>
      </c>
      <c r="D1044" s="6" t="s">
        <v>1312</v>
      </c>
      <c r="E1044" s="6" t="s">
        <v>1419</v>
      </c>
      <c r="F1044" s="6" t="s">
        <v>1488</v>
      </c>
      <c r="G1044" s="6" t="s">
        <v>1489</v>
      </c>
      <c r="H1044" s="6" t="s">
        <v>1519</v>
      </c>
      <c r="I1044" s="6"/>
      <c r="J1044" s="6" t="s">
        <v>1488</v>
      </c>
      <c r="K1044" s="6"/>
      <c r="L1044" s="6"/>
      <c r="M1044" s="6"/>
      <c r="N1044" s="6"/>
      <c r="O1044" s="6"/>
      <c r="P1044" s="6"/>
      <c r="Q1044" s="6" t="s">
        <v>280</v>
      </c>
      <c r="R1044" s="7" t="n">
        <f aca="false">COUNTIF('Label Map'!$D$2:$D$2000,A1044)</f>
        <v>1</v>
      </c>
    </row>
    <row r="1045" customFormat="false" ht="15" hidden="false" customHeight="false" outlineLevel="0" collapsed="false">
      <c r="A1045" s="6" t="s">
        <v>1520</v>
      </c>
      <c r="B1045" s="6" t="s">
        <v>11</v>
      </c>
      <c r="C1045" s="6" t="s">
        <v>3</v>
      </c>
      <c r="D1045" s="6" t="s">
        <v>1312</v>
      </c>
      <c r="E1045" s="6" t="s">
        <v>1419</v>
      </c>
      <c r="F1045" s="6" t="s">
        <v>1488</v>
      </c>
      <c r="G1045" s="6" t="s">
        <v>1489</v>
      </c>
      <c r="H1045" s="6" t="s">
        <v>1520</v>
      </c>
      <c r="I1045" s="6"/>
      <c r="J1045" s="6" t="s">
        <v>1488</v>
      </c>
      <c r="K1045" s="6"/>
      <c r="L1045" s="6"/>
      <c r="M1045" s="6"/>
      <c r="N1045" s="6"/>
      <c r="O1045" s="6"/>
      <c r="P1045" s="6"/>
      <c r="Q1045" s="6" t="s">
        <v>1511</v>
      </c>
      <c r="R1045" s="7" t="n">
        <f aca="false">COUNTIF('Label Map'!$D$2:$D$2000,A1045)</f>
        <v>1</v>
      </c>
    </row>
    <row r="1046" customFormat="false" ht="15" hidden="false" customHeight="false" outlineLevel="0" collapsed="false">
      <c r="A1046" s="6" t="s">
        <v>1521</v>
      </c>
      <c r="B1046" s="6" t="s">
        <v>11</v>
      </c>
      <c r="C1046" s="6" t="s">
        <v>3</v>
      </c>
      <c r="D1046" s="6" t="s">
        <v>1312</v>
      </c>
      <c r="E1046" s="6" t="s">
        <v>1419</v>
      </c>
      <c r="F1046" s="6" t="s">
        <v>1488</v>
      </c>
      <c r="G1046" s="6" t="s">
        <v>1489</v>
      </c>
      <c r="H1046" s="6" t="s">
        <v>1521</v>
      </c>
      <c r="I1046" s="6"/>
      <c r="J1046" s="6" t="s">
        <v>1488</v>
      </c>
      <c r="K1046" s="6"/>
      <c r="L1046" s="6"/>
      <c r="M1046" s="6"/>
      <c r="N1046" s="6"/>
      <c r="O1046" s="6"/>
      <c r="P1046" s="6"/>
      <c r="Q1046" s="6" t="s">
        <v>280</v>
      </c>
      <c r="R1046" s="7" t="n">
        <f aca="false">COUNTIF('Label Map'!$D$2:$D$2000,A1046)</f>
        <v>1</v>
      </c>
    </row>
    <row r="1047" customFormat="false" ht="15" hidden="false" customHeight="false" outlineLevel="0" collapsed="false">
      <c r="A1047" s="6" t="s">
        <v>1522</v>
      </c>
      <c r="B1047" s="6" t="s">
        <v>63</v>
      </c>
      <c r="C1047" s="6" t="s">
        <v>3</v>
      </c>
      <c r="D1047" s="6" t="s">
        <v>1312</v>
      </c>
      <c r="E1047" s="6" t="s">
        <v>1419</v>
      </c>
      <c r="F1047" s="6" t="s">
        <v>1488</v>
      </c>
      <c r="G1047" s="6" t="s">
        <v>1489</v>
      </c>
      <c r="H1047" s="6" t="s">
        <v>1521</v>
      </c>
      <c r="I1047" s="6" t="s">
        <v>1522</v>
      </c>
      <c r="J1047" s="6" t="s">
        <v>1521</v>
      </c>
      <c r="K1047" s="6"/>
      <c r="L1047" s="6"/>
      <c r="M1047" s="6"/>
      <c r="N1047" s="6"/>
      <c r="O1047" s="6"/>
      <c r="P1047" s="6"/>
      <c r="Q1047" s="6"/>
      <c r="R1047" s="7" t="n">
        <f aca="false">COUNTIF('Label Map'!$D$2:$D$2000,A1047)</f>
        <v>0</v>
      </c>
    </row>
    <row r="1048" customFormat="false" ht="15" hidden="false" customHeight="false" outlineLevel="0" collapsed="false">
      <c r="A1048" s="6" t="s">
        <v>1523</v>
      </c>
      <c r="B1048" s="6" t="s">
        <v>63</v>
      </c>
      <c r="C1048" s="6" t="s">
        <v>3</v>
      </c>
      <c r="D1048" s="6" t="s">
        <v>1312</v>
      </c>
      <c r="E1048" s="6" t="s">
        <v>1419</v>
      </c>
      <c r="F1048" s="6" t="s">
        <v>1488</v>
      </c>
      <c r="G1048" s="6" t="s">
        <v>1489</v>
      </c>
      <c r="H1048" s="6" t="s">
        <v>1521</v>
      </c>
      <c r="I1048" s="6" t="s">
        <v>1523</v>
      </c>
      <c r="J1048" s="6" t="s">
        <v>1521</v>
      </c>
      <c r="K1048" s="6"/>
      <c r="L1048" s="6"/>
      <c r="M1048" s="6"/>
      <c r="N1048" s="6"/>
      <c r="O1048" s="6"/>
      <c r="P1048" s="6"/>
      <c r="Q1048" s="6"/>
      <c r="R1048" s="7" t="n">
        <f aca="false">COUNTIF('Label Map'!$D$2:$D$2000,A1048)</f>
        <v>1</v>
      </c>
    </row>
    <row r="1049" customFormat="false" ht="15" hidden="false" customHeight="false" outlineLevel="0" collapsed="false">
      <c r="A1049" s="6" t="s">
        <v>1524</v>
      </c>
      <c r="B1049" s="6" t="s">
        <v>63</v>
      </c>
      <c r="C1049" s="6" t="s">
        <v>3</v>
      </c>
      <c r="D1049" s="6" t="s">
        <v>1312</v>
      </c>
      <c r="E1049" s="6" t="s">
        <v>1419</v>
      </c>
      <c r="F1049" s="6" t="s">
        <v>1488</v>
      </c>
      <c r="G1049" s="6" t="s">
        <v>1489</v>
      </c>
      <c r="H1049" s="6" t="s">
        <v>1521</v>
      </c>
      <c r="I1049" s="6" t="s">
        <v>1524</v>
      </c>
      <c r="J1049" s="6" t="s">
        <v>1521</v>
      </c>
      <c r="K1049" s="6"/>
      <c r="L1049" s="6"/>
      <c r="M1049" s="6"/>
      <c r="N1049" s="6"/>
      <c r="O1049" s="6"/>
      <c r="P1049" s="6"/>
      <c r="Q1049" s="6"/>
      <c r="R1049" s="7" t="n">
        <f aca="false">COUNTIF('Label Map'!$D$2:$D$2000,A1049)</f>
        <v>1</v>
      </c>
    </row>
    <row r="1050" customFormat="false" ht="15" hidden="false" customHeight="false" outlineLevel="0" collapsed="false">
      <c r="A1050" s="6" t="s">
        <v>1525</v>
      </c>
      <c r="B1050" s="6" t="s">
        <v>11</v>
      </c>
      <c r="C1050" s="6" t="s">
        <v>3</v>
      </c>
      <c r="D1050" s="6" t="s">
        <v>1312</v>
      </c>
      <c r="E1050" s="6" t="s">
        <v>1419</v>
      </c>
      <c r="F1050" s="6" t="s">
        <v>1488</v>
      </c>
      <c r="G1050" s="6" t="s">
        <v>1489</v>
      </c>
      <c r="H1050" s="6" t="s">
        <v>1525</v>
      </c>
      <c r="I1050" s="6"/>
      <c r="J1050" s="6" t="s">
        <v>1488</v>
      </c>
      <c r="K1050" s="6"/>
      <c r="L1050" s="6"/>
      <c r="M1050" s="6"/>
      <c r="N1050" s="6"/>
      <c r="O1050" s="6"/>
      <c r="P1050" s="6"/>
      <c r="Q1050" s="6" t="s">
        <v>280</v>
      </c>
      <c r="R1050" s="7" t="n">
        <f aca="false">COUNTIF('Label Map'!$D$2:$D$2000,A1050)</f>
        <v>1</v>
      </c>
    </row>
    <row r="1051" customFormat="false" ht="15" hidden="false" customHeight="false" outlineLevel="0" collapsed="false">
      <c r="A1051" s="6" t="s">
        <v>1526</v>
      </c>
      <c r="B1051" s="6" t="s">
        <v>11</v>
      </c>
      <c r="C1051" s="6" t="s">
        <v>3</v>
      </c>
      <c r="D1051" s="6" t="s">
        <v>1312</v>
      </c>
      <c r="E1051" s="6" t="s">
        <v>1419</v>
      </c>
      <c r="F1051" s="6" t="s">
        <v>1488</v>
      </c>
      <c r="G1051" s="6" t="s">
        <v>1489</v>
      </c>
      <c r="H1051" s="6" t="s">
        <v>1526</v>
      </c>
      <c r="I1051" s="6"/>
      <c r="J1051" s="6" t="s">
        <v>1488</v>
      </c>
      <c r="K1051" s="6"/>
      <c r="L1051" s="6"/>
      <c r="M1051" s="6"/>
      <c r="N1051" s="6"/>
      <c r="O1051" s="6"/>
      <c r="P1051" s="6"/>
      <c r="Q1051" s="6" t="s">
        <v>280</v>
      </c>
      <c r="R1051" s="7" t="n">
        <f aca="false">COUNTIF('Label Map'!$D$2:$D$2000,A1051)</f>
        <v>1</v>
      </c>
    </row>
    <row r="1052" customFormat="false" ht="15" hidden="false" customHeight="false" outlineLevel="0" collapsed="false">
      <c r="A1052" s="6" t="s">
        <v>1527</v>
      </c>
      <c r="B1052" s="6" t="s">
        <v>11</v>
      </c>
      <c r="C1052" s="6" t="s">
        <v>3</v>
      </c>
      <c r="D1052" s="6" t="s">
        <v>1312</v>
      </c>
      <c r="E1052" s="6" t="s">
        <v>1419</v>
      </c>
      <c r="F1052" s="6" t="s">
        <v>1488</v>
      </c>
      <c r="G1052" s="6" t="s">
        <v>1489</v>
      </c>
      <c r="H1052" s="6" t="s">
        <v>1527</v>
      </c>
      <c r="I1052" s="6"/>
      <c r="J1052" s="6" t="s">
        <v>1488</v>
      </c>
      <c r="K1052" s="6"/>
      <c r="L1052" s="6"/>
      <c r="M1052" s="6"/>
      <c r="N1052" s="6"/>
      <c r="O1052" s="6"/>
      <c r="P1052" s="6"/>
      <c r="Q1052" s="6" t="s">
        <v>280</v>
      </c>
      <c r="R1052" s="7" t="n">
        <f aca="false">COUNTIF('Label Map'!$D$2:$D$2000,A1052)</f>
        <v>1</v>
      </c>
    </row>
    <row r="1053" customFormat="false" ht="15" hidden="false" customHeight="false" outlineLevel="0" collapsed="false">
      <c r="A1053" s="6" t="s">
        <v>1528</v>
      </c>
      <c r="B1053" s="6" t="s">
        <v>63</v>
      </c>
      <c r="C1053" s="6" t="s">
        <v>3</v>
      </c>
      <c r="D1053" s="6" t="s">
        <v>1312</v>
      </c>
      <c r="E1053" s="6" t="s">
        <v>1419</v>
      </c>
      <c r="F1053" s="6" t="s">
        <v>1488</v>
      </c>
      <c r="G1053" s="6" t="s">
        <v>1489</v>
      </c>
      <c r="H1053" s="6" t="s">
        <v>1527</v>
      </c>
      <c r="I1053" s="6" t="s">
        <v>1528</v>
      </c>
      <c r="J1053" s="6" t="s">
        <v>1527</v>
      </c>
      <c r="K1053" s="6"/>
      <c r="L1053" s="6"/>
      <c r="M1053" s="6"/>
      <c r="N1053" s="6"/>
      <c r="O1053" s="6"/>
      <c r="P1053" s="6"/>
      <c r="Q1053" s="6"/>
      <c r="R1053" s="7" t="n">
        <f aca="false">COUNTIF('Label Map'!$D$2:$D$2000,A1053)</f>
        <v>0</v>
      </c>
    </row>
    <row r="1054" customFormat="false" ht="15" hidden="false" customHeight="false" outlineLevel="0" collapsed="false">
      <c r="A1054" s="6" t="s">
        <v>1529</v>
      </c>
      <c r="B1054" s="6" t="s">
        <v>63</v>
      </c>
      <c r="C1054" s="6" t="s">
        <v>3</v>
      </c>
      <c r="D1054" s="6" t="s">
        <v>1312</v>
      </c>
      <c r="E1054" s="6" t="s">
        <v>1419</v>
      </c>
      <c r="F1054" s="6" t="s">
        <v>1488</v>
      </c>
      <c r="G1054" s="6" t="s">
        <v>1489</v>
      </c>
      <c r="H1054" s="6" t="s">
        <v>1527</v>
      </c>
      <c r="I1054" s="6" t="s">
        <v>1529</v>
      </c>
      <c r="J1054" s="6" t="s">
        <v>1527</v>
      </c>
      <c r="K1054" s="6"/>
      <c r="L1054" s="6"/>
      <c r="M1054" s="6"/>
      <c r="N1054" s="6"/>
      <c r="O1054" s="6"/>
      <c r="P1054" s="6"/>
      <c r="Q1054" s="6"/>
      <c r="R1054" s="7" t="n">
        <f aca="false">COUNTIF('Label Map'!$D$2:$D$2000,A1054)</f>
        <v>0</v>
      </c>
    </row>
    <row r="1055" customFormat="false" ht="15" hidden="false" customHeight="false" outlineLevel="0" collapsed="false">
      <c r="A1055" s="6" t="s">
        <v>1530</v>
      </c>
      <c r="B1055" s="6" t="s">
        <v>11</v>
      </c>
      <c r="C1055" s="6" t="s">
        <v>3</v>
      </c>
      <c r="D1055" s="6" t="s">
        <v>1312</v>
      </c>
      <c r="E1055" s="6" t="s">
        <v>1419</v>
      </c>
      <c r="F1055" s="6" t="s">
        <v>1488</v>
      </c>
      <c r="G1055" s="6" t="s">
        <v>1489</v>
      </c>
      <c r="H1055" s="6" t="s">
        <v>1530</v>
      </c>
      <c r="I1055" s="6"/>
      <c r="J1055" s="6" t="s">
        <v>1488</v>
      </c>
      <c r="K1055" s="6"/>
      <c r="L1055" s="6"/>
      <c r="M1055" s="6"/>
      <c r="N1055" s="6"/>
      <c r="O1055" s="6"/>
      <c r="P1055" s="6"/>
      <c r="Q1055" s="6" t="s">
        <v>1511</v>
      </c>
      <c r="R1055" s="7" t="n">
        <f aca="false">COUNTIF('Label Map'!$D$2:$D$2000,A1055)</f>
        <v>1</v>
      </c>
    </row>
    <row r="1056" customFormat="false" ht="15" hidden="false" customHeight="false" outlineLevel="0" collapsed="false">
      <c r="A1056" s="6" t="s">
        <v>1531</v>
      </c>
      <c r="B1056" s="6" t="s">
        <v>11</v>
      </c>
      <c r="C1056" s="6" t="s">
        <v>3</v>
      </c>
      <c r="D1056" s="6" t="s">
        <v>1312</v>
      </c>
      <c r="E1056" s="6" t="s">
        <v>1419</v>
      </c>
      <c r="F1056" s="6" t="s">
        <v>1488</v>
      </c>
      <c r="G1056" s="6" t="s">
        <v>1489</v>
      </c>
      <c r="H1056" s="6" t="s">
        <v>1531</v>
      </c>
      <c r="I1056" s="6"/>
      <c r="J1056" s="6" t="s">
        <v>1488</v>
      </c>
      <c r="K1056" s="6"/>
      <c r="L1056" s="6"/>
      <c r="M1056" s="6"/>
      <c r="N1056" s="6"/>
      <c r="O1056" s="6"/>
      <c r="P1056" s="6"/>
      <c r="Q1056" s="6" t="s">
        <v>280</v>
      </c>
      <c r="R1056" s="7" t="n">
        <f aca="false">COUNTIF('Label Map'!$D$2:$D$2000,A1056)</f>
        <v>1</v>
      </c>
    </row>
    <row r="1057" customFormat="false" ht="15" hidden="false" customHeight="false" outlineLevel="0" collapsed="false">
      <c r="A1057" s="6" t="s">
        <v>1532</v>
      </c>
      <c r="B1057" s="6" t="s">
        <v>11</v>
      </c>
      <c r="C1057" s="6" t="s">
        <v>3</v>
      </c>
      <c r="D1057" s="6" t="s">
        <v>1312</v>
      </c>
      <c r="E1057" s="6" t="s">
        <v>1419</v>
      </c>
      <c r="F1057" s="6" t="s">
        <v>1488</v>
      </c>
      <c r="G1057" s="6" t="s">
        <v>1489</v>
      </c>
      <c r="H1057" s="6" t="s">
        <v>1532</v>
      </c>
      <c r="I1057" s="6"/>
      <c r="J1057" s="6" t="s">
        <v>1488</v>
      </c>
      <c r="K1057" s="6"/>
      <c r="L1057" s="6"/>
      <c r="M1057" s="6"/>
      <c r="N1057" s="6"/>
      <c r="O1057" s="6"/>
      <c r="P1057" s="6"/>
      <c r="Q1057" s="6" t="s">
        <v>280</v>
      </c>
      <c r="R1057" s="7" t="n">
        <f aca="false">COUNTIF('Label Map'!$D$2:$D$2000,A1057)</f>
        <v>1</v>
      </c>
    </row>
    <row r="1058" customFormat="false" ht="15" hidden="false" customHeight="false" outlineLevel="0" collapsed="false">
      <c r="A1058" s="6" t="s">
        <v>1533</v>
      </c>
      <c r="B1058" s="6" t="s">
        <v>63</v>
      </c>
      <c r="C1058" s="6" t="s">
        <v>3</v>
      </c>
      <c r="D1058" s="6" t="s">
        <v>1312</v>
      </c>
      <c r="E1058" s="6" t="s">
        <v>1419</v>
      </c>
      <c r="F1058" s="6" t="s">
        <v>1488</v>
      </c>
      <c r="G1058" s="6" t="s">
        <v>1489</v>
      </c>
      <c r="H1058" s="6" t="s">
        <v>1532</v>
      </c>
      <c r="I1058" s="6" t="s">
        <v>1533</v>
      </c>
      <c r="J1058" s="6" t="s">
        <v>1532</v>
      </c>
      <c r="K1058" s="6"/>
      <c r="L1058" s="6"/>
      <c r="M1058" s="6"/>
      <c r="N1058" s="6"/>
      <c r="O1058" s="6"/>
      <c r="P1058" s="6"/>
      <c r="Q1058" s="6"/>
      <c r="R1058" s="7" t="n">
        <f aca="false">COUNTIF('Label Map'!$D$2:$D$2000,A1058)</f>
        <v>0</v>
      </c>
    </row>
    <row r="1059" customFormat="false" ht="15" hidden="false" customHeight="false" outlineLevel="0" collapsed="false">
      <c r="A1059" s="6" t="s">
        <v>1534</v>
      </c>
      <c r="B1059" s="6" t="s">
        <v>11</v>
      </c>
      <c r="C1059" s="6" t="s">
        <v>3</v>
      </c>
      <c r="D1059" s="6" t="s">
        <v>1312</v>
      </c>
      <c r="E1059" s="6" t="s">
        <v>1419</v>
      </c>
      <c r="F1059" s="6" t="s">
        <v>1488</v>
      </c>
      <c r="G1059" s="6" t="s">
        <v>1489</v>
      </c>
      <c r="H1059" s="6" t="s">
        <v>1534</v>
      </c>
      <c r="I1059" s="6"/>
      <c r="J1059" s="6" t="s">
        <v>1488</v>
      </c>
      <c r="K1059" s="6"/>
      <c r="L1059" s="6"/>
      <c r="M1059" s="6"/>
      <c r="N1059" s="6"/>
      <c r="O1059" s="6"/>
      <c r="P1059" s="6"/>
      <c r="Q1059" s="6" t="s">
        <v>280</v>
      </c>
      <c r="R1059" s="7" t="n">
        <f aca="false">COUNTIF('Label Map'!$D$2:$D$2000,A1059)</f>
        <v>1</v>
      </c>
    </row>
    <row r="1060" customFormat="false" ht="15" hidden="false" customHeight="false" outlineLevel="0" collapsed="false">
      <c r="A1060" s="6" t="s">
        <v>1535</v>
      </c>
      <c r="B1060" s="6" t="s">
        <v>63</v>
      </c>
      <c r="C1060" s="6" t="s">
        <v>3</v>
      </c>
      <c r="D1060" s="6" t="s">
        <v>1312</v>
      </c>
      <c r="E1060" s="6" t="s">
        <v>1419</v>
      </c>
      <c r="F1060" s="6" t="s">
        <v>1488</v>
      </c>
      <c r="G1060" s="6" t="s">
        <v>1489</v>
      </c>
      <c r="H1060" s="6" t="s">
        <v>1534</v>
      </c>
      <c r="I1060" s="6" t="s">
        <v>1535</v>
      </c>
      <c r="J1060" s="6" t="s">
        <v>1534</v>
      </c>
      <c r="K1060" s="6"/>
      <c r="L1060" s="6"/>
      <c r="M1060" s="6"/>
      <c r="N1060" s="6"/>
      <c r="O1060" s="6"/>
      <c r="P1060" s="6"/>
      <c r="Q1060" s="6"/>
      <c r="R1060" s="7" t="n">
        <f aca="false">COUNTIF('Label Map'!$D$2:$D$2000,A1060)</f>
        <v>0</v>
      </c>
    </row>
    <row r="1061" customFormat="false" ht="15" hidden="false" customHeight="false" outlineLevel="0" collapsed="false">
      <c r="A1061" s="6" t="s">
        <v>1536</v>
      </c>
      <c r="B1061" s="6" t="s">
        <v>11</v>
      </c>
      <c r="C1061" s="6" t="s">
        <v>3</v>
      </c>
      <c r="D1061" s="6" t="s">
        <v>1312</v>
      </c>
      <c r="E1061" s="6" t="s">
        <v>1419</v>
      </c>
      <c r="F1061" s="6" t="s">
        <v>1488</v>
      </c>
      <c r="G1061" s="6" t="s">
        <v>1489</v>
      </c>
      <c r="H1061" s="6" t="s">
        <v>1536</v>
      </c>
      <c r="I1061" s="6"/>
      <c r="J1061" s="6" t="s">
        <v>1488</v>
      </c>
      <c r="K1061" s="6"/>
      <c r="L1061" s="6"/>
      <c r="M1061" s="6"/>
      <c r="N1061" s="6"/>
      <c r="O1061" s="6"/>
      <c r="P1061" s="6"/>
      <c r="Q1061" s="6" t="s">
        <v>280</v>
      </c>
      <c r="R1061" s="7" t="n">
        <f aca="false">COUNTIF('Label Map'!$D$2:$D$2000,A1061)</f>
        <v>1</v>
      </c>
    </row>
    <row r="1062" customFormat="false" ht="15" hidden="false" customHeight="false" outlineLevel="0" collapsed="false">
      <c r="A1062" s="6" t="s">
        <v>1537</v>
      </c>
      <c r="B1062" s="6" t="s">
        <v>11</v>
      </c>
      <c r="C1062" s="6" t="s">
        <v>3</v>
      </c>
      <c r="D1062" s="6" t="s">
        <v>1312</v>
      </c>
      <c r="E1062" s="6" t="s">
        <v>1419</v>
      </c>
      <c r="F1062" s="6" t="s">
        <v>1488</v>
      </c>
      <c r="G1062" s="6" t="s">
        <v>1489</v>
      </c>
      <c r="H1062" s="6" t="s">
        <v>1537</v>
      </c>
      <c r="I1062" s="6"/>
      <c r="J1062" s="6" t="s">
        <v>1488</v>
      </c>
      <c r="K1062" s="6"/>
      <c r="L1062" s="6"/>
      <c r="M1062" s="6"/>
      <c r="N1062" s="6"/>
      <c r="O1062" s="6"/>
      <c r="P1062" s="6"/>
      <c r="Q1062" s="6" t="s">
        <v>280</v>
      </c>
      <c r="R1062" s="7" t="n">
        <f aca="false">COUNTIF('Label Map'!$D$2:$D$2000,A1062)</f>
        <v>1</v>
      </c>
    </row>
    <row r="1063" customFormat="false" ht="15" hidden="false" customHeight="false" outlineLevel="0" collapsed="false">
      <c r="A1063" s="6" t="s">
        <v>1538</v>
      </c>
      <c r="B1063" s="6" t="s">
        <v>63</v>
      </c>
      <c r="C1063" s="6" t="s">
        <v>3</v>
      </c>
      <c r="D1063" s="6" t="s">
        <v>1312</v>
      </c>
      <c r="E1063" s="6" t="s">
        <v>1419</v>
      </c>
      <c r="F1063" s="6" t="s">
        <v>1488</v>
      </c>
      <c r="G1063" s="6" t="s">
        <v>1489</v>
      </c>
      <c r="H1063" s="6" t="s">
        <v>1537</v>
      </c>
      <c r="I1063" s="6" t="s">
        <v>1538</v>
      </c>
      <c r="J1063" s="6" t="s">
        <v>1537</v>
      </c>
      <c r="K1063" s="6"/>
      <c r="L1063" s="6"/>
      <c r="M1063" s="6"/>
      <c r="N1063" s="6"/>
      <c r="O1063" s="6"/>
      <c r="P1063" s="6"/>
      <c r="Q1063" s="6"/>
      <c r="R1063" s="7" t="n">
        <f aca="false">COUNTIF('Label Map'!$D$2:$D$2000,A1063)</f>
        <v>0</v>
      </c>
    </row>
    <row r="1064" customFormat="false" ht="15" hidden="false" customHeight="false" outlineLevel="0" collapsed="false">
      <c r="A1064" s="6" t="s">
        <v>1539</v>
      </c>
      <c r="B1064" s="6" t="s">
        <v>11</v>
      </c>
      <c r="C1064" s="6" t="s">
        <v>3</v>
      </c>
      <c r="D1064" s="6" t="s">
        <v>1312</v>
      </c>
      <c r="E1064" s="6" t="s">
        <v>1419</v>
      </c>
      <c r="F1064" s="6" t="s">
        <v>1488</v>
      </c>
      <c r="G1064" s="6" t="s">
        <v>1489</v>
      </c>
      <c r="H1064" s="6" t="s">
        <v>1539</v>
      </c>
      <c r="I1064" s="6"/>
      <c r="J1064" s="6" t="s">
        <v>1488</v>
      </c>
      <c r="K1064" s="6"/>
      <c r="L1064" s="6"/>
      <c r="M1064" s="6"/>
      <c r="N1064" s="6"/>
      <c r="O1064" s="6"/>
      <c r="P1064" s="6"/>
      <c r="Q1064" s="6" t="s">
        <v>1511</v>
      </c>
      <c r="R1064" s="7" t="n">
        <f aca="false">COUNTIF('Label Map'!$D$2:$D$2000,A1064)</f>
        <v>1</v>
      </c>
    </row>
    <row r="1065" customFormat="false" ht="15" hidden="false" customHeight="false" outlineLevel="0" collapsed="false">
      <c r="A1065" s="6" t="s">
        <v>1540</v>
      </c>
      <c r="B1065" s="6" t="s">
        <v>11</v>
      </c>
      <c r="C1065" s="6" t="s">
        <v>3</v>
      </c>
      <c r="D1065" s="6" t="s">
        <v>1312</v>
      </c>
      <c r="E1065" s="6" t="s">
        <v>1419</v>
      </c>
      <c r="F1065" s="6" t="s">
        <v>1488</v>
      </c>
      <c r="G1065" s="6" t="s">
        <v>1489</v>
      </c>
      <c r="H1065" s="6" t="s">
        <v>1540</v>
      </c>
      <c r="I1065" s="6"/>
      <c r="J1065" s="6" t="s">
        <v>1488</v>
      </c>
      <c r="K1065" s="6"/>
      <c r="L1065" s="6"/>
      <c r="M1065" s="6"/>
      <c r="N1065" s="6"/>
      <c r="O1065" s="6"/>
      <c r="P1065" s="6"/>
      <c r="Q1065" s="6" t="s">
        <v>1511</v>
      </c>
      <c r="R1065" s="7" t="n">
        <f aca="false">COUNTIF('Label Map'!$D$2:$D$2000,A1065)</f>
        <v>1</v>
      </c>
    </row>
    <row r="1066" customFormat="false" ht="15" hidden="false" customHeight="false" outlineLevel="0" collapsed="false">
      <c r="A1066" s="6" t="s">
        <v>1541</v>
      </c>
      <c r="B1066" s="6" t="s">
        <v>11</v>
      </c>
      <c r="C1066" s="6" t="s">
        <v>3</v>
      </c>
      <c r="D1066" s="6" t="s">
        <v>1312</v>
      </c>
      <c r="E1066" s="6" t="s">
        <v>1419</v>
      </c>
      <c r="F1066" s="6" t="s">
        <v>1488</v>
      </c>
      <c r="G1066" s="6" t="s">
        <v>1489</v>
      </c>
      <c r="H1066" s="6" t="s">
        <v>1541</v>
      </c>
      <c r="I1066" s="6"/>
      <c r="J1066" s="6" t="s">
        <v>1488</v>
      </c>
      <c r="K1066" s="6"/>
      <c r="L1066" s="6"/>
      <c r="M1066" s="6"/>
      <c r="N1066" s="6"/>
      <c r="O1066" s="6"/>
      <c r="P1066" s="6"/>
      <c r="Q1066" s="6" t="s">
        <v>280</v>
      </c>
      <c r="R1066" s="7" t="n">
        <f aca="false">COUNTIF('Label Map'!$D$2:$D$2000,A1066)</f>
        <v>1</v>
      </c>
    </row>
    <row r="1067" customFormat="false" ht="15" hidden="false" customHeight="false" outlineLevel="0" collapsed="false">
      <c r="A1067" s="6" t="s">
        <v>1542</v>
      </c>
      <c r="B1067" s="6" t="s">
        <v>11</v>
      </c>
      <c r="C1067" s="6" t="s">
        <v>3</v>
      </c>
      <c r="D1067" s="6" t="s">
        <v>1312</v>
      </c>
      <c r="E1067" s="6" t="s">
        <v>1419</v>
      </c>
      <c r="F1067" s="6" t="s">
        <v>1488</v>
      </c>
      <c r="G1067" s="6" t="s">
        <v>1489</v>
      </c>
      <c r="H1067" s="6" t="s">
        <v>1542</v>
      </c>
      <c r="I1067" s="6"/>
      <c r="J1067" s="6" t="s">
        <v>1488</v>
      </c>
      <c r="K1067" s="6"/>
      <c r="L1067" s="6"/>
      <c r="M1067" s="6"/>
      <c r="N1067" s="6"/>
      <c r="O1067" s="6"/>
      <c r="P1067" s="6"/>
      <c r="Q1067" s="6" t="s">
        <v>280</v>
      </c>
      <c r="R1067" s="7" t="n">
        <f aca="false">COUNTIF('Label Map'!$D$2:$D$2000,A1067)</f>
        <v>0</v>
      </c>
    </row>
    <row r="1068" customFormat="false" ht="15" hidden="false" customHeight="false" outlineLevel="0" collapsed="false">
      <c r="A1068" s="6" t="s">
        <v>1543</v>
      </c>
      <c r="B1068" s="6" t="s">
        <v>63</v>
      </c>
      <c r="C1068" s="6" t="s">
        <v>3</v>
      </c>
      <c r="D1068" s="6" t="s">
        <v>1312</v>
      </c>
      <c r="E1068" s="6" t="s">
        <v>1419</v>
      </c>
      <c r="F1068" s="6" t="s">
        <v>1488</v>
      </c>
      <c r="G1068" s="6" t="s">
        <v>1489</v>
      </c>
      <c r="H1068" s="6" t="s">
        <v>1542</v>
      </c>
      <c r="I1068" s="6" t="s">
        <v>1543</v>
      </c>
      <c r="J1068" s="6" t="s">
        <v>1542</v>
      </c>
      <c r="K1068" s="6"/>
      <c r="L1068" s="6"/>
      <c r="M1068" s="6"/>
      <c r="N1068" s="6"/>
      <c r="O1068" s="6"/>
      <c r="P1068" s="6"/>
      <c r="Q1068" s="6"/>
      <c r="R1068" s="7" t="n">
        <f aca="false">COUNTIF('Label Map'!$D$2:$D$2000,A1068)</f>
        <v>1</v>
      </c>
    </row>
    <row r="1069" customFormat="false" ht="15" hidden="false" customHeight="false" outlineLevel="0" collapsed="false">
      <c r="A1069" s="6" t="s">
        <v>1544</v>
      </c>
      <c r="B1069" s="6" t="s">
        <v>63</v>
      </c>
      <c r="C1069" s="6" t="s">
        <v>3</v>
      </c>
      <c r="D1069" s="6" t="s">
        <v>1312</v>
      </c>
      <c r="E1069" s="6" t="s">
        <v>1419</v>
      </c>
      <c r="F1069" s="6" t="s">
        <v>1488</v>
      </c>
      <c r="G1069" s="6" t="s">
        <v>1489</v>
      </c>
      <c r="H1069" s="6" t="s">
        <v>1542</v>
      </c>
      <c r="I1069" s="6" t="s">
        <v>1544</v>
      </c>
      <c r="J1069" s="6" t="s">
        <v>1542</v>
      </c>
      <c r="K1069" s="6"/>
      <c r="L1069" s="6"/>
      <c r="M1069" s="6"/>
      <c r="N1069" s="6"/>
      <c r="O1069" s="6"/>
      <c r="P1069" s="6"/>
      <c r="Q1069" s="6"/>
      <c r="R1069" s="7" t="n">
        <f aca="false">COUNTIF('Label Map'!$D$2:$D$2000,A1069)</f>
        <v>0</v>
      </c>
    </row>
    <row r="1070" customFormat="false" ht="15" hidden="false" customHeight="false" outlineLevel="0" collapsed="false">
      <c r="A1070" s="6" t="s">
        <v>1545</v>
      </c>
      <c r="B1070" s="6" t="s">
        <v>63</v>
      </c>
      <c r="C1070" s="6" t="s">
        <v>3</v>
      </c>
      <c r="D1070" s="6" t="s">
        <v>1312</v>
      </c>
      <c r="E1070" s="6" t="s">
        <v>1419</v>
      </c>
      <c r="F1070" s="6" t="s">
        <v>1488</v>
      </c>
      <c r="G1070" s="6" t="s">
        <v>1489</v>
      </c>
      <c r="H1070" s="6" t="s">
        <v>1545</v>
      </c>
      <c r="I1070" s="6" t="s">
        <v>1545</v>
      </c>
      <c r="J1070" s="6" t="s">
        <v>1488</v>
      </c>
      <c r="K1070" s="6"/>
      <c r="L1070" s="6"/>
      <c r="M1070" s="6"/>
      <c r="N1070" s="6"/>
      <c r="O1070" s="6"/>
      <c r="P1070" s="6"/>
      <c r="Q1070" s="6" t="s">
        <v>1546</v>
      </c>
      <c r="R1070" s="7" t="n">
        <f aca="false">COUNTIF('Label Map'!$D$2:$D$2000,A1070)</f>
        <v>1</v>
      </c>
    </row>
    <row r="1071" customFormat="false" ht="15" hidden="false" customHeight="false" outlineLevel="0" collapsed="false">
      <c r="A1071" s="6" t="s">
        <v>1547</v>
      </c>
      <c r="B1071" s="6" t="s">
        <v>63</v>
      </c>
      <c r="C1071" s="6" t="s">
        <v>3</v>
      </c>
      <c r="D1071" s="6" t="s">
        <v>1312</v>
      </c>
      <c r="E1071" s="6" t="s">
        <v>1419</v>
      </c>
      <c r="F1071" s="6" t="s">
        <v>1488</v>
      </c>
      <c r="G1071" s="6" t="s">
        <v>1489</v>
      </c>
      <c r="H1071" s="6" t="s">
        <v>1547</v>
      </c>
      <c r="I1071" s="6" t="s">
        <v>1547</v>
      </c>
      <c r="J1071" s="6" t="s">
        <v>1488</v>
      </c>
      <c r="K1071" s="6"/>
      <c r="L1071" s="6"/>
      <c r="M1071" s="6"/>
      <c r="N1071" s="6"/>
      <c r="O1071" s="6"/>
      <c r="P1071" s="6"/>
      <c r="Q1071" s="6" t="s">
        <v>1546</v>
      </c>
      <c r="R1071" s="7" t="n">
        <f aca="false">COUNTIF('Label Map'!$D$2:$D$2000,A1071)</f>
        <v>0</v>
      </c>
    </row>
    <row r="1072" customFormat="false" ht="15" hidden="false" customHeight="false" outlineLevel="0" collapsed="false">
      <c r="A1072" s="6" t="s">
        <v>1548</v>
      </c>
      <c r="B1072" s="6" t="s">
        <v>63</v>
      </c>
      <c r="C1072" s="6" t="s">
        <v>3</v>
      </c>
      <c r="D1072" s="6" t="s">
        <v>1312</v>
      </c>
      <c r="E1072" s="6" t="s">
        <v>1419</v>
      </c>
      <c r="F1072" s="6" t="s">
        <v>1488</v>
      </c>
      <c r="G1072" s="6" t="s">
        <v>1489</v>
      </c>
      <c r="H1072" s="6" t="s">
        <v>1548</v>
      </c>
      <c r="I1072" s="6" t="s">
        <v>1548</v>
      </c>
      <c r="J1072" s="6" t="s">
        <v>1488</v>
      </c>
      <c r="K1072" s="6"/>
      <c r="L1072" s="6"/>
      <c r="M1072" s="6"/>
      <c r="N1072" s="6"/>
      <c r="O1072" s="6"/>
      <c r="P1072" s="6"/>
      <c r="Q1072" s="6" t="s">
        <v>1546</v>
      </c>
      <c r="R1072" s="7" t="n">
        <f aca="false">COUNTIF('Label Map'!$D$2:$D$2000,A1072)</f>
        <v>1</v>
      </c>
    </row>
    <row r="1073" customFormat="false" ht="15" hidden="false" customHeight="false" outlineLevel="0" collapsed="false">
      <c r="A1073" s="6" t="s">
        <v>1549</v>
      </c>
      <c r="B1073" s="6" t="s">
        <v>63</v>
      </c>
      <c r="C1073" s="6" t="s">
        <v>3</v>
      </c>
      <c r="D1073" s="6" t="s">
        <v>1312</v>
      </c>
      <c r="E1073" s="6" t="s">
        <v>1419</v>
      </c>
      <c r="F1073" s="6" t="s">
        <v>1488</v>
      </c>
      <c r="G1073" s="6" t="s">
        <v>1489</v>
      </c>
      <c r="H1073" s="6" t="s">
        <v>1549</v>
      </c>
      <c r="I1073" s="6" t="s">
        <v>1549</v>
      </c>
      <c r="J1073" s="6" t="s">
        <v>1488</v>
      </c>
      <c r="K1073" s="6"/>
      <c r="L1073" s="6"/>
      <c r="M1073" s="6"/>
      <c r="N1073" s="6"/>
      <c r="O1073" s="6"/>
      <c r="P1073" s="6"/>
      <c r="Q1073" s="6" t="s">
        <v>1546</v>
      </c>
      <c r="R1073" s="7" t="n">
        <f aca="false">COUNTIF('Label Map'!$D$2:$D$2000,A1073)</f>
        <v>0</v>
      </c>
    </row>
    <row r="1074" customFormat="false" ht="15" hidden="false" customHeight="false" outlineLevel="0" collapsed="false">
      <c r="A1074" s="6" t="s">
        <v>1550</v>
      </c>
      <c r="B1074" s="6" t="s">
        <v>9</v>
      </c>
      <c r="C1074" s="6" t="s">
        <v>3</v>
      </c>
      <c r="D1074" s="6" t="s">
        <v>1312</v>
      </c>
      <c r="E1074" s="6" t="s">
        <v>1419</v>
      </c>
      <c r="F1074" s="6" t="s">
        <v>1550</v>
      </c>
      <c r="G1074" s="6" t="s">
        <v>1551</v>
      </c>
      <c r="H1074" s="6"/>
      <c r="I1074" s="6"/>
      <c r="J1074" s="6" t="s">
        <v>1419</v>
      </c>
      <c r="K1074" s="6" t="s">
        <v>1420</v>
      </c>
      <c r="L1074" s="6" t="s">
        <v>744</v>
      </c>
      <c r="M1074" s="6" t="s">
        <v>1427</v>
      </c>
      <c r="N1074" s="6"/>
      <c r="O1074" s="6" t="s">
        <v>1428</v>
      </c>
      <c r="P1074" s="6" t="s">
        <v>87</v>
      </c>
      <c r="Q1074" s="6"/>
      <c r="R1074" s="7" t="n">
        <f aca="false">COUNTIF('Label Map'!$D$2:$D$2000,A1074)</f>
        <v>4</v>
      </c>
    </row>
    <row r="1075" customFormat="false" ht="15" hidden="false" customHeight="false" outlineLevel="0" collapsed="false">
      <c r="A1075" s="6" t="s">
        <v>1552</v>
      </c>
      <c r="B1075" s="6" t="s">
        <v>9</v>
      </c>
      <c r="C1075" s="6" t="s">
        <v>3</v>
      </c>
      <c r="D1075" s="6" t="s">
        <v>1312</v>
      </c>
      <c r="E1075" s="6" t="s">
        <v>1419</v>
      </c>
      <c r="F1075" s="6" t="s">
        <v>1552</v>
      </c>
      <c r="G1075" s="6" t="s">
        <v>1553</v>
      </c>
      <c r="H1075" s="6"/>
      <c r="I1075" s="6"/>
      <c r="J1075" s="6" t="s">
        <v>1419</v>
      </c>
      <c r="K1075" s="6" t="s">
        <v>1420</v>
      </c>
      <c r="L1075" s="6" t="s">
        <v>744</v>
      </c>
      <c r="M1075" s="6" t="s">
        <v>1427</v>
      </c>
      <c r="N1075" s="6"/>
      <c r="O1075" s="6" t="s">
        <v>1428</v>
      </c>
      <c r="P1075" s="6" t="s">
        <v>87</v>
      </c>
      <c r="Q1075" s="6"/>
      <c r="R1075" s="7" t="n">
        <f aca="false">COUNTIF('Label Map'!$D$2:$D$2000,A1075)</f>
        <v>5</v>
      </c>
    </row>
    <row r="1076" customFormat="false" ht="15" hidden="false" customHeight="false" outlineLevel="0" collapsed="false">
      <c r="A1076" s="6" t="s">
        <v>1554</v>
      </c>
      <c r="B1076" s="6" t="s">
        <v>9</v>
      </c>
      <c r="C1076" s="6" t="s">
        <v>3</v>
      </c>
      <c r="D1076" s="6" t="s">
        <v>1312</v>
      </c>
      <c r="E1076" s="6" t="s">
        <v>1419</v>
      </c>
      <c r="F1076" s="6" t="s">
        <v>1554</v>
      </c>
      <c r="G1076" s="6" t="s">
        <v>1555</v>
      </c>
      <c r="H1076" s="6"/>
      <c r="I1076" s="6"/>
      <c r="J1076" s="6" t="s">
        <v>1419</v>
      </c>
      <c r="K1076" s="6" t="s">
        <v>1556</v>
      </c>
      <c r="L1076" s="6" t="s">
        <v>744</v>
      </c>
      <c r="M1076" s="6" t="s">
        <v>1427</v>
      </c>
      <c r="N1076" s="6"/>
      <c r="O1076" s="6" t="s">
        <v>1428</v>
      </c>
      <c r="P1076" s="6" t="s">
        <v>337</v>
      </c>
      <c r="Q1076" s="6"/>
      <c r="R1076" s="7" t="n">
        <f aca="false">COUNTIF('Label Map'!$D$2:$D$2000,A1076)</f>
        <v>1</v>
      </c>
    </row>
    <row r="1077" customFormat="false" ht="15" hidden="false" customHeight="false" outlineLevel="0" collapsed="false">
      <c r="A1077" s="6" t="s">
        <v>1557</v>
      </c>
      <c r="B1077" s="6" t="s">
        <v>9</v>
      </c>
      <c r="C1077" s="6" t="s">
        <v>3</v>
      </c>
      <c r="D1077" s="6" t="s">
        <v>1312</v>
      </c>
      <c r="E1077" s="6" t="s">
        <v>1419</v>
      </c>
      <c r="F1077" s="6" t="s">
        <v>1557</v>
      </c>
      <c r="G1077" s="6" t="s">
        <v>1558</v>
      </c>
      <c r="H1077" s="6"/>
      <c r="I1077" s="6"/>
      <c r="J1077" s="6" t="s">
        <v>1419</v>
      </c>
      <c r="K1077" s="6" t="s">
        <v>1422</v>
      </c>
      <c r="L1077" s="6" t="s">
        <v>744</v>
      </c>
      <c r="M1077" s="6" t="s">
        <v>1427</v>
      </c>
      <c r="N1077" s="6"/>
      <c r="O1077" s="6" t="s">
        <v>1428</v>
      </c>
      <c r="P1077" s="6" t="s">
        <v>1092</v>
      </c>
      <c r="Q1077" s="6"/>
      <c r="R1077" s="7" t="n">
        <f aca="false">COUNTIF('Label Map'!$D$2:$D$2000,A1077)</f>
        <v>3</v>
      </c>
    </row>
    <row r="1078" customFormat="false" ht="15" hidden="false" customHeight="false" outlineLevel="0" collapsed="false">
      <c r="A1078" s="6" t="s">
        <v>1559</v>
      </c>
      <c r="B1078" s="6" t="s">
        <v>9</v>
      </c>
      <c r="C1078" s="6" t="s">
        <v>3</v>
      </c>
      <c r="D1078" s="6" t="s">
        <v>1312</v>
      </c>
      <c r="E1078" s="6" t="s">
        <v>1419</v>
      </c>
      <c r="F1078" s="6" t="s">
        <v>1559</v>
      </c>
      <c r="G1078" s="6" t="s">
        <v>1560</v>
      </c>
      <c r="H1078" s="6"/>
      <c r="I1078" s="6"/>
      <c r="J1078" s="6" t="s">
        <v>1419</v>
      </c>
      <c r="K1078" s="6" t="s">
        <v>1561</v>
      </c>
      <c r="L1078" s="6" t="s">
        <v>744</v>
      </c>
      <c r="M1078" s="6" t="s">
        <v>1427</v>
      </c>
      <c r="N1078" s="6"/>
      <c r="O1078" s="6" t="s">
        <v>1428</v>
      </c>
      <c r="P1078" s="6" t="s">
        <v>87</v>
      </c>
      <c r="Q1078" s="6"/>
      <c r="R1078" s="7" t="n">
        <f aca="false">COUNTIF('Label Map'!$D$2:$D$2000,A1078)</f>
        <v>7</v>
      </c>
    </row>
    <row r="1079" customFormat="false" ht="15" hidden="false" customHeight="false" outlineLevel="0" collapsed="false">
      <c r="A1079" s="6" t="s">
        <v>1562</v>
      </c>
      <c r="B1079" s="6" t="s">
        <v>11</v>
      </c>
      <c r="C1079" s="6" t="s">
        <v>3</v>
      </c>
      <c r="D1079" s="6" t="s">
        <v>1312</v>
      </c>
      <c r="E1079" s="6" t="s">
        <v>1419</v>
      </c>
      <c r="F1079" s="6" t="s">
        <v>1559</v>
      </c>
      <c r="G1079" s="6" t="s">
        <v>1560</v>
      </c>
      <c r="H1079" s="6" t="s">
        <v>1562</v>
      </c>
      <c r="I1079" s="6"/>
      <c r="J1079" s="6" t="s">
        <v>1559</v>
      </c>
      <c r="K1079" s="6"/>
      <c r="L1079" s="6"/>
      <c r="M1079" s="6"/>
      <c r="N1079" s="6"/>
      <c r="O1079" s="6"/>
      <c r="P1079" s="6"/>
      <c r="Q1079" s="6" t="s">
        <v>1563</v>
      </c>
      <c r="R1079" s="7" t="n">
        <f aca="false">COUNTIF('Label Map'!$D$2:$D$2000,A1079)</f>
        <v>1</v>
      </c>
    </row>
    <row r="1080" customFormat="false" ht="15" hidden="false" customHeight="false" outlineLevel="0" collapsed="false">
      <c r="A1080" s="6" t="s">
        <v>1564</v>
      </c>
      <c r="B1080" s="6" t="s">
        <v>11</v>
      </c>
      <c r="C1080" s="6" t="s">
        <v>3</v>
      </c>
      <c r="D1080" s="6" t="s">
        <v>1312</v>
      </c>
      <c r="E1080" s="6" t="s">
        <v>1419</v>
      </c>
      <c r="F1080" s="6" t="s">
        <v>1559</v>
      </c>
      <c r="G1080" s="6" t="s">
        <v>1560</v>
      </c>
      <c r="H1080" s="6" t="s">
        <v>1564</v>
      </c>
      <c r="I1080" s="6"/>
      <c r="J1080" s="6" t="s">
        <v>1559</v>
      </c>
      <c r="K1080" s="6"/>
      <c r="L1080" s="6"/>
      <c r="M1080" s="6"/>
      <c r="N1080" s="6"/>
      <c r="O1080" s="6"/>
      <c r="P1080" s="6"/>
      <c r="Q1080" s="6" t="s">
        <v>1563</v>
      </c>
      <c r="R1080" s="7" t="n">
        <f aca="false">COUNTIF('Label Map'!$D$2:$D$2000,A1080)</f>
        <v>1</v>
      </c>
    </row>
    <row r="1081" customFormat="false" ht="15" hidden="false" customHeight="false" outlineLevel="0" collapsed="false">
      <c r="A1081" s="6" t="s">
        <v>1565</v>
      </c>
      <c r="B1081" s="6" t="s">
        <v>11</v>
      </c>
      <c r="C1081" s="6" t="s">
        <v>3</v>
      </c>
      <c r="D1081" s="6" t="s">
        <v>1312</v>
      </c>
      <c r="E1081" s="6" t="s">
        <v>1419</v>
      </c>
      <c r="F1081" s="6" t="s">
        <v>1559</v>
      </c>
      <c r="G1081" s="6" t="s">
        <v>1560</v>
      </c>
      <c r="H1081" s="6" t="s">
        <v>1565</v>
      </c>
      <c r="I1081" s="6"/>
      <c r="J1081" s="6" t="s">
        <v>1559</v>
      </c>
      <c r="K1081" s="6"/>
      <c r="L1081" s="6"/>
      <c r="M1081" s="6"/>
      <c r="N1081" s="6"/>
      <c r="O1081" s="6"/>
      <c r="P1081" s="6"/>
      <c r="Q1081" s="6" t="s">
        <v>1563</v>
      </c>
      <c r="R1081" s="7" t="n">
        <f aca="false">COUNTIF('Label Map'!$D$2:$D$2000,A1081)</f>
        <v>1</v>
      </c>
    </row>
    <row r="1082" customFormat="false" ht="15" hidden="false" customHeight="false" outlineLevel="0" collapsed="false">
      <c r="A1082" s="6" t="s">
        <v>1566</v>
      </c>
      <c r="B1082" s="6" t="s">
        <v>11</v>
      </c>
      <c r="C1082" s="6" t="s">
        <v>3</v>
      </c>
      <c r="D1082" s="6" t="s">
        <v>1312</v>
      </c>
      <c r="E1082" s="6" t="s">
        <v>1419</v>
      </c>
      <c r="F1082" s="6" t="s">
        <v>1559</v>
      </c>
      <c r="G1082" s="6" t="s">
        <v>1560</v>
      </c>
      <c r="H1082" s="6" t="s">
        <v>1566</v>
      </c>
      <c r="I1082" s="6"/>
      <c r="J1082" s="6" t="s">
        <v>1559</v>
      </c>
      <c r="K1082" s="6"/>
      <c r="L1082" s="6"/>
      <c r="M1082" s="6"/>
      <c r="N1082" s="6"/>
      <c r="O1082" s="6"/>
      <c r="P1082" s="6"/>
      <c r="Q1082" s="6" t="s">
        <v>1563</v>
      </c>
      <c r="R1082" s="7" t="n">
        <f aca="false">COUNTIF('Label Map'!$D$2:$D$2000,A1082)</f>
        <v>1</v>
      </c>
    </row>
    <row r="1083" customFormat="false" ht="15" hidden="false" customHeight="false" outlineLevel="0" collapsed="false">
      <c r="A1083" s="6" t="s">
        <v>1567</v>
      </c>
      <c r="B1083" s="6" t="s">
        <v>11</v>
      </c>
      <c r="C1083" s="6" t="s">
        <v>3</v>
      </c>
      <c r="D1083" s="6" t="s">
        <v>1312</v>
      </c>
      <c r="E1083" s="6" t="s">
        <v>1419</v>
      </c>
      <c r="F1083" s="6" t="s">
        <v>1559</v>
      </c>
      <c r="G1083" s="6" t="s">
        <v>1560</v>
      </c>
      <c r="H1083" s="6" t="s">
        <v>1567</v>
      </c>
      <c r="I1083" s="6"/>
      <c r="J1083" s="6" t="s">
        <v>1559</v>
      </c>
      <c r="K1083" s="6"/>
      <c r="L1083" s="6"/>
      <c r="M1083" s="6"/>
      <c r="N1083" s="6"/>
      <c r="O1083" s="6"/>
      <c r="P1083" s="6"/>
      <c r="Q1083" s="6" t="s">
        <v>1563</v>
      </c>
      <c r="R1083" s="7" t="n">
        <f aca="false">COUNTIF('Label Map'!$D$2:$D$2000,A1083)</f>
        <v>1</v>
      </c>
    </row>
    <row r="1084" customFormat="false" ht="15" hidden="false" customHeight="false" outlineLevel="0" collapsed="false">
      <c r="A1084" s="6" t="s">
        <v>1568</v>
      </c>
      <c r="B1084" s="6" t="s">
        <v>11</v>
      </c>
      <c r="C1084" s="6" t="s">
        <v>3</v>
      </c>
      <c r="D1084" s="6" t="s">
        <v>1312</v>
      </c>
      <c r="E1084" s="6" t="s">
        <v>1419</v>
      </c>
      <c r="F1084" s="6" t="s">
        <v>1559</v>
      </c>
      <c r="G1084" s="6" t="s">
        <v>1560</v>
      </c>
      <c r="H1084" s="6" t="s">
        <v>1568</v>
      </c>
      <c r="I1084" s="6"/>
      <c r="J1084" s="6" t="s">
        <v>1559</v>
      </c>
      <c r="K1084" s="6"/>
      <c r="L1084" s="6"/>
      <c r="M1084" s="6"/>
      <c r="N1084" s="6"/>
      <c r="O1084" s="6"/>
      <c r="P1084" s="6"/>
      <c r="Q1084" s="6" t="s">
        <v>1563</v>
      </c>
      <c r="R1084" s="7" t="n">
        <f aca="false">COUNTIF('Label Map'!$D$2:$D$2000,A1084)</f>
        <v>2</v>
      </c>
    </row>
    <row r="1085" customFormat="false" ht="15" hidden="false" customHeight="false" outlineLevel="0" collapsed="false">
      <c r="A1085" s="6" t="s">
        <v>1569</v>
      </c>
      <c r="B1085" s="6" t="s">
        <v>11</v>
      </c>
      <c r="C1085" s="6" t="s">
        <v>3</v>
      </c>
      <c r="D1085" s="6" t="s">
        <v>1312</v>
      </c>
      <c r="E1085" s="6" t="s">
        <v>1419</v>
      </c>
      <c r="F1085" s="6" t="s">
        <v>1559</v>
      </c>
      <c r="G1085" s="6" t="s">
        <v>1560</v>
      </c>
      <c r="H1085" s="6" t="s">
        <v>1569</v>
      </c>
      <c r="I1085" s="6"/>
      <c r="J1085" s="6" t="s">
        <v>1559</v>
      </c>
      <c r="K1085" s="6"/>
      <c r="L1085" s="6"/>
      <c r="M1085" s="6"/>
      <c r="N1085" s="6"/>
      <c r="O1085" s="6"/>
      <c r="P1085" s="6"/>
      <c r="Q1085" s="6" t="s">
        <v>1563</v>
      </c>
      <c r="R1085" s="7" t="n">
        <f aca="false">COUNTIF('Label Map'!$D$2:$D$2000,A1085)</f>
        <v>1</v>
      </c>
    </row>
    <row r="1086" customFormat="false" ht="15" hidden="false" customHeight="false" outlineLevel="0" collapsed="false">
      <c r="A1086" s="6" t="s">
        <v>1570</v>
      </c>
      <c r="B1086" s="6" t="s">
        <v>11</v>
      </c>
      <c r="C1086" s="6" t="s">
        <v>3</v>
      </c>
      <c r="D1086" s="6" t="s">
        <v>1312</v>
      </c>
      <c r="E1086" s="6" t="s">
        <v>1419</v>
      </c>
      <c r="F1086" s="6" t="s">
        <v>1559</v>
      </c>
      <c r="G1086" s="6" t="s">
        <v>1560</v>
      </c>
      <c r="H1086" s="6" t="s">
        <v>1570</v>
      </c>
      <c r="I1086" s="6"/>
      <c r="J1086" s="6" t="s">
        <v>1559</v>
      </c>
      <c r="K1086" s="6"/>
      <c r="L1086" s="6"/>
      <c r="M1086" s="6"/>
      <c r="N1086" s="6"/>
      <c r="O1086" s="6"/>
      <c r="P1086" s="6"/>
      <c r="Q1086" s="6" t="s">
        <v>1563</v>
      </c>
      <c r="R1086" s="7" t="n">
        <f aca="false">COUNTIF('Label Map'!$D$2:$D$2000,A1086)</f>
        <v>1</v>
      </c>
    </row>
    <row r="1087" customFormat="false" ht="15" hidden="false" customHeight="false" outlineLevel="0" collapsed="false">
      <c r="A1087" s="6" t="s">
        <v>1571</v>
      </c>
      <c r="B1087" s="6" t="s">
        <v>11</v>
      </c>
      <c r="C1087" s="6" t="s">
        <v>3</v>
      </c>
      <c r="D1087" s="6" t="s">
        <v>1312</v>
      </c>
      <c r="E1087" s="6" t="s">
        <v>1419</v>
      </c>
      <c r="F1087" s="6" t="s">
        <v>1559</v>
      </c>
      <c r="G1087" s="6" t="s">
        <v>1560</v>
      </c>
      <c r="H1087" s="6" t="s">
        <v>1571</v>
      </c>
      <c r="I1087" s="6"/>
      <c r="J1087" s="6" t="s">
        <v>1559</v>
      </c>
      <c r="K1087" s="6"/>
      <c r="L1087" s="6"/>
      <c r="M1087" s="6"/>
      <c r="N1087" s="6"/>
      <c r="O1087" s="6"/>
      <c r="P1087" s="6"/>
      <c r="Q1087" s="6" t="s">
        <v>1563</v>
      </c>
      <c r="R1087" s="7" t="n">
        <f aca="false">COUNTIF('Label Map'!$D$2:$D$2000,A1087)</f>
        <v>1</v>
      </c>
    </row>
    <row r="1088" customFormat="false" ht="15" hidden="false" customHeight="false" outlineLevel="0" collapsed="false">
      <c r="A1088" s="6" t="s">
        <v>1572</v>
      </c>
      <c r="B1088" s="6" t="s">
        <v>11</v>
      </c>
      <c r="C1088" s="6" t="s">
        <v>3</v>
      </c>
      <c r="D1088" s="6" t="s">
        <v>1312</v>
      </c>
      <c r="E1088" s="6" t="s">
        <v>1419</v>
      </c>
      <c r="F1088" s="6" t="s">
        <v>1559</v>
      </c>
      <c r="G1088" s="6" t="s">
        <v>1560</v>
      </c>
      <c r="H1088" s="6" t="s">
        <v>1572</v>
      </c>
      <c r="I1088" s="6"/>
      <c r="J1088" s="6" t="s">
        <v>1559</v>
      </c>
      <c r="K1088" s="6"/>
      <c r="L1088" s="6"/>
      <c r="M1088" s="6"/>
      <c r="N1088" s="6"/>
      <c r="O1088" s="6"/>
      <c r="P1088" s="6"/>
      <c r="Q1088" s="6" t="s">
        <v>1563</v>
      </c>
      <c r="R1088" s="7" t="n">
        <f aca="false">COUNTIF('Label Map'!$D$2:$D$2000,A1088)</f>
        <v>1</v>
      </c>
    </row>
    <row r="1089" customFormat="false" ht="15" hidden="false" customHeight="false" outlineLevel="0" collapsed="false">
      <c r="A1089" s="6" t="s">
        <v>1573</v>
      </c>
      <c r="B1089" s="6" t="s">
        <v>11</v>
      </c>
      <c r="C1089" s="6" t="s">
        <v>3</v>
      </c>
      <c r="D1089" s="6" t="s">
        <v>1312</v>
      </c>
      <c r="E1089" s="6" t="s">
        <v>1419</v>
      </c>
      <c r="F1089" s="6" t="s">
        <v>1559</v>
      </c>
      <c r="G1089" s="6" t="s">
        <v>1560</v>
      </c>
      <c r="H1089" s="6" t="s">
        <v>1573</v>
      </c>
      <c r="I1089" s="6"/>
      <c r="J1089" s="6" t="s">
        <v>1559</v>
      </c>
      <c r="K1089" s="6"/>
      <c r="L1089" s="6"/>
      <c r="M1089" s="6"/>
      <c r="N1089" s="6"/>
      <c r="O1089" s="6"/>
      <c r="P1089" s="6"/>
      <c r="Q1089" s="6" t="s">
        <v>1563</v>
      </c>
      <c r="R1089" s="7" t="n">
        <f aca="false">COUNTIF('Label Map'!$D$2:$D$2000,A1089)</f>
        <v>1</v>
      </c>
    </row>
    <row r="1090" customFormat="false" ht="15" hidden="false" customHeight="false" outlineLevel="0" collapsed="false">
      <c r="A1090" s="6" t="s">
        <v>1574</v>
      </c>
      <c r="B1090" s="6" t="s">
        <v>11</v>
      </c>
      <c r="C1090" s="6" t="s">
        <v>3</v>
      </c>
      <c r="D1090" s="6" t="s">
        <v>1312</v>
      </c>
      <c r="E1090" s="6" t="s">
        <v>1419</v>
      </c>
      <c r="F1090" s="6" t="s">
        <v>1559</v>
      </c>
      <c r="G1090" s="6" t="s">
        <v>1560</v>
      </c>
      <c r="H1090" s="6" t="s">
        <v>1574</v>
      </c>
      <c r="I1090" s="6"/>
      <c r="J1090" s="6" t="s">
        <v>1559</v>
      </c>
      <c r="K1090" s="6"/>
      <c r="L1090" s="6"/>
      <c r="M1090" s="6"/>
      <c r="N1090" s="6"/>
      <c r="O1090" s="6"/>
      <c r="P1090" s="6"/>
      <c r="Q1090" s="6" t="s">
        <v>1563</v>
      </c>
      <c r="R1090" s="7" t="n">
        <f aca="false">COUNTIF('Label Map'!$D$2:$D$2000,A1090)</f>
        <v>1</v>
      </c>
    </row>
    <row r="1091" customFormat="false" ht="15" hidden="false" customHeight="false" outlineLevel="0" collapsed="false">
      <c r="A1091" s="6" t="s">
        <v>1575</v>
      </c>
      <c r="B1091" s="6" t="s">
        <v>11</v>
      </c>
      <c r="C1091" s="6" t="s">
        <v>3</v>
      </c>
      <c r="D1091" s="6" t="s">
        <v>1312</v>
      </c>
      <c r="E1091" s="6" t="s">
        <v>1419</v>
      </c>
      <c r="F1091" s="6" t="s">
        <v>1559</v>
      </c>
      <c r="G1091" s="6" t="s">
        <v>1560</v>
      </c>
      <c r="H1091" s="6" t="s">
        <v>1575</v>
      </c>
      <c r="I1091" s="6"/>
      <c r="J1091" s="6" t="s">
        <v>1559</v>
      </c>
      <c r="K1091" s="6"/>
      <c r="L1091" s="6"/>
      <c r="M1091" s="6"/>
      <c r="N1091" s="6"/>
      <c r="O1091" s="6"/>
      <c r="P1091" s="6"/>
      <c r="Q1091" s="6" t="s">
        <v>1563</v>
      </c>
      <c r="R1091" s="7" t="n">
        <f aca="false">COUNTIF('Label Map'!$D$2:$D$2000,A1091)</f>
        <v>1</v>
      </c>
    </row>
    <row r="1092" customFormat="false" ht="15" hidden="false" customHeight="false" outlineLevel="0" collapsed="false">
      <c r="A1092" s="6" t="s">
        <v>1576</v>
      </c>
      <c r="B1092" s="6" t="s">
        <v>11</v>
      </c>
      <c r="C1092" s="6" t="s">
        <v>3</v>
      </c>
      <c r="D1092" s="6" t="s">
        <v>1312</v>
      </c>
      <c r="E1092" s="6" t="s">
        <v>1419</v>
      </c>
      <c r="F1092" s="6" t="s">
        <v>1559</v>
      </c>
      <c r="G1092" s="6" t="s">
        <v>1560</v>
      </c>
      <c r="H1092" s="6" t="s">
        <v>1576</v>
      </c>
      <c r="I1092" s="6"/>
      <c r="J1092" s="6" t="s">
        <v>1559</v>
      </c>
      <c r="K1092" s="6"/>
      <c r="L1092" s="6"/>
      <c r="M1092" s="6"/>
      <c r="N1092" s="6"/>
      <c r="O1092" s="6"/>
      <c r="P1092" s="6"/>
      <c r="Q1092" s="6" t="s">
        <v>1563</v>
      </c>
      <c r="R1092" s="7" t="n">
        <f aca="false">COUNTIF('Label Map'!$D$2:$D$2000,A1092)</f>
        <v>1</v>
      </c>
    </row>
    <row r="1093" customFormat="false" ht="15" hidden="false" customHeight="false" outlineLevel="0" collapsed="false">
      <c r="A1093" s="6" t="s">
        <v>1577</v>
      </c>
      <c r="B1093" s="6" t="s">
        <v>11</v>
      </c>
      <c r="C1093" s="6" t="s">
        <v>3</v>
      </c>
      <c r="D1093" s="6" t="s">
        <v>1312</v>
      </c>
      <c r="E1093" s="6" t="s">
        <v>1419</v>
      </c>
      <c r="F1093" s="6" t="s">
        <v>1559</v>
      </c>
      <c r="G1093" s="6" t="s">
        <v>1560</v>
      </c>
      <c r="H1093" s="6" t="s">
        <v>1577</v>
      </c>
      <c r="I1093" s="6"/>
      <c r="J1093" s="6" t="s">
        <v>1559</v>
      </c>
      <c r="K1093" s="6"/>
      <c r="L1093" s="6"/>
      <c r="M1093" s="6"/>
      <c r="N1093" s="6"/>
      <c r="O1093" s="6"/>
      <c r="P1093" s="6"/>
      <c r="Q1093" s="6" t="s">
        <v>1563</v>
      </c>
      <c r="R1093" s="7" t="n">
        <f aca="false">COUNTIF('Label Map'!$D$2:$D$2000,A1093)</f>
        <v>1</v>
      </c>
    </row>
    <row r="1094" customFormat="false" ht="15" hidden="false" customHeight="false" outlineLevel="0" collapsed="false">
      <c r="A1094" s="6" t="s">
        <v>1578</v>
      </c>
      <c r="B1094" s="6" t="s">
        <v>11</v>
      </c>
      <c r="C1094" s="6" t="s">
        <v>3</v>
      </c>
      <c r="D1094" s="6" t="s">
        <v>1312</v>
      </c>
      <c r="E1094" s="6" t="s">
        <v>1419</v>
      </c>
      <c r="F1094" s="6" t="s">
        <v>1559</v>
      </c>
      <c r="G1094" s="6" t="s">
        <v>1560</v>
      </c>
      <c r="H1094" s="6" t="s">
        <v>1578</v>
      </c>
      <c r="I1094" s="6"/>
      <c r="J1094" s="6" t="s">
        <v>1559</v>
      </c>
      <c r="K1094" s="6"/>
      <c r="L1094" s="6"/>
      <c r="M1094" s="6"/>
      <c r="N1094" s="6"/>
      <c r="O1094" s="6"/>
      <c r="P1094" s="6"/>
      <c r="Q1094" s="6" t="s">
        <v>1563</v>
      </c>
      <c r="R1094" s="7" t="n">
        <f aca="false">COUNTIF('Label Map'!$D$2:$D$2000,A1094)</f>
        <v>1</v>
      </c>
    </row>
    <row r="1095" customFormat="false" ht="15" hidden="false" customHeight="false" outlineLevel="0" collapsed="false">
      <c r="A1095" s="6" t="s">
        <v>1579</v>
      </c>
      <c r="B1095" s="6" t="s">
        <v>11</v>
      </c>
      <c r="C1095" s="6" t="s">
        <v>3</v>
      </c>
      <c r="D1095" s="6" t="s">
        <v>1312</v>
      </c>
      <c r="E1095" s="6" t="s">
        <v>1419</v>
      </c>
      <c r="F1095" s="6" t="s">
        <v>1559</v>
      </c>
      <c r="G1095" s="6" t="s">
        <v>1560</v>
      </c>
      <c r="H1095" s="6" t="s">
        <v>1579</v>
      </c>
      <c r="I1095" s="6"/>
      <c r="J1095" s="6" t="s">
        <v>1559</v>
      </c>
      <c r="K1095" s="6"/>
      <c r="L1095" s="6"/>
      <c r="M1095" s="6"/>
      <c r="N1095" s="6"/>
      <c r="O1095" s="6"/>
      <c r="P1095" s="6"/>
      <c r="Q1095" s="6" t="s">
        <v>1563</v>
      </c>
      <c r="R1095" s="7" t="n">
        <f aca="false">COUNTIF('Label Map'!$D$2:$D$2000,A1095)</f>
        <v>1</v>
      </c>
    </row>
    <row r="1096" customFormat="false" ht="15" hidden="false" customHeight="false" outlineLevel="0" collapsed="false">
      <c r="A1096" s="6" t="s">
        <v>1580</v>
      </c>
      <c r="B1096" s="6" t="s">
        <v>63</v>
      </c>
      <c r="C1096" s="6" t="s">
        <v>3</v>
      </c>
      <c r="D1096" s="6" t="s">
        <v>1312</v>
      </c>
      <c r="E1096" s="6" t="s">
        <v>1419</v>
      </c>
      <c r="F1096" s="6" t="s">
        <v>1559</v>
      </c>
      <c r="G1096" s="6" t="s">
        <v>1560</v>
      </c>
      <c r="H1096" s="6"/>
      <c r="I1096" s="6" t="s">
        <v>1580</v>
      </c>
      <c r="J1096" s="6" t="s">
        <v>1559</v>
      </c>
      <c r="K1096" s="6"/>
      <c r="L1096" s="6"/>
      <c r="M1096" s="6"/>
      <c r="N1096" s="6"/>
      <c r="O1096" s="6"/>
      <c r="P1096" s="6"/>
      <c r="Q1096" s="6"/>
      <c r="R1096" s="7" t="n">
        <f aca="false">COUNTIF('Label Map'!$D$2:$D$2000,A1096)</f>
        <v>0</v>
      </c>
    </row>
    <row r="1097" customFormat="false" ht="15" hidden="false" customHeight="false" outlineLevel="0" collapsed="false">
      <c r="A1097" s="6" t="s">
        <v>1581</v>
      </c>
      <c r="B1097" s="6" t="s">
        <v>63</v>
      </c>
      <c r="C1097" s="6" t="s">
        <v>3</v>
      </c>
      <c r="D1097" s="6" t="s">
        <v>1312</v>
      </c>
      <c r="E1097" s="6" t="s">
        <v>1419</v>
      </c>
      <c r="F1097" s="6" t="s">
        <v>1559</v>
      </c>
      <c r="G1097" s="6" t="s">
        <v>1560</v>
      </c>
      <c r="H1097" s="6"/>
      <c r="I1097" s="6" t="s">
        <v>1581</v>
      </c>
      <c r="J1097" s="6" t="s">
        <v>1559</v>
      </c>
      <c r="K1097" s="6"/>
      <c r="L1097" s="6"/>
      <c r="M1097" s="6"/>
      <c r="N1097" s="6"/>
      <c r="O1097" s="6"/>
      <c r="P1097" s="6"/>
      <c r="Q1097" s="6"/>
      <c r="R1097" s="7" t="n">
        <f aca="false">COUNTIF('Label Map'!$D$2:$D$2000,A1097)</f>
        <v>0</v>
      </c>
    </row>
    <row r="1098" customFormat="false" ht="15" hidden="false" customHeight="false" outlineLevel="0" collapsed="false">
      <c r="A1098" s="6" t="s">
        <v>1582</v>
      </c>
      <c r="B1098" s="6" t="s">
        <v>9</v>
      </c>
      <c r="C1098" s="6" t="s">
        <v>3</v>
      </c>
      <c r="D1098" s="6" t="s">
        <v>1312</v>
      </c>
      <c r="E1098" s="6" t="s">
        <v>1419</v>
      </c>
      <c r="F1098" s="6" t="s">
        <v>1582</v>
      </c>
      <c r="G1098" s="6" t="s">
        <v>1583</v>
      </c>
      <c r="H1098" s="6"/>
      <c r="I1098" s="6"/>
      <c r="J1098" s="6" t="s">
        <v>1419</v>
      </c>
      <c r="K1098" s="6" t="s">
        <v>1420</v>
      </c>
      <c r="L1098" s="6" t="s">
        <v>744</v>
      </c>
      <c r="M1098" s="6" t="s">
        <v>1427</v>
      </c>
      <c r="N1098" s="6"/>
      <c r="O1098" s="6" t="s">
        <v>1428</v>
      </c>
      <c r="P1098" s="6" t="s">
        <v>87</v>
      </c>
      <c r="Q1098" s="6"/>
      <c r="R1098" s="7" t="n">
        <f aca="false">COUNTIF('Label Map'!$D$2:$D$2000,A1098)</f>
        <v>5</v>
      </c>
    </row>
    <row r="1099" customFormat="false" ht="15" hidden="false" customHeight="false" outlineLevel="0" collapsed="false">
      <c r="A1099" s="6" t="s">
        <v>1584</v>
      </c>
      <c r="B1099" s="6" t="s">
        <v>63</v>
      </c>
      <c r="C1099" s="6" t="s">
        <v>3</v>
      </c>
      <c r="D1099" s="6" t="s">
        <v>1312</v>
      </c>
      <c r="E1099" s="6" t="s">
        <v>1419</v>
      </c>
      <c r="F1099" s="6" t="s">
        <v>1582</v>
      </c>
      <c r="G1099" s="6" t="s">
        <v>1583</v>
      </c>
      <c r="H1099" s="6"/>
      <c r="I1099" s="6" t="s">
        <v>1584</v>
      </c>
      <c r="J1099" s="6" t="s">
        <v>1582</v>
      </c>
      <c r="K1099" s="6"/>
      <c r="L1099" s="6"/>
      <c r="M1099" s="6"/>
      <c r="N1099" s="6"/>
      <c r="O1099" s="6"/>
      <c r="P1099" s="6"/>
      <c r="Q1099" s="6"/>
      <c r="R1099" s="7" t="n">
        <f aca="false">COUNTIF('Label Map'!$D$2:$D$2000,A1099)</f>
        <v>0</v>
      </c>
    </row>
    <row r="1100" customFormat="false" ht="15" hidden="false" customHeight="false" outlineLevel="0" collapsed="false">
      <c r="A1100" s="6" t="s">
        <v>1585</v>
      </c>
      <c r="B1100" s="6" t="s">
        <v>7</v>
      </c>
      <c r="C1100" s="6" t="s">
        <v>3</v>
      </c>
      <c r="D1100" s="6" t="s">
        <v>1312</v>
      </c>
      <c r="E1100" s="6" t="s">
        <v>1585</v>
      </c>
      <c r="F1100" s="6"/>
      <c r="G1100" s="6"/>
      <c r="H1100" s="6"/>
      <c r="I1100" s="6"/>
      <c r="J1100" s="6" t="s">
        <v>1311</v>
      </c>
      <c r="K1100" s="6"/>
      <c r="L1100" s="6"/>
      <c r="M1100" s="6"/>
      <c r="N1100" s="6"/>
      <c r="O1100" s="6"/>
      <c r="P1100" s="6"/>
      <c r="Q1100" s="6"/>
      <c r="R1100" s="7" t="n">
        <f aca="false">COUNTIF('Label Map'!$D$2:$D$2000,A1100)</f>
        <v>4</v>
      </c>
    </row>
    <row r="1101" customFormat="false" ht="15" hidden="false" customHeight="false" outlineLevel="0" collapsed="false">
      <c r="A1101" s="6" t="s">
        <v>1586</v>
      </c>
      <c r="B1101" s="6" t="s">
        <v>314</v>
      </c>
      <c r="C1101" s="6" t="s">
        <v>3</v>
      </c>
      <c r="D1101" s="6" t="s">
        <v>1312</v>
      </c>
      <c r="E1101" s="6" t="s">
        <v>1585</v>
      </c>
      <c r="F1101" s="6"/>
      <c r="G1101" s="6"/>
      <c r="H1101" s="6"/>
      <c r="I1101" s="6"/>
      <c r="J1101" s="6" t="s">
        <v>1585</v>
      </c>
      <c r="K1101" s="6"/>
      <c r="L1101" s="6"/>
      <c r="M1101" s="6"/>
      <c r="N1101" s="6"/>
      <c r="O1101" s="6"/>
      <c r="P1101" s="6"/>
      <c r="Q1101" s="6" t="s">
        <v>1587</v>
      </c>
      <c r="R1101" s="7" t="n">
        <f aca="false">COUNTIF('Label Map'!$D$2:$D$2000,A1101)</f>
        <v>2</v>
      </c>
    </row>
    <row r="1102" customFormat="false" ht="15" hidden="false" customHeight="false" outlineLevel="0" collapsed="false">
      <c r="A1102" s="6" t="s">
        <v>1588</v>
      </c>
      <c r="B1102" s="6" t="s">
        <v>9</v>
      </c>
      <c r="C1102" s="6" t="s">
        <v>3</v>
      </c>
      <c r="D1102" s="6" t="s">
        <v>1312</v>
      </c>
      <c r="E1102" s="6" t="s">
        <v>1585</v>
      </c>
      <c r="F1102" s="6" t="s">
        <v>1588</v>
      </c>
      <c r="G1102" s="6" t="s">
        <v>1589</v>
      </c>
      <c r="H1102" s="6"/>
      <c r="I1102" s="6"/>
      <c r="J1102" s="6" t="s">
        <v>1585</v>
      </c>
      <c r="K1102" s="6" t="s">
        <v>1067</v>
      </c>
      <c r="L1102" s="6" t="s">
        <v>744</v>
      </c>
      <c r="M1102" s="6" t="s">
        <v>1590</v>
      </c>
      <c r="N1102" s="6"/>
      <c r="O1102" s="6" t="s">
        <v>1428</v>
      </c>
      <c r="P1102" s="6" t="s">
        <v>337</v>
      </c>
      <c r="Q1102" s="6"/>
      <c r="R1102" s="7" t="n">
        <f aca="false">COUNTIF('Label Map'!$D$2:$D$2000,A1102)</f>
        <v>2</v>
      </c>
    </row>
    <row r="1103" customFormat="false" ht="15" hidden="false" customHeight="false" outlineLevel="0" collapsed="false">
      <c r="A1103" s="6" t="s">
        <v>1591</v>
      </c>
      <c r="B1103" s="6" t="s">
        <v>11</v>
      </c>
      <c r="C1103" s="6" t="s">
        <v>3</v>
      </c>
      <c r="D1103" s="6" t="s">
        <v>1312</v>
      </c>
      <c r="E1103" s="6" t="s">
        <v>1585</v>
      </c>
      <c r="F1103" s="6" t="s">
        <v>1588</v>
      </c>
      <c r="G1103" s="6" t="s">
        <v>1589</v>
      </c>
      <c r="H1103" s="6" t="s">
        <v>1591</v>
      </c>
      <c r="I1103" s="6"/>
      <c r="J1103" s="6" t="s">
        <v>1588</v>
      </c>
      <c r="K1103" s="6"/>
      <c r="L1103" s="6"/>
      <c r="M1103" s="6"/>
      <c r="N1103" s="6"/>
      <c r="O1103" s="6"/>
      <c r="P1103" s="6"/>
      <c r="Q1103" s="6" t="s">
        <v>280</v>
      </c>
      <c r="R1103" s="7" t="n">
        <f aca="false">COUNTIF('Label Map'!$D$2:$D$2000,A1103)</f>
        <v>1</v>
      </c>
    </row>
    <row r="1104" customFormat="false" ht="15" hidden="false" customHeight="false" outlineLevel="0" collapsed="false">
      <c r="A1104" s="6" t="s">
        <v>1592</v>
      </c>
      <c r="B1104" s="6" t="s">
        <v>11</v>
      </c>
      <c r="C1104" s="6" t="s">
        <v>3</v>
      </c>
      <c r="D1104" s="6" t="s">
        <v>1312</v>
      </c>
      <c r="E1104" s="6" t="s">
        <v>1585</v>
      </c>
      <c r="F1104" s="6" t="s">
        <v>1588</v>
      </c>
      <c r="G1104" s="6" t="s">
        <v>1589</v>
      </c>
      <c r="H1104" s="6" t="s">
        <v>1592</v>
      </c>
      <c r="I1104" s="6"/>
      <c r="J1104" s="6" t="s">
        <v>1588</v>
      </c>
      <c r="K1104" s="6"/>
      <c r="L1104" s="6"/>
      <c r="M1104" s="6"/>
      <c r="N1104" s="6"/>
      <c r="O1104" s="6"/>
      <c r="P1104" s="6"/>
      <c r="Q1104" s="6" t="s">
        <v>280</v>
      </c>
      <c r="R1104" s="7" t="n">
        <f aca="false">COUNTIF('Label Map'!$D$2:$D$2000,A1104)</f>
        <v>1</v>
      </c>
    </row>
    <row r="1105" customFormat="false" ht="15" hidden="false" customHeight="false" outlineLevel="0" collapsed="false">
      <c r="A1105" s="6" t="s">
        <v>1593</v>
      </c>
      <c r="B1105" s="6" t="s">
        <v>11</v>
      </c>
      <c r="C1105" s="6" t="s">
        <v>3</v>
      </c>
      <c r="D1105" s="6" t="s">
        <v>1312</v>
      </c>
      <c r="E1105" s="6" t="s">
        <v>1585</v>
      </c>
      <c r="F1105" s="6" t="s">
        <v>1588</v>
      </c>
      <c r="G1105" s="6" t="s">
        <v>1589</v>
      </c>
      <c r="H1105" s="6" t="s">
        <v>1593</v>
      </c>
      <c r="I1105" s="6"/>
      <c r="J1105" s="6" t="s">
        <v>1588</v>
      </c>
      <c r="K1105" s="6"/>
      <c r="L1105" s="6"/>
      <c r="M1105" s="6"/>
      <c r="N1105" s="6"/>
      <c r="O1105" s="6"/>
      <c r="P1105" s="6"/>
      <c r="Q1105" s="6" t="s">
        <v>280</v>
      </c>
      <c r="R1105" s="7" t="n">
        <f aca="false">COUNTIF('Label Map'!$D$2:$D$2000,A1105)</f>
        <v>1</v>
      </c>
    </row>
    <row r="1106" customFormat="false" ht="15" hidden="false" customHeight="false" outlineLevel="0" collapsed="false">
      <c r="A1106" s="6" t="s">
        <v>1594</v>
      </c>
      <c r="B1106" s="6" t="s">
        <v>11</v>
      </c>
      <c r="C1106" s="6" t="s">
        <v>3</v>
      </c>
      <c r="D1106" s="6" t="s">
        <v>1312</v>
      </c>
      <c r="E1106" s="6" t="s">
        <v>1585</v>
      </c>
      <c r="F1106" s="6" t="s">
        <v>1588</v>
      </c>
      <c r="G1106" s="6" t="s">
        <v>1589</v>
      </c>
      <c r="H1106" s="6" t="s">
        <v>1594</v>
      </c>
      <c r="I1106" s="6"/>
      <c r="J1106" s="6" t="s">
        <v>1588</v>
      </c>
      <c r="K1106" s="6"/>
      <c r="L1106" s="6"/>
      <c r="M1106" s="6"/>
      <c r="N1106" s="6"/>
      <c r="O1106" s="6"/>
      <c r="P1106" s="6"/>
      <c r="Q1106" s="6" t="s">
        <v>280</v>
      </c>
      <c r="R1106" s="7" t="n">
        <f aca="false">COUNTIF('Label Map'!$D$2:$D$2000,A1106)</f>
        <v>1</v>
      </c>
    </row>
    <row r="1107" customFormat="false" ht="15" hidden="false" customHeight="false" outlineLevel="0" collapsed="false">
      <c r="A1107" s="6" t="s">
        <v>1595</v>
      </c>
      <c r="B1107" s="6" t="s">
        <v>11</v>
      </c>
      <c r="C1107" s="6" t="s">
        <v>3</v>
      </c>
      <c r="D1107" s="6" t="s">
        <v>1312</v>
      </c>
      <c r="E1107" s="6" t="s">
        <v>1585</v>
      </c>
      <c r="F1107" s="6" t="s">
        <v>1588</v>
      </c>
      <c r="G1107" s="6" t="s">
        <v>1589</v>
      </c>
      <c r="H1107" s="6" t="s">
        <v>1595</v>
      </c>
      <c r="I1107" s="6"/>
      <c r="J1107" s="6" t="s">
        <v>1588</v>
      </c>
      <c r="K1107" s="6"/>
      <c r="L1107" s="6"/>
      <c r="M1107" s="6"/>
      <c r="N1107" s="6"/>
      <c r="O1107" s="6"/>
      <c r="P1107" s="6"/>
      <c r="Q1107" s="6" t="s">
        <v>280</v>
      </c>
      <c r="R1107" s="7" t="n">
        <f aca="false">COUNTIF('Label Map'!$D$2:$D$2000,A1107)</f>
        <v>1</v>
      </c>
    </row>
    <row r="1108" customFormat="false" ht="15" hidden="false" customHeight="false" outlineLevel="0" collapsed="false">
      <c r="A1108" s="6" t="s">
        <v>1596</v>
      </c>
      <c r="B1108" s="6" t="s">
        <v>11</v>
      </c>
      <c r="C1108" s="6" t="s">
        <v>3</v>
      </c>
      <c r="D1108" s="6" t="s">
        <v>1312</v>
      </c>
      <c r="E1108" s="6" t="s">
        <v>1585</v>
      </c>
      <c r="F1108" s="6" t="s">
        <v>1588</v>
      </c>
      <c r="G1108" s="6" t="s">
        <v>1589</v>
      </c>
      <c r="H1108" s="6" t="s">
        <v>1596</v>
      </c>
      <c r="I1108" s="6"/>
      <c r="J1108" s="6" t="s">
        <v>1588</v>
      </c>
      <c r="K1108" s="6"/>
      <c r="L1108" s="6"/>
      <c r="M1108" s="6"/>
      <c r="N1108" s="6"/>
      <c r="O1108" s="6"/>
      <c r="P1108" s="6"/>
      <c r="Q1108" s="6" t="s">
        <v>280</v>
      </c>
      <c r="R1108" s="7" t="n">
        <f aca="false">COUNTIF('Label Map'!$D$2:$D$2000,A1108)</f>
        <v>1</v>
      </c>
    </row>
    <row r="1109" customFormat="false" ht="15" hidden="false" customHeight="false" outlineLevel="0" collapsed="false">
      <c r="A1109" s="6" t="s">
        <v>1597</v>
      </c>
      <c r="B1109" s="6" t="s">
        <v>11</v>
      </c>
      <c r="C1109" s="6" t="s">
        <v>3</v>
      </c>
      <c r="D1109" s="6" t="s">
        <v>1312</v>
      </c>
      <c r="E1109" s="6" t="s">
        <v>1585</v>
      </c>
      <c r="F1109" s="6" t="s">
        <v>1588</v>
      </c>
      <c r="G1109" s="6" t="s">
        <v>1589</v>
      </c>
      <c r="H1109" s="6" t="s">
        <v>1597</v>
      </c>
      <c r="I1109" s="6"/>
      <c r="J1109" s="6" t="s">
        <v>1588</v>
      </c>
      <c r="K1109" s="6"/>
      <c r="L1109" s="6"/>
      <c r="M1109" s="6"/>
      <c r="N1109" s="6"/>
      <c r="O1109" s="6"/>
      <c r="P1109" s="6"/>
      <c r="Q1109" s="6" t="s">
        <v>280</v>
      </c>
      <c r="R1109" s="7" t="n">
        <f aca="false">COUNTIF('Label Map'!$D$2:$D$2000,A1109)</f>
        <v>1</v>
      </c>
    </row>
    <row r="1110" customFormat="false" ht="15" hidden="false" customHeight="false" outlineLevel="0" collapsed="false">
      <c r="A1110" s="6" t="s">
        <v>1598</v>
      </c>
      <c r="B1110" s="6" t="s">
        <v>11</v>
      </c>
      <c r="C1110" s="6" t="s">
        <v>3</v>
      </c>
      <c r="D1110" s="6" t="s">
        <v>1312</v>
      </c>
      <c r="E1110" s="6" t="s">
        <v>1585</v>
      </c>
      <c r="F1110" s="6" t="s">
        <v>1588</v>
      </c>
      <c r="G1110" s="6" t="s">
        <v>1589</v>
      </c>
      <c r="H1110" s="6" t="s">
        <v>1598</v>
      </c>
      <c r="I1110" s="6"/>
      <c r="J1110" s="6" t="s">
        <v>1588</v>
      </c>
      <c r="K1110" s="6"/>
      <c r="L1110" s="6"/>
      <c r="M1110" s="6"/>
      <c r="N1110" s="6"/>
      <c r="O1110" s="6"/>
      <c r="P1110" s="6"/>
      <c r="Q1110" s="6" t="s">
        <v>280</v>
      </c>
      <c r="R1110" s="7" t="n">
        <f aca="false">COUNTIF('Label Map'!$D$2:$D$2000,A1110)</f>
        <v>1</v>
      </c>
    </row>
    <row r="1111" customFormat="false" ht="15" hidden="false" customHeight="false" outlineLevel="0" collapsed="false">
      <c r="A1111" s="6" t="s">
        <v>1599</v>
      </c>
      <c r="B1111" s="6" t="s">
        <v>11</v>
      </c>
      <c r="C1111" s="6" t="s">
        <v>3</v>
      </c>
      <c r="D1111" s="6" t="s">
        <v>1312</v>
      </c>
      <c r="E1111" s="6" t="s">
        <v>1585</v>
      </c>
      <c r="F1111" s="6" t="s">
        <v>1588</v>
      </c>
      <c r="G1111" s="6" t="s">
        <v>1589</v>
      </c>
      <c r="H1111" s="6" t="s">
        <v>1599</v>
      </c>
      <c r="I1111" s="6"/>
      <c r="J1111" s="6" t="s">
        <v>1588</v>
      </c>
      <c r="K1111" s="6"/>
      <c r="L1111" s="6"/>
      <c r="M1111" s="6"/>
      <c r="N1111" s="6"/>
      <c r="O1111" s="6"/>
      <c r="P1111" s="6"/>
      <c r="Q1111" s="6" t="s">
        <v>280</v>
      </c>
      <c r="R1111" s="7" t="n">
        <f aca="false">COUNTIF('Label Map'!$D$2:$D$2000,A1111)</f>
        <v>1</v>
      </c>
    </row>
    <row r="1112" customFormat="false" ht="15" hidden="false" customHeight="false" outlineLevel="0" collapsed="false">
      <c r="A1112" s="6" t="s">
        <v>1600</v>
      </c>
      <c r="B1112" s="6" t="s">
        <v>11</v>
      </c>
      <c r="C1112" s="6" t="s">
        <v>3</v>
      </c>
      <c r="D1112" s="6" t="s">
        <v>1312</v>
      </c>
      <c r="E1112" s="6" t="s">
        <v>1585</v>
      </c>
      <c r="F1112" s="6" t="s">
        <v>1588</v>
      </c>
      <c r="G1112" s="6" t="s">
        <v>1589</v>
      </c>
      <c r="H1112" s="6" t="s">
        <v>1600</v>
      </c>
      <c r="I1112" s="6"/>
      <c r="J1112" s="6" t="s">
        <v>1588</v>
      </c>
      <c r="K1112" s="6"/>
      <c r="L1112" s="6"/>
      <c r="M1112" s="6"/>
      <c r="N1112" s="6"/>
      <c r="O1112" s="6"/>
      <c r="P1112" s="6"/>
      <c r="Q1112" s="6" t="s">
        <v>280</v>
      </c>
      <c r="R1112" s="7" t="n">
        <f aca="false">COUNTIF('Label Map'!$D$2:$D$2000,A1112)</f>
        <v>1</v>
      </c>
    </row>
    <row r="1113" customFormat="false" ht="15" hidden="false" customHeight="false" outlineLevel="0" collapsed="false">
      <c r="A1113" s="6" t="s">
        <v>1601</v>
      </c>
      <c r="B1113" s="6" t="s">
        <v>63</v>
      </c>
      <c r="C1113" s="6" t="s">
        <v>3</v>
      </c>
      <c r="D1113" s="6" t="s">
        <v>1312</v>
      </c>
      <c r="E1113" s="6" t="s">
        <v>1585</v>
      </c>
      <c r="F1113" s="6" t="s">
        <v>1588</v>
      </c>
      <c r="G1113" s="6" t="s">
        <v>1589</v>
      </c>
      <c r="H1113" s="6" t="s">
        <v>1600</v>
      </c>
      <c r="I1113" s="6" t="s">
        <v>1601</v>
      </c>
      <c r="J1113" s="6" t="s">
        <v>1600</v>
      </c>
      <c r="K1113" s="6"/>
      <c r="L1113" s="6"/>
      <c r="M1113" s="6"/>
      <c r="N1113" s="6"/>
      <c r="O1113" s="6"/>
      <c r="P1113" s="6"/>
      <c r="Q1113" s="6"/>
      <c r="R1113" s="7" t="n">
        <f aca="false">COUNTIF('Label Map'!$D$2:$D$2000,A1113)</f>
        <v>0</v>
      </c>
    </row>
    <row r="1114" customFormat="false" ht="15" hidden="false" customHeight="false" outlineLevel="0" collapsed="false">
      <c r="A1114" s="6" t="s">
        <v>1602</v>
      </c>
      <c r="B1114" s="6" t="s">
        <v>11</v>
      </c>
      <c r="C1114" s="6" t="s">
        <v>3</v>
      </c>
      <c r="D1114" s="6" t="s">
        <v>1312</v>
      </c>
      <c r="E1114" s="6" t="s">
        <v>1585</v>
      </c>
      <c r="F1114" s="6" t="s">
        <v>1588</v>
      </c>
      <c r="G1114" s="6" t="s">
        <v>1589</v>
      </c>
      <c r="H1114" s="6" t="s">
        <v>1602</v>
      </c>
      <c r="I1114" s="6"/>
      <c r="J1114" s="6" t="s">
        <v>1588</v>
      </c>
      <c r="K1114" s="6"/>
      <c r="L1114" s="6"/>
      <c r="M1114" s="6"/>
      <c r="N1114" s="6"/>
      <c r="O1114" s="6"/>
      <c r="P1114" s="6"/>
      <c r="Q1114" s="6" t="s">
        <v>280</v>
      </c>
      <c r="R1114" s="7" t="n">
        <f aca="false">COUNTIF('Label Map'!$D$2:$D$2000,A1114)</f>
        <v>1</v>
      </c>
    </row>
    <row r="1115" customFormat="false" ht="15" hidden="false" customHeight="false" outlineLevel="0" collapsed="false">
      <c r="A1115" s="6" t="s">
        <v>1603</v>
      </c>
      <c r="B1115" s="6" t="s">
        <v>11</v>
      </c>
      <c r="C1115" s="6" t="s">
        <v>3</v>
      </c>
      <c r="D1115" s="6" t="s">
        <v>1312</v>
      </c>
      <c r="E1115" s="6" t="s">
        <v>1585</v>
      </c>
      <c r="F1115" s="6" t="s">
        <v>1588</v>
      </c>
      <c r="G1115" s="6" t="s">
        <v>1589</v>
      </c>
      <c r="H1115" s="6" t="s">
        <v>1603</v>
      </c>
      <c r="I1115" s="6"/>
      <c r="J1115" s="6" t="s">
        <v>1588</v>
      </c>
      <c r="K1115" s="6"/>
      <c r="L1115" s="6"/>
      <c r="M1115" s="6"/>
      <c r="N1115" s="6"/>
      <c r="O1115" s="6"/>
      <c r="P1115" s="6"/>
      <c r="Q1115" s="6" t="s">
        <v>280</v>
      </c>
      <c r="R1115" s="7" t="n">
        <f aca="false">COUNTIF('Label Map'!$D$2:$D$2000,A1115)</f>
        <v>1</v>
      </c>
    </row>
    <row r="1116" customFormat="false" ht="15" hidden="false" customHeight="false" outlineLevel="0" collapsed="false">
      <c r="A1116" s="6" t="s">
        <v>1604</v>
      </c>
      <c r="B1116" s="6" t="s">
        <v>11</v>
      </c>
      <c r="C1116" s="6" t="s">
        <v>3</v>
      </c>
      <c r="D1116" s="6" t="s">
        <v>1312</v>
      </c>
      <c r="E1116" s="6" t="s">
        <v>1585</v>
      </c>
      <c r="F1116" s="6" t="s">
        <v>1588</v>
      </c>
      <c r="G1116" s="6" t="s">
        <v>1589</v>
      </c>
      <c r="H1116" s="6" t="s">
        <v>1604</v>
      </c>
      <c r="I1116" s="6"/>
      <c r="J1116" s="6" t="s">
        <v>1588</v>
      </c>
      <c r="K1116" s="6"/>
      <c r="L1116" s="6"/>
      <c r="M1116" s="6"/>
      <c r="N1116" s="6"/>
      <c r="O1116" s="6"/>
      <c r="P1116" s="6"/>
      <c r="Q1116" s="6" t="s">
        <v>280</v>
      </c>
      <c r="R1116" s="7" t="n">
        <f aca="false">COUNTIF('Label Map'!$D$2:$D$2000,A1116)</f>
        <v>1</v>
      </c>
    </row>
    <row r="1117" customFormat="false" ht="15" hidden="false" customHeight="false" outlineLevel="0" collapsed="false">
      <c r="A1117" s="6" t="s">
        <v>1605</v>
      </c>
      <c r="B1117" s="6" t="s">
        <v>11</v>
      </c>
      <c r="C1117" s="6" t="s">
        <v>3</v>
      </c>
      <c r="D1117" s="6" t="s">
        <v>1312</v>
      </c>
      <c r="E1117" s="6" t="s">
        <v>1585</v>
      </c>
      <c r="F1117" s="6" t="s">
        <v>1588</v>
      </c>
      <c r="G1117" s="6" t="s">
        <v>1589</v>
      </c>
      <c r="H1117" s="6" t="s">
        <v>1605</v>
      </c>
      <c r="I1117" s="6"/>
      <c r="J1117" s="6" t="s">
        <v>1588</v>
      </c>
      <c r="K1117" s="6"/>
      <c r="L1117" s="6"/>
      <c r="M1117" s="6"/>
      <c r="N1117" s="6"/>
      <c r="O1117" s="6"/>
      <c r="P1117" s="6"/>
      <c r="Q1117" s="6" t="s">
        <v>280</v>
      </c>
      <c r="R1117" s="7" t="n">
        <f aca="false">COUNTIF('Label Map'!$D$2:$D$2000,A1117)</f>
        <v>1</v>
      </c>
    </row>
    <row r="1118" customFormat="false" ht="15" hidden="false" customHeight="false" outlineLevel="0" collapsed="false">
      <c r="A1118" s="6" t="s">
        <v>1606</v>
      </c>
      <c r="B1118" s="6" t="s">
        <v>11</v>
      </c>
      <c r="C1118" s="6" t="s">
        <v>3</v>
      </c>
      <c r="D1118" s="6" t="s">
        <v>1312</v>
      </c>
      <c r="E1118" s="6" t="s">
        <v>1585</v>
      </c>
      <c r="F1118" s="6" t="s">
        <v>1588</v>
      </c>
      <c r="G1118" s="6" t="s">
        <v>1589</v>
      </c>
      <c r="H1118" s="6" t="s">
        <v>1606</v>
      </c>
      <c r="I1118" s="6"/>
      <c r="J1118" s="6" t="s">
        <v>1588</v>
      </c>
      <c r="K1118" s="6"/>
      <c r="L1118" s="6"/>
      <c r="M1118" s="6"/>
      <c r="N1118" s="6"/>
      <c r="O1118" s="6"/>
      <c r="P1118" s="6"/>
      <c r="Q1118" s="6" t="s">
        <v>280</v>
      </c>
      <c r="R1118" s="7" t="n">
        <f aca="false">COUNTIF('Label Map'!$D$2:$D$2000,A1118)</f>
        <v>2</v>
      </c>
    </row>
    <row r="1119" customFormat="false" ht="15" hidden="false" customHeight="false" outlineLevel="0" collapsed="false">
      <c r="A1119" s="6" t="s">
        <v>1607</v>
      </c>
      <c r="B1119" s="6" t="s">
        <v>11</v>
      </c>
      <c r="C1119" s="6" t="s">
        <v>3</v>
      </c>
      <c r="D1119" s="6" t="s">
        <v>1312</v>
      </c>
      <c r="E1119" s="6" t="s">
        <v>1585</v>
      </c>
      <c r="F1119" s="6" t="s">
        <v>1588</v>
      </c>
      <c r="G1119" s="6" t="s">
        <v>1589</v>
      </c>
      <c r="H1119" s="6" t="s">
        <v>1607</v>
      </c>
      <c r="I1119" s="6"/>
      <c r="J1119" s="6" t="s">
        <v>1588</v>
      </c>
      <c r="K1119" s="6"/>
      <c r="L1119" s="6"/>
      <c r="M1119" s="6"/>
      <c r="N1119" s="6"/>
      <c r="O1119" s="6"/>
      <c r="P1119" s="6"/>
      <c r="Q1119" s="6" t="s">
        <v>280</v>
      </c>
      <c r="R1119" s="7" t="n">
        <f aca="false">COUNTIF('Label Map'!$D$2:$D$2000,A1119)</f>
        <v>1</v>
      </c>
    </row>
    <row r="1120" customFormat="false" ht="15" hidden="false" customHeight="false" outlineLevel="0" collapsed="false">
      <c r="A1120" s="6" t="s">
        <v>1608</v>
      </c>
      <c r="B1120" s="6" t="s">
        <v>11</v>
      </c>
      <c r="C1120" s="6" t="s">
        <v>3</v>
      </c>
      <c r="D1120" s="6" t="s">
        <v>1312</v>
      </c>
      <c r="E1120" s="6" t="s">
        <v>1585</v>
      </c>
      <c r="F1120" s="6" t="s">
        <v>1588</v>
      </c>
      <c r="G1120" s="6" t="s">
        <v>1589</v>
      </c>
      <c r="H1120" s="6" t="s">
        <v>1608</v>
      </c>
      <c r="I1120" s="6"/>
      <c r="J1120" s="6" t="s">
        <v>1588</v>
      </c>
      <c r="K1120" s="6"/>
      <c r="L1120" s="6"/>
      <c r="M1120" s="6"/>
      <c r="N1120" s="6"/>
      <c r="O1120" s="6"/>
      <c r="P1120" s="6"/>
      <c r="Q1120" s="6" t="s">
        <v>280</v>
      </c>
      <c r="R1120" s="7" t="n">
        <f aca="false">COUNTIF('Label Map'!$D$2:$D$2000,A1120)</f>
        <v>1</v>
      </c>
    </row>
    <row r="1121" customFormat="false" ht="15" hidden="false" customHeight="false" outlineLevel="0" collapsed="false">
      <c r="A1121" s="6" t="s">
        <v>1609</v>
      </c>
      <c r="B1121" s="6" t="s">
        <v>11</v>
      </c>
      <c r="C1121" s="6" t="s">
        <v>3</v>
      </c>
      <c r="D1121" s="6" t="s">
        <v>1312</v>
      </c>
      <c r="E1121" s="6" t="s">
        <v>1585</v>
      </c>
      <c r="F1121" s="6" t="s">
        <v>1588</v>
      </c>
      <c r="G1121" s="6" t="s">
        <v>1589</v>
      </c>
      <c r="H1121" s="6" t="s">
        <v>1609</v>
      </c>
      <c r="I1121" s="6"/>
      <c r="J1121" s="6" t="s">
        <v>1588</v>
      </c>
      <c r="K1121" s="6"/>
      <c r="L1121" s="6"/>
      <c r="M1121" s="6"/>
      <c r="N1121" s="6"/>
      <c r="O1121" s="6"/>
      <c r="P1121" s="6"/>
      <c r="Q1121" s="6" t="s">
        <v>280</v>
      </c>
      <c r="R1121" s="7" t="n">
        <f aca="false">COUNTIF('Label Map'!$D$2:$D$2000,A1121)</f>
        <v>1</v>
      </c>
    </row>
    <row r="1122" customFormat="false" ht="15" hidden="false" customHeight="false" outlineLevel="0" collapsed="false">
      <c r="A1122" s="6" t="s">
        <v>1610</v>
      </c>
      <c r="B1122" s="6" t="s">
        <v>11</v>
      </c>
      <c r="C1122" s="6" t="s">
        <v>3</v>
      </c>
      <c r="D1122" s="6" t="s">
        <v>1312</v>
      </c>
      <c r="E1122" s="6" t="s">
        <v>1585</v>
      </c>
      <c r="F1122" s="6" t="s">
        <v>1588</v>
      </c>
      <c r="G1122" s="6" t="s">
        <v>1589</v>
      </c>
      <c r="H1122" s="6" t="s">
        <v>1610</v>
      </c>
      <c r="I1122" s="6"/>
      <c r="J1122" s="6" t="s">
        <v>1588</v>
      </c>
      <c r="K1122" s="6"/>
      <c r="L1122" s="6"/>
      <c r="M1122" s="6"/>
      <c r="N1122" s="6"/>
      <c r="O1122" s="6"/>
      <c r="P1122" s="6"/>
      <c r="Q1122" s="6" t="s">
        <v>280</v>
      </c>
      <c r="R1122" s="7" t="n">
        <f aca="false">COUNTIF('Label Map'!$D$2:$D$2000,A1122)</f>
        <v>1</v>
      </c>
    </row>
    <row r="1123" customFormat="false" ht="15" hidden="false" customHeight="false" outlineLevel="0" collapsed="false">
      <c r="A1123" s="6" t="s">
        <v>1611</v>
      </c>
      <c r="B1123" s="6" t="s">
        <v>11</v>
      </c>
      <c r="C1123" s="6" t="s">
        <v>3</v>
      </c>
      <c r="D1123" s="6" t="s">
        <v>1312</v>
      </c>
      <c r="E1123" s="6" t="s">
        <v>1585</v>
      </c>
      <c r="F1123" s="6" t="s">
        <v>1588</v>
      </c>
      <c r="G1123" s="6" t="s">
        <v>1589</v>
      </c>
      <c r="H1123" s="6" t="s">
        <v>1611</v>
      </c>
      <c r="I1123" s="6"/>
      <c r="J1123" s="6" t="s">
        <v>1588</v>
      </c>
      <c r="K1123" s="6"/>
      <c r="L1123" s="6"/>
      <c r="M1123" s="6"/>
      <c r="N1123" s="6"/>
      <c r="O1123" s="6"/>
      <c r="P1123" s="6"/>
      <c r="Q1123" s="6" t="s">
        <v>280</v>
      </c>
      <c r="R1123" s="7" t="n">
        <f aca="false">COUNTIF('Label Map'!$D$2:$D$2000,A1123)</f>
        <v>1</v>
      </c>
    </row>
    <row r="1124" customFormat="false" ht="15" hidden="false" customHeight="false" outlineLevel="0" collapsed="false">
      <c r="A1124" s="6" t="s">
        <v>1612</v>
      </c>
      <c r="B1124" s="6" t="s">
        <v>11</v>
      </c>
      <c r="C1124" s="6" t="s">
        <v>3</v>
      </c>
      <c r="D1124" s="6" t="s">
        <v>1312</v>
      </c>
      <c r="E1124" s="6" t="s">
        <v>1585</v>
      </c>
      <c r="F1124" s="6" t="s">
        <v>1588</v>
      </c>
      <c r="G1124" s="6" t="s">
        <v>1589</v>
      </c>
      <c r="H1124" s="6" t="s">
        <v>1612</v>
      </c>
      <c r="I1124" s="6"/>
      <c r="J1124" s="6" t="s">
        <v>1588</v>
      </c>
      <c r="K1124" s="6"/>
      <c r="L1124" s="6"/>
      <c r="M1124" s="6"/>
      <c r="N1124" s="6"/>
      <c r="O1124" s="6"/>
      <c r="P1124" s="6"/>
      <c r="Q1124" s="6" t="s">
        <v>280</v>
      </c>
      <c r="R1124" s="7" t="n">
        <f aca="false">COUNTIF('Label Map'!$D$2:$D$2000,A1124)</f>
        <v>1</v>
      </c>
    </row>
    <row r="1125" customFormat="false" ht="15" hidden="false" customHeight="false" outlineLevel="0" collapsed="false">
      <c r="A1125" s="6" t="s">
        <v>1613</v>
      </c>
      <c r="B1125" s="6" t="s">
        <v>11</v>
      </c>
      <c r="C1125" s="6" t="s">
        <v>3</v>
      </c>
      <c r="D1125" s="6" t="s">
        <v>1312</v>
      </c>
      <c r="E1125" s="6" t="s">
        <v>1585</v>
      </c>
      <c r="F1125" s="6" t="s">
        <v>1588</v>
      </c>
      <c r="G1125" s="6" t="s">
        <v>1589</v>
      </c>
      <c r="H1125" s="6" t="s">
        <v>1613</v>
      </c>
      <c r="I1125" s="6"/>
      <c r="J1125" s="6" t="s">
        <v>1588</v>
      </c>
      <c r="K1125" s="6"/>
      <c r="L1125" s="6"/>
      <c r="M1125" s="6"/>
      <c r="N1125" s="6"/>
      <c r="O1125" s="6"/>
      <c r="P1125" s="6"/>
      <c r="Q1125" s="6" t="s">
        <v>280</v>
      </c>
      <c r="R1125" s="7" t="n">
        <f aca="false">COUNTIF('Label Map'!$D$2:$D$2000,A1125)</f>
        <v>1</v>
      </c>
    </row>
    <row r="1126" customFormat="false" ht="15" hidden="false" customHeight="false" outlineLevel="0" collapsed="false">
      <c r="A1126" s="6" t="s">
        <v>1614</v>
      </c>
      <c r="B1126" s="6" t="s">
        <v>11</v>
      </c>
      <c r="C1126" s="6" t="s">
        <v>3</v>
      </c>
      <c r="D1126" s="6" t="s">
        <v>1312</v>
      </c>
      <c r="E1126" s="6" t="s">
        <v>1585</v>
      </c>
      <c r="F1126" s="6" t="s">
        <v>1588</v>
      </c>
      <c r="G1126" s="6" t="s">
        <v>1589</v>
      </c>
      <c r="H1126" s="6" t="s">
        <v>1614</v>
      </c>
      <c r="I1126" s="6"/>
      <c r="J1126" s="6" t="s">
        <v>1588</v>
      </c>
      <c r="K1126" s="6"/>
      <c r="L1126" s="6"/>
      <c r="M1126" s="6"/>
      <c r="N1126" s="6"/>
      <c r="O1126" s="6"/>
      <c r="P1126" s="6"/>
      <c r="Q1126" s="6" t="s">
        <v>280</v>
      </c>
      <c r="R1126" s="7" t="n">
        <f aca="false">COUNTIF('Label Map'!$D$2:$D$2000,A1126)</f>
        <v>1</v>
      </c>
    </row>
    <row r="1127" customFormat="false" ht="15" hidden="false" customHeight="false" outlineLevel="0" collapsed="false">
      <c r="A1127" s="6" t="s">
        <v>1615</v>
      </c>
      <c r="B1127" s="6" t="s">
        <v>11</v>
      </c>
      <c r="C1127" s="6" t="s">
        <v>3</v>
      </c>
      <c r="D1127" s="6" t="s">
        <v>1312</v>
      </c>
      <c r="E1127" s="6" t="s">
        <v>1585</v>
      </c>
      <c r="F1127" s="6" t="s">
        <v>1588</v>
      </c>
      <c r="G1127" s="6" t="s">
        <v>1589</v>
      </c>
      <c r="H1127" s="6" t="s">
        <v>1615</v>
      </c>
      <c r="I1127" s="6"/>
      <c r="J1127" s="6" t="s">
        <v>1588</v>
      </c>
      <c r="K1127" s="6"/>
      <c r="L1127" s="6"/>
      <c r="M1127" s="6"/>
      <c r="N1127" s="6"/>
      <c r="O1127" s="6"/>
      <c r="P1127" s="6"/>
      <c r="Q1127" s="6" t="s">
        <v>280</v>
      </c>
      <c r="R1127" s="7" t="n">
        <f aca="false">COUNTIF('Label Map'!$D$2:$D$2000,A1127)</f>
        <v>1</v>
      </c>
    </row>
    <row r="1128" customFormat="false" ht="15" hidden="false" customHeight="false" outlineLevel="0" collapsed="false">
      <c r="A1128" s="6" t="s">
        <v>1616</v>
      </c>
      <c r="B1128" s="6" t="s">
        <v>11</v>
      </c>
      <c r="C1128" s="6" t="s">
        <v>3</v>
      </c>
      <c r="D1128" s="6" t="s">
        <v>1312</v>
      </c>
      <c r="E1128" s="6" t="s">
        <v>1585</v>
      </c>
      <c r="F1128" s="6" t="s">
        <v>1588</v>
      </c>
      <c r="G1128" s="6" t="s">
        <v>1589</v>
      </c>
      <c r="H1128" s="6" t="s">
        <v>1616</v>
      </c>
      <c r="I1128" s="6"/>
      <c r="J1128" s="6" t="s">
        <v>1588</v>
      </c>
      <c r="K1128" s="6"/>
      <c r="L1128" s="6"/>
      <c r="M1128" s="6"/>
      <c r="N1128" s="6"/>
      <c r="O1128" s="6"/>
      <c r="P1128" s="6"/>
      <c r="Q1128" s="6" t="s">
        <v>280</v>
      </c>
      <c r="R1128" s="7" t="n">
        <f aca="false">COUNTIF('Label Map'!$D$2:$D$2000,A1128)</f>
        <v>1</v>
      </c>
    </row>
    <row r="1129" customFormat="false" ht="15" hidden="false" customHeight="false" outlineLevel="0" collapsed="false">
      <c r="A1129" s="6" t="s">
        <v>1617</v>
      </c>
      <c r="B1129" s="6" t="s">
        <v>11</v>
      </c>
      <c r="C1129" s="6" t="s">
        <v>3</v>
      </c>
      <c r="D1129" s="6" t="s">
        <v>1312</v>
      </c>
      <c r="E1129" s="6" t="s">
        <v>1585</v>
      </c>
      <c r="F1129" s="6" t="s">
        <v>1588</v>
      </c>
      <c r="G1129" s="6" t="s">
        <v>1589</v>
      </c>
      <c r="H1129" s="6" t="s">
        <v>1617</v>
      </c>
      <c r="I1129" s="6"/>
      <c r="J1129" s="6" t="s">
        <v>1588</v>
      </c>
      <c r="K1129" s="6"/>
      <c r="L1129" s="6"/>
      <c r="M1129" s="6"/>
      <c r="N1129" s="6"/>
      <c r="O1129" s="6"/>
      <c r="P1129" s="6"/>
      <c r="Q1129" s="6" t="s">
        <v>280</v>
      </c>
      <c r="R1129" s="7" t="n">
        <f aca="false">COUNTIF('Label Map'!$D$2:$D$2000,A1129)</f>
        <v>1</v>
      </c>
    </row>
    <row r="1130" customFormat="false" ht="15" hidden="false" customHeight="false" outlineLevel="0" collapsed="false">
      <c r="A1130" s="6" t="s">
        <v>1618</v>
      </c>
      <c r="B1130" s="6" t="s">
        <v>11</v>
      </c>
      <c r="C1130" s="6" t="s">
        <v>3</v>
      </c>
      <c r="D1130" s="6" t="s">
        <v>1312</v>
      </c>
      <c r="E1130" s="6" t="s">
        <v>1585</v>
      </c>
      <c r="F1130" s="6" t="s">
        <v>1588</v>
      </c>
      <c r="G1130" s="6" t="s">
        <v>1589</v>
      </c>
      <c r="H1130" s="6" t="s">
        <v>1618</v>
      </c>
      <c r="I1130" s="6"/>
      <c r="J1130" s="6" t="s">
        <v>1588</v>
      </c>
      <c r="K1130" s="6"/>
      <c r="L1130" s="6"/>
      <c r="M1130" s="6"/>
      <c r="N1130" s="6"/>
      <c r="O1130" s="6"/>
      <c r="P1130" s="6"/>
      <c r="Q1130" s="6" t="s">
        <v>280</v>
      </c>
      <c r="R1130" s="7" t="n">
        <f aca="false">COUNTIF('Label Map'!$D$2:$D$2000,A1130)</f>
        <v>1</v>
      </c>
    </row>
    <row r="1131" customFormat="false" ht="15" hidden="false" customHeight="false" outlineLevel="0" collapsed="false">
      <c r="A1131" s="6" t="s">
        <v>1619</v>
      </c>
      <c r="B1131" s="6" t="s">
        <v>11</v>
      </c>
      <c r="C1131" s="6" t="s">
        <v>3</v>
      </c>
      <c r="D1131" s="6" t="s">
        <v>1312</v>
      </c>
      <c r="E1131" s="6" t="s">
        <v>1585</v>
      </c>
      <c r="F1131" s="6" t="s">
        <v>1588</v>
      </c>
      <c r="G1131" s="6" t="s">
        <v>1589</v>
      </c>
      <c r="H1131" s="6" t="s">
        <v>1619</v>
      </c>
      <c r="I1131" s="6"/>
      <c r="J1131" s="6" t="s">
        <v>1588</v>
      </c>
      <c r="K1131" s="6"/>
      <c r="L1131" s="6"/>
      <c r="M1131" s="6"/>
      <c r="N1131" s="6"/>
      <c r="O1131" s="6"/>
      <c r="P1131" s="6"/>
      <c r="Q1131" s="6" t="s">
        <v>280</v>
      </c>
      <c r="R1131" s="7" t="n">
        <f aca="false">COUNTIF('Label Map'!$D$2:$D$2000,A1131)</f>
        <v>1</v>
      </c>
    </row>
    <row r="1132" customFormat="false" ht="15" hidden="false" customHeight="false" outlineLevel="0" collapsed="false">
      <c r="A1132" s="6" t="s">
        <v>1620</v>
      </c>
      <c r="B1132" s="6" t="s">
        <v>11</v>
      </c>
      <c r="C1132" s="6" t="s">
        <v>3</v>
      </c>
      <c r="D1132" s="6" t="s">
        <v>1312</v>
      </c>
      <c r="E1132" s="6" t="s">
        <v>1585</v>
      </c>
      <c r="F1132" s="6" t="s">
        <v>1588</v>
      </c>
      <c r="G1132" s="6" t="s">
        <v>1589</v>
      </c>
      <c r="H1132" s="6" t="s">
        <v>1620</v>
      </c>
      <c r="I1132" s="6"/>
      <c r="J1132" s="6" t="s">
        <v>1588</v>
      </c>
      <c r="K1132" s="6"/>
      <c r="L1132" s="6"/>
      <c r="M1132" s="6"/>
      <c r="N1132" s="6"/>
      <c r="O1132" s="6"/>
      <c r="P1132" s="6"/>
      <c r="Q1132" s="6" t="s">
        <v>280</v>
      </c>
      <c r="R1132" s="7" t="n">
        <f aca="false">COUNTIF('Label Map'!$D$2:$D$2000,A1132)</f>
        <v>1</v>
      </c>
    </row>
    <row r="1133" customFormat="false" ht="15" hidden="false" customHeight="false" outlineLevel="0" collapsed="false">
      <c r="A1133" s="6" t="s">
        <v>1621</v>
      </c>
      <c r="B1133" s="6" t="s">
        <v>11</v>
      </c>
      <c r="C1133" s="6" t="s">
        <v>3</v>
      </c>
      <c r="D1133" s="6" t="s">
        <v>1312</v>
      </c>
      <c r="E1133" s="6" t="s">
        <v>1585</v>
      </c>
      <c r="F1133" s="6" t="s">
        <v>1588</v>
      </c>
      <c r="G1133" s="6" t="s">
        <v>1589</v>
      </c>
      <c r="H1133" s="6" t="s">
        <v>1621</v>
      </c>
      <c r="I1133" s="6"/>
      <c r="J1133" s="6" t="s">
        <v>1588</v>
      </c>
      <c r="K1133" s="6"/>
      <c r="L1133" s="6"/>
      <c r="M1133" s="6"/>
      <c r="N1133" s="6"/>
      <c r="O1133" s="6"/>
      <c r="P1133" s="6"/>
      <c r="Q1133" s="6" t="s">
        <v>280</v>
      </c>
      <c r="R1133" s="7" t="n">
        <f aca="false">COUNTIF('Label Map'!$D$2:$D$2000,A1133)</f>
        <v>1</v>
      </c>
    </row>
    <row r="1134" customFormat="false" ht="15" hidden="false" customHeight="false" outlineLevel="0" collapsed="false">
      <c r="A1134" s="6" t="s">
        <v>1622</v>
      </c>
      <c r="B1134" s="6" t="s">
        <v>11</v>
      </c>
      <c r="C1134" s="6" t="s">
        <v>3</v>
      </c>
      <c r="D1134" s="6" t="s">
        <v>1312</v>
      </c>
      <c r="E1134" s="6" t="s">
        <v>1585</v>
      </c>
      <c r="F1134" s="6" t="s">
        <v>1588</v>
      </c>
      <c r="G1134" s="6" t="s">
        <v>1589</v>
      </c>
      <c r="H1134" s="6" t="s">
        <v>1622</v>
      </c>
      <c r="I1134" s="6"/>
      <c r="J1134" s="6" t="s">
        <v>1588</v>
      </c>
      <c r="K1134" s="6"/>
      <c r="L1134" s="6"/>
      <c r="M1134" s="6"/>
      <c r="N1134" s="6"/>
      <c r="O1134" s="6"/>
      <c r="P1134" s="6"/>
      <c r="Q1134" s="6" t="s">
        <v>280</v>
      </c>
      <c r="R1134" s="7" t="n">
        <f aca="false">COUNTIF('Label Map'!$D$2:$D$2000,A1134)</f>
        <v>1</v>
      </c>
    </row>
    <row r="1135" customFormat="false" ht="15" hidden="false" customHeight="false" outlineLevel="0" collapsed="false">
      <c r="A1135" s="6" t="s">
        <v>1623</v>
      </c>
      <c r="B1135" s="6" t="s">
        <v>11</v>
      </c>
      <c r="C1135" s="6" t="s">
        <v>3</v>
      </c>
      <c r="D1135" s="6" t="s">
        <v>1312</v>
      </c>
      <c r="E1135" s="6" t="s">
        <v>1585</v>
      </c>
      <c r="F1135" s="6" t="s">
        <v>1588</v>
      </c>
      <c r="G1135" s="6" t="s">
        <v>1589</v>
      </c>
      <c r="H1135" s="6" t="s">
        <v>1623</v>
      </c>
      <c r="I1135" s="6"/>
      <c r="J1135" s="6" t="s">
        <v>1588</v>
      </c>
      <c r="K1135" s="6"/>
      <c r="L1135" s="6"/>
      <c r="M1135" s="6"/>
      <c r="N1135" s="6"/>
      <c r="O1135" s="6"/>
      <c r="P1135" s="6"/>
      <c r="Q1135" s="6" t="s">
        <v>280</v>
      </c>
      <c r="R1135" s="7" t="n">
        <f aca="false">COUNTIF('Label Map'!$D$2:$D$2000,A1135)</f>
        <v>1</v>
      </c>
    </row>
    <row r="1136" customFormat="false" ht="15" hidden="false" customHeight="false" outlineLevel="0" collapsed="false">
      <c r="A1136" s="6" t="s">
        <v>1624</v>
      </c>
      <c r="B1136" s="6" t="s">
        <v>63</v>
      </c>
      <c r="C1136" s="6" t="s">
        <v>3</v>
      </c>
      <c r="D1136" s="6" t="s">
        <v>1312</v>
      </c>
      <c r="E1136" s="6" t="s">
        <v>1585</v>
      </c>
      <c r="F1136" s="6" t="s">
        <v>1588</v>
      </c>
      <c r="G1136" s="6" t="s">
        <v>1589</v>
      </c>
      <c r="H1136" s="6" t="s">
        <v>1623</v>
      </c>
      <c r="I1136" s="6" t="s">
        <v>1624</v>
      </c>
      <c r="J1136" s="6" t="s">
        <v>1623</v>
      </c>
      <c r="K1136" s="6"/>
      <c r="L1136" s="6"/>
      <c r="M1136" s="6"/>
      <c r="N1136" s="6"/>
      <c r="O1136" s="6"/>
      <c r="P1136" s="6"/>
      <c r="Q1136" s="6"/>
      <c r="R1136" s="7" t="n">
        <f aca="false">COUNTIF('Label Map'!$D$2:$D$2000,A1136)</f>
        <v>0</v>
      </c>
    </row>
    <row r="1137" customFormat="false" ht="15" hidden="false" customHeight="false" outlineLevel="0" collapsed="false">
      <c r="A1137" s="6" t="s">
        <v>1625</v>
      </c>
      <c r="B1137" s="6" t="s">
        <v>11</v>
      </c>
      <c r="C1137" s="6" t="s">
        <v>3</v>
      </c>
      <c r="D1137" s="6" t="s">
        <v>1312</v>
      </c>
      <c r="E1137" s="6" t="s">
        <v>1585</v>
      </c>
      <c r="F1137" s="6" t="s">
        <v>1588</v>
      </c>
      <c r="G1137" s="6" t="s">
        <v>1589</v>
      </c>
      <c r="H1137" s="6" t="s">
        <v>1625</v>
      </c>
      <c r="I1137" s="6"/>
      <c r="J1137" s="6" t="s">
        <v>1588</v>
      </c>
      <c r="K1137" s="6"/>
      <c r="L1137" s="6"/>
      <c r="M1137" s="6"/>
      <c r="N1137" s="6"/>
      <c r="O1137" s="6"/>
      <c r="P1137" s="6"/>
      <c r="Q1137" s="6" t="s">
        <v>280</v>
      </c>
      <c r="R1137" s="7" t="n">
        <f aca="false">COUNTIF('Label Map'!$D$2:$D$2000,A1137)</f>
        <v>1</v>
      </c>
    </row>
    <row r="1138" customFormat="false" ht="15" hidden="false" customHeight="false" outlineLevel="0" collapsed="false">
      <c r="A1138" s="6" t="s">
        <v>1626</v>
      </c>
      <c r="B1138" s="6" t="s">
        <v>11</v>
      </c>
      <c r="C1138" s="6" t="s">
        <v>3</v>
      </c>
      <c r="D1138" s="6" t="s">
        <v>1312</v>
      </c>
      <c r="E1138" s="6" t="s">
        <v>1585</v>
      </c>
      <c r="F1138" s="6" t="s">
        <v>1588</v>
      </c>
      <c r="G1138" s="6" t="s">
        <v>1589</v>
      </c>
      <c r="H1138" s="6" t="s">
        <v>1626</v>
      </c>
      <c r="I1138" s="6"/>
      <c r="J1138" s="6" t="s">
        <v>1588</v>
      </c>
      <c r="K1138" s="6"/>
      <c r="L1138" s="6"/>
      <c r="M1138" s="6"/>
      <c r="N1138" s="6"/>
      <c r="O1138" s="6"/>
      <c r="P1138" s="6"/>
      <c r="Q1138" s="6" t="s">
        <v>280</v>
      </c>
      <c r="R1138" s="7" t="n">
        <f aca="false">COUNTIF('Label Map'!$D$2:$D$2000,A1138)</f>
        <v>1</v>
      </c>
    </row>
    <row r="1139" customFormat="false" ht="15" hidden="false" customHeight="false" outlineLevel="0" collapsed="false">
      <c r="A1139" s="6" t="s">
        <v>1627</v>
      </c>
      <c r="B1139" s="6" t="s">
        <v>11</v>
      </c>
      <c r="C1139" s="6" t="s">
        <v>3</v>
      </c>
      <c r="D1139" s="6" t="s">
        <v>1312</v>
      </c>
      <c r="E1139" s="6" t="s">
        <v>1585</v>
      </c>
      <c r="F1139" s="6" t="s">
        <v>1588</v>
      </c>
      <c r="G1139" s="6" t="s">
        <v>1589</v>
      </c>
      <c r="H1139" s="6" t="s">
        <v>1627</v>
      </c>
      <c r="I1139" s="6"/>
      <c r="J1139" s="6" t="s">
        <v>1588</v>
      </c>
      <c r="K1139" s="6"/>
      <c r="L1139" s="6"/>
      <c r="M1139" s="6"/>
      <c r="N1139" s="6"/>
      <c r="O1139" s="6"/>
      <c r="P1139" s="6"/>
      <c r="Q1139" s="6" t="s">
        <v>280</v>
      </c>
      <c r="R1139" s="7" t="n">
        <f aca="false">COUNTIF('Label Map'!$D$2:$D$2000,A1139)</f>
        <v>1</v>
      </c>
    </row>
    <row r="1140" customFormat="false" ht="15" hidden="false" customHeight="false" outlineLevel="0" collapsed="false">
      <c r="A1140" s="6" t="s">
        <v>1628</v>
      </c>
      <c r="B1140" s="6" t="s">
        <v>11</v>
      </c>
      <c r="C1140" s="6" t="s">
        <v>3</v>
      </c>
      <c r="D1140" s="6" t="s">
        <v>1312</v>
      </c>
      <c r="E1140" s="6" t="s">
        <v>1585</v>
      </c>
      <c r="F1140" s="6" t="s">
        <v>1588</v>
      </c>
      <c r="G1140" s="6" t="s">
        <v>1589</v>
      </c>
      <c r="H1140" s="6" t="s">
        <v>1628</v>
      </c>
      <c r="I1140" s="6"/>
      <c r="J1140" s="6" t="s">
        <v>1588</v>
      </c>
      <c r="K1140" s="6"/>
      <c r="L1140" s="6"/>
      <c r="M1140" s="6"/>
      <c r="N1140" s="6"/>
      <c r="O1140" s="6"/>
      <c r="P1140" s="6"/>
      <c r="Q1140" s="6" t="s">
        <v>280</v>
      </c>
      <c r="R1140" s="7" t="n">
        <f aca="false">COUNTIF('Label Map'!$D$2:$D$2000,A1140)</f>
        <v>1</v>
      </c>
    </row>
    <row r="1141" customFormat="false" ht="15" hidden="false" customHeight="false" outlineLevel="0" collapsed="false">
      <c r="A1141" s="6" t="s">
        <v>1629</v>
      </c>
      <c r="B1141" s="6" t="s">
        <v>11</v>
      </c>
      <c r="C1141" s="6" t="s">
        <v>3</v>
      </c>
      <c r="D1141" s="6" t="s">
        <v>1312</v>
      </c>
      <c r="E1141" s="6" t="s">
        <v>1585</v>
      </c>
      <c r="F1141" s="6" t="s">
        <v>1588</v>
      </c>
      <c r="G1141" s="6" t="s">
        <v>1589</v>
      </c>
      <c r="H1141" s="6" t="s">
        <v>1629</v>
      </c>
      <c r="I1141" s="6"/>
      <c r="J1141" s="6" t="s">
        <v>1588</v>
      </c>
      <c r="K1141" s="6"/>
      <c r="L1141" s="6"/>
      <c r="M1141" s="6"/>
      <c r="N1141" s="6"/>
      <c r="O1141" s="6"/>
      <c r="P1141" s="6"/>
      <c r="Q1141" s="6" t="s">
        <v>280</v>
      </c>
      <c r="R1141" s="7" t="n">
        <f aca="false">COUNTIF('Label Map'!$D$2:$D$2000,A1141)</f>
        <v>1</v>
      </c>
    </row>
    <row r="1142" customFormat="false" ht="15" hidden="false" customHeight="false" outlineLevel="0" collapsed="false">
      <c r="A1142" s="6" t="s">
        <v>1630</v>
      </c>
      <c r="B1142" s="6" t="s">
        <v>11</v>
      </c>
      <c r="C1142" s="6" t="s">
        <v>3</v>
      </c>
      <c r="D1142" s="6" t="s">
        <v>1312</v>
      </c>
      <c r="E1142" s="6" t="s">
        <v>1585</v>
      </c>
      <c r="F1142" s="6" t="s">
        <v>1588</v>
      </c>
      <c r="G1142" s="6" t="s">
        <v>1589</v>
      </c>
      <c r="H1142" s="6" t="s">
        <v>1630</v>
      </c>
      <c r="I1142" s="6"/>
      <c r="J1142" s="6" t="s">
        <v>1588</v>
      </c>
      <c r="K1142" s="6"/>
      <c r="L1142" s="6"/>
      <c r="M1142" s="6"/>
      <c r="N1142" s="6"/>
      <c r="O1142" s="6"/>
      <c r="P1142" s="6"/>
      <c r="Q1142" s="6" t="s">
        <v>280</v>
      </c>
      <c r="R1142" s="7" t="n">
        <f aca="false">COUNTIF('Label Map'!$D$2:$D$2000,A1142)</f>
        <v>1</v>
      </c>
    </row>
    <row r="1143" customFormat="false" ht="15" hidden="false" customHeight="false" outlineLevel="0" collapsed="false">
      <c r="A1143" s="6" t="s">
        <v>1631</v>
      </c>
      <c r="B1143" s="6" t="s">
        <v>9</v>
      </c>
      <c r="C1143" s="6" t="s">
        <v>3</v>
      </c>
      <c r="D1143" s="6" t="s">
        <v>1312</v>
      </c>
      <c r="E1143" s="6" t="s">
        <v>1585</v>
      </c>
      <c r="F1143" s="6" t="s">
        <v>1631</v>
      </c>
      <c r="G1143" s="6" t="s">
        <v>1632</v>
      </c>
      <c r="H1143" s="6"/>
      <c r="I1143" s="6"/>
      <c r="J1143" s="6" t="s">
        <v>1585</v>
      </c>
      <c r="K1143" s="6"/>
      <c r="L1143" s="6" t="s">
        <v>744</v>
      </c>
      <c r="M1143" s="6" t="s">
        <v>1590</v>
      </c>
      <c r="N1143" s="6"/>
      <c r="O1143" s="6" t="s">
        <v>1428</v>
      </c>
      <c r="P1143" s="6" t="s">
        <v>337</v>
      </c>
      <c r="Q1143" s="6"/>
      <c r="R1143" s="7" t="n">
        <f aca="false">COUNTIF('Label Map'!$D$2:$D$2000,A1143)</f>
        <v>2</v>
      </c>
    </row>
    <row r="1144" customFormat="false" ht="15" hidden="false" customHeight="false" outlineLevel="0" collapsed="false">
      <c r="A1144" s="6" t="s">
        <v>1633</v>
      </c>
      <c r="B1144" s="6" t="s">
        <v>11</v>
      </c>
      <c r="C1144" s="6" t="s">
        <v>3</v>
      </c>
      <c r="D1144" s="6" t="s">
        <v>1312</v>
      </c>
      <c r="E1144" s="6" t="s">
        <v>1585</v>
      </c>
      <c r="F1144" s="6" t="s">
        <v>1631</v>
      </c>
      <c r="G1144" s="6" t="s">
        <v>1632</v>
      </c>
      <c r="H1144" s="6" t="s">
        <v>1633</v>
      </c>
      <c r="I1144" s="6"/>
      <c r="J1144" s="6" t="s">
        <v>1631</v>
      </c>
      <c r="K1144" s="6"/>
      <c r="L1144" s="6"/>
      <c r="M1144" s="6"/>
      <c r="N1144" s="6"/>
      <c r="O1144" s="6"/>
      <c r="P1144" s="6"/>
      <c r="Q1144" s="6" t="s">
        <v>345</v>
      </c>
      <c r="R1144" s="7" t="n">
        <f aca="false">COUNTIF('Label Map'!$D$2:$D$2000,A1144)</f>
        <v>1</v>
      </c>
    </row>
    <row r="1145" customFormat="false" ht="15" hidden="false" customHeight="false" outlineLevel="0" collapsed="false">
      <c r="A1145" s="6" t="s">
        <v>1634</v>
      </c>
      <c r="B1145" s="6" t="s">
        <v>63</v>
      </c>
      <c r="C1145" s="6" t="s">
        <v>3</v>
      </c>
      <c r="D1145" s="6" t="s">
        <v>1312</v>
      </c>
      <c r="E1145" s="6" t="s">
        <v>1585</v>
      </c>
      <c r="F1145" s="6" t="s">
        <v>1631</v>
      </c>
      <c r="G1145" s="6" t="s">
        <v>1632</v>
      </c>
      <c r="H1145" s="6" t="s">
        <v>1633</v>
      </c>
      <c r="I1145" s="6" t="s">
        <v>1634</v>
      </c>
      <c r="J1145" s="6" t="s">
        <v>1633</v>
      </c>
      <c r="K1145" s="6"/>
      <c r="L1145" s="6"/>
      <c r="M1145" s="6"/>
      <c r="N1145" s="6"/>
      <c r="O1145" s="6"/>
      <c r="P1145" s="6"/>
      <c r="Q1145" s="6"/>
      <c r="R1145" s="7" t="n">
        <f aca="false">COUNTIF('Label Map'!$D$2:$D$2000,A1145)</f>
        <v>0</v>
      </c>
    </row>
    <row r="1146" customFormat="false" ht="15" hidden="false" customHeight="false" outlineLevel="0" collapsed="false">
      <c r="A1146" s="6" t="s">
        <v>1635</v>
      </c>
      <c r="B1146" s="6" t="s">
        <v>11</v>
      </c>
      <c r="C1146" s="6" t="s">
        <v>3</v>
      </c>
      <c r="D1146" s="6" t="s">
        <v>1312</v>
      </c>
      <c r="E1146" s="6" t="s">
        <v>1585</v>
      </c>
      <c r="F1146" s="6" t="s">
        <v>1631</v>
      </c>
      <c r="G1146" s="6" t="s">
        <v>1632</v>
      </c>
      <c r="H1146" s="6" t="s">
        <v>1635</v>
      </c>
      <c r="I1146" s="6"/>
      <c r="J1146" s="6" t="s">
        <v>1631</v>
      </c>
      <c r="K1146" s="6"/>
      <c r="L1146" s="6"/>
      <c r="M1146" s="6"/>
      <c r="N1146" s="6"/>
      <c r="O1146" s="6"/>
      <c r="P1146" s="6"/>
      <c r="Q1146" s="6" t="s">
        <v>345</v>
      </c>
      <c r="R1146" s="7" t="n">
        <f aca="false">COUNTIF('Label Map'!$D$2:$D$2000,A1146)</f>
        <v>1</v>
      </c>
    </row>
    <row r="1147" customFormat="false" ht="15" hidden="false" customHeight="false" outlineLevel="0" collapsed="false">
      <c r="A1147" s="6" t="s">
        <v>1636</v>
      </c>
      <c r="B1147" s="6" t="s">
        <v>11</v>
      </c>
      <c r="C1147" s="6" t="s">
        <v>3</v>
      </c>
      <c r="D1147" s="6" t="s">
        <v>1312</v>
      </c>
      <c r="E1147" s="6" t="s">
        <v>1585</v>
      </c>
      <c r="F1147" s="6" t="s">
        <v>1631</v>
      </c>
      <c r="G1147" s="6" t="s">
        <v>1632</v>
      </c>
      <c r="H1147" s="6" t="s">
        <v>1636</v>
      </c>
      <c r="I1147" s="6"/>
      <c r="J1147" s="6" t="s">
        <v>1631</v>
      </c>
      <c r="K1147" s="6"/>
      <c r="L1147" s="6"/>
      <c r="M1147" s="6"/>
      <c r="N1147" s="6"/>
      <c r="O1147" s="6"/>
      <c r="P1147" s="6"/>
      <c r="Q1147" s="6" t="s">
        <v>345</v>
      </c>
      <c r="R1147" s="7" t="n">
        <f aca="false">COUNTIF('Label Map'!$D$2:$D$2000,A1147)</f>
        <v>1</v>
      </c>
    </row>
    <row r="1148" customFormat="false" ht="15" hidden="false" customHeight="false" outlineLevel="0" collapsed="false">
      <c r="A1148" s="6" t="s">
        <v>1637</v>
      </c>
      <c r="B1148" s="6" t="s">
        <v>11</v>
      </c>
      <c r="C1148" s="6" t="s">
        <v>3</v>
      </c>
      <c r="D1148" s="6" t="s">
        <v>1312</v>
      </c>
      <c r="E1148" s="6" t="s">
        <v>1585</v>
      </c>
      <c r="F1148" s="6" t="s">
        <v>1631</v>
      </c>
      <c r="G1148" s="6" t="s">
        <v>1632</v>
      </c>
      <c r="H1148" s="6" t="s">
        <v>1637</v>
      </c>
      <c r="I1148" s="6"/>
      <c r="J1148" s="6" t="s">
        <v>1631</v>
      </c>
      <c r="K1148" s="6"/>
      <c r="L1148" s="6"/>
      <c r="M1148" s="6"/>
      <c r="N1148" s="6"/>
      <c r="O1148" s="6"/>
      <c r="P1148" s="6"/>
      <c r="Q1148" s="6" t="s">
        <v>1638</v>
      </c>
      <c r="R1148" s="7" t="n">
        <f aca="false">COUNTIF('Label Map'!$D$2:$D$2000,A1148)</f>
        <v>1</v>
      </c>
    </row>
    <row r="1149" customFormat="false" ht="15" hidden="false" customHeight="false" outlineLevel="0" collapsed="false">
      <c r="A1149" s="6" t="s">
        <v>1639</v>
      </c>
      <c r="B1149" s="6" t="s">
        <v>11</v>
      </c>
      <c r="C1149" s="6" t="s">
        <v>3</v>
      </c>
      <c r="D1149" s="6" t="s">
        <v>1312</v>
      </c>
      <c r="E1149" s="6" t="s">
        <v>1585</v>
      </c>
      <c r="F1149" s="6" t="s">
        <v>1631</v>
      </c>
      <c r="G1149" s="6" t="s">
        <v>1632</v>
      </c>
      <c r="H1149" s="6" t="s">
        <v>1639</v>
      </c>
      <c r="I1149" s="6"/>
      <c r="J1149" s="6" t="s">
        <v>1631</v>
      </c>
      <c r="K1149" s="6"/>
      <c r="L1149" s="6"/>
      <c r="M1149" s="6"/>
      <c r="N1149" s="6"/>
      <c r="O1149" s="6"/>
      <c r="P1149" s="6"/>
      <c r="Q1149" s="6" t="s">
        <v>1638</v>
      </c>
      <c r="R1149" s="7" t="n">
        <f aca="false">COUNTIF('Label Map'!$D$2:$D$2000,A1149)</f>
        <v>1</v>
      </c>
    </row>
    <row r="1150" customFormat="false" ht="15" hidden="false" customHeight="false" outlineLevel="0" collapsed="false">
      <c r="A1150" s="6" t="s">
        <v>1640</v>
      </c>
      <c r="B1150" s="6" t="s">
        <v>11</v>
      </c>
      <c r="C1150" s="6" t="s">
        <v>3</v>
      </c>
      <c r="D1150" s="6" t="s">
        <v>1312</v>
      </c>
      <c r="E1150" s="6" t="s">
        <v>1585</v>
      </c>
      <c r="F1150" s="6" t="s">
        <v>1631</v>
      </c>
      <c r="G1150" s="6" t="s">
        <v>1632</v>
      </c>
      <c r="H1150" s="6" t="s">
        <v>1640</v>
      </c>
      <c r="I1150" s="6"/>
      <c r="J1150" s="6" t="s">
        <v>1631</v>
      </c>
      <c r="K1150" s="6"/>
      <c r="L1150" s="6"/>
      <c r="M1150" s="6"/>
      <c r="N1150" s="6"/>
      <c r="O1150" s="6"/>
      <c r="P1150" s="6"/>
      <c r="Q1150" s="6" t="s">
        <v>345</v>
      </c>
      <c r="R1150" s="7" t="n">
        <f aca="false">COUNTIF('Label Map'!$D$2:$D$2000,A1150)</f>
        <v>2</v>
      </c>
    </row>
    <row r="1151" customFormat="false" ht="15" hidden="false" customHeight="false" outlineLevel="0" collapsed="false">
      <c r="A1151" s="6" t="s">
        <v>1641</v>
      </c>
      <c r="B1151" s="6" t="s">
        <v>11</v>
      </c>
      <c r="C1151" s="6" t="s">
        <v>3</v>
      </c>
      <c r="D1151" s="6" t="s">
        <v>1312</v>
      </c>
      <c r="E1151" s="6" t="s">
        <v>1585</v>
      </c>
      <c r="F1151" s="6" t="s">
        <v>1631</v>
      </c>
      <c r="G1151" s="6" t="s">
        <v>1632</v>
      </c>
      <c r="H1151" s="6" t="s">
        <v>1641</v>
      </c>
      <c r="I1151" s="6"/>
      <c r="J1151" s="6" t="s">
        <v>1631</v>
      </c>
      <c r="K1151" s="6"/>
      <c r="L1151" s="6"/>
      <c r="M1151" s="6"/>
      <c r="N1151" s="6"/>
      <c r="O1151" s="6"/>
      <c r="P1151" s="6"/>
      <c r="Q1151" s="6" t="s">
        <v>345</v>
      </c>
      <c r="R1151" s="7" t="n">
        <f aca="false">COUNTIF('Label Map'!$D$2:$D$2000,A1151)</f>
        <v>1</v>
      </c>
    </row>
    <row r="1152" customFormat="false" ht="15" hidden="false" customHeight="false" outlineLevel="0" collapsed="false">
      <c r="A1152" s="6" t="s">
        <v>1642</v>
      </c>
      <c r="B1152" s="6" t="s">
        <v>11</v>
      </c>
      <c r="C1152" s="6" t="s">
        <v>3</v>
      </c>
      <c r="D1152" s="6" t="s">
        <v>1312</v>
      </c>
      <c r="E1152" s="6" t="s">
        <v>1585</v>
      </c>
      <c r="F1152" s="6" t="s">
        <v>1631</v>
      </c>
      <c r="G1152" s="6" t="s">
        <v>1632</v>
      </c>
      <c r="H1152" s="6" t="s">
        <v>1642</v>
      </c>
      <c r="I1152" s="6"/>
      <c r="J1152" s="6" t="s">
        <v>1631</v>
      </c>
      <c r="K1152" s="6"/>
      <c r="L1152" s="6"/>
      <c r="M1152" s="6"/>
      <c r="N1152" s="6"/>
      <c r="O1152" s="6"/>
      <c r="P1152" s="6"/>
      <c r="Q1152" s="6" t="s">
        <v>345</v>
      </c>
      <c r="R1152" s="7" t="n">
        <f aca="false">COUNTIF('Label Map'!$D$2:$D$2000,A1152)</f>
        <v>1</v>
      </c>
    </row>
    <row r="1153" customFormat="false" ht="15" hidden="false" customHeight="false" outlineLevel="0" collapsed="false">
      <c r="A1153" s="6" t="s">
        <v>1643</v>
      </c>
      <c r="B1153" s="6" t="s">
        <v>11</v>
      </c>
      <c r="C1153" s="6" t="s">
        <v>3</v>
      </c>
      <c r="D1153" s="6" t="s">
        <v>1312</v>
      </c>
      <c r="E1153" s="6" t="s">
        <v>1585</v>
      </c>
      <c r="F1153" s="6" t="s">
        <v>1631</v>
      </c>
      <c r="G1153" s="6" t="s">
        <v>1632</v>
      </c>
      <c r="H1153" s="6" t="s">
        <v>1643</v>
      </c>
      <c r="I1153" s="6"/>
      <c r="J1153" s="6" t="s">
        <v>1631</v>
      </c>
      <c r="K1153" s="6"/>
      <c r="L1153" s="6"/>
      <c r="M1153" s="6"/>
      <c r="N1153" s="6"/>
      <c r="O1153" s="6"/>
      <c r="P1153" s="6"/>
      <c r="Q1153" s="6" t="s">
        <v>345</v>
      </c>
      <c r="R1153" s="7" t="n">
        <f aca="false">COUNTIF('Label Map'!$D$2:$D$2000,A1153)</f>
        <v>2</v>
      </c>
    </row>
    <row r="1154" customFormat="false" ht="15" hidden="false" customHeight="false" outlineLevel="0" collapsed="false">
      <c r="A1154" s="6" t="s">
        <v>1644</v>
      </c>
      <c r="B1154" s="6" t="s">
        <v>11</v>
      </c>
      <c r="C1154" s="6" t="s">
        <v>3</v>
      </c>
      <c r="D1154" s="6" t="s">
        <v>1312</v>
      </c>
      <c r="E1154" s="6" t="s">
        <v>1585</v>
      </c>
      <c r="F1154" s="6" t="s">
        <v>1631</v>
      </c>
      <c r="G1154" s="6" t="s">
        <v>1632</v>
      </c>
      <c r="H1154" s="6" t="s">
        <v>1644</v>
      </c>
      <c r="I1154" s="6"/>
      <c r="J1154" s="6" t="s">
        <v>1631</v>
      </c>
      <c r="K1154" s="6"/>
      <c r="L1154" s="6"/>
      <c r="M1154" s="6"/>
      <c r="N1154" s="6"/>
      <c r="O1154" s="6"/>
      <c r="P1154" s="6"/>
      <c r="Q1154" s="6" t="s">
        <v>345</v>
      </c>
      <c r="R1154" s="7" t="n">
        <f aca="false">COUNTIF('Label Map'!$D$2:$D$2000,A1154)</f>
        <v>1</v>
      </c>
    </row>
    <row r="1155" customFormat="false" ht="15" hidden="false" customHeight="false" outlineLevel="0" collapsed="false">
      <c r="A1155" s="6" t="s">
        <v>1645</v>
      </c>
      <c r="B1155" s="6" t="s">
        <v>11</v>
      </c>
      <c r="C1155" s="6" t="s">
        <v>3</v>
      </c>
      <c r="D1155" s="6" t="s">
        <v>1312</v>
      </c>
      <c r="E1155" s="6" t="s">
        <v>1585</v>
      </c>
      <c r="F1155" s="6" t="s">
        <v>1631</v>
      </c>
      <c r="G1155" s="6" t="s">
        <v>1632</v>
      </c>
      <c r="H1155" s="6" t="s">
        <v>1645</v>
      </c>
      <c r="I1155" s="6"/>
      <c r="J1155" s="6" t="s">
        <v>1631</v>
      </c>
      <c r="K1155" s="6"/>
      <c r="L1155" s="6"/>
      <c r="M1155" s="6"/>
      <c r="N1155" s="6"/>
      <c r="O1155" s="6"/>
      <c r="P1155" s="6"/>
      <c r="Q1155" s="6" t="s">
        <v>345</v>
      </c>
      <c r="R1155" s="7" t="n">
        <f aca="false">COUNTIF('Label Map'!$D$2:$D$2000,A1155)</f>
        <v>1</v>
      </c>
    </row>
    <row r="1156" customFormat="false" ht="15" hidden="false" customHeight="false" outlineLevel="0" collapsed="false">
      <c r="A1156" s="6" t="s">
        <v>1646</v>
      </c>
      <c r="B1156" s="6" t="s">
        <v>11</v>
      </c>
      <c r="C1156" s="6" t="s">
        <v>3</v>
      </c>
      <c r="D1156" s="6" t="s">
        <v>1312</v>
      </c>
      <c r="E1156" s="6" t="s">
        <v>1585</v>
      </c>
      <c r="F1156" s="6" t="s">
        <v>1631</v>
      </c>
      <c r="G1156" s="6" t="s">
        <v>1632</v>
      </c>
      <c r="H1156" s="6" t="s">
        <v>1646</v>
      </c>
      <c r="I1156" s="6"/>
      <c r="J1156" s="6" t="s">
        <v>1631</v>
      </c>
      <c r="K1156" s="6"/>
      <c r="L1156" s="6"/>
      <c r="M1156" s="6"/>
      <c r="N1156" s="6"/>
      <c r="O1156" s="6"/>
      <c r="P1156" s="6"/>
      <c r="Q1156" s="6" t="s">
        <v>1638</v>
      </c>
      <c r="R1156" s="7" t="n">
        <f aca="false">COUNTIF('Label Map'!$D$2:$D$2000,A1156)</f>
        <v>1</v>
      </c>
    </row>
    <row r="1157" customFormat="false" ht="15" hidden="false" customHeight="false" outlineLevel="0" collapsed="false">
      <c r="A1157" s="6" t="s">
        <v>1647</v>
      </c>
      <c r="B1157" s="6" t="s">
        <v>11</v>
      </c>
      <c r="C1157" s="6" t="s">
        <v>3</v>
      </c>
      <c r="D1157" s="6" t="s">
        <v>1312</v>
      </c>
      <c r="E1157" s="6" t="s">
        <v>1585</v>
      </c>
      <c r="F1157" s="6" t="s">
        <v>1631</v>
      </c>
      <c r="G1157" s="6" t="s">
        <v>1632</v>
      </c>
      <c r="H1157" s="6" t="s">
        <v>1647</v>
      </c>
      <c r="I1157" s="6"/>
      <c r="J1157" s="6" t="s">
        <v>1631</v>
      </c>
      <c r="K1157" s="6"/>
      <c r="L1157" s="6"/>
      <c r="M1157" s="6"/>
      <c r="N1157" s="6"/>
      <c r="O1157" s="6"/>
      <c r="P1157" s="6"/>
      <c r="Q1157" s="6" t="s">
        <v>345</v>
      </c>
      <c r="R1157" s="7" t="n">
        <f aca="false">COUNTIF('Label Map'!$D$2:$D$2000,A1157)</f>
        <v>1</v>
      </c>
    </row>
    <row r="1158" customFormat="false" ht="15" hidden="false" customHeight="false" outlineLevel="0" collapsed="false">
      <c r="A1158" s="6" t="s">
        <v>1648</v>
      </c>
      <c r="B1158" s="6" t="s">
        <v>11</v>
      </c>
      <c r="C1158" s="6" t="s">
        <v>3</v>
      </c>
      <c r="D1158" s="6" t="s">
        <v>1312</v>
      </c>
      <c r="E1158" s="6" t="s">
        <v>1585</v>
      </c>
      <c r="F1158" s="6" t="s">
        <v>1631</v>
      </c>
      <c r="G1158" s="6" t="s">
        <v>1632</v>
      </c>
      <c r="H1158" s="6" t="s">
        <v>1648</v>
      </c>
      <c r="I1158" s="6"/>
      <c r="J1158" s="6" t="s">
        <v>1631</v>
      </c>
      <c r="K1158" s="6"/>
      <c r="L1158" s="6"/>
      <c r="M1158" s="6"/>
      <c r="N1158" s="6"/>
      <c r="O1158" s="6"/>
      <c r="P1158" s="6"/>
      <c r="Q1158" s="6" t="s">
        <v>345</v>
      </c>
      <c r="R1158" s="7" t="n">
        <f aca="false">COUNTIF('Label Map'!$D$2:$D$2000,A1158)</f>
        <v>1</v>
      </c>
    </row>
    <row r="1159" customFormat="false" ht="15" hidden="false" customHeight="false" outlineLevel="0" collapsed="false">
      <c r="A1159" s="6" t="s">
        <v>1649</v>
      </c>
      <c r="B1159" s="6" t="s">
        <v>11</v>
      </c>
      <c r="C1159" s="6" t="s">
        <v>3</v>
      </c>
      <c r="D1159" s="6" t="s">
        <v>1312</v>
      </c>
      <c r="E1159" s="6" t="s">
        <v>1585</v>
      </c>
      <c r="F1159" s="6" t="s">
        <v>1631</v>
      </c>
      <c r="G1159" s="6" t="s">
        <v>1632</v>
      </c>
      <c r="H1159" s="6" t="s">
        <v>1649</v>
      </c>
      <c r="I1159" s="6"/>
      <c r="J1159" s="6" t="s">
        <v>1631</v>
      </c>
      <c r="K1159" s="6"/>
      <c r="L1159" s="6"/>
      <c r="M1159" s="6"/>
      <c r="N1159" s="6"/>
      <c r="O1159" s="6"/>
      <c r="P1159" s="6"/>
      <c r="Q1159" s="6" t="s">
        <v>345</v>
      </c>
      <c r="R1159" s="7" t="n">
        <f aca="false">COUNTIF('Label Map'!$D$2:$D$2000,A1159)</f>
        <v>1</v>
      </c>
    </row>
    <row r="1160" customFormat="false" ht="15" hidden="false" customHeight="false" outlineLevel="0" collapsed="false">
      <c r="A1160" s="6" t="s">
        <v>1650</v>
      </c>
      <c r="B1160" s="6" t="s">
        <v>11</v>
      </c>
      <c r="C1160" s="6" t="s">
        <v>3</v>
      </c>
      <c r="D1160" s="6" t="s">
        <v>1312</v>
      </c>
      <c r="E1160" s="6" t="s">
        <v>1585</v>
      </c>
      <c r="F1160" s="6" t="s">
        <v>1631</v>
      </c>
      <c r="G1160" s="6" t="s">
        <v>1632</v>
      </c>
      <c r="H1160" s="6" t="s">
        <v>1650</v>
      </c>
      <c r="I1160" s="6"/>
      <c r="J1160" s="6" t="s">
        <v>1631</v>
      </c>
      <c r="K1160" s="6"/>
      <c r="L1160" s="6"/>
      <c r="M1160" s="6"/>
      <c r="N1160" s="6"/>
      <c r="O1160" s="6"/>
      <c r="P1160" s="6"/>
      <c r="Q1160" s="6" t="s">
        <v>345</v>
      </c>
      <c r="R1160" s="7" t="n">
        <f aca="false">COUNTIF('Label Map'!$D$2:$D$2000,A1160)</f>
        <v>1</v>
      </c>
    </row>
    <row r="1161" customFormat="false" ht="15" hidden="false" customHeight="false" outlineLevel="0" collapsed="false">
      <c r="A1161" s="6" t="s">
        <v>1651</v>
      </c>
      <c r="B1161" s="6" t="s">
        <v>9</v>
      </c>
      <c r="C1161" s="6" t="s">
        <v>3</v>
      </c>
      <c r="D1161" s="6" t="s">
        <v>1312</v>
      </c>
      <c r="E1161" s="6" t="s">
        <v>1585</v>
      </c>
      <c r="F1161" s="6" t="s">
        <v>1651</v>
      </c>
      <c r="G1161" s="6" t="s">
        <v>1652</v>
      </c>
      <c r="H1161" s="6"/>
      <c r="I1161" s="6"/>
      <c r="J1161" s="6" t="s">
        <v>1585</v>
      </c>
      <c r="K1161" s="6"/>
      <c r="L1161" s="6" t="s">
        <v>744</v>
      </c>
      <c r="M1161" s="6" t="s">
        <v>1590</v>
      </c>
      <c r="N1161" s="6"/>
      <c r="O1161" s="6" t="s">
        <v>1428</v>
      </c>
      <c r="P1161" s="6" t="s">
        <v>87</v>
      </c>
      <c r="Q1161" s="6"/>
      <c r="R1161" s="7" t="n">
        <f aca="false">COUNTIF('Label Map'!$D$2:$D$2000,A1161)</f>
        <v>2</v>
      </c>
    </row>
    <row r="1162" customFormat="false" ht="15" hidden="false" customHeight="false" outlineLevel="0" collapsed="false">
      <c r="A1162" s="6" t="s">
        <v>1653</v>
      </c>
      <c r="B1162" s="6" t="s">
        <v>9</v>
      </c>
      <c r="C1162" s="6" t="s">
        <v>3</v>
      </c>
      <c r="D1162" s="6" t="s">
        <v>1312</v>
      </c>
      <c r="E1162" s="6" t="s">
        <v>1585</v>
      </c>
      <c r="F1162" s="6" t="s">
        <v>1653</v>
      </c>
      <c r="G1162" s="6" t="s">
        <v>1654</v>
      </c>
      <c r="H1162" s="6"/>
      <c r="I1162" s="6"/>
      <c r="J1162" s="6" t="s">
        <v>1585</v>
      </c>
      <c r="K1162" s="6" t="s">
        <v>1655</v>
      </c>
      <c r="L1162" s="6" t="s">
        <v>744</v>
      </c>
      <c r="M1162" s="6" t="s">
        <v>1590</v>
      </c>
      <c r="N1162" s="6"/>
      <c r="O1162" s="6" t="s">
        <v>1428</v>
      </c>
      <c r="P1162" s="6" t="s">
        <v>468</v>
      </c>
      <c r="Q1162" s="6"/>
      <c r="R1162" s="7" t="n">
        <f aca="false">COUNTIF('Label Map'!$D$2:$D$2000,A1162)</f>
        <v>2</v>
      </c>
    </row>
    <row r="1163" customFormat="false" ht="15" hidden="false" customHeight="false" outlineLevel="0" collapsed="false">
      <c r="A1163" s="6" t="s">
        <v>1656</v>
      </c>
      <c r="B1163" s="6" t="s">
        <v>9</v>
      </c>
      <c r="C1163" s="6" t="s">
        <v>3</v>
      </c>
      <c r="D1163" s="6" t="s">
        <v>1312</v>
      </c>
      <c r="E1163" s="6" t="s">
        <v>1585</v>
      </c>
      <c r="F1163" s="6" t="s">
        <v>1656</v>
      </c>
      <c r="G1163" s="6" t="s">
        <v>1657</v>
      </c>
      <c r="H1163" s="6"/>
      <c r="I1163" s="6"/>
      <c r="J1163" s="6" t="s">
        <v>1585</v>
      </c>
      <c r="K1163" s="6" t="s">
        <v>1658</v>
      </c>
      <c r="L1163" s="6" t="s">
        <v>744</v>
      </c>
      <c r="M1163" s="6" t="s">
        <v>1590</v>
      </c>
      <c r="N1163" s="6"/>
      <c r="O1163" s="6" t="s">
        <v>1428</v>
      </c>
      <c r="P1163" s="6" t="s">
        <v>468</v>
      </c>
      <c r="Q1163" s="6"/>
      <c r="R1163" s="7" t="n">
        <f aca="false">COUNTIF('Label Map'!$D$2:$D$2000,A1163)</f>
        <v>3</v>
      </c>
    </row>
    <row r="1164" customFormat="false" ht="15" hidden="false" customHeight="false" outlineLevel="0" collapsed="false">
      <c r="A1164" s="6" t="s">
        <v>1659</v>
      </c>
      <c r="B1164" s="6" t="s">
        <v>9</v>
      </c>
      <c r="C1164" s="6" t="s">
        <v>3</v>
      </c>
      <c r="D1164" s="6" t="s">
        <v>1312</v>
      </c>
      <c r="E1164" s="6" t="s">
        <v>1585</v>
      </c>
      <c r="F1164" s="6" t="s">
        <v>1659</v>
      </c>
      <c r="G1164" s="6" t="s">
        <v>1660</v>
      </c>
      <c r="H1164" s="6"/>
      <c r="I1164" s="6"/>
      <c r="J1164" s="6" t="s">
        <v>1585</v>
      </c>
      <c r="K1164" s="6" t="s">
        <v>1655</v>
      </c>
      <c r="L1164" s="6" t="s">
        <v>744</v>
      </c>
      <c r="M1164" s="6" t="s">
        <v>1590</v>
      </c>
      <c r="N1164" s="6"/>
      <c r="O1164" s="6" t="s">
        <v>1428</v>
      </c>
      <c r="P1164" s="6" t="s">
        <v>468</v>
      </c>
      <c r="Q1164" s="6"/>
      <c r="R1164" s="7" t="n">
        <f aca="false">COUNTIF('Label Map'!$D$2:$D$2000,A1164)</f>
        <v>3</v>
      </c>
    </row>
    <row r="1165" customFormat="false" ht="15" hidden="false" customHeight="false" outlineLevel="0" collapsed="false">
      <c r="A1165" s="6" t="s">
        <v>1661</v>
      </c>
      <c r="B1165" s="6" t="s">
        <v>9</v>
      </c>
      <c r="C1165" s="6" t="s">
        <v>3</v>
      </c>
      <c r="D1165" s="6" t="s">
        <v>1312</v>
      </c>
      <c r="E1165" s="6" t="s">
        <v>1585</v>
      </c>
      <c r="F1165" s="6" t="s">
        <v>1661</v>
      </c>
      <c r="G1165" s="6" t="s">
        <v>1662</v>
      </c>
      <c r="H1165" s="6"/>
      <c r="I1165" s="6"/>
      <c r="J1165" s="6" t="s">
        <v>1585</v>
      </c>
      <c r="K1165" s="6"/>
      <c r="L1165" s="6" t="s">
        <v>744</v>
      </c>
      <c r="M1165" s="6" t="s">
        <v>1590</v>
      </c>
      <c r="N1165" s="6"/>
      <c r="O1165" s="6" t="s">
        <v>1428</v>
      </c>
      <c r="P1165" s="6" t="s">
        <v>337</v>
      </c>
      <c r="Q1165" s="6"/>
      <c r="R1165" s="7" t="n">
        <f aca="false">COUNTIF('Label Map'!$D$2:$D$2000,A1165)</f>
        <v>3</v>
      </c>
    </row>
    <row r="1166" customFormat="false" ht="15" hidden="false" customHeight="false" outlineLevel="0" collapsed="false">
      <c r="A1166" s="6" t="s">
        <v>1663</v>
      </c>
      <c r="B1166" s="6" t="s">
        <v>11</v>
      </c>
      <c r="C1166" s="6" t="s">
        <v>3</v>
      </c>
      <c r="D1166" s="6" t="s">
        <v>1312</v>
      </c>
      <c r="E1166" s="6" t="s">
        <v>1585</v>
      </c>
      <c r="F1166" s="6" t="s">
        <v>1661</v>
      </c>
      <c r="G1166" s="6" t="s">
        <v>1662</v>
      </c>
      <c r="H1166" s="6" t="s">
        <v>1663</v>
      </c>
      <c r="I1166" s="6"/>
      <c r="J1166" s="6" t="s">
        <v>1661</v>
      </c>
      <c r="K1166" s="6"/>
      <c r="L1166" s="6"/>
      <c r="M1166" s="6"/>
      <c r="N1166" s="6"/>
      <c r="O1166" s="6"/>
      <c r="P1166" s="6"/>
      <c r="Q1166" s="6" t="s">
        <v>5</v>
      </c>
      <c r="R1166" s="7" t="n">
        <f aca="false">COUNTIF('Label Map'!$D$2:$D$2000,A1166)</f>
        <v>1</v>
      </c>
    </row>
    <row r="1167" customFormat="false" ht="15" hidden="false" customHeight="false" outlineLevel="0" collapsed="false">
      <c r="A1167" s="6" t="s">
        <v>1664</v>
      </c>
      <c r="B1167" s="6" t="s">
        <v>11</v>
      </c>
      <c r="C1167" s="6" t="s">
        <v>3</v>
      </c>
      <c r="D1167" s="6" t="s">
        <v>1312</v>
      </c>
      <c r="E1167" s="6" t="s">
        <v>1585</v>
      </c>
      <c r="F1167" s="6" t="s">
        <v>1661</v>
      </c>
      <c r="G1167" s="6" t="s">
        <v>1662</v>
      </c>
      <c r="H1167" s="6" t="s">
        <v>1664</v>
      </c>
      <c r="I1167" s="6"/>
      <c r="J1167" s="6" t="s">
        <v>1661</v>
      </c>
      <c r="K1167" s="6"/>
      <c r="L1167" s="6"/>
      <c r="M1167" s="6"/>
      <c r="N1167" s="6"/>
      <c r="O1167" s="6"/>
      <c r="P1167" s="6"/>
      <c r="Q1167" s="6" t="s">
        <v>5</v>
      </c>
      <c r="R1167" s="7" t="n">
        <f aca="false">COUNTIF('Label Map'!$D$2:$D$2000,A1167)</f>
        <v>1</v>
      </c>
    </row>
    <row r="1168" customFormat="false" ht="15" hidden="false" customHeight="false" outlineLevel="0" collapsed="false">
      <c r="A1168" s="6" t="s">
        <v>1665</v>
      </c>
      <c r="B1168" s="6" t="s">
        <v>11</v>
      </c>
      <c r="C1168" s="6" t="s">
        <v>3</v>
      </c>
      <c r="D1168" s="6" t="s">
        <v>1312</v>
      </c>
      <c r="E1168" s="6" t="s">
        <v>1585</v>
      </c>
      <c r="F1168" s="6" t="s">
        <v>1661</v>
      </c>
      <c r="G1168" s="6" t="s">
        <v>1662</v>
      </c>
      <c r="H1168" s="6" t="s">
        <v>1665</v>
      </c>
      <c r="I1168" s="6"/>
      <c r="J1168" s="6" t="s">
        <v>1661</v>
      </c>
      <c r="K1168" s="6"/>
      <c r="L1168" s="6"/>
      <c r="M1168" s="6"/>
      <c r="N1168" s="6"/>
      <c r="O1168" s="6"/>
      <c r="P1168" s="6"/>
      <c r="Q1168" s="6" t="s">
        <v>5</v>
      </c>
      <c r="R1168" s="7" t="n">
        <f aca="false">COUNTIF('Label Map'!$D$2:$D$2000,A1168)</f>
        <v>1</v>
      </c>
    </row>
    <row r="1169" customFormat="false" ht="15" hidden="false" customHeight="false" outlineLevel="0" collapsed="false">
      <c r="A1169" s="6" t="s">
        <v>1666</v>
      </c>
      <c r="B1169" s="6" t="s">
        <v>11</v>
      </c>
      <c r="C1169" s="6" t="s">
        <v>3</v>
      </c>
      <c r="D1169" s="6" t="s">
        <v>1312</v>
      </c>
      <c r="E1169" s="6" t="s">
        <v>1585</v>
      </c>
      <c r="F1169" s="6" t="s">
        <v>1661</v>
      </c>
      <c r="G1169" s="6" t="s">
        <v>1662</v>
      </c>
      <c r="H1169" s="6" t="s">
        <v>1666</v>
      </c>
      <c r="I1169" s="6"/>
      <c r="J1169" s="6" t="s">
        <v>1661</v>
      </c>
      <c r="K1169" s="6"/>
      <c r="L1169" s="6"/>
      <c r="M1169" s="6"/>
      <c r="N1169" s="6"/>
      <c r="O1169" s="6"/>
      <c r="P1169" s="6"/>
      <c r="Q1169" s="6" t="s">
        <v>5</v>
      </c>
      <c r="R1169" s="7" t="n">
        <f aca="false">COUNTIF('Label Map'!$D$2:$D$2000,A1169)</f>
        <v>1</v>
      </c>
    </row>
    <row r="1170" customFormat="false" ht="15" hidden="false" customHeight="false" outlineLevel="0" collapsed="false">
      <c r="A1170" s="6" t="s">
        <v>1667</v>
      </c>
      <c r="B1170" s="6" t="s">
        <v>11</v>
      </c>
      <c r="C1170" s="6" t="s">
        <v>3</v>
      </c>
      <c r="D1170" s="6" t="s">
        <v>1312</v>
      </c>
      <c r="E1170" s="6" t="s">
        <v>1585</v>
      </c>
      <c r="F1170" s="6" t="s">
        <v>1661</v>
      </c>
      <c r="G1170" s="6" t="s">
        <v>1662</v>
      </c>
      <c r="H1170" s="6" t="s">
        <v>1667</v>
      </c>
      <c r="I1170" s="6"/>
      <c r="J1170" s="6" t="s">
        <v>1661</v>
      </c>
      <c r="K1170" s="6"/>
      <c r="L1170" s="6"/>
      <c r="M1170" s="6"/>
      <c r="N1170" s="6"/>
      <c r="O1170" s="6"/>
      <c r="P1170" s="6"/>
      <c r="Q1170" s="6" t="s">
        <v>5</v>
      </c>
      <c r="R1170" s="7" t="n">
        <f aca="false">COUNTIF('Label Map'!$D$2:$D$2000,A1170)</f>
        <v>1</v>
      </c>
    </row>
    <row r="1171" customFormat="false" ht="15" hidden="false" customHeight="false" outlineLevel="0" collapsed="false">
      <c r="A1171" s="6" t="s">
        <v>1668</v>
      </c>
      <c r="B1171" s="6" t="s">
        <v>11</v>
      </c>
      <c r="C1171" s="6" t="s">
        <v>3</v>
      </c>
      <c r="D1171" s="6" t="s">
        <v>1312</v>
      </c>
      <c r="E1171" s="6" t="s">
        <v>1585</v>
      </c>
      <c r="F1171" s="6" t="s">
        <v>1661</v>
      </c>
      <c r="G1171" s="6" t="s">
        <v>1662</v>
      </c>
      <c r="H1171" s="6" t="s">
        <v>1668</v>
      </c>
      <c r="I1171" s="6"/>
      <c r="J1171" s="6" t="s">
        <v>1661</v>
      </c>
      <c r="K1171" s="6"/>
      <c r="L1171" s="6"/>
      <c r="M1171" s="6"/>
      <c r="N1171" s="6"/>
      <c r="O1171" s="6"/>
      <c r="P1171" s="6"/>
      <c r="Q1171" s="6" t="s">
        <v>5</v>
      </c>
      <c r="R1171" s="7" t="n">
        <f aca="false">COUNTIF('Label Map'!$D$2:$D$2000,A1171)</f>
        <v>1</v>
      </c>
    </row>
    <row r="1172" customFormat="false" ht="15" hidden="false" customHeight="false" outlineLevel="0" collapsed="false">
      <c r="A1172" s="6" t="s">
        <v>1669</v>
      </c>
      <c r="B1172" s="6" t="s">
        <v>11</v>
      </c>
      <c r="C1172" s="6" t="s">
        <v>3</v>
      </c>
      <c r="D1172" s="6" t="s">
        <v>1312</v>
      </c>
      <c r="E1172" s="6" t="s">
        <v>1585</v>
      </c>
      <c r="F1172" s="6" t="s">
        <v>1661</v>
      </c>
      <c r="G1172" s="6" t="s">
        <v>1662</v>
      </c>
      <c r="H1172" s="6" t="s">
        <v>1669</v>
      </c>
      <c r="I1172" s="6"/>
      <c r="J1172" s="6" t="s">
        <v>1661</v>
      </c>
      <c r="K1172" s="6"/>
      <c r="L1172" s="6"/>
      <c r="M1172" s="6"/>
      <c r="N1172" s="6"/>
      <c r="O1172" s="6"/>
      <c r="P1172" s="6"/>
      <c r="Q1172" s="6" t="s">
        <v>5</v>
      </c>
      <c r="R1172" s="7" t="n">
        <f aca="false">COUNTIF('Label Map'!$D$2:$D$2000,A1172)</f>
        <v>1</v>
      </c>
    </row>
    <row r="1173" customFormat="false" ht="15" hidden="false" customHeight="false" outlineLevel="0" collapsed="false">
      <c r="A1173" s="6" t="s">
        <v>1670</v>
      </c>
      <c r="B1173" s="6" t="s">
        <v>11</v>
      </c>
      <c r="C1173" s="6" t="s">
        <v>3</v>
      </c>
      <c r="D1173" s="6" t="s">
        <v>1312</v>
      </c>
      <c r="E1173" s="6" t="s">
        <v>1585</v>
      </c>
      <c r="F1173" s="6" t="s">
        <v>1661</v>
      </c>
      <c r="G1173" s="6" t="s">
        <v>1662</v>
      </c>
      <c r="H1173" s="6" t="s">
        <v>1670</v>
      </c>
      <c r="I1173" s="6"/>
      <c r="J1173" s="6" t="s">
        <v>1661</v>
      </c>
      <c r="K1173" s="6"/>
      <c r="L1173" s="6"/>
      <c r="M1173" s="6"/>
      <c r="N1173" s="6"/>
      <c r="O1173" s="6"/>
      <c r="P1173" s="6"/>
      <c r="Q1173" s="6" t="s">
        <v>5</v>
      </c>
      <c r="R1173" s="7" t="n">
        <f aca="false">COUNTIF('Label Map'!$D$2:$D$2000,A1173)</f>
        <v>1</v>
      </c>
    </row>
    <row r="1174" customFormat="false" ht="15" hidden="false" customHeight="false" outlineLevel="0" collapsed="false">
      <c r="A1174" s="6" t="s">
        <v>1671</v>
      </c>
      <c r="B1174" s="6" t="s">
        <v>11</v>
      </c>
      <c r="C1174" s="6" t="s">
        <v>3</v>
      </c>
      <c r="D1174" s="6" t="s">
        <v>1312</v>
      </c>
      <c r="E1174" s="6" t="s">
        <v>1585</v>
      </c>
      <c r="F1174" s="6" t="s">
        <v>1661</v>
      </c>
      <c r="G1174" s="6" t="s">
        <v>1662</v>
      </c>
      <c r="H1174" s="6" t="s">
        <v>1671</v>
      </c>
      <c r="I1174" s="6"/>
      <c r="J1174" s="6" t="s">
        <v>1661</v>
      </c>
      <c r="K1174" s="6"/>
      <c r="L1174" s="6"/>
      <c r="M1174" s="6"/>
      <c r="N1174" s="6"/>
      <c r="O1174" s="6"/>
      <c r="P1174" s="6"/>
      <c r="Q1174" s="6" t="s">
        <v>5</v>
      </c>
      <c r="R1174" s="7" t="n">
        <f aca="false">COUNTIF('Label Map'!$D$2:$D$2000,A1174)</f>
        <v>1</v>
      </c>
    </row>
    <row r="1175" customFormat="false" ht="15" hidden="false" customHeight="false" outlineLevel="0" collapsed="false">
      <c r="A1175" s="6" t="s">
        <v>1672</v>
      </c>
      <c r="B1175" s="6" t="s">
        <v>11</v>
      </c>
      <c r="C1175" s="6" t="s">
        <v>3</v>
      </c>
      <c r="D1175" s="6" t="s">
        <v>1312</v>
      </c>
      <c r="E1175" s="6" t="s">
        <v>1585</v>
      </c>
      <c r="F1175" s="6" t="s">
        <v>1661</v>
      </c>
      <c r="G1175" s="6" t="s">
        <v>1662</v>
      </c>
      <c r="H1175" s="6" t="s">
        <v>1672</v>
      </c>
      <c r="I1175" s="6"/>
      <c r="J1175" s="6" t="s">
        <v>1661</v>
      </c>
      <c r="K1175" s="6"/>
      <c r="L1175" s="6"/>
      <c r="M1175" s="6"/>
      <c r="N1175" s="6"/>
      <c r="O1175" s="6"/>
      <c r="P1175" s="6"/>
      <c r="Q1175" s="6" t="s">
        <v>5</v>
      </c>
      <c r="R1175" s="7" t="n">
        <f aca="false">COUNTIF('Label Map'!$D$2:$D$2000,A1175)</f>
        <v>1</v>
      </c>
    </row>
    <row r="1176" customFormat="false" ht="15" hidden="false" customHeight="false" outlineLevel="0" collapsed="false">
      <c r="A1176" s="6" t="s">
        <v>1673</v>
      </c>
      <c r="B1176" s="6" t="s">
        <v>11</v>
      </c>
      <c r="C1176" s="6" t="s">
        <v>3</v>
      </c>
      <c r="D1176" s="6" t="s">
        <v>1312</v>
      </c>
      <c r="E1176" s="6" t="s">
        <v>1585</v>
      </c>
      <c r="F1176" s="6" t="s">
        <v>1661</v>
      </c>
      <c r="G1176" s="6" t="s">
        <v>1662</v>
      </c>
      <c r="H1176" s="6" t="s">
        <v>1673</v>
      </c>
      <c r="I1176" s="6"/>
      <c r="J1176" s="6" t="s">
        <v>1661</v>
      </c>
      <c r="K1176" s="6"/>
      <c r="L1176" s="6"/>
      <c r="M1176" s="6"/>
      <c r="N1176" s="6"/>
      <c r="O1176" s="6"/>
      <c r="P1176" s="6"/>
      <c r="Q1176" s="6" t="s">
        <v>5</v>
      </c>
      <c r="R1176" s="7" t="n">
        <f aca="false">COUNTIF('Label Map'!$D$2:$D$2000,A1176)</f>
        <v>1</v>
      </c>
    </row>
    <row r="1177" customFormat="false" ht="15" hidden="false" customHeight="false" outlineLevel="0" collapsed="false">
      <c r="A1177" s="6" t="s">
        <v>1674</v>
      </c>
      <c r="B1177" s="6" t="s">
        <v>11</v>
      </c>
      <c r="C1177" s="6" t="s">
        <v>3</v>
      </c>
      <c r="D1177" s="6" t="s">
        <v>1312</v>
      </c>
      <c r="E1177" s="6" t="s">
        <v>1585</v>
      </c>
      <c r="F1177" s="6" t="s">
        <v>1661</v>
      </c>
      <c r="G1177" s="6" t="s">
        <v>1662</v>
      </c>
      <c r="H1177" s="6" t="s">
        <v>1674</v>
      </c>
      <c r="I1177" s="6"/>
      <c r="J1177" s="6" t="s">
        <v>1661</v>
      </c>
      <c r="K1177" s="6"/>
      <c r="L1177" s="6"/>
      <c r="M1177" s="6"/>
      <c r="N1177" s="6"/>
      <c r="O1177" s="6"/>
      <c r="P1177" s="6"/>
      <c r="Q1177" s="6" t="s">
        <v>5</v>
      </c>
      <c r="R1177" s="7" t="n">
        <f aca="false">COUNTIF('Label Map'!$D$2:$D$2000,A1177)</f>
        <v>1</v>
      </c>
    </row>
    <row r="1178" customFormat="false" ht="15" hidden="false" customHeight="false" outlineLevel="0" collapsed="false">
      <c r="A1178" s="6" t="s">
        <v>1675</v>
      </c>
      <c r="B1178" s="6" t="s">
        <v>11</v>
      </c>
      <c r="C1178" s="6" t="s">
        <v>3</v>
      </c>
      <c r="D1178" s="6" t="s">
        <v>1312</v>
      </c>
      <c r="E1178" s="6" t="s">
        <v>1585</v>
      </c>
      <c r="F1178" s="6" t="s">
        <v>1661</v>
      </c>
      <c r="G1178" s="6" t="s">
        <v>1662</v>
      </c>
      <c r="H1178" s="6" t="s">
        <v>1675</v>
      </c>
      <c r="I1178" s="6"/>
      <c r="J1178" s="6" t="s">
        <v>1661</v>
      </c>
      <c r="K1178" s="6"/>
      <c r="L1178" s="6"/>
      <c r="M1178" s="6"/>
      <c r="N1178" s="6"/>
      <c r="O1178" s="6"/>
      <c r="P1178" s="6"/>
      <c r="Q1178" s="6" t="s">
        <v>5</v>
      </c>
      <c r="R1178" s="7" t="n">
        <f aca="false">COUNTIF('Label Map'!$D$2:$D$2000,A1178)</f>
        <v>2</v>
      </c>
    </row>
    <row r="1179" customFormat="false" ht="15" hidden="false" customHeight="false" outlineLevel="0" collapsed="false">
      <c r="A1179" s="6" t="s">
        <v>1676</v>
      </c>
      <c r="B1179" s="6" t="s">
        <v>11</v>
      </c>
      <c r="C1179" s="6" t="s">
        <v>3</v>
      </c>
      <c r="D1179" s="6" t="s">
        <v>1312</v>
      </c>
      <c r="E1179" s="6" t="s">
        <v>1585</v>
      </c>
      <c r="F1179" s="6" t="s">
        <v>1661</v>
      </c>
      <c r="G1179" s="6" t="s">
        <v>1662</v>
      </c>
      <c r="H1179" s="6" t="s">
        <v>1676</v>
      </c>
      <c r="I1179" s="6"/>
      <c r="J1179" s="6" t="s">
        <v>1661</v>
      </c>
      <c r="K1179" s="6"/>
      <c r="L1179" s="6"/>
      <c r="M1179" s="6"/>
      <c r="N1179" s="6"/>
      <c r="O1179" s="6"/>
      <c r="P1179" s="6"/>
      <c r="Q1179" s="6" t="s">
        <v>5</v>
      </c>
      <c r="R1179" s="7" t="n">
        <f aca="false">COUNTIF('Label Map'!$D$2:$D$2000,A1179)</f>
        <v>1</v>
      </c>
    </row>
    <row r="1180" customFormat="false" ht="15" hidden="false" customHeight="false" outlineLevel="0" collapsed="false">
      <c r="A1180" s="6" t="s">
        <v>1677</v>
      </c>
      <c r="B1180" s="6" t="s">
        <v>11</v>
      </c>
      <c r="C1180" s="6" t="s">
        <v>3</v>
      </c>
      <c r="D1180" s="6" t="s">
        <v>1312</v>
      </c>
      <c r="E1180" s="6" t="s">
        <v>1585</v>
      </c>
      <c r="F1180" s="6" t="s">
        <v>1661</v>
      </c>
      <c r="G1180" s="6" t="s">
        <v>1662</v>
      </c>
      <c r="H1180" s="6" t="s">
        <v>1677</v>
      </c>
      <c r="I1180" s="6"/>
      <c r="J1180" s="6" t="s">
        <v>1661</v>
      </c>
      <c r="K1180" s="6"/>
      <c r="L1180" s="6"/>
      <c r="M1180" s="6"/>
      <c r="N1180" s="6"/>
      <c r="O1180" s="6"/>
      <c r="P1180" s="6"/>
      <c r="Q1180" s="6" t="s">
        <v>5</v>
      </c>
      <c r="R1180" s="7" t="n">
        <f aca="false">COUNTIF('Label Map'!$D$2:$D$2000,A1180)</f>
        <v>1</v>
      </c>
    </row>
    <row r="1181" customFormat="false" ht="15" hidden="false" customHeight="false" outlineLevel="0" collapsed="false">
      <c r="A1181" s="6" t="s">
        <v>1678</v>
      </c>
      <c r="B1181" s="6" t="s">
        <v>11</v>
      </c>
      <c r="C1181" s="6" t="s">
        <v>3</v>
      </c>
      <c r="D1181" s="6" t="s">
        <v>1312</v>
      </c>
      <c r="E1181" s="6" t="s">
        <v>1585</v>
      </c>
      <c r="F1181" s="6" t="s">
        <v>1661</v>
      </c>
      <c r="G1181" s="6" t="s">
        <v>1662</v>
      </c>
      <c r="H1181" s="6" t="s">
        <v>1678</v>
      </c>
      <c r="I1181" s="6"/>
      <c r="J1181" s="6" t="s">
        <v>1661</v>
      </c>
      <c r="K1181" s="6"/>
      <c r="L1181" s="6"/>
      <c r="M1181" s="6"/>
      <c r="N1181" s="6"/>
      <c r="O1181" s="6"/>
      <c r="P1181" s="6"/>
      <c r="Q1181" s="6" t="s">
        <v>5</v>
      </c>
      <c r="R1181" s="7" t="n">
        <f aca="false">COUNTIF('Label Map'!$D$2:$D$2000,A1181)</f>
        <v>1</v>
      </c>
    </row>
    <row r="1182" customFormat="false" ht="15" hidden="false" customHeight="false" outlineLevel="0" collapsed="false">
      <c r="A1182" s="6" t="s">
        <v>1679</v>
      </c>
      <c r="B1182" s="6" t="s">
        <v>11</v>
      </c>
      <c r="C1182" s="6" t="s">
        <v>3</v>
      </c>
      <c r="D1182" s="6" t="s">
        <v>1312</v>
      </c>
      <c r="E1182" s="6" t="s">
        <v>1585</v>
      </c>
      <c r="F1182" s="6" t="s">
        <v>1661</v>
      </c>
      <c r="G1182" s="6" t="s">
        <v>1662</v>
      </c>
      <c r="H1182" s="6" t="s">
        <v>1679</v>
      </c>
      <c r="I1182" s="6"/>
      <c r="J1182" s="6" t="s">
        <v>1661</v>
      </c>
      <c r="K1182" s="6"/>
      <c r="L1182" s="6"/>
      <c r="M1182" s="6"/>
      <c r="N1182" s="6"/>
      <c r="O1182" s="6"/>
      <c r="P1182" s="6"/>
      <c r="Q1182" s="6" t="s">
        <v>5</v>
      </c>
      <c r="R1182" s="7" t="n">
        <f aca="false">COUNTIF('Label Map'!$D$2:$D$2000,A1182)</f>
        <v>1</v>
      </c>
    </row>
    <row r="1183" customFormat="false" ht="15" hidden="false" customHeight="false" outlineLevel="0" collapsed="false">
      <c r="A1183" s="6" t="s">
        <v>1680</v>
      </c>
      <c r="B1183" s="6" t="s">
        <v>11</v>
      </c>
      <c r="C1183" s="6" t="s">
        <v>3</v>
      </c>
      <c r="D1183" s="6" t="s">
        <v>1312</v>
      </c>
      <c r="E1183" s="6" t="s">
        <v>1585</v>
      </c>
      <c r="F1183" s="6" t="s">
        <v>1661</v>
      </c>
      <c r="G1183" s="6" t="s">
        <v>1662</v>
      </c>
      <c r="H1183" s="6" t="s">
        <v>1680</v>
      </c>
      <c r="I1183" s="6"/>
      <c r="J1183" s="6" t="s">
        <v>1661</v>
      </c>
      <c r="K1183" s="6"/>
      <c r="L1183" s="6"/>
      <c r="M1183" s="6"/>
      <c r="N1183" s="6"/>
      <c r="O1183" s="6"/>
      <c r="P1183" s="6"/>
      <c r="Q1183" s="6" t="s">
        <v>5</v>
      </c>
      <c r="R1183" s="7" t="n">
        <f aca="false">COUNTIF('Label Map'!$D$2:$D$2000,A1183)</f>
        <v>0</v>
      </c>
    </row>
    <row r="1184" customFormat="false" ht="15" hidden="false" customHeight="false" outlineLevel="0" collapsed="false">
      <c r="A1184" s="6" t="s">
        <v>1681</v>
      </c>
      <c r="B1184" s="6" t="s">
        <v>63</v>
      </c>
      <c r="C1184" s="6" t="s">
        <v>3</v>
      </c>
      <c r="D1184" s="6" t="s">
        <v>1312</v>
      </c>
      <c r="E1184" s="6" t="s">
        <v>1585</v>
      </c>
      <c r="F1184" s="6" t="s">
        <v>1661</v>
      </c>
      <c r="G1184" s="6" t="s">
        <v>1662</v>
      </c>
      <c r="H1184" s="6"/>
      <c r="I1184" s="6" t="s">
        <v>1681</v>
      </c>
      <c r="J1184" s="6" t="s">
        <v>1661</v>
      </c>
      <c r="K1184" s="6"/>
      <c r="L1184" s="6"/>
      <c r="M1184" s="6"/>
      <c r="N1184" s="6"/>
      <c r="O1184" s="6"/>
      <c r="P1184" s="6"/>
      <c r="Q1184" s="6"/>
      <c r="R1184" s="7" t="n">
        <f aca="false">COUNTIF('Label Map'!$D$2:$D$2000,A1184)</f>
        <v>0</v>
      </c>
    </row>
    <row r="1185" customFormat="false" ht="15" hidden="false" customHeight="false" outlineLevel="0" collapsed="false">
      <c r="A1185" s="6" t="s">
        <v>1682</v>
      </c>
      <c r="B1185" s="6" t="s">
        <v>9</v>
      </c>
      <c r="C1185" s="6" t="s">
        <v>3</v>
      </c>
      <c r="D1185" s="6" t="s">
        <v>1312</v>
      </c>
      <c r="E1185" s="6" t="s">
        <v>1585</v>
      </c>
      <c r="F1185" s="6" t="s">
        <v>1682</v>
      </c>
      <c r="G1185" s="6" t="s">
        <v>1683</v>
      </c>
      <c r="H1185" s="6"/>
      <c r="I1185" s="6"/>
      <c r="J1185" s="6" t="s">
        <v>1585</v>
      </c>
      <c r="K1185" s="6" t="s">
        <v>1392</v>
      </c>
      <c r="L1185" s="6" t="s">
        <v>744</v>
      </c>
      <c r="M1185" s="6" t="s">
        <v>1590</v>
      </c>
      <c r="N1185" s="6"/>
      <c r="O1185" s="6" t="s">
        <v>1428</v>
      </c>
      <c r="P1185" s="6" t="s">
        <v>87</v>
      </c>
      <c r="Q1185" s="6"/>
      <c r="R1185" s="7" t="n">
        <f aca="false">COUNTIF('Label Map'!$D$2:$D$2000,A1185)</f>
        <v>4</v>
      </c>
    </row>
    <row r="1186" customFormat="false" ht="15" hidden="false" customHeight="false" outlineLevel="0" collapsed="false">
      <c r="A1186" s="6" t="s">
        <v>1684</v>
      </c>
      <c r="B1186" s="6" t="s">
        <v>9</v>
      </c>
      <c r="C1186" s="6" t="s">
        <v>3</v>
      </c>
      <c r="D1186" s="6" t="s">
        <v>1312</v>
      </c>
      <c r="E1186" s="6" t="s">
        <v>1585</v>
      </c>
      <c r="F1186" s="6" t="s">
        <v>1684</v>
      </c>
      <c r="G1186" s="6" t="s">
        <v>1685</v>
      </c>
      <c r="H1186" s="6"/>
      <c r="I1186" s="6"/>
      <c r="J1186" s="6" t="s">
        <v>1585</v>
      </c>
      <c r="K1186" s="6" t="s">
        <v>1586</v>
      </c>
      <c r="L1186" s="6" t="s">
        <v>744</v>
      </c>
      <c r="M1186" s="6" t="s">
        <v>1590</v>
      </c>
      <c r="N1186" s="6"/>
      <c r="O1186" s="6" t="s">
        <v>1428</v>
      </c>
      <c r="P1186" s="6" t="s">
        <v>337</v>
      </c>
      <c r="Q1186" s="6"/>
      <c r="R1186" s="7" t="n">
        <f aca="false">COUNTIF('Label Map'!$D$2:$D$2000,A1186)</f>
        <v>3</v>
      </c>
    </row>
    <row r="1187" customFormat="false" ht="15" hidden="false" customHeight="false" outlineLevel="0" collapsed="false">
      <c r="A1187" s="6" t="s">
        <v>1686</v>
      </c>
      <c r="B1187" s="6" t="s">
        <v>63</v>
      </c>
      <c r="C1187" s="6" t="s">
        <v>3</v>
      </c>
      <c r="D1187" s="6" t="s">
        <v>1312</v>
      </c>
      <c r="E1187" s="6" t="s">
        <v>1585</v>
      </c>
      <c r="F1187" s="6" t="s">
        <v>1684</v>
      </c>
      <c r="G1187" s="6" t="s">
        <v>1685</v>
      </c>
      <c r="H1187" s="6"/>
      <c r="I1187" s="6" t="s">
        <v>1686</v>
      </c>
      <c r="J1187" s="6" t="s">
        <v>1684</v>
      </c>
      <c r="K1187" s="6"/>
      <c r="L1187" s="6"/>
      <c r="M1187" s="6"/>
      <c r="N1187" s="6"/>
      <c r="O1187" s="6"/>
      <c r="P1187" s="6"/>
      <c r="Q1187" s="6"/>
      <c r="R1187" s="7" t="n">
        <f aca="false">COUNTIF('Label Map'!$D$2:$D$2000,A1187)</f>
        <v>0</v>
      </c>
    </row>
    <row r="1188" customFormat="false" ht="15" hidden="false" customHeight="false" outlineLevel="0" collapsed="false">
      <c r="A1188" s="6" t="s">
        <v>1687</v>
      </c>
      <c r="B1188" s="6" t="s">
        <v>9</v>
      </c>
      <c r="C1188" s="6" t="s">
        <v>3</v>
      </c>
      <c r="D1188" s="6" t="s">
        <v>1312</v>
      </c>
      <c r="E1188" s="6" t="s">
        <v>1585</v>
      </c>
      <c r="F1188" s="6" t="s">
        <v>1687</v>
      </c>
      <c r="G1188" s="6" t="s">
        <v>1688</v>
      </c>
      <c r="H1188" s="6"/>
      <c r="I1188" s="6"/>
      <c r="J1188" s="6" t="s">
        <v>1585</v>
      </c>
      <c r="K1188" s="6" t="s">
        <v>1689</v>
      </c>
      <c r="L1188" s="6" t="s">
        <v>744</v>
      </c>
      <c r="M1188" s="6" t="s">
        <v>1590</v>
      </c>
      <c r="N1188" s="6"/>
      <c r="O1188" s="6" t="s">
        <v>1428</v>
      </c>
      <c r="P1188" s="6" t="s">
        <v>468</v>
      </c>
      <c r="Q1188" s="6"/>
      <c r="R1188" s="7" t="n">
        <f aca="false">COUNTIF('Label Map'!$D$2:$D$2000,A1188)</f>
        <v>3</v>
      </c>
    </row>
    <row r="1189" customFormat="false" ht="15" hidden="false" customHeight="false" outlineLevel="0" collapsed="false">
      <c r="A1189" s="6" t="s">
        <v>1690</v>
      </c>
      <c r="B1189" s="6" t="s">
        <v>9</v>
      </c>
      <c r="C1189" s="6" t="s">
        <v>3</v>
      </c>
      <c r="D1189" s="6" t="s">
        <v>1312</v>
      </c>
      <c r="E1189" s="6" t="s">
        <v>1585</v>
      </c>
      <c r="F1189" s="6" t="s">
        <v>1690</v>
      </c>
      <c r="G1189" s="6" t="s">
        <v>1691</v>
      </c>
      <c r="H1189" s="6"/>
      <c r="I1189" s="6"/>
      <c r="J1189" s="6" t="s">
        <v>1585</v>
      </c>
      <c r="K1189" s="6" t="s">
        <v>1586</v>
      </c>
      <c r="L1189" s="6" t="s">
        <v>744</v>
      </c>
      <c r="M1189" s="6" t="s">
        <v>1590</v>
      </c>
      <c r="N1189" s="6"/>
      <c r="O1189" s="6" t="s">
        <v>1428</v>
      </c>
      <c r="P1189" s="6" t="s">
        <v>337</v>
      </c>
      <c r="Q1189" s="6"/>
      <c r="R1189" s="7" t="n">
        <f aca="false">COUNTIF('Label Map'!$D$2:$D$2000,A1189)</f>
        <v>4</v>
      </c>
    </row>
    <row r="1190" customFormat="false" ht="15" hidden="false" customHeight="false" outlineLevel="0" collapsed="false">
      <c r="A1190" s="6" t="s">
        <v>1692</v>
      </c>
      <c r="B1190" s="6" t="s">
        <v>63</v>
      </c>
      <c r="C1190" s="6" t="s">
        <v>3</v>
      </c>
      <c r="D1190" s="6" t="s">
        <v>1312</v>
      </c>
      <c r="E1190" s="6" t="s">
        <v>1585</v>
      </c>
      <c r="F1190" s="6" t="s">
        <v>1690</v>
      </c>
      <c r="G1190" s="6" t="s">
        <v>1691</v>
      </c>
      <c r="H1190" s="6"/>
      <c r="I1190" s="6" t="s">
        <v>1692</v>
      </c>
      <c r="J1190" s="6" t="s">
        <v>1690</v>
      </c>
      <c r="K1190" s="6"/>
      <c r="L1190" s="6"/>
      <c r="M1190" s="6"/>
      <c r="N1190" s="6"/>
      <c r="O1190" s="6"/>
      <c r="P1190" s="6"/>
      <c r="Q1190" s="6"/>
      <c r="R1190" s="7" t="n">
        <f aca="false">COUNTIF('Label Map'!$D$2:$D$2000,A1190)</f>
        <v>0</v>
      </c>
    </row>
    <row r="1191" customFormat="false" ht="15" hidden="false" customHeight="false" outlineLevel="0" collapsed="false">
      <c r="A1191" s="6" t="s">
        <v>1693</v>
      </c>
      <c r="B1191" s="6" t="s">
        <v>63</v>
      </c>
      <c r="C1191" s="6" t="s">
        <v>3</v>
      </c>
      <c r="D1191" s="6" t="s">
        <v>1312</v>
      </c>
      <c r="E1191" s="6" t="s">
        <v>1585</v>
      </c>
      <c r="F1191" s="6" t="s">
        <v>1690</v>
      </c>
      <c r="G1191" s="6" t="s">
        <v>1691</v>
      </c>
      <c r="H1191" s="6"/>
      <c r="I1191" s="6" t="s">
        <v>1693</v>
      </c>
      <c r="J1191" s="6" t="s">
        <v>1690</v>
      </c>
      <c r="K1191" s="6"/>
      <c r="L1191" s="6"/>
      <c r="M1191" s="6"/>
      <c r="N1191" s="6"/>
      <c r="O1191" s="6"/>
      <c r="P1191" s="6"/>
      <c r="Q1191" s="6"/>
      <c r="R1191" s="7" t="n">
        <f aca="false">COUNTIF('Label Map'!$D$2:$D$2000,A1191)</f>
        <v>1</v>
      </c>
    </row>
    <row r="1192" customFormat="false" ht="15" hidden="false" customHeight="false" outlineLevel="0" collapsed="false">
      <c r="A1192" s="6" t="s">
        <v>1694</v>
      </c>
      <c r="B1192" s="6" t="s">
        <v>7</v>
      </c>
      <c r="C1192" s="6" t="s">
        <v>3</v>
      </c>
      <c r="D1192" s="6" t="s">
        <v>1312</v>
      </c>
      <c r="E1192" s="6" t="s">
        <v>1694</v>
      </c>
      <c r="F1192" s="6"/>
      <c r="G1192" s="6"/>
      <c r="H1192" s="6"/>
      <c r="I1192" s="6"/>
      <c r="J1192" s="6" t="s">
        <v>1311</v>
      </c>
      <c r="K1192" s="6"/>
      <c r="L1192" s="6"/>
      <c r="M1192" s="6"/>
      <c r="N1192" s="6"/>
      <c r="O1192" s="6"/>
      <c r="P1192" s="6"/>
      <c r="Q1192" s="6"/>
      <c r="R1192" s="7" t="n">
        <f aca="false">COUNTIF('Label Map'!$D$2:$D$2000,A1192)</f>
        <v>8</v>
      </c>
    </row>
    <row r="1193" customFormat="false" ht="15" hidden="false" customHeight="false" outlineLevel="0" collapsed="false">
      <c r="A1193" s="6" t="s">
        <v>1695</v>
      </c>
      <c r="B1193" s="6" t="s">
        <v>314</v>
      </c>
      <c r="C1193" s="6" t="s">
        <v>3</v>
      </c>
      <c r="D1193" s="6" t="s">
        <v>1312</v>
      </c>
      <c r="E1193" s="6" t="s">
        <v>1694</v>
      </c>
      <c r="F1193" s="6"/>
      <c r="G1193" s="6"/>
      <c r="H1193" s="6"/>
      <c r="I1193" s="6"/>
      <c r="J1193" s="6" t="s">
        <v>1694</v>
      </c>
      <c r="K1193" s="6"/>
      <c r="L1193" s="6"/>
      <c r="M1193" s="6"/>
      <c r="N1193" s="6"/>
      <c r="O1193" s="6"/>
      <c r="P1193" s="6"/>
      <c r="Q1193" s="6" t="s">
        <v>1696</v>
      </c>
      <c r="R1193" s="7" t="n">
        <f aca="false">COUNTIF('Label Map'!$D$2:$D$2000,A1193)</f>
        <v>1</v>
      </c>
    </row>
    <row r="1194" customFormat="false" ht="15" hidden="false" customHeight="false" outlineLevel="0" collapsed="false">
      <c r="A1194" s="6" t="s">
        <v>1697</v>
      </c>
      <c r="B1194" s="6" t="s">
        <v>9</v>
      </c>
      <c r="C1194" s="6" t="s">
        <v>3</v>
      </c>
      <c r="D1194" s="6" t="s">
        <v>1312</v>
      </c>
      <c r="E1194" s="6" t="s">
        <v>1694</v>
      </c>
      <c r="F1194" s="6" t="s">
        <v>1697</v>
      </c>
      <c r="G1194" s="6" t="s">
        <v>1698</v>
      </c>
      <c r="H1194" s="6"/>
      <c r="I1194" s="6"/>
      <c r="J1194" s="6" t="s">
        <v>1694</v>
      </c>
      <c r="K1194" s="6" t="s">
        <v>1699</v>
      </c>
      <c r="L1194" s="6" t="s">
        <v>1700</v>
      </c>
      <c r="M1194" s="6" t="s">
        <v>1701</v>
      </c>
      <c r="N1194" s="6"/>
      <c r="O1194" s="6" t="s">
        <v>1428</v>
      </c>
      <c r="P1194" s="6" t="s">
        <v>87</v>
      </c>
      <c r="Q1194" s="6"/>
      <c r="R1194" s="7" t="n">
        <f aca="false">COUNTIF('Label Map'!$D$2:$D$2000,A1194)</f>
        <v>2</v>
      </c>
    </row>
    <row r="1195" customFormat="false" ht="15" hidden="false" customHeight="false" outlineLevel="0" collapsed="false">
      <c r="A1195" s="6" t="s">
        <v>1702</v>
      </c>
      <c r="B1195" s="6" t="s">
        <v>11</v>
      </c>
      <c r="C1195" s="6" t="s">
        <v>3</v>
      </c>
      <c r="D1195" s="6" t="s">
        <v>1312</v>
      </c>
      <c r="E1195" s="6" t="s">
        <v>1694</v>
      </c>
      <c r="F1195" s="6" t="s">
        <v>1697</v>
      </c>
      <c r="G1195" s="6" t="s">
        <v>1698</v>
      </c>
      <c r="H1195" s="6" t="s">
        <v>1702</v>
      </c>
      <c r="I1195" s="6"/>
      <c r="J1195" s="6" t="s">
        <v>1697</v>
      </c>
      <c r="K1195" s="6"/>
      <c r="L1195" s="6"/>
      <c r="M1195" s="6"/>
      <c r="N1195" s="6"/>
      <c r="O1195" s="6"/>
      <c r="P1195" s="6"/>
      <c r="Q1195" s="6" t="s">
        <v>290</v>
      </c>
      <c r="R1195" s="7" t="n">
        <f aca="false">COUNTIF('Label Map'!$D$2:$D$2000,A1195)</f>
        <v>1</v>
      </c>
    </row>
    <row r="1196" customFormat="false" ht="15" hidden="false" customHeight="false" outlineLevel="0" collapsed="false">
      <c r="A1196" s="6" t="s">
        <v>1703</v>
      </c>
      <c r="B1196" s="6" t="s">
        <v>11</v>
      </c>
      <c r="C1196" s="6" t="s">
        <v>3</v>
      </c>
      <c r="D1196" s="6" t="s">
        <v>1312</v>
      </c>
      <c r="E1196" s="6" t="s">
        <v>1694</v>
      </c>
      <c r="F1196" s="6" t="s">
        <v>1697</v>
      </c>
      <c r="G1196" s="6" t="s">
        <v>1698</v>
      </c>
      <c r="H1196" s="6" t="s">
        <v>1703</v>
      </c>
      <c r="I1196" s="6"/>
      <c r="J1196" s="6" t="s">
        <v>1697</v>
      </c>
      <c r="K1196" s="6"/>
      <c r="L1196" s="6"/>
      <c r="M1196" s="6"/>
      <c r="N1196" s="6"/>
      <c r="O1196" s="6"/>
      <c r="P1196" s="6"/>
      <c r="Q1196" s="6" t="s">
        <v>345</v>
      </c>
      <c r="R1196" s="7" t="n">
        <f aca="false">COUNTIF('Label Map'!$D$2:$D$2000,A1196)</f>
        <v>2</v>
      </c>
    </row>
    <row r="1197" customFormat="false" ht="15" hidden="false" customHeight="false" outlineLevel="0" collapsed="false">
      <c r="A1197" s="6" t="s">
        <v>1704</v>
      </c>
      <c r="B1197" s="6" t="s">
        <v>63</v>
      </c>
      <c r="C1197" s="6" t="s">
        <v>3</v>
      </c>
      <c r="D1197" s="6" t="s">
        <v>1312</v>
      </c>
      <c r="E1197" s="6" t="s">
        <v>1694</v>
      </c>
      <c r="F1197" s="6" t="s">
        <v>1697</v>
      </c>
      <c r="G1197" s="6" t="s">
        <v>1698</v>
      </c>
      <c r="H1197" s="6" t="s">
        <v>1703</v>
      </c>
      <c r="I1197" s="6" t="s">
        <v>1704</v>
      </c>
      <c r="J1197" s="6" t="s">
        <v>1703</v>
      </c>
      <c r="K1197" s="6"/>
      <c r="L1197" s="6"/>
      <c r="M1197" s="6"/>
      <c r="N1197" s="6"/>
      <c r="O1197" s="6"/>
      <c r="P1197" s="6"/>
      <c r="Q1197" s="6"/>
      <c r="R1197" s="7" t="n">
        <f aca="false">COUNTIF('Label Map'!$D$2:$D$2000,A1197)</f>
        <v>0</v>
      </c>
    </row>
    <row r="1198" customFormat="false" ht="15" hidden="false" customHeight="false" outlineLevel="0" collapsed="false">
      <c r="A1198" s="6" t="s">
        <v>1705</v>
      </c>
      <c r="B1198" s="6" t="s">
        <v>11</v>
      </c>
      <c r="C1198" s="6" t="s">
        <v>3</v>
      </c>
      <c r="D1198" s="6" t="s">
        <v>1312</v>
      </c>
      <c r="E1198" s="6" t="s">
        <v>1694</v>
      </c>
      <c r="F1198" s="6" t="s">
        <v>1697</v>
      </c>
      <c r="G1198" s="6" t="s">
        <v>1698</v>
      </c>
      <c r="H1198" s="6" t="s">
        <v>1705</v>
      </c>
      <c r="I1198" s="6"/>
      <c r="J1198" s="6" t="s">
        <v>1697</v>
      </c>
      <c r="K1198" s="6"/>
      <c r="L1198" s="6"/>
      <c r="M1198" s="6"/>
      <c r="N1198" s="6"/>
      <c r="O1198" s="6"/>
      <c r="P1198" s="6"/>
      <c r="Q1198" s="6" t="s">
        <v>290</v>
      </c>
      <c r="R1198" s="7" t="n">
        <f aca="false">COUNTIF('Label Map'!$D$2:$D$2000,A1198)</f>
        <v>1</v>
      </c>
    </row>
    <row r="1199" customFormat="false" ht="15" hidden="false" customHeight="false" outlineLevel="0" collapsed="false">
      <c r="A1199" s="6" t="s">
        <v>1706</v>
      </c>
      <c r="B1199" s="6" t="s">
        <v>11</v>
      </c>
      <c r="C1199" s="6" t="s">
        <v>3</v>
      </c>
      <c r="D1199" s="6" t="s">
        <v>1312</v>
      </c>
      <c r="E1199" s="6" t="s">
        <v>1694</v>
      </c>
      <c r="F1199" s="6" t="s">
        <v>1697</v>
      </c>
      <c r="G1199" s="6" t="s">
        <v>1698</v>
      </c>
      <c r="H1199" s="6" t="s">
        <v>1706</v>
      </c>
      <c r="I1199" s="6"/>
      <c r="J1199" s="6" t="s">
        <v>1697</v>
      </c>
      <c r="K1199" s="6"/>
      <c r="L1199" s="6"/>
      <c r="M1199" s="6"/>
      <c r="N1199" s="6"/>
      <c r="O1199" s="6"/>
      <c r="P1199" s="6"/>
      <c r="Q1199" s="6" t="s">
        <v>345</v>
      </c>
      <c r="R1199" s="7" t="n">
        <f aca="false">COUNTIF('Label Map'!$D$2:$D$2000,A1199)</f>
        <v>1</v>
      </c>
    </row>
    <row r="1200" customFormat="false" ht="15" hidden="false" customHeight="false" outlineLevel="0" collapsed="false">
      <c r="A1200" s="6" t="s">
        <v>1707</v>
      </c>
      <c r="B1200" s="6" t="s">
        <v>63</v>
      </c>
      <c r="C1200" s="6" t="s">
        <v>3</v>
      </c>
      <c r="D1200" s="6" t="s">
        <v>1312</v>
      </c>
      <c r="E1200" s="6" t="s">
        <v>1694</v>
      </c>
      <c r="F1200" s="6" t="s">
        <v>1697</v>
      </c>
      <c r="G1200" s="6" t="s">
        <v>1698</v>
      </c>
      <c r="H1200" s="6" t="s">
        <v>1706</v>
      </c>
      <c r="I1200" s="6" t="s">
        <v>1707</v>
      </c>
      <c r="J1200" s="6" t="s">
        <v>1706</v>
      </c>
      <c r="K1200" s="6"/>
      <c r="L1200" s="6"/>
      <c r="M1200" s="6"/>
      <c r="N1200" s="6"/>
      <c r="O1200" s="6"/>
      <c r="P1200" s="6"/>
      <c r="Q1200" s="6"/>
      <c r="R1200" s="7" t="n">
        <f aca="false">COUNTIF('Label Map'!$D$2:$D$2000,A1200)</f>
        <v>1</v>
      </c>
    </row>
    <row r="1201" customFormat="false" ht="15" hidden="false" customHeight="false" outlineLevel="0" collapsed="false">
      <c r="A1201" s="6" t="s">
        <v>1708</v>
      </c>
      <c r="B1201" s="6" t="s">
        <v>11</v>
      </c>
      <c r="C1201" s="6" t="s">
        <v>3</v>
      </c>
      <c r="D1201" s="6" t="s">
        <v>1312</v>
      </c>
      <c r="E1201" s="6" t="s">
        <v>1694</v>
      </c>
      <c r="F1201" s="6" t="s">
        <v>1697</v>
      </c>
      <c r="G1201" s="6" t="s">
        <v>1698</v>
      </c>
      <c r="H1201" s="6" t="s">
        <v>1708</v>
      </c>
      <c r="I1201" s="6"/>
      <c r="J1201" s="6" t="s">
        <v>1697</v>
      </c>
      <c r="K1201" s="6"/>
      <c r="L1201" s="6"/>
      <c r="M1201" s="6"/>
      <c r="N1201" s="6"/>
      <c r="O1201" s="6"/>
      <c r="P1201" s="6"/>
      <c r="Q1201" s="6" t="s">
        <v>345</v>
      </c>
      <c r="R1201" s="7" t="n">
        <f aca="false">COUNTIF('Label Map'!$D$2:$D$2000,A1201)</f>
        <v>1</v>
      </c>
    </row>
    <row r="1202" customFormat="false" ht="15" hidden="false" customHeight="false" outlineLevel="0" collapsed="false">
      <c r="A1202" s="6" t="s">
        <v>1709</v>
      </c>
      <c r="B1202" s="6" t="s">
        <v>63</v>
      </c>
      <c r="C1202" s="6" t="s">
        <v>3</v>
      </c>
      <c r="D1202" s="6" t="s">
        <v>1312</v>
      </c>
      <c r="E1202" s="6" t="s">
        <v>1694</v>
      </c>
      <c r="F1202" s="6" t="s">
        <v>1697</v>
      </c>
      <c r="G1202" s="6" t="s">
        <v>1698</v>
      </c>
      <c r="H1202" s="6" t="s">
        <v>1708</v>
      </c>
      <c r="I1202" s="6" t="s">
        <v>1709</v>
      </c>
      <c r="J1202" s="6" t="s">
        <v>1708</v>
      </c>
      <c r="K1202" s="6"/>
      <c r="L1202" s="6"/>
      <c r="M1202" s="6"/>
      <c r="N1202" s="6"/>
      <c r="O1202" s="6"/>
      <c r="P1202" s="6"/>
      <c r="Q1202" s="6"/>
      <c r="R1202" s="7" t="n">
        <f aca="false">COUNTIF('Label Map'!$D$2:$D$2000,A1202)</f>
        <v>0</v>
      </c>
    </row>
    <row r="1203" customFormat="false" ht="15" hidden="false" customHeight="false" outlineLevel="0" collapsed="false">
      <c r="A1203" s="6" t="s">
        <v>1710</v>
      </c>
      <c r="B1203" s="6" t="s">
        <v>11</v>
      </c>
      <c r="C1203" s="6" t="s">
        <v>3</v>
      </c>
      <c r="D1203" s="6" t="s">
        <v>1312</v>
      </c>
      <c r="E1203" s="6" t="s">
        <v>1694</v>
      </c>
      <c r="F1203" s="6" t="s">
        <v>1697</v>
      </c>
      <c r="G1203" s="6" t="s">
        <v>1698</v>
      </c>
      <c r="H1203" s="6" t="s">
        <v>1710</v>
      </c>
      <c r="I1203" s="6"/>
      <c r="J1203" s="6" t="s">
        <v>1697</v>
      </c>
      <c r="K1203" s="6"/>
      <c r="L1203" s="6"/>
      <c r="M1203" s="6"/>
      <c r="N1203" s="6"/>
      <c r="O1203" s="6"/>
      <c r="P1203" s="6"/>
      <c r="Q1203" s="6" t="s">
        <v>345</v>
      </c>
      <c r="R1203" s="7" t="n">
        <f aca="false">COUNTIF('Label Map'!$D$2:$D$2000,A1203)</f>
        <v>1</v>
      </c>
    </row>
    <row r="1204" customFormat="false" ht="15" hidden="false" customHeight="false" outlineLevel="0" collapsed="false">
      <c r="A1204" s="6" t="s">
        <v>1711</v>
      </c>
      <c r="B1204" s="6" t="s">
        <v>11</v>
      </c>
      <c r="C1204" s="6" t="s">
        <v>3</v>
      </c>
      <c r="D1204" s="6" t="s">
        <v>1312</v>
      </c>
      <c r="E1204" s="6" t="s">
        <v>1694</v>
      </c>
      <c r="F1204" s="6" t="s">
        <v>1697</v>
      </c>
      <c r="G1204" s="6" t="s">
        <v>1698</v>
      </c>
      <c r="H1204" s="6" t="s">
        <v>1711</v>
      </c>
      <c r="I1204" s="6"/>
      <c r="J1204" s="6" t="s">
        <v>1697</v>
      </c>
      <c r="K1204" s="6"/>
      <c r="L1204" s="6"/>
      <c r="M1204" s="6"/>
      <c r="N1204" s="6"/>
      <c r="O1204" s="6"/>
      <c r="P1204" s="6"/>
      <c r="Q1204" s="6" t="s">
        <v>345</v>
      </c>
      <c r="R1204" s="7" t="n">
        <f aca="false">COUNTIF('Label Map'!$D$2:$D$2000,A1204)</f>
        <v>1</v>
      </c>
    </row>
    <row r="1205" customFormat="false" ht="15" hidden="false" customHeight="false" outlineLevel="0" collapsed="false">
      <c r="A1205" s="6" t="s">
        <v>1712</v>
      </c>
      <c r="B1205" s="6" t="s">
        <v>63</v>
      </c>
      <c r="C1205" s="6" t="s">
        <v>3</v>
      </c>
      <c r="D1205" s="6" t="s">
        <v>1312</v>
      </c>
      <c r="E1205" s="6" t="s">
        <v>1694</v>
      </c>
      <c r="F1205" s="6" t="s">
        <v>1697</v>
      </c>
      <c r="G1205" s="6" t="s">
        <v>1698</v>
      </c>
      <c r="H1205" s="6" t="s">
        <v>1711</v>
      </c>
      <c r="I1205" s="6" t="s">
        <v>1712</v>
      </c>
      <c r="J1205" s="6" t="s">
        <v>1711</v>
      </c>
      <c r="K1205" s="6"/>
      <c r="L1205" s="6"/>
      <c r="M1205" s="6"/>
      <c r="N1205" s="6"/>
      <c r="O1205" s="6"/>
      <c r="P1205" s="6"/>
      <c r="Q1205" s="6"/>
      <c r="R1205" s="7" t="n">
        <f aca="false">COUNTIF('Label Map'!$D$2:$D$2000,A1205)</f>
        <v>0</v>
      </c>
    </row>
    <row r="1206" customFormat="false" ht="15" hidden="false" customHeight="false" outlineLevel="0" collapsed="false">
      <c r="A1206" s="6" t="s">
        <v>1713</v>
      </c>
      <c r="B1206" s="6" t="s">
        <v>11</v>
      </c>
      <c r="C1206" s="6" t="s">
        <v>3</v>
      </c>
      <c r="D1206" s="6" t="s">
        <v>1312</v>
      </c>
      <c r="E1206" s="6" t="s">
        <v>1694</v>
      </c>
      <c r="F1206" s="6" t="s">
        <v>1697</v>
      </c>
      <c r="G1206" s="6" t="s">
        <v>1698</v>
      </c>
      <c r="H1206" s="6" t="s">
        <v>1713</v>
      </c>
      <c r="I1206" s="6"/>
      <c r="J1206" s="6" t="s">
        <v>1697</v>
      </c>
      <c r="K1206" s="6"/>
      <c r="L1206" s="6"/>
      <c r="M1206" s="6"/>
      <c r="N1206" s="6"/>
      <c r="O1206" s="6"/>
      <c r="P1206" s="6"/>
      <c r="Q1206" s="6" t="s">
        <v>345</v>
      </c>
      <c r="R1206" s="7" t="n">
        <f aca="false">COUNTIF('Label Map'!$D$2:$D$2000,A1206)</f>
        <v>1</v>
      </c>
    </row>
    <row r="1207" customFormat="false" ht="15" hidden="false" customHeight="false" outlineLevel="0" collapsed="false">
      <c r="A1207" s="6" t="s">
        <v>1714</v>
      </c>
      <c r="B1207" s="6" t="s">
        <v>63</v>
      </c>
      <c r="C1207" s="6" t="s">
        <v>3</v>
      </c>
      <c r="D1207" s="6" t="s">
        <v>1312</v>
      </c>
      <c r="E1207" s="6" t="s">
        <v>1694</v>
      </c>
      <c r="F1207" s="6" t="s">
        <v>1697</v>
      </c>
      <c r="G1207" s="6" t="s">
        <v>1698</v>
      </c>
      <c r="H1207" s="6" t="s">
        <v>1713</v>
      </c>
      <c r="I1207" s="6" t="s">
        <v>1714</v>
      </c>
      <c r="J1207" s="6" t="s">
        <v>1713</v>
      </c>
      <c r="K1207" s="6"/>
      <c r="L1207" s="6"/>
      <c r="M1207" s="6"/>
      <c r="N1207" s="6"/>
      <c r="O1207" s="6"/>
      <c r="P1207" s="6"/>
      <c r="Q1207" s="6" t="s">
        <v>1715</v>
      </c>
      <c r="R1207" s="7" t="n">
        <f aca="false">COUNTIF('Label Map'!$D$2:$D$2000,A1207)</f>
        <v>0</v>
      </c>
    </row>
    <row r="1208" customFormat="false" ht="15" hidden="false" customHeight="false" outlineLevel="0" collapsed="false">
      <c r="A1208" s="6" t="s">
        <v>1716</v>
      </c>
      <c r="B1208" s="6" t="s">
        <v>9</v>
      </c>
      <c r="C1208" s="6" t="s">
        <v>3</v>
      </c>
      <c r="D1208" s="6" t="s">
        <v>1312</v>
      </c>
      <c r="E1208" s="6" t="s">
        <v>1694</v>
      </c>
      <c r="F1208" s="6" t="s">
        <v>1716</v>
      </c>
      <c r="G1208" s="6" t="s">
        <v>1717</v>
      </c>
      <c r="H1208" s="6"/>
      <c r="I1208" s="6"/>
      <c r="J1208" s="6" t="s">
        <v>1694</v>
      </c>
      <c r="K1208" s="6" t="s">
        <v>1699</v>
      </c>
      <c r="L1208" s="6" t="s">
        <v>1700</v>
      </c>
      <c r="M1208" s="6" t="s">
        <v>1701</v>
      </c>
      <c r="N1208" s="6"/>
      <c r="O1208" s="6" t="s">
        <v>1428</v>
      </c>
      <c r="P1208" s="6" t="s">
        <v>87</v>
      </c>
      <c r="Q1208" s="6"/>
      <c r="R1208" s="7" t="n">
        <f aca="false">COUNTIF('Label Map'!$D$2:$D$2000,A1208)</f>
        <v>2</v>
      </c>
    </row>
    <row r="1209" customFormat="false" ht="15" hidden="false" customHeight="false" outlineLevel="0" collapsed="false">
      <c r="A1209" s="6" t="s">
        <v>1718</v>
      </c>
      <c r="B1209" s="6" t="s">
        <v>11</v>
      </c>
      <c r="C1209" s="6" t="s">
        <v>3</v>
      </c>
      <c r="D1209" s="6" t="s">
        <v>1312</v>
      </c>
      <c r="E1209" s="6" t="s">
        <v>1694</v>
      </c>
      <c r="F1209" s="6" t="s">
        <v>1716</v>
      </c>
      <c r="G1209" s="6" t="s">
        <v>1717</v>
      </c>
      <c r="H1209" s="6" t="s">
        <v>1718</v>
      </c>
      <c r="I1209" s="6"/>
      <c r="J1209" s="6" t="s">
        <v>1716</v>
      </c>
      <c r="K1209" s="6"/>
      <c r="L1209" s="6"/>
      <c r="M1209" s="6"/>
      <c r="N1209" s="6"/>
      <c r="O1209" s="6"/>
      <c r="P1209" s="6"/>
      <c r="Q1209" s="6" t="s">
        <v>5</v>
      </c>
      <c r="R1209" s="7" t="n">
        <f aca="false">COUNTIF('Label Map'!$D$2:$D$2000,A1209)</f>
        <v>1</v>
      </c>
    </row>
    <row r="1210" customFormat="false" ht="15" hidden="false" customHeight="false" outlineLevel="0" collapsed="false">
      <c r="A1210" s="6" t="s">
        <v>1719</v>
      </c>
      <c r="B1210" s="6" t="s">
        <v>11</v>
      </c>
      <c r="C1210" s="6" t="s">
        <v>3</v>
      </c>
      <c r="D1210" s="6" t="s">
        <v>1312</v>
      </c>
      <c r="E1210" s="6" t="s">
        <v>1694</v>
      </c>
      <c r="F1210" s="6" t="s">
        <v>1716</v>
      </c>
      <c r="G1210" s="6" t="s">
        <v>1717</v>
      </c>
      <c r="H1210" s="6" t="s">
        <v>1719</v>
      </c>
      <c r="I1210" s="6"/>
      <c r="J1210" s="6" t="s">
        <v>1716</v>
      </c>
      <c r="K1210" s="6"/>
      <c r="L1210" s="6"/>
      <c r="M1210" s="6"/>
      <c r="N1210" s="6"/>
      <c r="O1210" s="6"/>
      <c r="P1210" s="6"/>
      <c r="Q1210" s="6" t="s">
        <v>5</v>
      </c>
      <c r="R1210" s="7" t="n">
        <f aca="false">COUNTIF('Label Map'!$D$2:$D$2000,A1210)</f>
        <v>1</v>
      </c>
    </row>
    <row r="1211" customFormat="false" ht="15" hidden="false" customHeight="false" outlineLevel="0" collapsed="false">
      <c r="A1211" s="6" t="s">
        <v>1720</v>
      </c>
      <c r="B1211" s="6" t="s">
        <v>11</v>
      </c>
      <c r="C1211" s="6" t="s">
        <v>3</v>
      </c>
      <c r="D1211" s="6" t="s">
        <v>1312</v>
      </c>
      <c r="E1211" s="6" t="s">
        <v>1694</v>
      </c>
      <c r="F1211" s="6" t="s">
        <v>1716</v>
      </c>
      <c r="G1211" s="6" t="s">
        <v>1717</v>
      </c>
      <c r="H1211" s="6" t="s">
        <v>1720</v>
      </c>
      <c r="I1211" s="6"/>
      <c r="J1211" s="6" t="s">
        <v>1716</v>
      </c>
      <c r="K1211" s="6"/>
      <c r="L1211" s="6"/>
      <c r="M1211" s="6"/>
      <c r="N1211" s="6"/>
      <c r="O1211" s="6"/>
      <c r="P1211" s="6"/>
      <c r="Q1211" s="6" t="s">
        <v>5</v>
      </c>
      <c r="R1211" s="7" t="n">
        <f aca="false">COUNTIF('Label Map'!$D$2:$D$2000,A1211)</f>
        <v>1</v>
      </c>
    </row>
    <row r="1212" customFormat="false" ht="15" hidden="false" customHeight="false" outlineLevel="0" collapsed="false">
      <c r="A1212" s="6" t="s">
        <v>1721</v>
      </c>
      <c r="B1212" s="6" t="s">
        <v>63</v>
      </c>
      <c r="C1212" s="6" t="s">
        <v>3</v>
      </c>
      <c r="D1212" s="6" t="s">
        <v>1312</v>
      </c>
      <c r="E1212" s="6" t="s">
        <v>1694</v>
      </c>
      <c r="F1212" s="6" t="s">
        <v>1716</v>
      </c>
      <c r="G1212" s="6" t="s">
        <v>1717</v>
      </c>
      <c r="H1212" s="6" t="s">
        <v>1720</v>
      </c>
      <c r="I1212" s="6" t="s">
        <v>1721</v>
      </c>
      <c r="J1212" s="6" t="s">
        <v>1720</v>
      </c>
      <c r="K1212" s="6"/>
      <c r="L1212" s="6"/>
      <c r="M1212" s="6"/>
      <c r="N1212" s="6"/>
      <c r="O1212" s="6"/>
      <c r="P1212" s="6"/>
      <c r="Q1212" s="6"/>
      <c r="R1212" s="7" t="n">
        <f aca="false">COUNTIF('Label Map'!$D$2:$D$2000,A1212)</f>
        <v>0</v>
      </c>
    </row>
    <row r="1213" customFormat="false" ht="15" hidden="false" customHeight="false" outlineLevel="0" collapsed="false">
      <c r="A1213" s="6" t="s">
        <v>1722</v>
      </c>
      <c r="B1213" s="6" t="s">
        <v>11</v>
      </c>
      <c r="C1213" s="6" t="s">
        <v>3</v>
      </c>
      <c r="D1213" s="6" t="s">
        <v>1312</v>
      </c>
      <c r="E1213" s="6" t="s">
        <v>1694</v>
      </c>
      <c r="F1213" s="6" t="s">
        <v>1716</v>
      </c>
      <c r="G1213" s="6" t="s">
        <v>1717</v>
      </c>
      <c r="H1213" s="6" t="s">
        <v>1722</v>
      </c>
      <c r="I1213" s="6"/>
      <c r="J1213" s="6" t="s">
        <v>1716</v>
      </c>
      <c r="K1213" s="6"/>
      <c r="L1213" s="6"/>
      <c r="M1213" s="6"/>
      <c r="N1213" s="6"/>
      <c r="O1213" s="6"/>
      <c r="P1213" s="6"/>
      <c r="Q1213" s="6" t="s">
        <v>5</v>
      </c>
      <c r="R1213" s="7" t="n">
        <f aca="false">COUNTIF('Label Map'!$D$2:$D$2000,A1213)</f>
        <v>1</v>
      </c>
    </row>
    <row r="1214" customFormat="false" ht="15" hidden="false" customHeight="false" outlineLevel="0" collapsed="false">
      <c r="A1214" s="6" t="s">
        <v>1723</v>
      </c>
      <c r="B1214" s="6" t="s">
        <v>11</v>
      </c>
      <c r="C1214" s="6" t="s">
        <v>3</v>
      </c>
      <c r="D1214" s="6" t="s">
        <v>1312</v>
      </c>
      <c r="E1214" s="6" t="s">
        <v>1694</v>
      </c>
      <c r="F1214" s="6" t="s">
        <v>1716</v>
      </c>
      <c r="G1214" s="6" t="s">
        <v>1717</v>
      </c>
      <c r="H1214" s="6" t="s">
        <v>1723</v>
      </c>
      <c r="I1214" s="6"/>
      <c r="J1214" s="6" t="s">
        <v>1716</v>
      </c>
      <c r="K1214" s="6"/>
      <c r="L1214" s="6"/>
      <c r="M1214" s="6"/>
      <c r="N1214" s="6"/>
      <c r="O1214" s="6"/>
      <c r="P1214" s="6"/>
      <c r="Q1214" s="6" t="s">
        <v>5</v>
      </c>
      <c r="R1214" s="7" t="n">
        <f aca="false">COUNTIF('Label Map'!$D$2:$D$2000,A1214)</f>
        <v>1</v>
      </c>
    </row>
    <row r="1215" customFormat="false" ht="15" hidden="false" customHeight="false" outlineLevel="0" collapsed="false">
      <c r="A1215" s="6" t="s">
        <v>1724</v>
      </c>
      <c r="B1215" s="6" t="s">
        <v>11</v>
      </c>
      <c r="C1215" s="6" t="s">
        <v>3</v>
      </c>
      <c r="D1215" s="6" t="s">
        <v>1312</v>
      </c>
      <c r="E1215" s="6" t="s">
        <v>1694</v>
      </c>
      <c r="F1215" s="6" t="s">
        <v>1716</v>
      </c>
      <c r="G1215" s="6" t="s">
        <v>1717</v>
      </c>
      <c r="H1215" s="6" t="s">
        <v>1724</v>
      </c>
      <c r="I1215" s="6"/>
      <c r="J1215" s="6" t="s">
        <v>1716</v>
      </c>
      <c r="K1215" s="6"/>
      <c r="L1215" s="6"/>
      <c r="M1215" s="6"/>
      <c r="N1215" s="6"/>
      <c r="O1215" s="6"/>
      <c r="P1215" s="6"/>
      <c r="Q1215" s="6" t="s">
        <v>5</v>
      </c>
      <c r="R1215" s="7" t="n">
        <f aca="false">COUNTIF('Label Map'!$D$2:$D$2000,A1215)</f>
        <v>1</v>
      </c>
    </row>
    <row r="1216" customFormat="false" ht="15" hidden="false" customHeight="false" outlineLevel="0" collapsed="false">
      <c r="A1216" s="6" t="s">
        <v>1725</v>
      </c>
      <c r="B1216" s="6" t="s">
        <v>11</v>
      </c>
      <c r="C1216" s="6" t="s">
        <v>3</v>
      </c>
      <c r="D1216" s="6" t="s">
        <v>1312</v>
      </c>
      <c r="E1216" s="6" t="s">
        <v>1694</v>
      </c>
      <c r="F1216" s="6" t="s">
        <v>1716</v>
      </c>
      <c r="G1216" s="6" t="s">
        <v>1717</v>
      </c>
      <c r="H1216" s="6" t="s">
        <v>1725</v>
      </c>
      <c r="I1216" s="6"/>
      <c r="J1216" s="6" t="s">
        <v>1716</v>
      </c>
      <c r="K1216" s="6"/>
      <c r="L1216" s="6"/>
      <c r="M1216" s="6"/>
      <c r="N1216" s="6"/>
      <c r="O1216" s="6"/>
      <c r="P1216" s="6"/>
      <c r="Q1216" s="6" t="s">
        <v>5</v>
      </c>
      <c r="R1216" s="7" t="n">
        <f aca="false">COUNTIF('Label Map'!$D$2:$D$2000,A1216)</f>
        <v>1</v>
      </c>
    </row>
    <row r="1217" customFormat="false" ht="15" hidden="false" customHeight="false" outlineLevel="0" collapsed="false">
      <c r="A1217" s="6" t="s">
        <v>1726</v>
      </c>
      <c r="B1217" s="6" t="s">
        <v>11</v>
      </c>
      <c r="C1217" s="6" t="s">
        <v>3</v>
      </c>
      <c r="D1217" s="6" t="s">
        <v>1312</v>
      </c>
      <c r="E1217" s="6" t="s">
        <v>1694</v>
      </c>
      <c r="F1217" s="6" t="s">
        <v>1716</v>
      </c>
      <c r="G1217" s="6" t="s">
        <v>1717</v>
      </c>
      <c r="H1217" s="6" t="s">
        <v>1726</v>
      </c>
      <c r="I1217" s="6"/>
      <c r="J1217" s="6" t="s">
        <v>1716</v>
      </c>
      <c r="K1217" s="6"/>
      <c r="L1217" s="6"/>
      <c r="M1217" s="6"/>
      <c r="N1217" s="6"/>
      <c r="O1217" s="6"/>
      <c r="P1217" s="6"/>
      <c r="Q1217" s="6" t="s">
        <v>5</v>
      </c>
      <c r="R1217" s="7" t="n">
        <f aca="false">COUNTIF('Label Map'!$D$2:$D$2000,A1217)</f>
        <v>1</v>
      </c>
    </row>
    <row r="1218" customFormat="false" ht="15" hidden="false" customHeight="false" outlineLevel="0" collapsed="false">
      <c r="A1218" s="6" t="s">
        <v>1727</v>
      </c>
      <c r="B1218" s="6" t="s">
        <v>11</v>
      </c>
      <c r="C1218" s="6" t="s">
        <v>3</v>
      </c>
      <c r="D1218" s="6" t="s">
        <v>1312</v>
      </c>
      <c r="E1218" s="6" t="s">
        <v>1694</v>
      </c>
      <c r="F1218" s="6" t="s">
        <v>1716</v>
      </c>
      <c r="G1218" s="6" t="s">
        <v>1717</v>
      </c>
      <c r="H1218" s="6" t="s">
        <v>1727</v>
      </c>
      <c r="I1218" s="6"/>
      <c r="J1218" s="6" t="s">
        <v>1716</v>
      </c>
      <c r="K1218" s="6"/>
      <c r="L1218" s="6"/>
      <c r="M1218" s="6"/>
      <c r="N1218" s="6"/>
      <c r="O1218" s="6"/>
      <c r="P1218" s="6"/>
      <c r="Q1218" s="6" t="s">
        <v>5</v>
      </c>
      <c r="R1218" s="7" t="n">
        <f aca="false">COUNTIF('Label Map'!$D$2:$D$2000,A1218)</f>
        <v>1</v>
      </c>
    </row>
    <row r="1219" customFormat="false" ht="15" hidden="false" customHeight="false" outlineLevel="0" collapsed="false">
      <c r="A1219" s="6" t="s">
        <v>1728</v>
      </c>
      <c r="B1219" s="6" t="s">
        <v>11</v>
      </c>
      <c r="C1219" s="6" t="s">
        <v>3</v>
      </c>
      <c r="D1219" s="6" t="s">
        <v>1312</v>
      </c>
      <c r="E1219" s="6" t="s">
        <v>1694</v>
      </c>
      <c r="F1219" s="6" t="s">
        <v>1716</v>
      </c>
      <c r="G1219" s="6" t="s">
        <v>1717</v>
      </c>
      <c r="H1219" s="6" t="s">
        <v>1728</v>
      </c>
      <c r="I1219" s="6"/>
      <c r="J1219" s="6" t="s">
        <v>1716</v>
      </c>
      <c r="K1219" s="6"/>
      <c r="L1219" s="6"/>
      <c r="M1219" s="6"/>
      <c r="N1219" s="6"/>
      <c r="O1219" s="6"/>
      <c r="P1219" s="6"/>
      <c r="Q1219" s="6" t="s">
        <v>5</v>
      </c>
      <c r="R1219" s="7" t="n">
        <f aca="false">COUNTIF('Label Map'!$D$2:$D$2000,A1219)</f>
        <v>1</v>
      </c>
    </row>
    <row r="1220" customFormat="false" ht="15" hidden="false" customHeight="false" outlineLevel="0" collapsed="false">
      <c r="A1220" s="6" t="s">
        <v>1729</v>
      </c>
      <c r="B1220" s="6" t="s">
        <v>11</v>
      </c>
      <c r="C1220" s="6" t="s">
        <v>3</v>
      </c>
      <c r="D1220" s="6" t="s">
        <v>1312</v>
      </c>
      <c r="E1220" s="6" t="s">
        <v>1694</v>
      </c>
      <c r="F1220" s="6" t="s">
        <v>1716</v>
      </c>
      <c r="G1220" s="6" t="s">
        <v>1717</v>
      </c>
      <c r="H1220" s="6" t="s">
        <v>1729</v>
      </c>
      <c r="I1220" s="6"/>
      <c r="J1220" s="6" t="s">
        <v>1716</v>
      </c>
      <c r="K1220" s="6"/>
      <c r="L1220" s="6"/>
      <c r="M1220" s="6"/>
      <c r="N1220" s="6"/>
      <c r="O1220" s="6"/>
      <c r="P1220" s="6"/>
      <c r="Q1220" s="6" t="s">
        <v>5</v>
      </c>
      <c r="R1220" s="7" t="n">
        <f aca="false">COUNTIF('Label Map'!$D$2:$D$2000,A1220)</f>
        <v>1</v>
      </c>
    </row>
    <row r="1221" customFormat="false" ht="15" hidden="false" customHeight="false" outlineLevel="0" collapsed="false">
      <c r="A1221" s="6" t="s">
        <v>1730</v>
      </c>
      <c r="B1221" s="6" t="s">
        <v>11</v>
      </c>
      <c r="C1221" s="6" t="s">
        <v>3</v>
      </c>
      <c r="D1221" s="6" t="s">
        <v>1312</v>
      </c>
      <c r="E1221" s="6" t="s">
        <v>1694</v>
      </c>
      <c r="F1221" s="6" t="s">
        <v>1716</v>
      </c>
      <c r="G1221" s="6" t="s">
        <v>1717</v>
      </c>
      <c r="H1221" s="6" t="s">
        <v>1730</v>
      </c>
      <c r="I1221" s="6"/>
      <c r="J1221" s="6" t="s">
        <v>1716</v>
      </c>
      <c r="K1221" s="6"/>
      <c r="L1221" s="6"/>
      <c r="M1221" s="6"/>
      <c r="N1221" s="6"/>
      <c r="O1221" s="6"/>
      <c r="P1221" s="6"/>
      <c r="Q1221" s="6" t="s">
        <v>5</v>
      </c>
      <c r="R1221" s="7" t="n">
        <f aca="false">COUNTIF('Label Map'!$D$2:$D$2000,A1221)</f>
        <v>1</v>
      </c>
    </row>
    <row r="1222" customFormat="false" ht="15" hidden="false" customHeight="false" outlineLevel="0" collapsed="false">
      <c r="A1222" s="6" t="s">
        <v>1731</v>
      </c>
      <c r="B1222" s="6" t="s">
        <v>11</v>
      </c>
      <c r="C1222" s="6" t="s">
        <v>3</v>
      </c>
      <c r="D1222" s="6" t="s">
        <v>1312</v>
      </c>
      <c r="E1222" s="6" t="s">
        <v>1694</v>
      </c>
      <c r="F1222" s="6" t="s">
        <v>1716</v>
      </c>
      <c r="G1222" s="6" t="s">
        <v>1717</v>
      </c>
      <c r="H1222" s="6" t="s">
        <v>1731</v>
      </c>
      <c r="I1222" s="6"/>
      <c r="J1222" s="6" t="s">
        <v>1716</v>
      </c>
      <c r="K1222" s="6"/>
      <c r="L1222" s="6"/>
      <c r="M1222" s="6"/>
      <c r="N1222" s="6"/>
      <c r="O1222" s="6"/>
      <c r="P1222" s="6"/>
      <c r="Q1222" s="6" t="s">
        <v>5</v>
      </c>
      <c r="R1222" s="7" t="n">
        <f aca="false">COUNTIF('Label Map'!$D$2:$D$2000,A1222)</f>
        <v>1</v>
      </c>
    </row>
    <row r="1223" customFormat="false" ht="15" hidden="false" customHeight="false" outlineLevel="0" collapsed="false">
      <c r="A1223" s="6" t="s">
        <v>1732</v>
      </c>
      <c r="B1223" s="6" t="s">
        <v>11</v>
      </c>
      <c r="C1223" s="6" t="s">
        <v>3</v>
      </c>
      <c r="D1223" s="6" t="s">
        <v>1312</v>
      </c>
      <c r="E1223" s="6" t="s">
        <v>1694</v>
      </c>
      <c r="F1223" s="6" t="s">
        <v>1716</v>
      </c>
      <c r="G1223" s="6" t="s">
        <v>1717</v>
      </c>
      <c r="H1223" s="6" t="s">
        <v>1732</v>
      </c>
      <c r="I1223" s="6"/>
      <c r="J1223" s="6" t="s">
        <v>1716</v>
      </c>
      <c r="K1223" s="6"/>
      <c r="L1223" s="6"/>
      <c r="M1223" s="6"/>
      <c r="N1223" s="6"/>
      <c r="O1223" s="6"/>
      <c r="P1223" s="6"/>
      <c r="Q1223" s="6" t="s">
        <v>5</v>
      </c>
      <c r="R1223" s="7" t="n">
        <f aca="false">COUNTIF('Label Map'!$D$2:$D$2000,A1223)</f>
        <v>1</v>
      </c>
    </row>
    <row r="1224" customFormat="false" ht="15" hidden="false" customHeight="false" outlineLevel="0" collapsed="false">
      <c r="A1224" s="6" t="s">
        <v>1733</v>
      </c>
      <c r="B1224" s="6" t="s">
        <v>11</v>
      </c>
      <c r="C1224" s="6" t="s">
        <v>3</v>
      </c>
      <c r="D1224" s="6" t="s">
        <v>1312</v>
      </c>
      <c r="E1224" s="6" t="s">
        <v>1694</v>
      </c>
      <c r="F1224" s="6" t="s">
        <v>1716</v>
      </c>
      <c r="G1224" s="6" t="s">
        <v>1717</v>
      </c>
      <c r="H1224" s="6" t="s">
        <v>1733</v>
      </c>
      <c r="I1224" s="6"/>
      <c r="J1224" s="6" t="s">
        <v>1716</v>
      </c>
      <c r="K1224" s="6"/>
      <c r="L1224" s="6"/>
      <c r="M1224" s="6"/>
      <c r="N1224" s="6"/>
      <c r="O1224" s="6"/>
      <c r="P1224" s="6"/>
      <c r="Q1224" s="6" t="s">
        <v>5</v>
      </c>
      <c r="R1224" s="7" t="n">
        <f aca="false">COUNTIF('Label Map'!$D$2:$D$2000,A1224)</f>
        <v>1</v>
      </c>
    </row>
    <row r="1225" customFormat="false" ht="15" hidden="false" customHeight="false" outlineLevel="0" collapsed="false">
      <c r="A1225" s="6" t="s">
        <v>1734</v>
      </c>
      <c r="B1225" s="6" t="s">
        <v>11</v>
      </c>
      <c r="C1225" s="6" t="s">
        <v>3</v>
      </c>
      <c r="D1225" s="6" t="s">
        <v>1312</v>
      </c>
      <c r="E1225" s="6" t="s">
        <v>1694</v>
      </c>
      <c r="F1225" s="6" t="s">
        <v>1716</v>
      </c>
      <c r="G1225" s="6" t="s">
        <v>1717</v>
      </c>
      <c r="H1225" s="6" t="s">
        <v>1734</v>
      </c>
      <c r="I1225" s="6"/>
      <c r="J1225" s="6" t="s">
        <v>1716</v>
      </c>
      <c r="K1225" s="6"/>
      <c r="L1225" s="6"/>
      <c r="M1225" s="6"/>
      <c r="N1225" s="6"/>
      <c r="O1225" s="6"/>
      <c r="P1225" s="6"/>
      <c r="Q1225" s="6" t="s">
        <v>5</v>
      </c>
      <c r="R1225" s="7" t="n">
        <f aca="false">COUNTIF('Label Map'!$D$2:$D$2000,A1225)</f>
        <v>2</v>
      </c>
    </row>
    <row r="1226" customFormat="false" ht="15" hidden="false" customHeight="false" outlineLevel="0" collapsed="false">
      <c r="A1226" s="6" t="s">
        <v>1735</v>
      </c>
      <c r="B1226" s="6" t="s">
        <v>11</v>
      </c>
      <c r="C1226" s="6" t="s">
        <v>3</v>
      </c>
      <c r="D1226" s="6" t="s">
        <v>1312</v>
      </c>
      <c r="E1226" s="6" t="s">
        <v>1694</v>
      </c>
      <c r="F1226" s="6" t="s">
        <v>1716</v>
      </c>
      <c r="G1226" s="6" t="s">
        <v>1717</v>
      </c>
      <c r="H1226" s="6" t="s">
        <v>1735</v>
      </c>
      <c r="I1226" s="6"/>
      <c r="J1226" s="6" t="s">
        <v>1716</v>
      </c>
      <c r="K1226" s="6"/>
      <c r="L1226" s="6"/>
      <c r="M1226" s="6"/>
      <c r="N1226" s="6"/>
      <c r="O1226" s="6"/>
      <c r="P1226" s="6"/>
      <c r="Q1226" s="6" t="s">
        <v>5</v>
      </c>
      <c r="R1226" s="7" t="n">
        <f aca="false">COUNTIF('Label Map'!$D$2:$D$2000,A1226)</f>
        <v>1</v>
      </c>
    </row>
    <row r="1227" customFormat="false" ht="15" hidden="false" customHeight="false" outlineLevel="0" collapsed="false">
      <c r="A1227" s="6" t="s">
        <v>1736</v>
      </c>
      <c r="B1227" s="6" t="s">
        <v>9</v>
      </c>
      <c r="C1227" s="6" t="s">
        <v>3</v>
      </c>
      <c r="D1227" s="6" t="s">
        <v>1312</v>
      </c>
      <c r="E1227" s="6" t="s">
        <v>1694</v>
      </c>
      <c r="F1227" s="6" t="s">
        <v>1736</v>
      </c>
      <c r="G1227" s="6" t="s">
        <v>1737</v>
      </c>
      <c r="H1227" s="6"/>
      <c r="I1227" s="6"/>
      <c r="J1227" s="6" t="s">
        <v>1694</v>
      </c>
      <c r="K1227" s="6" t="s">
        <v>1695</v>
      </c>
      <c r="L1227" s="6" t="s">
        <v>1700</v>
      </c>
      <c r="M1227" s="6" t="s">
        <v>1701</v>
      </c>
      <c r="N1227" s="6"/>
      <c r="O1227" s="6" t="s">
        <v>311</v>
      </c>
      <c r="P1227" s="6" t="s">
        <v>311</v>
      </c>
      <c r="Q1227" s="6"/>
      <c r="R1227" s="7" t="n">
        <f aca="false">COUNTIF('Label Map'!$D$2:$D$2000,A1227)</f>
        <v>1</v>
      </c>
    </row>
    <row r="1228" customFormat="false" ht="15" hidden="false" customHeight="false" outlineLevel="0" collapsed="false">
      <c r="A1228" s="6" t="s">
        <v>1738</v>
      </c>
      <c r="B1228" s="6" t="s">
        <v>9</v>
      </c>
      <c r="C1228" s="6" t="s">
        <v>3</v>
      </c>
      <c r="D1228" s="6" t="s">
        <v>1312</v>
      </c>
      <c r="E1228" s="6" t="s">
        <v>1694</v>
      </c>
      <c r="F1228" s="6" t="s">
        <v>1738</v>
      </c>
      <c r="G1228" s="6" t="s">
        <v>1739</v>
      </c>
      <c r="H1228" s="6"/>
      <c r="I1228" s="6"/>
      <c r="J1228" s="6" t="s">
        <v>1694</v>
      </c>
      <c r="K1228" s="6" t="s">
        <v>1695</v>
      </c>
      <c r="L1228" s="6" t="s">
        <v>1700</v>
      </c>
      <c r="M1228" s="6" t="s">
        <v>1701</v>
      </c>
      <c r="N1228" s="6"/>
      <c r="O1228" s="6" t="s">
        <v>311</v>
      </c>
      <c r="P1228" s="6" t="s">
        <v>311</v>
      </c>
      <c r="Q1228" s="6"/>
      <c r="R1228" s="7" t="n">
        <f aca="false">COUNTIF('Label Map'!$D$2:$D$2000,A1228)</f>
        <v>1</v>
      </c>
    </row>
    <row r="1229" customFormat="false" ht="15" hidden="false" customHeight="false" outlineLevel="0" collapsed="false">
      <c r="A1229" s="6" t="s">
        <v>1740</v>
      </c>
      <c r="B1229" s="6" t="s">
        <v>9</v>
      </c>
      <c r="C1229" s="6" t="s">
        <v>3</v>
      </c>
      <c r="D1229" s="6" t="s">
        <v>1312</v>
      </c>
      <c r="E1229" s="6" t="s">
        <v>1694</v>
      </c>
      <c r="F1229" s="6" t="s">
        <v>1740</v>
      </c>
      <c r="G1229" s="6" t="s">
        <v>1741</v>
      </c>
      <c r="H1229" s="6"/>
      <c r="I1229" s="6"/>
      <c r="J1229" s="6" t="s">
        <v>1694</v>
      </c>
      <c r="K1229" s="6" t="s">
        <v>1742</v>
      </c>
      <c r="L1229" s="6" t="s">
        <v>1700</v>
      </c>
      <c r="M1229" s="6" t="s">
        <v>1743</v>
      </c>
      <c r="N1229" s="6"/>
      <c r="O1229" s="6" t="s">
        <v>311</v>
      </c>
      <c r="P1229" s="6" t="s">
        <v>311</v>
      </c>
      <c r="Q1229" s="6"/>
      <c r="R1229" s="7" t="n">
        <f aca="false">COUNTIF('Label Map'!$D$2:$D$2000,A1229)</f>
        <v>1</v>
      </c>
    </row>
    <row r="1230" customFormat="false" ht="15" hidden="false" customHeight="false" outlineLevel="0" collapsed="false">
      <c r="A1230" s="6" t="s">
        <v>1744</v>
      </c>
      <c r="B1230" s="6" t="s">
        <v>9</v>
      </c>
      <c r="C1230" s="6" t="s">
        <v>3</v>
      </c>
      <c r="D1230" s="6" t="s">
        <v>1312</v>
      </c>
      <c r="E1230" s="6" t="s">
        <v>1694</v>
      </c>
      <c r="F1230" s="6" t="s">
        <v>1744</v>
      </c>
      <c r="G1230" s="6" t="s">
        <v>1745</v>
      </c>
      <c r="H1230" s="6"/>
      <c r="I1230" s="6"/>
      <c r="J1230" s="6" t="s">
        <v>1694</v>
      </c>
      <c r="K1230" s="6" t="s">
        <v>1742</v>
      </c>
      <c r="L1230" s="6" t="s">
        <v>1700</v>
      </c>
      <c r="M1230" s="6" t="s">
        <v>1746</v>
      </c>
      <c r="N1230" s="6"/>
      <c r="O1230" s="6" t="s">
        <v>1428</v>
      </c>
      <c r="P1230" s="6" t="s">
        <v>337</v>
      </c>
      <c r="Q1230" s="6"/>
      <c r="R1230" s="7" t="n">
        <f aca="false">COUNTIF('Label Map'!$D$2:$D$2000,A1230)</f>
        <v>2</v>
      </c>
    </row>
    <row r="1231" customFormat="false" ht="15" hidden="false" customHeight="false" outlineLevel="0" collapsed="false">
      <c r="A1231" s="6" t="s">
        <v>1747</v>
      </c>
      <c r="B1231" s="6" t="s">
        <v>9</v>
      </c>
      <c r="C1231" s="6" t="s">
        <v>3</v>
      </c>
      <c r="D1231" s="6" t="s">
        <v>1312</v>
      </c>
      <c r="E1231" s="6" t="s">
        <v>1694</v>
      </c>
      <c r="F1231" s="6" t="s">
        <v>1747</v>
      </c>
      <c r="G1231" s="6" t="s">
        <v>1748</v>
      </c>
      <c r="H1231" s="6"/>
      <c r="I1231" s="6"/>
      <c r="J1231" s="6" t="s">
        <v>1694</v>
      </c>
      <c r="K1231" s="6" t="s">
        <v>1742</v>
      </c>
      <c r="L1231" s="6" t="s">
        <v>1700</v>
      </c>
      <c r="M1231" s="6" t="s">
        <v>1743</v>
      </c>
      <c r="N1231" s="6"/>
      <c r="O1231" s="6" t="s">
        <v>1428</v>
      </c>
      <c r="P1231" s="6" t="s">
        <v>87</v>
      </c>
      <c r="Q1231" s="6"/>
      <c r="R1231" s="7" t="n">
        <f aca="false">COUNTIF('Label Map'!$D$2:$D$2000,A1231)</f>
        <v>1</v>
      </c>
    </row>
    <row r="1232" customFormat="false" ht="15" hidden="false" customHeight="false" outlineLevel="0" collapsed="false">
      <c r="A1232" s="6" t="s">
        <v>1749</v>
      </c>
      <c r="B1232" s="6" t="s">
        <v>9</v>
      </c>
      <c r="C1232" s="6" t="s">
        <v>3</v>
      </c>
      <c r="D1232" s="6" t="s">
        <v>1312</v>
      </c>
      <c r="E1232" s="6" t="s">
        <v>1694</v>
      </c>
      <c r="F1232" s="6" t="s">
        <v>1749</v>
      </c>
      <c r="G1232" s="6" t="s">
        <v>1750</v>
      </c>
      <c r="H1232" s="6"/>
      <c r="I1232" s="6"/>
      <c r="J1232" s="6" t="s">
        <v>1694</v>
      </c>
      <c r="K1232" s="6" t="s">
        <v>1751</v>
      </c>
      <c r="L1232" s="6" t="s">
        <v>1700</v>
      </c>
      <c r="M1232" s="6" t="s">
        <v>1752</v>
      </c>
      <c r="N1232" s="6"/>
      <c r="O1232" s="6" t="s">
        <v>1428</v>
      </c>
      <c r="P1232" s="6" t="s">
        <v>468</v>
      </c>
      <c r="Q1232" s="6"/>
      <c r="R1232" s="7" t="n">
        <f aca="false">COUNTIF('Label Map'!$D$2:$D$2000,A1232)</f>
        <v>2</v>
      </c>
    </row>
    <row r="1233" customFormat="false" ht="15" hidden="false" customHeight="false" outlineLevel="0" collapsed="false">
      <c r="A1233" s="6" t="s">
        <v>1753</v>
      </c>
      <c r="B1233" s="6" t="s">
        <v>9</v>
      </c>
      <c r="C1233" s="6" t="s">
        <v>3</v>
      </c>
      <c r="D1233" s="6" t="s">
        <v>1312</v>
      </c>
      <c r="E1233" s="6" t="s">
        <v>1694</v>
      </c>
      <c r="F1233" s="6" t="s">
        <v>1753</v>
      </c>
      <c r="G1233" s="6" t="s">
        <v>1754</v>
      </c>
      <c r="H1233" s="6"/>
      <c r="I1233" s="6"/>
      <c r="J1233" s="6" t="s">
        <v>1694</v>
      </c>
      <c r="K1233" s="6" t="s">
        <v>1742</v>
      </c>
      <c r="L1233" s="6" t="s">
        <v>1700</v>
      </c>
      <c r="M1233" s="6" t="s">
        <v>1752</v>
      </c>
      <c r="N1233" s="6"/>
      <c r="O1233" s="6" t="s">
        <v>1428</v>
      </c>
      <c r="P1233" s="6" t="s">
        <v>337</v>
      </c>
      <c r="Q1233" s="6"/>
      <c r="R1233" s="7" t="n">
        <f aca="false">COUNTIF('Label Map'!$D$2:$D$2000,A1233)</f>
        <v>2</v>
      </c>
    </row>
    <row r="1234" customFormat="false" ht="15" hidden="false" customHeight="false" outlineLevel="0" collapsed="false">
      <c r="A1234" s="6" t="s">
        <v>1752</v>
      </c>
      <c r="B1234" s="6" t="s">
        <v>9</v>
      </c>
      <c r="C1234" s="6" t="s">
        <v>3</v>
      </c>
      <c r="D1234" s="6" t="s">
        <v>1312</v>
      </c>
      <c r="E1234" s="6" t="s">
        <v>1694</v>
      </c>
      <c r="F1234" s="6" t="s">
        <v>1752</v>
      </c>
      <c r="G1234" s="6" t="s">
        <v>1755</v>
      </c>
      <c r="H1234" s="6"/>
      <c r="I1234" s="6"/>
      <c r="J1234" s="6" t="s">
        <v>1694</v>
      </c>
      <c r="K1234" s="6" t="s">
        <v>1742</v>
      </c>
      <c r="L1234" s="6" t="s">
        <v>1700</v>
      </c>
      <c r="M1234" s="6" t="s">
        <v>1752</v>
      </c>
      <c r="N1234" s="6"/>
      <c r="O1234" s="6" t="s">
        <v>1428</v>
      </c>
      <c r="P1234" s="6" t="s">
        <v>337</v>
      </c>
      <c r="Q1234" s="6"/>
      <c r="R1234" s="7" t="n">
        <f aca="false">COUNTIF('Label Map'!$D$2:$D$2000,A1234)</f>
        <v>3</v>
      </c>
    </row>
    <row r="1235" customFormat="false" ht="15" hidden="false" customHeight="false" outlineLevel="0" collapsed="false">
      <c r="A1235" s="6" t="s">
        <v>1756</v>
      </c>
      <c r="B1235" s="6" t="s">
        <v>9</v>
      </c>
      <c r="C1235" s="6" t="s">
        <v>3</v>
      </c>
      <c r="D1235" s="6" t="s">
        <v>1312</v>
      </c>
      <c r="E1235" s="6" t="s">
        <v>1694</v>
      </c>
      <c r="F1235" s="6" t="s">
        <v>1756</v>
      </c>
      <c r="G1235" s="6" t="s">
        <v>1757</v>
      </c>
      <c r="H1235" s="6"/>
      <c r="I1235" s="6"/>
      <c r="J1235" s="6" t="s">
        <v>1694</v>
      </c>
      <c r="K1235" s="6" t="s">
        <v>1742</v>
      </c>
      <c r="L1235" s="6" t="s">
        <v>1700</v>
      </c>
      <c r="M1235" s="6" t="s">
        <v>1752</v>
      </c>
      <c r="N1235" s="6"/>
      <c r="O1235" s="6" t="s">
        <v>1428</v>
      </c>
      <c r="P1235" s="6" t="s">
        <v>87</v>
      </c>
      <c r="Q1235" s="6"/>
      <c r="R1235" s="7" t="n">
        <f aca="false">COUNTIF('Label Map'!$D$2:$D$2000,A1235)</f>
        <v>2</v>
      </c>
    </row>
    <row r="1236" customFormat="false" ht="15" hidden="false" customHeight="false" outlineLevel="0" collapsed="false">
      <c r="A1236" s="6" t="s">
        <v>1758</v>
      </c>
      <c r="B1236" s="6" t="s">
        <v>9</v>
      </c>
      <c r="C1236" s="6" t="s">
        <v>3</v>
      </c>
      <c r="D1236" s="6" t="s">
        <v>1312</v>
      </c>
      <c r="E1236" s="6" t="s">
        <v>1694</v>
      </c>
      <c r="F1236" s="6" t="s">
        <v>1758</v>
      </c>
      <c r="G1236" s="6" t="s">
        <v>1759</v>
      </c>
      <c r="H1236" s="6"/>
      <c r="I1236" s="6"/>
      <c r="J1236" s="6" t="s">
        <v>1694</v>
      </c>
      <c r="K1236" s="6" t="s">
        <v>1742</v>
      </c>
      <c r="L1236" s="6" t="s">
        <v>1700</v>
      </c>
      <c r="M1236" s="6" t="s">
        <v>1746</v>
      </c>
      <c r="N1236" s="6"/>
      <c r="O1236" s="6" t="s">
        <v>1428</v>
      </c>
      <c r="P1236" s="6" t="s">
        <v>87</v>
      </c>
      <c r="Q1236" s="6"/>
      <c r="R1236" s="7" t="n">
        <f aca="false">COUNTIF('Label Map'!$D$2:$D$2000,A1236)</f>
        <v>1</v>
      </c>
    </row>
    <row r="1237" customFormat="false" ht="15" hidden="false" customHeight="false" outlineLevel="0" collapsed="false">
      <c r="A1237" s="6" t="s">
        <v>1760</v>
      </c>
      <c r="B1237" s="6" t="s">
        <v>9</v>
      </c>
      <c r="C1237" s="6" t="s">
        <v>3</v>
      </c>
      <c r="D1237" s="6" t="s">
        <v>1312</v>
      </c>
      <c r="E1237" s="6" t="s">
        <v>1694</v>
      </c>
      <c r="F1237" s="6" t="s">
        <v>1760</v>
      </c>
      <c r="G1237" s="6" t="s">
        <v>1761</v>
      </c>
      <c r="H1237" s="6"/>
      <c r="I1237" s="6"/>
      <c r="J1237" s="6" t="s">
        <v>1694</v>
      </c>
      <c r="K1237" s="6" t="s">
        <v>1742</v>
      </c>
      <c r="L1237" s="6" t="s">
        <v>1700</v>
      </c>
      <c r="M1237" s="6" t="s">
        <v>1743</v>
      </c>
      <c r="N1237" s="6"/>
      <c r="O1237" s="6" t="s">
        <v>311</v>
      </c>
      <c r="P1237" s="6" t="s">
        <v>311</v>
      </c>
      <c r="Q1237" s="6"/>
      <c r="R1237" s="7" t="n">
        <f aca="false">COUNTIF('Label Map'!$D$2:$D$2000,A1237)</f>
        <v>1</v>
      </c>
    </row>
    <row r="1238" customFormat="false" ht="15" hidden="false" customHeight="false" outlineLevel="0" collapsed="false">
      <c r="A1238" s="6" t="s">
        <v>1762</v>
      </c>
      <c r="B1238" s="6" t="s">
        <v>9</v>
      </c>
      <c r="C1238" s="6" t="s">
        <v>3</v>
      </c>
      <c r="D1238" s="6" t="s">
        <v>1312</v>
      </c>
      <c r="E1238" s="6" t="s">
        <v>1694</v>
      </c>
      <c r="F1238" s="6" t="s">
        <v>1762</v>
      </c>
      <c r="G1238" s="6" t="s">
        <v>1763</v>
      </c>
      <c r="H1238" s="6"/>
      <c r="I1238" s="6"/>
      <c r="J1238" s="6" t="s">
        <v>1694</v>
      </c>
      <c r="K1238" s="6" t="s">
        <v>1695</v>
      </c>
      <c r="L1238" s="6" t="s">
        <v>1700</v>
      </c>
      <c r="M1238" s="6" t="s">
        <v>1701</v>
      </c>
      <c r="N1238" s="6"/>
      <c r="O1238" s="6" t="s">
        <v>311</v>
      </c>
      <c r="P1238" s="6" t="s">
        <v>311</v>
      </c>
      <c r="Q1238" s="6"/>
      <c r="R1238" s="7" t="n">
        <f aca="false">COUNTIF('Label Map'!$D$2:$D$2000,A1238)</f>
        <v>1</v>
      </c>
    </row>
    <row r="1239" customFormat="false" ht="15" hidden="false" customHeight="false" outlineLevel="0" collapsed="false">
      <c r="A1239" s="6" t="s">
        <v>1764</v>
      </c>
      <c r="B1239" s="6" t="s">
        <v>9</v>
      </c>
      <c r="C1239" s="6" t="s">
        <v>3</v>
      </c>
      <c r="D1239" s="6" t="s">
        <v>1312</v>
      </c>
      <c r="E1239" s="6" t="s">
        <v>1694</v>
      </c>
      <c r="F1239" s="6" t="s">
        <v>1764</v>
      </c>
      <c r="G1239" s="6" t="s">
        <v>1765</v>
      </c>
      <c r="H1239" s="6"/>
      <c r="I1239" s="6"/>
      <c r="J1239" s="6" t="s">
        <v>1694</v>
      </c>
      <c r="K1239" s="6" t="s">
        <v>1742</v>
      </c>
      <c r="L1239" s="6" t="s">
        <v>1700</v>
      </c>
      <c r="M1239" s="6" t="s">
        <v>1752</v>
      </c>
      <c r="N1239" s="6"/>
      <c r="O1239" s="6" t="s">
        <v>1428</v>
      </c>
      <c r="P1239" s="6" t="s">
        <v>87</v>
      </c>
      <c r="Q1239" s="6"/>
      <c r="R1239" s="7" t="n">
        <f aca="false">COUNTIF('Label Map'!$D$2:$D$2000,A1239)</f>
        <v>2</v>
      </c>
    </row>
    <row r="1240" customFormat="false" ht="15" hidden="false" customHeight="false" outlineLevel="0" collapsed="false">
      <c r="A1240" s="6" t="s">
        <v>1766</v>
      </c>
      <c r="B1240" s="6" t="s">
        <v>9</v>
      </c>
      <c r="C1240" s="6" t="s">
        <v>3</v>
      </c>
      <c r="D1240" s="6" t="s">
        <v>1312</v>
      </c>
      <c r="E1240" s="6" t="s">
        <v>1694</v>
      </c>
      <c r="F1240" s="6" t="s">
        <v>1766</v>
      </c>
      <c r="G1240" s="6" t="s">
        <v>1767</v>
      </c>
      <c r="H1240" s="6"/>
      <c r="I1240" s="6"/>
      <c r="J1240" s="6" t="s">
        <v>1694</v>
      </c>
      <c r="K1240" s="6" t="s">
        <v>1742</v>
      </c>
      <c r="L1240" s="6" t="s">
        <v>1700</v>
      </c>
      <c r="M1240" s="6" t="s">
        <v>1746</v>
      </c>
      <c r="N1240" s="6"/>
      <c r="O1240" s="6" t="s">
        <v>1428</v>
      </c>
      <c r="P1240" s="6" t="s">
        <v>468</v>
      </c>
      <c r="Q1240" s="6"/>
      <c r="R1240" s="7" t="n">
        <f aca="false">COUNTIF('Label Map'!$D$2:$D$2000,A1240)</f>
        <v>2</v>
      </c>
    </row>
    <row r="1241" customFormat="false" ht="15" hidden="false" customHeight="false" outlineLevel="0" collapsed="false">
      <c r="A1241" s="6" t="s">
        <v>1768</v>
      </c>
      <c r="B1241" s="6" t="s">
        <v>9</v>
      </c>
      <c r="C1241" s="6" t="s">
        <v>3</v>
      </c>
      <c r="D1241" s="6" t="s">
        <v>1312</v>
      </c>
      <c r="E1241" s="6" t="s">
        <v>1694</v>
      </c>
      <c r="F1241" s="6" t="s">
        <v>1768</v>
      </c>
      <c r="G1241" s="6" t="s">
        <v>1769</v>
      </c>
      <c r="H1241" s="6"/>
      <c r="I1241" s="6"/>
      <c r="J1241" s="6" t="s">
        <v>1694</v>
      </c>
      <c r="K1241" s="6" t="s">
        <v>1695</v>
      </c>
      <c r="L1241" s="6" t="s">
        <v>1700</v>
      </c>
      <c r="M1241" s="6" t="s">
        <v>1743</v>
      </c>
      <c r="N1241" s="6"/>
      <c r="O1241" s="6" t="s">
        <v>311</v>
      </c>
      <c r="P1241" s="6" t="s">
        <v>311</v>
      </c>
      <c r="Q1241" s="6"/>
      <c r="R1241" s="7" t="n">
        <f aca="false">COUNTIF('Label Map'!$D$2:$D$2000,A1241)</f>
        <v>1</v>
      </c>
    </row>
    <row r="1242" customFormat="false" ht="15" hidden="false" customHeight="false" outlineLevel="0" collapsed="false">
      <c r="A1242" s="6" t="s">
        <v>1770</v>
      </c>
      <c r="B1242" s="6" t="s">
        <v>9</v>
      </c>
      <c r="C1242" s="6" t="s">
        <v>3</v>
      </c>
      <c r="D1242" s="6" t="s">
        <v>1312</v>
      </c>
      <c r="E1242" s="6" t="s">
        <v>1694</v>
      </c>
      <c r="F1242" s="6" t="s">
        <v>1770</v>
      </c>
      <c r="G1242" s="6" t="s">
        <v>1771</v>
      </c>
      <c r="H1242" s="6"/>
      <c r="I1242" s="6"/>
      <c r="J1242" s="6" t="s">
        <v>1694</v>
      </c>
      <c r="K1242" s="6" t="s">
        <v>1742</v>
      </c>
      <c r="L1242" s="6" t="s">
        <v>1700</v>
      </c>
      <c r="M1242" s="6" t="s">
        <v>1743</v>
      </c>
      <c r="N1242" s="6"/>
      <c r="O1242" s="6" t="s">
        <v>1428</v>
      </c>
      <c r="P1242" s="6" t="s">
        <v>337</v>
      </c>
      <c r="Q1242" s="6"/>
      <c r="R1242" s="7" t="n">
        <f aca="false">COUNTIF('Label Map'!$D$2:$D$2000,A1242)</f>
        <v>2</v>
      </c>
    </row>
    <row r="1243" customFormat="false" ht="15" hidden="false" customHeight="false" outlineLevel="0" collapsed="false">
      <c r="A1243" s="6" t="s">
        <v>1772</v>
      </c>
      <c r="B1243" s="6" t="s">
        <v>9</v>
      </c>
      <c r="C1243" s="6" t="s">
        <v>3</v>
      </c>
      <c r="D1243" s="6" t="s">
        <v>1312</v>
      </c>
      <c r="E1243" s="6" t="s">
        <v>1694</v>
      </c>
      <c r="F1243" s="6" t="s">
        <v>1772</v>
      </c>
      <c r="G1243" s="6" t="s">
        <v>1773</v>
      </c>
      <c r="H1243" s="6"/>
      <c r="I1243" s="6"/>
      <c r="J1243" s="6" t="s">
        <v>1694</v>
      </c>
      <c r="K1243" s="6" t="s">
        <v>1751</v>
      </c>
      <c r="L1243" s="6" t="s">
        <v>1700</v>
      </c>
      <c r="M1243" s="6" t="s">
        <v>1746</v>
      </c>
      <c r="N1243" s="6"/>
      <c r="O1243" s="6" t="s">
        <v>1428</v>
      </c>
      <c r="P1243" s="6" t="s">
        <v>468</v>
      </c>
      <c r="Q1243" s="6"/>
      <c r="R1243" s="7" t="n">
        <f aca="false">COUNTIF('Label Map'!$D$2:$D$2000,A1243)</f>
        <v>1</v>
      </c>
    </row>
    <row r="1244" customFormat="false" ht="15" hidden="false" customHeight="false" outlineLevel="0" collapsed="false">
      <c r="A1244" s="6" t="s">
        <v>1774</v>
      </c>
      <c r="B1244" s="6" t="s">
        <v>9</v>
      </c>
      <c r="C1244" s="6" t="s">
        <v>3</v>
      </c>
      <c r="D1244" s="6" t="s">
        <v>1312</v>
      </c>
      <c r="E1244" s="6" t="s">
        <v>1694</v>
      </c>
      <c r="F1244" s="6" t="s">
        <v>1774</v>
      </c>
      <c r="G1244" s="6" t="s">
        <v>1775</v>
      </c>
      <c r="H1244" s="6"/>
      <c r="I1244" s="6"/>
      <c r="J1244" s="6" t="s">
        <v>1694</v>
      </c>
      <c r="K1244" s="6" t="s">
        <v>1695</v>
      </c>
      <c r="L1244" s="6" t="s">
        <v>1700</v>
      </c>
      <c r="M1244" s="6" t="s">
        <v>1743</v>
      </c>
      <c r="N1244" s="6"/>
      <c r="O1244" s="6" t="s">
        <v>311</v>
      </c>
      <c r="P1244" s="6" t="s">
        <v>311</v>
      </c>
      <c r="Q1244" s="6"/>
      <c r="R1244" s="7" t="n">
        <f aca="false">COUNTIF('Label Map'!$D$2:$D$2000,A1244)</f>
        <v>1</v>
      </c>
    </row>
    <row r="1245" customFormat="false" ht="15" hidden="false" customHeight="false" outlineLevel="0" collapsed="false">
      <c r="A1245" s="6" t="s">
        <v>1776</v>
      </c>
      <c r="B1245" s="6" t="s">
        <v>9</v>
      </c>
      <c r="C1245" s="6" t="s">
        <v>3</v>
      </c>
      <c r="D1245" s="6" t="s">
        <v>1312</v>
      </c>
      <c r="E1245" s="6" t="s">
        <v>1694</v>
      </c>
      <c r="F1245" s="6" t="s">
        <v>1776</v>
      </c>
      <c r="G1245" s="6" t="s">
        <v>1777</v>
      </c>
      <c r="H1245" s="6"/>
      <c r="I1245" s="6"/>
      <c r="J1245" s="6" t="s">
        <v>1694</v>
      </c>
      <c r="K1245" s="6" t="s">
        <v>1742</v>
      </c>
      <c r="L1245" s="6" t="s">
        <v>1700</v>
      </c>
      <c r="M1245" s="6" t="s">
        <v>1743</v>
      </c>
      <c r="N1245" s="6"/>
      <c r="O1245" s="6" t="s">
        <v>1428</v>
      </c>
      <c r="P1245" s="6" t="s">
        <v>337</v>
      </c>
      <c r="Q1245" s="6"/>
      <c r="R1245" s="7" t="n">
        <f aca="false">COUNTIF('Label Map'!$D$2:$D$2000,A1245)</f>
        <v>2</v>
      </c>
    </row>
    <row r="1246" customFormat="false" ht="15" hidden="false" customHeight="false" outlineLevel="0" collapsed="false">
      <c r="A1246" s="6" t="s">
        <v>1778</v>
      </c>
      <c r="B1246" s="6" t="s">
        <v>9</v>
      </c>
      <c r="C1246" s="6" t="s">
        <v>3</v>
      </c>
      <c r="D1246" s="6" t="s">
        <v>1312</v>
      </c>
      <c r="E1246" s="6" t="s">
        <v>1694</v>
      </c>
      <c r="F1246" s="6" t="s">
        <v>1778</v>
      </c>
      <c r="G1246" s="6" t="s">
        <v>1779</v>
      </c>
      <c r="H1246" s="6"/>
      <c r="I1246" s="6"/>
      <c r="J1246" s="6" t="s">
        <v>1694</v>
      </c>
      <c r="K1246" s="6" t="s">
        <v>1751</v>
      </c>
      <c r="L1246" s="6" t="s">
        <v>1700</v>
      </c>
      <c r="M1246" s="6" t="s">
        <v>1743</v>
      </c>
      <c r="N1246" s="6"/>
      <c r="O1246" s="6" t="s">
        <v>1428</v>
      </c>
      <c r="P1246" s="6" t="s">
        <v>337</v>
      </c>
      <c r="Q1246" s="6"/>
      <c r="R1246" s="7" t="n">
        <f aca="false">COUNTIF('Label Map'!$D$2:$D$2000,A1246)</f>
        <v>1</v>
      </c>
    </row>
    <row r="1247" customFormat="false" ht="15" hidden="false" customHeight="false" outlineLevel="0" collapsed="false">
      <c r="A1247" s="6" t="s">
        <v>1780</v>
      </c>
      <c r="B1247" s="6" t="s">
        <v>9</v>
      </c>
      <c r="C1247" s="6" t="s">
        <v>3</v>
      </c>
      <c r="D1247" s="6" t="s">
        <v>1312</v>
      </c>
      <c r="E1247" s="6" t="s">
        <v>1694</v>
      </c>
      <c r="F1247" s="6" t="s">
        <v>1780</v>
      </c>
      <c r="G1247" s="6" t="s">
        <v>1781</v>
      </c>
      <c r="H1247" s="6"/>
      <c r="I1247" s="6"/>
      <c r="J1247" s="6" t="s">
        <v>1694</v>
      </c>
      <c r="K1247" s="6" t="s">
        <v>1742</v>
      </c>
      <c r="L1247" s="6" t="s">
        <v>1700</v>
      </c>
      <c r="M1247" s="6" t="s">
        <v>1746</v>
      </c>
      <c r="N1247" s="6"/>
      <c r="O1247" s="6" t="s">
        <v>1428</v>
      </c>
      <c r="P1247" s="6" t="s">
        <v>468</v>
      </c>
      <c r="Q1247" s="6"/>
      <c r="R1247" s="7" t="n">
        <f aca="false">COUNTIF('Label Map'!$D$2:$D$2000,A1247)</f>
        <v>2</v>
      </c>
    </row>
    <row r="1248" customFormat="false" ht="15" hidden="false" customHeight="false" outlineLevel="0" collapsed="false">
      <c r="A1248" s="6" t="s">
        <v>1782</v>
      </c>
      <c r="B1248" s="6" t="s">
        <v>9</v>
      </c>
      <c r="C1248" s="6" t="s">
        <v>3</v>
      </c>
      <c r="D1248" s="6" t="s">
        <v>1312</v>
      </c>
      <c r="E1248" s="6" t="s">
        <v>1694</v>
      </c>
      <c r="F1248" s="6" t="s">
        <v>1782</v>
      </c>
      <c r="G1248" s="6" t="s">
        <v>1783</v>
      </c>
      <c r="H1248" s="6"/>
      <c r="I1248" s="6"/>
      <c r="J1248" s="6" t="s">
        <v>1694</v>
      </c>
      <c r="K1248" s="6" t="s">
        <v>1695</v>
      </c>
      <c r="L1248" s="6" t="s">
        <v>1700</v>
      </c>
      <c r="M1248" s="6" t="s">
        <v>1743</v>
      </c>
      <c r="N1248" s="6"/>
      <c r="O1248" s="6" t="s">
        <v>311</v>
      </c>
      <c r="P1248" s="6" t="s">
        <v>311</v>
      </c>
      <c r="Q1248" s="6"/>
      <c r="R1248" s="7" t="n">
        <f aca="false">COUNTIF('Label Map'!$D$2:$D$2000,A1248)</f>
        <v>1</v>
      </c>
    </row>
    <row r="1249" customFormat="false" ht="15" hidden="false" customHeight="false" outlineLevel="0" collapsed="false">
      <c r="A1249" s="6" t="s">
        <v>1784</v>
      </c>
      <c r="B1249" s="6" t="s">
        <v>1785</v>
      </c>
      <c r="C1249" s="6" t="s">
        <v>3</v>
      </c>
      <c r="D1249" s="6" t="s">
        <v>1786</v>
      </c>
      <c r="E1249" s="6"/>
      <c r="F1249" s="6"/>
      <c r="G1249" s="6"/>
      <c r="H1249" s="6"/>
      <c r="I1249" s="6"/>
      <c r="J1249" s="6" t="s">
        <v>3</v>
      </c>
      <c r="K1249" s="6"/>
      <c r="L1249" s="6"/>
      <c r="M1249" s="6"/>
      <c r="N1249" s="6"/>
      <c r="O1249" s="6"/>
      <c r="P1249" s="6"/>
      <c r="Q1249" s="6" t="s">
        <v>1787</v>
      </c>
      <c r="R1249" s="7" t="n">
        <f aca="false">COUNTIF('Label Map'!$D$2:$D$2000,A1249)</f>
        <v>82</v>
      </c>
    </row>
    <row r="1250" customFormat="false" ht="15" hidden="false" customHeight="false" outlineLevel="0" collapsed="false">
      <c r="A1250" s="6" t="s">
        <v>1788</v>
      </c>
      <c r="B1250" s="6" t="s">
        <v>1785</v>
      </c>
      <c r="C1250" s="6" t="s">
        <v>3</v>
      </c>
      <c r="D1250" s="6" t="s">
        <v>1786</v>
      </c>
      <c r="E1250" s="6"/>
      <c r="F1250" s="6"/>
      <c r="G1250" s="6"/>
      <c r="H1250" s="6"/>
      <c r="I1250" s="6"/>
      <c r="J1250" s="6" t="s">
        <v>3</v>
      </c>
      <c r="K1250" s="6"/>
      <c r="L1250" s="6"/>
      <c r="M1250" s="6"/>
      <c r="N1250" s="6"/>
      <c r="O1250" s="6"/>
      <c r="P1250" s="6"/>
      <c r="Q1250" s="6" t="s">
        <v>1789</v>
      </c>
      <c r="R1250" s="7" t="n">
        <f aca="false">COUNTIF('Label Map'!$D$2:$D$2000,A1250)</f>
        <v>4</v>
      </c>
    </row>
    <row r="1251" customFormat="false" ht="15" hidden="false" customHeight="false" outlineLevel="0" collapsed="false">
      <c r="A1251" s="6" t="s">
        <v>1790</v>
      </c>
      <c r="B1251" s="6" t="s">
        <v>1785</v>
      </c>
      <c r="C1251" s="6" t="s">
        <v>3</v>
      </c>
      <c r="D1251" s="6" t="s">
        <v>1786</v>
      </c>
      <c r="E1251" s="6"/>
      <c r="F1251" s="6"/>
      <c r="G1251" s="6"/>
      <c r="H1251" s="6"/>
      <c r="I1251" s="6"/>
      <c r="J1251" s="6" t="s">
        <v>3</v>
      </c>
      <c r="K1251" s="6"/>
      <c r="L1251" s="6"/>
      <c r="M1251" s="6"/>
      <c r="N1251" s="6"/>
      <c r="O1251" s="6"/>
      <c r="P1251" s="6"/>
      <c r="Q1251" s="6"/>
      <c r="R1251" s="7" t="n">
        <f aca="false">COUNTIF('Label Map'!$D$2:$D$2000,A1251)</f>
        <v>10</v>
      </c>
    </row>
    <row r="1252" customFormat="false" ht="15" hidden="false" customHeight="false" outlineLevel="0" collapsed="false">
      <c r="A1252" s="6" t="s">
        <v>1791</v>
      </c>
      <c r="B1252" s="6" t="s">
        <v>1785</v>
      </c>
      <c r="C1252" s="6" t="s">
        <v>3</v>
      </c>
      <c r="D1252" s="6" t="s">
        <v>1786</v>
      </c>
      <c r="E1252" s="6"/>
      <c r="F1252" s="6"/>
      <c r="G1252" s="6"/>
      <c r="H1252" s="6"/>
      <c r="I1252" s="6"/>
      <c r="J1252" s="6" t="s">
        <v>3</v>
      </c>
      <c r="K1252" s="6"/>
      <c r="L1252" s="6"/>
      <c r="M1252" s="6"/>
      <c r="N1252" s="6"/>
      <c r="O1252" s="6"/>
      <c r="P1252" s="6"/>
      <c r="Q1252" s="6" t="s">
        <v>1792</v>
      </c>
      <c r="R1252" s="7" t="n">
        <f aca="false">COUNTIF('Label Map'!$D$2:$D$2000,A1252)</f>
        <v>21</v>
      </c>
    </row>
    <row r="1253" customFormat="false" ht="15" hidden="false" customHeight="false" outlineLevel="0" collapsed="false">
      <c r="A1253" s="6" t="s">
        <v>1793</v>
      </c>
      <c r="B1253" s="6" t="s">
        <v>1794</v>
      </c>
      <c r="C1253" s="6" t="s">
        <v>3</v>
      </c>
      <c r="D1253" s="6" t="s">
        <v>1794</v>
      </c>
      <c r="E1253" s="6"/>
      <c r="F1253" s="6"/>
      <c r="G1253" s="6"/>
      <c r="H1253" s="6"/>
      <c r="I1253" s="6"/>
      <c r="J1253" s="6" t="s">
        <v>3</v>
      </c>
      <c r="K1253" s="6"/>
      <c r="L1253" s="6"/>
      <c r="M1253" s="6"/>
      <c r="N1253" s="6"/>
      <c r="O1253" s="6"/>
      <c r="P1253" s="6"/>
      <c r="Q1253" s="6" t="s">
        <v>1795</v>
      </c>
      <c r="R1253" s="7" t="n">
        <f aca="false">COUNTIF('Label Map'!$D$2:$D$2000,A1253)</f>
        <v>5</v>
      </c>
    </row>
    <row r="1254" customFormat="false" ht="15" hidden="false" customHeight="false" outlineLevel="0" collapsed="false">
      <c r="A1254" s="6" t="s">
        <v>1796</v>
      </c>
      <c r="B1254" s="6" t="s">
        <v>1794</v>
      </c>
      <c r="C1254" s="6" t="s">
        <v>3</v>
      </c>
      <c r="D1254" s="6" t="s">
        <v>1794</v>
      </c>
      <c r="E1254" s="6"/>
      <c r="F1254" s="6"/>
      <c r="G1254" s="6"/>
      <c r="H1254" s="6"/>
      <c r="I1254" s="6"/>
      <c r="J1254" s="6" t="s">
        <v>3</v>
      </c>
      <c r="K1254" s="6"/>
      <c r="L1254" s="6"/>
      <c r="M1254" s="6"/>
      <c r="N1254" s="6"/>
      <c r="O1254" s="6"/>
      <c r="P1254" s="6"/>
      <c r="Q1254" s="6"/>
      <c r="R1254" s="7" t="n">
        <f aca="false">COUNTIF('Label Map'!$D$2:$D$2000,A1254)</f>
        <v>3</v>
      </c>
    </row>
    <row r="1255" customFormat="false" ht="15" hidden="false" customHeight="false" outlineLevel="0" collapsed="false">
      <c r="A1255" s="6" t="s">
        <v>1797</v>
      </c>
      <c r="B1255" s="6" t="s">
        <v>1794</v>
      </c>
      <c r="C1255" s="6" t="s">
        <v>3</v>
      </c>
      <c r="D1255" s="6" t="s">
        <v>1794</v>
      </c>
      <c r="E1255" s="6"/>
      <c r="F1255" s="6"/>
      <c r="G1255" s="6"/>
      <c r="H1255" s="6"/>
      <c r="I1255" s="6"/>
      <c r="J1255" s="6" t="s">
        <v>3</v>
      </c>
      <c r="K1255" s="6"/>
      <c r="L1255" s="6"/>
      <c r="M1255" s="6"/>
      <c r="N1255" s="6"/>
      <c r="O1255" s="6"/>
      <c r="P1255" s="6"/>
      <c r="Q1255" s="6"/>
      <c r="R1255" s="7" t="n">
        <f aca="false">COUNTIF('Label Map'!$D$2:$D$2000,A1255)</f>
        <v>3</v>
      </c>
    </row>
    <row r="1256" customFormat="false" ht="15" hidden="false" customHeight="false" outlineLevel="0" collapsed="false">
      <c r="A1256" s="6" t="s">
        <v>1798</v>
      </c>
      <c r="B1256" s="6" t="s">
        <v>1794</v>
      </c>
      <c r="C1256" s="6" t="s">
        <v>3</v>
      </c>
      <c r="D1256" s="6" t="s">
        <v>1794</v>
      </c>
      <c r="E1256" s="6"/>
      <c r="F1256" s="6"/>
      <c r="G1256" s="6"/>
      <c r="H1256" s="6"/>
      <c r="I1256" s="6"/>
      <c r="J1256" s="6" t="s">
        <v>3</v>
      </c>
      <c r="K1256" s="6"/>
      <c r="L1256" s="6"/>
      <c r="M1256" s="6"/>
      <c r="N1256" s="6"/>
      <c r="O1256" s="6"/>
      <c r="P1256" s="6"/>
      <c r="Q1256" s="6"/>
      <c r="R1256" s="7" t="n">
        <f aca="false">COUNTIF('Label Map'!$D$2:$D$2000,A1256)</f>
        <v>1</v>
      </c>
    </row>
    <row r="1257" customFormat="false" ht="15" hidden="false" customHeight="false" outlineLevel="0" collapsed="false">
      <c r="A1257" s="6" t="s">
        <v>1799</v>
      </c>
      <c r="B1257" s="6" t="s">
        <v>1794</v>
      </c>
      <c r="C1257" s="6" t="s">
        <v>3</v>
      </c>
      <c r="D1257" s="6" t="s">
        <v>1794</v>
      </c>
      <c r="E1257" s="6"/>
      <c r="F1257" s="6"/>
      <c r="G1257" s="6"/>
      <c r="H1257" s="6"/>
      <c r="I1257" s="6"/>
      <c r="J1257" s="6" t="s">
        <v>3</v>
      </c>
      <c r="K1257" s="6"/>
      <c r="L1257" s="6"/>
      <c r="M1257" s="6"/>
      <c r="N1257" s="6"/>
      <c r="O1257" s="6"/>
      <c r="P1257" s="6"/>
      <c r="Q1257" s="6"/>
      <c r="R1257" s="7" t="n">
        <f aca="false">COUNTIF('Label Map'!$D$2:$D$2000,A1257)</f>
        <v>2</v>
      </c>
    </row>
    <row r="1258" customFormat="false" ht="15" hidden="false" customHeight="false" outlineLevel="0" collapsed="false">
      <c r="A1258" s="6" t="s">
        <v>1800</v>
      </c>
      <c r="B1258" s="6" t="s">
        <v>1794</v>
      </c>
      <c r="C1258" s="6" t="s">
        <v>3</v>
      </c>
      <c r="D1258" s="6" t="s">
        <v>1794</v>
      </c>
      <c r="E1258" s="6"/>
      <c r="F1258" s="6"/>
      <c r="G1258" s="6"/>
      <c r="H1258" s="6"/>
      <c r="I1258" s="6"/>
      <c r="J1258" s="6" t="s">
        <v>3</v>
      </c>
      <c r="K1258" s="6"/>
      <c r="L1258" s="6"/>
      <c r="M1258" s="6"/>
      <c r="N1258" s="6"/>
      <c r="O1258" s="6"/>
      <c r="P1258" s="6"/>
      <c r="Q1258" s="6"/>
      <c r="R1258" s="7" t="n">
        <f aca="false">COUNTIF('Label Map'!$D$2:$D$2000,A1258)</f>
        <v>4</v>
      </c>
    </row>
    <row r="1259" customFormat="false" ht="15" hidden="false" customHeight="false" outlineLevel="0" collapsed="false">
      <c r="A1259" s="6" t="s">
        <v>1801</v>
      </c>
      <c r="B1259" s="6" t="s">
        <v>1794</v>
      </c>
      <c r="C1259" s="6" t="s">
        <v>3</v>
      </c>
      <c r="D1259" s="6" t="s">
        <v>1794</v>
      </c>
      <c r="E1259" s="6"/>
      <c r="F1259" s="6"/>
      <c r="G1259" s="6"/>
      <c r="H1259" s="6"/>
      <c r="I1259" s="6"/>
      <c r="J1259" s="6" t="s">
        <v>3</v>
      </c>
      <c r="K1259" s="6"/>
      <c r="L1259" s="6"/>
      <c r="M1259" s="6"/>
      <c r="N1259" s="6"/>
      <c r="O1259" s="6"/>
      <c r="P1259" s="6"/>
      <c r="Q1259" s="6"/>
      <c r="R1259" s="7" t="n">
        <f aca="false">COUNTIF('Label Map'!$D$2:$D$2000,A1259)</f>
        <v>2</v>
      </c>
    </row>
    <row r="1260" customFormat="false" ht="15" hidden="false" customHeight="false" outlineLevel="0" collapsed="false">
      <c r="A1260" s="6" t="s">
        <v>1802</v>
      </c>
      <c r="B1260" s="6" t="s">
        <v>1794</v>
      </c>
      <c r="C1260" s="6" t="s">
        <v>3</v>
      </c>
      <c r="D1260" s="6" t="s">
        <v>1794</v>
      </c>
      <c r="E1260" s="6"/>
      <c r="F1260" s="6"/>
      <c r="G1260" s="6"/>
      <c r="H1260" s="6"/>
      <c r="I1260" s="6"/>
      <c r="J1260" s="6" t="s">
        <v>3</v>
      </c>
      <c r="K1260" s="6"/>
      <c r="L1260" s="6"/>
      <c r="M1260" s="6"/>
      <c r="N1260" s="6"/>
      <c r="O1260" s="6"/>
      <c r="P1260" s="6"/>
      <c r="Q1260" s="6"/>
      <c r="R1260" s="7" t="n">
        <f aca="false">COUNTIF('Label Map'!$D$2:$D$2000,A1260)</f>
        <v>3</v>
      </c>
    </row>
    <row r="1261" customFormat="false" ht="15" hidden="false" customHeight="false" outlineLevel="0" collapsed="false">
      <c r="A1261" s="6" t="s">
        <v>1803</v>
      </c>
      <c r="B1261" s="6" t="s">
        <v>1794</v>
      </c>
      <c r="C1261" s="6" t="s">
        <v>3</v>
      </c>
      <c r="D1261" s="6" t="s">
        <v>1794</v>
      </c>
      <c r="E1261" s="6"/>
      <c r="F1261" s="6"/>
      <c r="G1261" s="6"/>
      <c r="H1261" s="6"/>
      <c r="I1261" s="6"/>
      <c r="J1261" s="6" t="s">
        <v>3</v>
      </c>
      <c r="K1261" s="6"/>
      <c r="L1261" s="6"/>
      <c r="M1261" s="6"/>
      <c r="N1261" s="6"/>
      <c r="O1261" s="6"/>
      <c r="P1261" s="6"/>
      <c r="Q1261" s="6" t="s">
        <v>1804</v>
      </c>
      <c r="R1261" s="7" t="n">
        <f aca="false">COUNTIF('Label Map'!$D$2:$D$2000,A1261)</f>
        <v>11</v>
      </c>
    </row>
    <row r="1262" customFormat="false" ht="15" hidden="false" customHeight="false" outlineLevel="0" collapsed="false">
      <c r="A1262" s="6" t="s">
        <v>1805</v>
      </c>
      <c r="B1262" s="6" t="s">
        <v>1806</v>
      </c>
      <c r="C1262" s="6" t="s">
        <v>3</v>
      </c>
      <c r="D1262" s="6" t="s">
        <v>1806</v>
      </c>
      <c r="E1262" s="6"/>
      <c r="F1262" s="6"/>
      <c r="G1262" s="6"/>
      <c r="H1262" s="6"/>
      <c r="I1262" s="6"/>
      <c r="J1262" s="6" t="s">
        <v>3</v>
      </c>
      <c r="K1262" s="6"/>
      <c r="L1262" s="6"/>
      <c r="M1262" s="6"/>
      <c r="N1262" s="6"/>
      <c r="O1262" s="6"/>
      <c r="P1262" s="6"/>
      <c r="Q1262" s="6" t="s">
        <v>1807</v>
      </c>
      <c r="R1262" s="7" t="n">
        <f aca="false">COUNTIF('Label Map'!$D$2:$D$2000,A1262)</f>
        <v>0</v>
      </c>
    </row>
    <row r="1263" customFormat="false" ht="15" hidden="false" customHeight="false" outlineLevel="0" collapsed="false">
      <c r="A1263" s="6" t="s">
        <v>1067</v>
      </c>
      <c r="B1263" s="6" t="s">
        <v>1806</v>
      </c>
      <c r="C1263" s="6" t="s">
        <v>3</v>
      </c>
      <c r="D1263" s="6" t="s">
        <v>1806</v>
      </c>
      <c r="E1263" s="6"/>
      <c r="F1263" s="6"/>
      <c r="G1263" s="6"/>
      <c r="H1263" s="6"/>
      <c r="I1263" s="6"/>
      <c r="J1263" s="6" t="s">
        <v>3</v>
      </c>
      <c r="K1263" s="6"/>
      <c r="L1263" s="6"/>
      <c r="M1263" s="6"/>
      <c r="N1263" s="6"/>
      <c r="O1263" s="6"/>
      <c r="P1263" s="6"/>
      <c r="Q1263" s="6" t="s">
        <v>1808</v>
      </c>
      <c r="R1263" s="7" t="n">
        <f aca="false">COUNTIF('Label Map'!$D$2:$D$2000,A1263)</f>
        <v>0</v>
      </c>
    </row>
    <row r="1264" customFormat="false" ht="15" hidden="false" customHeight="false" outlineLevel="0" collapsed="false">
      <c r="A1264" s="6" t="s">
        <v>1809</v>
      </c>
      <c r="B1264" s="6" t="s">
        <v>1806</v>
      </c>
      <c r="C1264" s="6" t="s">
        <v>3</v>
      </c>
      <c r="D1264" s="6" t="s">
        <v>1806</v>
      </c>
      <c r="E1264" s="6"/>
      <c r="F1264" s="6"/>
      <c r="G1264" s="6"/>
      <c r="H1264" s="6"/>
      <c r="I1264" s="6"/>
      <c r="J1264" s="6" t="s">
        <v>3</v>
      </c>
      <c r="K1264" s="6"/>
      <c r="L1264" s="6"/>
      <c r="M1264" s="6"/>
      <c r="N1264" s="6"/>
      <c r="O1264" s="6"/>
      <c r="P1264" s="6"/>
      <c r="Q1264" s="6" t="s">
        <v>1810</v>
      </c>
      <c r="R1264" s="7" t="n">
        <f aca="false">COUNTIF('Label Map'!$D$2:$D$2000,A1264)</f>
        <v>3</v>
      </c>
    </row>
    <row r="1265" customFormat="false" ht="15" hidden="false" customHeight="false" outlineLevel="0" collapsed="false">
      <c r="A1265" s="6" t="s">
        <v>1811</v>
      </c>
      <c r="B1265" s="6" t="s">
        <v>1806</v>
      </c>
      <c r="C1265" s="6" t="s">
        <v>3</v>
      </c>
      <c r="D1265" s="6" t="s">
        <v>1806</v>
      </c>
      <c r="E1265" s="6"/>
      <c r="F1265" s="6"/>
      <c r="G1265" s="6"/>
      <c r="H1265" s="6"/>
      <c r="I1265" s="6"/>
      <c r="J1265" s="6" t="s">
        <v>3</v>
      </c>
      <c r="K1265" s="6"/>
      <c r="L1265" s="6"/>
      <c r="M1265" s="6"/>
      <c r="N1265" s="6"/>
      <c r="O1265" s="6"/>
      <c r="P1265" s="6"/>
      <c r="Q1265" s="6" t="s">
        <v>1810</v>
      </c>
      <c r="R1265" s="7" t="n">
        <f aca="false">COUNTIF('Label Map'!$D$2:$D$2000,A1265)</f>
        <v>5</v>
      </c>
    </row>
    <row r="1266" customFormat="false" ht="15" hidden="false" customHeight="false" outlineLevel="0" collapsed="false">
      <c r="A1266" s="6" t="s">
        <v>1812</v>
      </c>
      <c r="B1266" s="6" t="s">
        <v>1806</v>
      </c>
      <c r="C1266" s="6" t="s">
        <v>3</v>
      </c>
      <c r="D1266" s="6" t="s">
        <v>1806</v>
      </c>
      <c r="E1266" s="6"/>
      <c r="F1266" s="6"/>
      <c r="G1266" s="6"/>
      <c r="H1266" s="6"/>
      <c r="I1266" s="6"/>
      <c r="J1266" s="6" t="s">
        <v>3</v>
      </c>
      <c r="K1266" s="6"/>
      <c r="L1266" s="6"/>
      <c r="M1266" s="6"/>
      <c r="N1266" s="6"/>
      <c r="O1266" s="6"/>
      <c r="P1266" s="6"/>
      <c r="Q1266" s="6" t="s">
        <v>1810</v>
      </c>
      <c r="R1266" s="7" t="n">
        <f aca="false">COUNTIF('Label Map'!$D$2:$D$2000,A1266)</f>
        <v>1</v>
      </c>
    </row>
    <row r="1267" customFormat="false" ht="15" hidden="false" customHeight="false" outlineLevel="0" collapsed="false">
      <c r="A1267" s="6" t="s">
        <v>1813</v>
      </c>
      <c r="B1267" s="6" t="s">
        <v>1806</v>
      </c>
      <c r="C1267" s="6" t="s">
        <v>3</v>
      </c>
      <c r="D1267" s="6" t="s">
        <v>1806</v>
      </c>
      <c r="E1267" s="6"/>
      <c r="F1267" s="6"/>
      <c r="G1267" s="6"/>
      <c r="H1267" s="6"/>
      <c r="I1267" s="6"/>
      <c r="J1267" s="6" t="s">
        <v>3</v>
      </c>
      <c r="K1267" s="6"/>
      <c r="L1267" s="6"/>
      <c r="M1267" s="6"/>
      <c r="N1267" s="6"/>
      <c r="O1267" s="6"/>
      <c r="P1267" s="6"/>
      <c r="Q1267" s="6" t="s">
        <v>1814</v>
      </c>
      <c r="R1267" s="7" t="n">
        <f aca="false">COUNTIF('Label Map'!$D$2:$D$2000,A1267)</f>
        <v>0</v>
      </c>
    </row>
    <row r="1268" customFormat="false" ht="15" hidden="false" customHeight="false" outlineLevel="0" collapsed="false">
      <c r="A1268" s="6" t="s">
        <v>1699</v>
      </c>
      <c r="B1268" s="6" t="s">
        <v>1806</v>
      </c>
      <c r="C1268" s="6" t="s">
        <v>3</v>
      </c>
      <c r="D1268" s="6" t="s">
        <v>1806</v>
      </c>
      <c r="E1268" s="6"/>
      <c r="F1268" s="6"/>
      <c r="G1268" s="6"/>
      <c r="H1268" s="6"/>
      <c r="I1268" s="6"/>
      <c r="J1268" s="6" t="s">
        <v>3</v>
      </c>
      <c r="K1268" s="6"/>
      <c r="L1268" s="6"/>
      <c r="M1268" s="6"/>
      <c r="N1268" s="6"/>
      <c r="O1268" s="6"/>
      <c r="P1268" s="6"/>
      <c r="Q1268" s="6" t="s">
        <v>1815</v>
      </c>
      <c r="R1268" s="7" t="n">
        <f aca="false">COUNTIF('Label Map'!$D$2:$D$2000,A1268)</f>
        <v>0</v>
      </c>
    </row>
    <row r="1269" customFormat="false" ht="15" hidden="false" customHeight="false" outlineLevel="0" collapsed="false">
      <c r="A1269" s="6" t="s">
        <v>1816</v>
      </c>
      <c r="B1269" s="6" t="s">
        <v>1817</v>
      </c>
      <c r="C1269" s="6" t="s">
        <v>3</v>
      </c>
      <c r="D1269" s="6" t="s">
        <v>1818</v>
      </c>
      <c r="E1269" s="6"/>
      <c r="F1269" s="6"/>
      <c r="G1269" s="6"/>
      <c r="H1269" s="6"/>
      <c r="I1269" s="6"/>
      <c r="J1269" s="6" t="s">
        <v>3</v>
      </c>
      <c r="K1269" s="6"/>
      <c r="L1269" s="6"/>
      <c r="M1269" s="6"/>
      <c r="N1269" s="6"/>
      <c r="O1269" s="6"/>
      <c r="P1269" s="6"/>
      <c r="Q1269" s="6" t="s">
        <v>1819</v>
      </c>
      <c r="R1269" s="7" t="n">
        <f aca="false">COUNTIF('Label Map'!$D$2:$D$2000,A1269)</f>
        <v>1</v>
      </c>
    </row>
    <row r="1270" customFormat="false" ht="15" hidden="false" customHeight="false" outlineLevel="0" collapsed="false">
      <c r="A1270" s="6" t="s">
        <v>1820</v>
      </c>
      <c r="B1270" s="6" t="s">
        <v>1817</v>
      </c>
      <c r="C1270" s="6" t="s">
        <v>3</v>
      </c>
      <c r="D1270" s="6" t="s">
        <v>1818</v>
      </c>
      <c r="E1270" s="6"/>
      <c r="F1270" s="6"/>
      <c r="G1270" s="6"/>
      <c r="H1270" s="6"/>
      <c r="I1270" s="6"/>
      <c r="J1270" s="6" t="s">
        <v>3</v>
      </c>
      <c r="K1270" s="6"/>
      <c r="L1270" s="6"/>
      <c r="M1270" s="6"/>
      <c r="N1270" s="6"/>
      <c r="O1270" s="6"/>
      <c r="P1270" s="6"/>
      <c r="Q1270" s="6" t="s">
        <v>1821</v>
      </c>
      <c r="R1270" s="7" t="n">
        <f aca="false">COUNTIF('Label Map'!$D$2:$D$2000,A1270)</f>
        <v>1</v>
      </c>
    </row>
    <row r="1271" customFormat="false" ht="15" hidden="false" customHeight="false" outlineLevel="0" collapsed="false">
      <c r="A1271" s="6" t="s">
        <v>1822</v>
      </c>
      <c r="B1271" s="6" t="s">
        <v>1817</v>
      </c>
      <c r="C1271" s="6" t="s">
        <v>3</v>
      </c>
      <c r="D1271" s="6" t="s">
        <v>1818</v>
      </c>
      <c r="E1271" s="6"/>
      <c r="F1271" s="6"/>
      <c r="G1271" s="6"/>
      <c r="H1271" s="6"/>
      <c r="I1271" s="6"/>
      <c r="J1271" s="6" t="s">
        <v>3</v>
      </c>
      <c r="K1271" s="6"/>
      <c r="L1271" s="6"/>
      <c r="M1271" s="6"/>
      <c r="N1271" s="6"/>
      <c r="O1271" s="6"/>
      <c r="P1271" s="6"/>
      <c r="Q1271" s="6" t="s">
        <v>1823</v>
      </c>
      <c r="R1271" s="7" t="n">
        <f aca="false">COUNTIF('Label Map'!$D$2:$D$2000,A1271)</f>
        <v>3</v>
      </c>
    </row>
    <row r="1272" customFormat="false" ht="15" hidden="false" customHeight="false" outlineLevel="0" collapsed="false">
      <c r="A1272" s="6" t="s">
        <v>1824</v>
      </c>
      <c r="B1272" s="6" t="s">
        <v>1817</v>
      </c>
      <c r="C1272" s="6" t="s">
        <v>3</v>
      </c>
      <c r="D1272" s="6" t="s">
        <v>1818</v>
      </c>
      <c r="E1272" s="6"/>
      <c r="F1272" s="6"/>
      <c r="G1272" s="6"/>
      <c r="H1272" s="6"/>
      <c r="I1272" s="6"/>
      <c r="J1272" s="6" t="s">
        <v>3</v>
      </c>
      <c r="K1272" s="6"/>
      <c r="L1272" s="6"/>
      <c r="M1272" s="6"/>
      <c r="N1272" s="6"/>
      <c r="O1272" s="6"/>
      <c r="P1272" s="6"/>
      <c r="Q1272" s="6" t="s">
        <v>1825</v>
      </c>
      <c r="R1272" s="7" t="n">
        <f aca="false">COUNTIF('Label Map'!$D$2:$D$2000,A1272)</f>
        <v>1</v>
      </c>
    </row>
    <row r="1273" customFormat="false" ht="15" hidden="false" customHeight="false" outlineLevel="0" collapsed="false">
      <c r="A1273" s="6" t="s">
        <v>1826</v>
      </c>
      <c r="B1273" s="6" t="s">
        <v>1817</v>
      </c>
      <c r="C1273" s="6" t="s">
        <v>3</v>
      </c>
      <c r="D1273" s="6" t="s">
        <v>1818</v>
      </c>
      <c r="E1273" s="6"/>
      <c r="F1273" s="6"/>
      <c r="G1273" s="6"/>
      <c r="H1273" s="6"/>
      <c r="I1273" s="6"/>
      <c r="J1273" s="6" t="s">
        <v>3</v>
      </c>
      <c r="K1273" s="6"/>
      <c r="L1273" s="6"/>
      <c r="M1273" s="6"/>
      <c r="N1273" s="6"/>
      <c r="O1273" s="6"/>
      <c r="P1273" s="6"/>
      <c r="Q1273" s="6" t="s">
        <v>1823</v>
      </c>
      <c r="R1273" s="7" t="n">
        <f aca="false">COUNTIF('Label Map'!$D$2:$D$2000,A1273)</f>
        <v>3</v>
      </c>
    </row>
    <row r="1274" customFormat="false" ht="15" hidden="false" customHeight="false" outlineLevel="0" collapsed="false">
      <c r="A1274" s="6" t="s">
        <v>1827</v>
      </c>
      <c r="B1274" s="6" t="s">
        <v>1817</v>
      </c>
      <c r="C1274" s="6" t="s">
        <v>3</v>
      </c>
      <c r="D1274" s="6" t="s">
        <v>1818</v>
      </c>
      <c r="E1274" s="6"/>
      <c r="F1274" s="6"/>
      <c r="G1274" s="6"/>
      <c r="H1274" s="6"/>
      <c r="I1274" s="6"/>
      <c r="J1274" s="6" t="s">
        <v>3</v>
      </c>
      <c r="K1274" s="6"/>
      <c r="L1274" s="6"/>
      <c r="M1274" s="6"/>
      <c r="N1274" s="6"/>
      <c r="O1274" s="6"/>
      <c r="P1274" s="6"/>
      <c r="Q1274" s="6" t="s">
        <v>1828</v>
      </c>
      <c r="R1274" s="7" t="n">
        <f aca="false">COUNTIF('Label Map'!$D$2:$D$2000,A1274)</f>
        <v>3</v>
      </c>
    </row>
    <row r="1275" customFormat="false" ht="15" hidden="false" customHeight="false" outlineLevel="0" collapsed="false">
      <c r="A1275" s="6" t="s">
        <v>1829</v>
      </c>
      <c r="B1275" s="6" t="s">
        <v>1817</v>
      </c>
      <c r="C1275" s="6" t="s">
        <v>3</v>
      </c>
      <c r="D1275" s="6" t="s">
        <v>1818</v>
      </c>
      <c r="E1275" s="6"/>
      <c r="F1275" s="6"/>
      <c r="G1275" s="6"/>
      <c r="H1275" s="6"/>
      <c r="I1275" s="6"/>
      <c r="J1275" s="6" t="s">
        <v>3</v>
      </c>
      <c r="K1275" s="6"/>
      <c r="L1275" s="6"/>
      <c r="M1275" s="6"/>
      <c r="N1275" s="6"/>
      <c r="O1275" s="6"/>
      <c r="P1275" s="6"/>
      <c r="Q1275" s="6" t="s">
        <v>1830</v>
      </c>
      <c r="R1275" s="7" t="n">
        <f aca="false">COUNTIF('Label Map'!$D$2:$D$2000,A1275)</f>
        <v>3</v>
      </c>
    </row>
    <row r="1276" customFormat="false" ht="15" hidden="false" customHeight="false" outlineLevel="0" collapsed="false">
      <c r="A1276" s="6" t="s">
        <v>1831</v>
      </c>
      <c r="B1276" s="6" t="s">
        <v>1817</v>
      </c>
      <c r="C1276" s="6" t="s">
        <v>3</v>
      </c>
      <c r="D1276" s="6" t="s">
        <v>1818</v>
      </c>
      <c r="E1276" s="6"/>
      <c r="F1276" s="6"/>
      <c r="G1276" s="6"/>
      <c r="H1276" s="6"/>
      <c r="I1276" s="6"/>
      <c r="J1276" s="6" t="s">
        <v>3</v>
      </c>
      <c r="K1276" s="6"/>
      <c r="L1276" s="6"/>
      <c r="M1276" s="6"/>
      <c r="N1276" s="6"/>
      <c r="O1276" s="6"/>
      <c r="P1276" s="6"/>
      <c r="Q1276" s="6" t="s">
        <v>1823</v>
      </c>
      <c r="R1276" s="7" t="n">
        <f aca="false">COUNTIF('Label Map'!$D$2:$D$2000,A1276)</f>
        <v>1</v>
      </c>
    </row>
    <row r="1277" customFormat="false" ht="15" hidden="false" customHeight="false" outlineLevel="0" collapsed="false">
      <c r="A1277" s="6" t="s">
        <v>1832</v>
      </c>
      <c r="B1277" s="6" t="s">
        <v>1817</v>
      </c>
      <c r="C1277" s="6" t="s">
        <v>3</v>
      </c>
      <c r="D1277" s="6" t="s">
        <v>1818</v>
      </c>
      <c r="E1277" s="6"/>
      <c r="F1277" s="6"/>
      <c r="G1277" s="6"/>
      <c r="H1277" s="6"/>
      <c r="I1277" s="6"/>
      <c r="J1277" s="6" t="s">
        <v>3</v>
      </c>
      <c r="K1277" s="6"/>
      <c r="L1277" s="6"/>
      <c r="M1277" s="6"/>
      <c r="N1277" s="6"/>
      <c r="O1277" s="6"/>
      <c r="P1277" s="6"/>
      <c r="Q1277" s="6" t="s">
        <v>1830</v>
      </c>
      <c r="R1277" s="7" t="n">
        <f aca="false">COUNTIF('Label Map'!$D$2:$D$2000,A1277)</f>
        <v>4</v>
      </c>
    </row>
    <row r="1278" customFormat="false" ht="15" hidden="false" customHeight="false" outlineLevel="0" collapsed="false">
      <c r="A1278" s="6" t="s">
        <v>1833</v>
      </c>
      <c r="B1278" s="6" t="s">
        <v>1817</v>
      </c>
      <c r="C1278" s="6" t="s">
        <v>3</v>
      </c>
      <c r="D1278" s="6" t="s">
        <v>1818</v>
      </c>
      <c r="E1278" s="6"/>
      <c r="F1278" s="6"/>
      <c r="G1278" s="6"/>
      <c r="H1278" s="6"/>
      <c r="I1278" s="6"/>
      <c r="J1278" s="6" t="s">
        <v>3</v>
      </c>
      <c r="K1278" s="6"/>
      <c r="L1278" s="6"/>
      <c r="M1278" s="6"/>
      <c r="N1278" s="6"/>
      <c r="O1278" s="6"/>
      <c r="P1278" s="6"/>
      <c r="Q1278" s="6" t="s">
        <v>1834</v>
      </c>
      <c r="R1278" s="7" t="n">
        <f aca="false">COUNTIF('Label Map'!$D$2:$D$2000,A1278)</f>
        <v>2</v>
      </c>
    </row>
    <row r="1279" customFormat="false" ht="15" hidden="false" customHeight="false" outlineLevel="0" collapsed="false">
      <c r="A1279" s="6" t="s">
        <v>1835</v>
      </c>
      <c r="B1279" s="6" t="s">
        <v>1817</v>
      </c>
      <c r="C1279" s="6" t="s">
        <v>3</v>
      </c>
      <c r="D1279" s="6" t="s">
        <v>1818</v>
      </c>
      <c r="E1279" s="6"/>
      <c r="F1279" s="6"/>
      <c r="G1279" s="6"/>
      <c r="H1279" s="6"/>
      <c r="I1279" s="6"/>
      <c r="J1279" s="6" t="s">
        <v>3</v>
      </c>
      <c r="K1279" s="6"/>
      <c r="L1279" s="6"/>
      <c r="M1279" s="6"/>
      <c r="N1279" s="6"/>
      <c r="O1279" s="6"/>
      <c r="P1279" s="6"/>
      <c r="Q1279" s="6" t="s">
        <v>1836</v>
      </c>
      <c r="R1279" s="7" t="n">
        <f aca="false">COUNTIF('Label Map'!$D$2:$D$2000,A1279)</f>
        <v>2</v>
      </c>
    </row>
    <row r="1280" customFormat="false" ht="15" hidden="false" customHeight="false" outlineLevel="0" collapsed="false">
      <c r="A1280" s="6" t="s">
        <v>1837</v>
      </c>
      <c r="B1280" s="6" t="s">
        <v>1817</v>
      </c>
      <c r="C1280" s="6" t="s">
        <v>3</v>
      </c>
      <c r="D1280" s="6" t="s">
        <v>1818</v>
      </c>
      <c r="E1280" s="6"/>
      <c r="F1280" s="6"/>
      <c r="G1280" s="6"/>
      <c r="H1280" s="6"/>
      <c r="I1280" s="6"/>
      <c r="J1280" s="6" t="s">
        <v>3</v>
      </c>
      <c r="K1280" s="6"/>
      <c r="L1280" s="6"/>
      <c r="M1280" s="6"/>
      <c r="N1280" s="6"/>
      <c r="O1280" s="6"/>
      <c r="P1280" s="6"/>
      <c r="Q1280" s="6" t="s">
        <v>1838</v>
      </c>
      <c r="R1280" s="7" t="n">
        <f aca="false">COUNTIF('Label Map'!$D$2:$D$2000,A1280)</f>
        <v>2</v>
      </c>
    </row>
    <row r="1281" customFormat="false" ht="15" hidden="false" customHeight="false" outlineLevel="0" collapsed="false">
      <c r="A1281" s="6" t="s">
        <v>1839</v>
      </c>
      <c r="B1281" s="6" t="s">
        <v>1817</v>
      </c>
      <c r="C1281" s="6" t="s">
        <v>3</v>
      </c>
      <c r="D1281" s="6" t="s">
        <v>1818</v>
      </c>
      <c r="E1281" s="6"/>
      <c r="F1281" s="6"/>
      <c r="G1281" s="6"/>
      <c r="H1281" s="6"/>
      <c r="I1281" s="6"/>
      <c r="J1281" s="6" t="s">
        <v>3</v>
      </c>
      <c r="K1281" s="6"/>
      <c r="L1281" s="6"/>
      <c r="M1281" s="6"/>
      <c r="N1281" s="6"/>
      <c r="O1281" s="6"/>
      <c r="P1281" s="6"/>
      <c r="Q1281" s="6" t="s">
        <v>1840</v>
      </c>
      <c r="R1281" s="7" t="n">
        <f aca="false">COUNTIF('Label Map'!$D$2:$D$2000,A1281)</f>
        <v>1</v>
      </c>
    </row>
    <row r="1282" customFormat="false" ht="15" hidden="false" customHeight="false" outlineLevel="0" collapsed="false">
      <c r="A1282" s="6" t="s">
        <v>1841</v>
      </c>
      <c r="B1282" s="6" t="s">
        <v>1817</v>
      </c>
      <c r="C1282" s="6" t="s">
        <v>3</v>
      </c>
      <c r="D1282" s="6" t="s">
        <v>1818</v>
      </c>
      <c r="E1282" s="6"/>
      <c r="F1282" s="6"/>
      <c r="G1282" s="6"/>
      <c r="H1282" s="6"/>
      <c r="I1282" s="6"/>
      <c r="J1282" s="6" t="s">
        <v>3</v>
      </c>
      <c r="K1282" s="6"/>
      <c r="L1282" s="6"/>
      <c r="M1282" s="6"/>
      <c r="N1282" s="6"/>
      <c r="O1282" s="6"/>
      <c r="P1282" s="6"/>
      <c r="Q1282" s="6" t="s">
        <v>1842</v>
      </c>
      <c r="R1282" s="7" t="n">
        <f aca="false">COUNTIF('Label Map'!$D$2:$D$2000,A1282)</f>
        <v>3</v>
      </c>
    </row>
    <row r="1283" customFormat="false" ht="15" hidden="false" customHeight="false" outlineLevel="0" collapsed="false">
      <c r="A1283" s="6" t="s">
        <v>1843</v>
      </c>
      <c r="B1283" s="6" t="s">
        <v>1817</v>
      </c>
      <c r="C1283" s="6" t="s">
        <v>3</v>
      </c>
      <c r="D1283" s="6" t="s">
        <v>1818</v>
      </c>
      <c r="E1283" s="6"/>
      <c r="F1283" s="6"/>
      <c r="G1283" s="6"/>
      <c r="H1283" s="6"/>
      <c r="I1283" s="6"/>
      <c r="J1283" s="6" t="s">
        <v>3</v>
      </c>
      <c r="K1283" s="6"/>
      <c r="L1283" s="6"/>
      <c r="M1283" s="6"/>
      <c r="N1283" s="6"/>
      <c r="O1283" s="6"/>
      <c r="P1283" s="6"/>
      <c r="Q1283" s="6" t="s">
        <v>1844</v>
      </c>
      <c r="R1283" s="7" t="n">
        <f aca="false">COUNTIF('Label Map'!$D$2:$D$2000,A1283)</f>
        <v>3</v>
      </c>
    </row>
    <row r="1284" customFormat="false" ht="15" hidden="false" customHeight="false" outlineLevel="0" collapsed="false">
      <c r="A1284" s="6" t="s">
        <v>1845</v>
      </c>
      <c r="B1284" s="6" t="s">
        <v>1817</v>
      </c>
      <c r="C1284" s="6" t="s">
        <v>3</v>
      </c>
      <c r="D1284" s="6" t="s">
        <v>1818</v>
      </c>
      <c r="E1284" s="6"/>
      <c r="F1284" s="6"/>
      <c r="G1284" s="6"/>
      <c r="H1284" s="6"/>
      <c r="I1284" s="6"/>
      <c r="J1284" s="6" t="s">
        <v>3</v>
      </c>
      <c r="K1284" s="6"/>
      <c r="L1284" s="6"/>
      <c r="M1284" s="6"/>
      <c r="N1284" s="6"/>
      <c r="O1284" s="6"/>
      <c r="P1284" s="6"/>
      <c r="Q1284" s="6" t="s">
        <v>1846</v>
      </c>
      <c r="R1284" s="7" t="n">
        <f aca="false">COUNTIF('Label Map'!$D$2:$D$2000,A1284)</f>
        <v>1</v>
      </c>
    </row>
    <row r="1285" customFormat="false" ht="15" hidden="false" customHeight="false" outlineLevel="0" collapsed="false">
      <c r="A1285" s="6" t="s">
        <v>1847</v>
      </c>
      <c r="B1285" s="6" t="s">
        <v>1817</v>
      </c>
      <c r="C1285" s="6" t="s">
        <v>3</v>
      </c>
      <c r="D1285" s="6" t="s">
        <v>1818</v>
      </c>
      <c r="E1285" s="6"/>
      <c r="F1285" s="6"/>
      <c r="G1285" s="6"/>
      <c r="H1285" s="6"/>
      <c r="I1285" s="6"/>
      <c r="J1285" s="6" t="s">
        <v>3</v>
      </c>
      <c r="K1285" s="6"/>
      <c r="L1285" s="6"/>
      <c r="M1285" s="6"/>
      <c r="N1285" s="6"/>
      <c r="O1285" s="6"/>
      <c r="P1285" s="6"/>
      <c r="Q1285" s="6" t="s">
        <v>1848</v>
      </c>
      <c r="R1285" s="7" t="n">
        <f aca="false">COUNTIF('Label Map'!$D$2:$D$2000,A1285)</f>
        <v>1</v>
      </c>
    </row>
    <row r="1286" customFormat="false" ht="15" hidden="false" customHeight="false" outlineLevel="0" collapsed="false">
      <c r="A1286" s="6" t="s">
        <v>1849</v>
      </c>
      <c r="B1286" s="6" t="s">
        <v>1817</v>
      </c>
      <c r="C1286" s="6" t="s">
        <v>3</v>
      </c>
      <c r="D1286" s="6" t="s">
        <v>1818</v>
      </c>
      <c r="E1286" s="6"/>
      <c r="F1286" s="6"/>
      <c r="G1286" s="6"/>
      <c r="H1286" s="6"/>
      <c r="I1286" s="6"/>
      <c r="J1286" s="6" t="s">
        <v>3</v>
      </c>
      <c r="K1286" s="6"/>
      <c r="L1286" s="6"/>
      <c r="M1286" s="6"/>
      <c r="N1286" s="6"/>
      <c r="O1286" s="6"/>
      <c r="P1286" s="6"/>
      <c r="Q1286" s="6" t="s">
        <v>1850</v>
      </c>
      <c r="R1286" s="7" t="n">
        <f aca="false">COUNTIF('Label Map'!$D$2:$D$2000,A1286)</f>
        <v>2</v>
      </c>
    </row>
    <row r="1287" customFormat="false" ht="15" hidden="false" customHeight="false" outlineLevel="0" collapsed="false">
      <c r="A1287" s="6" t="s">
        <v>1851</v>
      </c>
      <c r="B1287" s="6" t="s">
        <v>1817</v>
      </c>
      <c r="C1287" s="6" t="s">
        <v>3</v>
      </c>
      <c r="D1287" s="6" t="s">
        <v>1818</v>
      </c>
      <c r="E1287" s="6"/>
      <c r="F1287" s="6"/>
      <c r="G1287" s="6"/>
      <c r="H1287" s="6"/>
      <c r="I1287" s="6"/>
      <c r="J1287" s="6" t="s">
        <v>3</v>
      </c>
      <c r="K1287" s="6"/>
      <c r="L1287" s="6"/>
      <c r="M1287" s="6"/>
      <c r="N1287" s="6"/>
      <c r="O1287" s="6"/>
      <c r="P1287" s="6"/>
      <c r="Q1287" s="6" t="s">
        <v>1830</v>
      </c>
      <c r="R1287" s="7" t="n">
        <f aca="false">COUNTIF('Label Map'!$D$2:$D$2000,A1287)</f>
        <v>3</v>
      </c>
    </row>
    <row r="1288" customFormat="false" ht="15" hidden="false" customHeight="false" outlineLevel="0" collapsed="false">
      <c r="A1288" s="6" t="s">
        <v>1852</v>
      </c>
      <c r="B1288" s="6" t="s">
        <v>1817</v>
      </c>
      <c r="C1288" s="6" t="s">
        <v>3</v>
      </c>
      <c r="D1288" s="6" t="s">
        <v>1818</v>
      </c>
      <c r="E1288" s="6"/>
      <c r="F1288" s="6"/>
      <c r="G1288" s="6"/>
      <c r="H1288" s="6"/>
      <c r="I1288" s="6"/>
      <c r="J1288" s="6" t="s">
        <v>3</v>
      </c>
      <c r="K1288" s="6"/>
      <c r="L1288" s="6"/>
      <c r="M1288" s="6"/>
      <c r="N1288" s="6"/>
      <c r="O1288" s="6"/>
      <c r="P1288" s="6"/>
      <c r="Q1288" s="6" t="s">
        <v>1853</v>
      </c>
      <c r="R1288" s="7" t="n">
        <f aca="false">COUNTIF('Label Map'!$D$2:$D$2000,A1288)</f>
        <v>1</v>
      </c>
    </row>
    <row r="1289" customFormat="false" ht="15" hidden="false" customHeight="false" outlineLevel="0" collapsed="false">
      <c r="A1289" s="6" t="s">
        <v>1854</v>
      </c>
      <c r="B1289" s="6" t="s">
        <v>1817</v>
      </c>
      <c r="C1289" s="6" t="s">
        <v>3</v>
      </c>
      <c r="D1289" s="6" t="s">
        <v>1818</v>
      </c>
      <c r="E1289" s="6"/>
      <c r="F1289" s="6"/>
      <c r="G1289" s="6"/>
      <c r="H1289" s="6"/>
      <c r="I1289" s="6"/>
      <c r="J1289" s="6" t="s">
        <v>3</v>
      </c>
      <c r="K1289" s="6"/>
      <c r="L1289" s="6"/>
      <c r="M1289" s="6"/>
      <c r="N1289" s="6"/>
      <c r="O1289" s="6"/>
      <c r="P1289" s="6"/>
      <c r="Q1289" s="6" t="s">
        <v>1855</v>
      </c>
      <c r="R1289" s="7" t="n">
        <f aca="false">COUNTIF('Label Map'!$D$2:$D$2000,A1289)</f>
        <v>2</v>
      </c>
    </row>
    <row r="1290" customFormat="false" ht="15" hidden="false" customHeight="false" outlineLevel="0" collapsed="false">
      <c r="A1290" s="6" t="s">
        <v>1856</v>
      </c>
      <c r="B1290" s="6" t="s">
        <v>1817</v>
      </c>
      <c r="C1290" s="6" t="s">
        <v>3</v>
      </c>
      <c r="D1290" s="6" t="s">
        <v>1818</v>
      </c>
      <c r="E1290" s="6"/>
      <c r="F1290" s="6"/>
      <c r="G1290" s="6"/>
      <c r="H1290" s="6"/>
      <c r="I1290" s="6"/>
      <c r="J1290" s="6" t="s">
        <v>3</v>
      </c>
      <c r="K1290" s="6"/>
      <c r="L1290" s="6"/>
      <c r="M1290" s="6"/>
      <c r="N1290" s="6"/>
      <c r="O1290" s="6"/>
      <c r="P1290" s="6"/>
      <c r="Q1290" s="6" t="s">
        <v>1857</v>
      </c>
      <c r="R1290" s="7" t="n">
        <f aca="false">COUNTIF('Label Map'!$D$2:$D$2000,A1290)</f>
        <v>1</v>
      </c>
    </row>
    <row r="1291" customFormat="false" ht="15" hidden="false" customHeight="false" outlineLevel="0" collapsed="false">
      <c r="A1291" s="6" t="s">
        <v>1858</v>
      </c>
      <c r="B1291" s="6" t="s">
        <v>1817</v>
      </c>
      <c r="C1291" s="6" t="s">
        <v>3</v>
      </c>
      <c r="D1291" s="6" t="s">
        <v>1818</v>
      </c>
      <c r="E1291" s="6"/>
      <c r="F1291" s="6"/>
      <c r="G1291" s="6"/>
      <c r="H1291" s="6"/>
      <c r="I1291" s="6"/>
      <c r="J1291" s="6" t="s">
        <v>3</v>
      </c>
      <c r="K1291" s="6"/>
      <c r="L1291" s="6"/>
      <c r="M1291" s="6"/>
      <c r="N1291" s="6"/>
      <c r="O1291" s="6"/>
      <c r="P1291" s="6"/>
      <c r="Q1291" s="6" t="s">
        <v>1859</v>
      </c>
      <c r="R1291" s="7" t="n">
        <f aca="false">COUNTIF('Label Map'!$D$2:$D$2000,A1291)</f>
        <v>1</v>
      </c>
    </row>
    <row r="1292" customFormat="false" ht="15" hidden="false" customHeight="false" outlineLevel="0" collapsed="false">
      <c r="A1292" s="6" t="s">
        <v>1860</v>
      </c>
      <c r="B1292" s="6" t="s">
        <v>1817</v>
      </c>
      <c r="C1292" s="6" t="s">
        <v>3</v>
      </c>
      <c r="D1292" s="6" t="s">
        <v>1818</v>
      </c>
      <c r="E1292" s="6"/>
      <c r="F1292" s="6"/>
      <c r="G1292" s="6"/>
      <c r="H1292" s="6"/>
      <c r="I1292" s="6"/>
      <c r="J1292" s="6" t="s">
        <v>3</v>
      </c>
      <c r="K1292" s="6"/>
      <c r="L1292" s="6"/>
      <c r="M1292" s="6"/>
      <c r="N1292" s="6"/>
      <c r="O1292" s="6"/>
      <c r="P1292" s="6"/>
      <c r="Q1292" s="6" t="s">
        <v>1861</v>
      </c>
      <c r="R1292" s="7" t="n">
        <f aca="false">COUNTIF('Label Map'!$D$2:$D$2000,A1292)</f>
        <v>2</v>
      </c>
    </row>
    <row r="1293" customFormat="false" ht="15" hidden="false" customHeight="false" outlineLevel="0" collapsed="false">
      <c r="A1293" s="6" t="s">
        <v>1862</v>
      </c>
      <c r="B1293" s="6" t="s">
        <v>1817</v>
      </c>
      <c r="C1293" s="6" t="s">
        <v>3</v>
      </c>
      <c r="D1293" s="6" t="s">
        <v>1818</v>
      </c>
      <c r="E1293" s="6"/>
      <c r="F1293" s="6"/>
      <c r="G1293" s="6"/>
      <c r="H1293" s="6"/>
      <c r="I1293" s="6"/>
      <c r="J1293" s="6" t="s">
        <v>3</v>
      </c>
      <c r="K1293" s="6"/>
      <c r="L1293" s="6"/>
      <c r="M1293" s="6"/>
      <c r="N1293" s="6"/>
      <c r="O1293" s="6"/>
      <c r="P1293" s="6"/>
      <c r="Q1293" s="6" t="s">
        <v>1863</v>
      </c>
      <c r="R1293" s="7" t="n">
        <f aca="false">COUNTIF('Label Map'!$D$2:$D$2000,A1293)</f>
        <v>2</v>
      </c>
    </row>
    <row r="1294" customFormat="false" ht="15" hidden="false" customHeight="false" outlineLevel="0" collapsed="false">
      <c r="A1294" s="6" t="s">
        <v>1864</v>
      </c>
      <c r="B1294" s="6" t="s">
        <v>1817</v>
      </c>
      <c r="C1294" s="6" t="s">
        <v>3</v>
      </c>
      <c r="D1294" s="6" t="s">
        <v>1818</v>
      </c>
      <c r="E1294" s="6"/>
      <c r="F1294" s="6"/>
      <c r="G1294" s="6"/>
      <c r="H1294" s="6"/>
      <c r="I1294" s="6"/>
      <c r="J1294" s="6" t="s">
        <v>3</v>
      </c>
      <c r="K1294" s="6"/>
      <c r="L1294" s="6"/>
      <c r="M1294" s="6"/>
      <c r="N1294" s="6"/>
      <c r="O1294" s="6"/>
      <c r="P1294" s="6"/>
      <c r="Q1294" s="6" t="s">
        <v>1865</v>
      </c>
      <c r="R1294" s="7" t="n">
        <f aca="false">COUNTIF('Label Map'!$D$2:$D$2000,A1294)</f>
        <v>1</v>
      </c>
    </row>
    <row r="1295" customFormat="false" ht="15" hidden="false" customHeight="false" outlineLevel="0" collapsed="false">
      <c r="A1295" s="6" t="s">
        <v>1866</v>
      </c>
      <c r="B1295" s="6" t="s">
        <v>63</v>
      </c>
      <c r="C1295" s="6" t="s">
        <v>3</v>
      </c>
      <c r="D1295" s="6" t="s">
        <v>1867</v>
      </c>
      <c r="E1295" s="6"/>
      <c r="F1295" s="6"/>
      <c r="G1295" s="6"/>
      <c r="H1295" s="6"/>
      <c r="I1295" s="6" t="s">
        <v>1866</v>
      </c>
      <c r="J1295" s="6"/>
      <c r="K1295" s="6"/>
      <c r="L1295" s="6"/>
      <c r="M1295" s="6"/>
      <c r="N1295" s="6"/>
      <c r="O1295" s="6"/>
      <c r="P1295" s="6"/>
      <c r="Q1295" s="6" t="s">
        <v>1868</v>
      </c>
      <c r="R1295" s="7" t="n">
        <f aca="false">COUNTIF('Label Map'!$D$2:$D$2000,A1295)</f>
        <v>1</v>
      </c>
    </row>
  </sheetData>
  <autoFilter ref="A1:R12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7"/>
  </cols>
  <sheetData>
    <row r="1" customFormat="false" ht="15" hidden="false" customHeight="false" outlineLevel="0" collapsed="false">
      <c r="A1" s="8" t="s">
        <v>1869</v>
      </c>
      <c r="B1" s="8"/>
      <c r="C1" s="8"/>
      <c r="D1" s="8"/>
      <c r="E1" s="8"/>
      <c r="F1" s="8"/>
      <c r="G1" s="8"/>
    </row>
    <row r="3" customFormat="false" ht="15" hidden="false" customHeight="false" outlineLevel="0" collapsed="false">
      <c r="A3" s="9" t="s">
        <v>3</v>
      </c>
      <c r="B3" s="9" t="s">
        <v>5</v>
      </c>
      <c r="C3" s="9" t="s">
        <v>7</v>
      </c>
      <c r="D3" s="9" t="s">
        <v>9</v>
      </c>
      <c r="E3" s="9" t="s">
        <v>1870</v>
      </c>
      <c r="F3" s="9" t="s">
        <v>63</v>
      </c>
      <c r="G3" s="9" t="s">
        <v>62</v>
      </c>
    </row>
    <row r="4" customFormat="false" ht="15" hidden="false" customHeight="false" outlineLevel="0" collapsed="false">
      <c r="A4" s="10" t="str">
        <f aca="false">Hierarchy!A2</f>
        <v>Global</v>
      </c>
    </row>
    <row r="5" customFormat="false" ht="15" hidden="false" customHeight="false" outlineLevel="0" collapsed="false">
      <c r="A5" s="11"/>
      <c r="B5" s="12" t="str">
        <f aca="false">Hierarchy!A3</f>
        <v>AMER (Americas)</v>
      </c>
      <c r="C5" s="11"/>
      <c r="D5" s="11"/>
      <c r="E5" s="11"/>
      <c r="F5" s="11"/>
      <c r="G5" s="11"/>
    </row>
    <row r="6" customFormat="false" ht="15" hidden="false" customHeight="false" outlineLevel="0" collapsed="false">
      <c r="A6" s="13"/>
      <c r="B6" s="13"/>
      <c r="C6" s="3" t="str">
        <f aca="false">Hierarchy!A5</f>
        <v>North America (NORAM)</v>
      </c>
      <c r="D6" s="13"/>
      <c r="E6" s="13"/>
      <c r="F6" s="13"/>
      <c r="G6" s="13"/>
    </row>
    <row r="7" customFormat="false" ht="15" hidden="false" customHeight="false" outlineLevel="0" collapsed="false">
      <c r="D7" s="7" t="str">
        <f aca="false">Hierarchy!A6</f>
        <v>United States</v>
      </c>
      <c r="G7" s="7" t="str">
        <f aca="false">Hierarchy!G6</f>
        <v>USA</v>
      </c>
    </row>
    <row r="8" customFormat="false" ht="15" hidden="false" customHeight="false" outlineLevel="0" collapsed="false">
      <c r="E8" s="14" t="str">
        <f aca="false">Hierarchy!A7</f>
        <v>US Carolinas</v>
      </c>
    </row>
    <row r="9" customFormat="false" ht="15" hidden="false" customHeight="false" outlineLevel="0" collapsed="false">
      <c r="E9" s="14" t="str">
        <f aca="false">Hierarchy!A8</f>
        <v>US Central</v>
      </c>
    </row>
    <row r="10" customFormat="false" ht="15" hidden="false" customHeight="false" outlineLevel="0" collapsed="false">
      <c r="E10" s="14" t="str">
        <f aca="false">Hierarchy!A9</f>
        <v>US East</v>
      </c>
    </row>
    <row r="11" customFormat="false" ht="15" hidden="false" customHeight="false" outlineLevel="0" collapsed="false">
      <c r="E11" s="14" t="str">
        <f aca="false">Hierarchy!A10</f>
        <v>US East North Central</v>
      </c>
    </row>
    <row r="12" customFormat="false" ht="15" hidden="false" customHeight="false" outlineLevel="0" collapsed="false">
      <c r="E12" s="14" t="str">
        <f aca="false">Hierarchy!A11</f>
        <v>US East South Central</v>
      </c>
    </row>
    <row r="13" customFormat="false" ht="15" hidden="false" customHeight="false" outlineLevel="0" collapsed="false">
      <c r="E13" s="14" t="str">
        <f aca="false">Hierarchy!A12</f>
        <v>US Great Lakes</v>
      </c>
    </row>
    <row r="14" customFormat="false" ht="15" hidden="false" customHeight="false" outlineLevel="0" collapsed="false">
      <c r="E14" s="14" t="str">
        <f aca="false">Hierarchy!A13</f>
        <v>US Gulf Coast</v>
      </c>
    </row>
    <row r="15" customFormat="false" ht="15" hidden="false" customHeight="false" outlineLevel="0" collapsed="false">
      <c r="E15" s="14" t="str">
        <f aca="false">Hierarchy!A14</f>
        <v>US Mid-Atlantic</v>
      </c>
    </row>
    <row r="16" customFormat="false" ht="15" hidden="false" customHeight="false" outlineLevel="0" collapsed="false">
      <c r="E16" s="14" t="str">
        <f aca="false">Hierarchy!A15</f>
        <v>US Mid-South</v>
      </c>
    </row>
    <row r="17" customFormat="false" ht="15" hidden="false" customHeight="false" outlineLevel="0" collapsed="false">
      <c r="E17" s="14" t="str">
        <f aca="false">Hierarchy!A16</f>
        <v>US Midwest</v>
      </c>
    </row>
    <row r="18" customFormat="false" ht="15" hidden="false" customHeight="false" outlineLevel="0" collapsed="false">
      <c r="E18" s="14" t="str">
        <f aca="false">Hierarchy!A17</f>
        <v>US Mountain</v>
      </c>
    </row>
    <row r="19" customFormat="false" ht="15" hidden="false" customHeight="false" outlineLevel="0" collapsed="false">
      <c r="E19" s="14" t="str">
        <f aca="false">Hierarchy!A18</f>
        <v>US New England</v>
      </c>
    </row>
    <row r="20" customFormat="false" ht="15" hidden="false" customHeight="false" outlineLevel="0" collapsed="false">
      <c r="E20" s="14" t="str">
        <f aca="false">Hierarchy!A19</f>
        <v>US North</v>
      </c>
    </row>
    <row r="21" customFormat="false" ht="15" hidden="false" customHeight="false" outlineLevel="0" collapsed="false">
      <c r="E21" s="14" t="str">
        <f aca="false">Hierarchy!A20</f>
        <v>US Northeast</v>
      </c>
    </row>
    <row r="22" customFormat="false" ht="15" hidden="false" customHeight="false" outlineLevel="0" collapsed="false">
      <c r="E22" s="14" t="str">
        <f aca="false">Hierarchy!A21</f>
        <v>US Northeast Corridor</v>
      </c>
    </row>
    <row r="23" customFormat="false" ht="15" hidden="false" customHeight="false" outlineLevel="0" collapsed="false">
      <c r="E23" s="14" t="str">
        <f aca="false">Hierarchy!A22</f>
        <v>US Northwest</v>
      </c>
    </row>
    <row r="24" customFormat="false" ht="15" hidden="false" customHeight="false" outlineLevel="0" collapsed="false">
      <c r="E24" s="14" t="str">
        <f aca="false">Hierarchy!A23</f>
        <v>US Pacific</v>
      </c>
    </row>
    <row r="25" customFormat="false" ht="15" hidden="false" customHeight="false" outlineLevel="0" collapsed="false">
      <c r="E25" s="14" t="str">
        <f aca="false">Hierarchy!A24</f>
        <v>US Pacific Northwest</v>
      </c>
    </row>
    <row r="26" customFormat="false" ht="15" hidden="false" customHeight="false" outlineLevel="0" collapsed="false">
      <c r="E26" s="14" t="str">
        <f aca="false">Hierarchy!A25</f>
        <v>US Rust Belt</v>
      </c>
    </row>
    <row r="27" customFormat="false" ht="15" hidden="false" customHeight="false" outlineLevel="0" collapsed="false">
      <c r="E27" s="14" t="str">
        <f aca="false">Hierarchy!A26</f>
        <v>US South</v>
      </c>
    </row>
    <row r="28" customFormat="false" ht="15" hidden="false" customHeight="false" outlineLevel="0" collapsed="false">
      <c r="E28" s="14" t="str">
        <f aca="false">Hierarchy!A27</f>
        <v>US South Atlantic</v>
      </c>
    </row>
    <row r="29" customFormat="false" ht="15" hidden="false" customHeight="false" outlineLevel="0" collapsed="false">
      <c r="E29" s="14" t="str">
        <f aca="false">Hierarchy!A28</f>
        <v>US South Central</v>
      </c>
    </row>
    <row r="30" customFormat="false" ht="15" hidden="false" customHeight="false" outlineLevel="0" collapsed="false">
      <c r="E30" s="14" t="str">
        <f aca="false">Hierarchy!A29</f>
        <v>US Southeast</v>
      </c>
    </row>
    <row r="31" customFormat="false" ht="15" hidden="false" customHeight="false" outlineLevel="0" collapsed="false">
      <c r="E31" s="14" t="str">
        <f aca="false">Hierarchy!A30</f>
        <v>US Southwest</v>
      </c>
    </row>
    <row r="32" customFormat="false" ht="15" hidden="false" customHeight="false" outlineLevel="0" collapsed="false">
      <c r="E32" s="14" t="str">
        <f aca="false">Hierarchy!A31</f>
        <v>US Sun Belt</v>
      </c>
    </row>
    <row r="33" customFormat="false" ht="15" hidden="false" customHeight="false" outlineLevel="0" collapsed="false">
      <c r="E33" s="14" t="str">
        <f aca="false">Hierarchy!A32</f>
        <v>US Tri-State Area</v>
      </c>
    </row>
    <row r="34" customFormat="false" ht="15" hidden="false" customHeight="false" outlineLevel="0" collapsed="false">
      <c r="E34" s="14" t="str">
        <f aca="false">Hierarchy!A33</f>
        <v>US Upper Midwest</v>
      </c>
    </row>
    <row r="35" customFormat="false" ht="15" hidden="false" customHeight="false" outlineLevel="0" collapsed="false">
      <c r="E35" s="14" t="str">
        <f aca="false">Hierarchy!A34</f>
        <v>US Washington Metro (DMV)</v>
      </c>
    </row>
    <row r="36" customFormat="false" ht="15" hidden="false" customHeight="false" outlineLevel="0" collapsed="false">
      <c r="E36" s="14" t="str">
        <f aca="false">Hierarchy!A35</f>
        <v>US West</v>
      </c>
    </row>
    <row r="37" customFormat="false" ht="15" hidden="false" customHeight="false" outlineLevel="0" collapsed="false">
      <c r="E37" s="14" t="str">
        <f aca="false">Hierarchy!A36</f>
        <v>US West Coast</v>
      </c>
    </row>
    <row r="38" customFormat="false" ht="15" hidden="false" customHeight="false" outlineLevel="0" collapsed="false">
      <c r="E38" s="14" t="str">
        <f aca="false">Hierarchy!A37</f>
        <v>US West North Central</v>
      </c>
    </row>
    <row r="39" customFormat="false" ht="15" hidden="false" customHeight="false" outlineLevel="0" collapsed="false">
      <c r="E39" s="14" t="str">
        <f aca="false">Hierarchy!A38</f>
        <v>US West South Central</v>
      </c>
    </row>
    <row r="40" customFormat="false" ht="15" hidden="false" customHeight="false" outlineLevel="0" collapsed="false">
      <c r="E40" s="15" t="str">
        <f aca="false">Hierarchy!A39</f>
        <v>Alabama</v>
      </c>
    </row>
    <row r="41" customFormat="false" ht="15" hidden="false" customHeight="false" outlineLevel="0" collapsed="false">
      <c r="E41" s="15" t="str">
        <f aca="false">Hierarchy!A40</f>
        <v>Alaska</v>
      </c>
    </row>
    <row r="42" customFormat="false" ht="15" hidden="false" customHeight="false" outlineLevel="0" collapsed="false">
      <c r="E42" s="15" t="str">
        <f aca="false">Hierarchy!A41</f>
        <v>American Samoa</v>
      </c>
    </row>
    <row r="43" customFormat="false" ht="15" hidden="false" customHeight="false" outlineLevel="0" collapsed="false">
      <c r="E43" s="15" t="str">
        <f aca="false">Hierarchy!A42</f>
        <v>Arizona</v>
      </c>
    </row>
    <row r="44" customFormat="false" ht="15" hidden="false" customHeight="false" outlineLevel="0" collapsed="false">
      <c r="F44" s="16" t="str">
        <f aca="false">Hierarchy!A43</f>
        <v>Phoenix</v>
      </c>
    </row>
    <row r="45" customFormat="false" ht="15" hidden="false" customHeight="false" outlineLevel="0" collapsed="false">
      <c r="F45" s="16" t="str">
        <f aca="false">Hierarchy!A44</f>
        <v>Scottsdale</v>
      </c>
    </row>
    <row r="46" customFormat="false" ht="15" hidden="false" customHeight="false" outlineLevel="0" collapsed="false">
      <c r="F46" s="16" t="str">
        <f aca="false">Hierarchy!A45</f>
        <v>Tucson</v>
      </c>
    </row>
    <row r="47" customFormat="false" ht="15" hidden="false" customHeight="false" outlineLevel="0" collapsed="false">
      <c r="E47" s="15" t="str">
        <f aca="false">Hierarchy!A46</f>
        <v>Arkansas</v>
      </c>
    </row>
    <row r="48" customFormat="false" ht="15" hidden="false" customHeight="false" outlineLevel="0" collapsed="false">
      <c r="F48" s="16" t="str">
        <f aca="false">Hierarchy!A47</f>
        <v>Bentonville</v>
      </c>
    </row>
    <row r="49" customFormat="false" ht="15" hidden="false" customHeight="false" outlineLevel="0" collapsed="false">
      <c r="E49" s="15" t="str">
        <f aca="false">Hierarchy!A48</f>
        <v>California</v>
      </c>
    </row>
    <row r="50" customFormat="false" ht="15" hidden="false" customHeight="false" outlineLevel="0" collapsed="false">
      <c r="F50" s="16" t="str">
        <f aca="false">Hierarchy!A49</f>
        <v>Greater Los Angeles</v>
      </c>
    </row>
    <row r="51" customFormat="false" ht="15" hidden="false" customHeight="false" outlineLevel="0" collapsed="false">
      <c r="F51" s="16" t="str">
        <f aca="false">Hierarchy!A50</f>
        <v>Inland Empire</v>
      </c>
    </row>
    <row r="52" customFormat="false" ht="15" hidden="false" customHeight="false" outlineLevel="0" collapsed="false">
      <c r="F52" s="16" t="str">
        <f aca="false">Hierarchy!A51</f>
        <v>Irwindale</v>
      </c>
    </row>
    <row r="53" customFormat="false" ht="15" hidden="false" customHeight="false" outlineLevel="0" collapsed="false">
      <c r="F53" s="16" t="str">
        <f aca="false">Hierarchy!A52</f>
        <v>Los Angeles</v>
      </c>
    </row>
    <row r="54" customFormat="false" ht="15" hidden="false" customHeight="false" outlineLevel="0" collapsed="false">
      <c r="F54" s="16" t="str">
        <f aca="false">Hierarchy!A53</f>
        <v>Oceanside</v>
      </c>
    </row>
    <row r="55" customFormat="false" ht="15" hidden="false" customHeight="false" outlineLevel="0" collapsed="false">
      <c r="F55" s="16" t="str">
        <f aca="false">Hierarchy!A54</f>
        <v>Sacramento</v>
      </c>
    </row>
    <row r="56" customFormat="false" ht="15" hidden="false" customHeight="false" outlineLevel="0" collapsed="false">
      <c r="F56" s="16" t="str">
        <f aca="false">Hierarchy!A55</f>
        <v>Sacramento Area</v>
      </c>
    </row>
    <row r="57" customFormat="false" ht="15" hidden="false" customHeight="false" outlineLevel="0" collapsed="false">
      <c r="F57" s="16" t="str">
        <f aca="false">Hierarchy!A56</f>
        <v>San Bernardino</v>
      </c>
    </row>
    <row r="58" customFormat="false" ht="15" hidden="false" customHeight="false" outlineLevel="0" collapsed="false">
      <c r="F58" s="16" t="str">
        <f aca="false">Hierarchy!A57</f>
        <v>San Diego</v>
      </c>
    </row>
    <row r="59" customFormat="false" ht="15" hidden="false" customHeight="false" outlineLevel="0" collapsed="false">
      <c r="F59" s="16" t="str">
        <f aca="false">Hierarchy!A58</f>
        <v>San Francisco</v>
      </c>
    </row>
    <row r="60" customFormat="false" ht="15" hidden="false" customHeight="false" outlineLevel="0" collapsed="false">
      <c r="F60" s="16" t="str">
        <f aca="false">Hierarchy!A59</f>
        <v>San Francisco Bay Area</v>
      </c>
    </row>
    <row r="61" customFormat="false" ht="15" hidden="false" customHeight="false" outlineLevel="0" collapsed="false">
      <c r="F61" s="16" t="str">
        <f aca="false">Hierarchy!A60</f>
        <v>San Jose</v>
      </c>
    </row>
    <row r="62" customFormat="false" ht="15" hidden="false" customHeight="false" outlineLevel="0" collapsed="false">
      <c r="F62" s="16" t="str">
        <f aca="false">Hierarchy!A61</f>
        <v>Santa Ana</v>
      </c>
    </row>
    <row r="63" customFormat="false" ht="15" hidden="false" customHeight="false" outlineLevel="0" collapsed="false">
      <c r="F63" s="16" t="str">
        <f aca="false">Hierarchy!A62</f>
        <v>Santa Clara</v>
      </c>
    </row>
    <row r="64" customFormat="false" ht="15" hidden="false" customHeight="false" outlineLevel="0" collapsed="false">
      <c r="F64" s="16" t="str">
        <f aca="false">Hierarchy!A63</f>
        <v>Silicon Valley</v>
      </c>
    </row>
    <row r="65" customFormat="false" ht="15" hidden="false" customHeight="false" outlineLevel="0" collapsed="false">
      <c r="E65" s="15" t="str">
        <f aca="false">Hierarchy!A64</f>
        <v>Colorado</v>
      </c>
    </row>
    <row r="66" customFormat="false" ht="15" hidden="false" customHeight="false" outlineLevel="0" collapsed="false">
      <c r="F66" s="16" t="str">
        <f aca="false">Hierarchy!A65</f>
        <v>Colorado Springs</v>
      </c>
    </row>
    <row r="67" customFormat="false" ht="15" hidden="false" customHeight="false" outlineLevel="0" collapsed="false">
      <c r="F67" s="16" t="str">
        <f aca="false">Hierarchy!A66</f>
        <v>Denver</v>
      </c>
    </row>
    <row r="68" customFormat="false" ht="15" hidden="false" customHeight="false" outlineLevel="0" collapsed="false">
      <c r="E68" s="15" t="str">
        <f aca="false">Hierarchy!A67</f>
        <v>Connecticut</v>
      </c>
    </row>
    <row r="69" customFormat="false" ht="15" hidden="false" customHeight="false" outlineLevel="0" collapsed="false">
      <c r="E69" s="15" t="str">
        <f aca="false">Hierarchy!A68</f>
        <v>Delaware</v>
      </c>
    </row>
    <row r="70" customFormat="false" ht="15" hidden="false" customHeight="false" outlineLevel="0" collapsed="false">
      <c r="E70" s="15" t="str">
        <f aca="false">Hierarchy!A69</f>
        <v>District of Columbia</v>
      </c>
    </row>
    <row r="71" customFormat="false" ht="15" hidden="false" customHeight="false" outlineLevel="0" collapsed="false">
      <c r="E71" s="15" t="str">
        <f aca="false">Hierarchy!A70</f>
        <v>Florida</v>
      </c>
    </row>
    <row r="72" customFormat="false" ht="15" hidden="false" customHeight="false" outlineLevel="0" collapsed="false">
      <c r="F72" s="16" t="str">
        <f aca="false">Hierarchy!A71</f>
        <v>Hollywood</v>
      </c>
    </row>
    <row r="73" customFormat="false" ht="15" hidden="false" customHeight="false" outlineLevel="0" collapsed="false">
      <c r="F73" s="16" t="str">
        <f aca="false">Hierarchy!A72</f>
        <v>Jacksonville</v>
      </c>
    </row>
    <row r="74" customFormat="false" ht="15" hidden="false" customHeight="false" outlineLevel="0" collapsed="false">
      <c r="F74" s="16" t="str">
        <f aca="false">Hierarchy!A73</f>
        <v>Miami</v>
      </c>
    </row>
    <row r="75" customFormat="false" ht="15" hidden="false" customHeight="false" outlineLevel="0" collapsed="false">
      <c r="F75" s="16" t="str">
        <f aca="false">Hierarchy!A74</f>
        <v>Orlando</v>
      </c>
    </row>
    <row r="76" customFormat="false" ht="15" hidden="false" customHeight="false" outlineLevel="0" collapsed="false">
      <c r="F76" s="16" t="str">
        <f aca="false">Hierarchy!A75</f>
        <v>Tampa</v>
      </c>
    </row>
    <row r="77" customFormat="false" ht="15" hidden="false" customHeight="false" outlineLevel="0" collapsed="false">
      <c r="E77" s="15" t="str">
        <f aca="false">Hierarchy!A76</f>
        <v>Georgia</v>
      </c>
    </row>
    <row r="78" customFormat="false" ht="15" hidden="false" customHeight="false" outlineLevel="0" collapsed="false">
      <c r="F78" s="16" t="str">
        <f aca="false">Hierarchy!A77</f>
        <v>Atlanta</v>
      </c>
    </row>
    <row r="79" customFormat="false" ht="15" hidden="false" customHeight="false" outlineLevel="0" collapsed="false">
      <c r="F79" s="16" t="str">
        <f aca="false">Hierarchy!A78</f>
        <v>Savannah</v>
      </c>
    </row>
    <row r="80" customFormat="false" ht="15" hidden="false" customHeight="false" outlineLevel="0" collapsed="false">
      <c r="E80" s="15" t="str">
        <f aca="false">Hierarchy!A79</f>
        <v>Guam</v>
      </c>
    </row>
    <row r="81" customFormat="false" ht="15" hidden="false" customHeight="false" outlineLevel="0" collapsed="false">
      <c r="E81" s="15" t="str">
        <f aca="false">Hierarchy!A80</f>
        <v>Hawaii</v>
      </c>
    </row>
    <row r="82" customFormat="false" ht="15" hidden="false" customHeight="false" outlineLevel="0" collapsed="false">
      <c r="F82" s="16" t="str">
        <f aca="false">Hierarchy!A81</f>
        <v>Honolulu</v>
      </c>
    </row>
    <row r="83" customFormat="false" ht="15" hidden="false" customHeight="false" outlineLevel="0" collapsed="false">
      <c r="E83" s="15" t="str">
        <f aca="false">Hierarchy!A82</f>
        <v>Idaho</v>
      </c>
    </row>
    <row r="84" customFormat="false" ht="15" hidden="false" customHeight="false" outlineLevel="0" collapsed="false">
      <c r="E84" s="15" t="str">
        <f aca="false">Hierarchy!A83</f>
        <v>Illinois</v>
      </c>
    </row>
    <row r="85" customFormat="false" ht="15" hidden="false" customHeight="false" outlineLevel="0" collapsed="false">
      <c r="F85" s="16" t="str">
        <f aca="false">Hierarchy!A84</f>
        <v>Chicago</v>
      </c>
    </row>
    <row r="86" customFormat="false" ht="15" hidden="false" customHeight="false" outlineLevel="0" collapsed="false">
      <c r="F86" s="16" t="str">
        <f aca="false">Hierarchy!A85</f>
        <v>Chicagoland</v>
      </c>
    </row>
    <row r="87" customFormat="false" ht="15" hidden="false" customHeight="false" outlineLevel="0" collapsed="false">
      <c r="E87" s="15" t="str">
        <f aca="false">Hierarchy!A86</f>
        <v>Indiana</v>
      </c>
    </row>
    <row r="88" customFormat="false" ht="15" hidden="false" customHeight="false" outlineLevel="0" collapsed="false">
      <c r="F88" s="16" t="str">
        <f aca="false">Hierarchy!A87</f>
        <v>Indianapolis</v>
      </c>
    </row>
    <row r="89" customFormat="false" ht="15" hidden="false" customHeight="false" outlineLevel="0" collapsed="false">
      <c r="E89" s="15" t="str">
        <f aca="false">Hierarchy!A88</f>
        <v>Iowa</v>
      </c>
    </row>
    <row r="90" customFormat="false" ht="15" hidden="false" customHeight="false" outlineLevel="0" collapsed="false">
      <c r="E90" s="15" t="str">
        <f aca="false">Hierarchy!A89</f>
        <v>Kansas</v>
      </c>
    </row>
    <row r="91" customFormat="false" ht="15" hidden="false" customHeight="false" outlineLevel="0" collapsed="false">
      <c r="E91" s="15" t="str">
        <f aca="false">Hierarchy!A90</f>
        <v>Kentucky</v>
      </c>
    </row>
    <row r="92" customFormat="false" ht="15" hidden="false" customHeight="false" outlineLevel="0" collapsed="false">
      <c r="F92" s="16" t="str">
        <f aca="false">Hierarchy!A91</f>
        <v>Louisville</v>
      </c>
    </row>
    <row r="93" customFormat="false" ht="15" hidden="false" customHeight="false" outlineLevel="0" collapsed="false">
      <c r="E93" s="15" t="str">
        <f aca="false">Hierarchy!A92</f>
        <v>Louisiana</v>
      </c>
    </row>
    <row r="94" customFormat="false" ht="15" hidden="false" customHeight="false" outlineLevel="0" collapsed="false">
      <c r="F94" s="16" t="str">
        <f aca="false">Hierarchy!A93</f>
        <v>New Orleans</v>
      </c>
    </row>
    <row r="95" customFormat="false" ht="15" hidden="false" customHeight="false" outlineLevel="0" collapsed="false">
      <c r="E95" s="15" t="str">
        <f aca="false">Hierarchy!A94</f>
        <v>Maine</v>
      </c>
    </row>
    <row r="96" customFormat="false" ht="15" hidden="false" customHeight="false" outlineLevel="0" collapsed="false">
      <c r="E96" s="15" t="str">
        <f aca="false">Hierarchy!A95</f>
        <v>Maryland</v>
      </c>
    </row>
    <row r="97" customFormat="false" ht="15" hidden="false" customHeight="false" outlineLevel="0" collapsed="false">
      <c r="F97" s="16" t="str">
        <f aca="false">Hierarchy!A96</f>
        <v>Baltimore</v>
      </c>
    </row>
    <row r="98" customFormat="false" ht="15" hidden="false" customHeight="false" outlineLevel="0" collapsed="false">
      <c r="E98" s="15" t="str">
        <f aca="false">Hierarchy!A97</f>
        <v>Massachusetts</v>
      </c>
    </row>
    <row r="99" customFormat="false" ht="15" hidden="false" customHeight="false" outlineLevel="0" collapsed="false">
      <c r="F99" s="16" t="str">
        <f aca="false">Hierarchy!A98</f>
        <v>Boston</v>
      </c>
    </row>
    <row r="100" customFormat="false" ht="15" hidden="false" customHeight="false" outlineLevel="0" collapsed="false">
      <c r="F100" s="16" t="str">
        <f aca="false">Hierarchy!A99</f>
        <v>Greater Boston</v>
      </c>
    </row>
    <row r="101" customFormat="false" ht="15" hidden="false" customHeight="false" outlineLevel="0" collapsed="false">
      <c r="E101" s="15" t="str">
        <f aca="false">Hierarchy!A100</f>
        <v>Michigan</v>
      </c>
    </row>
    <row r="102" customFormat="false" ht="15" hidden="false" customHeight="false" outlineLevel="0" collapsed="false">
      <c r="F102" s="16" t="str">
        <f aca="false">Hierarchy!A101</f>
        <v>Detroit</v>
      </c>
    </row>
    <row r="103" customFormat="false" ht="15" hidden="false" customHeight="false" outlineLevel="0" collapsed="false">
      <c r="E103" s="15" t="str">
        <f aca="false">Hierarchy!A102</f>
        <v>Minnesota</v>
      </c>
    </row>
    <row r="104" customFormat="false" ht="15" hidden="false" customHeight="false" outlineLevel="0" collapsed="false">
      <c r="F104" s="16" t="str">
        <f aca="false">Hierarchy!A103</f>
        <v>Minneapolis</v>
      </c>
    </row>
    <row r="105" customFormat="false" ht="15" hidden="false" customHeight="false" outlineLevel="0" collapsed="false">
      <c r="E105" s="15" t="str">
        <f aca="false">Hierarchy!A104</f>
        <v>Mississippi</v>
      </c>
    </row>
    <row r="106" customFormat="false" ht="15" hidden="false" customHeight="false" outlineLevel="0" collapsed="false">
      <c r="E106" s="15" t="str">
        <f aca="false">Hierarchy!A105</f>
        <v>Missouri</v>
      </c>
    </row>
    <row r="107" customFormat="false" ht="15" hidden="false" customHeight="false" outlineLevel="0" collapsed="false">
      <c r="F107" s="16" t="str">
        <f aca="false">Hierarchy!A106</f>
        <v>Kansas City</v>
      </c>
    </row>
    <row r="108" customFormat="false" ht="15" hidden="false" customHeight="false" outlineLevel="0" collapsed="false">
      <c r="F108" s="16" t="str">
        <f aca="false">Hierarchy!A107</f>
        <v>St. Louis</v>
      </c>
    </row>
    <row r="109" customFormat="false" ht="15" hidden="false" customHeight="false" outlineLevel="0" collapsed="false">
      <c r="E109" s="15" t="str">
        <f aca="false">Hierarchy!A108</f>
        <v>Montana</v>
      </c>
    </row>
    <row r="110" customFormat="false" ht="15" hidden="false" customHeight="false" outlineLevel="0" collapsed="false">
      <c r="E110" s="15" t="str">
        <f aca="false">Hierarchy!A109</f>
        <v>Nebraska</v>
      </c>
    </row>
    <row r="111" customFormat="false" ht="15" hidden="false" customHeight="false" outlineLevel="0" collapsed="false">
      <c r="E111" s="15" t="str">
        <f aca="false">Hierarchy!A110</f>
        <v>Nevada</v>
      </c>
    </row>
    <row r="112" customFormat="false" ht="15" hidden="false" customHeight="false" outlineLevel="0" collapsed="false">
      <c r="F112" s="16" t="str">
        <f aca="false">Hierarchy!A111</f>
        <v>Las Vegas</v>
      </c>
    </row>
    <row r="113" customFormat="false" ht="15" hidden="false" customHeight="false" outlineLevel="0" collapsed="false">
      <c r="F113" s="16" t="str">
        <f aca="false">Hierarchy!A112</f>
        <v>Reno</v>
      </c>
    </row>
    <row r="114" customFormat="false" ht="15" hidden="false" customHeight="false" outlineLevel="0" collapsed="false">
      <c r="E114" s="15" t="str">
        <f aca="false">Hierarchy!A113</f>
        <v>New Hampshire</v>
      </c>
    </row>
    <row r="115" customFormat="false" ht="15" hidden="false" customHeight="false" outlineLevel="0" collapsed="false">
      <c r="E115" s="15" t="str">
        <f aca="false">Hierarchy!A114</f>
        <v>New Jersey</v>
      </c>
    </row>
    <row r="116" customFormat="false" ht="15" hidden="false" customHeight="false" outlineLevel="0" collapsed="false">
      <c r="E116" s="15" t="str">
        <f aca="false">Hierarchy!A115</f>
        <v>New Mexico</v>
      </c>
    </row>
    <row r="117" customFormat="false" ht="15" hidden="false" customHeight="false" outlineLevel="0" collapsed="false">
      <c r="F117" s="16" t="str">
        <f aca="false">Hierarchy!A116</f>
        <v>Albuquerque</v>
      </c>
    </row>
    <row r="118" customFormat="false" ht="15" hidden="false" customHeight="false" outlineLevel="0" collapsed="false">
      <c r="E118" s="15" t="str">
        <f aca="false">Hierarchy!A117</f>
        <v>New York</v>
      </c>
    </row>
    <row r="119" customFormat="false" ht="15" hidden="false" customHeight="false" outlineLevel="0" collapsed="false">
      <c r="F119" s="16" t="str">
        <f aca="false">Hierarchy!A118</f>
        <v>Buffalo</v>
      </c>
    </row>
    <row r="120" customFormat="false" ht="15" hidden="false" customHeight="false" outlineLevel="0" collapsed="false">
      <c r="F120" s="16" t="str">
        <f aca="false">Hierarchy!A119</f>
        <v>Greater New York</v>
      </c>
    </row>
    <row r="121" customFormat="false" ht="15" hidden="false" customHeight="false" outlineLevel="0" collapsed="false">
      <c r="F121" s="16" t="str">
        <f aca="false">Hierarchy!A120</f>
        <v>Long Island</v>
      </c>
    </row>
    <row r="122" customFormat="false" ht="15" hidden="false" customHeight="false" outlineLevel="0" collapsed="false">
      <c r="F122" s="16" t="str">
        <f aca="false">Hierarchy!A121</f>
        <v>New York City</v>
      </c>
    </row>
    <row r="123" customFormat="false" ht="15" hidden="false" customHeight="false" outlineLevel="0" collapsed="false">
      <c r="E123" s="15" t="str">
        <f aca="false">Hierarchy!A122</f>
        <v>North Carolina</v>
      </c>
    </row>
    <row r="124" customFormat="false" ht="15" hidden="false" customHeight="false" outlineLevel="0" collapsed="false">
      <c r="F124" s="16" t="str">
        <f aca="false">Hierarchy!A123</f>
        <v>Charlotte</v>
      </c>
    </row>
    <row r="125" customFormat="false" ht="15" hidden="false" customHeight="false" outlineLevel="0" collapsed="false">
      <c r="F125" s="16" t="str">
        <f aca="false">Hierarchy!A124</f>
        <v>Raleigh</v>
      </c>
    </row>
    <row r="126" customFormat="false" ht="15" hidden="false" customHeight="false" outlineLevel="0" collapsed="false">
      <c r="E126" s="15" t="str">
        <f aca="false">Hierarchy!A125</f>
        <v>North Dakota</v>
      </c>
    </row>
    <row r="127" customFormat="false" ht="15" hidden="false" customHeight="false" outlineLevel="0" collapsed="false">
      <c r="E127" s="15" t="str">
        <f aca="false">Hierarchy!A126</f>
        <v>Northern Mariana Islands</v>
      </c>
    </row>
    <row r="128" customFormat="false" ht="15" hidden="false" customHeight="false" outlineLevel="0" collapsed="false">
      <c r="E128" s="15" t="str">
        <f aca="false">Hierarchy!A127</f>
        <v>Ohio</v>
      </c>
    </row>
    <row r="129" customFormat="false" ht="15" hidden="false" customHeight="false" outlineLevel="0" collapsed="false">
      <c r="F129" s="16" t="str">
        <f aca="false">Hierarchy!A128</f>
        <v>Cincinnati</v>
      </c>
    </row>
    <row r="130" customFormat="false" ht="15" hidden="false" customHeight="false" outlineLevel="0" collapsed="false">
      <c r="F130" s="16" t="str">
        <f aca="false">Hierarchy!A129</f>
        <v>Cleveland</v>
      </c>
    </row>
    <row r="131" customFormat="false" ht="15" hidden="false" customHeight="false" outlineLevel="0" collapsed="false">
      <c r="F131" s="16" t="str">
        <f aca="false">Hierarchy!A130</f>
        <v>Columbus</v>
      </c>
    </row>
    <row r="132" customFormat="false" ht="15" hidden="false" customHeight="false" outlineLevel="0" collapsed="false">
      <c r="E132" s="15" t="str">
        <f aca="false">Hierarchy!A131</f>
        <v>Oklahoma</v>
      </c>
    </row>
    <row r="133" customFormat="false" ht="15" hidden="false" customHeight="false" outlineLevel="0" collapsed="false">
      <c r="E133" s="15" t="str">
        <f aca="false">Hierarchy!A132</f>
        <v>Oregon</v>
      </c>
    </row>
    <row r="134" customFormat="false" ht="15" hidden="false" customHeight="false" outlineLevel="0" collapsed="false">
      <c r="F134" s="16" t="str">
        <f aca="false">Hierarchy!A133</f>
        <v>Portland</v>
      </c>
    </row>
    <row r="135" customFormat="false" ht="15" hidden="false" customHeight="false" outlineLevel="0" collapsed="false">
      <c r="E135" s="15" t="str">
        <f aca="false">Hierarchy!A134</f>
        <v>Pennsylvania</v>
      </c>
    </row>
    <row r="136" customFormat="false" ht="15" hidden="false" customHeight="false" outlineLevel="0" collapsed="false">
      <c r="F136" s="16" t="str">
        <f aca="false">Hierarchy!A135</f>
        <v>Bethlehem</v>
      </c>
    </row>
    <row r="137" customFormat="false" ht="15" hidden="false" customHeight="false" outlineLevel="0" collapsed="false">
      <c r="F137" s="16" t="str">
        <f aca="false">Hierarchy!A136</f>
        <v>Philadelphia</v>
      </c>
    </row>
    <row r="138" customFormat="false" ht="15" hidden="false" customHeight="false" outlineLevel="0" collapsed="false">
      <c r="F138" s="16" t="str">
        <f aca="false">Hierarchy!A137</f>
        <v>Pittsburgh</v>
      </c>
    </row>
    <row r="139" customFormat="false" ht="15" hidden="false" customHeight="false" outlineLevel="0" collapsed="false">
      <c r="E139" s="15" t="str">
        <f aca="false">Hierarchy!A138</f>
        <v>Puerto Rico</v>
      </c>
    </row>
    <row r="140" customFormat="false" ht="15" hidden="false" customHeight="false" outlineLevel="0" collapsed="false">
      <c r="F140" s="16" t="str">
        <f aca="false">Hierarchy!A139</f>
        <v>San Juan</v>
      </c>
    </row>
    <row r="141" customFormat="false" ht="15" hidden="false" customHeight="false" outlineLevel="0" collapsed="false">
      <c r="E141" s="15" t="str">
        <f aca="false">Hierarchy!A140</f>
        <v>Rhode Island</v>
      </c>
    </row>
    <row r="142" customFormat="false" ht="15" hidden="false" customHeight="false" outlineLevel="0" collapsed="false">
      <c r="E142" s="15" t="str">
        <f aca="false">Hierarchy!A141</f>
        <v>South Carolina</v>
      </c>
    </row>
    <row r="143" customFormat="false" ht="15" hidden="false" customHeight="false" outlineLevel="0" collapsed="false">
      <c r="E143" s="15" t="str">
        <f aca="false">Hierarchy!A142</f>
        <v>South Dakota</v>
      </c>
    </row>
    <row r="144" customFormat="false" ht="15" hidden="false" customHeight="false" outlineLevel="0" collapsed="false">
      <c r="E144" s="15" t="str">
        <f aca="false">Hierarchy!A143</f>
        <v>Tennessee</v>
      </c>
    </row>
    <row r="145" customFormat="false" ht="15" hidden="false" customHeight="false" outlineLevel="0" collapsed="false">
      <c r="F145" s="16" t="str">
        <f aca="false">Hierarchy!A144</f>
        <v>Memphis</v>
      </c>
    </row>
    <row r="146" customFormat="false" ht="15" hidden="false" customHeight="false" outlineLevel="0" collapsed="false">
      <c r="F146" s="16" t="str">
        <f aca="false">Hierarchy!A145</f>
        <v>Nashville</v>
      </c>
    </row>
    <row r="147" customFormat="false" ht="15" hidden="false" customHeight="false" outlineLevel="0" collapsed="false">
      <c r="E147" s="15" t="str">
        <f aca="false">Hierarchy!A146</f>
        <v>Texas</v>
      </c>
    </row>
    <row r="148" customFormat="false" ht="15" hidden="false" customHeight="false" outlineLevel="0" collapsed="false">
      <c r="F148" s="16" t="str">
        <f aca="false">Hierarchy!A147</f>
        <v>Austin</v>
      </c>
    </row>
    <row r="149" customFormat="false" ht="15" hidden="false" customHeight="false" outlineLevel="0" collapsed="false">
      <c r="F149" s="16" t="str">
        <f aca="false">Hierarchy!A148</f>
        <v>Dallas</v>
      </c>
    </row>
    <row r="150" customFormat="false" ht="15" hidden="false" customHeight="false" outlineLevel="0" collapsed="false">
      <c r="F150" s="16" t="str">
        <f aca="false">Hierarchy!A149</f>
        <v>Dallas–Fort Worth</v>
      </c>
    </row>
    <row r="151" customFormat="false" ht="15" hidden="false" customHeight="false" outlineLevel="0" collapsed="false">
      <c r="F151" s="16" t="str">
        <f aca="false">Hierarchy!A150</f>
        <v>Fort Worth</v>
      </c>
    </row>
    <row r="152" customFormat="false" ht="15" hidden="false" customHeight="false" outlineLevel="0" collapsed="false">
      <c r="F152" s="16" t="str">
        <f aca="false">Hierarchy!A151</f>
        <v>Houston</v>
      </c>
    </row>
    <row r="153" customFormat="false" ht="15" hidden="false" customHeight="false" outlineLevel="0" collapsed="false">
      <c r="F153" s="16" t="str">
        <f aca="false">Hierarchy!A152</f>
        <v>Plano</v>
      </c>
    </row>
    <row r="154" customFormat="false" ht="15" hidden="false" customHeight="false" outlineLevel="0" collapsed="false">
      <c r="F154" s="16" t="str">
        <f aca="false">Hierarchy!A153</f>
        <v>San Antonio</v>
      </c>
    </row>
    <row r="155" customFormat="false" ht="15" hidden="false" customHeight="false" outlineLevel="0" collapsed="false">
      <c r="E155" s="15" t="str">
        <f aca="false">Hierarchy!A154</f>
        <v>US Virgin Islands</v>
      </c>
    </row>
    <row r="156" customFormat="false" ht="15" hidden="false" customHeight="false" outlineLevel="0" collapsed="false">
      <c r="E156" s="15" t="str">
        <f aca="false">Hierarchy!A155</f>
        <v>Utah</v>
      </c>
    </row>
    <row r="157" customFormat="false" ht="15" hidden="false" customHeight="false" outlineLevel="0" collapsed="false">
      <c r="F157" s="16" t="str">
        <f aca="false">Hierarchy!A156</f>
        <v>Salt Lake City</v>
      </c>
    </row>
    <row r="158" customFormat="false" ht="15" hidden="false" customHeight="false" outlineLevel="0" collapsed="false">
      <c r="E158" s="15" t="str">
        <f aca="false">Hierarchy!A157</f>
        <v>Vermont</v>
      </c>
    </row>
    <row r="159" customFormat="false" ht="15" hidden="false" customHeight="false" outlineLevel="0" collapsed="false">
      <c r="E159" s="15" t="str">
        <f aca="false">Hierarchy!A158</f>
        <v>Virginia</v>
      </c>
    </row>
    <row r="160" customFormat="false" ht="15" hidden="false" customHeight="false" outlineLevel="0" collapsed="false">
      <c r="E160" s="15" t="str">
        <f aca="false">Hierarchy!A159</f>
        <v>Washington</v>
      </c>
    </row>
    <row r="161" customFormat="false" ht="15" hidden="false" customHeight="false" outlineLevel="0" collapsed="false">
      <c r="F161" s="16" t="str">
        <f aca="false">Hierarchy!A160</f>
        <v>Bellevue</v>
      </c>
    </row>
    <row r="162" customFormat="false" ht="15" hidden="false" customHeight="false" outlineLevel="0" collapsed="false">
      <c r="F162" s="16" t="str">
        <f aca="false">Hierarchy!A161</f>
        <v>Redmond</v>
      </c>
    </row>
    <row r="163" customFormat="false" ht="15" hidden="false" customHeight="false" outlineLevel="0" collapsed="false">
      <c r="F163" s="16" t="str">
        <f aca="false">Hierarchy!A162</f>
        <v>Seattle</v>
      </c>
    </row>
    <row r="164" customFormat="false" ht="15" hidden="false" customHeight="false" outlineLevel="0" collapsed="false">
      <c r="E164" s="15" t="str">
        <f aca="false">Hierarchy!A163</f>
        <v>West Virginia</v>
      </c>
    </row>
    <row r="165" customFormat="false" ht="15" hidden="false" customHeight="false" outlineLevel="0" collapsed="false">
      <c r="E165" s="15" t="str">
        <f aca="false">Hierarchy!A164</f>
        <v>Wisconsin</v>
      </c>
    </row>
    <row r="166" customFormat="false" ht="15" hidden="false" customHeight="false" outlineLevel="0" collapsed="false">
      <c r="F166" s="16" t="str">
        <f aca="false">Hierarchy!A165</f>
        <v>Milwaukee</v>
      </c>
    </row>
    <row r="167" customFormat="false" ht="15" hidden="false" customHeight="false" outlineLevel="0" collapsed="false">
      <c r="E167" s="15" t="str">
        <f aca="false">Hierarchy!A166</f>
        <v>Wyoming</v>
      </c>
    </row>
    <row r="168" customFormat="false" ht="15" hidden="false" customHeight="false" outlineLevel="0" collapsed="false">
      <c r="F168" s="16" t="str">
        <f aca="false">Hierarchy!A167</f>
        <v>Gainesville</v>
      </c>
    </row>
    <row r="169" customFormat="false" ht="15" hidden="false" customHeight="false" outlineLevel="0" collapsed="false">
      <c r="F169" s="16" t="str">
        <f aca="false">Hierarchy!A168</f>
        <v>Union City</v>
      </c>
    </row>
    <row r="170" customFormat="false" ht="15" hidden="false" customHeight="false" outlineLevel="0" collapsed="false">
      <c r="D170" s="7" t="str">
        <f aca="false">Hierarchy!A169</f>
        <v>Canada</v>
      </c>
      <c r="G170" s="7" t="str">
        <f aca="false">Hierarchy!G169</f>
        <v>CAN</v>
      </c>
    </row>
    <row r="171" customFormat="false" ht="15" hidden="false" customHeight="false" outlineLevel="0" collapsed="false">
      <c r="E171" s="14" t="str">
        <f aca="false">Hierarchy!A170</f>
        <v>Atlantic Canada</v>
      </c>
    </row>
    <row r="172" customFormat="false" ht="15" hidden="false" customHeight="false" outlineLevel="0" collapsed="false">
      <c r="E172" s="14" t="str">
        <f aca="false">Hierarchy!A171</f>
        <v>Central Canada</v>
      </c>
    </row>
    <row r="173" customFormat="false" ht="15" hidden="false" customHeight="false" outlineLevel="0" collapsed="false">
      <c r="E173" s="14" t="str">
        <f aca="false">Hierarchy!A172</f>
        <v>Eastern Canada</v>
      </c>
    </row>
    <row r="174" customFormat="false" ht="15" hidden="false" customHeight="false" outlineLevel="0" collapsed="false">
      <c r="E174" s="14" t="str">
        <f aca="false">Hierarchy!A173</f>
        <v>Northern Canada</v>
      </c>
    </row>
    <row r="175" customFormat="false" ht="15" hidden="false" customHeight="false" outlineLevel="0" collapsed="false">
      <c r="E175" s="14" t="str">
        <f aca="false">Hierarchy!A174</f>
        <v>Prairies</v>
      </c>
    </row>
    <row r="176" customFormat="false" ht="15" hidden="false" customHeight="false" outlineLevel="0" collapsed="false">
      <c r="E176" s="14" t="str">
        <f aca="false">Hierarchy!A175</f>
        <v>Western Canada</v>
      </c>
    </row>
    <row r="177" customFormat="false" ht="15" hidden="false" customHeight="false" outlineLevel="0" collapsed="false">
      <c r="E177" s="15" t="str">
        <f aca="false">Hierarchy!A176</f>
        <v>Alberta</v>
      </c>
    </row>
    <row r="178" customFormat="false" ht="15" hidden="false" customHeight="false" outlineLevel="0" collapsed="false">
      <c r="F178" s="16" t="str">
        <f aca="false">Hierarchy!A177</f>
        <v>Calgary</v>
      </c>
    </row>
    <row r="179" customFormat="false" ht="15" hidden="false" customHeight="false" outlineLevel="0" collapsed="false">
      <c r="F179" s="16" t="str">
        <f aca="false">Hierarchy!A178</f>
        <v>Edmonton</v>
      </c>
    </row>
    <row r="180" customFormat="false" ht="15" hidden="false" customHeight="false" outlineLevel="0" collapsed="false">
      <c r="E180" s="15" t="str">
        <f aca="false">Hierarchy!A179</f>
        <v>British Columbia</v>
      </c>
    </row>
    <row r="181" customFormat="false" ht="15" hidden="false" customHeight="false" outlineLevel="0" collapsed="false">
      <c r="F181" s="16" t="str">
        <f aca="false">Hierarchy!A180</f>
        <v>Vancouver</v>
      </c>
    </row>
    <row r="182" customFormat="false" ht="15" hidden="false" customHeight="false" outlineLevel="0" collapsed="false">
      <c r="E182" s="15" t="str">
        <f aca="false">Hierarchy!A181</f>
        <v>Manitoba</v>
      </c>
    </row>
    <row r="183" customFormat="false" ht="15" hidden="false" customHeight="false" outlineLevel="0" collapsed="false">
      <c r="F183" s="16" t="str">
        <f aca="false">Hierarchy!A182</f>
        <v>Winnipeg</v>
      </c>
    </row>
    <row r="184" customFormat="false" ht="15" hidden="false" customHeight="false" outlineLevel="0" collapsed="false">
      <c r="E184" s="15" t="str">
        <f aca="false">Hierarchy!A183</f>
        <v>New Brunswick</v>
      </c>
    </row>
    <row r="185" customFormat="false" ht="15" hidden="false" customHeight="false" outlineLevel="0" collapsed="false">
      <c r="E185" s="15" t="str">
        <f aca="false">Hierarchy!A184</f>
        <v>Newfoundland and Labrador</v>
      </c>
    </row>
    <row r="186" customFormat="false" ht="15" hidden="false" customHeight="false" outlineLevel="0" collapsed="false">
      <c r="E186" s="15" t="str">
        <f aca="false">Hierarchy!A185</f>
        <v>Northwest Territories</v>
      </c>
    </row>
    <row r="187" customFormat="false" ht="15" hidden="false" customHeight="false" outlineLevel="0" collapsed="false">
      <c r="E187" s="15" t="str">
        <f aca="false">Hierarchy!A186</f>
        <v>Nova Scotia</v>
      </c>
    </row>
    <row r="188" customFormat="false" ht="15" hidden="false" customHeight="false" outlineLevel="0" collapsed="false">
      <c r="E188" s="15" t="str">
        <f aca="false">Hierarchy!A187</f>
        <v>Nunavut</v>
      </c>
    </row>
    <row r="189" customFormat="false" ht="15" hidden="false" customHeight="false" outlineLevel="0" collapsed="false">
      <c r="E189" s="15" t="str">
        <f aca="false">Hierarchy!A188</f>
        <v>Ontario</v>
      </c>
    </row>
    <row r="190" customFormat="false" ht="15" hidden="false" customHeight="false" outlineLevel="0" collapsed="false">
      <c r="F190" s="16" t="str">
        <f aca="false">Hierarchy!A189</f>
        <v>Greater Toronto Area</v>
      </c>
    </row>
    <row r="191" customFormat="false" ht="15" hidden="false" customHeight="false" outlineLevel="0" collapsed="false">
      <c r="F191" s="16" t="str">
        <f aca="false">Hierarchy!A190</f>
        <v>Ottawa</v>
      </c>
    </row>
    <row r="192" customFormat="false" ht="15" hidden="false" customHeight="false" outlineLevel="0" collapsed="false">
      <c r="F192" s="16" t="str">
        <f aca="false">Hierarchy!A191</f>
        <v>Toronto</v>
      </c>
    </row>
    <row r="193" customFormat="false" ht="15" hidden="false" customHeight="false" outlineLevel="0" collapsed="false">
      <c r="E193" s="15" t="str">
        <f aca="false">Hierarchy!A192</f>
        <v>Prince Edward Island</v>
      </c>
    </row>
    <row r="194" customFormat="false" ht="15" hidden="false" customHeight="false" outlineLevel="0" collapsed="false">
      <c r="E194" s="15" t="str">
        <f aca="false">Hierarchy!A193</f>
        <v>Quebec</v>
      </c>
    </row>
    <row r="195" customFormat="false" ht="15" hidden="false" customHeight="false" outlineLevel="0" collapsed="false">
      <c r="F195" s="16" t="str">
        <f aca="false">Hierarchy!A194</f>
        <v>Montreal</v>
      </c>
    </row>
    <row r="196" customFormat="false" ht="15" hidden="false" customHeight="false" outlineLevel="0" collapsed="false">
      <c r="F196" s="16" t="str">
        <f aca="false">Hierarchy!A195</f>
        <v>Quebec City</v>
      </c>
    </row>
    <row r="197" customFormat="false" ht="15" hidden="false" customHeight="false" outlineLevel="0" collapsed="false">
      <c r="E197" s="15" t="str">
        <f aca="false">Hierarchy!A196</f>
        <v>Saskatchewan</v>
      </c>
    </row>
    <row r="198" customFormat="false" ht="15" hidden="false" customHeight="false" outlineLevel="0" collapsed="false">
      <c r="E198" s="15" t="str">
        <f aca="false">Hierarchy!A197</f>
        <v>Yukon</v>
      </c>
    </row>
    <row r="199" customFormat="false" ht="15" hidden="false" customHeight="false" outlineLevel="0" collapsed="false">
      <c r="D199" s="7" t="str">
        <f aca="false">Hierarchy!A198</f>
        <v>Bermuda</v>
      </c>
      <c r="G199" s="7" t="str">
        <f aca="false">Hierarchy!G198</f>
        <v>BMU</v>
      </c>
    </row>
    <row r="200" customFormat="false" ht="15" hidden="false" customHeight="false" outlineLevel="0" collapsed="false">
      <c r="D200" s="7" t="str">
        <f aca="false">Hierarchy!A199</f>
        <v>Greenland</v>
      </c>
      <c r="G200" s="7" t="str">
        <f aca="false">Hierarchy!G199</f>
        <v>GRL</v>
      </c>
    </row>
    <row r="201" customFormat="false" ht="15" hidden="false" customHeight="false" outlineLevel="0" collapsed="false">
      <c r="D201" s="7" t="str">
        <f aca="false">Hierarchy!A200</f>
        <v>Saint Pierre and Miquelon</v>
      </c>
      <c r="G201" s="7" t="str">
        <f aca="false">Hierarchy!G200</f>
        <v>SPM</v>
      </c>
    </row>
    <row r="202" customFormat="false" ht="15" hidden="false" customHeight="false" outlineLevel="0" collapsed="false">
      <c r="A202" s="13"/>
      <c r="B202" s="13"/>
      <c r="C202" s="3" t="str">
        <f aca="false">Hierarchy!A201</f>
        <v>Latin America (LATAM)</v>
      </c>
      <c r="D202" s="13"/>
      <c r="E202" s="13"/>
      <c r="F202" s="13"/>
      <c r="G202" s="13"/>
    </row>
    <row r="203" customFormat="false" ht="15" hidden="false" customHeight="false" outlineLevel="0" collapsed="false">
      <c r="D203" s="7" t="str">
        <f aca="false">Hierarchy!A212</f>
        <v>Brazil</v>
      </c>
      <c r="G203" s="7" t="str">
        <f aca="false">Hierarchy!G212</f>
        <v>BRA</v>
      </c>
    </row>
    <row r="204" customFormat="false" ht="15" hidden="false" customHeight="false" outlineLevel="0" collapsed="false">
      <c r="E204" s="14" t="str">
        <f aca="false">Hierarchy!A213</f>
        <v>Central-West Region (Brazil)</v>
      </c>
    </row>
    <row r="205" customFormat="false" ht="15" hidden="false" customHeight="false" outlineLevel="0" collapsed="false">
      <c r="E205" s="14" t="str">
        <f aca="false">Hierarchy!A214</f>
        <v>North Region (Brazil)</v>
      </c>
    </row>
    <row r="206" customFormat="false" ht="15" hidden="false" customHeight="false" outlineLevel="0" collapsed="false">
      <c r="E206" s="14" t="str">
        <f aca="false">Hierarchy!A215</f>
        <v>Northeast Region (Brazil)</v>
      </c>
    </row>
    <row r="207" customFormat="false" ht="15" hidden="false" customHeight="false" outlineLevel="0" collapsed="false">
      <c r="E207" s="14" t="str">
        <f aca="false">Hierarchy!A216</f>
        <v>South Region (Brazil)</v>
      </c>
    </row>
    <row r="208" customFormat="false" ht="15" hidden="false" customHeight="false" outlineLevel="0" collapsed="false">
      <c r="E208" s="14" t="str">
        <f aca="false">Hierarchy!A217</f>
        <v>Southeast Region (Brazil)</v>
      </c>
    </row>
    <row r="209" customFormat="false" ht="15" hidden="false" customHeight="false" outlineLevel="0" collapsed="false">
      <c r="E209" s="15" t="str">
        <f aca="false">Hierarchy!A218</f>
        <v>Acre</v>
      </c>
    </row>
    <row r="210" customFormat="false" ht="15" hidden="false" customHeight="false" outlineLevel="0" collapsed="false">
      <c r="E210" s="15" t="str">
        <f aca="false">Hierarchy!A219</f>
        <v>Alagoas</v>
      </c>
    </row>
    <row r="211" customFormat="false" ht="15" hidden="false" customHeight="false" outlineLevel="0" collapsed="false">
      <c r="E211" s="15" t="str">
        <f aca="false">Hierarchy!A220</f>
        <v>Amapá</v>
      </c>
    </row>
    <row r="212" customFormat="false" ht="15" hidden="false" customHeight="false" outlineLevel="0" collapsed="false">
      <c r="E212" s="15" t="str">
        <f aca="false">Hierarchy!A221</f>
        <v>Amazonas</v>
      </c>
    </row>
    <row r="213" customFormat="false" ht="15" hidden="false" customHeight="false" outlineLevel="0" collapsed="false">
      <c r="E213" s="15" t="str">
        <f aca="false">Hierarchy!A222</f>
        <v>Bahia</v>
      </c>
    </row>
    <row r="214" customFormat="false" ht="15" hidden="false" customHeight="false" outlineLevel="0" collapsed="false">
      <c r="E214" s="15" t="str">
        <f aca="false">Hierarchy!A223</f>
        <v>Ceará</v>
      </c>
    </row>
    <row r="215" customFormat="false" ht="15" hidden="false" customHeight="false" outlineLevel="0" collapsed="false">
      <c r="E215" s="15" t="str">
        <f aca="false">Hierarchy!A224</f>
        <v>Espírito Santo</v>
      </c>
    </row>
    <row r="216" customFormat="false" ht="15" hidden="false" customHeight="false" outlineLevel="0" collapsed="false">
      <c r="E216" s="15" t="str">
        <f aca="false">Hierarchy!A225</f>
        <v>Federal District (Brazil)</v>
      </c>
    </row>
    <row r="217" customFormat="false" ht="15" hidden="false" customHeight="false" outlineLevel="0" collapsed="false">
      <c r="F217" s="16" t="str">
        <f aca="false">Hierarchy!A226</f>
        <v>Brasília</v>
      </c>
    </row>
    <row r="218" customFormat="false" ht="15" hidden="false" customHeight="false" outlineLevel="0" collapsed="false">
      <c r="E218" s="15" t="str">
        <f aca="false">Hierarchy!A227</f>
        <v>Goiás</v>
      </c>
    </row>
    <row r="219" customFormat="false" ht="15" hidden="false" customHeight="false" outlineLevel="0" collapsed="false">
      <c r="E219" s="15" t="str">
        <f aca="false">Hierarchy!A228</f>
        <v>Maranhão</v>
      </c>
    </row>
    <row r="220" customFormat="false" ht="15" hidden="false" customHeight="false" outlineLevel="0" collapsed="false">
      <c r="E220" s="15" t="str">
        <f aca="false">Hierarchy!A229</f>
        <v>Mato Grosso</v>
      </c>
    </row>
    <row r="221" customFormat="false" ht="15" hidden="false" customHeight="false" outlineLevel="0" collapsed="false">
      <c r="E221" s="15" t="str">
        <f aca="false">Hierarchy!A230</f>
        <v>Mato Grosso do Sul</v>
      </c>
    </row>
    <row r="222" customFormat="false" ht="15" hidden="false" customHeight="false" outlineLevel="0" collapsed="false">
      <c r="E222" s="15" t="str">
        <f aca="false">Hierarchy!A231</f>
        <v>Minas Gerais</v>
      </c>
    </row>
    <row r="223" customFormat="false" ht="15" hidden="false" customHeight="false" outlineLevel="0" collapsed="false">
      <c r="E223" s="15" t="str">
        <f aca="false">Hierarchy!A232</f>
        <v>Paraná</v>
      </c>
    </row>
    <row r="224" customFormat="false" ht="15" hidden="false" customHeight="false" outlineLevel="0" collapsed="false">
      <c r="E224" s="15" t="str">
        <f aca="false">Hierarchy!A233</f>
        <v>Paraíba</v>
      </c>
    </row>
    <row r="225" customFormat="false" ht="15" hidden="false" customHeight="false" outlineLevel="0" collapsed="false">
      <c r="E225" s="15" t="str">
        <f aca="false">Hierarchy!A234</f>
        <v>Pará</v>
      </c>
    </row>
    <row r="226" customFormat="false" ht="15" hidden="false" customHeight="false" outlineLevel="0" collapsed="false">
      <c r="E226" s="15" t="str">
        <f aca="false">Hierarchy!A235</f>
        <v>Pernambuco</v>
      </c>
    </row>
    <row r="227" customFormat="false" ht="15" hidden="false" customHeight="false" outlineLevel="0" collapsed="false">
      <c r="E227" s="15" t="str">
        <f aca="false">Hierarchy!A236</f>
        <v>Piauí</v>
      </c>
    </row>
    <row r="228" customFormat="false" ht="15" hidden="false" customHeight="false" outlineLevel="0" collapsed="false">
      <c r="E228" s="15" t="str">
        <f aca="false">Hierarchy!A237</f>
        <v>Rio Grande do Norte</v>
      </c>
    </row>
    <row r="229" customFormat="false" ht="15" hidden="false" customHeight="false" outlineLevel="0" collapsed="false">
      <c r="E229" s="15" t="str">
        <f aca="false">Hierarchy!A238</f>
        <v>Rio Grande do Sul</v>
      </c>
    </row>
    <row r="230" customFormat="false" ht="15" hidden="false" customHeight="false" outlineLevel="0" collapsed="false">
      <c r="E230" s="15" t="str">
        <f aca="false">Hierarchy!A239</f>
        <v>Rio de Janeiro</v>
      </c>
    </row>
    <row r="231" customFormat="false" ht="15" hidden="false" customHeight="false" outlineLevel="0" collapsed="false">
      <c r="F231" s="16" t="str">
        <f aca="false">Hierarchy!A240</f>
        <v>Rio de Janeiro (city)</v>
      </c>
    </row>
    <row r="232" customFormat="false" ht="15" hidden="false" customHeight="false" outlineLevel="0" collapsed="false">
      <c r="E232" s="15" t="str">
        <f aca="false">Hierarchy!A241</f>
        <v>Rondônia</v>
      </c>
    </row>
    <row r="233" customFormat="false" ht="15" hidden="false" customHeight="false" outlineLevel="0" collapsed="false">
      <c r="E233" s="15" t="str">
        <f aca="false">Hierarchy!A242</f>
        <v>Roraima</v>
      </c>
    </row>
    <row r="234" customFormat="false" ht="15" hidden="false" customHeight="false" outlineLevel="0" collapsed="false">
      <c r="E234" s="15" t="str">
        <f aca="false">Hierarchy!A243</f>
        <v>Santa Catarina</v>
      </c>
    </row>
    <row r="235" customFormat="false" ht="15" hidden="false" customHeight="false" outlineLevel="0" collapsed="false">
      <c r="E235" s="15" t="str">
        <f aca="false">Hierarchy!A244</f>
        <v>Sergipe</v>
      </c>
    </row>
    <row r="236" customFormat="false" ht="15" hidden="false" customHeight="false" outlineLevel="0" collapsed="false">
      <c r="E236" s="15" t="str">
        <f aca="false">Hierarchy!A245</f>
        <v>São Paulo</v>
      </c>
    </row>
    <row r="237" customFormat="false" ht="15" hidden="false" customHeight="false" outlineLevel="0" collapsed="false">
      <c r="F237" s="16" t="str">
        <f aca="false">Hierarchy!A246</f>
        <v>São Paulo (city)</v>
      </c>
    </row>
    <row r="238" customFormat="false" ht="15" hidden="false" customHeight="false" outlineLevel="0" collapsed="false">
      <c r="E238" s="15" t="str">
        <f aca="false">Hierarchy!A247</f>
        <v>Tocantins</v>
      </c>
    </row>
    <row r="239" customFormat="false" ht="15" hidden="false" customHeight="false" outlineLevel="0" collapsed="false">
      <c r="D239" s="7" t="str">
        <f aca="false">Hierarchy!A248</f>
        <v>Mexico</v>
      </c>
      <c r="G239" s="7" t="str">
        <f aca="false">Hierarchy!G248</f>
        <v>MEX</v>
      </c>
    </row>
    <row r="240" customFormat="false" ht="15" hidden="false" customHeight="false" outlineLevel="0" collapsed="false">
      <c r="E240" s="14" t="str">
        <f aca="false">Hierarchy!A249</f>
        <v>Bajío</v>
      </c>
    </row>
    <row r="241" customFormat="false" ht="15" hidden="false" customHeight="false" outlineLevel="0" collapsed="false">
      <c r="E241" s="14" t="str">
        <f aca="false">Hierarchy!A250</f>
        <v>Central Mexico</v>
      </c>
    </row>
    <row r="242" customFormat="false" ht="15" hidden="false" customHeight="false" outlineLevel="0" collapsed="false">
      <c r="E242" s="14" t="str">
        <f aca="false">Hierarchy!A251</f>
        <v>Northern Mexico</v>
      </c>
    </row>
    <row r="243" customFormat="false" ht="15" hidden="false" customHeight="false" outlineLevel="0" collapsed="false">
      <c r="E243" s="14" t="str">
        <f aca="false">Hierarchy!A252</f>
        <v>Southern Mexico</v>
      </c>
    </row>
    <row r="244" customFormat="false" ht="15" hidden="false" customHeight="false" outlineLevel="0" collapsed="false">
      <c r="E244" s="15" t="str">
        <f aca="false">Hierarchy!A253</f>
        <v>Aguascalientes</v>
      </c>
    </row>
    <row r="245" customFormat="false" ht="15" hidden="false" customHeight="false" outlineLevel="0" collapsed="false">
      <c r="E245" s="15" t="str">
        <f aca="false">Hierarchy!A254</f>
        <v>Baja California</v>
      </c>
    </row>
    <row r="246" customFormat="false" ht="15" hidden="false" customHeight="false" outlineLevel="0" collapsed="false">
      <c r="F246" s="16" t="str">
        <f aca="false">Hierarchy!A255</f>
        <v>Tijuana</v>
      </c>
    </row>
    <row r="247" customFormat="false" ht="15" hidden="false" customHeight="false" outlineLevel="0" collapsed="false">
      <c r="E247" s="15" t="str">
        <f aca="false">Hierarchy!A256</f>
        <v>Baja California Sur</v>
      </c>
    </row>
    <row r="248" customFormat="false" ht="15" hidden="false" customHeight="false" outlineLevel="0" collapsed="false">
      <c r="E248" s="15" t="str">
        <f aca="false">Hierarchy!A257</f>
        <v>Campeche</v>
      </c>
    </row>
    <row r="249" customFormat="false" ht="15" hidden="false" customHeight="false" outlineLevel="0" collapsed="false">
      <c r="E249" s="15" t="str">
        <f aca="false">Hierarchy!A258</f>
        <v>Chiapas</v>
      </c>
    </row>
    <row r="250" customFormat="false" ht="15" hidden="false" customHeight="false" outlineLevel="0" collapsed="false">
      <c r="E250" s="15" t="str">
        <f aca="false">Hierarchy!A259</f>
        <v>Chihuahua</v>
      </c>
    </row>
    <row r="251" customFormat="false" ht="15" hidden="false" customHeight="false" outlineLevel="0" collapsed="false">
      <c r="E251" s="15" t="str">
        <f aca="false">Hierarchy!A260</f>
        <v>Coahuila</v>
      </c>
    </row>
    <row r="252" customFormat="false" ht="15" hidden="false" customHeight="false" outlineLevel="0" collapsed="false">
      <c r="E252" s="15" t="str">
        <f aca="false">Hierarchy!A261</f>
        <v>Colima</v>
      </c>
    </row>
    <row r="253" customFormat="false" ht="15" hidden="false" customHeight="false" outlineLevel="0" collapsed="false">
      <c r="E253" s="15" t="str">
        <f aca="false">Hierarchy!A262</f>
        <v>Durango</v>
      </c>
    </row>
    <row r="254" customFormat="false" ht="15" hidden="false" customHeight="false" outlineLevel="0" collapsed="false">
      <c r="E254" s="15" t="str">
        <f aca="false">Hierarchy!A263</f>
        <v>Guanajuato</v>
      </c>
    </row>
    <row r="255" customFormat="false" ht="15" hidden="false" customHeight="false" outlineLevel="0" collapsed="false">
      <c r="E255" s="15" t="str">
        <f aca="false">Hierarchy!A264</f>
        <v>Guerrero</v>
      </c>
    </row>
    <row r="256" customFormat="false" ht="15" hidden="false" customHeight="false" outlineLevel="0" collapsed="false">
      <c r="E256" s="15" t="str">
        <f aca="false">Hierarchy!A265</f>
        <v>Hidalgo</v>
      </c>
    </row>
    <row r="257" customFormat="false" ht="15" hidden="false" customHeight="false" outlineLevel="0" collapsed="false">
      <c r="E257" s="15" t="str">
        <f aca="false">Hierarchy!A266</f>
        <v>Jalisco</v>
      </c>
    </row>
    <row r="258" customFormat="false" ht="15" hidden="false" customHeight="false" outlineLevel="0" collapsed="false">
      <c r="F258" s="16" t="str">
        <f aca="false">Hierarchy!A267</f>
        <v>Guadalajara</v>
      </c>
    </row>
    <row r="259" customFormat="false" ht="15" hidden="false" customHeight="false" outlineLevel="0" collapsed="false">
      <c r="E259" s="15" t="str">
        <f aca="false">Hierarchy!A268</f>
        <v>Mexico City</v>
      </c>
    </row>
    <row r="260" customFormat="false" ht="15" hidden="false" customHeight="false" outlineLevel="0" collapsed="false">
      <c r="E260" s="15" t="str">
        <f aca="false">Hierarchy!A269</f>
        <v>Michoacán</v>
      </c>
    </row>
    <row r="261" customFormat="false" ht="15" hidden="false" customHeight="false" outlineLevel="0" collapsed="false">
      <c r="E261" s="15" t="str">
        <f aca="false">Hierarchy!A270</f>
        <v>Morelos</v>
      </c>
    </row>
    <row r="262" customFormat="false" ht="15" hidden="false" customHeight="false" outlineLevel="0" collapsed="false">
      <c r="E262" s="15" t="str">
        <f aca="false">Hierarchy!A271</f>
        <v>Nayarit</v>
      </c>
    </row>
    <row r="263" customFormat="false" ht="15" hidden="false" customHeight="false" outlineLevel="0" collapsed="false">
      <c r="E263" s="15" t="str">
        <f aca="false">Hierarchy!A272</f>
        <v>Nuevo León</v>
      </c>
    </row>
    <row r="264" customFormat="false" ht="15" hidden="false" customHeight="false" outlineLevel="0" collapsed="false">
      <c r="F264" s="16" t="str">
        <f aca="false">Hierarchy!A273</f>
        <v>Monterrey</v>
      </c>
    </row>
    <row r="265" customFormat="false" ht="15" hidden="false" customHeight="false" outlineLevel="0" collapsed="false">
      <c r="E265" s="15" t="str">
        <f aca="false">Hierarchy!A274</f>
        <v>Oaxaca</v>
      </c>
    </row>
    <row r="266" customFormat="false" ht="15" hidden="false" customHeight="false" outlineLevel="0" collapsed="false">
      <c r="E266" s="15" t="str">
        <f aca="false">Hierarchy!A275</f>
        <v>Puebla</v>
      </c>
    </row>
    <row r="267" customFormat="false" ht="15" hidden="false" customHeight="false" outlineLevel="0" collapsed="false">
      <c r="E267" s="15" t="str">
        <f aca="false">Hierarchy!A276</f>
        <v>Querétaro</v>
      </c>
    </row>
    <row r="268" customFormat="false" ht="15" hidden="false" customHeight="false" outlineLevel="0" collapsed="false">
      <c r="E268" s="15" t="str">
        <f aca="false">Hierarchy!A277</f>
        <v>Quintana Roo</v>
      </c>
    </row>
    <row r="269" customFormat="false" ht="15" hidden="false" customHeight="false" outlineLevel="0" collapsed="false">
      <c r="F269" s="16" t="str">
        <f aca="false">Hierarchy!A278</f>
        <v>Cancún</v>
      </c>
    </row>
    <row r="270" customFormat="false" ht="15" hidden="false" customHeight="false" outlineLevel="0" collapsed="false">
      <c r="E270" s="15" t="str">
        <f aca="false">Hierarchy!A279</f>
        <v>San Luis Potosí</v>
      </c>
    </row>
    <row r="271" customFormat="false" ht="15" hidden="false" customHeight="false" outlineLevel="0" collapsed="false">
      <c r="E271" s="15" t="str">
        <f aca="false">Hierarchy!A280</f>
        <v>Sinaloa</v>
      </c>
    </row>
    <row r="272" customFormat="false" ht="15" hidden="false" customHeight="false" outlineLevel="0" collapsed="false">
      <c r="E272" s="15" t="str">
        <f aca="false">Hierarchy!A281</f>
        <v>Sonora</v>
      </c>
    </row>
    <row r="273" customFormat="false" ht="15" hidden="false" customHeight="false" outlineLevel="0" collapsed="false">
      <c r="E273" s="15" t="str">
        <f aca="false">Hierarchy!A282</f>
        <v>State of Mexico</v>
      </c>
    </row>
    <row r="274" customFormat="false" ht="15" hidden="false" customHeight="false" outlineLevel="0" collapsed="false">
      <c r="E274" s="15" t="str">
        <f aca="false">Hierarchy!A283</f>
        <v>Tabasco</v>
      </c>
    </row>
    <row r="275" customFormat="false" ht="15" hidden="false" customHeight="false" outlineLevel="0" collapsed="false">
      <c r="E275" s="15" t="str">
        <f aca="false">Hierarchy!A284</f>
        <v>Tamaulipas</v>
      </c>
    </row>
    <row r="276" customFormat="false" ht="15" hidden="false" customHeight="false" outlineLevel="0" collapsed="false">
      <c r="E276" s="15" t="str">
        <f aca="false">Hierarchy!A285</f>
        <v>Tlaxcala</v>
      </c>
    </row>
    <row r="277" customFormat="false" ht="15" hidden="false" customHeight="false" outlineLevel="0" collapsed="false">
      <c r="E277" s="15" t="str">
        <f aca="false">Hierarchy!A286</f>
        <v>Veracruz</v>
      </c>
    </row>
    <row r="278" customFormat="false" ht="15" hidden="false" customHeight="false" outlineLevel="0" collapsed="false">
      <c r="E278" s="15" t="str">
        <f aca="false">Hierarchy!A287</f>
        <v>Yucatán</v>
      </c>
    </row>
    <row r="279" customFormat="false" ht="15" hidden="false" customHeight="false" outlineLevel="0" collapsed="false">
      <c r="E279" s="15" t="str">
        <f aca="false">Hierarchy!A288</f>
        <v>Zacatecas</v>
      </c>
    </row>
    <row r="280" customFormat="false" ht="15" hidden="false" customHeight="false" outlineLevel="0" collapsed="false">
      <c r="D280" s="7" t="str">
        <f aca="false">Hierarchy!A289</f>
        <v>Anguilla</v>
      </c>
      <c r="G280" s="7" t="str">
        <f aca="false">Hierarchy!G289</f>
        <v>AIA</v>
      </c>
    </row>
    <row r="281" customFormat="false" ht="15" hidden="false" customHeight="false" outlineLevel="0" collapsed="false">
      <c r="D281" s="7" t="str">
        <f aca="false">Hierarchy!A290</f>
        <v>Antigua and Barbuda</v>
      </c>
      <c r="G281" s="7" t="str">
        <f aca="false">Hierarchy!G290</f>
        <v>ATG</v>
      </c>
    </row>
    <row r="282" customFormat="false" ht="15" hidden="false" customHeight="false" outlineLevel="0" collapsed="false">
      <c r="D282" s="7" t="str">
        <f aca="false">Hierarchy!A291</f>
        <v>Argentina</v>
      </c>
      <c r="G282" s="7" t="str">
        <f aca="false">Hierarchy!G291</f>
        <v>ARG</v>
      </c>
    </row>
    <row r="283" customFormat="false" ht="15" hidden="false" customHeight="false" outlineLevel="0" collapsed="false">
      <c r="E283" s="15" t="str">
        <f aca="false">Hierarchy!A292</f>
        <v>Autonomous City of Buenos Aires</v>
      </c>
    </row>
    <row r="284" customFormat="false" ht="15" hidden="false" customHeight="false" outlineLevel="0" collapsed="false">
      <c r="E284" s="15" t="str">
        <f aca="false">Hierarchy!A293</f>
        <v>Buenos Aires Province</v>
      </c>
    </row>
    <row r="285" customFormat="false" ht="15" hidden="false" customHeight="false" outlineLevel="0" collapsed="false">
      <c r="E285" s="15" t="str">
        <f aca="false">Hierarchy!A294</f>
        <v>Catamarca</v>
      </c>
    </row>
    <row r="286" customFormat="false" ht="15" hidden="false" customHeight="false" outlineLevel="0" collapsed="false">
      <c r="E286" s="15" t="str">
        <f aca="false">Hierarchy!A295</f>
        <v>Chaco</v>
      </c>
    </row>
    <row r="287" customFormat="false" ht="15" hidden="false" customHeight="false" outlineLevel="0" collapsed="false">
      <c r="E287" s="15" t="str">
        <f aca="false">Hierarchy!A296</f>
        <v>Chubut</v>
      </c>
    </row>
    <row r="288" customFormat="false" ht="15" hidden="false" customHeight="false" outlineLevel="0" collapsed="false">
      <c r="E288" s="15" t="str">
        <f aca="false">Hierarchy!A297</f>
        <v>Corrientes</v>
      </c>
    </row>
    <row r="289" customFormat="false" ht="15" hidden="false" customHeight="false" outlineLevel="0" collapsed="false">
      <c r="E289" s="15" t="str">
        <f aca="false">Hierarchy!A298</f>
        <v>Córdoba Province (Argentina)</v>
      </c>
    </row>
    <row r="290" customFormat="false" ht="15" hidden="false" customHeight="false" outlineLevel="0" collapsed="false">
      <c r="E290" s="15" t="str">
        <f aca="false">Hierarchy!A299</f>
        <v>Entre Ríos</v>
      </c>
    </row>
    <row r="291" customFormat="false" ht="15" hidden="false" customHeight="false" outlineLevel="0" collapsed="false">
      <c r="E291" s="15" t="str">
        <f aca="false">Hierarchy!A300</f>
        <v>Formosa</v>
      </c>
    </row>
    <row r="292" customFormat="false" ht="15" hidden="false" customHeight="false" outlineLevel="0" collapsed="false">
      <c r="E292" s="15" t="str">
        <f aca="false">Hierarchy!A301</f>
        <v>Jujuy</v>
      </c>
    </row>
    <row r="293" customFormat="false" ht="15" hidden="false" customHeight="false" outlineLevel="0" collapsed="false">
      <c r="E293" s="15" t="str">
        <f aca="false">Hierarchy!A302</f>
        <v>La Pampa</v>
      </c>
    </row>
    <row r="294" customFormat="false" ht="15" hidden="false" customHeight="false" outlineLevel="0" collapsed="false">
      <c r="E294" s="15" t="str">
        <f aca="false">Hierarchy!A303</f>
        <v>La Rioja (Argentina)</v>
      </c>
    </row>
    <row r="295" customFormat="false" ht="15" hidden="false" customHeight="false" outlineLevel="0" collapsed="false">
      <c r="E295" s="15" t="str">
        <f aca="false">Hierarchy!A304</f>
        <v>Mendoza</v>
      </c>
    </row>
    <row r="296" customFormat="false" ht="15" hidden="false" customHeight="false" outlineLevel="0" collapsed="false">
      <c r="E296" s="15" t="str">
        <f aca="false">Hierarchy!A305</f>
        <v>Misiones</v>
      </c>
    </row>
    <row r="297" customFormat="false" ht="15" hidden="false" customHeight="false" outlineLevel="0" collapsed="false">
      <c r="E297" s="15" t="str">
        <f aca="false">Hierarchy!A306</f>
        <v>Neuquén</v>
      </c>
    </row>
    <row r="298" customFormat="false" ht="15" hidden="false" customHeight="false" outlineLevel="0" collapsed="false">
      <c r="E298" s="15" t="str">
        <f aca="false">Hierarchy!A307</f>
        <v>Río Negro</v>
      </c>
    </row>
    <row r="299" customFormat="false" ht="15" hidden="false" customHeight="false" outlineLevel="0" collapsed="false">
      <c r="E299" s="15" t="str">
        <f aca="false">Hierarchy!A308</f>
        <v>Salta</v>
      </c>
    </row>
    <row r="300" customFormat="false" ht="15" hidden="false" customHeight="false" outlineLevel="0" collapsed="false">
      <c r="E300" s="15" t="str">
        <f aca="false">Hierarchy!A309</f>
        <v>San Juan (Argentina)</v>
      </c>
    </row>
    <row r="301" customFormat="false" ht="15" hidden="false" customHeight="false" outlineLevel="0" collapsed="false">
      <c r="E301" s="15" t="str">
        <f aca="false">Hierarchy!A310</f>
        <v>San Luis</v>
      </c>
    </row>
    <row r="302" customFormat="false" ht="15" hidden="false" customHeight="false" outlineLevel="0" collapsed="false">
      <c r="E302" s="15" t="str">
        <f aca="false">Hierarchy!A311</f>
        <v>Santa Cruz (Argentina)</v>
      </c>
    </row>
    <row r="303" customFormat="false" ht="15" hidden="false" customHeight="false" outlineLevel="0" collapsed="false">
      <c r="E303" s="15" t="str">
        <f aca="false">Hierarchy!A312</f>
        <v>Santa Fe</v>
      </c>
    </row>
    <row r="304" customFormat="false" ht="15" hidden="false" customHeight="false" outlineLevel="0" collapsed="false">
      <c r="E304" s="15" t="str">
        <f aca="false">Hierarchy!A313</f>
        <v>Santiago del Estero</v>
      </c>
    </row>
    <row r="305" customFormat="false" ht="15" hidden="false" customHeight="false" outlineLevel="0" collapsed="false">
      <c r="E305" s="15" t="str">
        <f aca="false">Hierarchy!A314</f>
        <v>Tierra del Fuego</v>
      </c>
    </row>
    <row r="306" customFormat="false" ht="15" hidden="false" customHeight="false" outlineLevel="0" collapsed="false">
      <c r="E306" s="15" t="str">
        <f aca="false">Hierarchy!A315</f>
        <v>Tucumán</v>
      </c>
    </row>
    <row r="307" customFormat="false" ht="15" hidden="false" customHeight="false" outlineLevel="0" collapsed="false">
      <c r="F307" s="16" t="str">
        <f aca="false">Hierarchy!A316</f>
        <v>Buenos Aires</v>
      </c>
    </row>
    <row r="308" customFormat="false" ht="15" hidden="false" customHeight="false" outlineLevel="0" collapsed="false">
      <c r="F308" s="16" t="str">
        <f aca="false">Hierarchy!A317</f>
        <v>Córdoba (Argentina)</v>
      </c>
    </row>
    <row r="309" customFormat="false" ht="15" hidden="false" customHeight="false" outlineLevel="0" collapsed="false">
      <c r="D309" s="7" t="str">
        <f aca="false">Hierarchy!A318</f>
        <v>Aruba</v>
      </c>
      <c r="G309" s="7" t="str">
        <f aca="false">Hierarchy!G318</f>
        <v>ABW</v>
      </c>
    </row>
    <row r="310" customFormat="false" ht="15" hidden="false" customHeight="false" outlineLevel="0" collapsed="false">
      <c r="D310" s="7" t="str">
        <f aca="false">Hierarchy!A319</f>
        <v>Bahamas</v>
      </c>
      <c r="G310" s="7" t="str">
        <f aca="false">Hierarchy!G319</f>
        <v>BHS</v>
      </c>
    </row>
    <row r="311" customFormat="false" ht="15" hidden="false" customHeight="false" outlineLevel="0" collapsed="false">
      <c r="D311" s="7" t="str">
        <f aca="false">Hierarchy!A320</f>
        <v>Barbados</v>
      </c>
      <c r="G311" s="7" t="str">
        <f aca="false">Hierarchy!G320</f>
        <v>BRB</v>
      </c>
    </row>
    <row r="312" customFormat="false" ht="15" hidden="false" customHeight="false" outlineLevel="0" collapsed="false">
      <c r="D312" s="7" t="str">
        <f aca="false">Hierarchy!A321</f>
        <v>Belize</v>
      </c>
      <c r="G312" s="7" t="str">
        <f aca="false">Hierarchy!G321</f>
        <v>BLZ</v>
      </c>
    </row>
    <row r="313" customFormat="false" ht="15" hidden="false" customHeight="false" outlineLevel="0" collapsed="false">
      <c r="D313" s="7" t="str">
        <f aca="false">Hierarchy!A322</f>
        <v>Bolivia</v>
      </c>
      <c r="G313" s="7" t="str">
        <f aca="false">Hierarchy!G322</f>
        <v>BOL</v>
      </c>
    </row>
    <row r="314" customFormat="false" ht="15" hidden="false" customHeight="false" outlineLevel="0" collapsed="false">
      <c r="D314" s="7" t="str">
        <f aca="false">Hierarchy!A323</f>
        <v>Bonaire, Sint Eustatius and Saba</v>
      </c>
      <c r="G314" s="7" t="str">
        <f aca="false">Hierarchy!G323</f>
        <v>BES</v>
      </c>
    </row>
    <row r="315" customFormat="false" ht="15" hidden="false" customHeight="false" outlineLevel="0" collapsed="false">
      <c r="D315" s="7" t="str">
        <f aca="false">Hierarchy!A324</f>
        <v>British Virgin Islands</v>
      </c>
      <c r="G315" s="7" t="str">
        <f aca="false">Hierarchy!G324</f>
        <v>VGB</v>
      </c>
    </row>
    <row r="316" customFormat="false" ht="15" hidden="false" customHeight="false" outlineLevel="0" collapsed="false">
      <c r="D316" s="7" t="str">
        <f aca="false">Hierarchy!A325</f>
        <v>Cayman Islands</v>
      </c>
      <c r="G316" s="7" t="str">
        <f aca="false">Hierarchy!G325</f>
        <v>CYM</v>
      </c>
    </row>
    <row r="317" customFormat="false" ht="15" hidden="false" customHeight="false" outlineLevel="0" collapsed="false">
      <c r="D317" s="7" t="str">
        <f aca="false">Hierarchy!A326</f>
        <v>Chile</v>
      </c>
      <c r="G317" s="7" t="str">
        <f aca="false">Hierarchy!G326</f>
        <v>CHL</v>
      </c>
    </row>
    <row r="318" customFormat="false" ht="15" hidden="false" customHeight="false" outlineLevel="0" collapsed="false">
      <c r="E318" s="15" t="str">
        <f aca="false">Hierarchy!A327</f>
        <v>Antofagasta</v>
      </c>
    </row>
    <row r="319" customFormat="false" ht="15" hidden="false" customHeight="false" outlineLevel="0" collapsed="false">
      <c r="E319" s="15" t="str">
        <f aca="false">Hierarchy!A328</f>
        <v>Arica y Parinacota</v>
      </c>
    </row>
    <row r="320" customFormat="false" ht="15" hidden="false" customHeight="false" outlineLevel="0" collapsed="false">
      <c r="E320" s="15" t="str">
        <f aca="false">Hierarchy!A329</f>
        <v>Atacama</v>
      </c>
    </row>
    <row r="321" customFormat="false" ht="15" hidden="false" customHeight="false" outlineLevel="0" collapsed="false">
      <c r="E321" s="15" t="str">
        <f aca="false">Hierarchy!A330</f>
        <v>Aysén</v>
      </c>
    </row>
    <row r="322" customFormat="false" ht="15" hidden="false" customHeight="false" outlineLevel="0" collapsed="false">
      <c r="E322" s="15" t="str">
        <f aca="false">Hierarchy!A331</f>
        <v>Biobío</v>
      </c>
    </row>
    <row r="323" customFormat="false" ht="15" hidden="false" customHeight="false" outlineLevel="0" collapsed="false">
      <c r="E323" s="15" t="str">
        <f aca="false">Hierarchy!A332</f>
        <v>Coquimbo</v>
      </c>
    </row>
    <row r="324" customFormat="false" ht="15" hidden="false" customHeight="false" outlineLevel="0" collapsed="false">
      <c r="E324" s="15" t="str">
        <f aca="false">Hierarchy!A333</f>
        <v>La Araucanía</v>
      </c>
    </row>
    <row r="325" customFormat="false" ht="15" hidden="false" customHeight="false" outlineLevel="0" collapsed="false">
      <c r="E325" s="15" t="str">
        <f aca="false">Hierarchy!A334</f>
        <v>Los Lagos</v>
      </c>
    </row>
    <row r="326" customFormat="false" ht="15" hidden="false" customHeight="false" outlineLevel="0" collapsed="false">
      <c r="E326" s="15" t="str">
        <f aca="false">Hierarchy!A335</f>
        <v>Los Ríos</v>
      </c>
    </row>
    <row r="327" customFormat="false" ht="15" hidden="false" customHeight="false" outlineLevel="0" collapsed="false">
      <c r="E327" s="15" t="str">
        <f aca="false">Hierarchy!A336</f>
        <v>Magallanes</v>
      </c>
    </row>
    <row r="328" customFormat="false" ht="15" hidden="false" customHeight="false" outlineLevel="0" collapsed="false">
      <c r="E328" s="15" t="str">
        <f aca="false">Hierarchy!A337</f>
        <v>Maule</v>
      </c>
    </row>
    <row r="329" customFormat="false" ht="15" hidden="false" customHeight="false" outlineLevel="0" collapsed="false">
      <c r="E329" s="15" t="str">
        <f aca="false">Hierarchy!A338</f>
        <v>O'Higgins</v>
      </c>
    </row>
    <row r="330" customFormat="false" ht="15" hidden="false" customHeight="false" outlineLevel="0" collapsed="false">
      <c r="E330" s="15" t="str">
        <f aca="false">Hierarchy!A339</f>
        <v>Santiago Metropolitan Region</v>
      </c>
    </row>
    <row r="331" customFormat="false" ht="15" hidden="false" customHeight="false" outlineLevel="0" collapsed="false">
      <c r="E331" s="15" t="str">
        <f aca="false">Hierarchy!A340</f>
        <v>Tarapacá</v>
      </c>
    </row>
    <row r="332" customFormat="false" ht="15" hidden="false" customHeight="false" outlineLevel="0" collapsed="false">
      <c r="E332" s="15" t="str">
        <f aca="false">Hierarchy!A341</f>
        <v>Valparaíso</v>
      </c>
    </row>
    <row r="333" customFormat="false" ht="15" hidden="false" customHeight="false" outlineLevel="0" collapsed="false">
      <c r="F333" s="16" t="str">
        <f aca="false">Hierarchy!A342</f>
        <v>Santiago</v>
      </c>
    </row>
    <row r="334" customFormat="false" ht="15" hidden="false" customHeight="false" outlineLevel="0" collapsed="false">
      <c r="E334" s="15" t="str">
        <f aca="false">Hierarchy!A343</f>
        <v>Ñuble</v>
      </c>
    </row>
    <row r="335" customFormat="false" ht="15" hidden="false" customHeight="false" outlineLevel="0" collapsed="false">
      <c r="D335" s="7" t="str">
        <f aca="false">Hierarchy!A344</f>
        <v>Colombia</v>
      </c>
      <c r="G335" s="7" t="str">
        <f aca="false">Hierarchy!G344</f>
        <v>COL</v>
      </c>
    </row>
    <row r="336" customFormat="false" ht="15" hidden="false" customHeight="false" outlineLevel="0" collapsed="false">
      <c r="E336" s="15" t="str">
        <f aca="false">Hierarchy!A345</f>
        <v>Amazonas (Colombia)</v>
      </c>
    </row>
    <row r="337" customFormat="false" ht="15" hidden="false" customHeight="false" outlineLevel="0" collapsed="false">
      <c r="E337" s="15" t="str">
        <f aca="false">Hierarchy!A346</f>
        <v>Antioquia</v>
      </c>
    </row>
    <row r="338" customFormat="false" ht="15" hidden="false" customHeight="false" outlineLevel="0" collapsed="false">
      <c r="E338" s="15" t="str">
        <f aca="false">Hierarchy!A347</f>
        <v>Arauca</v>
      </c>
    </row>
    <row r="339" customFormat="false" ht="15" hidden="false" customHeight="false" outlineLevel="0" collapsed="false">
      <c r="E339" s="15" t="str">
        <f aca="false">Hierarchy!A348</f>
        <v>Atlántico</v>
      </c>
    </row>
    <row r="340" customFormat="false" ht="15" hidden="false" customHeight="false" outlineLevel="0" collapsed="false">
      <c r="E340" s="15" t="str">
        <f aca="false">Hierarchy!A349</f>
        <v>Bogotá Capital District</v>
      </c>
    </row>
    <row r="341" customFormat="false" ht="15" hidden="false" customHeight="false" outlineLevel="0" collapsed="false">
      <c r="E341" s="15" t="str">
        <f aca="false">Hierarchy!A350</f>
        <v>Bolívar</v>
      </c>
    </row>
    <row r="342" customFormat="false" ht="15" hidden="false" customHeight="false" outlineLevel="0" collapsed="false">
      <c r="E342" s="15" t="str">
        <f aca="false">Hierarchy!A351</f>
        <v>Boyacá</v>
      </c>
    </row>
    <row r="343" customFormat="false" ht="15" hidden="false" customHeight="false" outlineLevel="0" collapsed="false">
      <c r="E343" s="15" t="str">
        <f aca="false">Hierarchy!A352</f>
        <v>Caldas</v>
      </c>
    </row>
    <row r="344" customFormat="false" ht="15" hidden="false" customHeight="false" outlineLevel="0" collapsed="false">
      <c r="E344" s="15" t="str">
        <f aca="false">Hierarchy!A353</f>
        <v>Caquetá</v>
      </c>
    </row>
    <row r="345" customFormat="false" ht="15" hidden="false" customHeight="false" outlineLevel="0" collapsed="false">
      <c r="E345" s="15" t="str">
        <f aca="false">Hierarchy!A354</f>
        <v>Casanare</v>
      </c>
    </row>
    <row r="346" customFormat="false" ht="15" hidden="false" customHeight="false" outlineLevel="0" collapsed="false">
      <c r="E346" s="15" t="str">
        <f aca="false">Hierarchy!A355</f>
        <v>Cauca</v>
      </c>
    </row>
    <row r="347" customFormat="false" ht="15" hidden="false" customHeight="false" outlineLevel="0" collapsed="false">
      <c r="E347" s="15" t="str">
        <f aca="false">Hierarchy!A356</f>
        <v>Cesar</v>
      </c>
    </row>
    <row r="348" customFormat="false" ht="15" hidden="false" customHeight="false" outlineLevel="0" collapsed="false">
      <c r="E348" s="15" t="str">
        <f aca="false">Hierarchy!A357</f>
        <v>Chocó</v>
      </c>
    </row>
    <row r="349" customFormat="false" ht="15" hidden="false" customHeight="false" outlineLevel="0" collapsed="false">
      <c r="E349" s="15" t="str">
        <f aca="false">Hierarchy!A358</f>
        <v>Cundinamarca</v>
      </c>
    </row>
    <row r="350" customFormat="false" ht="15" hidden="false" customHeight="false" outlineLevel="0" collapsed="false">
      <c r="E350" s="15" t="str">
        <f aca="false">Hierarchy!A359</f>
        <v>Córdoba (Colombia)</v>
      </c>
    </row>
    <row r="351" customFormat="false" ht="15" hidden="false" customHeight="false" outlineLevel="0" collapsed="false">
      <c r="E351" s="15" t="str">
        <f aca="false">Hierarchy!A360</f>
        <v>Guainía</v>
      </c>
    </row>
    <row r="352" customFormat="false" ht="15" hidden="false" customHeight="false" outlineLevel="0" collapsed="false">
      <c r="E352" s="15" t="str">
        <f aca="false">Hierarchy!A361</f>
        <v>Guaviare</v>
      </c>
    </row>
    <row r="353" customFormat="false" ht="15" hidden="false" customHeight="false" outlineLevel="0" collapsed="false">
      <c r="E353" s="15" t="str">
        <f aca="false">Hierarchy!A362</f>
        <v>Huila</v>
      </c>
    </row>
    <row r="354" customFormat="false" ht="15" hidden="false" customHeight="false" outlineLevel="0" collapsed="false">
      <c r="E354" s="15" t="str">
        <f aca="false">Hierarchy!A363</f>
        <v>La Guajira</v>
      </c>
    </row>
    <row r="355" customFormat="false" ht="15" hidden="false" customHeight="false" outlineLevel="0" collapsed="false">
      <c r="E355" s="15" t="str">
        <f aca="false">Hierarchy!A364</f>
        <v>Magdalena</v>
      </c>
    </row>
    <row r="356" customFormat="false" ht="15" hidden="false" customHeight="false" outlineLevel="0" collapsed="false">
      <c r="E356" s="15" t="str">
        <f aca="false">Hierarchy!A365</f>
        <v>Meta</v>
      </c>
    </row>
    <row r="357" customFormat="false" ht="15" hidden="false" customHeight="false" outlineLevel="0" collapsed="false">
      <c r="E357" s="15" t="str">
        <f aca="false">Hierarchy!A366</f>
        <v>Nariño</v>
      </c>
    </row>
    <row r="358" customFormat="false" ht="15" hidden="false" customHeight="false" outlineLevel="0" collapsed="false">
      <c r="E358" s="15" t="str">
        <f aca="false">Hierarchy!A367</f>
        <v>Norte de Santander</v>
      </c>
    </row>
    <row r="359" customFormat="false" ht="15" hidden="false" customHeight="false" outlineLevel="0" collapsed="false">
      <c r="E359" s="15" t="str">
        <f aca="false">Hierarchy!A368</f>
        <v>Putumayo</v>
      </c>
    </row>
    <row r="360" customFormat="false" ht="15" hidden="false" customHeight="false" outlineLevel="0" collapsed="false">
      <c r="E360" s="15" t="str">
        <f aca="false">Hierarchy!A369</f>
        <v>Quindío</v>
      </c>
    </row>
    <row r="361" customFormat="false" ht="15" hidden="false" customHeight="false" outlineLevel="0" collapsed="false">
      <c r="E361" s="15" t="str">
        <f aca="false">Hierarchy!A370</f>
        <v>Risaralda</v>
      </c>
    </row>
    <row r="362" customFormat="false" ht="15" hidden="false" customHeight="false" outlineLevel="0" collapsed="false">
      <c r="E362" s="15" t="str">
        <f aca="false">Hierarchy!A371</f>
        <v>San Andrés and Providencia</v>
      </c>
    </row>
    <row r="363" customFormat="false" ht="15" hidden="false" customHeight="false" outlineLevel="0" collapsed="false">
      <c r="E363" s="15" t="str">
        <f aca="false">Hierarchy!A372</f>
        <v>Santander</v>
      </c>
    </row>
    <row r="364" customFormat="false" ht="15" hidden="false" customHeight="false" outlineLevel="0" collapsed="false">
      <c r="E364" s="15" t="str">
        <f aca="false">Hierarchy!A373</f>
        <v>Sucre</v>
      </c>
    </row>
    <row r="365" customFormat="false" ht="15" hidden="false" customHeight="false" outlineLevel="0" collapsed="false">
      <c r="E365" s="15" t="str">
        <f aca="false">Hierarchy!A374</f>
        <v>Tolima</v>
      </c>
    </row>
    <row r="366" customFormat="false" ht="15" hidden="false" customHeight="false" outlineLevel="0" collapsed="false">
      <c r="E366" s="15" t="str">
        <f aca="false">Hierarchy!A375</f>
        <v>Valle del Cauca</v>
      </c>
    </row>
    <row r="367" customFormat="false" ht="15" hidden="false" customHeight="false" outlineLevel="0" collapsed="false">
      <c r="E367" s="15" t="str">
        <f aca="false">Hierarchy!A376</f>
        <v>Vaupés</v>
      </c>
    </row>
    <row r="368" customFormat="false" ht="15" hidden="false" customHeight="false" outlineLevel="0" collapsed="false">
      <c r="E368" s="15" t="str">
        <f aca="false">Hierarchy!A377</f>
        <v>Vichada</v>
      </c>
    </row>
    <row r="369" customFormat="false" ht="15" hidden="false" customHeight="false" outlineLevel="0" collapsed="false">
      <c r="F369" s="16" t="str">
        <f aca="false">Hierarchy!A378</f>
        <v>Bogotá</v>
      </c>
    </row>
    <row r="370" customFormat="false" ht="15" hidden="false" customHeight="false" outlineLevel="0" collapsed="false">
      <c r="F370" s="16" t="str">
        <f aca="false">Hierarchy!A379</f>
        <v>Medellín</v>
      </c>
    </row>
    <row r="371" customFormat="false" ht="15" hidden="false" customHeight="false" outlineLevel="0" collapsed="false">
      <c r="D371" s="7" t="str">
        <f aca="false">Hierarchy!A380</f>
        <v>Costa Rica</v>
      </c>
      <c r="G371" s="7" t="str">
        <f aca="false">Hierarchy!G380</f>
        <v>CRI</v>
      </c>
    </row>
    <row r="372" customFormat="false" ht="15" hidden="false" customHeight="false" outlineLevel="0" collapsed="false">
      <c r="F372" s="16" t="str">
        <f aca="false">Hierarchy!A381</f>
        <v>San José (Costa Rica)</v>
      </c>
    </row>
    <row r="373" customFormat="false" ht="15" hidden="false" customHeight="false" outlineLevel="0" collapsed="false">
      <c r="D373" s="7" t="str">
        <f aca="false">Hierarchy!A382</f>
        <v>Cuba</v>
      </c>
      <c r="G373" s="7" t="str">
        <f aca="false">Hierarchy!G382</f>
        <v>CUB</v>
      </c>
    </row>
    <row r="374" customFormat="false" ht="15" hidden="false" customHeight="false" outlineLevel="0" collapsed="false">
      <c r="D374" s="7" t="str">
        <f aca="false">Hierarchy!A383</f>
        <v>Curaçao</v>
      </c>
      <c r="G374" s="7" t="str">
        <f aca="false">Hierarchy!G383</f>
        <v>CUW</v>
      </c>
    </row>
    <row r="375" customFormat="false" ht="15" hidden="false" customHeight="false" outlineLevel="0" collapsed="false">
      <c r="D375" s="7" t="str">
        <f aca="false">Hierarchy!A384</f>
        <v>Dominica</v>
      </c>
      <c r="G375" s="7" t="str">
        <f aca="false">Hierarchy!G384</f>
        <v>DMA</v>
      </c>
    </row>
    <row r="376" customFormat="false" ht="15" hidden="false" customHeight="false" outlineLevel="0" collapsed="false">
      <c r="D376" s="7" t="str">
        <f aca="false">Hierarchy!A385</f>
        <v>Dominican Republic</v>
      </c>
      <c r="G376" s="7" t="str">
        <f aca="false">Hierarchy!G385</f>
        <v>DOM</v>
      </c>
    </row>
    <row r="377" customFormat="false" ht="15" hidden="false" customHeight="false" outlineLevel="0" collapsed="false">
      <c r="F377" s="16" t="str">
        <f aca="false">Hierarchy!A386</f>
        <v>Santo Domingo</v>
      </c>
    </row>
    <row r="378" customFormat="false" ht="15" hidden="false" customHeight="false" outlineLevel="0" collapsed="false">
      <c r="D378" s="7" t="str">
        <f aca="false">Hierarchy!A387</f>
        <v>Ecuador</v>
      </c>
      <c r="G378" s="7" t="str">
        <f aca="false">Hierarchy!G387</f>
        <v>ECU</v>
      </c>
    </row>
    <row r="379" customFormat="false" ht="15" hidden="false" customHeight="false" outlineLevel="0" collapsed="false">
      <c r="D379" s="7" t="str">
        <f aca="false">Hierarchy!A388</f>
        <v>El Salvador</v>
      </c>
      <c r="G379" s="7" t="str">
        <f aca="false">Hierarchy!G388</f>
        <v>SLV</v>
      </c>
    </row>
    <row r="380" customFormat="false" ht="15" hidden="false" customHeight="false" outlineLevel="0" collapsed="false">
      <c r="D380" s="7" t="str">
        <f aca="false">Hierarchy!A389</f>
        <v>Falkland Islands</v>
      </c>
      <c r="G380" s="7" t="str">
        <f aca="false">Hierarchy!G389</f>
        <v>FLK</v>
      </c>
    </row>
    <row r="381" customFormat="false" ht="15" hidden="false" customHeight="false" outlineLevel="0" collapsed="false">
      <c r="D381" s="7" t="str">
        <f aca="false">Hierarchy!A390</f>
        <v>French Guiana</v>
      </c>
      <c r="G381" s="7" t="str">
        <f aca="false">Hierarchy!G390</f>
        <v>GUF</v>
      </c>
    </row>
    <row r="382" customFormat="false" ht="15" hidden="false" customHeight="false" outlineLevel="0" collapsed="false">
      <c r="D382" s="7" t="str">
        <f aca="false">Hierarchy!A391</f>
        <v>Grenada</v>
      </c>
      <c r="G382" s="7" t="str">
        <f aca="false">Hierarchy!G391</f>
        <v>GRD</v>
      </c>
    </row>
    <row r="383" customFormat="false" ht="15" hidden="false" customHeight="false" outlineLevel="0" collapsed="false">
      <c r="D383" s="7" t="str">
        <f aca="false">Hierarchy!A392</f>
        <v>Guadeloupe</v>
      </c>
      <c r="G383" s="7" t="str">
        <f aca="false">Hierarchy!G392</f>
        <v>GLP</v>
      </c>
    </row>
    <row r="384" customFormat="false" ht="15" hidden="false" customHeight="false" outlineLevel="0" collapsed="false">
      <c r="D384" s="7" t="str">
        <f aca="false">Hierarchy!A393</f>
        <v>Guatemala</v>
      </c>
      <c r="G384" s="7" t="str">
        <f aca="false">Hierarchy!G393</f>
        <v>GTM</v>
      </c>
    </row>
    <row r="385" customFormat="false" ht="15" hidden="false" customHeight="false" outlineLevel="0" collapsed="false">
      <c r="D385" s="7" t="str">
        <f aca="false">Hierarchy!A394</f>
        <v>Guyana</v>
      </c>
      <c r="G385" s="7" t="str">
        <f aca="false">Hierarchy!G394</f>
        <v>GUY</v>
      </c>
    </row>
    <row r="386" customFormat="false" ht="15" hidden="false" customHeight="false" outlineLevel="0" collapsed="false">
      <c r="D386" s="7" t="str">
        <f aca="false">Hierarchy!A395</f>
        <v>Haiti</v>
      </c>
      <c r="G386" s="7" t="str">
        <f aca="false">Hierarchy!G395</f>
        <v>HTI</v>
      </c>
    </row>
    <row r="387" customFormat="false" ht="15" hidden="false" customHeight="false" outlineLevel="0" collapsed="false">
      <c r="D387" s="7" t="str">
        <f aca="false">Hierarchy!A396</f>
        <v>Honduras</v>
      </c>
      <c r="G387" s="7" t="str">
        <f aca="false">Hierarchy!G396</f>
        <v>HND</v>
      </c>
    </row>
    <row r="388" customFormat="false" ht="15" hidden="false" customHeight="false" outlineLevel="0" collapsed="false">
      <c r="D388" s="7" t="str">
        <f aca="false">Hierarchy!A397</f>
        <v>Jamaica</v>
      </c>
      <c r="G388" s="7" t="str">
        <f aca="false">Hierarchy!G397</f>
        <v>JAM</v>
      </c>
    </row>
    <row r="389" customFormat="false" ht="15" hidden="false" customHeight="false" outlineLevel="0" collapsed="false">
      <c r="D389" s="7" t="str">
        <f aca="false">Hierarchy!A398</f>
        <v>Martinique</v>
      </c>
      <c r="G389" s="7" t="str">
        <f aca="false">Hierarchy!G398</f>
        <v>MTQ</v>
      </c>
    </row>
    <row r="390" customFormat="false" ht="15" hidden="false" customHeight="false" outlineLevel="0" collapsed="false">
      <c r="D390" s="7" t="str">
        <f aca="false">Hierarchy!A399</f>
        <v>Montserrat</v>
      </c>
      <c r="G390" s="7" t="str">
        <f aca="false">Hierarchy!G399</f>
        <v>MSR</v>
      </c>
    </row>
    <row r="391" customFormat="false" ht="15" hidden="false" customHeight="false" outlineLevel="0" collapsed="false">
      <c r="D391" s="7" t="str">
        <f aca="false">Hierarchy!A400</f>
        <v>Nicaragua</v>
      </c>
      <c r="G391" s="7" t="str">
        <f aca="false">Hierarchy!G400</f>
        <v>NIC</v>
      </c>
    </row>
    <row r="392" customFormat="false" ht="15" hidden="false" customHeight="false" outlineLevel="0" collapsed="false">
      <c r="D392" s="7" t="str">
        <f aca="false">Hierarchy!A401</f>
        <v>Panama</v>
      </c>
      <c r="G392" s="7" t="str">
        <f aca="false">Hierarchy!G401</f>
        <v>PAN</v>
      </c>
    </row>
    <row r="393" customFormat="false" ht="15" hidden="false" customHeight="false" outlineLevel="0" collapsed="false">
      <c r="F393" s="16" t="str">
        <f aca="false">Hierarchy!A402</f>
        <v>Panama City</v>
      </c>
    </row>
    <row r="394" customFormat="false" ht="15" hidden="false" customHeight="false" outlineLevel="0" collapsed="false">
      <c r="D394" s="7" t="str">
        <f aca="false">Hierarchy!A403</f>
        <v>Paraguay</v>
      </c>
      <c r="G394" s="7" t="str">
        <f aca="false">Hierarchy!G403</f>
        <v>PRY</v>
      </c>
    </row>
    <row r="395" customFormat="false" ht="15" hidden="false" customHeight="false" outlineLevel="0" collapsed="false">
      <c r="D395" s="7" t="str">
        <f aca="false">Hierarchy!A404</f>
        <v>Peru</v>
      </c>
      <c r="G395" s="7" t="str">
        <f aca="false">Hierarchy!G404</f>
        <v>PER</v>
      </c>
    </row>
    <row r="396" customFormat="false" ht="15" hidden="false" customHeight="false" outlineLevel="0" collapsed="false">
      <c r="F396" s="16" t="str">
        <f aca="false">Hierarchy!A405</f>
        <v>Lima</v>
      </c>
    </row>
    <row r="397" customFormat="false" ht="15" hidden="false" customHeight="false" outlineLevel="0" collapsed="false">
      <c r="D397" s="7" t="str">
        <f aca="false">Hierarchy!A406</f>
        <v>Saint Barthélemy</v>
      </c>
      <c r="G397" s="7" t="str">
        <f aca="false">Hierarchy!G406</f>
        <v>BLM</v>
      </c>
    </row>
    <row r="398" customFormat="false" ht="15" hidden="false" customHeight="false" outlineLevel="0" collapsed="false">
      <c r="D398" s="7" t="str">
        <f aca="false">Hierarchy!A407</f>
        <v>Saint Kitts and Nevis</v>
      </c>
      <c r="G398" s="7" t="str">
        <f aca="false">Hierarchy!G407</f>
        <v>KNA</v>
      </c>
    </row>
    <row r="399" customFormat="false" ht="15" hidden="false" customHeight="false" outlineLevel="0" collapsed="false">
      <c r="D399" s="7" t="str">
        <f aca="false">Hierarchy!A408</f>
        <v>Saint Lucia</v>
      </c>
      <c r="G399" s="7" t="str">
        <f aca="false">Hierarchy!G408</f>
        <v>LCA</v>
      </c>
    </row>
    <row r="400" customFormat="false" ht="15" hidden="false" customHeight="false" outlineLevel="0" collapsed="false">
      <c r="D400" s="7" t="str">
        <f aca="false">Hierarchy!A409</f>
        <v>Saint Martin (French part)</v>
      </c>
      <c r="G400" s="7" t="str">
        <f aca="false">Hierarchy!G409</f>
        <v>MAF</v>
      </c>
    </row>
    <row r="401" customFormat="false" ht="15" hidden="false" customHeight="false" outlineLevel="0" collapsed="false">
      <c r="D401" s="7" t="str">
        <f aca="false">Hierarchy!A410</f>
        <v>Saint Vincent and the Grenadines</v>
      </c>
      <c r="G401" s="7" t="str">
        <f aca="false">Hierarchy!G410</f>
        <v>VCT</v>
      </c>
    </row>
    <row r="402" customFormat="false" ht="15" hidden="false" customHeight="false" outlineLevel="0" collapsed="false">
      <c r="D402" s="7" t="str">
        <f aca="false">Hierarchy!A411</f>
        <v>Sint Maarten (Dutch part)</v>
      </c>
      <c r="G402" s="7" t="str">
        <f aca="false">Hierarchy!G411</f>
        <v>SXM</v>
      </c>
    </row>
    <row r="403" customFormat="false" ht="15" hidden="false" customHeight="false" outlineLevel="0" collapsed="false">
      <c r="D403" s="7" t="str">
        <f aca="false">Hierarchy!A412</f>
        <v>Suriname</v>
      </c>
      <c r="G403" s="7" t="str">
        <f aca="false">Hierarchy!G412</f>
        <v>SUR</v>
      </c>
    </row>
    <row r="404" customFormat="false" ht="15" hidden="false" customHeight="false" outlineLevel="0" collapsed="false">
      <c r="D404" s="7" t="str">
        <f aca="false">Hierarchy!A413</f>
        <v>Trinidad and Tobago</v>
      </c>
      <c r="G404" s="7" t="str">
        <f aca="false">Hierarchy!G413</f>
        <v>TTO</v>
      </c>
    </row>
    <row r="405" customFormat="false" ht="15" hidden="false" customHeight="false" outlineLevel="0" collapsed="false">
      <c r="D405" s="7" t="str">
        <f aca="false">Hierarchy!A414</f>
        <v>Turks and Caicos Islands</v>
      </c>
      <c r="G405" s="7" t="str">
        <f aca="false">Hierarchy!G414</f>
        <v>TCA</v>
      </c>
    </row>
    <row r="406" customFormat="false" ht="15" hidden="false" customHeight="false" outlineLevel="0" collapsed="false">
      <c r="D406" s="7" t="str">
        <f aca="false">Hierarchy!A415</f>
        <v>Uruguay</v>
      </c>
      <c r="G406" s="7" t="str">
        <f aca="false">Hierarchy!G415</f>
        <v>URY</v>
      </c>
    </row>
    <row r="407" customFormat="false" ht="15" hidden="false" customHeight="false" outlineLevel="0" collapsed="false">
      <c r="D407" s="7" t="str">
        <f aca="false">Hierarchy!A416</f>
        <v>Venezuela</v>
      </c>
      <c r="G407" s="7" t="str">
        <f aca="false">Hierarchy!G416</f>
        <v>VEN</v>
      </c>
    </row>
    <row r="408" customFormat="false" ht="15" hidden="false" customHeight="false" outlineLevel="0" collapsed="false">
      <c r="A408" s="11"/>
      <c r="B408" s="12" t="str">
        <f aca="false">Hierarchy!A417</f>
        <v>EMEA (Europe, Middle East, and Africa)</v>
      </c>
      <c r="C408" s="11"/>
      <c r="D408" s="11"/>
      <c r="E408" s="11"/>
      <c r="F408" s="11"/>
      <c r="G408" s="11"/>
    </row>
    <row r="409" customFormat="false" ht="15" hidden="false" customHeight="false" outlineLevel="0" collapsed="false">
      <c r="A409" s="13"/>
      <c r="B409" s="13"/>
      <c r="C409" s="3" t="str">
        <f aca="false">Hierarchy!A421</f>
        <v>Europe</v>
      </c>
      <c r="D409" s="13"/>
      <c r="E409" s="13"/>
      <c r="F409" s="13"/>
      <c r="G409" s="13"/>
    </row>
    <row r="410" customFormat="false" ht="15" hidden="false" customHeight="false" outlineLevel="0" collapsed="false">
      <c r="D410" s="7" t="str">
        <f aca="false">Hierarchy!A441</f>
        <v>United Kingdom</v>
      </c>
      <c r="G410" s="7" t="str">
        <f aca="false">Hierarchy!G441</f>
        <v>GBR</v>
      </c>
    </row>
    <row r="411" customFormat="false" ht="15" hidden="false" customHeight="false" outlineLevel="0" collapsed="false">
      <c r="E411" s="15" t="str">
        <f aca="false">Hierarchy!A442</f>
        <v>England</v>
      </c>
    </row>
    <row r="412" customFormat="false" ht="15" hidden="false" customHeight="false" outlineLevel="0" collapsed="false">
      <c r="E412" s="14" t="str">
        <f aca="false">Hierarchy!A443</f>
        <v>East Midlands</v>
      </c>
    </row>
    <row r="413" customFormat="false" ht="15" hidden="false" customHeight="false" outlineLevel="0" collapsed="false">
      <c r="E413" s="14" t="str">
        <f aca="false">Hierarchy!A444</f>
        <v>East of England</v>
      </c>
    </row>
    <row r="414" customFormat="false" ht="15" hidden="false" customHeight="false" outlineLevel="0" collapsed="false">
      <c r="E414" s="14" t="str">
        <f aca="false">Hierarchy!A445</f>
        <v>Greater London</v>
      </c>
    </row>
    <row r="415" customFormat="false" ht="15" hidden="false" customHeight="false" outlineLevel="0" collapsed="false">
      <c r="E415" s="14" t="str">
        <f aca="false">Hierarchy!A446</f>
        <v>North East England</v>
      </c>
    </row>
    <row r="416" customFormat="false" ht="15" hidden="false" customHeight="false" outlineLevel="0" collapsed="false">
      <c r="E416" s="14" t="str">
        <f aca="false">Hierarchy!A447</f>
        <v>North West England</v>
      </c>
    </row>
    <row r="417" customFormat="false" ht="15" hidden="false" customHeight="false" outlineLevel="0" collapsed="false">
      <c r="E417" s="14" t="str">
        <f aca="false">Hierarchy!A448</f>
        <v>South East England</v>
      </c>
    </row>
    <row r="418" customFormat="false" ht="15" hidden="false" customHeight="false" outlineLevel="0" collapsed="false">
      <c r="E418" s="14" t="str">
        <f aca="false">Hierarchy!A449</f>
        <v>South West England</v>
      </c>
    </row>
    <row r="419" customFormat="false" ht="15" hidden="false" customHeight="false" outlineLevel="0" collapsed="false">
      <c r="E419" s="14" t="str">
        <f aca="false">Hierarchy!A450</f>
        <v>West Midlands</v>
      </c>
    </row>
    <row r="420" customFormat="false" ht="15" hidden="false" customHeight="false" outlineLevel="0" collapsed="false">
      <c r="E420" s="14" t="str">
        <f aca="false">Hierarchy!A451</f>
        <v>Yorkshire and the Humber</v>
      </c>
    </row>
    <row r="421" customFormat="false" ht="15" hidden="false" customHeight="false" outlineLevel="0" collapsed="false">
      <c r="F421" s="16" t="str">
        <f aca="false">Hierarchy!A452</f>
        <v>Birmingham (UK)</v>
      </c>
    </row>
    <row r="422" customFormat="false" ht="15" hidden="false" customHeight="false" outlineLevel="0" collapsed="false">
      <c r="F422" s="16" t="str">
        <f aca="false">Hierarchy!A453</f>
        <v>Bristol</v>
      </c>
    </row>
    <row r="423" customFormat="false" ht="15" hidden="false" customHeight="false" outlineLevel="0" collapsed="false">
      <c r="F423" s="16" t="str">
        <f aca="false">Hierarchy!A454</f>
        <v>Leeds</v>
      </c>
    </row>
    <row r="424" customFormat="false" ht="15" hidden="false" customHeight="false" outlineLevel="0" collapsed="false">
      <c r="F424" s="16" t="str">
        <f aca="false">Hierarchy!A455</f>
        <v>Liverpool</v>
      </c>
    </row>
    <row r="425" customFormat="false" ht="15" hidden="false" customHeight="false" outlineLevel="0" collapsed="false">
      <c r="F425" s="16" t="str">
        <f aca="false">Hierarchy!A456</f>
        <v>London</v>
      </c>
    </row>
    <row r="426" customFormat="false" ht="15" hidden="false" customHeight="false" outlineLevel="0" collapsed="false">
      <c r="F426" s="16" t="str">
        <f aca="false">Hierarchy!A457</f>
        <v>Manchester</v>
      </c>
    </row>
    <row r="427" customFormat="false" ht="15" hidden="false" customHeight="false" outlineLevel="0" collapsed="false">
      <c r="E427" s="15" t="str">
        <f aca="false">Hierarchy!A458</f>
        <v>Northern Ireland</v>
      </c>
    </row>
    <row r="428" customFormat="false" ht="15" hidden="false" customHeight="false" outlineLevel="0" collapsed="false">
      <c r="F428" s="16" t="str">
        <f aca="false">Hierarchy!A459</f>
        <v>Belfast</v>
      </c>
    </row>
    <row r="429" customFormat="false" ht="15" hidden="false" customHeight="false" outlineLevel="0" collapsed="false">
      <c r="E429" s="15" t="str">
        <f aca="false">Hierarchy!A460</f>
        <v>Scotland</v>
      </c>
    </row>
    <row r="430" customFormat="false" ht="15" hidden="false" customHeight="false" outlineLevel="0" collapsed="false">
      <c r="F430" s="16" t="str">
        <f aca="false">Hierarchy!A461</f>
        <v>Edinburgh</v>
      </c>
    </row>
    <row r="431" customFormat="false" ht="15" hidden="false" customHeight="false" outlineLevel="0" collapsed="false">
      <c r="F431" s="16" t="str">
        <f aca="false">Hierarchy!A462</f>
        <v>Glasgow</v>
      </c>
    </row>
    <row r="432" customFormat="false" ht="15" hidden="false" customHeight="false" outlineLevel="0" collapsed="false">
      <c r="E432" s="15" t="str">
        <f aca="false">Hierarchy!A463</f>
        <v>Wales</v>
      </c>
    </row>
    <row r="433" customFormat="false" ht="15" hidden="false" customHeight="false" outlineLevel="0" collapsed="false">
      <c r="F433" s="16" t="str">
        <f aca="false">Hierarchy!A464</f>
        <v>Cardiff</v>
      </c>
    </row>
    <row r="434" customFormat="false" ht="15" hidden="false" customHeight="false" outlineLevel="0" collapsed="false">
      <c r="D434" s="7" t="str">
        <f aca="false">Hierarchy!A465</f>
        <v>Germany</v>
      </c>
      <c r="G434" s="7" t="str">
        <f aca="false">Hierarchy!G465</f>
        <v>DEU</v>
      </c>
    </row>
    <row r="435" customFormat="false" ht="15" hidden="false" customHeight="false" outlineLevel="0" collapsed="false">
      <c r="E435" s="15" t="str">
        <f aca="false">Hierarchy!A466</f>
        <v>Baden-Württemberg</v>
      </c>
    </row>
    <row r="436" customFormat="false" ht="15" hidden="false" customHeight="false" outlineLevel="0" collapsed="false">
      <c r="F436" s="16" t="str">
        <f aca="false">Hierarchy!A467</f>
        <v>Stuttgart</v>
      </c>
    </row>
    <row r="437" customFormat="false" ht="15" hidden="false" customHeight="false" outlineLevel="0" collapsed="false">
      <c r="E437" s="15" t="str">
        <f aca="false">Hierarchy!A468</f>
        <v>Bavaria</v>
      </c>
    </row>
    <row r="438" customFormat="false" ht="15" hidden="false" customHeight="false" outlineLevel="0" collapsed="false">
      <c r="F438" s="16" t="str">
        <f aca="false">Hierarchy!A469</f>
        <v>Munich</v>
      </c>
    </row>
    <row r="439" customFormat="false" ht="15" hidden="false" customHeight="false" outlineLevel="0" collapsed="false">
      <c r="E439" s="15" t="str">
        <f aca="false">Hierarchy!A470</f>
        <v>Berlin</v>
      </c>
    </row>
    <row r="440" customFormat="false" ht="15" hidden="false" customHeight="false" outlineLevel="0" collapsed="false">
      <c r="E440" s="15" t="str">
        <f aca="false">Hierarchy!A471</f>
        <v>Brandenburg</v>
      </c>
    </row>
    <row r="441" customFormat="false" ht="15" hidden="false" customHeight="false" outlineLevel="0" collapsed="false">
      <c r="E441" s="15" t="str">
        <f aca="false">Hierarchy!A472</f>
        <v>Bremen</v>
      </c>
    </row>
    <row r="442" customFormat="false" ht="15" hidden="false" customHeight="false" outlineLevel="0" collapsed="false">
      <c r="E442" s="15" t="str">
        <f aca="false">Hierarchy!A473</f>
        <v>Hamburg</v>
      </c>
    </row>
    <row r="443" customFormat="false" ht="15" hidden="false" customHeight="false" outlineLevel="0" collapsed="false">
      <c r="E443" s="15" t="str">
        <f aca="false">Hierarchy!A474</f>
        <v>Hesse</v>
      </c>
    </row>
    <row r="444" customFormat="false" ht="15" hidden="false" customHeight="false" outlineLevel="0" collapsed="false">
      <c r="F444" s="16" t="str">
        <f aca="false">Hierarchy!A475</f>
        <v>Frankfurt</v>
      </c>
    </row>
    <row r="445" customFormat="false" ht="15" hidden="false" customHeight="false" outlineLevel="0" collapsed="false">
      <c r="E445" s="15" t="str">
        <f aca="false">Hierarchy!A476</f>
        <v>Lower Saxony</v>
      </c>
    </row>
    <row r="446" customFormat="false" ht="15" hidden="false" customHeight="false" outlineLevel="0" collapsed="false">
      <c r="E446" s="15" t="str">
        <f aca="false">Hierarchy!A477</f>
        <v>Mecklenburg-Western Pomerania</v>
      </c>
    </row>
    <row r="447" customFormat="false" ht="15" hidden="false" customHeight="false" outlineLevel="0" collapsed="false">
      <c r="E447" s="15" t="str">
        <f aca="false">Hierarchy!A478</f>
        <v>North Rhine-Westphalia</v>
      </c>
    </row>
    <row r="448" customFormat="false" ht="15" hidden="false" customHeight="false" outlineLevel="0" collapsed="false">
      <c r="F448" s="16" t="str">
        <f aca="false">Hierarchy!A479</f>
        <v>Cologne</v>
      </c>
    </row>
    <row r="449" customFormat="false" ht="15" hidden="false" customHeight="false" outlineLevel="0" collapsed="false">
      <c r="F449" s="16" t="str">
        <f aca="false">Hierarchy!A480</f>
        <v>Düsseldorf</v>
      </c>
    </row>
    <row r="450" customFormat="false" ht="15" hidden="false" customHeight="false" outlineLevel="0" collapsed="false">
      <c r="E450" s="15" t="str">
        <f aca="false">Hierarchy!A481</f>
        <v>Rhineland-Palatinate</v>
      </c>
    </row>
    <row r="451" customFormat="false" ht="15" hidden="false" customHeight="false" outlineLevel="0" collapsed="false">
      <c r="E451" s="15" t="str">
        <f aca="false">Hierarchy!A482</f>
        <v>Saarland</v>
      </c>
    </row>
    <row r="452" customFormat="false" ht="15" hidden="false" customHeight="false" outlineLevel="0" collapsed="false">
      <c r="E452" s="15" t="str">
        <f aca="false">Hierarchy!A483</f>
        <v>Saxony</v>
      </c>
    </row>
    <row r="453" customFormat="false" ht="15" hidden="false" customHeight="false" outlineLevel="0" collapsed="false">
      <c r="E453" s="15" t="str">
        <f aca="false">Hierarchy!A484</f>
        <v>Saxony-Anhalt</v>
      </c>
    </row>
    <row r="454" customFormat="false" ht="15" hidden="false" customHeight="false" outlineLevel="0" collapsed="false">
      <c r="E454" s="15" t="str">
        <f aca="false">Hierarchy!A485</f>
        <v>Schleswig-Holstein</v>
      </c>
    </row>
    <row r="455" customFormat="false" ht="15" hidden="false" customHeight="false" outlineLevel="0" collapsed="false">
      <c r="E455" s="15" t="str">
        <f aca="false">Hierarchy!A486</f>
        <v>Thuringia</v>
      </c>
    </row>
    <row r="456" customFormat="false" ht="15" hidden="false" customHeight="false" outlineLevel="0" collapsed="false">
      <c r="D456" s="7" t="str">
        <f aca="false">Hierarchy!A487</f>
        <v>France</v>
      </c>
      <c r="G456" s="7" t="str">
        <f aca="false">Hierarchy!G487</f>
        <v>FRA</v>
      </c>
    </row>
    <row r="457" customFormat="false" ht="15" hidden="false" customHeight="false" outlineLevel="0" collapsed="false">
      <c r="E457" s="15" t="str">
        <f aca="false">Hierarchy!A488</f>
        <v>Auvergne-Rhône-Alpes</v>
      </c>
    </row>
    <row r="458" customFormat="false" ht="15" hidden="false" customHeight="false" outlineLevel="0" collapsed="false">
      <c r="F458" s="16" t="str">
        <f aca="false">Hierarchy!A489</f>
        <v>Lyon</v>
      </c>
    </row>
    <row r="459" customFormat="false" ht="15" hidden="false" customHeight="false" outlineLevel="0" collapsed="false">
      <c r="E459" s="15" t="str">
        <f aca="false">Hierarchy!A490</f>
        <v>Bourgogne-Franche-Comté</v>
      </c>
    </row>
    <row r="460" customFormat="false" ht="15" hidden="false" customHeight="false" outlineLevel="0" collapsed="false">
      <c r="E460" s="15" t="str">
        <f aca="false">Hierarchy!A491</f>
        <v>Brittany</v>
      </c>
    </row>
    <row r="461" customFormat="false" ht="15" hidden="false" customHeight="false" outlineLevel="0" collapsed="false">
      <c r="E461" s="15" t="str">
        <f aca="false">Hierarchy!A492</f>
        <v>Centre-Val de Loire</v>
      </c>
    </row>
    <row r="462" customFormat="false" ht="15" hidden="false" customHeight="false" outlineLevel="0" collapsed="false">
      <c r="E462" s="15" t="str">
        <f aca="false">Hierarchy!A493</f>
        <v>Corsica</v>
      </c>
    </row>
    <row r="463" customFormat="false" ht="15" hidden="false" customHeight="false" outlineLevel="0" collapsed="false">
      <c r="E463" s="15" t="str">
        <f aca="false">Hierarchy!A494</f>
        <v>Grand Est</v>
      </c>
    </row>
    <row r="464" customFormat="false" ht="15" hidden="false" customHeight="false" outlineLevel="0" collapsed="false">
      <c r="E464" s="15" t="str">
        <f aca="false">Hierarchy!A495</f>
        <v>Hauts-de-France</v>
      </c>
    </row>
    <row r="465" customFormat="false" ht="15" hidden="false" customHeight="false" outlineLevel="0" collapsed="false">
      <c r="E465" s="15" t="str">
        <f aca="false">Hierarchy!A496</f>
        <v>Normandy</v>
      </c>
    </row>
    <row r="466" customFormat="false" ht="15" hidden="false" customHeight="false" outlineLevel="0" collapsed="false">
      <c r="E466" s="15" t="str">
        <f aca="false">Hierarchy!A497</f>
        <v>Nouvelle-Aquitaine</v>
      </c>
    </row>
    <row r="467" customFormat="false" ht="15" hidden="false" customHeight="false" outlineLevel="0" collapsed="false">
      <c r="E467" s="15" t="str">
        <f aca="false">Hierarchy!A498</f>
        <v>Occitanie</v>
      </c>
    </row>
    <row r="468" customFormat="false" ht="15" hidden="false" customHeight="false" outlineLevel="0" collapsed="false">
      <c r="E468" s="15" t="str">
        <f aca="false">Hierarchy!A499</f>
        <v>Pays de la Loire</v>
      </c>
    </row>
    <row r="469" customFormat="false" ht="15" hidden="false" customHeight="false" outlineLevel="0" collapsed="false">
      <c r="E469" s="15" t="str">
        <f aca="false">Hierarchy!A500</f>
        <v>Provence-Alpes-Côte d'Azur</v>
      </c>
    </row>
    <row r="470" customFormat="false" ht="15" hidden="false" customHeight="false" outlineLevel="0" collapsed="false">
      <c r="F470" s="16" t="str">
        <f aca="false">Hierarchy!A501</f>
        <v>Marseille</v>
      </c>
    </row>
    <row r="471" customFormat="false" ht="15" hidden="false" customHeight="false" outlineLevel="0" collapsed="false">
      <c r="F471" s="16" t="str">
        <f aca="false">Hierarchy!A502</f>
        <v>Nice</v>
      </c>
    </row>
    <row r="472" customFormat="false" ht="15" hidden="false" customHeight="false" outlineLevel="0" collapsed="false">
      <c r="E472" s="15" t="str">
        <f aca="false">Hierarchy!A503</f>
        <v>Île-de-France</v>
      </c>
    </row>
    <row r="473" customFormat="false" ht="15" hidden="false" customHeight="false" outlineLevel="0" collapsed="false">
      <c r="F473" s="16" t="str">
        <f aca="false">Hierarchy!A504</f>
        <v>Paris</v>
      </c>
    </row>
    <row r="474" customFormat="false" ht="15" hidden="false" customHeight="false" outlineLevel="0" collapsed="false">
      <c r="D474" s="7" t="str">
        <f aca="false">Hierarchy!A505</f>
        <v>Albania</v>
      </c>
      <c r="G474" s="7" t="str">
        <f aca="false">Hierarchy!G505</f>
        <v>ALB</v>
      </c>
    </row>
    <row r="475" customFormat="false" ht="15" hidden="false" customHeight="false" outlineLevel="0" collapsed="false">
      <c r="D475" s="7" t="str">
        <f aca="false">Hierarchy!A506</f>
        <v>Andorra</v>
      </c>
      <c r="G475" s="7" t="str">
        <f aca="false">Hierarchy!G506</f>
        <v>AND</v>
      </c>
    </row>
    <row r="476" customFormat="false" ht="15" hidden="false" customHeight="false" outlineLevel="0" collapsed="false">
      <c r="D476" s="7" t="str">
        <f aca="false">Hierarchy!A507</f>
        <v>Armenia</v>
      </c>
      <c r="G476" s="7" t="str">
        <f aca="false">Hierarchy!G507</f>
        <v>ARM</v>
      </c>
    </row>
    <row r="477" customFormat="false" ht="15" hidden="false" customHeight="false" outlineLevel="0" collapsed="false">
      <c r="D477" s="7" t="str">
        <f aca="false">Hierarchy!A508</f>
        <v>Austria</v>
      </c>
      <c r="G477" s="7" t="str">
        <f aca="false">Hierarchy!G508</f>
        <v>AUT</v>
      </c>
    </row>
    <row r="478" customFormat="false" ht="15" hidden="false" customHeight="false" outlineLevel="0" collapsed="false">
      <c r="E478" s="15" t="str">
        <f aca="false">Hierarchy!A509</f>
        <v>Burgenland</v>
      </c>
    </row>
    <row r="479" customFormat="false" ht="15" hidden="false" customHeight="false" outlineLevel="0" collapsed="false">
      <c r="E479" s="15" t="str">
        <f aca="false">Hierarchy!A510</f>
        <v>Carinthia</v>
      </c>
    </row>
    <row r="480" customFormat="false" ht="15" hidden="false" customHeight="false" outlineLevel="0" collapsed="false">
      <c r="E480" s="15" t="str">
        <f aca="false">Hierarchy!A511</f>
        <v>Lower Austria</v>
      </c>
    </row>
    <row r="481" customFormat="false" ht="15" hidden="false" customHeight="false" outlineLevel="0" collapsed="false">
      <c r="E481" s="15" t="str">
        <f aca="false">Hierarchy!A512</f>
        <v>Salzburg</v>
      </c>
    </row>
    <row r="482" customFormat="false" ht="15" hidden="false" customHeight="false" outlineLevel="0" collapsed="false">
      <c r="E482" s="15" t="str">
        <f aca="false">Hierarchy!A513</f>
        <v>Styria</v>
      </c>
    </row>
    <row r="483" customFormat="false" ht="15" hidden="false" customHeight="false" outlineLevel="0" collapsed="false">
      <c r="E483" s="15" t="str">
        <f aca="false">Hierarchy!A514</f>
        <v>Tyrol</v>
      </c>
    </row>
    <row r="484" customFormat="false" ht="15" hidden="false" customHeight="false" outlineLevel="0" collapsed="false">
      <c r="E484" s="15" t="str">
        <f aca="false">Hierarchy!A515</f>
        <v>Upper Austria</v>
      </c>
    </row>
    <row r="485" customFormat="false" ht="15" hidden="false" customHeight="false" outlineLevel="0" collapsed="false">
      <c r="E485" s="15" t="str">
        <f aca="false">Hierarchy!A516</f>
        <v>Vienna (state)</v>
      </c>
    </row>
    <row r="486" customFormat="false" ht="15" hidden="false" customHeight="false" outlineLevel="0" collapsed="false">
      <c r="E486" s="15" t="str">
        <f aca="false">Hierarchy!A517</f>
        <v>Vorarlberg</v>
      </c>
    </row>
    <row r="487" customFormat="false" ht="15" hidden="false" customHeight="false" outlineLevel="0" collapsed="false">
      <c r="F487" s="16" t="str">
        <f aca="false">Hierarchy!A518</f>
        <v>Vienna</v>
      </c>
    </row>
    <row r="488" customFormat="false" ht="15" hidden="false" customHeight="false" outlineLevel="0" collapsed="false">
      <c r="D488" s="7" t="str">
        <f aca="false">Hierarchy!A519</f>
        <v>Azerbaijan</v>
      </c>
      <c r="G488" s="7" t="str">
        <f aca="false">Hierarchy!G519</f>
        <v>AZE</v>
      </c>
    </row>
    <row r="489" customFormat="false" ht="15" hidden="false" customHeight="false" outlineLevel="0" collapsed="false">
      <c r="D489" s="7" t="str">
        <f aca="false">Hierarchy!A520</f>
        <v>Belarus</v>
      </c>
      <c r="G489" s="7" t="str">
        <f aca="false">Hierarchy!G520</f>
        <v>BLR</v>
      </c>
    </row>
    <row r="490" customFormat="false" ht="15" hidden="false" customHeight="false" outlineLevel="0" collapsed="false">
      <c r="D490" s="7" t="str">
        <f aca="false">Hierarchy!A521</f>
        <v>Belgium</v>
      </c>
      <c r="G490" s="7" t="str">
        <f aca="false">Hierarchy!G521</f>
        <v>BEL</v>
      </c>
    </row>
    <row r="491" customFormat="false" ht="15" hidden="false" customHeight="false" outlineLevel="0" collapsed="false">
      <c r="E491" s="15" t="str">
        <f aca="false">Hierarchy!A522</f>
        <v>Brussels-Capital Region</v>
      </c>
    </row>
    <row r="492" customFormat="false" ht="15" hidden="false" customHeight="false" outlineLevel="0" collapsed="false">
      <c r="E492" s="15" t="str">
        <f aca="false">Hierarchy!A523</f>
        <v>Flanders</v>
      </c>
    </row>
    <row r="493" customFormat="false" ht="15" hidden="false" customHeight="false" outlineLevel="0" collapsed="false">
      <c r="E493" s="15" t="str">
        <f aca="false">Hierarchy!A524</f>
        <v>Wallonia</v>
      </c>
    </row>
    <row r="494" customFormat="false" ht="15" hidden="false" customHeight="false" outlineLevel="0" collapsed="false">
      <c r="F494" s="16" t="str">
        <f aca="false">Hierarchy!A525</f>
        <v>Antwerp</v>
      </c>
    </row>
    <row r="495" customFormat="false" ht="15" hidden="false" customHeight="false" outlineLevel="0" collapsed="false">
      <c r="F495" s="16" t="str">
        <f aca="false">Hierarchy!A526</f>
        <v>Brussels</v>
      </c>
    </row>
    <row r="496" customFormat="false" ht="15" hidden="false" customHeight="false" outlineLevel="0" collapsed="false">
      <c r="D496" s="7" t="str">
        <f aca="false">Hierarchy!A527</f>
        <v>Bosnia and Herzegovina</v>
      </c>
      <c r="G496" s="7" t="str">
        <f aca="false">Hierarchy!G527</f>
        <v>BIH</v>
      </c>
    </row>
    <row r="497" customFormat="false" ht="15" hidden="false" customHeight="false" outlineLevel="0" collapsed="false">
      <c r="D497" s="7" t="str">
        <f aca="false">Hierarchy!A528</f>
        <v>Bulgaria</v>
      </c>
      <c r="G497" s="7" t="str">
        <f aca="false">Hierarchy!G528</f>
        <v>BGR</v>
      </c>
    </row>
    <row r="498" customFormat="false" ht="15" hidden="false" customHeight="false" outlineLevel="0" collapsed="false">
      <c r="D498" s="7" t="str">
        <f aca="false">Hierarchy!A529</f>
        <v>Croatia</v>
      </c>
      <c r="G498" s="7" t="str">
        <f aca="false">Hierarchy!G529</f>
        <v>HRV</v>
      </c>
    </row>
    <row r="499" customFormat="false" ht="15" hidden="false" customHeight="false" outlineLevel="0" collapsed="false">
      <c r="D499" s="7" t="str">
        <f aca="false">Hierarchy!A530</f>
        <v>Cyprus</v>
      </c>
      <c r="G499" s="7" t="str">
        <f aca="false">Hierarchy!G530</f>
        <v>CYP</v>
      </c>
    </row>
    <row r="500" customFormat="false" ht="15" hidden="false" customHeight="false" outlineLevel="0" collapsed="false">
      <c r="D500" s="7" t="str">
        <f aca="false">Hierarchy!A531</f>
        <v>Czech Republic</v>
      </c>
      <c r="G500" s="7" t="str">
        <f aca="false">Hierarchy!G531</f>
        <v>CZE</v>
      </c>
    </row>
    <row r="501" customFormat="false" ht="15" hidden="false" customHeight="false" outlineLevel="0" collapsed="false">
      <c r="F501" s="16" t="str">
        <f aca="false">Hierarchy!A532</f>
        <v>Prague</v>
      </c>
    </row>
    <row r="502" customFormat="false" ht="15" hidden="false" customHeight="false" outlineLevel="0" collapsed="false">
      <c r="D502" s="7" t="str">
        <f aca="false">Hierarchy!A533</f>
        <v>Denmark</v>
      </c>
      <c r="G502" s="7" t="str">
        <f aca="false">Hierarchy!G533</f>
        <v>DNK</v>
      </c>
    </row>
    <row r="503" customFormat="false" ht="15" hidden="false" customHeight="false" outlineLevel="0" collapsed="false">
      <c r="F503" s="16" t="str">
        <f aca="false">Hierarchy!A534</f>
        <v>Copenhagen</v>
      </c>
    </row>
    <row r="504" customFormat="false" ht="15" hidden="false" customHeight="false" outlineLevel="0" collapsed="false">
      <c r="D504" s="7" t="str">
        <f aca="false">Hierarchy!A535</f>
        <v>Estonia</v>
      </c>
      <c r="G504" s="7" t="str">
        <f aca="false">Hierarchy!G535</f>
        <v>EST</v>
      </c>
    </row>
    <row r="505" customFormat="false" ht="15" hidden="false" customHeight="false" outlineLevel="0" collapsed="false">
      <c r="D505" s="7" t="str">
        <f aca="false">Hierarchy!A536</f>
        <v>Faroe Islands</v>
      </c>
      <c r="G505" s="7" t="str">
        <f aca="false">Hierarchy!G536</f>
        <v>FRO</v>
      </c>
    </row>
    <row r="506" customFormat="false" ht="15" hidden="false" customHeight="false" outlineLevel="0" collapsed="false">
      <c r="D506" s="7" t="str">
        <f aca="false">Hierarchy!A537</f>
        <v>Finland</v>
      </c>
      <c r="G506" s="7" t="str">
        <f aca="false">Hierarchy!G537</f>
        <v>FIN</v>
      </c>
    </row>
    <row r="507" customFormat="false" ht="15" hidden="false" customHeight="false" outlineLevel="0" collapsed="false">
      <c r="F507" s="16" t="str">
        <f aca="false">Hierarchy!A538</f>
        <v>Helsinki</v>
      </c>
    </row>
    <row r="508" customFormat="false" ht="15" hidden="false" customHeight="false" outlineLevel="0" collapsed="false">
      <c r="D508" s="7" t="str">
        <f aca="false">Hierarchy!A539</f>
        <v>Georgia (Country)</v>
      </c>
      <c r="G508" s="7" t="str">
        <f aca="false">Hierarchy!G539</f>
        <v>GEO</v>
      </c>
    </row>
    <row r="509" customFormat="false" ht="15" hidden="false" customHeight="false" outlineLevel="0" collapsed="false">
      <c r="D509" s="7" t="str">
        <f aca="false">Hierarchy!A540</f>
        <v>Gibraltar</v>
      </c>
      <c r="G509" s="7" t="str">
        <f aca="false">Hierarchy!G540</f>
        <v>GIB</v>
      </c>
    </row>
    <row r="510" customFormat="false" ht="15" hidden="false" customHeight="false" outlineLevel="0" collapsed="false">
      <c r="D510" s="7" t="str">
        <f aca="false">Hierarchy!A541</f>
        <v>Greece</v>
      </c>
      <c r="G510" s="7" t="str">
        <f aca="false">Hierarchy!G541</f>
        <v>GRC</v>
      </c>
    </row>
    <row r="511" customFormat="false" ht="15" hidden="false" customHeight="false" outlineLevel="0" collapsed="false">
      <c r="F511" s="16" t="str">
        <f aca="false">Hierarchy!A542</f>
        <v>Athens</v>
      </c>
    </row>
    <row r="512" customFormat="false" ht="15" hidden="false" customHeight="false" outlineLevel="0" collapsed="false">
      <c r="D512" s="7" t="str">
        <f aca="false">Hierarchy!A543</f>
        <v>Guernsey</v>
      </c>
      <c r="G512" s="7" t="str">
        <f aca="false">Hierarchy!G543</f>
        <v>GGY</v>
      </c>
    </row>
    <row r="513" customFormat="false" ht="15" hidden="false" customHeight="false" outlineLevel="0" collapsed="false">
      <c r="D513" s="7" t="str">
        <f aca="false">Hierarchy!A544</f>
        <v>Hungary</v>
      </c>
      <c r="G513" s="7" t="str">
        <f aca="false">Hierarchy!G544</f>
        <v>HUN</v>
      </c>
    </row>
    <row r="514" customFormat="false" ht="15" hidden="false" customHeight="false" outlineLevel="0" collapsed="false">
      <c r="F514" s="16" t="str">
        <f aca="false">Hierarchy!A545</f>
        <v>Budapest</v>
      </c>
    </row>
    <row r="515" customFormat="false" ht="15" hidden="false" customHeight="false" outlineLevel="0" collapsed="false">
      <c r="D515" s="7" t="str">
        <f aca="false">Hierarchy!A546</f>
        <v>Iceland</v>
      </c>
      <c r="G515" s="7" t="str">
        <f aca="false">Hierarchy!G546</f>
        <v>ISL</v>
      </c>
    </row>
    <row r="516" customFormat="false" ht="15" hidden="false" customHeight="false" outlineLevel="0" collapsed="false">
      <c r="D516" s="7" t="str">
        <f aca="false">Hierarchy!A547</f>
        <v>Ireland</v>
      </c>
      <c r="G516" s="7" t="str">
        <f aca="false">Hierarchy!G547</f>
        <v>IRL</v>
      </c>
    </row>
    <row r="517" customFormat="false" ht="15" hidden="false" customHeight="false" outlineLevel="0" collapsed="false">
      <c r="E517" s="15" t="str">
        <f aca="false">Hierarchy!A548</f>
        <v>Connacht</v>
      </c>
    </row>
    <row r="518" customFormat="false" ht="15" hidden="false" customHeight="false" outlineLevel="0" collapsed="false">
      <c r="E518" s="15" t="str">
        <f aca="false">Hierarchy!A549</f>
        <v>Leinster</v>
      </c>
    </row>
    <row r="519" customFormat="false" ht="15" hidden="false" customHeight="false" outlineLevel="0" collapsed="false">
      <c r="E519" s="15" t="str">
        <f aca="false">Hierarchy!A550</f>
        <v>Munster</v>
      </c>
    </row>
    <row r="520" customFormat="false" ht="15" hidden="false" customHeight="false" outlineLevel="0" collapsed="false">
      <c r="E520" s="15" t="str">
        <f aca="false">Hierarchy!A551</f>
        <v>Ulster (Ireland)</v>
      </c>
    </row>
    <row r="521" customFormat="false" ht="15" hidden="false" customHeight="false" outlineLevel="0" collapsed="false">
      <c r="F521" s="16" t="str">
        <f aca="false">Hierarchy!A552</f>
        <v>Dublin</v>
      </c>
    </row>
    <row r="522" customFormat="false" ht="15" hidden="false" customHeight="false" outlineLevel="0" collapsed="false">
      <c r="D522" s="7" t="str">
        <f aca="false">Hierarchy!A553</f>
        <v>Isle of Man</v>
      </c>
      <c r="G522" s="7" t="str">
        <f aca="false">Hierarchy!G553</f>
        <v>IMN</v>
      </c>
    </row>
    <row r="523" customFormat="false" ht="15" hidden="false" customHeight="false" outlineLevel="0" collapsed="false">
      <c r="D523" s="7" t="str">
        <f aca="false">Hierarchy!A554</f>
        <v>Italy</v>
      </c>
      <c r="G523" s="7" t="str">
        <f aca="false">Hierarchy!G554</f>
        <v>ITA</v>
      </c>
    </row>
    <row r="524" customFormat="false" ht="15" hidden="false" customHeight="false" outlineLevel="0" collapsed="false">
      <c r="E524" s="15" t="str">
        <f aca="false">Hierarchy!A555</f>
        <v>Abruzzo</v>
      </c>
    </row>
    <row r="525" customFormat="false" ht="15" hidden="false" customHeight="false" outlineLevel="0" collapsed="false">
      <c r="E525" s="15" t="str">
        <f aca="false">Hierarchy!A556</f>
        <v>Aosta Valley</v>
      </c>
    </row>
    <row r="526" customFormat="false" ht="15" hidden="false" customHeight="false" outlineLevel="0" collapsed="false">
      <c r="E526" s="15" t="str">
        <f aca="false">Hierarchy!A557</f>
        <v>Apulia</v>
      </c>
    </row>
    <row r="527" customFormat="false" ht="15" hidden="false" customHeight="false" outlineLevel="0" collapsed="false">
      <c r="E527" s="15" t="str">
        <f aca="false">Hierarchy!A558</f>
        <v>Basilicata</v>
      </c>
    </row>
    <row r="528" customFormat="false" ht="15" hidden="false" customHeight="false" outlineLevel="0" collapsed="false">
      <c r="E528" s="15" t="str">
        <f aca="false">Hierarchy!A559</f>
        <v>Calabria</v>
      </c>
    </row>
    <row r="529" customFormat="false" ht="15" hidden="false" customHeight="false" outlineLevel="0" collapsed="false">
      <c r="E529" s="15" t="str">
        <f aca="false">Hierarchy!A560</f>
        <v>Campania</v>
      </c>
    </row>
    <row r="530" customFormat="false" ht="15" hidden="false" customHeight="false" outlineLevel="0" collapsed="false">
      <c r="E530" s="15" t="str">
        <f aca="false">Hierarchy!A561</f>
        <v>Emilia-Romagna</v>
      </c>
    </row>
    <row r="531" customFormat="false" ht="15" hidden="false" customHeight="false" outlineLevel="0" collapsed="false">
      <c r="E531" s="15" t="str">
        <f aca="false">Hierarchy!A562</f>
        <v>Friuli-Venezia Giulia</v>
      </c>
    </row>
    <row r="532" customFormat="false" ht="15" hidden="false" customHeight="false" outlineLevel="0" collapsed="false">
      <c r="E532" s="15" t="str">
        <f aca="false">Hierarchy!A563</f>
        <v>Lazio</v>
      </c>
    </row>
    <row r="533" customFormat="false" ht="15" hidden="false" customHeight="false" outlineLevel="0" collapsed="false">
      <c r="E533" s="15" t="str">
        <f aca="false">Hierarchy!A564</f>
        <v>Liguria</v>
      </c>
    </row>
    <row r="534" customFormat="false" ht="15" hidden="false" customHeight="false" outlineLevel="0" collapsed="false">
      <c r="E534" s="15" t="str">
        <f aca="false">Hierarchy!A565</f>
        <v>Lombardy</v>
      </c>
    </row>
    <row r="535" customFormat="false" ht="15" hidden="false" customHeight="false" outlineLevel="0" collapsed="false">
      <c r="E535" s="15" t="str">
        <f aca="false">Hierarchy!A566</f>
        <v>Marche</v>
      </c>
    </row>
    <row r="536" customFormat="false" ht="15" hidden="false" customHeight="false" outlineLevel="0" collapsed="false">
      <c r="E536" s="15" t="str">
        <f aca="false">Hierarchy!A567</f>
        <v>Molise</v>
      </c>
    </row>
    <row r="537" customFormat="false" ht="15" hidden="false" customHeight="false" outlineLevel="0" collapsed="false">
      <c r="E537" s="15" t="str">
        <f aca="false">Hierarchy!A568</f>
        <v>Piedmont</v>
      </c>
    </row>
    <row r="538" customFormat="false" ht="15" hidden="false" customHeight="false" outlineLevel="0" collapsed="false">
      <c r="E538" s="15" t="str">
        <f aca="false">Hierarchy!A569</f>
        <v>Sardinia</v>
      </c>
    </row>
    <row r="539" customFormat="false" ht="15" hidden="false" customHeight="false" outlineLevel="0" collapsed="false">
      <c r="E539" s="15" t="str">
        <f aca="false">Hierarchy!A570</f>
        <v>Sicily</v>
      </c>
    </row>
    <row r="540" customFormat="false" ht="15" hidden="false" customHeight="false" outlineLevel="0" collapsed="false">
      <c r="E540" s="15" t="str">
        <f aca="false">Hierarchy!A571</f>
        <v>Trentino-Alto Adige</v>
      </c>
    </row>
    <row r="541" customFormat="false" ht="15" hidden="false" customHeight="false" outlineLevel="0" collapsed="false">
      <c r="E541" s="15" t="str">
        <f aca="false">Hierarchy!A572</f>
        <v>Tuscany</v>
      </c>
    </row>
    <row r="542" customFormat="false" ht="15" hidden="false" customHeight="false" outlineLevel="0" collapsed="false">
      <c r="E542" s="15" t="str">
        <f aca="false">Hierarchy!A573</f>
        <v>Umbria</v>
      </c>
    </row>
    <row r="543" customFormat="false" ht="15" hidden="false" customHeight="false" outlineLevel="0" collapsed="false">
      <c r="E543" s="15" t="str">
        <f aca="false">Hierarchy!A574</f>
        <v>Veneto</v>
      </c>
    </row>
    <row r="544" customFormat="false" ht="15" hidden="false" customHeight="false" outlineLevel="0" collapsed="false">
      <c r="F544" s="16" t="str">
        <f aca="false">Hierarchy!A575</f>
        <v>Milan</v>
      </c>
    </row>
    <row r="545" customFormat="false" ht="15" hidden="false" customHeight="false" outlineLevel="0" collapsed="false">
      <c r="F545" s="16" t="str">
        <f aca="false">Hierarchy!A576</f>
        <v>Rome</v>
      </c>
    </row>
    <row r="546" customFormat="false" ht="15" hidden="false" customHeight="false" outlineLevel="0" collapsed="false">
      <c r="D546" s="7" t="str">
        <f aca="false">Hierarchy!A577</f>
        <v>Jersey</v>
      </c>
      <c r="G546" s="7" t="str">
        <f aca="false">Hierarchy!G577</f>
        <v>JEY</v>
      </c>
    </row>
    <row r="547" customFormat="false" ht="15" hidden="false" customHeight="false" outlineLevel="0" collapsed="false">
      <c r="D547" s="7" t="str">
        <f aca="false">Hierarchy!A578</f>
        <v>Kazakhstan</v>
      </c>
      <c r="G547" s="7" t="str">
        <f aca="false">Hierarchy!G578</f>
        <v>KAZ</v>
      </c>
    </row>
    <row r="548" customFormat="false" ht="15" hidden="false" customHeight="false" outlineLevel="0" collapsed="false">
      <c r="D548" s="7" t="str">
        <f aca="false">Hierarchy!A579</f>
        <v>Kosovo</v>
      </c>
      <c r="G548" s="7" t="str">
        <f aca="false">Hierarchy!G579</f>
        <v>XKX</v>
      </c>
    </row>
    <row r="549" customFormat="false" ht="15" hidden="false" customHeight="false" outlineLevel="0" collapsed="false">
      <c r="D549" s="7" t="str">
        <f aca="false">Hierarchy!A580</f>
        <v>Kyrgyzstan</v>
      </c>
      <c r="G549" s="7" t="str">
        <f aca="false">Hierarchy!G580</f>
        <v>KGZ</v>
      </c>
    </row>
    <row r="550" customFormat="false" ht="15" hidden="false" customHeight="false" outlineLevel="0" collapsed="false">
      <c r="D550" s="7" t="str">
        <f aca="false">Hierarchy!A581</f>
        <v>Latvia</v>
      </c>
      <c r="G550" s="7" t="str">
        <f aca="false">Hierarchy!G581</f>
        <v>LVA</v>
      </c>
    </row>
    <row r="551" customFormat="false" ht="15" hidden="false" customHeight="false" outlineLevel="0" collapsed="false">
      <c r="D551" s="7" t="str">
        <f aca="false">Hierarchy!A582</f>
        <v>Liechtenstein</v>
      </c>
      <c r="G551" s="7" t="str">
        <f aca="false">Hierarchy!G582</f>
        <v>LIE</v>
      </c>
    </row>
    <row r="552" customFormat="false" ht="15" hidden="false" customHeight="false" outlineLevel="0" collapsed="false">
      <c r="D552" s="7" t="str">
        <f aca="false">Hierarchy!A583</f>
        <v>Lithuania</v>
      </c>
      <c r="G552" s="7" t="str">
        <f aca="false">Hierarchy!G583</f>
        <v>LTU</v>
      </c>
    </row>
    <row r="553" customFormat="false" ht="15" hidden="false" customHeight="false" outlineLevel="0" collapsed="false">
      <c r="D553" s="7" t="str">
        <f aca="false">Hierarchy!A584</f>
        <v>Luxembourg</v>
      </c>
      <c r="G553" s="7" t="str">
        <f aca="false">Hierarchy!G584</f>
        <v>LUX</v>
      </c>
    </row>
    <row r="554" customFormat="false" ht="15" hidden="false" customHeight="false" outlineLevel="0" collapsed="false">
      <c r="F554" s="16" t="str">
        <f aca="false">Hierarchy!A585</f>
        <v>Luxembourg City</v>
      </c>
    </row>
    <row r="555" customFormat="false" ht="15" hidden="false" customHeight="false" outlineLevel="0" collapsed="false">
      <c r="D555" s="7" t="str">
        <f aca="false">Hierarchy!A586</f>
        <v>Malta</v>
      </c>
      <c r="G555" s="7" t="str">
        <f aca="false">Hierarchy!G586</f>
        <v>MLT</v>
      </c>
    </row>
    <row r="556" customFormat="false" ht="15" hidden="false" customHeight="false" outlineLevel="0" collapsed="false">
      <c r="D556" s="7" t="str">
        <f aca="false">Hierarchy!A587</f>
        <v>Moldova</v>
      </c>
      <c r="G556" s="7" t="str">
        <f aca="false">Hierarchy!G587</f>
        <v>MDA</v>
      </c>
    </row>
    <row r="557" customFormat="false" ht="15" hidden="false" customHeight="false" outlineLevel="0" collapsed="false">
      <c r="D557" s="7" t="str">
        <f aca="false">Hierarchy!A588</f>
        <v>Monaco</v>
      </c>
      <c r="G557" s="7" t="str">
        <f aca="false">Hierarchy!G588</f>
        <v>MCO</v>
      </c>
    </row>
    <row r="558" customFormat="false" ht="15" hidden="false" customHeight="false" outlineLevel="0" collapsed="false">
      <c r="D558" s="7" t="str">
        <f aca="false">Hierarchy!A589</f>
        <v>Montenegro</v>
      </c>
      <c r="G558" s="7" t="str">
        <f aca="false">Hierarchy!G589</f>
        <v>MNE</v>
      </c>
    </row>
    <row r="559" customFormat="false" ht="15" hidden="false" customHeight="false" outlineLevel="0" collapsed="false">
      <c r="D559" s="7" t="str">
        <f aca="false">Hierarchy!A590</f>
        <v>Netherlands</v>
      </c>
      <c r="G559" s="7" t="str">
        <f aca="false">Hierarchy!G590</f>
        <v>NLD</v>
      </c>
    </row>
    <row r="560" customFormat="false" ht="15" hidden="false" customHeight="false" outlineLevel="0" collapsed="false">
      <c r="E560" s="15" t="str">
        <f aca="false">Hierarchy!A591</f>
        <v>Drenthe</v>
      </c>
    </row>
    <row r="561" customFormat="false" ht="15" hidden="false" customHeight="false" outlineLevel="0" collapsed="false">
      <c r="E561" s="15" t="str">
        <f aca="false">Hierarchy!A592</f>
        <v>Flevoland</v>
      </c>
    </row>
    <row r="562" customFormat="false" ht="15" hidden="false" customHeight="false" outlineLevel="0" collapsed="false">
      <c r="E562" s="15" t="str">
        <f aca="false">Hierarchy!A593</f>
        <v>Friesland</v>
      </c>
    </row>
    <row r="563" customFormat="false" ht="15" hidden="false" customHeight="false" outlineLevel="0" collapsed="false">
      <c r="E563" s="15" t="str">
        <f aca="false">Hierarchy!A594</f>
        <v>Gelderland</v>
      </c>
    </row>
    <row r="564" customFormat="false" ht="15" hidden="false" customHeight="false" outlineLevel="0" collapsed="false">
      <c r="E564" s="15" t="str">
        <f aca="false">Hierarchy!A595</f>
        <v>Groningen</v>
      </c>
    </row>
    <row r="565" customFormat="false" ht="15" hidden="false" customHeight="false" outlineLevel="0" collapsed="false">
      <c r="E565" s="15" t="str">
        <f aca="false">Hierarchy!A596</f>
        <v>Limburg (Netherlands)</v>
      </c>
    </row>
    <row r="566" customFormat="false" ht="15" hidden="false" customHeight="false" outlineLevel="0" collapsed="false">
      <c r="E566" s="15" t="str">
        <f aca="false">Hierarchy!A597</f>
        <v>North Brabant</v>
      </c>
    </row>
    <row r="567" customFormat="false" ht="15" hidden="false" customHeight="false" outlineLevel="0" collapsed="false">
      <c r="E567" s="15" t="str">
        <f aca="false">Hierarchy!A598</f>
        <v>North Holland</v>
      </c>
    </row>
    <row r="568" customFormat="false" ht="15" hidden="false" customHeight="false" outlineLevel="0" collapsed="false">
      <c r="E568" s="15" t="str">
        <f aca="false">Hierarchy!A599</f>
        <v>Overijssel</v>
      </c>
    </row>
    <row r="569" customFormat="false" ht="15" hidden="false" customHeight="false" outlineLevel="0" collapsed="false">
      <c r="E569" s="15" t="str">
        <f aca="false">Hierarchy!A600</f>
        <v>South Holland</v>
      </c>
    </row>
    <row r="570" customFormat="false" ht="15" hidden="false" customHeight="false" outlineLevel="0" collapsed="false">
      <c r="E570" s="15" t="str">
        <f aca="false">Hierarchy!A601</f>
        <v>Utrecht</v>
      </c>
    </row>
    <row r="571" customFormat="false" ht="15" hidden="false" customHeight="false" outlineLevel="0" collapsed="false">
      <c r="E571" s="15" t="str">
        <f aca="false">Hierarchy!A602</f>
        <v>Zeeland</v>
      </c>
    </row>
    <row r="572" customFormat="false" ht="15" hidden="false" customHeight="false" outlineLevel="0" collapsed="false">
      <c r="F572" s="16" t="str">
        <f aca="false">Hierarchy!A603</f>
        <v>Amsterdam</v>
      </c>
    </row>
    <row r="573" customFormat="false" ht="15" hidden="false" customHeight="false" outlineLevel="0" collapsed="false">
      <c r="F573" s="16" t="str">
        <f aca="false">Hierarchy!A604</f>
        <v>Rotterdam</v>
      </c>
    </row>
    <row r="574" customFormat="false" ht="15" hidden="false" customHeight="false" outlineLevel="0" collapsed="false">
      <c r="D574" s="7" t="str">
        <f aca="false">Hierarchy!A605</f>
        <v>North Macedonia</v>
      </c>
      <c r="G574" s="7" t="str">
        <f aca="false">Hierarchy!G605</f>
        <v>MKD</v>
      </c>
    </row>
    <row r="575" customFormat="false" ht="15" hidden="false" customHeight="false" outlineLevel="0" collapsed="false">
      <c r="D575" s="7" t="str">
        <f aca="false">Hierarchy!A606</f>
        <v>Norway</v>
      </c>
      <c r="G575" s="7" t="str">
        <f aca="false">Hierarchy!G606</f>
        <v>NOR</v>
      </c>
    </row>
    <row r="576" customFormat="false" ht="15" hidden="false" customHeight="false" outlineLevel="0" collapsed="false">
      <c r="F576" s="16" t="str">
        <f aca="false">Hierarchy!A607</f>
        <v>Oslo</v>
      </c>
    </row>
    <row r="577" customFormat="false" ht="15" hidden="false" customHeight="false" outlineLevel="0" collapsed="false">
      <c r="D577" s="7" t="str">
        <f aca="false">Hierarchy!A608</f>
        <v>Poland</v>
      </c>
      <c r="G577" s="7" t="str">
        <f aca="false">Hierarchy!G608</f>
        <v>POL</v>
      </c>
    </row>
    <row r="578" customFormat="false" ht="15" hidden="false" customHeight="false" outlineLevel="0" collapsed="false">
      <c r="E578" s="15" t="str">
        <f aca="false">Hierarchy!A609</f>
        <v>Greater Poland</v>
      </c>
    </row>
    <row r="579" customFormat="false" ht="15" hidden="false" customHeight="false" outlineLevel="0" collapsed="false">
      <c r="E579" s="15" t="str">
        <f aca="false">Hierarchy!A610</f>
        <v>Holy Cross</v>
      </c>
    </row>
    <row r="580" customFormat="false" ht="15" hidden="false" customHeight="false" outlineLevel="0" collapsed="false">
      <c r="E580" s="15" t="str">
        <f aca="false">Hierarchy!A611</f>
        <v>Kuyavian-Pomeranian</v>
      </c>
    </row>
    <row r="581" customFormat="false" ht="15" hidden="false" customHeight="false" outlineLevel="0" collapsed="false">
      <c r="E581" s="15" t="str">
        <f aca="false">Hierarchy!A612</f>
        <v>Lesser Poland</v>
      </c>
    </row>
    <row r="582" customFormat="false" ht="15" hidden="false" customHeight="false" outlineLevel="0" collapsed="false">
      <c r="E582" s="15" t="str">
        <f aca="false">Hierarchy!A613</f>
        <v>Lower Silesian</v>
      </c>
    </row>
    <row r="583" customFormat="false" ht="15" hidden="false" customHeight="false" outlineLevel="0" collapsed="false">
      <c r="E583" s="15" t="str">
        <f aca="false">Hierarchy!A614</f>
        <v>Lublin</v>
      </c>
    </row>
    <row r="584" customFormat="false" ht="15" hidden="false" customHeight="false" outlineLevel="0" collapsed="false">
      <c r="E584" s="15" t="str">
        <f aca="false">Hierarchy!A615</f>
        <v>Lubusz</v>
      </c>
    </row>
    <row r="585" customFormat="false" ht="15" hidden="false" customHeight="false" outlineLevel="0" collapsed="false">
      <c r="E585" s="15" t="str">
        <f aca="false">Hierarchy!A616</f>
        <v>Masovian</v>
      </c>
    </row>
    <row r="586" customFormat="false" ht="15" hidden="false" customHeight="false" outlineLevel="0" collapsed="false">
      <c r="E586" s="15" t="str">
        <f aca="false">Hierarchy!A617</f>
        <v>Opole</v>
      </c>
    </row>
    <row r="587" customFormat="false" ht="15" hidden="false" customHeight="false" outlineLevel="0" collapsed="false">
      <c r="E587" s="15" t="str">
        <f aca="false">Hierarchy!A618</f>
        <v>Podlaskie</v>
      </c>
    </row>
    <row r="588" customFormat="false" ht="15" hidden="false" customHeight="false" outlineLevel="0" collapsed="false">
      <c r="E588" s="15" t="str">
        <f aca="false">Hierarchy!A619</f>
        <v>Pomeranian</v>
      </c>
    </row>
    <row r="589" customFormat="false" ht="15" hidden="false" customHeight="false" outlineLevel="0" collapsed="false">
      <c r="E589" s="15" t="str">
        <f aca="false">Hierarchy!A620</f>
        <v>Silesian</v>
      </c>
    </row>
    <row r="590" customFormat="false" ht="15" hidden="false" customHeight="false" outlineLevel="0" collapsed="false">
      <c r="E590" s="15" t="str">
        <f aca="false">Hierarchy!A621</f>
        <v>Subcarpathian</v>
      </c>
    </row>
    <row r="591" customFormat="false" ht="15" hidden="false" customHeight="false" outlineLevel="0" collapsed="false">
      <c r="E591" s="15" t="str">
        <f aca="false">Hierarchy!A622</f>
        <v>Warmian-Masurian</v>
      </c>
    </row>
    <row r="592" customFormat="false" ht="15" hidden="false" customHeight="false" outlineLevel="0" collapsed="false">
      <c r="E592" s="15" t="str">
        <f aca="false">Hierarchy!A623</f>
        <v>West Pomeranian</v>
      </c>
    </row>
    <row r="593" customFormat="false" ht="15" hidden="false" customHeight="false" outlineLevel="0" collapsed="false">
      <c r="F593" s="16" t="str">
        <f aca="false">Hierarchy!A624</f>
        <v>Warsaw</v>
      </c>
    </row>
    <row r="594" customFormat="false" ht="15" hidden="false" customHeight="false" outlineLevel="0" collapsed="false">
      <c r="E594" s="15" t="str">
        <f aca="false">Hierarchy!A625</f>
        <v>Łódź</v>
      </c>
    </row>
    <row r="595" customFormat="false" ht="15" hidden="false" customHeight="false" outlineLevel="0" collapsed="false">
      <c r="D595" s="7" t="str">
        <f aca="false">Hierarchy!A626</f>
        <v>Portugal</v>
      </c>
      <c r="G595" s="7" t="str">
        <f aca="false">Hierarchy!G626</f>
        <v>PRT</v>
      </c>
    </row>
    <row r="596" customFormat="false" ht="15" hidden="false" customHeight="false" outlineLevel="0" collapsed="false">
      <c r="F596" s="16" t="str">
        <f aca="false">Hierarchy!A627</f>
        <v>Lisbon</v>
      </c>
    </row>
    <row r="597" customFormat="false" ht="15" hidden="false" customHeight="false" outlineLevel="0" collapsed="false">
      <c r="D597" s="7" t="str">
        <f aca="false">Hierarchy!A628</f>
        <v>Romania</v>
      </c>
      <c r="G597" s="7" t="str">
        <f aca="false">Hierarchy!G628</f>
        <v>ROU</v>
      </c>
    </row>
    <row r="598" customFormat="false" ht="15" hidden="false" customHeight="false" outlineLevel="0" collapsed="false">
      <c r="F598" s="16" t="str">
        <f aca="false">Hierarchy!A629</f>
        <v>Bucharest</v>
      </c>
    </row>
    <row r="599" customFormat="false" ht="15" hidden="false" customHeight="false" outlineLevel="0" collapsed="false">
      <c r="D599" s="7" t="str">
        <f aca="false">Hierarchy!A630</f>
        <v>Russia</v>
      </c>
      <c r="G599" s="7" t="str">
        <f aca="false">Hierarchy!G630</f>
        <v>RUS</v>
      </c>
    </row>
    <row r="600" customFormat="false" ht="15" hidden="false" customHeight="false" outlineLevel="0" collapsed="false">
      <c r="F600" s="16" t="str">
        <f aca="false">Hierarchy!A631</f>
        <v>Moscow</v>
      </c>
    </row>
    <row r="601" customFormat="false" ht="15" hidden="false" customHeight="false" outlineLevel="0" collapsed="false">
      <c r="F601" s="16" t="str">
        <f aca="false">Hierarchy!A632</f>
        <v>St. Petersburg</v>
      </c>
    </row>
    <row r="602" customFormat="false" ht="15" hidden="false" customHeight="false" outlineLevel="0" collapsed="false">
      <c r="D602" s="7" t="str">
        <f aca="false">Hierarchy!A633</f>
        <v>San Marino</v>
      </c>
      <c r="G602" s="7" t="str">
        <f aca="false">Hierarchy!G633</f>
        <v>SMR</v>
      </c>
    </row>
    <row r="603" customFormat="false" ht="15" hidden="false" customHeight="false" outlineLevel="0" collapsed="false">
      <c r="D603" s="7" t="str">
        <f aca="false">Hierarchy!A634</f>
        <v>Serbia</v>
      </c>
      <c r="G603" s="7" t="str">
        <f aca="false">Hierarchy!G634</f>
        <v>SRB</v>
      </c>
    </row>
    <row r="604" customFormat="false" ht="15" hidden="false" customHeight="false" outlineLevel="0" collapsed="false">
      <c r="F604" s="16" t="str">
        <f aca="false">Hierarchy!A635</f>
        <v>Belgrade</v>
      </c>
    </row>
    <row r="605" customFormat="false" ht="15" hidden="false" customHeight="false" outlineLevel="0" collapsed="false">
      <c r="D605" s="7" t="str">
        <f aca="false">Hierarchy!A636</f>
        <v>Slovakia</v>
      </c>
      <c r="G605" s="7" t="str">
        <f aca="false">Hierarchy!G636</f>
        <v>SVK</v>
      </c>
    </row>
    <row r="606" customFormat="false" ht="15" hidden="false" customHeight="false" outlineLevel="0" collapsed="false">
      <c r="D606" s="7" t="str">
        <f aca="false">Hierarchy!A637</f>
        <v>Slovenia</v>
      </c>
      <c r="G606" s="7" t="str">
        <f aca="false">Hierarchy!G637</f>
        <v>SVN</v>
      </c>
    </row>
    <row r="607" customFormat="false" ht="15" hidden="false" customHeight="false" outlineLevel="0" collapsed="false">
      <c r="D607" s="7" t="str">
        <f aca="false">Hierarchy!A638</f>
        <v>Spain</v>
      </c>
      <c r="G607" s="7" t="str">
        <f aca="false">Hierarchy!G638</f>
        <v>ESP</v>
      </c>
    </row>
    <row r="608" customFormat="false" ht="15" hidden="false" customHeight="false" outlineLevel="0" collapsed="false">
      <c r="E608" s="15" t="str">
        <f aca="false">Hierarchy!A639</f>
        <v>Andalusia</v>
      </c>
    </row>
    <row r="609" customFormat="false" ht="15" hidden="false" customHeight="false" outlineLevel="0" collapsed="false">
      <c r="E609" s="15" t="str">
        <f aca="false">Hierarchy!A640</f>
        <v>Aragon</v>
      </c>
    </row>
    <row r="610" customFormat="false" ht="15" hidden="false" customHeight="false" outlineLevel="0" collapsed="false">
      <c r="E610" s="15" t="str">
        <f aca="false">Hierarchy!A641</f>
        <v>Asturias</v>
      </c>
    </row>
    <row r="611" customFormat="false" ht="15" hidden="false" customHeight="false" outlineLevel="0" collapsed="false">
      <c r="E611" s="15" t="str">
        <f aca="false">Hierarchy!A642</f>
        <v>Balearic Islands</v>
      </c>
    </row>
    <row r="612" customFormat="false" ht="15" hidden="false" customHeight="false" outlineLevel="0" collapsed="false">
      <c r="E612" s="15" t="str">
        <f aca="false">Hierarchy!A643</f>
        <v>Basque Country</v>
      </c>
    </row>
    <row r="613" customFormat="false" ht="15" hidden="false" customHeight="false" outlineLevel="0" collapsed="false">
      <c r="E613" s="15" t="str">
        <f aca="false">Hierarchy!A644</f>
        <v>Canary Islands</v>
      </c>
    </row>
    <row r="614" customFormat="false" ht="15" hidden="false" customHeight="false" outlineLevel="0" collapsed="false">
      <c r="E614" s="15" t="str">
        <f aca="false">Hierarchy!A645</f>
        <v>Cantabria</v>
      </c>
    </row>
    <row r="615" customFormat="false" ht="15" hidden="false" customHeight="false" outlineLevel="0" collapsed="false">
      <c r="E615" s="15" t="str">
        <f aca="false">Hierarchy!A646</f>
        <v>Castile and León</v>
      </c>
    </row>
    <row r="616" customFormat="false" ht="15" hidden="false" customHeight="false" outlineLevel="0" collapsed="false">
      <c r="E616" s="15" t="str">
        <f aca="false">Hierarchy!A647</f>
        <v>Castilla–La Mancha</v>
      </c>
    </row>
    <row r="617" customFormat="false" ht="15" hidden="false" customHeight="false" outlineLevel="0" collapsed="false">
      <c r="E617" s="15" t="str">
        <f aca="false">Hierarchy!A648</f>
        <v>Catalonia</v>
      </c>
    </row>
    <row r="618" customFormat="false" ht="15" hidden="false" customHeight="false" outlineLevel="0" collapsed="false">
      <c r="E618" s="15" t="str">
        <f aca="false">Hierarchy!A649</f>
        <v>Ceuta</v>
      </c>
    </row>
    <row r="619" customFormat="false" ht="15" hidden="false" customHeight="false" outlineLevel="0" collapsed="false">
      <c r="E619" s="15" t="str">
        <f aca="false">Hierarchy!A650</f>
        <v>Community of Madrid</v>
      </c>
    </row>
    <row r="620" customFormat="false" ht="15" hidden="false" customHeight="false" outlineLevel="0" collapsed="false">
      <c r="E620" s="15" t="str">
        <f aca="false">Hierarchy!A651</f>
        <v>Extremadura</v>
      </c>
    </row>
    <row r="621" customFormat="false" ht="15" hidden="false" customHeight="false" outlineLevel="0" collapsed="false">
      <c r="E621" s="15" t="str">
        <f aca="false">Hierarchy!A652</f>
        <v>Galicia</v>
      </c>
    </row>
    <row r="622" customFormat="false" ht="15" hidden="false" customHeight="false" outlineLevel="0" collapsed="false">
      <c r="E622" s="15" t="str">
        <f aca="false">Hierarchy!A653</f>
        <v>La Rioja</v>
      </c>
    </row>
    <row r="623" customFormat="false" ht="15" hidden="false" customHeight="false" outlineLevel="0" collapsed="false">
      <c r="E623" s="15" t="str">
        <f aca="false">Hierarchy!A654</f>
        <v>Melilla</v>
      </c>
    </row>
    <row r="624" customFormat="false" ht="15" hidden="false" customHeight="false" outlineLevel="0" collapsed="false">
      <c r="E624" s="15" t="str">
        <f aca="false">Hierarchy!A655</f>
        <v>Navarre</v>
      </c>
    </row>
    <row r="625" customFormat="false" ht="15" hidden="false" customHeight="false" outlineLevel="0" collapsed="false">
      <c r="E625" s="15" t="str">
        <f aca="false">Hierarchy!A656</f>
        <v>Region of Murcia</v>
      </c>
    </row>
    <row r="626" customFormat="false" ht="15" hidden="false" customHeight="false" outlineLevel="0" collapsed="false">
      <c r="E626" s="15" t="str">
        <f aca="false">Hierarchy!A657</f>
        <v>Valencian Community</v>
      </c>
    </row>
    <row r="627" customFormat="false" ht="15" hidden="false" customHeight="false" outlineLevel="0" collapsed="false">
      <c r="F627" s="16" t="str">
        <f aca="false">Hierarchy!A658</f>
        <v>Barcelona</v>
      </c>
    </row>
    <row r="628" customFormat="false" ht="15" hidden="false" customHeight="false" outlineLevel="0" collapsed="false">
      <c r="F628" s="16" t="str">
        <f aca="false">Hierarchy!A659</f>
        <v>Madrid</v>
      </c>
    </row>
    <row r="629" customFormat="false" ht="15" hidden="false" customHeight="false" outlineLevel="0" collapsed="false">
      <c r="D629" s="7" t="str">
        <f aca="false">Hierarchy!A660</f>
        <v>Svalbard and Jan Mayen</v>
      </c>
      <c r="G629" s="7" t="str">
        <f aca="false">Hierarchy!G660</f>
        <v>SJM</v>
      </c>
    </row>
    <row r="630" customFormat="false" ht="15" hidden="false" customHeight="false" outlineLevel="0" collapsed="false">
      <c r="D630" s="7" t="str">
        <f aca="false">Hierarchy!A661</f>
        <v>Sweden</v>
      </c>
      <c r="G630" s="7" t="str">
        <f aca="false">Hierarchy!G661</f>
        <v>SWE</v>
      </c>
    </row>
    <row r="631" customFormat="false" ht="15" hidden="false" customHeight="false" outlineLevel="0" collapsed="false">
      <c r="F631" s="16" t="str">
        <f aca="false">Hierarchy!A662</f>
        <v>Stockholm</v>
      </c>
    </row>
    <row r="632" customFormat="false" ht="15" hidden="false" customHeight="false" outlineLevel="0" collapsed="false">
      <c r="D632" s="7" t="str">
        <f aca="false">Hierarchy!A663</f>
        <v>Switzerland</v>
      </c>
      <c r="G632" s="7" t="str">
        <f aca="false">Hierarchy!G663</f>
        <v>CHE</v>
      </c>
    </row>
    <row r="633" customFormat="false" ht="15" hidden="false" customHeight="false" outlineLevel="0" collapsed="false">
      <c r="E633" s="15" t="str">
        <f aca="false">Hierarchy!A664</f>
        <v>Aargau</v>
      </c>
    </row>
    <row r="634" customFormat="false" ht="15" hidden="false" customHeight="false" outlineLevel="0" collapsed="false">
      <c r="E634" s="15" t="str">
        <f aca="false">Hierarchy!A665</f>
        <v>Appenzell Ausserrhoden</v>
      </c>
    </row>
    <row r="635" customFormat="false" ht="15" hidden="false" customHeight="false" outlineLevel="0" collapsed="false">
      <c r="E635" s="15" t="str">
        <f aca="false">Hierarchy!A666</f>
        <v>Appenzell Innerrhoden</v>
      </c>
    </row>
    <row r="636" customFormat="false" ht="15" hidden="false" customHeight="false" outlineLevel="0" collapsed="false">
      <c r="E636" s="15" t="str">
        <f aca="false">Hierarchy!A667</f>
        <v>Basel-Landschaft</v>
      </c>
    </row>
    <row r="637" customFormat="false" ht="15" hidden="false" customHeight="false" outlineLevel="0" collapsed="false">
      <c r="E637" s="15" t="str">
        <f aca="false">Hierarchy!A668</f>
        <v>Basel-Stadt</v>
      </c>
    </row>
    <row r="638" customFormat="false" ht="15" hidden="false" customHeight="false" outlineLevel="0" collapsed="false">
      <c r="E638" s="15" t="str">
        <f aca="false">Hierarchy!A669</f>
        <v>Bern</v>
      </c>
    </row>
    <row r="639" customFormat="false" ht="15" hidden="false" customHeight="false" outlineLevel="0" collapsed="false">
      <c r="E639" s="15" t="str">
        <f aca="false">Hierarchy!A670</f>
        <v>Fribourg</v>
      </c>
    </row>
    <row r="640" customFormat="false" ht="15" hidden="false" customHeight="false" outlineLevel="0" collapsed="false">
      <c r="E640" s="15" t="str">
        <f aca="false">Hierarchy!A671</f>
        <v>Geneva (canton)</v>
      </c>
    </row>
    <row r="641" customFormat="false" ht="15" hidden="false" customHeight="false" outlineLevel="0" collapsed="false">
      <c r="E641" s="15" t="str">
        <f aca="false">Hierarchy!A672</f>
        <v>Glarus</v>
      </c>
    </row>
    <row r="642" customFormat="false" ht="15" hidden="false" customHeight="false" outlineLevel="0" collapsed="false">
      <c r="E642" s="15" t="str">
        <f aca="false">Hierarchy!A673</f>
        <v>Graubünden</v>
      </c>
    </row>
    <row r="643" customFormat="false" ht="15" hidden="false" customHeight="false" outlineLevel="0" collapsed="false">
      <c r="E643" s="15" t="str">
        <f aca="false">Hierarchy!A674</f>
        <v>Jura</v>
      </c>
    </row>
    <row r="644" customFormat="false" ht="15" hidden="false" customHeight="false" outlineLevel="0" collapsed="false">
      <c r="E644" s="15" t="str">
        <f aca="false">Hierarchy!A675</f>
        <v>Lucerne</v>
      </c>
    </row>
    <row r="645" customFormat="false" ht="15" hidden="false" customHeight="false" outlineLevel="0" collapsed="false">
      <c r="E645" s="15" t="str">
        <f aca="false">Hierarchy!A676</f>
        <v>Neuchâtel</v>
      </c>
    </row>
    <row r="646" customFormat="false" ht="15" hidden="false" customHeight="false" outlineLevel="0" collapsed="false">
      <c r="E646" s="15" t="str">
        <f aca="false">Hierarchy!A677</f>
        <v>Nidwalden</v>
      </c>
    </row>
    <row r="647" customFormat="false" ht="15" hidden="false" customHeight="false" outlineLevel="0" collapsed="false">
      <c r="E647" s="15" t="str">
        <f aca="false">Hierarchy!A678</f>
        <v>Obwalden</v>
      </c>
    </row>
    <row r="648" customFormat="false" ht="15" hidden="false" customHeight="false" outlineLevel="0" collapsed="false">
      <c r="E648" s="15" t="str">
        <f aca="false">Hierarchy!A679</f>
        <v>Schaffhausen</v>
      </c>
    </row>
    <row r="649" customFormat="false" ht="15" hidden="false" customHeight="false" outlineLevel="0" collapsed="false">
      <c r="E649" s="15" t="str">
        <f aca="false">Hierarchy!A680</f>
        <v>Schwyz</v>
      </c>
    </row>
    <row r="650" customFormat="false" ht="15" hidden="false" customHeight="false" outlineLevel="0" collapsed="false">
      <c r="E650" s="15" t="str">
        <f aca="false">Hierarchy!A681</f>
        <v>Solothurn</v>
      </c>
    </row>
    <row r="651" customFormat="false" ht="15" hidden="false" customHeight="false" outlineLevel="0" collapsed="false">
      <c r="E651" s="15" t="str">
        <f aca="false">Hierarchy!A682</f>
        <v>St. Gallen</v>
      </c>
    </row>
    <row r="652" customFormat="false" ht="15" hidden="false" customHeight="false" outlineLevel="0" collapsed="false">
      <c r="E652" s="15" t="str">
        <f aca="false">Hierarchy!A683</f>
        <v>Thurgau</v>
      </c>
    </row>
    <row r="653" customFormat="false" ht="15" hidden="false" customHeight="false" outlineLevel="0" collapsed="false">
      <c r="E653" s="15" t="str">
        <f aca="false">Hierarchy!A684</f>
        <v>Ticino</v>
      </c>
    </row>
    <row r="654" customFormat="false" ht="15" hidden="false" customHeight="false" outlineLevel="0" collapsed="false">
      <c r="E654" s="15" t="str">
        <f aca="false">Hierarchy!A685</f>
        <v>Uri</v>
      </c>
    </row>
    <row r="655" customFormat="false" ht="15" hidden="false" customHeight="false" outlineLevel="0" collapsed="false">
      <c r="E655" s="15" t="str">
        <f aca="false">Hierarchy!A686</f>
        <v>Valais</v>
      </c>
    </row>
    <row r="656" customFormat="false" ht="15" hidden="false" customHeight="false" outlineLevel="0" collapsed="false">
      <c r="E656" s="15" t="str">
        <f aca="false">Hierarchy!A687</f>
        <v>Vaud</v>
      </c>
    </row>
    <row r="657" customFormat="false" ht="15" hidden="false" customHeight="false" outlineLevel="0" collapsed="false">
      <c r="E657" s="15" t="str">
        <f aca="false">Hierarchy!A688</f>
        <v>Zug</v>
      </c>
    </row>
    <row r="658" customFormat="false" ht="15" hidden="false" customHeight="false" outlineLevel="0" collapsed="false">
      <c r="E658" s="15" t="str">
        <f aca="false">Hierarchy!A689</f>
        <v>Zurich (canton)</v>
      </c>
    </row>
    <row r="659" customFormat="false" ht="15" hidden="false" customHeight="false" outlineLevel="0" collapsed="false">
      <c r="F659" s="16" t="str">
        <f aca="false">Hierarchy!A690</f>
        <v>Geneva</v>
      </c>
    </row>
    <row r="660" customFormat="false" ht="15" hidden="false" customHeight="false" outlineLevel="0" collapsed="false">
      <c r="F660" s="16" t="str">
        <f aca="false">Hierarchy!A691</f>
        <v>Zurich</v>
      </c>
    </row>
    <row r="661" customFormat="false" ht="15" hidden="false" customHeight="false" outlineLevel="0" collapsed="false">
      <c r="D661" s="7" t="str">
        <f aca="false">Hierarchy!A692</f>
        <v>Tajikistan</v>
      </c>
      <c r="G661" s="7" t="str">
        <f aca="false">Hierarchy!G692</f>
        <v>TJK</v>
      </c>
    </row>
    <row r="662" customFormat="false" ht="15" hidden="false" customHeight="false" outlineLevel="0" collapsed="false">
      <c r="D662" s="7" t="str">
        <f aca="false">Hierarchy!A693</f>
        <v>Turkmenistan</v>
      </c>
      <c r="G662" s="7" t="str">
        <f aca="false">Hierarchy!G693</f>
        <v>TKM</v>
      </c>
    </row>
    <row r="663" customFormat="false" ht="15" hidden="false" customHeight="false" outlineLevel="0" collapsed="false">
      <c r="D663" s="7" t="str">
        <f aca="false">Hierarchy!A694</f>
        <v>Türkiye</v>
      </c>
      <c r="G663" s="7" t="str">
        <f aca="false">Hierarchy!G694</f>
        <v>TUR</v>
      </c>
    </row>
    <row r="664" customFormat="false" ht="15" hidden="false" customHeight="false" outlineLevel="0" collapsed="false">
      <c r="F664" s="16" t="str">
        <f aca="false">Hierarchy!A695</f>
        <v>Ankara</v>
      </c>
    </row>
    <row r="665" customFormat="false" ht="15" hidden="false" customHeight="false" outlineLevel="0" collapsed="false">
      <c r="F665" s="16" t="str">
        <f aca="false">Hierarchy!A696</f>
        <v>Istanbul</v>
      </c>
    </row>
    <row r="666" customFormat="false" ht="15" hidden="false" customHeight="false" outlineLevel="0" collapsed="false">
      <c r="D666" s="7" t="str">
        <f aca="false">Hierarchy!A697</f>
        <v>Ukraine</v>
      </c>
      <c r="G666" s="7" t="str">
        <f aca="false">Hierarchy!G697</f>
        <v>UKR</v>
      </c>
    </row>
    <row r="667" customFormat="false" ht="15" hidden="false" customHeight="false" outlineLevel="0" collapsed="false">
      <c r="F667" s="16" t="str">
        <f aca="false">Hierarchy!A698</f>
        <v>Kyiv</v>
      </c>
    </row>
    <row r="668" customFormat="false" ht="15" hidden="false" customHeight="false" outlineLevel="0" collapsed="false">
      <c r="D668" s="7" t="str">
        <f aca="false">Hierarchy!A699</f>
        <v>Uzbekistan</v>
      </c>
      <c r="G668" s="7" t="str">
        <f aca="false">Hierarchy!G699</f>
        <v>UZB</v>
      </c>
    </row>
    <row r="669" customFormat="false" ht="15" hidden="false" customHeight="false" outlineLevel="0" collapsed="false">
      <c r="D669" s="7" t="str">
        <f aca="false">Hierarchy!A700</f>
        <v>Vatican City</v>
      </c>
      <c r="G669" s="7" t="str">
        <f aca="false">Hierarchy!G700</f>
        <v>VAT</v>
      </c>
    </row>
    <row r="670" customFormat="false" ht="15" hidden="false" customHeight="false" outlineLevel="0" collapsed="false">
      <c r="D670" s="7" t="str">
        <f aca="false">Hierarchy!A701</f>
        <v>Åland Islands</v>
      </c>
      <c r="G670" s="7" t="str">
        <f aca="false">Hierarchy!G701</f>
        <v>ALA</v>
      </c>
    </row>
    <row r="671" customFormat="false" ht="15" hidden="false" customHeight="false" outlineLevel="0" collapsed="false">
      <c r="A671" s="13"/>
      <c r="B671" s="13"/>
      <c r="C671" s="3" t="str">
        <f aca="false">Hierarchy!A702</f>
        <v>Middle East</v>
      </c>
      <c r="D671" s="13"/>
      <c r="E671" s="13"/>
      <c r="F671" s="13"/>
      <c r="G671" s="13"/>
    </row>
    <row r="672" customFormat="false" ht="15" hidden="false" customHeight="false" outlineLevel="0" collapsed="false">
      <c r="D672" s="7" t="str">
        <f aca="false">Hierarchy!A705</f>
        <v>United Arab Emirates</v>
      </c>
      <c r="G672" s="7" t="str">
        <f aca="false">Hierarchy!G705</f>
        <v>ARE</v>
      </c>
    </row>
    <row r="673" customFormat="false" ht="15" hidden="false" customHeight="false" outlineLevel="0" collapsed="false">
      <c r="E673" s="15" t="str">
        <f aca="false">Hierarchy!A706</f>
        <v>Abu Dhabi</v>
      </c>
    </row>
    <row r="674" customFormat="false" ht="15" hidden="false" customHeight="false" outlineLevel="0" collapsed="false">
      <c r="E674" s="15" t="str">
        <f aca="false">Hierarchy!A707</f>
        <v>Ajman</v>
      </c>
    </row>
    <row r="675" customFormat="false" ht="15" hidden="false" customHeight="false" outlineLevel="0" collapsed="false">
      <c r="E675" s="15" t="str">
        <f aca="false">Hierarchy!A708</f>
        <v>Dubai</v>
      </c>
    </row>
    <row r="676" customFormat="false" ht="15" hidden="false" customHeight="false" outlineLevel="0" collapsed="false">
      <c r="E676" s="15" t="str">
        <f aca="false">Hierarchy!A709</f>
        <v>Fujairah</v>
      </c>
    </row>
    <row r="677" customFormat="false" ht="15" hidden="false" customHeight="false" outlineLevel="0" collapsed="false">
      <c r="E677" s="15" t="str">
        <f aca="false">Hierarchy!A710</f>
        <v>Ras Al Khaimah</v>
      </c>
    </row>
    <row r="678" customFormat="false" ht="15" hidden="false" customHeight="false" outlineLevel="0" collapsed="false">
      <c r="E678" s="15" t="str">
        <f aca="false">Hierarchy!A711</f>
        <v>Sharjah</v>
      </c>
    </row>
    <row r="679" customFormat="false" ht="15" hidden="false" customHeight="false" outlineLevel="0" collapsed="false">
      <c r="E679" s="15" t="str">
        <f aca="false">Hierarchy!A712</f>
        <v>Umm Al Quwain</v>
      </c>
    </row>
    <row r="680" customFormat="false" ht="15" hidden="false" customHeight="false" outlineLevel="0" collapsed="false">
      <c r="D680" s="7" t="str">
        <f aca="false">Hierarchy!A713</f>
        <v>Saudi Arabia</v>
      </c>
      <c r="G680" s="7" t="str">
        <f aca="false">Hierarchy!G713</f>
        <v>SAU</v>
      </c>
    </row>
    <row r="681" customFormat="false" ht="15" hidden="false" customHeight="false" outlineLevel="0" collapsed="false">
      <c r="E681" s="15" t="str">
        <f aca="false">Hierarchy!A714</f>
        <v>Al Bahah Province</v>
      </c>
    </row>
    <row r="682" customFormat="false" ht="15" hidden="false" customHeight="false" outlineLevel="0" collapsed="false">
      <c r="E682" s="15" t="str">
        <f aca="false">Hierarchy!A715</f>
        <v>Al Jawf Province</v>
      </c>
    </row>
    <row r="683" customFormat="false" ht="15" hidden="false" customHeight="false" outlineLevel="0" collapsed="false">
      <c r="E683" s="15" t="str">
        <f aca="false">Hierarchy!A716</f>
        <v>Asir Province</v>
      </c>
    </row>
    <row r="684" customFormat="false" ht="15" hidden="false" customHeight="false" outlineLevel="0" collapsed="false">
      <c r="E684" s="15" t="str">
        <f aca="false">Hierarchy!A717</f>
        <v>Eastern Province</v>
      </c>
    </row>
    <row r="685" customFormat="false" ht="15" hidden="false" customHeight="false" outlineLevel="0" collapsed="false">
      <c r="F685" s="16" t="str">
        <f aca="false">Hierarchy!A718</f>
        <v>Dammam</v>
      </c>
    </row>
    <row r="686" customFormat="false" ht="15" hidden="false" customHeight="false" outlineLevel="0" collapsed="false">
      <c r="E686" s="15" t="str">
        <f aca="false">Hierarchy!A719</f>
        <v>Hail Province</v>
      </c>
    </row>
    <row r="687" customFormat="false" ht="15" hidden="false" customHeight="false" outlineLevel="0" collapsed="false">
      <c r="E687" s="15" t="str">
        <f aca="false">Hierarchy!A720</f>
        <v>Jazan Province</v>
      </c>
    </row>
    <row r="688" customFormat="false" ht="15" hidden="false" customHeight="false" outlineLevel="0" collapsed="false">
      <c r="E688" s="15" t="str">
        <f aca="false">Hierarchy!A721</f>
        <v>Mecca Province</v>
      </c>
    </row>
    <row r="689" customFormat="false" ht="15" hidden="false" customHeight="false" outlineLevel="0" collapsed="false">
      <c r="F689" s="16" t="str">
        <f aca="false">Hierarchy!A722</f>
        <v>Jeddah</v>
      </c>
    </row>
    <row r="690" customFormat="false" ht="15" hidden="false" customHeight="false" outlineLevel="0" collapsed="false">
      <c r="E690" s="15" t="str">
        <f aca="false">Hierarchy!A723</f>
        <v>Medina Province</v>
      </c>
    </row>
    <row r="691" customFormat="false" ht="15" hidden="false" customHeight="false" outlineLevel="0" collapsed="false">
      <c r="E691" s="15" t="str">
        <f aca="false">Hierarchy!A724</f>
        <v>Najran Province</v>
      </c>
    </row>
    <row r="692" customFormat="false" ht="15" hidden="false" customHeight="false" outlineLevel="0" collapsed="false">
      <c r="E692" s="15" t="str">
        <f aca="false">Hierarchy!A725</f>
        <v>Northern Borders Province</v>
      </c>
    </row>
    <row r="693" customFormat="false" ht="15" hidden="false" customHeight="false" outlineLevel="0" collapsed="false">
      <c r="E693" s="15" t="str">
        <f aca="false">Hierarchy!A726</f>
        <v>Qassim Province</v>
      </c>
    </row>
    <row r="694" customFormat="false" ht="15" hidden="false" customHeight="false" outlineLevel="0" collapsed="false">
      <c r="E694" s="15" t="str">
        <f aca="false">Hierarchy!A727</f>
        <v>Riyadh Province</v>
      </c>
    </row>
    <row r="695" customFormat="false" ht="15" hidden="false" customHeight="false" outlineLevel="0" collapsed="false">
      <c r="E695" s="15" t="str">
        <f aca="false">Hierarchy!A728</f>
        <v>Tabuk Province</v>
      </c>
    </row>
    <row r="696" customFormat="false" ht="15" hidden="false" customHeight="false" outlineLevel="0" collapsed="false">
      <c r="D696" s="7" t="str">
        <f aca="false">Hierarchy!A729</f>
        <v>Bahrain</v>
      </c>
      <c r="G696" s="7" t="str">
        <f aca="false">Hierarchy!G729</f>
        <v>BHR</v>
      </c>
    </row>
    <row r="697" customFormat="false" ht="15" hidden="false" customHeight="false" outlineLevel="0" collapsed="false">
      <c r="D697" s="7" t="str">
        <f aca="false">Hierarchy!A730</f>
        <v>Iran</v>
      </c>
      <c r="G697" s="7" t="str">
        <f aca="false">Hierarchy!G730</f>
        <v>IRN</v>
      </c>
    </row>
    <row r="698" customFormat="false" ht="15" hidden="false" customHeight="false" outlineLevel="0" collapsed="false">
      <c r="D698" s="7" t="str">
        <f aca="false">Hierarchy!A731</f>
        <v>Iraq</v>
      </c>
      <c r="G698" s="7" t="str">
        <f aca="false">Hierarchy!G731</f>
        <v>IRQ</v>
      </c>
    </row>
    <row r="699" customFormat="false" ht="15" hidden="false" customHeight="false" outlineLevel="0" collapsed="false">
      <c r="D699" s="7" t="str">
        <f aca="false">Hierarchy!A732</f>
        <v>Israel</v>
      </c>
      <c r="G699" s="7" t="str">
        <f aca="false">Hierarchy!G732</f>
        <v>ISR</v>
      </c>
    </row>
    <row r="700" customFormat="false" ht="15" hidden="false" customHeight="false" outlineLevel="0" collapsed="false">
      <c r="F700" s="16" t="str">
        <f aca="false">Hierarchy!A733</f>
        <v>Jerusalem</v>
      </c>
    </row>
    <row r="701" customFormat="false" ht="15" hidden="false" customHeight="false" outlineLevel="0" collapsed="false">
      <c r="F701" s="16" t="str">
        <f aca="false">Hierarchy!A734</f>
        <v>Tel Aviv</v>
      </c>
    </row>
    <row r="702" customFormat="false" ht="15" hidden="false" customHeight="false" outlineLevel="0" collapsed="false">
      <c r="D702" s="7" t="str">
        <f aca="false">Hierarchy!A735</f>
        <v>Jordan</v>
      </c>
      <c r="G702" s="7" t="str">
        <f aca="false">Hierarchy!G735</f>
        <v>JOR</v>
      </c>
    </row>
    <row r="703" customFormat="false" ht="15" hidden="false" customHeight="false" outlineLevel="0" collapsed="false">
      <c r="D703" s="7" t="str">
        <f aca="false">Hierarchy!A736</f>
        <v>Kuwait</v>
      </c>
      <c r="G703" s="7" t="str">
        <f aca="false">Hierarchy!G736</f>
        <v>KWT</v>
      </c>
    </row>
    <row r="704" customFormat="false" ht="15" hidden="false" customHeight="false" outlineLevel="0" collapsed="false">
      <c r="F704" s="16" t="str">
        <f aca="false">Hierarchy!A737</f>
        <v>Kuwait City</v>
      </c>
    </row>
    <row r="705" customFormat="false" ht="15" hidden="false" customHeight="false" outlineLevel="0" collapsed="false">
      <c r="D705" s="7" t="str">
        <f aca="false">Hierarchy!A738</f>
        <v>Lebanon</v>
      </c>
      <c r="G705" s="7" t="str">
        <f aca="false">Hierarchy!G738</f>
        <v>LBN</v>
      </c>
    </row>
    <row r="706" customFormat="false" ht="15" hidden="false" customHeight="false" outlineLevel="0" collapsed="false">
      <c r="D706" s="7" t="str">
        <f aca="false">Hierarchy!A739</f>
        <v>Oman</v>
      </c>
      <c r="G706" s="7" t="str">
        <f aca="false">Hierarchy!G739</f>
        <v>OMN</v>
      </c>
    </row>
    <row r="707" customFormat="false" ht="15" hidden="false" customHeight="false" outlineLevel="0" collapsed="false">
      <c r="D707" s="7" t="str">
        <f aca="false">Hierarchy!A740</f>
        <v>Palestine</v>
      </c>
      <c r="G707" s="7" t="str">
        <f aca="false">Hierarchy!G740</f>
        <v>PSE</v>
      </c>
    </row>
    <row r="708" customFormat="false" ht="15" hidden="false" customHeight="false" outlineLevel="0" collapsed="false">
      <c r="D708" s="7" t="str">
        <f aca="false">Hierarchy!A741</f>
        <v>Qatar</v>
      </c>
      <c r="G708" s="7" t="str">
        <f aca="false">Hierarchy!G741</f>
        <v>QAT</v>
      </c>
    </row>
    <row r="709" customFormat="false" ht="15" hidden="false" customHeight="false" outlineLevel="0" collapsed="false">
      <c r="F709" s="16" t="str">
        <f aca="false">Hierarchy!A742</f>
        <v>Doha</v>
      </c>
    </row>
    <row r="710" customFormat="false" ht="15" hidden="false" customHeight="false" outlineLevel="0" collapsed="false">
      <c r="D710" s="7" t="str">
        <f aca="false">Hierarchy!A743</f>
        <v>Syria</v>
      </c>
      <c r="G710" s="7" t="str">
        <f aca="false">Hierarchy!G743</f>
        <v>SYR</v>
      </c>
    </row>
    <row r="711" customFormat="false" ht="15" hidden="false" customHeight="false" outlineLevel="0" collapsed="false">
      <c r="D711" s="7" t="str">
        <f aca="false">Hierarchy!A744</f>
        <v>Yemen</v>
      </c>
      <c r="G711" s="7" t="str">
        <f aca="false">Hierarchy!G744</f>
        <v>YEM</v>
      </c>
    </row>
    <row r="712" customFormat="false" ht="15" hidden="false" customHeight="false" outlineLevel="0" collapsed="false">
      <c r="A712" s="13"/>
      <c r="B712" s="13"/>
      <c r="C712" s="3" t="str">
        <f aca="false">Hierarchy!A745</f>
        <v>Africa</v>
      </c>
      <c r="D712" s="13"/>
      <c r="E712" s="13"/>
      <c r="F712" s="13"/>
      <c r="G712" s="13"/>
    </row>
    <row r="713" customFormat="false" ht="15" hidden="false" customHeight="false" outlineLevel="0" collapsed="false">
      <c r="D713" s="7" t="str">
        <f aca="false">Hierarchy!A753</f>
        <v>South Africa</v>
      </c>
      <c r="G713" s="7" t="str">
        <f aca="false">Hierarchy!G753</f>
        <v>ZAF</v>
      </c>
    </row>
    <row r="714" customFormat="false" ht="15" hidden="false" customHeight="false" outlineLevel="0" collapsed="false">
      <c r="E714" s="15" t="str">
        <f aca="false">Hierarchy!A754</f>
        <v>Eastern Cape</v>
      </c>
    </row>
    <row r="715" customFormat="false" ht="15" hidden="false" customHeight="false" outlineLevel="0" collapsed="false">
      <c r="E715" s="15" t="str">
        <f aca="false">Hierarchy!A755</f>
        <v>Free State</v>
      </c>
    </row>
    <row r="716" customFormat="false" ht="15" hidden="false" customHeight="false" outlineLevel="0" collapsed="false">
      <c r="E716" s="15" t="str">
        <f aca="false">Hierarchy!A756</f>
        <v>Gauteng</v>
      </c>
    </row>
    <row r="717" customFormat="false" ht="15" hidden="false" customHeight="false" outlineLevel="0" collapsed="false">
      <c r="F717" s="16" t="str">
        <f aca="false">Hierarchy!A757</f>
        <v>Johannesburg</v>
      </c>
    </row>
    <row r="718" customFormat="false" ht="15" hidden="false" customHeight="false" outlineLevel="0" collapsed="false">
      <c r="F718" s="16" t="str">
        <f aca="false">Hierarchy!A758</f>
        <v>Pretoria</v>
      </c>
    </row>
    <row r="719" customFormat="false" ht="15" hidden="false" customHeight="false" outlineLevel="0" collapsed="false">
      <c r="E719" s="15" t="str">
        <f aca="false">Hierarchy!A759</f>
        <v>KwaZulu-Natal</v>
      </c>
    </row>
    <row r="720" customFormat="false" ht="15" hidden="false" customHeight="false" outlineLevel="0" collapsed="false">
      <c r="F720" s="16" t="str">
        <f aca="false">Hierarchy!A760</f>
        <v>Durban</v>
      </c>
    </row>
    <row r="721" customFormat="false" ht="15" hidden="false" customHeight="false" outlineLevel="0" collapsed="false">
      <c r="E721" s="15" t="str">
        <f aca="false">Hierarchy!A761</f>
        <v>Limpopo</v>
      </c>
    </row>
    <row r="722" customFormat="false" ht="15" hidden="false" customHeight="false" outlineLevel="0" collapsed="false">
      <c r="E722" s="15" t="str">
        <f aca="false">Hierarchy!A762</f>
        <v>Mpumalanga</v>
      </c>
    </row>
    <row r="723" customFormat="false" ht="15" hidden="false" customHeight="false" outlineLevel="0" collapsed="false">
      <c r="E723" s="15" t="str">
        <f aca="false">Hierarchy!A763</f>
        <v>North West</v>
      </c>
    </row>
    <row r="724" customFormat="false" ht="15" hidden="false" customHeight="false" outlineLevel="0" collapsed="false">
      <c r="E724" s="15" t="str">
        <f aca="false">Hierarchy!A764</f>
        <v>Northern Cape</v>
      </c>
    </row>
    <row r="725" customFormat="false" ht="15" hidden="false" customHeight="false" outlineLevel="0" collapsed="false">
      <c r="E725" s="15" t="str">
        <f aca="false">Hierarchy!A765</f>
        <v>Western Cape</v>
      </c>
    </row>
    <row r="726" customFormat="false" ht="15" hidden="false" customHeight="false" outlineLevel="0" collapsed="false">
      <c r="F726" s="16" t="str">
        <f aca="false">Hierarchy!A766</f>
        <v>Cape Town</v>
      </c>
    </row>
    <row r="727" customFormat="false" ht="15" hidden="false" customHeight="false" outlineLevel="0" collapsed="false">
      <c r="D727" s="7" t="str">
        <f aca="false">Hierarchy!A767</f>
        <v>Nigeria</v>
      </c>
      <c r="G727" s="7" t="str">
        <f aca="false">Hierarchy!G767</f>
        <v>NGA</v>
      </c>
    </row>
    <row r="728" customFormat="false" ht="15" hidden="false" customHeight="false" outlineLevel="0" collapsed="false">
      <c r="E728" s="15" t="str">
        <f aca="false">Hierarchy!A768</f>
        <v>Abia</v>
      </c>
    </row>
    <row r="729" customFormat="false" ht="15" hidden="false" customHeight="false" outlineLevel="0" collapsed="false">
      <c r="E729" s="15" t="str">
        <f aca="false">Hierarchy!A769</f>
        <v>Adamawa</v>
      </c>
    </row>
    <row r="730" customFormat="false" ht="15" hidden="false" customHeight="false" outlineLevel="0" collapsed="false">
      <c r="E730" s="15" t="str">
        <f aca="false">Hierarchy!A770</f>
        <v>Akwa Ibom</v>
      </c>
    </row>
    <row r="731" customFormat="false" ht="15" hidden="false" customHeight="false" outlineLevel="0" collapsed="false">
      <c r="E731" s="15" t="str">
        <f aca="false">Hierarchy!A771</f>
        <v>Anambra</v>
      </c>
    </row>
    <row r="732" customFormat="false" ht="15" hidden="false" customHeight="false" outlineLevel="0" collapsed="false">
      <c r="E732" s="15" t="str">
        <f aca="false">Hierarchy!A772</f>
        <v>Bauchi</v>
      </c>
    </row>
    <row r="733" customFormat="false" ht="15" hidden="false" customHeight="false" outlineLevel="0" collapsed="false">
      <c r="E733" s="15" t="str">
        <f aca="false">Hierarchy!A773</f>
        <v>Bayelsa</v>
      </c>
    </row>
    <row r="734" customFormat="false" ht="15" hidden="false" customHeight="false" outlineLevel="0" collapsed="false">
      <c r="E734" s="15" t="str">
        <f aca="false">Hierarchy!A774</f>
        <v>Benue</v>
      </c>
    </row>
    <row r="735" customFormat="false" ht="15" hidden="false" customHeight="false" outlineLevel="0" collapsed="false">
      <c r="E735" s="15" t="str">
        <f aca="false">Hierarchy!A775</f>
        <v>Borno</v>
      </c>
    </row>
    <row r="736" customFormat="false" ht="15" hidden="false" customHeight="false" outlineLevel="0" collapsed="false">
      <c r="E736" s="15" t="str">
        <f aca="false">Hierarchy!A776</f>
        <v>Cross River</v>
      </c>
    </row>
    <row r="737" customFormat="false" ht="15" hidden="false" customHeight="false" outlineLevel="0" collapsed="false">
      <c r="E737" s="15" t="str">
        <f aca="false">Hierarchy!A777</f>
        <v>Delta</v>
      </c>
    </row>
    <row r="738" customFormat="false" ht="15" hidden="false" customHeight="false" outlineLevel="0" collapsed="false">
      <c r="E738" s="15" t="str">
        <f aca="false">Hierarchy!A778</f>
        <v>Ebonyi</v>
      </c>
    </row>
    <row r="739" customFormat="false" ht="15" hidden="false" customHeight="false" outlineLevel="0" collapsed="false">
      <c r="E739" s="15" t="str">
        <f aca="false">Hierarchy!A779</f>
        <v>Edo</v>
      </c>
    </row>
    <row r="740" customFormat="false" ht="15" hidden="false" customHeight="false" outlineLevel="0" collapsed="false">
      <c r="E740" s="15" t="str">
        <f aca="false">Hierarchy!A780</f>
        <v>Ekiti</v>
      </c>
    </row>
    <row r="741" customFormat="false" ht="15" hidden="false" customHeight="false" outlineLevel="0" collapsed="false">
      <c r="E741" s="15" t="str">
        <f aca="false">Hierarchy!A781</f>
        <v>Enugu</v>
      </c>
    </row>
    <row r="742" customFormat="false" ht="15" hidden="false" customHeight="false" outlineLevel="0" collapsed="false">
      <c r="E742" s="15" t="str">
        <f aca="false">Hierarchy!A782</f>
        <v>Federal Capital Territory (Abuja)</v>
      </c>
    </row>
    <row r="743" customFormat="false" ht="15" hidden="false" customHeight="false" outlineLevel="0" collapsed="false">
      <c r="E743" s="15" t="str">
        <f aca="false">Hierarchy!A783</f>
        <v>Gombe</v>
      </c>
    </row>
    <row r="744" customFormat="false" ht="15" hidden="false" customHeight="false" outlineLevel="0" collapsed="false">
      <c r="E744" s="15" t="str">
        <f aca="false">Hierarchy!A784</f>
        <v>Imo</v>
      </c>
    </row>
    <row r="745" customFormat="false" ht="15" hidden="false" customHeight="false" outlineLevel="0" collapsed="false">
      <c r="E745" s="15" t="str">
        <f aca="false">Hierarchy!A785</f>
        <v>Jigawa</v>
      </c>
    </row>
    <row r="746" customFormat="false" ht="15" hidden="false" customHeight="false" outlineLevel="0" collapsed="false">
      <c r="E746" s="15" t="str">
        <f aca="false">Hierarchy!A786</f>
        <v>Kaduna</v>
      </c>
    </row>
    <row r="747" customFormat="false" ht="15" hidden="false" customHeight="false" outlineLevel="0" collapsed="false">
      <c r="E747" s="15" t="str">
        <f aca="false">Hierarchy!A787</f>
        <v>Kano</v>
      </c>
    </row>
    <row r="748" customFormat="false" ht="15" hidden="false" customHeight="false" outlineLevel="0" collapsed="false">
      <c r="E748" s="15" t="str">
        <f aca="false">Hierarchy!A788</f>
        <v>Katsina</v>
      </c>
    </row>
    <row r="749" customFormat="false" ht="15" hidden="false" customHeight="false" outlineLevel="0" collapsed="false">
      <c r="E749" s="15" t="str">
        <f aca="false">Hierarchy!A789</f>
        <v>Kebbi</v>
      </c>
    </row>
    <row r="750" customFormat="false" ht="15" hidden="false" customHeight="false" outlineLevel="0" collapsed="false">
      <c r="E750" s="15" t="str">
        <f aca="false">Hierarchy!A790</f>
        <v>Kogi</v>
      </c>
    </row>
    <row r="751" customFormat="false" ht="15" hidden="false" customHeight="false" outlineLevel="0" collapsed="false">
      <c r="E751" s="15" t="str">
        <f aca="false">Hierarchy!A791</f>
        <v>Kwara</v>
      </c>
    </row>
    <row r="752" customFormat="false" ht="15" hidden="false" customHeight="false" outlineLevel="0" collapsed="false">
      <c r="E752" s="15" t="str">
        <f aca="false">Hierarchy!A792</f>
        <v>Lagos</v>
      </c>
    </row>
    <row r="753" customFormat="false" ht="15" hidden="false" customHeight="false" outlineLevel="0" collapsed="false">
      <c r="E753" s="15" t="str">
        <f aca="false">Hierarchy!A793</f>
        <v>Nasarawa</v>
      </c>
    </row>
    <row r="754" customFormat="false" ht="15" hidden="false" customHeight="false" outlineLevel="0" collapsed="false">
      <c r="E754" s="15" t="str">
        <f aca="false">Hierarchy!A794</f>
        <v>Niger State</v>
      </c>
    </row>
    <row r="755" customFormat="false" ht="15" hidden="false" customHeight="false" outlineLevel="0" collapsed="false">
      <c r="E755" s="15" t="str">
        <f aca="false">Hierarchy!A795</f>
        <v>Ogun</v>
      </c>
    </row>
    <row r="756" customFormat="false" ht="15" hidden="false" customHeight="false" outlineLevel="0" collapsed="false">
      <c r="E756" s="15" t="str">
        <f aca="false">Hierarchy!A796</f>
        <v>Ondo</v>
      </c>
    </row>
    <row r="757" customFormat="false" ht="15" hidden="false" customHeight="false" outlineLevel="0" collapsed="false">
      <c r="E757" s="15" t="str">
        <f aca="false">Hierarchy!A797</f>
        <v>Osun</v>
      </c>
    </row>
    <row r="758" customFormat="false" ht="15" hidden="false" customHeight="false" outlineLevel="0" collapsed="false">
      <c r="E758" s="15" t="str">
        <f aca="false">Hierarchy!A798</f>
        <v>Oyo</v>
      </c>
    </row>
    <row r="759" customFormat="false" ht="15" hidden="false" customHeight="false" outlineLevel="0" collapsed="false">
      <c r="E759" s="15" t="str">
        <f aca="false">Hierarchy!A799</f>
        <v>Plateau</v>
      </c>
    </row>
    <row r="760" customFormat="false" ht="15" hidden="false" customHeight="false" outlineLevel="0" collapsed="false">
      <c r="E760" s="15" t="str">
        <f aca="false">Hierarchy!A800</f>
        <v>Rivers</v>
      </c>
    </row>
    <row r="761" customFormat="false" ht="15" hidden="false" customHeight="false" outlineLevel="0" collapsed="false">
      <c r="E761" s="15" t="str">
        <f aca="false">Hierarchy!A801</f>
        <v>Sokoto</v>
      </c>
    </row>
    <row r="762" customFormat="false" ht="15" hidden="false" customHeight="false" outlineLevel="0" collapsed="false">
      <c r="E762" s="15" t="str">
        <f aca="false">Hierarchy!A802</f>
        <v>Taraba</v>
      </c>
    </row>
    <row r="763" customFormat="false" ht="15" hidden="false" customHeight="false" outlineLevel="0" collapsed="false">
      <c r="E763" s="15" t="str">
        <f aca="false">Hierarchy!A803</f>
        <v>Yobe</v>
      </c>
    </row>
    <row r="764" customFormat="false" ht="15" hidden="false" customHeight="false" outlineLevel="0" collapsed="false">
      <c r="E764" s="15" t="str">
        <f aca="false">Hierarchy!A804</f>
        <v>Zamfara</v>
      </c>
    </row>
    <row r="765" customFormat="false" ht="15" hidden="false" customHeight="false" outlineLevel="0" collapsed="false">
      <c r="D765" s="7" t="str">
        <f aca="false">Hierarchy!A805</f>
        <v>Algeria</v>
      </c>
      <c r="G765" s="7" t="str">
        <f aca="false">Hierarchy!G805</f>
        <v>DZA</v>
      </c>
    </row>
    <row r="766" customFormat="false" ht="15" hidden="false" customHeight="false" outlineLevel="0" collapsed="false">
      <c r="D766" s="7" t="str">
        <f aca="false">Hierarchy!A806</f>
        <v>Angola</v>
      </c>
      <c r="G766" s="7" t="str">
        <f aca="false">Hierarchy!G806</f>
        <v>AGO</v>
      </c>
    </row>
    <row r="767" customFormat="false" ht="15" hidden="false" customHeight="false" outlineLevel="0" collapsed="false">
      <c r="D767" s="7" t="str">
        <f aca="false">Hierarchy!A807</f>
        <v>Benin</v>
      </c>
      <c r="G767" s="7" t="str">
        <f aca="false">Hierarchy!G807</f>
        <v>BEN</v>
      </c>
    </row>
    <row r="768" customFormat="false" ht="15" hidden="false" customHeight="false" outlineLevel="0" collapsed="false">
      <c r="D768" s="7" t="str">
        <f aca="false">Hierarchy!A808</f>
        <v>Botswana</v>
      </c>
      <c r="G768" s="7" t="str">
        <f aca="false">Hierarchy!G808</f>
        <v>BWA</v>
      </c>
    </row>
    <row r="769" customFormat="false" ht="15" hidden="false" customHeight="false" outlineLevel="0" collapsed="false">
      <c r="D769" s="7" t="str">
        <f aca="false">Hierarchy!A809</f>
        <v>Burkina Faso</v>
      </c>
      <c r="G769" s="7" t="str">
        <f aca="false">Hierarchy!G809</f>
        <v>BFA</v>
      </c>
    </row>
    <row r="770" customFormat="false" ht="15" hidden="false" customHeight="false" outlineLevel="0" collapsed="false">
      <c r="D770" s="7" t="str">
        <f aca="false">Hierarchy!A810</f>
        <v>Burundi</v>
      </c>
      <c r="G770" s="7" t="str">
        <f aca="false">Hierarchy!G810</f>
        <v>BDI</v>
      </c>
    </row>
    <row r="771" customFormat="false" ht="15" hidden="false" customHeight="false" outlineLevel="0" collapsed="false">
      <c r="D771" s="7" t="str">
        <f aca="false">Hierarchy!A811</f>
        <v>Cabo Verde</v>
      </c>
      <c r="G771" s="7" t="str">
        <f aca="false">Hierarchy!G811</f>
        <v>CPV</v>
      </c>
    </row>
    <row r="772" customFormat="false" ht="15" hidden="false" customHeight="false" outlineLevel="0" collapsed="false">
      <c r="D772" s="7" t="str">
        <f aca="false">Hierarchy!A812</f>
        <v>Cameroon</v>
      </c>
      <c r="G772" s="7" t="str">
        <f aca="false">Hierarchy!G812</f>
        <v>CMR</v>
      </c>
    </row>
    <row r="773" customFormat="false" ht="15" hidden="false" customHeight="false" outlineLevel="0" collapsed="false">
      <c r="D773" s="7" t="str">
        <f aca="false">Hierarchy!A813</f>
        <v>Central African Republic</v>
      </c>
      <c r="G773" s="7" t="str">
        <f aca="false">Hierarchy!G813</f>
        <v>CAF</v>
      </c>
    </row>
    <row r="774" customFormat="false" ht="15" hidden="false" customHeight="false" outlineLevel="0" collapsed="false">
      <c r="D774" s="7" t="str">
        <f aca="false">Hierarchy!A814</f>
        <v>Chad</v>
      </c>
      <c r="G774" s="7" t="str">
        <f aca="false">Hierarchy!G814</f>
        <v>TCD</v>
      </c>
    </row>
    <row r="775" customFormat="false" ht="15" hidden="false" customHeight="false" outlineLevel="0" collapsed="false">
      <c r="D775" s="7" t="str">
        <f aca="false">Hierarchy!A815</f>
        <v>Comoros</v>
      </c>
      <c r="G775" s="7" t="str">
        <f aca="false">Hierarchy!G815</f>
        <v>COM</v>
      </c>
    </row>
    <row r="776" customFormat="false" ht="15" hidden="false" customHeight="false" outlineLevel="0" collapsed="false">
      <c r="D776" s="7" t="str">
        <f aca="false">Hierarchy!A816</f>
        <v>Côte d'Ivoire (Ivory Coast)</v>
      </c>
      <c r="G776" s="7" t="str">
        <f aca="false">Hierarchy!G816</f>
        <v>CIV</v>
      </c>
    </row>
    <row r="777" customFormat="false" ht="15" hidden="false" customHeight="false" outlineLevel="0" collapsed="false">
      <c r="D777" s="7" t="str">
        <f aca="false">Hierarchy!A817</f>
        <v>Democratic Republic of the Congo (DRC)</v>
      </c>
      <c r="G777" s="7" t="str">
        <f aca="false">Hierarchy!G817</f>
        <v>COD</v>
      </c>
    </row>
    <row r="778" customFormat="false" ht="15" hidden="false" customHeight="false" outlineLevel="0" collapsed="false">
      <c r="D778" s="7" t="str">
        <f aca="false">Hierarchy!A818</f>
        <v>Djibouti</v>
      </c>
      <c r="G778" s="7" t="str">
        <f aca="false">Hierarchy!G818</f>
        <v>DJI</v>
      </c>
    </row>
    <row r="779" customFormat="false" ht="15" hidden="false" customHeight="false" outlineLevel="0" collapsed="false">
      <c r="D779" s="7" t="str">
        <f aca="false">Hierarchy!A819</f>
        <v>Egypt</v>
      </c>
      <c r="G779" s="7" t="str">
        <f aca="false">Hierarchy!G819</f>
        <v>EGY</v>
      </c>
    </row>
    <row r="780" customFormat="false" ht="15" hidden="false" customHeight="false" outlineLevel="0" collapsed="false">
      <c r="F780" s="16" t="str">
        <f aca="false">Hierarchy!A820</f>
        <v>Cairo</v>
      </c>
    </row>
    <row r="781" customFormat="false" ht="15" hidden="false" customHeight="false" outlineLevel="0" collapsed="false">
      <c r="D781" s="7" t="str">
        <f aca="false">Hierarchy!A821</f>
        <v>Equatorial Guinea</v>
      </c>
      <c r="G781" s="7" t="str">
        <f aca="false">Hierarchy!G821</f>
        <v>GNQ</v>
      </c>
    </row>
    <row r="782" customFormat="false" ht="15" hidden="false" customHeight="false" outlineLevel="0" collapsed="false">
      <c r="D782" s="7" t="str">
        <f aca="false">Hierarchy!A822</f>
        <v>Eritrea</v>
      </c>
      <c r="G782" s="7" t="str">
        <f aca="false">Hierarchy!G822</f>
        <v>ERI</v>
      </c>
    </row>
    <row r="783" customFormat="false" ht="15" hidden="false" customHeight="false" outlineLevel="0" collapsed="false">
      <c r="D783" s="7" t="str">
        <f aca="false">Hierarchy!A823</f>
        <v>Eswatini</v>
      </c>
      <c r="G783" s="7" t="str">
        <f aca="false">Hierarchy!G823</f>
        <v>SWZ</v>
      </c>
    </row>
    <row r="784" customFormat="false" ht="15" hidden="false" customHeight="false" outlineLevel="0" collapsed="false">
      <c r="D784" s="7" t="str">
        <f aca="false">Hierarchy!A824</f>
        <v>Ethiopia</v>
      </c>
      <c r="G784" s="7" t="str">
        <f aca="false">Hierarchy!G824</f>
        <v>ETH</v>
      </c>
    </row>
    <row r="785" customFormat="false" ht="15" hidden="false" customHeight="false" outlineLevel="0" collapsed="false">
      <c r="D785" s="7" t="str">
        <f aca="false">Hierarchy!A825</f>
        <v>Gabon</v>
      </c>
      <c r="G785" s="7" t="str">
        <f aca="false">Hierarchy!G825</f>
        <v>GAB</v>
      </c>
    </row>
    <row r="786" customFormat="false" ht="15" hidden="false" customHeight="false" outlineLevel="0" collapsed="false">
      <c r="D786" s="7" t="str">
        <f aca="false">Hierarchy!A826</f>
        <v>Gambia</v>
      </c>
      <c r="G786" s="7" t="str">
        <f aca="false">Hierarchy!G826</f>
        <v>GMB</v>
      </c>
    </row>
    <row r="787" customFormat="false" ht="15" hidden="false" customHeight="false" outlineLevel="0" collapsed="false">
      <c r="D787" s="7" t="str">
        <f aca="false">Hierarchy!A827</f>
        <v>Ghana</v>
      </c>
      <c r="G787" s="7" t="str">
        <f aca="false">Hierarchy!G827</f>
        <v>GHA</v>
      </c>
    </row>
    <row r="788" customFormat="false" ht="15" hidden="false" customHeight="false" outlineLevel="0" collapsed="false">
      <c r="F788" s="16" t="str">
        <f aca="false">Hierarchy!A828</f>
        <v>Accra</v>
      </c>
    </row>
    <row r="789" customFormat="false" ht="15" hidden="false" customHeight="false" outlineLevel="0" collapsed="false">
      <c r="D789" s="7" t="str">
        <f aca="false">Hierarchy!A829</f>
        <v>Guinea</v>
      </c>
      <c r="G789" s="7" t="str">
        <f aca="false">Hierarchy!G829</f>
        <v>GIN</v>
      </c>
    </row>
    <row r="790" customFormat="false" ht="15" hidden="false" customHeight="false" outlineLevel="0" collapsed="false">
      <c r="D790" s="7" t="str">
        <f aca="false">Hierarchy!A830</f>
        <v>Guinea-Bissau</v>
      </c>
      <c r="G790" s="7" t="str">
        <f aca="false">Hierarchy!G830</f>
        <v>GNB</v>
      </c>
    </row>
    <row r="791" customFormat="false" ht="15" hidden="false" customHeight="false" outlineLevel="0" collapsed="false">
      <c r="D791" s="7" t="str">
        <f aca="false">Hierarchy!A831</f>
        <v>Kenya</v>
      </c>
      <c r="G791" s="7" t="str">
        <f aca="false">Hierarchy!G831</f>
        <v>KEN</v>
      </c>
    </row>
    <row r="792" customFormat="false" ht="15" hidden="false" customHeight="false" outlineLevel="0" collapsed="false">
      <c r="F792" s="16" t="str">
        <f aca="false">Hierarchy!A832</f>
        <v>Nairobi</v>
      </c>
    </row>
    <row r="793" customFormat="false" ht="15" hidden="false" customHeight="false" outlineLevel="0" collapsed="false">
      <c r="D793" s="7" t="str">
        <f aca="false">Hierarchy!A833</f>
        <v>Lesotho</v>
      </c>
      <c r="G793" s="7" t="str">
        <f aca="false">Hierarchy!G833</f>
        <v>LSO</v>
      </c>
    </row>
    <row r="794" customFormat="false" ht="15" hidden="false" customHeight="false" outlineLevel="0" collapsed="false">
      <c r="D794" s="7" t="str">
        <f aca="false">Hierarchy!A834</f>
        <v>Liberia</v>
      </c>
      <c r="G794" s="7" t="str">
        <f aca="false">Hierarchy!G834</f>
        <v>LBR</v>
      </c>
    </row>
    <row r="795" customFormat="false" ht="15" hidden="false" customHeight="false" outlineLevel="0" collapsed="false">
      <c r="D795" s="7" t="str">
        <f aca="false">Hierarchy!A835</f>
        <v>Libya</v>
      </c>
      <c r="G795" s="7" t="str">
        <f aca="false">Hierarchy!G835</f>
        <v>LBY</v>
      </c>
    </row>
    <row r="796" customFormat="false" ht="15" hidden="false" customHeight="false" outlineLevel="0" collapsed="false">
      <c r="D796" s="7" t="str">
        <f aca="false">Hierarchy!A836</f>
        <v>Madagascar</v>
      </c>
      <c r="G796" s="7" t="str">
        <f aca="false">Hierarchy!G836</f>
        <v>MDG</v>
      </c>
    </row>
    <row r="797" customFormat="false" ht="15" hidden="false" customHeight="false" outlineLevel="0" collapsed="false">
      <c r="D797" s="7" t="str">
        <f aca="false">Hierarchy!A837</f>
        <v>Malawi</v>
      </c>
      <c r="G797" s="7" t="str">
        <f aca="false">Hierarchy!G837</f>
        <v>MWI</v>
      </c>
    </row>
    <row r="798" customFormat="false" ht="15" hidden="false" customHeight="false" outlineLevel="0" collapsed="false">
      <c r="D798" s="7" t="str">
        <f aca="false">Hierarchy!A838</f>
        <v>Mali</v>
      </c>
      <c r="G798" s="7" t="str">
        <f aca="false">Hierarchy!G838</f>
        <v>MLI</v>
      </c>
    </row>
    <row r="799" customFormat="false" ht="15" hidden="false" customHeight="false" outlineLevel="0" collapsed="false">
      <c r="D799" s="7" t="str">
        <f aca="false">Hierarchy!A839</f>
        <v>Mauritania</v>
      </c>
      <c r="G799" s="7" t="str">
        <f aca="false">Hierarchy!G839</f>
        <v>MRT</v>
      </c>
    </row>
    <row r="800" customFormat="false" ht="15" hidden="false" customHeight="false" outlineLevel="0" collapsed="false">
      <c r="D800" s="7" t="str">
        <f aca="false">Hierarchy!A840</f>
        <v>Mauritius</v>
      </c>
      <c r="G800" s="7" t="str">
        <f aca="false">Hierarchy!G840</f>
        <v>MUS</v>
      </c>
    </row>
    <row r="801" customFormat="false" ht="15" hidden="false" customHeight="false" outlineLevel="0" collapsed="false">
      <c r="D801" s="7" t="str">
        <f aca="false">Hierarchy!A841</f>
        <v>Mayotte</v>
      </c>
      <c r="G801" s="7" t="str">
        <f aca="false">Hierarchy!G841</f>
        <v>MYT</v>
      </c>
    </row>
    <row r="802" customFormat="false" ht="15" hidden="false" customHeight="false" outlineLevel="0" collapsed="false">
      <c r="D802" s="7" t="str">
        <f aca="false">Hierarchy!A842</f>
        <v>Morocco</v>
      </c>
      <c r="G802" s="7" t="str">
        <f aca="false">Hierarchy!G842</f>
        <v>MAR</v>
      </c>
    </row>
    <row r="803" customFormat="false" ht="15" hidden="false" customHeight="false" outlineLevel="0" collapsed="false">
      <c r="F803" s="16" t="str">
        <f aca="false">Hierarchy!A843</f>
        <v>Casablanca</v>
      </c>
    </row>
    <row r="804" customFormat="false" ht="15" hidden="false" customHeight="false" outlineLevel="0" collapsed="false">
      <c r="D804" s="7" t="str">
        <f aca="false">Hierarchy!A844</f>
        <v>Mozambique</v>
      </c>
      <c r="G804" s="7" t="str">
        <f aca="false">Hierarchy!G844</f>
        <v>MOZ</v>
      </c>
    </row>
    <row r="805" customFormat="false" ht="15" hidden="false" customHeight="false" outlineLevel="0" collapsed="false">
      <c r="D805" s="7" t="str">
        <f aca="false">Hierarchy!A845</f>
        <v>Namibia</v>
      </c>
      <c r="G805" s="7" t="str">
        <f aca="false">Hierarchy!G845</f>
        <v>NAM</v>
      </c>
    </row>
    <row r="806" customFormat="false" ht="15" hidden="false" customHeight="false" outlineLevel="0" collapsed="false">
      <c r="D806" s="7" t="str">
        <f aca="false">Hierarchy!A846</f>
        <v>Niger</v>
      </c>
      <c r="G806" s="7" t="str">
        <f aca="false">Hierarchy!G846</f>
        <v>NER</v>
      </c>
    </row>
    <row r="807" customFormat="false" ht="15" hidden="false" customHeight="false" outlineLevel="0" collapsed="false">
      <c r="D807" s="7" t="str">
        <f aca="false">Hierarchy!A847</f>
        <v>Republic of the Congo</v>
      </c>
      <c r="G807" s="7" t="str">
        <f aca="false">Hierarchy!G847</f>
        <v>COG</v>
      </c>
    </row>
    <row r="808" customFormat="false" ht="15" hidden="false" customHeight="false" outlineLevel="0" collapsed="false">
      <c r="D808" s="7" t="str">
        <f aca="false">Hierarchy!A848</f>
        <v>Rwanda</v>
      </c>
      <c r="G808" s="7" t="str">
        <f aca="false">Hierarchy!G848</f>
        <v>RWA</v>
      </c>
    </row>
    <row r="809" customFormat="false" ht="15" hidden="false" customHeight="false" outlineLevel="0" collapsed="false">
      <c r="D809" s="7" t="str">
        <f aca="false">Hierarchy!A849</f>
        <v>Réunion</v>
      </c>
      <c r="G809" s="7" t="str">
        <f aca="false">Hierarchy!G849</f>
        <v>REU</v>
      </c>
    </row>
    <row r="810" customFormat="false" ht="15" hidden="false" customHeight="false" outlineLevel="0" collapsed="false">
      <c r="D810" s="7" t="str">
        <f aca="false">Hierarchy!A850</f>
        <v>Saint Helena, Ascension and Tristan da Cunha</v>
      </c>
      <c r="G810" s="7" t="str">
        <f aca="false">Hierarchy!G850</f>
        <v>SHN</v>
      </c>
    </row>
    <row r="811" customFormat="false" ht="15" hidden="false" customHeight="false" outlineLevel="0" collapsed="false">
      <c r="D811" s="7" t="str">
        <f aca="false">Hierarchy!A851</f>
        <v>Sao Tome and Principe</v>
      </c>
      <c r="G811" s="7" t="str">
        <f aca="false">Hierarchy!G851</f>
        <v>STP</v>
      </c>
    </row>
    <row r="812" customFormat="false" ht="15" hidden="false" customHeight="false" outlineLevel="0" collapsed="false">
      <c r="D812" s="7" t="str">
        <f aca="false">Hierarchy!A852</f>
        <v>Senegal</v>
      </c>
      <c r="G812" s="7" t="str">
        <f aca="false">Hierarchy!G852</f>
        <v>SEN</v>
      </c>
    </row>
    <row r="813" customFormat="false" ht="15" hidden="false" customHeight="false" outlineLevel="0" collapsed="false">
      <c r="D813" s="7" t="str">
        <f aca="false">Hierarchy!A853</f>
        <v>Seychelles</v>
      </c>
      <c r="G813" s="7" t="str">
        <f aca="false">Hierarchy!G853</f>
        <v>SYC</v>
      </c>
    </row>
    <row r="814" customFormat="false" ht="15" hidden="false" customHeight="false" outlineLevel="0" collapsed="false">
      <c r="D814" s="7" t="str">
        <f aca="false">Hierarchy!A854</f>
        <v>Sierra Leone</v>
      </c>
      <c r="G814" s="7" t="str">
        <f aca="false">Hierarchy!G854</f>
        <v>SLE</v>
      </c>
    </row>
    <row r="815" customFormat="false" ht="15" hidden="false" customHeight="false" outlineLevel="0" collapsed="false">
      <c r="D815" s="7" t="str">
        <f aca="false">Hierarchy!A855</f>
        <v>Somalia</v>
      </c>
      <c r="G815" s="7" t="str">
        <f aca="false">Hierarchy!G855</f>
        <v>SOM</v>
      </c>
    </row>
    <row r="816" customFormat="false" ht="15" hidden="false" customHeight="false" outlineLevel="0" collapsed="false">
      <c r="D816" s="7" t="str">
        <f aca="false">Hierarchy!A856</f>
        <v>South Sudan</v>
      </c>
      <c r="G816" s="7" t="str">
        <f aca="false">Hierarchy!G856</f>
        <v>SSD</v>
      </c>
    </row>
    <row r="817" customFormat="false" ht="15" hidden="false" customHeight="false" outlineLevel="0" collapsed="false">
      <c r="D817" s="7" t="str">
        <f aca="false">Hierarchy!A857</f>
        <v>Sudan</v>
      </c>
      <c r="G817" s="7" t="str">
        <f aca="false">Hierarchy!G857</f>
        <v>SDN</v>
      </c>
    </row>
    <row r="818" customFormat="false" ht="15" hidden="false" customHeight="false" outlineLevel="0" collapsed="false">
      <c r="D818" s="7" t="str">
        <f aca="false">Hierarchy!A858</f>
        <v>Tanzania</v>
      </c>
      <c r="G818" s="7" t="str">
        <f aca="false">Hierarchy!G858</f>
        <v>TZA</v>
      </c>
    </row>
    <row r="819" customFormat="false" ht="15" hidden="false" customHeight="false" outlineLevel="0" collapsed="false">
      <c r="D819" s="7" t="str">
        <f aca="false">Hierarchy!A859</f>
        <v>Togo</v>
      </c>
      <c r="G819" s="7" t="str">
        <f aca="false">Hierarchy!G859</f>
        <v>TGO</v>
      </c>
    </row>
    <row r="820" customFormat="false" ht="15" hidden="false" customHeight="false" outlineLevel="0" collapsed="false">
      <c r="D820" s="7" t="str">
        <f aca="false">Hierarchy!A860</f>
        <v>Tunisia</v>
      </c>
      <c r="G820" s="7" t="str">
        <f aca="false">Hierarchy!G860</f>
        <v>TUN</v>
      </c>
    </row>
    <row r="821" customFormat="false" ht="15" hidden="false" customHeight="false" outlineLevel="0" collapsed="false">
      <c r="D821" s="7" t="str">
        <f aca="false">Hierarchy!A861</f>
        <v>Uganda</v>
      </c>
      <c r="G821" s="7" t="str">
        <f aca="false">Hierarchy!G861</f>
        <v>UGA</v>
      </c>
    </row>
    <row r="822" customFormat="false" ht="15" hidden="false" customHeight="false" outlineLevel="0" collapsed="false">
      <c r="D822" s="7" t="str">
        <f aca="false">Hierarchy!A862</f>
        <v>Western Sahara</v>
      </c>
      <c r="G822" s="7" t="str">
        <f aca="false">Hierarchy!G862</f>
        <v>ESH</v>
      </c>
    </row>
    <row r="823" customFormat="false" ht="15" hidden="false" customHeight="false" outlineLevel="0" collapsed="false">
      <c r="D823" s="7" t="str">
        <f aca="false">Hierarchy!A863</f>
        <v>Zambia</v>
      </c>
      <c r="G823" s="7" t="str">
        <f aca="false">Hierarchy!G863</f>
        <v>ZMB</v>
      </c>
    </row>
    <row r="824" customFormat="false" ht="15" hidden="false" customHeight="false" outlineLevel="0" collapsed="false">
      <c r="D824" s="7" t="str">
        <f aca="false">Hierarchy!A864</f>
        <v>Zimbabwe</v>
      </c>
      <c r="G824" s="7" t="str">
        <f aca="false">Hierarchy!G864</f>
        <v>ZWE</v>
      </c>
    </row>
    <row r="825" customFormat="false" ht="15" hidden="false" customHeight="false" outlineLevel="0" collapsed="false">
      <c r="A825" s="11"/>
      <c r="B825" s="12" t="str">
        <f aca="false">Hierarchy!A865</f>
        <v>APAC (Asia-Pacific)</v>
      </c>
      <c r="C825" s="11"/>
      <c r="D825" s="11"/>
      <c r="E825" s="11"/>
      <c r="F825" s="11"/>
      <c r="G825" s="11"/>
    </row>
    <row r="826" customFormat="false" ht="15" hidden="false" customHeight="false" outlineLevel="0" collapsed="false">
      <c r="A826" s="13"/>
      <c r="B826" s="13"/>
      <c r="C826" s="3" t="str">
        <f aca="false">Hierarchy!A867</f>
        <v>South Asia</v>
      </c>
      <c r="D826" s="13"/>
      <c r="E826" s="13"/>
      <c r="F826" s="13"/>
      <c r="G826" s="13"/>
    </row>
    <row r="827" customFormat="false" ht="15" hidden="false" customHeight="false" outlineLevel="0" collapsed="false">
      <c r="D827" s="7" t="str">
        <f aca="false">Hierarchy!A868</f>
        <v>India</v>
      </c>
      <c r="G827" s="7" t="str">
        <f aca="false">Hierarchy!G868</f>
        <v>IND</v>
      </c>
    </row>
    <row r="828" customFormat="false" ht="15" hidden="false" customHeight="false" outlineLevel="0" collapsed="false">
      <c r="E828" s="14" t="str">
        <f aca="false">Hierarchy!A869</f>
        <v>Central India</v>
      </c>
    </row>
    <row r="829" customFormat="false" ht="15" hidden="false" customHeight="false" outlineLevel="0" collapsed="false">
      <c r="E829" s="14" t="str">
        <f aca="false">Hierarchy!A870</f>
        <v>East India</v>
      </c>
    </row>
    <row r="830" customFormat="false" ht="15" hidden="false" customHeight="false" outlineLevel="0" collapsed="false">
      <c r="E830" s="14" t="str">
        <f aca="false">Hierarchy!A871</f>
        <v>North India</v>
      </c>
    </row>
    <row r="831" customFormat="false" ht="15" hidden="false" customHeight="false" outlineLevel="0" collapsed="false">
      <c r="E831" s="14" t="str">
        <f aca="false">Hierarchy!A872</f>
        <v>Northeast India</v>
      </c>
    </row>
    <row r="832" customFormat="false" ht="15" hidden="false" customHeight="false" outlineLevel="0" collapsed="false">
      <c r="E832" s="14" t="str">
        <f aca="false">Hierarchy!A873</f>
        <v>South India</v>
      </c>
    </row>
    <row r="833" customFormat="false" ht="15" hidden="false" customHeight="false" outlineLevel="0" collapsed="false">
      <c r="E833" s="14" t="str">
        <f aca="false">Hierarchy!A874</f>
        <v>West India</v>
      </c>
    </row>
    <row r="834" customFormat="false" ht="15" hidden="false" customHeight="false" outlineLevel="0" collapsed="false">
      <c r="E834" s="15" t="str">
        <f aca="false">Hierarchy!A875</f>
        <v>Andaman and Nicobar Islands</v>
      </c>
    </row>
    <row r="835" customFormat="false" ht="15" hidden="false" customHeight="false" outlineLevel="0" collapsed="false">
      <c r="E835" s="15" t="str">
        <f aca="false">Hierarchy!A876</f>
        <v>Andhra Pradesh</v>
      </c>
    </row>
    <row r="836" customFormat="false" ht="15" hidden="false" customHeight="false" outlineLevel="0" collapsed="false">
      <c r="E836" s="15" t="str">
        <f aca="false">Hierarchy!A877</f>
        <v>Arunachal Pradesh</v>
      </c>
    </row>
    <row r="837" customFormat="false" ht="15" hidden="false" customHeight="false" outlineLevel="0" collapsed="false">
      <c r="E837" s="15" t="str">
        <f aca="false">Hierarchy!A878</f>
        <v>Assam</v>
      </c>
    </row>
    <row r="838" customFormat="false" ht="15" hidden="false" customHeight="false" outlineLevel="0" collapsed="false">
      <c r="E838" s="15" t="str">
        <f aca="false">Hierarchy!A879</f>
        <v>Bihar</v>
      </c>
    </row>
    <row r="839" customFormat="false" ht="15" hidden="false" customHeight="false" outlineLevel="0" collapsed="false">
      <c r="E839" s="15" t="str">
        <f aca="false">Hierarchy!A880</f>
        <v>Chandigarh</v>
      </c>
    </row>
    <row r="840" customFormat="false" ht="15" hidden="false" customHeight="false" outlineLevel="0" collapsed="false">
      <c r="E840" s="15" t="str">
        <f aca="false">Hierarchy!A881</f>
        <v>Chhattisgarh</v>
      </c>
    </row>
    <row r="841" customFormat="false" ht="15" hidden="false" customHeight="false" outlineLevel="0" collapsed="false">
      <c r="E841" s="15" t="str">
        <f aca="false">Hierarchy!A882</f>
        <v>Dadra and Nagar Haveli and Daman and Diu</v>
      </c>
    </row>
    <row r="842" customFormat="false" ht="15" hidden="false" customHeight="false" outlineLevel="0" collapsed="false">
      <c r="E842" s="15" t="str">
        <f aca="false">Hierarchy!A883</f>
        <v>Delhi</v>
      </c>
    </row>
    <row r="843" customFormat="false" ht="15" hidden="false" customHeight="false" outlineLevel="0" collapsed="false">
      <c r="F843" s="16" t="str">
        <f aca="false">Hierarchy!A884</f>
        <v>New Delhi</v>
      </c>
    </row>
    <row r="844" customFormat="false" ht="15" hidden="false" customHeight="false" outlineLevel="0" collapsed="false">
      <c r="E844" s="15" t="str">
        <f aca="false">Hierarchy!A885</f>
        <v>Goa</v>
      </c>
    </row>
    <row r="845" customFormat="false" ht="15" hidden="false" customHeight="false" outlineLevel="0" collapsed="false">
      <c r="E845" s="15" t="str">
        <f aca="false">Hierarchy!A886</f>
        <v>Gujarat</v>
      </c>
    </row>
    <row r="846" customFormat="false" ht="15" hidden="false" customHeight="false" outlineLevel="0" collapsed="false">
      <c r="F846" s="16" t="str">
        <f aca="false">Hierarchy!A887</f>
        <v>Ahmedabad</v>
      </c>
    </row>
    <row r="847" customFormat="false" ht="15" hidden="false" customHeight="false" outlineLevel="0" collapsed="false">
      <c r="E847" s="15" t="str">
        <f aca="false">Hierarchy!A888</f>
        <v>Haryana</v>
      </c>
    </row>
    <row r="848" customFormat="false" ht="15" hidden="false" customHeight="false" outlineLevel="0" collapsed="false">
      <c r="F848" s="16" t="str">
        <f aca="false">Hierarchy!A889</f>
        <v>Gurugram</v>
      </c>
    </row>
    <row r="849" customFormat="false" ht="15" hidden="false" customHeight="false" outlineLevel="0" collapsed="false">
      <c r="E849" s="15" t="str">
        <f aca="false">Hierarchy!A890</f>
        <v>Himachal Pradesh</v>
      </c>
    </row>
    <row r="850" customFormat="false" ht="15" hidden="false" customHeight="false" outlineLevel="0" collapsed="false">
      <c r="E850" s="15" t="str">
        <f aca="false">Hierarchy!A891</f>
        <v>Jammu and Kashmir</v>
      </c>
    </row>
    <row r="851" customFormat="false" ht="15" hidden="false" customHeight="false" outlineLevel="0" collapsed="false">
      <c r="E851" s="15" t="str">
        <f aca="false">Hierarchy!A892</f>
        <v>Jharkhand</v>
      </c>
    </row>
    <row r="852" customFormat="false" ht="15" hidden="false" customHeight="false" outlineLevel="0" collapsed="false">
      <c r="E852" s="15" t="str">
        <f aca="false">Hierarchy!A893</f>
        <v>Karnataka</v>
      </c>
    </row>
    <row r="853" customFormat="false" ht="15" hidden="false" customHeight="false" outlineLevel="0" collapsed="false">
      <c r="F853" s="16" t="str">
        <f aca="false">Hierarchy!A894</f>
        <v>Bengaluru</v>
      </c>
    </row>
    <row r="854" customFormat="false" ht="15" hidden="false" customHeight="false" outlineLevel="0" collapsed="false">
      <c r="E854" s="15" t="str">
        <f aca="false">Hierarchy!A895</f>
        <v>Kerala</v>
      </c>
    </row>
    <row r="855" customFormat="false" ht="15" hidden="false" customHeight="false" outlineLevel="0" collapsed="false">
      <c r="E855" s="15" t="str">
        <f aca="false">Hierarchy!A896</f>
        <v>Ladakh</v>
      </c>
    </row>
    <row r="856" customFormat="false" ht="15" hidden="false" customHeight="false" outlineLevel="0" collapsed="false">
      <c r="E856" s="15" t="str">
        <f aca="false">Hierarchy!A897</f>
        <v>Lakshadweep</v>
      </c>
    </row>
    <row r="857" customFormat="false" ht="15" hidden="false" customHeight="false" outlineLevel="0" collapsed="false">
      <c r="E857" s="15" t="str">
        <f aca="false">Hierarchy!A898</f>
        <v>Madhya Pradesh</v>
      </c>
    </row>
    <row r="858" customFormat="false" ht="15" hidden="false" customHeight="false" outlineLevel="0" collapsed="false">
      <c r="E858" s="15" t="str">
        <f aca="false">Hierarchy!A899</f>
        <v>Maharashtra</v>
      </c>
    </row>
    <row r="859" customFormat="false" ht="15" hidden="false" customHeight="false" outlineLevel="0" collapsed="false">
      <c r="F859" s="16" t="str">
        <f aca="false">Hierarchy!A900</f>
        <v>Mumbai</v>
      </c>
    </row>
    <row r="860" customFormat="false" ht="15" hidden="false" customHeight="false" outlineLevel="0" collapsed="false">
      <c r="F860" s="16" t="str">
        <f aca="false">Hierarchy!A901</f>
        <v>Pune</v>
      </c>
    </row>
    <row r="861" customFormat="false" ht="15" hidden="false" customHeight="false" outlineLevel="0" collapsed="false">
      <c r="E861" s="15" t="str">
        <f aca="false">Hierarchy!A902</f>
        <v>Manipur</v>
      </c>
    </row>
    <row r="862" customFormat="false" ht="15" hidden="false" customHeight="false" outlineLevel="0" collapsed="false">
      <c r="E862" s="15" t="str">
        <f aca="false">Hierarchy!A903</f>
        <v>Meghalaya</v>
      </c>
    </row>
    <row r="863" customFormat="false" ht="15" hidden="false" customHeight="false" outlineLevel="0" collapsed="false">
      <c r="E863" s="15" t="str">
        <f aca="false">Hierarchy!A904</f>
        <v>Mizoram</v>
      </c>
    </row>
    <row r="864" customFormat="false" ht="15" hidden="false" customHeight="false" outlineLevel="0" collapsed="false">
      <c r="E864" s="15" t="str">
        <f aca="false">Hierarchy!A905</f>
        <v>Nagaland</v>
      </c>
    </row>
    <row r="865" customFormat="false" ht="15" hidden="false" customHeight="false" outlineLevel="0" collapsed="false">
      <c r="E865" s="15" t="str">
        <f aca="false">Hierarchy!A906</f>
        <v>Odisha</v>
      </c>
    </row>
    <row r="866" customFormat="false" ht="15" hidden="false" customHeight="false" outlineLevel="0" collapsed="false">
      <c r="E866" s="15" t="str">
        <f aca="false">Hierarchy!A907</f>
        <v>Puducherry</v>
      </c>
    </row>
    <row r="867" customFormat="false" ht="15" hidden="false" customHeight="false" outlineLevel="0" collapsed="false">
      <c r="E867" s="15" t="str">
        <f aca="false">Hierarchy!A908</f>
        <v>Punjab</v>
      </c>
    </row>
    <row r="868" customFormat="false" ht="15" hidden="false" customHeight="false" outlineLevel="0" collapsed="false">
      <c r="E868" s="15" t="str">
        <f aca="false">Hierarchy!A909</f>
        <v>Rajasthan</v>
      </c>
    </row>
    <row r="869" customFormat="false" ht="15" hidden="false" customHeight="false" outlineLevel="0" collapsed="false">
      <c r="E869" s="15" t="str">
        <f aca="false">Hierarchy!A910</f>
        <v>Sikkim</v>
      </c>
    </row>
    <row r="870" customFormat="false" ht="15" hidden="false" customHeight="false" outlineLevel="0" collapsed="false">
      <c r="E870" s="15" t="str">
        <f aca="false">Hierarchy!A911</f>
        <v>Tamil Nadu</v>
      </c>
    </row>
    <row r="871" customFormat="false" ht="15" hidden="false" customHeight="false" outlineLevel="0" collapsed="false">
      <c r="F871" s="16" t="str">
        <f aca="false">Hierarchy!A912</f>
        <v>Chennai</v>
      </c>
    </row>
    <row r="872" customFormat="false" ht="15" hidden="false" customHeight="false" outlineLevel="0" collapsed="false">
      <c r="E872" s="15" t="str">
        <f aca="false">Hierarchy!A913</f>
        <v>Telangana</v>
      </c>
    </row>
    <row r="873" customFormat="false" ht="15" hidden="false" customHeight="false" outlineLevel="0" collapsed="false">
      <c r="F873" s="16" t="str">
        <f aca="false">Hierarchy!A914</f>
        <v>Hyderabad</v>
      </c>
    </row>
    <row r="874" customFormat="false" ht="15" hidden="false" customHeight="false" outlineLevel="0" collapsed="false">
      <c r="E874" s="15" t="str">
        <f aca="false">Hierarchy!A915</f>
        <v>Tripura</v>
      </c>
    </row>
    <row r="875" customFormat="false" ht="15" hidden="false" customHeight="false" outlineLevel="0" collapsed="false">
      <c r="E875" s="15" t="str">
        <f aca="false">Hierarchy!A916</f>
        <v>Uttar Pradesh</v>
      </c>
    </row>
    <row r="876" customFormat="false" ht="15" hidden="false" customHeight="false" outlineLevel="0" collapsed="false">
      <c r="F876" s="16" t="str">
        <f aca="false">Hierarchy!A917</f>
        <v>Noida</v>
      </c>
    </row>
    <row r="877" customFormat="false" ht="15" hidden="false" customHeight="false" outlineLevel="0" collapsed="false">
      <c r="E877" s="15" t="str">
        <f aca="false">Hierarchy!A918</f>
        <v>Uttarakhand</v>
      </c>
    </row>
    <row r="878" customFormat="false" ht="15" hidden="false" customHeight="false" outlineLevel="0" collapsed="false">
      <c r="E878" s="15" t="str">
        <f aca="false">Hierarchy!A919</f>
        <v>West Bengal</v>
      </c>
    </row>
    <row r="879" customFormat="false" ht="15" hidden="false" customHeight="false" outlineLevel="0" collapsed="false">
      <c r="F879" s="16" t="str">
        <f aca="false">Hierarchy!A920</f>
        <v>Kolkata</v>
      </c>
    </row>
    <row r="880" customFormat="false" ht="15" hidden="false" customHeight="false" outlineLevel="0" collapsed="false">
      <c r="D880" s="7" t="str">
        <f aca="false">Hierarchy!A921</f>
        <v>Afghanistan</v>
      </c>
      <c r="G880" s="7" t="str">
        <f aca="false">Hierarchy!G921</f>
        <v>AFG</v>
      </c>
    </row>
    <row r="881" customFormat="false" ht="15" hidden="false" customHeight="false" outlineLevel="0" collapsed="false">
      <c r="D881" s="7" t="str">
        <f aca="false">Hierarchy!A922</f>
        <v>Bangladesh</v>
      </c>
      <c r="G881" s="7" t="str">
        <f aca="false">Hierarchy!G922</f>
        <v>BGD</v>
      </c>
    </row>
    <row r="882" customFormat="false" ht="15" hidden="false" customHeight="false" outlineLevel="0" collapsed="false">
      <c r="E882" s="15" t="str">
        <f aca="false">Hierarchy!A923</f>
        <v>Barishal</v>
      </c>
    </row>
    <row r="883" customFormat="false" ht="15" hidden="false" customHeight="false" outlineLevel="0" collapsed="false">
      <c r="E883" s="15" t="str">
        <f aca="false">Hierarchy!A924</f>
        <v>Chattogram</v>
      </c>
    </row>
    <row r="884" customFormat="false" ht="15" hidden="false" customHeight="false" outlineLevel="0" collapsed="false">
      <c r="E884" s="15" t="str">
        <f aca="false">Hierarchy!A925</f>
        <v>Dhaka Division</v>
      </c>
    </row>
    <row r="885" customFormat="false" ht="15" hidden="false" customHeight="false" outlineLevel="0" collapsed="false">
      <c r="E885" s="15" t="str">
        <f aca="false">Hierarchy!A926</f>
        <v>Khulna</v>
      </c>
    </row>
    <row r="886" customFormat="false" ht="15" hidden="false" customHeight="false" outlineLevel="0" collapsed="false">
      <c r="E886" s="15" t="str">
        <f aca="false">Hierarchy!A927</f>
        <v>Mymensingh</v>
      </c>
    </row>
    <row r="887" customFormat="false" ht="15" hidden="false" customHeight="false" outlineLevel="0" collapsed="false">
      <c r="E887" s="15" t="str">
        <f aca="false">Hierarchy!A928</f>
        <v>Rajshahi</v>
      </c>
    </row>
    <row r="888" customFormat="false" ht="15" hidden="false" customHeight="false" outlineLevel="0" collapsed="false">
      <c r="E888" s="15" t="str">
        <f aca="false">Hierarchy!A929</f>
        <v>Rangpur</v>
      </c>
    </row>
    <row r="889" customFormat="false" ht="15" hidden="false" customHeight="false" outlineLevel="0" collapsed="false">
      <c r="E889" s="15" t="str">
        <f aca="false">Hierarchy!A930</f>
        <v>Sylhet</v>
      </c>
    </row>
    <row r="890" customFormat="false" ht="15" hidden="false" customHeight="false" outlineLevel="0" collapsed="false">
      <c r="F890" s="16" t="str">
        <f aca="false">Hierarchy!A931</f>
        <v>Dhaka</v>
      </c>
    </row>
    <row r="891" customFormat="false" ht="15" hidden="false" customHeight="false" outlineLevel="0" collapsed="false">
      <c r="D891" s="7" t="str">
        <f aca="false">Hierarchy!A932</f>
        <v>Bhutan</v>
      </c>
      <c r="G891" s="7" t="str">
        <f aca="false">Hierarchy!G932</f>
        <v>BTN</v>
      </c>
    </row>
    <row r="892" customFormat="false" ht="15" hidden="false" customHeight="false" outlineLevel="0" collapsed="false">
      <c r="D892" s="7" t="str">
        <f aca="false">Hierarchy!A933</f>
        <v>Maldives</v>
      </c>
      <c r="G892" s="7" t="str">
        <f aca="false">Hierarchy!G933</f>
        <v>MDV</v>
      </c>
    </row>
    <row r="893" customFormat="false" ht="15" hidden="false" customHeight="false" outlineLevel="0" collapsed="false">
      <c r="D893" s="7" t="str">
        <f aca="false">Hierarchy!A934</f>
        <v>Nepal</v>
      </c>
      <c r="G893" s="7" t="str">
        <f aca="false">Hierarchy!G934</f>
        <v>NPL</v>
      </c>
    </row>
    <row r="894" customFormat="false" ht="15" hidden="false" customHeight="false" outlineLevel="0" collapsed="false">
      <c r="D894" s="7" t="str">
        <f aca="false">Hierarchy!A935</f>
        <v>Pakistan</v>
      </c>
      <c r="G894" s="7" t="str">
        <f aca="false">Hierarchy!G935</f>
        <v>PAK</v>
      </c>
    </row>
    <row r="895" customFormat="false" ht="15" hidden="false" customHeight="false" outlineLevel="0" collapsed="false">
      <c r="E895" s="15" t="str">
        <f aca="false">Hierarchy!A936</f>
        <v>Azad Jammu and Kashmir</v>
      </c>
    </row>
    <row r="896" customFormat="false" ht="15" hidden="false" customHeight="false" outlineLevel="0" collapsed="false">
      <c r="E896" s="15" t="str">
        <f aca="false">Hierarchy!A937</f>
        <v>Balochistan</v>
      </c>
    </row>
    <row r="897" customFormat="false" ht="15" hidden="false" customHeight="false" outlineLevel="0" collapsed="false">
      <c r="E897" s="15" t="str">
        <f aca="false">Hierarchy!A938</f>
        <v>Gilgit-Baltistan</v>
      </c>
    </row>
    <row r="898" customFormat="false" ht="15" hidden="false" customHeight="false" outlineLevel="0" collapsed="false">
      <c r="E898" s="15" t="str">
        <f aca="false">Hierarchy!A939</f>
        <v>Islamabad Capital Territory</v>
      </c>
    </row>
    <row r="899" customFormat="false" ht="15" hidden="false" customHeight="false" outlineLevel="0" collapsed="false">
      <c r="E899" s="15" t="str">
        <f aca="false">Hierarchy!A940</f>
        <v>Khyber Pakhtunkhwa</v>
      </c>
    </row>
    <row r="900" customFormat="false" ht="15" hidden="false" customHeight="false" outlineLevel="0" collapsed="false">
      <c r="E900" s="15" t="str">
        <f aca="false">Hierarchy!A941</f>
        <v>Punjab (Pakistan)</v>
      </c>
    </row>
    <row r="901" customFormat="false" ht="15" hidden="false" customHeight="false" outlineLevel="0" collapsed="false">
      <c r="E901" s="15" t="str">
        <f aca="false">Hierarchy!A942</f>
        <v>Sindh</v>
      </c>
    </row>
    <row r="902" customFormat="false" ht="15" hidden="false" customHeight="false" outlineLevel="0" collapsed="false">
      <c r="F902" s="16" t="str">
        <f aca="false">Hierarchy!A943</f>
        <v>Karachi</v>
      </c>
    </row>
    <row r="903" customFormat="false" ht="15" hidden="false" customHeight="false" outlineLevel="0" collapsed="false">
      <c r="F903" s="16" t="str">
        <f aca="false">Hierarchy!A944</f>
        <v>Lahore</v>
      </c>
    </row>
    <row r="904" customFormat="false" ht="15" hidden="false" customHeight="false" outlineLevel="0" collapsed="false">
      <c r="D904" s="7" t="str">
        <f aca="false">Hierarchy!A945</f>
        <v>Sri Lanka</v>
      </c>
      <c r="G904" s="7" t="str">
        <f aca="false">Hierarchy!G945</f>
        <v>LKA</v>
      </c>
    </row>
    <row r="905" customFormat="false" ht="15" hidden="false" customHeight="false" outlineLevel="0" collapsed="false">
      <c r="E905" s="15" t="str">
        <f aca="false">Hierarchy!A946</f>
        <v>Central Province (Sri Lanka)</v>
      </c>
    </row>
    <row r="906" customFormat="false" ht="15" hidden="false" customHeight="false" outlineLevel="0" collapsed="false">
      <c r="E906" s="15" t="str">
        <f aca="false">Hierarchy!A947</f>
        <v>Eastern Province (Sri Lanka)</v>
      </c>
    </row>
    <row r="907" customFormat="false" ht="15" hidden="false" customHeight="false" outlineLevel="0" collapsed="false">
      <c r="E907" s="15" t="str">
        <f aca="false">Hierarchy!A948</f>
        <v>North Central Province (Sri Lanka)</v>
      </c>
    </row>
    <row r="908" customFormat="false" ht="15" hidden="false" customHeight="false" outlineLevel="0" collapsed="false">
      <c r="E908" s="15" t="str">
        <f aca="false">Hierarchy!A949</f>
        <v>North Western Province (Sri Lanka)</v>
      </c>
    </row>
    <row r="909" customFormat="false" ht="15" hidden="false" customHeight="false" outlineLevel="0" collapsed="false">
      <c r="E909" s="15" t="str">
        <f aca="false">Hierarchy!A950</f>
        <v>Northern Province (Sri Lanka)</v>
      </c>
    </row>
    <row r="910" customFormat="false" ht="15" hidden="false" customHeight="false" outlineLevel="0" collapsed="false">
      <c r="E910" s="15" t="str">
        <f aca="false">Hierarchy!A951</f>
        <v>Sabaragamuwa Province (Sri Lanka)</v>
      </c>
    </row>
    <row r="911" customFormat="false" ht="15" hidden="false" customHeight="false" outlineLevel="0" collapsed="false">
      <c r="E911" s="15" t="str">
        <f aca="false">Hierarchy!A952</f>
        <v>Southern Province (Sri Lanka)</v>
      </c>
    </row>
    <row r="912" customFormat="false" ht="15" hidden="false" customHeight="false" outlineLevel="0" collapsed="false">
      <c r="E912" s="15" t="str">
        <f aca="false">Hierarchy!A953</f>
        <v>Uva Province (Sri Lanka)</v>
      </c>
    </row>
    <row r="913" customFormat="false" ht="15" hidden="false" customHeight="false" outlineLevel="0" collapsed="false">
      <c r="E913" s="15" t="str">
        <f aca="false">Hierarchy!A954</f>
        <v>Western Province (Sri Lanka)</v>
      </c>
    </row>
    <row r="914" customFormat="false" ht="15" hidden="false" customHeight="false" outlineLevel="0" collapsed="false">
      <c r="F914" s="16" t="str">
        <f aca="false">Hierarchy!A955</f>
        <v>Colombo</v>
      </c>
    </row>
    <row r="915" customFormat="false" ht="15" hidden="false" customHeight="false" outlineLevel="0" collapsed="false">
      <c r="A915" s="13"/>
      <c r="B915" s="13"/>
      <c r="C915" s="3" t="str">
        <f aca="false">Hierarchy!A956</f>
        <v>East Asia</v>
      </c>
      <c r="D915" s="13"/>
      <c r="E915" s="13"/>
      <c r="F915" s="13"/>
      <c r="G915" s="13"/>
    </row>
    <row r="916" customFormat="false" ht="15" hidden="false" customHeight="false" outlineLevel="0" collapsed="false">
      <c r="D916" s="7" t="str">
        <f aca="false">Hierarchy!A959</f>
        <v>Japan</v>
      </c>
      <c r="G916" s="7" t="str">
        <f aca="false">Hierarchy!G959</f>
        <v>JPN</v>
      </c>
    </row>
    <row r="917" customFormat="false" ht="15" hidden="false" customHeight="false" outlineLevel="0" collapsed="false">
      <c r="E917" s="14" t="str">
        <f aca="false">Hierarchy!A960</f>
        <v>Chubu Region</v>
      </c>
    </row>
    <row r="918" customFormat="false" ht="15" hidden="false" customHeight="false" outlineLevel="0" collapsed="false">
      <c r="E918" s="14" t="str">
        <f aca="false">Hierarchy!A961</f>
        <v>Chugoku Region</v>
      </c>
    </row>
    <row r="919" customFormat="false" ht="15" hidden="false" customHeight="false" outlineLevel="0" collapsed="false">
      <c r="E919" s="14" t="str">
        <f aca="false">Hierarchy!A962</f>
        <v>Hokkaido Region</v>
      </c>
    </row>
    <row r="920" customFormat="false" ht="15" hidden="false" customHeight="false" outlineLevel="0" collapsed="false">
      <c r="E920" s="14" t="str">
        <f aca="false">Hierarchy!A963</f>
        <v>Kansai Region</v>
      </c>
    </row>
    <row r="921" customFormat="false" ht="15" hidden="false" customHeight="false" outlineLevel="0" collapsed="false">
      <c r="E921" s="14" t="str">
        <f aca="false">Hierarchy!A964</f>
        <v>Kanto Region</v>
      </c>
    </row>
    <row r="922" customFormat="false" ht="15" hidden="false" customHeight="false" outlineLevel="0" collapsed="false">
      <c r="E922" s="14" t="str">
        <f aca="false">Hierarchy!A965</f>
        <v>Kyushu Region</v>
      </c>
    </row>
    <row r="923" customFormat="false" ht="15" hidden="false" customHeight="false" outlineLevel="0" collapsed="false">
      <c r="E923" s="14" t="str">
        <f aca="false">Hierarchy!A966</f>
        <v>Shikoku Region</v>
      </c>
    </row>
    <row r="924" customFormat="false" ht="15" hidden="false" customHeight="false" outlineLevel="0" collapsed="false">
      <c r="E924" s="14" t="str">
        <f aca="false">Hierarchy!A967</f>
        <v>Tohoku Region</v>
      </c>
    </row>
    <row r="925" customFormat="false" ht="15" hidden="false" customHeight="false" outlineLevel="0" collapsed="false">
      <c r="E925" s="15" t="str">
        <f aca="false">Hierarchy!A968</f>
        <v>Aichi</v>
      </c>
    </row>
    <row r="926" customFormat="false" ht="15" hidden="false" customHeight="false" outlineLevel="0" collapsed="false">
      <c r="F926" s="16" t="str">
        <f aca="false">Hierarchy!A969</f>
        <v>Nagoya</v>
      </c>
    </row>
    <row r="927" customFormat="false" ht="15" hidden="false" customHeight="false" outlineLevel="0" collapsed="false">
      <c r="E927" s="15" t="str">
        <f aca="false">Hierarchy!A970</f>
        <v>Akita</v>
      </c>
    </row>
    <row r="928" customFormat="false" ht="15" hidden="false" customHeight="false" outlineLevel="0" collapsed="false">
      <c r="E928" s="15" t="str">
        <f aca="false">Hierarchy!A971</f>
        <v>Aomori</v>
      </c>
    </row>
    <row r="929" customFormat="false" ht="15" hidden="false" customHeight="false" outlineLevel="0" collapsed="false">
      <c r="E929" s="15" t="str">
        <f aca="false">Hierarchy!A972</f>
        <v>Chiba</v>
      </c>
    </row>
    <row r="930" customFormat="false" ht="15" hidden="false" customHeight="false" outlineLevel="0" collapsed="false">
      <c r="E930" s="15" t="str">
        <f aca="false">Hierarchy!A973</f>
        <v>Ehime</v>
      </c>
    </row>
    <row r="931" customFormat="false" ht="15" hidden="false" customHeight="false" outlineLevel="0" collapsed="false">
      <c r="E931" s="15" t="str">
        <f aca="false">Hierarchy!A974</f>
        <v>Fukui</v>
      </c>
    </row>
    <row r="932" customFormat="false" ht="15" hidden="false" customHeight="false" outlineLevel="0" collapsed="false">
      <c r="E932" s="15" t="str">
        <f aca="false">Hierarchy!A975</f>
        <v>Fukuoka</v>
      </c>
    </row>
    <row r="933" customFormat="false" ht="15" hidden="false" customHeight="false" outlineLevel="0" collapsed="false">
      <c r="E933" s="15" t="str">
        <f aca="false">Hierarchy!A976</f>
        <v>Fukushima</v>
      </c>
    </row>
    <row r="934" customFormat="false" ht="15" hidden="false" customHeight="false" outlineLevel="0" collapsed="false">
      <c r="E934" s="15" t="str">
        <f aca="false">Hierarchy!A977</f>
        <v>Gifu</v>
      </c>
    </row>
    <row r="935" customFormat="false" ht="15" hidden="false" customHeight="false" outlineLevel="0" collapsed="false">
      <c r="E935" s="15" t="str">
        <f aca="false">Hierarchy!A978</f>
        <v>Gunma</v>
      </c>
    </row>
    <row r="936" customFormat="false" ht="15" hidden="false" customHeight="false" outlineLevel="0" collapsed="false">
      <c r="E936" s="15" t="str">
        <f aca="false">Hierarchy!A979</f>
        <v>Hiroshima</v>
      </c>
    </row>
    <row r="937" customFormat="false" ht="15" hidden="false" customHeight="false" outlineLevel="0" collapsed="false">
      <c r="E937" s="15" t="str">
        <f aca="false">Hierarchy!A980</f>
        <v>Hokkaido</v>
      </c>
    </row>
    <row r="938" customFormat="false" ht="15" hidden="false" customHeight="false" outlineLevel="0" collapsed="false">
      <c r="F938" s="16" t="str">
        <f aca="false">Hierarchy!A981</f>
        <v>Sapporo</v>
      </c>
    </row>
    <row r="939" customFormat="false" ht="15" hidden="false" customHeight="false" outlineLevel="0" collapsed="false">
      <c r="E939" s="15" t="str">
        <f aca="false">Hierarchy!A982</f>
        <v>Hyogo</v>
      </c>
    </row>
    <row r="940" customFormat="false" ht="15" hidden="false" customHeight="false" outlineLevel="0" collapsed="false">
      <c r="E940" s="15" t="str">
        <f aca="false">Hierarchy!A983</f>
        <v>Ibaraki</v>
      </c>
    </row>
    <row r="941" customFormat="false" ht="15" hidden="false" customHeight="false" outlineLevel="0" collapsed="false">
      <c r="E941" s="15" t="str">
        <f aca="false">Hierarchy!A984</f>
        <v>Ishikawa</v>
      </c>
    </row>
    <row r="942" customFormat="false" ht="15" hidden="false" customHeight="false" outlineLevel="0" collapsed="false">
      <c r="E942" s="15" t="str">
        <f aca="false">Hierarchy!A985</f>
        <v>Iwate</v>
      </c>
    </row>
    <row r="943" customFormat="false" ht="15" hidden="false" customHeight="false" outlineLevel="0" collapsed="false">
      <c r="E943" s="15" t="str">
        <f aca="false">Hierarchy!A986</f>
        <v>Kagawa</v>
      </c>
    </row>
    <row r="944" customFormat="false" ht="15" hidden="false" customHeight="false" outlineLevel="0" collapsed="false">
      <c r="E944" s="15" t="str">
        <f aca="false">Hierarchy!A987</f>
        <v>Kagoshima</v>
      </c>
    </row>
    <row r="945" customFormat="false" ht="15" hidden="false" customHeight="false" outlineLevel="0" collapsed="false">
      <c r="E945" s="15" t="str">
        <f aca="false">Hierarchy!A988</f>
        <v>Kanagawa</v>
      </c>
    </row>
    <row r="946" customFormat="false" ht="15" hidden="false" customHeight="false" outlineLevel="0" collapsed="false">
      <c r="F946" s="16" t="str">
        <f aca="false">Hierarchy!A989</f>
        <v>Yokohama</v>
      </c>
    </row>
    <row r="947" customFormat="false" ht="15" hidden="false" customHeight="false" outlineLevel="0" collapsed="false">
      <c r="E947" s="15" t="str">
        <f aca="false">Hierarchy!A990</f>
        <v>Kochi</v>
      </c>
    </row>
    <row r="948" customFormat="false" ht="15" hidden="false" customHeight="false" outlineLevel="0" collapsed="false">
      <c r="E948" s="15" t="str">
        <f aca="false">Hierarchy!A991</f>
        <v>Kumamoto</v>
      </c>
    </row>
    <row r="949" customFormat="false" ht="15" hidden="false" customHeight="false" outlineLevel="0" collapsed="false">
      <c r="E949" s="15" t="str">
        <f aca="false">Hierarchy!A992</f>
        <v>Kyoto</v>
      </c>
    </row>
    <row r="950" customFormat="false" ht="15" hidden="false" customHeight="false" outlineLevel="0" collapsed="false">
      <c r="E950" s="15" t="str">
        <f aca="false">Hierarchy!A993</f>
        <v>Mie</v>
      </c>
    </row>
    <row r="951" customFormat="false" ht="15" hidden="false" customHeight="false" outlineLevel="0" collapsed="false">
      <c r="E951" s="15" t="str">
        <f aca="false">Hierarchy!A994</f>
        <v>Miyagi</v>
      </c>
    </row>
    <row r="952" customFormat="false" ht="15" hidden="false" customHeight="false" outlineLevel="0" collapsed="false">
      <c r="E952" s="15" t="str">
        <f aca="false">Hierarchy!A995</f>
        <v>Miyazaki</v>
      </c>
    </row>
    <row r="953" customFormat="false" ht="15" hidden="false" customHeight="false" outlineLevel="0" collapsed="false">
      <c r="E953" s="15" t="str">
        <f aca="false">Hierarchy!A996</f>
        <v>Nagano</v>
      </c>
    </row>
    <row r="954" customFormat="false" ht="15" hidden="false" customHeight="false" outlineLevel="0" collapsed="false">
      <c r="E954" s="15" t="str">
        <f aca="false">Hierarchy!A997</f>
        <v>Nagasaki</v>
      </c>
    </row>
    <row r="955" customFormat="false" ht="15" hidden="false" customHeight="false" outlineLevel="0" collapsed="false">
      <c r="E955" s="15" t="str">
        <f aca="false">Hierarchy!A998</f>
        <v>Nara</v>
      </c>
    </row>
    <row r="956" customFormat="false" ht="15" hidden="false" customHeight="false" outlineLevel="0" collapsed="false">
      <c r="E956" s="15" t="str">
        <f aca="false">Hierarchy!A999</f>
        <v>Niigata</v>
      </c>
    </row>
    <row r="957" customFormat="false" ht="15" hidden="false" customHeight="false" outlineLevel="0" collapsed="false">
      <c r="E957" s="15" t="str">
        <f aca="false">Hierarchy!A1000</f>
        <v>Oita</v>
      </c>
    </row>
    <row r="958" customFormat="false" ht="15" hidden="false" customHeight="false" outlineLevel="0" collapsed="false">
      <c r="E958" s="15" t="str">
        <f aca="false">Hierarchy!A1001</f>
        <v>Okayama</v>
      </c>
    </row>
    <row r="959" customFormat="false" ht="15" hidden="false" customHeight="false" outlineLevel="0" collapsed="false">
      <c r="E959" s="15" t="str">
        <f aca="false">Hierarchy!A1002</f>
        <v>Okinawa</v>
      </c>
    </row>
    <row r="960" customFormat="false" ht="15" hidden="false" customHeight="false" outlineLevel="0" collapsed="false">
      <c r="E960" s="15" t="str">
        <f aca="false">Hierarchy!A1003</f>
        <v>Osaka</v>
      </c>
    </row>
    <row r="961" customFormat="false" ht="15" hidden="false" customHeight="false" outlineLevel="0" collapsed="false">
      <c r="E961" s="15" t="str">
        <f aca="false">Hierarchy!A1004</f>
        <v>Saga</v>
      </c>
    </row>
    <row r="962" customFormat="false" ht="15" hidden="false" customHeight="false" outlineLevel="0" collapsed="false">
      <c r="E962" s="15" t="str">
        <f aca="false">Hierarchy!A1005</f>
        <v>Saitama</v>
      </c>
    </row>
    <row r="963" customFormat="false" ht="15" hidden="false" customHeight="false" outlineLevel="0" collapsed="false">
      <c r="E963" s="15" t="str">
        <f aca="false">Hierarchy!A1006</f>
        <v>Shiga</v>
      </c>
    </row>
    <row r="964" customFormat="false" ht="15" hidden="false" customHeight="false" outlineLevel="0" collapsed="false">
      <c r="E964" s="15" t="str">
        <f aca="false">Hierarchy!A1007</f>
        <v>Shimane</v>
      </c>
    </row>
    <row r="965" customFormat="false" ht="15" hidden="false" customHeight="false" outlineLevel="0" collapsed="false">
      <c r="E965" s="15" t="str">
        <f aca="false">Hierarchy!A1008</f>
        <v>Shizuoka</v>
      </c>
    </row>
    <row r="966" customFormat="false" ht="15" hidden="false" customHeight="false" outlineLevel="0" collapsed="false">
      <c r="E966" s="15" t="str">
        <f aca="false">Hierarchy!A1009</f>
        <v>Tochigi</v>
      </c>
    </row>
    <row r="967" customFormat="false" ht="15" hidden="false" customHeight="false" outlineLevel="0" collapsed="false">
      <c r="E967" s="15" t="str">
        <f aca="false">Hierarchy!A1010</f>
        <v>Tokushima</v>
      </c>
    </row>
    <row r="968" customFormat="false" ht="15" hidden="false" customHeight="false" outlineLevel="0" collapsed="false">
      <c r="E968" s="15" t="str">
        <f aca="false">Hierarchy!A1011</f>
        <v>Tokyo</v>
      </c>
    </row>
    <row r="969" customFormat="false" ht="15" hidden="false" customHeight="false" outlineLevel="0" collapsed="false">
      <c r="E969" s="15" t="str">
        <f aca="false">Hierarchy!A1012</f>
        <v>Tottori</v>
      </c>
    </row>
    <row r="970" customFormat="false" ht="15" hidden="false" customHeight="false" outlineLevel="0" collapsed="false">
      <c r="E970" s="15" t="str">
        <f aca="false">Hierarchy!A1013</f>
        <v>Toyama</v>
      </c>
    </row>
    <row r="971" customFormat="false" ht="15" hidden="false" customHeight="false" outlineLevel="0" collapsed="false">
      <c r="E971" s="15" t="str">
        <f aca="false">Hierarchy!A1014</f>
        <v>Wakayama</v>
      </c>
    </row>
    <row r="972" customFormat="false" ht="15" hidden="false" customHeight="false" outlineLevel="0" collapsed="false">
      <c r="E972" s="15" t="str">
        <f aca="false">Hierarchy!A1015</f>
        <v>Yamagata</v>
      </c>
    </row>
    <row r="973" customFormat="false" ht="15" hidden="false" customHeight="false" outlineLevel="0" collapsed="false">
      <c r="E973" s="15" t="str">
        <f aca="false">Hierarchy!A1016</f>
        <v>Yamaguchi</v>
      </c>
    </row>
    <row r="974" customFormat="false" ht="15" hidden="false" customHeight="false" outlineLevel="0" collapsed="false">
      <c r="E974" s="15" t="str">
        <f aca="false">Hierarchy!A1017</f>
        <v>Yamanashi</v>
      </c>
    </row>
    <row r="975" customFormat="false" ht="15" hidden="false" customHeight="false" outlineLevel="0" collapsed="false">
      <c r="D975" s="7" t="str">
        <f aca="false">Hierarchy!A1018</f>
        <v>China</v>
      </c>
      <c r="G975" s="7" t="str">
        <f aca="false">Hierarchy!G1018</f>
        <v>CHN</v>
      </c>
    </row>
    <row r="976" customFormat="false" ht="15" hidden="false" customHeight="false" outlineLevel="0" collapsed="false">
      <c r="E976" s="14" t="str">
        <f aca="false">Hierarchy!A1019</f>
        <v>Central China</v>
      </c>
    </row>
    <row r="977" customFormat="false" ht="15" hidden="false" customHeight="false" outlineLevel="0" collapsed="false">
      <c r="E977" s="14" t="str">
        <f aca="false">Hierarchy!A1020</f>
        <v>East China</v>
      </c>
    </row>
    <row r="978" customFormat="false" ht="15" hidden="false" customHeight="false" outlineLevel="0" collapsed="false">
      <c r="E978" s="14" t="str">
        <f aca="false">Hierarchy!A1021</f>
        <v>Greater Bay Area</v>
      </c>
    </row>
    <row r="979" customFormat="false" ht="15" hidden="false" customHeight="false" outlineLevel="0" collapsed="false">
      <c r="E979" s="14" t="str">
        <f aca="false">Hierarchy!A1022</f>
        <v>North China</v>
      </c>
    </row>
    <row r="980" customFormat="false" ht="15" hidden="false" customHeight="false" outlineLevel="0" collapsed="false">
      <c r="E980" s="14" t="str">
        <f aca="false">Hierarchy!A1023</f>
        <v>Northeast China</v>
      </c>
    </row>
    <row r="981" customFormat="false" ht="15" hidden="false" customHeight="false" outlineLevel="0" collapsed="false">
      <c r="E981" s="14" t="str">
        <f aca="false">Hierarchy!A1024</f>
        <v>Northwest China</v>
      </c>
    </row>
    <row r="982" customFormat="false" ht="15" hidden="false" customHeight="false" outlineLevel="0" collapsed="false">
      <c r="E982" s="14" t="str">
        <f aca="false">Hierarchy!A1025</f>
        <v>South China</v>
      </c>
    </row>
    <row r="983" customFormat="false" ht="15" hidden="false" customHeight="false" outlineLevel="0" collapsed="false">
      <c r="E983" s="14" t="str">
        <f aca="false">Hierarchy!A1026</f>
        <v>Southwest China</v>
      </c>
    </row>
    <row r="984" customFormat="false" ht="15" hidden="false" customHeight="false" outlineLevel="0" collapsed="false">
      <c r="E984" s="14" t="str">
        <f aca="false">Hierarchy!A1027</f>
        <v>Yangtze River Delta</v>
      </c>
    </row>
    <row r="985" customFormat="false" ht="15" hidden="false" customHeight="false" outlineLevel="0" collapsed="false">
      <c r="E985" s="15" t="str">
        <f aca="false">Hierarchy!A1028</f>
        <v>Anhui</v>
      </c>
    </row>
    <row r="986" customFormat="false" ht="15" hidden="false" customHeight="false" outlineLevel="0" collapsed="false">
      <c r="E986" s="15" t="str">
        <f aca="false">Hierarchy!A1029</f>
        <v>Fujian</v>
      </c>
    </row>
    <row r="987" customFormat="false" ht="15" hidden="false" customHeight="false" outlineLevel="0" collapsed="false">
      <c r="F987" s="16" t="str">
        <f aca="false">Hierarchy!A1030</f>
        <v>Xiamen</v>
      </c>
    </row>
    <row r="988" customFormat="false" ht="15" hidden="false" customHeight="false" outlineLevel="0" collapsed="false">
      <c r="E988" s="15" t="str">
        <f aca="false">Hierarchy!A1031</f>
        <v>Gansu</v>
      </c>
    </row>
    <row r="989" customFormat="false" ht="15" hidden="false" customHeight="false" outlineLevel="0" collapsed="false">
      <c r="E989" s="15" t="str">
        <f aca="false">Hierarchy!A1032</f>
        <v>Guangdong</v>
      </c>
    </row>
    <row r="990" customFormat="false" ht="15" hidden="false" customHeight="false" outlineLevel="0" collapsed="false">
      <c r="F990" s="16" t="str">
        <f aca="false">Hierarchy!A1033</f>
        <v>Dongguan</v>
      </c>
    </row>
    <row r="991" customFormat="false" ht="15" hidden="false" customHeight="false" outlineLevel="0" collapsed="false">
      <c r="F991" s="16" t="str">
        <f aca="false">Hierarchy!A1034</f>
        <v>Guangzhou</v>
      </c>
    </row>
    <row r="992" customFormat="false" ht="15" hidden="false" customHeight="false" outlineLevel="0" collapsed="false">
      <c r="F992" s="16" t="str">
        <f aca="false">Hierarchy!A1035</f>
        <v>Shenzhen</v>
      </c>
    </row>
    <row r="993" customFormat="false" ht="15" hidden="false" customHeight="false" outlineLevel="0" collapsed="false">
      <c r="E993" s="15" t="str">
        <f aca="false">Hierarchy!A1036</f>
        <v>Guangxi</v>
      </c>
    </row>
    <row r="994" customFormat="false" ht="15" hidden="false" customHeight="false" outlineLevel="0" collapsed="false">
      <c r="E994" s="15" t="str">
        <f aca="false">Hierarchy!A1037</f>
        <v>Guizhou</v>
      </c>
    </row>
    <row r="995" customFormat="false" ht="15" hidden="false" customHeight="false" outlineLevel="0" collapsed="false">
      <c r="E995" s="15" t="str">
        <f aca="false">Hierarchy!A1038</f>
        <v>Hainan</v>
      </c>
    </row>
    <row r="996" customFormat="false" ht="15" hidden="false" customHeight="false" outlineLevel="0" collapsed="false">
      <c r="E996" s="15" t="str">
        <f aca="false">Hierarchy!A1039</f>
        <v>Hebei</v>
      </c>
    </row>
    <row r="997" customFormat="false" ht="15" hidden="false" customHeight="false" outlineLevel="0" collapsed="false">
      <c r="E997" s="15" t="str">
        <f aca="false">Hierarchy!A1040</f>
        <v>Heilongjiang</v>
      </c>
    </row>
    <row r="998" customFormat="false" ht="15" hidden="false" customHeight="false" outlineLevel="0" collapsed="false">
      <c r="E998" s="15" t="str">
        <f aca="false">Hierarchy!A1041</f>
        <v>Henan</v>
      </c>
    </row>
    <row r="999" customFormat="false" ht="15" hidden="false" customHeight="false" outlineLevel="0" collapsed="false">
      <c r="E999" s="15" t="str">
        <f aca="false">Hierarchy!A1042</f>
        <v>Hubei</v>
      </c>
    </row>
    <row r="1000" customFormat="false" ht="15" hidden="false" customHeight="false" outlineLevel="0" collapsed="false">
      <c r="F1000" s="16" t="str">
        <f aca="false">Hierarchy!A1043</f>
        <v>Wuhan</v>
      </c>
    </row>
    <row r="1001" customFormat="false" ht="15" hidden="false" customHeight="false" outlineLevel="0" collapsed="false">
      <c r="E1001" s="15" t="str">
        <f aca="false">Hierarchy!A1044</f>
        <v>Hunan</v>
      </c>
    </row>
    <row r="1002" customFormat="false" ht="15" hidden="false" customHeight="false" outlineLevel="0" collapsed="false">
      <c r="E1002" s="15" t="str">
        <f aca="false">Hierarchy!A1045</f>
        <v>Inner Mongolia</v>
      </c>
    </row>
    <row r="1003" customFormat="false" ht="15" hidden="false" customHeight="false" outlineLevel="0" collapsed="false">
      <c r="E1003" s="15" t="str">
        <f aca="false">Hierarchy!A1046</f>
        <v>Jiangsu</v>
      </c>
    </row>
    <row r="1004" customFormat="false" ht="15" hidden="false" customHeight="false" outlineLevel="0" collapsed="false">
      <c r="F1004" s="16" t="str">
        <f aca="false">Hierarchy!A1047</f>
        <v>Nanjing</v>
      </c>
    </row>
    <row r="1005" customFormat="false" ht="15" hidden="false" customHeight="false" outlineLevel="0" collapsed="false">
      <c r="F1005" s="16" t="str">
        <f aca="false">Hierarchy!A1048</f>
        <v>Suzhou</v>
      </c>
    </row>
    <row r="1006" customFormat="false" ht="15" hidden="false" customHeight="false" outlineLevel="0" collapsed="false">
      <c r="F1006" s="16" t="str">
        <f aca="false">Hierarchy!A1049</f>
        <v>Wuxi</v>
      </c>
    </row>
    <row r="1007" customFormat="false" ht="15" hidden="false" customHeight="false" outlineLevel="0" collapsed="false">
      <c r="E1007" s="15" t="str">
        <f aca="false">Hierarchy!A1050</f>
        <v>Jiangxi</v>
      </c>
    </row>
    <row r="1008" customFormat="false" ht="15" hidden="false" customHeight="false" outlineLevel="0" collapsed="false">
      <c r="E1008" s="15" t="str">
        <f aca="false">Hierarchy!A1051</f>
        <v>Jilin</v>
      </c>
    </row>
    <row r="1009" customFormat="false" ht="15" hidden="false" customHeight="false" outlineLevel="0" collapsed="false">
      <c r="E1009" s="15" t="str">
        <f aca="false">Hierarchy!A1052</f>
        <v>Liaoning</v>
      </c>
    </row>
    <row r="1010" customFormat="false" ht="15" hidden="false" customHeight="false" outlineLevel="0" collapsed="false">
      <c r="F1010" s="16" t="str">
        <f aca="false">Hierarchy!A1053</f>
        <v>Dalian</v>
      </c>
    </row>
    <row r="1011" customFormat="false" ht="15" hidden="false" customHeight="false" outlineLevel="0" collapsed="false">
      <c r="F1011" s="16" t="str">
        <f aca="false">Hierarchy!A1054</f>
        <v>Shenyang</v>
      </c>
    </row>
    <row r="1012" customFormat="false" ht="15" hidden="false" customHeight="false" outlineLevel="0" collapsed="false">
      <c r="E1012" s="15" t="str">
        <f aca="false">Hierarchy!A1055</f>
        <v>Ningxia</v>
      </c>
    </row>
    <row r="1013" customFormat="false" ht="15" hidden="false" customHeight="false" outlineLevel="0" collapsed="false">
      <c r="E1013" s="15" t="str">
        <f aca="false">Hierarchy!A1056</f>
        <v>Qinghai</v>
      </c>
    </row>
    <row r="1014" customFormat="false" ht="15" hidden="false" customHeight="false" outlineLevel="0" collapsed="false">
      <c r="E1014" s="15" t="str">
        <f aca="false">Hierarchy!A1057</f>
        <v>Shaanxi</v>
      </c>
    </row>
    <row r="1015" customFormat="false" ht="15" hidden="false" customHeight="false" outlineLevel="0" collapsed="false">
      <c r="F1015" s="16" t="str">
        <f aca="false">Hierarchy!A1058</f>
        <v>Xi'an</v>
      </c>
    </row>
    <row r="1016" customFormat="false" ht="15" hidden="false" customHeight="false" outlineLevel="0" collapsed="false">
      <c r="E1016" s="15" t="str">
        <f aca="false">Hierarchy!A1059</f>
        <v>Shandong</v>
      </c>
    </row>
    <row r="1017" customFormat="false" ht="15" hidden="false" customHeight="false" outlineLevel="0" collapsed="false">
      <c r="F1017" s="16" t="str">
        <f aca="false">Hierarchy!A1060</f>
        <v>Qingdao</v>
      </c>
    </row>
    <row r="1018" customFormat="false" ht="15" hidden="false" customHeight="false" outlineLevel="0" collapsed="false">
      <c r="E1018" s="15" t="str">
        <f aca="false">Hierarchy!A1061</f>
        <v>Shanxi</v>
      </c>
    </row>
    <row r="1019" customFormat="false" ht="15" hidden="false" customHeight="false" outlineLevel="0" collapsed="false">
      <c r="E1019" s="15" t="str">
        <f aca="false">Hierarchy!A1062</f>
        <v>Sichuan</v>
      </c>
    </row>
    <row r="1020" customFormat="false" ht="15" hidden="false" customHeight="false" outlineLevel="0" collapsed="false">
      <c r="F1020" s="16" t="str">
        <f aca="false">Hierarchy!A1063</f>
        <v>Chengdu</v>
      </c>
    </row>
    <row r="1021" customFormat="false" ht="15" hidden="false" customHeight="false" outlineLevel="0" collapsed="false">
      <c r="E1021" s="15" t="str">
        <f aca="false">Hierarchy!A1064</f>
        <v>Tibet</v>
      </c>
    </row>
    <row r="1022" customFormat="false" ht="15" hidden="false" customHeight="false" outlineLevel="0" collapsed="false">
      <c r="E1022" s="15" t="str">
        <f aca="false">Hierarchy!A1065</f>
        <v>Xinjiang</v>
      </c>
    </row>
    <row r="1023" customFormat="false" ht="15" hidden="false" customHeight="false" outlineLevel="0" collapsed="false">
      <c r="E1023" s="15" t="str">
        <f aca="false">Hierarchy!A1066</f>
        <v>Yunnan</v>
      </c>
    </row>
    <row r="1024" customFormat="false" ht="15" hidden="false" customHeight="false" outlineLevel="0" collapsed="false">
      <c r="E1024" s="15" t="str">
        <f aca="false">Hierarchy!A1067</f>
        <v>Zhejiang</v>
      </c>
    </row>
    <row r="1025" customFormat="false" ht="15" hidden="false" customHeight="false" outlineLevel="0" collapsed="false">
      <c r="F1025" s="16" t="str">
        <f aca="false">Hierarchy!A1068</f>
        <v>Hangzhou</v>
      </c>
    </row>
    <row r="1026" customFormat="false" ht="15" hidden="false" customHeight="false" outlineLevel="0" collapsed="false">
      <c r="F1026" s="16" t="str">
        <f aca="false">Hierarchy!A1069</f>
        <v>Ningbo</v>
      </c>
    </row>
    <row r="1027" customFormat="false" ht="15" hidden="false" customHeight="false" outlineLevel="0" collapsed="false">
      <c r="F1027" s="16" t="str">
        <f aca="false">Hierarchy!A1070</f>
        <v>Beijing</v>
      </c>
    </row>
    <row r="1028" customFormat="false" ht="15" hidden="false" customHeight="false" outlineLevel="0" collapsed="false">
      <c r="F1028" s="16" t="str">
        <f aca="false">Hierarchy!A1071</f>
        <v>Chongqing</v>
      </c>
    </row>
    <row r="1029" customFormat="false" ht="15" hidden="false" customHeight="false" outlineLevel="0" collapsed="false">
      <c r="F1029" s="16" t="str">
        <f aca="false">Hierarchy!A1072</f>
        <v>Shanghai</v>
      </c>
    </row>
    <row r="1030" customFormat="false" ht="15" hidden="false" customHeight="false" outlineLevel="0" collapsed="false">
      <c r="F1030" s="16" t="str">
        <f aca="false">Hierarchy!A1073</f>
        <v>Tianjin</v>
      </c>
    </row>
    <row r="1031" customFormat="false" ht="15" hidden="false" customHeight="false" outlineLevel="0" collapsed="false">
      <c r="D1031" s="7" t="str">
        <f aca="false">Hierarchy!A1074</f>
        <v>Hong Kong</v>
      </c>
      <c r="G1031" s="7" t="str">
        <f aca="false">Hierarchy!G1074</f>
        <v>HKG</v>
      </c>
    </row>
    <row r="1032" customFormat="false" ht="15" hidden="false" customHeight="false" outlineLevel="0" collapsed="false">
      <c r="D1032" s="7" t="str">
        <f aca="false">Hierarchy!A1075</f>
        <v>Macau</v>
      </c>
      <c r="G1032" s="7" t="str">
        <f aca="false">Hierarchy!G1075</f>
        <v>MAC</v>
      </c>
    </row>
    <row r="1033" customFormat="false" ht="15" hidden="false" customHeight="false" outlineLevel="0" collapsed="false">
      <c r="D1033" s="7" t="str">
        <f aca="false">Hierarchy!A1076</f>
        <v>Mongolia</v>
      </c>
      <c r="G1033" s="7" t="str">
        <f aca="false">Hierarchy!G1076</f>
        <v>MNG</v>
      </c>
    </row>
    <row r="1034" customFormat="false" ht="15" hidden="false" customHeight="false" outlineLevel="0" collapsed="false">
      <c r="D1034" s="7" t="str">
        <f aca="false">Hierarchy!A1077</f>
        <v>North Korea</v>
      </c>
      <c r="G1034" s="7" t="str">
        <f aca="false">Hierarchy!G1077</f>
        <v>PRK</v>
      </c>
    </row>
    <row r="1035" customFormat="false" ht="15" hidden="false" customHeight="false" outlineLevel="0" collapsed="false">
      <c r="D1035" s="7" t="str">
        <f aca="false">Hierarchy!A1078</f>
        <v>South Korea</v>
      </c>
      <c r="G1035" s="7" t="str">
        <f aca="false">Hierarchy!G1078</f>
        <v>KOR</v>
      </c>
    </row>
    <row r="1036" customFormat="false" ht="15" hidden="false" customHeight="false" outlineLevel="0" collapsed="false">
      <c r="E1036" s="15" t="str">
        <f aca="false">Hierarchy!A1079</f>
        <v>Busan Metropolitan City</v>
      </c>
    </row>
    <row r="1037" customFormat="false" ht="15" hidden="false" customHeight="false" outlineLevel="0" collapsed="false">
      <c r="E1037" s="15" t="str">
        <f aca="false">Hierarchy!A1080</f>
        <v>Daegu</v>
      </c>
    </row>
    <row r="1038" customFormat="false" ht="15" hidden="false" customHeight="false" outlineLevel="0" collapsed="false">
      <c r="E1038" s="15" t="str">
        <f aca="false">Hierarchy!A1081</f>
        <v>Daejeon</v>
      </c>
    </row>
    <row r="1039" customFormat="false" ht="15" hidden="false" customHeight="false" outlineLevel="0" collapsed="false">
      <c r="E1039" s="15" t="str">
        <f aca="false">Hierarchy!A1082</f>
        <v>Gangwon</v>
      </c>
    </row>
    <row r="1040" customFormat="false" ht="15" hidden="false" customHeight="false" outlineLevel="0" collapsed="false">
      <c r="E1040" s="15" t="str">
        <f aca="false">Hierarchy!A1083</f>
        <v>Gwangju</v>
      </c>
    </row>
    <row r="1041" customFormat="false" ht="15" hidden="false" customHeight="false" outlineLevel="0" collapsed="false">
      <c r="E1041" s="15" t="str">
        <f aca="false">Hierarchy!A1084</f>
        <v>Gyeonggi</v>
      </c>
    </row>
    <row r="1042" customFormat="false" ht="15" hidden="false" customHeight="false" outlineLevel="0" collapsed="false">
      <c r="E1042" s="15" t="str">
        <f aca="false">Hierarchy!A1085</f>
        <v>Incheon</v>
      </c>
    </row>
    <row r="1043" customFormat="false" ht="15" hidden="false" customHeight="false" outlineLevel="0" collapsed="false">
      <c r="E1043" s="15" t="str">
        <f aca="false">Hierarchy!A1086</f>
        <v>Jeju</v>
      </c>
    </row>
    <row r="1044" customFormat="false" ht="15" hidden="false" customHeight="false" outlineLevel="0" collapsed="false">
      <c r="E1044" s="15" t="str">
        <f aca="false">Hierarchy!A1087</f>
        <v>North Chungcheong</v>
      </c>
    </row>
    <row r="1045" customFormat="false" ht="15" hidden="false" customHeight="false" outlineLevel="0" collapsed="false">
      <c r="E1045" s="15" t="str">
        <f aca="false">Hierarchy!A1088</f>
        <v>North Gyeongsang</v>
      </c>
    </row>
    <row r="1046" customFormat="false" ht="15" hidden="false" customHeight="false" outlineLevel="0" collapsed="false">
      <c r="E1046" s="15" t="str">
        <f aca="false">Hierarchy!A1089</f>
        <v>North Jeolla</v>
      </c>
    </row>
    <row r="1047" customFormat="false" ht="15" hidden="false" customHeight="false" outlineLevel="0" collapsed="false">
      <c r="E1047" s="15" t="str">
        <f aca="false">Hierarchy!A1090</f>
        <v>Sejong</v>
      </c>
    </row>
    <row r="1048" customFormat="false" ht="15" hidden="false" customHeight="false" outlineLevel="0" collapsed="false">
      <c r="E1048" s="15" t="str">
        <f aca="false">Hierarchy!A1091</f>
        <v>Seoul Special City</v>
      </c>
    </row>
    <row r="1049" customFormat="false" ht="15" hidden="false" customHeight="false" outlineLevel="0" collapsed="false">
      <c r="E1049" s="15" t="str">
        <f aca="false">Hierarchy!A1092</f>
        <v>South Chungcheong</v>
      </c>
    </row>
    <row r="1050" customFormat="false" ht="15" hidden="false" customHeight="false" outlineLevel="0" collapsed="false">
      <c r="E1050" s="15" t="str">
        <f aca="false">Hierarchy!A1093</f>
        <v>South Gyeongsang</v>
      </c>
    </row>
    <row r="1051" customFormat="false" ht="15" hidden="false" customHeight="false" outlineLevel="0" collapsed="false">
      <c r="E1051" s="15" t="str">
        <f aca="false">Hierarchy!A1094</f>
        <v>South Jeolla</v>
      </c>
    </row>
    <row r="1052" customFormat="false" ht="15" hidden="false" customHeight="false" outlineLevel="0" collapsed="false">
      <c r="E1052" s="15" t="str">
        <f aca="false">Hierarchy!A1095</f>
        <v>Ulsan</v>
      </c>
    </row>
    <row r="1053" customFormat="false" ht="15" hidden="false" customHeight="false" outlineLevel="0" collapsed="false">
      <c r="F1053" s="16" t="str">
        <f aca="false">Hierarchy!A1096</f>
        <v>Busan</v>
      </c>
    </row>
    <row r="1054" customFormat="false" ht="15" hidden="false" customHeight="false" outlineLevel="0" collapsed="false">
      <c r="F1054" s="16" t="str">
        <f aca="false">Hierarchy!A1097</f>
        <v>Seoul</v>
      </c>
    </row>
    <row r="1055" customFormat="false" ht="15" hidden="false" customHeight="false" outlineLevel="0" collapsed="false">
      <c r="D1055" s="7" t="str">
        <f aca="false">Hierarchy!A1098</f>
        <v>Taiwan</v>
      </c>
      <c r="G1055" s="7" t="str">
        <f aca="false">Hierarchy!G1098</f>
        <v>TWN</v>
      </c>
    </row>
    <row r="1056" customFormat="false" ht="15" hidden="false" customHeight="false" outlineLevel="0" collapsed="false">
      <c r="F1056" s="16" t="str">
        <f aca="false">Hierarchy!A1099</f>
        <v>Taipei</v>
      </c>
    </row>
    <row r="1057" customFormat="false" ht="15" hidden="false" customHeight="false" outlineLevel="0" collapsed="false">
      <c r="A1057" s="13"/>
      <c r="B1057" s="13"/>
      <c r="C1057" s="3" t="str">
        <f aca="false">Hierarchy!A1100</f>
        <v>Southeast Asia (ASEAN)</v>
      </c>
      <c r="D1057" s="13"/>
      <c r="E1057" s="13"/>
      <c r="F1057" s="13"/>
      <c r="G1057" s="13"/>
    </row>
    <row r="1058" customFormat="false" ht="15" hidden="false" customHeight="false" outlineLevel="0" collapsed="false">
      <c r="D1058" s="7" t="str">
        <f aca="false">Hierarchy!A1102</f>
        <v>Indonesia</v>
      </c>
      <c r="G1058" s="7" t="str">
        <f aca="false">Hierarchy!G1102</f>
        <v>IDN</v>
      </c>
    </row>
    <row r="1059" customFormat="false" ht="15" hidden="false" customHeight="false" outlineLevel="0" collapsed="false">
      <c r="E1059" s="15" t="str">
        <f aca="false">Hierarchy!A1103</f>
        <v>Aceh</v>
      </c>
    </row>
    <row r="1060" customFormat="false" ht="15" hidden="false" customHeight="false" outlineLevel="0" collapsed="false">
      <c r="E1060" s="15" t="str">
        <f aca="false">Hierarchy!A1104</f>
        <v>Bali</v>
      </c>
    </row>
    <row r="1061" customFormat="false" ht="15" hidden="false" customHeight="false" outlineLevel="0" collapsed="false">
      <c r="E1061" s="15" t="str">
        <f aca="false">Hierarchy!A1105</f>
        <v>Bangka Belitung Islands</v>
      </c>
    </row>
    <row r="1062" customFormat="false" ht="15" hidden="false" customHeight="false" outlineLevel="0" collapsed="false">
      <c r="E1062" s="15" t="str">
        <f aca="false">Hierarchy!A1106</f>
        <v>Banten</v>
      </c>
    </row>
    <row r="1063" customFormat="false" ht="15" hidden="false" customHeight="false" outlineLevel="0" collapsed="false">
      <c r="E1063" s="15" t="str">
        <f aca="false">Hierarchy!A1107</f>
        <v>Bengkulu</v>
      </c>
    </row>
    <row r="1064" customFormat="false" ht="15" hidden="false" customHeight="false" outlineLevel="0" collapsed="false">
      <c r="E1064" s="15" t="str">
        <f aca="false">Hierarchy!A1108</f>
        <v>Central Java</v>
      </c>
    </row>
    <row r="1065" customFormat="false" ht="15" hidden="false" customHeight="false" outlineLevel="0" collapsed="false">
      <c r="E1065" s="15" t="str">
        <f aca="false">Hierarchy!A1109</f>
        <v>Central Kalimantan</v>
      </c>
    </row>
    <row r="1066" customFormat="false" ht="15" hidden="false" customHeight="false" outlineLevel="0" collapsed="false">
      <c r="E1066" s="15" t="str">
        <f aca="false">Hierarchy!A1110</f>
        <v>Central Papua</v>
      </c>
    </row>
    <row r="1067" customFormat="false" ht="15" hidden="false" customHeight="false" outlineLevel="0" collapsed="false">
      <c r="E1067" s="15" t="str">
        <f aca="false">Hierarchy!A1111</f>
        <v>Central Sulawesi</v>
      </c>
    </row>
    <row r="1068" customFormat="false" ht="15" hidden="false" customHeight="false" outlineLevel="0" collapsed="false">
      <c r="E1068" s="15" t="str">
        <f aca="false">Hierarchy!A1112</f>
        <v>East Java</v>
      </c>
    </row>
    <row r="1069" customFormat="false" ht="15" hidden="false" customHeight="false" outlineLevel="0" collapsed="false">
      <c r="F1069" s="16" t="str">
        <f aca="false">Hierarchy!A1113</f>
        <v>Surabaya</v>
      </c>
    </row>
    <row r="1070" customFormat="false" ht="15" hidden="false" customHeight="false" outlineLevel="0" collapsed="false">
      <c r="E1070" s="15" t="str">
        <f aca="false">Hierarchy!A1114</f>
        <v>East Kalimantan</v>
      </c>
    </row>
    <row r="1071" customFormat="false" ht="15" hidden="false" customHeight="false" outlineLevel="0" collapsed="false">
      <c r="E1071" s="15" t="str">
        <f aca="false">Hierarchy!A1115</f>
        <v>East Nusa Tenggara</v>
      </c>
    </row>
    <row r="1072" customFormat="false" ht="15" hidden="false" customHeight="false" outlineLevel="0" collapsed="false">
      <c r="E1072" s="15" t="str">
        <f aca="false">Hierarchy!A1116</f>
        <v>Gorontalo</v>
      </c>
    </row>
    <row r="1073" customFormat="false" ht="15" hidden="false" customHeight="false" outlineLevel="0" collapsed="false">
      <c r="E1073" s="15" t="str">
        <f aca="false">Hierarchy!A1117</f>
        <v>Highland Papua</v>
      </c>
    </row>
    <row r="1074" customFormat="false" ht="15" hidden="false" customHeight="false" outlineLevel="0" collapsed="false">
      <c r="E1074" s="15" t="str">
        <f aca="false">Hierarchy!A1118</f>
        <v>Jakarta</v>
      </c>
    </row>
    <row r="1075" customFormat="false" ht="15" hidden="false" customHeight="false" outlineLevel="0" collapsed="false">
      <c r="E1075" s="15" t="str">
        <f aca="false">Hierarchy!A1119</f>
        <v>Jambi</v>
      </c>
    </row>
    <row r="1076" customFormat="false" ht="15" hidden="false" customHeight="false" outlineLevel="0" collapsed="false">
      <c r="E1076" s="15" t="str">
        <f aca="false">Hierarchy!A1120</f>
        <v>Lampung</v>
      </c>
    </row>
    <row r="1077" customFormat="false" ht="15" hidden="false" customHeight="false" outlineLevel="0" collapsed="false">
      <c r="E1077" s="15" t="str">
        <f aca="false">Hierarchy!A1121</f>
        <v>Maluku</v>
      </c>
    </row>
    <row r="1078" customFormat="false" ht="15" hidden="false" customHeight="false" outlineLevel="0" collapsed="false">
      <c r="E1078" s="15" t="str">
        <f aca="false">Hierarchy!A1122</f>
        <v>North Kalimantan</v>
      </c>
    </row>
    <row r="1079" customFormat="false" ht="15" hidden="false" customHeight="false" outlineLevel="0" collapsed="false">
      <c r="E1079" s="15" t="str">
        <f aca="false">Hierarchy!A1123</f>
        <v>North Maluku</v>
      </c>
    </row>
    <row r="1080" customFormat="false" ht="15" hidden="false" customHeight="false" outlineLevel="0" collapsed="false">
      <c r="E1080" s="15" t="str">
        <f aca="false">Hierarchy!A1124</f>
        <v>North Sulawesi</v>
      </c>
    </row>
    <row r="1081" customFormat="false" ht="15" hidden="false" customHeight="false" outlineLevel="0" collapsed="false">
      <c r="E1081" s="15" t="str">
        <f aca="false">Hierarchy!A1125</f>
        <v>North Sumatra</v>
      </c>
    </row>
    <row r="1082" customFormat="false" ht="15" hidden="false" customHeight="false" outlineLevel="0" collapsed="false">
      <c r="E1082" s="15" t="str">
        <f aca="false">Hierarchy!A1126</f>
        <v>Papua</v>
      </c>
    </row>
    <row r="1083" customFormat="false" ht="15" hidden="false" customHeight="false" outlineLevel="0" collapsed="false">
      <c r="E1083" s="15" t="str">
        <f aca="false">Hierarchy!A1127</f>
        <v>Riau</v>
      </c>
    </row>
    <row r="1084" customFormat="false" ht="15" hidden="false" customHeight="false" outlineLevel="0" collapsed="false">
      <c r="E1084" s="15" t="str">
        <f aca="false">Hierarchy!A1128</f>
        <v>Riau Islands</v>
      </c>
    </row>
    <row r="1085" customFormat="false" ht="15" hidden="false" customHeight="false" outlineLevel="0" collapsed="false">
      <c r="E1085" s="15" t="str">
        <f aca="false">Hierarchy!A1129</f>
        <v>South Kalimantan</v>
      </c>
    </row>
    <row r="1086" customFormat="false" ht="15" hidden="false" customHeight="false" outlineLevel="0" collapsed="false">
      <c r="E1086" s="15" t="str">
        <f aca="false">Hierarchy!A1130</f>
        <v>South Papua</v>
      </c>
    </row>
    <row r="1087" customFormat="false" ht="15" hidden="false" customHeight="false" outlineLevel="0" collapsed="false">
      <c r="E1087" s="15" t="str">
        <f aca="false">Hierarchy!A1131</f>
        <v>South Sulawesi</v>
      </c>
    </row>
    <row r="1088" customFormat="false" ht="15" hidden="false" customHeight="false" outlineLevel="0" collapsed="false">
      <c r="E1088" s="15" t="str">
        <f aca="false">Hierarchy!A1132</f>
        <v>South Sumatra</v>
      </c>
    </row>
    <row r="1089" customFormat="false" ht="15" hidden="false" customHeight="false" outlineLevel="0" collapsed="false">
      <c r="E1089" s="15" t="str">
        <f aca="false">Hierarchy!A1133</f>
        <v>Southeast Sulawesi</v>
      </c>
    </row>
    <row r="1090" customFormat="false" ht="15" hidden="false" customHeight="false" outlineLevel="0" collapsed="false">
      <c r="E1090" s="15" t="str">
        <f aca="false">Hierarchy!A1134</f>
        <v>Southwest Papua</v>
      </c>
    </row>
    <row r="1091" customFormat="false" ht="15" hidden="false" customHeight="false" outlineLevel="0" collapsed="false">
      <c r="E1091" s="15" t="str">
        <f aca="false">Hierarchy!A1135</f>
        <v>West Java</v>
      </c>
    </row>
    <row r="1092" customFormat="false" ht="15" hidden="false" customHeight="false" outlineLevel="0" collapsed="false">
      <c r="F1092" s="16" t="str">
        <f aca="false">Hierarchy!A1136</f>
        <v>Bandung</v>
      </c>
    </row>
    <row r="1093" customFormat="false" ht="15" hidden="false" customHeight="false" outlineLevel="0" collapsed="false">
      <c r="E1093" s="15" t="str">
        <f aca="false">Hierarchy!A1137</f>
        <v>West Kalimantan</v>
      </c>
    </row>
    <row r="1094" customFormat="false" ht="15" hidden="false" customHeight="false" outlineLevel="0" collapsed="false">
      <c r="E1094" s="15" t="str">
        <f aca="false">Hierarchy!A1138</f>
        <v>West Nusa Tenggara</v>
      </c>
    </row>
    <row r="1095" customFormat="false" ht="15" hidden="false" customHeight="false" outlineLevel="0" collapsed="false">
      <c r="E1095" s="15" t="str">
        <f aca="false">Hierarchy!A1139</f>
        <v>West Papua</v>
      </c>
    </row>
    <row r="1096" customFormat="false" ht="15" hidden="false" customHeight="false" outlineLevel="0" collapsed="false">
      <c r="E1096" s="15" t="str">
        <f aca="false">Hierarchy!A1140</f>
        <v>West Sulawesi</v>
      </c>
    </row>
    <row r="1097" customFormat="false" ht="15" hidden="false" customHeight="false" outlineLevel="0" collapsed="false">
      <c r="E1097" s="15" t="str">
        <f aca="false">Hierarchy!A1141</f>
        <v>West Sumatra</v>
      </c>
    </row>
    <row r="1098" customFormat="false" ht="15" hidden="false" customHeight="false" outlineLevel="0" collapsed="false">
      <c r="E1098" s="15" t="str">
        <f aca="false">Hierarchy!A1142</f>
        <v>Yogyakarta</v>
      </c>
    </row>
    <row r="1099" customFormat="false" ht="15" hidden="false" customHeight="false" outlineLevel="0" collapsed="false">
      <c r="D1099" s="7" t="str">
        <f aca="false">Hierarchy!A1143</f>
        <v>Malaysia</v>
      </c>
      <c r="G1099" s="7" t="str">
        <f aca="false">Hierarchy!G1143</f>
        <v>MYS</v>
      </c>
    </row>
    <row r="1100" customFormat="false" ht="15" hidden="false" customHeight="false" outlineLevel="0" collapsed="false">
      <c r="E1100" s="15" t="str">
        <f aca="false">Hierarchy!A1144</f>
        <v>Johor</v>
      </c>
    </row>
    <row r="1101" customFormat="false" ht="15" hidden="false" customHeight="false" outlineLevel="0" collapsed="false">
      <c r="F1101" s="16" t="str">
        <f aca="false">Hierarchy!A1145</f>
        <v>Johor Bahru</v>
      </c>
    </row>
    <row r="1102" customFormat="false" ht="15" hidden="false" customHeight="false" outlineLevel="0" collapsed="false">
      <c r="E1102" s="15" t="str">
        <f aca="false">Hierarchy!A1146</f>
        <v>Kedah</v>
      </c>
    </row>
    <row r="1103" customFormat="false" ht="15" hidden="false" customHeight="false" outlineLevel="0" collapsed="false">
      <c r="E1103" s="15" t="str">
        <f aca="false">Hierarchy!A1147</f>
        <v>Kelantan</v>
      </c>
    </row>
    <row r="1104" customFormat="false" ht="15" hidden="false" customHeight="false" outlineLevel="0" collapsed="false">
      <c r="E1104" s="15" t="str">
        <f aca="false">Hierarchy!A1148</f>
        <v>Kuala Lumpur</v>
      </c>
    </row>
    <row r="1105" customFormat="false" ht="15" hidden="false" customHeight="false" outlineLevel="0" collapsed="false">
      <c r="E1105" s="15" t="str">
        <f aca="false">Hierarchy!A1149</f>
        <v>Labuan</v>
      </c>
    </row>
    <row r="1106" customFormat="false" ht="15" hidden="false" customHeight="false" outlineLevel="0" collapsed="false">
      <c r="E1106" s="15" t="str">
        <f aca="false">Hierarchy!A1150</f>
        <v>Malacca</v>
      </c>
    </row>
    <row r="1107" customFormat="false" ht="15" hidden="false" customHeight="false" outlineLevel="0" collapsed="false">
      <c r="E1107" s="15" t="str">
        <f aca="false">Hierarchy!A1151</f>
        <v>Negeri Sembilan</v>
      </c>
    </row>
    <row r="1108" customFormat="false" ht="15" hidden="false" customHeight="false" outlineLevel="0" collapsed="false">
      <c r="E1108" s="15" t="str">
        <f aca="false">Hierarchy!A1152</f>
        <v>Pahang</v>
      </c>
    </row>
    <row r="1109" customFormat="false" ht="15" hidden="false" customHeight="false" outlineLevel="0" collapsed="false">
      <c r="E1109" s="15" t="str">
        <f aca="false">Hierarchy!A1153</f>
        <v>Penang</v>
      </c>
    </row>
    <row r="1110" customFormat="false" ht="15" hidden="false" customHeight="false" outlineLevel="0" collapsed="false">
      <c r="E1110" s="15" t="str">
        <f aca="false">Hierarchy!A1154</f>
        <v>Perak</v>
      </c>
    </row>
    <row r="1111" customFormat="false" ht="15" hidden="false" customHeight="false" outlineLevel="0" collapsed="false">
      <c r="E1111" s="15" t="str">
        <f aca="false">Hierarchy!A1155</f>
        <v>Perlis</v>
      </c>
    </row>
    <row r="1112" customFormat="false" ht="15" hidden="false" customHeight="false" outlineLevel="0" collapsed="false">
      <c r="E1112" s="15" t="str">
        <f aca="false">Hierarchy!A1156</f>
        <v>Putrajaya</v>
      </c>
    </row>
    <row r="1113" customFormat="false" ht="15" hidden="false" customHeight="false" outlineLevel="0" collapsed="false">
      <c r="E1113" s="15" t="str">
        <f aca="false">Hierarchy!A1157</f>
        <v>Sabah</v>
      </c>
    </row>
    <row r="1114" customFormat="false" ht="15" hidden="false" customHeight="false" outlineLevel="0" collapsed="false">
      <c r="E1114" s="15" t="str">
        <f aca="false">Hierarchy!A1158</f>
        <v>Sarawak</v>
      </c>
    </row>
    <row r="1115" customFormat="false" ht="15" hidden="false" customHeight="false" outlineLevel="0" collapsed="false">
      <c r="E1115" s="15" t="str">
        <f aca="false">Hierarchy!A1159</f>
        <v>Selangor</v>
      </c>
    </row>
    <row r="1116" customFormat="false" ht="15" hidden="false" customHeight="false" outlineLevel="0" collapsed="false">
      <c r="E1116" s="15" t="str">
        <f aca="false">Hierarchy!A1160</f>
        <v>Terengganu</v>
      </c>
    </row>
    <row r="1117" customFormat="false" ht="15" hidden="false" customHeight="false" outlineLevel="0" collapsed="false">
      <c r="D1117" s="7" t="str">
        <f aca="false">Hierarchy!A1161</f>
        <v>Brunei</v>
      </c>
      <c r="G1117" s="7" t="str">
        <f aca="false">Hierarchy!G1161</f>
        <v>BRN</v>
      </c>
    </row>
    <row r="1118" customFormat="false" ht="15" hidden="false" customHeight="false" outlineLevel="0" collapsed="false">
      <c r="D1118" s="7" t="str">
        <f aca="false">Hierarchy!A1162</f>
        <v>Cambodia</v>
      </c>
      <c r="G1118" s="7" t="str">
        <f aca="false">Hierarchy!G1162</f>
        <v>KHM</v>
      </c>
    </row>
    <row r="1119" customFormat="false" ht="15" hidden="false" customHeight="false" outlineLevel="0" collapsed="false">
      <c r="D1119" s="7" t="str">
        <f aca="false">Hierarchy!A1163</f>
        <v>Laos</v>
      </c>
      <c r="G1119" s="7" t="str">
        <f aca="false">Hierarchy!G1163</f>
        <v>LAO</v>
      </c>
    </row>
    <row r="1120" customFormat="false" ht="15" hidden="false" customHeight="false" outlineLevel="0" collapsed="false">
      <c r="D1120" s="7" t="str">
        <f aca="false">Hierarchy!A1164</f>
        <v>Myanmar</v>
      </c>
      <c r="G1120" s="7" t="str">
        <f aca="false">Hierarchy!G1164</f>
        <v>MMR</v>
      </c>
    </row>
    <row r="1121" customFormat="false" ht="15" hidden="false" customHeight="false" outlineLevel="0" collapsed="false">
      <c r="D1121" s="7" t="str">
        <f aca="false">Hierarchy!A1165</f>
        <v>Philippines</v>
      </c>
      <c r="G1121" s="7" t="str">
        <f aca="false">Hierarchy!G1165</f>
        <v>PHL</v>
      </c>
    </row>
    <row r="1122" customFormat="false" ht="15" hidden="false" customHeight="false" outlineLevel="0" collapsed="false">
      <c r="E1122" s="15" t="str">
        <f aca="false">Hierarchy!A1166</f>
        <v>Bangsamoro (BARMM)</v>
      </c>
    </row>
    <row r="1123" customFormat="false" ht="15" hidden="false" customHeight="false" outlineLevel="0" collapsed="false">
      <c r="E1123" s="15" t="str">
        <f aca="false">Hierarchy!A1167</f>
        <v>Bicol Region</v>
      </c>
    </row>
    <row r="1124" customFormat="false" ht="15" hidden="false" customHeight="false" outlineLevel="0" collapsed="false">
      <c r="E1124" s="15" t="str">
        <f aca="false">Hierarchy!A1168</f>
        <v>Cagayan Valley</v>
      </c>
    </row>
    <row r="1125" customFormat="false" ht="15" hidden="false" customHeight="false" outlineLevel="0" collapsed="false">
      <c r="E1125" s="15" t="str">
        <f aca="false">Hierarchy!A1169</f>
        <v>Calabarzon</v>
      </c>
    </row>
    <row r="1126" customFormat="false" ht="15" hidden="false" customHeight="false" outlineLevel="0" collapsed="false">
      <c r="E1126" s="15" t="str">
        <f aca="false">Hierarchy!A1170</f>
        <v>Caraga</v>
      </c>
    </row>
    <row r="1127" customFormat="false" ht="15" hidden="false" customHeight="false" outlineLevel="0" collapsed="false">
      <c r="E1127" s="15" t="str">
        <f aca="false">Hierarchy!A1171</f>
        <v>Central Luzon</v>
      </c>
    </row>
    <row r="1128" customFormat="false" ht="15" hidden="false" customHeight="false" outlineLevel="0" collapsed="false">
      <c r="E1128" s="15" t="str">
        <f aca="false">Hierarchy!A1172</f>
        <v>Central Visayas</v>
      </c>
    </row>
    <row r="1129" customFormat="false" ht="15" hidden="false" customHeight="false" outlineLevel="0" collapsed="false">
      <c r="E1129" s="15" t="str">
        <f aca="false">Hierarchy!A1173</f>
        <v>Cordillera Administrative Region</v>
      </c>
    </row>
    <row r="1130" customFormat="false" ht="15" hidden="false" customHeight="false" outlineLevel="0" collapsed="false">
      <c r="E1130" s="15" t="str">
        <f aca="false">Hierarchy!A1174</f>
        <v>Davao Region</v>
      </c>
    </row>
    <row r="1131" customFormat="false" ht="15" hidden="false" customHeight="false" outlineLevel="0" collapsed="false">
      <c r="E1131" s="15" t="str">
        <f aca="false">Hierarchy!A1175</f>
        <v>Eastern Visayas</v>
      </c>
    </row>
    <row r="1132" customFormat="false" ht="15" hidden="false" customHeight="false" outlineLevel="0" collapsed="false">
      <c r="E1132" s="15" t="str">
        <f aca="false">Hierarchy!A1176</f>
        <v>Ilocos Region</v>
      </c>
    </row>
    <row r="1133" customFormat="false" ht="15" hidden="false" customHeight="false" outlineLevel="0" collapsed="false">
      <c r="E1133" s="15" t="str">
        <f aca="false">Hierarchy!A1177</f>
        <v>Mimaropa</v>
      </c>
    </row>
    <row r="1134" customFormat="false" ht="15" hidden="false" customHeight="false" outlineLevel="0" collapsed="false">
      <c r="E1134" s="15" t="str">
        <f aca="false">Hierarchy!A1178</f>
        <v>National Capital Region (Metro Manila)</v>
      </c>
    </row>
    <row r="1135" customFormat="false" ht="15" hidden="false" customHeight="false" outlineLevel="0" collapsed="false">
      <c r="E1135" s="15" t="str">
        <f aca="false">Hierarchy!A1179</f>
        <v>Negros Island Region</v>
      </c>
    </row>
    <row r="1136" customFormat="false" ht="15" hidden="false" customHeight="false" outlineLevel="0" collapsed="false">
      <c r="E1136" s="15" t="str">
        <f aca="false">Hierarchy!A1180</f>
        <v>Northern Mindanao</v>
      </c>
    </row>
    <row r="1137" customFormat="false" ht="15" hidden="false" customHeight="false" outlineLevel="0" collapsed="false">
      <c r="E1137" s="15" t="str">
        <f aca="false">Hierarchy!A1181</f>
        <v>Soccsksargen</v>
      </c>
    </row>
    <row r="1138" customFormat="false" ht="15" hidden="false" customHeight="false" outlineLevel="0" collapsed="false">
      <c r="E1138" s="15" t="str">
        <f aca="false">Hierarchy!A1182</f>
        <v>Western Visayas</v>
      </c>
    </row>
    <row r="1139" customFormat="false" ht="15" hidden="false" customHeight="false" outlineLevel="0" collapsed="false">
      <c r="E1139" s="15" t="str">
        <f aca="false">Hierarchy!A1183</f>
        <v>Zamboanga Peninsula</v>
      </c>
    </row>
    <row r="1140" customFormat="false" ht="15" hidden="false" customHeight="false" outlineLevel="0" collapsed="false">
      <c r="F1140" s="16" t="str">
        <f aca="false">Hierarchy!A1184</f>
        <v>Manila</v>
      </c>
    </row>
    <row r="1141" customFormat="false" ht="15" hidden="false" customHeight="false" outlineLevel="0" collapsed="false">
      <c r="D1141" s="7" t="str">
        <f aca="false">Hierarchy!A1185</f>
        <v>Singapore</v>
      </c>
      <c r="G1141" s="7" t="str">
        <f aca="false">Hierarchy!G1185</f>
        <v>SGP</v>
      </c>
    </row>
    <row r="1142" customFormat="false" ht="15" hidden="false" customHeight="false" outlineLevel="0" collapsed="false">
      <c r="D1142" s="7" t="str">
        <f aca="false">Hierarchy!A1186</f>
        <v>Thailand</v>
      </c>
      <c r="G1142" s="7" t="str">
        <f aca="false">Hierarchy!G1186</f>
        <v>THA</v>
      </c>
    </row>
    <row r="1143" customFormat="false" ht="15" hidden="false" customHeight="false" outlineLevel="0" collapsed="false">
      <c r="F1143" s="16" t="str">
        <f aca="false">Hierarchy!A1187</f>
        <v>Bangkok</v>
      </c>
    </row>
    <row r="1144" customFormat="false" ht="15" hidden="false" customHeight="false" outlineLevel="0" collapsed="false">
      <c r="D1144" s="7" t="str">
        <f aca="false">Hierarchy!A1188</f>
        <v>Timor-Leste</v>
      </c>
      <c r="G1144" s="7" t="str">
        <f aca="false">Hierarchy!G1188</f>
        <v>TLS</v>
      </c>
    </row>
    <row r="1145" customFormat="false" ht="15" hidden="false" customHeight="false" outlineLevel="0" collapsed="false">
      <c r="D1145" s="7" t="str">
        <f aca="false">Hierarchy!A1189</f>
        <v>Vietnam</v>
      </c>
      <c r="G1145" s="7" t="str">
        <f aca="false">Hierarchy!G1189</f>
        <v>VNM</v>
      </c>
    </row>
    <row r="1146" customFormat="false" ht="15" hidden="false" customHeight="false" outlineLevel="0" collapsed="false">
      <c r="F1146" s="16" t="str">
        <f aca="false">Hierarchy!A1190</f>
        <v>Hanoi</v>
      </c>
    </row>
    <row r="1147" customFormat="false" ht="15" hidden="false" customHeight="false" outlineLevel="0" collapsed="false">
      <c r="F1147" s="16" t="str">
        <f aca="false">Hierarchy!A1191</f>
        <v>Ho Chi Minh City</v>
      </c>
    </row>
    <row r="1148" customFormat="false" ht="15" hidden="false" customHeight="false" outlineLevel="0" collapsed="false">
      <c r="A1148" s="13"/>
      <c r="B1148" s="13"/>
      <c r="C1148" s="3" t="str">
        <f aca="false">Hierarchy!A1192</f>
        <v>Oceania (ANZ)</v>
      </c>
      <c r="D1148" s="13"/>
      <c r="E1148" s="13"/>
      <c r="F1148" s="13"/>
      <c r="G1148" s="13"/>
    </row>
    <row r="1149" customFormat="false" ht="15" hidden="false" customHeight="false" outlineLevel="0" collapsed="false">
      <c r="D1149" s="7" t="str">
        <f aca="false">Hierarchy!A1194</f>
        <v>Australia</v>
      </c>
      <c r="G1149" s="7" t="str">
        <f aca="false">Hierarchy!G1194</f>
        <v>AUS</v>
      </c>
    </row>
    <row r="1150" customFormat="false" ht="15" hidden="false" customHeight="false" outlineLevel="0" collapsed="false">
      <c r="E1150" s="15" t="str">
        <f aca="false">Hierarchy!A1195</f>
        <v>Australian Capital Territory</v>
      </c>
    </row>
    <row r="1151" customFormat="false" ht="15" hidden="false" customHeight="false" outlineLevel="0" collapsed="false">
      <c r="E1151" s="15" t="str">
        <f aca="false">Hierarchy!A1196</f>
        <v>New South Wales</v>
      </c>
    </row>
    <row r="1152" customFormat="false" ht="15" hidden="false" customHeight="false" outlineLevel="0" collapsed="false">
      <c r="F1152" s="16" t="str">
        <f aca="false">Hierarchy!A1197</f>
        <v>Sydney</v>
      </c>
    </row>
    <row r="1153" customFormat="false" ht="15" hidden="false" customHeight="false" outlineLevel="0" collapsed="false">
      <c r="E1153" s="15" t="str">
        <f aca="false">Hierarchy!A1198</f>
        <v>Northern Territory</v>
      </c>
    </row>
    <row r="1154" customFormat="false" ht="15" hidden="false" customHeight="false" outlineLevel="0" collapsed="false">
      <c r="E1154" s="15" t="str">
        <f aca="false">Hierarchy!A1199</f>
        <v>Queensland</v>
      </c>
    </row>
    <row r="1155" customFormat="false" ht="15" hidden="false" customHeight="false" outlineLevel="0" collapsed="false">
      <c r="F1155" s="16" t="str">
        <f aca="false">Hierarchy!A1200</f>
        <v>Brisbane</v>
      </c>
    </row>
    <row r="1156" customFormat="false" ht="15" hidden="false" customHeight="false" outlineLevel="0" collapsed="false">
      <c r="E1156" s="15" t="str">
        <f aca="false">Hierarchy!A1201</f>
        <v>South Australia</v>
      </c>
    </row>
    <row r="1157" customFormat="false" ht="15" hidden="false" customHeight="false" outlineLevel="0" collapsed="false">
      <c r="F1157" s="16" t="str">
        <f aca="false">Hierarchy!A1202</f>
        <v>Adelaide</v>
      </c>
    </row>
    <row r="1158" customFormat="false" ht="15" hidden="false" customHeight="false" outlineLevel="0" collapsed="false">
      <c r="E1158" s="15" t="str">
        <f aca="false">Hierarchy!A1203</f>
        <v>Tasmania</v>
      </c>
    </row>
    <row r="1159" customFormat="false" ht="15" hidden="false" customHeight="false" outlineLevel="0" collapsed="false">
      <c r="E1159" s="15" t="str">
        <f aca="false">Hierarchy!A1204</f>
        <v>Victoria</v>
      </c>
    </row>
    <row r="1160" customFormat="false" ht="15" hidden="false" customHeight="false" outlineLevel="0" collapsed="false">
      <c r="F1160" s="16" t="str">
        <f aca="false">Hierarchy!A1205</f>
        <v>Melbourne</v>
      </c>
    </row>
    <row r="1161" customFormat="false" ht="15" hidden="false" customHeight="false" outlineLevel="0" collapsed="false">
      <c r="E1161" s="15" t="str">
        <f aca="false">Hierarchy!A1206</f>
        <v>Western Australia</v>
      </c>
    </row>
    <row r="1162" customFormat="false" ht="15" hidden="false" customHeight="false" outlineLevel="0" collapsed="false">
      <c r="F1162" s="16" t="str">
        <f aca="false">Hierarchy!A1207</f>
        <v>Perth</v>
      </c>
    </row>
    <row r="1163" customFormat="false" ht="15" hidden="false" customHeight="false" outlineLevel="0" collapsed="false">
      <c r="D1163" s="7" t="str">
        <f aca="false">Hierarchy!A1208</f>
        <v>New Zealand</v>
      </c>
      <c r="G1163" s="7" t="str">
        <f aca="false">Hierarchy!G1208</f>
        <v>NZL</v>
      </c>
    </row>
    <row r="1164" customFormat="false" ht="15" hidden="false" customHeight="false" outlineLevel="0" collapsed="false">
      <c r="E1164" s="15" t="str">
        <f aca="false">Hierarchy!A1209</f>
        <v>Auckland</v>
      </c>
    </row>
    <row r="1165" customFormat="false" ht="15" hidden="false" customHeight="false" outlineLevel="0" collapsed="false">
      <c r="E1165" s="15" t="str">
        <f aca="false">Hierarchy!A1210</f>
        <v>Bay of Plenty</v>
      </c>
    </row>
    <row r="1166" customFormat="false" ht="15" hidden="false" customHeight="false" outlineLevel="0" collapsed="false">
      <c r="E1166" s="15" t="str">
        <f aca="false">Hierarchy!A1211</f>
        <v>Canterbury</v>
      </c>
    </row>
    <row r="1167" customFormat="false" ht="15" hidden="false" customHeight="false" outlineLevel="0" collapsed="false">
      <c r="F1167" s="16" t="str">
        <f aca="false">Hierarchy!A1212</f>
        <v>Christchurch</v>
      </c>
    </row>
    <row r="1168" customFormat="false" ht="15" hidden="false" customHeight="false" outlineLevel="0" collapsed="false">
      <c r="E1168" s="15" t="str">
        <f aca="false">Hierarchy!A1213</f>
        <v>Chatham Islands</v>
      </c>
    </row>
    <row r="1169" customFormat="false" ht="15" hidden="false" customHeight="false" outlineLevel="0" collapsed="false">
      <c r="E1169" s="15" t="str">
        <f aca="false">Hierarchy!A1214</f>
        <v>Gisborne</v>
      </c>
    </row>
    <row r="1170" customFormat="false" ht="15" hidden="false" customHeight="false" outlineLevel="0" collapsed="false">
      <c r="E1170" s="15" t="str">
        <f aca="false">Hierarchy!A1215</f>
        <v>Hawke's Bay</v>
      </c>
    </row>
    <row r="1171" customFormat="false" ht="15" hidden="false" customHeight="false" outlineLevel="0" collapsed="false">
      <c r="E1171" s="15" t="str">
        <f aca="false">Hierarchy!A1216</f>
        <v>Manawatū-Whanganui</v>
      </c>
    </row>
    <row r="1172" customFormat="false" ht="15" hidden="false" customHeight="false" outlineLevel="0" collapsed="false">
      <c r="E1172" s="15" t="str">
        <f aca="false">Hierarchy!A1217</f>
        <v>Marlborough</v>
      </c>
    </row>
    <row r="1173" customFormat="false" ht="15" hidden="false" customHeight="false" outlineLevel="0" collapsed="false">
      <c r="E1173" s="15" t="str">
        <f aca="false">Hierarchy!A1218</f>
        <v>Nelson</v>
      </c>
    </row>
    <row r="1174" customFormat="false" ht="15" hidden="false" customHeight="false" outlineLevel="0" collapsed="false">
      <c r="E1174" s="15" t="str">
        <f aca="false">Hierarchy!A1219</f>
        <v>Northland</v>
      </c>
    </row>
    <row r="1175" customFormat="false" ht="15" hidden="false" customHeight="false" outlineLevel="0" collapsed="false">
      <c r="E1175" s="15" t="str">
        <f aca="false">Hierarchy!A1220</f>
        <v>Otago</v>
      </c>
    </row>
    <row r="1176" customFormat="false" ht="15" hidden="false" customHeight="false" outlineLevel="0" collapsed="false">
      <c r="E1176" s="15" t="str">
        <f aca="false">Hierarchy!A1221</f>
        <v>Southland</v>
      </c>
    </row>
    <row r="1177" customFormat="false" ht="15" hidden="false" customHeight="false" outlineLevel="0" collapsed="false">
      <c r="E1177" s="15" t="str">
        <f aca="false">Hierarchy!A1222</f>
        <v>Taranaki</v>
      </c>
    </row>
    <row r="1178" customFormat="false" ht="15" hidden="false" customHeight="false" outlineLevel="0" collapsed="false">
      <c r="E1178" s="15" t="str">
        <f aca="false">Hierarchy!A1223</f>
        <v>Tasman</v>
      </c>
    </row>
    <row r="1179" customFormat="false" ht="15" hidden="false" customHeight="false" outlineLevel="0" collapsed="false">
      <c r="E1179" s="15" t="str">
        <f aca="false">Hierarchy!A1224</f>
        <v>Waikato</v>
      </c>
    </row>
    <row r="1180" customFormat="false" ht="15" hidden="false" customHeight="false" outlineLevel="0" collapsed="false">
      <c r="E1180" s="15" t="str">
        <f aca="false">Hierarchy!A1225</f>
        <v>Wellington</v>
      </c>
    </row>
    <row r="1181" customFormat="false" ht="15" hidden="false" customHeight="false" outlineLevel="0" collapsed="false">
      <c r="E1181" s="15" t="str">
        <f aca="false">Hierarchy!A1226</f>
        <v>West Coast (NZ)</v>
      </c>
    </row>
    <row r="1182" customFormat="false" ht="15" hidden="false" customHeight="false" outlineLevel="0" collapsed="false">
      <c r="D1182" s="7" t="str">
        <f aca="false">Hierarchy!A1227</f>
        <v>Christmas Island</v>
      </c>
      <c r="G1182" s="7" t="str">
        <f aca="false">Hierarchy!G1227</f>
        <v>CXR</v>
      </c>
    </row>
    <row r="1183" customFormat="false" ht="15" hidden="false" customHeight="false" outlineLevel="0" collapsed="false">
      <c r="D1183" s="7" t="str">
        <f aca="false">Hierarchy!A1228</f>
        <v>Cocos (Keeling) Islands</v>
      </c>
      <c r="G1183" s="7" t="str">
        <f aca="false">Hierarchy!G1228</f>
        <v>CCK</v>
      </c>
    </row>
    <row r="1184" customFormat="false" ht="15" hidden="false" customHeight="false" outlineLevel="0" collapsed="false">
      <c r="D1184" s="7" t="str">
        <f aca="false">Hierarchy!A1229</f>
        <v>Cook Islands</v>
      </c>
      <c r="G1184" s="7" t="str">
        <f aca="false">Hierarchy!G1229</f>
        <v>COK</v>
      </c>
    </row>
    <row r="1185" customFormat="false" ht="15" hidden="false" customHeight="false" outlineLevel="0" collapsed="false">
      <c r="D1185" s="7" t="str">
        <f aca="false">Hierarchy!A1230</f>
        <v>Fiji</v>
      </c>
      <c r="G1185" s="7" t="str">
        <f aca="false">Hierarchy!G1230</f>
        <v>FJI</v>
      </c>
    </row>
    <row r="1186" customFormat="false" ht="15" hidden="false" customHeight="false" outlineLevel="0" collapsed="false">
      <c r="D1186" s="7" t="str">
        <f aca="false">Hierarchy!A1231</f>
        <v>French Polynesia</v>
      </c>
      <c r="G1186" s="7" t="str">
        <f aca="false">Hierarchy!G1231</f>
        <v>PYF</v>
      </c>
    </row>
    <row r="1187" customFormat="false" ht="15" hidden="false" customHeight="false" outlineLevel="0" collapsed="false">
      <c r="D1187" s="7" t="str">
        <f aca="false">Hierarchy!A1232</f>
        <v>Kiribati</v>
      </c>
      <c r="G1187" s="7" t="str">
        <f aca="false">Hierarchy!G1232</f>
        <v>KIR</v>
      </c>
    </row>
    <row r="1188" customFormat="false" ht="15" hidden="false" customHeight="false" outlineLevel="0" collapsed="false">
      <c r="D1188" s="7" t="str">
        <f aca="false">Hierarchy!A1233</f>
        <v>Marshall Islands</v>
      </c>
      <c r="G1188" s="7" t="str">
        <f aca="false">Hierarchy!G1233</f>
        <v>MHL</v>
      </c>
    </row>
    <row r="1189" customFormat="false" ht="15" hidden="false" customHeight="false" outlineLevel="0" collapsed="false">
      <c r="D1189" s="7" t="str">
        <f aca="false">Hierarchy!A1234</f>
        <v>Micronesia</v>
      </c>
      <c r="G1189" s="7" t="str">
        <f aca="false">Hierarchy!G1234</f>
        <v>FSM</v>
      </c>
    </row>
    <row r="1190" customFormat="false" ht="15" hidden="false" customHeight="false" outlineLevel="0" collapsed="false">
      <c r="D1190" s="7" t="str">
        <f aca="false">Hierarchy!A1235</f>
        <v>Nauru</v>
      </c>
      <c r="G1190" s="7" t="str">
        <f aca="false">Hierarchy!G1235</f>
        <v>NRU</v>
      </c>
    </row>
    <row r="1191" customFormat="false" ht="15" hidden="false" customHeight="false" outlineLevel="0" collapsed="false">
      <c r="D1191" s="7" t="str">
        <f aca="false">Hierarchy!A1236</f>
        <v>New Caledonia</v>
      </c>
      <c r="G1191" s="7" t="str">
        <f aca="false">Hierarchy!G1236</f>
        <v>NCL</v>
      </c>
    </row>
    <row r="1192" customFormat="false" ht="15" hidden="false" customHeight="false" outlineLevel="0" collapsed="false">
      <c r="D1192" s="7" t="str">
        <f aca="false">Hierarchy!A1237</f>
        <v>Niue</v>
      </c>
      <c r="G1192" s="7" t="str">
        <f aca="false">Hierarchy!G1237</f>
        <v>NIU</v>
      </c>
    </row>
    <row r="1193" customFormat="false" ht="15" hidden="false" customHeight="false" outlineLevel="0" collapsed="false">
      <c r="D1193" s="7" t="str">
        <f aca="false">Hierarchy!A1238</f>
        <v>Norfolk Island</v>
      </c>
      <c r="G1193" s="7" t="str">
        <f aca="false">Hierarchy!G1238</f>
        <v>NFK</v>
      </c>
    </row>
    <row r="1194" customFormat="false" ht="15" hidden="false" customHeight="false" outlineLevel="0" collapsed="false">
      <c r="D1194" s="7" t="str">
        <f aca="false">Hierarchy!A1239</f>
        <v>Palau</v>
      </c>
      <c r="G1194" s="7" t="str">
        <f aca="false">Hierarchy!G1239</f>
        <v>PLW</v>
      </c>
    </row>
    <row r="1195" customFormat="false" ht="15" hidden="false" customHeight="false" outlineLevel="0" collapsed="false">
      <c r="D1195" s="7" t="str">
        <f aca="false">Hierarchy!A1240</f>
        <v>Papua New Guinea</v>
      </c>
      <c r="G1195" s="7" t="str">
        <f aca="false">Hierarchy!G1240</f>
        <v>PNG</v>
      </c>
    </row>
    <row r="1196" customFormat="false" ht="15" hidden="false" customHeight="false" outlineLevel="0" collapsed="false">
      <c r="D1196" s="7" t="str">
        <f aca="false">Hierarchy!A1241</f>
        <v>Pitcairn</v>
      </c>
      <c r="G1196" s="7" t="str">
        <f aca="false">Hierarchy!G1241</f>
        <v>PCN</v>
      </c>
    </row>
    <row r="1197" customFormat="false" ht="15" hidden="false" customHeight="false" outlineLevel="0" collapsed="false">
      <c r="D1197" s="7" t="str">
        <f aca="false">Hierarchy!A1242</f>
        <v>Samoa</v>
      </c>
      <c r="G1197" s="7" t="str">
        <f aca="false">Hierarchy!G1242</f>
        <v>WSM</v>
      </c>
    </row>
    <row r="1198" customFormat="false" ht="15" hidden="false" customHeight="false" outlineLevel="0" collapsed="false">
      <c r="D1198" s="7" t="str">
        <f aca="false">Hierarchy!A1243</f>
        <v>Solomon Islands</v>
      </c>
      <c r="G1198" s="7" t="str">
        <f aca="false">Hierarchy!G1243</f>
        <v>SLB</v>
      </c>
    </row>
    <row r="1199" customFormat="false" ht="15" hidden="false" customHeight="false" outlineLevel="0" collapsed="false">
      <c r="D1199" s="7" t="str">
        <f aca="false">Hierarchy!A1244</f>
        <v>Tokelau</v>
      </c>
      <c r="G1199" s="7" t="str">
        <f aca="false">Hierarchy!G1244</f>
        <v>TKL</v>
      </c>
    </row>
    <row r="1200" customFormat="false" ht="15" hidden="false" customHeight="false" outlineLevel="0" collapsed="false">
      <c r="D1200" s="7" t="str">
        <f aca="false">Hierarchy!A1245</f>
        <v>Tonga</v>
      </c>
      <c r="G1200" s="7" t="str">
        <f aca="false">Hierarchy!G1245</f>
        <v>TON</v>
      </c>
    </row>
    <row r="1201" customFormat="false" ht="15" hidden="false" customHeight="false" outlineLevel="0" collapsed="false">
      <c r="D1201" s="7" t="str">
        <f aca="false">Hierarchy!A1246</f>
        <v>Tuvalu</v>
      </c>
      <c r="G1201" s="7" t="str">
        <f aca="false">Hierarchy!G1246</f>
        <v>TUV</v>
      </c>
    </row>
    <row r="1202" customFormat="false" ht="15" hidden="false" customHeight="false" outlineLevel="0" collapsed="false">
      <c r="D1202" s="7" t="str">
        <f aca="false">Hierarchy!A1247</f>
        <v>Vanuatu</v>
      </c>
      <c r="G1202" s="7" t="str">
        <f aca="false">Hierarchy!G1247</f>
        <v>VUT</v>
      </c>
    </row>
    <row r="1203" customFormat="false" ht="15" hidden="false" customHeight="false" outlineLevel="0" collapsed="false">
      <c r="D1203" s="7" t="str">
        <f aca="false">Hierarchy!A1248</f>
        <v>Wallis and Futuna</v>
      </c>
      <c r="G1203" s="7" t="str">
        <f aca="false">Hierarchy!G1248</f>
        <v>WLF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2" min="11" style="0" width="16"/>
    <col collapsed="false" customWidth="true" hidden="false" outlineLevel="0" max="13" min="13" style="0" width="12"/>
    <col collapsed="false" customWidth="true" hidden="false" outlineLevel="0" max="14" min="14" style="0" width="34"/>
    <col collapsed="false" customWidth="true" hidden="false" outlineLevel="0" max="15" min="15" style="0" width="11"/>
    <col collapsed="false" customWidth="true" hidden="false" outlineLevel="0" max="16" min="16" style="0" width="55"/>
  </cols>
  <sheetData>
    <row r="1" customFormat="false" ht="30" hidden="false" customHeight="true" outlineLevel="0" collapsed="false">
      <c r="A1" s="5" t="s">
        <v>1871</v>
      </c>
      <c r="B1" s="5" t="s">
        <v>1872</v>
      </c>
      <c r="C1" s="5" t="s">
        <v>1873</v>
      </c>
      <c r="D1" s="5" t="s">
        <v>60</v>
      </c>
      <c r="E1" s="5" t="s">
        <v>1874</v>
      </c>
      <c r="F1" s="5" t="s">
        <v>61</v>
      </c>
      <c r="G1" s="5" t="s">
        <v>5</v>
      </c>
      <c r="H1" s="5" t="s">
        <v>7</v>
      </c>
      <c r="I1" s="5" t="s">
        <v>9</v>
      </c>
      <c r="J1" s="5" t="s">
        <v>62</v>
      </c>
      <c r="K1" s="5" t="s">
        <v>11</v>
      </c>
      <c r="L1" s="5" t="s">
        <v>63</v>
      </c>
      <c r="M1" s="5" t="s">
        <v>1875</v>
      </c>
      <c r="N1" s="5" t="s">
        <v>1876</v>
      </c>
      <c r="O1" s="5" t="s">
        <v>1877</v>
      </c>
      <c r="P1" s="5" t="s">
        <v>1878</v>
      </c>
    </row>
    <row r="2" customFormat="false" ht="15" hidden="false" customHeight="false" outlineLevel="0" collapsed="false">
      <c r="A2" s="7" t="s">
        <v>981</v>
      </c>
      <c r="B2" s="7" t="s">
        <v>1879</v>
      </c>
      <c r="C2" s="7"/>
      <c r="D2" s="6" t="s">
        <v>981</v>
      </c>
      <c r="E2" s="6" t="s">
        <v>1880</v>
      </c>
      <c r="F2" s="7" t="str">
        <f aca="false">IF($D2="","",IFERROR(IF(INDEX(Hierarchy!$B$2:$B$1295,MATCH($D2,Hierarchy!$A$2:$A$1295,0))="","",INDEX(Hierarchy!$B$2:$B$1295,MATCH($D2,Hierarchy!$A$2:$A$1295,0))),"NODE NOT FOUND"))</f>
        <v>State/Province</v>
      </c>
      <c r="G2" s="7" t="str">
        <f aca="false">IF($D2="","",IFERROR(IF(INDEX(Hierarchy!$D$2:$D$1295,MATCH($D2,Hierarchy!$A$2:$A$1295,0))="","",INDEX(Hierarchy!$D$2:$D$1295,MATCH($D2,Hierarchy!$A$2:$A$1295,0))),"NODE NOT FOUND"))</f>
        <v>EMEA</v>
      </c>
      <c r="H2" s="7" t="str">
        <f aca="false">IF($D2="","",IFERROR(IF(INDEX(Hierarchy!$E$2:$E$1295,MATCH($D2,Hierarchy!$A$2:$A$1295,0))="","",INDEX(Hierarchy!$E$2:$E$1295,MATCH($D2,Hierarchy!$A$2:$A$1295,0))),"NODE NOT FOUND"))</f>
        <v>Europe</v>
      </c>
      <c r="I2" s="7" t="str">
        <f aca="false">IF($D2="","",IFERROR(IF(INDEX(Hierarchy!$F$2:$F$1295,MATCH($D2,Hierarchy!$A$2:$A$1295,0))="","",INDEX(Hierarchy!$F$2:$F$1295,MATCH($D2,Hierarchy!$A$2:$A$1295,0))),"NODE NOT FOUND"))</f>
        <v>Switzerland</v>
      </c>
      <c r="J2" s="7" t="str">
        <f aca="false">IF($D2="","",IFERROR(IF(INDEX(Hierarchy!$G$2:$G$1295,MATCH($D2,Hierarchy!$A$2:$A$1295,0))="","",INDEX(Hierarchy!$G$2:$G$1295,MATCH($D2,Hierarchy!$A$2:$A$1295,0))),"NODE NOT FOUND"))</f>
        <v>CHE</v>
      </c>
      <c r="K2" s="7" t="str">
        <f aca="false">IF($D2="","",IFERROR(IF(INDEX(Hierarchy!$H$2:$H$1295,MATCH($D2,Hierarchy!$A$2:$A$1295,0))="","",INDEX(Hierarchy!$H$2:$H$1295,MATCH($D2,Hierarchy!$A$2:$A$1295,0))),"NODE NOT FOUND"))</f>
        <v>Aargau</v>
      </c>
      <c r="L2" s="7" t="str">
        <f aca="false">IF($D2="","",IFERROR(IF(INDEX(Hierarchy!$I$2:$I$1295,MATCH($D2,Hierarchy!$A$2:$A$1295,0))="","",INDEX(Hierarchy!$I$2:$I$1295,MATCH($D2,Hierarchy!$A$2:$A$1295,0))),"NODE NOT FOUND"))</f>
        <v/>
      </c>
      <c r="M2" s="17" t="str">
        <f aca="false">IF(B2="Pre-seeded","Pre-seeded",IF(B2="Review 2026-09-16","Added from review",IF(C2="","New",IF(C2=D2,"","Changed"))))</f>
        <v>Pre-seeded</v>
      </c>
      <c r="N2" s="7" t="str">
        <f aca="false">TRIM(SUBSTITUTE(SUBSTITUTE(SUBSTITUTE(" "&amp;TRIM(SUBSTITUTE(SUBSTITUTE(SUBSTITUTE(SUBSTITUTE(SUBSTITUTE(SUBSTITUTE(SUBSTITUTE(SUBSTITUTE(SUBSTITUTE(SUBSTITUTE(SUBSTITUTE(SUBSTITUTE(SUBSTITUTE(SUBSTITUTE(SUBSTITUTE(UPPER(TRIM(A2)),"[MEMBER]",""),"{MEMBER}",""),"[MEMBER}",""),"MEMBER]",""),"(A)",""),"""",""),"“",""),"”",""),".",""),":",""),",",""),"–"," "),"-"," "),"/"," "),"&amp;"," AND "))&amp;" "," THE "," ")," TOTAL "," ")," OPERATIONS "," "))</f>
        <v>AARGAU</v>
      </c>
      <c r="O2" s="17" t="str">
        <f aca="false">IF(COUNTIFS($N$2:$N$2000,N2,$D$2:$D$2000,"&lt;&gt;"&amp;D2)&gt;0,"CONFLICT","")</f>
        <v/>
      </c>
      <c r="P2" s="7"/>
    </row>
    <row r="3" customFormat="false" ht="15" hidden="false" customHeight="false" outlineLevel="0" collapsed="false">
      <c r="A3" s="7" t="s">
        <v>1132</v>
      </c>
      <c r="B3" s="7" t="s">
        <v>1879</v>
      </c>
      <c r="C3" s="7"/>
      <c r="D3" s="6" t="s">
        <v>1132</v>
      </c>
      <c r="E3" s="6" t="s">
        <v>1880</v>
      </c>
      <c r="F3" s="7" t="str">
        <f aca="false">IF($D3="","",IFERROR(IF(INDEX(Hierarchy!$B$2:$B$1295,MATCH($D3,Hierarchy!$A$2:$A$1295,0))="","",INDEX(Hierarchy!$B$2:$B$1295,MATCH($D3,Hierarchy!$A$2:$A$1295,0))),"NODE NOT FOUND"))</f>
        <v>State/Province</v>
      </c>
      <c r="G3" s="7" t="str">
        <f aca="false">IF($D3="","",IFERROR(IF(INDEX(Hierarchy!$D$2:$D$1295,MATCH($D3,Hierarchy!$A$2:$A$1295,0))="","",INDEX(Hierarchy!$D$2:$D$1295,MATCH($D3,Hierarchy!$A$2:$A$1295,0))),"NODE NOT FOUND"))</f>
        <v>EMEA</v>
      </c>
      <c r="H3" s="7" t="str">
        <f aca="false">IF($D3="","",IFERROR(IF(INDEX(Hierarchy!$E$2:$E$1295,MATCH($D3,Hierarchy!$A$2:$A$1295,0))="","",INDEX(Hierarchy!$E$2:$E$1295,MATCH($D3,Hierarchy!$A$2:$A$1295,0))),"NODE NOT FOUND"))</f>
        <v>Africa</v>
      </c>
      <c r="I3" s="7" t="str">
        <f aca="false">IF($D3="","",IFERROR(IF(INDEX(Hierarchy!$F$2:$F$1295,MATCH($D3,Hierarchy!$A$2:$A$1295,0))="","",INDEX(Hierarchy!$F$2:$F$1295,MATCH($D3,Hierarchy!$A$2:$A$1295,0))),"NODE NOT FOUND"))</f>
        <v>Nigeria</v>
      </c>
      <c r="J3" s="7" t="str">
        <f aca="false">IF($D3="","",IFERROR(IF(INDEX(Hierarchy!$G$2:$G$1295,MATCH($D3,Hierarchy!$A$2:$A$1295,0))="","",INDEX(Hierarchy!$G$2:$G$1295,MATCH($D3,Hierarchy!$A$2:$A$1295,0))),"NODE NOT FOUND"))</f>
        <v>NGA</v>
      </c>
      <c r="K3" s="7" t="str">
        <f aca="false">IF($D3="","",IFERROR(IF(INDEX(Hierarchy!$H$2:$H$1295,MATCH($D3,Hierarchy!$A$2:$A$1295,0))="","",INDEX(Hierarchy!$H$2:$H$1295,MATCH($D3,Hierarchy!$A$2:$A$1295,0))),"NODE NOT FOUND"))</f>
        <v>Abia</v>
      </c>
      <c r="L3" s="7" t="str">
        <f aca="false">IF($D3="","",IFERROR(IF(INDEX(Hierarchy!$I$2:$I$1295,MATCH($D3,Hierarchy!$A$2:$A$1295,0))="","",INDEX(Hierarchy!$I$2:$I$1295,MATCH($D3,Hierarchy!$A$2:$A$1295,0))),"NODE NOT FOUND"))</f>
        <v/>
      </c>
      <c r="M3" s="17" t="str">
        <f aca="false">IF(B3="Pre-seeded","Pre-seeded",IF(B3="Review 2026-09-16","Added from review",IF(C3="","New",IF(C3=D3,"","Changed"))))</f>
        <v>Pre-seeded</v>
      </c>
      <c r="N3" s="7" t="str">
        <f aca="false">TRIM(SUBSTITUTE(SUBSTITUTE(SUBSTITUTE(" "&amp;TRIM(SUBSTITUTE(SUBSTITUTE(SUBSTITUTE(SUBSTITUTE(SUBSTITUTE(SUBSTITUTE(SUBSTITUTE(SUBSTITUTE(SUBSTITUTE(SUBSTITUTE(SUBSTITUTE(SUBSTITUTE(SUBSTITUTE(SUBSTITUTE(SUBSTITUTE(UPPER(TRIM(A3)),"[MEMBER]",""),"{MEMBER}",""),"[MEMBER}",""),"MEMBER]",""),"(A)",""),"""",""),"“",""),"”",""),".",""),":",""),",",""),"–"," "),"-"," "),"/"," "),"&amp;"," AND "))&amp;" "," THE "," ")," TOTAL "," ")," OPERATIONS "," "))</f>
        <v>ABIA</v>
      </c>
      <c r="O3" s="17" t="str">
        <f aca="false">IF(COUNTIFS($N$2:$N$2000,N3,$D$2:$D$2000,"&lt;&gt;"&amp;D3)&gt;0,"CONFLICT","")</f>
        <v/>
      </c>
      <c r="P3" s="7"/>
    </row>
    <row r="4" customFormat="false" ht="15" hidden="false" customHeight="false" outlineLevel="0" collapsed="false">
      <c r="A4" s="7" t="s">
        <v>1881</v>
      </c>
      <c r="B4" s="7" t="s">
        <v>1879</v>
      </c>
      <c r="C4" s="7"/>
      <c r="D4" s="6" t="s">
        <v>1784</v>
      </c>
      <c r="E4" s="6" t="s">
        <v>1880</v>
      </c>
      <c r="F4" s="7" t="str">
        <f aca="false">IF($D4="","",IFERROR(IF(INDEX(Hierarchy!$B$2:$B$1295,MATCH($D4,Hierarchy!$A$2:$A$1295,0))="","",INDEX(Hierarchy!$B$2:$B$1295,MATCH($D4,Hierarchy!$A$2:$A$1295,0))),"NODE NOT FOUND"))</f>
        <v>Bucket</v>
      </c>
      <c r="G4" s="7" t="str">
        <f aca="false">IF($D4="","",IFERROR(IF(INDEX(Hierarchy!$D$2:$D$1295,MATCH($D4,Hierarchy!$A$2:$A$1295,0))="","",INDEX(Hierarchy!$D$2:$D$1295,MATCH($D4,Hierarchy!$A$2:$A$1295,0))),"NODE NOT FOUND"))</f>
        <v>Non-regional</v>
      </c>
      <c r="H4" s="7" t="str">
        <f aca="false">IF($D4="","",IFERROR(IF(INDEX(Hierarchy!$E$2:$E$1295,MATCH($D4,Hierarchy!$A$2:$A$1295,0))="","",INDEX(Hierarchy!$E$2:$E$1295,MATCH($D4,Hierarchy!$A$2:$A$1295,0))),"NODE NOT FOUND"))</f>
        <v/>
      </c>
      <c r="I4" s="7" t="str">
        <f aca="false">IF($D4="","",IFERROR(IF(INDEX(Hierarchy!$F$2:$F$1295,MATCH($D4,Hierarchy!$A$2:$A$1295,0))="","",INDEX(Hierarchy!$F$2:$F$1295,MATCH($D4,Hierarchy!$A$2:$A$1295,0))),"NODE NOT FOUND"))</f>
        <v/>
      </c>
      <c r="J4" s="7" t="str">
        <f aca="false">IF($D4="","",IFERROR(IF(INDEX(Hierarchy!$G$2:$G$1295,MATCH($D4,Hierarchy!$A$2:$A$1295,0))="","",INDEX(Hierarchy!$G$2:$G$1295,MATCH($D4,Hierarchy!$A$2:$A$1295,0))),"NODE NOT FOUND"))</f>
        <v/>
      </c>
      <c r="K4" s="7" t="str">
        <f aca="false">IF($D4="","",IFERROR(IF(INDEX(Hierarchy!$H$2:$H$1295,MATCH($D4,Hierarchy!$A$2:$A$1295,0))="","",INDEX(Hierarchy!$H$2:$H$1295,MATCH($D4,Hierarchy!$A$2:$A$1295,0))),"NODE NOT FOUND"))</f>
        <v/>
      </c>
      <c r="L4" s="7" t="str">
        <f aca="false">IF($D4="","",IFERROR(IF(INDEX(Hierarchy!$I$2:$I$1295,MATCH($D4,Hierarchy!$A$2:$A$1295,0))="","",INDEX(Hierarchy!$I$2:$I$1295,MATCH($D4,Hierarchy!$A$2:$A$1295,0))),"NODE NOT FOUND"))</f>
        <v/>
      </c>
      <c r="M4" s="17" t="str">
        <f aca="false">IF(B4="Pre-seeded","Pre-seeded",IF(B4="Review 2026-09-16","Added from review",IF(C4="","New",IF(C4=D4,"","Changed"))))</f>
        <v>Pre-seeded</v>
      </c>
      <c r="N4" s="7" t="str">
        <f aca="false">TRIM(SUBSTITUTE(SUBSTITUTE(SUBSTITUTE(" "&amp;TRIM(SUBSTITUTE(SUBSTITUTE(SUBSTITUTE(SUBSTITUTE(SUBSTITUTE(SUBSTITUTE(SUBSTITUTE(SUBSTITUTE(SUBSTITUTE(SUBSTITUTE(SUBSTITUTE(SUBSTITUTE(SUBSTITUTE(SUBSTITUTE(SUBSTITUTE(UPPER(TRIM(A4)),"[MEMBER]",""),"{MEMBER}",""),"[MEMBER}",""),"MEMBER]",""),"(A)",""),"""",""),"“",""),"”",""),".",""),":",""),",",""),"–"," "),"-"," "),"/"," "),"&amp;"," AND "))&amp;" "," THE "," ")," TOTAL "," ")," OPERATIONS "," "))</f>
        <v>ABROAD</v>
      </c>
      <c r="O4" s="17" t="str">
        <f aca="false">IF(COUNTIFS($N$2:$N$2000,N4,$D$2:$D$2000,"&lt;&gt;"&amp;D4)&gt;0,"CONFLICT","")</f>
        <v/>
      </c>
      <c r="P4" s="7"/>
    </row>
    <row r="5" customFormat="false" ht="15" hidden="false" customHeight="false" outlineLevel="0" collapsed="false">
      <c r="A5" s="7" t="s">
        <v>832</v>
      </c>
      <c r="B5" s="7" t="s">
        <v>1879</v>
      </c>
      <c r="C5" s="7"/>
      <c r="D5" s="6" t="s">
        <v>832</v>
      </c>
      <c r="E5" s="6" t="s">
        <v>1880</v>
      </c>
      <c r="F5" s="7" t="str">
        <f aca="false">IF($D5="","",IFERROR(IF(INDEX(Hierarchy!$B$2:$B$1295,MATCH($D5,Hierarchy!$A$2:$A$1295,0))="","",INDEX(Hierarchy!$B$2:$B$1295,MATCH($D5,Hierarchy!$A$2:$A$1295,0))),"NODE NOT FOUND"))</f>
        <v>State/Province</v>
      </c>
      <c r="G5" s="7" t="str">
        <f aca="false">IF($D5="","",IFERROR(IF(INDEX(Hierarchy!$D$2:$D$1295,MATCH($D5,Hierarchy!$A$2:$A$1295,0))="","",INDEX(Hierarchy!$D$2:$D$1295,MATCH($D5,Hierarchy!$A$2:$A$1295,0))),"NODE NOT FOUND"))</f>
        <v>EMEA</v>
      </c>
      <c r="H5" s="7" t="str">
        <f aca="false">IF($D5="","",IFERROR(IF(INDEX(Hierarchy!$E$2:$E$1295,MATCH($D5,Hierarchy!$A$2:$A$1295,0))="","",INDEX(Hierarchy!$E$2:$E$1295,MATCH($D5,Hierarchy!$A$2:$A$1295,0))),"NODE NOT FOUND"))</f>
        <v>Europe</v>
      </c>
      <c r="I5" s="7" t="str">
        <f aca="false">IF($D5="","",IFERROR(IF(INDEX(Hierarchy!$F$2:$F$1295,MATCH($D5,Hierarchy!$A$2:$A$1295,0))="","",INDEX(Hierarchy!$F$2:$F$1295,MATCH($D5,Hierarchy!$A$2:$A$1295,0))),"NODE NOT FOUND"))</f>
        <v>Italy</v>
      </c>
      <c r="J5" s="7" t="str">
        <f aca="false">IF($D5="","",IFERROR(IF(INDEX(Hierarchy!$G$2:$G$1295,MATCH($D5,Hierarchy!$A$2:$A$1295,0))="","",INDEX(Hierarchy!$G$2:$G$1295,MATCH($D5,Hierarchy!$A$2:$A$1295,0))),"NODE NOT FOUND"))</f>
        <v>ITA</v>
      </c>
      <c r="K5" s="7" t="str">
        <f aca="false">IF($D5="","",IFERROR(IF(INDEX(Hierarchy!$H$2:$H$1295,MATCH($D5,Hierarchy!$A$2:$A$1295,0))="","",INDEX(Hierarchy!$H$2:$H$1295,MATCH($D5,Hierarchy!$A$2:$A$1295,0))),"NODE NOT FOUND"))</f>
        <v>Abruzzo</v>
      </c>
      <c r="L5" s="7" t="str">
        <f aca="false">IF($D5="","",IFERROR(IF(INDEX(Hierarchy!$I$2:$I$1295,MATCH($D5,Hierarchy!$A$2:$A$1295,0))="","",INDEX(Hierarchy!$I$2:$I$1295,MATCH($D5,Hierarchy!$A$2:$A$1295,0))),"NODE NOT FOUND"))</f>
        <v/>
      </c>
      <c r="M5" s="17" t="str">
        <f aca="false">IF(B5="Pre-seeded","Pre-seeded",IF(B5="Review 2026-09-16","Added from review",IF(C5="","New",IF(C5=D5,"","Changed"))))</f>
        <v>Pre-seeded</v>
      </c>
      <c r="N5" s="7" t="str">
        <f aca="false">TRIM(SUBSTITUTE(SUBSTITUTE(SUBSTITUTE(" "&amp;TRIM(SUBSTITUTE(SUBSTITUTE(SUBSTITUTE(SUBSTITUTE(SUBSTITUTE(SUBSTITUTE(SUBSTITUTE(SUBSTITUTE(SUBSTITUTE(SUBSTITUTE(SUBSTITUTE(SUBSTITUTE(SUBSTITUTE(SUBSTITUTE(SUBSTITUTE(UPPER(TRIM(A5)),"[MEMBER]",""),"{MEMBER}",""),"[MEMBER}",""),"MEMBER]",""),"(A)",""),"""",""),"“",""),"”",""),".",""),":",""),",",""),"–"," "),"-"," "),"/"," "),"&amp;"," AND "))&amp;" "," THE "," ")," TOTAL "," ")," OPERATIONS "," "))</f>
        <v>ABRUZZO</v>
      </c>
      <c r="O5" s="17" t="str">
        <f aca="false">IF(COUNTIFS($N$2:$N$2000,N5,$D$2:$D$2000,"&lt;&gt;"&amp;D5)&gt;0,"CONFLICT","")</f>
        <v/>
      </c>
      <c r="P5" s="7"/>
    </row>
    <row r="6" customFormat="false" ht="15" hidden="false" customHeight="false" outlineLevel="0" collapsed="false">
      <c r="A6" s="7" t="s">
        <v>1038</v>
      </c>
      <c r="B6" s="7" t="s">
        <v>1882</v>
      </c>
      <c r="C6" s="7" t="s">
        <v>1038</v>
      </c>
      <c r="D6" s="6" t="s">
        <v>1038</v>
      </c>
      <c r="E6" s="6" t="s">
        <v>1880</v>
      </c>
      <c r="F6" s="7" t="str">
        <f aca="false">IF($D6="","",IFERROR(IF(INDEX(Hierarchy!$B$2:$B$1295,MATCH($D6,Hierarchy!$A$2:$A$1295,0))="","",INDEX(Hierarchy!$B$2:$B$1295,MATCH($D6,Hierarchy!$A$2:$A$1295,0))),"NODE NOT FOUND"))</f>
        <v>State/Province</v>
      </c>
      <c r="G6" s="7" t="str">
        <f aca="false">IF($D6="","",IFERROR(IF(INDEX(Hierarchy!$D$2:$D$1295,MATCH($D6,Hierarchy!$A$2:$A$1295,0))="","",INDEX(Hierarchy!$D$2:$D$1295,MATCH($D6,Hierarchy!$A$2:$A$1295,0))),"NODE NOT FOUND"))</f>
        <v>EMEA</v>
      </c>
      <c r="H6" s="7" t="str">
        <f aca="false">IF($D6="","",IFERROR(IF(INDEX(Hierarchy!$E$2:$E$1295,MATCH($D6,Hierarchy!$A$2:$A$1295,0))="","",INDEX(Hierarchy!$E$2:$E$1295,MATCH($D6,Hierarchy!$A$2:$A$1295,0))),"NODE NOT FOUND"))</f>
        <v>Middle East</v>
      </c>
      <c r="I6" s="7" t="str">
        <f aca="false">IF($D6="","",IFERROR(IF(INDEX(Hierarchy!$F$2:$F$1295,MATCH($D6,Hierarchy!$A$2:$A$1295,0))="","",INDEX(Hierarchy!$F$2:$F$1295,MATCH($D6,Hierarchy!$A$2:$A$1295,0))),"NODE NOT FOUND"))</f>
        <v>United Arab Emirates</v>
      </c>
      <c r="J6" s="7" t="str">
        <f aca="false">IF($D6="","",IFERROR(IF(INDEX(Hierarchy!$G$2:$G$1295,MATCH($D6,Hierarchy!$A$2:$A$1295,0))="","",INDEX(Hierarchy!$G$2:$G$1295,MATCH($D6,Hierarchy!$A$2:$A$1295,0))),"NODE NOT FOUND"))</f>
        <v>ARE</v>
      </c>
      <c r="K6" s="7" t="str">
        <f aca="false">IF($D6="","",IFERROR(IF(INDEX(Hierarchy!$H$2:$H$1295,MATCH($D6,Hierarchy!$A$2:$A$1295,0))="","",INDEX(Hierarchy!$H$2:$H$1295,MATCH($D6,Hierarchy!$A$2:$A$1295,0))),"NODE NOT FOUND"))</f>
        <v>Abu Dhabi</v>
      </c>
      <c r="L6" s="7" t="str">
        <f aca="false">IF($D6="","",IFERROR(IF(INDEX(Hierarchy!$I$2:$I$1295,MATCH($D6,Hierarchy!$A$2:$A$1295,0))="","",INDEX(Hierarchy!$I$2:$I$1295,MATCH($D6,Hierarchy!$A$2:$A$1295,0))),"NODE NOT FOUND"))</f>
        <v/>
      </c>
      <c r="M6" s="17" t="str">
        <f aca="false">IF(B6="Pre-seeded","Pre-seeded",IF(B6="Review 2026-09-16","Added from review",IF(C6="","New",IF(C6=D6,"","Changed"))))</f>
        <v/>
      </c>
      <c r="N6" s="7" t="str">
        <f aca="false">TRIM(SUBSTITUTE(SUBSTITUTE(SUBSTITUTE(" "&amp;TRIM(SUBSTITUTE(SUBSTITUTE(SUBSTITUTE(SUBSTITUTE(SUBSTITUTE(SUBSTITUTE(SUBSTITUTE(SUBSTITUTE(SUBSTITUTE(SUBSTITUTE(SUBSTITUTE(SUBSTITUTE(SUBSTITUTE(SUBSTITUTE(SUBSTITUTE(UPPER(TRIM(A6)),"[MEMBER]",""),"{MEMBER}",""),"[MEMBER}",""),"MEMBER]",""),"(A)",""),"""",""),"“",""),"”",""),".",""),":",""),",",""),"–"," "),"-"," "),"/"," "),"&amp;"," AND "))&amp;" "," THE "," ")," TOTAL "," ")," OPERATIONS "," "))</f>
        <v>ABU DHABI</v>
      </c>
      <c r="O6" s="17" t="str">
        <f aca="false">IF(COUNTIFS($N$2:$N$2000,N6,$D$2:$D$2000,"&lt;&gt;"&amp;D6)&gt;0,"CONFLICT","")</f>
        <v/>
      </c>
      <c r="P6" s="7"/>
    </row>
    <row r="7" customFormat="false" ht="15" hidden="false" customHeight="false" outlineLevel="0" collapsed="false">
      <c r="A7" s="7" t="s">
        <v>1883</v>
      </c>
      <c r="B7" s="7" t="s">
        <v>1879</v>
      </c>
      <c r="C7" s="7"/>
      <c r="D7" s="6" t="s">
        <v>1146</v>
      </c>
      <c r="E7" s="6" t="s">
        <v>1880</v>
      </c>
      <c r="F7" s="7" t="str">
        <f aca="false">IF($D7="","",IFERROR(IF(INDEX(Hierarchy!$B$2:$B$1295,MATCH($D7,Hierarchy!$A$2:$A$1295,0))="","",INDEX(Hierarchy!$B$2:$B$1295,MATCH($D7,Hierarchy!$A$2:$A$1295,0))),"NODE NOT FOUND"))</f>
        <v>State/Province</v>
      </c>
      <c r="G7" s="7" t="str">
        <f aca="false">IF($D7="","",IFERROR(IF(INDEX(Hierarchy!$D$2:$D$1295,MATCH($D7,Hierarchy!$A$2:$A$1295,0))="","",INDEX(Hierarchy!$D$2:$D$1295,MATCH($D7,Hierarchy!$A$2:$A$1295,0))),"NODE NOT FOUND"))</f>
        <v>EMEA</v>
      </c>
      <c r="H7" s="7" t="str">
        <f aca="false">IF($D7="","",IFERROR(IF(INDEX(Hierarchy!$E$2:$E$1295,MATCH($D7,Hierarchy!$A$2:$A$1295,0))="","",INDEX(Hierarchy!$E$2:$E$1295,MATCH($D7,Hierarchy!$A$2:$A$1295,0))),"NODE NOT FOUND"))</f>
        <v>Africa</v>
      </c>
      <c r="I7" s="7" t="str">
        <f aca="false">IF($D7="","",IFERROR(IF(INDEX(Hierarchy!$F$2:$F$1295,MATCH($D7,Hierarchy!$A$2:$A$1295,0))="","",INDEX(Hierarchy!$F$2:$F$1295,MATCH($D7,Hierarchy!$A$2:$A$1295,0))),"NODE NOT FOUND"))</f>
        <v>Nigeria</v>
      </c>
      <c r="J7" s="7" t="str">
        <f aca="false">IF($D7="","",IFERROR(IF(INDEX(Hierarchy!$G$2:$G$1295,MATCH($D7,Hierarchy!$A$2:$A$1295,0))="","",INDEX(Hierarchy!$G$2:$G$1295,MATCH($D7,Hierarchy!$A$2:$A$1295,0))),"NODE NOT FOUND"))</f>
        <v>NGA</v>
      </c>
      <c r="K7" s="7" t="str">
        <f aca="false">IF($D7="","",IFERROR(IF(INDEX(Hierarchy!$H$2:$H$1295,MATCH($D7,Hierarchy!$A$2:$A$1295,0))="","",INDEX(Hierarchy!$H$2:$H$1295,MATCH($D7,Hierarchy!$A$2:$A$1295,0))),"NODE NOT FOUND"))</f>
        <v>Federal Capital Territory (Abuja)</v>
      </c>
      <c r="L7" s="7" t="str">
        <f aca="false">IF($D7="","",IFERROR(IF(INDEX(Hierarchy!$I$2:$I$1295,MATCH($D7,Hierarchy!$A$2:$A$1295,0))="","",INDEX(Hierarchy!$I$2:$I$1295,MATCH($D7,Hierarchy!$A$2:$A$1295,0))),"NODE NOT FOUND"))</f>
        <v/>
      </c>
      <c r="M7" s="17" t="str">
        <f aca="false">IF(B7="Pre-seeded","Pre-seeded",IF(B7="Review 2026-09-16","Added from review",IF(C7="","New",IF(C7=D7,"","Changed"))))</f>
        <v>Pre-seeded</v>
      </c>
      <c r="N7" s="7" t="str">
        <f aca="false">TRIM(SUBSTITUTE(SUBSTITUTE(SUBSTITUTE(" "&amp;TRIM(SUBSTITUTE(SUBSTITUTE(SUBSTITUTE(SUBSTITUTE(SUBSTITUTE(SUBSTITUTE(SUBSTITUTE(SUBSTITUTE(SUBSTITUTE(SUBSTITUTE(SUBSTITUTE(SUBSTITUTE(SUBSTITUTE(SUBSTITUTE(SUBSTITUTE(UPPER(TRIM(A7)),"[MEMBER]",""),"{MEMBER}",""),"[MEMBER}",""),"MEMBER]",""),"(A)",""),"""",""),"“",""),"”",""),".",""),":",""),",",""),"–"," "),"-"," "),"/"," "),"&amp;"," AND "))&amp;" "," THE "," ")," TOTAL "," ")," OPERATIONS "," "))</f>
        <v>ABUJA</v>
      </c>
      <c r="O7" s="17" t="str">
        <f aca="false">IF(COUNTIFS($N$2:$N$2000,N7,$D$2:$D$2000,"&lt;&gt;"&amp;D7)&gt;0,"CONFLICT","")</f>
        <v/>
      </c>
      <c r="P7" s="7"/>
    </row>
    <row r="8" customFormat="false" ht="15" hidden="false" customHeight="false" outlineLevel="0" collapsed="false">
      <c r="A8" s="7" t="s">
        <v>1591</v>
      </c>
      <c r="B8" s="7" t="s">
        <v>1879</v>
      </c>
      <c r="C8" s="7"/>
      <c r="D8" s="6" t="s">
        <v>1591</v>
      </c>
      <c r="E8" s="6" t="s">
        <v>1880</v>
      </c>
      <c r="F8" s="7" t="str">
        <f aca="false">IF($D8="","",IFERROR(IF(INDEX(Hierarchy!$B$2:$B$1295,MATCH($D8,Hierarchy!$A$2:$A$1295,0))="","",INDEX(Hierarchy!$B$2:$B$1295,MATCH($D8,Hierarchy!$A$2:$A$1295,0))),"NODE NOT FOUND"))</f>
        <v>State/Province</v>
      </c>
      <c r="G8" s="7" t="str">
        <f aca="false">IF($D8="","",IFERROR(IF(INDEX(Hierarchy!$D$2:$D$1295,MATCH($D8,Hierarchy!$A$2:$A$1295,0))="","",INDEX(Hierarchy!$D$2:$D$1295,MATCH($D8,Hierarchy!$A$2:$A$1295,0))),"NODE NOT FOUND"))</f>
        <v>APAC</v>
      </c>
      <c r="H8" s="7" t="str">
        <f aca="false">IF($D8="","",IFERROR(IF(INDEX(Hierarchy!$E$2:$E$1295,MATCH($D8,Hierarchy!$A$2:$A$1295,0))="","",INDEX(Hierarchy!$E$2:$E$1295,MATCH($D8,Hierarchy!$A$2:$A$1295,0))),"NODE NOT FOUND"))</f>
        <v>Southeast Asia (ASEAN)</v>
      </c>
      <c r="I8" s="7" t="str">
        <f aca="false">IF($D8="","",IFERROR(IF(INDEX(Hierarchy!$F$2:$F$1295,MATCH($D8,Hierarchy!$A$2:$A$1295,0))="","",INDEX(Hierarchy!$F$2:$F$1295,MATCH($D8,Hierarchy!$A$2:$A$1295,0))),"NODE NOT FOUND"))</f>
        <v>Indonesia</v>
      </c>
      <c r="J8" s="7" t="str">
        <f aca="false">IF($D8="","",IFERROR(IF(INDEX(Hierarchy!$G$2:$G$1295,MATCH($D8,Hierarchy!$A$2:$A$1295,0))="","",INDEX(Hierarchy!$G$2:$G$1295,MATCH($D8,Hierarchy!$A$2:$A$1295,0))),"NODE NOT FOUND"))</f>
        <v>IDN</v>
      </c>
      <c r="K8" s="7" t="str">
        <f aca="false">IF($D8="","",IFERROR(IF(INDEX(Hierarchy!$H$2:$H$1295,MATCH($D8,Hierarchy!$A$2:$A$1295,0))="","",INDEX(Hierarchy!$H$2:$H$1295,MATCH($D8,Hierarchy!$A$2:$A$1295,0))),"NODE NOT FOUND"))</f>
        <v>Aceh</v>
      </c>
      <c r="L8" s="7" t="str">
        <f aca="false">IF($D8="","",IFERROR(IF(INDEX(Hierarchy!$I$2:$I$1295,MATCH($D8,Hierarchy!$A$2:$A$1295,0))="","",INDEX(Hierarchy!$I$2:$I$1295,MATCH($D8,Hierarchy!$A$2:$A$1295,0))),"NODE NOT FOUND"))</f>
        <v/>
      </c>
      <c r="M8" s="17" t="str">
        <f aca="false">IF(B8="Pre-seeded","Pre-seeded",IF(B8="Review 2026-09-16","Added from review",IF(C8="","New",IF(C8=D8,"","Changed"))))</f>
        <v>Pre-seeded</v>
      </c>
      <c r="N8" s="7" t="str">
        <f aca="false">TRIM(SUBSTITUTE(SUBSTITUTE(SUBSTITUTE(" "&amp;TRIM(SUBSTITUTE(SUBSTITUTE(SUBSTITUTE(SUBSTITUTE(SUBSTITUTE(SUBSTITUTE(SUBSTITUTE(SUBSTITUTE(SUBSTITUTE(SUBSTITUTE(SUBSTITUTE(SUBSTITUTE(SUBSTITUTE(SUBSTITUTE(SUBSTITUTE(UPPER(TRIM(A8)),"[MEMBER]",""),"{MEMBER}",""),"[MEMBER}",""),"MEMBER]",""),"(A)",""),"""",""),"“",""),"”",""),".",""),":",""),",",""),"–"," "),"-"," "),"/"," "),"&amp;"," AND "))&amp;" "," THE "," ")," TOTAL "," ")," OPERATIONS "," "))</f>
        <v>ACEH</v>
      </c>
      <c r="O8" s="17" t="str">
        <f aca="false">IF(COUNTIFS($N$2:$N$2000,N8,$D$2:$D$2000,"&lt;&gt;"&amp;D8)&gt;0,"CONFLICT","")</f>
        <v/>
      </c>
      <c r="P8" s="7"/>
    </row>
    <row r="9" customFormat="false" ht="15" hidden="false" customHeight="false" outlineLevel="0" collapsed="false">
      <c r="A9" s="7" t="s">
        <v>344</v>
      </c>
      <c r="B9" s="7" t="s">
        <v>1879</v>
      </c>
      <c r="C9" s="7"/>
      <c r="D9" s="6" t="s">
        <v>344</v>
      </c>
      <c r="E9" s="6" t="s">
        <v>1880</v>
      </c>
      <c r="F9" s="7" t="str">
        <f aca="false">IF($D9="","",IFERROR(IF(INDEX(Hierarchy!$B$2:$B$1295,MATCH($D9,Hierarchy!$A$2:$A$1295,0))="","",INDEX(Hierarchy!$B$2:$B$1295,MATCH($D9,Hierarchy!$A$2:$A$1295,0))),"NODE NOT FOUND"))</f>
        <v>State/Province</v>
      </c>
      <c r="G9" s="7" t="str">
        <f aca="false">IF($D9="","",IFERROR(IF(INDEX(Hierarchy!$D$2:$D$1295,MATCH($D9,Hierarchy!$A$2:$A$1295,0))="","",INDEX(Hierarchy!$D$2:$D$1295,MATCH($D9,Hierarchy!$A$2:$A$1295,0))),"NODE NOT FOUND"))</f>
        <v>AMER</v>
      </c>
      <c r="H9" s="7" t="str">
        <f aca="false">IF($D9="","",IFERROR(IF(INDEX(Hierarchy!$E$2:$E$1295,MATCH($D9,Hierarchy!$A$2:$A$1295,0))="","",INDEX(Hierarchy!$E$2:$E$1295,MATCH($D9,Hierarchy!$A$2:$A$1295,0))),"NODE NOT FOUND"))</f>
        <v>Latin America (LATAM)</v>
      </c>
      <c r="I9" s="7" t="str">
        <f aca="false">IF($D9="","",IFERROR(IF(INDEX(Hierarchy!$F$2:$F$1295,MATCH($D9,Hierarchy!$A$2:$A$1295,0))="","",INDEX(Hierarchy!$F$2:$F$1295,MATCH($D9,Hierarchy!$A$2:$A$1295,0))),"NODE NOT FOUND"))</f>
        <v>Brazil</v>
      </c>
      <c r="J9" s="7" t="str">
        <f aca="false">IF($D9="","",IFERROR(IF(INDEX(Hierarchy!$G$2:$G$1295,MATCH($D9,Hierarchy!$A$2:$A$1295,0))="","",INDEX(Hierarchy!$G$2:$G$1295,MATCH($D9,Hierarchy!$A$2:$A$1295,0))),"NODE NOT FOUND"))</f>
        <v>BRA</v>
      </c>
      <c r="K9" s="7" t="str">
        <f aca="false">IF($D9="","",IFERROR(IF(INDEX(Hierarchy!$H$2:$H$1295,MATCH($D9,Hierarchy!$A$2:$A$1295,0))="","",INDEX(Hierarchy!$H$2:$H$1295,MATCH($D9,Hierarchy!$A$2:$A$1295,0))),"NODE NOT FOUND"))</f>
        <v>Acre</v>
      </c>
      <c r="L9" s="7" t="str">
        <f aca="false">IF($D9="","",IFERROR(IF(INDEX(Hierarchy!$I$2:$I$1295,MATCH($D9,Hierarchy!$A$2:$A$1295,0))="","",INDEX(Hierarchy!$I$2:$I$1295,MATCH($D9,Hierarchy!$A$2:$A$1295,0))),"NODE NOT FOUND"))</f>
        <v/>
      </c>
      <c r="M9" s="17" t="str">
        <f aca="false">IF(B9="Pre-seeded","Pre-seeded",IF(B9="Review 2026-09-16","Added from review",IF(C9="","New",IF(C9=D9,"","Changed"))))</f>
        <v>Pre-seeded</v>
      </c>
      <c r="N9" s="7" t="str">
        <f aca="false">TRIM(SUBSTITUTE(SUBSTITUTE(SUBSTITUTE(" "&amp;TRIM(SUBSTITUTE(SUBSTITUTE(SUBSTITUTE(SUBSTITUTE(SUBSTITUTE(SUBSTITUTE(SUBSTITUTE(SUBSTITUTE(SUBSTITUTE(SUBSTITUTE(SUBSTITUTE(SUBSTITUTE(SUBSTITUTE(SUBSTITUTE(SUBSTITUTE(UPPER(TRIM(A9)),"[MEMBER]",""),"{MEMBER}",""),"[MEMBER}",""),"MEMBER]",""),"(A)",""),"""",""),"“",""),"”",""),".",""),":",""),",",""),"–"," "),"-"," "),"/"," "),"&amp;"," AND "))&amp;" "," THE "," ")," TOTAL "," ")," OPERATIONS "," "))</f>
        <v>ACRE</v>
      </c>
      <c r="O9" s="17" t="str">
        <f aca="false">IF(COUNTIFS($N$2:$N$2000,N9,$D$2:$D$2000,"&lt;&gt;"&amp;D9)&gt;0,"CONFLICT","")</f>
        <v/>
      </c>
      <c r="P9" s="7"/>
    </row>
    <row r="10" customFormat="false" ht="15" hidden="false" customHeight="false" outlineLevel="0" collapsed="false">
      <c r="A10" s="7" t="s">
        <v>1133</v>
      </c>
      <c r="B10" s="7" t="s">
        <v>1879</v>
      </c>
      <c r="C10" s="7"/>
      <c r="D10" s="6" t="s">
        <v>1133</v>
      </c>
      <c r="E10" s="6" t="s">
        <v>1880</v>
      </c>
      <c r="F10" s="7" t="str">
        <f aca="false">IF($D10="","",IFERROR(IF(INDEX(Hierarchy!$B$2:$B$1295,MATCH($D10,Hierarchy!$A$2:$A$1295,0))="","",INDEX(Hierarchy!$B$2:$B$1295,MATCH($D10,Hierarchy!$A$2:$A$1295,0))),"NODE NOT FOUND"))</f>
        <v>State/Province</v>
      </c>
      <c r="G10" s="7" t="str">
        <f aca="false">IF($D10="","",IFERROR(IF(INDEX(Hierarchy!$D$2:$D$1295,MATCH($D10,Hierarchy!$A$2:$A$1295,0))="","",INDEX(Hierarchy!$D$2:$D$1295,MATCH($D10,Hierarchy!$A$2:$A$1295,0))),"NODE NOT FOUND"))</f>
        <v>EMEA</v>
      </c>
      <c r="H10" s="7" t="str">
        <f aca="false">IF($D10="","",IFERROR(IF(INDEX(Hierarchy!$E$2:$E$1295,MATCH($D10,Hierarchy!$A$2:$A$1295,0))="","",INDEX(Hierarchy!$E$2:$E$1295,MATCH($D10,Hierarchy!$A$2:$A$1295,0))),"NODE NOT FOUND"))</f>
        <v>Africa</v>
      </c>
      <c r="I10" s="7" t="str">
        <f aca="false">IF($D10="","",IFERROR(IF(INDEX(Hierarchy!$F$2:$F$1295,MATCH($D10,Hierarchy!$A$2:$A$1295,0))="","",INDEX(Hierarchy!$F$2:$F$1295,MATCH($D10,Hierarchy!$A$2:$A$1295,0))),"NODE NOT FOUND"))</f>
        <v>Nigeria</v>
      </c>
      <c r="J10" s="7" t="str">
        <f aca="false">IF($D10="","",IFERROR(IF(INDEX(Hierarchy!$G$2:$G$1295,MATCH($D10,Hierarchy!$A$2:$A$1295,0))="","",INDEX(Hierarchy!$G$2:$G$1295,MATCH($D10,Hierarchy!$A$2:$A$1295,0))),"NODE NOT FOUND"))</f>
        <v>NGA</v>
      </c>
      <c r="K10" s="7" t="str">
        <f aca="false">IF($D10="","",IFERROR(IF(INDEX(Hierarchy!$H$2:$H$1295,MATCH($D10,Hierarchy!$A$2:$A$1295,0))="","",INDEX(Hierarchy!$H$2:$H$1295,MATCH($D10,Hierarchy!$A$2:$A$1295,0))),"NODE NOT FOUND"))</f>
        <v>Adamawa</v>
      </c>
      <c r="L10" s="7" t="str">
        <f aca="false">IF($D10="","",IFERROR(IF(INDEX(Hierarchy!$I$2:$I$1295,MATCH($D10,Hierarchy!$A$2:$A$1295,0))="","",INDEX(Hierarchy!$I$2:$I$1295,MATCH($D10,Hierarchy!$A$2:$A$1295,0))),"NODE NOT FOUND"))</f>
        <v/>
      </c>
      <c r="M10" s="17" t="str">
        <f aca="false">IF(B10="Pre-seeded","Pre-seeded",IF(B10="Review 2026-09-16","Added from review",IF(C10="","New",IF(C10=D10,"","Changed"))))</f>
        <v>Pre-seeded</v>
      </c>
      <c r="N10" s="7" t="str">
        <f aca="false">TRIM(SUBSTITUTE(SUBSTITUTE(SUBSTITUTE(" "&amp;TRIM(SUBSTITUTE(SUBSTITUTE(SUBSTITUTE(SUBSTITUTE(SUBSTITUTE(SUBSTITUTE(SUBSTITUTE(SUBSTITUTE(SUBSTITUTE(SUBSTITUTE(SUBSTITUTE(SUBSTITUTE(SUBSTITUTE(SUBSTITUTE(SUBSTITUTE(UPPER(TRIM(A10)),"[MEMBER]",""),"{MEMBER}",""),"[MEMBER}",""),"MEMBER]",""),"(A)",""),"""",""),"“",""),"”",""),".",""),":",""),",",""),"–"," "),"-"," "),"/"," "),"&amp;"," AND "))&amp;" "," THE "," ")," TOTAL "," ")," OPERATIONS "," "))</f>
        <v>ADAMAWA</v>
      </c>
      <c r="O10" s="17" t="str">
        <f aca="false">IF(COUNTIFS($N$2:$N$2000,N10,$D$2:$D$2000,"&lt;&gt;"&amp;D10)&gt;0,"CONFLICT","")</f>
        <v/>
      </c>
      <c r="P10" s="7"/>
    </row>
    <row r="11" customFormat="false" ht="15" hidden="false" customHeight="false" outlineLevel="0" collapsed="false">
      <c r="A11" s="7" t="s">
        <v>1372</v>
      </c>
      <c r="B11" s="7" t="s">
        <v>1879</v>
      </c>
      <c r="C11" s="7"/>
      <c r="D11" s="6" t="s">
        <v>1372</v>
      </c>
      <c r="E11" s="6" t="s">
        <v>1880</v>
      </c>
      <c r="F11" s="7" t="str">
        <f aca="false">IF($D11="","",IFERROR(IF(INDEX(Hierarchy!$B$2:$B$1295,MATCH($D11,Hierarchy!$A$2:$A$1295,0))="","",INDEX(Hierarchy!$B$2:$B$1295,MATCH($D11,Hierarchy!$A$2:$A$1295,0))),"NODE NOT FOUND"))</f>
        <v>Country</v>
      </c>
      <c r="G11" s="7" t="str">
        <f aca="false">IF($D11="","",IFERROR(IF(INDEX(Hierarchy!$D$2:$D$1295,MATCH($D11,Hierarchy!$A$2:$A$1295,0))="","",INDEX(Hierarchy!$D$2:$D$1295,MATCH($D11,Hierarchy!$A$2:$A$1295,0))),"NODE NOT FOUND"))</f>
        <v>APAC</v>
      </c>
      <c r="H11" s="7" t="str">
        <f aca="false">IF($D11="","",IFERROR(IF(INDEX(Hierarchy!$E$2:$E$1295,MATCH($D11,Hierarchy!$A$2:$A$1295,0))="","",INDEX(Hierarchy!$E$2:$E$1295,MATCH($D11,Hierarchy!$A$2:$A$1295,0))),"NODE NOT FOUND"))</f>
        <v>South Asia</v>
      </c>
      <c r="I11" s="7" t="str">
        <f aca="false">IF($D11="","",IFERROR(IF(INDEX(Hierarchy!$F$2:$F$1295,MATCH($D11,Hierarchy!$A$2:$A$1295,0))="","",INDEX(Hierarchy!$F$2:$F$1295,MATCH($D11,Hierarchy!$A$2:$A$1295,0))),"NODE NOT FOUND"))</f>
        <v>Afghanistan</v>
      </c>
      <c r="J11" s="7" t="str">
        <f aca="false">IF($D11="","",IFERROR(IF(INDEX(Hierarchy!$G$2:$G$1295,MATCH($D11,Hierarchy!$A$2:$A$1295,0))="","",INDEX(Hierarchy!$G$2:$G$1295,MATCH($D11,Hierarchy!$A$2:$A$1295,0))),"NODE NOT FOUND"))</f>
        <v>AFG</v>
      </c>
      <c r="K11" s="7" t="str">
        <f aca="false">IF($D11="","",IFERROR(IF(INDEX(Hierarchy!$H$2:$H$1295,MATCH($D11,Hierarchy!$A$2:$A$1295,0))="","",INDEX(Hierarchy!$H$2:$H$1295,MATCH($D11,Hierarchy!$A$2:$A$1295,0))),"NODE NOT FOUND"))</f>
        <v/>
      </c>
      <c r="L11" s="7" t="str">
        <f aca="false">IF($D11="","",IFERROR(IF(INDEX(Hierarchy!$I$2:$I$1295,MATCH($D11,Hierarchy!$A$2:$A$1295,0))="","",INDEX(Hierarchy!$I$2:$I$1295,MATCH($D11,Hierarchy!$A$2:$A$1295,0))),"NODE NOT FOUND"))</f>
        <v/>
      </c>
      <c r="M11" s="17" t="str">
        <f aca="false">IF(B11="Pre-seeded","Pre-seeded",IF(B11="Review 2026-09-16","Added from review",IF(C11="","New",IF(C11=D11,"","Changed"))))</f>
        <v>Pre-seeded</v>
      </c>
      <c r="N11" s="7" t="str">
        <f aca="false">TRIM(SUBSTITUTE(SUBSTITUTE(SUBSTITUTE(" "&amp;TRIM(SUBSTITUTE(SUBSTITUTE(SUBSTITUTE(SUBSTITUTE(SUBSTITUTE(SUBSTITUTE(SUBSTITUTE(SUBSTITUTE(SUBSTITUTE(SUBSTITUTE(SUBSTITUTE(SUBSTITUTE(SUBSTITUTE(SUBSTITUTE(SUBSTITUTE(UPPER(TRIM(A11)),"[MEMBER]",""),"{MEMBER}",""),"[MEMBER}",""),"MEMBER]",""),"(A)",""),"""",""),"“",""),"”",""),".",""),":",""),",",""),"–"," "),"-"," "),"/"," "),"&amp;"," AND "))&amp;" "," THE "," ")," TOTAL "," ")," OPERATIONS "," "))</f>
        <v>AFGHANISTAN</v>
      </c>
      <c r="O11" s="17" t="str">
        <f aca="false">IF(COUNTIFS($N$2:$N$2000,N11,$D$2:$D$2000,"&lt;&gt;"&amp;D11)&gt;0,"CONFLICT","")</f>
        <v/>
      </c>
      <c r="P11" s="7"/>
    </row>
    <row r="12" customFormat="false" ht="15" hidden="false" customHeight="false" outlineLevel="0" collapsed="false">
      <c r="A12" s="7" t="s">
        <v>1096</v>
      </c>
      <c r="B12" s="7" t="s">
        <v>1882</v>
      </c>
      <c r="C12" s="7" t="s">
        <v>1096</v>
      </c>
      <c r="D12" s="6" t="s">
        <v>1096</v>
      </c>
      <c r="E12" s="6" t="s">
        <v>1880</v>
      </c>
      <c r="F12" s="7" t="str">
        <f aca="false">IF($D12="","",IFERROR(IF(INDEX(Hierarchy!$B$2:$B$1295,MATCH($D12,Hierarchy!$A$2:$A$1295,0))="","",INDEX(Hierarchy!$B$2:$B$1295,MATCH($D12,Hierarchy!$A$2:$A$1295,0))),"NODE NOT FOUND"))</f>
        <v>Sub-region</v>
      </c>
      <c r="G12" s="7" t="str">
        <f aca="false">IF($D12="","",IFERROR(IF(INDEX(Hierarchy!$D$2:$D$1295,MATCH($D12,Hierarchy!$A$2:$A$1295,0))="","",INDEX(Hierarchy!$D$2:$D$1295,MATCH($D12,Hierarchy!$A$2:$A$1295,0))),"NODE NOT FOUND"))</f>
        <v>EMEA</v>
      </c>
      <c r="H12" s="7" t="str">
        <f aca="false">IF($D12="","",IFERROR(IF(INDEX(Hierarchy!$E$2:$E$1295,MATCH($D12,Hierarchy!$A$2:$A$1295,0))="","",INDEX(Hierarchy!$E$2:$E$1295,MATCH($D12,Hierarchy!$A$2:$A$1295,0))),"NODE NOT FOUND"))</f>
        <v>Africa</v>
      </c>
      <c r="I12" s="7" t="str">
        <f aca="false">IF($D12="","",IFERROR(IF(INDEX(Hierarchy!$F$2:$F$1295,MATCH($D12,Hierarchy!$A$2:$A$1295,0))="","",INDEX(Hierarchy!$F$2:$F$1295,MATCH($D12,Hierarchy!$A$2:$A$1295,0))),"NODE NOT FOUND"))</f>
        <v/>
      </c>
      <c r="J12" s="7" t="str">
        <f aca="false">IF($D12="","",IFERROR(IF(INDEX(Hierarchy!$G$2:$G$1295,MATCH($D12,Hierarchy!$A$2:$A$1295,0))="","",INDEX(Hierarchy!$G$2:$G$1295,MATCH($D12,Hierarchy!$A$2:$A$1295,0))),"NODE NOT FOUND"))</f>
        <v/>
      </c>
      <c r="K12" s="7" t="str">
        <f aca="false">IF($D12="","",IFERROR(IF(INDEX(Hierarchy!$H$2:$H$1295,MATCH($D12,Hierarchy!$A$2:$A$1295,0))="","",INDEX(Hierarchy!$H$2:$H$1295,MATCH($D12,Hierarchy!$A$2:$A$1295,0))),"NODE NOT FOUND"))</f>
        <v/>
      </c>
      <c r="L12" s="7" t="str">
        <f aca="false">IF($D12="","",IFERROR(IF(INDEX(Hierarchy!$I$2:$I$1295,MATCH($D12,Hierarchy!$A$2:$A$1295,0))="","",INDEX(Hierarchy!$I$2:$I$1295,MATCH($D12,Hierarchy!$A$2:$A$1295,0))),"NODE NOT FOUND"))</f>
        <v/>
      </c>
      <c r="M12" s="17" t="str">
        <f aca="false">IF(B12="Pre-seeded","Pre-seeded",IF(B12="Review 2026-09-16","Added from review",IF(C12="","New",IF(C12=D12,"","Changed"))))</f>
        <v/>
      </c>
      <c r="N12" s="7" t="str">
        <f aca="false">TRIM(SUBSTITUTE(SUBSTITUTE(SUBSTITUTE(" "&amp;TRIM(SUBSTITUTE(SUBSTITUTE(SUBSTITUTE(SUBSTITUTE(SUBSTITUTE(SUBSTITUTE(SUBSTITUTE(SUBSTITUTE(SUBSTITUTE(SUBSTITUTE(SUBSTITUTE(SUBSTITUTE(SUBSTITUTE(SUBSTITUTE(SUBSTITUTE(UPPER(TRIM(A12)),"[MEMBER]",""),"{MEMBER}",""),"[MEMBER}",""),"MEMBER]",""),"(A)",""),"""",""),"“",""),"”",""),".",""),":",""),",",""),"–"," "),"-"," "),"/"," "),"&amp;"," AND "))&amp;" "," THE "," ")," TOTAL "," ")," OPERATIONS "," "))</f>
        <v>AFRICA</v>
      </c>
      <c r="O12" s="17" t="str">
        <f aca="false">IF(COUNTIFS($N$2:$N$2000,N12,$D$2:$D$2000,"&lt;&gt;"&amp;D12)&gt;0,"CONFLICT","")</f>
        <v/>
      </c>
      <c r="P12" s="7"/>
    </row>
    <row r="13" customFormat="false" ht="15" hidden="false" customHeight="false" outlineLevel="0" collapsed="false">
      <c r="A13" s="7" t="s">
        <v>1884</v>
      </c>
      <c r="B13" s="7" t="s">
        <v>1885</v>
      </c>
      <c r="C13" s="7" t="s">
        <v>1096</v>
      </c>
      <c r="D13" s="6" t="s">
        <v>1803</v>
      </c>
      <c r="E13" s="6" t="s">
        <v>1886</v>
      </c>
      <c r="F13" s="7" t="str">
        <f aca="false">IF($D13="","",IFERROR(IF(INDEX(Hierarchy!$B$2:$B$1295,MATCH($D13,Hierarchy!$A$2:$A$1295,0))="","",INDEX(Hierarchy!$B$2:$B$1295,MATCH($D13,Hierarchy!$A$2:$A$1295,0))),"NODE NOT FOUND"))</f>
        <v>Multi-region</v>
      </c>
      <c r="G13" s="7" t="str">
        <f aca="false">IF($D13="","",IFERROR(IF(INDEX(Hierarchy!$D$2:$D$1295,MATCH($D13,Hierarchy!$A$2:$A$1295,0))="","",INDEX(Hierarchy!$D$2:$D$1295,MATCH($D13,Hierarchy!$A$2:$A$1295,0))),"NODE NOT FOUND"))</f>
        <v>Multi-region</v>
      </c>
      <c r="H13" s="7" t="str">
        <f aca="false">IF($D13="","",IFERROR(IF(INDEX(Hierarchy!$E$2:$E$1295,MATCH($D13,Hierarchy!$A$2:$A$1295,0))="","",INDEX(Hierarchy!$E$2:$E$1295,MATCH($D13,Hierarchy!$A$2:$A$1295,0))),"NODE NOT FOUND"))</f>
        <v/>
      </c>
      <c r="I13" s="7" t="str">
        <f aca="false">IF($D13="","",IFERROR(IF(INDEX(Hierarchy!$F$2:$F$1295,MATCH($D13,Hierarchy!$A$2:$A$1295,0))="","",INDEX(Hierarchy!$F$2:$F$1295,MATCH($D13,Hierarchy!$A$2:$A$1295,0))),"NODE NOT FOUND"))</f>
        <v/>
      </c>
      <c r="J13" s="7" t="str">
        <f aca="false">IF($D13="","",IFERROR(IF(INDEX(Hierarchy!$G$2:$G$1295,MATCH($D13,Hierarchy!$A$2:$A$1295,0))="","",INDEX(Hierarchy!$G$2:$G$1295,MATCH($D13,Hierarchy!$A$2:$A$1295,0))),"NODE NOT FOUND"))</f>
        <v/>
      </c>
      <c r="K13" s="7" t="str">
        <f aca="false">IF($D13="","",IFERROR(IF(INDEX(Hierarchy!$H$2:$H$1295,MATCH($D13,Hierarchy!$A$2:$A$1295,0))="","",INDEX(Hierarchy!$H$2:$H$1295,MATCH($D13,Hierarchy!$A$2:$A$1295,0))),"NODE NOT FOUND"))</f>
        <v/>
      </c>
      <c r="L13" s="7" t="str">
        <f aca="false">IF($D13="","",IFERROR(IF(INDEX(Hierarchy!$I$2:$I$1295,MATCH($D13,Hierarchy!$A$2:$A$1295,0))="","",INDEX(Hierarchy!$I$2:$I$1295,MATCH($D13,Hierarchy!$A$2:$A$1295,0))),"NODE NOT FOUND"))</f>
        <v/>
      </c>
      <c r="M13" s="17" t="str">
        <f aca="false">IF(B13="Pre-seeded","Pre-seeded",IF(B13="Review 2026-09-16","Added from review",IF(C13="","New",IF(C13=D13,"","Changed"))))</f>
        <v>Changed</v>
      </c>
      <c r="N13" s="7" t="str">
        <f aca="false">TRIM(SUBSTITUTE(SUBSTITUTE(SUBSTITUTE(" "&amp;TRIM(SUBSTITUTE(SUBSTITUTE(SUBSTITUTE(SUBSTITUTE(SUBSTITUTE(SUBSTITUTE(SUBSTITUTE(SUBSTITUTE(SUBSTITUTE(SUBSTITUTE(SUBSTITUTE(SUBSTITUTE(SUBSTITUTE(SUBSTITUTE(SUBSTITUTE(UPPER(TRIM(A13)),"[MEMBER]",""),"{MEMBER}",""),"[MEMBER}",""),"MEMBER]",""),"(A)",""),"""",""),"“",""),"”",""),".",""),":",""),",",""),"–"," "),"-"," "),"/"," "),"&amp;"," AND "))&amp;" "," THE "," ")," TOTAL "," ")," OPERATIONS "," "))</f>
        <v>AFRICA EURASIA</v>
      </c>
      <c r="O13" s="17" t="str">
        <f aca="false">IF(COUNTIFS($N$2:$N$2000,N13,$D$2:$D$2000,"&lt;&gt;"&amp;D13)&gt;0,"CONFLICT","")</f>
        <v/>
      </c>
      <c r="P13" s="7" t="s">
        <v>1887</v>
      </c>
    </row>
    <row r="14" customFormat="false" ht="15" hidden="false" customHeight="false" outlineLevel="0" collapsed="false">
      <c r="A14" s="7" t="s">
        <v>383</v>
      </c>
      <c r="B14" s="7" t="s">
        <v>1879</v>
      </c>
      <c r="C14" s="7"/>
      <c r="D14" s="6" t="s">
        <v>383</v>
      </c>
      <c r="E14" s="6" t="s">
        <v>1880</v>
      </c>
      <c r="F14" s="7" t="str">
        <f aca="false">IF($D14="","",IFERROR(IF(INDEX(Hierarchy!$B$2:$B$1295,MATCH($D14,Hierarchy!$A$2:$A$1295,0))="","",INDEX(Hierarchy!$B$2:$B$1295,MATCH($D14,Hierarchy!$A$2:$A$1295,0))),"NODE NOT FOUND"))</f>
        <v>State/Province</v>
      </c>
      <c r="G14" s="7" t="str">
        <f aca="false">IF($D14="","",IFERROR(IF(INDEX(Hierarchy!$D$2:$D$1295,MATCH($D14,Hierarchy!$A$2:$A$1295,0))="","",INDEX(Hierarchy!$D$2:$D$1295,MATCH($D14,Hierarchy!$A$2:$A$1295,0))),"NODE NOT FOUND"))</f>
        <v>AMER</v>
      </c>
      <c r="H14" s="7" t="str">
        <f aca="false">IF($D14="","",IFERROR(IF(INDEX(Hierarchy!$E$2:$E$1295,MATCH($D14,Hierarchy!$A$2:$A$1295,0))="","",INDEX(Hierarchy!$E$2:$E$1295,MATCH($D14,Hierarchy!$A$2:$A$1295,0))),"NODE NOT FOUND"))</f>
        <v>Latin America (LATAM)</v>
      </c>
      <c r="I14" s="7" t="str">
        <f aca="false">IF($D14="","",IFERROR(IF(INDEX(Hierarchy!$F$2:$F$1295,MATCH($D14,Hierarchy!$A$2:$A$1295,0))="","",INDEX(Hierarchy!$F$2:$F$1295,MATCH($D14,Hierarchy!$A$2:$A$1295,0))),"NODE NOT FOUND"))</f>
        <v>Mexico</v>
      </c>
      <c r="J14" s="7" t="str">
        <f aca="false">IF($D14="","",IFERROR(IF(INDEX(Hierarchy!$G$2:$G$1295,MATCH($D14,Hierarchy!$A$2:$A$1295,0))="","",INDEX(Hierarchy!$G$2:$G$1295,MATCH($D14,Hierarchy!$A$2:$A$1295,0))),"NODE NOT FOUND"))</f>
        <v>MEX</v>
      </c>
      <c r="K14" s="7" t="str">
        <f aca="false">IF($D14="","",IFERROR(IF(INDEX(Hierarchy!$H$2:$H$1295,MATCH($D14,Hierarchy!$A$2:$A$1295,0))="","",INDEX(Hierarchy!$H$2:$H$1295,MATCH($D14,Hierarchy!$A$2:$A$1295,0))),"NODE NOT FOUND"))</f>
        <v>Aguascalientes</v>
      </c>
      <c r="L14" s="7" t="str">
        <f aca="false">IF($D14="","",IFERROR(IF(INDEX(Hierarchy!$I$2:$I$1295,MATCH($D14,Hierarchy!$A$2:$A$1295,0))="","",INDEX(Hierarchy!$I$2:$I$1295,MATCH($D14,Hierarchy!$A$2:$A$1295,0))),"NODE NOT FOUND"))</f>
        <v/>
      </c>
      <c r="M14" s="17" t="str">
        <f aca="false">IF(B14="Pre-seeded","Pre-seeded",IF(B14="Review 2026-09-16","Added from review",IF(C14="","New",IF(C14=D14,"","Changed"))))</f>
        <v>Pre-seeded</v>
      </c>
      <c r="N14" s="7" t="str">
        <f aca="false">TRIM(SUBSTITUTE(SUBSTITUTE(SUBSTITUTE(" "&amp;TRIM(SUBSTITUTE(SUBSTITUTE(SUBSTITUTE(SUBSTITUTE(SUBSTITUTE(SUBSTITUTE(SUBSTITUTE(SUBSTITUTE(SUBSTITUTE(SUBSTITUTE(SUBSTITUTE(SUBSTITUTE(SUBSTITUTE(SUBSTITUTE(SUBSTITUTE(UPPER(TRIM(A14)),"[MEMBER]",""),"{MEMBER}",""),"[MEMBER}",""),"MEMBER]",""),"(A)",""),"""",""),"“",""),"”",""),".",""),":",""),",",""),"–"," "),"-"," "),"/"," "),"&amp;"," AND "))&amp;" "," THE "," ")," TOTAL "," ")," OPERATIONS "," "))</f>
        <v>AGUASCALIENTES</v>
      </c>
      <c r="O14" s="17" t="str">
        <f aca="false">IF(COUNTIFS($N$2:$N$2000,N14,$D$2:$D$2000,"&lt;&gt;"&amp;D14)&gt;0,"CONFLICT","")</f>
        <v/>
      </c>
      <c r="P14" s="7"/>
    </row>
    <row r="15" customFormat="false" ht="15" hidden="false" customHeight="false" outlineLevel="0" collapsed="false">
      <c r="A15" s="7" t="s">
        <v>1437</v>
      </c>
      <c r="B15" s="7" t="s">
        <v>1879</v>
      </c>
      <c r="C15" s="7"/>
      <c r="D15" s="6" t="s">
        <v>1437</v>
      </c>
      <c r="E15" s="6" t="s">
        <v>1880</v>
      </c>
      <c r="F15" s="7" t="str">
        <f aca="false">IF($D15="","",IFERROR(IF(INDEX(Hierarchy!$B$2:$B$1295,MATCH($D15,Hierarchy!$A$2:$A$1295,0))="","",INDEX(Hierarchy!$B$2:$B$1295,MATCH($D15,Hierarchy!$A$2:$A$1295,0))),"NODE NOT FOUND"))</f>
        <v>State/Province</v>
      </c>
      <c r="G15" s="7" t="str">
        <f aca="false">IF($D15="","",IFERROR(IF(INDEX(Hierarchy!$D$2:$D$1295,MATCH($D15,Hierarchy!$A$2:$A$1295,0))="","",INDEX(Hierarchy!$D$2:$D$1295,MATCH($D15,Hierarchy!$A$2:$A$1295,0))),"NODE NOT FOUND"))</f>
        <v>APAC</v>
      </c>
      <c r="H15" s="7" t="str">
        <f aca="false">IF($D15="","",IFERROR(IF(INDEX(Hierarchy!$E$2:$E$1295,MATCH($D15,Hierarchy!$A$2:$A$1295,0))="","",INDEX(Hierarchy!$E$2:$E$1295,MATCH($D15,Hierarchy!$A$2:$A$1295,0))),"NODE NOT FOUND"))</f>
        <v>East Asia</v>
      </c>
      <c r="I15" s="7" t="str">
        <f aca="false">IF($D15="","",IFERROR(IF(INDEX(Hierarchy!$F$2:$F$1295,MATCH($D15,Hierarchy!$A$2:$A$1295,0))="","",INDEX(Hierarchy!$F$2:$F$1295,MATCH($D15,Hierarchy!$A$2:$A$1295,0))),"NODE NOT FOUND"))</f>
        <v>Japan</v>
      </c>
      <c r="J15" s="7" t="str">
        <f aca="false">IF($D15="","",IFERROR(IF(INDEX(Hierarchy!$G$2:$G$1295,MATCH($D15,Hierarchy!$A$2:$A$1295,0))="","",INDEX(Hierarchy!$G$2:$G$1295,MATCH($D15,Hierarchy!$A$2:$A$1295,0))),"NODE NOT FOUND"))</f>
        <v>JPN</v>
      </c>
      <c r="K15" s="7" t="str">
        <f aca="false">IF($D15="","",IFERROR(IF(INDEX(Hierarchy!$H$2:$H$1295,MATCH($D15,Hierarchy!$A$2:$A$1295,0))="","",INDEX(Hierarchy!$H$2:$H$1295,MATCH($D15,Hierarchy!$A$2:$A$1295,0))),"NODE NOT FOUND"))</f>
        <v>Aichi</v>
      </c>
      <c r="L15" s="7" t="str">
        <f aca="false">IF($D15="","",IFERROR(IF(INDEX(Hierarchy!$I$2:$I$1295,MATCH($D15,Hierarchy!$A$2:$A$1295,0))="","",INDEX(Hierarchy!$I$2:$I$1295,MATCH($D15,Hierarchy!$A$2:$A$1295,0))),"NODE NOT FOUND"))</f>
        <v/>
      </c>
      <c r="M15" s="17" t="str">
        <f aca="false">IF(B15="Pre-seeded","Pre-seeded",IF(B15="Review 2026-09-16","Added from review",IF(C15="","New",IF(C15=D15,"","Changed"))))</f>
        <v>Pre-seeded</v>
      </c>
      <c r="N15" s="7" t="str">
        <f aca="false">TRIM(SUBSTITUTE(SUBSTITUTE(SUBSTITUTE(" "&amp;TRIM(SUBSTITUTE(SUBSTITUTE(SUBSTITUTE(SUBSTITUTE(SUBSTITUTE(SUBSTITUTE(SUBSTITUTE(SUBSTITUTE(SUBSTITUTE(SUBSTITUTE(SUBSTITUTE(SUBSTITUTE(SUBSTITUTE(SUBSTITUTE(SUBSTITUTE(UPPER(TRIM(A15)),"[MEMBER]",""),"{MEMBER}",""),"[MEMBER}",""),"MEMBER]",""),"(A)",""),"""",""),"“",""),"”",""),".",""),":",""),",",""),"–"," "),"-"," "),"/"," "),"&amp;"," AND "))&amp;" "," THE "," ")," TOTAL "," ")," OPERATIONS "," "))</f>
        <v>AICHI</v>
      </c>
      <c r="O15" s="17" t="str">
        <f aca="false">IF(COUNTIFS($N$2:$N$2000,N15,$D$2:$D$2000,"&lt;&gt;"&amp;D15)&gt;0,"CONFLICT","")</f>
        <v/>
      </c>
      <c r="P15" s="7"/>
    </row>
    <row r="16" customFormat="false" ht="15" hidden="false" customHeight="false" outlineLevel="0" collapsed="false">
      <c r="A16" s="7" t="s">
        <v>1040</v>
      </c>
      <c r="B16" s="7" t="s">
        <v>1879</v>
      </c>
      <c r="C16" s="7"/>
      <c r="D16" s="6" t="s">
        <v>1040</v>
      </c>
      <c r="E16" s="6" t="s">
        <v>1880</v>
      </c>
      <c r="F16" s="7" t="str">
        <f aca="false">IF($D16="","",IFERROR(IF(INDEX(Hierarchy!$B$2:$B$1295,MATCH($D16,Hierarchy!$A$2:$A$1295,0))="","",INDEX(Hierarchy!$B$2:$B$1295,MATCH($D16,Hierarchy!$A$2:$A$1295,0))),"NODE NOT FOUND"))</f>
        <v>State/Province</v>
      </c>
      <c r="G16" s="7" t="str">
        <f aca="false">IF($D16="","",IFERROR(IF(INDEX(Hierarchy!$D$2:$D$1295,MATCH($D16,Hierarchy!$A$2:$A$1295,0))="","",INDEX(Hierarchy!$D$2:$D$1295,MATCH($D16,Hierarchy!$A$2:$A$1295,0))),"NODE NOT FOUND"))</f>
        <v>EMEA</v>
      </c>
      <c r="H16" s="7" t="str">
        <f aca="false">IF($D16="","",IFERROR(IF(INDEX(Hierarchy!$E$2:$E$1295,MATCH($D16,Hierarchy!$A$2:$A$1295,0))="","",INDEX(Hierarchy!$E$2:$E$1295,MATCH($D16,Hierarchy!$A$2:$A$1295,0))),"NODE NOT FOUND"))</f>
        <v>Middle East</v>
      </c>
      <c r="I16" s="7" t="str">
        <f aca="false">IF($D16="","",IFERROR(IF(INDEX(Hierarchy!$F$2:$F$1295,MATCH($D16,Hierarchy!$A$2:$A$1295,0))="","",INDEX(Hierarchy!$F$2:$F$1295,MATCH($D16,Hierarchy!$A$2:$A$1295,0))),"NODE NOT FOUND"))</f>
        <v>United Arab Emirates</v>
      </c>
      <c r="J16" s="7" t="str">
        <f aca="false">IF($D16="","",IFERROR(IF(INDEX(Hierarchy!$G$2:$G$1295,MATCH($D16,Hierarchy!$A$2:$A$1295,0))="","",INDEX(Hierarchy!$G$2:$G$1295,MATCH($D16,Hierarchy!$A$2:$A$1295,0))),"NODE NOT FOUND"))</f>
        <v>ARE</v>
      </c>
      <c r="K16" s="7" t="str">
        <f aca="false">IF($D16="","",IFERROR(IF(INDEX(Hierarchy!$H$2:$H$1295,MATCH($D16,Hierarchy!$A$2:$A$1295,0))="","",INDEX(Hierarchy!$H$2:$H$1295,MATCH($D16,Hierarchy!$A$2:$A$1295,0))),"NODE NOT FOUND"))</f>
        <v>Ajman</v>
      </c>
      <c r="L16" s="7" t="str">
        <f aca="false">IF($D16="","",IFERROR(IF(INDEX(Hierarchy!$I$2:$I$1295,MATCH($D16,Hierarchy!$A$2:$A$1295,0))="","",INDEX(Hierarchy!$I$2:$I$1295,MATCH($D16,Hierarchy!$A$2:$A$1295,0))),"NODE NOT FOUND"))</f>
        <v/>
      </c>
      <c r="M16" s="17" t="str">
        <f aca="false">IF(B16="Pre-seeded","Pre-seeded",IF(B16="Review 2026-09-16","Added from review",IF(C16="","New",IF(C16=D16,"","Changed"))))</f>
        <v>Pre-seeded</v>
      </c>
      <c r="N16" s="7" t="str">
        <f aca="false">TRIM(SUBSTITUTE(SUBSTITUTE(SUBSTITUTE(" "&amp;TRIM(SUBSTITUTE(SUBSTITUTE(SUBSTITUTE(SUBSTITUTE(SUBSTITUTE(SUBSTITUTE(SUBSTITUTE(SUBSTITUTE(SUBSTITUTE(SUBSTITUTE(SUBSTITUTE(SUBSTITUTE(SUBSTITUTE(SUBSTITUTE(SUBSTITUTE(UPPER(TRIM(A16)),"[MEMBER]",""),"{MEMBER}",""),"[MEMBER}",""),"MEMBER]",""),"(A)",""),"""",""),"“",""),"”",""),".",""),":",""),",",""),"–"," "),"-"," "),"/"," "),"&amp;"," AND "))&amp;" "," THE "," ")," TOTAL "," ")," OPERATIONS "," "))</f>
        <v>AJMAN</v>
      </c>
      <c r="O16" s="17" t="str">
        <f aca="false">IF(COUNTIFS($N$2:$N$2000,N16,$D$2:$D$2000,"&lt;&gt;"&amp;D16)&gt;0,"CONFLICT","")</f>
        <v/>
      </c>
      <c r="P16" s="7"/>
    </row>
    <row r="17" customFormat="false" ht="15" hidden="false" customHeight="false" outlineLevel="0" collapsed="false">
      <c r="A17" s="7" t="s">
        <v>1440</v>
      </c>
      <c r="B17" s="7" t="s">
        <v>1879</v>
      </c>
      <c r="C17" s="7"/>
      <c r="D17" s="6" t="s">
        <v>1440</v>
      </c>
      <c r="E17" s="6" t="s">
        <v>1880</v>
      </c>
      <c r="F17" s="7" t="str">
        <f aca="false">IF($D17="","",IFERROR(IF(INDEX(Hierarchy!$B$2:$B$1295,MATCH($D17,Hierarchy!$A$2:$A$1295,0))="","",INDEX(Hierarchy!$B$2:$B$1295,MATCH($D17,Hierarchy!$A$2:$A$1295,0))),"NODE NOT FOUND"))</f>
        <v>State/Province</v>
      </c>
      <c r="G17" s="7" t="str">
        <f aca="false">IF($D17="","",IFERROR(IF(INDEX(Hierarchy!$D$2:$D$1295,MATCH($D17,Hierarchy!$A$2:$A$1295,0))="","",INDEX(Hierarchy!$D$2:$D$1295,MATCH($D17,Hierarchy!$A$2:$A$1295,0))),"NODE NOT FOUND"))</f>
        <v>APAC</v>
      </c>
      <c r="H17" s="7" t="str">
        <f aca="false">IF($D17="","",IFERROR(IF(INDEX(Hierarchy!$E$2:$E$1295,MATCH($D17,Hierarchy!$A$2:$A$1295,0))="","",INDEX(Hierarchy!$E$2:$E$1295,MATCH($D17,Hierarchy!$A$2:$A$1295,0))),"NODE NOT FOUND"))</f>
        <v>East Asia</v>
      </c>
      <c r="I17" s="7" t="str">
        <f aca="false">IF($D17="","",IFERROR(IF(INDEX(Hierarchy!$F$2:$F$1295,MATCH($D17,Hierarchy!$A$2:$A$1295,0))="","",INDEX(Hierarchy!$F$2:$F$1295,MATCH($D17,Hierarchy!$A$2:$A$1295,0))),"NODE NOT FOUND"))</f>
        <v>Japan</v>
      </c>
      <c r="J17" s="7" t="str">
        <f aca="false">IF($D17="","",IFERROR(IF(INDEX(Hierarchy!$G$2:$G$1295,MATCH($D17,Hierarchy!$A$2:$A$1295,0))="","",INDEX(Hierarchy!$G$2:$G$1295,MATCH($D17,Hierarchy!$A$2:$A$1295,0))),"NODE NOT FOUND"))</f>
        <v>JPN</v>
      </c>
      <c r="K17" s="7" t="str">
        <f aca="false">IF($D17="","",IFERROR(IF(INDEX(Hierarchy!$H$2:$H$1295,MATCH($D17,Hierarchy!$A$2:$A$1295,0))="","",INDEX(Hierarchy!$H$2:$H$1295,MATCH($D17,Hierarchy!$A$2:$A$1295,0))),"NODE NOT FOUND"))</f>
        <v>Akita</v>
      </c>
      <c r="L17" s="7" t="str">
        <f aca="false">IF($D17="","",IFERROR(IF(INDEX(Hierarchy!$I$2:$I$1295,MATCH($D17,Hierarchy!$A$2:$A$1295,0))="","",INDEX(Hierarchy!$I$2:$I$1295,MATCH($D17,Hierarchy!$A$2:$A$1295,0))),"NODE NOT FOUND"))</f>
        <v/>
      </c>
      <c r="M17" s="17" t="str">
        <f aca="false">IF(B17="Pre-seeded","Pre-seeded",IF(B17="Review 2026-09-16","Added from review",IF(C17="","New",IF(C17=D17,"","Changed"))))</f>
        <v>Pre-seeded</v>
      </c>
      <c r="N17" s="7" t="str">
        <f aca="false">TRIM(SUBSTITUTE(SUBSTITUTE(SUBSTITUTE(" "&amp;TRIM(SUBSTITUTE(SUBSTITUTE(SUBSTITUTE(SUBSTITUTE(SUBSTITUTE(SUBSTITUTE(SUBSTITUTE(SUBSTITUTE(SUBSTITUTE(SUBSTITUTE(SUBSTITUTE(SUBSTITUTE(SUBSTITUTE(SUBSTITUTE(SUBSTITUTE(UPPER(TRIM(A17)),"[MEMBER]",""),"{MEMBER}",""),"[MEMBER}",""),"MEMBER]",""),"(A)",""),"""",""),"“",""),"”",""),".",""),":",""),",",""),"–"," "),"-"," "),"/"," "),"&amp;"," AND "))&amp;" "," THE "," ")," TOTAL "," ")," OPERATIONS "," "))</f>
        <v>AKITA</v>
      </c>
      <c r="O17" s="17" t="str">
        <f aca="false">IF(COUNTIFS($N$2:$N$2000,N17,$D$2:$D$2000,"&lt;&gt;"&amp;D17)&gt;0,"CONFLICT","")</f>
        <v/>
      </c>
      <c r="P17" s="7"/>
    </row>
    <row r="18" customFormat="false" ht="15" hidden="false" customHeight="false" outlineLevel="0" collapsed="false">
      <c r="A18" s="7" t="s">
        <v>1134</v>
      </c>
      <c r="B18" s="7" t="s">
        <v>1879</v>
      </c>
      <c r="C18" s="7"/>
      <c r="D18" s="6" t="s">
        <v>1134</v>
      </c>
      <c r="E18" s="6" t="s">
        <v>1880</v>
      </c>
      <c r="F18" s="7" t="str">
        <f aca="false">IF($D18="","",IFERROR(IF(INDEX(Hierarchy!$B$2:$B$1295,MATCH($D18,Hierarchy!$A$2:$A$1295,0))="","",INDEX(Hierarchy!$B$2:$B$1295,MATCH($D18,Hierarchy!$A$2:$A$1295,0))),"NODE NOT FOUND"))</f>
        <v>State/Province</v>
      </c>
      <c r="G18" s="7" t="str">
        <f aca="false">IF($D18="","",IFERROR(IF(INDEX(Hierarchy!$D$2:$D$1295,MATCH($D18,Hierarchy!$A$2:$A$1295,0))="","",INDEX(Hierarchy!$D$2:$D$1295,MATCH($D18,Hierarchy!$A$2:$A$1295,0))),"NODE NOT FOUND"))</f>
        <v>EMEA</v>
      </c>
      <c r="H18" s="7" t="str">
        <f aca="false">IF($D18="","",IFERROR(IF(INDEX(Hierarchy!$E$2:$E$1295,MATCH($D18,Hierarchy!$A$2:$A$1295,0))="","",INDEX(Hierarchy!$E$2:$E$1295,MATCH($D18,Hierarchy!$A$2:$A$1295,0))),"NODE NOT FOUND"))</f>
        <v>Africa</v>
      </c>
      <c r="I18" s="7" t="str">
        <f aca="false">IF($D18="","",IFERROR(IF(INDEX(Hierarchy!$F$2:$F$1295,MATCH($D18,Hierarchy!$A$2:$A$1295,0))="","",INDEX(Hierarchy!$F$2:$F$1295,MATCH($D18,Hierarchy!$A$2:$A$1295,0))),"NODE NOT FOUND"))</f>
        <v>Nigeria</v>
      </c>
      <c r="J18" s="7" t="str">
        <f aca="false">IF($D18="","",IFERROR(IF(INDEX(Hierarchy!$G$2:$G$1295,MATCH($D18,Hierarchy!$A$2:$A$1295,0))="","",INDEX(Hierarchy!$G$2:$G$1295,MATCH($D18,Hierarchy!$A$2:$A$1295,0))),"NODE NOT FOUND"))</f>
        <v>NGA</v>
      </c>
      <c r="K18" s="7" t="str">
        <f aca="false">IF($D18="","",IFERROR(IF(INDEX(Hierarchy!$H$2:$H$1295,MATCH($D18,Hierarchy!$A$2:$A$1295,0))="","",INDEX(Hierarchy!$H$2:$H$1295,MATCH($D18,Hierarchy!$A$2:$A$1295,0))),"NODE NOT FOUND"))</f>
        <v>Akwa Ibom</v>
      </c>
      <c r="L18" s="7" t="str">
        <f aca="false">IF($D18="","",IFERROR(IF(INDEX(Hierarchy!$I$2:$I$1295,MATCH($D18,Hierarchy!$A$2:$A$1295,0))="","",INDEX(Hierarchy!$I$2:$I$1295,MATCH($D18,Hierarchy!$A$2:$A$1295,0))),"NODE NOT FOUND"))</f>
        <v/>
      </c>
      <c r="M18" s="17" t="str">
        <f aca="false">IF(B18="Pre-seeded","Pre-seeded",IF(B18="Review 2026-09-16","Added from review",IF(C18="","New",IF(C18=D18,"","Changed"))))</f>
        <v>Pre-seeded</v>
      </c>
      <c r="N18" s="7" t="str">
        <f aca="false">TRIM(SUBSTITUTE(SUBSTITUTE(SUBSTITUTE(" "&amp;TRIM(SUBSTITUTE(SUBSTITUTE(SUBSTITUTE(SUBSTITUTE(SUBSTITUTE(SUBSTITUTE(SUBSTITUTE(SUBSTITUTE(SUBSTITUTE(SUBSTITUTE(SUBSTITUTE(SUBSTITUTE(SUBSTITUTE(SUBSTITUTE(SUBSTITUTE(UPPER(TRIM(A18)),"[MEMBER]",""),"{MEMBER}",""),"[MEMBER}",""),"MEMBER]",""),"(A)",""),"""",""),"“",""),"”",""),".",""),":",""),",",""),"–"," "),"-"," "),"/"," "),"&amp;"," AND "))&amp;" "," THE "," ")," TOTAL "," ")," OPERATIONS "," "))</f>
        <v>AKWA IBOM</v>
      </c>
      <c r="O18" s="17" t="str">
        <f aca="false">IF(COUNTIFS($N$2:$N$2000,N18,$D$2:$D$2000,"&lt;&gt;"&amp;D18)&gt;0,"CONFLICT","")</f>
        <v/>
      </c>
      <c r="P18" s="7"/>
    </row>
    <row r="19" customFormat="false" ht="15" hidden="false" customHeight="false" outlineLevel="0" collapsed="false">
      <c r="A19" s="7" t="s">
        <v>1048</v>
      </c>
      <c r="B19" s="7" t="s">
        <v>1879</v>
      </c>
      <c r="C19" s="7"/>
      <c r="D19" s="6" t="s">
        <v>1048</v>
      </c>
      <c r="E19" s="6" t="s">
        <v>1880</v>
      </c>
      <c r="F19" s="7" t="str">
        <f aca="false">IF($D19="","",IFERROR(IF(INDEX(Hierarchy!$B$2:$B$1295,MATCH($D19,Hierarchy!$A$2:$A$1295,0))="","",INDEX(Hierarchy!$B$2:$B$1295,MATCH($D19,Hierarchy!$A$2:$A$1295,0))),"NODE NOT FOUND"))</f>
        <v>State/Province</v>
      </c>
      <c r="G19" s="7" t="str">
        <f aca="false">IF($D19="","",IFERROR(IF(INDEX(Hierarchy!$D$2:$D$1295,MATCH($D19,Hierarchy!$A$2:$A$1295,0))="","",INDEX(Hierarchy!$D$2:$D$1295,MATCH($D19,Hierarchy!$A$2:$A$1295,0))),"NODE NOT FOUND"))</f>
        <v>EMEA</v>
      </c>
      <c r="H19" s="7" t="str">
        <f aca="false">IF($D19="","",IFERROR(IF(INDEX(Hierarchy!$E$2:$E$1295,MATCH($D19,Hierarchy!$A$2:$A$1295,0))="","",INDEX(Hierarchy!$E$2:$E$1295,MATCH($D19,Hierarchy!$A$2:$A$1295,0))),"NODE NOT FOUND"))</f>
        <v>Middle East</v>
      </c>
      <c r="I19" s="7" t="str">
        <f aca="false">IF($D19="","",IFERROR(IF(INDEX(Hierarchy!$F$2:$F$1295,MATCH($D19,Hierarchy!$A$2:$A$1295,0))="","",INDEX(Hierarchy!$F$2:$F$1295,MATCH($D19,Hierarchy!$A$2:$A$1295,0))),"NODE NOT FOUND"))</f>
        <v>Saudi Arabia</v>
      </c>
      <c r="J19" s="7" t="str">
        <f aca="false">IF($D19="","",IFERROR(IF(INDEX(Hierarchy!$G$2:$G$1295,MATCH($D19,Hierarchy!$A$2:$A$1295,0))="","",INDEX(Hierarchy!$G$2:$G$1295,MATCH($D19,Hierarchy!$A$2:$A$1295,0))),"NODE NOT FOUND"))</f>
        <v>SAU</v>
      </c>
      <c r="K19" s="7" t="str">
        <f aca="false">IF($D19="","",IFERROR(IF(INDEX(Hierarchy!$H$2:$H$1295,MATCH($D19,Hierarchy!$A$2:$A$1295,0))="","",INDEX(Hierarchy!$H$2:$H$1295,MATCH($D19,Hierarchy!$A$2:$A$1295,0))),"NODE NOT FOUND"))</f>
        <v>Al Bahah Province</v>
      </c>
      <c r="L19" s="7" t="str">
        <f aca="false">IF($D19="","",IFERROR(IF(INDEX(Hierarchy!$I$2:$I$1295,MATCH($D19,Hierarchy!$A$2:$A$1295,0))="","",INDEX(Hierarchy!$I$2:$I$1295,MATCH($D19,Hierarchy!$A$2:$A$1295,0))),"NODE NOT FOUND"))</f>
        <v/>
      </c>
      <c r="M19" s="17" t="str">
        <f aca="false">IF(B19="Pre-seeded","Pre-seeded",IF(B19="Review 2026-09-16","Added from review",IF(C19="","New",IF(C19=D19,"","Changed"))))</f>
        <v>Pre-seeded</v>
      </c>
      <c r="N19" s="7" t="str">
        <f aca="false">TRIM(SUBSTITUTE(SUBSTITUTE(SUBSTITUTE(" "&amp;TRIM(SUBSTITUTE(SUBSTITUTE(SUBSTITUTE(SUBSTITUTE(SUBSTITUTE(SUBSTITUTE(SUBSTITUTE(SUBSTITUTE(SUBSTITUTE(SUBSTITUTE(SUBSTITUTE(SUBSTITUTE(SUBSTITUTE(SUBSTITUTE(SUBSTITUTE(UPPER(TRIM(A19)),"[MEMBER]",""),"{MEMBER}",""),"[MEMBER}",""),"MEMBER]",""),"(A)",""),"""",""),"“",""),"”",""),".",""),":",""),",",""),"–"," "),"-"," "),"/"," "),"&amp;"," AND "))&amp;" "," THE "," ")," TOTAL "," ")," OPERATIONS "," "))</f>
        <v>AL BAHAH PROVINCE</v>
      </c>
      <c r="O19" s="17" t="str">
        <f aca="false">IF(COUNTIFS($N$2:$N$2000,N19,$D$2:$D$2000,"&lt;&gt;"&amp;D19)&gt;0,"CONFLICT","")</f>
        <v/>
      </c>
      <c r="P19" s="7"/>
    </row>
    <row r="20" customFormat="false" ht="15" hidden="false" customHeight="false" outlineLevel="0" collapsed="false">
      <c r="A20" s="7" t="s">
        <v>1049</v>
      </c>
      <c r="B20" s="7" t="s">
        <v>1879</v>
      </c>
      <c r="C20" s="7"/>
      <c r="D20" s="6" t="s">
        <v>1049</v>
      </c>
      <c r="E20" s="6" t="s">
        <v>1880</v>
      </c>
      <c r="F20" s="7" t="str">
        <f aca="false">IF($D20="","",IFERROR(IF(INDEX(Hierarchy!$B$2:$B$1295,MATCH($D20,Hierarchy!$A$2:$A$1295,0))="","",INDEX(Hierarchy!$B$2:$B$1295,MATCH($D20,Hierarchy!$A$2:$A$1295,0))),"NODE NOT FOUND"))</f>
        <v>State/Province</v>
      </c>
      <c r="G20" s="7" t="str">
        <f aca="false">IF($D20="","",IFERROR(IF(INDEX(Hierarchy!$D$2:$D$1295,MATCH($D20,Hierarchy!$A$2:$A$1295,0))="","",INDEX(Hierarchy!$D$2:$D$1295,MATCH($D20,Hierarchy!$A$2:$A$1295,0))),"NODE NOT FOUND"))</f>
        <v>EMEA</v>
      </c>
      <c r="H20" s="7" t="str">
        <f aca="false">IF($D20="","",IFERROR(IF(INDEX(Hierarchy!$E$2:$E$1295,MATCH($D20,Hierarchy!$A$2:$A$1295,0))="","",INDEX(Hierarchy!$E$2:$E$1295,MATCH($D20,Hierarchy!$A$2:$A$1295,0))),"NODE NOT FOUND"))</f>
        <v>Middle East</v>
      </c>
      <c r="I20" s="7" t="str">
        <f aca="false">IF($D20="","",IFERROR(IF(INDEX(Hierarchy!$F$2:$F$1295,MATCH($D20,Hierarchy!$A$2:$A$1295,0))="","",INDEX(Hierarchy!$F$2:$F$1295,MATCH($D20,Hierarchy!$A$2:$A$1295,0))),"NODE NOT FOUND"))</f>
        <v>Saudi Arabia</v>
      </c>
      <c r="J20" s="7" t="str">
        <f aca="false">IF($D20="","",IFERROR(IF(INDEX(Hierarchy!$G$2:$G$1295,MATCH($D20,Hierarchy!$A$2:$A$1295,0))="","",INDEX(Hierarchy!$G$2:$G$1295,MATCH($D20,Hierarchy!$A$2:$A$1295,0))),"NODE NOT FOUND"))</f>
        <v>SAU</v>
      </c>
      <c r="K20" s="7" t="str">
        <f aca="false">IF($D20="","",IFERROR(IF(INDEX(Hierarchy!$H$2:$H$1295,MATCH($D20,Hierarchy!$A$2:$A$1295,0))="","",INDEX(Hierarchy!$H$2:$H$1295,MATCH($D20,Hierarchy!$A$2:$A$1295,0))),"NODE NOT FOUND"))</f>
        <v>Al Jawf Province</v>
      </c>
      <c r="L20" s="7" t="str">
        <f aca="false">IF($D20="","",IFERROR(IF(INDEX(Hierarchy!$I$2:$I$1295,MATCH($D20,Hierarchy!$A$2:$A$1295,0))="","",INDEX(Hierarchy!$I$2:$I$1295,MATCH($D20,Hierarchy!$A$2:$A$1295,0))),"NODE NOT FOUND"))</f>
        <v/>
      </c>
      <c r="M20" s="17" t="str">
        <f aca="false">IF(B20="Pre-seeded","Pre-seeded",IF(B20="Review 2026-09-16","Added from review",IF(C20="","New",IF(C20=D20,"","Changed"))))</f>
        <v>Pre-seeded</v>
      </c>
      <c r="N20" s="7" t="str">
        <f aca="false">TRIM(SUBSTITUTE(SUBSTITUTE(SUBSTITUTE(" "&amp;TRIM(SUBSTITUTE(SUBSTITUTE(SUBSTITUTE(SUBSTITUTE(SUBSTITUTE(SUBSTITUTE(SUBSTITUTE(SUBSTITUTE(SUBSTITUTE(SUBSTITUTE(SUBSTITUTE(SUBSTITUTE(SUBSTITUTE(SUBSTITUTE(SUBSTITUTE(UPPER(TRIM(A20)),"[MEMBER]",""),"{MEMBER}",""),"[MEMBER}",""),"MEMBER]",""),"(A)",""),"""",""),"“",""),"”",""),".",""),":",""),",",""),"–"," "),"-"," "),"/"," "),"&amp;"," AND "))&amp;" "," THE "," ")," TOTAL "," ")," OPERATIONS "," "))</f>
        <v>AL JAWF PROVINCE</v>
      </c>
      <c r="O20" s="17" t="str">
        <f aca="false">IF(COUNTIFS($N$2:$N$2000,N20,$D$2:$D$2000,"&lt;&gt;"&amp;D20)&gt;0,"CONFLICT","")</f>
        <v/>
      </c>
      <c r="P20" s="7"/>
    </row>
    <row r="21" customFormat="false" ht="15" hidden="false" customHeight="false" outlineLevel="0" collapsed="false">
      <c r="A21" s="7" t="s">
        <v>1888</v>
      </c>
      <c r="B21" s="7" t="s">
        <v>1882</v>
      </c>
      <c r="C21" s="7" t="s">
        <v>128</v>
      </c>
      <c r="D21" s="6" t="s">
        <v>128</v>
      </c>
      <c r="E21" s="6" t="s">
        <v>1880</v>
      </c>
      <c r="F21" s="7" t="str">
        <f aca="false">IF($D21="","",IFERROR(IF(INDEX(Hierarchy!$B$2:$B$1295,MATCH($D21,Hierarchy!$A$2:$A$1295,0))="","",INDEX(Hierarchy!$B$2:$B$1295,MATCH($D21,Hierarchy!$A$2:$A$1295,0))),"NODE NOT FOUND"))</f>
        <v>State/Province</v>
      </c>
      <c r="G21" s="7" t="str">
        <f aca="false">IF($D21="","",IFERROR(IF(INDEX(Hierarchy!$D$2:$D$1295,MATCH($D21,Hierarchy!$A$2:$A$1295,0))="","",INDEX(Hierarchy!$D$2:$D$1295,MATCH($D21,Hierarchy!$A$2:$A$1295,0))),"NODE NOT FOUND"))</f>
        <v>AMER</v>
      </c>
      <c r="H21" s="7" t="str">
        <f aca="false">IF($D21="","",IFERROR(IF(INDEX(Hierarchy!$E$2:$E$1295,MATCH($D21,Hierarchy!$A$2:$A$1295,0))="","",INDEX(Hierarchy!$E$2:$E$1295,MATCH($D21,Hierarchy!$A$2:$A$1295,0))),"NODE NOT FOUND"))</f>
        <v>North America (NORAM)</v>
      </c>
      <c r="I21" s="7" t="str">
        <f aca="false">IF($D21="","",IFERROR(IF(INDEX(Hierarchy!$F$2:$F$1295,MATCH($D21,Hierarchy!$A$2:$A$1295,0))="","",INDEX(Hierarchy!$F$2:$F$1295,MATCH($D21,Hierarchy!$A$2:$A$1295,0))),"NODE NOT FOUND"))</f>
        <v>United States</v>
      </c>
      <c r="J21" s="7" t="str">
        <f aca="false">IF($D21="","",IFERROR(IF(INDEX(Hierarchy!$G$2:$G$1295,MATCH($D21,Hierarchy!$A$2:$A$1295,0))="","",INDEX(Hierarchy!$G$2:$G$1295,MATCH($D21,Hierarchy!$A$2:$A$1295,0))),"NODE NOT FOUND"))</f>
        <v>USA</v>
      </c>
      <c r="K21" s="7" t="str">
        <f aca="false">IF($D21="","",IFERROR(IF(INDEX(Hierarchy!$H$2:$H$1295,MATCH($D21,Hierarchy!$A$2:$A$1295,0))="","",INDEX(Hierarchy!$H$2:$H$1295,MATCH($D21,Hierarchy!$A$2:$A$1295,0))),"NODE NOT FOUND"))</f>
        <v>Alabama</v>
      </c>
      <c r="L21" s="7" t="str">
        <f aca="false">IF($D21="","",IFERROR(IF(INDEX(Hierarchy!$I$2:$I$1295,MATCH($D21,Hierarchy!$A$2:$A$1295,0))="","",INDEX(Hierarchy!$I$2:$I$1295,MATCH($D21,Hierarchy!$A$2:$A$1295,0))),"NODE NOT FOUND"))</f>
        <v/>
      </c>
      <c r="M21" s="17" t="str">
        <f aca="false">IF(B21="Pre-seeded","Pre-seeded",IF(B21="Review 2026-09-16","Added from review",IF(C21="","New",IF(C21=D21,"","Changed"))))</f>
        <v/>
      </c>
      <c r="N21" s="7" t="str">
        <f aca="false">TRIM(SUBSTITUTE(SUBSTITUTE(SUBSTITUTE(" "&amp;TRIM(SUBSTITUTE(SUBSTITUTE(SUBSTITUTE(SUBSTITUTE(SUBSTITUTE(SUBSTITUTE(SUBSTITUTE(SUBSTITUTE(SUBSTITUTE(SUBSTITUTE(SUBSTITUTE(SUBSTITUTE(SUBSTITUTE(SUBSTITUTE(SUBSTITUTE(UPPER(TRIM(A21)),"[MEMBER]",""),"{MEMBER}",""),"[MEMBER}",""),"MEMBER]",""),"(A)",""),"""",""),"“",""),"”",""),".",""),":",""),",",""),"–"," "),"-"," "),"/"," "),"&amp;"," AND "))&amp;" "," THE "," ")," TOTAL "," ")," OPERATIONS "," "))</f>
        <v>ALABAMA</v>
      </c>
      <c r="O21" s="17" t="str">
        <f aca="false">IF(COUNTIFS($N$2:$N$2000,N21,$D$2:$D$2000,"&lt;&gt;"&amp;D21)&gt;0,"CONFLICT","")</f>
        <v/>
      </c>
      <c r="P21" s="7"/>
    </row>
    <row r="22" customFormat="false" ht="15" hidden="false" customHeight="false" outlineLevel="0" collapsed="false">
      <c r="A22" s="7" t="s">
        <v>128</v>
      </c>
      <c r="B22" s="7" t="s">
        <v>1882</v>
      </c>
      <c r="C22" s="7" t="s">
        <v>128</v>
      </c>
      <c r="D22" s="6" t="s">
        <v>128</v>
      </c>
      <c r="E22" s="6" t="s">
        <v>1880</v>
      </c>
      <c r="F22" s="7" t="str">
        <f aca="false">IF($D22="","",IFERROR(IF(INDEX(Hierarchy!$B$2:$B$1295,MATCH($D22,Hierarchy!$A$2:$A$1295,0))="","",INDEX(Hierarchy!$B$2:$B$1295,MATCH($D22,Hierarchy!$A$2:$A$1295,0))),"NODE NOT FOUND"))</f>
        <v>State/Province</v>
      </c>
      <c r="G22" s="7" t="str">
        <f aca="false">IF($D22="","",IFERROR(IF(INDEX(Hierarchy!$D$2:$D$1295,MATCH($D22,Hierarchy!$A$2:$A$1295,0))="","",INDEX(Hierarchy!$D$2:$D$1295,MATCH($D22,Hierarchy!$A$2:$A$1295,0))),"NODE NOT FOUND"))</f>
        <v>AMER</v>
      </c>
      <c r="H22" s="7" t="str">
        <f aca="false">IF($D22="","",IFERROR(IF(INDEX(Hierarchy!$E$2:$E$1295,MATCH($D22,Hierarchy!$A$2:$A$1295,0))="","",INDEX(Hierarchy!$E$2:$E$1295,MATCH($D22,Hierarchy!$A$2:$A$1295,0))),"NODE NOT FOUND"))</f>
        <v>North America (NORAM)</v>
      </c>
      <c r="I22" s="7" t="str">
        <f aca="false">IF($D22="","",IFERROR(IF(INDEX(Hierarchy!$F$2:$F$1295,MATCH($D22,Hierarchy!$A$2:$A$1295,0))="","",INDEX(Hierarchy!$F$2:$F$1295,MATCH($D22,Hierarchy!$A$2:$A$1295,0))),"NODE NOT FOUND"))</f>
        <v>United States</v>
      </c>
      <c r="J22" s="7" t="str">
        <f aca="false">IF($D22="","",IFERROR(IF(INDEX(Hierarchy!$G$2:$G$1295,MATCH($D22,Hierarchy!$A$2:$A$1295,0))="","",INDEX(Hierarchy!$G$2:$G$1295,MATCH($D22,Hierarchy!$A$2:$A$1295,0))),"NODE NOT FOUND"))</f>
        <v>USA</v>
      </c>
      <c r="K22" s="7" t="str">
        <f aca="false">IF($D22="","",IFERROR(IF(INDEX(Hierarchy!$H$2:$H$1295,MATCH($D22,Hierarchy!$A$2:$A$1295,0))="","",INDEX(Hierarchy!$H$2:$H$1295,MATCH($D22,Hierarchy!$A$2:$A$1295,0))),"NODE NOT FOUND"))</f>
        <v>Alabama</v>
      </c>
      <c r="L22" s="7" t="str">
        <f aca="false">IF($D22="","",IFERROR(IF(INDEX(Hierarchy!$I$2:$I$1295,MATCH($D22,Hierarchy!$A$2:$A$1295,0))="","",INDEX(Hierarchy!$I$2:$I$1295,MATCH($D22,Hierarchy!$A$2:$A$1295,0))),"NODE NOT FOUND"))</f>
        <v/>
      </c>
      <c r="M22" s="17" t="str">
        <f aca="false">IF(B22="Pre-seeded","Pre-seeded",IF(B22="Review 2026-09-16","Added from review",IF(C22="","New",IF(C22=D22,"","Changed"))))</f>
        <v/>
      </c>
      <c r="N22" s="7" t="str">
        <f aca="false">TRIM(SUBSTITUTE(SUBSTITUTE(SUBSTITUTE(" "&amp;TRIM(SUBSTITUTE(SUBSTITUTE(SUBSTITUTE(SUBSTITUTE(SUBSTITUTE(SUBSTITUTE(SUBSTITUTE(SUBSTITUTE(SUBSTITUTE(SUBSTITUTE(SUBSTITUTE(SUBSTITUTE(SUBSTITUTE(SUBSTITUTE(SUBSTITUTE(UPPER(TRIM(A22)),"[MEMBER]",""),"{MEMBER}",""),"[MEMBER}",""),"MEMBER]",""),"(A)",""),"""",""),"“",""),"”",""),".",""),":",""),",",""),"–"," "),"-"," "),"/"," "),"&amp;"," AND "))&amp;" "," THE "," ")," TOTAL "," ")," OPERATIONS "," "))</f>
        <v>ALABAMA</v>
      </c>
      <c r="O22" s="17" t="str">
        <f aca="false">IF(COUNTIFS($N$2:$N$2000,N22,$D$2:$D$2000,"&lt;&gt;"&amp;D22)&gt;0,"CONFLICT","")</f>
        <v/>
      </c>
      <c r="P22" s="7"/>
    </row>
    <row r="23" customFormat="false" ht="15" hidden="false" customHeight="false" outlineLevel="0" collapsed="false">
      <c r="A23" s="7" t="s">
        <v>346</v>
      </c>
      <c r="B23" s="7" t="s">
        <v>1879</v>
      </c>
      <c r="C23" s="7"/>
      <c r="D23" s="6" t="s">
        <v>346</v>
      </c>
      <c r="E23" s="6" t="s">
        <v>1880</v>
      </c>
      <c r="F23" s="7" t="str">
        <f aca="false">IF($D23="","",IFERROR(IF(INDEX(Hierarchy!$B$2:$B$1295,MATCH($D23,Hierarchy!$A$2:$A$1295,0))="","",INDEX(Hierarchy!$B$2:$B$1295,MATCH($D23,Hierarchy!$A$2:$A$1295,0))),"NODE NOT FOUND"))</f>
        <v>State/Province</v>
      </c>
      <c r="G23" s="7" t="str">
        <f aca="false">IF($D23="","",IFERROR(IF(INDEX(Hierarchy!$D$2:$D$1295,MATCH($D23,Hierarchy!$A$2:$A$1295,0))="","",INDEX(Hierarchy!$D$2:$D$1295,MATCH($D23,Hierarchy!$A$2:$A$1295,0))),"NODE NOT FOUND"))</f>
        <v>AMER</v>
      </c>
      <c r="H23" s="7" t="str">
        <f aca="false">IF($D23="","",IFERROR(IF(INDEX(Hierarchy!$E$2:$E$1295,MATCH($D23,Hierarchy!$A$2:$A$1295,0))="","",INDEX(Hierarchy!$E$2:$E$1295,MATCH($D23,Hierarchy!$A$2:$A$1295,0))),"NODE NOT FOUND"))</f>
        <v>Latin America (LATAM)</v>
      </c>
      <c r="I23" s="7" t="str">
        <f aca="false">IF($D23="","",IFERROR(IF(INDEX(Hierarchy!$F$2:$F$1295,MATCH($D23,Hierarchy!$A$2:$A$1295,0))="","",INDEX(Hierarchy!$F$2:$F$1295,MATCH($D23,Hierarchy!$A$2:$A$1295,0))),"NODE NOT FOUND"))</f>
        <v>Brazil</v>
      </c>
      <c r="J23" s="7" t="str">
        <f aca="false">IF($D23="","",IFERROR(IF(INDEX(Hierarchy!$G$2:$G$1295,MATCH($D23,Hierarchy!$A$2:$A$1295,0))="","",INDEX(Hierarchy!$G$2:$G$1295,MATCH($D23,Hierarchy!$A$2:$A$1295,0))),"NODE NOT FOUND"))</f>
        <v>BRA</v>
      </c>
      <c r="K23" s="7" t="str">
        <f aca="false">IF($D23="","",IFERROR(IF(INDEX(Hierarchy!$H$2:$H$1295,MATCH($D23,Hierarchy!$A$2:$A$1295,0))="","",INDEX(Hierarchy!$H$2:$H$1295,MATCH($D23,Hierarchy!$A$2:$A$1295,0))),"NODE NOT FOUND"))</f>
        <v>Alagoas</v>
      </c>
      <c r="L23" s="7" t="str">
        <f aca="false">IF($D23="","",IFERROR(IF(INDEX(Hierarchy!$I$2:$I$1295,MATCH($D23,Hierarchy!$A$2:$A$1295,0))="","",INDEX(Hierarchy!$I$2:$I$1295,MATCH($D23,Hierarchy!$A$2:$A$1295,0))),"NODE NOT FOUND"))</f>
        <v/>
      </c>
      <c r="M23" s="17" t="str">
        <f aca="false">IF(B23="Pre-seeded","Pre-seeded",IF(B23="Review 2026-09-16","Added from review",IF(C23="","New",IF(C23=D23,"","Changed"))))</f>
        <v>Pre-seeded</v>
      </c>
      <c r="N23" s="7" t="str">
        <f aca="false">TRIM(SUBSTITUTE(SUBSTITUTE(SUBSTITUTE(" "&amp;TRIM(SUBSTITUTE(SUBSTITUTE(SUBSTITUTE(SUBSTITUTE(SUBSTITUTE(SUBSTITUTE(SUBSTITUTE(SUBSTITUTE(SUBSTITUTE(SUBSTITUTE(SUBSTITUTE(SUBSTITUTE(SUBSTITUTE(SUBSTITUTE(SUBSTITUTE(UPPER(TRIM(A23)),"[MEMBER]",""),"{MEMBER}",""),"[MEMBER}",""),"MEMBER]",""),"(A)",""),"""",""),"“",""),"”",""),".",""),":",""),",",""),"–"," "),"-"," "),"/"," "),"&amp;"," AND "))&amp;" "," THE "," ")," TOTAL "," ")," OPERATIONS "," "))</f>
        <v>ALAGOAS</v>
      </c>
      <c r="O23" s="17" t="str">
        <f aca="false">IF(COUNTIFS($N$2:$N$2000,N23,$D$2:$D$2000,"&lt;&gt;"&amp;D23)&gt;0,"CONFLICT","")</f>
        <v/>
      </c>
      <c r="P23" s="7"/>
    </row>
    <row r="24" customFormat="false" ht="15" hidden="false" customHeight="false" outlineLevel="0" collapsed="false">
      <c r="A24" s="7" t="s">
        <v>1889</v>
      </c>
      <c r="B24" s="7" t="s">
        <v>1879</v>
      </c>
      <c r="C24" s="7"/>
      <c r="D24" s="6" t="s">
        <v>1028</v>
      </c>
      <c r="E24" s="6" t="s">
        <v>1880</v>
      </c>
      <c r="F24" s="7" t="str">
        <f aca="false">IF($D24="","",IFERROR(IF(INDEX(Hierarchy!$B$2:$B$1295,MATCH($D24,Hierarchy!$A$2:$A$1295,0))="","",INDEX(Hierarchy!$B$2:$B$1295,MATCH($D24,Hierarchy!$A$2:$A$1295,0))),"NODE NOT FOUND"))</f>
        <v>Country</v>
      </c>
      <c r="G24" s="7" t="str">
        <f aca="false">IF($D24="","",IFERROR(IF(INDEX(Hierarchy!$D$2:$D$1295,MATCH($D24,Hierarchy!$A$2:$A$1295,0))="","",INDEX(Hierarchy!$D$2:$D$1295,MATCH($D24,Hierarchy!$A$2:$A$1295,0))),"NODE NOT FOUND"))</f>
        <v>EMEA</v>
      </c>
      <c r="H24" s="7" t="str">
        <f aca="false">IF($D24="","",IFERROR(IF(INDEX(Hierarchy!$E$2:$E$1295,MATCH($D24,Hierarchy!$A$2:$A$1295,0))="","",INDEX(Hierarchy!$E$2:$E$1295,MATCH($D24,Hierarchy!$A$2:$A$1295,0))),"NODE NOT FOUND"))</f>
        <v>Europe</v>
      </c>
      <c r="I24" s="7" t="str">
        <f aca="false">IF($D24="","",IFERROR(IF(INDEX(Hierarchy!$F$2:$F$1295,MATCH($D24,Hierarchy!$A$2:$A$1295,0))="","",INDEX(Hierarchy!$F$2:$F$1295,MATCH($D24,Hierarchy!$A$2:$A$1295,0))),"NODE NOT FOUND"))</f>
        <v>Åland Islands</v>
      </c>
      <c r="J24" s="7" t="str">
        <f aca="false">IF($D24="","",IFERROR(IF(INDEX(Hierarchy!$G$2:$G$1295,MATCH($D24,Hierarchy!$A$2:$A$1295,0))="","",INDEX(Hierarchy!$G$2:$G$1295,MATCH($D24,Hierarchy!$A$2:$A$1295,0))),"NODE NOT FOUND"))</f>
        <v>ALA</v>
      </c>
      <c r="K24" s="7" t="str">
        <f aca="false">IF($D24="","",IFERROR(IF(INDEX(Hierarchy!$H$2:$H$1295,MATCH($D24,Hierarchy!$A$2:$A$1295,0))="","",INDEX(Hierarchy!$H$2:$H$1295,MATCH($D24,Hierarchy!$A$2:$A$1295,0))),"NODE NOT FOUND"))</f>
        <v/>
      </c>
      <c r="L24" s="7" t="str">
        <f aca="false">IF($D24="","",IFERROR(IF(INDEX(Hierarchy!$I$2:$I$1295,MATCH($D24,Hierarchy!$A$2:$A$1295,0))="","",INDEX(Hierarchy!$I$2:$I$1295,MATCH($D24,Hierarchy!$A$2:$A$1295,0))),"NODE NOT FOUND"))</f>
        <v/>
      </c>
      <c r="M24" s="17" t="str">
        <f aca="false">IF(B24="Pre-seeded","Pre-seeded",IF(B24="Review 2026-09-16","Added from review",IF(C24="","New",IF(C24=D24,"","Changed"))))</f>
        <v>Pre-seeded</v>
      </c>
      <c r="N24" s="7" t="str">
        <f aca="false">TRIM(SUBSTITUTE(SUBSTITUTE(SUBSTITUTE(" "&amp;TRIM(SUBSTITUTE(SUBSTITUTE(SUBSTITUTE(SUBSTITUTE(SUBSTITUTE(SUBSTITUTE(SUBSTITUTE(SUBSTITUTE(SUBSTITUTE(SUBSTITUTE(SUBSTITUTE(SUBSTITUTE(SUBSTITUTE(SUBSTITUTE(SUBSTITUTE(UPPER(TRIM(A24)),"[MEMBER]",""),"{MEMBER}",""),"[MEMBER}",""),"MEMBER]",""),"(A)",""),"""",""),"“",""),"”",""),".",""),":",""),",",""),"–"," "),"-"," "),"/"," "),"&amp;"," AND "))&amp;" "," THE "," ")," TOTAL "," ")," OPERATIONS "," "))</f>
        <v>ALAND ISLANDS</v>
      </c>
      <c r="O24" s="17" t="str">
        <f aca="false">IF(COUNTIFS($N$2:$N$2000,N24,$D$2:$D$2000,"&lt;&gt;"&amp;D24)&gt;0,"CONFLICT","")</f>
        <v/>
      </c>
      <c r="P24" s="7"/>
    </row>
    <row r="25" customFormat="false" ht="15" hidden="false" customHeight="false" outlineLevel="0" collapsed="false">
      <c r="A25" s="7" t="s">
        <v>129</v>
      </c>
      <c r="B25" s="7" t="s">
        <v>1882</v>
      </c>
      <c r="C25" s="7" t="s">
        <v>129</v>
      </c>
      <c r="D25" s="6" t="s">
        <v>129</v>
      </c>
      <c r="E25" s="6" t="s">
        <v>1880</v>
      </c>
      <c r="F25" s="7" t="str">
        <f aca="false">IF($D25="","",IFERROR(IF(INDEX(Hierarchy!$B$2:$B$1295,MATCH($D25,Hierarchy!$A$2:$A$1295,0))="","",INDEX(Hierarchy!$B$2:$B$1295,MATCH($D25,Hierarchy!$A$2:$A$1295,0))),"NODE NOT FOUND"))</f>
        <v>State/Province</v>
      </c>
      <c r="G25" s="7" t="str">
        <f aca="false">IF($D25="","",IFERROR(IF(INDEX(Hierarchy!$D$2:$D$1295,MATCH($D25,Hierarchy!$A$2:$A$1295,0))="","",INDEX(Hierarchy!$D$2:$D$1295,MATCH($D25,Hierarchy!$A$2:$A$1295,0))),"NODE NOT FOUND"))</f>
        <v>AMER</v>
      </c>
      <c r="H25" s="7" t="str">
        <f aca="false">IF($D25="","",IFERROR(IF(INDEX(Hierarchy!$E$2:$E$1295,MATCH($D25,Hierarchy!$A$2:$A$1295,0))="","",INDEX(Hierarchy!$E$2:$E$1295,MATCH($D25,Hierarchy!$A$2:$A$1295,0))),"NODE NOT FOUND"))</f>
        <v>North America (NORAM)</v>
      </c>
      <c r="I25" s="7" t="str">
        <f aca="false">IF($D25="","",IFERROR(IF(INDEX(Hierarchy!$F$2:$F$1295,MATCH($D25,Hierarchy!$A$2:$A$1295,0))="","",INDEX(Hierarchy!$F$2:$F$1295,MATCH($D25,Hierarchy!$A$2:$A$1295,0))),"NODE NOT FOUND"))</f>
        <v>United States</v>
      </c>
      <c r="J25" s="7" t="str">
        <f aca="false">IF($D25="","",IFERROR(IF(INDEX(Hierarchy!$G$2:$G$1295,MATCH($D25,Hierarchy!$A$2:$A$1295,0))="","",INDEX(Hierarchy!$G$2:$G$1295,MATCH($D25,Hierarchy!$A$2:$A$1295,0))),"NODE NOT FOUND"))</f>
        <v>USA</v>
      </c>
      <c r="K25" s="7" t="str">
        <f aca="false">IF($D25="","",IFERROR(IF(INDEX(Hierarchy!$H$2:$H$1295,MATCH($D25,Hierarchy!$A$2:$A$1295,0))="","",INDEX(Hierarchy!$H$2:$H$1295,MATCH($D25,Hierarchy!$A$2:$A$1295,0))),"NODE NOT FOUND"))</f>
        <v>Alaska</v>
      </c>
      <c r="L25" s="7" t="str">
        <f aca="false">IF($D25="","",IFERROR(IF(INDEX(Hierarchy!$I$2:$I$1295,MATCH($D25,Hierarchy!$A$2:$A$1295,0))="","",INDEX(Hierarchy!$I$2:$I$1295,MATCH($D25,Hierarchy!$A$2:$A$1295,0))),"NODE NOT FOUND"))</f>
        <v/>
      </c>
      <c r="M25" s="17" t="str">
        <f aca="false">IF(B25="Pre-seeded","Pre-seeded",IF(B25="Review 2026-09-16","Added from review",IF(C25="","New",IF(C25=D25,"","Changed"))))</f>
        <v/>
      </c>
      <c r="N25" s="7" t="str">
        <f aca="false">TRIM(SUBSTITUTE(SUBSTITUTE(SUBSTITUTE(" "&amp;TRIM(SUBSTITUTE(SUBSTITUTE(SUBSTITUTE(SUBSTITUTE(SUBSTITUTE(SUBSTITUTE(SUBSTITUTE(SUBSTITUTE(SUBSTITUTE(SUBSTITUTE(SUBSTITUTE(SUBSTITUTE(SUBSTITUTE(SUBSTITUTE(SUBSTITUTE(UPPER(TRIM(A25)),"[MEMBER]",""),"{MEMBER}",""),"[MEMBER}",""),"MEMBER]",""),"(A)",""),"""",""),"“",""),"”",""),".",""),":",""),",",""),"–"," "),"-"," "),"/"," "),"&amp;"," AND "))&amp;" "," THE "," ")," TOTAL "," ")," OPERATIONS "," "))</f>
        <v>ALASKA</v>
      </c>
      <c r="O25" s="17" t="str">
        <f aca="false">IF(COUNTIFS($N$2:$N$2000,N25,$D$2:$D$2000,"&lt;&gt;"&amp;D25)&gt;0,"CONFLICT","")</f>
        <v/>
      </c>
      <c r="P25" s="7"/>
    </row>
    <row r="26" customFormat="false" ht="15" hidden="false" customHeight="false" outlineLevel="0" collapsed="false">
      <c r="A26" s="7" t="s">
        <v>1890</v>
      </c>
      <c r="B26" s="7" t="s">
        <v>1885</v>
      </c>
      <c r="C26" s="7" t="s">
        <v>129</v>
      </c>
      <c r="D26" s="6" t="s">
        <v>81</v>
      </c>
      <c r="E26" s="6" t="s">
        <v>1891</v>
      </c>
      <c r="F26" s="7" t="str">
        <f aca="false">IF($D26="","",IFERROR(IF(INDEX(Hierarchy!$B$2:$B$1295,MATCH($D26,Hierarchy!$A$2:$A$1295,0))="","",INDEX(Hierarchy!$B$2:$B$1295,MATCH($D26,Hierarchy!$A$2:$A$1295,0))),"NODE NOT FOUND"))</f>
        <v>Country</v>
      </c>
      <c r="G26" s="7" t="str">
        <f aca="false">IF($D26="","",IFERROR(IF(INDEX(Hierarchy!$D$2:$D$1295,MATCH($D26,Hierarchy!$A$2:$A$1295,0))="","",INDEX(Hierarchy!$D$2:$D$1295,MATCH($D26,Hierarchy!$A$2:$A$1295,0))),"NODE NOT FOUND"))</f>
        <v>AMER</v>
      </c>
      <c r="H26" s="7" t="str">
        <f aca="false">IF($D26="","",IFERROR(IF(INDEX(Hierarchy!$E$2:$E$1295,MATCH($D26,Hierarchy!$A$2:$A$1295,0))="","",INDEX(Hierarchy!$E$2:$E$1295,MATCH($D26,Hierarchy!$A$2:$A$1295,0))),"NODE NOT FOUND"))</f>
        <v>North America (NORAM)</v>
      </c>
      <c r="I26" s="7" t="str">
        <f aca="false">IF($D26="","",IFERROR(IF(INDEX(Hierarchy!$F$2:$F$1295,MATCH($D26,Hierarchy!$A$2:$A$1295,0))="","",INDEX(Hierarchy!$F$2:$F$1295,MATCH($D26,Hierarchy!$A$2:$A$1295,0))),"NODE NOT FOUND"))</f>
        <v>United States</v>
      </c>
      <c r="J26" s="7" t="str">
        <f aca="false">IF($D26="","",IFERROR(IF(INDEX(Hierarchy!$G$2:$G$1295,MATCH($D26,Hierarchy!$A$2:$A$1295,0))="","",INDEX(Hierarchy!$G$2:$G$1295,MATCH($D26,Hierarchy!$A$2:$A$1295,0))),"NODE NOT FOUND"))</f>
        <v>USA</v>
      </c>
      <c r="K26" s="7" t="str">
        <f aca="false">IF($D26="","",IFERROR(IF(INDEX(Hierarchy!$H$2:$H$1295,MATCH($D26,Hierarchy!$A$2:$A$1295,0))="","",INDEX(Hierarchy!$H$2:$H$1295,MATCH($D26,Hierarchy!$A$2:$A$1295,0))),"NODE NOT FOUND"))</f>
        <v/>
      </c>
      <c r="L26" s="7" t="str">
        <f aca="false">IF($D26="","",IFERROR(IF(INDEX(Hierarchy!$I$2:$I$1295,MATCH($D26,Hierarchy!$A$2:$A$1295,0))="","",INDEX(Hierarchy!$I$2:$I$1295,MATCH($D26,Hierarchy!$A$2:$A$1295,0))),"NODE NOT FOUND"))</f>
        <v/>
      </c>
      <c r="M26" s="17" t="str">
        <f aca="false">IF(B26="Pre-seeded","Pre-seeded",IF(B26="Review 2026-09-16","Added from review",IF(C26="","New",IF(C26=D26,"","Changed"))))</f>
        <v>Changed</v>
      </c>
      <c r="N26" s="7" t="str">
        <f aca="false">TRIM(SUBSTITUTE(SUBSTITUTE(SUBSTITUTE(" "&amp;TRIM(SUBSTITUTE(SUBSTITUTE(SUBSTITUTE(SUBSTITUTE(SUBSTITUTE(SUBSTITUTE(SUBSTITUTE(SUBSTITUTE(SUBSTITUTE(SUBSTITUTE(SUBSTITUTE(SUBSTITUTE(SUBSTITUTE(SUBSTITUTE(SUBSTITUTE(UPPER(TRIM(A26)),"[MEMBER]",""),"{MEMBER}",""),"[MEMBER}",""),"MEMBER]",""),"(A)",""),"""",""),"“",""),"”",""),".",""),":",""),",",""),"–"," "),"-"," "),"/"," "),"&amp;"," AND "))&amp;" "," THE "," ")," TOTAL "," ")," OPERATIONS "," "))</f>
        <v>ALASKA AND HAWAII</v>
      </c>
      <c r="O26" s="17" t="str">
        <f aca="false">IF(COUNTIFS($N$2:$N$2000,N26,$D$2:$D$2000,"&lt;&gt;"&amp;D26)&gt;0,"CONFLICT","")</f>
        <v/>
      </c>
      <c r="P26" s="7" t="s">
        <v>1892</v>
      </c>
    </row>
    <row r="27" customFormat="false" ht="15" hidden="false" customHeight="false" outlineLevel="0" collapsed="false">
      <c r="A27" s="7" t="s">
        <v>735</v>
      </c>
      <c r="B27" s="7" t="s">
        <v>1879</v>
      </c>
      <c r="C27" s="7"/>
      <c r="D27" s="6" t="s">
        <v>735</v>
      </c>
      <c r="E27" s="6" t="s">
        <v>1880</v>
      </c>
      <c r="F27" s="7" t="str">
        <f aca="false">IF($D27="","",IFERROR(IF(INDEX(Hierarchy!$B$2:$B$1295,MATCH($D27,Hierarchy!$A$2:$A$1295,0))="","",INDEX(Hierarchy!$B$2:$B$1295,MATCH($D27,Hierarchy!$A$2:$A$1295,0))),"NODE NOT FOUND"))</f>
        <v>Country</v>
      </c>
      <c r="G27" s="7" t="str">
        <f aca="false">IF($D27="","",IFERROR(IF(INDEX(Hierarchy!$D$2:$D$1295,MATCH($D27,Hierarchy!$A$2:$A$1295,0))="","",INDEX(Hierarchy!$D$2:$D$1295,MATCH($D27,Hierarchy!$A$2:$A$1295,0))),"NODE NOT FOUND"))</f>
        <v>EMEA</v>
      </c>
      <c r="H27" s="7" t="str">
        <f aca="false">IF($D27="","",IFERROR(IF(INDEX(Hierarchy!$E$2:$E$1295,MATCH($D27,Hierarchy!$A$2:$A$1295,0))="","",INDEX(Hierarchy!$E$2:$E$1295,MATCH($D27,Hierarchy!$A$2:$A$1295,0))),"NODE NOT FOUND"))</f>
        <v>Europe</v>
      </c>
      <c r="I27" s="7" t="str">
        <f aca="false">IF($D27="","",IFERROR(IF(INDEX(Hierarchy!$F$2:$F$1295,MATCH($D27,Hierarchy!$A$2:$A$1295,0))="","",INDEX(Hierarchy!$F$2:$F$1295,MATCH($D27,Hierarchy!$A$2:$A$1295,0))),"NODE NOT FOUND"))</f>
        <v>Albania</v>
      </c>
      <c r="J27" s="7" t="str">
        <f aca="false">IF($D27="","",IFERROR(IF(INDEX(Hierarchy!$G$2:$G$1295,MATCH($D27,Hierarchy!$A$2:$A$1295,0))="","",INDEX(Hierarchy!$G$2:$G$1295,MATCH($D27,Hierarchy!$A$2:$A$1295,0))),"NODE NOT FOUND"))</f>
        <v>ALB</v>
      </c>
      <c r="K27" s="7" t="str">
        <f aca="false">IF($D27="","",IFERROR(IF(INDEX(Hierarchy!$H$2:$H$1295,MATCH($D27,Hierarchy!$A$2:$A$1295,0))="","",INDEX(Hierarchy!$H$2:$H$1295,MATCH($D27,Hierarchy!$A$2:$A$1295,0))),"NODE NOT FOUND"))</f>
        <v/>
      </c>
      <c r="L27" s="7" t="str">
        <f aca="false">IF($D27="","",IFERROR(IF(INDEX(Hierarchy!$I$2:$I$1295,MATCH($D27,Hierarchy!$A$2:$A$1295,0))="","",INDEX(Hierarchy!$I$2:$I$1295,MATCH($D27,Hierarchy!$A$2:$A$1295,0))),"NODE NOT FOUND"))</f>
        <v/>
      </c>
      <c r="M27" s="17" t="str">
        <f aca="false">IF(B27="Pre-seeded","Pre-seeded",IF(B27="Review 2026-09-16","Added from review",IF(C27="","New",IF(C27=D27,"","Changed"))))</f>
        <v>Pre-seeded</v>
      </c>
      <c r="N27" s="7" t="str">
        <f aca="false">TRIM(SUBSTITUTE(SUBSTITUTE(SUBSTITUTE(" "&amp;TRIM(SUBSTITUTE(SUBSTITUTE(SUBSTITUTE(SUBSTITUTE(SUBSTITUTE(SUBSTITUTE(SUBSTITUTE(SUBSTITUTE(SUBSTITUTE(SUBSTITUTE(SUBSTITUTE(SUBSTITUTE(SUBSTITUTE(SUBSTITUTE(SUBSTITUTE(UPPER(TRIM(A27)),"[MEMBER]",""),"{MEMBER}",""),"[MEMBER}",""),"MEMBER]",""),"(A)",""),"""",""),"“",""),"”",""),".",""),":",""),",",""),"–"," "),"-"," "),"/"," "),"&amp;"," AND "))&amp;" "," THE "," ")," TOTAL "," ")," OPERATIONS "," "))</f>
        <v>ALBANIA</v>
      </c>
      <c r="O27" s="17" t="str">
        <f aca="false">IF(COUNTIFS($N$2:$N$2000,N27,$D$2:$D$2000,"&lt;&gt;"&amp;D27)&gt;0,"CONFLICT","")</f>
        <v/>
      </c>
      <c r="P27" s="7"/>
    </row>
    <row r="28" customFormat="false" ht="15" hidden="false" customHeight="false" outlineLevel="0" collapsed="false">
      <c r="A28" s="7" t="s">
        <v>279</v>
      </c>
      <c r="B28" s="7" t="s">
        <v>1879</v>
      </c>
      <c r="C28" s="7"/>
      <c r="D28" s="6" t="s">
        <v>279</v>
      </c>
      <c r="E28" s="6" t="s">
        <v>1880</v>
      </c>
      <c r="F28" s="7" t="str">
        <f aca="false">IF($D28="","",IFERROR(IF(INDEX(Hierarchy!$B$2:$B$1295,MATCH($D28,Hierarchy!$A$2:$A$1295,0))="","",INDEX(Hierarchy!$B$2:$B$1295,MATCH($D28,Hierarchy!$A$2:$A$1295,0))),"NODE NOT FOUND"))</f>
        <v>State/Province</v>
      </c>
      <c r="G28" s="7" t="str">
        <f aca="false">IF($D28="","",IFERROR(IF(INDEX(Hierarchy!$D$2:$D$1295,MATCH($D28,Hierarchy!$A$2:$A$1295,0))="","",INDEX(Hierarchy!$D$2:$D$1295,MATCH($D28,Hierarchy!$A$2:$A$1295,0))),"NODE NOT FOUND"))</f>
        <v>AMER</v>
      </c>
      <c r="H28" s="7" t="str">
        <f aca="false">IF($D28="","",IFERROR(IF(INDEX(Hierarchy!$E$2:$E$1295,MATCH($D28,Hierarchy!$A$2:$A$1295,0))="","",INDEX(Hierarchy!$E$2:$E$1295,MATCH($D28,Hierarchy!$A$2:$A$1295,0))),"NODE NOT FOUND"))</f>
        <v>North America (NORAM)</v>
      </c>
      <c r="I28" s="7" t="str">
        <f aca="false">IF($D28="","",IFERROR(IF(INDEX(Hierarchy!$F$2:$F$1295,MATCH($D28,Hierarchy!$A$2:$A$1295,0))="","",INDEX(Hierarchy!$F$2:$F$1295,MATCH($D28,Hierarchy!$A$2:$A$1295,0))),"NODE NOT FOUND"))</f>
        <v>Canada</v>
      </c>
      <c r="J28" s="7" t="str">
        <f aca="false">IF($D28="","",IFERROR(IF(INDEX(Hierarchy!$G$2:$G$1295,MATCH($D28,Hierarchy!$A$2:$A$1295,0))="","",INDEX(Hierarchy!$G$2:$G$1295,MATCH($D28,Hierarchy!$A$2:$A$1295,0))),"NODE NOT FOUND"))</f>
        <v>CAN</v>
      </c>
      <c r="K28" s="7" t="str">
        <f aca="false">IF($D28="","",IFERROR(IF(INDEX(Hierarchy!$H$2:$H$1295,MATCH($D28,Hierarchy!$A$2:$A$1295,0))="","",INDEX(Hierarchy!$H$2:$H$1295,MATCH($D28,Hierarchy!$A$2:$A$1295,0))),"NODE NOT FOUND"))</f>
        <v>Alberta</v>
      </c>
      <c r="L28" s="7" t="str">
        <f aca="false">IF($D28="","",IFERROR(IF(INDEX(Hierarchy!$I$2:$I$1295,MATCH($D28,Hierarchy!$A$2:$A$1295,0))="","",INDEX(Hierarchy!$I$2:$I$1295,MATCH($D28,Hierarchy!$A$2:$A$1295,0))),"NODE NOT FOUND"))</f>
        <v/>
      </c>
      <c r="M28" s="17" t="str">
        <f aca="false">IF(B28="Pre-seeded","Pre-seeded",IF(B28="Review 2026-09-16","Added from review",IF(C28="","New",IF(C28=D28,"","Changed"))))</f>
        <v>Pre-seeded</v>
      </c>
      <c r="N28" s="7" t="str">
        <f aca="false">TRIM(SUBSTITUTE(SUBSTITUTE(SUBSTITUTE(" "&amp;TRIM(SUBSTITUTE(SUBSTITUTE(SUBSTITUTE(SUBSTITUTE(SUBSTITUTE(SUBSTITUTE(SUBSTITUTE(SUBSTITUTE(SUBSTITUTE(SUBSTITUTE(SUBSTITUTE(SUBSTITUTE(SUBSTITUTE(SUBSTITUTE(SUBSTITUTE(UPPER(TRIM(A28)),"[MEMBER]",""),"{MEMBER}",""),"[MEMBER}",""),"MEMBER]",""),"(A)",""),"""",""),"“",""),"”",""),".",""),":",""),",",""),"–"," "),"-"," "),"/"," "),"&amp;"," AND "))&amp;" "," THE "," ")," TOTAL "," ")," OPERATIONS "," "))</f>
        <v>ALBERTA</v>
      </c>
      <c r="O28" s="17" t="str">
        <f aca="false">IF(COUNTIFS($N$2:$N$2000,N28,$D$2:$D$2000,"&lt;&gt;"&amp;D28)&gt;0,"CONFLICT","")</f>
        <v/>
      </c>
      <c r="P28" s="7"/>
    </row>
    <row r="29" customFormat="false" ht="15" hidden="false" customHeight="false" outlineLevel="0" collapsed="false">
      <c r="A29" s="7" t="s">
        <v>1170</v>
      </c>
      <c r="B29" s="7" t="s">
        <v>1879</v>
      </c>
      <c r="C29" s="7"/>
      <c r="D29" s="6" t="s">
        <v>1170</v>
      </c>
      <c r="E29" s="6" t="s">
        <v>1880</v>
      </c>
      <c r="F29" s="7" t="str">
        <f aca="false">IF($D29="","",IFERROR(IF(INDEX(Hierarchy!$B$2:$B$1295,MATCH($D29,Hierarchy!$A$2:$A$1295,0))="","",INDEX(Hierarchy!$B$2:$B$1295,MATCH($D29,Hierarchy!$A$2:$A$1295,0))),"NODE NOT FOUND"))</f>
        <v>Country</v>
      </c>
      <c r="G29" s="7" t="str">
        <f aca="false">IF($D29="","",IFERROR(IF(INDEX(Hierarchy!$D$2:$D$1295,MATCH($D29,Hierarchy!$A$2:$A$1295,0))="","",INDEX(Hierarchy!$D$2:$D$1295,MATCH($D29,Hierarchy!$A$2:$A$1295,0))),"NODE NOT FOUND"))</f>
        <v>EMEA</v>
      </c>
      <c r="H29" s="7" t="str">
        <f aca="false">IF($D29="","",IFERROR(IF(INDEX(Hierarchy!$E$2:$E$1295,MATCH($D29,Hierarchy!$A$2:$A$1295,0))="","",INDEX(Hierarchy!$E$2:$E$1295,MATCH($D29,Hierarchy!$A$2:$A$1295,0))),"NODE NOT FOUND"))</f>
        <v>Africa</v>
      </c>
      <c r="I29" s="7" t="str">
        <f aca="false">IF($D29="","",IFERROR(IF(INDEX(Hierarchy!$F$2:$F$1295,MATCH($D29,Hierarchy!$A$2:$A$1295,0))="","",INDEX(Hierarchy!$F$2:$F$1295,MATCH($D29,Hierarchy!$A$2:$A$1295,0))),"NODE NOT FOUND"))</f>
        <v>Algeria</v>
      </c>
      <c r="J29" s="7" t="str">
        <f aca="false">IF($D29="","",IFERROR(IF(INDEX(Hierarchy!$G$2:$G$1295,MATCH($D29,Hierarchy!$A$2:$A$1295,0))="","",INDEX(Hierarchy!$G$2:$G$1295,MATCH($D29,Hierarchy!$A$2:$A$1295,0))),"NODE NOT FOUND"))</f>
        <v>DZA</v>
      </c>
      <c r="K29" s="7" t="str">
        <f aca="false">IF($D29="","",IFERROR(IF(INDEX(Hierarchy!$H$2:$H$1295,MATCH($D29,Hierarchy!$A$2:$A$1295,0))="","",INDEX(Hierarchy!$H$2:$H$1295,MATCH($D29,Hierarchy!$A$2:$A$1295,0))),"NODE NOT FOUND"))</f>
        <v/>
      </c>
      <c r="L29" s="7" t="str">
        <f aca="false">IF($D29="","",IFERROR(IF(INDEX(Hierarchy!$I$2:$I$1295,MATCH($D29,Hierarchy!$A$2:$A$1295,0))="","",INDEX(Hierarchy!$I$2:$I$1295,MATCH($D29,Hierarchy!$A$2:$A$1295,0))),"NODE NOT FOUND"))</f>
        <v/>
      </c>
      <c r="M29" s="17" t="str">
        <f aca="false">IF(B29="Pre-seeded","Pre-seeded",IF(B29="Review 2026-09-16","Added from review",IF(C29="","New",IF(C29=D29,"","Changed"))))</f>
        <v>Pre-seeded</v>
      </c>
      <c r="N29" s="7" t="str">
        <f aca="false">TRIM(SUBSTITUTE(SUBSTITUTE(SUBSTITUTE(" "&amp;TRIM(SUBSTITUTE(SUBSTITUTE(SUBSTITUTE(SUBSTITUTE(SUBSTITUTE(SUBSTITUTE(SUBSTITUTE(SUBSTITUTE(SUBSTITUTE(SUBSTITUTE(SUBSTITUTE(SUBSTITUTE(SUBSTITUTE(SUBSTITUTE(SUBSTITUTE(UPPER(TRIM(A29)),"[MEMBER]",""),"{MEMBER}",""),"[MEMBER}",""),"MEMBER]",""),"(A)",""),"""",""),"“",""),"”",""),".",""),":",""),",",""),"–"," "),"-"," "),"/"," "),"&amp;"," AND "))&amp;" "," THE "," ")," TOTAL "," ")," OPERATIONS "," "))</f>
        <v>ALGERIA</v>
      </c>
      <c r="O29" s="17" t="str">
        <f aca="false">IF(COUNTIFS($N$2:$N$2000,N29,$D$2:$D$2000,"&lt;&gt;"&amp;D29)&gt;0,"CONFLICT","")</f>
        <v/>
      </c>
      <c r="P29" s="7"/>
    </row>
    <row r="30" customFormat="false" ht="15" hidden="false" customHeight="false" outlineLevel="0" collapsed="false">
      <c r="A30" s="7" t="s">
        <v>1893</v>
      </c>
      <c r="B30" s="7" t="s">
        <v>1885</v>
      </c>
      <c r="C30" s="7" t="s">
        <v>1894</v>
      </c>
      <c r="D30" s="6" t="s">
        <v>1784</v>
      </c>
      <c r="E30" s="6" t="s">
        <v>1880</v>
      </c>
      <c r="F30" s="7" t="str">
        <f aca="false">IF($D30="","",IFERROR(IF(INDEX(Hierarchy!$B$2:$B$1295,MATCH($D30,Hierarchy!$A$2:$A$1295,0))="","",INDEX(Hierarchy!$B$2:$B$1295,MATCH($D30,Hierarchy!$A$2:$A$1295,0))),"NODE NOT FOUND"))</f>
        <v>Bucket</v>
      </c>
      <c r="G30" s="7" t="str">
        <f aca="false">IF($D30="","",IFERROR(IF(INDEX(Hierarchy!$D$2:$D$1295,MATCH($D30,Hierarchy!$A$2:$A$1295,0))="","",INDEX(Hierarchy!$D$2:$D$1295,MATCH($D30,Hierarchy!$A$2:$A$1295,0))),"NODE NOT FOUND"))</f>
        <v>Non-regional</v>
      </c>
      <c r="H30" s="7" t="str">
        <f aca="false">IF($D30="","",IFERROR(IF(INDEX(Hierarchy!$E$2:$E$1295,MATCH($D30,Hierarchy!$A$2:$A$1295,0))="","",INDEX(Hierarchy!$E$2:$E$1295,MATCH($D30,Hierarchy!$A$2:$A$1295,0))),"NODE NOT FOUND"))</f>
        <v/>
      </c>
      <c r="I30" s="7" t="str">
        <f aca="false">IF($D30="","",IFERROR(IF(INDEX(Hierarchy!$F$2:$F$1295,MATCH($D30,Hierarchy!$A$2:$A$1295,0))="","",INDEX(Hierarchy!$F$2:$F$1295,MATCH($D30,Hierarchy!$A$2:$A$1295,0))),"NODE NOT FOUND"))</f>
        <v/>
      </c>
      <c r="J30" s="7" t="str">
        <f aca="false">IF($D30="","",IFERROR(IF(INDEX(Hierarchy!$G$2:$G$1295,MATCH($D30,Hierarchy!$A$2:$A$1295,0))="","",INDEX(Hierarchy!$G$2:$G$1295,MATCH($D30,Hierarchy!$A$2:$A$1295,0))),"NODE NOT FOUND"))</f>
        <v/>
      </c>
      <c r="K30" s="7" t="str">
        <f aca="false">IF($D30="","",IFERROR(IF(INDEX(Hierarchy!$H$2:$H$1295,MATCH($D30,Hierarchy!$A$2:$A$1295,0))="","",INDEX(Hierarchy!$H$2:$H$1295,MATCH($D30,Hierarchy!$A$2:$A$1295,0))),"NODE NOT FOUND"))</f>
        <v/>
      </c>
      <c r="L30" s="7" t="str">
        <f aca="false">IF($D30="","",IFERROR(IF(INDEX(Hierarchy!$I$2:$I$1295,MATCH($D30,Hierarchy!$A$2:$A$1295,0))="","",INDEX(Hierarchy!$I$2:$I$1295,MATCH($D30,Hierarchy!$A$2:$A$1295,0))),"NODE NOT FOUND"))</f>
        <v/>
      </c>
      <c r="M30" s="17" t="str">
        <f aca="false">IF(B30="Pre-seeded","Pre-seeded",IF(B30="Review 2026-09-16","Added from review",IF(C30="","New",IF(C30=D30,"","Changed"))))</f>
        <v>Changed</v>
      </c>
      <c r="N30" s="7" t="str">
        <f aca="false">TRIM(SUBSTITUTE(SUBSTITUTE(SUBSTITUTE(" "&amp;TRIM(SUBSTITUTE(SUBSTITUTE(SUBSTITUTE(SUBSTITUTE(SUBSTITUTE(SUBSTITUTE(SUBSTITUTE(SUBSTITUTE(SUBSTITUTE(SUBSTITUTE(SUBSTITUTE(SUBSTITUTE(SUBSTITUTE(SUBSTITUTE(SUBSTITUTE(UPPER(TRIM(A30)),"[MEMBER]",""),"{MEMBER}",""),"[MEMBER}",""),"MEMBER]",""),"(A)",""),"""",""),"“",""),"”",""),".",""),":",""),",",""),"–"," "),"-"," "),"/"," "),"&amp;"," AND "))&amp;" "," THE "," ")," TOTAL "," ")," OPERATIONS "," "))</f>
        <v>ALL FOREIGN COUNTRIES</v>
      </c>
      <c r="O30" s="17" t="str">
        <f aca="false">IF(COUNTIFS($N$2:$N$2000,N30,$D$2:$D$2000,"&lt;&gt;"&amp;D30)&gt;0,"CONFLICT","")</f>
        <v/>
      </c>
      <c r="P30" s="7" t="s">
        <v>1895</v>
      </c>
    </row>
    <row r="31" customFormat="false" ht="15" hidden="false" customHeight="false" outlineLevel="0" collapsed="false">
      <c r="A31" s="7" t="s">
        <v>1896</v>
      </c>
      <c r="B31" s="7" t="s">
        <v>1885</v>
      </c>
      <c r="C31" s="7" t="s">
        <v>1784</v>
      </c>
      <c r="D31" s="6" t="s">
        <v>1784</v>
      </c>
      <c r="E31" s="6" t="s">
        <v>1880</v>
      </c>
      <c r="F31" s="7" t="str">
        <f aca="false">IF($D31="","",IFERROR(IF(INDEX(Hierarchy!$B$2:$B$1295,MATCH($D31,Hierarchy!$A$2:$A$1295,0))="","",INDEX(Hierarchy!$B$2:$B$1295,MATCH($D31,Hierarchy!$A$2:$A$1295,0))),"NODE NOT FOUND"))</f>
        <v>Bucket</v>
      </c>
      <c r="G31" s="7" t="str">
        <f aca="false">IF($D31="","",IFERROR(IF(INDEX(Hierarchy!$D$2:$D$1295,MATCH($D31,Hierarchy!$A$2:$A$1295,0))="","",INDEX(Hierarchy!$D$2:$D$1295,MATCH($D31,Hierarchy!$A$2:$A$1295,0))),"NODE NOT FOUND"))</f>
        <v>Non-regional</v>
      </c>
      <c r="H31" s="7" t="str">
        <f aca="false">IF($D31="","",IFERROR(IF(INDEX(Hierarchy!$E$2:$E$1295,MATCH($D31,Hierarchy!$A$2:$A$1295,0))="","",INDEX(Hierarchy!$E$2:$E$1295,MATCH($D31,Hierarchy!$A$2:$A$1295,0))),"NODE NOT FOUND"))</f>
        <v/>
      </c>
      <c r="I31" s="7" t="str">
        <f aca="false">IF($D31="","",IFERROR(IF(INDEX(Hierarchy!$F$2:$F$1295,MATCH($D31,Hierarchy!$A$2:$A$1295,0))="","",INDEX(Hierarchy!$F$2:$F$1295,MATCH($D31,Hierarchy!$A$2:$A$1295,0))),"NODE NOT FOUND"))</f>
        <v/>
      </c>
      <c r="J31" s="7" t="str">
        <f aca="false">IF($D31="","",IFERROR(IF(INDEX(Hierarchy!$G$2:$G$1295,MATCH($D31,Hierarchy!$A$2:$A$1295,0))="","",INDEX(Hierarchy!$G$2:$G$1295,MATCH($D31,Hierarchy!$A$2:$A$1295,0))),"NODE NOT FOUND"))</f>
        <v/>
      </c>
      <c r="K31" s="7" t="str">
        <f aca="false">IF($D31="","",IFERROR(IF(INDEX(Hierarchy!$H$2:$H$1295,MATCH($D31,Hierarchy!$A$2:$A$1295,0))="","",INDEX(Hierarchy!$H$2:$H$1295,MATCH($D31,Hierarchy!$A$2:$A$1295,0))),"NODE NOT FOUND"))</f>
        <v/>
      </c>
      <c r="L31" s="7" t="str">
        <f aca="false">IF($D31="","",IFERROR(IF(INDEX(Hierarchy!$I$2:$I$1295,MATCH($D31,Hierarchy!$A$2:$A$1295,0))="","",INDEX(Hierarchy!$I$2:$I$1295,MATCH($D31,Hierarchy!$A$2:$A$1295,0))),"NODE NOT FOUND"))</f>
        <v/>
      </c>
      <c r="M31" s="17" t="str">
        <f aca="false">IF(B31="Pre-seeded","Pre-seeded",IF(B31="Review 2026-09-16","Added from review",IF(C31="","New",IF(C31=D31,"","Changed"))))</f>
        <v/>
      </c>
      <c r="N31" s="7" t="str">
        <f aca="false">TRIM(SUBSTITUTE(SUBSTITUTE(SUBSTITUTE(" "&amp;TRIM(SUBSTITUTE(SUBSTITUTE(SUBSTITUTE(SUBSTITUTE(SUBSTITUTE(SUBSTITUTE(SUBSTITUTE(SUBSTITUTE(SUBSTITUTE(SUBSTITUTE(SUBSTITUTE(SUBSTITUTE(SUBSTITUTE(SUBSTITUTE(SUBSTITUTE(UPPER(TRIM(A31)),"[MEMBER]",""),"{MEMBER}",""),"[MEMBER}",""),"MEMBER]",""),"(A)",""),"""",""),"“",""),"”",""),".",""),":",""),",",""),"–"," "),"-"," "),"/"," "),"&amp;"," AND "))&amp;" "," THE "," ")," TOTAL "," ")," OPERATIONS "," "))</f>
        <v>ALL INTERNATIONAL</v>
      </c>
      <c r="O31" s="17" t="str">
        <f aca="false">IF(COUNTIFS($N$2:$N$2000,N31,$D$2:$D$2000,"&lt;&gt;"&amp;D31)&gt;0,"CONFLICT","")</f>
        <v/>
      </c>
      <c r="P31" s="7"/>
    </row>
    <row r="32" customFormat="false" ht="15" hidden="false" customHeight="false" outlineLevel="0" collapsed="false">
      <c r="A32" s="7" t="s">
        <v>1897</v>
      </c>
      <c r="B32" s="7" t="s">
        <v>1885</v>
      </c>
      <c r="C32" s="7" t="s">
        <v>1791</v>
      </c>
      <c r="D32" s="6" t="s">
        <v>1791</v>
      </c>
      <c r="E32" s="6" t="s">
        <v>1898</v>
      </c>
      <c r="F32" s="7" t="str">
        <f aca="false">IF($D32="","",IFERROR(IF(INDEX(Hierarchy!$B$2:$B$1295,MATCH($D32,Hierarchy!$A$2:$A$1295,0))="","",INDEX(Hierarchy!$B$2:$B$1295,MATCH($D32,Hierarchy!$A$2:$A$1295,0))),"NODE NOT FOUND"))</f>
        <v>Bucket</v>
      </c>
      <c r="G32" s="7" t="str">
        <f aca="false">IF($D32="","",IFERROR(IF(INDEX(Hierarchy!$D$2:$D$1295,MATCH($D32,Hierarchy!$A$2:$A$1295,0))="","",INDEX(Hierarchy!$D$2:$D$1295,MATCH($D32,Hierarchy!$A$2:$A$1295,0))),"NODE NOT FOUND"))</f>
        <v>Non-regional</v>
      </c>
      <c r="H32" s="7" t="str">
        <f aca="false">IF($D32="","",IFERROR(IF(INDEX(Hierarchy!$E$2:$E$1295,MATCH($D32,Hierarchy!$A$2:$A$1295,0))="","",INDEX(Hierarchy!$E$2:$E$1295,MATCH($D32,Hierarchy!$A$2:$A$1295,0))),"NODE NOT FOUND"))</f>
        <v/>
      </c>
      <c r="I32" s="7" t="str">
        <f aca="false">IF($D32="","",IFERROR(IF(INDEX(Hierarchy!$F$2:$F$1295,MATCH($D32,Hierarchy!$A$2:$A$1295,0))="","",INDEX(Hierarchy!$F$2:$F$1295,MATCH($D32,Hierarchy!$A$2:$A$1295,0))),"NODE NOT FOUND"))</f>
        <v/>
      </c>
      <c r="J32" s="7" t="str">
        <f aca="false">IF($D32="","",IFERROR(IF(INDEX(Hierarchy!$G$2:$G$1295,MATCH($D32,Hierarchy!$A$2:$A$1295,0))="","",INDEX(Hierarchy!$G$2:$G$1295,MATCH($D32,Hierarchy!$A$2:$A$1295,0))),"NODE NOT FOUND"))</f>
        <v/>
      </c>
      <c r="K32" s="7" t="str">
        <f aca="false">IF($D32="","",IFERROR(IF(INDEX(Hierarchy!$H$2:$H$1295,MATCH($D32,Hierarchy!$A$2:$A$1295,0))="","",INDEX(Hierarchy!$H$2:$H$1295,MATCH($D32,Hierarchy!$A$2:$A$1295,0))),"NODE NOT FOUND"))</f>
        <v/>
      </c>
      <c r="L32" s="7" t="str">
        <f aca="false">IF($D32="","",IFERROR(IF(INDEX(Hierarchy!$I$2:$I$1295,MATCH($D32,Hierarchy!$A$2:$A$1295,0))="","",INDEX(Hierarchy!$I$2:$I$1295,MATCH($D32,Hierarchy!$A$2:$A$1295,0))),"NODE NOT FOUND"))</f>
        <v/>
      </c>
      <c r="M32" s="17" t="str">
        <f aca="false">IF(B32="Pre-seeded","Pre-seeded",IF(B32="Review 2026-09-16","Added from review",IF(C32="","New",IF(C32=D32,"","Changed"))))</f>
        <v/>
      </c>
      <c r="N32" s="7" t="str">
        <f aca="false">TRIM(SUBSTITUTE(SUBSTITUTE(SUBSTITUTE(" "&amp;TRIM(SUBSTITUTE(SUBSTITUTE(SUBSTITUTE(SUBSTITUTE(SUBSTITUTE(SUBSTITUTE(SUBSTITUTE(SUBSTITUTE(SUBSTITUTE(SUBSTITUTE(SUBSTITUTE(SUBSTITUTE(SUBSTITUTE(SUBSTITUTE(SUBSTITUTE(UPPER(TRIM(A32)),"[MEMBER]",""),"{MEMBER}",""),"[MEMBER}",""),"MEMBER]",""),"(A)",""),"""",""),"“",""),"”",""),".",""),":",""),",",""),"–"," "),"-"," "),"/"," "),"&amp;"," AND "))&amp;" "," THE "," ")," TOTAL "," ")," OPERATIONS "," "))</f>
        <v>ALL OTHER</v>
      </c>
      <c r="O32" s="17" t="str">
        <f aca="false">IF(COUNTIFS($N$2:$N$2000,N32,$D$2:$D$2000,"&lt;&gt;"&amp;D32)&gt;0,"CONFLICT","")</f>
        <v/>
      </c>
      <c r="P32" s="7"/>
    </row>
    <row r="33" customFormat="false" ht="15" hidden="false" customHeight="false" outlineLevel="0" collapsed="false">
      <c r="A33" s="7" t="s">
        <v>1899</v>
      </c>
      <c r="B33" s="7" t="s">
        <v>1885</v>
      </c>
      <c r="C33" s="7" t="s">
        <v>1791</v>
      </c>
      <c r="D33" s="6" t="s">
        <v>1791</v>
      </c>
      <c r="E33" s="6" t="s">
        <v>1898</v>
      </c>
      <c r="F33" s="7" t="str">
        <f aca="false">IF($D33="","",IFERROR(IF(INDEX(Hierarchy!$B$2:$B$1295,MATCH($D33,Hierarchy!$A$2:$A$1295,0))="","",INDEX(Hierarchy!$B$2:$B$1295,MATCH($D33,Hierarchy!$A$2:$A$1295,0))),"NODE NOT FOUND"))</f>
        <v>Bucket</v>
      </c>
      <c r="G33" s="7" t="str">
        <f aca="false">IF($D33="","",IFERROR(IF(INDEX(Hierarchy!$D$2:$D$1295,MATCH($D33,Hierarchy!$A$2:$A$1295,0))="","",INDEX(Hierarchy!$D$2:$D$1295,MATCH($D33,Hierarchy!$A$2:$A$1295,0))),"NODE NOT FOUND"))</f>
        <v>Non-regional</v>
      </c>
      <c r="H33" s="7" t="str">
        <f aca="false">IF($D33="","",IFERROR(IF(INDEX(Hierarchy!$E$2:$E$1295,MATCH($D33,Hierarchy!$A$2:$A$1295,0))="","",INDEX(Hierarchy!$E$2:$E$1295,MATCH($D33,Hierarchy!$A$2:$A$1295,0))),"NODE NOT FOUND"))</f>
        <v/>
      </c>
      <c r="I33" s="7" t="str">
        <f aca="false">IF($D33="","",IFERROR(IF(INDEX(Hierarchy!$F$2:$F$1295,MATCH($D33,Hierarchy!$A$2:$A$1295,0))="","",INDEX(Hierarchy!$F$2:$F$1295,MATCH($D33,Hierarchy!$A$2:$A$1295,0))),"NODE NOT FOUND"))</f>
        <v/>
      </c>
      <c r="J33" s="7" t="str">
        <f aca="false">IF($D33="","",IFERROR(IF(INDEX(Hierarchy!$G$2:$G$1295,MATCH($D33,Hierarchy!$A$2:$A$1295,0))="","",INDEX(Hierarchy!$G$2:$G$1295,MATCH($D33,Hierarchy!$A$2:$A$1295,0))),"NODE NOT FOUND"))</f>
        <v/>
      </c>
      <c r="K33" s="7" t="str">
        <f aca="false">IF($D33="","",IFERROR(IF(INDEX(Hierarchy!$H$2:$H$1295,MATCH($D33,Hierarchy!$A$2:$A$1295,0))="","",INDEX(Hierarchy!$H$2:$H$1295,MATCH($D33,Hierarchy!$A$2:$A$1295,0))),"NODE NOT FOUND"))</f>
        <v/>
      </c>
      <c r="L33" s="7" t="str">
        <f aca="false">IF($D33="","",IFERROR(IF(INDEX(Hierarchy!$I$2:$I$1295,MATCH($D33,Hierarchy!$A$2:$A$1295,0))="","",INDEX(Hierarchy!$I$2:$I$1295,MATCH($D33,Hierarchy!$A$2:$A$1295,0))),"NODE NOT FOUND"))</f>
        <v/>
      </c>
      <c r="M33" s="17" t="str">
        <f aca="false">IF(B33="Pre-seeded","Pre-seeded",IF(B33="Review 2026-09-16","Added from review",IF(C33="","New",IF(C33=D33,"","Changed"))))</f>
        <v/>
      </c>
      <c r="N33" s="7" t="str">
        <f aca="false">TRIM(SUBSTITUTE(SUBSTITUTE(SUBSTITUTE(" "&amp;TRIM(SUBSTITUTE(SUBSTITUTE(SUBSTITUTE(SUBSTITUTE(SUBSTITUTE(SUBSTITUTE(SUBSTITUTE(SUBSTITUTE(SUBSTITUTE(SUBSTITUTE(SUBSTITUTE(SUBSTITUTE(SUBSTITUTE(SUBSTITUTE(SUBSTITUTE(UPPER(TRIM(A33)),"[MEMBER]",""),"{MEMBER}",""),"[MEMBER}",""),"MEMBER]",""),"(A)",""),"""",""),"“",""),"”",""),".",""),":",""),",",""),"–"," "),"-"," "),"/"," "),"&amp;"," AND "))&amp;" "," THE "," ")," TOTAL "," ")," OPERATIONS "," "))</f>
        <v>ALL OTHER COUNTRIES</v>
      </c>
      <c r="O33" s="17" t="str">
        <f aca="false">IF(COUNTIFS($N$2:$N$2000,N33,$D$2:$D$2000,"&lt;&gt;"&amp;D33)&gt;0,"CONFLICT","")</f>
        <v/>
      </c>
      <c r="P33" s="7"/>
    </row>
    <row r="34" customFormat="false" ht="15" hidden="false" customHeight="false" outlineLevel="0" collapsed="false">
      <c r="A34" s="7" t="s">
        <v>1900</v>
      </c>
      <c r="B34" s="7" t="s">
        <v>1885</v>
      </c>
      <c r="C34" s="7" t="s">
        <v>1894</v>
      </c>
      <c r="D34" s="6" t="s">
        <v>1784</v>
      </c>
      <c r="E34" s="6" t="s">
        <v>1898</v>
      </c>
      <c r="F34" s="7" t="str">
        <f aca="false">IF($D34="","",IFERROR(IF(INDEX(Hierarchy!$B$2:$B$1295,MATCH($D34,Hierarchy!$A$2:$A$1295,0))="","",INDEX(Hierarchy!$B$2:$B$1295,MATCH($D34,Hierarchy!$A$2:$A$1295,0))),"NODE NOT FOUND"))</f>
        <v>Bucket</v>
      </c>
      <c r="G34" s="7" t="str">
        <f aca="false">IF($D34="","",IFERROR(IF(INDEX(Hierarchy!$D$2:$D$1295,MATCH($D34,Hierarchy!$A$2:$A$1295,0))="","",INDEX(Hierarchy!$D$2:$D$1295,MATCH($D34,Hierarchy!$A$2:$A$1295,0))),"NODE NOT FOUND"))</f>
        <v>Non-regional</v>
      </c>
      <c r="H34" s="7" t="str">
        <f aca="false">IF($D34="","",IFERROR(IF(INDEX(Hierarchy!$E$2:$E$1295,MATCH($D34,Hierarchy!$A$2:$A$1295,0))="","",INDEX(Hierarchy!$E$2:$E$1295,MATCH($D34,Hierarchy!$A$2:$A$1295,0))),"NODE NOT FOUND"))</f>
        <v/>
      </c>
      <c r="I34" s="7" t="str">
        <f aca="false">IF($D34="","",IFERROR(IF(INDEX(Hierarchy!$F$2:$F$1295,MATCH($D34,Hierarchy!$A$2:$A$1295,0))="","",INDEX(Hierarchy!$F$2:$F$1295,MATCH($D34,Hierarchy!$A$2:$A$1295,0))),"NODE NOT FOUND"))</f>
        <v/>
      </c>
      <c r="J34" s="7" t="str">
        <f aca="false">IF($D34="","",IFERROR(IF(INDEX(Hierarchy!$G$2:$G$1295,MATCH($D34,Hierarchy!$A$2:$A$1295,0))="","",INDEX(Hierarchy!$G$2:$G$1295,MATCH($D34,Hierarchy!$A$2:$A$1295,0))),"NODE NOT FOUND"))</f>
        <v/>
      </c>
      <c r="K34" s="7" t="str">
        <f aca="false">IF($D34="","",IFERROR(IF(INDEX(Hierarchy!$H$2:$H$1295,MATCH($D34,Hierarchy!$A$2:$A$1295,0))="","",INDEX(Hierarchy!$H$2:$H$1295,MATCH($D34,Hierarchy!$A$2:$A$1295,0))),"NODE NOT FOUND"))</f>
        <v/>
      </c>
      <c r="L34" s="7" t="str">
        <f aca="false">IF($D34="","",IFERROR(IF(INDEX(Hierarchy!$I$2:$I$1295,MATCH($D34,Hierarchy!$A$2:$A$1295,0))="","",INDEX(Hierarchy!$I$2:$I$1295,MATCH($D34,Hierarchy!$A$2:$A$1295,0))),"NODE NOT FOUND"))</f>
        <v/>
      </c>
      <c r="M34" s="17" t="str">
        <f aca="false">IF(B34="Pre-seeded","Pre-seeded",IF(B34="Review 2026-09-16","Added from review",IF(C34="","New",IF(C34=D34,"","Changed"))))</f>
        <v>Changed</v>
      </c>
      <c r="N34" s="7" t="str">
        <f aca="false">TRIM(SUBSTITUTE(SUBSTITUTE(SUBSTITUTE(" "&amp;TRIM(SUBSTITUTE(SUBSTITUTE(SUBSTITUTE(SUBSTITUTE(SUBSTITUTE(SUBSTITUTE(SUBSTITUTE(SUBSTITUTE(SUBSTITUTE(SUBSTITUTE(SUBSTITUTE(SUBSTITUTE(SUBSTITUTE(SUBSTITUTE(SUBSTITUTE(UPPER(TRIM(A34)),"[MEMBER]",""),"{MEMBER}",""),"[MEMBER}",""),"MEMBER]",""),"(A)",""),"""",""),"“",""),"”",""),".",""),":",""),",",""),"–"," "),"-"," "),"/"," "),"&amp;"," AND "))&amp;" "," THE "," ")," TOTAL "," ")," OPERATIONS "," "))</f>
        <v>ALL OTHER FOREIGN COUNTRIES</v>
      </c>
      <c r="O34" s="17" t="str">
        <f aca="false">IF(COUNTIFS($N$2:$N$2000,N34,$D$2:$D$2000,"&lt;&gt;"&amp;D34)&gt;0,"CONFLICT","")</f>
        <v/>
      </c>
      <c r="P34" s="7" t="s">
        <v>1895</v>
      </c>
    </row>
    <row r="35" customFormat="false" ht="15" hidden="false" customHeight="false" outlineLevel="0" collapsed="false">
      <c r="A35" s="7" t="s">
        <v>1901</v>
      </c>
      <c r="B35" s="7" t="s">
        <v>1885</v>
      </c>
      <c r="C35" s="7" t="s">
        <v>1784</v>
      </c>
      <c r="D35" s="6" t="s">
        <v>1784</v>
      </c>
      <c r="E35" s="6" t="s">
        <v>1898</v>
      </c>
      <c r="F35" s="7" t="str">
        <f aca="false">IF($D35="","",IFERROR(IF(INDEX(Hierarchy!$B$2:$B$1295,MATCH($D35,Hierarchy!$A$2:$A$1295,0))="","",INDEX(Hierarchy!$B$2:$B$1295,MATCH($D35,Hierarchy!$A$2:$A$1295,0))),"NODE NOT FOUND"))</f>
        <v>Bucket</v>
      </c>
      <c r="G35" s="7" t="str">
        <f aca="false">IF($D35="","",IFERROR(IF(INDEX(Hierarchy!$D$2:$D$1295,MATCH($D35,Hierarchy!$A$2:$A$1295,0))="","",INDEX(Hierarchy!$D$2:$D$1295,MATCH($D35,Hierarchy!$A$2:$A$1295,0))),"NODE NOT FOUND"))</f>
        <v>Non-regional</v>
      </c>
      <c r="H35" s="7" t="str">
        <f aca="false">IF($D35="","",IFERROR(IF(INDEX(Hierarchy!$E$2:$E$1295,MATCH($D35,Hierarchy!$A$2:$A$1295,0))="","",INDEX(Hierarchy!$E$2:$E$1295,MATCH($D35,Hierarchy!$A$2:$A$1295,0))),"NODE NOT FOUND"))</f>
        <v/>
      </c>
      <c r="I35" s="7" t="str">
        <f aca="false">IF($D35="","",IFERROR(IF(INDEX(Hierarchy!$F$2:$F$1295,MATCH($D35,Hierarchy!$A$2:$A$1295,0))="","",INDEX(Hierarchy!$F$2:$F$1295,MATCH($D35,Hierarchy!$A$2:$A$1295,0))),"NODE NOT FOUND"))</f>
        <v/>
      </c>
      <c r="J35" s="7" t="str">
        <f aca="false">IF($D35="","",IFERROR(IF(INDEX(Hierarchy!$G$2:$G$1295,MATCH($D35,Hierarchy!$A$2:$A$1295,0))="","",INDEX(Hierarchy!$G$2:$G$1295,MATCH($D35,Hierarchy!$A$2:$A$1295,0))),"NODE NOT FOUND"))</f>
        <v/>
      </c>
      <c r="K35" s="7" t="str">
        <f aca="false">IF($D35="","",IFERROR(IF(INDEX(Hierarchy!$H$2:$H$1295,MATCH($D35,Hierarchy!$A$2:$A$1295,0))="","",INDEX(Hierarchy!$H$2:$H$1295,MATCH($D35,Hierarchy!$A$2:$A$1295,0))),"NODE NOT FOUND"))</f>
        <v/>
      </c>
      <c r="L35" s="7" t="str">
        <f aca="false">IF($D35="","",IFERROR(IF(INDEX(Hierarchy!$I$2:$I$1295,MATCH($D35,Hierarchy!$A$2:$A$1295,0))="","",INDEX(Hierarchy!$I$2:$I$1295,MATCH($D35,Hierarchy!$A$2:$A$1295,0))),"NODE NOT FOUND"))</f>
        <v/>
      </c>
      <c r="M35" s="17" t="str">
        <f aca="false">IF(B35="Pre-seeded","Pre-seeded",IF(B35="Review 2026-09-16","Added from review",IF(C35="","New",IF(C35=D35,"","Changed"))))</f>
        <v/>
      </c>
      <c r="N35" s="7" t="str">
        <f aca="false">TRIM(SUBSTITUTE(SUBSTITUTE(SUBSTITUTE(" "&amp;TRIM(SUBSTITUTE(SUBSTITUTE(SUBSTITUTE(SUBSTITUTE(SUBSTITUTE(SUBSTITUTE(SUBSTITUTE(SUBSTITUTE(SUBSTITUTE(SUBSTITUTE(SUBSTITUTE(SUBSTITUTE(SUBSTITUTE(SUBSTITUTE(SUBSTITUTE(UPPER(TRIM(A35)),"[MEMBER]",""),"{MEMBER}",""),"[MEMBER}",""),"MEMBER]",""),"(A)",""),"""",""),"“",""),"”",""),".",""),":",""),",",""),"–"," "),"-"," "),"/"," "),"&amp;"," AND "))&amp;" "," THE "," ")," TOTAL "," ")," OPERATIONS "," "))</f>
        <v>ALL OTHER INTERNATIONAL</v>
      </c>
      <c r="O35" s="17" t="str">
        <f aca="false">IF(COUNTIFS($N$2:$N$2000,N35,$D$2:$D$2000,"&lt;&gt;"&amp;D35)&gt;0,"CONFLICT","")</f>
        <v/>
      </c>
      <c r="P35" s="7"/>
    </row>
    <row r="36" customFormat="false" ht="15" hidden="false" customHeight="false" outlineLevel="0" collapsed="false">
      <c r="A36" s="7" t="s">
        <v>1902</v>
      </c>
      <c r="B36" s="7" t="s">
        <v>1885</v>
      </c>
      <c r="C36" s="7" t="s">
        <v>1791</v>
      </c>
      <c r="D36" s="6" t="s">
        <v>1791</v>
      </c>
      <c r="E36" s="6" t="s">
        <v>1898</v>
      </c>
      <c r="F36" s="7" t="str">
        <f aca="false">IF($D36="","",IFERROR(IF(INDEX(Hierarchy!$B$2:$B$1295,MATCH($D36,Hierarchy!$A$2:$A$1295,0))="","",INDEX(Hierarchy!$B$2:$B$1295,MATCH($D36,Hierarchy!$A$2:$A$1295,0))),"NODE NOT FOUND"))</f>
        <v>Bucket</v>
      </c>
      <c r="G36" s="7" t="str">
        <f aca="false">IF($D36="","",IFERROR(IF(INDEX(Hierarchy!$D$2:$D$1295,MATCH($D36,Hierarchy!$A$2:$A$1295,0))="","",INDEX(Hierarchy!$D$2:$D$1295,MATCH($D36,Hierarchy!$A$2:$A$1295,0))),"NODE NOT FOUND"))</f>
        <v>Non-regional</v>
      </c>
      <c r="H36" s="7" t="str">
        <f aca="false">IF($D36="","",IFERROR(IF(INDEX(Hierarchy!$E$2:$E$1295,MATCH($D36,Hierarchy!$A$2:$A$1295,0))="","",INDEX(Hierarchy!$E$2:$E$1295,MATCH($D36,Hierarchy!$A$2:$A$1295,0))),"NODE NOT FOUND"))</f>
        <v/>
      </c>
      <c r="I36" s="7" t="str">
        <f aca="false">IF($D36="","",IFERROR(IF(INDEX(Hierarchy!$F$2:$F$1295,MATCH($D36,Hierarchy!$A$2:$A$1295,0))="","",INDEX(Hierarchy!$F$2:$F$1295,MATCH($D36,Hierarchy!$A$2:$A$1295,0))),"NODE NOT FOUND"))</f>
        <v/>
      </c>
      <c r="J36" s="7" t="str">
        <f aca="false">IF($D36="","",IFERROR(IF(INDEX(Hierarchy!$G$2:$G$1295,MATCH($D36,Hierarchy!$A$2:$A$1295,0))="","",INDEX(Hierarchy!$G$2:$G$1295,MATCH($D36,Hierarchy!$A$2:$A$1295,0))),"NODE NOT FOUND"))</f>
        <v/>
      </c>
      <c r="K36" s="7" t="str">
        <f aca="false">IF($D36="","",IFERROR(IF(INDEX(Hierarchy!$H$2:$H$1295,MATCH($D36,Hierarchy!$A$2:$A$1295,0))="","",INDEX(Hierarchy!$H$2:$H$1295,MATCH($D36,Hierarchy!$A$2:$A$1295,0))),"NODE NOT FOUND"))</f>
        <v/>
      </c>
      <c r="L36" s="7" t="str">
        <f aca="false">IF($D36="","",IFERROR(IF(INDEX(Hierarchy!$I$2:$I$1295,MATCH($D36,Hierarchy!$A$2:$A$1295,0))="","",INDEX(Hierarchy!$I$2:$I$1295,MATCH($D36,Hierarchy!$A$2:$A$1295,0))),"NODE NOT FOUND"))</f>
        <v/>
      </c>
      <c r="M36" s="17" t="str">
        <f aca="false">IF(B36="Pre-seeded","Pre-seeded",IF(B36="Review 2026-09-16","Added from review",IF(C36="","New",IF(C36=D36,"","Changed"))))</f>
        <v/>
      </c>
      <c r="N36" s="7" t="str">
        <f aca="false">TRIM(SUBSTITUTE(SUBSTITUTE(SUBSTITUTE(" "&amp;TRIM(SUBSTITUTE(SUBSTITUTE(SUBSTITUTE(SUBSTITUTE(SUBSTITUTE(SUBSTITUTE(SUBSTITUTE(SUBSTITUTE(SUBSTITUTE(SUBSTITUTE(SUBSTITUTE(SUBSTITUTE(SUBSTITUTE(SUBSTITUTE(SUBSTITUTE(UPPER(TRIM(A36)),"[MEMBER]",""),"{MEMBER}",""),"[MEMBER}",""),"MEMBER]",""),"(A)",""),"""",""),"“",""),"”",""),".",""),":",""),",",""),"–"," "),"-"," "),"/"," "),"&amp;"," AND "))&amp;" "," THE "," ")," TOTAL "," ")," OPERATIONS "," "))</f>
        <v>ALL OTHER REGIONS</v>
      </c>
      <c r="O36" s="17" t="str">
        <f aca="false">IF(COUNTIFS($N$2:$N$2000,N36,$D$2:$D$2000,"&lt;&gt;"&amp;D36)&gt;0,"CONFLICT","")</f>
        <v/>
      </c>
      <c r="P36" s="7"/>
    </row>
    <row r="37" customFormat="false" ht="15" hidden="false" customHeight="false" outlineLevel="0" collapsed="false">
      <c r="A37" s="7" t="s">
        <v>1903</v>
      </c>
      <c r="B37" s="7" t="s">
        <v>1885</v>
      </c>
      <c r="C37" s="7" t="s">
        <v>1784</v>
      </c>
      <c r="D37" s="6" t="s">
        <v>1784</v>
      </c>
      <c r="E37" s="6" t="s">
        <v>1898</v>
      </c>
      <c r="F37" s="7" t="str">
        <f aca="false">IF($D37="","",IFERROR(IF(INDEX(Hierarchy!$B$2:$B$1295,MATCH($D37,Hierarchy!$A$2:$A$1295,0))="","",INDEX(Hierarchy!$B$2:$B$1295,MATCH($D37,Hierarchy!$A$2:$A$1295,0))),"NODE NOT FOUND"))</f>
        <v>Bucket</v>
      </c>
      <c r="G37" s="7" t="str">
        <f aca="false">IF($D37="","",IFERROR(IF(INDEX(Hierarchy!$D$2:$D$1295,MATCH($D37,Hierarchy!$A$2:$A$1295,0))="","",INDEX(Hierarchy!$D$2:$D$1295,MATCH($D37,Hierarchy!$A$2:$A$1295,0))),"NODE NOT FOUND"))</f>
        <v>Non-regional</v>
      </c>
      <c r="H37" s="7" t="str">
        <f aca="false">IF($D37="","",IFERROR(IF(INDEX(Hierarchy!$E$2:$E$1295,MATCH($D37,Hierarchy!$A$2:$A$1295,0))="","",INDEX(Hierarchy!$E$2:$E$1295,MATCH($D37,Hierarchy!$A$2:$A$1295,0))),"NODE NOT FOUND"))</f>
        <v/>
      </c>
      <c r="I37" s="7" t="str">
        <f aca="false">IF($D37="","",IFERROR(IF(INDEX(Hierarchy!$F$2:$F$1295,MATCH($D37,Hierarchy!$A$2:$A$1295,0))="","",INDEX(Hierarchy!$F$2:$F$1295,MATCH($D37,Hierarchy!$A$2:$A$1295,0))),"NODE NOT FOUND"))</f>
        <v/>
      </c>
      <c r="J37" s="7" t="str">
        <f aca="false">IF($D37="","",IFERROR(IF(INDEX(Hierarchy!$G$2:$G$1295,MATCH($D37,Hierarchy!$A$2:$A$1295,0))="","",INDEX(Hierarchy!$G$2:$G$1295,MATCH($D37,Hierarchy!$A$2:$A$1295,0))),"NODE NOT FOUND"))</f>
        <v/>
      </c>
      <c r="K37" s="7" t="str">
        <f aca="false">IF($D37="","",IFERROR(IF(INDEX(Hierarchy!$H$2:$H$1295,MATCH($D37,Hierarchy!$A$2:$A$1295,0))="","",INDEX(Hierarchy!$H$2:$H$1295,MATCH($D37,Hierarchy!$A$2:$A$1295,0))),"NODE NOT FOUND"))</f>
        <v/>
      </c>
      <c r="L37" s="7" t="str">
        <f aca="false">IF($D37="","",IFERROR(IF(INDEX(Hierarchy!$I$2:$I$1295,MATCH($D37,Hierarchy!$A$2:$A$1295,0))="","",INDEX(Hierarchy!$I$2:$I$1295,MATCH($D37,Hierarchy!$A$2:$A$1295,0))),"NODE NOT FOUND"))</f>
        <v/>
      </c>
      <c r="M37" s="17" t="str">
        <f aca="false">IF(B37="Pre-seeded","Pre-seeded",IF(B37="Review 2026-09-16","Added from review",IF(C37="","New",IF(C37=D37,"","Changed"))))</f>
        <v/>
      </c>
      <c r="N37" s="7" t="str">
        <f aca="false">TRIM(SUBSTITUTE(SUBSTITUTE(SUBSTITUTE(" "&amp;TRIM(SUBSTITUTE(SUBSTITUTE(SUBSTITUTE(SUBSTITUTE(SUBSTITUTE(SUBSTITUTE(SUBSTITUTE(SUBSTITUTE(SUBSTITUTE(SUBSTITUTE(SUBSTITUTE(SUBSTITUTE(SUBSTITUTE(SUBSTITUTE(SUBSTITUTE(UPPER(TRIM(A37)),"[MEMBER]",""),"{MEMBER}",""),"[MEMBER}",""),"MEMBER]",""),"(A)",""),"""",""),"“",""),"”",""),".",""),":",""),",",""),"–"," "),"-"," "),"/"," "),"&amp;"," AND "))&amp;" "," THE "," ")," TOTAL "," ")," OPERATIONS "," "))</f>
        <v>ALL OTHERS INTERNATIONAL</v>
      </c>
      <c r="O37" s="17" t="str">
        <f aca="false">IF(COUNTIFS($N$2:$N$2000,N37,$D$2:$D$2000,"&lt;&gt;"&amp;D37)&gt;0,"CONFLICT","")</f>
        <v/>
      </c>
      <c r="P37" s="7"/>
    </row>
    <row r="38" customFormat="false" ht="15" hidden="false" customHeight="false" outlineLevel="0" collapsed="false">
      <c r="A38" s="7" t="s">
        <v>1904</v>
      </c>
      <c r="B38" s="7" t="s">
        <v>1905</v>
      </c>
      <c r="C38" s="7" t="s">
        <v>1906</v>
      </c>
      <c r="D38" s="6" t="s">
        <v>1791</v>
      </c>
      <c r="E38" s="6" t="s">
        <v>1898</v>
      </c>
      <c r="F38" s="7" t="str">
        <f aca="false">IF($D38="","",IFERROR(IF(INDEX(Hierarchy!$B$2:$B$1295,MATCH($D38,Hierarchy!$A$2:$A$1295,0))="","",INDEX(Hierarchy!$B$2:$B$1295,MATCH($D38,Hierarchy!$A$2:$A$1295,0))),"NODE NOT FOUND"))</f>
        <v>Bucket</v>
      </c>
      <c r="G38" s="7" t="str">
        <f aca="false">IF($D38="","",IFERROR(IF(INDEX(Hierarchy!$D$2:$D$1295,MATCH($D38,Hierarchy!$A$2:$A$1295,0))="","",INDEX(Hierarchy!$D$2:$D$1295,MATCH($D38,Hierarchy!$A$2:$A$1295,0))),"NODE NOT FOUND"))</f>
        <v>Non-regional</v>
      </c>
      <c r="H38" s="7" t="str">
        <f aca="false">IF($D38="","",IFERROR(IF(INDEX(Hierarchy!$E$2:$E$1295,MATCH($D38,Hierarchy!$A$2:$A$1295,0))="","",INDEX(Hierarchy!$E$2:$E$1295,MATCH($D38,Hierarchy!$A$2:$A$1295,0))),"NODE NOT FOUND"))</f>
        <v/>
      </c>
      <c r="I38" s="7" t="str">
        <f aca="false">IF($D38="","",IFERROR(IF(INDEX(Hierarchy!$F$2:$F$1295,MATCH($D38,Hierarchy!$A$2:$A$1295,0))="","",INDEX(Hierarchy!$F$2:$F$1295,MATCH($D38,Hierarchy!$A$2:$A$1295,0))),"NODE NOT FOUND"))</f>
        <v/>
      </c>
      <c r="J38" s="7" t="str">
        <f aca="false">IF($D38="","",IFERROR(IF(INDEX(Hierarchy!$G$2:$G$1295,MATCH($D38,Hierarchy!$A$2:$A$1295,0))="","",INDEX(Hierarchy!$G$2:$G$1295,MATCH($D38,Hierarchy!$A$2:$A$1295,0))),"NODE NOT FOUND"))</f>
        <v/>
      </c>
      <c r="K38" s="7" t="str">
        <f aca="false">IF($D38="","",IFERROR(IF(INDEX(Hierarchy!$H$2:$H$1295,MATCH($D38,Hierarchy!$A$2:$A$1295,0))="","",INDEX(Hierarchy!$H$2:$H$1295,MATCH($D38,Hierarchy!$A$2:$A$1295,0))),"NODE NOT FOUND"))</f>
        <v/>
      </c>
      <c r="L38" s="7" t="str">
        <f aca="false">IF($D38="","",IFERROR(IF(INDEX(Hierarchy!$I$2:$I$1295,MATCH($D38,Hierarchy!$A$2:$A$1295,0))="","",INDEX(Hierarchy!$I$2:$I$1295,MATCH($D38,Hierarchy!$A$2:$A$1295,0))),"NODE NOT FOUND"))</f>
        <v/>
      </c>
      <c r="M38" s="17" t="str">
        <f aca="false">IF(B38="Pre-seeded","Pre-seeded",IF(B38="Review 2026-09-16","Added from review",IF(C38="","New",IF(C38=D38,"","Changed"))))</f>
        <v>Changed</v>
      </c>
      <c r="N38" s="7" t="str">
        <f aca="false">TRIM(SUBSTITUTE(SUBSTITUTE(SUBSTITUTE(" "&amp;TRIM(SUBSTITUTE(SUBSTITUTE(SUBSTITUTE(SUBSTITUTE(SUBSTITUTE(SUBSTITUTE(SUBSTITUTE(SUBSTITUTE(SUBSTITUTE(SUBSTITUTE(SUBSTITUTE(SUBSTITUTE(SUBSTITUTE(SUBSTITUTE(SUBSTITUTE(UPPER(TRIM(A38)),"[MEMBER]",""),"{MEMBER}",""),"[MEMBER}",""),"MEMBER]",""),"(A)",""),"""",""),"“",""),"”",""),".",""),":",""),",",""),"–"," "),"-"," "),"/"," "),"&amp;"," AND "))&amp;" "," THE "," ")," TOTAL "," ")," OPERATIONS "," "))</f>
        <v>ALLOTHERGEOGRAPHIESMEMBER</v>
      </c>
      <c r="O38" s="17" t="str">
        <f aca="false">IF(COUNTIFS($N$2:$N$2000,N38,$D$2:$D$2000,"&lt;&gt;"&amp;D38)&gt;0,"CONFLICT","")</f>
        <v/>
      </c>
      <c r="P38" s="7" t="s">
        <v>1907</v>
      </c>
    </row>
    <row r="39" customFormat="false" ht="15" hidden="false" customHeight="false" outlineLevel="0" collapsed="false">
      <c r="A39" s="7" t="s">
        <v>1908</v>
      </c>
      <c r="B39" s="7" t="s">
        <v>1909</v>
      </c>
      <c r="C39" s="7"/>
      <c r="D39" s="6" t="s">
        <v>1803</v>
      </c>
      <c r="E39" s="6" t="s">
        <v>1886</v>
      </c>
      <c r="F39" s="7" t="str">
        <f aca="false">IF($D39="","",IFERROR(IF(INDEX(Hierarchy!$B$2:$B$1295,MATCH($D39,Hierarchy!$A$2:$A$1295,0))="","",INDEX(Hierarchy!$B$2:$B$1295,MATCH($D39,Hierarchy!$A$2:$A$1295,0))),"NODE NOT FOUND"))</f>
        <v>Multi-region</v>
      </c>
      <c r="G39" s="7" t="str">
        <f aca="false">IF($D39="","",IFERROR(IF(INDEX(Hierarchy!$D$2:$D$1295,MATCH($D39,Hierarchy!$A$2:$A$1295,0))="","",INDEX(Hierarchy!$D$2:$D$1295,MATCH($D39,Hierarchy!$A$2:$A$1295,0))),"NODE NOT FOUND"))</f>
        <v>Multi-region</v>
      </c>
      <c r="H39" s="7" t="str">
        <f aca="false">IF($D39="","",IFERROR(IF(INDEX(Hierarchy!$E$2:$E$1295,MATCH($D39,Hierarchy!$A$2:$A$1295,0))="","",INDEX(Hierarchy!$E$2:$E$1295,MATCH($D39,Hierarchy!$A$2:$A$1295,0))),"NODE NOT FOUND"))</f>
        <v/>
      </c>
      <c r="I39" s="7" t="str">
        <f aca="false">IF($D39="","",IFERROR(IF(INDEX(Hierarchy!$F$2:$F$1295,MATCH($D39,Hierarchy!$A$2:$A$1295,0))="","",INDEX(Hierarchy!$F$2:$F$1295,MATCH($D39,Hierarchy!$A$2:$A$1295,0))),"NODE NOT FOUND"))</f>
        <v/>
      </c>
      <c r="J39" s="7" t="str">
        <f aca="false">IF($D39="","",IFERROR(IF(INDEX(Hierarchy!$G$2:$G$1295,MATCH($D39,Hierarchy!$A$2:$A$1295,0))="","",INDEX(Hierarchy!$G$2:$G$1295,MATCH($D39,Hierarchy!$A$2:$A$1295,0))),"NODE NOT FOUND"))</f>
        <v/>
      </c>
      <c r="K39" s="7" t="str">
        <f aca="false">IF($D39="","",IFERROR(IF(INDEX(Hierarchy!$H$2:$H$1295,MATCH($D39,Hierarchy!$A$2:$A$1295,0))="","",INDEX(Hierarchy!$H$2:$H$1295,MATCH($D39,Hierarchy!$A$2:$A$1295,0))),"NODE NOT FOUND"))</f>
        <v/>
      </c>
      <c r="L39" s="7" t="str">
        <f aca="false">IF($D39="","",IFERROR(IF(INDEX(Hierarchy!$I$2:$I$1295,MATCH($D39,Hierarchy!$A$2:$A$1295,0))="","",INDEX(Hierarchy!$I$2:$I$1295,MATCH($D39,Hierarchy!$A$2:$A$1295,0))),"NODE NOT FOUND"))</f>
        <v/>
      </c>
      <c r="M39" s="17" t="str">
        <f aca="false">IF(B39="Pre-seeded","Pre-seeded",IF(B39="Review 2026-09-16","Added from review",IF(C39="","New",IF(C39=D39,"","Changed"))))</f>
        <v>New</v>
      </c>
      <c r="N39" s="7" t="str">
        <f aca="false">TRIM(SUBSTITUTE(SUBSTITUTE(SUBSTITUTE(" "&amp;TRIM(SUBSTITUTE(SUBSTITUTE(SUBSTITUTE(SUBSTITUTE(SUBSTITUTE(SUBSTITUTE(SUBSTITUTE(SUBSTITUTE(SUBSTITUTE(SUBSTITUTE(SUBSTITUTE(SUBSTITUTE(SUBSTITUTE(SUBSTITUTE(SUBSTITUTE(UPPER(TRIM(A39)),"[MEMBER]",""),"{MEMBER}",""),"[MEMBER}",""),"MEMBER]",""),"(A)",""),"""",""),"“",""),"”",""),".",""),":",""),",",""),"–"," "),"-"," "),"/"," "),"&amp;"," AND "))&amp;" "," THE "," ")," TOTAL "," ")," OPERATIONS "," "))</f>
        <v>ALMEA</v>
      </c>
      <c r="O39" s="17" t="str">
        <f aca="false">IF(COUNTIFS($N$2:$N$2000,N39,$D$2:$D$2000,"&lt;&gt;"&amp;D39)&gt;0,"CONFLICT","")</f>
        <v/>
      </c>
      <c r="P39" s="7" t="s">
        <v>1910</v>
      </c>
    </row>
    <row r="40" customFormat="false" ht="15" hidden="false" customHeight="false" outlineLevel="0" collapsed="false">
      <c r="A40" s="7" t="s">
        <v>347</v>
      </c>
      <c r="B40" s="7" t="s">
        <v>1879</v>
      </c>
      <c r="C40" s="7"/>
      <c r="D40" s="6" t="s">
        <v>347</v>
      </c>
      <c r="E40" s="6" t="s">
        <v>1880</v>
      </c>
      <c r="F40" s="7" t="str">
        <f aca="false">IF($D40="","",IFERROR(IF(INDEX(Hierarchy!$B$2:$B$1295,MATCH($D40,Hierarchy!$A$2:$A$1295,0))="","",INDEX(Hierarchy!$B$2:$B$1295,MATCH($D40,Hierarchy!$A$2:$A$1295,0))),"NODE NOT FOUND"))</f>
        <v>State/Province</v>
      </c>
      <c r="G40" s="7" t="str">
        <f aca="false">IF($D40="","",IFERROR(IF(INDEX(Hierarchy!$D$2:$D$1295,MATCH($D40,Hierarchy!$A$2:$A$1295,0))="","",INDEX(Hierarchy!$D$2:$D$1295,MATCH($D40,Hierarchy!$A$2:$A$1295,0))),"NODE NOT FOUND"))</f>
        <v>AMER</v>
      </c>
      <c r="H40" s="7" t="str">
        <f aca="false">IF($D40="","",IFERROR(IF(INDEX(Hierarchy!$E$2:$E$1295,MATCH($D40,Hierarchy!$A$2:$A$1295,0))="","",INDEX(Hierarchy!$E$2:$E$1295,MATCH($D40,Hierarchy!$A$2:$A$1295,0))),"NODE NOT FOUND"))</f>
        <v>Latin America (LATAM)</v>
      </c>
      <c r="I40" s="7" t="str">
        <f aca="false">IF($D40="","",IFERROR(IF(INDEX(Hierarchy!$F$2:$F$1295,MATCH($D40,Hierarchy!$A$2:$A$1295,0))="","",INDEX(Hierarchy!$F$2:$F$1295,MATCH($D40,Hierarchy!$A$2:$A$1295,0))),"NODE NOT FOUND"))</f>
        <v>Brazil</v>
      </c>
      <c r="J40" s="7" t="str">
        <f aca="false">IF($D40="","",IFERROR(IF(INDEX(Hierarchy!$G$2:$G$1295,MATCH($D40,Hierarchy!$A$2:$A$1295,0))="","",INDEX(Hierarchy!$G$2:$G$1295,MATCH($D40,Hierarchy!$A$2:$A$1295,0))),"NODE NOT FOUND"))</f>
        <v>BRA</v>
      </c>
      <c r="K40" s="7" t="str">
        <f aca="false">IF($D40="","",IFERROR(IF(INDEX(Hierarchy!$H$2:$H$1295,MATCH($D40,Hierarchy!$A$2:$A$1295,0))="","",INDEX(Hierarchy!$H$2:$H$1295,MATCH($D40,Hierarchy!$A$2:$A$1295,0))),"NODE NOT FOUND"))</f>
        <v>Amapá</v>
      </c>
      <c r="L40" s="7" t="str">
        <f aca="false">IF($D40="","",IFERROR(IF(INDEX(Hierarchy!$I$2:$I$1295,MATCH($D40,Hierarchy!$A$2:$A$1295,0))="","",INDEX(Hierarchy!$I$2:$I$1295,MATCH($D40,Hierarchy!$A$2:$A$1295,0))),"NODE NOT FOUND"))</f>
        <v/>
      </c>
      <c r="M40" s="17" t="str">
        <f aca="false">IF(B40="Pre-seeded","Pre-seeded",IF(B40="Review 2026-09-16","Added from review",IF(C40="","New",IF(C40=D40,"","Changed"))))</f>
        <v>Pre-seeded</v>
      </c>
      <c r="N40" s="7" t="str">
        <f aca="false">TRIM(SUBSTITUTE(SUBSTITUTE(SUBSTITUTE(" "&amp;TRIM(SUBSTITUTE(SUBSTITUTE(SUBSTITUTE(SUBSTITUTE(SUBSTITUTE(SUBSTITUTE(SUBSTITUTE(SUBSTITUTE(SUBSTITUTE(SUBSTITUTE(SUBSTITUTE(SUBSTITUTE(SUBSTITUTE(SUBSTITUTE(SUBSTITUTE(UPPER(TRIM(A40)),"[MEMBER]",""),"{MEMBER}",""),"[MEMBER}",""),"MEMBER]",""),"(A)",""),"""",""),"“",""),"”",""),".",""),":",""),",",""),"–"," "),"-"," "),"/"," "),"&amp;"," AND "))&amp;" "," THE "," ")," TOTAL "," ")," OPERATIONS "," "))</f>
        <v>AMAPÁ</v>
      </c>
      <c r="O40" s="17" t="str">
        <f aca="false">IF(COUNTIFS($N$2:$N$2000,N40,$D$2:$D$2000,"&lt;&gt;"&amp;D40)&gt;0,"CONFLICT","")</f>
        <v/>
      </c>
      <c r="P40" s="7"/>
    </row>
    <row r="41" customFormat="false" ht="15" hidden="false" customHeight="false" outlineLevel="0" collapsed="false">
      <c r="A41" s="7" t="s">
        <v>348</v>
      </c>
      <c r="B41" s="7" t="s">
        <v>1879</v>
      </c>
      <c r="C41" s="7"/>
      <c r="D41" s="6" t="s">
        <v>348</v>
      </c>
      <c r="E41" s="6" t="s">
        <v>1880</v>
      </c>
      <c r="F41" s="7" t="str">
        <f aca="false">IF($D41="","",IFERROR(IF(INDEX(Hierarchy!$B$2:$B$1295,MATCH($D41,Hierarchy!$A$2:$A$1295,0))="","",INDEX(Hierarchy!$B$2:$B$1295,MATCH($D41,Hierarchy!$A$2:$A$1295,0))),"NODE NOT FOUND"))</f>
        <v>State/Province</v>
      </c>
      <c r="G41" s="7" t="str">
        <f aca="false">IF($D41="","",IFERROR(IF(INDEX(Hierarchy!$D$2:$D$1295,MATCH($D41,Hierarchy!$A$2:$A$1295,0))="","",INDEX(Hierarchy!$D$2:$D$1295,MATCH($D41,Hierarchy!$A$2:$A$1295,0))),"NODE NOT FOUND"))</f>
        <v>AMER</v>
      </c>
      <c r="H41" s="7" t="str">
        <f aca="false">IF($D41="","",IFERROR(IF(INDEX(Hierarchy!$E$2:$E$1295,MATCH($D41,Hierarchy!$A$2:$A$1295,0))="","",INDEX(Hierarchy!$E$2:$E$1295,MATCH($D41,Hierarchy!$A$2:$A$1295,0))),"NODE NOT FOUND"))</f>
        <v>Latin America (LATAM)</v>
      </c>
      <c r="I41" s="7" t="str">
        <f aca="false">IF($D41="","",IFERROR(IF(INDEX(Hierarchy!$F$2:$F$1295,MATCH($D41,Hierarchy!$A$2:$A$1295,0))="","",INDEX(Hierarchy!$F$2:$F$1295,MATCH($D41,Hierarchy!$A$2:$A$1295,0))),"NODE NOT FOUND"))</f>
        <v>Brazil</v>
      </c>
      <c r="J41" s="7" t="str">
        <f aca="false">IF($D41="","",IFERROR(IF(INDEX(Hierarchy!$G$2:$G$1295,MATCH($D41,Hierarchy!$A$2:$A$1295,0))="","",INDEX(Hierarchy!$G$2:$G$1295,MATCH($D41,Hierarchy!$A$2:$A$1295,0))),"NODE NOT FOUND"))</f>
        <v>BRA</v>
      </c>
      <c r="K41" s="7" t="str">
        <f aca="false">IF($D41="","",IFERROR(IF(INDEX(Hierarchy!$H$2:$H$1295,MATCH($D41,Hierarchy!$A$2:$A$1295,0))="","",INDEX(Hierarchy!$H$2:$H$1295,MATCH($D41,Hierarchy!$A$2:$A$1295,0))),"NODE NOT FOUND"))</f>
        <v>Amazonas</v>
      </c>
      <c r="L41" s="7" t="str">
        <f aca="false">IF($D41="","",IFERROR(IF(INDEX(Hierarchy!$I$2:$I$1295,MATCH($D41,Hierarchy!$A$2:$A$1295,0))="","",INDEX(Hierarchy!$I$2:$I$1295,MATCH($D41,Hierarchy!$A$2:$A$1295,0))),"NODE NOT FOUND"))</f>
        <v/>
      </c>
      <c r="M41" s="17" t="str">
        <f aca="false">IF(B41="Pre-seeded","Pre-seeded",IF(B41="Review 2026-09-16","Added from review",IF(C41="","New",IF(C41=D41,"","Changed"))))</f>
        <v>Pre-seeded</v>
      </c>
      <c r="N41" s="7" t="str">
        <f aca="false">TRIM(SUBSTITUTE(SUBSTITUTE(SUBSTITUTE(" "&amp;TRIM(SUBSTITUTE(SUBSTITUTE(SUBSTITUTE(SUBSTITUTE(SUBSTITUTE(SUBSTITUTE(SUBSTITUTE(SUBSTITUTE(SUBSTITUTE(SUBSTITUTE(SUBSTITUTE(SUBSTITUTE(SUBSTITUTE(SUBSTITUTE(SUBSTITUTE(UPPER(TRIM(A41)),"[MEMBER]",""),"{MEMBER}",""),"[MEMBER}",""),"MEMBER]",""),"(A)",""),"""",""),"“",""),"”",""),".",""),":",""),",",""),"–"," "),"-"," "),"/"," "),"&amp;"," AND "))&amp;" "," THE "," ")," TOTAL "," ")," OPERATIONS "," "))</f>
        <v>AMAZONAS</v>
      </c>
      <c r="O41" s="17" t="str">
        <f aca="false">IF(COUNTIFS($N$2:$N$2000,N41,$D$2:$D$2000,"&lt;&gt;"&amp;D41)&gt;0,"CONFLICT","")</f>
        <v/>
      </c>
      <c r="P41" s="7"/>
    </row>
    <row r="42" customFormat="false" ht="15" hidden="false" customHeight="false" outlineLevel="0" collapsed="false">
      <c r="A42" s="7" t="s">
        <v>499</v>
      </c>
      <c r="B42" s="7" t="s">
        <v>1879</v>
      </c>
      <c r="C42" s="7"/>
      <c r="D42" s="6" t="s">
        <v>499</v>
      </c>
      <c r="E42" s="6" t="s">
        <v>1880</v>
      </c>
      <c r="F42" s="7" t="str">
        <f aca="false">IF($D42="","",IFERROR(IF(INDEX(Hierarchy!$B$2:$B$1295,MATCH($D42,Hierarchy!$A$2:$A$1295,0))="","",INDEX(Hierarchy!$B$2:$B$1295,MATCH($D42,Hierarchy!$A$2:$A$1295,0))),"NODE NOT FOUND"))</f>
        <v>State/Province</v>
      </c>
      <c r="G42" s="7" t="str">
        <f aca="false">IF($D42="","",IFERROR(IF(INDEX(Hierarchy!$D$2:$D$1295,MATCH($D42,Hierarchy!$A$2:$A$1295,0))="","",INDEX(Hierarchy!$D$2:$D$1295,MATCH($D42,Hierarchy!$A$2:$A$1295,0))),"NODE NOT FOUND"))</f>
        <v>AMER</v>
      </c>
      <c r="H42" s="7" t="str">
        <f aca="false">IF($D42="","",IFERROR(IF(INDEX(Hierarchy!$E$2:$E$1295,MATCH($D42,Hierarchy!$A$2:$A$1295,0))="","",INDEX(Hierarchy!$E$2:$E$1295,MATCH($D42,Hierarchy!$A$2:$A$1295,0))),"NODE NOT FOUND"))</f>
        <v>Latin America (LATAM)</v>
      </c>
      <c r="I42" s="7" t="str">
        <f aca="false">IF($D42="","",IFERROR(IF(INDEX(Hierarchy!$F$2:$F$1295,MATCH($D42,Hierarchy!$A$2:$A$1295,0))="","",INDEX(Hierarchy!$F$2:$F$1295,MATCH($D42,Hierarchy!$A$2:$A$1295,0))),"NODE NOT FOUND"))</f>
        <v>Colombia</v>
      </c>
      <c r="J42" s="7" t="str">
        <f aca="false">IF($D42="","",IFERROR(IF(INDEX(Hierarchy!$G$2:$G$1295,MATCH($D42,Hierarchy!$A$2:$A$1295,0))="","",INDEX(Hierarchy!$G$2:$G$1295,MATCH($D42,Hierarchy!$A$2:$A$1295,0))),"NODE NOT FOUND"))</f>
        <v>COL</v>
      </c>
      <c r="K42" s="7" t="str">
        <f aca="false">IF($D42="","",IFERROR(IF(INDEX(Hierarchy!$H$2:$H$1295,MATCH($D42,Hierarchy!$A$2:$A$1295,0))="","",INDEX(Hierarchy!$H$2:$H$1295,MATCH($D42,Hierarchy!$A$2:$A$1295,0))),"NODE NOT FOUND"))</f>
        <v>Amazonas (Colombia)</v>
      </c>
      <c r="L42" s="7" t="str">
        <f aca="false">IF($D42="","",IFERROR(IF(INDEX(Hierarchy!$I$2:$I$1295,MATCH($D42,Hierarchy!$A$2:$A$1295,0))="","",INDEX(Hierarchy!$I$2:$I$1295,MATCH($D42,Hierarchy!$A$2:$A$1295,0))),"NODE NOT FOUND"))</f>
        <v/>
      </c>
      <c r="M42" s="17" t="str">
        <f aca="false">IF(B42="Pre-seeded","Pre-seeded",IF(B42="Review 2026-09-16","Added from review",IF(C42="","New",IF(C42=D42,"","Changed"))))</f>
        <v>Pre-seeded</v>
      </c>
      <c r="N42" s="7" t="str">
        <f aca="false">TRIM(SUBSTITUTE(SUBSTITUTE(SUBSTITUTE(" "&amp;TRIM(SUBSTITUTE(SUBSTITUTE(SUBSTITUTE(SUBSTITUTE(SUBSTITUTE(SUBSTITUTE(SUBSTITUTE(SUBSTITUTE(SUBSTITUTE(SUBSTITUTE(SUBSTITUTE(SUBSTITUTE(SUBSTITUTE(SUBSTITUTE(SUBSTITUTE(UPPER(TRIM(A42)),"[MEMBER]",""),"{MEMBER}",""),"[MEMBER}",""),"MEMBER]",""),"(A)",""),"""",""),"“",""),"”",""),".",""),":",""),",",""),"–"," "),"-"," "),"/"," "),"&amp;"," AND "))&amp;" "," THE "," ")," TOTAL "," ")," OPERATIONS "," "))</f>
        <v>AMAZONAS (COLOMBIA)</v>
      </c>
      <c r="O42" s="17" t="str">
        <f aca="false">IF(COUNTIFS($N$2:$N$2000,N42,$D$2:$D$2000,"&lt;&gt;"&amp;D42)&gt;0,"CONFLICT","")</f>
        <v/>
      </c>
      <c r="P42" s="7"/>
    </row>
    <row r="43" customFormat="false" ht="15" hidden="false" customHeight="false" outlineLevel="0" collapsed="false">
      <c r="A43" s="7" t="s">
        <v>1911</v>
      </c>
      <c r="B43" s="7" t="s">
        <v>1909</v>
      </c>
      <c r="C43" s="7"/>
      <c r="D43" s="6" t="s">
        <v>1799</v>
      </c>
      <c r="E43" s="6" t="s">
        <v>1880</v>
      </c>
      <c r="F43" s="7" t="str">
        <f aca="false">IF($D43="","",IFERROR(IF(INDEX(Hierarchy!$B$2:$B$1295,MATCH($D43,Hierarchy!$A$2:$A$1295,0))="","",INDEX(Hierarchy!$B$2:$B$1295,MATCH($D43,Hierarchy!$A$2:$A$1295,0))),"NODE NOT FOUND"))</f>
        <v>Multi-region</v>
      </c>
      <c r="G43" s="7" t="str">
        <f aca="false">IF($D43="","",IFERROR(IF(INDEX(Hierarchy!$D$2:$D$1295,MATCH($D43,Hierarchy!$A$2:$A$1295,0))="","",INDEX(Hierarchy!$D$2:$D$1295,MATCH($D43,Hierarchy!$A$2:$A$1295,0))),"NODE NOT FOUND"))</f>
        <v>Multi-region</v>
      </c>
      <c r="H43" s="7" t="str">
        <f aca="false">IF($D43="","",IFERROR(IF(INDEX(Hierarchy!$E$2:$E$1295,MATCH($D43,Hierarchy!$A$2:$A$1295,0))="","",INDEX(Hierarchy!$E$2:$E$1295,MATCH($D43,Hierarchy!$A$2:$A$1295,0))),"NODE NOT FOUND"))</f>
        <v/>
      </c>
      <c r="I43" s="7" t="str">
        <f aca="false">IF($D43="","",IFERROR(IF(INDEX(Hierarchy!$F$2:$F$1295,MATCH($D43,Hierarchy!$A$2:$A$1295,0))="","",INDEX(Hierarchy!$F$2:$F$1295,MATCH($D43,Hierarchy!$A$2:$A$1295,0))),"NODE NOT FOUND"))</f>
        <v/>
      </c>
      <c r="J43" s="7" t="str">
        <f aca="false">IF($D43="","",IFERROR(IF(INDEX(Hierarchy!$G$2:$G$1295,MATCH($D43,Hierarchy!$A$2:$A$1295,0))="","",INDEX(Hierarchy!$G$2:$G$1295,MATCH($D43,Hierarchy!$A$2:$A$1295,0))),"NODE NOT FOUND"))</f>
        <v/>
      </c>
      <c r="K43" s="7" t="str">
        <f aca="false">IF($D43="","",IFERROR(IF(INDEX(Hierarchy!$H$2:$H$1295,MATCH($D43,Hierarchy!$A$2:$A$1295,0))="","",INDEX(Hierarchy!$H$2:$H$1295,MATCH($D43,Hierarchy!$A$2:$A$1295,0))),"NODE NOT FOUND"))</f>
        <v/>
      </c>
      <c r="L43" s="7" t="str">
        <f aca="false">IF($D43="","",IFERROR(IF(INDEX(Hierarchy!$I$2:$I$1295,MATCH($D43,Hierarchy!$A$2:$A$1295,0))="","",INDEX(Hierarchy!$I$2:$I$1295,MATCH($D43,Hierarchy!$A$2:$A$1295,0))),"NODE NOT FOUND"))</f>
        <v/>
      </c>
      <c r="M43" s="17" t="str">
        <f aca="false">IF(B43="Pre-seeded","Pre-seeded",IF(B43="Review 2026-09-16","Added from review",IF(C43="","New",IF(C43=D43,"","Changed"))))</f>
        <v>New</v>
      </c>
      <c r="N43" s="7" t="str">
        <f aca="false">TRIM(SUBSTITUTE(SUBSTITUTE(SUBSTITUTE(" "&amp;TRIM(SUBSTITUTE(SUBSTITUTE(SUBSTITUTE(SUBSTITUTE(SUBSTITUTE(SUBSTITUTE(SUBSTITUTE(SUBSTITUTE(SUBSTITUTE(SUBSTITUTE(SUBSTITUTE(SUBSTITUTE(SUBSTITUTE(SUBSTITUTE(SUBSTITUTE(UPPER(TRIM(A43)),"[MEMBER]",""),"{MEMBER}",""),"[MEMBER}",""),"MEMBER]",""),"(A)",""),"""",""),"“",""),"”",""),".",""),":",""),",",""),"–"," "),"-"," "),"/"," "),"&amp;"," AND "))&amp;" "," THE "," ")," TOTAL "," ")," OPERATIONS "," "))</f>
        <v>AMEA</v>
      </c>
      <c r="O43" s="17" t="str">
        <f aca="false">IF(COUNTIFS($N$2:$N$2000,N43,$D$2:$D$2000,"&lt;&gt;"&amp;D43)&gt;0,"CONFLICT","")</f>
        <v/>
      </c>
      <c r="P43" s="7"/>
    </row>
    <row r="44" customFormat="false" ht="15" hidden="false" customHeight="false" outlineLevel="0" collapsed="false">
      <c r="A44" s="7" t="s">
        <v>75</v>
      </c>
      <c r="B44" s="7" t="s">
        <v>1879</v>
      </c>
      <c r="C44" s="7"/>
      <c r="D44" s="6" t="s">
        <v>74</v>
      </c>
      <c r="E44" s="6" t="s">
        <v>1880</v>
      </c>
      <c r="F44" s="7" t="str">
        <f aca="false">IF($D44="","",IFERROR(IF(INDEX(Hierarchy!$B$2:$B$1295,MATCH($D44,Hierarchy!$A$2:$A$1295,0))="","",INDEX(Hierarchy!$B$2:$B$1295,MATCH($D44,Hierarchy!$A$2:$A$1295,0))),"NODE NOT FOUND"))</f>
        <v>Region</v>
      </c>
      <c r="G44" s="7" t="str">
        <f aca="false">IF($D44="","",IFERROR(IF(INDEX(Hierarchy!$D$2:$D$1295,MATCH($D44,Hierarchy!$A$2:$A$1295,0))="","",INDEX(Hierarchy!$D$2:$D$1295,MATCH($D44,Hierarchy!$A$2:$A$1295,0))),"NODE NOT FOUND"))</f>
        <v>AMER</v>
      </c>
      <c r="H44" s="7" t="str">
        <f aca="false">IF($D44="","",IFERROR(IF(INDEX(Hierarchy!$E$2:$E$1295,MATCH($D44,Hierarchy!$A$2:$A$1295,0))="","",INDEX(Hierarchy!$E$2:$E$1295,MATCH($D44,Hierarchy!$A$2:$A$1295,0))),"NODE NOT FOUND"))</f>
        <v/>
      </c>
      <c r="I44" s="7" t="str">
        <f aca="false">IF($D44="","",IFERROR(IF(INDEX(Hierarchy!$F$2:$F$1295,MATCH($D44,Hierarchy!$A$2:$A$1295,0))="","",INDEX(Hierarchy!$F$2:$F$1295,MATCH($D44,Hierarchy!$A$2:$A$1295,0))),"NODE NOT FOUND"))</f>
        <v/>
      </c>
      <c r="J44" s="7" t="str">
        <f aca="false">IF($D44="","",IFERROR(IF(INDEX(Hierarchy!$G$2:$G$1295,MATCH($D44,Hierarchy!$A$2:$A$1295,0))="","",INDEX(Hierarchy!$G$2:$G$1295,MATCH($D44,Hierarchy!$A$2:$A$1295,0))),"NODE NOT FOUND"))</f>
        <v/>
      </c>
      <c r="K44" s="7" t="str">
        <f aca="false">IF($D44="","",IFERROR(IF(INDEX(Hierarchy!$H$2:$H$1295,MATCH($D44,Hierarchy!$A$2:$A$1295,0))="","",INDEX(Hierarchy!$H$2:$H$1295,MATCH($D44,Hierarchy!$A$2:$A$1295,0))),"NODE NOT FOUND"))</f>
        <v/>
      </c>
      <c r="L44" s="7" t="str">
        <f aca="false">IF($D44="","",IFERROR(IF(INDEX(Hierarchy!$I$2:$I$1295,MATCH($D44,Hierarchy!$A$2:$A$1295,0))="","",INDEX(Hierarchy!$I$2:$I$1295,MATCH($D44,Hierarchy!$A$2:$A$1295,0))),"NODE NOT FOUND"))</f>
        <v/>
      </c>
      <c r="M44" s="17" t="str">
        <f aca="false">IF(B44="Pre-seeded","Pre-seeded",IF(B44="Review 2026-09-16","Added from review",IF(C44="","New",IF(C44=D44,"","Changed"))))</f>
        <v>Pre-seeded</v>
      </c>
      <c r="N44" s="7" t="str">
        <f aca="false">TRIM(SUBSTITUTE(SUBSTITUTE(SUBSTITUTE(" "&amp;TRIM(SUBSTITUTE(SUBSTITUTE(SUBSTITUTE(SUBSTITUTE(SUBSTITUTE(SUBSTITUTE(SUBSTITUTE(SUBSTITUTE(SUBSTITUTE(SUBSTITUTE(SUBSTITUTE(SUBSTITUTE(SUBSTITUTE(SUBSTITUTE(SUBSTITUTE(UPPER(TRIM(A44)),"[MEMBER]",""),"{MEMBER}",""),"[MEMBER}",""),"MEMBER]",""),"(A)",""),"""",""),"“",""),"”",""),".",""),":",""),",",""),"–"," "),"-"," "),"/"," "),"&amp;"," AND "))&amp;" "," THE "," ")," TOTAL "," ")," OPERATIONS "," "))</f>
        <v>AMER</v>
      </c>
      <c r="O44" s="17" t="str">
        <f aca="false">IF(COUNTIFS($N$2:$N$2000,N44,$D$2:$D$2000,"&lt;&gt;"&amp;D44)&gt;0,"CONFLICT","")</f>
        <v/>
      </c>
      <c r="P44" s="7"/>
    </row>
    <row r="45" customFormat="false" ht="15" hidden="false" customHeight="false" outlineLevel="0" collapsed="false">
      <c r="A45" s="7" t="s">
        <v>74</v>
      </c>
      <c r="B45" s="7" t="s">
        <v>1879</v>
      </c>
      <c r="C45" s="7"/>
      <c r="D45" s="6" t="s">
        <v>74</v>
      </c>
      <c r="E45" s="6" t="s">
        <v>1880</v>
      </c>
      <c r="F45" s="7" t="str">
        <f aca="false">IF($D45="","",IFERROR(IF(INDEX(Hierarchy!$B$2:$B$1295,MATCH($D45,Hierarchy!$A$2:$A$1295,0))="","",INDEX(Hierarchy!$B$2:$B$1295,MATCH($D45,Hierarchy!$A$2:$A$1295,0))),"NODE NOT FOUND"))</f>
        <v>Region</v>
      </c>
      <c r="G45" s="7" t="str">
        <f aca="false">IF($D45="","",IFERROR(IF(INDEX(Hierarchy!$D$2:$D$1295,MATCH($D45,Hierarchy!$A$2:$A$1295,0))="","",INDEX(Hierarchy!$D$2:$D$1295,MATCH($D45,Hierarchy!$A$2:$A$1295,0))),"NODE NOT FOUND"))</f>
        <v>AMER</v>
      </c>
      <c r="H45" s="7" t="str">
        <f aca="false">IF($D45="","",IFERROR(IF(INDEX(Hierarchy!$E$2:$E$1295,MATCH($D45,Hierarchy!$A$2:$A$1295,0))="","",INDEX(Hierarchy!$E$2:$E$1295,MATCH($D45,Hierarchy!$A$2:$A$1295,0))),"NODE NOT FOUND"))</f>
        <v/>
      </c>
      <c r="I45" s="7" t="str">
        <f aca="false">IF($D45="","",IFERROR(IF(INDEX(Hierarchy!$F$2:$F$1295,MATCH($D45,Hierarchy!$A$2:$A$1295,0))="","",INDEX(Hierarchy!$F$2:$F$1295,MATCH($D45,Hierarchy!$A$2:$A$1295,0))),"NODE NOT FOUND"))</f>
        <v/>
      </c>
      <c r="J45" s="7" t="str">
        <f aca="false">IF($D45="","",IFERROR(IF(INDEX(Hierarchy!$G$2:$G$1295,MATCH($D45,Hierarchy!$A$2:$A$1295,0))="","",INDEX(Hierarchy!$G$2:$G$1295,MATCH($D45,Hierarchy!$A$2:$A$1295,0))),"NODE NOT FOUND"))</f>
        <v/>
      </c>
      <c r="K45" s="7" t="str">
        <f aca="false">IF($D45="","",IFERROR(IF(INDEX(Hierarchy!$H$2:$H$1295,MATCH($D45,Hierarchy!$A$2:$A$1295,0))="","",INDEX(Hierarchy!$H$2:$H$1295,MATCH($D45,Hierarchy!$A$2:$A$1295,0))),"NODE NOT FOUND"))</f>
        <v/>
      </c>
      <c r="L45" s="7" t="str">
        <f aca="false">IF($D45="","",IFERROR(IF(INDEX(Hierarchy!$I$2:$I$1295,MATCH($D45,Hierarchy!$A$2:$A$1295,0))="","",INDEX(Hierarchy!$I$2:$I$1295,MATCH($D45,Hierarchy!$A$2:$A$1295,0))),"NODE NOT FOUND"))</f>
        <v/>
      </c>
      <c r="M45" s="17" t="str">
        <f aca="false">IF(B45="Pre-seeded","Pre-seeded",IF(B45="Review 2026-09-16","Added from review",IF(C45="","New",IF(C45=D45,"","Changed"))))</f>
        <v>Pre-seeded</v>
      </c>
      <c r="N45" s="7" t="str">
        <f aca="false">TRIM(SUBSTITUTE(SUBSTITUTE(SUBSTITUTE(" "&amp;TRIM(SUBSTITUTE(SUBSTITUTE(SUBSTITUTE(SUBSTITUTE(SUBSTITUTE(SUBSTITUTE(SUBSTITUTE(SUBSTITUTE(SUBSTITUTE(SUBSTITUTE(SUBSTITUTE(SUBSTITUTE(SUBSTITUTE(SUBSTITUTE(SUBSTITUTE(UPPER(TRIM(A45)),"[MEMBER]",""),"{MEMBER}",""),"[MEMBER}",""),"MEMBER]",""),"(A)",""),"""",""),"“",""),"”",""),".",""),":",""),",",""),"–"," "),"-"," "),"/"," "),"&amp;"," AND "))&amp;" "," THE "," ")," TOTAL "," ")," OPERATIONS "," "))</f>
        <v>AMER (AMERICAS)</v>
      </c>
      <c r="O45" s="17" t="str">
        <f aca="false">IF(COUNTIFS($N$2:$N$2000,N45,$D$2:$D$2000,"&lt;&gt;"&amp;D45)&gt;0,"CONFLICT","")</f>
        <v/>
      </c>
      <c r="P45" s="7"/>
    </row>
    <row r="46" customFormat="false" ht="15" hidden="false" customHeight="false" outlineLevel="0" collapsed="false">
      <c r="A46" s="7" t="s">
        <v>1912</v>
      </c>
      <c r="B46" s="7" t="s">
        <v>1885</v>
      </c>
      <c r="C46" s="7" t="s">
        <v>84</v>
      </c>
      <c r="D46" s="6" t="s">
        <v>74</v>
      </c>
      <c r="E46" s="6" t="s">
        <v>1880</v>
      </c>
      <c r="F46" s="7" t="str">
        <f aca="false">IF($D46="","",IFERROR(IF(INDEX(Hierarchy!$B$2:$B$1295,MATCH($D46,Hierarchy!$A$2:$A$1295,0))="","",INDEX(Hierarchy!$B$2:$B$1295,MATCH($D46,Hierarchy!$A$2:$A$1295,0))),"NODE NOT FOUND"))</f>
        <v>Region</v>
      </c>
      <c r="G46" s="7" t="str">
        <f aca="false">IF($D46="","",IFERROR(IF(INDEX(Hierarchy!$D$2:$D$1295,MATCH($D46,Hierarchy!$A$2:$A$1295,0))="","",INDEX(Hierarchy!$D$2:$D$1295,MATCH($D46,Hierarchy!$A$2:$A$1295,0))),"NODE NOT FOUND"))</f>
        <v>AMER</v>
      </c>
      <c r="H46" s="7" t="str">
        <f aca="false">IF($D46="","",IFERROR(IF(INDEX(Hierarchy!$E$2:$E$1295,MATCH($D46,Hierarchy!$A$2:$A$1295,0))="","",INDEX(Hierarchy!$E$2:$E$1295,MATCH($D46,Hierarchy!$A$2:$A$1295,0))),"NODE NOT FOUND"))</f>
        <v/>
      </c>
      <c r="I46" s="7" t="str">
        <f aca="false">IF($D46="","",IFERROR(IF(INDEX(Hierarchy!$F$2:$F$1295,MATCH($D46,Hierarchy!$A$2:$A$1295,0))="","",INDEX(Hierarchy!$F$2:$F$1295,MATCH($D46,Hierarchy!$A$2:$A$1295,0))),"NODE NOT FOUND"))</f>
        <v/>
      </c>
      <c r="J46" s="7" t="str">
        <f aca="false">IF($D46="","",IFERROR(IF(INDEX(Hierarchy!$G$2:$G$1295,MATCH($D46,Hierarchy!$A$2:$A$1295,0))="","",INDEX(Hierarchy!$G$2:$G$1295,MATCH($D46,Hierarchy!$A$2:$A$1295,0))),"NODE NOT FOUND"))</f>
        <v/>
      </c>
      <c r="K46" s="7" t="str">
        <f aca="false">IF($D46="","",IFERROR(IF(INDEX(Hierarchy!$H$2:$H$1295,MATCH($D46,Hierarchy!$A$2:$A$1295,0))="","",INDEX(Hierarchy!$H$2:$H$1295,MATCH($D46,Hierarchy!$A$2:$A$1295,0))),"NODE NOT FOUND"))</f>
        <v/>
      </c>
      <c r="L46" s="7" t="str">
        <f aca="false">IF($D46="","",IFERROR(IF(INDEX(Hierarchy!$I$2:$I$1295,MATCH($D46,Hierarchy!$A$2:$A$1295,0))="","",INDEX(Hierarchy!$I$2:$I$1295,MATCH($D46,Hierarchy!$A$2:$A$1295,0))),"NODE NOT FOUND"))</f>
        <v/>
      </c>
      <c r="M46" s="17" t="str">
        <f aca="false">IF(B46="Pre-seeded","Pre-seeded",IF(B46="Review 2026-09-16","Added from review",IF(C46="","New",IF(C46=D46,"","Changed"))))</f>
        <v>Changed</v>
      </c>
      <c r="N46" s="7" t="str">
        <f aca="false">TRIM(SUBSTITUTE(SUBSTITUTE(SUBSTITUTE(" "&amp;TRIM(SUBSTITUTE(SUBSTITUTE(SUBSTITUTE(SUBSTITUTE(SUBSTITUTE(SUBSTITUTE(SUBSTITUTE(SUBSTITUTE(SUBSTITUTE(SUBSTITUTE(SUBSTITUTE(SUBSTITUTE(SUBSTITUTE(SUBSTITUTE(SUBSTITUTE(UPPER(TRIM(A46)),"[MEMBER]",""),"{MEMBER}",""),"[MEMBER}",""),"MEMBER]",""),"(A)",""),"""",""),"“",""),"”",""),".",""),":",""),",",""),"–"," "),"-"," "),"/"," "),"&amp;"," AND "))&amp;" "," THE "," ")," TOTAL "," ")," OPERATIONS "," "))</f>
        <v>AMERICA</v>
      </c>
      <c r="O46" s="17" t="str">
        <f aca="false">IF(COUNTIFS($N$2:$N$2000,N46,$D$2:$D$2000,"&lt;&gt;"&amp;D46)&gt;0,"CONFLICT","")</f>
        <v/>
      </c>
      <c r="P46" s="7" t="s">
        <v>1913</v>
      </c>
    </row>
    <row r="47" customFormat="false" ht="15" hidden="false" customHeight="false" outlineLevel="0" collapsed="false">
      <c r="A47" s="7" t="s">
        <v>130</v>
      </c>
      <c r="B47" s="7" t="s">
        <v>1879</v>
      </c>
      <c r="C47" s="7"/>
      <c r="D47" s="6" t="s">
        <v>130</v>
      </c>
      <c r="E47" s="6" t="s">
        <v>1880</v>
      </c>
      <c r="F47" s="7" t="str">
        <f aca="false">IF($D47="","",IFERROR(IF(INDEX(Hierarchy!$B$2:$B$1295,MATCH($D47,Hierarchy!$A$2:$A$1295,0))="","",INDEX(Hierarchy!$B$2:$B$1295,MATCH($D47,Hierarchy!$A$2:$A$1295,0))),"NODE NOT FOUND"))</f>
        <v>State/Province</v>
      </c>
      <c r="G47" s="7" t="str">
        <f aca="false">IF($D47="","",IFERROR(IF(INDEX(Hierarchy!$D$2:$D$1295,MATCH($D47,Hierarchy!$A$2:$A$1295,0))="","",INDEX(Hierarchy!$D$2:$D$1295,MATCH($D47,Hierarchy!$A$2:$A$1295,0))),"NODE NOT FOUND"))</f>
        <v>AMER</v>
      </c>
      <c r="H47" s="7" t="str">
        <f aca="false">IF($D47="","",IFERROR(IF(INDEX(Hierarchy!$E$2:$E$1295,MATCH($D47,Hierarchy!$A$2:$A$1295,0))="","",INDEX(Hierarchy!$E$2:$E$1295,MATCH($D47,Hierarchy!$A$2:$A$1295,0))),"NODE NOT FOUND"))</f>
        <v>North America (NORAM)</v>
      </c>
      <c r="I47" s="7" t="str">
        <f aca="false">IF($D47="","",IFERROR(IF(INDEX(Hierarchy!$F$2:$F$1295,MATCH($D47,Hierarchy!$A$2:$A$1295,0))="","",INDEX(Hierarchy!$F$2:$F$1295,MATCH($D47,Hierarchy!$A$2:$A$1295,0))),"NODE NOT FOUND"))</f>
        <v>United States</v>
      </c>
      <c r="J47" s="7" t="str">
        <f aca="false">IF($D47="","",IFERROR(IF(INDEX(Hierarchy!$G$2:$G$1295,MATCH($D47,Hierarchy!$A$2:$A$1295,0))="","",INDEX(Hierarchy!$G$2:$G$1295,MATCH($D47,Hierarchy!$A$2:$A$1295,0))),"NODE NOT FOUND"))</f>
        <v>USA</v>
      </c>
      <c r="K47" s="7" t="str">
        <f aca="false">IF($D47="","",IFERROR(IF(INDEX(Hierarchy!$H$2:$H$1295,MATCH($D47,Hierarchy!$A$2:$A$1295,0))="","",INDEX(Hierarchy!$H$2:$H$1295,MATCH($D47,Hierarchy!$A$2:$A$1295,0))),"NODE NOT FOUND"))</f>
        <v>American Samoa</v>
      </c>
      <c r="L47" s="7" t="str">
        <f aca="false">IF($D47="","",IFERROR(IF(INDEX(Hierarchy!$I$2:$I$1295,MATCH($D47,Hierarchy!$A$2:$A$1295,0))="","",INDEX(Hierarchy!$I$2:$I$1295,MATCH($D47,Hierarchy!$A$2:$A$1295,0))),"NODE NOT FOUND"))</f>
        <v/>
      </c>
      <c r="M47" s="17" t="str">
        <f aca="false">IF(B47="Pre-seeded","Pre-seeded",IF(B47="Review 2026-09-16","Added from review",IF(C47="","New",IF(C47=D47,"","Changed"))))</f>
        <v>Pre-seeded</v>
      </c>
      <c r="N47" s="7" t="str">
        <f aca="false">TRIM(SUBSTITUTE(SUBSTITUTE(SUBSTITUTE(" "&amp;TRIM(SUBSTITUTE(SUBSTITUTE(SUBSTITUTE(SUBSTITUTE(SUBSTITUTE(SUBSTITUTE(SUBSTITUTE(SUBSTITUTE(SUBSTITUTE(SUBSTITUTE(SUBSTITUTE(SUBSTITUTE(SUBSTITUTE(SUBSTITUTE(SUBSTITUTE(UPPER(TRIM(A47)),"[MEMBER]",""),"{MEMBER}",""),"[MEMBER}",""),"MEMBER]",""),"(A)",""),"""",""),"“",""),"”",""),".",""),":",""),",",""),"–"," "),"-"," "),"/"," "),"&amp;"," AND "))&amp;" "," THE "," ")," TOTAL "," ")," OPERATIONS "," "))</f>
        <v>AMERICAN SAMOA</v>
      </c>
      <c r="O47" s="17" t="str">
        <f aca="false">IF(COUNTIFS($N$2:$N$2000,N47,$D$2:$D$2000,"&lt;&gt;"&amp;D47)&gt;0,"CONFLICT","")</f>
        <v/>
      </c>
      <c r="P47" s="7"/>
    </row>
    <row r="48" customFormat="false" ht="15" hidden="false" customHeight="false" outlineLevel="0" collapsed="false">
      <c r="A48" s="7" t="s">
        <v>84</v>
      </c>
      <c r="B48" s="7" t="s">
        <v>1882</v>
      </c>
      <c r="C48" s="7" t="s">
        <v>84</v>
      </c>
      <c r="D48" s="6" t="s">
        <v>74</v>
      </c>
      <c r="E48" s="6" t="s">
        <v>1880</v>
      </c>
      <c r="F48" s="7" t="str">
        <f aca="false">IF($D48="","",IFERROR(IF(INDEX(Hierarchy!$B$2:$B$1295,MATCH($D48,Hierarchy!$A$2:$A$1295,0))="","",INDEX(Hierarchy!$B$2:$B$1295,MATCH($D48,Hierarchy!$A$2:$A$1295,0))),"NODE NOT FOUND"))</f>
        <v>Region</v>
      </c>
      <c r="G48" s="7" t="str">
        <f aca="false">IF($D48="","",IFERROR(IF(INDEX(Hierarchy!$D$2:$D$1295,MATCH($D48,Hierarchy!$A$2:$A$1295,0))="","",INDEX(Hierarchy!$D$2:$D$1295,MATCH($D48,Hierarchy!$A$2:$A$1295,0))),"NODE NOT FOUND"))</f>
        <v>AMER</v>
      </c>
      <c r="H48" s="7" t="str">
        <f aca="false">IF($D48="","",IFERROR(IF(INDEX(Hierarchy!$E$2:$E$1295,MATCH($D48,Hierarchy!$A$2:$A$1295,0))="","",INDEX(Hierarchy!$E$2:$E$1295,MATCH($D48,Hierarchy!$A$2:$A$1295,0))),"NODE NOT FOUND"))</f>
        <v/>
      </c>
      <c r="I48" s="7" t="str">
        <f aca="false">IF($D48="","",IFERROR(IF(INDEX(Hierarchy!$F$2:$F$1295,MATCH($D48,Hierarchy!$A$2:$A$1295,0))="","",INDEX(Hierarchy!$F$2:$F$1295,MATCH($D48,Hierarchy!$A$2:$A$1295,0))),"NODE NOT FOUND"))</f>
        <v/>
      </c>
      <c r="J48" s="7" t="str">
        <f aca="false">IF($D48="","",IFERROR(IF(INDEX(Hierarchy!$G$2:$G$1295,MATCH($D48,Hierarchy!$A$2:$A$1295,0))="","",INDEX(Hierarchy!$G$2:$G$1295,MATCH($D48,Hierarchy!$A$2:$A$1295,0))),"NODE NOT FOUND"))</f>
        <v/>
      </c>
      <c r="K48" s="7" t="str">
        <f aca="false">IF($D48="","",IFERROR(IF(INDEX(Hierarchy!$H$2:$H$1295,MATCH($D48,Hierarchy!$A$2:$A$1295,0))="","",INDEX(Hierarchy!$H$2:$H$1295,MATCH($D48,Hierarchy!$A$2:$A$1295,0))),"NODE NOT FOUND"))</f>
        <v/>
      </c>
      <c r="L48" s="7" t="str">
        <f aca="false">IF($D48="","",IFERROR(IF(INDEX(Hierarchy!$I$2:$I$1295,MATCH($D48,Hierarchy!$A$2:$A$1295,0))="","",INDEX(Hierarchy!$I$2:$I$1295,MATCH($D48,Hierarchy!$A$2:$A$1295,0))),"NODE NOT FOUND"))</f>
        <v/>
      </c>
      <c r="M48" s="17" t="str">
        <f aca="false">IF(B48="Pre-seeded","Pre-seeded",IF(B48="Review 2026-09-16","Added from review",IF(C48="","New",IF(C48=D48,"","Changed"))))</f>
        <v>Changed</v>
      </c>
      <c r="N48" s="7" t="str">
        <f aca="false">TRIM(SUBSTITUTE(SUBSTITUTE(SUBSTITUTE(" "&amp;TRIM(SUBSTITUTE(SUBSTITUTE(SUBSTITUTE(SUBSTITUTE(SUBSTITUTE(SUBSTITUTE(SUBSTITUTE(SUBSTITUTE(SUBSTITUTE(SUBSTITUTE(SUBSTITUTE(SUBSTITUTE(SUBSTITUTE(SUBSTITUTE(SUBSTITUTE(UPPER(TRIM(A48)),"[MEMBER]",""),"{MEMBER}",""),"[MEMBER}",""),"MEMBER]",""),"(A)",""),"""",""),"“",""),"”",""),".",""),":",""),",",""),"–"," "),"-"," "),"/"," "),"&amp;"," AND "))&amp;" "," THE "," ")," TOTAL "," ")," OPERATIONS "," "))</f>
        <v>AMERICAS</v>
      </c>
      <c r="O48" s="17" t="str">
        <f aca="false">IF(COUNTIFS($N$2:$N$2000,N48,$D$2:$D$2000,"&lt;&gt;"&amp;D48)&gt;0,"CONFLICT","")</f>
        <v/>
      </c>
      <c r="P48" s="7"/>
    </row>
    <row r="49" customFormat="false" ht="15" hidden="false" customHeight="false" outlineLevel="0" collapsed="false">
      <c r="A49" s="7" t="s">
        <v>1914</v>
      </c>
      <c r="B49" s="7" t="s">
        <v>1885</v>
      </c>
      <c r="C49" s="7" t="s">
        <v>84</v>
      </c>
      <c r="D49" s="6" t="s">
        <v>74</v>
      </c>
      <c r="E49" s="6" t="s">
        <v>1891</v>
      </c>
      <c r="F49" s="7" t="str">
        <f aca="false">IF($D49="","",IFERROR(IF(INDEX(Hierarchy!$B$2:$B$1295,MATCH($D49,Hierarchy!$A$2:$A$1295,0))="","",INDEX(Hierarchy!$B$2:$B$1295,MATCH($D49,Hierarchy!$A$2:$A$1295,0))),"NODE NOT FOUND"))</f>
        <v>Region</v>
      </c>
      <c r="G49" s="7" t="str">
        <f aca="false">IF($D49="","",IFERROR(IF(INDEX(Hierarchy!$D$2:$D$1295,MATCH($D49,Hierarchy!$A$2:$A$1295,0))="","",INDEX(Hierarchy!$D$2:$D$1295,MATCH($D49,Hierarchy!$A$2:$A$1295,0))),"NODE NOT FOUND"))</f>
        <v>AMER</v>
      </c>
      <c r="H49" s="7" t="str">
        <f aca="false">IF($D49="","",IFERROR(IF(INDEX(Hierarchy!$E$2:$E$1295,MATCH($D49,Hierarchy!$A$2:$A$1295,0))="","",INDEX(Hierarchy!$E$2:$E$1295,MATCH($D49,Hierarchy!$A$2:$A$1295,0))),"NODE NOT FOUND"))</f>
        <v/>
      </c>
      <c r="I49" s="7" t="str">
        <f aca="false">IF($D49="","",IFERROR(IF(INDEX(Hierarchy!$F$2:$F$1295,MATCH($D49,Hierarchy!$A$2:$A$1295,0))="","",INDEX(Hierarchy!$F$2:$F$1295,MATCH($D49,Hierarchy!$A$2:$A$1295,0))),"NODE NOT FOUND"))</f>
        <v/>
      </c>
      <c r="J49" s="7" t="str">
        <f aca="false">IF($D49="","",IFERROR(IF(INDEX(Hierarchy!$G$2:$G$1295,MATCH($D49,Hierarchy!$A$2:$A$1295,0))="","",INDEX(Hierarchy!$G$2:$G$1295,MATCH($D49,Hierarchy!$A$2:$A$1295,0))),"NODE NOT FOUND"))</f>
        <v/>
      </c>
      <c r="K49" s="7" t="str">
        <f aca="false">IF($D49="","",IFERROR(IF(INDEX(Hierarchy!$H$2:$H$1295,MATCH($D49,Hierarchy!$A$2:$A$1295,0))="","",INDEX(Hierarchy!$H$2:$H$1295,MATCH($D49,Hierarchy!$A$2:$A$1295,0))),"NODE NOT FOUND"))</f>
        <v/>
      </c>
      <c r="L49" s="7" t="str">
        <f aca="false">IF($D49="","",IFERROR(IF(INDEX(Hierarchy!$I$2:$I$1295,MATCH($D49,Hierarchy!$A$2:$A$1295,0))="","",INDEX(Hierarchy!$I$2:$I$1295,MATCH($D49,Hierarchy!$A$2:$A$1295,0))),"NODE NOT FOUND"))</f>
        <v/>
      </c>
      <c r="M49" s="17" t="str">
        <f aca="false">IF(B49="Pre-seeded","Pre-seeded",IF(B49="Review 2026-09-16","Added from review",IF(C49="","New",IF(C49=D49,"","Changed"))))</f>
        <v>Changed</v>
      </c>
      <c r="N49" s="7" t="str">
        <f aca="false">TRIM(SUBSTITUTE(SUBSTITUTE(SUBSTITUTE(" "&amp;TRIM(SUBSTITUTE(SUBSTITUTE(SUBSTITUTE(SUBSTITUTE(SUBSTITUTE(SUBSTITUTE(SUBSTITUTE(SUBSTITUTE(SUBSTITUTE(SUBSTITUTE(SUBSTITUTE(SUBSTITUTE(SUBSTITUTE(SUBSTITUTE(SUBSTITUTE(UPPER(TRIM(A49)),"[MEMBER]",""),"{MEMBER}",""),"[MEMBER}",""),"MEMBER]",""),"(A)",""),"""",""),"“",""),"”",""),".",""),":",""),",",""),"–"," "),"-"," "),"/"," "),"&amp;"," AND "))&amp;" "," THE "," ")," TOTAL "," ")," OPERATIONS "," "))</f>
        <v>AMERICAS (EXCLUDING UNITED STATES)</v>
      </c>
      <c r="O49" s="17" t="str">
        <f aca="false">IF(COUNTIFS($N$2:$N$2000,N49,$D$2:$D$2000,"&lt;&gt;"&amp;D49)&gt;0,"CONFLICT","")</f>
        <v/>
      </c>
      <c r="P49" s="7" t="s">
        <v>1915</v>
      </c>
    </row>
    <row r="50" customFormat="false" ht="15" hidden="false" customHeight="false" outlineLevel="0" collapsed="false">
      <c r="A50" s="7" t="s">
        <v>1916</v>
      </c>
      <c r="B50" s="7" t="s">
        <v>1885</v>
      </c>
      <c r="C50" s="7" t="s">
        <v>84</v>
      </c>
      <c r="D50" s="6" t="s">
        <v>74</v>
      </c>
      <c r="E50" s="6" t="s">
        <v>1891</v>
      </c>
      <c r="F50" s="7" t="str">
        <f aca="false">IF($D50="","",IFERROR(IF(INDEX(Hierarchy!$B$2:$B$1295,MATCH($D50,Hierarchy!$A$2:$A$1295,0))="","",INDEX(Hierarchy!$B$2:$B$1295,MATCH($D50,Hierarchy!$A$2:$A$1295,0))),"NODE NOT FOUND"))</f>
        <v>Region</v>
      </c>
      <c r="G50" s="7" t="str">
        <f aca="false">IF($D50="","",IFERROR(IF(INDEX(Hierarchy!$D$2:$D$1295,MATCH($D50,Hierarchy!$A$2:$A$1295,0))="","",INDEX(Hierarchy!$D$2:$D$1295,MATCH($D50,Hierarchy!$A$2:$A$1295,0))),"NODE NOT FOUND"))</f>
        <v>AMER</v>
      </c>
      <c r="H50" s="7" t="str">
        <f aca="false">IF($D50="","",IFERROR(IF(INDEX(Hierarchy!$E$2:$E$1295,MATCH($D50,Hierarchy!$A$2:$A$1295,0))="","",INDEX(Hierarchy!$E$2:$E$1295,MATCH($D50,Hierarchy!$A$2:$A$1295,0))),"NODE NOT FOUND"))</f>
        <v/>
      </c>
      <c r="I50" s="7" t="str">
        <f aca="false">IF($D50="","",IFERROR(IF(INDEX(Hierarchy!$F$2:$F$1295,MATCH($D50,Hierarchy!$A$2:$A$1295,0))="","",INDEX(Hierarchy!$F$2:$F$1295,MATCH($D50,Hierarchy!$A$2:$A$1295,0))),"NODE NOT FOUND"))</f>
        <v/>
      </c>
      <c r="J50" s="7" t="str">
        <f aca="false">IF($D50="","",IFERROR(IF(INDEX(Hierarchy!$G$2:$G$1295,MATCH($D50,Hierarchy!$A$2:$A$1295,0))="","",INDEX(Hierarchy!$G$2:$G$1295,MATCH($D50,Hierarchy!$A$2:$A$1295,0))),"NODE NOT FOUND"))</f>
        <v/>
      </c>
      <c r="K50" s="7" t="str">
        <f aca="false">IF($D50="","",IFERROR(IF(INDEX(Hierarchy!$H$2:$H$1295,MATCH($D50,Hierarchy!$A$2:$A$1295,0))="","",INDEX(Hierarchy!$H$2:$H$1295,MATCH($D50,Hierarchy!$A$2:$A$1295,0))),"NODE NOT FOUND"))</f>
        <v/>
      </c>
      <c r="L50" s="7" t="str">
        <f aca="false">IF($D50="","",IFERROR(IF(INDEX(Hierarchy!$I$2:$I$1295,MATCH($D50,Hierarchy!$A$2:$A$1295,0))="","",INDEX(Hierarchy!$I$2:$I$1295,MATCH($D50,Hierarchy!$A$2:$A$1295,0))),"NODE NOT FOUND"))</f>
        <v/>
      </c>
      <c r="M50" s="17" t="str">
        <f aca="false">IF(B50="Pre-seeded","Pre-seeded",IF(B50="Review 2026-09-16","Added from review",IF(C50="","New",IF(C50=D50,"","Changed"))))</f>
        <v>Changed</v>
      </c>
      <c r="N50" s="7" t="str">
        <f aca="false">TRIM(SUBSTITUTE(SUBSTITUTE(SUBSTITUTE(" "&amp;TRIM(SUBSTITUTE(SUBSTITUTE(SUBSTITUTE(SUBSTITUTE(SUBSTITUTE(SUBSTITUTE(SUBSTITUTE(SUBSTITUTE(SUBSTITUTE(SUBSTITUTE(SUBSTITUTE(SUBSTITUTE(SUBSTITUTE(SUBSTITUTE(SUBSTITUTE(UPPER(TRIM(A50)),"[MEMBER]",""),"{MEMBER}",""),"[MEMBER}",""),"MEMBER]",""),"(A)",""),"""",""),"“",""),"”",""),".",""),":",""),",",""),"–"," "),"-"," "),"/"," "),"&amp;"," AND "))&amp;" "," THE "," ")," TOTAL "," ")," OPERATIONS "," "))</f>
        <v>AMERICAS (NON US)</v>
      </c>
      <c r="O50" s="17" t="str">
        <f aca="false">IF(COUNTIFS($N$2:$N$2000,N50,$D$2:$D$2000,"&lt;&gt;"&amp;D50)&gt;0,"CONFLICT","")</f>
        <v/>
      </c>
      <c r="P50" s="7" t="s">
        <v>1915</v>
      </c>
    </row>
    <row r="51" customFormat="false" ht="15" hidden="false" customHeight="false" outlineLevel="0" collapsed="false">
      <c r="A51" s="7" t="s">
        <v>1917</v>
      </c>
      <c r="B51" s="7" t="s">
        <v>1885</v>
      </c>
      <c r="C51" s="7" t="s">
        <v>84</v>
      </c>
      <c r="D51" s="6" t="s">
        <v>74</v>
      </c>
      <c r="E51" s="6" t="s">
        <v>1898</v>
      </c>
      <c r="F51" s="7" t="str">
        <f aca="false">IF($D51="","",IFERROR(IF(INDEX(Hierarchy!$B$2:$B$1295,MATCH($D51,Hierarchy!$A$2:$A$1295,0))="","",INDEX(Hierarchy!$B$2:$B$1295,MATCH($D51,Hierarchy!$A$2:$A$1295,0))),"NODE NOT FOUND"))</f>
        <v>Region</v>
      </c>
      <c r="G51" s="7" t="str">
        <f aca="false">IF($D51="","",IFERROR(IF(INDEX(Hierarchy!$D$2:$D$1295,MATCH($D51,Hierarchy!$A$2:$A$1295,0))="","",INDEX(Hierarchy!$D$2:$D$1295,MATCH($D51,Hierarchy!$A$2:$A$1295,0))),"NODE NOT FOUND"))</f>
        <v>AMER</v>
      </c>
      <c r="H51" s="7" t="str">
        <f aca="false">IF($D51="","",IFERROR(IF(INDEX(Hierarchy!$E$2:$E$1295,MATCH($D51,Hierarchy!$A$2:$A$1295,0))="","",INDEX(Hierarchy!$E$2:$E$1295,MATCH($D51,Hierarchy!$A$2:$A$1295,0))),"NODE NOT FOUND"))</f>
        <v/>
      </c>
      <c r="I51" s="7" t="str">
        <f aca="false">IF($D51="","",IFERROR(IF(INDEX(Hierarchy!$F$2:$F$1295,MATCH($D51,Hierarchy!$A$2:$A$1295,0))="","",INDEX(Hierarchy!$F$2:$F$1295,MATCH($D51,Hierarchy!$A$2:$A$1295,0))),"NODE NOT FOUND"))</f>
        <v/>
      </c>
      <c r="J51" s="7" t="str">
        <f aca="false">IF($D51="","",IFERROR(IF(INDEX(Hierarchy!$G$2:$G$1295,MATCH($D51,Hierarchy!$A$2:$A$1295,0))="","",INDEX(Hierarchy!$G$2:$G$1295,MATCH($D51,Hierarchy!$A$2:$A$1295,0))),"NODE NOT FOUND"))</f>
        <v/>
      </c>
      <c r="K51" s="7" t="str">
        <f aca="false">IF($D51="","",IFERROR(IF(INDEX(Hierarchy!$H$2:$H$1295,MATCH($D51,Hierarchy!$A$2:$A$1295,0))="","",INDEX(Hierarchy!$H$2:$H$1295,MATCH($D51,Hierarchy!$A$2:$A$1295,0))),"NODE NOT FOUND"))</f>
        <v/>
      </c>
      <c r="L51" s="7" t="str">
        <f aca="false">IF($D51="","",IFERROR(IF(INDEX(Hierarchy!$I$2:$I$1295,MATCH($D51,Hierarchy!$A$2:$A$1295,0))="","",INDEX(Hierarchy!$I$2:$I$1295,MATCH($D51,Hierarchy!$A$2:$A$1295,0))),"NODE NOT FOUND"))</f>
        <v/>
      </c>
      <c r="M51" s="17" t="str">
        <f aca="false">IF(B51="Pre-seeded","Pre-seeded",IF(B51="Review 2026-09-16","Added from review",IF(C51="","New",IF(C51=D51,"","Changed"))))</f>
        <v>Changed</v>
      </c>
      <c r="N51" s="7" t="str">
        <f aca="false">TRIM(SUBSTITUTE(SUBSTITUTE(SUBSTITUTE(" "&amp;TRIM(SUBSTITUTE(SUBSTITUTE(SUBSTITUTE(SUBSTITUTE(SUBSTITUTE(SUBSTITUTE(SUBSTITUTE(SUBSTITUTE(SUBSTITUTE(SUBSTITUTE(SUBSTITUTE(SUBSTITUTE(SUBSTITUTE(SUBSTITUTE(SUBSTITUTE(UPPER(TRIM(A51)),"[MEMBER]",""),"{MEMBER}",""),"[MEMBER}",""),"MEMBER]",""),"(A)",""),"""",""),"“",""),"”",""),".",""),":",""),",",""),"–"," "),"-"," "),"/"," "),"&amp;"," AND "))&amp;" "," THE "," ")," TOTAL "," ")," OPERATIONS "," "))</f>
        <v>AMERICAS OTHER</v>
      </c>
      <c r="O51" s="17" t="str">
        <f aca="false">IF(COUNTIFS($N$2:$N$2000,N51,$D$2:$D$2000,"&lt;&gt;"&amp;D51)&gt;0,"CONFLICT","")</f>
        <v/>
      </c>
      <c r="P51" s="7"/>
    </row>
    <row r="52" customFormat="false" ht="15" hidden="false" customHeight="false" outlineLevel="0" collapsed="false">
      <c r="A52" s="7" t="s">
        <v>1918</v>
      </c>
      <c r="B52" s="7" t="s">
        <v>1885</v>
      </c>
      <c r="C52" s="7" t="s">
        <v>84</v>
      </c>
      <c r="D52" s="6" t="s">
        <v>81</v>
      </c>
      <c r="E52" s="6" t="s">
        <v>1880</v>
      </c>
      <c r="F52" s="7" t="str">
        <f aca="false">IF($D52="","",IFERROR(IF(INDEX(Hierarchy!$B$2:$B$1295,MATCH($D52,Hierarchy!$A$2:$A$1295,0))="","",INDEX(Hierarchy!$B$2:$B$1295,MATCH($D52,Hierarchy!$A$2:$A$1295,0))),"NODE NOT FOUND"))</f>
        <v>Country</v>
      </c>
      <c r="G52" s="7" t="str">
        <f aca="false">IF($D52="","",IFERROR(IF(INDEX(Hierarchy!$D$2:$D$1295,MATCH($D52,Hierarchy!$A$2:$A$1295,0))="","",INDEX(Hierarchy!$D$2:$D$1295,MATCH($D52,Hierarchy!$A$2:$A$1295,0))),"NODE NOT FOUND"))</f>
        <v>AMER</v>
      </c>
      <c r="H52" s="7" t="str">
        <f aca="false">IF($D52="","",IFERROR(IF(INDEX(Hierarchy!$E$2:$E$1295,MATCH($D52,Hierarchy!$A$2:$A$1295,0))="","",INDEX(Hierarchy!$E$2:$E$1295,MATCH($D52,Hierarchy!$A$2:$A$1295,0))),"NODE NOT FOUND"))</f>
        <v>North America (NORAM)</v>
      </c>
      <c r="I52" s="7" t="str">
        <f aca="false">IF($D52="","",IFERROR(IF(INDEX(Hierarchy!$F$2:$F$1295,MATCH($D52,Hierarchy!$A$2:$A$1295,0))="","",INDEX(Hierarchy!$F$2:$F$1295,MATCH($D52,Hierarchy!$A$2:$A$1295,0))),"NODE NOT FOUND"))</f>
        <v>United States</v>
      </c>
      <c r="J52" s="7" t="str">
        <f aca="false">IF($D52="","",IFERROR(IF(INDEX(Hierarchy!$G$2:$G$1295,MATCH($D52,Hierarchy!$A$2:$A$1295,0))="","",INDEX(Hierarchy!$G$2:$G$1295,MATCH($D52,Hierarchy!$A$2:$A$1295,0))),"NODE NOT FOUND"))</f>
        <v>USA</v>
      </c>
      <c r="K52" s="7" t="str">
        <f aca="false">IF($D52="","",IFERROR(IF(INDEX(Hierarchy!$H$2:$H$1295,MATCH($D52,Hierarchy!$A$2:$A$1295,0))="","",INDEX(Hierarchy!$H$2:$H$1295,MATCH($D52,Hierarchy!$A$2:$A$1295,0))),"NODE NOT FOUND"))</f>
        <v/>
      </c>
      <c r="L52" s="7" t="str">
        <f aca="false">IF($D52="","",IFERROR(IF(INDEX(Hierarchy!$I$2:$I$1295,MATCH($D52,Hierarchy!$A$2:$A$1295,0))="","",INDEX(Hierarchy!$I$2:$I$1295,MATCH($D52,Hierarchy!$A$2:$A$1295,0))),"NODE NOT FOUND"))</f>
        <v/>
      </c>
      <c r="M52" s="17" t="str">
        <f aca="false">IF(B52="Pre-seeded","Pre-seeded",IF(B52="Review 2026-09-16","Added from review",IF(C52="","New",IF(C52=D52,"","Changed"))))</f>
        <v>Changed</v>
      </c>
      <c r="N52" s="7" t="str">
        <f aca="false">TRIM(SUBSTITUTE(SUBSTITUTE(SUBSTITUTE(" "&amp;TRIM(SUBSTITUTE(SUBSTITUTE(SUBSTITUTE(SUBSTITUTE(SUBSTITUTE(SUBSTITUTE(SUBSTITUTE(SUBSTITUTE(SUBSTITUTE(SUBSTITUTE(SUBSTITUTE(SUBSTITUTE(SUBSTITUTE(SUBSTITUTE(SUBSTITUTE(UPPER(TRIM(A52)),"[MEMBER]",""),"{MEMBER}",""),"[MEMBER}",""),"MEMBER]",""),"(A)",""),"""",""),"“",""),"”",""),".",""),":",""),",",""),"–"," "),"-"," "),"/"," "),"&amp;"," AND "))&amp;" "," THE "," ")," TOTAL "," ")," OPERATIONS "," "))</f>
        <v>AMERICAS US</v>
      </c>
      <c r="O52" s="17" t="str">
        <f aca="false">IF(COUNTIFS($N$2:$N$2000,N52,$D$2:$D$2000,"&lt;&gt;"&amp;D52)&gt;0,"CONFLICT","")</f>
        <v/>
      </c>
      <c r="P52" s="7" t="s">
        <v>1919</v>
      </c>
    </row>
    <row r="53" customFormat="false" ht="15" hidden="false" customHeight="false" outlineLevel="0" collapsed="false">
      <c r="A53" s="7" t="s">
        <v>1920</v>
      </c>
      <c r="B53" s="7" t="s">
        <v>1885</v>
      </c>
      <c r="C53" s="7" t="s">
        <v>81</v>
      </c>
      <c r="D53" s="6" t="s">
        <v>81</v>
      </c>
      <c r="E53" s="6" t="s">
        <v>1880</v>
      </c>
      <c r="F53" s="7" t="str">
        <f aca="false">IF($D53="","",IFERROR(IF(INDEX(Hierarchy!$B$2:$B$1295,MATCH($D53,Hierarchy!$A$2:$A$1295,0))="","",INDEX(Hierarchy!$B$2:$B$1295,MATCH($D53,Hierarchy!$A$2:$A$1295,0))),"NODE NOT FOUND"))</f>
        <v>Country</v>
      </c>
      <c r="G53" s="7" t="str">
        <f aca="false">IF($D53="","",IFERROR(IF(INDEX(Hierarchy!$D$2:$D$1295,MATCH($D53,Hierarchy!$A$2:$A$1295,0))="","",INDEX(Hierarchy!$D$2:$D$1295,MATCH($D53,Hierarchy!$A$2:$A$1295,0))),"NODE NOT FOUND"))</f>
        <v>AMER</v>
      </c>
      <c r="H53" s="7" t="str">
        <f aca="false">IF($D53="","",IFERROR(IF(INDEX(Hierarchy!$E$2:$E$1295,MATCH($D53,Hierarchy!$A$2:$A$1295,0))="","",INDEX(Hierarchy!$E$2:$E$1295,MATCH($D53,Hierarchy!$A$2:$A$1295,0))),"NODE NOT FOUND"))</f>
        <v>North America (NORAM)</v>
      </c>
      <c r="I53" s="7" t="str">
        <f aca="false">IF($D53="","",IFERROR(IF(INDEX(Hierarchy!$F$2:$F$1295,MATCH($D53,Hierarchy!$A$2:$A$1295,0))="","",INDEX(Hierarchy!$F$2:$F$1295,MATCH($D53,Hierarchy!$A$2:$A$1295,0))),"NODE NOT FOUND"))</f>
        <v>United States</v>
      </c>
      <c r="J53" s="7" t="str">
        <f aca="false">IF($D53="","",IFERROR(IF(INDEX(Hierarchy!$G$2:$G$1295,MATCH($D53,Hierarchy!$A$2:$A$1295,0))="","",INDEX(Hierarchy!$G$2:$G$1295,MATCH($D53,Hierarchy!$A$2:$A$1295,0))),"NODE NOT FOUND"))</f>
        <v>USA</v>
      </c>
      <c r="K53" s="7" t="str">
        <f aca="false">IF($D53="","",IFERROR(IF(INDEX(Hierarchy!$H$2:$H$1295,MATCH($D53,Hierarchy!$A$2:$A$1295,0))="","",INDEX(Hierarchy!$H$2:$H$1295,MATCH($D53,Hierarchy!$A$2:$A$1295,0))),"NODE NOT FOUND"))</f>
        <v/>
      </c>
      <c r="L53" s="7" t="str">
        <f aca="false">IF($D53="","",IFERROR(IF(INDEX(Hierarchy!$I$2:$I$1295,MATCH($D53,Hierarchy!$A$2:$A$1295,0))="","",INDEX(Hierarchy!$I$2:$I$1295,MATCH($D53,Hierarchy!$A$2:$A$1295,0))),"NODE NOT FOUND"))</f>
        <v/>
      </c>
      <c r="M53" s="17" t="str">
        <f aca="false">IF(B53="Pre-seeded","Pre-seeded",IF(B53="Review 2026-09-16","Added from review",IF(C53="","New",IF(C53=D53,"","Changed"))))</f>
        <v/>
      </c>
      <c r="N53" s="7" t="str">
        <f aca="false">TRIM(SUBSTITUTE(SUBSTITUTE(SUBSTITUTE(" "&amp;TRIM(SUBSTITUTE(SUBSTITUTE(SUBSTITUTE(SUBSTITUTE(SUBSTITUTE(SUBSTITUTE(SUBSTITUTE(SUBSTITUTE(SUBSTITUTE(SUBSTITUTE(SUBSTITUTE(SUBSTITUTE(SUBSTITUTE(SUBSTITUTE(SUBSTITUTE(UPPER(TRIM(A53)),"[MEMBER]",""),"{MEMBER}",""),"[MEMBER}",""),"MEMBER]",""),"(A)",""),"""",""),"“",""),"”",""),".",""),":",""),",",""),"–"," "),"-"," "),"/"," "),"&amp;"," AND "))&amp;" "," THE "," ")," TOTAL "," ")," OPERATIONS "," "))</f>
        <v>AMERICAS UNITED STATES</v>
      </c>
      <c r="O53" s="17" t="str">
        <f aca="false">IF(COUNTIFS($N$2:$N$2000,N53,$D$2:$D$2000,"&lt;&gt;"&amp;D53)&gt;0,"CONFLICT","")</f>
        <v/>
      </c>
      <c r="P53" s="7"/>
    </row>
    <row r="54" customFormat="false" ht="15" hidden="false" customHeight="false" outlineLevel="0" collapsed="false">
      <c r="A54" s="7" t="s">
        <v>1797</v>
      </c>
      <c r="B54" s="7" t="s">
        <v>1879</v>
      </c>
      <c r="C54" s="7"/>
      <c r="D54" s="6" t="s">
        <v>1797</v>
      </c>
      <c r="E54" s="6" t="s">
        <v>1880</v>
      </c>
      <c r="F54" s="7" t="str">
        <f aca="false">IF($D54="","",IFERROR(IF(INDEX(Hierarchy!$B$2:$B$1295,MATCH($D54,Hierarchy!$A$2:$A$1295,0))="","",INDEX(Hierarchy!$B$2:$B$1295,MATCH($D54,Hierarchy!$A$2:$A$1295,0))),"NODE NOT FOUND"))</f>
        <v>Multi-region</v>
      </c>
      <c r="G54" s="7" t="str">
        <f aca="false">IF($D54="","",IFERROR(IF(INDEX(Hierarchy!$D$2:$D$1295,MATCH($D54,Hierarchy!$A$2:$A$1295,0))="","",INDEX(Hierarchy!$D$2:$D$1295,MATCH($D54,Hierarchy!$A$2:$A$1295,0))),"NODE NOT FOUND"))</f>
        <v>Multi-region</v>
      </c>
      <c r="H54" s="7" t="str">
        <f aca="false">IF($D54="","",IFERROR(IF(INDEX(Hierarchy!$E$2:$E$1295,MATCH($D54,Hierarchy!$A$2:$A$1295,0))="","",INDEX(Hierarchy!$E$2:$E$1295,MATCH($D54,Hierarchy!$A$2:$A$1295,0))),"NODE NOT FOUND"))</f>
        <v/>
      </c>
      <c r="I54" s="7" t="str">
        <f aca="false">IF($D54="","",IFERROR(IF(INDEX(Hierarchy!$F$2:$F$1295,MATCH($D54,Hierarchy!$A$2:$A$1295,0))="","",INDEX(Hierarchy!$F$2:$F$1295,MATCH($D54,Hierarchy!$A$2:$A$1295,0))),"NODE NOT FOUND"))</f>
        <v/>
      </c>
      <c r="J54" s="7" t="str">
        <f aca="false">IF($D54="","",IFERROR(IF(INDEX(Hierarchy!$G$2:$G$1295,MATCH($D54,Hierarchy!$A$2:$A$1295,0))="","",INDEX(Hierarchy!$G$2:$G$1295,MATCH($D54,Hierarchy!$A$2:$A$1295,0))),"NODE NOT FOUND"))</f>
        <v/>
      </c>
      <c r="K54" s="7" t="str">
        <f aca="false">IF($D54="","",IFERROR(IF(INDEX(Hierarchy!$H$2:$H$1295,MATCH($D54,Hierarchy!$A$2:$A$1295,0))="","",INDEX(Hierarchy!$H$2:$H$1295,MATCH($D54,Hierarchy!$A$2:$A$1295,0))),"NODE NOT FOUND"))</f>
        <v/>
      </c>
      <c r="L54" s="7" t="str">
        <f aca="false">IF($D54="","",IFERROR(IF(INDEX(Hierarchy!$I$2:$I$1295,MATCH($D54,Hierarchy!$A$2:$A$1295,0))="","",INDEX(Hierarchy!$I$2:$I$1295,MATCH($D54,Hierarchy!$A$2:$A$1295,0))),"NODE NOT FOUND"))</f>
        <v/>
      </c>
      <c r="M54" s="17" t="str">
        <f aca="false">IF(B54="Pre-seeded","Pre-seeded",IF(B54="Review 2026-09-16","Added from review",IF(C54="","New",IF(C54=D54,"","Changed"))))</f>
        <v>Pre-seeded</v>
      </c>
      <c r="N54" s="7" t="str">
        <f aca="false">TRIM(SUBSTITUTE(SUBSTITUTE(SUBSTITUTE(" "&amp;TRIM(SUBSTITUTE(SUBSTITUTE(SUBSTITUTE(SUBSTITUTE(SUBSTITUTE(SUBSTITUTE(SUBSTITUTE(SUBSTITUTE(SUBSTITUTE(SUBSTITUTE(SUBSTITUTE(SUBSTITUTE(SUBSTITUTE(SUBSTITUTE(SUBSTITUTE(UPPER(TRIM(A54)),"[MEMBER]",""),"{MEMBER}",""),"[MEMBER}",""),"MEMBER]",""),"(A)",""),"""",""),"“",""),"”",""),".",""),":",""),",",""),"–"," "),"-"," "),"/"," "),"&amp;"," AND "))&amp;" "," THE "," ")," TOTAL "," ")," OPERATIONS "," "))</f>
        <v>AMERICAS AND APAC</v>
      </c>
      <c r="O54" s="17" t="str">
        <f aca="false">IF(COUNTIFS($N$2:$N$2000,N54,$D$2:$D$2000,"&lt;&gt;"&amp;D54)&gt;0,"CONFLICT","")</f>
        <v/>
      </c>
      <c r="P54" s="7"/>
    </row>
    <row r="55" customFormat="false" ht="15" hidden="false" customHeight="false" outlineLevel="0" collapsed="false">
      <c r="A55" s="7" t="s">
        <v>1798</v>
      </c>
      <c r="B55" s="7" t="s">
        <v>1879</v>
      </c>
      <c r="C55" s="7"/>
      <c r="D55" s="6" t="s">
        <v>1798</v>
      </c>
      <c r="E55" s="6" t="s">
        <v>1880</v>
      </c>
      <c r="F55" s="7" t="str">
        <f aca="false">IF($D55="","",IFERROR(IF(INDEX(Hierarchy!$B$2:$B$1295,MATCH($D55,Hierarchy!$A$2:$A$1295,0))="","",INDEX(Hierarchy!$B$2:$B$1295,MATCH($D55,Hierarchy!$A$2:$A$1295,0))),"NODE NOT FOUND"))</f>
        <v>Multi-region</v>
      </c>
      <c r="G55" s="7" t="str">
        <f aca="false">IF($D55="","",IFERROR(IF(INDEX(Hierarchy!$D$2:$D$1295,MATCH($D55,Hierarchy!$A$2:$A$1295,0))="","",INDEX(Hierarchy!$D$2:$D$1295,MATCH($D55,Hierarchy!$A$2:$A$1295,0))),"NODE NOT FOUND"))</f>
        <v>Multi-region</v>
      </c>
      <c r="H55" s="7" t="str">
        <f aca="false">IF($D55="","",IFERROR(IF(INDEX(Hierarchy!$E$2:$E$1295,MATCH($D55,Hierarchy!$A$2:$A$1295,0))="","",INDEX(Hierarchy!$E$2:$E$1295,MATCH($D55,Hierarchy!$A$2:$A$1295,0))),"NODE NOT FOUND"))</f>
        <v/>
      </c>
      <c r="I55" s="7" t="str">
        <f aca="false">IF($D55="","",IFERROR(IF(INDEX(Hierarchy!$F$2:$F$1295,MATCH($D55,Hierarchy!$A$2:$A$1295,0))="","",INDEX(Hierarchy!$F$2:$F$1295,MATCH($D55,Hierarchy!$A$2:$A$1295,0))),"NODE NOT FOUND"))</f>
        <v/>
      </c>
      <c r="J55" s="7" t="str">
        <f aca="false">IF($D55="","",IFERROR(IF(INDEX(Hierarchy!$G$2:$G$1295,MATCH($D55,Hierarchy!$A$2:$A$1295,0))="","",INDEX(Hierarchy!$G$2:$G$1295,MATCH($D55,Hierarchy!$A$2:$A$1295,0))),"NODE NOT FOUND"))</f>
        <v/>
      </c>
      <c r="K55" s="7" t="str">
        <f aca="false">IF($D55="","",IFERROR(IF(INDEX(Hierarchy!$H$2:$H$1295,MATCH($D55,Hierarchy!$A$2:$A$1295,0))="","",INDEX(Hierarchy!$H$2:$H$1295,MATCH($D55,Hierarchy!$A$2:$A$1295,0))),"NODE NOT FOUND"))</f>
        <v/>
      </c>
      <c r="L55" s="7" t="str">
        <f aca="false">IF($D55="","",IFERROR(IF(INDEX(Hierarchy!$I$2:$I$1295,MATCH($D55,Hierarchy!$A$2:$A$1295,0))="","",INDEX(Hierarchy!$I$2:$I$1295,MATCH($D55,Hierarchy!$A$2:$A$1295,0))),"NODE NOT FOUND"))</f>
        <v/>
      </c>
      <c r="M55" s="17" t="str">
        <f aca="false">IF(B55="Pre-seeded","Pre-seeded",IF(B55="Review 2026-09-16","Added from review",IF(C55="","New",IF(C55=D55,"","Changed"))))</f>
        <v>Pre-seeded</v>
      </c>
      <c r="N55" s="7" t="str">
        <f aca="false">TRIM(SUBSTITUTE(SUBSTITUTE(SUBSTITUTE(" "&amp;TRIM(SUBSTITUTE(SUBSTITUTE(SUBSTITUTE(SUBSTITUTE(SUBSTITUTE(SUBSTITUTE(SUBSTITUTE(SUBSTITUTE(SUBSTITUTE(SUBSTITUTE(SUBSTITUTE(SUBSTITUTE(SUBSTITUTE(SUBSTITUTE(SUBSTITUTE(UPPER(TRIM(A55)),"[MEMBER]",""),"{MEMBER}",""),"[MEMBER}",""),"MEMBER]",""),"(A)",""),"""",""),"“",""),"”",""),".",""),":",""),",",""),"–"," "),"-"," "),"/"," "),"&amp;"," AND "))&amp;" "," THE "," ")," TOTAL "," ")," OPERATIONS "," "))</f>
        <v>AMERICAS AND EMEA</v>
      </c>
      <c r="O55" s="17" t="str">
        <f aca="false">IF(COUNTIFS($N$2:$N$2000,N55,$D$2:$D$2000,"&lt;&gt;"&amp;D55)&gt;0,"CONFLICT","")</f>
        <v/>
      </c>
      <c r="P55" s="7"/>
    </row>
    <row r="56" customFormat="false" ht="15" hidden="false" customHeight="false" outlineLevel="0" collapsed="false">
      <c r="A56" s="7" t="s">
        <v>1921</v>
      </c>
      <c r="B56" s="7" t="s">
        <v>1879</v>
      </c>
      <c r="C56" s="7"/>
      <c r="D56" s="6" t="s">
        <v>1803</v>
      </c>
      <c r="E56" s="6" t="s">
        <v>1886</v>
      </c>
      <c r="F56" s="7" t="str">
        <f aca="false">IF($D56="","",IFERROR(IF(INDEX(Hierarchy!$B$2:$B$1295,MATCH($D56,Hierarchy!$A$2:$A$1295,0))="","",INDEX(Hierarchy!$B$2:$B$1295,MATCH($D56,Hierarchy!$A$2:$A$1295,0))),"NODE NOT FOUND"))</f>
        <v>Multi-region</v>
      </c>
      <c r="G56" s="7" t="str">
        <f aca="false">IF($D56="","",IFERROR(IF(INDEX(Hierarchy!$D$2:$D$1295,MATCH($D56,Hierarchy!$A$2:$A$1295,0))="","",INDEX(Hierarchy!$D$2:$D$1295,MATCH($D56,Hierarchy!$A$2:$A$1295,0))),"NODE NOT FOUND"))</f>
        <v>Multi-region</v>
      </c>
      <c r="H56" s="7" t="str">
        <f aca="false">IF($D56="","",IFERROR(IF(INDEX(Hierarchy!$E$2:$E$1295,MATCH($D56,Hierarchy!$A$2:$A$1295,0))="","",INDEX(Hierarchy!$E$2:$E$1295,MATCH($D56,Hierarchy!$A$2:$A$1295,0))),"NODE NOT FOUND"))</f>
        <v/>
      </c>
      <c r="I56" s="7" t="str">
        <f aca="false">IF($D56="","",IFERROR(IF(INDEX(Hierarchy!$F$2:$F$1295,MATCH($D56,Hierarchy!$A$2:$A$1295,0))="","",INDEX(Hierarchy!$F$2:$F$1295,MATCH($D56,Hierarchy!$A$2:$A$1295,0))),"NODE NOT FOUND"))</f>
        <v/>
      </c>
      <c r="J56" s="7" t="str">
        <f aca="false">IF($D56="","",IFERROR(IF(INDEX(Hierarchy!$G$2:$G$1295,MATCH($D56,Hierarchy!$A$2:$A$1295,0))="","",INDEX(Hierarchy!$G$2:$G$1295,MATCH($D56,Hierarchy!$A$2:$A$1295,0))),"NODE NOT FOUND"))</f>
        <v/>
      </c>
      <c r="K56" s="7" t="str">
        <f aca="false">IF($D56="","",IFERROR(IF(INDEX(Hierarchy!$H$2:$H$1295,MATCH($D56,Hierarchy!$A$2:$A$1295,0))="","",INDEX(Hierarchy!$H$2:$H$1295,MATCH($D56,Hierarchy!$A$2:$A$1295,0))),"NODE NOT FOUND"))</f>
        <v/>
      </c>
      <c r="L56" s="7" t="str">
        <f aca="false">IF($D56="","",IFERROR(IF(INDEX(Hierarchy!$I$2:$I$1295,MATCH($D56,Hierarchy!$A$2:$A$1295,0))="","",INDEX(Hierarchy!$I$2:$I$1295,MATCH($D56,Hierarchy!$A$2:$A$1295,0))),"NODE NOT FOUND"))</f>
        <v/>
      </c>
      <c r="M56" s="17" t="str">
        <f aca="false">IF(B56="Pre-seeded","Pre-seeded",IF(B56="Review 2026-09-16","Added from review",IF(C56="","New",IF(C56=D56,"","Changed"))))</f>
        <v>Pre-seeded</v>
      </c>
      <c r="N56" s="7" t="str">
        <f aca="false">TRIM(SUBSTITUTE(SUBSTITUTE(SUBSTITUTE(" "&amp;TRIM(SUBSTITUTE(SUBSTITUTE(SUBSTITUTE(SUBSTITUTE(SUBSTITUTE(SUBSTITUTE(SUBSTITUTE(SUBSTITUTE(SUBSTITUTE(SUBSTITUTE(SUBSTITUTE(SUBSTITUTE(SUBSTITUTE(SUBSTITUTE(SUBSTITUTE(UPPER(TRIM(A56)),"[MEMBER]",""),"{MEMBER}",""),"[MEMBER}",""),"MEMBER]",""),"(A)",""),"""",""),"“",""),"”",""),".",""),":",""),",",""),"–"," "),"-"," "),"/"," "),"&amp;"," AND "))&amp;" "," THE "," ")," TOTAL "," ")," OPERATIONS "," "))</f>
        <v>AMERICAS AND EUROPE</v>
      </c>
      <c r="O56" s="17" t="str">
        <f aca="false">IF(COUNTIFS($N$2:$N$2000,N56,$D$2:$D$2000,"&lt;&gt;"&amp;D56)&gt;0,"CONFLICT","")</f>
        <v/>
      </c>
      <c r="P56" s="7"/>
    </row>
    <row r="57" customFormat="false" ht="15" hidden="false" customHeight="false" outlineLevel="0" collapsed="false">
      <c r="A57" s="7" t="s">
        <v>1922</v>
      </c>
      <c r="B57" s="7" t="s">
        <v>1885</v>
      </c>
      <c r="C57" s="7" t="s">
        <v>84</v>
      </c>
      <c r="D57" s="6" t="s">
        <v>74</v>
      </c>
      <c r="E57" s="6" t="s">
        <v>1891</v>
      </c>
      <c r="F57" s="7" t="str">
        <f aca="false">IF($D57="","",IFERROR(IF(INDEX(Hierarchy!$B$2:$B$1295,MATCH($D57,Hierarchy!$A$2:$A$1295,0))="","",INDEX(Hierarchy!$B$2:$B$1295,MATCH($D57,Hierarchy!$A$2:$A$1295,0))),"NODE NOT FOUND"))</f>
        <v>Region</v>
      </c>
      <c r="G57" s="7" t="str">
        <f aca="false">IF($D57="","",IFERROR(IF(INDEX(Hierarchy!$D$2:$D$1295,MATCH($D57,Hierarchy!$A$2:$A$1295,0))="","",INDEX(Hierarchy!$D$2:$D$1295,MATCH($D57,Hierarchy!$A$2:$A$1295,0))),"NODE NOT FOUND"))</f>
        <v>AMER</v>
      </c>
      <c r="H57" s="7" t="str">
        <f aca="false">IF($D57="","",IFERROR(IF(INDEX(Hierarchy!$E$2:$E$1295,MATCH($D57,Hierarchy!$A$2:$A$1295,0))="","",INDEX(Hierarchy!$E$2:$E$1295,MATCH($D57,Hierarchy!$A$2:$A$1295,0))),"NODE NOT FOUND"))</f>
        <v/>
      </c>
      <c r="I57" s="7" t="str">
        <f aca="false">IF($D57="","",IFERROR(IF(INDEX(Hierarchy!$F$2:$F$1295,MATCH($D57,Hierarchy!$A$2:$A$1295,0))="","",INDEX(Hierarchy!$F$2:$F$1295,MATCH($D57,Hierarchy!$A$2:$A$1295,0))),"NODE NOT FOUND"))</f>
        <v/>
      </c>
      <c r="J57" s="7" t="str">
        <f aca="false">IF($D57="","",IFERROR(IF(INDEX(Hierarchy!$G$2:$G$1295,MATCH($D57,Hierarchy!$A$2:$A$1295,0))="","",INDEX(Hierarchy!$G$2:$G$1295,MATCH($D57,Hierarchy!$A$2:$A$1295,0))),"NODE NOT FOUND"))</f>
        <v/>
      </c>
      <c r="K57" s="7" t="str">
        <f aca="false">IF($D57="","",IFERROR(IF(INDEX(Hierarchy!$H$2:$H$1295,MATCH($D57,Hierarchy!$A$2:$A$1295,0))="","",INDEX(Hierarchy!$H$2:$H$1295,MATCH($D57,Hierarchy!$A$2:$A$1295,0))),"NODE NOT FOUND"))</f>
        <v/>
      </c>
      <c r="L57" s="7" t="str">
        <f aca="false">IF($D57="","",IFERROR(IF(INDEX(Hierarchy!$I$2:$I$1295,MATCH($D57,Hierarchy!$A$2:$A$1295,0))="","",INDEX(Hierarchy!$I$2:$I$1295,MATCH($D57,Hierarchy!$A$2:$A$1295,0))),"NODE NOT FOUND"))</f>
        <v/>
      </c>
      <c r="M57" s="17" t="str">
        <f aca="false">IF(B57="Pre-seeded","Pre-seeded",IF(B57="Review 2026-09-16","Added from review",IF(C57="","New",IF(C57=D57,"","Changed"))))</f>
        <v>Changed</v>
      </c>
      <c r="N57" s="7" t="str">
        <f aca="false">TRIM(SUBSTITUTE(SUBSTITUTE(SUBSTITUTE(" "&amp;TRIM(SUBSTITUTE(SUBSTITUTE(SUBSTITUTE(SUBSTITUTE(SUBSTITUTE(SUBSTITUTE(SUBSTITUTE(SUBSTITUTE(SUBSTITUTE(SUBSTITUTE(SUBSTITUTE(SUBSTITUTE(SUBSTITUTE(SUBSTITUTE(SUBSTITUTE(UPPER(TRIM(A57)),"[MEMBER]",""),"{MEMBER}",""),"[MEMBER}",""),"MEMBER]",""),"(A)",""),"""",""),"“",""),"”",""),".",""),":",""),",",""),"–"," "),"-"," "),"/"," "),"&amp;"," AND "))&amp;" "," THE "," ")," TOTAL "," ")," OPERATIONS "," "))</f>
        <v>AMERICAS EXCLUDING US</v>
      </c>
      <c r="O57" s="17" t="str">
        <f aca="false">IF(COUNTIFS($N$2:$N$2000,N57,$D$2:$D$2000,"&lt;&gt;"&amp;D57)&gt;0,"CONFLICT","")</f>
        <v/>
      </c>
      <c r="P57" s="7" t="s">
        <v>1915</v>
      </c>
    </row>
    <row r="58" customFormat="false" ht="15" hidden="false" customHeight="false" outlineLevel="0" collapsed="false">
      <c r="A58" s="7" t="s">
        <v>1135</v>
      </c>
      <c r="B58" s="7" t="s">
        <v>1879</v>
      </c>
      <c r="C58" s="7"/>
      <c r="D58" s="6" t="s">
        <v>1135</v>
      </c>
      <c r="E58" s="6" t="s">
        <v>1880</v>
      </c>
      <c r="F58" s="7" t="str">
        <f aca="false">IF($D58="","",IFERROR(IF(INDEX(Hierarchy!$B$2:$B$1295,MATCH($D58,Hierarchy!$A$2:$A$1295,0))="","",INDEX(Hierarchy!$B$2:$B$1295,MATCH($D58,Hierarchy!$A$2:$A$1295,0))),"NODE NOT FOUND"))</f>
        <v>State/Province</v>
      </c>
      <c r="G58" s="7" t="str">
        <f aca="false">IF($D58="","",IFERROR(IF(INDEX(Hierarchy!$D$2:$D$1295,MATCH($D58,Hierarchy!$A$2:$A$1295,0))="","",INDEX(Hierarchy!$D$2:$D$1295,MATCH($D58,Hierarchy!$A$2:$A$1295,0))),"NODE NOT FOUND"))</f>
        <v>EMEA</v>
      </c>
      <c r="H58" s="7" t="str">
        <f aca="false">IF($D58="","",IFERROR(IF(INDEX(Hierarchy!$E$2:$E$1295,MATCH($D58,Hierarchy!$A$2:$A$1295,0))="","",INDEX(Hierarchy!$E$2:$E$1295,MATCH($D58,Hierarchy!$A$2:$A$1295,0))),"NODE NOT FOUND"))</f>
        <v>Africa</v>
      </c>
      <c r="I58" s="7" t="str">
        <f aca="false">IF($D58="","",IFERROR(IF(INDEX(Hierarchy!$F$2:$F$1295,MATCH($D58,Hierarchy!$A$2:$A$1295,0))="","",INDEX(Hierarchy!$F$2:$F$1295,MATCH($D58,Hierarchy!$A$2:$A$1295,0))),"NODE NOT FOUND"))</f>
        <v>Nigeria</v>
      </c>
      <c r="J58" s="7" t="str">
        <f aca="false">IF($D58="","",IFERROR(IF(INDEX(Hierarchy!$G$2:$G$1295,MATCH($D58,Hierarchy!$A$2:$A$1295,0))="","",INDEX(Hierarchy!$G$2:$G$1295,MATCH($D58,Hierarchy!$A$2:$A$1295,0))),"NODE NOT FOUND"))</f>
        <v>NGA</v>
      </c>
      <c r="K58" s="7" t="str">
        <f aca="false">IF($D58="","",IFERROR(IF(INDEX(Hierarchy!$H$2:$H$1295,MATCH($D58,Hierarchy!$A$2:$A$1295,0))="","",INDEX(Hierarchy!$H$2:$H$1295,MATCH($D58,Hierarchy!$A$2:$A$1295,0))),"NODE NOT FOUND"))</f>
        <v>Anambra</v>
      </c>
      <c r="L58" s="7" t="str">
        <f aca="false">IF($D58="","",IFERROR(IF(INDEX(Hierarchy!$I$2:$I$1295,MATCH($D58,Hierarchy!$A$2:$A$1295,0))="","",INDEX(Hierarchy!$I$2:$I$1295,MATCH($D58,Hierarchy!$A$2:$A$1295,0))),"NODE NOT FOUND"))</f>
        <v/>
      </c>
      <c r="M58" s="17" t="str">
        <f aca="false">IF(B58="Pre-seeded","Pre-seeded",IF(B58="Review 2026-09-16","Added from review",IF(C58="","New",IF(C58=D58,"","Changed"))))</f>
        <v>Pre-seeded</v>
      </c>
      <c r="N58" s="7" t="str">
        <f aca="false">TRIM(SUBSTITUTE(SUBSTITUTE(SUBSTITUTE(" "&amp;TRIM(SUBSTITUTE(SUBSTITUTE(SUBSTITUTE(SUBSTITUTE(SUBSTITUTE(SUBSTITUTE(SUBSTITUTE(SUBSTITUTE(SUBSTITUTE(SUBSTITUTE(SUBSTITUTE(SUBSTITUTE(SUBSTITUTE(SUBSTITUTE(SUBSTITUTE(UPPER(TRIM(A58)),"[MEMBER]",""),"{MEMBER}",""),"[MEMBER}",""),"MEMBER]",""),"(A)",""),"""",""),"“",""),"”",""),".",""),":",""),",",""),"–"," "),"-"," "),"/"," "),"&amp;"," AND "))&amp;" "," THE "," ")," TOTAL "," ")," OPERATIONS "," "))</f>
        <v>ANAMBRA</v>
      </c>
      <c r="O58" s="17" t="str">
        <f aca="false">IF(COUNTIFS($N$2:$N$2000,N58,$D$2:$D$2000,"&lt;&gt;"&amp;D58)&gt;0,"CONFLICT","")</f>
        <v/>
      </c>
      <c r="P58" s="7"/>
    </row>
    <row r="59" customFormat="false" ht="15" hidden="false" customHeight="false" outlineLevel="0" collapsed="false">
      <c r="A59" s="7" t="s">
        <v>1923</v>
      </c>
      <c r="B59" s="7" t="s">
        <v>1879</v>
      </c>
      <c r="C59" s="7"/>
      <c r="D59" s="6" t="s">
        <v>951</v>
      </c>
      <c r="E59" s="6" t="s">
        <v>1880</v>
      </c>
      <c r="F59" s="7" t="str">
        <f aca="false">IF($D59="","",IFERROR(IF(INDEX(Hierarchy!$B$2:$B$1295,MATCH($D59,Hierarchy!$A$2:$A$1295,0))="","",INDEX(Hierarchy!$B$2:$B$1295,MATCH($D59,Hierarchy!$A$2:$A$1295,0))),"NODE NOT FOUND"))</f>
        <v>State/Province</v>
      </c>
      <c r="G59" s="7" t="str">
        <f aca="false">IF($D59="","",IFERROR(IF(INDEX(Hierarchy!$D$2:$D$1295,MATCH($D59,Hierarchy!$A$2:$A$1295,0))="","",INDEX(Hierarchy!$D$2:$D$1295,MATCH($D59,Hierarchy!$A$2:$A$1295,0))),"NODE NOT FOUND"))</f>
        <v>EMEA</v>
      </c>
      <c r="H59" s="7" t="str">
        <f aca="false">IF($D59="","",IFERROR(IF(INDEX(Hierarchy!$E$2:$E$1295,MATCH($D59,Hierarchy!$A$2:$A$1295,0))="","",INDEX(Hierarchy!$E$2:$E$1295,MATCH($D59,Hierarchy!$A$2:$A$1295,0))),"NODE NOT FOUND"))</f>
        <v>Europe</v>
      </c>
      <c r="I59" s="7" t="str">
        <f aca="false">IF($D59="","",IFERROR(IF(INDEX(Hierarchy!$F$2:$F$1295,MATCH($D59,Hierarchy!$A$2:$A$1295,0))="","",INDEX(Hierarchy!$F$2:$F$1295,MATCH($D59,Hierarchy!$A$2:$A$1295,0))),"NODE NOT FOUND"))</f>
        <v>Spain</v>
      </c>
      <c r="J59" s="7" t="str">
        <f aca="false">IF($D59="","",IFERROR(IF(INDEX(Hierarchy!$G$2:$G$1295,MATCH($D59,Hierarchy!$A$2:$A$1295,0))="","",INDEX(Hierarchy!$G$2:$G$1295,MATCH($D59,Hierarchy!$A$2:$A$1295,0))),"NODE NOT FOUND"))</f>
        <v>ESP</v>
      </c>
      <c r="K59" s="7" t="str">
        <f aca="false">IF($D59="","",IFERROR(IF(INDEX(Hierarchy!$H$2:$H$1295,MATCH($D59,Hierarchy!$A$2:$A$1295,0))="","",INDEX(Hierarchy!$H$2:$H$1295,MATCH($D59,Hierarchy!$A$2:$A$1295,0))),"NODE NOT FOUND"))</f>
        <v>Andalusia</v>
      </c>
      <c r="L59" s="7" t="str">
        <f aca="false">IF($D59="","",IFERROR(IF(INDEX(Hierarchy!$I$2:$I$1295,MATCH($D59,Hierarchy!$A$2:$A$1295,0))="","",INDEX(Hierarchy!$I$2:$I$1295,MATCH($D59,Hierarchy!$A$2:$A$1295,0))),"NODE NOT FOUND"))</f>
        <v/>
      </c>
      <c r="M59" s="17" t="str">
        <f aca="false">IF(B59="Pre-seeded","Pre-seeded",IF(B59="Review 2026-09-16","Added from review",IF(C59="","New",IF(C59=D59,"","Changed"))))</f>
        <v>Pre-seeded</v>
      </c>
      <c r="N59" s="7" t="str">
        <f aca="false">TRIM(SUBSTITUTE(SUBSTITUTE(SUBSTITUTE(" "&amp;TRIM(SUBSTITUTE(SUBSTITUTE(SUBSTITUTE(SUBSTITUTE(SUBSTITUTE(SUBSTITUTE(SUBSTITUTE(SUBSTITUTE(SUBSTITUTE(SUBSTITUTE(SUBSTITUTE(SUBSTITUTE(SUBSTITUTE(SUBSTITUTE(SUBSTITUTE(UPPER(TRIM(A59)),"[MEMBER]",""),"{MEMBER}",""),"[MEMBER}",""),"MEMBER]",""),"(A)",""),"""",""),"“",""),"”",""),".",""),":",""),",",""),"–"," "),"-"," "),"/"," "),"&amp;"," AND "))&amp;" "," THE "," ")," TOTAL "," ")," OPERATIONS "," "))</f>
        <v>ANDALUCÍA</v>
      </c>
      <c r="O59" s="17" t="str">
        <f aca="false">IF(COUNTIFS($N$2:$N$2000,N59,$D$2:$D$2000,"&lt;&gt;"&amp;D59)&gt;0,"CONFLICT","")</f>
        <v/>
      </c>
      <c r="P59" s="7"/>
    </row>
    <row r="60" customFormat="false" ht="15" hidden="false" customHeight="false" outlineLevel="0" collapsed="false">
      <c r="A60" s="7" t="s">
        <v>951</v>
      </c>
      <c r="B60" s="7" t="s">
        <v>1879</v>
      </c>
      <c r="C60" s="7"/>
      <c r="D60" s="6" t="s">
        <v>951</v>
      </c>
      <c r="E60" s="6" t="s">
        <v>1880</v>
      </c>
      <c r="F60" s="7" t="str">
        <f aca="false">IF($D60="","",IFERROR(IF(INDEX(Hierarchy!$B$2:$B$1295,MATCH($D60,Hierarchy!$A$2:$A$1295,0))="","",INDEX(Hierarchy!$B$2:$B$1295,MATCH($D60,Hierarchy!$A$2:$A$1295,0))),"NODE NOT FOUND"))</f>
        <v>State/Province</v>
      </c>
      <c r="G60" s="7" t="str">
        <f aca="false">IF($D60="","",IFERROR(IF(INDEX(Hierarchy!$D$2:$D$1295,MATCH($D60,Hierarchy!$A$2:$A$1295,0))="","",INDEX(Hierarchy!$D$2:$D$1295,MATCH($D60,Hierarchy!$A$2:$A$1295,0))),"NODE NOT FOUND"))</f>
        <v>EMEA</v>
      </c>
      <c r="H60" s="7" t="str">
        <f aca="false">IF($D60="","",IFERROR(IF(INDEX(Hierarchy!$E$2:$E$1295,MATCH($D60,Hierarchy!$A$2:$A$1295,0))="","",INDEX(Hierarchy!$E$2:$E$1295,MATCH($D60,Hierarchy!$A$2:$A$1295,0))),"NODE NOT FOUND"))</f>
        <v>Europe</v>
      </c>
      <c r="I60" s="7" t="str">
        <f aca="false">IF($D60="","",IFERROR(IF(INDEX(Hierarchy!$F$2:$F$1295,MATCH($D60,Hierarchy!$A$2:$A$1295,0))="","",INDEX(Hierarchy!$F$2:$F$1295,MATCH($D60,Hierarchy!$A$2:$A$1295,0))),"NODE NOT FOUND"))</f>
        <v>Spain</v>
      </c>
      <c r="J60" s="7" t="str">
        <f aca="false">IF($D60="","",IFERROR(IF(INDEX(Hierarchy!$G$2:$G$1295,MATCH($D60,Hierarchy!$A$2:$A$1295,0))="","",INDEX(Hierarchy!$G$2:$G$1295,MATCH($D60,Hierarchy!$A$2:$A$1295,0))),"NODE NOT FOUND"))</f>
        <v>ESP</v>
      </c>
      <c r="K60" s="7" t="str">
        <f aca="false">IF($D60="","",IFERROR(IF(INDEX(Hierarchy!$H$2:$H$1295,MATCH($D60,Hierarchy!$A$2:$A$1295,0))="","",INDEX(Hierarchy!$H$2:$H$1295,MATCH($D60,Hierarchy!$A$2:$A$1295,0))),"NODE NOT FOUND"))</f>
        <v>Andalusia</v>
      </c>
      <c r="L60" s="7" t="str">
        <f aca="false">IF($D60="","",IFERROR(IF(INDEX(Hierarchy!$I$2:$I$1295,MATCH($D60,Hierarchy!$A$2:$A$1295,0))="","",INDEX(Hierarchy!$I$2:$I$1295,MATCH($D60,Hierarchy!$A$2:$A$1295,0))),"NODE NOT FOUND"))</f>
        <v/>
      </c>
      <c r="M60" s="17" t="str">
        <f aca="false">IF(B60="Pre-seeded","Pre-seeded",IF(B60="Review 2026-09-16","Added from review",IF(C60="","New",IF(C60=D60,"","Changed"))))</f>
        <v>Pre-seeded</v>
      </c>
      <c r="N60" s="7" t="str">
        <f aca="false">TRIM(SUBSTITUTE(SUBSTITUTE(SUBSTITUTE(" "&amp;TRIM(SUBSTITUTE(SUBSTITUTE(SUBSTITUTE(SUBSTITUTE(SUBSTITUTE(SUBSTITUTE(SUBSTITUTE(SUBSTITUTE(SUBSTITUTE(SUBSTITUTE(SUBSTITUTE(SUBSTITUTE(SUBSTITUTE(SUBSTITUTE(SUBSTITUTE(UPPER(TRIM(A60)),"[MEMBER]",""),"{MEMBER}",""),"[MEMBER}",""),"MEMBER]",""),"(A)",""),"""",""),"“",""),"”",""),".",""),":",""),",",""),"–"," "),"-"," "),"/"," "),"&amp;"," AND "))&amp;" "," THE "," ")," TOTAL "," ")," OPERATIONS "," "))</f>
        <v>ANDALUSIA</v>
      </c>
      <c r="O60" s="17" t="str">
        <f aca="false">IF(COUNTIFS($N$2:$N$2000,N60,$D$2:$D$2000,"&lt;&gt;"&amp;D60)&gt;0,"CONFLICT","")</f>
        <v/>
      </c>
      <c r="P60" s="7"/>
    </row>
    <row r="61" customFormat="false" ht="15" hidden="false" customHeight="false" outlineLevel="0" collapsed="false">
      <c r="A61" s="7" t="s">
        <v>1325</v>
      </c>
      <c r="B61" s="7" t="s">
        <v>1879</v>
      </c>
      <c r="C61" s="7"/>
      <c r="D61" s="6" t="s">
        <v>1325</v>
      </c>
      <c r="E61" s="6" t="s">
        <v>1880</v>
      </c>
      <c r="F61" s="7" t="str">
        <f aca="false">IF($D61="","",IFERROR(IF(INDEX(Hierarchy!$B$2:$B$1295,MATCH($D61,Hierarchy!$A$2:$A$1295,0))="","",INDEX(Hierarchy!$B$2:$B$1295,MATCH($D61,Hierarchy!$A$2:$A$1295,0))),"NODE NOT FOUND"))</f>
        <v>State/Province</v>
      </c>
      <c r="G61" s="7" t="str">
        <f aca="false">IF($D61="","",IFERROR(IF(INDEX(Hierarchy!$D$2:$D$1295,MATCH($D61,Hierarchy!$A$2:$A$1295,0))="","",INDEX(Hierarchy!$D$2:$D$1295,MATCH($D61,Hierarchy!$A$2:$A$1295,0))),"NODE NOT FOUND"))</f>
        <v>APAC</v>
      </c>
      <c r="H61" s="7" t="str">
        <f aca="false">IF($D61="","",IFERROR(IF(INDEX(Hierarchy!$E$2:$E$1295,MATCH($D61,Hierarchy!$A$2:$A$1295,0))="","",INDEX(Hierarchy!$E$2:$E$1295,MATCH($D61,Hierarchy!$A$2:$A$1295,0))),"NODE NOT FOUND"))</f>
        <v>South Asia</v>
      </c>
      <c r="I61" s="7" t="str">
        <f aca="false">IF($D61="","",IFERROR(IF(INDEX(Hierarchy!$F$2:$F$1295,MATCH($D61,Hierarchy!$A$2:$A$1295,0))="","",INDEX(Hierarchy!$F$2:$F$1295,MATCH($D61,Hierarchy!$A$2:$A$1295,0))),"NODE NOT FOUND"))</f>
        <v>India</v>
      </c>
      <c r="J61" s="7" t="str">
        <f aca="false">IF($D61="","",IFERROR(IF(INDEX(Hierarchy!$G$2:$G$1295,MATCH($D61,Hierarchy!$A$2:$A$1295,0))="","",INDEX(Hierarchy!$G$2:$G$1295,MATCH($D61,Hierarchy!$A$2:$A$1295,0))),"NODE NOT FOUND"))</f>
        <v>IND</v>
      </c>
      <c r="K61" s="7" t="str">
        <f aca="false">IF($D61="","",IFERROR(IF(INDEX(Hierarchy!$H$2:$H$1295,MATCH($D61,Hierarchy!$A$2:$A$1295,0))="","",INDEX(Hierarchy!$H$2:$H$1295,MATCH($D61,Hierarchy!$A$2:$A$1295,0))),"NODE NOT FOUND"))</f>
        <v>Andaman and Nicobar Islands</v>
      </c>
      <c r="L61" s="7" t="str">
        <f aca="false">IF($D61="","",IFERROR(IF(INDEX(Hierarchy!$I$2:$I$1295,MATCH($D61,Hierarchy!$A$2:$A$1295,0))="","",INDEX(Hierarchy!$I$2:$I$1295,MATCH($D61,Hierarchy!$A$2:$A$1295,0))),"NODE NOT FOUND"))</f>
        <v/>
      </c>
      <c r="M61" s="17" t="str">
        <f aca="false">IF(B61="Pre-seeded","Pre-seeded",IF(B61="Review 2026-09-16","Added from review",IF(C61="","New",IF(C61=D61,"","Changed"))))</f>
        <v>Pre-seeded</v>
      </c>
      <c r="N61" s="7" t="str">
        <f aca="false">TRIM(SUBSTITUTE(SUBSTITUTE(SUBSTITUTE(" "&amp;TRIM(SUBSTITUTE(SUBSTITUTE(SUBSTITUTE(SUBSTITUTE(SUBSTITUTE(SUBSTITUTE(SUBSTITUTE(SUBSTITUTE(SUBSTITUTE(SUBSTITUTE(SUBSTITUTE(SUBSTITUTE(SUBSTITUTE(SUBSTITUTE(SUBSTITUTE(UPPER(TRIM(A61)),"[MEMBER]",""),"{MEMBER}",""),"[MEMBER}",""),"MEMBER]",""),"(A)",""),"""",""),"“",""),"”",""),".",""),":",""),",",""),"–"," "),"-"," "),"/"," "),"&amp;"," AND "))&amp;" "," THE "," ")," TOTAL "," ")," OPERATIONS "," "))</f>
        <v>ANDAMAN AND NICOBAR ISLANDS</v>
      </c>
      <c r="O61" s="17" t="str">
        <f aca="false">IF(COUNTIFS($N$2:$N$2000,N61,$D$2:$D$2000,"&lt;&gt;"&amp;D61)&gt;0,"CONFLICT","")</f>
        <v/>
      </c>
      <c r="P61" s="7"/>
    </row>
    <row r="62" customFormat="false" ht="15" hidden="false" customHeight="false" outlineLevel="0" collapsed="false">
      <c r="A62" s="7" t="s">
        <v>1924</v>
      </c>
      <c r="B62" s="7" t="s">
        <v>1879</v>
      </c>
      <c r="C62" s="7"/>
      <c r="D62" s="6" t="s">
        <v>313</v>
      </c>
      <c r="E62" s="6" t="s">
        <v>1880</v>
      </c>
      <c r="F62" s="7" t="str">
        <f aca="false">IF($D62="","",IFERROR(IF(INDEX(Hierarchy!$B$2:$B$1295,MATCH($D62,Hierarchy!$A$2:$A$1295,0))="","",INDEX(Hierarchy!$B$2:$B$1295,MATCH($D62,Hierarchy!$A$2:$A$1295,0))),"NODE NOT FOUND"))</f>
        <v>Sub-region component</v>
      </c>
      <c r="G62" s="7" t="str">
        <f aca="false">IF($D62="","",IFERROR(IF(INDEX(Hierarchy!$D$2:$D$1295,MATCH($D62,Hierarchy!$A$2:$A$1295,0))="","",INDEX(Hierarchy!$D$2:$D$1295,MATCH($D62,Hierarchy!$A$2:$A$1295,0))),"NODE NOT FOUND"))</f>
        <v>AMER</v>
      </c>
      <c r="H62" s="7" t="str">
        <f aca="false">IF($D62="","",IFERROR(IF(INDEX(Hierarchy!$E$2:$E$1295,MATCH($D62,Hierarchy!$A$2:$A$1295,0))="","",INDEX(Hierarchy!$E$2:$E$1295,MATCH($D62,Hierarchy!$A$2:$A$1295,0))),"NODE NOT FOUND"))</f>
        <v>Latin America (LATAM)</v>
      </c>
      <c r="I62" s="7" t="str">
        <f aca="false">IF($D62="","",IFERROR(IF(INDEX(Hierarchy!$F$2:$F$1295,MATCH($D62,Hierarchy!$A$2:$A$1295,0))="","",INDEX(Hierarchy!$F$2:$F$1295,MATCH($D62,Hierarchy!$A$2:$A$1295,0))),"NODE NOT FOUND"))</f>
        <v/>
      </c>
      <c r="J62" s="7" t="str">
        <f aca="false">IF($D62="","",IFERROR(IF(INDEX(Hierarchy!$G$2:$G$1295,MATCH($D62,Hierarchy!$A$2:$A$1295,0))="","",INDEX(Hierarchy!$G$2:$G$1295,MATCH($D62,Hierarchy!$A$2:$A$1295,0))),"NODE NOT FOUND"))</f>
        <v/>
      </c>
      <c r="K62" s="7" t="str">
        <f aca="false">IF($D62="","",IFERROR(IF(INDEX(Hierarchy!$H$2:$H$1295,MATCH($D62,Hierarchy!$A$2:$A$1295,0))="","",INDEX(Hierarchy!$H$2:$H$1295,MATCH($D62,Hierarchy!$A$2:$A$1295,0))),"NODE NOT FOUND"))</f>
        <v/>
      </c>
      <c r="L62" s="7" t="str">
        <f aca="false">IF($D62="","",IFERROR(IF(INDEX(Hierarchy!$I$2:$I$1295,MATCH($D62,Hierarchy!$A$2:$A$1295,0))="","",INDEX(Hierarchy!$I$2:$I$1295,MATCH($D62,Hierarchy!$A$2:$A$1295,0))),"NODE NOT FOUND"))</f>
        <v/>
      </c>
      <c r="M62" s="17" t="str">
        <f aca="false">IF(B62="Pre-seeded","Pre-seeded",IF(B62="Review 2026-09-16","Added from review",IF(C62="","New",IF(C62=D62,"","Changed"))))</f>
        <v>Pre-seeded</v>
      </c>
      <c r="N62" s="7" t="str">
        <f aca="false">TRIM(SUBSTITUTE(SUBSTITUTE(SUBSTITUTE(" "&amp;TRIM(SUBSTITUTE(SUBSTITUTE(SUBSTITUTE(SUBSTITUTE(SUBSTITUTE(SUBSTITUTE(SUBSTITUTE(SUBSTITUTE(SUBSTITUTE(SUBSTITUTE(SUBSTITUTE(SUBSTITUTE(SUBSTITUTE(SUBSTITUTE(SUBSTITUTE(UPPER(TRIM(A62)),"[MEMBER]",""),"{MEMBER}",""),"[MEMBER}",""),"MEMBER]",""),"(A)",""),"""",""),"“",""),"”",""),".",""),":",""),",",""),"–"," "),"-"," "),"/"," "),"&amp;"," AND "))&amp;" "," THE "," ")," TOTAL "," ")," OPERATIONS "," "))</f>
        <v>ANDEAN</v>
      </c>
      <c r="O62" s="17" t="str">
        <f aca="false">IF(COUNTIFS($N$2:$N$2000,N62,$D$2:$D$2000,"&lt;&gt;"&amp;D62)&gt;0,"CONFLICT","")</f>
        <v/>
      </c>
      <c r="P62" s="7"/>
    </row>
    <row r="63" customFormat="false" ht="15" hidden="false" customHeight="false" outlineLevel="0" collapsed="false">
      <c r="A63" s="7" t="s">
        <v>313</v>
      </c>
      <c r="B63" s="7" t="s">
        <v>1879</v>
      </c>
      <c r="C63" s="7"/>
      <c r="D63" s="6" t="s">
        <v>313</v>
      </c>
      <c r="E63" s="6" t="s">
        <v>1880</v>
      </c>
      <c r="F63" s="7" t="str">
        <f aca="false">IF($D63="","",IFERROR(IF(INDEX(Hierarchy!$B$2:$B$1295,MATCH($D63,Hierarchy!$A$2:$A$1295,0))="","",INDEX(Hierarchy!$B$2:$B$1295,MATCH($D63,Hierarchy!$A$2:$A$1295,0))),"NODE NOT FOUND"))</f>
        <v>Sub-region component</v>
      </c>
      <c r="G63" s="7" t="str">
        <f aca="false">IF($D63="","",IFERROR(IF(INDEX(Hierarchy!$D$2:$D$1295,MATCH($D63,Hierarchy!$A$2:$A$1295,0))="","",INDEX(Hierarchy!$D$2:$D$1295,MATCH($D63,Hierarchy!$A$2:$A$1295,0))),"NODE NOT FOUND"))</f>
        <v>AMER</v>
      </c>
      <c r="H63" s="7" t="str">
        <f aca="false">IF($D63="","",IFERROR(IF(INDEX(Hierarchy!$E$2:$E$1295,MATCH($D63,Hierarchy!$A$2:$A$1295,0))="","",INDEX(Hierarchy!$E$2:$E$1295,MATCH($D63,Hierarchy!$A$2:$A$1295,0))),"NODE NOT FOUND"))</f>
        <v>Latin America (LATAM)</v>
      </c>
      <c r="I63" s="7" t="str">
        <f aca="false">IF($D63="","",IFERROR(IF(INDEX(Hierarchy!$F$2:$F$1295,MATCH($D63,Hierarchy!$A$2:$A$1295,0))="","",INDEX(Hierarchy!$F$2:$F$1295,MATCH($D63,Hierarchy!$A$2:$A$1295,0))),"NODE NOT FOUND"))</f>
        <v/>
      </c>
      <c r="J63" s="7" t="str">
        <f aca="false">IF($D63="","",IFERROR(IF(INDEX(Hierarchy!$G$2:$G$1295,MATCH($D63,Hierarchy!$A$2:$A$1295,0))="","",INDEX(Hierarchy!$G$2:$G$1295,MATCH($D63,Hierarchy!$A$2:$A$1295,0))),"NODE NOT FOUND"))</f>
        <v/>
      </c>
      <c r="K63" s="7" t="str">
        <f aca="false">IF($D63="","",IFERROR(IF(INDEX(Hierarchy!$H$2:$H$1295,MATCH($D63,Hierarchy!$A$2:$A$1295,0))="","",INDEX(Hierarchy!$H$2:$H$1295,MATCH($D63,Hierarchy!$A$2:$A$1295,0))),"NODE NOT FOUND"))</f>
        <v/>
      </c>
      <c r="L63" s="7" t="str">
        <f aca="false">IF($D63="","",IFERROR(IF(INDEX(Hierarchy!$I$2:$I$1295,MATCH($D63,Hierarchy!$A$2:$A$1295,0))="","",INDEX(Hierarchy!$I$2:$I$1295,MATCH($D63,Hierarchy!$A$2:$A$1295,0))),"NODE NOT FOUND"))</f>
        <v/>
      </c>
      <c r="M63" s="17" t="str">
        <f aca="false">IF(B63="Pre-seeded","Pre-seeded",IF(B63="Review 2026-09-16","Added from review",IF(C63="","New",IF(C63=D63,"","Changed"))))</f>
        <v>Pre-seeded</v>
      </c>
      <c r="N63" s="7" t="str">
        <f aca="false">TRIM(SUBSTITUTE(SUBSTITUTE(SUBSTITUTE(" "&amp;TRIM(SUBSTITUTE(SUBSTITUTE(SUBSTITUTE(SUBSTITUTE(SUBSTITUTE(SUBSTITUTE(SUBSTITUTE(SUBSTITUTE(SUBSTITUTE(SUBSTITUTE(SUBSTITUTE(SUBSTITUTE(SUBSTITUTE(SUBSTITUTE(SUBSTITUTE(UPPER(TRIM(A63)),"[MEMBER]",""),"{MEMBER}",""),"[MEMBER}",""),"MEMBER]",""),"(A)",""),"""",""),"“",""),"”",""),".",""),":",""),",",""),"–"," "),"-"," "),"/"," "),"&amp;"," AND "))&amp;" "," THE "," ")," TOTAL "," ")," OPERATIONS "," "))</f>
        <v>ANDEAN REGION</v>
      </c>
      <c r="O63" s="17" t="str">
        <f aca="false">IF(COUNTIFS($N$2:$N$2000,N63,$D$2:$D$2000,"&lt;&gt;"&amp;D63)&gt;0,"CONFLICT","")</f>
        <v/>
      </c>
      <c r="P63" s="7"/>
    </row>
    <row r="64" customFormat="false" ht="15" hidden="false" customHeight="false" outlineLevel="0" collapsed="false">
      <c r="A64" s="7" t="s">
        <v>1327</v>
      </c>
      <c r="B64" s="7" t="s">
        <v>1879</v>
      </c>
      <c r="C64" s="7"/>
      <c r="D64" s="6" t="s">
        <v>1327</v>
      </c>
      <c r="E64" s="6" t="s">
        <v>1880</v>
      </c>
      <c r="F64" s="7" t="str">
        <f aca="false">IF($D64="","",IFERROR(IF(INDEX(Hierarchy!$B$2:$B$1295,MATCH($D64,Hierarchy!$A$2:$A$1295,0))="","",INDEX(Hierarchy!$B$2:$B$1295,MATCH($D64,Hierarchy!$A$2:$A$1295,0))),"NODE NOT FOUND"))</f>
        <v>State/Province</v>
      </c>
      <c r="G64" s="7" t="str">
        <f aca="false">IF($D64="","",IFERROR(IF(INDEX(Hierarchy!$D$2:$D$1295,MATCH($D64,Hierarchy!$A$2:$A$1295,0))="","",INDEX(Hierarchy!$D$2:$D$1295,MATCH($D64,Hierarchy!$A$2:$A$1295,0))),"NODE NOT FOUND"))</f>
        <v>APAC</v>
      </c>
      <c r="H64" s="7" t="str">
        <f aca="false">IF($D64="","",IFERROR(IF(INDEX(Hierarchy!$E$2:$E$1295,MATCH($D64,Hierarchy!$A$2:$A$1295,0))="","",INDEX(Hierarchy!$E$2:$E$1295,MATCH($D64,Hierarchy!$A$2:$A$1295,0))),"NODE NOT FOUND"))</f>
        <v>South Asia</v>
      </c>
      <c r="I64" s="7" t="str">
        <f aca="false">IF($D64="","",IFERROR(IF(INDEX(Hierarchy!$F$2:$F$1295,MATCH($D64,Hierarchy!$A$2:$A$1295,0))="","",INDEX(Hierarchy!$F$2:$F$1295,MATCH($D64,Hierarchy!$A$2:$A$1295,0))),"NODE NOT FOUND"))</f>
        <v>India</v>
      </c>
      <c r="J64" s="7" t="str">
        <f aca="false">IF($D64="","",IFERROR(IF(INDEX(Hierarchy!$G$2:$G$1295,MATCH($D64,Hierarchy!$A$2:$A$1295,0))="","",INDEX(Hierarchy!$G$2:$G$1295,MATCH($D64,Hierarchy!$A$2:$A$1295,0))),"NODE NOT FOUND"))</f>
        <v>IND</v>
      </c>
      <c r="K64" s="7" t="str">
        <f aca="false">IF($D64="","",IFERROR(IF(INDEX(Hierarchy!$H$2:$H$1295,MATCH($D64,Hierarchy!$A$2:$A$1295,0))="","",INDEX(Hierarchy!$H$2:$H$1295,MATCH($D64,Hierarchy!$A$2:$A$1295,0))),"NODE NOT FOUND"))</f>
        <v>Andhra Pradesh</v>
      </c>
      <c r="L64" s="7" t="str">
        <f aca="false">IF($D64="","",IFERROR(IF(INDEX(Hierarchy!$I$2:$I$1295,MATCH($D64,Hierarchy!$A$2:$A$1295,0))="","",INDEX(Hierarchy!$I$2:$I$1295,MATCH($D64,Hierarchy!$A$2:$A$1295,0))),"NODE NOT FOUND"))</f>
        <v/>
      </c>
      <c r="M64" s="17" t="str">
        <f aca="false">IF(B64="Pre-seeded","Pre-seeded",IF(B64="Review 2026-09-16","Added from review",IF(C64="","New",IF(C64=D64,"","Changed"))))</f>
        <v>Pre-seeded</v>
      </c>
      <c r="N64" s="7" t="str">
        <f aca="false">TRIM(SUBSTITUTE(SUBSTITUTE(SUBSTITUTE(" "&amp;TRIM(SUBSTITUTE(SUBSTITUTE(SUBSTITUTE(SUBSTITUTE(SUBSTITUTE(SUBSTITUTE(SUBSTITUTE(SUBSTITUTE(SUBSTITUTE(SUBSTITUTE(SUBSTITUTE(SUBSTITUTE(SUBSTITUTE(SUBSTITUTE(SUBSTITUTE(UPPER(TRIM(A64)),"[MEMBER]",""),"{MEMBER}",""),"[MEMBER}",""),"MEMBER]",""),"(A)",""),"""",""),"“",""),"”",""),".",""),":",""),",",""),"–"," "),"-"," "),"/"," "),"&amp;"," AND "))&amp;" "," THE "," ")," TOTAL "," ")," OPERATIONS "," "))</f>
        <v>ANDHRA PRADESH</v>
      </c>
      <c r="O64" s="17" t="str">
        <f aca="false">IF(COUNTIFS($N$2:$N$2000,N64,$D$2:$D$2000,"&lt;&gt;"&amp;D64)&gt;0,"CONFLICT","")</f>
        <v/>
      </c>
      <c r="P64" s="7"/>
    </row>
    <row r="65" customFormat="false" ht="15" hidden="false" customHeight="false" outlineLevel="0" collapsed="false">
      <c r="A65" s="7" t="s">
        <v>738</v>
      </c>
      <c r="B65" s="7" t="s">
        <v>1879</v>
      </c>
      <c r="C65" s="7"/>
      <c r="D65" s="6" t="s">
        <v>738</v>
      </c>
      <c r="E65" s="6" t="s">
        <v>1880</v>
      </c>
      <c r="F65" s="7" t="str">
        <f aca="false">IF($D65="","",IFERROR(IF(INDEX(Hierarchy!$B$2:$B$1295,MATCH($D65,Hierarchy!$A$2:$A$1295,0))="","",INDEX(Hierarchy!$B$2:$B$1295,MATCH($D65,Hierarchy!$A$2:$A$1295,0))),"NODE NOT FOUND"))</f>
        <v>Country</v>
      </c>
      <c r="G65" s="7" t="str">
        <f aca="false">IF($D65="","",IFERROR(IF(INDEX(Hierarchy!$D$2:$D$1295,MATCH($D65,Hierarchy!$A$2:$A$1295,0))="","",INDEX(Hierarchy!$D$2:$D$1295,MATCH($D65,Hierarchy!$A$2:$A$1295,0))),"NODE NOT FOUND"))</f>
        <v>EMEA</v>
      </c>
      <c r="H65" s="7" t="str">
        <f aca="false">IF($D65="","",IFERROR(IF(INDEX(Hierarchy!$E$2:$E$1295,MATCH($D65,Hierarchy!$A$2:$A$1295,0))="","",INDEX(Hierarchy!$E$2:$E$1295,MATCH($D65,Hierarchy!$A$2:$A$1295,0))),"NODE NOT FOUND"))</f>
        <v>Europe</v>
      </c>
      <c r="I65" s="7" t="str">
        <f aca="false">IF($D65="","",IFERROR(IF(INDEX(Hierarchy!$F$2:$F$1295,MATCH($D65,Hierarchy!$A$2:$A$1295,0))="","",INDEX(Hierarchy!$F$2:$F$1295,MATCH($D65,Hierarchy!$A$2:$A$1295,0))),"NODE NOT FOUND"))</f>
        <v>Andorra</v>
      </c>
      <c r="J65" s="7" t="str">
        <f aca="false">IF($D65="","",IFERROR(IF(INDEX(Hierarchy!$G$2:$G$1295,MATCH($D65,Hierarchy!$A$2:$A$1295,0))="","",INDEX(Hierarchy!$G$2:$G$1295,MATCH($D65,Hierarchy!$A$2:$A$1295,0))),"NODE NOT FOUND"))</f>
        <v>AND</v>
      </c>
      <c r="K65" s="7" t="str">
        <f aca="false">IF($D65="","",IFERROR(IF(INDEX(Hierarchy!$H$2:$H$1295,MATCH($D65,Hierarchy!$A$2:$A$1295,0))="","",INDEX(Hierarchy!$H$2:$H$1295,MATCH($D65,Hierarchy!$A$2:$A$1295,0))),"NODE NOT FOUND"))</f>
        <v/>
      </c>
      <c r="L65" s="7" t="str">
        <f aca="false">IF($D65="","",IFERROR(IF(INDEX(Hierarchy!$I$2:$I$1295,MATCH($D65,Hierarchy!$A$2:$A$1295,0))="","",INDEX(Hierarchy!$I$2:$I$1295,MATCH($D65,Hierarchy!$A$2:$A$1295,0))),"NODE NOT FOUND"))</f>
        <v/>
      </c>
      <c r="M65" s="17" t="str">
        <f aca="false">IF(B65="Pre-seeded","Pre-seeded",IF(B65="Review 2026-09-16","Added from review",IF(C65="","New",IF(C65=D65,"","Changed"))))</f>
        <v>Pre-seeded</v>
      </c>
      <c r="N65" s="7" t="str">
        <f aca="false">TRIM(SUBSTITUTE(SUBSTITUTE(SUBSTITUTE(" "&amp;TRIM(SUBSTITUTE(SUBSTITUTE(SUBSTITUTE(SUBSTITUTE(SUBSTITUTE(SUBSTITUTE(SUBSTITUTE(SUBSTITUTE(SUBSTITUTE(SUBSTITUTE(SUBSTITUTE(SUBSTITUTE(SUBSTITUTE(SUBSTITUTE(SUBSTITUTE(UPPER(TRIM(A65)),"[MEMBER]",""),"{MEMBER}",""),"[MEMBER}",""),"MEMBER]",""),"(A)",""),"""",""),"“",""),"”",""),".",""),":",""),",",""),"–"," "),"-"," "),"/"," "),"&amp;"," AND "))&amp;" "," THE "," ")," TOTAL "," ")," OPERATIONS "," "))</f>
        <v>ANDORRA</v>
      </c>
      <c r="O65" s="17" t="str">
        <f aca="false">IF(COUNTIFS($N$2:$N$2000,N65,$D$2:$D$2000,"&lt;&gt;"&amp;D65)&gt;0,"CONFLICT","")</f>
        <v/>
      </c>
      <c r="P65" s="7"/>
    </row>
    <row r="66" customFormat="false" ht="15" hidden="false" customHeight="false" outlineLevel="0" collapsed="false">
      <c r="A66" s="7" t="s">
        <v>1174</v>
      </c>
      <c r="B66" s="7" t="s">
        <v>1882</v>
      </c>
      <c r="C66" s="7" t="s">
        <v>1174</v>
      </c>
      <c r="D66" s="6" t="s">
        <v>1174</v>
      </c>
      <c r="E66" s="6" t="s">
        <v>1880</v>
      </c>
      <c r="F66" s="7" t="str">
        <f aca="false">IF($D66="","",IFERROR(IF(INDEX(Hierarchy!$B$2:$B$1295,MATCH($D66,Hierarchy!$A$2:$A$1295,0))="","",INDEX(Hierarchy!$B$2:$B$1295,MATCH($D66,Hierarchy!$A$2:$A$1295,0))),"NODE NOT FOUND"))</f>
        <v>Country</v>
      </c>
      <c r="G66" s="7" t="str">
        <f aca="false">IF($D66="","",IFERROR(IF(INDEX(Hierarchy!$D$2:$D$1295,MATCH($D66,Hierarchy!$A$2:$A$1295,0))="","",INDEX(Hierarchy!$D$2:$D$1295,MATCH($D66,Hierarchy!$A$2:$A$1295,0))),"NODE NOT FOUND"))</f>
        <v>EMEA</v>
      </c>
      <c r="H66" s="7" t="str">
        <f aca="false">IF($D66="","",IFERROR(IF(INDEX(Hierarchy!$E$2:$E$1295,MATCH($D66,Hierarchy!$A$2:$A$1295,0))="","",INDEX(Hierarchy!$E$2:$E$1295,MATCH($D66,Hierarchy!$A$2:$A$1295,0))),"NODE NOT FOUND"))</f>
        <v>Africa</v>
      </c>
      <c r="I66" s="7" t="str">
        <f aca="false">IF($D66="","",IFERROR(IF(INDEX(Hierarchy!$F$2:$F$1295,MATCH($D66,Hierarchy!$A$2:$A$1295,0))="","",INDEX(Hierarchy!$F$2:$F$1295,MATCH($D66,Hierarchy!$A$2:$A$1295,0))),"NODE NOT FOUND"))</f>
        <v>Angola</v>
      </c>
      <c r="J66" s="7" t="str">
        <f aca="false">IF($D66="","",IFERROR(IF(INDEX(Hierarchy!$G$2:$G$1295,MATCH($D66,Hierarchy!$A$2:$A$1295,0))="","",INDEX(Hierarchy!$G$2:$G$1295,MATCH($D66,Hierarchy!$A$2:$A$1295,0))),"NODE NOT FOUND"))</f>
        <v>AGO</v>
      </c>
      <c r="K66" s="7" t="str">
        <f aca="false">IF($D66="","",IFERROR(IF(INDEX(Hierarchy!$H$2:$H$1295,MATCH($D66,Hierarchy!$A$2:$A$1295,0))="","",INDEX(Hierarchy!$H$2:$H$1295,MATCH($D66,Hierarchy!$A$2:$A$1295,0))),"NODE NOT FOUND"))</f>
        <v/>
      </c>
      <c r="L66" s="7" t="str">
        <f aca="false">IF($D66="","",IFERROR(IF(INDEX(Hierarchy!$I$2:$I$1295,MATCH($D66,Hierarchy!$A$2:$A$1295,0))="","",INDEX(Hierarchy!$I$2:$I$1295,MATCH($D66,Hierarchy!$A$2:$A$1295,0))),"NODE NOT FOUND"))</f>
        <v/>
      </c>
      <c r="M66" s="17" t="str">
        <f aca="false">IF(B66="Pre-seeded","Pre-seeded",IF(B66="Review 2026-09-16","Added from review",IF(C66="","New",IF(C66=D66,"","Changed"))))</f>
        <v/>
      </c>
      <c r="N66" s="7" t="str">
        <f aca="false">TRIM(SUBSTITUTE(SUBSTITUTE(SUBSTITUTE(" "&amp;TRIM(SUBSTITUTE(SUBSTITUTE(SUBSTITUTE(SUBSTITUTE(SUBSTITUTE(SUBSTITUTE(SUBSTITUTE(SUBSTITUTE(SUBSTITUTE(SUBSTITUTE(SUBSTITUTE(SUBSTITUTE(SUBSTITUTE(SUBSTITUTE(SUBSTITUTE(UPPER(TRIM(A66)),"[MEMBER]",""),"{MEMBER}",""),"[MEMBER}",""),"MEMBER]",""),"(A)",""),"""",""),"“",""),"”",""),".",""),":",""),",",""),"–"," "),"-"," "),"/"," "),"&amp;"," AND "))&amp;" "," THE "," ")," TOTAL "," ")," OPERATIONS "," "))</f>
        <v>ANGOLA</v>
      </c>
      <c r="O66" s="17" t="str">
        <f aca="false">IF(COUNTIFS($N$2:$N$2000,N66,$D$2:$D$2000,"&lt;&gt;"&amp;D66)&gt;0,"CONFLICT","")</f>
        <v/>
      </c>
      <c r="P66" s="7"/>
    </row>
    <row r="67" customFormat="false" ht="15" hidden="false" customHeight="false" outlineLevel="0" collapsed="false">
      <c r="A67" s="7" t="s">
        <v>420</v>
      </c>
      <c r="B67" s="7" t="s">
        <v>1879</v>
      </c>
      <c r="C67" s="7"/>
      <c r="D67" s="6" t="s">
        <v>420</v>
      </c>
      <c r="E67" s="6" t="s">
        <v>1880</v>
      </c>
      <c r="F67" s="7" t="str">
        <f aca="false">IF($D67="","",IFERROR(IF(INDEX(Hierarchy!$B$2:$B$1295,MATCH($D67,Hierarchy!$A$2:$A$1295,0))="","",INDEX(Hierarchy!$B$2:$B$1295,MATCH($D67,Hierarchy!$A$2:$A$1295,0))),"NODE NOT FOUND"))</f>
        <v>Country</v>
      </c>
      <c r="G67" s="7" t="str">
        <f aca="false">IF($D67="","",IFERROR(IF(INDEX(Hierarchy!$D$2:$D$1295,MATCH($D67,Hierarchy!$A$2:$A$1295,0))="","",INDEX(Hierarchy!$D$2:$D$1295,MATCH($D67,Hierarchy!$A$2:$A$1295,0))),"NODE NOT FOUND"))</f>
        <v>AMER</v>
      </c>
      <c r="H67" s="7" t="str">
        <f aca="false">IF($D67="","",IFERROR(IF(INDEX(Hierarchy!$E$2:$E$1295,MATCH($D67,Hierarchy!$A$2:$A$1295,0))="","",INDEX(Hierarchy!$E$2:$E$1295,MATCH($D67,Hierarchy!$A$2:$A$1295,0))),"NODE NOT FOUND"))</f>
        <v>Latin America (LATAM)</v>
      </c>
      <c r="I67" s="7" t="str">
        <f aca="false">IF($D67="","",IFERROR(IF(INDEX(Hierarchy!$F$2:$F$1295,MATCH($D67,Hierarchy!$A$2:$A$1295,0))="","",INDEX(Hierarchy!$F$2:$F$1295,MATCH($D67,Hierarchy!$A$2:$A$1295,0))),"NODE NOT FOUND"))</f>
        <v>Anguilla</v>
      </c>
      <c r="J67" s="7" t="str">
        <f aca="false">IF($D67="","",IFERROR(IF(INDEX(Hierarchy!$G$2:$G$1295,MATCH($D67,Hierarchy!$A$2:$A$1295,0))="","",INDEX(Hierarchy!$G$2:$G$1295,MATCH($D67,Hierarchy!$A$2:$A$1295,0))),"NODE NOT FOUND"))</f>
        <v>AIA</v>
      </c>
      <c r="K67" s="7" t="str">
        <f aca="false">IF($D67="","",IFERROR(IF(INDEX(Hierarchy!$H$2:$H$1295,MATCH($D67,Hierarchy!$A$2:$A$1295,0))="","",INDEX(Hierarchy!$H$2:$H$1295,MATCH($D67,Hierarchy!$A$2:$A$1295,0))),"NODE NOT FOUND"))</f>
        <v/>
      </c>
      <c r="L67" s="7" t="str">
        <f aca="false">IF($D67="","",IFERROR(IF(INDEX(Hierarchy!$I$2:$I$1295,MATCH($D67,Hierarchy!$A$2:$A$1295,0))="","",INDEX(Hierarchy!$I$2:$I$1295,MATCH($D67,Hierarchy!$A$2:$A$1295,0))),"NODE NOT FOUND"))</f>
        <v/>
      </c>
      <c r="M67" s="17" t="str">
        <f aca="false">IF(B67="Pre-seeded","Pre-seeded",IF(B67="Review 2026-09-16","Added from review",IF(C67="","New",IF(C67=D67,"","Changed"))))</f>
        <v>Pre-seeded</v>
      </c>
      <c r="N67" s="7" t="str">
        <f aca="false">TRIM(SUBSTITUTE(SUBSTITUTE(SUBSTITUTE(" "&amp;TRIM(SUBSTITUTE(SUBSTITUTE(SUBSTITUTE(SUBSTITUTE(SUBSTITUTE(SUBSTITUTE(SUBSTITUTE(SUBSTITUTE(SUBSTITUTE(SUBSTITUTE(SUBSTITUTE(SUBSTITUTE(SUBSTITUTE(SUBSTITUTE(SUBSTITUTE(UPPER(TRIM(A67)),"[MEMBER]",""),"{MEMBER}",""),"[MEMBER}",""),"MEMBER]",""),"(A)",""),"""",""),"“",""),"”",""),".",""),":",""),",",""),"–"," "),"-"," "),"/"," "),"&amp;"," AND "))&amp;" "," THE "," ")," TOTAL "," ")," OPERATIONS "," "))</f>
        <v>ANGUILLA</v>
      </c>
      <c r="O67" s="17" t="str">
        <f aca="false">IF(COUNTIFS($N$2:$N$2000,N67,$D$2:$D$2000,"&lt;&gt;"&amp;D67)&gt;0,"CONFLICT","")</f>
        <v/>
      </c>
      <c r="P67" s="7"/>
    </row>
    <row r="68" customFormat="false" ht="15" hidden="false" customHeight="false" outlineLevel="0" collapsed="false">
      <c r="A68" s="7" t="s">
        <v>1502</v>
      </c>
      <c r="B68" s="7" t="s">
        <v>1879</v>
      </c>
      <c r="C68" s="7"/>
      <c r="D68" s="6" t="s">
        <v>1502</v>
      </c>
      <c r="E68" s="6" t="s">
        <v>1880</v>
      </c>
      <c r="F68" s="7" t="str">
        <f aca="false">IF($D68="","",IFERROR(IF(INDEX(Hierarchy!$B$2:$B$1295,MATCH($D68,Hierarchy!$A$2:$A$1295,0))="","",INDEX(Hierarchy!$B$2:$B$1295,MATCH($D68,Hierarchy!$A$2:$A$1295,0))),"NODE NOT FOUND"))</f>
        <v>State/Province</v>
      </c>
      <c r="G68" s="7" t="str">
        <f aca="false">IF($D68="","",IFERROR(IF(INDEX(Hierarchy!$D$2:$D$1295,MATCH($D68,Hierarchy!$A$2:$A$1295,0))="","",INDEX(Hierarchy!$D$2:$D$1295,MATCH($D68,Hierarchy!$A$2:$A$1295,0))),"NODE NOT FOUND"))</f>
        <v>APAC</v>
      </c>
      <c r="H68" s="7" t="str">
        <f aca="false">IF($D68="","",IFERROR(IF(INDEX(Hierarchy!$E$2:$E$1295,MATCH($D68,Hierarchy!$A$2:$A$1295,0))="","",INDEX(Hierarchy!$E$2:$E$1295,MATCH($D68,Hierarchy!$A$2:$A$1295,0))),"NODE NOT FOUND"))</f>
        <v>East Asia</v>
      </c>
      <c r="I68" s="7" t="str">
        <f aca="false">IF($D68="","",IFERROR(IF(INDEX(Hierarchy!$F$2:$F$1295,MATCH($D68,Hierarchy!$A$2:$A$1295,0))="","",INDEX(Hierarchy!$F$2:$F$1295,MATCH($D68,Hierarchy!$A$2:$A$1295,0))),"NODE NOT FOUND"))</f>
        <v>China</v>
      </c>
      <c r="J68" s="7" t="str">
        <f aca="false">IF($D68="","",IFERROR(IF(INDEX(Hierarchy!$G$2:$G$1295,MATCH($D68,Hierarchy!$A$2:$A$1295,0))="","",INDEX(Hierarchy!$G$2:$G$1295,MATCH($D68,Hierarchy!$A$2:$A$1295,0))),"NODE NOT FOUND"))</f>
        <v>CHN</v>
      </c>
      <c r="K68" s="7" t="str">
        <f aca="false">IF($D68="","",IFERROR(IF(INDEX(Hierarchy!$H$2:$H$1295,MATCH($D68,Hierarchy!$A$2:$A$1295,0))="","",INDEX(Hierarchy!$H$2:$H$1295,MATCH($D68,Hierarchy!$A$2:$A$1295,0))),"NODE NOT FOUND"))</f>
        <v>Anhui</v>
      </c>
      <c r="L68" s="7" t="str">
        <f aca="false">IF($D68="","",IFERROR(IF(INDEX(Hierarchy!$I$2:$I$1295,MATCH($D68,Hierarchy!$A$2:$A$1295,0))="","",INDEX(Hierarchy!$I$2:$I$1295,MATCH($D68,Hierarchy!$A$2:$A$1295,0))),"NODE NOT FOUND"))</f>
        <v/>
      </c>
      <c r="M68" s="17" t="str">
        <f aca="false">IF(B68="Pre-seeded","Pre-seeded",IF(B68="Review 2026-09-16","Added from review",IF(C68="","New",IF(C68=D68,"","Changed"))))</f>
        <v>Pre-seeded</v>
      </c>
      <c r="N68" s="7" t="str">
        <f aca="false">TRIM(SUBSTITUTE(SUBSTITUTE(SUBSTITUTE(" "&amp;TRIM(SUBSTITUTE(SUBSTITUTE(SUBSTITUTE(SUBSTITUTE(SUBSTITUTE(SUBSTITUTE(SUBSTITUTE(SUBSTITUTE(SUBSTITUTE(SUBSTITUTE(SUBSTITUTE(SUBSTITUTE(SUBSTITUTE(SUBSTITUTE(SUBSTITUTE(UPPER(TRIM(A68)),"[MEMBER]",""),"{MEMBER}",""),"[MEMBER}",""),"MEMBER]",""),"(A)",""),"""",""),"“",""),"”",""),".",""),":",""),",",""),"–"," "),"-"," "),"/"," "),"&amp;"," AND "))&amp;" "," THE "," ")," TOTAL "," ")," OPERATIONS "," "))</f>
        <v>ANHUI</v>
      </c>
      <c r="O68" s="17" t="str">
        <f aca="false">IF(COUNTIFS($N$2:$N$2000,N68,$D$2:$D$2000,"&lt;&gt;"&amp;D68)&gt;0,"CONFLICT","")</f>
        <v/>
      </c>
      <c r="P68" s="7"/>
    </row>
    <row r="69" customFormat="false" ht="15" hidden="false" customHeight="false" outlineLevel="0" collapsed="false">
      <c r="A69" s="7" t="s">
        <v>423</v>
      </c>
      <c r="B69" s="7" t="s">
        <v>1879</v>
      </c>
      <c r="C69" s="7"/>
      <c r="D69" s="6" t="s">
        <v>423</v>
      </c>
      <c r="E69" s="6" t="s">
        <v>1880</v>
      </c>
      <c r="F69" s="7" t="str">
        <f aca="false">IF($D69="","",IFERROR(IF(INDEX(Hierarchy!$B$2:$B$1295,MATCH($D69,Hierarchy!$A$2:$A$1295,0))="","",INDEX(Hierarchy!$B$2:$B$1295,MATCH($D69,Hierarchy!$A$2:$A$1295,0))),"NODE NOT FOUND"))</f>
        <v>Country</v>
      </c>
      <c r="G69" s="7" t="str">
        <f aca="false">IF($D69="","",IFERROR(IF(INDEX(Hierarchy!$D$2:$D$1295,MATCH($D69,Hierarchy!$A$2:$A$1295,0))="","",INDEX(Hierarchy!$D$2:$D$1295,MATCH($D69,Hierarchy!$A$2:$A$1295,0))),"NODE NOT FOUND"))</f>
        <v>AMER</v>
      </c>
      <c r="H69" s="7" t="str">
        <f aca="false">IF($D69="","",IFERROR(IF(INDEX(Hierarchy!$E$2:$E$1295,MATCH($D69,Hierarchy!$A$2:$A$1295,0))="","",INDEX(Hierarchy!$E$2:$E$1295,MATCH($D69,Hierarchy!$A$2:$A$1295,0))),"NODE NOT FOUND"))</f>
        <v>Latin America (LATAM)</v>
      </c>
      <c r="I69" s="7" t="str">
        <f aca="false">IF($D69="","",IFERROR(IF(INDEX(Hierarchy!$F$2:$F$1295,MATCH($D69,Hierarchy!$A$2:$A$1295,0))="","",INDEX(Hierarchy!$F$2:$F$1295,MATCH($D69,Hierarchy!$A$2:$A$1295,0))),"NODE NOT FOUND"))</f>
        <v>Antigua and Barbuda</v>
      </c>
      <c r="J69" s="7" t="str">
        <f aca="false">IF($D69="","",IFERROR(IF(INDEX(Hierarchy!$G$2:$G$1295,MATCH($D69,Hierarchy!$A$2:$A$1295,0))="","",INDEX(Hierarchy!$G$2:$G$1295,MATCH($D69,Hierarchy!$A$2:$A$1295,0))),"NODE NOT FOUND"))</f>
        <v>ATG</v>
      </c>
      <c r="K69" s="7" t="str">
        <f aca="false">IF($D69="","",IFERROR(IF(INDEX(Hierarchy!$H$2:$H$1295,MATCH($D69,Hierarchy!$A$2:$A$1295,0))="","",INDEX(Hierarchy!$H$2:$H$1295,MATCH($D69,Hierarchy!$A$2:$A$1295,0))),"NODE NOT FOUND"))</f>
        <v/>
      </c>
      <c r="L69" s="7" t="str">
        <f aca="false">IF($D69="","",IFERROR(IF(INDEX(Hierarchy!$I$2:$I$1295,MATCH($D69,Hierarchy!$A$2:$A$1295,0))="","",INDEX(Hierarchy!$I$2:$I$1295,MATCH($D69,Hierarchy!$A$2:$A$1295,0))),"NODE NOT FOUND"))</f>
        <v/>
      </c>
      <c r="M69" s="17" t="str">
        <f aca="false">IF(B69="Pre-seeded","Pre-seeded",IF(B69="Review 2026-09-16","Added from review",IF(C69="","New",IF(C69=D69,"","Changed"))))</f>
        <v>Pre-seeded</v>
      </c>
      <c r="N69" s="7" t="str">
        <f aca="false">TRIM(SUBSTITUTE(SUBSTITUTE(SUBSTITUTE(" "&amp;TRIM(SUBSTITUTE(SUBSTITUTE(SUBSTITUTE(SUBSTITUTE(SUBSTITUTE(SUBSTITUTE(SUBSTITUTE(SUBSTITUTE(SUBSTITUTE(SUBSTITUTE(SUBSTITUTE(SUBSTITUTE(SUBSTITUTE(SUBSTITUTE(SUBSTITUTE(UPPER(TRIM(A69)),"[MEMBER]",""),"{MEMBER}",""),"[MEMBER}",""),"MEMBER]",""),"(A)",""),"""",""),"“",""),"”",""),".",""),":",""),",",""),"–"," "),"-"," "),"/"," "),"&amp;"," AND "))&amp;" "," THE "," ")," TOTAL "," ")," OPERATIONS "," "))</f>
        <v>ANTIGUA AND BARBUDA</v>
      </c>
      <c r="O69" s="17" t="str">
        <f aca="false">IF(COUNTIFS($N$2:$N$2000,N69,$D$2:$D$2000,"&lt;&gt;"&amp;D69)&gt;0,"CONFLICT","")</f>
        <v/>
      </c>
      <c r="P69" s="7"/>
    </row>
    <row r="70" customFormat="false" ht="15" hidden="false" customHeight="false" outlineLevel="0" collapsed="false">
      <c r="A70" s="7" t="s">
        <v>501</v>
      </c>
      <c r="B70" s="7" t="s">
        <v>1879</v>
      </c>
      <c r="C70" s="7"/>
      <c r="D70" s="6" t="s">
        <v>501</v>
      </c>
      <c r="E70" s="6" t="s">
        <v>1880</v>
      </c>
      <c r="F70" s="7" t="str">
        <f aca="false">IF($D70="","",IFERROR(IF(INDEX(Hierarchy!$B$2:$B$1295,MATCH($D70,Hierarchy!$A$2:$A$1295,0))="","",INDEX(Hierarchy!$B$2:$B$1295,MATCH($D70,Hierarchy!$A$2:$A$1295,0))),"NODE NOT FOUND"))</f>
        <v>State/Province</v>
      </c>
      <c r="G70" s="7" t="str">
        <f aca="false">IF($D70="","",IFERROR(IF(INDEX(Hierarchy!$D$2:$D$1295,MATCH($D70,Hierarchy!$A$2:$A$1295,0))="","",INDEX(Hierarchy!$D$2:$D$1295,MATCH($D70,Hierarchy!$A$2:$A$1295,0))),"NODE NOT FOUND"))</f>
        <v>AMER</v>
      </c>
      <c r="H70" s="7" t="str">
        <f aca="false">IF($D70="","",IFERROR(IF(INDEX(Hierarchy!$E$2:$E$1295,MATCH($D70,Hierarchy!$A$2:$A$1295,0))="","",INDEX(Hierarchy!$E$2:$E$1295,MATCH($D70,Hierarchy!$A$2:$A$1295,0))),"NODE NOT FOUND"))</f>
        <v>Latin America (LATAM)</v>
      </c>
      <c r="I70" s="7" t="str">
        <f aca="false">IF($D70="","",IFERROR(IF(INDEX(Hierarchy!$F$2:$F$1295,MATCH($D70,Hierarchy!$A$2:$A$1295,0))="","",INDEX(Hierarchy!$F$2:$F$1295,MATCH($D70,Hierarchy!$A$2:$A$1295,0))),"NODE NOT FOUND"))</f>
        <v>Colombia</v>
      </c>
      <c r="J70" s="7" t="str">
        <f aca="false">IF($D70="","",IFERROR(IF(INDEX(Hierarchy!$G$2:$G$1295,MATCH($D70,Hierarchy!$A$2:$A$1295,0))="","",INDEX(Hierarchy!$G$2:$G$1295,MATCH($D70,Hierarchy!$A$2:$A$1295,0))),"NODE NOT FOUND"))</f>
        <v>COL</v>
      </c>
      <c r="K70" s="7" t="str">
        <f aca="false">IF($D70="","",IFERROR(IF(INDEX(Hierarchy!$H$2:$H$1295,MATCH($D70,Hierarchy!$A$2:$A$1295,0))="","",INDEX(Hierarchy!$H$2:$H$1295,MATCH($D70,Hierarchy!$A$2:$A$1295,0))),"NODE NOT FOUND"))</f>
        <v>Antioquia</v>
      </c>
      <c r="L70" s="7" t="str">
        <f aca="false">IF($D70="","",IFERROR(IF(INDEX(Hierarchy!$I$2:$I$1295,MATCH($D70,Hierarchy!$A$2:$A$1295,0))="","",INDEX(Hierarchy!$I$2:$I$1295,MATCH($D70,Hierarchy!$A$2:$A$1295,0))),"NODE NOT FOUND"))</f>
        <v/>
      </c>
      <c r="M70" s="17" t="str">
        <f aca="false">IF(B70="Pre-seeded","Pre-seeded",IF(B70="Review 2026-09-16","Added from review",IF(C70="","New",IF(C70=D70,"","Changed"))))</f>
        <v>Pre-seeded</v>
      </c>
      <c r="N70" s="7" t="str">
        <f aca="false">TRIM(SUBSTITUTE(SUBSTITUTE(SUBSTITUTE(" "&amp;TRIM(SUBSTITUTE(SUBSTITUTE(SUBSTITUTE(SUBSTITUTE(SUBSTITUTE(SUBSTITUTE(SUBSTITUTE(SUBSTITUTE(SUBSTITUTE(SUBSTITUTE(SUBSTITUTE(SUBSTITUTE(SUBSTITUTE(SUBSTITUTE(SUBSTITUTE(UPPER(TRIM(A70)),"[MEMBER]",""),"{MEMBER}",""),"[MEMBER}",""),"MEMBER]",""),"(A)",""),"""",""),"“",""),"”",""),".",""),":",""),",",""),"–"," "),"-"," "),"/"," "),"&amp;"," AND "))&amp;" "," THE "," ")," TOTAL "," ")," OPERATIONS "," "))</f>
        <v>ANTIOQUIA</v>
      </c>
      <c r="O70" s="17" t="str">
        <f aca="false">IF(COUNTIFS($N$2:$N$2000,N70,$D$2:$D$2000,"&lt;&gt;"&amp;D70)&gt;0,"CONFLICT","")</f>
        <v/>
      </c>
      <c r="P70" s="7"/>
    </row>
    <row r="71" customFormat="false" ht="15" hidden="false" customHeight="false" outlineLevel="0" collapsed="false">
      <c r="A71" s="7" t="s">
        <v>479</v>
      </c>
      <c r="B71" s="7" t="s">
        <v>1879</v>
      </c>
      <c r="C71" s="7"/>
      <c r="D71" s="6" t="s">
        <v>479</v>
      </c>
      <c r="E71" s="6" t="s">
        <v>1880</v>
      </c>
      <c r="F71" s="7" t="str">
        <f aca="false">IF($D71="","",IFERROR(IF(INDEX(Hierarchy!$B$2:$B$1295,MATCH($D71,Hierarchy!$A$2:$A$1295,0))="","",INDEX(Hierarchy!$B$2:$B$1295,MATCH($D71,Hierarchy!$A$2:$A$1295,0))),"NODE NOT FOUND"))</f>
        <v>State/Province</v>
      </c>
      <c r="G71" s="7" t="str">
        <f aca="false">IF($D71="","",IFERROR(IF(INDEX(Hierarchy!$D$2:$D$1295,MATCH($D71,Hierarchy!$A$2:$A$1295,0))="","",INDEX(Hierarchy!$D$2:$D$1295,MATCH($D71,Hierarchy!$A$2:$A$1295,0))),"NODE NOT FOUND"))</f>
        <v>AMER</v>
      </c>
      <c r="H71" s="7" t="str">
        <f aca="false">IF($D71="","",IFERROR(IF(INDEX(Hierarchy!$E$2:$E$1295,MATCH($D71,Hierarchy!$A$2:$A$1295,0))="","",INDEX(Hierarchy!$E$2:$E$1295,MATCH($D71,Hierarchy!$A$2:$A$1295,0))),"NODE NOT FOUND"))</f>
        <v>Latin America (LATAM)</v>
      </c>
      <c r="I71" s="7" t="str">
        <f aca="false">IF($D71="","",IFERROR(IF(INDEX(Hierarchy!$F$2:$F$1295,MATCH($D71,Hierarchy!$A$2:$A$1295,0))="","",INDEX(Hierarchy!$F$2:$F$1295,MATCH($D71,Hierarchy!$A$2:$A$1295,0))),"NODE NOT FOUND"))</f>
        <v>Chile</v>
      </c>
      <c r="J71" s="7" t="str">
        <f aca="false">IF($D71="","",IFERROR(IF(INDEX(Hierarchy!$G$2:$G$1295,MATCH($D71,Hierarchy!$A$2:$A$1295,0))="","",INDEX(Hierarchy!$G$2:$G$1295,MATCH($D71,Hierarchy!$A$2:$A$1295,0))),"NODE NOT FOUND"))</f>
        <v>CHL</v>
      </c>
      <c r="K71" s="7" t="str">
        <f aca="false">IF($D71="","",IFERROR(IF(INDEX(Hierarchy!$H$2:$H$1295,MATCH($D71,Hierarchy!$A$2:$A$1295,0))="","",INDEX(Hierarchy!$H$2:$H$1295,MATCH($D71,Hierarchy!$A$2:$A$1295,0))),"NODE NOT FOUND"))</f>
        <v>Antofagasta</v>
      </c>
      <c r="L71" s="7" t="str">
        <f aca="false">IF($D71="","",IFERROR(IF(INDEX(Hierarchy!$I$2:$I$1295,MATCH($D71,Hierarchy!$A$2:$A$1295,0))="","",INDEX(Hierarchy!$I$2:$I$1295,MATCH($D71,Hierarchy!$A$2:$A$1295,0))),"NODE NOT FOUND"))</f>
        <v/>
      </c>
      <c r="M71" s="17" t="str">
        <f aca="false">IF(B71="Pre-seeded","Pre-seeded",IF(B71="Review 2026-09-16","Added from review",IF(C71="","New",IF(C71=D71,"","Changed"))))</f>
        <v>Pre-seeded</v>
      </c>
      <c r="N71" s="7" t="str">
        <f aca="false">TRIM(SUBSTITUTE(SUBSTITUTE(SUBSTITUTE(" "&amp;TRIM(SUBSTITUTE(SUBSTITUTE(SUBSTITUTE(SUBSTITUTE(SUBSTITUTE(SUBSTITUTE(SUBSTITUTE(SUBSTITUTE(SUBSTITUTE(SUBSTITUTE(SUBSTITUTE(SUBSTITUTE(SUBSTITUTE(SUBSTITUTE(SUBSTITUTE(UPPER(TRIM(A71)),"[MEMBER]",""),"{MEMBER}",""),"[MEMBER}",""),"MEMBER]",""),"(A)",""),"""",""),"“",""),"”",""),".",""),":",""),",",""),"–"," "),"-"," "),"/"," "),"&amp;"," AND "))&amp;" "," THE "," ")," TOTAL "," ")," OPERATIONS "," "))</f>
        <v>ANTOFAGASTA</v>
      </c>
      <c r="O71" s="17" t="str">
        <f aca="false">IF(COUNTIFS($N$2:$N$2000,N71,$D$2:$D$2000,"&lt;&gt;"&amp;D71)&gt;0,"CONFLICT","")</f>
        <v/>
      </c>
      <c r="P71" s="7"/>
    </row>
    <row r="72" customFormat="false" ht="15" hidden="false" customHeight="false" outlineLevel="0" collapsed="false">
      <c r="A72" s="7" t="s">
        <v>1925</v>
      </c>
      <c r="B72" s="7" t="s">
        <v>1879</v>
      </c>
      <c r="C72" s="7"/>
      <c r="D72" s="6" t="s">
        <v>1694</v>
      </c>
      <c r="E72" s="6" t="s">
        <v>1880</v>
      </c>
      <c r="F72" s="7" t="str">
        <f aca="false">IF($D72="","",IFERROR(IF(INDEX(Hierarchy!$B$2:$B$1295,MATCH($D72,Hierarchy!$A$2:$A$1295,0))="","",INDEX(Hierarchy!$B$2:$B$1295,MATCH($D72,Hierarchy!$A$2:$A$1295,0))),"NODE NOT FOUND"))</f>
        <v>Sub-region</v>
      </c>
      <c r="G72" s="7" t="str">
        <f aca="false">IF($D72="","",IFERROR(IF(INDEX(Hierarchy!$D$2:$D$1295,MATCH($D72,Hierarchy!$A$2:$A$1295,0))="","",INDEX(Hierarchy!$D$2:$D$1295,MATCH($D72,Hierarchy!$A$2:$A$1295,0))),"NODE NOT FOUND"))</f>
        <v>APAC</v>
      </c>
      <c r="H72" s="7" t="str">
        <f aca="false">IF($D72="","",IFERROR(IF(INDEX(Hierarchy!$E$2:$E$1295,MATCH($D72,Hierarchy!$A$2:$A$1295,0))="","",INDEX(Hierarchy!$E$2:$E$1295,MATCH($D72,Hierarchy!$A$2:$A$1295,0))),"NODE NOT FOUND"))</f>
        <v>Oceania (ANZ)</v>
      </c>
      <c r="I72" s="7" t="str">
        <f aca="false">IF($D72="","",IFERROR(IF(INDEX(Hierarchy!$F$2:$F$1295,MATCH($D72,Hierarchy!$A$2:$A$1295,0))="","",INDEX(Hierarchy!$F$2:$F$1295,MATCH($D72,Hierarchy!$A$2:$A$1295,0))),"NODE NOT FOUND"))</f>
        <v/>
      </c>
      <c r="J72" s="7" t="str">
        <f aca="false">IF($D72="","",IFERROR(IF(INDEX(Hierarchy!$G$2:$G$1295,MATCH($D72,Hierarchy!$A$2:$A$1295,0))="","",INDEX(Hierarchy!$G$2:$G$1295,MATCH($D72,Hierarchy!$A$2:$A$1295,0))),"NODE NOT FOUND"))</f>
        <v/>
      </c>
      <c r="K72" s="7" t="str">
        <f aca="false">IF($D72="","",IFERROR(IF(INDEX(Hierarchy!$H$2:$H$1295,MATCH($D72,Hierarchy!$A$2:$A$1295,0))="","",INDEX(Hierarchy!$H$2:$H$1295,MATCH($D72,Hierarchy!$A$2:$A$1295,0))),"NODE NOT FOUND"))</f>
        <v/>
      </c>
      <c r="L72" s="7" t="str">
        <f aca="false">IF($D72="","",IFERROR(IF(INDEX(Hierarchy!$I$2:$I$1295,MATCH($D72,Hierarchy!$A$2:$A$1295,0))="","",INDEX(Hierarchy!$I$2:$I$1295,MATCH($D72,Hierarchy!$A$2:$A$1295,0))),"NODE NOT FOUND"))</f>
        <v/>
      </c>
      <c r="M72" s="17" t="str">
        <f aca="false">IF(B72="Pre-seeded","Pre-seeded",IF(B72="Review 2026-09-16","Added from review",IF(C72="","New",IF(C72=D72,"","Changed"))))</f>
        <v>Pre-seeded</v>
      </c>
      <c r="N72" s="7" t="str">
        <f aca="false">TRIM(SUBSTITUTE(SUBSTITUTE(SUBSTITUTE(" "&amp;TRIM(SUBSTITUTE(SUBSTITUTE(SUBSTITUTE(SUBSTITUTE(SUBSTITUTE(SUBSTITUTE(SUBSTITUTE(SUBSTITUTE(SUBSTITUTE(SUBSTITUTE(SUBSTITUTE(SUBSTITUTE(SUBSTITUTE(SUBSTITUTE(SUBSTITUTE(UPPER(TRIM(A72)),"[MEMBER]",""),"{MEMBER}",""),"[MEMBER}",""),"MEMBER]",""),"(A)",""),"""",""),"“",""),"”",""),".",""),":",""),",",""),"–"," "),"-"," "),"/"," "),"&amp;"," AND "))&amp;" "," THE "," ")," TOTAL "," ")," OPERATIONS "," "))</f>
        <v>ANZ</v>
      </c>
      <c r="O72" s="17" t="str">
        <f aca="false">IF(COUNTIFS($N$2:$N$2000,N72,$D$2:$D$2000,"&lt;&gt;"&amp;D72)&gt;0,"CONFLICT","")</f>
        <v/>
      </c>
      <c r="P72" s="7"/>
    </row>
    <row r="73" customFormat="false" ht="15" hidden="false" customHeight="false" outlineLevel="0" collapsed="false">
      <c r="A73" s="7" t="s">
        <v>1441</v>
      </c>
      <c r="B73" s="7" t="s">
        <v>1879</v>
      </c>
      <c r="C73" s="7"/>
      <c r="D73" s="6" t="s">
        <v>1441</v>
      </c>
      <c r="E73" s="6" t="s">
        <v>1880</v>
      </c>
      <c r="F73" s="7" t="str">
        <f aca="false">IF($D73="","",IFERROR(IF(INDEX(Hierarchy!$B$2:$B$1295,MATCH($D73,Hierarchy!$A$2:$A$1295,0))="","",INDEX(Hierarchy!$B$2:$B$1295,MATCH($D73,Hierarchy!$A$2:$A$1295,0))),"NODE NOT FOUND"))</f>
        <v>State/Province</v>
      </c>
      <c r="G73" s="7" t="str">
        <f aca="false">IF($D73="","",IFERROR(IF(INDEX(Hierarchy!$D$2:$D$1295,MATCH($D73,Hierarchy!$A$2:$A$1295,0))="","",INDEX(Hierarchy!$D$2:$D$1295,MATCH($D73,Hierarchy!$A$2:$A$1295,0))),"NODE NOT FOUND"))</f>
        <v>APAC</v>
      </c>
      <c r="H73" s="7" t="str">
        <f aca="false">IF($D73="","",IFERROR(IF(INDEX(Hierarchy!$E$2:$E$1295,MATCH($D73,Hierarchy!$A$2:$A$1295,0))="","",INDEX(Hierarchy!$E$2:$E$1295,MATCH($D73,Hierarchy!$A$2:$A$1295,0))),"NODE NOT FOUND"))</f>
        <v>East Asia</v>
      </c>
      <c r="I73" s="7" t="str">
        <f aca="false">IF($D73="","",IFERROR(IF(INDEX(Hierarchy!$F$2:$F$1295,MATCH($D73,Hierarchy!$A$2:$A$1295,0))="","",INDEX(Hierarchy!$F$2:$F$1295,MATCH($D73,Hierarchy!$A$2:$A$1295,0))),"NODE NOT FOUND"))</f>
        <v>Japan</v>
      </c>
      <c r="J73" s="7" t="str">
        <f aca="false">IF($D73="","",IFERROR(IF(INDEX(Hierarchy!$G$2:$G$1295,MATCH($D73,Hierarchy!$A$2:$A$1295,0))="","",INDEX(Hierarchy!$G$2:$G$1295,MATCH($D73,Hierarchy!$A$2:$A$1295,0))),"NODE NOT FOUND"))</f>
        <v>JPN</v>
      </c>
      <c r="K73" s="7" t="str">
        <f aca="false">IF($D73="","",IFERROR(IF(INDEX(Hierarchy!$H$2:$H$1295,MATCH($D73,Hierarchy!$A$2:$A$1295,0))="","",INDEX(Hierarchy!$H$2:$H$1295,MATCH($D73,Hierarchy!$A$2:$A$1295,0))),"NODE NOT FOUND"))</f>
        <v>Aomori</v>
      </c>
      <c r="L73" s="7" t="str">
        <f aca="false">IF($D73="","",IFERROR(IF(INDEX(Hierarchy!$I$2:$I$1295,MATCH($D73,Hierarchy!$A$2:$A$1295,0))="","",INDEX(Hierarchy!$I$2:$I$1295,MATCH($D73,Hierarchy!$A$2:$A$1295,0))),"NODE NOT FOUND"))</f>
        <v/>
      </c>
      <c r="M73" s="17" t="str">
        <f aca="false">IF(B73="Pre-seeded","Pre-seeded",IF(B73="Review 2026-09-16","Added from review",IF(C73="","New",IF(C73=D73,"","Changed"))))</f>
        <v>Pre-seeded</v>
      </c>
      <c r="N73" s="7" t="str">
        <f aca="false">TRIM(SUBSTITUTE(SUBSTITUTE(SUBSTITUTE(" "&amp;TRIM(SUBSTITUTE(SUBSTITUTE(SUBSTITUTE(SUBSTITUTE(SUBSTITUTE(SUBSTITUTE(SUBSTITUTE(SUBSTITUTE(SUBSTITUTE(SUBSTITUTE(SUBSTITUTE(SUBSTITUTE(SUBSTITUTE(SUBSTITUTE(SUBSTITUTE(UPPER(TRIM(A73)),"[MEMBER]",""),"{MEMBER}",""),"[MEMBER}",""),"MEMBER]",""),"(A)",""),"""",""),"“",""),"”",""),".",""),":",""),",",""),"–"," "),"-"," "),"/"," "),"&amp;"," AND "))&amp;" "," THE "," ")," TOTAL "," ")," OPERATIONS "," "))</f>
        <v>AOMORI</v>
      </c>
      <c r="O73" s="17" t="str">
        <f aca="false">IF(COUNTIFS($N$2:$N$2000,N73,$D$2:$D$2000,"&lt;&gt;"&amp;D73)&gt;0,"CONFLICT","")</f>
        <v/>
      </c>
      <c r="P73" s="7"/>
    </row>
    <row r="74" customFormat="false" ht="15" hidden="false" customHeight="false" outlineLevel="0" collapsed="false">
      <c r="A74" s="7" t="s">
        <v>833</v>
      </c>
      <c r="B74" s="7" t="s">
        <v>1879</v>
      </c>
      <c r="C74" s="7"/>
      <c r="D74" s="6" t="s">
        <v>833</v>
      </c>
      <c r="E74" s="6" t="s">
        <v>1880</v>
      </c>
      <c r="F74" s="7" t="str">
        <f aca="false">IF($D74="","",IFERROR(IF(INDEX(Hierarchy!$B$2:$B$1295,MATCH($D74,Hierarchy!$A$2:$A$1295,0))="","",INDEX(Hierarchy!$B$2:$B$1295,MATCH($D74,Hierarchy!$A$2:$A$1295,0))),"NODE NOT FOUND"))</f>
        <v>State/Province</v>
      </c>
      <c r="G74" s="7" t="str">
        <f aca="false">IF($D74="","",IFERROR(IF(INDEX(Hierarchy!$D$2:$D$1295,MATCH($D74,Hierarchy!$A$2:$A$1295,0))="","",INDEX(Hierarchy!$D$2:$D$1295,MATCH($D74,Hierarchy!$A$2:$A$1295,0))),"NODE NOT FOUND"))</f>
        <v>EMEA</v>
      </c>
      <c r="H74" s="7" t="str">
        <f aca="false">IF($D74="","",IFERROR(IF(INDEX(Hierarchy!$E$2:$E$1295,MATCH($D74,Hierarchy!$A$2:$A$1295,0))="","",INDEX(Hierarchy!$E$2:$E$1295,MATCH($D74,Hierarchy!$A$2:$A$1295,0))),"NODE NOT FOUND"))</f>
        <v>Europe</v>
      </c>
      <c r="I74" s="7" t="str">
        <f aca="false">IF($D74="","",IFERROR(IF(INDEX(Hierarchy!$F$2:$F$1295,MATCH($D74,Hierarchy!$A$2:$A$1295,0))="","",INDEX(Hierarchy!$F$2:$F$1295,MATCH($D74,Hierarchy!$A$2:$A$1295,0))),"NODE NOT FOUND"))</f>
        <v>Italy</v>
      </c>
      <c r="J74" s="7" t="str">
        <f aca="false">IF($D74="","",IFERROR(IF(INDEX(Hierarchy!$G$2:$G$1295,MATCH($D74,Hierarchy!$A$2:$A$1295,0))="","",INDEX(Hierarchy!$G$2:$G$1295,MATCH($D74,Hierarchy!$A$2:$A$1295,0))),"NODE NOT FOUND"))</f>
        <v>ITA</v>
      </c>
      <c r="K74" s="7" t="str">
        <f aca="false">IF($D74="","",IFERROR(IF(INDEX(Hierarchy!$H$2:$H$1295,MATCH($D74,Hierarchy!$A$2:$A$1295,0))="","",INDEX(Hierarchy!$H$2:$H$1295,MATCH($D74,Hierarchy!$A$2:$A$1295,0))),"NODE NOT FOUND"))</f>
        <v>Aosta Valley</v>
      </c>
      <c r="L74" s="7" t="str">
        <f aca="false">IF($D74="","",IFERROR(IF(INDEX(Hierarchy!$I$2:$I$1295,MATCH($D74,Hierarchy!$A$2:$A$1295,0))="","",INDEX(Hierarchy!$I$2:$I$1295,MATCH($D74,Hierarchy!$A$2:$A$1295,0))),"NODE NOT FOUND"))</f>
        <v/>
      </c>
      <c r="M74" s="17" t="str">
        <f aca="false">IF(B74="Pre-seeded","Pre-seeded",IF(B74="Review 2026-09-16","Added from review",IF(C74="","New",IF(C74=D74,"","Changed"))))</f>
        <v>Pre-seeded</v>
      </c>
      <c r="N74" s="7" t="str">
        <f aca="false">TRIM(SUBSTITUTE(SUBSTITUTE(SUBSTITUTE(" "&amp;TRIM(SUBSTITUTE(SUBSTITUTE(SUBSTITUTE(SUBSTITUTE(SUBSTITUTE(SUBSTITUTE(SUBSTITUTE(SUBSTITUTE(SUBSTITUTE(SUBSTITUTE(SUBSTITUTE(SUBSTITUTE(SUBSTITUTE(SUBSTITUTE(SUBSTITUTE(UPPER(TRIM(A74)),"[MEMBER]",""),"{MEMBER}",""),"[MEMBER}",""),"MEMBER]",""),"(A)",""),"""",""),"“",""),"”",""),".",""),":",""),",",""),"–"," "),"-"," "),"/"," "),"&amp;"," AND "))&amp;" "," THE "," ")," TOTAL "," ")," OPERATIONS "," "))</f>
        <v>AOSTA VALLEY</v>
      </c>
      <c r="O74" s="17" t="str">
        <f aca="false">IF(COUNTIFS($N$2:$N$2000,N74,$D$2:$D$2000,"&lt;&gt;"&amp;D74)&gt;0,"CONFLICT","")</f>
        <v/>
      </c>
      <c r="P74" s="7"/>
    </row>
    <row r="75" customFormat="false" ht="15" hidden="false" customHeight="false" outlineLevel="0" collapsed="false">
      <c r="A75" s="7" t="s">
        <v>1312</v>
      </c>
      <c r="B75" s="7" t="s">
        <v>1882</v>
      </c>
      <c r="C75" s="7" t="s">
        <v>1926</v>
      </c>
      <c r="D75" s="6" t="s">
        <v>1311</v>
      </c>
      <c r="E75" s="6" t="s">
        <v>1880</v>
      </c>
      <c r="F75" s="7" t="str">
        <f aca="false">IF($D75="","",IFERROR(IF(INDEX(Hierarchy!$B$2:$B$1295,MATCH($D75,Hierarchy!$A$2:$A$1295,0))="","",INDEX(Hierarchy!$B$2:$B$1295,MATCH($D75,Hierarchy!$A$2:$A$1295,0))),"NODE NOT FOUND"))</f>
        <v>Region</v>
      </c>
      <c r="G75" s="7" t="str">
        <f aca="false">IF($D75="","",IFERROR(IF(INDEX(Hierarchy!$D$2:$D$1295,MATCH($D75,Hierarchy!$A$2:$A$1295,0))="","",INDEX(Hierarchy!$D$2:$D$1295,MATCH($D75,Hierarchy!$A$2:$A$1295,0))),"NODE NOT FOUND"))</f>
        <v>APAC</v>
      </c>
      <c r="H75" s="7" t="str">
        <f aca="false">IF($D75="","",IFERROR(IF(INDEX(Hierarchy!$E$2:$E$1295,MATCH($D75,Hierarchy!$A$2:$A$1295,0))="","",INDEX(Hierarchy!$E$2:$E$1295,MATCH($D75,Hierarchy!$A$2:$A$1295,0))),"NODE NOT FOUND"))</f>
        <v/>
      </c>
      <c r="I75" s="7" t="str">
        <f aca="false">IF($D75="","",IFERROR(IF(INDEX(Hierarchy!$F$2:$F$1295,MATCH($D75,Hierarchy!$A$2:$A$1295,0))="","",INDEX(Hierarchy!$F$2:$F$1295,MATCH($D75,Hierarchy!$A$2:$A$1295,0))),"NODE NOT FOUND"))</f>
        <v/>
      </c>
      <c r="J75" s="7" t="str">
        <f aca="false">IF($D75="","",IFERROR(IF(INDEX(Hierarchy!$G$2:$G$1295,MATCH($D75,Hierarchy!$A$2:$A$1295,0))="","",INDEX(Hierarchy!$G$2:$G$1295,MATCH($D75,Hierarchy!$A$2:$A$1295,0))),"NODE NOT FOUND"))</f>
        <v/>
      </c>
      <c r="K75" s="7" t="str">
        <f aca="false">IF($D75="","",IFERROR(IF(INDEX(Hierarchy!$H$2:$H$1295,MATCH($D75,Hierarchy!$A$2:$A$1295,0))="","",INDEX(Hierarchy!$H$2:$H$1295,MATCH($D75,Hierarchy!$A$2:$A$1295,0))),"NODE NOT FOUND"))</f>
        <v/>
      </c>
      <c r="L75" s="7" t="str">
        <f aca="false">IF($D75="","",IFERROR(IF(INDEX(Hierarchy!$I$2:$I$1295,MATCH($D75,Hierarchy!$A$2:$A$1295,0))="","",INDEX(Hierarchy!$I$2:$I$1295,MATCH($D75,Hierarchy!$A$2:$A$1295,0))),"NODE NOT FOUND"))</f>
        <v/>
      </c>
      <c r="M75" s="17" t="str">
        <f aca="false">IF(B75="Pre-seeded","Pre-seeded",IF(B75="Review 2026-09-16","Added from review",IF(C75="","New",IF(C75=D75,"","Changed"))))</f>
        <v>Changed</v>
      </c>
      <c r="N75" s="7" t="str">
        <f aca="false">TRIM(SUBSTITUTE(SUBSTITUTE(SUBSTITUTE(" "&amp;TRIM(SUBSTITUTE(SUBSTITUTE(SUBSTITUTE(SUBSTITUTE(SUBSTITUTE(SUBSTITUTE(SUBSTITUTE(SUBSTITUTE(SUBSTITUTE(SUBSTITUTE(SUBSTITUTE(SUBSTITUTE(SUBSTITUTE(SUBSTITUTE(SUBSTITUTE(UPPER(TRIM(A75)),"[MEMBER]",""),"{MEMBER}",""),"[MEMBER}",""),"MEMBER]",""),"(A)",""),"""",""),"“",""),"”",""),".",""),":",""),",",""),"–"," "),"-"," "),"/"," "),"&amp;"," AND "))&amp;" "," THE "," ")," TOTAL "," ")," OPERATIONS "," "))</f>
        <v>APAC</v>
      </c>
      <c r="O75" s="17" t="str">
        <f aca="false">IF(COUNTIFS($N$2:$N$2000,N75,$D$2:$D$2000,"&lt;&gt;"&amp;D75)&gt;0,"CONFLICT","")</f>
        <v/>
      </c>
      <c r="P75" s="7"/>
    </row>
    <row r="76" customFormat="false" ht="15" hidden="false" customHeight="false" outlineLevel="0" collapsed="false">
      <c r="A76" s="7" t="s">
        <v>1311</v>
      </c>
      <c r="B76" s="7" t="s">
        <v>1879</v>
      </c>
      <c r="C76" s="7"/>
      <c r="D76" s="6" t="s">
        <v>1311</v>
      </c>
      <c r="E76" s="6" t="s">
        <v>1880</v>
      </c>
      <c r="F76" s="7" t="str">
        <f aca="false">IF($D76="","",IFERROR(IF(INDEX(Hierarchy!$B$2:$B$1295,MATCH($D76,Hierarchy!$A$2:$A$1295,0))="","",INDEX(Hierarchy!$B$2:$B$1295,MATCH($D76,Hierarchy!$A$2:$A$1295,0))),"NODE NOT FOUND"))</f>
        <v>Region</v>
      </c>
      <c r="G76" s="7" t="str">
        <f aca="false">IF($D76="","",IFERROR(IF(INDEX(Hierarchy!$D$2:$D$1295,MATCH($D76,Hierarchy!$A$2:$A$1295,0))="","",INDEX(Hierarchy!$D$2:$D$1295,MATCH($D76,Hierarchy!$A$2:$A$1295,0))),"NODE NOT FOUND"))</f>
        <v>APAC</v>
      </c>
      <c r="H76" s="7" t="str">
        <f aca="false">IF($D76="","",IFERROR(IF(INDEX(Hierarchy!$E$2:$E$1295,MATCH($D76,Hierarchy!$A$2:$A$1295,0))="","",INDEX(Hierarchy!$E$2:$E$1295,MATCH($D76,Hierarchy!$A$2:$A$1295,0))),"NODE NOT FOUND"))</f>
        <v/>
      </c>
      <c r="I76" s="7" t="str">
        <f aca="false">IF($D76="","",IFERROR(IF(INDEX(Hierarchy!$F$2:$F$1295,MATCH($D76,Hierarchy!$A$2:$A$1295,0))="","",INDEX(Hierarchy!$F$2:$F$1295,MATCH($D76,Hierarchy!$A$2:$A$1295,0))),"NODE NOT FOUND"))</f>
        <v/>
      </c>
      <c r="J76" s="7" t="str">
        <f aca="false">IF($D76="","",IFERROR(IF(INDEX(Hierarchy!$G$2:$G$1295,MATCH($D76,Hierarchy!$A$2:$A$1295,0))="","",INDEX(Hierarchy!$G$2:$G$1295,MATCH($D76,Hierarchy!$A$2:$A$1295,0))),"NODE NOT FOUND"))</f>
        <v/>
      </c>
      <c r="K76" s="7" t="str">
        <f aca="false">IF($D76="","",IFERROR(IF(INDEX(Hierarchy!$H$2:$H$1295,MATCH($D76,Hierarchy!$A$2:$A$1295,0))="","",INDEX(Hierarchy!$H$2:$H$1295,MATCH($D76,Hierarchy!$A$2:$A$1295,0))),"NODE NOT FOUND"))</f>
        <v/>
      </c>
      <c r="L76" s="7" t="str">
        <f aca="false">IF($D76="","",IFERROR(IF(INDEX(Hierarchy!$I$2:$I$1295,MATCH($D76,Hierarchy!$A$2:$A$1295,0))="","",INDEX(Hierarchy!$I$2:$I$1295,MATCH($D76,Hierarchy!$A$2:$A$1295,0))),"NODE NOT FOUND"))</f>
        <v/>
      </c>
      <c r="M76" s="17" t="str">
        <f aca="false">IF(B76="Pre-seeded","Pre-seeded",IF(B76="Review 2026-09-16","Added from review",IF(C76="","New",IF(C76=D76,"","Changed"))))</f>
        <v>Pre-seeded</v>
      </c>
      <c r="N76" s="7" t="str">
        <f aca="false">TRIM(SUBSTITUTE(SUBSTITUTE(SUBSTITUTE(" "&amp;TRIM(SUBSTITUTE(SUBSTITUTE(SUBSTITUTE(SUBSTITUTE(SUBSTITUTE(SUBSTITUTE(SUBSTITUTE(SUBSTITUTE(SUBSTITUTE(SUBSTITUTE(SUBSTITUTE(SUBSTITUTE(SUBSTITUTE(SUBSTITUTE(SUBSTITUTE(UPPER(TRIM(A76)),"[MEMBER]",""),"{MEMBER}",""),"[MEMBER}",""),"MEMBER]",""),"(A)",""),"""",""),"“",""),"”",""),".",""),":",""),",",""),"–"," "),"-"," "),"/"," "),"&amp;"," AND "))&amp;" "," THE "," ")," TOTAL "," ")," OPERATIONS "," "))</f>
        <v>APAC (ASIA PACIFIC)</v>
      </c>
      <c r="O76" s="17" t="str">
        <f aca="false">IF(COUNTIFS($N$2:$N$2000,N76,$D$2:$D$2000,"&lt;&gt;"&amp;D76)&gt;0,"CONFLICT","")</f>
        <v/>
      </c>
      <c r="P76" s="7"/>
    </row>
    <row r="77" customFormat="false" ht="15" hidden="false" customHeight="false" outlineLevel="0" collapsed="false">
      <c r="A77" s="7" t="s">
        <v>1793</v>
      </c>
      <c r="B77" s="7" t="s">
        <v>1879</v>
      </c>
      <c r="C77" s="7"/>
      <c r="D77" s="6" t="s">
        <v>1793</v>
      </c>
      <c r="E77" s="6" t="s">
        <v>1880</v>
      </c>
      <c r="F77" s="7" t="str">
        <f aca="false">IF($D77="","",IFERROR(IF(INDEX(Hierarchy!$B$2:$B$1295,MATCH($D77,Hierarchy!$A$2:$A$1295,0))="","",INDEX(Hierarchy!$B$2:$B$1295,MATCH($D77,Hierarchy!$A$2:$A$1295,0))),"NODE NOT FOUND"))</f>
        <v>Multi-region</v>
      </c>
      <c r="G77" s="7" t="str">
        <f aca="false">IF($D77="","",IFERROR(IF(INDEX(Hierarchy!$D$2:$D$1295,MATCH($D77,Hierarchy!$A$2:$A$1295,0))="","",INDEX(Hierarchy!$D$2:$D$1295,MATCH($D77,Hierarchy!$A$2:$A$1295,0))),"NODE NOT FOUND"))</f>
        <v>Multi-region</v>
      </c>
      <c r="H77" s="7" t="str">
        <f aca="false">IF($D77="","",IFERROR(IF(INDEX(Hierarchy!$E$2:$E$1295,MATCH($D77,Hierarchy!$A$2:$A$1295,0))="","",INDEX(Hierarchy!$E$2:$E$1295,MATCH($D77,Hierarchy!$A$2:$A$1295,0))),"NODE NOT FOUND"))</f>
        <v/>
      </c>
      <c r="I77" s="7" t="str">
        <f aca="false">IF($D77="","",IFERROR(IF(INDEX(Hierarchy!$F$2:$F$1295,MATCH($D77,Hierarchy!$A$2:$A$1295,0))="","",INDEX(Hierarchy!$F$2:$F$1295,MATCH($D77,Hierarchy!$A$2:$A$1295,0))),"NODE NOT FOUND"))</f>
        <v/>
      </c>
      <c r="J77" s="7" t="str">
        <f aca="false">IF($D77="","",IFERROR(IF(INDEX(Hierarchy!$G$2:$G$1295,MATCH($D77,Hierarchy!$A$2:$A$1295,0))="","",INDEX(Hierarchy!$G$2:$G$1295,MATCH($D77,Hierarchy!$A$2:$A$1295,0))),"NODE NOT FOUND"))</f>
        <v/>
      </c>
      <c r="K77" s="7" t="str">
        <f aca="false">IF($D77="","",IFERROR(IF(INDEX(Hierarchy!$H$2:$H$1295,MATCH($D77,Hierarchy!$A$2:$A$1295,0))="","",INDEX(Hierarchy!$H$2:$H$1295,MATCH($D77,Hierarchy!$A$2:$A$1295,0))),"NODE NOT FOUND"))</f>
        <v/>
      </c>
      <c r="L77" s="7" t="str">
        <f aca="false">IF($D77="","",IFERROR(IF(INDEX(Hierarchy!$I$2:$I$1295,MATCH($D77,Hierarchy!$A$2:$A$1295,0))="","",INDEX(Hierarchy!$I$2:$I$1295,MATCH($D77,Hierarchy!$A$2:$A$1295,0))),"NODE NOT FOUND"))</f>
        <v/>
      </c>
      <c r="M77" s="17" t="str">
        <f aca="false">IF(B77="Pre-seeded","Pre-seeded",IF(B77="Review 2026-09-16","Added from review",IF(C77="","New",IF(C77=D77,"","Changed"))))</f>
        <v>Pre-seeded</v>
      </c>
      <c r="N77" s="7" t="str">
        <f aca="false">TRIM(SUBSTITUTE(SUBSTITUTE(SUBSTITUTE(" "&amp;TRIM(SUBSTITUTE(SUBSTITUTE(SUBSTITUTE(SUBSTITUTE(SUBSTITUTE(SUBSTITUTE(SUBSTITUTE(SUBSTITUTE(SUBSTITUTE(SUBSTITUTE(SUBSTITUTE(SUBSTITUTE(SUBSTITUTE(SUBSTITUTE(SUBSTITUTE(UPPER(TRIM(A77)),"[MEMBER]",""),"{MEMBER}",""),"[MEMBER}",""),"MEMBER]",""),"(A)",""),"""",""),"“",""),"”",""),".",""),":",""),",",""),"–"," "),"-"," "),"/"," "),"&amp;"," AND "))&amp;" "," THE "," ")," TOTAL "," ")," OPERATIONS "," "))</f>
        <v>APAC AND LATIN AMERICA</v>
      </c>
      <c r="O77" s="17" t="str">
        <f aca="false">IF(COUNTIFS($N$2:$N$2000,N77,$D$2:$D$2000,"&lt;&gt;"&amp;D77)&gt;0,"CONFLICT","")</f>
        <v/>
      </c>
      <c r="P77" s="7"/>
    </row>
    <row r="78" customFormat="false" ht="15" hidden="false" customHeight="false" outlineLevel="0" collapsed="false">
      <c r="A78" s="7" t="s">
        <v>1927</v>
      </c>
      <c r="B78" s="7" t="s">
        <v>1882</v>
      </c>
      <c r="C78" s="7" t="s">
        <v>1926</v>
      </c>
      <c r="D78" s="6" t="s">
        <v>1311</v>
      </c>
      <c r="E78" s="6" t="s">
        <v>1880</v>
      </c>
      <c r="F78" s="7" t="str">
        <f aca="false">IF($D78="","",IFERROR(IF(INDEX(Hierarchy!$B$2:$B$1295,MATCH($D78,Hierarchy!$A$2:$A$1295,0))="","",INDEX(Hierarchy!$B$2:$B$1295,MATCH($D78,Hierarchy!$A$2:$A$1295,0))),"NODE NOT FOUND"))</f>
        <v>Region</v>
      </c>
      <c r="G78" s="7" t="str">
        <f aca="false">IF($D78="","",IFERROR(IF(INDEX(Hierarchy!$D$2:$D$1295,MATCH($D78,Hierarchy!$A$2:$A$1295,0))="","",INDEX(Hierarchy!$D$2:$D$1295,MATCH($D78,Hierarchy!$A$2:$A$1295,0))),"NODE NOT FOUND"))</f>
        <v>APAC</v>
      </c>
      <c r="H78" s="7" t="str">
        <f aca="false">IF($D78="","",IFERROR(IF(INDEX(Hierarchy!$E$2:$E$1295,MATCH($D78,Hierarchy!$A$2:$A$1295,0))="","",INDEX(Hierarchy!$E$2:$E$1295,MATCH($D78,Hierarchy!$A$2:$A$1295,0))),"NODE NOT FOUND"))</f>
        <v/>
      </c>
      <c r="I78" s="7" t="str">
        <f aca="false">IF($D78="","",IFERROR(IF(INDEX(Hierarchy!$F$2:$F$1295,MATCH($D78,Hierarchy!$A$2:$A$1295,0))="","",INDEX(Hierarchy!$F$2:$F$1295,MATCH($D78,Hierarchy!$A$2:$A$1295,0))),"NODE NOT FOUND"))</f>
        <v/>
      </c>
      <c r="J78" s="7" t="str">
        <f aca="false">IF($D78="","",IFERROR(IF(INDEX(Hierarchy!$G$2:$G$1295,MATCH($D78,Hierarchy!$A$2:$A$1295,0))="","",INDEX(Hierarchy!$G$2:$G$1295,MATCH($D78,Hierarchy!$A$2:$A$1295,0))),"NODE NOT FOUND"))</f>
        <v/>
      </c>
      <c r="K78" s="7" t="str">
        <f aca="false">IF($D78="","",IFERROR(IF(INDEX(Hierarchy!$H$2:$H$1295,MATCH($D78,Hierarchy!$A$2:$A$1295,0))="","",INDEX(Hierarchy!$H$2:$H$1295,MATCH($D78,Hierarchy!$A$2:$A$1295,0))),"NODE NOT FOUND"))</f>
        <v/>
      </c>
      <c r="L78" s="7" t="str">
        <f aca="false">IF($D78="","",IFERROR(IF(INDEX(Hierarchy!$I$2:$I$1295,MATCH($D78,Hierarchy!$A$2:$A$1295,0))="","",INDEX(Hierarchy!$I$2:$I$1295,MATCH($D78,Hierarchy!$A$2:$A$1295,0))),"NODE NOT FOUND"))</f>
        <v/>
      </c>
      <c r="M78" s="17" t="str">
        <f aca="false">IF(B78="Pre-seeded","Pre-seeded",IF(B78="Review 2026-09-16","Added from review",IF(C78="","New",IF(C78=D78,"","Changed"))))</f>
        <v>Changed</v>
      </c>
      <c r="N78" s="7" t="str">
        <f aca="false">TRIM(SUBSTITUTE(SUBSTITUTE(SUBSTITUTE(" "&amp;TRIM(SUBSTITUTE(SUBSTITUTE(SUBSTITUTE(SUBSTITUTE(SUBSTITUTE(SUBSTITUTE(SUBSTITUTE(SUBSTITUTE(SUBSTITUTE(SUBSTITUTE(SUBSTITUTE(SUBSTITUTE(SUBSTITUTE(SUBSTITUTE(SUBSTITUTE(UPPER(TRIM(A78)),"[MEMBER]",""),"{MEMBER}",""),"[MEMBER}",""),"MEMBER]",""),"(A)",""),"""",""),"“",""),"”",""),".",""),":",""),",",""),"–"," "),"-"," "),"/"," "),"&amp;"," AND "))&amp;" "," THE "," ")," TOTAL "," ")," OPERATIONS "," "))</f>
        <v>APAC GEOGRAPHIC REGION</v>
      </c>
      <c r="O78" s="17" t="str">
        <f aca="false">IF(COUNTIFS($N$2:$N$2000,N78,$D$2:$D$2000,"&lt;&gt;"&amp;D78)&gt;0,"CONFLICT","")</f>
        <v/>
      </c>
      <c r="P78" s="7"/>
    </row>
    <row r="79" customFormat="false" ht="15" hidden="false" customHeight="false" outlineLevel="0" collapsed="false">
      <c r="A79" s="7" t="s">
        <v>1796</v>
      </c>
      <c r="B79" s="7" t="s">
        <v>1879</v>
      </c>
      <c r="C79" s="7"/>
      <c r="D79" s="6" t="s">
        <v>1796</v>
      </c>
      <c r="E79" s="6" t="s">
        <v>1880</v>
      </c>
      <c r="F79" s="7" t="str">
        <f aca="false">IF($D79="","",IFERROR(IF(INDEX(Hierarchy!$B$2:$B$1295,MATCH($D79,Hierarchy!$A$2:$A$1295,0))="","",INDEX(Hierarchy!$B$2:$B$1295,MATCH($D79,Hierarchy!$A$2:$A$1295,0))),"NODE NOT FOUND"))</f>
        <v>Multi-region</v>
      </c>
      <c r="G79" s="7" t="str">
        <f aca="false">IF($D79="","",IFERROR(IF(INDEX(Hierarchy!$D$2:$D$1295,MATCH($D79,Hierarchy!$A$2:$A$1295,0))="","",INDEX(Hierarchy!$D$2:$D$1295,MATCH($D79,Hierarchy!$A$2:$A$1295,0))),"NODE NOT FOUND"))</f>
        <v>Multi-region</v>
      </c>
      <c r="H79" s="7" t="str">
        <f aca="false">IF($D79="","",IFERROR(IF(INDEX(Hierarchy!$E$2:$E$1295,MATCH($D79,Hierarchy!$A$2:$A$1295,0))="","",INDEX(Hierarchy!$E$2:$E$1295,MATCH($D79,Hierarchy!$A$2:$A$1295,0))),"NODE NOT FOUND"))</f>
        <v/>
      </c>
      <c r="I79" s="7" t="str">
        <f aca="false">IF($D79="","",IFERROR(IF(INDEX(Hierarchy!$F$2:$F$1295,MATCH($D79,Hierarchy!$A$2:$A$1295,0))="","",INDEX(Hierarchy!$F$2:$F$1295,MATCH($D79,Hierarchy!$A$2:$A$1295,0))),"NODE NOT FOUND"))</f>
        <v/>
      </c>
      <c r="J79" s="7" t="str">
        <f aca="false">IF($D79="","",IFERROR(IF(INDEX(Hierarchy!$G$2:$G$1295,MATCH($D79,Hierarchy!$A$2:$A$1295,0))="","",INDEX(Hierarchy!$G$2:$G$1295,MATCH($D79,Hierarchy!$A$2:$A$1295,0))),"NODE NOT FOUND"))</f>
        <v/>
      </c>
      <c r="K79" s="7" t="str">
        <f aca="false">IF($D79="","",IFERROR(IF(INDEX(Hierarchy!$H$2:$H$1295,MATCH($D79,Hierarchy!$A$2:$A$1295,0))="","",INDEX(Hierarchy!$H$2:$H$1295,MATCH($D79,Hierarchy!$A$2:$A$1295,0))),"NODE NOT FOUND"))</f>
        <v/>
      </c>
      <c r="L79" s="7" t="str">
        <f aca="false">IF($D79="","",IFERROR(IF(INDEX(Hierarchy!$I$2:$I$1295,MATCH($D79,Hierarchy!$A$2:$A$1295,0))="","",INDEX(Hierarchy!$I$2:$I$1295,MATCH($D79,Hierarchy!$A$2:$A$1295,0))),"NODE NOT FOUND"))</f>
        <v/>
      </c>
      <c r="M79" s="17" t="str">
        <f aca="false">IF(B79="Pre-seeded","Pre-seeded",IF(B79="Review 2026-09-16","Added from review",IF(C79="","New",IF(C79=D79,"","Changed"))))</f>
        <v>Pre-seeded</v>
      </c>
      <c r="N79" s="7" t="str">
        <f aca="false">TRIM(SUBSTITUTE(SUBSTITUTE(SUBSTITUTE(" "&amp;TRIM(SUBSTITUTE(SUBSTITUTE(SUBSTITUTE(SUBSTITUTE(SUBSTITUTE(SUBSTITUTE(SUBSTITUTE(SUBSTITUTE(SUBSTITUTE(SUBSTITUTE(SUBSTITUTE(SUBSTITUTE(SUBSTITUTE(SUBSTITUTE(SUBSTITUTE(UPPER(TRIM(A79)),"[MEMBER]",""),"{MEMBER}",""),"[MEMBER}",""),"MEMBER]",""),"(A)",""),"""",""),"“",""),"”",""),".",""),":",""),",",""),"–"," "),"-"," "),"/"," "),"&amp;"," AND "))&amp;" "," THE "," ")," TOTAL "," ")," OPERATIONS "," "))</f>
        <v>APAC MIDDLE EAST AND AFRICA (APMEA)</v>
      </c>
      <c r="O79" s="17" t="str">
        <f aca="false">IF(COUNTIFS($N$2:$N$2000,N79,$D$2:$D$2000,"&lt;&gt;"&amp;D79)&gt;0,"CONFLICT","")</f>
        <v/>
      </c>
      <c r="P79" s="7"/>
    </row>
    <row r="80" customFormat="false" ht="15" hidden="false" customHeight="false" outlineLevel="0" collapsed="false">
      <c r="A80" s="7" t="s">
        <v>1928</v>
      </c>
      <c r="B80" s="7" t="s">
        <v>1879</v>
      </c>
      <c r="C80" s="7"/>
      <c r="D80" s="6" t="s">
        <v>1311</v>
      </c>
      <c r="E80" s="6" t="s">
        <v>1891</v>
      </c>
      <c r="F80" s="7" t="str">
        <f aca="false">IF($D80="","",IFERROR(IF(INDEX(Hierarchy!$B$2:$B$1295,MATCH($D80,Hierarchy!$A$2:$A$1295,0))="","",INDEX(Hierarchy!$B$2:$B$1295,MATCH($D80,Hierarchy!$A$2:$A$1295,0))),"NODE NOT FOUND"))</f>
        <v>Region</v>
      </c>
      <c r="G80" s="7" t="str">
        <f aca="false">IF($D80="","",IFERROR(IF(INDEX(Hierarchy!$D$2:$D$1295,MATCH($D80,Hierarchy!$A$2:$A$1295,0))="","",INDEX(Hierarchy!$D$2:$D$1295,MATCH($D80,Hierarchy!$A$2:$A$1295,0))),"NODE NOT FOUND"))</f>
        <v>APAC</v>
      </c>
      <c r="H80" s="7" t="str">
        <f aca="false">IF($D80="","",IFERROR(IF(INDEX(Hierarchy!$E$2:$E$1295,MATCH($D80,Hierarchy!$A$2:$A$1295,0))="","",INDEX(Hierarchy!$E$2:$E$1295,MATCH($D80,Hierarchy!$A$2:$A$1295,0))),"NODE NOT FOUND"))</f>
        <v/>
      </c>
      <c r="I80" s="7" t="str">
        <f aca="false">IF($D80="","",IFERROR(IF(INDEX(Hierarchy!$F$2:$F$1295,MATCH($D80,Hierarchy!$A$2:$A$1295,0))="","",INDEX(Hierarchy!$F$2:$F$1295,MATCH($D80,Hierarchy!$A$2:$A$1295,0))),"NODE NOT FOUND"))</f>
        <v/>
      </c>
      <c r="J80" s="7" t="str">
        <f aca="false">IF($D80="","",IFERROR(IF(INDEX(Hierarchy!$G$2:$G$1295,MATCH($D80,Hierarchy!$A$2:$A$1295,0))="","",INDEX(Hierarchy!$G$2:$G$1295,MATCH($D80,Hierarchy!$A$2:$A$1295,0))),"NODE NOT FOUND"))</f>
        <v/>
      </c>
      <c r="K80" s="7" t="str">
        <f aca="false">IF($D80="","",IFERROR(IF(INDEX(Hierarchy!$H$2:$H$1295,MATCH($D80,Hierarchy!$A$2:$A$1295,0))="","",INDEX(Hierarchy!$H$2:$H$1295,MATCH($D80,Hierarchy!$A$2:$A$1295,0))),"NODE NOT FOUND"))</f>
        <v/>
      </c>
      <c r="L80" s="7" t="str">
        <f aca="false">IF($D80="","",IFERROR(IF(INDEX(Hierarchy!$I$2:$I$1295,MATCH($D80,Hierarchy!$A$2:$A$1295,0))="","",INDEX(Hierarchy!$I$2:$I$1295,MATCH($D80,Hierarchy!$A$2:$A$1295,0))),"NODE NOT FOUND"))</f>
        <v/>
      </c>
      <c r="M80" s="17" t="str">
        <f aca="false">IF(B80="Pre-seeded","Pre-seeded",IF(B80="Review 2026-09-16","Added from review",IF(C80="","New",IF(C80=D80,"","Changed"))))</f>
        <v>Pre-seeded</v>
      </c>
      <c r="N80" s="7" t="str">
        <f aca="false">TRIM(SUBSTITUTE(SUBSTITUTE(SUBSTITUTE(" "&amp;TRIM(SUBSTITUTE(SUBSTITUTE(SUBSTITUTE(SUBSTITUTE(SUBSTITUTE(SUBSTITUTE(SUBSTITUTE(SUBSTITUTE(SUBSTITUTE(SUBSTITUTE(SUBSTITUTE(SUBSTITUTE(SUBSTITUTE(SUBSTITUTE(SUBSTITUTE(UPPER(TRIM(A80)),"[MEMBER]",""),"{MEMBER}",""),"[MEMBER}",""),"MEMBER]",""),"(A)",""),"""",""),"“",""),"”",""),".",""),":",""),",",""),"–"," "),"-"," "),"/"," "),"&amp;"," AND "))&amp;" "," THE "," ")," TOTAL "," ")," OPERATIONS "," "))</f>
        <v>APEJ</v>
      </c>
      <c r="O80" s="17" t="str">
        <f aca="false">IF(COUNTIFS($N$2:$N$2000,N80,$D$2:$D$2000,"&lt;&gt;"&amp;D80)&gt;0,"CONFLICT","")</f>
        <v/>
      </c>
      <c r="P80" s="7"/>
    </row>
    <row r="81" customFormat="false" ht="15" hidden="false" customHeight="false" outlineLevel="0" collapsed="false">
      <c r="A81" s="7" t="s">
        <v>1929</v>
      </c>
      <c r="B81" s="7" t="s">
        <v>1909</v>
      </c>
      <c r="C81" s="7"/>
      <c r="D81" s="6" t="s">
        <v>1311</v>
      </c>
      <c r="E81" s="6" t="s">
        <v>1880</v>
      </c>
      <c r="F81" s="7" t="str">
        <f aca="false">IF($D81="","",IFERROR(IF(INDEX(Hierarchy!$B$2:$B$1295,MATCH($D81,Hierarchy!$A$2:$A$1295,0))="","",INDEX(Hierarchy!$B$2:$B$1295,MATCH($D81,Hierarchy!$A$2:$A$1295,0))),"NODE NOT FOUND"))</f>
        <v>Region</v>
      </c>
      <c r="G81" s="7" t="str">
        <f aca="false">IF($D81="","",IFERROR(IF(INDEX(Hierarchy!$D$2:$D$1295,MATCH($D81,Hierarchy!$A$2:$A$1295,0))="","",INDEX(Hierarchy!$D$2:$D$1295,MATCH($D81,Hierarchy!$A$2:$A$1295,0))),"NODE NOT FOUND"))</f>
        <v>APAC</v>
      </c>
      <c r="H81" s="7" t="str">
        <f aca="false">IF($D81="","",IFERROR(IF(INDEX(Hierarchy!$E$2:$E$1295,MATCH($D81,Hierarchy!$A$2:$A$1295,0))="","",INDEX(Hierarchy!$E$2:$E$1295,MATCH($D81,Hierarchy!$A$2:$A$1295,0))),"NODE NOT FOUND"))</f>
        <v/>
      </c>
      <c r="I81" s="7" t="str">
        <f aca="false">IF($D81="","",IFERROR(IF(INDEX(Hierarchy!$F$2:$F$1295,MATCH($D81,Hierarchy!$A$2:$A$1295,0))="","",INDEX(Hierarchy!$F$2:$F$1295,MATCH($D81,Hierarchy!$A$2:$A$1295,0))),"NODE NOT FOUND"))</f>
        <v/>
      </c>
      <c r="J81" s="7" t="str">
        <f aca="false">IF($D81="","",IFERROR(IF(INDEX(Hierarchy!$G$2:$G$1295,MATCH($D81,Hierarchy!$A$2:$A$1295,0))="","",INDEX(Hierarchy!$G$2:$G$1295,MATCH($D81,Hierarchy!$A$2:$A$1295,0))),"NODE NOT FOUND"))</f>
        <v/>
      </c>
      <c r="K81" s="7" t="str">
        <f aca="false">IF($D81="","",IFERROR(IF(INDEX(Hierarchy!$H$2:$H$1295,MATCH($D81,Hierarchy!$A$2:$A$1295,0))="","",INDEX(Hierarchy!$H$2:$H$1295,MATCH($D81,Hierarchy!$A$2:$A$1295,0))),"NODE NOT FOUND"))</f>
        <v/>
      </c>
      <c r="L81" s="7" t="str">
        <f aca="false">IF($D81="","",IFERROR(IF(INDEX(Hierarchy!$I$2:$I$1295,MATCH($D81,Hierarchy!$A$2:$A$1295,0))="","",INDEX(Hierarchy!$I$2:$I$1295,MATCH($D81,Hierarchy!$A$2:$A$1295,0))),"NODE NOT FOUND"))</f>
        <v/>
      </c>
      <c r="M81" s="17" t="str">
        <f aca="false">IF(B81="Pre-seeded","Pre-seeded",IF(B81="Review 2026-09-16","Added from review",IF(C81="","New",IF(C81=D81,"","Changed"))))</f>
        <v>New</v>
      </c>
      <c r="N81" s="7" t="str">
        <f aca="false">TRIM(SUBSTITUTE(SUBSTITUTE(SUBSTITUTE(" "&amp;TRIM(SUBSTITUTE(SUBSTITUTE(SUBSTITUTE(SUBSTITUTE(SUBSTITUTE(SUBSTITUTE(SUBSTITUTE(SUBSTITUTE(SUBSTITUTE(SUBSTITUTE(SUBSTITUTE(SUBSTITUTE(SUBSTITUTE(SUBSTITUTE(SUBSTITUTE(UPPER(TRIM(A81)),"[MEMBER]",""),"{MEMBER}",""),"[MEMBER}",""),"MEMBER]",""),"(A)",""),"""",""),"“",""),"”",""),".",""),":",""),",",""),"–"," "),"-"," "),"/"," "),"&amp;"," AND "))&amp;" "," THE "," ")," TOTAL "," ")," OPERATIONS "," "))</f>
        <v>APJ</v>
      </c>
      <c r="O81" s="17" t="str">
        <f aca="false">IF(COUNTIFS($N$2:$N$2000,N81,$D$2:$D$2000,"&lt;&gt;"&amp;D81)&gt;0,"CONFLICT","")</f>
        <v/>
      </c>
      <c r="P81" s="7" t="s">
        <v>1930</v>
      </c>
    </row>
    <row r="82" customFormat="false" ht="15" hidden="false" customHeight="false" outlineLevel="0" collapsed="false">
      <c r="A82" s="7" t="s">
        <v>1931</v>
      </c>
      <c r="B82" s="7" t="s">
        <v>1909</v>
      </c>
      <c r="C82" s="7"/>
      <c r="D82" s="6" t="s">
        <v>1311</v>
      </c>
      <c r="E82" s="6" t="s">
        <v>1880</v>
      </c>
      <c r="F82" s="7" t="str">
        <f aca="false">IF($D82="","",IFERROR(IF(INDEX(Hierarchy!$B$2:$B$1295,MATCH($D82,Hierarchy!$A$2:$A$1295,0))="","",INDEX(Hierarchy!$B$2:$B$1295,MATCH($D82,Hierarchy!$A$2:$A$1295,0))),"NODE NOT FOUND"))</f>
        <v>Region</v>
      </c>
      <c r="G82" s="7" t="str">
        <f aca="false">IF($D82="","",IFERROR(IF(INDEX(Hierarchy!$D$2:$D$1295,MATCH($D82,Hierarchy!$A$2:$A$1295,0))="","",INDEX(Hierarchy!$D$2:$D$1295,MATCH($D82,Hierarchy!$A$2:$A$1295,0))),"NODE NOT FOUND"))</f>
        <v>APAC</v>
      </c>
      <c r="H82" s="7" t="str">
        <f aca="false">IF($D82="","",IFERROR(IF(INDEX(Hierarchy!$E$2:$E$1295,MATCH($D82,Hierarchy!$A$2:$A$1295,0))="","",INDEX(Hierarchy!$E$2:$E$1295,MATCH($D82,Hierarchy!$A$2:$A$1295,0))),"NODE NOT FOUND"))</f>
        <v/>
      </c>
      <c r="I82" s="7" t="str">
        <f aca="false">IF($D82="","",IFERROR(IF(INDEX(Hierarchy!$F$2:$F$1295,MATCH($D82,Hierarchy!$A$2:$A$1295,0))="","",INDEX(Hierarchy!$F$2:$F$1295,MATCH($D82,Hierarchy!$A$2:$A$1295,0))),"NODE NOT FOUND"))</f>
        <v/>
      </c>
      <c r="J82" s="7" t="str">
        <f aca="false">IF($D82="","",IFERROR(IF(INDEX(Hierarchy!$G$2:$G$1295,MATCH($D82,Hierarchy!$A$2:$A$1295,0))="","",INDEX(Hierarchy!$G$2:$G$1295,MATCH($D82,Hierarchy!$A$2:$A$1295,0))),"NODE NOT FOUND"))</f>
        <v/>
      </c>
      <c r="K82" s="7" t="str">
        <f aca="false">IF($D82="","",IFERROR(IF(INDEX(Hierarchy!$H$2:$H$1295,MATCH($D82,Hierarchy!$A$2:$A$1295,0))="","",INDEX(Hierarchy!$H$2:$H$1295,MATCH($D82,Hierarchy!$A$2:$A$1295,0))),"NODE NOT FOUND"))</f>
        <v/>
      </c>
      <c r="L82" s="7" t="str">
        <f aca="false">IF($D82="","",IFERROR(IF(INDEX(Hierarchy!$I$2:$I$1295,MATCH($D82,Hierarchy!$A$2:$A$1295,0))="","",INDEX(Hierarchy!$I$2:$I$1295,MATCH($D82,Hierarchy!$A$2:$A$1295,0))),"NODE NOT FOUND"))</f>
        <v/>
      </c>
      <c r="M82" s="17" t="str">
        <f aca="false">IF(B82="Pre-seeded","Pre-seeded",IF(B82="Review 2026-09-16","Added from review",IF(C82="","New",IF(C82=D82,"","Changed"))))</f>
        <v>New</v>
      </c>
      <c r="N82" s="7" t="str">
        <f aca="false">TRIM(SUBSTITUTE(SUBSTITUTE(SUBSTITUTE(" "&amp;TRIM(SUBSTITUTE(SUBSTITUTE(SUBSTITUTE(SUBSTITUTE(SUBSTITUTE(SUBSTITUTE(SUBSTITUTE(SUBSTITUTE(SUBSTITUTE(SUBSTITUTE(SUBSTITUTE(SUBSTITUTE(SUBSTITUTE(SUBSTITUTE(SUBSTITUTE(UPPER(TRIM(A82)),"[MEMBER]",""),"{MEMBER}",""),"[MEMBER}",""),"MEMBER]",""),"(A)",""),"""",""),"“",""),"”",""),".",""),":",""),",",""),"–"," "),"-"," "),"/"," "),"&amp;"," AND "))&amp;" "," THE "," ")," TOTAL "," ")," OPERATIONS "," "))</f>
        <v>APJC</v>
      </c>
      <c r="O82" s="17" t="str">
        <f aca="false">IF(COUNTIFS($N$2:$N$2000,N82,$D$2:$D$2000,"&lt;&gt;"&amp;D82)&gt;0,"CONFLICT","")</f>
        <v/>
      </c>
      <c r="P82" s="7"/>
    </row>
    <row r="83" customFormat="false" ht="15" hidden="false" customHeight="false" outlineLevel="0" collapsed="false">
      <c r="A83" s="7" t="s">
        <v>1932</v>
      </c>
      <c r="B83" s="7" t="s">
        <v>1909</v>
      </c>
      <c r="C83" s="7"/>
      <c r="D83" s="6" t="s">
        <v>1793</v>
      </c>
      <c r="E83" s="6" t="s">
        <v>1880</v>
      </c>
      <c r="F83" s="7" t="str">
        <f aca="false">IF($D83="","",IFERROR(IF(INDEX(Hierarchy!$B$2:$B$1295,MATCH($D83,Hierarchy!$A$2:$A$1295,0))="","",INDEX(Hierarchy!$B$2:$B$1295,MATCH($D83,Hierarchy!$A$2:$A$1295,0))),"NODE NOT FOUND"))</f>
        <v>Multi-region</v>
      </c>
      <c r="G83" s="7" t="str">
        <f aca="false">IF($D83="","",IFERROR(IF(INDEX(Hierarchy!$D$2:$D$1295,MATCH($D83,Hierarchy!$A$2:$A$1295,0))="","",INDEX(Hierarchy!$D$2:$D$1295,MATCH($D83,Hierarchy!$A$2:$A$1295,0))),"NODE NOT FOUND"))</f>
        <v>Multi-region</v>
      </c>
      <c r="H83" s="7" t="str">
        <f aca="false">IF($D83="","",IFERROR(IF(INDEX(Hierarchy!$E$2:$E$1295,MATCH($D83,Hierarchy!$A$2:$A$1295,0))="","",INDEX(Hierarchy!$E$2:$E$1295,MATCH($D83,Hierarchy!$A$2:$A$1295,0))),"NODE NOT FOUND"))</f>
        <v/>
      </c>
      <c r="I83" s="7" t="str">
        <f aca="false">IF($D83="","",IFERROR(IF(INDEX(Hierarchy!$F$2:$F$1295,MATCH($D83,Hierarchy!$A$2:$A$1295,0))="","",INDEX(Hierarchy!$F$2:$F$1295,MATCH($D83,Hierarchy!$A$2:$A$1295,0))),"NODE NOT FOUND"))</f>
        <v/>
      </c>
      <c r="J83" s="7" t="str">
        <f aca="false">IF($D83="","",IFERROR(IF(INDEX(Hierarchy!$G$2:$G$1295,MATCH($D83,Hierarchy!$A$2:$A$1295,0))="","",INDEX(Hierarchy!$G$2:$G$1295,MATCH($D83,Hierarchy!$A$2:$A$1295,0))),"NODE NOT FOUND"))</f>
        <v/>
      </c>
      <c r="K83" s="7" t="str">
        <f aca="false">IF($D83="","",IFERROR(IF(INDEX(Hierarchy!$H$2:$H$1295,MATCH($D83,Hierarchy!$A$2:$A$1295,0))="","",INDEX(Hierarchy!$H$2:$H$1295,MATCH($D83,Hierarchy!$A$2:$A$1295,0))),"NODE NOT FOUND"))</f>
        <v/>
      </c>
      <c r="L83" s="7" t="str">
        <f aca="false">IF($D83="","",IFERROR(IF(INDEX(Hierarchy!$I$2:$I$1295,MATCH($D83,Hierarchy!$A$2:$A$1295,0))="","",INDEX(Hierarchy!$I$2:$I$1295,MATCH($D83,Hierarchy!$A$2:$A$1295,0))),"NODE NOT FOUND"))</f>
        <v/>
      </c>
      <c r="M83" s="17" t="str">
        <f aca="false">IF(B83="Pre-seeded","Pre-seeded",IF(B83="Review 2026-09-16","Added from review",IF(C83="","New",IF(C83=D83,"","Changed"))))</f>
        <v>New</v>
      </c>
      <c r="N83" s="7" t="str">
        <f aca="false">TRIM(SUBSTITUTE(SUBSTITUTE(SUBSTITUTE(" "&amp;TRIM(SUBSTITUTE(SUBSTITUTE(SUBSTITUTE(SUBSTITUTE(SUBSTITUTE(SUBSTITUTE(SUBSTITUTE(SUBSTITUTE(SUBSTITUTE(SUBSTITUTE(SUBSTITUTE(SUBSTITUTE(SUBSTITUTE(SUBSTITUTE(SUBSTITUTE(UPPER(TRIM(A83)),"[MEMBER]",""),"{MEMBER}",""),"[MEMBER}",""),"MEMBER]",""),"(A)",""),"""",""),"“",""),"”",""),".",""),":",""),",",""),"–"," "),"-"," "),"/"," "),"&amp;"," AND "))&amp;" "," THE "," ")," TOTAL "," ")," OPERATIONS "," "))</f>
        <v>APLA</v>
      </c>
      <c r="O83" s="17" t="str">
        <f aca="false">IF(COUNTIFS($N$2:$N$2000,N83,$D$2:$D$2000,"&lt;&gt;"&amp;D83)&gt;0,"CONFLICT","")</f>
        <v/>
      </c>
      <c r="P83" s="7" t="s">
        <v>1933</v>
      </c>
    </row>
    <row r="84" customFormat="false" ht="15" hidden="false" customHeight="false" outlineLevel="0" collapsed="false">
      <c r="A84" s="7" t="s">
        <v>1934</v>
      </c>
      <c r="B84" s="7" t="s">
        <v>1879</v>
      </c>
      <c r="C84" s="7"/>
      <c r="D84" s="6" t="s">
        <v>1796</v>
      </c>
      <c r="E84" s="6" t="s">
        <v>1880</v>
      </c>
      <c r="F84" s="7" t="str">
        <f aca="false">IF($D84="","",IFERROR(IF(INDEX(Hierarchy!$B$2:$B$1295,MATCH($D84,Hierarchy!$A$2:$A$1295,0))="","",INDEX(Hierarchy!$B$2:$B$1295,MATCH($D84,Hierarchy!$A$2:$A$1295,0))),"NODE NOT FOUND"))</f>
        <v>Multi-region</v>
      </c>
      <c r="G84" s="7" t="str">
        <f aca="false">IF($D84="","",IFERROR(IF(INDEX(Hierarchy!$D$2:$D$1295,MATCH($D84,Hierarchy!$A$2:$A$1295,0))="","",INDEX(Hierarchy!$D$2:$D$1295,MATCH($D84,Hierarchy!$A$2:$A$1295,0))),"NODE NOT FOUND"))</f>
        <v>Multi-region</v>
      </c>
      <c r="H84" s="7" t="str">
        <f aca="false">IF($D84="","",IFERROR(IF(INDEX(Hierarchy!$E$2:$E$1295,MATCH($D84,Hierarchy!$A$2:$A$1295,0))="","",INDEX(Hierarchy!$E$2:$E$1295,MATCH($D84,Hierarchy!$A$2:$A$1295,0))),"NODE NOT FOUND"))</f>
        <v/>
      </c>
      <c r="I84" s="7" t="str">
        <f aca="false">IF($D84="","",IFERROR(IF(INDEX(Hierarchy!$F$2:$F$1295,MATCH($D84,Hierarchy!$A$2:$A$1295,0))="","",INDEX(Hierarchy!$F$2:$F$1295,MATCH($D84,Hierarchy!$A$2:$A$1295,0))),"NODE NOT FOUND"))</f>
        <v/>
      </c>
      <c r="J84" s="7" t="str">
        <f aca="false">IF($D84="","",IFERROR(IF(INDEX(Hierarchy!$G$2:$G$1295,MATCH($D84,Hierarchy!$A$2:$A$1295,0))="","",INDEX(Hierarchy!$G$2:$G$1295,MATCH($D84,Hierarchy!$A$2:$A$1295,0))),"NODE NOT FOUND"))</f>
        <v/>
      </c>
      <c r="K84" s="7" t="str">
        <f aca="false">IF($D84="","",IFERROR(IF(INDEX(Hierarchy!$H$2:$H$1295,MATCH($D84,Hierarchy!$A$2:$A$1295,0))="","",INDEX(Hierarchy!$H$2:$H$1295,MATCH($D84,Hierarchy!$A$2:$A$1295,0))),"NODE NOT FOUND"))</f>
        <v/>
      </c>
      <c r="L84" s="7" t="str">
        <f aca="false">IF($D84="","",IFERROR(IF(INDEX(Hierarchy!$I$2:$I$1295,MATCH($D84,Hierarchy!$A$2:$A$1295,0))="","",INDEX(Hierarchy!$I$2:$I$1295,MATCH($D84,Hierarchy!$A$2:$A$1295,0))),"NODE NOT FOUND"))</f>
        <v/>
      </c>
      <c r="M84" s="17" t="str">
        <f aca="false">IF(B84="Pre-seeded","Pre-seeded",IF(B84="Review 2026-09-16","Added from review",IF(C84="","New",IF(C84=D84,"","Changed"))))</f>
        <v>Pre-seeded</v>
      </c>
      <c r="N84" s="7" t="str">
        <f aca="false">TRIM(SUBSTITUTE(SUBSTITUTE(SUBSTITUTE(" "&amp;TRIM(SUBSTITUTE(SUBSTITUTE(SUBSTITUTE(SUBSTITUTE(SUBSTITUTE(SUBSTITUTE(SUBSTITUTE(SUBSTITUTE(SUBSTITUTE(SUBSTITUTE(SUBSTITUTE(SUBSTITUTE(SUBSTITUTE(SUBSTITUTE(SUBSTITUTE(UPPER(TRIM(A84)),"[MEMBER]",""),"{MEMBER}",""),"[MEMBER}",""),"MEMBER]",""),"(A)",""),"""",""),"“",""),"”",""),".",""),":",""),",",""),"–"," "),"-"," "),"/"," "),"&amp;"," AND "))&amp;" "," THE "," ")," TOTAL "," ")," OPERATIONS "," "))</f>
        <v>APMEA</v>
      </c>
      <c r="O84" s="17" t="str">
        <f aca="false">IF(COUNTIFS($N$2:$N$2000,N84,$D$2:$D$2000,"&lt;&gt;"&amp;D84)&gt;0,"CONFLICT","")</f>
        <v/>
      </c>
      <c r="P84" s="7"/>
    </row>
    <row r="85" customFormat="false" ht="15" hidden="false" customHeight="false" outlineLevel="0" collapsed="false">
      <c r="A85" s="7" t="s">
        <v>983</v>
      </c>
      <c r="B85" s="7" t="s">
        <v>1879</v>
      </c>
      <c r="C85" s="7"/>
      <c r="D85" s="6" t="s">
        <v>983</v>
      </c>
      <c r="E85" s="6" t="s">
        <v>1880</v>
      </c>
      <c r="F85" s="7" t="str">
        <f aca="false">IF($D85="","",IFERROR(IF(INDEX(Hierarchy!$B$2:$B$1295,MATCH($D85,Hierarchy!$A$2:$A$1295,0))="","",INDEX(Hierarchy!$B$2:$B$1295,MATCH($D85,Hierarchy!$A$2:$A$1295,0))),"NODE NOT FOUND"))</f>
        <v>State/Province</v>
      </c>
      <c r="G85" s="7" t="str">
        <f aca="false">IF($D85="","",IFERROR(IF(INDEX(Hierarchy!$D$2:$D$1295,MATCH($D85,Hierarchy!$A$2:$A$1295,0))="","",INDEX(Hierarchy!$D$2:$D$1295,MATCH($D85,Hierarchy!$A$2:$A$1295,0))),"NODE NOT FOUND"))</f>
        <v>EMEA</v>
      </c>
      <c r="H85" s="7" t="str">
        <f aca="false">IF($D85="","",IFERROR(IF(INDEX(Hierarchy!$E$2:$E$1295,MATCH($D85,Hierarchy!$A$2:$A$1295,0))="","",INDEX(Hierarchy!$E$2:$E$1295,MATCH($D85,Hierarchy!$A$2:$A$1295,0))),"NODE NOT FOUND"))</f>
        <v>Europe</v>
      </c>
      <c r="I85" s="7" t="str">
        <f aca="false">IF($D85="","",IFERROR(IF(INDEX(Hierarchy!$F$2:$F$1295,MATCH($D85,Hierarchy!$A$2:$A$1295,0))="","",INDEX(Hierarchy!$F$2:$F$1295,MATCH($D85,Hierarchy!$A$2:$A$1295,0))),"NODE NOT FOUND"))</f>
        <v>Switzerland</v>
      </c>
      <c r="J85" s="7" t="str">
        <f aca="false">IF($D85="","",IFERROR(IF(INDEX(Hierarchy!$G$2:$G$1295,MATCH($D85,Hierarchy!$A$2:$A$1295,0))="","",INDEX(Hierarchy!$G$2:$G$1295,MATCH($D85,Hierarchy!$A$2:$A$1295,0))),"NODE NOT FOUND"))</f>
        <v>CHE</v>
      </c>
      <c r="K85" s="7" t="str">
        <f aca="false">IF($D85="","",IFERROR(IF(INDEX(Hierarchy!$H$2:$H$1295,MATCH($D85,Hierarchy!$A$2:$A$1295,0))="","",INDEX(Hierarchy!$H$2:$H$1295,MATCH($D85,Hierarchy!$A$2:$A$1295,0))),"NODE NOT FOUND"))</f>
        <v>Appenzell Ausserrhoden</v>
      </c>
      <c r="L85" s="7" t="str">
        <f aca="false">IF($D85="","",IFERROR(IF(INDEX(Hierarchy!$I$2:$I$1295,MATCH($D85,Hierarchy!$A$2:$A$1295,0))="","",INDEX(Hierarchy!$I$2:$I$1295,MATCH($D85,Hierarchy!$A$2:$A$1295,0))),"NODE NOT FOUND"))</f>
        <v/>
      </c>
      <c r="M85" s="17" t="str">
        <f aca="false">IF(B85="Pre-seeded","Pre-seeded",IF(B85="Review 2026-09-16","Added from review",IF(C85="","New",IF(C85=D85,"","Changed"))))</f>
        <v>Pre-seeded</v>
      </c>
      <c r="N85" s="7" t="str">
        <f aca="false">TRIM(SUBSTITUTE(SUBSTITUTE(SUBSTITUTE(" "&amp;TRIM(SUBSTITUTE(SUBSTITUTE(SUBSTITUTE(SUBSTITUTE(SUBSTITUTE(SUBSTITUTE(SUBSTITUTE(SUBSTITUTE(SUBSTITUTE(SUBSTITUTE(SUBSTITUTE(SUBSTITUTE(SUBSTITUTE(SUBSTITUTE(SUBSTITUTE(UPPER(TRIM(A85)),"[MEMBER]",""),"{MEMBER}",""),"[MEMBER}",""),"MEMBER]",""),"(A)",""),"""",""),"“",""),"”",""),".",""),":",""),",",""),"–"," "),"-"," "),"/"," "),"&amp;"," AND "))&amp;" "," THE "," ")," TOTAL "," ")," OPERATIONS "," "))</f>
        <v>APPENZELL AUSSERRHODEN</v>
      </c>
      <c r="O85" s="17" t="str">
        <f aca="false">IF(COUNTIFS($N$2:$N$2000,N85,$D$2:$D$2000,"&lt;&gt;"&amp;D85)&gt;0,"CONFLICT","")</f>
        <v/>
      </c>
      <c r="P85" s="7"/>
    </row>
    <row r="86" customFormat="false" ht="15" hidden="false" customHeight="false" outlineLevel="0" collapsed="false">
      <c r="A86" s="7" t="s">
        <v>984</v>
      </c>
      <c r="B86" s="7" t="s">
        <v>1879</v>
      </c>
      <c r="C86" s="7"/>
      <c r="D86" s="6" t="s">
        <v>984</v>
      </c>
      <c r="E86" s="6" t="s">
        <v>1880</v>
      </c>
      <c r="F86" s="7" t="str">
        <f aca="false">IF($D86="","",IFERROR(IF(INDEX(Hierarchy!$B$2:$B$1295,MATCH($D86,Hierarchy!$A$2:$A$1295,0))="","",INDEX(Hierarchy!$B$2:$B$1295,MATCH($D86,Hierarchy!$A$2:$A$1295,0))),"NODE NOT FOUND"))</f>
        <v>State/Province</v>
      </c>
      <c r="G86" s="7" t="str">
        <f aca="false">IF($D86="","",IFERROR(IF(INDEX(Hierarchy!$D$2:$D$1295,MATCH($D86,Hierarchy!$A$2:$A$1295,0))="","",INDEX(Hierarchy!$D$2:$D$1295,MATCH($D86,Hierarchy!$A$2:$A$1295,0))),"NODE NOT FOUND"))</f>
        <v>EMEA</v>
      </c>
      <c r="H86" s="7" t="str">
        <f aca="false">IF($D86="","",IFERROR(IF(INDEX(Hierarchy!$E$2:$E$1295,MATCH($D86,Hierarchy!$A$2:$A$1295,0))="","",INDEX(Hierarchy!$E$2:$E$1295,MATCH($D86,Hierarchy!$A$2:$A$1295,0))),"NODE NOT FOUND"))</f>
        <v>Europe</v>
      </c>
      <c r="I86" s="7" t="str">
        <f aca="false">IF($D86="","",IFERROR(IF(INDEX(Hierarchy!$F$2:$F$1295,MATCH($D86,Hierarchy!$A$2:$A$1295,0))="","",INDEX(Hierarchy!$F$2:$F$1295,MATCH($D86,Hierarchy!$A$2:$A$1295,0))),"NODE NOT FOUND"))</f>
        <v>Switzerland</v>
      </c>
      <c r="J86" s="7" t="str">
        <f aca="false">IF($D86="","",IFERROR(IF(INDEX(Hierarchy!$G$2:$G$1295,MATCH($D86,Hierarchy!$A$2:$A$1295,0))="","",INDEX(Hierarchy!$G$2:$G$1295,MATCH($D86,Hierarchy!$A$2:$A$1295,0))),"NODE NOT FOUND"))</f>
        <v>CHE</v>
      </c>
      <c r="K86" s="7" t="str">
        <f aca="false">IF($D86="","",IFERROR(IF(INDEX(Hierarchy!$H$2:$H$1295,MATCH($D86,Hierarchy!$A$2:$A$1295,0))="","",INDEX(Hierarchy!$H$2:$H$1295,MATCH($D86,Hierarchy!$A$2:$A$1295,0))),"NODE NOT FOUND"))</f>
        <v>Appenzell Innerrhoden</v>
      </c>
      <c r="L86" s="7" t="str">
        <f aca="false">IF($D86="","",IFERROR(IF(INDEX(Hierarchy!$I$2:$I$1295,MATCH($D86,Hierarchy!$A$2:$A$1295,0))="","",INDEX(Hierarchy!$I$2:$I$1295,MATCH($D86,Hierarchy!$A$2:$A$1295,0))),"NODE NOT FOUND"))</f>
        <v/>
      </c>
      <c r="M86" s="17" t="str">
        <f aca="false">IF(B86="Pre-seeded","Pre-seeded",IF(B86="Review 2026-09-16","Added from review",IF(C86="","New",IF(C86=D86,"","Changed"))))</f>
        <v>Pre-seeded</v>
      </c>
      <c r="N86" s="7" t="str">
        <f aca="false">TRIM(SUBSTITUTE(SUBSTITUTE(SUBSTITUTE(" "&amp;TRIM(SUBSTITUTE(SUBSTITUTE(SUBSTITUTE(SUBSTITUTE(SUBSTITUTE(SUBSTITUTE(SUBSTITUTE(SUBSTITUTE(SUBSTITUTE(SUBSTITUTE(SUBSTITUTE(SUBSTITUTE(SUBSTITUTE(SUBSTITUTE(SUBSTITUTE(UPPER(TRIM(A86)),"[MEMBER]",""),"{MEMBER}",""),"[MEMBER}",""),"MEMBER]",""),"(A)",""),"""",""),"“",""),"”",""),".",""),":",""),",",""),"–"," "),"-"," "),"/"," "),"&amp;"," AND "))&amp;" "," THE "," ")," TOTAL "," ")," OPERATIONS "," "))</f>
        <v>APPENZELL INNERRHODEN</v>
      </c>
      <c r="O86" s="17" t="str">
        <f aca="false">IF(COUNTIFS($N$2:$N$2000,N86,$D$2:$D$2000,"&lt;&gt;"&amp;D86)&gt;0,"CONFLICT","")</f>
        <v/>
      </c>
      <c r="P86" s="7"/>
    </row>
    <row r="87" customFormat="false" ht="15" hidden="false" customHeight="false" outlineLevel="0" collapsed="false">
      <c r="A87" s="7" t="s">
        <v>834</v>
      </c>
      <c r="B87" s="7" t="s">
        <v>1879</v>
      </c>
      <c r="C87" s="7"/>
      <c r="D87" s="6" t="s">
        <v>834</v>
      </c>
      <c r="E87" s="6" t="s">
        <v>1880</v>
      </c>
      <c r="F87" s="7" t="str">
        <f aca="false">IF($D87="","",IFERROR(IF(INDEX(Hierarchy!$B$2:$B$1295,MATCH($D87,Hierarchy!$A$2:$A$1295,0))="","",INDEX(Hierarchy!$B$2:$B$1295,MATCH($D87,Hierarchy!$A$2:$A$1295,0))),"NODE NOT FOUND"))</f>
        <v>State/Province</v>
      </c>
      <c r="G87" s="7" t="str">
        <f aca="false">IF($D87="","",IFERROR(IF(INDEX(Hierarchy!$D$2:$D$1295,MATCH($D87,Hierarchy!$A$2:$A$1295,0))="","",INDEX(Hierarchy!$D$2:$D$1295,MATCH($D87,Hierarchy!$A$2:$A$1295,0))),"NODE NOT FOUND"))</f>
        <v>EMEA</v>
      </c>
      <c r="H87" s="7" t="str">
        <f aca="false">IF($D87="","",IFERROR(IF(INDEX(Hierarchy!$E$2:$E$1295,MATCH($D87,Hierarchy!$A$2:$A$1295,0))="","",INDEX(Hierarchy!$E$2:$E$1295,MATCH($D87,Hierarchy!$A$2:$A$1295,0))),"NODE NOT FOUND"))</f>
        <v>Europe</v>
      </c>
      <c r="I87" s="7" t="str">
        <f aca="false">IF($D87="","",IFERROR(IF(INDEX(Hierarchy!$F$2:$F$1295,MATCH($D87,Hierarchy!$A$2:$A$1295,0))="","",INDEX(Hierarchy!$F$2:$F$1295,MATCH($D87,Hierarchy!$A$2:$A$1295,0))),"NODE NOT FOUND"))</f>
        <v>Italy</v>
      </c>
      <c r="J87" s="7" t="str">
        <f aca="false">IF($D87="","",IFERROR(IF(INDEX(Hierarchy!$G$2:$G$1295,MATCH($D87,Hierarchy!$A$2:$A$1295,0))="","",INDEX(Hierarchy!$G$2:$G$1295,MATCH($D87,Hierarchy!$A$2:$A$1295,0))),"NODE NOT FOUND"))</f>
        <v>ITA</v>
      </c>
      <c r="K87" s="7" t="str">
        <f aca="false">IF($D87="","",IFERROR(IF(INDEX(Hierarchy!$H$2:$H$1295,MATCH($D87,Hierarchy!$A$2:$A$1295,0))="","",INDEX(Hierarchy!$H$2:$H$1295,MATCH($D87,Hierarchy!$A$2:$A$1295,0))),"NODE NOT FOUND"))</f>
        <v>Apulia</v>
      </c>
      <c r="L87" s="7" t="str">
        <f aca="false">IF($D87="","",IFERROR(IF(INDEX(Hierarchy!$I$2:$I$1295,MATCH($D87,Hierarchy!$A$2:$A$1295,0))="","",INDEX(Hierarchy!$I$2:$I$1295,MATCH($D87,Hierarchy!$A$2:$A$1295,0))),"NODE NOT FOUND"))</f>
        <v/>
      </c>
      <c r="M87" s="17" t="str">
        <f aca="false">IF(B87="Pre-seeded","Pre-seeded",IF(B87="Review 2026-09-16","Added from review",IF(C87="","New",IF(C87=D87,"","Changed"))))</f>
        <v>Pre-seeded</v>
      </c>
      <c r="N87" s="7" t="str">
        <f aca="false">TRIM(SUBSTITUTE(SUBSTITUTE(SUBSTITUTE(" "&amp;TRIM(SUBSTITUTE(SUBSTITUTE(SUBSTITUTE(SUBSTITUTE(SUBSTITUTE(SUBSTITUTE(SUBSTITUTE(SUBSTITUTE(SUBSTITUTE(SUBSTITUTE(SUBSTITUTE(SUBSTITUTE(SUBSTITUTE(SUBSTITUTE(SUBSTITUTE(UPPER(TRIM(A87)),"[MEMBER]",""),"{MEMBER}",""),"[MEMBER}",""),"MEMBER]",""),"(A)",""),"""",""),"“",""),"”",""),".",""),":",""),",",""),"–"," "),"-"," "),"/"," "),"&amp;"," AND "))&amp;" "," THE "," ")," TOTAL "," ")," OPERATIONS "," "))</f>
        <v>APULIA</v>
      </c>
      <c r="O87" s="17" t="str">
        <f aca="false">IF(COUNTIFS($N$2:$N$2000,N87,$D$2:$D$2000,"&lt;&gt;"&amp;D87)&gt;0,"CONFLICT","")</f>
        <v/>
      </c>
      <c r="P87" s="7"/>
    </row>
    <row r="88" customFormat="false" ht="15" hidden="false" customHeight="false" outlineLevel="0" collapsed="false">
      <c r="A88" s="7" t="s">
        <v>1935</v>
      </c>
      <c r="B88" s="7" t="s">
        <v>1879</v>
      </c>
      <c r="C88" s="7"/>
      <c r="D88" s="6" t="s">
        <v>1212</v>
      </c>
      <c r="E88" s="6" t="s">
        <v>1880</v>
      </c>
      <c r="F88" s="7" t="str">
        <f aca="false">IF($D88="","",IFERROR(IF(INDEX(Hierarchy!$B$2:$B$1295,MATCH($D88,Hierarchy!$A$2:$A$1295,0))="","",INDEX(Hierarchy!$B$2:$B$1295,MATCH($D88,Hierarchy!$A$2:$A$1295,0))),"NODE NOT FOUND"))</f>
        <v>Country</v>
      </c>
      <c r="G88" s="7" t="str">
        <f aca="false">IF($D88="","",IFERROR(IF(INDEX(Hierarchy!$D$2:$D$1295,MATCH($D88,Hierarchy!$A$2:$A$1295,0))="","",INDEX(Hierarchy!$D$2:$D$1295,MATCH($D88,Hierarchy!$A$2:$A$1295,0))),"NODE NOT FOUND"))</f>
        <v>EMEA</v>
      </c>
      <c r="H88" s="7" t="str">
        <f aca="false">IF($D88="","",IFERROR(IF(INDEX(Hierarchy!$E$2:$E$1295,MATCH($D88,Hierarchy!$A$2:$A$1295,0))="","",INDEX(Hierarchy!$E$2:$E$1295,MATCH($D88,Hierarchy!$A$2:$A$1295,0))),"NODE NOT FOUND"))</f>
        <v>Africa</v>
      </c>
      <c r="I88" s="7" t="str">
        <f aca="false">IF($D88="","",IFERROR(IF(INDEX(Hierarchy!$F$2:$F$1295,MATCH($D88,Hierarchy!$A$2:$A$1295,0))="","",INDEX(Hierarchy!$F$2:$F$1295,MATCH($D88,Hierarchy!$A$2:$A$1295,0))),"NODE NOT FOUND"))</f>
        <v>Egypt</v>
      </c>
      <c r="J88" s="7" t="str">
        <f aca="false">IF($D88="","",IFERROR(IF(INDEX(Hierarchy!$G$2:$G$1295,MATCH($D88,Hierarchy!$A$2:$A$1295,0))="","",INDEX(Hierarchy!$G$2:$G$1295,MATCH($D88,Hierarchy!$A$2:$A$1295,0))),"NODE NOT FOUND"))</f>
        <v>EGY</v>
      </c>
      <c r="K88" s="7" t="str">
        <f aca="false">IF($D88="","",IFERROR(IF(INDEX(Hierarchy!$H$2:$H$1295,MATCH($D88,Hierarchy!$A$2:$A$1295,0))="","",INDEX(Hierarchy!$H$2:$H$1295,MATCH($D88,Hierarchy!$A$2:$A$1295,0))),"NODE NOT FOUND"))</f>
        <v/>
      </c>
      <c r="L88" s="7" t="str">
        <f aca="false">IF($D88="","",IFERROR(IF(INDEX(Hierarchy!$I$2:$I$1295,MATCH($D88,Hierarchy!$A$2:$A$1295,0))="","",INDEX(Hierarchy!$I$2:$I$1295,MATCH($D88,Hierarchy!$A$2:$A$1295,0))),"NODE NOT FOUND"))</f>
        <v/>
      </c>
      <c r="M88" s="17" t="str">
        <f aca="false">IF(B88="Pre-seeded","Pre-seeded",IF(B88="Review 2026-09-16","Added from review",IF(C88="","New",IF(C88=D88,"","Changed"))))</f>
        <v>Pre-seeded</v>
      </c>
      <c r="N88" s="7" t="str">
        <f aca="false">TRIM(SUBSTITUTE(SUBSTITUTE(SUBSTITUTE(" "&amp;TRIM(SUBSTITUTE(SUBSTITUTE(SUBSTITUTE(SUBSTITUTE(SUBSTITUTE(SUBSTITUTE(SUBSTITUTE(SUBSTITUTE(SUBSTITUTE(SUBSTITUTE(SUBSTITUTE(SUBSTITUTE(SUBSTITUTE(SUBSTITUTE(SUBSTITUTE(UPPER(TRIM(A88)),"[MEMBER]",""),"{MEMBER}",""),"[MEMBER}",""),"MEMBER]",""),"(A)",""),"""",""),"“",""),"”",""),".",""),":",""),",",""),"–"," "),"-"," "),"/"," "),"&amp;"," AND "))&amp;" "," THE "," ")," TOTAL "," ")," OPERATIONS "," "))</f>
        <v>ARAB REPUBLIC OF EGYPT</v>
      </c>
      <c r="O88" s="17" t="str">
        <f aca="false">IF(COUNTIFS($N$2:$N$2000,N88,$D$2:$D$2000,"&lt;&gt;"&amp;D88)&gt;0,"CONFLICT","")</f>
        <v/>
      </c>
      <c r="P88" s="7" t="s">
        <v>1936</v>
      </c>
    </row>
    <row r="89" customFormat="false" ht="15" hidden="false" customHeight="false" outlineLevel="0" collapsed="false">
      <c r="A89" s="7" t="s">
        <v>1937</v>
      </c>
      <c r="B89" s="7" t="s">
        <v>1879</v>
      </c>
      <c r="C89" s="7"/>
      <c r="D89" s="6" t="s">
        <v>618</v>
      </c>
      <c r="E89" s="6" t="s">
        <v>1880</v>
      </c>
      <c r="F89" s="7" t="str">
        <f aca="false">IF($D89="","",IFERROR(IF(INDEX(Hierarchy!$B$2:$B$1295,MATCH($D89,Hierarchy!$A$2:$A$1295,0))="","",INDEX(Hierarchy!$B$2:$B$1295,MATCH($D89,Hierarchy!$A$2:$A$1295,0))),"NODE NOT FOUND"))</f>
        <v>Sub-region group</v>
      </c>
      <c r="G89" s="7" t="str">
        <f aca="false">IF($D89="","",IFERROR(IF(INDEX(Hierarchy!$D$2:$D$1295,MATCH($D89,Hierarchy!$A$2:$A$1295,0))="","",INDEX(Hierarchy!$D$2:$D$1295,MATCH($D89,Hierarchy!$A$2:$A$1295,0))),"NODE NOT FOUND"))</f>
        <v>EMEA</v>
      </c>
      <c r="H89" s="7" t="str">
        <f aca="false">IF($D89="","",IFERROR(IF(INDEX(Hierarchy!$E$2:$E$1295,MATCH($D89,Hierarchy!$A$2:$A$1295,0))="","",INDEX(Hierarchy!$E$2:$E$1295,MATCH($D89,Hierarchy!$A$2:$A$1295,0))),"NODE NOT FOUND"))</f>
        <v/>
      </c>
      <c r="I89" s="7" t="str">
        <f aca="false">IF($D89="","",IFERROR(IF(INDEX(Hierarchy!$F$2:$F$1295,MATCH($D89,Hierarchy!$A$2:$A$1295,0))="","",INDEX(Hierarchy!$F$2:$F$1295,MATCH($D89,Hierarchy!$A$2:$A$1295,0))),"NODE NOT FOUND"))</f>
        <v/>
      </c>
      <c r="J89" s="7" t="str">
        <f aca="false">IF($D89="","",IFERROR(IF(INDEX(Hierarchy!$G$2:$G$1295,MATCH($D89,Hierarchy!$A$2:$A$1295,0))="","",INDEX(Hierarchy!$G$2:$G$1295,MATCH($D89,Hierarchy!$A$2:$A$1295,0))),"NODE NOT FOUND"))</f>
        <v/>
      </c>
      <c r="K89" s="7" t="str">
        <f aca="false">IF($D89="","",IFERROR(IF(INDEX(Hierarchy!$H$2:$H$1295,MATCH($D89,Hierarchy!$A$2:$A$1295,0))="","",INDEX(Hierarchy!$H$2:$H$1295,MATCH($D89,Hierarchy!$A$2:$A$1295,0))),"NODE NOT FOUND"))</f>
        <v/>
      </c>
      <c r="L89" s="7" t="str">
        <f aca="false">IF($D89="","",IFERROR(IF(INDEX(Hierarchy!$I$2:$I$1295,MATCH($D89,Hierarchy!$A$2:$A$1295,0))="","",INDEX(Hierarchy!$I$2:$I$1295,MATCH($D89,Hierarchy!$A$2:$A$1295,0))),"NODE NOT FOUND"))</f>
        <v/>
      </c>
      <c r="M89" s="17" t="str">
        <f aca="false">IF(B89="Pre-seeded","Pre-seeded",IF(B89="Review 2026-09-16","Added from review",IF(C89="","New",IF(C89=D89,"","Changed"))))</f>
        <v>Pre-seeded</v>
      </c>
      <c r="N89" s="7" t="str">
        <f aca="false">TRIM(SUBSTITUTE(SUBSTITUTE(SUBSTITUTE(" "&amp;TRIM(SUBSTITUTE(SUBSTITUTE(SUBSTITUTE(SUBSTITUTE(SUBSTITUTE(SUBSTITUTE(SUBSTITUTE(SUBSTITUTE(SUBSTITUTE(SUBSTITUTE(SUBSTITUTE(SUBSTITUTE(SUBSTITUTE(SUBSTITUTE(SUBSTITUTE(UPPER(TRIM(A89)),"[MEMBER]",""),"{MEMBER}",""),"[MEMBER}",""),"MEMBER]",""),"(A)",""),"""",""),"“",""),"”",""),".",""),":",""),",",""),"–"," "),"-"," "),"/"," "),"&amp;"," AND "))&amp;" "," THE "," ")," TOTAL "," ")," OPERATIONS "," "))</f>
        <v>ARAB WORLD</v>
      </c>
      <c r="O89" s="17" t="str">
        <f aca="false">IF(COUNTIFS($N$2:$N$2000,N89,$D$2:$D$2000,"&lt;&gt;"&amp;D89)&gt;0,"CONFLICT","")</f>
        <v/>
      </c>
      <c r="P89" s="7"/>
    </row>
    <row r="90" customFormat="false" ht="15" hidden="false" customHeight="false" outlineLevel="0" collapsed="false">
      <c r="A90" s="7" t="s">
        <v>1938</v>
      </c>
      <c r="B90" s="7" t="s">
        <v>1879</v>
      </c>
      <c r="C90" s="7"/>
      <c r="D90" s="6" t="s">
        <v>1031</v>
      </c>
      <c r="E90" s="6" t="s">
        <v>1891</v>
      </c>
      <c r="F90" s="7" t="str">
        <f aca="false">IF($D90="","",IFERROR(IF(INDEX(Hierarchy!$B$2:$B$1295,MATCH($D90,Hierarchy!$A$2:$A$1295,0))="","",INDEX(Hierarchy!$B$2:$B$1295,MATCH($D90,Hierarchy!$A$2:$A$1295,0))),"NODE NOT FOUND"))</f>
        <v>Sub-region component</v>
      </c>
      <c r="G90" s="7" t="str">
        <f aca="false">IF($D90="","",IFERROR(IF(INDEX(Hierarchy!$D$2:$D$1295,MATCH($D90,Hierarchy!$A$2:$A$1295,0))="","",INDEX(Hierarchy!$D$2:$D$1295,MATCH($D90,Hierarchy!$A$2:$A$1295,0))),"NODE NOT FOUND"))</f>
        <v>EMEA</v>
      </c>
      <c r="H90" s="7" t="str">
        <f aca="false">IF($D90="","",IFERROR(IF(INDEX(Hierarchy!$E$2:$E$1295,MATCH($D90,Hierarchy!$A$2:$A$1295,0))="","",INDEX(Hierarchy!$E$2:$E$1295,MATCH($D90,Hierarchy!$A$2:$A$1295,0))),"NODE NOT FOUND"))</f>
        <v>Middle East</v>
      </c>
      <c r="I90" s="7" t="str">
        <f aca="false">IF($D90="","",IFERROR(IF(INDEX(Hierarchy!$F$2:$F$1295,MATCH($D90,Hierarchy!$A$2:$A$1295,0))="","",INDEX(Hierarchy!$F$2:$F$1295,MATCH($D90,Hierarchy!$A$2:$A$1295,0))),"NODE NOT FOUND"))</f>
        <v/>
      </c>
      <c r="J90" s="7" t="str">
        <f aca="false">IF($D90="","",IFERROR(IF(INDEX(Hierarchy!$G$2:$G$1295,MATCH($D90,Hierarchy!$A$2:$A$1295,0))="","",INDEX(Hierarchy!$G$2:$G$1295,MATCH($D90,Hierarchy!$A$2:$A$1295,0))),"NODE NOT FOUND"))</f>
        <v/>
      </c>
      <c r="K90" s="7" t="str">
        <f aca="false">IF($D90="","",IFERROR(IF(INDEX(Hierarchy!$H$2:$H$1295,MATCH($D90,Hierarchy!$A$2:$A$1295,0))="","",INDEX(Hierarchy!$H$2:$H$1295,MATCH($D90,Hierarchy!$A$2:$A$1295,0))),"NODE NOT FOUND"))</f>
        <v/>
      </c>
      <c r="L90" s="7" t="str">
        <f aca="false">IF($D90="","",IFERROR(IF(INDEX(Hierarchy!$I$2:$I$1295,MATCH($D90,Hierarchy!$A$2:$A$1295,0))="","",INDEX(Hierarchy!$I$2:$I$1295,MATCH($D90,Hierarchy!$A$2:$A$1295,0))),"NODE NOT FOUND"))</f>
        <v/>
      </c>
      <c r="M90" s="17" t="str">
        <f aca="false">IF(B90="Pre-seeded","Pre-seeded",IF(B90="Review 2026-09-16","Added from review",IF(C90="","New",IF(C90=D90,"","Changed"))))</f>
        <v>Pre-seeded</v>
      </c>
      <c r="N90" s="7" t="str">
        <f aca="false">TRIM(SUBSTITUTE(SUBSTITUTE(SUBSTITUTE(" "&amp;TRIM(SUBSTITUTE(SUBSTITUTE(SUBSTITUTE(SUBSTITUTE(SUBSTITUTE(SUBSTITUTE(SUBSTITUTE(SUBSTITUTE(SUBSTITUTE(SUBSTITUTE(SUBSTITUTE(SUBSTITUTE(SUBSTITUTE(SUBSTITUTE(SUBSTITUTE(UPPER(TRIM(A90)),"[MEMBER]",""),"{MEMBER}",""),"[MEMBER}",""),"MEMBER]",""),"(A)",""),"""",""),"“",""),"”",""),".",""),":",""),",",""),"–"," "),"-"," "),"/"," "),"&amp;"," AND "))&amp;" "," THE "," ")," TOTAL "," ")," OPERATIONS "," "))</f>
        <v>ARABIAN PENINSULA</v>
      </c>
      <c r="O90" s="17" t="str">
        <f aca="false">IF(COUNTIFS($N$2:$N$2000,N90,$D$2:$D$2000,"&lt;&gt;"&amp;D90)&gt;0,"CONFLICT","")</f>
        <v/>
      </c>
      <c r="P90" s="7"/>
    </row>
    <row r="91" customFormat="false" ht="15" hidden="false" customHeight="false" outlineLevel="0" collapsed="false">
      <c r="A91" s="7" t="s">
        <v>953</v>
      </c>
      <c r="B91" s="7" t="s">
        <v>1879</v>
      </c>
      <c r="C91" s="7"/>
      <c r="D91" s="6" t="s">
        <v>953</v>
      </c>
      <c r="E91" s="6" t="s">
        <v>1880</v>
      </c>
      <c r="F91" s="7" t="str">
        <f aca="false">IF($D91="","",IFERROR(IF(INDEX(Hierarchy!$B$2:$B$1295,MATCH($D91,Hierarchy!$A$2:$A$1295,0))="","",INDEX(Hierarchy!$B$2:$B$1295,MATCH($D91,Hierarchy!$A$2:$A$1295,0))),"NODE NOT FOUND"))</f>
        <v>State/Province</v>
      </c>
      <c r="G91" s="7" t="str">
        <f aca="false">IF($D91="","",IFERROR(IF(INDEX(Hierarchy!$D$2:$D$1295,MATCH($D91,Hierarchy!$A$2:$A$1295,0))="","",INDEX(Hierarchy!$D$2:$D$1295,MATCH($D91,Hierarchy!$A$2:$A$1295,0))),"NODE NOT FOUND"))</f>
        <v>EMEA</v>
      </c>
      <c r="H91" s="7" t="str">
        <f aca="false">IF($D91="","",IFERROR(IF(INDEX(Hierarchy!$E$2:$E$1295,MATCH($D91,Hierarchy!$A$2:$A$1295,0))="","",INDEX(Hierarchy!$E$2:$E$1295,MATCH($D91,Hierarchy!$A$2:$A$1295,0))),"NODE NOT FOUND"))</f>
        <v>Europe</v>
      </c>
      <c r="I91" s="7" t="str">
        <f aca="false">IF($D91="","",IFERROR(IF(INDEX(Hierarchy!$F$2:$F$1295,MATCH($D91,Hierarchy!$A$2:$A$1295,0))="","",INDEX(Hierarchy!$F$2:$F$1295,MATCH($D91,Hierarchy!$A$2:$A$1295,0))),"NODE NOT FOUND"))</f>
        <v>Spain</v>
      </c>
      <c r="J91" s="7" t="str">
        <f aca="false">IF($D91="","",IFERROR(IF(INDEX(Hierarchy!$G$2:$G$1295,MATCH($D91,Hierarchy!$A$2:$A$1295,0))="","",INDEX(Hierarchy!$G$2:$G$1295,MATCH($D91,Hierarchy!$A$2:$A$1295,0))),"NODE NOT FOUND"))</f>
        <v>ESP</v>
      </c>
      <c r="K91" s="7" t="str">
        <f aca="false">IF($D91="","",IFERROR(IF(INDEX(Hierarchy!$H$2:$H$1295,MATCH($D91,Hierarchy!$A$2:$A$1295,0))="","",INDEX(Hierarchy!$H$2:$H$1295,MATCH($D91,Hierarchy!$A$2:$A$1295,0))),"NODE NOT FOUND"))</f>
        <v>Aragon</v>
      </c>
      <c r="L91" s="7" t="str">
        <f aca="false">IF($D91="","",IFERROR(IF(INDEX(Hierarchy!$I$2:$I$1295,MATCH($D91,Hierarchy!$A$2:$A$1295,0))="","",INDEX(Hierarchy!$I$2:$I$1295,MATCH($D91,Hierarchy!$A$2:$A$1295,0))),"NODE NOT FOUND"))</f>
        <v/>
      </c>
      <c r="M91" s="17" t="str">
        <f aca="false">IF(B91="Pre-seeded","Pre-seeded",IF(B91="Review 2026-09-16","Added from review",IF(C91="","New",IF(C91=D91,"","Changed"))))</f>
        <v>Pre-seeded</v>
      </c>
      <c r="N91" s="7" t="str">
        <f aca="false">TRIM(SUBSTITUTE(SUBSTITUTE(SUBSTITUTE(" "&amp;TRIM(SUBSTITUTE(SUBSTITUTE(SUBSTITUTE(SUBSTITUTE(SUBSTITUTE(SUBSTITUTE(SUBSTITUTE(SUBSTITUTE(SUBSTITUTE(SUBSTITUTE(SUBSTITUTE(SUBSTITUTE(SUBSTITUTE(SUBSTITUTE(SUBSTITUTE(UPPER(TRIM(A91)),"[MEMBER]",""),"{MEMBER}",""),"[MEMBER}",""),"MEMBER]",""),"(A)",""),"""",""),"“",""),"”",""),".",""),":",""),",",""),"–"," "),"-"," "),"/"," "),"&amp;"," AND "))&amp;" "," THE "," ")," TOTAL "," ")," OPERATIONS "," "))</f>
        <v>ARAGON</v>
      </c>
      <c r="O91" s="17" t="str">
        <f aca="false">IF(COUNTIFS($N$2:$N$2000,N91,$D$2:$D$2000,"&lt;&gt;"&amp;D91)&gt;0,"CONFLICT","")</f>
        <v/>
      </c>
      <c r="P91" s="7"/>
    </row>
    <row r="92" customFormat="false" ht="15" hidden="false" customHeight="false" outlineLevel="0" collapsed="false">
      <c r="A92" s="7" t="s">
        <v>502</v>
      </c>
      <c r="B92" s="7" t="s">
        <v>1879</v>
      </c>
      <c r="C92" s="7"/>
      <c r="D92" s="6" t="s">
        <v>502</v>
      </c>
      <c r="E92" s="6" t="s">
        <v>1880</v>
      </c>
      <c r="F92" s="7" t="str">
        <f aca="false">IF($D92="","",IFERROR(IF(INDEX(Hierarchy!$B$2:$B$1295,MATCH($D92,Hierarchy!$A$2:$A$1295,0))="","",INDEX(Hierarchy!$B$2:$B$1295,MATCH($D92,Hierarchy!$A$2:$A$1295,0))),"NODE NOT FOUND"))</f>
        <v>State/Province</v>
      </c>
      <c r="G92" s="7" t="str">
        <f aca="false">IF($D92="","",IFERROR(IF(INDEX(Hierarchy!$D$2:$D$1295,MATCH($D92,Hierarchy!$A$2:$A$1295,0))="","",INDEX(Hierarchy!$D$2:$D$1295,MATCH($D92,Hierarchy!$A$2:$A$1295,0))),"NODE NOT FOUND"))</f>
        <v>AMER</v>
      </c>
      <c r="H92" s="7" t="str">
        <f aca="false">IF($D92="","",IFERROR(IF(INDEX(Hierarchy!$E$2:$E$1295,MATCH($D92,Hierarchy!$A$2:$A$1295,0))="","",INDEX(Hierarchy!$E$2:$E$1295,MATCH($D92,Hierarchy!$A$2:$A$1295,0))),"NODE NOT FOUND"))</f>
        <v>Latin America (LATAM)</v>
      </c>
      <c r="I92" s="7" t="str">
        <f aca="false">IF($D92="","",IFERROR(IF(INDEX(Hierarchy!$F$2:$F$1295,MATCH($D92,Hierarchy!$A$2:$A$1295,0))="","",INDEX(Hierarchy!$F$2:$F$1295,MATCH($D92,Hierarchy!$A$2:$A$1295,0))),"NODE NOT FOUND"))</f>
        <v>Colombia</v>
      </c>
      <c r="J92" s="7" t="str">
        <f aca="false">IF($D92="","",IFERROR(IF(INDEX(Hierarchy!$G$2:$G$1295,MATCH($D92,Hierarchy!$A$2:$A$1295,0))="","",INDEX(Hierarchy!$G$2:$G$1295,MATCH($D92,Hierarchy!$A$2:$A$1295,0))),"NODE NOT FOUND"))</f>
        <v>COL</v>
      </c>
      <c r="K92" s="7" t="str">
        <f aca="false">IF($D92="","",IFERROR(IF(INDEX(Hierarchy!$H$2:$H$1295,MATCH($D92,Hierarchy!$A$2:$A$1295,0))="","",INDEX(Hierarchy!$H$2:$H$1295,MATCH($D92,Hierarchy!$A$2:$A$1295,0))),"NODE NOT FOUND"))</f>
        <v>Arauca</v>
      </c>
      <c r="L92" s="7" t="str">
        <f aca="false">IF($D92="","",IFERROR(IF(INDEX(Hierarchy!$I$2:$I$1295,MATCH($D92,Hierarchy!$A$2:$A$1295,0))="","",INDEX(Hierarchy!$I$2:$I$1295,MATCH($D92,Hierarchy!$A$2:$A$1295,0))),"NODE NOT FOUND"))</f>
        <v/>
      </c>
      <c r="M92" s="17" t="str">
        <f aca="false">IF(B92="Pre-seeded","Pre-seeded",IF(B92="Review 2026-09-16","Added from review",IF(C92="","New",IF(C92=D92,"","Changed"))))</f>
        <v>Pre-seeded</v>
      </c>
      <c r="N92" s="7" t="str">
        <f aca="false">TRIM(SUBSTITUTE(SUBSTITUTE(SUBSTITUTE(" "&amp;TRIM(SUBSTITUTE(SUBSTITUTE(SUBSTITUTE(SUBSTITUTE(SUBSTITUTE(SUBSTITUTE(SUBSTITUTE(SUBSTITUTE(SUBSTITUTE(SUBSTITUTE(SUBSTITUTE(SUBSTITUTE(SUBSTITUTE(SUBSTITUTE(SUBSTITUTE(UPPER(TRIM(A92)),"[MEMBER]",""),"{MEMBER}",""),"[MEMBER}",""),"MEMBER]",""),"(A)",""),"""",""),"“",""),"”",""),".",""),":",""),",",""),"–"," "),"-"," "),"/"," "),"&amp;"," AND "))&amp;" "," THE "," ")," TOTAL "," ")," OPERATIONS "," "))</f>
        <v>ARAUCA</v>
      </c>
      <c r="O92" s="17" t="str">
        <f aca="false">IF(COUNTIFS($N$2:$N$2000,N92,$D$2:$D$2000,"&lt;&gt;"&amp;D92)&gt;0,"CONFLICT","")</f>
        <v/>
      </c>
      <c r="P92" s="7"/>
    </row>
    <row r="93" customFormat="false" ht="15" hidden="false" customHeight="false" outlineLevel="0" collapsed="false">
      <c r="A93" s="7" t="s">
        <v>425</v>
      </c>
      <c r="B93" s="7" t="s">
        <v>1882</v>
      </c>
      <c r="C93" s="7" t="s">
        <v>425</v>
      </c>
      <c r="D93" s="6" t="s">
        <v>425</v>
      </c>
      <c r="E93" s="6" t="s">
        <v>1880</v>
      </c>
      <c r="F93" s="7" t="str">
        <f aca="false">IF($D93="","",IFERROR(IF(INDEX(Hierarchy!$B$2:$B$1295,MATCH($D93,Hierarchy!$A$2:$A$1295,0))="","",INDEX(Hierarchy!$B$2:$B$1295,MATCH($D93,Hierarchy!$A$2:$A$1295,0))),"NODE NOT FOUND"))</f>
        <v>Country</v>
      </c>
      <c r="G93" s="7" t="str">
        <f aca="false">IF($D93="","",IFERROR(IF(INDEX(Hierarchy!$D$2:$D$1295,MATCH($D93,Hierarchy!$A$2:$A$1295,0))="","",INDEX(Hierarchy!$D$2:$D$1295,MATCH($D93,Hierarchy!$A$2:$A$1295,0))),"NODE NOT FOUND"))</f>
        <v>AMER</v>
      </c>
      <c r="H93" s="7" t="str">
        <f aca="false">IF($D93="","",IFERROR(IF(INDEX(Hierarchy!$E$2:$E$1295,MATCH($D93,Hierarchy!$A$2:$A$1295,0))="","",INDEX(Hierarchy!$E$2:$E$1295,MATCH($D93,Hierarchy!$A$2:$A$1295,0))),"NODE NOT FOUND"))</f>
        <v>Latin America (LATAM)</v>
      </c>
      <c r="I93" s="7" t="str">
        <f aca="false">IF($D93="","",IFERROR(IF(INDEX(Hierarchy!$F$2:$F$1295,MATCH($D93,Hierarchy!$A$2:$A$1295,0))="","",INDEX(Hierarchy!$F$2:$F$1295,MATCH($D93,Hierarchy!$A$2:$A$1295,0))),"NODE NOT FOUND"))</f>
        <v>Argentina</v>
      </c>
      <c r="J93" s="7" t="str">
        <f aca="false">IF($D93="","",IFERROR(IF(INDEX(Hierarchy!$G$2:$G$1295,MATCH($D93,Hierarchy!$A$2:$A$1295,0))="","",INDEX(Hierarchy!$G$2:$G$1295,MATCH($D93,Hierarchy!$A$2:$A$1295,0))),"NODE NOT FOUND"))</f>
        <v>ARG</v>
      </c>
      <c r="K93" s="7" t="str">
        <f aca="false">IF($D93="","",IFERROR(IF(INDEX(Hierarchy!$H$2:$H$1295,MATCH($D93,Hierarchy!$A$2:$A$1295,0))="","",INDEX(Hierarchy!$H$2:$H$1295,MATCH($D93,Hierarchy!$A$2:$A$1295,0))),"NODE NOT FOUND"))</f>
        <v/>
      </c>
      <c r="L93" s="7" t="str">
        <f aca="false">IF($D93="","",IFERROR(IF(INDEX(Hierarchy!$I$2:$I$1295,MATCH($D93,Hierarchy!$A$2:$A$1295,0))="","",INDEX(Hierarchy!$I$2:$I$1295,MATCH($D93,Hierarchy!$A$2:$A$1295,0))),"NODE NOT FOUND"))</f>
        <v/>
      </c>
      <c r="M93" s="17" t="str">
        <f aca="false">IF(B93="Pre-seeded","Pre-seeded",IF(B93="Review 2026-09-16","Added from review",IF(C93="","New",IF(C93=D93,"","Changed"))))</f>
        <v/>
      </c>
      <c r="N93" s="7" t="str">
        <f aca="false">TRIM(SUBSTITUTE(SUBSTITUTE(SUBSTITUTE(" "&amp;TRIM(SUBSTITUTE(SUBSTITUTE(SUBSTITUTE(SUBSTITUTE(SUBSTITUTE(SUBSTITUTE(SUBSTITUTE(SUBSTITUTE(SUBSTITUTE(SUBSTITUTE(SUBSTITUTE(SUBSTITUTE(SUBSTITUTE(SUBSTITUTE(SUBSTITUTE(UPPER(TRIM(A93)),"[MEMBER]",""),"{MEMBER}",""),"[MEMBER}",""),"MEMBER]",""),"(A)",""),"""",""),"“",""),"”",""),".",""),":",""),",",""),"–"," "),"-"," "),"/"," "),"&amp;"," AND "))&amp;" "," THE "," ")," TOTAL "," ")," OPERATIONS "," "))</f>
        <v>ARGENTINA</v>
      </c>
      <c r="O93" s="17" t="str">
        <f aca="false">IF(COUNTIFS($N$2:$N$2000,N93,$D$2:$D$2000,"&lt;&gt;"&amp;D93)&gt;0,"CONFLICT","")</f>
        <v/>
      </c>
      <c r="P93" s="7"/>
    </row>
    <row r="94" customFormat="false" ht="15" hidden="false" customHeight="false" outlineLevel="0" collapsed="false">
      <c r="A94" s="7" t="s">
        <v>1939</v>
      </c>
      <c r="B94" s="7" t="s">
        <v>1882</v>
      </c>
      <c r="C94" s="7" t="s">
        <v>425</v>
      </c>
      <c r="D94" s="6" t="s">
        <v>425</v>
      </c>
      <c r="E94" s="6" t="s">
        <v>1880</v>
      </c>
      <c r="F94" s="7" t="str">
        <f aca="false">IF($D94="","",IFERROR(IF(INDEX(Hierarchy!$B$2:$B$1295,MATCH($D94,Hierarchy!$A$2:$A$1295,0))="","",INDEX(Hierarchy!$B$2:$B$1295,MATCH($D94,Hierarchy!$A$2:$A$1295,0))),"NODE NOT FOUND"))</f>
        <v>Country</v>
      </c>
      <c r="G94" s="7" t="str">
        <f aca="false">IF($D94="","",IFERROR(IF(INDEX(Hierarchy!$D$2:$D$1295,MATCH($D94,Hierarchy!$A$2:$A$1295,0))="","",INDEX(Hierarchy!$D$2:$D$1295,MATCH($D94,Hierarchy!$A$2:$A$1295,0))),"NODE NOT FOUND"))</f>
        <v>AMER</v>
      </c>
      <c r="H94" s="7" t="str">
        <f aca="false">IF($D94="","",IFERROR(IF(INDEX(Hierarchy!$E$2:$E$1295,MATCH($D94,Hierarchy!$A$2:$A$1295,0))="","",INDEX(Hierarchy!$E$2:$E$1295,MATCH($D94,Hierarchy!$A$2:$A$1295,0))),"NODE NOT FOUND"))</f>
        <v>Latin America (LATAM)</v>
      </c>
      <c r="I94" s="7" t="str">
        <f aca="false">IF($D94="","",IFERROR(IF(INDEX(Hierarchy!$F$2:$F$1295,MATCH($D94,Hierarchy!$A$2:$A$1295,0))="","",INDEX(Hierarchy!$F$2:$F$1295,MATCH($D94,Hierarchy!$A$2:$A$1295,0))),"NODE NOT FOUND"))</f>
        <v>Argentina</v>
      </c>
      <c r="J94" s="7" t="str">
        <f aca="false">IF($D94="","",IFERROR(IF(INDEX(Hierarchy!$G$2:$G$1295,MATCH($D94,Hierarchy!$A$2:$A$1295,0))="","",INDEX(Hierarchy!$G$2:$G$1295,MATCH($D94,Hierarchy!$A$2:$A$1295,0))),"NODE NOT FOUND"))</f>
        <v>ARG</v>
      </c>
      <c r="K94" s="7" t="str">
        <f aca="false">IF($D94="","",IFERROR(IF(INDEX(Hierarchy!$H$2:$H$1295,MATCH($D94,Hierarchy!$A$2:$A$1295,0))="","",INDEX(Hierarchy!$H$2:$H$1295,MATCH($D94,Hierarchy!$A$2:$A$1295,0))),"NODE NOT FOUND"))</f>
        <v/>
      </c>
      <c r="L94" s="7" t="str">
        <f aca="false">IF($D94="","",IFERROR(IF(INDEX(Hierarchy!$I$2:$I$1295,MATCH($D94,Hierarchy!$A$2:$A$1295,0))="","",INDEX(Hierarchy!$I$2:$I$1295,MATCH($D94,Hierarchy!$A$2:$A$1295,0))),"NODE NOT FOUND"))</f>
        <v/>
      </c>
      <c r="M94" s="17" t="str">
        <f aca="false">IF(B94="Pre-seeded","Pre-seeded",IF(B94="Review 2026-09-16","Added from review",IF(C94="","New",IF(C94=D94,"","Changed"))))</f>
        <v/>
      </c>
      <c r="N94" s="7" t="str">
        <f aca="false">TRIM(SUBSTITUTE(SUBSTITUTE(SUBSTITUTE(" "&amp;TRIM(SUBSTITUTE(SUBSTITUTE(SUBSTITUTE(SUBSTITUTE(SUBSTITUTE(SUBSTITUTE(SUBSTITUTE(SUBSTITUTE(SUBSTITUTE(SUBSTITUTE(SUBSTITUTE(SUBSTITUTE(SUBSTITUTE(SUBSTITUTE(SUBSTITUTE(UPPER(TRIM(A94)),"[MEMBER]",""),"{MEMBER}",""),"[MEMBER}",""),"MEMBER]",""),"(A)",""),"""",""),"“",""),"”",""),".",""),":",""),",",""),"–"," "),"-"," "),"/"," "),"&amp;"," AND "))&amp;" "," THE "," ")," TOTAL "," ")," OPERATIONS "," "))</f>
        <v>ARGENTINA</v>
      </c>
      <c r="O94" s="17" t="str">
        <f aca="false">IF(COUNTIFS($N$2:$N$2000,N94,$D$2:$D$2000,"&lt;&gt;"&amp;D94)&gt;0,"CONFLICT","")</f>
        <v/>
      </c>
      <c r="P94" s="7"/>
    </row>
    <row r="95" customFormat="false" ht="15" hidden="false" customHeight="false" outlineLevel="0" collapsed="false">
      <c r="A95" s="7" t="s">
        <v>1940</v>
      </c>
      <c r="B95" s="7" t="s">
        <v>1879</v>
      </c>
      <c r="C95" s="7"/>
      <c r="D95" s="6" t="s">
        <v>425</v>
      </c>
      <c r="E95" s="6" t="s">
        <v>1880</v>
      </c>
      <c r="F95" s="7" t="str">
        <f aca="false">IF($D95="","",IFERROR(IF(INDEX(Hierarchy!$B$2:$B$1295,MATCH($D95,Hierarchy!$A$2:$A$1295,0))="","",INDEX(Hierarchy!$B$2:$B$1295,MATCH($D95,Hierarchy!$A$2:$A$1295,0))),"NODE NOT FOUND"))</f>
        <v>Country</v>
      </c>
      <c r="G95" s="7" t="str">
        <f aca="false">IF($D95="","",IFERROR(IF(INDEX(Hierarchy!$D$2:$D$1295,MATCH($D95,Hierarchy!$A$2:$A$1295,0))="","",INDEX(Hierarchy!$D$2:$D$1295,MATCH($D95,Hierarchy!$A$2:$A$1295,0))),"NODE NOT FOUND"))</f>
        <v>AMER</v>
      </c>
      <c r="H95" s="7" t="str">
        <f aca="false">IF($D95="","",IFERROR(IF(INDEX(Hierarchy!$E$2:$E$1295,MATCH($D95,Hierarchy!$A$2:$A$1295,0))="","",INDEX(Hierarchy!$E$2:$E$1295,MATCH($D95,Hierarchy!$A$2:$A$1295,0))),"NODE NOT FOUND"))</f>
        <v>Latin America (LATAM)</v>
      </c>
      <c r="I95" s="7" t="str">
        <f aca="false">IF($D95="","",IFERROR(IF(INDEX(Hierarchy!$F$2:$F$1295,MATCH($D95,Hierarchy!$A$2:$A$1295,0))="","",INDEX(Hierarchy!$F$2:$F$1295,MATCH($D95,Hierarchy!$A$2:$A$1295,0))),"NODE NOT FOUND"))</f>
        <v>Argentina</v>
      </c>
      <c r="J95" s="7" t="str">
        <f aca="false">IF($D95="","",IFERROR(IF(INDEX(Hierarchy!$G$2:$G$1295,MATCH($D95,Hierarchy!$A$2:$A$1295,0))="","",INDEX(Hierarchy!$G$2:$G$1295,MATCH($D95,Hierarchy!$A$2:$A$1295,0))),"NODE NOT FOUND"))</f>
        <v>ARG</v>
      </c>
      <c r="K95" s="7" t="str">
        <f aca="false">IF($D95="","",IFERROR(IF(INDEX(Hierarchy!$H$2:$H$1295,MATCH($D95,Hierarchy!$A$2:$A$1295,0))="","",INDEX(Hierarchy!$H$2:$H$1295,MATCH($D95,Hierarchy!$A$2:$A$1295,0))),"NODE NOT FOUND"))</f>
        <v/>
      </c>
      <c r="L95" s="7" t="str">
        <f aca="false">IF($D95="","",IFERROR(IF(INDEX(Hierarchy!$I$2:$I$1295,MATCH($D95,Hierarchy!$A$2:$A$1295,0))="","",INDEX(Hierarchy!$I$2:$I$1295,MATCH($D95,Hierarchy!$A$2:$A$1295,0))),"NODE NOT FOUND"))</f>
        <v/>
      </c>
      <c r="M95" s="17" t="str">
        <f aca="false">IF(B95="Pre-seeded","Pre-seeded",IF(B95="Review 2026-09-16","Added from review",IF(C95="","New",IF(C95=D95,"","Changed"))))</f>
        <v>Pre-seeded</v>
      </c>
      <c r="N95" s="7" t="str">
        <f aca="false">TRIM(SUBSTITUTE(SUBSTITUTE(SUBSTITUTE(" "&amp;TRIM(SUBSTITUTE(SUBSTITUTE(SUBSTITUTE(SUBSTITUTE(SUBSTITUTE(SUBSTITUTE(SUBSTITUTE(SUBSTITUTE(SUBSTITUTE(SUBSTITUTE(SUBSTITUTE(SUBSTITUTE(SUBSTITUTE(SUBSTITUTE(SUBSTITUTE(UPPER(TRIM(A95)),"[MEMBER]",""),"{MEMBER}",""),"[MEMBER}",""),"MEMBER]",""),"(A)",""),"""",""),"“",""),"”",""),".",""),":",""),",",""),"–"," "),"-"," "),"/"," "),"&amp;"," AND "))&amp;" "," THE "," ")," TOTAL "," ")," OPERATIONS "," "))</f>
        <v>ARGENTINE REPUBLIC</v>
      </c>
      <c r="O95" s="17" t="str">
        <f aca="false">IF(COUNTIFS($N$2:$N$2000,N95,$D$2:$D$2000,"&lt;&gt;"&amp;D95)&gt;0,"CONFLICT","")</f>
        <v/>
      </c>
      <c r="P95" s="7" t="s">
        <v>1936</v>
      </c>
    </row>
    <row r="96" customFormat="false" ht="15" hidden="false" customHeight="false" outlineLevel="0" collapsed="false">
      <c r="A96" s="7" t="s">
        <v>480</v>
      </c>
      <c r="B96" s="7" t="s">
        <v>1879</v>
      </c>
      <c r="C96" s="7"/>
      <c r="D96" s="6" t="s">
        <v>480</v>
      </c>
      <c r="E96" s="6" t="s">
        <v>1880</v>
      </c>
      <c r="F96" s="7" t="str">
        <f aca="false">IF($D96="","",IFERROR(IF(INDEX(Hierarchy!$B$2:$B$1295,MATCH($D96,Hierarchy!$A$2:$A$1295,0))="","",INDEX(Hierarchy!$B$2:$B$1295,MATCH($D96,Hierarchy!$A$2:$A$1295,0))),"NODE NOT FOUND"))</f>
        <v>State/Province</v>
      </c>
      <c r="G96" s="7" t="str">
        <f aca="false">IF($D96="","",IFERROR(IF(INDEX(Hierarchy!$D$2:$D$1295,MATCH($D96,Hierarchy!$A$2:$A$1295,0))="","",INDEX(Hierarchy!$D$2:$D$1295,MATCH($D96,Hierarchy!$A$2:$A$1295,0))),"NODE NOT FOUND"))</f>
        <v>AMER</v>
      </c>
      <c r="H96" s="7" t="str">
        <f aca="false">IF($D96="","",IFERROR(IF(INDEX(Hierarchy!$E$2:$E$1295,MATCH($D96,Hierarchy!$A$2:$A$1295,0))="","",INDEX(Hierarchy!$E$2:$E$1295,MATCH($D96,Hierarchy!$A$2:$A$1295,0))),"NODE NOT FOUND"))</f>
        <v>Latin America (LATAM)</v>
      </c>
      <c r="I96" s="7" t="str">
        <f aca="false">IF($D96="","",IFERROR(IF(INDEX(Hierarchy!$F$2:$F$1295,MATCH($D96,Hierarchy!$A$2:$A$1295,0))="","",INDEX(Hierarchy!$F$2:$F$1295,MATCH($D96,Hierarchy!$A$2:$A$1295,0))),"NODE NOT FOUND"))</f>
        <v>Chile</v>
      </c>
      <c r="J96" s="7" t="str">
        <f aca="false">IF($D96="","",IFERROR(IF(INDEX(Hierarchy!$G$2:$G$1295,MATCH($D96,Hierarchy!$A$2:$A$1295,0))="","",INDEX(Hierarchy!$G$2:$G$1295,MATCH($D96,Hierarchy!$A$2:$A$1295,0))),"NODE NOT FOUND"))</f>
        <v>CHL</v>
      </c>
      <c r="K96" s="7" t="str">
        <f aca="false">IF($D96="","",IFERROR(IF(INDEX(Hierarchy!$H$2:$H$1295,MATCH($D96,Hierarchy!$A$2:$A$1295,0))="","",INDEX(Hierarchy!$H$2:$H$1295,MATCH($D96,Hierarchy!$A$2:$A$1295,0))),"NODE NOT FOUND"))</f>
        <v>Arica y Parinacota</v>
      </c>
      <c r="L96" s="7" t="str">
        <f aca="false">IF($D96="","",IFERROR(IF(INDEX(Hierarchy!$I$2:$I$1295,MATCH($D96,Hierarchy!$A$2:$A$1295,0))="","",INDEX(Hierarchy!$I$2:$I$1295,MATCH($D96,Hierarchy!$A$2:$A$1295,0))),"NODE NOT FOUND"))</f>
        <v/>
      </c>
      <c r="M96" s="17" t="str">
        <f aca="false">IF(B96="Pre-seeded","Pre-seeded",IF(B96="Review 2026-09-16","Added from review",IF(C96="","New",IF(C96=D96,"","Changed"))))</f>
        <v>Pre-seeded</v>
      </c>
      <c r="N96" s="7" t="str">
        <f aca="false">TRIM(SUBSTITUTE(SUBSTITUTE(SUBSTITUTE(" "&amp;TRIM(SUBSTITUTE(SUBSTITUTE(SUBSTITUTE(SUBSTITUTE(SUBSTITUTE(SUBSTITUTE(SUBSTITUTE(SUBSTITUTE(SUBSTITUTE(SUBSTITUTE(SUBSTITUTE(SUBSTITUTE(SUBSTITUTE(SUBSTITUTE(SUBSTITUTE(UPPER(TRIM(A96)),"[MEMBER]",""),"{MEMBER}",""),"[MEMBER}",""),"MEMBER]",""),"(A)",""),"""",""),"“",""),"”",""),".",""),":",""),",",""),"–"," "),"-"," "),"/"," "),"&amp;"," AND "))&amp;" "," THE "," ")," TOTAL "," ")," OPERATIONS "," "))</f>
        <v>ARICA Y PARINACOTA</v>
      </c>
      <c r="O96" s="17" t="str">
        <f aca="false">IF(COUNTIFS($N$2:$N$2000,N96,$D$2:$D$2000,"&lt;&gt;"&amp;D96)&gt;0,"CONFLICT","")</f>
        <v/>
      </c>
      <c r="P96" s="7"/>
    </row>
    <row r="97" customFormat="false" ht="15" hidden="false" customHeight="false" outlineLevel="0" collapsed="false">
      <c r="A97" s="7" t="s">
        <v>132</v>
      </c>
      <c r="B97" s="7" t="s">
        <v>1882</v>
      </c>
      <c r="C97" s="7" t="s">
        <v>132</v>
      </c>
      <c r="D97" s="6" t="s">
        <v>132</v>
      </c>
      <c r="E97" s="6" t="s">
        <v>1880</v>
      </c>
      <c r="F97" s="7" t="str">
        <f aca="false">IF($D97="","",IFERROR(IF(INDEX(Hierarchy!$B$2:$B$1295,MATCH($D97,Hierarchy!$A$2:$A$1295,0))="","",INDEX(Hierarchy!$B$2:$B$1295,MATCH($D97,Hierarchy!$A$2:$A$1295,0))),"NODE NOT FOUND"))</f>
        <v>State/Province</v>
      </c>
      <c r="G97" s="7" t="str">
        <f aca="false">IF($D97="","",IFERROR(IF(INDEX(Hierarchy!$D$2:$D$1295,MATCH($D97,Hierarchy!$A$2:$A$1295,0))="","",INDEX(Hierarchy!$D$2:$D$1295,MATCH($D97,Hierarchy!$A$2:$A$1295,0))),"NODE NOT FOUND"))</f>
        <v>AMER</v>
      </c>
      <c r="H97" s="7" t="str">
        <f aca="false">IF($D97="","",IFERROR(IF(INDEX(Hierarchy!$E$2:$E$1295,MATCH($D97,Hierarchy!$A$2:$A$1295,0))="","",INDEX(Hierarchy!$E$2:$E$1295,MATCH($D97,Hierarchy!$A$2:$A$1295,0))),"NODE NOT FOUND"))</f>
        <v>North America (NORAM)</v>
      </c>
      <c r="I97" s="7" t="str">
        <f aca="false">IF($D97="","",IFERROR(IF(INDEX(Hierarchy!$F$2:$F$1295,MATCH($D97,Hierarchy!$A$2:$A$1295,0))="","",INDEX(Hierarchy!$F$2:$F$1295,MATCH($D97,Hierarchy!$A$2:$A$1295,0))),"NODE NOT FOUND"))</f>
        <v>United States</v>
      </c>
      <c r="J97" s="7" t="str">
        <f aca="false">IF($D97="","",IFERROR(IF(INDEX(Hierarchy!$G$2:$G$1295,MATCH($D97,Hierarchy!$A$2:$A$1295,0))="","",INDEX(Hierarchy!$G$2:$G$1295,MATCH($D97,Hierarchy!$A$2:$A$1295,0))),"NODE NOT FOUND"))</f>
        <v>USA</v>
      </c>
      <c r="K97" s="7" t="str">
        <f aca="false">IF($D97="","",IFERROR(IF(INDEX(Hierarchy!$H$2:$H$1295,MATCH($D97,Hierarchy!$A$2:$A$1295,0))="","",INDEX(Hierarchy!$H$2:$H$1295,MATCH($D97,Hierarchy!$A$2:$A$1295,0))),"NODE NOT FOUND"))</f>
        <v>Arizona</v>
      </c>
      <c r="L97" s="7" t="str">
        <f aca="false">IF($D97="","",IFERROR(IF(INDEX(Hierarchy!$I$2:$I$1295,MATCH($D97,Hierarchy!$A$2:$A$1295,0))="","",INDEX(Hierarchy!$I$2:$I$1295,MATCH($D97,Hierarchy!$A$2:$A$1295,0))),"NODE NOT FOUND"))</f>
        <v/>
      </c>
      <c r="M97" s="17" t="str">
        <f aca="false">IF(B97="Pre-seeded","Pre-seeded",IF(B97="Review 2026-09-16","Added from review",IF(C97="","New",IF(C97=D97,"","Changed"))))</f>
        <v/>
      </c>
      <c r="N97" s="7" t="str">
        <f aca="false">TRIM(SUBSTITUTE(SUBSTITUTE(SUBSTITUTE(" "&amp;TRIM(SUBSTITUTE(SUBSTITUTE(SUBSTITUTE(SUBSTITUTE(SUBSTITUTE(SUBSTITUTE(SUBSTITUTE(SUBSTITUTE(SUBSTITUTE(SUBSTITUTE(SUBSTITUTE(SUBSTITUTE(SUBSTITUTE(SUBSTITUTE(SUBSTITUTE(UPPER(TRIM(A97)),"[MEMBER]",""),"{MEMBER}",""),"[MEMBER}",""),"MEMBER]",""),"(A)",""),"""",""),"“",""),"”",""),".",""),":",""),",",""),"–"," "),"-"," "),"/"," "),"&amp;"," AND "))&amp;" "," THE "," ")," TOTAL "," ")," OPERATIONS "," "))</f>
        <v>ARIZONA</v>
      </c>
      <c r="O97" s="17" t="str">
        <f aca="false">IF(COUNTIFS($N$2:$N$2000,N97,$D$2:$D$2000,"&lt;&gt;"&amp;D97)&gt;0,"CONFLICT","")</f>
        <v/>
      </c>
      <c r="P97" s="7"/>
    </row>
    <row r="98" customFormat="false" ht="15" hidden="false" customHeight="false" outlineLevel="0" collapsed="false">
      <c r="A98" s="7" t="s">
        <v>1941</v>
      </c>
      <c r="B98" s="7" t="s">
        <v>1882</v>
      </c>
      <c r="C98" s="7" t="s">
        <v>132</v>
      </c>
      <c r="D98" s="6" t="s">
        <v>132</v>
      </c>
      <c r="E98" s="6" t="s">
        <v>1880</v>
      </c>
      <c r="F98" s="7" t="str">
        <f aca="false">IF($D98="","",IFERROR(IF(INDEX(Hierarchy!$B$2:$B$1295,MATCH($D98,Hierarchy!$A$2:$A$1295,0))="","",INDEX(Hierarchy!$B$2:$B$1295,MATCH($D98,Hierarchy!$A$2:$A$1295,0))),"NODE NOT FOUND"))</f>
        <v>State/Province</v>
      </c>
      <c r="G98" s="7" t="str">
        <f aca="false">IF($D98="","",IFERROR(IF(INDEX(Hierarchy!$D$2:$D$1295,MATCH($D98,Hierarchy!$A$2:$A$1295,0))="","",INDEX(Hierarchy!$D$2:$D$1295,MATCH($D98,Hierarchy!$A$2:$A$1295,0))),"NODE NOT FOUND"))</f>
        <v>AMER</v>
      </c>
      <c r="H98" s="7" t="str">
        <f aca="false">IF($D98="","",IFERROR(IF(INDEX(Hierarchy!$E$2:$E$1295,MATCH($D98,Hierarchy!$A$2:$A$1295,0))="","",INDEX(Hierarchy!$E$2:$E$1295,MATCH($D98,Hierarchy!$A$2:$A$1295,0))),"NODE NOT FOUND"))</f>
        <v>North America (NORAM)</v>
      </c>
      <c r="I98" s="7" t="str">
        <f aca="false">IF($D98="","",IFERROR(IF(INDEX(Hierarchy!$F$2:$F$1295,MATCH($D98,Hierarchy!$A$2:$A$1295,0))="","",INDEX(Hierarchy!$F$2:$F$1295,MATCH($D98,Hierarchy!$A$2:$A$1295,0))),"NODE NOT FOUND"))</f>
        <v>United States</v>
      </c>
      <c r="J98" s="7" t="str">
        <f aca="false">IF($D98="","",IFERROR(IF(INDEX(Hierarchy!$G$2:$G$1295,MATCH($D98,Hierarchy!$A$2:$A$1295,0))="","",INDEX(Hierarchy!$G$2:$G$1295,MATCH($D98,Hierarchy!$A$2:$A$1295,0))),"NODE NOT FOUND"))</f>
        <v>USA</v>
      </c>
      <c r="K98" s="7" t="str">
        <f aca="false">IF($D98="","",IFERROR(IF(INDEX(Hierarchy!$H$2:$H$1295,MATCH($D98,Hierarchy!$A$2:$A$1295,0))="","",INDEX(Hierarchy!$H$2:$H$1295,MATCH($D98,Hierarchy!$A$2:$A$1295,0))),"NODE NOT FOUND"))</f>
        <v>Arizona</v>
      </c>
      <c r="L98" s="7" t="str">
        <f aca="false">IF($D98="","",IFERROR(IF(INDEX(Hierarchy!$I$2:$I$1295,MATCH($D98,Hierarchy!$A$2:$A$1295,0))="","",INDEX(Hierarchy!$I$2:$I$1295,MATCH($D98,Hierarchy!$A$2:$A$1295,0))),"NODE NOT FOUND"))</f>
        <v/>
      </c>
      <c r="M98" s="17" t="str">
        <f aca="false">IF(B98="Pre-seeded","Pre-seeded",IF(B98="Review 2026-09-16","Added from review",IF(C98="","New",IF(C98=D98,"","Changed"))))</f>
        <v/>
      </c>
      <c r="N98" s="7" t="str">
        <f aca="false">TRIM(SUBSTITUTE(SUBSTITUTE(SUBSTITUTE(" "&amp;TRIM(SUBSTITUTE(SUBSTITUTE(SUBSTITUTE(SUBSTITUTE(SUBSTITUTE(SUBSTITUTE(SUBSTITUTE(SUBSTITUTE(SUBSTITUTE(SUBSTITUTE(SUBSTITUTE(SUBSTITUTE(SUBSTITUTE(SUBSTITUTE(SUBSTITUTE(UPPER(TRIM(A98)),"[MEMBER]",""),"{MEMBER}",""),"[MEMBER}",""),"MEMBER]",""),"(A)",""),"""",""),"“",""),"”",""),".",""),":",""),",",""),"–"," "),"-"," "),"/"," "),"&amp;"," AND "))&amp;" "," THE "," ")," TOTAL "," ")," OPERATIONS "," "))</f>
        <v>ARIZONA</v>
      </c>
      <c r="O98" s="17" t="str">
        <f aca="false">IF(COUNTIFS($N$2:$N$2000,N98,$D$2:$D$2000,"&lt;&gt;"&amp;D98)&gt;0,"CONFLICT","")</f>
        <v/>
      </c>
      <c r="P98" s="7"/>
    </row>
    <row r="99" customFormat="false" ht="15" hidden="false" customHeight="false" outlineLevel="0" collapsed="false">
      <c r="A99" s="7" t="s">
        <v>1942</v>
      </c>
      <c r="B99" s="7" t="s">
        <v>1882</v>
      </c>
      <c r="C99" s="7" t="s">
        <v>136</v>
      </c>
      <c r="D99" s="6" t="s">
        <v>136</v>
      </c>
      <c r="E99" s="6" t="s">
        <v>1880</v>
      </c>
      <c r="F99" s="7" t="str">
        <f aca="false">IF($D99="","",IFERROR(IF(INDEX(Hierarchy!$B$2:$B$1295,MATCH($D99,Hierarchy!$A$2:$A$1295,0))="","",INDEX(Hierarchy!$B$2:$B$1295,MATCH($D99,Hierarchy!$A$2:$A$1295,0))),"NODE NOT FOUND"))</f>
        <v>State/Province</v>
      </c>
      <c r="G99" s="7" t="str">
        <f aca="false">IF($D99="","",IFERROR(IF(INDEX(Hierarchy!$D$2:$D$1295,MATCH($D99,Hierarchy!$A$2:$A$1295,0))="","",INDEX(Hierarchy!$D$2:$D$1295,MATCH($D99,Hierarchy!$A$2:$A$1295,0))),"NODE NOT FOUND"))</f>
        <v>AMER</v>
      </c>
      <c r="H99" s="7" t="str">
        <f aca="false">IF($D99="","",IFERROR(IF(INDEX(Hierarchy!$E$2:$E$1295,MATCH($D99,Hierarchy!$A$2:$A$1295,0))="","",INDEX(Hierarchy!$E$2:$E$1295,MATCH($D99,Hierarchy!$A$2:$A$1295,0))),"NODE NOT FOUND"))</f>
        <v>North America (NORAM)</v>
      </c>
      <c r="I99" s="7" t="str">
        <f aca="false">IF($D99="","",IFERROR(IF(INDEX(Hierarchy!$F$2:$F$1295,MATCH($D99,Hierarchy!$A$2:$A$1295,0))="","",INDEX(Hierarchy!$F$2:$F$1295,MATCH($D99,Hierarchy!$A$2:$A$1295,0))),"NODE NOT FOUND"))</f>
        <v>United States</v>
      </c>
      <c r="J99" s="7" t="str">
        <f aca="false">IF($D99="","",IFERROR(IF(INDEX(Hierarchy!$G$2:$G$1295,MATCH($D99,Hierarchy!$A$2:$A$1295,0))="","",INDEX(Hierarchy!$G$2:$G$1295,MATCH($D99,Hierarchy!$A$2:$A$1295,0))),"NODE NOT FOUND"))</f>
        <v>USA</v>
      </c>
      <c r="K99" s="7" t="str">
        <f aca="false">IF($D99="","",IFERROR(IF(INDEX(Hierarchy!$H$2:$H$1295,MATCH($D99,Hierarchy!$A$2:$A$1295,0))="","",INDEX(Hierarchy!$H$2:$H$1295,MATCH($D99,Hierarchy!$A$2:$A$1295,0))),"NODE NOT FOUND"))</f>
        <v>Arkansas</v>
      </c>
      <c r="L99" s="7" t="str">
        <f aca="false">IF($D99="","",IFERROR(IF(INDEX(Hierarchy!$I$2:$I$1295,MATCH($D99,Hierarchy!$A$2:$A$1295,0))="","",INDEX(Hierarchy!$I$2:$I$1295,MATCH($D99,Hierarchy!$A$2:$A$1295,0))),"NODE NOT FOUND"))</f>
        <v/>
      </c>
      <c r="M99" s="17" t="str">
        <f aca="false">IF(B99="Pre-seeded","Pre-seeded",IF(B99="Review 2026-09-16","Added from review",IF(C99="","New",IF(C99=D99,"","Changed"))))</f>
        <v/>
      </c>
      <c r="N99" s="7" t="str">
        <f aca="false">TRIM(SUBSTITUTE(SUBSTITUTE(SUBSTITUTE(" "&amp;TRIM(SUBSTITUTE(SUBSTITUTE(SUBSTITUTE(SUBSTITUTE(SUBSTITUTE(SUBSTITUTE(SUBSTITUTE(SUBSTITUTE(SUBSTITUTE(SUBSTITUTE(SUBSTITUTE(SUBSTITUTE(SUBSTITUTE(SUBSTITUTE(SUBSTITUTE(UPPER(TRIM(A99)),"[MEMBER]",""),"{MEMBER}",""),"[MEMBER}",""),"MEMBER]",""),"(A)",""),"""",""),"“",""),"”",""),".",""),":",""),",",""),"–"," "),"-"," "),"/"," "),"&amp;"," AND "))&amp;" "," THE "," ")," TOTAL "," ")," OPERATIONS "," "))</f>
        <v>ARKANSAS</v>
      </c>
      <c r="O99" s="17" t="str">
        <f aca="false">IF(COUNTIFS($N$2:$N$2000,N99,$D$2:$D$2000,"&lt;&gt;"&amp;D99)&gt;0,"CONFLICT","")</f>
        <v/>
      </c>
      <c r="P99" s="7"/>
    </row>
    <row r="100" customFormat="false" ht="15" hidden="false" customHeight="false" outlineLevel="0" collapsed="false">
      <c r="A100" s="7" t="s">
        <v>136</v>
      </c>
      <c r="B100" s="7" t="s">
        <v>1882</v>
      </c>
      <c r="C100" s="7" t="s">
        <v>136</v>
      </c>
      <c r="D100" s="6" t="s">
        <v>136</v>
      </c>
      <c r="E100" s="6" t="s">
        <v>1880</v>
      </c>
      <c r="F100" s="7" t="str">
        <f aca="false">IF($D100="","",IFERROR(IF(INDEX(Hierarchy!$B$2:$B$1295,MATCH($D100,Hierarchy!$A$2:$A$1295,0))="","",INDEX(Hierarchy!$B$2:$B$1295,MATCH($D100,Hierarchy!$A$2:$A$1295,0))),"NODE NOT FOUND"))</f>
        <v>State/Province</v>
      </c>
      <c r="G100" s="7" t="str">
        <f aca="false">IF($D100="","",IFERROR(IF(INDEX(Hierarchy!$D$2:$D$1295,MATCH($D100,Hierarchy!$A$2:$A$1295,0))="","",INDEX(Hierarchy!$D$2:$D$1295,MATCH($D100,Hierarchy!$A$2:$A$1295,0))),"NODE NOT FOUND"))</f>
        <v>AMER</v>
      </c>
      <c r="H100" s="7" t="str">
        <f aca="false">IF($D100="","",IFERROR(IF(INDEX(Hierarchy!$E$2:$E$1295,MATCH($D100,Hierarchy!$A$2:$A$1295,0))="","",INDEX(Hierarchy!$E$2:$E$1295,MATCH($D100,Hierarchy!$A$2:$A$1295,0))),"NODE NOT FOUND"))</f>
        <v>North America (NORAM)</v>
      </c>
      <c r="I100" s="7" t="str">
        <f aca="false">IF($D100="","",IFERROR(IF(INDEX(Hierarchy!$F$2:$F$1295,MATCH($D100,Hierarchy!$A$2:$A$1295,0))="","",INDEX(Hierarchy!$F$2:$F$1295,MATCH($D100,Hierarchy!$A$2:$A$1295,0))),"NODE NOT FOUND"))</f>
        <v>United States</v>
      </c>
      <c r="J100" s="7" t="str">
        <f aca="false">IF($D100="","",IFERROR(IF(INDEX(Hierarchy!$G$2:$G$1295,MATCH($D100,Hierarchy!$A$2:$A$1295,0))="","",INDEX(Hierarchy!$G$2:$G$1295,MATCH($D100,Hierarchy!$A$2:$A$1295,0))),"NODE NOT FOUND"))</f>
        <v>USA</v>
      </c>
      <c r="K100" s="7" t="str">
        <f aca="false">IF($D100="","",IFERROR(IF(INDEX(Hierarchy!$H$2:$H$1295,MATCH($D100,Hierarchy!$A$2:$A$1295,0))="","",INDEX(Hierarchy!$H$2:$H$1295,MATCH($D100,Hierarchy!$A$2:$A$1295,0))),"NODE NOT FOUND"))</f>
        <v>Arkansas</v>
      </c>
      <c r="L100" s="7" t="str">
        <f aca="false">IF($D100="","",IFERROR(IF(INDEX(Hierarchy!$I$2:$I$1295,MATCH($D100,Hierarchy!$A$2:$A$1295,0))="","",INDEX(Hierarchy!$I$2:$I$1295,MATCH($D100,Hierarchy!$A$2:$A$1295,0))),"NODE NOT FOUND"))</f>
        <v/>
      </c>
      <c r="M100" s="17" t="str">
        <f aca="false">IF(B100="Pre-seeded","Pre-seeded",IF(B100="Review 2026-09-16","Added from review",IF(C100="","New",IF(C100=D100,"","Changed"))))</f>
        <v/>
      </c>
      <c r="N100" s="7" t="str">
        <f aca="false">TRIM(SUBSTITUTE(SUBSTITUTE(SUBSTITUTE(" "&amp;TRIM(SUBSTITUTE(SUBSTITUTE(SUBSTITUTE(SUBSTITUTE(SUBSTITUTE(SUBSTITUTE(SUBSTITUTE(SUBSTITUTE(SUBSTITUTE(SUBSTITUTE(SUBSTITUTE(SUBSTITUTE(SUBSTITUTE(SUBSTITUTE(SUBSTITUTE(UPPER(TRIM(A100)),"[MEMBER]",""),"{MEMBER}",""),"[MEMBER}",""),"MEMBER]",""),"(A)",""),"""",""),"“",""),"”",""),".",""),":",""),",",""),"–"," "),"-"," "),"/"," "),"&amp;"," AND "))&amp;" "," THE "," ")," TOTAL "," ")," OPERATIONS "," "))</f>
        <v>ARKANSAS</v>
      </c>
      <c r="O100" s="17" t="str">
        <f aca="false">IF(COUNTIFS($N$2:$N$2000,N100,$D$2:$D$2000,"&lt;&gt;"&amp;D100)&gt;0,"CONFLICT","")</f>
        <v/>
      </c>
      <c r="P100" s="7"/>
    </row>
    <row r="101" customFormat="false" ht="15" hidden="false" customHeight="false" outlineLevel="0" collapsed="false">
      <c r="A101" s="7" t="s">
        <v>741</v>
      </c>
      <c r="B101" s="7" t="s">
        <v>1879</v>
      </c>
      <c r="C101" s="7"/>
      <c r="D101" s="6" t="s">
        <v>741</v>
      </c>
      <c r="E101" s="6" t="s">
        <v>1880</v>
      </c>
      <c r="F101" s="7" t="str">
        <f aca="false">IF($D101="","",IFERROR(IF(INDEX(Hierarchy!$B$2:$B$1295,MATCH($D101,Hierarchy!$A$2:$A$1295,0))="","",INDEX(Hierarchy!$B$2:$B$1295,MATCH($D101,Hierarchy!$A$2:$A$1295,0))),"NODE NOT FOUND"))</f>
        <v>Country</v>
      </c>
      <c r="G101" s="7" t="str">
        <f aca="false">IF($D101="","",IFERROR(IF(INDEX(Hierarchy!$D$2:$D$1295,MATCH($D101,Hierarchy!$A$2:$A$1295,0))="","",INDEX(Hierarchy!$D$2:$D$1295,MATCH($D101,Hierarchy!$A$2:$A$1295,0))),"NODE NOT FOUND"))</f>
        <v>EMEA</v>
      </c>
      <c r="H101" s="7" t="str">
        <f aca="false">IF($D101="","",IFERROR(IF(INDEX(Hierarchy!$E$2:$E$1295,MATCH($D101,Hierarchy!$A$2:$A$1295,0))="","",INDEX(Hierarchy!$E$2:$E$1295,MATCH($D101,Hierarchy!$A$2:$A$1295,0))),"NODE NOT FOUND"))</f>
        <v>Europe</v>
      </c>
      <c r="I101" s="7" t="str">
        <f aca="false">IF($D101="","",IFERROR(IF(INDEX(Hierarchy!$F$2:$F$1295,MATCH($D101,Hierarchy!$A$2:$A$1295,0))="","",INDEX(Hierarchy!$F$2:$F$1295,MATCH($D101,Hierarchy!$A$2:$A$1295,0))),"NODE NOT FOUND"))</f>
        <v>Armenia</v>
      </c>
      <c r="J101" s="7" t="str">
        <f aca="false">IF($D101="","",IFERROR(IF(INDEX(Hierarchy!$G$2:$G$1295,MATCH($D101,Hierarchy!$A$2:$A$1295,0))="","",INDEX(Hierarchy!$G$2:$G$1295,MATCH($D101,Hierarchy!$A$2:$A$1295,0))),"NODE NOT FOUND"))</f>
        <v>ARM</v>
      </c>
      <c r="K101" s="7" t="str">
        <f aca="false">IF($D101="","",IFERROR(IF(INDEX(Hierarchy!$H$2:$H$1295,MATCH($D101,Hierarchy!$A$2:$A$1295,0))="","",INDEX(Hierarchy!$H$2:$H$1295,MATCH($D101,Hierarchy!$A$2:$A$1295,0))),"NODE NOT FOUND"))</f>
        <v/>
      </c>
      <c r="L101" s="7" t="str">
        <f aca="false">IF($D101="","",IFERROR(IF(INDEX(Hierarchy!$I$2:$I$1295,MATCH($D101,Hierarchy!$A$2:$A$1295,0))="","",INDEX(Hierarchy!$I$2:$I$1295,MATCH($D101,Hierarchy!$A$2:$A$1295,0))),"NODE NOT FOUND"))</f>
        <v/>
      </c>
      <c r="M101" s="17" t="str">
        <f aca="false">IF(B101="Pre-seeded","Pre-seeded",IF(B101="Review 2026-09-16","Added from review",IF(C101="","New",IF(C101=D101,"","Changed"))))</f>
        <v>Pre-seeded</v>
      </c>
      <c r="N101" s="7" t="str">
        <f aca="false">TRIM(SUBSTITUTE(SUBSTITUTE(SUBSTITUTE(" "&amp;TRIM(SUBSTITUTE(SUBSTITUTE(SUBSTITUTE(SUBSTITUTE(SUBSTITUTE(SUBSTITUTE(SUBSTITUTE(SUBSTITUTE(SUBSTITUTE(SUBSTITUTE(SUBSTITUTE(SUBSTITUTE(SUBSTITUTE(SUBSTITUTE(SUBSTITUTE(UPPER(TRIM(A101)),"[MEMBER]",""),"{MEMBER}",""),"[MEMBER}",""),"MEMBER]",""),"(A)",""),"""",""),"“",""),"”",""),".",""),":",""),",",""),"–"," "),"-"," "),"/"," "),"&amp;"," AND "))&amp;" "," THE "," ")," TOTAL "," ")," OPERATIONS "," "))</f>
        <v>ARMENIA</v>
      </c>
      <c r="O101" s="17" t="str">
        <f aca="false">IF(COUNTIFS($N$2:$N$2000,N101,$D$2:$D$2000,"&lt;&gt;"&amp;D101)&gt;0,"CONFLICT","")</f>
        <v/>
      </c>
      <c r="P101" s="7"/>
    </row>
    <row r="102" customFormat="false" ht="15" hidden="false" customHeight="false" outlineLevel="0" collapsed="false">
      <c r="A102" s="7" t="s">
        <v>455</v>
      </c>
      <c r="B102" s="7" t="s">
        <v>1882</v>
      </c>
      <c r="C102" s="7" t="s">
        <v>883</v>
      </c>
      <c r="D102" s="6" t="s">
        <v>455</v>
      </c>
      <c r="E102" s="6" t="s">
        <v>1880</v>
      </c>
      <c r="F102" s="7" t="str">
        <f aca="false">IF($D102="","",IFERROR(IF(INDEX(Hierarchy!$B$2:$B$1295,MATCH($D102,Hierarchy!$A$2:$A$1295,0))="","",INDEX(Hierarchy!$B$2:$B$1295,MATCH($D102,Hierarchy!$A$2:$A$1295,0))),"NODE NOT FOUND"))</f>
        <v>Country</v>
      </c>
      <c r="G102" s="7" t="str">
        <f aca="false">IF($D102="","",IFERROR(IF(INDEX(Hierarchy!$D$2:$D$1295,MATCH($D102,Hierarchy!$A$2:$A$1295,0))="","",INDEX(Hierarchy!$D$2:$D$1295,MATCH($D102,Hierarchy!$A$2:$A$1295,0))),"NODE NOT FOUND"))</f>
        <v>AMER</v>
      </c>
      <c r="H102" s="7" t="str">
        <f aca="false">IF($D102="","",IFERROR(IF(INDEX(Hierarchy!$E$2:$E$1295,MATCH($D102,Hierarchy!$A$2:$A$1295,0))="","",INDEX(Hierarchy!$E$2:$E$1295,MATCH($D102,Hierarchy!$A$2:$A$1295,0))),"NODE NOT FOUND"))</f>
        <v>Latin America (LATAM)</v>
      </c>
      <c r="I102" s="7" t="str">
        <f aca="false">IF($D102="","",IFERROR(IF(INDEX(Hierarchy!$F$2:$F$1295,MATCH($D102,Hierarchy!$A$2:$A$1295,0))="","",INDEX(Hierarchy!$F$2:$F$1295,MATCH($D102,Hierarchy!$A$2:$A$1295,0))),"NODE NOT FOUND"))</f>
        <v>Aruba</v>
      </c>
      <c r="J102" s="7" t="str">
        <f aca="false">IF($D102="","",IFERROR(IF(INDEX(Hierarchy!$G$2:$G$1295,MATCH($D102,Hierarchy!$A$2:$A$1295,0))="","",INDEX(Hierarchy!$G$2:$G$1295,MATCH($D102,Hierarchy!$A$2:$A$1295,0))),"NODE NOT FOUND"))</f>
        <v>ABW</v>
      </c>
      <c r="K102" s="7" t="str">
        <f aca="false">IF($D102="","",IFERROR(IF(INDEX(Hierarchy!$H$2:$H$1295,MATCH($D102,Hierarchy!$A$2:$A$1295,0))="","",INDEX(Hierarchy!$H$2:$H$1295,MATCH($D102,Hierarchy!$A$2:$A$1295,0))),"NODE NOT FOUND"))</f>
        <v/>
      </c>
      <c r="L102" s="7" t="str">
        <f aca="false">IF($D102="","",IFERROR(IF(INDEX(Hierarchy!$I$2:$I$1295,MATCH($D102,Hierarchy!$A$2:$A$1295,0))="","",INDEX(Hierarchy!$I$2:$I$1295,MATCH($D102,Hierarchy!$A$2:$A$1295,0))),"NODE NOT FOUND"))</f>
        <v/>
      </c>
      <c r="M102" s="17" t="str">
        <f aca="false">IF(B102="Pre-seeded","Pre-seeded",IF(B102="Review 2026-09-16","Added from review",IF(C102="","New",IF(C102=D102,"","Changed"))))</f>
        <v>Changed</v>
      </c>
      <c r="N102" s="7" t="str">
        <f aca="false">TRIM(SUBSTITUTE(SUBSTITUTE(SUBSTITUTE(" "&amp;TRIM(SUBSTITUTE(SUBSTITUTE(SUBSTITUTE(SUBSTITUTE(SUBSTITUTE(SUBSTITUTE(SUBSTITUTE(SUBSTITUTE(SUBSTITUTE(SUBSTITUTE(SUBSTITUTE(SUBSTITUTE(SUBSTITUTE(SUBSTITUTE(SUBSTITUTE(UPPER(TRIM(A102)),"[MEMBER]",""),"{MEMBER}",""),"[MEMBER}",""),"MEMBER]",""),"(A)",""),"""",""),"“",""),"”",""),".",""),":",""),",",""),"–"," "),"-"," "),"/"," "),"&amp;"," AND "))&amp;" "," THE "," ")," TOTAL "," ")," OPERATIONS "," "))</f>
        <v>ARUBA</v>
      </c>
      <c r="O102" s="17" t="str">
        <f aca="false">IF(COUNTIFS($N$2:$N$2000,N102,$D$2:$D$2000,"&lt;&gt;"&amp;D102)&gt;0,"CONFLICT","")</f>
        <v/>
      </c>
      <c r="P102" s="7" t="s">
        <v>1943</v>
      </c>
    </row>
    <row r="103" customFormat="false" ht="15" hidden="false" customHeight="false" outlineLevel="0" collapsed="false">
      <c r="A103" s="7" t="s">
        <v>1328</v>
      </c>
      <c r="B103" s="7" t="s">
        <v>1879</v>
      </c>
      <c r="C103" s="7"/>
      <c r="D103" s="6" t="s">
        <v>1328</v>
      </c>
      <c r="E103" s="6" t="s">
        <v>1880</v>
      </c>
      <c r="F103" s="7" t="str">
        <f aca="false">IF($D103="","",IFERROR(IF(INDEX(Hierarchy!$B$2:$B$1295,MATCH($D103,Hierarchy!$A$2:$A$1295,0))="","",INDEX(Hierarchy!$B$2:$B$1295,MATCH($D103,Hierarchy!$A$2:$A$1295,0))),"NODE NOT FOUND"))</f>
        <v>State/Province</v>
      </c>
      <c r="G103" s="7" t="str">
        <f aca="false">IF($D103="","",IFERROR(IF(INDEX(Hierarchy!$D$2:$D$1295,MATCH($D103,Hierarchy!$A$2:$A$1295,0))="","",INDEX(Hierarchy!$D$2:$D$1295,MATCH($D103,Hierarchy!$A$2:$A$1295,0))),"NODE NOT FOUND"))</f>
        <v>APAC</v>
      </c>
      <c r="H103" s="7" t="str">
        <f aca="false">IF($D103="","",IFERROR(IF(INDEX(Hierarchy!$E$2:$E$1295,MATCH($D103,Hierarchy!$A$2:$A$1295,0))="","",INDEX(Hierarchy!$E$2:$E$1295,MATCH($D103,Hierarchy!$A$2:$A$1295,0))),"NODE NOT FOUND"))</f>
        <v>South Asia</v>
      </c>
      <c r="I103" s="7" t="str">
        <f aca="false">IF($D103="","",IFERROR(IF(INDEX(Hierarchy!$F$2:$F$1295,MATCH($D103,Hierarchy!$A$2:$A$1295,0))="","",INDEX(Hierarchy!$F$2:$F$1295,MATCH($D103,Hierarchy!$A$2:$A$1295,0))),"NODE NOT FOUND"))</f>
        <v>India</v>
      </c>
      <c r="J103" s="7" t="str">
        <f aca="false">IF($D103="","",IFERROR(IF(INDEX(Hierarchy!$G$2:$G$1295,MATCH($D103,Hierarchy!$A$2:$A$1295,0))="","",INDEX(Hierarchy!$G$2:$G$1295,MATCH($D103,Hierarchy!$A$2:$A$1295,0))),"NODE NOT FOUND"))</f>
        <v>IND</v>
      </c>
      <c r="K103" s="7" t="str">
        <f aca="false">IF($D103="","",IFERROR(IF(INDEX(Hierarchy!$H$2:$H$1295,MATCH($D103,Hierarchy!$A$2:$A$1295,0))="","",INDEX(Hierarchy!$H$2:$H$1295,MATCH($D103,Hierarchy!$A$2:$A$1295,0))),"NODE NOT FOUND"))</f>
        <v>Arunachal Pradesh</v>
      </c>
      <c r="L103" s="7" t="str">
        <f aca="false">IF($D103="","",IFERROR(IF(INDEX(Hierarchy!$I$2:$I$1295,MATCH($D103,Hierarchy!$A$2:$A$1295,0))="","",INDEX(Hierarchy!$I$2:$I$1295,MATCH($D103,Hierarchy!$A$2:$A$1295,0))),"NODE NOT FOUND"))</f>
        <v/>
      </c>
      <c r="M103" s="17" t="str">
        <f aca="false">IF(B103="Pre-seeded","Pre-seeded",IF(B103="Review 2026-09-16","Added from review",IF(C103="","New",IF(C103=D103,"","Changed"))))</f>
        <v>Pre-seeded</v>
      </c>
      <c r="N103" s="7" t="str">
        <f aca="false">TRIM(SUBSTITUTE(SUBSTITUTE(SUBSTITUTE(" "&amp;TRIM(SUBSTITUTE(SUBSTITUTE(SUBSTITUTE(SUBSTITUTE(SUBSTITUTE(SUBSTITUTE(SUBSTITUTE(SUBSTITUTE(SUBSTITUTE(SUBSTITUTE(SUBSTITUTE(SUBSTITUTE(SUBSTITUTE(SUBSTITUTE(SUBSTITUTE(UPPER(TRIM(A103)),"[MEMBER]",""),"{MEMBER}",""),"[MEMBER}",""),"MEMBER]",""),"(A)",""),"""",""),"“",""),"”",""),".",""),":",""),",",""),"–"," "),"-"," "),"/"," "),"&amp;"," AND "))&amp;" "," THE "," ")," TOTAL "," ")," OPERATIONS "," "))</f>
        <v>ARUNACHAL PRADESH</v>
      </c>
      <c r="O103" s="17" t="str">
        <f aca="false">IF(COUNTIFS($N$2:$N$2000,N103,$D$2:$D$2000,"&lt;&gt;"&amp;D103)&gt;0,"CONFLICT","")</f>
        <v/>
      </c>
      <c r="P103" s="7"/>
    </row>
    <row r="104" customFormat="false" ht="15" hidden="false" customHeight="false" outlineLevel="0" collapsed="false">
      <c r="A104" s="7" t="s">
        <v>1944</v>
      </c>
      <c r="B104" s="7" t="s">
        <v>1879</v>
      </c>
      <c r="C104" s="7"/>
      <c r="D104" s="6" t="s">
        <v>1585</v>
      </c>
      <c r="E104" s="6" t="s">
        <v>1880</v>
      </c>
      <c r="F104" s="7" t="str">
        <f aca="false">IF($D104="","",IFERROR(IF(INDEX(Hierarchy!$B$2:$B$1295,MATCH($D104,Hierarchy!$A$2:$A$1295,0))="","",INDEX(Hierarchy!$B$2:$B$1295,MATCH($D104,Hierarchy!$A$2:$A$1295,0))),"NODE NOT FOUND"))</f>
        <v>Sub-region</v>
      </c>
      <c r="G104" s="7" t="str">
        <f aca="false">IF($D104="","",IFERROR(IF(INDEX(Hierarchy!$D$2:$D$1295,MATCH($D104,Hierarchy!$A$2:$A$1295,0))="","",INDEX(Hierarchy!$D$2:$D$1295,MATCH($D104,Hierarchy!$A$2:$A$1295,0))),"NODE NOT FOUND"))</f>
        <v>APAC</v>
      </c>
      <c r="H104" s="7" t="str">
        <f aca="false">IF($D104="","",IFERROR(IF(INDEX(Hierarchy!$E$2:$E$1295,MATCH($D104,Hierarchy!$A$2:$A$1295,0))="","",INDEX(Hierarchy!$E$2:$E$1295,MATCH($D104,Hierarchy!$A$2:$A$1295,0))),"NODE NOT FOUND"))</f>
        <v>Southeast Asia (ASEAN)</v>
      </c>
      <c r="I104" s="7" t="str">
        <f aca="false">IF($D104="","",IFERROR(IF(INDEX(Hierarchy!$F$2:$F$1295,MATCH($D104,Hierarchy!$A$2:$A$1295,0))="","",INDEX(Hierarchy!$F$2:$F$1295,MATCH($D104,Hierarchy!$A$2:$A$1295,0))),"NODE NOT FOUND"))</f>
        <v/>
      </c>
      <c r="J104" s="7" t="str">
        <f aca="false">IF($D104="","",IFERROR(IF(INDEX(Hierarchy!$G$2:$G$1295,MATCH($D104,Hierarchy!$A$2:$A$1295,0))="","",INDEX(Hierarchy!$G$2:$G$1295,MATCH($D104,Hierarchy!$A$2:$A$1295,0))),"NODE NOT FOUND"))</f>
        <v/>
      </c>
      <c r="K104" s="7" t="str">
        <f aca="false">IF($D104="","",IFERROR(IF(INDEX(Hierarchy!$H$2:$H$1295,MATCH($D104,Hierarchy!$A$2:$A$1295,0))="","",INDEX(Hierarchy!$H$2:$H$1295,MATCH($D104,Hierarchy!$A$2:$A$1295,0))),"NODE NOT FOUND"))</f>
        <v/>
      </c>
      <c r="L104" s="7" t="str">
        <f aca="false">IF($D104="","",IFERROR(IF(INDEX(Hierarchy!$I$2:$I$1295,MATCH($D104,Hierarchy!$A$2:$A$1295,0))="","",INDEX(Hierarchy!$I$2:$I$1295,MATCH($D104,Hierarchy!$A$2:$A$1295,0))),"NODE NOT FOUND"))</f>
        <v/>
      </c>
      <c r="M104" s="17" t="str">
        <f aca="false">IF(B104="Pre-seeded","Pre-seeded",IF(B104="Review 2026-09-16","Added from review",IF(C104="","New",IF(C104=D104,"","Changed"))))</f>
        <v>Pre-seeded</v>
      </c>
      <c r="N104" s="7" t="str">
        <f aca="false">TRIM(SUBSTITUTE(SUBSTITUTE(SUBSTITUTE(" "&amp;TRIM(SUBSTITUTE(SUBSTITUTE(SUBSTITUTE(SUBSTITUTE(SUBSTITUTE(SUBSTITUTE(SUBSTITUTE(SUBSTITUTE(SUBSTITUTE(SUBSTITUTE(SUBSTITUTE(SUBSTITUTE(SUBSTITUTE(SUBSTITUTE(SUBSTITUTE(UPPER(TRIM(A104)),"[MEMBER]",""),"{MEMBER}",""),"[MEMBER}",""),"MEMBER]",""),"(A)",""),"""",""),"“",""),"”",""),".",""),":",""),",",""),"–"," "),"-"," "),"/"," "),"&amp;"," AND "))&amp;" "," THE "," ")," TOTAL "," ")," OPERATIONS "," "))</f>
        <v>ASEAN</v>
      </c>
      <c r="O104" s="17" t="str">
        <f aca="false">IF(COUNTIFS($N$2:$N$2000,N104,$D$2:$D$2000,"&lt;&gt;"&amp;D104)&gt;0,"CONFLICT","")</f>
        <v/>
      </c>
      <c r="P104" s="7"/>
    </row>
    <row r="105" customFormat="false" ht="15" hidden="false" customHeight="false" outlineLevel="0" collapsed="false">
      <c r="A105" s="7" t="s">
        <v>744</v>
      </c>
      <c r="B105" s="7" t="s">
        <v>1882</v>
      </c>
      <c r="C105" s="7" t="s">
        <v>744</v>
      </c>
      <c r="D105" s="6" t="s">
        <v>744</v>
      </c>
      <c r="E105" s="6" t="s">
        <v>1880</v>
      </c>
      <c r="F105" s="7" t="str">
        <f aca="false">IF($D105="","",IFERROR(IF(INDEX(Hierarchy!$B$2:$B$1295,MATCH($D105,Hierarchy!$A$2:$A$1295,0))="","",INDEX(Hierarchy!$B$2:$B$1295,MATCH($D105,Hierarchy!$A$2:$A$1295,0))),"NODE NOT FOUND"))</f>
        <v>Sub-region group</v>
      </c>
      <c r="G105" s="7" t="str">
        <f aca="false">IF($D105="","",IFERROR(IF(INDEX(Hierarchy!$D$2:$D$1295,MATCH($D105,Hierarchy!$A$2:$A$1295,0))="","",INDEX(Hierarchy!$D$2:$D$1295,MATCH($D105,Hierarchy!$A$2:$A$1295,0))),"NODE NOT FOUND"))</f>
        <v>APAC</v>
      </c>
      <c r="H105" s="7" t="str">
        <f aca="false">IF($D105="","",IFERROR(IF(INDEX(Hierarchy!$E$2:$E$1295,MATCH($D105,Hierarchy!$A$2:$A$1295,0))="","",INDEX(Hierarchy!$E$2:$E$1295,MATCH($D105,Hierarchy!$A$2:$A$1295,0))),"NODE NOT FOUND"))</f>
        <v/>
      </c>
      <c r="I105" s="7" t="str">
        <f aca="false">IF($D105="","",IFERROR(IF(INDEX(Hierarchy!$F$2:$F$1295,MATCH($D105,Hierarchy!$A$2:$A$1295,0))="","",INDEX(Hierarchy!$F$2:$F$1295,MATCH($D105,Hierarchy!$A$2:$A$1295,0))),"NODE NOT FOUND"))</f>
        <v/>
      </c>
      <c r="J105" s="7" t="str">
        <f aca="false">IF($D105="","",IFERROR(IF(INDEX(Hierarchy!$G$2:$G$1295,MATCH($D105,Hierarchy!$A$2:$A$1295,0))="","",INDEX(Hierarchy!$G$2:$G$1295,MATCH($D105,Hierarchy!$A$2:$A$1295,0))),"NODE NOT FOUND"))</f>
        <v/>
      </c>
      <c r="K105" s="7" t="str">
        <f aca="false">IF($D105="","",IFERROR(IF(INDEX(Hierarchy!$H$2:$H$1295,MATCH($D105,Hierarchy!$A$2:$A$1295,0))="","",INDEX(Hierarchy!$H$2:$H$1295,MATCH($D105,Hierarchy!$A$2:$A$1295,0))),"NODE NOT FOUND"))</f>
        <v/>
      </c>
      <c r="L105" s="7" t="str">
        <f aca="false">IF($D105="","",IFERROR(IF(INDEX(Hierarchy!$I$2:$I$1295,MATCH($D105,Hierarchy!$A$2:$A$1295,0))="","",INDEX(Hierarchy!$I$2:$I$1295,MATCH($D105,Hierarchy!$A$2:$A$1295,0))),"NODE NOT FOUND"))</f>
        <v/>
      </c>
      <c r="M105" s="17" t="str">
        <f aca="false">IF(B105="Pre-seeded","Pre-seeded",IF(B105="Review 2026-09-16","Added from review",IF(C105="","New",IF(C105=D105,"","Changed"))))</f>
        <v/>
      </c>
      <c r="N105" s="7" t="str">
        <f aca="false">TRIM(SUBSTITUTE(SUBSTITUTE(SUBSTITUTE(" "&amp;TRIM(SUBSTITUTE(SUBSTITUTE(SUBSTITUTE(SUBSTITUTE(SUBSTITUTE(SUBSTITUTE(SUBSTITUTE(SUBSTITUTE(SUBSTITUTE(SUBSTITUTE(SUBSTITUTE(SUBSTITUTE(SUBSTITUTE(SUBSTITUTE(SUBSTITUTE(UPPER(TRIM(A105)),"[MEMBER]",""),"{MEMBER}",""),"[MEMBER}",""),"MEMBER]",""),"(A)",""),"""",""),"“",""),"”",""),".",""),":",""),",",""),"–"," "),"-"," "),"/"," "),"&amp;"," AND "))&amp;" "," THE "," ")," TOTAL "," ")," OPERATIONS "," "))</f>
        <v>ASIA</v>
      </c>
      <c r="O105" s="17" t="str">
        <f aca="false">IF(COUNTIFS($N$2:$N$2000,N105,$D$2:$D$2000,"&lt;&gt;"&amp;D105)&gt;0,"CONFLICT","")</f>
        <v/>
      </c>
      <c r="P105" s="7"/>
    </row>
    <row r="106" customFormat="false" ht="15" hidden="false" customHeight="false" outlineLevel="0" collapsed="false">
      <c r="A106" s="7" t="s">
        <v>1945</v>
      </c>
      <c r="B106" s="7" t="s">
        <v>1885</v>
      </c>
      <c r="C106" s="7" t="s">
        <v>744</v>
      </c>
      <c r="D106" s="6" t="s">
        <v>744</v>
      </c>
      <c r="E106" s="6" t="s">
        <v>1891</v>
      </c>
      <c r="F106" s="7" t="str">
        <f aca="false">IF($D106="","",IFERROR(IF(INDEX(Hierarchy!$B$2:$B$1295,MATCH($D106,Hierarchy!$A$2:$A$1295,0))="","",INDEX(Hierarchy!$B$2:$B$1295,MATCH($D106,Hierarchy!$A$2:$A$1295,0))),"NODE NOT FOUND"))</f>
        <v>Sub-region group</v>
      </c>
      <c r="G106" s="7" t="str">
        <f aca="false">IF($D106="","",IFERROR(IF(INDEX(Hierarchy!$D$2:$D$1295,MATCH($D106,Hierarchy!$A$2:$A$1295,0))="","",INDEX(Hierarchy!$D$2:$D$1295,MATCH($D106,Hierarchy!$A$2:$A$1295,0))),"NODE NOT FOUND"))</f>
        <v>APAC</v>
      </c>
      <c r="H106" s="7" t="str">
        <f aca="false">IF($D106="","",IFERROR(IF(INDEX(Hierarchy!$E$2:$E$1295,MATCH($D106,Hierarchy!$A$2:$A$1295,0))="","",INDEX(Hierarchy!$E$2:$E$1295,MATCH($D106,Hierarchy!$A$2:$A$1295,0))),"NODE NOT FOUND"))</f>
        <v/>
      </c>
      <c r="I106" s="7" t="str">
        <f aca="false">IF($D106="","",IFERROR(IF(INDEX(Hierarchy!$F$2:$F$1295,MATCH($D106,Hierarchy!$A$2:$A$1295,0))="","",INDEX(Hierarchy!$F$2:$F$1295,MATCH($D106,Hierarchy!$A$2:$A$1295,0))),"NODE NOT FOUND"))</f>
        <v/>
      </c>
      <c r="J106" s="7" t="str">
        <f aca="false">IF($D106="","",IFERROR(IF(INDEX(Hierarchy!$G$2:$G$1295,MATCH($D106,Hierarchy!$A$2:$A$1295,0))="","",INDEX(Hierarchy!$G$2:$G$1295,MATCH($D106,Hierarchy!$A$2:$A$1295,0))),"NODE NOT FOUND"))</f>
        <v/>
      </c>
      <c r="K106" s="7" t="str">
        <f aca="false">IF($D106="","",IFERROR(IF(INDEX(Hierarchy!$H$2:$H$1295,MATCH($D106,Hierarchy!$A$2:$A$1295,0))="","",INDEX(Hierarchy!$H$2:$H$1295,MATCH($D106,Hierarchy!$A$2:$A$1295,0))),"NODE NOT FOUND"))</f>
        <v/>
      </c>
      <c r="L106" s="7" t="str">
        <f aca="false">IF($D106="","",IFERROR(IF(INDEX(Hierarchy!$I$2:$I$1295,MATCH($D106,Hierarchy!$A$2:$A$1295,0))="","",INDEX(Hierarchy!$I$2:$I$1295,MATCH($D106,Hierarchy!$A$2:$A$1295,0))),"NODE NOT FOUND"))</f>
        <v/>
      </c>
      <c r="M106" s="17" t="str">
        <f aca="false">IF(B106="Pre-seeded","Pre-seeded",IF(B106="Review 2026-09-16","Added from review",IF(C106="","New",IF(C106=D106,"","Changed"))))</f>
        <v/>
      </c>
      <c r="N106" s="7" t="str">
        <f aca="false">TRIM(SUBSTITUTE(SUBSTITUTE(SUBSTITUTE(" "&amp;TRIM(SUBSTITUTE(SUBSTITUTE(SUBSTITUTE(SUBSTITUTE(SUBSTITUTE(SUBSTITUTE(SUBSTITUTE(SUBSTITUTE(SUBSTITUTE(SUBSTITUTE(SUBSTITUTE(SUBSTITUTE(SUBSTITUTE(SUBSTITUTE(SUBSTITUTE(UPPER(TRIM(A106)),"[MEMBER]",""),"{MEMBER}",""),"[MEMBER}",""),"MEMBER]",""),"(A)",""),"""",""),"“",""),"”",""),".",""),":",""),",",""),"–"," "),"-"," "),"/"," "),"&amp;"," AND "))&amp;" "," THE "," ")," TOTAL "," ")," OPERATIONS "," "))</f>
        <v>ASIA (EXCLUDING CHINA REGION)</v>
      </c>
      <c r="O106" s="17" t="str">
        <f aca="false">IF(COUNTIFS($N$2:$N$2000,N106,$D$2:$D$2000,"&lt;&gt;"&amp;D106)&gt;0,"CONFLICT","")</f>
        <v/>
      </c>
      <c r="P106" s="7"/>
    </row>
    <row r="107" customFormat="false" ht="15" hidden="false" customHeight="false" outlineLevel="0" collapsed="false">
      <c r="A107" s="7" t="s">
        <v>1816</v>
      </c>
      <c r="B107" s="7" t="s">
        <v>1879</v>
      </c>
      <c r="C107" s="7"/>
      <c r="D107" s="6" t="s">
        <v>1816</v>
      </c>
      <c r="E107" s="6" t="s">
        <v>1880</v>
      </c>
      <c r="F107" s="7" t="str">
        <f aca="false">IF($D107="","",IFERROR(IF(INDEX(Hierarchy!$B$2:$B$1295,MATCH($D107,Hierarchy!$A$2:$A$1295,0))="","",INDEX(Hierarchy!$B$2:$B$1295,MATCH($D107,Hierarchy!$A$2:$A$1295,0))),"NODE NOT FOUND"))</f>
        <v>Reference grouping</v>
      </c>
      <c r="G107" s="7" t="str">
        <f aca="false">IF($D107="","",IFERROR(IF(INDEX(Hierarchy!$D$2:$D$1295,MATCH($D107,Hierarchy!$A$2:$A$1295,0))="","",INDEX(Hierarchy!$D$2:$D$1295,MATCH($D107,Hierarchy!$A$2:$A$1295,0))),"NODE NOT FOUND"))</f>
        <v>Reference (UN / World Bank)</v>
      </c>
      <c r="H107" s="7" t="str">
        <f aca="false">IF($D107="","",IFERROR(IF(INDEX(Hierarchy!$E$2:$E$1295,MATCH($D107,Hierarchy!$A$2:$A$1295,0))="","",INDEX(Hierarchy!$E$2:$E$1295,MATCH($D107,Hierarchy!$A$2:$A$1295,0))),"NODE NOT FOUND"))</f>
        <v/>
      </c>
      <c r="I107" s="7" t="str">
        <f aca="false">IF($D107="","",IFERROR(IF(INDEX(Hierarchy!$F$2:$F$1295,MATCH($D107,Hierarchy!$A$2:$A$1295,0))="","",INDEX(Hierarchy!$F$2:$F$1295,MATCH($D107,Hierarchy!$A$2:$A$1295,0))),"NODE NOT FOUND"))</f>
        <v/>
      </c>
      <c r="J107" s="7" t="str">
        <f aca="false">IF($D107="","",IFERROR(IF(INDEX(Hierarchy!$G$2:$G$1295,MATCH($D107,Hierarchy!$A$2:$A$1295,0))="","",INDEX(Hierarchy!$G$2:$G$1295,MATCH($D107,Hierarchy!$A$2:$A$1295,0))),"NODE NOT FOUND"))</f>
        <v/>
      </c>
      <c r="K107" s="7" t="str">
        <f aca="false">IF($D107="","",IFERROR(IF(INDEX(Hierarchy!$H$2:$H$1295,MATCH($D107,Hierarchy!$A$2:$A$1295,0))="","",INDEX(Hierarchy!$H$2:$H$1295,MATCH($D107,Hierarchy!$A$2:$A$1295,0))),"NODE NOT FOUND"))</f>
        <v/>
      </c>
      <c r="L107" s="7" t="str">
        <f aca="false">IF($D107="","",IFERROR(IF(INDEX(Hierarchy!$I$2:$I$1295,MATCH($D107,Hierarchy!$A$2:$A$1295,0))="","",INDEX(Hierarchy!$I$2:$I$1295,MATCH($D107,Hierarchy!$A$2:$A$1295,0))),"NODE NOT FOUND"))</f>
        <v/>
      </c>
      <c r="M107" s="17" t="str">
        <f aca="false">IF(B107="Pre-seeded","Pre-seeded",IF(B107="Review 2026-09-16","Added from review",IF(C107="","New",IF(C107=D107,"","Changed"))))</f>
        <v>Pre-seeded</v>
      </c>
      <c r="N107" s="7" t="str">
        <f aca="false">TRIM(SUBSTITUTE(SUBSTITUTE(SUBSTITUTE(" "&amp;TRIM(SUBSTITUTE(SUBSTITUTE(SUBSTITUTE(SUBSTITUTE(SUBSTITUTE(SUBSTITUTE(SUBSTITUTE(SUBSTITUTE(SUBSTITUTE(SUBSTITUTE(SUBSTITUTE(SUBSTITUTE(SUBSTITUTE(SUBSTITUTE(SUBSTITUTE(UPPER(TRIM(A107)),"[MEMBER]",""),"{MEMBER}",""),"[MEMBER}",""),"MEMBER]",""),"(A)",""),"""",""),"“",""),"”",""),".",""),":",""),",",""),"–"," "),"-"," "),"/"," "),"&amp;"," AND "))&amp;" "," THE "," ")," TOTAL "," ")," OPERATIONS "," "))</f>
        <v>ASIA (UN M49)</v>
      </c>
      <c r="O107" s="17" t="str">
        <f aca="false">IF(COUNTIFS($N$2:$N$2000,N107,$D$2:$D$2000,"&lt;&gt;"&amp;D107)&gt;0,"CONFLICT","")</f>
        <v/>
      </c>
      <c r="P107" s="7"/>
    </row>
    <row r="108" customFormat="false" ht="15" hidden="false" customHeight="false" outlineLevel="0" collapsed="false">
      <c r="A108" s="7" t="s">
        <v>1946</v>
      </c>
      <c r="B108" s="7" t="s">
        <v>1879</v>
      </c>
      <c r="C108" s="7"/>
      <c r="D108" s="6" t="s">
        <v>1311</v>
      </c>
      <c r="E108" s="6" t="s">
        <v>1880</v>
      </c>
      <c r="F108" s="7" t="str">
        <f aca="false">IF($D108="","",IFERROR(IF(INDEX(Hierarchy!$B$2:$B$1295,MATCH($D108,Hierarchy!$A$2:$A$1295,0))="","",INDEX(Hierarchy!$B$2:$B$1295,MATCH($D108,Hierarchy!$A$2:$A$1295,0))),"NODE NOT FOUND"))</f>
        <v>Region</v>
      </c>
      <c r="G108" s="7" t="str">
        <f aca="false">IF($D108="","",IFERROR(IF(INDEX(Hierarchy!$D$2:$D$1295,MATCH($D108,Hierarchy!$A$2:$A$1295,0))="","",INDEX(Hierarchy!$D$2:$D$1295,MATCH($D108,Hierarchy!$A$2:$A$1295,0))),"NODE NOT FOUND"))</f>
        <v>APAC</v>
      </c>
      <c r="H108" s="7" t="str">
        <f aca="false">IF($D108="","",IFERROR(IF(INDEX(Hierarchy!$E$2:$E$1295,MATCH($D108,Hierarchy!$A$2:$A$1295,0))="","",INDEX(Hierarchy!$E$2:$E$1295,MATCH($D108,Hierarchy!$A$2:$A$1295,0))),"NODE NOT FOUND"))</f>
        <v/>
      </c>
      <c r="I108" s="7" t="str">
        <f aca="false">IF($D108="","",IFERROR(IF(INDEX(Hierarchy!$F$2:$F$1295,MATCH($D108,Hierarchy!$A$2:$A$1295,0))="","",INDEX(Hierarchy!$F$2:$F$1295,MATCH($D108,Hierarchy!$A$2:$A$1295,0))),"NODE NOT FOUND"))</f>
        <v/>
      </c>
      <c r="J108" s="7" t="str">
        <f aca="false">IF($D108="","",IFERROR(IF(INDEX(Hierarchy!$G$2:$G$1295,MATCH($D108,Hierarchy!$A$2:$A$1295,0))="","",INDEX(Hierarchy!$G$2:$G$1295,MATCH($D108,Hierarchy!$A$2:$A$1295,0))),"NODE NOT FOUND"))</f>
        <v/>
      </c>
      <c r="K108" s="7" t="str">
        <f aca="false">IF($D108="","",IFERROR(IF(INDEX(Hierarchy!$H$2:$H$1295,MATCH($D108,Hierarchy!$A$2:$A$1295,0))="","",INDEX(Hierarchy!$H$2:$H$1295,MATCH($D108,Hierarchy!$A$2:$A$1295,0))),"NODE NOT FOUND"))</f>
        <v/>
      </c>
      <c r="L108" s="7" t="str">
        <f aca="false">IF($D108="","",IFERROR(IF(INDEX(Hierarchy!$I$2:$I$1295,MATCH($D108,Hierarchy!$A$2:$A$1295,0))="","",INDEX(Hierarchy!$I$2:$I$1295,MATCH($D108,Hierarchy!$A$2:$A$1295,0))),"NODE NOT FOUND"))</f>
        <v/>
      </c>
      <c r="M108" s="17" t="str">
        <f aca="false">IF(B108="Pre-seeded","Pre-seeded",IF(B108="Review 2026-09-16","Added from review",IF(C108="","New",IF(C108=D108,"","Changed"))))</f>
        <v>Pre-seeded</v>
      </c>
      <c r="N108" s="7" t="str">
        <f aca="false">TRIM(SUBSTITUTE(SUBSTITUTE(SUBSTITUTE(" "&amp;TRIM(SUBSTITUTE(SUBSTITUTE(SUBSTITUTE(SUBSTITUTE(SUBSTITUTE(SUBSTITUTE(SUBSTITUTE(SUBSTITUTE(SUBSTITUTE(SUBSTITUTE(SUBSTITUTE(SUBSTITUTE(SUBSTITUTE(SUBSTITUTE(SUBSTITUTE(UPPER(TRIM(A108)),"[MEMBER]",""),"{MEMBER}",""),"[MEMBER}",""),"MEMBER]",""),"(A)",""),"""",""),"“",""),"”",""),".",""),":",""),",",""),"–"," "),"-"," "),"/"," "),"&amp;"," AND "))&amp;" "," THE "," ")," TOTAL "," ")," OPERATIONS "," "))</f>
        <v>ASIA AND OCEANIA</v>
      </c>
      <c r="O108" s="17" t="str">
        <f aca="false">IF(COUNTIFS($N$2:$N$2000,N108,$D$2:$D$2000,"&lt;&gt;"&amp;D108)&gt;0,"CONFLICT","")</f>
        <v/>
      </c>
      <c r="P108" s="7"/>
    </row>
    <row r="109" customFormat="false" ht="15" hidden="false" customHeight="false" outlineLevel="0" collapsed="false">
      <c r="A109" s="7" t="s">
        <v>1947</v>
      </c>
      <c r="B109" s="7" t="s">
        <v>1882</v>
      </c>
      <c r="C109" s="7" t="s">
        <v>1926</v>
      </c>
      <c r="D109" s="6" t="s">
        <v>1311</v>
      </c>
      <c r="E109" s="6" t="s">
        <v>1880</v>
      </c>
      <c r="F109" s="7" t="str">
        <f aca="false">IF($D109="","",IFERROR(IF(INDEX(Hierarchy!$B$2:$B$1295,MATCH($D109,Hierarchy!$A$2:$A$1295,0))="","",INDEX(Hierarchy!$B$2:$B$1295,MATCH($D109,Hierarchy!$A$2:$A$1295,0))),"NODE NOT FOUND"))</f>
        <v>Region</v>
      </c>
      <c r="G109" s="7" t="str">
        <f aca="false">IF($D109="","",IFERROR(IF(INDEX(Hierarchy!$D$2:$D$1295,MATCH($D109,Hierarchy!$A$2:$A$1295,0))="","",INDEX(Hierarchy!$D$2:$D$1295,MATCH($D109,Hierarchy!$A$2:$A$1295,0))),"NODE NOT FOUND"))</f>
        <v>APAC</v>
      </c>
      <c r="H109" s="7" t="str">
        <f aca="false">IF($D109="","",IFERROR(IF(INDEX(Hierarchy!$E$2:$E$1295,MATCH($D109,Hierarchy!$A$2:$A$1295,0))="","",INDEX(Hierarchy!$E$2:$E$1295,MATCH($D109,Hierarchy!$A$2:$A$1295,0))),"NODE NOT FOUND"))</f>
        <v/>
      </c>
      <c r="I109" s="7" t="str">
        <f aca="false">IF($D109="","",IFERROR(IF(INDEX(Hierarchy!$F$2:$F$1295,MATCH($D109,Hierarchy!$A$2:$A$1295,0))="","",INDEX(Hierarchy!$F$2:$F$1295,MATCH($D109,Hierarchy!$A$2:$A$1295,0))),"NODE NOT FOUND"))</f>
        <v/>
      </c>
      <c r="J109" s="7" t="str">
        <f aca="false">IF($D109="","",IFERROR(IF(INDEX(Hierarchy!$G$2:$G$1295,MATCH($D109,Hierarchy!$A$2:$A$1295,0))="","",INDEX(Hierarchy!$G$2:$G$1295,MATCH($D109,Hierarchy!$A$2:$A$1295,0))),"NODE NOT FOUND"))</f>
        <v/>
      </c>
      <c r="K109" s="7" t="str">
        <f aca="false">IF($D109="","",IFERROR(IF(INDEX(Hierarchy!$H$2:$H$1295,MATCH($D109,Hierarchy!$A$2:$A$1295,0))="","",INDEX(Hierarchy!$H$2:$H$1295,MATCH($D109,Hierarchy!$A$2:$A$1295,0))),"NODE NOT FOUND"))</f>
        <v/>
      </c>
      <c r="L109" s="7" t="str">
        <f aca="false">IF($D109="","",IFERROR(IF(INDEX(Hierarchy!$I$2:$I$1295,MATCH($D109,Hierarchy!$A$2:$A$1295,0))="","",INDEX(Hierarchy!$I$2:$I$1295,MATCH($D109,Hierarchy!$A$2:$A$1295,0))),"NODE NOT FOUND"))</f>
        <v/>
      </c>
      <c r="M109" s="17" t="str">
        <f aca="false">IF(B109="Pre-seeded","Pre-seeded",IF(B109="Review 2026-09-16","Added from review",IF(C109="","New",IF(C109=D109,"","Changed"))))</f>
        <v>Changed</v>
      </c>
      <c r="N109" s="7" t="str">
        <f aca="false">TRIM(SUBSTITUTE(SUBSTITUTE(SUBSTITUTE(" "&amp;TRIM(SUBSTITUTE(SUBSTITUTE(SUBSTITUTE(SUBSTITUTE(SUBSTITUTE(SUBSTITUTE(SUBSTITUTE(SUBSTITUTE(SUBSTITUTE(SUBSTITUTE(SUBSTITUTE(SUBSTITUTE(SUBSTITUTE(SUBSTITUTE(SUBSTITUTE(UPPER(TRIM(A109)),"[MEMBER]",""),"{MEMBER}",""),"[MEMBER}",""),"MEMBER]",""),"(A)",""),"""",""),"“",""),"”",""),".",""),":",""),",",""),"–"," "),"-"," "),"/"," "),"&amp;"," AND "))&amp;" "," THE "," ")," TOTAL "," ")," OPERATIONS "," "))</f>
        <v>ASIA AND PACIFIC</v>
      </c>
      <c r="O109" s="17" t="str">
        <f aca="false">IF(COUNTIFS($N$2:$N$2000,N109,$D$2:$D$2000,"&lt;&gt;"&amp;D109)&gt;0,"CONFLICT","")</f>
        <v/>
      </c>
      <c r="P109" s="7"/>
    </row>
    <row r="110" customFormat="false" ht="15" hidden="false" customHeight="false" outlineLevel="0" collapsed="false">
      <c r="A110" s="7" t="s">
        <v>1948</v>
      </c>
      <c r="B110" s="7" t="s">
        <v>1879</v>
      </c>
      <c r="C110" s="7"/>
      <c r="D110" s="6" t="s">
        <v>744</v>
      </c>
      <c r="E110" s="6" t="s">
        <v>1891</v>
      </c>
      <c r="F110" s="7" t="str">
        <f aca="false">IF($D110="","",IFERROR(IF(INDEX(Hierarchy!$B$2:$B$1295,MATCH($D110,Hierarchy!$A$2:$A$1295,0))="","",INDEX(Hierarchy!$B$2:$B$1295,MATCH($D110,Hierarchy!$A$2:$A$1295,0))),"NODE NOT FOUND"))</f>
        <v>Sub-region group</v>
      </c>
      <c r="G110" s="7" t="str">
        <f aca="false">IF($D110="","",IFERROR(IF(INDEX(Hierarchy!$D$2:$D$1295,MATCH($D110,Hierarchy!$A$2:$A$1295,0))="","",INDEX(Hierarchy!$D$2:$D$1295,MATCH($D110,Hierarchy!$A$2:$A$1295,0))),"NODE NOT FOUND"))</f>
        <v>APAC</v>
      </c>
      <c r="H110" s="7" t="str">
        <f aca="false">IF($D110="","",IFERROR(IF(INDEX(Hierarchy!$E$2:$E$1295,MATCH($D110,Hierarchy!$A$2:$A$1295,0))="","",INDEX(Hierarchy!$E$2:$E$1295,MATCH($D110,Hierarchy!$A$2:$A$1295,0))),"NODE NOT FOUND"))</f>
        <v/>
      </c>
      <c r="I110" s="7" t="str">
        <f aca="false">IF($D110="","",IFERROR(IF(INDEX(Hierarchy!$F$2:$F$1295,MATCH($D110,Hierarchy!$A$2:$A$1295,0))="","",INDEX(Hierarchy!$F$2:$F$1295,MATCH($D110,Hierarchy!$A$2:$A$1295,0))),"NODE NOT FOUND"))</f>
        <v/>
      </c>
      <c r="J110" s="7" t="str">
        <f aca="false">IF($D110="","",IFERROR(IF(INDEX(Hierarchy!$G$2:$G$1295,MATCH($D110,Hierarchy!$A$2:$A$1295,0))="","",INDEX(Hierarchy!$G$2:$G$1295,MATCH($D110,Hierarchy!$A$2:$A$1295,0))),"NODE NOT FOUND"))</f>
        <v/>
      </c>
      <c r="K110" s="7" t="str">
        <f aca="false">IF($D110="","",IFERROR(IF(INDEX(Hierarchy!$H$2:$H$1295,MATCH($D110,Hierarchy!$A$2:$A$1295,0))="","",INDEX(Hierarchy!$H$2:$H$1295,MATCH($D110,Hierarchy!$A$2:$A$1295,0))),"NODE NOT FOUND"))</f>
        <v/>
      </c>
      <c r="L110" s="7" t="str">
        <f aca="false">IF($D110="","",IFERROR(IF(INDEX(Hierarchy!$I$2:$I$1295,MATCH($D110,Hierarchy!$A$2:$A$1295,0))="","",INDEX(Hierarchy!$I$2:$I$1295,MATCH($D110,Hierarchy!$A$2:$A$1295,0))),"NODE NOT FOUND"))</f>
        <v/>
      </c>
      <c r="M110" s="17" t="str">
        <f aca="false">IF(B110="Pre-seeded","Pre-seeded",IF(B110="Review 2026-09-16","Added from review",IF(C110="","New",IF(C110=D110,"","Changed"))))</f>
        <v>Pre-seeded</v>
      </c>
      <c r="N110" s="7" t="str">
        <f aca="false">TRIM(SUBSTITUTE(SUBSTITUTE(SUBSTITUTE(" "&amp;TRIM(SUBSTITUTE(SUBSTITUTE(SUBSTITUTE(SUBSTITUTE(SUBSTITUTE(SUBSTITUTE(SUBSTITUTE(SUBSTITUTE(SUBSTITUTE(SUBSTITUTE(SUBSTITUTE(SUBSTITUTE(SUBSTITUTE(SUBSTITUTE(SUBSTITUTE(UPPER(TRIM(A110)),"[MEMBER]",""),"{MEMBER}",""),"[MEMBER}",""),"MEMBER]",""),"(A)",""),"""",""),"“",""),"”",""),".",""),":",""),",",""),"–"," "),"-"," "),"/"," "),"&amp;"," AND "))&amp;" "," THE "," ")," TOTAL "," ")," OPERATIONS "," "))</f>
        <v>ASIA EX CHINA</v>
      </c>
      <c r="O110" s="17" t="str">
        <f aca="false">IF(COUNTIFS($N$2:$N$2000,N110,$D$2:$D$2000,"&lt;&gt;"&amp;D110)&gt;0,"CONFLICT","")</f>
        <v/>
      </c>
      <c r="P110" s="7"/>
    </row>
    <row r="111" customFormat="false" ht="15" hidden="false" customHeight="false" outlineLevel="0" collapsed="false">
      <c r="A111" s="7" t="s">
        <v>1949</v>
      </c>
      <c r="B111" s="7" t="s">
        <v>1879</v>
      </c>
      <c r="C111" s="7"/>
      <c r="D111" s="6" t="s">
        <v>744</v>
      </c>
      <c r="E111" s="6" t="s">
        <v>1891</v>
      </c>
      <c r="F111" s="7" t="str">
        <f aca="false">IF($D111="","",IFERROR(IF(INDEX(Hierarchy!$B$2:$B$1295,MATCH($D111,Hierarchy!$A$2:$A$1295,0))="","",INDEX(Hierarchy!$B$2:$B$1295,MATCH($D111,Hierarchy!$A$2:$A$1295,0))),"NODE NOT FOUND"))</f>
        <v>Sub-region group</v>
      </c>
      <c r="G111" s="7" t="str">
        <f aca="false">IF($D111="","",IFERROR(IF(INDEX(Hierarchy!$D$2:$D$1295,MATCH($D111,Hierarchy!$A$2:$A$1295,0))="","",INDEX(Hierarchy!$D$2:$D$1295,MATCH($D111,Hierarchy!$A$2:$A$1295,0))),"NODE NOT FOUND"))</f>
        <v>APAC</v>
      </c>
      <c r="H111" s="7" t="str">
        <f aca="false">IF($D111="","",IFERROR(IF(INDEX(Hierarchy!$E$2:$E$1295,MATCH($D111,Hierarchy!$A$2:$A$1295,0))="","",INDEX(Hierarchy!$E$2:$E$1295,MATCH($D111,Hierarchy!$A$2:$A$1295,0))),"NODE NOT FOUND"))</f>
        <v/>
      </c>
      <c r="I111" s="7" t="str">
        <f aca="false">IF($D111="","",IFERROR(IF(INDEX(Hierarchy!$F$2:$F$1295,MATCH($D111,Hierarchy!$A$2:$A$1295,0))="","",INDEX(Hierarchy!$F$2:$F$1295,MATCH($D111,Hierarchy!$A$2:$A$1295,0))),"NODE NOT FOUND"))</f>
        <v/>
      </c>
      <c r="J111" s="7" t="str">
        <f aca="false">IF($D111="","",IFERROR(IF(INDEX(Hierarchy!$G$2:$G$1295,MATCH($D111,Hierarchy!$A$2:$A$1295,0))="","",INDEX(Hierarchy!$G$2:$G$1295,MATCH($D111,Hierarchy!$A$2:$A$1295,0))),"NODE NOT FOUND"))</f>
        <v/>
      </c>
      <c r="K111" s="7" t="str">
        <f aca="false">IF($D111="","",IFERROR(IF(INDEX(Hierarchy!$H$2:$H$1295,MATCH($D111,Hierarchy!$A$2:$A$1295,0))="","",INDEX(Hierarchy!$H$2:$H$1295,MATCH($D111,Hierarchy!$A$2:$A$1295,0))),"NODE NOT FOUND"))</f>
        <v/>
      </c>
      <c r="L111" s="7" t="str">
        <f aca="false">IF($D111="","",IFERROR(IF(INDEX(Hierarchy!$I$2:$I$1295,MATCH($D111,Hierarchy!$A$2:$A$1295,0))="","",INDEX(Hierarchy!$I$2:$I$1295,MATCH($D111,Hierarchy!$A$2:$A$1295,0))),"NODE NOT FOUND"))</f>
        <v/>
      </c>
      <c r="M111" s="17" t="str">
        <f aca="false">IF(B111="Pre-seeded","Pre-seeded",IF(B111="Review 2026-09-16","Added from review",IF(C111="","New",IF(C111=D111,"","Changed"))))</f>
        <v>Pre-seeded</v>
      </c>
      <c r="N111" s="7" t="str">
        <f aca="false">TRIM(SUBSTITUTE(SUBSTITUTE(SUBSTITUTE(" "&amp;TRIM(SUBSTITUTE(SUBSTITUTE(SUBSTITUTE(SUBSTITUTE(SUBSTITUTE(SUBSTITUTE(SUBSTITUTE(SUBSTITUTE(SUBSTITUTE(SUBSTITUTE(SUBSTITUTE(SUBSTITUTE(SUBSTITUTE(SUBSTITUTE(SUBSTITUTE(UPPER(TRIM(A111)),"[MEMBER]",""),"{MEMBER}",""),"[MEMBER}",""),"MEMBER]",""),"(A)",""),"""",""),"“",""),"”",""),".",""),":",""),",",""),"–"," "),"-"," "),"/"," "),"&amp;"," AND "))&amp;" "," THE "," ")," TOTAL "," ")," OPERATIONS "," "))</f>
        <v>ASIA EX JAPAN</v>
      </c>
      <c r="O111" s="17" t="str">
        <f aca="false">IF(COUNTIFS($N$2:$N$2000,N111,$D$2:$D$2000,"&lt;&gt;"&amp;D111)&gt;0,"CONFLICT","")</f>
        <v/>
      </c>
      <c r="P111" s="7"/>
    </row>
    <row r="112" customFormat="false" ht="15" hidden="false" customHeight="false" outlineLevel="0" collapsed="false">
      <c r="A112" s="7" t="s">
        <v>1950</v>
      </c>
      <c r="B112" s="7" t="s">
        <v>1879</v>
      </c>
      <c r="C112" s="7"/>
      <c r="D112" s="6" t="s">
        <v>744</v>
      </c>
      <c r="E112" s="6" t="s">
        <v>1891</v>
      </c>
      <c r="F112" s="7" t="str">
        <f aca="false">IF($D112="","",IFERROR(IF(INDEX(Hierarchy!$B$2:$B$1295,MATCH($D112,Hierarchy!$A$2:$A$1295,0))="","",INDEX(Hierarchy!$B$2:$B$1295,MATCH($D112,Hierarchy!$A$2:$A$1295,0))),"NODE NOT FOUND"))</f>
        <v>Sub-region group</v>
      </c>
      <c r="G112" s="7" t="str">
        <f aca="false">IF($D112="","",IFERROR(IF(INDEX(Hierarchy!$D$2:$D$1295,MATCH($D112,Hierarchy!$A$2:$A$1295,0))="","",INDEX(Hierarchy!$D$2:$D$1295,MATCH($D112,Hierarchy!$A$2:$A$1295,0))),"NODE NOT FOUND"))</f>
        <v>APAC</v>
      </c>
      <c r="H112" s="7" t="str">
        <f aca="false">IF($D112="","",IFERROR(IF(INDEX(Hierarchy!$E$2:$E$1295,MATCH($D112,Hierarchy!$A$2:$A$1295,0))="","",INDEX(Hierarchy!$E$2:$E$1295,MATCH($D112,Hierarchy!$A$2:$A$1295,0))),"NODE NOT FOUND"))</f>
        <v/>
      </c>
      <c r="I112" s="7" t="str">
        <f aca="false">IF($D112="","",IFERROR(IF(INDEX(Hierarchy!$F$2:$F$1295,MATCH($D112,Hierarchy!$A$2:$A$1295,0))="","",INDEX(Hierarchy!$F$2:$F$1295,MATCH($D112,Hierarchy!$A$2:$A$1295,0))),"NODE NOT FOUND"))</f>
        <v/>
      </c>
      <c r="J112" s="7" t="str">
        <f aca="false">IF($D112="","",IFERROR(IF(INDEX(Hierarchy!$G$2:$G$1295,MATCH($D112,Hierarchy!$A$2:$A$1295,0))="","",INDEX(Hierarchy!$G$2:$G$1295,MATCH($D112,Hierarchy!$A$2:$A$1295,0))),"NODE NOT FOUND"))</f>
        <v/>
      </c>
      <c r="K112" s="7" t="str">
        <f aca="false">IF($D112="","",IFERROR(IF(INDEX(Hierarchy!$H$2:$H$1295,MATCH($D112,Hierarchy!$A$2:$A$1295,0))="","",INDEX(Hierarchy!$H$2:$H$1295,MATCH($D112,Hierarchy!$A$2:$A$1295,0))),"NODE NOT FOUND"))</f>
        <v/>
      </c>
      <c r="L112" s="7" t="str">
        <f aca="false">IF($D112="","",IFERROR(IF(INDEX(Hierarchy!$I$2:$I$1295,MATCH($D112,Hierarchy!$A$2:$A$1295,0))="","",INDEX(Hierarchy!$I$2:$I$1295,MATCH($D112,Hierarchy!$A$2:$A$1295,0))),"NODE NOT FOUND"))</f>
        <v/>
      </c>
      <c r="M112" s="17" t="str">
        <f aca="false">IF(B112="Pre-seeded","Pre-seeded",IF(B112="Review 2026-09-16","Added from review",IF(C112="","New",IF(C112=D112,"","Changed"))))</f>
        <v>Pre-seeded</v>
      </c>
      <c r="N112" s="7" t="str">
        <f aca="false">TRIM(SUBSTITUTE(SUBSTITUTE(SUBSTITUTE(" "&amp;TRIM(SUBSTITUTE(SUBSTITUTE(SUBSTITUTE(SUBSTITUTE(SUBSTITUTE(SUBSTITUTE(SUBSTITUTE(SUBSTITUTE(SUBSTITUTE(SUBSTITUTE(SUBSTITUTE(SUBSTITUTE(SUBSTITUTE(SUBSTITUTE(SUBSTITUTE(UPPER(TRIM(A112)),"[MEMBER]",""),"{MEMBER}",""),"[MEMBER}",""),"MEMBER]",""),"(A)",""),"""",""),"“",""),"”",""),".",""),":",""),",",""),"–"," "),"-"," "),"/"," "),"&amp;"," AND "))&amp;" "," THE "," ")," TOTAL "," ")," OPERATIONS "," "))</f>
        <v>ASIA EXCLUDING CHINA</v>
      </c>
      <c r="O112" s="17" t="str">
        <f aca="false">IF(COUNTIFS($N$2:$N$2000,N112,$D$2:$D$2000,"&lt;&gt;"&amp;D112)&gt;0,"CONFLICT","")</f>
        <v/>
      </c>
      <c r="P112" s="7"/>
    </row>
    <row r="113" customFormat="false" ht="15" hidden="false" customHeight="false" outlineLevel="0" collapsed="false">
      <c r="A113" s="7" t="s">
        <v>1951</v>
      </c>
      <c r="B113" s="7" t="s">
        <v>1879</v>
      </c>
      <c r="C113" s="7"/>
      <c r="D113" s="6" t="s">
        <v>744</v>
      </c>
      <c r="E113" s="6" t="s">
        <v>1891</v>
      </c>
      <c r="F113" s="7" t="str">
        <f aca="false">IF($D113="","",IFERROR(IF(INDEX(Hierarchy!$B$2:$B$1295,MATCH($D113,Hierarchy!$A$2:$A$1295,0))="","",INDEX(Hierarchy!$B$2:$B$1295,MATCH($D113,Hierarchy!$A$2:$A$1295,0))),"NODE NOT FOUND"))</f>
        <v>Sub-region group</v>
      </c>
      <c r="G113" s="7" t="str">
        <f aca="false">IF($D113="","",IFERROR(IF(INDEX(Hierarchy!$D$2:$D$1295,MATCH($D113,Hierarchy!$A$2:$A$1295,0))="","",INDEX(Hierarchy!$D$2:$D$1295,MATCH($D113,Hierarchy!$A$2:$A$1295,0))),"NODE NOT FOUND"))</f>
        <v>APAC</v>
      </c>
      <c r="H113" s="7" t="str">
        <f aca="false">IF($D113="","",IFERROR(IF(INDEX(Hierarchy!$E$2:$E$1295,MATCH($D113,Hierarchy!$A$2:$A$1295,0))="","",INDEX(Hierarchy!$E$2:$E$1295,MATCH($D113,Hierarchy!$A$2:$A$1295,0))),"NODE NOT FOUND"))</f>
        <v/>
      </c>
      <c r="I113" s="7" t="str">
        <f aca="false">IF($D113="","",IFERROR(IF(INDEX(Hierarchy!$F$2:$F$1295,MATCH($D113,Hierarchy!$A$2:$A$1295,0))="","",INDEX(Hierarchy!$F$2:$F$1295,MATCH($D113,Hierarchy!$A$2:$A$1295,0))),"NODE NOT FOUND"))</f>
        <v/>
      </c>
      <c r="J113" s="7" t="str">
        <f aca="false">IF($D113="","",IFERROR(IF(INDEX(Hierarchy!$G$2:$G$1295,MATCH($D113,Hierarchy!$A$2:$A$1295,0))="","",INDEX(Hierarchy!$G$2:$G$1295,MATCH($D113,Hierarchy!$A$2:$A$1295,0))),"NODE NOT FOUND"))</f>
        <v/>
      </c>
      <c r="K113" s="7" t="str">
        <f aca="false">IF($D113="","",IFERROR(IF(INDEX(Hierarchy!$H$2:$H$1295,MATCH($D113,Hierarchy!$A$2:$A$1295,0))="","",INDEX(Hierarchy!$H$2:$H$1295,MATCH($D113,Hierarchy!$A$2:$A$1295,0))),"NODE NOT FOUND"))</f>
        <v/>
      </c>
      <c r="L113" s="7" t="str">
        <f aca="false">IF($D113="","",IFERROR(IF(INDEX(Hierarchy!$I$2:$I$1295,MATCH($D113,Hierarchy!$A$2:$A$1295,0))="","",INDEX(Hierarchy!$I$2:$I$1295,MATCH($D113,Hierarchy!$A$2:$A$1295,0))),"NODE NOT FOUND"))</f>
        <v/>
      </c>
      <c r="M113" s="17" t="str">
        <f aca="false">IF(B113="Pre-seeded","Pre-seeded",IF(B113="Review 2026-09-16","Added from review",IF(C113="","New",IF(C113=D113,"","Changed"))))</f>
        <v>Pre-seeded</v>
      </c>
      <c r="N113" s="7" t="str">
        <f aca="false">TRIM(SUBSTITUTE(SUBSTITUTE(SUBSTITUTE(" "&amp;TRIM(SUBSTITUTE(SUBSTITUTE(SUBSTITUTE(SUBSTITUTE(SUBSTITUTE(SUBSTITUTE(SUBSTITUTE(SUBSTITUTE(SUBSTITUTE(SUBSTITUTE(SUBSTITUTE(SUBSTITUTE(SUBSTITUTE(SUBSTITUTE(SUBSTITUTE(UPPER(TRIM(A113)),"[MEMBER]",""),"{MEMBER}",""),"[MEMBER}",""),"MEMBER]",""),"(A)",""),"""",""),"“",""),"”",""),".",""),":",""),",",""),"–"," "),"-"," "),"/"," "),"&amp;"," AND "))&amp;" "," THE "," ")," TOTAL "," ")," OPERATIONS "," "))</f>
        <v>ASIA EXCLUDING JAPAN</v>
      </c>
      <c r="O113" s="17" t="str">
        <f aca="false">IF(COUNTIFS($N$2:$N$2000,N113,$D$2:$D$2000,"&lt;&gt;"&amp;D113)&gt;0,"CONFLICT","")</f>
        <v/>
      </c>
      <c r="P113" s="7"/>
    </row>
    <row r="114" customFormat="false" ht="15" hidden="false" customHeight="false" outlineLevel="0" collapsed="false">
      <c r="A114" s="7" t="s">
        <v>1952</v>
      </c>
      <c r="B114" s="7" t="s">
        <v>1882</v>
      </c>
      <c r="C114" s="7" t="s">
        <v>1926</v>
      </c>
      <c r="D114" s="6" t="s">
        <v>1311</v>
      </c>
      <c r="E114" s="6" t="s">
        <v>1880</v>
      </c>
      <c r="F114" s="7" t="str">
        <f aca="false">IF($D114="","",IFERROR(IF(INDEX(Hierarchy!$B$2:$B$1295,MATCH($D114,Hierarchy!$A$2:$A$1295,0))="","",INDEX(Hierarchy!$B$2:$B$1295,MATCH($D114,Hierarchy!$A$2:$A$1295,0))),"NODE NOT FOUND"))</f>
        <v>Region</v>
      </c>
      <c r="G114" s="7" t="str">
        <f aca="false">IF($D114="","",IFERROR(IF(INDEX(Hierarchy!$D$2:$D$1295,MATCH($D114,Hierarchy!$A$2:$A$1295,0))="","",INDEX(Hierarchy!$D$2:$D$1295,MATCH($D114,Hierarchy!$A$2:$A$1295,0))),"NODE NOT FOUND"))</f>
        <v>APAC</v>
      </c>
      <c r="H114" s="7" t="str">
        <f aca="false">IF($D114="","",IFERROR(IF(INDEX(Hierarchy!$E$2:$E$1295,MATCH($D114,Hierarchy!$A$2:$A$1295,0))="","",INDEX(Hierarchy!$E$2:$E$1295,MATCH($D114,Hierarchy!$A$2:$A$1295,0))),"NODE NOT FOUND"))</f>
        <v/>
      </c>
      <c r="I114" s="7" t="str">
        <f aca="false">IF($D114="","",IFERROR(IF(INDEX(Hierarchy!$F$2:$F$1295,MATCH($D114,Hierarchy!$A$2:$A$1295,0))="","",INDEX(Hierarchy!$F$2:$F$1295,MATCH($D114,Hierarchy!$A$2:$A$1295,0))),"NODE NOT FOUND"))</f>
        <v/>
      </c>
      <c r="J114" s="7" t="str">
        <f aca="false">IF($D114="","",IFERROR(IF(INDEX(Hierarchy!$G$2:$G$1295,MATCH($D114,Hierarchy!$A$2:$A$1295,0))="","",INDEX(Hierarchy!$G$2:$G$1295,MATCH($D114,Hierarchy!$A$2:$A$1295,0))),"NODE NOT FOUND"))</f>
        <v/>
      </c>
      <c r="K114" s="7" t="str">
        <f aca="false">IF($D114="","",IFERROR(IF(INDEX(Hierarchy!$H$2:$H$1295,MATCH($D114,Hierarchy!$A$2:$A$1295,0))="","",INDEX(Hierarchy!$H$2:$H$1295,MATCH($D114,Hierarchy!$A$2:$A$1295,0))),"NODE NOT FOUND"))</f>
        <v/>
      </c>
      <c r="L114" s="7" t="str">
        <f aca="false">IF($D114="","",IFERROR(IF(INDEX(Hierarchy!$I$2:$I$1295,MATCH($D114,Hierarchy!$A$2:$A$1295,0))="","",INDEX(Hierarchy!$I$2:$I$1295,MATCH($D114,Hierarchy!$A$2:$A$1295,0))),"NODE NOT FOUND"))</f>
        <v/>
      </c>
      <c r="M114" s="17" t="str">
        <f aca="false">IF(B114="Pre-seeded","Pre-seeded",IF(B114="Review 2026-09-16","Added from review",IF(C114="","New",IF(C114=D114,"","Changed"))))</f>
        <v>Changed</v>
      </c>
      <c r="N114" s="7" t="str">
        <f aca="false">TRIM(SUBSTITUTE(SUBSTITUTE(SUBSTITUTE(" "&amp;TRIM(SUBSTITUTE(SUBSTITUTE(SUBSTITUTE(SUBSTITUTE(SUBSTITUTE(SUBSTITUTE(SUBSTITUTE(SUBSTITUTE(SUBSTITUTE(SUBSTITUTE(SUBSTITUTE(SUBSTITUTE(SUBSTITUTE(SUBSTITUTE(SUBSTITUTE(UPPER(TRIM(A114)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14" s="17" t="str">
        <f aca="false">IF(COUNTIFS($N$2:$N$2000,N114,$D$2:$D$2000,"&lt;&gt;"&amp;D114)&gt;0,"CONFLICT","")</f>
        <v/>
      </c>
      <c r="P114" s="7"/>
    </row>
    <row r="115" customFormat="false" ht="15" hidden="false" customHeight="false" outlineLevel="0" collapsed="false">
      <c r="A115" s="7" t="s">
        <v>1953</v>
      </c>
      <c r="B115" s="7" t="s">
        <v>1954</v>
      </c>
      <c r="C115" s="7"/>
      <c r="D115" s="6" t="s">
        <v>1311</v>
      </c>
      <c r="E115" s="6" t="s">
        <v>1880</v>
      </c>
      <c r="F115" s="7" t="str">
        <f aca="false">IF($D115="","",IFERROR(IF(INDEX(Hierarchy!$B$2:$B$1295,MATCH($D115,Hierarchy!$A$2:$A$1295,0))="","",INDEX(Hierarchy!$B$2:$B$1295,MATCH($D115,Hierarchy!$A$2:$A$1295,0))),"NODE NOT FOUND"))</f>
        <v>Region</v>
      </c>
      <c r="G115" s="7" t="str">
        <f aca="false">IF($D115="","",IFERROR(IF(INDEX(Hierarchy!$D$2:$D$1295,MATCH($D115,Hierarchy!$A$2:$A$1295,0))="","",INDEX(Hierarchy!$D$2:$D$1295,MATCH($D115,Hierarchy!$A$2:$A$1295,0))),"NODE NOT FOUND"))</f>
        <v>APAC</v>
      </c>
      <c r="H115" s="7" t="str">
        <f aca="false">IF($D115="","",IFERROR(IF(INDEX(Hierarchy!$E$2:$E$1295,MATCH($D115,Hierarchy!$A$2:$A$1295,0))="","",INDEX(Hierarchy!$E$2:$E$1295,MATCH($D115,Hierarchy!$A$2:$A$1295,0))),"NODE NOT FOUND"))</f>
        <v/>
      </c>
      <c r="I115" s="7" t="str">
        <f aca="false">IF($D115="","",IFERROR(IF(INDEX(Hierarchy!$F$2:$F$1295,MATCH($D115,Hierarchy!$A$2:$A$1295,0))="","",INDEX(Hierarchy!$F$2:$F$1295,MATCH($D115,Hierarchy!$A$2:$A$1295,0))),"NODE NOT FOUND"))</f>
        <v/>
      </c>
      <c r="J115" s="7" t="str">
        <f aca="false">IF($D115="","",IFERROR(IF(INDEX(Hierarchy!$G$2:$G$1295,MATCH($D115,Hierarchy!$A$2:$A$1295,0))="","",INDEX(Hierarchy!$G$2:$G$1295,MATCH($D115,Hierarchy!$A$2:$A$1295,0))),"NODE NOT FOUND"))</f>
        <v/>
      </c>
      <c r="K115" s="7" t="str">
        <f aca="false">IF($D115="","",IFERROR(IF(INDEX(Hierarchy!$H$2:$H$1295,MATCH($D115,Hierarchy!$A$2:$A$1295,0))="","",INDEX(Hierarchy!$H$2:$H$1295,MATCH($D115,Hierarchy!$A$2:$A$1295,0))),"NODE NOT FOUND"))</f>
        <v/>
      </c>
      <c r="L115" s="7" t="str">
        <f aca="false">IF($D115="","",IFERROR(IF(INDEX(Hierarchy!$I$2:$I$1295,MATCH($D115,Hierarchy!$A$2:$A$1295,0))="","",INDEX(Hierarchy!$I$2:$I$1295,MATCH($D115,Hierarchy!$A$2:$A$1295,0))),"NODE NOT FOUND"))</f>
        <v/>
      </c>
      <c r="M115" s="17" t="str">
        <f aca="false">IF(B115="Pre-seeded","Pre-seeded",IF(B115="Review 2026-09-16","Added from review",IF(C115="","New",IF(C115=D115,"","Changed"))))</f>
        <v>Added from review</v>
      </c>
      <c r="N115" s="7" t="str">
        <f aca="false">TRIM(SUBSTITUTE(SUBSTITUTE(SUBSTITUTE(" "&amp;TRIM(SUBSTITUTE(SUBSTITUTE(SUBSTITUTE(SUBSTITUTE(SUBSTITUTE(SUBSTITUTE(SUBSTITUTE(SUBSTITUTE(SUBSTITUTE(SUBSTITUTE(SUBSTITUTE(SUBSTITUTE(SUBSTITUTE(SUBSTITUTE(SUBSTITUTE(UPPER(TRIM(A115)),"[MEMBER]",""),"{MEMBER}",""),"[MEMBER}",""),"MEMBER]",""),"(A)",""),"""",""),"“",""),"”",""),".",""),":",""),",",""),"–"," "),"-"," "),"/"," "),"&amp;"," AND "))&amp;" "," THE "," ")," TOTAL "," ")," OPERATIONS "," "))</f>
        <v>ASIA PACIFIC AND JAPAN (APJ)</v>
      </c>
      <c r="O115" s="17" t="str">
        <f aca="false">IF(COUNTIFS($N$2:$N$2000,N115,$D$2:$D$2000,"&lt;&gt;"&amp;D115)&gt;0,"CONFLICT","")</f>
        <v/>
      </c>
      <c r="P115" s="7" t="s">
        <v>1955</v>
      </c>
    </row>
    <row r="116" customFormat="false" ht="15" hidden="false" customHeight="false" outlineLevel="0" collapsed="false">
      <c r="A116" s="7" t="s">
        <v>1956</v>
      </c>
      <c r="B116" s="7" t="s">
        <v>1885</v>
      </c>
      <c r="C116" s="7" t="s">
        <v>744</v>
      </c>
      <c r="D116" s="6" t="s">
        <v>1793</v>
      </c>
      <c r="E116" s="6" t="s">
        <v>1880</v>
      </c>
      <c r="F116" s="7" t="str">
        <f aca="false">IF($D116="","",IFERROR(IF(INDEX(Hierarchy!$B$2:$B$1295,MATCH($D116,Hierarchy!$A$2:$A$1295,0))="","",INDEX(Hierarchy!$B$2:$B$1295,MATCH($D116,Hierarchy!$A$2:$A$1295,0))),"NODE NOT FOUND"))</f>
        <v>Multi-region</v>
      </c>
      <c r="G116" s="7" t="str">
        <f aca="false">IF($D116="","",IFERROR(IF(INDEX(Hierarchy!$D$2:$D$1295,MATCH($D116,Hierarchy!$A$2:$A$1295,0))="","",INDEX(Hierarchy!$D$2:$D$1295,MATCH($D116,Hierarchy!$A$2:$A$1295,0))),"NODE NOT FOUND"))</f>
        <v>Multi-region</v>
      </c>
      <c r="H116" s="7" t="str">
        <f aca="false">IF($D116="","",IFERROR(IF(INDEX(Hierarchy!$E$2:$E$1295,MATCH($D116,Hierarchy!$A$2:$A$1295,0))="","",INDEX(Hierarchy!$E$2:$E$1295,MATCH($D116,Hierarchy!$A$2:$A$1295,0))),"NODE NOT FOUND"))</f>
        <v/>
      </c>
      <c r="I116" s="7" t="str">
        <f aca="false">IF($D116="","",IFERROR(IF(INDEX(Hierarchy!$F$2:$F$1295,MATCH($D116,Hierarchy!$A$2:$A$1295,0))="","",INDEX(Hierarchy!$F$2:$F$1295,MATCH($D116,Hierarchy!$A$2:$A$1295,0))),"NODE NOT FOUND"))</f>
        <v/>
      </c>
      <c r="J116" s="7" t="str">
        <f aca="false">IF($D116="","",IFERROR(IF(INDEX(Hierarchy!$G$2:$G$1295,MATCH($D116,Hierarchy!$A$2:$A$1295,0))="","",INDEX(Hierarchy!$G$2:$G$1295,MATCH($D116,Hierarchy!$A$2:$A$1295,0))),"NODE NOT FOUND"))</f>
        <v/>
      </c>
      <c r="K116" s="7" t="str">
        <f aca="false">IF($D116="","",IFERROR(IF(INDEX(Hierarchy!$H$2:$H$1295,MATCH($D116,Hierarchy!$A$2:$A$1295,0))="","",INDEX(Hierarchy!$H$2:$H$1295,MATCH($D116,Hierarchy!$A$2:$A$1295,0))),"NODE NOT FOUND"))</f>
        <v/>
      </c>
      <c r="L116" s="7" t="str">
        <f aca="false">IF($D116="","",IFERROR(IF(INDEX(Hierarchy!$I$2:$I$1295,MATCH($D116,Hierarchy!$A$2:$A$1295,0))="","",INDEX(Hierarchy!$I$2:$I$1295,MATCH($D116,Hierarchy!$A$2:$A$1295,0))),"NODE NOT FOUND"))</f>
        <v/>
      </c>
      <c r="M116" s="17" t="str">
        <f aca="false">IF(B116="Pre-seeded","Pre-seeded",IF(B116="Review 2026-09-16","Added from review",IF(C116="","New",IF(C116=D116,"","Changed"))))</f>
        <v>Changed</v>
      </c>
      <c r="N116" s="7" t="str">
        <f aca="false">TRIM(SUBSTITUTE(SUBSTITUTE(SUBSTITUTE(" "&amp;TRIM(SUBSTITUTE(SUBSTITUTE(SUBSTITUTE(SUBSTITUTE(SUBSTITUTE(SUBSTITUTE(SUBSTITUTE(SUBSTITUTE(SUBSTITUTE(SUBSTITUTE(SUBSTITUTE(SUBSTITUTE(SUBSTITUTE(SUBSTITUTE(SUBSTITUTE(UPPER(TRIM(A116)),"[MEMBER]",""),"{MEMBER}",""),"[MEMBER}",""),"MEMBER]",""),"(A)",""),"""",""),"“",""),"”",""),".",""),":",""),",",""),"–"," "),"-"," "),"/"," "),"&amp;"," AND "))&amp;" "," THE "," ")," TOTAL "," ")," OPERATIONS "," "))</f>
        <v>ASIA PACIFIC AND LATIN AMERICA (APLA)</v>
      </c>
      <c r="O116" s="17" t="str">
        <f aca="false">IF(COUNTIFS($N$2:$N$2000,N116,$D$2:$D$2000,"&lt;&gt;"&amp;D116)&gt;0,"CONFLICT","")</f>
        <v/>
      </c>
      <c r="P116" s="7" t="s">
        <v>1957</v>
      </c>
    </row>
    <row r="117" customFormat="false" ht="15" hidden="false" customHeight="false" outlineLevel="0" collapsed="false">
      <c r="A117" s="7" t="s">
        <v>1958</v>
      </c>
      <c r="B117" s="7" t="s">
        <v>1882</v>
      </c>
      <c r="C117" s="7" t="s">
        <v>1926</v>
      </c>
      <c r="D117" s="6" t="s">
        <v>1311</v>
      </c>
      <c r="E117" s="6" t="s">
        <v>1880</v>
      </c>
      <c r="F117" s="7" t="str">
        <f aca="false">IF($D117="","",IFERROR(IF(INDEX(Hierarchy!$B$2:$B$1295,MATCH($D117,Hierarchy!$A$2:$A$1295,0))="","",INDEX(Hierarchy!$B$2:$B$1295,MATCH($D117,Hierarchy!$A$2:$A$1295,0))),"NODE NOT FOUND"))</f>
        <v>Region</v>
      </c>
      <c r="G117" s="7" t="str">
        <f aca="false">IF($D117="","",IFERROR(IF(INDEX(Hierarchy!$D$2:$D$1295,MATCH($D117,Hierarchy!$A$2:$A$1295,0))="","",INDEX(Hierarchy!$D$2:$D$1295,MATCH($D117,Hierarchy!$A$2:$A$1295,0))),"NODE NOT FOUND"))</f>
        <v>APAC</v>
      </c>
      <c r="H117" s="7" t="str">
        <f aca="false">IF($D117="","",IFERROR(IF(INDEX(Hierarchy!$E$2:$E$1295,MATCH($D117,Hierarchy!$A$2:$A$1295,0))="","",INDEX(Hierarchy!$E$2:$E$1295,MATCH($D117,Hierarchy!$A$2:$A$1295,0))),"NODE NOT FOUND"))</f>
        <v/>
      </c>
      <c r="I117" s="7" t="str">
        <f aca="false">IF($D117="","",IFERROR(IF(INDEX(Hierarchy!$F$2:$F$1295,MATCH($D117,Hierarchy!$A$2:$A$1295,0))="","",INDEX(Hierarchy!$F$2:$F$1295,MATCH($D117,Hierarchy!$A$2:$A$1295,0))),"NODE NOT FOUND"))</f>
        <v/>
      </c>
      <c r="J117" s="7" t="str">
        <f aca="false">IF($D117="","",IFERROR(IF(INDEX(Hierarchy!$G$2:$G$1295,MATCH($D117,Hierarchy!$A$2:$A$1295,0))="","",INDEX(Hierarchy!$G$2:$G$1295,MATCH($D117,Hierarchy!$A$2:$A$1295,0))),"NODE NOT FOUND"))</f>
        <v/>
      </c>
      <c r="K117" s="7" t="str">
        <f aca="false">IF($D117="","",IFERROR(IF(INDEX(Hierarchy!$H$2:$H$1295,MATCH($D117,Hierarchy!$A$2:$A$1295,0))="","",INDEX(Hierarchy!$H$2:$H$1295,MATCH($D117,Hierarchy!$A$2:$A$1295,0))),"NODE NOT FOUND"))</f>
        <v/>
      </c>
      <c r="L117" s="7" t="str">
        <f aca="false">IF($D117="","",IFERROR(IF(INDEX(Hierarchy!$I$2:$I$1295,MATCH($D117,Hierarchy!$A$2:$A$1295,0))="","",INDEX(Hierarchy!$I$2:$I$1295,MATCH($D117,Hierarchy!$A$2:$A$1295,0))),"NODE NOT FOUND"))</f>
        <v/>
      </c>
      <c r="M117" s="17" t="str">
        <f aca="false">IF(B117="Pre-seeded","Pre-seeded",IF(B117="Review 2026-09-16","Added from review",IF(C117="","New",IF(C117=D117,"","Changed"))))</f>
        <v>Changed</v>
      </c>
      <c r="N117" s="7" t="str">
        <f aca="false">TRIM(SUBSTITUTE(SUBSTITUTE(SUBSTITUTE(" "&amp;TRIM(SUBSTITUTE(SUBSTITUTE(SUBSTITUTE(SUBSTITUTE(SUBSTITUTE(SUBSTITUTE(SUBSTITUTE(SUBSTITUTE(SUBSTITUTE(SUBSTITUTE(SUBSTITUTE(SUBSTITUTE(SUBSTITUTE(SUBSTITUTE(SUBSTITUTE(UPPER(TRIM(A117)),"[MEMBER]",""),"{MEMBER}",""),"[MEMBER}",""),"MEMBER]",""),"(A)",""),"""",""),"“",""),"”",""),".",""),":",""),",",""),"–"," "),"-"," "),"/"," "),"&amp;"," AND "))&amp;" "," THE "," ")," TOTAL "," ")," OPERATIONS "," "))</f>
        <v>ASIA PACIFIC (APAC)</v>
      </c>
      <c r="O117" s="17" t="str">
        <f aca="false">IF(COUNTIFS($N$2:$N$2000,N117,$D$2:$D$2000,"&lt;&gt;"&amp;D117)&gt;0,"CONFLICT","")</f>
        <v/>
      </c>
      <c r="P117" s="7"/>
    </row>
    <row r="118" customFormat="false" ht="15" hidden="false" customHeight="false" outlineLevel="0" collapsed="false">
      <c r="A118" s="7" t="s">
        <v>1926</v>
      </c>
      <c r="B118" s="7" t="s">
        <v>1882</v>
      </c>
      <c r="C118" s="7" t="s">
        <v>1926</v>
      </c>
      <c r="D118" s="6" t="s">
        <v>1311</v>
      </c>
      <c r="E118" s="6" t="s">
        <v>1880</v>
      </c>
      <c r="F118" s="7" t="str">
        <f aca="false">IF($D118="","",IFERROR(IF(INDEX(Hierarchy!$B$2:$B$1295,MATCH($D118,Hierarchy!$A$2:$A$1295,0))="","",INDEX(Hierarchy!$B$2:$B$1295,MATCH($D118,Hierarchy!$A$2:$A$1295,0))),"NODE NOT FOUND"))</f>
        <v>Region</v>
      </c>
      <c r="G118" s="7" t="str">
        <f aca="false">IF($D118="","",IFERROR(IF(INDEX(Hierarchy!$D$2:$D$1295,MATCH($D118,Hierarchy!$A$2:$A$1295,0))="","",INDEX(Hierarchy!$D$2:$D$1295,MATCH($D118,Hierarchy!$A$2:$A$1295,0))),"NODE NOT FOUND"))</f>
        <v>APAC</v>
      </c>
      <c r="H118" s="7" t="str">
        <f aca="false">IF($D118="","",IFERROR(IF(INDEX(Hierarchy!$E$2:$E$1295,MATCH($D118,Hierarchy!$A$2:$A$1295,0))="","",INDEX(Hierarchy!$E$2:$E$1295,MATCH($D118,Hierarchy!$A$2:$A$1295,0))),"NODE NOT FOUND"))</f>
        <v/>
      </c>
      <c r="I118" s="7" t="str">
        <f aca="false">IF($D118="","",IFERROR(IF(INDEX(Hierarchy!$F$2:$F$1295,MATCH($D118,Hierarchy!$A$2:$A$1295,0))="","",INDEX(Hierarchy!$F$2:$F$1295,MATCH($D118,Hierarchy!$A$2:$A$1295,0))),"NODE NOT FOUND"))</f>
        <v/>
      </c>
      <c r="J118" s="7" t="str">
        <f aca="false">IF($D118="","",IFERROR(IF(INDEX(Hierarchy!$G$2:$G$1295,MATCH($D118,Hierarchy!$A$2:$A$1295,0))="","",INDEX(Hierarchy!$G$2:$G$1295,MATCH($D118,Hierarchy!$A$2:$A$1295,0))),"NODE NOT FOUND"))</f>
        <v/>
      </c>
      <c r="K118" s="7" t="str">
        <f aca="false">IF($D118="","",IFERROR(IF(INDEX(Hierarchy!$H$2:$H$1295,MATCH($D118,Hierarchy!$A$2:$A$1295,0))="","",INDEX(Hierarchy!$H$2:$H$1295,MATCH($D118,Hierarchy!$A$2:$A$1295,0))),"NODE NOT FOUND"))</f>
        <v/>
      </c>
      <c r="L118" s="7" t="str">
        <f aca="false">IF($D118="","",IFERROR(IF(INDEX(Hierarchy!$I$2:$I$1295,MATCH($D118,Hierarchy!$A$2:$A$1295,0))="","",INDEX(Hierarchy!$I$2:$I$1295,MATCH($D118,Hierarchy!$A$2:$A$1295,0))),"NODE NOT FOUND"))</f>
        <v/>
      </c>
      <c r="M118" s="17" t="str">
        <f aca="false">IF(B118="Pre-seeded","Pre-seeded",IF(B118="Review 2026-09-16","Added from review",IF(C118="","New",IF(C118=D118,"","Changed"))))</f>
        <v>Changed</v>
      </c>
      <c r="N118" s="7" t="str">
        <f aca="false">TRIM(SUBSTITUTE(SUBSTITUTE(SUBSTITUTE(" "&amp;TRIM(SUBSTITUTE(SUBSTITUTE(SUBSTITUTE(SUBSTITUTE(SUBSTITUTE(SUBSTITUTE(SUBSTITUTE(SUBSTITUTE(SUBSTITUTE(SUBSTITUTE(SUBSTITUTE(SUBSTITUTE(SUBSTITUTE(SUBSTITUTE(SUBSTITUTE(UPPER(TRIM(A118)),"[MEMBER]",""),"{MEMBER}",""),"[MEMBER}",""),"MEMBER]",""),"(A)",""),"""",""),"“",""),"”",""),".",""),":",""),",",""),"–"," "),"-"," "),"/"," "),"&amp;"," AND "))&amp;" "," THE "," ")," TOTAL "," ")," OPERATIONS "," "))</f>
        <v>ASIA PACIFIC (APAC)</v>
      </c>
      <c r="O118" s="17" t="str">
        <f aca="false">IF(COUNTIFS($N$2:$N$2000,N118,$D$2:$D$2000,"&lt;&gt;"&amp;D118)&gt;0,"CONFLICT","")</f>
        <v/>
      </c>
      <c r="P118" s="7"/>
    </row>
    <row r="119" customFormat="false" ht="15" hidden="false" customHeight="false" outlineLevel="0" collapsed="false">
      <c r="A119" s="7" t="s">
        <v>1959</v>
      </c>
      <c r="B119" s="7" t="s">
        <v>1885</v>
      </c>
      <c r="C119" s="7" t="s">
        <v>744</v>
      </c>
      <c r="D119" s="6" t="s">
        <v>1311</v>
      </c>
      <c r="E119" s="6" t="s">
        <v>1891</v>
      </c>
      <c r="F119" s="7" t="str">
        <f aca="false">IF($D119="","",IFERROR(IF(INDEX(Hierarchy!$B$2:$B$1295,MATCH($D119,Hierarchy!$A$2:$A$1295,0))="","",INDEX(Hierarchy!$B$2:$B$1295,MATCH($D119,Hierarchy!$A$2:$A$1295,0))),"NODE NOT FOUND"))</f>
        <v>Region</v>
      </c>
      <c r="G119" s="7" t="str">
        <f aca="false">IF($D119="","",IFERROR(IF(INDEX(Hierarchy!$D$2:$D$1295,MATCH($D119,Hierarchy!$A$2:$A$1295,0))="","",INDEX(Hierarchy!$D$2:$D$1295,MATCH($D119,Hierarchy!$A$2:$A$1295,0))),"NODE NOT FOUND"))</f>
        <v>APAC</v>
      </c>
      <c r="H119" s="7" t="str">
        <f aca="false">IF($D119="","",IFERROR(IF(INDEX(Hierarchy!$E$2:$E$1295,MATCH($D119,Hierarchy!$A$2:$A$1295,0))="","",INDEX(Hierarchy!$E$2:$E$1295,MATCH($D119,Hierarchy!$A$2:$A$1295,0))),"NODE NOT FOUND"))</f>
        <v/>
      </c>
      <c r="I119" s="7" t="str">
        <f aca="false">IF($D119="","",IFERROR(IF(INDEX(Hierarchy!$F$2:$F$1295,MATCH($D119,Hierarchy!$A$2:$A$1295,0))="","",INDEX(Hierarchy!$F$2:$F$1295,MATCH($D119,Hierarchy!$A$2:$A$1295,0))),"NODE NOT FOUND"))</f>
        <v/>
      </c>
      <c r="J119" s="7" t="str">
        <f aca="false">IF($D119="","",IFERROR(IF(INDEX(Hierarchy!$G$2:$G$1295,MATCH($D119,Hierarchy!$A$2:$A$1295,0))="","",INDEX(Hierarchy!$G$2:$G$1295,MATCH($D119,Hierarchy!$A$2:$A$1295,0))),"NODE NOT FOUND"))</f>
        <v/>
      </c>
      <c r="K119" s="7" t="str">
        <f aca="false">IF($D119="","",IFERROR(IF(INDEX(Hierarchy!$H$2:$H$1295,MATCH($D119,Hierarchy!$A$2:$A$1295,0))="","",INDEX(Hierarchy!$H$2:$H$1295,MATCH($D119,Hierarchy!$A$2:$A$1295,0))),"NODE NOT FOUND"))</f>
        <v/>
      </c>
      <c r="L119" s="7" t="str">
        <f aca="false">IF($D119="","",IFERROR(IF(INDEX(Hierarchy!$I$2:$I$1295,MATCH($D119,Hierarchy!$A$2:$A$1295,0))="","",INDEX(Hierarchy!$I$2:$I$1295,MATCH($D119,Hierarchy!$A$2:$A$1295,0))),"NODE NOT FOUND"))</f>
        <v/>
      </c>
      <c r="M119" s="17" t="str">
        <f aca="false">IF(B119="Pre-seeded","Pre-seeded",IF(B119="Review 2026-09-16","Added from review",IF(C119="","New",IF(C119=D119,"","Changed"))))</f>
        <v>Changed</v>
      </c>
      <c r="N119" s="7" t="str">
        <f aca="false">TRIM(SUBSTITUTE(SUBSTITUTE(SUBSTITUTE(" "&amp;TRIM(SUBSTITUTE(SUBSTITUTE(SUBSTITUTE(SUBSTITUTE(SUBSTITUTE(SUBSTITUTE(SUBSTITUTE(SUBSTITUTE(SUBSTITUTE(SUBSTITUTE(SUBSTITUTE(SUBSTITUTE(SUBSTITUTE(SUBSTITUTE(SUBSTITUTE(UPPER(TRIM(A119)),"[MEMBER]",""),"{MEMBER}",""),"[MEMBER}",""),"MEMBER]",""),"(A)",""),"""",""),"“",""),"”",""),".",""),":",""),",",""),"–"," "),"-"," "),"/"," "),"&amp;"," AND "))&amp;" "," THE "," ")," TOTAL "," ")," OPERATIONS "," "))</f>
        <v>ASIA PACIFIC (EXCLUDING CHINA AND JAPAN)</v>
      </c>
      <c r="O119" s="17" t="str">
        <f aca="false">IF(COUNTIFS($N$2:$N$2000,N119,$D$2:$D$2000,"&lt;&gt;"&amp;D119)&gt;0,"CONFLICT","")</f>
        <v/>
      </c>
      <c r="P119" s="7"/>
    </row>
    <row r="120" customFormat="false" ht="15" hidden="false" customHeight="false" outlineLevel="0" collapsed="false">
      <c r="A120" s="7" t="s">
        <v>1960</v>
      </c>
      <c r="B120" s="7" t="s">
        <v>1885</v>
      </c>
      <c r="C120" s="7" t="s">
        <v>744</v>
      </c>
      <c r="D120" s="6" t="s">
        <v>1311</v>
      </c>
      <c r="E120" s="6" t="s">
        <v>1891</v>
      </c>
      <c r="F120" s="7" t="str">
        <f aca="false">IF($D120="","",IFERROR(IF(INDEX(Hierarchy!$B$2:$B$1295,MATCH($D120,Hierarchy!$A$2:$A$1295,0))="","",INDEX(Hierarchy!$B$2:$B$1295,MATCH($D120,Hierarchy!$A$2:$A$1295,0))),"NODE NOT FOUND"))</f>
        <v>Region</v>
      </c>
      <c r="G120" s="7" t="str">
        <f aca="false">IF($D120="","",IFERROR(IF(INDEX(Hierarchy!$D$2:$D$1295,MATCH($D120,Hierarchy!$A$2:$A$1295,0))="","",INDEX(Hierarchy!$D$2:$D$1295,MATCH($D120,Hierarchy!$A$2:$A$1295,0))),"NODE NOT FOUND"))</f>
        <v>APAC</v>
      </c>
      <c r="H120" s="7" t="str">
        <f aca="false">IF($D120="","",IFERROR(IF(INDEX(Hierarchy!$E$2:$E$1295,MATCH($D120,Hierarchy!$A$2:$A$1295,0))="","",INDEX(Hierarchy!$E$2:$E$1295,MATCH($D120,Hierarchy!$A$2:$A$1295,0))),"NODE NOT FOUND"))</f>
        <v/>
      </c>
      <c r="I120" s="7" t="str">
        <f aca="false">IF($D120="","",IFERROR(IF(INDEX(Hierarchy!$F$2:$F$1295,MATCH($D120,Hierarchy!$A$2:$A$1295,0))="","",INDEX(Hierarchy!$F$2:$F$1295,MATCH($D120,Hierarchy!$A$2:$A$1295,0))),"NODE NOT FOUND"))</f>
        <v/>
      </c>
      <c r="J120" s="7" t="str">
        <f aca="false">IF($D120="","",IFERROR(IF(INDEX(Hierarchy!$G$2:$G$1295,MATCH($D120,Hierarchy!$A$2:$A$1295,0))="","",INDEX(Hierarchy!$G$2:$G$1295,MATCH($D120,Hierarchy!$A$2:$A$1295,0))),"NODE NOT FOUND"))</f>
        <v/>
      </c>
      <c r="K120" s="7" t="str">
        <f aca="false">IF($D120="","",IFERROR(IF(INDEX(Hierarchy!$H$2:$H$1295,MATCH($D120,Hierarchy!$A$2:$A$1295,0))="","",INDEX(Hierarchy!$H$2:$H$1295,MATCH($D120,Hierarchy!$A$2:$A$1295,0))),"NODE NOT FOUND"))</f>
        <v/>
      </c>
      <c r="L120" s="7" t="str">
        <f aca="false">IF($D120="","",IFERROR(IF(INDEX(Hierarchy!$I$2:$I$1295,MATCH($D120,Hierarchy!$A$2:$A$1295,0))="","",INDEX(Hierarchy!$I$2:$I$1295,MATCH($D120,Hierarchy!$A$2:$A$1295,0))),"NODE NOT FOUND"))</f>
        <v/>
      </c>
      <c r="M120" s="17" t="str">
        <f aca="false">IF(B120="Pre-seeded","Pre-seeded",IF(B120="Review 2026-09-16","Added from review",IF(C120="","New",IF(C120=D120,"","Changed"))))</f>
        <v>Changed</v>
      </c>
      <c r="N120" s="7" t="str">
        <f aca="false">TRIM(SUBSTITUTE(SUBSTITUTE(SUBSTITUTE(" "&amp;TRIM(SUBSTITUTE(SUBSTITUTE(SUBSTITUTE(SUBSTITUTE(SUBSTITUTE(SUBSTITUTE(SUBSTITUTE(SUBSTITUTE(SUBSTITUTE(SUBSTITUTE(SUBSTITUTE(SUBSTITUTE(SUBSTITUTE(SUBSTITUTE(SUBSTITUTE(UPPER(TRIM(A120)),"[MEMBER]",""),"{MEMBER}",""),"[MEMBER}",""),"MEMBER]",""),"(A)",""),"""",""),"“",""),"”",""),".",""),":",""),",",""),"–"," "),"-"," "),"/"," "),"&amp;"," AND "))&amp;" "," THE "," ")," TOTAL "," ")," OPERATIONS "," "))</f>
        <v>ASIA PACIFIC (EXCLUDING CHINA TAIWAN AND JAPAN)</v>
      </c>
      <c r="O120" s="17" t="str">
        <f aca="false">IF(COUNTIFS($N$2:$N$2000,N120,$D$2:$D$2000,"&lt;&gt;"&amp;D120)&gt;0,"CONFLICT","")</f>
        <v/>
      </c>
      <c r="P120" s="7"/>
    </row>
    <row r="121" customFormat="false" ht="15" hidden="false" customHeight="false" outlineLevel="0" collapsed="false">
      <c r="A121" s="7" t="s">
        <v>1961</v>
      </c>
      <c r="B121" s="7" t="s">
        <v>1885</v>
      </c>
      <c r="C121" s="7" t="s">
        <v>744</v>
      </c>
      <c r="D121" s="6" t="s">
        <v>1311</v>
      </c>
      <c r="E121" s="6" t="s">
        <v>1880</v>
      </c>
      <c r="F121" s="7" t="str">
        <f aca="false">IF($D121="","",IFERROR(IF(INDEX(Hierarchy!$B$2:$B$1295,MATCH($D121,Hierarchy!$A$2:$A$1295,0))="","",INDEX(Hierarchy!$B$2:$B$1295,MATCH($D121,Hierarchy!$A$2:$A$1295,0))),"NODE NOT FOUND"))</f>
        <v>Region</v>
      </c>
      <c r="G121" s="7" t="str">
        <f aca="false">IF($D121="","",IFERROR(IF(INDEX(Hierarchy!$D$2:$D$1295,MATCH($D121,Hierarchy!$A$2:$A$1295,0))="","",INDEX(Hierarchy!$D$2:$D$1295,MATCH($D121,Hierarchy!$A$2:$A$1295,0))),"NODE NOT FOUND"))</f>
        <v>APAC</v>
      </c>
      <c r="H121" s="7" t="str">
        <f aca="false">IF($D121="","",IFERROR(IF(INDEX(Hierarchy!$E$2:$E$1295,MATCH($D121,Hierarchy!$A$2:$A$1295,0))="","",INDEX(Hierarchy!$E$2:$E$1295,MATCH($D121,Hierarchy!$A$2:$A$1295,0))),"NODE NOT FOUND"))</f>
        <v/>
      </c>
      <c r="I121" s="7" t="str">
        <f aca="false">IF($D121="","",IFERROR(IF(INDEX(Hierarchy!$F$2:$F$1295,MATCH($D121,Hierarchy!$A$2:$A$1295,0))="","",INDEX(Hierarchy!$F$2:$F$1295,MATCH($D121,Hierarchy!$A$2:$A$1295,0))),"NODE NOT FOUND"))</f>
        <v/>
      </c>
      <c r="J121" s="7" t="str">
        <f aca="false">IF($D121="","",IFERROR(IF(INDEX(Hierarchy!$G$2:$G$1295,MATCH($D121,Hierarchy!$A$2:$A$1295,0))="","",INDEX(Hierarchy!$G$2:$G$1295,MATCH($D121,Hierarchy!$A$2:$A$1295,0))),"NODE NOT FOUND"))</f>
        <v/>
      </c>
      <c r="K121" s="7" t="str">
        <f aca="false">IF($D121="","",IFERROR(IF(INDEX(Hierarchy!$H$2:$H$1295,MATCH($D121,Hierarchy!$A$2:$A$1295,0))="","",INDEX(Hierarchy!$H$2:$H$1295,MATCH($D121,Hierarchy!$A$2:$A$1295,0))),"NODE NOT FOUND"))</f>
        <v/>
      </c>
      <c r="L121" s="7" t="str">
        <f aca="false">IF($D121="","",IFERROR(IF(INDEX(Hierarchy!$I$2:$I$1295,MATCH($D121,Hierarchy!$A$2:$A$1295,0))="","",INDEX(Hierarchy!$I$2:$I$1295,MATCH($D121,Hierarchy!$A$2:$A$1295,0))),"NODE NOT FOUND"))</f>
        <v/>
      </c>
      <c r="M121" s="17" t="str">
        <f aca="false">IF(B121="Pre-seeded","Pre-seeded",IF(B121="Review 2026-09-16","Added from review",IF(C121="","New",IF(C121=D121,"","Changed"))))</f>
        <v>Changed</v>
      </c>
      <c r="N121" s="7" t="str">
        <f aca="false">TRIM(SUBSTITUTE(SUBSTITUTE(SUBSTITUTE(" "&amp;TRIM(SUBSTITUTE(SUBSTITUTE(SUBSTITUTE(SUBSTITUTE(SUBSTITUTE(SUBSTITUTE(SUBSTITUTE(SUBSTITUTE(SUBSTITUTE(SUBSTITUTE(SUBSTITUTE(SUBSTITUTE(SUBSTITUTE(SUBSTITUTE(SUBSTITUTE(UPPER(TRIM(A121)),"[MEMBER]",""),"{MEMBER}",""),"[MEMBER}",""),"MEMBER]",""),"(A)",""),"""",""),"“",""),"”",""),".",""),":",""),",",""),"–"," "),"-"," "),"/"," "),"&amp;"," AND "))&amp;" "," THE "," ")," TOTAL "," ")," OPERATIONS "," "))</f>
        <v>ASIA PACIFIC (INCLUDING OCEANIA)</v>
      </c>
      <c r="O121" s="17" t="str">
        <f aca="false">IF(COUNTIFS($N$2:$N$2000,N121,$D$2:$D$2000,"&lt;&gt;"&amp;D121)&gt;0,"CONFLICT","")</f>
        <v/>
      </c>
      <c r="P121" s="7"/>
    </row>
    <row r="122" customFormat="false" ht="15" hidden="false" customHeight="false" outlineLevel="0" collapsed="false">
      <c r="A122" s="7" t="s">
        <v>1962</v>
      </c>
      <c r="B122" s="7" t="s">
        <v>1885</v>
      </c>
      <c r="C122" s="7" t="s">
        <v>744</v>
      </c>
      <c r="D122" s="6" t="s">
        <v>1311</v>
      </c>
      <c r="E122" s="6" t="s">
        <v>1891</v>
      </c>
      <c r="F122" s="7" t="str">
        <f aca="false">IF($D122="","",IFERROR(IF(INDEX(Hierarchy!$B$2:$B$1295,MATCH($D122,Hierarchy!$A$2:$A$1295,0))="","",INDEX(Hierarchy!$B$2:$B$1295,MATCH($D122,Hierarchy!$A$2:$A$1295,0))),"NODE NOT FOUND"))</f>
        <v>Region</v>
      </c>
      <c r="G122" s="7" t="str">
        <f aca="false">IF($D122="","",IFERROR(IF(INDEX(Hierarchy!$D$2:$D$1295,MATCH($D122,Hierarchy!$A$2:$A$1295,0))="","",INDEX(Hierarchy!$D$2:$D$1295,MATCH($D122,Hierarchy!$A$2:$A$1295,0))),"NODE NOT FOUND"))</f>
        <v>APAC</v>
      </c>
      <c r="H122" s="7" t="str">
        <f aca="false">IF($D122="","",IFERROR(IF(INDEX(Hierarchy!$E$2:$E$1295,MATCH($D122,Hierarchy!$A$2:$A$1295,0))="","",INDEX(Hierarchy!$E$2:$E$1295,MATCH($D122,Hierarchy!$A$2:$A$1295,0))),"NODE NOT FOUND"))</f>
        <v/>
      </c>
      <c r="I122" s="7" t="str">
        <f aca="false">IF($D122="","",IFERROR(IF(INDEX(Hierarchy!$F$2:$F$1295,MATCH($D122,Hierarchy!$A$2:$A$1295,0))="","",INDEX(Hierarchy!$F$2:$F$1295,MATCH($D122,Hierarchy!$A$2:$A$1295,0))),"NODE NOT FOUND"))</f>
        <v/>
      </c>
      <c r="J122" s="7" t="str">
        <f aca="false">IF($D122="","",IFERROR(IF(INDEX(Hierarchy!$G$2:$G$1295,MATCH($D122,Hierarchy!$A$2:$A$1295,0))="","",INDEX(Hierarchy!$G$2:$G$1295,MATCH($D122,Hierarchy!$A$2:$A$1295,0))),"NODE NOT FOUND"))</f>
        <v/>
      </c>
      <c r="K122" s="7" t="str">
        <f aca="false">IF($D122="","",IFERROR(IF(INDEX(Hierarchy!$H$2:$H$1295,MATCH($D122,Hierarchy!$A$2:$A$1295,0))="","",INDEX(Hierarchy!$H$2:$H$1295,MATCH($D122,Hierarchy!$A$2:$A$1295,0))),"NODE NOT FOUND"))</f>
        <v/>
      </c>
      <c r="L122" s="7" t="str">
        <f aca="false">IF($D122="","",IFERROR(IF(INDEX(Hierarchy!$I$2:$I$1295,MATCH($D122,Hierarchy!$A$2:$A$1295,0))="","",INDEX(Hierarchy!$I$2:$I$1295,MATCH($D122,Hierarchy!$A$2:$A$1295,0))),"NODE NOT FOUND"))</f>
        <v/>
      </c>
      <c r="M122" s="17" t="str">
        <f aca="false">IF(B122="Pre-seeded","Pre-seeded",IF(B122="Review 2026-09-16","Added from review",IF(C122="","New",IF(C122=D122,"","Changed"))))</f>
        <v>Changed</v>
      </c>
      <c r="N122" s="7" t="str">
        <f aca="false">TRIM(SUBSTITUTE(SUBSTITUTE(SUBSTITUTE(" "&amp;TRIM(SUBSTITUTE(SUBSTITUTE(SUBSTITUTE(SUBSTITUTE(SUBSTITUTE(SUBSTITUTE(SUBSTITUTE(SUBSTITUTE(SUBSTITUTE(SUBSTITUTE(SUBSTITUTE(SUBSTITUTE(SUBSTITUTE(SUBSTITUTE(SUBSTITUTE(UPPER(TRIM(A122)),"[MEMBER]",""),"{MEMBER}",""),"[MEMBER}",""),"MEMBER]",""),"(A)",""),"""",""),"“",""),"”",""),".",""),":",""),",",""),"–"," "),"-"," "),"/"," "),"&amp;"," AND "))&amp;" "," THE "," ")," TOTAL "," ")," OPERATIONS "," "))</f>
        <v>ASIA PACIFIC (OTHER THAN CHINA AND JAPAN)</v>
      </c>
      <c r="O122" s="17" t="str">
        <f aca="false">IF(COUNTIFS($N$2:$N$2000,N122,$D$2:$D$2000,"&lt;&gt;"&amp;D122)&gt;0,"CONFLICT","")</f>
        <v/>
      </c>
      <c r="P122" s="7"/>
    </row>
    <row r="123" customFormat="false" ht="15" hidden="false" customHeight="false" outlineLevel="0" collapsed="false">
      <c r="A123" s="7" t="s">
        <v>1963</v>
      </c>
      <c r="B123" s="7" t="s">
        <v>1885</v>
      </c>
      <c r="C123" s="7" t="s">
        <v>744</v>
      </c>
      <c r="D123" s="6" t="s">
        <v>1311</v>
      </c>
      <c r="E123" s="6" t="s">
        <v>1891</v>
      </c>
      <c r="F123" s="7" t="str">
        <f aca="false">IF($D123="","",IFERROR(IF(INDEX(Hierarchy!$B$2:$B$1295,MATCH($D123,Hierarchy!$A$2:$A$1295,0))="","",INDEX(Hierarchy!$B$2:$B$1295,MATCH($D123,Hierarchy!$A$2:$A$1295,0))),"NODE NOT FOUND"))</f>
        <v>Region</v>
      </c>
      <c r="G123" s="7" t="str">
        <f aca="false">IF($D123="","",IFERROR(IF(INDEX(Hierarchy!$D$2:$D$1295,MATCH($D123,Hierarchy!$A$2:$A$1295,0))="","",INDEX(Hierarchy!$D$2:$D$1295,MATCH($D123,Hierarchy!$A$2:$A$1295,0))),"NODE NOT FOUND"))</f>
        <v>APAC</v>
      </c>
      <c r="H123" s="7" t="str">
        <f aca="false">IF($D123="","",IFERROR(IF(INDEX(Hierarchy!$E$2:$E$1295,MATCH($D123,Hierarchy!$A$2:$A$1295,0))="","",INDEX(Hierarchy!$E$2:$E$1295,MATCH($D123,Hierarchy!$A$2:$A$1295,0))),"NODE NOT FOUND"))</f>
        <v/>
      </c>
      <c r="I123" s="7" t="str">
        <f aca="false">IF($D123="","",IFERROR(IF(INDEX(Hierarchy!$F$2:$F$1295,MATCH($D123,Hierarchy!$A$2:$A$1295,0))="","",INDEX(Hierarchy!$F$2:$F$1295,MATCH($D123,Hierarchy!$A$2:$A$1295,0))),"NODE NOT FOUND"))</f>
        <v/>
      </c>
      <c r="J123" s="7" t="str">
        <f aca="false">IF($D123="","",IFERROR(IF(INDEX(Hierarchy!$G$2:$G$1295,MATCH($D123,Hierarchy!$A$2:$A$1295,0))="","",INDEX(Hierarchy!$G$2:$G$1295,MATCH($D123,Hierarchy!$A$2:$A$1295,0))),"NODE NOT FOUND"))</f>
        <v/>
      </c>
      <c r="K123" s="7" t="str">
        <f aca="false">IF($D123="","",IFERROR(IF(INDEX(Hierarchy!$H$2:$H$1295,MATCH($D123,Hierarchy!$A$2:$A$1295,0))="","",INDEX(Hierarchy!$H$2:$H$1295,MATCH($D123,Hierarchy!$A$2:$A$1295,0))),"NODE NOT FOUND"))</f>
        <v/>
      </c>
      <c r="L123" s="7" t="str">
        <f aca="false">IF($D123="","",IFERROR(IF(INDEX(Hierarchy!$I$2:$I$1295,MATCH($D123,Hierarchy!$A$2:$A$1295,0))="","",INDEX(Hierarchy!$I$2:$I$1295,MATCH($D123,Hierarchy!$A$2:$A$1295,0))),"NODE NOT FOUND"))</f>
        <v/>
      </c>
      <c r="M123" s="17" t="str">
        <f aca="false">IF(B123="Pre-seeded","Pre-seeded",IF(B123="Review 2026-09-16","Added from review",IF(C123="","New",IF(C123=D123,"","Changed"))))</f>
        <v>Changed</v>
      </c>
      <c r="N123" s="7" t="str">
        <f aca="false">TRIM(SUBSTITUTE(SUBSTITUTE(SUBSTITUTE(" "&amp;TRIM(SUBSTITUTE(SUBSTITUTE(SUBSTITUTE(SUBSTITUTE(SUBSTITUTE(SUBSTITUTE(SUBSTITUTE(SUBSTITUTE(SUBSTITUTE(SUBSTITUTE(SUBSTITUTE(SUBSTITUTE(SUBSTITUTE(SUBSTITUTE(SUBSTITUTE(UPPER(TRIM(A123)),"[MEMBER]",""),"{MEMBER}",""),"[MEMBER}",""),"MEMBER]",""),"(A)",""),"""",""),"“",""),"”",""),".",""),":",""),",",""),"–"," "),"-"," "),"/"," "),"&amp;"," AND "))&amp;" "," THE "," ")," TOTAL "," ")," OPERATIONS "," "))</f>
        <v>ASIA PACIFIC (OTHER THAN JAPAN AND CHINA)</v>
      </c>
      <c r="O123" s="17" t="str">
        <f aca="false">IF(COUNTIFS($N$2:$N$2000,N123,$D$2:$D$2000,"&lt;&gt;"&amp;D123)&gt;0,"CONFLICT","")</f>
        <v/>
      </c>
      <c r="P123" s="7"/>
    </row>
    <row r="124" customFormat="false" ht="15" hidden="false" customHeight="false" outlineLevel="0" collapsed="false">
      <c r="A124" s="7" t="s">
        <v>1964</v>
      </c>
      <c r="B124" s="7" t="s">
        <v>1882</v>
      </c>
      <c r="C124" s="7" t="s">
        <v>1926</v>
      </c>
      <c r="D124" s="6" t="s">
        <v>1311</v>
      </c>
      <c r="E124" s="6" t="s">
        <v>1880</v>
      </c>
      <c r="F124" s="7" t="str">
        <f aca="false">IF($D124="","",IFERROR(IF(INDEX(Hierarchy!$B$2:$B$1295,MATCH($D124,Hierarchy!$A$2:$A$1295,0))="","",INDEX(Hierarchy!$B$2:$B$1295,MATCH($D124,Hierarchy!$A$2:$A$1295,0))),"NODE NOT FOUND"))</f>
        <v>Region</v>
      </c>
      <c r="G124" s="7" t="str">
        <f aca="false">IF($D124="","",IFERROR(IF(INDEX(Hierarchy!$D$2:$D$1295,MATCH($D124,Hierarchy!$A$2:$A$1295,0))="","",INDEX(Hierarchy!$D$2:$D$1295,MATCH($D124,Hierarchy!$A$2:$A$1295,0))),"NODE NOT FOUND"))</f>
        <v>APAC</v>
      </c>
      <c r="H124" s="7" t="str">
        <f aca="false">IF($D124="","",IFERROR(IF(INDEX(Hierarchy!$E$2:$E$1295,MATCH($D124,Hierarchy!$A$2:$A$1295,0))="","",INDEX(Hierarchy!$E$2:$E$1295,MATCH($D124,Hierarchy!$A$2:$A$1295,0))),"NODE NOT FOUND"))</f>
        <v/>
      </c>
      <c r="I124" s="7" t="str">
        <f aca="false">IF($D124="","",IFERROR(IF(INDEX(Hierarchy!$F$2:$F$1295,MATCH($D124,Hierarchy!$A$2:$A$1295,0))="","",INDEX(Hierarchy!$F$2:$F$1295,MATCH($D124,Hierarchy!$A$2:$A$1295,0))),"NODE NOT FOUND"))</f>
        <v/>
      </c>
      <c r="J124" s="7" t="str">
        <f aca="false">IF($D124="","",IFERROR(IF(INDEX(Hierarchy!$G$2:$G$1295,MATCH($D124,Hierarchy!$A$2:$A$1295,0))="","",INDEX(Hierarchy!$G$2:$G$1295,MATCH($D124,Hierarchy!$A$2:$A$1295,0))),"NODE NOT FOUND"))</f>
        <v/>
      </c>
      <c r="K124" s="7" t="str">
        <f aca="false">IF($D124="","",IFERROR(IF(INDEX(Hierarchy!$H$2:$H$1295,MATCH($D124,Hierarchy!$A$2:$A$1295,0))="","",INDEX(Hierarchy!$H$2:$H$1295,MATCH($D124,Hierarchy!$A$2:$A$1295,0))),"NODE NOT FOUND"))</f>
        <v/>
      </c>
      <c r="L124" s="7" t="str">
        <f aca="false">IF($D124="","",IFERROR(IF(INDEX(Hierarchy!$I$2:$I$1295,MATCH($D124,Hierarchy!$A$2:$A$1295,0))="","",INDEX(Hierarchy!$I$2:$I$1295,MATCH($D124,Hierarchy!$A$2:$A$1295,0))),"NODE NOT FOUND"))</f>
        <v/>
      </c>
      <c r="M124" s="17" t="str">
        <f aca="false">IF(B124="Pre-seeded","Pre-seeded",IF(B124="Review 2026-09-16","Added from review",IF(C124="","New",IF(C124=D124,"","Changed"))))</f>
        <v>Changed</v>
      </c>
      <c r="N124" s="7" t="str">
        <f aca="false">TRIM(SUBSTITUTE(SUBSTITUTE(SUBSTITUTE(" "&amp;TRIM(SUBSTITUTE(SUBSTITUTE(SUBSTITUTE(SUBSTITUTE(SUBSTITUTE(SUBSTITUTE(SUBSTITUTE(SUBSTITUTE(SUBSTITUTE(SUBSTITUTE(SUBSTITUTE(SUBSTITUTE(SUBSTITUTE(SUBSTITUTE(SUBSTITUTE(UPPER(TRIM(A124)),"[MEMBER]",""),"{MEMBER}",""),"[MEMBER}",""),"MEMBER]",""),"(A)",""),"""",""),"“",""),"”",""),".",""),":",""),",",""),"–"," "),"-"," "),"/"," "),"&amp;"," AND "))&amp;" "," THE "," ")," TOTAL "," ")," OPERATIONS "," "))</f>
        <v>ASIA PACIFIC (APAC)</v>
      </c>
      <c r="O124" s="17" t="str">
        <f aca="false">IF(COUNTIFS($N$2:$N$2000,N124,$D$2:$D$2000,"&lt;&gt;"&amp;D124)&gt;0,"CONFLICT","")</f>
        <v/>
      </c>
      <c r="P124" s="7"/>
    </row>
    <row r="125" customFormat="false" ht="15" hidden="false" customHeight="false" outlineLevel="0" collapsed="false">
      <c r="A125" s="7" t="s">
        <v>1965</v>
      </c>
      <c r="B125" s="7" t="s">
        <v>1885</v>
      </c>
      <c r="C125" s="7" t="s">
        <v>1926</v>
      </c>
      <c r="D125" s="6" t="s">
        <v>1311</v>
      </c>
      <c r="E125" s="6" t="s">
        <v>1880</v>
      </c>
      <c r="F125" s="7" t="str">
        <f aca="false">IF($D125="","",IFERROR(IF(INDEX(Hierarchy!$B$2:$B$1295,MATCH($D125,Hierarchy!$A$2:$A$1295,0))="","",INDEX(Hierarchy!$B$2:$B$1295,MATCH($D125,Hierarchy!$A$2:$A$1295,0))),"NODE NOT FOUND"))</f>
        <v>Region</v>
      </c>
      <c r="G125" s="7" t="str">
        <f aca="false">IF($D125="","",IFERROR(IF(INDEX(Hierarchy!$D$2:$D$1295,MATCH($D125,Hierarchy!$A$2:$A$1295,0))="","",INDEX(Hierarchy!$D$2:$D$1295,MATCH($D125,Hierarchy!$A$2:$A$1295,0))),"NODE NOT FOUND"))</f>
        <v>APAC</v>
      </c>
      <c r="H125" s="7" t="str">
        <f aca="false">IF($D125="","",IFERROR(IF(INDEX(Hierarchy!$E$2:$E$1295,MATCH($D125,Hierarchy!$A$2:$A$1295,0))="","",INDEX(Hierarchy!$E$2:$E$1295,MATCH($D125,Hierarchy!$A$2:$A$1295,0))),"NODE NOT FOUND"))</f>
        <v/>
      </c>
      <c r="I125" s="7" t="str">
        <f aca="false">IF($D125="","",IFERROR(IF(INDEX(Hierarchy!$F$2:$F$1295,MATCH($D125,Hierarchy!$A$2:$A$1295,0))="","",INDEX(Hierarchy!$F$2:$F$1295,MATCH($D125,Hierarchy!$A$2:$A$1295,0))),"NODE NOT FOUND"))</f>
        <v/>
      </c>
      <c r="J125" s="7" t="str">
        <f aca="false">IF($D125="","",IFERROR(IF(INDEX(Hierarchy!$G$2:$G$1295,MATCH($D125,Hierarchy!$A$2:$A$1295,0))="","",INDEX(Hierarchy!$G$2:$G$1295,MATCH($D125,Hierarchy!$A$2:$A$1295,0))),"NODE NOT FOUND"))</f>
        <v/>
      </c>
      <c r="K125" s="7" t="str">
        <f aca="false">IF($D125="","",IFERROR(IF(INDEX(Hierarchy!$H$2:$H$1295,MATCH($D125,Hierarchy!$A$2:$A$1295,0))="","",INDEX(Hierarchy!$H$2:$H$1295,MATCH($D125,Hierarchy!$A$2:$A$1295,0))),"NODE NOT FOUND"))</f>
        <v/>
      </c>
      <c r="L125" s="7" t="str">
        <f aca="false">IF($D125="","",IFERROR(IF(INDEX(Hierarchy!$I$2:$I$1295,MATCH($D125,Hierarchy!$A$2:$A$1295,0))="","",INDEX(Hierarchy!$I$2:$I$1295,MATCH($D125,Hierarchy!$A$2:$A$1295,0))),"NODE NOT FOUND"))</f>
        <v/>
      </c>
      <c r="M125" s="17" t="str">
        <f aca="false">IF(B125="Pre-seeded","Pre-seeded",IF(B125="Review 2026-09-16","Added from review",IF(C125="","New",IF(C125=D125,"","Changed"))))</f>
        <v>Changed</v>
      </c>
      <c r="N125" s="7" t="str">
        <f aca="false">TRIM(SUBSTITUTE(SUBSTITUTE(SUBSTITUTE(" "&amp;TRIM(SUBSTITUTE(SUBSTITUTE(SUBSTITUTE(SUBSTITUTE(SUBSTITUTE(SUBSTITUTE(SUBSTITUTE(SUBSTITUTE(SUBSTITUTE(SUBSTITUTE(SUBSTITUTE(SUBSTITUTE(SUBSTITUTE(SUBSTITUTE(SUBSTITUTE(UPPER(TRIM(A125)),"[MEMBER]",""),"{MEMBER}",""),"[MEMBER}",""),"MEMBER]",""),"(A)",""),"""",""),"“",""),"”",""),".",""),":",""),",",""),"–"," "),"-"," "),"/"," "),"&amp;"," AND "))&amp;" "," THE "," ")," TOTAL "," ")," OPERATIONS "," "))</f>
        <v>ASIA PACIFIC AND JAPAN</v>
      </c>
      <c r="O125" s="17" t="str">
        <f aca="false">IF(COUNTIFS($N$2:$N$2000,N125,$D$2:$D$2000,"&lt;&gt;"&amp;D125)&gt;0,"CONFLICT","")</f>
        <v/>
      </c>
      <c r="P125" s="7" t="s">
        <v>1966</v>
      </c>
    </row>
    <row r="126" customFormat="false" ht="15" hidden="false" customHeight="false" outlineLevel="0" collapsed="false">
      <c r="A126" s="7" t="s">
        <v>1967</v>
      </c>
      <c r="B126" s="7" t="s">
        <v>1954</v>
      </c>
      <c r="C126" s="7"/>
      <c r="D126" s="6" t="s">
        <v>1311</v>
      </c>
      <c r="E126" s="6" t="s">
        <v>1880</v>
      </c>
      <c r="F126" s="7" t="str">
        <f aca="false">IF($D126="","",IFERROR(IF(INDEX(Hierarchy!$B$2:$B$1295,MATCH($D126,Hierarchy!$A$2:$A$1295,0))="","",INDEX(Hierarchy!$B$2:$B$1295,MATCH($D126,Hierarchy!$A$2:$A$1295,0))),"NODE NOT FOUND"))</f>
        <v>Region</v>
      </c>
      <c r="G126" s="7" t="str">
        <f aca="false">IF($D126="","",IFERROR(IF(INDEX(Hierarchy!$D$2:$D$1295,MATCH($D126,Hierarchy!$A$2:$A$1295,0))="","",INDEX(Hierarchy!$D$2:$D$1295,MATCH($D126,Hierarchy!$A$2:$A$1295,0))),"NODE NOT FOUND"))</f>
        <v>APAC</v>
      </c>
      <c r="H126" s="7" t="str">
        <f aca="false">IF($D126="","",IFERROR(IF(INDEX(Hierarchy!$E$2:$E$1295,MATCH($D126,Hierarchy!$A$2:$A$1295,0))="","",INDEX(Hierarchy!$E$2:$E$1295,MATCH($D126,Hierarchy!$A$2:$A$1295,0))),"NODE NOT FOUND"))</f>
        <v/>
      </c>
      <c r="I126" s="7" t="str">
        <f aca="false">IF($D126="","",IFERROR(IF(INDEX(Hierarchy!$F$2:$F$1295,MATCH($D126,Hierarchy!$A$2:$A$1295,0))="","",INDEX(Hierarchy!$F$2:$F$1295,MATCH($D126,Hierarchy!$A$2:$A$1295,0))),"NODE NOT FOUND"))</f>
        <v/>
      </c>
      <c r="J126" s="7" t="str">
        <f aca="false">IF($D126="","",IFERROR(IF(INDEX(Hierarchy!$G$2:$G$1295,MATCH($D126,Hierarchy!$A$2:$A$1295,0))="","",INDEX(Hierarchy!$G$2:$G$1295,MATCH($D126,Hierarchy!$A$2:$A$1295,0))),"NODE NOT FOUND"))</f>
        <v/>
      </c>
      <c r="K126" s="7" t="str">
        <f aca="false">IF($D126="","",IFERROR(IF(INDEX(Hierarchy!$H$2:$H$1295,MATCH($D126,Hierarchy!$A$2:$A$1295,0))="","",INDEX(Hierarchy!$H$2:$H$1295,MATCH($D126,Hierarchy!$A$2:$A$1295,0))),"NODE NOT FOUND"))</f>
        <v/>
      </c>
      <c r="L126" s="7" t="str">
        <f aca="false">IF($D126="","",IFERROR(IF(INDEX(Hierarchy!$I$2:$I$1295,MATCH($D126,Hierarchy!$A$2:$A$1295,0))="","",INDEX(Hierarchy!$I$2:$I$1295,MATCH($D126,Hierarchy!$A$2:$A$1295,0))),"NODE NOT FOUND"))</f>
        <v/>
      </c>
      <c r="M126" s="17" t="str">
        <f aca="false">IF(B126="Pre-seeded","Pre-seeded",IF(B126="Review 2026-09-16","Added from review",IF(C126="","New",IF(C126=D126,"","Changed"))))</f>
        <v>Added from review</v>
      </c>
      <c r="N126" s="7" t="str">
        <f aca="false">TRIM(SUBSTITUTE(SUBSTITUTE(SUBSTITUTE(" "&amp;TRIM(SUBSTITUTE(SUBSTITUTE(SUBSTITUTE(SUBSTITUTE(SUBSTITUTE(SUBSTITUTE(SUBSTITUTE(SUBSTITUTE(SUBSTITUTE(SUBSTITUTE(SUBSTITUTE(SUBSTITUTE(SUBSTITUTE(SUBSTITUTE(SUBSTITUTE(UPPER(TRIM(A126)),"[MEMBER]",""),"{MEMBER}",""),"[MEMBER}",""),"MEMBER]",""),"(A)",""),"""",""),"“",""),"”",""),".",""),":",""),",",""),"–"," "),"-"," "),"/"," "),"&amp;"," AND "))&amp;" "," THE "," ")," TOTAL "," ")," OPERATIONS "," "))</f>
        <v>ASIA PACIFIC AND JAPAN (APAC)</v>
      </c>
      <c r="O126" s="17" t="str">
        <f aca="false">IF(COUNTIFS($N$2:$N$2000,N126,$D$2:$D$2000,"&lt;&gt;"&amp;D126)&gt;0,"CONFLICT","")</f>
        <v/>
      </c>
      <c r="P126" s="7" t="s">
        <v>1968</v>
      </c>
    </row>
    <row r="127" customFormat="false" ht="15" hidden="false" customHeight="false" outlineLevel="0" collapsed="false">
      <c r="A127" s="7" t="s">
        <v>1969</v>
      </c>
      <c r="B127" s="7" t="s">
        <v>1885</v>
      </c>
      <c r="C127" s="7" t="s">
        <v>744</v>
      </c>
      <c r="D127" s="6" t="s">
        <v>1311</v>
      </c>
      <c r="E127" s="6" t="s">
        <v>1886</v>
      </c>
      <c r="F127" s="7" t="str">
        <f aca="false">IF($D127="","",IFERROR(IF(INDEX(Hierarchy!$B$2:$B$1295,MATCH($D127,Hierarchy!$A$2:$A$1295,0))="","",INDEX(Hierarchy!$B$2:$B$1295,MATCH($D127,Hierarchy!$A$2:$A$1295,0))),"NODE NOT FOUND"))</f>
        <v>Region</v>
      </c>
      <c r="G127" s="7" t="str">
        <f aca="false">IF($D127="","",IFERROR(IF(INDEX(Hierarchy!$D$2:$D$1295,MATCH($D127,Hierarchy!$A$2:$A$1295,0))="","",INDEX(Hierarchy!$D$2:$D$1295,MATCH($D127,Hierarchy!$A$2:$A$1295,0))),"NODE NOT FOUND"))</f>
        <v>APAC</v>
      </c>
      <c r="H127" s="7" t="str">
        <f aca="false">IF($D127="","",IFERROR(IF(INDEX(Hierarchy!$E$2:$E$1295,MATCH($D127,Hierarchy!$A$2:$A$1295,0))="","",INDEX(Hierarchy!$E$2:$E$1295,MATCH($D127,Hierarchy!$A$2:$A$1295,0))),"NODE NOT FOUND"))</f>
        <v/>
      </c>
      <c r="I127" s="7" t="str">
        <f aca="false">IF($D127="","",IFERROR(IF(INDEX(Hierarchy!$F$2:$F$1295,MATCH($D127,Hierarchy!$A$2:$A$1295,0))="","",INDEX(Hierarchy!$F$2:$F$1295,MATCH($D127,Hierarchy!$A$2:$A$1295,0))),"NODE NOT FOUND"))</f>
        <v/>
      </c>
      <c r="J127" s="7" t="str">
        <f aca="false">IF($D127="","",IFERROR(IF(INDEX(Hierarchy!$G$2:$G$1295,MATCH($D127,Hierarchy!$A$2:$A$1295,0))="","",INDEX(Hierarchy!$G$2:$G$1295,MATCH($D127,Hierarchy!$A$2:$A$1295,0))),"NODE NOT FOUND"))</f>
        <v/>
      </c>
      <c r="K127" s="7" t="str">
        <f aca="false">IF($D127="","",IFERROR(IF(INDEX(Hierarchy!$H$2:$H$1295,MATCH($D127,Hierarchy!$A$2:$A$1295,0))="","",INDEX(Hierarchy!$H$2:$H$1295,MATCH($D127,Hierarchy!$A$2:$A$1295,0))),"NODE NOT FOUND"))</f>
        <v/>
      </c>
      <c r="L127" s="7" t="str">
        <f aca="false">IF($D127="","",IFERROR(IF(INDEX(Hierarchy!$I$2:$I$1295,MATCH($D127,Hierarchy!$A$2:$A$1295,0))="","",INDEX(Hierarchy!$I$2:$I$1295,MATCH($D127,Hierarchy!$A$2:$A$1295,0))),"NODE NOT FOUND"))</f>
        <v/>
      </c>
      <c r="M127" s="17" t="str">
        <f aca="false">IF(B127="Pre-seeded","Pre-seeded",IF(B127="Review 2026-09-16","Added from review",IF(C127="","New",IF(C127=D127,"","Changed"))))</f>
        <v>Changed</v>
      </c>
      <c r="N127" s="7" t="str">
        <f aca="false">TRIM(SUBSTITUTE(SUBSTITUTE(SUBSTITUTE(" "&amp;TRIM(SUBSTITUTE(SUBSTITUTE(SUBSTITUTE(SUBSTITUTE(SUBSTITUTE(SUBSTITUTE(SUBSTITUTE(SUBSTITUTE(SUBSTITUTE(SUBSTITUTE(SUBSTITUTE(SUBSTITUTE(SUBSTITUTE(SUBSTITUTE(SUBSTITUTE(UPPER(TRIM(A127)),"[MEMBER]",""),"{MEMBER}",""),"[MEMBER}",""),"MEMBER]",""),"(A)",""),"""",""),"“",""),"”",""),".",""),":",""),",",""),"–"," "),"-"," "),"/"," "),"&amp;"," AND "))&amp;" "," THE "," ")," TOTAL "," ")," OPERATIONS "," "))</f>
        <v>ASIA PACIFIC AND OTHER</v>
      </c>
      <c r="O127" s="17" t="str">
        <f aca="false">IF(COUNTIFS($N$2:$N$2000,N127,$D$2:$D$2000,"&lt;&gt;"&amp;D127)&gt;0,"CONFLICT","")</f>
        <v/>
      </c>
      <c r="P127" s="7"/>
    </row>
    <row r="128" customFormat="false" ht="15" hidden="false" customHeight="false" outlineLevel="0" collapsed="false">
      <c r="A128" s="7" t="s">
        <v>1970</v>
      </c>
      <c r="B128" s="7" t="s">
        <v>1879</v>
      </c>
      <c r="C128" s="7"/>
      <c r="D128" s="6" t="s">
        <v>1311</v>
      </c>
      <c r="E128" s="6" t="s">
        <v>1891</v>
      </c>
      <c r="F128" s="7" t="str">
        <f aca="false">IF($D128="","",IFERROR(IF(INDEX(Hierarchy!$B$2:$B$1295,MATCH($D128,Hierarchy!$A$2:$A$1295,0))="","",INDEX(Hierarchy!$B$2:$B$1295,MATCH($D128,Hierarchy!$A$2:$A$1295,0))),"NODE NOT FOUND"))</f>
        <v>Region</v>
      </c>
      <c r="G128" s="7" t="str">
        <f aca="false">IF($D128="","",IFERROR(IF(INDEX(Hierarchy!$D$2:$D$1295,MATCH($D128,Hierarchy!$A$2:$A$1295,0))="","",INDEX(Hierarchy!$D$2:$D$1295,MATCH($D128,Hierarchy!$A$2:$A$1295,0))),"NODE NOT FOUND"))</f>
        <v>APAC</v>
      </c>
      <c r="H128" s="7" t="str">
        <f aca="false">IF($D128="","",IFERROR(IF(INDEX(Hierarchy!$E$2:$E$1295,MATCH($D128,Hierarchy!$A$2:$A$1295,0))="","",INDEX(Hierarchy!$E$2:$E$1295,MATCH($D128,Hierarchy!$A$2:$A$1295,0))),"NODE NOT FOUND"))</f>
        <v/>
      </c>
      <c r="I128" s="7" t="str">
        <f aca="false">IF($D128="","",IFERROR(IF(INDEX(Hierarchy!$F$2:$F$1295,MATCH($D128,Hierarchy!$A$2:$A$1295,0))="","",INDEX(Hierarchy!$F$2:$F$1295,MATCH($D128,Hierarchy!$A$2:$A$1295,0))),"NODE NOT FOUND"))</f>
        <v/>
      </c>
      <c r="J128" s="7" t="str">
        <f aca="false">IF($D128="","",IFERROR(IF(INDEX(Hierarchy!$G$2:$G$1295,MATCH($D128,Hierarchy!$A$2:$A$1295,0))="","",INDEX(Hierarchy!$G$2:$G$1295,MATCH($D128,Hierarchy!$A$2:$A$1295,0))),"NODE NOT FOUND"))</f>
        <v/>
      </c>
      <c r="K128" s="7" t="str">
        <f aca="false">IF($D128="","",IFERROR(IF(INDEX(Hierarchy!$H$2:$H$1295,MATCH($D128,Hierarchy!$A$2:$A$1295,0))="","",INDEX(Hierarchy!$H$2:$H$1295,MATCH($D128,Hierarchy!$A$2:$A$1295,0))),"NODE NOT FOUND"))</f>
        <v/>
      </c>
      <c r="L128" s="7" t="str">
        <f aca="false">IF($D128="","",IFERROR(IF(INDEX(Hierarchy!$I$2:$I$1295,MATCH($D128,Hierarchy!$A$2:$A$1295,0))="","",INDEX(Hierarchy!$I$2:$I$1295,MATCH($D128,Hierarchy!$A$2:$A$1295,0))),"NODE NOT FOUND"))</f>
        <v/>
      </c>
      <c r="M128" s="17" t="str">
        <f aca="false">IF(B128="Pre-seeded","Pre-seeded",IF(B128="Review 2026-09-16","Added from review",IF(C128="","New",IF(C128=D128,"","Changed"))))</f>
        <v>Pre-seeded</v>
      </c>
      <c r="N128" s="7" t="str">
        <f aca="false">TRIM(SUBSTITUTE(SUBSTITUTE(SUBSTITUTE(" "&amp;TRIM(SUBSTITUTE(SUBSTITUTE(SUBSTITUTE(SUBSTITUTE(SUBSTITUTE(SUBSTITUTE(SUBSTITUTE(SUBSTITUTE(SUBSTITUTE(SUBSTITUTE(SUBSTITUTE(SUBSTITUTE(SUBSTITUTE(SUBSTITUTE(SUBSTITUTE(UPPER(TRIM(A128)),"[MEMBER]",""),"{MEMBER}",""),"[MEMBER}",""),"MEMBER]",""),"(A)",""),"""",""),"“",""),"”",""),".",""),":",""),",",""),"–"," "),"-"," "),"/"," "),"&amp;"," AND "))&amp;" "," THE "," ")," TOTAL "," ")," OPERATIONS "," "))</f>
        <v>ASIA PACIFIC EXCLUDING JAPAN</v>
      </c>
      <c r="O128" s="17" t="str">
        <f aca="false">IF(COUNTIFS($N$2:$N$2000,N128,$D$2:$D$2000,"&lt;&gt;"&amp;D128)&gt;0,"CONFLICT","")</f>
        <v/>
      </c>
      <c r="P128" s="7"/>
    </row>
    <row r="129" customFormat="false" ht="15" hidden="false" customHeight="false" outlineLevel="0" collapsed="false">
      <c r="A129" s="7" t="s">
        <v>1971</v>
      </c>
      <c r="B129" s="7" t="s">
        <v>1879</v>
      </c>
      <c r="C129" s="7"/>
      <c r="D129" s="6" t="s">
        <v>1311</v>
      </c>
      <c r="E129" s="6" t="s">
        <v>1891</v>
      </c>
      <c r="F129" s="7" t="str">
        <f aca="false">IF($D129="","",IFERROR(IF(INDEX(Hierarchy!$B$2:$B$1295,MATCH($D129,Hierarchy!$A$2:$A$1295,0))="","",INDEX(Hierarchy!$B$2:$B$1295,MATCH($D129,Hierarchy!$A$2:$A$1295,0))),"NODE NOT FOUND"))</f>
        <v>Region</v>
      </c>
      <c r="G129" s="7" t="str">
        <f aca="false">IF($D129="","",IFERROR(IF(INDEX(Hierarchy!$D$2:$D$1295,MATCH($D129,Hierarchy!$A$2:$A$1295,0))="","",INDEX(Hierarchy!$D$2:$D$1295,MATCH($D129,Hierarchy!$A$2:$A$1295,0))),"NODE NOT FOUND"))</f>
        <v>APAC</v>
      </c>
      <c r="H129" s="7" t="str">
        <f aca="false">IF($D129="","",IFERROR(IF(INDEX(Hierarchy!$E$2:$E$1295,MATCH($D129,Hierarchy!$A$2:$A$1295,0))="","",INDEX(Hierarchy!$E$2:$E$1295,MATCH($D129,Hierarchy!$A$2:$A$1295,0))),"NODE NOT FOUND"))</f>
        <v/>
      </c>
      <c r="I129" s="7" t="str">
        <f aca="false">IF($D129="","",IFERROR(IF(INDEX(Hierarchy!$F$2:$F$1295,MATCH($D129,Hierarchy!$A$2:$A$1295,0))="","",INDEX(Hierarchy!$F$2:$F$1295,MATCH($D129,Hierarchy!$A$2:$A$1295,0))),"NODE NOT FOUND"))</f>
        <v/>
      </c>
      <c r="J129" s="7" t="str">
        <f aca="false">IF($D129="","",IFERROR(IF(INDEX(Hierarchy!$G$2:$G$1295,MATCH($D129,Hierarchy!$A$2:$A$1295,0))="","",INDEX(Hierarchy!$G$2:$G$1295,MATCH($D129,Hierarchy!$A$2:$A$1295,0))),"NODE NOT FOUND"))</f>
        <v/>
      </c>
      <c r="K129" s="7" t="str">
        <f aca="false">IF($D129="","",IFERROR(IF(INDEX(Hierarchy!$H$2:$H$1295,MATCH($D129,Hierarchy!$A$2:$A$1295,0))="","",INDEX(Hierarchy!$H$2:$H$1295,MATCH($D129,Hierarchy!$A$2:$A$1295,0))),"NODE NOT FOUND"))</f>
        <v/>
      </c>
      <c r="L129" s="7" t="str">
        <f aca="false">IF($D129="","",IFERROR(IF(INDEX(Hierarchy!$I$2:$I$1295,MATCH($D129,Hierarchy!$A$2:$A$1295,0))="","",INDEX(Hierarchy!$I$2:$I$1295,MATCH($D129,Hierarchy!$A$2:$A$1295,0))),"NODE NOT FOUND"))</f>
        <v/>
      </c>
      <c r="M129" s="17" t="str">
        <f aca="false">IF(B129="Pre-seeded","Pre-seeded",IF(B129="Review 2026-09-16","Added from review",IF(C129="","New",IF(C129=D129,"","Changed"))))</f>
        <v>Pre-seeded</v>
      </c>
      <c r="N129" s="7" t="str">
        <f aca="false">TRIM(SUBSTITUTE(SUBSTITUTE(SUBSTITUTE(" "&amp;TRIM(SUBSTITUTE(SUBSTITUTE(SUBSTITUTE(SUBSTITUTE(SUBSTITUTE(SUBSTITUTE(SUBSTITUTE(SUBSTITUTE(SUBSTITUTE(SUBSTITUTE(SUBSTITUTE(SUBSTITUTE(SUBSTITUTE(SUBSTITUTE(SUBSTITUTE(UPPER(TRIM(A129)),"[MEMBER]",""),"{MEMBER}",""),"[MEMBER}",""),"MEMBER]",""),"(A)",""),"""",""),"“",""),"”",""),".",""),":",""),",",""),"–"," "),"-"," "),"/"," "),"&amp;"," AND "))&amp;" "," THE "," ")," TOTAL "," ")," OPERATIONS "," "))</f>
        <v>ASIA PACIFIC EXCLUDING JAPAN (APEJ)</v>
      </c>
      <c r="O129" s="17" t="str">
        <f aca="false">IF(COUNTIFS($N$2:$N$2000,N129,$D$2:$D$2000,"&lt;&gt;"&amp;D129)&gt;0,"CONFLICT","")</f>
        <v/>
      </c>
      <c r="P129" s="7"/>
    </row>
    <row r="130" customFormat="false" ht="15" hidden="false" customHeight="false" outlineLevel="0" collapsed="false">
      <c r="A130" s="7" t="s">
        <v>1972</v>
      </c>
      <c r="B130" s="7" t="s">
        <v>1885</v>
      </c>
      <c r="C130" s="7" t="s">
        <v>1973</v>
      </c>
      <c r="D130" s="6" t="s">
        <v>1800</v>
      </c>
      <c r="E130" s="6" t="s">
        <v>1880</v>
      </c>
      <c r="F130" s="7" t="str">
        <f aca="false">IF($D130="","",IFERROR(IF(INDEX(Hierarchy!$B$2:$B$1295,MATCH($D130,Hierarchy!$A$2:$A$1295,0))="","",INDEX(Hierarchy!$B$2:$B$1295,MATCH($D130,Hierarchy!$A$2:$A$1295,0))),"NODE NOT FOUND"))</f>
        <v>Multi-region</v>
      </c>
      <c r="G130" s="7" t="str">
        <f aca="false">IF($D130="","",IFERROR(IF(INDEX(Hierarchy!$D$2:$D$1295,MATCH($D130,Hierarchy!$A$2:$A$1295,0))="","",INDEX(Hierarchy!$D$2:$D$1295,MATCH($D130,Hierarchy!$A$2:$A$1295,0))),"NODE NOT FOUND"))</f>
        <v>Multi-region</v>
      </c>
      <c r="H130" s="7" t="str">
        <f aca="false">IF($D130="","",IFERROR(IF(INDEX(Hierarchy!$E$2:$E$1295,MATCH($D130,Hierarchy!$A$2:$A$1295,0))="","",INDEX(Hierarchy!$E$2:$E$1295,MATCH($D130,Hierarchy!$A$2:$A$1295,0))),"NODE NOT FOUND"))</f>
        <v/>
      </c>
      <c r="I130" s="7" t="str">
        <f aca="false">IF($D130="","",IFERROR(IF(INDEX(Hierarchy!$F$2:$F$1295,MATCH($D130,Hierarchy!$A$2:$A$1295,0))="","",INDEX(Hierarchy!$F$2:$F$1295,MATCH($D130,Hierarchy!$A$2:$A$1295,0))),"NODE NOT FOUND"))</f>
        <v/>
      </c>
      <c r="J130" s="7" t="str">
        <f aca="false">IF($D130="","",IFERROR(IF(INDEX(Hierarchy!$G$2:$G$1295,MATCH($D130,Hierarchy!$A$2:$A$1295,0))="","",INDEX(Hierarchy!$G$2:$G$1295,MATCH($D130,Hierarchy!$A$2:$A$1295,0))),"NODE NOT FOUND"))</f>
        <v/>
      </c>
      <c r="K130" s="7" t="str">
        <f aca="false">IF($D130="","",IFERROR(IF(INDEX(Hierarchy!$H$2:$H$1295,MATCH($D130,Hierarchy!$A$2:$A$1295,0))="","",INDEX(Hierarchy!$H$2:$H$1295,MATCH($D130,Hierarchy!$A$2:$A$1295,0))),"NODE NOT FOUND"))</f>
        <v/>
      </c>
      <c r="L130" s="7" t="str">
        <f aca="false">IF($D130="","",IFERROR(IF(INDEX(Hierarchy!$I$2:$I$1295,MATCH($D130,Hierarchy!$A$2:$A$1295,0))="","",INDEX(Hierarchy!$I$2:$I$1295,MATCH($D130,Hierarchy!$A$2:$A$1295,0))),"NODE NOT FOUND"))</f>
        <v/>
      </c>
      <c r="M130" s="17" t="str">
        <f aca="false">IF(B130="Pre-seeded","Pre-seeded",IF(B130="Review 2026-09-16","Added from review",IF(C130="","New",IF(C130=D130,"","Changed"))))</f>
        <v>Changed</v>
      </c>
      <c r="N130" s="7" t="str">
        <f aca="false">TRIM(SUBSTITUTE(SUBSTITUTE(SUBSTITUTE(" "&amp;TRIM(SUBSTITUTE(SUBSTITUTE(SUBSTITUTE(SUBSTITUTE(SUBSTITUTE(SUBSTITUTE(SUBSTITUTE(SUBSTITUTE(SUBSTITUTE(SUBSTITUTE(SUBSTITUTE(SUBSTITUTE(SUBSTITUTE(SUBSTITUTE(SUBSTITUTE(UPPER(TRIM(A130)),"[MEMBER]",""),"{MEMBER}",""),"[MEMBER}",""),"MEMBER]",""),"(A)",""),"""",""),"“",""),"”",""),".",""),":",""),",",""),"–"," "),"-"," "),"/"," "),"&amp;"," AND "))&amp;" "," THE "," ")," TOTAL "," ")," OPERATIONS "," "))</f>
        <v>ASIA PACIFIC EUROPE MIDDLE EAST AND AFRICA</v>
      </c>
      <c r="O130" s="17" t="str">
        <f aca="false">IF(COUNTIFS($N$2:$N$2000,N130,$D$2:$D$2000,"&lt;&gt;"&amp;D130)&gt;0,"CONFLICT","")</f>
        <v/>
      </c>
      <c r="P130" s="7" t="s">
        <v>1974</v>
      </c>
    </row>
    <row r="131" customFormat="false" ht="15" hidden="false" customHeight="false" outlineLevel="0" collapsed="false">
      <c r="A131" s="7" t="s">
        <v>1975</v>
      </c>
      <c r="B131" s="7" t="s">
        <v>1885</v>
      </c>
      <c r="C131" s="7" t="s">
        <v>1926</v>
      </c>
      <c r="D131" s="6" t="s">
        <v>1311</v>
      </c>
      <c r="E131" s="6" t="s">
        <v>1880</v>
      </c>
      <c r="F131" s="7" t="str">
        <f aca="false">IF($D131="","",IFERROR(IF(INDEX(Hierarchy!$B$2:$B$1295,MATCH($D131,Hierarchy!$A$2:$A$1295,0))="","",INDEX(Hierarchy!$B$2:$B$1295,MATCH($D131,Hierarchy!$A$2:$A$1295,0))),"NODE NOT FOUND"))</f>
        <v>Region</v>
      </c>
      <c r="G131" s="7" t="str">
        <f aca="false">IF($D131="","",IFERROR(IF(INDEX(Hierarchy!$D$2:$D$1295,MATCH($D131,Hierarchy!$A$2:$A$1295,0))="","",INDEX(Hierarchy!$D$2:$D$1295,MATCH($D131,Hierarchy!$A$2:$A$1295,0))),"NODE NOT FOUND"))</f>
        <v>APAC</v>
      </c>
      <c r="H131" s="7" t="str">
        <f aca="false">IF($D131="","",IFERROR(IF(INDEX(Hierarchy!$E$2:$E$1295,MATCH($D131,Hierarchy!$A$2:$A$1295,0))="","",INDEX(Hierarchy!$E$2:$E$1295,MATCH($D131,Hierarchy!$A$2:$A$1295,0))),"NODE NOT FOUND"))</f>
        <v/>
      </c>
      <c r="I131" s="7" t="str">
        <f aca="false">IF($D131="","",IFERROR(IF(INDEX(Hierarchy!$F$2:$F$1295,MATCH($D131,Hierarchy!$A$2:$A$1295,0))="","",INDEX(Hierarchy!$F$2:$F$1295,MATCH($D131,Hierarchy!$A$2:$A$1295,0))),"NODE NOT FOUND"))</f>
        <v/>
      </c>
      <c r="J131" s="7" t="str">
        <f aca="false">IF($D131="","",IFERROR(IF(INDEX(Hierarchy!$G$2:$G$1295,MATCH($D131,Hierarchy!$A$2:$A$1295,0))="","",INDEX(Hierarchy!$G$2:$G$1295,MATCH($D131,Hierarchy!$A$2:$A$1295,0))),"NODE NOT FOUND"))</f>
        <v/>
      </c>
      <c r="K131" s="7" t="str">
        <f aca="false">IF($D131="","",IFERROR(IF(INDEX(Hierarchy!$H$2:$H$1295,MATCH($D131,Hierarchy!$A$2:$A$1295,0))="","",INDEX(Hierarchy!$H$2:$H$1295,MATCH($D131,Hierarchy!$A$2:$A$1295,0))),"NODE NOT FOUND"))</f>
        <v/>
      </c>
      <c r="L131" s="7" t="str">
        <f aca="false">IF($D131="","",IFERROR(IF(INDEX(Hierarchy!$I$2:$I$1295,MATCH($D131,Hierarchy!$A$2:$A$1295,0))="","",INDEX(Hierarchy!$I$2:$I$1295,MATCH($D131,Hierarchy!$A$2:$A$1295,0))),"NODE NOT FOUND"))</f>
        <v/>
      </c>
      <c r="M131" s="17" t="str">
        <f aca="false">IF(B131="Pre-seeded","Pre-seeded",IF(B131="Review 2026-09-16","Added from review",IF(C131="","New",IF(C131=D131,"","Changed"))))</f>
        <v>Changed</v>
      </c>
      <c r="N131" s="7" t="str">
        <f aca="false">TRIM(SUBSTITUTE(SUBSTITUTE(SUBSTITUTE(" "&amp;TRIM(SUBSTITUTE(SUBSTITUTE(SUBSTITUTE(SUBSTITUTE(SUBSTITUTE(SUBSTITUTE(SUBSTITUTE(SUBSTITUTE(SUBSTITUTE(SUBSTITUTE(SUBSTITUTE(SUBSTITUTE(SUBSTITUTE(SUBSTITUTE(SUBSTITUTE(UPPER(TRIM(A131)),"[MEMBER]",""),"{MEMBER}",""),"[MEMBER}",""),"MEMBER]",""),"(A)",""),"""",""),"“",""),"”",""),".",""),":",""),",",""),"–"," "),"-"," "),"/"," "),"&amp;"," AND "))&amp;" "," THE "," ")," TOTAL "," ")," OPERATIONS "," "))</f>
        <v>ASIA PACIFIC JAPAN AND CHINA (APJC)</v>
      </c>
      <c r="O131" s="17" t="str">
        <f aca="false">IF(COUNTIFS($N$2:$N$2000,N131,$D$2:$D$2000,"&lt;&gt;"&amp;D131)&gt;0,"CONFLICT","")</f>
        <v/>
      </c>
      <c r="P131" s="7"/>
    </row>
    <row r="132" customFormat="false" ht="15" hidden="false" customHeight="false" outlineLevel="0" collapsed="false">
      <c r="A132" s="7" t="s">
        <v>1976</v>
      </c>
      <c r="B132" s="7" t="s">
        <v>1879</v>
      </c>
      <c r="C132" s="7"/>
      <c r="D132" s="6" t="s">
        <v>1796</v>
      </c>
      <c r="E132" s="6" t="s">
        <v>1880</v>
      </c>
      <c r="F132" s="7" t="str">
        <f aca="false">IF($D132="","",IFERROR(IF(INDEX(Hierarchy!$B$2:$B$1295,MATCH($D132,Hierarchy!$A$2:$A$1295,0))="","",INDEX(Hierarchy!$B$2:$B$1295,MATCH($D132,Hierarchy!$A$2:$A$1295,0))),"NODE NOT FOUND"))</f>
        <v>Multi-region</v>
      </c>
      <c r="G132" s="7" t="str">
        <f aca="false">IF($D132="","",IFERROR(IF(INDEX(Hierarchy!$D$2:$D$1295,MATCH($D132,Hierarchy!$A$2:$A$1295,0))="","",INDEX(Hierarchy!$D$2:$D$1295,MATCH($D132,Hierarchy!$A$2:$A$1295,0))),"NODE NOT FOUND"))</f>
        <v>Multi-region</v>
      </c>
      <c r="H132" s="7" t="str">
        <f aca="false">IF($D132="","",IFERROR(IF(INDEX(Hierarchy!$E$2:$E$1295,MATCH($D132,Hierarchy!$A$2:$A$1295,0))="","",INDEX(Hierarchy!$E$2:$E$1295,MATCH($D132,Hierarchy!$A$2:$A$1295,0))),"NODE NOT FOUND"))</f>
        <v/>
      </c>
      <c r="I132" s="7" t="str">
        <f aca="false">IF($D132="","",IFERROR(IF(INDEX(Hierarchy!$F$2:$F$1295,MATCH($D132,Hierarchy!$A$2:$A$1295,0))="","",INDEX(Hierarchy!$F$2:$F$1295,MATCH($D132,Hierarchy!$A$2:$A$1295,0))),"NODE NOT FOUND"))</f>
        <v/>
      </c>
      <c r="J132" s="7" t="str">
        <f aca="false">IF($D132="","",IFERROR(IF(INDEX(Hierarchy!$G$2:$G$1295,MATCH($D132,Hierarchy!$A$2:$A$1295,0))="","",INDEX(Hierarchy!$G$2:$G$1295,MATCH($D132,Hierarchy!$A$2:$A$1295,0))),"NODE NOT FOUND"))</f>
        <v/>
      </c>
      <c r="K132" s="7" t="str">
        <f aca="false">IF($D132="","",IFERROR(IF(INDEX(Hierarchy!$H$2:$H$1295,MATCH($D132,Hierarchy!$A$2:$A$1295,0))="","",INDEX(Hierarchy!$H$2:$H$1295,MATCH($D132,Hierarchy!$A$2:$A$1295,0))),"NODE NOT FOUND"))</f>
        <v/>
      </c>
      <c r="L132" s="7" t="str">
        <f aca="false">IF($D132="","",IFERROR(IF(INDEX(Hierarchy!$I$2:$I$1295,MATCH($D132,Hierarchy!$A$2:$A$1295,0))="","",INDEX(Hierarchy!$I$2:$I$1295,MATCH($D132,Hierarchy!$A$2:$A$1295,0))),"NODE NOT FOUND"))</f>
        <v/>
      </c>
      <c r="M132" s="17" t="str">
        <f aca="false">IF(B132="Pre-seeded","Pre-seeded",IF(B132="Review 2026-09-16","Added from review",IF(C132="","New",IF(C132=D132,"","Changed"))))</f>
        <v>Pre-seeded</v>
      </c>
      <c r="N132" s="7" t="str">
        <f aca="false">TRIM(SUBSTITUTE(SUBSTITUTE(SUBSTITUTE(" "&amp;TRIM(SUBSTITUTE(SUBSTITUTE(SUBSTITUTE(SUBSTITUTE(SUBSTITUTE(SUBSTITUTE(SUBSTITUTE(SUBSTITUTE(SUBSTITUTE(SUBSTITUTE(SUBSTITUTE(SUBSTITUTE(SUBSTITUTE(SUBSTITUTE(SUBSTITUTE(UPPER(TRIM(A132)),"[MEMBER]",""),"{MEMBER}",""),"[MEMBER}",""),"MEMBER]",""),"(A)",""),"""",""),"“",""),"”",""),".",""),":",""),",",""),"–"," "),"-"," "),"/"," "),"&amp;"," AND "))&amp;" "," THE "," ")," TOTAL "," ")," OPERATIONS "," "))</f>
        <v>ASIA PACIFIC MIDDLE EAST AND AFRICA</v>
      </c>
      <c r="O132" s="17" t="str">
        <f aca="false">IF(COUNTIFS($N$2:$N$2000,N132,$D$2:$D$2000,"&lt;&gt;"&amp;D132)&gt;0,"CONFLICT","")</f>
        <v/>
      </c>
      <c r="P132" s="7"/>
    </row>
    <row r="133" customFormat="false" ht="15" hidden="false" customHeight="false" outlineLevel="0" collapsed="false">
      <c r="A133" s="7" t="s">
        <v>1977</v>
      </c>
      <c r="B133" s="7" t="s">
        <v>1954</v>
      </c>
      <c r="C133" s="7"/>
      <c r="D133" s="6" t="s">
        <v>1311</v>
      </c>
      <c r="E133" s="6" t="s">
        <v>1886</v>
      </c>
      <c r="F133" s="7" t="str">
        <f aca="false">IF($D133="","",IFERROR(IF(INDEX(Hierarchy!$B$2:$B$1295,MATCH($D133,Hierarchy!$A$2:$A$1295,0))="","",INDEX(Hierarchy!$B$2:$B$1295,MATCH($D133,Hierarchy!$A$2:$A$1295,0))),"NODE NOT FOUND"))</f>
        <v>Region</v>
      </c>
      <c r="G133" s="7" t="str">
        <f aca="false">IF($D133="","",IFERROR(IF(INDEX(Hierarchy!$D$2:$D$1295,MATCH($D133,Hierarchy!$A$2:$A$1295,0))="","",INDEX(Hierarchy!$D$2:$D$1295,MATCH($D133,Hierarchy!$A$2:$A$1295,0))),"NODE NOT FOUND"))</f>
        <v>APAC</v>
      </c>
      <c r="H133" s="7" t="str">
        <f aca="false">IF($D133="","",IFERROR(IF(INDEX(Hierarchy!$E$2:$E$1295,MATCH($D133,Hierarchy!$A$2:$A$1295,0))="","",INDEX(Hierarchy!$E$2:$E$1295,MATCH($D133,Hierarchy!$A$2:$A$1295,0))),"NODE NOT FOUND"))</f>
        <v/>
      </c>
      <c r="I133" s="7" t="str">
        <f aca="false">IF($D133="","",IFERROR(IF(INDEX(Hierarchy!$F$2:$F$1295,MATCH($D133,Hierarchy!$A$2:$A$1295,0))="","",INDEX(Hierarchy!$F$2:$F$1295,MATCH($D133,Hierarchy!$A$2:$A$1295,0))),"NODE NOT FOUND"))</f>
        <v/>
      </c>
      <c r="J133" s="7" t="str">
        <f aca="false">IF($D133="","",IFERROR(IF(INDEX(Hierarchy!$G$2:$G$1295,MATCH($D133,Hierarchy!$A$2:$A$1295,0))="","",INDEX(Hierarchy!$G$2:$G$1295,MATCH($D133,Hierarchy!$A$2:$A$1295,0))),"NODE NOT FOUND"))</f>
        <v/>
      </c>
      <c r="K133" s="7" t="str">
        <f aca="false">IF($D133="","",IFERROR(IF(INDEX(Hierarchy!$H$2:$H$1295,MATCH($D133,Hierarchy!$A$2:$A$1295,0))="","",INDEX(Hierarchy!$H$2:$H$1295,MATCH($D133,Hierarchy!$A$2:$A$1295,0))),"NODE NOT FOUND"))</f>
        <v/>
      </c>
      <c r="L133" s="7" t="str">
        <f aca="false">IF($D133="","",IFERROR(IF(INDEX(Hierarchy!$I$2:$I$1295,MATCH($D133,Hierarchy!$A$2:$A$1295,0))="","",INDEX(Hierarchy!$I$2:$I$1295,MATCH($D133,Hierarchy!$A$2:$A$1295,0))),"NODE NOT FOUND"))</f>
        <v/>
      </c>
      <c r="M133" s="17" t="str">
        <f aca="false">IF(B133="Pre-seeded","Pre-seeded",IF(B133="Review 2026-09-16","Added from review",IF(C133="","New",IF(C133=D133,"","Changed"))))</f>
        <v>Added from review</v>
      </c>
      <c r="N133" s="7" t="str">
        <f aca="false">TRIM(SUBSTITUTE(SUBSTITUTE(SUBSTITUTE(" "&amp;TRIM(SUBSTITUTE(SUBSTITUTE(SUBSTITUTE(SUBSTITUTE(SUBSTITUTE(SUBSTITUTE(SUBSTITUTE(SUBSTITUTE(SUBSTITUTE(SUBSTITUTE(SUBSTITUTE(SUBSTITUTE(SUBSTITUTE(SUBSTITUTE(SUBSTITUTE(UPPER(TRIM(A133)),"[MEMBER]",""),"{MEMBER}",""),"[MEMBER}",""),"MEMBER]",""),"(A)",""),"""",""),"“",""),"”",""),".",""),":",""),",",""),"–"," "),"-"," "),"/"," "),"&amp;"," AND "))&amp;" "," THE "," ")," TOTAL "," ")," OPERATIONS "," "))</f>
        <v>ASIA PACIFIC OTHER</v>
      </c>
      <c r="O133" s="17" t="str">
        <f aca="false">IF(COUNTIFS($N$2:$N$2000,N133,$D$2:$D$2000,"&lt;&gt;"&amp;D133)&gt;0,"CONFLICT","")</f>
        <v/>
      </c>
      <c r="P133" s="7" t="s">
        <v>1968</v>
      </c>
    </row>
    <row r="134" customFormat="false" ht="15" hidden="false" customHeight="false" outlineLevel="0" collapsed="false">
      <c r="A134" s="7" t="s">
        <v>1978</v>
      </c>
      <c r="B134" s="7" t="s">
        <v>1885</v>
      </c>
      <c r="C134" s="7" t="s">
        <v>1096</v>
      </c>
      <c r="D134" s="6" t="s">
        <v>1799</v>
      </c>
      <c r="E134" s="6" t="s">
        <v>1880</v>
      </c>
      <c r="F134" s="7" t="str">
        <f aca="false">IF($D134="","",IFERROR(IF(INDEX(Hierarchy!$B$2:$B$1295,MATCH($D134,Hierarchy!$A$2:$A$1295,0))="","",INDEX(Hierarchy!$B$2:$B$1295,MATCH($D134,Hierarchy!$A$2:$A$1295,0))),"NODE NOT FOUND"))</f>
        <v>Multi-region</v>
      </c>
      <c r="G134" s="7" t="str">
        <f aca="false">IF($D134="","",IFERROR(IF(INDEX(Hierarchy!$D$2:$D$1295,MATCH($D134,Hierarchy!$A$2:$A$1295,0))="","",INDEX(Hierarchy!$D$2:$D$1295,MATCH($D134,Hierarchy!$A$2:$A$1295,0))),"NODE NOT FOUND"))</f>
        <v>Multi-region</v>
      </c>
      <c r="H134" s="7" t="str">
        <f aca="false">IF($D134="","",IFERROR(IF(INDEX(Hierarchy!$E$2:$E$1295,MATCH($D134,Hierarchy!$A$2:$A$1295,0))="","",INDEX(Hierarchy!$E$2:$E$1295,MATCH($D134,Hierarchy!$A$2:$A$1295,0))),"NODE NOT FOUND"))</f>
        <v/>
      </c>
      <c r="I134" s="7" t="str">
        <f aca="false">IF($D134="","",IFERROR(IF(INDEX(Hierarchy!$F$2:$F$1295,MATCH($D134,Hierarchy!$A$2:$A$1295,0))="","",INDEX(Hierarchy!$F$2:$F$1295,MATCH($D134,Hierarchy!$A$2:$A$1295,0))),"NODE NOT FOUND"))</f>
        <v/>
      </c>
      <c r="J134" s="7" t="str">
        <f aca="false">IF($D134="","",IFERROR(IF(INDEX(Hierarchy!$G$2:$G$1295,MATCH($D134,Hierarchy!$A$2:$A$1295,0))="","",INDEX(Hierarchy!$G$2:$G$1295,MATCH($D134,Hierarchy!$A$2:$A$1295,0))),"NODE NOT FOUND"))</f>
        <v/>
      </c>
      <c r="K134" s="7" t="str">
        <f aca="false">IF($D134="","",IFERROR(IF(INDEX(Hierarchy!$H$2:$H$1295,MATCH($D134,Hierarchy!$A$2:$A$1295,0))="","",INDEX(Hierarchy!$H$2:$H$1295,MATCH($D134,Hierarchy!$A$2:$A$1295,0))),"NODE NOT FOUND"))</f>
        <v/>
      </c>
      <c r="L134" s="7" t="str">
        <f aca="false">IF($D134="","",IFERROR(IF(INDEX(Hierarchy!$I$2:$I$1295,MATCH($D134,Hierarchy!$A$2:$A$1295,0))="","",INDEX(Hierarchy!$I$2:$I$1295,MATCH($D134,Hierarchy!$A$2:$A$1295,0))),"NODE NOT FOUND"))</f>
        <v/>
      </c>
      <c r="M134" s="17" t="str">
        <f aca="false">IF(B134="Pre-seeded","Pre-seeded",IF(B134="Review 2026-09-16","Added from review",IF(C134="","New",IF(C134=D134,"","Changed"))))</f>
        <v>Changed</v>
      </c>
      <c r="N134" s="7" t="str">
        <f aca="false">TRIM(SUBSTITUTE(SUBSTITUTE(SUBSTITUTE(" "&amp;TRIM(SUBSTITUTE(SUBSTITUTE(SUBSTITUTE(SUBSTITUTE(SUBSTITUTE(SUBSTITUTE(SUBSTITUTE(SUBSTITUTE(SUBSTITUTE(SUBSTITUTE(SUBSTITUTE(SUBSTITUTE(SUBSTITUTE(SUBSTITUTE(SUBSTITUTE(UPPER(TRIM(A134)),"[MEMBER]",""),"{MEMBER}",""),"[MEMBER}",""),"MEMBER]",""),"(A)",""),"""",""),"“",""),"”",""),".",""),":",""),",",""),"–"," "),"-"," "),"/"," "),"&amp;"," AND "))&amp;" "," THE "," ")," TOTAL "," ")," OPERATIONS "," "))</f>
        <v>ASIA MIDDLE EAST AND AFRICA (AMEA)</v>
      </c>
      <c r="O134" s="17" t="str">
        <f aca="false">IF(COUNTIFS($N$2:$N$2000,N134,$D$2:$D$2000,"&lt;&gt;"&amp;D134)&gt;0,"CONFLICT","")</f>
        <v/>
      </c>
      <c r="P134" s="7" t="s">
        <v>1979</v>
      </c>
    </row>
    <row r="135" customFormat="false" ht="15" hidden="false" customHeight="false" outlineLevel="0" collapsed="false">
      <c r="A135" s="7" t="s">
        <v>1980</v>
      </c>
      <c r="B135" s="7" t="s">
        <v>1882</v>
      </c>
      <c r="C135" s="7" t="s">
        <v>1926</v>
      </c>
      <c r="D135" s="6" t="s">
        <v>1311</v>
      </c>
      <c r="E135" s="6" t="s">
        <v>1880</v>
      </c>
      <c r="F135" s="7" t="str">
        <f aca="false">IF($D135="","",IFERROR(IF(INDEX(Hierarchy!$B$2:$B$1295,MATCH($D135,Hierarchy!$A$2:$A$1295,0))="","",INDEX(Hierarchy!$B$2:$B$1295,MATCH($D135,Hierarchy!$A$2:$A$1295,0))),"NODE NOT FOUND"))</f>
        <v>Region</v>
      </c>
      <c r="G135" s="7" t="str">
        <f aca="false">IF($D135="","",IFERROR(IF(INDEX(Hierarchy!$D$2:$D$1295,MATCH($D135,Hierarchy!$A$2:$A$1295,0))="","",INDEX(Hierarchy!$D$2:$D$1295,MATCH($D135,Hierarchy!$A$2:$A$1295,0))),"NODE NOT FOUND"))</f>
        <v>APAC</v>
      </c>
      <c r="H135" s="7" t="str">
        <f aca="false">IF($D135="","",IFERROR(IF(INDEX(Hierarchy!$E$2:$E$1295,MATCH($D135,Hierarchy!$A$2:$A$1295,0))="","",INDEX(Hierarchy!$E$2:$E$1295,MATCH($D135,Hierarchy!$A$2:$A$1295,0))),"NODE NOT FOUND"))</f>
        <v/>
      </c>
      <c r="I135" s="7" t="str">
        <f aca="false">IF($D135="","",IFERROR(IF(INDEX(Hierarchy!$F$2:$F$1295,MATCH($D135,Hierarchy!$A$2:$A$1295,0))="","",INDEX(Hierarchy!$F$2:$F$1295,MATCH($D135,Hierarchy!$A$2:$A$1295,0))),"NODE NOT FOUND"))</f>
        <v/>
      </c>
      <c r="J135" s="7" t="str">
        <f aca="false">IF($D135="","",IFERROR(IF(INDEX(Hierarchy!$G$2:$G$1295,MATCH($D135,Hierarchy!$A$2:$A$1295,0))="","",INDEX(Hierarchy!$G$2:$G$1295,MATCH($D135,Hierarchy!$A$2:$A$1295,0))),"NODE NOT FOUND"))</f>
        <v/>
      </c>
      <c r="K135" s="7" t="str">
        <f aca="false">IF($D135="","",IFERROR(IF(INDEX(Hierarchy!$H$2:$H$1295,MATCH($D135,Hierarchy!$A$2:$A$1295,0))="","",INDEX(Hierarchy!$H$2:$H$1295,MATCH($D135,Hierarchy!$A$2:$A$1295,0))),"NODE NOT FOUND"))</f>
        <v/>
      </c>
      <c r="L135" s="7" t="str">
        <f aca="false">IF($D135="","",IFERROR(IF(INDEX(Hierarchy!$I$2:$I$1295,MATCH($D135,Hierarchy!$A$2:$A$1295,0))="","",INDEX(Hierarchy!$I$2:$I$1295,MATCH($D135,Hierarchy!$A$2:$A$1295,0))),"NODE NOT FOUND"))</f>
        <v/>
      </c>
      <c r="M135" s="17" t="str">
        <f aca="false">IF(B135="Pre-seeded","Pre-seeded",IF(B135="Review 2026-09-16","Added from review",IF(C135="","New",IF(C135=D135,"","Changed"))))</f>
        <v>Changed</v>
      </c>
      <c r="N135" s="7" t="str">
        <f aca="false">TRIM(SUBSTITUTE(SUBSTITUTE(SUBSTITUTE(" "&amp;TRIM(SUBSTITUTE(SUBSTITUTE(SUBSTITUTE(SUBSTITUTE(SUBSTITUTE(SUBSTITUTE(SUBSTITUTE(SUBSTITUTE(SUBSTITUTE(SUBSTITUTE(SUBSTITUTE(SUBSTITUTE(SUBSTITUTE(SUBSTITUTE(SUBSTITUTE(UPPER(TRIM(A135)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35" s="17" t="str">
        <f aca="false">IF(COUNTIFS($N$2:$N$2000,N135,$D$2:$D$2000,"&lt;&gt;"&amp;D135)&gt;0,"CONFLICT","")</f>
        <v/>
      </c>
      <c r="P135" s="7"/>
    </row>
    <row r="136" customFormat="false" ht="15" hidden="false" customHeight="false" outlineLevel="0" collapsed="false">
      <c r="A136" s="7" t="s">
        <v>1981</v>
      </c>
      <c r="B136" s="7" t="s">
        <v>1954</v>
      </c>
      <c r="C136" s="7"/>
      <c r="D136" s="6" t="s">
        <v>1311</v>
      </c>
      <c r="E136" s="6" t="s">
        <v>1880</v>
      </c>
      <c r="F136" s="7" t="str">
        <f aca="false">IF($D136="","",IFERROR(IF(INDEX(Hierarchy!$B$2:$B$1295,MATCH($D136,Hierarchy!$A$2:$A$1295,0))="","",INDEX(Hierarchy!$B$2:$B$1295,MATCH($D136,Hierarchy!$A$2:$A$1295,0))),"NODE NOT FOUND"))</f>
        <v>Region</v>
      </c>
      <c r="G136" s="7" t="str">
        <f aca="false">IF($D136="","",IFERROR(IF(INDEX(Hierarchy!$D$2:$D$1295,MATCH($D136,Hierarchy!$A$2:$A$1295,0))="","",INDEX(Hierarchy!$D$2:$D$1295,MATCH($D136,Hierarchy!$A$2:$A$1295,0))),"NODE NOT FOUND"))</f>
        <v>APAC</v>
      </c>
      <c r="H136" s="7" t="str">
        <f aca="false">IF($D136="","",IFERROR(IF(INDEX(Hierarchy!$E$2:$E$1295,MATCH($D136,Hierarchy!$A$2:$A$1295,0))="","",INDEX(Hierarchy!$E$2:$E$1295,MATCH($D136,Hierarchy!$A$2:$A$1295,0))),"NODE NOT FOUND"))</f>
        <v/>
      </c>
      <c r="I136" s="7" t="str">
        <f aca="false">IF($D136="","",IFERROR(IF(INDEX(Hierarchy!$F$2:$F$1295,MATCH($D136,Hierarchy!$A$2:$A$1295,0))="","",INDEX(Hierarchy!$F$2:$F$1295,MATCH($D136,Hierarchy!$A$2:$A$1295,0))),"NODE NOT FOUND"))</f>
        <v/>
      </c>
      <c r="J136" s="7" t="str">
        <f aca="false">IF($D136="","",IFERROR(IF(INDEX(Hierarchy!$G$2:$G$1295,MATCH($D136,Hierarchy!$A$2:$A$1295,0))="","",INDEX(Hierarchy!$G$2:$G$1295,MATCH($D136,Hierarchy!$A$2:$A$1295,0))),"NODE NOT FOUND"))</f>
        <v/>
      </c>
      <c r="K136" s="7" t="str">
        <f aca="false">IF($D136="","",IFERROR(IF(INDEX(Hierarchy!$H$2:$H$1295,MATCH($D136,Hierarchy!$A$2:$A$1295,0))="","",INDEX(Hierarchy!$H$2:$H$1295,MATCH($D136,Hierarchy!$A$2:$A$1295,0))),"NODE NOT FOUND"))</f>
        <v/>
      </c>
      <c r="L136" s="7" t="str">
        <f aca="false">IF($D136="","",IFERROR(IF(INDEX(Hierarchy!$I$2:$I$1295,MATCH($D136,Hierarchy!$A$2:$A$1295,0))="","",INDEX(Hierarchy!$I$2:$I$1295,MATCH($D136,Hierarchy!$A$2:$A$1295,0))),"NODE NOT FOUND"))</f>
        <v/>
      </c>
      <c r="M136" s="17" t="str">
        <f aca="false">IF(B136="Pre-seeded","Pre-seeded",IF(B136="Review 2026-09-16","Added from review",IF(C136="","New",IF(C136=D136,"","Changed"))))</f>
        <v>Added from review</v>
      </c>
      <c r="N136" s="7" t="str">
        <f aca="false">TRIM(SUBSTITUTE(SUBSTITUTE(SUBSTITUTE(" "&amp;TRIM(SUBSTITUTE(SUBSTITUTE(SUBSTITUTE(SUBSTITUTE(SUBSTITUTE(SUBSTITUTE(SUBSTITUTE(SUBSTITUTE(SUBSTITUTE(SUBSTITUTE(SUBSTITUTE(SUBSTITUTE(SUBSTITUTE(SUBSTITUTE(SUBSTITUTE(UPPER(TRIM(A136)),"[MEMBER]",""),"{MEMBER}",""),"[MEMBER}",""),"MEMBER]",""),"(A)",""),"""",""),"“",""),"”",""),".",""),":",""),",",""),"–"," "),"-"," "),"/"," "),"&amp;"," AND "))&amp;" "," THE "," ")," TOTAL "," ")," OPERATIONS "," "))</f>
        <v>ASIA PACIFIC AND JAPAN</v>
      </c>
      <c r="O136" s="17" t="str">
        <f aca="false">IF(COUNTIFS($N$2:$N$2000,N136,$D$2:$D$2000,"&lt;&gt;"&amp;D136)&gt;0,"CONFLICT","")</f>
        <v/>
      </c>
      <c r="P136" s="7" t="s">
        <v>1955</v>
      </c>
    </row>
    <row r="137" customFormat="false" ht="15" hidden="false" customHeight="false" outlineLevel="0" collapsed="false">
      <c r="A137" s="7" t="s">
        <v>1982</v>
      </c>
      <c r="B137" s="7" t="s">
        <v>1882</v>
      </c>
      <c r="C137" s="7" t="s">
        <v>1926</v>
      </c>
      <c r="D137" s="6" t="s">
        <v>1311</v>
      </c>
      <c r="E137" s="6" t="s">
        <v>1880</v>
      </c>
      <c r="F137" s="7" t="str">
        <f aca="false">IF($D137="","",IFERROR(IF(INDEX(Hierarchy!$B$2:$B$1295,MATCH($D137,Hierarchy!$A$2:$A$1295,0))="","",INDEX(Hierarchy!$B$2:$B$1295,MATCH($D137,Hierarchy!$A$2:$A$1295,0))),"NODE NOT FOUND"))</f>
        <v>Region</v>
      </c>
      <c r="G137" s="7" t="str">
        <f aca="false">IF($D137="","",IFERROR(IF(INDEX(Hierarchy!$D$2:$D$1295,MATCH($D137,Hierarchy!$A$2:$A$1295,0))="","",INDEX(Hierarchy!$D$2:$D$1295,MATCH($D137,Hierarchy!$A$2:$A$1295,0))),"NODE NOT FOUND"))</f>
        <v>APAC</v>
      </c>
      <c r="H137" s="7" t="str">
        <f aca="false">IF($D137="","",IFERROR(IF(INDEX(Hierarchy!$E$2:$E$1295,MATCH($D137,Hierarchy!$A$2:$A$1295,0))="","",INDEX(Hierarchy!$E$2:$E$1295,MATCH($D137,Hierarchy!$A$2:$A$1295,0))),"NODE NOT FOUND"))</f>
        <v/>
      </c>
      <c r="I137" s="7" t="str">
        <f aca="false">IF($D137="","",IFERROR(IF(INDEX(Hierarchy!$F$2:$F$1295,MATCH($D137,Hierarchy!$A$2:$A$1295,0))="","",INDEX(Hierarchy!$F$2:$F$1295,MATCH($D137,Hierarchy!$A$2:$A$1295,0))),"NODE NOT FOUND"))</f>
        <v/>
      </c>
      <c r="J137" s="7" t="str">
        <f aca="false">IF($D137="","",IFERROR(IF(INDEX(Hierarchy!$G$2:$G$1295,MATCH($D137,Hierarchy!$A$2:$A$1295,0))="","",INDEX(Hierarchy!$G$2:$G$1295,MATCH($D137,Hierarchy!$A$2:$A$1295,0))),"NODE NOT FOUND"))</f>
        <v/>
      </c>
      <c r="K137" s="7" t="str">
        <f aca="false">IF($D137="","",IFERROR(IF(INDEX(Hierarchy!$H$2:$H$1295,MATCH($D137,Hierarchy!$A$2:$A$1295,0))="","",INDEX(Hierarchy!$H$2:$H$1295,MATCH($D137,Hierarchy!$A$2:$A$1295,0))),"NODE NOT FOUND"))</f>
        <v/>
      </c>
      <c r="L137" s="7" t="str">
        <f aca="false">IF($D137="","",IFERROR(IF(INDEX(Hierarchy!$I$2:$I$1295,MATCH($D137,Hierarchy!$A$2:$A$1295,0))="","",INDEX(Hierarchy!$I$2:$I$1295,MATCH($D137,Hierarchy!$A$2:$A$1295,0))),"NODE NOT FOUND"))</f>
        <v/>
      </c>
      <c r="M137" s="17" t="str">
        <f aca="false">IF(B137="Pre-seeded","Pre-seeded",IF(B137="Review 2026-09-16","Added from review",IF(C137="","New",IF(C137=D137,"","Changed"))))</f>
        <v>Changed</v>
      </c>
      <c r="N137" s="7" t="str">
        <f aca="false">TRIM(SUBSTITUTE(SUBSTITUTE(SUBSTITUTE(" "&amp;TRIM(SUBSTITUTE(SUBSTITUTE(SUBSTITUTE(SUBSTITUTE(SUBSTITUTE(SUBSTITUTE(SUBSTITUTE(SUBSTITUTE(SUBSTITUTE(SUBSTITUTE(SUBSTITUTE(SUBSTITUTE(SUBSTITUTE(SUBSTITUTE(SUBSTITUTE(UPPER(TRIM(A137)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37" s="17" t="str">
        <f aca="false">IF(COUNTIFS($N$2:$N$2000,N137,$D$2:$D$2000,"&lt;&gt;"&amp;D137)&gt;0,"CONFLICT","")</f>
        <v/>
      </c>
      <c r="P137" s="7"/>
    </row>
    <row r="138" customFormat="false" ht="15" hidden="false" customHeight="false" outlineLevel="0" collapsed="false">
      <c r="A138" s="7" t="s">
        <v>1983</v>
      </c>
      <c r="B138" s="7" t="s">
        <v>1882</v>
      </c>
      <c r="C138" s="7" t="s">
        <v>1926</v>
      </c>
      <c r="D138" s="6" t="s">
        <v>1311</v>
      </c>
      <c r="E138" s="6" t="s">
        <v>1880</v>
      </c>
      <c r="F138" s="7" t="str">
        <f aca="false">IF($D138="","",IFERROR(IF(INDEX(Hierarchy!$B$2:$B$1295,MATCH($D138,Hierarchy!$A$2:$A$1295,0))="","",INDEX(Hierarchy!$B$2:$B$1295,MATCH($D138,Hierarchy!$A$2:$A$1295,0))),"NODE NOT FOUND"))</f>
        <v>Region</v>
      </c>
      <c r="G138" s="7" t="str">
        <f aca="false">IF($D138="","",IFERROR(IF(INDEX(Hierarchy!$D$2:$D$1295,MATCH($D138,Hierarchy!$A$2:$A$1295,0))="","",INDEX(Hierarchy!$D$2:$D$1295,MATCH($D138,Hierarchy!$A$2:$A$1295,0))),"NODE NOT FOUND"))</f>
        <v>APAC</v>
      </c>
      <c r="H138" s="7" t="str">
        <f aca="false">IF($D138="","",IFERROR(IF(INDEX(Hierarchy!$E$2:$E$1295,MATCH($D138,Hierarchy!$A$2:$A$1295,0))="","",INDEX(Hierarchy!$E$2:$E$1295,MATCH($D138,Hierarchy!$A$2:$A$1295,0))),"NODE NOT FOUND"))</f>
        <v/>
      </c>
      <c r="I138" s="7" t="str">
        <f aca="false">IF($D138="","",IFERROR(IF(INDEX(Hierarchy!$F$2:$F$1295,MATCH($D138,Hierarchy!$A$2:$A$1295,0))="","",INDEX(Hierarchy!$F$2:$F$1295,MATCH($D138,Hierarchy!$A$2:$A$1295,0))),"NODE NOT FOUND"))</f>
        <v/>
      </c>
      <c r="J138" s="7" t="str">
        <f aca="false">IF($D138="","",IFERROR(IF(INDEX(Hierarchy!$G$2:$G$1295,MATCH($D138,Hierarchy!$A$2:$A$1295,0))="","",INDEX(Hierarchy!$G$2:$G$1295,MATCH($D138,Hierarchy!$A$2:$A$1295,0))),"NODE NOT FOUND"))</f>
        <v/>
      </c>
      <c r="K138" s="7" t="str">
        <f aca="false">IF($D138="","",IFERROR(IF(INDEX(Hierarchy!$H$2:$H$1295,MATCH($D138,Hierarchy!$A$2:$A$1295,0))="","",INDEX(Hierarchy!$H$2:$H$1295,MATCH($D138,Hierarchy!$A$2:$A$1295,0))),"NODE NOT FOUND"))</f>
        <v/>
      </c>
      <c r="L138" s="7" t="str">
        <f aca="false">IF($D138="","",IFERROR(IF(INDEX(Hierarchy!$I$2:$I$1295,MATCH($D138,Hierarchy!$A$2:$A$1295,0))="","",INDEX(Hierarchy!$I$2:$I$1295,MATCH($D138,Hierarchy!$A$2:$A$1295,0))),"NODE NOT FOUND"))</f>
        <v/>
      </c>
      <c r="M138" s="17" t="str">
        <f aca="false">IF(B138="Pre-seeded","Pre-seeded",IF(B138="Review 2026-09-16","Added from review",IF(C138="","New",IF(C138=D138,"","Changed"))))</f>
        <v>Changed</v>
      </c>
      <c r="N138" s="7" t="str">
        <f aca="false">TRIM(SUBSTITUTE(SUBSTITUTE(SUBSTITUTE(" "&amp;TRIM(SUBSTITUTE(SUBSTITUTE(SUBSTITUTE(SUBSTITUTE(SUBSTITUTE(SUBSTITUTE(SUBSTITUTE(SUBSTITUTE(SUBSTITUTE(SUBSTITUTE(SUBSTITUTE(SUBSTITUTE(SUBSTITUTE(SUBSTITUTE(SUBSTITUTE(UPPER(TRIM(A138)),"[MEMBER]",""),"{MEMBER}",""),"[MEMBER}",""),"MEMBER]",""),"(A)",""),"""",""),"“",""),"”",""),".",""),":",""),",",""),"–"," "),"-"," "),"/"," "),"&amp;"," AND "))&amp;" "," THE "," ")," TOTAL "," ")," OPERATIONS "," "))</f>
        <v>ASIA PACIFIC</v>
      </c>
      <c r="O138" s="17" t="str">
        <f aca="false">IF(COUNTIFS($N$2:$N$2000,N138,$D$2:$D$2000,"&lt;&gt;"&amp;D138)&gt;0,"CONFLICT","")</f>
        <v/>
      </c>
      <c r="P138" s="7"/>
    </row>
    <row r="139" customFormat="false" ht="15" hidden="false" customHeight="false" outlineLevel="0" collapsed="false">
      <c r="A139" s="7" t="s">
        <v>1984</v>
      </c>
      <c r="B139" s="7" t="s">
        <v>1882</v>
      </c>
      <c r="C139" s="7" t="s">
        <v>1926</v>
      </c>
      <c r="D139" s="6" t="s">
        <v>1311</v>
      </c>
      <c r="E139" s="6" t="s">
        <v>1880</v>
      </c>
      <c r="F139" s="7" t="str">
        <f aca="false">IF($D139="","",IFERROR(IF(INDEX(Hierarchy!$B$2:$B$1295,MATCH($D139,Hierarchy!$A$2:$A$1295,0))="","",INDEX(Hierarchy!$B$2:$B$1295,MATCH($D139,Hierarchy!$A$2:$A$1295,0))),"NODE NOT FOUND"))</f>
        <v>Region</v>
      </c>
      <c r="G139" s="7" t="str">
        <f aca="false">IF($D139="","",IFERROR(IF(INDEX(Hierarchy!$D$2:$D$1295,MATCH($D139,Hierarchy!$A$2:$A$1295,0))="","",INDEX(Hierarchy!$D$2:$D$1295,MATCH($D139,Hierarchy!$A$2:$A$1295,0))),"NODE NOT FOUND"))</f>
        <v>APAC</v>
      </c>
      <c r="H139" s="7" t="str">
        <f aca="false">IF($D139="","",IFERROR(IF(INDEX(Hierarchy!$E$2:$E$1295,MATCH($D139,Hierarchy!$A$2:$A$1295,0))="","",INDEX(Hierarchy!$E$2:$E$1295,MATCH($D139,Hierarchy!$A$2:$A$1295,0))),"NODE NOT FOUND"))</f>
        <v/>
      </c>
      <c r="I139" s="7" t="str">
        <f aca="false">IF($D139="","",IFERROR(IF(INDEX(Hierarchy!$F$2:$F$1295,MATCH($D139,Hierarchy!$A$2:$A$1295,0))="","",INDEX(Hierarchy!$F$2:$F$1295,MATCH($D139,Hierarchy!$A$2:$A$1295,0))),"NODE NOT FOUND"))</f>
        <v/>
      </c>
      <c r="J139" s="7" t="str">
        <f aca="false">IF($D139="","",IFERROR(IF(INDEX(Hierarchy!$G$2:$G$1295,MATCH($D139,Hierarchy!$A$2:$A$1295,0))="","",INDEX(Hierarchy!$G$2:$G$1295,MATCH($D139,Hierarchy!$A$2:$A$1295,0))),"NODE NOT FOUND"))</f>
        <v/>
      </c>
      <c r="K139" s="7" t="str">
        <f aca="false">IF($D139="","",IFERROR(IF(INDEX(Hierarchy!$H$2:$H$1295,MATCH($D139,Hierarchy!$A$2:$A$1295,0))="","",INDEX(Hierarchy!$H$2:$H$1295,MATCH($D139,Hierarchy!$A$2:$A$1295,0))),"NODE NOT FOUND"))</f>
        <v/>
      </c>
      <c r="L139" s="7" t="str">
        <f aca="false">IF($D139="","",IFERROR(IF(INDEX(Hierarchy!$I$2:$I$1295,MATCH($D139,Hierarchy!$A$2:$A$1295,0))="","",INDEX(Hierarchy!$I$2:$I$1295,MATCH($D139,Hierarchy!$A$2:$A$1295,0))),"NODE NOT FOUND"))</f>
        <v/>
      </c>
      <c r="M139" s="17" t="str">
        <f aca="false">IF(B139="Pre-seeded","Pre-seeded",IF(B139="Review 2026-09-16","Added from review",IF(C139="","New",IF(C139=D139,"","Changed"))))</f>
        <v>Changed</v>
      </c>
      <c r="N139" s="7" t="str">
        <f aca="false">TRIM(SUBSTITUTE(SUBSTITUTE(SUBSTITUTE(" "&amp;TRIM(SUBSTITUTE(SUBSTITUTE(SUBSTITUTE(SUBSTITUTE(SUBSTITUTE(SUBSTITUTE(SUBSTITUTE(SUBSTITUTE(SUBSTITUTE(SUBSTITUTE(SUBSTITUTE(SUBSTITUTE(SUBSTITUTE(SUBSTITUTE(SUBSTITUTE(UPPER(TRIM(A139)),"[MEMBER]",""),"{MEMBER}",""),"[MEMBER}",""),"MEMBER]",""),"(A)",""),"""",""),"“",""),"”",""),".",""),":",""),",",""),"–"," "),"-"," "),"/"," "),"&amp;"," AND "))&amp;" "," THE "," ")," TOTAL "," ")," OPERATIONS "," "))</f>
        <v>ASIA   PACIFIC</v>
      </c>
      <c r="O139" s="17" t="str">
        <f aca="false">IF(COUNTIFS($N$2:$N$2000,N139,$D$2:$D$2000,"&lt;&gt;"&amp;D139)&gt;0,"CONFLICT","")</f>
        <v/>
      </c>
      <c r="P139" s="7"/>
    </row>
    <row r="140" customFormat="false" ht="15" hidden="false" customHeight="false" outlineLevel="0" collapsed="false">
      <c r="A140" s="7" t="s">
        <v>1050</v>
      </c>
      <c r="B140" s="7" t="s">
        <v>1879</v>
      </c>
      <c r="C140" s="7"/>
      <c r="D140" s="6" t="s">
        <v>1050</v>
      </c>
      <c r="E140" s="6" t="s">
        <v>1880</v>
      </c>
      <c r="F140" s="7" t="str">
        <f aca="false">IF($D140="","",IFERROR(IF(INDEX(Hierarchy!$B$2:$B$1295,MATCH($D140,Hierarchy!$A$2:$A$1295,0))="","",INDEX(Hierarchy!$B$2:$B$1295,MATCH($D140,Hierarchy!$A$2:$A$1295,0))),"NODE NOT FOUND"))</f>
        <v>State/Province</v>
      </c>
      <c r="G140" s="7" t="str">
        <f aca="false">IF($D140="","",IFERROR(IF(INDEX(Hierarchy!$D$2:$D$1295,MATCH($D140,Hierarchy!$A$2:$A$1295,0))="","",INDEX(Hierarchy!$D$2:$D$1295,MATCH($D140,Hierarchy!$A$2:$A$1295,0))),"NODE NOT FOUND"))</f>
        <v>EMEA</v>
      </c>
      <c r="H140" s="7" t="str">
        <f aca="false">IF($D140="","",IFERROR(IF(INDEX(Hierarchy!$E$2:$E$1295,MATCH($D140,Hierarchy!$A$2:$A$1295,0))="","",INDEX(Hierarchy!$E$2:$E$1295,MATCH($D140,Hierarchy!$A$2:$A$1295,0))),"NODE NOT FOUND"))</f>
        <v>Middle East</v>
      </c>
      <c r="I140" s="7" t="str">
        <f aca="false">IF($D140="","",IFERROR(IF(INDEX(Hierarchy!$F$2:$F$1295,MATCH($D140,Hierarchy!$A$2:$A$1295,0))="","",INDEX(Hierarchy!$F$2:$F$1295,MATCH($D140,Hierarchy!$A$2:$A$1295,0))),"NODE NOT FOUND"))</f>
        <v>Saudi Arabia</v>
      </c>
      <c r="J140" s="7" t="str">
        <f aca="false">IF($D140="","",IFERROR(IF(INDEX(Hierarchy!$G$2:$G$1295,MATCH($D140,Hierarchy!$A$2:$A$1295,0))="","",INDEX(Hierarchy!$G$2:$G$1295,MATCH($D140,Hierarchy!$A$2:$A$1295,0))),"NODE NOT FOUND"))</f>
        <v>SAU</v>
      </c>
      <c r="K140" s="7" t="str">
        <f aca="false">IF($D140="","",IFERROR(IF(INDEX(Hierarchy!$H$2:$H$1295,MATCH($D140,Hierarchy!$A$2:$A$1295,0))="","",INDEX(Hierarchy!$H$2:$H$1295,MATCH($D140,Hierarchy!$A$2:$A$1295,0))),"NODE NOT FOUND"))</f>
        <v>Asir Province</v>
      </c>
      <c r="L140" s="7" t="str">
        <f aca="false">IF($D140="","",IFERROR(IF(INDEX(Hierarchy!$I$2:$I$1295,MATCH($D140,Hierarchy!$A$2:$A$1295,0))="","",INDEX(Hierarchy!$I$2:$I$1295,MATCH($D140,Hierarchy!$A$2:$A$1295,0))),"NODE NOT FOUND"))</f>
        <v/>
      </c>
      <c r="M140" s="17" t="str">
        <f aca="false">IF(B140="Pre-seeded","Pre-seeded",IF(B140="Review 2026-09-16","Added from review",IF(C140="","New",IF(C140=D140,"","Changed"))))</f>
        <v>Pre-seeded</v>
      </c>
      <c r="N140" s="7" t="str">
        <f aca="false">TRIM(SUBSTITUTE(SUBSTITUTE(SUBSTITUTE(" "&amp;TRIM(SUBSTITUTE(SUBSTITUTE(SUBSTITUTE(SUBSTITUTE(SUBSTITUTE(SUBSTITUTE(SUBSTITUTE(SUBSTITUTE(SUBSTITUTE(SUBSTITUTE(SUBSTITUTE(SUBSTITUTE(SUBSTITUTE(SUBSTITUTE(SUBSTITUTE(UPPER(TRIM(A140)),"[MEMBER]",""),"{MEMBER}",""),"[MEMBER}",""),"MEMBER]",""),"(A)",""),"""",""),"“",""),"”",""),".",""),":",""),",",""),"–"," "),"-"," "),"/"," "),"&amp;"," AND "))&amp;" "," THE "," ")," TOTAL "," ")," OPERATIONS "," "))</f>
        <v>ASIR PROVINCE</v>
      </c>
      <c r="O140" s="17" t="str">
        <f aca="false">IF(COUNTIFS($N$2:$N$2000,N140,$D$2:$D$2000,"&lt;&gt;"&amp;D140)&gt;0,"CONFLICT","")</f>
        <v/>
      </c>
      <c r="P140" s="7"/>
    </row>
    <row r="141" customFormat="false" ht="15" hidden="false" customHeight="false" outlineLevel="0" collapsed="false">
      <c r="A141" s="7" t="s">
        <v>1329</v>
      </c>
      <c r="B141" s="7" t="s">
        <v>1879</v>
      </c>
      <c r="C141" s="7"/>
      <c r="D141" s="6" t="s">
        <v>1329</v>
      </c>
      <c r="E141" s="6" t="s">
        <v>1880</v>
      </c>
      <c r="F141" s="7" t="str">
        <f aca="false">IF($D141="","",IFERROR(IF(INDEX(Hierarchy!$B$2:$B$1295,MATCH($D141,Hierarchy!$A$2:$A$1295,0))="","",INDEX(Hierarchy!$B$2:$B$1295,MATCH($D141,Hierarchy!$A$2:$A$1295,0))),"NODE NOT FOUND"))</f>
        <v>State/Province</v>
      </c>
      <c r="G141" s="7" t="str">
        <f aca="false">IF($D141="","",IFERROR(IF(INDEX(Hierarchy!$D$2:$D$1295,MATCH($D141,Hierarchy!$A$2:$A$1295,0))="","",INDEX(Hierarchy!$D$2:$D$1295,MATCH($D141,Hierarchy!$A$2:$A$1295,0))),"NODE NOT FOUND"))</f>
        <v>APAC</v>
      </c>
      <c r="H141" s="7" t="str">
        <f aca="false">IF($D141="","",IFERROR(IF(INDEX(Hierarchy!$E$2:$E$1295,MATCH($D141,Hierarchy!$A$2:$A$1295,0))="","",INDEX(Hierarchy!$E$2:$E$1295,MATCH($D141,Hierarchy!$A$2:$A$1295,0))),"NODE NOT FOUND"))</f>
        <v>South Asia</v>
      </c>
      <c r="I141" s="7" t="str">
        <f aca="false">IF($D141="","",IFERROR(IF(INDEX(Hierarchy!$F$2:$F$1295,MATCH($D141,Hierarchy!$A$2:$A$1295,0))="","",INDEX(Hierarchy!$F$2:$F$1295,MATCH($D141,Hierarchy!$A$2:$A$1295,0))),"NODE NOT FOUND"))</f>
        <v>India</v>
      </c>
      <c r="J141" s="7" t="str">
        <f aca="false">IF($D141="","",IFERROR(IF(INDEX(Hierarchy!$G$2:$G$1295,MATCH($D141,Hierarchy!$A$2:$A$1295,0))="","",INDEX(Hierarchy!$G$2:$G$1295,MATCH($D141,Hierarchy!$A$2:$A$1295,0))),"NODE NOT FOUND"))</f>
        <v>IND</v>
      </c>
      <c r="K141" s="7" t="str">
        <f aca="false">IF($D141="","",IFERROR(IF(INDEX(Hierarchy!$H$2:$H$1295,MATCH($D141,Hierarchy!$A$2:$A$1295,0))="","",INDEX(Hierarchy!$H$2:$H$1295,MATCH($D141,Hierarchy!$A$2:$A$1295,0))),"NODE NOT FOUND"))</f>
        <v>Assam</v>
      </c>
      <c r="L141" s="7" t="str">
        <f aca="false">IF($D141="","",IFERROR(IF(INDEX(Hierarchy!$I$2:$I$1295,MATCH($D141,Hierarchy!$A$2:$A$1295,0))="","",INDEX(Hierarchy!$I$2:$I$1295,MATCH($D141,Hierarchy!$A$2:$A$1295,0))),"NODE NOT FOUND"))</f>
        <v/>
      </c>
      <c r="M141" s="17" t="str">
        <f aca="false">IF(B141="Pre-seeded","Pre-seeded",IF(B141="Review 2026-09-16","Added from review",IF(C141="","New",IF(C141=D141,"","Changed"))))</f>
        <v>Pre-seeded</v>
      </c>
      <c r="N141" s="7" t="str">
        <f aca="false">TRIM(SUBSTITUTE(SUBSTITUTE(SUBSTITUTE(" "&amp;TRIM(SUBSTITUTE(SUBSTITUTE(SUBSTITUTE(SUBSTITUTE(SUBSTITUTE(SUBSTITUTE(SUBSTITUTE(SUBSTITUTE(SUBSTITUTE(SUBSTITUTE(SUBSTITUTE(SUBSTITUTE(SUBSTITUTE(SUBSTITUTE(SUBSTITUTE(UPPER(TRIM(A141)),"[MEMBER]",""),"{MEMBER}",""),"[MEMBER}",""),"MEMBER]",""),"(A)",""),"""",""),"“",""),"”",""),".",""),":",""),",",""),"–"," "),"-"," "),"/"," "),"&amp;"," AND "))&amp;" "," THE "," ")," TOTAL "," ")," OPERATIONS "," "))</f>
        <v>ASSAM</v>
      </c>
      <c r="O141" s="17" t="str">
        <f aca="false">IF(COUNTIFS($N$2:$N$2000,N141,$D$2:$D$2000,"&lt;&gt;"&amp;D141)&gt;0,"CONFLICT","")</f>
        <v/>
      </c>
      <c r="P141" s="7"/>
    </row>
    <row r="142" customFormat="false" ht="15" hidden="false" customHeight="false" outlineLevel="0" collapsed="false">
      <c r="A142" s="7" t="s">
        <v>954</v>
      </c>
      <c r="B142" s="7" t="s">
        <v>1879</v>
      </c>
      <c r="C142" s="7"/>
      <c r="D142" s="6" t="s">
        <v>954</v>
      </c>
      <c r="E142" s="6" t="s">
        <v>1880</v>
      </c>
      <c r="F142" s="7" t="str">
        <f aca="false">IF($D142="","",IFERROR(IF(INDEX(Hierarchy!$B$2:$B$1295,MATCH($D142,Hierarchy!$A$2:$A$1295,0))="","",INDEX(Hierarchy!$B$2:$B$1295,MATCH($D142,Hierarchy!$A$2:$A$1295,0))),"NODE NOT FOUND"))</f>
        <v>State/Province</v>
      </c>
      <c r="G142" s="7" t="str">
        <f aca="false">IF($D142="","",IFERROR(IF(INDEX(Hierarchy!$D$2:$D$1295,MATCH($D142,Hierarchy!$A$2:$A$1295,0))="","",INDEX(Hierarchy!$D$2:$D$1295,MATCH($D142,Hierarchy!$A$2:$A$1295,0))),"NODE NOT FOUND"))</f>
        <v>EMEA</v>
      </c>
      <c r="H142" s="7" t="str">
        <f aca="false">IF($D142="","",IFERROR(IF(INDEX(Hierarchy!$E$2:$E$1295,MATCH($D142,Hierarchy!$A$2:$A$1295,0))="","",INDEX(Hierarchy!$E$2:$E$1295,MATCH($D142,Hierarchy!$A$2:$A$1295,0))),"NODE NOT FOUND"))</f>
        <v>Europe</v>
      </c>
      <c r="I142" s="7" t="str">
        <f aca="false">IF($D142="","",IFERROR(IF(INDEX(Hierarchy!$F$2:$F$1295,MATCH($D142,Hierarchy!$A$2:$A$1295,0))="","",INDEX(Hierarchy!$F$2:$F$1295,MATCH($D142,Hierarchy!$A$2:$A$1295,0))),"NODE NOT FOUND"))</f>
        <v>Spain</v>
      </c>
      <c r="J142" s="7" t="str">
        <f aca="false">IF($D142="","",IFERROR(IF(INDEX(Hierarchy!$G$2:$G$1295,MATCH($D142,Hierarchy!$A$2:$A$1295,0))="","",INDEX(Hierarchy!$G$2:$G$1295,MATCH($D142,Hierarchy!$A$2:$A$1295,0))),"NODE NOT FOUND"))</f>
        <v>ESP</v>
      </c>
      <c r="K142" s="7" t="str">
        <f aca="false">IF($D142="","",IFERROR(IF(INDEX(Hierarchy!$H$2:$H$1295,MATCH($D142,Hierarchy!$A$2:$A$1295,0))="","",INDEX(Hierarchy!$H$2:$H$1295,MATCH($D142,Hierarchy!$A$2:$A$1295,0))),"NODE NOT FOUND"))</f>
        <v>Asturias</v>
      </c>
      <c r="L142" s="7" t="str">
        <f aca="false">IF($D142="","",IFERROR(IF(INDEX(Hierarchy!$I$2:$I$1295,MATCH($D142,Hierarchy!$A$2:$A$1295,0))="","",INDEX(Hierarchy!$I$2:$I$1295,MATCH($D142,Hierarchy!$A$2:$A$1295,0))),"NODE NOT FOUND"))</f>
        <v/>
      </c>
      <c r="M142" s="17" t="str">
        <f aca="false">IF(B142="Pre-seeded","Pre-seeded",IF(B142="Review 2026-09-16","Added from review",IF(C142="","New",IF(C142=D142,"","Changed"))))</f>
        <v>Pre-seeded</v>
      </c>
      <c r="N142" s="7" t="str">
        <f aca="false">TRIM(SUBSTITUTE(SUBSTITUTE(SUBSTITUTE(" "&amp;TRIM(SUBSTITUTE(SUBSTITUTE(SUBSTITUTE(SUBSTITUTE(SUBSTITUTE(SUBSTITUTE(SUBSTITUTE(SUBSTITUTE(SUBSTITUTE(SUBSTITUTE(SUBSTITUTE(SUBSTITUTE(SUBSTITUTE(SUBSTITUTE(SUBSTITUTE(UPPER(TRIM(A142)),"[MEMBER]",""),"{MEMBER}",""),"[MEMBER}",""),"MEMBER]",""),"(A)",""),"""",""),"“",""),"”",""),".",""),":",""),",",""),"–"," "),"-"," "),"/"," "),"&amp;"," AND "))&amp;" "," THE "," ")," TOTAL "," ")," OPERATIONS "," "))</f>
        <v>ASTURIAS</v>
      </c>
      <c r="O142" s="17" t="str">
        <f aca="false">IF(COUNTIFS($N$2:$N$2000,N142,$D$2:$D$2000,"&lt;&gt;"&amp;D142)&gt;0,"CONFLICT","")</f>
        <v/>
      </c>
      <c r="P142" s="7"/>
    </row>
    <row r="143" customFormat="false" ht="15" hidden="false" customHeight="false" outlineLevel="0" collapsed="false">
      <c r="A143" s="7" t="s">
        <v>481</v>
      </c>
      <c r="B143" s="7" t="s">
        <v>1879</v>
      </c>
      <c r="C143" s="7"/>
      <c r="D143" s="6" t="s">
        <v>481</v>
      </c>
      <c r="E143" s="6" t="s">
        <v>1880</v>
      </c>
      <c r="F143" s="7" t="str">
        <f aca="false">IF($D143="","",IFERROR(IF(INDEX(Hierarchy!$B$2:$B$1295,MATCH($D143,Hierarchy!$A$2:$A$1295,0))="","",INDEX(Hierarchy!$B$2:$B$1295,MATCH($D143,Hierarchy!$A$2:$A$1295,0))),"NODE NOT FOUND"))</f>
        <v>State/Province</v>
      </c>
      <c r="G143" s="7" t="str">
        <f aca="false">IF($D143="","",IFERROR(IF(INDEX(Hierarchy!$D$2:$D$1295,MATCH($D143,Hierarchy!$A$2:$A$1295,0))="","",INDEX(Hierarchy!$D$2:$D$1295,MATCH($D143,Hierarchy!$A$2:$A$1295,0))),"NODE NOT FOUND"))</f>
        <v>AMER</v>
      </c>
      <c r="H143" s="7" t="str">
        <f aca="false">IF($D143="","",IFERROR(IF(INDEX(Hierarchy!$E$2:$E$1295,MATCH($D143,Hierarchy!$A$2:$A$1295,0))="","",INDEX(Hierarchy!$E$2:$E$1295,MATCH($D143,Hierarchy!$A$2:$A$1295,0))),"NODE NOT FOUND"))</f>
        <v>Latin America (LATAM)</v>
      </c>
      <c r="I143" s="7" t="str">
        <f aca="false">IF($D143="","",IFERROR(IF(INDEX(Hierarchy!$F$2:$F$1295,MATCH($D143,Hierarchy!$A$2:$A$1295,0))="","",INDEX(Hierarchy!$F$2:$F$1295,MATCH($D143,Hierarchy!$A$2:$A$1295,0))),"NODE NOT FOUND"))</f>
        <v>Chile</v>
      </c>
      <c r="J143" s="7" t="str">
        <f aca="false">IF($D143="","",IFERROR(IF(INDEX(Hierarchy!$G$2:$G$1295,MATCH($D143,Hierarchy!$A$2:$A$1295,0))="","",INDEX(Hierarchy!$G$2:$G$1295,MATCH($D143,Hierarchy!$A$2:$A$1295,0))),"NODE NOT FOUND"))</f>
        <v>CHL</v>
      </c>
      <c r="K143" s="7" t="str">
        <f aca="false">IF($D143="","",IFERROR(IF(INDEX(Hierarchy!$H$2:$H$1295,MATCH($D143,Hierarchy!$A$2:$A$1295,0))="","",INDEX(Hierarchy!$H$2:$H$1295,MATCH($D143,Hierarchy!$A$2:$A$1295,0))),"NODE NOT FOUND"))</f>
        <v>Atacama</v>
      </c>
      <c r="L143" s="7" t="str">
        <f aca="false">IF($D143="","",IFERROR(IF(INDEX(Hierarchy!$I$2:$I$1295,MATCH($D143,Hierarchy!$A$2:$A$1295,0))="","",INDEX(Hierarchy!$I$2:$I$1295,MATCH($D143,Hierarchy!$A$2:$A$1295,0))),"NODE NOT FOUND"))</f>
        <v/>
      </c>
      <c r="M143" s="17" t="str">
        <f aca="false">IF(B143="Pre-seeded","Pre-seeded",IF(B143="Review 2026-09-16","Added from review",IF(C143="","New",IF(C143=D143,"","Changed"))))</f>
        <v>Pre-seeded</v>
      </c>
      <c r="N143" s="7" t="str">
        <f aca="false">TRIM(SUBSTITUTE(SUBSTITUTE(SUBSTITUTE(" "&amp;TRIM(SUBSTITUTE(SUBSTITUTE(SUBSTITUTE(SUBSTITUTE(SUBSTITUTE(SUBSTITUTE(SUBSTITUTE(SUBSTITUTE(SUBSTITUTE(SUBSTITUTE(SUBSTITUTE(SUBSTITUTE(SUBSTITUTE(SUBSTITUTE(SUBSTITUTE(UPPER(TRIM(A143)),"[MEMBER]",""),"{MEMBER}",""),"[MEMBER}",""),"MEMBER]",""),"(A)",""),"""",""),"“",""),"”",""),".",""),":",""),",",""),"–"," "),"-"," "),"/"," "),"&amp;"," AND "))&amp;" "," THE "," ")," TOTAL "," ")," OPERATIONS "," "))</f>
        <v>ATACAMA</v>
      </c>
      <c r="O143" s="17" t="str">
        <f aca="false">IF(COUNTIFS($N$2:$N$2000,N143,$D$2:$D$2000,"&lt;&gt;"&amp;D143)&gt;0,"CONFLICT","")</f>
        <v/>
      </c>
      <c r="P143" s="7"/>
    </row>
    <row r="144" customFormat="false" ht="15" hidden="false" customHeight="false" outlineLevel="0" collapsed="false">
      <c r="A144" s="7" t="s">
        <v>172</v>
      </c>
      <c r="B144" s="7" t="s">
        <v>1882</v>
      </c>
      <c r="C144" s="7" t="s">
        <v>172</v>
      </c>
      <c r="D144" s="6" t="s">
        <v>172</v>
      </c>
      <c r="E144" s="6" t="s">
        <v>1880</v>
      </c>
      <c r="F144" s="7" t="str">
        <f aca="false">IF($D144="","",IFERROR(IF(INDEX(Hierarchy!$B$2:$B$1295,MATCH($D144,Hierarchy!$A$2:$A$1295,0))="","",INDEX(Hierarchy!$B$2:$B$1295,MATCH($D144,Hierarchy!$A$2:$A$1295,0))),"NODE NOT FOUND"))</f>
        <v>City</v>
      </c>
      <c r="G144" s="7" t="str">
        <f aca="false">IF($D144="","",IFERROR(IF(INDEX(Hierarchy!$D$2:$D$1295,MATCH($D144,Hierarchy!$A$2:$A$1295,0))="","",INDEX(Hierarchy!$D$2:$D$1295,MATCH($D144,Hierarchy!$A$2:$A$1295,0))),"NODE NOT FOUND"))</f>
        <v>AMER</v>
      </c>
      <c r="H144" s="7" t="str">
        <f aca="false">IF($D144="","",IFERROR(IF(INDEX(Hierarchy!$E$2:$E$1295,MATCH($D144,Hierarchy!$A$2:$A$1295,0))="","",INDEX(Hierarchy!$E$2:$E$1295,MATCH($D144,Hierarchy!$A$2:$A$1295,0))),"NODE NOT FOUND"))</f>
        <v>North America (NORAM)</v>
      </c>
      <c r="I144" s="7" t="str">
        <f aca="false">IF($D144="","",IFERROR(IF(INDEX(Hierarchy!$F$2:$F$1295,MATCH($D144,Hierarchy!$A$2:$A$1295,0))="","",INDEX(Hierarchy!$F$2:$F$1295,MATCH($D144,Hierarchy!$A$2:$A$1295,0))),"NODE NOT FOUND"))</f>
        <v>United States</v>
      </c>
      <c r="J144" s="7" t="str">
        <f aca="false">IF($D144="","",IFERROR(IF(INDEX(Hierarchy!$G$2:$G$1295,MATCH($D144,Hierarchy!$A$2:$A$1295,0))="","",INDEX(Hierarchy!$G$2:$G$1295,MATCH($D144,Hierarchy!$A$2:$A$1295,0))),"NODE NOT FOUND"))</f>
        <v>USA</v>
      </c>
      <c r="K144" s="7" t="str">
        <f aca="false">IF($D144="","",IFERROR(IF(INDEX(Hierarchy!$H$2:$H$1295,MATCH($D144,Hierarchy!$A$2:$A$1295,0))="","",INDEX(Hierarchy!$H$2:$H$1295,MATCH($D144,Hierarchy!$A$2:$A$1295,0))),"NODE NOT FOUND"))</f>
        <v>Georgia</v>
      </c>
      <c r="L144" s="7" t="str">
        <f aca="false">IF($D144="","",IFERROR(IF(INDEX(Hierarchy!$I$2:$I$1295,MATCH($D144,Hierarchy!$A$2:$A$1295,0))="","",INDEX(Hierarchy!$I$2:$I$1295,MATCH($D144,Hierarchy!$A$2:$A$1295,0))),"NODE NOT FOUND"))</f>
        <v>Atlanta</v>
      </c>
      <c r="M144" s="17" t="str">
        <f aca="false">IF(B144="Pre-seeded","Pre-seeded",IF(B144="Review 2026-09-16","Added from review",IF(C144="","New",IF(C144=D144,"","Changed"))))</f>
        <v/>
      </c>
      <c r="N144" s="7" t="str">
        <f aca="false">TRIM(SUBSTITUTE(SUBSTITUTE(SUBSTITUTE(" "&amp;TRIM(SUBSTITUTE(SUBSTITUTE(SUBSTITUTE(SUBSTITUTE(SUBSTITUTE(SUBSTITUTE(SUBSTITUTE(SUBSTITUTE(SUBSTITUTE(SUBSTITUTE(SUBSTITUTE(SUBSTITUTE(SUBSTITUTE(SUBSTITUTE(SUBSTITUTE(UPPER(TRIM(A144)),"[MEMBER]",""),"{MEMBER}",""),"[MEMBER}",""),"MEMBER]",""),"(A)",""),"""",""),"“",""),"”",""),".",""),":",""),",",""),"–"," "),"-"," "),"/"," "),"&amp;"," AND "))&amp;" "," THE "," ")," TOTAL "," ")," OPERATIONS "," "))</f>
        <v>ATLANTA</v>
      </c>
      <c r="O144" s="17" t="str">
        <f aca="false">IF(COUNTIFS($N$2:$N$2000,N144,$D$2:$D$2000,"&lt;&gt;"&amp;D144)&gt;0,"CONFLICT","")</f>
        <v/>
      </c>
      <c r="P144" s="7"/>
    </row>
    <row r="145" customFormat="false" ht="15" hidden="false" customHeight="false" outlineLevel="0" collapsed="false">
      <c r="A145" s="7" t="s">
        <v>273</v>
      </c>
      <c r="B145" s="7" t="s">
        <v>1879</v>
      </c>
      <c r="C145" s="7"/>
      <c r="D145" s="6" t="s">
        <v>273</v>
      </c>
      <c r="E145" s="6" t="s">
        <v>1880</v>
      </c>
      <c r="F145" s="7" t="str">
        <f aca="false">IF($D145="","",IFERROR(IF(INDEX(Hierarchy!$B$2:$B$1295,MATCH($D145,Hierarchy!$A$2:$A$1295,0))="","",INDEX(Hierarchy!$B$2:$B$1295,MATCH($D145,Hierarchy!$A$2:$A$1295,0))),"NODE NOT FOUND"))</f>
        <v>Sub-national region</v>
      </c>
      <c r="G145" s="7" t="str">
        <f aca="false">IF($D145="","",IFERROR(IF(INDEX(Hierarchy!$D$2:$D$1295,MATCH($D145,Hierarchy!$A$2:$A$1295,0))="","",INDEX(Hierarchy!$D$2:$D$1295,MATCH($D145,Hierarchy!$A$2:$A$1295,0))),"NODE NOT FOUND"))</f>
        <v>AMER</v>
      </c>
      <c r="H145" s="7" t="str">
        <f aca="false">IF($D145="","",IFERROR(IF(INDEX(Hierarchy!$E$2:$E$1295,MATCH($D145,Hierarchy!$A$2:$A$1295,0))="","",INDEX(Hierarchy!$E$2:$E$1295,MATCH($D145,Hierarchy!$A$2:$A$1295,0))),"NODE NOT FOUND"))</f>
        <v>North America (NORAM)</v>
      </c>
      <c r="I145" s="7" t="str">
        <f aca="false">IF($D145="","",IFERROR(IF(INDEX(Hierarchy!$F$2:$F$1295,MATCH($D145,Hierarchy!$A$2:$A$1295,0))="","",INDEX(Hierarchy!$F$2:$F$1295,MATCH($D145,Hierarchy!$A$2:$A$1295,0))),"NODE NOT FOUND"))</f>
        <v>Canada</v>
      </c>
      <c r="J145" s="7" t="str">
        <f aca="false">IF($D145="","",IFERROR(IF(INDEX(Hierarchy!$G$2:$G$1295,MATCH($D145,Hierarchy!$A$2:$A$1295,0))="","",INDEX(Hierarchy!$G$2:$G$1295,MATCH($D145,Hierarchy!$A$2:$A$1295,0))),"NODE NOT FOUND"))</f>
        <v>CAN</v>
      </c>
      <c r="K145" s="7" t="str">
        <f aca="false">IF($D145="","",IFERROR(IF(INDEX(Hierarchy!$H$2:$H$1295,MATCH($D145,Hierarchy!$A$2:$A$1295,0))="","",INDEX(Hierarchy!$H$2:$H$1295,MATCH($D145,Hierarchy!$A$2:$A$1295,0))),"NODE NOT FOUND"))</f>
        <v/>
      </c>
      <c r="L145" s="7" t="str">
        <f aca="false">IF($D145="","",IFERROR(IF(INDEX(Hierarchy!$I$2:$I$1295,MATCH($D145,Hierarchy!$A$2:$A$1295,0))="","",INDEX(Hierarchy!$I$2:$I$1295,MATCH($D145,Hierarchy!$A$2:$A$1295,0))),"NODE NOT FOUND"))</f>
        <v/>
      </c>
      <c r="M145" s="17" t="str">
        <f aca="false">IF(B145="Pre-seeded","Pre-seeded",IF(B145="Review 2026-09-16","Added from review",IF(C145="","New",IF(C145=D145,"","Changed"))))</f>
        <v>Pre-seeded</v>
      </c>
      <c r="N145" s="7" t="str">
        <f aca="false">TRIM(SUBSTITUTE(SUBSTITUTE(SUBSTITUTE(" "&amp;TRIM(SUBSTITUTE(SUBSTITUTE(SUBSTITUTE(SUBSTITUTE(SUBSTITUTE(SUBSTITUTE(SUBSTITUTE(SUBSTITUTE(SUBSTITUTE(SUBSTITUTE(SUBSTITUTE(SUBSTITUTE(SUBSTITUTE(SUBSTITUTE(SUBSTITUTE(UPPER(TRIM(A145)),"[MEMBER]",""),"{MEMBER}",""),"[MEMBER}",""),"MEMBER]",""),"(A)",""),"""",""),"“",""),"”",""),".",""),":",""),",",""),"–"," "),"-"," "),"/"," "),"&amp;"," AND "))&amp;" "," THE "," ")," TOTAL "," ")," OPERATIONS "," "))</f>
        <v>ATLANTIC CANADA</v>
      </c>
      <c r="O145" s="17" t="str">
        <f aca="false">IF(COUNTIFS($N$2:$N$2000,N145,$D$2:$D$2000,"&lt;&gt;"&amp;D145)&gt;0,"CONFLICT","")</f>
        <v/>
      </c>
      <c r="P145" s="7"/>
    </row>
    <row r="146" customFormat="false" ht="15" hidden="false" customHeight="false" outlineLevel="0" collapsed="false">
      <c r="A146" s="7" t="s">
        <v>503</v>
      </c>
      <c r="B146" s="7" t="s">
        <v>1879</v>
      </c>
      <c r="C146" s="7"/>
      <c r="D146" s="6" t="s">
        <v>503</v>
      </c>
      <c r="E146" s="6" t="s">
        <v>1880</v>
      </c>
      <c r="F146" s="7" t="str">
        <f aca="false">IF($D146="","",IFERROR(IF(INDEX(Hierarchy!$B$2:$B$1295,MATCH($D146,Hierarchy!$A$2:$A$1295,0))="","",INDEX(Hierarchy!$B$2:$B$1295,MATCH($D146,Hierarchy!$A$2:$A$1295,0))),"NODE NOT FOUND"))</f>
        <v>State/Province</v>
      </c>
      <c r="G146" s="7" t="str">
        <f aca="false">IF($D146="","",IFERROR(IF(INDEX(Hierarchy!$D$2:$D$1295,MATCH($D146,Hierarchy!$A$2:$A$1295,0))="","",INDEX(Hierarchy!$D$2:$D$1295,MATCH($D146,Hierarchy!$A$2:$A$1295,0))),"NODE NOT FOUND"))</f>
        <v>AMER</v>
      </c>
      <c r="H146" s="7" t="str">
        <f aca="false">IF($D146="","",IFERROR(IF(INDEX(Hierarchy!$E$2:$E$1295,MATCH($D146,Hierarchy!$A$2:$A$1295,0))="","",INDEX(Hierarchy!$E$2:$E$1295,MATCH($D146,Hierarchy!$A$2:$A$1295,0))),"NODE NOT FOUND"))</f>
        <v>Latin America (LATAM)</v>
      </c>
      <c r="I146" s="7" t="str">
        <f aca="false">IF($D146="","",IFERROR(IF(INDEX(Hierarchy!$F$2:$F$1295,MATCH($D146,Hierarchy!$A$2:$A$1295,0))="","",INDEX(Hierarchy!$F$2:$F$1295,MATCH($D146,Hierarchy!$A$2:$A$1295,0))),"NODE NOT FOUND"))</f>
        <v>Colombia</v>
      </c>
      <c r="J146" s="7" t="str">
        <f aca="false">IF($D146="","",IFERROR(IF(INDEX(Hierarchy!$G$2:$G$1295,MATCH($D146,Hierarchy!$A$2:$A$1295,0))="","",INDEX(Hierarchy!$G$2:$G$1295,MATCH($D146,Hierarchy!$A$2:$A$1295,0))),"NODE NOT FOUND"))</f>
        <v>COL</v>
      </c>
      <c r="K146" s="7" t="str">
        <f aca="false">IF($D146="","",IFERROR(IF(INDEX(Hierarchy!$H$2:$H$1295,MATCH($D146,Hierarchy!$A$2:$A$1295,0))="","",INDEX(Hierarchy!$H$2:$H$1295,MATCH($D146,Hierarchy!$A$2:$A$1295,0))),"NODE NOT FOUND"))</f>
        <v>Atlántico</v>
      </c>
      <c r="L146" s="7" t="str">
        <f aca="false">IF($D146="","",IFERROR(IF(INDEX(Hierarchy!$I$2:$I$1295,MATCH($D146,Hierarchy!$A$2:$A$1295,0))="","",INDEX(Hierarchy!$I$2:$I$1295,MATCH($D146,Hierarchy!$A$2:$A$1295,0))),"NODE NOT FOUND"))</f>
        <v/>
      </c>
      <c r="M146" s="17" t="str">
        <f aca="false">IF(B146="Pre-seeded","Pre-seeded",IF(B146="Review 2026-09-16","Added from review",IF(C146="","New",IF(C146=D146,"","Changed"))))</f>
        <v>Pre-seeded</v>
      </c>
      <c r="N146" s="7" t="str">
        <f aca="false">TRIM(SUBSTITUTE(SUBSTITUTE(SUBSTITUTE(" "&amp;TRIM(SUBSTITUTE(SUBSTITUTE(SUBSTITUTE(SUBSTITUTE(SUBSTITUTE(SUBSTITUTE(SUBSTITUTE(SUBSTITUTE(SUBSTITUTE(SUBSTITUTE(SUBSTITUTE(SUBSTITUTE(SUBSTITUTE(SUBSTITUTE(SUBSTITUTE(UPPER(TRIM(A146)),"[MEMBER]",""),"{MEMBER}",""),"[MEMBER}",""),"MEMBER]",""),"(A)",""),"""",""),"“",""),"”",""),".",""),":",""),",",""),"–"," "),"-"," "),"/"," "),"&amp;"," AND "))&amp;" "," THE "," ")," TOTAL "," ")," OPERATIONS "," "))</f>
        <v>ATLÁNTICO</v>
      </c>
      <c r="O146" s="17" t="str">
        <f aca="false">IF(COUNTIFS($N$2:$N$2000,N146,$D$2:$D$2000,"&lt;&gt;"&amp;D146)&gt;0,"CONFLICT","")</f>
        <v/>
      </c>
      <c r="P146" s="7"/>
    </row>
    <row r="147" customFormat="false" ht="15" hidden="false" customHeight="false" outlineLevel="0" collapsed="false">
      <c r="A147" s="7" t="s">
        <v>1718</v>
      </c>
      <c r="B147" s="7" t="s">
        <v>1879</v>
      </c>
      <c r="C147" s="7"/>
      <c r="D147" s="6" t="s">
        <v>1718</v>
      </c>
      <c r="E147" s="6" t="s">
        <v>1880</v>
      </c>
      <c r="F147" s="7" t="str">
        <f aca="false">IF($D147="","",IFERROR(IF(INDEX(Hierarchy!$B$2:$B$1295,MATCH($D147,Hierarchy!$A$2:$A$1295,0))="","",INDEX(Hierarchy!$B$2:$B$1295,MATCH($D147,Hierarchy!$A$2:$A$1295,0))),"NODE NOT FOUND"))</f>
        <v>State/Province</v>
      </c>
      <c r="G147" s="7" t="str">
        <f aca="false">IF($D147="","",IFERROR(IF(INDEX(Hierarchy!$D$2:$D$1295,MATCH($D147,Hierarchy!$A$2:$A$1295,0))="","",INDEX(Hierarchy!$D$2:$D$1295,MATCH($D147,Hierarchy!$A$2:$A$1295,0))),"NODE NOT FOUND"))</f>
        <v>APAC</v>
      </c>
      <c r="H147" s="7" t="str">
        <f aca="false">IF($D147="","",IFERROR(IF(INDEX(Hierarchy!$E$2:$E$1295,MATCH($D147,Hierarchy!$A$2:$A$1295,0))="","",INDEX(Hierarchy!$E$2:$E$1295,MATCH($D147,Hierarchy!$A$2:$A$1295,0))),"NODE NOT FOUND"))</f>
        <v>Oceania (ANZ)</v>
      </c>
      <c r="I147" s="7" t="str">
        <f aca="false">IF($D147="","",IFERROR(IF(INDEX(Hierarchy!$F$2:$F$1295,MATCH($D147,Hierarchy!$A$2:$A$1295,0))="","",INDEX(Hierarchy!$F$2:$F$1295,MATCH($D147,Hierarchy!$A$2:$A$1295,0))),"NODE NOT FOUND"))</f>
        <v>New Zealand</v>
      </c>
      <c r="J147" s="7" t="str">
        <f aca="false">IF($D147="","",IFERROR(IF(INDEX(Hierarchy!$G$2:$G$1295,MATCH($D147,Hierarchy!$A$2:$A$1295,0))="","",INDEX(Hierarchy!$G$2:$G$1295,MATCH($D147,Hierarchy!$A$2:$A$1295,0))),"NODE NOT FOUND"))</f>
        <v>NZL</v>
      </c>
      <c r="K147" s="7" t="str">
        <f aca="false">IF($D147="","",IFERROR(IF(INDEX(Hierarchy!$H$2:$H$1295,MATCH($D147,Hierarchy!$A$2:$A$1295,0))="","",INDEX(Hierarchy!$H$2:$H$1295,MATCH($D147,Hierarchy!$A$2:$A$1295,0))),"NODE NOT FOUND"))</f>
        <v>Auckland</v>
      </c>
      <c r="L147" s="7" t="str">
        <f aca="false">IF($D147="","",IFERROR(IF(INDEX(Hierarchy!$I$2:$I$1295,MATCH($D147,Hierarchy!$A$2:$A$1295,0))="","",INDEX(Hierarchy!$I$2:$I$1295,MATCH($D147,Hierarchy!$A$2:$A$1295,0))),"NODE NOT FOUND"))</f>
        <v/>
      </c>
      <c r="M147" s="17" t="str">
        <f aca="false">IF(B147="Pre-seeded","Pre-seeded",IF(B147="Review 2026-09-16","Added from review",IF(C147="","New",IF(C147=D147,"","Changed"))))</f>
        <v>Pre-seeded</v>
      </c>
      <c r="N147" s="7" t="str">
        <f aca="false">TRIM(SUBSTITUTE(SUBSTITUTE(SUBSTITUTE(" "&amp;TRIM(SUBSTITUTE(SUBSTITUTE(SUBSTITUTE(SUBSTITUTE(SUBSTITUTE(SUBSTITUTE(SUBSTITUTE(SUBSTITUTE(SUBSTITUTE(SUBSTITUTE(SUBSTITUTE(SUBSTITUTE(SUBSTITUTE(SUBSTITUTE(SUBSTITUTE(UPPER(TRIM(A147)),"[MEMBER]",""),"{MEMBER}",""),"[MEMBER}",""),"MEMBER]",""),"(A)",""),"""",""),"“",""),"”",""),".",""),":",""),",",""),"–"," "),"-"," "),"/"," "),"&amp;"," AND "))&amp;" "," THE "," ")," TOTAL "," ")," OPERATIONS "," "))</f>
        <v>AUCKLAND</v>
      </c>
      <c r="O147" s="17" t="str">
        <f aca="false">IF(COUNTIFS($N$2:$N$2000,N147,$D$2:$D$2000,"&lt;&gt;"&amp;D147)&gt;0,"CONFLICT","")</f>
        <v/>
      </c>
      <c r="P147" s="7"/>
    </row>
    <row r="148" customFormat="false" ht="15" hidden="false" customHeight="false" outlineLevel="0" collapsed="false">
      <c r="A148" s="7" t="s">
        <v>1985</v>
      </c>
      <c r="B148" s="7" t="s">
        <v>1879</v>
      </c>
      <c r="C148" s="7"/>
      <c r="D148" s="6" t="s">
        <v>1694</v>
      </c>
      <c r="E148" s="6" t="s">
        <v>1880</v>
      </c>
      <c r="F148" s="7" t="str">
        <f aca="false">IF($D148="","",IFERROR(IF(INDEX(Hierarchy!$B$2:$B$1295,MATCH($D148,Hierarchy!$A$2:$A$1295,0))="","",INDEX(Hierarchy!$B$2:$B$1295,MATCH($D148,Hierarchy!$A$2:$A$1295,0))),"NODE NOT FOUND"))</f>
        <v>Sub-region</v>
      </c>
      <c r="G148" s="7" t="str">
        <f aca="false">IF($D148="","",IFERROR(IF(INDEX(Hierarchy!$D$2:$D$1295,MATCH($D148,Hierarchy!$A$2:$A$1295,0))="","",INDEX(Hierarchy!$D$2:$D$1295,MATCH($D148,Hierarchy!$A$2:$A$1295,0))),"NODE NOT FOUND"))</f>
        <v>APAC</v>
      </c>
      <c r="H148" s="7" t="str">
        <f aca="false">IF($D148="","",IFERROR(IF(INDEX(Hierarchy!$E$2:$E$1295,MATCH($D148,Hierarchy!$A$2:$A$1295,0))="","",INDEX(Hierarchy!$E$2:$E$1295,MATCH($D148,Hierarchy!$A$2:$A$1295,0))),"NODE NOT FOUND"))</f>
        <v>Oceania (ANZ)</v>
      </c>
      <c r="I148" s="7" t="str">
        <f aca="false">IF($D148="","",IFERROR(IF(INDEX(Hierarchy!$F$2:$F$1295,MATCH($D148,Hierarchy!$A$2:$A$1295,0))="","",INDEX(Hierarchy!$F$2:$F$1295,MATCH($D148,Hierarchy!$A$2:$A$1295,0))),"NODE NOT FOUND"))</f>
        <v/>
      </c>
      <c r="J148" s="7" t="str">
        <f aca="false">IF($D148="","",IFERROR(IF(INDEX(Hierarchy!$G$2:$G$1295,MATCH($D148,Hierarchy!$A$2:$A$1295,0))="","",INDEX(Hierarchy!$G$2:$G$1295,MATCH($D148,Hierarchy!$A$2:$A$1295,0))),"NODE NOT FOUND"))</f>
        <v/>
      </c>
      <c r="K148" s="7" t="str">
        <f aca="false">IF($D148="","",IFERROR(IF(INDEX(Hierarchy!$H$2:$H$1295,MATCH($D148,Hierarchy!$A$2:$A$1295,0))="","",INDEX(Hierarchy!$H$2:$H$1295,MATCH($D148,Hierarchy!$A$2:$A$1295,0))),"NODE NOT FOUND"))</f>
        <v/>
      </c>
      <c r="L148" s="7" t="str">
        <f aca="false">IF($D148="","",IFERROR(IF(INDEX(Hierarchy!$I$2:$I$1295,MATCH($D148,Hierarchy!$A$2:$A$1295,0))="","",INDEX(Hierarchy!$I$2:$I$1295,MATCH($D148,Hierarchy!$A$2:$A$1295,0))),"NODE NOT FOUND"))</f>
        <v/>
      </c>
      <c r="M148" s="17" t="str">
        <f aca="false">IF(B148="Pre-seeded","Pre-seeded",IF(B148="Review 2026-09-16","Added from review",IF(C148="","New",IF(C148=D148,"","Changed"))))</f>
        <v>Pre-seeded</v>
      </c>
      <c r="N148" s="7" t="str">
        <f aca="false">TRIM(SUBSTITUTE(SUBSTITUTE(SUBSTITUTE(" "&amp;TRIM(SUBSTITUTE(SUBSTITUTE(SUBSTITUTE(SUBSTITUTE(SUBSTITUTE(SUBSTITUTE(SUBSTITUTE(SUBSTITUTE(SUBSTITUTE(SUBSTITUTE(SUBSTITUTE(SUBSTITUTE(SUBSTITUTE(SUBSTITUTE(SUBSTITUTE(UPPER(TRIM(A148)),"[MEMBER]",""),"{MEMBER}",""),"[MEMBER}",""),"MEMBER]",""),"(A)",""),"""",""),"“",""),"”",""),".",""),":",""),",",""),"–"," "),"-"," "),"/"," "),"&amp;"," AND "))&amp;" "," THE "," ")," TOTAL "," ")," OPERATIONS "," "))</f>
        <v>AUSTRALASIA</v>
      </c>
      <c r="O148" s="17" t="str">
        <f aca="false">IF(COUNTIFS($N$2:$N$2000,N148,$D$2:$D$2000,"&lt;&gt;"&amp;D148)&gt;0,"CONFLICT","")</f>
        <v/>
      </c>
      <c r="P148" s="7"/>
    </row>
    <row r="149" customFormat="false" ht="15" hidden="false" customHeight="false" outlineLevel="0" collapsed="false">
      <c r="A149" s="7" t="s">
        <v>1697</v>
      </c>
      <c r="B149" s="7" t="s">
        <v>1882</v>
      </c>
      <c r="C149" s="7" t="s">
        <v>1697</v>
      </c>
      <c r="D149" s="6" t="s">
        <v>1697</v>
      </c>
      <c r="E149" s="6" t="s">
        <v>1880</v>
      </c>
      <c r="F149" s="7" t="str">
        <f aca="false">IF($D149="","",IFERROR(IF(INDEX(Hierarchy!$B$2:$B$1295,MATCH($D149,Hierarchy!$A$2:$A$1295,0))="","",INDEX(Hierarchy!$B$2:$B$1295,MATCH($D149,Hierarchy!$A$2:$A$1295,0))),"NODE NOT FOUND"))</f>
        <v>Country</v>
      </c>
      <c r="G149" s="7" t="str">
        <f aca="false">IF($D149="","",IFERROR(IF(INDEX(Hierarchy!$D$2:$D$1295,MATCH($D149,Hierarchy!$A$2:$A$1295,0))="","",INDEX(Hierarchy!$D$2:$D$1295,MATCH($D149,Hierarchy!$A$2:$A$1295,0))),"NODE NOT FOUND"))</f>
        <v>APAC</v>
      </c>
      <c r="H149" s="7" t="str">
        <f aca="false">IF($D149="","",IFERROR(IF(INDEX(Hierarchy!$E$2:$E$1295,MATCH($D149,Hierarchy!$A$2:$A$1295,0))="","",INDEX(Hierarchy!$E$2:$E$1295,MATCH($D149,Hierarchy!$A$2:$A$1295,0))),"NODE NOT FOUND"))</f>
        <v>Oceania (ANZ)</v>
      </c>
      <c r="I149" s="7" t="str">
        <f aca="false">IF($D149="","",IFERROR(IF(INDEX(Hierarchy!$F$2:$F$1295,MATCH($D149,Hierarchy!$A$2:$A$1295,0))="","",INDEX(Hierarchy!$F$2:$F$1295,MATCH($D149,Hierarchy!$A$2:$A$1295,0))),"NODE NOT FOUND"))</f>
        <v>Australia</v>
      </c>
      <c r="J149" s="7" t="str">
        <f aca="false">IF($D149="","",IFERROR(IF(INDEX(Hierarchy!$G$2:$G$1295,MATCH($D149,Hierarchy!$A$2:$A$1295,0))="","",INDEX(Hierarchy!$G$2:$G$1295,MATCH($D149,Hierarchy!$A$2:$A$1295,0))),"NODE NOT FOUND"))</f>
        <v>AUS</v>
      </c>
      <c r="K149" s="7" t="str">
        <f aca="false">IF($D149="","",IFERROR(IF(INDEX(Hierarchy!$H$2:$H$1295,MATCH($D149,Hierarchy!$A$2:$A$1295,0))="","",INDEX(Hierarchy!$H$2:$H$1295,MATCH($D149,Hierarchy!$A$2:$A$1295,0))),"NODE NOT FOUND"))</f>
        <v/>
      </c>
      <c r="L149" s="7" t="str">
        <f aca="false">IF($D149="","",IFERROR(IF(INDEX(Hierarchy!$I$2:$I$1295,MATCH($D149,Hierarchy!$A$2:$A$1295,0))="","",INDEX(Hierarchy!$I$2:$I$1295,MATCH($D149,Hierarchy!$A$2:$A$1295,0))),"NODE NOT FOUND"))</f>
        <v/>
      </c>
      <c r="M149" s="17" t="str">
        <f aca="false">IF(B149="Pre-seeded","Pre-seeded",IF(B149="Review 2026-09-16","Added from review",IF(C149="","New",IF(C149=D149,"","Changed"))))</f>
        <v/>
      </c>
      <c r="N149" s="7" t="str">
        <f aca="false">TRIM(SUBSTITUTE(SUBSTITUTE(SUBSTITUTE(" "&amp;TRIM(SUBSTITUTE(SUBSTITUTE(SUBSTITUTE(SUBSTITUTE(SUBSTITUTE(SUBSTITUTE(SUBSTITUTE(SUBSTITUTE(SUBSTITUTE(SUBSTITUTE(SUBSTITUTE(SUBSTITUTE(SUBSTITUTE(SUBSTITUTE(SUBSTITUTE(UPPER(TRIM(A149)),"[MEMBER]",""),"{MEMBER}",""),"[MEMBER}",""),"MEMBER]",""),"(A)",""),"""",""),"“",""),"”",""),".",""),":",""),",",""),"–"," "),"-"," "),"/"," "),"&amp;"," AND "))&amp;" "," THE "," ")," TOTAL "," ")," OPERATIONS "," "))</f>
        <v>AUSTRALIA</v>
      </c>
      <c r="O149" s="17" t="str">
        <f aca="false">IF(COUNTIFS($N$2:$N$2000,N149,$D$2:$D$2000,"&lt;&gt;"&amp;D149)&gt;0,"CONFLICT","")</f>
        <v/>
      </c>
      <c r="P149" s="7"/>
    </row>
    <row r="150" customFormat="false" ht="15" hidden="false" customHeight="false" outlineLevel="0" collapsed="false">
      <c r="A150" s="7" t="s">
        <v>1986</v>
      </c>
      <c r="B150" s="7" t="s">
        <v>1882</v>
      </c>
      <c r="C150" s="7" t="s">
        <v>1697</v>
      </c>
      <c r="D150" s="6" t="s">
        <v>1697</v>
      </c>
      <c r="E150" s="6" t="s">
        <v>1880</v>
      </c>
      <c r="F150" s="7" t="str">
        <f aca="false">IF($D150="","",IFERROR(IF(INDEX(Hierarchy!$B$2:$B$1295,MATCH($D150,Hierarchy!$A$2:$A$1295,0))="","",INDEX(Hierarchy!$B$2:$B$1295,MATCH($D150,Hierarchy!$A$2:$A$1295,0))),"NODE NOT FOUND"))</f>
        <v>Country</v>
      </c>
      <c r="G150" s="7" t="str">
        <f aca="false">IF($D150="","",IFERROR(IF(INDEX(Hierarchy!$D$2:$D$1295,MATCH($D150,Hierarchy!$A$2:$A$1295,0))="","",INDEX(Hierarchy!$D$2:$D$1295,MATCH($D150,Hierarchy!$A$2:$A$1295,0))),"NODE NOT FOUND"))</f>
        <v>APAC</v>
      </c>
      <c r="H150" s="7" t="str">
        <f aca="false">IF($D150="","",IFERROR(IF(INDEX(Hierarchy!$E$2:$E$1295,MATCH($D150,Hierarchy!$A$2:$A$1295,0))="","",INDEX(Hierarchy!$E$2:$E$1295,MATCH($D150,Hierarchy!$A$2:$A$1295,0))),"NODE NOT FOUND"))</f>
        <v>Oceania (ANZ)</v>
      </c>
      <c r="I150" s="7" t="str">
        <f aca="false">IF($D150="","",IFERROR(IF(INDEX(Hierarchy!$F$2:$F$1295,MATCH($D150,Hierarchy!$A$2:$A$1295,0))="","",INDEX(Hierarchy!$F$2:$F$1295,MATCH($D150,Hierarchy!$A$2:$A$1295,0))),"NODE NOT FOUND"))</f>
        <v>Australia</v>
      </c>
      <c r="J150" s="7" t="str">
        <f aca="false">IF($D150="","",IFERROR(IF(INDEX(Hierarchy!$G$2:$G$1295,MATCH($D150,Hierarchy!$A$2:$A$1295,0))="","",INDEX(Hierarchy!$G$2:$G$1295,MATCH($D150,Hierarchy!$A$2:$A$1295,0))),"NODE NOT FOUND"))</f>
        <v>AUS</v>
      </c>
      <c r="K150" s="7" t="str">
        <f aca="false">IF($D150="","",IFERROR(IF(INDEX(Hierarchy!$H$2:$H$1295,MATCH($D150,Hierarchy!$A$2:$A$1295,0))="","",INDEX(Hierarchy!$H$2:$H$1295,MATCH($D150,Hierarchy!$A$2:$A$1295,0))),"NODE NOT FOUND"))</f>
        <v/>
      </c>
      <c r="L150" s="7" t="str">
        <f aca="false">IF($D150="","",IFERROR(IF(INDEX(Hierarchy!$I$2:$I$1295,MATCH($D150,Hierarchy!$A$2:$A$1295,0))="","",INDEX(Hierarchy!$I$2:$I$1295,MATCH($D150,Hierarchy!$A$2:$A$1295,0))),"NODE NOT FOUND"))</f>
        <v/>
      </c>
      <c r="M150" s="17" t="str">
        <f aca="false">IF(B150="Pre-seeded","Pre-seeded",IF(B150="Review 2026-09-16","Added from review",IF(C150="","New",IF(C150=D150,"","Changed"))))</f>
        <v/>
      </c>
      <c r="N150" s="7" t="str">
        <f aca="false">TRIM(SUBSTITUTE(SUBSTITUTE(SUBSTITUTE(" "&amp;TRIM(SUBSTITUTE(SUBSTITUTE(SUBSTITUTE(SUBSTITUTE(SUBSTITUTE(SUBSTITUTE(SUBSTITUTE(SUBSTITUTE(SUBSTITUTE(SUBSTITUTE(SUBSTITUTE(SUBSTITUTE(SUBSTITUTE(SUBSTITUTE(SUBSTITUTE(UPPER(TRIM(A150)),"[MEMBER]",""),"{MEMBER}",""),"[MEMBER}",""),"MEMBER]",""),"(A)",""),"""",""),"“",""),"”",""),".",""),":",""),",",""),"–"," "),"-"," "),"/"," "),"&amp;"," AND "))&amp;" "," THE "," ")," TOTAL "," ")," OPERATIONS "," "))</f>
        <v>AUSTRALIA</v>
      </c>
      <c r="O150" s="17" t="str">
        <f aca="false">IF(COUNTIFS($N$2:$N$2000,N150,$D$2:$D$2000,"&lt;&gt;"&amp;D150)&gt;0,"CONFLICT","")</f>
        <v/>
      </c>
      <c r="P150" s="7"/>
    </row>
    <row r="151" customFormat="false" ht="15" hidden="false" customHeight="false" outlineLevel="0" collapsed="false">
      <c r="A151" s="7" t="s">
        <v>1987</v>
      </c>
      <c r="B151" s="7" t="s">
        <v>1954</v>
      </c>
      <c r="C151" s="7"/>
      <c r="D151" s="6" t="s">
        <v>1694</v>
      </c>
      <c r="E151" s="6" t="s">
        <v>1880</v>
      </c>
      <c r="F151" s="7" t="str">
        <f aca="false">IF($D151="","",IFERROR(IF(INDEX(Hierarchy!$B$2:$B$1295,MATCH($D151,Hierarchy!$A$2:$A$1295,0))="","",INDEX(Hierarchy!$B$2:$B$1295,MATCH($D151,Hierarchy!$A$2:$A$1295,0))),"NODE NOT FOUND"))</f>
        <v>Sub-region</v>
      </c>
      <c r="G151" s="7" t="str">
        <f aca="false">IF($D151="","",IFERROR(IF(INDEX(Hierarchy!$D$2:$D$1295,MATCH($D151,Hierarchy!$A$2:$A$1295,0))="","",INDEX(Hierarchy!$D$2:$D$1295,MATCH($D151,Hierarchy!$A$2:$A$1295,0))),"NODE NOT FOUND"))</f>
        <v>APAC</v>
      </c>
      <c r="H151" s="7" t="str">
        <f aca="false">IF($D151="","",IFERROR(IF(INDEX(Hierarchy!$E$2:$E$1295,MATCH($D151,Hierarchy!$A$2:$A$1295,0))="","",INDEX(Hierarchy!$E$2:$E$1295,MATCH($D151,Hierarchy!$A$2:$A$1295,0))),"NODE NOT FOUND"))</f>
        <v>Oceania (ANZ)</v>
      </c>
      <c r="I151" s="7" t="str">
        <f aca="false">IF($D151="","",IFERROR(IF(INDEX(Hierarchy!$F$2:$F$1295,MATCH($D151,Hierarchy!$A$2:$A$1295,0))="","",INDEX(Hierarchy!$F$2:$F$1295,MATCH($D151,Hierarchy!$A$2:$A$1295,0))),"NODE NOT FOUND"))</f>
        <v/>
      </c>
      <c r="J151" s="7" t="str">
        <f aca="false">IF($D151="","",IFERROR(IF(INDEX(Hierarchy!$G$2:$G$1295,MATCH($D151,Hierarchy!$A$2:$A$1295,0))="","",INDEX(Hierarchy!$G$2:$G$1295,MATCH($D151,Hierarchy!$A$2:$A$1295,0))),"NODE NOT FOUND"))</f>
        <v/>
      </c>
      <c r="K151" s="7" t="str">
        <f aca="false">IF($D151="","",IFERROR(IF(INDEX(Hierarchy!$H$2:$H$1295,MATCH($D151,Hierarchy!$A$2:$A$1295,0))="","",INDEX(Hierarchy!$H$2:$H$1295,MATCH($D151,Hierarchy!$A$2:$A$1295,0))),"NODE NOT FOUND"))</f>
        <v/>
      </c>
      <c r="L151" s="7" t="str">
        <f aca="false">IF($D151="","",IFERROR(IF(INDEX(Hierarchy!$I$2:$I$1295,MATCH($D151,Hierarchy!$A$2:$A$1295,0))="","",INDEX(Hierarchy!$I$2:$I$1295,MATCH($D151,Hierarchy!$A$2:$A$1295,0))),"NODE NOT FOUND"))</f>
        <v/>
      </c>
      <c r="M151" s="17" t="str">
        <f aca="false">IF(B151="Pre-seeded","Pre-seeded",IF(B151="Review 2026-09-16","Added from review",IF(C151="","New",IF(C151=D151,"","Changed"))))</f>
        <v>Added from review</v>
      </c>
      <c r="N151" s="7" t="str">
        <f aca="false">TRIM(SUBSTITUTE(SUBSTITUTE(SUBSTITUTE(" "&amp;TRIM(SUBSTITUTE(SUBSTITUTE(SUBSTITUTE(SUBSTITUTE(SUBSTITUTE(SUBSTITUTE(SUBSTITUTE(SUBSTITUTE(SUBSTITUTE(SUBSTITUTE(SUBSTITUTE(SUBSTITUTE(SUBSTITUTE(SUBSTITUTE(SUBSTITUTE(UPPER(TRIM(A151)),"[MEMBER]",""),"{MEMBER}",""),"[MEMBER}",""),"MEMBER]",""),"(A)",""),"""",""),"“",""),"”",""),".",""),":",""),",",""),"–"," "),"-"," "),"/"," "),"&amp;"," AND "))&amp;" "," THE "," ")," TOTAL "," ")," OPERATIONS "," "))</f>
        <v>AUSTRALIA AND NEW ZEALAND</v>
      </c>
      <c r="O151" s="17" t="str">
        <f aca="false">IF(COUNTIFS($N$2:$N$2000,N151,$D$2:$D$2000,"&lt;&gt;"&amp;D151)&gt;0,"CONFLICT","")</f>
        <v/>
      </c>
      <c r="P151" s="7" t="s">
        <v>1955</v>
      </c>
    </row>
    <row r="152" customFormat="false" ht="15" hidden="false" customHeight="false" outlineLevel="0" collapsed="false">
      <c r="A152" s="7" t="s">
        <v>1988</v>
      </c>
      <c r="B152" s="7" t="s">
        <v>1885</v>
      </c>
      <c r="C152" s="7" t="s">
        <v>1697</v>
      </c>
      <c r="D152" s="6" t="s">
        <v>1694</v>
      </c>
      <c r="E152" s="6" t="s">
        <v>1880</v>
      </c>
      <c r="F152" s="7" t="str">
        <f aca="false">IF($D152="","",IFERROR(IF(INDEX(Hierarchy!$B$2:$B$1295,MATCH($D152,Hierarchy!$A$2:$A$1295,0))="","",INDEX(Hierarchy!$B$2:$B$1295,MATCH($D152,Hierarchy!$A$2:$A$1295,0))),"NODE NOT FOUND"))</f>
        <v>Sub-region</v>
      </c>
      <c r="G152" s="7" t="str">
        <f aca="false">IF($D152="","",IFERROR(IF(INDEX(Hierarchy!$D$2:$D$1295,MATCH($D152,Hierarchy!$A$2:$A$1295,0))="","",INDEX(Hierarchy!$D$2:$D$1295,MATCH($D152,Hierarchy!$A$2:$A$1295,0))),"NODE NOT FOUND"))</f>
        <v>APAC</v>
      </c>
      <c r="H152" s="7" t="str">
        <f aca="false">IF($D152="","",IFERROR(IF(INDEX(Hierarchy!$E$2:$E$1295,MATCH($D152,Hierarchy!$A$2:$A$1295,0))="","",INDEX(Hierarchy!$E$2:$E$1295,MATCH($D152,Hierarchy!$A$2:$A$1295,0))),"NODE NOT FOUND"))</f>
        <v>Oceania (ANZ)</v>
      </c>
      <c r="I152" s="7" t="str">
        <f aca="false">IF($D152="","",IFERROR(IF(INDEX(Hierarchy!$F$2:$F$1295,MATCH($D152,Hierarchy!$A$2:$A$1295,0))="","",INDEX(Hierarchy!$F$2:$F$1295,MATCH($D152,Hierarchy!$A$2:$A$1295,0))),"NODE NOT FOUND"))</f>
        <v/>
      </c>
      <c r="J152" s="7" t="str">
        <f aca="false">IF($D152="","",IFERROR(IF(INDEX(Hierarchy!$G$2:$G$1295,MATCH($D152,Hierarchy!$A$2:$A$1295,0))="","",INDEX(Hierarchy!$G$2:$G$1295,MATCH($D152,Hierarchy!$A$2:$A$1295,0))),"NODE NOT FOUND"))</f>
        <v/>
      </c>
      <c r="K152" s="7" t="str">
        <f aca="false">IF($D152="","",IFERROR(IF(INDEX(Hierarchy!$H$2:$H$1295,MATCH($D152,Hierarchy!$A$2:$A$1295,0))="","",INDEX(Hierarchy!$H$2:$H$1295,MATCH($D152,Hierarchy!$A$2:$A$1295,0))),"NODE NOT FOUND"))</f>
        <v/>
      </c>
      <c r="L152" s="7" t="str">
        <f aca="false">IF($D152="","",IFERROR(IF(INDEX(Hierarchy!$I$2:$I$1295,MATCH($D152,Hierarchy!$A$2:$A$1295,0))="","",INDEX(Hierarchy!$I$2:$I$1295,MATCH($D152,Hierarchy!$A$2:$A$1295,0))),"NODE NOT FOUND"))</f>
        <v/>
      </c>
      <c r="M152" s="17" t="str">
        <f aca="false">IF(B152="Pre-seeded","Pre-seeded",IF(B152="Review 2026-09-16","Added from review",IF(C152="","New",IF(C152=D152,"","Changed"))))</f>
        <v>Changed</v>
      </c>
      <c r="N152" s="7" t="str">
        <f aca="false">TRIM(SUBSTITUTE(SUBSTITUTE(SUBSTITUTE(" "&amp;TRIM(SUBSTITUTE(SUBSTITUTE(SUBSTITUTE(SUBSTITUTE(SUBSTITUTE(SUBSTITUTE(SUBSTITUTE(SUBSTITUTE(SUBSTITUTE(SUBSTITUTE(SUBSTITUTE(SUBSTITUTE(SUBSTITUTE(SUBSTITUTE(SUBSTITUTE(UPPER(TRIM(A152)),"[MEMBER]",""),"{MEMBER}",""),"[MEMBER}",""),"MEMBER]",""),"(A)",""),"""",""),"“",""),"”",""),".",""),":",""),",",""),"–"," "),"-"," "),"/"," "),"&amp;"," AND "))&amp;" "," THE "," ")," TOTAL "," ")," OPERATIONS "," "))</f>
        <v>AUSTRALIA NEW ZEALAND</v>
      </c>
      <c r="O152" s="17" t="str">
        <f aca="false">IF(COUNTIFS($N$2:$N$2000,N152,$D$2:$D$2000,"&lt;&gt;"&amp;D152)&gt;0,"CONFLICT","")</f>
        <v/>
      </c>
      <c r="P152" s="7"/>
    </row>
    <row r="153" customFormat="false" ht="15" hidden="false" customHeight="false" outlineLevel="0" collapsed="false">
      <c r="A153" s="7" t="s">
        <v>1989</v>
      </c>
      <c r="B153" s="7" t="s">
        <v>1879</v>
      </c>
      <c r="C153" s="7"/>
      <c r="D153" s="6" t="s">
        <v>1694</v>
      </c>
      <c r="E153" s="6" t="s">
        <v>1880</v>
      </c>
      <c r="F153" s="7" t="str">
        <f aca="false">IF($D153="","",IFERROR(IF(INDEX(Hierarchy!$B$2:$B$1295,MATCH($D153,Hierarchy!$A$2:$A$1295,0))="","",INDEX(Hierarchy!$B$2:$B$1295,MATCH($D153,Hierarchy!$A$2:$A$1295,0))),"NODE NOT FOUND"))</f>
        <v>Sub-region</v>
      </c>
      <c r="G153" s="7" t="str">
        <f aca="false">IF($D153="","",IFERROR(IF(INDEX(Hierarchy!$D$2:$D$1295,MATCH($D153,Hierarchy!$A$2:$A$1295,0))="","",INDEX(Hierarchy!$D$2:$D$1295,MATCH($D153,Hierarchy!$A$2:$A$1295,0))),"NODE NOT FOUND"))</f>
        <v>APAC</v>
      </c>
      <c r="H153" s="7" t="str">
        <f aca="false">IF($D153="","",IFERROR(IF(INDEX(Hierarchy!$E$2:$E$1295,MATCH($D153,Hierarchy!$A$2:$A$1295,0))="","",INDEX(Hierarchy!$E$2:$E$1295,MATCH($D153,Hierarchy!$A$2:$A$1295,0))),"NODE NOT FOUND"))</f>
        <v>Oceania (ANZ)</v>
      </c>
      <c r="I153" s="7" t="str">
        <f aca="false">IF($D153="","",IFERROR(IF(INDEX(Hierarchy!$F$2:$F$1295,MATCH($D153,Hierarchy!$A$2:$A$1295,0))="","",INDEX(Hierarchy!$F$2:$F$1295,MATCH($D153,Hierarchy!$A$2:$A$1295,0))),"NODE NOT FOUND"))</f>
        <v/>
      </c>
      <c r="J153" s="7" t="str">
        <f aca="false">IF($D153="","",IFERROR(IF(INDEX(Hierarchy!$G$2:$G$1295,MATCH($D153,Hierarchy!$A$2:$A$1295,0))="","",INDEX(Hierarchy!$G$2:$G$1295,MATCH($D153,Hierarchy!$A$2:$A$1295,0))),"NODE NOT FOUND"))</f>
        <v/>
      </c>
      <c r="K153" s="7" t="str">
        <f aca="false">IF($D153="","",IFERROR(IF(INDEX(Hierarchy!$H$2:$H$1295,MATCH($D153,Hierarchy!$A$2:$A$1295,0))="","",INDEX(Hierarchy!$H$2:$H$1295,MATCH($D153,Hierarchy!$A$2:$A$1295,0))),"NODE NOT FOUND"))</f>
        <v/>
      </c>
      <c r="L153" s="7" t="str">
        <f aca="false">IF($D153="","",IFERROR(IF(INDEX(Hierarchy!$I$2:$I$1295,MATCH($D153,Hierarchy!$A$2:$A$1295,0))="","",INDEX(Hierarchy!$I$2:$I$1295,MATCH($D153,Hierarchy!$A$2:$A$1295,0))),"NODE NOT FOUND"))</f>
        <v/>
      </c>
      <c r="M153" s="17" t="str">
        <f aca="false">IF(B153="Pre-seeded","Pre-seeded",IF(B153="Review 2026-09-16","Added from review",IF(C153="","New",IF(C153=D153,"","Changed"))))</f>
        <v>Pre-seeded</v>
      </c>
      <c r="N153" s="7" t="str">
        <f aca="false">TRIM(SUBSTITUTE(SUBSTITUTE(SUBSTITUTE(" "&amp;TRIM(SUBSTITUTE(SUBSTITUTE(SUBSTITUTE(SUBSTITUTE(SUBSTITUTE(SUBSTITUTE(SUBSTITUTE(SUBSTITUTE(SUBSTITUTE(SUBSTITUTE(SUBSTITUTE(SUBSTITUTE(SUBSTITUTE(SUBSTITUTE(SUBSTITUTE(UPPER(TRIM(A153)),"[MEMBER]",""),"{MEMBER}",""),"[MEMBER}",""),"MEMBER]",""),"(A)",""),"""",""),"“",""),"”",""),".",""),":",""),",",""),"–"," "),"-"," "),"/"," "),"&amp;"," AND "))&amp;" "," THE "," ")," TOTAL "," ")," OPERATIONS "," "))</f>
        <v>AUSTRALIA AND NEW ZEALAND (ANZ)</v>
      </c>
      <c r="O153" s="17" t="str">
        <f aca="false">IF(COUNTIFS($N$2:$N$2000,N153,$D$2:$D$2000,"&lt;&gt;"&amp;D153)&gt;0,"CONFLICT","")</f>
        <v/>
      </c>
      <c r="P153" s="7"/>
    </row>
    <row r="154" customFormat="false" ht="15" hidden="false" customHeight="false" outlineLevel="0" collapsed="false">
      <c r="A154" s="7" t="s">
        <v>1990</v>
      </c>
      <c r="B154" s="7" t="s">
        <v>1954</v>
      </c>
      <c r="C154" s="7"/>
      <c r="D154" s="6" t="s">
        <v>1694</v>
      </c>
      <c r="E154" s="6" t="s">
        <v>1880</v>
      </c>
      <c r="F154" s="7" t="str">
        <f aca="false">IF($D154="","",IFERROR(IF(INDEX(Hierarchy!$B$2:$B$1295,MATCH($D154,Hierarchy!$A$2:$A$1295,0))="","",INDEX(Hierarchy!$B$2:$B$1295,MATCH($D154,Hierarchy!$A$2:$A$1295,0))),"NODE NOT FOUND"))</f>
        <v>Sub-region</v>
      </c>
      <c r="G154" s="7" t="str">
        <f aca="false">IF($D154="","",IFERROR(IF(INDEX(Hierarchy!$D$2:$D$1295,MATCH($D154,Hierarchy!$A$2:$A$1295,0))="","",INDEX(Hierarchy!$D$2:$D$1295,MATCH($D154,Hierarchy!$A$2:$A$1295,0))),"NODE NOT FOUND"))</f>
        <v>APAC</v>
      </c>
      <c r="H154" s="7" t="str">
        <f aca="false">IF($D154="","",IFERROR(IF(INDEX(Hierarchy!$E$2:$E$1295,MATCH($D154,Hierarchy!$A$2:$A$1295,0))="","",INDEX(Hierarchy!$E$2:$E$1295,MATCH($D154,Hierarchy!$A$2:$A$1295,0))),"NODE NOT FOUND"))</f>
        <v>Oceania (ANZ)</v>
      </c>
      <c r="I154" s="7" t="str">
        <f aca="false">IF($D154="","",IFERROR(IF(INDEX(Hierarchy!$F$2:$F$1295,MATCH($D154,Hierarchy!$A$2:$A$1295,0))="","",INDEX(Hierarchy!$F$2:$F$1295,MATCH($D154,Hierarchy!$A$2:$A$1295,0))),"NODE NOT FOUND"))</f>
        <v/>
      </c>
      <c r="J154" s="7" t="str">
        <f aca="false">IF($D154="","",IFERROR(IF(INDEX(Hierarchy!$G$2:$G$1295,MATCH($D154,Hierarchy!$A$2:$A$1295,0))="","",INDEX(Hierarchy!$G$2:$G$1295,MATCH($D154,Hierarchy!$A$2:$A$1295,0))),"NODE NOT FOUND"))</f>
        <v/>
      </c>
      <c r="K154" s="7" t="str">
        <f aca="false">IF($D154="","",IFERROR(IF(INDEX(Hierarchy!$H$2:$H$1295,MATCH($D154,Hierarchy!$A$2:$A$1295,0))="","",INDEX(Hierarchy!$H$2:$H$1295,MATCH($D154,Hierarchy!$A$2:$A$1295,0))),"NODE NOT FOUND"))</f>
        <v/>
      </c>
      <c r="L154" s="7" t="str">
        <f aca="false">IF($D154="","",IFERROR(IF(INDEX(Hierarchy!$I$2:$I$1295,MATCH($D154,Hierarchy!$A$2:$A$1295,0))="","",INDEX(Hierarchy!$I$2:$I$1295,MATCH($D154,Hierarchy!$A$2:$A$1295,0))),"NODE NOT FOUND"))</f>
        <v/>
      </c>
      <c r="M154" s="17" t="str">
        <f aca="false">IF(B154="Pre-seeded","Pre-seeded",IF(B154="Review 2026-09-16","Added from review",IF(C154="","New",IF(C154=D154,"","Changed"))))</f>
        <v>Added from review</v>
      </c>
      <c r="N154" s="7" t="str">
        <f aca="false">TRIM(SUBSTITUTE(SUBSTITUTE(SUBSTITUTE(" "&amp;TRIM(SUBSTITUTE(SUBSTITUTE(SUBSTITUTE(SUBSTITUTE(SUBSTITUTE(SUBSTITUTE(SUBSTITUTE(SUBSTITUTE(SUBSTITUTE(SUBSTITUTE(SUBSTITUTE(SUBSTITUTE(SUBSTITUTE(SUBSTITUTE(SUBSTITUTE(UPPER(TRIM(A154)),"[MEMBER]",""),"{MEMBER}",""),"[MEMBER}",""),"MEMBER]",""),"(A)",""),"""",""),"“",""),"”",""),".",""),":",""),",",""),"–"," "),"-"," "),"/"," "),"&amp;"," AND "))&amp;" "," THE "," ")," TOTAL "," ")," OPERATIONS "," "))</f>
        <v>AUSTRALIA NEW ZEALAND</v>
      </c>
      <c r="O154" s="17" t="str">
        <f aca="false">IF(COUNTIFS($N$2:$N$2000,N154,$D$2:$D$2000,"&lt;&gt;"&amp;D154)&gt;0,"CONFLICT","")</f>
        <v/>
      </c>
      <c r="P154" s="7" t="s">
        <v>1955</v>
      </c>
    </row>
    <row r="155" customFormat="false" ht="15" hidden="false" customHeight="false" outlineLevel="0" collapsed="false">
      <c r="A155" s="7" t="s">
        <v>1702</v>
      </c>
      <c r="B155" s="7" t="s">
        <v>1879</v>
      </c>
      <c r="C155" s="7"/>
      <c r="D155" s="6" t="s">
        <v>1702</v>
      </c>
      <c r="E155" s="6" t="s">
        <v>1880</v>
      </c>
      <c r="F155" s="7" t="str">
        <f aca="false">IF($D155="","",IFERROR(IF(INDEX(Hierarchy!$B$2:$B$1295,MATCH($D155,Hierarchy!$A$2:$A$1295,0))="","",INDEX(Hierarchy!$B$2:$B$1295,MATCH($D155,Hierarchy!$A$2:$A$1295,0))),"NODE NOT FOUND"))</f>
        <v>State/Province</v>
      </c>
      <c r="G155" s="7" t="str">
        <f aca="false">IF($D155="","",IFERROR(IF(INDEX(Hierarchy!$D$2:$D$1295,MATCH($D155,Hierarchy!$A$2:$A$1295,0))="","",INDEX(Hierarchy!$D$2:$D$1295,MATCH($D155,Hierarchy!$A$2:$A$1295,0))),"NODE NOT FOUND"))</f>
        <v>APAC</v>
      </c>
      <c r="H155" s="7" t="str">
        <f aca="false">IF($D155="","",IFERROR(IF(INDEX(Hierarchy!$E$2:$E$1295,MATCH($D155,Hierarchy!$A$2:$A$1295,0))="","",INDEX(Hierarchy!$E$2:$E$1295,MATCH($D155,Hierarchy!$A$2:$A$1295,0))),"NODE NOT FOUND"))</f>
        <v>Oceania (ANZ)</v>
      </c>
      <c r="I155" s="7" t="str">
        <f aca="false">IF($D155="","",IFERROR(IF(INDEX(Hierarchy!$F$2:$F$1295,MATCH($D155,Hierarchy!$A$2:$A$1295,0))="","",INDEX(Hierarchy!$F$2:$F$1295,MATCH($D155,Hierarchy!$A$2:$A$1295,0))),"NODE NOT FOUND"))</f>
        <v>Australia</v>
      </c>
      <c r="J155" s="7" t="str">
        <f aca="false">IF($D155="","",IFERROR(IF(INDEX(Hierarchy!$G$2:$G$1295,MATCH($D155,Hierarchy!$A$2:$A$1295,0))="","",INDEX(Hierarchy!$G$2:$G$1295,MATCH($D155,Hierarchy!$A$2:$A$1295,0))),"NODE NOT FOUND"))</f>
        <v>AUS</v>
      </c>
      <c r="K155" s="7" t="str">
        <f aca="false">IF($D155="","",IFERROR(IF(INDEX(Hierarchy!$H$2:$H$1295,MATCH($D155,Hierarchy!$A$2:$A$1295,0))="","",INDEX(Hierarchy!$H$2:$H$1295,MATCH($D155,Hierarchy!$A$2:$A$1295,0))),"NODE NOT FOUND"))</f>
        <v>Australian Capital Territory</v>
      </c>
      <c r="L155" s="7" t="str">
        <f aca="false">IF($D155="","",IFERROR(IF(INDEX(Hierarchy!$I$2:$I$1295,MATCH($D155,Hierarchy!$A$2:$A$1295,0))="","",INDEX(Hierarchy!$I$2:$I$1295,MATCH($D155,Hierarchy!$A$2:$A$1295,0))),"NODE NOT FOUND"))</f>
        <v/>
      </c>
      <c r="M155" s="17" t="str">
        <f aca="false">IF(B155="Pre-seeded","Pre-seeded",IF(B155="Review 2026-09-16","Added from review",IF(C155="","New",IF(C155=D155,"","Changed"))))</f>
        <v>Pre-seeded</v>
      </c>
      <c r="N155" s="7" t="str">
        <f aca="false">TRIM(SUBSTITUTE(SUBSTITUTE(SUBSTITUTE(" "&amp;TRIM(SUBSTITUTE(SUBSTITUTE(SUBSTITUTE(SUBSTITUTE(SUBSTITUTE(SUBSTITUTE(SUBSTITUTE(SUBSTITUTE(SUBSTITUTE(SUBSTITUTE(SUBSTITUTE(SUBSTITUTE(SUBSTITUTE(SUBSTITUTE(SUBSTITUTE(UPPER(TRIM(A155)),"[MEMBER]",""),"{MEMBER}",""),"[MEMBER}",""),"MEMBER]",""),"(A)",""),"""",""),"“",""),"”",""),".",""),":",""),",",""),"–"," "),"-"," "),"/"," "),"&amp;"," AND "))&amp;" "," THE "," ")," TOTAL "," ")," OPERATIONS "," "))</f>
        <v>AUSTRALIAN CAPITAL TERRITORY</v>
      </c>
      <c r="O155" s="17" t="str">
        <f aca="false">IF(COUNTIFS($N$2:$N$2000,N155,$D$2:$D$2000,"&lt;&gt;"&amp;D155)&gt;0,"CONFLICT","")</f>
        <v/>
      </c>
      <c r="P155" s="7"/>
    </row>
    <row r="156" customFormat="false" ht="15" hidden="false" customHeight="false" outlineLevel="0" collapsed="false">
      <c r="A156" s="7" t="s">
        <v>746</v>
      </c>
      <c r="B156" s="7" t="s">
        <v>1882</v>
      </c>
      <c r="C156" s="7" t="s">
        <v>746</v>
      </c>
      <c r="D156" s="6" t="s">
        <v>746</v>
      </c>
      <c r="E156" s="6" t="s">
        <v>1880</v>
      </c>
      <c r="F156" s="7" t="str">
        <f aca="false">IF($D156="","",IFERROR(IF(INDEX(Hierarchy!$B$2:$B$1295,MATCH($D156,Hierarchy!$A$2:$A$1295,0))="","",INDEX(Hierarchy!$B$2:$B$1295,MATCH($D156,Hierarchy!$A$2:$A$1295,0))),"NODE NOT FOUND"))</f>
        <v>Country</v>
      </c>
      <c r="G156" s="7" t="str">
        <f aca="false">IF($D156="","",IFERROR(IF(INDEX(Hierarchy!$D$2:$D$1295,MATCH($D156,Hierarchy!$A$2:$A$1295,0))="","",INDEX(Hierarchy!$D$2:$D$1295,MATCH($D156,Hierarchy!$A$2:$A$1295,0))),"NODE NOT FOUND"))</f>
        <v>EMEA</v>
      </c>
      <c r="H156" s="7" t="str">
        <f aca="false">IF($D156="","",IFERROR(IF(INDEX(Hierarchy!$E$2:$E$1295,MATCH($D156,Hierarchy!$A$2:$A$1295,0))="","",INDEX(Hierarchy!$E$2:$E$1295,MATCH($D156,Hierarchy!$A$2:$A$1295,0))),"NODE NOT FOUND"))</f>
        <v>Europe</v>
      </c>
      <c r="I156" s="7" t="str">
        <f aca="false">IF($D156="","",IFERROR(IF(INDEX(Hierarchy!$F$2:$F$1295,MATCH($D156,Hierarchy!$A$2:$A$1295,0))="","",INDEX(Hierarchy!$F$2:$F$1295,MATCH($D156,Hierarchy!$A$2:$A$1295,0))),"NODE NOT FOUND"))</f>
        <v>Austria</v>
      </c>
      <c r="J156" s="7" t="str">
        <f aca="false">IF($D156="","",IFERROR(IF(INDEX(Hierarchy!$G$2:$G$1295,MATCH($D156,Hierarchy!$A$2:$A$1295,0))="","",INDEX(Hierarchy!$G$2:$G$1295,MATCH($D156,Hierarchy!$A$2:$A$1295,0))),"NODE NOT FOUND"))</f>
        <v>AUT</v>
      </c>
      <c r="K156" s="7" t="str">
        <f aca="false">IF($D156="","",IFERROR(IF(INDEX(Hierarchy!$H$2:$H$1295,MATCH($D156,Hierarchy!$A$2:$A$1295,0))="","",INDEX(Hierarchy!$H$2:$H$1295,MATCH($D156,Hierarchy!$A$2:$A$1295,0))),"NODE NOT FOUND"))</f>
        <v/>
      </c>
      <c r="L156" s="7" t="str">
        <f aca="false">IF($D156="","",IFERROR(IF(INDEX(Hierarchy!$I$2:$I$1295,MATCH($D156,Hierarchy!$A$2:$A$1295,0))="","",INDEX(Hierarchy!$I$2:$I$1295,MATCH($D156,Hierarchy!$A$2:$A$1295,0))),"NODE NOT FOUND"))</f>
        <v/>
      </c>
      <c r="M156" s="17" t="str">
        <f aca="false">IF(B156="Pre-seeded","Pre-seeded",IF(B156="Review 2026-09-16","Added from review",IF(C156="","New",IF(C156=D156,"","Changed"))))</f>
        <v/>
      </c>
      <c r="N156" s="7" t="str">
        <f aca="false">TRIM(SUBSTITUTE(SUBSTITUTE(SUBSTITUTE(" "&amp;TRIM(SUBSTITUTE(SUBSTITUTE(SUBSTITUTE(SUBSTITUTE(SUBSTITUTE(SUBSTITUTE(SUBSTITUTE(SUBSTITUTE(SUBSTITUTE(SUBSTITUTE(SUBSTITUTE(SUBSTITUTE(SUBSTITUTE(SUBSTITUTE(SUBSTITUTE(UPPER(TRIM(A156)),"[MEMBER]",""),"{MEMBER}",""),"[MEMBER}",""),"MEMBER]",""),"(A)",""),"""",""),"“",""),"”",""),".",""),":",""),",",""),"–"," "),"-"," "),"/"," "),"&amp;"," AND "))&amp;" "," THE "," ")," TOTAL "," ")," OPERATIONS "," "))</f>
        <v>AUSTRIA</v>
      </c>
      <c r="O156" s="17" t="str">
        <f aca="false">IF(COUNTIFS($N$2:$N$2000,N156,$D$2:$D$2000,"&lt;&gt;"&amp;D156)&gt;0,"CONFLICT","")</f>
        <v/>
      </c>
      <c r="P156" s="7"/>
    </row>
    <row r="157" customFormat="false" ht="15" hidden="false" customHeight="false" outlineLevel="0" collapsed="false">
      <c r="A157" s="7" t="s">
        <v>428</v>
      </c>
      <c r="B157" s="7" t="s">
        <v>1879</v>
      </c>
      <c r="C157" s="7"/>
      <c r="D157" s="6" t="s">
        <v>428</v>
      </c>
      <c r="E157" s="6" t="s">
        <v>1880</v>
      </c>
      <c r="F157" s="7" t="str">
        <f aca="false">IF($D157="","",IFERROR(IF(INDEX(Hierarchy!$B$2:$B$1295,MATCH($D157,Hierarchy!$A$2:$A$1295,0))="","",INDEX(Hierarchy!$B$2:$B$1295,MATCH($D157,Hierarchy!$A$2:$A$1295,0))),"NODE NOT FOUND"))</f>
        <v>State/Province</v>
      </c>
      <c r="G157" s="7" t="str">
        <f aca="false">IF($D157="","",IFERROR(IF(INDEX(Hierarchy!$D$2:$D$1295,MATCH($D157,Hierarchy!$A$2:$A$1295,0))="","",INDEX(Hierarchy!$D$2:$D$1295,MATCH($D157,Hierarchy!$A$2:$A$1295,0))),"NODE NOT FOUND"))</f>
        <v>AMER</v>
      </c>
      <c r="H157" s="7" t="str">
        <f aca="false">IF($D157="","",IFERROR(IF(INDEX(Hierarchy!$E$2:$E$1295,MATCH($D157,Hierarchy!$A$2:$A$1295,0))="","",INDEX(Hierarchy!$E$2:$E$1295,MATCH($D157,Hierarchy!$A$2:$A$1295,0))),"NODE NOT FOUND"))</f>
        <v>Latin America (LATAM)</v>
      </c>
      <c r="I157" s="7" t="str">
        <f aca="false">IF($D157="","",IFERROR(IF(INDEX(Hierarchy!$F$2:$F$1295,MATCH($D157,Hierarchy!$A$2:$A$1295,0))="","",INDEX(Hierarchy!$F$2:$F$1295,MATCH($D157,Hierarchy!$A$2:$A$1295,0))),"NODE NOT FOUND"))</f>
        <v>Argentina</v>
      </c>
      <c r="J157" s="7" t="str">
        <f aca="false">IF($D157="","",IFERROR(IF(INDEX(Hierarchy!$G$2:$G$1295,MATCH($D157,Hierarchy!$A$2:$A$1295,0))="","",INDEX(Hierarchy!$G$2:$G$1295,MATCH($D157,Hierarchy!$A$2:$A$1295,0))),"NODE NOT FOUND"))</f>
        <v>ARG</v>
      </c>
      <c r="K157" s="7" t="str">
        <f aca="false">IF($D157="","",IFERROR(IF(INDEX(Hierarchy!$H$2:$H$1295,MATCH($D157,Hierarchy!$A$2:$A$1295,0))="","",INDEX(Hierarchy!$H$2:$H$1295,MATCH($D157,Hierarchy!$A$2:$A$1295,0))),"NODE NOT FOUND"))</f>
        <v>Autonomous City of Buenos Aires</v>
      </c>
      <c r="L157" s="7" t="str">
        <f aca="false">IF($D157="","",IFERROR(IF(INDEX(Hierarchy!$I$2:$I$1295,MATCH($D157,Hierarchy!$A$2:$A$1295,0))="","",INDEX(Hierarchy!$I$2:$I$1295,MATCH($D157,Hierarchy!$A$2:$A$1295,0))),"NODE NOT FOUND"))</f>
        <v/>
      </c>
      <c r="M157" s="17" t="str">
        <f aca="false">IF(B157="Pre-seeded","Pre-seeded",IF(B157="Review 2026-09-16","Added from review",IF(C157="","New",IF(C157=D157,"","Changed"))))</f>
        <v>Pre-seeded</v>
      </c>
      <c r="N157" s="7" t="str">
        <f aca="false">TRIM(SUBSTITUTE(SUBSTITUTE(SUBSTITUTE(" "&amp;TRIM(SUBSTITUTE(SUBSTITUTE(SUBSTITUTE(SUBSTITUTE(SUBSTITUTE(SUBSTITUTE(SUBSTITUTE(SUBSTITUTE(SUBSTITUTE(SUBSTITUTE(SUBSTITUTE(SUBSTITUTE(SUBSTITUTE(SUBSTITUTE(SUBSTITUTE(UPPER(TRIM(A157)),"[MEMBER]",""),"{MEMBER}",""),"[MEMBER}",""),"MEMBER]",""),"(A)",""),"""",""),"“",""),"”",""),".",""),":",""),",",""),"–"," "),"-"," "),"/"," "),"&amp;"," AND "))&amp;" "," THE "," ")," TOTAL "," ")," OPERATIONS "," "))</f>
        <v>AUTONOMOUS CITY OF BUENOS AIRES</v>
      </c>
      <c r="O157" s="17" t="str">
        <f aca="false">IF(COUNTIFS($N$2:$N$2000,N157,$D$2:$D$2000,"&lt;&gt;"&amp;D157)&gt;0,"CONFLICT","")</f>
        <v/>
      </c>
      <c r="P157" s="7"/>
    </row>
    <row r="158" customFormat="false" ht="15" hidden="false" customHeight="false" outlineLevel="0" collapsed="false">
      <c r="A158" s="7" t="s">
        <v>717</v>
      </c>
      <c r="B158" s="7" t="s">
        <v>1879</v>
      </c>
      <c r="C158" s="7"/>
      <c r="D158" s="6" t="s">
        <v>717</v>
      </c>
      <c r="E158" s="6" t="s">
        <v>1880</v>
      </c>
      <c r="F158" s="7" t="str">
        <f aca="false">IF($D158="","",IFERROR(IF(INDEX(Hierarchy!$B$2:$B$1295,MATCH($D158,Hierarchy!$A$2:$A$1295,0))="","",INDEX(Hierarchy!$B$2:$B$1295,MATCH($D158,Hierarchy!$A$2:$A$1295,0))),"NODE NOT FOUND"))</f>
        <v>State/Province</v>
      </c>
      <c r="G158" s="7" t="str">
        <f aca="false">IF($D158="","",IFERROR(IF(INDEX(Hierarchy!$D$2:$D$1295,MATCH($D158,Hierarchy!$A$2:$A$1295,0))="","",INDEX(Hierarchy!$D$2:$D$1295,MATCH($D158,Hierarchy!$A$2:$A$1295,0))),"NODE NOT FOUND"))</f>
        <v>EMEA</v>
      </c>
      <c r="H158" s="7" t="str">
        <f aca="false">IF($D158="","",IFERROR(IF(INDEX(Hierarchy!$E$2:$E$1295,MATCH($D158,Hierarchy!$A$2:$A$1295,0))="","",INDEX(Hierarchy!$E$2:$E$1295,MATCH($D158,Hierarchy!$A$2:$A$1295,0))),"NODE NOT FOUND"))</f>
        <v>Europe</v>
      </c>
      <c r="I158" s="7" t="str">
        <f aca="false">IF($D158="","",IFERROR(IF(INDEX(Hierarchy!$F$2:$F$1295,MATCH($D158,Hierarchy!$A$2:$A$1295,0))="","",INDEX(Hierarchy!$F$2:$F$1295,MATCH($D158,Hierarchy!$A$2:$A$1295,0))),"NODE NOT FOUND"))</f>
        <v>France</v>
      </c>
      <c r="J158" s="7" t="str">
        <f aca="false">IF($D158="","",IFERROR(IF(INDEX(Hierarchy!$G$2:$G$1295,MATCH($D158,Hierarchy!$A$2:$A$1295,0))="","",INDEX(Hierarchy!$G$2:$G$1295,MATCH($D158,Hierarchy!$A$2:$A$1295,0))),"NODE NOT FOUND"))</f>
        <v>FRA</v>
      </c>
      <c r="K158" s="7" t="str">
        <f aca="false">IF($D158="","",IFERROR(IF(INDEX(Hierarchy!$H$2:$H$1295,MATCH($D158,Hierarchy!$A$2:$A$1295,0))="","",INDEX(Hierarchy!$H$2:$H$1295,MATCH($D158,Hierarchy!$A$2:$A$1295,0))),"NODE NOT FOUND"))</f>
        <v>Auvergne-Rhône-Alpes</v>
      </c>
      <c r="L158" s="7" t="str">
        <f aca="false">IF($D158="","",IFERROR(IF(INDEX(Hierarchy!$I$2:$I$1295,MATCH($D158,Hierarchy!$A$2:$A$1295,0))="","",INDEX(Hierarchy!$I$2:$I$1295,MATCH($D158,Hierarchy!$A$2:$A$1295,0))),"NODE NOT FOUND"))</f>
        <v/>
      </c>
      <c r="M158" s="17" t="str">
        <f aca="false">IF(B158="Pre-seeded","Pre-seeded",IF(B158="Review 2026-09-16","Added from review",IF(C158="","New",IF(C158=D158,"","Changed"))))</f>
        <v>Pre-seeded</v>
      </c>
      <c r="N158" s="7" t="str">
        <f aca="false">TRIM(SUBSTITUTE(SUBSTITUTE(SUBSTITUTE(" "&amp;TRIM(SUBSTITUTE(SUBSTITUTE(SUBSTITUTE(SUBSTITUTE(SUBSTITUTE(SUBSTITUTE(SUBSTITUTE(SUBSTITUTE(SUBSTITUTE(SUBSTITUTE(SUBSTITUTE(SUBSTITUTE(SUBSTITUTE(SUBSTITUTE(SUBSTITUTE(UPPER(TRIM(A158)),"[MEMBER]",""),"{MEMBER}",""),"[MEMBER}",""),"MEMBER]",""),"(A)",""),"""",""),"“",""),"”",""),".",""),":",""),",",""),"–"," "),"-"," "),"/"," "),"&amp;"," AND "))&amp;" "," THE "," ")," TOTAL "," ")," OPERATIONS "," "))</f>
        <v>AUVERGNE RHÔNE ALPES</v>
      </c>
      <c r="O158" s="17" t="str">
        <f aca="false">IF(COUNTIFS($N$2:$N$2000,N158,$D$2:$D$2000,"&lt;&gt;"&amp;D158)&gt;0,"CONFLICT","")</f>
        <v/>
      </c>
      <c r="P158" s="7"/>
    </row>
    <row r="159" customFormat="false" ht="15" hidden="false" customHeight="false" outlineLevel="0" collapsed="false">
      <c r="A159" s="7" t="s">
        <v>482</v>
      </c>
      <c r="B159" s="7" t="s">
        <v>1879</v>
      </c>
      <c r="C159" s="7"/>
      <c r="D159" s="6" t="s">
        <v>482</v>
      </c>
      <c r="E159" s="6" t="s">
        <v>1880</v>
      </c>
      <c r="F159" s="7" t="str">
        <f aca="false">IF($D159="","",IFERROR(IF(INDEX(Hierarchy!$B$2:$B$1295,MATCH($D159,Hierarchy!$A$2:$A$1295,0))="","",INDEX(Hierarchy!$B$2:$B$1295,MATCH($D159,Hierarchy!$A$2:$A$1295,0))),"NODE NOT FOUND"))</f>
        <v>State/Province</v>
      </c>
      <c r="G159" s="7" t="str">
        <f aca="false">IF($D159="","",IFERROR(IF(INDEX(Hierarchy!$D$2:$D$1295,MATCH($D159,Hierarchy!$A$2:$A$1295,0))="","",INDEX(Hierarchy!$D$2:$D$1295,MATCH($D159,Hierarchy!$A$2:$A$1295,0))),"NODE NOT FOUND"))</f>
        <v>AMER</v>
      </c>
      <c r="H159" s="7" t="str">
        <f aca="false">IF($D159="","",IFERROR(IF(INDEX(Hierarchy!$E$2:$E$1295,MATCH($D159,Hierarchy!$A$2:$A$1295,0))="","",INDEX(Hierarchy!$E$2:$E$1295,MATCH($D159,Hierarchy!$A$2:$A$1295,0))),"NODE NOT FOUND"))</f>
        <v>Latin America (LATAM)</v>
      </c>
      <c r="I159" s="7" t="str">
        <f aca="false">IF($D159="","",IFERROR(IF(INDEX(Hierarchy!$F$2:$F$1295,MATCH($D159,Hierarchy!$A$2:$A$1295,0))="","",INDEX(Hierarchy!$F$2:$F$1295,MATCH($D159,Hierarchy!$A$2:$A$1295,0))),"NODE NOT FOUND"))</f>
        <v>Chile</v>
      </c>
      <c r="J159" s="7" t="str">
        <f aca="false">IF($D159="","",IFERROR(IF(INDEX(Hierarchy!$G$2:$G$1295,MATCH($D159,Hierarchy!$A$2:$A$1295,0))="","",INDEX(Hierarchy!$G$2:$G$1295,MATCH($D159,Hierarchy!$A$2:$A$1295,0))),"NODE NOT FOUND"))</f>
        <v>CHL</v>
      </c>
      <c r="K159" s="7" t="str">
        <f aca="false">IF($D159="","",IFERROR(IF(INDEX(Hierarchy!$H$2:$H$1295,MATCH($D159,Hierarchy!$A$2:$A$1295,0))="","",INDEX(Hierarchy!$H$2:$H$1295,MATCH($D159,Hierarchy!$A$2:$A$1295,0))),"NODE NOT FOUND"))</f>
        <v>Aysén</v>
      </c>
      <c r="L159" s="7" t="str">
        <f aca="false">IF($D159="","",IFERROR(IF(INDEX(Hierarchy!$I$2:$I$1295,MATCH($D159,Hierarchy!$A$2:$A$1295,0))="","",INDEX(Hierarchy!$I$2:$I$1295,MATCH($D159,Hierarchy!$A$2:$A$1295,0))),"NODE NOT FOUND"))</f>
        <v/>
      </c>
      <c r="M159" s="17" t="str">
        <f aca="false">IF(B159="Pre-seeded","Pre-seeded",IF(B159="Review 2026-09-16","Added from review",IF(C159="","New",IF(C159=D159,"","Changed"))))</f>
        <v>Pre-seeded</v>
      </c>
      <c r="N159" s="7" t="str">
        <f aca="false">TRIM(SUBSTITUTE(SUBSTITUTE(SUBSTITUTE(" "&amp;TRIM(SUBSTITUTE(SUBSTITUTE(SUBSTITUTE(SUBSTITUTE(SUBSTITUTE(SUBSTITUTE(SUBSTITUTE(SUBSTITUTE(SUBSTITUTE(SUBSTITUTE(SUBSTITUTE(SUBSTITUTE(SUBSTITUTE(SUBSTITUTE(SUBSTITUTE(UPPER(TRIM(A159)),"[MEMBER]",""),"{MEMBER}",""),"[MEMBER}",""),"MEMBER]",""),"(A)",""),"""",""),"“",""),"”",""),".",""),":",""),",",""),"–"," "),"-"," "),"/"," "),"&amp;"," AND "))&amp;" "," THE "," ")," TOTAL "," ")," OPERATIONS "," "))</f>
        <v>AYSÉN</v>
      </c>
      <c r="O159" s="17" t="str">
        <f aca="false">IF(COUNTIFS($N$2:$N$2000,N159,$D$2:$D$2000,"&lt;&gt;"&amp;D159)&gt;0,"CONFLICT","")</f>
        <v/>
      </c>
      <c r="P159" s="7"/>
    </row>
    <row r="160" customFormat="false" ht="15" hidden="false" customHeight="false" outlineLevel="0" collapsed="false">
      <c r="A160" s="7" t="s">
        <v>1397</v>
      </c>
      <c r="B160" s="7" t="s">
        <v>1879</v>
      </c>
      <c r="C160" s="7"/>
      <c r="D160" s="6" t="s">
        <v>1397</v>
      </c>
      <c r="E160" s="6" t="s">
        <v>1880</v>
      </c>
      <c r="F160" s="7" t="str">
        <f aca="false">IF($D160="","",IFERROR(IF(INDEX(Hierarchy!$B$2:$B$1295,MATCH($D160,Hierarchy!$A$2:$A$1295,0))="","",INDEX(Hierarchy!$B$2:$B$1295,MATCH($D160,Hierarchy!$A$2:$A$1295,0))),"NODE NOT FOUND"))</f>
        <v>State/Province</v>
      </c>
      <c r="G160" s="7" t="str">
        <f aca="false">IF($D160="","",IFERROR(IF(INDEX(Hierarchy!$D$2:$D$1295,MATCH($D160,Hierarchy!$A$2:$A$1295,0))="","",INDEX(Hierarchy!$D$2:$D$1295,MATCH($D160,Hierarchy!$A$2:$A$1295,0))),"NODE NOT FOUND"))</f>
        <v>APAC</v>
      </c>
      <c r="H160" s="7" t="str">
        <f aca="false">IF($D160="","",IFERROR(IF(INDEX(Hierarchy!$E$2:$E$1295,MATCH($D160,Hierarchy!$A$2:$A$1295,0))="","",INDEX(Hierarchy!$E$2:$E$1295,MATCH($D160,Hierarchy!$A$2:$A$1295,0))),"NODE NOT FOUND"))</f>
        <v>South Asia</v>
      </c>
      <c r="I160" s="7" t="str">
        <f aca="false">IF($D160="","",IFERROR(IF(INDEX(Hierarchy!$F$2:$F$1295,MATCH($D160,Hierarchy!$A$2:$A$1295,0))="","",INDEX(Hierarchy!$F$2:$F$1295,MATCH($D160,Hierarchy!$A$2:$A$1295,0))),"NODE NOT FOUND"))</f>
        <v>Pakistan</v>
      </c>
      <c r="J160" s="7" t="str">
        <f aca="false">IF($D160="","",IFERROR(IF(INDEX(Hierarchy!$G$2:$G$1295,MATCH($D160,Hierarchy!$A$2:$A$1295,0))="","",INDEX(Hierarchy!$G$2:$G$1295,MATCH($D160,Hierarchy!$A$2:$A$1295,0))),"NODE NOT FOUND"))</f>
        <v>PAK</v>
      </c>
      <c r="K160" s="7" t="str">
        <f aca="false">IF($D160="","",IFERROR(IF(INDEX(Hierarchy!$H$2:$H$1295,MATCH($D160,Hierarchy!$A$2:$A$1295,0))="","",INDEX(Hierarchy!$H$2:$H$1295,MATCH($D160,Hierarchy!$A$2:$A$1295,0))),"NODE NOT FOUND"))</f>
        <v>Azad Jammu and Kashmir</v>
      </c>
      <c r="L160" s="7" t="str">
        <f aca="false">IF($D160="","",IFERROR(IF(INDEX(Hierarchy!$I$2:$I$1295,MATCH($D160,Hierarchy!$A$2:$A$1295,0))="","",INDEX(Hierarchy!$I$2:$I$1295,MATCH($D160,Hierarchy!$A$2:$A$1295,0))),"NODE NOT FOUND"))</f>
        <v/>
      </c>
      <c r="M160" s="17" t="str">
        <f aca="false">IF(B160="Pre-seeded","Pre-seeded",IF(B160="Review 2026-09-16","Added from review",IF(C160="","New",IF(C160=D160,"","Changed"))))</f>
        <v>Pre-seeded</v>
      </c>
      <c r="N160" s="7" t="str">
        <f aca="false">TRIM(SUBSTITUTE(SUBSTITUTE(SUBSTITUTE(" "&amp;TRIM(SUBSTITUTE(SUBSTITUTE(SUBSTITUTE(SUBSTITUTE(SUBSTITUTE(SUBSTITUTE(SUBSTITUTE(SUBSTITUTE(SUBSTITUTE(SUBSTITUTE(SUBSTITUTE(SUBSTITUTE(SUBSTITUTE(SUBSTITUTE(SUBSTITUTE(UPPER(TRIM(A160)),"[MEMBER]",""),"{MEMBER}",""),"[MEMBER}",""),"MEMBER]",""),"(A)",""),"""",""),"“",""),"”",""),".",""),":",""),",",""),"–"," "),"-"," "),"/"," "),"&amp;"," AND "))&amp;" "," THE "," ")," TOTAL "," ")," OPERATIONS "," "))</f>
        <v>AZAD JAMMU AND KASHMIR</v>
      </c>
      <c r="O160" s="17" t="str">
        <f aca="false">IF(COUNTIFS($N$2:$N$2000,N160,$D$2:$D$2000,"&lt;&gt;"&amp;D160)&gt;0,"CONFLICT","")</f>
        <v/>
      </c>
      <c r="P160" s="7"/>
    </row>
    <row r="161" customFormat="false" ht="15" hidden="false" customHeight="false" outlineLevel="0" collapsed="false">
      <c r="A161" s="7" t="s">
        <v>759</v>
      </c>
      <c r="B161" s="7" t="s">
        <v>1879</v>
      </c>
      <c r="C161" s="7"/>
      <c r="D161" s="6" t="s">
        <v>759</v>
      </c>
      <c r="E161" s="6" t="s">
        <v>1880</v>
      </c>
      <c r="F161" s="7" t="str">
        <f aca="false">IF($D161="","",IFERROR(IF(INDEX(Hierarchy!$B$2:$B$1295,MATCH($D161,Hierarchy!$A$2:$A$1295,0))="","",INDEX(Hierarchy!$B$2:$B$1295,MATCH($D161,Hierarchy!$A$2:$A$1295,0))),"NODE NOT FOUND"))</f>
        <v>Country</v>
      </c>
      <c r="G161" s="7" t="str">
        <f aca="false">IF($D161="","",IFERROR(IF(INDEX(Hierarchy!$D$2:$D$1295,MATCH($D161,Hierarchy!$A$2:$A$1295,0))="","",INDEX(Hierarchy!$D$2:$D$1295,MATCH($D161,Hierarchy!$A$2:$A$1295,0))),"NODE NOT FOUND"))</f>
        <v>EMEA</v>
      </c>
      <c r="H161" s="7" t="str">
        <f aca="false">IF($D161="","",IFERROR(IF(INDEX(Hierarchy!$E$2:$E$1295,MATCH($D161,Hierarchy!$A$2:$A$1295,0))="","",INDEX(Hierarchy!$E$2:$E$1295,MATCH($D161,Hierarchy!$A$2:$A$1295,0))),"NODE NOT FOUND"))</f>
        <v>Europe</v>
      </c>
      <c r="I161" s="7" t="str">
        <f aca="false">IF($D161="","",IFERROR(IF(INDEX(Hierarchy!$F$2:$F$1295,MATCH($D161,Hierarchy!$A$2:$A$1295,0))="","",INDEX(Hierarchy!$F$2:$F$1295,MATCH($D161,Hierarchy!$A$2:$A$1295,0))),"NODE NOT FOUND"))</f>
        <v>Azerbaijan</v>
      </c>
      <c r="J161" s="7" t="str">
        <f aca="false">IF($D161="","",IFERROR(IF(INDEX(Hierarchy!$G$2:$G$1295,MATCH($D161,Hierarchy!$A$2:$A$1295,0))="","",INDEX(Hierarchy!$G$2:$G$1295,MATCH($D161,Hierarchy!$A$2:$A$1295,0))),"NODE NOT FOUND"))</f>
        <v>AZE</v>
      </c>
      <c r="K161" s="7" t="str">
        <f aca="false">IF($D161="","",IFERROR(IF(INDEX(Hierarchy!$H$2:$H$1295,MATCH($D161,Hierarchy!$A$2:$A$1295,0))="","",INDEX(Hierarchy!$H$2:$H$1295,MATCH($D161,Hierarchy!$A$2:$A$1295,0))),"NODE NOT FOUND"))</f>
        <v/>
      </c>
      <c r="L161" s="7" t="str">
        <f aca="false">IF($D161="","",IFERROR(IF(INDEX(Hierarchy!$I$2:$I$1295,MATCH($D161,Hierarchy!$A$2:$A$1295,0))="","",INDEX(Hierarchy!$I$2:$I$1295,MATCH($D161,Hierarchy!$A$2:$A$1295,0))),"NODE NOT FOUND"))</f>
        <v/>
      </c>
      <c r="M161" s="17" t="str">
        <f aca="false">IF(B161="Pre-seeded","Pre-seeded",IF(B161="Review 2026-09-16","Added from review",IF(C161="","New",IF(C161=D161,"","Changed"))))</f>
        <v>Pre-seeded</v>
      </c>
      <c r="N161" s="7" t="str">
        <f aca="false">TRIM(SUBSTITUTE(SUBSTITUTE(SUBSTITUTE(" "&amp;TRIM(SUBSTITUTE(SUBSTITUTE(SUBSTITUTE(SUBSTITUTE(SUBSTITUTE(SUBSTITUTE(SUBSTITUTE(SUBSTITUTE(SUBSTITUTE(SUBSTITUTE(SUBSTITUTE(SUBSTITUTE(SUBSTITUTE(SUBSTITUTE(SUBSTITUTE(UPPER(TRIM(A161)),"[MEMBER]",""),"{MEMBER}",""),"[MEMBER}",""),"MEMBER]",""),"(A)",""),"""",""),"“",""),"”",""),".",""),":",""),",",""),"–"," "),"-"," "),"/"," "),"&amp;"," AND "))&amp;" "," THE "," ")," TOTAL "," ")," OPERATIONS "," "))</f>
        <v>AZERBAIJAN</v>
      </c>
      <c r="O161" s="17" t="str">
        <f aca="false">IF(COUNTIFS($N$2:$N$2000,N161,$D$2:$D$2000,"&lt;&gt;"&amp;D161)&gt;0,"CONFLICT","")</f>
        <v/>
      </c>
      <c r="P161" s="7"/>
    </row>
    <row r="162" customFormat="false" ht="15" hidden="false" customHeight="false" outlineLevel="0" collapsed="false">
      <c r="A162" s="7" t="s">
        <v>692</v>
      </c>
      <c r="B162" s="7" t="s">
        <v>1879</v>
      </c>
      <c r="C162" s="7"/>
      <c r="D162" s="6" t="s">
        <v>692</v>
      </c>
      <c r="E162" s="6" t="s">
        <v>1880</v>
      </c>
      <c r="F162" s="7" t="str">
        <f aca="false">IF($D162="","",IFERROR(IF(INDEX(Hierarchy!$B$2:$B$1295,MATCH($D162,Hierarchy!$A$2:$A$1295,0))="","",INDEX(Hierarchy!$B$2:$B$1295,MATCH($D162,Hierarchy!$A$2:$A$1295,0))),"NODE NOT FOUND"))</f>
        <v>State/Province</v>
      </c>
      <c r="G162" s="7" t="str">
        <f aca="false">IF($D162="","",IFERROR(IF(INDEX(Hierarchy!$D$2:$D$1295,MATCH($D162,Hierarchy!$A$2:$A$1295,0))="","",INDEX(Hierarchy!$D$2:$D$1295,MATCH($D162,Hierarchy!$A$2:$A$1295,0))),"NODE NOT FOUND"))</f>
        <v>EMEA</v>
      </c>
      <c r="H162" s="7" t="str">
        <f aca="false">IF($D162="","",IFERROR(IF(INDEX(Hierarchy!$E$2:$E$1295,MATCH($D162,Hierarchy!$A$2:$A$1295,0))="","",INDEX(Hierarchy!$E$2:$E$1295,MATCH($D162,Hierarchy!$A$2:$A$1295,0))),"NODE NOT FOUND"))</f>
        <v>Europe</v>
      </c>
      <c r="I162" s="7" t="str">
        <f aca="false">IF($D162="","",IFERROR(IF(INDEX(Hierarchy!$F$2:$F$1295,MATCH($D162,Hierarchy!$A$2:$A$1295,0))="","",INDEX(Hierarchy!$F$2:$F$1295,MATCH($D162,Hierarchy!$A$2:$A$1295,0))),"NODE NOT FOUND"))</f>
        <v>Germany</v>
      </c>
      <c r="J162" s="7" t="str">
        <f aca="false">IF($D162="","",IFERROR(IF(INDEX(Hierarchy!$G$2:$G$1295,MATCH($D162,Hierarchy!$A$2:$A$1295,0))="","",INDEX(Hierarchy!$G$2:$G$1295,MATCH($D162,Hierarchy!$A$2:$A$1295,0))),"NODE NOT FOUND"))</f>
        <v>DEU</v>
      </c>
      <c r="K162" s="7" t="str">
        <f aca="false">IF($D162="","",IFERROR(IF(INDEX(Hierarchy!$H$2:$H$1295,MATCH($D162,Hierarchy!$A$2:$A$1295,0))="","",INDEX(Hierarchy!$H$2:$H$1295,MATCH($D162,Hierarchy!$A$2:$A$1295,0))),"NODE NOT FOUND"))</f>
        <v>Baden-Württemberg</v>
      </c>
      <c r="L162" s="7" t="str">
        <f aca="false">IF($D162="","",IFERROR(IF(INDEX(Hierarchy!$I$2:$I$1295,MATCH($D162,Hierarchy!$A$2:$A$1295,0))="","",INDEX(Hierarchy!$I$2:$I$1295,MATCH($D162,Hierarchy!$A$2:$A$1295,0))),"NODE NOT FOUND"))</f>
        <v/>
      </c>
      <c r="M162" s="17" t="str">
        <f aca="false">IF(B162="Pre-seeded","Pre-seeded",IF(B162="Review 2026-09-16","Added from review",IF(C162="","New",IF(C162=D162,"","Changed"))))</f>
        <v>Pre-seeded</v>
      </c>
      <c r="N162" s="7" t="str">
        <f aca="false">TRIM(SUBSTITUTE(SUBSTITUTE(SUBSTITUTE(" "&amp;TRIM(SUBSTITUTE(SUBSTITUTE(SUBSTITUTE(SUBSTITUTE(SUBSTITUTE(SUBSTITUTE(SUBSTITUTE(SUBSTITUTE(SUBSTITUTE(SUBSTITUTE(SUBSTITUTE(SUBSTITUTE(SUBSTITUTE(SUBSTITUTE(SUBSTITUTE(UPPER(TRIM(A162)),"[MEMBER]",""),"{MEMBER}",""),"[MEMBER}",""),"MEMBER]",""),"(A)",""),"""",""),"“",""),"”",""),".",""),":",""),",",""),"–"," "),"-"," "),"/"," "),"&amp;"," AND "))&amp;" "," THE "," ")," TOTAL "," ")," OPERATIONS "," "))</f>
        <v>BADEN WÜRTTEMBERG</v>
      </c>
      <c r="O162" s="17" t="str">
        <f aca="false">IF(COUNTIFS($N$2:$N$2000,N162,$D$2:$D$2000,"&lt;&gt;"&amp;D162)&gt;0,"CONFLICT","")</f>
        <v/>
      </c>
      <c r="P162" s="7"/>
    </row>
    <row r="163" customFormat="false" ht="15" hidden="false" customHeight="false" outlineLevel="0" collapsed="false">
      <c r="A163" s="7" t="s">
        <v>458</v>
      </c>
      <c r="B163" s="7" t="s">
        <v>1879</v>
      </c>
      <c r="C163" s="7"/>
      <c r="D163" s="6" t="s">
        <v>458</v>
      </c>
      <c r="E163" s="6" t="s">
        <v>1880</v>
      </c>
      <c r="F163" s="7" t="str">
        <f aca="false">IF($D163="","",IFERROR(IF(INDEX(Hierarchy!$B$2:$B$1295,MATCH($D163,Hierarchy!$A$2:$A$1295,0))="","",INDEX(Hierarchy!$B$2:$B$1295,MATCH($D163,Hierarchy!$A$2:$A$1295,0))),"NODE NOT FOUND"))</f>
        <v>Country</v>
      </c>
      <c r="G163" s="7" t="str">
        <f aca="false">IF($D163="","",IFERROR(IF(INDEX(Hierarchy!$D$2:$D$1295,MATCH($D163,Hierarchy!$A$2:$A$1295,0))="","",INDEX(Hierarchy!$D$2:$D$1295,MATCH($D163,Hierarchy!$A$2:$A$1295,0))),"NODE NOT FOUND"))</f>
        <v>AMER</v>
      </c>
      <c r="H163" s="7" t="str">
        <f aca="false">IF($D163="","",IFERROR(IF(INDEX(Hierarchy!$E$2:$E$1295,MATCH($D163,Hierarchy!$A$2:$A$1295,0))="","",INDEX(Hierarchy!$E$2:$E$1295,MATCH($D163,Hierarchy!$A$2:$A$1295,0))),"NODE NOT FOUND"))</f>
        <v>Latin America (LATAM)</v>
      </c>
      <c r="I163" s="7" t="str">
        <f aca="false">IF($D163="","",IFERROR(IF(INDEX(Hierarchy!$F$2:$F$1295,MATCH($D163,Hierarchy!$A$2:$A$1295,0))="","",INDEX(Hierarchy!$F$2:$F$1295,MATCH($D163,Hierarchy!$A$2:$A$1295,0))),"NODE NOT FOUND"))</f>
        <v>Bahamas</v>
      </c>
      <c r="J163" s="7" t="str">
        <f aca="false">IF($D163="","",IFERROR(IF(INDEX(Hierarchy!$G$2:$G$1295,MATCH($D163,Hierarchy!$A$2:$A$1295,0))="","",INDEX(Hierarchy!$G$2:$G$1295,MATCH($D163,Hierarchy!$A$2:$A$1295,0))),"NODE NOT FOUND"))</f>
        <v>BHS</v>
      </c>
      <c r="K163" s="7" t="str">
        <f aca="false">IF($D163="","",IFERROR(IF(INDEX(Hierarchy!$H$2:$H$1295,MATCH($D163,Hierarchy!$A$2:$A$1295,0))="","",INDEX(Hierarchy!$H$2:$H$1295,MATCH($D163,Hierarchy!$A$2:$A$1295,0))),"NODE NOT FOUND"))</f>
        <v/>
      </c>
      <c r="L163" s="7" t="str">
        <f aca="false">IF($D163="","",IFERROR(IF(INDEX(Hierarchy!$I$2:$I$1295,MATCH($D163,Hierarchy!$A$2:$A$1295,0))="","",INDEX(Hierarchy!$I$2:$I$1295,MATCH($D163,Hierarchy!$A$2:$A$1295,0))),"NODE NOT FOUND"))</f>
        <v/>
      </c>
      <c r="M163" s="17" t="str">
        <f aca="false">IF(B163="Pre-seeded","Pre-seeded",IF(B163="Review 2026-09-16","Added from review",IF(C163="","New",IF(C163=D163,"","Changed"))))</f>
        <v>Pre-seeded</v>
      </c>
      <c r="N163" s="7" t="str">
        <f aca="false">TRIM(SUBSTITUTE(SUBSTITUTE(SUBSTITUTE(" "&amp;TRIM(SUBSTITUTE(SUBSTITUTE(SUBSTITUTE(SUBSTITUTE(SUBSTITUTE(SUBSTITUTE(SUBSTITUTE(SUBSTITUTE(SUBSTITUTE(SUBSTITUTE(SUBSTITUTE(SUBSTITUTE(SUBSTITUTE(SUBSTITUTE(SUBSTITUTE(UPPER(TRIM(A163)),"[MEMBER]",""),"{MEMBER}",""),"[MEMBER}",""),"MEMBER]",""),"(A)",""),"""",""),"“",""),"”",""),".",""),":",""),",",""),"–"," "),"-"," "),"/"," "),"&amp;"," AND "))&amp;" "," THE "," ")," TOTAL "," ")," OPERATIONS "," "))</f>
        <v>BAHAMAS</v>
      </c>
      <c r="O163" s="17" t="str">
        <f aca="false">IF(COUNTIFS($N$2:$N$2000,N163,$D$2:$D$2000,"&lt;&gt;"&amp;D163)&gt;0,"CONFLICT","")</f>
        <v/>
      </c>
      <c r="P163" s="7"/>
    </row>
    <row r="164" customFormat="false" ht="15" hidden="false" customHeight="false" outlineLevel="0" collapsed="false">
      <c r="A164" s="7" t="s">
        <v>349</v>
      </c>
      <c r="B164" s="7" t="s">
        <v>1879</v>
      </c>
      <c r="C164" s="7"/>
      <c r="D164" s="6" t="s">
        <v>349</v>
      </c>
      <c r="E164" s="6" t="s">
        <v>1880</v>
      </c>
      <c r="F164" s="7" t="str">
        <f aca="false">IF($D164="","",IFERROR(IF(INDEX(Hierarchy!$B$2:$B$1295,MATCH($D164,Hierarchy!$A$2:$A$1295,0))="","",INDEX(Hierarchy!$B$2:$B$1295,MATCH($D164,Hierarchy!$A$2:$A$1295,0))),"NODE NOT FOUND"))</f>
        <v>State/Province</v>
      </c>
      <c r="G164" s="7" t="str">
        <f aca="false">IF($D164="","",IFERROR(IF(INDEX(Hierarchy!$D$2:$D$1295,MATCH($D164,Hierarchy!$A$2:$A$1295,0))="","",INDEX(Hierarchy!$D$2:$D$1295,MATCH($D164,Hierarchy!$A$2:$A$1295,0))),"NODE NOT FOUND"))</f>
        <v>AMER</v>
      </c>
      <c r="H164" s="7" t="str">
        <f aca="false">IF($D164="","",IFERROR(IF(INDEX(Hierarchy!$E$2:$E$1295,MATCH($D164,Hierarchy!$A$2:$A$1295,0))="","",INDEX(Hierarchy!$E$2:$E$1295,MATCH($D164,Hierarchy!$A$2:$A$1295,0))),"NODE NOT FOUND"))</f>
        <v>Latin America (LATAM)</v>
      </c>
      <c r="I164" s="7" t="str">
        <f aca="false">IF($D164="","",IFERROR(IF(INDEX(Hierarchy!$F$2:$F$1295,MATCH($D164,Hierarchy!$A$2:$A$1295,0))="","",INDEX(Hierarchy!$F$2:$F$1295,MATCH($D164,Hierarchy!$A$2:$A$1295,0))),"NODE NOT FOUND"))</f>
        <v>Brazil</v>
      </c>
      <c r="J164" s="7" t="str">
        <f aca="false">IF($D164="","",IFERROR(IF(INDEX(Hierarchy!$G$2:$G$1295,MATCH($D164,Hierarchy!$A$2:$A$1295,0))="","",INDEX(Hierarchy!$G$2:$G$1295,MATCH($D164,Hierarchy!$A$2:$A$1295,0))),"NODE NOT FOUND"))</f>
        <v>BRA</v>
      </c>
      <c r="K164" s="7" t="str">
        <f aca="false">IF($D164="","",IFERROR(IF(INDEX(Hierarchy!$H$2:$H$1295,MATCH($D164,Hierarchy!$A$2:$A$1295,0))="","",INDEX(Hierarchy!$H$2:$H$1295,MATCH($D164,Hierarchy!$A$2:$A$1295,0))),"NODE NOT FOUND"))</f>
        <v>Bahia</v>
      </c>
      <c r="L164" s="7" t="str">
        <f aca="false">IF($D164="","",IFERROR(IF(INDEX(Hierarchy!$I$2:$I$1295,MATCH($D164,Hierarchy!$A$2:$A$1295,0))="","",INDEX(Hierarchy!$I$2:$I$1295,MATCH($D164,Hierarchy!$A$2:$A$1295,0))),"NODE NOT FOUND"))</f>
        <v/>
      </c>
      <c r="M164" s="17" t="str">
        <f aca="false">IF(B164="Pre-seeded","Pre-seeded",IF(B164="Review 2026-09-16","Added from review",IF(C164="","New",IF(C164=D164,"","Changed"))))</f>
        <v>Pre-seeded</v>
      </c>
      <c r="N164" s="7" t="str">
        <f aca="false">TRIM(SUBSTITUTE(SUBSTITUTE(SUBSTITUTE(" "&amp;TRIM(SUBSTITUTE(SUBSTITUTE(SUBSTITUTE(SUBSTITUTE(SUBSTITUTE(SUBSTITUTE(SUBSTITUTE(SUBSTITUTE(SUBSTITUTE(SUBSTITUTE(SUBSTITUTE(SUBSTITUTE(SUBSTITUTE(SUBSTITUTE(SUBSTITUTE(UPPER(TRIM(A164)),"[MEMBER]",""),"{MEMBER}",""),"[MEMBER}",""),"MEMBER]",""),"(A)",""),"""",""),"“",""),"”",""),".",""),":",""),",",""),"–"," "),"-"," "),"/"," "),"&amp;"," AND "))&amp;" "," THE "," ")," TOTAL "," ")," OPERATIONS "," "))</f>
        <v>BAHIA</v>
      </c>
      <c r="O164" s="17" t="str">
        <f aca="false">IF(COUNTIFS($N$2:$N$2000,N164,$D$2:$D$2000,"&lt;&gt;"&amp;D164)&gt;0,"CONFLICT","")</f>
        <v/>
      </c>
      <c r="P164" s="7"/>
    </row>
    <row r="165" customFormat="false" ht="15" hidden="false" customHeight="false" outlineLevel="0" collapsed="false">
      <c r="A165" s="7" t="s">
        <v>1991</v>
      </c>
      <c r="B165" s="7" t="s">
        <v>1882</v>
      </c>
      <c r="C165" s="7" t="s">
        <v>1063</v>
      </c>
      <c r="D165" s="6" t="s">
        <v>1063</v>
      </c>
      <c r="E165" s="6" t="s">
        <v>1880</v>
      </c>
      <c r="F165" s="7" t="str">
        <f aca="false">IF($D165="","",IFERROR(IF(INDEX(Hierarchy!$B$2:$B$1295,MATCH($D165,Hierarchy!$A$2:$A$1295,0))="","",INDEX(Hierarchy!$B$2:$B$1295,MATCH($D165,Hierarchy!$A$2:$A$1295,0))),"NODE NOT FOUND"))</f>
        <v>Country</v>
      </c>
      <c r="G165" s="7" t="str">
        <f aca="false">IF($D165="","",IFERROR(IF(INDEX(Hierarchy!$D$2:$D$1295,MATCH($D165,Hierarchy!$A$2:$A$1295,0))="","",INDEX(Hierarchy!$D$2:$D$1295,MATCH($D165,Hierarchy!$A$2:$A$1295,0))),"NODE NOT FOUND"))</f>
        <v>EMEA</v>
      </c>
      <c r="H165" s="7" t="str">
        <f aca="false">IF($D165="","",IFERROR(IF(INDEX(Hierarchy!$E$2:$E$1295,MATCH($D165,Hierarchy!$A$2:$A$1295,0))="","",INDEX(Hierarchy!$E$2:$E$1295,MATCH($D165,Hierarchy!$A$2:$A$1295,0))),"NODE NOT FOUND"))</f>
        <v>Middle East</v>
      </c>
      <c r="I165" s="7" t="str">
        <f aca="false">IF($D165="","",IFERROR(IF(INDEX(Hierarchy!$F$2:$F$1295,MATCH($D165,Hierarchy!$A$2:$A$1295,0))="","",INDEX(Hierarchy!$F$2:$F$1295,MATCH($D165,Hierarchy!$A$2:$A$1295,0))),"NODE NOT FOUND"))</f>
        <v>Bahrain</v>
      </c>
      <c r="J165" s="7" t="str">
        <f aca="false">IF($D165="","",IFERROR(IF(INDEX(Hierarchy!$G$2:$G$1295,MATCH($D165,Hierarchy!$A$2:$A$1295,0))="","",INDEX(Hierarchy!$G$2:$G$1295,MATCH($D165,Hierarchy!$A$2:$A$1295,0))),"NODE NOT FOUND"))</f>
        <v>BHR</v>
      </c>
      <c r="K165" s="7" t="str">
        <f aca="false">IF($D165="","",IFERROR(IF(INDEX(Hierarchy!$H$2:$H$1295,MATCH($D165,Hierarchy!$A$2:$A$1295,0))="","",INDEX(Hierarchy!$H$2:$H$1295,MATCH($D165,Hierarchy!$A$2:$A$1295,0))),"NODE NOT FOUND"))</f>
        <v/>
      </c>
      <c r="L165" s="7" t="str">
        <f aca="false">IF($D165="","",IFERROR(IF(INDEX(Hierarchy!$I$2:$I$1295,MATCH($D165,Hierarchy!$A$2:$A$1295,0))="","",INDEX(Hierarchy!$I$2:$I$1295,MATCH($D165,Hierarchy!$A$2:$A$1295,0))),"NODE NOT FOUND"))</f>
        <v/>
      </c>
      <c r="M165" s="17" t="str">
        <f aca="false">IF(B165="Pre-seeded","Pre-seeded",IF(B165="Review 2026-09-16","Added from review",IF(C165="","New",IF(C165=D165,"","Changed"))))</f>
        <v/>
      </c>
      <c r="N165" s="7" t="str">
        <f aca="false">TRIM(SUBSTITUTE(SUBSTITUTE(SUBSTITUTE(" "&amp;TRIM(SUBSTITUTE(SUBSTITUTE(SUBSTITUTE(SUBSTITUTE(SUBSTITUTE(SUBSTITUTE(SUBSTITUTE(SUBSTITUTE(SUBSTITUTE(SUBSTITUTE(SUBSTITUTE(SUBSTITUTE(SUBSTITUTE(SUBSTITUTE(SUBSTITUTE(UPPER(TRIM(A165)),"[MEMBER]",""),"{MEMBER}",""),"[MEMBER}",""),"MEMBER]",""),"(A)",""),"""",""),"“",""),"”",""),".",""),":",""),",",""),"–"," "),"-"," "),"/"," "),"&amp;"," AND "))&amp;" "," THE "," ")," TOTAL "," ")," OPERATIONS "," "))</f>
        <v>BAHRAIN</v>
      </c>
      <c r="O165" s="17" t="str">
        <f aca="false">IF(COUNTIFS($N$2:$N$2000,N165,$D$2:$D$2000,"&lt;&gt;"&amp;D165)&gt;0,"CONFLICT","")</f>
        <v/>
      </c>
      <c r="P165" s="7"/>
    </row>
    <row r="166" customFormat="false" ht="15" hidden="false" customHeight="false" outlineLevel="0" collapsed="false">
      <c r="A166" s="7" t="s">
        <v>384</v>
      </c>
      <c r="B166" s="7" t="s">
        <v>1879</v>
      </c>
      <c r="C166" s="7"/>
      <c r="D166" s="6" t="s">
        <v>384</v>
      </c>
      <c r="E166" s="6" t="s">
        <v>1880</v>
      </c>
      <c r="F166" s="7" t="str">
        <f aca="false">IF($D166="","",IFERROR(IF(INDEX(Hierarchy!$B$2:$B$1295,MATCH($D166,Hierarchy!$A$2:$A$1295,0))="","",INDEX(Hierarchy!$B$2:$B$1295,MATCH($D166,Hierarchy!$A$2:$A$1295,0))),"NODE NOT FOUND"))</f>
        <v>State/Province</v>
      </c>
      <c r="G166" s="7" t="str">
        <f aca="false">IF($D166="","",IFERROR(IF(INDEX(Hierarchy!$D$2:$D$1295,MATCH($D166,Hierarchy!$A$2:$A$1295,0))="","",INDEX(Hierarchy!$D$2:$D$1295,MATCH($D166,Hierarchy!$A$2:$A$1295,0))),"NODE NOT FOUND"))</f>
        <v>AMER</v>
      </c>
      <c r="H166" s="7" t="str">
        <f aca="false">IF($D166="","",IFERROR(IF(INDEX(Hierarchy!$E$2:$E$1295,MATCH($D166,Hierarchy!$A$2:$A$1295,0))="","",INDEX(Hierarchy!$E$2:$E$1295,MATCH($D166,Hierarchy!$A$2:$A$1295,0))),"NODE NOT FOUND"))</f>
        <v>Latin America (LATAM)</v>
      </c>
      <c r="I166" s="7" t="str">
        <f aca="false">IF($D166="","",IFERROR(IF(INDEX(Hierarchy!$F$2:$F$1295,MATCH($D166,Hierarchy!$A$2:$A$1295,0))="","",INDEX(Hierarchy!$F$2:$F$1295,MATCH($D166,Hierarchy!$A$2:$A$1295,0))),"NODE NOT FOUND"))</f>
        <v>Mexico</v>
      </c>
      <c r="J166" s="7" t="str">
        <f aca="false">IF($D166="","",IFERROR(IF(INDEX(Hierarchy!$G$2:$G$1295,MATCH($D166,Hierarchy!$A$2:$A$1295,0))="","",INDEX(Hierarchy!$G$2:$G$1295,MATCH($D166,Hierarchy!$A$2:$A$1295,0))),"NODE NOT FOUND"))</f>
        <v>MEX</v>
      </c>
      <c r="K166" s="7" t="str">
        <f aca="false">IF($D166="","",IFERROR(IF(INDEX(Hierarchy!$H$2:$H$1295,MATCH($D166,Hierarchy!$A$2:$A$1295,0))="","",INDEX(Hierarchy!$H$2:$H$1295,MATCH($D166,Hierarchy!$A$2:$A$1295,0))),"NODE NOT FOUND"))</f>
        <v>Baja California</v>
      </c>
      <c r="L166" s="7" t="str">
        <f aca="false">IF($D166="","",IFERROR(IF(INDEX(Hierarchy!$I$2:$I$1295,MATCH($D166,Hierarchy!$A$2:$A$1295,0))="","",INDEX(Hierarchy!$I$2:$I$1295,MATCH($D166,Hierarchy!$A$2:$A$1295,0))),"NODE NOT FOUND"))</f>
        <v/>
      </c>
      <c r="M166" s="17" t="str">
        <f aca="false">IF(B166="Pre-seeded","Pre-seeded",IF(B166="Review 2026-09-16","Added from review",IF(C166="","New",IF(C166=D166,"","Changed"))))</f>
        <v>Pre-seeded</v>
      </c>
      <c r="N166" s="7" t="str">
        <f aca="false">TRIM(SUBSTITUTE(SUBSTITUTE(SUBSTITUTE(" "&amp;TRIM(SUBSTITUTE(SUBSTITUTE(SUBSTITUTE(SUBSTITUTE(SUBSTITUTE(SUBSTITUTE(SUBSTITUTE(SUBSTITUTE(SUBSTITUTE(SUBSTITUTE(SUBSTITUTE(SUBSTITUTE(SUBSTITUTE(SUBSTITUTE(SUBSTITUTE(UPPER(TRIM(A166)),"[MEMBER]",""),"{MEMBER}",""),"[MEMBER}",""),"MEMBER]",""),"(A)",""),"""",""),"“",""),"”",""),".",""),":",""),",",""),"–"," "),"-"," "),"/"," "),"&amp;"," AND "))&amp;" "," THE "," ")," TOTAL "," ")," OPERATIONS "," "))</f>
        <v>BAJA CALIFORNIA</v>
      </c>
      <c r="O166" s="17" t="str">
        <f aca="false">IF(COUNTIFS($N$2:$N$2000,N166,$D$2:$D$2000,"&lt;&gt;"&amp;D166)&gt;0,"CONFLICT","")</f>
        <v/>
      </c>
      <c r="P166" s="7"/>
    </row>
    <row r="167" customFormat="false" ht="15" hidden="false" customHeight="false" outlineLevel="0" collapsed="false">
      <c r="A167" s="7" t="s">
        <v>386</v>
      </c>
      <c r="B167" s="7" t="s">
        <v>1879</v>
      </c>
      <c r="C167" s="7"/>
      <c r="D167" s="6" t="s">
        <v>386</v>
      </c>
      <c r="E167" s="6" t="s">
        <v>1880</v>
      </c>
      <c r="F167" s="7" t="str">
        <f aca="false">IF($D167="","",IFERROR(IF(INDEX(Hierarchy!$B$2:$B$1295,MATCH($D167,Hierarchy!$A$2:$A$1295,0))="","",INDEX(Hierarchy!$B$2:$B$1295,MATCH($D167,Hierarchy!$A$2:$A$1295,0))),"NODE NOT FOUND"))</f>
        <v>State/Province</v>
      </c>
      <c r="G167" s="7" t="str">
        <f aca="false">IF($D167="","",IFERROR(IF(INDEX(Hierarchy!$D$2:$D$1295,MATCH($D167,Hierarchy!$A$2:$A$1295,0))="","",INDEX(Hierarchy!$D$2:$D$1295,MATCH($D167,Hierarchy!$A$2:$A$1295,0))),"NODE NOT FOUND"))</f>
        <v>AMER</v>
      </c>
      <c r="H167" s="7" t="str">
        <f aca="false">IF($D167="","",IFERROR(IF(INDEX(Hierarchy!$E$2:$E$1295,MATCH($D167,Hierarchy!$A$2:$A$1295,0))="","",INDEX(Hierarchy!$E$2:$E$1295,MATCH($D167,Hierarchy!$A$2:$A$1295,0))),"NODE NOT FOUND"))</f>
        <v>Latin America (LATAM)</v>
      </c>
      <c r="I167" s="7" t="str">
        <f aca="false">IF($D167="","",IFERROR(IF(INDEX(Hierarchy!$F$2:$F$1295,MATCH($D167,Hierarchy!$A$2:$A$1295,0))="","",INDEX(Hierarchy!$F$2:$F$1295,MATCH($D167,Hierarchy!$A$2:$A$1295,0))),"NODE NOT FOUND"))</f>
        <v>Mexico</v>
      </c>
      <c r="J167" s="7" t="str">
        <f aca="false">IF($D167="","",IFERROR(IF(INDEX(Hierarchy!$G$2:$G$1295,MATCH($D167,Hierarchy!$A$2:$A$1295,0))="","",INDEX(Hierarchy!$G$2:$G$1295,MATCH($D167,Hierarchy!$A$2:$A$1295,0))),"NODE NOT FOUND"))</f>
        <v>MEX</v>
      </c>
      <c r="K167" s="7" t="str">
        <f aca="false">IF($D167="","",IFERROR(IF(INDEX(Hierarchy!$H$2:$H$1295,MATCH($D167,Hierarchy!$A$2:$A$1295,0))="","",INDEX(Hierarchy!$H$2:$H$1295,MATCH($D167,Hierarchy!$A$2:$A$1295,0))),"NODE NOT FOUND"))</f>
        <v>Baja California Sur</v>
      </c>
      <c r="L167" s="7" t="str">
        <f aca="false">IF($D167="","",IFERROR(IF(INDEX(Hierarchy!$I$2:$I$1295,MATCH($D167,Hierarchy!$A$2:$A$1295,0))="","",INDEX(Hierarchy!$I$2:$I$1295,MATCH($D167,Hierarchy!$A$2:$A$1295,0))),"NODE NOT FOUND"))</f>
        <v/>
      </c>
      <c r="M167" s="17" t="str">
        <f aca="false">IF(B167="Pre-seeded","Pre-seeded",IF(B167="Review 2026-09-16","Added from review",IF(C167="","New",IF(C167=D167,"","Changed"))))</f>
        <v>Pre-seeded</v>
      </c>
      <c r="N167" s="7" t="str">
        <f aca="false">TRIM(SUBSTITUTE(SUBSTITUTE(SUBSTITUTE(" "&amp;TRIM(SUBSTITUTE(SUBSTITUTE(SUBSTITUTE(SUBSTITUTE(SUBSTITUTE(SUBSTITUTE(SUBSTITUTE(SUBSTITUTE(SUBSTITUTE(SUBSTITUTE(SUBSTITUTE(SUBSTITUTE(SUBSTITUTE(SUBSTITUTE(SUBSTITUTE(UPPER(TRIM(A167)),"[MEMBER]",""),"{MEMBER}",""),"[MEMBER}",""),"MEMBER]",""),"(A)",""),"""",""),"“",""),"”",""),".",""),":",""),",",""),"–"," "),"-"," "),"/"," "),"&amp;"," AND "))&amp;" "," THE "," ")," TOTAL "," ")," OPERATIONS "," "))</f>
        <v>BAJA CALIFORNIA SUR</v>
      </c>
      <c r="O167" s="17" t="str">
        <f aca="false">IF(COUNTIFS($N$2:$N$2000,N167,$D$2:$D$2000,"&lt;&gt;"&amp;D167)&gt;0,"CONFLICT","")</f>
        <v/>
      </c>
      <c r="P167" s="7"/>
    </row>
    <row r="168" customFormat="false" ht="15" hidden="false" customHeight="false" outlineLevel="0" collapsed="false">
      <c r="A168" s="7" t="s">
        <v>379</v>
      </c>
      <c r="B168" s="7" t="s">
        <v>1879</v>
      </c>
      <c r="C168" s="7"/>
      <c r="D168" s="6" t="s">
        <v>379</v>
      </c>
      <c r="E168" s="6" t="s">
        <v>1880</v>
      </c>
      <c r="F168" s="7" t="str">
        <f aca="false">IF($D168="","",IFERROR(IF(INDEX(Hierarchy!$B$2:$B$1295,MATCH($D168,Hierarchy!$A$2:$A$1295,0))="","",INDEX(Hierarchy!$B$2:$B$1295,MATCH($D168,Hierarchy!$A$2:$A$1295,0))),"NODE NOT FOUND"))</f>
        <v>Sub-national region</v>
      </c>
      <c r="G168" s="7" t="str">
        <f aca="false">IF($D168="","",IFERROR(IF(INDEX(Hierarchy!$D$2:$D$1295,MATCH($D168,Hierarchy!$A$2:$A$1295,0))="","",INDEX(Hierarchy!$D$2:$D$1295,MATCH($D168,Hierarchy!$A$2:$A$1295,0))),"NODE NOT FOUND"))</f>
        <v>AMER</v>
      </c>
      <c r="H168" s="7" t="str">
        <f aca="false">IF($D168="","",IFERROR(IF(INDEX(Hierarchy!$E$2:$E$1295,MATCH($D168,Hierarchy!$A$2:$A$1295,0))="","",INDEX(Hierarchy!$E$2:$E$1295,MATCH($D168,Hierarchy!$A$2:$A$1295,0))),"NODE NOT FOUND"))</f>
        <v>Latin America (LATAM)</v>
      </c>
      <c r="I168" s="7" t="str">
        <f aca="false">IF($D168="","",IFERROR(IF(INDEX(Hierarchy!$F$2:$F$1295,MATCH($D168,Hierarchy!$A$2:$A$1295,0))="","",INDEX(Hierarchy!$F$2:$F$1295,MATCH($D168,Hierarchy!$A$2:$A$1295,0))),"NODE NOT FOUND"))</f>
        <v>Mexico</v>
      </c>
      <c r="J168" s="7" t="str">
        <f aca="false">IF($D168="","",IFERROR(IF(INDEX(Hierarchy!$G$2:$G$1295,MATCH($D168,Hierarchy!$A$2:$A$1295,0))="","",INDEX(Hierarchy!$G$2:$G$1295,MATCH($D168,Hierarchy!$A$2:$A$1295,0))),"NODE NOT FOUND"))</f>
        <v>MEX</v>
      </c>
      <c r="K168" s="7" t="str">
        <f aca="false">IF($D168="","",IFERROR(IF(INDEX(Hierarchy!$H$2:$H$1295,MATCH($D168,Hierarchy!$A$2:$A$1295,0))="","",INDEX(Hierarchy!$H$2:$H$1295,MATCH($D168,Hierarchy!$A$2:$A$1295,0))),"NODE NOT FOUND"))</f>
        <v/>
      </c>
      <c r="L168" s="7" t="str">
        <f aca="false">IF($D168="","",IFERROR(IF(INDEX(Hierarchy!$I$2:$I$1295,MATCH($D168,Hierarchy!$A$2:$A$1295,0))="","",INDEX(Hierarchy!$I$2:$I$1295,MATCH($D168,Hierarchy!$A$2:$A$1295,0))),"NODE NOT FOUND"))</f>
        <v/>
      </c>
      <c r="M168" s="17" t="str">
        <f aca="false">IF(B168="Pre-seeded","Pre-seeded",IF(B168="Review 2026-09-16","Added from review",IF(C168="","New",IF(C168=D168,"","Changed"))))</f>
        <v>Pre-seeded</v>
      </c>
      <c r="N168" s="7" t="str">
        <f aca="false">TRIM(SUBSTITUTE(SUBSTITUTE(SUBSTITUTE(" "&amp;TRIM(SUBSTITUTE(SUBSTITUTE(SUBSTITUTE(SUBSTITUTE(SUBSTITUTE(SUBSTITUTE(SUBSTITUTE(SUBSTITUTE(SUBSTITUTE(SUBSTITUTE(SUBSTITUTE(SUBSTITUTE(SUBSTITUTE(SUBSTITUTE(SUBSTITUTE(UPPER(TRIM(A168)),"[MEMBER]",""),"{MEMBER}",""),"[MEMBER}",""),"MEMBER]",""),"(A)",""),"""",""),"“",""),"”",""),".",""),":",""),",",""),"–"," "),"-"," "),"/"," "),"&amp;"," AND "))&amp;" "," THE "," ")," TOTAL "," ")," OPERATIONS "," "))</f>
        <v>BAJÍO</v>
      </c>
      <c r="O168" s="17" t="str">
        <f aca="false">IF(COUNTIFS($N$2:$N$2000,N168,$D$2:$D$2000,"&lt;&gt;"&amp;D168)&gt;0,"CONFLICT","")</f>
        <v/>
      </c>
      <c r="P168" s="7"/>
    </row>
    <row r="169" customFormat="false" ht="15" hidden="false" customHeight="false" outlineLevel="0" collapsed="false">
      <c r="A169" s="7" t="s">
        <v>955</v>
      </c>
      <c r="B169" s="7" t="s">
        <v>1879</v>
      </c>
      <c r="C169" s="7"/>
      <c r="D169" s="6" t="s">
        <v>955</v>
      </c>
      <c r="E169" s="6" t="s">
        <v>1880</v>
      </c>
      <c r="F169" s="7" t="str">
        <f aca="false">IF($D169="","",IFERROR(IF(INDEX(Hierarchy!$B$2:$B$1295,MATCH($D169,Hierarchy!$A$2:$A$1295,0))="","",INDEX(Hierarchy!$B$2:$B$1295,MATCH($D169,Hierarchy!$A$2:$A$1295,0))),"NODE NOT FOUND"))</f>
        <v>State/Province</v>
      </c>
      <c r="G169" s="7" t="str">
        <f aca="false">IF($D169="","",IFERROR(IF(INDEX(Hierarchy!$D$2:$D$1295,MATCH($D169,Hierarchy!$A$2:$A$1295,0))="","",INDEX(Hierarchy!$D$2:$D$1295,MATCH($D169,Hierarchy!$A$2:$A$1295,0))),"NODE NOT FOUND"))</f>
        <v>EMEA</v>
      </c>
      <c r="H169" s="7" t="str">
        <f aca="false">IF($D169="","",IFERROR(IF(INDEX(Hierarchy!$E$2:$E$1295,MATCH($D169,Hierarchy!$A$2:$A$1295,0))="","",INDEX(Hierarchy!$E$2:$E$1295,MATCH($D169,Hierarchy!$A$2:$A$1295,0))),"NODE NOT FOUND"))</f>
        <v>Europe</v>
      </c>
      <c r="I169" s="7" t="str">
        <f aca="false">IF($D169="","",IFERROR(IF(INDEX(Hierarchy!$F$2:$F$1295,MATCH($D169,Hierarchy!$A$2:$A$1295,0))="","",INDEX(Hierarchy!$F$2:$F$1295,MATCH($D169,Hierarchy!$A$2:$A$1295,0))),"NODE NOT FOUND"))</f>
        <v>Spain</v>
      </c>
      <c r="J169" s="7" t="str">
        <f aca="false">IF($D169="","",IFERROR(IF(INDEX(Hierarchy!$G$2:$G$1295,MATCH($D169,Hierarchy!$A$2:$A$1295,0))="","",INDEX(Hierarchy!$G$2:$G$1295,MATCH($D169,Hierarchy!$A$2:$A$1295,0))),"NODE NOT FOUND"))</f>
        <v>ESP</v>
      </c>
      <c r="K169" s="7" t="str">
        <f aca="false">IF($D169="","",IFERROR(IF(INDEX(Hierarchy!$H$2:$H$1295,MATCH($D169,Hierarchy!$A$2:$A$1295,0))="","",INDEX(Hierarchy!$H$2:$H$1295,MATCH($D169,Hierarchy!$A$2:$A$1295,0))),"NODE NOT FOUND"))</f>
        <v>Balearic Islands</v>
      </c>
      <c r="L169" s="7" t="str">
        <f aca="false">IF($D169="","",IFERROR(IF(INDEX(Hierarchy!$I$2:$I$1295,MATCH($D169,Hierarchy!$A$2:$A$1295,0))="","",INDEX(Hierarchy!$I$2:$I$1295,MATCH($D169,Hierarchy!$A$2:$A$1295,0))),"NODE NOT FOUND"))</f>
        <v/>
      </c>
      <c r="M169" s="17" t="str">
        <f aca="false">IF(B169="Pre-seeded","Pre-seeded",IF(B169="Review 2026-09-16","Added from review",IF(C169="","New",IF(C169=D169,"","Changed"))))</f>
        <v>Pre-seeded</v>
      </c>
      <c r="N169" s="7" t="str">
        <f aca="false">TRIM(SUBSTITUTE(SUBSTITUTE(SUBSTITUTE(" "&amp;TRIM(SUBSTITUTE(SUBSTITUTE(SUBSTITUTE(SUBSTITUTE(SUBSTITUTE(SUBSTITUTE(SUBSTITUTE(SUBSTITUTE(SUBSTITUTE(SUBSTITUTE(SUBSTITUTE(SUBSTITUTE(SUBSTITUTE(SUBSTITUTE(SUBSTITUTE(UPPER(TRIM(A169)),"[MEMBER]",""),"{MEMBER}",""),"[MEMBER}",""),"MEMBER]",""),"(A)",""),"""",""),"“",""),"”",""),".",""),":",""),",",""),"–"," "),"-"," "),"/"," "),"&amp;"," AND "))&amp;" "," THE "," ")," TOTAL "," ")," OPERATIONS "," "))</f>
        <v>BALEARIC ISLANDS</v>
      </c>
      <c r="O169" s="17" t="str">
        <f aca="false">IF(COUNTIFS($N$2:$N$2000,N169,$D$2:$D$2000,"&lt;&gt;"&amp;D169)&gt;0,"CONFLICT","")</f>
        <v/>
      </c>
      <c r="P169" s="7"/>
    </row>
    <row r="170" customFormat="false" ht="15" hidden="false" customHeight="false" outlineLevel="0" collapsed="false">
      <c r="A170" s="7" t="s">
        <v>1592</v>
      </c>
      <c r="B170" s="7" t="s">
        <v>1879</v>
      </c>
      <c r="C170" s="7"/>
      <c r="D170" s="6" t="s">
        <v>1592</v>
      </c>
      <c r="E170" s="6" t="s">
        <v>1880</v>
      </c>
      <c r="F170" s="7" t="str">
        <f aca="false">IF($D170="","",IFERROR(IF(INDEX(Hierarchy!$B$2:$B$1295,MATCH($D170,Hierarchy!$A$2:$A$1295,0))="","",INDEX(Hierarchy!$B$2:$B$1295,MATCH($D170,Hierarchy!$A$2:$A$1295,0))),"NODE NOT FOUND"))</f>
        <v>State/Province</v>
      </c>
      <c r="G170" s="7" t="str">
        <f aca="false">IF($D170="","",IFERROR(IF(INDEX(Hierarchy!$D$2:$D$1295,MATCH($D170,Hierarchy!$A$2:$A$1295,0))="","",INDEX(Hierarchy!$D$2:$D$1295,MATCH($D170,Hierarchy!$A$2:$A$1295,0))),"NODE NOT FOUND"))</f>
        <v>APAC</v>
      </c>
      <c r="H170" s="7" t="str">
        <f aca="false">IF($D170="","",IFERROR(IF(INDEX(Hierarchy!$E$2:$E$1295,MATCH($D170,Hierarchy!$A$2:$A$1295,0))="","",INDEX(Hierarchy!$E$2:$E$1295,MATCH($D170,Hierarchy!$A$2:$A$1295,0))),"NODE NOT FOUND"))</f>
        <v>Southeast Asia (ASEAN)</v>
      </c>
      <c r="I170" s="7" t="str">
        <f aca="false">IF($D170="","",IFERROR(IF(INDEX(Hierarchy!$F$2:$F$1295,MATCH($D170,Hierarchy!$A$2:$A$1295,0))="","",INDEX(Hierarchy!$F$2:$F$1295,MATCH($D170,Hierarchy!$A$2:$A$1295,0))),"NODE NOT FOUND"))</f>
        <v>Indonesia</v>
      </c>
      <c r="J170" s="7" t="str">
        <f aca="false">IF($D170="","",IFERROR(IF(INDEX(Hierarchy!$G$2:$G$1295,MATCH($D170,Hierarchy!$A$2:$A$1295,0))="","",INDEX(Hierarchy!$G$2:$G$1295,MATCH($D170,Hierarchy!$A$2:$A$1295,0))),"NODE NOT FOUND"))</f>
        <v>IDN</v>
      </c>
      <c r="K170" s="7" t="str">
        <f aca="false">IF($D170="","",IFERROR(IF(INDEX(Hierarchy!$H$2:$H$1295,MATCH($D170,Hierarchy!$A$2:$A$1295,0))="","",INDEX(Hierarchy!$H$2:$H$1295,MATCH($D170,Hierarchy!$A$2:$A$1295,0))),"NODE NOT FOUND"))</f>
        <v>Bali</v>
      </c>
      <c r="L170" s="7" t="str">
        <f aca="false">IF($D170="","",IFERROR(IF(INDEX(Hierarchy!$I$2:$I$1295,MATCH($D170,Hierarchy!$A$2:$A$1295,0))="","",INDEX(Hierarchy!$I$2:$I$1295,MATCH($D170,Hierarchy!$A$2:$A$1295,0))),"NODE NOT FOUND"))</f>
        <v/>
      </c>
      <c r="M170" s="17" t="str">
        <f aca="false">IF(B170="Pre-seeded","Pre-seeded",IF(B170="Review 2026-09-16","Added from review",IF(C170="","New",IF(C170=D170,"","Changed"))))</f>
        <v>Pre-seeded</v>
      </c>
      <c r="N170" s="7" t="str">
        <f aca="false">TRIM(SUBSTITUTE(SUBSTITUTE(SUBSTITUTE(" "&amp;TRIM(SUBSTITUTE(SUBSTITUTE(SUBSTITUTE(SUBSTITUTE(SUBSTITUTE(SUBSTITUTE(SUBSTITUTE(SUBSTITUTE(SUBSTITUTE(SUBSTITUTE(SUBSTITUTE(SUBSTITUTE(SUBSTITUTE(SUBSTITUTE(SUBSTITUTE(UPPER(TRIM(A170)),"[MEMBER]",""),"{MEMBER}",""),"[MEMBER}",""),"MEMBER]",""),"(A)",""),"""",""),"“",""),"”",""),".",""),":",""),",",""),"–"," "),"-"," "),"/"," "),"&amp;"," AND "))&amp;" "," THE "," ")," TOTAL "," ")," OPERATIONS "," "))</f>
        <v>BALI</v>
      </c>
      <c r="O170" s="17" t="str">
        <f aca="false">IF(COUNTIFS($N$2:$N$2000,N170,$D$2:$D$2000,"&lt;&gt;"&amp;D170)&gt;0,"CONFLICT","")</f>
        <v/>
      </c>
      <c r="P170" s="7"/>
    </row>
    <row r="171" customFormat="false" ht="15" hidden="false" customHeight="false" outlineLevel="0" collapsed="false">
      <c r="A171" s="7" t="s">
        <v>623</v>
      </c>
      <c r="B171" s="7" t="s">
        <v>1879</v>
      </c>
      <c r="C171" s="7"/>
      <c r="D171" s="6" t="s">
        <v>623</v>
      </c>
      <c r="E171" s="6" t="s">
        <v>1880</v>
      </c>
      <c r="F171" s="7" t="str">
        <f aca="false">IF($D171="","",IFERROR(IF(INDEX(Hierarchy!$B$2:$B$1295,MATCH($D171,Hierarchy!$A$2:$A$1295,0))="","",INDEX(Hierarchy!$B$2:$B$1295,MATCH($D171,Hierarchy!$A$2:$A$1295,0))),"NODE NOT FOUND"))</f>
        <v>Sub-region component</v>
      </c>
      <c r="G171" s="7" t="str">
        <f aca="false">IF($D171="","",IFERROR(IF(INDEX(Hierarchy!$D$2:$D$1295,MATCH($D171,Hierarchy!$A$2:$A$1295,0))="","",INDEX(Hierarchy!$D$2:$D$1295,MATCH($D171,Hierarchy!$A$2:$A$1295,0))),"NODE NOT FOUND"))</f>
        <v>EMEA</v>
      </c>
      <c r="H171" s="7" t="str">
        <f aca="false">IF($D171="","",IFERROR(IF(INDEX(Hierarchy!$E$2:$E$1295,MATCH($D171,Hierarchy!$A$2:$A$1295,0))="","",INDEX(Hierarchy!$E$2:$E$1295,MATCH($D171,Hierarchy!$A$2:$A$1295,0))),"NODE NOT FOUND"))</f>
        <v>Europe</v>
      </c>
      <c r="I171" s="7" t="str">
        <f aca="false">IF($D171="","",IFERROR(IF(INDEX(Hierarchy!$F$2:$F$1295,MATCH($D171,Hierarchy!$A$2:$A$1295,0))="","",INDEX(Hierarchy!$F$2:$F$1295,MATCH($D171,Hierarchy!$A$2:$A$1295,0))),"NODE NOT FOUND"))</f>
        <v/>
      </c>
      <c r="J171" s="7" t="str">
        <f aca="false">IF($D171="","",IFERROR(IF(INDEX(Hierarchy!$G$2:$G$1295,MATCH($D171,Hierarchy!$A$2:$A$1295,0))="","",INDEX(Hierarchy!$G$2:$G$1295,MATCH($D171,Hierarchy!$A$2:$A$1295,0))),"NODE NOT FOUND"))</f>
        <v/>
      </c>
      <c r="K171" s="7" t="str">
        <f aca="false">IF($D171="","",IFERROR(IF(INDEX(Hierarchy!$H$2:$H$1295,MATCH($D171,Hierarchy!$A$2:$A$1295,0))="","",INDEX(Hierarchy!$H$2:$H$1295,MATCH($D171,Hierarchy!$A$2:$A$1295,0))),"NODE NOT FOUND"))</f>
        <v/>
      </c>
      <c r="L171" s="7" t="str">
        <f aca="false">IF($D171="","",IFERROR(IF(INDEX(Hierarchy!$I$2:$I$1295,MATCH($D171,Hierarchy!$A$2:$A$1295,0))="","",INDEX(Hierarchy!$I$2:$I$1295,MATCH($D171,Hierarchy!$A$2:$A$1295,0))),"NODE NOT FOUND"))</f>
        <v/>
      </c>
      <c r="M171" s="17" t="str">
        <f aca="false">IF(B171="Pre-seeded","Pre-seeded",IF(B171="Review 2026-09-16","Added from review",IF(C171="","New",IF(C171=D171,"","Changed"))))</f>
        <v>Pre-seeded</v>
      </c>
      <c r="N171" s="7" t="str">
        <f aca="false">TRIM(SUBSTITUTE(SUBSTITUTE(SUBSTITUTE(" "&amp;TRIM(SUBSTITUTE(SUBSTITUTE(SUBSTITUTE(SUBSTITUTE(SUBSTITUTE(SUBSTITUTE(SUBSTITUTE(SUBSTITUTE(SUBSTITUTE(SUBSTITUTE(SUBSTITUTE(SUBSTITUTE(SUBSTITUTE(SUBSTITUTE(SUBSTITUTE(UPPER(TRIM(A171)),"[MEMBER]",""),"{MEMBER}",""),"[MEMBER}",""),"MEMBER]",""),"(A)",""),"""",""),"“",""),"”",""),".",""),":",""),",",""),"–"," "),"-"," "),"/"," "),"&amp;"," AND "))&amp;" "," THE "," ")," TOTAL "," ")," OPERATIONS "," "))</f>
        <v>BALKANS</v>
      </c>
      <c r="O171" s="17" t="str">
        <f aca="false">IF(COUNTIFS($N$2:$N$2000,N171,$D$2:$D$2000,"&lt;&gt;"&amp;D171)&gt;0,"CONFLICT","")</f>
        <v/>
      </c>
      <c r="P171" s="7"/>
    </row>
    <row r="172" customFormat="false" ht="15" hidden="false" customHeight="false" outlineLevel="0" collapsed="false">
      <c r="A172" s="7" t="s">
        <v>1399</v>
      </c>
      <c r="B172" s="7" t="s">
        <v>1879</v>
      </c>
      <c r="C172" s="7"/>
      <c r="D172" s="6" t="s">
        <v>1399</v>
      </c>
      <c r="E172" s="6" t="s">
        <v>1880</v>
      </c>
      <c r="F172" s="7" t="str">
        <f aca="false">IF($D172="","",IFERROR(IF(INDEX(Hierarchy!$B$2:$B$1295,MATCH($D172,Hierarchy!$A$2:$A$1295,0))="","",INDEX(Hierarchy!$B$2:$B$1295,MATCH($D172,Hierarchy!$A$2:$A$1295,0))),"NODE NOT FOUND"))</f>
        <v>State/Province</v>
      </c>
      <c r="G172" s="7" t="str">
        <f aca="false">IF($D172="","",IFERROR(IF(INDEX(Hierarchy!$D$2:$D$1295,MATCH($D172,Hierarchy!$A$2:$A$1295,0))="","",INDEX(Hierarchy!$D$2:$D$1295,MATCH($D172,Hierarchy!$A$2:$A$1295,0))),"NODE NOT FOUND"))</f>
        <v>APAC</v>
      </c>
      <c r="H172" s="7" t="str">
        <f aca="false">IF($D172="","",IFERROR(IF(INDEX(Hierarchy!$E$2:$E$1295,MATCH($D172,Hierarchy!$A$2:$A$1295,0))="","",INDEX(Hierarchy!$E$2:$E$1295,MATCH($D172,Hierarchy!$A$2:$A$1295,0))),"NODE NOT FOUND"))</f>
        <v>South Asia</v>
      </c>
      <c r="I172" s="7" t="str">
        <f aca="false">IF($D172="","",IFERROR(IF(INDEX(Hierarchy!$F$2:$F$1295,MATCH($D172,Hierarchy!$A$2:$A$1295,0))="","",INDEX(Hierarchy!$F$2:$F$1295,MATCH($D172,Hierarchy!$A$2:$A$1295,0))),"NODE NOT FOUND"))</f>
        <v>Pakistan</v>
      </c>
      <c r="J172" s="7" t="str">
        <f aca="false">IF($D172="","",IFERROR(IF(INDEX(Hierarchy!$G$2:$G$1295,MATCH($D172,Hierarchy!$A$2:$A$1295,0))="","",INDEX(Hierarchy!$G$2:$G$1295,MATCH($D172,Hierarchy!$A$2:$A$1295,0))),"NODE NOT FOUND"))</f>
        <v>PAK</v>
      </c>
      <c r="K172" s="7" t="str">
        <f aca="false">IF($D172="","",IFERROR(IF(INDEX(Hierarchy!$H$2:$H$1295,MATCH($D172,Hierarchy!$A$2:$A$1295,0))="","",INDEX(Hierarchy!$H$2:$H$1295,MATCH($D172,Hierarchy!$A$2:$A$1295,0))),"NODE NOT FOUND"))</f>
        <v>Balochistan</v>
      </c>
      <c r="L172" s="7" t="str">
        <f aca="false">IF($D172="","",IFERROR(IF(INDEX(Hierarchy!$I$2:$I$1295,MATCH($D172,Hierarchy!$A$2:$A$1295,0))="","",INDEX(Hierarchy!$I$2:$I$1295,MATCH($D172,Hierarchy!$A$2:$A$1295,0))),"NODE NOT FOUND"))</f>
        <v/>
      </c>
      <c r="M172" s="17" t="str">
        <f aca="false">IF(B172="Pre-seeded","Pre-seeded",IF(B172="Review 2026-09-16","Added from review",IF(C172="","New",IF(C172=D172,"","Changed"))))</f>
        <v>Pre-seeded</v>
      </c>
      <c r="N172" s="7" t="str">
        <f aca="false">TRIM(SUBSTITUTE(SUBSTITUTE(SUBSTITUTE(" "&amp;TRIM(SUBSTITUTE(SUBSTITUTE(SUBSTITUTE(SUBSTITUTE(SUBSTITUTE(SUBSTITUTE(SUBSTITUTE(SUBSTITUTE(SUBSTITUTE(SUBSTITUTE(SUBSTITUTE(SUBSTITUTE(SUBSTITUTE(SUBSTITUTE(SUBSTITUTE(UPPER(TRIM(A172)),"[MEMBER]",""),"{MEMBER}",""),"[MEMBER}",""),"MEMBER]",""),"(A)",""),"""",""),"“",""),"”",""),".",""),":",""),",",""),"–"," "),"-"," "),"/"," "),"&amp;"," AND "))&amp;" "," THE "," ")," TOTAL "," ")," OPERATIONS "," "))</f>
        <v>BALOCHISTAN</v>
      </c>
      <c r="O172" s="17" t="str">
        <f aca="false">IF(COUNTIFS($N$2:$N$2000,N172,$D$2:$D$2000,"&lt;&gt;"&amp;D172)&gt;0,"CONFLICT","")</f>
        <v/>
      </c>
      <c r="P172" s="7"/>
    </row>
    <row r="173" customFormat="false" ht="15" hidden="false" customHeight="false" outlineLevel="0" collapsed="false">
      <c r="A173" s="7" t="s">
        <v>1992</v>
      </c>
      <c r="B173" s="7" t="s">
        <v>1879</v>
      </c>
      <c r="C173" s="7"/>
      <c r="D173" s="6" t="s">
        <v>626</v>
      </c>
      <c r="E173" s="6" t="s">
        <v>1880</v>
      </c>
      <c r="F173" s="7" t="str">
        <f aca="false">IF($D173="","",IFERROR(IF(INDEX(Hierarchy!$B$2:$B$1295,MATCH($D173,Hierarchy!$A$2:$A$1295,0))="","",INDEX(Hierarchy!$B$2:$B$1295,MATCH($D173,Hierarchy!$A$2:$A$1295,0))),"NODE NOT FOUND"))</f>
        <v>Sub-region component</v>
      </c>
      <c r="G173" s="7" t="str">
        <f aca="false">IF($D173="","",IFERROR(IF(INDEX(Hierarchy!$D$2:$D$1295,MATCH($D173,Hierarchy!$A$2:$A$1295,0))="","",INDEX(Hierarchy!$D$2:$D$1295,MATCH($D173,Hierarchy!$A$2:$A$1295,0))),"NODE NOT FOUND"))</f>
        <v>EMEA</v>
      </c>
      <c r="H173" s="7" t="str">
        <f aca="false">IF($D173="","",IFERROR(IF(INDEX(Hierarchy!$E$2:$E$1295,MATCH($D173,Hierarchy!$A$2:$A$1295,0))="","",INDEX(Hierarchy!$E$2:$E$1295,MATCH($D173,Hierarchy!$A$2:$A$1295,0))),"NODE NOT FOUND"))</f>
        <v>Europe</v>
      </c>
      <c r="I173" s="7" t="str">
        <f aca="false">IF($D173="","",IFERROR(IF(INDEX(Hierarchy!$F$2:$F$1295,MATCH($D173,Hierarchy!$A$2:$A$1295,0))="","",INDEX(Hierarchy!$F$2:$F$1295,MATCH($D173,Hierarchy!$A$2:$A$1295,0))),"NODE NOT FOUND"))</f>
        <v/>
      </c>
      <c r="J173" s="7" t="str">
        <f aca="false">IF($D173="","",IFERROR(IF(INDEX(Hierarchy!$G$2:$G$1295,MATCH($D173,Hierarchy!$A$2:$A$1295,0))="","",INDEX(Hierarchy!$G$2:$G$1295,MATCH($D173,Hierarchy!$A$2:$A$1295,0))),"NODE NOT FOUND"))</f>
        <v/>
      </c>
      <c r="K173" s="7" t="str">
        <f aca="false">IF($D173="","",IFERROR(IF(INDEX(Hierarchy!$H$2:$H$1295,MATCH($D173,Hierarchy!$A$2:$A$1295,0))="","",INDEX(Hierarchy!$H$2:$H$1295,MATCH($D173,Hierarchy!$A$2:$A$1295,0))),"NODE NOT FOUND"))</f>
        <v/>
      </c>
      <c r="L173" s="7" t="str">
        <f aca="false">IF($D173="","",IFERROR(IF(INDEX(Hierarchy!$I$2:$I$1295,MATCH($D173,Hierarchy!$A$2:$A$1295,0))="","",INDEX(Hierarchy!$I$2:$I$1295,MATCH($D173,Hierarchy!$A$2:$A$1295,0))),"NODE NOT FOUND"))</f>
        <v/>
      </c>
      <c r="M173" s="17" t="str">
        <f aca="false">IF(B173="Pre-seeded","Pre-seeded",IF(B173="Review 2026-09-16","Added from review",IF(C173="","New",IF(C173=D173,"","Changed"))))</f>
        <v>Pre-seeded</v>
      </c>
      <c r="N173" s="7" t="str">
        <f aca="false">TRIM(SUBSTITUTE(SUBSTITUTE(SUBSTITUTE(" "&amp;TRIM(SUBSTITUTE(SUBSTITUTE(SUBSTITUTE(SUBSTITUTE(SUBSTITUTE(SUBSTITUTE(SUBSTITUTE(SUBSTITUTE(SUBSTITUTE(SUBSTITUTE(SUBSTITUTE(SUBSTITUTE(SUBSTITUTE(SUBSTITUTE(SUBSTITUTE(UPPER(TRIM(A173)),"[MEMBER]",""),"{MEMBER}",""),"[MEMBER}",""),"MEMBER]",""),"(A)",""),"""",""),"“",""),"”",""),".",""),":",""),",",""),"–"," "),"-"," "),"/"," "),"&amp;"," AND "))&amp;" "," THE "," ")," TOTAL "," ")," OPERATIONS "," "))</f>
        <v>BALTIC STATES</v>
      </c>
      <c r="O173" s="17" t="str">
        <f aca="false">IF(COUNTIFS($N$2:$N$2000,N173,$D$2:$D$2000,"&lt;&gt;"&amp;D173)&gt;0,"CONFLICT","")</f>
        <v/>
      </c>
      <c r="P173" s="7"/>
    </row>
    <row r="174" customFormat="false" ht="15" hidden="false" customHeight="false" outlineLevel="0" collapsed="false">
      <c r="A174" s="7" t="s">
        <v>626</v>
      </c>
      <c r="B174" s="7" t="s">
        <v>1879</v>
      </c>
      <c r="C174" s="7"/>
      <c r="D174" s="6" t="s">
        <v>626</v>
      </c>
      <c r="E174" s="6" t="s">
        <v>1880</v>
      </c>
      <c r="F174" s="7" t="str">
        <f aca="false">IF($D174="","",IFERROR(IF(INDEX(Hierarchy!$B$2:$B$1295,MATCH($D174,Hierarchy!$A$2:$A$1295,0))="","",INDEX(Hierarchy!$B$2:$B$1295,MATCH($D174,Hierarchy!$A$2:$A$1295,0))),"NODE NOT FOUND"))</f>
        <v>Sub-region component</v>
      </c>
      <c r="G174" s="7" t="str">
        <f aca="false">IF($D174="","",IFERROR(IF(INDEX(Hierarchy!$D$2:$D$1295,MATCH($D174,Hierarchy!$A$2:$A$1295,0))="","",INDEX(Hierarchy!$D$2:$D$1295,MATCH($D174,Hierarchy!$A$2:$A$1295,0))),"NODE NOT FOUND"))</f>
        <v>EMEA</v>
      </c>
      <c r="H174" s="7" t="str">
        <f aca="false">IF($D174="","",IFERROR(IF(INDEX(Hierarchy!$E$2:$E$1295,MATCH($D174,Hierarchy!$A$2:$A$1295,0))="","",INDEX(Hierarchy!$E$2:$E$1295,MATCH($D174,Hierarchy!$A$2:$A$1295,0))),"NODE NOT FOUND"))</f>
        <v>Europe</v>
      </c>
      <c r="I174" s="7" t="str">
        <f aca="false">IF($D174="","",IFERROR(IF(INDEX(Hierarchy!$F$2:$F$1295,MATCH($D174,Hierarchy!$A$2:$A$1295,0))="","",INDEX(Hierarchy!$F$2:$F$1295,MATCH($D174,Hierarchy!$A$2:$A$1295,0))),"NODE NOT FOUND"))</f>
        <v/>
      </c>
      <c r="J174" s="7" t="str">
        <f aca="false">IF($D174="","",IFERROR(IF(INDEX(Hierarchy!$G$2:$G$1295,MATCH($D174,Hierarchy!$A$2:$A$1295,0))="","",INDEX(Hierarchy!$G$2:$G$1295,MATCH($D174,Hierarchy!$A$2:$A$1295,0))),"NODE NOT FOUND"))</f>
        <v/>
      </c>
      <c r="K174" s="7" t="str">
        <f aca="false">IF($D174="","",IFERROR(IF(INDEX(Hierarchy!$H$2:$H$1295,MATCH($D174,Hierarchy!$A$2:$A$1295,0))="","",INDEX(Hierarchy!$H$2:$H$1295,MATCH($D174,Hierarchy!$A$2:$A$1295,0))),"NODE NOT FOUND"))</f>
        <v/>
      </c>
      <c r="L174" s="7" t="str">
        <f aca="false">IF($D174="","",IFERROR(IF(INDEX(Hierarchy!$I$2:$I$1295,MATCH($D174,Hierarchy!$A$2:$A$1295,0))="","",INDEX(Hierarchy!$I$2:$I$1295,MATCH($D174,Hierarchy!$A$2:$A$1295,0))),"NODE NOT FOUND"))</f>
        <v/>
      </c>
      <c r="M174" s="17" t="str">
        <f aca="false">IF(B174="Pre-seeded","Pre-seeded",IF(B174="Review 2026-09-16","Added from review",IF(C174="","New",IF(C174=D174,"","Changed"))))</f>
        <v>Pre-seeded</v>
      </c>
      <c r="N174" s="7" t="str">
        <f aca="false">TRIM(SUBSTITUTE(SUBSTITUTE(SUBSTITUTE(" "&amp;TRIM(SUBSTITUTE(SUBSTITUTE(SUBSTITUTE(SUBSTITUTE(SUBSTITUTE(SUBSTITUTE(SUBSTITUTE(SUBSTITUTE(SUBSTITUTE(SUBSTITUTE(SUBSTITUTE(SUBSTITUTE(SUBSTITUTE(SUBSTITUTE(SUBSTITUTE(UPPER(TRIM(A174)),"[MEMBER]",""),"{MEMBER}",""),"[MEMBER}",""),"MEMBER]",""),"(A)",""),"""",""),"“",""),"”",""),".",""),":",""),",",""),"–"," "),"-"," "),"/"," "),"&amp;"," AND "))&amp;" "," THE "," ")," TOTAL "," ")," OPERATIONS "," "))</f>
        <v>BALTICS</v>
      </c>
      <c r="O174" s="17" t="str">
        <f aca="false">IF(COUNTIFS($N$2:$N$2000,N174,$D$2:$D$2000,"&lt;&gt;"&amp;D174)&gt;0,"CONFLICT","")</f>
        <v/>
      </c>
      <c r="P174" s="7"/>
    </row>
    <row r="175" customFormat="false" ht="15" hidden="false" customHeight="false" outlineLevel="0" collapsed="false">
      <c r="A175" s="7" t="s">
        <v>1993</v>
      </c>
      <c r="B175" s="7" t="s">
        <v>1879</v>
      </c>
      <c r="C175" s="7"/>
      <c r="D175" s="6" t="s">
        <v>1345</v>
      </c>
      <c r="E175" s="6" t="s">
        <v>1880</v>
      </c>
      <c r="F175" s="7" t="str">
        <f aca="false">IF($D175="","",IFERROR(IF(INDEX(Hierarchy!$B$2:$B$1295,MATCH($D175,Hierarchy!$A$2:$A$1295,0))="","",INDEX(Hierarchy!$B$2:$B$1295,MATCH($D175,Hierarchy!$A$2:$A$1295,0))),"NODE NOT FOUND"))</f>
        <v>City</v>
      </c>
      <c r="G175" s="7" t="str">
        <f aca="false">IF($D175="","",IFERROR(IF(INDEX(Hierarchy!$D$2:$D$1295,MATCH($D175,Hierarchy!$A$2:$A$1295,0))="","",INDEX(Hierarchy!$D$2:$D$1295,MATCH($D175,Hierarchy!$A$2:$A$1295,0))),"NODE NOT FOUND"))</f>
        <v>APAC</v>
      </c>
      <c r="H175" s="7" t="str">
        <f aca="false">IF($D175="","",IFERROR(IF(INDEX(Hierarchy!$E$2:$E$1295,MATCH($D175,Hierarchy!$A$2:$A$1295,0))="","",INDEX(Hierarchy!$E$2:$E$1295,MATCH($D175,Hierarchy!$A$2:$A$1295,0))),"NODE NOT FOUND"))</f>
        <v>South Asia</v>
      </c>
      <c r="I175" s="7" t="str">
        <f aca="false">IF($D175="","",IFERROR(IF(INDEX(Hierarchy!$F$2:$F$1295,MATCH($D175,Hierarchy!$A$2:$A$1295,0))="","",INDEX(Hierarchy!$F$2:$F$1295,MATCH($D175,Hierarchy!$A$2:$A$1295,0))),"NODE NOT FOUND"))</f>
        <v>India</v>
      </c>
      <c r="J175" s="7" t="str">
        <f aca="false">IF($D175="","",IFERROR(IF(INDEX(Hierarchy!$G$2:$G$1295,MATCH($D175,Hierarchy!$A$2:$A$1295,0))="","",INDEX(Hierarchy!$G$2:$G$1295,MATCH($D175,Hierarchy!$A$2:$A$1295,0))),"NODE NOT FOUND"))</f>
        <v>IND</v>
      </c>
      <c r="K175" s="7" t="str">
        <f aca="false">IF($D175="","",IFERROR(IF(INDEX(Hierarchy!$H$2:$H$1295,MATCH($D175,Hierarchy!$A$2:$A$1295,0))="","",INDEX(Hierarchy!$H$2:$H$1295,MATCH($D175,Hierarchy!$A$2:$A$1295,0))),"NODE NOT FOUND"))</f>
        <v>Karnataka</v>
      </c>
      <c r="L175" s="7" t="str">
        <f aca="false">IF($D175="","",IFERROR(IF(INDEX(Hierarchy!$I$2:$I$1295,MATCH($D175,Hierarchy!$A$2:$A$1295,0))="","",INDEX(Hierarchy!$I$2:$I$1295,MATCH($D175,Hierarchy!$A$2:$A$1295,0))),"NODE NOT FOUND"))</f>
        <v>Bengaluru</v>
      </c>
      <c r="M175" s="17" t="str">
        <f aca="false">IF(B175="Pre-seeded","Pre-seeded",IF(B175="Review 2026-09-16","Added from review",IF(C175="","New",IF(C175=D175,"","Changed"))))</f>
        <v>Pre-seeded</v>
      </c>
      <c r="N175" s="7" t="str">
        <f aca="false">TRIM(SUBSTITUTE(SUBSTITUTE(SUBSTITUTE(" "&amp;TRIM(SUBSTITUTE(SUBSTITUTE(SUBSTITUTE(SUBSTITUTE(SUBSTITUTE(SUBSTITUTE(SUBSTITUTE(SUBSTITUTE(SUBSTITUTE(SUBSTITUTE(SUBSTITUTE(SUBSTITUTE(SUBSTITUTE(SUBSTITUTE(SUBSTITUTE(UPPER(TRIM(A175)),"[MEMBER]",""),"{MEMBER}",""),"[MEMBER}",""),"MEMBER]",""),"(A)",""),"""",""),"“",""),"”",""),".",""),":",""),",",""),"–"," "),"-"," "),"/"," "),"&amp;"," AND "))&amp;" "," THE "," ")," TOTAL "," ")," OPERATIONS "," "))</f>
        <v>BANGALORE</v>
      </c>
      <c r="O175" s="17" t="str">
        <f aca="false">IF(COUNTIFS($N$2:$N$2000,N175,$D$2:$D$2000,"&lt;&gt;"&amp;D175)&gt;0,"CONFLICT","")</f>
        <v/>
      </c>
      <c r="P175" s="7"/>
    </row>
    <row r="176" customFormat="false" ht="15" hidden="false" customHeight="false" outlineLevel="0" collapsed="false">
      <c r="A176" s="7" t="s">
        <v>1593</v>
      </c>
      <c r="B176" s="7" t="s">
        <v>1879</v>
      </c>
      <c r="C176" s="7"/>
      <c r="D176" s="6" t="s">
        <v>1593</v>
      </c>
      <c r="E176" s="6" t="s">
        <v>1880</v>
      </c>
      <c r="F176" s="7" t="str">
        <f aca="false">IF($D176="","",IFERROR(IF(INDEX(Hierarchy!$B$2:$B$1295,MATCH($D176,Hierarchy!$A$2:$A$1295,0))="","",INDEX(Hierarchy!$B$2:$B$1295,MATCH($D176,Hierarchy!$A$2:$A$1295,0))),"NODE NOT FOUND"))</f>
        <v>State/Province</v>
      </c>
      <c r="G176" s="7" t="str">
        <f aca="false">IF($D176="","",IFERROR(IF(INDEX(Hierarchy!$D$2:$D$1295,MATCH($D176,Hierarchy!$A$2:$A$1295,0))="","",INDEX(Hierarchy!$D$2:$D$1295,MATCH($D176,Hierarchy!$A$2:$A$1295,0))),"NODE NOT FOUND"))</f>
        <v>APAC</v>
      </c>
      <c r="H176" s="7" t="str">
        <f aca="false">IF($D176="","",IFERROR(IF(INDEX(Hierarchy!$E$2:$E$1295,MATCH($D176,Hierarchy!$A$2:$A$1295,0))="","",INDEX(Hierarchy!$E$2:$E$1295,MATCH($D176,Hierarchy!$A$2:$A$1295,0))),"NODE NOT FOUND"))</f>
        <v>Southeast Asia (ASEAN)</v>
      </c>
      <c r="I176" s="7" t="str">
        <f aca="false">IF($D176="","",IFERROR(IF(INDEX(Hierarchy!$F$2:$F$1295,MATCH($D176,Hierarchy!$A$2:$A$1295,0))="","",INDEX(Hierarchy!$F$2:$F$1295,MATCH($D176,Hierarchy!$A$2:$A$1295,0))),"NODE NOT FOUND"))</f>
        <v>Indonesia</v>
      </c>
      <c r="J176" s="7" t="str">
        <f aca="false">IF($D176="","",IFERROR(IF(INDEX(Hierarchy!$G$2:$G$1295,MATCH($D176,Hierarchy!$A$2:$A$1295,0))="","",INDEX(Hierarchy!$G$2:$G$1295,MATCH($D176,Hierarchy!$A$2:$A$1295,0))),"NODE NOT FOUND"))</f>
        <v>IDN</v>
      </c>
      <c r="K176" s="7" t="str">
        <f aca="false">IF($D176="","",IFERROR(IF(INDEX(Hierarchy!$H$2:$H$1295,MATCH($D176,Hierarchy!$A$2:$A$1295,0))="","",INDEX(Hierarchy!$H$2:$H$1295,MATCH($D176,Hierarchy!$A$2:$A$1295,0))),"NODE NOT FOUND"))</f>
        <v>Bangka Belitung Islands</v>
      </c>
      <c r="L176" s="7" t="str">
        <f aca="false">IF($D176="","",IFERROR(IF(INDEX(Hierarchy!$I$2:$I$1295,MATCH($D176,Hierarchy!$A$2:$A$1295,0))="","",INDEX(Hierarchy!$I$2:$I$1295,MATCH($D176,Hierarchy!$A$2:$A$1295,0))),"NODE NOT FOUND"))</f>
        <v/>
      </c>
      <c r="M176" s="17" t="str">
        <f aca="false">IF(B176="Pre-seeded","Pre-seeded",IF(B176="Review 2026-09-16","Added from review",IF(C176="","New",IF(C176=D176,"","Changed"))))</f>
        <v>Pre-seeded</v>
      </c>
      <c r="N176" s="7" t="str">
        <f aca="false">TRIM(SUBSTITUTE(SUBSTITUTE(SUBSTITUTE(" "&amp;TRIM(SUBSTITUTE(SUBSTITUTE(SUBSTITUTE(SUBSTITUTE(SUBSTITUTE(SUBSTITUTE(SUBSTITUTE(SUBSTITUTE(SUBSTITUTE(SUBSTITUTE(SUBSTITUTE(SUBSTITUTE(SUBSTITUTE(SUBSTITUTE(SUBSTITUTE(UPPER(TRIM(A176)),"[MEMBER]",""),"{MEMBER}",""),"[MEMBER}",""),"MEMBER]",""),"(A)",""),"""",""),"“",""),"”",""),".",""),":",""),",",""),"–"," "),"-"," "),"/"," "),"&amp;"," AND "))&amp;" "," THE "," ")," TOTAL "," ")," OPERATIONS "," "))</f>
        <v>BANGKA BELITUNG ISLANDS</v>
      </c>
      <c r="O176" s="17" t="str">
        <f aca="false">IF(COUNTIFS($N$2:$N$2000,N176,$D$2:$D$2000,"&lt;&gt;"&amp;D176)&gt;0,"CONFLICT","")</f>
        <v/>
      </c>
      <c r="P176" s="7"/>
    </row>
    <row r="177" customFormat="false" ht="15" hidden="false" customHeight="false" outlineLevel="0" collapsed="false">
      <c r="A177" s="7" t="s">
        <v>1375</v>
      </c>
      <c r="B177" s="7" t="s">
        <v>1879</v>
      </c>
      <c r="C177" s="7"/>
      <c r="D177" s="6" t="s">
        <v>1375</v>
      </c>
      <c r="E177" s="6" t="s">
        <v>1880</v>
      </c>
      <c r="F177" s="7" t="str">
        <f aca="false">IF($D177="","",IFERROR(IF(INDEX(Hierarchy!$B$2:$B$1295,MATCH($D177,Hierarchy!$A$2:$A$1295,0))="","",INDEX(Hierarchy!$B$2:$B$1295,MATCH($D177,Hierarchy!$A$2:$A$1295,0))),"NODE NOT FOUND"))</f>
        <v>Country</v>
      </c>
      <c r="G177" s="7" t="str">
        <f aca="false">IF($D177="","",IFERROR(IF(INDEX(Hierarchy!$D$2:$D$1295,MATCH($D177,Hierarchy!$A$2:$A$1295,0))="","",INDEX(Hierarchy!$D$2:$D$1295,MATCH($D177,Hierarchy!$A$2:$A$1295,0))),"NODE NOT FOUND"))</f>
        <v>APAC</v>
      </c>
      <c r="H177" s="7" t="str">
        <f aca="false">IF($D177="","",IFERROR(IF(INDEX(Hierarchy!$E$2:$E$1295,MATCH($D177,Hierarchy!$A$2:$A$1295,0))="","",INDEX(Hierarchy!$E$2:$E$1295,MATCH($D177,Hierarchy!$A$2:$A$1295,0))),"NODE NOT FOUND"))</f>
        <v>South Asia</v>
      </c>
      <c r="I177" s="7" t="str">
        <f aca="false">IF($D177="","",IFERROR(IF(INDEX(Hierarchy!$F$2:$F$1295,MATCH($D177,Hierarchy!$A$2:$A$1295,0))="","",INDEX(Hierarchy!$F$2:$F$1295,MATCH($D177,Hierarchy!$A$2:$A$1295,0))),"NODE NOT FOUND"))</f>
        <v>Bangladesh</v>
      </c>
      <c r="J177" s="7" t="str">
        <f aca="false">IF($D177="","",IFERROR(IF(INDEX(Hierarchy!$G$2:$G$1295,MATCH($D177,Hierarchy!$A$2:$A$1295,0))="","",INDEX(Hierarchy!$G$2:$G$1295,MATCH($D177,Hierarchy!$A$2:$A$1295,0))),"NODE NOT FOUND"))</f>
        <v>BGD</v>
      </c>
      <c r="K177" s="7" t="str">
        <f aca="false">IF($D177="","",IFERROR(IF(INDEX(Hierarchy!$H$2:$H$1295,MATCH($D177,Hierarchy!$A$2:$A$1295,0))="","",INDEX(Hierarchy!$H$2:$H$1295,MATCH($D177,Hierarchy!$A$2:$A$1295,0))),"NODE NOT FOUND"))</f>
        <v/>
      </c>
      <c r="L177" s="7" t="str">
        <f aca="false">IF($D177="","",IFERROR(IF(INDEX(Hierarchy!$I$2:$I$1295,MATCH($D177,Hierarchy!$A$2:$A$1295,0))="","",INDEX(Hierarchy!$I$2:$I$1295,MATCH($D177,Hierarchy!$A$2:$A$1295,0))),"NODE NOT FOUND"))</f>
        <v/>
      </c>
      <c r="M177" s="17" t="str">
        <f aca="false">IF(B177="Pre-seeded","Pre-seeded",IF(B177="Review 2026-09-16","Added from review",IF(C177="","New",IF(C177=D177,"","Changed"))))</f>
        <v>Pre-seeded</v>
      </c>
      <c r="N177" s="7" t="str">
        <f aca="false">TRIM(SUBSTITUTE(SUBSTITUTE(SUBSTITUTE(" "&amp;TRIM(SUBSTITUTE(SUBSTITUTE(SUBSTITUTE(SUBSTITUTE(SUBSTITUTE(SUBSTITUTE(SUBSTITUTE(SUBSTITUTE(SUBSTITUTE(SUBSTITUTE(SUBSTITUTE(SUBSTITUTE(SUBSTITUTE(SUBSTITUTE(SUBSTITUTE(UPPER(TRIM(A177)),"[MEMBER]",""),"{MEMBER}",""),"[MEMBER}",""),"MEMBER]",""),"(A)",""),"""",""),"“",""),"”",""),".",""),":",""),",",""),"–"," "),"-"," "),"/"," "),"&amp;"," AND "))&amp;" "," THE "," ")," TOTAL "," ")," OPERATIONS "," "))</f>
        <v>BANGLADESH</v>
      </c>
      <c r="O177" s="17" t="str">
        <f aca="false">IF(COUNTIFS($N$2:$N$2000,N177,$D$2:$D$2000,"&lt;&gt;"&amp;D177)&gt;0,"CONFLICT","")</f>
        <v/>
      </c>
      <c r="P177" s="7"/>
    </row>
    <row r="178" customFormat="false" ht="15" hidden="false" customHeight="false" outlineLevel="0" collapsed="false">
      <c r="A178" s="7" t="s">
        <v>1663</v>
      </c>
      <c r="B178" s="7" t="s">
        <v>1879</v>
      </c>
      <c r="C178" s="7"/>
      <c r="D178" s="6" t="s">
        <v>1663</v>
      </c>
      <c r="E178" s="6" t="s">
        <v>1880</v>
      </c>
      <c r="F178" s="7" t="str">
        <f aca="false">IF($D178="","",IFERROR(IF(INDEX(Hierarchy!$B$2:$B$1295,MATCH($D178,Hierarchy!$A$2:$A$1295,0))="","",INDEX(Hierarchy!$B$2:$B$1295,MATCH($D178,Hierarchy!$A$2:$A$1295,0))),"NODE NOT FOUND"))</f>
        <v>State/Province</v>
      </c>
      <c r="G178" s="7" t="str">
        <f aca="false">IF($D178="","",IFERROR(IF(INDEX(Hierarchy!$D$2:$D$1295,MATCH($D178,Hierarchy!$A$2:$A$1295,0))="","",INDEX(Hierarchy!$D$2:$D$1295,MATCH($D178,Hierarchy!$A$2:$A$1295,0))),"NODE NOT FOUND"))</f>
        <v>APAC</v>
      </c>
      <c r="H178" s="7" t="str">
        <f aca="false">IF($D178="","",IFERROR(IF(INDEX(Hierarchy!$E$2:$E$1295,MATCH($D178,Hierarchy!$A$2:$A$1295,0))="","",INDEX(Hierarchy!$E$2:$E$1295,MATCH($D178,Hierarchy!$A$2:$A$1295,0))),"NODE NOT FOUND"))</f>
        <v>Southeast Asia (ASEAN)</v>
      </c>
      <c r="I178" s="7" t="str">
        <f aca="false">IF($D178="","",IFERROR(IF(INDEX(Hierarchy!$F$2:$F$1295,MATCH($D178,Hierarchy!$A$2:$A$1295,0))="","",INDEX(Hierarchy!$F$2:$F$1295,MATCH($D178,Hierarchy!$A$2:$A$1295,0))),"NODE NOT FOUND"))</f>
        <v>Philippines</v>
      </c>
      <c r="J178" s="7" t="str">
        <f aca="false">IF($D178="","",IFERROR(IF(INDEX(Hierarchy!$G$2:$G$1295,MATCH($D178,Hierarchy!$A$2:$A$1295,0))="","",INDEX(Hierarchy!$G$2:$G$1295,MATCH($D178,Hierarchy!$A$2:$A$1295,0))),"NODE NOT FOUND"))</f>
        <v>PHL</v>
      </c>
      <c r="K178" s="7" t="str">
        <f aca="false">IF($D178="","",IFERROR(IF(INDEX(Hierarchy!$H$2:$H$1295,MATCH($D178,Hierarchy!$A$2:$A$1295,0))="","",INDEX(Hierarchy!$H$2:$H$1295,MATCH($D178,Hierarchy!$A$2:$A$1295,0))),"NODE NOT FOUND"))</f>
        <v>Bangsamoro (BARMM)</v>
      </c>
      <c r="L178" s="7" t="str">
        <f aca="false">IF($D178="","",IFERROR(IF(INDEX(Hierarchy!$I$2:$I$1295,MATCH($D178,Hierarchy!$A$2:$A$1295,0))="","",INDEX(Hierarchy!$I$2:$I$1295,MATCH($D178,Hierarchy!$A$2:$A$1295,0))),"NODE NOT FOUND"))</f>
        <v/>
      </c>
      <c r="M178" s="17" t="str">
        <f aca="false">IF(B178="Pre-seeded","Pre-seeded",IF(B178="Review 2026-09-16","Added from review",IF(C178="","New",IF(C178=D178,"","Changed"))))</f>
        <v>Pre-seeded</v>
      </c>
      <c r="N178" s="7" t="str">
        <f aca="false">TRIM(SUBSTITUTE(SUBSTITUTE(SUBSTITUTE(" "&amp;TRIM(SUBSTITUTE(SUBSTITUTE(SUBSTITUTE(SUBSTITUTE(SUBSTITUTE(SUBSTITUTE(SUBSTITUTE(SUBSTITUTE(SUBSTITUTE(SUBSTITUTE(SUBSTITUTE(SUBSTITUTE(SUBSTITUTE(SUBSTITUTE(SUBSTITUTE(UPPER(TRIM(A178)),"[MEMBER]",""),"{MEMBER}",""),"[MEMBER}",""),"MEMBER]",""),"(A)",""),"""",""),"“",""),"”",""),".",""),":",""),",",""),"–"," "),"-"," "),"/"," "),"&amp;"," AND "))&amp;" "," THE "," ")," TOTAL "," ")," OPERATIONS "," "))</f>
        <v>BANGSAMORO (BARMM)</v>
      </c>
      <c r="O178" s="17" t="str">
        <f aca="false">IF(COUNTIFS($N$2:$N$2000,N178,$D$2:$D$2000,"&lt;&gt;"&amp;D178)&gt;0,"CONFLICT","")</f>
        <v/>
      </c>
      <c r="P178" s="7"/>
    </row>
    <row r="179" customFormat="false" ht="15" hidden="false" customHeight="false" outlineLevel="0" collapsed="false">
      <c r="A179" s="7" t="s">
        <v>1594</v>
      </c>
      <c r="B179" s="7" t="s">
        <v>1879</v>
      </c>
      <c r="C179" s="7"/>
      <c r="D179" s="6" t="s">
        <v>1594</v>
      </c>
      <c r="E179" s="6" t="s">
        <v>1880</v>
      </c>
      <c r="F179" s="7" t="str">
        <f aca="false">IF($D179="","",IFERROR(IF(INDEX(Hierarchy!$B$2:$B$1295,MATCH($D179,Hierarchy!$A$2:$A$1295,0))="","",INDEX(Hierarchy!$B$2:$B$1295,MATCH($D179,Hierarchy!$A$2:$A$1295,0))),"NODE NOT FOUND"))</f>
        <v>State/Province</v>
      </c>
      <c r="G179" s="7" t="str">
        <f aca="false">IF($D179="","",IFERROR(IF(INDEX(Hierarchy!$D$2:$D$1295,MATCH($D179,Hierarchy!$A$2:$A$1295,0))="","",INDEX(Hierarchy!$D$2:$D$1295,MATCH($D179,Hierarchy!$A$2:$A$1295,0))),"NODE NOT FOUND"))</f>
        <v>APAC</v>
      </c>
      <c r="H179" s="7" t="str">
        <f aca="false">IF($D179="","",IFERROR(IF(INDEX(Hierarchy!$E$2:$E$1295,MATCH($D179,Hierarchy!$A$2:$A$1295,0))="","",INDEX(Hierarchy!$E$2:$E$1295,MATCH($D179,Hierarchy!$A$2:$A$1295,0))),"NODE NOT FOUND"))</f>
        <v>Southeast Asia (ASEAN)</v>
      </c>
      <c r="I179" s="7" t="str">
        <f aca="false">IF($D179="","",IFERROR(IF(INDEX(Hierarchy!$F$2:$F$1295,MATCH($D179,Hierarchy!$A$2:$A$1295,0))="","",INDEX(Hierarchy!$F$2:$F$1295,MATCH($D179,Hierarchy!$A$2:$A$1295,0))),"NODE NOT FOUND"))</f>
        <v>Indonesia</v>
      </c>
      <c r="J179" s="7" t="str">
        <f aca="false">IF($D179="","",IFERROR(IF(INDEX(Hierarchy!$G$2:$G$1295,MATCH($D179,Hierarchy!$A$2:$A$1295,0))="","",INDEX(Hierarchy!$G$2:$G$1295,MATCH($D179,Hierarchy!$A$2:$A$1295,0))),"NODE NOT FOUND"))</f>
        <v>IDN</v>
      </c>
      <c r="K179" s="7" t="str">
        <f aca="false">IF($D179="","",IFERROR(IF(INDEX(Hierarchy!$H$2:$H$1295,MATCH($D179,Hierarchy!$A$2:$A$1295,0))="","",INDEX(Hierarchy!$H$2:$H$1295,MATCH($D179,Hierarchy!$A$2:$A$1295,0))),"NODE NOT FOUND"))</f>
        <v>Banten</v>
      </c>
      <c r="L179" s="7" t="str">
        <f aca="false">IF($D179="","",IFERROR(IF(INDEX(Hierarchy!$I$2:$I$1295,MATCH($D179,Hierarchy!$A$2:$A$1295,0))="","",INDEX(Hierarchy!$I$2:$I$1295,MATCH($D179,Hierarchy!$A$2:$A$1295,0))),"NODE NOT FOUND"))</f>
        <v/>
      </c>
      <c r="M179" s="17" t="str">
        <f aca="false">IF(B179="Pre-seeded","Pre-seeded",IF(B179="Review 2026-09-16","Added from review",IF(C179="","New",IF(C179=D179,"","Changed"))))</f>
        <v>Pre-seeded</v>
      </c>
      <c r="N179" s="7" t="str">
        <f aca="false">TRIM(SUBSTITUTE(SUBSTITUTE(SUBSTITUTE(" "&amp;TRIM(SUBSTITUTE(SUBSTITUTE(SUBSTITUTE(SUBSTITUTE(SUBSTITUTE(SUBSTITUTE(SUBSTITUTE(SUBSTITUTE(SUBSTITUTE(SUBSTITUTE(SUBSTITUTE(SUBSTITUTE(SUBSTITUTE(SUBSTITUTE(SUBSTITUTE(UPPER(TRIM(A179)),"[MEMBER]",""),"{MEMBER}",""),"[MEMBER}",""),"MEMBER]",""),"(A)",""),"""",""),"“",""),"”",""),".",""),":",""),",",""),"–"," "),"-"," "),"/"," "),"&amp;"," AND "))&amp;" "," THE "," ")," TOTAL "," ")," OPERATIONS "," "))</f>
        <v>BANTEN</v>
      </c>
      <c r="O179" s="17" t="str">
        <f aca="false">IF(COUNTIFS($N$2:$N$2000,N179,$D$2:$D$2000,"&lt;&gt;"&amp;D179)&gt;0,"CONFLICT","")</f>
        <v/>
      </c>
      <c r="P179" s="7"/>
    </row>
    <row r="180" customFormat="false" ht="15" hidden="false" customHeight="false" outlineLevel="0" collapsed="false">
      <c r="A180" s="7" t="s">
        <v>1994</v>
      </c>
      <c r="B180" s="7" t="s">
        <v>1882</v>
      </c>
      <c r="C180" s="7" t="s">
        <v>460</v>
      </c>
      <c r="D180" s="6" t="s">
        <v>460</v>
      </c>
      <c r="E180" s="6" t="s">
        <v>1880</v>
      </c>
      <c r="F180" s="7" t="str">
        <f aca="false">IF($D180="","",IFERROR(IF(INDEX(Hierarchy!$B$2:$B$1295,MATCH($D180,Hierarchy!$A$2:$A$1295,0))="","",INDEX(Hierarchy!$B$2:$B$1295,MATCH($D180,Hierarchy!$A$2:$A$1295,0))),"NODE NOT FOUND"))</f>
        <v>Country</v>
      </c>
      <c r="G180" s="7" t="str">
        <f aca="false">IF($D180="","",IFERROR(IF(INDEX(Hierarchy!$D$2:$D$1295,MATCH($D180,Hierarchy!$A$2:$A$1295,0))="","",INDEX(Hierarchy!$D$2:$D$1295,MATCH($D180,Hierarchy!$A$2:$A$1295,0))),"NODE NOT FOUND"))</f>
        <v>AMER</v>
      </c>
      <c r="H180" s="7" t="str">
        <f aca="false">IF($D180="","",IFERROR(IF(INDEX(Hierarchy!$E$2:$E$1295,MATCH($D180,Hierarchy!$A$2:$A$1295,0))="","",INDEX(Hierarchy!$E$2:$E$1295,MATCH($D180,Hierarchy!$A$2:$A$1295,0))),"NODE NOT FOUND"))</f>
        <v>Latin America (LATAM)</v>
      </c>
      <c r="I180" s="7" t="str">
        <f aca="false">IF($D180="","",IFERROR(IF(INDEX(Hierarchy!$F$2:$F$1295,MATCH($D180,Hierarchy!$A$2:$A$1295,0))="","",INDEX(Hierarchy!$F$2:$F$1295,MATCH($D180,Hierarchy!$A$2:$A$1295,0))),"NODE NOT FOUND"))</f>
        <v>Barbados</v>
      </c>
      <c r="J180" s="7" t="str">
        <f aca="false">IF($D180="","",IFERROR(IF(INDEX(Hierarchy!$G$2:$G$1295,MATCH($D180,Hierarchy!$A$2:$A$1295,0))="","",INDEX(Hierarchy!$G$2:$G$1295,MATCH($D180,Hierarchy!$A$2:$A$1295,0))),"NODE NOT FOUND"))</f>
        <v>BRB</v>
      </c>
      <c r="K180" s="7" t="str">
        <f aca="false">IF($D180="","",IFERROR(IF(INDEX(Hierarchy!$H$2:$H$1295,MATCH($D180,Hierarchy!$A$2:$A$1295,0))="","",INDEX(Hierarchy!$H$2:$H$1295,MATCH($D180,Hierarchy!$A$2:$A$1295,0))),"NODE NOT FOUND"))</f>
        <v/>
      </c>
      <c r="L180" s="7" t="str">
        <f aca="false">IF($D180="","",IFERROR(IF(INDEX(Hierarchy!$I$2:$I$1295,MATCH($D180,Hierarchy!$A$2:$A$1295,0))="","",INDEX(Hierarchy!$I$2:$I$1295,MATCH($D180,Hierarchy!$A$2:$A$1295,0))),"NODE NOT FOUND"))</f>
        <v/>
      </c>
      <c r="M180" s="17" t="str">
        <f aca="false">IF(B180="Pre-seeded","Pre-seeded",IF(B180="Review 2026-09-16","Added from review",IF(C180="","New",IF(C180=D180,"","Changed"))))</f>
        <v/>
      </c>
      <c r="N180" s="7" t="str">
        <f aca="false">TRIM(SUBSTITUTE(SUBSTITUTE(SUBSTITUTE(" "&amp;TRIM(SUBSTITUTE(SUBSTITUTE(SUBSTITUTE(SUBSTITUTE(SUBSTITUTE(SUBSTITUTE(SUBSTITUTE(SUBSTITUTE(SUBSTITUTE(SUBSTITUTE(SUBSTITUTE(SUBSTITUTE(SUBSTITUTE(SUBSTITUTE(SUBSTITUTE(UPPER(TRIM(A180)),"[MEMBER]",""),"{MEMBER}",""),"[MEMBER}",""),"MEMBER]",""),"(A)",""),"""",""),"“",""),"”",""),".",""),":",""),",",""),"–"," "),"-"," "),"/"," "),"&amp;"," AND "))&amp;" "," THE "," ")," TOTAL "," ")," OPERATIONS "," "))</f>
        <v>BARBADOS</v>
      </c>
      <c r="O180" s="17" t="str">
        <f aca="false">IF(COUNTIFS($N$2:$N$2000,N180,$D$2:$D$2000,"&lt;&gt;"&amp;D180)&gt;0,"CONFLICT","")</f>
        <v/>
      </c>
      <c r="P180" s="7"/>
    </row>
    <row r="181" customFormat="false" ht="15" hidden="false" customHeight="false" outlineLevel="0" collapsed="false">
      <c r="A181" s="7" t="s">
        <v>460</v>
      </c>
      <c r="B181" s="7" t="s">
        <v>1882</v>
      </c>
      <c r="C181" s="7" t="s">
        <v>460</v>
      </c>
      <c r="D181" s="6" t="s">
        <v>460</v>
      </c>
      <c r="E181" s="6" t="s">
        <v>1880</v>
      </c>
      <c r="F181" s="7" t="str">
        <f aca="false">IF($D181="","",IFERROR(IF(INDEX(Hierarchy!$B$2:$B$1295,MATCH($D181,Hierarchy!$A$2:$A$1295,0))="","",INDEX(Hierarchy!$B$2:$B$1295,MATCH($D181,Hierarchy!$A$2:$A$1295,0))),"NODE NOT FOUND"))</f>
        <v>Country</v>
      </c>
      <c r="G181" s="7" t="str">
        <f aca="false">IF($D181="","",IFERROR(IF(INDEX(Hierarchy!$D$2:$D$1295,MATCH($D181,Hierarchy!$A$2:$A$1295,0))="","",INDEX(Hierarchy!$D$2:$D$1295,MATCH($D181,Hierarchy!$A$2:$A$1295,0))),"NODE NOT FOUND"))</f>
        <v>AMER</v>
      </c>
      <c r="H181" s="7" t="str">
        <f aca="false">IF($D181="","",IFERROR(IF(INDEX(Hierarchy!$E$2:$E$1295,MATCH($D181,Hierarchy!$A$2:$A$1295,0))="","",INDEX(Hierarchy!$E$2:$E$1295,MATCH($D181,Hierarchy!$A$2:$A$1295,0))),"NODE NOT FOUND"))</f>
        <v>Latin America (LATAM)</v>
      </c>
      <c r="I181" s="7" t="str">
        <f aca="false">IF($D181="","",IFERROR(IF(INDEX(Hierarchy!$F$2:$F$1295,MATCH($D181,Hierarchy!$A$2:$A$1295,0))="","",INDEX(Hierarchy!$F$2:$F$1295,MATCH($D181,Hierarchy!$A$2:$A$1295,0))),"NODE NOT FOUND"))</f>
        <v>Barbados</v>
      </c>
      <c r="J181" s="7" t="str">
        <f aca="false">IF($D181="","",IFERROR(IF(INDEX(Hierarchy!$G$2:$G$1295,MATCH($D181,Hierarchy!$A$2:$A$1295,0))="","",INDEX(Hierarchy!$G$2:$G$1295,MATCH($D181,Hierarchy!$A$2:$A$1295,0))),"NODE NOT FOUND"))</f>
        <v>BRB</v>
      </c>
      <c r="K181" s="7" t="str">
        <f aca="false">IF($D181="","",IFERROR(IF(INDEX(Hierarchy!$H$2:$H$1295,MATCH($D181,Hierarchy!$A$2:$A$1295,0))="","",INDEX(Hierarchy!$H$2:$H$1295,MATCH($D181,Hierarchy!$A$2:$A$1295,0))),"NODE NOT FOUND"))</f>
        <v/>
      </c>
      <c r="L181" s="7" t="str">
        <f aca="false">IF($D181="","",IFERROR(IF(INDEX(Hierarchy!$I$2:$I$1295,MATCH($D181,Hierarchy!$A$2:$A$1295,0))="","",INDEX(Hierarchy!$I$2:$I$1295,MATCH($D181,Hierarchy!$A$2:$A$1295,0))),"NODE NOT FOUND"))</f>
        <v/>
      </c>
      <c r="M181" s="17" t="str">
        <f aca="false">IF(B181="Pre-seeded","Pre-seeded",IF(B181="Review 2026-09-16","Added from review",IF(C181="","New",IF(C181=D181,"","Changed"))))</f>
        <v/>
      </c>
      <c r="N181" s="7" t="str">
        <f aca="false">TRIM(SUBSTITUTE(SUBSTITUTE(SUBSTITUTE(" "&amp;TRIM(SUBSTITUTE(SUBSTITUTE(SUBSTITUTE(SUBSTITUTE(SUBSTITUTE(SUBSTITUTE(SUBSTITUTE(SUBSTITUTE(SUBSTITUTE(SUBSTITUTE(SUBSTITUTE(SUBSTITUTE(SUBSTITUTE(SUBSTITUTE(SUBSTITUTE(UPPER(TRIM(A181)),"[MEMBER]",""),"{MEMBER}",""),"[MEMBER}",""),"MEMBER]",""),"(A)",""),"""",""),"“",""),"”",""),".",""),":",""),",",""),"–"," "),"-"," "),"/"," "),"&amp;"," AND "))&amp;" "," THE "," ")," TOTAL "," ")," OPERATIONS "," "))</f>
        <v>BARBADOS</v>
      </c>
      <c r="O181" s="17" t="str">
        <f aca="false">IF(COUNTIFS($N$2:$N$2000,N181,$D$2:$D$2000,"&lt;&gt;"&amp;D181)&gt;0,"CONFLICT","")</f>
        <v/>
      </c>
      <c r="P181" s="7"/>
    </row>
    <row r="182" customFormat="false" ht="15" hidden="false" customHeight="false" outlineLevel="0" collapsed="false">
      <c r="A182" s="7" t="s">
        <v>1377</v>
      </c>
      <c r="B182" s="7" t="s">
        <v>1879</v>
      </c>
      <c r="C182" s="7"/>
      <c r="D182" s="6" t="s">
        <v>1377</v>
      </c>
      <c r="E182" s="6" t="s">
        <v>1880</v>
      </c>
      <c r="F182" s="7" t="str">
        <f aca="false">IF($D182="","",IFERROR(IF(INDEX(Hierarchy!$B$2:$B$1295,MATCH($D182,Hierarchy!$A$2:$A$1295,0))="","",INDEX(Hierarchy!$B$2:$B$1295,MATCH($D182,Hierarchy!$A$2:$A$1295,0))),"NODE NOT FOUND"))</f>
        <v>State/Province</v>
      </c>
      <c r="G182" s="7" t="str">
        <f aca="false">IF($D182="","",IFERROR(IF(INDEX(Hierarchy!$D$2:$D$1295,MATCH($D182,Hierarchy!$A$2:$A$1295,0))="","",INDEX(Hierarchy!$D$2:$D$1295,MATCH($D182,Hierarchy!$A$2:$A$1295,0))),"NODE NOT FOUND"))</f>
        <v>APAC</v>
      </c>
      <c r="H182" s="7" t="str">
        <f aca="false">IF($D182="","",IFERROR(IF(INDEX(Hierarchy!$E$2:$E$1295,MATCH($D182,Hierarchy!$A$2:$A$1295,0))="","",INDEX(Hierarchy!$E$2:$E$1295,MATCH($D182,Hierarchy!$A$2:$A$1295,0))),"NODE NOT FOUND"))</f>
        <v>South Asia</v>
      </c>
      <c r="I182" s="7" t="str">
        <f aca="false">IF($D182="","",IFERROR(IF(INDEX(Hierarchy!$F$2:$F$1295,MATCH($D182,Hierarchy!$A$2:$A$1295,0))="","",INDEX(Hierarchy!$F$2:$F$1295,MATCH($D182,Hierarchy!$A$2:$A$1295,0))),"NODE NOT FOUND"))</f>
        <v>Bangladesh</v>
      </c>
      <c r="J182" s="7" t="str">
        <f aca="false">IF($D182="","",IFERROR(IF(INDEX(Hierarchy!$G$2:$G$1295,MATCH($D182,Hierarchy!$A$2:$A$1295,0))="","",INDEX(Hierarchy!$G$2:$G$1295,MATCH($D182,Hierarchy!$A$2:$A$1295,0))),"NODE NOT FOUND"))</f>
        <v>BGD</v>
      </c>
      <c r="K182" s="7" t="str">
        <f aca="false">IF($D182="","",IFERROR(IF(INDEX(Hierarchy!$H$2:$H$1295,MATCH($D182,Hierarchy!$A$2:$A$1295,0))="","",INDEX(Hierarchy!$H$2:$H$1295,MATCH($D182,Hierarchy!$A$2:$A$1295,0))),"NODE NOT FOUND"))</f>
        <v>Barishal</v>
      </c>
      <c r="L182" s="7" t="str">
        <f aca="false">IF($D182="","",IFERROR(IF(INDEX(Hierarchy!$I$2:$I$1295,MATCH($D182,Hierarchy!$A$2:$A$1295,0))="","",INDEX(Hierarchy!$I$2:$I$1295,MATCH($D182,Hierarchy!$A$2:$A$1295,0))),"NODE NOT FOUND"))</f>
        <v/>
      </c>
      <c r="M182" s="17" t="str">
        <f aca="false">IF(B182="Pre-seeded","Pre-seeded",IF(B182="Review 2026-09-16","Added from review",IF(C182="","New",IF(C182=D182,"","Changed"))))</f>
        <v>Pre-seeded</v>
      </c>
      <c r="N182" s="7" t="str">
        <f aca="false">TRIM(SUBSTITUTE(SUBSTITUTE(SUBSTITUTE(" "&amp;TRIM(SUBSTITUTE(SUBSTITUTE(SUBSTITUTE(SUBSTITUTE(SUBSTITUTE(SUBSTITUTE(SUBSTITUTE(SUBSTITUTE(SUBSTITUTE(SUBSTITUTE(SUBSTITUTE(SUBSTITUTE(SUBSTITUTE(SUBSTITUTE(SUBSTITUTE(UPPER(TRIM(A182)),"[MEMBER]",""),"{MEMBER}",""),"[MEMBER}",""),"MEMBER]",""),"(A)",""),"""",""),"“",""),"”",""),".",""),":",""),",",""),"–"," "),"-"," "),"/"," "),"&amp;"," AND "))&amp;" "," THE "," ")," TOTAL "," ")," OPERATIONS "," "))</f>
        <v>BARISHAL</v>
      </c>
      <c r="O182" s="17" t="str">
        <f aca="false">IF(COUNTIFS($N$2:$N$2000,N182,$D$2:$D$2000,"&lt;&gt;"&amp;D182)&gt;0,"CONFLICT","")</f>
        <v/>
      </c>
      <c r="P182" s="7"/>
    </row>
    <row r="183" customFormat="false" ht="15" hidden="false" customHeight="false" outlineLevel="0" collapsed="false">
      <c r="A183" s="7" t="s">
        <v>985</v>
      </c>
      <c r="B183" s="7" t="s">
        <v>1879</v>
      </c>
      <c r="C183" s="7"/>
      <c r="D183" s="6" t="s">
        <v>985</v>
      </c>
      <c r="E183" s="6" t="s">
        <v>1880</v>
      </c>
      <c r="F183" s="7" t="str">
        <f aca="false">IF($D183="","",IFERROR(IF(INDEX(Hierarchy!$B$2:$B$1295,MATCH($D183,Hierarchy!$A$2:$A$1295,0))="","",INDEX(Hierarchy!$B$2:$B$1295,MATCH($D183,Hierarchy!$A$2:$A$1295,0))),"NODE NOT FOUND"))</f>
        <v>State/Province</v>
      </c>
      <c r="G183" s="7" t="str">
        <f aca="false">IF($D183="","",IFERROR(IF(INDEX(Hierarchy!$D$2:$D$1295,MATCH($D183,Hierarchy!$A$2:$A$1295,0))="","",INDEX(Hierarchy!$D$2:$D$1295,MATCH($D183,Hierarchy!$A$2:$A$1295,0))),"NODE NOT FOUND"))</f>
        <v>EMEA</v>
      </c>
      <c r="H183" s="7" t="str">
        <f aca="false">IF($D183="","",IFERROR(IF(INDEX(Hierarchy!$E$2:$E$1295,MATCH($D183,Hierarchy!$A$2:$A$1295,0))="","",INDEX(Hierarchy!$E$2:$E$1295,MATCH($D183,Hierarchy!$A$2:$A$1295,0))),"NODE NOT FOUND"))</f>
        <v>Europe</v>
      </c>
      <c r="I183" s="7" t="str">
        <f aca="false">IF($D183="","",IFERROR(IF(INDEX(Hierarchy!$F$2:$F$1295,MATCH($D183,Hierarchy!$A$2:$A$1295,0))="","",INDEX(Hierarchy!$F$2:$F$1295,MATCH($D183,Hierarchy!$A$2:$A$1295,0))),"NODE NOT FOUND"))</f>
        <v>Switzerland</v>
      </c>
      <c r="J183" s="7" t="str">
        <f aca="false">IF($D183="","",IFERROR(IF(INDEX(Hierarchy!$G$2:$G$1295,MATCH($D183,Hierarchy!$A$2:$A$1295,0))="","",INDEX(Hierarchy!$G$2:$G$1295,MATCH($D183,Hierarchy!$A$2:$A$1295,0))),"NODE NOT FOUND"))</f>
        <v>CHE</v>
      </c>
      <c r="K183" s="7" t="str">
        <f aca="false">IF($D183="","",IFERROR(IF(INDEX(Hierarchy!$H$2:$H$1295,MATCH($D183,Hierarchy!$A$2:$A$1295,0))="","",INDEX(Hierarchy!$H$2:$H$1295,MATCH($D183,Hierarchy!$A$2:$A$1295,0))),"NODE NOT FOUND"))</f>
        <v>Basel-Landschaft</v>
      </c>
      <c r="L183" s="7" t="str">
        <f aca="false">IF($D183="","",IFERROR(IF(INDEX(Hierarchy!$I$2:$I$1295,MATCH($D183,Hierarchy!$A$2:$A$1295,0))="","",INDEX(Hierarchy!$I$2:$I$1295,MATCH($D183,Hierarchy!$A$2:$A$1295,0))),"NODE NOT FOUND"))</f>
        <v/>
      </c>
      <c r="M183" s="17" t="str">
        <f aca="false">IF(B183="Pre-seeded","Pre-seeded",IF(B183="Review 2026-09-16","Added from review",IF(C183="","New",IF(C183=D183,"","Changed"))))</f>
        <v>Pre-seeded</v>
      </c>
      <c r="N183" s="7" t="str">
        <f aca="false">TRIM(SUBSTITUTE(SUBSTITUTE(SUBSTITUTE(" "&amp;TRIM(SUBSTITUTE(SUBSTITUTE(SUBSTITUTE(SUBSTITUTE(SUBSTITUTE(SUBSTITUTE(SUBSTITUTE(SUBSTITUTE(SUBSTITUTE(SUBSTITUTE(SUBSTITUTE(SUBSTITUTE(SUBSTITUTE(SUBSTITUTE(SUBSTITUTE(UPPER(TRIM(A183)),"[MEMBER]",""),"{MEMBER}",""),"[MEMBER}",""),"MEMBER]",""),"(A)",""),"""",""),"“",""),"”",""),".",""),":",""),",",""),"–"," "),"-"," "),"/"," "),"&amp;"," AND "))&amp;" "," THE "," ")," TOTAL "," ")," OPERATIONS "," "))</f>
        <v>BASEL LANDSCHAFT</v>
      </c>
      <c r="O183" s="17" t="str">
        <f aca="false">IF(COUNTIFS($N$2:$N$2000,N183,$D$2:$D$2000,"&lt;&gt;"&amp;D183)&gt;0,"CONFLICT","")</f>
        <v/>
      </c>
      <c r="P183" s="7"/>
    </row>
    <row r="184" customFormat="false" ht="15" hidden="false" customHeight="false" outlineLevel="0" collapsed="false">
      <c r="A184" s="7" t="s">
        <v>986</v>
      </c>
      <c r="B184" s="7" t="s">
        <v>1879</v>
      </c>
      <c r="C184" s="7"/>
      <c r="D184" s="6" t="s">
        <v>986</v>
      </c>
      <c r="E184" s="6" t="s">
        <v>1880</v>
      </c>
      <c r="F184" s="7" t="str">
        <f aca="false">IF($D184="","",IFERROR(IF(INDEX(Hierarchy!$B$2:$B$1295,MATCH($D184,Hierarchy!$A$2:$A$1295,0))="","",INDEX(Hierarchy!$B$2:$B$1295,MATCH($D184,Hierarchy!$A$2:$A$1295,0))),"NODE NOT FOUND"))</f>
        <v>State/Province</v>
      </c>
      <c r="G184" s="7" t="str">
        <f aca="false">IF($D184="","",IFERROR(IF(INDEX(Hierarchy!$D$2:$D$1295,MATCH($D184,Hierarchy!$A$2:$A$1295,0))="","",INDEX(Hierarchy!$D$2:$D$1295,MATCH($D184,Hierarchy!$A$2:$A$1295,0))),"NODE NOT FOUND"))</f>
        <v>EMEA</v>
      </c>
      <c r="H184" s="7" t="str">
        <f aca="false">IF($D184="","",IFERROR(IF(INDEX(Hierarchy!$E$2:$E$1295,MATCH($D184,Hierarchy!$A$2:$A$1295,0))="","",INDEX(Hierarchy!$E$2:$E$1295,MATCH($D184,Hierarchy!$A$2:$A$1295,0))),"NODE NOT FOUND"))</f>
        <v>Europe</v>
      </c>
      <c r="I184" s="7" t="str">
        <f aca="false">IF($D184="","",IFERROR(IF(INDEX(Hierarchy!$F$2:$F$1295,MATCH($D184,Hierarchy!$A$2:$A$1295,0))="","",INDEX(Hierarchy!$F$2:$F$1295,MATCH($D184,Hierarchy!$A$2:$A$1295,0))),"NODE NOT FOUND"))</f>
        <v>Switzerland</v>
      </c>
      <c r="J184" s="7" t="str">
        <f aca="false">IF($D184="","",IFERROR(IF(INDEX(Hierarchy!$G$2:$G$1295,MATCH($D184,Hierarchy!$A$2:$A$1295,0))="","",INDEX(Hierarchy!$G$2:$G$1295,MATCH($D184,Hierarchy!$A$2:$A$1295,0))),"NODE NOT FOUND"))</f>
        <v>CHE</v>
      </c>
      <c r="K184" s="7" t="str">
        <f aca="false">IF($D184="","",IFERROR(IF(INDEX(Hierarchy!$H$2:$H$1295,MATCH($D184,Hierarchy!$A$2:$A$1295,0))="","",INDEX(Hierarchy!$H$2:$H$1295,MATCH($D184,Hierarchy!$A$2:$A$1295,0))),"NODE NOT FOUND"))</f>
        <v>Basel-Stadt</v>
      </c>
      <c r="L184" s="7" t="str">
        <f aca="false">IF($D184="","",IFERROR(IF(INDEX(Hierarchy!$I$2:$I$1295,MATCH($D184,Hierarchy!$A$2:$A$1295,0))="","",INDEX(Hierarchy!$I$2:$I$1295,MATCH($D184,Hierarchy!$A$2:$A$1295,0))),"NODE NOT FOUND"))</f>
        <v/>
      </c>
      <c r="M184" s="17" t="str">
        <f aca="false">IF(B184="Pre-seeded","Pre-seeded",IF(B184="Review 2026-09-16","Added from review",IF(C184="","New",IF(C184=D184,"","Changed"))))</f>
        <v>Pre-seeded</v>
      </c>
      <c r="N184" s="7" t="str">
        <f aca="false">TRIM(SUBSTITUTE(SUBSTITUTE(SUBSTITUTE(" "&amp;TRIM(SUBSTITUTE(SUBSTITUTE(SUBSTITUTE(SUBSTITUTE(SUBSTITUTE(SUBSTITUTE(SUBSTITUTE(SUBSTITUTE(SUBSTITUTE(SUBSTITUTE(SUBSTITUTE(SUBSTITUTE(SUBSTITUTE(SUBSTITUTE(SUBSTITUTE(UPPER(TRIM(A184)),"[MEMBER]",""),"{MEMBER}",""),"[MEMBER}",""),"MEMBER]",""),"(A)",""),"""",""),"“",""),"”",""),".",""),":",""),",",""),"–"," "),"-"," "),"/"," "),"&amp;"," AND "))&amp;" "," THE "," ")," TOTAL "," ")," OPERATIONS "," "))</f>
        <v>BASEL STADT</v>
      </c>
      <c r="O184" s="17" t="str">
        <f aca="false">IF(COUNTIFS($N$2:$N$2000,N184,$D$2:$D$2000,"&lt;&gt;"&amp;D184)&gt;0,"CONFLICT","")</f>
        <v/>
      </c>
      <c r="P184" s="7"/>
    </row>
    <row r="185" customFormat="false" ht="15" hidden="false" customHeight="false" outlineLevel="0" collapsed="false">
      <c r="A185" s="7" t="s">
        <v>835</v>
      </c>
      <c r="B185" s="7" t="s">
        <v>1879</v>
      </c>
      <c r="C185" s="7"/>
      <c r="D185" s="6" t="s">
        <v>835</v>
      </c>
      <c r="E185" s="6" t="s">
        <v>1880</v>
      </c>
      <c r="F185" s="7" t="str">
        <f aca="false">IF($D185="","",IFERROR(IF(INDEX(Hierarchy!$B$2:$B$1295,MATCH($D185,Hierarchy!$A$2:$A$1295,0))="","",INDEX(Hierarchy!$B$2:$B$1295,MATCH($D185,Hierarchy!$A$2:$A$1295,0))),"NODE NOT FOUND"))</f>
        <v>State/Province</v>
      </c>
      <c r="G185" s="7" t="str">
        <f aca="false">IF($D185="","",IFERROR(IF(INDEX(Hierarchy!$D$2:$D$1295,MATCH($D185,Hierarchy!$A$2:$A$1295,0))="","",INDEX(Hierarchy!$D$2:$D$1295,MATCH($D185,Hierarchy!$A$2:$A$1295,0))),"NODE NOT FOUND"))</f>
        <v>EMEA</v>
      </c>
      <c r="H185" s="7" t="str">
        <f aca="false">IF($D185="","",IFERROR(IF(INDEX(Hierarchy!$E$2:$E$1295,MATCH($D185,Hierarchy!$A$2:$A$1295,0))="","",INDEX(Hierarchy!$E$2:$E$1295,MATCH($D185,Hierarchy!$A$2:$A$1295,0))),"NODE NOT FOUND"))</f>
        <v>Europe</v>
      </c>
      <c r="I185" s="7" t="str">
        <f aca="false">IF($D185="","",IFERROR(IF(INDEX(Hierarchy!$F$2:$F$1295,MATCH($D185,Hierarchy!$A$2:$A$1295,0))="","",INDEX(Hierarchy!$F$2:$F$1295,MATCH($D185,Hierarchy!$A$2:$A$1295,0))),"NODE NOT FOUND"))</f>
        <v>Italy</v>
      </c>
      <c r="J185" s="7" t="str">
        <f aca="false">IF($D185="","",IFERROR(IF(INDEX(Hierarchy!$G$2:$G$1295,MATCH($D185,Hierarchy!$A$2:$A$1295,0))="","",INDEX(Hierarchy!$G$2:$G$1295,MATCH($D185,Hierarchy!$A$2:$A$1295,0))),"NODE NOT FOUND"))</f>
        <v>ITA</v>
      </c>
      <c r="K185" s="7" t="str">
        <f aca="false">IF($D185="","",IFERROR(IF(INDEX(Hierarchy!$H$2:$H$1295,MATCH($D185,Hierarchy!$A$2:$A$1295,0))="","",INDEX(Hierarchy!$H$2:$H$1295,MATCH($D185,Hierarchy!$A$2:$A$1295,0))),"NODE NOT FOUND"))</f>
        <v>Basilicata</v>
      </c>
      <c r="L185" s="7" t="str">
        <f aca="false">IF($D185="","",IFERROR(IF(INDEX(Hierarchy!$I$2:$I$1295,MATCH($D185,Hierarchy!$A$2:$A$1295,0))="","",INDEX(Hierarchy!$I$2:$I$1295,MATCH($D185,Hierarchy!$A$2:$A$1295,0))),"NODE NOT FOUND"))</f>
        <v/>
      </c>
      <c r="M185" s="17" t="str">
        <f aca="false">IF(B185="Pre-seeded","Pre-seeded",IF(B185="Review 2026-09-16","Added from review",IF(C185="","New",IF(C185=D185,"","Changed"))))</f>
        <v>Pre-seeded</v>
      </c>
      <c r="N185" s="7" t="str">
        <f aca="false">TRIM(SUBSTITUTE(SUBSTITUTE(SUBSTITUTE(" "&amp;TRIM(SUBSTITUTE(SUBSTITUTE(SUBSTITUTE(SUBSTITUTE(SUBSTITUTE(SUBSTITUTE(SUBSTITUTE(SUBSTITUTE(SUBSTITUTE(SUBSTITUTE(SUBSTITUTE(SUBSTITUTE(SUBSTITUTE(SUBSTITUTE(SUBSTITUTE(UPPER(TRIM(A185)),"[MEMBER]",""),"{MEMBER}",""),"[MEMBER}",""),"MEMBER]",""),"(A)",""),"""",""),"“",""),"”",""),".",""),":",""),",",""),"–"," "),"-"," "),"/"," "),"&amp;"," AND "))&amp;" "," THE "," ")," TOTAL "," ")," OPERATIONS "," "))</f>
        <v>BASILICATA</v>
      </c>
      <c r="O185" s="17" t="str">
        <f aca="false">IF(COUNTIFS($N$2:$N$2000,N185,$D$2:$D$2000,"&lt;&gt;"&amp;D185)&gt;0,"CONFLICT","")</f>
        <v/>
      </c>
      <c r="P185" s="7"/>
    </row>
    <row r="186" customFormat="false" ht="15" hidden="false" customHeight="false" outlineLevel="0" collapsed="false">
      <c r="A186" s="7" t="s">
        <v>956</v>
      </c>
      <c r="B186" s="7" t="s">
        <v>1879</v>
      </c>
      <c r="C186" s="7"/>
      <c r="D186" s="6" t="s">
        <v>956</v>
      </c>
      <c r="E186" s="6" t="s">
        <v>1880</v>
      </c>
      <c r="F186" s="7" t="str">
        <f aca="false">IF($D186="","",IFERROR(IF(INDEX(Hierarchy!$B$2:$B$1295,MATCH($D186,Hierarchy!$A$2:$A$1295,0))="","",INDEX(Hierarchy!$B$2:$B$1295,MATCH($D186,Hierarchy!$A$2:$A$1295,0))),"NODE NOT FOUND"))</f>
        <v>State/Province</v>
      </c>
      <c r="G186" s="7" t="str">
        <f aca="false">IF($D186="","",IFERROR(IF(INDEX(Hierarchy!$D$2:$D$1295,MATCH($D186,Hierarchy!$A$2:$A$1295,0))="","",INDEX(Hierarchy!$D$2:$D$1295,MATCH($D186,Hierarchy!$A$2:$A$1295,0))),"NODE NOT FOUND"))</f>
        <v>EMEA</v>
      </c>
      <c r="H186" s="7" t="str">
        <f aca="false">IF($D186="","",IFERROR(IF(INDEX(Hierarchy!$E$2:$E$1295,MATCH($D186,Hierarchy!$A$2:$A$1295,0))="","",INDEX(Hierarchy!$E$2:$E$1295,MATCH($D186,Hierarchy!$A$2:$A$1295,0))),"NODE NOT FOUND"))</f>
        <v>Europe</v>
      </c>
      <c r="I186" s="7" t="str">
        <f aca="false">IF($D186="","",IFERROR(IF(INDEX(Hierarchy!$F$2:$F$1295,MATCH($D186,Hierarchy!$A$2:$A$1295,0))="","",INDEX(Hierarchy!$F$2:$F$1295,MATCH($D186,Hierarchy!$A$2:$A$1295,0))),"NODE NOT FOUND"))</f>
        <v>Spain</v>
      </c>
      <c r="J186" s="7" t="str">
        <f aca="false">IF($D186="","",IFERROR(IF(INDEX(Hierarchy!$G$2:$G$1295,MATCH($D186,Hierarchy!$A$2:$A$1295,0))="","",INDEX(Hierarchy!$G$2:$G$1295,MATCH($D186,Hierarchy!$A$2:$A$1295,0))),"NODE NOT FOUND"))</f>
        <v>ESP</v>
      </c>
      <c r="K186" s="7" t="str">
        <f aca="false">IF($D186="","",IFERROR(IF(INDEX(Hierarchy!$H$2:$H$1295,MATCH($D186,Hierarchy!$A$2:$A$1295,0))="","",INDEX(Hierarchy!$H$2:$H$1295,MATCH($D186,Hierarchy!$A$2:$A$1295,0))),"NODE NOT FOUND"))</f>
        <v>Basque Country</v>
      </c>
      <c r="L186" s="7" t="str">
        <f aca="false">IF($D186="","",IFERROR(IF(INDEX(Hierarchy!$I$2:$I$1295,MATCH($D186,Hierarchy!$A$2:$A$1295,0))="","",INDEX(Hierarchy!$I$2:$I$1295,MATCH($D186,Hierarchy!$A$2:$A$1295,0))),"NODE NOT FOUND"))</f>
        <v/>
      </c>
      <c r="M186" s="17" t="str">
        <f aca="false">IF(B186="Pre-seeded","Pre-seeded",IF(B186="Review 2026-09-16","Added from review",IF(C186="","New",IF(C186=D186,"","Changed"))))</f>
        <v>Pre-seeded</v>
      </c>
      <c r="N186" s="7" t="str">
        <f aca="false">TRIM(SUBSTITUTE(SUBSTITUTE(SUBSTITUTE(" "&amp;TRIM(SUBSTITUTE(SUBSTITUTE(SUBSTITUTE(SUBSTITUTE(SUBSTITUTE(SUBSTITUTE(SUBSTITUTE(SUBSTITUTE(SUBSTITUTE(SUBSTITUTE(SUBSTITUTE(SUBSTITUTE(SUBSTITUTE(SUBSTITUTE(SUBSTITUTE(UPPER(TRIM(A186)),"[MEMBER]",""),"{MEMBER}",""),"[MEMBER}",""),"MEMBER]",""),"(A)",""),"""",""),"“",""),"”",""),".",""),":",""),",",""),"–"," "),"-"," "),"/"," "),"&amp;"," AND "))&amp;" "," THE "," ")," TOTAL "," ")," OPERATIONS "," "))</f>
        <v>BASQUE COUNTRY</v>
      </c>
      <c r="O186" s="17" t="str">
        <f aca="false">IF(COUNTIFS($N$2:$N$2000,N186,$D$2:$D$2000,"&lt;&gt;"&amp;D186)&gt;0,"CONFLICT","")</f>
        <v/>
      </c>
      <c r="P186" s="7"/>
    </row>
    <row r="187" customFormat="false" ht="15" hidden="false" customHeight="false" outlineLevel="0" collapsed="false">
      <c r="A187" s="7" t="s">
        <v>1136</v>
      </c>
      <c r="B187" s="7" t="s">
        <v>1879</v>
      </c>
      <c r="C187" s="7"/>
      <c r="D187" s="6" t="s">
        <v>1136</v>
      </c>
      <c r="E187" s="6" t="s">
        <v>1880</v>
      </c>
      <c r="F187" s="7" t="str">
        <f aca="false">IF($D187="","",IFERROR(IF(INDEX(Hierarchy!$B$2:$B$1295,MATCH($D187,Hierarchy!$A$2:$A$1295,0))="","",INDEX(Hierarchy!$B$2:$B$1295,MATCH($D187,Hierarchy!$A$2:$A$1295,0))),"NODE NOT FOUND"))</f>
        <v>State/Province</v>
      </c>
      <c r="G187" s="7" t="str">
        <f aca="false">IF($D187="","",IFERROR(IF(INDEX(Hierarchy!$D$2:$D$1295,MATCH($D187,Hierarchy!$A$2:$A$1295,0))="","",INDEX(Hierarchy!$D$2:$D$1295,MATCH($D187,Hierarchy!$A$2:$A$1295,0))),"NODE NOT FOUND"))</f>
        <v>EMEA</v>
      </c>
      <c r="H187" s="7" t="str">
        <f aca="false">IF($D187="","",IFERROR(IF(INDEX(Hierarchy!$E$2:$E$1295,MATCH($D187,Hierarchy!$A$2:$A$1295,0))="","",INDEX(Hierarchy!$E$2:$E$1295,MATCH($D187,Hierarchy!$A$2:$A$1295,0))),"NODE NOT FOUND"))</f>
        <v>Africa</v>
      </c>
      <c r="I187" s="7" t="str">
        <f aca="false">IF($D187="","",IFERROR(IF(INDEX(Hierarchy!$F$2:$F$1295,MATCH($D187,Hierarchy!$A$2:$A$1295,0))="","",INDEX(Hierarchy!$F$2:$F$1295,MATCH($D187,Hierarchy!$A$2:$A$1295,0))),"NODE NOT FOUND"))</f>
        <v>Nigeria</v>
      </c>
      <c r="J187" s="7" t="str">
        <f aca="false">IF($D187="","",IFERROR(IF(INDEX(Hierarchy!$G$2:$G$1295,MATCH($D187,Hierarchy!$A$2:$A$1295,0))="","",INDEX(Hierarchy!$G$2:$G$1295,MATCH($D187,Hierarchy!$A$2:$A$1295,0))),"NODE NOT FOUND"))</f>
        <v>NGA</v>
      </c>
      <c r="K187" s="7" t="str">
        <f aca="false">IF($D187="","",IFERROR(IF(INDEX(Hierarchy!$H$2:$H$1295,MATCH($D187,Hierarchy!$A$2:$A$1295,0))="","",INDEX(Hierarchy!$H$2:$H$1295,MATCH($D187,Hierarchy!$A$2:$A$1295,0))),"NODE NOT FOUND"))</f>
        <v>Bauchi</v>
      </c>
      <c r="L187" s="7" t="str">
        <f aca="false">IF($D187="","",IFERROR(IF(INDEX(Hierarchy!$I$2:$I$1295,MATCH($D187,Hierarchy!$A$2:$A$1295,0))="","",INDEX(Hierarchy!$I$2:$I$1295,MATCH($D187,Hierarchy!$A$2:$A$1295,0))),"NODE NOT FOUND"))</f>
        <v/>
      </c>
      <c r="M187" s="17" t="str">
        <f aca="false">IF(B187="Pre-seeded","Pre-seeded",IF(B187="Review 2026-09-16","Added from review",IF(C187="","New",IF(C187=D187,"","Changed"))))</f>
        <v>Pre-seeded</v>
      </c>
      <c r="N187" s="7" t="str">
        <f aca="false">TRIM(SUBSTITUTE(SUBSTITUTE(SUBSTITUTE(" "&amp;TRIM(SUBSTITUTE(SUBSTITUTE(SUBSTITUTE(SUBSTITUTE(SUBSTITUTE(SUBSTITUTE(SUBSTITUTE(SUBSTITUTE(SUBSTITUTE(SUBSTITUTE(SUBSTITUTE(SUBSTITUTE(SUBSTITUTE(SUBSTITUTE(SUBSTITUTE(UPPER(TRIM(A187)),"[MEMBER]",""),"{MEMBER}",""),"[MEMBER}",""),"MEMBER]",""),"(A)",""),"""",""),"“",""),"”",""),".",""),":",""),",",""),"–"," "),"-"," "),"/"," "),"&amp;"," AND "))&amp;" "," THE "," ")," TOTAL "," ")," OPERATIONS "," "))</f>
        <v>BAUCHI</v>
      </c>
      <c r="O187" s="17" t="str">
        <f aca="false">IF(COUNTIFS($N$2:$N$2000,N187,$D$2:$D$2000,"&lt;&gt;"&amp;D187)&gt;0,"CONFLICT","")</f>
        <v/>
      </c>
      <c r="P187" s="7"/>
    </row>
    <row r="188" customFormat="false" ht="15" hidden="false" customHeight="false" outlineLevel="0" collapsed="false">
      <c r="A188" s="7" t="s">
        <v>695</v>
      </c>
      <c r="B188" s="7" t="s">
        <v>1879</v>
      </c>
      <c r="C188" s="7"/>
      <c r="D188" s="6" t="s">
        <v>695</v>
      </c>
      <c r="E188" s="6" t="s">
        <v>1880</v>
      </c>
      <c r="F188" s="7" t="str">
        <f aca="false">IF($D188="","",IFERROR(IF(INDEX(Hierarchy!$B$2:$B$1295,MATCH($D188,Hierarchy!$A$2:$A$1295,0))="","",INDEX(Hierarchy!$B$2:$B$1295,MATCH($D188,Hierarchy!$A$2:$A$1295,0))),"NODE NOT FOUND"))</f>
        <v>State/Province</v>
      </c>
      <c r="G188" s="7" t="str">
        <f aca="false">IF($D188="","",IFERROR(IF(INDEX(Hierarchy!$D$2:$D$1295,MATCH($D188,Hierarchy!$A$2:$A$1295,0))="","",INDEX(Hierarchy!$D$2:$D$1295,MATCH($D188,Hierarchy!$A$2:$A$1295,0))),"NODE NOT FOUND"))</f>
        <v>EMEA</v>
      </c>
      <c r="H188" s="7" t="str">
        <f aca="false">IF($D188="","",IFERROR(IF(INDEX(Hierarchy!$E$2:$E$1295,MATCH($D188,Hierarchy!$A$2:$A$1295,0))="","",INDEX(Hierarchy!$E$2:$E$1295,MATCH($D188,Hierarchy!$A$2:$A$1295,0))),"NODE NOT FOUND"))</f>
        <v>Europe</v>
      </c>
      <c r="I188" s="7" t="str">
        <f aca="false">IF($D188="","",IFERROR(IF(INDEX(Hierarchy!$F$2:$F$1295,MATCH($D188,Hierarchy!$A$2:$A$1295,0))="","",INDEX(Hierarchy!$F$2:$F$1295,MATCH($D188,Hierarchy!$A$2:$A$1295,0))),"NODE NOT FOUND"))</f>
        <v>Germany</v>
      </c>
      <c r="J188" s="7" t="str">
        <f aca="false">IF($D188="","",IFERROR(IF(INDEX(Hierarchy!$G$2:$G$1295,MATCH($D188,Hierarchy!$A$2:$A$1295,0))="","",INDEX(Hierarchy!$G$2:$G$1295,MATCH($D188,Hierarchy!$A$2:$A$1295,0))),"NODE NOT FOUND"))</f>
        <v>DEU</v>
      </c>
      <c r="K188" s="7" t="str">
        <f aca="false">IF($D188="","",IFERROR(IF(INDEX(Hierarchy!$H$2:$H$1295,MATCH($D188,Hierarchy!$A$2:$A$1295,0))="","",INDEX(Hierarchy!$H$2:$H$1295,MATCH($D188,Hierarchy!$A$2:$A$1295,0))),"NODE NOT FOUND"))</f>
        <v>Bavaria</v>
      </c>
      <c r="L188" s="7" t="str">
        <f aca="false">IF($D188="","",IFERROR(IF(INDEX(Hierarchy!$I$2:$I$1295,MATCH($D188,Hierarchy!$A$2:$A$1295,0))="","",INDEX(Hierarchy!$I$2:$I$1295,MATCH($D188,Hierarchy!$A$2:$A$1295,0))),"NODE NOT FOUND"))</f>
        <v/>
      </c>
      <c r="M188" s="17" t="str">
        <f aca="false">IF(B188="Pre-seeded","Pre-seeded",IF(B188="Review 2026-09-16","Added from review",IF(C188="","New",IF(C188=D188,"","Changed"))))</f>
        <v>Pre-seeded</v>
      </c>
      <c r="N188" s="7" t="str">
        <f aca="false">TRIM(SUBSTITUTE(SUBSTITUTE(SUBSTITUTE(" "&amp;TRIM(SUBSTITUTE(SUBSTITUTE(SUBSTITUTE(SUBSTITUTE(SUBSTITUTE(SUBSTITUTE(SUBSTITUTE(SUBSTITUTE(SUBSTITUTE(SUBSTITUTE(SUBSTITUTE(SUBSTITUTE(SUBSTITUTE(SUBSTITUTE(SUBSTITUTE(UPPER(TRIM(A188)),"[MEMBER]",""),"{MEMBER}",""),"[MEMBER}",""),"MEMBER]",""),"(A)",""),"""",""),"“",""),"”",""),".",""),":",""),",",""),"–"," "),"-"," "),"/"," "),"&amp;"," AND "))&amp;" "," THE "," ")," TOTAL "," ")," OPERATIONS "," "))</f>
        <v>BAVARIA</v>
      </c>
      <c r="O188" s="17" t="str">
        <f aca="false">IF(COUNTIFS($N$2:$N$2000,N188,$D$2:$D$2000,"&lt;&gt;"&amp;D188)&gt;0,"CONFLICT","")</f>
        <v/>
      </c>
      <c r="P188" s="7"/>
    </row>
    <row r="189" customFormat="false" ht="15" hidden="false" customHeight="false" outlineLevel="0" collapsed="false">
      <c r="A189" s="7" t="s">
        <v>1995</v>
      </c>
      <c r="B189" s="7" t="s">
        <v>1879</v>
      </c>
      <c r="C189" s="7"/>
      <c r="D189" s="6" t="s">
        <v>151</v>
      </c>
      <c r="E189" s="6" t="s">
        <v>1880</v>
      </c>
      <c r="F189" s="7" t="str">
        <f aca="false">IF($D189="","",IFERROR(IF(INDEX(Hierarchy!$B$2:$B$1295,MATCH($D189,Hierarchy!$A$2:$A$1295,0))="","",INDEX(Hierarchy!$B$2:$B$1295,MATCH($D189,Hierarchy!$A$2:$A$1295,0))),"NODE NOT FOUND"))</f>
        <v>City</v>
      </c>
      <c r="G189" s="7" t="str">
        <f aca="false">IF($D189="","",IFERROR(IF(INDEX(Hierarchy!$D$2:$D$1295,MATCH($D189,Hierarchy!$A$2:$A$1295,0))="","",INDEX(Hierarchy!$D$2:$D$1295,MATCH($D189,Hierarchy!$A$2:$A$1295,0))),"NODE NOT FOUND"))</f>
        <v>AMER</v>
      </c>
      <c r="H189" s="7" t="str">
        <f aca="false">IF($D189="","",IFERROR(IF(INDEX(Hierarchy!$E$2:$E$1295,MATCH($D189,Hierarchy!$A$2:$A$1295,0))="","",INDEX(Hierarchy!$E$2:$E$1295,MATCH($D189,Hierarchy!$A$2:$A$1295,0))),"NODE NOT FOUND"))</f>
        <v>North America (NORAM)</v>
      </c>
      <c r="I189" s="7" t="str">
        <f aca="false">IF($D189="","",IFERROR(IF(INDEX(Hierarchy!$F$2:$F$1295,MATCH($D189,Hierarchy!$A$2:$A$1295,0))="","",INDEX(Hierarchy!$F$2:$F$1295,MATCH($D189,Hierarchy!$A$2:$A$1295,0))),"NODE NOT FOUND"))</f>
        <v>United States</v>
      </c>
      <c r="J189" s="7" t="str">
        <f aca="false">IF($D189="","",IFERROR(IF(INDEX(Hierarchy!$G$2:$G$1295,MATCH($D189,Hierarchy!$A$2:$A$1295,0))="","",INDEX(Hierarchy!$G$2:$G$1295,MATCH($D189,Hierarchy!$A$2:$A$1295,0))),"NODE NOT FOUND"))</f>
        <v>USA</v>
      </c>
      <c r="K189" s="7" t="str">
        <f aca="false">IF($D189="","",IFERROR(IF(INDEX(Hierarchy!$H$2:$H$1295,MATCH($D189,Hierarchy!$A$2:$A$1295,0))="","",INDEX(Hierarchy!$H$2:$H$1295,MATCH($D189,Hierarchy!$A$2:$A$1295,0))),"NODE NOT FOUND"))</f>
        <v>California</v>
      </c>
      <c r="L189" s="7" t="str">
        <f aca="false">IF($D189="","",IFERROR(IF(INDEX(Hierarchy!$I$2:$I$1295,MATCH($D189,Hierarchy!$A$2:$A$1295,0))="","",INDEX(Hierarchy!$I$2:$I$1295,MATCH($D189,Hierarchy!$A$2:$A$1295,0))),"NODE NOT FOUND"))</f>
        <v>San Francisco Bay Area</v>
      </c>
      <c r="M189" s="17" t="str">
        <f aca="false">IF(B189="Pre-seeded","Pre-seeded",IF(B189="Review 2026-09-16","Added from review",IF(C189="","New",IF(C189=D189,"","Changed"))))</f>
        <v>Pre-seeded</v>
      </c>
      <c r="N189" s="7" t="str">
        <f aca="false">TRIM(SUBSTITUTE(SUBSTITUTE(SUBSTITUTE(" "&amp;TRIM(SUBSTITUTE(SUBSTITUTE(SUBSTITUTE(SUBSTITUTE(SUBSTITUTE(SUBSTITUTE(SUBSTITUTE(SUBSTITUTE(SUBSTITUTE(SUBSTITUTE(SUBSTITUTE(SUBSTITUTE(SUBSTITUTE(SUBSTITUTE(SUBSTITUTE(UPPER(TRIM(A189)),"[MEMBER]",""),"{MEMBER}",""),"[MEMBER}",""),"MEMBER]",""),"(A)",""),"""",""),"“",""),"”",""),".",""),":",""),",",""),"–"," "),"-"," "),"/"," "),"&amp;"," AND "))&amp;" "," THE "," ")," TOTAL "," ")," OPERATIONS "," "))</f>
        <v>BAY AREA</v>
      </c>
      <c r="O189" s="17" t="str">
        <f aca="false">IF(COUNTIFS($N$2:$N$2000,N189,$D$2:$D$2000,"&lt;&gt;"&amp;D189)&gt;0,"CONFLICT","")</f>
        <v/>
      </c>
      <c r="P189" s="7"/>
    </row>
    <row r="190" customFormat="false" ht="15" hidden="false" customHeight="false" outlineLevel="0" collapsed="false">
      <c r="A190" s="7" t="s">
        <v>1719</v>
      </c>
      <c r="B190" s="7" t="s">
        <v>1879</v>
      </c>
      <c r="C190" s="7"/>
      <c r="D190" s="6" t="s">
        <v>1719</v>
      </c>
      <c r="E190" s="6" t="s">
        <v>1880</v>
      </c>
      <c r="F190" s="7" t="str">
        <f aca="false">IF($D190="","",IFERROR(IF(INDEX(Hierarchy!$B$2:$B$1295,MATCH($D190,Hierarchy!$A$2:$A$1295,0))="","",INDEX(Hierarchy!$B$2:$B$1295,MATCH($D190,Hierarchy!$A$2:$A$1295,0))),"NODE NOT FOUND"))</f>
        <v>State/Province</v>
      </c>
      <c r="G190" s="7" t="str">
        <f aca="false">IF($D190="","",IFERROR(IF(INDEX(Hierarchy!$D$2:$D$1295,MATCH($D190,Hierarchy!$A$2:$A$1295,0))="","",INDEX(Hierarchy!$D$2:$D$1295,MATCH($D190,Hierarchy!$A$2:$A$1295,0))),"NODE NOT FOUND"))</f>
        <v>APAC</v>
      </c>
      <c r="H190" s="7" t="str">
        <f aca="false">IF($D190="","",IFERROR(IF(INDEX(Hierarchy!$E$2:$E$1295,MATCH($D190,Hierarchy!$A$2:$A$1295,0))="","",INDEX(Hierarchy!$E$2:$E$1295,MATCH($D190,Hierarchy!$A$2:$A$1295,0))),"NODE NOT FOUND"))</f>
        <v>Oceania (ANZ)</v>
      </c>
      <c r="I190" s="7" t="str">
        <f aca="false">IF($D190="","",IFERROR(IF(INDEX(Hierarchy!$F$2:$F$1295,MATCH($D190,Hierarchy!$A$2:$A$1295,0))="","",INDEX(Hierarchy!$F$2:$F$1295,MATCH($D190,Hierarchy!$A$2:$A$1295,0))),"NODE NOT FOUND"))</f>
        <v>New Zealand</v>
      </c>
      <c r="J190" s="7" t="str">
        <f aca="false">IF($D190="","",IFERROR(IF(INDEX(Hierarchy!$G$2:$G$1295,MATCH($D190,Hierarchy!$A$2:$A$1295,0))="","",INDEX(Hierarchy!$G$2:$G$1295,MATCH($D190,Hierarchy!$A$2:$A$1295,0))),"NODE NOT FOUND"))</f>
        <v>NZL</v>
      </c>
      <c r="K190" s="7" t="str">
        <f aca="false">IF($D190="","",IFERROR(IF(INDEX(Hierarchy!$H$2:$H$1295,MATCH($D190,Hierarchy!$A$2:$A$1295,0))="","",INDEX(Hierarchy!$H$2:$H$1295,MATCH($D190,Hierarchy!$A$2:$A$1295,0))),"NODE NOT FOUND"))</f>
        <v>Bay of Plenty</v>
      </c>
      <c r="L190" s="7" t="str">
        <f aca="false">IF($D190="","",IFERROR(IF(INDEX(Hierarchy!$I$2:$I$1295,MATCH($D190,Hierarchy!$A$2:$A$1295,0))="","",INDEX(Hierarchy!$I$2:$I$1295,MATCH($D190,Hierarchy!$A$2:$A$1295,0))),"NODE NOT FOUND"))</f>
        <v/>
      </c>
      <c r="M190" s="17" t="str">
        <f aca="false">IF(B190="Pre-seeded","Pre-seeded",IF(B190="Review 2026-09-16","Added from review",IF(C190="","New",IF(C190=D190,"","Changed"))))</f>
        <v>Pre-seeded</v>
      </c>
      <c r="N190" s="7" t="str">
        <f aca="false">TRIM(SUBSTITUTE(SUBSTITUTE(SUBSTITUTE(" "&amp;TRIM(SUBSTITUTE(SUBSTITUTE(SUBSTITUTE(SUBSTITUTE(SUBSTITUTE(SUBSTITUTE(SUBSTITUTE(SUBSTITUTE(SUBSTITUTE(SUBSTITUTE(SUBSTITUTE(SUBSTITUTE(SUBSTITUTE(SUBSTITUTE(SUBSTITUTE(UPPER(TRIM(A190)),"[MEMBER]",""),"{MEMBER}",""),"[MEMBER}",""),"MEMBER]",""),"(A)",""),"""",""),"“",""),"”",""),".",""),":",""),",",""),"–"," "),"-"," "),"/"," "),"&amp;"," AND "))&amp;" "," THE "," ")," TOTAL "," ")," OPERATIONS "," "))</f>
        <v>BAY OF PLENTY</v>
      </c>
      <c r="O190" s="17" t="str">
        <f aca="false">IF(COUNTIFS($N$2:$N$2000,N190,$D$2:$D$2000,"&lt;&gt;"&amp;D190)&gt;0,"CONFLICT","")</f>
        <v/>
      </c>
      <c r="P190" s="7"/>
    </row>
    <row r="191" customFormat="false" ht="15" hidden="false" customHeight="false" outlineLevel="0" collapsed="false">
      <c r="A191" s="7" t="s">
        <v>1137</v>
      </c>
      <c r="B191" s="7" t="s">
        <v>1879</v>
      </c>
      <c r="C191" s="7"/>
      <c r="D191" s="6" t="s">
        <v>1137</v>
      </c>
      <c r="E191" s="6" t="s">
        <v>1880</v>
      </c>
      <c r="F191" s="7" t="str">
        <f aca="false">IF($D191="","",IFERROR(IF(INDEX(Hierarchy!$B$2:$B$1295,MATCH($D191,Hierarchy!$A$2:$A$1295,0))="","",INDEX(Hierarchy!$B$2:$B$1295,MATCH($D191,Hierarchy!$A$2:$A$1295,0))),"NODE NOT FOUND"))</f>
        <v>State/Province</v>
      </c>
      <c r="G191" s="7" t="str">
        <f aca="false">IF($D191="","",IFERROR(IF(INDEX(Hierarchy!$D$2:$D$1295,MATCH($D191,Hierarchy!$A$2:$A$1295,0))="","",INDEX(Hierarchy!$D$2:$D$1295,MATCH($D191,Hierarchy!$A$2:$A$1295,0))),"NODE NOT FOUND"))</f>
        <v>EMEA</v>
      </c>
      <c r="H191" s="7" t="str">
        <f aca="false">IF($D191="","",IFERROR(IF(INDEX(Hierarchy!$E$2:$E$1295,MATCH($D191,Hierarchy!$A$2:$A$1295,0))="","",INDEX(Hierarchy!$E$2:$E$1295,MATCH($D191,Hierarchy!$A$2:$A$1295,0))),"NODE NOT FOUND"))</f>
        <v>Africa</v>
      </c>
      <c r="I191" s="7" t="str">
        <f aca="false">IF($D191="","",IFERROR(IF(INDEX(Hierarchy!$F$2:$F$1295,MATCH($D191,Hierarchy!$A$2:$A$1295,0))="","",INDEX(Hierarchy!$F$2:$F$1295,MATCH($D191,Hierarchy!$A$2:$A$1295,0))),"NODE NOT FOUND"))</f>
        <v>Nigeria</v>
      </c>
      <c r="J191" s="7" t="str">
        <f aca="false">IF($D191="","",IFERROR(IF(INDEX(Hierarchy!$G$2:$G$1295,MATCH($D191,Hierarchy!$A$2:$A$1295,0))="","",INDEX(Hierarchy!$G$2:$G$1295,MATCH($D191,Hierarchy!$A$2:$A$1295,0))),"NODE NOT FOUND"))</f>
        <v>NGA</v>
      </c>
      <c r="K191" s="7" t="str">
        <f aca="false">IF($D191="","",IFERROR(IF(INDEX(Hierarchy!$H$2:$H$1295,MATCH($D191,Hierarchy!$A$2:$A$1295,0))="","",INDEX(Hierarchy!$H$2:$H$1295,MATCH($D191,Hierarchy!$A$2:$A$1295,0))),"NODE NOT FOUND"))</f>
        <v>Bayelsa</v>
      </c>
      <c r="L191" s="7" t="str">
        <f aca="false">IF($D191="","",IFERROR(IF(INDEX(Hierarchy!$I$2:$I$1295,MATCH($D191,Hierarchy!$A$2:$A$1295,0))="","",INDEX(Hierarchy!$I$2:$I$1295,MATCH($D191,Hierarchy!$A$2:$A$1295,0))),"NODE NOT FOUND"))</f>
        <v/>
      </c>
      <c r="M191" s="17" t="str">
        <f aca="false">IF(B191="Pre-seeded","Pre-seeded",IF(B191="Review 2026-09-16","Added from review",IF(C191="","New",IF(C191=D191,"","Changed"))))</f>
        <v>Pre-seeded</v>
      </c>
      <c r="N191" s="7" t="str">
        <f aca="false">TRIM(SUBSTITUTE(SUBSTITUTE(SUBSTITUTE(" "&amp;TRIM(SUBSTITUTE(SUBSTITUTE(SUBSTITUTE(SUBSTITUTE(SUBSTITUTE(SUBSTITUTE(SUBSTITUTE(SUBSTITUTE(SUBSTITUTE(SUBSTITUTE(SUBSTITUTE(SUBSTITUTE(SUBSTITUTE(SUBSTITUTE(SUBSTITUTE(UPPER(TRIM(A191)),"[MEMBER]",""),"{MEMBER}",""),"[MEMBER}",""),"MEMBER]",""),"(A)",""),"""",""),"“",""),"”",""),".",""),":",""),",",""),"–"," "),"-"," "),"/"," "),"&amp;"," AND "))&amp;" "," THE "," ")," TOTAL "," ")," OPERATIONS "," "))</f>
        <v>BAYELSA</v>
      </c>
      <c r="O191" s="17" t="str">
        <f aca="false">IF(COUNTIFS($N$2:$N$2000,N191,$D$2:$D$2000,"&lt;&gt;"&amp;D191)&gt;0,"CONFLICT","")</f>
        <v/>
      </c>
      <c r="P191" s="7"/>
    </row>
    <row r="192" customFormat="false" ht="15" hidden="false" customHeight="false" outlineLevel="0" collapsed="false">
      <c r="A192" s="7" t="s">
        <v>1996</v>
      </c>
      <c r="B192" s="7" t="s">
        <v>1879</v>
      </c>
      <c r="C192" s="7"/>
      <c r="D192" s="6" t="s">
        <v>695</v>
      </c>
      <c r="E192" s="6" t="s">
        <v>1880</v>
      </c>
      <c r="F192" s="7" t="str">
        <f aca="false">IF($D192="","",IFERROR(IF(INDEX(Hierarchy!$B$2:$B$1295,MATCH($D192,Hierarchy!$A$2:$A$1295,0))="","",INDEX(Hierarchy!$B$2:$B$1295,MATCH($D192,Hierarchy!$A$2:$A$1295,0))),"NODE NOT FOUND"))</f>
        <v>State/Province</v>
      </c>
      <c r="G192" s="7" t="str">
        <f aca="false">IF($D192="","",IFERROR(IF(INDEX(Hierarchy!$D$2:$D$1295,MATCH($D192,Hierarchy!$A$2:$A$1295,0))="","",INDEX(Hierarchy!$D$2:$D$1295,MATCH($D192,Hierarchy!$A$2:$A$1295,0))),"NODE NOT FOUND"))</f>
        <v>EMEA</v>
      </c>
      <c r="H192" s="7" t="str">
        <f aca="false">IF($D192="","",IFERROR(IF(INDEX(Hierarchy!$E$2:$E$1295,MATCH($D192,Hierarchy!$A$2:$A$1295,0))="","",INDEX(Hierarchy!$E$2:$E$1295,MATCH($D192,Hierarchy!$A$2:$A$1295,0))),"NODE NOT FOUND"))</f>
        <v>Europe</v>
      </c>
      <c r="I192" s="7" t="str">
        <f aca="false">IF($D192="","",IFERROR(IF(INDEX(Hierarchy!$F$2:$F$1295,MATCH($D192,Hierarchy!$A$2:$A$1295,0))="","",INDEX(Hierarchy!$F$2:$F$1295,MATCH($D192,Hierarchy!$A$2:$A$1295,0))),"NODE NOT FOUND"))</f>
        <v>Germany</v>
      </c>
      <c r="J192" s="7" t="str">
        <f aca="false">IF($D192="","",IFERROR(IF(INDEX(Hierarchy!$G$2:$G$1295,MATCH($D192,Hierarchy!$A$2:$A$1295,0))="","",INDEX(Hierarchy!$G$2:$G$1295,MATCH($D192,Hierarchy!$A$2:$A$1295,0))),"NODE NOT FOUND"))</f>
        <v>DEU</v>
      </c>
      <c r="K192" s="7" t="str">
        <f aca="false">IF($D192="","",IFERROR(IF(INDEX(Hierarchy!$H$2:$H$1295,MATCH($D192,Hierarchy!$A$2:$A$1295,0))="","",INDEX(Hierarchy!$H$2:$H$1295,MATCH($D192,Hierarchy!$A$2:$A$1295,0))),"NODE NOT FOUND"))</f>
        <v>Bavaria</v>
      </c>
      <c r="L192" s="7" t="str">
        <f aca="false">IF($D192="","",IFERROR(IF(INDEX(Hierarchy!$I$2:$I$1295,MATCH($D192,Hierarchy!$A$2:$A$1295,0))="","",INDEX(Hierarchy!$I$2:$I$1295,MATCH($D192,Hierarchy!$A$2:$A$1295,0))),"NODE NOT FOUND"))</f>
        <v/>
      </c>
      <c r="M192" s="17" t="str">
        <f aca="false">IF(B192="Pre-seeded","Pre-seeded",IF(B192="Review 2026-09-16","Added from review",IF(C192="","New",IF(C192=D192,"","Changed"))))</f>
        <v>Pre-seeded</v>
      </c>
      <c r="N192" s="7" t="str">
        <f aca="false">TRIM(SUBSTITUTE(SUBSTITUTE(SUBSTITUTE(" "&amp;TRIM(SUBSTITUTE(SUBSTITUTE(SUBSTITUTE(SUBSTITUTE(SUBSTITUTE(SUBSTITUTE(SUBSTITUTE(SUBSTITUTE(SUBSTITUTE(SUBSTITUTE(SUBSTITUTE(SUBSTITUTE(SUBSTITUTE(SUBSTITUTE(SUBSTITUTE(UPPER(TRIM(A192)),"[MEMBER]",""),"{MEMBER}",""),"[MEMBER}",""),"MEMBER]",""),"(A)",""),"""",""),"“",""),"”",""),".",""),":",""),",",""),"–"," "),"-"," "),"/"," "),"&amp;"," AND "))&amp;" "," THE "," ")," TOTAL "," ")," OPERATIONS "," "))</f>
        <v>BAYERN</v>
      </c>
      <c r="O192" s="17" t="str">
        <f aca="false">IF(COUNTIFS($N$2:$N$2000,N192,$D$2:$D$2000,"&lt;&gt;"&amp;D192)&gt;0,"CONFLICT","")</f>
        <v/>
      </c>
      <c r="P192" s="7"/>
    </row>
    <row r="193" customFormat="false" ht="15" hidden="false" customHeight="false" outlineLevel="0" collapsed="false">
      <c r="A193" s="7" t="s">
        <v>1545</v>
      </c>
      <c r="B193" s="7" t="s">
        <v>1882</v>
      </c>
      <c r="C193" s="7" t="s">
        <v>1545</v>
      </c>
      <c r="D193" s="6" t="s">
        <v>1545</v>
      </c>
      <c r="E193" s="6" t="s">
        <v>1880</v>
      </c>
      <c r="F193" s="7" t="str">
        <f aca="false">IF($D193="","",IFERROR(IF(INDEX(Hierarchy!$B$2:$B$1295,MATCH($D193,Hierarchy!$A$2:$A$1295,0))="","",INDEX(Hierarchy!$B$2:$B$1295,MATCH($D193,Hierarchy!$A$2:$A$1295,0))),"NODE NOT FOUND"))</f>
        <v>City</v>
      </c>
      <c r="G193" s="7" t="str">
        <f aca="false">IF($D193="","",IFERROR(IF(INDEX(Hierarchy!$D$2:$D$1295,MATCH($D193,Hierarchy!$A$2:$A$1295,0))="","",INDEX(Hierarchy!$D$2:$D$1295,MATCH($D193,Hierarchy!$A$2:$A$1295,0))),"NODE NOT FOUND"))</f>
        <v>APAC</v>
      </c>
      <c r="H193" s="7" t="str">
        <f aca="false">IF($D193="","",IFERROR(IF(INDEX(Hierarchy!$E$2:$E$1295,MATCH($D193,Hierarchy!$A$2:$A$1295,0))="","",INDEX(Hierarchy!$E$2:$E$1295,MATCH($D193,Hierarchy!$A$2:$A$1295,0))),"NODE NOT FOUND"))</f>
        <v>East Asia</v>
      </c>
      <c r="I193" s="7" t="str">
        <f aca="false">IF($D193="","",IFERROR(IF(INDEX(Hierarchy!$F$2:$F$1295,MATCH($D193,Hierarchy!$A$2:$A$1295,0))="","",INDEX(Hierarchy!$F$2:$F$1295,MATCH($D193,Hierarchy!$A$2:$A$1295,0))),"NODE NOT FOUND"))</f>
        <v>China</v>
      </c>
      <c r="J193" s="7" t="str">
        <f aca="false">IF($D193="","",IFERROR(IF(INDEX(Hierarchy!$G$2:$G$1295,MATCH($D193,Hierarchy!$A$2:$A$1295,0))="","",INDEX(Hierarchy!$G$2:$G$1295,MATCH($D193,Hierarchy!$A$2:$A$1295,0))),"NODE NOT FOUND"))</f>
        <v>CHN</v>
      </c>
      <c r="K193" s="7" t="str">
        <f aca="false">IF($D193="","",IFERROR(IF(INDEX(Hierarchy!$H$2:$H$1295,MATCH($D193,Hierarchy!$A$2:$A$1295,0))="","",INDEX(Hierarchy!$H$2:$H$1295,MATCH($D193,Hierarchy!$A$2:$A$1295,0))),"NODE NOT FOUND"))</f>
        <v>Beijing</v>
      </c>
      <c r="L193" s="7" t="str">
        <f aca="false">IF($D193="","",IFERROR(IF(INDEX(Hierarchy!$I$2:$I$1295,MATCH($D193,Hierarchy!$A$2:$A$1295,0))="","",INDEX(Hierarchy!$I$2:$I$1295,MATCH($D193,Hierarchy!$A$2:$A$1295,0))),"NODE NOT FOUND"))</f>
        <v>Beijing</v>
      </c>
      <c r="M193" s="17" t="str">
        <f aca="false">IF(B193="Pre-seeded","Pre-seeded",IF(B193="Review 2026-09-16","Added from review",IF(C193="","New",IF(C193=D193,"","Changed"))))</f>
        <v/>
      </c>
      <c r="N193" s="7" t="str">
        <f aca="false">TRIM(SUBSTITUTE(SUBSTITUTE(SUBSTITUTE(" "&amp;TRIM(SUBSTITUTE(SUBSTITUTE(SUBSTITUTE(SUBSTITUTE(SUBSTITUTE(SUBSTITUTE(SUBSTITUTE(SUBSTITUTE(SUBSTITUTE(SUBSTITUTE(SUBSTITUTE(SUBSTITUTE(SUBSTITUTE(SUBSTITUTE(SUBSTITUTE(UPPER(TRIM(A193)),"[MEMBER]",""),"{MEMBER}",""),"[MEMBER}",""),"MEMBER]",""),"(A)",""),"""",""),"“",""),"”",""),".",""),":",""),",",""),"–"," "),"-"," "),"/"," "),"&amp;"," AND "))&amp;" "," THE "," ")," TOTAL "," ")," OPERATIONS "," "))</f>
        <v>BEIJING</v>
      </c>
      <c r="O193" s="17" t="str">
        <f aca="false">IF(COUNTIFS($N$2:$N$2000,N193,$D$2:$D$2000,"&lt;&gt;"&amp;D193)&gt;0,"CONFLICT","")</f>
        <v/>
      </c>
      <c r="P193" s="7"/>
    </row>
    <row r="194" customFormat="false" ht="15" hidden="false" customHeight="false" outlineLevel="0" collapsed="false">
      <c r="A194" s="7" t="s">
        <v>761</v>
      </c>
      <c r="B194" s="7" t="s">
        <v>1882</v>
      </c>
      <c r="C194" s="7" t="s">
        <v>761</v>
      </c>
      <c r="D194" s="6" t="s">
        <v>761</v>
      </c>
      <c r="E194" s="6" t="s">
        <v>1880</v>
      </c>
      <c r="F194" s="7" t="str">
        <f aca="false">IF($D194="","",IFERROR(IF(INDEX(Hierarchy!$B$2:$B$1295,MATCH($D194,Hierarchy!$A$2:$A$1295,0))="","",INDEX(Hierarchy!$B$2:$B$1295,MATCH($D194,Hierarchy!$A$2:$A$1295,0))),"NODE NOT FOUND"))</f>
        <v>Country</v>
      </c>
      <c r="G194" s="7" t="str">
        <f aca="false">IF($D194="","",IFERROR(IF(INDEX(Hierarchy!$D$2:$D$1295,MATCH($D194,Hierarchy!$A$2:$A$1295,0))="","",INDEX(Hierarchy!$D$2:$D$1295,MATCH($D194,Hierarchy!$A$2:$A$1295,0))),"NODE NOT FOUND"))</f>
        <v>EMEA</v>
      </c>
      <c r="H194" s="7" t="str">
        <f aca="false">IF($D194="","",IFERROR(IF(INDEX(Hierarchy!$E$2:$E$1295,MATCH($D194,Hierarchy!$A$2:$A$1295,0))="","",INDEX(Hierarchy!$E$2:$E$1295,MATCH($D194,Hierarchy!$A$2:$A$1295,0))),"NODE NOT FOUND"))</f>
        <v>Europe</v>
      </c>
      <c r="I194" s="7" t="str">
        <f aca="false">IF($D194="","",IFERROR(IF(INDEX(Hierarchy!$F$2:$F$1295,MATCH($D194,Hierarchy!$A$2:$A$1295,0))="","",INDEX(Hierarchy!$F$2:$F$1295,MATCH($D194,Hierarchy!$A$2:$A$1295,0))),"NODE NOT FOUND"))</f>
        <v>Belarus</v>
      </c>
      <c r="J194" s="7" t="str">
        <f aca="false">IF($D194="","",IFERROR(IF(INDEX(Hierarchy!$G$2:$G$1295,MATCH($D194,Hierarchy!$A$2:$A$1295,0))="","",INDEX(Hierarchy!$G$2:$G$1295,MATCH($D194,Hierarchy!$A$2:$A$1295,0))),"NODE NOT FOUND"))</f>
        <v>BLR</v>
      </c>
      <c r="K194" s="7" t="str">
        <f aca="false">IF($D194="","",IFERROR(IF(INDEX(Hierarchy!$H$2:$H$1295,MATCH($D194,Hierarchy!$A$2:$A$1295,0))="","",INDEX(Hierarchy!$H$2:$H$1295,MATCH($D194,Hierarchy!$A$2:$A$1295,0))),"NODE NOT FOUND"))</f>
        <v/>
      </c>
      <c r="L194" s="7" t="str">
        <f aca="false">IF($D194="","",IFERROR(IF(INDEX(Hierarchy!$I$2:$I$1295,MATCH($D194,Hierarchy!$A$2:$A$1295,0))="","",INDEX(Hierarchy!$I$2:$I$1295,MATCH($D194,Hierarchy!$A$2:$A$1295,0))),"NODE NOT FOUND"))</f>
        <v/>
      </c>
      <c r="M194" s="17" t="str">
        <f aca="false">IF(B194="Pre-seeded","Pre-seeded",IF(B194="Review 2026-09-16","Added from review",IF(C194="","New",IF(C194=D194,"","Changed"))))</f>
        <v/>
      </c>
      <c r="N194" s="7" t="str">
        <f aca="false">TRIM(SUBSTITUTE(SUBSTITUTE(SUBSTITUTE(" "&amp;TRIM(SUBSTITUTE(SUBSTITUTE(SUBSTITUTE(SUBSTITUTE(SUBSTITUTE(SUBSTITUTE(SUBSTITUTE(SUBSTITUTE(SUBSTITUTE(SUBSTITUTE(SUBSTITUTE(SUBSTITUTE(SUBSTITUTE(SUBSTITUTE(SUBSTITUTE(UPPER(TRIM(A194)),"[MEMBER]",""),"{MEMBER}",""),"[MEMBER}",""),"MEMBER]",""),"(A)",""),"""",""),"“",""),"”",""),".",""),":",""),",",""),"–"," "),"-"," "),"/"," "),"&amp;"," AND "))&amp;" "," THE "," ")," TOTAL "," ")," OPERATIONS "," "))</f>
        <v>BELARUS</v>
      </c>
      <c r="O194" s="17" t="str">
        <f aca="false">IF(COUNTIFS($N$2:$N$2000,N194,$D$2:$D$2000,"&lt;&gt;"&amp;D194)&gt;0,"CONFLICT","")</f>
        <v/>
      </c>
      <c r="P194" s="7"/>
    </row>
    <row r="195" customFormat="false" ht="15" hidden="false" customHeight="false" outlineLevel="0" collapsed="false">
      <c r="A195" s="7" t="s">
        <v>764</v>
      </c>
      <c r="B195" s="7" t="s">
        <v>1882</v>
      </c>
      <c r="C195" s="7" t="s">
        <v>764</v>
      </c>
      <c r="D195" s="6" t="s">
        <v>764</v>
      </c>
      <c r="E195" s="6" t="s">
        <v>1880</v>
      </c>
      <c r="F195" s="7" t="str">
        <f aca="false">IF($D195="","",IFERROR(IF(INDEX(Hierarchy!$B$2:$B$1295,MATCH($D195,Hierarchy!$A$2:$A$1295,0))="","",INDEX(Hierarchy!$B$2:$B$1295,MATCH($D195,Hierarchy!$A$2:$A$1295,0))),"NODE NOT FOUND"))</f>
        <v>Country</v>
      </c>
      <c r="G195" s="7" t="str">
        <f aca="false">IF($D195="","",IFERROR(IF(INDEX(Hierarchy!$D$2:$D$1295,MATCH($D195,Hierarchy!$A$2:$A$1295,0))="","",INDEX(Hierarchy!$D$2:$D$1295,MATCH($D195,Hierarchy!$A$2:$A$1295,0))),"NODE NOT FOUND"))</f>
        <v>EMEA</v>
      </c>
      <c r="H195" s="7" t="str">
        <f aca="false">IF($D195="","",IFERROR(IF(INDEX(Hierarchy!$E$2:$E$1295,MATCH($D195,Hierarchy!$A$2:$A$1295,0))="","",INDEX(Hierarchy!$E$2:$E$1295,MATCH($D195,Hierarchy!$A$2:$A$1295,0))),"NODE NOT FOUND"))</f>
        <v>Europe</v>
      </c>
      <c r="I195" s="7" t="str">
        <f aca="false">IF($D195="","",IFERROR(IF(INDEX(Hierarchy!$F$2:$F$1295,MATCH($D195,Hierarchy!$A$2:$A$1295,0))="","",INDEX(Hierarchy!$F$2:$F$1295,MATCH($D195,Hierarchy!$A$2:$A$1295,0))),"NODE NOT FOUND"))</f>
        <v>Belgium</v>
      </c>
      <c r="J195" s="7" t="str">
        <f aca="false">IF($D195="","",IFERROR(IF(INDEX(Hierarchy!$G$2:$G$1295,MATCH($D195,Hierarchy!$A$2:$A$1295,0))="","",INDEX(Hierarchy!$G$2:$G$1295,MATCH($D195,Hierarchy!$A$2:$A$1295,0))),"NODE NOT FOUND"))</f>
        <v>BEL</v>
      </c>
      <c r="K195" s="7" t="str">
        <f aca="false">IF($D195="","",IFERROR(IF(INDEX(Hierarchy!$H$2:$H$1295,MATCH($D195,Hierarchy!$A$2:$A$1295,0))="","",INDEX(Hierarchy!$H$2:$H$1295,MATCH($D195,Hierarchy!$A$2:$A$1295,0))),"NODE NOT FOUND"))</f>
        <v/>
      </c>
      <c r="L195" s="7" t="str">
        <f aca="false">IF($D195="","",IFERROR(IF(INDEX(Hierarchy!$I$2:$I$1295,MATCH($D195,Hierarchy!$A$2:$A$1295,0))="","",INDEX(Hierarchy!$I$2:$I$1295,MATCH($D195,Hierarchy!$A$2:$A$1295,0))),"NODE NOT FOUND"))</f>
        <v/>
      </c>
      <c r="M195" s="17" t="str">
        <f aca="false">IF(B195="Pre-seeded","Pre-seeded",IF(B195="Review 2026-09-16","Added from review",IF(C195="","New",IF(C195=D195,"","Changed"))))</f>
        <v/>
      </c>
      <c r="N195" s="7" t="str">
        <f aca="false">TRIM(SUBSTITUTE(SUBSTITUTE(SUBSTITUTE(" "&amp;TRIM(SUBSTITUTE(SUBSTITUTE(SUBSTITUTE(SUBSTITUTE(SUBSTITUTE(SUBSTITUTE(SUBSTITUTE(SUBSTITUTE(SUBSTITUTE(SUBSTITUTE(SUBSTITUTE(SUBSTITUTE(SUBSTITUTE(SUBSTITUTE(SUBSTITUTE(UPPER(TRIM(A195)),"[MEMBER]",""),"{MEMBER}",""),"[MEMBER}",""),"MEMBER]",""),"(A)",""),"""",""),"“",""),"”",""),".",""),":",""),",",""),"–"," "),"-"," "),"/"," "),"&amp;"," AND "))&amp;" "," THE "," ")," TOTAL "," ")," OPERATIONS "," "))</f>
        <v>BELGIUM</v>
      </c>
      <c r="O195" s="17" t="str">
        <f aca="false">IF(COUNTIFS($N$2:$N$2000,N195,$D$2:$D$2000,"&lt;&gt;"&amp;D195)&gt;0,"CONFLICT","")</f>
        <v/>
      </c>
      <c r="P195" s="7"/>
    </row>
    <row r="196" customFormat="false" ht="15" hidden="false" customHeight="false" outlineLevel="0" collapsed="false">
      <c r="A196" s="7" t="s">
        <v>1997</v>
      </c>
      <c r="B196" s="7" t="s">
        <v>1882</v>
      </c>
      <c r="C196" s="7" t="s">
        <v>764</v>
      </c>
      <c r="D196" s="6" t="s">
        <v>764</v>
      </c>
      <c r="E196" s="6" t="s">
        <v>1880</v>
      </c>
      <c r="F196" s="7" t="str">
        <f aca="false">IF($D196="","",IFERROR(IF(INDEX(Hierarchy!$B$2:$B$1295,MATCH($D196,Hierarchy!$A$2:$A$1295,0))="","",INDEX(Hierarchy!$B$2:$B$1295,MATCH($D196,Hierarchy!$A$2:$A$1295,0))),"NODE NOT FOUND"))</f>
        <v>Country</v>
      </c>
      <c r="G196" s="7" t="str">
        <f aca="false">IF($D196="","",IFERROR(IF(INDEX(Hierarchy!$D$2:$D$1295,MATCH($D196,Hierarchy!$A$2:$A$1295,0))="","",INDEX(Hierarchy!$D$2:$D$1295,MATCH($D196,Hierarchy!$A$2:$A$1295,0))),"NODE NOT FOUND"))</f>
        <v>EMEA</v>
      </c>
      <c r="H196" s="7" t="str">
        <f aca="false">IF($D196="","",IFERROR(IF(INDEX(Hierarchy!$E$2:$E$1295,MATCH($D196,Hierarchy!$A$2:$A$1295,0))="","",INDEX(Hierarchy!$E$2:$E$1295,MATCH($D196,Hierarchy!$A$2:$A$1295,0))),"NODE NOT FOUND"))</f>
        <v>Europe</v>
      </c>
      <c r="I196" s="7" t="str">
        <f aca="false">IF($D196="","",IFERROR(IF(INDEX(Hierarchy!$F$2:$F$1295,MATCH($D196,Hierarchy!$A$2:$A$1295,0))="","",INDEX(Hierarchy!$F$2:$F$1295,MATCH($D196,Hierarchy!$A$2:$A$1295,0))),"NODE NOT FOUND"))</f>
        <v>Belgium</v>
      </c>
      <c r="J196" s="7" t="str">
        <f aca="false">IF($D196="","",IFERROR(IF(INDEX(Hierarchy!$G$2:$G$1295,MATCH($D196,Hierarchy!$A$2:$A$1295,0))="","",INDEX(Hierarchy!$G$2:$G$1295,MATCH($D196,Hierarchy!$A$2:$A$1295,0))),"NODE NOT FOUND"))</f>
        <v>BEL</v>
      </c>
      <c r="K196" s="7" t="str">
        <f aca="false">IF($D196="","",IFERROR(IF(INDEX(Hierarchy!$H$2:$H$1295,MATCH($D196,Hierarchy!$A$2:$A$1295,0))="","",INDEX(Hierarchy!$H$2:$H$1295,MATCH($D196,Hierarchy!$A$2:$A$1295,0))),"NODE NOT FOUND"))</f>
        <v/>
      </c>
      <c r="L196" s="7" t="str">
        <f aca="false">IF($D196="","",IFERROR(IF(INDEX(Hierarchy!$I$2:$I$1295,MATCH($D196,Hierarchy!$A$2:$A$1295,0))="","",INDEX(Hierarchy!$I$2:$I$1295,MATCH($D196,Hierarchy!$A$2:$A$1295,0))),"NODE NOT FOUND"))</f>
        <v/>
      </c>
      <c r="M196" s="17" t="str">
        <f aca="false">IF(B196="Pre-seeded","Pre-seeded",IF(B196="Review 2026-09-16","Added from review",IF(C196="","New",IF(C196=D196,"","Changed"))))</f>
        <v/>
      </c>
      <c r="N196" s="7" t="str">
        <f aca="false">TRIM(SUBSTITUTE(SUBSTITUTE(SUBSTITUTE(" "&amp;TRIM(SUBSTITUTE(SUBSTITUTE(SUBSTITUTE(SUBSTITUTE(SUBSTITUTE(SUBSTITUTE(SUBSTITUTE(SUBSTITUTE(SUBSTITUTE(SUBSTITUTE(SUBSTITUTE(SUBSTITUTE(SUBSTITUTE(SUBSTITUTE(SUBSTITUTE(UPPER(TRIM(A196)),"[MEMBER]",""),"{MEMBER}",""),"[MEMBER}",""),"MEMBER]",""),"(A)",""),"""",""),"“",""),"”",""),".",""),":",""),",",""),"–"," "),"-"," "),"/"," "),"&amp;"," AND "))&amp;" "," THE "," ")," TOTAL "," ")," OPERATIONS "," "))</f>
        <v>BELGIUM</v>
      </c>
      <c r="O196" s="17" t="str">
        <f aca="false">IF(COUNTIFS($N$2:$N$2000,N196,$D$2:$D$2000,"&lt;&gt;"&amp;D196)&gt;0,"CONFLICT","")</f>
        <v/>
      </c>
      <c r="P196" s="7"/>
    </row>
    <row r="197" customFormat="false" ht="15" hidden="false" customHeight="false" outlineLevel="0" collapsed="false">
      <c r="A197" s="7" t="s">
        <v>462</v>
      </c>
      <c r="B197" s="7" t="s">
        <v>1879</v>
      </c>
      <c r="C197" s="7"/>
      <c r="D197" s="6" t="s">
        <v>462</v>
      </c>
      <c r="E197" s="6" t="s">
        <v>1880</v>
      </c>
      <c r="F197" s="7" t="str">
        <f aca="false">IF($D197="","",IFERROR(IF(INDEX(Hierarchy!$B$2:$B$1295,MATCH($D197,Hierarchy!$A$2:$A$1295,0))="","",INDEX(Hierarchy!$B$2:$B$1295,MATCH($D197,Hierarchy!$A$2:$A$1295,0))),"NODE NOT FOUND"))</f>
        <v>Country</v>
      </c>
      <c r="G197" s="7" t="str">
        <f aca="false">IF($D197="","",IFERROR(IF(INDEX(Hierarchy!$D$2:$D$1295,MATCH($D197,Hierarchy!$A$2:$A$1295,0))="","",INDEX(Hierarchy!$D$2:$D$1295,MATCH($D197,Hierarchy!$A$2:$A$1295,0))),"NODE NOT FOUND"))</f>
        <v>AMER</v>
      </c>
      <c r="H197" s="7" t="str">
        <f aca="false">IF($D197="","",IFERROR(IF(INDEX(Hierarchy!$E$2:$E$1295,MATCH($D197,Hierarchy!$A$2:$A$1295,0))="","",INDEX(Hierarchy!$E$2:$E$1295,MATCH($D197,Hierarchy!$A$2:$A$1295,0))),"NODE NOT FOUND"))</f>
        <v>Latin America (LATAM)</v>
      </c>
      <c r="I197" s="7" t="str">
        <f aca="false">IF($D197="","",IFERROR(IF(INDEX(Hierarchy!$F$2:$F$1295,MATCH($D197,Hierarchy!$A$2:$A$1295,0))="","",INDEX(Hierarchy!$F$2:$F$1295,MATCH($D197,Hierarchy!$A$2:$A$1295,0))),"NODE NOT FOUND"))</f>
        <v>Belize</v>
      </c>
      <c r="J197" s="7" t="str">
        <f aca="false">IF($D197="","",IFERROR(IF(INDEX(Hierarchy!$G$2:$G$1295,MATCH($D197,Hierarchy!$A$2:$A$1295,0))="","",INDEX(Hierarchy!$G$2:$G$1295,MATCH($D197,Hierarchy!$A$2:$A$1295,0))),"NODE NOT FOUND"))</f>
        <v>BLZ</v>
      </c>
      <c r="K197" s="7" t="str">
        <f aca="false">IF($D197="","",IFERROR(IF(INDEX(Hierarchy!$H$2:$H$1295,MATCH($D197,Hierarchy!$A$2:$A$1295,0))="","",INDEX(Hierarchy!$H$2:$H$1295,MATCH($D197,Hierarchy!$A$2:$A$1295,0))),"NODE NOT FOUND"))</f>
        <v/>
      </c>
      <c r="L197" s="7" t="str">
        <f aca="false">IF($D197="","",IFERROR(IF(INDEX(Hierarchy!$I$2:$I$1295,MATCH($D197,Hierarchy!$A$2:$A$1295,0))="","",INDEX(Hierarchy!$I$2:$I$1295,MATCH($D197,Hierarchy!$A$2:$A$1295,0))),"NODE NOT FOUND"))</f>
        <v/>
      </c>
      <c r="M197" s="17" t="str">
        <f aca="false">IF(B197="Pre-seeded","Pre-seeded",IF(B197="Review 2026-09-16","Added from review",IF(C197="","New",IF(C197=D197,"","Changed"))))</f>
        <v>Pre-seeded</v>
      </c>
      <c r="N197" s="7" t="str">
        <f aca="false">TRIM(SUBSTITUTE(SUBSTITUTE(SUBSTITUTE(" "&amp;TRIM(SUBSTITUTE(SUBSTITUTE(SUBSTITUTE(SUBSTITUTE(SUBSTITUTE(SUBSTITUTE(SUBSTITUTE(SUBSTITUTE(SUBSTITUTE(SUBSTITUTE(SUBSTITUTE(SUBSTITUTE(SUBSTITUTE(SUBSTITUTE(SUBSTITUTE(UPPER(TRIM(A197)),"[MEMBER]",""),"{MEMBER}",""),"[MEMBER}",""),"MEMBER]",""),"(A)",""),"""",""),"“",""),"”",""),".",""),":",""),",",""),"–"," "),"-"," "),"/"," "),"&amp;"," AND "))&amp;" "," THE "," ")," TOTAL "," ")," OPERATIONS "," "))</f>
        <v>BELIZE</v>
      </c>
      <c r="O197" s="17" t="str">
        <f aca="false">IF(COUNTIFS($N$2:$N$2000,N197,$D$2:$D$2000,"&lt;&gt;"&amp;D197)&gt;0,"CONFLICT","")</f>
        <v/>
      </c>
      <c r="P197" s="7"/>
    </row>
    <row r="198" customFormat="false" ht="15" hidden="false" customHeight="false" outlineLevel="0" collapsed="false">
      <c r="A198" s="7" t="s">
        <v>628</v>
      </c>
      <c r="B198" s="7" t="s">
        <v>1879</v>
      </c>
      <c r="C198" s="7"/>
      <c r="D198" s="6" t="s">
        <v>628</v>
      </c>
      <c r="E198" s="6" t="s">
        <v>1880</v>
      </c>
      <c r="F198" s="7" t="str">
        <f aca="false">IF($D198="","",IFERROR(IF(INDEX(Hierarchy!$B$2:$B$1295,MATCH($D198,Hierarchy!$A$2:$A$1295,0))="","",INDEX(Hierarchy!$B$2:$B$1295,MATCH($D198,Hierarchy!$A$2:$A$1295,0))),"NODE NOT FOUND"))</f>
        <v>Sub-region component</v>
      </c>
      <c r="G198" s="7" t="str">
        <f aca="false">IF($D198="","",IFERROR(IF(INDEX(Hierarchy!$D$2:$D$1295,MATCH($D198,Hierarchy!$A$2:$A$1295,0))="","",INDEX(Hierarchy!$D$2:$D$1295,MATCH($D198,Hierarchy!$A$2:$A$1295,0))),"NODE NOT FOUND"))</f>
        <v>EMEA</v>
      </c>
      <c r="H198" s="7" t="str">
        <f aca="false">IF($D198="","",IFERROR(IF(INDEX(Hierarchy!$E$2:$E$1295,MATCH($D198,Hierarchy!$A$2:$A$1295,0))="","",INDEX(Hierarchy!$E$2:$E$1295,MATCH($D198,Hierarchy!$A$2:$A$1295,0))),"NODE NOT FOUND"))</f>
        <v>Europe</v>
      </c>
      <c r="I198" s="7" t="str">
        <f aca="false">IF($D198="","",IFERROR(IF(INDEX(Hierarchy!$F$2:$F$1295,MATCH($D198,Hierarchy!$A$2:$A$1295,0))="","",INDEX(Hierarchy!$F$2:$F$1295,MATCH($D198,Hierarchy!$A$2:$A$1295,0))),"NODE NOT FOUND"))</f>
        <v/>
      </c>
      <c r="J198" s="7" t="str">
        <f aca="false">IF($D198="","",IFERROR(IF(INDEX(Hierarchy!$G$2:$G$1295,MATCH($D198,Hierarchy!$A$2:$A$1295,0))="","",INDEX(Hierarchy!$G$2:$G$1295,MATCH($D198,Hierarchy!$A$2:$A$1295,0))),"NODE NOT FOUND"))</f>
        <v/>
      </c>
      <c r="K198" s="7" t="str">
        <f aca="false">IF($D198="","",IFERROR(IF(INDEX(Hierarchy!$H$2:$H$1295,MATCH($D198,Hierarchy!$A$2:$A$1295,0))="","",INDEX(Hierarchy!$H$2:$H$1295,MATCH($D198,Hierarchy!$A$2:$A$1295,0))),"NODE NOT FOUND"))</f>
        <v/>
      </c>
      <c r="L198" s="7" t="str">
        <f aca="false">IF($D198="","",IFERROR(IF(INDEX(Hierarchy!$I$2:$I$1295,MATCH($D198,Hierarchy!$A$2:$A$1295,0))="","",INDEX(Hierarchy!$I$2:$I$1295,MATCH($D198,Hierarchy!$A$2:$A$1295,0))),"NODE NOT FOUND"))</f>
        <v/>
      </c>
      <c r="M198" s="17" t="str">
        <f aca="false">IF(B198="Pre-seeded","Pre-seeded",IF(B198="Review 2026-09-16","Added from review",IF(C198="","New",IF(C198=D198,"","Changed"))))</f>
        <v>Pre-seeded</v>
      </c>
      <c r="N198" s="7" t="str">
        <f aca="false">TRIM(SUBSTITUTE(SUBSTITUTE(SUBSTITUTE(" "&amp;TRIM(SUBSTITUTE(SUBSTITUTE(SUBSTITUTE(SUBSTITUTE(SUBSTITUTE(SUBSTITUTE(SUBSTITUTE(SUBSTITUTE(SUBSTITUTE(SUBSTITUTE(SUBSTITUTE(SUBSTITUTE(SUBSTITUTE(SUBSTITUTE(SUBSTITUTE(UPPER(TRIM(A198)),"[MEMBER]",""),"{MEMBER}",""),"[MEMBER}",""),"MEMBER]",""),"(A)",""),"""",""),"“",""),"”",""),".",""),":",""),",",""),"–"," "),"-"," "),"/"," "),"&amp;"," AND "))&amp;" "," THE "," ")," TOTAL "," ")," OPERATIONS "," "))</f>
        <v>BENELUX</v>
      </c>
      <c r="O198" s="17" t="str">
        <f aca="false">IF(COUNTIFS($N$2:$N$2000,N198,$D$2:$D$2000,"&lt;&gt;"&amp;D198)&gt;0,"CONFLICT","")</f>
        <v/>
      </c>
      <c r="P198" s="7"/>
    </row>
    <row r="199" customFormat="false" ht="15" hidden="false" customHeight="false" outlineLevel="0" collapsed="false">
      <c r="A199" s="7" t="s">
        <v>1595</v>
      </c>
      <c r="B199" s="7" t="s">
        <v>1879</v>
      </c>
      <c r="C199" s="7"/>
      <c r="D199" s="6" t="s">
        <v>1595</v>
      </c>
      <c r="E199" s="6" t="s">
        <v>1880</v>
      </c>
      <c r="F199" s="7" t="str">
        <f aca="false">IF($D199="","",IFERROR(IF(INDEX(Hierarchy!$B$2:$B$1295,MATCH($D199,Hierarchy!$A$2:$A$1295,0))="","",INDEX(Hierarchy!$B$2:$B$1295,MATCH($D199,Hierarchy!$A$2:$A$1295,0))),"NODE NOT FOUND"))</f>
        <v>State/Province</v>
      </c>
      <c r="G199" s="7" t="str">
        <f aca="false">IF($D199="","",IFERROR(IF(INDEX(Hierarchy!$D$2:$D$1295,MATCH($D199,Hierarchy!$A$2:$A$1295,0))="","",INDEX(Hierarchy!$D$2:$D$1295,MATCH($D199,Hierarchy!$A$2:$A$1295,0))),"NODE NOT FOUND"))</f>
        <v>APAC</v>
      </c>
      <c r="H199" s="7" t="str">
        <f aca="false">IF($D199="","",IFERROR(IF(INDEX(Hierarchy!$E$2:$E$1295,MATCH($D199,Hierarchy!$A$2:$A$1295,0))="","",INDEX(Hierarchy!$E$2:$E$1295,MATCH($D199,Hierarchy!$A$2:$A$1295,0))),"NODE NOT FOUND"))</f>
        <v>Southeast Asia (ASEAN)</v>
      </c>
      <c r="I199" s="7" t="str">
        <f aca="false">IF($D199="","",IFERROR(IF(INDEX(Hierarchy!$F$2:$F$1295,MATCH($D199,Hierarchy!$A$2:$A$1295,0))="","",INDEX(Hierarchy!$F$2:$F$1295,MATCH($D199,Hierarchy!$A$2:$A$1295,0))),"NODE NOT FOUND"))</f>
        <v>Indonesia</v>
      </c>
      <c r="J199" s="7" t="str">
        <f aca="false">IF($D199="","",IFERROR(IF(INDEX(Hierarchy!$G$2:$G$1295,MATCH($D199,Hierarchy!$A$2:$A$1295,0))="","",INDEX(Hierarchy!$G$2:$G$1295,MATCH($D199,Hierarchy!$A$2:$A$1295,0))),"NODE NOT FOUND"))</f>
        <v>IDN</v>
      </c>
      <c r="K199" s="7" t="str">
        <f aca="false">IF($D199="","",IFERROR(IF(INDEX(Hierarchy!$H$2:$H$1295,MATCH($D199,Hierarchy!$A$2:$A$1295,0))="","",INDEX(Hierarchy!$H$2:$H$1295,MATCH($D199,Hierarchy!$A$2:$A$1295,0))),"NODE NOT FOUND"))</f>
        <v>Bengkulu</v>
      </c>
      <c r="L199" s="7" t="str">
        <f aca="false">IF($D199="","",IFERROR(IF(INDEX(Hierarchy!$I$2:$I$1295,MATCH($D199,Hierarchy!$A$2:$A$1295,0))="","",INDEX(Hierarchy!$I$2:$I$1295,MATCH($D199,Hierarchy!$A$2:$A$1295,0))),"NODE NOT FOUND"))</f>
        <v/>
      </c>
      <c r="M199" s="17" t="str">
        <f aca="false">IF(B199="Pre-seeded","Pre-seeded",IF(B199="Review 2026-09-16","Added from review",IF(C199="","New",IF(C199=D199,"","Changed"))))</f>
        <v>Pre-seeded</v>
      </c>
      <c r="N199" s="7" t="str">
        <f aca="false">TRIM(SUBSTITUTE(SUBSTITUTE(SUBSTITUTE(" "&amp;TRIM(SUBSTITUTE(SUBSTITUTE(SUBSTITUTE(SUBSTITUTE(SUBSTITUTE(SUBSTITUTE(SUBSTITUTE(SUBSTITUTE(SUBSTITUTE(SUBSTITUTE(SUBSTITUTE(SUBSTITUTE(SUBSTITUTE(SUBSTITUTE(SUBSTITUTE(UPPER(TRIM(A199)),"[MEMBER]",""),"{MEMBER}",""),"[MEMBER}",""),"MEMBER]",""),"(A)",""),"""",""),"“",""),"”",""),".",""),":",""),",",""),"–"," "),"-"," "),"/"," "),"&amp;"," AND "))&amp;" "," THE "," ")," TOTAL "," ")," OPERATIONS "," "))</f>
        <v>BENGKULU</v>
      </c>
      <c r="O199" s="17" t="str">
        <f aca="false">IF(COUNTIFS($N$2:$N$2000,N199,$D$2:$D$2000,"&lt;&gt;"&amp;D199)&gt;0,"CONFLICT","")</f>
        <v/>
      </c>
      <c r="P199" s="7"/>
    </row>
    <row r="200" customFormat="false" ht="15" hidden="false" customHeight="false" outlineLevel="0" collapsed="false">
      <c r="A200" s="7" t="s">
        <v>1178</v>
      </c>
      <c r="B200" s="7" t="s">
        <v>1879</v>
      </c>
      <c r="C200" s="7"/>
      <c r="D200" s="6" t="s">
        <v>1178</v>
      </c>
      <c r="E200" s="6" t="s">
        <v>1880</v>
      </c>
      <c r="F200" s="7" t="str">
        <f aca="false">IF($D200="","",IFERROR(IF(INDEX(Hierarchy!$B$2:$B$1295,MATCH($D200,Hierarchy!$A$2:$A$1295,0))="","",INDEX(Hierarchy!$B$2:$B$1295,MATCH($D200,Hierarchy!$A$2:$A$1295,0))),"NODE NOT FOUND"))</f>
        <v>Country</v>
      </c>
      <c r="G200" s="7" t="str">
        <f aca="false">IF($D200="","",IFERROR(IF(INDEX(Hierarchy!$D$2:$D$1295,MATCH($D200,Hierarchy!$A$2:$A$1295,0))="","",INDEX(Hierarchy!$D$2:$D$1295,MATCH($D200,Hierarchy!$A$2:$A$1295,0))),"NODE NOT FOUND"))</f>
        <v>EMEA</v>
      </c>
      <c r="H200" s="7" t="str">
        <f aca="false">IF($D200="","",IFERROR(IF(INDEX(Hierarchy!$E$2:$E$1295,MATCH($D200,Hierarchy!$A$2:$A$1295,0))="","",INDEX(Hierarchy!$E$2:$E$1295,MATCH($D200,Hierarchy!$A$2:$A$1295,0))),"NODE NOT FOUND"))</f>
        <v>Africa</v>
      </c>
      <c r="I200" s="7" t="str">
        <f aca="false">IF($D200="","",IFERROR(IF(INDEX(Hierarchy!$F$2:$F$1295,MATCH($D200,Hierarchy!$A$2:$A$1295,0))="","",INDEX(Hierarchy!$F$2:$F$1295,MATCH($D200,Hierarchy!$A$2:$A$1295,0))),"NODE NOT FOUND"))</f>
        <v>Benin</v>
      </c>
      <c r="J200" s="7" t="str">
        <f aca="false">IF($D200="","",IFERROR(IF(INDEX(Hierarchy!$G$2:$G$1295,MATCH($D200,Hierarchy!$A$2:$A$1295,0))="","",INDEX(Hierarchy!$G$2:$G$1295,MATCH($D200,Hierarchy!$A$2:$A$1295,0))),"NODE NOT FOUND"))</f>
        <v>BEN</v>
      </c>
      <c r="K200" s="7" t="str">
        <f aca="false">IF($D200="","",IFERROR(IF(INDEX(Hierarchy!$H$2:$H$1295,MATCH($D200,Hierarchy!$A$2:$A$1295,0))="","",INDEX(Hierarchy!$H$2:$H$1295,MATCH($D200,Hierarchy!$A$2:$A$1295,0))),"NODE NOT FOUND"))</f>
        <v/>
      </c>
      <c r="L200" s="7" t="str">
        <f aca="false">IF($D200="","",IFERROR(IF(INDEX(Hierarchy!$I$2:$I$1295,MATCH($D200,Hierarchy!$A$2:$A$1295,0))="","",INDEX(Hierarchy!$I$2:$I$1295,MATCH($D200,Hierarchy!$A$2:$A$1295,0))),"NODE NOT FOUND"))</f>
        <v/>
      </c>
      <c r="M200" s="17" t="str">
        <f aca="false">IF(B200="Pre-seeded","Pre-seeded",IF(B200="Review 2026-09-16","Added from review",IF(C200="","New",IF(C200=D200,"","Changed"))))</f>
        <v>Pre-seeded</v>
      </c>
      <c r="N200" s="7" t="str">
        <f aca="false">TRIM(SUBSTITUTE(SUBSTITUTE(SUBSTITUTE(" "&amp;TRIM(SUBSTITUTE(SUBSTITUTE(SUBSTITUTE(SUBSTITUTE(SUBSTITUTE(SUBSTITUTE(SUBSTITUTE(SUBSTITUTE(SUBSTITUTE(SUBSTITUTE(SUBSTITUTE(SUBSTITUTE(SUBSTITUTE(SUBSTITUTE(SUBSTITUTE(UPPER(TRIM(A200)),"[MEMBER]",""),"{MEMBER}",""),"[MEMBER}",""),"MEMBER]",""),"(A)",""),"""",""),"“",""),"”",""),".",""),":",""),",",""),"–"," "),"-"," "),"/"," "),"&amp;"," AND "))&amp;" "," THE "," ")," TOTAL "," ")," OPERATIONS "," "))</f>
        <v>BENIN</v>
      </c>
      <c r="O200" s="17" t="str">
        <f aca="false">IF(COUNTIFS($N$2:$N$2000,N200,$D$2:$D$2000,"&lt;&gt;"&amp;D200)&gt;0,"CONFLICT","")</f>
        <v/>
      </c>
      <c r="P200" s="7"/>
    </row>
    <row r="201" customFormat="false" ht="15" hidden="false" customHeight="false" outlineLevel="0" collapsed="false">
      <c r="A201" s="7" t="s">
        <v>1138</v>
      </c>
      <c r="B201" s="7" t="s">
        <v>1879</v>
      </c>
      <c r="C201" s="7"/>
      <c r="D201" s="6" t="s">
        <v>1138</v>
      </c>
      <c r="E201" s="6" t="s">
        <v>1880</v>
      </c>
      <c r="F201" s="7" t="str">
        <f aca="false">IF($D201="","",IFERROR(IF(INDEX(Hierarchy!$B$2:$B$1295,MATCH($D201,Hierarchy!$A$2:$A$1295,0))="","",INDEX(Hierarchy!$B$2:$B$1295,MATCH($D201,Hierarchy!$A$2:$A$1295,0))),"NODE NOT FOUND"))</f>
        <v>State/Province</v>
      </c>
      <c r="G201" s="7" t="str">
        <f aca="false">IF($D201="","",IFERROR(IF(INDEX(Hierarchy!$D$2:$D$1295,MATCH($D201,Hierarchy!$A$2:$A$1295,0))="","",INDEX(Hierarchy!$D$2:$D$1295,MATCH($D201,Hierarchy!$A$2:$A$1295,0))),"NODE NOT FOUND"))</f>
        <v>EMEA</v>
      </c>
      <c r="H201" s="7" t="str">
        <f aca="false">IF($D201="","",IFERROR(IF(INDEX(Hierarchy!$E$2:$E$1295,MATCH($D201,Hierarchy!$A$2:$A$1295,0))="","",INDEX(Hierarchy!$E$2:$E$1295,MATCH($D201,Hierarchy!$A$2:$A$1295,0))),"NODE NOT FOUND"))</f>
        <v>Africa</v>
      </c>
      <c r="I201" s="7" t="str">
        <f aca="false">IF($D201="","",IFERROR(IF(INDEX(Hierarchy!$F$2:$F$1295,MATCH($D201,Hierarchy!$A$2:$A$1295,0))="","",INDEX(Hierarchy!$F$2:$F$1295,MATCH($D201,Hierarchy!$A$2:$A$1295,0))),"NODE NOT FOUND"))</f>
        <v>Nigeria</v>
      </c>
      <c r="J201" s="7" t="str">
        <f aca="false">IF($D201="","",IFERROR(IF(INDEX(Hierarchy!$G$2:$G$1295,MATCH($D201,Hierarchy!$A$2:$A$1295,0))="","",INDEX(Hierarchy!$G$2:$G$1295,MATCH($D201,Hierarchy!$A$2:$A$1295,0))),"NODE NOT FOUND"))</f>
        <v>NGA</v>
      </c>
      <c r="K201" s="7" t="str">
        <f aca="false">IF($D201="","",IFERROR(IF(INDEX(Hierarchy!$H$2:$H$1295,MATCH($D201,Hierarchy!$A$2:$A$1295,0))="","",INDEX(Hierarchy!$H$2:$H$1295,MATCH($D201,Hierarchy!$A$2:$A$1295,0))),"NODE NOT FOUND"))</f>
        <v>Benue</v>
      </c>
      <c r="L201" s="7" t="str">
        <f aca="false">IF($D201="","",IFERROR(IF(INDEX(Hierarchy!$I$2:$I$1295,MATCH($D201,Hierarchy!$A$2:$A$1295,0))="","",INDEX(Hierarchy!$I$2:$I$1295,MATCH($D201,Hierarchy!$A$2:$A$1295,0))),"NODE NOT FOUND"))</f>
        <v/>
      </c>
      <c r="M201" s="17" t="str">
        <f aca="false">IF(B201="Pre-seeded","Pre-seeded",IF(B201="Review 2026-09-16","Added from review",IF(C201="","New",IF(C201=D201,"","Changed"))))</f>
        <v>Pre-seeded</v>
      </c>
      <c r="N201" s="7" t="str">
        <f aca="false">TRIM(SUBSTITUTE(SUBSTITUTE(SUBSTITUTE(" "&amp;TRIM(SUBSTITUTE(SUBSTITUTE(SUBSTITUTE(SUBSTITUTE(SUBSTITUTE(SUBSTITUTE(SUBSTITUTE(SUBSTITUTE(SUBSTITUTE(SUBSTITUTE(SUBSTITUTE(SUBSTITUTE(SUBSTITUTE(SUBSTITUTE(SUBSTITUTE(UPPER(TRIM(A201)),"[MEMBER]",""),"{MEMBER}",""),"[MEMBER}",""),"MEMBER]",""),"(A)",""),"""",""),"“",""),"”",""),".",""),":",""),",",""),"–"," "),"-"," "),"/"," "),"&amp;"," AND "))&amp;" "," THE "," ")," TOTAL "," ")," OPERATIONS "," "))</f>
        <v>BENUE</v>
      </c>
      <c r="O201" s="17" t="str">
        <f aca="false">IF(COUNTIFS($N$2:$N$2000,N201,$D$2:$D$2000,"&lt;&gt;"&amp;D201)&gt;0,"CONFLICT","")</f>
        <v/>
      </c>
      <c r="P201" s="7"/>
    </row>
    <row r="202" customFormat="false" ht="15" hidden="false" customHeight="false" outlineLevel="0" collapsed="false">
      <c r="A202" s="7" t="s">
        <v>697</v>
      </c>
      <c r="B202" s="7" t="s">
        <v>1879</v>
      </c>
      <c r="C202" s="7"/>
      <c r="D202" s="6" t="s">
        <v>697</v>
      </c>
      <c r="E202" s="6" t="s">
        <v>1880</v>
      </c>
      <c r="F202" s="7" t="str">
        <f aca="false">IF($D202="","",IFERROR(IF(INDEX(Hierarchy!$B$2:$B$1295,MATCH($D202,Hierarchy!$A$2:$A$1295,0))="","",INDEX(Hierarchy!$B$2:$B$1295,MATCH($D202,Hierarchy!$A$2:$A$1295,0))),"NODE NOT FOUND"))</f>
        <v>State/Province</v>
      </c>
      <c r="G202" s="7" t="str">
        <f aca="false">IF($D202="","",IFERROR(IF(INDEX(Hierarchy!$D$2:$D$1295,MATCH($D202,Hierarchy!$A$2:$A$1295,0))="","",INDEX(Hierarchy!$D$2:$D$1295,MATCH($D202,Hierarchy!$A$2:$A$1295,0))),"NODE NOT FOUND"))</f>
        <v>EMEA</v>
      </c>
      <c r="H202" s="7" t="str">
        <f aca="false">IF($D202="","",IFERROR(IF(INDEX(Hierarchy!$E$2:$E$1295,MATCH($D202,Hierarchy!$A$2:$A$1295,0))="","",INDEX(Hierarchy!$E$2:$E$1295,MATCH($D202,Hierarchy!$A$2:$A$1295,0))),"NODE NOT FOUND"))</f>
        <v>Europe</v>
      </c>
      <c r="I202" s="7" t="str">
        <f aca="false">IF($D202="","",IFERROR(IF(INDEX(Hierarchy!$F$2:$F$1295,MATCH($D202,Hierarchy!$A$2:$A$1295,0))="","",INDEX(Hierarchy!$F$2:$F$1295,MATCH($D202,Hierarchy!$A$2:$A$1295,0))),"NODE NOT FOUND"))</f>
        <v>Germany</v>
      </c>
      <c r="J202" s="7" t="str">
        <f aca="false">IF($D202="","",IFERROR(IF(INDEX(Hierarchy!$G$2:$G$1295,MATCH($D202,Hierarchy!$A$2:$A$1295,0))="","",INDEX(Hierarchy!$G$2:$G$1295,MATCH($D202,Hierarchy!$A$2:$A$1295,0))),"NODE NOT FOUND"))</f>
        <v>DEU</v>
      </c>
      <c r="K202" s="7" t="str">
        <f aca="false">IF($D202="","",IFERROR(IF(INDEX(Hierarchy!$H$2:$H$1295,MATCH($D202,Hierarchy!$A$2:$A$1295,0))="","",INDEX(Hierarchy!$H$2:$H$1295,MATCH($D202,Hierarchy!$A$2:$A$1295,0))),"NODE NOT FOUND"))</f>
        <v>Berlin</v>
      </c>
      <c r="L202" s="7" t="str">
        <f aca="false">IF($D202="","",IFERROR(IF(INDEX(Hierarchy!$I$2:$I$1295,MATCH($D202,Hierarchy!$A$2:$A$1295,0))="","",INDEX(Hierarchy!$I$2:$I$1295,MATCH($D202,Hierarchy!$A$2:$A$1295,0))),"NODE NOT FOUND"))</f>
        <v/>
      </c>
      <c r="M202" s="17" t="str">
        <f aca="false">IF(B202="Pre-seeded","Pre-seeded",IF(B202="Review 2026-09-16","Added from review",IF(C202="","New",IF(C202=D202,"","Changed"))))</f>
        <v>Pre-seeded</v>
      </c>
      <c r="N202" s="7" t="str">
        <f aca="false">TRIM(SUBSTITUTE(SUBSTITUTE(SUBSTITUTE(" "&amp;TRIM(SUBSTITUTE(SUBSTITUTE(SUBSTITUTE(SUBSTITUTE(SUBSTITUTE(SUBSTITUTE(SUBSTITUTE(SUBSTITUTE(SUBSTITUTE(SUBSTITUTE(SUBSTITUTE(SUBSTITUTE(SUBSTITUTE(SUBSTITUTE(SUBSTITUTE(UPPER(TRIM(A202)),"[MEMBER]",""),"{MEMBER}",""),"[MEMBER}",""),"MEMBER]",""),"(A)",""),"""",""),"“",""),"”",""),".",""),":",""),",",""),"–"," "),"-"," "),"/"," "),"&amp;"," AND "))&amp;" "," THE "," ")," TOTAL "," ")," OPERATIONS "," "))</f>
        <v>BERLIN</v>
      </c>
      <c r="O202" s="17" t="str">
        <f aca="false">IF(COUNTIFS($N$2:$N$2000,N202,$D$2:$D$2000,"&lt;&gt;"&amp;D202)&gt;0,"CONFLICT","")</f>
        <v/>
      </c>
      <c r="P202" s="7"/>
    </row>
    <row r="203" customFormat="false" ht="15" hidden="false" customHeight="false" outlineLevel="0" collapsed="false">
      <c r="A203" s="7" t="s">
        <v>1998</v>
      </c>
      <c r="B203" s="7" t="s">
        <v>1882</v>
      </c>
      <c r="C203" s="7" t="s">
        <v>661</v>
      </c>
      <c r="D203" s="6" t="s">
        <v>303</v>
      </c>
      <c r="E203" s="6" t="s">
        <v>1880</v>
      </c>
      <c r="F203" s="7" t="str">
        <f aca="false">IF($D203="","",IFERROR(IF(INDEX(Hierarchy!$B$2:$B$1295,MATCH($D203,Hierarchy!$A$2:$A$1295,0))="","",INDEX(Hierarchy!$B$2:$B$1295,MATCH($D203,Hierarchy!$A$2:$A$1295,0))),"NODE NOT FOUND"))</f>
        <v>Country</v>
      </c>
      <c r="G203" s="7" t="str">
        <f aca="false">IF($D203="","",IFERROR(IF(INDEX(Hierarchy!$D$2:$D$1295,MATCH($D203,Hierarchy!$A$2:$A$1295,0))="","",INDEX(Hierarchy!$D$2:$D$1295,MATCH($D203,Hierarchy!$A$2:$A$1295,0))),"NODE NOT FOUND"))</f>
        <v>AMER</v>
      </c>
      <c r="H203" s="7" t="str">
        <f aca="false">IF($D203="","",IFERROR(IF(INDEX(Hierarchy!$E$2:$E$1295,MATCH($D203,Hierarchy!$A$2:$A$1295,0))="","",INDEX(Hierarchy!$E$2:$E$1295,MATCH($D203,Hierarchy!$A$2:$A$1295,0))),"NODE NOT FOUND"))</f>
        <v>North America (NORAM)</v>
      </c>
      <c r="I203" s="7" t="str">
        <f aca="false">IF($D203="","",IFERROR(IF(INDEX(Hierarchy!$F$2:$F$1295,MATCH($D203,Hierarchy!$A$2:$A$1295,0))="","",INDEX(Hierarchy!$F$2:$F$1295,MATCH($D203,Hierarchy!$A$2:$A$1295,0))),"NODE NOT FOUND"))</f>
        <v>Bermuda</v>
      </c>
      <c r="J203" s="7" t="str">
        <f aca="false">IF($D203="","",IFERROR(IF(INDEX(Hierarchy!$G$2:$G$1295,MATCH($D203,Hierarchy!$A$2:$A$1295,0))="","",INDEX(Hierarchy!$G$2:$G$1295,MATCH($D203,Hierarchy!$A$2:$A$1295,0))),"NODE NOT FOUND"))</f>
        <v>BMU</v>
      </c>
      <c r="K203" s="7" t="str">
        <f aca="false">IF($D203="","",IFERROR(IF(INDEX(Hierarchy!$H$2:$H$1295,MATCH($D203,Hierarchy!$A$2:$A$1295,0))="","",INDEX(Hierarchy!$H$2:$H$1295,MATCH($D203,Hierarchy!$A$2:$A$1295,0))),"NODE NOT FOUND"))</f>
        <v/>
      </c>
      <c r="L203" s="7" t="str">
        <f aca="false">IF($D203="","",IFERROR(IF(INDEX(Hierarchy!$I$2:$I$1295,MATCH($D203,Hierarchy!$A$2:$A$1295,0))="","",INDEX(Hierarchy!$I$2:$I$1295,MATCH($D203,Hierarchy!$A$2:$A$1295,0))),"NODE NOT FOUND"))</f>
        <v/>
      </c>
      <c r="M203" s="17" t="str">
        <f aca="false">IF(B203="Pre-seeded","Pre-seeded",IF(B203="Review 2026-09-16","Added from review",IF(C203="","New",IF(C203=D203,"","Changed"))))</f>
        <v>Changed</v>
      </c>
      <c r="N203" s="7" t="str">
        <f aca="false">TRIM(SUBSTITUTE(SUBSTITUTE(SUBSTITUTE(" "&amp;TRIM(SUBSTITUTE(SUBSTITUTE(SUBSTITUTE(SUBSTITUTE(SUBSTITUTE(SUBSTITUTE(SUBSTITUTE(SUBSTITUTE(SUBSTITUTE(SUBSTITUTE(SUBSTITUTE(SUBSTITUTE(SUBSTITUTE(SUBSTITUTE(SUBSTITUTE(UPPER(TRIM(A203)),"[MEMBER]",""),"{MEMBER}",""),"[MEMBER}",""),"MEMBER]",""),"(A)",""),"""",""),"“",""),"”",""),".",""),":",""),",",""),"–"," "),"-"," "),"/"," "),"&amp;"," AND "))&amp;" "," THE "," ")," TOTAL "," ")," OPERATIONS "," "))</f>
        <v>BERMUDA</v>
      </c>
      <c r="O203" s="17" t="str">
        <f aca="false">IF(COUNTIFS($N$2:$N$2000,N203,$D$2:$D$2000,"&lt;&gt;"&amp;D203)&gt;0,"CONFLICT","")</f>
        <v/>
      </c>
      <c r="P203" s="7" t="s">
        <v>1999</v>
      </c>
    </row>
    <row r="204" customFormat="false" ht="15" hidden="false" customHeight="false" outlineLevel="0" collapsed="false">
      <c r="A204" s="7" t="s">
        <v>303</v>
      </c>
      <c r="B204" s="7" t="s">
        <v>1882</v>
      </c>
      <c r="C204" s="7" t="s">
        <v>661</v>
      </c>
      <c r="D204" s="6" t="s">
        <v>303</v>
      </c>
      <c r="E204" s="6" t="s">
        <v>1880</v>
      </c>
      <c r="F204" s="7" t="str">
        <f aca="false">IF($D204="","",IFERROR(IF(INDEX(Hierarchy!$B$2:$B$1295,MATCH($D204,Hierarchy!$A$2:$A$1295,0))="","",INDEX(Hierarchy!$B$2:$B$1295,MATCH($D204,Hierarchy!$A$2:$A$1295,0))),"NODE NOT FOUND"))</f>
        <v>Country</v>
      </c>
      <c r="G204" s="7" t="str">
        <f aca="false">IF($D204="","",IFERROR(IF(INDEX(Hierarchy!$D$2:$D$1295,MATCH($D204,Hierarchy!$A$2:$A$1295,0))="","",INDEX(Hierarchy!$D$2:$D$1295,MATCH($D204,Hierarchy!$A$2:$A$1295,0))),"NODE NOT FOUND"))</f>
        <v>AMER</v>
      </c>
      <c r="H204" s="7" t="str">
        <f aca="false">IF($D204="","",IFERROR(IF(INDEX(Hierarchy!$E$2:$E$1295,MATCH($D204,Hierarchy!$A$2:$A$1295,0))="","",INDEX(Hierarchy!$E$2:$E$1295,MATCH($D204,Hierarchy!$A$2:$A$1295,0))),"NODE NOT FOUND"))</f>
        <v>North America (NORAM)</v>
      </c>
      <c r="I204" s="7" t="str">
        <f aca="false">IF($D204="","",IFERROR(IF(INDEX(Hierarchy!$F$2:$F$1295,MATCH($D204,Hierarchy!$A$2:$A$1295,0))="","",INDEX(Hierarchy!$F$2:$F$1295,MATCH($D204,Hierarchy!$A$2:$A$1295,0))),"NODE NOT FOUND"))</f>
        <v>Bermuda</v>
      </c>
      <c r="J204" s="7" t="str">
        <f aca="false">IF($D204="","",IFERROR(IF(INDEX(Hierarchy!$G$2:$G$1295,MATCH($D204,Hierarchy!$A$2:$A$1295,0))="","",INDEX(Hierarchy!$G$2:$G$1295,MATCH($D204,Hierarchy!$A$2:$A$1295,0))),"NODE NOT FOUND"))</f>
        <v>BMU</v>
      </c>
      <c r="K204" s="7" t="str">
        <f aca="false">IF($D204="","",IFERROR(IF(INDEX(Hierarchy!$H$2:$H$1295,MATCH($D204,Hierarchy!$A$2:$A$1295,0))="","",INDEX(Hierarchy!$H$2:$H$1295,MATCH($D204,Hierarchy!$A$2:$A$1295,0))),"NODE NOT FOUND"))</f>
        <v/>
      </c>
      <c r="L204" s="7" t="str">
        <f aca="false">IF($D204="","",IFERROR(IF(INDEX(Hierarchy!$I$2:$I$1295,MATCH($D204,Hierarchy!$A$2:$A$1295,0))="","",INDEX(Hierarchy!$I$2:$I$1295,MATCH($D204,Hierarchy!$A$2:$A$1295,0))),"NODE NOT FOUND"))</f>
        <v/>
      </c>
      <c r="M204" s="17" t="str">
        <f aca="false">IF(B204="Pre-seeded","Pre-seeded",IF(B204="Review 2026-09-16","Added from review",IF(C204="","New",IF(C204=D204,"","Changed"))))</f>
        <v>Changed</v>
      </c>
      <c r="N204" s="7" t="str">
        <f aca="false">TRIM(SUBSTITUTE(SUBSTITUTE(SUBSTITUTE(" "&amp;TRIM(SUBSTITUTE(SUBSTITUTE(SUBSTITUTE(SUBSTITUTE(SUBSTITUTE(SUBSTITUTE(SUBSTITUTE(SUBSTITUTE(SUBSTITUTE(SUBSTITUTE(SUBSTITUTE(SUBSTITUTE(SUBSTITUTE(SUBSTITUTE(SUBSTITUTE(UPPER(TRIM(A204)),"[MEMBER]",""),"{MEMBER}",""),"[MEMBER}",""),"MEMBER]",""),"(A)",""),"""",""),"“",""),"”",""),".",""),":",""),",",""),"–"," "),"-"," "),"/"," "),"&amp;"," AND "))&amp;" "," THE "," ")," TOTAL "," ")," OPERATIONS "," "))</f>
        <v>BERMUDA</v>
      </c>
      <c r="O204" s="17" t="str">
        <f aca="false">IF(COUNTIFS($N$2:$N$2000,N204,$D$2:$D$2000,"&lt;&gt;"&amp;D204)&gt;0,"CONFLICT","")</f>
        <v/>
      </c>
      <c r="P204" s="7" t="s">
        <v>1999</v>
      </c>
    </row>
    <row r="205" customFormat="false" ht="15" hidden="false" customHeight="false" outlineLevel="0" collapsed="false">
      <c r="A205" s="7" t="s">
        <v>987</v>
      </c>
      <c r="B205" s="7" t="s">
        <v>1879</v>
      </c>
      <c r="C205" s="7"/>
      <c r="D205" s="6" t="s">
        <v>987</v>
      </c>
      <c r="E205" s="6" t="s">
        <v>1880</v>
      </c>
      <c r="F205" s="7" t="str">
        <f aca="false">IF($D205="","",IFERROR(IF(INDEX(Hierarchy!$B$2:$B$1295,MATCH($D205,Hierarchy!$A$2:$A$1295,0))="","",INDEX(Hierarchy!$B$2:$B$1295,MATCH($D205,Hierarchy!$A$2:$A$1295,0))),"NODE NOT FOUND"))</f>
        <v>State/Province</v>
      </c>
      <c r="G205" s="7" t="str">
        <f aca="false">IF($D205="","",IFERROR(IF(INDEX(Hierarchy!$D$2:$D$1295,MATCH($D205,Hierarchy!$A$2:$A$1295,0))="","",INDEX(Hierarchy!$D$2:$D$1295,MATCH($D205,Hierarchy!$A$2:$A$1295,0))),"NODE NOT FOUND"))</f>
        <v>EMEA</v>
      </c>
      <c r="H205" s="7" t="str">
        <f aca="false">IF($D205="","",IFERROR(IF(INDEX(Hierarchy!$E$2:$E$1295,MATCH($D205,Hierarchy!$A$2:$A$1295,0))="","",INDEX(Hierarchy!$E$2:$E$1295,MATCH($D205,Hierarchy!$A$2:$A$1295,0))),"NODE NOT FOUND"))</f>
        <v>Europe</v>
      </c>
      <c r="I205" s="7" t="str">
        <f aca="false">IF($D205="","",IFERROR(IF(INDEX(Hierarchy!$F$2:$F$1295,MATCH($D205,Hierarchy!$A$2:$A$1295,0))="","",INDEX(Hierarchy!$F$2:$F$1295,MATCH($D205,Hierarchy!$A$2:$A$1295,0))),"NODE NOT FOUND"))</f>
        <v>Switzerland</v>
      </c>
      <c r="J205" s="7" t="str">
        <f aca="false">IF($D205="","",IFERROR(IF(INDEX(Hierarchy!$G$2:$G$1295,MATCH($D205,Hierarchy!$A$2:$A$1295,0))="","",INDEX(Hierarchy!$G$2:$G$1295,MATCH($D205,Hierarchy!$A$2:$A$1295,0))),"NODE NOT FOUND"))</f>
        <v>CHE</v>
      </c>
      <c r="K205" s="7" t="str">
        <f aca="false">IF($D205="","",IFERROR(IF(INDEX(Hierarchy!$H$2:$H$1295,MATCH($D205,Hierarchy!$A$2:$A$1295,0))="","",INDEX(Hierarchy!$H$2:$H$1295,MATCH($D205,Hierarchy!$A$2:$A$1295,0))),"NODE NOT FOUND"))</f>
        <v>Bern</v>
      </c>
      <c r="L205" s="7" t="str">
        <f aca="false">IF($D205="","",IFERROR(IF(INDEX(Hierarchy!$I$2:$I$1295,MATCH($D205,Hierarchy!$A$2:$A$1295,0))="","",INDEX(Hierarchy!$I$2:$I$1295,MATCH($D205,Hierarchy!$A$2:$A$1295,0))),"NODE NOT FOUND"))</f>
        <v/>
      </c>
      <c r="M205" s="17" t="str">
        <f aca="false">IF(B205="Pre-seeded","Pre-seeded",IF(B205="Review 2026-09-16","Added from review",IF(C205="","New",IF(C205=D205,"","Changed"))))</f>
        <v>Pre-seeded</v>
      </c>
      <c r="N205" s="7" t="str">
        <f aca="false">TRIM(SUBSTITUTE(SUBSTITUTE(SUBSTITUTE(" "&amp;TRIM(SUBSTITUTE(SUBSTITUTE(SUBSTITUTE(SUBSTITUTE(SUBSTITUTE(SUBSTITUTE(SUBSTITUTE(SUBSTITUTE(SUBSTITUTE(SUBSTITUTE(SUBSTITUTE(SUBSTITUTE(SUBSTITUTE(SUBSTITUTE(SUBSTITUTE(UPPER(TRIM(A205)),"[MEMBER]",""),"{MEMBER}",""),"[MEMBER}",""),"MEMBER]",""),"(A)",""),"""",""),"“",""),"”",""),".",""),":",""),",",""),"–"," "),"-"," "),"/"," "),"&amp;"," AND "))&amp;" "," THE "," ")," TOTAL "," ")," OPERATIONS "," "))</f>
        <v>BERN</v>
      </c>
      <c r="O205" s="17" t="str">
        <f aca="false">IF(COUNTIFS($N$2:$N$2000,N205,$D$2:$D$2000,"&lt;&gt;"&amp;D205)&gt;0,"CONFLICT","")</f>
        <v/>
      </c>
      <c r="P205" s="7"/>
    </row>
    <row r="206" customFormat="false" ht="15" hidden="false" customHeight="false" outlineLevel="0" collapsed="false">
      <c r="A206" s="7" t="s">
        <v>2000</v>
      </c>
      <c r="B206" s="7" t="s">
        <v>1905</v>
      </c>
      <c r="C206" s="7" t="s">
        <v>1906</v>
      </c>
      <c r="D206" s="6" t="s">
        <v>81</v>
      </c>
      <c r="E206" s="6" t="s">
        <v>1886</v>
      </c>
      <c r="F206" s="7" t="str">
        <f aca="false">IF($D206="","",IFERROR(IF(INDEX(Hierarchy!$B$2:$B$1295,MATCH($D206,Hierarchy!$A$2:$A$1295,0))="","",INDEX(Hierarchy!$B$2:$B$1295,MATCH($D206,Hierarchy!$A$2:$A$1295,0))),"NODE NOT FOUND"))</f>
        <v>Country</v>
      </c>
      <c r="G206" s="7" t="str">
        <f aca="false">IF($D206="","",IFERROR(IF(INDEX(Hierarchy!$D$2:$D$1295,MATCH($D206,Hierarchy!$A$2:$A$1295,0))="","",INDEX(Hierarchy!$D$2:$D$1295,MATCH($D206,Hierarchy!$A$2:$A$1295,0))),"NODE NOT FOUND"))</f>
        <v>AMER</v>
      </c>
      <c r="H206" s="7" t="str">
        <f aca="false">IF($D206="","",IFERROR(IF(INDEX(Hierarchy!$E$2:$E$1295,MATCH($D206,Hierarchy!$A$2:$A$1295,0))="","",INDEX(Hierarchy!$E$2:$E$1295,MATCH($D206,Hierarchy!$A$2:$A$1295,0))),"NODE NOT FOUND"))</f>
        <v>North America (NORAM)</v>
      </c>
      <c r="I206" s="7" t="str">
        <f aca="false">IF($D206="","",IFERROR(IF(INDEX(Hierarchy!$F$2:$F$1295,MATCH($D206,Hierarchy!$A$2:$A$1295,0))="","",INDEX(Hierarchy!$F$2:$F$1295,MATCH($D206,Hierarchy!$A$2:$A$1295,0))),"NODE NOT FOUND"))</f>
        <v>United States</v>
      </c>
      <c r="J206" s="7" t="str">
        <f aca="false">IF($D206="","",IFERROR(IF(INDEX(Hierarchy!$G$2:$G$1295,MATCH($D206,Hierarchy!$A$2:$A$1295,0))="","",INDEX(Hierarchy!$G$2:$G$1295,MATCH($D206,Hierarchy!$A$2:$A$1295,0))),"NODE NOT FOUND"))</f>
        <v>USA</v>
      </c>
      <c r="K206" s="7" t="str">
        <f aca="false">IF($D206="","",IFERROR(IF(INDEX(Hierarchy!$H$2:$H$1295,MATCH($D206,Hierarchy!$A$2:$A$1295,0))="","",INDEX(Hierarchy!$H$2:$H$1295,MATCH($D206,Hierarchy!$A$2:$A$1295,0))),"NODE NOT FOUND"))</f>
        <v/>
      </c>
      <c r="L206" s="7" t="str">
        <f aca="false">IF($D206="","",IFERROR(IF(INDEX(Hierarchy!$I$2:$I$1295,MATCH($D206,Hierarchy!$A$2:$A$1295,0))="","",INDEX(Hierarchy!$I$2:$I$1295,MATCH($D206,Hierarchy!$A$2:$A$1295,0))),"NODE NOT FOUND"))</f>
        <v/>
      </c>
      <c r="M206" s="17" t="str">
        <f aca="false">IF(B206="Pre-seeded","Pre-seeded",IF(B206="Review 2026-09-16","Added from review",IF(C206="","New",IF(C206=D206,"","Changed"))))</f>
        <v>Changed</v>
      </c>
      <c r="N206" s="7" t="str">
        <f aca="false">TRIM(SUBSTITUTE(SUBSTITUTE(SUBSTITUTE(" "&amp;TRIM(SUBSTITUTE(SUBSTITUTE(SUBSTITUTE(SUBSTITUTE(SUBSTITUTE(SUBSTITUTE(SUBSTITUTE(SUBSTITUTE(SUBSTITUTE(SUBSTITUTE(SUBSTITUTE(SUBSTITUTE(SUBSTITUTE(SUBSTITUTE(SUBSTITUTE(UPPER(TRIM(A206)),"[MEMBER]",""),"{MEMBER}",""),"[MEMBER}",""),"MEMBER]",""),"(A)",""),"""",""),"“",""),"”",""),".",""),":",""),",",""),"–"," "),"-"," "),"/"," "),"&amp;"," AND "))&amp;" "," THE "," ")," TOTAL "," ")," OPERATIONS "," "))</f>
        <v>BETHLEHEM PENNSYLVANIA AND DALLAS TEXAS</v>
      </c>
      <c r="O206" s="17" t="str">
        <f aca="false">IF(COUNTIFS($N$2:$N$2000,N206,$D$2:$D$2000,"&lt;&gt;"&amp;D206)&gt;0,"CONFLICT","")</f>
        <v/>
      </c>
      <c r="P206" s="7" t="s">
        <v>2001</v>
      </c>
    </row>
    <row r="207" customFormat="false" ht="15" hidden="false" customHeight="false" outlineLevel="0" collapsed="false">
      <c r="A207" s="7" t="s">
        <v>1387</v>
      </c>
      <c r="B207" s="7" t="s">
        <v>1879</v>
      </c>
      <c r="C207" s="7"/>
      <c r="D207" s="6" t="s">
        <v>1387</v>
      </c>
      <c r="E207" s="6" t="s">
        <v>1880</v>
      </c>
      <c r="F207" s="7" t="str">
        <f aca="false">IF($D207="","",IFERROR(IF(INDEX(Hierarchy!$B$2:$B$1295,MATCH($D207,Hierarchy!$A$2:$A$1295,0))="","",INDEX(Hierarchy!$B$2:$B$1295,MATCH($D207,Hierarchy!$A$2:$A$1295,0))),"NODE NOT FOUND"))</f>
        <v>Country</v>
      </c>
      <c r="G207" s="7" t="str">
        <f aca="false">IF($D207="","",IFERROR(IF(INDEX(Hierarchy!$D$2:$D$1295,MATCH($D207,Hierarchy!$A$2:$A$1295,0))="","",INDEX(Hierarchy!$D$2:$D$1295,MATCH($D207,Hierarchy!$A$2:$A$1295,0))),"NODE NOT FOUND"))</f>
        <v>APAC</v>
      </c>
      <c r="H207" s="7" t="str">
        <f aca="false">IF($D207="","",IFERROR(IF(INDEX(Hierarchy!$E$2:$E$1295,MATCH($D207,Hierarchy!$A$2:$A$1295,0))="","",INDEX(Hierarchy!$E$2:$E$1295,MATCH($D207,Hierarchy!$A$2:$A$1295,0))),"NODE NOT FOUND"))</f>
        <v>South Asia</v>
      </c>
      <c r="I207" s="7" t="str">
        <f aca="false">IF($D207="","",IFERROR(IF(INDEX(Hierarchy!$F$2:$F$1295,MATCH($D207,Hierarchy!$A$2:$A$1295,0))="","",INDEX(Hierarchy!$F$2:$F$1295,MATCH($D207,Hierarchy!$A$2:$A$1295,0))),"NODE NOT FOUND"))</f>
        <v>Bhutan</v>
      </c>
      <c r="J207" s="7" t="str">
        <f aca="false">IF($D207="","",IFERROR(IF(INDEX(Hierarchy!$G$2:$G$1295,MATCH($D207,Hierarchy!$A$2:$A$1295,0))="","",INDEX(Hierarchy!$G$2:$G$1295,MATCH($D207,Hierarchy!$A$2:$A$1295,0))),"NODE NOT FOUND"))</f>
        <v>BTN</v>
      </c>
      <c r="K207" s="7" t="str">
        <f aca="false">IF($D207="","",IFERROR(IF(INDEX(Hierarchy!$H$2:$H$1295,MATCH($D207,Hierarchy!$A$2:$A$1295,0))="","",INDEX(Hierarchy!$H$2:$H$1295,MATCH($D207,Hierarchy!$A$2:$A$1295,0))),"NODE NOT FOUND"))</f>
        <v/>
      </c>
      <c r="L207" s="7" t="str">
        <f aca="false">IF($D207="","",IFERROR(IF(INDEX(Hierarchy!$I$2:$I$1295,MATCH($D207,Hierarchy!$A$2:$A$1295,0))="","",INDEX(Hierarchy!$I$2:$I$1295,MATCH($D207,Hierarchy!$A$2:$A$1295,0))),"NODE NOT FOUND"))</f>
        <v/>
      </c>
      <c r="M207" s="17" t="str">
        <f aca="false">IF(B207="Pre-seeded","Pre-seeded",IF(B207="Review 2026-09-16","Added from review",IF(C207="","New",IF(C207=D207,"","Changed"))))</f>
        <v>Pre-seeded</v>
      </c>
      <c r="N207" s="7" t="str">
        <f aca="false">TRIM(SUBSTITUTE(SUBSTITUTE(SUBSTITUTE(" "&amp;TRIM(SUBSTITUTE(SUBSTITUTE(SUBSTITUTE(SUBSTITUTE(SUBSTITUTE(SUBSTITUTE(SUBSTITUTE(SUBSTITUTE(SUBSTITUTE(SUBSTITUTE(SUBSTITUTE(SUBSTITUTE(SUBSTITUTE(SUBSTITUTE(SUBSTITUTE(UPPER(TRIM(A207)),"[MEMBER]",""),"{MEMBER}",""),"[MEMBER}",""),"MEMBER]",""),"(A)",""),"""",""),"“",""),"”",""),".",""),":",""),",",""),"–"," "),"-"," "),"/"," "),"&amp;"," AND "))&amp;" "," THE "," ")," TOTAL "," ")," OPERATIONS "," "))</f>
        <v>BHUTAN</v>
      </c>
      <c r="O207" s="17" t="str">
        <f aca="false">IF(COUNTIFS($N$2:$N$2000,N207,$D$2:$D$2000,"&lt;&gt;"&amp;D207)&gt;0,"CONFLICT","")</f>
        <v/>
      </c>
      <c r="P207" s="7"/>
    </row>
    <row r="208" customFormat="false" ht="15" hidden="false" customHeight="false" outlineLevel="0" collapsed="false">
      <c r="A208" s="7" t="s">
        <v>1664</v>
      </c>
      <c r="B208" s="7" t="s">
        <v>1879</v>
      </c>
      <c r="C208" s="7"/>
      <c r="D208" s="6" t="s">
        <v>1664</v>
      </c>
      <c r="E208" s="6" t="s">
        <v>1880</v>
      </c>
      <c r="F208" s="7" t="str">
        <f aca="false">IF($D208="","",IFERROR(IF(INDEX(Hierarchy!$B$2:$B$1295,MATCH($D208,Hierarchy!$A$2:$A$1295,0))="","",INDEX(Hierarchy!$B$2:$B$1295,MATCH($D208,Hierarchy!$A$2:$A$1295,0))),"NODE NOT FOUND"))</f>
        <v>State/Province</v>
      </c>
      <c r="G208" s="7" t="str">
        <f aca="false">IF($D208="","",IFERROR(IF(INDEX(Hierarchy!$D$2:$D$1295,MATCH($D208,Hierarchy!$A$2:$A$1295,0))="","",INDEX(Hierarchy!$D$2:$D$1295,MATCH($D208,Hierarchy!$A$2:$A$1295,0))),"NODE NOT FOUND"))</f>
        <v>APAC</v>
      </c>
      <c r="H208" s="7" t="str">
        <f aca="false">IF($D208="","",IFERROR(IF(INDEX(Hierarchy!$E$2:$E$1295,MATCH($D208,Hierarchy!$A$2:$A$1295,0))="","",INDEX(Hierarchy!$E$2:$E$1295,MATCH($D208,Hierarchy!$A$2:$A$1295,0))),"NODE NOT FOUND"))</f>
        <v>Southeast Asia (ASEAN)</v>
      </c>
      <c r="I208" s="7" t="str">
        <f aca="false">IF($D208="","",IFERROR(IF(INDEX(Hierarchy!$F$2:$F$1295,MATCH($D208,Hierarchy!$A$2:$A$1295,0))="","",INDEX(Hierarchy!$F$2:$F$1295,MATCH($D208,Hierarchy!$A$2:$A$1295,0))),"NODE NOT FOUND"))</f>
        <v>Philippines</v>
      </c>
      <c r="J208" s="7" t="str">
        <f aca="false">IF($D208="","",IFERROR(IF(INDEX(Hierarchy!$G$2:$G$1295,MATCH($D208,Hierarchy!$A$2:$A$1295,0))="","",INDEX(Hierarchy!$G$2:$G$1295,MATCH($D208,Hierarchy!$A$2:$A$1295,0))),"NODE NOT FOUND"))</f>
        <v>PHL</v>
      </c>
      <c r="K208" s="7" t="str">
        <f aca="false">IF($D208="","",IFERROR(IF(INDEX(Hierarchy!$H$2:$H$1295,MATCH($D208,Hierarchy!$A$2:$A$1295,0))="","",INDEX(Hierarchy!$H$2:$H$1295,MATCH($D208,Hierarchy!$A$2:$A$1295,0))),"NODE NOT FOUND"))</f>
        <v>Bicol Region</v>
      </c>
      <c r="L208" s="7" t="str">
        <f aca="false">IF($D208="","",IFERROR(IF(INDEX(Hierarchy!$I$2:$I$1295,MATCH($D208,Hierarchy!$A$2:$A$1295,0))="","",INDEX(Hierarchy!$I$2:$I$1295,MATCH($D208,Hierarchy!$A$2:$A$1295,0))),"NODE NOT FOUND"))</f>
        <v/>
      </c>
      <c r="M208" s="17" t="str">
        <f aca="false">IF(B208="Pre-seeded","Pre-seeded",IF(B208="Review 2026-09-16","Added from review",IF(C208="","New",IF(C208=D208,"","Changed"))))</f>
        <v>Pre-seeded</v>
      </c>
      <c r="N208" s="7" t="str">
        <f aca="false">TRIM(SUBSTITUTE(SUBSTITUTE(SUBSTITUTE(" "&amp;TRIM(SUBSTITUTE(SUBSTITUTE(SUBSTITUTE(SUBSTITUTE(SUBSTITUTE(SUBSTITUTE(SUBSTITUTE(SUBSTITUTE(SUBSTITUTE(SUBSTITUTE(SUBSTITUTE(SUBSTITUTE(SUBSTITUTE(SUBSTITUTE(SUBSTITUTE(UPPER(TRIM(A208)),"[MEMBER]",""),"{MEMBER}",""),"[MEMBER}",""),"MEMBER]",""),"(A)",""),"""",""),"“",""),"”",""),".",""),":",""),",",""),"–"," "),"-"," "),"/"," "),"&amp;"," AND "))&amp;" "," THE "," ")," TOTAL "," ")," OPERATIONS "," "))</f>
        <v>BICOL REGION</v>
      </c>
      <c r="O208" s="17" t="str">
        <f aca="false">IF(COUNTIFS($N$2:$N$2000,N208,$D$2:$D$2000,"&lt;&gt;"&amp;D208)&gt;0,"CONFLICT","")</f>
        <v/>
      </c>
      <c r="P208" s="7"/>
    </row>
    <row r="209" customFormat="false" ht="15" hidden="false" customHeight="false" outlineLevel="0" collapsed="false">
      <c r="A209" s="7" t="s">
        <v>1330</v>
      </c>
      <c r="B209" s="7" t="s">
        <v>1879</v>
      </c>
      <c r="C209" s="7"/>
      <c r="D209" s="6" t="s">
        <v>1330</v>
      </c>
      <c r="E209" s="6" t="s">
        <v>1880</v>
      </c>
      <c r="F209" s="7" t="str">
        <f aca="false">IF($D209="","",IFERROR(IF(INDEX(Hierarchy!$B$2:$B$1295,MATCH($D209,Hierarchy!$A$2:$A$1295,0))="","",INDEX(Hierarchy!$B$2:$B$1295,MATCH($D209,Hierarchy!$A$2:$A$1295,0))),"NODE NOT FOUND"))</f>
        <v>State/Province</v>
      </c>
      <c r="G209" s="7" t="str">
        <f aca="false">IF($D209="","",IFERROR(IF(INDEX(Hierarchy!$D$2:$D$1295,MATCH($D209,Hierarchy!$A$2:$A$1295,0))="","",INDEX(Hierarchy!$D$2:$D$1295,MATCH($D209,Hierarchy!$A$2:$A$1295,0))),"NODE NOT FOUND"))</f>
        <v>APAC</v>
      </c>
      <c r="H209" s="7" t="str">
        <f aca="false">IF($D209="","",IFERROR(IF(INDEX(Hierarchy!$E$2:$E$1295,MATCH($D209,Hierarchy!$A$2:$A$1295,0))="","",INDEX(Hierarchy!$E$2:$E$1295,MATCH($D209,Hierarchy!$A$2:$A$1295,0))),"NODE NOT FOUND"))</f>
        <v>South Asia</v>
      </c>
      <c r="I209" s="7" t="str">
        <f aca="false">IF($D209="","",IFERROR(IF(INDEX(Hierarchy!$F$2:$F$1295,MATCH($D209,Hierarchy!$A$2:$A$1295,0))="","",INDEX(Hierarchy!$F$2:$F$1295,MATCH($D209,Hierarchy!$A$2:$A$1295,0))),"NODE NOT FOUND"))</f>
        <v>India</v>
      </c>
      <c r="J209" s="7" t="str">
        <f aca="false">IF($D209="","",IFERROR(IF(INDEX(Hierarchy!$G$2:$G$1295,MATCH($D209,Hierarchy!$A$2:$A$1295,0))="","",INDEX(Hierarchy!$G$2:$G$1295,MATCH($D209,Hierarchy!$A$2:$A$1295,0))),"NODE NOT FOUND"))</f>
        <v>IND</v>
      </c>
      <c r="K209" s="7" t="str">
        <f aca="false">IF($D209="","",IFERROR(IF(INDEX(Hierarchy!$H$2:$H$1295,MATCH($D209,Hierarchy!$A$2:$A$1295,0))="","",INDEX(Hierarchy!$H$2:$H$1295,MATCH($D209,Hierarchy!$A$2:$A$1295,0))),"NODE NOT FOUND"))</f>
        <v>Bihar</v>
      </c>
      <c r="L209" s="7" t="str">
        <f aca="false">IF($D209="","",IFERROR(IF(INDEX(Hierarchy!$I$2:$I$1295,MATCH($D209,Hierarchy!$A$2:$A$1295,0))="","",INDEX(Hierarchy!$I$2:$I$1295,MATCH($D209,Hierarchy!$A$2:$A$1295,0))),"NODE NOT FOUND"))</f>
        <v/>
      </c>
      <c r="M209" s="17" t="str">
        <f aca="false">IF(B209="Pre-seeded","Pre-seeded",IF(B209="Review 2026-09-16","Added from review",IF(C209="","New",IF(C209=D209,"","Changed"))))</f>
        <v>Pre-seeded</v>
      </c>
      <c r="N209" s="7" t="str">
        <f aca="false">TRIM(SUBSTITUTE(SUBSTITUTE(SUBSTITUTE(" "&amp;TRIM(SUBSTITUTE(SUBSTITUTE(SUBSTITUTE(SUBSTITUTE(SUBSTITUTE(SUBSTITUTE(SUBSTITUTE(SUBSTITUTE(SUBSTITUTE(SUBSTITUTE(SUBSTITUTE(SUBSTITUTE(SUBSTITUTE(SUBSTITUTE(SUBSTITUTE(UPPER(TRIM(A209)),"[MEMBER]",""),"{MEMBER}",""),"[MEMBER}",""),"MEMBER]",""),"(A)",""),"""",""),"“",""),"”",""),".",""),":",""),",",""),"–"," "),"-"," "),"/"," "),"&amp;"," AND "))&amp;" "," THE "," ")," TOTAL "," ")," OPERATIONS "," "))</f>
        <v>BIHAR</v>
      </c>
      <c r="O209" s="17" t="str">
        <f aca="false">IF(COUNTIFS($N$2:$N$2000,N209,$D$2:$D$2000,"&lt;&gt;"&amp;D209)&gt;0,"CONFLICT","")</f>
        <v/>
      </c>
      <c r="P209" s="7"/>
    </row>
    <row r="210" customFormat="false" ht="15" hidden="false" customHeight="false" outlineLevel="0" collapsed="false">
      <c r="A210" s="7" t="s">
        <v>483</v>
      </c>
      <c r="B210" s="7" t="s">
        <v>1879</v>
      </c>
      <c r="C210" s="7"/>
      <c r="D210" s="6" t="s">
        <v>483</v>
      </c>
      <c r="E210" s="6" t="s">
        <v>1880</v>
      </c>
      <c r="F210" s="7" t="str">
        <f aca="false">IF($D210="","",IFERROR(IF(INDEX(Hierarchy!$B$2:$B$1295,MATCH($D210,Hierarchy!$A$2:$A$1295,0))="","",INDEX(Hierarchy!$B$2:$B$1295,MATCH($D210,Hierarchy!$A$2:$A$1295,0))),"NODE NOT FOUND"))</f>
        <v>State/Province</v>
      </c>
      <c r="G210" s="7" t="str">
        <f aca="false">IF($D210="","",IFERROR(IF(INDEX(Hierarchy!$D$2:$D$1295,MATCH($D210,Hierarchy!$A$2:$A$1295,0))="","",INDEX(Hierarchy!$D$2:$D$1295,MATCH($D210,Hierarchy!$A$2:$A$1295,0))),"NODE NOT FOUND"))</f>
        <v>AMER</v>
      </c>
      <c r="H210" s="7" t="str">
        <f aca="false">IF($D210="","",IFERROR(IF(INDEX(Hierarchy!$E$2:$E$1295,MATCH($D210,Hierarchy!$A$2:$A$1295,0))="","",INDEX(Hierarchy!$E$2:$E$1295,MATCH($D210,Hierarchy!$A$2:$A$1295,0))),"NODE NOT FOUND"))</f>
        <v>Latin America (LATAM)</v>
      </c>
      <c r="I210" s="7" t="str">
        <f aca="false">IF($D210="","",IFERROR(IF(INDEX(Hierarchy!$F$2:$F$1295,MATCH($D210,Hierarchy!$A$2:$A$1295,0))="","",INDEX(Hierarchy!$F$2:$F$1295,MATCH($D210,Hierarchy!$A$2:$A$1295,0))),"NODE NOT FOUND"))</f>
        <v>Chile</v>
      </c>
      <c r="J210" s="7" t="str">
        <f aca="false">IF($D210="","",IFERROR(IF(INDEX(Hierarchy!$G$2:$G$1295,MATCH($D210,Hierarchy!$A$2:$A$1295,0))="","",INDEX(Hierarchy!$G$2:$G$1295,MATCH($D210,Hierarchy!$A$2:$A$1295,0))),"NODE NOT FOUND"))</f>
        <v>CHL</v>
      </c>
      <c r="K210" s="7" t="str">
        <f aca="false">IF($D210="","",IFERROR(IF(INDEX(Hierarchy!$H$2:$H$1295,MATCH($D210,Hierarchy!$A$2:$A$1295,0))="","",INDEX(Hierarchy!$H$2:$H$1295,MATCH($D210,Hierarchy!$A$2:$A$1295,0))),"NODE NOT FOUND"))</f>
        <v>Biobío</v>
      </c>
      <c r="L210" s="7" t="str">
        <f aca="false">IF($D210="","",IFERROR(IF(INDEX(Hierarchy!$I$2:$I$1295,MATCH($D210,Hierarchy!$A$2:$A$1295,0))="","",INDEX(Hierarchy!$I$2:$I$1295,MATCH($D210,Hierarchy!$A$2:$A$1295,0))),"NODE NOT FOUND"))</f>
        <v/>
      </c>
      <c r="M210" s="17" t="str">
        <f aca="false">IF(B210="Pre-seeded","Pre-seeded",IF(B210="Review 2026-09-16","Added from review",IF(C210="","New",IF(C210=D210,"","Changed"))))</f>
        <v>Pre-seeded</v>
      </c>
      <c r="N210" s="7" t="str">
        <f aca="false">TRIM(SUBSTITUTE(SUBSTITUTE(SUBSTITUTE(" "&amp;TRIM(SUBSTITUTE(SUBSTITUTE(SUBSTITUTE(SUBSTITUTE(SUBSTITUTE(SUBSTITUTE(SUBSTITUTE(SUBSTITUTE(SUBSTITUTE(SUBSTITUTE(SUBSTITUTE(SUBSTITUTE(SUBSTITUTE(SUBSTITUTE(SUBSTITUTE(UPPER(TRIM(A210)),"[MEMBER]",""),"{MEMBER}",""),"[MEMBER}",""),"MEMBER]",""),"(A)",""),"""",""),"“",""),"”",""),".",""),":",""),",",""),"–"," "),"-"," "),"/"," "),"&amp;"," AND "))&amp;" "," THE "," ")," TOTAL "," ")," OPERATIONS "," "))</f>
        <v>BIOBÍO</v>
      </c>
      <c r="O210" s="17" t="str">
        <f aca="false">IF(COUNTIFS($N$2:$N$2000,N210,$D$2:$D$2000,"&lt;&gt;"&amp;D210)&gt;0,"CONFLICT","")</f>
        <v/>
      </c>
      <c r="P210" s="7"/>
    </row>
    <row r="211" customFormat="false" ht="15" hidden="false" customHeight="false" outlineLevel="0" collapsed="false">
      <c r="A211" s="7" t="s">
        <v>2002</v>
      </c>
      <c r="B211" s="7" t="s">
        <v>1879</v>
      </c>
      <c r="C211" s="7"/>
      <c r="D211" s="6" t="s">
        <v>534</v>
      </c>
      <c r="E211" s="6" t="s">
        <v>1880</v>
      </c>
      <c r="F211" s="7" t="str">
        <f aca="false">IF($D211="","",IFERROR(IF(INDEX(Hierarchy!$B$2:$B$1295,MATCH($D211,Hierarchy!$A$2:$A$1295,0))="","",INDEX(Hierarchy!$B$2:$B$1295,MATCH($D211,Hierarchy!$A$2:$A$1295,0))),"NODE NOT FOUND"))</f>
        <v>City</v>
      </c>
      <c r="G211" s="7" t="str">
        <f aca="false">IF($D211="","",IFERROR(IF(INDEX(Hierarchy!$D$2:$D$1295,MATCH($D211,Hierarchy!$A$2:$A$1295,0))="","",INDEX(Hierarchy!$D$2:$D$1295,MATCH($D211,Hierarchy!$A$2:$A$1295,0))),"NODE NOT FOUND"))</f>
        <v>AMER</v>
      </c>
      <c r="H211" s="7" t="str">
        <f aca="false">IF($D211="","",IFERROR(IF(INDEX(Hierarchy!$E$2:$E$1295,MATCH($D211,Hierarchy!$A$2:$A$1295,0))="","",INDEX(Hierarchy!$E$2:$E$1295,MATCH($D211,Hierarchy!$A$2:$A$1295,0))),"NODE NOT FOUND"))</f>
        <v>Latin America (LATAM)</v>
      </c>
      <c r="I211" s="7" t="str">
        <f aca="false">IF($D211="","",IFERROR(IF(INDEX(Hierarchy!$F$2:$F$1295,MATCH($D211,Hierarchy!$A$2:$A$1295,0))="","",INDEX(Hierarchy!$F$2:$F$1295,MATCH($D211,Hierarchy!$A$2:$A$1295,0))),"NODE NOT FOUND"))</f>
        <v>Colombia</v>
      </c>
      <c r="J211" s="7" t="str">
        <f aca="false">IF($D211="","",IFERROR(IF(INDEX(Hierarchy!$G$2:$G$1295,MATCH($D211,Hierarchy!$A$2:$A$1295,0))="","",INDEX(Hierarchy!$G$2:$G$1295,MATCH($D211,Hierarchy!$A$2:$A$1295,0))),"NODE NOT FOUND"))</f>
        <v>COL</v>
      </c>
      <c r="K211" s="7" t="str">
        <f aca="false">IF($D211="","",IFERROR(IF(INDEX(Hierarchy!$H$2:$H$1295,MATCH($D211,Hierarchy!$A$2:$A$1295,0))="","",INDEX(Hierarchy!$H$2:$H$1295,MATCH($D211,Hierarchy!$A$2:$A$1295,0))),"NODE NOT FOUND"))</f>
        <v/>
      </c>
      <c r="L211" s="7" t="str">
        <f aca="false">IF($D211="","",IFERROR(IF(INDEX(Hierarchy!$I$2:$I$1295,MATCH($D211,Hierarchy!$A$2:$A$1295,0))="","",INDEX(Hierarchy!$I$2:$I$1295,MATCH($D211,Hierarchy!$A$2:$A$1295,0))),"NODE NOT FOUND"))</f>
        <v>Bogotá</v>
      </c>
      <c r="M211" s="17" t="str">
        <f aca="false">IF(B211="Pre-seeded","Pre-seeded",IF(B211="Review 2026-09-16","Added from review",IF(C211="","New",IF(C211=D211,"","Changed"))))</f>
        <v>Pre-seeded</v>
      </c>
      <c r="N211" s="7" t="str">
        <f aca="false">TRIM(SUBSTITUTE(SUBSTITUTE(SUBSTITUTE(" "&amp;TRIM(SUBSTITUTE(SUBSTITUTE(SUBSTITUTE(SUBSTITUTE(SUBSTITUTE(SUBSTITUTE(SUBSTITUTE(SUBSTITUTE(SUBSTITUTE(SUBSTITUTE(SUBSTITUTE(SUBSTITUTE(SUBSTITUTE(SUBSTITUTE(SUBSTITUTE(UPPER(TRIM(A211)),"[MEMBER]",""),"{MEMBER}",""),"[MEMBER}",""),"MEMBER]",""),"(A)",""),"""",""),"“",""),"”",""),".",""),":",""),",",""),"–"," "),"-"," "),"/"," "),"&amp;"," AND "))&amp;" "," THE "," ")," TOTAL "," ")," OPERATIONS "," "))</f>
        <v>BOGOTA</v>
      </c>
      <c r="O211" s="17" t="str">
        <f aca="false">IF(COUNTIFS($N$2:$N$2000,N211,$D$2:$D$2000,"&lt;&gt;"&amp;D211)&gt;0,"CONFLICT","")</f>
        <v/>
      </c>
      <c r="P211" s="7"/>
    </row>
    <row r="212" customFormat="false" ht="15" hidden="false" customHeight="false" outlineLevel="0" collapsed="false">
      <c r="A212" s="7" t="s">
        <v>504</v>
      </c>
      <c r="B212" s="7" t="s">
        <v>1879</v>
      </c>
      <c r="C212" s="7"/>
      <c r="D212" s="6" t="s">
        <v>504</v>
      </c>
      <c r="E212" s="6" t="s">
        <v>1880</v>
      </c>
      <c r="F212" s="7" t="str">
        <f aca="false">IF($D212="","",IFERROR(IF(INDEX(Hierarchy!$B$2:$B$1295,MATCH($D212,Hierarchy!$A$2:$A$1295,0))="","",INDEX(Hierarchy!$B$2:$B$1295,MATCH($D212,Hierarchy!$A$2:$A$1295,0))),"NODE NOT FOUND"))</f>
        <v>State/Province</v>
      </c>
      <c r="G212" s="7" t="str">
        <f aca="false">IF($D212="","",IFERROR(IF(INDEX(Hierarchy!$D$2:$D$1295,MATCH($D212,Hierarchy!$A$2:$A$1295,0))="","",INDEX(Hierarchy!$D$2:$D$1295,MATCH($D212,Hierarchy!$A$2:$A$1295,0))),"NODE NOT FOUND"))</f>
        <v>AMER</v>
      </c>
      <c r="H212" s="7" t="str">
        <f aca="false">IF($D212="","",IFERROR(IF(INDEX(Hierarchy!$E$2:$E$1295,MATCH($D212,Hierarchy!$A$2:$A$1295,0))="","",INDEX(Hierarchy!$E$2:$E$1295,MATCH($D212,Hierarchy!$A$2:$A$1295,0))),"NODE NOT FOUND"))</f>
        <v>Latin America (LATAM)</v>
      </c>
      <c r="I212" s="7" t="str">
        <f aca="false">IF($D212="","",IFERROR(IF(INDEX(Hierarchy!$F$2:$F$1295,MATCH($D212,Hierarchy!$A$2:$A$1295,0))="","",INDEX(Hierarchy!$F$2:$F$1295,MATCH($D212,Hierarchy!$A$2:$A$1295,0))),"NODE NOT FOUND"))</f>
        <v>Colombia</v>
      </c>
      <c r="J212" s="7" t="str">
        <f aca="false">IF($D212="","",IFERROR(IF(INDEX(Hierarchy!$G$2:$G$1295,MATCH($D212,Hierarchy!$A$2:$A$1295,0))="","",INDEX(Hierarchy!$G$2:$G$1295,MATCH($D212,Hierarchy!$A$2:$A$1295,0))),"NODE NOT FOUND"))</f>
        <v>COL</v>
      </c>
      <c r="K212" s="7" t="str">
        <f aca="false">IF($D212="","",IFERROR(IF(INDEX(Hierarchy!$H$2:$H$1295,MATCH($D212,Hierarchy!$A$2:$A$1295,0))="","",INDEX(Hierarchy!$H$2:$H$1295,MATCH($D212,Hierarchy!$A$2:$A$1295,0))),"NODE NOT FOUND"))</f>
        <v>Bogotá Capital District</v>
      </c>
      <c r="L212" s="7" t="str">
        <f aca="false">IF($D212="","",IFERROR(IF(INDEX(Hierarchy!$I$2:$I$1295,MATCH($D212,Hierarchy!$A$2:$A$1295,0))="","",INDEX(Hierarchy!$I$2:$I$1295,MATCH($D212,Hierarchy!$A$2:$A$1295,0))),"NODE NOT FOUND"))</f>
        <v/>
      </c>
      <c r="M212" s="17" t="str">
        <f aca="false">IF(B212="Pre-seeded","Pre-seeded",IF(B212="Review 2026-09-16","Added from review",IF(C212="","New",IF(C212=D212,"","Changed"))))</f>
        <v>Pre-seeded</v>
      </c>
      <c r="N212" s="7" t="str">
        <f aca="false">TRIM(SUBSTITUTE(SUBSTITUTE(SUBSTITUTE(" "&amp;TRIM(SUBSTITUTE(SUBSTITUTE(SUBSTITUTE(SUBSTITUTE(SUBSTITUTE(SUBSTITUTE(SUBSTITUTE(SUBSTITUTE(SUBSTITUTE(SUBSTITUTE(SUBSTITUTE(SUBSTITUTE(SUBSTITUTE(SUBSTITUTE(SUBSTITUTE(UPPER(TRIM(A212)),"[MEMBER]",""),"{MEMBER}",""),"[MEMBER}",""),"MEMBER]",""),"(A)",""),"""",""),"“",""),"”",""),".",""),":",""),",",""),"–"," "),"-"," "),"/"," "),"&amp;"," AND "))&amp;" "," THE "," ")," TOTAL "," ")," OPERATIONS "," "))</f>
        <v>BOGOTÁ CAPITAL DISTRICT</v>
      </c>
      <c r="O212" s="17" t="str">
        <f aca="false">IF(COUNTIFS($N$2:$N$2000,N212,$D$2:$D$2000,"&lt;&gt;"&amp;D212)&gt;0,"CONFLICT","")</f>
        <v/>
      </c>
      <c r="P212" s="7"/>
    </row>
    <row r="213" customFormat="false" ht="15" hidden="false" customHeight="false" outlineLevel="0" collapsed="false">
      <c r="A213" s="7" t="s">
        <v>2003</v>
      </c>
      <c r="B213" s="7" t="s">
        <v>1879</v>
      </c>
      <c r="C213" s="7"/>
      <c r="D213" s="6" t="s">
        <v>611</v>
      </c>
      <c r="E213" s="6" t="s">
        <v>1880</v>
      </c>
      <c r="F213" s="7" t="str">
        <f aca="false">IF($D213="","",IFERROR(IF(INDEX(Hierarchy!$B$2:$B$1295,MATCH($D213,Hierarchy!$A$2:$A$1295,0))="","",INDEX(Hierarchy!$B$2:$B$1295,MATCH($D213,Hierarchy!$A$2:$A$1295,0))),"NODE NOT FOUND"))</f>
        <v>Country</v>
      </c>
      <c r="G213" s="7" t="str">
        <f aca="false">IF($D213="","",IFERROR(IF(INDEX(Hierarchy!$D$2:$D$1295,MATCH($D213,Hierarchy!$A$2:$A$1295,0))="","",INDEX(Hierarchy!$D$2:$D$1295,MATCH($D213,Hierarchy!$A$2:$A$1295,0))),"NODE NOT FOUND"))</f>
        <v>AMER</v>
      </c>
      <c r="H213" s="7" t="str">
        <f aca="false">IF($D213="","",IFERROR(IF(INDEX(Hierarchy!$E$2:$E$1295,MATCH($D213,Hierarchy!$A$2:$A$1295,0))="","",INDEX(Hierarchy!$E$2:$E$1295,MATCH($D213,Hierarchy!$A$2:$A$1295,0))),"NODE NOT FOUND"))</f>
        <v>Latin America (LATAM)</v>
      </c>
      <c r="I213" s="7" t="str">
        <f aca="false">IF($D213="","",IFERROR(IF(INDEX(Hierarchy!$F$2:$F$1295,MATCH($D213,Hierarchy!$A$2:$A$1295,0))="","",INDEX(Hierarchy!$F$2:$F$1295,MATCH($D213,Hierarchy!$A$2:$A$1295,0))),"NODE NOT FOUND"))</f>
        <v>Venezuela</v>
      </c>
      <c r="J213" s="7" t="str">
        <f aca="false">IF($D213="","",IFERROR(IF(INDEX(Hierarchy!$G$2:$G$1295,MATCH($D213,Hierarchy!$A$2:$A$1295,0))="","",INDEX(Hierarchy!$G$2:$G$1295,MATCH($D213,Hierarchy!$A$2:$A$1295,0))),"NODE NOT FOUND"))</f>
        <v>VEN</v>
      </c>
      <c r="K213" s="7" t="str">
        <f aca="false">IF($D213="","",IFERROR(IF(INDEX(Hierarchy!$H$2:$H$1295,MATCH($D213,Hierarchy!$A$2:$A$1295,0))="","",INDEX(Hierarchy!$H$2:$H$1295,MATCH($D213,Hierarchy!$A$2:$A$1295,0))),"NODE NOT FOUND"))</f>
        <v/>
      </c>
      <c r="L213" s="7" t="str">
        <f aca="false">IF($D213="","",IFERROR(IF(INDEX(Hierarchy!$I$2:$I$1295,MATCH($D213,Hierarchy!$A$2:$A$1295,0))="","",INDEX(Hierarchy!$I$2:$I$1295,MATCH($D213,Hierarchy!$A$2:$A$1295,0))),"NODE NOT FOUND"))</f>
        <v/>
      </c>
      <c r="M213" s="17" t="str">
        <f aca="false">IF(B213="Pre-seeded","Pre-seeded",IF(B213="Review 2026-09-16","Added from review",IF(C213="","New",IF(C213=D213,"","Changed"))))</f>
        <v>Pre-seeded</v>
      </c>
      <c r="N213" s="7" t="str">
        <f aca="false">TRIM(SUBSTITUTE(SUBSTITUTE(SUBSTITUTE(" "&amp;TRIM(SUBSTITUTE(SUBSTITUTE(SUBSTITUTE(SUBSTITUTE(SUBSTITUTE(SUBSTITUTE(SUBSTITUTE(SUBSTITUTE(SUBSTITUTE(SUBSTITUTE(SUBSTITUTE(SUBSTITUTE(SUBSTITUTE(SUBSTITUTE(SUBSTITUTE(UPPER(TRIM(A213)),"[MEMBER]",""),"{MEMBER}",""),"[MEMBER}",""),"MEMBER]",""),"(A)",""),"""",""),"“",""),"”",""),".",""),":",""),",",""),"–"," "),"-"," "),"/"," "),"&amp;"," AND "))&amp;" "," THE "," ")," TOTAL "," ")," OPERATIONS "," "))</f>
        <v>BOLIVARIAN REPUBLIC OF VENEZUELA</v>
      </c>
      <c r="O213" s="17" t="str">
        <f aca="false">IF(COUNTIFS($N$2:$N$2000,N213,$D$2:$D$2000,"&lt;&gt;"&amp;D213)&gt;0,"CONFLICT","")</f>
        <v/>
      </c>
      <c r="P213" s="7" t="s">
        <v>1936</v>
      </c>
    </row>
    <row r="214" customFormat="false" ht="15" hidden="false" customHeight="false" outlineLevel="0" collapsed="false">
      <c r="A214" s="7" t="s">
        <v>465</v>
      </c>
      <c r="B214" s="7" t="s">
        <v>1879</v>
      </c>
      <c r="C214" s="7"/>
      <c r="D214" s="6" t="s">
        <v>465</v>
      </c>
      <c r="E214" s="6" t="s">
        <v>1880</v>
      </c>
      <c r="F214" s="7" t="str">
        <f aca="false">IF($D214="","",IFERROR(IF(INDEX(Hierarchy!$B$2:$B$1295,MATCH($D214,Hierarchy!$A$2:$A$1295,0))="","",INDEX(Hierarchy!$B$2:$B$1295,MATCH($D214,Hierarchy!$A$2:$A$1295,0))),"NODE NOT FOUND"))</f>
        <v>Country</v>
      </c>
      <c r="G214" s="7" t="str">
        <f aca="false">IF($D214="","",IFERROR(IF(INDEX(Hierarchy!$D$2:$D$1295,MATCH($D214,Hierarchy!$A$2:$A$1295,0))="","",INDEX(Hierarchy!$D$2:$D$1295,MATCH($D214,Hierarchy!$A$2:$A$1295,0))),"NODE NOT FOUND"))</f>
        <v>AMER</v>
      </c>
      <c r="H214" s="7" t="str">
        <f aca="false">IF($D214="","",IFERROR(IF(INDEX(Hierarchy!$E$2:$E$1295,MATCH($D214,Hierarchy!$A$2:$A$1295,0))="","",INDEX(Hierarchy!$E$2:$E$1295,MATCH($D214,Hierarchy!$A$2:$A$1295,0))),"NODE NOT FOUND"))</f>
        <v>Latin America (LATAM)</v>
      </c>
      <c r="I214" s="7" t="str">
        <f aca="false">IF($D214="","",IFERROR(IF(INDEX(Hierarchy!$F$2:$F$1295,MATCH($D214,Hierarchy!$A$2:$A$1295,0))="","",INDEX(Hierarchy!$F$2:$F$1295,MATCH($D214,Hierarchy!$A$2:$A$1295,0))),"NODE NOT FOUND"))</f>
        <v>Bolivia</v>
      </c>
      <c r="J214" s="7" t="str">
        <f aca="false">IF($D214="","",IFERROR(IF(INDEX(Hierarchy!$G$2:$G$1295,MATCH($D214,Hierarchy!$A$2:$A$1295,0))="","",INDEX(Hierarchy!$G$2:$G$1295,MATCH($D214,Hierarchy!$A$2:$A$1295,0))),"NODE NOT FOUND"))</f>
        <v>BOL</v>
      </c>
      <c r="K214" s="7" t="str">
        <f aca="false">IF($D214="","",IFERROR(IF(INDEX(Hierarchy!$H$2:$H$1295,MATCH($D214,Hierarchy!$A$2:$A$1295,0))="","",INDEX(Hierarchy!$H$2:$H$1295,MATCH($D214,Hierarchy!$A$2:$A$1295,0))),"NODE NOT FOUND"))</f>
        <v/>
      </c>
      <c r="L214" s="7" t="str">
        <f aca="false">IF($D214="","",IFERROR(IF(INDEX(Hierarchy!$I$2:$I$1295,MATCH($D214,Hierarchy!$A$2:$A$1295,0))="","",INDEX(Hierarchy!$I$2:$I$1295,MATCH($D214,Hierarchy!$A$2:$A$1295,0))),"NODE NOT FOUND"))</f>
        <v/>
      </c>
      <c r="M214" s="17" t="str">
        <f aca="false">IF(B214="Pre-seeded","Pre-seeded",IF(B214="Review 2026-09-16","Added from review",IF(C214="","New",IF(C214=D214,"","Changed"))))</f>
        <v>Pre-seeded</v>
      </c>
      <c r="N214" s="7" t="str">
        <f aca="false">TRIM(SUBSTITUTE(SUBSTITUTE(SUBSTITUTE(" "&amp;TRIM(SUBSTITUTE(SUBSTITUTE(SUBSTITUTE(SUBSTITUTE(SUBSTITUTE(SUBSTITUTE(SUBSTITUTE(SUBSTITUTE(SUBSTITUTE(SUBSTITUTE(SUBSTITUTE(SUBSTITUTE(SUBSTITUTE(SUBSTITUTE(SUBSTITUTE(UPPER(TRIM(A214)),"[MEMBER]",""),"{MEMBER}",""),"[MEMBER}",""),"MEMBER]",""),"(A)",""),"""",""),"“",""),"”",""),".",""),":",""),",",""),"–"," "),"-"," "),"/"," "),"&amp;"," AND "))&amp;" "," THE "," ")," TOTAL "," ")," OPERATIONS "," "))</f>
        <v>BOLIVIA</v>
      </c>
      <c r="O214" s="17" t="str">
        <f aca="false">IF(COUNTIFS($N$2:$N$2000,N214,$D$2:$D$2000,"&lt;&gt;"&amp;D214)&gt;0,"CONFLICT","")</f>
        <v/>
      </c>
      <c r="P214" s="7"/>
    </row>
    <row r="215" customFormat="false" ht="15" hidden="false" customHeight="false" outlineLevel="0" collapsed="false">
      <c r="A215" s="7" t="s">
        <v>2004</v>
      </c>
      <c r="B215" s="7" t="s">
        <v>1879</v>
      </c>
      <c r="C215" s="7"/>
      <c r="D215" s="6" t="s">
        <v>465</v>
      </c>
      <c r="E215" s="6" t="s">
        <v>1880</v>
      </c>
      <c r="F215" s="7" t="str">
        <f aca="false">IF($D215="","",IFERROR(IF(INDEX(Hierarchy!$B$2:$B$1295,MATCH($D215,Hierarchy!$A$2:$A$1295,0))="","",INDEX(Hierarchy!$B$2:$B$1295,MATCH($D215,Hierarchy!$A$2:$A$1295,0))),"NODE NOT FOUND"))</f>
        <v>Country</v>
      </c>
      <c r="G215" s="7" t="str">
        <f aca="false">IF($D215="","",IFERROR(IF(INDEX(Hierarchy!$D$2:$D$1295,MATCH($D215,Hierarchy!$A$2:$A$1295,0))="","",INDEX(Hierarchy!$D$2:$D$1295,MATCH($D215,Hierarchy!$A$2:$A$1295,0))),"NODE NOT FOUND"))</f>
        <v>AMER</v>
      </c>
      <c r="H215" s="7" t="str">
        <f aca="false">IF($D215="","",IFERROR(IF(INDEX(Hierarchy!$E$2:$E$1295,MATCH($D215,Hierarchy!$A$2:$A$1295,0))="","",INDEX(Hierarchy!$E$2:$E$1295,MATCH($D215,Hierarchy!$A$2:$A$1295,0))),"NODE NOT FOUND"))</f>
        <v>Latin America (LATAM)</v>
      </c>
      <c r="I215" s="7" t="str">
        <f aca="false">IF($D215="","",IFERROR(IF(INDEX(Hierarchy!$F$2:$F$1295,MATCH($D215,Hierarchy!$A$2:$A$1295,0))="","",INDEX(Hierarchy!$F$2:$F$1295,MATCH($D215,Hierarchy!$A$2:$A$1295,0))),"NODE NOT FOUND"))</f>
        <v>Bolivia</v>
      </c>
      <c r="J215" s="7" t="str">
        <f aca="false">IF($D215="","",IFERROR(IF(INDEX(Hierarchy!$G$2:$G$1295,MATCH($D215,Hierarchy!$A$2:$A$1295,0))="","",INDEX(Hierarchy!$G$2:$G$1295,MATCH($D215,Hierarchy!$A$2:$A$1295,0))),"NODE NOT FOUND"))</f>
        <v>BOL</v>
      </c>
      <c r="K215" s="7" t="str">
        <f aca="false">IF($D215="","",IFERROR(IF(INDEX(Hierarchy!$H$2:$H$1295,MATCH($D215,Hierarchy!$A$2:$A$1295,0))="","",INDEX(Hierarchy!$H$2:$H$1295,MATCH($D215,Hierarchy!$A$2:$A$1295,0))),"NODE NOT FOUND"))</f>
        <v/>
      </c>
      <c r="L215" s="7" t="str">
        <f aca="false">IF($D215="","",IFERROR(IF(INDEX(Hierarchy!$I$2:$I$1295,MATCH($D215,Hierarchy!$A$2:$A$1295,0))="","",INDEX(Hierarchy!$I$2:$I$1295,MATCH($D215,Hierarchy!$A$2:$A$1295,0))),"NODE NOT FOUND"))</f>
        <v/>
      </c>
      <c r="M215" s="17" t="str">
        <f aca="false">IF(B215="Pre-seeded","Pre-seeded",IF(B215="Review 2026-09-16","Added from review",IF(C215="","New",IF(C215=D215,"","Changed"))))</f>
        <v>Pre-seeded</v>
      </c>
      <c r="N215" s="7" t="str">
        <f aca="false">TRIM(SUBSTITUTE(SUBSTITUTE(SUBSTITUTE(" "&amp;TRIM(SUBSTITUTE(SUBSTITUTE(SUBSTITUTE(SUBSTITUTE(SUBSTITUTE(SUBSTITUTE(SUBSTITUTE(SUBSTITUTE(SUBSTITUTE(SUBSTITUTE(SUBSTITUTE(SUBSTITUTE(SUBSTITUTE(SUBSTITUTE(SUBSTITUTE(UPPER(TRIM(A215)),"[MEMBER]",""),"{MEMBER}",""),"[MEMBER}",""),"MEMBER]",""),"(A)",""),"""",""),"“",""),"”",""),".",""),":",""),",",""),"–"," "),"-"," "),"/"," "),"&amp;"," AND "))&amp;" "," THE "," ")," TOTAL "," ")," OPERATIONS "," "))</f>
        <v>BOLIVIA PLURINATIONAL STATE OF</v>
      </c>
      <c r="O215" s="17" t="str">
        <f aca="false">IF(COUNTIFS($N$2:$N$2000,N215,$D$2:$D$2000,"&lt;&gt;"&amp;D215)&gt;0,"CONFLICT","")</f>
        <v/>
      </c>
      <c r="P215" s="7" t="s">
        <v>1936</v>
      </c>
    </row>
    <row r="216" customFormat="false" ht="15" hidden="false" customHeight="false" outlineLevel="0" collapsed="false">
      <c r="A216" s="7" t="s">
        <v>506</v>
      </c>
      <c r="B216" s="7" t="s">
        <v>1879</v>
      </c>
      <c r="C216" s="7"/>
      <c r="D216" s="6" t="s">
        <v>506</v>
      </c>
      <c r="E216" s="6" t="s">
        <v>1880</v>
      </c>
      <c r="F216" s="7" t="str">
        <f aca="false">IF($D216="","",IFERROR(IF(INDEX(Hierarchy!$B$2:$B$1295,MATCH($D216,Hierarchy!$A$2:$A$1295,0))="","",INDEX(Hierarchy!$B$2:$B$1295,MATCH($D216,Hierarchy!$A$2:$A$1295,0))),"NODE NOT FOUND"))</f>
        <v>State/Province</v>
      </c>
      <c r="G216" s="7" t="str">
        <f aca="false">IF($D216="","",IFERROR(IF(INDEX(Hierarchy!$D$2:$D$1295,MATCH($D216,Hierarchy!$A$2:$A$1295,0))="","",INDEX(Hierarchy!$D$2:$D$1295,MATCH($D216,Hierarchy!$A$2:$A$1295,0))),"NODE NOT FOUND"))</f>
        <v>AMER</v>
      </c>
      <c r="H216" s="7" t="str">
        <f aca="false">IF($D216="","",IFERROR(IF(INDEX(Hierarchy!$E$2:$E$1295,MATCH($D216,Hierarchy!$A$2:$A$1295,0))="","",INDEX(Hierarchy!$E$2:$E$1295,MATCH($D216,Hierarchy!$A$2:$A$1295,0))),"NODE NOT FOUND"))</f>
        <v>Latin America (LATAM)</v>
      </c>
      <c r="I216" s="7" t="str">
        <f aca="false">IF($D216="","",IFERROR(IF(INDEX(Hierarchy!$F$2:$F$1295,MATCH($D216,Hierarchy!$A$2:$A$1295,0))="","",INDEX(Hierarchy!$F$2:$F$1295,MATCH($D216,Hierarchy!$A$2:$A$1295,0))),"NODE NOT FOUND"))</f>
        <v>Colombia</v>
      </c>
      <c r="J216" s="7" t="str">
        <f aca="false">IF($D216="","",IFERROR(IF(INDEX(Hierarchy!$G$2:$G$1295,MATCH($D216,Hierarchy!$A$2:$A$1295,0))="","",INDEX(Hierarchy!$G$2:$G$1295,MATCH($D216,Hierarchy!$A$2:$A$1295,0))),"NODE NOT FOUND"))</f>
        <v>COL</v>
      </c>
      <c r="K216" s="7" t="str">
        <f aca="false">IF($D216="","",IFERROR(IF(INDEX(Hierarchy!$H$2:$H$1295,MATCH($D216,Hierarchy!$A$2:$A$1295,0))="","",INDEX(Hierarchy!$H$2:$H$1295,MATCH($D216,Hierarchy!$A$2:$A$1295,0))),"NODE NOT FOUND"))</f>
        <v>Bolívar</v>
      </c>
      <c r="L216" s="7" t="str">
        <f aca="false">IF($D216="","",IFERROR(IF(INDEX(Hierarchy!$I$2:$I$1295,MATCH($D216,Hierarchy!$A$2:$A$1295,0))="","",INDEX(Hierarchy!$I$2:$I$1295,MATCH($D216,Hierarchy!$A$2:$A$1295,0))),"NODE NOT FOUND"))</f>
        <v/>
      </c>
      <c r="M216" s="17" t="str">
        <f aca="false">IF(B216="Pre-seeded","Pre-seeded",IF(B216="Review 2026-09-16","Added from review",IF(C216="","New",IF(C216=D216,"","Changed"))))</f>
        <v>Pre-seeded</v>
      </c>
      <c r="N216" s="7" t="str">
        <f aca="false">TRIM(SUBSTITUTE(SUBSTITUTE(SUBSTITUTE(" "&amp;TRIM(SUBSTITUTE(SUBSTITUTE(SUBSTITUTE(SUBSTITUTE(SUBSTITUTE(SUBSTITUTE(SUBSTITUTE(SUBSTITUTE(SUBSTITUTE(SUBSTITUTE(SUBSTITUTE(SUBSTITUTE(SUBSTITUTE(SUBSTITUTE(SUBSTITUTE(UPPER(TRIM(A216)),"[MEMBER]",""),"{MEMBER}",""),"[MEMBER}",""),"MEMBER]",""),"(A)",""),"""",""),"“",""),"”",""),".",""),":",""),",",""),"–"," "),"-"," "),"/"," "),"&amp;"," AND "))&amp;" "," THE "," ")," TOTAL "," ")," OPERATIONS "," "))</f>
        <v>BOLÍVAR</v>
      </c>
      <c r="O216" s="17" t="str">
        <f aca="false">IF(COUNTIFS($N$2:$N$2000,N216,$D$2:$D$2000,"&lt;&gt;"&amp;D216)&gt;0,"CONFLICT","")</f>
        <v/>
      </c>
      <c r="P216" s="7"/>
    </row>
    <row r="217" customFormat="false" ht="15" hidden="false" customHeight="false" outlineLevel="0" collapsed="false">
      <c r="A217" s="7" t="s">
        <v>2005</v>
      </c>
      <c r="B217" s="7" t="s">
        <v>1879</v>
      </c>
      <c r="C217" s="7"/>
      <c r="D217" s="6" t="s">
        <v>1351</v>
      </c>
      <c r="E217" s="6" t="s">
        <v>1880</v>
      </c>
      <c r="F217" s="7" t="str">
        <f aca="false">IF($D217="","",IFERROR(IF(INDEX(Hierarchy!$B$2:$B$1295,MATCH($D217,Hierarchy!$A$2:$A$1295,0))="","",INDEX(Hierarchy!$B$2:$B$1295,MATCH($D217,Hierarchy!$A$2:$A$1295,0))),"NODE NOT FOUND"))</f>
        <v>City</v>
      </c>
      <c r="G217" s="7" t="str">
        <f aca="false">IF($D217="","",IFERROR(IF(INDEX(Hierarchy!$D$2:$D$1295,MATCH($D217,Hierarchy!$A$2:$A$1295,0))="","",INDEX(Hierarchy!$D$2:$D$1295,MATCH($D217,Hierarchy!$A$2:$A$1295,0))),"NODE NOT FOUND"))</f>
        <v>APAC</v>
      </c>
      <c r="H217" s="7" t="str">
        <f aca="false">IF($D217="","",IFERROR(IF(INDEX(Hierarchy!$E$2:$E$1295,MATCH($D217,Hierarchy!$A$2:$A$1295,0))="","",INDEX(Hierarchy!$E$2:$E$1295,MATCH($D217,Hierarchy!$A$2:$A$1295,0))),"NODE NOT FOUND"))</f>
        <v>South Asia</v>
      </c>
      <c r="I217" s="7" t="str">
        <f aca="false">IF($D217="","",IFERROR(IF(INDEX(Hierarchy!$F$2:$F$1295,MATCH($D217,Hierarchy!$A$2:$A$1295,0))="","",INDEX(Hierarchy!$F$2:$F$1295,MATCH($D217,Hierarchy!$A$2:$A$1295,0))),"NODE NOT FOUND"))</f>
        <v>India</v>
      </c>
      <c r="J217" s="7" t="str">
        <f aca="false">IF($D217="","",IFERROR(IF(INDEX(Hierarchy!$G$2:$G$1295,MATCH($D217,Hierarchy!$A$2:$A$1295,0))="","",INDEX(Hierarchy!$G$2:$G$1295,MATCH($D217,Hierarchy!$A$2:$A$1295,0))),"NODE NOT FOUND"))</f>
        <v>IND</v>
      </c>
      <c r="K217" s="7" t="str">
        <f aca="false">IF($D217="","",IFERROR(IF(INDEX(Hierarchy!$H$2:$H$1295,MATCH($D217,Hierarchy!$A$2:$A$1295,0))="","",INDEX(Hierarchy!$H$2:$H$1295,MATCH($D217,Hierarchy!$A$2:$A$1295,0))),"NODE NOT FOUND"))</f>
        <v>Maharashtra</v>
      </c>
      <c r="L217" s="7" t="str">
        <f aca="false">IF($D217="","",IFERROR(IF(INDEX(Hierarchy!$I$2:$I$1295,MATCH($D217,Hierarchy!$A$2:$A$1295,0))="","",INDEX(Hierarchy!$I$2:$I$1295,MATCH($D217,Hierarchy!$A$2:$A$1295,0))),"NODE NOT FOUND"))</f>
        <v>Mumbai</v>
      </c>
      <c r="M217" s="17" t="str">
        <f aca="false">IF(B217="Pre-seeded","Pre-seeded",IF(B217="Review 2026-09-16","Added from review",IF(C217="","New",IF(C217=D217,"","Changed"))))</f>
        <v>Pre-seeded</v>
      </c>
      <c r="N217" s="7" t="str">
        <f aca="false">TRIM(SUBSTITUTE(SUBSTITUTE(SUBSTITUTE(" "&amp;TRIM(SUBSTITUTE(SUBSTITUTE(SUBSTITUTE(SUBSTITUTE(SUBSTITUTE(SUBSTITUTE(SUBSTITUTE(SUBSTITUTE(SUBSTITUTE(SUBSTITUTE(SUBSTITUTE(SUBSTITUTE(SUBSTITUTE(SUBSTITUTE(SUBSTITUTE(UPPER(TRIM(A217)),"[MEMBER]",""),"{MEMBER}",""),"[MEMBER}",""),"MEMBER]",""),"(A)",""),"""",""),"“",""),"”",""),".",""),":",""),",",""),"–"," "),"-"," "),"/"," "),"&amp;"," AND "))&amp;" "," THE "," ")," TOTAL "," ")," OPERATIONS "," "))</f>
        <v>BOMBAY</v>
      </c>
      <c r="O217" s="17" t="str">
        <f aca="false">IF(COUNTIFS($N$2:$N$2000,N217,$D$2:$D$2000,"&lt;&gt;"&amp;D217)&gt;0,"CONFLICT","")</f>
        <v/>
      </c>
      <c r="P217" s="7"/>
    </row>
    <row r="218" customFormat="false" ht="15" hidden="false" customHeight="false" outlineLevel="0" collapsed="false">
      <c r="A218" s="7" t="s">
        <v>469</v>
      </c>
      <c r="B218" s="7" t="s">
        <v>1879</v>
      </c>
      <c r="C218" s="7"/>
      <c r="D218" s="6" t="s">
        <v>469</v>
      </c>
      <c r="E218" s="6" t="s">
        <v>1880</v>
      </c>
      <c r="F218" s="7" t="str">
        <f aca="false">IF($D218="","",IFERROR(IF(INDEX(Hierarchy!$B$2:$B$1295,MATCH($D218,Hierarchy!$A$2:$A$1295,0))="","",INDEX(Hierarchy!$B$2:$B$1295,MATCH($D218,Hierarchy!$A$2:$A$1295,0))),"NODE NOT FOUND"))</f>
        <v>Country</v>
      </c>
      <c r="G218" s="7" t="str">
        <f aca="false">IF($D218="","",IFERROR(IF(INDEX(Hierarchy!$D$2:$D$1295,MATCH($D218,Hierarchy!$A$2:$A$1295,0))="","",INDEX(Hierarchy!$D$2:$D$1295,MATCH($D218,Hierarchy!$A$2:$A$1295,0))),"NODE NOT FOUND"))</f>
        <v>AMER</v>
      </c>
      <c r="H218" s="7" t="str">
        <f aca="false">IF($D218="","",IFERROR(IF(INDEX(Hierarchy!$E$2:$E$1295,MATCH($D218,Hierarchy!$A$2:$A$1295,0))="","",INDEX(Hierarchy!$E$2:$E$1295,MATCH($D218,Hierarchy!$A$2:$A$1295,0))),"NODE NOT FOUND"))</f>
        <v>Latin America (LATAM)</v>
      </c>
      <c r="I218" s="7" t="str">
        <f aca="false">IF($D218="","",IFERROR(IF(INDEX(Hierarchy!$F$2:$F$1295,MATCH($D218,Hierarchy!$A$2:$A$1295,0))="","",INDEX(Hierarchy!$F$2:$F$1295,MATCH($D218,Hierarchy!$A$2:$A$1295,0))),"NODE NOT FOUND"))</f>
        <v>Bonaire, Sint Eustatius and Saba</v>
      </c>
      <c r="J218" s="7" t="str">
        <f aca="false">IF($D218="","",IFERROR(IF(INDEX(Hierarchy!$G$2:$G$1295,MATCH($D218,Hierarchy!$A$2:$A$1295,0))="","",INDEX(Hierarchy!$G$2:$G$1295,MATCH($D218,Hierarchy!$A$2:$A$1295,0))),"NODE NOT FOUND"))</f>
        <v>BES</v>
      </c>
      <c r="K218" s="7" t="str">
        <f aca="false">IF($D218="","",IFERROR(IF(INDEX(Hierarchy!$H$2:$H$1295,MATCH($D218,Hierarchy!$A$2:$A$1295,0))="","",INDEX(Hierarchy!$H$2:$H$1295,MATCH($D218,Hierarchy!$A$2:$A$1295,0))),"NODE NOT FOUND"))</f>
        <v/>
      </c>
      <c r="L218" s="7" t="str">
        <f aca="false">IF($D218="","",IFERROR(IF(INDEX(Hierarchy!$I$2:$I$1295,MATCH($D218,Hierarchy!$A$2:$A$1295,0))="","",INDEX(Hierarchy!$I$2:$I$1295,MATCH($D218,Hierarchy!$A$2:$A$1295,0))),"NODE NOT FOUND"))</f>
        <v/>
      </c>
      <c r="M218" s="17" t="str">
        <f aca="false">IF(B218="Pre-seeded","Pre-seeded",IF(B218="Review 2026-09-16","Added from review",IF(C218="","New",IF(C218=D218,"","Changed"))))</f>
        <v>Pre-seeded</v>
      </c>
      <c r="N218" s="7" t="str">
        <f aca="false">TRIM(SUBSTITUTE(SUBSTITUTE(SUBSTITUTE(" "&amp;TRIM(SUBSTITUTE(SUBSTITUTE(SUBSTITUTE(SUBSTITUTE(SUBSTITUTE(SUBSTITUTE(SUBSTITUTE(SUBSTITUTE(SUBSTITUTE(SUBSTITUTE(SUBSTITUTE(SUBSTITUTE(SUBSTITUTE(SUBSTITUTE(SUBSTITUTE(UPPER(TRIM(A218)),"[MEMBER]",""),"{MEMBER}",""),"[MEMBER}",""),"MEMBER]",""),"(A)",""),"""",""),"“",""),"”",""),".",""),":",""),",",""),"–"," "),"-"," "),"/"," "),"&amp;"," AND "))&amp;" "," THE "," ")," TOTAL "," ")," OPERATIONS "," "))</f>
        <v>BONAIRE SINT EUSTATIUS AND SABA</v>
      </c>
      <c r="O218" s="17" t="str">
        <f aca="false">IF(COUNTIFS($N$2:$N$2000,N218,$D$2:$D$2000,"&lt;&gt;"&amp;D218)&gt;0,"CONFLICT","")</f>
        <v/>
      </c>
      <c r="P218" s="7"/>
    </row>
    <row r="219" customFormat="false" ht="15" hidden="false" customHeight="false" outlineLevel="0" collapsed="false">
      <c r="A219" s="7" t="s">
        <v>1139</v>
      </c>
      <c r="B219" s="7" t="s">
        <v>1879</v>
      </c>
      <c r="C219" s="7"/>
      <c r="D219" s="6" t="s">
        <v>1139</v>
      </c>
      <c r="E219" s="6" t="s">
        <v>1880</v>
      </c>
      <c r="F219" s="7" t="str">
        <f aca="false">IF($D219="","",IFERROR(IF(INDEX(Hierarchy!$B$2:$B$1295,MATCH($D219,Hierarchy!$A$2:$A$1295,0))="","",INDEX(Hierarchy!$B$2:$B$1295,MATCH($D219,Hierarchy!$A$2:$A$1295,0))),"NODE NOT FOUND"))</f>
        <v>State/Province</v>
      </c>
      <c r="G219" s="7" t="str">
        <f aca="false">IF($D219="","",IFERROR(IF(INDEX(Hierarchy!$D$2:$D$1295,MATCH($D219,Hierarchy!$A$2:$A$1295,0))="","",INDEX(Hierarchy!$D$2:$D$1295,MATCH($D219,Hierarchy!$A$2:$A$1295,0))),"NODE NOT FOUND"))</f>
        <v>EMEA</v>
      </c>
      <c r="H219" s="7" t="str">
        <f aca="false">IF($D219="","",IFERROR(IF(INDEX(Hierarchy!$E$2:$E$1295,MATCH($D219,Hierarchy!$A$2:$A$1295,0))="","",INDEX(Hierarchy!$E$2:$E$1295,MATCH($D219,Hierarchy!$A$2:$A$1295,0))),"NODE NOT FOUND"))</f>
        <v>Africa</v>
      </c>
      <c r="I219" s="7" t="str">
        <f aca="false">IF($D219="","",IFERROR(IF(INDEX(Hierarchy!$F$2:$F$1295,MATCH($D219,Hierarchy!$A$2:$A$1295,0))="","",INDEX(Hierarchy!$F$2:$F$1295,MATCH($D219,Hierarchy!$A$2:$A$1295,0))),"NODE NOT FOUND"))</f>
        <v>Nigeria</v>
      </c>
      <c r="J219" s="7" t="str">
        <f aca="false">IF($D219="","",IFERROR(IF(INDEX(Hierarchy!$G$2:$G$1295,MATCH($D219,Hierarchy!$A$2:$A$1295,0))="","",INDEX(Hierarchy!$G$2:$G$1295,MATCH($D219,Hierarchy!$A$2:$A$1295,0))),"NODE NOT FOUND"))</f>
        <v>NGA</v>
      </c>
      <c r="K219" s="7" t="str">
        <f aca="false">IF($D219="","",IFERROR(IF(INDEX(Hierarchy!$H$2:$H$1295,MATCH($D219,Hierarchy!$A$2:$A$1295,0))="","",INDEX(Hierarchy!$H$2:$H$1295,MATCH($D219,Hierarchy!$A$2:$A$1295,0))),"NODE NOT FOUND"))</f>
        <v>Borno</v>
      </c>
      <c r="L219" s="7" t="str">
        <f aca="false">IF($D219="","",IFERROR(IF(INDEX(Hierarchy!$I$2:$I$1295,MATCH($D219,Hierarchy!$A$2:$A$1295,0))="","",INDEX(Hierarchy!$I$2:$I$1295,MATCH($D219,Hierarchy!$A$2:$A$1295,0))),"NODE NOT FOUND"))</f>
        <v/>
      </c>
      <c r="M219" s="17" t="str">
        <f aca="false">IF(B219="Pre-seeded","Pre-seeded",IF(B219="Review 2026-09-16","Added from review",IF(C219="","New",IF(C219=D219,"","Changed"))))</f>
        <v>Pre-seeded</v>
      </c>
      <c r="N219" s="7" t="str">
        <f aca="false">TRIM(SUBSTITUTE(SUBSTITUTE(SUBSTITUTE(" "&amp;TRIM(SUBSTITUTE(SUBSTITUTE(SUBSTITUTE(SUBSTITUTE(SUBSTITUTE(SUBSTITUTE(SUBSTITUTE(SUBSTITUTE(SUBSTITUTE(SUBSTITUTE(SUBSTITUTE(SUBSTITUTE(SUBSTITUTE(SUBSTITUTE(SUBSTITUTE(UPPER(TRIM(A219)),"[MEMBER]",""),"{MEMBER}",""),"[MEMBER}",""),"MEMBER]",""),"(A)",""),"""",""),"“",""),"”",""),".",""),":",""),",",""),"–"," "),"-"," "),"/"," "),"&amp;"," AND "))&amp;" "," THE "," ")," TOTAL "," ")," OPERATIONS "," "))</f>
        <v>BORNO</v>
      </c>
      <c r="O219" s="17" t="str">
        <f aca="false">IF(COUNTIFS($N$2:$N$2000,N219,$D$2:$D$2000,"&lt;&gt;"&amp;D219)&gt;0,"CONFLICT","")</f>
        <v/>
      </c>
      <c r="P219" s="7"/>
    </row>
    <row r="220" customFormat="false" ht="15" hidden="false" customHeight="false" outlineLevel="0" collapsed="false">
      <c r="A220" s="7" t="s">
        <v>772</v>
      </c>
      <c r="B220" s="7" t="s">
        <v>1879</v>
      </c>
      <c r="C220" s="7"/>
      <c r="D220" s="6" t="s">
        <v>772</v>
      </c>
      <c r="E220" s="6" t="s">
        <v>1880</v>
      </c>
      <c r="F220" s="7" t="str">
        <f aca="false">IF($D220="","",IFERROR(IF(INDEX(Hierarchy!$B$2:$B$1295,MATCH($D220,Hierarchy!$A$2:$A$1295,0))="","",INDEX(Hierarchy!$B$2:$B$1295,MATCH($D220,Hierarchy!$A$2:$A$1295,0))),"NODE NOT FOUND"))</f>
        <v>Country</v>
      </c>
      <c r="G220" s="7" t="str">
        <f aca="false">IF($D220="","",IFERROR(IF(INDEX(Hierarchy!$D$2:$D$1295,MATCH($D220,Hierarchy!$A$2:$A$1295,0))="","",INDEX(Hierarchy!$D$2:$D$1295,MATCH($D220,Hierarchy!$A$2:$A$1295,0))),"NODE NOT FOUND"))</f>
        <v>EMEA</v>
      </c>
      <c r="H220" s="7" t="str">
        <f aca="false">IF($D220="","",IFERROR(IF(INDEX(Hierarchy!$E$2:$E$1295,MATCH($D220,Hierarchy!$A$2:$A$1295,0))="","",INDEX(Hierarchy!$E$2:$E$1295,MATCH($D220,Hierarchy!$A$2:$A$1295,0))),"NODE NOT FOUND"))</f>
        <v>Europe</v>
      </c>
      <c r="I220" s="7" t="str">
        <f aca="false">IF($D220="","",IFERROR(IF(INDEX(Hierarchy!$F$2:$F$1295,MATCH($D220,Hierarchy!$A$2:$A$1295,0))="","",INDEX(Hierarchy!$F$2:$F$1295,MATCH($D220,Hierarchy!$A$2:$A$1295,0))),"NODE NOT FOUND"))</f>
        <v>Bosnia and Herzegovina</v>
      </c>
      <c r="J220" s="7" t="str">
        <f aca="false">IF($D220="","",IFERROR(IF(INDEX(Hierarchy!$G$2:$G$1295,MATCH($D220,Hierarchy!$A$2:$A$1295,0))="","",INDEX(Hierarchy!$G$2:$G$1295,MATCH($D220,Hierarchy!$A$2:$A$1295,0))),"NODE NOT FOUND"))</f>
        <v>BIH</v>
      </c>
      <c r="K220" s="7" t="str">
        <f aca="false">IF($D220="","",IFERROR(IF(INDEX(Hierarchy!$H$2:$H$1295,MATCH($D220,Hierarchy!$A$2:$A$1295,0))="","",INDEX(Hierarchy!$H$2:$H$1295,MATCH($D220,Hierarchy!$A$2:$A$1295,0))),"NODE NOT FOUND"))</f>
        <v/>
      </c>
      <c r="L220" s="7" t="str">
        <f aca="false">IF($D220="","",IFERROR(IF(INDEX(Hierarchy!$I$2:$I$1295,MATCH($D220,Hierarchy!$A$2:$A$1295,0))="","",INDEX(Hierarchy!$I$2:$I$1295,MATCH($D220,Hierarchy!$A$2:$A$1295,0))),"NODE NOT FOUND"))</f>
        <v/>
      </c>
      <c r="M220" s="17" t="str">
        <f aca="false">IF(B220="Pre-seeded","Pre-seeded",IF(B220="Review 2026-09-16","Added from review",IF(C220="","New",IF(C220=D220,"","Changed"))))</f>
        <v>Pre-seeded</v>
      </c>
      <c r="N220" s="7" t="str">
        <f aca="false">TRIM(SUBSTITUTE(SUBSTITUTE(SUBSTITUTE(" "&amp;TRIM(SUBSTITUTE(SUBSTITUTE(SUBSTITUTE(SUBSTITUTE(SUBSTITUTE(SUBSTITUTE(SUBSTITUTE(SUBSTITUTE(SUBSTITUTE(SUBSTITUTE(SUBSTITUTE(SUBSTITUTE(SUBSTITUTE(SUBSTITUTE(SUBSTITUTE(UPPER(TRIM(A220)),"[MEMBER]",""),"{MEMBER}",""),"[MEMBER}",""),"MEMBER]",""),"(A)",""),"""",""),"“",""),"”",""),".",""),":",""),",",""),"–"," "),"-"," "),"/"," "),"&amp;"," AND "))&amp;" "," THE "," ")," TOTAL "," ")," OPERATIONS "," "))</f>
        <v>BOSNIA AND HERZEGOVINA</v>
      </c>
      <c r="O220" s="17" t="str">
        <f aca="false">IF(COUNTIFS($N$2:$N$2000,N220,$D$2:$D$2000,"&lt;&gt;"&amp;D220)&gt;0,"CONFLICT","")</f>
        <v/>
      </c>
      <c r="P220" s="7"/>
    </row>
    <row r="221" customFormat="false" ht="15" hidden="false" customHeight="false" outlineLevel="0" collapsed="false">
      <c r="A221" s="7" t="s">
        <v>194</v>
      </c>
      <c r="B221" s="7" t="s">
        <v>1882</v>
      </c>
      <c r="C221" s="7" t="s">
        <v>194</v>
      </c>
      <c r="D221" s="6" t="s">
        <v>194</v>
      </c>
      <c r="E221" s="6" t="s">
        <v>1880</v>
      </c>
      <c r="F221" s="7" t="str">
        <f aca="false">IF($D221="","",IFERROR(IF(INDEX(Hierarchy!$B$2:$B$1295,MATCH($D221,Hierarchy!$A$2:$A$1295,0))="","",INDEX(Hierarchy!$B$2:$B$1295,MATCH($D221,Hierarchy!$A$2:$A$1295,0))),"NODE NOT FOUND"))</f>
        <v>City</v>
      </c>
      <c r="G221" s="7" t="str">
        <f aca="false">IF($D221="","",IFERROR(IF(INDEX(Hierarchy!$D$2:$D$1295,MATCH($D221,Hierarchy!$A$2:$A$1295,0))="","",INDEX(Hierarchy!$D$2:$D$1295,MATCH($D221,Hierarchy!$A$2:$A$1295,0))),"NODE NOT FOUND"))</f>
        <v>AMER</v>
      </c>
      <c r="H221" s="7" t="str">
        <f aca="false">IF($D221="","",IFERROR(IF(INDEX(Hierarchy!$E$2:$E$1295,MATCH($D221,Hierarchy!$A$2:$A$1295,0))="","",INDEX(Hierarchy!$E$2:$E$1295,MATCH($D221,Hierarchy!$A$2:$A$1295,0))),"NODE NOT FOUND"))</f>
        <v>North America (NORAM)</v>
      </c>
      <c r="I221" s="7" t="str">
        <f aca="false">IF($D221="","",IFERROR(IF(INDEX(Hierarchy!$F$2:$F$1295,MATCH($D221,Hierarchy!$A$2:$A$1295,0))="","",INDEX(Hierarchy!$F$2:$F$1295,MATCH($D221,Hierarchy!$A$2:$A$1295,0))),"NODE NOT FOUND"))</f>
        <v>United States</v>
      </c>
      <c r="J221" s="7" t="str">
        <f aca="false">IF($D221="","",IFERROR(IF(INDEX(Hierarchy!$G$2:$G$1295,MATCH($D221,Hierarchy!$A$2:$A$1295,0))="","",INDEX(Hierarchy!$G$2:$G$1295,MATCH($D221,Hierarchy!$A$2:$A$1295,0))),"NODE NOT FOUND"))</f>
        <v>USA</v>
      </c>
      <c r="K221" s="7" t="str">
        <f aca="false">IF($D221="","",IFERROR(IF(INDEX(Hierarchy!$H$2:$H$1295,MATCH($D221,Hierarchy!$A$2:$A$1295,0))="","",INDEX(Hierarchy!$H$2:$H$1295,MATCH($D221,Hierarchy!$A$2:$A$1295,0))),"NODE NOT FOUND"))</f>
        <v>Massachusetts</v>
      </c>
      <c r="L221" s="7" t="str">
        <f aca="false">IF($D221="","",IFERROR(IF(INDEX(Hierarchy!$I$2:$I$1295,MATCH($D221,Hierarchy!$A$2:$A$1295,0))="","",INDEX(Hierarchy!$I$2:$I$1295,MATCH($D221,Hierarchy!$A$2:$A$1295,0))),"NODE NOT FOUND"))</f>
        <v>Boston</v>
      </c>
      <c r="M221" s="17" t="str">
        <f aca="false">IF(B221="Pre-seeded","Pre-seeded",IF(B221="Review 2026-09-16","Added from review",IF(C221="","New",IF(C221=D221,"","Changed"))))</f>
        <v/>
      </c>
      <c r="N221" s="7" t="str">
        <f aca="false">TRIM(SUBSTITUTE(SUBSTITUTE(SUBSTITUTE(" "&amp;TRIM(SUBSTITUTE(SUBSTITUTE(SUBSTITUTE(SUBSTITUTE(SUBSTITUTE(SUBSTITUTE(SUBSTITUTE(SUBSTITUTE(SUBSTITUTE(SUBSTITUTE(SUBSTITUTE(SUBSTITUTE(SUBSTITUTE(SUBSTITUTE(SUBSTITUTE(UPPER(TRIM(A221)),"[MEMBER]",""),"{MEMBER}",""),"[MEMBER}",""),"MEMBER]",""),"(A)",""),"""",""),"“",""),"”",""),".",""),":",""),",",""),"–"," "),"-"," "),"/"," "),"&amp;"," AND "))&amp;" "," THE "," ")," TOTAL "," ")," OPERATIONS "," "))</f>
        <v>BOSTON</v>
      </c>
      <c r="O221" s="17" t="str">
        <f aca="false">IF(COUNTIFS($N$2:$N$2000,N221,$D$2:$D$2000,"&lt;&gt;"&amp;D221)&gt;0,"CONFLICT","")</f>
        <v/>
      </c>
      <c r="P221" s="7"/>
    </row>
    <row r="222" customFormat="false" ht="15" hidden="false" customHeight="false" outlineLevel="0" collapsed="false">
      <c r="A222" s="7" t="s">
        <v>1181</v>
      </c>
      <c r="B222" s="7" t="s">
        <v>1882</v>
      </c>
      <c r="C222" s="7" t="s">
        <v>1181</v>
      </c>
      <c r="D222" s="6" t="s">
        <v>1181</v>
      </c>
      <c r="E222" s="6" t="s">
        <v>1880</v>
      </c>
      <c r="F222" s="7" t="str">
        <f aca="false">IF($D222="","",IFERROR(IF(INDEX(Hierarchy!$B$2:$B$1295,MATCH($D222,Hierarchy!$A$2:$A$1295,0))="","",INDEX(Hierarchy!$B$2:$B$1295,MATCH($D222,Hierarchy!$A$2:$A$1295,0))),"NODE NOT FOUND"))</f>
        <v>Country</v>
      </c>
      <c r="G222" s="7" t="str">
        <f aca="false">IF($D222="","",IFERROR(IF(INDEX(Hierarchy!$D$2:$D$1295,MATCH($D222,Hierarchy!$A$2:$A$1295,0))="","",INDEX(Hierarchy!$D$2:$D$1295,MATCH($D222,Hierarchy!$A$2:$A$1295,0))),"NODE NOT FOUND"))</f>
        <v>EMEA</v>
      </c>
      <c r="H222" s="7" t="str">
        <f aca="false">IF($D222="","",IFERROR(IF(INDEX(Hierarchy!$E$2:$E$1295,MATCH($D222,Hierarchy!$A$2:$A$1295,0))="","",INDEX(Hierarchy!$E$2:$E$1295,MATCH($D222,Hierarchy!$A$2:$A$1295,0))),"NODE NOT FOUND"))</f>
        <v>Africa</v>
      </c>
      <c r="I222" s="7" t="str">
        <f aca="false">IF($D222="","",IFERROR(IF(INDEX(Hierarchy!$F$2:$F$1295,MATCH($D222,Hierarchy!$A$2:$A$1295,0))="","",INDEX(Hierarchy!$F$2:$F$1295,MATCH($D222,Hierarchy!$A$2:$A$1295,0))),"NODE NOT FOUND"))</f>
        <v>Botswana</v>
      </c>
      <c r="J222" s="7" t="str">
        <f aca="false">IF($D222="","",IFERROR(IF(INDEX(Hierarchy!$G$2:$G$1295,MATCH($D222,Hierarchy!$A$2:$A$1295,0))="","",INDEX(Hierarchy!$G$2:$G$1295,MATCH($D222,Hierarchy!$A$2:$A$1295,0))),"NODE NOT FOUND"))</f>
        <v>BWA</v>
      </c>
      <c r="K222" s="7" t="str">
        <f aca="false">IF($D222="","",IFERROR(IF(INDEX(Hierarchy!$H$2:$H$1295,MATCH($D222,Hierarchy!$A$2:$A$1295,0))="","",INDEX(Hierarchy!$H$2:$H$1295,MATCH($D222,Hierarchy!$A$2:$A$1295,0))),"NODE NOT FOUND"))</f>
        <v/>
      </c>
      <c r="L222" s="7" t="str">
        <f aca="false">IF($D222="","",IFERROR(IF(INDEX(Hierarchy!$I$2:$I$1295,MATCH($D222,Hierarchy!$A$2:$A$1295,0))="","",INDEX(Hierarchy!$I$2:$I$1295,MATCH($D222,Hierarchy!$A$2:$A$1295,0))),"NODE NOT FOUND"))</f>
        <v/>
      </c>
      <c r="M222" s="17" t="str">
        <f aca="false">IF(B222="Pre-seeded","Pre-seeded",IF(B222="Review 2026-09-16","Added from review",IF(C222="","New",IF(C222=D222,"","Changed"))))</f>
        <v/>
      </c>
      <c r="N222" s="7" t="str">
        <f aca="false">TRIM(SUBSTITUTE(SUBSTITUTE(SUBSTITUTE(" "&amp;TRIM(SUBSTITUTE(SUBSTITUTE(SUBSTITUTE(SUBSTITUTE(SUBSTITUTE(SUBSTITUTE(SUBSTITUTE(SUBSTITUTE(SUBSTITUTE(SUBSTITUTE(SUBSTITUTE(SUBSTITUTE(SUBSTITUTE(SUBSTITUTE(SUBSTITUTE(UPPER(TRIM(A222)),"[MEMBER]",""),"{MEMBER}",""),"[MEMBER}",""),"MEMBER]",""),"(A)",""),"""",""),"“",""),"”",""),".",""),":",""),",",""),"–"," "),"-"," "),"/"," "),"&amp;"," AND "))&amp;" "," THE "," ")," TOTAL "," ")," OPERATIONS "," "))</f>
        <v>BOTSWANA</v>
      </c>
      <c r="O222" s="17" t="str">
        <f aca="false">IF(COUNTIFS($N$2:$N$2000,N222,$D$2:$D$2000,"&lt;&gt;"&amp;D222)&gt;0,"CONFLICT","")</f>
        <v/>
      </c>
      <c r="P222" s="7"/>
    </row>
    <row r="223" customFormat="false" ht="15" hidden="false" customHeight="false" outlineLevel="0" collapsed="false">
      <c r="A223" s="7" t="s">
        <v>720</v>
      </c>
      <c r="B223" s="7" t="s">
        <v>1879</v>
      </c>
      <c r="C223" s="7"/>
      <c r="D223" s="6" t="s">
        <v>720</v>
      </c>
      <c r="E223" s="6" t="s">
        <v>1880</v>
      </c>
      <c r="F223" s="7" t="str">
        <f aca="false">IF($D223="","",IFERROR(IF(INDEX(Hierarchy!$B$2:$B$1295,MATCH($D223,Hierarchy!$A$2:$A$1295,0))="","",INDEX(Hierarchy!$B$2:$B$1295,MATCH($D223,Hierarchy!$A$2:$A$1295,0))),"NODE NOT FOUND"))</f>
        <v>State/Province</v>
      </c>
      <c r="G223" s="7" t="str">
        <f aca="false">IF($D223="","",IFERROR(IF(INDEX(Hierarchy!$D$2:$D$1295,MATCH($D223,Hierarchy!$A$2:$A$1295,0))="","",INDEX(Hierarchy!$D$2:$D$1295,MATCH($D223,Hierarchy!$A$2:$A$1295,0))),"NODE NOT FOUND"))</f>
        <v>EMEA</v>
      </c>
      <c r="H223" s="7" t="str">
        <f aca="false">IF($D223="","",IFERROR(IF(INDEX(Hierarchy!$E$2:$E$1295,MATCH($D223,Hierarchy!$A$2:$A$1295,0))="","",INDEX(Hierarchy!$E$2:$E$1295,MATCH($D223,Hierarchy!$A$2:$A$1295,0))),"NODE NOT FOUND"))</f>
        <v>Europe</v>
      </c>
      <c r="I223" s="7" t="str">
        <f aca="false">IF($D223="","",IFERROR(IF(INDEX(Hierarchy!$F$2:$F$1295,MATCH($D223,Hierarchy!$A$2:$A$1295,0))="","",INDEX(Hierarchy!$F$2:$F$1295,MATCH($D223,Hierarchy!$A$2:$A$1295,0))),"NODE NOT FOUND"))</f>
        <v>France</v>
      </c>
      <c r="J223" s="7" t="str">
        <f aca="false">IF($D223="","",IFERROR(IF(INDEX(Hierarchy!$G$2:$G$1295,MATCH($D223,Hierarchy!$A$2:$A$1295,0))="","",INDEX(Hierarchy!$G$2:$G$1295,MATCH($D223,Hierarchy!$A$2:$A$1295,0))),"NODE NOT FOUND"))</f>
        <v>FRA</v>
      </c>
      <c r="K223" s="7" t="str">
        <f aca="false">IF($D223="","",IFERROR(IF(INDEX(Hierarchy!$H$2:$H$1295,MATCH($D223,Hierarchy!$A$2:$A$1295,0))="","",INDEX(Hierarchy!$H$2:$H$1295,MATCH($D223,Hierarchy!$A$2:$A$1295,0))),"NODE NOT FOUND"))</f>
        <v>Bourgogne-Franche-Comté</v>
      </c>
      <c r="L223" s="7" t="str">
        <f aca="false">IF($D223="","",IFERROR(IF(INDEX(Hierarchy!$I$2:$I$1295,MATCH($D223,Hierarchy!$A$2:$A$1295,0))="","",INDEX(Hierarchy!$I$2:$I$1295,MATCH($D223,Hierarchy!$A$2:$A$1295,0))),"NODE NOT FOUND"))</f>
        <v/>
      </c>
      <c r="M223" s="17" t="str">
        <f aca="false">IF(B223="Pre-seeded","Pre-seeded",IF(B223="Review 2026-09-16","Added from review",IF(C223="","New",IF(C223=D223,"","Changed"))))</f>
        <v>Pre-seeded</v>
      </c>
      <c r="N223" s="7" t="str">
        <f aca="false">TRIM(SUBSTITUTE(SUBSTITUTE(SUBSTITUTE(" "&amp;TRIM(SUBSTITUTE(SUBSTITUTE(SUBSTITUTE(SUBSTITUTE(SUBSTITUTE(SUBSTITUTE(SUBSTITUTE(SUBSTITUTE(SUBSTITUTE(SUBSTITUTE(SUBSTITUTE(SUBSTITUTE(SUBSTITUTE(SUBSTITUTE(SUBSTITUTE(UPPER(TRIM(A223)),"[MEMBER]",""),"{MEMBER}",""),"[MEMBER}",""),"MEMBER]",""),"(A)",""),"""",""),"“",""),"”",""),".",""),":",""),",",""),"–"," "),"-"," "),"/"," "),"&amp;"," AND "))&amp;" "," THE "," ")," TOTAL "," ")," OPERATIONS "," "))</f>
        <v>BOURGOGNE FRANCHE COMTÉ</v>
      </c>
      <c r="O223" s="17" t="str">
        <f aca="false">IF(COUNTIFS($N$2:$N$2000,N223,$D$2:$D$2000,"&lt;&gt;"&amp;D223)&gt;0,"CONFLICT","")</f>
        <v/>
      </c>
      <c r="P223" s="7"/>
    </row>
    <row r="224" customFormat="false" ht="15" hidden="false" customHeight="false" outlineLevel="0" collapsed="false">
      <c r="A224" s="7" t="s">
        <v>507</v>
      </c>
      <c r="B224" s="7" t="s">
        <v>1879</v>
      </c>
      <c r="C224" s="7"/>
      <c r="D224" s="6" t="s">
        <v>507</v>
      </c>
      <c r="E224" s="6" t="s">
        <v>1880</v>
      </c>
      <c r="F224" s="7" t="str">
        <f aca="false">IF($D224="","",IFERROR(IF(INDEX(Hierarchy!$B$2:$B$1295,MATCH($D224,Hierarchy!$A$2:$A$1295,0))="","",INDEX(Hierarchy!$B$2:$B$1295,MATCH($D224,Hierarchy!$A$2:$A$1295,0))),"NODE NOT FOUND"))</f>
        <v>State/Province</v>
      </c>
      <c r="G224" s="7" t="str">
        <f aca="false">IF($D224="","",IFERROR(IF(INDEX(Hierarchy!$D$2:$D$1295,MATCH($D224,Hierarchy!$A$2:$A$1295,0))="","",INDEX(Hierarchy!$D$2:$D$1295,MATCH($D224,Hierarchy!$A$2:$A$1295,0))),"NODE NOT FOUND"))</f>
        <v>AMER</v>
      </c>
      <c r="H224" s="7" t="str">
        <f aca="false">IF($D224="","",IFERROR(IF(INDEX(Hierarchy!$E$2:$E$1295,MATCH($D224,Hierarchy!$A$2:$A$1295,0))="","",INDEX(Hierarchy!$E$2:$E$1295,MATCH($D224,Hierarchy!$A$2:$A$1295,0))),"NODE NOT FOUND"))</f>
        <v>Latin America (LATAM)</v>
      </c>
      <c r="I224" s="7" t="str">
        <f aca="false">IF($D224="","",IFERROR(IF(INDEX(Hierarchy!$F$2:$F$1295,MATCH($D224,Hierarchy!$A$2:$A$1295,0))="","",INDEX(Hierarchy!$F$2:$F$1295,MATCH($D224,Hierarchy!$A$2:$A$1295,0))),"NODE NOT FOUND"))</f>
        <v>Colombia</v>
      </c>
      <c r="J224" s="7" t="str">
        <f aca="false">IF($D224="","",IFERROR(IF(INDEX(Hierarchy!$G$2:$G$1295,MATCH($D224,Hierarchy!$A$2:$A$1295,0))="","",INDEX(Hierarchy!$G$2:$G$1295,MATCH($D224,Hierarchy!$A$2:$A$1295,0))),"NODE NOT FOUND"))</f>
        <v>COL</v>
      </c>
      <c r="K224" s="7" t="str">
        <f aca="false">IF($D224="","",IFERROR(IF(INDEX(Hierarchy!$H$2:$H$1295,MATCH($D224,Hierarchy!$A$2:$A$1295,0))="","",INDEX(Hierarchy!$H$2:$H$1295,MATCH($D224,Hierarchy!$A$2:$A$1295,0))),"NODE NOT FOUND"))</f>
        <v>Boyacá</v>
      </c>
      <c r="L224" s="7" t="str">
        <f aca="false">IF($D224="","",IFERROR(IF(INDEX(Hierarchy!$I$2:$I$1295,MATCH($D224,Hierarchy!$A$2:$A$1295,0))="","",INDEX(Hierarchy!$I$2:$I$1295,MATCH($D224,Hierarchy!$A$2:$A$1295,0))),"NODE NOT FOUND"))</f>
        <v/>
      </c>
      <c r="M224" s="17" t="str">
        <f aca="false">IF(B224="Pre-seeded","Pre-seeded",IF(B224="Review 2026-09-16","Added from review",IF(C224="","New",IF(C224=D224,"","Changed"))))</f>
        <v>Pre-seeded</v>
      </c>
      <c r="N224" s="7" t="str">
        <f aca="false">TRIM(SUBSTITUTE(SUBSTITUTE(SUBSTITUTE(" "&amp;TRIM(SUBSTITUTE(SUBSTITUTE(SUBSTITUTE(SUBSTITUTE(SUBSTITUTE(SUBSTITUTE(SUBSTITUTE(SUBSTITUTE(SUBSTITUTE(SUBSTITUTE(SUBSTITUTE(SUBSTITUTE(SUBSTITUTE(SUBSTITUTE(SUBSTITUTE(UPPER(TRIM(A224)),"[MEMBER]",""),"{MEMBER}",""),"[MEMBER}",""),"MEMBER]",""),"(A)",""),"""",""),"“",""),"”",""),".",""),":",""),",",""),"–"," "),"-"," "),"/"," "),"&amp;"," AND "))&amp;" "," THE "," ")," TOTAL "," ")," OPERATIONS "," "))</f>
        <v>BOYACÁ</v>
      </c>
      <c r="O224" s="17" t="str">
        <f aca="false">IF(COUNTIFS($N$2:$N$2000,N224,$D$2:$D$2000,"&lt;&gt;"&amp;D224)&gt;0,"CONFLICT","")</f>
        <v/>
      </c>
      <c r="P224" s="7"/>
    </row>
    <row r="225" customFormat="false" ht="15" hidden="false" customHeight="false" outlineLevel="0" collapsed="false">
      <c r="A225" s="7" t="s">
        <v>698</v>
      </c>
      <c r="B225" s="7" t="s">
        <v>1879</v>
      </c>
      <c r="C225" s="7"/>
      <c r="D225" s="6" t="s">
        <v>698</v>
      </c>
      <c r="E225" s="6" t="s">
        <v>1880</v>
      </c>
      <c r="F225" s="7" t="str">
        <f aca="false">IF($D225="","",IFERROR(IF(INDEX(Hierarchy!$B$2:$B$1295,MATCH($D225,Hierarchy!$A$2:$A$1295,0))="","",INDEX(Hierarchy!$B$2:$B$1295,MATCH($D225,Hierarchy!$A$2:$A$1295,0))),"NODE NOT FOUND"))</f>
        <v>State/Province</v>
      </c>
      <c r="G225" s="7" t="str">
        <f aca="false">IF($D225="","",IFERROR(IF(INDEX(Hierarchy!$D$2:$D$1295,MATCH($D225,Hierarchy!$A$2:$A$1295,0))="","",INDEX(Hierarchy!$D$2:$D$1295,MATCH($D225,Hierarchy!$A$2:$A$1295,0))),"NODE NOT FOUND"))</f>
        <v>EMEA</v>
      </c>
      <c r="H225" s="7" t="str">
        <f aca="false">IF($D225="","",IFERROR(IF(INDEX(Hierarchy!$E$2:$E$1295,MATCH($D225,Hierarchy!$A$2:$A$1295,0))="","",INDEX(Hierarchy!$E$2:$E$1295,MATCH($D225,Hierarchy!$A$2:$A$1295,0))),"NODE NOT FOUND"))</f>
        <v>Europe</v>
      </c>
      <c r="I225" s="7" t="str">
        <f aca="false">IF($D225="","",IFERROR(IF(INDEX(Hierarchy!$F$2:$F$1295,MATCH($D225,Hierarchy!$A$2:$A$1295,0))="","",INDEX(Hierarchy!$F$2:$F$1295,MATCH($D225,Hierarchy!$A$2:$A$1295,0))),"NODE NOT FOUND"))</f>
        <v>Germany</v>
      </c>
      <c r="J225" s="7" t="str">
        <f aca="false">IF($D225="","",IFERROR(IF(INDEX(Hierarchy!$G$2:$G$1295,MATCH($D225,Hierarchy!$A$2:$A$1295,0))="","",INDEX(Hierarchy!$G$2:$G$1295,MATCH($D225,Hierarchy!$A$2:$A$1295,0))),"NODE NOT FOUND"))</f>
        <v>DEU</v>
      </c>
      <c r="K225" s="7" t="str">
        <f aca="false">IF($D225="","",IFERROR(IF(INDEX(Hierarchy!$H$2:$H$1295,MATCH($D225,Hierarchy!$A$2:$A$1295,0))="","",INDEX(Hierarchy!$H$2:$H$1295,MATCH($D225,Hierarchy!$A$2:$A$1295,0))),"NODE NOT FOUND"))</f>
        <v>Brandenburg</v>
      </c>
      <c r="L225" s="7" t="str">
        <f aca="false">IF($D225="","",IFERROR(IF(INDEX(Hierarchy!$I$2:$I$1295,MATCH($D225,Hierarchy!$A$2:$A$1295,0))="","",INDEX(Hierarchy!$I$2:$I$1295,MATCH($D225,Hierarchy!$A$2:$A$1295,0))),"NODE NOT FOUND"))</f>
        <v/>
      </c>
      <c r="M225" s="17" t="str">
        <f aca="false">IF(B225="Pre-seeded","Pre-seeded",IF(B225="Review 2026-09-16","Added from review",IF(C225="","New",IF(C225=D225,"","Changed"))))</f>
        <v>Pre-seeded</v>
      </c>
      <c r="N225" s="7" t="str">
        <f aca="false">TRIM(SUBSTITUTE(SUBSTITUTE(SUBSTITUTE(" "&amp;TRIM(SUBSTITUTE(SUBSTITUTE(SUBSTITUTE(SUBSTITUTE(SUBSTITUTE(SUBSTITUTE(SUBSTITUTE(SUBSTITUTE(SUBSTITUTE(SUBSTITUTE(SUBSTITUTE(SUBSTITUTE(SUBSTITUTE(SUBSTITUTE(SUBSTITUTE(UPPER(TRIM(A225)),"[MEMBER]",""),"{MEMBER}",""),"[MEMBER}",""),"MEMBER]",""),"(A)",""),"""",""),"“",""),"”",""),".",""),":",""),",",""),"–"," "),"-"," "),"/"," "),"&amp;"," AND "))&amp;" "," THE "," ")," TOTAL "," ")," OPERATIONS "," "))</f>
        <v>BRANDENBURG</v>
      </c>
      <c r="O225" s="17" t="str">
        <f aca="false">IF(COUNTIFS($N$2:$N$2000,N225,$D$2:$D$2000,"&lt;&gt;"&amp;D225)&gt;0,"CONFLICT","")</f>
        <v/>
      </c>
      <c r="P225" s="7"/>
    </row>
    <row r="226" customFormat="false" ht="15" hidden="false" customHeight="false" outlineLevel="0" collapsed="false">
      <c r="A226" s="7" t="s">
        <v>2006</v>
      </c>
      <c r="B226" s="7" t="s">
        <v>1879</v>
      </c>
      <c r="C226" s="7"/>
      <c r="D226" s="6" t="s">
        <v>354</v>
      </c>
      <c r="E226" s="6" t="s">
        <v>1880</v>
      </c>
      <c r="F226" s="7" t="str">
        <f aca="false">IF($D226="","",IFERROR(IF(INDEX(Hierarchy!$B$2:$B$1295,MATCH($D226,Hierarchy!$A$2:$A$1295,0))="","",INDEX(Hierarchy!$B$2:$B$1295,MATCH($D226,Hierarchy!$A$2:$A$1295,0))),"NODE NOT FOUND"))</f>
        <v>City</v>
      </c>
      <c r="G226" s="7" t="str">
        <f aca="false">IF($D226="","",IFERROR(IF(INDEX(Hierarchy!$D$2:$D$1295,MATCH($D226,Hierarchy!$A$2:$A$1295,0))="","",INDEX(Hierarchy!$D$2:$D$1295,MATCH($D226,Hierarchy!$A$2:$A$1295,0))),"NODE NOT FOUND"))</f>
        <v>AMER</v>
      </c>
      <c r="H226" s="7" t="str">
        <f aca="false">IF($D226="","",IFERROR(IF(INDEX(Hierarchy!$E$2:$E$1295,MATCH($D226,Hierarchy!$A$2:$A$1295,0))="","",INDEX(Hierarchy!$E$2:$E$1295,MATCH($D226,Hierarchy!$A$2:$A$1295,0))),"NODE NOT FOUND"))</f>
        <v>Latin America (LATAM)</v>
      </c>
      <c r="I226" s="7" t="str">
        <f aca="false">IF($D226="","",IFERROR(IF(INDEX(Hierarchy!$F$2:$F$1295,MATCH($D226,Hierarchy!$A$2:$A$1295,0))="","",INDEX(Hierarchy!$F$2:$F$1295,MATCH($D226,Hierarchy!$A$2:$A$1295,0))),"NODE NOT FOUND"))</f>
        <v>Brazil</v>
      </c>
      <c r="J226" s="7" t="str">
        <f aca="false">IF($D226="","",IFERROR(IF(INDEX(Hierarchy!$G$2:$G$1295,MATCH($D226,Hierarchy!$A$2:$A$1295,0))="","",INDEX(Hierarchy!$G$2:$G$1295,MATCH($D226,Hierarchy!$A$2:$A$1295,0))),"NODE NOT FOUND"))</f>
        <v>BRA</v>
      </c>
      <c r="K226" s="7" t="str">
        <f aca="false">IF($D226="","",IFERROR(IF(INDEX(Hierarchy!$H$2:$H$1295,MATCH($D226,Hierarchy!$A$2:$A$1295,0))="","",INDEX(Hierarchy!$H$2:$H$1295,MATCH($D226,Hierarchy!$A$2:$A$1295,0))),"NODE NOT FOUND"))</f>
        <v>Federal District (Brazil)</v>
      </c>
      <c r="L226" s="7" t="str">
        <f aca="false">IF($D226="","",IFERROR(IF(INDEX(Hierarchy!$I$2:$I$1295,MATCH($D226,Hierarchy!$A$2:$A$1295,0))="","",INDEX(Hierarchy!$I$2:$I$1295,MATCH($D226,Hierarchy!$A$2:$A$1295,0))),"NODE NOT FOUND"))</f>
        <v>Brasília</v>
      </c>
      <c r="M226" s="17" t="str">
        <f aca="false">IF(B226="Pre-seeded","Pre-seeded",IF(B226="Review 2026-09-16","Added from review",IF(C226="","New",IF(C226=D226,"","Changed"))))</f>
        <v>Pre-seeded</v>
      </c>
      <c r="N226" s="7" t="str">
        <f aca="false">TRIM(SUBSTITUTE(SUBSTITUTE(SUBSTITUTE(" "&amp;TRIM(SUBSTITUTE(SUBSTITUTE(SUBSTITUTE(SUBSTITUTE(SUBSTITUTE(SUBSTITUTE(SUBSTITUTE(SUBSTITUTE(SUBSTITUTE(SUBSTITUTE(SUBSTITUTE(SUBSTITUTE(SUBSTITUTE(SUBSTITUTE(SUBSTITUTE(UPPER(TRIM(A226)),"[MEMBER]",""),"{MEMBER}",""),"[MEMBER}",""),"MEMBER]",""),"(A)",""),"""",""),"“",""),"”",""),".",""),":",""),",",""),"–"," "),"-"," "),"/"," "),"&amp;"," AND "))&amp;" "," THE "," ")," TOTAL "," ")," OPERATIONS "," "))</f>
        <v>BRASILIA</v>
      </c>
      <c r="O226" s="17" t="str">
        <f aca="false">IF(COUNTIFS($N$2:$N$2000,N226,$D$2:$D$2000,"&lt;&gt;"&amp;D226)&gt;0,"CONFLICT","")</f>
        <v/>
      </c>
      <c r="P226" s="7"/>
    </row>
    <row r="227" customFormat="false" ht="15" hidden="false" customHeight="false" outlineLevel="0" collapsed="false">
      <c r="A227" s="7" t="s">
        <v>332</v>
      </c>
      <c r="B227" s="7" t="s">
        <v>1882</v>
      </c>
      <c r="C227" s="7" t="s">
        <v>332</v>
      </c>
      <c r="D227" s="6" t="s">
        <v>332</v>
      </c>
      <c r="E227" s="6" t="s">
        <v>1880</v>
      </c>
      <c r="F227" s="7" t="str">
        <f aca="false">IF($D227="","",IFERROR(IF(INDEX(Hierarchy!$B$2:$B$1295,MATCH($D227,Hierarchy!$A$2:$A$1295,0))="","",INDEX(Hierarchy!$B$2:$B$1295,MATCH($D227,Hierarchy!$A$2:$A$1295,0))),"NODE NOT FOUND"))</f>
        <v>Country</v>
      </c>
      <c r="G227" s="7" t="str">
        <f aca="false">IF($D227="","",IFERROR(IF(INDEX(Hierarchy!$D$2:$D$1295,MATCH($D227,Hierarchy!$A$2:$A$1295,0))="","",INDEX(Hierarchy!$D$2:$D$1295,MATCH($D227,Hierarchy!$A$2:$A$1295,0))),"NODE NOT FOUND"))</f>
        <v>AMER</v>
      </c>
      <c r="H227" s="7" t="str">
        <f aca="false">IF($D227="","",IFERROR(IF(INDEX(Hierarchy!$E$2:$E$1295,MATCH($D227,Hierarchy!$A$2:$A$1295,0))="","",INDEX(Hierarchy!$E$2:$E$1295,MATCH($D227,Hierarchy!$A$2:$A$1295,0))),"NODE NOT FOUND"))</f>
        <v>Latin America (LATAM)</v>
      </c>
      <c r="I227" s="7" t="str">
        <f aca="false">IF($D227="","",IFERROR(IF(INDEX(Hierarchy!$F$2:$F$1295,MATCH($D227,Hierarchy!$A$2:$A$1295,0))="","",INDEX(Hierarchy!$F$2:$F$1295,MATCH($D227,Hierarchy!$A$2:$A$1295,0))),"NODE NOT FOUND"))</f>
        <v>Brazil</v>
      </c>
      <c r="J227" s="7" t="str">
        <f aca="false">IF($D227="","",IFERROR(IF(INDEX(Hierarchy!$G$2:$G$1295,MATCH($D227,Hierarchy!$A$2:$A$1295,0))="","",INDEX(Hierarchy!$G$2:$G$1295,MATCH($D227,Hierarchy!$A$2:$A$1295,0))),"NODE NOT FOUND"))</f>
        <v>BRA</v>
      </c>
      <c r="K227" s="7" t="str">
        <f aca="false">IF($D227="","",IFERROR(IF(INDEX(Hierarchy!$H$2:$H$1295,MATCH($D227,Hierarchy!$A$2:$A$1295,0))="","",INDEX(Hierarchy!$H$2:$H$1295,MATCH($D227,Hierarchy!$A$2:$A$1295,0))),"NODE NOT FOUND"))</f>
        <v/>
      </c>
      <c r="L227" s="7" t="str">
        <f aca="false">IF($D227="","",IFERROR(IF(INDEX(Hierarchy!$I$2:$I$1295,MATCH($D227,Hierarchy!$A$2:$A$1295,0))="","",INDEX(Hierarchy!$I$2:$I$1295,MATCH($D227,Hierarchy!$A$2:$A$1295,0))),"NODE NOT FOUND"))</f>
        <v/>
      </c>
      <c r="M227" s="17" t="str">
        <f aca="false">IF(B227="Pre-seeded","Pre-seeded",IF(B227="Review 2026-09-16","Added from review",IF(C227="","New",IF(C227=D227,"","Changed"))))</f>
        <v/>
      </c>
      <c r="N227" s="7" t="str">
        <f aca="false">TRIM(SUBSTITUTE(SUBSTITUTE(SUBSTITUTE(" "&amp;TRIM(SUBSTITUTE(SUBSTITUTE(SUBSTITUTE(SUBSTITUTE(SUBSTITUTE(SUBSTITUTE(SUBSTITUTE(SUBSTITUTE(SUBSTITUTE(SUBSTITUTE(SUBSTITUTE(SUBSTITUTE(SUBSTITUTE(SUBSTITUTE(SUBSTITUTE(UPPER(TRIM(A227)),"[MEMBER]",""),"{MEMBER}",""),"[MEMBER}",""),"MEMBER]",""),"(A)",""),"""",""),"“",""),"”",""),".",""),":",""),",",""),"–"," "),"-"," "),"/"," "),"&amp;"," AND "))&amp;" "," THE "," ")," TOTAL "," ")," OPERATIONS "," "))</f>
        <v>BRAZIL</v>
      </c>
      <c r="O227" s="17" t="str">
        <f aca="false">IF(COUNTIFS($N$2:$N$2000,N227,$D$2:$D$2000,"&lt;&gt;"&amp;D227)&gt;0,"CONFLICT","")</f>
        <v/>
      </c>
      <c r="P227" s="7"/>
    </row>
    <row r="228" customFormat="false" ht="15" hidden="false" customHeight="false" outlineLevel="0" collapsed="false">
      <c r="A228" s="7" t="s">
        <v>2007</v>
      </c>
      <c r="B228" s="7" t="s">
        <v>1882</v>
      </c>
      <c r="C228" s="7" t="s">
        <v>332</v>
      </c>
      <c r="D228" s="6" t="s">
        <v>332</v>
      </c>
      <c r="E228" s="6" t="s">
        <v>1880</v>
      </c>
      <c r="F228" s="7" t="str">
        <f aca="false">IF($D228="","",IFERROR(IF(INDEX(Hierarchy!$B$2:$B$1295,MATCH($D228,Hierarchy!$A$2:$A$1295,0))="","",INDEX(Hierarchy!$B$2:$B$1295,MATCH($D228,Hierarchy!$A$2:$A$1295,0))),"NODE NOT FOUND"))</f>
        <v>Country</v>
      </c>
      <c r="G228" s="7" t="str">
        <f aca="false">IF($D228="","",IFERROR(IF(INDEX(Hierarchy!$D$2:$D$1295,MATCH($D228,Hierarchy!$A$2:$A$1295,0))="","",INDEX(Hierarchy!$D$2:$D$1295,MATCH($D228,Hierarchy!$A$2:$A$1295,0))),"NODE NOT FOUND"))</f>
        <v>AMER</v>
      </c>
      <c r="H228" s="7" t="str">
        <f aca="false">IF($D228="","",IFERROR(IF(INDEX(Hierarchy!$E$2:$E$1295,MATCH($D228,Hierarchy!$A$2:$A$1295,0))="","",INDEX(Hierarchy!$E$2:$E$1295,MATCH($D228,Hierarchy!$A$2:$A$1295,0))),"NODE NOT FOUND"))</f>
        <v>Latin America (LATAM)</v>
      </c>
      <c r="I228" s="7" t="str">
        <f aca="false">IF($D228="","",IFERROR(IF(INDEX(Hierarchy!$F$2:$F$1295,MATCH($D228,Hierarchy!$A$2:$A$1295,0))="","",INDEX(Hierarchy!$F$2:$F$1295,MATCH($D228,Hierarchy!$A$2:$A$1295,0))),"NODE NOT FOUND"))</f>
        <v>Brazil</v>
      </c>
      <c r="J228" s="7" t="str">
        <f aca="false">IF($D228="","",IFERROR(IF(INDEX(Hierarchy!$G$2:$G$1295,MATCH($D228,Hierarchy!$A$2:$A$1295,0))="","",INDEX(Hierarchy!$G$2:$G$1295,MATCH($D228,Hierarchy!$A$2:$A$1295,0))),"NODE NOT FOUND"))</f>
        <v>BRA</v>
      </c>
      <c r="K228" s="7" t="str">
        <f aca="false">IF($D228="","",IFERROR(IF(INDEX(Hierarchy!$H$2:$H$1295,MATCH($D228,Hierarchy!$A$2:$A$1295,0))="","",INDEX(Hierarchy!$H$2:$H$1295,MATCH($D228,Hierarchy!$A$2:$A$1295,0))),"NODE NOT FOUND"))</f>
        <v/>
      </c>
      <c r="L228" s="7" t="str">
        <f aca="false">IF($D228="","",IFERROR(IF(INDEX(Hierarchy!$I$2:$I$1295,MATCH($D228,Hierarchy!$A$2:$A$1295,0))="","",INDEX(Hierarchy!$I$2:$I$1295,MATCH($D228,Hierarchy!$A$2:$A$1295,0))),"NODE NOT FOUND"))</f>
        <v/>
      </c>
      <c r="M228" s="17" t="str">
        <f aca="false">IF(B228="Pre-seeded","Pre-seeded",IF(B228="Review 2026-09-16","Added from review",IF(C228="","New",IF(C228=D228,"","Changed"))))</f>
        <v/>
      </c>
      <c r="N228" s="7" t="str">
        <f aca="false">TRIM(SUBSTITUTE(SUBSTITUTE(SUBSTITUTE(" "&amp;TRIM(SUBSTITUTE(SUBSTITUTE(SUBSTITUTE(SUBSTITUTE(SUBSTITUTE(SUBSTITUTE(SUBSTITUTE(SUBSTITUTE(SUBSTITUTE(SUBSTITUTE(SUBSTITUTE(SUBSTITUTE(SUBSTITUTE(SUBSTITUTE(SUBSTITUTE(UPPER(TRIM(A228)),"[MEMBER]",""),"{MEMBER}",""),"[MEMBER}",""),"MEMBER]",""),"(A)",""),"""",""),"“",""),"”",""),".",""),":",""),",",""),"–"," "),"-"," "),"/"," "),"&amp;"," AND "))&amp;" "," THE "," ")," TOTAL "," ")," OPERATIONS "," "))</f>
        <v>BRAZIL</v>
      </c>
      <c r="O228" s="17" t="str">
        <f aca="false">IF(COUNTIFS($N$2:$N$2000,N228,$D$2:$D$2000,"&lt;&gt;"&amp;D228)&gt;0,"CONFLICT","")</f>
        <v/>
      </c>
      <c r="P228" s="7"/>
    </row>
    <row r="229" customFormat="false" ht="15" hidden="false" customHeight="false" outlineLevel="0" collapsed="false">
      <c r="A229" s="7" t="s">
        <v>699</v>
      </c>
      <c r="B229" s="7" t="s">
        <v>1879</v>
      </c>
      <c r="C229" s="7"/>
      <c r="D229" s="6" t="s">
        <v>699</v>
      </c>
      <c r="E229" s="6" t="s">
        <v>1880</v>
      </c>
      <c r="F229" s="7" t="str">
        <f aca="false">IF($D229="","",IFERROR(IF(INDEX(Hierarchy!$B$2:$B$1295,MATCH($D229,Hierarchy!$A$2:$A$1295,0))="","",INDEX(Hierarchy!$B$2:$B$1295,MATCH($D229,Hierarchy!$A$2:$A$1295,0))),"NODE NOT FOUND"))</f>
        <v>State/Province</v>
      </c>
      <c r="G229" s="7" t="str">
        <f aca="false">IF($D229="","",IFERROR(IF(INDEX(Hierarchy!$D$2:$D$1295,MATCH($D229,Hierarchy!$A$2:$A$1295,0))="","",INDEX(Hierarchy!$D$2:$D$1295,MATCH($D229,Hierarchy!$A$2:$A$1295,0))),"NODE NOT FOUND"))</f>
        <v>EMEA</v>
      </c>
      <c r="H229" s="7" t="str">
        <f aca="false">IF($D229="","",IFERROR(IF(INDEX(Hierarchy!$E$2:$E$1295,MATCH($D229,Hierarchy!$A$2:$A$1295,0))="","",INDEX(Hierarchy!$E$2:$E$1295,MATCH($D229,Hierarchy!$A$2:$A$1295,0))),"NODE NOT FOUND"))</f>
        <v>Europe</v>
      </c>
      <c r="I229" s="7" t="str">
        <f aca="false">IF($D229="","",IFERROR(IF(INDEX(Hierarchy!$F$2:$F$1295,MATCH($D229,Hierarchy!$A$2:$A$1295,0))="","",INDEX(Hierarchy!$F$2:$F$1295,MATCH($D229,Hierarchy!$A$2:$A$1295,0))),"NODE NOT FOUND"))</f>
        <v>Germany</v>
      </c>
      <c r="J229" s="7" t="str">
        <f aca="false">IF($D229="","",IFERROR(IF(INDEX(Hierarchy!$G$2:$G$1295,MATCH($D229,Hierarchy!$A$2:$A$1295,0))="","",INDEX(Hierarchy!$G$2:$G$1295,MATCH($D229,Hierarchy!$A$2:$A$1295,0))),"NODE NOT FOUND"))</f>
        <v>DEU</v>
      </c>
      <c r="K229" s="7" t="str">
        <f aca="false">IF($D229="","",IFERROR(IF(INDEX(Hierarchy!$H$2:$H$1295,MATCH($D229,Hierarchy!$A$2:$A$1295,0))="","",INDEX(Hierarchy!$H$2:$H$1295,MATCH($D229,Hierarchy!$A$2:$A$1295,0))),"NODE NOT FOUND"))</f>
        <v>Bremen</v>
      </c>
      <c r="L229" s="7" t="str">
        <f aca="false">IF($D229="","",IFERROR(IF(INDEX(Hierarchy!$I$2:$I$1295,MATCH($D229,Hierarchy!$A$2:$A$1295,0))="","",INDEX(Hierarchy!$I$2:$I$1295,MATCH($D229,Hierarchy!$A$2:$A$1295,0))),"NODE NOT FOUND"))</f>
        <v/>
      </c>
      <c r="M229" s="17" t="str">
        <f aca="false">IF(B229="Pre-seeded","Pre-seeded",IF(B229="Review 2026-09-16","Added from review",IF(C229="","New",IF(C229=D229,"","Changed"))))</f>
        <v>Pre-seeded</v>
      </c>
      <c r="N229" s="7" t="str">
        <f aca="false">TRIM(SUBSTITUTE(SUBSTITUTE(SUBSTITUTE(" "&amp;TRIM(SUBSTITUTE(SUBSTITUTE(SUBSTITUTE(SUBSTITUTE(SUBSTITUTE(SUBSTITUTE(SUBSTITUTE(SUBSTITUTE(SUBSTITUTE(SUBSTITUTE(SUBSTITUTE(SUBSTITUTE(SUBSTITUTE(SUBSTITUTE(SUBSTITUTE(UPPER(TRIM(A229)),"[MEMBER]",""),"{MEMBER}",""),"[MEMBER}",""),"MEMBER]",""),"(A)",""),"""",""),"“",""),"”",""),".",""),":",""),",",""),"–"," "),"-"," "),"/"," "),"&amp;"," AND "))&amp;" "," THE "," ")," TOTAL "," ")," OPERATIONS "," "))</f>
        <v>BREMEN</v>
      </c>
      <c r="O229" s="17" t="str">
        <f aca="false">IF(COUNTIFS($N$2:$N$2000,N229,$D$2:$D$2000,"&lt;&gt;"&amp;D229)&gt;0,"CONFLICT","")</f>
        <v/>
      </c>
      <c r="P229" s="7"/>
    </row>
    <row r="230" customFormat="false" ht="15" hidden="false" customHeight="false" outlineLevel="0" collapsed="false">
      <c r="A230" s="7" t="s">
        <v>2008</v>
      </c>
      <c r="B230" s="7" t="s">
        <v>1879</v>
      </c>
      <c r="C230" s="7"/>
      <c r="D230" s="6" t="s">
        <v>721</v>
      </c>
      <c r="E230" s="6" t="s">
        <v>1880</v>
      </c>
      <c r="F230" s="7" t="str">
        <f aca="false">IF($D230="","",IFERROR(IF(INDEX(Hierarchy!$B$2:$B$1295,MATCH($D230,Hierarchy!$A$2:$A$1295,0))="","",INDEX(Hierarchy!$B$2:$B$1295,MATCH($D230,Hierarchy!$A$2:$A$1295,0))),"NODE NOT FOUND"))</f>
        <v>State/Province</v>
      </c>
      <c r="G230" s="7" t="str">
        <f aca="false">IF($D230="","",IFERROR(IF(INDEX(Hierarchy!$D$2:$D$1295,MATCH($D230,Hierarchy!$A$2:$A$1295,0))="","",INDEX(Hierarchy!$D$2:$D$1295,MATCH($D230,Hierarchy!$A$2:$A$1295,0))),"NODE NOT FOUND"))</f>
        <v>EMEA</v>
      </c>
      <c r="H230" s="7" t="str">
        <f aca="false">IF($D230="","",IFERROR(IF(INDEX(Hierarchy!$E$2:$E$1295,MATCH($D230,Hierarchy!$A$2:$A$1295,0))="","",INDEX(Hierarchy!$E$2:$E$1295,MATCH($D230,Hierarchy!$A$2:$A$1295,0))),"NODE NOT FOUND"))</f>
        <v>Europe</v>
      </c>
      <c r="I230" s="7" t="str">
        <f aca="false">IF($D230="","",IFERROR(IF(INDEX(Hierarchy!$F$2:$F$1295,MATCH($D230,Hierarchy!$A$2:$A$1295,0))="","",INDEX(Hierarchy!$F$2:$F$1295,MATCH($D230,Hierarchy!$A$2:$A$1295,0))),"NODE NOT FOUND"))</f>
        <v>France</v>
      </c>
      <c r="J230" s="7" t="str">
        <f aca="false">IF($D230="","",IFERROR(IF(INDEX(Hierarchy!$G$2:$G$1295,MATCH($D230,Hierarchy!$A$2:$A$1295,0))="","",INDEX(Hierarchy!$G$2:$G$1295,MATCH($D230,Hierarchy!$A$2:$A$1295,0))),"NODE NOT FOUND"))</f>
        <v>FRA</v>
      </c>
      <c r="K230" s="7" t="str">
        <f aca="false">IF($D230="","",IFERROR(IF(INDEX(Hierarchy!$H$2:$H$1295,MATCH($D230,Hierarchy!$A$2:$A$1295,0))="","",INDEX(Hierarchy!$H$2:$H$1295,MATCH($D230,Hierarchy!$A$2:$A$1295,0))),"NODE NOT FOUND"))</f>
        <v>Brittany</v>
      </c>
      <c r="L230" s="7" t="str">
        <f aca="false">IF($D230="","",IFERROR(IF(INDEX(Hierarchy!$I$2:$I$1295,MATCH($D230,Hierarchy!$A$2:$A$1295,0))="","",INDEX(Hierarchy!$I$2:$I$1295,MATCH($D230,Hierarchy!$A$2:$A$1295,0))),"NODE NOT FOUND"))</f>
        <v/>
      </c>
      <c r="M230" s="17" t="str">
        <f aca="false">IF(B230="Pre-seeded","Pre-seeded",IF(B230="Review 2026-09-16","Added from review",IF(C230="","New",IF(C230=D230,"","Changed"))))</f>
        <v>Pre-seeded</v>
      </c>
      <c r="N230" s="7" t="str">
        <f aca="false">TRIM(SUBSTITUTE(SUBSTITUTE(SUBSTITUTE(" "&amp;TRIM(SUBSTITUTE(SUBSTITUTE(SUBSTITUTE(SUBSTITUTE(SUBSTITUTE(SUBSTITUTE(SUBSTITUTE(SUBSTITUTE(SUBSTITUTE(SUBSTITUTE(SUBSTITUTE(SUBSTITUTE(SUBSTITUTE(SUBSTITUTE(SUBSTITUTE(UPPER(TRIM(A230)),"[MEMBER]",""),"{MEMBER}",""),"[MEMBER}",""),"MEMBER]",""),"(A)",""),"""",""),"“",""),"”",""),".",""),":",""),",",""),"–"," "),"-"," "),"/"," "),"&amp;"," AND "))&amp;" "," THE "," ")," TOTAL "," ")," OPERATIONS "," "))</f>
        <v>BRETAGNE</v>
      </c>
      <c r="O230" s="17" t="str">
        <f aca="false">IF(COUNTIFS($N$2:$N$2000,N230,$D$2:$D$2000,"&lt;&gt;"&amp;D230)&gt;0,"CONFLICT","")</f>
        <v/>
      </c>
      <c r="P230" s="7"/>
    </row>
    <row r="231" customFormat="false" ht="15" hidden="false" customHeight="false" outlineLevel="0" collapsed="false">
      <c r="A231" s="7" t="s">
        <v>1707</v>
      </c>
      <c r="B231" s="7" t="s">
        <v>1882</v>
      </c>
      <c r="C231" s="7" t="s">
        <v>1707</v>
      </c>
      <c r="D231" s="6" t="s">
        <v>1707</v>
      </c>
      <c r="E231" s="6" t="s">
        <v>1880</v>
      </c>
      <c r="F231" s="7" t="str">
        <f aca="false">IF($D231="","",IFERROR(IF(INDEX(Hierarchy!$B$2:$B$1295,MATCH($D231,Hierarchy!$A$2:$A$1295,0))="","",INDEX(Hierarchy!$B$2:$B$1295,MATCH($D231,Hierarchy!$A$2:$A$1295,0))),"NODE NOT FOUND"))</f>
        <v>City</v>
      </c>
      <c r="G231" s="7" t="str">
        <f aca="false">IF($D231="","",IFERROR(IF(INDEX(Hierarchy!$D$2:$D$1295,MATCH($D231,Hierarchy!$A$2:$A$1295,0))="","",INDEX(Hierarchy!$D$2:$D$1295,MATCH($D231,Hierarchy!$A$2:$A$1295,0))),"NODE NOT FOUND"))</f>
        <v>APAC</v>
      </c>
      <c r="H231" s="7" t="str">
        <f aca="false">IF($D231="","",IFERROR(IF(INDEX(Hierarchy!$E$2:$E$1295,MATCH($D231,Hierarchy!$A$2:$A$1295,0))="","",INDEX(Hierarchy!$E$2:$E$1295,MATCH($D231,Hierarchy!$A$2:$A$1295,0))),"NODE NOT FOUND"))</f>
        <v>Oceania (ANZ)</v>
      </c>
      <c r="I231" s="7" t="str">
        <f aca="false">IF($D231="","",IFERROR(IF(INDEX(Hierarchy!$F$2:$F$1295,MATCH($D231,Hierarchy!$A$2:$A$1295,0))="","",INDEX(Hierarchy!$F$2:$F$1295,MATCH($D231,Hierarchy!$A$2:$A$1295,0))),"NODE NOT FOUND"))</f>
        <v>Australia</v>
      </c>
      <c r="J231" s="7" t="str">
        <f aca="false">IF($D231="","",IFERROR(IF(INDEX(Hierarchy!$G$2:$G$1295,MATCH($D231,Hierarchy!$A$2:$A$1295,0))="","",INDEX(Hierarchy!$G$2:$G$1295,MATCH($D231,Hierarchy!$A$2:$A$1295,0))),"NODE NOT FOUND"))</f>
        <v>AUS</v>
      </c>
      <c r="K231" s="7" t="str">
        <f aca="false">IF($D231="","",IFERROR(IF(INDEX(Hierarchy!$H$2:$H$1295,MATCH($D231,Hierarchy!$A$2:$A$1295,0))="","",INDEX(Hierarchy!$H$2:$H$1295,MATCH($D231,Hierarchy!$A$2:$A$1295,0))),"NODE NOT FOUND"))</f>
        <v>Queensland</v>
      </c>
      <c r="L231" s="7" t="str">
        <f aca="false">IF($D231="","",IFERROR(IF(INDEX(Hierarchy!$I$2:$I$1295,MATCH($D231,Hierarchy!$A$2:$A$1295,0))="","",INDEX(Hierarchy!$I$2:$I$1295,MATCH($D231,Hierarchy!$A$2:$A$1295,0))),"NODE NOT FOUND"))</f>
        <v>Brisbane</v>
      </c>
      <c r="M231" s="17" t="str">
        <f aca="false">IF(B231="Pre-seeded","Pre-seeded",IF(B231="Review 2026-09-16","Added from review",IF(C231="","New",IF(C231=D231,"","Changed"))))</f>
        <v/>
      </c>
      <c r="N231" s="7" t="str">
        <f aca="false">TRIM(SUBSTITUTE(SUBSTITUTE(SUBSTITUTE(" "&amp;TRIM(SUBSTITUTE(SUBSTITUTE(SUBSTITUTE(SUBSTITUTE(SUBSTITUTE(SUBSTITUTE(SUBSTITUTE(SUBSTITUTE(SUBSTITUTE(SUBSTITUTE(SUBSTITUTE(SUBSTITUTE(SUBSTITUTE(SUBSTITUTE(SUBSTITUTE(UPPER(TRIM(A231)),"[MEMBER]",""),"{MEMBER}",""),"[MEMBER}",""),"MEMBER]",""),"(A)",""),"""",""),"“",""),"”",""),".",""),":",""),",",""),"–"," "),"-"," "),"/"," "),"&amp;"," AND "))&amp;" "," THE "," ")," TOTAL "," ")," OPERATIONS "," "))</f>
        <v>BRISBANE</v>
      </c>
      <c r="O231" s="17" t="str">
        <f aca="false">IF(COUNTIFS($N$2:$N$2000,N231,$D$2:$D$2000,"&lt;&gt;"&amp;D231)&gt;0,"CONFLICT","")</f>
        <v/>
      </c>
      <c r="P231" s="7"/>
    </row>
    <row r="232" customFormat="false" ht="15" hidden="false" customHeight="false" outlineLevel="0" collapsed="false">
      <c r="A232" s="7" t="s">
        <v>2009</v>
      </c>
      <c r="B232" s="7" t="s">
        <v>1879</v>
      </c>
      <c r="C232" s="7"/>
      <c r="D232" s="6" t="s">
        <v>661</v>
      </c>
      <c r="E232" s="6" t="s">
        <v>1880</v>
      </c>
      <c r="F232" s="7" t="str">
        <f aca="false">IF($D232="","",IFERROR(IF(INDEX(Hierarchy!$B$2:$B$1295,MATCH($D232,Hierarchy!$A$2:$A$1295,0))="","",INDEX(Hierarchy!$B$2:$B$1295,MATCH($D232,Hierarchy!$A$2:$A$1295,0))),"NODE NOT FOUND"))</f>
        <v>Country</v>
      </c>
      <c r="G232" s="7" t="str">
        <f aca="false">IF($D232="","",IFERROR(IF(INDEX(Hierarchy!$D$2:$D$1295,MATCH($D232,Hierarchy!$A$2:$A$1295,0))="","",INDEX(Hierarchy!$D$2:$D$1295,MATCH($D232,Hierarchy!$A$2:$A$1295,0))),"NODE NOT FOUND"))</f>
        <v>EMEA</v>
      </c>
      <c r="H232" s="7" t="str">
        <f aca="false">IF($D232="","",IFERROR(IF(INDEX(Hierarchy!$E$2:$E$1295,MATCH($D232,Hierarchy!$A$2:$A$1295,0))="","",INDEX(Hierarchy!$E$2:$E$1295,MATCH($D232,Hierarchy!$A$2:$A$1295,0))),"NODE NOT FOUND"))</f>
        <v>Europe</v>
      </c>
      <c r="I232" s="7" t="str">
        <f aca="false">IF($D232="","",IFERROR(IF(INDEX(Hierarchy!$F$2:$F$1295,MATCH($D232,Hierarchy!$A$2:$A$1295,0))="","",INDEX(Hierarchy!$F$2:$F$1295,MATCH($D232,Hierarchy!$A$2:$A$1295,0))),"NODE NOT FOUND"))</f>
        <v>United Kingdom</v>
      </c>
      <c r="J232" s="7" t="str">
        <f aca="false">IF($D232="","",IFERROR(IF(INDEX(Hierarchy!$G$2:$G$1295,MATCH($D232,Hierarchy!$A$2:$A$1295,0))="","",INDEX(Hierarchy!$G$2:$G$1295,MATCH($D232,Hierarchy!$A$2:$A$1295,0))),"NODE NOT FOUND"))</f>
        <v>GBR</v>
      </c>
      <c r="K232" s="7" t="str">
        <f aca="false">IF($D232="","",IFERROR(IF(INDEX(Hierarchy!$H$2:$H$1295,MATCH($D232,Hierarchy!$A$2:$A$1295,0))="","",INDEX(Hierarchy!$H$2:$H$1295,MATCH($D232,Hierarchy!$A$2:$A$1295,0))),"NODE NOT FOUND"))</f>
        <v/>
      </c>
      <c r="L232" s="7" t="str">
        <f aca="false">IF($D232="","",IFERROR(IF(INDEX(Hierarchy!$I$2:$I$1295,MATCH($D232,Hierarchy!$A$2:$A$1295,0))="","",INDEX(Hierarchy!$I$2:$I$1295,MATCH($D232,Hierarchy!$A$2:$A$1295,0))),"NODE NOT FOUND"))</f>
        <v/>
      </c>
      <c r="M232" s="17" t="str">
        <f aca="false">IF(B232="Pre-seeded","Pre-seeded",IF(B232="Review 2026-09-16","Added from review",IF(C232="","New",IF(C232=D232,"","Changed"))))</f>
        <v>Pre-seeded</v>
      </c>
      <c r="N232" s="7" t="str">
        <f aca="false">TRIM(SUBSTITUTE(SUBSTITUTE(SUBSTITUTE(" "&amp;TRIM(SUBSTITUTE(SUBSTITUTE(SUBSTITUTE(SUBSTITUTE(SUBSTITUTE(SUBSTITUTE(SUBSTITUTE(SUBSTITUTE(SUBSTITUTE(SUBSTITUTE(SUBSTITUTE(SUBSTITUTE(SUBSTITUTE(SUBSTITUTE(SUBSTITUTE(UPPER(TRIM(A232)),"[MEMBER]",""),"{MEMBER}",""),"[MEMBER}",""),"MEMBER]",""),"(A)",""),"""",""),"“",""),"”",""),".",""),":",""),",",""),"–"," "),"-"," "),"/"," "),"&amp;"," AND "))&amp;" "," THE "," ")," TOTAL "," ")," OPERATIONS "," "))</f>
        <v>BRITAIN</v>
      </c>
      <c r="O232" s="17" t="str">
        <f aca="false">IF(COUNTIFS($N$2:$N$2000,N232,$D$2:$D$2000,"&lt;&gt;"&amp;D232)&gt;0,"CONFLICT","")</f>
        <v/>
      </c>
      <c r="P232" s="7"/>
    </row>
    <row r="233" customFormat="false" ht="15" hidden="false" customHeight="false" outlineLevel="0" collapsed="false">
      <c r="A233" s="7" t="s">
        <v>283</v>
      </c>
      <c r="B233" s="7" t="s">
        <v>1879</v>
      </c>
      <c r="C233" s="7"/>
      <c r="D233" s="6" t="s">
        <v>283</v>
      </c>
      <c r="E233" s="6" t="s">
        <v>1880</v>
      </c>
      <c r="F233" s="7" t="str">
        <f aca="false">IF($D233="","",IFERROR(IF(INDEX(Hierarchy!$B$2:$B$1295,MATCH($D233,Hierarchy!$A$2:$A$1295,0))="","",INDEX(Hierarchy!$B$2:$B$1295,MATCH($D233,Hierarchy!$A$2:$A$1295,0))),"NODE NOT FOUND"))</f>
        <v>State/Province</v>
      </c>
      <c r="G233" s="7" t="str">
        <f aca="false">IF($D233="","",IFERROR(IF(INDEX(Hierarchy!$D$2:$D$1295,MATCH($D233,Hierarchy!$A$2:$A$1295,0))="","",INDEX(Hierarchy!$D$2:$D$1295,MATCH($D233,Hierarchy!$A$2:$A$1295,0))),"NODE NOT FOUND"))</f>
        <v>AMER</v>
      </c>
      <c r="H233" s="7" t="str">
        <f aca="false">IF($D233="","",IFERROR(IF(INDEX(Hierarchy!$E$2:$E$1295,MATCH($D233,Hierarchy!$A$2:$A$1295,0))="","",INDEX(Hierarchy!$E$2:$E$1295,MATCH($D233,Hierarchy!$A$2:$A$1295,0))),"NODE NOT FOUND"))</f>
        <v>North America (NORAM)</v>
      </c>
      <c r="I233" s="7" t="str">
        <f aca="false">IF($D233="","",IFERROR(IF(INDEX(Hierarchy!$F$2:$F$1295,MATCH($D233,Hierarchy!$A$2:$A$1295,0))="","",INDEX(Hierarchy!$F$2:$F$1295,MATCH($D233,Hierarchy!$A$2:$A$1295,0))),"NODE NOT FOUND"))</f>
        <v>Canada</v>
      </c>
      <c r="J233" s="7" t="str">
        <f aca="false">IF($D233="","",IFERROR(IF(INDEX(Hierarchy!$G$2:$G$1295,MATCH($D233,Hierarchy!$A$2:$A$1295,0))="","",INDEX(Hierarchy!$G$2:$G$1295,MATCH($D233,Hierarchy!$A$2:$A$1295,0))),"NODE NOT FOUND"))</f>
        <v>CAN</v>
      </c>
      <c r="K233" s="7" t="str">
        <f aca="false">IF($D233="","",IFERROR(IF(INDEX(Hierarchy!$H$2:$H$1295,MATCH($D233,Hierarchy!$A$2:$A$1295,0))="","",INDEX(Hierarchy!$H$2:$H$1295,MATCH($D233,Hierarchy!$A$2:$A$1295,0))),"NODE NOT FOUND"))</f>
        <v>British Columbia</v>
      </c>
      <c r="L233" s="7" t="str">
        <f aca="false">IF($D233="","",IFERROR(IF(INDEX(Hierarchy!$I$2:$I$1295,MATCH($D233,Hierarchy!$A$2:$A$1295,0))="","",INDEX(Hierarchy!$I$2:$I$1295,MATCH($D233,Hierarchy!$A$2:$A$1295,0))),"NODE NOT FOUND"))</f>
        <v/>
      </c>
      <c r="M233" s="17" t="str">
        <f aca="false">IF(B233="Pre-seeded","Pre-seeded",IF(B233="Review 2026-09-16","Added from review",IF(C233="","New",IF(C233=D233,"","Changed"))))</f>
        <v>Pre-seeded</v>
      </c>
      <c r="N233" s="7" t="str">
        <f aca="false">TRIM(SUBSTITUTE(SUBSTITUTE(SUBSTITUTE(" "&amp;TRIM(SUBSTITUTE(SUBSTITUTE(SUBSTITUTE(SUBSTITUTE(SUBSTITUTE(SUBSTITUTE(SUBSTITUTE(SUBSTITUTE(SUBSTITUTE(SUBSTITUTE(SUBSTITUTE(SUBSTITUTE(SUBSTITUTE(SUBSTITUTE(SUBSTITUTE(UPPER(TRIM(A233)),"[MEMBER]",""),"{MEMBER}",""),"[MEMBER}",""),"MEMBER]",""),"(A)",""),"""",""),"“",""),"”",""),".",""),":",""),",",""),"–"," "),"-"," "),"/"," "),"&amp;"," AND "))&amp;" "," THE "," ")," TOTAL "," ")," OPERATIONS "," "))</f>
        <v>BRITISH COLUMBIA</v>
      </c>
      <c r="O233" s="17" t="str">
        <f aca="false">IF(COUNTIFS($N$2:$N$2000,N233,$D$2:$D$2000,"&lt;&gt;"&amp;D233)&gt;0,"CONFLICT","")</f>
        <v/>
      </c>
      <c r="P233" s="7"/>
    </row>
    <row r="234" customFormat="false" ht="15" hidden="false" customHeight="false" outlineLevel="0" collapsed="false">
      <c r="A234" s="7" t="s">
        <v>2010</v>
      </c>
      <c r="B234" s="7" t="s">
        <v>1879</v>
      </c>
      <c r="C234" s="7"/>
      <c r="D234" s="6" t="s">
        <v>658</v>
      </c>
      <c r="E234" s="6" t="s">
        <v>1880</v>
      </c>
      <c r="F234" s="7" t="str">
        <f aca="false">IF($D234="","",IFERROR(IF(INDEX(Hierarchy!$B$2:$B$1295,MATCH($D234,Hierarchy!$A$2:$A$1295,0))="","",INDEX(Hierarchy!$B$2:$B$1295,MATCH($D234,Hierarchy!$A$2:$A$1295,0))),"NODE NOT FOUND"))</f>
        <v>Sub-region component</v>
      </c>
      <c r="G234" s="7" t="str">
        <f aca="false">IF($D234="","",IFERROR(IF(INDEX(Hierarchy!$D$2:$D$1295,MATCH($D234,Hierarchy!$A$2:$A$1295,0))="","",INDEX(Hierarchy!$D$2:$D$1295,MATCH($D234,Hierarchy!$A$2:$A$1295,0))),"NODE NOT FOUND"))</f>
        <v>EMEA</v>
      </c>
      <c r="H234" s="7" t="str">
        <f aca="false">IF($D234="","",IFERROR(IF(INDEX(Hierarchy!$E$2:$E$1295,MATCH($D234,Hierarchy!$A$2:$A$1295,0))="","",INDEX(Hierarchy!$E$2:$E$1295,MATCH($D234,Hierarchy!$A$2:$A$1295,0))),"NODE NOT FOUND"))</f>
        <v>Europe</v>
      </c>
      <c r="I234" s="7" t="str">
        <f aca="false">IF($D234="","",IFERROR(IF(INDEX(Hierarchy!$F$2:$F$1295,MATCH($D234,Hierarchy!$A$2:$A$1295,0))="","",INDEX(Hierarchy!$F$2:$F$1295,MATCH($D234,Hierarchy!$A$2:$A$1295,0))),"NODE NOT FOUND"))</f>
        <v/>
      </c>
      <c r="J234" s="7" t="str">
        <f aca="false">IF($D234="","",IFERROR(IF(INDEX(Hierarchy!$G$2:$G$1295,MATCH($D234,Hierarchy!$A$2:$A$1295,0))="","",INDEX(Hierarchy!$G$2:$G$1295,MATCH($D234,Hierarchy!$A$2:$A$1295,0))),"NODE NOT FOUND"))</f>
        <v/>
      </c>
      <c r="K234" s="7" t="str">
        <f aca="false">IF($D234="","",IFERROR(IF(INDEX(Hierarchy!$H$2:$H$1295,MATCH($D234,Hierarchy!$A$2:$A$1295,0))="","",INDEX(Hierarchy!$H$2:$H$1295,MATCH($D234,Hierarchy!$A$2:$A$1295,0))),"NODE NOT FOUND"))</f>
        <v/>
      </c>
      <c r="L234" s="7" t="str">
        <f aca="false">IF($D234="","",IFERROR(IF(INDEX(Hierarchy!$I$2:$I$1295,MATCH($D234,Hierarchy!$A$2:$A$1295,0))="","",INDEX(Hierarchy!$I$2:$I$1295,MATCH($D234,Hierarchy!$A$2:$A$1295,0))),"NODE NOT FOUND"))</f>
        <v/>
      </c>
      <c r="M234" s="17" t="str">
        <f aca="false">IF(B234="Pre-seeded","Pre-seeded",IF(B234="Review 2026-09-16","Added from review",IF(C234="","New",IF(C234=D234,"","Changed"))))</f>
        <v>Pre-seeded</v>
      </c>
      <c r="N234" s="7" t="str">
        <f aca="false">TRIM(SUBSTITUTE(SUBSTITUTE(SUBSTITUTE(" "&amp;TRIM(SUBSTITUTE(SUBSTITUTE(SUBSTITUTE(SUBSTITUTE(SUBSTITUTE(SUBSTITUTE(SUBSTITUTE(SUBSTITUTE(SUBSTITUTE(SUBSTITUTE(SUBSTITUTE(SUBSTITUTE(SUBSTITUTE(SUBSTITUTE(SUBSTITUTE(UPPER(TRIM(A234)),"[MEMBER]",""),"{MEMBER}",""),"[MEMBER}",""),"MEMBER]",""),"(A)",""),"""",""),"“",""),"”",""),".",""),":",""),",",""),"–"," "),"-"," "),"/"," "),"&amp;"," AND "))&amp;" "," THE "," ")," TOTAL "," ")," OPERATIONS "," "))</f>
        <v>BRITISH ISLES</v>
      </c>
      <c r="O234" s="17" t="str">
        <f aca="false">IF(COUNTIFS($N$2:$N$2000,N234,$D$2:$D$2000,"&lt;&gt;"&amp;D234)&gt;0,"CONFLICT","")</f>
        <v/>
      </c>
      <c r="P234" s="7"/>
    </row>
    <row r="235" customFormat="false" ht="15" hidden="false" customHeight="false" outlineLevel="0" collapsed="false">
      <c r="A235" s="7" t="s">
        <v>471</v>
      </c>
      <c r="B235" s="7" t="s">
        <v>1882</v>
      </c>
      <c r="C235" s="7" t="s">
        <v>661</v>
      </c>
      <c r="D235" s="6" t="s">
        <v>471</v>
      </c>
      <c r="E235" s="6" t="s">
        <v>1880</v>
      </c>
      <c r="F235" s="7" t="str">
        <f aca="false">IF($D235="","",IFERROR(IF(INDEX(Hierarchy!$B$2:$B$1295,MATCH($D235,Hierarchy!$A$2:$A$1295,0))="","",INDEX(Hierarchy!$B$2:$B$1295,MATCH($D235,Hierarchy!$A$2:$A$1295,0))),"NODE NOT FOUND"))</f>
        <v>Country</v>
      </c>
      <c r="G235" s="7" t="str">
        <f aca="false">IF($D235="","",IFERROR(IF(INDEX(Hierarchy!$D$2:$D$1295,MATCH($D235,Hierarchy!$A$2:$A$1295,0))="","",INDEX(Hierarchy!$D$2:$D$1295,MATCH($D235,Hierarchy!$A$2:$A$1295,0))),"NODE NOT FOUND"))</f>
        <v>AMER</v>
      </c>
      <c r="H235" s="7" t="str">
        <f aca="false">IF($D235="","",IFERROR(IF(INDEX(Hierarchy!$E$2:$E$1295,MATCH($D235,Hierarchy!$A$2:$A$1295,0))="","",INDEX(Hierarchy!$E$2:$E$1295,MATCH($D235,Hierarchy!$A$2:$A$1295,0))),"NODE NOT FOUND"))</f>
        <v>Latin America (LATAM)</v>
      </c>
      <c r="I235" s="7" t="str">
        <f aca="false">IF($D235="","",IFERROR(IF(INDEX(Hierarchy!$F$2:$F$1295,MATCH($D235,Hierarchy!$A$2:$A$1295,0))="","",INDEX(Hierarchy!$F$2:$F$1295,MATCH($D235,Hierarchy!$A$2:$A$1295,0))),"NODE NOT FOUND"))</f>
        <v>British Virgin Islands</v>
      </c>
      <c r="J235" s="7" t="str">
        <f aca="false">IF($D235="","",IFERROR(IF(INDEX(Hierarchy!$G$2:$G$1295,MATCH($D235,Hierarchy!$A$2:$A$1295,0))="","",INDEX(Hierarchy!$G$2:$G$1295,MATCH($D235,Hierarchy!$A$2:$A$1295,0))),"NODE NOT FOUND"))</f>
        <v>VGB</v>
      </c>
      <c r="K235" s="7" t="str">
        <f aca="false">IF($D235="","",IFERROR(IF(INDEX(Hierarchy!$H$2:$H$1295,MATCH($D235,Hierarchy!$A$2:$A$1295,0))="","",INDEX(Hierarchy!$H$2:$H$1295,MATCH($D235,Hierarchy!$A$2:$A$1295,0))),"NODE NOT FOUND"))</f>
        <v/>
      </c>
      <c r="L235" s="7" t="str">
        <f aca="false">IF($D235="","",IFERROR(IF(INDEX(Hierarchy!$I$2:$I$1295,MATCH($D235,Hierarchy!$A$2:$A$1295,0))="","",INDEX(Hierarchy!$I$2:$I$1295,MATCH($D235,Hierarchy!$A$2:$A$1295,0))),"NODE NOT FOUND"))</f>
        <v/>
      </c>
      <c r="M235" s="17" t="str">
        <f aca="false">IF(B235="Pre-seeded","Pre-seeded",IF(B235="Review 2026-09-16","Added from review",IF(C235="","New",IF(C235=D235,"","Changed"))))</f>
        <v>Changed</v>
      </c>
      <c r="N235" s="7" t="str">
        <f aca="false">TRIM(SUBSTITUTE(SUBSTITUTE(SUBSTITUTE(" "&amp;TRIM(SUBSTITUTE(SUBSTITUTE(SUBSTITUTE(SUBSTITUTE(SUBSTITUTE(SUBSTITUTE(SUBSTITUTE(SUBSTITUTE(SUBSTITUTE(SUBSTITUTE(SUBSTITUTE(SUBSTITUTE(SUBSTITUTE(SUBSTITUTE(SUBSTITUTE(UPPER(TRIM(A235)),"[MEMBER]",""),"{MEMBER}",""),"[MEMBER}",""),"MEMBER]",""),"(A)",""),"""",""),"“",""),"”",""),".",""),":",""),",",""),"–"," "),"-"," "),"/"," "),"&amp;"," AND "))&amp;" "," THE "," ")," TOTAL "," ")," OPERATIONS "," "))</f>
        <v>BRITISH VIRGIN ISLANDS</v>
      </c>
      <c r="O235" s="17" t="str">
        <f aca="false">IF(COUNTIFS($N$2:$N$2000,N235,$D$2:$D$2000,"&lt;&gt;"&amp;D235)&gt;0,"CONFLICT","")</f>
        <v/>
      </c>
      <c r="P235" s="7" t="s">
        <v>1999</v>
      </c>
    </row>
    <row r="236" customFormat="false" ht="15" hidden="false" customHeight="false" outlineLevel="0" collapsed="false">
      <c r="A236" s="7" t="s">
        <v>721</v>
      </c>
      <c r="B236" s="7" t="s">
        <v>1879</v>
      </c>
      <c r="C236" s="7"/>
      <c r="D236" s="6" t="s">
        <v>721</v>
      </c>
      <c r="E236" s="6" t="s">
        <v>1880</v>
      </c>
      <c r="F236" s="7" t="str">
        <f aca="false">IF($D236="","",IFERROR(IF(INDEX(Hierarchy!$B$2:$B$1295,MATCH($D236,Hierarchy!$A$2:$A$1295,0))="","",INDEX(Hierarchy!$B$2:$B$1295,MATCH($D236,Hierarchy!$A$2:$A$1295,0))),"NODE NOT FOUND"))</f>
        <v>State/Province</v>
      </c>
      <c r="G236" s="7" t="str">
        <f aca="false">IF($D236="","",IFERROR(IF(INDEX(Hierarchy!$D$2:$D$1295,MATCH($D236,Hierarchy!$A$2:$A$1295,0))="","",INDEX(Hierarchy!$D$2:$D$1295,MATCH($D236,Hierarchy!$A$2:$A$1295,0))),"NODE NOT FOUND"))</f>
        <v>EMEA</v>
      </c>
      <c r="H236" s="7" t="str">
        <f aca="false">IF($D236="","",IFERROR(IF(INDEX(Hierarchy!$E$2:$E$1295,MATCH($D236,Hierarchy!$A$2:$A$1295,0))="","",INDEX(Hierarchy!$E$2:$E$1295,MATCH($D236,Hierarchy!$A$2:$A$1295,0))),"NODE NOT FOUND"))</f>
        <v>Europe</v>
      </c>
      <c r="I236" s="7" t="str">
        <f aca="false">IF($D236="","",IFERROR(IF(INDEX(Hierarchy!$F$2:$F$1295,MATCH($D236,Hierarchy!$A$2:$A$1295,0))="","",INDEX(Hierarchy!$F$2:$F$1295,MATCH($D236,Hierarchy!$A$2:$A$1295,0))),"NODE NOT FOUND"))</f>
        <v>France</v>
      </c>
      <c r="J236" s="7" t="str">
        <f aca="false">IF($D236="","",IFERROR(IF(INDEX(Hierarchy!$G$2:$G$1295,MATCH($D236,Hierarchy!$A$2:$A$1295,0))="","",INDEX(Hierarchy!$G$2:$G$1295,MATCH($D236,Hierarchy!$A$2:$A$1295,0))),"NODE NOT FOUND"))</f>
        <v>FRA</v>
      </c>
      <c r="K236" s="7" t="str">
        <f aca="false">IF($D236="","",IFERROR(IF(INDEX(Hierarchy!$H$2:$H$1295,MATCH($D236,Hierarchy!$A$2:$A$1295,0))="","",INDEX(Hierarchy!$H$2:$H$1295,MATCH($D236,Hierarchy!$A$2:$A$1295,0))),"NODE NOT FOUND"))</f>
        <v>Brittany</v>
      </c>
      <c r="L236" s="7" t="str">
        <f aca="false">IF($D236="","",IFERROR(IF(INDEX(Hierarchy!$I$2:$I$1295,MATCH($D236,Hierarchy!$A$2:$A$1295,0))="","",INDEX(Hierarchy!$I$2:$I$1295,MATCH($D236,Hierarchy!$A$2:$A$1295,0))),"NODE NOT FOUND"))</f>
        <v/>
      </c>
      <c r="M236" s="17" t="str">
        <f aca="false">IF(B236="Pre-seeded","Pre-seeded",IF(B236="Review 2026-09-16","Added from review",IF(C236="","New",IF(C236=D236,"","Changed"))))</f>
        <v>Pre-seeded</v>
      </c>
      <c r="N236" s="7" t="str">
        <f aca="false">TRIM(SUBSTITUTE(SUBSTITUTE(SUBSTITUTE(" "&amp;TRIM(SUBSTITUTE(SUBSTITUTE(SUBSTITUTE(SUBSTITUTE(SUBSTITUTE(SUBSTITUTE(SUBSTITUTE(SUBSTITUTE(SUBSTITUTE(SUBSTITUTE(SUBSTITUTE(SUBSTITUTE(SUBSTITUTE(SUBSTITUTE(SUBSTITUTE(UPPER(TRIM(A236)),"[MEMBER]",""),"{MEMBER}",""),"[MEMBER}",""),"MEMBER]",""),"(A)",""),"""",""),"“",""),"”",""),".",""),":",""),",",""),"–"," "),"-"," "),"/"," "),"&amp;"," AND "))&amp;" "," THE "," ")," TOTAL "," ")," OPERATIONS "," "))</f>
        <v>BRITTANY</v>
      </c>
      <c r="O236" s="17" t="str">
        <f aca="false">IF(COUNTIFS($N$2:$N$2000,N236,$D$2:$D$2000,"&lt;&gt;"&amp;D236)&gt;0,"CONFLICT","")</f>
        <v/>
      </c>
      <c r="P236" s="7"/>
    </row>
    <row r="237" customFormat="false" ht="15" hidden="false" customHeight="false" outlineLevel="0" collapsed="false">
      <c r="A237" s="7" t="s">
        <v>1651</v>
      </c>
      <c r="B237" s="7" t="s">
        <v>1879</v>
      </c>
      <c r="C237" s="7"/>
      <c r="D237" s="6" t="s">
        <v>1651</v>
      </c>
      <c r="E237" s="6" t="s">
        <v>1880</v>
      </c>
      <c r="F237" s="7" t="str">
        <f aca="false">IF($D237="","",IFERROR(IF(INDEX(Hierarchy!$B$2:$B$1295,MATCH($D237,Hierarchy!$A$2:$A$1295,0))="","",INDEX(Hierarchy!$B$2:$B$1295,MATCH($D237,Hierarchy!$A$2:$A$1295,0))),"NODE NOT FOUND"))</f>
        <v>Country</v>
      </c>
      <c r="G237" s="7" t="str">
        <f aca="false">IF($D237="","",IFERROR(IF(INDEX(Hierarchy!$D$2:$D$1295,MATCH($D237,Hierarchy!$A$2:$A$1295,0))="","",INDEX(Hierarchy!$D$2:$D$1295,MATCH($D237,Hierarchy!$A$2:$A$1295,0))),"NODE NOT FOUND"))</f>
        <v>APAC</v>
      </c>
      <c r="H237" s="7" t="str">
        <f aca="false">IF($D237="","",IFERROR(IF(INDEX(Hierarchy!$E$2:$E$1295,MATCH($D237,Hierarchy!$A$2:$A$1295,0))="","",INDEX(Hierarchy!$E$2:$E$1295,MATCH($D237,Hierarchy!$A$2:$A$1295,0))),"NODE NOT FOUND"))</f>
        <v>Southeast Asia (ASEAN)</v>
      </c>
      <c r="I237" s="7" t="str">
        <f aca="false">IF($D237="","",IFERROR(IF(INDEX(Hierarchy!$F$2:$F$1295,MATCH($D237,Hierarchy!$A$2:$A$1295,0))="","",INDEX(Hierarchy!$F$2:$F$1295,MATCH($D237,Hierarchy!$A$2:$A$1295,0))),"NODE NOT FOUND"))</f>
        <v>Brunei</v>
      </c>
      <c r="J237" s="7" t="str">
        <f aca="false">IF($D237="","",IFERROR(IF(INDEX(Hierarchy!$G$2:$G$1295,MATCH($D237,Hierarchy!$A$2:$A$1295,0))="","",INDEX(Hierarchy!$G$2:$G$1295,MATCH($D237,Hierarchy!$A$2:$A$1295,0))),"NODE NOT FOUND"))</f>
        <v>BRN</v>
      </c>
      <c r="K237" s="7" t="str">
        <f aca="false">IF($D237="","",IFERROR(IF(INDEX(Hierarchy!$H$2:$H$1295,MATCH($D237,Hierarchy!$A$2:$A$1295,0))="","",INDEX(Hierarchy!$H$2:$H$1295,MATCH($D237,Hierarchy!$A$2:$A$1295,0))),"NODE NOT FOUND"))</f>
        <v/>
      </c>
      <c r="L237" s="7" t="str">
        <f aca="false">IF($D237="","",IFERROR(IF(INDEX(Hierarchy!$I$2:$I$1295,MATCH($D237,Hierarchy!$A$2:$A$1295,0))="","",INDEX(Hierarchy!$I$2:$I$1295,MATCH($D237,Hierarchy!$A$2:$A$1295,0))),"NODE NOT FOUND"))</f>
        <v/>
      </c>
      <c r="M237" s="17" t="str">
        <f aca="false">IF(B237="Pre-seeded","Pre-seeded",IF(B237="Review 2026-09-16","Added from review",IF(C237="","New",IF(C237=D237,"","Changed"))))</f>
        <v>Pre-seeded</v>
      </c>
      <c r="N237" s="7" t="str">
        <f aca="false">TRIM(SUBSTITUTE(SUBSTITUTE(SUBSTITUTE(" "&amp;TRIM(SUBSTITUTE(SUBSTITUTE(SUBSTITUTE(SUBSTITUTE(SUBSTITUTE(SUBSTITUTE(SUBSTITUTE(SUBSTITUTE(SUBSTITUTE(SUBSTITUTE(SUBSTITUTE(SUBSTITUTE(SUBSTITUTE(SUBSTITUTE(SUBSTITUTE(UPPER(TRIM(A237)),"[MEMBER]",""),"{MEMBER}",""),"[MEMBER}",""),"MEMBER]",""),"(A)",""),"""",""),"“",""),"”",""),".",""),":",""),",",""),"–"," "),"-"," "),"/"," "),"&amp;"," AND "))&amp;" "," THE "," ")," TOTAL "," ")," OPERATIONS "," "))</f>
        <v>BRUNEI</v>
      </c>
      <c r="O237" s="17" t="str">
        <f aca="false">IF(COUNTIFS($N$2:$N$2000,N237,$D$2:$D$2000,"&lt;&gt;"&amp;D237)&gt;0,"CONFLICT","")</f>
        <v/>
      </c>
      <c r="P237" s="7"/>
    </row>
    <row r="238" customFormat="false" ht="15" hidden="false" customHeight="false" outlineLevel="0" collapsed="false">
      <c r="A238" s="7" t="s">
        <v>2011</v>
      </c>
      <c r="B238" s="7" t="s">
        <v>1879</v>
      </c>
      <c r="C238" s="7"/>
      <c r="D238" s="6" t="s">
        <v>1651</v>
      </c>
      <c r="E238" s="6" t="s">
        <v>1880</v>
      </c>
      <c r="F238" s="7" t="str">
        <f aca="false">IF($D238="","",IFERROR(IF(INDEX(Hierarchy!$B$2:$B$1295,MATCH($D238,Hierarchy!$A$2:$A$1295,0))="","",INDEX(Hierarchy!$B$2:$B$1295,MATCH($D238,Hierarchy!$A$2:$A$1295,0))),"NODE NOT FOUND"))</f>
        <v>Country</v>
      </c>
      <c r="G238" s="7" t="str">
        <f aca="false">IF($D238="","",IFERROR(IF(INDEX(Hierarchy!$D$2:$D$1295,MATCH($D238,Hierarchy!$A$2:$A$1295,0))="","",INDEX(Hierarchy!$D$2:$D$1295,MATCH($D238,Hierarchy!$A$2:$A$1295,0))),"NODE NOT FOUND"))</f>
        <v>APAC</v>
      </c>
      <c r="H238" s="7" t="str">
        <f aca="false">IF($D238="","",IFERROR(IF(INDEX(Hierarchy!$E$2:$E$1295,MATCH($D238,Hierarchy!$A$2:$A$1295,0))="","",INDEX(Hierarchy!$E$2:$E$1295,MATCH($D238,Hierarchy!$A$2:$A$1295,0))),"NODE NOT FOUND"))</f>
        <v>Southeast Asia (ASEAN)</v>
      </c>
      <c r="I238" s="7" t="str">
        <f aca="false">IF($D238="","",IFERROR(IF(INDEX(Hierarchy!$F$2:$F$1295,MATCH($D238,Hierarchy!$A$2:$A$1295,0))="","",INDEX(Hierarchy!$F$2:$F$1295,MATCH($D238,Hierarchy!$A$2:$A$1295,0))),"NODE NOT FOUND"))</f>
        <v>Brunei</v>
      </c>
      <c r="J238" s="7" t="str">
        <f aca="false">IF($D238="","",IFERROR(IF(INDEX(Hierarchy!$G$2:$G$1295,MATCH($D238,Hierarchy!$A$2:$A$1295,0))="","",INDEX(Hierarchy!$G$2:$G$1295,MATCH($D238,Hierarchy!$A$2:$A$1295,0))),"NODE NOT FOUND"))</f>
        <v>BRN</v>
      </c>
      <c r="K238" s="7" t="str">
        <f aca="false">IF($D238="","",IFERROR(IF(INDEX(Hierarchy!$H$2:$H$1295,MATCH($D238,Hierarchy!$A$2:$A$1295,0))="","",INDEX(Hierarchy!$H$2:$H$1295,MATCH($D238,Hierarchy!$A$2:$A$1295,0))),"NODE NOT FOUND"))</f>
        <v/>
      </c>
      <c r="L238" s="7" t="str">
        <f aca="false">IF($D238="","",IFERROR(IF(INDEX(Hierarchy!$I$2:$I$1295,MATCH($D238,Hierarchy!$A$2:$A$1295,0))="","",INDEX(Hierarchy!$I$2:$I$1295,MATCH($D238,Hierarchy!$A$2:$A$1295,0))),"NODE NOT FOUND"))</f>
        <v/>
      </c>
      <c r="M238" s="17" t="str">
        <f aca="false">IF(B238="Pre-seeded","Pre-seeded",IF(B238="Review 2026-09-16","Added from review",IF(C238="","New",IF(C238=D238,"","Changed"))))</f>
        <v>Pre-seeded</v>
      </c>
      <c r="N238" s="7" t="str">
        <f aca="false">TRIM(SUBSTITUTE(SUBSTITUTE(SUBSTITUTE(" "&amp;TRIM(SUBSTITUTE(SUBSTITUTE(SUBSTITUTE(SUBSTITUTE(SUBSTITUTE(SUBSTITUTE(SUBSTITUTE(SUBSTITUTE(SUBSTITUTE(SUBSTITUTE(SUBSTITUTE(SUBSTITUTE(SUBSTITUTE(SUBSTITUTE(SUBSTITUTE(UPPER(TRIM(A238)),"[MEMBER]",""),"{MEMBER}",""),"[MEMBER}",""),"MEMBER]",""),"(A)",""),"""",""),"“",""),"”",""),".",""),":",""),",",""),"–"," "),"-"," "),"/"," "),"&amp;"," AND "))&amp;" "," THE "," ")," TOTAL "," ")," OPERATIONS "," "))</f>
        <v>BRUNEI DARUSSALAM</v>
      </c>
      <c r="O238" s="17" t="str">
        <f aca="false">IF(COUNTIFS($N$2:$N$2000,N238,$D$2:$D$2000,"&lt;&gt;"&amp;D238)&gt;0,"CONFLICT","")</f>
        <v/>
      </c>
      <c r="P238" s="7" t="s">
        <v>1936</v>
      </c>
    </row>
    <row r="239" customFormat="false" ht="15" hidden="false" customHeight="false" outlineLevel="0" collapsed="false">
      <c r="A239" s="7" t="s">
        <v>767</v>
      </c>
      <c r="B239" s="7" t="s">
        <v>1879</v>
      </c>
      <c r="C239" s="7"/>
      <c r="D239" s="6" t="s">
        <v>767</v>
      </c>
      <c r="E239" s="6" t="s">
        <v>1880</v>
      </c>
      <c r="F239" s="7" t="str">
        <f aca="false">IF($D239="","",IFERROR(IF(INDEX(Hierarchy!$B$2:$B$1295,MATCH($D239,Hierarchy!$A$2:$A$1295,0))="","",INDEX(Hierarchy!$B$2:$B$1295,MATCH($D239,Hierarchy!$A$2:$A$1295,0))),"NODE NOT FOUND"))</f>
        <v>State/Province</v>
      </c>
      <c r="G239" s="7" t="str">
        <f aca="false">IF($D239="","",IFERROR(IF(INDEX(Hierarchy!$D$2:$D$1295,MATCH($D239,Hierarchy!$A$2:$A$1295,0))="","",INDEX(Hierarchy!$D$2:$D$1295,MATCH($D239,Hierarchy!$A$2:$A$1295,0))),"NODE NOT FOUND"))</f>
        <v>EMEA</v>
      </c>
      <c r="H239" s="7" t="str">
        <f aca="false">IF($D239="","",IFERROR(IF(INDEX(Hierarchy!$E$2:$E$1295,MATCH($D239,Hierarchy!$A$2:$A$1295,0))="","",INDEX(Hierarchy!$E$2:$E$1295,MATCH($D239,Hierarchy!$A$2:$A$1295,0))),"NODE NOT FOUND"))</f>
        <v>Europe</v>
      </c>
      <c r="I239" s="7" t="str">
        <f aca="false">IF($D239="","",IFERROR(IF(INDEX(Hierarchy!$F$2:$F$1295,MATCH($D239,Hierarchy!$A$2:$A$1295,0))="","",INDEX(Hierarchy!$F$2:$F$1295,MATCH($D239,Hierarchy!$A$2:$A$1295,0))),"NODE NOT FOUND"))</f>
        <v>Belgium</v>
      </c>
      <c r="J239" s="7" t="str">
        <f aca="false">IF($D239="","",IFERROR(IF(INDEX(Hierarchy!$G$2:$G$1295,MATCH($D239,Hierarchy!$A$2:$A$1295,0))="","",INDEX(Hierarchy!$G$2:$G$1295,MATCH($D239,Hierarchy!$A$2:$A$1295,0))),"NODE NOT FOUND"))</f>
        <v>BEL</v>
      </c>
      <c r="K239" s="7" t="str">
        <f aca="false">IF($D239="","",IFERROR(IF(INDEX(Hierarchy!$H$2:$H$1295,MATCH($D239,Hierarchy!$A$2:$A$1295,0))="","",INDEX(Hierarchy!$H$2:$H$1295,MATCH($D239,Hierarchy!$A$2:$A$1295,0))),"NODE NOT FOUND"))</f>
        <v>Brussels-Capital Region</v>
      </c>
      <c r="L239" s="7" t="str">
        <f aca="false">IF($D239="","",IFERROR(IF(INDEX(Hierarchy!$I$2:$I$1295,MATCH($D239,Hierarchy!$A$2:$A$1295,0))="","",INDEX(Hierarchy!$I$2:$I$1295,MATCH($D239,Hierarchy!$A$2:$A$1295,0))),"NODE NOT FOUND"))</f>
        <v/>
      </c>
      <c r="M239" s="17" t="str">
        <f aca="false">IF(B239="Pre-seeded","Pre-seeded",IF(B239="Review 2026-09-16","Added from review",IF(C239="","New",IF(C239=D239,"","Changed"))))</f>
        <v>Pre-seeded</v>
      </c>
      <c r="N239" s="7" t="str">
        <f aca="false">TRIM(SUBSTITUTE(SUBSTITUTE(SUBSTITUTE(" "&amp;TRIM(SUBSTITUTE(SUBSTITUTE(SUBSTITUTE(SUBSTITUTE(SUBSTITUTE(SUBSTITUTE(SUBSTITUTE(SUBSTITUTE(SUBSTITUTE(SUBSTITUTE(SUBSTITUTE(SUBSTITUTE(SUBSTITUTE(SUBSTITUTE(SUBSTITUTE(UPPER(TRIM(A239)),"[MEMBER]",""),"{MEMBER}",""),"[MEMBER}",""),"MEMBER]",""),"(A)",""),"""",""),"“",""),"”",""),".",""),":",""),",",""),"–"," "),"-"," "),"/"," "),"&amp;"," AND "))&amp;" "," THE "," ")," TOTAL "," ")," OPERATIONS "," "))</f>
        <v>BRUSSELS CAPITAL REGION</v>
      </c>
      <c r="O239" s="17" t="str">
        <f aca="false">IF(COUNTIFS($N$2:$N$2000,N239,$D$2:$D$2000,"&lt;&gt;"&amp;D239)&gt;0,"CONFLICT","")</f>
        <v/>
      </c>
      <c r="P239" s="7"/>
    </row>
    <row r="240" customFormat="false" ht="15" hidden="false" customHeight="false" outlineLevel="0" collapsed="false">
      <c r="A240" s="7" t="s">
        <v>453</v>
      </c>
      <c r="B240" s="7" t="s">
        <v>1882</v>
      </c>
      <c r="C240" s="7" t="s">
        <v>453</v>
      </c>
      <c r="D240" s="6" t="s">
        <v>453</v>
      </c>
      <c r="E240" s="6" t="s">
        <v>1880</v>
      </c>
      <c r="F240" s="7" t="str">
        <f aca="false">IF($D240="","",IFERROR(IF(INDEX(Hierarchy!$B$2:$B$1295,MATCH($D240,Hierarchy!$A$2:$A$1295,0))="","",INDEX(Hierarchy!$B$2:$B$1295,MATCH($D240,Hierarchy!$A$2:$A$1295,0))),"NODE NOT FOUND"))</f>
        <v>City</v>
      </c>
      <c r="G240" s="7" t="str">
        <f aca="false">IF($D240="","",IFERROR(IF(INDEX(Hierarchy!$D$2:$D$1295,MATCH($D240,Hierarchy!$A$2:$A$1295,0))="","",INDEX(Hierarchy!$D$2:$D$1295,MATCH($D240,Hierarchy!$A$2:$A$1295,0))),"NODE NOT FOUND"))</f>
        <v>AMER</v>
      </c>
      <c r="H240" s="7" t="str">
        <f aca="false">IF($D240="","",IFERROR(IF(INDEX(Hierarchy!$E$2:$E$1295,MATCH($D240,Hierarchy!$A$2:$A$1295,0))="","",INDEX(Hierarchy!$E$2:$E$1295,MATCH($D240,Hierarchy!$A$2:$A$1295,0))),"NODE NOT FOUND"))</f>
        <v>Latin America (LATAM)</v>
      </c>
      <c r="I240" s="7" t="str">
        <f aca="false">IF($D240="","",IFERROR(IF(INDEX(Hierarchy!$F$2:$F$1295,MATCH($D240,Hierarchy!$A$2:$A$1295,0))="","",INDEX(Hierarchy!$F$2:$F$1295,MATCH($D240,Hierarchy!$A$2:$A$1295,0))),"NODE NOT FOUND"))</f>
        <v>Argentina</v>
      </c>
      <c r="J240" s="7" t="str">
        <f aca="false">IF($D240="","",IFERROR(IF(INDEX(Hierarchy!$G$2:$G$1295,MATCH($D240,Hierarchy!$A$2:$A$1295,0))="","",INDEX(Hierarchy!$G$2:$G$1295,MATCH($D240,Hierarchy!$A$2:$A$1295,0))),"NODE NOT FOUND"))</f>
        <v>ARG</v>
      </c>
      <c r="K240" s="7" t="str">
        <f aca="false">IF($D240="","",IFERROR(IF(INDEX(Hierarchy!$H$2:$H$1295,MATCH($D240,Hierarchy!$A$2:$A$1295,0))="","",INDEX(Hierarchy!$H$2:$H$1295,MATCH($D240,Hierarchy!$A$2:$A$1295,0))),"NODE NOT FOUND"))</f>
        <v/>
      </c>
      <c r="L240" s="7" t="str">
        <f aca="false">IF($D240="","",IFERROR(IF(INDEX(Hierarchy!$I$2:$I$1295,MATCH($D240,Hierarchy!$A$2:$A$1295,0))="","",INDEX(Hierarchy!$I$2:$I$1295,MATCH($D240,Hierarchy!$A$2:$A$1295,0))),"NODE NOT FOUND"))</f>
        <v>Buenos Aires</v>
      </c>
      <c r="M240" s="17" t="str">
        <f aca="false">IF(B240="Pre-seeded","Pre-seeded",IF(B240="Review 2026-09-16","Added from review",IF(C240="","New",IF(C240=D240,"","Changed"))))</f>
        <v/>
      </c>
      <c r="N240" s="7" t="str">
        <f aca="false">TRIM(SUBSTITUTE(SUBSTITUTE(SUBSTITUTE(" "&amp;TRIM(SUBSTITUTE(SUBSTITUTE(SUBSTITUTE(SUBSTITUTE(SUBSTITUTE(SUBSTITUTE(SUBSTITUTE(SUBSTITUTE(SUBSTITUTE(SUBSTITUTE(SUBSTITUTE(SUBSTITUTE(SUBSTITUTE(SUBSTITUTE(SUBSTITUTE(UPPER(TRIM(A240)),"[MEMBER]",""),"{MEMBER}",""),"[MEMBER}",""),"MEMBER]",""),"(A)",""),"""",""),"“",""),"”",""),".",""),":",""),",",""),"–"," "),"-"," "),"/"," "),"&amp;"," AND "))&amp;" "," THE "," ")," TOTAL "," ")," OPERATIONS "," "))</f>
        <v>BUENOS AIRES</v>
      </c>
      <c r="O240" s="17" t="str">
        <f aca="false">IF(COUNTIFS($N$2:$N$2000,N240,$D$2:$D$2000,"&lt;&gt;"&amp;D240)&gt;0,"CONFLICT","")</f>
        <v/>
      </c>
      <c r="P240" s="7"/>
    </row>
    <row r="241" customFormat="false" ht="15" hidden="false" customHeight="false" outlineLevel="0" collapsed="false">
      <c r="A241" s="7" t="s">
        <v>430</v>
      </c>
      <c r="B241" s="7" t="s">
        <v>1879</v>
      </c>
      <c r="C241" s="7"/>
      <c r="D241" s="6" t="s">
        <v>430</v>
      </c>
      <c r="E241" s="6" t="s">
        <v>1880</v>
      </c>
      <c r="F241" s="7" t="str">
        <f aca="false">IF($D241="","",IFERROR(IF(INDEX(Hierarchy!$B$2:$B$1295,MATCH($D241,Hierarchy!$A$2:$A$1295,0))="","",INDEX(Hierarchy!$B$2:$B$1295,MATCH($D241,Hierarchy!$A$2:$A$1295,0))),"NODE NOT FOUND"))</f>
        <v>State/Province</v>
      </c>
      <c r="G241" s="7" t="str">
        <f aca="false">IF($D241="","",IFERROR(IF(INDEX(Hierarchy!$D$2:$D$1295,MATCH($D241,Hierarchy!$A$2:$A$1295,0))="","",INDEX(Hierarchy!$D$2:$D$1295,MATCH($D241,Hierarchy!$A$2:$A$1295,0))),"NODE NOT FOUND"))</f>
        <v>AMER</v>
      </c>
      <c r="H241" s="7" t="str">
        <f aca="false">IF($D241="","",IFERROR(IF(INDEX(Hierarchy!$E$2:$E$1295,MATCH($D241,Hierarchy!$A$2:$A$1295,0))="","",INDEX(Hierarchy!$E$2:$E$1295,MATCH($D241,Hierarchy!$A$2:$A$1295,0))),"NODE NOT FOUND"))</f>
        <v>Latin America (LATAM)</v>
      </c>
      <c r="I241" s="7" t="str">
        <f aca="false">IF($D241="","",IFERROR(IF(INDEX(Hierarchy!$F$2:$F$1295,MATCH($D241,Hierarchy!$A$2:$A$1295,0))="","",INDEX(Hierarchy!$F$2:$F$1295,MATCH($D241,Hierarchy!$A$2:$A$1295,0))),"NODE NOT FOUND"))</f>
        <v>Argentina</v>
      </c>
      <c r="J241" s="7" t="str">
        <f aca="false">IF($D241="","",IFERROR(IF(INDEX(Hierarchy!$G$2:$G$1295,MATCH($D241,Hierarchy!$A$2:$A$1295,0))="","",INDEX(Hierarchy!$G$2:$G$1295,MATCH($D241,Hierarchy!$A$2:$A$1295,0))),"NODE NOT FOUND"))</f>
        <v>ARG</v>
      </c>
      <c r="K241" s="7" t="str">
        <f aca="false">IF($D241="","",IFERROR(IF(INDEX(Hierarchy!$H$2:$H$1295,MATCH($D241,Hierarchy!$A$2:$A$1295,0))="","",INDEX(Hierarchy!$H$2:$H$1295,MATCH($D241,Hierarchy!$A$2:$A$1295,0))),"NODE NOT FOUND"))</f>
        <v>Buenos Aires Province</v>
      </c>
      <c r="L241" s="7" t="str">
        <f aca="false">IF($D241="","",IFERROR(IF(INDEX(Hierarchy!$I$2:$I$1295,MATCH($D241,Hierarchy!$A$2:$A$1295,0))="","",INDEX(Hierarchy!$I$2:$I$1295,MATCH($D241,Hierarchy!$A$2:$A$1295,0))),"NODE NOT FOUND"))</f>
        <v/>
      </c>
      <c r="M241" s="17" t="str">
        <f aca="false">IF(B241="Pre-seeded","Pre-seeded",IF(B241="Review 2026-09-16","Added from review",IF(C241="","New",IF(C241=D241,"","Changed"))))</f>
        <v>Pre-seeded</v>
      </c>
      <c r="N241" s="7" t="str">
        <f aca="false">TRIM(SUBSTITUTE(SUBSTITUTE(SUBSTITUTE(" "&amp;TRIM(SUBSTITUTE(SUBSTITUTE(SUBSTITUTE(SUBSTITUTE(SUBSTITUTE(SUBSTITUTE(SUBSTITUTE(SUBSTITUTE(SUBSTITUTE(SUBSTITUTE(SUBSTITUTE(SUBSTITUTE(SUBSTITUTE(SUBSTITUTE(SUBSTITUTE(UPPER(TRIM(A241)),"[MEMBER]",""),"{MEMBER}",""),"[MEMBER}",""),"MEMBER]",""),"(A)",""),"""",""),"“",""),"”",""),".",""),":",""),",",""),"–"," "),"-"," "),"/"," "),"&amp;"," AND "))&amp;" "," THE "," ")," TOTAL "," ")," OPERATIONS "," "))</f>
        <v>BUENOS AIRES PROVINCE</v>
      </c>
      <c r="O241" s="17" t="str">
        <f aca="false">IF(COUNTIFS($N$2:$N$2000,N241,$D$2:$D$2000,"&lt;&gt;"&amp;D241)&gt;0,"CONFLICT","")</f>
        <v/>
      </c>
      <c r="P241" s="7"/>
    </row>
    <row r="242" customFormat="false" ht="15" hidden="false" customHeight="false" outlineLevel="0" collapsed="false">
      <c r="A242" s="7" t="s">
        <v>774</v>
      </c>
      <c r="B242" s="7" t="s">
        <v>1882</v>
      </c>
      <c r="C242" s="7" t="s">
        <v>774</v>
      </c>
      <c r="D242" s="6" t="s">
        <v>774</v>
      </c>
      <c r="E242" s="6" t="s">
        <v>1880</v>
      </c>
      <c r="F242" s="7" t="str">
        <f aca="false">IF($D242="","",IFERROR(IF(INDEX(Hierarchy!$B$2:$B$1295,MATCH($D242,Hierarchy!$A$2:$A$1295,0))="","",INDEX(Hierarchy!$B$2:$B$1295,MATCH($D242,Hierarchy!$A$2:$A$1295,0))),"NODE NOT FOUND"))</f>
        <v>Country</v>
      </c>
      <c r="G242" s="7" t="str">
        <f aca="false">IF($D242="","",IFERROR(IF(INDEX(Hierarchy!$D$2:$D$1295,MATCH($D242,Hierarchy!$A$2:$A$1295,0))="","",INDEX(Hierarchy!$D$2:$D$1295,MATCH($D242,Hierarchy!$A$2:$A$1295,0))),"NODE NOT FOUND"))</f>
        <v>EMEA</v>
      </c>
      <c r="H242" s="7" t="str">
        <f aca="false">IF($D242="","",IFERROR(IF(INDEX(Hierarchy!$E$2:$E$1295,MATCH($D242,Hierarchy!$A$2:$A$1295,0))="","",INDEX(Hierarchy!$E$2:$E$1295,MATCH($D242,Hierarchy!$A$2:$A$1295,0))),"NODE NOT FOUND"))</f>
        <v>Europe</v>
      </c>
      <c r="I242" s="7" t="str">
        <f aca="false">IF($D242="","",IFERROR(IF(INDEX(Hierarchy!$F$2:$F$1295,MATCH($D242,Hierarchy!$A$2:$A$1295,0))="","",INDEX(Hierarchy!$F$2:$F$1295,MATCH($D242,Hierarchy!$A$2:$A$1295,0))),"NODE NOT FOUND"))</f>
        <v>Bulgaria</v>
      </c>
      <c r="J242" s="7" t="str">
        <f aca="false">IF($D242="","",IFERROR(IF(INDEX(Hierarchy!$G$2:$G$1295,MATCH($D242,Hierarchy!$A$2:$A$1295,0))="","",INDEX(Hierarchy!$G$2:$G$1295,MATCH($D242,Hierarchy!$A$2:$A$1295,0))),"NODE NOT FOUND"))</f>
        <v>BGR</v>
      </c>
      <c r="K242" s="7" t="str">
        <f aca="false">IF($D242="","",IFERROR(IF(INDEX(Hierarchy!$H$2:$H$1295,MATCH($D242,Hierarchy!$A$2:$A$1295,0))="","",INDEX(Hierarchy!$H$2:$H$1295,MATCH($D242,Hierarchy!$A$2:$A$1295,0))),"NODE NOT FOUND"))</f>
        <v/>
      </c>
      <c r="L242" s="7" t="str">
        <f aca="false">IF($D242="","",IFERROR(IF(INDEX(Hierarchy!$I$2:$I$1295,MATCH($D242,Hierarchy!$A$2:$A$1295,0))="","",INDEX(Hierarchy!$I$2:$I$1295,MATCH($D242,Hierarchy!$A$2:$A$1295,0))),"NODE NOT FOUND"))</f>
        <v/>
      </c>
      <c r="M242" s="17" t="str">
        <f aca="false">IF(B242="Pre-seeded","Pre-seeded",IF(B242="Review 2026-09-16","Added from review",IF(C242="","New",IF(C242=D242,"","Changed"))))</f>
        <v/>
      </c>
      <c r="N242" s="7" t="str">
        <f aca="false">TRIM(SUBSTITUTE(SUBSTITUTE(SUBSTITUTE(" "&amp;TRIM(SUBSTITUTE(SUBSTITUTE(SUBSTITUTE(SUBSTITUTE(SUBSTITUTE(SUBSTITUTE(SUBSTITUTE(SUBSTITUTE(SUBSTITUTE(SUBSTITUTE(SUBSTITUTE(SUBSTITUTE(SUBSTITUTE(SUBSTITUTE(SUBSTITUTE(UPPER(TRIM(A242)),"[MEMBER]",""),"{MEMBER}",""),"[MEMBER}",""),"MEMBER]",""),"(A)",""),"""",""),"“",""),"”",""),".",""),":",""),",",""),"–"," "),"-"," "),"/"," "),"&amp;"," AND "))&amp;" "," THE "," ")," TOTAL "," ")," OPERATIONS "," "))</f>
        <v>BULGARIA</v>
      </c>
      <c r="O242" s="17" t="str">
        <f aca="false">IF(COUNTIFS($N$2:$N$2000,N242,$D$2:$D$2000,"&lt;&gt;"&amp;D242)&gt;0,"CONFLICT","")</f>
        <v/>
      </c>
      <c r="P242" s="7"/>
    </row>
    <row r="243" customFormat="false" ht="15" hidden="false" customHeight="false" outlineLevel="0" collapsed="false">
      <c r="A243" s="7" t="s">
        <v>749</v>
      </c>
      <c r="B243" s="7" t="s">
        <v>1879</v>
      </c>
      <c r="C243" s="7"/>
      <c r="D243" s="6" t="s">
        <v>749</v>
      </c>
      <c r="E243" s="6" t="s">
        <v>1880</v>
      </c>
      <c r="F243" s="7" t="str">
        <f aca="false">IF($D243="","",IFERROR(IF(INDEX(Hierarchy!$B$2:$B$1295,MATCH($D243,Hierarchy!$A$2:$A$1295,0))="","",INDEX(Hierarchy!$B$2:$B$1295,MATCH($D243,Hierarchy!$A$2:$A$1295,0))),"NODE NOT FOUND"))</f>
        <v>State/Province</v>
      </c>
      <c r="G243" s="7" t="str">
        <f aca="false">IF($D243="","",IFERROR(IF(INDEX(Hierarchy!$D$2:$D$1295,MATCH($D243,Hierarchy!$A$2:$A$1295,0))="","",INDEX(Hierarchy!$D$2:$D$1295,MATCH($D243,Hierarchy!$A$2:$A$1295,0))),"NODE NOT FOUND"))</f>
        <v>EMEA</v>
      </c>
      <c r="H243" s="7" t="str">
        <f aca="false">IF($D243="","",IFERROR(IF(INDEX(Hierarchy!$E$2:$E$1295,MATCH($D243,Hierarchy!$A$2:$A$1295,0))="","",INDEX(Hierarchy!$E$2:$E$1295,MATCH($D243,Hierarchy!$A$2:$A$1295,0))),"NODE NOT FOUND"))</f>
        <v>Europe</v>
      </c>
      <c r="I243" s="7" t="str">
        <f aca="false">IF($D243="","",IFERROR(IF(INDEX(Hierarchy!$F$2:$F$1295,MATCH($D243,Hierarchy!$A$2:$A$1295,0))="","",INDEX(Hierarchy!$F$2:$F$1295,MATCH($D243,Hierarchy!$A$2:$A$1295,0))),"NODE NOT FOUND"))</f>
        <v>Austria</v>
      </c>
      <c r="J243" s="7" t="str">
        <f aca="false">IF($D243="","",IFERROR(IF(INDEX(Hierarchy!$G$2:$G$1295,MATCH($D243,Hierarchy!$A$2:$A$1295,0))="","",INDEX(Hierarchy!$G$2:$G$1295,MATCH($D243,Hierarchy!$A$2:$A$1295,0))),"NODE NOT FOUND"))</f>
        <v>AUT</v>
      </c>
      <c r="K243" s="7" t="str">
        <f aca="false">IF($D243="","",IFERROR(IF(INDEX(Hierarchy!$H$2:$H$1295,MATCH($D243,Hierarchy!$A$2:$A$1295,0))="","",INDEX(Hierarchy!$H$2:$H$1295,MATCH($D243,Hierarchy!$A$2:$A$1295,0))),"NODE NOT FOUND"))</f>
        <v>Burgenland</v>
      </c>
      <c r="L243" s="7" t="str">
        <f aca="false">IF($D243="","",IFERROR(IF(INDEX(Hierarchy!$I$2:$I$1295,MATCH($D243,Hierarchy!$A$2:$A$1295,0))="","",INDEX(Hierarchy!$I$2:$I$1295,MATCH($D243,Hierarchy!$A$2:$A$1295,0))),"NODE NOT FOUND"))</f>
        <v/>
      </c>
      <c r="M243" s="17" t="str">
        <f aca="false">IF(B243="Pre-seeded","Pre-seeded",IF(B243="Review 2026-09-16","Added from review",IF(C243="","New",IF(C243=D243,"","Changed"))))</f>
        <v>Pre-seeded</v>
      </c>
      <c r="N243" s="7" t="str">
        <f aca="false">TRIM(SUBSTITUTE(SUBSTITUTE(SUBSTITUTE(" "&amp;TRIM(SUBSTITUTE(SUBSTITUTE(SUBSTITUTE(SUBSTITUTE(SUBSTITUTE(SUBSTITUTE(SUBSTITUTE(SUBSTITUTE(SUBSTITUTE(SUBSTITUTE(SUBSTITUTE(SUBSTITUTE(SUBSTITUTE(SUBSTITUTE(SUBSTITUTE(UPPER(TRIM(A243)),"[MEMBER]",""),"{MEMBER}",""),"[MEMBER}",""),"MEMBER]",""),"(A)",""),"""",""),"“",""),"”",""),".",""),":",""),",",""),"–"," "),"-"," "),"/"," "),"&amp;"," AND "))&amp;" "," THE "," ")," TOTAL "," ")," OPERATIONS "," "))</f>
        <v>BURGENLAND</v>
      </c>
      <c r="O243" s="17" t="str">
        <f aca="false">IF(COUNTIFS($N$2:$N$2000,N243,$D$2:$D$2000,"&lt;&gt;"&amp;D243)&gt;0,"CONFLICT","")</f>
        <v/>
      </c>
      <c r="P243" s="7"/>
    </row>
    <row r="244" customFormat="false" ht="15" hidden="false" customHeight="false" outlineLevel="0" collapsed="false">
      <c r="A244" s="7" t="s">
        <v>1184</v>
      </c>
      <c r="B244" s="7" t="s">
        <v>1879</v>
      </c>
      <c r="C244" s="7"/>
      <c r="D244" s="6" t="s">
        <v>1184</v>
      </c>
      <c r="E244" s="6" t="s">
        <v>1880</v>
      </c>
      <c r="F244" s="7" t="str">
        <f aca="false">IF($D244="","",IFERROR(IF(INDEX(Hierarchy!$B$2:$B$1295,MATCH($D244,Hierarchy!$A$2:$A$1295,0))="","",INDEX(Hierarchy!$B$2:$B$1295,MATCH($D244,Hierarchy!$A$2:$A$1295,0))),"NODE NOT FOUND"))</f>
        <v>Country</v>
      </c>
      <c r="G244" s="7" t="str">
        <f aca="false">IF($D244="","",IFERROR(IF(INDEX(Hierarchy!$D$2:$D$1295,MATCH($D244,Hierarchy!$A$2:$A$1295,0))="","",INDEX(Hierarchy!$D$2:$D$1295,MATCH($D244,Hierarchy!$A$2:$A$1295,0))),"NODE NOT FOUND"))</f>
        <v>EMEA</v>
      </c>
      <c r="H244" s="7" t="str">
        <f aca="false">IF($D244="","",IFERROR(IF(INDEX(Hierarchy!$E$2:$E$1295,MATCH($D244,Hierarchy!$A$2:$A$1295,0))="","",INDEX(Hierarchy!$E$2:$E$1295,MATCH($D244,Hierarchy!$A$2:$A$1295,0))),"NODE NOT FOUND"))</f>
        <v>Africa</v>
      </c>
      <c r="I244" s="7" t="str">
        <f aca="false">IF($D244="","",IFERROR(IF(INDEX(Hierarchy!$F$2:$F$1295,MATCH($D244,Hierarchy!$A$2:$A$1295,0))="","",INDEX(Hierarchy!$F$2:$F$1295,MATCH($D244,Hierarchy!$A$2:$A$1295,0))),"NODE NOT FOUND"))</f>
        <v>Burkina Faso</v>
      </c>
      <c r="J244" s="7" t="str">
        <f aca="false">IF($D244="","",IFERROR(IF(INDEX(Hierarchy!$G$2:$G$1295,MATCH($D244,Hierarchy!$A$2:$A$1295,0))="","",INDEX(Hierarchy!$G$2:$G$1295,MATCH($D244,Hierarchy!$A$2:$A$1295,0))),"NODE NOT FOUND"))</f>
        <v>BFA</v>
      </c>
      <c r="K244" s="7" t="str">
        <f aca="false">IF($D244="","",IFERROR(IF(INDEX(Hierarchy!$H$2:$H$1295,MATCH($D244,Hierarchy!$A$2:$A$1295,0))="","",INDEX(Hierarchy!$H$2:$H$1295,MATCH($D244,Hierarchy!$A$2:$A$1295,0))),"NODE NOT FOUND"))</f>
        <v/>
      </c>
      <c r="L244" s="7" t="str">
        <f aca="false">IF($D244="","",IFERROR(IF(INDEX(Hierarchy!$I$2:$I$1295,MATCH($D244,Hierarchy!$A$2:$A$1295,0))="","",INDEX(Hierarchy!$I$2:$I$1295,MATCH($D244,Hierarchy!$A$2:$A$1295,0))),"NODE NOT FOUND"))</f>
        <v/>
      </c>
      <c r="M244" s="17" t="str">
        <f aca="false">IF(B244="Pre-seeded","Pre-seeded",IF(B244="Review 2026-09-16","Added from review",IF(C244="","New",IF(C244=D244,"","Changed"))))</f>
        <v>Pre-seeded</v>
      </c>
      <c r="N244" s="7" t="str">
        <f aca="false">TRIM(SUBSTITUTE(SUBSTITUTE(SUBSTITUTE(" "&amp;TRIM(SUBSTITUTE(SUBSTITUTE(SUBSTITUTE(SUBSTITUTE(SUBSTITUTE(SUBSTITUTE(SUBSTITUTE(SUBSTITUTE(SUBSTITUTE(SUBSTITUTE(SUBSTITUTE(SUBSTITUTE(SUBSTITUTE(SUBSTITUTE(SUBSTITUTE(UPPER(TRIM(A244)),"[MEMBER]",""),"{MEMBER}",""),"[MEMBER}",""),"MEMBER]",""),"(A)",""),"""",""),"“",""),"”",""),".",""),":",""),",",""),"–"," "),"-"," "),"/"," "),"&amp;"," AND "))&amp;" "," THE "," ")," TOTAL "," ")," OPERATIONS "," "))</f>
        <v>BURKINA FASO</v>
      </c>
      <c r="O244" s="17" t="str">
        <f aca="false">IF(COUNTIFS($N$2:$N$2000,N244,$D$2:$D$2000,"&lt;&gt;"&amp;D244)&gt;0,"CONFLICT","")</f>
        <v/>
      </c>
      <c r="P244" s="7"/>
    </row>
    <row r="245" customFormat="false" ht="15" hidden="false" customHeight="false" outlineLevel="0" collapsed="false">
      <c r="A245" s="7" t="s">
        <v>2012</v>
      </c>
      <c r="B245" s="7" t="s">
        <v>1879</v>
      </c>
      <c r="C245" s="7"/>
      <c r="D245" s="6" t="s">
        <v>1659</v>
      </c>
      <c r="E245" s="6" t="s">
        <v>1880</v>
      </c>
      <c r="F245" s="7" t="str">
        <f aca="false">IF($D245="","",IFERROR(IF(INDEX(Hierarchy!$B$2:$B$1295,MATCH($D245,Hierarchy!$A$2:$A$1295,0))="","",INDEX(Hierarchy!$B$2:$B$1295,MATCH($D245,Hierarchy!$A$2:$A$1295,0))),"NODE NOT FOUND"))</f>
        <v>Country</v>
      </c>
      <c r="G245" s="7" t="str">
        <f aca="false">IF($D245="","",IFERROR(IF(INDEX(Hierarchy!$D$2:$D$1295,MATCH($D245,Hierarchy!$A$2:$A$1295,0))="","",INDEX(Hierarchy!$D$2:$D$1295,MATCH($D245,Hierarchy!$A$2:$A$1295,0))),"NODE NOT FOUND"))</f>
        <v>APAC</v>
      </c>
      <c r="H245" s="7" t="str">
        <f aca="false">IF($D245="","",IFERROR(IF(INDEX(Hierarchy!$E$2:$E$1295,MATCH($D245,Hierarchy!$A$2:$A$1295,0))="","",INDEX(Hierarchy!$E$2:$E$1295,MATCH($D245,Hierarchy!$A$2:$A$1295,0))),"NODE NOT FOUND"))</f>
        <v>Southeast Asia (ASEAN)</v>
      </c>
      <c r="I245" s="7" t="str">
        <f aca="false">IF($D245="","",IFERROR(IF(INDEX(Hierarchy!$F$2:$F$1295,MATCH($D245,Hierarchy!$A$2:$A$1295,0))="","",INDEX(Hierarchy!$F$2:$F$1295,MATCH($D245,Hierarchy!$A$2:$A$1295,0))),"NODE NOT FOUND"))</f>
        <v>Myanmar</v>
      </c>
      <c r="J245" s="7" t="str">
        <f aca="false">IF($D245="","",IFERROR(IF(INDEX(Hierarchy!$G$2:$G$1295,MATCH($D245,Hierarchy!$A$2:$A$1295,0))="","",INDEX(Hierarchy!$G$2:$G$1295,MATCH($D245,Hierarchy!$A$2:$A$1295,0))),"NODE NOT FOUND"))</f>
        <v>MMR</v>
      </c>
      <c r="K245" s="7" t="str">
        <f aca="false">IF($D245="","",IFERROR(IF(INDEX(Hierarchy!$H$2:$H$1295,MATCH($D245,Hierarchy!$A$2:$A$1295,0))="","",INDEX(Hierarchy!$H$2:$H$1295,MATCH($D245,Hierarchy!$A$2:$A$1295,0))),"NODE NOT FOUND"))</f>
        <v/>
      </c>
      <c r="L245" s="7" t="str">
        <f aca="false">IF($D245="","",IFERROR(IF(INDEX(Hierarchy!$I$2:$I$1295,MATCH($D245,Hierarchy!$A$2:$A$1295,0))="","",INDEX(Hierarchy!$I$2:$I$1295,MATCH($D245,Hierarchy!$A$2:$A$1295,0))),"NODE NOT FOUND"))</f>
        <v/>
      </c>
      <c r="M245" s="17" t="str">
        <f aca="false">IF(B245="Pre-seeded","Pre-seeded",IF(B245="Review 2026-09-16","Added from review",IF(C245="","New",IF(C245=D245,"","Changed"))))</f>
        <v>Pre-seeded</v>
      </c>
      <c r="N245" s="7" t="str">
        <f aca="false">TRIM(SUBSTITUTE(SUBSTITUTE(SUBSTITUTE(" "&amp;TRIM(SUBSTITUTE(SUBSTITUTE(SUBSTITUTE(SUBSTITUTE(SUBSTITUTE(SUBSTITUTE(SUBSTITUTE(SUBSTITUTE(SUBSTITUTE(SUBSTITUTE(SUBSTITUTE(SUBSTITUTE(SUBSTITUTE(SUBSTITUTE(SUBSTITUTE(UPPER(TRIM(A245)),"[MEMBER]",""),"{MEMBER}",""),"[MEMBER}",""),"MEMBER]",""),"(A)",""),"""",""),"“",""),"”",""),".",""),":",""),",",""),"–"," "),"-"," "),"/"," "),"&amp;"," AND "))&amp;" "," THE "," ")," TOTAL "," ")," OPERATIONS "," "))</f>
        <v>BURMA</v>
      </c>
      <c r="O245" s="17" t="str">
        <f aca="false">IF(COUNTIFS($N$2:$N$2000,N245,$D$2:$D$2000,"&lt;&gt;"&amp;D245)&gt;0,"CONFLICT","")</f>
        <v/>
      </c>
      <c r="P245" s="7"/>
    </row>
    <row r="246" customFormat="false" ht="15" hidden="false" customHeight="false" outlineLevel="0" collapsed="false">
      <c r="A246" s="7" t="s">
        <v>1187</v>
      </c>
      <c r="B246" s="7" t="s">
        <v>1879</v>
      </c>
      <c r="C246" s="7"/>
      <c r="D246" s="6" t="s">
        <v>1187</v>
      </c>
      <c r="E246" s="6" t="s">
        <v>1880</v>
      </c>
      <c r="F246" s="7" t="str">
        <f aca="false">IF($D246="","",IFERROR(IF(INDEX(Hierarchy!$B$2:$B$1295,MATCH($D246,Hierarchy!$A$2:$A$1295,0))="","",INDEX(Hierarchy!$B$2:$B$1295,MATCH($D246,Hierarchy!$A$2:$A$1295,0))),"NODE NOT FOUND"))</f>
        <v>Country</v>
      </c>
      <c r="G246" s="7" t="str">
        <f aca="false">IF($D246="","",IFERROR(IF(INDEX(Hierarchy!$D$2:$D$1295,MATCH($D246,Hierarchy!$A$2:$A$1295,0))="","",INDEX(Hierarchy!$D$2:$D$1295,MATCH($D246,Hierarchy!$A$2:$A$1295,0))),"NODE NOT FOUND"))</f>
        <v>EMEA</v>
      </c>
      <c r="H246" s="7" t="str">
        <f aca="false">IF($D246="","",IFERROR(IF(INDEX(Hierarchy!$E$2:$E$1295,MATCH($D246,Hierarchy!$A$2:$A$1295,0))="","",INDEX(Hierarchy!$E$2:$E$1295,MATCH($D246,Hierarchy!$A$2:$A$1295,0))),"NODE NOT FOUND"))</f>
        <v>Africa</v>
      </c>
      <c r="I246" s="7" t="str">
        <f aca="false">IF($D246="","",IFERROR(IF(INDEX(Hierarchy!$F$2:$F$1295,MATCH($D246,Hierarchy!$A$2:$A$1295,0))="","",INDEX(Hierarchy!$F$2:$F$1295,MATCH($D246,Hierarchy!$A$2:$A$1295,0))),"NODE NOT FOUND"))</f>
        <v>Burundi</v>
      </c>
      <c r="J246" s="7" t="str">
        <f aca="false">IF($D246="","",IFERROR(IF(INDEX(Hierarchy!$G$2:$G$1295,MATCH($D246,Hierarchy!$A$2:$A$1295,0))="","",INDEX(Hierarchy!$G$2:$G$1295,MATCH($D246,Hierarchy!$A$2:$A$1295,0))),"NODE NOT FOUND"))</f>
        <v>BDI</v>
      </c>
      <c r="K246" s="7" t="str">
        <f aca="false">IF($D246="","",IFERROR(IF(INDEX(Hierarchy!$H$2:$H$1295,MATCH($D246,Hierarchy!$A$2:$A$1295,0))="","",INDEX(Hierarchy!$H$2:$H$1295,MATCH($D246,Hierarchy!$A$2:$A$1295,0))),"NODE NOT FOUND"))</f>
        <v/>
      </c>
      <c r="L246" s="7" t="str">
        <f aca="false">IF($D246="","",IFERROR(IF(INDEX(Hierarchy!$I$2:$I$1295,MATCH($D246,Hierarchy!$A$2:$A$1295,0))="","",INDEX(Hierarchy!$I$2:$I$1295,MATCH($D246,Hierarchy!$A$2:$A$1295,0))),"NODE NOT FOUND"))</f>
        <v/>
      </c>
      <c r="M246" s="17" t="str">
        <f aca="false">IF(B246="Pre-seeded","Pre-seeded",IF(B246="Review 2026-09-16","Added from review",IF(C246="","New",IF(C246=D246,"","Changed"))))</f>
        <v>Pre-seeded</v>
      </c>
      <c r="N246" s="7" t="str">
        <f aca="false">TRIM(SUBSTITUTE(SUBSTITUTE(SUBSTITUTE(" "&amp;TRIM(SUBSTITUTE(SUBSTITUTE(SUBSTITUTE(SUBSTITUTE(SUBSTITUTE(SUBSTITUTE(SUBSTITUTE(SUBSTITUTE(SUBSTITUTE(SUBSTITUTE(SUBSTITUTE(SUBSTITUTE(SUBSTITUTE(SUBSTITUTE(SUBSTITUTE(UPPER(TRIM(A246)),"[MEMBER]",""),"{MEMBER}",""),"[MEMBER}",""),"MEMBER]",""),"(A)",""),"""",""),"“",""),"”",""),".",""),":",""),",",""),"–"," "),"-"," "),"/"," "),"&amp;"," AND "))&amp;" "," THE "," ")," TOTAL "," ")," OPERATIONS "," "))</f>
        <v>BURUNDI</v>
      </c>
      <c r="O246" s="17" t="str">
        <f aca="false">IF(COUNTIFS($N$2:$N$2000,N246,$D$2:$D$2000,"&lt;&gt;"&amp;D246)&gt;0,"CONFLICT","")</f>
        <v/>
      </c>
      <c r="P246" s="7"/>
    </row>
    <row r="247" customFormat="false" ht="15" hidden="false" customHeight="false" outlineLevel="0" collapsed="false">
      <c r="A247" s="7" t="s">
        <v>1562</v>
      </c>
      <c r="B247" s="7" t="s">
        <v>1879</v>
      </c>
      <c r="C247" s="7"/>
      <c r="D247" s="6" t="s">
        <v>1562</v>
      </c>
      <c r="E247" s="6" t="s">
        <v>1880</v>
      </c>
      <c r="F247" s="7" t="str">
        <f aca="false">IF($D247="","",IFERROR(IF(INDEX(Hierarchy!$B$2:$B$1295,MATCH($D247,Hierarchy!$A$2:$A$1295,0))="","",INDEX(Hierarchy!$B$2:$B$1295,MATCH($D247,Hierarchy!$A$2:$A$1295,0))),"NODE NOT FOUND"))</f>
        <v>State/Province</v>
      </c>
      <c r="G247" s="7" t="str">
        <f aca="false">IF($D247="","",IFERROR(IF(INDEX(Hierarchy!$D$2:$D$1295,MATCH($D247,Hierarchy!$A$2:$A$1295,0))="","",INDEX(Hierarchy!$D$2:$D$1295,MATCH($D247,Hierarchy!$A$2:$A$1295,0))),"NODE NOT FOUND"))</f>
        <v>APAC</v>
      </c>
      <c r="H247" s="7" t="str">
        <f aca="false">IF($D247="","",IFERROR(IF(INDEX(Hierarchy!$E$2:$E$1295,MATCH($D247,Hierarchy!$A$2:$A$1295,0))="","",INDEX(Hierarchy!$E$2:$E$1295,MATCH($D247,Hierarchy!$A$2:$A$1295,0))),"NODE NOT FOUND"))</f>
        <v>East Asia</v>
      </c>
      <c r="I247" s="7" t="str">
        <f aca="false">IF($D247="","",IFERROR(IF(INDEX(Hierarchy!$F$2:$F$1295,MATCH($D247,Hierarchy!$A$2:$A$1295,0))="","",INDEX(Hierarchy!$F$2:$F$1295,MATCH($D247,Hierarchy!$A$2:$A$1295,0))),"NODE NOT FOUND"))</f>
        <v>South Korea</v>
      </c>
      <c r="J247" s="7" t="str">
        <f aca="false">IF($D247="","",IFERROR(IF(INDEX(Hierarchy!$G$2:$G$1295,MATCH($D247,Hierarchy!$A$2:$A$1295,0))="","",INDEX(Hierarchy!$G$2:$G$1295,MATCH($D247,Hierarchy!$A$2:$A$1295,0))),"NODE NOT FOUND"))</f>
        <v>KOR</v>
      </c>
      <c r="K247" s="7" t="str">
        <f aca="false">IF($D247="","",IFERROR(IF(INDEX(Hierarchy!$H$2:$H$1295,MATCH($D247,Hierarchy!$A$2:$A$1295,0))="","",INDEX(Hierarchy!$H$2:$H$1295,MATCH($D247,Hierarchy!$A$2:$A$1295,0))),"NODE NOT FOUND"))</f>
        <v>Busan Metropolitan City</v>
      </c>
      <c r="L247" s="7" t="str">
        <f aca="false">IF($D247="","",IFERROR(IF(INDEX(Hierarchy!$I$2:$I$1295,MATCH($D247,Hierarchy!$A$2:$A$1295,0))="","",INDEX(Hierarchy!$I$2:$I$1295,MATCH($D247,Hierarchy!$A$2:$A$1295,0))),"NODE NOT FOUND"))</f>
        <v/>
      </c>
      <c r="M247" s="17" t="str">
        <f aca="false">IF(B247="Pre-seeded","Pre-seeded",IF(B247="Review 2026-09-16","Added from review",IF(C247="","New",IF(C247=D247,"","Changed"))))</f>
        <v>Pre-seeded</v>
      </c>
      <c r="N247" s="7" t="str">
        <f aca="false">TRIM(SUBSTITUTE(SUBSTITUTE(SUBSTITUTE(" "&amp;TRIM(SUBSTITUTE(SUBSTITUTE(SUBSTITUTE(SUBSTITUTE(SUBSTITUTE(SUBSTITUTE(SUBSTITUTE(SUBSTITUTE(SUBSTITUTE(SUBSTITUTE(SUBSTITUTE(SUBSTITUTE(SUBSTITUTE(SUBSTITUTE(SUBSTITUTE(UPPER(TRIM(A247)),"[MEMBER]",""),"{MEMBER}",""),"[MEMBER}",""),"MEMBER]",""),"(A)",""),"""",""),"“",""),"”",""),".",""),":",""),",",""),"–"," "),"-"," "),"/"," "),"&amp;"," AND "))&amp;" "," THE "," ")," TOTAL "," ")," OPERATIONS "," "))</f>
        <v>BUSAN METROPOLITAN CITY</v>
      </c>
      <c r="O247" s="17" t="str">
        <f aca="false">IF(COUNTIFS($N$2:$N$2000,N247,$D$2:$D$2000,"&lt;&gt;"&amp;D247)&gt;0,"CONFLICT","")</f>
        <v/>
      </c>
      <c r="P247" s="7"/>
    </row>
    <row r="248" customFormat="false" ht="15" hidden="false" customHeight="false" outlineLevel="0" collapsed="false">
      <c r="A248" s="7" t="s">
        <v>1191</v>
      </c>
      <c r="B248" s="7" t="s">
        <v>1879</v>
      </c>
      <c r="C248" s="7"/>
      <c r="D248" s="6" t="s">
        <v>1191</v>
      </c>
      <c r="E248" s="6" t="s">
        <v>1880</v>
      </c>
      <c r="F248" s="7" t="str">
        <f aca="false">IF($D248="","",IFERROR(IF(INDEX(Hierarchy!$B$2:$B$1295,MATCH($D248,Hierarchy!$A$2:$A$1295,0))="","",INDEX(Hierarchy!$B$2:$B$1295,MATCH($D248,Hierarchy!$A$2:$A$1295,0))),"NODE NOT FOUND"))</f>
        <v>Country</v>
      </c>
      <c r="G248" s="7" t="str">
        <f aca="false">IF($D248="","",IFERROR(IF(INDEX(Hierarchy!$D$2:$D$1295,MATCH($D248,Hierarchy!$A$2:$A$1295,0))="","",INDEX(Hierarchy!$D$2:$D$1295,MATCH($D248,Hierarchy!$A$2:$A$1295,0))),"NODE NOT FOUND"))</f>
        <v>EMEA</v>
      </c>
      <c r="H248" s="7" t="str">
        <f aca="false">IF($D248="","",IFERROR(IF(INDEX(Hierarchy!$E$2:$E$1295,MATCH($D248,Hierarchy!$A$2:$A$1295,0))="","",INDEX(Hierarchy!$E$2:$E$1295,MATCH($D248,Hierarchy!$A$2:$A$1295,0))),"NODE NOT FOUND"))</f>
        <v>Africa</v>
      </c>
      <c r="I248" s="7" t="str">
        <f aca="false">IF($D248="","",IFERROR(IF(INDEX(Hierarchy!$F$2:$F$1295,MATCH($D248,Hierarchy!$A$2:$A$1295,0))="","",INDEX(Hierarchy!$F$2:$F$1295,MATCH($D248,Hierarchy!$A$2:$A$1295,0))),"NODE NOT FOUND"))</f>
        <v>Cabo Verde</v>
      </c>
      <c r="J248" s="7" t="str">
        <f aca="false">IF($D248="","",IFERROR(IF(INDEX(Hierarchy!$G$2:$G$1295,MATCH($D248,Hierarchy!$A$2:$A$1295,0))="","",INDEX(Hierarchy!$G$2:$G$1295,MATCH($D248,Hierarchy!$A$2:$A$1295,0))),"NODE NOT FOUND"))</f>
        <v>CPV</v>
      </c>
      <c r="K248" s="7" t="str">
        <f aca="false">IF($D248="","",IFERROR(IF(INDEX(Hierarchy!$H$2:$H$1295,MATCH($D248,Hierarchy!$A$2:$A$1295,0))="","",INDEX(Hierarchy!$H$2:$H$1295,MATCH($D248,Hierarchy!$A$2:$A$1295,0))),"NODE NOT FOUND"))</f>
        <v/>
      </c>
      <c r="L248" s="7" t="str">
        <f aca="false">IF($D248="","",IFERROR(IF(INDEX(Hierarchy!$I$2:$I$1295,MATCH($D248,Hierarchy!$A$2:$A$1295,0))="","",INDEX(Hierarchy!$I$2:$I$1295,MATCH($D248,Hierarchy!$A$2:$A$1295,0))),"NODE NOT FOUND"))</f>
        <v/>
      </c>
      <c r="M248" s="17" t="str">
        <f aca="false">IF(B248="Pre-seeded","Pre-seeded",IF(B248="Review 2026-09-16","Added from review",IF(C248="","New",IF(C248=D248,"","Changed"))))</f>
        <v>Pre-seeded</v>
      </c>
      <c r="N248" s="7" t="str">
        <f aca="false">TRIM(SUBSTITUTE(SUBSTITUTE(SUBSTITUTE(" "&amp;TRIM(SUBSTITUTE(SUBSTITUTE(SUBSTITUTE(SUBSTITUTE(SUBSTITUTE(SUBSTITUTE(SUBSTITUTE(SUBSTITUTE(SUBSTITUTE(SUBSTITUTE(SUBSTITUTE(SUBSTITUTE(SUBSTITUTE(SUBSTITUTE(SUBSTITUTE(UPPER(TRIM(A248)),"[MEMBER]",""),"{MEMBER}",""),"[MEMBER}",""),"MEMBER]",""),"(A)",""),"""",""),"“",""),"”",""),".",""),":",""),",",""),"–"," "),"-"," "),"/"," "),"&amp;"," AND "))&amp;" "," THE "," ")," TOTAL "," ")," OPERATIONS "," "))</f>
        <v>CABO VERDE</v>
      </c>
      <c r="O248" s="17" t="str">
        <f aca="false">IF(COUNTIFS($N$2:$N$2000,N248,$D$2:$D$2000,"&lt;&gt;"&amp;D248)&gt;0,"CONFLICT","")</f>
        <v/>
      </c>
      <c r="P248" s="7"/>
    </row>
    <row r="249" customFormat="false" ht="15" hidden="false" customHeight="false" outlineLevel="0" collapsed="false">
      <c r="A249" s="7" t="s">
        <v>2013</v>
      </c>
      <c r="B249" s="7" t="s">
        <v>1879</v>
      </c>
      <c r="C249" s="7"/>
      <c r="D249" s="6" t="s">
        <v>317</v>
      </c>
      <c r="E249" s="6" t="s">
        <v>1880</v>
      </c>
      <c r="F249" s="7" t="str">
        <f aca="false">IF($D249="","",IFERROR(IF(INDEX(Hierarchy!$B$2:$B$1295,MATCH($D249,Hierarchy!$A$2:$A$1295,0))="","",INDEX(Hierarchy!$B$2:$B$1295,MATCH($D249,Hierarchy!$A$2:$A$1295,0))),"NODE NOT FOUND"))</f>
        <v>Sub-region component</v>
      </c>
      <c r="G249" s="7" t="str">
        <f aca="false">IF($D249="","",IFERROR(IF(INDEX(Hierarchy!$D$2:$D$1295,MATCH($D249,Hierarchy!$A$2:$A$1295,0))="","",INDEX(Hierarchy!$D$2:$D$1295,MATCH($D249,Hierarchy!$A$2:$A$1295,0))),"NODE NOT FOUND"))</f>
        <v>AMER</v>
      </c>
      <c r="H249" s="7" t="str">
        <f aca="false">IF($D249="","",IFERROR(IF(INDEX(Hierarchy!$E$2:$E$1295,MATCH($D249,Hierarchy!$A$2:$A$1295,0))="","",INDEX(Hierarchy!$E$2:$E$1295,MATCH($D249,Hierarchy!$A$2:$A$1295,0))),"NODE NOT FOUND"))</f>
        <v>Latin America (LATAM)</v>
      </c>
      <c r="I249" s="7" t="str">
        <f aca="false">IF($D249="","",IFERROR(IF(INDEX(Hierarchy!$F$2:$F$1295,MATCH($D249,Hierarchy!$A$2:$A$1295,0))="","",INDEX(Hierarchy!$F$2:$F$1295,MATCH($D249,Hierarchy!$A$2:$A$1295,0))),"NODE NOT FOUND"))</f>
        <v/>
      </c>
      <c r="J249" s="7" t="str">
        <f aca="false">IF($D249="","",IFERROR(IF(INDEX(Hierarchy!$G$2:$G$1295,MATCH($D249,Hierarchy!$A$2:$A$1295,0))="","",INDEX(Hierarchy!$G$2:$G$1295,MATCH($D249,Hierarchy!$A$2:$A$1295,0))),"NODE NOT FOUND"))</f>
        <v/>
      </c>
      <c r="K249" s="7" t="str">
        <f aca="false">IF($D249="","",IFERROR(IF(INDEX(Hierarchy!$H$2:$H$1295,MATCH($D249,Hierarchy!$A$2:$A$1295,0))="","",INDEX(Hierarchy!$H$2:$H$1295,MATCH($D249,Hierarchy!$A$2:$A$1295,0))),"NODE NOT FOUND"))</f>
        <v/>
      </c>
      <c r="L249" s="7" t="str">
        <f aca="false">IF($D249="","",IFERROR(IF(INDEX(Hierarchy!$I$2:$I$1295,MATCH($D249,Hierarchy!$A$2:$A$1295,0))="","",INDEX(Hierarchy!$I$2:$I$1295,MATCH($D249,Hierarchy!$A$2:$A$1295,0))),"NODE NOT FOUND"))</f>
        <v/>
      </c>
      <c r="M249" s="17" t="str">
        <f aca="false">IF(B249="Pre-seeded","Pre-seeded",IF(B249="Review 2026-09-16","Added from review",IF(C249="","New",IF(C249=D249,"","Changed"))))</f>
        <v>Pre-seeded</v>
      </c>
      <c r="N249" s="7" t="str">
        <f aca="false">TRIM(SUBSTITUTE(SUBSTITUTE(SUBSTITUTE(" "&amp;TRIM(SUBSTITUTE(SUBSTITUTE(SUBSTITUTE(SUBSTITUTE(SUBSTITUTE(SUBSTITUTE(SUBSTITUTE(SUBSTITUTE(SUBSTITUTE(SUBSTITUTE(SUBSTITUTE(SUBSTITUTE(SUBSTITUTE(SUBSTITUTE(SUBSTITUTE(UPPER(TRIM(A249)),"[MEMBER]",""),"{MEMBER}",""),"[MEMBER}",""),"MEMBER]",""),"(A)",""),"""",""),"“",""),"”",""),".",""),":",""),",",""),"–"," "),"-"," "),"/"," "),"&amp;"," AND "))&amp;" "," THE "," ")," TOTAL "," ")," OPERATIONS "," "))</f>
        <v>CAC</v>
      </c>
      <c r="O249" s="17" t="str">
        <f aca="false">IF(COUNTIFS($N$2:$N$2000,N249,$D$2:$D$2000,"&lt;&gt;"&amp;D249)&gt;0,"CONFLICT","")</f>
        <v/>
      </c>
      <c r="P249" s="7"/>
    </row>
    <row r="250" customFormat="false" ht="15" hidden="false" customHeight="false" outlineLevel="0" collapsed="false">
      <c r="A250" s="7" t="s">
        <v>317</v>
      </c>
      <c r="B250" s="7" t="s">
        <v>1879</v>
      </c>
      <c r="C250" s="7"/>
      <c r="D250" s="6" t="s">
        <v>317</v>
      </c>
      <c r="E250" s="6" t="s">
        <v>1880</v>
      </c>
      <c r="F250" s="7" t="str">
        <f aca="false">IF($D250="","",IFERROR(IF(INDEX(Hierarchy!$B$2:$B$1295,MATCH($D250,Hierarchy!$A$2:$A$1295,0))="","",INDEX(Hierarchy!$B$2:$B$1295,MATCH($D250,Hierarchy!$A$2:$A$1295,0))),"NODE NOT FOUND"))</f>
        <v>Sub-region component</v>
      </c>
      <c r="G250" s="7" t="str">
        <f aca="false">IF($D250="","",IFERROR(IF(INDEX(Hierarchy!$D$2:$D$1295,MATCH($D250,Hierarchy!$A$2:$A$1295,0))="","",INDEX(Hierarchy!$D$2:$D$1295,MATCH($D250,Hierarchy!$A$2:$A$1295,0))),"NODE NOT FOUND"))</f>
        <v>AMER</v>
      </c>
      <c r="H250" s="7" t="str">
        <f aca="false">IF($D250="","",IFERROR(IF(INDEX(Hierarchy!$E$2:$E$1295,MATCH($D250,Hierarchy!$A$2:$A$1295,0))="","",INDEX(Hierarchy!$E$2:$E$1295,MATCH($D250,Hierarchy!$A$2:$A$1295,0))),"NODE NOT FOUND"))</f>
        <v>Latin America (LATAM)</v>
      </c>
      <c r="I250" s="7" t="str">
        <f aca="false">IF($D250="","",IFERROR(IF(INDEX(Hierarchy!$F$2:$F$1295,MATCH($D250,Hierarchy!$A$2:$A$1295,0))="","",INDEX(Hierarchy!$F$2:$F$1295,MATCH($D250,Hierarchy!$A$2:$A$1295,0))),"NODE NOT FOUND"))</f>
        <v/>
      </c>
      <c r="J250" s="7" t="str">
        <f aca="false">IF($D250="","",IFERROR(IF(INDEX(Hierarchy!$G$2:$G$1295,MATCH($D250,Hierarchy!$A$2:$A$1295,0))="","",INDEX(Hierarchy!$G$2:$G$1295,MATCH($D250,Hierarchy!$A$2:$A$1295,0))),"NODE NOT FOUND"))</f>
        <v/>
      </c>
      <c r="K250" s="7" t="str">
        <f aca="false">IF($D250="","",IFERROR(IF(INDEX(Hierarchy!$H$2:$H$1295,MATCH($D250,Hierarchy!$A$2:$A$1295,0))="","",INDEX(Hierarchy!$H$2:$H$1295,MATCH($D250,Hierarchy!$A$2:$A$1295,0))),"NODE NOT FOUND"))</f>
        <v/>
      </c>
      <c r="L250" s="7" t="str">
        <f aca="false">IF($D250="","",IFERROR(IF(INDEX(Hierarchy!$I$2:$I$1295,MATCH($D250,Hierarchy!$A$2:$A$1295,0))="","",INDEX(Hierarchy!$I$2:$I$1295,MATCH($D250,Hierarchy!$A$2:$A$1295,0))),"NODE NOT FOUND"))</f>
        <v/>
      </c>
      <c r="M250" s="17" t="str">
        <f aca="false">IF(B250="Pre-seeded","Pre-seeded",IF(B250="Review 2026-09-16","Added from review",IF(C250="","New",IF(C250=D250,"","Changed"))))</f>
        <v>Pre-seeded</v>
      </c>
      <c r="N250" s="7" t="str">
        <f aca="false">TRIM(SUBSTITUTE(SUBSTITUTE(SUBSTITUTE(" "&amp;TRIM(SUBSTITUTE(SUBSTITUTE(SUBSTITUTE(SUBSTITUTE(SUBSTITUTE(SUBSTITUTE(SUBSTITUTE(SUBSTITUTE(SUBSTITUTE(SUBSTITUTE(SUBSTITUTE(SUBSTITUTE(SUBSTITUTE(SUBSTITUTE(SUBSTITUTE(UPPER(TRIM(A250)),"[MEMBER]",""),"{MEMBER}",""),"[MEMBER}",""),"MEMBER]",""),"(A)",""),"""",""),"“",""),"”",""),".",""),":",""),",",""),"–"," "),"-"," "),"/"," "),"&amp;"," AND "))&amp;" "," THE "," ")," TOTAL "," ")," OPERATIONS "," "))</f>
        <v>CAC (CENTRAL AMERICA AND CARIBBEAN)</v>
      </c>
      <c r="O250" s="17" t="str">
        <f aca="false">IF(COUNTIFS($N$2:$N$2000,N250,$D$2:$D$2000,"&lt;&gt;"&amp;D250)&gt;0,"CONFLICT","")</f>
        <v/>
      </c>
      <c r="P250" s="7"/>
    </row>
    <row r="251" customFormat="false" ht="15" hidden="false" customHeight="false" outlineLevel="0" collapsed="false">
      <c r="A251" s="7" t="s">
        <v>1665</v>
      </c>
      <c r="B251" s="7" t="s">
        <v>1879</v>
      </c>
      <c r="C251" s="7"/>
      <c r="D251" s="6" t="s">
        <v>1665</v>
      </c>
      <c r="E251" s="6" t="s">
        <v>1880</v>
      </c>
      <c r="F251" s="7" t="str">
        <f aca="false">IF($D251="","",IFERROR(IF(INDEX(Hierarchy!$B$2:$B$1295,MATCH($D251,Hierarchy!$A$2:$A$1295,0))="","",INDEX(Hierarchy!$B$2:$B$1295,MATCH($D251,Hierarchy!$A$2:$A$1295,0))),"NODE NOT FOUND"))</f>
        <v>State/Province</v>
      </c>
      <c r="G251" s="7" t="str">
        <f aca="false">IF($D251="","",IFERROR(IF(INDEX(Hierarchy!$D$2:$D$1295,MATCH($D251,Hierarchy!$A$2:$A$1295,0))="","",INDEX(Hierarchy!$D$2:$D$1295,MATCH($D251,Hierarchy!$A$2:$A$1295,0))),"NODE NOT FOUND"))</f>
        <v>APAC</v>
      </c>
      <c r="H251" s="7" t="str">
        <f aca="false">IF($D251="","",IFERROR(IF(INDEX(Hierarchy!$E$2:$E$1295,MATCH($D251,Hierarchy!$A$2:$A$1295,0))="","",INDEX(Hierarchy!$E$2:$E$1295,MATCH($D251,Hierarchy!$A$2:$A$1295,0))),"NODE NOT FOUND"))</f>
        <v>Southeast Asia (ASEAN)</v>
      </c>
      <c r="I251" s="7" t="str">
        <f aca="false">IF($D251="","",IFERROR(IF(INDEX(Hierarchy!$F$2:$F$1295,MATCH($D251,Hierarchy!$A$2:$A$1295,0))="","",INDEX(Hierarchy!$F$2:$F$1295,MATCH($D251,Hierarchy!$A$2:$A$1295,0))),"NODE NOT FOUND"))</f>
        <v>Philippines</v>
      </c>
      <c r="J251" s="7" t="str">
        <f aca="false">IF($D251="","",IFERROR(IF(INDEX(Hierarchy!$G$2:$G$1295,MATCH($D251,Hierarchy!$A$2:$A$1295,0))="","",INDEX(Hierarchy!$G$2:$G$1295,MATCH($D251,Hierarchy!$A$2:$A$1295,0))),"NODE NOT FOUND"))</f>
        <v>PHL</v>
      </c>
      <c r="K251" s="7" t="str">
        <f aca="false">IF($D251="","",IFERROR(IF(INDEX(Hierarchy!$H$2:$H$1295,MATCH($D251,Hierarchy!$A$2:$A$1295,0))="","",INDEX(Hierarchy!$H$2:$H$1295,MATCH($D251,Hierarchy!$A$2:$A$1295,0))),"NODE NOT FOUND"))</f>
        <v>Cagayan Valley</v>
      </c>
      <c r="L251" s="7" t="str">
        <f aca="false">IF($D251="","",IFERROR(IF(INDEX(Hierarchy!$I$2:$I$1295,MATCH($D251,Hierarchy!$A$2:$A$1295,0))="","",INDEX(Hierarchy!$I$2:$I$1295,MATCH($D251,Hierarchy!$A$2:$A$1295,0))),"NODE NOT FOUND"))</f>
        <v/>
      </c>
      <c r="M251" s="17" t="str">
        <f aca="false">IF(B251="Pre-seeded","Pre-seeded",IF(B251="Review 2026-09-16","Added from review",IF(C251="","New",IF(C251=D251,"","Changed"))))</f>
        <v>Pre-seeded</v>
      </c>
      <c r="N251" s="7" t="str">
        <f aca="false">TRIM(SUBSTITUTE(SUBSTITUTE(SUBSTITUTE(" "&amp;TRIM(SUBSTITUTE(SUBSTITUTE(SUBSTITUTE(SUBSTITUTE(SUBSTITUTE(SUBSTITUTE(SUBSTITUTE(SUBSTITUTE(SUBSTITUTE(SUBSTITUTE(SUBSTITUTE(SUBSTITUTE(SUBSTITUTE(SUBSTITUTE(SUBSTITUTE(UPPER(TRIM(A251)),"[MEMBER]",""),"{MEMBER}",""),"[MEMBER}",""),"MEMBER]",""),"(A)",""),"""",""),"“",""),"”",""),".",""),":",""),",",""),"–"," "),"-"," "),"/"," "),"&amp;"," AND "))&amp;" "," THE "," ")," TOTAL "," ")," OPERATIONS "," "))</f>
        <v>CAGAYAN VALLEY</v>
      </c>
      <c r="O251" s="17" t="str">
        <f aca="false">IF(COUNTIFS($N$2:$N$2000,N251,$D$2:$D$2000,"&lt;&gt;"&amp;D251)&gt;0,"CONFLICT","")</f>
        <v/>
      </c>
      <c r="P251" s="7"/>
    </row>
    <row r="252" customFormat="false" ht="15" hidden="false" customHeight="false" outlineLevel="0" collapsed="false">
      <c r="A252" s="7" t="s">
        <v>1666</v>
      </c>
      <c r="B252" s="7" t="s">
        <v>1879</v>
      </c>
      <c r="C252" s="7"/>
      <c r="D252" s="6" t="s">
        <v>1666</v>
      </c>
      <c r="E252" s="6" t="s">
        <v>1880</v>
      </c>
      <c r="F252" s="7" t="str">
        <f aca="false">IF($D252="","",IFERROR(IF(INDEX(Hierarchy!$B$2:$B$1295,MATCH($D252,Hierarchy!$A$2:$A$1295,0))="","",INDEX(Hierarchy!$B$2:$B$1295,MATCH($D252,Hierarchy!$A$2:$A$1295,0))),"NODE NOT FOUND"))</f>
        <v>State/Province</v>
      </c>
      <c r="G252" s="7" t="str">
        <f aca="false">IF($D252="","",IFERROR(IF(INDEX(Hierarchy!$D$2:$D$1295,MATCH($D252,Hierarchy!$A$2:$A$1295,0))="","",INDEX(Hierarchy!$D$2:$D$1295,MATCH($D252,Hierarchy!$A$2:$A$1295,0))),"NODE NOT FOUND"))</f>
        <v>APAC</v>
      </c>
      <c r="H252" s="7" t="str">
        <f aca="false">IF($D252="","",IFERROR(IF(INDEX(Hierarchy!$E$2:$E$1295,MATCH($D252,Hierarchy!$A$2:$A$1295,0))="","",INDEX(Hierarchy!$E$2:$E$1295,MATCH($D252,Hierarchy!$A$2:$A$1295,0))),"NODE NOT FOUND"))</f>
        <v>Southeast Asia (ASEAN)</v>
      </c>
      <c r="I252" s="7" t="str">
        <f aca="false">IF($D252="","",IFERROR(IF(INDEX(Hierarchy!$F$2:$F$1295,MATCH($D252,Hierarchy!$A$2:$A$1295,0))="","",INDEX(Hierarchy!$F$2:$F$1295,MATCH($D252,Hierarchy!$A$2:$A$1295,0))),"NODE NOT FOUND"))</f>
        <v>Philippines</v>
      </c>
      <c r="J252" s="7" t="str">
        <f aca="false">IF($D252="","",IFERROR(IF(INDEX(Hierarchy!$G$2:$G$1295,MATCH($D252,Hierarchy!$A$2:$A$1295,0))="","",INDEX(Hierarchy!$G$2:$G$1295,MATCH($D252,Hierarchy!$A$2:$A$1295,0))),"NODE NOT FOUND"))</f>
        <v>PHL</v>
      </c>
      <c r="K252" s="7" t="str">
        <f aca="false">IF($D252="","",IFERROR(IF(INDEX(Hierarchy!$H$2:$H$1295,MATCH($D252,Hierarchy!$A$2:$A$1295,0))="","",INDEX(Hierarchy!$H$2:$H$1295,MATCH($D252,Hierarchy!$A$2:$A$1295,0))),"NODE NOT FOUND"))</f>
        <v>Calabarzon</v>
      </c>
      <c r="L252" s="7" t="str">
        <f aca="false">IF($D252="","",IFERROR(IF(INDEX(Hierarchy!$I$2:$I$1295,MATCH($D252,Hierarchy!$A$2:$A$1295,0))="","",INDEX(Hierarchy!$I$2:$I$1295,MATCH($D252,Hierarchy!$A$2:$A$1295,0))),"NODE NOT FOUND"))</f>
        <v/>
      </c>
      <c r="M252" s="17" t="str">
        <f aca="false">IF(B252="Pre-seeded","Pre-seeded",IF(B252="Review 2026-09-16","Added from review",IF(C252="","New",IF(C252=D252,"","Changed"))))</f>
        <v>Pre-seeded</v>
      </c>
      <c r="N252" s="7" t="str">
        <f aca="false">TRIM(SUBSTITUTE(SUBSTITUTE(SUBSTITUTE(" "&amp;TRIM(SUBSTITUTE(SUBSTITUTE(SUBSTITUTE(SUBSTITUTE(SUBSTITUTE(SUBSTITUTE(SUBSTITUTE(SUBSTITUTE(SUBSTITUTE(SUBSTITUTE(SUBSTITUTE(SUBSTITUTE(SUBSTITUTE(SUBSTITUTE(SUBSTITUTE(UPPER(TRIM(A252)),"[MEMBER]",""),"{MEMBER}",""),"[MEMBER}",""),"MEMBER]",""),"(A)",""),"""",""),"“",""),"”",""),".",""),":",""),",",""),"–"," "),"-"," "),"/"," "),"&amp;"," AND "))&amp;" "," THE "," ")," TOTAL "," ")," OPERATIONS "," "))</f>
        <v>CALABARZON</v>
      </c>
      <c r="O252" s="17" t="str">
        <f aca="false">IF(COUNTIFS($N$2:$N$2000,N252,$D$2:$D$2000,"&lt;&gt;"&amp;D252)&gt;0,"CONFLICT","")</f>
        <v/>
      </c>
      <c r="P252" s="7"/>
    </row>
    <row r="253" customFormat="false" ht="15" hidden="false" customHeight="false" outlineLevel="0" collapsed="false">
      <c r="A253" s="7" t="s">
        <v>836</v>
      </c>
      <c r="B253" s="7" t="s">
        <v>1879</v>
      </c>
      <c r="C253" s="7"/>
      <c r="D253" s="6" t="s">
        <v>836</v>
      </c>
      <c r="E253" s="6" t="s">
        <v>1880</v>
      </c>
      <c r="F253" s="7" t="str">
        <f aca="false">IF($D253="","",IFERROR(IF(INDEX(Hierarchy!$B$2:$B$1295,MATCH($D253,Hierarchy!$A$2:$A$1295,0))="","",INDEX(Hierarchy!$B$2:$B$1295,MATCH($D253,Hierarchy!$A$2:$A$1295,0))),"NODE NOT FOUND"))</f>
        <v>State/Province</v>
      </c>
      <c r="G253" s="7" t="str">
        <f aca="false">IF($D253="","",IFERROR(IF(INDEX(Hierarchy!$D$2:$D$1295,MATCH($D253,Hierarchy!$A$2:$A$1295,0))="","",INDEX(Hierarchy!$D$2:$D$1295,MATCH($D253,Hierarchy!$A$2:$A$1295,0))),"NODE NOT FOUND"))</f>
        <v>EMEA</v>
      </c>
      <c r="H253" s="7" t="str">
        <f aca="false">IF($D253="","",IFERROR(IF(INDEX(Hierarchy!$E$2:$E$1295,MATCH($D253,Hierarchy!$A$2:$A$1295,0))="","",INDEX(Hierarchy!$E$2:$E$1295,MATCH($D253,Hierarchy!$A$2:$A$1295,0))),"NODE NOT FOUND"))</f>
        <v>Europe</v>
      </c>
      <c r="I253" s="7" t="str">
        <f aca="false">IF($D253="","",IFERROR(IF(INDEX(Hierarchy!$F$2:$F$1295,MATCH($D253,Hierarchy!$A$2:$A$1295,0))="","",INDEX(Hierarchy!$F$2:$F$1295,MATCH($D253,Hierarchy!$A$2:$A$1295,0))),"NODE NOT FOUND"))</f>
        <v>Italy</v>
      </c>
      <c r="J253" s="7" t="str">
        <f aca="false">IF($D253="","",IFERROR(IF(INDEX(Hierarchy!$G$2:$G$1295,MATCH($D253,Hierarchy!$A$2:$A$1295,0))="","",INDEX(Hierarchy!$G$2:$G$1295,MATCH($D253,Hierarchy!$A$2:$A$1295,0))),"NODE NOT FOUND"))</f>
        <v>ITA</v>
      </c>
      <c r="K253" s="7" t="str">
        <f aca="false">IF($D253="","",IFERROR(IF(INDEX(Hierarchy!$H$2:$H$1295,MATCH($D253,Hierarchy!$A$2:$A$1295,0))="","",INDEX(Hierarchy!$H$2:$H$1295,MATCH($D253,Hierarchy!$A$2:$A$1295,0))),"NODE NOT FOUND"))</f>
        <v>Calabria</v>
      </c>
      <c r="L253" s="7" t="str">
        <f aca="false">IF($D253="","",IFERROR(IF(INDEX(Hierarchy!$I$2:$I$1295,MATCH($D253,Hierarchy!$A$2:$A$1295,0))="","",INDEX(Hierarchy!$I$2:$I$1295,MATCH($D253,Hierarchy!$A$2:$A$1295,0))),"NODE NOT FOUND"))</f>
        <v/>
      </c>
      <c r="M253" s="17" t="str">
        <f aca="false">IF(B253="Pre-seeded","Pre-seeded",IF(B253="Review 2026-09-16","Added from review",IF(C253="","New",IF(C253=D253,"","Changed"))))</f>
        <v>Pre-seeded</v>
      </c>
      <c r="N253" s="7" t="str">
        <f aca="false">TRIM(SUBSTITUTE(SUBSTITUTE(SUBSTITUTE(" "&amp;TRIM(SUBSTITUTE(SUBSTITUTE(SUBSTITUTE(SUBSTITUTE(SUBSTITUTE(SUBSTITUTE(SUBSTITUTE(SUBSTITUTE(SUBSTITUTE(SUBSTITUTE(SUBSTITUTE(SUBSTITUTE(SUBSTITUTE(SUBSTITUTE(SUBSTITUTE(UPPER(TRIM(A253)),"[MEMBER]",""),"{MEMBER}",""),"[MEMBER}",""),"MEMBER]",""),"(A)",""),"""",""),"“",""),"”",""),".",""),":",""),",",""),"–"," "),"-"," "),"/"," "),"&amp;"," AND "))&amp;" "," THE "," ")," TOTAL "," ")," OPERATIONS "," "))</f>
        <v>CALABRIA</v>
      </c>
      <c r="O253" s="17" t="str">
        <f aca="false">IF(COUNTIFS($N$2:$N$2000,N253,$D$2:$D$2000,"&lt;&gt;"&amp;D253)&gt;0,"CONFLICT","")</f>
        <v/>
      </c>
      <c r="P253" s="7"/>
    </row>
    <row r="254" customFormat="false" ht="15" hidden="false" customHeight="false" outlineLevel="0" collapsed="false">
      <c r="A254" s="7" t="s">
        <v>508</v>
      </c>
      <c r="B254" s="7" t="s">
        <v>1879</v>
      </c>
      <c r="C254" s="7"/>
      <c r="D254" s="6" t="s">
        <v>508</v>
      </c>
      <c r="E254" s="6" t="s">
        <v>1880</v>
      </c>
      <c r="F254" s="7" t="str">
        <f aca="false">IF($D254="","",IFERROR(IF(INDEX(Hierarchy!$B$2:$B$1295,MATCH($D254,Hierarchy!$A$2:$A$1295,0))="","",INDEX(Hierarchy!$B$2:$B$1295,MATCH($D254,Hierarchy!$A$2:$A$1295,0))),"NODE NOT FOUND"))</f>
        <v>State/Province</v>
      </c>
      <c r="G254" s="7" t="str">
        <f aca="false">IF($D254="","",IFERROR(IF(INDEX(Hierarchy!$D$2:$D$1295,MATCH($D254,Hierarchy!$A$2:$A$1295,0))="","",INDEX(Hierarchy!$D$2:$D$1295,MATCH($D254,Hierarchy!$A$2:$A$1295,0))),"NODE NOT FOUND"))</f>
        <v>AMER</v>
      </c>
      <c r="H254" s="7" t="str">
        <f aca="false">IF($D254="","",IFERROR(IF(INDEX(Hierarchy!$E$2:$E$1295,MATCH($D254,Hierarchy!$A$2:$A$1295,0))="","",INDEX(Hierarchy!$E$2:$E$1295,MATCH($D254,Hierarchy!$A$2:$A$1295,0))),"NODE NOT FOUND"))</f>
        <v>Latin America (LATAM)</v>
      </c>
      <c r="I254" s="7" t="str">
        <f aca="false">IF($D254="","",IFERROR(IF(INDEX(Hierarchy!$F$2:$F$1295,MATCH($D254,Hierarchy!$A$2:$A$1295,0))="","",INDEX(Hierarchy!$F$2:$F$1295,MATCH($D254,Hierarchy!$A$2:$A$1295,0))),"NODE NOT FOUND"))</f>
        <v>Colombia</v>
      </c>
      <c r="J254" s="7" t="str">
        <f aca="false">IF($D254="","",IFERROR(IF(INDEX(Hierarchy!$G$2:$G$1295,MATCH($D254,Hierarchy!$A$2:$A$1295,0))="","",INDEX(Hierarchy!$G$2:$G$1295,MATCH($D254,Hierarchy!$A$2:$A$1295,0))),"NODE NOT FOUND"))</f>
        <v>COL</v>
      </c>
      <c r="K254" s="7" t="str">
        <f aca="false">IF($D254="","",IFERROR(IF(INDEX(Hierarchy!$H$2:$H$1295,MATCH($D254,Hierarchy!$A$2:$A$1295,0))="","",INDEX(Hierarchy!$H$2:$H$1295,MATCH($D254,Hierarchy!$A$2:$A$1295,0))),"NODE NOT FOUND"))</f>
        <v>Caldas</v>
      </c>
      <c r="L254" s="7" t="str">
        <f aca="false">IF($D254="","",IFERROR(IF(INDEX(Hierarchy!$I$2:$I$1295,MATCH($D254,Hierarchy!$A$2:$A$1295,0))="","",INDEX(Hierarchy!$I$2:$I$1295,MATCH($D254,Hierarchy!$A$2:$A$1295,0))),"NODE NOT FOUND"))</f>
        <v/>
      </c>
      <c r="M254" s="17" t="str">
        <f aca="false">IF(B254="Pre-seeded","Pre-seeded",IF(B254="Review 2026-09-16","Added from review",IF(C254="","New",IF(C254=D254,"","Changed"))))</f>
        <v>Pre-seeded</v>
      </c>
      <c r="N254" s="7" t="str">
        <f aca="false">TRIM(SUBSTITUTE(SUBSTITUTE(SUBSTITUTE(" "&amp;TRIM(SUBSTITUTE(SUBSTITUTE(SUBSTITUTE(SUBSTITUTE(SUBSTITUTE(SUBSTITUTE(SUBSTITUTE(SUBSTITUTE(SUBSTITUTE(SUBSTITUTE(SUBSTITUTE(SUBSTITUTE(SUBSTITUTE(SUBSTITUTE(SUBSTITUTE(UPPER(TRIM(A254)),"[MEMBER]",""),"{MEMBER}",""),"[MEMBER}",""),"MEMBER]",""),"(A)",""),"""",""),"“",""),"”",""),".",""),":",""),",",""),"–"," "),"-"," "),"/"," "),"&amp;"," AND "))&amp;" "," THE "," ")," TOTAL "," ")," OPERATIONS "," "))</f>
        <v>CALDAS</v>
      </c>
      <c r="O254" s="17" t="str">
        <f aca="false">IF(COUNTIFS($N$2:$N$2000,N254,$D$2:$D$2000,"&lt;&gt;"&amp;D254)&gt;0,"CONFLICT","")</f>
        <v/>
      </c>
      <c r="P254" s="7"/>
    </row>
    <row r="255" customFormat="false" ht="15" hidden="false" customHeight="false" outlineLevel="0" collapsed="false">
      <c r="A255" s="7" t="s">
        <v>138</v>
      </c>
      <c r="B255" s="7" t="s">
        <v>1882</v>
      </c>
      <c r="C255" s="7" t="s">
        <v>138</v>
      </c>
      <c r="D255" s="6" t="s">
        <v>138</v>
      </c>
      <c r="E255" s="6" t="s">
        <v>1880</v>
      </c>
      <c r="F255" s="7" t="str">
        <f aca="false">IF($D255="","",IFERROR(IF(INDEX(Hierarchy!$B$2:$B$1295,MATCH($D255,Hierarchy!$A$2:$A$1295,0))="","",INDEX(Hierarchy!$B$2:$B$1295,MATCH($D255,Hierarchy!$A$2:$A$1295,0))),"NODE NOT FOUND"))</f>
        <v>State/Province</v>
      </c>
      <c r="G255" s="7" t="str">
        <f aca="false">IF($D255="","",IFERROR(IF(INDEX(Hierarchy!$D$2:$D$1295,MATCH($D255,Hierarchy!$A$2:$A$1295,0))="","",INDEX(Hierarchy!$D$2:$D$1295,MATCH($D255,Hierarchy!$A$2:$A$1295,0))),"NODE NOT FOUND"))</f>
        <v>AMER</v>
      </c>
      <c r="H255" s="7" t="str">
        <f aca="false">IF($D255="","",IFERROR(IF(INDEX(Hierarchy!$E$2:$E$1295,MATCH($D255,Hierarchy!$A$2:$A$1295,0))="","",INDEX(Hierarchy!$E$2:$E$1295,MATCH($D255,Hierarchy!$A$2:$A$1295,0))),"NODE NOT FOUND"))</f>
        <v>North America (NORAM)</v>
      </c>
      <c r="I255" s="7" t="str">
        <f aca="false">IF($D255="","",IFERROR(IF(INDEX(Hierarchy!$F$2:$F$1295,MATCH($D255,Hierarchy!$A$2:$A$1295,0))="","",INDEX(Hierarchy!$F$2:$F$1295,MATCH($D255,Hierarchy!$A$2:$A$1295,0))),"NODE NOT FOUND"))</f>
        <v>United States</v>
      </c>
      <c r="J255" s="7" t="str">
        <f aca="false">IF($D255="","",IFERROR(IF(INDEX(Hierarchy!$G$2:$G$1295,MATCH($D255,Hierarchy!$A$2:$A$1295,0))="","",INDEX(Hierarchy!$G$2:$G$1295,MATCH($D255,Hierarchy!$A$2:$A$1295,0))),"NODE NOT FOUND"))</f>
        <v>USA</v>
      </c>
      <c r="K255" s="7" t="str">
        <f aca="false">IF($D255="","",IFERROR(IF(INDEX(Hierarchy!$H$2:$H$1295,MATCH($D255,Hierarchy!$A$2:$A$1295,0))="","",INDEX(Hierarchy!$H$2:$H$1295,MATCH($D255,Hierarchy!$A$2:$A$1295,0))),"NODE NOT FOUND"))</f>
        <v>California</v>
      </c>
      <c r="L255" s="7" t="str">
        <f aca="false">IF($D255="","",IFERROR(IF(INDEX(Hierarchy!$I$2:$I$1295,MATCH($D255,Hierarchy!$A$2:$A$1295,0))="","",INDEX(Hierarchy!$I$2:$I$1295,MATCH($D255,Hierarchy!$A$2:$A$1295,0))),"NODE NOT FOUND"))</f>
        <v/>
      </c>
      <c r="M255" s="17" t="str">
        <f aca="false">IF(B255="Pre-seeded","Pre-seeded",IF(B255="Review 2026-09-16","Added from review",IF(C255="","New",IF(C255=D255,"","Changed"))))</f>
        <v/>
      </c>
      <c r="N255" s="7" t="str">
        <f aca="false">TRIM(SUBSTITUTE(SUBSTITUTE(SUBSTITUTE(" "&amp;TRIM(SUBSTITUTE(SUBSTITUTE(SUBSTITUTE(SUBSTITUTE(SUBSTITUTE(SUBSTITUTE(SUBSTITUTE(SUBSTITUTE(SUBSTITUTE(SUBSTITUTE(SUBSTITUTE(SUBSTITUTE(SUBSTITUTE(SUBSTITUTE(SUBSTITUTE(UPPER(TRIM(A255)),"[MEMBER]",""),"{MEMBER}",""),"[MEMBER}",""),"MEMBER]",""),"(A)",""),"""",""),"“",""),"”",""),".",""),":",""),",",""),"–"," "),"-"," "),"/"," "),"&amp;"," AND "))&amp;" "," THE "," ")," TOTAL "," ")," OPERATIONS "," "))</f>
        <v>CALIFORNIA</v>
      </c>
      <c r="O255" s="17" t="str">
        <f aca="false">IF(COUNTIFS($N$2:$N$2000,N255,$D$2:$D$2000,"&lt;&gt;"&amp;D255)&gt;0,"CONFLICT","")</f>
        <v/>
      </c>
      <c r="P255" s="7"/>
    </row>
    <row r="256" customFormat="false" ht="15" hidden="false" customHeight="false" outlineLevel="0" collapsed="false">
      <c r="A256" s="7" t="s">
        <v>2014</v>
      </c>
      <c r="B256" s="7" t="s">
        <v>1882</v>
      </c>
      <c r="C256" s="7" t="s">
        <v>138</v>
      </c>
      <c r="D256" s="6" t="s">
        <v>138</v>
      </c>
      <c r="E256" s="6" t="s">
        <v>1880</v>
      </c>
      <c r="F256" s="7" t="str">
        <f aca="false">IF($D256="","",IFERROR(IF(INDEX(Hierarchy!$B$2:$B$1295,MATCH($D256,Hierarchy!$A$2:$A$1295,0))="","",INDEX(Hierarchy!$B$2:$B$1295,MATCH($D256,Hierarchy!$A$2:$A$1295,0))),"NODE NOT FOUND"))</f>
        <v>State/Province</v>
      </c>
      <c r="G256" s="7" t="str">
        <f aca="false">IF($D256="","",IFERROR(IF(INDEX(Hierarchy!$D$2:$D$1295,MATCH($D256,Hierarchy!$A$2:$A$1295,0))="","",INDEX(Hierarchy!$D$2:$D$1295,MATCH($D256,Hierarchy!$A$2:$A$1295,0))),"NODE NOT FOUND"))</f>
        <v>AMER</v>
      </c>
      <c r="H256" s="7" t="str">
        <f aca="false">IF($D256="","",IFERROR(IF(INDEX(Hierarchy!$E$2:$E$1295,MATCH($D256,Hierarchy!$A$2:$A$1295,0))="","",INDEX(Hierarchy!$E$2:$E$1295,MATCH($D256,Hierarchy!$A$2:$A$1295,0))),"NODE NOT FOUND"))</f>
        <v>North America (NORAM)</v>
      </c>
      <c r="I256" s="7" t="str">
        <f aca="false">IF($D256="","",IFERROR(IF(INDEX(Hierarchy!$F$2:$F$1295,MATCH($D256,Hierarchy!$A$2:$A$1295,0))="","",INDEX(Hierarchy!$F$2:$F$1295,MATCH($D256,Hierarchy!$A$2:$A$1295,0))),"NODE NOT FOUND"))</f>
        <v>United States</v>
      </c>
      <c r="J256" s="7" t="str">
        <f aca="false">IF($D256="","",IFERROR(IF(INDEX(Hierarchy!$G$2:$G$1295,MATCH($D256,Hierarchy!$A$2:$A$1295,0))="","",INDEX(Hierarchy!$G$2:$G$1295,MATCH($D256,Hierarchy!$A$2:$A$1295,0))),"NODE NOT FOUND"))</f>
        <v>USA</v>
      </c>
      <c r="K256" s="7" t="str">
        <f aca="false">IF($D256="","",IFERROR(IF(INDEX(Hierarchy!$H$2:$H$1295,MATCH($D256,Hierarchy!$A$2:$A$1295,0))="","",INDEX(Hierarchy!$H$2:$H$1295,MATCH($D256,Hierarchy!$A$2:$A$1295,0))),"NODE NOT FOUND"))</f>
        <v>California</v>
      </c>
      <c r="L256" s="7" t="str">
        <f aca="false">IF($D256="","",IFERROR(IF(INDEX(Hierarchy!$I$2:$I$1295,MATCH($D256,Hierarchy!$A$2:$A$1295,0))="","",INDEX(Hierarchy!$I$2:$I$1295,MATCH($D256,Hierarchy!$A$2:$A$1295,0))),"NODE NOT FOUND"))</f>
        <v/>
      </c>
      <c r="M256" s="17" t="str">
        <f aca="false">IF(B256="Pre-seeded","Pre-seeded",IF(B256="Review 2026-09-16","Added from review",IF(C256="","New",IF(C256=D256,"","Changed"))))</f>
        <v/>
      </c>
      <c r="N256" s="7" t="str">
        <f aca="false">TRIM(SUBSTITUTE(SUBSTITUTE(SUBSTITUTE(" "&amp;TRIM(SUBSTITUTE(SUBSTITUTE(SUBSTITUTE(SUBSTITUTE(SUBSTITUTE(SUBSTITUTE(SUBSTITUTE(SUBSTITUTE(SUBSTITUTE(SUBSTITUTE(SUBSTITUTE(SUBSTITUTE(SUBSTITUTE(SUBSTITUTE(SUBSTITUTE(UPPER(TRIM(A256)),"[MEMBER]",""),"{MEMBER}",""),"[MEMBER}",""),"MEMBER]",""),"(A)",""),"""",""),"“",""),"”",""),".",""),":",""),",",""),"–"," "),"-"," "),"/"," "),"&amp;"," AND "))&amp;" "," THE "," ")," TOTAL "," ")," OPERATIONS "," "))</f>
        <v>CALIFORNIA</v>
      </c>
      <c r="O256" s="17" t="str">
        <f aca="false">IF(COUNTIFS($N$2:$N$2000,N256,$D$2:$D$2000,"&lt;&gt;"&amp;D256)&gt;0,"CONFLICT","")</f>
        <v/>
      </c>
      <c r="P256" s="7"/>
    </row>
    <row r="257" customFormat="false" ht="15" hidden="false" customHeight="false" outlineLevel="0" collapsed="false">
      <c r="A257" s="7" t="s">
        <v>2015</v>
      </c>
      <c r="B257" s="7" t="s">
        <v>1882</v>
      </c>
      <c r="C257" s="7" t="s">
        <v>1653</v>
      </c>
      <c r="D257" s="6" t="s">
        <v>1653</v>
      </c>
      <c r="E257" s="6" t="s">
        <v>1880</v>
      </c>
      <c r="F257" s="7" t="str">
        <f aca="false">IF($D257="","",IFERROR(IF(INDEX(Hierarchy!$B$2:$B$1295,MATCH($D257,Hierarchy!$A$2:$A$1295,0))="","",INDEX(Hierarchy!$B$2:$B$1295,MATCH($D257,Hierarchy!$A$2:$A$1295,0))),"NODE NOT FOUND"))</f>
        <v>Country</v>
      </c>
      <c r="G257" s="7" t="str">
        <f aca="false">IF($D257="","",IFERROR(IF(INDEX(Hierarchy!$D$2:$D$1295,MATCH($D257,Hierarchy!$A$2:$A$1295,0))="","",INDEX(Hierarchy!$D$2:$D$1295,MATCH($D257,Hierarchy!$A$2:$A$1295,0))),"NODE NOT FOUND"))</f>
        <v>APAC</v>
      </c>
      <c r="H257" s="7" t="str">
        <f aca="false">IF($D257="","",IFERROR(IF(INDEX(Hierarchy!$E$2:$E$1295,MATCH($D257,Hierarchy!$A$2:$A$1295,0))="","",INDEX(Hierarchy!$E$2:$E$1295,MATCH($D257,Hierarchy!$A$2:$A$1295,0))),"NODE NOT FOUND"))</f>
        <v>Southeast Asia (ASEAN)</v>
      </c>
      <c r="I257" s="7" t="str">
        <f aca="false">IF($D257="","",IFERROR(IF(INDEX(Hierarchy!$F$2:$F$1295,MATCH($D257,Hierarchy!$A$2:$A$1295,0))="","",INDEX(Hierarchy!$F$2:$F$1295,MATCH($D257,Hierarchy!$A$2:$A$1295,0))),"NODE NOT FOUND"))</f>
        <v>Cambodia</v>
      </c>
      <c r="J257" s="7" t="str">
        <f aca="false">IF($D257="","",IFERROR(IF(INDEX(Hierarchy!$G$2:$G$1295,MATCH($D257,Hierarchy!$A$2:$A$1295,0))="","",INDEX(Hierarchy!$G$2:$G$1295,MATCH($D257,Hierarchy!$A$2:$A$1295,0))),"NODE NOT FOUND"))</f>
        <v>KHM</v>
      </c>
      <c r="K257" s="7" t="str">
        <f aca="false">IF($D257="","",IFERROR(IF(INDEX(Hierarchy!$H$2:$H$1295,MATCH($D257,Hierarchy!$A$2:$A$1295,0))="","",INDEX(Hierarchy!$H$2:$H$1295,MATCH($D257,Hierarchy!$A$2:$A$1295,0))),"NODE NOT FOUND"))</f>
        <v/>
      </c>
      <c r="L257" s="7" t="str">
        <f aca="false">IF($D257="","",IFERROR(IF(INDEX(Hierarchy!$I$2:$I$1295,MATCH($D257,Hierarchy!$A$2:$A$1295,0))="","",INDEX(Hierarchy!$I$2:$I$1295,MATCH($D257,Hierarchy!$A$2:$A$1295,0))),"NODE NOT FOUND"))</f>
        <v/>
      </c>
      <c r="M257" s="17" t="str">
        <f aca="false">IF(B257="Pre-seeded","Pre-seeded",IF(B257="Review 2026-09-16","Added from review",IF(C257="","New",IF(C257=D257,"","Changed"))))</f>
        <v/>
      </c>
      <c r="N257" s="7" t="str">
        <f aca="false">TRIM(SUBSTITUTE(SUBSTITUTE(SUBSTITUTE(" "&amp;TRIM(SUBSTITUTE(SUBSTITUTE(SUBSTITUTE(SUBSTITUTE(SUBSTITUTE(SUBSTITUTE(SUBSTITUTE(SUBSTITUTE(SUBSTITUTE(SUBSTITUTE(SUBSTITUTE(SUBSTITUTE(SUBSTITUTE(SUBSTITUTE(SUBSTITUTE(UPPER(TRIM(A257)),"[MEMBER]",""),"{MEMBER}",""),"[MEMBER}",""),"MEMBER]",""),"(A)",""),"""",""),"“",""),"”",""),".",""),":",""),",",""),"–"," "),"-"," "),"/"," "),"&amp;"," AND "))&amp;" "," THE "," ")," TOTAL "," ")," OPERATIONS "," "))</f>
        <v>CAMBODIA</v>
      </c>
      <c r="O257" s="17" t="str">
        <f aca="false">IF(COUNTIFS($N$2:$N$2000,N257,$D$2:$D$2000,"&lt;&gt;"&amp;D257)&gt;0,"CONFLICT","")</f>
        <v/>
      </c>
      <c r="P257" s="7"/>
    </row>
    <row r="258" customFormat="false" ht="15" hidden="false" customHeight="false" outlineLevel="0" collapsed="false">
      <c r="A258" s="7" t="s">
        <v>1194</v>
      </c>
      <c r="B258" s="7" t="s">
        <v>1879</v>
      </c>
      <c r="C258" s="7"/>
      <c r="D258" s="6" t="s">
        <v>1194</v>
      </c>
      <c r="E258" s="6" t="s">
        <v>1880</v>
      </c>
      <c r="F258" s="7" t="str">
        <f aca="false">IF($D258="","",IFERROR(IF(INDEX(Hierarchy!$B$2:$B$1295,MATCH($D258,Hierarchy!$A$2:$A$1295,0))="","",INDEX(Hierarchy!$B$2:$B$1295,MATCH($D258,Hierarchy!$A$2:$A$1295,0))),"NODE NOT FOUND"))</f>
        <v>Country</v>
      </c>
      <c r="G258" s="7" t="str">
        <f aca="false">IF($D258="","",IFERROR(IF(INDEX(Hierarchy!$D$2:$D$1295,MATCH($D258,Hierarchy!$A$2:$A$1295,0))="","",INDEX(Hierarchy!$D$2:$D$1295,MATCH($D258,Hierarchy!$A$2:$A$1295,0))),"NODE NOT FOUND"))</f>
        <v>EMEA</v>
      </c>
      <c r="H258" s="7" t="str">
        <f aca="false">IF($D258="","",IFERROR(IF(INDEX(Hierarchy!$E$2:$E$1295,MATCH($D258,Hierarchy!$A$2:$A$1295,0))="","",INDEX(Hierarchy!$E$2:$E$1295,MATCH($D258,Hierarchy!$A$2:$A$1295,0))),"NODE NOT FOUND"))</f>
        <v>Africa</v>
      </c>
      <c r="I258" s="7" t="str">
        <f aca="false">IF($D258="","",IFERROR(IF(INDEX(Hierarchy!$F$2:$F$1295,MATCH($D258,Hierarchy!$A$2:$A$1295,0))="","",INDEX(Hierarchy!$F$2:$F$1295,MATCH($D258,Hierarchy!$A$2:$A$1295,0))),"NODE NOT FOUND"))</f>
        <v>Cameroon</v>
      </c>
      <c r="J258" s="7" t="str">
        <f aca="false">IF($D258="","",IFERROR(IF(INDEX(Hierarchy!$G$2:$G$1295,MATCH($D258,Hierarchy!$A$2:$A$1295,0))="","",INDEX(Hierarchy!$G$2:$G$1295,MATCH($D258,Hierarchy!$A$2:$A$1295,0))),"NODE NOT FOUND"))</f>
        <v>CMR</v>
      </c>
      <c r="K258" s="7" t="str">
        <f aca="false">IF($D258="","",IFERROR(IF(INDEX(Hierarchy!$H$2:$H$1295,MATCH($D258,Hierarchy!$A$2:$A$1295,0))="","",INDEX(Hierarchy!$H$2:$H$1295,MATCH($D258,Hierarchy!$A$2:$A$1295,0))),"NODE NOT FOUND"))</f>
        <v/>
      </c>
      <c r="L258" s="7" t="str">
        <f aca="false">IF($D258="","",IFERROR(IF(INDEX(Hierarchy!$I$2:$I$1295,MATCH($D258,Hierarchy!$A$2:$A$1295,0))="","",INDEX(Hierarchy!$I$2:$I$1295,MATCH($D258,Hierarchy!$A$2:$A$1295,0))),"NODE NOT FOUND"))</f>
        <v/>
      </c>
      <c r="M258" s="17" t="str">
        <f aca="false">IF(B258="Pre-seeded","Pre-seeded",IF(B258="Review 2026-09-16","Added from review",IF(C258="","New",IF(C258=D258,"","Changed"))))</f>
        <v>Pre-seeded</v>
      </c>
      <c r="N258" s="7" t="str">
        <f aca="false">TRIM(SUBSTITUTE(SUBSTITUTE(SUBSTITUTE(" "&amp;TRIM(SUBSTITUTE(SUBSTITUTE(SUBSTITUTE(SUBSTITUTE(SUBSTITUTE(SUBSTITUTE(SUBSTITUTE(SUBSTITUTE(SUBSTITUTE(SUBSTITUTE(SUBSTITUTE(SUBSTITUTE(SUBSTITUTE(SUBSTITUTE(SUBSTITUTE(UPPER(TRIM(A258)),"[MEMBER]",""),"{MEMBER}",""),"[MEMBER}",""),"MEMBER]",""),"(A)",""),"""",""),"“",""),"”",""),".",""),":",""),",",""),"–"," "),"-"," "),"/"," "),"&amp;"," AND "))&amp;" "," THE "," ")," TOTAL "," ")," OPERATIONS "," "))</f>
        <v>CAMEROON</v>
      </c>
      <c r="O258" s="17" t="str">
        <f aca="false">IF(COUNTIFS($N$2:$N$2000,N258,$D$2:$D$2000,"&lt;&gt;"&amp;D258)&gt;0,"CONFLICT","")</f>
        <v/>
      </c>
      <c r="P258" s="7"/>
    </row>
    <row r="259" customFormat="false" ht="15" hidden="false" customHeight="false" outlineLevel="0" collapsed="false">
      <c r="A259" s="7" t="s">
        <v>837</v>
      </c>
      <c r="B259" s="7" t="s">
        <v>1879</v>
      </c>
      <c r="C259" s="7"/>
      <c r="D259" s="6" t="s">
        <v>837</v>
      </c>
      <c r="E259" s="6" t="s">
        <v>1880</v>
      </c>
      <c r="F259" s="7" t="str">
        <f aca="false">IF($D259="","",IFERROR(IF(INDEX(Hierarchy!$B$2:$B$1295,MATCH($D259,Hierarchy!$A$2:$A$1295,0))="","",INDEX(Hierarchy!$B$2:$B$1295,MATCH($D259,Hierarchy!$A$2:$A$1295,0))),"NODE NOT FOUND"))</f>
        <v>State/Province</v>
      </c>
      <c r="G259" s="7" t="str">
        <f aca="false">IF($D259="","",IFERROR(IF(INDEX(Hierarchy!$D$2:$D$1295,MATCH($D259,Hierarchy!$A$2:$A$1295,0))="","",INDEX(Hierarchy!$D$2:$D$1295,MATCH($D259,Hierarchy!$A$2:$A$1295,0))),"NODE NOT FOUND"))</f>
        <v>EMEA</v>
      </c>
      <c r="H259" s="7" t="str">
        <f aca="false">IF($D259="","",IFERROR(IF(INDEX(Hierarchy!$E$2:$E$1295,MATCH($D259,Hierarchy!$A$2:$A$1295,0))="","",INDEX(Hierarchy!$E$2:$E$1295,MATCH($D259,Hierarchy!$A$2:$A$1295,0))),"NODE NOT FOUND"))</f>
        <v>Europe</v>
      </c>
      <c r="I259" s="7" t="str">
        <f aca="false">IF($D259="","",IFERROR(IF(INDEX(Hierarchy!$F$2:$F$1295,MATCH($D259,Hierarchy!$A$2:$A$1295,0))="","",INDEX(Hierarchy!$F$2:$F$1295,MATCH($D259,Hierarchy!$A$2:$A$1295,0))),"NODE NOT FOUND"))</f>
        <v>Italy</v>
      </c>
      <c r="J259" s="7" t="str">
        <f aca="false">IF($D259="","",IFERROR(IF(INDEX(Hierarchy!$G$2:$G$1295,MATCH($D259,Hierarchy!$A$2:$A$1295,0))="","",INDEX(Hierarchy!$G$2:$G$1295,MATCH($D259,Hierarchy!$A$2:$A$1295,0))),"NODE NOT FOUND"))</f>
        <v>ITA</v>
      </c>
      <c r="K259" s="7" t="str">
        <f aca="false">IF($D259="","",IFERROR(IF(INDEX(Hierarchy!$H$2:$H$1295,MATCH($D259,Hierarchy!$A$2:$A$1295,0))="","",INDEX(Hierarchy!$H$2:$H$1295,MATCH($D259,Hierarchy!$A$2:$A$1295,0))),"NODE NOT FOUND"))</f>
        <v>Campania</v>
      </c>
      <c r="L259" s="7" t="str">
        <f aca="false">IF($D259="","",IFERROR(IF(INDEX(Hierarchy!$I$2:$I$1295,MATCH($D259,Hierarchy!$A$2:$A$1295,0))="","",INDEX(Hierarchy!$I$2:$I$1295,MATCH($D259,Hierarchy!$A$2:$A$1295,0))),"NODE NOT FOUND"))</f>
        <v/>
      </c>
      <c r="M259" s="17" t="str">
        <f aca="false">IF(B259="Pre-seeded","Pre-seeded",IF(B259="Review 2026-09-16","Added from review",IF(C259="","New",IF(C259=D259,"","Changed"))))</f>
        <v>Pre-seeded</v>
      </c>
      <c r="N259" s="7" t="str">
        <f aca="false">TRIM(SUBSTITUTE(SUBSTITUTE(SUBSTITUTE(" "&amp;TRIM(SUBSTITUTE(SUBSTITUTE(SUBSTITUTE(SUBSTITUTE(SUBSTITUTE(SUBSTITUTE(SUBSTITUTE(SUBSTITUTE(SUBSTITUTE(SUBSTITUTE(SUBSTITUTE(SUBSTITUTE(SUBSTITUTE(SUBSTITUTE(SUBSTITUTE(UPPER(TRIM(A259)),"[MEMBER]",""),"{MEMBER}",""),"[MEMBER}",""),"MEMBER]",""),"(A)",""),"""",""),"“",""),"”",""),".",""),":",""),",",""),"–"," "),"-"," "),"/"," "),"&amp;"," AND "))&amp;" "," THE "," ")," TOTAL "," ")," OPERATIONS "," "))</f>
        <v>CAMPANIA</v>
      </c>
      <c r="O259" s="17" t="str">
        <f aca="false">IF(COUNTIFS($N$2:$N$2000,N259,$D$2:$D$2000,"&lt;&gt;"&amp;D259)&gt;0,"CONFLICT","")</f>
        <v/>
      </c>
      <c r="P259" s="7"/>
    </row>
    <row r="260" customFormat="false" ht="15" hidden="false" customHeight="false" outlineLevel="0" collapsed="false">
      <c r="A260" s="7" t="s">
        <v>387</v>
      </c>
      <c r="B260" s="7" t="s">
        <v>1879</v>
      </c>
      <c r="C260" s="7"/>
      <c r="D260" s="6" t="s">
        <v>387</v>
      </c>
      <c r="E260" s="6" t="s">
        <v>1880</v>
      </c>
      <c r="F260" s="7" t="str">
        <f aca="false">IF($D260="","",IFERROR(IF(INDEX(Hierarchy!$B$2:$B$1295,MATCH($D260,Hierarchy!$A$2:$A$1295,0))="","",INDEX(Hierarchy!$B$2:$B$1295,MATCH($D260,Hierarchy!$A$2:$A$1295,0))),"NODE NOT FOUND"))</f>
        <v>State/Province</v>
      </c>
      <c r="G260" s="7" t="str">
        <f aca="false">IF($D260="","",IFERROR(IF(INDEX(Hierarchy!$D$2:$D$1295,MATCH($D260,Hierarchy!$A$2:$A$1295,0))="","",INDEX(Hierarchy!$D$2:$D$1295,MATCH($D260,Hierarchy!$A$2:$A$1295,0))),"NODE NOT FOUND"))</f>
        <v>AMER</v>
      </c>
      <c r="H260" s="7" t="str">
        <f aca="false">IF($D260="","",IFERROR(IF(INDEX(Hierarchy!$E$2:$E$1295,MATCH($D260,Hierarchy!$A$2:$A$1295,0))="","",INDEX(Hierarchy!$E$2:$E$1295,MATCH($D260,Hierarchy!$A$2:$A$1295,0))),"NODE NOT FOUND"))</f>
        <v>Latin America (LATAM)</v>
      </c>
      <c r="I260" s="7" t="str">
        <f aca="false">IF($D260="","",IFERROR(IF(INDEX(Hierarchy!$F$2:$F$1295,MATCH($D260,Hierarchy!$A$2:$A$1295,0))="","",INDEX(Hierarchy!$F$2:$F$1295,MATCH($D260,Hierarchy!$A$2:$A$1295,0))),"NODE NOT FOUND"))</f>
        <v>Mexico</v>
      </c>
      <c r="J260" s="7" t="str">
        <f aca="false">IF($D260="","",IFERROR(IF(INDEX(Hierarchy!$G$2:$G$1295,MATCH($D260,Hierarchy!$A$2:$A$1295,0))="","",INDEX(Hierarchy!$G$2:$G$1295,MATCH($D260,Hierarchy!$A$2:$A$1295,0))),"NODE NOT FOUND"))</f>
        <v>MEX</v>
      </c>
      <c r="K260" s="7" t="str">
        <f aca="false">IF($D260="","",IFERROR(IF(INDEX(Hierarchy!$H$2:$H$1295,MATCH($D260,Hierarchy!$A$2:$A$1295,0))="","",INDEX(Hierarchy!$H$2:$H$1295,MATCH($D260,Hierarchy!$A$2:$A$1295,0))),"NODE NOT FOUND"))</f>
        <v>Campeche</v>
      </c>
      <c r="L260" s="7" t="str">
        <f aca="false">IF($D260="","",IFERROR(IF(INDEX(Hierarchy!$I$2:$I$1295,MATCH($D260,Hierarchy!$A$2:$A$1295,0))="","",INDEX(Hierarchy!$I$2:$I$1295,MATCH($D260,Hierarchy!$A$2:$A$1295,0))),"NODE NOT FOUND"))</f>
        <v/>
      </c>
      <c r="M260" s="17" t="str">
        <f aca="false">IF(B260="Pre-seeded","Pre-seeded",IF(B260="Review 2026-09-16","Added from review",IF(C260="","New",IF(C260=D260,"","Changed"))))</f>
        <v>Pre-seeded</v>
      </c>
      <c r="N260" s="7" t="str">
        <f aca="false">TRIM(SUBSTITUTE(SUBSTITUTE(SUBSTITUTE(" "&amp;TRIM(SUBSTITUTE(SUBSTITUTE(SUBSTITUTE(SUBSTITUTE(SUBSTITUTE(SUBSTITUTE(SUBSTITUTE(SUBSTITUTE(SUBSTITUTE(SUBSTITUTE(SUBSTITUTE(SUBSTITUTE(SUBSTITUTE(SUBSTITUTE(SUBSTITUTE(UPPER(TRIM(A260)),"[MEMBER]",""),"{MEMBER}",""),"[MEMBER}",""),"MEMBER]",""),"(A)",""),"""",""),"“",""),"”",""),".",""),":",""),",",""),"–"," "),"-"," "),"/"," "),"&amp;"," AND "))&amp;" "," THE "," ")," TOTAL "," ")," OPERATIONS "," "))</f>
        <v>CAMPECHE</v>
      </c>
      <c r="O260" s="17" t="str">
        <f aca="false">IF(COUNTIFS($N$2:$N$2000,N260,$D$2:$D$2000,"&lt;&gt;"&amp;D260)&gt;0,"CONFLICT","")</f>
        <v/>
      </c>
      <c r="P260" s="7"/>
    </row>
    <row r="261" customFormat="false" ht="15" hidden="false" customHeight="false" outlineLevel="0" collapsed="false">
      <c r="A261" s="7" t="s">
        <v>271</v>
      </c>
      <c r="B261" s="7" t="s">
        <v>1882</v>
      </c>
      <c r="C261" s="7" t="s">
        <v>271</v>
      </c>
      <c r="D261" s="6" t="s">
        <v>271</v>
      </c>
      <c r="E261" s="6" t="s">
        <v>1880</v>
      </c>
      <c r="F261" s="7" t="str">
        <f aca="false">IF($D261="","",IFERROR(IF(INDEX(Hierarchy!$B$2:$B$1295,MATCH($D261,Hierarchy!$A$2:$A$1295,0))="","",INDEX(Hierarchy!$B$2:$B$1295,MATCH($D261,Hierarchy!$A$2:$A$1295,0))),"NODE NOT FOUND"))</f>
        <v>Country</v>
      </c>
      <c r="G261" s="7" t="str">
        <f aca="false">IF($D261="","",IFERROR(IF(INDEX(Hierarchy!$D$2:$D$1295,MATCH($D261,Hierarchy!$A$2:$A$1295,0))="","",INDEX(Hierarchy!$D$2:$D$1295,MATCH($D261,Hierarchy!$A$2:$A$1295,0))),"NODE NOT FOUND"))</f>
        <v>AMER</v>
      </c>
      <c r="H261" s="7" t="str">
        <f aca="false">IF($D261="","",IFERROR(IF(INDEX(Hierarchy!$E$2:$E$1295,MATCH($D261,Hierarchy!$A$2:$A$1295,0))="","",INDEX(Hierarchy!$E$2:$E$1295,MATCH($D261,Hierarchy!$A$2:$A$1295,0))),"NODE NOT FOUND"))</f>
        <v>North America (NORAM)</v>
      </c>
      <c r="I261" s="7" t="str">
        <f aca="false">IF($D261="","",IFERROR(IF(INDEX(Hierarchy!$F$2:$F$1295,MATCH($D261,Hierarchy!$A$2:$A$1295,0))="","",INDEX(Hierarchy!$F$2:$F$1295,MATCH($D261,Hierarchy!$A$2:$A$1295,0))),"NODE NOT FOUND"))</f>
        <v>Canada</v>
      </c>
      <c r="J261" s="7" t="str">
        <f aca="false">IF($D261="","",IFERROR(IF(INDEX(Hierarchy!$G$2:$G$1295,MATCH($D261,Hierarchy!$A$2:$A$1295,0))="","",INDEX(Hierarchy!$G$2:$G$1295,MATCH($D261,Hierarchy!$A$2:$A$1295,0))),"NODE NOT FOUND"))</f>
        <v>CAN</v>
      </c>
      <c r="K261" s="7" t="str">
        <f aca="false">IF($D261="","",IFERROR(IF(INDEX(Hierarchy!$H$2:$H$1295,MATCH($D261,Hierarchy!$A$2:$A$1295,0))="","",INDEX(Hierarchy!$H$2:$H$1295,MATCH($D261,Hierarchy!$A$2:$A$1295,0))),"NODE NOT FOUND"))</f>
        <v/>
      </c>
      <c r="L261" s="7" t="str">
        <f aca="false">IF($D261="","",IFERROR(IF(INDEX(Hierarchy!$I$2:$I$1295,MATCH($D261,Hierarchy!$A$2:$A$1295,0))="","",INDEX(Hierarchy!$I$2:$I$1295,MATCH($D261,Hierarchy!$A$2:$A$1295,0))),"NODE NOT FOUND"))</f>
        <v/>
      </c>
      <c r="M261" s="17" t="str">
        <f aca="false">IF(B261="Pre-seeded","Pre-seeded",IF(B261="Review 2026-09-16","Added from review",IF(C261="","New",IF(C261=D261,"","Changed"))))</f>
        <v/>
      </c>
      <c r="N261" s="7" t="str">
        <f aca="false">TRIM(SUBSTITUTE(SUBSTITUTE(SUBSTITUTE(" "&amp;TRIM(SUBSTITUTE(SUBSTITUTE(SUBSTITUTE(SUBSTITUTE(SUBSTITUTE(SUBSTITUTE(SUBSTITUTE(SUBSTITUTE(SUBSTITUTE(SUBSTITUTE(SUBSTITUTE(SUBSTITUTE(SUBSTITUTE(SUBSTITUTE(SUBSTITUTE(UPPER(TRIM(A261)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61" s="17" t="str">
        <f aca="false">IF(COUNTIFS($N$2:$N$2000,N261,$D$2:$D$2000,"&lt;&gt;"&amp;D261)&gt;0,"CONFLICT","")</f>
        <v/>
      </c>
      <c r="P261" s="7"/>
    </row>
    <row r="262" customFormat="false" ht="15" hidden="false" customHeight="false" outlineLevel="0" collapsed="false">
      <c r="A262" s="7" t="s">
        <v>2016</v>
      </c>
      <c r="B262" s="7" t="s">
        <v>1882</v>
      </c>
      <c r="C262" s="7" t="s">
        <v>271</v>
      </c>
      <c r="D262" s="6" t="s">
        <v>271</v>
      </c>
      <c r="E262" s="6" t="s">
        <v>1880</v>
      </c>
      <c r="F262" s="7" t="str">
        <f aca="false">IF($D262="","",IFERROR(IF(INDEX(Hierarchy!$B$2:$B$1295,MATCH($D262,Hierarchy!$A$2:$A$1295,0))="","",INDEX(Hierarchy!$B$2:$B$1295,MATCH($D262,Hierarchy!$A$2:$A$1295,0))),"NODE NOT FOUND"))</f>
        <v>Country</v>
      </c>
      <c r="G262" s="7" t="str">
        <f aca="false">IF($D262="","",IFERROR(IF(INDEX(Hierarchy!$D$2:$D$1295,MATCH($D262,Hierarchy!$A$2:$A$1295,0))="","",INDEX(Hierarchy!$D$2:$D$1295,MATCH($D262,Hierarchy!$A$2:$A$1295,0))),"NODE NOT FOUND"))</f>
        <v>AMER</v>
      </c>
      <c r="H262" s="7" t="str">
        <f aca="false">IF($D262="","",IFERROR(IF(INDEX(Hierarchy!$E$2:$E$1295,MATCH($D262,Hierarchy!$A$2:$A$1295,0))="","",INDEX(Hierarchy!$E$2:$E$1295,MATCH($D262,Hierarchy!$A$2:$A$1295,0))),"NODE NOT FOUND"))</f>
        <v>North America (NORAM)</v>
      </c>
      <c r="I262" s="7" t="str">
        <f aca="false">IF($D262="","",IFERROR(IF(INDEX(Hierarchy!$F$2:$F$1295,MATCH($D262,Hierarchy!$A$2:$A$1295,0))="","",INDEX(Hierarchy!$F$2:$F$1295,MATCH($D262,Hierarchy!$A$2:$A$1295,0))),"NODE NOT FOUND"))</f>
        <v>Canada</v>
      </c>
      <c r="J262" s="7" t="str">
        <f aca="false">IF($D262="","",IFERROR(IF(INDEX(Hierarchy!$G$2:$G$1295,MATCH($D262,Hierarchy!$A$2:$A$1295,0))="","",INDEX(Hierarchy!$G$2:$G$1295,MATCH($D262,Hierarchy!$A$2:$A$1295,0))),"NODE NOT FOUND"))</f>
        <v>CAN</v>
      </c>
      <c r="K262" s="7" t="str">
        <f aca="false">IF($D262="","",IFERROR(IF(INDEX(Hierarchy!$H$2:$H$1295,MATCH($D262,Hierarchy!$A$2:$A$1295,0))="","",INDEX(Hierarchy!$H$2:$H$1295,MATCH($D262,Hierarchy!$A$2:$A$1295,0))),"NODE NOT FOUND"))</f>
        <v/>
      </c>
      <c r="L262" s="7" t="str">
        <f aca="false">IF($D262="","",IFERROR(IF(INDEX(Hierarchy!$I$2:$I$1295,MATCH($D262,Hierarchy!$A$2:$A$1295,0))="","",INDEX(Hierarchy!$I$2:$I$1295,MATCH($D262,Hierarchy!$A$2:$A$1295,0))),"NODE NOT FOUND"))</f>
        <v/>
      </c>
      <c r="M262" s="17" t="str">
        <f aca="false">IF(B262="Pre-seeded","Pre-seeded",IF(B262="Review 2026-09-16","Added from review",IF(C262="","New",IF(C262=D262,"","Changed"))))</f>
        <v/>
      </c>
      <c r="N262" s="7" t="str">
        <f aca="false">TRIM(SUBSTITUTE(SUBSTITUTE(SUBSTITUTE(" "&amp;TRIM(SUBSTITUTE(SUBSTITUTE(SUBSTITUTE(SUBSTITUTE(SUBSTITUTE(SUBSTITUTE(SUBSTITUTE(SUBSTITUTE(SUBSTITUTE(SUBSTITUTE(SUBSTITUTE(SUBSTITUTE(SUBSTITUTE(SUBSTITUTE(SUBSTITUTE(UPPER(TRIM(A262)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62" s="17" t="str">
        <f aca="false">IF(COUNTIFS($N$2:$N$2000,N262,$D$2:$D$2000,"&lt;&gt;"&amp;D262)&gt;0,"CONFLICT","")</f>
        <v/>
      </c>
      <c r="P262" s="7"/>
    </row>
    <row r="263" customFormat="false" ht="15" hidden="false" customHeight="false" outlineLevel="0" collapsed="false">
      <c r="A263" s="7" t="s">
        <v>2017</v>
      </c>
      <c r="B263" s="7" t="s">
        <v>1879</v>
      </c>
      <c r="C263" s="7"/>
      <c r="D263" s="6" t="s">
        <v>74</v>
      </c>
      <c r="E263" s="6" t="s">
        <v>1891</v>
      </c>
      <c r="F263" s="7" t="str">
        <f aca="false">IF($D263="","",IFERROR(IF(INDEX(Hierarchy!$B$2:$B$1295,MATCH($D263,Hierarchy!$A$2:$A$1295,0))="","",INDEX(Hierarchy!$B$2:$B$1295,MATCH($D263,Hierarchy!$A$2:$A$1295,0))),"NODE NOT FOUND"))</f>
        <v>Region</v>
      </c>
      <c r="G263" s="7" t="str">
        <f aca="false">IF($D263="","",IFERROR(IF(INDEX(Hierarchy!$D$2:$D$1295,MATCH($D263,Hierarchy!$A$2:$A$1295,0))="","",INDEX(Hierarchy!$D$2:$D$1295,MATCH($D263,Hierarchy!$A$2:$A$1295,0))),"NODE NOT FOUND"))</f>
        <v>AMER</v>
      </c>
      <c r="H263" s="7" t="str">
        <f aca="false">IF($D263="","",IFERROR(IF(INDEX(Hierarchy!$E$2:$E$1295,MATCH($D263,Hierarchy!$A$2:$A$1295,0))="","",INDEX(Hierarchy!$E$2:$E$1295,MATCH($D263,Hierarchy!$A$2:$A$1295,0))),"NODE NOT FOUND"))</f>
        <v/>
      </c>
      <c r="I263" s="7" t="str">
        <f aca="false">IF($D263="","",IFERROR(IF(INDEX(Hierarchy!$F$2:$F$1295,MATCH($D263,Hierarchy!$A$2:$A$1295,0))="","",INDEX(Hierarchy!$F$2:$F$1295,MATCH($D263,Hierarchy!$A$2:$A$1295,0))),"NODE NOT FOUND"))</f>
        <v/>
      </c>
      <c r="J263" s="7" t="str">
        <f aca="false">IF($D263="","",IFERROR(IF(INDEX(Hierarchy!$G$2:$G$1295,MATCH($D263,Hierarchy!$A$2:$A$1295,0))="","",INDEX(Hierarchy!$G$2:$G$1295,MATCH($D263,Hierarchy!$A$2:$A$1295,0))),"NODE NOT FOUND"))</f>
        <v/>
      </c>
      <c r="K263" s="7" t="str">
        <f aca="false">IF($D263="","",IFERROR(IF(INDEX(Hierarchy!$H$2:$H$1295,MATCH($D263,Hierarchy!$A$2:$A$1295,0))="","",INDEX(Hierarchy!$H$2:$H$1295,MATCH($D263,Hierarchy!$A$2:$A$1295,0))),"NODE NOT FOUND"))</f>
        <v/>
      </c>
      <c r="L263" s="7" t="str">
        <f aca="false">IF($D263="","",IFERROR(IF(INDEX(Hierarchy!$I$2:$I$1295,MATCH($D263,Hierarchy!$A$2:$A$1295,0))="","",INDEX(Hierarchy!$I$2:$I$1295,MATCH($D263,Hierarchy!$A$2:$A$1295,0))),"NODE NOT FOUND"))</f>
        <v/>
      </c>
      <c r="M263" s="17" t="str">
        <f aca="false">IF(B263="Pre-seeded","Pre-seeded",IF(B263="Review 2026-09-16","Added from review",IF(C263="","New",IF(C263=D263,"","Changed"))))</f>
        <v>Pre-seeded</v>
      </c>
      <c r="N263" s="7" t="str">
        <f aca="false">TRIM(SUBSTITUTE(SUBSTITUTE(SUBSTITUTE(" "&amp;TRIM(SUBSTITUTE(SUBSTITUTE(SUBSTITUTE(SUBSTITUTE(SUBSTITUTE(SUBSTITUTE(SUBSTITUTE(SUBSTITUTE(SUBSTITUTE(SUBSTITUTE(SUBSTITUTE(SUBSTITUTE(SUBSTITUTE(SUBSTITUTE(SUBSTITUTE(UPPER(TRIM(A263)),"[MEMBER]",""),"{MEMBER}",""),"[MEMBER}",""),"MEMBER]",""),"(A)",""),"""",""),"“",""),"”",""),".",""),":",""),",",""),"–"," "),"-"," "),"/"," "),"&amp;"," AND "))&amp;" "," THE "," ")," TOTAL "," ")," OPERATIONS "," "))</f>
        <v>CANADA AND LATIN AMERICA</v>
      </c>
      <c r="O263" s="17" t="str">
        <f aca="false">IF(COUNTIFS($N$2:$N$2000,N263,$D$2:$D$2000,"&lt;&gt;"&amp;D263)&gt;0,"CONFLICT","")</f>
        <v/>
      </c>
      <c r="P263" s="7"/>
    </row>
    <row r="264" customFormat="false" ht="15" hidden="false" customHeight="false" outlineLevel="0" collapsed="false">
      <c r="A264" s="7" t="s">
        <v>2018</v>
      </c>
      <c r="B264" s="7" t="s">
        <v>1885</v>
      </c>
      <c r="C264" s="7" t="s">
        <v>271</v>
      </c>
      <c r="D264" s="6" t="s">
        <v>1784</v>
      </c>
      <c r="E264" s="6" t="s">
        <v>1880</v>
      </c>
      <c r="F264" s="7" t="str">
        <f aca="false">IF($D264="","",IFERROR(IF(INDEX(Hierarchy!$B$2:$B$1295,MATCH($D264,Hierarchy!$A$2:$A$1295,0))="","",INDEX(Hierarchy!$B$2:$B$1295,MATCH($D264,Hierarchy!$A$2:$A$1295,0))),"NODE NOT FOUND"))</f>
        <v>Bucket</v>
      </c>
      <c r="G264" s="7" t="str">
        <f aca="false">IF($D264="","",IFERROR(IF(INDEX(Hierarchy!$D$2:$D$1295,MATCH($D264,Hierarchy!$A$2:$A$1295,0))="","",INDEX(Hierarchy!$D$2:$D$1295,MATCH($D264,Hierarchy!$A$2:$A$1295,0))),"NODE NOT FOUND"))</f>
        <v>Non-regional</v>
      </c>
      <c r="H264" s="7" t="str">
        <f aca="false">IF($D264="","",IFERROR(IF(INDEX(Hierarchy!$E$2:$E$1295,MATCH($D264,Hierarchy!$A$2:$A$1295,0))="","",INDEX(Hierarchy!$E$2:$E$1295,MATCH($D264,Hierarchy!$A$2:$A$1295,0))),"NODE NOT FOUND"))</f>
        <v/>
      </c>
      <c r="I264" s="7" t="str">
        <f aca="false">IF($D264="","",IFERROR(IF(INDEX(Hierarchy!$F$2:$F$1295,MATCH($D264,Hierarchy!$A$2:$A$1295,0))="","",INDEX(Hierarchy!$F$2:$F$1295,MATCH($D264,Hierarchy!$A$2:$A$1295,0))),"NODE NOT FOUND"))</f>
        <v/>
      </c>
      <c r="J264" s="7" t="str">
        <f aca="false">IF($D264="","",IFERROR(IF(INDEX(Hierarchy!$G$2:$G$1295,MATCH($D264,Hierarchy!$A$2:$A$1295,0))="","",INDEX(Hierarchy!$G$2:$G$1295,MATCH($D264,Hierarchy!$A$2:$A$1295,0))),"NODE NOT FOUND"))</f>
        <v/>
      </c>
      <c r="K264" s="7" t="str">
        <f aca="false">IF($D264="","",IFERROR(IF(INDEX(Hierarchy!$H$2:$H$1295,MATCH($D264,Hierarchy!$A$2:$A$1295,0))="","",INDEX(Hierarchy!$H$2:$H$1295,MATCH($D264,Hierarchy!$A$2:$A$1295,0))),"NODE NOT FOUND"))</f>
        <v/>
      </c>
      <c r="L264" s="7" t="str">
        <f aca="false">IF($D264="","",IFERROR(IF(INDEX(Hierarchy!$I$2:$I$1295,MATCH($D264,Hierarchy!$A$2:$A$1295,0))="","",INDEX(Hierarchy!$I$2:$I$1295,MATCH($D264,Hierarchy!$A$2:$A$1295,0))),"NODE NOT FOUND"))</f>
        <v/>
      </c>
      <c r="M264" s="17" t="str">
        <f aca="false">IF(B264="Pre-seeded","Pre-seeded",IF(B264="Review 2026-09-16","Added from review",IF(C264="","New",IF(C264=D264,"","Changed"))))</f>
        <v>Changed</v>
      </c>
      <c r="N264" s="7" t="str">
        <f aca="false">TRIM(SUBSTITUTE(SUBSTITUTE(SUBSTITUTE(" "&amp;TRIM(SUBSTITUTE(SUBSTITUTE(SUBSTITUTE(SUBSTITUTE(SUBSTITUTE(SUBSTITUTE(SUBSTITUTE(SUBSTITUTE(SUBSTITUTE(SUBSTITUTE(SUBSTITUTE(SUBSTITUTE(SUBSTITUTE(SUBSTITUTE(SUBSTITUTE(UPPER(TRIM(A264)),"[MEMBER]",""),"{MEMBER}",""),"[MEMBER}",""),"MEMBER]",""),"(A)",""),"""",""),"“",""),"”",""),".",""),":",""),",",""),"–"," "),"-"," "),"/"," "),"&amp;"," AND "))&amp;" "," THE "," ")," TOTAL "," ")," OPERATIONS "," "))</f>
        <v>CANADA AND OTHER INTERNATIONAL</v>
      </c>
      <c r="O264" s="17" t="str">
        <f aca="false">IF(COUNTIFS($N$2:$N$2000,N264,$D$2:$D$2000,"&lt;&gt;"&amp;D264)&gt;0,"CONFLICT","")</f>
        <v/>
      </c>
      <c r="P264" s="7" t="s">
        <v>2019</v>
      </c>
    </row>
    <row r="265" customFormat="false" ht="15" hidden="false" customHeight="false" outlineLevel="0" collapsed="false">
      <c r="A265" s="7" t="s">
        <v>2020</v>
      </c>
      <c r="B265" s="7" t="s">
        <v>1882</v>
      </c>
      <c r="C265" s="7" t="s">
        <v>271</v>
      </c>
      <c r="D265" s="6" t="s">
        <v>271</v>
      </c>
      <c r="E265" s="6" t="s">
        <v>1880</v>
      </c>
      <c r="F265" s="7" t="str">
        <f aca="false">IF($D265="","",IFERROR(IF(INDEX(Hierarchy!$B$2:$B$1295,MATCH($D265,Hierarchy!$A$2:$A$1295,0))="","",INDEX(Hierarchy!$B$2:$B$1295,MATCH($D265,Hierarchy!$A$2:$A$1295,0))),"NODE NOT FOUND"))</f>
        <v>Country</v>
      </c>
      <c r="G265" s="7" t="str">
        <f aca="false">IF($D265="","",IFERROR(IF(INDEX(Hierarchy!$D$2:$D$1295,MATCH($D265,Hierarchy!$A$2:$A$1295,0))="","",INDEX(Hierarchy!$D$2:$D$1295,MATCH($D265,Hierarchy!$A$2:$A$1295,0))),"NODE NOT FOUND"))</f>
        <v>AMER</v>
      </c>
      <c r="H265" s="7" t="str">
        <f aca="false">IF($D265="","",IFERROR(IF(INDEX(Hierarchy!$E$2:$E$1295,MATCH($D265,Hierarchy!$A$2:$A$1295,0))="","",INDEX(Hierarchy!$E$2:$E$1295,MATCH($D265,Hierarchy!$A$2:$A$1295,0))),"NODE NOT FOUND"))</f>
        <v>North America (NORAM)</v>
      </c>
      <c r="I265" s="7" t="str">
        <f aca="false">IF($D265="","",IFERROR(IF(INDEX(Hierarchy!$F$2:$F$1295,MATCH($D265,Hierarchy!$A$2:$A$1295,0))="","",INDEX(Hierarchy!$F$2:$F$1295,MATCH($D265,Hierarchy!$A$2:$A$1295,0))),"NODE NOT FOUND"))</f>
        <v>Canada</v>
      </c>
      <c r="J265" s="7" t="str">
        <f aca="false">IF($D265="","",IFERROR(IF(INDEX(Hierarchy!$G$2:$G$1295,MATCH($D265,Hierarchy!$A$2:$A$1295,0))="","",INDEX(Hierarchy!$G$2:$G$1295,MATCH($D265,Hierarchy!$A$2:$A$1295,0))),"NODE NOT FOUND"))</f>
        <v>CAN</v>
      </c>
      <c r="K265" s="7" t="str">
        <f aca="false">IF($D265="","",IFERROR(IF(INDEX(Hierarchy!$H$2:$H$1295,MATCH($D265,Hierarchy!$A$2:$A$1295,0))="","",INDEX(Hierarchy!$H$2:$H$1295,MATCH($D265,Hierarchy!$A$2:$A$1295,0))),"NODE NOT FOUND"))</f>
        <v/>
      </c>
      <c r="L265" s="7" t="str">
        <f aca="false">IF($D265="","",IFERROR(IF(INDEX(Hierarchy!$I$2:$I$1295,MATCH($D265,Hierarchy!$A$2:$A$1295,0))="","",INDEX(Hierarchy!$I$2:$I$1295,MATCH($D265,Hierarchy!$A$2:$A$1295,0))),"NODE NOT FOUND"))</f>
        <v/>
      </c>
      <c r="M265" s="17" t="str">
        <f aca="false">IF(B265="Pre-seeded","Pre-seeded",IF(B265="Review 2026-09-16","Added from review",IF(C265="","New",IF(C265=D265,"","Changed"))))</f>
        <v/>
      </c>
      <c r="N265" s="7" t="str">
        <f aca="false">TRIM(SUBSTITUTE(SUBSTITUTE(SUBSTITUTE(" "&amp;TRIM(SUBSTITUTE(SUBSTITUTE(SUBSTITUTE(SUBSTITUTE(SUBSTITUTE(SUBSTITUTE(SUBSTITUTE(SUBSTITUTE(SUBSTITUTE(SUBSTITUTE(SUBSTITUTE(SUBSTITUTE(SUBSTITUTE(SUBSTITUTE(SUBSTITUTE(UPPER(TRIM(A265)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65" s="17" t="str">
        <f aca="false">IF(COUNTIFS($N$2:$N$2000,N265,$D$2:$D$2000,"&lt;&gt;"&amp;D265)&gt;0,"CONFLICT","")</f>
        <v/>
      </c>
      <c r="P265" s="7"/>
    </row>
    <row r="266" customFormat="false" ht="15" hidden="false" customHeight="false" outlineLevel="0" collapsed="false">
      <c r="A266" s="7" t="s">
        <v>2021</v>
      </c>
      <c r="B266" s="7" t="s">
        <v>1885</v>
      </c>
      <c r="C266" s="7" t="s">
        <v>271</v>
      </c>
      <c r="D266" s="6" t="s">
        <v>74</v>
      </c>
      <c r="E266" s="6" t="s">
        <v>1891</v>
      </c>
      <c r="F266" s="7" t="str">
        <f aca="false">IF($D266="","",IFERROR(IF(INDEX(Hierarchy!$B$2:$B$1295,MATCH($D266,Hierarchy!$A$2:$A$1295,0))="","",INDEX(Hierarchy!$B$2:$B$1295,MATCH($D266,Hierarchy!$A$2:$A$1295,0))),"NODE NOT FOUND"))</f>
        <v>Region</v>
      </c>
      <c r="G266" s="7" t="str">
        <f aca="false">IF($D266="","",IFERROR(IF(INDEX(Hierarchy!$D$2:$D$1295,MATCH($D266,Hierarchy!$A$2:$A$1295,0))="","",INDEX(Hierarchy!$D$2:$D$1295,MATCH($D266,Hierarchy!$A$2:$A$1295,0))),"NODE NOT FOUND"))</f>
        <v>AMER</v>
      </c>
      <c r="H266" s="7" t="str">
        <f aca="false">IF($D266="","",IFERROR(IF(INDEX(Hierarchy!$E$2:$E$1295,MATCH($D266,Hierarchy!$A$2:$A$1295,0))="","",INDEX(Hierarchy!$E$2:$E$1295,MATCH($D266,Hierarchy!$A$2:$A$1295,0))),"NODE NOT FOUND"))</f>
        <v/>
      </c>
      <c r="I266" s="7" t="str">
        <f aca="false">IF($D266="","",IFERROR(IF(INDEX(Hierarchy!$F$2:$F$1295,MATCH($D266,Hierarchy!$A$2:$A$1295,0))="","",INDEX(Hierarchy!$F$2:$F$1295,MATCH($D266,Hierarchy!$A$2:$A$1295,0))),"NODE NOT FOUND"))</f>
        <v/>
      </c>
      <c r="J266" s="7" t="str">
        <f aca="false">IF($D266="","",IFERROR(IF(INDEX(Hierarchy!$G$2:$G$1295,MATCH($D266,Hierarchy!$A$2:$A$1295,0))="","",INDEX(Hierarchy!$G$2:$G$1295,MATCH($D266,Hierarchy!$A$2:$A$1295,0))),"NODE NOT FOUND"))</f>
        <v/>
      </c>
      <c r="K266" s="7" t="str">
        <f aca="false">IF($D266="","",IFERROR(IF(INDEX(Hierarchy!$H$2:$H$1295,MATCH($D266,Hierarchy!$A$2:$A$1295,0))="","",INDEX(Hierarchy!$H$2:$H$1295,MATCH($D266,Hierarchy!$A$2:$A$1295,0))),"NODE NOT FOUND"))</f>
        <v/>
      </c>
      <c r="L266" s="7" t="str">
        <f aca="false">IF($D266="","",IFERROR(IF(INDEX(Hierarchy!$I$2:$I$1295,MATCH($D266,Hierarchy!$A$2:$A$1295,0))="","",INDEX(Hierarchy!$I$2:$I$1295,MATCH($D266,Hierarchy!$A$2:$A$1295,0))),"NODE NOT FOUND"))</f>
        <v/>
      </c>
      <c r="M266" s="17" t="str">
        <f aca="false">IF(B266="Pre-seeded","Pre-seeded",IF(B266="Review 2026-09-16","Added from review",IF(C266="","New",IF(C266=D266,"","Changed"))))</f>
        <v>Changed</v>
      </c>
      <c r="N266" s="7" t="str">
        <f aca="false">TRIM(SUBSTITUTE(SUBSTITUTE(SUBSTITUTE(" "&amp;TRIM(SUBSTITUTE(SUBSTITUTE(SUBSTITUTE(SUBSTITUTE(SUBSTITUTE(SUBSTITUTE(SUBSTITUTE(SUBSTITUTE(SUBSTITUTE(SUBSTITUTE(SUBSTITUTE(SUBSTITUTE(SUBSTITUTE(SUBSTITUTE(SUBSTITUTE(UPPER(TRIM(A266)),"[MEMBER]",""),"{MEMBER}",""),"[MEMBER}",""),"MEMBER]",""),"(A)",""),"""",""),"“",""),"”",""),".",""),":",""),",",""),"–"," "),"-"," "),"/"," "),"&amp;"," AND "))&amp;" "," THE "," ")," TOTAL "," ")," OPERATIONS "," "))</f>
        <v>CANADA CARIBBEAN AND CENTRAL AMERICA</v>
      </c>
      <c r="O266" s="17" t="str">
        <f aca="false">IF(COUNTIFS($N$2:$N$2000,N266,$D$2:$D$2000,"&lt;&gt;"&amp;D266)&gt;0,"CONFLICT","")</f>
        <v/>
      </c>
      <c r="P266" s="7"/>
    </row>
    <row r="267" customFormat="false" ht="15" hidden="false" customHeight="false" outlineLevel="0" collapsed="false">
      <c r="A267" s="7" t="s">
        <v>2022</v>
      </c>
      <c r="B267" s="7" t="s">
        <v>1885</v>
      </c>
      <c r="C267" s="7" t="s">
        <v>271</v>
      </c>
      <c r="D267" s="6" t="s">
        <v>74</v>
      </c>
      <c r="E267" s="6" t="s">
        <v>1886</v>
      </c>
      <c r="F267" s="7" t="str">
        <f aca="false">IF($D267="","",IFERROR(IF(INDEX(Hierarchy!$B$2:$B$1295,MATCH($D267,Hierarchy!$A$2:$A$1295,0))="","",INDEX(Hierarchy!$B$2:$B$1295,MATCH($D267,Hierarchy!$A$2:$A$1295,0))),"NODE NOT FOUND"))</f>
        <v>Region</v>
      </c>
      <c r="G267" s="7" t="str">
        <f aca="false">IF($D267="","",IFERROR(IF(INDEX(Hierarchy!$D$2:$D$1295,MATCH($D267,Hierarchy!$A$2:$A$1295,0))="","",INDEX(Hierarchy!$D$2:$D$1295,MATCH($D267,Hierarchy!$A$2:$A$1295,0))),"NODE NOT FOUND"))</f>
        <v>AMER</v>
      </c>
      <c r="H267" s="7" t="str">
        <f aca="false">IF($D267="","",IFERROR(IF(INDEX(Hierarchy!$E$2:$E$1295,MATCH($D267,Hierarchy!$A$2:$A$1295,0))="","",INDEX(Hierarchy!$E$2:$E$1295,MATCH($D267,Hierarchy!$A$2:$A$1295,0))),"NODE NOT FOUND"))</f>
        <v/>
      </c>
      <c r="I267" s="7" t="str">
        <f aca="false">IF($D267="","",IFERROR(IF(INDEX(Hierarchy!$F$2:$F$1295,MATCH($D267,Hierarchy!$A$2:$A$1295,0))="","",INDEX(Hierarchy!$F$2:$F$1295,MATCH($D267,Hierarchy!$A$2:$A$1295,0))),"NODE NOT FOUND"))</f>
        <v/>
      </c>
      <c r="J267" s="7" t="str">
        <f aca="false">IF($D267="","",IFERROR(IF(INDEX(Hierarchy!$G$2:$G$1295,MATCH($D267,Hierarchy!$A$2:$A$1295,0))="","",INDEX(Hierarchy!$G$2:$G$1295,MATCH($D267,Hierarchy!$A$2:$A$1295,0))),"NODE NOT FOUND"))</f>
        <v/>
      </c>
      <c r="K267" s="7" t="str">
        <f aca="false">IF($D267="","",IFERROR(IF(INDEX(Hierarchy!$H$2:$H$1295,MATCH($D267,Hierarchy!$A$2:$A$1295,0))="","",INDEX(Hierarchy!$H$2:$H$1295,MATCH($D267,Hierarchy!$A$2:$A$1295,0))),"NODE NOT FOUND"))</f>
        <v/>
      </c>
      <c r="L267" s="7" t="str">
        <f aca="false">IF($D267="","",IFERROR(IF(INDEX(Hierarchy!$I$2:$I$1295,MATCH($D267,Hierarchy!$A$2:$A$1295,0))="","",INDEX(Hierarchy!$I$2:$I$1295,MATCH($D267,Hierarchy!$A$2:$A$1295,0))),"NODE NOT FOUND"))</f>
        <v/>
      </c>
      <c r="M267" s="17" t="str">
        <f aca="false">IF(B267="Pre-seeded","Pre-seeded",IF(B267="Review 2026-09-16","Added from review",IF(C267="","New",IF(C267=D267,"","Changed"))))</f>
        <v>Changed</v>
      </c>
      <c r="N267" s="7" t="str">
        <f aca="false">TRIM(SUBSTITUTE(SUBSTITUTE(SUBSTITUTE(" "&amp;TRIM(SUBSTITUTE(SUBSTITUTE(SUBSTITUTE(SUBSTITUTE(SUBSTITUTE(SUBSTITUTE(SUBSTITUTE(SUBSTITUTE(SUBSTITUTE(SUBSTITUTE(SUBSTITUTE(SUBSTITUTE(SUBSTITUTE(SUBSTITUTE(SUBSTITUTE(UPPER(TRIM(A267)),"[MEMBER]",""),"{MEMBER}",""),"[MEMBER}",""),"MEMBER]",""),"(A)",""),"""",""),"“",""),"”",""),".",""),":",""),",",""),"–"," "),"-"," "),"/"," "),"&amp;"," AND "))&amp;" "," THE "," ")," TOTAL "," ")," OPERATIONS "," "))</f>
        <v>CANADA MEXICO</v>
      </c>
      <c r="O267" s="17" t="str">
        <f aca="false">IF(COUNTIFS($N$2:$N$2000,N267,$D$2:$D$2000,"&lt;&gt;"&amp;D267)&gt;0,"CONFLICT","")</f>
        <v/>
      </c>
      <c r="P267" s="7" t="s">
        <v>2023</v>
      </c>
    </row>
    <row r="268" customFormat="false" ht="15" hidden="false" customHeight="false" outlineLevel="0" collapsed="false">
      <c r="A268" s="7" t="s">
        <v>2024</v>
      </c>
      <c r="B268" s="7" t="s">
        <v>1882</v>
      </c>
      <c r="C268" s="7" t="s">
        <v>271</v>
      </c>
      <c r="D268" s="6" t="s">
        <v>271</v>
      </c>
      <c r="E268" s="6" t="s">
        <v>1880</v>
      </c>
      <c r="F268" s="7" t="str">
        <f aca="false">IF($D268="","",IFERROR(IF(INDEX(Hierarchy!$B$2:$B$1295,MATCH($D268,Hierarchy!$A$2:$A$1295,0))="","",INDEX(Hierarchy!$B$2:$B$1295,MATCH($D268,Hierarchy!$A$2:$A$1295,0))),"NODE NOT FOUND"))</f>
        <v>Country</v>
      </c>
      <c r="G268" s="7" t="str">
        <f aca="false">IF($D268="","",IFERROR(IF(INDEX(Hierarchy!$D$2:$D$1295,MATCH($D268,Hierarchy!$A$2:$A$1295,0))="","",INDEX(Hierarchy!$D$2:$D$1295,MATCH($D268,Hierarchy!$A$2:$A$1295,0))),"NODE NOT FOUND"))</f>
        <v>AMER</v>
      </c>
      <c r="H268" s="7" t="str">
        <f aca="false">IF($D268="","",IFERROR(IF(INDEX(Hierarchy!$E$2:$E$1295,MATCH($D268,Hierarchy!$A$2:$A$1295,0))="","",INDEX(Hierarchy!$E$2:$E$1295,MATCH($D268,Hierarchy!$A$2:$A$1295,0))),"NODE NOT FOUND"))</f>
        <v>North America (NORAM)</v>
      </c>
      <c r="I268" s="7" t="str">
        <f aca="false">IF($D268="","",IFERROR(IF(INDEX(Hierarchy!$F$2:$F$1295,MATCH($D268,Hierarchy!$A$2:$A$1295,0))="","",INDEX(Hierarchy!$F$2:$F$1295,MATCH($D268,Hierarchy!$A$2:$A$1295,0))),"NODE NOT FOUND"))</f>
        <v>Canada</v>
      </c>
      <c r="J268" s="7" t="str">
        <f aca="false">IF($D268="","",IFERROR(IF(INDEX(Hierarchy!$G$2:$G$1295,MATCH($D268,Hierarchy!$A$2:$A$1295,0))="","",INDEX(Hierarchy!$G$2:$G$1295,MATCH($D268,Hierarchy!$A$2:$A$1295,0))),"NODE NOT FOUND"))</f>
        <v>CAN</v>
      </c>
      <c r="K268" s="7" t="str">
        <f aca="false">IF($D268="","",IFERROR(IF(INDEX(Hierarchy!$H$2:$H$1295,MATCH($D268,Hierarchy!$A$2:$A$1295,0))="","",INDEX(Hierarchy!$H$2:$H$1295,MATCH($D268,Hierarchy!$A$2:$A$1295,0))),"NODE NOT FOUND"))</f>
        <v/>
      </c>
      <c r="L268" s="7" t="str">
        <f aca="false">IF($D268="","",IFERROR(IF(INDEX(Hierarchy!$I$2:$I$1295,MATCH($D268,Hierarchy!$A$2:$A$1295,0))="","",INDEX(Hierarchy!$I$2:$I$1295,MATCH($D268,Hierarchy!$A$2:$A$1295,0))),"NODE NOT FOUND"))</f>
        <v/>
      </c>
      <c r="M268" s="17" t="str">
        <f aca="false">IF(B268="Pre-seeded","Pre-seeded",IF(B268="Review 2026-09-16","Added from review",IF(C268="","New",IF(C268=D268,"","Changed"))))</f>
        <v/>
      </c>
      <c r="N268" s="7" t="str">
        <f aca="false">TRIM(SUBSTITUTE(SUBSTITUTE(SUBSTITUTE(" "&amp;TRIM(SUBSTITUTE(SUBSTITUTE(SUBSTITUTE(SUBSTITUTE(SUBSTITUTE(SUBSTITUTE(SUBSTITUTE(SUBSTITUTE(SUBSTITUTE(SUBSTITUTE(SUBSTITUTE(SUBSTITUTE(SUBSTITUTE(SUBSTITUTE(SUBSTITUTE(UPPER(TRIM(A268)),"[MEMBER]",""),"{MEMBER}",""),"[MEMBER}",""),"MEMBER]",""),"(A)",""),"""",""),"“",""),"”",""),".",""),":",""),",",""),"–"," "),"-"," "),"/"," "),"&amp;"," AND "))&amp;" "," THE "," ")," TOTAL "," ")," OPERATIONS "," "))</f>
        <v>CANADA</v>
      </c>
      <c r="O268" s="17" t="str">
        <f aca="false">IF(COUNTIFS($N$2:$N$2000,N268,$D$2:$D$2000,"&lt;&gt;"&amp;D268)&gt;0,"CONFLICT","")</f>
        <v/>
      </c>
      <c r="P268" s="7"/>
    </row>
    <row r="269" customFormat="false" ht="15" hidden="false" customHeight="false" outlineLevel="0" collapsed="false">
      <c r="A269" s="7" t="s">
        <v>2025</v>
      </c>
      <c r="B269" s="7" t="s">
        <v>1882</v>
      </c>
      <c r="C269" s="7" t="s">
        <v>271</v>
      </c>
      <c r="D269" s="6" t="s">
        <v>271</v>
      </c>
      <c r="E269" s="6" t="s">
        <v>1880</v>
      </c>
      <c r="F269" s="7" t="str">
        <f aca="false">IF($D269="","",IFERROR(IF(INDEX(Hierarchy!$B$2:$B$1295,MATCH($D269,Hierarchy!$A$2:$A$1295,0))="","",INDEX(Hierarchy!$B$2:$B$1295,MATCH($D269,Hierarchy!$A$2:$A$1295,0))),"NODE NOT FOUND"))</f>
        <v>Country</v>
      </c>
      <c r="G269" s="7" t="str">
        <f aca="false">IF($D269="","",IFERROR(IF(INDEX(Hierarchy!$D$2:$D$1295,MATCH($D269,Hierarchy!$A$2:$A$1295,0))="","",INDEX(Hierarchy!$D$2:$D$1295,MATCH($D269,Hierarchy!$A$2:$A$1295,0))),"NODE NOT FOUND"))</f>
        <v>AMER</v>
      </c>
      <c r="H269" s="7" t="str">
        <f aca="false">IF($D269="","",IFERROR(IF(INDEX(Hierarchy!$E$2:$E$1295,MATCH($D269,Hierarchy!$A$2:$A$1295,0))="","",INDEX(Hierarchy!$E$2:$E$1295,MATCH($D269,Hierarchy!$A$2:$A$1295,0))),"NODE NOT FOUND"))</f>
        <v>North America (NORAM)</v>
      </c>
      <c r="I269" s="7" t="str">
        <f aca="false">IF($D269="","",IFERROR(IF(INDEX(Hierarchy!$F$2:$F$1295,MATCH($D269,Hierarchy!$A$2:$A$1295,0))="","",INDEX(Hierarchy!$F$2:$F$1295,MATCH($D269,Hierarchy!$A$2:$A$1295,0))),"NODE NOT FOUND"))</f>
        <v>Canada</v>
      </c>
      <c r="J269" s="7" t="str">
        <f aca="false">IF($D269="","",IFERROR(IF(INDEX(Hierarchy!$G$2:$G$1295,MATCH($D269,Hierarchy!$A$2:$A$1295,0))="","",INDEX(Hierarchy!$G$2:$G$1295,MATCH($D269,Hierarchy!$A$2:$A$1295,0))),"NODE NOT FOUND"))</f>
        <v>CAN</v>
      </c>
      <c r="K269" s="7" t="str">
        <f aca="false">IF($D269="","",IFERROR(IF(INDEX(Hierarchy!$H$2:$H$1295,MATCH($D269,Hierarchy!$A$2:$A$1295,0))="","",INDEX(Hierarchy!$H$2:$H$1295,MATCH($D269,Hierarchy!$A$2:$A$1295,0))),"NODE NOT FOUND"))</f>
        <v/>
      </c>
      <c r="L269" s="7" t="str">
        <f aca="false">IF($D269="","",IFERROR(IF(INDEX(Hierarchy!$I$2:$I$1295,MATCH($D269,Hierarchy!$A$2:$A$1295,0))="","",INDEX(Hierarchy!$I$2:$I$1295,MATCH($D269,Hierarchy!$A$2:$A$1295,0))),"NODE NOT FOUND"))</f>
        <v/>
      </c>
      <c r="M269" s="17" t="str">
        <f aca="false">IF(B269="Pre-seeded","Pre-seeded",IF(B269="Review 2026-09-16","Added from review",IF(C269="","New",IF(C269=D269,"","Changed"))))</f>
        <v/>
      </c>
      <c r="N269" s="7" t="str">
        <f aca="false">TRIM(SUBSTITUTE(SUBSTITUTE(SUBSTITUTE(" "&amp;TRIM(SUBSTITUTE(SUBSTITUTE(SUBSTITUTE(SUBSTITUTE(SUBSTITUTE(SUBSTITUTE(SUBSTITUTE(SUBSTITUTE(SUBSTITUTE(SUBSTITUTE(SUBSTITUTE(SUBSTITUTE(SUBSTITUTE(SUBSTITUTE(SUBSTITUTE(UPPER(TRIM(A269)),"[MEMBER]",""),"{MEMBER}",""),"[MEMBER}",""),"MEMBER]",""),"(A)",""),"""",""),"“",""),"”",""),".",""),":",""),",",""),"–"," "),"-"," "),"/"," "),"&amp;"," AND "))&amp;" "," THE "," ")," TOTAL "," ")," OPERATIONS "," "))</f>
        <v>CANADIAN</v>
      </c>
      <c r="O269" s="17" t="str">
        <f aca="false">IF(COUNTIFS($N$2:$N$2000,N269,$D$2:$D$2000,"&lt;&gt;"&amp;D269)&gt;0,"CONFLICT","")</f>
        <v/>
      </c>
      <c r="P269" s="7"/>
    </row>
    <row r="270" customFormat="false" ht="15" hidden="false" customHeight="false" outlineLevel="0" collapsed="false">
      <c r="A270" s="7" t="s">
        <v>2026</v>
      </c>
      <c r="B270" s="7" t="s">
        <v>1882</v>
      </c>
      <c r="C270" s="7" t="s">
        <v>271</v>
      </c>
      <c r="D270" s="6" t="s">
        <v>271</v>
      </c>
      <c r="E270" s="6" t="s">
        <v>1880</v>
      </c>
      <c r="F270" s="7" t="str">
        <f aca="false">IF($D270="","",IFERROR(IF(INDEX(Hierarchy!$B$2:$B$1295,MATCH($D270,Hierarchy!$A$2:$A$1295,0))="","",INDEX(Hierarchy!$B$2:$B$1295,MATCH($D270,Hierarchy!$A$2:$A$1295,0))),"NODE NOT FOUND"))</f>
        <v>Country</v>
      </c>
      <c r="G270" s="7" t="str">
        <f aca="false">IF($D270="","",IFERROR(IF(INDEX(Hierarchy!$D$2:$D$1295,MATCH($D270,Hierarchy!$A$2:$A$1295,0))="","",INDEX(Hierarchy!$D$2:$D$1295,MATCH($D270,Hierarchy!$A$2:$A$1295,0))),"NODE NOT FOUND"))</f>
        <v>AMER</v>
      </c>
      <c r="H270" s="7" t="str">
        <f aca="false">IF($D270="","",IFERROR(IF(INDEX(Hierarchy!$E$2:$E$1295,MATCH($D270,Hierarchy!$A$2:$A$1295,0))="","",INDEX(Hierarchy!$E$2:$E$1295,MATCH($D270,Hierarchy!$A$2:$A$1295,0))),"NODE NOT FOUND"))</f>
        <v>North America (NORAM)</v>
      </c>
      <c r="I270" s="7" t="str">
        <f aca="false">IF($D270="","",IFERROR(IF(INDEX(Hierarchy!$F$2:$F$1295,MATCH($D270,Hierarchy!$A$2:$A$1295,0))="","",INDEX(Hierarchy!$F$2:$F$1295,MATCH($D270,Hierarchy!$A$2:$A$1295,0))),"NODE NOT FOUND"))</f>
        <v>Canada</v>
      </c>
      <c r="J270" s="7" t="str">
        <f aca="false">IF($D270="","",IFERROR(IF(INDEX(Hierarchy!$G$2:$G$1295,MATCH($D270,Hierarchy!$A$2:$A$1295,0))="","",INDEX(Hierarchy!$G$2:$G$1295,MATCH($D270,Hierarchy!$A$2:$A$1295,0))),"NODE NOT FOUND"))</f>
        <v>CAN</v>
      </c>
      <c r="K270" s="7" t="str">
        <f aca="false">IF($D270="","",IFERROR(IF(INDEX(Hierarchy!$H$2:$H$1295,MATCH($D270,Hierarchy!$A$2:$A$1295,0))="","",INDEX(Hierarchy!$H$2:$H$1295,MATCH($D270,Hierarchy!$A$2:$A$1295,0))),"NODE NOT FOUND"))</f>
        <v/>
      </c>
      <c r="L270" s="7" t="str">
        <f aca="false">IF($D270="","",IFERROR(IF(INDEX(Hierarchy!$I$2:$I$1295,MATCH($D270,Hierarchy!$A$2:$A$1295,0))="","",INDEX(Hierarchy!$I$2:$I$1295,MATCH($D270,Hierarchy!$A$2:$A$1295,0))),"NODE NOT FOUND"))</f>
        <v/>
      </c>
      <c r="M270" s="17" t="str">
        <f aca="false">IF(B270="Pre-seeded","Pre-seeded",IF(B270="Review 2026-09-16","Added from review",IF(C270="","New",IF(C270=D270,"","Changed"))))</f>
        <v/>
      </c>
      <c r="N270" s="7" t="str">
        <f aca="false">TRIM(SUBSTITUTE(SUBSTITUTE(SUBSTITUTE(" "&amp;TRIM(SUBSTITUTE(SUBSTITUTE(SUBSTITUTE(SUBSTITUTE(SUBSTITUTE(SUBSTITUTE(SUBSTITUTE(SUBSTITUTE(SUBSTITUTE(SUBSTITUTE(SUBSTITUTE(SUBSTITUTE(SUBSTITUTE(SUBSTITUTE(SUBSTITUTE(UPPER(TRIM(A270)),"[MEMBER]",""),"{MEMBER}",""),"[MEMBER}",""),"MEMBER]",""),"(A)",""),"""",""),"“",""),"”",""),".",""),":",""),",",""),"–"," "),"-"," "),"/"," "),"&amp;"," AND "))&amp;" "," THE "," ")," TOTAL "," ")," OPERATIONS "," "))</f>
        <v>CANADIAN</v>
      </c>
      <c r="O270" s="17" t="str">
        <f aca="false">IF(COUNTIFS($N$2:$N$2000,N270,$D$2:$D$2000,"&lt;&gt;"&amp;D270)&gt;0,"CONFLICT","")</f>
        <v/>
      </c>
      <c r="P270" s="7"/>
    </row>
    <row r="271" customFormat="false" ht="15" hidden="false" customHeight="false" outlineLevel="0" collapsed="false">
      <c r="A271" s="7" t="s">
        <v>957</v>
      </c>
      <c r="B271" s="7" t="s">
        <v>1879</v>
      </c>
      <c r="C271" s="7"/>
      <c r="D271" s="6" t="s">
        <v>957</v>
      </c>
      <c r="E271" s="6" t="s">
        <v>1880</v>
      </c>
      <c r="F271" s="7" t="str">
        <f aca="false">IF($D271="","",IFERROR(IF(INDEX(Hierarchy!$B$2:$B$1295,MATCH($D271,Hierarchy!$A$2:$A$1295,0))="","",INDEX(Hierarchy!$B$2:$B$1295,MATCH($D271,Hierarchy!$A$2:$A$1295,0))),"NODE NOT FOUND"))</f>
        <v>State/Province</v>
      </c>
      <c r="G271" s="7" t="str">
        <f aca="false">IF($D271="","",IFERROR(IF(INDEX(Hierarchy!$D$2:$D$1295,MATCH($D271,Hierarchy!$A$2:$A$1295,0))="","",INDEX(Hierarchy!$D$2:$D$1295,MATCH($D271,Hierarchy!$A$2:$A$1295,0))),"NODE NOT FOUND"))</f>
        <v>EMEA</v>
      </c>
      <c r="H271" s="7" t="str">
        <f aca="false">IF($D271="","",IFERROR(IF(INDEX(Hierarchy!$E$2:$E$1295,MATCH($D271,Hierarchy!$A$2:$A$1295,0))="","",INDEX(Hierarchy!$E$2:$E$1295,MATCH($D271,Hierarchy!$A$2:$A$1295,0))),"NODE NOT FOUND"))</f>
        <v>Europe</v>
      </c>
      <c r="I271" s="7" t="str">
        <f aca="false">IF($D271="","",IFERROR(IF(INDEX(Hierarchy!$F$2:$F$1295,MATCH($D271,Hierarchy!$A$2:$A$1295,0))="","",INDEX(Hierarchy!$F$2:$F$1295,MATCH($D271,Hierarchy!$A$2:$A$1295,0))),"NODE NOT FOUND"))</f>
        <v>Spain</v>
      </c>
      <c r="J271" s="7" t="str">
        <f aca="false">IF($D271="","",IFERROR(IF(INDEX(Hierarchy!$G$2:$G$1295,MATCH($D271,Hierarchy!$A$2:$A$1295,0))="","",INDEX(Hierarchy!$G$2:$G$1295,MATCH($D271,Hierarchy!$A$2:$A$1295,0))),"NODE NOT FOUND"))</f>
        <v>ESP</v>
      </c>
      <c r="K271" s="7" t="str">
        <f aca="false">IF($D271="","",IFERROR(IF(INDEX(Hierarchy!$H$2:$H$1295,MATCH($D271,Hierarchy!$A$2:$A$1295,0))="","",INDEX(Hierarchy!$H$2:$H$1295,MATCH($D271,Hierarchy!$A$2:$A$1295,0))),"NODE NOT FOUND"))</f>
        <v>Canary Islands</v>
      </c>
      <c r="L271" s="7" t="str">
        <f aca="false">IF($D271="","",IFERROR(IF(INDEX(Hierarchy!$I$2:$I$1295,MATCH($D271,Hierarchy!$A$2:$A$1295,0))="","",INDEX(Hierarchy!$I$2:$I$1295,MATCH($D271,Hierarchy!$A$2:$A$1295,0))),"NODE NOT FOUND"))</f>
        <v/>
      </c>
      <c r="M271" s="17" t="str">
        <f aca="false">IF(B271="Pre-seeded","Pre-seeded",IF(B271="Review 2026-09-16","Added from review",IF(C271="","New",IF(C271=D271,"","Changed"))))</f>
        <v>Pre-seeded</v>
      </c>
      <c r="N271" s="7" t="str">
        <f aca="false">TRIM(SUBSTITUTE(SUBSTITUTE(SUBSTITUTE(" "&amp;TRIM(SUBSTITUTE(SUBSTITUTE(SUBSTITUTE(SUBSTITUTE(SUBSTITUTE(SUBSTITUTE(SUBSTITUTE(SUBSTITUTE(SUBSTITUTE(SUBSTITUTE(SUBSTITUTE(SUBSTITUTE(SUBSTITUTE(SUBSTITUTE(SUBSTITUTE(UPPER(TRIM(A271)),"[MEMBER]",""),"{MEMBER}",""),"[MEMBER}",""),"MEMBER]",""),"(A)",""),"""",""),"“",""),"”",""),".",""),":",""),",",""),"–"," "),"-"," "),"/"," "),"&amp;"," AND "))&amp;" "," THE "," ")," TOTAL "," ")," OPERATIONS "," "))</f>
        <v>CANARY ISLANDS</v>
      </c>
      <c r="O271" s="17" t="str">
        <f aca="false">IF(COUNTIFS($N$2:$N$2000,N271,$D$2:$D$2000,"&lt;&gt;"&amp;D271)&gt;0,"CONFLICT","")</f>
        <v/>
      </c>
      <c r="P271" s="7"/>
    </row>
    <row r="272" customFormat="false" ht="15" hidden="false" customHeight="false" outlineLevel="0" collapsed="false">
      <c r="A272" s="7" t="s">
        <v>2027</v>
      </c>
      <c r="B272" s="7" t="s">
        <v>1879</v>
      </c>
      <c r="C272" s="7"/>
      <c r="D272" s="6" t="s">
        <v>409</v>
      </c>
      <c r="E272" s="6" t="s">
        <v>1880</v>
      </c>
      <c r="F272" s="7" t="str">
        <f aca="false">IF($D272="","",IFERROR(IF(INDEX(Hierarchy!$B$2:$B$1295,MATCH($D272,Hierarchy!$A$2:$A$1295,0))="","",INDEX(Hierarchy!$B$2:$B$1295,MATCH($D272,Hierarchy!$A$2:$A$1295,0))),"NODE NOT FOUND"))</f>
        <v>City</v>
      </c>
      <c r="G272" s="7" t="str">
        <f aca="false">IF($D272="","",IFERROR(IF(INDEX(Hierarchy!$D$2:$D$1295,MATCH($D272,Hierarchy!$A$2:$A$1295,0))="","",INDEX(Hierarchy!$D$2:$D$1295,MATCH($D272,Hierarchy!$A$2:$A$1295,0))),"NODE NOT FOUND"))</f>
        <v>AMER</v>
      </c>
      <c r="H272" s="7" t="str">
        <f aca="false">IF($D272="","",IFERROR(IF(INDEX(Hierarchy!$E$2:$E$1295,MATCH($D272,Hierarchy!$A$2:$A$1295,0))="","",INDEX(Hierarchy!$E$2:$E$1295,MATCH($D272,Hierarchy!$A$2:$A$1295,0))),"NODE NOT FOUND"))</f>
        <v>Latin America (LATAM)</v>
      </c>
      <c r="I272" s="7" t="str">
        <f aca="false">IF($D272="","",IFERROR(IF(INDEX(Hierarchy!$F$2:$F$1295,MATCH($D272,Hierarchy!$A$2:$A$1295,0))="","",INDEX(Hierarchy!$F$2:$F$1295,MATCH($D272,Hierarchy!$A$2:$A$1295,0))),"NODE NOT FOUND"))</f>
        <v>Mexico</v>
      </c>
      <c r="J272" s="7" t="str">
        <f aca="false">IF($D272="","",IFERROR(IF(INDEX(Hierarchy!$G$2:$G$1295,MATCH($D272,Hierarchy!$A$2:$A$1295,0))="","",INDEX(Hierarchy!$G$2:$G$1295,MATCH($D272,Hierarchy!$A$2:$A$1295,0))),"NODE NOT FOUND"))</f>
        <v>MEX</v>
      </c>
      <c r="K272" s="7" t="str">
        <f aca="false">IF($D272="","",IFERROR(IF(INDEX(Hierarchy!$H$2:$H$1295,MATCH($D272,Hierarchy!$A$2:$A$1295,0))="","",INDEX(Hierarchy!$H$2:$H$1295,MATCH($D272,Hierarchy!$A$2:$A$1295,0))),"NODE NOT FOUND"))</f>
        <v>Quintana Roo</v>
      </c>
      <c r="L272" s="7" t="str">
        <f aca="false">IF($D272="","",IFERROR(IF(INDEX(Hierarchy!$I$2:$I$1295,MATCH($D272,Hierarchy!$A$2:$A$1295,0))="","",INDEX(Hierarchy!$I$2:$I$1295,MATCH($D272,Hierarchy!$A$2:$A$1295,0))),"NODE NOT FOUND"))</f>
        <v>Cancún</v>
      </c>
      <c r="M272" s="17" t="str">
        <f aca="false">IF(B272="Pre-seeded","Pre-seeded",IF(B272="Review 2026-09-16","Added from review",IF(C272="","New",IF(C272=D272,"","Changed"))))</f>
        <v>Pre-seeded</v>
      </c>
      <c r="N272" s="7" t="str">
        <f aca="false">TRIM(SUBSTITUTE(SUBSTITUTE(SUBSTITUTE(" "&amp;TRIM(SUBSTITUTE(SUBSTITUTE(SUBSTITUTE(SUBSTITUTE(SUBSTITUTE(SUBSTITUTE(SUBSTITUTE(SUBSTITUTE(SUBSTITUTE(SUBSTITUTE(SUBSTITUTE(SUBSTITUTE(SUBSTITUTE(SUBSTITUTE(SUBSTITUTE(UPPER(TRIM(A272)),"[MEMBER]",""),"{MEMBER}",""),"[MEMBER}",""),"MEMBER]",""),"(A)",""),"""",""),"“",""),"”",""),".",""),":",""),",",""),"–"," "),"-"," "),"/"," "),"&amp;"," AND "))&amp;" "," THE "," ")," TOTAL "," ")," OPERATIONS "," "))</f>
        <v>CANCUN</v>
      </c>
      <c r="O272" s="17" t="str">
        <f aca="false">IF(COUNTIFS($N$2:$N$2000,N272,$D$2:$D$2000,"&lt;&gt;"&amp;D272)&gt;0,"CONFLICT","")</f>
        <v/>
      </c>
      <c r="P272" s="7"/>
    </row>
    <row r="273" customFormat="false" ht="15" hidden="false" customHeight="false" outlineLevel="0" collapsed="false">
      <c r="A273" s="7" t="s">
        <v>958</v>
      </c>
      <c r="B273" s="7" t="s">
        <v>1879</v>
      </c>
      <c r="C273" s="7"/>
      <c r="D273" s="6" t="s">
        <v>958</v>
      </c>
      <c r="E273" s="6" t="s">
        <v>1880</v>
      </c>
      <c r="F273" s="7" t="str">
        <f aca="false">IF($D273="","",IFERROR(IF(INDEX(Hierarchy!$B$2:$B$1295,MATCH($D273,Hierarchy!$A$2:$A$1295,0))="","",INDEX(Hierarchy!$B$2:$B$1295,MATCH($D273,Hierarchy!$A$2:$A$1295,0))),"NODE NOT FOUND"))</f>
        <v>State/Province</v>
      </c>
      <c r="G273" s="7" t="str">
        <f aca="false">IF($D273="","",IFERROR(IF(INDEX(Hierarchy!$D$2:$D$1295,MATCH($D273,Hierarchy!$A$2:$A$1295,0))="","",INDEX(Hierarchy!$D$2:$D$1295,MATCH($D273,Hierarchy!$A$2:$A$1295,0))),"NODE NOT FOUND"))</f>
        <v>EMEA</v>
      </c>
      <c r="H273" s="7" t="str">
        <f aca="false">IF($D273="","",IFERROR(IF(INDEX(Hierarchy!$E$2:$E$1295,MATCH($D273,Hierarchy!$A$2:$A$1295,0))="","",INDEX(Hierarchy!$E$2:$E$1295,MATCH($D273,Hierarchy!$A$2:$A$1295,0))),"NODE NOT FOUND"))</f>
        <v>Europe</v>
      </c>
      <c r="I273" s="7" t="str">
        <f aca="false">IF($D273="","",IFERROR(IF(INDEX(Hierarchy!$F$2:$F$1295,MATCH($D273,Hierarchy!$A$2:$A$1295,0))="","",INDEX(Hierarchy!$F$2:$F$1295,MATCH($D273,Hierarchy!$A$2:$A$1295,0))),"NODE NOT FOUND"))</f>
        <v>Spain</v>
      </c>
      <c r="J273" s="7" t="str">
        <f aca="false">IF($D273="","",IFERROR(IF(INDEX(Hierarchy!$G$2:$G$1295,MATCH($D273,Hierarchy!$A$2:$A$1295,0))="","",INDEX(Hierarchy!$G$2:$G$1295,MATCH($D273,Hierarchy!$A$2:$A$1295,0))),"NODE NOT FOUND"))</f>
        <v>ESP</v>
      </c>
      <c r="K273" s="7" t="str">
        <f aca="false">IF($D273="","",IFERROR(IF(INDEX(Hierarchy!$H$2:$H$1295,MATCH($D273,Hierarchy!$A$2:$A$1295,0))="","",INDEX(Hierarchy!$H$2:$H$1295,MATCH($D273,Hierarchy!$A$2:$A$1295,0))),"NODE NOT FOUND"))</f>
        <v>Cantabria</v>
      </c>
      <c r="L273" s="7" t="str">
        <f aca="false">IF($D273="","",IFERROR(IF(INDEX(Hierarchy!$I$2:$I$1295,MATCH($D273,Hierarchy!$A$2:$A$1295,0))="","",INDEX(Hierarchy!$I$2:$I$1295,MATCH($D273,Hierarchy!$A$2:$A$1295,0))),"NODE NOT FOUND"))</f>
        <v/>
      </c>
      <c r="M273" s="17" t="str">
        <f aca="false">IF(B273="Pre-seeded","Pre-seeded",IF(B273="Review 2026-09-16","Added from review",IF(C273="","New",IF(C273=D273,"","Changed"))))</f>
        <v>Pre-seeded</v>
      </c>
      <c r="N273" s="7" t="str">
        <f aca="false">TRIM(SUBSTITUTE(SUBSTITUTE(SUBSTITUTE(" "&amp;TRIM(SUBSTITUTE(SUBSTITUTE(SUBSTITUTE(SUBSTITUTE(SUBSTITUTE(SUBSTITUTE(SUBSTITUTE(SUBSTITUTE(SUBSTITUTE(SUBSTITUTE(SUBSTITUTE(SUBSTITUTE(SUBSTITUTE(SUBSTITUTE(SUBSTITUTE(UPPER(TRIM(A273)),"[MEMBER]",""),"{MEMBER}",""),"[MEMBER}",""),"MEMBER]",""),"(A)",""),"""",""),"“",""),"”",""),".",""),":",""),",",""),"–"," "),"-"," "),"/"," "),"&amp;"," AND "))&amp;" "," THE "," ")," TOTAL "," ")," OPERATIONS "," "))</f>
        <v>CANTABRIA</v>
      </c>
      <c r="O273" s="17" t="str">
        <f aca="false">IF(COUNTIFS($N$2:$N$2000,N273,$D$2:$D$2000,"&lt;&gt;"&amp;D273)&gt;0,"CONFLICT","")</f>
        <v/>
      </c>
      <c r="P273" s="7"/>
    </row>
    <row r="274" customFormat="false" ht="15" hidden="false" customHeight="false" outlineLevel="0" collapsed="false">
      <c r="A274" s="7" t="s">
        <v>1720</v>
      </c>
      <c r="B274" s="7" t="s">
        <v>1879</v>
      </c>
      <c r="C274" s="7"/>
      <c r="D274" s="6" t="s">
        <v>1720</v>
      </c>
      <c r="E274" s="6" t="s">
        <v>1880</v>
      </c>
      <c r="F274" s="7" t="str">
        <f aca="false">IF($D274="","",IFERROR(IF(INDEX(Hierarchy!$B$2:$B$1295,MATCH($D274,Hierarchy!$A$2:$A$1295,0))="","",INDEX(Hierarchy!$B$2:$B$1295,MATCH($D274,Hierarchy!$A$2:$A$1295,0))),"NODE NOT FOUND"))</f>
        <v>State/Province</v>
      </c>
      <c r="G274" s="7" t="str">
        <f aca="false">IF($D274="","",IFERROR(IF(INDEX(Hierarchy!$D$2:$D$1295,MATCH($D274,Hierarchy!$A$2:$A$1295,0))="","",INDEX(Hierarchy!$D$2:$D$1295,MATCH($D274,Hierarchy!$A$2:$A$1295,0))),"NODE NOT FOUND"))</f>
        <v>APAC</v>
      </c>
      <c r="H274" s="7" t="str">
        <f aca="false">IF($D274="","",IFERROR(IF(INDEX(Hierarchy!$E$2:$E$1295,MATCH($D274,Hierarchy!$A$2:$A$1295,0))="","",INDEX(Hierarchy!$E$2:$E$1295,MATCH($D274,Hierarchy!$A$2:$A$1295,0))),"NODE NOT FOUND"))</f>
        <v>Oceania (ANZ)</v>
      </c>
      <c r="I274" s="7" t="str">
        <f aca="false">IF($D274="","",IFERROR(IF(INDEX(Hierarchy!$F$2:$F$1295,MATCH($D274,Hierarchy!$A$2:$A$1295,0))="","",INDEX(Hierarchy!$F$2:$F$1295,MATCH($D274,Hierarchy!$A$2:$A$1295,0))),"NODE NOT FOUND"))</f>
        <v>New Zealand</v>
      </c>
      <c r="J274" s="7" t="str">
        <f aca="false">IF($D274="","",IFERROR(IF(INDEX(Hierarchy!$G$2:$G$1295,MATCH($D274,Hierarchy!$A$2:$A$1295,0))="","",INDEX(Hierarchy!$G$2:$G$1295,MATCH($D274,Hierarchy!$A$2:$A$1295,0))),"NODE NOT FOUND"))</f>
        <v>NZL</v>
      </c>
      <c r="K274" s="7" t="str">
        <f aca="false">IF($D274="","",IFERROR(IF(INDEX(Hierarchy!$H$2:$H$1295,MATCH($D274,Hierarchy!$A$2:$A$1295,0))="","",INDEX(Hierarchy!$H$2:$H$1295,MATCH($D274,Hierarchy!$A$2:$A$1295,0))),"NODE NOT FOUND"))</f>
        <v>Canterbury</v>
      </c>
      <c r="L274" s="7" t="str">
        <f aca="false">IF($D274="","",IFERROR(IF(INDEX(Hierarchy!$I$2:$I$1295,MATCH($D274,Hierarchy!$A$2:$A$1295,0))="","",INDEX(Hierarchy!$I$2:$I$1295,MATCH($D274,Hierarchy!$A$2:$A$1295,0))),"NODE NOT FOUND"))</f>
        <v/>
      </c>
      <c r="M274" s="17" t="str">
        <f aca="false">IF(B274="Pre-seeded","Pre-seeded",IF(B274="Review 2026-09-16","Added from review",IF(C274="","New",IF(C274=D274,"","Changed"))))</f>
        <v>Pre-seeded</v>
      </c>
      <c r="N274" s="7" t="str">
        <f aca="false">TRIM(SUBSTITUTE(SUBSTITUTE(SUBSTITUTE(" "&amp;TRIM(SUBSTITUTE(SUBSTITUTE(SUBSTITUTE(SUBSTITUTE(SUBSTITUTE(SUBSTITUTE(SUBSTITUTE(SUBSTITUTE(SUBSTITUTE(SUBSTITUTE(SUBSTITUTE(SUBSTITUTE(SUBSTITUTE(SUBSTITUTE(SUBSTITUTE(UPPER(TRIM(A274)),"[MEMBER]",""),"{MEMBER}",""),"[MEMBER}",""),"MEMBER]",""),"(A)",""),"""",""),"“",""),"”",""),".",""),":",""),",",""),"–"," "),"-"," "),"/"," "),"&amp;"," AND "))&amp;" "," THE "," ")," TOTAL "," ")," OPERATIONS "," "))</f>
        <v>CANTERBURY</v>
      </c>
      <c r="O274" s="17" t="str">
        <f aca="false">IF(COUNTIFS($N$2:$N$2000,N274,$D$2:$D$2000,"&lt;&gt;"&amp;D274)&gt;0,"CONFLICT","")</f>
        <v/>
      </c>
      <c r="P274" s="7"/>
    </row>
    <row r="275" customFormat="false" ht="15" hidden="false" customHeight="false" outlineLevel="0" collapsed="false">
      <c r="A275" s="7" t="s">
        <v>2028</v>
      </c>
      <c r="B275" s="7" t="s">
        <v>1879</v>
      </c>
      <c r="C275" s="7"/>
      <c r="D275" s="6" t="s">
        <v>1191</v>
      </c>
      <c r="E275" s="6" t="s">
        <v>1880</v>
      </c>
      <c r="F275" s="7" t="str">
        <f aca="false">IF($D275="","",IFERROR(IF(INDEX(Hierarchy!$B$2:$B$1295,MATCH($D275,Hierarchy!$A$2:$A$1295,0))="","",INDEX(Hierarchy!$B$2:$B$1295,MATCH($D275,Hierarchy!$A$2:$A$1295,0))),"NODE NOT FOUND"))</f>
        <v>Country</v>
      </c>
      <c r="G275" s="7" t="str">
        <f aca="false">IF($D275="","",IFERROR(IF(INDEX(Hierarchy!$D$2:$D$1295,MATCH($D275,Hierarchy!$A$2:$A$1295,0))="","",INDEX(Hierarchy!$D$2:$D$1295,MATCH($D275,Hierarchy!$A$2:$A$1295,0))),"NODE NOT FOUND"))</f>
        <v>EMEA</v>
      </c>
      <c r="H275" s="7" t="str">
        <f aca="false">IF($D275="","",IFERROR(IF(INDEX(Hierarchy!$E$2:$E$1295,MATCH($D275,Hierarchy!$A$2:$A$1295,0))="","",INDEX(Hierarchy!$E$2:$E$1295,MATCH($D275,Hierarchy!$A$2:$A$1295,0))),"NODE NOT FOUND"))</f>
        <v>Africa</v>
      </c>
      <c r="I275" s="7" t="str">
        <f aca="false">IF($D275="","",IFERROR(IF(INDEX(Hierarchy!$F$2:$F$1295,MATCH($D275,Hierarchy!$A$2:$A$1295,0))="","",INDEX(Hierarchy!$F$2:$F$1295,MATCH($D275,Hierarchy!$A$2:$A$1295,0))),"NODE NOT FOUND"))</f>
        <v>Cabo Verde</v>
      </c>
      <c r="J275" s="7" t="str">
        <f aca="false">IF($D275="","",IFERROR(IF(INDEX(Hierarchy!$G$2:$G$1295,MATCH($D275,Hierarchy!$A$2:$A$1295,0))="","",INDEX(Hierarchy!$G$2:$G$1295,MATCH($D275,Hierarchy!$A$2:$A$1295,0))),"NODE NOT FOUND"))</f>
        <v>CPV</v>
      </c>
      <c r="K275" s="7" t="str">
        <f aca="false">IF($D275="","",IFERROR(IF(INDEX(Hierarchy!$H$2:$H$1295,MATCH($D275,Hierarchy!$A$2:$A$1295,0))="","",INDEX(Hierarchy!$H$2:$H$1295,MATCH($D275,Hierarchy!$A$2:$A$1295,0))),"NODE NOT FOUND"))</f>
        <v/>
      </c>
      <c r="L275" s="7" t="str">
        <f aca="false">IF($D275="","",IFERROR(IF(INDEX(Hierarchy!$I$2:$I$1295,MATCH($D275,Hierarchy!$A$2:$A$1295,0))="","",INDEX(Hierarchy!$I$2:$I$1295,MATCH($D275,Hierarchy!$A$2:$A$1295,0))),"NODE NOT FOUND"))</f>
        <v/>
      </c>
      <c r="M275" s="17" t="str">
        <f aca="false">IF(B275="Pre-seeded","Pre-seeded",IF(B275="Review 2026-09-16","Added from review",IF(C275="","New",IF(C275=D275,"","Changed"))))</f>
        <v>Pre-seeded</v>
      </c>
      <c r="N275" s="7" t="str">
        <f aca="false">TRIM(SUBSTITUTE(SUBSTITUTE(SUBSTITUTE(" "&amp;TRIM(SUBSTITUTE(SUBSTITUTE(SUBSTITUTE(SUBSTITUTE(SUBSTITUTE(SUBSTITUTE(SUBSTITUTE(SUBSTITUTE(SUBSTITUTE(SUBSTITUTE(SUBSTITUTE(SUBSTITUTE(SUBSTITUTE(SUBSTITUTE(SUBSTITUTE(UPPER(TRIM(A275)),"[MEMBER]",""),"{MEMBER}",""),"[MEMBER}",""),"MEMBER]",""),"(A)",""),"""",""),"“",""),"”",""),".",""),":",""),",",""),"–"," "),"-"," "),"/"," "),"&amp;"," AND "))&amp;" "," THE "," ")," TOTAL "," ")," OPERATIONS "," "))</f>
        <v>CAPE VERDE</v>
      </c>
      <c r="O275" s="17" t="str">
        <f aca="false">IF(COUNTIFS($N$2:$N$2000,N275,$D$2:$D$2000,"&lt;&gt;"&amp;D275)&gt;0,"CONFLICT","")</f>
        <v/>
      </c>
      <c r="P275" s="7"/>
    </row>
    <row r="276" customFormat="false" ht="15" hidden="false" customHeight="false" outlineLevel="0" collapsed="false">
      <c r="A276" s="7" t="s">
        <v>509</v>
      </c>
      <c r="B276" s="7" t="s">
        <v>1879</v>
      </c>
      <c r="C276" s="7"/>
      <c r="D276" s="6" t="s">
        <v>509</v>
      </c>
      <c r="E276" s="6" t="s">
        <v>1880</v>
      </c>
      <c r="F276" s="7" t="str">
        <f aca="false">IF($D276="","",IFERROR(IF(INDEX(Hierarchy!$B$2:$B$1295,MATCH($D276,Hierarchy!$A$2:$A$1295,0))="","",INDEX(Hierarchy!$B$2:$B$1295,MATCH($D276,Hierarchy!$A$2:$A$1295,0))),"NODE NOT FOUND"))</f>
        <v>State/Province</v>
      </c>
      <c r="G276" s="7" t="str">
        <f aca="false">IF($D276="","",IFERROR(IF(INDEX(Hierarchy!$D$2:$D$1295,MATCH($D276,Hierarchy!$A$2:$A$1295,0))="","",INDEX(Hierarchy!$D$2:$D$1295,MATCH($D276,Hierarchy!$A$2:$A$1295,0))),"NODE NOT FOUND"))</f>
        <v>AMER</v>
      </c>
      <c r="H276" s="7" t="str">
        <f aca="false">IF($D276="","",IFERROR(IF(INDEX(Hierarchy!$E$2:$E$1295,MATCH($D276,Hierarchy!$A$2:$A$1295,0))="","",INDEX(Hierarchy!$E$2:$E$1295,MATCH($D276,Hierarchy!$A$2:$A$1295,0))),"NODE NOT FOUND"))</f>
        <v>Latin America (LATAM)</v>
      </c>
      <c r="I276" s="7" t="str">
        <f aca="false">IF($D276="","",IFERROR(IF(INDEX(Hierarchy!$F$2:$F$1295,MATCH($D276,Hierarchy!$A$2:$A$1295,0))="","",INDEX(Hierarchy!$F$2:$F$1295,MATCH($D276,Hierarchy!$A$2:$A$1295,0))),"NODE NOT FOUND"))</f>
        <v>Colombia</v>
      </c>
      <c r="J276" s="7" t="str">
        <f aca="false">IF($D276="","",IFERROR(IF(INDEX(Hierarchy!$G$2:$G$1295,MATCH($D276,Hierarchy!$A$2:$A$1295,0))="","",INDEX(Hierarchy!$G$2:$G$1295,MATCH($D276,Hierarchy!$A$2:$A$1295,0))),"NODE NOT FOUND"))</f>
        <v>COL</v>
      </c>
      <c r="K276" s="7" t="str">
        <f aca="false">IF($D276="","",IFERROR(IF(INDEX(Hierarchy!$H$2:$H$1295,MATCH($D276,Hierarchy!$A$2:$A$1295,0))="","",INDEX(Hierarchy!$H$2:$H$1295,MATCH($D276,Hierarchy!$A$2:$A$1295,0))),"NODE NOT FOUND"))</f>
        <v>Caquetá</v>
      </c>
      <c r="L276" s="7" t="str">
        <f aca="false">IF($D276="","",IFERROR(IF(INDEX(Hierarchy!$I$2:$I$1295,MATCH($D276,Hierarchy!$A$2:$A$1295,0))="","",INDEX(Hierarchy!$I$2:$I$1295,MATCH($D276,Hierarchy!$A$2:$A$1295,0))),"NODE NOT FOUND"))</f>
        <v/>
      </c>
      <c r="M276" s="17" t="str">
        <f aca="false">IF(B276="Pre-seeded","Pre-seeded",IF(B276="Review 2026-09-16","Added from review",IF(C276="","New",IF(C276=D276,"","Changed"))))</f>
        <v>Pre-seeded</v>
      </c>
      <c r="N276" s="7" t="str">
        <f aca="false">TRIM(SUBSTITUTE(SUBSTITUTE(SUBSTITUTE(" "&amp;TRIM(SUBSTITUTE(SUBSTITUTE(SUBSTITUTE(SUBSTITUTE(SUBSTITUTE(SUBSTITUTE(SUBSTITUTE(SUBSTITUTE(SUBSTITUTE(SUBSTITUTE(SUBSTITUTE(SUBSTITUTE(SUBSTITUTE(SUBSTITUTE(SUBSTITUTE(UPPER(TRIM(A276)),"[MEMBER]",""),"{MEMBER}",""),"[MEMBER}",""),"MEMBER]",""),"(A)",""),"""",""),"“",""),"”",""),".",""),":",""),",",""),"–"," "),"-"," "),"/"," "),"&amp;"," AND "))&amp;" "," THE "," ")," TOTAL "," ")," OPERATIONS "," "))</f>
        <v>CAQUETÁ</v>
      </c>
      <c r="O276" s="17" t="str">
        <f aca="false">IF(COUNTIFS($N$2:$N$2000,N276,$D$2:$D$2000,"&lt;&gt;"&amp;D276)&gt;0,"CONFLICT","")</f>
        <v/>
      </c>
      <c r="P276" s="7"/>
    </row>
    <row r="277" customFormat="false" ht="15" hidden="false" customHeight="false" outlineLevel="0" collapsed="false">
      <c r="A277" s="7" t="s">
        <v>1667</v>
      </c>
      <c r="B277" s="7" t="s">
        <v>1879</v>
      </c>
      <c r="C277" s="7"/>
      <c r="D277" s="6" t="s">
        <v>1667</v>
      </c>
      <c r="E277" s="6" t="s">
        <v>1880</v>
      </c>
      <c r="F277" s="7" t="str">
        <f aca="false">IF($D277="","",IFERROR(IF(INDEX(Hierarchy!$B$2:$B$1295,MATCH($D277,Hierarchy!$A$2:$A$1295,0))="","",INDEX(Hierarchy!$B$2:$B$1295,MATCH($D277,Hierarchy!$A$2:$A$1295,0))),"NODE NOT FOUND"))</f>
        <v>State/Province</v>
      </c>
      <c r="G277" s="7" t="str">
        <f aca="false">IF($D277="","",IFERROR(IF(INDEX(Hierarchy!$D$2:$D$1295,MATCH($D277,Hierarchy!$A$2:$A$1295,0))="","",INDEX(Hierarchy!$D$2:$D$1295,MATCH($D277,Hierarchy!$A$2:$A$1295,0))),"NODE NOT FOUND"))</f>
        <v>APAC</v>
      </c>
      <c r="H277" s="7" t="str">
        <f aca="false">IF($D277="","",IFERROR(IF(INDEX(Hierarchy!$E$2:$E$1295,MATCH($D277,Hierarchy!$A$2:$A$1295,0))="","",INDEX(Hierarchy!$E$2:$E$1295,MATCH($D277,Hierarchy!$A$2:$A$1295,0))),"NODE NOT FOUND"))</f>
        <v>Southeast Asia (ASEAN)</v>
      </c>
      <c r="I277" s="7" t="str">
        <f aca="false">IF($D277="","",IFERROR(IF(INDEX(Hierarchy!$F$2:$F$1295,MATCH($D277,Hierarchy!$A$2:$A$1295,0))="","",INDEX(Hierarchy!$F$2:$F$1295,MATCH($D277,Hierarchy!$A$2:$A$1295,0))),"NODE NOT FOUND"))</f>
        <v>Philippines</v>
      </c>
      <c r="J277" s="7" t="str">
        <f aca="false">IF($D277="","",IFERROR(IF(INDEX(Hierarchy!$G$2:$G$1295,MATCH($D277,Hierarchy!$A$2:$A$1295,0))="","",INDEX(Hierarchy!$G$2:$G$1295,MATCH($D277,Hierarchy!$A$2:$A$1295,0))),"NODE NOT FOUND"))</f>
        <v>PHL</v>
      </c>
      <c r="K277" s="7" t="str">
        <f aca="false">IF($D277="","",IFERROR(IF(INDEX(Hierarchy!$H$2:$H$1295,MATCH($D277,Hierarchy!$A$2:$A$1295,0))="","",INDEX(Hierarchy!$H$2:$H$1295,MATCH($D277,Hierarchy!$A$2:$A$1295,0))),"NODE NOT FOUND"))</f>
        <v>Caraga</v>
      </c>
      <c r="L277" s="7" t="str">
        <f aca="false">IF($D277="","",IFERROR(IF(INDEX(Hierarchy!$I$2:$I$1295,MATCH($D277,Hierarchy!$A$2:$A$1295,0))="","",INDEX(Hierarchy!$I$2:$I$1295,MATCH($D277,Hierarchy!$A$2:$A$1295,0))),"NODE NOT FOUND"))</f>
        <v/>
      </c>
      <c r="M277" s="17" t="str">
        <f aca="false">IF(B277="Pre-seeded","Pre-seeded",IF(B277="Review 2026-09-16","Added from review",IF(C277="","New",IF(C277=D277,"","Changed"))))</f>
        <v>Pre-seeded</v>
      </c>
      <c r="N277" s="7" t="str">
        <f aca="false">TRIM(SUBSTITUTE(SUBSTITUTE(SUBSTITUTE(" "&amp;TRIM(SUBSTITUTE(SUBSTITUTE(SUBSTITUTE(SUBSTITUTE(SUBSTITUTE(SUBSTITUTE(SUBSTITUTE(SUBSTITUTE(SUBSTITUTE(SUBSTITUTE(SUBSTITUTE(SUBSTITUTE(SUBSTITUTE(SUBSTITUTE(SUBSTITUTE(UPPER(TRIM(A277)),"[MEMBER]",""),"{MEMBER}",""),"[MEMBER}",""),"MEMBER]",""),"(A)",""),"""",""),"“",""),"”",""),".",""),":",""),",",""),"–"," "),"-"," "),"/"," "),"&amp;"," AND "))&amp;" "," THE "," ")," TOTAL "," ")," OPERATIONS "," "))</f>
        <v>CARAGA</v>
      </c>
      <c r="O277" s="17" t="str">
        <f aca="false">IF(COUNTIFS($N$2:$N$2000,N277,$D$2:$D$2000,"&lt;&gt;"&amp;D277)&gt;0,"CONFLICT","")</f>
        <v/>
      </c>
      <c r="P277" s="7"/>
    </row>
    <row r="278" customFormat="false" ht="15" hidden="false" customHeight="false" outlineLevel="0" collapsed="false">
      <c r="A278" s="7" t="s">
        <v>2029</v>
      </c>
      <c r="B278" s="7" t="s">
        <v>1879</v>
      </c>
      <c r="C278" s="7"/>
      <c r="D278" s="6" t="s">
        <v>312</v>
      </c>
      <c r="E278" s="6" t="s">
        <v>1891</v>
      </c>
      <c r="F278" s="7" t="str">
        <f aca="false">IF($D278="","",IFERROR(IF(INDEX(Hierarchy!$B$2:$B$1295,MATCH($D278,Hierarchy!$A$2:$A$1295,0))="","",INDEX(Hierarchy!$B$2:$B$1295,MATCH($D278,Hierarchy!$A$2:$A$1295,0))),"NODE NOT FOUND"))</f>
        <v>Sub-region</v>
      </c>
      <c r="G278" s="7" t="str">
        <f aca="false">IF($D278="","",IFERROR(IF(INDEX(Hierarchy!$D$2:$D$1295,MATCH($D278,Hierarchy!$A$2:$A$1295,0))="","",INDEX(Hierarchy!$D$2:$D$1295,MATCH($D278,Hierarchy!$A$2:$A$1295,0))),"NODE NOT FOUND"))</f>
        <v>AMER</v>
      </c>
      <c r="H278" s="7" t="str">
        <f aca="false">IF($D278="","",IFERROR(IF(INDEX(Hierarchy!$E$2:$E$1295,MATCH($D278,Hierarchy!$A$2:$A$1295,0))="","",INDEX(Hierarchy!$E$2:$E$1295,MATCH($D278,Hierarchy!$A$2:$A$1295,0))),"NODE NOT FOUND"))</f>
        <v>Latin America (LATAM)</v>
      </c>
      <c r="I278" s="7" t="str">
        <f aca="false">IF($D278="","",IFERROR(IF(INDEX(Hierarchy!$F$2:$F$1295,MATCH($D278,Hierarchy!$A$2:$A$1295,0))="","",INDEX(Hierarchy!$F$2:$F$1295,MATCH($D278,Hierarchy!$A$2:$A$1295,0))),"NODE NOT FOUND"))</f>
        <v/>
      </c>
      <c r="J278" s="7" t="str">
        <f aca="false">IF($D278="","",IFERROR(IF(INDEX(Hierarchy!$G$2:$G$1295,MATCH($D278,Hierarchy!$A$2:$A$1295,0))="","",INDEX(Hierarchy!$G$2:$G$1295,MATCH($D278,Hierarchy!$A$2:$A$1295,0))),"NODE NOT FOUND"))</f>
        <v/>
      </c>
      <c r="K278" s="7" t="str">
        <f aca="false">IF($D278="","",IFERROR(IF(INDEX(Hierarchy!$H$2:$H$1295,MATCH($D278,Hierarchy!$A$2:$A$1295,0))="","",INDEX(Hierarchy!$H$2:$H$1295,MATCH($D278,Hierarchy!$A$2:$A$1295,0))),"NODE NOT FOUND"))</f>
        <v/>
      </c>
      <c r="L278" s="7" t="str">
        <f aca="false">IF($D278="","",IFERROR(IF(INDEX(Hierarchy!$I$2:$I$1295,MATCH($D278,Hierarchy!$A$2:$A$1295,0))="","",INDEX(Hierarchy!$I$2:$I$1295,MATCH($D278,Hierarchy!$A$2:$A$1295,0))),"NODE NOT FOUND"))</f>
        <v/>
      </c>
      <c r="M278" s="17" t="str">
        <f aca="false">IF(B278="Pre-seeded","Pre-seeded",IF(B278="Review 2026-09-16","Added from review",IF(C278="","New",IF(C278=D278,"","Changed"))))</f>
        <v>Pre-seeded</v>
      </c>
      <c r="N278" s="7" t="str">
        <f aca="false">TRIM(SUBSTITUTE(SUBSTITUTE(SUBSTITUTE(" "&amp;TRIM(SUBSTITUTE(SUBSTITUTE(SUBSTITUTE(SUBSTITUTE(SUBSTITUTE(SUBSTITUTE(SUBSTITUTE(SUBSTITUTE(SUBSTITUTE(SUBSTITUTE(SUBSTITUTE(SUBSTITUTE(SUBSTITUTE(SUBSTITUTE(SUBSTITUTE(UPPER(TRIM(A278)),"[MEMBER]",""),"{MEMBER}",""),"[MEMBER}",""),"MEMBER]",""),"(A)",""),"""",""),"“",""),"”",""),".",""),":",""),",",""),"–"," "),"-"," "),"/"," "),"&amp;"," AND "))&amp;" "," THE "," ")," TOTAL "," ")," OPERATIONS "," "))</f>
        <v>CARIBBEAN AND CENTRAL AMERICA</v>
      </c>
      <c r="O278" s="17" t="str">
        <f aca="false">IF(COUNTIFS($N$2:$N$2000,N278,$D$2:$D$2000,"&lt;&gt;"&amp;D278)&gt;0,"CONFLICT","")</f>
        <v/>
      </c>
      <c r="P278" s="7"/>
    </row>
    <row r="279" customFormat="false" ht="15" hidden="false" customHeight="false" outlineLevel="0" collapsed="false">
      <c r="A279" s="7" t="s">
        <v>2030</v>
      </c>
      <c r="B279" s="7" t="s">
        <v>1879</v>
      </c>
      <c r="C279" s="7"/>
      <c r="D279" s="6" t="s">
        <v>469</v>
      </c>
      <c r="E279" s="6" t="s">
        <v>1880</v>
      </c>
      <c r="F279" s="7" t="str">
        <f aca="false">IF($D279="","",IFERROR(IF(INDEX(Hierarchy!$B$2:$B$1295,MATCH($D279,Hierarchy!$A$2:$A$1295,0))="","",INDEX(Hierarchy!$B$2:$B$1295,MATCH($D279,Hierarchy!$A$2:$A$1295,0))),"NODE NOT FOUND"))</f>
        <v>Country</v>
      </c>
      <c r="G279" s="7" t="str">
        <f aca="false">IF($D279="","",IFERROR(IF(INDEX(Hierarchy!$D$2:$D$1295,MATCH($D279,Hierarchy!$A$2:$A$1295,0))="","",INDEX(Hierarchy!$D$2:$D$1295,MATCH($D279,Hierarchy!$A$2:$A$1295,0))),"NODE NOT FOUND"))</f>
        <v>AMER</v>
      </c>
      <c r="H279" s="7" t="str">
        <f aca="false">IF($D279="","",IFERROR(IF(INDEX(Hierarchy!$E$2:$E$1295,MATCH($D279,Hierarchy!$A$2:$A$1295,0))="","",INDEX(Hierarchy!$E$2:$E$1295,MATCH($D279,Hierarchy!$A$2:$A$1295,0))),"NODE NOT FOUND"))</f>
        <v>Latin America (LATAM)</v>
      </c>
      <c r="I279" s="7" t="str">
        <f aca="false">IF($D279="","",IFERROR(IF(INDEX(Hierarchy!$F$2:$F$1295,MATCH($D279,Hierarchy!$A$2:$A$1295,0))="","",INDEX(Hierarchy!$F$2:$F$1295,MATCH($D279,Hierarchy!$A$2:$A$1295,0))),"NODE NOT FOUND"))</f>
        <v>Bonaire, Sint Eustatius and Saba</v>
      </c>
      <c r="J279" s="7" t="str">
        <f aca="false">IF($D279="","",IFERROR(IF(INDEX(Hierarchy!$G$2:$G$1295,MATCH($D279,Hierarchy!$A$2:$A$1295,0))="","",INDEX(Hierarchy!$G$2:$G$1295,MATCH($D279,Hierarchy!$A$2:$A$1295,0))),"NODE NOT FOUND"))</f>
        <v>BES</v>
      </c>
      <c r="K279" s="7" t="str">
        <f aca="false">IF($D279="","",IFERROR(IF(INDEX(Hierarchy!$H$2:$H$1295,MATCH($D279,Hierarchy!$A$2:$A$1295,0))="","",INDEX(Hierarchy!$H$2:$H$1295,MATCH($D279,Hierarchy!$A$2:$A$1295,0))),"NODE NOT FOUND"))</f>
        <v/>
      </c>
      <c r="L279" s="7" t="str">
        <f aca="false">IF($D279="","",IFERROR(IF(INDEX(Hierarchy!$I$2:$I$1295,MATCH($D279,Hierarchy!$A$2:$A$1295,0))="","",INDEX(Hierarchy!$I$2:$I$1295,MATCH($D279,Hierarchy!$A$2:$A$1295,0))),"NODE NOT FOUND"))</f>
        <v/>
      </c>
      <c r="M279" s="17" t="str">
        <f aca="false">IF(B279="Pre-seeded","Pre-seeded",IF(B279="Review 2026-09-16","Added from review",IF(C279="","New",IF(C279=D279,"","Changed"))))</f>
        <v>Pre-seeded</v>
      </c>
      <c r="N279" s="7" t="str">
        <f aca="false">TRIM(SUBSTITUTE(SUBSTITUTE(SUBSTITUTE(" "&amp;TRIM(SUBSTITUTE(SUBSTITUTE(SUBSTITUTE(SUBSTITUTE(SUBSTITUTE(SUBSTITUTE(SUBSTITUTE(SUBSTITUTE(SUBSTITUTE(SUBSTITUTE(SUBSTITUTE(SUBSTITUTE(SUBSTITUTE(SUBSTITUTE(SUBSTITUTE(UPPER(TRIM(A279)),"[MEMBER]",""),"{MEMBER}",""),"[MEMBER}",""),"MEMBER]",""),"(A)",""),"""",""),"“",""),"”",""),".",""),":",""),",",""),"–"," "),"-"," "),"/"," "),"&amp;"," AND "))&amp;" "," THE "," ")," TOTAL "," ")," OPERATIONS "," "))</f>
        <v>CARIBBEAN NETHERLANDS</v>
      </c>
      <c r="O279" s="17" t="str">
        <f aca="false">IF(COUNTIFS($N$2:$N$2000,N279,$D$2:$D$2000,"&lt;&gt;"&amp;D279)&gt;0,"CONFLICT","")</f>
        <v/>
      </c>
      <c r="P279" s="7"/>
    </row>
    <row r="280" customFormat="false" ht="15" hidden="false" customHeight="false" outlineLevel="0" collapsed="false">
      <c r="A280" s="7" t="s">
        <v>2031</v>
      </c>
      <c r="B280" s="7" t="s">
        <v>1885</v>
      </c>
      <c r="C280" s="7" t="s">
        <v>2032</v>
      </c>
      <c r="D280" s="6" t="s">
        <v>319</v>
      </c>
      <c r="E280" s="6" t="s">
        <v>1880</v>
      </c>
      <c r="F280" s="7" t="str">
        <f aca="false">IF($D280="","",IFERROR(IF(INDEX(Hierarchy!$B$2:$B$1295,MATCH($D280,Hierarchy!$A$2:$A$1295,0))="","",INDEX(Hierarchy!$B$2:$B$1295,MATCH($D280,Hierarchy!$A$2:$A$1295,0))),"NODE NOT FOUND"))</f>
        <v>Sub-region component</v>
      </c>
      <c r="G280" s="7" t="str">
        <f aca="false">IF($D280="","",IFERROR(IF(INDEX(Hierarchy!$D$2:$D$1295,MATCH($D280,Hierarchy!$A$2:$A$1295,0))="","",INDEX(Hierarchy!$D$2:$D$1295,MATCH($D280,Hierarchy!$A$2:$A$1295,0))),"NODE NOT FOUND"))</f>
        <v>AMER</v>
      </c>
      <c r="H280" s="7" t="str">
        <f aca="false">IF($D280="","",IFERROR(IF(INDEX(Hierarchy!$E$2:$E$1295,MATCH($D280,Hierarchy!$A$2:$A$1295,0))="","",INDEX(Hierarchy!$E$2:$E$1295,MATCH($D280,Hierarchy!$A$2:$A$1295,0))),"NODE NOT FOUND"))</f>
        <v>Latin America (LATAM)</v>
      </c>
      <c r="I280" s="7" t="str">
        <f aca="false">IF($D280="","",IFERROR(IF(INDEX(Hierarchy!$F$2:$F$1295,MATCH($D280,Hierarchy!$A$2:$A$1295,0))="","",INDEX(Hierarchy!$F$2:$F$1295,MATCH($D280,Hierarchy!$A$2:$A$1295,0))),"NODE NOT FOUND"))</f>
        <v/>
      </c>
      <c r="J280" s="7" t="str">
        <f aca="false">IF($D280="","",IFERROR(IF(INDEX(Hierarchy!$G$2:$G$1295,MATCH($D280,Hierarchy!$A$2:$A$1295,0))="","",INDEX(Hierarchy!$G$2:$G$1295,MATCH($D280,Hierarchy!$A$2:$A$1295,0))),"NODE NOT FOUND"))</f>
        <v/>
      </c>
      <c r="K280" s="7" t="str">
        <f aca="false">IF($D280="","",IFERROR(IF(INDEX(Hierarchy!$H$2:$H$1295,MATCH($D280,Hierarchy!$A$2:$A$1295,0))="","",INDEX(Hierarchy!$H$2:$H$1295,MATCH($D280,Hierarchy!$A$2:$A$1295,0))),"NODE NOT FOUND"))</f>
        <v/>
      </c>
      <c r="L280" s="7" t="str">
        <f aca="false">IF($D280="","",IFERROR(IF(INDEX(Hierarchy!$I$2:$I$1295,MATCH($D280,Hierarchy!$A$2:$A$1295,0))="","",INDEX(Hierarchy!$I$2:$I$1295,MATCH($D280,Hierarchy!$A$2:$A$1295,0))),"NODE NOT FOUND"))</f>
        <v/>
      </c>
      <c r="M280" s="17" t="str">
        <f aca="false">IF(B280="Pre-seeded","Pre-seeded",IF(B280="Review 2026-09-16","Added from review",IF(C280="","New",IF(C280=D280,"","Changed"))))</f>
        <v>Changed</v>
      </c>
      <c r="N280" s="7" t="str">
        <f aca="false">TRIM(SUBSTITUTE(SUBSTITUTE(SUBSTITUTE(" "&amp;TRIM(SUBSTITUTE(SUBSTITUTE(SUBSTITUTE(SUBSTITUTE(SUBSTITUTE(SUBSTITUTE(SUBSTITUTE(SUBSTITUTE(SUBSTITUTE(SUBSTITUTE(SUBSTITUTE(SUBSTITUTE(SUBSTITUTE(SUBSTITUTE(SUBSTITUTE(UPPER(TRIM(A280)),"[MEMBER]",""),"{MEMBER}",""),"[MEMBER}",""),"MEMBER]",""),"(A)",""),"""",""),"“",""),"”",""),".",""),":",""),",",""),"–"," "),"-"," "),"/"," "),"&amp;"," AND "))&amp;" "," THE "," ")," TOTAL "," ")," OPERATIONS "," "))</f>
        <v>CARIBBEAN</v>
      </c>
      <c r="O280" s="17" t="str">
        <f aca="false">IF(COUNTIFS($N$2:$N$2000,N280,$D$2:$D$2000,"&lt;&gt;"&amp;D280)&gt;0,"CONFLICT","")</f>
        <v/>
      </c>
      <c r="P280" s="7"/>
    </row>
    <row r="281" customFormat="false" ht="15" hidden="false" customHeight="false" outlineLevel="0" collapsed="false">
      <c r="A281" s="7" t="s">
        <v>2033</v>
      </c>
      <c r="B281" s="7" t="s">
        <v>1885</v>
      </c>
      <c r="C281" s="7" t="s">
        <v>2034</v>
      </c>
      <c r="D281" s="6" t="s">
        <v>312</v>
      </c>
      <c r="E281" s="6" t="s">
        <v>1891</v>
      </c>
      <c r="F281" s="7" t="str">
        <f aca="false">IF($D281="","",IFERROR(IF(INDEX(Hierarchy!$B$2:$B$1295,MATCH($D281,Hierarchy!$A$2:$A$1295,0))="","",INDEX(Hierarchy!$B$2:$B$1295,MATCH($D281,Hierarchy!$A$2:$A$1295,0))),"NODE NOT FOUND"))</f>
        <v>Sub-region</v>
      </c>
      <c r="G281" s="7" t="str">
        <f aca="false">IF($D281="","",IFERROR(IF(INDEX(Hierarchy!$D$2:$D$1295,MATCH($D281,Hierarchy!$A$2:$A$1295,0))="","",INDEX(Hierarchy!$D$2:$D$1295,MATCH($D281,Hierarchy!$A$2:$A$1295,0))),"NODE NOT FOUND"))</f>
        <v>AMER</v>
      </c>
      <c r="H281" s="7" t="str">
        <f aca="false">IF($D281="","",IFERROR(IF(INDEX(Hierarchy!$E$2:$E$1295,MATCH($D281,Hierarchy!$A$2:$A$1295,0))="","",INDEX(Hierarchy!$E$2:$E$1295,MATCH($D281,Hierarchy!$A$2:$A$1295,0))),"NODE NOT FOUND"))</f>
        <v>Latin America (LATAM)</v>
      </c>
      <c r="I281" s="7" t="str">
        <f aca="false">IF($D281="","",IFERROR(IF(INDEX(Hierarchy!$F$2:$F$1295,MATCH($D281,Hierarchy!$A$2:$A$1295,0))="","",INDEX(Hierarchy!$F$2:$F$1295,MATCH($D281,Hierarchy!$A$2:$A$1295,0))),"NODE NOT FOUND"))</f>
        <v/>
      </c>
      <c r="J281" s="7" t="str">
        <f aca="false">IF($D281="","",IFERROR(IF(INDEX(Hierarchy!$G$2:$G$1295,MATCH($D281,Hierarchy!$A$2:$A$1295,0))="","",INDEX(Hierarchy!$G$2:$G$1295,MATCH($D281,Hierarchy!$A$2:$A$1295,0))),"NODE NOT FOUND"))</f>
        <v/>
      </c>
      <c r="K281" s="7" t="str">
        <f aca="false">IF($D281="","",IFERROR(IF(INDEX(Hierarchy!$H$2:$H$1295,MATCH($D281,Hierarchy!$A$2:$A$1295,0))="","",INDEX(Hierarchy!$H$2:$H$1295,MATCH($D281,Hierarchy!$A$2:$A$1295,0))),"NODE NOT FOUND"))</f>
        <v/>
      </c>
      <c r="L281" s="7" t="str">
        <f aca="false">IF($D281="","",IFERROR(IF(INDEX(Hierarchy!$I$2:$I$1295,MATCH($D281,Hierarchy!$A$2:$A$1295,0))="","",INDEX(Hierarchy!$I$2:$I$1295,MATCH($D281,Hierarchy!$A$2:$A$1295,0))),"NODE NOT FOUND"))</f>
        <v/>
      </c>
      <c r="M281" s="17" t="str">
        <f aca="false">IF(B281="Pre-seeded","Pre-seeded",IF(B281="Review 2026-09-16","Added from review",IF(C281="","New",IF(C281=D281,"","Changed"))))</f>
        <v>Changed</v>
      </c>
      <c r="N281" s="7" t="str">
        <f aca="false">TRIM(SUBSTITUTE(SUBSTITUTE(SUBSTITUTE(" "&amp;TRIM(SUBSTITUTE(SUBSTITUTE(SUBSTITUTE(SUBSTITUTE(SUBSTITUTE(SUBSTITUTE(SUBSTITUTE(SUBSTITUTE(SUBSTITUTE(SUBSTITUTE(SUBSTITUTE(SUBSTITUTE(SUBSTITUTE(SUBSTITUTE(SUBSTITUTE(UPPER(TRIM(A281)),"[MEMBER]",""),"{MEMBER}",""),"[MEMBER}",""),"MEMBER]",""),"(A)",""),"""",""),"“",""),"”",""),".",""),":",""),",",""),"–"," "),"-"," "),"/"," "),"&amp;"," AND "))&amp;" "," THE "," ")," TOTAL "," ")," OPERATIONS "," "))</f>
        <v>CARIBBEAN CENTRAL AND SOUTH AMERICA</v>
      </c>
      <c r="O281" s="17" t="str">
        <f aca="false">IF(COUNTIFS($N$2:$N$2000,N281,$D$2:$D$2000,"&lt;&gt;"&amp;D281)&gt;0,"CONFLICT","")</f>
        <v/>
      </c>
      <c r="P281" s="7" t="s">
        <v>2035</v>
      </c>
    </row>
    <row r="282" customFormat="false" ht="15" hidden="false" customHeight="false" outlineLevel="0" collapsed="false">
      <c r="A282" s="7" t="s">
        <v>750</v>
      </c>
      <c r="B282" s="7" t="s">
        <v>1879</v>
      </c>
      <c r="C282" s="7"/>
      <c r="D282" s="6" t="s">
        <v>750</v>
      </c>
      <c r="E282" s="6" t="s">
        <v>1880</v>
      </c>
      <c r="F282" s="7" t="str">
        <f aca="false">IF($D282="","",IFERROR(IF(INDEX(Hierarchy!$B$2:$B$1295,MATCH($D282,Hierarchy!$A$2:$A$1295,0))="","",INDEX(Hierarchy!$B$2:$B$1295,MATCH($D282,Hierarchy!$A$2:$A$1295,0))),"NODE NOT FOUND"))</f>
        <v>State/Province</v>
      </c>
      <c r="G282" s="7" t="str">
        <f aca="false">IF($D282="","",IFERROR(IF(INDEX(Hierarchy!$D$2:$D$1295,MATCH($D282,Hierarchy!$A$2:$A$1295,0))="","",INDEX(Hierarchy!$D$2:$D$1295,MATCH($D282,Hierarchy!$A$2:$A$1295,0))),"NODE NOT FOUND"))</f>
        <v>EMEA</v>
      </c>
      <c r="H282" s="7" t="str">
        <f aca="false">IF($D282="","",IFERROR(IF(INDEX(Hierarchy!$E$2:$E$1295,MATCH($D282,Hierarchy!$A$2:$A$1295,0))="","",INDEX(Hierarchy!$E$2:$E$1295,MATCH($D282,Hierarchy!$A$2:$A$1295,0))),"NODE NOT FOUND"))</f>
        <v>Europe</v>
      </c>
      <c r="I282" s="7" t="str">
        <f aca="false">IF($D282="","",IFERROR(IF(INDEX(Hierarchy!$F$2:$F$1295,MATCH($D282,Hierarchy!$A$2:$A$1295,0))="","",INDEX(Hierarchy!$F$2:$F$1295,MATCH($D282,Hierarchy!$A$2:$A$1295,0))),"NODE NOT FOUND"))</f>
        <v>Austria</v>
      </c>
      <c r="J282" s="7" t="str">
        <f aca="false">IF($D282="","",IFERROR(IF(INDEX(Hierarchy!$G$2:$G$1295,MATCH($D282,Hierarchy!$A$2:$A$1295,0))="","",INDEX(Hierarchy!$G$2:$G$1295,MATCH($D282,Hierarchy!$A$2:$A$1295,0))),"NODE NOT FOUND"))</f>
        <v>AUT</v>
      </c>
      <c r="K282" s="7" t="str">
        <f aca="false">IF($D282="","",IFERROR(IF(INDEX(Hierarchy!$H$2:$H$1295,MATCH($D282,Hierarchy!$A$2:$A$1295,0))="","",INDEX(Hierarchy!$H$2:$H$1295,MATCH($D282,Hierarchy!$A$2:$A$1295,0))),"NODE NOT FOUND"))</f>
        <v>Carinthia</v>
      </c>
      <c r="L282" s="7" t="str">
        <f aca="false">IF($D282="","",IFERROR(IF(INDEX(Hierarchy!$I$2:$I$1295,MATCH($D282,Hierarchy!$A$2:$A$1295,0))="","",INDEX(Hierarchy!$I$2:$I$1295,MATCH($D282,Hierarchy!$A$2:$A$1295,0))),"NODE NOT FOUND"))</f>
        <v/>
      </c>
      <c r="M282" s="17" t="str">
        <f aca="false">IF(B282="Pre-seeded","Pre-seeded",IF(B282="Review 2026-09-16","Added from review",IF(C282="","New",IF(C282=D282,"","Changed"))))</f>
        <v>Pre-seeded</v>
      </c>
      <c r="N282" s="7" t="str">
        <f aca="false">TRIM(SUBSTITUTE(SUBSTITUTE(SUBSTITUTE(" "&amp;TRIM(SUBSTITUTE(SUBSTITUTE(SUBSTITUTE(SUBSTITUTE(SUBSTITUTE(SUBSTITUTE(SUBSTITUTE(SUBSTITUTE(SUBSTITUTE(SUBSTITUTE(SUBSTITUTE(SUBSTITUTE(SUBSTITUTE(SUBSTITUTE(SUBSTITUTE(UPPER(TRIM(A282)),"[MEMBER]",""),"{MEMBER}",""),"[MEMBER}",""),"MEMBER]",""),"(A)",""),"""",""),"“",""),"”",""),".",""),":",""),",",""),"–"," "),"-"," "),"/"," "),"&amp;"," AND "))&amp;" "," THE "," ")," TOTAL "," ")," OPERATIONS "," "))</f>
        <v>CARINTHIA</v>
      </c>
      <c r="O282" s="17" t="str">
        <f aca="false">IF(COUNTIFS($N$2:$N$2000,N282,$D$2:$D$2000,"&lt;&gt;"&amp;D282)&gt;0,"CONFLICT","")</f>
        <v/>
      </c>
      <c r="P282" s="7"/>
    </row>
    <row r="283" customFormat="false" ht="15" hidden="false" customHeight="false" outlineLevel="0" collapsed="false">
      <c r="A283" s="7" t="s">
        <v>510</v>
      </c>
      <c r="B283" s="7" t="s">
        <v>1879</v>
      </c>
      <c r="C283" s="7"/>
      <c r="D283" s="6" t="s">
        <v>510</v>
      </c>
      <c r="E283" s="6" t="s">
        <v>1880</v>
      </c>
      <c r="F283" s="7" t="str">
        <f aca="false">IF($D283="","",IFERROR(IF(INDEX(Hierarchy!$B$2:$B$1295,MATCH($D283,Hierarchy!$A$2:$A$1295,0))="","",INDEX(Hierarchy!$B$2:$B$1295,MATCH($D283,Hierarchy!$A$2:$A$1295,0))),"NODE NOT FOUND"))</f>
        <v>State/Province</v>
      </c>
      <c r="G283" s="7" t="str">
        <f aca="false">IF($D283="","",IFERROR(IF(INDEX(Hierarchy!$D$2:$D$1295,MATCH($D283,Hierarchy!$A$2:$A$1295,0))="","",INDEX(Hierarchy!$D$2:$D$1295,MATCH($D283,Hierarchy!$A$2:$A$1295,0))),"NODE NOT FOUND"))</f>
        <v>AMER</v>
      </c>
      <c r="H283" s="7" t="str">
        <f aca="false">IF($D283="","",IFERROR(IF(INDEX(Hierarchy!$E$2:$E$1295,MATCH($D283,Hierarchy!$A$2:$A$1295,0))="","",INDEX(Hierarchy!$E$2:$E$1295,MATCH($D283,Hierarchy!$A$2:$A$1295,0))),"NODE NOT FOUND"))</f>
        <v>Latin America (LATAM)</v>
      </c>
      <c r="I283" s="7" t="str">
        <f aca="false">IF($D283="","",IFERROR(IF(INDEX(Hierarchy!$F$2:$F$1295,MATCH($D283,Hierarchy!$A$2:$A$1295,0))="","",INDEX(Hierarchy!$F$2:$F$1295,MATCH($D283,Hierarchy!$A$2:$A$1295,0))),"NODE NOT FOUND"))</f>
        <v>Colombia</v>
      </c>
      <c r="J283" s="7" t="str">
        <f aca="false">IF($D283="","",IFERROR(IF(INDEX(Hierarchy!$G$2:$G$1295,MATCH($D283,Hierarchy!$A$2:$A$1295,0))="","",INDEX(Hierarchy!$G$2:$G$1295,MATCH($D283,Hierarchy!$A$2:$A$1295,0))),"NODE NOT FOUND"))</f>
        <v>COL</v>
      </c>
      <c r="K283" s="7" t="str">
        <f aca="false">IF($D283="","",IFERROR(IF(INDEX(Hierarchy!$H$2:$H$1295,MATCH($D283,Hierarchy!$A$2:$A$1295,0))="","",INDEX(Hierarchy!$H$2:$H$1295,MATCH($D283,Hierarchy!$A$2:$A$1295,0))),"NODE NOT FOUND"))</f>
        <v>Casanare</v>
      </c>
      <c r="L283" s="7" t="str">
        <f aca="false">IF($D283="","",IFERROR(IF(INDEX(Hierarchy!$I$2:$I$1295,MATCH($D283,Hierarchy!$A$2:$A$1295,0))="","",INDEX(Hierarchy!$I$2:$I$1295,MATCH($D283,Hierarchy!$A$2:$A$1295,0))),"NODE NOT FOUND"))</f>
        <v/>
      </c>
      <c r="M283" s="17" t="str">
        <f aca="false">IF(B283="Pre-seeded","Pre-seeded",IF(B283="Review 2026-09-16","Added from review",IF(C283="","New",IF(C283=D283,"","Changed"))))</f>
        <v>Pre-seeded</v>
      </c>
      <c r="N283" s="7" t="str">
        <f aca="false">TRIM(SUBSTITUTE(SUBSTITUTE(SUBSTITUTE(" "&amp;TRIM(SUBSTITUTE(SUBSTITUTE(SUBSTITUTE(SUBSTITUTE(SUBSTITUTE(SUBSTITUTE(SUBSTITUTE(SUBSTITUTE(SUBSTITUTE(SUBSTITUTE(SUBSTITUTE(SUBSTITUTE(SUBSTITUTE(SUBSTITUTE(SUBSTITUTE(UPPER(TRIM(A283)),"[MEMBER]",""),"{MEMBER}",""),"[MEMBER}",""),"MEMBER]",""),"(A)",""),"""",""),"“",""),"”",""),".",""),":",""),",",""),"–"," "),"-"," "),"/"," "),"&amp;"," AND "))&amp;" "," THE "," ")," TOTAL "," ")," OPERATIONS "," "))</f>
        <v>CASANARE</v>
      </c>
      <c r="O283" s="17" t="str">
        <f aca="false">IF(COUNTIFS($N$2:$N$2000,N283,$D$2:$D$2000,"&lt;&gt;"&amp;D283)&gt;0,"CONFLICT","")</f>
        <v/>
      </c>
      <c r="P283" s="7"/>
    </row>
    <row r="284" customFormat="false" ht="15" hidden="false" customHeight="false" outlineLevel="0" collapsed="false">
      <c r="A284" s="7" t="s">
        <v>959</v>
      </c>
      <c r="B284" s="7" t="s">
        <v>1879</v>
      </c>
      <c r="C284" s="7"/>
      <c r="D284" s="6" t="s">
        <v>959</v>
      </c>
      <c r="E284" s="6" t="s">
        <v>1880</v>
      </c>
      <c r="F284" s="7" t="str">
        <f aca="false">IF($D284="","",IFERROR(IF(INDEX(Hierarchy!$B$2:$B$1295,MATCH($D284,Hierarchy!$A$2:$A$1295,0))="","",INDEX(Hierarchy!$B$2:$B$1295,MATCH($D284,Hierarchy!$A$2:$A$1295,0))),"NODE NOT FOUND"))</f>
        <v>State/Province</v>
      </c>
      <c r="G284" s="7" t="str">
        <f aca="false">IF($D284="","",IFERROR(IF(INDEX(Hierarchy!$D$2:$D$1295,MATCH($D284,Hierarchy!$A$2:$A$1295,0))="","",INDEX(Hierarchy!$D$2:$D$1295,MATCH($D284,Hierarchy!$A$2:$A$1295,0))),"NODE NOT FOUND"))</f>
        <v>EMEA</v>
      </c>
      <c r="H284" s="7" t="str">
        <f aca="false">IF($D284="","",IFERROR(IF(INDEX(Hierarchy!$E$2:$E$1295,MATCH($D284,Hierarchy!$A$2:$A$1295,0))="","",INDEX(Hierarchy!$E$2:$E$1295,MATCH($D284,Hierarchy!$A$2:$A$1295,0))),"NODE NOT FOUND"))</f>
        <v>Europe</v>
      </c>
      <c r="I284" s="7" t="str">
        <f aca="false">IF($D284="","",IFERROR(IF(INDEX(Hierarchy!$F$2:$F$1295,MATCH($D284,Hierarchy!$A$2:$A$1295,0))="","",INDEX(Hierarchy!$F$2:$F$1295,MATCH($D284,Hierarchy!$A$2:$A$1295,0))),"NODE NOT FOUND"))</f>
        <v>Spain</v>
      </c>
      <c r="J284" s="7" t="str">
        <f aca="false">IF($D284="","",IFERROR(IF(INDEX(Hierarchy!$G$2:$G$1295,MATCH($D284,Hierarchy!$A$2:$A$1295,0))="","",INDEX(Hierarchy!$G$2:$G$1295,MATCH($D284,Hierarchy!$A$2:$A$1295,0))),"NODE NOT FOUND"))</f>
        <v>ESP</v>
      </c>
      <c r="K284" s="7" t="str">
        <f aca="false">IF($D284="","",IFERROR(IF(INDEX(Hierarchy!$H$2:$H$1295,MATCH($D284,Hierarchy!$A$2:$A$1295,0))="","",INDEX(Hierarchy!$H$2:$H$1295,MATCH($D284,Hierarchy!$A$2:$A$1295,0))),"NODE NOT FOUND"))</f>
        <v>Castile and León</v>
      </c>
      <c r="L284" s="7" t="str">
        <f aca="false">IF($D284="","",IFERROR(IF(INDEX(Hierarchy!$I$2:$I$1295,MATCH($D284,Hierarchy!$A$2:$A$1295,0))="","",INDEX(Hierarchy!$I$2:$I$1295,MATCH($D284,Hierarchy!$A$2:$A$1295,0))),"NODE NOT FOUND"))</f>
        <v/>
      </c>
      <c r="M284" s="17" t="str">
        <f aca="false">IF(B284="Pre-seeded","Pre-seeded",IF(B284="Review 2026-09-16","Added from review",IF(C284="","New",IF(C284=D284,"","Changed"))))</f>
        <v>Pre-seeded</v>
      </c>
      <c r="N284" s="7" t="str">
        <f aca="false">TRIM(SUBSTITUTE(SUBSTITUTE(SUBSTITUTE(" "&amp;TRIM(SUBSTITUTE(SUBSTITUTE(SUBSTITUTE(SUBSTITUTE(SUBSTITUTE(SUBSTITUTE(SUBSTITUTE(SUBSTITUTE(SUBSTITUTE(SUBSTITUTE(SUBSTITUTE(SUBSTITUTE(SUBSTITUTE(SUBSTITUTE(SUBSTITUTE(UPPER(TRIM(A284)),"[MEMBER]",""),"{MEMBER}",""),"[MEMBER}",""),"MEMBER]",""),"(A)",""),"""",""),"“",""),"”",""),".",""),":",""),",",""),"–"," "),"-"," "),"/"," "),"&amp;"," AND "))&amp;" "," THE "," ")," TOTAL "," ")," OPERATIONS "," "))</f>
        <v>CASTILE AND LEÓN</v>
      </c>
      <c r="O284" s="17" t="str">
        <f aca="false">IF(COUNTIFS($N$2:$N$2000,N284,$D$2:$D$2000,"&lt;&gt;"&amp;D284)&gt;0,"CONFLICT","")</f>
        <v/>
      </c>
      <c r="P284" s="7"/>
    </row>
    <row r="285" customFormat="false" ht="15" hidden="false" customHeight="false" outlineLevel="0" collapsed="false">
      <c r="A285" s="7" t="s">
        <v>960</v>
      </c>
      <c r="B285" s="7" t="s">
        <v>1879</v>
      </c>
      <c r="C285" s="7"/>
      <c r="D285" s="6" t="s">
        <v>960</v>
      </c>
      <c r="E285" s="6" t="s">
        <v>1880</v>
      </c>
      <c r="F285" s="7" t="str">
        <f aca="false">IF($D285="","",IFERROR(IF(INDEX(Hierarchy!$B$2:$B$1295,MATCH($D285,Hierarchy!$A$2:$A$1295,0))="","",INDEX(Hierarchy!$B$2:$B$1295,MATCH($D285,Hierarchy!$A$2:$A$1295,0))),"NODE NOT FOUND"))</f>
        <v>State/Province</v>
      </c>
      <c r="G285" s="7" t="str">
        <f aca="false">IF($D285="","",IFERROR(IF(INDEX(Hierarchy!$D$2:$D$1295,MATCH($D285,Hierarchy!$A$2:$A$1295,0))="","",INDEX(Hierarchy!$D$2:$D$1295,MATCH($D285,Hierarchy!$A$2:$A$1295,0))),"NODE NOT FOUND"))</f>
        <v>EMEA</v>
      </c>
      <c r="H285" s="7" t="str">
        <f aca="false">IF($D285="","",IFERROR(IF(INDEX(Hierarchy!$E$2:$E$1295,MATCH($D285,Hierarchy!$A$2:$A$1295,0))="","",INDEX(Hierarchy!$E$2:$E$1295,MATCH($D285,Hierarchy!$A$2:$A$1295,0))),"NODE NOT FOUND"))</f>
        <v>Europe</v>
      </c>
      <c r="I285" s="7" t="str">
        <f aca="false">IF($D285="","",IFERROR(IF(INDEX(Hierarchy!$F$2:$F$1295,MATCH($D285,Hierarchy!$A$2:$A$1295,0))="","",INDEX(Hierarchy!$F$2:$F$1295,MATCH($D285,Hierarchy!$A$2:$A$1295,0))),"NODE NOT FOUND"))</f>
        <v>Spain</v>
      </c>
      <c r="J285" s="7" t="str">
        <f aca="false">IF($D285="","",IFERROR(IF(INDEX(Hierarchy!$G$2:$G$1295,MATCH($D285,Hierarchy!$A$2:$A$1295,0))="","",INDEX(Hierarchy!$G$2:$G$1295,MATCH($D285,Hierarchy!$A$2:$A$1295,0))),"NODE NOT FOUND"))</f>
        <v>ESP</v>
      </c>
      <c r="K285" s="7" t="str">
        <f aca="false">IF($D285="","",IFERROR(IF(INDEX(Hierarchy!$H$2:$H$1295,MATCH($D285,Hierarchy!$A$2:$A$1295,0))="","",INDEX(Hierarchy!$H$2:$H$1295,MATCH($D285,Hierarchy!$A$2:$A$1295,0))),"NODE NOT FOUND"))</f>
        <v>Castilla–La Mancha</v>
      </c>
      <c r="L285" s="7" t="str">
        <f aca="false">IF($D285="","",IFERROR(IF(INDEX(Hierarchy!$I$2:$I$1295,MATCH($D285,Hierarchy!$A$2:$A$1295,0))="","",INDEX(Hierarchy!$I$2:$I$1295,MATCH($D285,Hierarchy!$A$2:$A$1295,0))),"NODE NOT FOUND"))</f>
        <v/>
      </c>
      <c r="M285" s="17" t="str">
        <f aca="false">IF(B285="Pre-seeded","Pre-seeded",IF(B285="Review 2026-09-16","Added from review",IF(C285="","New",IF(C285=D285,"","Changed"))))</f>
        <v>Pre-seeded</v>
      </c>
      <c r="N285" s="7" t="str">
        <f aca="false">TRIM(SUBSTITUTE(SUBSTITUTE(SUBSTITUTE(" "&amp;TRIM(SUBSTITUTE(SUBSTITUTE(SUBSTITUTE(SUBSTITUTE(SUBSTITUTE(SUBSTITUTE(SUBSTITUTE(SUBSTITUTE(SUBSTITUTE(SUBSTITUTE(SUBSTITUTE(SUBSTITUTE(SUBSTITUTE(SUBSTITUTE(SUBSTITUTE(UPPER(TRIM(A285)),"[MEMBER]",""),"{MEMBER}",""),"[MEMBER}",""),"MEMBER]",""),"(A)",""),"""",""),"“",""),"”",""),".",""),":",""),",",""),"–"," "),"-"," "),"/"," "),"&amp;"," AND "))&amp;" "," THE "," ")," TOTAL "," ")," OPERATIONS "," "))</f>
        <v>CASTILLA LA MANCHA</v>
      </c>
      <c r="O285" s="17" t="str">
        <f aca="false">IF(COUNTIFS($N$2:$N$2000,N285,$D$2:$D$2000,"&lt;&gt;"&amp;D285)&gt;0,"CONFLICT","")</f>
        <v/>
      </c>
      <c r="P285" s="7"/>
    </row>
    <row r="286" customFormat="false" ht="15" hidden="false" customHeight="false" outlineLevel="0" collapsed="false">
      <c r="A286" s="7" t="s">
        <v>961</v>
      </c>
      <c r="B286" s="7" t="s">
        <v>1879</v>
      </c>
      <c r="C286" s="7"/>
      <c r="D286" s="6" t="s">
        <v>961</v>
      </c>
      <c r="E286" s="6" t="s">
        <v>1880</v>
      </c>
      <c r="F286" s="7" t="str">
        <f aca="false">IF($D286="","",IFERROR(IF(INDEX(Hierarchy!$B$2:$B$1295,MATCH($D286,Hierarchy!$A$2:$A$1295,0))="","",INDEX(Hierarchy!$B$2:$B$1295,MATCH($D286,Hierarchy!$A$2:$A$1295,0))),"NODE NOT FOUND"))</f>
        <v>State/Province</v>
      </c>
      <c r="G286" s="7" t="str">
        <f aca="false">IF($D286="","",IFERROR(IF(INDEX(Hierarchy!$D$2:$D$1295,MATCH($D286,Hierarchy!$A$2:$A$1295,0))="","",INDEX(Hierarchy!$D$2:$D$1295,MATCH($D286,Hierarchy!$A$2:$A$1295,0))),"NODE NOT FOUND"))</f>
        <v>EMEA</v>
      </c>
      <c r="H286" s="7" t="str">
        <f aca="false">IF($D286="","",IFERROR(IF(INDEX(Hierarchy!$E$2:$E$1295,MATCH($D286,Hierarchy!$A$2:$A$1295,0))="","",INDEX(Hierarchy!$E$2:$E$1295,MATCH($D286,Hierarchy!$A$2:$A$1295,0))),"NODE NOT FOUND"))</f>
        <v>Europe</v>
      </c>
      <c r="I286" s="7" t="str">
        <f aca="false">IF($D286="","",IFERROR(IF(INDEX(Hierarchy!$F$2:$F$1295,MATCH($D286,Hierarchy!$A$2:$A$1295,0))="","",INDEX(Hierarchy!$F$2:$F$1295,MATCH($D286,Hierarchy!$A$2:$A$1295,0))),"NODE NOT FOUND"))</f>
        <v>Spain</v>
      </c>
      <c r="J286" s="7" t="str">
        <f aca="false">IF($D286="","",IFERROR(IF(INDEX(Hierarchy!$G$2:$G$1295,MATCH($D286,Hierarchy!$A$2:$A$1295,0))="","",INDEX(Hierarchy!$G$2:$G$1295,MATCH($D286,Hierarchy!$A$2:$A$1295,0))),"NODE NOT FOUND"))</f>
        <v>ESP</v>
      </c>
      <c r="K286" s="7" t="str">
        <f aca="false">IF($D286="","",IFERROR(IF(INDEX(Hierarchy!$H$2:$H$1295,MATCH($D286,Hierarchy!$A$2:$A$1295,0))="","",INDEX(Hierarchy!$H$2:$H$1295,MATCH($D286,Hierarchy!$A$2:$A$1295,0))),"NODE NOT FOUND"))</f>
        <v>Catalonia</v>
      </c>
      <c r="L286" s="7" t="str">
        <f aca="false">IF($D286="","",IFERROR(IF(INDEX(Hierarchy!$I$2:$I$1295,MATCH($D286,Hierarchy!$A$2:$A$1295,0))="","",INDEX(Hierarchy!$I$2:$I$1295,MATCH($D286,Hierarchy!$A$2:$A$1295,0))),"NODE NOT FOUND"))</f>
        <v/>
      </c>
      <c r="M286" s="17" t="str">
        <f aca="false">IF(B286="Pre-seeded","Pre-seeded",IF(B286="Review 2026-09-16","Added from review",IF(C286="","New",IF(C286=D286,"","Changed"))))</f>
        <v>Pre-seeded</v>
      </c>
      <c r="N286" s="7" t="str">
        <f aca="false">TRIM(SUBSTITUTE(SUBSTITUTE(SUBSTITUTE(" "&amp;TRIM(SUBSTITUTE(SUBSTITUTE(SUBSTITUTE(SUBSTITUTE(SUBSTITUTE(SUBSTITUTE(SUBSTITUTE(SUBSTITUTE(SUBSTITUTE(SUBSTITUTE(SUBSTITUTE(SUBSTITUTE(SUBSTITUTE(SUBSTITUTE(SUBSTITUTE(UPPER(TRIM(A286)),"[MEMBER]",""),"{MEMBER}",""),"[MEMBER}",""),"MEMBER]",""),"(A)",""),"""",""),"“",""),"”",""),".",""),":",""),",",""),"–"," "),"-"," "),"/"," "),"&amp;"," AND "))&amp;" "," THE "," ")," TOTAL "," ")," OPERATIONS "," "))</f>
        <v>CATALONIA</v>
      </c>
      <c r="O286" s="17" t="str">
        <f aca="false">IF(COUNTIFS($N$2:$N$2000,N286,$D$2:$D$2000,"&lt;&gt;"&amp;D286)&gt;0,"CONFLICT","")</f>
        <v/>
      </c>
      <c r="P286" s="7"/>
    </row>
    <row r="287" customFormat="false" ht="15" hidden="false" customHeight="false" outlineLevel="0" collapsed="false">
      <c r="A287" s="7" t="s">
        <v>2036</v>
      </c>
      <c r="B287" s="7" t="s">
        <v>1879</v>
      </c>
      <c r="C287" s="7"/>
      <c r="D287" s="6" t="s">
        <v>961</v>
      </c>
      <c r="E287" s="6" t="s">
        <v>1880</v>
      </c>
      <c r="F287" s="7" t="str">
        <f aca="false">IF($D287="","",IFERROR(IF(INDEX(Hierarchy!$B$2:$B$1295,MATCH($D287,Hierarchy!$A$2:$A$1295,0))="","",INDEX(Hierarchy!$B$2:$B$1295,MATCH($D287,Hierarchy!$A$2:$A$1295,0))),"NODE NOT FOUND"))</f>
        <v>State/Province</v>
      </c>
      <c r="G287" s="7" t="str">
        <f aca="false">IF($D287="","",IFERROR(IF(INDEX(Hierarchy!$D$2:$D$1295,MATCH($D287,Hierarchy!$A$2:$A$1295,0))="","",INDEX(Hierarchy!$D$2:$D$1295,MATCH($D287,Hierarchy!$A$2:$A$1295,0))),"NODE NOT FOUND"))</f>
        <v>EMEA</v>
      </c>
      <c r="H287" s="7" t="str">
        <f aca="false">IF($D287="","",IFERROR(IF(INDEX(Hierarchy!$E$2:$E$1295,MATCH($D287,Hierarchy!$A$2:$A$1295,0))="","",INDEX(Hierarchy!$E$2:$E$1295,MATCH($D287,Hierarchy!$A$2:$A$1295,0))),"NODE NOT FOUND"))</f>
        <v>Europe</v>
      </c>
      <c r="I287" s="7" t="str">
        <f aca="false">IF($D287="","",IFERROR(IF(INDEX(Hierarchy!$F$2:$F$1295,MATCH($D287,Hierarchy!$A$2:$A$1295,0))="","",INDEX(Hierarchy!$F$2:$F$1295,MATCH($D287,Hierarchy!$A$2:$A$1295,0))),"NODE NOT FOUND"))</f>
        <v>Spain</v>
      </c>
      <c r="J287" s="7" t="str">
        <f aca="false">IF($D287="","",IFERROR(IF(INDEX(Hierarchy!$G$2:$G$1295,MATCH($D287,Hierarchy!$A$2:$A$1295,0))="","",INDEX(Hierarchy!$G$2:$G$1295,MATCH($D287,Hierarchy!$A$2:$A$1295,0))),"NODE NOT FOUND"))</f>
        <v>ESP</v>
      </c>
      <c r="K287" s="7" t="str">
        <f aca="false">IF($D287="","",IFERROR(IF(INDEX(Hierarchy!$H$2:$H$1295,MATCH($D287,Hierarchy!$A$2:$A$1295,0))="","",INDEX(Hierarchy!$H$2:$H$1295,MATCH($D287,Hierarchy!$A$2:$A$1295,0))),"NODE NOT FOUND"))</f>
        <v>Catalonia</v>
      </c>
      <c r="L287" s="7" t="str">
        <f aca="false">IF($D287="","",IFERROR(IF(INDEX(Hierarchy!$I$2:$I$1295,MATCH($D287,Hierarchy!$A$2:$A$1295,0))="","",INDEX(Hierarchy!$I$2:$I$1295,MATCH($D287,Hierarchy!$A$2:$A$1295,0))),"NODE NOT FOUND"))</f>
        <v/>
      </c>
      <c r="M287" s="17" t="str">
        <f aca="false">IF(B287="Pre-seeded","Pre-seeded",IF(B287="Review 2026-09-16","Added from review",IF(C287="","New",IF(C287=D287,"","Changed"))))</f>
        <v>Pre-seeded</v>
      </c>
      <c r="N287" s="7" t="str">
        <f aca="false">TRIM(SUBSTITUTE(SUBSTITUTE(SUBSTITUTE(" "&amp;TRIM(SUBSTITUTE(SUBSTITUTE(SUBSTITUTE(SUBSTITUTE(SUBSTITUTE(SUBSTITUTE(SUBSTITUTE(SUBSTITUTE(SUBSTITUTE(SUBSTITUTE(SUBSTITUTE(SUBSTITUTE(SUBSTITUTE(SUBSTITUTE(SUBSTITUTE(UPPER(TRIM(A287)),"[MEMBER]",""),"{MEMBER}",""),"[MEMBER}",""),"MEMBER]",""),"(A)",""),"""",""),"“",""),"”",""),".",""),":",""),",",""),"–"," "),"-"," "),"/"," "),"&amp;"," AND "))&amp;" "," THE "," ")," TOTAL "," ")," OPERATIONS "," "))</f>
        <v>CATALUNYA</v>
      </c>
      <c r="O287" s="17" t="str">
        <f aca="false">IF(COUNTIFS($N$2:$N$2000,N287,$D$2:$D$2000,"&lt;&gt;"&amp;D287)&gt;0,"CONFLICT","")</f>
        <v/>
      </c>
      <c r="P287" s="7"/>
    </row>
    <row r="288" customFormat="false" ht="15" hidden="false" customHeight="false" outlineLevel="0" collapsed="false">
      <c r="A288" s="7" t="s">
        <v>2037</v>
      </c>
      <c r="B288" s="7" t="s">
        <v>1879</v>
      </c>
      <c r="C288" s="7"/>
      <c r="D288" s="6" t="s">
        <v>961</v>
      </c>
      <c r="E288" s="6" t="s">
        <v>1880</v>
      </c>
      <c r="F288" s="7" t="str">
        <f aca="false">IF($D288="","",IFERROR(IF(INDEX(Hierarchy!$B$2:$B$1295,MATCH($D288,Hierarchy!$A$2:$A$1295,0))="","",INDEX(Hierarchy!$B$2:$B$1295,MATCH($D288,Hierarchy!$A$2:$A$1295,0))),"NODE NOT FOUND"))</f>
        <v>State/Province</v>
      </c>
      <c r="G288" s="7" t="str">
        <f aca="false">IF($D288="","",IFERROR(IF(INDEX(Hierarchy!$D$2:$D$1295,MATCH($D288,Hierarchy!$A$2:$A$1295,0))="","",INDEX(Hierarchy!$D$2:$D$1295,MATCH($D288,Hierarchy!$A$2:$A$1295,0))),"NODE NOT FOUND"))</f>
        <v>EMEA</v>
      </c>
      <c r="H288" s="7" t="str">
        <f aca="false">IF($D288="","",IFERROR(IF(INDEX(Hierarchy!$E$2:$E$1295,MATCH($D288,Hierarchy!$A$2:$A$1295,0))="","",INDEX(Hierarchy!$E$2:$E$1295,MATCH($D288,Hierarchy!$A$2:$A$1295,0))),"NODE NOT FOUND"))</f>
        <v>Europe</v>
      </c>
      <c r="I288" s="7" t="str">
        <f aca="false">IF($D288="","",IFERROR(IF(INDEX(Hierarchy!$F$2:$F$1295,MATCH($D288,Hierarchy!$A$2:$A$1295,0))="","",INDEX(Hierarchy!$F$2:$F$1295,MATCH($D288,Hierarchy!$A$2:$A$1295,0))),"NODE NOT FOUND"))</f>
        <v>Spain</v>
      </c>
      <c r="J288" s="7" t="str">
        <f aca="false">IF($D288="","",IFERROR(IF(INDEX(Hierarchy!$G$2:$G$1295,MATCH($D288,Hierarchy!$A$2:$A$1295,0))="","",INDEX(Hierarchy!$G$2:$G$1295,MATCH($D288,Hierarchy!$A$2:$A$1295,0))),"NODE NOT FOUND"))</f>
        <v>ESP</v>
      </c>
      <c r="K288" s="7" t="str">
        <f aca="false">IF($D288="","",IFERROR(IF(INDEX(Hierarchy!$H$2:$H$1295,MATCH($D288,Hierarchy!$A$2:$A$1295,0))="","",INDEX(Hierarchy!$H$2:$H$1295,MATCH($D288,Hierarchy!$A$2:$A$1295,0))),"NODE NOT FOUND"))</f>
        <v>Catalonia</v>
      </c>
      <c r="L288" s="7" t="str">
        <f aca="false">IF($D288="","",IFERROR(IF(INDEX(Hierarchy!$I$2:$I$1295,MATCH($D288,Hierarchy!$A$2:$A$1295,0))="","",INDEX(Hierarchy!$I$2:$I$1295,MATCH($D288,Hierarchy!$A$2:$A$1295,0))),"NODE NOT FOUND"))</f>
        <v/>
      </c>
      <c r="M288" s="17" t="str">
        <f aca="false">IF(B288="Pre-seeded","Pre-seeded",IF(B288="Review 2026-09-16","Added from review",IF(C288="","New",IF(C288=D288,"","Changed"))))</f>
        <v>Pre-seeded</v>
      </c>
      <c r="N288" s="7" t="str">
        <f aca="false">TRIM(SUBSTITUTE(SUBSTITUTE(SUBSTITUTE(" "&amp;TRIM(SUBSTITUTE(SUBSTITUTE(SUBSTITUTE(SUBSTITUTE(SUBSTITUTE(SUBSTITUTE(SUBSTITUTE(SUBSTITUTE(SUBSTITUTE(SUBSTITUTE(SUBSTITUTE(SUBSTITUTE(SUBSTITUTE(SUBSTITUTE(SUBSTITUTE(UPPER(TRIM(A288)),"[MEMBER]",""),"{MEMBER}",""),"[MEMBER}",""),"MEMBER]",""),"(A)",""),"""",""),"“",""),"”",""),".",""),":",""),",",""),"–"," "),"-"," "),"/"," "),"&amp;"," AND "))&amp;" "," THE "," ")," TOTAL "," ")," OPERATIONS "," "))</f>
        <v>CATALUÑA</v>
      </c>
      <c r="O288" s="17" t="str">
        <f aca="false">IF(COUNTIFS($N$2:$N$2000,N288,$D$2:$D$2000,"&lt;&gt;"&amp;D288)&gt;0,"CONFLICT","")</f>
        <v/>
      </c>
      <c r="P288" s="7"/>
    </row>
    <row r="289" customFormat="false" ht="15" hidden="false" customHeight="false" outlineLevel="0" collapsed="false">
      <c r="A289" s="7" t="s">
        <v>431</v>
      </c>
      <c r="B289" s="7" t="s">
        <v>1879</v>
      </c>
      <c r="C289" s="7"/>
      <c r="D289" s="6" t="s">
        <v>431</v>
      </c>
      <c r="E289" s="6" t="s">
        <v>1880</v>
      </c>
      <c r="F289" s="7" t="str">
        <f aca="false">IF($D289="","",IFERROR(IF(INDEX(Hierarchy!$B$2:$B$1295,MATCH($D289,Hierarchy!$A$2:$A$1295,0))="","",INDEX(Hierarchy!$B$2:$B$1295,MATCH($D289,Hierarchy!$A$2:$A$1295,0))),"NODE NOT FOUND"))</f>
        <v>State/Province</v>
      </c>
      <c r="G289" s="7" t="str">
        <f aca="false">IF($D289="","",IFERROR(IF(INDEX(Hierarchy!$D$2:$D$1295,MATCH($D289,Hierarchy!$A$2:$A$1295,0))="","",INDEX(Hierarchy!$D$2:$D$1295,MATCH($D289,Hierarchy!$A$2:$A$1295,0))),"NODE NOT FOUND"))</f>
        <v>AMER</v>
      </c>
      <c r="H289" s="7" t="str">
        <f aca="false">IF($D289="","",IFERROR(IF(INDEX(Hierarchy!$E$2:$E$1295,MATCH($D289,Hierarchy!$A$2:$A$1295,0))="","",INDEX(Hierarchy!$E$2:$E$1295,MATCH($D289,Hierarchy!$A$2:$A$1295,0))),"NODE NOT FOUND"))</f>
        <v>Latin America (LATAM)</v>
      </c>
      <c r="I289" s="7" t="str">
        <f aca="false">IF($D289="","",IFERROR(IF(INDEX(Hierarchy!$F$2:$F$1295,MATCH($D289,Hierarchy!$A$2:$A$1295,0))="","",INDEX(Hierarchy!$F$2:$F$1295,MATCH($D289,Hierarchy!$A$2:$A$1295,0))),"NODE NOT FOUND"))</f>
        <v>Argentina</v>
      </c>
      <c r="J289" s="7" t="str">
        <f aca="false">IF($D289="","",IFERROR(IF(INDEX(Hierarchy!$G$2:$G$1295,MATCH($D289,Hierarchy!$A$2:$A$1295,0))="","",INDEX(Hierarchy!$G$2:$G$1295,MATCH($D289,Hierarchy!$A$2:$A$1295,0))),"NODE NOT FOUND"))</f>
        <v>ARG</v>
      </c>
      <c r="K289" s="7" t="str">
        <f aca="false">IF($D289="","",IFERROR(IF(INDEX(Hierarchy!$H$2:$H$1295,MATCH($D289,Hierarchy!$A$2:$A$1295,0))="","",INDEX(Hierarchy!$H$2:$H$1295,MATCH($D289,Hierarchy!$A$2:$A$1295,0))),"NODE NOT FOUND"))</f>
        <v>Catamarca</v>
      </c>
      <c r="L289" s="7" t="str">
        <f aca="false">IF($D289="","",IFERROR(IF(INDEX(Hierarchy!$I$2:$I$1295,MATCH($D289,Hierarchy!$A$2:$A$1295,0))="","",INDEX(Hierarchy!$I$2:$I$1295,MATCH($D289,Hierarchy!$A$2:$A$1295,0))),"NODE NOT FOUND"))</f>
        <v/>
      </c>
      <c r="M289" s="17" t="str">
        <f aca="false">IF(B289="Pre-seeded","Pre-seeded",IF(B289="Review 2026-09-16","Added from review",IF(C289="","New",IF(C289=D289,"","Changed"))))</f>
        <v>Pre-seeded</v>
      </c>
      <c r="N289" s="7" t="str">
        <f aca="false">TRIM(SUBSTITUTE(SUBSTITUTE(SUBSTITUTE(" "&amp;TRIM(SUBSTITUTE(SUBSTITUTE(SUBSTITUTE(SUBSTITUTE(SUBSTITUTE(SUBSTITUTE(SUBSTITUTE(SUBSTITUTE(SUBSTITUTE(SUBSTITUTE(SUBSTITUTE(SUBSTITUTE(SUBSTITUTE(SUBSTITUTE(SUBSTITUTE(UPPER(TRIM(A289)),"[MEMBER]",""),"{MEMBER}",""),"[MEMBER}",""),"MEMBER]",""),"(A)",""),"""",""),"“",""),"”",""),".",""),":",""),",",""),"–"," "),"-"," "),"/"," "),"&amp;"," AND "))&amp;" "," THE "," ")," TOTAL "," ")," OPERATIONS "," "))</f>
        <v>CATAMARCA</v>
      </c>
      <c r="O289" s="17" t="str">
        <f aca="false">IF(COUNTIFS($N$2:$N$2000,N289,$D$2:$D$2000,"&lt;&gt;"&amp;D289)&gt;0,"CONFLICT","")</f>
        <v/>
      </c>
      <c r="P289" s="7"/>
    </row>
    <row r="290" customFormat="false" ht="15" hidden="false" customHeight="false" outlineLevel="0" collapsed="false">
      <c r="A290" s="7" t="s">
        <v>511</v>
      </c>
      <c r="B290" s="7" t="s">
        <v>1879</v>
      </c>
      <c r="C290" s="7"/>
      <c r="D290" s="6" t="s">
        <v>511</v>
      </c>
      <c r="E290" s="6" t="s">
        <v>1880</v>
      </c>
      <c r="F290" s="7" t="str">
        <f aca="false">IF($D290="","",IFERROR(IF(INDEX(Hierarchy!$B$2:$B$1295,MATCH($D290,Hierarchy!$A$2:$A$1295,0))="","",INDEX(Hierarchy!$B$2:$B$1295,MATCH($D290,Hierarchy!$A$2:$A$1295,0))),"NODE NOT FOUND"))</f>
        <v>State/Province</v>
      </c>
      <c r="G290" s="7" t="str">
        <f aca="false">IF($D290="","",IFERROR(IF(INDEX(Hierarchy!$D$2:$D$1295,MATCH($D290,Hierarchy!$A$2:$A$1295,0))="","",INDEX(Hierarchy!$D$2:$D$1295,MATCH($D290,Hierarchy!$A$2:$A$1295,0))),"NODE NOT FOUND"))</f>
        <v>AMER</v>
      </c>
      <c r="H290" s="7" t="str">
        <f aca="false">IF($D290="","",IFERROR(IF(INDEX(Hierarchy!$E$2:$E$1295,MATCH($D290,Hierarchy!$A$2:$A$1295,0))="","",INDEX(Hierarchy!$E$2:$E$1295,MATCH($D290,Hierarchy!$A$2:$A$1295,0))),"NODE NOT FOUND"))</f>
        <v>Latin America (LATAM)</v>
      </c>
      <c r="I290" s="7" t="str">
        <f aca="false">IF($D290="","",IFERROR(IF(INDEX(Hierarchy!$F$2:$F$1295,MATCH($D290,Hierarchy!$A$2:$A$1295,0))="","",INDEX(Hierarchy!$F$2:$F$1295,MATCH($D290,Hierarchy!$A$2:$A$1295,0))),"NODE NOT FOUND"))</f>
        <v>Colombia</v>
      </c>
      <c r="J290" s="7" t="str">
        <f aca="false">IF($D290="","",IFERROR(IF(INDEX(Hierarchy!$G$2:$G$1295,MATCH($D290,Hierarchy!$A$2:$A$1295,0))="","",INDEX(Hierarchy!$G$2:$G$1295,MATCH($D290,Hierarchy!$A$2:$A$1295,0))),"NODE NOT FOUND"))</f>
        <v>COL</v>
      </c>
      <c r="K290" s="7" t="str">
        <f aca="false">IF($D290="","",IFERROR(IF(INDEX(Hierarchy!$H$2:$H$1295,MATCH($D290,Hierarchy!$A$2:$A$1295,0))="","",INDEX(Hierarchy!$H$2:$H$1295,MATCH($D290,Hierarchy!$A$2:$A$1295,0))),"NODE NOT FOUND"))</f>
        <v>Cauca</v>
      </c>
      <c r="L290" s="7" t="str">
        <f aca="false">IF($D290="","",IFERROR(IF(INDEX(Hierarchy!$I$2:$I$1295,MATCH($D290,Hierarchy!$A$2:$A$1295,0))="","",INDEX(Hierarchy!$I$2:$I$1295,MATCH($D290,Hierarchy!$A$2:$A$1295,0))),"NODE NOT FOUND"))</f>
        <v/>
      </c>
      <c r="M290" s="17" t="str">
        <f aca="false">IF(B290="Pre-seeded","Pre-seeded",IF(B290="Review 2026-09-16","Added from review",IF(C290="","New",IF(C290=D290,"","Changed"))))</f>
        <v>Pre-seeded</v>
      </c>
      <c r="N290" s="7" t="str">
        <f aca="false">TRIM(SUBSTITUTE(SUBSTITUTE(SUBSTITUTE(" "&amp;TRIM(SUBSTITUTE(SUBSTITUTE(SUBSTITUTE(SUBSTITUTE(SUBSTITUTE(SUBSTITUTE(SUBSTITUTE(SUBSTITUTE(SUBSTITUTE(SUBSTITUTE(SUBSTITUTE(SUBSTITUTE(SUBSTITUTE(SUBSTITUTE(SUBSTITUTE(UPPER(TRIM(A290)),"[MEMBER]",""),"{MEMBER}",""),"[MEMBER}",""),"MEMBER]",""),"(A)",""),"""",""),"“",""),"”",""),".",""),":",""),",",""),"–"," "),"-"," "),"/"," "),"&amp;"," AND "))&amp;" "," THE "," ")," TOTAL "," ")," OPERATIONS "," "))</f>
        <v>CAUCA</v>
      </c>
      <c r="O290" s="17" t="str">
        <f aca="false">IF(COUNTIFS($N$2:$N$2000,N290,$D$2:$D$2000,"&lt;&gt;"&amp;D290)&gt;0,"CONFLICT","")</f>
        <v/>
      </c>
      <c r="P290" s="7"/>
    </row>
    <row r="291" customFormat="false" ht="15" hidden="false" customHeight="false" outlineLevel="0" collapsed="false">
      <c r="A291" s="7" t="s">
        <v>634</v>
      </c>
      <c r="B291" s="7" t="s">
        <v>1879</v>
      </c>
      <c r="C291" s="7"/>
      <c r="D291" s="6" t="s">
        <v>634</v>
      </c>
      <c r="E291" s="6" t="s">
        <v>1880</v>
      </c>
      <c r="F291" s="7" t="str">
        <f aca="false">IF($D291="","",IFERROR(IF(INDEX(Hierarchy!$B$2:$B$1295,MATCH($D291,Hierarchy!$A$2:$A$1295,0))="","",INDEX(Hierarchy!$B$2:$B$1295,MATCH($D291,Hierarchy!$A$2:$A$1295,0))),"NODE NOT FOUND"))</f>
        <v>Sub-region component</v>
      </c>
      <c r="G291" s="7" t="str">
        <f aca="false">IF($D291="","",IFERROR(IF(INDEX(Hierarchy!$D$2:$D$1295,MATCH($D291,Hierarchy!$A$2:$A$1295,0))="","",INDEX(Hierarchy!$D$2:$D$1295,MATCH($D291,Hierarchy!$A$2:$A$1295,0))),"NODE NOT FOUND"))</f>
        <v>EMEA</v>
      </c>
      <c r="H291" s="7" t="str">
        <f aca="false">IF($D291="","",IFERROR(IF(INDEX(Hierarchy!$E$2:$E$1295,MATCH($D291,Hierarchy!$A$2:$A$1295,0))="","",INDEX(Hierarchy!$E$2:$E$1295,MATCH($D291,Hierarchy!$A$2:$A$1295,0))),"NODE NOT FOUND"))</f>
        <v>Europe</v>
      </c>
      <c r="I291" s="7" t="str">
        <f aca="false">IF($D291="","",IFERROR(IF(INDEX(Hierarchy!$F$2:$F$1295,MATCH($D291,Hierarchy!$A$2:$A$1295,0))="","",INDEX(Hierarchy!$F$2:$F$1295,MATCH($D291,Hierarchy!$A$2:$A$1295,0))),"NODE NOT FOUND"))</f>
        <v/>
      </c>
      <c r="J291" s="7" t="str">
        <f aca="false">IF($D291="","",IFERROR(IF(INDEX(Hierarchy!$G$2:$G$1295,MATCH($D291,Hierarchy!$A$2:$A$1295,0))="","",INDEX(Hierarchy!$G$2:$G$1295,MATCH($D291,Hierarchy!$A$2:$A$1295,0))),"NODE NOT FOUND"))</f>
        <v/>
      </c>
      <c r="K291" s="7" t="str">
        <f aca="false">IF($D291="","",IFERROR(IF(INDEX(Hierarchy!$H$2:$H$1295,MATCH($D291,Hierarchy!$A$2:$A$1295,0))="","",INDEX(Hierarchy!$H$2:$H$1295,MATCH($D291,Hierarchy!$A$2:$A$1295,0))),"NODE NOT FOUND"))</f>
        <v/>
      </c>
      <c r="L291" s="7" t="str">
        <f aca="false">IF($D291="","",IFERROR(IF(INDEX(Hierarchy!$I$2:$I$1295,MATCH($D291,Hierarchy!$A$2:$A$1295,0))="","",INDEX(Hierarchy!$I$2:$I$1295,MATCH($D291,Hierarchy!$A$2:$A$1295,0))),"NODE NOT FOUND"))</f>
        <v/>
      </c>
      <c r="M291" s="17" t="str">
        <f aca="false">IF(B291="Pre-seeded","Pre-seeded",IF(B291="Review 2026-09-16","Added from review",IF(C291="","New",IF(C291=D291,"","Changed"))))</f>
        <v>Pre-seeded</v>
      </c>
      <c r="N291" s="7" t="str">
        <f aca="false">TRIM(SUBSTITUTE(SUBSTITUTE(SUBSTITUTE(" "&amp;TRIM(SUBSTITUTE(SUBSTITUTE(SUBSTITUTE(SUBSTITUTE(SUBSTITUTE(SUBSTITUTE(SUBSTITUTE(SUBSTITUTE(SUBSTITUTE(SUBSTITUTE(SUBSTITUTE(SUBSTITUTE(SUBSTITUTE(SUBSTITUTE(SUBSTITUTE(UPPER(TRIM(A291)),"[MEMBER]",""),"{MEMBER}",""),"[MEMBER}",""),"MEMBER]",""),"(A)",""),"""",""),"“",""),"”",""),".",""),":",""),",",""),"–"," "),"-"," "),"/"," "),"&amp;"," AND "))&amp;" "," THE "," ")," TOTAL "," ")," OPERATIONS "," "))</f>
        <v>CAUCASUS</v>
      </c>
      <c r="O291" s="17" t="str">
        <f aca="false">IF(COUNTIFS($N$2:$N$2000,N291,$D$2:$D$2000,"&lt;&gt;"&amp;D291)&gt;0,"CONFLICT","")</f>
        <v/>
      </c>
      <c r="P291" s="7"/>
    </row>
    <row r="292" customFormat="false" ht="15" hidden="false" customHeight="false" outlineLevel="0" collapsed="false">
      <c r="A292" s="7" t="s">
        <v>2038</v>
      </c>
      <c r="B292" s="7" t="s">
        <v>1882</v>
      </c>
      <c r="C292" s="7" t="s">
        <v>661</v>
      </c>
      <c r="D292" s="6" t="s">
        <v>473</v>
      </c>
      <c r="E292" s="6" t="s">
        <v>1880</v>
      </c>
      <c r="F292" s="7" t="str">
        <f aca="false">IF($D292="","",IFERROR(IF(INDEX(Hierarchy!$B$2:$B$1295,MATCH($D292,Hierarchy!$A$2:$A$1295,0))="","",INDEX(Hierarchy!$B$2:$B$1295,MATCH($D292,Hierarchy!$A$2:$A$1295,0))),"NODE NOT FOUND"))</f>
        <v>Country</v>
      </c>
      <c r="G292" s="7" t="str">
        <f aca="false">IF($D292="","",IFERROR(IF(INDEX(Hierarchy!$D$2:$D$1295,MATCH($D292,Hierarchy!$A$2:$A$1295,0))="","",INDEX(Hierarchy!$D$2:$D$1295,MATCH($D292,Hierarchy!$A$2:$A$1295,0))),"NODE NOT FOUND"))</f>
        <v>AMER</v>
      </c>
      <c r="H292" s="7" t="str">
        <f aca="false">IF($D292="","",IFERROR(IF(INDEX(Hierarchy!$E$2:$E$1295,MATCH($D292,Hierarchy!$A$2:$A$1295,0))="","",INDEX(Hierarchy!$E$2:$E$1295,MATCH($D292,Hierarchy!$A$2:$A$1295,0))),"NODE NOT FOUND"))</f>
        <v>Latin America (LATAM)</v>
      </c>
      <c r="I292" s="7" t="str">
        <f aca="false">IF($D292="","",IFERROR(IF(INDEX(Hierarchy!$F$2:$F$1295,MATCH($D292,Hierarchy!$A$2:$A$1295,0))="","",INDEX(Hierarchy!$F$2:$F$1295,MATCH($D292,Hierarchy!$A$2:$A$1295,0))),"NODE NOT FOUND"))</f>
        <v>Cayman Islands</v>
      </c>
      <c r="J292" s="7" t="str">
        <f aca="false">IF($D292="","",IFERROR(IF(INDEX(Hierarchy!$G$2:$G$1295,MATCH($D292,Hierarchy!$A$2:$A$1295,0))="","",INDEX(Hierarchy!$G$2:$G$1295,MATCH($D292,Hierarchy!$A$2:$A$1295,0))),"NODE NOT FOUND"))</f>
        <v>CYM</v>
      </c>
      <c r="K292" s="7" t="str">
        <f aca="false">IF($D292="","",IFERROR(IF(INDEX(Hierarchy!$H$2:$H$1295,MATCH($D292,Hierarchy!$A$2:$A$1295,0))="","",INDEX(Hierarchy!$H$2:$H$1295,MATCH($D292,Hierarchy!$A$2:$A$1295,0))),"NODE NOT FOUND"))</f>
        <v/>
      </c>
      <c r="L292" s="7" t="str">
        <f aca="false">IF($D292="","",IFERROR(IF(INDEX(Hierarchy!$I$2:$I$1295,MATCH($D292,Hierarchy!$A$2:$A$1295,0))="","",INDEX(Hierarchy!$I$2:$I$1295,MATCH($D292,Hierarchy!$A$2:$A$1295,0))),"NODE NOT FOUND"))</f>
        <v/>
      </c>
      <c r="M292" s="17" t="str">
        <f aca="false">IF(B292="Pre-seeded","Pre-seeded",IF(B292="Review 2026-09-16","Added from review",IF(C292="","New",IF(C292=D292,"","Changed"))))</f>
        <v>Changed</v>
      </c>
      <c r="N292" s="7" t="str">
        <f aca="false">TRIM(SUBSTITUTE(SUBSTITUTE(SUBSTITUTE(" "&amp;TRIM(SUBSTITUTE(SUBSTITUTE(SUBSTITUTE(SUBSTITUTE(SUBSTITUTE(SUBSTITUTE(SUBSTITUTE(SUBSTITUTE(SUBSTITUTE(SUBSTITUTE(SUBSTITUTE(SUBSTITUTE(SUBSTITUTE(SUBSTITUTE(SUBSTITUTE(UPPER(TRIM(A292)),"[MEMBER]",""),"{MEMBER}",""),"[MEMBER}",""),"MEMBER]",""),"(A)",""),"""",""),"“",""),"”",""),".",""),":",""),",",""),"–"," "),"-"," "),"/"," "),"&amp;"," AND "))&amp;" "," THE "," ")," TOTAL "," ")," OPERATIONS "," "))</f>
        <v>CAYMAN ISLANDS</v>
      </c>
      <c r="O292" s="17" t="str">
        <f aca="false">IF(COUNTIFS($N$2:$N$2000,N292,$D$2:$D$2000,"&lt;&gt;"&amp;D292)&gt;0,"CONFLICT","")</f>
        <v/>
      </c>
      <c r="P292" s="7" t="s">
        <v>1999</v>
      </c>
    </row>
    <row r="293" customFormat="false" ht="15" hidden="false" customHeight="false" outlineLevel="0" collapsed="false">
      <c r="A293" s="7" t="s">
        <v>473</v>
      </c>
      <c r="B293" s="7" t="s">
        <v>1882</v>
      </c>
      <c r="C293" s="7" t="s">
        <v>661</v>
      </c>
      <c r="D293" s="6" t="s">
        <v>473</v>
      </c>
      <c r="E293" s="6" t="s">
        <v>1880</v>
      </c>
      <c r="F293" s="7" t="str">
        <f aca="false">IF($D293="","",IFERROR(IF(INDEX(Hierarchy!$B$2:$B$1295,MATCH($D293,Hierarchy!$A$2:$A$1295,0))="","",INDEX(Hierarchy!$B$2:$B$1295,MATCH($D293,Hierarchy!$A$2:$A$1295,0))),"NODE NOT FOUND"))</f>
        <v>Country</v>
      </c>
      <c r="G293" s="7" t="str">
        <f aca="false">IF($D293="","",IFERROR(IF(INDEX(Hierarchy!$D$2:$D$1295,MATCH($D293,Hierarchy!$A$2:$A$1295,0))="","",INDEX(Hierarchy!$D$2:$D$1295,MATCH($D293,Hierarchy!$A$2:$A$1295,0))),"NODE NOT FOUND"))</f>
        <v>AMER</v>
      </c>
      <c r="H293" s="7" t="str">
        <f aca="false">IF($D293="","",IFERROR(IF(INDEX(Hierarchy!$E$2:$E$1295,MATCH($D293,Hierarchy!$A$2:$A$1295,0))="","",INDEX(Hierarchy!$E$2:$E$1295,MATCH($D293,Hierarchy!$A$2:$A$1295,0))),"NODE NOT FOUND"))</f>
        <v>Latin America (LATAM)</v>
      </c>
      <c r="I293" s="7" t="str">
        <f aca="false">IF($D293="","",IFERROR(IF(INDEX(Hierarchy!$F$2:$F$1295,MATCH($D293,Hierarchy!$A$2:$A$1295,0))="","",INDEX(Hierarchy!$F$2:$F$1295,MATCH($D293,Hierarchy!$A$2:$A$1295,0))),"NODE NOT FOUND"))</f>
        <v>Cayman Islands</v>
      </c>
      <c r="J293" s="7" t="str">
        <f aca="false">IF($D293="","",IFERROR(IF(INDEX(Hierarchy!$G$2:$G$1295,MATCH($D293,Hierarchy!$A$2:$A$1295,0))="","",INDEX(Hierarchy!$G$2:$G$1295,MATCH($D293,Hierarchy!$A$2:$A$1295,0))),"NODE NOT FOUND"))</f>
        <v>CYM</v>
      </c>
      <c r="K293" s="7" t="str">
        <f aca="false">IF($D293="","",IFERROR(IF(INDEX(Hierarchy!$H$2:$H$1295,MATCH($D293,Hierarchy!$A$2:$A$1295,0))="","",INDEX(Hierarchy!$H$2:$H$1295,MATCH($D293,Hierarchy!$A$2:$A$1295,0))),"NODE NOT FOUND"))</f>
        <v/>
      </c>
      <c r="L293" s="7" t="str">
        <f aca="false">IF($D293="","",IFERROR(IF(INDEX(Hierarchy!$I$2:$I$1295,MATCH($D293,Hierarchy!$A$2:$A$1295,0))="","",INDEX(Hierarchy!$I$2:$I$1295,MATCH($D293,Hierarchy!$A$2:$A$1295,0))),"NODE NOT FOUND"))</f>
        <v/>
      </c>
      <c r="M293" s="17" t="str">
        <f aca="false">IF(B293="Pre-seeded","Pre-seeded",IF(B293="Review 2026-09-16","Added from review",IF(C293="","New",IF(C293=D293,"","Changed"))))</f>
        <v>Changed</v>
      </c>
      <c r="N293" s="7" t="str">
        <f aca="false">TRIM(SUBSTITUTE(SUBSTITUTE(SUBSTITUTE(" "&amp;TRIM(SUBSTITUTE(SUBSTITUTE(SUBSTITUTE(SUBSTITUTE(SUBSTITUTE(SUBSTITUTE(SUBSTITUTE(SUBSTITUTE(SUBSTITUTE(SUBSTITUTE(SUBSTITUTE(SUBSTITUTE(SUBSTITUTE(SUBSTITUTE(SUBSTITUTE(UPPER(TRIM(A293)),"[MEMBER]",""),"{MEMBER}",""),"[MEMBER}",""),"MEMBER]",""),"(A)",""),"""",""),"“",""),"”",""),".",""),":",""),",",""),"–"," "),"-"," "),"/"," "),"&amp;"," AND "))&amp;" "," THE "," ")," TOTAL "," ")," OPERATIONS "," "))</f>
        <v>CAYMAN ISLANDS</v>
      </c>
      <c r="O293" s="17" t="str">
        <f aca="false">IF(COUNTIFS($N$2:$N$2000,N293,$D$2:$D$2000,"&lt;&gt;"&amp;D293)&gt;0,"CONFLICT","")</f>
        <v/>
      </c>
      <c r="P293" s="7" t="s">
        <v>1999</v>
      </c>
    </row>
    <row r="294" customFormat="false" ht="15" hidden="false" customHeight="false" outlineLevel="0" collapsed="false">
      <c r="A294" s="7" t="s">
        <v>2039</v>
      </c>
      <c r="B294" s="7" t="s">
        <v>1879</v>
      </c>
      <c r="C294" s="7"/>
      <c r="D294" s="6" t="s">
        <v>398</v>
      </c>
      <c r="E294" s="6" t="s">
        <v>1880</v>
      </c>
      <c r="F294" s="7" t="str">
        <f aca="false">IF($D294="","",IFERROR(IF(INDEX(Hierarchy!$B$2:$B$1295,MATCH($D294,Hierarchy!$A$2:$A$1295,0))="","",INDEX(Hierarchy!$B$2:$B$1295,MATCH($D294,Hierarchy!$A$2:$A$1295,0))),"NODE NOT FOUND"))</f>
        <v>State/Province</v>
      </c>
      <c r="G294" s="7" t="str">
        <f aca="false">IF($D294="","",IFERROR(IF(INDEX(Hierarchy!$D$2:$D$1295,MATCH($D294,Hierarchy!$A$2:$A$1295,0))="","",INDEX(Hierarchy!$D$2:$D$1295,MATCH($D294,Hierarchy!$A$2:$A$1295,0))),"NODE NOT FOUND"))</f>
        <v>AMER</v>
      </c>
      <c r="H294" s="7" t="str">
        <f aca="false">IF($D294="","",IFERROR(IF(INDEX(Hierarchy!$E$2:$E$1295,MATCH($D294,Hierarchy!$A$2:$A$1295,0))="","",INDEX(Hierarchy!$E$2:$E$1295,MATCH($D294,Hierarchy!$A$2:$A$1295,0))),"NODE NOT FOUND"))</f>
        <v>Latin America (LATAM)</v>
      </c>
      <c r="I294" s="7" t="str">
        <f aca="false">IF($D294="","",IFERROR(IF(INDEX(Hierarchy!$F$2:$F$1295,MATCH($D294,Hierarchy!$A$2:$A$1295,0))="","",INDEX(Hierarchy!$F$2:$F$1295,MATCH($D294,Hierarchy!$A$2:$A$1295,0))),"NODE NOT FOUND"))</f>
        <v>Mexico</v>
      </c>
      <c r="J294" s="7" t="str">
        <f aca="false">IF($D294="","",IFERROR(IF(INDEX(Hierarchy!$G$2:$G$1295,MATCH($D294,Hierarchy!$A$2:$A$1295,0))="","",INDEX(Hierarchy!$G$2:$G$1295,MATCH($D294,Hierarchy!$A$2:$A$1295,0))),"NODE NOT FOUND"))</f>
        <v>MEX</v>
      </c>
      <c r="K294" s="7" t="str">
        <f aca="false">IF($D294="","",IFERROR(IF(INDEX(Hierarchy!$H$2:$H$1295,MATCH($D294,Hierarchy!$A$2:$A$1295,0))="","",INDEX(Hierarchy!$H$2:$H$1295,MATCH($D294,Hierarchy!$A$2:$A$1295,0))),"NODE NOT FOUND"))</f>
        <v>Mexico City</v>
      </c>
      <c r="L294" s="7" t="str">
        <f aca="false">IF($D294="","",IFERROR(IF(INDEX(Hierarchy!$I$2:$I$1295,MATCH($D294,Hierarchy!$A$2:$A$1295,0))="","",INDEX(Hierarchy!$I$2:$I$1295,MATCH($D294,Hierarchy!$A$2:$A$1295,0))),"NODE NOT FOUND"))</f>
        <v/>
      </c>
      <c r="M294" s="17" t="str">
        <f aca="false">IF(B294="Pre-seeded","Pre-seeded",IF(B294="Review 2026-09-16","Added from review",IF(C294="","New",IF(C294=D294,"","Changed"))))</f>
        <v>Pre-seeded</v>
      </c>
      <c r="N294" s="7" t="str">
        <f aca="false">TRIM(SUBSTITUTE(SUBSTITUTE(SUBSTITUTE(" "&amp;TRIM(SUBSTITUTE(SUBSTITUTE(SUBSTITUTE(SUBSTITUTE(SUBSTITUTE(SUBSTITUTE(SUBSTITUTE(SUBSTITUTE(SUBSTITUTE(SUBSTITUTE(SUBSTITUTE(SUBSTITUTE(SUBSTITUTE(SUBSTITUTE(SUBSTITUTE(UPPER(TRIM(A294)),"[MEMBER]",""),"{MEMBER}",""),"[MEMBER}",""),"MEMBER]",""),"(A)",""),"""",""),"“",""),"”",""),".",""),":",""),",",""),"–"," "),"-"," "),"/"," "),"&amp;"," AND "))&amp;" "," THE "," ")," TOTAL "," ")," OPERATIONS "," "))</f>
        <v>CDMX</v>
      </c>
      <c r="O294" s="17" t="str">
        <f aca="false">IF(COUNTIFS($N$2:$N$2000,N294,$D$2:$D$2000,"&lt;&gt;"&amp;D294)&gt;0,"CONFLICT","")</f>
        <v/>
      </c>
      <c r="P294" s="7"/>
    </row>
    <row r="295" customFormat="false" ht="15" hidden="false" customHeight="false" outlineLevel="0" collapsed="false">
      <c r="A295" s="7" t="s">
        <v>350</v>
      </c>
      <c r="B295" s="7" t="s">
        <v>1879</v>
      </c>
      <c r="C295" s="7"/>
      <c r="D295" s="6" t="s">
        <v>350</v>
      </c>
      <c r="E295" s="6" t="s">
        <v>1880</v>
      </c>
      <c r="F295" s="7" t="str">
        <f aca="false">IF($D295="","",IFERROR(IF(INDEX(Hierarchy!$B$2:$B$1295,MATCH($D295,Hierarchy!$A$2:$A$1295,0))="","",INDEX(Hierarchy!$B$2:$B$1295,MATCH($D295,Hierarchy!$A$2:$A$1295,0))),"NODE NOT FOUND"))</f>
        <v>State/Province</v>
      </c>
      <c r="G295" s="7" t="str">
        <f aca="false">IF($D295="","",IFERROR(IF(INDEX(Hierarchy!$D$2:$D$1295,MATCH($D295,Hierarchy!$A$2:$A$1295,0))="","",INDEX(Hierarchy!$D$2:$D$1295,MATCH($D295,Hierarchy!$A$2:$A$1295,0))),"NODE NOT FOUND"))</f>
        <v>AMER</v>
      </c>
      <c r="H295" s="7" t="str">
        <f aca="false">IF($D295="","",IFERROR(IF(INDEX(Hierarchy!$E$2:$E$1295,MATCH($D295,Hierarchy!$A$2:$A$1295,0))="","",INDEX(Hierarchy!$E$2:$E$1295,MATCH($D295,Hierarchy!$A$2:$A$1295,0))),"NODE NOT FOUND"))</f>
        <v>Latin America (LATAM)</v>
      </c>
      <c r="I295" s="7" t="str">
        <f aca="false">IF($D295="","",IFERROR(IF(INDEX(Hierarchy!$F$2:$F$1295,MATCH($D295,Hierarchy!$A$2:$A$1295,0))="","",INDEX(Hierarchy!$F$2:$F$1295,MATCH($D295,Hierarchy!$A$2:$A$1295,0))),"NODE NOT FOUND"))</f>
        <v>Brazil</v>
      </c>
      <c r="J295" s="7" t="str">
        <f aca="false">IF($D295="","",IFERROR(IF(INDEX(Hierarchy!$G$2:$G$1295,MATCH($D295,Hierarchy!$A$2:$A$1295,0))="","",INDEX(Hierarchy!$G$2:$G$1295,MATCH($D295,Hierarchy!$A$2:$A$1295,0))),"NODE NOT FOUND"))</f>
        <v>BRA</v>
      </c>
      <c r="K295" s="7" t="str">
        <f aca="false">IF($D295="","",IFERROR(IF(INDEX(Hierarchy!$H$2:$H$1295,MATCH($D295,Hierarchy!$A$2:$A$1295,0))="","",INDEX(Hierarchy!$H$2:$H$1295,MATCH($D295,Hierarchy!$A$2:$A$1295,0))),"NODE NOT FOUND"))</f>
        <v>Ceará</v>
      </c>
      <c r="L295" s="7" t="str">
        <f aca="false">IF($D295="","",IFERROR(IF(INDEX(Hierarchy!$I$2:$I$1295,MATCH($D295,Hierarchy!$A$2:$A$1295,0))="","",INDEX(Hierarchy!$I$2:$I$1295,MATCH($D295,Hierarchy!$A$2:$A$1295,0))),"NODE NOT FOUND"))</f>
        <v/>
      </c>
      <c r="M295" s="17" t="str">
        <f aca="false">IF(B295="Pre-seeded","Pre-seeded",IF(B295="Review 2026-09-16","Added from review",IF(C295="","New",IF(C295=D295,"","Changed"))))</f>
        <v>Pre-seeded</v>
      </c>
      <c r="N295" s="7" t="str">
        <f aca="false">TRIM(SUBSTITUTE(SUBSTITUTE(SUBSTITUTE(" "&amp;TRIM(SUBSTITUTE(SUBSTITUTE(SUBSTITUTE(SUBSTITUTE(SUBSTITUTE(SUBSTITUTE(SUBSTITUTE(SUBSTITUTE(SUBSTITUTE(SUBSTITUTE(SUBSTITUTE(SUBSTITUTE(SUBSTITUTE(SUBSTITUTE(SUBSTITUTE(UPPER(TRIM(A295)),"[MEMBER]",""),"{MEMBER}",""),"[MEMBER}",""),"MEMBER]",""),"(A)",""),"""",""),"“",""),"”",""),".",""),":",""),",",""),"–"," "),"-"," "),"/"," "),"&amp;"," AND "))&amp;" "," THE "," ")," TOTAL "," ")," OPERATIONS "," "))</f>
        <v>CEARÁ</v>
      </c>
      <c r="O295" s="17" t="str">
        <f aca="false">IF(COUNTIFS($N$2:$N$2000,N295,$D$2:$D$2000,"&lt;&gt;"&amp;D295)&gt;0,"CONFLICT","")</f>
        <v/>
      </c>
      <c r="P295" s="7"/>
    </row>
    <row r="296" customFormat="false" ht="15" hidden="false" customHeight="false" outlineLevel="0" collapsed="false">
      <c r="A296" s="7" t="s">
        <v>2040</v>
      </c>
      <c r="B296" s="7" t="s">
        <v>1882</v>
      </c>
      <c r="C296" s="7" t="s">
        <v>624</v>
      </c>
      <c r="D296" s="6" t="s">
        <v>624</v>
      </c>
      <c r="E296" s="6" t="s">
        <v>1880</v>
      </c>
      <c r="F296" s="7" t="str">
        <f aca="false">IF($D296="","",IFERROR(IF(INDEX(Hierarchy!$B$2:$B$1295,MATCH($D296,Hierarchy!$A$2:$A$1295,0))="","",INDEX(Hierarchy!$B$2:$B$1295,MATCH($D296,Hierarchy!$A$2:$A$1295,0))),"NODE NOT FOUND"))</f>
        <v>Sub-region component</v>
      </c>
      <c r="G296" s="7" t="str">
        <f aca="false">IF($D296="","",IFERROR(IF(INDEX(Hierarchy!$D$2:$D$1295,MATCH($D296,Hierarchy!$A$2:$A$1295,0))="","",INDEX(Hierarchy!$D$2:$D$1295,MATCH($D296,Hierarchy!$A$2:$A$1295,0))),"NODE NOT FOUND"))</f>
        <v>EMEA</v>
      </c>
      <c r="H296" s="7" t="str">
        <f aca="false">IF($D296="","",IFERROR(IF(INDEX(Hierarchy!$E$2:$E$1295,MATCH($D296,Hierarchy!$A$2:$A$1295,0))="","",INDEX(Hierarchy!$E$2:$E$1295,MATCH($D296,Hierarchy!$A$2:$A$1295,0))),"NODE NOT FOUND"))</f>
        <v>Europe</v>
      </c>
      <c r="I296" s="7" t="str">
        <f aca="false">IF($D296="","",IFERROR(IF(INDEX(Hierarchy!$F$2:$F$1295,MATCH($D296,Hierarchy!$A$2:$A$1295,0))="","",INDEX(Hierarchy!$F$2:$F$1295,MATCH($D296,Hierarchy!$A$2:$A$1295,0))),"NODE NOT FOUND"))</f>
        <v/>
      </c>
      <c r="J296" s="7" t="str">
        <f aca="false">IF($D296="","",IFERROR(IF(INDEX(Hierarchy!$G$2:$G$1295,MATCH($D296,Hierarchy!$A$2:$A$1295,0))="","",INDEX(Hierarchy!$G$2:$G$1295,MATCH($D296,Hierarchy!$A$2:$A$1295,0))),"NODE NOT FOUND"))</f>
        <v/>
      </c>
      <c r="K296" s="7" t="str">
        <f aca="false">IF($D296="","",IFERROR(IF(INDEX(Hierarchy!$H$2:$H$1295,MATCH($D296,Hierarchy!$A$2:$A$1295,0))="","",INDEX(Hierarchy!$H$2:$H$1295,MATCH($D296,Hierarchy!$A$2:$A$1295,0))),"NODE NOT FOUND"))</f>
        <v/>
      </c>
      <c r="L296" s="7" t="str">
        <f aca="false">IF($D296="","",IFERROR(IF(INDEX(Hierarchy!$I$2:$I$1295,MATCH($D296,Hierarchy!$A$2:$A$1295,0))="","",INDEX(Hierarchy!$I$2:$I$1295,MATCH($D296,Hierarchy!$A$2:$A$1295,0))),"NODE NOT FOUND"))</f>
        <v/>
      </c>
      <c r="M296" s="17" t="str">
        <f aca="false">IF(B296="Pre-seeded","Pre-seeded",IF(B296="Review 2026-09-16","Added from review",IF(C296="","New",IF(C296=D296,"","Changed"))))</f>
        <v/>
      </c>
      <c r="N296" s="7" t="str">
        <f aca="false">TRIM(SUBSTITUTE(SUBSTITUTE(SUBSTITUTE(" "&amp;TRIM(SUBSTITUTE(SUBSTITUTE(SUBSTITUTE(SUBSTITUTE(SUBSTITUTE(SUBSTITUTE(SUBSTITUTE(SUBSTITUTE(SUBSTITUTE(SUBSTITUTE(SUBSTITUTE(SUBSTITUTE(SUBSTITUTE(SUBSTITUTE(SUBSTITUTE(UPPER(TRIM(A296)),"[MEMBER]",""),"{MEMBER}",""),"[MEMBER}",""),"MEMBER]",""),"(A)",""),"""",""),"“",""),"”",""),".",""),":",""),",",""),"–"," "),"-"," "),"/"," "),"&amp;"," AND "))&amp;" "," THE "," ")," TOTAL "," ")," OPERATIONS "," "))</f>
        <v>CEE</v>
      </c>
      <c r="O296" s="17" t="str">
        <f aca="false">IF(COUNTIFS($N$2:$N$2000,N296,$D$2:$D$2000,"&lt;&gt;"&amp;D296)&gt;0,"CONFLICT","")</f>
        <v/>
      </c>
      <c r="P296" s="7"/>
    </row>
    <row r="297" customFormat="false" ht="15" hidden="false" customHeight="false" outlineLevel="0" collapsed="false">
      <c r="A297" s="7" t="s">
        <v>624</v>
      </c>
      <c r="B297" s="7" t="s">
        <v>1885</v>
      </c>
      <c r="C297" s="7" t="s">
        <v>624</v>
      </c>
      <c r="D297" s="6" t="s">
        <v>624</v>
      </c>
      <c r="E297" s="6" t="s">
        <v>1880</v>
      </c>
      <c r="F297" s="7" t="str">
        <f aca="false">IF($D297="","",IFERROR(IF(INDEX(Hierarchy!$B$2:$B$1295,MATCH($D297,Hierarchy!$A$2:$A$1295,0))="","",INDEX(Hierarchy!$B$2:$B$1295,MATCH($D297,Hierarchy!$A$2:$A$1295,0))),"NODE NOT FOUND"))</f>
        <v>Sub-region component</v>
      </c>
      <c r="G297" s="7" t="str">
        <f aca="false">IF($D297="","",IFERROR(IF(INDEX(Hierarchy!$D$2:$D$1295,MATCH($D297,Hierarchy!$A$2:$A$1295,0))="","",INDEX(Hierarchy!$D$2:$D$1295,MATCH($D297,Hierarchy!$A$2:$A$1295,0))),"NODE NOT FOUND"))</f>
        <v>EMEA</v>
      </c>
      <c r="H297" s="7" t="str">
        <f aca="false">IF($D297="","",IFERROR(IF(INDEX(Hierarchy!$E$2:$E$1295,MATCH($D297,Hierarchy!$A$2:$A$1295,0))="","",INDEX(Hierarchy!$E$2:$E$1295,MATCH($D297,Hierarchy!$A$2:$A$1295,0))),"NODE NOT FOUND"))</f>
        <v>Europe</v>
      </c>
      <c r="I297" s="7" t="str">
        <f aca="false">IF($D297="","",IFERROR(IF(INDEX(Hierarchy!$F$2:$F$1295,MATCH($D297,Hierarchy!$A$2:$A$1295,0))="","",INDEX(Hierarchy!$F$2:$F$1295,MATCH($D297,Hierarchy!$A$2:$A$1295,0))),"NODE NOT FOUND"))</f>
        <v/>
      </c>
      <c r="J297" s="7" t="str">
        <f aca="false">IF($D297="","",IFERROR(IF(INDEX(Hierarchy!$G$2:$G$1295,MATCH($D297,Hierarchy!$A$2:$A$1295,0))="","",INDEX(Hierarchy!$G$2:$G$1295,MATCH($D297,Hierarchy!$A$2:$A$1295,0))),"NODE NOT FOUND"))</f>
        <v/>
      </c>
      <c r="K297" s="7" t="str">
        <f aca="false">IF($D297="","",IFERROR(IF(INDEX(Hierarchy!$H$2:$H$1295,MATCH($D297,Hierarchy!$A$2:$A$1295,0))="","",INDEX(Hierarchy!$H$2:$H$1295,MATCH($D297,Hierarchy!$A$2:$A$1295,0))),"NODE NOT FOUND"))</f>
        <v/>
      </c>
      <c r="L297" s="7" t="str">
        <f aca="false">IF($D297="","",IFERROR(IF(INDEX(Hierarchy!$I$2:$I$1295,MATCH($D297,Hierarchy!$A$2:$A$1295,0))="","",INDEX(Hierarchy!$I$2:$I$1295,MATCH($D297,Hierarchy!$A$2:$A$1295,0))),"NODE NOT FOUND"))</f>
        <v/>
      </c>
      <c r="M297" s="17" t="str">
        <f aca="false">IF(B297="Pre-seeded","Pre-seeded",IF(B297="Review 2026-09-16","Added from review",IF(C297="","New",IF(C297=D297,"","Changed"))))</f>
        <v/>
      </c>
      <c r="N297" s="7" t="str">
        <f aca="false">TRIM(SUBSTITUTE(SUBSTITUTE(SUBSTITUTE(" "&amp;TRIM(SUBSTITUTE(SUBSTITUTE(SUBSTITUTE(SUBSTITUTE(SUBSTITUTE(SUBSTITUTE(SUBSTITUTE(SUBSTITUTE(SUBSTITUTE(SUBSTITUTE(SUBSTITUTE(SUBSTITUTE(SUBSTITUTE(SUBSTITUTE(SUBSTITUTE(UPPER(TRIM(A297)),"[MEMBER]",""),"{MEMBER}",""),"[MEMBER}",""),"MEMBER]",""),"(A)",""),"""",""),"“",""),"”",""),".",""),":",""),",",""),"–"," "),"-"," "),"/"," "),"&amp;"," AND "))&amp;" "," THE "," ")," TOTAL "," ")," OPERATIONS "," "))</f>
        <v>CEE (CENTRAL AND EASTERN EUROPE)</v>
      </c>
      <c r="O297" s="17" t="str">
        <f aca="false">IF(COUNTIFS($N$2:$N$2000,N297,$D$2:$D$2000,"&lt;&gt;"&amp;D297)&gt;0,"CONFLICT","")</f>
        <v/>
      </c>
      <c r="P297" s="7"/>
    </row>
    <row r="298" customFormat="false" ht="15" hidden="false" customHeight="false" outlineLevel="0" collapsed="false">
      <c r="A298" s="7" t="s">
        <v>616</v>
      </c>
      <c r="B298" s="7" t="s">
        <v>1879</v>
      </c>
      <c r="C298" s="7"/>
      <c r="D298" s="6" t="s">
        <v>616</v>
      </c>
      <c r="E298" s="6" t="s">
        <v>1880</v>
      </c>
      <c r="F298" s="7" t="str">
        <f aca="false">IF($D298="","",IFERROR(IF(INDEX(Hierarchy!$B$2:$B$1295,MATCH($D298,Hierarchy!$A$2:$A$1295,0))="","",INDEX(Hierarchy!$B$2:$B$1295,MATCH($D298,Hierarchy!$A$2:$A$1295,0))),"NODE NOT FOUND"))</f>
        <v>Sub-region group</v>
      </c>
      <c r="G298" s="7" t="str">
        <f aca="false">IF($D298="","",IFERROR(IF(INDEX(Hierarchy!$D$2:$D$1295,MATCH($D298,Hierarchy!$A$2:$A$1295,0))="","",INDEX(Hierarchy!$D$2:$D$1295,MATCH($D298,Hierarchy!$A$2:$A$1295,0))),"NODE NOT FOUND"))</f>
        <v>EMEA</v>
      </c>
      <c r="H298" s="7" t="str">
        <f aca="false">IF($D298="","",IFERROR(IF(INDEX(Hierarchy!$E$2:$E$1295,MATCH($D298,Hierarchy!$A$2:$A$1295,0))="","",INDEX(Hierarchy!$E$2:$E$1295,MATCH($D298,Hierarchy!$A$2:$A$1295,0))),"NODE NOT FOUND"))</f>
        <v/>
      </c>
      <c r="I298" s="7" t="str">
        <f aca="false">IF($D298="","",IFERROR(IF(INDEX(Hierarchy!$F$2:$F$1295,MATCH($D298,Hierarchy!$A$2:$A$1295,0))="","",INDEX(Hierarchy!$F$2:$F$1295,MATCH($D298,Hierarchy!$A$2:$A$1295,0))),"NODE NOT FOUND"))</f>
        <v/>
      </c>
      <c r="J298" s="7" t="str">
        <f aca="false">IF($D298="","",IFERROR(IF(INDEX(Hierarchy!$G$2:$G$1295,MATCH($D298,Hierarchy!$A$2:$A$1295,0))="","",INDEX(Hierarchy!$G$2:$G$1295,MATCH($D298,Hierarchy!$A$2:$A$1295,0))),"NODE NOT FOUND"))</f>
        <v/>
      </c>
      <c r="K298" s="7" t="str">
        <f aca="false">IF($D298="","",IFERROR(IF(INDEX(Hierarchy!$H$2:$H$1295,MATCH($D298,Hierarchy!$A$2:$A$1295,0))="","",INDEX(Hierarchy!$H$2:$H$1295,MATCH($D298,Hierarchy!$A$2:$A$1295,0))),"NODE NOT FOUND"))</f>
        <v/>
      </c>
      <c r="L298" s="7" t="str">
        <f aca="false">IF($D298="","",IFERROR(IF(INDEX(Hierarchy!$I$2:$I$1295,MATCH($D298,Hierarchy!$A$2:$A$1295,0))="","",INDEX(Hierarchy!$I$2:$I$1295,MATCH($D298,Hierarchy!$A$2:$A$1295,0))),"NODE NOT FOUND"))</f>
        <v/>
      </c>
      <c r="M298" s="17" t="str">
        <f aca="false">IF(B298="Pre-seeded","Pre-seeded",IF(B298="Review 2026-09-16","Added from review",IF(C298="","New",IF(C298=D298,"","Changed"))))</f>
        <v>Pre-seeded</v>
      </c>
      <c r="N298" s="7" t="str">
        <f aca="false">TRIM(SUBSTITUTE(SUBSTITUTE(SUBSTITUTE(" "&amp;TRIM(SUBSTITUTE(SUBSTITUTE(SUBSTITUTE(SUBSTITUTE(SUBSTITUTE(SUBSTITUTE(SUBSTITUTE(SUBSTITUTE(SUBSTITUTE(SUBSTITUTE(SUBSTITUTE(SUBSTITUTE(SUBSTITUTE(SUBSTITUTE(SUBSTITUTE(UPPER(TRIM(A298)),"[MEMBER]",""),"{MEMBER}",""),"[MEMBER}",""),"MEMBER]",""),"(A)",""),"""",""),"“",""),"”",""),".",""),":",""),",",""),"–"," "),"-"," "),"/"," "),"&amp;"," AND "))&amp;" "," THE "," ")," TOTAL "," ")," OPERATIONS "," "))</f>
        <v>CEEMEA</v>
      </c>
      <c r="O298" s="17" t="str">
        <f aca="false">IF(COUNTIFS($N$2:$N$2000,N298,$D$2:$D$2000,"&lt;&gt;"&amp;D298)&gt;0,"CONFLICT","")</f>
        <v/>
      </c>
      <c r="P298" s="7"/>
    </row>
    <row r="299" customFormat="false" ht="15" hidden="false" customHeight="false" outlineLevel="0" collapsed="false">
      <c r="A299" s="7" t="s">
        <v>2041</v>
      </c>
      <c r="B299" s="7" t="s">
        <v>1879</v>
      </c>
      <c r="C299" s="7"/>
      <c r="D299" s="6" t="s">
        <v>616</v>
      </c>
      <c r="E299" s="6" t="s">
        <v>1880</v>
      </c>
      <c r="F299" s="7" t="str">
        <f aca="false">IF($D299="","",IFERROR(IF(INDEX(Hierarchy!$B$2:$B$1295,MATCH($D299,Hierarchy!$A$2:$A$1295,0))="","",INDEX(Hierarchy!$B$2:$B$1295,MATCH($D299,Hierarchy!$A$2:$A$1295,0))),"NODE NOT FOUND"))</f>
        <v>Sub-region group</v>
      </c>
      <c r="G299" s="7" t="str">
        <f aca="false">IF($D299="","",IFERROR(IF(INDEX(Hierarchy!$D$2:$D$1295,MATCH($D299,Hierarchy!$A$2:$A$1295,0))="","",INDEX(Hierarchy!$D$2:$D$1295,MATCH($D299,Hierarchy!$A$2:$A$1295,0))),"NODE NOT FOUND"))</f>
        <v>EMEA</v>
      </c>
      <c r="H299" s="7" t="str">
        <f aca="false">IF($D299="","",IFERROR(IF(INDEX(Hierarchy!$E$2:$E$1295,MATCH($D299,Hierarchy!$A$2:$A$1295,0))="","",INDEX(Hierarchy!$E$2:$E$1295,MATCH($D299,Hierarchy!$A$2:$A$1295,0))),"NODE NOT FOUND"))</f>
        <v/>
      </c>
      <c r="I299" s="7" t="str">
        <f aca="false">IF($D299="","",IFERROR(IF(INDEX(Hierarchy!$F$2:$F$1295,MATCH($D299,Hierarchy!$A$2:$A$1295,0))="","",INDEX(Hierarchy!$F$2:$F$1295,MATCH($D299,Hierarchy!$A$2:$A$1295,0))),"NODE NOT FOUND"))</f>
        <v/>
      </c>
      <c r="J299" s="7" t="str">
        <f aca="false">IF($D299="","",IFERROR(IF(INDEX(Hierarchy!$G$2:$G$1295,MATCH($D299,Hierarchy!$A$2:$A$1295,0))="","",INDEX(Hierarchy!$G$2:$G$1295,MATCH($D299,Hierarchy!$A$2:$A$1295,0))),"NODE NOT FOUND"))</f>
        <v/>
      </c>
      <c r="K299" s="7" t="str">
        <f aca="false">IF($D299="","",IFERROR(IF(INDEX(Hierarchy!$H$2:$H$1295,MATCH($D299,Hierarchy!$A$2:$A$1295,0))="","",INDEX(Hierarchy!$H$2:$H$1295,MATCH($D299,Hierarchy!$A$2:$A$1295,0))),"NODE NOT FOUND"))</f>
        <v/>
      </c>
      <c r="L299" s="7" t="str">
        <f aca="false">IF($D299="","",IFERROR(IF(INDEX(Hierarchy!$I$2:$I$1295,MATCH($D299,Hierarchy!$A$2:$A$1295,0))="","",INDEX(Hierarchy!$I$2:$I$1295,MATCH($D299,Hierarchy!$A$2:$A$1295,0))),"NODE NOT FOUND"))</f>
        <v/>
      </c>
      <c r="M299" s="17" t="str">
        <f aca="false">IF(B299="Pre-seeded","Pre-seeded",IF(B299="Review 2026-09-16","Added from review",IF(C299="","New",IF(C299=D299,"","Changed"))))</f>
        <v>Pre-seeded</v>
      </c>
      <c r="N299" s="7" t="str">
        <f aca="false">TRIM(SUBSTITUTE(SUBSTITUTE(SUBSTITUTE(" "&amp;TRIM(SUBSTITUTE(SUBSTITUTE(SUBSTITUTE(SUBSTITUTE(SUBSTITUTE(SUBSTITUTE(SUBSTITUTE(SUBSTITUTE(SUBSTITUTE(SUBSTITUTE(SUBSTITUTE(SUBSTITUTE(SUBSTITUTE(SUBSTITUTE(SUBSTITUTE(UPPER(TRIM(A299)),"[MEMBER]",""),"{MEMBER}",""),"[MEMBER}",""),"MEMBER]",""),"(A)",""),"""",""),"“",""),"”",""),".",""),":",""),",",""),"–"," "),"-"," "),"/"," "),"&amp;"," AND "))&amp;" "," THE "," ")," TOTAL "," ")," OPERATIONS "," "))</f>
        <v>CEMEA</v>
      </c>
      <c r="O299" s="17" t="str">
        <f aca="false">IF(COUNTIFS($N$2:$N$2000,N299,$D$2:$D$2000,"&lt;&gt;"&amp;D299)&gt;0,"CONFLICT","")</f>
        <v/>
      </c>
      <c r="P299" s="7"/>
    </row>
    <row r="300" customFormat="false" ht="15" hidden="false" customHeight="false" outlineLevel="0" collapsed="false">
      <c r="A300" s="7" t="s">
        <v>2034</v>
      </c>
      <c r="B300" s="7" t="s">
        <v>1882</v>
      </c>
      <c r="C300" s="7" t="s">
        <v>2034</v>
      </c>
      <c r="D300" s="6" t="s">
        <v>91</v>
      </c>
      <c r="E300" s="6" t="s">
        <v>1880</v>
      </c>
      <c r="F300" s="7" t="str">
        <f aca="false">IF($D300="","",IFERROR(IF(INDEX(Hierarchy!$B$2:$B$1295,MATCH($D300,Hierarchy!$A$2:$A$1295,0))="","",INDEX(Hierarchy!$B$2:$B$1295,MATCH($D300,Hierarchy!$A$2:$A$1295,0))),"NODE NOT FOUND"))</f>
        <v>Sub-national region</v>
      </c>
      <c r="G300" s="7" t="str">
        <f aca="false">IF($D300="","",IFERROR(IF(INDEX(Hierarchy!$D$2:$D$1295,MATCH($D300,Hierarchy!$A$2:$A$1295,0))="","",INDEX(Hierarchy!$D$2:$D$1295,MATCH($D300,Hierarchy!$A$2:$A$1295,0))),"NODE NOT FOUND"))</f>
        <v>AMER</v>
      </c>
      <c r="H300" s="7" t="str">
        <f aca="false">IF($D300="","",IFERROR(IF(INDEX(Hierarchy!$E$2:$E$1295,MATCH($D300,Hierarchy!$A$2:$A$1295,0))="","",INDEX(Hierarchy!$E$2:$E$1295,MATCH($D300,Hierarchy!$A$2:$A$1295,0))),"NODE NOT FOUND"))</f>
        <v>North America (NORAM)</v>
      </c>
      <c r="I300" s="7" t="str">
        <f aca="false">IF($D300="","",IFERROR(IF(INDEX(Hierarchy!$F$2:$F$1295,MATCH($D300,Hierarchy!$A$2:$A$1295,0))="","",INDEX(Hierarchy!$F$2:$F$1295,MATCH($D300,Hierarchy!$A$2:$A$1295,0))),"NODE NOT FOUND"))</f>
        <v>United States</v>
      </c>
      <c r="J300" s="7" t="str">
        <f aca="false">IF($D300="","",IFERROR(IF(INDEX(Hierarchy!$G$2:$G$1295,MATCH($D300,Hierarchy!$A$2:$A$1295,0))="","",INDEX(Hierarchy!$G$2:$G$1295,MATCH($D300,Hierarchy!$A$2:$A$1295,0))),"NODE NOT FOUND"))</f>
        <v>USA</v>
      </c>
      <c r="K300" s="7" t="str">
        <f aca="false">IF($D300="","",IFERROR(IF(INDEX(Hierarchy!$H$2:$H$1295,MATCH($D300,Hierarchy!$A$2:$A$1295,0))="","",INDEX(Hierarchy!$H$2:$H$1295,MATCH($D300,Hierarchy!$A$2:$A$1295,0))),"NODE NOT FOUND"))</f>
        <v/>
      </c>
      <c r="L300" s="7" t="str">
        <f aca="false">IF($D300="","",IFERROR(IF(INDEX(Hierarchy!$I$2:$I$1295,MATCH($D300,Hierarchy!$A$2:$A$1295,0))="","",INDEX(Hierarchy!$I$2:$I$1295,MATCH($D300,Hierarchy!$A$2:$A$1295,0))),"NODE NOT FOUND"))</f>
        <v/>
      </c>
      <c r="M300" s="17" t="str">
        <f aca="false">IF(B300="Pre-seeded","Pre-seeded",IF(B300="Review 2026-09-16","Added from review",IF(C300="","New",IF(C300=D300,"","Changed"))))</f>
        <v>Changed</v>
      </c>
      <c r="N300" s="7" t="str">
        <f aca="false">TRIM(SUBSTITUTE(SUBSTITUTE(SUBSTITUTE(" "&amp;TRIM(SUBSTITUTE(SUBSTITUTE(SUBSTITUTE(SUBSTITUTE(SUBSTITUTE(SUBSTITUTE(SUBSTITUTE(SUBSTITUTE(SUBSTITUTE(SUBSTITUTE(SUBSTITUTE(SUBSTITUTE(SUBSTITUTE(SUBSTITUTE(SUBSTITUTE(UPPER(TRIM(A300)),"[MEMBER]",""),"{MEMBER}",""),"[MEMBER}",""),"MEMBER]",""),"(A)",""),"""",""),"“",""),"”",""),".",""),":",""),",",""),"–"," "),"-"," "),"/"," "),"&amp;"," AND "))&amp;" "," THE "," ")," TOTAL "," ")," OPERATIONS "," "))</f>
        <v>CENTRAL</v>
      </c>
      <c r="O300" s="17" t="str">
        <f aca="false">IF(COUNTIFS($N$2:$N$2000,N300,$D$2:$D$2000,"&lt;&gt;"&amp;D300)&gt;0,"CONFLICT","")</f>
        <v/>
      </c>
      <c r="P300" s="7"/>
    </row>
    <row r="301" customFormat="false" ht="15" hidden="false" customHeight="false" outlineLevel="0" collapsed="false">
      <c r="A301" s="7" t="s">
        <v>1097</v>
      </c>
      <c r="B301" s="7" t="s">
        <v>1879</v>
      </c>
      <c r="C301" s="7"/>
      <c r="D301" s="6" t="s">
        <v>1097</v>
      </c>
      <c r="E301" s="6" t="s">
        <v>1880</v>
      </c>
      <c r="F301" s="7" t="str">
        <f aca="false">IF($D301="","",IFERROR(IF(INDEX(Hierarchy!$B$2:$B$1295,MATCH($D301,Hierarchy!$A$2:$A$1295,0))="","",INDEX(Hierarchy!$B$2:$B$1295,MATCH($D301,Hierarchy!$A$2:$A$1295,0))),"NODE NOT FOUND"))</f>
        <v>Sub-region component</v>
      </c>
      <c r="G301" s="7" t="str">
        <f aca="false">IF($D301="","",IFERROR(IF(INDEX(Hierarchy!$D$2:$D$1295,MATCH($D301,Hierarchy!$A$2:$A$1295,0))="","",INDEX(Hierarchy!$D$2:$D$1295,MATCH($D301,Hierarchy!$A$2:$A$1295,0))),"NODE NOT FOUND"))</f>
        <v>EMEA</v>
      </c>
      <c r="H301" s="7" t="str">
        <f aca="false">IF($D301="","",IFERROR(IF(INDEX(Hierarchy!$E$2:$E$1295,MATCH($D301,Hierarchy!$A$2:$A$1295,0))="","",INDEX(Hierarchy!$E$2:$E$1295,MATCH($D301,Hierarchy!$A$2:$A$1295,0))),"NODE NOT FOUND"))</f>
        <v>Africa</v>
      </c>
      <c r="I301" s="7" t="str">
        <f aca="false">IF($D301="","",IFERROR(IF(INDEX(Hierarchy!$F$2:$F$1295,MATCH($D301,Hierarchy!$A$2:$A$1295,0))="","",INDEX(Hierarchy!$F$2:$F$1295,MATCH($D301,Hierarchy!$A$2:$A$1295,0))),"NODE NOT FOUND"))</f>
        <v/>
      </c>
      <c r="J301" s="7" t="str">
        <f aca="false">IF($D301="","",IFERROR(IF(INDEX(Hierarchy!$G$2:$G$1295,MATCH($D301,Hierarchy!$A$2:$A$1295,0))="","",INDEX(Hierarchy!$G$2:$G$1295,MATCH($D301,Hierarchy!$A$2:$A$1295,0))),"NODE NOT FOUND"))</f>
        <v/>
      </c>
      <c r="K301" s="7" t="str">
        <f aca="false">IF($D301="","",IFERROR(IF(INDEX(Hierarchy!$H$2:$H$1295,MATCH($D301,Hierarchy!$A$2:$A$1295,0))="","",INDEX(Hierarchy!$H$2:$H$1295,MATCH($D301,Hierarchy!$A$2:$A$1295,0))),"NODE NOT FOUND"))</f>
        <v/>
      </c>
      <c r="L301" s="7" t="str">
        <f aca="false">IF($D301="","",IFERROR(IF(INDEX(Hierarchy!$I$2:$I$1295,MATCH($D301,Hierarchy!$A$2:$A$1295,0))="","",INDEX(Hierarchy!$I$2:$I$1295,MATCH($D301,Hierarchy!$A$2:$A$1295,0))),"NODE NOT FOUND"))</f>
        <v/>
      </c>
      <c r="M301" s="17" t="str">
        <f aca="false">IF(B301="Pre-seeded","Pre-seeded",IF(B301="Review 2026-09-16","Added from review",IF(C301="","New",IF(C301=D301,"","Changed"))))</f>
        <v>Pre-seeded</v>
      </c>
      <c r="N301" s="7" t="str">
        <f aca="false">TRIM(SUBSTITUTE(SUBSTITUTE(SUBSTITUTE(" "&amp;TRIM(SUBSTITUTE(SUBSTITUTE(SUBSTITUTE(SUBSTITUTE(SUBSTITUTE(SUBSTITUTE(SUBSTITUTE(SUBSTITUTE(SUBSTITUTE(SUBSTITUTE(SUBSTITUTE(SUBSTITUTE(SUBSTITUTE(SUBSTITUTE(SUBSTITUTE(UPPER(TRIM(A301)),"[MEMBER]",""),"{MEMBER}",""),"[MEMBER}",""),"MEMBER]",""),"(A)",""),"""",""),"“",""),"”",""),".",""),":",""),",",""),"–"," "),"-"," "),"/"," "),"&amp;"," AND "))&amp;" "," THE "," ")," TOTAL "," ")," OPERATIONS "," "))</f>
        <v>CENTRAL AFRICA</v>
      </c>
      <c r="O301" s="17" t="str">
        <f aca="false">IF(COUNTIFS($N$2:$N$2000,N301,$D$2:$D$2000,"&lt;&gt;"&amp;D301)&gt;0,"CONFLICT","")</f>
        <v/>
      </c>
      <c r="P301" s="7"/>
    </row>
    <row r="302" customFormat="false" ht="15" hidden="false" customHeight="false" outlineLevel="0" collapsed="false">
      <c r="A302" s="7" t="s">
        <v>1197</v>
      </c>
      <c r="B302" s="7" t="s">
        <v>1879</v>
      </c>
      <c r="C302" s="7"/>
      <c r="D302" s="6" t="s">
        <v>1197</v>
      </c>
      <c r="E302" s="6" t="s">
        <v>1880</v>
      </c>
      <c r="F302" s="7" t="str">
        <f aca="false">IF($D302="","",IFERROR(IF(INDEX(Hierarchy!$B$2:$B$1295,MATCH($D302,Hierarchy!$A$2:$A$1295,0))="","",INDEX(Hierarchy!$B$2:$B$1295,MATCH($D302,Hierarchy!$A$2:$A$1295,0))),"NODE NOT FOUND"))</f>
        <v>Country</v>
      </c>
      <c r="G302" s="7" t="str">
        <f aca="false">IF($D302="","",IFERROR(IF(INDEX(Hierarchy!$D$2:$D$1295,MATCH($D302,Hierarchy!$A$2:$A$1295,0))="","",INDEX(Hierarchy!$D$2:$D$1295,MATCH($D302,Hierarchy!$A$2:$A$1295,0))),"NODE NOT FOUND"))</f>
        <v>EMEA</v>
      </c>
      <c r="H302" s="7" t="str">
        <f aca="false">IF($D302="","",IFERROR(IF(INDEX(Hierarchy!$E$2:$E$1295,MATCH($D302,Hierarchy!$A$2:$A$1295,0))="","",INDEX(Hierarchy!$E$2:$E$1295,MATCH($D302,Hierarchy!$A$2:$A$1295,0))),"NODE NOT FOUND"))</f>
        <v>Africa</v>
      </c>
      <c r="I302" s="7" t="str">
        <f aca="false">IF($D302="","",IFERROR(IF(INDEX(Hierarchy!$F$2:$F$1295,MATCH($D302,Hierarchy!$A$2:$A$1295,0))="","",INDEX(Hierarchy!$F$2:$F$1295,MATCH($D302,Hierarchy!$A$2:$A$1295,0))),"NODE NOT FOUND"))</f>
        <v>Central African Republic</v>
      </c>
      <c r="J302" s="7" t="str">
        <f aca="false">IF($D302="","",IFERROR(IF(INDEX(Hierarchy!$G$2:$G$1295,MATCH($D302,Hierarchy!$A$2:$A$1295,0))="","",INDEX(Hierarchy!$G$2:$G$1295,MATCH($D302,Hierarchy!$A$2:$A$1295,0))),"NODE NOT FOUND"))</f>
        <v>CAF</v>
      </c>
      <c r="K302" s="7" t="str">
        <f aca="false">IF($D302="","",IFERROR(IF(INDEX(Hierarchy!$H$2:$H$1295,MATCH($D302,Hierarchy!$A$2:$A$1295,0))="","",INDEX(Hierarchy!$H$2:$H$1295,MATCH($D302,Hierarchy!$A$2:$A$1295,0))),"NODE NOT FOUND"))</f>
        <v/>
      </c>
      <c r="L302" s="7" t="str">
        <f aca="false">IF($D302="","",IFERROR(IF(INDEX(Hierarchy!$I$2:$I$1295,MATCH($D302,Hierarchy!$A$2:$A$1295,0))="","",INDEX(Hierarchy!$I$2:$I$1295,MATCH($D302,Hierarchy!$A$2:$A$1295,0))),"NODE NOT FOUND"))</f>
        <v/>
      </c>
      <c r="M302" s="17" t="str">
        <f aca="false">IF(B302="Pre-seeded","Pre-seeded",IF(B302="Review 2026-09-16","Added from review",IF(C302="","New",IF(C302=D302,"","Changed"))))</f>
        <v>Pre-seeded</v>
      </c>
      <c r="N302" s="7" t="str">
        <f aca="false">TRIM(SUBSTITUTE(SUBSTITUTE(SUBSTITUTE(" "&amp;TRIM(SUBSTITUTE(SUBSTITUTE(SUBSTITUTE(SUBSTITUTE(SUBSTITUTE(SUBSTITUTE(SUBSTITUTE(SUBSTITUTE(SUBSTITUTE(SUBSTITUTE(SUBSTITUTE(SUBSTITUTE(SUBSTITUTE(SUBSTITUTE(SUBSTITUTE(UPPER(TRIM(A302)),"[MEMBER]",""),"{MEMBER}",""),"[MEMBER}",""),"MEMBER]",""),"(A)",""),"""",""),"“",""),"”",""),".",""),":",""),",",""),"–"," "),"-"," "),"/"," "),"&amp;"," AND "))&amp;" "," THE "," ")," TOTAL "," ")," OPERATIONS "," "))</f>
        <v>CENTRAL AFRICAN REPUBLIC</v>
      </c>
      <c r="O302" s="17" t="str">
        <f aca="false">IF(COUNTIFS($N$2:$N$2000,N302,$D$2:$D$2000,"&lt;&gt;"&amp;D302)&gt;0,"CONFLICT","")</f>
        <v/>
      </c>
      <c r="P302" s="7"/>
    </row>
    <row r="303" customFormat="false" ht="15" hidden="false" customHeight="false" outlineLevel="0" collapsed="false">
      <c r="A303" s="7" t="s">
        <v>320</v>
      </c>
      <c r="B303" s="7" t="s">
        <v>1879</v>
      </c>
      <c r="C303" s="7"/>
      <c r="D303" s="6" t="s">
        <v>320</v>
      </c>
      <c r="E303" s="6" t="s">
        <v>1880</v>
      </c>
      <c r="F303" s="7" t="str">
        <f aca="false">IF($D303="","",IFERROR(IF(INDEX(Hierarchy!$B$2:$B$1295,MATCH($D303,Hierarchy!$A$2:$A$1295,0))="","",INDEX(Hierarchy!$B$2:$B$1295,MATCH($D303,Hierarchy!$A$2:$A$1295,0))),"NODE NOT FOUND"))</f>
        <v>Sub-region component</v>
      </c>
      <c r="G303" s="7" t="str">
        <f aca="false">IF($D303="","",IFERROR(IF(INDEX(Hierarchy!$D$2:$D$1295,MATCH($D303,Hierarchy!$A$2:$A$1295,0))="","",INDEX(Hierarchy!$D$2:$D$1295,MATCH($D303,Hierarchy!$A$2:$A$1295,0))),"NODE NOT FOUND"))</f>
        <v>AMER</v>
      </c>
      <c r="H303" s="7" t="str">
        <f aca="false">IF($D303="","",IFERROR(IF(INDEX(Hierarchy!$E$2:$E$1295,MATCH($D303,Hierarchy!$A$2:$A$1295,0))="","",INDEX(Hierarchy!$E$2:$E$1295,MATCH($D303,Hierarchy!$A$2:$A$1295,0))),"NODE NOT FOUND"))</f>
        <v>Latin America (LATAM)</v>
      </c>
      <c r="I303" s="7" t="str">
        <f aca="false">IF($D303="","",IFERROR(IF(INDEX(Hierarchy!$F$2:$F$1295,MATCH($D303,Hierarchy!$A$2:$A$1295,0))="","",INDEX(Hierarchy!$F$2:$F$1295,MATCH($D303,Hierarchy!$A$2:$A$1295,0))),"NODE NOT FOUND"))</f>
        <v/>
      </c>
      <c r="J303" s="7" t="str">
        <f aca="false">IF($D303="","",IFERROR(IF(INDEX(Hierarchy!$G$2:$G$1295,MATCH($D303,Hierarchy!$A$2:$A$1295,0))="","",INDEX(Hierarchy!$G$2:$G$1295,MATCH($D303,Hierarchy!$A$2:$A$1295,0))),"NODE NOT FOUND"))</f>
        <v/>
      </c>
      <c r="K303" s="7" t="str">
        <f aca="false">IF($D303="","",IFERROR(IF(INDEX(Hierarchy!$H$2:$H$1295,MATCH($D303,Hierarchy!$A$2:$A$1295,0))="","",INDEX(Hierarchy!$H$2:$H$1295,MATCH($D303,Hierarchy!$A$2:$A$1295,0))),"NODE NOT FOUND"))</f>
        <v/>
      </c>
      <c r="L303" s="7" t="str">
        <f aca="false">IF($D303="","",IFERROR(IF(INDEX(Hierarchy!$I$2:$I$1295,MATCH($D303,Hierarchy!$A$2:$A$1295,0))="","",INDEX(Hierarchy!$I$2:$I$1295,MATCH($D303,Hierarchy!$A$2:$A$1295,0))),"NODE NOT FOUND"))</f>
        <v/>
      </c>
      <c r="M303" s="17" t="str">
        <f aca="false">IF(B303="Pre-seeded","Pre-seeded",IF(B303="Review 2026-09-16","Added from review",IF(C303="","New",IF(C303=D303,"","Changed"))))</f>
        <v>Pre-seeded</v>
      </c>
      <c r="N303" s="7" t="str">
        <f aca="false">TRIM(SUBSTITUTE(SUBSTITUTE(SUBSTITUTE(" "&amp;TRIM(SUBSTITUTE(SUBSTITUTE(SUBSTITUTE(SUBSTITUTE(SUBSTITUTE(SUBSTITUTE(SUBSTITUTE(SUBSTITUTE(SUBSTITUTE(SUBSTITUTE(SUBSTITUTE(SUBSTITUTE(SUBSTITUTE(SUBSTITUTE(SUBSTITUTE(UPPER(TRIM(A303)),"[MEMBER]",""),"{MEMBER}",""),"[MEMBER}",""),"MEMBER]",""),"(A)",""),"""",""),"“",""),"”",""),".",""),":",""),",",""),"–"," "),"-"," "),"/"," "),"&amp;"," AND "))&amp;" "," THE "," ")," TOTAL "," ")," OPERATIONS "," "))</f>
        <v>CENTRAL AMERICA</v>
      </c>
      <c r="O303" s="17" t="str">
        <f aca="false">IF(COUNTIFS($N$2:$N$2000,N303,$D$2:$D$2000,"&lt;&gt;"&amp;D303)&gt;0,"CONFLICT","")</f>
        <v/>
      </c>
      <c r="P303" s="7"/>
    </row>
    <row r="304" customFormat="false" ht="15" hidden="false" customHeight="false" outlineLevel="0" collapsed="false">
      <c r="A304" s="7" t="s">
        <v>1820</v>
      </c>
      <c r="B304" s="7" t="s">
        <v>1879</v>
      </c>
      <c r="C304" s="7"/>
      <c r="D304" s="6" t="s">
        <v>1820</v>
      </c>
      <c r="E304" s="6" t="s">
        <v>1880</v>
      </c>
      <c r="F304" s="7" t="str">
        <f aca="false">IF($D304="","",IFERROR(IF(INDEX(Hierarchy!$B$2:$B$1295,MATCH($D304,Hierarchy!$A$2:$A$1295,0))="","",INDEX(Hierarchy!$B$2:$B$1295,MATCH($D304,Hierarchy!$A$2:$A$1295,0))),"NODE NOT FOUND"))</f>
        <v>Reference grouping</v>
      </c>
      <c r="G304" s="7" t="str">
        <f aca="false">IF($D304="","",IFERROR(IF(INDEX(Hierarchy!$D$2:$D$1295,MATCH($D304,Hierarchy!$A$2:$A$1295,0))="","",INDEX(Hierarchy!$D$2:$D$1295,MATCH($D304,Hierarchy!$A$2:$A$1295,0))),"NODE NOT FOUND"))</f>
        <v>Reference (UN / World Bank)</v>
      </c>
      <c r="H304" s="7" t="str">
        <f aca="false">IF($D304="","",IFERROR(IF(INDEX(Hierarchy!$E$2:$E$1295,MATCH($D304,Hierarchy!$A$2:$A$1295,0))="","",INDEX(Hierarchy!$E$2:$E$1295,MATCH($D304,Hierarchy!$A$2:$A$1295,0))),"NODE NOT FOUND"))</f>
        <v/>
      </c>
      <c r="I304" s="7" t="str">
        <f aca="false">IF($D304="","",IFERROR(IF(INDEX(Hierarchy!$F$2:$F$1295,MATCH($D304,Hierarchy!$A$2:$A$1295,0))="","",INDEX(Hierarchy!$F$2:$F$1295,MATCH($D304,Hierarchy!$A$2:$A$1295,0))),"NODE NOT FOUND"))</f>
        <v/>
      </c>
      <c r="J304" s="7" t="str">
        <f aca="false">IF($D304="","",IFERROR(IF(INDEX(Hierarchy!$G$2:$G$1295,MATCH($D304,Hierarchy!$A$2:$A$1295,0))="","",INDEX(Hierarchy!$G$2:$G$1295,MATCH($D304,Hierarchy!$A$2:$A$1295,0))),"NODE NOT FOUND"))</f>
        <v/>
      </c>
      <c r="K304" s="7" t="str">
        <f aca="false">IF($D304="","",IFERROR(IF(INDEX(Hierarchy!$H$2:$H$1295,MATCH($D304,Hierarchy!$A$2:$A$1295,0))="","",INDEX(Hierarchy!$H$2:$H$1295,MATCH($D304,Hierarchy!$A$2:$A$1295,0))),"NODE NOT FOUND"))</f>
        <v/>
      </c>
      <c r="L304" s="7" t="str">
        <f aca="false">IF($D304="","",IFERROR(IF(INDEX(Hierarchy!$I$2:$I$1295,MATCH($D304,Hierarchy!$A$2:$A$1295,0))="","",INDEX(Hierarchy!$I$2:$I$1295,MATCH($D304,Hierarchy!$A$2:$A$1295,0))),"NODE NOT FOUND"))</f>
        <v/>
      </c>
      <c r="M304" s="17" t="str">
        <f aca="false">IF(B304="Pre-seeded","Pre-seeded",IF(B304="Review 2026-09-16","Added from review",IF(C304="","New",IF(C304=D304,"","Changed"))))</f>
        <v>Pre-seeded</v>
      </c>
      <c r="N304" s="7" t="str">
        <f aca="false">TRIM(SUBSTITUTE(SUBSTITUTE(SUBSTITUTE(" "&amp;TRIM(SUBSTITUTE(SUBSTITUTE(SUBSTITUTE(SUBSTITUTE(SUBSTITUTE(SUBSTITUTE(SUBSTITUTE(SUBSTITUTE(SUBSTITUTE(SUBSTITUTE(SUBSTITUTE(SUBSTITUTE(SUBSTITUTE(SUBSTITUTE(SUBSTITUTE(UPPER(TRIM(A304)),"[MEMBER]",""),"{MEMBER}",""),"[MEMBER}",""),"MEMBER]",""),"(A)",""),"""",""),"“",""),"”",""),".",""),":",""),",",""),"–"," "),"-"," "),"/"," "),"&amp;"," AND "))&amp;" "," THE "," ")," TOTAL "," ")," OPERATIONS "," "))</f>
        <v>CENTRAL AMERICA (UN M49)</v>
      </c>
      <c r="O304" s="17" t="str">
        <f aca="false">IF(COUNTIFS($N$2:$N$2000,N304,$D$2:$D$2000,"&lt;&gt;"&amp;D304)&gt;0,"CONFLICT","")</f>
        <v/>
      </c>
      <c r="P304" s="7"/>
    </row>
    <row r="305" customFormat="false" ht="15" hidden="false" customHeight="false" outlineLevel="0" collapsed="false">
      <c r="A305" s="7" t="s">
        <v>2042</v>
      </c>
      <c r="B305" s="7" t="s">
        <v>1879</v>
      </c>
      <c r="C305" s="7"/>
      <c r="D305" s="6" t="s">
        <v>317</v>
      </c>
      <c r="E305" s="6" t="s">
        <v>1880</v>
      </c>
      <c r="F305" s="7" t="str">
        <f aca="false">IF($D305="","",IFERROR(IF(INDEX(Hierarchy!$B$2:$B$1295,MATCH($D305,Hierarchy!$A$2:$A$1295,0))="","",INDEX(Hierarchy!$B$2:$B$1295,MATCH($D305,Hierarchy!$A$2:$A$1295,0))),"NODE NOT FOUND"))</f>
        <v>Sub-region component</v>
      </c>
      <c r="G305" s="7" t="str">
        <f aca="false">IF($D305="","",IFERROR(IF(INDEX(Hierarchy!$D$2:$D$1295,MATCH($D305,Hierarchy!$A$2:$A$1295,0))="","",INDEX(Hierarchy!$D$2:$D$1295,MATCH($D305,Hierarchy!$A$2:$A$1295,0))),"NODE NOT FOUND"))</f>
        <v>AMER</v>
      </c>
      <c r="H305" s="7" t="str">
        <f aca="false">IF($D305="","",IFERROR(IF(INDEX(Hierarchy!$E$2:$E$1295,MATCH($D305,Hierarchy!$A$2:$A$1295,0))="","",INDEX(Hierarchy!$E$2:$E$1295,MATCH($D305,Hierarchy!$A$2:$A$1295,0))),"NODE NOT FOUND"))</f>
        <v>Latin America (LATAM)</v>
      </c>
      <c r="I305" s="7" t="str">
        <f aca="false">IF($D305="","",IFERROR(IF(INDEX(Hierarchy!$F$2:$F$1295,MATCH($D305,Hierarchy!$A$2:$A$1295,0))="","",INDEX(Hierarchy!$F$2:$F$1295,MATCH($D305,Hierarchy!$A$2:$A$1295,0))),"NODE NOT FOUND"))</f>
        <v/>
      </c>
      <c r="J305" s="7" t="str">
        <f aca="false">IF($D305="","",IFERROR(IF(INDEX(Hierarchy!$G$2:$G$1295,MATCH($D305,Hierarchy!$A$2:$A$1295,0))="","",INDEX(Hierarchy!$G$2:$G$1295,MATCH($D305,Hierarchy!$A$2:$A$1295,0))),"NODE NOT FOUND"))</f>
        <v/>
      </c>
      <c r="K305" s="7" t="str">
        <f aca="false">IF($D305="","",IFERROR(IF(INDEX(Hierarchy!$H$2:$H$1295,MATCH($D305,Hierarchy!$A$2:$A$1295,0))="","",INDEX(Hierarchy!$H$2:$H$1295,MATCH($D305,Hierarchy!$A$2:$A$1295,0))),"NODE NOT FOUND"))</f>
        <v/>
      </c>
      <c r="L305" s="7" t="str">
        <f aca="false">IF($D305="","",IFERROR(IF(INDEX(Hierarchy!$I$2:$I$1295,MATCH($D305,Hierarchy!$A$2:$A$1295,0))="","",INDEX(Hierarchy!$I$2:$I$1295,MATCH($D305,Hierarchy!$A$2:$A$1295,0))),"NODE NOT FOUND"))</f>
        <v/>
      </c>
      <c r="M305" s="17" t="str">
        <f aca="false">IF(B305="Pre-seeded","Pre-seeded",IF(B305="Review 2026-09-16","Added from review",IF(C305="","New",IF(C305=D305,"","Changed"))))</f>
        <v>Pre-seeded</v>
      </c>
      <c r="N305" s="7" t="str">
        <f aca="false">TRIM(SUBSTITUTE(SUBSTITUTE(SUBSTITUTE(" "&amp;TRIM(SUBSTITUTE(SUBSTITUTE(SUBSTITUTE(SUBSTITUTE(SUBSTITUTE(SUBSTITUTE(SUBSTITUTE(SUBSTITUTE(SUBSTITUTE(SUBSTITUTE(SUBSTITUTE(SUBSTITUTE(SUBSTITUTE(SUBSTITUTE(SUBSTITUTE(UPPER(TRIM(A305)),"[MEMBER]",""),"{MEMBER}",""),"[MEMBER}",""),"MEMBER]",""),"(A)",""),"""",""),"“",""),"”",""),".",""),":",""),",",""),"–"," "),"-"," "),"/"," "),"&amp;"," AND "))&amp;" "," THE "," ")," TOTAL "," ")," OPERATIONS "," "))</f>
        <v>CENTRAL AMERICA AND CARIBBEAN</v>
      </c>
      <c r="O305" s="17" t="str">
        <f aca="false">IF(COUNTIFS($N$2:$N$2000,N305,$D$2:$D$2000,"&lt;&gt;"&amp;D305)&gt;0,"CONFLICT","")</f>
        <v/>
      </c>
      <c r="P305" s="7"/>
    </row>
    <row r="306" customFormat="false" ht="15" hidden="false" customHeight="false" outlineLevel="0" collapsed="false">
      <c r="A306" s="7" t="s">
        <v>2043</v>
      </c>
      <c r="B306" s="7" t="s">
        <v>1885</v>
      </c>
      <c r="C306" s="7" t="s">
        <v>2034</v>
      </c>
      <c r="D306" s="6" t="s">
        <v>320</v>
      </c>
      <c r="E306" s="6" t="s">
        <v>1880</v>
      </c>
      <c r="F306" s="7" t="str">
        <f aca="false">IF($D306="","",IFERROR(IF(INDEX(Hierarchy!$B$2:$B$1295,MATCH($D306,Hierarchy!$A$2:$A$1295,0))="","",INDEX(Hierarchy!$B$2:$B$1295,MATCH($D306,Hierarchy!$A$2:$A$1295,0))),"NODE NOT FOUND"))</f>
        <v>Sub-region component</v>
      </c>
      <c r="G306" s="7" t="str">
        <f aca="false">IF($D306="","",IFERROR(IF(INDEX(Hierarchy!$D$2:$D$1295,MATCH($D306,Hierarchy!$A$2:$A$1295,0))="","",INDEX(Hierarchy!$D$2:$D$1295,MATCH($D306,Hierarchy!$A$2:$A$1295,0))),"NODE NOT FOUND"))</f>
        <v>AMER</v>
      </c>
      <c r="H306" s="7" t="str">
        <f aca="false">IF($D306="","",IFERROR(IF(INDEX(Hierarchy!$E$2:$E$1295,MATCH($D306,Hierarchy!$A$2:$A$1295,0))="","",INDEX(Hierarchy!$E$2:$E$1295,MATCH($D306,Hierarchy!$A$2:$A$1295,0))),"NODE NOT FOUND"))</f>
        <v>Latin America (LATAM)</v>
      </c>
      <c r="I306" s="7" t="str">
        <f aca="false">IF($D306="","",IFERROR(IF(INDEX(Hierarchy!$F$2:$F$1295,MATCH($D306,Hierarchy!$A$2:$A$1295,0))="","",INDEX(Hierarchy!$F$2:$F$1295,MATCH($D306,Hierarchy!$A$2:$A$1295,0))),"NODE NOT FOUND"))</f>
        <v/>
      </c>
      <c r="J306" s="7" t="str">
        <f aca="false">IF($D306="","",IFERROR(IF(INDEX(Hierarchy!$G$2:$G$1295,MATCH($D306,Hierarchy!$A$2:$A$1295,0))="","",INDEX(Hierarchy!$G$2:$G$1295,MATCH($D306,Hierarchy!$A$2:$A$1295,0))),"NODE NOT FOUND"))</f>
        <v/>
      </c>
      <c r="K306" s="7" t="str">
        <f aca="false">IF($D306="","",IFERROR(IF(INDEX(Hierarchy!$H$2:$H$1295,MATCH($D306,Hierarchy!$A$2:$A$1295,0))="","",INDEX(Hierarchy!$H$2:$H$1295,MATCH($D306,Hierarchy!$A$2:$A$1295,0))),"NODE NOT FOUND"))</f>
        <v/>
      </c>
      <c r="L306" s="7" t="str">
        <f aca="false">IF($D306="","",IFERROR(IF(INDEX(Hierarchy!$I$2:$I$1295,MATCH($D306,Hierarchy!$A$2:$A$1295,0))="","",INDEX(Hierarchy!$I$2:$I$1295,MATCH($D306,Hierarchy!$A$2:$A$1295,0))),"NODE NOT FOUND"))</f>
        <v/>
      </c>
      <c r="M306" s="17" t="str">
        <f aca="false">IF(B306="Pre-seeded","Pre-seeded",IF(B306="Review 2026-09-16","Added from review",IF(C306="","New",IF(C306=D306,"","Changed"))))</f>
        <v>Changed</v>
      </c>
      <c r="N306" s="7" t="str">
        <f aca="false">TRIM(SUBSTITUTE(SUBSTITUTE(SUBSTITUTE(" "&amp;TRIM(SUBSTITUTE(SUBSTITUTE(SUBSTITUTE(SUBSTITUTE(SUBSTITUTE(SUBSTITUTE(SUBSTITUTE(SUBSTITUTE(SUBSTITUTE(SUBSTITUTE(SUBSTITUTE(SUBSTITUTE(SUBSTITUTE(SUBSTITUTE(SUBSTITUTE(UPPER(TRIM(A306)),"[MEMBER]",""),"{MEMBER}",""),"[MEMBER}",""),"MEMBER]",""),"(A)",""),"""",""),"“",""),"”",""),".",""),":",""),",",""),"–"," "),"-"," "),"/"," "),"&amp;"," AND "))&amp;" "," THE "," ")," TOTAL "," ")," OPERATIONS "," "))</f>
        <v>CENTRAL AMERICAN</v>
      </c>
      <c r="O306" s="17" t="str">
        <f aca="false">IF(COUNTIFS($N$2:$N$2000,N306,$D$2:$D$2000,"&lt;&gt;"&amp;D306)&gt;0,"CONFLICT","")</f>
        <v/>
      </c>
      <c r="P306" s="7"/>
    </row>
    <row r="307" customFormat="false" ht="15" hidden="false" customHeight="false" outlineLevel="0" collapsed="false">
      <c r="A307" s="7" t="s">
        <v>2044</v>
      </c>
      <c r="B307" s="7" t="s">
        <v>1879</v>
      </c>
      <c r="C307" s="7"/>
      <c r="D307" s="6" t="s">
        <v>624</v>
      </c>
      <c r="E307" s="6" t="s">
        <v>1880</v>
      </c>
      <c r="F307" s="7" t="str">
        <f aca="false">IF($D307="","",IFERROR(IF(INDEX(Hierarchy!$B$2:$B$1295,MATCH($D307,Hierarchy!$A$2:$A$1295,0))="","",INDEX(Hierarchy!$B$2:$B$1295,MATCH($D307,Hierarchy!$A$2:$A$1295,0))),"NODE NOT FOUND"))</f>
        <v>Sub-region component</v>
      </c>
      <c r="G307" s="7" t="str">
        <f aca="false">IF($D307="","",IFERROR(IF(INDEX(Hierarchy!$D$2:$D$1295,MATCH($D307,Hierarchy!$A$2:$A$1295,0))="","",INDEX(Hierarchy!$D$2:$D$1295,MATCH($D307,Hierarchy!$A$2:$A$1295,0))),"NODE NOT FOUND"))</f>
        <v>EMEA</v>
      </c>
      <c r="H307" s="7" t="str">
        <f aca="false">IF($D307="","",IFERROR(IF(INDEX(Hierarchy!$E$2:$E$1295,MATCH($D307,Hierarchy!$A$2:$A$1295,0))="","",INDEX(Hierarchy!$E$2:$E$1295,MATCH($D307,Hierarchy!$A$2:$A$1295,0))),"NODE NOT FOUND"))</f>
        <v>Europe</v>
      </c>
      <c r="I307" s="7" t="str">
        <f aca="false">IF($D307="","",IFERROR(IF(INDEX(Hierarchy!$F$2:$F$1295,MATCH($D307,Hierarchy!$A$2:$A$1295,0))="","",INDEX(Hierarchy!$F$2:$F$1295,MATCH($D307,Hierarchy!$A$2:$A$1295,0))),"NODE NOT FOUND"))</f>
        <v/>
      </c>
      <c r="J307" s="7" t="str">
        <f aca="false">IF($D307="","",IFERROR(IF(INDEX(Hierarchy!$G$2:$G$1295,MATCH($D307,Hierarchy!$A$2:$A$1295,0))="","",INDEX(Hierarchy!$G$2:$G$1295,MATCH($D307,Hierarchy!$A$2:$A$1295,0))),"NODE NOT FOUND"))</f>
        <v/>
      </c>
      <c r="K307" s="7" t="str">
        <f aca="false">IF($D307="","",IFERROR(IF(INDEX(Hierarchy!$H$2:$H$1295,MATCH($D307,Hierarchy!$A$2:$A$1295,0))="","",INDEX(Hierarchy!$H$2:$H$1295,MATCH($D307,Hierarchy!$A$2:$A$1295,0))),"NODE NOT FOUND"))</f>
        <v/>
      </c>
      <c r="L307" s="7" t="str">
        <f aca="false">IF($D307="","",IFERROR(IF(INDEX(Hierarchy!$I$2:$I$1295,MATCH($D307,Hierarchy!$A$2:$A$1295,0))="","",INDEX(Hierarchy!$I$2:$I$1295,MATCH($D307,Hierarchy!$A$2:$A$1295,0))),"NODE NOT FOUND"))</f>
        <v/>
      </c>
      <c r="M307" s="17" t="str">
        <f aca="false">IF(B307="Pre-seeded","Pre-seeded",IF(B307="Review 2026-09-16","Added from review",IF(C307="","New",IF(C307=D307,"","Changed"))))</f>
        <v>Pre-seeded</v>
      </c>
      <c r="N307" s="7" t="str">
        <f aca="false">TRIM(SUBSTITUTE(SUBSTITUTE(SUBSTITUTE(" "&amp;TRIM(SUBSTITUTE(SUBSTITUTE(SUBSTITUTE(SUBSTITUTE(SUBSTITUTE(SUBSTITUTE(SUBSTITUTE(SUBSTITUTE(SUBSTITUTE(SUBSTITUTE(SUBSTITUTE(SUBSTITUTE(SUBSTITUTE(SUBSTITUTE(SUBSTITUTE(UPPER(TRIM(A307)),"[MEMBER]",""),"{MEMBER}",""),"[MEMBER}",""),"MEMBER]",""),"(A)",""),"""",""),"“",""),"”",""),".",""),":",""),",",""),"–"," "),"-"," "),"/"," "),"&amp;"," AND "))&amp;" "," THE "," ")," TOTAL "," ")," OPERATIONS "," "))</f>
        <v>CENTRAL AND EASTERN EUROPE</v>
      </c>
      <c r="O307" s="17" t="str">
        <f aca="false">IF(COUNTIFS($N$2:$N$2000,N307,$D$2:$D$2000,"&lt;&gt;"&amp;D307)&gt;0,"CONFLICT","")</f>
        <v/>
      </c>
      <c r="P307" s="7"/>
    </row>
    <row r="308" customFormat="false" ht="15" hidden="false" customHeight="false" outlineLevel="0" collapsed="false">
      <c r="A308" s="7" t="s">
        <v>2045</v>
      </c>
      <c r="B308" s="7" t="s">
        <v>1879</v>
      </c>
      <c r="C308" s="7"/>
      <c r="D308" s="6" t="s">
        <v>312</v>
      </c>
      <c r="E308" s="6" t="s">
        <v>1891</v>
      </c>
      <c r="F308" s="7" t="str">
        <f aca="false">IF($D308="","",IFERROR(IF(INDEX(Hierarchy!$B$2:$B$1295,MATCH($D308,Hierarchy!$A$2:$A$1295,0))="","",INDEX(Hierarchy!$B$2:$B$1295,MATCH($D308,Hierarchy!$A$2:$A$1295,0))),"NODE NOT FOUND"))</f>
        <v>Sub-region</v>
      </c>
      <c r="G308" s="7" t="str">
        <f aca="false">IF($D308="","",IFERROR(IF(INDEX(Hierarchy!$D$2:$D$1295,MATCH($D308,Hierarchy!$A$2:$A$1295,0))="","",INDEX(Hierarchy!$D$2:$D$1295,MATCH($D308,Hierarchy!$A$2:$A$1295,0))),"NODE NOT FOUND"))</f>
        <v>AMER</v>
      </c>
      <c r="H308" s="7" t="str">
        <f aca="false">IF($D308="","",IFERROR(IF(INDEX(Hierarchy!$E$2:$E$1295,MATCH($D308,Hierarchy!$A$2:$A$1295,0))="","",INDEX(Hierarchy!$E$2:$E$1295,MATCH($D308,Hierarchy!$A$2:$A$1295,0))),"NODE NOT FOUND"))</f>
        <v>Latin America (LATAM)</v>
      </c>
      <c r="I308" s="7" t="str">
        <f aca="false">IF($D308="","",IFERROR(IF(INDEX(Hierarchy!$F$2:$F$1295,MATCH($D308,Hierarchy!$A$2:$A$1295,0))="","",INDEX(Hierarchy!$F$2:$F$1295,MATCH($D308,Hierarchy!$A$2:$A$1295,0))),"NODE NOT FOUND"))</f>
        <v/>
      </c>
      <c r="J308" s="7" t="str">
        <f aca="false">IF($D308="","",IFERROR(IF(INDEX(Hierarchy!$G$2:$G$1295,MATCH($D308,Hierarchy!$A$2:$A$1295,0))="","",INDEX(Hierarchy!$G$2:$G$1295,MATCH($D308,Hierarchy!$A$2:$A$1295,0))),"NODE NOT FOUND"))</f>
        <v/>
      </c>
      <c r="K308" s="7" t="str">
        <f aca="false">IF($D308="","",IFERROR(IF(INDEX(Hierarchy!$H$2:$H$1295,MATCH($D308,Hierarchy!$A$2:$A$1295,0))="","",INDEX(Hierarchy!$H$2:$H$1295,MATCH($D308,Hierarchy!$A$2:$A$1295,0))),"NODE NOT FOUND"))</f>
        <v/>
      </c>
      <c r="L308" s="7" t="str">
        <f aca="false">IF($D308="","",IFERROR(IF(INDEX(Hierarchy!$I$2:$I$1295,MATCH($D308,Hierarchy!$A$2:$A$1295,0))="","",INDEX(Hierarchy!$I$2:$I$1295,MATCH($D308,Hierarchy!$A$2:$A$1295,0))),"NODE NOT FOUND"))</f>
        <v/>
      </c>
      <c r="M308" s="17" t="str">
        <f aca="false">IF(B308="Pre-seeded","Pre-seeded",IF(B308="Review 2026-09-16","Added from review",IF(C308="","New",IF(C308=D308,"","Changed"))))</f>
        <v>Pre-seeded</v>
      </c>
      <c r="N308" s="7" t="str">
        <f aca="false">TRIM(SUBSTITUTE(SUBSTITUTE(SUBSTITUTE(" "&amp;TRIM(SUBSTITUTE(SUBSTITUTE(SUBSTITUTE(SUBSTITUTE(SUBSTITUTE(SUBSTITUTE(SUBSTITUTE(SUBSTITUTE(SUBSTITUTE(SUBSTITUTE(SUBSTITUTE(SUBSTITUTE(SUBSTITUTE(SUBSTITUTE(SUBSTITUTE(UPPER(TRIM(A308)),"[MEMBER]",""),"{MEMBER}",""),"[MEMBER}",""),"MEMBER]",""),"(A)",""),"""",""),"“",""),"”",""),".",""),":",""),",",""),"–"," "),"-"," "),"/"," "),"&amp;"," AND "))&amp;" "," THE "," ")," TOTAL "," ")," OPERATIONS "," "))</f>
        <v>CENTRAL AND SOUTH AMERICA</v>
      </c>
      <c r="O308" s="17" t="str">
        <f aca="false">IF(COUNTIFS($N$2:$N$2000,N308,$D$2:$D$2000,"&lt;&gt;"&amp;D308)&gt;0,"CONFLICT","")</f>
        <v/>
      </c>
      <c r="P308" s="7"/>
    </row>
    <row r="309" customFormat="false" ht="15" hidden="false" customHeight="false" outlineLevel="0" collapsed="false">
      <c r="A309" s="7" t="s">
        <v>636</v>
      </c>
      <c r="B309" s="7" t="s">
        <v>1879</v>
      </c>
      <c r="C309" s="7"/>
      <c r="D309" s="6" t="s">
        <v>636</v>
      </c>
      <c r="E309" s="6" t="s">
        <v>1880</v>
      </c>
      <c r="F309" s="7" t="str">
        <f aca="false">IF($D309="","",IFERROR(IF(INDEX(Hierarchy!$B$2:$B$1295,MATCH($D309,Hierarchy!$A$2:$A$1295,0))="","",INDEX(Hierarchy!$B$2:$B$1295,MATCH($D309,Hierarchy!$A$2:$A$1295,0))),"NODE NOT FOUND"))</f>
        <v>Sub-region component</v>
      </c>
      <c r="G309" s="7" t="str">
        <f aca="false">IF($D309="","",IFERROR(IF(INDEX(Hierarchy!$D$2:$D$1295,MATCH($D309,Hierarchy!$A$2:$A$1295,0))="","",INDEX(Hierarchy!$D$2:$D$1295,MATCH($D309,Hierarchy!$A$2:$A$1295,0))),"NODE NOT FOUND"))</f>
        <v>EMEA</v>
      </c>
      <c r="H309" s="7" t="str">
        <f aca="false">IF($D309="","",IFERROR(IF(INDEX(Hierarchy!$E$2:$E$1295,MATCH($D309,Hierarchy!$A$2:$A$1295,0))="","",INDEX(Hierarchy!$E$2:$E$1295,MATCH($D309,Hierarchy!$A$2:$A$1295,0))),"NODE NOT FOUND"))</f>
        <v>Europe</v>
      </c>
      <c r="I309" s="7" t="str">
        <f aca="false">IF($D309="","",IFERROR(IF(INDEX(Hierarchy!$F$2:$F$1295,MATCH($D309,Hierarchy!$A$2:$A$1295,0))="","",INDEX(Hierarchy!$F$2:$F$1295,MATCH($D309,Hierarchy!$A$2:$A$1295,0))),"NODE NOT FOUND"))</f>
        <v/>
      </c>
      <c r="J309" s="7" t="str">
        <f aca="false">IF($D309="","",IFERROR(IF(INDEX(Hierarchy!$G$2:$G$1295,MATCH($D309,Hierarchy!$A$2:$A$1295,0))="","",INDEX(Hierarchy!$G$2:$G$1295,MATCH($D309,Hierarchy!$A$2:$A$1295,0))),"NODE NOT FOUND"))</f>
        <v/>
      </c>
      <c r="K309" s="7" t="str">
        <f aca="false">IF($D309="","",IFERROR(IF(INDEX(Hierarchy!$H$2:$H$1295,MATCH($D309,Hierarchy!$A$2:$A$1295,0))="","",INDEX(Hierarchy!$H$2:$H$1295,MATCH($D309,Hierarchy!$A$2:$A$1295,0))),"NODE NOT FOUND"))</f>
        <v/>
      </c>
      <c r="L309" s="7" t="str">
        <f aca="false">IF($D309="","",IFERROR(IF(INDEX(Hierarchy!$I$2:$I$1295,MATCH($D309,Hierarchy!$A$2:$A$1295,0))="","",INDEX(Hierarchy!$I$2:$I$1295,MATCH($D309,Hierarchy!$A$2:$A$1295,0))),"NODE NOT FOUND"))</f>
        <v/>
      </c>
      <c r="M309" s="17" t="str">
        <f aca="false">IF(B309="Pre-seeded","Pre-seeded",IF(B309="Review 2026-09-16","Added from review",IF(C309="","New",IF(C309=D309,"","Changed"))))</f>
        <v>Pre-seeded</v>
      </c>
      <c r="N309" s="7" t="str">
        <f aca="false">TRIM(SUBSTITUTE(SUBSTITUTE(SUBSTITUTE(" "&amp;TRIM(SUBSTITUTE(SUBSTITUTE(SUBSTITUTE(SUBSTITUTE(SUBSTITUTE(SUBSTITUTE(SUBSTITUTE(SUBSTITUTE(SUBSTITUTE(SUBSTITUTE(SUBSTITUTE(SUBSTITUTE(SUBSTITUTE(SUBSTITUTE(SUBSTITUTE(UPPER(TRIM(A309)),"[MEMBER]",""),"{MEMBER}",""),"[MEMBER}",""),"MEMBER]",""),"(A)",""),"""",""),"“",""),"”",""),".",""),":",""),",",""),"–"," "),"-"," "),"/"," "),"&amp;"," AND "))&amp;" "," THE "," ")," TOTAL "," ")," OPERATIONS "," "))</f>
        <v>CENTRAL ASIA</v>
      </c>
      <c r="O309" s="17" t="str">
        <f aca="false">IF(COUNTIFS($N$2:$N$2000,N309,$D$2:$D$2000,"&lt;&gt;"&amp;D309)&gt;0,"CONFLICT","")</f>
        <v/>
      </c>
      <c r="P309" s="7"/>
    </row>
    <row r="310" customFormat="false" ht="15" hidden="false" customHeight="false" outlineLevel="0" collapsed="false">
      <c r="A310" s="7" t="s">
        <v>274</v>
      </c>
      <c r="B310" s="7" t="s">
        <v>1879</v>
      </c>
      <c r="C310" s="7"/>
      <c r="D310" s="6" t="s">
        <v>274</v>
      </c>
      <c r="E310" s="6" t="s">
        <v>1880</v>
      </c>
      <c r="F310" s="7" t="str">
        <f aca="false">IF($D310="","",IFERROR(IF(INDEX(Hierarchy!$B$2:$B$1295,MATCH($D310,Hierarchy!$A$2:$A$1295,0))="","",INDEX(Hierarchy!$B$2:$B$1295,MATCH($D310,Hierarchy!$A$2:$A$1295,0))),"NODE NOT FOUND"))</f>
        <v>Sub-national region</v>
      </c>
      <c r="G310" s="7" t="str">
        <f aca="false">IF($D310="","",IFERROR(IF(INDEX(Hierarchy!$D$2:$D$1295,MATCH($D310,Hierarchy!$A$2:$A$1295,0))="","",INDEX(Hierarchy!$D$2:$D$1295,MATCH($D310,Hierarchy!$A$2:$A$1295,0))),"NODE NOT FOUND"))</f>
        <v>AMER</v>
      </c>
      <c r="H310" s="7" t="str">
        <f aca="false">IF($D310="","",IFERROR(IF(INDEX(Hierarchy!$E$2:$E$1295,MATCH($D310,Hierarchy!$A$2:$A$1295,0))="","",INDEX(Hierarchy!$E$2:$E$1295,MATCH($D310,Hierarchy!$A$2:$A$1295,0))),"NODE NOT FOUND"))</f>
        <v>North America (NORAM)</v>
      </c>
      <c r="I310" s="7" t="str">
        <f aca="false">IF($D310="","",IFERROR(IF(INDEX(Hierarchy!$F$2:$F$1295,MATCH($D310,Hierarchy!$A$2:$A$1295,0))="","",INDEX(Hierarchy!$F$2:$F$1295,MATCH($D310,Hierarchy!$A$2:$A$1295,0))),"NODE NOT FOUND"))</f>
        <v>Canada</v>
      </c>
      <c r="J310" s="7" t="str">
        <f aca="false">IF($D310="","",IFERROR(IF(INDEX(Hierarchy!$G$2:$G$1295,MATCH($D310,Hierarchy!$A$2:$A$1295,0))="","",INDEX(Hierarchy!$G$2:$G$1295,MATCH($D310,Hierarchy!$A$2:$A$1295,0))),"NODE NOT FOUND"))</f>
        <v>CAN</v>
      </c>
      <c r="K310" s="7" t="str">
        <f aca="false">IF($D310="","",IFERROR(IF(INDEX(Hierarchy!$H$2:$H$1295,MATCH($D310,Hierarchy!$A$2:$A$1295,0))="","",INDEX(Hierarchy!$H$2:$H$1295,MATCH($D310,Hierarchy!$A$2:$A$1295,0))),"NODE NOT FOUND"))</f>
        <v/>
      </c>
      <c r="L310" s="7" t="str">
        <f aca="false">IF($D310="","",IFERROR(IF(INDEX(Hierarchy!$I$2:$I$1295,MATCH($D310,Hierarchy!$A$2:$A$1295,0))="","",INDEX(Hierarchy!$I$2:$I$1295,MATCH($D310,Hierarchy!$A$2:$A$1295,0))),"NODE NOT FOUND"))</f>
        <v/>
      </c>
      <c r="M310" s="17" t="str">
        <f aca="false">IF(B310="Pre-seeded","Pre-seeded",IF(B310="Review 2026-09-16","Added from review",IF(C310="","New",IF(C310=D310,"","Changed"))))</f>
        <v>Pre-seeded</v>
      </c>
      <c r="N310" s="7" t="str">
        <f aca="false">TRIM(SUBSTITUTE(SUBSTITUTE(SUBSTITUTE(" "&amp;TRIM(SUBSTITUTE(SUBSTITUTE(SUBSTITUTE(SUBSTITUTE(SUBSTITUTE(SUBSTITUTE(SUBSTITUTE(SUBSTITUTE(SUBSTITUTE(SUBSTITUTE(SUBSTITUTE(SUBSTITUTE(SUBSTITUTE(SUBSTITUTE(SUBSTITUTE(UPPER(TRIM(A310)),"[MEMBER]",""),"{MEMBER}",""),"[MEMBER}",""),"MEMBER]",""),"(A)",""),"""",""),"“",""),"”",""),".",""),":",""),",",""),"–"," "),"-"," "),"/"," "),"&amp;"," AND "))&amp;" "," THE "," ")," TOTAL "," ")," OPERATIONS "," "))</f>
        <v>CENTRAL CANADA</v>
      </c>
      <c r="O310" s="17" t="str">
        <f aca="false">IF(COUNTIFS($N$2:$N$2000,N310,$D$2:$D$2000,"&lt;&gt;"&amp;D310)&gt;0,"CONFLICT","")</f>
        <v/>
      </c>
      <c r="P310" s="7"/>
    </row>
    <row r="311" customFormat="false" ht="15" hidden="false" customHeight="false" outlineLevel="0" collapsed="false">
      <c r="A311" s="7" t="s">
        <v>1491</v>
      </c>
      <c r="B311" s="7" t="s">
        <v>1879</v>
      </c>
      <c r="C311" s="7"/>
      <c r="D311" s="6" t="s">
        <v>1491</v>
      </c>
      <c r="E311" s="6" t="s">
        <v>1880</v>
      </c>
      <c r="F311" s="7" t="str">
        <f aca="false">IF($D311="","",IFERROR(IF(INDEX(Hierarchy!$B$2:$B$1295,MATCH($D311,Hierarchy!$A$2:$A$1295,0))="","",INDEX(Hierarchy!$B$2:$B$1295,MATCH($D311,Hierarchy!$A$2:$A$1295,0))),"NODE NOT FOUND"))</f>
        <v>Sub-national region</v>
      </c>
      <c r="G311" s="7" t="str">
        <f aca="false">IF($D311="","",IFERROR(IF(INDEX(Hierarchy!$D$2:$D$1295,MATCH($D311,Hierarchy!$A$2:$A$1295,0))="","",INDEX(Hierarchy!$D$2:$D$1295,MATCH($D311,Hierarchy!$A$2:$A$1295,0))),"NODE NOT FOUND"))</f>
        <v>APAC</v>
      </c>
      <c r="H311" s="7" t="str">
        <f aca="false">IF($D311="","",IFERROR(IF(INDEX(Hierarchy!$E$2:$E$1295,MATCH($D311,Hierarchy!$A$2:$A$1295,0))="","",INDEX(Hierarchy!$E$2:$E$1295,MATCH($D311,Hierarchy!$A$2:$A$1295,0))),"NODE NOT FOUND"))</f>
        <v>East Asia</v>
      </c>
      <c r="I311" s="7" t="str">
        <f aca="false">IF($D311="","",IFERROR(IF(INDEX(Hierarchy!$F$2:$F$1295,MATCH($D311,Hierarchy!$A$2:$A$1295,0))="","",INDEX(Hierarchy!$F$2:$F$1295,MATCH($D311,Hierarchy!$A$2:$A$1295,0))),"NODE NOT FOUND"))</f>
        <v>China</v>
      </c>
      <c r="J311" s="7" t="str">
        <f aca="false">IF($D311="","",IFERROR(IF(INDEX(Hierarchy!$G$2:$G$1295,MATCH($D311,Hierarchy!$A$2:$A$1295,0))="","",INDEX(Hierarchy!$G$2:$G$1295,MATCH($D311,Hierarchy!$A$2:$A$1295,0))),"NODE NOT FOUND"))</f>
        <v>CHN</v>
      </c>
      <c r="K311" s="7" t="str">
        <f aca="false">IF($D311="","",IFERROR(IF(INDEX(Hierarchy!$H$2:$H$1295,MATCH($D311,Hierarchy!$A$2:$A$1295,0))="","",INDEX(Hierarchy!$H$2:$H$1295,MATCH($D311,Hierarchy!$A$2:$A$1295,0))),"NODE NOT FOUND"))</f>
        <v/>
      </c>
      <c r="L311" s="7" t="str">
        <f aca="false">IF($D311="","",IFERROR(IF(INDEX(Hierarchy!$I$2:$I$1295,MATCH($D311,Hierarchy!$A$2:$A$1295,0))="","",INDEX(Hierarchy!$I$2:$I$1295,MATCH($D311,Hierarchy!$A$2:$A$1295,0))),"NODE NOT FOUND"))</f>
        <v/>
      </c>
      <c r="M311" s="17" t="str">
        <f aca="false">IF(B311="Pre-seeded","Pre-seeded",IF(B311="Review 2026-09-16","Added from review",IF(C311="","New",IF(C311=D311,"","Changed"))))</f>
        <v>Pre-seeded</v>
      </c>
      <c r="N311" s="7" t="str">
        <f aca="false">TRIM(SUBSTITUTE(SUBSTITUTE(SUBSTITUTE(" "&amp;TRIM(SUBSTITUTE(SUBSTITUTE(SUBSTITUTE(SUBSTITUTE(SUBSTITUTE(SUBSTITUTE(SUBSTITUTE(SUBSTITUTE(SUBSTITUTE(SUBSTITUTE(SUBSTITUTE(SUBSTITUTE(SUBSTITUTE(SUBSTITUTE(SUBSTITUTE(UPPER(TRIM(A311)),"[MEMBER]",""),"{MEMBER}",""),"[MEMBER}",""),"MEMBER]",""),"(A)",""),"""",""),"“",""),"”",""),".",""),":",""),",",""),"–"," "),"-"," "),"/"," "),"&amp;"," AND "))&amp;" "," THE "," ")," TOTAL "," ")," OPERATIONS "," "))</f>
        <v>CENTRAL CHINA</v>
      </c>
      <c r="O311" s="17" t="str">
        <f aca="false">IF(COUNTIFS($N$2:$N$2000,N311,$D$2:$D$2000,"&lt;&gt;"&amp;D311)&gt;0,"CONFLICT","")</f>
        <v/>
      </c>
      <c r="P311" s="7"/>
    </row>
    <row r="312" customFormat="false" ht="15" hidden="false" customHeight="false" outlineLevel="0" collapsed="false">
      <c r="A312" s="7" t="s">
        <v>2046</v>
      </c>
      <c r="B312" s="7" t="s">
        <v>1879</v>
      </c>
      <c r="C312" s="7"/>
      <c r="D312" s="6" t="s">
        <v>616</v>
      </c>
      <c r="E312" s="6" t="s">
        <v>1880</v>
      </c>
      <c r="F312" s="7" t="str">
        <f aca="false">IF($D312="","",IFERROR(IF(INDEX(Hierarchy!$B$2:$B$1295,MATCH($D312,Hierarchy!$A$2:$A$1295,0))="","",INDEX(Hierarchy!$B$2:$B$1295,MATCH($D312,Hierarchy!$A$2:$A$1295,0))),"NODE NOT FOUND"))</f>
        <v>Sub-region group</v>
      </c>
      <c r="G312" s="7" t="str">
        <f aca="false">IF($D312="","",IFERROR(IF(INDEX(Hierarchy!$D$2:$D$1295,MATCH($D312,Hierarchy!$A$2:$A$1295,0))="","",INDEX(Hierarchy!$D$2:$D$1295,MATCH($D312,Hierarchy!$A$2:$A$1295,0))),"NODE NOT FOUND"))</f>
        <v>EMEA</v>
      </c>
      <c r="H312" s="7" t="str">
        <f aca="false">IF($D312="","",IFERROR(IF(INDEX(Hierarchy!$E$2:$E$1295,MATCH($D312,Hierarchy!$A$2:$A$1295,0))="","",INDEX(Hierarchy!$E$2:$E$1295,MATCH($D312,Hierarchy!$A$2:$A$1295,0))),"NODE NOT FOUND"))</f>
        <v/>
      </c>
      <c r="I312" s="7" t="str">
        <f aca="false">IF($D312="","",IFERROR(IF(INDEX(Hierarchy!$F$2:$F$1295,MATCH($D312,Hierarchy!$A$2:$A$1295,0))="","",INDEX(Hierarchy!$F$2:$F$1295,MATCH($D312,Hierarchy!$A$2:$A$1295,0))),"NODE NOT FOUND"))</f>
        <v/>
      </c>
      <c r="J312" s="7" t="str">
        <f aca="false">IF($D312="","",IFERROR(IF(INDEX(Hierarchy!$G$2:$G$1295,MATCH($D312,Hierarchy!$A$2:$A$1295,0))="","",INDEX(Hierarchy!$G$2:$G$1295,MATCH($D312,Hierarchy!$A$2:$A$1295,0))),"NODE NOT FOUND"))</f>
        <v/>
      </c>
      <c r="K312" s="7" t="str">
        <f aca="false">IF($D312="","",IFERROR(IF(INDEX(Hierarchy!$H$2:$H$1295,MATCH($D312,Hierarchy!$A$2:$A$1295,0))="","",INDEX(Hierarchy!$H$2:$H$1295,MATCH($D312,Hierarchy!$A$2:$A$1295,0))),"NODE NOT FOUND"))</f>
        <v/>
      </c>
      <c r="L312" s="7" t="str">
        <f aca="false">IF($D312="","",IFERROR(IF(INDEX(Hierarchy!$I$2:$I$1295,MATCH($D312,Hierarchy!$A$2:$A$1295,0))="","",INDEX(Hierarchy!$I$2:$I$1295,MATCH($D312,Hierarchy!$A$2:$A$1295,0))),"NODE NOT FOUND"))</f>
        <v/>
      </c>
      <c r="M312" s="17" t="str">
        <f aca="false">IF(B312="Pre-seeded","Pre-seeded",IF(B312="Review 2026-09-16","Added from review",IF(C312="","New",IF(C312=D312,"","Changed"))))</f>
        <v>Pre-seeded</v>
      </c>
      <c r="N312" s="7" t="str">
        <f aca="false">TRIM(SUBSTITUTE(SUBSTITUTE(SUBSTITUTE(" "&amp;TRIM(SUBSTITUTE(SUBSTITUTE(SUBSTITUTE(SUBSTITUTE(SUBSTITUTE(SUBSTITUTE(SUBSTITUTE(SUBSTITUTE(SUBSTITUTE(SUBSTITUTE(SUBSTITUTE(SUBSTITUTE(SUBSTITUTE(SUBSTITUTE(SUBSTITUTE(UPPER(TRIM(A312)),"[MEMBER]",""),"{MEMBER}",""),"[MEMBER}",""),"MEMBER]",""),"(A)",""),"""",""),"“",""),"”",""),".",""),":",""),",",""),"–"," "),"-"," "),"/"," "),"&amp;"," AND "))&amp;" "," THE "," ")," TOTAL "," ")," OPERATIONS "," "))</f>
        <v>CENTRAL EASTERN EUROPE MIDDLE EAST AND AFRICA</v>
      </c>
      <c r="O312" s="17" t="str">
        <f aca="false">IF(COUNTIFS($N$2:$N$2000,N312,$D$2:$D$2000,"&lt;&gt;"&amp;D312)&gt;0,"CONFLICT","")</f>
        <v/>
      </c>
      <c r="P312" s="7"/>
    </row>
    <row r="313" customFormat="false" ht="15" hidden="false" customHeight="false" outlineLevel="0" collapsed="false">
      <c r="A313" s="7" t="s">
        <v>638</v>
      </c>
      <c r="B313" s="7" t="s">
        <v>1879</v>
      </c>
      <c r="C313" s="7"/>
      <c r="D313" s="6" t="s">
        <v>638</v>
      </c>
      <c r="E313" s="6" t="s">
        <v>1880</v>
      </c>
      <c r="F313" s="7" t="str">
        <f aca="false">IF($D313="","",IFERROR(IF(INDEX(Hierarchy!$B$2:$B$1295,MATCH($D313,Hierarchy!$A$2:$A$1295,0))="","",INDEX(Hierarchy!$B$2:$B$1295,MATCH($D313,Hierarchy!$A$2:$A$1295,0))),"NODE NOT FOUND"))</f>
        <v>Sub-region component</v>
      </c>
      <c r="G313" s="7" t="str">
        <f aca="false">IF($D313="","",IFERROR(IF(INDEX(Hierarchy!$D$2:$D$1295,MATCH($D313,Hierarchy!$A$2:$A$1295,0))="","",INDEX(Hierarchy!$D$2:$D$1295,MATCH($D313,Hierarchy!$A$2:$A$1295,0))),"NODE NOT FOUND"))</f>
        <v>EMEA</v>
      </c>
      <c r="H313" s="7" t="str">
        <f aca="false">IF($D313="","",IFERROR(IF(INDEX(Hierarchy!$E$2:$E$1295,MATCH($D313,Hierarchy!$A$2:$A$1295,0))="","",INDEX(Hierarchy!$E$2:$E$1295,MATCH($D313,Hierarchy!$A$2:$A$1295,0))),"NODE NOT FOUND"))</f>
        <v>Europe</v>
      </c>
      <c r="I313" s="7" t="str">
        <f aca="false">IF($D313="","",IFERROR(IF(INDEX(Hierarchy!$F$2:$F$1295,MATCH($D313,Hierarchy!$A$2:$A$1295,0))="","",INDEX(Hierarchy!$F$2:$F$1295,MATCH($D313,Hierarchy!$A$2:$A$1295,0))),"NODE NOT FOUND"))</f>
        <v/>
      </c>
      <c r="J313" s="7" t="str">
        <f aca="false">IF($D313="","",IFERROR(IF(INDEX(Hierarchy!$G$2:$G$1295,MATCH($D313,Hierarchy!$A$2:$A$1295,0))="","",INDEX(Hierarchy!$G$2:$G$1295,MATCH($D313,Hierarchy!$A$2:$A$1295,0))),"NODE NOT FOUND"))</f>
        <v/>
      </c>
      <c r="K313" s="7" t="str">
        <f aca="false">IF($D313="","",IFERROR(IF(INDEX(Hierarchy!$H$2:$H$1295,MATCH($D313,Hierarchy!$A$2:$A$1295,0))="","",INDEX(Hierarchy!$H$2:$H$1295,MATCH($D313,Hierarchy!$A$2:$A$1295,0))),"NODE NOT FOUND"))</f>
        <v/>
      </c>
      <c r="L313" s="7" t="str">
        <f aca="false">IF($D313="","",IFERROR(IF(INDEX(Hierarchy!$I$2:$I$1295,MATCH($D313,Hierarchy!$A$2:$A$1295,0))="","",INDEX(Hierarchy!$I$2:$I$1295,MATCH($D313,Hierarchy!$A$2:$A$1295,0))),"NODE NOT FOUND"))</f>
        <v/>
      </c>
      <c r="M313" s="17" t="str">
        <f aca="false">IF(B313="Pre-seeded","Pre-seeded",IF(B313="Review 2026-09-16","Added from review",IF(C313="","New",IF(C313=D313,"","Changed"))))</f>
        <v>Pre-seeded</v>
      </c>
      <c r="N313" s="7" t="str">
        <f aca="false">TRIM(SUBSTITUTE(SUBSTITUTE(SUBSTITUTE(" "&amp;TRIM(SUBSTITUTE(SUBSTITUTE(SUBSTITUTE(SUBSTITUTE(SUBSTITUTE(SUBSTITUTE(SUBSTITUTE(SUBSTITUTE(SUBSTITUTE(SUBSTITUTE(SUBSTITUTE(SUBSTITUTE(SUBSTITUTE(SUBSTITUTE(SUBSTITUTE(UPPER(TRIM(A313)),"[MEMBER]",""),"{MEMBER}",""),"[MEMBER}",""),"MEMBER]",""),"(A)",""),"""",""),"“",""),"”",""),".",""),":",""),",",""),"–"," "),"-"," "),"/"," "),"&amp;"," AND "))&amp;" "," THE "," ")," TOTAL "," ")," OPERATIONS "," "))</f>
        <v>CENTRAL EUROPE</v>
      </c>
      <c r="O313" s="17" t="str">
        <f aca="false">IF(COUNTIFS($N$2:$N$2000,N313,$D$2:$D$2000,"&lt;&gt;"&amp;D313)&gt;0,"CONFLICT","")</f>
        <v/>
      </c>
      <c r="P313" s="7"/>
    </row>
    <row r="314" customFormat="false" ht="15" hidden="false" customHeight="false" outlineLevel="0" collapsed="false">
      <c r="A314" s="7" t="s">
        <v>1319</v>
      </c>
      <c r="B314" s="7" t="s">
        <v>1879</v>
      </c>
      <c r="C314" s="7"/>
      <c r="D314" s="6" t="s">
        <v>1319</v>
      </c>
      <c r="E314" s="6" t="s">
        <v>1880</v>
      </c>
      <c r="F314" s="7" t="str">
        <f aca="false">IF($D314="","",IFERROR(IF(INDEX(Hierarchy!$B$2:$B$1295,MATCH($D314,Hierarchy!$A$2:$A$1295,0))="","",INDEX(Hierarchy!$B$2:$B$1295,MATCH($D314,Hierarchy!$A$2:$A$1295,0))),"NODE NOT FOUND"))</f>
        <v>Sub-national region</v>
      </c>
      <c r="G314" s="7" t="str">
        <f aca="false">IF($D314="","",IFERROR(IF(INDEX(Hierarchy!$D$2:$D$1295,MATCH($D314,Hierarchy!$A$2:$A$1295,0))="","",INDEX(Hierarchy!$D$2:$D$1295,MATCH($D314,Hierarchy!$A$2:$A$1295,0))),"NODE NOT FOUND"))</f>
        <v>APAC</v>
      </c>
      <c r="H314" s="7" t="str">
        <f aca="false">IF($D314="","",IFERROR(IF(INDEX(Hierarchy!$E$2:$E$1295,MATCH($D314,Hierarchy!$A$2:$A$1295,0))="","",INDEX(Hierarchy!$E$2:$E$1295,MATCH($D314,Hierarchy!$A$2:$A$1295,0))),"NODE NOT FOUND"))</f>
        <v>South Asia</v>
      </c>
      <c r="I314" s="7" t="str">
        <f aca="false">IF($D314="","",IFERROR(IF(INDEX(Hierarchy!$F$2:$F$1295,MATCH($D314,Hierarchy!$A$2:$A$1295,0))="","",INDEX(Hierarchy!$F$2:$F$1295,MATCH($D314,Hierarchy!$A$2:$A$1295,0))),"NODE NOT FOUND"))</f>
        <v>India</v>
      </c>
      <c r="J314" s="7" t="str">
        <f aca="false">IF($D314="","",IFERROR(IF(INDEX(Hierarchy!$G$2:$G$1295,MATCH($D314,Hierarchy!$A$2:$A$1295,0))="","",INDEX(Hierarchy!$G$2:$G$1295,MATCH($D314,Hierarchy!$A$2:$A$1295,0))),"NODE NOT FOUND"))</f>
        <v>IND</v>
      </c>
      <c r="K314" s="7" t="str">
        <f aca="false">IF($D314="","",IFERROR(IF(INDEX(Hierarchy!$H$2:$H$1295,MATCH($D314,Hierarchy!$A$2:$A$1295,0))="","",INDEX(Hierarchy!$H$2:$H$1295,MATCH($D314,Hierarchy!$A$2:$A$1295,0))),"NODE NOT FOUND"))</f>
        <v/>
      </c>
      <c r="L314" s="7" t="str">
        <f aca="false">IF($D314="","",IFERROR(IF(INDEX(Hierarchy!$I$2:$I$1295,MATCH($D314,Hierarchy!$A$2:$A$1295,0))="","",INDEX(Hierarchy!$I$2:$I$1295,MATCH($D314,Hierarchy!$A$2:$A$1295,0))),"NODE NOT FOUND"))</f>
        <v/>
      </c>
      <c r="M314" s="17" t="str">
        <f aca="false">IF(B314="Pre-seeded","Pre-seeded",IF(B314="Review 2026-09-16","Added from review",IF(C314="","New",IF(C314=D314,"","Changed"))))</f>
        <v>Pre-seeded</v>
      </c>
      <c r="N314" s="7" t="str">
        <f aca="false">TRIM(SUBSTITUTE(SUBSTITUTE(SUBSTITUTE(" "&amp;TRIM(SUBSTITUTE(SUBSTITUTE(SUBSTITUTE(SUBSTITUTE(SUBSTITUTE(SUBSTITUTE(SUBSTITUTE(SUBSTITUTE(SUBSTITUTE(SUBSTITUTE(SUBSTITUTE(SUBSTITUTE(SUBSTITUTE(SUBSTITUTE(SUBSTITUTE(UPPER(TRIM(A314)),"[MEMBER]",""),"{MEMBER}",""),"[MEMBER}",""),"MEMBER]",""),"(A)",""),"""",""),"“",""),"”",""),".",""),":",""),",",""),"–"," "),"-"," "),"/"," "),"&amp;"," AND "))&amp;" "," THE "," ")," TOTAL "," ")," OPERATIONS "," "))</f>
        <v>CENTRAL INDIA</v>
      </c>
      <c r="O314" s="17" t="str">
        <f aca="false">IF(COUNTIFS($N$2:$N$2000,N314,$D$2:$D$2000,"&lt;&gt;"&amp;D314)&gt;0,"CONFLICT","")</f>
        <v/>
      </c>
      <c r="P314" s="7"/>
    </row>
    <row r="315" customFormat="false" ht="15" hidden="false" customHeight="false" outlineLevel="0" collapsed="false">
      <c r="A315" s="7" t="s">
        <v>1596</v>
      </c>
      <c r="B315" s="7" t="s">
        <v>1879</v>
      </c>
      <c r="C315" s="7"/>
      <c r="D315" s="6" t="s">
        <v>1596</v>
      </c>
      <c r="E315" s="6" t="s">
        <v>1880</v>
      </c>
      <c r="F315" s="7" t="str">
        <f aca="false">IF($D315="","",IFERROR(IF(INDEX(Hierarchy!$B$2:$B$1295,MATCH($D315,Hierarchy!$A$2:$A$1295,0))="","",INDEX(Hierarchy!$B$2:$B$1295,MATCH($D315,Hierarchy!$A$2:$A$1295,0))),"NODE NOT FOUND"))</f>
        <v>State/Province</v>
      </c>
      <c r="G315" s="7" t="str">
        <f aca="false">IF($D315="","",IFERROR(IF(INDEX(Hierarchy!$D$2:$D$1295,MATCH($D315,Hierarchy!$A$2:$A$1295,0))="","",INDEX(Hierarchy!$D$2:$D$1295,MATCH($D315,Hierarchy!$A$2:$A$1295,0))),"NODE NOT FOUND"))</f>
        <v>APAC</v>
      </c>
      <c r="H315" s="7" t="str">
        <f aca="false">IF($D315="","",IFERROR(IF(INDEX(Hierarchy!$E$2:$E$1295,MATCH($D315,Hierarchy!$A$2:$A$1295,0))="","",INDEX(Hierarchy!$E$2:$E$1295,MATCH($D315,Hierarchy!$A$2:$A$1295,0))),"NODE NOT FOUND"))</f>
        <v>Southeast Asia (ASEAN)</v>
      </c>
      <c r="I315" s="7" t="str">
        <f aca="false">IF($D315="","",IFERROR(IF(INDEX(Hierarchy!$F$2:$F$1295,MATCH($D315,Hierarchy!$A$2:$A$1295,0))="","",INDEX(Hierarchy!$F$2:$F$1295,MATCH($D315,Hierarchy!$A$2:$A$1295,0))),"NODE NOT FOUND"))</f>
        <v>Indonesia</v>
      </c>
      <c r="J315" s="7" t="str">
        <f aca="false">IF($D315="","",IFERROR(IF(INDEX(Hierarchy!$G$2:$G$1295,MATCH($D315,Hierarchy!$A$2:$A$1295,0))="","",INDEX(Hierarchy!$G$2:$G$1295,MATCH($D315,Hierarchy!$A$2:$A$1295,0))),"NODE NOT FOUND"))</f>
        <v>IDN</v>
      </c>
      <c r="K315" s="7" t="str">
        <f aca="false">IF($D315="","",IFERROR(IF(INDEX(Hierarchy!$H$2:$H$1295,MATCH($D315,Hierarchy!$A$2:$A$1295,0))="","",INDEX(Hierarchy!$H$2:$H$1295,MATCH($D315,Hierarchy!$A$2:$A$1295,0))),"NODE NOT FOUND"))</f>
        <v>Central Java</v>
      </c>
      <c r="L315" s="7" t="str">
        <f aca="false">IF($D315="","",IFERROR(IF(INDEX(Hierarchy!$I$2:$I$1295,MATCH($D315,Hierarchy!$A$2:$A$1295,0))="","",INDEX(Hierarchy!$I$2:$I$1295,MATCH($D315,Hierarchy!$A$2:$A$1295,0))),"NODE NOT FOUND"))</f>
        <v/>
      </c>
      <c r="M315" s="17" t="str">
        <f aca="false">IF(B315="Pre-seeded","Pre-seeded",IF(B315="Review 2026-09-16","Added from review",IF(C315="","New",IF(C315=D315,"","Changed"))))</f>
        <v>Pre-seeded</v>
      </c>
      <c r="N315" s="7" t="str">
        <f aca="false">TRIM(SUBSTITUTE(SUBSTITUTE(SUBSTITUTE(" "&amp;TRIM(SUBSTITUTE(SUBSTITUTE(SUBSTITUTE(SUBSTITUTE(SUBSTITUTE(SUBSTITUTE(SUBSTITUTE(SUBSTITUTE(SUBSTITUTE(SUBSTITUTE(SUBSTITUTE(SUBSTITUTE(SUBSTITUTE(SUBSTITUTE(SUBSTITUTE(UPPER(TRIM(A315)),"[MEMBER]",""),"{MEMBER}",""),"[MEMBER}",""),"MEMBER]",""),"(A)",""),"""",""),"“",""),"”",""),".",""),":",""),",",""),"–"," "),"-"," "),"/"," "),"&amp;"," AND "))&amp;" "," THE "," ")," TOTAL "," ")," OPERATIONS "," "))</f>
        <v>CENTRAL JAVA</v>
      </c>
      <c r="O315" s="17" t="str">
        <f aca="false">IF(COUNTIFS($N$2:$N$2000,N315,$D$2:$D$2000,"&lt;&gt;"&amp;D315)&gt;0,"CONFLICT","")</f>
        <v/>
      </c>
      <c r="P315" s="7"/>
    </row>
    <row r="316" customFormat="false" ht="15" hidden="false" customHeight="false" outlineLevel="0" collapsed="false">
      <c r="A316" s="7" t="s">
        <v>1597</v>
      </c>
      <c r="B316" s="7" t="s">
        <v>1879</v>
      </c>
      <c r="C316" s="7"/>
      <c r="D316" s="6" t="s">
        <v>1597</v>
      </c>
      <c r="E316" s="6" t="s">
        <v>1880</v>
      </c>
      <c r="F316" s="7" t="str">
        <f aca="false">IF($D316="","",IFERROR(IF(INDEX(Hierarchy!$B$2:$B$1295,MATCH($D316,Hierarchy!$A$2:$A$1295,0))="","",INDEX(Hierarchy!$B$2:$B$1295,MATCH($D316,Hierarchy!$A$2:$A$1295,0))),"NODE NOT FOUND"))</f>
        <v>State/Province</v>
      </c>
      <c r="G316" s="7" t="str">
        <f aca="false">IF($D316="","",IFERROR(IF(INDEX(Hierarchy!$D$2:$D$1295,MATCH($D316,Hierarchy!$A$2:$A$1295,0))="","",INDEX(Hierarchy!$D$2:$D$1295,MATCH($D316,Hierarchy!$A$2:$A$1295,0))),"NODE NOT FOUND"))</f>
        <v>APAC</v>
      </c>
      <c r="H316" s="7" t="str">
        <f aca="false">IF($D316="","",IFERROR(IF(INDEX(Hierarchy!$E$2:$E$1295,MATCH($D316,Hierarchy!$A$2:$A$1295,0))="","",INDEX(Hierarchy!$E$2:$E$1295,MATCH($D316,Hierarchy!$A$2:$A$1295,0))),"NODE NOT FOUND"))</f>
        <v>Southeast Asia (ASEAN)</v>
      </c>
      <c r="I316" s="7" t="str">
        <f aca="false">IF($D316="","",IFERROR(IF(INDEX(Hierarchy!$F$2:$F$1295,MATCH($D316,Hierarchy!$A$2:$A$1295,0))="","",INDEX(Hierarchy!$F$2:$F$1295,MATCH($D316,Hierarchy!$A$2:$A$1295,0))),"NODE NOT FOUND"))</f>
        <v>Indonesia</v>
      </c>
      <c r="J316" s="7" t="str">
        <f aca="false">IF($D316="","",IFERROR(IF(INDEX(Hierarchy!$G$2:$G$1295,MATCH($D316,Hierarchy!$A$2:$A$1295,0))="","",INDEX(Hierarchy!$G$2:$G$1295,MATCH($D316,Hierarchy!$A$2:$A$1295,0))),"NODE NOT FOUND"))</f>
        <v>IDN</v>
      </c>
      <c r="K316" s="7" t="str">
        <f aca="false">IF($D316="","",IFERROR(IF(INDEX(Hierarchy!$H$2:$H$1295,MATCH($D316,Hierarchy!$A$2:$A$1295,0))="","",INDEX(Hierarchy!$H$2:$H$1295,MATCH($D316,Hierarchy!$A$2:$A$1295,0))),"NODE NOT FOUND"))</f>
        <v>Central Kalimantan</v>
      </c>
      <c r="L316" s="7" t="str">
        <f aca="false">IF($D316="","",IFERROR(IF(INDEX(Hierarchy!$I$2:$I$1295,MATCH($D316,Hierarchy!$A$2:$A$1295,0))="","",INDEX(Hierarchy!$I$2:$I$1295,MATCH($D316,Hierarchy!$A$2:$A$1295,0))),"NODE NOT FOUND"))</f>
        <v/>
      </c>
      <c r="M316" s="17" t="str">
        <f aca="false">IF(B316="Pre-seeded","Pre-seeded",IF(B316="Review 2026-09-16","Added from review",IF(C316="","New",IF(C316=D316,"","Changed"))))</f>
        <v>Pre-seeded</v>
      </c>
      <c r="N316" s="7" t="str">
        <f aca="false">TRIM(SUBSTITUTE(SUBSTITUTE(SUBSTITUTE(" "&amp;TRIM(SUBSTITUTE(SUBSTITUTE(SUBSTITUTE(SUBSTITUTE(SUBSTITUTE(SUBSTITUTE(SUBSTITUTE(SUBSTITUTE(SUBSTITUTE(SUBSTITUTE(SUBSTITUTE(SUBSTITUTE(SUBSTITUTE(SUBSTITUTE(SUBSTITUTE(UPPER(TRIM(A316)),"[MEMBER]",""),"{MEMBER}",""),"[MEMBER}",""),"MEMBER]",""),"(A)",""),"""",""),"“",""),"”",""),".",""),":",""),",",""),"–"," "),"-"," "),"/"," "),"&amp;"," AND "))&amp;" "," THE "," ")," TOTAL "," ")," OPERATIONS "," "))</f>
        <v>CENTRAL KALIMANTAN</v>
      </c>
      <c r="O316" s="17" t="str">
        <f aca="false">IF(COUNTIFS($N$2:$N$2000,N316,$D$2:$D$2000,"&lt;&gt;"&amp;D316)&gt;0,"CONFLICT","")</f>
        <v/>
      </c>
      <c r="P316" s="7"/>
    </row>
    <row r="317" customFormat="false" ht="15" hidden="false" customHeight="false" outlineLevel="0" collapsed="false">
      <c r="A317" s="7" t="s">
        <v>1668</v>
      </c>
      <c r="B317" s="7" t="s">
        <v>1879</v>
      </c>
      <c r="C317" s="7"/>
      <c r="D317" s="6" t="s">
        <v>1668</v>
      </c>
      <c r="E317" s="6" t="s">
        <v>1880</v>
      </c>
      <c r="F317" s="7" t="str">
        <f aca="false">IF($D317="","",IFERROR(IF(INDEX(Hierarchy!$B$2:$B$1295,MATCH($D317,Hierarchy!$A$2:$A$1295,0))="","",INDEX(Hierarchy!$B$2:$B$1295,MATCH($D317,Hierarchy!$A$2:$A$1295,0))),"NODE NOT FOUND"))</f>
        <v>State/Province</v>
      </c>
      <c r="G317" s="7" t="str">
        <f aca="false">IF($D317="","",IFERROR(IF(INDEX(Hierarchy!$D$2:$D$1295,MATCH($D317,Hierarchy!$A$2:$A$1295,0))="","",INDEX(Hierarchy!$D$2:$D$1295,MATCH($D317,Hierarchy!$A$2:$A$1295,0))),"NODE NOT FOUND"))</f>
        <v>APAC</v>
      </c>
      <c r="H317" s="7" t="str">
        <f aca="false">IF($D317="","",IFERROR(IF(INDEX(Hierarchy!$E$2:$E$1295,MATCH($D317,Hierarchy!$A$2:$A$1295,0))="","",INDEX(Hierarchy!$E$2:$E$1295,MATCH($D317,Hierarchy!$A$2:$A$1295,0))),"NODE NOT FOUND"))</f>
        <v>Southeast Asia (ASEAN)</v>
      </c>
      <c r="I317" s="7" t="str">
        <f aca="false">IF($D317="","",IFERROR(IF(INDEX(Hierarchy!$F$2:$F$1295,MATCH($D317,Hierarchy!$A$2:$A$1295,0))="","",INDEX(Hierarchy!$F$2:$F$1295,MATCH($D317,Hierarchy!$A$2:$A$1295,0))),"NODE NOT FOUND"))</f>
        <v>Philippines</v>
      </c>
      <c r="J317" s="7" t="str">
        <f aca="false">IF($D317="","",IFERROR(IF(INDEX(Hierarchy!$G$2:$G$1295,MATCH($D317,Hierarchy!$A$2:$A$1295,0))="","",INDEX(Hierarchy!$G$2:$G$1295,MATCH($D317,Hierarchy!$A$2:$A$1295,0))),"NODE NOT FOUND"))</f>
        <v>PHL</v>
      </c>
      <c r="K317" s="7" t="str">
        <f aca="false">IF($D317="","",IFERROR(IF(INDEX(Hierarchy!$H$2:$H$1295,MATCH($D317,Hierarchy!$A$2:$A$1295,0))="","",INDEX(Hierarchy!$H$2:$H$1295,MATCH($D317,Hierarchy!$A$2:$A$1295,0))),"NODE NOT FOUND"))</f>
        <v>Central Luzon</v>
      </c>
      <c r="L317" s="7" t="str">
        <f aca="false">IF($D317="","",IFERROR(IF(INDEX(Hierarchy!$I$2:$I$1295,MATCH($D317,Hierarchy!$A$2:$A$1295,0))="","",INDEX(Hierarchy!$I$2:$I$1295,MATCH($D317,Hierarchy!$A$2:$A$1295,0))),"NODE NOT FOUND"))</f>
        <v/>
      </c>
      <c r="M317" s="17" t="str">
        <f aca="false">IF(B317="Pre-seeded","Pre-seeded",IF(B317="Review 2026-09-16","Added from review",IF(C317="","New",IF(C317=D317,"","Changed"))))</f>
        <v>Pre-seeded</v>
      </c>
      <c r="N317" s="7" t="str">
        <f aca="false">TRIM(SUBSTITUTE(SUBSTITUTE(SUBSTITUTE(" "&amp;TRIM(SUBSTITUTE(SUBSTITUTE(SUBSTITUTE(SUBSTITUTE(SUBSTITUTE(SUBSTITUTE(SUBSTITUTE(SUBSTITUTE(SUBSTITUTE(SUBSTITUTE(SUBSTITUTE(SUBSTITUTE(SUBSTITUTE(SUBSTITUTE(SUBSTITUTE(UPPER(TRIM(A317)),"[MEMBER]",""),"{MEMBER}",""),"[MEMBER}",""),"MEMBER]",""),"(A)",""),"""",""),"“",""),"”",""),".",""),":",""),",",""),"–"," "),"-"," "),"/"," "),"&amp;"," AND "))&amp;" "," THE "," ")," TOTAL "," ")," OPERATIONS "," "))</f>
        <v>CENTRAL LUZON</v>
      </c>
      <c r="O317" s="17" t="str">
        <f aca="false">IF(COUNTIFS($N$2:$N$2000,N317,$D$2:$D$2000,"&lt;&gt;"&amp;D317)&gt;0,"CONFLICT","")</f>
        <v/>
      </c>
      <c r="P317" s="7"/>
    </row>
    <row r="318" customFormat="false" ht="15" hidden="false" customHeight="false" outlineLevel="0" collapsed="false">
      <c r="A318" s="7" t="s">
        <v>380</v>
      </c>
      <c r="B318" s="7" t="s">
        <v>1879</v>
      </c>
      <c r="C318" s="7"/>
      <c r="D318" s="6" t="s">
        <v>380</v>
      </c>
      <c r="E318" s="6" t="s">
        <v>1880</v>
      </c>
      <c r="F318" s="7" t="str">
        <f aca="false">IF($D318="","",IFERROR(IF(INDEX(Hierarchy!$B$2:$B$1295,MATCH($D318,Hierarchy!$A$2:$A$1295,0))="","",INDEX(Hierarchy!$B$2:$B$1295,MATCH($D318,Hierarchy!$A$2:$A$1295,0))),"NODE NOT FOUND"))</f>
        <v>Sub-national region</v>
      </c>
      <c r="G318" s="7" t="str">
        <f aca="false">IF($D318="","",IFERROR(IF(INDEX(Hierarchy!$D$2:$D$1295,MATCH($D318,Hierarchy!$A$2:$A$1295,0))="","",INDEX(Hierarchy!$D$2:$D$1295,MATCH($D318,Hierarchy!$A$2:$A$1295,0))),"NODE NOT FOUND"))</f>
        <v>AMER</v>
      </c>
      <c r="H318" s="7" t="str">
        <f aca="false">IF($D318="","",IFERROR(IF(INDEX(Hierarchy!$E$2:$E$1295,MATCH($D318,Hierarchy!$A$2:$A$1295,0))="","",INDEX(Hierarchy!$E$2:$E$1295,MATCH($D318,Hierarchy!$A$2:$A$1295,0))),"NODE NOT FOUND"))</f>
        <v>Latin America (LATAM)</v>
      </c>
      <c r="I318" s="7" t="str">
        <f aca="false">IF($D318="","",IFERROR(IF(INDEX(Hierarchy!$F$2:$F$1295,MATCH($D318,Hierarchy!$A$2:$A$1295,0))="","",INDEX(Hierarchy!$F$2:$F$1295,MATCH($D318,Hierarchy!$A$2:$A$1295,0))),"NODE NOT FOUND"))</f>
        <v>Mexico</v>
      </c>
      <c r="J318" s="7" t="str">
        <f aca="false">IF($D318="","",IFERROR(IF(INDEX(Hierarchy!$G$2:$G$1295,MATCH($D318,Hierarchy!$A$2:$A$1295,0))="","",INDEX(Hierarchy!$G$2:$G$1295,MATCH($D318,Hierarchy!$A$2:$A$1295,0))),"NODE NOT FOUND"))</f>
        <v>MEX</v>
      </c>
      <c r="K318" s="7" t="str">
        <f aca="false">IF($D318="","",IFERROR(IF(INDEX(Hierarchy!$H$2:$H$1295,MATCH($D318,Hierarchy!$A$2:$A$1295,0))="","",INDEX(Hierarchy!$H$2:$H$1295,MATCH($D318,Hierarchy!$A$2:$A$1295,0))),"NODE NOT FOUND"))</f>
        <v/>
      </c>
      <c r="L318" s="7" t="str">
        <f aca="false">IF($D318="","",IFERROR(IF(INDEX(Hierarchy!$I$2:$I$1295,MATCH($D318,Hierarchy!$A$2:$A$1295,0))="","",INDEX(Hierarchy!$I$2:$I$1295,MATCH($D318,Hierarchy!$A$2:$A$1295,0))),"NODE NOT FOUND"))</f>
        <v/>
      </c>
      <c r="M318" s="17" t="str">
        <f aca="false">IF(B318="Pre-seeded","Pre-seeded",IF(B318="Review 2026-09-16","Added from review",IF(C318="","New",IF(C318=D318,"","Changed"))))</f>
        <v>Pre-seeded</v>
      </c>
      <c r="N318" s="7" t="str">
        <f aca="false">TRIM(SUBSTITUTE(SUBSTITUTE(SUBSTITUTE(" "&amp;TRIM(SUBSTITUTE(SUBSTITUTE(SUBSTITUTE(SUBSTITUTE(SUBSTITUTE(SUBSTITUTE(SUBSTITUTE(SUBSTITUTE(SUBSTITUTE(SUBSTITUTE(SUBSTITUTE(SUBSTITUTE(SUBSTITUTE(SUBSTITUTE(SUBSTITUTE(UPPER(TRIM(A318)),"[MEMBER]",""),"{MEMBER}",""),"[MEMBER}",""),"MEMBER]",""),"(A)",""),"""",""),"“",""),"”",""),".",""),":",""),",",""),"–"," "),"-"," "),"/"," "),"&amp;"," AND "))&amp;" "," THE "," ")," TOTAL "," ")," OPERATIONS "," "))</f>
        <v>CENTRAL MEXICO</v>
      </c>
      <c r="O318" s="17" t="str">
        <f aca="false">IF(COUNTIFS($N$2:$N$2000,N318,$D$2:$D$2000,"&lt;&gt;"&amp;D318)&gt;0,"CONFLICT","")</f>
        <v/>
      </c>
      <c r="P318" s="7"/>
    </row>
    <row r="319" customFormat="false" ht="15" hidden="false" customHeight="false" outlineLevel="0" collapsed="false">
      <c r="A319" s="7" t="s">
        <v>1598</v>
      </c>
      <c r="B319" s="7" t="s">
        <v>1879</v>
      </c>
      <c r="C319" s="7"/>
      <c r="D319" s="6" t="s">
        <v>1598</v>
      </c>
      <c r="E319" s="6" t="s">
        <v>1880</v>
      </c>
      <c r="F319" s="7" t="str">
        <f aca="false">IF($D319="","",IFERROR(IF(INDEX(Hierarchy!$B$2:$B$1295,MATCH($D319,Hierarchy!$A$2:$A$1295,0))="","",INDEX(Hierarchy!$B$2:$B$1295,MATCH($D319,Hierarchy!$A$2:$A$1295,0))),"NODE NOT FOUND"))</f>
        <v>State/Province</v>
      </c>
      <c r="G319" s="7" t="str">
        <f aca="false">IF($D319="","",IFERROR(IF(INDEX(Hierarchy!$D$2:$D$1295,MATCH($D319,Hierarchy!$A$2:$A$1295,0))="","",INDEX(Hierarchy!$D$2:$D$1295,MATCH($D319,Hierarchy!$A$2:$A$1295,0))),"NODE NOT FOUND"))</f>
        <v>APAC</v>
      </c>
      <c r="H319" s="7" t="str">
        <f aca="false">IF($D319="","",IFERROR(IF(INDEX(Hierarchy!$E$2:$E$1295,MATCH($D319,Hierarchy!$A$2:$A$1295,0))="","",INDEX(Hierarchy!$E$2:$E$1295,MATCH($D319,Hierarchy!$A$2:$A$1295,0))),"NODE NOT FOUND"))</f>
        <v>Southeast Asia (ASEAN)</v>
      </c>
      <c r="I319" s="7" t="str">
        <f aca="false">IF($D319="","",IFERROR(IF(INDEX(Hierarchy!$F$2:$F$1295,MATCH($D319,Hierarchy!$A$2:$A$1295,0))="","",INDEX(Hierarchy!$F$2:$F$1295,MATCH($D319,Hierarchy!$A$2:$A$1295,0))),"NODE NOT FOUND"))</f>
        <v>Indonesia</v>
      </c>
      <c r="J319" s="7" t="str">
        <f aca="false">IF($D319="","",IFERROR(IF(INDEX(Hierarchy!$G$2:$G$1295,MATCH($D319,Hierarchy!$A$2:$A$1295,0))="","",INDEX(Hierarchy!$G$2:$G$1295,MATCH($D319,Hierarchy!$A$2:$A$1295,0))),"NODE NOT FOUND"))</f>
        <v>IDN</v>
      </c>
      <c r="K319" s="7" t="str">
        <f aca="false">IF($D319="","",IFERROR(IF(INDEX(Hierarchy!$H$2:$H$1295,MATCH($D319,Hierarchy!$A$2:$A$1295,0))="","",INDEX(Hierarchy!$H$2:$H$1295,MATCH($D319,Hierarchy!$A$2:$A$1295,0))),"NODE NOT FOUND"))</f>
        <v>Central Papua</v>
      </c>
      <c r="L319" s="7" t="str">
        <f aca="false">IF($D319="","",IFERROR(IF(INDEX(Hierarchy!$I$2:$I$1295,MATCH($D319,Hierarchy!$A$2:$A$1295,0))="","",INDEX(Hierarchy!$I$2:$I$1295,MATCH($D319,Hierarchy!$A$2:$A$1295,0))),"NODE NOT FOUND"))</f>
        <v/>
      </c>
      <c r="M319" s="17" t="str">
        <f aca="false">IF(B319="Pre-seeded","Pre-seeded",IF(B319="Review 2026-09-16","Added from review",IF(C319="","New",IF(C319=D319,"","Changed"))))</f>
        <v>Pre-seeded</v>
      </c>
      <c r="N319" s="7" t="str">
        <f aca="false">TRIM(SUBSTITUTE(SUBSTITUTE(SUBSTITUTE(" "&amp;TRIM(SUBSTITUTE(SUBSTITUTE(SUBSTITUTE(SUBSTITUTE(SUBSTITUTE(SUBSTITUTE(SUBSTITUTE(SUBSTITUTE(SUBSTITUTE(SUBSTITUTE(SUBSTITUTE(SUBSTITUTE(SUBSTITUTE(SUBSTITUTE(SUBSTITUTE(UPPER(TRIM(A319)),"[MEMBER]",""),"{MEMBER}",""),"[MEMBER}",""),"MEMBER]",""),"(A)",""),"""",""),"“",""),"”",""),".",""),":",""),",",""),"–"," "),"-"," "),"/"," "),"&amp;"," AND "))&amp;" "," THE "," ")," TOTAL "," ")," OPERATIONS "," "))</f>
        <v>CENTRAL PAPUA</v>
      </c>
      <c r="O319" s="17" t="str">
        <f aca="false">IF(COUNTIFS($N$2:$N$2000,N319,$D$2:$D$2000,"&lt;&gt;"&amp;D319)&gt;0,"CONFLICT","")</f>
        <v/>
      </c>
      <c r="P319" s="7"/>
    </row>
    <row r="320" customFormat="false" ht="15" hidden="false" customHeight="false" outlineLevel="0" collapsed="false">
      <c r="A320" s="7" t="s">
        <v>1409</v>
      </c>
      <c r="B320" s="7" t="s">
        <v>1879</v>
      </c>
      <c r="C320" s="7"/>
      <c r="D320" s="6" t="s">
        <v>1409</v>
      </c>
      <c r="E320" s="6" t="s">
        <v>1880</v>
      </c>
      <c r="F320" s="7" t="str">
        <f aca="false">IF($D320="","",IFERROR(IF(INDEX(Hierarchy!$B$2:$B$1295,MATCH($D320,Hierarchy!$A$2:$A$1295,0))="","",INDEX(Hierarchy!$B$2:$B$1295,MATCH($D320,Hierarchy!$A$2:$A$1295,0))),"NODE NOT FOUND"))</f>
        <v>State/Province</v>
      </c>
      <c r="G320" s="7" t="str">
        <f aca="false">IF($D320="","",IFERROR(IF(INDEX(Hierarchy!$D$2:$D$1295,MATCH($D320,Hierarchy!$A$2:$A$1295,0))="","",INDEX(Hierarchy!$D$2:$D$1295,MATCH($D320,Hierarchy!$A$2:$A$1295,0))),"NODE NOT FOUND"))</f>
        <v>APAC</v>
      </c>
      <c r="H320" s="7" t="str">
        <f aca="false">IF($D320="","",IFERROR(IF(INDEX(Hierarchy!$E$2:$E$1295,MATCH($D320,Hierarchy!$A$2:$A$1295,0))="","",INDEX(Hierarchy!$E$2:$E$1295,MATCH($D320,Hierarchy!$A$2:$A$1295,0))),"NODE NOT FOUND"))</f>
        <v>South Asia</v>
      </c>
      <c r="I320" s="7" t="str">
        <f aca="false">IF($D320="","",IFERROR(IF(INDEX(Hierarchy!$F$2:$F$1295,MATCH($D320,Hierarchy!$A$2:$A$1295,0))="","",INDEX(Hierarchy!$F$2:$F$1295,MATCH($D320,Hierarchy!$A$2:$A$1295,0))),"NODE NOT FOUND"))</f>
        <v>Sri Lanka</v>
      </c>
      <c r="J320" s="7" t="str">
        <f aca="false">IF($D320="","",IFERROR(IF(INDEX(Hierarchy!$G$2:$G$1295,MATCH($D320,Hierarchy!$A$2:$A$1295,0))="","",INDEX(Hierarchy!$G$2:$G$1295,MATCH($D320,Hierarchy!$A$2:$A$1295,0))),"NODE NOT FOUND"))</f>
        <v>LKA</v>
      </c>
      <c r="K320" s="7" t="str">
        <f aca="false">IF($D320="","",IFERROR(IF(INDEX(Hierarchy!$H$2:$H$1295,MATCH($D320,Hierarchy!$A$2:$A$1295,0))="","",INDEX(Hierarchy!$H$2:$H$1295,MATCH($D320,Hierarchy!$A$2:$A$1295,0))),"NODE NOT FOUND"))</f>
        <v>Central Province (Sri Lanka)</v>
      </c>
      <c r="L320" s="7" t="str">
        <f aca="false">IF($D320="","",IFERROR(IF(INDEX(Hierarchy!$I$2:$I$1295,MATCH($D320,Hierarchy!$A$2:$A$1295,0))="","",INDEX(Hierarchy!$I$2:$I$1295,MATCH($D320,Hierarchy!$A$2:$A$1295,0))),"NODE NOT FOUND"))</f>
        <v/>
      </c>
      <c r="M320" s="17" t="str">
        <f aca="false">IF(B320="Pre-seeded","Pre-seeded",IF(B320="Review 2026-09-16","Added from review",IF(C320="","New",IF(C320=D320,"","Changed"))))</f>
        <v>Pre-seeded</v>
      </c>
      <c r="N320" s="7" t="str">
        <f aca="false">TRIM(SUBSTITUTE(SUBSTITUTE(SUBSTITUTE(" "&amp;TRIM(SUBSTITUTE(SUBSTITUTE(SUBSTITUTE(SUBSTITUTE(SUBSTITUTE(SUBSTITUTE(SUBSTITUTE(SUBSTITUTE(SUBSTITUTE(SUBSTITUTE(SUBSTITUTE(SUBSTITUTE(SUBSTITUTE(SUBSTITUTE(SUBSTITUTE(UPPER(TRIM(A320)),"[MEMBER]",""),"{MEMBER}",""),"[MEMBER}",""),"MEMBER]",""),"(A)",""),"""",""),"“",""),"”",""),".",""),":",""),",",""),"–"," "),"-"," "),"/"," "),"&amp;"," AND "))&amp;" "," THE "," ")," TOTAL "," ")," OPERATIONS "," "))</f>
        <v>CENTRAL PROVINCE (SRI LANKA)</v>
      </c>
      <c r="O320" s="17" t="str">
        <f aca="false">IF(COUNTIFS($N$2:$N$2000,N320,$D$2:$D$2000,"&lt;&gt;"&amp;D320)&gt;0,"CONFLICT","")</f>
        <v/>
      </c>
      <c r="P320" s="7"/>
    </row>
    <row r="321" customFormat="false" ht="15" hidden="false" customHeight="false" outlineLevel="0" collapsed="false">
      <c r="A321" s="7" t="s">
        <v>2047</v>
      </c>
      <c r="B321" s="7" t="s">
        <v>1882</v>
      </c>
      <c r="C321" s="7" t="s">
        <v>2034</v>
      </c>
      <c r="D321" s="6" t="s">
        <v>91</v>
      </c>
      <c r="E321" s="6" t="s">
        <v>1880</v>
      </c>
      <c r="F321" s="7" t="str">
        <f aca="false">IF($D321="","",IFERROR(IF(INDEX(Hierarchy!$B$2:$B$1295,MATCH($D321,Hierarchy!$A$2:$A$1295,0))="","",INDEX(Hierarchy!$B$2:$B$1295,MATCH($D321,Hierarchy!$A$2:$A$1295,0))),"NODE NOT FOUND"))</f>
        <v>Sub-national region</v>
      </c>
      <c r="G321" s="7" t="str">
        <f aca="false">IF($D321="","",IFERROR(IF(INDEX(Hierarchy!$D$2:$D$1295,MATCH($D321,Hierarchy!$A$2:$A$1295,0))="","",INDEX(Hierarchy!$D$2:$D$1295,MATCH($D321,Hierarchy!$A$2:$A$1295,0))),"NODE NOT FOUND"))</f>
        <v>AMER</v>
      </c>
      <c r="H321" s="7" t="str">
        <f aca="false">IF($D321="","",IFERROR(IF(INDEX(Hierarchy!$E$2:$E$1295,MATCH($D321,Hierarchy!$A$2:$A$1295,0))="","",INDEX(Hierarchy!$E$2:$E$1295,MATCH($D321,Hierarchy!$A$2:$A$1295,0))),"NODE NOT FOUND"))</f>
        <v>North America (NORAM)</v>
      </c>
      <c r="I321" s="7" t="str">
        <f aca="false">IF($D321="","",IFERROR(IF(INDEX(Hierarchy!$F$2:$F$1295,MATCH($D321,Hierarchy!$A$2:$A$1295,0))="","",INDEX(Hierarchy!$F$2:$F$1295,MATCH($D321,Hierarchy!$A$2:$A$1295,0))),"NODE NOT FOUND"))</f>
        <v>United States</v>
      </c>
      <c r="J321" s="7" t="str">
        <f aca="false">IF($D321="","",IFERROR(IF(INDEX(Hierarchy!$G$2:$G$1295,MATCH($D321,Hierarchy!$A$2:$A$1295,0))="","",INDEX(Hierarchy!$G$2:$G$1295,MATCH($D321,Hierarchy!$A$2:$A$1295,0))),"NODE NOT FOUND"))</f>
        <v>USA</v>
      </c>
      <c r="K321" s="7" t="str">
        <f aca="false">IF($D321="","",IFERROR(IF(INDEX(Hierarchy!$H$2:$H$1295,MATCH($D321,Hierarchy!$A$2:$A$1295,0))="","",INDEX(Hierarchy!$H$2:$H$1295,MATCH($D321,Hierarchy!$A$2:$A$1295,0))),"NODE NOT FOUND"))</f>
        <v/>
      </c>
      <c r="L321" s="7" t="str">
        <f aca="false">IF($D321="","",IFERROR(IF(INDEX(Hierarchy!$I$2:$I$1295,MATCH($D321,Hierarchy!$A$2:$A$1295,0))="","",INDEX(Hierarchy!$I$2:$I$1295,MATCH($D321,Hierarchy!$A$2:$A$1295,0))),"NODE NOT FOUND"))</f>
        <v/>
      </c>
      <c r="M321" s="17" t="str">
        <f aca="false">IF(B321="Pre-seeded","Pre-seeded",IF(B321="Review 2026-09-16","Added from review",IF(C321="","New",IF(C321=D321,"","Changed"))))</f>
        <v>Changed</v>
      </c>
      <c r="N321" s="7" t="str">
        <f aca="false">TRIM(SUBSTITUTE(SUBSTITUTE(SUBSTITUTE(" "&amp;TRIM(SUBSTITUTE(SUBSTITUTE(SUBSTITUTE(SUBSTITUTE(SUBSTITUTE(SUBSTITUTE(SUBSTITUTE(SUBSTITUTE(SUBSTITUTE(SUBSTITUTE(SUBSTITUTE(SUBSTITUTE(SUBSTITUTE(SUBSTITUTE(SUBSTITUTE(UPPER(TRIM(A321)),"[MEMBER]",""),"{MEMBER}",""),"[MEMBER}",""),"MEMBER]",""),"(A)",""),"""",""),"“",""),"”",""),".",""),":",""),",",""),"–"," "),"-"," "),"/"," "),"&amp;"," AND "))&amp;" "," THE "," ")," TOTAL "," ")," OPERATIONS "," "))</f>
        <v>CENTRAL REGION</v>
      </c>
      <c r="O321" s="17" t="str">
        <f aca="false">IF(COUNTIFS($N$2:$N$2000,N321,$D$2:$D$2000,"&lt;&gt;"&amp;D321)&gt;0,"CONFLICT","")</f>
        <v/>
      </c>
      <c r="P321" s="7"/>
    </row>
    <row r="322" customFormat="false" ht="15" hidden="false" customHeight="false" outlineLevel="0" collapsed="false">
      <c r="A322" s="7" t="s">
        <v>1599</v>
      </c>
      <c r="B322" s="7" t="s">
        <v>1879</v>
      </c>
      <c r="C322" s="7"/>
      <c r="D322" s="6" t="s">
        <v>1599</v>
      </c>
      <c r="E322" s="6" t="s">
        <v>1880</v>
      </c>
      <c r="F322" s="7" t="str">
        <f aca="false">IF($D322="","",IFERROR(IF(INDEX(Hierarchy!$B$2:$B$1295,MATCH($D322,Hierarchy!$A$2:$A$1295,0))="","",INDEX(Hierarchy!$B$2:$B$1295,MATCH($D322,Hierarchy!$A$2:$A$1295,0))),"NODE NOT FOUND"))</f>
        <v>State/Province</v>
      </c>
      <c r="G322" s="7" t="str">
        <f aca="false">IF($D322="","",IFERROR(IF(INDEX(Hierarchy!$D$2:$D$1295,MATCH($D322,Hierarchy!$A$2:$A$1295,0))="","",INDEX(Hierarchy!$D$2:$D$1295,MATCH($D322,Hierarchy!$A$2:$A$1295,0))),"NODE NOT FOUND"))</f>
        <v>APAC</v>
      </c>
      <c r="H322" s="7" t="str">
        <f aca="false">IF($D322="","",IFERROR(IF(INDEX(Hierarchy!$E$2:$E$1295,MATCH($D322,Hierarchy!$A$2:$A$1295,0))="","",INDEX(Hierarchy!$E$2:$E$1295,MATCH($D322,Hierarchy!$A$2:$A$1295,0))),"NODE NOT FOUND"))</f>
        <v>Southeast Asia (ASEAN)</v>
      </c>
      <c r="I322" s="7" t="str">
        <f aca="false">IF($D322="","",IFERROR(IF(INDEX(Hierarchy!$F$2:$F$1295,MATCH($D322,Hierarchy!$A$2:$A$1295,0))="","",INDEX(Hierarchy!$F$2:$F$1295,MATCH($D322,Hierarchy!$A$2:$A$1295,0))),"NODE NOT FOUND"))</f>
        <v>Indonesia</v>
      </c>
      <c r="J322" s="7" t="str">
        <f aca="false">IF($D322="","",IFERROR(IF(INDEX(Hierarchy!$G$2:$G$1295,MATCH($D322,Hierarchy!$A$2:$A$1295,0))="","",INDEX(Hierarchy!$G$2:$G$1295,MATCH($D322,Hierarchy!$A$2:$A$1295,0))),"NODE NOT FOUND"))</f>
        <v>IDN</v>
      </c>
      <c r="K322" s="7" t="str">
        <f aca="false">IF($D322="","",IFERROR(IF(INDEX(Hierarchy!$H$2:$H$1295,MATCH($D322,Hierarchy!$A$2:$A$1295,0))="","",INDEX(Hierarchy!$H$2:$H$1295,MATCH($D322,Hierarchy!$A$2:$A$1295,0))),"NODE NOT FOUND"))</f>
        <v>Central Sulawesi</v>
      </c>
      <c r="L322" s="7" t="str">
        <f aca="false">IF($D322="","",IFERROR(IF(INDEX(Hierarchy!$I$2:$I$1295,MATCH($D322,Hierarchy!$A$2:$A$1295,0))="","",INDEX(Hierarchy!$I$2:$I$1295,MATCH($D322,Hierarchy!$A$2:$A$1295,0))),"NODE NOT FOUND"))</f>
        <v/>
      </c>
      <c r="M322" s="17" t="str">
        <f aca="false">IF(B322="Pre-seeded","Pre-seeded",IF(B322="Review 2026-09-16","Added from review",IF(C322="","New",IF(C322=D322,"","Changed"))))</f>
        <v>Pre-seeded</v>
      </c>
      <c r="N322" s="7" t="str">
        <f aca="false">TRIM(SUBSTITUTE(SUBSTITUTE(SUBSTITUTE(" "&amp;TRIM(SUBSTITUTE(SUBSTITUTE(SUBSTITUTE(SUBSTITUTE(SUBSTITUTE(SUBSTITUTE(SUBSTITUTE(SUBSTITUTE(SUBSTITUTE(SUBSTITUTE(SUBSTITUTE(SUBSTITUTE(SUBSTITUTE(SUBSTITUTE(SUBSTITUTE(UPPER(TRIM(A322)),"[MEMBER]",""),"{MEMBER}",""),"[MEMBER}",""),"MEMBER]",""),"(A)",""),"""",""),"“",""),"”",""),".",""),":",""),",",""),"–"," "),"-"," "),"/"," "),"&amp;"," AND "))&amp;" "," THE "," ")," TOTAL "," ")," OPERATIONS "," "))</f>
        <v>CENTRAL SULAWESI</v>
      </c>
      <c r="O322" s="17" t="str">
        <f aca="false">IF(COUNTIFS($N$2:$N$2000,N322,$D$2:$D$2000,"&lt;&gt;"&amp;D322)&gt;0,"CONFLICT","")</f>
        <v/>
      </c>
      <c r="P322" s="7"/>
    </row>
    <row r="323" customFormat="false" ht="15" hidden="false" customHeight="false" outlineLevel="0" collapsed="false">
      <c r="A323" s="7" t="s">
        <v>1669</v>
      </c>
      <c r="B323" s="7" t="s">
        <v>1879</v>
      </c>
      <c r="C323" s="7"/>
      <c r="D323" s="6" t="s">
        <v>1669</v>
      </c>
      <c r="E323" s="6" t="s">
        <v>1880</v>
      </c>
      <c r="F323" s="7" t="str">
        <f aca="false">IF($D323="","",IFERROR(IF(INDEX(Hierarchy!$B$2:$B$1295,MATCH($D323,Hierarchy!$A$2:$A$1295,0))="","",INDEX(Hierarchy!$B$2:$B$1295,MATCH($D323,Hierarchy!$A$2:$A$1295,0))),"NODE NOT FOUND"))</f>
        <v>State/Province</v>
      </c>
      <c r="G323" s="7" t="str">
        <f aca="false">IF($D323="","",IFERROR(IF(INDEX(Hierarchy!$D$2:$D$1295,MATCH($D323,Hierarchy!$A$2:$A$1295,0))="","",INDEX(Hierarchy!$D$2:$D$1295,MATCH($D323,Hierarchy!$A$2:$A$1295,0))),"NODE NOT FOUND"))</f>
        <v>APAC</v>
      </c>
      <c r="H323" s="7" t="str">
        <f aca="false">IF($D323="","",IFERROR(IF(INDEX(Hierarchy!$E$2:$E$1295,MATCH($D323,Hierarchy!$A$2:$A$1295,0))="","",INDEX(Hierarchy!$E$2:$E$1295,MATCH($D323,Hierarchy!$A$2:$A$1295,0))),"NODE NOT FOUND"))</f>
        <v>Southeast Asia (ASEAN)</v>
      </c>
      <c r="I323" s="7" t="str">
        <f aca="false">IF($D323="","",IFERROR(IF(INDEX(Hierarchy!$F$2:$F$1295,MATCH($D323,Hierarchy!$A$2:$A$1295,0))="","",INDEX(Hierarchy!$F$2:$F$1295,MATCH($D323,Hierarchy!$A$2:$A$1295,0))),"NODE NOT FOUND"))</f>
        <v>Philippines</v>
      </c>
      <c r="J323" s="7" t="str">
        <f aca="false">IF($D323="","",IFERROR(IF(INDEX(Hierarchy!$G$2:$G$1295,MATCH($D323,Hierarchy!$A$2:$A$1295,0))="","",INDEX(Hierarchy!$G$2:$G$1295,MATCH($D323,Hierarchy!$A$2:$A$1295,0))),"NODE NOT FOUND"))</f>
        <v>PHL</v>
      </c>
      <c r="K323" s="7" t="str">
        <f aca="false">IF($D323="","",IFERROR(IF(INDEX(Hierarchy!$H$2:$H$1295,MATCH($D323,Hierarchy!$A$2:$A$1295,0))="","",INDEX(Hierarchy!$H$2:$H$1295,MATCH($D323,Hierarchy!$A$2:$A$1295,0))),"NODE NOT FOUND"))</f>
        <v>Central Visayas</v>
      </c>
      <c r="L323" s="7" t="str">
        <f aca="false">IF($D323="","",IFERROR(IF(INDEX(Hierarchy!$I$2:$I$1295,MATCH($D323,Hierarchy!$A$2:$A$1295,0))="","",INDEX(Hierarchy!$I$2:$I$1295,MATCH($D323,Hierarchy!$A$2:$A$1295,0))),"NODE NOT FOUND"))</f>
        <v/>
      </c>
      <c r="M323" s="17" t="str">
        <f aca="false">IF(B323="Pre-seeded","Pre-seeded",IF(B323="Review 2026-09-16","Added from review",IF(C323="","New",IF(C323=D323,"","Changed"))))</f>
        <v>Pre-seeded</v>
      </c>
      <c r="N323" s="7" t="str">
        <f aca="false">TRIM(SUBSTITUTE(SUBSTITUTE(SUBSTITUTE(" "&amp;TRIM(SUBSTITUTE(SUBSTITUTE(SUBSTITUTE(SUBSTITUTE(SUBSTITUTE(SUBSTITUTE(SUBSTITUTE(SUBSTITUTE(SUBSTITUTE(SUBSTITUTE(SUBSTITUTE(SUBSTITUTE(SUBSTITUTE(SUBSTITUTE(SUBSTITUTE(UPPER(TRIM(A323)),"[MEMBER]",""),"{MEMBER}",""),"[MEMBER}",""),"MEMBER]",""),"(A)",""),"""",""),"“",""),"”",""),".",""),":",""),",",""),"–"," "),"-"," "),"/"," "),"&amp;"," AND "))&amp;" "," THE "," ")," TOTAL "," ")," OPERATIONS "," "))</f>
        <v>CENTRAL VISAYAS</v>
      </c>
      <c r="O323" s="17" t="str">
        <f aca="false">IF(COUNTIFS($N$2:$N$2000,N323,$D$2:$D$2000,"&lt;&gt;"&amp;D323)&gt;0,"CONFLICT","")</f>
        <v/>
      </c>
      <c r="P323" s="7"/>
    </row>
    <row r="324" customFormat="false" ht="15" hidden="false" customHeight="false" outlineLevel="0" collapsed="false">
      <c r="A324" s="7" t="s">
        <v>338</v>
      </c>
      <c r="B324" s="7" t="s">
        <v>1879</v>
      </c>
      <c r="C324" s="7"/>
      <c r="D324" s="6" t="s">
        <v>338</v>
      </c>
      <c r="E324" s="6" t="s">
        <v>1880</v>
      </c>
      <c r="F324" s="7" t="str">
        <f aca="false">IF($D324="","",IFERROR(IF(INDEX(Hierarchy!$B$2:$B$1295,MATCH($D324,Hierarchy!$A$2:$A$1295,0))="","",INDEX(Hierarchy!$B$2:$B$1295,MATCH($D324,Hierarchy!$A$2:$A$1295,0))),"NODE NOT FOUND"))</f>
        <v>Sub-national region</v>
      </c>
      <c r="G324" s="7" t="str">
        <f aca="false">IF($D324="","",IFERROR(IF(INDEX(Hierarchy!$D$2:$D$1295,MATCH($D324,Hierarchy!$A$2:$A$1295,0))="","",INDEX(Hierarchy!$D$2:$D$1295,MATCH($D324,Hierarchy!$A$2:$A$1295,0))),"NODE NOT FOUND"))</f>
        <v>AMER</v>
      </c>
      <c r="H324" s="7" t="str">
        <f aca="false">IF($D324="","",IFERROR(IF(INDEX(Hierarchy!$E$2:$E$1295,MATCH($D324,Hierarchy!$A$2:$A$1295,0))="","",INDEX(Hierarchy!$E$2:$E$1295,MATCH($D324,Hierarchy!$A$2:$A$1295,0))),"NODE NOT FOUND"))</f>
        <v>Latin America (LATAM)</v>
      </c>
      <c r="I324" s="7" t="str">
        <f aca="false">IF($D324="","",IFERROR(IF(INDEX(Hierarchy!$F$2:$F$1295,MATCH($D324,Hierarchy!$A$2:$A$1295,0))="","",INDEX(Hierarchy!$F$2:$F$1295,MATCH($D324,Hierarchy!$A$2:$A$1295,0))),"NODE NOT FOUND"))</f>
        <v>Brazil</v>
      </c>
      <c r="J324" s="7" t="str">
        <f aca="false">IF($D324="","",IFERROR(IF(INDEX(Hierarchy!$G$2:$G$1295,MATCH($D324,Hierarchy!$A$2:$A$1295,0))="","",INDEX(Hierarchy!$G$2:$G$1295,MATCH($D324,Hierarchy!$A$2:$A$1295,0))),"NODE NOT FOUND"))</f>
        <v>BRA</v>
      </c>
      <c r="K324" s="7" t="str">
        <f aca="false">IF($D324="","",IFERROR(IF(INDEX(Hierarchy!$H$2:$H$1295,MATCH($D324,Hierarchy!$A$2:$A$1295,0))="","",INDEX(Hierarchy!$H$2:$H$1295,MATCH($D324,Hierarchy!$A$2:$A$1295,0))),"NODE NOT FOUND"))</f>
        <v/>
      </c>
      <c r="L324" s="7" t="str">
        <f aca="false">IF($D324="","",IFERROR(IF(INDEX(Hierarchy!$I$2:$I$1295,MATCH($D324,Hierarchy!$A$2:$A$1295,0))="","",INDEX(Hierarchy!$I$2:$I$1295,MATCH($D324,Hierarchy!$A$2:$A$1295,0))),"NODE NOT FOUND"))</f>
        <v/>
      </c>
      <c r="M324" s="17" t="str">
        <f aca="false">IF(B324="Pre-seeded","Pre-seeded",IF(B324="Review 2026-09-16","Added from review",IF(C324="","New",IF(C324=D324,"","Changed"))))</f>
        <v>Pre-seeded</v>
      </c>
      <c r="N324" s="7" t="str">
        <f aca="false">TRIM(SUBSTITUTE(SUBSTITUTE(SUBSTITUTE(" "&amp;TRIM(SUBSTITUTE(SUBSTITUTE(SUBSTITUTE(SUBSTITUTE(SUBSTITUTE(SUBSTITUTE(SUBSTITUTE(SUBSTITUTE(SUBSTITUTE(SUBSTITUTE(SUBSTITUTE(SUBSTITUTE(SUBSTITUTE(SUBSTITUTE(SUBSTITUTE(UPPER(TRIM(A324)),"[MEMBER]",""),"{MEMBER}",""),"[MEMBER}",""),"MEMBER]",""),"(A)",""),"""",""),"“",""),"”",""),".",""),":",""),",",""),"–"," "),"-"," "),"/"," "),"&amp;"," AND "))&amp;" "," THE "," ")," TOTAL "," ")," OPERATIONS "," "))</f>
        <v>CENTRAL WEST REGION (BRAZIL)</v>
      </c>
      <c r="O324" s="17" t="str">
        <f aca="false">IF(COUNTIFS($N$2:$N$2000,N324,$D$2:$D$2000,"&lt;&gt;"&amp;D324)&gt;0,"CONFLICT","")</f>
        <v/>
      </c>
      <c r="P324" s="7"/>
    </row>
    <row r="325" customFormat="false" ht="15" hidden="false" customHeight="false" outlineLevel="0" collapsed="false">
      <c r="A325" s="7" t="s">
        <v>722</v>
      </c>
      <c r="B325" s="7" t="s">
        <v>1879</v>
      </c>
      <c r="C325" s="7"/>
      <c r="D325" s="6" t="s">
        <v>722</v>
      </c>
      <c r="E325" s="6" t="s">
        <v>1880</v>
      </c>
      <c r="F325" s="7" t="str">
        <f aca="false">IF($D325="","",IFERROR(IF(INDEX(Hierarchy!$B$2:$B$1295,MATCH($D325,Hierarchy!$A$2:$A$1295,0))="","",INDEX(Hierarchy!$B$2:$B$1295,MATCH($D325,Hierarchy!$A$2:$A$1295,0))),"NODE NOT FOUND"))</f>
        <v>State/Province</v>
      </c>
      <c r="G325" s="7" t="str">
        <f aca="false">IF($D325="","",IFERROR(IF(INDEX(Hierarchy!$D$2:$D$1295,MATCH($D325,Hierarchy!$A$2:$A$1295,0))="","",INDEX(Hierarchy!$D$2:$D$1295,MATCH($D325,Hierarchy!$A$2:$A$1295,0))),"NODE NOT FOUND"))</f>
        <v>EMEA</v>
      </c>
      <c r="H325" s="7" t="str">
        <f aca="false">IF($D325="","",IFERROR(IF(INDEX(Hierarchy!$E$2:$E$1295,MATCH($D325,Hierarchy!$A$2:$A$1295,0))="","",INDEX(Hierarchy!$E$2:$E$1295,MATCH($D325,Hierarchy!$A$2:$A$1295,0))),"NODE NOT FOUND"))</f>
        <v>Europe</v>
      </c>
      <c r="I325" s="7" t="str">
        <f aca="false">IF($D325="","",IFERROR(IF(INDEX(Hierarchy!$F$2:$F$1295,MATCH($D325,Hierarchy!$A$2:$A$1295,0))="","",INDEX(Hierarchy!$F$2:$F$1295,MATCH($D325,Hierarchy!$A$2:$A$1295,0))),"NODE NOT FOUND"))</f>
        <v>France</v>
      </c>
      <c r="J325" s="7" t="str">
        <f aca="false">IF($D325="","",IFERROR(IF(INDEX(Hierarchy!$G$2:$G$1295,MATCH($D325,Hierarchy!$A$2:$A$1295,0))="","",INDEX(Hierarchy!$G$2:$G$1295,MATCH($D325,Hierarchy!$A$2:$A$1295,0))),"NODE NOT FOUND"))</f>
        <v>FRA</v>
      </c>
      <c r="K325" s="7" t="str">
        <f aca="false">IF($D325="","",IFERROR(IF(INDEX(Hierarchy!$H$2:$H$1295,MATCH($D325,Hierarchy!$A$2:$A$1295,0))="","",INDEX(Hierarchy!$H$2:$H$1295,MATCH($D325,Hierarchy!$A$2:$A$1295,0))),"NODE NOT FOUND"))</f>
        <v>Centre-Val de Loire</v>
      </c>
      <c r="L325" s="7" t="str">
        <f aca="false">IF($D325="","",IFERROR(IF(INDEX(Hierarchy!$I$2:$I$1295,MATCH($D325,Hierarchy!$A$2:$A$1295,0))="","",INDEX(Hierarchy!$I$2:$I$1295,MATCH($D325,Hierarchy!$A$2:$A$1295,0))),"NODE NOT FOUND"))</f>
        <v/>
      </c>
      <c r="M325" s="17" t="str">
        <f aca="false">IF(B325="Pre-seeded","Pre-seeded",IF(B325="Review 2026-09-16","Added from review",IF(C325="","New",IF(C325=D325,"","Changed"))))</f>
        <v>Pre-seeded</v>
      </c>
      <c r="N325" s="7" t="str">
        <f aca="false">TRIM(SUBSTITUTE(SUBSTITUTE(SUBSTITUTE(" "&amp;TRIM(SUBSTITUTE(SUBSTITUTE(SUBSTITUTE(SUBSTITUTE(SUBSTITUTE(SUBSTITUTE(SUBSTITUTE(SUBSTITUTE(SUBSTITUTE(SUBSTITUTE(SUBSTITUTE(SUBSTITUTE(SUBSTITUTE(SUBSTITUTE(SUBSTITUTE(UPPER(TRIM(A325)),"[MEMBER]",""),"{MEMBER}",""),"[MEMBER}",""),"MEMBER]",""),"(A)",""),"""",""),"“",""),"”",""),".",""),":",""),",",""),"–"," "),"-"," "),"/"," "),"&amp;"," AND "))&amp;" "," THE "," ")," TOTAL "," ")," OPERATIONS "," "))</f>
        <v>CENTRE VAL DE LOIRE</v>
      </c>
      <c r="O325" s="17" t="str">
        <f aca="false">IF(COUNTIFS($N$2:$N$2000,N325,$D$2:$D$2000,"&lt;&gt;"&amp;D325)&gt;0,"CONFLICT","")</f>
        <v/>
      </c>
      <c r="P325" s="7"/>
    </row>
    <row r="326" customFormat="false" ht="15" hidden="false" customHeight="false" outlineLevel="0" collapsed="false">
      <c r="A326" s="7" t="s">
        <v>512</v>
      </c>
      <c r="B326" s="7" t="s">
        <v>1879</v>
      </c>
      <c r="C326" s="7"/>
      <c r="D326" s="6" t="s">
        <v>512</v>
      </c>
      <c r="E326" s="6" t="s">
        <v>1880</v>
      </c>
      <c r="F326" s="7" t="str">
        <f aca="false">IF($D326="","",IFERROR(IF(INDEX(Hierarchy!$B$2:$B$1295,MATCH($D326,Hierarchy!$A$2:$A$1295,0))="","",INDEX(Hierarchy!$B$2:$B$1295,MATCH($D326,Hierarchy!$A$2:$A$1295,0))),"NODE NOT FOUND"))</f>
        <v>State/Province</v>
      </c>
      <c r="G326" s="7" t="str">
        <f aca="false">IF($D326="","",IFERROR(IF(INDEX(Hierarchy!$D$2:$D$1295,MATCH($D326,Hierarchy!$A$2:$A$1295,0))="","",INDEX(Hierarchy!$D$2:$D$1295,MATCH($D326,Hierarchy!$A$2:$A$1295,0))),"NODE NOT FOUND"))</f>
        <v>AMER</v>
      </c>
      <c r="H326" s="7" t="str">
        <f aca="false">IF($D326="","",IFERROR(IF(INDEX(Hierarchy!$E$2:$E$1295,MATCH($D326,Hierarchy!$A$2:$A$1295,0))="","",INDEX(Hierarchy!$E$2:$E$1295,MATCH($D326,Hierarchy!$A$2:$A$1295,0))),"NODE NOT FOUND"))</f>
        <v>Latin America (LATAM)</v>
      </c>
      <c r="I326" s="7" t="str">
        <f aca="false">IF($D326="","",IFERROR(IF(INDEX(Hierarchy!$F$2:$F$1295,MATCH($D326,Hierarchy!$A$2:$A$1295,0))="","",INDEX(Hierarchy!$F$2:$F$1295,MATCH($D326,Hierarchy!$A$2:$A$1295,0))),"NODE NOT FOUND"))</f>
        <v>Colombia</v>
      </c>
      <c r="J326" s="7" t="str">
        <f aca="false">IF($D326="","",IFERROR(IF(INDEX(Hierarchy!$G$2:$G$1295,MATCH($D326,Hierarchy!$A$2:$A$1295,0))="","",INDEX(Hierarchy!$G$2:$G$1295,MATCH($D326,Hierarchy!$A$2:$A$1295,0))),"NODE NOT FOUND"))</f>
        <v>COL</v>
      </c>
      <c r="K326" s="7" t="str">
        <f aca="false">IF($D326="","",IFERROR(IF(INDEX(Hierarchy!$H$2:$H$1295,MATCH($D326,Hierarchy!$A$2:$A$1295,0))="","",INDEX(Hierarchy!$H$2:$H$1295,MATCH($D326,Hierarchy!$A$2:$A$1295,0))),"NODE NOT FOUND"))</f>
        <v>Cesar</v>
      </c>
      <c r="L326" s="7" t="str">
        <f aca="false">IF($D326="","",IFERROR(IF(INDEX(Hierarchy!$I$2:$I$1295,MATCH($D326,Hierarchy!$A$2:$A$1295,0))="","",INDEX(Hierarchy!$I$2:$I$1295,MATCH($D326,Hierarchy!$A$2:$A$1295,0))),"NODE NOT FOUND"))</f>
        <v/>
      </c>
      <c r="M326" s="17" t="str">
        <f aca="false">IF(B326="Pre-seeded","Pre-seeded",IF(B326="Review 2026-09-16","Added from review",IF(C326="","New",IF(C326=D326,"","Changed"))))</f>
        <v>Pre-seeded</v>
      </c>
      <c r="N326" s="7" t="str">
        <f aca="false">TRIM(SUBSTITUTE(SUBSTITUTE(SUBSTITUTE(" "&amp;TRIM(SUBSTITUTE(SUBSTITUTE(SUBSTITUTE(SUBSTITUTE(SUBSTITUTE(SUBSTITUTE(SUBSTITUTE(SUBSTITUTE(SUBSTITUTE(SUBSTITUTE(SUBSTITUTE(SUBSTITUTE(SUBSTITUTE(SUBSTITUTE(SUBSTITUTE(UPPER(TRIM(A326)),"[MEMBER]",""),"{MEMBER}",""),"[MEMBER}",""),"MEMBER]",""),"(A)",""),"""",""),"“",""),"”",""),".",""),":",""),",",""),"–"," "),"-"," "),"/"," "),"&amp;"," AND "))&amp;" "," THE "," ")," TOTAL "," ")," OPERATIONS "," "))</f>
        <v>CESAR</v>
      </c>
      <c r="O326" s="17" t="str">
        <f aca="false">IF(COUNTIFS($N$2:$N$2000,N326,$D$2:$D$2000,"&lt;&gt;"&amp;D326)&gt;0,"CONFLICT","")</f>
        <v/>
      </c>
      <c r="P326" s="7"/>
    </row>
    <row r="327" customFormat="false" ht="15" hidden="false" customHeight="false" outlineLevel="0" collapsed="false">
      <c r="A327" s="7" t="s">
        <v>962</v>
      </c>
      <c r="B327" s="7" t="s">
        <v>1879</v>
      </c>
      <c r="C327" s="7"/>
      <c r="D327" s="6" t="s">
        <v>962</v>
      </c>
      <c r="E327" s="6" t="s">
        <v>1880</v>
      </c>
      <c r="F327" s="7" t="str">
        <f aca="false">IF($D327="","",IFERROR(IF(INDEX(Hierarchy!$B$2:$B$1295,MATCH($D327,Hierarchy!$A$2:$A$1295,0))="","",INDEX(Hierarchy!$B$2:$B$1295,MATCH($D327,Hierarchy!$A$2:$A$1295,0))),"NODE NOT FOUND"))</f>
        <v>State/Province</v>
      </c>
      <c r="G327" s="7" t="str">
        <f aca="false">IF($D327="","",IFERROR(IF(INDEX(Hierarchy!$D$2:$D$1295,MATCH($D327,Hierarchy!$A$2:$A$1295,0))="","",INDEX(Hierarchy!$D$2:$D$1295,MATCH($D327,Hierarchy!$A$2:$A$1295,0))),"NODE NOT FOUND"))</f>
        <v>EMEA</v>
      </c>
      <c r="H327" s="7" t="str">
        <f aca="false">IF($D327="","",IFERROR(IF(INDEX(Hierarchy!$E$2:$E$1295,MATCH($D327,Hierarchy!$A$2:$A$1295,0))="","",INDEX(Hierarchy!$E$2:$E$1295,MATCH($D327,Hierarchy!$A$2:$A$1295,0))),"NODE NOT FOUND"))</f>
        <v>Europe</v>
      </c>
      <c r="I327" s="7" t="str">
        <f aca="false">IF($D327="","",IFERROR(IF(INDEX(Hierarchy!$F$2:$F$1295,MATCH($D327,Hierarchy!$A$2:$A$1295,0))="","",INDEX(Hierarchy!$F$2:$F$1295,MATCH($D327,Hierarchy!$A$2:$A$1295,0))),"NODE NOT FOUND"))</f>
        <v>Spain</v>
      </c>
      <c r="J327" s="7" t="str">
        <f aca="false">IF($D327="","",IFERROR(IF(INDEX(Hierarchy!$G$2:$G$1295,MATCH($D327,Hierarchy!$A$2:$A$1295,0))="","",INDEX(Hierarchy!$G$2:$G$1295,MATCH($D327,Hierarchy!$A$2:$A$1295,0))),"NODE NOT FOUND"))</f>
        <v>ESP</v>
      </c>
      <c r="K327" s="7" t="str">
        <f aca="false">IF($D327="","",IFERROR(IF(INDEX(Hierarchy!$H$2:$H$1295,MATCH($D327,Hierarchy!$A$2:$A$1295,0))="","",INDEX(Hierarchy!$H$2:$H$1295,MATCH($D327,Hierarchy!$A$2:$A$1295,0))),"NODE NOT FOUND"))</f>
        <v>Ceuta</v>
      </c>
      <c r="L327" s="7" t="str">
        <f aca="false">IF($D327="","",IFERROR(IF(INDEX(Hierarchy!$I$2:$I$1295,MATCH($D327,Hierarchy!$A$2:$A$1295,0))="","",INDEX(Hierarchy!$I$2:$I$1295,MATCH($D327,Hierarchy!$A$2:$A$1295,0))),"NODE NOT FOUND"))</f>
        <v/>
      </c>
      <c r="M327" s="17" t="str">
        <f aca="false">IF(B327="Pre-seeded","Pre-seeded",IF(B327="Review 2026-09-16","Added from review",IF(C327="","New",IF(C327=D327,"","Changed"))))</f>
        <v>Pre-seeded</v>
      </c>
      <c r="N327" s="7" t="str">
        <f aca="false">TRIM(SUBSTITUTE(SUBSTITUTE(SUBSTITUTE(" "&amp;TRIM(SUBSTITUTE(SUBSTITUTE(SUBSTITUTE(SUBSTITUTE(SUBSTITUTE(SUBSTITUTE(SUBSTITUTE(SUBSTITUTE(SUBSTITUTE(SUBSTITUTE(SUBSTITUTE(SUBSTITUTE(SUBSTITUTE(SUBSTITUTE(SUBSTITUTE(UPPER(TRIM(A327)),"[MEMBER]",""),"{MEMBER}",""),"[MEMBER}",""),"MEMBER]",""),"(A)",""),"""",""),"“",""),"”",""),".",""),":",""),",",""),"–"," "),"-"," "),"/"," "),"&amp;"," AND "))&amp;" "," THE "," ")," TOTAL "," ")," OPERATIONS "," "))</f>
        <v>CEUTA</v>
      </c>
      <c r="O327" s="17" t="str">
        <f aca="false">IF(COUNTIFS($N$2:$N$2000,N327,$D$2:$D$2000,"&lt;&gt;"&amp;D327)&gt;0,"CONFLICT","")</f>
        <v/>
      </c>
      <c r="P327" s="7"/>
    </row>
    <row r="328" customFormat="false" ht="15" hidden="false" customHeight="false" outlineLevel="0" collapsed="false">
      <c r="A328" s="7" t="s">
        <v>432</v>
      </c>
      <c r="B328" s="7" t="s">
        <v>1879</v>
      </c>
      <c r="C328" s="7"/>
      <c r="D328" s="6" t="s">
        <v>432</v>
      </c>
      <c r="E328" s="6" t="s">
        <v>1880</v>
      </c>
      <c r="F328" s="7" t="str">
        <f aca="false">IF($D328="","",IFERROR(IF(INDEX(Hierarchy!$B$2:$B$1295,MATCH($D328,Hierarchy!$A$2:$A$1295,0))="","",INDEX(Hierarchy!$B$2:$B$1295,MATCH($D328,Hierarchy!$A$2:$A$1295,0))),"NODE NOT FOUND"))</f>
        <v>State/Province</v>
      </c>
      <c r="G328" s="7" t="str">
        <f aca="false">IF($D328="","",IFERROR(IF(INDEX(Hierarchy!$D$2:$D$1295,MATCH($D328,Hierarchy!$A$2:$A$1295,0))="","",INDEX(Hierarchy!$D$2:$D$1295,MATCH($D328,Hierarchy!$A$2:$A$1295,0))),"NODE NOT FOUND"))</f>
        <v>AMER</v>
      </c>
      <c r="H328" s="7" t="str">
        <f aca="false">IF($D328="","",IFERROR(IF(INDEX(Hierarchy!$E$2:$E$1295,MATCH($D328,Hierarchy!$A$2:$A$1295,0))="","",INDEX(Hierarchy!$E$2:$E$1295,MATCH($D328,Hierarchy!$A$2:$A$1295,0))),"NODE NOT FOUND"))</f>
        <v>Latin America (LATAM)</v>
      </c>
      <c r="I328" s="7" t="str">
        <f aca="false">IF($D328="","",IFERROR(IF(INDEX(Hierarchy!$F$2:$F$1295,MATCH($D328,Hierarchy!$A$2:$A$1295,0))="","",INDEX(Hierarchy!$F$2:$F$1295,MATCH($D328,Hierarchy!$A$2:$A$1295,0))),"NODE NOT FOUND"))</f>
        <v>Argentina</v>
      </c>
      <c r="J328" s="7" t="str">
        <f aca="false">IF($D328="","",IFERROR(IF(INDEX(Hierarchy!$G$2:$G$1295,MATCH($D328,Hierarchy!$A$2:$A$1295,0))="","",INDEX(Hierarchy!$G$2:$G$1295,MATCH($D328,Hierarchy!$A$2:$A$1295,0))),"NODE NOT FOUND"))</f>
        <v>ARG</v>
      </c>
      <c r="K328" s="7" t="str">
        <f aca="false">IF($D328="","",IFERROR(IF(INDEX(Hierarchy!$H$2:$H$1295,MATCH($D328,Hierarchy!$A$2:$A$1295,0))="","",INDEX(Hierarchy!$H$2:$H$1295,MATCH($D328,Hierarchy!$A$2:$A$1295,0))),"NODE NOT FOUND"))</f>
        <v>Chaco</v>
      </c>
      <c r="L328" s="7" t="str">
        <f aca="false">IF($D328="","",IFERROR(IF(INDEX(Hierarchy!$I$2:$I$1295,MATCH($D328,Hierarchy!$A$2:$A$1295,0))="","",INDEX(Hierarchy!$I$2:$I$1295,MATCH($D328,Hierarchy!$A$2:$A$1295,0))),"NODE NOT FOUND"))</f>
        <v/>
      </c>
      <c r="M328" s="17" t="str">
        <f aca="false">IF(B328="Pre-seeded","Pre-seeded",IF(B328="Review 2026-09-16","Added from review",IF(C328="","New",IF(C328=D328,"","Changed"))))</f>
        <v>Pre-seeded</v>
      </c>
      <c r="N328" s="7" t="str">
        <f aca="false">TRIM(SUBSTITUTE(SUBSTITUTE(SUBSTITUTE(" "&amp;TRIM(SUBSTITUTE(SUBSTITUTE(SUBSTITUTE(SUBSTITUTE(SUBSTITUTE(SUBSTITUTE(SUBSTITUTE(SUBSTITUTE(SUBSTITUTE(SUBSTITUTE(SUBSTITUTE(SUBSTITUTE(SUBSTITUTE(SUBSTITUTE(SUBSTITUTE(UPPER(TRIM(A328)),"[MEMBER]",""),"{MEMBER}",""),"[MEMBER}",""),"MEMBER]",""),"(A)",""),"""",""),"“",""),"”",""),".",""),":",""),",",""),"–"," "),"-"," "),"/"," "),"&amp;"," AND "))&amp;" "," THE "," ")," TOTAL "," ")," OPERATIONS "," "))</f>
        <v>CHACO</v>
      </c>
      <c r="O328" s="17" t="str">
        <f aca="false">IF(COUNTIFS($N$2:$N$2000,N328,$D$2:$D$2000,"&lt;&gt;"&amp;D328)&gt;0,"CONFLICT","")</f>
        <v/>
      </c>
      <c r="P328" s="7"/>
    </row>
    <row r="329" customFormat="false" ht="15" hidden="false" customHeight="false" outlineLevel="0" collapsed="false">
      <c r="A329" s="7" t="s">
        <v>1200</v>
      </c>
      <c r="B329" s="7" t="s">
        <v>1879</v>
      </c>
      <c r="C329" s="7"/>
      <c r="D329" s="6" t="s">
        <v>1200</v>
      </c>
      <c r="E329" s="6" t="s">
        <v>1880</v>
      </c>
      <c r="F329" s="7" t="str">
        <f aca="false">IF($D329="","",IFERROR(IF(INDEX(Hierarchy!$B$2:$B$1295,MATCH($D329,Hierarchy!$A$2:$A$1295,0))="","",INDEX(Hierarchy!$B$2:$B$1295,MATCH($D329,Hierarchy!$A$2:$A$1295,0))),"NODE NOT FOUND"))</f>
        <v>Country</v>
      </c>
      <c r="G329" s="7" t="str">
        <f aca="false">IF($D329="","",IFERROR(IF(INDEX(Hierarchy!$D$2:$D$1295,MATCH($D329,Hierarchy!$A$2:$A$1295,0))="","",INDEX(Hierarchy!$D$2:$D$1295,MATCH($D329,Hierarchy!$A$2:$A$1295,0))),"NODE NOT FOUND"))</f>
        <v>EMEA</v>
      </c>
      <c r="H329" s="7" t="str">
        <f aca="false">IF($D329="","",IFERROR(IF(INDEX(Hierarchy!$E$2:$E$1295,MATCH($D329,Hierarchy!$A$2:$A$1295,0))="","",INDEX(Hierarchy!$E$2:$E$1295,MATCH($D329,Hierarchy!$A$2:$A$1295,0))),"NODE NOT FOUND"))</f>
        <v>Africa</v>
      </c>
      <c r="I329" s="7" t="str">
        <f aca="false">IF($D329="","",IFERROR(IF(INDEX(Hierarchy!$F$2:$F$1295,MATCH($D329,Hierarchy!$A$2:$A$1295,0))="","",INDEX(Hierarchy!$F$2:$F$1295,MATCH($D329,Hierarchy!$A$2:$A$1295,0))),"NODE NOT FOUND"))</f>
        <v>Chad</v>
      </c>
      <c r="J329" s="7" t="str">
        <f aca="false">IF($D329="","",IFERROR(IF(INDEX(Hierarchy!$G$2:$G$1295,MATCH($D329,Hierarchy!$A$2:$A$1295,0))="","",INDEX(Hierarchy!$G$2:$G$1295,MATCH($D329,Hierarchy!$A$2:$A$1295,0))),"NODE NOT FOUND"))</f>
        <v>TCD</v>
      </c>
      <c r="K329" s="7" t="str">
        <f aca="false">IF($D329="","",IFERROR(IF(INDEX(Hierarchy!$H$2:$H$1295,MATCH($D329,Hierarchy!$A$2:$A$1295,0))="","",INDEX(Hierarchy!$H$2:$H$1295,MATCH($D329,Hierarchy!$A$2:$A$1295,0))),"NODE NOT FOUND"))</f>
        <v/>
      </c>
      <c r="L329" s="7" t="str">
        <f aca="false">IF($D329="","",IFERROR(IF(INDEX(Hierarchy!$I$2:$I$1295,MATCH($D329,Hierarchy!$A$2:$A$1295,0))="","",INDEX(Hierarchy!$I$2:$I$1295,MATCH($D329,Hierarchy!$A$2:$A$1295,0))),"NODE NOT FOUND"))</f>
        <v/>
      </c>
      <c r="M329" s="17" t="str">
        <f aca="false">IF(B329="Pre-seeded","Pre-seeded",IF(B329="Review 2026-09-16","Added from review",IF(C329="","New",IF(C329=D329,"","Changed"))))</f>
        <v>Pre-seeded</v>
      </c>
      <c r="N329" s="7" t="str">
        <f aca="false">TRIM(SUBSTITUTE(SUBSTITUTE(SUBSTITUTE(" "&amp;TRIM(SUBSTITUTE(SUBSTITUTE(SUBSTITUTE(SUBSTITUTE(SUBSTITUTE(SUBSTITUTE(SUBSTITUTE(SUBSTITUTE(SUBSTITUTE(SUBSTITUTE(SUBSTITUTE(SUBSTITUTE(SUBSTITUTE(SUBSTITUTE(SUBSTITUTE(UPPER(TRIM(A329)),"[MEMBER]",""),"{MEMBER}",""),"[MEMBER}",""),"MEMBER]",""),"(A)",""),"""",""),"“",""),"”",""),".",""),":",""),",",""),"–"," "),"-"," "),"/"," "),"&amp;"," AND "))&amp;" "," THE "," ")," TOTAL "," ")," OPERATIONS "," "))</f>
        <v>CHAD</v>
      </c>
      <c r="O329" s="17" t="str">
        <f aca="false">IF(COUNTIFS($N$2:$N$2000,N329,$D$2:$D$2000,"&lt;&gt;"&amp;D329)&gt;0,"CONFLICT","")</f>
        <v/>
      </c>
      <c r="P329" s="7"/>
    </row>
    <row r="330" customFormat="false" ht="15" hidden="false" customHeight="false" outlineLevel="0" collapsed="false">
      <c r="A330" s="7" t="s">
        <v>1331</v>
      </c>
      <c r="B330" s="7" t="s">
        <v>1879</v>
      </c>
      <c r="C330" s="7"/>
      <c r="D330" s="6" t="s">
        <v>1331</v>
      </c>
      <c r="E330" s="6" t="s">
        <v>1880</v>
      </c>
      <c r="F330" s="7" t="str">
        <f aca="false">IF($D330="","",IFERROR(IF(INDEX(Hierarchy!$B$2:$B$1295,MATCH($D330,Hierarchy!$A$2:$A$1295,0))="","",INDEX(Hierarchy!$B$2:$B$1295,MATCH($D330,Hierarchy!$A$2:$A$1295,0))),"NODE NOT FOUND"))</f>
        <v>State/Province</v>
      </c>
      <c r="G330" s="7" t="str">
        <f aca="false">IF($D330="","",IFERROR(IF(INDEX(Hierarchy!$D$2:$D$1295,MATCH($D330,Hierarchy!$A$2:$A$1295,0))="","",INDEX(Hierarchy!$D$2:$D$1295,MATCH($D330,Hierarchy!$A$2:$A$1295,0))),"NODE NOT FOUND"))</f>
        <v>APAC</v>
      </c>
      <c r="H330" s="7" t="str">
        <f aca="false">IF($D330="","",IFERROR(IF(INDEX(Hierarchy!$E$2:$E$1295,MATCH($D330,Hierarchy!$A$2:$A$1295,0))="","",INDEX(Hierarchy!$E$2:$E$1295,MATCH($D330,Hierarchy!$A$2:$A$1295,0))),"NODE NOT FOUND"))</f>
        <v>South Asia</v>
      </c>
      <c r="I330" s="7" t="str">
        <f aca="false">IF($D330="","",IFERROR(IF(INDEX(Hierarchy!$F$2:$F$1295,MATCH($D330,Hierarchy!$A$2:$A$1295,0))="","",INDEX(Hierarchy!$F$2:$F$1295,MATCH($D330,Hierarchy!$A$2:$A$1295,0))),"NODE NOT FOUND"))</f>
        <v>India</v>
      </c>
      <c r="J330" s="7" t="str">
        <f aca="false">IF($D330="","",IFERROR(IF(INDEX(Hierarchy!$G$2:$G$1295,MATCH($D330,Hierarchy!$A$2:$A$1295,0))="","",INDEX(Hierarchy!$G$2:$G$1295,MATCH($D330,Hierarchy!$A$2:$A$1295,0))),"NODE NOT FOUND"))</f>
        <v>IND</v>
      </c>
      <c r="K330" s="7" t="str">
        <f aca="false">IF($D330="","",IFERROR(IF(INDEX(Hierarchy!$H$2:$H$1295,MATCH($D330,Hierarchy!$A$2:$A$1295,0))="","",INDEX(Hierarchy!$H$2:$H$1295,MATCH($D330,Hierarchy!$A$2:$A$1295,0))),"NODE NOT FOUND"))</f>
        <v>Chandigarh</v>
      </c>
      <c r="L330" s="7" t="str">
        <f aca="false">IF($D330="","",IFERROR(IF(INDEX(Hierarchy!$I$2:$I$1295,MATCH($D330,Hierarchy!$A$2:$A$1295,0))="","",INDEX(Hierarchy!$I$2:$I$1295,MATCH($D330,Hierarchy!$A$2:$A$1295,0))),"NODE NOT FOUND"))</f>
        <v/>
      </c>
      <c r="M330" s="17" t="str">
        <f aca="false">IF(B330="Pre-seeded","Pre-seeded",IF(B330="Review 2026-09-16","Added from review",IF(C330="","New",IF(C330=D330,"","Changed"))))</f>
        <v>Pre-seeded</v>
      </c>
      <c r="N330" s="7" t="str">
        <f aca="false">TRIM(SUBSTITUTE(SUBSTITUTE(SUBSTITUTE(" "&amp;TRIM(SUBSTITUTE(SUBSTITUTE(SUBSTITUTE(SUBSTITUTE(SUBSTITUTE(SUBSTITUTE(SUBSTITUTE(SUBSTITUTE(SUBSTITUTE(SUBSTITUTE(SUBSTITUTE(SUBSTITUTE(SUBSTITUTE(SUBSTITUTE(SUBSTITUTE(UPPER(TRIM(A330)),"[MEMBER]",""),"{MEMBER}",""),"[MEMBER}",""),"MEMBER]",""),"(A)",""),"""",""),"“",""),"”",""),".",""),":",""),",",""),"–"," "),"-"," "),"/"," "),"&amp;"," AND "))&amp;" "," THE "," ")," TOTAL "," ")," OPERATIONS "," "))</f>
        <v>CHANDIGARH</v>
      </c>
      <c r="O330" s="17" t="str">
        <f aca="false">IF(COUNTIFS($N$2:$N$2000,N330,$D$2:$D$2000,"&lt;&gt;"&amp;D330)&gt;0,"CONFLICT","")</f>
        <v/>
      </c>
      <c r="P330" s="7"/>
    </row>
    <row r="331" customFormat="false" ht="15" hidden="false" customHeight="false" outlineLevel="0" collapsed="false">
      <c r="A331" s="7" t="s">
        <v>2048</v>
      </c>
      <c r="B331" s="7" t="s">
        <v>1879</v>
      </c>
      <c r="C331" s="7"/>
      <c r="D331" s="6" t="s">
        <v>658</v>
      </c>
      <c r="E331" s="6" t="s">
        <v>1891</v>
      </c>
      <c r="F331" s="7" t="str">
        <f aca="false">IF($D331="","",IFERROR(IF(INDEX(Hierarchy!$B$2:$B$1295,MATCH($D331,Hierarchy!$A$2:$A$1295,0))="","",INDEX(Hierarchy!$B$2:$B$1295,MATCH($D331,Hierarchy!$A$2:$A$1295,0))),"NODE NOT FOUND"))</f>
        <v>Sub-region component</v>
      </c>
      <c r="G331" s="7" t="str">
        <f aca="false">IF($D331="","",IFERROR(IF(INDEX(Hierarchy!$D$2:$D$1295,MATCH($D331,Hierarchy!$A$2:$A$1295,0))="","",INDEX(Hierarchy!$D$2:$D$1295,MATCH($D331,Hierarchy!$A$2:$A$1295,0))),"NODE NOT FOUND"))</f>
        <v>EMEA</v>
      </c>
      <c r="H331" s="7" t="str">
        <f aca="false">IF($D331="","",IFERROR(IF(INDEX(Hierarchy!$E$2:$E$1295,MATCH($D331,Hierarchy!$A$2:$A$1295,0))="","",INDEX(Hierarchy!$E$2:$E$1295,MATCH($D331,Hierarchy!$A$2:$A$1295,0))),"NODE NOT FOUND"))</f>
        <v>Europe</v>
      </c>
      <c r="I331" s="7" t="str">
        <f aca="false">IF($D331="","",IFERROR(IF(INDEX(Hierarchy!$F$2:$F$1295,MATCH($D331,Hierarchy!$A$2:$A$1295,0))="","",INDEX(Hierarchy!$F$2:$F$1295,MATCH($D331,Hierarchy!$A$2:$A$1295,0))),"NODE NOT FOUND"))</f>
        <v/>
      </c>
      <c r="J331" s="7" t="str">
        <f aca="false">IF($D331="","",IFERROR(IF(INDEX(Hierarchy!$G$2:$G$1295,MATCH($D331,Hierarchy!$A$2:$A$1295,0))="","",INDEX(Hierarchy!$G$2:$G$1295,MATCH($D331,Hierarchy!$A$2:$A$1295,0))),"NODE NOT FOUND"))</f>
        <v/>
      </c>
      <c r="K331" s="7" t="str">
        <f aca="false">IF($D331="","",IFERROR(IF(INDEX(Hierarchy!$H$2:$H$1295,MATCH($D331,Hierarchy!$A$2:$A$1295,0))="","",INDEX(Hierarchy!$H$2:$H$1295,MATCH($D331,Hierarchy!$A$2:$A$1295,0))),"NODE NOT FOUND"))</f>
        <v/>
      </c>
      <c r="L331" s="7" t="str">
        <f aca="false">IF($D331="","",IFERROR(IF(INDEX(Hierarchy!$I$2:$I$1295,MATCH($D331,Hierarchy!$A$2:$A$1295,0))="","",INDEX(Hierarchy!$I$2:$I$1295,MATCH($D331,Hierarchy!$A$2:$A$1295,0))),"NODE NOT FOUND"))</f>
        <v/>
      </c>
      <c r="M331" s="17" t="str">
        <f aca="false">IF(B331="Pre-seeded","Pre-seeded",IF(B331="Review 2026-09-16","Added from review",IF(C331="","New",IF(C331=D331,"","Changed"))))</f>
        <v>Pre-seeded</v>
      </c>
      <c r="N331" s="7" t="str">
        <f aca="false">TRIM(SUBSTITUTE(SUBSTITUTE(SUBSTITUTE(" "&amp;TRIM(SUBSTITUTE(SUBSTITUTE(SUBSTITUTE(SUBSTITUTE(SUBSTITUTE(SUBSTITUTE(SUBSTITUTE(SUBSTITUTE(SUBSTITUTE(SUBSTITUTE(SUBSTITUTE(SUBSTITUTE(SUBSTITUTE(SUBSTITUTE(SUBSTITUTE(UPPER(TRIM(A331)),"[MEMBER]",""),"{MEMBER}",""),"[MEMBER}",""),"MEMBER]",""),"(A)",""),"""",""),"“",""),"”",""),".",""),":",""),",",""),"–"," "),"-"," "),"/"," "),"&amp;"," AND "))&amp;" "," THE "," ")," TOTAL "," ")," OPERATIONS "," "))</f>
        <v>CHANNEL ISLANDS</v>
      </c>
      <c r="O331" s="17" t="str">
        <f aca="false">IF(COUNTIFS($N$2:$N$2000,N331,$D$2:$D$2000,"&lt;&gt;"&amp;D331)&gt;0,"CONFLICT","")</f>
        <v/>
      </c>
      <c r="P331" s="7"/>
    </row>
    <row r="332" customFormat="false" ht="15" hidden="false" customHeight="false" outlineLevel="0" collapsed="false">
      <c r="A332" s="7" t="s">
        <v>1722</v>
      </c>
      <c r="B332" s="7" t="s">
        <v>1879</v>
      </c>
      <c r="C332" s="7"/>
      <c r="D332" s="6" t="s">
        <v>1722</v>
      </c>
      <c r="E332" s="6" t="s">
        <v>1880</v>
      </c>
      <c r="F332" s="7" t="str">
        <f aca="false">IF($D332="","",IFERROR(IF(INDEX(Hierarchy!$B$2:$B$1295,MATCH($D332,Hierarchy!$A$2:$A$1295,0))="","",INDEX(Hierarchy!$B$2:$B$1295,MATCH($D332,Hierarchy!$A$2:$A$1295,0))),"NODE NOT FOUND"))</f>
        <v>State/Province</v>
      </c>
      <c r="G332" s="7" t="str">
        <f aca="false">IF($D332="","",IFERROR(IF(INDEX(Hierarchy!$D$2:$D$1295,MATCH($D332,Hierarchy!$A$2:$A$1295,0))="","",INDEX(Hierarchy!$D$2:$D$1295,MATCH($D332,Hierarchy!$A$2:$A$1295,0))),"NODE NOT FOUND"))</f>
        <v>APAC</v>
      </c>
      <c r="H332" s="7" t="str">
        <f aca="false">IF($D332="","",IFERROR(IF(INDEX(Hierarchy!$E$2:$E$1295,MATCH($D332,Hierarchy!$A$2:$A$1295,0))="","",INDEX(Hierarchy!$E$2:$E$1295,MATCH($D332,Hierarchy!$A$2:$A$1295,0))),"NODE NOT FOUND"))</f>
        <v>Oceania (ANZ)</v>
      </c>
      <c r="I332" s="7" t="str">
        <f aca="false">IF($D332="","",IFERROR(IF(INDEX(Hierarchy!$F$2:$F$1295,MATCH($D332,Hierarchy!$A$2:$A$1295,0))="","",INDEX(Hierarchy!$F$2:$F$1295,MATCH($D332,Hierarchy!$A$2:$A$1295,0))),"NODE NOT FOUND"))</f>
        <v>New Zealand</v>
      </c>
      <c r="J332" s="7" t="str">
        <f aca="false">IF($D332="","",IFERROR(IF(INDEX(Hierarchy!$G$2:$G$1295,MATCH($D332,Hierarchy!$A$2:$A$1295,0))="","",INDEX(Hierarchy!$G$2:$G$1295,MATCH($D332,Hierarchy!$A$2:$A$1295,0))),"NODE NOT FOUND"))</f>
        <v>NZL</v>
      </c>
      <c r="K332" s="7" t="str">
        <f aca="false">IF($D332="","",IFERROR(IF(INDEX(Hierarchy!$H$2:$H$1295,MATCH($D332,Hierarchy!$A$2:$A$1295,0))="","",INDEX(Hierarchy!$H$2:$H$1295,MATCH($D332,Hierarchy!$A$2:$A$1295,0))),"NODE NOT FOUND"))</f>
        <v>Chatham Islands</v>
      </c>
      <c r="L332" s="7" t="str">
        <f aca="false">IF($D332="","",IFERROR(IF(INDEX(Hierarchy!$I$2:$I$1295,MATCH($D332,Hierarchy!$A$2:$A$1295,0))="","",INDEX(Hierarchy!$I$2:$I$1295,MATCH($D332,Hierarchy!$A$2:$A$1295,0))),"NODE NOT FOUND"))</f>
        <v/>
      </c>
      <c r="M332" s="17" t="str">
        <f aca="false">IF(B332="Pre-seeded","Pre-seeded",IF(B332="Review 2026-09-16","Added from review",IF(C332="","New",IF(C332=D332,"","Changed"))))</f>
        <v>Pre-seeded</v>
      </c>
      <c r="N332" s="7" t="str">
        <f aca="false">TRIM(SUBSTITUTE(SUBSTITUTE(SUBSTITUTE(" "&amp;TRIM(SUBSTITUTE(SUBSTITUTE(SUBSTITUTE(SUBSTITUTE(SUBSTITUTE(SUBSTITUTE(SUBSTITUTE(SUBSTITUTE(SUBSTITUTE(SUBSTITUTE(SUBSTITUTE(SUBSTITUTE(SUBSTITUTE(SUBSTITUTE(SUBSTITUTE(UPPER(TRIM(A332)),"[MEMBER]",""),"{MEMBER}",""),"[MEMBER}",""),"MEMBER]",""),"(A)",""),"""",""),"“",""),"”",""),".",""),":",""),",",""),"–"," "),"-"," "),"/"," "),"&amp;"," AND "))&amp;" "," THE "," ")," TOTAL "," ")," OPERATIONS "," "))</f>
        <v>CHATHAM ISLANDS</v>
      </c>
      <c r="O332" s="17" t="str">
        <f aca="false">IF(COUNTIFS($N$2:$N$2000,N332,$D$2:$D$2000,"&lt;&gt;"&amp;D332)&gt;0,"CONFLICT","")</f>
        <v/>
      </c>
      <c r="P332" s="7"/>
    </row>
    <row r="333" customFormat="false" ht="15" hidden="false" customHeight="false" outlineLevel="0" collapsed="false">
      <c r="A333" s="7" t="s">
        <v>1379</v>
      </c>
      <c r="B333" s="7" t="s">
        <v>1879</v>
      </c>
      <c r="C333" s="7"/>
      <c r="D333" s="6" t="s">
        <v>1379</v>
      </c>
      <c r="E333" s="6" t="s">
        <v>1880</v>
      </c>
      <c r="F333" s="7" t="str">
        <f aca="false">IF($D333="","",IFERROR(IF(INDEX(Hierarchy!$B$2:$B$1295,MATCH($D333,Hierarchy!$A$2:$A$1295,0))="","",INDEX(Hierarchy!$B$2:$B$1295,MATCH($D333,Hierarchy!$A$2:$A$1295,0))),"NODE NOT FOUND"))</f>
        <v>State/Province</v>
      </c>
      <c r="G333" s="7" t="str">
        <f aca="false">IF($D333="","",IFERROR(IF(INDEX(Hierarchy!$D$2:$D$1295,MATCH($D333,Hierarchy!$A$2:$A$1295,0))="","",INDEX(Hierarchy!$D$2:$D$1295,MATCH($D333,Hierarchy!$A$2:$A$1295,0))),"NODE NOT FOUND"))</f>
        <v>APAC</v>
      </c>
      <c r="H333" s="7" t="str">
        <f aca="false">IF($D333="","",IFERROR(IF(INDEX(Hierarchy!$E$2:$E$1295,MATCH($D333,Hierarchy!$A$2:$A$1295,0))="","",INDEX(Hierarchy!$E$2:$E$1295,MATCH($D333,Hierarchy!$A$2:$A$1295,0))),"NODE NOT FOUND"))</f>
        <v>South Asia</v>
      </c>
      <c r="I333" s="7" t="str">
        <f aca="false">IF($D333="","",IFERROR(IF(INDEX(Hierarchy!$F$2:$F$1295,MATCH($D333,Hierarchy!$A$2:$A$1295,0))="","",INDEX(Hierarchy!$F$2:$F$1295,MATCH($D333,Hierarchy!$A$2:$A$1295,0))),"NODE NOT FOUND"))</f>
        <v>Bangladesh</v>
      </c>
      <c r="J333" s="7" t="str">
        <f aca="false">IF($D333="","",IFERROR(IF(INDEX(Hierarchy!$G$2:$G$1295,MATCH($D333,Hierarchy!$A$2:$A$1295,0))="","",INDEX(Hierarchy!$G$2:$G$1295,MATCH($D333,Hierarchy!$A$2:$A$1295,0))),"NODE NOT FOUND"))</f>
        <v>BGD</v>
      </c>
      <c r="K333" s="7" t="str">
        <f aca="false">IF($D333="","",IFERROR(IF(INDEX(Hierarchy!$H$2:$H$1295,MATCH($D333,Hierarchy!$A$2:$A$1295,0))="","",INDEX(Hierarchy!$H$2:$H$1295,MATCH($D333,Hierarchy!$A$2:$A$1295,0))),"NODE NOT FOUND"))</f>
        <v>Chattogram</v>
      </c>
      <c r="L333" s="7" t="str">
        <f aca="false">IF($D333="","",IFERROR(IF(INDEX(Hierarchy!$I$2:$I$1295,MATCH($D333,Hierarchy!$A$2:$A$1295,0))="","",INDEX(Hierarchy!$I$2:$I$1295,MATCH($D333,Hierarchy!$A$2:$A$1295,0))),"NODE NOT FOUND"))</f>
        <v/>
      </c>
      <c r="M333" s="17" t="str">
        <f aca="false">IF(B333="Pre-seeded","Pre-seeded",IF(B333="Review 2026-09-16","Added from review",IF(C333="","New",IF(C333=D333,"","Changed"))))</f>
        <v>Pre-seeded</v>
      </c>
      <c r="N333" s="7" t="str">
        <f aca="false">TRIM(SUBSTITUTE(SUBSTITUTE(SUBSTITUTE(" "&amp;TRIM(SUBSTITUTE(SUBSTITUTE(SUBSTITUTE(SUBSTITUTE(SUBSTITUTE(SUBSTITUTE(SUBSTITUTE(SUBSTITUTE(SUBSTITUTE(SUBSTITUTE(SUBSTITUTE(SUBSTITUTE(SUBSTITUTE(SUBSTITUTE(SUBSTITUTE(UPPER(TRIM(A333)),"[MEMBER]",""),"{MEMBER}",""),"[MEMBER}",""),"MEMBER]",""),"(A)",""),"""",""),"“",""),"”",""),".",""),":",""),",",""),"–"," "),"-"," "),"/"," "),"&amp;"," AND "))&amp;" "," THE "," ")," TOTAL "," ")," OPERATIONS "," "))</f>
        <v>CHATTOGRAM</v>
      </c>
      <c r="O333" s="17" t="str">
        <f aca="false">IF(COUNTIFS($N$2:$N$2000,N333,$D$2:$D$2000,"&lt;&gt;"&amp;D333)&gt;0,"CONFLICT","")</f>
        <v/>
      </c>
      <c r="P333" s="7"/>
    </row>
    <row r="334" customFormat="false" ht="15" hidden="false" customHeight="false" outlineLevel="0" collapsed="false">
      <c r="A334" s="7" t="s">
        <v>1332</v>
      </c>
      <c r="B334" s="7" t="s">
        <v>1879</v>
      </c>
      <c r="C334" s="7"/>
      <c r="D334" s="6" t="s">
        <v>1332</v>
      </c>
      <c r="E334" s="6" t="s">
        <v>1880</v>
      </c>
      <c r="F334" s="7" t="str">
        <f aca="false">IF($D334="","",IFERROR(IF(INDEX(Hierarchy!$B$2:$B$1295,MATCH($D334,Hierarchy!$A$2:$A$1295,0))="","",INDEX(Hierarchy!$B$2:$B$1295,MATCH($D334,Hierarchy!$A$2:$A$1295,0))),"NODE NOT FOUND"))</f>
        <v>State/Province</v>
      </c>
      <c r="G334" s="7" t="str">
        <f aca="false">IF($D334="","",IFERROR(IF(INDEX(Hierarchy!$D$2:$D$1295,MATCH($D334,Hierarchy!$A$2:$A$1295,0))="","",INDEX(Hierarchy!$D$2:$D$1295,MATCH($D334,Hierarchy!$A$2:$A$1295,0))),"NODE NOT FOUND"))</f>
        <v>APAC</v>
      </c>
      <c r="H334" s="7" t="str">
        <f aca="false">IF($D334="","",IFERROR(IF(INDEX(Hierarchy!$E$2:$E$1295,MATCH($D334,Hierarchy!$A$2:$A$1295,0))="","",INDEX(Hierarchy!$E$2:$E$1295,MATCH($D334,Hierarchy!$A$2:$A$1295,0))),"NODE NOT FOUND"))</f>
        <v>South Asia</v>
      </c>
      <c r="I334" s="7" t="str">
        <f aca="false">IF($D334="","",IFERROR(IF(INDEX(Hierarchy!$F$2:$F$1295,MATCH($D334,Hierarchy!$A$2:$A$1295,0))="","",INDEX(Hierarchy!$F$2:$F$1295,MATCH($D334,Hierarchy!$A$2:$A$1295,0))),"NODE NOT FOUND"))</f>
        <v>India</v>
      </c>
      <c r="J334" s="7" t="str">
        <f aca="false">IF($D334="","",IFERROR(IF(INDEX(Hierarchy!$G$2:$G$1295,MATCH($D334,Hierarchy!$A$2:$A$1295,0))="","",INDEX(Hierarchy!$G$2:$G$1295,MATCH($D334,Hierarchy!$A$2:$A$1295,0))),"NODE NOT FOUND"))</f>
        <v>IND</v>
      </c>
      <c r="K334" s="7" t="str">
        <f aca="false">IF($D334="","",IFERROR(IF(INDEX(Hierarchy!$H$2:$H$1295,MATCH($D334,Hierarchy!$A$2:$A$1295,0))="","",INDEX(Hierarchy!$H$2:$H$1295,MATCH($D334,Hierarchy!$A$2:$A$1295,0))),"NODE NOT FOUND"))</f>
        <v>Chhattisgarh</v>
      </c>
      <c r="L334" s="7" t="str">
        <f aca="false">IF($D334="","",IFERROR(IF(INDEX(Hierarchy!$I$2:$I$1295,MATCH($D334,Hierarchy!$A$2:$A$1295,0))="","",INDEX(Hierarchy!$I$2:$I$1295,MATCH($D334,Hierarchy!$A$2:$A$1295,0))),"NODE NOT FOUND"))</f>
        <v/>
      </c>
      <c r="M334" s="17" t="str">
        <f aca="false">IF(B334="Pre-seeded","Pre-seeded",IF(B334="Review 2026-09-16","Added from review",IF(C334="","New",IF(C334=D334,"","Changed"))))</f>
        <v>Pre-seeded</v>
      </c>
      <c r="N334" s="7" t="str">
        <f aca="false">TRIM(SUBSTITUTE(SUBSTITUTE(SUBSTITUTE(" "&amp;TRIM(SUBSTITUTE(SUBSTITUTE(SUBSTITUTE(SUBSTITUTE(SUBSTITUTE(SUBSTITUTE(SUBSTITUTE(SUBSTITUTE(SUBSTITUTE(SUBSTITUTE(SUBSTITUTE(SUBSTITUTE(SUBSTITUTE(SUBSTITUTE(SUBSTITUTE(UPPER(TRIM(A334)),"[MEMBER]",""),"{MEMBER}",""),"[MEMBER}",""),"MEMBER]",""),"(A)",""),"""",""),"“",""),"”",""),".",""),":",""),",",""),"–"," "),"-"," "),"/"," "),"&amp;"," AND "))&amp;" "," THE "," ")," TOTAL "," ")," OPERATIONS "," "))</f>
        <v>CHHATTISGARH</v>
      </c>
      <c r="O334" s="17" t="str">
        <f aca="false">IF(COUNTIFS($N$2:$N$2000,N334,$D$2:$D$2000,"&lt;&gt;"&amp;D334)&gt;0,"CONFLICT","")</f>
        <v/>
      </c>
      <c r="P334" s="7"/>
    </row>
    <row r="335" customFormat="false" ht="15" hidden="false" customHeight="false" outlineLevel="0" collapsed="false">
      <c r="A335" s="7" t="s">
        <v>388</v>
      </c>
      <c r="B335" s="7" t="s">
        <v>1879</v>
      </c>
      <c r="C335" s="7"/>
      <c r="D335" s="6" t="s">
        <v>388</v>
      </c>
      <c r="E335" s="6" t="s">
        <v>1880</v>
      </c>
      <c r="F335" s="7" t="str">
        <f aca="false">IF($D335="","",IFERROR(IF(INDEX(Hierarchy!$B$2:$B$1295,MATCH($D335,Hierarchy!$A$2:$A$1295,0))="","",INDEX(Hierarchy!$B$2:$B$1295,MATCH($D335,Hierarchy!$A$2:$A$1295,0))),"NODE NOT FOUND"))</f>
        <v>State/Province</v>
      </c>
      <c r="G335" s="7" t="str">
        <f aca="false">IF($D335="","",IFERROR(IF(INDEX(Hierarchy!$D$2:$D$1295,MATCH($D335,Hierarchy!$A$2:$A$1295,0))="","",INDEX(Hierarchy!$D$2:$D$1295,MATCH($D335,Hierarchy!$A$2:$A$1295,0))),"NODE NOT FOUND"))</f>
        <v>AMER</v>
      </c>
      <c r="H335" s="7" t="str">
        <f aca="false">IF($D335="","",IFERROR(IF(INDEX(Hierarchy!$E$2:$E$1295,MATCH($D335,Hierarchy!$A$2:$A$1295,0))="","",INDEX(Hierarchy!$E$2:$E$1295,MATCH($D335,Hierarchy!$A$2:$A$1295,0))),"NODE NOT FOUND"))</f>
        <v>Latin America (LATAM)</v>
      </c>
      <c r="I335" s="7" t="str">
        <f aca="false">IF($D335="","",IFERROR(IF(INDEX(Hierarchy!$F$2:$F$1295,MATCH($D335,Hierarchy!$A$2:$A$1295,0))="","",INDEX(Hierarchy!$F$2:$F$1295,MATCH($D335,Hierarchy!$A$2:$A$1295,0))),"NODE NOT FOUND"))</f>
        <v>Mexico</v>
      </c>
      <c r="J335" s="7" t="str">
        <f aca="false">IF($D335="","",IFERROR(IF(INDEX(Hierarchy!$G$2:$G$1295,MATCH($D335,Hierarchy!$A$2:$A$1295,0))="","",INDEX(Hierarchy!$G$2:$G$1295,MATCH($D335,Hierarchy!$A$2:$A$1295,0))),"NODE NOT FOUND"))</f>
        <v>MEX</v>
      </c>
      <c r="K335" s="7" t="str">
        <f aca="false">IF($D335="","",IFERROR(IF(INDEX(Hierarchy!$H$2:$H$1295,MATCH($D335,Hierarchy!$A$2:$A$1295,0))="","",INDEX(Hierarchy!$H$2:$H$1295,MATCH($D335,Hierarchy!$A$2:$A$1295,0))),"NODE NOT FOUND"))</f>
        <v>Chiapas</v>
      </c>
      <c r="L335" s="7" t="str">
        <f aca="false">IF($D335="","",IFERROR(IF(INDEX(Hierarchy!$I$2:$I$1295,MATCH($D335,Hierarchy!$A$2:$A$1295,0))="","",INDEX(Hierarchy!$I$2:$I$1295,MATCH($D335,Hierarchy!$A$2:$A$1295,0))),"NODE NOT FOUND"))</f>
        <v/>
      </c>
      <c r="M335" s="17" t="str">
        <f aca="false">IF(B335="Pre-seeded","Pre-seeded",IF(B335="Review 2026-09-16","Added from review",IF(C335="","New",IF(C335=D335,"","Changed"))))</f>
        <v>Pre-seeded</v>
      </c>
      <c r="N335" s="7" t="str">
        <f aca="false">TRIM(SUBSTITUTE(SUBSTITUTE(SUBSTITUTE(" "&amp;TRIM(SUBSTITUTE(SUBSTITUTE(SUBSTITUTE(SUBSTITUTE(SUBSTITUTE(SUBSTITUTE(SUBSTITUTE(SUBSTITUTE(SUBSTITUTE(SUBSTITUTE(SUBSTITUTE(SUBSTITUTE(SUBSTITUTE(SUBSTITUTE(SUBSTITUTE(UPPER(TRIM(A335)),"[MEMBER]",""),"{MEMBER}",""),"[MEMBER}",""),"MEMBER]",""),"(A)",""),"""",""),"“",""),"”",""),".",""),":",""),",",""),"–"," "),"-"," "),"/"," "),"&amp;"," AND "))&amp;" "," THE "," ")," TOTAL "," ")," OPERATIONS "," "))</f>
        <v>CHIAPAS</v>
      </c>
      <c r="O335" s="17" t="str">
        <f aca="false">IF(COUNTIFS($N$2:$N$2000,N335,$D$2:$D$2000,"&lt;&gt;"&amp;D335)&gt;0,"CONFLICT","")</f>
        <v/>
      </c>
      <c r="P335" s="7"/>
    </row>
    <row r="336" customFormat="false" ht="15" hidden="false" customHeight="false" outlineLevel="0" collapsed="false">
      <c r="A336" s="7" t="s">
        <v>1442</v>
      </c>
      <c r="B336" s="7" t="s">
        <v>1879</v>
      </c>
      <c r="C336" s="7"/>
      <c r="D336" s="6" t="s">
        <v>1442</v>
      </c>
      <c r="E336" s="6" t="s">
        <v>1880</v>
      </c>
      <c r="F336" s="7" t="str">
        <f aca="false">IF($D336="","",IFERROR(IF(INDEX(Hierarchy!$B$2:$B$1295,MATCH($D336,Hierarchy!$A$2:$A$1295,0))="","",INDEX(Hierarchy!$B$2:$B$1295,MATCH($D336,Hierarchy!$A$2:$A$1295,0))),"NODE NOT FOUND"))</f>
        <v>State/Province</v>
      </c>
      <c r="G336" s="7" t="str">
        <f aca="false">IF($D336="","",IFERROR(IF(INDEX(Hierarchy!$D$2:$D$1295,MATCH($D336,Hierarchy!$A$2:$A$1295,0))="","",INDEX(Hierarchy!$D$2:$D$1295,MATCH($D336,Hierarchy!$A$2:$A$1295,0))),"NODE NOT FOUND"))</f>
        <v>APAC</v>
      </c>
      <c r="H336" s="7" t="str">
        <f aca="false">IF($D336="","",IFERROR(IF(INDEX(Hierarchy!$E$2:$E$1295,MATCH($D336,Hierarchy!$A$2:$A$1295,0))="","",INDEX(Hierarchy!$E$2:$E$1295,MATCH($D336,Hierarchy!$A$2:$A$1295,0))),"NODE NOT FOUND"))</f>
        <v>East Asia</v>
      </c>
      <c r="I336" s="7" t="str">
        <f aca="false">IF($D336="","",IFERROR(IF(INDEX(Hierarchy!$F$2:$F$1295,MATCH($D336,Hierarchy!$A$2:$A$1295,0))="","",INDEX(Hierarchy!$F$2:$F$1295,MATCH($D336,Hierarchy!$A$2:$A$1295,0))),"NODE NOT FOUND"))</f>
        <v>Japan</v>
      </c>
      <c r="J336" s="7" t="str">
        <f aca="false">IF($D336="","",IFERROR(IF(INDEX(Hierarchy!$G$2:$G$1295,MATCH($D336,Hierarchy!$A$2:$A$1295,0))="","",INDEX(Hierarchy!$G$2:$G$1295,MATCH($D336,Hierarchy!$A$2:$A$1295,0))),"NODE NOT FOUND"))</f>
        <v>JPN</v>
      </c>
      <c r="K336" s="7" t="str">
        <f aca="false">IF($D336="","",IFERROR(IF(INDEX(Hierarchy!$H$2:$H$1295,MATCH($D336,Hierarchy!$A$2:$A$1295,0))="","",INDEX(Hierarchy!$H$2:$H$1295,MATCH($D336,Hierarchy!$A$2:$A$1295,0))),"NODE NOT FOUND"))</f>
        <v>Chiba</v>
      </c>
      <c r="L336" s="7" t="str">
        <f aca="false">IF($D336="","",IFERROR(IF(INDEX(Hierarchy!$I$2:$I$1295,MATCH($D336,Hierarchy!$A$2:$A$1295,0))="","",INDEX(Hierarchy!$I$2:$I$1295,MATCH($D336,Hierarchy!$A$2:$A$1295,0))),"NODE NOT FOUND"))</f>
        <v/>
      </c>
      <c r="M336" s="17" t="str">
        <f aca="false">IF(B336="Pre-seeded","Pre-seeded",IF(B336="Review 2026-09-16","Added from review",IF(C336="","New",IF(C336=D336,"","Changed"))))</f>
        <v>Pre-seeded</v>
      </c>
      <c r="N336" s="7" t="str">
        <f aca="false">TRIM(SUBSTITUTE(SUBSTITUTE(SUBSTITUTE(" "&amp;TRIM(SUBSTITUTE(SUBSTITUTE(SUBSTITUTE(SUBSTITUTE(SUBSTITUTE(SUBSTITUTE(SUBSTITUTE(SUBSTITUTE(SUBSTITUTE(SUBSTITUTE(SUBSTITUTE(SUBSTITUTE(SUBSTITUTE(SUBSTITUTE(SUBSTITUTE(UPPER(TRIM(A336)),"[MEMBER]",""),"{MEMBER}",""),"[MEMBER}",""),"MEMBER]",""),"(A)",""),"""",""),"“",""),"”",""),".",""),":",""),",",""),"–"," "),"-"," "),"/"," "),"&amp;"," AND "))&amp;" "," THE "," ")," TOTAL "," ")," OPERATIONS "," "))</f>
        <v>CHIBA</v>
      </c>
      <c r="O336" s="17" t="str">
        <f aca="false">IF(COUNTIFS($N$2:$N$2000,N336,$D$2:$D$2000,"&lt;&gt;"&amp;D336)&gt;0,"CONFLICT","")</f>
        <v/>
      </c>
      <c r="P336" s="7"/>
    </row>
    <row r="337" customFormat="false" ht="15" hidden="false" customHeight="false" outlineLevel="0" collapsed="false">
      <c r="A337" s="7" t="s">
        <v>180</v>
      </c>
      <c r="B337" s="7" t="s">
        <v>1882</v>
      </c>
      <c r="C337" s="7" t="s">
        <v>180</v>
      </c>
      <c r="D337" s="6" t="s">
        <v>180</v>
      </c>
      <c r="E337" s="6" t="s">
        <v>1880</v>
      </c>
      <c r="F337" s="7" t="str">
        <f aca="false">IF($D337="","",IFERROR(IF(INDEX(Hierarchy!$B$2:$B$1295,MATCH($D337,Hierarchy!$A$2:$A$1295,0))="","",INDEX(Hierarchy!$B$2:$B$1295,MATCH($D337,Hierarchy!$A$2:$A$1295,0))),"NODE NOT FOUND"))</f>
        <v>City</v>
      </c>
      <c r="G337" s="7" t="str">
        <f aca="false">IF($D337="","",IFERROR(IF(INDEX(Hierarchy!$D$2:$D$1295,MATCH($D337,Hierarchy!$A$2:$A$1295,0))="","",INDEX(Hierarchy!$D$2:$D$1295,MATCH($D337,Hierarchy!$A$2:$A$1295,0))),"NODE NOT FOUND"))</f>
        <v>AMER</v>
      </c>
      <c r="H337" s="7" t="str">
        <f aca="false">IF($D337="","",IFERROR(IF(INDEX(Hierarchy!$E$2:$E$1295,MATCH($D337,Hierarchy!$A$2:$A$1295,0))="","",INDEX(Hierarchy!$E$2:$E$1295,MATCH($D337,Hierarchy!$A$2:$A$1295,0))),"NODE NOT FOUND"))</f>
        <v>North America (NORAM)</v>
      </c>
      <c r="I337" s="7" t="str">
        <f aca="false">IF($D337="","",IFERROR(IF(INDEX(Hierarchy!$F$2:$F$1295,MATCH($D337,Hierarchy!$A$2:$A$1295,0))="","",INDEX(Hierarchy!$F$2:$F$1295,MATCH($D337,Hierarchy!$A$2:$A$1295,0))),"NODE NOT FOUND"))</f>
        <v>United States</v>
      </c>
      <c r="J337" s="7" t="str">
        <f aca="false">IF($D337="","",IFERROR(IF(INDEX(Hierarchy!$G$2:$G$1295,MATCH($D337,Hierarchy!$A$2:$A$1295,0))="","",INDEX(Hierarchy!$G$2:$G$1295,MATCH($D337,Hierarchy!$A$2:$A$1295,0))),"NODE NOT FOUND"))</f>
        <v>USA</v>
      </c>
      <c r="K337" s="7" t="str">
        <f aca="false">IF($D337="","",IFERROR(IF(INDEX(Hierarchy!$H$2:$H$1295,MATCH($D337,Hierarchy!$A$2:$A$1295,0))="","",INDEX(Hierarchy!$H$2:$H$1295,MATCH($D337,Hierarchy!$A$2:$A$1295,0))),"NODE NOT FOUND"))</f>
        <v>Illinois</v>
      </c>
      <c r="L337" s="7" t="str">
        <f aca="false">IF($D337="","",IFERROR(IF(INDEX(Hierarchy!$I$2:$I$1295,MATCH($D337,Hierarchy!$A$2:$A$1295,0))="","",INDEX(Hierarchy!$I$2:$I$1295,MATCH($D337,Hierarchy!$A$2:$A$1295,0))),"NODE NOT FOUND"))</f>
        <v>Chicago</v>
      </c>
      <c r="M337" s="17" t="str">
        <f aca="false">IF(B337="Pre-seeded","Pre-seeded",IF(B337="Review 2026-09-16","Added from review",IF(C337="","New",IF(C337=D337,"","Changed"))))</f>
        <v/>
      </c>
      <c r="N337" s="7" t="str">
        <f aca="false">TRIM(SUBSTITUTE(SUBSTITUTE(SUBSTITUTE(" "&amp;TRIM(SUBSTITUTE(SUBSTITUTE(SUBSTITUTE(SUBSTITUTE(SUBSTITUTE(SUBSTITUTE(SUBSTITUTE(SUBSTITUTE(SUBSTITUTE(SUBSTITUTE(SUBSTITUTE(SUBSTITUTE(SUBSTITUTE(SUBSTITUTE(SUBSTITUTE(UPPER(TRIM(A337)),"[MEMBER]",""),"{MEMBER}",""),"[MEMBER}",""),"MEMBER]",""),"(A)",""),"""",""),"“",""),"”",""),".",""),":",""),",",""),"–"," "),"-"," "),"/"," "),"&amp;"," AND "))&amp;" "," THE "," ")," TOTAL "," ")," OPERATIONS "," "))</f>
        <v>CHICAGO</v>
      </c>
      <c r="O337" s="17" t="str">
        <f aca="false">IF(COUNTIFS($N$2:$N$2000,N337,$D$2:$D$2000,"&lt;&gt;"&amp;D337)&gt;0,"CONFLICT","")</f>
        <v/>
      </c>
      <c r="P337" s="7"/>
    </row>
    <row r="338" customFormat="false" ht="15" hidden="false" customHeight="false" outlineLevel="0" collapsed="false">
      <c r="A338" s="7" t="s">
        <v>389</v>
      </c>
      <c r="B338" s="7" t="s">
        <v>1879</v>
      </c>
      <c r="C338" s="7"/>
      <c r="D338" s="6" t="s">
        <v>389</v>
      </c>
      <c r="E338" s="6" t="s">
        <v>1880</v>
      </c>
      <c r="F338" s="7" t="str">
        <f aca="false">IF($D338="","",IFERROR(IF(INDEX(Hierarchy!$B$2:$B$1295,MATCH($D338,Hierarchy!$A$2:$A$1295,0))="","",INDEX(Hierarchy!$B$2:$B$1295,MATCH($D338,Hierarchy!$A$2:$A$1295,0))),"NODE NOT FOUND"))</f>
        <v>State/Province</v>
      </c>
      <c r="G338" s="7" t="str">
        <f aca="false">IF($D338="","",IFERROR(IF(INDEX(Hierarchy!$D$2:$D$1295,MATCH($D338,Hierarchy!$A$2:$A$1295,0))="","",INDEX(Hierarchy!$D$2:$D$1295,MATCH($D338,Hierarchy!$A$2:$A$1295,0))),"NODE NOT FOUND"))</f>
        <v>AMER</v>
      </c>
      <c r="H338" s="7" t="str">
        <f aca="false">IF($D338="","",IFERROR(IF(INDEX(Hierarchy!$E$2:$E$1295,MATCH($D338,Hierarchy!$A$2:$A$1295,0))="","",INDEX(Hierarchy!$E$2:$E$1295,MATCH($D338,Hierarchy!$A$2:$A$1295,0))),"NODE NOT FOUND"))</f>
        <v>Latin America (LATAM)</v>
      </c>
      <c r="I338" s="7" t="str">
        <f aca="false">IF($D338="","",IFERROR(IF(INDEX(Hierarchy!$F$2:$F$1295,MATCH($D338,Hierarchy!$A$2:$A$1295,0))="","",INDEX(Hierarchy!$F$2:$F$1295,MATCH($D338,Hierarchy!$A$2:$A$1295,0))),"NODE NOT FOUND"))</f>
        <v>Mexico</v>
      </c>
      <c r="J338" s="7" t="str">
        <f aca="false">IF($D338="","",IFERROR(IF(INDEX(Hierarchy!$G$2:$G$1295,MATCH($D338,Hierarchy!$A$2:$A$1295,0))="","",INDEX(Hierarchy!$G$2:$G$1295,MATCH($D338,Hierarchy!$A$2:$A$1295,0))),"NODE NOT FOUND"))</f>
        <v>MEX</v>
      </c>
      <c r="K338" s="7" t="str">
        <f aca="false">IF($D338="","",IFERROR(IF(INDEX(Hierarchy!$H$2:$H$1295,MATCH($D338,Hierarchy!$A$2:$A$1295,0))="","",INDEX(Hierarchy!$H$2:$H$1295,MATCH($D338,Hierarchy!$A$2:$A$1295,0))),"NODE NOT FOUND"))</f>
        <v>Chihuahua</v>
      </c>
      <c r="L338" s="7" t="str">
        <f aca="false">IF($D338="","",IFERROR(IF(INDEX(Hierarchy!$I$2:$I$1295,MATCH($D338,Hierarchy!$A$2:$A$1295,0))="","",INDEX(Hierarchy!$I$2:$I$1295,MATCH($D338,Hierarchy!$A$2:$A$1295,0))),"NODE NOT FOUND"))</f>
        <v/>
      </c>
      <c r="M338" s="17" t="str">
        <f aca="false">IF(B338="Pre-seeded","Pre-seeded",IF(B338="Review 2026-09-16","Added from review",IF(C338="","New",IF(C338=D338,"","Changed"))))</f>
        <v>Pre-seeded</v>
      </c>
      <c r="N338" s="7" t="str">
        <f aca="false">TRIM(SUBSTITUTE(SUBSTITUTE(SUBSTITUTE(" "&amp;TRIM(SUBSTITUTE(SUBSTITUTE(SUBSTITUTE(SUBSTITUTE(SUBSTITUTE(SUBSTITUTE(SUBSTITUTE(SUBSTITUTE(SUBSTITUTE(SUBSTITUTE(SUBSTITUTE(SUBSTITUTE(SUBSTITUTE(SUBSTITUTE(SUBSTITUTE(UPPER(TRIM(A338)),"[MEMBER]",""),"{MEMBER}",""),"[MEMBER}",""),"MEMBER]",""),"(A)",""),"""",""),"“",""),"”",""),".",""),":",""),",",""),"–"," "),"-"," "),"/"," "),"&amp;"," AND "))&amp;" "," THE "," ")," TOTAL "," ")," OPERATIONS "," "))</f>
        <v>CHIHUAHUA</v>
      </c>
      <c r="O338" s="17" t="str">
        <f aca="false">IF(COUNTIFS($N$2:$N$2000,N338,$D$2:$D$2000,"&lt;&gt;"&amp;D338)&gt;0,"CONFLICT","")</f>
        <v/>
      </c>
      <c r="P338" s="7"/>
    </row>
    <row r="339" customFormat="false" ht="15" hidden="false" customHeight="false" outlineLevel="0" collapsed="false">
      <c r="A339" s="7" t="s">
        <v>476</v>
      </c>
      <c r="B339" s="7" t="s">
        <v>1882</v>
      </c>
      <c r="C339" s="7" t="s">
        <v>476</v>
      </c>
      <c r="D339" s="6" t="s">
        <v>476</v>
      </c>
      <c r="E339" s="6" t="s">
        <v>1880</v>
      </c>
      <c r="F339" s="7" t="str">
        <f aca="false">IF($D339="","",IFERROR(IF(INDEX(Hierarchy!$B$2:$B$1295,MATCH($D339,Hierarchy!$A$2:$A$1295,0))="","",INDEX(Hierarchy!$B$2:$B$1295,MATCH($D339,Hierarchy!$A$2:$A$1295,0))),"NODE NOT FOUND"))</f>
        <v>Country</v>
      </c>
      <c r="G339" s="7" t="str">
        <f aca="false">IF($D339="","",IFERROR(IF(INDEX(Hierarchy!$D$2:$D$1295,MATCH($D339,Hierarchy!$A$2:$A$1295,0))="","",INDEX(Hierarchy!$D$2:$D$1295,MATCH($D339,Hierarchy!$A$2:$A$1295,0))),"NODE NOT FOUND"))</f>
        <v>AMER</v>
      </c>
      <c r="H339" s="7" t="str">
        <f aca="false">IF($D339="","",IFERROR(IF(INDEX(Hierarchy!$E$2:$E$1295,MATCH($D339,Hierarchy!$A$2:$A$1295,0))="","",INDEX(Hierarchy!$E$2:$E$1295,MATCH($D339,Hierarchy!$A$2:$A$1295,0))),"NODE NOT FOUND"))</f>
        <v>Latin America (LATAM)</v>
      </c>
      <c r="I339" s="7" t="str">
        <f aca="false">IF($D339="","",IFERROR(IF(INDEX(Hierarchy!$F$2:$F$1295,MATCH($D339,Hierarchy!$A$2:$A$1295,0))="","",INDEX(Hierarchy!$F$2:$F$1295,MATCH($D339,Hierarchy!$A$2:$A$1295,0))),"NODE NOT FOUND"))</f>
        <v>Chile</v>
      </c>
      <c r="J339" s="7" t="str">
        <f aca="false">IF($D339="","",IFERROR(IF(INDEX(Hierarchy!$G$2:$G$1295,MATCH($D339,Hierarchy!$A$2:$A$1295,0))="","",INDEX(Hierarchy!$G$2:$G$1295,MATCH($D339,Hierarchy!$A$2:$A$1295,0))),"NODE NOT FOUND"))</f>
        <v>CHL</v>
      </c>
      <c r="K339" s="7" t="str">
        <f aca="false">IF($D339="","",IFERROR(IF(INDEX(Hierarchy!$H$2:$H$1295,MATCH($D339,Hierarchy!$A$2:$A$1295,0))="","",INDEX(Hierarchy!$H$2:$H$1295,MATCH($D339,Hierarchy!$A$2:$A$1295,0))),"NODE NOT FOUND"))</f>
        <v/>
      </c>
      <c r="L339" s="7" t="str">
        <f aca="false">IF($D339="","",IFERROR(IF(INDEX(Hierarchy!$I$2:$I$1295,MATCH($D339,Hierarchy!$A$2:$A$1295,0))="","",INDEX(Hierarchy!$I$2:$I$1295,MATCH($D339,Hierarchy!$A$2:$A$1295,0))),"NODE NOT FOUND"))</f>
        <v/>
      </c>
      <c r="M339" s="17" t="str">
        <f aca="false">IF(B339="Pre-seeded","Pre-seeded",IF(B339="Review 2026-09-16","Added from review",IF(C339="","New",IF(C339=D339,"","Changed"))))</f>
        <v/>
      </c>
      <c r="N339" s="7" t="str">
        <f aca="false">TRIM(SUBSTITUTE(SUBSTITUTE(SUBSTITUTE(" "&amp;TRIM(SUBSTITUTE(SUBSTITUTE(SUBSTITUTE(SUBSTITUTE(SUBSTITUTE(SUBSTITUTE(SUBSTITUTE(SUBSTITUTE(SUBSTITUTE(SUBSTITUTE(SUBSTITUTE(SUBSTITUTE(SUBSTITUTE(SUBSTITUTE(SUBSTITUTE(UPPER(TRIM(A339)),"[MEMBER]",""),"{MEMBER}",""),"[MEMBER}",""),"MEMBER]",""),"(A)",""),"""",""),"“",""),"”",""),".",""),":",""),",",""),"–"," "),"-"," "),"/"," "),"&amp;"," AND "))&amp;" "," THE "," ")," TOTAL "," ")," OPERATIONS "," "))</f>
        <v>CHILE</v>
      </c>
      <c r="O339" s="17" t="str">
        <f aca="false">IF(COUNTIFS($N$2:$N$2000,N339,$D$2:$D$2000,"&lt;&gt;"&amp;D339)&gt;0,"CONFLICT","")</f>
        <v/>
      </c>
      <c r="P339" s="7"/>
    </row>
    <row r="340" customFormat="false" ht="15" hidden="false" customHeight="false" outlineLevel="0" collapsed="false">
      <c r="A340" s="7" t="s">
        <v>1488</v>
      </c>
      <c r="B340" s="7" t="s">
        <v>1882</v>
      </c>
      <c r="C340" s="7" t="s">
        <v>1488</v>
      </c>
      <c r="D340" s="6" t="s">
        <v>1488</v>
      </c>
      <c r="E340" s="6" t="s">
        <v>1880</v>
      </c>
      <c r="F340" s="7" t="str">
        <f aca="false">IF($D340="","",IFERROR(IF(INDEX(Hierarchy!$B$2:$B$1295,MATCH($D340,Hierarchy!$A$2:$A$1295,0))="","",INDEX(Hierarchy!$B$2:$B$1295,MATCH($D340,Hierarchy!$A$2:$A$1295,0))),"NODE NOT FOUND"))</f>
        <v>Country</v>
      </c>
      <c r="G340" s="7" t="str">
        <f aca="false">IF($D340="","",IFERROR(IF(INDEX(Hierarchy!$D$2:$D$1295,MATCH($D340,Hierarchy!$A$2:$A$1295,0))="","",INDEX(Hierarchy!$D$2:$D$1295,MATCH($D340,Hierarchy!$A$2:$A$1295,0))),"NODE NOT FOUND"))</f>
        <v>APAC</v>
      </c>
      <c r="H340" s="7" t="str">
        <f aca="false">IF($D340="","",IFERROR(IF(INDEX(Hierarchy!$E$2:$E$1295,MATCH($D340,Hierarchy!$A$2:$A$1295,0))="","",INDEX(Hierarchy!$E$2:$E$1295,MATCH($D340,Hierarchy!$A$2:$A$1295,0))),"NODE NOT FOUND"))</f>
        <v>East Asia</v>
      </c>
      <c r="I340" s="7" t="str">
        <f aca="false">IF($D340="","",IFERROR(IF(INDEX(Hierarchy!$F$2:$F$1295,MATCH($D340,Hierarchy!$A$2:$A$1295,0))="","",INDEX(Hierarchy!$F$2:$F$1295,MATCH($D340,Hierarchy!$A$2:$A$1295,0))),"NODE NOT FOUND"))</f>
        <v>China</v>
      </c>
      <c r="J340" s="7" t="str">
        <f aca="false">IF($D340="","",IFERROR(IF(INDEX(Hierarchy!$G$2:$G$1295,MATCH($D340,Hierarchy!$A$2:$A$1295,0))="","",INDEX(Hierarchy!$G$2:$G$1295,MATCH($D340,Hierarchy!$A$2:$A$1295,0))),"NODE NOT FOUND"))</f>
        <v>CHN</v>
      </c>
      <c r="K340" s="7" t="str">
        <f aca="false">IF($D340="","",IFERROR(IF(INDEX(Hierarchy!$H$2:$H$1295,MATCH($D340,Hierarchy!$A$2:$A$1295,0))="","",INDEX(Hierarchy!$H$2:$H$1295,MATCH($D340,Hierarchy!$A$2:$A$1295,0))),"NODE NOT FOUND"))</f>
        <v/>
      </c>
      <c r="L340" s="7" t="str">
        <f aca="false">IF($D340="","",IFERROR(IF(INDEX(Hierarchy!$I$2:$I$1295,MATCH($D340,Hierarchy!$A$2:$A$1295,0))="","",INDEX(Hierarchy!$I$2:$I$1295,MATCH($D340,Hierarchy!$A$2:$A$1295,0))),"NODE NOT FOUND"))</f>
        <v/>
      </c>
      <c r="M340" s="17" t="str">
        <f aca="false">IF(B340="Pre-seeded","Pre-seeded",IF(B340="Review 2026-09-16","Added from review",IF(C340="","New",IF(C340=D340,"","Changed"))))</f>
        <v/>
      </c>
      <c r="N340" s="7" t="str">
        <f aca="false">TRIM(SUBSTITUTE(SUBSTITUTE(SUBSTITUTE(" "&amp;TRIM(SUBSTITUTE(SUBSTITUTE(SUBSTITUTE(SUBSTITUTE(SUBSTITUTE(SUBSTITUTE(SUBSTITUTE(SUBSTITUTE(SUBSTITUTE(SUBSTITUTE(SUBSTITUTE(SUBSTITUTE(SUBSTITUTE(SUBSTITUTE(SUBSTITUTE(UPPER(TRIM(A340)),"[MEMBER]",""),"{MEMBER}",""),"[MEMBER}",""),"MEMBER]",""),"(A)",""),"""",""),"“",""),"”",""),".",""),":",""),",",""),"–"," "),"-"," "),"/"," "),"&amp;"," AND "))&amp;" "," THE "," ")," TOTAL "," ")," OPERATIONS "," "))</f>
        <v>CHINA</v>
      </c>
      <c r="O340" s="17" t="str">
        <f aca="false">IF(COUNTIFS($N$2:$N$2000,N340,$D$2:$D$2000,"&lt;&gt;"&amp;D340)&gt;0,"CONFLICT","")</f>
        <v/>
      </c>
      <c r="P340" s="7"/>
    </row>
    <row r="341" customFormat="false" ht="15" hidden="false" customHeight="false" outlineLevel="0" collapsed="false">
      <c r="A341" s="7" t="s">
        <v>2049</v>
      </c>
      <c r="B341" s="7" t="s">
        <v>1882</v>
      </c>
      <c r="C341" s="7" t="s">
        <v>1488</v>
      </c>
      <c r="D341" s="6" t="s">
        <v>1488</v>
      </c>
      <c r="E341" s="6" t="s">
        <v>1880</v>
      </c>
      <c r="F341" s="7" t="str">
        <f aca="false">IF($D341="","",IFERROR(IF(INDEX(Hierarchy!$B$2:$B$1295,MATCH($D341,Hierarchy!$A$2:$A$1295,0))="","",INDEX(Hierarchy!$B$2:$B$1295,MATCH($D341,Hierarchy!$A$2:$A$1295,0))),"NODE NOT FOUND"))</f>
        <v>Country</v>
      </c>
      <c r="G341" s="7" t="str">
        <f aca="false">IF($D341="","",IFERROR(IF(INDEX(Hierarchy!$D$2:$D$1295,MATCH($D341,Hierarchy!$A$2:$A$1295,0))="","",INDEX(Hierarchy!$D$2:$D$1295,MATCH($D341,Hierarchy!$A$2:$A$1295,0))),"NODE NOT FOUND"))</f>
        <v>APAC</v>
      </c>
      <c r="H341" s="7" t="str">
        <f aca="false">IF($D341="","",IFERROR(IF(INDEX(Hierarchy!$E$2:$E$1295,MATCH($D341,Hierarchy!$A$2:$A$1295,0))="","",INDEX(Hierarchy!$E$2:$E$1295,MATCH($D341,Hierarchy!$A$2:$A$1295,0))),"NODE NOT FOUND"))</f>
        <v>East Asia</v>
      </c>
      <c r="I341" s="7" t="str">
        <f aca="false">IF($D341="","",IFERROR(IF(INDEX(Hierarchy!$F$2:$F$1295,MATCH($D341,Hierarchy!$A$2:$A$1295,0))="","",INDEX(Hierarchy!$F$2:$F$1295,MATCH($D341,Hierarchy!$A$2:$A$1295,0))),"NODE NOT FOUND"))</f>
        <v>China</v>
      </c>
      <c r="J341" s="7" t="str">
        <f aca="false">IF($D341="","",IFERROR(IF(INDEX(Hierarchy!$G$2:$G$1295,MATCH($D341,Hierarchy!$A$2:$A$1295,0))="","",INDEX(Hierarchy!$G$2:$G$1295,MATCH($D341,Hierarchy!$A$2:$A$1295,0))),"NODE NOT FOUND"))</f>
        <v>CHN</v>
      </c>
      <c r="K341" s="7" t="str">
        <f aca="false">IF($D341="","",IFERROR(IF(INDEX(Hierarchy!$H$2:$H$1295,MATCH($D341,Hierarchy!$A$2:$A$1295,0))="","",INDEX(Hierarchy!$H$2:$H$1295,MATCH($D341,Hierarchy!$A$2:$A$1295,0))),"NODE NOT FOUND"))</f>
        <v/>
      </c>
      <c r="L341" s="7" t="str">
        <f aca="false">IF($D341="","",IFERROR(IF(INDEX(Hierarchy!$I$2:$I$1295,MATCH($D341,Hierarchy!$A$2:$A$1295,0))="","",INDEX(Hierarchy!$I$2:$I$1295,MATCH($D341,Hierarchy!$A$2:$A$1295,0))),"NODE NOT FOUND"))</f>
        <v/>
      </c>
      <c r="M341" s="17" t="str">
        <f aca="false">IF(B341="Pre-seeded","Pre-seeded",IF(B341="Review 2026-09-16","Added from review",IF(C341="","New",IF(C341=D341,"","Changed"))))</f>
        <v/>
      </c>
      <c r="N341" s="7" t="str">
        <f aca="false">TRIM(SUBSTITUTE(SUBSTITUTE(SUBSTITUTE(" "&amp;TRIM(SUBSTITUTE(SUBSTITUTE(SUBSTITUTE(SUBSTITUTE(SUBSTITUTE(SUBSTITUTE(SUBSTITUTE(SUBSTITUTE(SUBSTITUTE(SUBSTITUTE(SUBSTITUTE(SUBSTITUTE(SUBSTITUTE(SUBSTITUTE(SUBSTITUTE(UPPER(TRIM(A341)),"[MEMBER]",""),"{MEMBER}",""),"[MEMBER}",""),"MEMBER]",""),"(A)",""),"""",""),"“",""),"”",""),".",""),":",""),",",""),"–"," "),"-"," "),"/"," "),"&amp;"," AND "))&amp;" "," THE "," ")," TOTAL "," ")," OPERATIONS "," "))</f>
        <v>CHINA</v>
      </c>
      <c r="O341" s="17" t="str">
        <f aca="false">IF(COUNTIFS($N$2:$N$2000,N341,$D$2:$D$2000,"&lt;&gt;"&amp;D341)&gt;0,"CONFLICT","")</f>
        <v/>
      </c>
      <c r="P341" s="7"/>
    </row>
    <row r="342" customFormat="false" ht="15" hidden="false" customHeight="false" outlineLevel="0" collapsed="false">
      <c r="A342" s="7" t="s">
        <v>2050</v>
      </c>
      <c r="B342" s="7" t="s">
        <v>1885</v>
      </c>
      <c r="C342" s="7" t="s">
        <v>1488</v>
      </c>
      <c r="D342" s="6" t="s">
        <v>1420</v>
      </c>
      <c r="E342" s="6" t="s">
        <v>1886</v>
      </c>
      <c r="F342" s="7" t="str">
        <f aca="false">IF($D342="","",IFERROR(IF(INDEX(Hierarchy!$B$2:$B$1295,MATCH($D342,Hierarchy!$A$2:$A$1295,0))="","",INDEX(Hierarchy!$B$2:$B$1295,MATCH($D342,Hierarchy!$A$2:$A$1295,0))),"NODE NOT FOUND"))</f>
        <v>Sub-region component</v>
      </c>
      <c r="G342" s="7" t="str">
        <f aca="false">IF($D342="","",IFERROR(IF(INDEX(Hierarchy!$D$2:$D$1295,MATCH($D342,Hierarchy!$A$2:$A$1295,0))="","",INDEX(Hierarchy!$D$2:$D$1295,MATCH($D342,Hierarchy!$A$2:$A$1295,0))),"NODE NOT FOUND"))</f>
        <v>APAC</v>
      </c>
      <c r="H342" s="7" t="str">
        <f aca="false">IF($D342="","",IFERROR(IF(INDEX(Hierarchy!$E$2:$E$1295,MATCH($D342,Hierarchy!$A$2:$A$1295,0))="","",INDEX(Hierarchy!$E$2:$E$1295,MATCH($D342,Hierarchy!$A$2:$A$1295,0))),"NODE NOT FOUND"))</f>
        <v>East Asia</v>
      </c>
      <c r="I342" s="7" t="str">
        <f aca="false">IF($D342="","",IFERROR(IF(INDEX(Hierarchy!$F$2:$F$1295,MATCH($D342,Hierarchy!$A$2:$A$1295,0))="","",INDEX(Hierarchy!$F$2:$F$1295,MATCH($D342,Hierarchy!$A$2:$A$1295,0))),"NODE NOT FOUND"))</f>
        <v/>
      </c>
      <c r="J342" s="7" t="str">
        <f aca="false">IF($D342="","",IFERROR(IF(INDEX(Hierarchy!$G$2:$G$1295,MATCH($D342,Hierarchy!$A$2:$A$1295,0))="","",INDEX(Hierarchy!$G$2:$G$1295,MATCH($D342,Hierarchy!$A$2:$A$1295,0))),"NODE NOT FOUND"))</f>
        <v/>
      </c>
      <c r="K342" s="7" t="str">
        <f aca="false">IF($D342="","",IFERROR(IF(INDEX(Hierarchy!$H$2:$H$1295,MATCH($D342,Hierarchy!$A$2:$A$1295,0))="","",INDEX(Hierarchy!$H$2:$H$1295,MATCH($D342,Hierarchy!$A$2:$A$1295,0))),"NODE NOT FOUND"))</f>
        <v/>
      </c>
      <c r="L342" s="7" t="str">
        <f aca="false">IF($D342="","",IFERROR(IF(INDEX(Hierarchy!$I$2:$I$1295,MATCH($D342,Hierarchy!$A$2:$A$1295,0))="","",INDEX(Hierarchy!$I$2:$I$1295,MATCH($D342,Hierarchy!$A$2:$A$1295,0))),"NODE NOT FOUND"))</f>
        <v/>
      </c>
      <c r="M342" s="17" t="str">
        <f aca="false">IF(B342="Pre-seeded","Pre-seeded",IF(B342="Review 2026-09-16","Added from review",IF(C342="","New",IF(C342=D342,"","Changed"))))</f>
        <v>Changed</v>
      </c>
      <c r="N342" s="7" t="str">
        <f aca="false">TRIM(SUBSTITUTE(SUBSTITUTE(SUBSTITUTE(" "&amp;TRIM(SUBSTITUTE(SUBSTITUTE(SUBSTITUTE(SUBSTITUTE(SUBSTITUTE(SUBSTITUTE(SUBSTITUTE(SUBSTITUTE(SUBSTITUTE(SUBSTITUTE(SUBSTITUTE(SUBSTITUTE(SUBSTITUTE(SUBSTITUTE(SUBSTITUTE(UPPER(TRIM(A342)),"[MEMBER]",""),"{MEMBER}",""),"[MEMBER}",""),"MEMBER]",""),"(A)",""),"""",""),"“",""),"”",""),".",""),":",""),",",""),"–"," "),"-"," "),"/"," "),"&amp;"," AND "))&amp;" "," THE "," ")," TOTAL "," ")," OPERATIONS "," "))</f>
        <v>CHINA (INCLUDING HONG KONG)</v>
      </c>
      <c r="O342" s="17" t="str">
        <f aca="false">IF(COUNTIFS($N$2:$N$2000,N342,$D$2:$D$2000,"&lt;&gt;"&amp;D342)&gt;0,"CONFLICT","")</f>
        <v/>
      </c>
      <c r="P342" s="7" t="s">
        <v>2051</v>
      </c>
    </row>
    <row r="343" customFormat="false" ht="15" hidden="false" customHeight="false" outlineLevel="0" collapsed="false">
      <c r="A343" s="7" t="s">
        <v>2052</v>
      </c>
      <c r="B343" s="7" t="s">
        <v>1885</v>
      </c>
      <c r="C343" s="7" t="s">
        <v>1488</v>
      </c>
      <c r="D343" s="6" t="s">
        <v>1420</v>
      </c>
      <c r="E343" s="6" t="s">
        <v>1886</v>
      </c>
      <c r="F343" s="7" t="str">
        <f aca="false">IF($D343="","",IFERROR(IF(INDEX(Hierarchy!$B$2:$B$1295,MATCH($D343,Hierarchy!$A$2:$A$1295,0))="","",INDEX(Hierarchy!$B$2:$B$1295,MATCH($D343,Hierarchy!$A$2:$A$1295,0))),"NODE NOT FOUND"))</f>
        <v>Sub-region component</v>
      </c>
      <c r="G343" s="7" t="str">
        <f aca="false">IF($D343="","",IFERROR(IF(INDEX(Hierarchy!$D$2:$D$1295,MATCH($D343,Hierarchy!$A$2:$A$1295,0))="","",INDEX(Hierarchy!$D$2:$D$1295,MATCH($D343,Hierarchy!$A$2:$A$1295,0))),"NODE NOT FOUND"))</f>
        <v>APAC</v>
      </c>
      <c r="H343" s="7" t="str">
        <f aca="false">IF($D343="","",IFERROR(IF(INDEX(Hierarchy!$E$2:$E$1295,MATCH($D343,Hierarchy!$A$2:$A$1295,0))="","",INDEX(Hierarchy!$E$2:$E$1295,MATCH($D343,Hierarchy!$A$2:$A$1295,0))),"NODE NOT FOUND"))</f>
        <v>East Asia</v>
      </c>
      <c r="I343" s="7" t="str">
        <f aca="false">IF($D343="","",IFERROR(IF(INDEX(Hierarchy!$F$2:$F$1295,MATCH($D343,Hierarchy!$A$2:$A$1295,0))="","",INDEX(Hierarchy!$F$2:$F$1295,MATCH($D343,Hierarchy!$A$2:$A$1295,0))),"NODE NOT FOUND"))</f>
        <v/>
      </c>
      <c r="J343" s="7" t="str">
        <f aca="false">IF($D343="","",IFERROR(IF(INDEX(Hierarchy!$G$2:$G$1295,MATCH($D343,Hierarchy!$A$2:$A$1295,0))="","",INDEX(Hierarchy!$G$2:$G$1295,MATCH($D343,Hierarchy!$A$2:$A$1295,0))),"NODE NOT FOUND"))</f>
        <v/>
      </c>
      <c r="K343" s="7" t="str">
        <f aca="false">IF($D343="","",IFERROR(IF(INDEX(Hierarchy!$H$2:$H$1295,MATCH($D343,Hierarchy!$A$2:$A$1295,0))="","",INDEX(Hierarchy!$H$2:$H$1295,MATCH($D343,Hierarchy!$A$2:$A$1295,0))),"NODE NOT FOUND"))</f>
        <v/>
      </c>
      <c r="L343" s="7" t="str">
        <f aca="false">IF($D343="","",IFERROR(IF(INDEX(Hierarchy!$I$2:$I$1295,MATCH($D343,Hierarchy!$A$2:$A$1295,0))="","",INDEX(Hierarchy!$I$2:$I$1295,MATCH($D343,Hierarchy!$A$2:$A$1295,0))),"NODE NOT FOUND"))</f>
        <v/>
      </c>
      <c r="M343" s="17" t="str">
        <f aca="false">IF(B343="Pre-seeded","Pre-seeded",IF(B343="Review 2026-09-16","Added from review",IF(C343="","New",IF(C343=D343,"","Changed"))))</f>
        <v>Changed</v>
      </c>
      <c r="N343" s="7" t="str">
        <f aca="false">TRIM(SUBSTITUTE(SUBSTITUTE(SUBSTITUTE(" "&amp;TRIM(SUBSTITUTE(SUBSTITUTE(SUBSTITUTE(SUBSTITUTE(SUBSTITUTE(SUBSTITUTE(SUBSTITUTE(SUBSTITUTE(SUBSTITUTE(SUBSTITUTE(SUBSTITUTE(SUBSTITUTE(SUBSTITUTE(SUBSTITUTE(SUBSTITUTE(UPPER(TRIM(A343)),"[MEMBER]",""),"{MEMBER}",""),"[MEMBER}",""),"MEMBER]",""),"(A)",""),"""",""),"“",""),"”",""),".",""),":",""),",",""),"–"," "),"-"," "),"/"," "),"&amp;"," AND "))&amp;" "," THE "," ")," TOTAL "," ")," OPERATIONS "," "))</f>
        <v>CHINA (INCLUDING TAIWAN)</v>
      </c>
      <c r="O343" s="17" t="str">
        <f aca="false">IF(COUNTIFS($N$2:$N$2000,N343,$D$2:$D$2000,"&lt;&gt;"&amp;D343)&gt;0,"CONFLICT","")</f>
        <v/>
      </c>
      <c r="P343" s="7"/>
    </row>
    <row r="344" customFormat="false" ht="15" hidden="false" customHeight="false" outlineLevel="0" collapsed="false">
      <c r="A344" s="7" t="s">
        <v>2053</v>
      </c>
      <c r="B344" s="7" t="s">
        <v>1885</v>
      </c>
      <c r="C344" s="7" t="s">
        <v>1488</v>
      </c>
      <c r="D344" s="6" t="s">
        <v>1420</v>
      </c>
      <c r="E344" s="6" t="s">
        <v>1886</v>
      </c>
      <c r="F344" s="7" t="str">
        <f aca="false">IF($D344="","",IFERROR(IF(INDEX(Hierarchy!$B$2:$B$1295,MATCH($D344,Hierarchy!$A$2:$A$1295,0))="","",INDEX(Hierarchy!$B$2:$B$1295,MATCH($D344,Hierarchy!$A$2:$A$1295,0))),"NODE NOT FOUND"))</f>
        <v>Sub-region component</v>
      </c>
      <c r="G344" s="7" t="str">
        <f aca="false">IF($D344="","",IFERROR(IF(INDEX(Hierarchy!$D$2:$D$1295,MATCH($D344,Hierarchy!$A$2:$A$1295,0))="","",INDEX(Hierarchy!$D$2:$D$1295,MATCH($D344,Hierarchy!$A$2:$A$1295,0))),"NODE NOT FOUND"))</f>
        <v>APAC</v>
      </c>
      <c r="H344" s="7" t="str">
        <f aca="false">IF($D344="","",IFERROR(IF(INDEX(Hierarchy!$E$2:$E$1295,MATCH($D344,Hierarchy!$A$2:$A$1295,0))="","",INDEX(Hierarchy!$E$2:$E$1295,MATCH($D344,Hierarchy!$A$2:$A$1295,0))),"NODE NOT FOUND"))</f>
        <v>East Asia</v>
      </c>
      <c r="I344" s="7" t="str">
        <f aca="false">IF($D344="","",IFERROR(IF(INDEX(Hierarchy!$F$2:$F$1295,MATCH($D344,Hierarchy!$A$2:$A$1295,0))="","",INDEX(Hierarchy!$F$2:$F$1295,MATCH($D344,Hierarchy!$A$2:$A$1295,0))),"NODE NOT FOUND"))</f>
        <v/>
      </c>
      <c r="J344" s="7" t="str">
        <f aca="false">IF($D344="","",IFERROR(IF(INDEX(Hierarchy!$G$2:$G$1295,MATCH($D344,Hierarchy!$A$2:$A$1295,0))="","",INDEX(Hierarchy!$G$2:$G$1295,MATCH($D344,Hierarchy!$A$2:$A$1295,0))),"NODE NOT FOUND"))</f>
        <v/>
      </c>
      <c r="K344" s="7" t="str">
        <f aca="false">IF($D344="","",IFERROR(IF(INDEX(Hierarchy!$H$2:$H$1295,MATCH($D344,Hierarchy!$A$2:$A$1295,0))="","",INDEX(Hierarchy!$H$2:$H$1295,MATCH($D344,Hierarchy!$A$2:$A$1295,0))),"NODE NOT FOUND"))</f>
        <v/>
      </c>
      <c r="L344" s="7" t="str">
        <f aca="false">IF($D344="","",IFERROR(IF(INDEX(Hierarchy!$I$2:$I$1295,MATCH($D344,Hierarchy!$A$2:$A$1295,0))="","",INDEX(Hierarchy!$I$2:$I$1295,MATCH($D344,Hierarchy!$A$2:$A$1295,0))),"NODE NOT FOUND"))</f>
        <v/>
      </c>
      <c r="M344" s="17" t="str">
        <f aca="false">IF(B344="Pre-seeded","Pre-seeded",IF(B344="Review 2026-09-16","Added from review",IF(C344="","New",IF(C344=D344,"","Changed"))))</f>
        <v>Changed</v>
      </c>
      <c r="N344" s="7" t="str">
        <f aca="false">TRIM(SUBSTITUTE(SUBSTITUTE(SUBSTITUTE(" "&amp;TRIM(SUBSTITUTE(SUBSTITUTE(SUBSTITUTE(SUBSTITUTE(SUBSTITUTE(SUBSTITUTE(SUBSTITUTE(SUBSTITUTE(SUBSTITUTE(SUBSTITUTE(SUBSTITUTE(SUBSTITUTE(SUBSTITUTE(SUBSTITUTE(SUBSTITUTE(UPPER(TRIM(A344)),"[MEMBER]",""),"{MEMBER}",""),"[MEMBER}",""),"MEMBER]",""),"(A)",""),"""",""),"“",""),"”",""),".",""),":",""),",",""),"–"," "),"-"," "),"/"," "),"&amp;"," AND "))&amp;" "," THE "," ")," TOTAL "," ")," OPERATIONS "," "))</f>
        <v>CHINA AND HONG KONG</v>
      </c>
      <c r="O344" s="17" t="str">
        <f aca="false">IF(COUNTIFS($N$2:$N$2000,N344,$D$2:$D$2000,"&lt;&gt;"&amp;D344)&gt;0,"CONFLICT","")</f>
        <v/>
      </c>
      <c r="P344" s="7"/>
    </row>
    <row r="345" customFormat="false" ht="15" hidden="false" customHeight="false" outlineLevel="0" collapsed="false">
      <c r="A345" s="7" t="s">
        <v>2054</v>
      </c>
      <c r="B345" s="7" t="s">
        <v>1954</v>
      </c>
      <c r="C345" s="7"/>
      <c r="D345" s="6" t="s">
        <v>1420</v>
      </c>
      <c r="E345" s="6" t="s">
        <v>1886</v>
      </c>
      <c r="F345" s="7" t="str">
        <f aca="false">IF($D345="","",IFERROR(IF(INDEX(Hierarchy!$B$2:$B$1295,MATCH($D345,Hierarchy!$A$2:$A$1295,0))="","",INDEX(Hierarchy!$B$2:$B$1295,MATCH($D345,Hierarchy!$A$2:$A$1295,0))),"NODE NOT FOUND"))</f>
        <v>Sub-region component</v>
      </c>
      <c r="G345" s="7" t="str">
        <f aca="false">IF($D345="","",IFERROR(IF(INDEX(Hierarchy!$D$2:$D$1295,MATCH($D345,Hierarchy!$A$2:$A$1295,0))="","",INDEX(Hierarchy!$D$2:$D$1295,MATCH($D345,Hierarchy!$A$2:$A$1295,0))),"NODE NOT FOUND"))</f>
        <v>APAC</v>
      </c>
      <c r="H345" s="7" t="str">
        <f aca="false">IF($D345="","",IFERROR(IF(INDEX(Hierarchy!$E$2:$E$1295,MATCH($D345,Hierarchy!$A$2:$A$1295,0))="","",INDEX(Hierarchy!$E$2:$E$1295,MATCH($D345,Hierarchy!$A$2:$A$1295,0))),"NODE NOT FOUND"))</f>
        <v>East Asia</v>
      </c>
      <c r="I345" s="7" t="str">
        <f aca="false">IF($D345="","",IFERROR(IF(INDEX(Hierarchy!$F$2:$F$1295,MATCH($D345,Hierarchy!$A$2:$A$1295,0))="","",INDEX(Hierarchy!$F$2:$F$1295,MATCH($D345,Hierarchy!$A$2:$A$1295,0))),"NODE NOT FOUND"))</f>
        <v/>
      </c>
      <c r="J345" s="7" t="str">
        <f aca="false">IF($D345="","",IFERROR(IF(INDEX(Hierarchy!$G$2:$G$1295,MATCH($D345,Hierarchy!$A$2:$A$1295,0))="","",INDEX(Hierarchy!$G$2:$G$1295,MATCH($D345,Hierarchy!$A$2:$A$1295,0))),"NODE NOT FOUND"))</f>
        <v/>
      </c>
      <c r="K345" s="7" t="str">
        <f aca="false">IF($D345="","",IFERROR(IF(INDEX(Hierarchy!$H$2:$H$1295,MATCH($D345,Hierarchy!$A$2:$A$1295,0))="","",INDEX(Hierarchy!$H$2:$H$1295,MATCH($D345,Hierarchy!$A$2:$A$1295,0))),"NODE NOT FOUND"))</f>
        <v/>
      </c>
      <c r="L345" s="7" t="str">
        <f aca="false">IF($D345="","",IFERROR(IF(INDEX(Hierarchy!$I$2:$I$1295,MATCH($D345,Hierarchy!$A$2:$A$1295,0))="","",INDEX(Hierarchy!$I$2:$I$1295,MATCH($D345,Hierarchy!$A$2:$A$1295,0))),"NODE NOT FOUND"))</f>
        <v/>
      </c>
      <c r="M345" s="17" t="str">
        <f aca="false">IF(B345="Pre-seeded","Pre-seeded",IF(B345="Review 2026-09-16","Added from review",IF(C345="","New",IF(C345=D345,"","Changed"))))</f>
        <v>Added from review</v>
      </c>
      <c r="N345" s="7" t="str">
        <f aca="false">TRIM(SUBSTITUTE(SUBSTITUTE(SUBSTITUTE(" "&amp;TRIM(SUBSTITUTE(SUBSTITUTE(SUBSTITUTE(SUBSTITUTE(SUBSTITUTE(SUBSTITUTE(SUBSTITUTE(SUBSTITUTE(SUBSTITUTE(SUBSTITUTE(SUBSTITUTE(SUBSTITUTE(SUBSTITUTE(SUBSTITUTE(SUBSTITUTE(UPPER(TRIM(A345)),"[MEMBER]",""),"{MEMBER}",""),"[MEMBER}",""),"MEMBER]",""),"(A)",""),"""",""),"“",""),"”",""),".",""),":",""),",",""),"–"," "),"-"," "),"/"," "),"&amp;"," AND "))&amp;" "," THE "," ")," TOTAL "," ")," OPERATIONS "," "))</f>
        <v>CHINA INCLUDING HONG KONG</v>
      </c>
      <c r="O345" s="17" t="str">
        <f aca="false">IF(COUNTIFS($N$2:$N$2000,N345,$D$2:$D$2000,"&lt;&gt;"&amp;D345)&gt;0,"CONFLICT","")</f>
        <v/>
      </c>
      <c r="P345" s="7" t="s">
        <v>1968</v>
      </c>
    </row>
    <row r="346" customFormat="false" ht="15" hidden="false" customHeight="false" outlineLevel="0" collapsed="false">
      <c r="A346" s="7" t="s">
        <v>2055</v>
      </c>
      <c r="B346" s="7" t="s">
        <v>1885</v>
      </c>
      <c r="C346" s="7" t="s">
        <v>1488</v>
      </c>
      <c r="D346" s="6" t="s">
        <v>1488</v>
      </c>
      <c r="E346" s="6" t="s">
        <v>1880</v>
      </c>
      <c r="F346" s="7" t="str">
        <f aca="false">IF($D346="","",IFERROR(IF(INDEX(Hierarchy!$B$2:$B$1295,MATCH($D346,Hierarchy!$A$2:$A$1295,0))="","",INDEX(Hierarchy!$B$2:$B$1295,MATCH($D346,Hierarchy!$A$2:$A$1295,0))),"NODE NOT FOUND"))</f>
        <v>Country</v>
      </c>
      <c r="G346" s="7" t="str">
        <f aca="false">IF($D346="","",IFERROR(IF(INDEX(Hierarchy!$D$2:$D$1295,MATCH($D346,Hierarchy!$A$2:$A$1295,0))="","",INDEX(Hierarchy!$D$2:$D$1295,MATCH($D346,Hierarchy!$A$2:$A$1295,0))),"NODE NOT FOUND"))</f>
        <v>APAC</v>
      </c>
      <c r="H346" s="7" t="str">
        <f aca="false">IF($D346="","",IFERROR(IF(INDEX(Hierarchy!$E$2:$E$1295,MATCH($D346,Hierarchy!$A$2:$A$1295,0))="","",INDEX(Hierarchy!$E$2:$E$1295,MATCH($D346,Hierarchy!$A$2:$A$1295,0))),"NODE NOT FOUND"))</f>
        <v>East Asia</v>
      </c>
      <c r="I346" s="7" t="str">
        <f aca="false">IF($D346="","",IFERROR(IF(INDEX(Hierarchy!$F$2:$F$1295,MATCH($D346,Hierarchy!$A$2:$A$1295,0))="","",INDEX(Hierarchy!$F$2:$F$1295,MATCH($D346,Hierarchy!$A$2:$A$1295,0))),"NODE NOT FOUND"))</f>
        <v>China</v>
      </c>
      <c r="J346" s="7" t="str">
        <f aca="false">IF($D346="","",IFERROR(IF(INDEX(Hierarchy!$G$2:$G$1295,MATCH($D346,Hierarchy!$A$2:$A$1295,0))="","",INDEX(Hierarchy!$G$2:$G$1295,MATCH($D346,Hierarchy!$A$2:$A$1295,0))),"NODE NOT FOUND"))</f>
        <v>CHN</v>
      </c>
      <c r="K346" s="7" t="str">
        <f aca="false">IF($D346="","",IFERROR(IF(INDEX(Hierarchy!$H$2:$H$1295,MATCH($D346,Hierarchy!$A$2:$A$1295,0))="","",INDEX(Hierarchy!$H$2:$H$1295,MATCH($D346,Hierarchy!$A$2:$A$1295,0))),"NODE NOT FOUND"))</f>
        <v/>
      </c>
      <c r="L346" s="7" t="str">
        <f aca="false">IF($D346="","",IFERROR(IF(INDEX(Hierarchy!$I$2:$I$1295,MATCH($D346,Hierarchy!$A$2:$A$1295,0))="","",INDEX(Hierarchy!$I$2:$I$1295,MATCH($D346,Hierarchy!$A$2:$A$1295,0))),"NODE NOT FOUND"))</f>
        <v/>
      </c>
      <c r="M346" s="17" t="str">
        <f aca="false">IF(B346="Pre-seeded","Pre-seeded",IF(B346="Review 2026-09-16","Added from review",IF(C346="","New",IF(C346=D346,"","Changed"))))</f>
        <v/>
      </c>
      <c r="N346" s="7" t="str">
        <f aca="false">TRIM(SUBSTITUTE(SUBSTITUTE(SUBSTITUTE(" "&amp;TRIM(SUBSTITUTE(SUBSTITUTE(SUBSTITUTE(SUBSTITUTE(SUBSTITUTE(SUBSTITUTE(SUBSTITUTE(SUBSTITUTE(SUBSTITUTE(SUBSTITUTE(SUBSTITUTE(SUBSTITUTE(SUBSTITUTE(SUBSTITUTE(SUBSTITUTE(UPPER(TRIM(A346)),"[MEMBER]",""),"{MEMBER}",""),"[MEMBER}",""),"MEMBER]",""),"(A)",""),"""",""),"“",""),"”",""),".",""),":",""),",",""),"–"," "),"-"," "),"/"," "),"&amp;"," AND "))&amp;" "," THE "," ")," TOTAL "," ")," OPERATIONS "," "))</f>
        <v>CHINA MAINLAND</v>
      </c>
      <c r="O346" s="17" t="str">
        <f aca="false">IF(COUNTIFS($N$2:$N$2000,N346,$D$2:$D$2000,"&lt;&gt;"&amp;D346)&gt;0,"CONFLICT","")</f>
        <v/>
      </c>
      <c r="P346" s="7"/>
    </row>
    <row r="347" customFormat="false" ht="15" hidden="false" customHeight="false" outlineLevel="0" collapsed="false">
      <c r="A347" s="7" t="s">
        <v>2056</v>
      </c>
      <c r="B347" s="7" t="s">
        <v>1882</v>
      </c>
      <c r="C347" s="7" t="s">
        <v>1488</v>
      </c>
      <c r="D347" s="6" t="s">
        <v>1488</v>
      </c>
      <c r="E347" s="6" t="s">
        <v>1880</v>
      </c>
      <c r="F347" s="7" t="str">
        <f aca="false">IF($D347="","",IFERROR(IF(INDEX(Hierarchy!$B$2:$B$1295,MATCH($D347,Hierarchy!$A$2:$A$1295,0))="","",INDEX(Hierarchy!$B$2:$B$1295,MATCH($D347,Hierarchy!$A$2:$A$1295,0))),"NODE NOT FOUND"))</f>
        <v>Country</v>
      </c>
      <c r="G347" s="7" t="str">
        <f aca="false">IF($D347="","",IFERROR(IF(INDEX(Hierarchy!$D$2:$D$1295,MATCH($D347,Hierarchy!$A$2:$A$1295,0))="","",INDEX(Hierarchy!$D$2:$D$1295,MATCH($D347,Hierarchy!$A$2:$A$1295,0))),"NODE NOT FOUND"))</f>
        <v>APAC</v>
      </c>
      <c r="H347" s="7" t="str">
        <f aca="false">IF($D347="","",IFERROR(IF(INDEX(Hierarchy!$E$2:$E$1295,MATCH($D347,Hierarchy!$A$2:$A$1295,0))="","",INDEX(Hierarchy!$E$2:$E$1295,MATCH($D347,Hierarchy!$A$2:$A$1295,0))),"NODE NOT FOUND"))</f>
        <v>East Asia</v>
      </c>
      <c r="I347" s="7" t="str">
        <f aca="false">IF($D347="","",IFERROR(IF(INDEX(Hierarchy!$F$2:$F$1295,MATCH($D347,Hierarchy!$A$2:$A$1295,0))="","",INDEX(Hierarchy!$F$2:$F$1295,MATCH($D347,Hierarchy!$A$2:$A$1295,0))),"NODE NOT FOUND"))</f>
        <v>China</v>
      </c>
      <c r="J347" s="7" t="str">
        <f aca="false">IF($D347="","",IFERROR(IF(INDEX(Hierarchy!$G$2:$G$1295,MATCH($D347,Hierarchy!$A$2:$A$1295,0))="","",INDEX(Hierarchy!$G$2:$G$1295,MATCH($D347,Hierarchy!$A$2:$A$1295,0))),"NODE NOT FOUND"))</f>
        <v>CHN</v>
      </c>
      <c r="K347" s="7" t="str">
        <f aca="false">IF($D347="","",IFERROR(IF(INDEX(Hierarchy!$H$2:$H$1295,MATCH($D347,Hierarchy!$A$2:$A$1295,0))="","",INDEX(Hierarchy!$H$2:$H$1295,MATCH($D347,Hierarchy!$A$2:$A$1295,0))),"NODE NOT FOUND"))</f>
        <v/>
      </c>
      <c r="L347" s="7" t="str">
        <f aca="false">IF($D347="","",IFERROR(IF(INDEX(Hierarchy!$I$2:$I$1295,MATCH($D347,Hierarchy!$A$2:$A$1295,0))="","",INDEX(Hierarchy!$I$2:$I$1295,MATCH($D347,Hierarchy!$A$2:$A$1295,0))),"NODE NOT FOUND"))</f>
        <v/>
      </c>
      <c r="M347" s="17" t="str">
        <f aca="false">IF(B347="Pre-seeded","Pre-seeded",IF(B347="Review 2026-09-16","Added from review",IF(C347="","New",IF(C347=D347,"","Changed"))))</f>
        <v/>
      </c>
      <c r="N347" s="7" t="str">
        <f aca="false">TRIM(SUBSTITUTE(SUBSTITUTE(SUBSTITUTE(" "&amp;TRIM(SUBSTITUTE(SUBSTITUTE(SUBSTITUTE(SUBSTITUTE(SUBSTITUTE(SUBSTITUTE(SUBSTITUTE(SUBSTITUTE(SUBSTITUTE(SUBSTITUTE(SUBSTITUTE(SUBSTITUTE(SUBSTITUTE(SUBSTITUTE(SUBSTITUTE(UPPER(TRIM(A347)),"[MEMBER]",""),"{MEMBER}",""),"[MEMBER}",""),"MEMBER]",""),"(A)",""),"""",""),"“",""),"”",""),".",""),":",""),",",""),"–"," "),"-"," "),"/"," "),"&amp;"," AND "))&amp;" "," THE "," ")," TOTAL "," ")," OPERATIONS "," "))</f>
        <v>CHINA REGION</v>
      </c>
      <c r="O347" s="17" t="str">
        <f aca="false">IF(COUNTIFS($N$2:$N$2000,N347,$D$2:$D$2000,"&lt;&gt;"&amp;D347)&gt;0,"CONFLICT","")</f>
        <v/>
      </c>
      <c r="P347" s="7"/>
    </row>
    <row r="348" customFormat="false" ht="15" hidden="false" customHeight="false" outlineLevel="0" collapsed="false">
      <c r="A348" s="7" t="s">
        <v>2057</v>
      </c>
      <c r="B348" s="7" t="s">
        <v>1879</v>
      </c>
      <c r="C348" s="7"/>
      <c r="D348" s="6" t="s">
        <v>1582</v>
      </c>
      <c r="E348" s="6" t="s">
        <v>1880</v>
      </c>
      <c r="F348" s="7" t="str">
        <f aca="false">IF($D348="","",IFERROR(IF(INDEX(Hierarchy!$B$2:$B$1295,MATCH($D348,Hierarchy!$A$2:$A$1295,0))="","",INDEX(Hierarchy!$B$2:$B$1295,MATCH($D348,Hierarchy!$A$2:$A$1295,0))),"NODE NOT FOUND"))</f>
        <v>Country</v>
      </c>
      <c r="G348" s="7" t="str">
        <f aca="false">IF($D348="","",IFERROR(IF(INDEX(Hierarchy!$D$2:$D$1295,MATCH($D348,Hierarchy!$A$2:$A$1295,0))="","",INDEX(Hierarchy!$D$2:$D$1295,MATCH($D348,Hierarchy!$A$2:$A$1295,0))),"NODE NOT FOUND"))</f>
        <v>APAC</v>
      </c>
      <c r="H348" s="7" t="str">
        <f aca="false">IF($D348="","",IFERROR(IF(INDEX(Hierarchy!$E$2:$E$1295,MATCH($D348,Hierarchy!$A$2:$A$1295,0))="","",INDEX(Hierarchy!$E$2:$E$1295,MATCH($D348,Hierarchy!$A$2:$A$1295,0))),"NODE NOT FOUND"))</f>
        <v>East Asia</v>
      </c>
      <c r="I348" s="7" t="str">
        <f aca="false">IF($D348="","",IFERROR(IF(INDEX(Hierarchy!$F$2:$F$1295,MATCH($D348,Hierarchy!$A$2:$A$1295,0))="","",INDEX(Hierarchy!$F$2:$F$1295,MATCH($D348,Hierarchy!$A$2:$A$1295,0))),"NODE NOT FOUND"))</f>
        <v>Taiwan</v>
      </c>
      <c r="J348" s="7" t="str">
        <f aca="false">IF($D348="","",IFERROR(IF(INDEX(Hierarchy!$G$2:$G$1295,MATCH($D348,Hierarchy!$A$2:$A$1295,0))="","",INDEX(Hierarchy!$G$2:$G$1295,MATCH($D348,Hierarchy!$A$2:$A$1295,0))),"NODE NOT FOUND"))</f>
        <v>TWN</v>
      </c>
      <c r="K348" s="7" t="str">
        <f aca="false">IF($D348="","",IFERROR(IF(INDEX(Hierarchy!$H$2:$H$1295,MATCH($D348,Hierarchy!$A$2:$A$1295,0))="","",INDEX(Hierarchy!$H$2:$H$1295,MATCH($D348,Hierarchy!$A$2:$A$1295,0))),"NODE NOT FOUND"))</f>
        <v/>
      </c>
      <c r="L348" s="7" t="str">
        <f aca="false">IF($D348="","",IFERROR(IF(INDEX(Hierarchy!$I$2:$I$1295,MATCH($D348,Hierarchy!$A$2:$A$1295,0))="","",INDEX(Hierarchy!$I$2:$I$1295,MATCH($D348,Hierarchy!$A$2:$A$1295,0))),"NODE NOT FOUND"))</f>
        <v/>
      </c>
      <c r="M348" s="17" t="str">
        <f aca="false">IF(B348="Pre-seeded","Pre-seeded",IF(B348="Review 2026-09-16","Added from review",IF(C348="","New",IF(C348=D348,"","Changed"))))</f>
        <v>Pre-seeded</v>
      </c>
      <c r="N348" s="7" t="str">
        <f aca="false">TRIM(SUBSTITUTE(SUBSTITUTE(SUBSTITUTE(" "&amp;TRIM(SUBSTITUTE(SUBSTITUTE(SUBSTITUTE(SUBSTITUTE(SUBSTITUTE(SUBSTITUTE(SUBSTITUTE(SUBSTITUTE(SUBSTITUTE(SUBSTITUTE(SUBSTITUTE(SUBSTITUTE(SUBSTITUTE(SUBSTITUTE(SUBSTITUTE(UPPER(TRIM(A348)),"[MEMBER]",""),"{MEMBER}",""),"[MEMBER}",""),"MEMBER]",""),"(A)",""),"""",""),"“",""),"”",""),".",""),":",""),",",""),"–"," "),"-"," "),"/"," "),"&amp;"," AND "))&amp;" "," THE "," ")," TOTAL "," ")," OPERATIONS "," "))</f>
        <v>CHINESE TAIPEI</v>
      </c>
      <c r="O348" s="17" t="str">
        <f aca="false">IF(COUNTIFS($N$2:$N$2000,N348,$D$2:$D$2000,"&lt;&gt;"&amp;D348)&gt;0,"CONFLICT","")</f>
        <v/>
      </c>
      <c r="P348" s="7"/>
    </row>
    <row r="349" customFormat="false" ht="15" hidden="false" customHeight="false" outlineLevel="0" collapsed="false">
      <c r="A349" s="7" t="s">
        <v>513</v>
      </c>
      <c r="B349" s="7" t="s">
        <v>1879</v>
      </c>
      <c r="C349" s="7"/>
      <c r="D349" s="6" t="s">
        <v>513</v>
      </c>
      <c r="E349" s="6" t="s">
        <v>1880</v>
      </c>
      <c r="F349" s="7" t="str">
        <f aca="false">IF($D349="","",IFERROR(IF(INDEX(Hierarchy!$B$2:$B$1295,MATCH($D349,Hierarchy!$A$2:$A$1295,0))="","",INDEX(Hierarchy!$B$2:$B$1295,MATCH($D349,Hierarchy!$A$2:$A$1295,0))),"NODE NOT FOUND"))</f>
        <v>State/Province</v>
      </c>
      <c r="G349" s="7" t="str">
        <f aca="false">IF($D349="","",IFERROR(IF(INDEX(Hierarchy!$D$2:$D$1295,MATCH($D349,Hierarchy!$A$2:$A$1295,0))="","",INDEX(Hierarchy!$D$2:$D$1295,MATCH($D349,Hierarchy!$A$2:$A$1295,0))),"NODE NOT FOUND"))</f>
        <v>AMER</v>
      </c>
      <c r="H349" s="7" t="str">
        <f aca="false">IF($D349="","",IFERROR(IF(INDEX(Hierarchy!$E$2:$E$1295,MATCH($D349,Hierarchy!$A$2:$A$1295,0))="","",INDEX(Hierarchy!$E$2:$E$1295,MATCH($D349,Hierarchy!$A$2:$A$1295,0))),"NODE NOT FOUND"))</f>
        <v>Latin America (LATAM)</v>
      </c>
      <c r="I349" s="7" t="str">
        <f aca="false">IF($D349="","",IFERROR(IF(INDEX(Hierarchy!$F$2:$F$1295,MATCH($D349,Hierarchy!$A$2:$A$1295,0))="","",INDEX(Hierarchy!$F$2:$F$1295,MATCH($D349,Hierarchy!$A$2:$A$1295,0))),"NODE NOT FOUND"))</f>
        <v>Colombia</v>
      </c>
      <c r="J349" s="7" t="str">
        <f aca="false">IF($D349="","",IFERROR(IF(INDEX(Hierarchy!$G$2:$G$1295,MATCH($D349,Hierarchy!$A$2:$A$1295,0))="","",INDEX(Hierarchy!$G$2:$G$1295,MATCH($D349,Hierarchy!$A$2:$A$1295,0))),"NODE NOT FOUND"))</f>
        <v>COL</v>
      </c>
      <c r="K349" s="7" t="str">
        <f aca="false">IF($D349="","",IFERROR(IF(INDEX(Hierarchy!$H$2:$H$1295,MATCH($D349,Hierarchy!$A$2:$A$1295,0))="","",INDEX(Hierarchy!$H$2:$H$1295,MATCH($D349,Hierarchy!$A$2:$A$1295,0))),"NODE NOT FOUND"))</f>
        <v>Chocó</v>
      </c>
      <c r="L349" s="7" t="str">
        <f aca="false">IF($D349="","",IFERROR(IF(INDEX(Hierarchy!$I$2:$I$1295,MATCH($D349,Hierarchy!$A$2:$A$1295,0))="","",INDEX(Hierarchy!$I$2:$I$1295,MATCH($D349,Hierarchy!$A$2:$A$1295,0))),"NODE NOT FOUND"))</f>
        <v/>
      </c>
      <c r="M349" s="17" t="str">
        <f aca="false">IF(B349="Pre-seeded","Pre-seeded",IF(B349="Review 2026-09-16","Added from review",IF(C349="","New",IF(C349=D349,"","Changed"))))</f>
        <v>Pre-seeded</v>
      </c>
      <c r="N349" s="7" t="str">
        <f aca="false">TRIM(SUBSTITUTE(SUBSTITUTE(SUBSTITUTE(" "&amp;TRIM(SUBSTITUTE(SUBSTITUTE(SUBSTITUTE(SUBSTITUTE(SUBSTITUTE(SUBSTITUTE(SUBSTITUTE(SUBSTITUTE(SUBSTITUTE(SUBSTITUTE(SUBSTITUTE(SUBSTITUTE(SUBSTITUTE(SUBSTITUTE(SUBSTITUTE(UPPER(TRIM(A349)),"[MEMBER]",""),"{MEMBER}",""),"[MEMBER}",""),"MEMBER]",""),"(A)",""),"""",""),"“",""),"”",""),".",""),":",""),",",""),"–"," "),"-"," "),"/"," "),"&amp;"," AND "))&amp;" "," THE "," ")," TOTAL "," ")," OPERATIONS "," "))</f>
        <v>CHOCÓ</v>
      </c>
      <c r="O349" s="17" t="str">
        <f aca="false">IF(COUNTIFS($N$2:$N$2000,N349,$D$2:$D$2000,"&lt;&gt;"&amp;D349)&gt;0,"CONFLICT","")</f>
        <v/>
      </c>
      <c r="P349" s="7"/>
    </row>
    <row r="350" customFormat="false" ht="15" hidden="false" customHeight="false" outlineLevel="0" collapsed="false">
      <c r="A350" s="7" t="s">
        <v>1736</v>
      </c>
      <c r="B350" s="7" t="s">
        <v>1879</v>
      </c>
      <c r="C350" s="7"/>
      <c r="D350" s="6" t="s">
        <v>1736</v>
      </c>
      <c r="E350" s="6" t="s">
        <v>1880</v>
      </c>
      <c r="F350" s="7" t="str">
        <f aca="false">IF($D350="","",IFERROR(IF(INDEX(Hierarchy!$B$2:$B$1295,MATCH($D350,Hierarchy!$A$2:$A$1295,0))="","",INDEX(Hierarchy!$B$2:$B$1295,MATCH($D350,Hierarchy!$A$2:$A$1295,0))),"NODE NOT FOUND"))</f>
        <v>Country</v>
      </c>
      <c r="G350" s="7" t="str">
        <f aca="false">IF($D350="","",IFERROR(IF(INDEX(Hierarchy!$D$2:$D$1295,MATCH($D350,Hierarchy!$A$2:$A$1295,0))="","",INDEX(Hierarchy!$D$2:$D$1295,MATCH($D350,Hierarchy!$A$2:$A$1295,0))),"NODE NOT FOUND"))</f>
        <v>APAC</v>
      </c>
      <c r="H350" s="7" t="str">
        <f aca="false">IF($D350="","",IFERROR(IF(INDEX(Hierarchy!$E$2:$E$1295,MATCH($D350,Hierarchy!$A$2:$A$1295,0))="","",INDEX(Hierarchy!$E$2:$E$1295,MATCH($D350,Hierarchy!$A$2:$A$1295,0))),"NODE NOT FOUND"))</f>
        <v>Oceania (ANZ)</v>
      </c>
      <c r="I350" s="7" t="str">
        <f aca="false">IF($D350="","",IFERROR(IF(INDEX(Hierarchy!$F$2:$F$1295,MATCH($D350,Hierarchy!$A$2:$A$1295,0))="","",INDEX(Hierarchy!$F$2:$F$1295,MATCH($D350,Hierarchy!$A$2:$A$1295,0))),"NODE NOT FOUND"))</f>
        <v>Christmas Island</v>
      </c>
      <c r="J350" s="7" t="str">
        <f aca="false">IF($D350="","",IFERROR(IF(INDEX(Hierarchy!$G$2:$G$1295,MATCH($D350,Hierarchy!$A$2:$A$1295,0))="","",INDEX(Hierarchy!$G$2:$G$1295,MATCH($D350,Hierarchy!$A$2:$A$1295,0))),"NODE NOT FOUND"))</f>
        <v>CXR</v>
      </c>
      <c r="K350" s="7" t="str">
        <f aca="false">IF($D350="","",IFERROR(IF(INDEX(Hierarchy!$H$2:$H$1295,MATCH($D350,Hierarchy!$A$2:$A$1295,0))="","",INDEX(Hierarchy!$H$2:$H$1295,MATCH($D350,Hierarchy!$A$2:$A$1295,0))),"NODE NOT FOUND"))</f>
        <v/>
      </c>
      <c r="L350" s="7" t="str">
        <f aca="false">IF($D350="","",IFERROR(IF(INDEX(Hierarchy!$I$2:$I$1295,MATCH($D350,Hierarchy!$A$2:$A$1295,0))="","",INDEX(Hierarchy!$I$2:$I$1295,MATCH($D350,Hierarchy!$A$2:$A$1295,0))),"NODE NOT FOUND"))</f>
        <v/>
      </c>
      <c r="M350" s="17" t="str">
        <f aca="false">IF(B350="Pre-seeded","Pre-seeded",IF(B350="Review 2026-09-16","Added from review",IF(C350="","New",IF(C350=D350,"","Changed"))))</f>
        <v>Pre-seeded</v>
      </c>
      <c r="N350" s="7" t="str">
        <f aca="false">TRIM(SUBSTITUTE(SUBSTITUTE(SUBSTITUTE(" "&amp;TRIM(SUBSTITUTE(SUBSTITUTE(SUBSTITUTE(SUBSTITUTE(SUBSTITUTE(SUBSTITUTE(SUBSTITUTE(SUBSTITUTE(SUBSTITUTE(SUBSTITUTE(SUBSTITUTE(SUBSTITUTE(SUBSTITUTE(SUBSTITUTE(SUBSTITUTE(UPPER(TRIM(A350)),"[MEMBER]",""),"{MEMBER}",""),"[MEMBER}",""),"MEMBER]",""),"(A)",""),"""",""),"“",""),"”",""),".",""),":",""),",",""),"–"," "),"-"," "),"/"," "),"&amp;"," AND "))&amp;" "," THE "," ")," TOTAL "," ")," OPERATIONS "," "))</f>
        <v>CHRISTMAS ISLAND</v>
      </c>
      <c r="O350" s="17" t="str">
        <f aca="false">IF(COUNTIFS($N$2:$N$2000,N350,$D$2:$D$2000,"&lt;&gt;"&amp;D350)&gt;0,"CONFLICT","")</f>
        <v/>
      </c>
      <c r="P350" s="7"/>
    </row>
    <row r="351" customFormat="false" ht="15" hidden="false" customHeight="false" outlineLevel="0" collapsed="false">
      <c r="A351" s="7" t="s">
        <v>1429</v>
      </c>
      <c r="B351" s="7" t="s">
        <v>1879</v>
      </c>
      <c r="C351" s="7"/>
      <c r="D351" s="6" t="s">
        <v>1429</v>
      </c>
      <c r="E351" s="6" t="s">
        <v>1880</v>
      </c>
      <c r="F351" s="7" t="str">
        <f aca="false">IF($D351="","",IFERROR(IF(INDEX(Hierarchy!$B$2:$B$1295,MATCH($D351,Hierarchy!$A$2:$A$1295,0))="","",INDEX(Hierarchy!$B$2:$B$1295,MATCH($D351,Hierarchy!$A$2:$A$1295,0))),"NODE NOT FOUND"))</f>
        <v>Sub-national region</v>
      </c>
      <c r="G351" s="7" t="str">
        <f aca="false">IF($D351="","",IFERROR(IF(INDEX(Hierarchy!$D$2:$D$1295,MATCH($D351,Hierarchy!$A$2:$A$1295,0))="","",INDEX(Hierarchy!$D$2:$D$1295,MATCH($D351,Hierarchy!$A$2:$A$1295,0))),"NODE NOT FOUND"))</f>
        <v>APAC</v>
      </c>
      <c r="H351" s="7" t="str">
        <f aca="false">IF($D351="","",IFERROR(IF(INDEX(Hierarchy!$E$2:$E$1295,MATCH($D351,Hierarchy!$A$2:$A$1295,0))="","",INDEX(Hierarchy!$E$2:$E$1295,MATCH($D351,Hierarchy!$A$2:$A$1295,0))),"NODE NOT FOUND"))</f>
        <v>East Asia</v>
      </c>
      <c r="I351" s="7" t="str">
        <f aca="false">IF($D351="","",IFERROR(IF(INDEX(Hierarchy!$F$2:$F$1295,MATCH($D351,Hierarchy!$A$2:$A$1295,0))="","",INDEX(Hierarchy!$F$2:$F$1295,MATCH($D351,Hierarchy!$A$2:$A$1295,0))),"NODE NOT FOUND"))</f>
        <v>Japan</v>
      </c>
      <c r="J351" s="7" t="str">
        <f aca="false">IF($D351="","",IFERROR(IF(INDEX(Hierarchy!$G$2:$G$1295,MATCH($D351,Hierarchy!$A$2:$A$1295,0))="","",INDEX(Hierarchy!$G$2:$G$1295,MATCH($D351,Hierarchy!$A$2:$A$1295,0))),"NODE NOT FOUND"))</f>
        <v>JPN</v>
      </c>
      <c r="K351" s="7" t="str">
        <f aca="false">IF($D351="","",IFERROR(IF(INDEX(Hierarchy!$H$2:$H$1295,MATCH($D351,Hierarchy!$A$2:$A$1295,0))="","",INDEX(Hierarchy!$H$2:$H$1295,MATCH($D351,Hierarchy!$A$2:$A$1295,0))),"NODE NOT FOUND"))</f>
        <v/>
      </c>
      <c r="L351" s="7" t="str">
        <f aca="false">IF($D351="","",IFERROR(IF(INDEX(Hierarchy!$I$2:$I$1295,MATCH($D351,Hierarchy!$A$2:$A$1295,0))="","",INDEX(Hierarchy!$I$2:$I$1295,MATCH($D351,Hierarchy!$A$2:$A$1295,0))),"NODE NOT FOUND"))</f>
        <v/>
      </c>
      <c r="M351" s="17" t="str">
        <f aca="false">IF(B351="Pre-seeded","Pre-seeded",IF(B351="Review 2026-09-16","Added from review",IF(C351="","New",IF(C351=D351,"","Changed"))))</f>
        <v>Pre-seeded</v>
      </c>
      <c r="N351" s="7" t="str">
        <f aca="false">TRIM(SUBSTITUTE(SUBSTITUTE(SUBSTITUTE(" "&amp;TRIM(SUBSTITUTE(SUBSTITUTE(SUBSTITUTE(SUBSTITUTE(SUBSTITUTE(SUBSTITUTE(SUBSTITUTE(SUBSTITUTE(SUBSTITUTE(SUBSTITUTE(SUBSTITUTE(SUBSTITUTE(SUBSTITUTE(SUBSTITUTE(SUBSTITUTE(UPPER(TRIM(A351)),"[MEMBER]",""),"{MEMBER}",""),"[MEMBER}",""),"MEMBER]",""),"(A)",""),"""",""),"“",""),"”",""),".",""),":",""),",",""),"–"," "),"-"," "),"/"," "),"&amp;"," AND "))&amp;" "," THE "," ")," TOTAL "," ")," OPERATIONS "," "))</f>
        <v>CHUBU REGION</v>
      </c>
      <c r="O351" s="17" t="str">
        <f aca="false">IF(COUNTIFS($N$2:$N$2000,N351,$D$2:$D$2000,"&lt;&gt;"&amp;D351)&gt;0,"CONFLICT","")</f>
        <v/>
      </c>
      <c r="P351" s="7"/>
    </row>
    <row r="352" customFormat="false" ht="15" hidden="false" customHeight="false" outlineLevel="0" collapsed="false">
      <c r="A352" s="7" t="s">
        <v>433</v>
      </c>
      <c r="B352" s="7" t="s">
        <v>1879</v>
      </c>
      <c r="C352" s="7"/>
      <c r="D352" s="6" t="s">
        <v>433</v>
      </c>
      <c r="E352" s="6" t="s">
        <v>1880</v>
      </c>
      <c r="F352" s="7" t="str">
        <f aca="false">IF($D352="","",IFERROR(IF(INDEX(Hierarchy!$B$2:$B$1295,MATCH($D352,Hierarchy!$A$2:$A$1295,0))="","",INDEX(Hierarchy!$B$2:$B$1295,MATCH($D352,Hierarchy!$A$2:$A$1295,0))),"NODE NOT FOUND"))</f>
        <v>State/Province</v>
      </c>
      <c r="G352" s="7" t="str">
        <f aca="false">IF($D352="","",IFERROR(IF(INDEX(Hierarchy!$D$2:$D$1295,MATCH($D352,Hierarchy!$A$2:$A$1295,0))="","",INDEX(Hierarchy!$D$2:$D$1295,MATCH($D352,Hierarchy!$A$2:$A$1295,0))),"NODE NOT FOUND"))</f>
        <v>AMER</v>
      </c>
      <c r="H352" s="7" t="str">
        <f aca="false">IF($D352="","",IFERROR(IF(INDEX(Hierarchy!$E$2:$E$1295,MATCH($D352,Hierarchy!$A$2:$A$1295,0))="","",INDEX(Hierarchy!$E$2:$E$1295,MATCH($D352,Hierarchy!$A$2:$A$1295,0))),"NODE NOT FOUND"))</f>
        <v>Latin America (LATAM)</v>
      </c>
      <c r="I352" s="7" t="str">
        <f aca="false">IF($D352="","",IFERROR(IF(INDEX(Hierarchy!$F$2:$F$1295,MATCH($D352,Hierarchy!$A$2:$A$1295,0))="","",INDEX(Hierarchy!$F$2:$F$1295,MATCH($D352,Hierarchy!$A$2:$A$1295,0))),"NODE NOT FOUND"))</f>
        <v>Argentina</v>
      </c>
      <c r="J352" s="7" t="str">
        <f aca="false">IF($D352="","",IFERROR(IF(INDEX(Hierarchy!$G$2:$G$1295,MATCH($D352,Hierarchy!$A$2:$A$1295,0))="","",INDEX(Hierarchy!$G$2:$G$1295,MATCH($D352,Hierarchy!$A$2:$A$1295,0))),"NODE NOT FOUND"))</f>
        <v>ARG</v>
      </c>
      <c r="K352" s="7" t="str">
        <f aca="false">IF($D352="","",IFERROR(IF(INDEX(Hierarchy!$H$2:$H$1295,MATCH($D352,Hierarchy!$A$2:$A$1295,0))="","",INDEX(Hierarchy!$H$2:$H$1295,MATCH($D352,Hierarchy!$A$2:$A$1295,0))),"NODE NOT FOUND"))</f>
        <v>Chubut</v>
      </c>
      <c r="L352" s="7" t="str">
        <f aca="false">IF($D352="","",IFERROR(IF(INDEX(Hierarchy!$I$2:$I$1295,MATCH($D352,Hierarchy!$A$2:$A$1295,0))="","",INDEX(Hierarchy!$I$2:$I$1295,MATCH($D352,Hierarchy!$A$2:$A$1295,0))),"NODE NOT FOUND"))</f>
        <v/>
      </c>
      <c r="M352" s="17" t="str">
        <f aca="false">IF(B352="Pre-seeded","Pre-seeded",IF(B352="Review 2026-09-16","Added from review",IF(C352="","New",IF(C352=D352,"","Changed"))))</f>
        <v>Pre-seeded</v>
      </c>
      <c r="N352" s="7" t="str">
        <f aca="false">TRIM(SUBSTITUTE(SUBSTITUTE(SUBSTITUTE(" "&amp;TRIM(SUBSTITUTE(SUBSTITUTE(SUBSTITUTE(SUBSTITUTE(SUBSTITUTE(SUBSTITUTE(SUBSTITUTE(SUBSTITUTE(SUBSTITUTE(SUBSTITUTE(SUBSTITUTE(SUBSTITUTE(SUBSTITUTE(SUBSTITUTE(SUBSTITUTE(UPPER(TRIM(A352)),"[MEMBER]",""),"{MEMBER}",""),"[MEMBER}",""),"MEMBER]",""),"(A)",""),"""",""),"“",""),"”",""),".",""),":",""),",",""),"–"," "),"-"," "),"/"," "),"&amp;"," AND "))&amp;" "," THE "," ")," TOTAL "," ")," OPERATIONS "," "))</f>
        <v>CHUBUT</v>
      </c>
      <c r="O352" s="17" t="str">
        <f aca="false">IF(COUNTIFS($N$2:$N$2000,N352,$D$2:$D$2000,"&lt;&gt;"&amp;D352)&gt;0,"CONFLICT","")</f>
        <v/>
      </c>
      <c r="P352" s="7"/>
    </row>
    <row r="353" customFormat="false" ht="15" hidden="false" customHeight="false" outlineLevel="0" collapsed="false">
      <c r="A353" s="7" t="s">
        <v>1430</v>
      </c>
      <c r="B353" s="7" t="s">
        <v>1879</v>
      </c>
      <c r="C353" s="7"/>
      <c r="D353" s="6" t="s">
        <v>1430</v>
      </c>
      <c r="E353" s="6" t="s">
        <v>1880</v>
      </c>
      <c r="F353" s="7" t="str">
        <f aca="false">IF($D353="","",IFERROR(IF(INDEX(Hierarchy!$B$2:$B$1295,MATCH($D353,Hierarchy!$A$2:$A$1295,0))="","",INDEX(Hierarchy!$B$2:$B$1295,MATCH($D353,Hierarchy!$A$2:$A$1295,0))),"NODE NOT FOUND"))</f>
        <v>Sub-national region</v>
      </c>
      <c r="G353" s="7" t="str">
        <f aca="false">IF($D353="","",IFERROR(IF(INDEX(Hierarchy!$D$2:$D$1295,MATCH($D353,Hierarchy!$A$2:$A$1295,0))="","",INDEX(Hierarchy!$D$2:$D$1295,MATCH($D353,Hierarchy!$A$2:$A$1295,0))),"NODE NOT FOUND"))</f>
        <v>APAC</v>
      </c>
      <c r="H353" s="7" t="str">
        <f aca="false">IF($D353="","",IFERROR(IF(INDEX(Hierarchy!$E$2:$E$1295,MATCH($D353,Hierarchy!$A$2:$A$1295,0))="","",INDEX(Hierarchy!$E$2:$E$1295,MATCH($D353,Hierarchy!$A$2:$A$1295,0))),"NODE NOT FOUND"))</f>
        <v>East Asia</v>
      </c>
      <c r="I353" s="7" t="str">
        <f aca="false">IF($D353="","",IFERROR(IF(INDEX(Hierarchy!$F$2:$F$1295,MATCH($D353,Hierarchy!$A$2:$A$1295,0))="","",INDEX(Hierarchy!$F$2:$F$1295,MATCH($D353,Hierarchy!$A$2:$A$1295,0))),"NODE NOT FOUND"))</f>
        <v>Japan</v>
      </c>
      <c r="J353" s="7" t="str">
        <f aca="false">IF($D353="","",IFERROR(IF(INDEX(Hierarchy!$G$2:$G$1295,MATCH($D353,Hierarchy!$A$2:$A$1295,0))="","",INDEX(Hierarchy!$G$2:$G$1295,MATCH($D353,Hierarchy!$A$2:$A$1295,0))),"NODE NOT FOUND"))</f>
        <v>JPN</v>
      </c>
      <c r="K353" s="7" t="str">
        <f aca="false">IF($D353="","",IFERROR(IF(INDEX(Hierarchy!$H$2:$H$1295,MATCH($D353,Hierarchy!$A$2:$A$1295,0))="","",INDEX(Hierarchy!$H$2:$H$1295,MATCH($D353,Hierarchy!$A$2:$A$1295,0))),"NODE NOT FOUND"))</f>
        <v/>
      </c>
      <c r="L353" s="7" t="str">
        <f aca="false">IF($D353="","",IFERROR(IF(INDEX(Hierarchy!$I$2:$I$1295,MATCH($D353,Hierarchy!$A$2:$A$1295,0))="","",INDEX(Hierarchy!$I$2:$I$1295,MATCH($D353,Hierarchy!$A$2:$A$1295,0))),"NODE NOT FOUND"))</f>
        <v/>
      </c>
      <c r="M353" s="17" t="str">
        <f aca="false">IF(B353="Pre-seeded","Pre-seeded",IF(B353="Review 2026-09-16","Added from review",IF(C353="","New",IF(C353=D353,"","Changed"))))</f>
        <v>Pre-seeded</v>
      </c>
      <c r="N353" s="7" t="str">
        <f aca="false">TRIM(SUBSTITUTE(SUBSTITUTE(SUBSTITUTE(" "&amp;TRIM(SUBSTITUTE(SUBSTITUTE(SUBSTITUTE(SUBSTITUTE(SUBSTITUTE(SUBSTITUTE(SUBSTITUTE(SUBSTITUTE(SUBSTITUTE(SUBSTITUTE(SUBSTITUTE(SUBSTITUTE(SUBSTITUTE(SUBSTITUTE(SUBSTITUTE(UPPER(TRIM(A353)),"[MEMBER]",""),"{MEMBER}",""),"[MEMBER}",""),"MEMBER]",""),"(A)",""),"""",""),"“",""),"”",""),".",""),":",""),",",""),"–"," "),"-"," "),"/"," "),"&amp;"," AND "))&amp;" "," THE "," ")," TOTAL "," ")," OPERATIONS "," "))</f>
        <v>CHUGOKU REGION</v>
      </c>
      <c r="O353" s="17" t="str">
        <f aca="false">IF(COUNTIFS($N$2:$N$2000,N353,$D$2:$D$2000,"&lt;&gt;"&amp;D353)&gt;0,"CONFLICT","")</f>
        <v/>
      </c>
      <c r="P353" s="7"/>
    </row>
    <row r="354" customFormat="false" ht="15" hidden="false" customHeight="false" outlineLevel="0" collapsed="false">
      <c r="A354" s="7" t="s">
        <v>2058</v>
      </c>
      <c r="B354" s="7" t="s">
        <v>1905</v>
      </c>
      <c r="C354" s="7" t="s">
        <v>1906</v>
      </c>
      <c r="D354" s="6" t="s">
        <v>226</v>
      </c>
      <c r="E354" s="6" t="s">
        <v>1880</v>
      </c>
      <c r="F354" s="7" t="str">
        <f aca="false">IF($D354="","",IFERROR(IF(INDEX(Hierarchy!$B$2:$B$1295,MATCH($D354,Hierarchy!$A$2:$A$1295,0))="","",INDEX(Hierarchy!$B$2:$B$1295,MATCH($D354,Hierarchy!$A$2:$A$1295,0))),"NODE NOT FOUND"))</f>
        <v>City</v>
      </c>
      <c r="G354" s="7" t="str">
        <f aca="false">IF($D354="","",IFERROR(IF(INDEX(Hierarchy!$D$2:$D$1295,MATCH($D354,Hierarchy!$A$2:$A$1295,0))="","",INDEX(Hierarchy!$D$2:$D$1295,MATCH($D354,Hierarchy!$A$2:$A$1295,0))),"NODE NOT FOUND"))</f>
        <v>AMER</v>
      </c>
      <c r="H354" s="7" t="str">
        <f aca="false">IF($D354="","",IFERROR(IF(INDEX(Hierarchy!$E$2:$E$1295,MATCH($D354,Hierarchy!$A$2:$A$1295,0))="","",INDEX(Hierarchy!$E$2:$E$1295,MATCH($D354,Hierarchy!$A$2:$A$1295,0))),"NODE NOT FOUND"))</f>
        <v>North America (NORAM)</v>
      </c>
      <c r="I354" s="7" t="str">
        <f aca="false">IF($D354="","",IFERROR(IF(INDEX(Hierarchy!$F$2:$F$1295,MATCH($D354,Hierarchy!$A$2:$A$1295,0))="","",INDEX(Hierarchy!$F$2:$F$1295,MATCH($D354,Hierarchy!$A$2:$A$1295,0))),"NODE NOT FOUND"))</f>
        <v>United States</v>
      </c>
      <c r="J354" s="7" t="str">
        <f aca="false">IF($D354="","",IFERROR(IF(INDEX(Hierarchy!$G$2:$G$1295,MATCH($D354,Hierarchy!$A$2:$A$1295,0))="","",INDEX(Hierarchy!$G$2:$G$1295,MATCH($D354,Hierarchy!$A$2:$A$1295,0))),"NODE NOT FOUND"))</f>
        <v>USA</v>
      </c>
      <c r="K354" s="7" t="str">
        <f aca="false">IF($D354="","",IFERROR(IF(INDEX(Hierarchy!$H$2:$H$1295,MATCH($D354,Hierarchy!$A$2:$A$1295,0))="","",INDEX(Hierarchy!$H$2:$H$1295,MATCH($D354,Hierarchy!$A$2:$A$1295,0))),"NODE NOT FOUND"))</f>
        <v>Ohio</v>
      </c>
      <c r="L354" s="7" t="str">
        <f aca="false">IF($D354="","",IFERROR(IF(INDEX(Hierarchy!$I$2:$I$1295,MATCH($D354,Hierarchy!$A$2:$A$1295,0))="","",INDEX(Hierarchy!$I$2:$I$1295,MATCH($D354,Hierarchy!$A$2:$A$1295,0))),"NODE NOT FOUND"))</f>
        <v>Cincinnati</v>
      </c>
      <c r="M354" s="17" t="str">
        <f aca="false">IF(B354="Pre-seeded","Pre-seeded",IF(B354="Review 2026-09-16","Added from review",IF(C354="","New",IF(C354=D354,"","Changed"))))</f>
        <v>Changed</v>
      </c>
      <c r="N354" s="7" t="str">
        <f aca="false">TRIM(SUBSTITUTE(SUBSTITUTE(SUBSTITUTE(" "&amp;TRIM(SUBSTITUTE(SUBSTITUTE(SUBSTITUTE(SUBSTITUTE(SUBSTITUTE(SUBSTITUTE(SUBSTITUTE(SUBSTITUTE(SUBSTITUTE(SUBSTITUTE(SUBSTITUTE(SUBSTITUTE(SUBSTITUTE(SUBSTITUTE(SUBSTITUTE(UPPER(TRIM(A354)),"[MEMBER]",""),"{MEMBER}",""),"[MEMBER}",""),"MEMBER]",""),"(A)",""),"""",""),"“",""),"”",""),".",""),":",""),",",""),"–"," "),"-"," "),"/"," "),"&amp;"," AND "))&amp;" "," THE "," ")," TOTAL "," ")," OPERATIONS "," "))</f>
        <v>CINCINNATI OHIO MARKET AREA RESTAURANTS</v>
      </c>
      <c r="O354" s="17" t="str">
        <f aca="false">IF(COUNTIFS($N$2:$N$2000,N354,$D$2:$D$2000,"&lt;&gt;"&amp;D354)&gt;0,"CONFLICT","")</f>
        <v/>
      </c>
      <c r="P354" s="7" t="s">
        <v>2059</v>
      </c>
    </row>
    <row r="355" customFormat="false" ht="15" hidden="false" customHeight="false" outlineLevel="0" collapsed="false">
      <c r="A355" s="7" t="s">
        <v>2060</v>
      </c>
      <c r="B355" s="7" t="s">
        <v>1909</v>
      </c>
      <c r="C355" s="7"/>
      <c r="D355" s="6" t="s">
        <v>632</v>
      </c>
      <c r="E355" s="6" t="s">
        <v>1880</v>
      </c>
      <c r="F355" s="7" t="str">
        <f aca="false">IF($D355="","",IFERROR(IF(INDEX(Hierarchy!$B$2:$B$1295,MATCH($D355,Hierarchy!$A$2:$A$1295,0))="","",INDEX(Hierarchy!$B$2:$B$1295,MATCH($D355,Hierarchy!$A$2:$A$1295,0))),"NODE NOT FOUND"))</f>
        <v>Sub-region component</v>
      </c>
      <c r="G355" s="7" t="str">
        <f aca="false">IF($D355="","",IFERROR(IF(INDEX(Hierarchy!$D$2:$D$1295,MATCH($D355,Hierarchy!$A$2:$A$1295,0))="","",INDEX(Hierarchy!$D$2:$D$1295,MATCH($D355,Hierarchy!$A$2:$A$1295,0))),"NODE NOT FOUND"))</f>
        <v>EMEA</v>
      </c>
      <c r="H355" s="7" t="str">
        <f aca="false">IF($D355="","",IFERROR(IF(INDEX(Hierarchy!$E$2:$E$1295,MATCH($D355,Hierarchy!$A$2:$A$1295,0))="","",INDEX(Hierarchy!$E$2:$E$1295,MATCH($D355,Hierarchy!$A$2:$A$1295,0))),"NODE NOT FOUND"))</f>
        <v>Europe</v>
      </c>
      <c r="I355" s="7" t="str">
        <f aca="false">IF($D355="","",IFERROR(IF(INDEX(Hierarchy!$F$2:$F$1295,MATCH($D355,Hierarchy!$A$2:$A$1295,0))="","",INDEX(Hierarchy!$F$2:$F$1295,MATCH($D355,Hierarchy!$A$2:$A$1295,0))),"NODE NOT FOUND"))</f>
        <v/>
      </c>
      <c r="J355" s="7" t="str">
        <f aca="false">IF($D355="","",IFERROR(IF(INDEX(Hierarchy!$G$2:$G$1295,MATCH($D355,Hierarchy!$A$2:$A$1295,0))="","",INDEX(Hierarchy!$G$2:$G$1295,MATCH($D355,Hierarchy!$A$2:$A$1295,0))),"NODE NOT FOUND"))</f>
        <v/>
      </c>
      <c r="K355" s="7" t="str">
        <f aca="false">IF($D355="","",IFERROR(IF(INDEX(Hierarchy!$H$2:$H$1295,MATCH($D355,Hierarchy!$A$2:$A$1295,0))="","",INDEX(Hierarchy!$H$2:$H$1295,MATCH($D355,Hierarchy!$A$2:$A$1295,0))),"NODE NOT FOUND"))</f>
        <v/>
      </c>
      <c r="L355" s="7" t="str">
        <f aca="false">IF($D355="","",IFERROR(IF(INDEX(Hierarchy!$I$2:$I$1295,MATCH($D355,Hierarchy!$A$2:$A$1295,0))="","",INDEX(Hierarchy!$I$2:$I$1295,MATCH($D355,Hierarchy!$A$2:$A$1295,0))),"NODE NOT FOUND"))</f>
        <v/>
      </c>
      <c r="M355" s="17" t="str">
        <f aca="false">IF(B355="Pre-seeded","Pre-seeded",IF(B355="Review 2026-09-16","Added from review",IF(C355="","New",IF(C355=D355,"","Changed"))))</f>
        <v>New</v>
      </c>
      <c r="N355" s="7" t="str">
        <f aca="false">TRIM(SUBSTITUTE(SUBSTITUTE(SUBSTITUTE(" "&amp;TRIM(SUBSTITUTE(SUBSTITUTE(SUBSTITUTE(SUBSTITUTE(SUBSTITUTE(SUBSTITUTE(SUBSTITUTE(SUBSTITUTE(SUBSTITUTE(SUBSTITUTE(SUBSTITUTE(SUBSTITUTE(SUBSTITUTE(SUBSTITUTE(SUBSTITUTE(UPPER(TRIM(A355)),"[MEMBER]",""),"{MEMBER}",""),"[MEMBER}",""),"MEMBER]",""),"(A)",""),"""",""),"“",""),"”",""),".",""),":",""),",",""),"–"," "),"-"," "),"/"," "),"&amp;"," AND "))&amp;" "," THE "," ")," TOTAL "," ")," OPERATIONS "," "))</f>
        <v>CIS</v>
      </c>
      <c r="O355" s="17" t="str">
        <f aca="false">IF(COUNTIFS($N$2:$N$2000,N355,$D$2:$D$2000,"&lt;&gt;"&amp;D355)&gt;0,"CONFLICT","")</f>
        <v/>
      </c>
      <c r="P355" s="7"/>
    </row>
    <row r="356" customFormat="false" ht="15" hidden="false" customHeight="false" outlineLevel="0" collapsed="false">
      <c r="A356" s="7" t="s">
        <v>632</v>
      </c>
      <c r="B356" s="7" t="s">
        <v>1879</v>
      </c>
      <c r="C356" s="7"/>
      <c r="D356" s="6" t="s">
        <v>632</v>
      </c>
      <c r="E356" s="6" t="s">
        <v>1880</v>
      </c>
      <c r="F356" s="7" t="str">
        <f aca="false">IF($D356="","",IFERROR(IF(INDEX(Hierarchy!$B$2:$B$1295,MATCH($D356,Hierarchy!$A$2:$A$1295,0))="","",INDEX(Hierarchy!$B$2:$B$1295,MATCH($D356,Hierarchy!$A$2:$A$1295,0))),"NODE NOT FOUND"))</f>
        <v>Sub-region component</v>
      </c>
      <c r="G356" s="7" t="str">
        <f aca="false">IF($D356="","",IFERROR(IF(INDEX(Hierarchy!$D$2:$D$1295,MATCH($D356,Hierarchy!$A$2:$A$1295,0))="","",INDEX(Hierarchy!$D$2:$D$1295,MATCH($D356,Hierarchy!$A$2:$A$1295,0))),"NODE NOT FOUND"))</f>
        <v>EMEA</v>
      </c>
      <c r="H356" s="7" t="str">
        <f aca="false">IF($D356="","",IFERROR(IF(INDEX(Hierarchy!$E$2:$E$1295,MATCH($D356,Hierarchy!$A$2:$A$1295,0))="","",INDEX(Hierarchy!$E$2:$E$1295,MATCH($D356,Hierarchy!$A$2:$A$1295,0))),"NODE NOT FOUND"))</f>
        <v>Europe</v>
      </c>
      <c r="I356" s="7" t="str">
        <f aca="false">IF($D356="","",IFERROR(IF(INDEX(Hierarchy!$F$2:$F$1295,MATCH($D356,Hierarchy!$A$2:$A$1295,0))="","",INDEX(Hierarchy!$F$2:$F$1295,MATCH($D356,Hierarchy!$A$2:$A$1295,0))),"NODE NOT FOUND"))</f>
        <v/>
      </c>
      <c r="J356" s="7" t="str">
        <f aca="false">IF($D356="","",IFERROR(IF(INDEX(Hierarchy!$G$2:$G$1295,MATCH($D356,Hierarchy!$A$2:$A$1295,0))="","",INDEX(Hierarchy!$G$2:$G$1295,MATCH($D356,Hierarchy!$A$2:$A$1295,0))),"NODE NOT FOUND"))</f>
        <v/>
      </c>
      <c r="K356" s="7" t="str">
        <f aca="false">IF($D356="","",IFERROR(IF(INDEX(Hierarchy!$H$2:$H$1295,MATCH($D356,Hierarchy!$A$2:$A$1295,0))="","",INDEX(Hierarchy!$H$2:$H$1295,MATCH($D356,Hierarchy!$A$2:$A$1295,0))),"NODE NOT FOUND"))</f>
        <v/>
      </c>
      <c r="L356" s="7" t="str">
        <f aca="false">IF($D356="","",IFERROR(IF(INDEX(Hierarchy!$I$2:$I$1295,MATCH($D356,Hierarchy!$A$2:$A$1295,0))="","",INDEX(Hierarchy!$I$2:$I$1295,MATCH($D356,Hierarchy!$A$2:$A$1295,0))),"NODE NOT FOUND"))</f>
        <v/>
      </c>
      <c r="M356" s="17" t="str">
        <f aca="false">IF(B356="Pre-seeded","Pre-seeded",IF(B356="Review 2026-09-16","Added from review",IF(C356="","New",IF(C356=D356,"","Changed"))))</f>
        <v>Pre-seeded</v>
      </c>
      <c r="N356" s="7" t="str">
        <f aca="false">TRIM(SUBSTITUTE(SUBSTITUTE(SUBSTITUTE(" "&amp;TRIM(SUBSTITUTE(SUBSTITUTE(SUBSTITUTE(SUBSTITUTE(SUBSTITUTE(SUBSTITUTE(SUBSTITUTE(SUBSTITUTE(SUBSTITUTE(SUBSTITUTE(SUBSTITUTE(SUBSTITUTE(SUBSTITUTE(SUBSTITUTE(SUBSTITUTE(UPPER(TRIM(A356)),"[MEMBER]",""),"{MEMBER}",""),"[MEMBER}",""),"MEMBER]",""),"(A)",""),"""",""),"“",""),"”",""),".",""),":",""),",",""),"–"," "),"-"," "),"/"," "),"&amp;"," AND "))&amp;" "," THE "," ")," TOTAL "," ")," OPERATIONS "," "))</f>
        <v>CIS (COMMONWEALTH OF INDEPENDENT STATES)</v>
      </c>
      <c r="O356" s="17" t="str">
        <f aca="false">IF(COUNTIFS($N$2:$N$2000,N356,$D$2:$D$2000,"&lt;&gt;"&amp;D356)&gt;0,"CONFLICT","")</f>
        <v/>
      </c>
      <c r="P356" s="7"/>
    </row>
    <row r="357" customFormat="false" ht="15" hidden="false" customHeight="false" outlineLevel="0" collapsed="false">
      <c r="A357" s="7" t="s">
        <v>2061</v>
      </c>
      <c r="B357" s="7" t="s">
        <v>1879</v>
      </c>
      <c r="C357" s="7"/>
      <c r="D357" s="6" t="s">
        <v>398</v>
      </c>
      <c r="E357" s="6" t="s">
        <v>1880</v>
      </c>
      <c r="F357" s="7" t="str">
        <f aca="false">IF($D357="","",IFERROR(IF(INDEX(Hierarchy!$B$2:$B$1295,MATCH($D357,Hierarchy!$A$2:$A$1295,0))="","",INDEX(Hierarchy!$B$2:$B$1295,MATCH($D357,Hierarchy!$A$2:$A$1295,0))),"NODE NOT FOUND"))</f>
        <v>State/Province</v>
      </c>
      <c r="G357" s="7" t="str">
        <f aca="false">IF($D357="","",IFERROR(IF(INDEX(Hierarchy!$D$2:$D$1295,MATCH($D357,Hierarchy!$A$2:$A$1295,0))="","",INDEX(Hierarchy!$D$2:$D$1295,MATCH($D357,Hierarchy!$A$2:$A$1295,0))),"NODE NOT FOUND"))</f>
        <v>AMER</v>
      </c>
      <c r="H357" s="7" t="str">
        <f aca="false">IF($D357="","",IFERROR(IF(INDEX(Hierarchy!$E$2:$E$1295,MATCH($D357,Hierarchy!$A$2:$A$1295,0))="","",INDEX(Hierarchy!$E$2:$E$1295,MATCH($D357,Hierarchy!$A$2:$A$1295,0))),"NODE NOT FOUND"))</f>
        <v>Latin America (LATAM)</v>
      </c>
      <c r="I357" s="7" t="str">
        <f aca="false">IF($D357="","",IFERROR(IF(INDEX(Hierarchy!$F$2:$F$1295,MATCH($D357,Hierarchy!$A$2:$A$1295,0))="","",INDEX(Hierarchy!$F$2:$F$1295,MATCH($D357,Hierarchy!$A$2:$A$1295,0))),"NODE NOT FOUND"))</f>
        <v>Mexico</v>
      </c>
      <c r="J357" s="7" t="str">
        <f aca="false">IF($D357="","",IFERROR(IF(INDEX(Hierarchy!$G$2:$G$1295,MATCH($D357,Hierarchy!$A$2:$A$1295,0))="","",INDEX(Hierarchy!$G$2:$G$1295,MATCH($D357,Hierarchy!$A$2:$A$1295,0))),"NODE NOT FOUND"))</f>
        <v>MEX</v>
      </c>
      <c r="K357" s="7" t="str">
        <f aca="false">IF($D357="","",IFERROR(IF(INDEX(Hierarchy!$H$2:$H$1295,MATCH($D357,Hierarchy!$A$2:$A$1295,0))="","",INDEX(Hierarchy!$H$2:$H$1295,MATCH($D357,Hierarchy!$A$2:$A$1295,0))),"NODE NOT FOUND"))</f>
        <v>Mexico City</v>
      </c>
      <c r="L357" s="7" t="str">
        <f aca="false">IF($D357="","",IFERROR(IF(INDEX(Hierarchy!$I$2:$I$1295,MATCH($D357,Hierarchy!$A$2:$A$1295,0))="","",INDEX(Hierarchy!$I$2:$I$1295,MATCH($D357,Hierarchy!$A$2:$A$1295,0))),"NODE NOT FOUND"))</f>
        <v/>
      </c>
      <c r="M357" s="17" t="str">
        <f aca="false">IF(B357="Pre-seeded","Pre-seeded",IF(B357="Review 2026-09-16","Added from review",IF(C357="","New",IF(C357=D357,"","Changed"))))</f>
        <v>Pre-seeded</v>
      </c>
      <c r="N357" s="7" t="str">
        <f aca="false">TRIM(SUBSTITUTE(SUBSTITUTE(SUBSTITUTE(" "&amp;TRIM(SUBSTITUTE(SUBSTITUTE(SUBSTITUTE(SUBSTITUTE(SUBSTITUTE(SUBSTITUTE(SUBSTITUTE(SUBSTITUTE(SUBSTITUTE(SUBSTITUTE(SUBSTITUTE(SUBSTITUTE(SUBSTITUTE(SUBSTITUTE(SUBSTITUTE(UPPER(TRIM(A357)),"[MEMBER]",""),"{MEMBER}",""),"[MEMBER}",""),"MEMBER]",""),"(A)",""),"""",""),"“",""),"”",""),".",""),":",""),",",""),"–"," "),"-"," "),"/"," "),"&amp;"," AND "))&amp;" "," THE "," ")," TOTAL "," ")," OPERATIONS "," "))</f>
        <v>CIUDAD DE MÉXICO</v>
      </c>
      <c r="O357" s="17" t="str">
        <f aca="false">IF(COUNTIFS($N$2:$N$2000,N357,$D$2:$D$2000,"&lt;&gt;"&amp;D357)&gt;0,"CONFLICT","")</f>
        <v/>
      </c>
      <c r="P357" s="7"/>
    </row>
    <row r="358" customFormat="false" ht="15" hidden="false" customHeight="false" outlineLevel="0" collapsed="false">
      <c r="A358" s="7" t="s">
        <v>390</v>
      </c>
      <c r="B358" s="7" t="s">
        <v>1879</v>
      </c>
      <c r="C358" s="7"/>
      <c r="D358" s="6" t="s">
        <v>390</v>
      </c>
      <c r="E358" s="6" t="s">
        <v>1880</v>
      </c>
      <c r="F358" s="7" t="str">
        <f aca="false">IF($D358="","",IFERROR(IF(INDEX(Hierarchy!$B$2:$B$1295,MATCH($D358,Hierarchy!$A$2:$A$1295,0))="","",INDEX(Hierarchy!$B$2:$B$1295,MATCH($D358,Hierarchy!$A$2:$A$1295,0))),"NODE NOT FOUND"))</f>
        <v>State/Province</v>
      </c>
      <c r="G358" s="7" t="str">
        <f aca="false">IF($D358="","",IFERROR(IF(INDEX(Hierarchy!$D$2:$D$1295,MATCH($D358,Hierarchy!$A$2:$A$1295,0))="","",INDEX(Hierarchy!$D$2:$D$1295,MATCH($D358,Hierarchy!$A$2:$A$1295,0))),"NODE NOT FOUND"))</f>
        <v>AMER</v>
      </c>
      <c r="H358" s="7" t="str">
        <f aca="false">IF($D358="","",IFERROR(IF(INDEX(Hierarchy!$E$2:$E$1295,MATCH($D358,Hierarchy!$A$2:$A$1295,0))="","",INDEX(Hierarchy!$E$2:$E$1295,MATCH($D358,Hierarchy!$A$2:$A$1295,0))),"NODE NOT FOUND"))</f>
        <v>Latin America (LATAM)</v>
      </c>
      <c r="I358" s="7" t="str">
        <f aca="false">IF($D358="","",IFERROR(IF(INDEX(Hierarchy!$F$2:$F$1295,MATCH($D358,Hierarchy!$A$2:$A$1295,0))="","",INDEX(Hierarchy!$F$2:$F$1295,MATCH($D358,Hierarchy!$A$2:$A$1295,0))),"NODE NOT FOUND"))</f>
        <v>Mexico</v>
      </c>
      <c r="J358" s="7" t="str">
        <f aca="false">IF($D358="","",IFERROR(IF(INDEX(Hierarchy!$G$2:$G$1295,MATCH($D358,Hierarchy!$A$2:$A$1295,0))="","",INDEX(Hierarchy!$G$2:$G$1295,MATCH($D358,Hierarchy!$A$2:$A$1295,0))),"NODE NOT FOUND"))</f>
        <v>MEX</v>
      </c>
      <c r="K358" s="7" t="str">
        <f aca="false">IF($D358="","",IFERROR(IF(INDEX(Hierarchy!$H$2:$H$1295,MATCH($D358,Hierarchy!$A$2:$A$1295,0))="","",INDEX(Hierarchy!$H$2:$H$1295,MATCH($D358,Hierarchy!$A$2:$A$1295,0))),"NODE NOT FOUND"))</f>
        <v>Coahuila</v>
      </c>
      <c r="L358" s="7" t="str">
        <f aca="false">IF($D358="","",IFERROR(IF(INDEX(Hierarchy!$I$2:$I$1295,MATCH($D358,Hierarchy!$A$2:$A$1295,0))="","",INDEX(Hierarchy!$I$2:$I$1295,MATCH($D358,Hierarchy!$A$2:$A$1295,0))),"NODE NOT FOUND"))</f>
        <v/>
      </c>
      <c r="M358" s="17" t="str">
        <f aca="false">IF(B358="Pre-seeded","Pre-seeded",IF(B358="Review 2026-09-16","Added from review",IF(C358="","New",IF(C358=D358,"","Changed"))))</f>
        <v>Pre-seeded</v>
      </c>
      <c r="N358" s="7" t="str">
        <f aca="false">TRIM(SUBSTITUTE(SUBSTITUTE(SUBSTITUTE(" "&amp;TRIM(SUBSTITUTE(SUBSTITUTE(SUBSTITUTE(SUBSTITUTE(SUBSTITUTE(SUBSTITUTE(SUBSTITUTE(SUBSTITUTE(SUBSTITUTE(SUBSTITUTE(SUBSTITUTE(SUBSTITUTE(SUBSTITUTE(SUBSTITUTE(SUBSTITUTE(UPPER(TRIM(A358)),"[MEMBER]",""),"{MEMBER}",""),"[MEMBER}",""),"MEMBER]",""),"(A)",""),"""",""),"“",""),"”",""),".",""),":",""),",",""),"–"," "),"-"," "),"/"," "),"&amp;"," AND "))&amp;" "," THE "," ")," TOTAL "," ")," OPERATIONS "," "))</f>
        <v>COAHUILA</v>
      </c>
      <c r="O358" s="17" t="str">
        <f aca="false">IF(COUNTIFS($N$2:$N$2000,N358,$D$2:$D$2000,"&lt;&gt;"&amp;D358)&gt;0,"CONFLICT","")</f>
        <v/>
      </c>
      <c r="P358" s="7"/>
    </row>
    <row r="359" customFormat="false" ht="15" hidden="false" customHeight="false" outlineLevel="0" collapsed="false">
      <c r="A359" s="7" t="s">
        <v>1738</v>
      </c>
      <c r="B359" s="7" t="s">
        <v>1879</v>
      </c>
      <c r="C359" s="7"/>
      <c r="D359" s="6" t="s">
        <v>1738</v>
      </c>
      <c r="E359" s="6" t="s">
        <v>1880</v>
      </c>
      <c r="F359" s="7" t="str">
        <f aca="false">IF($D359="","",IFERROR(IF(INDEX(Hierarchy!$B$2:$B$1295,MATCH($D359,Hierarchy!$A$2:$A$1295,0))="","",INDEX(Hierarchy!$B$2:$B$1295,MATCH($D359,Hierarchy!$A$2:$A$1295,0))),"NODE NOT FOUND"))</f>
        <v>Country</v>
      </c>
      <c r="G359" s="7" t="str">
        <f aca="false">IF($D359="","",IFERROR(IF(INDEX(Hierarchy!$D$2:$D$1295,MATCH($D359,Hierarchy!$A$2:$A$1295,0))="","",INDEX(Hierarchy!$D$2:$D$1295,MATCH($D359,Hierarchy!$A$2:$A$1295,0))),"NODE NOT FOUND"))</f>
        <v>APAC</v>
      </c>
      <c r="H359" s="7" t="str">
        <f aca="false">IF($D359="","",IFERROR(IF(INDEX(Hierarchy!$E$2:$E$1295,MATCH($D359,Hierarchy!$A$2:$A$1295,0))="","",INDEX(Hierarchy!$E$2:$E$1295,MATCH($D359,Hierarchy!$A$2:$A$1295,0))),"NODE NOT FOUND"))</f>
        <v>Oceania (ANZ)</v>
      </c>
      <c r="I359" s="7" t="str">
        <f aca="false">IF($D359="","",IFERROR(IF(INDEX(Hierarchy!$F$2:$F$1295,MATCH($D359,Hierarchy!$A$2:$A$1295,0))="","",INDEX(Hierarchy!$F$2:$F$1295,MATCH($D359,Hierarchy!$A$2:$A$1295,0))),"NODE NOT FOUND"))</f>
        <v>Cocos (Keeling) Islands</v>
      </c>
      <c r="J359" s="7" t="str">
        <f aca="false">IF($D359="","",IFERROR(IF(INDEX(Hierarchy!$G$2:$G$1295,MATCH($D359,Hierarchy!$A$2:$A$1295,0))="","",INDEX(Hierarchy!$G$2:$G$1295,MATCH($D359,Hierarchy!$A$2:$A$1295,0))),"NODE NOT FOUND"))</f>
        <v>CCK</v>
      </c>
      <c r="K359" s="7" t="str">
        <f aca="false">IF($D359="","",IFERROR(IF(INDEX(Hierarchy!$H$2:$H$1295,MATCH($D359,Hierarchy!$A$2:$A$1295,0))="","",INDEX(Hierarchy!$H$2:$H$1295,MATCH($D359,Hierarchy!$A$2:$A$1295,0))),"NODE NOT FOUND"))</f>
        <v/>
      </c>
      <c r="L359" s="7" t="str">
        <f aca="false">IF($D359="","",IFERROR(IF(INDEX(Hierarchy!$I$2:$I$1295,MATCH($D359,Hierarchy!$A$2:$A$1295,0))="","",INDEX(Hierarchy!$I$2:$I$1295,MATCH($D359,Hierarchy!$A$2:$A$1295,0))),"NODE NOT FOUND"))</f>
        <v/>
      </c>
      <c r="M359" s="17" t="str">
        <f aca="false">IF(B359="Pre-seeded","Pre-seeded",IF(B359="Review 2026-09-16","Added from review",IF(C359="","New",IF(C359=D359,"","Changed"))))</f>
        <v>Pre-seeded</v>
      </c>
      <c r="N359" s="7" t="str">
        <f aca="false">TRIM(SUBSTITUTE(SUBSTITUTE(SUBSTITUTE(" "&amp;TRIM(SUBSTITUTE(SUBSTITUTE(SUBSTITUTE(SUBSTITUTE(SUBSTITUTE(SUBSTITUTE(SUBSTITUTE(SUBSTITUTE(SUBSTITUTE(SUBSTITUTE(SUBSTITUTE(SUBSTITUTE(SUBSTITUTE(SUBSTITUTE(SUBSTITUTE(UPPER(TRIM(A359)),"[MEMBER]",""),"{MEMBER}",""),"[MEMBER}",""),"MEMBER]",""),"(A)",""),"""",""),"“",""),"”",""),".",""),":",""),",",""),"–"," "),"-"," "),"/"," "),"&amp;"," AND "))&amp;" "," THE "," ")," TOTAL "," ")," OPERATIONS "," "))</f>
        <v>COCOS (KEELING) ISLANDS</v>
      </c>
      <c r="O359" s="17" t="str">
        <f aca="false">IF(COUNTIFS($N$2:$N$2000,N359,$D$2:$D$2000,"&lt;&gt;"&amp;D359)&gt;0,"CONFLICT","")</f>
        <v/>
      </c>
      <c r="P359" s="7"/>
    </row>
    <row r="360" customFormat="false" ht="15" hidden="false" customHeight="false" outlineLevel="0" collapsed="false">
      <c r="A360" s="7" t="s">
        <v>391</v>
      </c>
      <c r="B360" s="7" t="s">
        <v>1879</v>
      </c>
      <c r="C360" s="7"/>
      <c r="D360" s="6" t="s">
        <v>391</v>
      </c>
      <c r="E360" s="6" t="s">
        <v>1880</v>
      </c>
      <c r="F360" s="7" t="str">
        <f aca="false">IF($D360="","",IFERROR(IF(INDEX(Hierarchy!$B$2:$B$1295,MATCH($D360,Hierarchy!$A$2:$A$1295,0))="","",INDEX(Hierarchy!$B$2:$B$1295,MATCH($D360,Hierarchy!$A$2:$A$1295,0))),"NODE NOT FOUND"))</f>
        <v>State/Province</v>
      </c>
      <c r="G360" s="7" t="str">
        <f aca="false">IF($D360="","",IFERROR(IF(INDEX(Hierarchy!$D$2:$D$1295,MATCH($D360,Hierarchy!$A$2:$A$1295,0))="","",INDEX(Hierarchy!$D$2:$D$1295,MATCH($D360,Hierarchy!$A$2:$A$1295,0))),"NODE NOT FOUND"))</f>
        <v>AMER</v>
      </c>
      <c r="H360" s="7" t="str">
        <f aca="false">IF($D360="","",IFERROR(IF(INDEX(Hierarchy!$E$2:$E$1295,MATCH($D360,Hierarchy!$A$2:$A$1295,0))="","",INDEX(Hierarchy!$E$2:$E$1295,MATCH($D360,Hierarchy!$A$2:$A$1295,0))),"NODE NOT FOUND"))</f>
        <v>Latin America (LATAM)</v>
      </c>
      <c r="I360" s="7" t="str">
        <f aca="false">IF($D360="","",IFERROR(IF(INDEX(Hierarchy!$F$2:$F$1295,MATCH($D360,Hierarchy!$A$2:$A$1295,0))="","",INDEX(Hierarchy!$F$2:$F$1295,MATCH($D360,Hierarchy!$A$2:$A$1295,0))),"NODE NOT FOUND"))</f>
        <v>Mexico</v>
      </c>
      <c r="J360" s="7" t="str">
        <f aca="false">IF($D360="","",IFERROR(IF(INDEX(Hierarchy!$G$2:$G$1295,MATCH($D360,Hierarchy!$A$2:$A$1295,0))="","",INDEX(Hierarchy!$G$2:$G$1295,MATCH($D360,Hierarchy!$A$2:$A$1295,0))),"NODE NOT FOUND"))</f>
        <v>MEX</v>
      </c>
      <c r="K360" s="7" t="str">
        <f aca="false">IF($D360="","",IFERROR(IF(INDEX(Hierarchy!$H$2:$H$1295,MATCH($D360,Hierarchy!$A$2:$A$1295,0))="","",INDEX(Hierarchy!$H$2:$H$1295,MATCH($D360,Hierarchy!$A$2:$A$1295,0))),"NODE NOT FOUND"))</f>
        <v>Colima</v>
      </c>
      <c r="L360" s="7" t="str">
        <f aca="false">IF($D360="","",IFERROR(IF(INDEX(Hierarchy!$I$2:$I$1295,MATCH($D360,Hierarchy!$A$2:$A$1295,0))="","",INDEX(Hierarchy!$I$2:$I$1295,MATCH($D360,Hierarchy!$A$2:$A$1295,0))),"NODE NOT FOUND"))</f>
        <v/>
      </c>
      <c r="M360" s="17" t="str">
        <f aca="false">IF(B360="Pre-seeded","Pre-seeded",IF(B360="Review 2026-09-16","Added from review",IF(C360="","New",IF(C360=D360,"","Changed"))))</f>
        <v>Pre-seeded</v>
      </c>
      <c r="N360" s="7" t="str">
        <f aca="false">TRIM(SUBSTITUTE(SUBSTITUTE(SUBSTITUTE(" "&amp;TRIM(SUBSTITUTE(SUBSTITUTE(SUBSTITUTE(SUBSTITUTE(SUBSTITUTE(SUBSTITUTE(SUBSTITUTE(SUBSTITUTE(SUBSTITUTE(SUBSTITUTE(SUBSTITUTE(SUBSTITUTE(SUBSTITUTE(SUBSTITUTE(SUBSTITUTE(UPPER(TRIM(A360)),"[MEMBER]",""),"{MEMBER}",""),"[MEMBER}",""),"MEMBER]",""),"(A)",""),"""",""),"“",""),"”",""),".",""),":",""),",",""),"–"," "),"-"," "),"/"," "),"&amp;"," AND "))&amp;" "," THE "," ")," TOTAL "," ")," OPERATIONS "," "))</f>
        <v>COLIMA</v>
      </c>
      <c r="O360" s="17" t="str">
        <f aca="false">IF(COUNTIFS($N$2:$N$2000,N360,$D$2:$D$2000,"&lt;&gt;"&amp;D360)&gt;0,"CONFLICT","")</f>
        <v/>
      </c>
      <c r="P360" s="7"/>
    </row>
    <row r="361" customFormat="false" ht="15" hidden="false" customHeight="false" outlineLevel="0" collapsed="false">
      <c r="A361" s="7" t="s">
        <v>496</v>
      </c>
      <c r="B361" s="7" t="s">
        <v>1882</v>
      </c>
      <c r="C361" s="7" t="s">
        <v>496</v>
      </c>
      <c r="D361" s="6" t="s">
        <v>496</v>
      </c>
      <c r="E361" s="6" t="s">
        <v>1880</v>
      </c>
      <c r="F361" s="7" t="str">
        <f aca="false">IF($D361="","",IFERROR(IF(INDEX(Hierarchy!$B$2:$B$1295,MATCH($D361,Hierarchy!$A$2:$A$1295,0))="","",INDEX(Hierarchy!$B$2:$B$1295,MATCH($D361,Hierarchy!$A$2:$A$1295,0))),"NODE NOT FOUND"))</f>
        <v>Country</v>
      </c>
      <c r="G361" s="7" t="str">
        <f aca="false">IF($D361="","",IFERROR(IF(INDEX(Hierarchy!$D$2:$D$1295,MATCH($D361,Hierarchy!$A$2:$A$1295,0))="","",INDEX(Hierarchy!$D$2:$D$1295,MATCH($D361,Hierarchy!$A$2:$A$1295,0))),"NODE NOT FOUND"))</f>
        <v>AMER</v>
      </c>
      <c r="H361" s="7" t="str">
        <f aca="false">IF($D361="","",IFERROR(IF(INDEX(Hierarchy!$E$2:$E$1295,MATCH($D361,Hierarchy!$A$2:$A$1295,0))="","",INDEX(Hierarchy!$E$2:$E$1295,MATCH($D361,Hierarchy!$A$2:$A$1295,0))),"NODE NOT FOUND"))</f>
        <v>Latin America (LATAM)</v>
      </c>
      <c r="I361" s="7" t="str">
        <f aca="false">IF($D361="","",IFERROR(IF(INDEX(Hierarchy!$F$2:$F$1295,MATCH($D361,Hierarchy!$A$2:$A$1295,0))="","",INDEX(Hierarchy!$F$2:$F$1295,MATCH($D361,Hierarchy!$A$2:$A$1295,0))),"NODE NOT FOUND"))</f>
        <v>Colombia</v>
      </c>
      <c r="J361" s="7" t="str">
        <f aca="false">IF($D361="","",IFERROR(IF(INDEX(Hierarchy!$G$2:$G$1295,MATCH($D361,Hierarchy!$A$2:$A$1295,0))="","",INDEX(Hierarchy!$G$2:$G$1295,MATCH($D361,Hierarchy!$A$2:$A$1295,0))),"NODE NOT FOUND"))</f>
        <v>COL</v>
      </c>
      <c r="K361" s="7" t="str">
        <f aca="false">IF($D361="","",IFERROR(IF(INDEX(Hierarchy!$H$2:$H$1295,MATCH($D361,Hierarchy!$A$2:$A$1295,0))="","",INDEX(Hierarchy!$H$2:$H$1295,MATCH($D361,Hierarchy!$A$2:$A$1295,0))),"NODE NOT FOUND"))</f>
        <v/>
      </c>
      <c r="L361" s="7" t="str">
        <f aca="false">IF($D361="","",IFERROR(IF(INDEX(Hierarchy!$I$2:$I$1295,MATCH($D361,Hierarchy!$A$2:$A$1295,0))="","",INDEX(Hierarchy!$I$2:$I$1295,MATCH($D361,Hierarchy!$A$2:$A$1295,0))),"NODE NOT FOUND"))</f>
        <v/>
      </c>
      <c r="M361" s="17" t="str">
        <f aca="false">IF(B361="Pre-seeded","Pre-seeded",IF(B361="Review 2026-09-16","Added from review",IF(C361="","New",IF(C361=D361,"","Changed"))))</f>
        <v/>
      </c>
      <c r="N361" s="7" t="str">
        <f aca="false">TRIM(SUBSTITUTE(SUBSTITUTE(SUBSTITUTE(" "&amp;TRIM(SUBSTITUTE(SUBSTITUTE(SUBSTITUTE(SUBSTITUTE(SUBSTITUTE(SUBSTITUTE(SUBSTITUTE(SUBSTITUTE(SUBSTITUTE(SUBSTITUTE(SUBSTITUTE(SUBSTITUTE(SUBSTITUTE(SUBSTITUTE(SUBSTITUTE(UPPER(TRIM(A361)),"[MEMBER]",""),"{MEMBER}",""),"[MEMBER}",""),"MEMBER]",""),"(A)",""),"""",""),"“",""),"”",""),".",""),":",""),",",""),"–"," "),"-"," "),"/"," "),"&amp;"," AND "))&amp;" "," THE "," ")," TOTAL "," ")," OPERATIONS "," "))</f>
        <v>COLOMBIA</v>
      </c>
      <c r="O361" s="17" t="str">
        <f aca="false">IF(COUNTIFS($N$2:$N$2000,N361,$D$2:$D$2000,"&lt;&gt;"&amp;D361)&gt;0,"CONFLICT","")</f>
        <v/>
      </c>
      <c r="P361" s="7"/>
    </row>
    <row r="362" customFormat="false" ht="15" hidden="false" customHeight="false" outlineLevel="0" collapsed="false">
      <c r="A362" s="7" t="s">
        <v>2062</v>
      </c>
      <c r="B362" s="7" t="s">
        <v>1882</v>
      </c>
      <c r="C362" s="7" t="s">
        <v>496</v>
      </c>
      <c r="D362" s="6" t="s">
        <v>496</v>
      </c>
      <c r="E362" s="6" t="s">
        <v>1880</v>
      </c>
      <c r="F362" s="7" t="str">
        <f aca="false">IF($D362="","",IFERROR(IF(INDEX(Hierarchy!$B$2:$B$1295,MATCH($D362,Hierarchy!$A$2:$A$1295,0))="","",INDEX(Hierarchy!$B$2:$B$1295,MATCH($D362,Hierarchy!$A$2:$A$1295,0))),"NODE NOT FOUND"))</f>
        <v>Country</v>
      </c>
      <c r="G362" s="7" t="str">
        <f aca="false">IF($D362="","",IFERROR(IF(INDEX(Hierarchy!$D$2:$D$1295,MATCH($D362,Hierarchy!$A$2:$A$1295,0))="","",INDEX(Hierarchy!$D$2:$D$1295,MATCH($D362,Hierarchy!$A$2:$A$1295,0))),"NODE NOT FOUND"))</f>
        <v>AMER</v>
      </c>
      <c r="H362" s="7" t="str">
        <f aca="false">IF($D362="","",IFERROR(IF(INDEX(Hierarchy!$E$2:$E$1295,MATCH($D362,Hierarchy!$A$2:$A$1295,0))="","",INDEX(Hierarchy!$E$2:$E$1295,MATCH($D362,Hierarchy!$A$2:$A$1295,0))),"NODE NOT FOUND"))</f>
        <v>Latin America (LATAM)</v>
      </c>
      <c r="I362" s="7" t="str">
        <f aca="false">IF($D362="","",IFERROR(IF(INDEX(Hierarchy!$F$2:$F$1295,MATCH($D362,Hierarchy!$A$2:$A$1295,0))="","",INDEX(Hierarchy!$F$2:$F$1295,MATCH($D362,Hierarchy!$A$2:$A$1295,0))),"NODE NOT FOUND"))</f>
        <v>Colombia</v>
      </c>
      <c r="J362" s="7" t="str">
        <f aca="false">IF($D362="","",IFERROR(IF(INDEX(Hierarchy!$G$2:$G$1295,MATCH($D362,Hierarchy!$A$2:$A$1295,0))="","",INDEX(Hierarchy!$G$2:$G$1295,MATCH($D362,Hierarchy!$A$2:$A$1295,0))),"NODE NOT FOUND"))</f>
        <v>COL</v>
      </c>
      <c r="K362" s="7" t="str">
        <f aca="false">IF($D362="","",IFERROR(IF(INDEX(Hierarchy!$H$2:$H$1295,MATCH($D362,Hierarchy!$A$2:$A$1295,0))="","",INDEX(Hierarchy!$H$2:$H$1295,MATCH($D362,Hierarchy!$A$2:$A$1295,0))),"NODE NOT FOUND"))</f>
        <v/>
      </c>
      <c r="L362" s="7" t="str">
        <f aca="false">IF($D362="","",IFERROR(IF(INDEX(Hierarchy!$I$2:$I$1295,MATCH($D362,Hierarchy!$A$2:$A$1295,0))="","",INDEX(Hierarchy!$I$2:$I$1295,MATCH($D362,Hierarchy!$A$2:$A$1295,0))),"NODE NOT FOUND"))</f>
        <v/>
      </c>
      <c r="M362" s="17" t="str">
        <f aca="false">IF(B362="Pre-seeded","Pre-seeded",IF(B362="Review 2026-09-16","Added from review",IF(C362="","New",IF(C362=D362,"","Changed"))))</f>
        <v/>
      </c>
      <c r="N362" s="7" t="str">
        <f aca="false">TRIM(SUBSTITUTE(SUBSTITUTE(SUBSTITUTE(" "&amp;TRIM(SUBSTITUTE(SUBSTITUTE(SUBSTITUTE(SUBSTITUTE(SUBSTITUTE(SUBSTITUTE(SUBSTITUTE(SUBSTITUTE(SUBSTITUTE(SUBSTITUTE(SUBSTITUTE(SUBSTITUTE(SUBSTITUTE(SUBSTITUTE(SUBSTITUTE(UPPER(TRIM(A362)),"[MEMBER]",""),"{MEMBER}",""),"[MEMBER}",""),"MEMBER]",""),"(A)",""),"""",""),"“",""),"”",""),".",""),":",""),",",""),"–"," "),"-"," "),"/"," "),"&amp;"," AND "))&amp;" "," THE "," ")," TOTAL "," ")," OPERATIONS "," "))</f>
        <v>COLOMBIA</v>
      </c>
      <c r="O362" s="17" t="str">
        <f aca="false">IF(COUNTIFS($N$2:$N$2000,N362,$D$2:$D$2000,"&lt;&gt;"&amp;D362)&gt;0,"CONFLICT","")</f>
        <v/>
      </c>
      <c r="P362" s="7"/>
    </row>
    <row r="363" customFormat="false" ht="15" hidden="false" customHeight="false" outlineLevel="0" collapsed="false">
      <c r="A363" s="7" t="s">
        <v>2063</v>
      </c>
      <c r="B363" s="7" t="s">
        <v>1882</v>
      </c>
      <c r="C363" s="7" t="s">
        <v>156</v>
      </c>
      <c r="D363" s="6" t="s">
        <v>156</v>
      </c>
      <c r="E363" s="6" t="s">
        <v>1880</v>
      </c>
      <c r="F363" s="7" t="str">
        <f aca="false">IF($D363="","",IFERROR(IF(INDEX(Hierarchy!$B$2:$B$1295,MATCH($D363,Hierarchy!$A$2:$A$1295,0))="","",INDEX(Hierarchy!$B$2:$B$1295,MATCH($D363,Hierarchy!$A$2:$A$1295,0))),"NODE NOT FOUND"))</f>
        <v>State/Province</v>
      </c>
      <c r="G363" s="7" t="str">
        <f aca="false">IF($D363="","",IFERROR(IF(INDEX(Hierarchy!$D$2:$D$1295,MATCH($D363,Hierarchy!$A$2:$A$1295,0))="","",INDEX(Hierarchy!$D$2:$D$1295,MATCH($D363,Hierarchy!$A$2:$A$1295,0))),"NODE NOT FOUND"))</f>
        <v>AMER</v>
      </c>
      <c r="H363" s="7" t="str">
        <f aca="false">IF($D363="","",IFERROR(IF(INDEX(Hierarchy!$E$2:$E$1295,MATCH($D363,Hierarchy!$A$2:$A$1295,0))="","",INDEX(Hierarchy!$E$2:$E$1295,MATCH($D363,Hierarchy!$A$2:$A$1295,0))),"NODE NOT FOUND"))</f>
        <v>North America (NORAM)</v>
      </c>
      <c r="I363" s="7" t="str">
        <f aca="false">IF($D363="","",IFERROR(IF(INDEX(Hierarchy!$F$2:$F$1295,MATCH($D363,Hierarchy!$A$2:$A$1295,0))="","",INDEX(Hierarchy!$F$2:$F$1295,MATCH($D363,Hierarchy!$A$2:$A$1295,0))),"NODE NOT FOUND"))</f>
        <v>United States</v>
      </c>
      <c r="J363" s="7" t="str">
        <f aca="false">IF($D363="","",IFERROR(IF(INDEX(Hierarchy!$G$2:$G$1295,MATCH($D363,Hierarchy!$A$2:$A$1295,0))="","",INDEX(Hierarchy!$G$2:$G$1295,MATCH($D363,Hierarchy!$A$2:$A$1295,0))),"NODE NOT FOUND"))</f>
        <v>USA</v>
      </c>
      <c r="K363" s="7" t="str">
        <f aca="false">IF($D363="","",IFERROR(IF(INDEX(Hierarchy!$H$2:$H$1295,MATCH($D363,Hierarchy!$A$2:$A$1295,0))="","",INDEX(Hierarchy!$H$2:$H$1295,MATCH($D363,Hierarchy!$A$2:$A$1295,0))),"NODE NOT FOUND"))</f>
        <v>Colorado</v>
      </c>
      <c r="L363" s="7" t="str">
        <f aca="false">IF($D363="","",IFERROR(IF(INDEX(Hierarchy!$I$2:$I$1295,MATCH($D363,Hierarchy!$A$2:$A$1295,0))="","",INDEX(Hierarchy!$I$2:$I$1295,MATCH($D363,Hierarchy!$A$2:$A$1295,0))),"NODE NOT FOUND"))</f>
        <v/>
      </c>
      <c r="M363" s="17" t="str">
        <f aca="false">IF(B363="Pre-seeded","Pre-seeded",IF(B363="Review 2026-09-16","Added from review",IF(C363="","New",IF(C363=D363,"","Changed"))))</f>
        <v/>
      </c>
      <c r="N363" s="7" t="str">
        <f aca="false">TRIM(SUBSTITUTE(SUBSTITUTE(SUBSTITUTE(" "&amp;TRIM(SUBSTITUTE(SUBSTITUTE(SUBSTITUTE(SUBSTITUTE(SUBSTITUTE(SUBSTITUTE(SUBSTITUTE(SUBSTITUTE(SUBSTITUTE(SUBSTITUTE(SUBSTITUTE(SUBSTITUTE(SUBSTITUTE(SUBSTITUTE(SUBSTITUTE(UPPER(TRIM(A363)),"[MEMBER]",""),"{MEMBER}",""),"[MEMBER}",""),"MEMBER]",""),"(A)",""),"""",""),"“",""),"”",""),".",""),":",""),",",""),"–"," "),"-"," "),"/"," "),"&amp;"," AND "))&amp;" "," THE "," ")," TOTAL "," ")," OPERATIONS "," "))</f>
        <v>COLORADO</v>
      </c>
      <c r="O363" s="17" t="str">
        <f aca="false">IF(COUNTIFS($N$2:$N$2000,N363,$D$2:$D$2000,"&lt;&gt;"&amp;D363)&gt;0,"CONFLICT","")</f>
        <v/>
      </c>
      <c r="P363" s="7"/>
    </row>
    <row r="364" customFormat="false" ht="15" hidden="false" customHeight="false" outlineLevel="0" collapsed="false">
      <c r="A364" s="7" t="s">
        <v>156</v>
      </c>
      <c r="B364" s="7" t="s">
        <v>1882</v>
      </c>
      <c r="C364" s="7" t="s">
        <v>156</v>
      </c>
      <c r="D364" s="6" t="s">
        <v>156</v>
      </c>
      <c r="E364" s="6" t="s">
        <v>1880</v>
      </c>
      <c r="F364" s="7" t="str">
        <f aca="false">IF($D364="","",IFERROR(IF(INDEX(Hierarchy!$B$2:$B$1295,MATCH($D364,Hierarchy!$A$2:$A$1295,0))="","",INDEX(Hierarchy!$B$2:$B$1295,MATCH($D364,Hierarchy!$A$2:$A$1295,0))),"NODE NOT FOUND"))</f>
        <v>State/Province</v>
      </c>
      <c r="G364" s="7" t="str">
        <f aca="false">IF($D364="","",IFERROR(IF(INDEX(Hierarchy!$D$2:$D$1295,MATCH($D364,Hierarchy!$A$2:$A$1295,0))="","",INDEX(Hierarchy!$D$2:$D$1295,MATCH($D364,Hierarchy!$A$2:$A$1295,0))),"NODE NOT FOUND"))</f>
        <v>AMER</v>
      </c>
      <c r="H364" s="7" t="str">
        <f aca="false">IF($D364="","",IFERROR(IF(INDEX(Hierarchy!$E$2:$E$1295,MATCH($D364,Hierarchy!$A$2:$A$1295,0))="","",INDEX(Hierarchy!$E$2:$E$1295,MATCH($D364,Hierarchy!$A$2:$A$1295,0))),"NODE NOT FOUND"))</f>
        <v>North America (NORAM)</v>
      </c>
      <c r="I364" s="7" t="str">
        <f aca="false">IF($D364="","",IFERROR(IF(INDEX(Hierarchy!$F$2:$F$1295,MATCH($D364,Hierarchy!$A$2:$A$1295,0))="","",INDEX(Hierarchy!$F$2:$F$1295,MATCH($D364,Hierarchy!$A$2:$A$1295,0))),"NODE NOT FOUND"))</f>
        <v>United States</v>
      </c>
      <c r="J364" s="7" t="str">
        <f aca="false">IF($D364="","",IFERROR(IF(INDEX(Hierarchy!$G$2:$G$1295,MATCH($D364,Hierarchy!$A$2:$A$1295,0))="","",INDEX(Hierarchy!$G$2:$G$1295,MATCH($D364,Hierarchy!$A$2:$A$1295,0))),"NODE NOT FOUND"))</f>
        <v>USA</v>
      </c>
      <c r="K364" s="7" t="str">
        <f aca="false">IF($D364="","",IFERROR(IF(INDEX(Hierarchy!$H$2:$H$1295,MATCH($D364,Hierarchy!$A$2:$A$1295,0))="","",INDEX(Hierarchy!$H$2:$H$1295,MATCH($D364,Hierarchy!$A$2:$A$1295,0))),"NODE NOT FOUND"))</f>
        <v>Colorado</v>
      </c>
      <c r="L364" s="7" t="str">
        <f aca="false">IF($D364="","",IFERROR(IF(INDEX(Hierarchy!$I$2:$I$1295,MATCH($D364,Hierarchy!$A$2:$A$1295,0))="","",INDEX(Hierarchy!$I$2:$I$1295,MATCH($D364,Hierarchy!$A$2:$A$1295,0))),"NODE NOT FOUND"))</f>
        <v/>
      </c>
      <c r="M364" s="17" t="str">
        <f aca="false">IF(B364="Pre-seeded","Pre-seeded",IF(B364="Review 2026-09-16","Added from review",IF(C364="","New",IF(C364=D364,"","Changed"))))</f>
        <v/>
      </c>
      <c r="N364" s="7" t="str">
        <f aca="false">TRIM(SUBSTITUTE(SUBSTITUTE(SUBSTITUTE(" "&amp;TRIM(SUBSTITUTE(SUBSTITUTE(SUBSTITUTE(SUBSTITUTE(SUBSTITUTE(SUBSTITUTE(SUBSTITUTE(SUBSTITUTE(SUBSTITUTE(SUBSTITUTE(SUBSTITUTE(SUBSTITUTE(SUBSTITUTE(SUBSTITUTE(SUBSTITUTE(UPPER(TRIM(A364)),"[MEMBER]",""),"{MEMBER}",""),"[MEMBER}",""),"MEMBER]",""),"(A)",""),"""",""),"“",""),"”",""),".",""),":",""),",",""),"–"," "),"-"," "),"/"," "),"&amp;"," AND "))&amp;" "," THE "," ")," TOTAL "," ")," OPERATIONS "," "))</f>
        <v>COLORADO</v>
      </c>
      <c r="O364" s="17" t="str">
        <f aca="false">IF(COUNTIFS($N$2:$N$2000,N364,$D$2:$D$2000,"&lt;&gt;"&amp;D364)&gt;0,"CONFLICT","")</f>
        <v/>
      </c>
      <c r="P364" s="7"/>
    </row>
    <row r="365" customFormat="false" ht="15" hidden="false" customHeight="false" outlineLevel="0" collapsed="false">
      <c r="A365" s="7" t="s">
        <v>2064</v>
      </c>
      <c r="B365" s="7" t="s">
        <v>1882</v>
      </c>
      <c r="C365" s="7" t="s">
        <v>2064</v>
      </c>
      <c r="D365" s="6" t="s">
        <v>157</v>
      </c>
      <c r="E365" s="6" t="s">
        <v>1880</v>
      </c>
      <c r="F365" s="7" t="str">
        <f aca="false">IF($D365="","",IFERROR(IF(INDEX(Hierarchy!$B$2:$B$1295,MATCH($D365,Hierarchy!$A$2:$A$1295,0))="","",INDEX(Hierarchy!$B$2:$B$1295,MATCH($D365,Hierarchy!$A$2:$A$1295,0))),"NODE NOT FOUND"))</f>
        <v>City</v>
      </c>
      <c r="G365" s="7" t="str">
        <f aca="false">IF($D365="","",IFERROR(IF(INDEX(Hierarchy!$D$2:$D$1295,MATCH($D365,Hierarchy!$A$2:$A$1295,0))="","",INDEX(Hierarchy!$D$2:$D$1295,MATCH($D365,Hierarchy!$A$2:$A$1295,0))),"NODE NOT FOUND"))</f>
        <v>AMER</v>
      </c>
      <c r="H365" s="7" t="str">
        <f aca="false">IF($D365="","",IFERROR(IF(INDEX(Hierarchy!$E$2:$E$1295,MATCH($D365,Hierarchy!$A$2:$A$1295,0))="","",INDEX(Hierarchy!$E$2:$E$1295,MATCH($D365,Hierarchy!$A$2:$A$1295,0))),"NODE NOT FOUND"))</f>
        <v>North America (NORAM)</v>
      </c>
      <c r="I365" s="7" t="str">
        <f aca="false">IF($D365="","",IFERROR(IF(INDEX(Hierarchy!$F$2:$F$1295,MATCH($D365,Hierarchy!$A$2:$A$1295,0))="","",INDEX(Hierarchy!$F$2:$F$1295,MATCH($D365,Hierarchy!$A$2:$A$1295,0))),"NODE NOT FOUND"))</f>
        <v>United States</v>
      </c>
      <c r="J365" s="7" t="str">
        <f aca="false">IF($D365="","",IFERROR(IF(INDEX(Hierarchy!$G$2:$G$1295,MATCH($D365,Hierarchy!$A$2:$A$1295,0))="","",INDEX(Hierarchy!$G$2:$G$1295,MATCH($D365,Hierarchy!$A$2:$A$1295,0))),"NODE NOT FOUND"))</f>
        <v>USA</v>
      </c>
      <c r="K365" s="7" t="str">
        <f aca="false">IF($D365="","",IFERROR(IF(INDEX(Hierarchy!$H$2:$H$1295,MATCH($D365,Hierarchy!$A$2:$A$1295,0))="","",INDEX(Hierarchy!$H$2:$H$1295,MATCH($D365,Hierarchy!$A$2:$A$1295,0))),"NODE NOT FOUND"))</f>
        <v>Colorado</v>
      </c>
      <c r="L365" s="7" t="str">
        <f aca="false">IF($D365="","",IFERROR(IF(INDEX(Hierarchy!$I$2:$I$1295,MATCH($D365,Hierarchy!$A$2:$A$1295,0))="","",INDEX(Hierarchy!$I$2:$I$1295,MATCH($D365,Hierarchy!$A$2:$A$1295,0))),"NODE NOT FOUND"))</f>
        <v>Colorado Springs</v>
      </c>
      <c r="M365" s="17" t="str">
        <f aca="false">IF(B365="Pre-seeded","Pre-seeded",IF(B365="Review 2026-09-16","Added from review",IF(C365="","New",IF(C365=D365,"","Changed"))))</f>
        <v>Changed</v>
      </c>
      <c r="N365" s="7" t="str">
        <f aca="false">TRIM(SUBSTITUTE(SUBSTITUTE(SUBSTITUTE(" "&amp;TRIM(SUBSTITUTE(SUBSTITUTE(SUBSTITUTE(SUBSTITUTE(SUBSTITUTE(SUBSTITUTE(SUBSTITUTE(SUBSTITUTE(SUBSTITUTE(SUBSTITUTE(SUBSTITUTE(SUBSTITUTE(SUBSTITUTE(SUBSTITUTE(SUBSTITUTE(UPPER(TRIM(A365)),"[MEMBER]",""),"{MEMBER}",""),"[MEMBER}",""),"MEMBER]",""),"(A)",""),"""",""),"“",""),"”",""),".",""),":",""),",",""),"–"," "),"-"," "),"/"," "),"&amp;"," AND "))&amp;" "," THE "," ")," TOTAL "," ")," OPERATIONS "," "))</f>
        <v>COLORADO SPRINGS COLORADO</v>
      </c>
      <c r="O365" s="17" t="str">
        <f aca="false">IF(COUNTIFS($N$2:$N$2000,N365,$D$2:$D$2000,"&lt;&gt;"&amp;D365)&gt;0,"CONFLICT","")</f>
        <v/>
      </c>
      <c r="P365" s="7"/>
    </row>
    <row r="366" customFormat="false" ht="15" hidden="false" customHeight="false" outlineLevel="0" collapsed="false">
      <c r="A366" s="7" t="s">
        <v>2065</v>
      </c>
      <c r="B366" s="7" t="s">
        <v>1882</v>
      </c>
      <c r="C366" s="7" t="s">
        <v>496</v>
      </c>
      <c r="D366" s="6" t="s">
        <v>496</v>
      </c>
      <c r="E366" s="6" t="s">
        <v>1880</v>
      </c>
      <c r="F366" s="7" t="str">
        <f aca="false">IF($D366="","",IFERROR(IF(INDEX(Hierarchy!$B$2:$B$1295,MATCH($D366,Hierarchy!$A$2:$A$1295,0))="","",INDEX(Hierarchy!$B$2:$B$1295,MATCH($D366,Hierarchy!$A$2:$A$1295,0))),"NODE NOT FOUND"))</f>
        <v>Country</v>
      </c>
      <c r="G366" s="7" t="str">
        <f aca="false">IF($D366="","",IFERROR(IF(INDEX(Hierarchy!$D$2:$D$1295,MATCH($D366,Hierarchy!$A$2:$A$1295,0))="","",INDEX(Hierarchy!$D$2:$D$1295,MATCH($D366,Hierarchy!$A$2:$A$1295,0))),"NODE NOT FOUND"))</f>
        <v>AMER</v>
      </c>
      <c r="H366" s="7" t="str">
        <f aca="false">IF($D366="","",IFERROR(IF(INDEX(Hierarchy!$E$2:$E$1295,MATCH($D366,Hierarchy!$A$2:$A$1295,0))="","",INDEX(Hierarchy!$E$2:$E$1295,MATCH($D366,Hierarchy!$A$2:$A$1295,0))),"NODE NOT FOUND"))</f>
        <v>Latin America (LATAM)</v>
      </c>
      <c r="I366" s="7" t="str">
        <f aca="false">IF($D366="","",IFERROR(IF(INDEX(Hierarchy!$F$2:$F$1295,MATCH($D366,Hierarchy!$A$2:$A$1295,0))="","",INDEX(Hierarchy!$F$2:$F$1295,MATCH($D366,Hierarchy!$A$2:$A$1295,0))),"NODE NOT FOUND"))</f>
        <v>Colombia</v>
      </c>
      <c r="J366" s="7" t="str">
        <f aca="false">IF($D366="","",IFERROR(IF(INDEX(Hierarchy!$G$2:$G$1295,MATCH($D366,Hierarchy!$A$2:$A$1295,0))="","",INDEX(Hierarchy!$G$2:$G$1295,MATCH($D366,Hierarchy!$A$2:$A$1295,0))),"NODE NOT FOUND"))</f>
        <v>COL</v>
      </c>
      <c r="K366" s="7" t="str">
        <f aca="false">IF($D366="","",IFERROR(IF(INDEX(Hierarchy!$H$2:$H$1295,MATCH($D366,Hierarchy!$A$2:$A$1295,0))="","",INDEX(Hierarchy!$H$2:$H$1295,MATCH($D366,Hierarchy!$A$2:$A$1295,0))),"NODE NOT FOUND"))</f>
        <v/>
      </c>
      <c r="L366" s="7" t="str">
        <f aca="false">IF($D366="","",IFERROR(IF(INDEX(Hierarchy!$I$2:$I$1295,MATCH($D366,Hierarchy!$A$2:$A$1295,0))="","",INDEX(Hierarchy!$I$2:$I$1295,MATCH($D366,Hierarchy!$A$2:$A$1295,0))),"NODE NOT FOUND"))</f>
        <v/>
      </c>
      <c r="M366" s="17" t="str">
        <f aca="false">IF(B366="Pre-seeded","Pre-seeded",IF(B366="Review 2026-09-16","Added from review",IF(C366="","New",IF(C366=D366,"","Changed"))))</f>
        <v/>
      </c>
      <c r="N366" s="7" t="str">
        <f aca="false">TRIM(SUBSTITUTE(SUBSTITUTE(SUBSTITUTE(" "&amp;TRIM(SUBSTITUTE(SUBSTITUTE(SUBSTITUTE(SUBSTITUTE(SUBSTITUTE(SUBSTITUTE(SUBSTITUTE(SUBSTITUTE(SUBSTITUTE(SUBSTITUTE(SUBSTITUTE(SUBSTITUTE(SUBSTITUTE(SUBSTITUTE(SUBSTITUTE(UPPER(TRIM(A366)),"[MEMBER]",""),"{MEMBER}",""),"[MEMBER}",""),"MEMBER]",""),"(A)",""),"""",""),"“",""),"”",""),".",""),":",""),",",""),"–"," "),"-"," "),"/"," "),"&amp;"," AND "))&amp;" "," THE "," ")," TOTAL "," ")," OPERATIONS "," "))</f>
        <v>COLUMBIA</v>
      </c>
      <c r="O366" s="17" t="str">
        <f aca="false">IF(COUNTIFS($N$2:$N$2000,N366,$D$2:$D$2000,"&lt;&gt;"&amp;D366)&gt;0,"CONFLICT","")</f>
        <v/>
      </c>
      <c r="P366" s="7"/>
    </row>
    <row r="367" customFormat="false" ht="15" hidden="false" customHeight="false" outlineLevel="0" collapsed="false">
      <c r="A367" s="7" t="s">
        <v>2066</v>
      </c>
      <c r="B367" s="7" t="s">
        <v>1879</v>
      </c>
      <c r="C367" s="7"/>
      <c r="D367" s="6" t="s">
        <v>544</v>
      </c>
      <c r="E367" s="6" t="s">
        <v>1880</v>
      </c>
      <c r="F367" s="7" t="str">
        <f aca="false">IF($D367="","",IFERROR(IF(INDEX(Hierarchy!$B$2:$B$1295,MATCH($D367,Hierarchy!$A$2:$A$1295,0))="","",INDEX(Hierarchy!$B$2:$B$1295,MATCH($D367,Hierarchy!$A$2:$A$1295,0))),"NODE NOT FOUND"))</f>
        <v>Country</v>
      </c>
      <c r="G367" s="7" t="str">
        <f aca="false">IF($D367="","",IFERROR(IF(INDEX(Hierarchy!$D$2:$D$1295,MATCH($D367,Hierarchy!$A$2:$A$1295,0))="","",INDEX(Hierarchy!$D$2:$D$1295,MATCH($D367,Hierarchy!$A$2:$A$1295,0))),"NODE NOT FOUND"))</f>
        <v>AMER</v>
      </c>
      <c r="H367" s="7" t="str">
        <f aca="false">IF($D367="","",IFERROR(IF(INDEX(Hierarchy!$E$2:$E$1295,MATCH($D367,Hierarchy!$A$2:$A$1295,0))="","",INDEX(Hierarchy!$E$2:$E$1295,MATCH($D367,Hierarchy!$A$2:$A$1295,0))),"NODE NOT FOUND"))</f>
        <v>Latin America (LATAM)</v>
      </c>
      <c r="I367" s="7" t="str">
        <f aca="false">IF($D367="","",IFERROR(IF(INDEX(Hierarchy!$F$2:$F$1295,MATCH($D367,Hierarchy!$A$2:$A$1295,0))="","",INDEX(Hierarchy!$F$2:$F$1295,MATCH($D367,Hierarchy!$A$2:$A$1295,0))),"NODE NOT FOUND"))</f>
        <v>Dominica</v>
      </c>
      <c r="J367" s="7" t="str">
        <f aca="false">IF($D367="","",IFERROR(IF(INDEX(Hierarchy!$G$2:$G$1295,MATCH($D367,Hierarchy!$A$2:$A$1295,0))="","",INDEX(Hierarchy!$G$2:$G$1295,MATCH($D367,Hierarchy!$A$2:$A$1295,0))),"NODE NOT FOUND"))</f>
        <v>DMA</v>
      </c>
      <c r="K367" s="7" t="str">
        <f aca="false">IF($D367="","",IFERROR(IF(INDEX(Hierarchy!$H$2:$H$1295,MATCH($D367,Hierarchy!$A$2:$A$1295,0))="","",INDEX(Hierarchy!$H$2:$H$1295,MATCH($D367,Hierarchy!$A$2:$A$1295,0))),"NODE NOT FOUND"))</f>
        <v/>
      </c>
      <c r="L367" s="7" t="str">
        <f aca="false">IF($D367="","",IFERROR(IF(INDEX(Hierarchy!$I$2:$I$1295,MATCH($D367,Hierarchy!$A$2:$A$1295,0))="","",INDEX(Hierarchy!$I$2:$I$1295,MATCH($D367,Hierarchy!$A$2:$A$1295,0))),"NODE NOT FOUND"))</f>
        <v/>
      </c>
      <c r="M367" s="17" t="str">
        <f aca="false">IF(B367="Pre-seeded","Pre-seeded",IF(B367="Review 2026-09-16","Added from review",IF(C367="","New",IF(C367=D367,"","Changed"))))</f>
        <v>Pre-seeded</v>
      </c>
      <c r="N367" s="7" t="str">
        <f aca="false">TRIM(SUBSTITUTE(SUBSTITUTE(SUBSTITUTE(" "&amp;TRIM(SUBSTITUTE(SUBSTITUTE(SUBSTITUTE(SUBSTITUTE(SUBSTITUTE(SUBSTITUTE(SUBSTITUTE(SUBSTITUTE(SUBSTITUTE(SUBSTITUTE(SUBSTITUTE(SUBSTITUTE(SUBSTITUTE(SUBSTITUTE(SUBSTITUTE(UPPER(TRIM(A367)),"[MEMBER]",""),"{MEMBER}",""),"[MEMBER}",""),"MEMBER]",""),"(A)",""),"""",""),"“",""),"”",""),".",""),":",""),",",""),"–"," "),"-"," "),"/"," "),"&amp;"," AND "))&amp;" "," THE "," ")," TOTAL "," ")," OPERATIONS "," "))</f>
        <v>COMMONWEALTH OF DOMINICA</v>
      </c>
      <c r="O367" s="17" t="str">
        <f aca="false">IF(COUNTIFS($N$2:$N$2000,N367,$D$2:$D$2000,"&lt;&gt;"&amp;D367)&gt;0,"CONFLICT","")</f>
        <v/>
      </c>
      <c r="P367" s="7" t="s">
        <v>1936</v>
      </c>
    </row>
    <row r="368" customFormat="false" ht="15" hidden="false" customHeight="false" outlineLevel="0" collapsed="false">
      <c r="A368" s="7" t="s">
        <v>2067</v>
      </c>
      <c r="B368" s="7" t="s">
        <v>1879</v>
      </c>
      <c r="C368" s="7"/>
      <c r="D368" s="6" t="s">
        <v>632</v>
      </c>
      <c r="E368" s="6" t="s">
        <v>1880</v>
      </c>
      <c r="F368" s="7" t="str">
        <f aca="false">IF($D368="","",IFERROR(IF(INDEX(Hierarchy!$B$2:$B$1295,MATCH($D368,Hierarchy!$A$2:$A$1295,0))="","",INDEX(Hierarchy!$B$2:$B$1295,MATCH($D368,Hierarchy!$A$2:$A$1295,0))),"NODE NOT FOUND"))</f>
        <v>Sub-region component</v>
      </c>
      <c r="G368" s="7" t="str">
        <f aca="false">IF($D368="","",IFERROR(IF(INDEX(Hierarchy!$D$2:$D$1295,MATCH($D368,Hierarchy!$A$2:$A$1295,0))="","",INDEX(Hierarchy!$D$2:$D$1295,MATCH($D368,Hierarchy!$A$2:$A$1295,0))),"NODE NOT FOUND"))</f>
        <v>EMEA</v>
      </c>
      <c r="H368" s="7" t="str">
        <f aca="false">IF($D368="","",IFERROR(IF(INDEX(Hierarchy!$E$2:$E$1295,MATCH($D368,Hierarchy!$A$2:$A$1295,0))="","",INDEX(Hierarchy!$E$2:$E$1295,MATCH($D368,Hierarchy!$A$2:$A$1295,0))),"NODE NOT FOUND"))</f>
        <v>Europe</v>
      </c>
      <c r="I368" s="7" t="str">
        <f aca="false">IF($D368="","",IFERROR(IF(INDEX(Hierarchy!$F$2:$F$1295,MATCH($D368,Hierarchy!$A$2:$A$1295,0))="","",INDEX(Hierarchy!$F$2:$F$1295,MATCH($D368,Hierarchy!$A$2:$A$1295,0))),"NODE NOT FOUND"))</f>
        <v/>
      </c>
      <c r="J368" s="7" t="str">
        <f aca="false">IF($D368="","",IFERROR(IF(INDEX(Hierarchy!$G$2:$G$1295,MATCH($D368,Hierarchy!$A$2:$A$1295,0))="","",INDEX(Hierarchy!$G$2:$G$1295,MATCH($D368,Hierarchy!$A$2:$A$1295,0))),"NODE NOT FOUND"))</f>
        <v/>
      </c>
      <c r="K368" s="7" t="str">
        <f aca="false">IF($D368="","",IFERROR(IF(INDEX(Hierarchy!$H$2:$H$1295,MATCH($D368,Hierarchy!$A$2:$A$1295,0))="","",INDEX(Hierarchy!$H$2:$H$1295,MATCH($D368,Hierarchy!$A$2:$A$1295,0))),"NODE NOT FOUND"))</f>
        <v/>
      </c>
      <c r="L368" s="7" t="str">
        <f aca="false">IF($D368="","",IFERROR(IF(INDEX(Hierarchy!$I$2:$I$1295,MATCH($D368,Hierarchy!$A$2:$A$1295,0))="","",INDEX(Hierarchy!$I$2:$I$1295,MATCH($D368,Hierarchy!$A$2:$A$1295,0))),"NODE NOT FOUND"))</f>
        <v/>
      </c>
      <c r="M368" s="17" t="str">
        <f aca="false">IF(B368="Pre-seeded","Pre-seeded",IF(B368="Review 2026-09-16","Added from review",IF(C368="","New",IF(C368=D368,"","Changed"))))</f>
        <v>Pre-seeded</v>
      </c>
      <c r="N368" s="7" t="str">
        <f aca="false">TRIM(SUBSTITUTE(SUBSTITUTE(SUBSTITUTE(" "&amp;TRIM(SUBSTITUTE(SUBSTITUTE(SUBSTITUTE(SUBSTITUTE(SUBSTITUTE(SUBSTITUTE(SUBSTITUTE(SUBSTITUTE(SUBSTITUTE(SUBSTITUTE(SUBSTITUTE(SUBSTITUTE(SUBSTITUTE(SUBSTITUTE(SUBSTITUTE(UPPER(TRIM(A368)),"[MEMBER]",""),"{MEMBER}",""),"[MEMBER}",""),"MEMBER]",""),"(A)",""),"""",""),"“",""),"”",""),".",""),":",""),",",""),"–"," "),"-"," "),"/"," "),"&amp;"," AND "))&amp;" "," THE "," ")," TOTAL "," ")," OPERATIONS "," "))</f>
        <v>COMMONWEALTH OF INDEPENDENT STATES</v>
      </c>
      <c r="O368" s="17" t="str">
        <f aca="false">IF(COUNTIFS($N$2:$N$2000,N368,$D$2:$D$2000,"&lt;&gt;"&amp;D368)&gt;0,"CONFLICT","")</f>
        <v/>
      </c>
      <c r="P368" s="7"/>
    </row>
    <row r="369" customFormat="false" ht="15" hidden="false" customHeight="false" outlineLevel="0" collapsed="false">
      <c r="A369" s="7" t="s">
        <v>2068</v>
      </c>
      <c r="B369" s="7" t="s">
        <v>1885</v>
      </c>
      <c r="C369" s="7" t="s">
        <v>2032</v>
      </c>
      <c r="D369" s="6" t="s">
        <v>632</v>
      </c>
      <c r="E369" s="6" t="s">
        <v>1880</v>
      </c>
      <c r="F369" s="7" t="str">
        <f aca="false">IF($D369="","",IFERROR(IF(INDEX(Hierarchy!$B$2:$B$1295,MATCH($D369,Hierarchy!$A$2:$A$1295,0))="","",INDEX(Hierarchy!$B$2:$B$1295,MATCH($D369,Hierarchy!$A$2:$A$1295,0))),"NODE NOT FOUND"))</f>
        <v>Sub-region component</v>
      </c>
      <c r="G369" s="7" t="str">
        <f aca="false">IF($D369="","",IFERROR(IF(INDEX(Hierarchy!$D$2:$D$1295,MATCH($D369,Hierarchy!$A$2:$A$1295,0))="","",INDEX(Hierarchy!$D$2:$D$1295,MATCH($D369,Hierarchy!$A$2:$A$1295,0))),"NODE NOT FOUND"))</f>
        <v>EMEA</v>
      </c>
      <c r="H369" s="7" t="str">
        <f aca="false">IF($D369="","",IFERROR(IF(INDEX(Hierarchy!$E$2:$E$1295,MATCH($D369,Hierarchy!$A$2:$A$1295,0))="","",INDEX(Hierarchy!$E$2:$E$1295,MATCH($D369,Hierarchy!$A$2:$A$1295,0))),"NODE NOT FOUND"))</f>
        <v>Europe</v>
      </c>
      <c r="I369" s="7" t="str">
        <f aca="false">IF($D369="","",IFERROR(IF(INDEX(Hierarchy!$F$2:$F$1295,MATCH($D369,Hierarchy!$A$2:$A$1295,0))="","",INDEX(Hierarchy!$F$2:$F$1295,MATCH($D369,Hierarchy!$A$2:$A$1295,0))),"NODE NOT FOUND"))</f>
        <v/>
      </c>
      <c r="J369" s="7" t="str">
        <f aca="false">IF($D369="","",IFERROR(IF(INDEX(Hierarchy!$G$2:$G$1295,MATCH($D369,Hierarchy!$A$2:$A$1295,0))="","",INDEX(Hierarchy!$G$2:$G$1295,MATCH($D369,Hierarchy!$A$2:$A$1295,0))),"NODE NOT FOUND"))</f>
        <v/>
      </c>
      <c r="K369" s="7" t="str">
        <f aca="false">IF($D369="","",IFERROR(IF(INDEX(Hierarchy!$H$2:$H$1295,MATCH($D369,Hierarchy!$A$2:$A$1295,0))="","",INDEX(Hierarchy!$H$2:$H$1295,MATCH($D369,Hierarchy!$A$2:$A$1295,0))),"NODE NOT FOUND"))</f>
        <v/>
      </c>
      <c r="L369" s="7" t="str">
        <f aca="false">IF($D369="","",IFERROR(IF(INDEX(Hierarchy!$I$2:$I$1295,MATCH($D369,Hierarchy!$A$2:$A$1295,0))="","",INDEX(Hierarchy!$I$2:$I$1295,MATCH($D369,Hierarchy!$A$2:$A$1295,0))),"NODE NOT FOUND"))</f>
        <v/>
      </c>
      <c r="M369" s="17" t="str">
        <f aca="false">IF(B369="Pre-seeded","Pre-seeded",IF(B369="Review 2026-09-16","Added from review",IF(C369="","New",IF(C369=D369,"","Changed"))))</f>
        <v>Changed</v>
      </c>
      <c r="N369" s="7" t="str">
        <f aca="false">TRIM(SUBSTITUTE(SUBSTITUTE(SUBSTITUTE(" "&amp;TRIM(SUBSTITUTE(SUBSTITUTE(SUBSTITUTE(SUBSTITUTE(SUBSTITUTE(SUBSTITUTE(SUBSTITUTE(SUBSTITUTE(SUBSTITUTE(SUBSTITUTE(SUBSTITUTE(SUBSTITUTE(SUBSTITUTE(SUBSTITUTE(SUBSTITUTE(UPPER(TRIM(A369)),"[MEMBER]",""),"{MEMBER}",""),"[MEMBER}",""),"MEMBER]",""),"(A)",""),"""",""),"“",""),"”",""),".",""),":",""),",",""),"–"," "),"-"," "),"/"," "),"&amp;"," AND "))&amp;" "," THE "," ")," TOTAL "," ")," OPERATIONS "," "))</f>
        <v>COMMONWEALTH OF INDEPENDENT STATES (CIS)</v>
      </c>
      <c r="O369" s="17" t="str">
        <f aca="false">IF(COUNTIFS($N$2:$N$2000,N369,$D$2:$D$2000,"&lt;&gt;"&amp;D369)&gt;0,"CONFLICT","")</f>
        <v/>
      </c>
      <c r="P369" s="7"/>
    </row>
    <row r="370" customFormat="false" ht="15" hidden="false" customHeight="false" outlineLevel="0" collapsed="false">
      <c r="A370" s="7" t="s">
        <v>2069</v>
      </c>
      <c r="B370" s="7" t="s">
        <v>1879</v>
      </c>
      <c r="C370" s="7"/>
      <c r="D370" s="6" t="s">
        <v>458</v>
      </c>
      <c r="E370" s="6" t="s">
        <v>1880</v>
      </c>
      <c r="F370" s="7" t="str">
        <f aca="false">IF($D370="","",IFERROR(IF(INDEX(Hierarchy!$B$2:$B$1295,MATCH($D370,Hierarchy!$A$2:$A$1295,0))="","",INDEX(Hierarchy!$B$2:$B$1295,MATCH($D370,Hierarchy!$A$2:$A$1295,0))),"NODE NOT FOUND"))</f>
        <v>Country</v>
      </c>
      <c r="G370" s="7" t="str">
        <f aca="false">IF($D370="","",IFERROR(IF(INDEX(Hierarchy!$D$2:$D$1295,MATCH($D370,Hierarchy!$A$2:$A$1295,0))="","",INDEX(Hierarchy!$D$2:$D$1295,MATCH($D370,Hierarchy!$A$2:$A$1295,0))),"NODE NOT FOUND"))</f>
        <v>AMER</v>
      </c>
      <c r="H370" s="7" t="str">
        <f aca="false">IF($D370="","",IFERROR(IF(INDEX(Hierarchy!$E$2:$E$1295,MATCH($D370,Hierarchy!$A$2:$A$1295,0))="","",INDEX(Hierarchy!$E$2:$E$1295,MATCH($D370,Hierarchy!$A$2:$A$1295,0))),"NODE NOT FOUND"))</f>
        <v>Latin America (LATAM)</v>
      </c>
      <c r="I370" s="7" t="str">
        <f aca="false">IF($D370="","",IFERROR(IF(INDEX(Hierarchy!$F$2:$F$1295,MATCH($D370,Hierarchy!$A$2:$A$1295,0))="","",INDEX(Hierarchy!$F$2:$F$1295,MATCH($D370,Hierarchy!$A$2:$A$1295,0))),"NODE NOT FOUND"))</f>
        <v>Bahamas</v>
      </c>
      <c r="J370" s="7" t="str">
        <f aca="false">IF($D370="","",IFERROR(IF(INDEX(Hierarchy!$G$2:$G$1295,MATCH($D370,Hierarchy!$A$2:$A$1295,0))="","",INDEX(Hierarchy!$G$2:$G$1295,MATCH($D370,Hierarchy!$A$2:$A$1295,0))),"NODE NOT FOUND"))</f>
        <v>BHS</v>
      </c>
      <c r="K370" s="7" t="str">
        <f aca="false">IF($D370="","",IFERROR(IF(INDEX(Hierarchy!$H$2:$H$1295,MATCH($D370,Hierarchy!$A$2:$A$1295,0))="","",INDEX(Hierarchy!$H$2:$H$1295,MATCH($D370,Hierarchy!$A$2:$A$1295,0))),"NODE NOT FOUND"))</f>
        <v/>
      </c>
      <c r="L370" s="7" t="str">
        <f aca="false">IF($D370="","",IFERROR(IF(INDEX(Hierarchy!$I$2:$I$1295,MATCH($D370,Hierarchy!$A$2:$A$1295,0))="","",INDEX(Hierarchy!$I$2:$I$1295,MATCH($D370,Hierarchy!$A$2:$A$1295,0))),"NODE NOT FOUND"))</f>
        <v/>
      </c>
      <c r="M370" s="17" t="str">
        <f aca="false">IF(B370="Pre-seeded","Pre-seeded",IF(B370="Review 2026-09-16","Added from review",IF(C370="","New",IF(C370=D370,"","Changed"))))</f>
        <v>Pre-seeded</v>
      </c>
      <c r="N370" s="7" t="str">
        <f aca="false">TRIM(SUBSTITUTE(SUBSTITUTE(SUBSTITUTE(" "&amp;TRIM(SUBSTITUTE(SUBSTITUTE(SUBSTITUTE(SUBSTITUTE(SUBSTITUTE(SUBSTITUTE(SUBSTITUTE(SUBSTITUTE(SUBSTITUTE(SUBSTITUTE(SUBSTITUTE(SUBSTITUTE(SUBSTITUTE(SUBSTITUTE(SUBSTITUTE(UPPER(TRIM(A370)),"[MEMBER]",""),"{MEMBER}",""),"[MEMBER}",""),"MEMBER]",""),"(A)",""),"""",""),"“",""),"”",""),".",""),":",""),",",""),"–"," "),"-"," "),"/"," "),"&amp;"," AND "))&amp;" "," THE "," ")," TOTAL "," ")," OPERATIONS "," "))</f>
        <v>COMMONWEALTH OF BAHAMAS</v>
      </c>
      <c r="O370" s="17" t="str">
        <f aca="false">IF(COUNTIFS($N$2:$N$2000,N370,$D$2:$D$2000,"&lt;&gt;"&amp;D370)&gt;0,"CONFLICT","")</f>
        <v/>
      </c>
      <c r="P370" s="7" t="s">
        <v>1936</v>
      </c>
    </row>
    <row r="371" customFormat="false" ht="15" hidden="false" customHeight="false" outlineLevel="0" collapsed="false">
      <c r="A371" s="7" t="s">
        <v>963</v>
      </c>
      <c r="B371" s="7" t="s">
        <v>1879</v>
      </c>
      <c r="C371" s="7"/>
      <c r="D371" s="6" t="s">
        <v>963</v>
      </c>
      <c r="E371" s="6" t="s">
        <v>1880</v>
      </c>
      <c r="F371" s="7" t="str">
        <f aca="false">IF($D371="","",IFERROR(IF(INDEX(Hierarchy!$B$2:$B$1295,MATCH($D371,Hierarchy!$A$2:$A$1295,0))="","",INDEX(Hierarchy!$B$2:$B$1295,MATCH($D371,Hierarchy!$A$2:$A$1295,0))),"NODE NOT FOUND"))</f>
        <v>State/Province</v>
      </c>
      <c r="G371" s="7" t="str">
        <f aca="false">IF($D371="","",IFERROR(IF(INDEX(Hierarchy!$D$2:$D$1295,MATCH($D371,Hierarchy!$A$2:$A$1295,0))="","",INDEX(Hierarchy!$D$2:$D$1295,MATCH($D371,Hierarchy!$A$2:$A$1295,0))),"NODE NOT FOUND"))</f>
        <v>EMEA</v>
      </c>
      <c r="H371" s="7" t="str">
        <f aca="false">IF($D371="","",IFERROR(IF(INDEX(Hierarchy!$E$2:$E$1295,MATCH($D371,Hierarchy!$A$2:$A$1295,0))="","",INDEX(Hierarchy!$E$2:$E$1295,MATCH($D371,Hierarchy!$A$2:$A$1295,0))),"NODE NOT FOUND"))</f>
        <v>Europe</v>
      </c>
      <c r="I371" s="7" t="str">
        <f aca="false">IF($D371="","",IFERROR(IF(INDEX(Hierarchy!$F$2:$F$1295,MATCH($D371,Hierarchy!$A$2:$A$1295,0))="","",INDEX(Hierarchy!$F$2:$F$1295,MATCH($D371,Hierarchy!$A$2:$A$1295,0))),"NODE NOT FOUND"))</f>
        <v>Spain</v>
      </c>
      <c r="J371" s="7" t="str">
        <f aca="false">IF($D371="","",IFERROR(IF(INDEX(Hierarchy!$G$2:$G$1295,MATCH($D371,Hierarchy!$A$2:$A$1295,0))="","",INDEX(Hierarchy!$G$2:$G$1295,MATCH($D371,Hierarchy!$A$2:$A$1295,0))),"NODE NOT FOUND"))</f>
        <v>ESP</v>
      </c>
      <c r="K371" s="7" t="str">
        <f aca="false">IF($D371="","",IFERROR(IF(INDEX(Hierarchy!$H$2:$H$1295,MATCH($D371,Hierarchy!$A$2:$A$1295,0))="","",INDEX(Hierarchy!$H$2:$H$1295,MATCH($D371,Hierarchy!$A$2:$A$1295,0))),"NODE NOT FOUND"))</f>
        <v>Community of Madrid</v>
      </c>
      <c r="L371" s="7" t="str">
        <f aca="false">IF($D371="","",IFERROR(IF(INDEX(Hierarchy!$I$2:$I$1295,MATCH($D371,Hierarchy!$A$2:$A$1295,0))="","",INDEX(Hierarchy!$I$2:$I$1295,MATCH($D371,Hierarchy!$A$2:$A$1295,0))),"NODE NOT FOUND"))</f>
        <v/>
      </c>
      <c r="M371" s="17" t="str">
        <f aca="false">IF(B371="Pre-seeded","Pre-seeded",IF(B371="Review 2026-09-16","Added from review",IF(C371="","New",IF(C371=D371,"","Changed"))))</f>
        <v>Pre-seeded</v>
      </c>
      <c r="N371" s="7" t="str">
        <f aca="false">TRIM(SUBSTITUTE(SUBSTITUTE(SUBSTITUTE(" "&amp;TRIM(SUBSTITUTE(SUBSTITUTE(SUBSTITUTE(SUBSTITUTE(SUBSTITUTE(SUBSTITUTE(SUBSTITUTE(SUBSTITUTE(SUBSTITUTE(SUBSTITUTE(SUBSTITUTE(SUBSTITUTE(SUBSTITUTE(SUBSTITUTE(SUBSTITUTE(UPPER(TRIM(A371)),"[MEMBER]",""),"{MEMBER}",""),"[MEMBER}",""),"MEMBER]",""),"(A)",""),"""",""),"“",""),"”",""),".",""),":",""),",",""),"–"," "),"-"," "),"/"," "),"&amp;"," AND "))&amp;" "," THE "," ")," TOTAL "," ")," OPERATIONS "," "))</f>
        <v>COMMUNITY OF MADRID</v>
      </c>
      <c r="O371" s="17" t="str">
        <f aca="false">IF(COUNTIFS($N$2:$N$2000,N371,$D$2:$D$2000,"&lt;&gt;"&amp;D371)&gt;0,"CONFLICT","")</f>
        <v/>
      </c>
      <c r="P371" s="7"/>
    </row>
    <row r="372" customFormat="false" ht="15" hidden="false" customHeight="false" outlineLevel="0" collapsed="false">
      <c r="A372" s="7" t="s">
        <v>1202</v>
      </c>
      <c r="B372" s="7" t="s">
        <v>1879</v>
      </c>
      <c r="C372" s="7"/>
      <c r="D372" s="6" t="s">
        <v>1202</v>
      </c>
      <c r="E372" s="6" t="s">
        <v>1880</v>
      </c>
      <c r="F372" s="7" t="str">
        <f aca="false">IF($D372="","",IFERROR(IF(INDEX(Hierarchy!$B$2:$B$1295,MATCH($D372,Hierarchy!$A$2:$A$1295,0))="","",INDEX(Hierarchy!$B$2:$B$1295,MATCH($D372,Hierarchy!$A$2:$A$1295,0))),"NODE NOT FOUND"))</f>
        <v>Country</v>
      </c>
      <c r="G372" s="7" t="str">
        <f aca="false">IF($D372="","",IFERROR(IF(INDEX(Hierarchy!$D$2:$D$1295,MATCH($D372,Hierarchy!$A$2:$A$1295,0))="","",INDEX(Hierarchy!$D$2:$D$1295,MATCH($D372,Hierarchy!$A$2:$A$1295,0))),"NODE NOT FOUND"))</f>
        <v>EMEA</v>
      </c>
      <c r="H372" s="7" t="str">
        <f aca="false">IF($D372="","",IFERROR(IF(INDEX(Hierarchy!$E$2:$E$1295,MATCH($D372,Hierarchy!$A$2:$A$1295,0))="","",INDEX(Hierarchy!$E$2:$E$1295,MATCH($D372,Hierarchy!$A$2:$A$1295,0))),"NODE NOT FOUND"))</f>
        <v>Africa</v>
      </c>
      <c r="I372" s="7" t="str">
        <f aca="false">IF($D372="","",IFERROR(IF(INDEX(Hierarchy!$F$2:$F$1295,MATCH($D372,Hierarchy!$A$2:$A$1295,0))="","",INDEX(Hierarchy!$F$2:$F$1295,MATCH($D372,Hierarchy!$A$2:$A$1295,0))),"NODE NOT FOUND"))</f>
        <v>Comoros</v>
      </c>
      <c r="J372" s="7" t="str">
        <f aca="false">IF($D372="","",IFERROR(IF(INDEX(Hierarchy!$G$2:$G$1295,MATCH($D372,Hierarchy!$A$2:$A$1295,0))="","",INDEX(Hierarchy!$G$2:$G$1295,MATCH($D372,Hierarchy!$A$2:$A$1295,0))),"NODE NOT FOUND"))</f>
        <v>COM</v>
      </c>
      <c r="K372" s="7" t="str">
        <f aca="false">IF($D372="","",IFERROR(IF(INDEX(Hierarchy!$H$2:$H$1295,MATCH($D372,Hierarchy!$A$2:$A$1295,0))="","",INDEX(Hierarchy!$H$2:$H$1295,MATCH($D372,Hierarchy!$A$2:$A$1295,0))),"NODE NOT FOUND"))</f>
        <v/>
      </c>
      <c r="L372" s="7" t="str">
        <f aca="false">IF($D372="","",IFERROR(IF(INDEX(Hierarchy!$I$2:$I$1295,MATCH($D372,Hierarchy!$A$2:$A$1295,0))="","",INDEX(Hierarchy!$I$2:$I$1295,MATCH($D372,Hierarchy!$A$2:$A$1295,0))),"NODE NOT FOUND"))</f>
        <v/>
      </c>
      <c r="M372" s="17" t="str">
        <f aca="false">IF(B372="Pre-seeded","Pre-seeded",IF(B372="Review 2026-09-16","Added from review",IF(C372="","New",IF(C372=D372,"","Changed"))))</f>
        <v>Pre-seeded</v>
      </c>
      <c r="N372" s="7" t="str">
        <f aca="false">TRIM(SUBSTITUTE(SUBSTITUTE(SUBSTITUTE(" "&amp;TRIM(SUBSTITUTE(SUBSTITUTE(SUBSTITUTE(SUBSTITUTE(SUBSTITUTE(SUBSTITUTE(SUBSTITUTE(SUBSTITUTE(SUBSTITUTE(SUBSTITUTE(SUBSTITUTE(SUBSTITUTE(SUBSTITUTE(SUBSTITUTE(SUBSTITUTE(UPPER(TRIM(A372)),"[MEMBER]",""),"{MEMBER}",""),"[MEMBER}",""),"MEMBER]",""),"(A)",""),"""",""),"“",""),"”",""),".",""),":",""),",",""),"–"," "),"-"," "),"/"," "),"&amp;"," AND "))&amp;" "," THE "," ")," TOTAL "," ")," OPERATIONS "," "))</f>
        <v>COMOROS</v>
      </c>
      <c r="O372" s="17" t="str">
        <f aca="false">IF(COUNTIFS($N$2:$N$2000,N372,$D$2:$D$2000,"&lt;&gt;"&amp;D372)&gt;0,"CONFLICT","")</f>
        <v/>
      </c>
      <c r="P372" s="7"/>
    </row>
    <row r="373" customFormat="false" ht="15" hidden="false" customHeight="false" outlineLevel="0" collapsed="false">
      <c r="A373" s="7" t="s">
        <v>2070</v>
      </c>
      <c r="B373" s="7" t="s">
        <v>1879</v>
      </c>
      <c r="C373" s="7"/>
      <c r="D373" s="6" t="s">
        <v>1272</v>
      </c>
      <c r="E373" s="6" t="s">
        <v>1880</v>
      </c>
      <c r="F373" s="7" t="str">
        <f aca="false">IF($D373="","",IFERROR(IF(INDEX(Hierarchy!$B$2:$B$1295,MATCH($D373,Hierarchy!$A$2:$A$1295,0))="","",INDEX(Hierarchy!$B$2:$B$1295,MATCH($D373,Hierarchy!$A$2:$A$1295,0))),"NODE NOT FOUND"))</f>
        <v>Country</v>
      </c>
      <c r="G373" s="7" t="str">
        <f aca="false">IF($D373="","",IFERROR(IF(INDEX(Hierarchy!$D$2:$D$1295,MATCH($D373,Hierarchy!$A$2:$A$1295,0))="","",INDEX(Hierarchy!$D$2:$D$1295,MATCH($D373,Hierarchy!$A$2:$A$1295,0))),"NODE NOT FOUND"))</f>
        <v>EMEA</v>
      </c>
      <c r="H373" s="7" t="str">
        <f aca="false">IF($D373="","",IFERROR(IF(INDEX(Hierarchy!$E$2:$E$1295,MATCH($D373,Hierarchy!$A$2:$A$1295,0))="","",INDEX(Hierarchy!$E$2:$E$1295,MATCH($D373,Hierarchy!$A$2:$A$1295,0))),"NODE NOT FOUND"))</f>
        <v>Africa</v>
      </c>
      <c r="I373" s="7" t="str">
        <f aca="false">IF($D373="","",IFERROR(IF(INDEX(Hierarchy!$F$2:$F$1295,MATCH($D373,Hierarchy!$A$2:$A$1295,0))="","",INDEX(Hierarchy!$F$2:$F$1295,MATCH($D373,Hierarchy!$A$2:$A$1295,0))),"NODE NOT FOUND"))</f>
        <v>Republic of the Congo</v>
      </c>
      <c r="J373" s="7" t="str">
        <f aca="false">IF($D373="","",IFERROR(IF(INDEX(Hierarchy!$G$2:$G$1295,MATCH($D373,Hierarchy!$A$2:$A$1295,0))="","",INDEX(Hierarchy!$G$2:$G$1295,MATCH($D373,Hierarchy!$A$2:$A$1295,0))),"NODE NOT FOUND"))</f>
        <v>COG</v>
      </c>
      <c r="K373" s="7" t="str">
        <f aca="false">IF($D373="","",IFERROR(IF(INDEX(Hierarchy!$H$2:$H$1295,MATCH($D373,Hierarchy!$A$2:$A$1295,0))="","",INDEX(Hierarchy!$H$2:$H$1295,MATCH($D373,Hierarchy!$A$2:$A$1295,0))),"NODE NOT FOUND"))</f>
        <v/>
      </c>
      <c r="L373" s="7" t="str">
        <f aca="false">IF($D373="","",IFERROR(IF(INDEX(Hierarchy!$I$2:$I$1295,MATCH($D373,Hierarchy!$A$2:$A$1295,0))="","",INDEX(Hierarchy!$I$2:$I$1295,MATCH($D373,Hierarchy!$A$2:$A$1295,0))),"NODE NOT FOUND"))</f>
        <v/>
      </c>
      <c r="M373" s="17" t="str">
        <f aca="false">IF(B373="Pre-seeded","Pre-seeded",IF(B373="Review 2026-09-16","Added from review",IF(C373="","New",IF(C373=D373,"","Changed"))))</f>
        <v>Pre-seeded</v>
      </c>
      <c r="N373" s="7" t="str">
        <f aca="false">TRIM(SUBSTITUTE(SUBSTITUTE(SUBSTITUTE(" "&amp;TRIM(SUBSTITUTE(SUBSTITUTE(SUBSTITUTE(SUBSTITUTE(SUBSTITUTE(SUBSTITUTE(SUBSTITUTE(SUBSTITUTE(SUBSTITUTE(SUBSTITUTE(SUBSTITUTE(SUBSTITUTE(SUBSTITUTE(SUBSTITUTE(SUBSTITUTE(UPPER(TRIM(A373)),"[MEMBER]",""),"{MEMBER}",""),"[MEMBER}",""),"MEMBER]",""),"(A)",""),"""",""),"“",""),"”",""),".",""),":",""),",",""),"–"," "),"-"," "),"/"," "),"&amp;"," AND "))&amp;" "," THE "," ")," TOTAL "," ")," OPERATIONS "," "))</f>
        <v>CONGO</v>
      </c>
      <c r="O373" s="17" t="str">
        <f aca="false">IF(COUNTIFS($N$2:$N$2000,N373,$D$2:$D$2000,"&lt;&gt;"&amp;D373)&gt;0,"CONFLICT","")</f>
        <v/>
      </c>
      <c r="P373" s="7" t="s">
        <v>1936</v>
      </c>
    </row>
    <row r="374" customFormat="false" ht="15" hidden="false" customHeight="false" outlineLevel="0" collapsed="false">
      <c r="A374" s="7" t="s">
        <v>2071</v>
      </c>
      <c r="B374" s="7" t="s">
        <v>1879</v>
      </c>
      <c r="C374" s="7"/>
      <c r="D374" s="6" t="s">
        <v>1272</v>
      </c>
      <c r="E374" s="6" t="s">
        <v>1880</v>
      </c>
      <c r="F374" s="7" t="str">
        <f aca="false">IF($D374="","",IFERROR(IF(INDEX(Hierarchy!$B$2:$B$1295,MATCH($D374,Hierarchy!$A$2:$A$1295,0))="","",INDEX(Hierarchy!$B$2:$B$1295,MATCH($D374,Hierarchy!$A$2:$A$1295,0))),"NODE NOT FOUND"))</f>
        <v>Country</v>
      </c>
      <c r="G374" s="7" t="str">
        <f aca="false">IF($D374="","",IFERROR(IF(INDEX(Hierarchy!$D$2:$D$1295,MATCH($D374,Hierarchy!$A$2:$A$1295,0))="","",INDEX(Hierarchy!$D$2:$D$1295,MATCH($D374,Hierarchy!$A$2:$A$1295,0))),"NODE NOT FOUND"))</f>
        <v>EMEA</v>
      </c>
      <c r="H374" s="7" t="str">
        <f aca="false">IF($D374="","",IFERROR(IF(INDEX(Hierarchy!$E$2:$E$1295,MATCH($D374,Hierarchy!$A$2:$A$1295,0))="","",INDEX(Hierarchy!$E$2:$E$1295,MATCH($D374,Hierarchy!$A$2:$A$1295,0))),"NODE NOT FOUND"))</f>
        <v>Africa</v>
      </c>
      <c r="I374" s="7" t="str">
        <f aca="false">IF($D374="","",IFERROR(IF(INDEX(Hierarchy!$F$2:$F$1295,MATCH($D374,Hierarchy!$A$2:$A$1295,0))="","",INDEX(Hierarchy!$F$2:$F$1295,MATCH($D374,Hierarchy!$A$2:$A$1295,0))),"NODE NOT FOUND"))</f>
        <v>Republic of the Congo</v>
      </c>
      <c r="J374" s="7" t="str">
        <f aca="false">IF($D374="","",IFERROR(IF(INDEX(Hierarchy!$G$2:$G$1295,MATCH($D374,Hierarchy!$A$2:$A$1295,0))="","",INDEX(Hierarchy!$G$2:$G$1295,MATCH($D374,Hierarchy!$A$2:$A$1295,0))),"NODE NOT FOUND"))</f>
        <v>COG</v>
      </c>
      <c r="K374" s="7" t="str">
        <f aca="false">IF($D374="","",IFERROR(IF(INDEX(Hierarchy!$H$2:$H$1295,MATCH($D374,Hierarchy!$A$2:$A$1295,0))="","",INDEX(Hierarchy!$H$2:$H$1295,MATCH($D374,Hierarchy!$A$2:$A$1295,0))),"NODE NOT FOUND"))</f>
        <v/>
      </c>
      <c r="L374" s="7" t="str">
        <f aca="false">IF($D374="","",IFERROR(IF(INDEX(Hierarchy!$I$2:$I$1295,MATCH($D374,Hierarchy!$A$2:$A$1295,0))="","",INDEX(Hierarchy!$I$2:$I$1295,MATCH($D374,Hierarchy!$A$2:$A$1295,0))),"NODE NOT FOUND"))</f>
        <v/>
      </c>
      <c r="M374" s="17" t="str">
        <f aca="false">IF(B374="Pre-seeded","Pre-seeded",IF(B374="Review 2026-09-16","Added from review",IF(C374="","New",IF(C374=D374,"","Changed"))))</f>
        <v>Pre-seeded</v>
      </c>
      <c r="N374" s="7" t="str">
        <f aca="false">TRIM(SUBSTITUTE(SUBSTITUTE(SUBSTITUTE(" "&amp;TRIM(SUBSTITUTE(SUBSTITUTE(SUBSTITUTE(SUBSTITUTE(SUBSTITUTE(SUBSTITUTE(SUBSTITUTE(SUBSTITUTE(SUBSTITUTE(SUBSTITUTE(SUBSTITUTE(SUBSTITUTE(SUBSTITUTE(SUBSTITUTE(SUBSTITUTE(UPPER(TRIM(A374)),"[MEMBER]",""),"{MEMBER}",""),"[MEMBER}",""),"MEMBER]",""),"(A)",""),"""",""),"“",""),"”",""),".",""),":",""),",",""),"–"," "),"-"," "),"/"," "),"&amp;"," AND "))&amp;" "," THE "," ")," TOTAL "," ")," OPERATIONS "," "))</f>
        <v>CONGO (BRAZZAVILLE)</v>
      </c>
      <c r="O374" s="17" t="str">
        <f aca="false">IF(COUNTIFS($N$2:$N$2000,N374,$D$2:$D$2000,"&lt;&gt;"&amp;D374)&gt;0,"CONFLICT","")</f>
        <v/>
      </c>
      <c r="P374" s="7"/>
    </row>
    <row r="375" customFormat="false" ht="15" hidden="false" customHeight="false" outlineLevel="0" collapsed="false">
      <c r="A375" s="7" t="s">
        <v>2072</v>
      </c>
      <c r="B375" s="7" t="s">
        <v>1879</v>
      </c>
      <c r="C375" s="7"/>
      <c r="D375" s="6" t="s">
        <v>1207</v>
      </c>
      <c r="E375" s="6" t="s">
        <v>1880</v>
      </c>
      <c r="F375" s="7" t="str">
        <f aca="false">IF($D375="","",IFERROR(IF(INDEX(Hierarchy!$B$2:$B$1295,MATCH($D375,Hierarchy!$A$2:$A$1295,0))="","",INDEX(Hierarchy!$B$2:$B$1295,MATCH($D375,Hierarchy!$A$2:$A$1295,0))),"NODE NOT FOUND"))</f>
        <v>Country</v>
      </c>
      <c r="G375" s="7" t="str">
        <f aca="false">IF($D375="","",IFERROR(IF(INDEX(Hierarchy!$D$2:$D$1295,MATCH($D375,Hierarchy!$A$2:$A$1295,0))="","",INDEX(Hierarchy!$D$2:$D$1295,MATCH($D375,Hierarchy!$A$2:$A$1295,0))),"NODE NOT FOUND"))</f>
        <v>EMEA</v>
      </c>
      <c r="H375" s="7" t="str">
        <f aca="false">IF($D375="","",IFERROR(IF(INDEX(Hierarchy!$E$2:$E$1295,MATCH($D375,Hierarchy!$A$2:$A$1295,0))="","",INDEX(Hierarchy!$E$2:$E$1295,MATCH($D375,Hierarchy!$A$2:$A$1295,0))),"NODE NOT FOUND"))</f>
        <v>Africa</v>
      </c>
      <c r="I375" s="7" t="str">
        <f aca="false">IF($D375="","",IFERROR(IF(INDEX(Hierarchy!$F$2:$F$1295,MATCH($D375,Hierarchy!$A$2:$A$1295,0))="","",INDEX(Hierarchy!$F$2:$F$1295,MATCH($D375,Hierarchy!$A$2:$A$1295,0))),"NODE NOT FOUND"))</f>
        <v>Democratic Republic of the Congo (DRC)</v>
      </c>
      <c r="J375" s="7" t="str">
        <f aca="false">IF($D375="","",IFERROR(IF(INDEX(Hierarchy!$G$2:$G$1295,MATCH($D375,Hierarchy!$A$2:$A$1295,0))="","",INDEX(Hierarchy!$G$2:$G$1295,MATCH($D375,Hierarchy!$A$2:$A$1295,0))),"NODE NOT FOUND"))</f>
        <v>COD</v>
      </c>
      <c r="K375" s="7" t="str">
        <f aca="false">IF($D375="","",IFERROR(IF(INDEX(Hierarchy!$H$2:$H$1295,MATCH($D375,Hierarchy!$A$2:$A$1295,0))="","",INDEX(Hierarchy!$H$2:$H$1295,MATCH($D375,Hierarchy!$A$2:$A$1295,0))),"NODE NOT FOUND"))</f>
        <v/>
      </c>
      <c r="L375" s="7" t="str">
        <f aca="false">IF($D375="","",IFERROR(IF(INDEX(Hierarchy!$I$2:$I$1295,MATCH($D375,Hierarchy!$A$2:$A$1295,0))="","",INDEX(Hierarchy!$I$2:$I$1295,MATCH($D375,Hierarchy!$A$2:$A$1295,0))),"NODE NOT FOUND"))</f>
        <v/>
      </c>
      <c r="M375" s="17" t="str">
        <f aca="false">IF(B375="Pre-seeded","Pre-seeded",IF(B375="Review 2026-09-16","Added from review",IF(C375="","New",IF(C375=D375,"","Changed"))))</f>
        <v>Pre-seeded</v>
      </c>
      <c r="N375" s="7" t="str">
        <f aca="false">TRIM(SUBSTITUTE(SUBSTITUTE(SUBSTITUTE(" "&amp;TRIM(SUBSTITUTE(SUBSTITUTE(SUBSTITUTE(SUBSTITUTE(SUBSTITUTE(SUBSTITUTE(SUBSTITUTE(SUBSTITUTE(SUBSTITUTE(SUBSTITUTE(SUBSTITUTE(SUBSTITUTE(SUBSTITUTE(SUBSTITUTE(SUBSTITUTE(UPPER(TRIM(A375)),"[MEMBER]",""),"{MEMBER}",""),"[MEMBER}",""),"MEMBER]",""),"(A)",""),"""",""),"“",""),"”",""),".",""),":",""),",",""),"–"," "),"-"," "),"/"," "),"&amp;"," AND "))&amp;" "," THE "," ")," TOTAL "," ")," OPERATIONS "," "))</f>
        <v>CONGO (KINSHASA)</v>
      </c>
      <c r="O375" s="17" t="str">
        <f aca="false">IF(COUNTIFS($N$2:$N$2000,N375,$D$2:$D$2000,"&lt;&gt;"&amp;D375)&gt;0,"CONFLICT","")</f>
        <v/>
      </c>
      <c r="P375" s="7"/>
    </row>
    <row r="376" customFormat="false" ht="15" hidden="false" customHeight="false" outlineLevel="0" collapsed="false">
      <c r="A376" s="7" t="s">
        <v>2073</v>
      </c>
      <c r="B376" s="7" t="s">
        <v>1879</v>
      </c>
      <c r="C376" s="7"/>
      <c r="D376" s="6" t="s">
        <v>1207</v>
      </c>
      <c r="E376" s="6" t="s">
        <v>1880</v>
      </c>
      <c r="F376" s="7" t="str">
        <f aca="false">IF($D376="","",IFERROR(IF(INDEX(Hierarchy!$B$2:$B$1295,MATCH($D376,Hierarchy!$A$2:$A$1295,0))="","",INDEX(Hierarchy!$B$2:$B$1295,MATCH($D376,Hierarchy!$A$2:$A$1295,0))),"NODE NOT FOUND"))</f>
        <v>Country</v>
      </c>
      <c r="G376" s="7" t="str">
        <f aca="false">IF($D376="","",IFERROR(IF(INDEX(Hierarchy!$D$2:$D$1295,MATCH($D376,Hierarchy!$A$2:$A$1295,0))="","",INDEX(Hierarchy!$D$2:$D$1295,MATCH($D376,Hierarchy!$A$2:$A$1295,0))),"NODE NOT FOUND"))</f>
        <v>EMEA</v>
      </c>
      <c r="H376" s="7" t="str">
        <f aca="false">IF($D376="","",IFERROR(IF(INDEX(Hierarchy!$E$2:$E$1295,MATCH($D376,Hierarchy!$A$2:$A$1295,0))="","",INDEX(Hierarchy!$E$2:$E$1295,MATCH($D376,Hierarchy!$A$2:$A$1295,0))),"NODE NOT FOUND"))</f>
        <v>Africa</v>
      </c>
      <c r="I376" s="7" t="str">
        <f aca="false">IF($D376="","",IFERROR(IF(INDEX(Hierarchy!$F$2:$F$1295,MATCH($D376,Hierarchy!$A$2:$A$1295,0))="","",INDEX(Hierarchy!$F$2:$F$1295,MATCH($D376,Hierarchy!$A$2:$A$1295,0))),"NODE NOT FOUND"))</f>
        <v>Democratic Republic of the Congo (DRC)</v>
      </c>
      <c r="J376" s="7" t="str">
        <f aca="false">IF($D376="","",IFERROR(IF(INDEX(Hierarchy!$G$2:$G$1295,MATCH($D376,Hierarchy!$A$2:$A$1295,0))="","",INDEX(Hierarchy!$G$2:$G$1295,MATCH($D376,Hierarchy!$A$2:$A$1295,0))),"NODE NOT FOUND"))</f>
        <v>COD</v>
      </c>
      <c r="K376" s="7" t="str">
        <f aca="false">IF($D376="","",IFERROR(IF(INDEX(Hierarchy!$H$2:$H$1295,MATCH($D376,Hierarchy!$A$2:$A$1295,0))="","",INDEX(Hierarchy!$H$2:$H$1295,MATCH($D376,Hierarchy!$A$2:$A$1295,0))),"NODE NOT FOUND"))</f>
        <v/>
      </c>
      <c r="L376" s="7" t="str">
        <f aca="false">IF($D376="","",IFERROR(IF(INDEX(Hierarchy!$I$2:$I$1295,MATCH($D376,Hierarchy!$A$2:$A$1295,0))="","",INDEX(Hierarchy!$I$2:$I$1295,MATCH($D376,Hierarchy!$A$2:$A$1295,0))),"NODE NOT FOUND"))</f>
        <v/>
      </c>
      <c r="M376" s="17" t="str">
        <f aca="false">IF(B376="Pre-seeded","Pre-seeded",IF(B376="Review 2026-09-16","Added from review",IF(C376="","New",IF(C376=D376,"","Changed"))))</f>
        <v>Pre-seeded</v>
      </c>
      <c r="N376" s="7" t="str">
        <f aca="false">TRIM(SUBSTITUTE(SUBSTITUTE(SUBSTITUTE(" "&amp;TRIM(SUBSTITUTE(SUBSTITUTE(SUBSTITUTE(SUBSTITUTE(SUBSTITUTE(SUBSTITUTE(SUBSTITUTE(SUBSTITUTE(SUBSTITUTE(SUBSTITUTE(SUBSTITUTE(SUBSTITUTE(SUBSTITUTE(SUBSTITUTE(SUBSTITUTE(UPPER(TRIM(A376)),"[MEMBER]",""),"{MEMBER}",""),"[MEMBER}",""),"MEMBER]",""),"(A)",""),"""",""),"“",""),"”",""),".",""),":",""),",",""),"–"," "),"-"," "),"/"," "),"&amp;"," AND "))&amp;" "," THE "," ")," TOTAL "," ")," OPERATIONS "," "))</f>
        <v>CONGO DEMOCRATIC REPUBLIC OF</v>
      </c>
      <c r="O376" s="17" t="str">
        <f aca="false">IF(COUNTIFS($N$2:$N$2000,N376,$D$2:$D$2000,"&lt;&gt;"&amp;D376)&gt;0,"CONFLICT","")</f>
        <v/>
      </c>
      <c r="P376" s="7" t="s">
        <v>1936</v>
      </c>
    </row>
    <row r="377" customFormat="false" ht="15" hidden="false" customHeight="false" outlineLevel="0" collapsed="false">
      <c r="A377" s="7" t="s">
        <v>822</v>
      </c>
      <c r="B377" s="7" t="s">
        <v>1879</v>
      </c>
      <c r="C377" s="7"/>
      <c r="D377" s="6" t="s">
        <v>822</v>
      </c>
      <c r="E377" s="6" t="s">
        <v>1880</v>
      </c>
      <c r="F377" s="7" t="str">
        <f aca="false">IF($D377="","",IFERROR(IF(INDEX(Hierarchy!$B$2:$B$1295,MATCH($D377,Hierarchy!$A$2:$A$1295,0))="","",INDEX(Hierarchy!$B$2:$B$1295,MATCH($D377,Hierarchy!$A$2:$A$1295,0))),"NODE NOT FOUND"))</f>
        <v>State/Province</v>
      </c>
      <c r="G377" s="7" t="str">
        <f aca="false">IF($D377="","",IFERROR(IF(INDEX(Hierarchy!$D$2:$D$1295,MATCH($D377,Hierarchy!$A$2:$A$1295,0))="","",INDEX(Hierarchy!$D$2:$D$1295,MATCH($D377,Hierarchy!$A$2:$A$1295,0))),"NODE NOT FOUND"))</f>
        <v>EMEA</v>
      </c>
      <c r="H377" s="7" t="str">
        <f aca="false">IF($D377="","",IFERROR(IF(INDEX(Hierarchy!$E$2:$E$1295,MATCH($D377,Hierarchy!$A$2:$A$1295,0))="","",INDEX(Hierarchy!$E$2:$E$1295,MATCH($D377,Hierarchy!$A$2:$A$1295,0))),"NODE NOT FOUND"))</f>
        <v>Europe</v>
      </c>
      <c r="I377" s="7" t="str">
        <f aca="false">IF($D377="","",IFERROR(IF(INDEX(Hierarchy!$F$2:$F$1295,MATCH($D377,Hierarchy!$A$2:$A$1295,0))="","",INDEX(Hierarchy!$F$2:$F$1295,MATCH($D377,Hierarchy!$A$2:$A$1295,0))),"NODE NOT FOUND"))</f>
        <v>Ireland</v>
      </c>
      <c r="J377" s="7" t="str">
        <f aca="false">IF($D377="","",IFERROR(IF(INDEX(Hierarchy!$G$2:$G$1295,MATCH($D377,Hierarchy!$A$2:$A$1295,0))="","",INDEX(Hierarchy!$G$2:$G$1295,MATCH($D377,Hierarchy!$A$2:$A$1295,0))),"NODE NOT FOUND"))</f>
        <v>IRL</v>
      </c>
      <c r="K377" s="7" t="str">
        <f aca="false">IF($D377="","",IFERROR(IF(INDEX(Hierarchy!$H$2:$H$1295,MATCH($D377,Hierarchy!$A$2:$A$1295,0))="","",INDEX(Hierarchy!$H$2:$H$1295,MATCH($D377,Hierarchy!$A$2:$A$1295,0))),"NODE NOT FOUND"))</f>
        <v>Connacht</v>
      </c>
      <c r="L377" s="7" t="str">
        <f aca="false">IF($D377="","",IFERROR(IF(INDEX(Hierarchy!$I$2:$I$1295,MATCH($D377,Hierarchy!$A$2:$A$1295,0))="","",INDEX(Hierarchy!$I$2:$I$1295,MATCH($D377,Hierarchy!$A$2:$A$1295,0))),"NODE NOT FOUND"))</f>
        <v/>
      </c>
      <c r="M377" s="17" t="str">
        <f aca="false">IF(B377="Pre-seeded","Pre-seeded",IF(B377="Review 2026-09-16","Added from review",IF(C377="","New",IF(C377=D377,"","Changed"))))</f>
        <v>Pre-seeded</v>
      </c>
      <c r="N377" s="7" t="str">
        <f aca="false">TRIM(SUBSTITUTE(SUBSTITUTE(SUBSTITUTE(" "&amp;TRIM(SUBSTITUTE(SUBSTITUTE(SUBSTITUTE(SUBSTITUTE(SUBSTITUTE(SUBSTITUTE(SUBSTITUTE(SUBSTITUTE(SUBSTITUTE(SUBSTITUTE(SUBSTITUTE(SUBSTITUTE(SUBSTITUTE(SUBSTITUTE(SUBSTITUTE(UPPER(TRIM(A377)),"[MEMBER]",""),"{MEMBER}",""),"[MEMBER}",""),"MEMBER]",""),"(A)",""),"""",""),"“",""),"”",""),".",""),":",""),",",""),"–"," "),"-"," "),"/"," "),"&amp;"," AND "))&amp;" "," THE "," ")," TOTAL "," ")," OPERATIONS "," "))</f>
        <v>CONNACHT</v>
      </c>
      <c r="O377" s="17" t="str">
        <f aca="false">IF(COUNTIFS($N$2:$N$2000,N377,$D$2:$D$2000,"&lt;&gt;"&amp;D377)&gt;0,"CONFLICT","")</f>
        <v/>
      </c>
      <c r="P377" s="7"/>
    </row>
    <row r="378" customFormat="false" ht="15" hidden="false" customHeight="false" outlineLevel="0" collapsed="false">
      <c r="A378" s="7" t="s">
        <v>159</v>
      </c>
      <c r="B378" s="7" t="s">
        <v>1882</v>
      </c>
      <c r="C378" s="7" t="s">
        <v>159</v>
      </c>
      <c r="D378" s="6" t="s">
        <v>159</v>
      </c>
      <c r="E378" s="6" t="s">
        <v>1880</v>
      </c>
      <c r="F378" s="7" t="str">
        <f aca="false">IF($D378="","",IFERROR(IF(INDEX(Hierarchy!$B$2:$B$1295,MATCH($D378,Hierarchy!$A$2:$A$1295,0))="","",INDEX(Hierarchy!$B$2:$B$1295,MATCH($D378,Hierarchy!$A$2:$A$1295,0))),"NODE NOT FOUND"))</f>
        <v>State/Province</v>
      </c>
      <c r="G378" s="7" t="str">
        <f aca="false">IF($D378="","",IFERROR(IF(INDEX(Hierarchy!$D$2:$D$1295,MATCH($D378,Hierarchy!$A$2:$A$1295,0))="","",INDEX(Hierarchy!$D$2:$D$1295,MATCH($D378,Hierarchy!$A$2:$A$1295,0))),"NODE NOT FOUND"))</f>
        <v>AMER</v>
      </c>
      <c r="H378" s="7" t="str">
        <f aca="false">IF($D378="","",IFERROR(IF(INDEX(Hierarchy!$E$2:$E$1295,MATCH($D378,Hierarchy!$A$2:$A$1295,0))="","",INDEX(Hierarchy!$E$2:$E$1295,MATCH($D378,Hierarchy!$A$2:$A$1295,0))),"NODE NOT FOUND"))</f>
        <v>North America (NORAM)</v>
      </c>
      <c r="I378" s="7" t="str">
        <f aca="false">IF($D378="","",IFERROR(IF(INDEX(Hierarchy!$F$2:$F$1295,MATCH($D378,Hierarchy!$A$2:$A$1295,0))="","",INDEX(Hierarchy!$F$2:$F$1295,MATCH($D378,Hierarchy!$A$2:$A$1295,0))),"NODE NOT FOUND"))</f>
        <v>United States</v>
      </c>
      <c r="J378" s="7" t="str">
        <f aca="false">IF($D378="","",IFERROR(IF(INDEX(Hierarchy!$G$2:$G$1295,MATCH($D378,Hierarchy!$A$2:$A$1295,0))="","",INDEX(Hierarchy!$G$2:$G$1295,MATCH($D378,Hierarchy!$A$2:$A$1295,0))),"NODE NOT FOUND"))</f>
        <v>USA</v>
      </c>
      <c r="K378" s="7" t="str">
        <f aca="false">IF($D378="","",IFERROR(IF(INDEX(Hierarchy!$H$2:$H$1295,MATCH($D378,Hierarchy!$A$2:$A$1295,0))="","",INDEX(Hierarchy!$H$2:$H$1295,MATCH($D378,Hierarchy!$A$2:$A$1295,0))),"NODE NOT FOUND"))</f>
        <v>Connecticut</v>
      </c>
      <c r="L378" s="7" t="str">
        <f aca="false">IF($D378="","",IFERROR(IF(INDEX(Hierarchy!$I$2:$I$1295,MATCH($D378,Hierarchy!$A$2:$A$1295,0))="","",INDEX(Hierarchy!$I$2:$I$1295,MATCH($D378,Hierarchy!$A$2:$A$1295,0))),"NODE NOT FOUND"))</f>
        <v/>
      </c>
      <c r="M378" s="17" t="str">
        <f aca="false">IF(B378="Pre-seeded","Pre-seeded",IF(B378="Review 2026-09-16","Added from review",IF(C378="","New",IF(C378=D378,"","Changed"))))</f>
        <v/>
      </c>
      <c r="N378" s="7" t="str">
        <f aca="false">TRIM(SUBSTITUTE(SUBSTITUTE(SUBSTITUTE(" "&amp;TRIM(SUBSTITUTE(SUBSTITUTE(SUBSTITUTE(SUBSTITUTE(SUBSTITUTE(SUBSTITUTE(SUBSTITUTE(SUBSTITUTE(SUBSTITUTE(SUBSTITUTE(SUBSTITUTE(SUBSTITUTE(SUBSTITUTE(SUBSTITUTE(SUBSTITUTE(UPPER(TRIM(A378)),"[MEMBER]",""),"{MEMBER}",""),"[MEMBER}",""),"MEMBER]",""),"(A)",""),"""",""),"“",""),"”",""),".",""),":",""),",",""),"–"," "),"-"," "),"/"," "),"&amp;"," AND "))&amp;" "," THE "," ")," TOTAL "," ")," OPERATIONS "," "))</f>
        <v>CONNECTICUT</v>
      </c>
      <c r="O378" s="17" t="str">
        <f aca="false">IF(COUNTIFS($N$2:$N$2000,N378,$D$2:$D$2000,"&lt;&gt;"&amp;D378)&gt;0,"CONFLICT","")</f>
        <v/>
      </c>
      <c r="P378" s="7"/>
    </row>
    <row r="379" customFormat="false" ht="15" hidden="false" customHeight="false" outlineLevel="0" collapsed="false">
      <c r="A379" s="7" t="s">
        <v>2074</v>
      </c>
      <c r="B379" s="7" t="s">
        <v>1879</v>
      </c>
      <c r="C379" s="7"/>
      <c r="D379" s="6" t="s">
        <v>3</v>
      </c>
      <c r="E379" s="6" t="s">
        <v>1880</v>
      </c>
      <c r="F379" s="7" t="str">
        <f aca="false">IF($D379="","",IFERROR(IF(INDEX(Hierarchy!$B$2:$B$1295,MATCH($D379,Hierarchy!$A$2:$A$1295,0))="","",INDEX(Hierarchy!$B$2:$B$1295,MATCH($D379,Hierarchy!$A$2:$A$1295,0))),"NODE NOT FOUND"))</f>
        <v>Global</v>
      </c>
      <c r="G379" s="7" t="str">
        <f aca="false">IF($D379="","",IFERROR(IF(INDEX(Hierarchy!$D$2:$D$1295,MATCH($D379,Hierarchy!$A$2:$A$1295,0))="","",INDEX(Hierarchy!$D$2:$D$1295,MATCH($D379,Hierarchy!$A$2:$A$1295,0))),"NODE NOT FOUND"))</f>
        <v>Global</v>
      </c>
      <c r="H379" s="7" t="str">
        <f aca="false">IF($D379="","",IFERROR(IF(INDEX(Hierarchy!$E$2:$E$1295,MATCH($D379,Hierarchy!$A$2:$A$1295,0))="","",INDEX(Hierarchy!$E$2:$E$1295,MATCH($D379,Hierarchy!$A$2:$A$1295,0))),"NODE NOT FOUND"))</f>
        <v/>
      </c>
      <c r="I379" s="7" t="str">
        <f aca="false">IF($D379="","",IFERROR(IF(INDEX(Hierarchy!$F$2:$F$1295,MATCH($D379,Hierarchy!$A$2:$A$1295,0))="","",INDEX(Hierarchy!$F$2:$F$1295,MATCH($D379,Hierarchy!$A$2:$A$1295,0))),"NODE NOT FOUND"))</f>
        <v/>
      </c>
      <c r="J379" s="7" t="str">
        <f aca="false">IF($D379="","",IFERROR(IF(INDEX(Hierarchy!$G$2:$G$1295,MATCH($D379,Hierarchy!$A$2:$A$1295,0))="","",INDEX(Hierarchy!$G$2:$G$1295,MATCH($D379,Hierarchy!$A$2:$A$1295,0))),"NODE NOT FOUND"))</f>
        <v/>
      </c>
      <c r="K379" s="7" t="str">
        <f aca="false">IF($D379="","",IFERROR(IF(INDEX(Hierarchy!$H$2:$H$1295,MATCH($D379,Hierarchy!$A$2:$A$1295,0))="","",INDEX(Hierarchy!$H$2:$H$1295,MATCH($D379,Hierarchy!$A$2:$A$1295,0))),"NODE NOT FOUND"))</f>
        <v/>
      </c>
      <c r="L379" s="7" t="str">
        <f aca="false">IF($D379="","",IFERROR(IF(INDEX(Hierarchy!$I$2:$I$1295,MATCH($D379,Hierarchy!$A$2:$A$1295,0))="","",INDEX(Hierarchy!$I$2:$I$1295,MATCH($D379,Hierarchy!$A$2:$A$1295,0))),"NODE NOT FOUND"))</f>
        <v/>
      </c>
      <c r="M379" s="17" t="str">
        <f aca="false">IF(B379="Pre-seeded","Pre-seeded",IF(B379="Review 2026-09-16","Added from review",IF(C379="","New",IF(C379=D379,"","Changed"))))</f>
        <v>Pre-seeded</v>
      </c>
      <c r="N379" s="7" t="str">
        <f aca="false">TRIM(SUBSTITUTE(SUBSTITUTE(SUBSTITUTE(" "&amp;TRIM(SUBSTITUTE(SUBSTITUTE(SUBSTITUTE(SUBSTITUTE(SUBSTITUTE(SUBSTITUTE(SUBSTITUTE(SUBSTITUTE(SUBSTITUTE(SUBSTITUTE(SUBSTITUTE(SUBSTITUTE(SUBSTITUTE(SUBSTITUTE(SUBSTITUTE(UPPER(TRIM(A379)),"[MEMBER]",""),"{MEMBER}",""),"[MEMBER}",""),"MEMBER]",""),"(A)",""),"""",""),"“",""),"”",""),".",""),":",""),",",""),"–"," "),"-"," "),"/"," "),"&amp;"," AND "))&amp;" "," THE "," ")," TOTAL "," ")," OPERATIONS "," "))</f>
        <v>CONSOLIDATED</v>
      </c>
      <c r="O379" s="17" t="str">
        <f aca="false">IF(COUNTIFS($N$2:$N$2000,N379,$D$2:$D$2000,"&lt;&gt;"&amp;D379)&gt;0,"CONFLICT","")</f>
        <v/>
      </c>
      <c r="P379" s="7"/>
    </row>
    <row r="380" customFormat="false" ht="15" hidden="false" customHeight="false" outlineLevel="0" collapsed="false">
      <c r="A380" s="7" t="s">
        <v>2075</v>
      </c>
      <c r="B380" s="7" t="s">
        <v>1879</v>
      </c>
      <c r="C380" s="7"/>
      <c r="D380" s="6" t="s">
        <v>622</v>
      </c>
      <c r="E380" s="6" t="s">
        <v>1891</v>
      </c>
      <c r="F380" s="7" t="str">
        <f aca="false">IF($D380="","",IFERROR(IF(INDEX(Hierarchy!$B$2:$B$1295,MATCH($D380,Hierarchy!$A$2:$A$1295,0))="","",INDEX(Hierarchy!$B$2:$B$1295,MATCH($D380,Hierarchy!$A$2:$A$1295,0))),"NODE NOT FOUND"))</f>
        <v>Sub-region</v>
      </c>
      <c r="G380" s="7" t="str">
        <f aca="false">IF($D380="","",IFERROR(IF(INDEX(Hierarchy!$D$2:$D$1295,MATCH($D380,Hierarchy!$A$2:$A$1295,0))="","",INDEX(Hierarchy!$D$2:$D$1295,MATCH($D380,Hierarchy!$A$2:$A$1295,0))),"NODE NOT FOUND"))</f>
        <v>EMEA</v>
      </c>
      <c r="H380" s="7" t="str">
        <f aca="false">IF($D380="","",IFERROR(IF(INDEX(Hierarchy!$E$2:$E$1295,MATCH($D380,Hierarchy!$A$2:$A$1295,0))="","",INDEX(Hierarchy!$E$2:$E$1295,MATCH($D380,Hierarchy!$A$2:$A$1295,0))),"NODE NOT FOUND"))</f>
        <v>Europe</v>
      </c>
      <c r="I380" s="7" t="str">
        <f aca="false">IF($D380="","",IFERROR(IF(INDEX(Hierarchy!$F$2:$F$1295,MATCH($D380,Hierarchy!$A$2:$A$1295,0))="","",INDEX(Hierarchy!$F$2:$F$1295,MATCH($D380,Hierarchy!$A$2:$A$1295,0))),"NODE NOT FOUND"))</f>
        <v/>
      </c>
      <c r="J380" s="7" t="str">
        <f aca="false">IF($D380="","",IFERROR(IF(INDEX(Hierarchy!$G$2:$G$1295,MATCH($D380,Hierarchy!$A$2:$A$1295,0))="","",INDEX(Hierarchy!$G$2:$G$1295,MATCH($D380,Hierarchy!$A$2:$A$1295,0))),"NODE NOT FOUND"))</f>
        <v/>
      </c>
      <c r="K380" s="7" t="str">
        <f aca="false">IF($D380="","",IFERROR(IF(INDEX(Hierarchy!$H$2:$H$1295,MATCH($D380,Hierarchy!$A$2:$A$1295,0))="","",INDEX(Hierarchy!$H$2:$H$1295,MATCH($D380,Hierarchy!$A$2:$A$1295,0))),"NODE NOT FOUND"))</f>
        <v/>
      </c>
      <c r="L380" s="7" t="str">
        <f aca="false">IF($D380="","",IFERROR(IF(INDEX(Hierarchy!$I$2:$I$1295,MATCH($D380,Hierarchy!$A$2:$A$1295,0))="","",INDEX(Hierarchy!$I$2:$I$1295,MATCH($D380,Hierarchy!$A$2:$A$1295,0))),"NODE NOT FOUND"))</f>
        <v/>
      </c>
      <c r="M380" s="17" t="str">
        <f aca="false">IF(B380="Pre-seeded","Pre-seeded",IF(B380="Review 2026-09-16","Added from review",IF(C380="","New",IF(C380=D380,"","Changed"))))</f>
        <v>Pre-seeded</v>
      </c>
      <c r="N380" s="7" t="str">
        <f aca="false">TRIM(SUBSTITUTE(SUBSTITUTE(SUBSTITUTE(" "&amp;TRIM(SUBSTITUTE(SUBSTITUTE(SUBSTITUTE(SUBSTITUTE(SUBSTITUTE(SUBSTITUTE(SUBSTITUTE(SUBSTITUTE(SUBSTITUTE(SUBSTITUTE(SUBSTITUTE(SUBSTITUTE(SUBSTITUTE(SUBSTITUTE(SUBSTITUTE(UPPER(TRIM(A380)),"[MEMBER]",""),"{MEMBER}",""),"[MEMBER}",""),"MEMBER]",""),"(A)",""),"""",""),"“",""),"”",""),".",""),":",""),",",""),"–"," "),"-"," "),"/"," "),"&amp;"," AND "))&amp;" "," THE "," ")," TOTAL "," ")," OPERATIONS "," "))</f>
        <v>CONTINENTAL EUROPE</v>
      </c>
      <c r="O380" s="17" t="str">
        <f aca="false">IF(COUNTIFS($N$2:$N$2000,N380,$D$2:$D$2000,"&lt;&gt;"&amp;D380)&gt;0,"CONFLICT","")</f>
        <v/>
      </c>
      <c r="P380" s="7"/>
    </row>
    <row r="381" customFormat="false" ht="15" hidden="false" customHeight="false" outlineLevel="0" collapsed="false">
      <c r="A381" s="7" t="s">
        <v>1740</v>
      </c>
      <c r="B381" s="7" t="s">
        <v>1879</v>
      </c>
      <c r="C381" s="7"/>
      <c r="D381" s="6" t="s">
        <v>1740</v>
      </c>
      <c r="E381" s="6" t="s">
        <v>1880</v>
      </c>
      <c r="F381" s="7" t="str">
        <f aca="false">IF($D381="","",IFERROR(IF(INDEX(Hierarchy!$B$2:$B$1295,MATCH($D381,Hierarchy!$A$2:$A$1295,0))="","",INDEX(Hierarchy!$B$2:$B$1295,MATCH($D381,Hierarchy!$A$2:$A$1295,0))),"NODE NOT FOUND"))</f>
        <v>Country</v>
      </c>
      <c r="G381" s="7" t="str">
        <f aca="false">IF($D381="","",IFERROR(IF(INDEX(Hierarchy!$D$2:$D$1295,MATCH($D381,Hierarchy!$A$2:$A$1295,0))="","",INDEX(Hierarchy!$D$2:$D$1295,MATCH($D381,Hierarchy!$A$2:$A$1295,0))),"NODE NOT FOUND"))</f>
        <v>APAC</v>
      </c>
      <c r="H381" s="7" t="str">
        <f aca="false">IF($D381="","",IFERROR(IF(INDEX(Hierarchy!$E$2:$E$1295,MATCH($D381,Hierarchy!$A$2:$A$1295,0))="","",INDEX(Hierarchy!$E$2:$E$1295,MATCH($D381,Hierarchy!$A$2:$A$1295,0))),"NODE NOT FOUND"))</f>
        <v>Oceania (ANZ)</v>
      </c>
      <c r="I381" s="7" t="str">
        <f aca="false">IF($D381="","",IFERROR(IF(INDEX(Hierarchy!$F$2:$F$1295,MATCH($D381,Hierarchy!$A$2:$A$1295,0))="","",INDEX(Hierarchy!$F$2:$F$1295,MATCH($D381,Hierarchy!$A$2:$A$1295,0))),"NODE NOT FOUND"))</f>
        <v>Cook Islands</v>
      </c>
      <c r="J381" s="7" t="str">
        <f aca="false">IF($D381="","",IFERROR(IF(INDEX(Hierarchy!$G$2:$G$1295,MATCH($D381,Hierarchy!$A$2:$A$1295,0))="","",INDEX(Hierarchy!$G$2:$G$1295,MATCH($D381,Hierarchy!$A$2:$A$1295,0))),"NODE NOT FOUND"))</f>
        <v>COK</v>
      </c>
      <c r="K381" s="7" t="str">
        <f aca="false">IF($D381="","",IFERROR(IF(INDEX(Hierarchy!$H$2:$H$1295,MATCH($D381,Hierarchy!$A$2:$A$1295,0))="","",INDEX(Hierarchy!$H$2:$H$1295,MATCH($D381,Hierarchy!$A$2:$A$1295,0))),"NODE NOT FOUND"))</f>
        <v/>
      </c>
      <c r="L381" s="7" t="str">
        <f aca="false">IF($D381="","",IFERROR(IF(INDEX(Hierarchy!$I$2:$I$1295,MATCH($D381,Hierarchy!$A$2:$A$1295,0))="","",INDEX(Hierarchy!$I$2:$I$1295,MATCH($D381,Hierarchy!$A$2:$A$1295,0))),"NODE NOT FOUND"))</f>
        <v/>
      </c>
      <c r="M381" s="17" t="str">
        <f aca="false">IF(B381="Pre-seeded","Pre-seeded",IF(B381="Review 2026-09-16","Added from review",IF(C381="","New",IF(C381=D381,"","Changed"))))</f>
        <v>Pre-seeded</v>
      </c>
      <c r="N381" s="7" t="str">
        <f aca="false">TRIM(SUBSTITUTE(SUBSTITUTE(SUBSTITUTE(" "&amp;TRIM(SUBSTITUTE(SUBSTITUTE(SUBSTITUTE(SUBSTITUTE(SUBSTITUTE(SUBSTITUTE(SUBSTITUTE(SUBSTITUTE(SUBSTITUTE(SUBSTITUTE(SUBSTITUTE(SUBSTITUTE(SUBSTITUTE(SUBSTITUTE(SUBSTITUTE(UPPER(TRIM(A381)),"[MEMBER]",""),"{MEMBER}",""),"[MEMBER}",""),"MEMBER]",""),"(A)",""),"""",""),"“",""),"”",""),".",""),":",""),",",""),"–"," "),"-"," "),"/"," "),"&amp;"," AND "))&amp;" "," THE "," ")," TOTAL "," ")," OPERATIONS "," "))</f>
        <v>COOK ISLANDS</v>
      </c>
      <c r="O381" s="17" t="str">
        <f aca="false">IF(COUNTIFS($N$2:$N$2000,N381,$D$2:$D$2000,"&lt;&gt;"&amp;D381)&gt;0,"CONFLICT","")</f>
        <v/>
      </c>
      <c r="P381" s="7"/>
    </row>
    <row r="382" customFormat="false" ht="15" hidden="false" customHeight="false" outlineLevel="0" collapsed="false">
      <c r="A382" s="7" t="s">
        <v>484</v>
      </c>
      <c r="B382" s="7" t="s">
        <v>1879</v>
      </c>
      <c r="C382" s="7"/>
      <c r="D382" s="6" t="s">
        <v>484</v>
      </c>
      <c r="E382" s="6" t="s">
        <v>1880</v>
      </c>
      <c r="F382" s="7" t="str">
        <f aca="false">IF($D382="","",IFERROR(IF(INDEX(Hierarchy!$B$2:$B$1295,MATCH($D382,Hierarchy!$A$2:$A$1295,0))="","",INDEX(Hierarchy!$B$2:$B$1295,MATCH($D382,Hierarchy!$A$2:$A$1295,0))),"NODE NOT FOUND"))</f>
        <v>State/Province</v>
      </c>
      <c r="G382" s="7" t="str">
        <f aca="false">IF($D382="","",IFERROR(IF(INDEX(Hierarchy!$D$2:$D$1295,MATCH($D382,Hierarchy!$A$2:$A$1295,0))="","",INDEX(Hierarchy!$D$2:$D$1295,MATCH($D382,Hierarchy!$A$2:$A$1295,0))),"NODE NOT FOUND"))</f>
        <v>AMER</v>
      </c>
      <c r="H382" s="7" t="str">
        <f aca="false">IF($D382="","",IFERROR(IF(INDEX(Hierarchy!$E$2:$E$1295,MATCH($D382,Hierarchy!$A$2:$A$1295,0))="","",INDEX(Hierarchy!$E$2:$E$1295,MATCH($D382,Hierarchy!$A$2:$A$1295,0))),"NODE NOT FOUND"))</f>
        <v>Latin America (LATAM)</v>
      </c>
      <c r="I382" s="7" t="str">
        <f aca="false">IF($D382="","",IFERROR(IF(INDEX(Hierarchy!$F$2:$F$1295,MATCH($D382,Hierarchy!$A$2:$A$1295,0))="","",INDEX(Hierarchy!$F$2:$F$1295,MATCH($D382,Hierarchy!$A$2:$A$1295,0))),"NODE NOT FOUND"))</f>
        <v>Chile</v>
      </c>
      <c r="J382" s="7" t="str">
        <f aca="false">IF($D382="","",IFERROR(IF(INDEX(Hierarchy!$G$2:$G$1295,MATCH($D382,Hierarchy!$A$2:$A$1295,0))="","",INDEX(Hierarchy!$G$2:$G$1295,MATCH($D382,Hierarchy!$A$2:$A$1295,0))),"NODE NOT FOUND"))</f>
        <v>CHL</v>
      </c>
      <c r="K382" s="7" t="str">
        <f aca="false">IF($D382="","",IFERROR(IF(INDEX(Hierarchy!$H$2:$H$1295,MATCH($D382,Hierarchy!$A$2:$A$1295,0))="","",INDEX(Hierarchy!$H$2:$H$1295,MATCH($D382,Hierarchy!$A$2:$A$1295,0))),"NODE NOT FOUND"))</f>
        <v>Coquimbo</v>
      </c>
      <c r="L382" s="7" t="str">
        <f aca="false">IF($D382="","",IFERROR(IF(INDEX(Hierarchy!$I$2:$I$1295,MATCH($D382,Hierarchy!$A$2:$A$1295,0))="","",INDEX(Hierarchy!$I$2:$I$1295,MATCH($D382,Hierarchy!$A$2:$A$1295,0))),"NODE NOT FOUND"))</f>
        <v/>
      </c>
      <c r="M382" s="17" t="str">
        <f aca="false">IF(B382="Pre-seeded","Pre-seeded",IF(B382="Review 2026-09-16","Added from review",IF(C382="","New",IF(C382=D382,"","Changed"))))</f>
        <v>Pre-seeded</v>
      </c>
      <c r="N382" s="7" t="str">
        <f aca="false">TRIM(SUBSTITUTE(SUBSTITUTE(SUBSTITUTE(" "&amp;TRIM(SUBSTITUTE(SUBSTITUTE(SUBSTITUTE(SUBSTITUTE(SUBSTITUTE(SUBSTITUTE(SUBSTITUTE(SUBSTITUTE(SUBSTITUTE(SUBSTITUTE(SUBSTITUTE(SUBSTITUTE(SUBSTITUTE(SUBSTITUTE(SUBSTITUTE(UPPER(TRIM(A382)),"[MEMBER]",""),"{MEMBER}",""),"[MEMBER}",""),"MEMBER]",""),"(A)",""),"""",""),"“",""),"”",""),".",""),":",""),",",""),"–"," "),"-"," "),"/"," "),"&amp;"," AND "))&amp;" "," THE "," ")," TOTAL "," ")," OPERATIONS "," "))</f>
        <v>COQUIMBO</v>
      </c>
      <c r="O382" s="17" t="str">
        <f aca="false">IF(COUNTIFS($N$2:$N$2000,N382,$D$2:$D$2000,"&lt;&gt;"&amp;D382)&gt;0,"CONFLICT","")</f>
        <v/>
      </c>
      <c r="P382" s="7"/>
    </row>
    <row r="383" customFormat="false" ht="15" hidden="false" customHeight="false" outlineLevel="0" collapsed="false">
      <c r="A383" s="7" t="s">
        <v>1670</v>
      </c>
      <c r="B383" s="7" t="s">
        <v>1879</v>
      </c>
      <c r="C383" s="7"/>
      <c r="D383" s="6" t="s">
        <v>1670</v>
      </c>
      <c r="E383" s="6" t="s">
        <v>1880</v>
      </c>
      <c r="F383" s="7" t="str">
        <f aca="false">IF($D383="","",IFERROR(IF(INDEX(Hierarchy!$B$2:$B$1295,MATCH($D383,Hierarchy!$A$2:$A$1295,0))="","",INDEX(Hierarchy!$B$2:$B$1295,MATCH($D383,Hierarchy!$A$2:$A$1295,0))),"NODE NOT FOUND"))</f>
        <v>State/Province</v>
      </c>
      <c r="G383" s="7" t="str">
        <f aca="false">IF($D383="","",IFERROR(IF(INDEX(Hierarchy!$D$2:$D$1295,MATCH($D383,Hierarchy!$A$2:$A$1295,0))="","",INDEX(Hierarchy!$D$2:$D$1295,MATCH($D383,Hierarchy!$A$2:$A$1295,0))),"NODE NOT FOUND"))</f>
        <v>APAC</v>
      </c>
      <c r="H383" s="7" t="str">
        <f aca="false">IF($D383="","",IFERROR(IF(INDEX(Hierarchy!$E$2:$E$1295,MATCH($D383,Hierarchy!$A$2:$A$1295,0))="","",INDEX(Hierarchy!$E$2:$E$1295,MATCH($D383,Hierarchy!$A$2:$A$1295,0))),"NODE NOT FOUND"))</f>
        <v>Southeast Asia (ASEAN)</v>
      </c>
      <c r="I383" s="7" t="str">
        <f aca="false">IF($D383="","",IFERROR(IF(INDEX(Hierarchy!$F$2:$F$1295,MATCH($D383,Hierarchy!$A$2:$A$1295,0))="","",INDEX(Hierarchy!$F$2:$F$1295,MATCH($D383,Hierarchy!$A$2:$A$1295,0))),"NODE NOT FOUND"))</f>
        <v>Philippines</v>
      </c>
      <c r="J383" s="7" t="str">
        <f aca="false">IF($D383="","",IFERROR(IF(INDEX(Hierarchy!$G$2:$G$1295,MATCH($D383,Hierarchy!$A$2:$A$1295,0))="","",INDEX(Hierarchy!$G$2:$G$1295,MATCH($D383,Hierarchy!$A$2:$A$1295,0))),"NODE NOT FOUND"))</f>
        <v>PHL</v>
      </c>
      <c r="K383" s="7" t="str">
        <f aca="false">IF($D383="","",IFERROR(IF(INDEX(Hierarchy!$H$2:$H$1295,MATCH($D383,Hierarchy!$A$2:$A$1295,0))="","",INDEX(Hierarchy!$H$2:$H$1295,MATCH($D383,Hierarchy!$A$2:$A$1295,0))),"NODE NOT FOUND"))</f>
        <v>Cordillera Administrative Region</v>
      </c>
      <c r="L383" s="7" t="str">
        <f aca="false">IF($D383="","",IFERROR(IF(INDEX(Hierarchy!$I$2:$I$1295,MATCH($D383,Hierarchy!$A$2:$A$1295,0))="","",INDEX(Hierarchy!$I$2:$I$1295,MATCH($D383,Hierarchy!$A$2:$A$1295,0))),"NODE NOT FOUND"))</f>
        <v/>
      </c>
      <c r="M383" s="17" t="str">
        <f aca="false">IF(B383="Pre-seeded","Pre-seeded",IF(B383="Review 2026-09-16","Added from review",IF(C383="","New",IF(C383=D383,"","Changed"))))</f>
        <v>Pre-seeded</v>
      </c>
      <c r="N383" s="7" t="str">
        <f aca="false">TRIM(SUBSTITUTE(SUBSTITUTE(SUBSTITUTE(" "&amp;TRIM(SUBSTITUTE(SUBSTITUTE(SUBSTITUTE(SUBSTITUTE(SUBSTITUTE(SUBSTITUTE(SUBSTITUTE(SUBSTITUTE(SUBSTITUTE(SUBSTITUTE(SUBSTITUTE(SUBSTITUTE(SUBSTITUTE(SUBSTITUTE(SUBSTITUTE(UPPER(TRIM(A383)),"[MEMBER]",""),"{MEMBER}",""),"[MEMBER}",""),"MEMBER]",""),"(A)",""),"""",""),"“",""),"”",""),".",""),":",""),",",""),"–"," "),"-"," "),"/"," "),"&amp;"," AND "))&amp;" "," THE "," ")," TOTAL "," ")," OPERATIONS "," "))</f>
        <v>CORDILLERA ADMINISTRATIVE REGION</v>
      </c>
      <c r="O383" s="17" t="str">
        <f aca="false">IF(COUNTIFS($N$2:$N$2000,N383,$D$2:$D$2000,"&lt;&gt;"&amp;D383)&gt;0,"CONFLICT","")</f>
        <v/>
      </c>
      <c r="P383" s="7"/>
    </row>
    <row r="384" customFormat="false" ht="15" hidden="false" customHeight="false" outlineLevel="0" collapsed="false">
      <c r="A384" s="7" t="s">
        <v>2076</v>
      </c>
      <c r="B384" s="7" t="s">
        <v>1885</v>
      </c>
      <c r="C384" s="7" t="s">
        <v>86</v>
      </c>
      <c r="D384" s="6" t="s">
        <v>80</v>
      </c>
      <c r="E384" s="6" t="s">
        <v>1880</v>
      </c>
      <c r="F384" s="7" t="str">
        <f aca="false">IF($D384="","",IFERROR(IF(INDEX(Hierarchy!$B$2:$B$1295,MATCH($D384,Hierarchy!$A$2:$A$1295,0))="","",INDEX(Hierarchy!$B$2:$B$1295,MATCH($D384,Hierarchy!$A$2:$A$1295,0))),"NODE NOT FOUND"))</f>
        <v>Sub-region</v>
      </c>
      <c r="G384" s="7" t="str">
        <f aca="false">IF($D384="","",IFERROR(IF(INDEX(Hierarchy!$D$2:$D$1295,MATCH($D384,Hierarchy!$A$2:$A$1295,0))="","",INDEX(Hierarchy!$D$2:$D$1295,MATCH($D384,Hierarchy!$A$2:$A$1295,0))),"NODE NOT FOUND"))</f>
        <v>AMER</v>
      </c>
      <c r="H384" s="7" t="str">
        <f aca="false">IF($D384="","",IFERROR(IF(INDEX(Hierarchy!$E$2:$E$1295,MATCH($D384,Hierarchy!$A$2:$A$1295,0))="","",INDEX(Hierarchy!$E$2:$E$1295,MATCH($D384,Hierarchy!$A$2:$A$1295,0))),"NODE NOT FOUND"))</f>
        <v>North America (NORAM)</v>
      </c>
      <c r="I384" s="7" t="str">
        <f aca="false">IF($D384="","",IFERROR(IF(INDEX(Hierarchy!$F$2:$F$1295,MATCH($D384,Hierarchy!$A$2:$A$1295,0))="","",INDEX(Hierarchy!$F$2:$F$1295,MATCH($D384,Hierarchy!$A$2:$A$1295,0))),"NODE NOT FOUND"))</f>
        <v/>
      </c>
      <c r="J384" s="7" t="str">
        <f aca="false">IF($D384="","",IFERROR(IF(INDEX(Hierarchy!$G$2:$G$1295,MATCH($D384,Hierarchy!$A$2:$A$1295,0))="","",INDEX(Hierarchy!$G$2:$G$1295,MATCH($D384,Hierarchy!$A$2:$A$1295,0))),"NODE NOT FOUND"))</f>
        <v/>
      </c>
      <c r="K384" s="7" t="str">
        <f aca="false">IF($D384="","",IFERROR(IF(INDEX(Hierarchy!$H$2:$H$1295,MATCH($D384,Hierarchy!$A$2:$A$1295,0))="","",INDEX(Hierarchy!$H$2:$H$1295,MATCH($D384,Hierarchy!$A$2:$A$1295,0))),"NODE NOT FOUND"))</f>
        <v/>
      </c>
      <c r="L384" s="7" t="str">
        <f aca="false">IF($D384="","",IFERROR(IF(INDEX(Hierarchy!$I$2:$I$1295,MATCH($D384,Hierarchy!$A$2:$A$1295,0))="","",INDEX(Hierarchy!$I$2:$I$1295,MATCH($D384,Hierarchy!$A$2:$A$1295,0))),"NODE NOT FOUND"))</f>
        <v/>
      </c>
      <c r="M384" s="17" t="str">
        <f aca="false">IF(B384="Pre-seeded","Pre-seeded",IF(B384="Review 2026-09-16","Added from review",IF(C384="","New",IF(C384=D384,"","Changed"))))</f>
        <v>Changed</v>
      </c>
      <c r="N384" s="7" t="str">
        <f aca="false">TRIM(SUBSTITUTE(SUBSTITUTE(SUBSTITUTE(" "&amp;TRIM(SUBSTITUTE(SUBSTITUTE(SUBSTITUTE(SUBSTITUTE(SUBSTITUTE(SUBSTITUTE(SUBSTITUTE(SUBSTITUTE(SUBSTITUTE(SUBSTITUTE(SUBSTITUTE(SUBSTITUTE(SUBSTITUTE(SUBSTITUTE(SUBSTITUTE(UPPER(TRIM(A384)),"[MEMBER]",""),"{MEMBER}",""),"[MEMBER}",""),"MEMBER]",""),"(A)",""),"""",""),"“",""),"”",""),".",""),":",""),",",""),"–"," "),"-"," "),"/"," "),"&amp;"," AND "))&amp;" "," THE "," ")," TOTAL "," ")," OPERATIONS "," "))</f>
        <v>CORE NORTH AMERICA</v>
      </c>
      <c r="O384" s="17" t="str">
        <f aca="false">IF(COUNTIFS($N$2:$N$2000,N384,$D$2:$D$2000,"&lt;&gt;"&amp;D384)&gt;0,"CONFLICT","")</f>
        <v/>
      </c>
      <c r="P384" s="7"/>
    </row>
    <row r="385" customFormat="false" ht="15" hidden="false" customHeight="false" outlineLevel="0" collapsed="false">
      <c r="A385" s="7" t="s">
        <v>434</v>
      </c>
      <c r="B385" s="7" t="s">
        <v>1879</v>
      </c>
      <c r="C385" s="7"/>
      <c r="D385" s="6" t="s">
        <v>434</v>
      </c>
      <c r="E385" s="6" t="s">
        <v>1880</v>
      </c>
      <c r="F385" s="7" t="str">
        <f aca="false">IF($D385="","",IFERROR(IF(INDEX(Hierarchy!$B$2:$B$1295,MATCH($D385,Hierarchy!$A$2:$A$1295,0))="","",INDEX(Hierarchy!$B$2:$B$1295,MATCH($D385,Hierarchy!$A$2:$A$1295,0))),"NODE NOT FOUND"))</f>
        <v>State/Province</v>
      </c>
      <c r="G385" s="7" t="str">
        <f aca="false">IF($D385="","",IFERROR(IF(INDEX(Hierarchy!$D$2:$D$1295,MATCH($D385,Hierarchy!$A$2:$A$1295,0))="","",INDEX(Hierarchy!$D$2:$D$1295,MATCH($D385,Hierarchy!$A$2:$A$1295,0))),"NODE NOT FOUND"))</f>
        <v>AMER</v>
      </c>
      <c r="H385" s="7" t="str">
        <f aca="false">IF($D385="","",IFERROR(IF(INDEX(Hierarchy!$E$2:$E$1295,MATCH($D385,Hierarchy!$A$2:$A$1295,0))="","",INDEX(Hierarchy!$E$2:$E$1295,MATCH($D385,Hierarchy!$A$2:$A$1295,0))),"NODE NOT FOUND"))</f>
        <v>Latin America (LATAM)</v>
      </c>
      <c r="I385" s="7" t="str">
        <f aca="false">IF($D385="","",IFERROR(IF(INDEX(Hierarchy!$F$2:$F$1295,MATCH($D385,Hierarchy!$A$2:$A$1295,0))="","",INDEX(Hierarchy!$F$2:$F$1295,MATCH($D385,Hierarchy!$A$2:$A$1295,0))),"NODE NOT FOUND"))</f>
        <v>Argentina</v>
      </c>
      <c r="J385" s="7" t="str">
        <f aca="false">IF($D385="","",IFERROR(IF(INDEX(Hierarchy!$G$2:$G$1295,MATCH($D385,Hierarchy!$A$2:$A$1295,0))="","",INDEX(Hierarchy!$G$2:$G$1295,MATCH($D385,Hierarchy!$A$2:$A$1295,0))),"NODE NOT FOUND"))</f>
        <v>ARG</v>
      </c>
      <c r="K385" s="7" t="str">
        <f aca="false">IF($D385="","",IFERROR(IF(INDEX(Hierarchy!$H$2:$H$1295,MATCH($D385,Hierarchy!$A$2:$A$1295,0))="","",INDEX(Hierarchy!$H$2:$H$1295,MATCH($D385,Hierarchy!$A$2:$A$1295,0))),"NODE NOT FOUND"))</f>
        <v>Corrientes</v>
      </c>
      <c r="L385" s="7" t="str">
        <f aca="false">IF($D385="","",IFERROR(IF(INDEX(Hierarchy!$I$2:$I$1295,MATCH($D385,Hierarchy!$A$2:$A$1295,0))="","",INDEX(Hierarchy!$I$2:$I$1295,MATCH($D385,Hierarchy!$A$2:$A$1295,0))),"NODE NOT FOUND"))</f>
        <v/>
      </c>
      <c r="M385" s="17" t="str">
        <f aca="false">IF(B385="Pre-seeded","Pre-seeded",IF(B385="Review 2026-09-16","Added from review",IF(C385="","New",IF(C385=D385,"","Changed"))))</f>
        <v>Pre-seeded</v>
      </c>
      <c r="N385" s="7" t="str">
        <f aca="false">TRIM(SUBSTITUTE(SUBSTITUTE(SUBSTITUTE(" "&amp;TRIM(SUBSTITUTE(SUBSTITUTE(SUBSTITUTE(SUBSTITUTE(SUBSTITUTE(SUBSTITUTE(SUBSTITUTE(SUBSTITUTE(SUBSTITUTE(SUBSTITUTE(SUBSTITUTE(SUBSTITUTE(SUBSTITUTE(SUBSTITUTE(SUBSTITUTE(UPPER(TRIM(A385)),"[MEMBER]",""),"{MEMBER}",""),"[MEMBER}",""),"MEMBER]",""),"(A)",""),"""",""),"“",""),"”",""),".",""),":",""),",",""),"–"," "),"-"," "),"/"," "),"&amp;"," AND "))&amp;" "," THE "," ")," TOTAL "," ")," OPERATIONS "," "))</f>
        <v>CORRIENTES</v>
      </c>
      <c r="O385" s="17" t="str">
        <f aca="false">IF(COUNTIFS($N$2:$N$2000,N385,$D$2:$D$2000,"&lt;&gt;"&amp;D385)&gt;0,"CONFLICT","")</f>
        <v/>
      </c>
      <c r="P385" s="7"/>
    </row>
    <row r="386" customFormat="false" ht="15" hidden="false" customHeight="false" outlineLevel="0" collapsed="false">
      <c r="A386" s="7" t="s">
        <v>2077</v>
      </c>
      <c r="B386" s="7" t="s">
        <v>1879</v>
      </c>
      <c r="C386" s="7"/>
      <c r="D386" s="6" t="s">
        <v>723</v>
      </c>
      <c r="E386" s="6" t="s">
        <v>1880</v>
      </c>
      <c r="F386" s="7" t="str">
        <f aca="false">IF($D386="","",IFERROR(IF(INDEX(Hierarchy!$B$2:$B$1295,MATCH($D386,Hierarchy!$A$2:$A$1295,0))="","",INDEX(Hierarchy!$B$2:$B$1295,MATCH($D386,Hierarchy!$A$2:$A$1295,0))),"NODE NOT FOUND"))</f>
        <v>State/Province</v>
      </c>
      <c r="G386" s="7" t="str">
        <f aca="false">IF($D386="","",IFERROR(IF(INDEX(Hierarchy!$D$2:$D$1295,MATCH($D386,Hierarchy!$A$2:$A$1295,0))="","",INDEX(Hierarchy!$D$2:$D$1295,MATCH($D386,Hierarchy!$A$2:$A$1295,0))),"NODE NOT FOUND"))</f>
        <v>EMEA</v>
      </c>
      <c r="H386" s="7" t="str">
        <f aca="false">IF($D386="","",IFERROR(IF(INDEX(Hierarchy!$E$2:$E$1295,MATCH($D386,Hierarchy!$A$2:$A$1295,0))="","",INDEX(Hierarchy!$E$2:$E$1295,MATCH($D386,Hierarchy!$A$2:$A$1295,0))),"NODE NOT FOUND"))</f>
        <v>Europe</v>
      </c>
      <c r="I386" s="7" t="str">
        <f aca="false">IF($D386="","",IFERROR(IF(INDEX(Hierarchy!$F$2:$F$1295,MATCH($D386,Hierarchy!$A$2:$A$1295,0))="","",INDEX(Hierarchy!$F$2:$F$1295,MATCH($D386,Hierarchy!$A$2:$A$1295,0))),"NODE NOT FOUND"))</f>
        <v>France</v>
      </c>
      <c r="J386" s="7" t="str">
        <f aca="false">IF($D386="","",IFERROR(IF(INDEX(Hierarchy!$G$2:$G$1295,MATCH($D386,Hierarchy!$A$2:$A$1295,0))="","",INDEX(Hierarchy!$G$2:$G$1295,MATCH($D386,Hierarchy!$A$2:$A$1295,0))),"NODE NOT FOUND"))</f>
        <v>FRA</v>
      </c>
      <c r="K386" s="7" t="str">
        <f aca="false">IF($D386="","",IFERROR(IF(INDEX(Hierarchy!$H$2:$H$1295,MATCH($D386,Hierarchy!$A$2:$A$1295,0))="","",INDEX(Hierarchy!$H$2:$H$1295,MATCH($D386,Hierarchy!$A$2:$A$1295,0))),"NODE NOT FOUND"))</f>
        <v>Corsica</v>
      </c>
      <c r="L386" s="7" t="str">
        <f aca="false">IF($D386="","",IFERROR(IF(INDEX(Hierarchy!$I$2:$I$1295,MATCH($D386,Hierarchy!$A$2:$A$1295,0))="","",INDEX(Hierarchy!$I$2:$I$1295,MATCH($D386,Hierarchy!$A$2:$A$1295,0))),"NODE NOT FOUND"))</f>
        <v/>
      </c>
      <c r="M386" s="17" t="str">
        <f aca="false">IF(B386="Pre-seeded","Pre-seeded",IF(B386="Review 2026-09-16","Added from review",IF(C386="","New",IF(C386=D386,"","Changed"))))</f>
        <v>Pre-seeded</v>
      </c>
      <c r="N386" s="7" t="str">
        <f aca="false">TRIM(SUBSTITUTE(SUBSTITUTE(SUBSTITUTE(" "&amp;TRIM(SUBSTITUTE(SUBSTITUTE(SUBSTITUTE(SUBSTITUTE(SUBSTITUTE(SUBSTITUTE(SUBSTITUTE(SUBSTITUTE(SUBSTITUTE(SUBSTITUTE(SUBSTITUTE(SUBSTITUTE(SUBSTITUTE(SUBSTITUTE(SUBSTITUTE(UPPER(TRIM(A386)),"[MEMBER]",""),"{MEMBER}",""),"[MEMBER}",""),"MEMBER]",""),"(A)",""),"""",""),"“",""),"”",""),".",""),":",""),",",""),"–"," "),"-"," "),"/"," "),"&amp;"," AND "))&amp;" "," THE "," ")," TOTAL "," ")," OPERATIONS "," "))</f>
        <v>CORSE</v>
      </c>
      <c r="O386" s="17" t="str">
        <f aca="false">IF(COUNTIFS($N$2:$N$2000,N386,$D$2:$D$2000,"&lt;&gt;"&amp;D386)&gt;0,"CONFLICT","")</f>
        <v/>
      </c>
      <c r="P386" s="7"/>
    </row>
    <row r="387" customFormat="false" ht="15" hidden="false" customHeight="false" outlineLevel="0" collapsed="false">
      <c r="A387" s="7" t="s">
        <v>723</v>
      </c>
      <c r="B387" s="7" t="s">
        <v>1879</v>
      </c>
      <c r="C387" s="7"/>
      <c r="D387" s="6" t="s">
        <v>723</v>
      </c>
      <c r="E387" s="6" t="s">
        <v>1880</v>
      </c>
      <c r="F387" s="7" t="str">
        <f aca="false">IF($D387="","",IFERROR(IF(INDEX(Hierarchy!$B$2:$B$1295,MATCH($D387,Hierarchy!$A$2:$A$1295,0))="","",INDEX(Hierarchy!$B$2:$B$1295,MATCH($D387,Hierarchy!$A$2:$A$1295,0))),"NODE NOT FOUND"))</f>
        <v>State/Province</v>
      </c>
      <c r="G387" s="7" t="str">
        <f aca="false">IF($D387="","",IFERROR(IF(INDEX(Hierarchy!$D$2:$D$1295,MATCH($D387,Hierarchy!$A$2:$A$1295,0))="","",INDEX(Hierarchy!$D$2:$D$1295,MATCH($D387,Hierarchy!$A$2:$A$1295,0))),"NODE NOT FOUND"))</f>
        <v>EMEA</v>
      </c>
      <c r="H387" s="7" t="str">
        <f aca="false">IF($D387="","",IFERROR(IF(INDEX(Hierarchy!$E$2:$E$1295,MATCH($D387,Hierarchy!$A$2:$A$1295,0))="","",INDEX(Hierarchy!$E$2:$E$1295,MATCH($D387,Hierarchy!$A$2:$A$1295,0))),"NODE NOT FOUND"))</f>
        <v>Europe</v>
      </c>
      <c r="I387" s="7" t="str">
        <f aca="false">IF($D387="","",IFERROR(IF(INDEX(Hierarchy!$F$2:$F$1295,MATCH($D387,Hierarchy!$A$2:$A$1295,0))="","",INDEX(Hierarchy!$F$2:$F$1295,MATCH($D387,Hierarchy!$A$2:$A$1295,0))),"NODE NOT FOUND"))</f>
        <v>France</v>
      </c>
      <c r="J387" s="7" t="str">
        <f aca="false">IF($D387="","",IFERROR(IF(INDEX(Hierarchy!$G$2:$G$1295,MATCH($D387,Hierarchy!$A$2:$A$1295,0))="","",INDEX(Hierarchy!$G$2:$G$1295,MATCH($D387,Hierarchy!$A$2:$A$1295,0))),"NODE NOT FOUND"))</f>
        <v>FRA</v>
      </c>
      <c r="K387" s="7" t="str">
        <f aca="false">IF($D387="","",IFERROR(IF(INDEX(Hierarchy!$H$2:$H$1295,MATCH($D387,Hierarchy!$A$2:$A$1295,0))="","",INDEX(Hierarchy!$H$2:$H$1295,MATCH($D387,Hierarchy!$A$2:$A$1295,0))),"NODE NOT FOUND"))</f>
        <v>Corsica</v>
      </c>
      <c r="L387" s="7" t="str">
        <f aca="false">IF($D387="","",IFERROR(IF(INDEX(Hierarchy!$I$2:$I$1295,MATCH($D387,Hierarchy!$A$2:$A$1295,0))="","",INDEX(Hierarchy!$I$2:$I$1295,MATCH($D387,Hierarchy!$A$2:$A$1295,0))),"NODE NOT FOUND"))</f>
        <v/>
      </c>
      <c r="M387" s="17" t="str">
        <f aca="false">IF(B387="Pre-seeded","Pre-seeded",IF(B387="Review 2026-09-16","Added from review",IF(C387="","New",IF(C387=D387,"","Changed"))))</f>
        <v>Pre-seeded</v>
      </c>
      <c r="N387" s="7" t="str">
        <f aca="false">TRIM(SUBSTITUTE(SUBSTITUTE(SUBSTITUTE(" "&amp;TRIM(SUBSTITUTE(SUBSTITUTE(SUBSTITUTE(SUBSTITUTE(SUBSTITUTE(SUBSTITUTE(SUBSTITUTE(SUBSTITUTE(SUBSTITUTE(SUBSTITUTE(SUBSTITUTE(SUBSTITUTE(SUBSTITUTE(SUBSTITUTE(SUBSTITUTE(UPPER(TRIM(A387)),"[MEMBER]",""),"{MEMBER}",""),"[MEMBER}",""),"MEMBER]",""),"(A)",""),"""",""),"“",""),"”",""),".",""),":",""),",",""),"–"," "),"-"," "),"/"," "),"&amp;"," AND "))&amp;" "," THE "," ")," TOTAL "," ")," OPERATIONS "," "))</f>
        <v>CORSICA</v>
      </c>
      <c r="O387" s="17" t="str">
        <f aca="false">IF(COUNTIFS($N$2:$N$2000,N387,$D$2:$D$2000,"&lt;&gt;"&amp;D387)&gt;0,"CONFLICT","")</f>
        <v/>
      </c>
      <c r="P387" s="7"/>
    </row>
    <row r="388" customFormat="false" ht="15" hidden="false" customHeight="false" outlineLevel="0" collapsed="false">
      <c r="A388" s="7" t="s">
        <v>536</v>
      </c>
      <c r="B388" s="7" t="s">
        <v>1882</v>
      </c>
      <c r="C388" s="7" t="s">
        <v>536</v>
      </c>
      <c r="D388" s="6" t="s">
        <v>536</v>
      </c>
      <c r="E388" s="6" t="s">
        <v>1880</v>
      </c>
      <c r="F388" s="7" t="str">
        <f aca="false">IF($D388="","",IFERROR(IF(INDEX(Hierarchy!$B$2:$B$1295,MATCH($D388,Hierarchy!$A$2:$A$1295,0))="","",INDEX(Hierarchy!$B$2:$B$1295,MATCH($D388,Hierarchy!$A$2:$A$1295,0))),"NODE NOT FOUND"))</f>
        <v>Country</v>
      </c>
      <c r="G388" s="7" t="str">
        <f aca="false">IF($D388="","",IFERROR(IF(INDEX(Hierarchy!$D$2:$D$1295,MATCH($D388,Hierarchy!$A$2:$A$1295,0))="","",INDEX(Hierarchy!$D$2:$D$1295,MATCH($D388,Hierarchy!$A$2:$A$1295,0))),"NODE NOT FOUND"))</f>
        <v>AMER</v>
      </c>
      <c r="H388" s="7" t="str">
        <f aca="false">IF($D388="","",IFERROR(IF(INDEX(Hierarchy!$E$2:$E$1295,MATCH($D388,Hierarchy!$A$2:$A$1295,0))="","",INDEX(Hierarchy!$E$2:$E$1295,MATCH($D388,Hierarchy!$A$2:$A$1295,0))),"NODE NOT FOUND"))</f>
        <v>Latin America (LATAM)</v>
      </c>
      <c r="I388" s="7" t="str">
        <f aca="false">IF($D388="","",IFERROR(IF(INDEX(Hierarchy!$F$2:$F$1295,MATCH($D388,Hierarchy!$A$2:$A$1295,0))="","",INDEX(Hierarchy!$F$2:$F$1295,MATCH($D388,Hierarchy!$A$2:$A$1295,0))),"NODE NOT FOUND"))</f>
        <v>Costa Rica</v>
      </c>
      <c r="J388" s="7" t="str">
        <f aca="false">IF($D388="","",IFERROR(IF(INDEX(Hierarchy!$G$2:$G$1295,MATCH($D388,Hierarchy!$A$2:$A$1295,0))="","",INDEX(Hierarchy!$G$2:$G$1295,MATCH($D388,Hierarchy!$A$2:$A$1295,0))),"NODE NOT FOUND"))</f>
        <v>CRI</v>
      </c>
      <c r="K388" s="7" t="str">
        <f aca="false">IF($D388="","",IFERROR(IF(INDEX(Hierarchy!$H$2:$H$1295,MATCH($D388,Hierarchy!$A$2:$A$1295,0))="","",INDEX(Hierarchy!$H$2:$H$1295,MATCH($D388,Hierarchy!$A$2:$A$1295,0))),"NODE NOT FOUND"))</f>
        <v/>
      </c>
      <c r="L388" s="7" t="str">
        <f aca="false">IF($D388="","",IFERROR(IF(INDEX(Hierarchy!$I$2:$I$1295,MATCH($D388,Hierarchy!$A$2:$A$1295,0))="","",INDEX(Hierarchy!$I$2:$I$1295,MATCH($D388,Hierarchy!$A$2:$A$1295,0))),"NODE NOT FOUND"))</f>
        <v/>
      </c>
      <c r="M388" s="17" t="str">
        <f aca="false">IF(B388="Pre-seeded","Pre-seeded",IF(B388="Review 2026-09-16","Added from review",IF(C388="","New",IF(C388=D388,"","Changed"))))</f>
        <v/>
      </c>
      <c r="N388" s="7" t="str">
        <f aca="false">TRIM(SUBSTITUTE(SUBSTITUTE(SUBSTITUTE(" "&amp;TRIM(SUBSTITUTE(SUBSTITUTE(SUBSTITUTE(SUBSTITUTE(SUBSTITUTE(SUBSTITUTE(SUBSTITUTE(SUBSTITUTE(SUBSTITUTE(SUBSTITUTE(SUBSTITUTE(SUBSTITUTE(SUBSTITUTE(SUBSTITUTE(SUBSTITUTE(UPPER(TRIM(A388)),"[MEMBER]",""),"{MEMBER}",""),"[MEMBER}",""),"MEMBER]",""),"(A)",""),"""",""),"“",""),"”",""),".",""),":",""),",",""),"–"," "),"-"," "),"/"," "),"&amp;"," AND "))&amp;" "," THE "," ")," TOTAL "," ")," OPERATIONS "," "))</f>
        <v>COSTA RICA</v>
      </c>
      <c r="O388" s="17" t="str">
        <f aca="false">IF(COUNTIFS($N$2:$N$2000,N388,$D$2:$D$2000,"&lt;&gt;"&amp;D388)&gt;0,"CONFLICT","")</f>
        <v/>
      </c>
      <c r="P388" s="7"/>
    </row>
    <row r="389" customFormat="false" ht="15" hidden="false" customHeight="false" outlineLevel="0" collapsed="false">
      <c r="A389" s="7" t="s">
        <v>2078</v>
      </c>
      <c r="B389" s="7" t="s">
        <v>1879</v>
      </c>
      <c r="C389" s="7"/>
      <c r="D389" s="6" t="s">
        <v>1205</v>
      </c>
      <c r="E389" s="6" t="s">
        <v>1880</v>
      </c>
      <c r="F389" s="7" t="str">
        <f aca="false">IF($D389="","",IFERROR(IF(INDEX(Hierarchy!$B$2:$B$1295,MATCH($D389,Hierarchy!$A$2:$A$1295,0))="","",INDEX(Hierarchy!$B$2:$B$1295,MATCH($D389,Hierarchy!$A$2:$A$1295,0))),"NODE NOT FOUND"))</f>
        <v>Country</v>
      </c>
      <c r="G389" s="7" t="str">
        <f aca="false">IF($D389="","",IFERROR(IF(INDEX(Hierarchy!$D$2:$D$1295,MATCH($D389,Hierarchy!$A$2:$A$1295,0))="","",INDEX(Hierarchy!$D$2:$D$1295,MATCH($D389,Hierarchy!$A$2:$A$1295,0))),"NODE NOT FOUND"))</f>
        <v>EMEA</v>
      </c>
      <c r="H389" s="7" t="str">
        <f aca="false">IF($D389="","",IFERROR(IF(INDEX(Hierarchy!$E$2:$E$1295,MATCH($D389,Hierarchy!$A$2:$A$1295,0))="","",INDEX(Hierarchy!$E$2:$E$1295,MATCH($D389,Hierarchy!$A$2:$A$1295,0))),"NODE NOT FOUND"))</f>
        <v>Africa</v>
      </c>
      <c r="I389" s="7" t="str">
        <f aca="false">IF($D389="","",IFERROR(IF(INDEX(Hierarchy!$F$2:$F$1295,MATCH($D389,Hierarchy!$A$2:$A$1295,0))="","",INDEX(Hierarchy!$F$2:$F$1295,MATCH($D389,Hierarchy!$A$2:$A$1295,0))),"NODE NOT FOUND"))</f>
        <v>Côte d'Ivoire (Ivory Coast)</v>
      </c>
      <c r="J389" s="7" t="str">
        <f aca="false">IF($D389="","",IFERROR(IF(INDEX(Hierarchy!$G$2:$G$1295,MATCH($D389,Hierarchy!$A$2:$A$1295,0))="","",INDEX(Hierarchy!$G$2:$G$1295,MATCH($D389,Hierarchy!$A$2:$A$1295,0))),"NODE NOT FOUND"))</f>
        <v>CIV</v>
      </c>
      <c r="K389" s="7" t="str">
        <f aca="false">IF($D389="","",IFERROR(IF(INDEX(Hierarchy!$H$2:$H$1295,MATCH($D389,Hierarchy!$A$2:$A$1295,0))="","",INDEX(Hierarchy!$H$2:$H$1295,MATCH($D389,Hierarchy!$A$2:$A$1295,0))),"NODE NOT FOUND"))</f>
        <v/>
      </c>
      <c r="L389" s="7" t="str">
        <f aca="false">IF($D389="","",IFERROR(IF(INDEX(Hierarchy!$I$2:$I$1295,MATCH($D389,Hierarchy!$A$2:$A$1295,0))="","",INDEX(Hierarchy!$I$2:$I$1295,MATCH($D389,Hierarchy!$A$2:$A$1295,0))),"NODE NOT FOUND"))</f>
        <v/>
      </c>
      <c r="M389" s="17" t="str">
        <f aca="false">IF(B389="Pre-seeded","Pre-seeded",IF(B389="Review 2026-09-16","Added from review",IF(C389="","New",IF(C389=D389,"","Changed"))))</f>
        <v>Pre-seeded</v>
      </c>
      <c r="N389" s="7" t="str">
        <f aca="false">TRIM(SUBSTITUTE(SUBSTITUTE(SUBSTITUTE(" "&amp;TRIM(SUBSTITUTE(SUBSTITUTE(SUBSTITUTE(SUBSTITUTE(SUBSTITUTE(SUBSTITUTE(SUBSTITUTE(SUBSTITUTE(SUBSTITUTE(SUBSTITUTE(SUBSTITUTE(SUBSTITUTE(SUBSTITUTE(SUBSTITUTE(SUBSTITUTE(UPPER(TRIM(A389)),"[MEMBER]",""),"{MEMBER}",""),"[MEMBER}",""),"MEMBER]",""),"(A)",""),"""",""),"“",""),"”",""),".",""),":",""),",",""),"–"," "),"-"," "),"/"," "),"&amp;"," AND "))&amp;" "," THE "," ")," TOTAL "," ")," OPERATIONS "," "))</f>
        <v>COTE D'IVOIRE</v>
      </c>
      <c r="O389" s="17" t="str">
        <f aca="false">IF(COUNTIFS($N$2:$N$2000,N389,$D$2:$D$2000,"&lt;&gt;"&amp;D389)&gt;0,"CONFLICT","")</f>
        <v/>
      </c>
      <c r="P389" s="7"/>
    </row>
    <row r="390" customFormat="false" ht="15" hidden="false" customHeight="false" outlineLevel="0" collapsed="false">
      <c r="A390" s="7" t="s">
        <v>777</v>
      </c>
      <c r="B390" s="7" t="s">
        <v>1879</v>
      </c>
      <c r="C390" s="7"/>
      <c r="D390" s="6" t="s">
        <v>777</v>
      </c>
      <c r="E390" s="6" t="s">
        <v>1880</v>
      </c>
      <c r="F390" s="7" t="str">
        <f aca="false">IF($D390="","",IFERROR(IF(INDEX(Hierarchy!$B$2:$B$1295,MATCH($D390,Hierarchy!$A$2:$A$1295,0))="","",INDEX(Hierarchy!$B$2:$B$1295,MATCH($D390,Hierarchy!$A$2:$A$1295,0))),"NODE NOT FOUND"))</f>
        <v>Country</v>
      </c>
      <c r="G390" s="7" t="str">
        <f aca="false">IF($D390="","",IFERROR(IF(INDEX(Hierarchy!$D$2:$D$1295,MATCH($D390,Hierarchy!$A$2:$A$1295,0))="","",INDEX(Hierarchy!$D$2:$D$1295,MATCH($D390,Hierarchy!$A$2:$A$1295,0))),"NODE NOT FOUND"))</f>
        <v>EMEA</v>
      </c>
      <c r="H390" s="7" t="str">
        <f aca="false">IF($D390="","",IFERROR(IF(INDEX(Hierarchy!$E$2:$E$1295,MATCH($D390,Hierarchy!$A$2:$A$1295,0))="","",INDEX(Hierarchy!$E$2:$E$1295,MATCH($D390,Hierarchy!$A$2:$A$1295,0))),"NODE NOT FOUND"))</f>
        <v>Europe</v>
      </c>
      <c r="I390" s="7" t="str">
        <f aca="false">IF($D390="","",IFERROR(IF(INDEX(Hierarchy!$F$2:$F$1295,MATCH($D390,Hierarchy!$A$2:$A$1295,0))="","",INDEX(Hierarchy!$F$2:$F$1295,MATCH($D390,Hierarchy!$A$2:$A$1295,0))),"NODE NOT FOUND"))</f>
        <v>Croatia</v>
      </c>
      <c r="J390" s="7" t="str">
        <f aca="false">IF($D390="","",IFERROR(IF(INDEX(Hierarchy!$G$2:$G$1295,MATCH($D390,Hierarchy!$A$2:$A$1295,0))="","",INDEX(Hierarchy!$G$2:$G$1295,MATCH($D390,Hierarchy!$A$2:$A$1295,0))),"NODE NOT FOUND"))</f>
        <v>HRV</v>
      </c>
      <c r="K390" s="7" t="str">
        <f aca="false">IF($D390="","",IFERROR(IF(INDEX(Hierarchy!$H$2:$H$1295,MATCH($D390,Hierarchy!$A$2:$A$1295,0))="","",INDEX(Hierarchy!$H$2:$H$1295,MATCH($D390,Hierarchy!$A$2:$A$1295,0))),"NODE NOT FOUND"))</f>
        <v/>
      </c>
      <c r="L390" s="7" t="str">
        <f aca="false">IF($D390="","",IFERROR(IF(INDEX(Hierarchy!$I$2:$I$1295,MATCH($D390,Hierarchy!$A$2:$A$1295,0))="","",INDEX(Hierarchy!$I$2:$I$1295,MATCH($D390,Hierarchy!$A$2:$A$1295,0))),"NODE NOT FOUND"))</f>
        <v/>
      </c>
      <c r="M390" s="17" t="str">
        <f aca="false">IF(B390="Pre-seeded","Pre-seeded",IF(B390="Review 2026-09-16","Added from review",IF(C390="","New",IF(C390=D390,"","Changed"))))</f>
        <v>Pre-seeded</v>
      </c>
      <c r="N390" s="7" t="str">
        <f aca="false">TRIM(SUBSTITUTE(SUBSTITUTE(SUBSTITUTE(" "&amp;TRIM(SUBSTITUTE(SUBSTITUTE(SUBSTITUTE(SUBSTITUTE(SUBSTITUTE(SUBSTITUTE(SUBSTITUTE(SUBSTITUTE(SUBSTITUTE(SUBSTITUTE(SUBSTITUTE(SUBSTITUTE(SUBSTITUTE(SUBSTITUTE(SUBSTITUTE(UPPER(TRIM(A390)),"[MEMBER]",""),"{MEMBER}",""),"[MEMBER}",""),"MEMBER]",""),"(A)",""),"""",""),"“",""),"”",""),".",""),":",""),",",""),"–"," "),"-"," "),"/"," "),"&amp;"," AND "))&amp;" "," THE "," ")," TOTAL "," ")," OPERATIONS "," "))</f>
        <v>CROATIA</v>
      </c>
      <c r="O390" s="17" t="str">
        <f aca="false">IF(COUNTIFS($N$2:$N$2000,N390,$D$2:$D$2000,"&lt;&gt;"&amp;D390)&gt;0,"CONFLICT","")</f>
        <v/>
      </c>
      <c r="P390" s="7"/>
    </row>
    <row r="391" customFormat="false" ht="15" hidden="false" customHeight="false" outlineLevel="0" collapsed="false">
      <c r="A391" s="7" t="s">
        <v>1140</v>
      </c>
      <c r="B391" s="7" t="s">
        <v>1879</v>
      </c>
      <c r="C391" s="7"/>
      <c r="D391" s="6" t="s">
        <v>1140</v>
      </c>
      <c r="E391" s="6" t="s">
        <v>1880</v>
      </c>
      <c r="F391" s="7" t="str">
        <f aca="false">IF($D391="","",IFERROR(IF(INDEX(Hierarchy!$B$2:$B$1295,MATCH($D391,Hierarchy!$A$2:$A$1295,0))="","",INDEX(Hierarchy!$B$2:$B$1295,MATCH($D391,Hierarchy!$A$2:$A$1295,0))),"NODE NOT FOUND"))</f>
        <v>State/Province</v>
      </c>
      <c r="G391" s="7" t="str">
        <f aca="false">IF($D391="","",IFERROR(IF(INDEX(Hierarchy!$D$2:$D$1295,MATCH($D391,Hierarchy!$A$2:$A$1295,0))="","",INDEX(Hierarchy!$D$2:$D$1295,MATCH($D391,Hierarchy!$A$2:$A$1295,0))),"NODE NOT FOUND"))</f>
        <v>EMEA</v>
      </c>
      <c r="H391" s="7" t="str">
        <f aca="false">IF($D391="","",IFERROR(IF(INDEX(Hierarchy!$E$2:$E$1295,MATCH($D391,Hierarchy!$A$2:$A$1295,0))="","",INDEX(Hierarchy!$E$2:$E$1295,MATCH($D391,Hierarchy!$A$2:$A$1295,0))),"NODE NOT FOUND"))</f>
        <v>Africa</v>
      </c>
      <c r="I391" s="7" t="str">
        <f aca="false">IF($D391="","",IFERROR(IF(INDEX(Hierarchy!$F$2:$F$1295,MATCH($D391,Hierarchy!$A$2:$A$1295,0))="","",INDEX(Hierarchy!$F$2:$F$1295,MATCH($D391,Hierarchy!$A$2:$A$1295,0))),"NODE NOT FOUND"))</f>
        <v>Nigeria</v>
      </c>
      <c r="J391" s="7" t="str">
        <f aca="false">IF($D391="","",IFERROR(IF(INDEX(Hierarchy!$G$2:$G$1295,MATCH($D391,Hierarchy!$A$2:$A$1295,0))="","",INDEX(Hierarchy!$G$2:$G$1295,MATCH($D391,Hierarchy!$A$2:$A$1295,0))),"NODE NOT FOUND"))</f>
        <v>NGA</v>
      </c>
      <c r="K391" s="7" t="str">
        <f aca="false">IF($D391="","",IFERROR(IF(INDEX(Hierarchy!$H$2:$H$1295,MATCH($D391,Hierarchy!$A$2:$A$1295,0))="","",INDEX(Hierarchy!$H$2:$H$1295,MATCH($D391,Hierarchy!$A$2:$A$1295,0))),"NODE NOT FOUND"))</f>
        <v>Cross River</v>
      </c>
      <c r="L391" s="7" t="str">
        <f aca="false">IF($D391="","",IFERROR(IF(INDEX(Hierarchy!$I$2:$I$1295,MATCH($D391,Hierarchy!$A$2:$A$1295,0))="","",INDEX(Hierarchy!$I$2:$I$1295,MATCH($D391,Hierarchy!$A$2:$A$1295,0))),"NODE NOT FOUND"))</f>
        <v/>
      </c>
      <c r="M391" s="17" t="str">
        <f aca="false">IF(B391="Pre-seeded","Pre-seeded",IF(B391="Review 2026-09-16","Added from review",IF(C391="","New",IF(C391=D391,"","Changed"))))</f>
        <v>Pre-seeded</v>
      </c>
      <c r="N391" s="7" t="str">
        <f aca="false">TRIM(SUBSTITUTE(SUBSTITUTE(SUBSTITUTE(" "&amp;TRIM(SUBSTITUTE(SUBSTITUTE(SUBSTITUTE(SUBSTITUTE(SUBSTITUTE(SUBSTITUTE(SUBSTITUTE(SUBSTITUTE(SUBSTITUTE(SUBSTITUTE(SUBSTITUTE(SUBSTITUTE(SUBSTITUTE(SUBSTITUTE(SUBSTITUTE(UPPER(TRIM(A391)),"[MEMBER]",""),"{MEMBER}",""),"[MEMBER}",""),"MEMBER]",""),"(A)",""),"""",""),"“",""),"”",""),".",""),":",""),",",""),"–"," "),"-"," "),"/"," "),"&amp;"," AND "))&amp;" "," THE "," ")," TOTAL "," ")," OPERATIONS "," "))</f>
        <v>CROSS RIVER</v>
      </c>
      <c r="O391" s="17" t="str">
        <f aca="false">IF(COUNTIFS($N$2:$N$2000,N391,$D$2:$D$2000,"&lt;&gt;"&amp;D391)&gt;0,"CONFLICT","")</f>
        <v/>
      </c>
      <c r="P391" s="7"/>
    </row>
    <row r="392" customFormat="false" ht="15" hidden="false" customHeight="false" outlineLevel="0" collapsed="false">
      <c r="A392" s="7" t="s">
        <v>540</v>
      </c>
      <c r="B392" s="7" t="s">
        <v>1879</v>
      </c>
      <c r="C392" s="7"/>
      <c r="D392" s="6" t="s">
        <v>540</v>
      </c>
      <c r="E392" s="6" t="s">
        <v>1880</v>
      </c>
      <c r="F392" s="7" t="str">
        <f aca="false">IF($D392="","",IFERROR(IF(INDEX(Hierarchy!$B$2:$B$1295,MATCH($D392,Hierarchy!$A$2:$A$1295,0))="","",INDEX(Hierarchy!$B$2:$B$1295,MATCH($D392,Hierarchy!$A$2:$A$1295,0))),"NODE NOT FOUND"))</f>
        <v>Country</v>
      </c>
      <c r="G392" s="7" t="str">
        <f aca="false">IF($D392="","",IFERROR(IF(INDEX(Hierarchy!$D$2:$D$1295,MATCH($D392,Hierarchy!$A$2:$A$1295,0))="","",INDEX(Hierarchy!$D$2:$D$1295,MATCH($D392,Hierarchy!$A$2:$A$1295,0))),"NODE NOT FOUND"))</f>
        <v>AMER</v>
      </c>
      <c r="H392" s="7" t="str">
        <f aca="false">IF($D392="","",IFERROR(IF(INDEX(Hierarchy!$E$2:$E$1295,MATCH($D392,Hierarchy!$A$2:$A$1295,0))="","",INDEX(Hierarchy!$E$2:$E$1295,MATCH($D392,Hierarchy!$A$2:$A$1295,0))),"NODE NOT FOUND"))</f>
        <v>Latin America (LATAM)</v>
      </c>
      <c r="I392" s="7" t="str">
        <f aca="false">IF($D392="","",IFERROR(IF(INDEX(Hierarchy!$F$2:$F$1295,MATCH($D392,Hierarchy!$A$2:$A$1295,0))="","",INDEX(Hierarchy!$F$2:$F$1295,MATCH($D392,Hierarchy!$A$2:$A$1295,0))),"NODE NOT FOUND"))</f>
        <v>Cuba</v>
      </c>
      <c r="J392" s="7" t="str">
        <f aca="false">IF($D392="","",IFERROR(IF(INDEX(Hierarchy!$G$2:$G$1295,MATCH($D392,Hierarchy!$A$2:$A$1295,0))="","",INDEX(Hierarchy!$G$2:$G$1295,MATCH($D392,Hierarchy!$A$2:$A$1295,0))),"NODE NOT FOUND"))</f>
        <v>CUB</v>
      </c>
      <c r="K392" s="7" t="str">
        <f aca="false">IF($D392="","",IFERROR(IF(INDEX(Hierarchy!$H$2:$H$1295,MATCH($D392,Hierarchy!$A$2:$A$1295,0))="","",INDEX(Hierarchy!$H$2:$H$1295,MATCH($D392,Hierarchy!$A$2:$A$1295,0))),"NODE NOT FOUND"))</f>
        <v/>
      </c>
      <c r="L392" s="7" t="str">
        <f aca="false">IF($D392="","",IFERROR(IF(INDEX(Hierarchy!$I$2:$I$1295,MATCH($D392,Hierarchy!$A$2:$A$1295,0))="","",INDEX(Hierarchy!$I$2:$I$1295,MATCH($D392,Hierarchy!$A$2:$A$1295,0))),"NODE NOT FOUND"))</f>
        <v/>
      </c>
      <c r="M392" s="17" t="str">
        <f aca="false">IF(B392="Pre-seeded","Pre-seeded",IF(B392="Review 2026-09-16","Added from review",IF(C392="","New",IF(C392=D392,"","Changed"))))</f>
        <v>Pre-seeded</v>
      </c>
      <c r="N392" s="7" t="str">
        <f aca="false">TRIM(SUBSTITUTE(SUBSTITUTE(SUBSTITUTE(" "&amp;TRIM(SUBSTITUTE(SUBSTITUTE(SUBSTITUTE(SUBSTITUTE(SUBSTITUTE(SUBSTITUTE(SUBSTITUTE(SUBSTITUTE(SUBSTITUTE(SUBSTITUTE(SUBSTITUTE(SUBSTITUTE(SUBSTITUTE(SUBSTITUTE(SUBSTITUTE(UPPER(TRIM(A392)),"[MEMBER]",""),"{MEMBER}",""),"[MEMBER}",""),"MEMBER]",""),"(A)",""),"""",""),"“",""),"”",""),".",""),":",""),",",""),"–"," "),"-"," "),"/"," "),"&amp;"," AND "))&amp;" "," THE "," ")," TOTAL "," ")," OPERATIONS "," "))</f>
        <v>CUBA</v>
      </c>
      <c r="O392" s="17" t="str">
        <f aca="false">IF(COUNTIFS($N$2:$N$2000,N392,$D$2:$D$2000,"&lt;&gt;"&amp;D392)&gt;0,"CONFLICT","")</f>
        <v/>
      </c>
      <c r="P392" s="7"/>
    </row>
    <row r="393" customFormat="false" ht="15" hidden="false" customHeight="false" outlineLevel="0" collapsed="false">
      <c r="A393" s="7" t="s">
        <v>514</v>
      </c>
      <c r="B393" s="7" t="s">
        <v>1879</v>
      </c>
      <c r="C393" s="7"/>
      <c r="D393" s="6" t="s">
        <v>514</v>
      </c>
      <c r="E393" s="6" t="s">
        <v>1880</v>
      </c>
      <c r="F393" s="7" t="str">
        <f aca="false">IF($D393="","",IFERROR(IF(INDEX(Hierarchy!$B$2:$B$1295,MATCH($D393,Hierarchy!$A$2:$A$1295,0))="","",INDEX(Hierarchy!$B$2:$B$1295,MATCH($D393,Hierarchy!$A$2:$A$1295,0))),"NODE NOT FOUND"))</f>
        <v>State/Province</v>
      </c>
      <c r="G393" s="7" t="str">
        <f aca="false">IF($D393="","",IFERROR(IF(INDEX(Hierarchy!$D$2:$D$1295,MATCH($D393,Hierarchy!$A$2:$A$1295,0))="","",INDEX(Hierarchy!$D$2:$D$1295,MATCH($D393,Hierarchy!$A$2:$A$1295,0))),"NODE NOT FOUND"))</f>
        <v>AMER</v>
      </c>
      <c r="H393" s="7" t="str">
        <f aca="false">IF($D393="","",IFERROR(IF(INDEX(Hierarchy!$E$2:$E$1295,MATCH($D393,Hierarchy!$A$2:$A$1295,0))="","",INDEX(Hierarchy!$E$2:$E$1295,MATCH($D393,Hierarchy!$A$2:$A$1295,0))),"NODE NOT FOUND"))</f>
        <v>Latin America (LATAM)</v>
      </c>
      <c r="I393" s="7" t="str">
        <f aca="false">IF($D393="","",IFERROR(IF(INDEX(Hierarchy!$F$2:$F$1295,MATCH($D393,Hierarchy!$A$2:$A$1295,0))="","",INDEX(Hierarchy!$F$2:$F$1295,MATCH($D393,Hierarchy!$A$2:$A$1295,0))),"NODE NOT FOUND"))</f>
        <v>Colombia</v>
      </c>
      <c r="J393" s="7" t="str">
        <f aca="false">IF($D393="","",IFERROR(IF(INDEX(Hierarchy!$G$2:$G$1295,MATCH($D393,Hierarchy!$A$2:$A$1295,0))="","",INDEX(Hierarchy!$G$2:$G$1295,MATCH($D393,Hierarchy!$A$2:$A$1295,0))),"NODE NOT FOUND"))</f>
        <v>COL</v>
      </c>
      <c r="K393" s="7" t="str">
        <f aca="false">IF($D393="","",IFERROR(IF(INDEX(Hierarchy!$H$2:$H$1295,MATCH($D393,Hierarchy!$A$2:$A$1295,0))="","",INDEX(Hierarchy!$H$2:$H$1295,MATCH($D393,Hierarchy!$A$2:$A$1295,0))),"NODE NOT FOUND"))</f>
        <v>Cundinamarca</v>
      </c>
      <c r="L393" s="7" t="str">
        <f aca="false">IF($D393="","",IFERROR(IF(INDEX(Hierarchy!$I$2:$I$1295,MATCH($D393,Hierarchy!$A$2:$A$1295,0))="","",INDEX(Hierarchy!$I$2:$I$1295,MATCH($D393,Hierarchy!$A$2:$A$1295,0))),"NODE NOT FOUND"))</f>
        <v/>
      </c>
      <c r="M393" s="17" t="str">
        <f aca="false">IF(B393="Pre-seeded","Pre-seeded",IF(B393="Review 2026-09-16","Added from review",IF(C393="","New",IF(C393=D393,"","Changed"))))</f>
        <v>Pre-seeded</v>
      </c>
      <c r="N393" s="7" t="str">
        <f aca="false">TRIM(SUBSTITUTE(SUBSTITUTE(SUBSTITUTE(" "&amp;TRIM(SUBSTITUTE(SUBSTITUTE(SUBSTITUTE(SUBSTITUTE(SUBSTITUTE(SUBSTITUTE(SUBSTITUTE(SUBSTITUTE(SUBSTITUTE(SUBSTITUTE(SUBSTITUTE(SUBSTITUTE(SUBSTITUTE(SUBSTITUTE(SUBSTITUTE(UPPER(TRIM(A393)),"[MEMBER]",""),"{MEMBER}",""),"[MEMBER}",""),"MEMBER]",""),"(A)",""),"""",""),"“",""),"”",""),".",""),":",""),",",""),"–"," "),"-"," "),"/"," "),"&amp;"," AND "))&amp;" "," THE "," ")," TOTAL "," ")," OPERATIONS "," "))</f>
        <v>CUNDINAMARCA</v>
      </c>
      <c r="O393" s="17" t="str">
        <f aca="false">IF(COUNTIFS($N$2:$N$2000,N393,$D$2:$D$2000,"&lt;&gt;"&amp;D393)&gt;0,"CONFLICT","")</f>
        <v/>
      </c>
      <c r="P393" s="7"/>
    </row>
    <row r="394" customFormat="false" ht="15" hidden="false" customHeight="false" outlineLevel="0" collapsed="false">
      <c r="A394" s="7" t="s">
        <v>2079</v>
      </c>
      <c r="B394" s="7" t="s">
        <v>1879</v>
      </c>
      <c r="C394" s="7"/>
      <c r="D394" s="6" t="s">
        <v>542</v>
      </c>
      <c r="E394" s="6" t="s">
        <v>1880</v>
      </c>
      <c r="F394" s="7" t="str">
        <f aca="false">IF($D394="","",IFERROR(IF(INDEX(Hierarchy!$B$2:$B$1295,MATCH($D394,Hierarchy!$A$2:$A$1295,0))="","",INDEX(Hierarchy!$B$2:$B$1295,MATCH($D394,Hierarchy!$A$2:$A$1295,0))),"NODE NOT FOUND"))</f>
        <v>Country</v>
      </c>
      <c r="G394" s="7" t="str">
        <f aca="false">IF($D394="","",IFERROR(IF(INDEX(Hierarchy!$D$2:$D$1295,MATCH($D394,Hierarchy!$A$2:$A$1295,0))="","",INDEX(Hierarchy!$D$2:$D$1295,MATCH($D394,Hierarchy!$A$2:$A$1295,0))),"NODE NOT FOUND"))</f>
        <v>AMER</v>
      </c>
      <c r="H394" s="7" t="str">
        <f aca="false">IF($D394="","",IFERROR(IF(INDEX(Hierarchy!$E$2:$E$1295,MATCH($D394,Hierarchy!$A$2:$A$1295,0))="","",INDEX(Hierarchy!$E$2:$E$1295,MATCH($D394,Hierarchy!$A$2:$A$1295,0))),"NODE NOT FOUND"))</f>
        <v>Latin America (LATAM)</v>
      </c>
      <c r="I394" s="7" t="str">
        <f aca="false">IF($D394="","",IFERROR(IF(INDEX(Hierarchy!$F$2:$F$1295,MATCH($D394,Hierarchy!$A$2:$A$1295,0))="","",INDEX(Hierarchy!$F$2:$F$1295,MATCH($D394,Hierarchy!$A$2:$A$1295,0))),"NODE NOT FOUND"))</f>
        <v>Curaçao</v>
      </c>
      <c r="J394" s="7" t="str">
        <f aca="false">IF($D394="","",IFERROR(IF(INDEX(Hierarchy!$G$2:$G$1295,MATCH($D394,Hierarchy!$A$2:$A$1295,0))="","",INDEX(Hierarchy!$G$2:$G$1295,MATCH($D394,Hierarchy!$A$2:$A$1295,0))),"NODE NOT FOUND"))</f>
        <v>CUW</v>
      </c>
      <c r="K394" s="7" t="str">
        <f aca="false">IF($D394="","",IFERROR(IF(INDEX(Hierarchy!$H$2:$H$1295,MATCH($D394,Hierarchy!$A$2:$A$1295,0))="","",INDEX(Hierarchy!$H$2:$H$1295,MATCH($D394,Hierarchy!$A$2:$A$1295,0))),"NODE NOT FOUND"))</f>
        <v/>
      </c>
      <c r="L394" s="7" t="str">
        <f aca="false">IF($D394="","",IFERROR(IF(INDEX(Hierarchy!$I$2:$I$1295,MATCH($D394,Hierarchy!$A$2:$A$1295,0))="","",INDEX(Hierarchy!$I$2:$I$1295,MATCH($D394,Hierarchy!$A$2:$A$1295,0))),"NODE NOT FOUND"))</f>
        <v/>
      </c>
      <c r="M394" s="17" t="str">
        <f aca="false">IF(B394="Pre-seeded","Pre-seeded",IF(B394="Review 2026-09-16","Added from review",IF(C394="","New",IF(C394=D394,"","Changed"))))</f>
        <v>Pre-seeded</v>
      </c>
      <c r="N394" s="7" t="str">
        <f aca="false">TRIM(SUBSTITUTE(SUBSTITUTE(SUBSTITUTE(" "&amp;TRIM(SUBSTITUTE(SUBSTITUTE(SUBSTITUTE(SUBSTITUTE(SUBSTITUTE(SUBSTITUTE(SUBSTITUTE(SUBSTITUTE(SUBSTITUTE(SUBSTITUTE(SUBSTITUTE(SUBSTITUTE(SUBSTITUTE(SUBSTITUTE(SUBSTITUTE(UPPER(TRIM(A394)),"[MEMBER]",""),"{MEMBER}",""),"[MEMBER}",""),"MEMBER]",""),"(A)",""),"""",""),"“",""),"”",""),".",""),":",""),",",""),"–"," "),"-"," "),"/"," "),"&amp;"," AND "))&amp;" "," THE "," ")," TOTAL "," ")," OPERATIONS "," "))</f>
        <v>CURACAO</v>
      </c>
      <c r="O394" s="17" t="str">
        <f aca="false">IF(COUNTIFS($N$2:$N$2000,N394,$D$2:$D$2000,"&lt;&gt;"&amp;D394)&gt;0,"CONFLICT","")</f>
        <v/>
      </c>
      <c r="P394" s="7"/>
    </row>
    <row r="395" customFormat="false" ht="15" hidden="false" customHeight="false" outlineLevel="0" collapsed="false">
      <c r="A395" s="7" t="s">
        <v>542</v>
      </c>
      <c r="B395" s="7" t="s">
        <v>1879</v>
      </c>
      <c r="C395" s="7"/>
      <c r="D395" s="6" t="s">
        <v>542</v>
      </c>
      <c r="E395" s="6" t="s">
        <v>1880</v>
      </c>
      <c r="F395" s="7" t="str">
        <f aca="false">IF($D395="","",IFERROR(IF(INDEX(Hierarchy!$B$2:$B$1295,MATCH($D395,Hierarchy!$A$2:$A$1295,0))="","",INDEX(Hierarchy!$B$2:$B$1295,MATCH($D395,Hierarchy!$A$2:$A$1295,0))),"NODE NOT FOUND"))</f>
        <v>Country</v>
      </c>
      <c r="G395" s="7" t="str">
        <f aca="false">IF($D395="","",IFERROR(IF(INDEX(Hierarchy!$D$2:$D$1295,MATCH($D395,Hierarchy!$A$2:$A$1295,0))="","",INDEX(Hierarchy!$D$2:$D$1295,MATCH($D395,Hierarchy!$A$2:$A$1295,0))),"NODE NOT FOUND"))</f>
        <v>AMER</v>
      </c>
      <c r="H395" s="7" t="str">
        <f aca="false">IF($D395="","",IFERROR(IF(INDEX(Hierarchy!$E$2:$E$1295,MATCH($D395,Hierarchy!$A$2:$A$1295,0))="","",INDEX(Hierarchy!$E$2:$E$1295,MATCH($D395,Hierarchy!$A$2:$A$1295,0))),"NODE NOT FOUND"))</f>
        <v>Latin America (LATAM)</v>
      </c>
      <c r="I395" s="7" t="str">
        <f aca="false">IF($D395="","",IFERROR(IF(INDEX(Hierarchy!$F$2:$F$1295,MATCH($D395,Hierarchy!$A$2:$A$1295,0))="","",INDEX(Hierarchy!$F$2:$F$1295,MATCH($D395,Hierarchy!$A$2:$A$1295,0))),"NODE NOT FOUND"))</f>
        <v>Curaçao</v>
      </c>
      <c r="J395" s="7" t="str">
        <f aca="false">IF($D395="","",IFERROR(IF(INDEX(Hierarchy!$G$2:$G$1295,MATCH($D395,Hierarchy!$A$2:$A$1295,0))="","",INDEX(Hierarchy!$G$2:$G$1295,MATCH($D395,Hierarchy!$A$2:$A$1295,0))),"NODE NOT FOUND"))</f>
        <v>CUW</v>
      </c>
      <c r="K395" s="7" t="str">
        <f aca="false">IF($D395="","",IFERROR(IF(INDEX(Hierarchy!$H$2:$H$1295,MATCH($D395,Hierarchy!$A$2:$A$1295,0))="","",INDEX(Hierarchy!$H$2:$H$1295,MATCH($D395,Hierarchy!$A$2:$A$1295,0))),"NODE NOT FOUND"))</f>
        <v/>
      </c>
      <c r="L395" s="7" t="str">
        <f aca="false">IF($D395="","",IFERROR(IF(INDEX(Hierarchy!$I$2:$I$1295,MATCH($D395,Hierarchy!$A$2:$A$1295,0))="","",INDEX(Hierarchy!$I$2:$I$1295,MATCH($D395,Hierarchy!$A$2:$A$1295,0))),"NODE NOT FOUND"))</f>
        <v/>
      </c>
      <c r="M395" s="17" t="str">
        <f aca="false">IF(B395="Pre-seeded","Pre-seeded",IF(B395="Review 2026-09-16","Added from review",IF(C395="","New",IF(C395=D395,"","Changed"))))</f>
        <v>Pre-seeded</v>
      </c>
      <c r="N395" s="7" t="str">
        <f aca="false">TRIM(SUBSTITUTE(SUBSTITUTE(SUBSTITUTE(" "&amp;TRIM(SUBSTITUTE(SUBSTITUTE(SUBSTITUTE(SUBSTITUTE(SUBSTITUTE(SUBSTITUTE(SUBSTITUTE(SUBSTITUTE(SUBSTITUTE(SUBSTITUTE(SUBSTITUTE(SUBSTITUTE(SUBSTITUTE(SUBSTITUTE(SUBSTITUTE(UPPER(TRIM(A395)),"[MEMBER]",""),"{MEMBER}",""),"[MEMBER}",""),"MEMBER]",""),"(A)",""),"""",""),"“",""),"”",""),".",""),":",""),",",""),"–"," "),"-"," "),"/"," "),"&amp;"," AND "))&amp;" "," THE "," ")," TOTAL "," ")," OPERATIONS "," "))</f>
        <v>CURAÇAO</v>
      </c>
      <c r="O395" s="17" t="str">
        <f aca="false">IF(COUNTIFS($N$2:$N$2000,N395,$D$2:$D$2000,"&lt;&gt;"&amp;D395)&gt;0,"CONFLICT","")</f>
        <v/>
      </c>
      <c r="P395" s="7"/>
    </row>
    <row r="396" customFormat="false" ht="15" hidden="false" customHeight="false" outlineLevel="0" collapsed="false">
      <c r="A396" s="7" t="s">
        <v>2080</v>
      </c>
      <c r="B396" s="7" t="s">
        <v>1882</v>
      </c>
      <c r="C396" s="7" t="s">
        <v>780</v>
      </c>
      <c r="D396" s="6" t="s">
        <v>780</v>
      </c>
      <c r="E396" s="6" t="s">
        <v>1880</v>
      </c>
      <c r="F396" s="7" t="str">
        <f aca="false">IF($D396="","",IFERROR(IF(INDEX(Hierarchy!$B$2:$B$1295,MATCH($D396,Hierarchy!$A$2:$A$1295,0))="","",INDEX(Hierarchy!$B$2:$B$1295,MATCH($D396,Hierarchy!$A$2:$A$1295,0))),"NODE NOT FOUND"))</f>
        <v>Country</v>
      </c>
      <c r="G396" s="7" t="str">
        <f aca="false">IF($D396="","",IFERROR(IF(INDEX(Hierarchy!$D$2:$D$1295,MATCH($D396,Hierarchy!$A$2:$A$1295,0))="","",INDEX(Hierarchy!$D$2:$D$1295,MATCH($D396,Hierarchy!$A$2:$A$1295,0))),"NODE NOT FOUND"))</f>
        <v>EMEA</v>
      </c>
      <c r="H396" s="7" t="str">
        <f aca="false">IF($D396="","",IFERROR(IF(INDEX(Hierarchy!$E$2:$E$1295,MATCH($D396,Hierarchy!$A$2:$A$1295,0))="","",INDEX(Hierarchy!$E$2:$E$1295,MATCH($D396,Hierarchy!$A$2:$A$1295,0))),"NODE NOT FOUND"))</f>
        <v>Europe</v>
      </c>
      <c r="I396" s="7" t="str">
        <f aca="false">IF($D396="","",IFERROR(IF(INDEX(Hierarchy!$F$2:$F$1295,MATCH($D396,Hierarchy!$A$2:$A$1295,0))="","",INDEX(Hierarchy!$F$2:$F$1295,MATCH($D396,Hierarchy!$A$2:$A$1295,0))),"NODE NOT FOUND"))</f>
        <v>Cyprus</v>
      </c>
      <c r="J396" s="7" t="str">
        <f aca="false">IF($D396="","",IFERROR(IF(INDEX(Hierarchy!$G$2:$G$1295,MATCH($D396,Hierarchy!$A$2:$A$1295,0))="","",INDEX(Hierarchy!$G$2:$G$1295,MATCH($D396,Hierarchy!$A$2:$A$1295,0))),"NODE NOT FOUND"))</f>
        <v>CYP</v>
      </c>
      <c r="K396" s="7" t="str">
        <f aca="false">IF($D396="","",IFERROR(IF(INDEX(Hierarchy!$H$2:$H$1295,MATCH($D396,Hierarchy!$A$2:$A$1295,0))="","",INDEX(Hierarchy!$H$2:$H$1295,MATCH($D396,Hierarchy!$A$2:$A$1295,0))),"NODE NOT FOUND"))</f>
        <v/>
      </c>
      <c r="L396" s="7" t="str">
        <f aca="false">IF($D396="","",IFERROR(IF(INDEX(Hierarchy!$I$2:$I$1295,MATCH($D396,Hierarchy!$A$2:$A$1295,0))="","",INDEX(Hierarchy!$I$2:$I$1295,MATCH($D396,Hierarchy!$A$2:$A$1295,0))),"NODE NOT FOUND"))</f>
        <v/>
      </c>
      <c r="M396" s="17" t="str">
        <f aca="false">IF(B396="Pre-seeded","Pre-seeded",IF(B396="Review 2026-09-16","Added from review",IF(C396="","New",IF(C396=D396,"","Changed"))))</f>
        <v/>
      </c>
      <c r="N396" s="7" t="str">
        <f aca="false">TRIM(SUBSTITUTE(SUBSTITUTE(SUBSTITUTE(" "&amp;TRIM(SUBSTITUTE(SUBSTITUTE(SUBSTITUTE(SUBSTITUTE(SUBSTITUTE(SUBSTITUTE(SUBSTITUTE(SUBSTITUTE(SUBSTITUTE(SUBSTITUTE(SUBSTITUTE(SUBSTITUTE(SUBSTITUTE(SUBSTITUTE(SUBSTITUTE(UPPER(TRIM(A396)),"[MEMBER]",""),"{MEMBER}",""),"[MEMBER}",""),"MEMBER]",""),"(A)",""),"""",""),"“",""),"”",""),".",""),":",""),",",""),"–"," "),"-"," "),"/"," "),"&amp;"," AND "))&amp;" "," THE "," ")," TOTAL "," ")," OPERATIONS "," "))</f>
        <v>CYPRUS</v>
      </c>
      <c r="O396" s="17" t="str">
        <f aca="false">IF(COUNTIFS($N$2:$N$2000,N396,$D$2:$D$2000,"&lt;&gt;"&amp;D396)&gt;0,"CONFLICT","")</f>
        <v/>
      </c>
      <c r="P396" s="7"/>
    </row>
    <row r="397" customFormat="false" ht="15" hidden="false" customHeight="false" outlineLevel="0" collapsed="false">
      <c r="A397" s="7" t="s">
        <v>780</v>
      </c>
      <c r="B397" s="7" t="s">
        <v>1882</v>
      </c>
      <c r="C397" s="7" t="s">
        <v>780</v>
      </c>
      <c r="D397" s="6" t="s">
        <v>780</v>
      </c>
      <c r="E397" s="6" t="s">
        <v>1880</v>
      </c>
      <c r="F397" s="7" t="str">
        <f aca="false">IF($D397="","",IFERROR(IF(INDEX(Hierarchy!$B$2:$B$1295,MATCH($D397,Hierarchy!$A$2:$A$1295,0))="","",INDEX(Hierarchy!$B$2:$B$1295,MATCH($D397,Hierarchy!$A$2:$A$1295,0))),"NODE NOT FOUND"))</f>
        <v>Country</v>
      </c>
      <c r="G397" s="7" t="str">
        <f aca="false">IF($D397="","",IFERROR(IF(INDEX(Hierarchy!$D$2:$D$1295,MATCH($D397,Hierarchy!$A$2:$A$1295,0))="","",INDEX(Hierarchy!$D$2:$D$1295,MATCH($D397,Hierarchy!$A$2:$A$1295,0))),"NODE NOT FOUND"))</f>
        <v>EMEA</v>
      </c>
      <c r="H397" s="7" t="str">
        <f aca="false">IF($D397="","",IFERROR(IF(INDEX(Hierarchy!$E$2:$E$1295,MATCH($D397,Hierarchy!$A$2:$A$1295,0))="","",INDEX(Hierarchy!$E$2:$E$1295,MATCH($D397,Hierarchy!$A$2:$A$1295,0))),"NODE NOT FOUND"))</f>
        <v>Europe</v>
      </c>
      <c r="I397" s="7" t="str">
        <f aca="false">IF($D397="","",IFERROR(IF(INDEX(Hierarchy!$F$2:$F$1295,MATCH($D397,Hierarchy!$A$2:$A$1295,0))="","",INDEX(Hierarchy!$F$2:$F$1295,MATCH($D397,Hierarchy!$A$2:$A$1295,0))),"NODE NOT FOUND"))</f>
        <v>Cyprus</v>
      </c>
      <c r="J397" s="7" t="str">
        <f aca="false">IF($D397="","",IFERROR(IF(INDEX(Hierarchy!$G$2:$G$1295,MATCH($D397,Hierarchy!$A$2:$A$1295,0))="","",INDEX(Hierarchy!$G$2:$G$1295,MATCH($D397,Hierarchy!$A$2:$A$1295,0))),"NODE NOT FOUND"))</f>
        <v>CYP</v>
      </c>
      <c r="K397" s="7" t="str">
        <f aca="false">IF($D397="","",IFERROR(IF(INDEX(Hierarchy!$H$2:$H$1295,MATCH($D397,Hierarchy!$A$2:$A$1295,0))="","",INDEX(Hierarchy!$H$2:$H$1295,MATCH($D397,Hierarchy!$A$2:$A$1295,0))),"NODE NOT FOUND"))</f>
        <v/>
      </c>
      <c r="L397" s="7" t="str">
        <f aca="false">IF($D397="","",IFERROR(IF(INDEX(Hierarchy!$I$2:$I$1295,MATCH($D397,Hierarchy!$A$2:$A$1295,0))="","",INDEX(Hierarchy!$I$2:$I$1295,MATCH($D397,Hierarchy!$A$2:$A$1295,0))),"NODE NOT FOUND"))</f>
        <v/>
      </c>
      <c r="M397" s="17" t="str">
        <f aca="false">IF(B397="Pre-seeded","Pre-seeded",IF(B397="Review 2026-09-16","Added from review",IF(C397="","New",IF(C397=D397,"","Changed"))))</f>
        <v/>
      </c>
      <c r="N397" s="7" t="str">
        <f aca="false">TRIM(SUBSTITUTE(SUBSTITUTE(SUBSTITUTE(" "&amp;TRIM(SUBSTITUTE(SUBSTITUTE(SUBSTITUTE(SUBSTITUTE(SUBSTITUTE(SUBSTITUTE(SUBSTITUTE(SUBSTITUTE(SUBSTITUTE(SUBSTITUTE(SUBSTITUTE(SUBSTITUTE(SUBSTITUTE(SUBSTITUTE(SUBSTITUTE(UPPER(TRIM(A397)),"[MEMBER]",""),"{MEMBER}",""),"[MEMBER}",""),"MEMBER]",""),"(A)",""),"""",""),"“",""),"”",""),".",""),":",""),",",""),"–"," "),"-"," "),"/"," "),"&amp;"," AND "))&amp;" "," THE "," ")," TOTAL "," ")," OPERATIONS "," "))</f>
        <v>CYPRUS</v>
      </c>
      <c r="O397" s="17" t="str">
        <f aca="false">IF(COUNTIFS($N$2:$N$2000,N397,$D$2:$D$2000,"&lt;&gt;"&amp;D397)&gt;0,"CONFLICT","")</f>
        <v/>
      </c>
      <c r="P397" s="7"/>
    </row>
    <row r="398" customFormat="false" ht="15" hidden="false" customHeight="false" outlineLevel="0" collapsed="false">
      <c r="A398" s="7" t="s">
        <v>783</v>
      </c>
      <c r="B398" s="7" t="s">
        <v>1882</v>
      </c>
      <c r="C398" s="7" t="s">
        <v>783</v>
      </c>
      <c r="D398" s="6" t="s">
        <v>783</v>
      </c>
      <c r="E398" s="6" t="s">
        <v>1880</v>
      </c>
      <c r="F398" s="7" t="str">
        <f aca="false">IF($D398="","",IFERROR(IF(INDEX(Hierarchy!$B$2:$B$1295,MATCH($D398,Hierarchy!$A$2:$A$1295,0))="","",INDEX(Hierarchy!$B$2:$B$1295,MATCH($D398,Hierarchy!$A$2:$A$1295,0))),"NODE NOT FOUND"))</f>
        <v>Country</v>
      </c>
      <c r="G398" s="7" t="str">
        <f aca="false">IF($D398="","",IFERROR(IF(INDEX(Hierarchy!$D$2:$D$1295,MATCH($D398,Hierarchy!$A$2:$A$1295,0))="","",INDEX(Hierarchy!$D$2:$D$1295,MATCH($D398,Hierarchy!$A$2:$A$1295,0))),"NODE NOT FOUND"))</f>
        <v>EMEA</v>
      </c>
      <c r="H398" s="7" t="str">
        <f aca="false">IF($D398="","",IFERROR(IF(INDEX(Hierarchy!$E$2:$E$1295,MATCH($D398,Hierarchy!$A$2:$A$1295,0))="","",INDEX(Hierarchy!$E$2:$E$1295,MATCH($D398,Hierarchy!$A$2:$A$1295,0))),"NODE NOT FOUND"))</f>
        <v>Europe</v>
      </c>
      <c r="I398" s="7" t="str">
        <f aca="false">IF($D398="","",IFERROR(IF(INDEX(Hierarchy!$F$2:$F$1295,MATCH($D398,Hierarchy!$A$2:$A$1295,0))="","",INDEX(Hierarchy!$F$2:$F$1295,MATCH($D398,Hierarchy!$A$2:$A$1295,0))),"NODE NOT FOUND"))</f>
        <v>Czech Republic</v>
      </c>
      <c r="J398" s="7" t="str">
        <f aca="false">IF($D398="","",IFERROR(IF(INDEX(Hierarchy!$G$2:$G$1295,MATCH($D398,Hierarchy!$A$2:$A$1295,0))="","",INDEX(Hierarchy!$G$2:$G$1295,MATCH($D398,Hierarchy!$A$2:$A$1295,0))),"NODE NOT FOUND"))</f>
        <v>CZE</v>
      </c>
      <c r="K398" s="7" t="str">
        <f aca="false">IF($D398="","",IFERROR(IF(INDEX(Hierarchy!$H$2:$H$1295,MATCH($D398,Hierarchy!$A$2:$A$1295,0))="","",INDEX(Hierarchy!$H$2:$H$1295,MATCH($D398,Hierarchy!$A$2:$A$1295,0))),"NODE NOT FOUND"))</f>
        <v/>
      </c>
      <c r="L398" s="7" t="str">
        <f aca="false">IF($D398="","",IFERROR(IF(INDEX(Hierarchy!$I$2:$I$1295,MATCH($D398,Hierarchy!$A$2:$A$1295,0))="","",INDEX(Hierarchy!$I$2:$I$1295,MATCH($D398,Hierarchy!$A$2:$A$1295,0))),"NODE NOT FOUND"))</f>
        <v/>
      </c>
      <c r="M398" s="17" t="str">
        <f aca="false">IF(B398="Pre-seeded","Pre-seeded",IF(B398="Review 2026-09-16","Added from review",IF(C398="","New",IF(C398=D398,"","Changed"))))</f>
        <v/>
      </c>
      <c r="N398" s="7" t="str">
        <f aca="false">TRIM(SUBSTITUTE(SUBSTITUTE(SUBSTITUTE(" "&amp;TRIM(SUBSTITUTE(SUBSTITUTE(SUBSTITUTE(SUBSTITUTE(SUBSTITUTE(SUBSTITUTE(SUBSTITUTE(SUBSTITUTE(SUBSTITUTE(SUBSTITUTE(SUBSTITUTE(SUBSTITUTE(SUBSTITUTE(SUBSTITUTE(SUBSTITUTE(UPPER(TRIM(A398)),"[MEMBER]",""),"{MEMBER}",""),"[MEMBER}",""),"MEMBER]",""),"(A)",""),"""",""),"“",""),"”",""),".",""),":",""),",",""),"–"," "),"-"," "),"/"," "),"&amp;"," AND "))&amp;" "," THE "," ")," TOTAL "," ")," OPERATIONS "," "))</f>
        <v>CZECH REPUBLIC</v>
      </c>
      <c r="O398" s="17" t="str">
        <f aca="false">IF(COUNTIFS($N$2:$N$2000,N398,$D$2:$D$2000,"&lt;&gt;"&amp;D398)&gt;0,"CONFLICT","")</f>
        <v/>
      </c>
      <c r="P398" s="7"/>
    </row>
    <row r="399" customFormat="false" ht="15" hidden="false" customHeight="false" outlineLevel="0" collapsed="false">
      <c r="A399" s="7" t="s">
        <v>2081</v>
      </c>
      <c r="B399" s="7" t="s">
        <v>1879</v>
      </c>
      <c r="C399" s="7"/>
      <c r="D399" s="6" t="s">
        <v>783</v>
      </c>
      <c r="E399" s="6" t="s">
        <v>1880</v>
      </c>
      <c r="F399" s="7" t="str">
        <f aca="false">IF($D399="","",IFERROR(IF(INDEX(Hierarchy!$B$2:$B$1295,MATCH($D399,Hierarchy!$A$2:$A$1295,0))="","",INDEX(Hierarchy!$B$2:$B$1295,MATCH($D399,Hierarchy!$A$2:$A$1295,0))),"NODE NOT FOUND"))</f>
        <v>Country</v>
      </c>
      <c r="G399" s="7" t="str">
        <f aca="false">IF($D399="","",IFERROR(IF(INDEX(Hierarchy!$D$2:$D$1295,MATCH($D399,Hierarchy!$A$2:$A$1295,0))="","",INDEX(Hierarchy!$D$2:$D$1295,MATCH($D399,Hierarchy!$A$2:$A$1295,0))),"NODE NOT FOUND"))</f>
        <v>EMEA</v>
      </c>
      <c r="H399" s="7" t="str">
        <f aca="false">IF($D399="","",IFERROR(IF(INDEX(Hierarchy!$E$2:$E$1295,MATCH($D399,Hierarchy!$A$2:$A$1295,0))="","",INDEX(Hierarchy!$E$2:$E$1295,MATCH($D399,Hierarchy!$A$2:$A$1295,0))),"NODE NOT FOUND"))</f>
        <v>Europe</v>
      </c>
      <c r="I399" s="7" t="str">
        <f aca="false">IF($D399="","",IFERROR(IF(INDEX(Hierarchy!$F$2:$F$1295,MATCH($D399,Hierarchy!$A$2:$A$1295,0))="","",INDEX(Hierarchy!$F$2:$F$1295,MATCH($D399,Hierarchy!$A$2:$A$1295,0))),"NODE NOT FOUND"))</f>
        <v>Czech Republic</v>
      </c>
      <c r="J399" s="7" t="str">
        <f aca="false">IF($D399="","",IFERROR(IF(INDEX(Hierarchy!$G$2:$G$1295,MATCH($D399,Hierarchy!$A$2:$A$1295,0))="","",INDEX(Hierarchy!$G$2:$G$1295,MATCH($D399,Hierarchy!$A$2:$A$1295,0))),"NODE NOT FOUND"))</f>
        <v>CZE</v>
      </c>
      <c r="K399" s="7" t="str">
        <f aca="false">IF($D399="","",IFERROR(IF(INDEX(Hierarchy!$H$2:$H$1295,MATCH($D399,Hierarchy!$A$2:$A$1295,0))="","",INDEX(Hierarchy!$H$2:$H$1295,MATCH($D399,Hierarchy!$A$2:$A$1295,0))),"NODE NOT FOUND"))</f>
        <v/>
      </c>
      <c r="L399" s="7" t="str">
        <f aca="false">IF($D399="","",IFERROR(IF(INDEX(Hierarchy!$I$2:$I$1295,MATCH($D399,Hierarchy!$A$2:$A$1295,0))="","",INDEX(Hierarchy!$I$2:$I$1295,MATCH($D399,Hierarchy!$A$2:$A$1295,0))),"NODE NOT FOUND"))</f>
        <v/>
      </c>
      <c r="M399" s="17" t="str">
        <f aca="false">IF(B399="Pre-seeded","Pre-seeded",IF(B399="Review 2026-09-16","Added from review",IF(C399="","New",IF(C399=D399,"","Changed"))))</f>
        <v>Pre-seeded</v>
      </c>
      <c r="N399" s="7" t="str">
        <f aca="false">TRIM(SUBSTITUTE(SUBSTITUTE(SUBSTITUTE(" "&amp;TRIM(SUBSTITUTE(SUBSTITUTE(SUBSTITUTE(SUBSTITUTE(SUBSTITUTE(SUBSTITUTE(SUBSTITUTE(SUBSTITUTE(SUBSTITUTE(SUBSTITUTE(SUBSTITUTE(SUBSTITUTE(SUBSTITUTE(SUBSTITUTE(SUBSTITUTE(UPPER(TRIM(A399)),"[MEMBER]",""),"{MEMBER}",""),"[MEMBER}",""),"MEMBER]",""),"(A)",""),"""",""),"“",""),"”",""),".",""),":",""),",",""),"–"," "),"-"," "),"/"," "),"&amp;"," AND "))&amp;" "," THE "," ")," TOTAL "," ")," OPERATIONS "," "))</f>
        <v>CZECHIA</v>
      </c>
      <c r="O399" s="17" t="str">
        <f aca="false">IF(COUNTIFS($N$2:$N$2000,N399,$D$2:$D$2000,"&lt;&gt;"&amp;D399)&gt;0,"CONFLICT","")</f>
        <v/>
      </c>
      <c r="P399" s="7" t="s">
        <v>1936</v>
      </c>
    </row>
    <row r="400" customFormat="false" ht="15" hidden="false" customHeight="false" outlineLevel="0" collapsed="false">
      <c r="A400" s="7" t="s">
        <v>515</v>
      </c>
      <c r="B400" s="7" t="s">
        <v>1879</v>
      </c>
      <c r="C400" s="7"/>
      <c r="D400" s="6" t="s">
        <v>515</v>
      </c>
      <c r="E400" s="6" t="s">
        <v>1880</v>
      </c>
      <c r="F400" s="7" t="str">
        <f aca="false">IF($D400="","",IFERROR(IF(INDEX(Hierarchy!$B$2:$B$1295,MATCH($D400,Hierarchy!$A$2:$A$1295,0))="","",INDEX(Hierarchy!$B$2:$B$1295,MATCH($D400,Hierarchy!$A$2:$A$1295,0))),"NODE NOT FOUND"))</f>
        <v>State/Province</v>
      </c>
      <c r="G400" s="7" t="str">
        <f aca="false">IF($D400="","",IFERROR(IF(INDEX(Hierarchy!$D$2:$D$1295,MATCH($D400,Hierarchy!$A$2:$A$1295,0))="","",INDEX(Hierarchy!$D$2:$D$1295,MATCH($D400,Hierarchy!$A$2:$A$1295,0))),"NODE NOT FOUND"))</f>
        <v>AMER</v>
      </c>
      <c r="H400" s="7" t="str">
        <f aca="false">IF($D400="","",IFERROR(IF(INDEX(Hierarchy!$E$2:$E$1295,MATCH($D400,Hierarchy!$A$2:$A$1295,0))="","",INDEX(Hierarchy!$E$2:$E$1295,MATCH($D400,Hierarchy!$A$2:$A$1295,0))),"NODE NOT FOUND"))</f>
        <v>Latin America (LATAM)</v>
      </c>
      <c r="I400" s="7" t="str">
        <f aca="false">IF($D400="","",IFERROR(IF(INDEX(Hierarchy!$F$2:$F$1295,MATCH($D400,Hierarchy!$A$2:$A$1295,0))="","",INDEX(Hierarchy!$F$2:$F$1295,MATCH($D400,Hierarchy!$A$2:$A$1295,0))),"NODE NOT FOUND"))</f>
        <v>Colombia</v>
      </c>
      <c r="J400" s="7" t="str">
        <f aca="false">IF($D400="","",IFERROR(IF(INDEX(Hierarchy!$G$2:$G$1295,MATCH($D400,Hierarchy!$A$2:$A$1295,0))="","",INDEX(Hierarchy!$G$2:$G$1295,MATCH($D400,Hierarchy!$A$2:$A$1295,0))),"NODE NOT FOUND"))</f>
        <v>COL</v>
      </c>
      <c r="K400" s="7" t="str">
        <f aca="false">IF($D400="","",IFERROR(IF(INDEX(Hierarchy!$H$2:$H$1295,MATCH($D400,Hierarchy!$A$2:$A$1295,0))="","",INDEX(Hierarchy!$H$2:$H$1295,MATCH($D400,Hierarchy!$A$2:$A$1295,0))),"NODE NOT FOUND"))</f>
        <v>Córdoba (Colombia)</v>
      </c>
      <c r="L400" s="7" t="str">
        <f aca="false">IF($D400="","",IFERROR(IF(INDEX(Hierarchy!$I$2:$I$1295,MATCH($D400,Hierarchy!$A$2:$A$1295,0))="","",INDEX(Hierarchy!$I$2:$I$1295,MATCH($D400,Hierarchy!$A$2:$A$1295,0))),"NODE NOT FOUND"))</f>
        <v/>
      </c>
      <c r="M400" s="17" t="str">
        <f aca="false">IF(B400="Pre-seeded","Pre-seeded",IF(B400="Review 2026-09-16","Added from review",IF(C400="","New",IF(C400=D400,"","Changed"))))</f>
        <v>Pre-seeded</v>
      </c>
      <c r="N400" s="7" t="str">
        <f aca="false">TRIM(SUBSTITUTE(SUBSTITUTE(SUBSTITUTE(" "&amp;TRIM(SUBSTITUTE(SUBSTITUTE(SUBSTITUTE(SUBSTITUTE(SUBSTITUTE(SUBSTITUTE(SUBSTITUTE(SUBSTITUTE(SUBSTITUTE(SUBSTITUTE(SUBSTITUTE(SUBSTITUTE(SUBSTITUTE(SUBSTITUTE(SUBSTITUTE(UPPER(TRIM(A400)),"[MEMBER]",""),"{MEMBER}",""),"[MEMBER}",""),"MEMBER]",""),"(A)",""),"""",""),"“",""),"”",""),".",""),":",""),",",""),"–"," "),"-"," "),"/"," "),"&amp;"," AND "))&amp;" "," THE "," ")," TOTAL "," ")," OPERATIONS "," "))</f>
        <v>CÓRDOBA (COLOMBIA)</v>
      </c>
      <c r="O400" s="17" t="str">
        <f aca="false">IF(COUNTIFS($N$2:$N$2000,N400,$D$2:$D$2000,"&lt;&gt;"&amp;D400)&gt;0,"CONFLICT","")</f>
        <v/>
      </c>
      <c r="P400" s="7"/>
    </row>
    <row r="401" customFormat="false" ht="15" hidden="false" customHeight="false" outlineLevel="0" collapsed="false">
      <c r="A401" s="7" t="s">
        <v>435</v>
      </c>
      <c r="B401" s="7" t="s">
        <v>1879</v>
      </c>
      <c r="C401" s="7"/>
      <c r="D401" s="6" t="s">
        <v>435</v>
      </c>
      <c r="E401" s="6" t="s">
        <v>1880</v>
      </c>
      <c r="F401" s="7" t="str">
        <f aca="false">IF($D401="","",IFERROR(IF(INDEX(Hierarchy!$B$2:$B$1295,MATCH($D401,Hierarchy!$A$2:$A$1295,0))="","",INDEX(Hierarchy!$B$2:$B$1295,MATCH($D401,Hierarchy!$A$2:$A$1295,0))),"NODE NOT FOUND"))</f>
        <v>State/Province</v>
      </c>
      <c r="G401" s="7" t="str">
        <f aca="false">IF($D401="","",IFERROR(IF(INDEX(Hierarchy!$D$2:$D$1295,MATCH($D401,Hierarchy!$A$2:$A$1295,0))="","",INDEX(Hierarchy!$D$2:$D$1295,MATCH($D401,Hierarchy!$A$2:$A$1295,0))),"NODE NOT FOUND"))</f>
        <v>AMER</v>
      </c>
      <c r="H401" s="7" t="str">
        <f aca="false">IF($D401="","",IFERROR(IF(INDEX(Hierarchy!$E$2:$E$1295,MATCH($D401,Hierarchy!$A$2:$A$1295,0))="","",INDEX(Hierarchy!$E$2:$E$1295,MATCH($D401,Hierarchy!$A$2:$A$1295,0))),"NODE NOT FOUND"))</f>
        <v>Latin America (LATAM)</v>
      </c>
      <c r="I401" s="7" t="str">
        <f aca="false">IF($D401="","",IFERROR(IF(INDEX(Hierarchy!$F$2:$F$1295,MATCH($D401,Hierarchy!$A$2:$A$1295,0))="","",INDEX(Hierarchy!$F$2:$F$1295,MATCH($D401,Hierarchy!$A$2:$A$1295,0))),"NODE NOT FOUND"))</f>
        <v>Argentina</v>
      </c>
      <c r="J401" s="7" t="str">
        <f aca="false">IF($D401="","",IFERROR(IF(INDEX(Hierarchy!$G$2:$G$1295,MATCH($D401,Hierarchy!$A$2:$A$1295,0))="","",INDEX(Hierarchy!$G$2:$G$1295,MATCH($D401,Hierarchy!$A$2:$A$1295,0))),"NODE NOT FOUND"))</f>
        <v>ARG</v>
      </c>
      <c r="K401" s="7" t="str">
        <f aca="false">IF($D401="","",IFERROR(IF(INDEX(Hierarchy!$H$2:$H$1295,MATCH($D401,Hierarchy!$A$2:$A$1295,0))="","",INDEX(Hierarchy!$H$2:$H$1295,MATCH($D401,Hierarchy!$A$2:$A$1295,0))),"NODE NOT FOUND"))</f>
        <v>Córdoba Province (Argentina)</v>
      </c>
      <c r="L401" s="7" t="str">
        <f aca="false">IF($D401="","",IFERROR(IF(INDEX(Hierarchy!$I$2:$I$1295,MATCH($D401,Hierarchy!$A$2:$A$1295,0))="","",INDEX(Hierarchy!$I$2:$I$1295,MATCH($D401,Hierarchy!$A$2:$A$1295,0))),"NODE NOT FOUND"))</f>
        <v/>
      </c>
      <c r="M401" s="17" t="str">
        <f aca="false">IF(B401="Pre-seeded","Pre-seeded",IF(B401="Review 2026-09-16","Added from review",IF(C401="","New",IF(C401=D401,"","Changed"))))</f>
        <v>Pre-seeded</v>
      </c>
      <c r="N401" s="7" t="str">
        <f aca="false">TRIM(SUBSTITUTE(SUBSTITUTE(SUBSTITUTE(" "&amp;TRIM(SUBSTITUTE(SUBSTITUTE(SUBSTITUTE(SUBSTITUTE(SUBSTITUTE(SUBSTITUTE(SUBSTITUTE(SUBSTITUTE(SUBSTITUTE(SUBSTITUTE(SUBSTITUTE(SUBSTITUTE(SUBSTITUTE(SUBSTITUTE(SUBSTITUTE(UPPER(TRIM(A401)),"[MEMBER]",""),"{MEMBER}",""),"[MEMBER}",""),"MEMBER]",""),"(A)",""),"""",""),"“",""),"”",""),".",""),":",""),",",""),"–"," "),"-"," "),"/"," "),"&amp;"," AND "))&amp;" "," THE "," ")," TOTAL "," ")," OPERATIONS "," "))</f>
        <v>CÓRDOBA PROVINCE (ARGENTINA)</v>
      </c>
      <c r="O401" s="17" t="str">
        <f aca="false">IF(COUNTIFS($N$2:$N$2000,N401,$D$2:$D$2000,"&lt;&gt;"&amp;D401)&gt;0,"CONFLICT","")</f>
        <v/>
      </c>
      <c r="P401" s="7"/>
    </row>
    <row r="402" customFormat="false" ht="15" hidden="false" customHeight="false" outlineLevel="0" collapsed="false">
      <c r="A402" s="7" t="s">
        <v>2082</v>
      </c>
      <c r="B402" s="7" t="s">
        <v>1879</v>
      </c>
      <c r="C402" s="7"/>
      <c r="D402" s="6" t="s">
        <v>1205</v>
      </c>
      <c r="E402" s="6" t="s">
        <v>1880</v>
      </c>
      <c r="F402" s="7" t="str">
        <f aca="false">IF($D402="","",IFERROR(IF(INDEX(Hierarchy!$B$2:$B$1295,MATCH($D402,Hierarchy!$A$2:$A$1295,0))="","",INDEX(Hierarchy!$B$2:$B$1295,MATCH($D402,Hierarchy!$A$2:$A$1295,0))),"NODE NOT FOUND"))</f>
        <v>Country</v>
      </c>
      <c r="G402" s="7" t="str">
        <f aca="false">IF($D402="","",IFERROR(IF(INDEX(Hierarchy!$D$2:$D$1295,MATCH($D402,Hierarchy!$A$2:$A$1295,0))="","",INDEX(Hierarchy!$D$2:$D$1295,MATCH($D402,Hierarchy!$A$2:$A$1295,0))),"NODE NOT FOUND"))</f>
        <v>EMEA</v>
      </c>
      <c r="H402" s="7" t="str">
        <f aca="false">IF($D402="","",IFERROR(IF(INDEX(Hierarchy!$E$2:$E$1295,MATCH($D402,Hierarchy!$A$2:$A$1295,0))="","",INDEX(Hierarchy!$E$2:$E$1295,MATCH($D402,Hierarchy!$A$2:$A$1295,0))),"NODE NOT FOUND"))</f>
        <v>Africa</v>
      </c>
      <c r="I402" s="7" t="str">
        <f aca="false">IF($D402="","",IFERROR(IF(INDEX(Hierarchy!$F$2:$F$1295,MATCH($D402,Hierarchy!$A$2:$A$1295,0))="","",INDEX(Hierarchy!$F$2:$F$1295,MATCH($D402,Hierarchy!$A$2:$A$1295,0))),"NODE NOT FOUND"))</f>
        <v>Côte d'Ivoire (Ivory Coast)</v>
      </c>
      <c r="J402" s="7" t="str">
        <f aca="false">IF($D402="","",IFERROR(IF(INDEX(Hierarchy!$G$2:$G$1295,MATCH($D402,Hierarchy!$A$2:$A$1295,0))="","",INDEX(Hierarchy!$G$2:$G$1295,MATCH($D402,Hierarchy!$A$2:$A$1295,0))),"NODE NOT FOUND"))</f>
        <v>CIV</v>
      </c>
      <c r="K402" s="7" t="str">
        <f aca="false">IF($D402="","",IFERROR(IF(INDEX(Hierarchy!$H$2:$H$1295,MATCH($D402,Hierarchy!$A$2:$A$1295,0))="","",INDEX(Hierarchy!$H$2:$H$1295,MATCH($D402,Hierarchy!$A$2:$A$1295,0))),"NODE NOT FOUND"))</f>
        <v/>
      </c>
      <c r="L402" s="7" t="str">
        <f aca="false">IF($D402="","",IFERROR(IF(INDEX(Hierarchy!$I$2:$I$1295,MATCH($D402,Hierarchy!$A$2:$A$1295,0))="","",INDEX(Hierarchy!$I$2:$I$1295,MATCH($D402,Hierarchy!$A$2:$A$1295,0))),"NODE NOT FOUND"))</f>
        <v/>
      </c>
      <c r="M402" s="17" t="str">
        <f aca="false">IF(B402="Pre-seeded","Pre-seeded",IF(B402="Review 2026-09-16","Added from review",IF(C402="","New",IF(C402=D402,"","Changed"))))</f>
        <v>Pre-seeded</v>
      </c>
      <c r="N402" s="7" t="str">
        <f aca="false">TRIM(SUBSTITUTE(SUBSTITUTE(SUBSTITUTE(" "&amp;TRIM(SUBSTITUTE(SUBSTITUTE(SUBSTITUTE(SUBSTITUTE(SUBSTITUTE(SUBSTITUTE(SUBSTITUTE(SUBSTITUTE(SUBSTITUTE(SUBSTITUTE(SUBSTITUTE(SUBSTITUTE(SUBSTITUTE(SUBSTITUTE(SUBSTITUTE(UPPER(TRIM(A402)),"[MEMBER]",""),"{MEMBER}",""),"[MEMBER}",""),"MEMBER]",""),"(A)",""),"""",""),"“",""),"”",""),".",""),":",""),",",""),"–"," "),"-"," "),"/"," "),"&amp;"," AND "))&amp;" "," THE "," ")," TOTAL "," ")," OPERATIONS "," "))</f>
        <v>CÔTE D'IVOIRE</v>
      </c>
      <c r="O402" s="17" t="str">
        <f aca="false">IF(COUNTIFS($N$2:$N$2000,N402,$D$2:$D$2000,"&lt;&gt;"&amp;D402)&gt;0,"CONFLICT","")</f>
        <v/>
      </c>
      <c r="P402" s="7" t="s">
        <v>1936</v>
      </c>
    </row>
    <row r="403" customFormat="false" ht="15" hidden="false" customHeight="false" outlineLevel="0" collapsed="false">
      <c r="A403" s="7" t="s">
        <v>1205</v>
      </c>
      <c r="B403" s="7" t="s">
        <v>1879</v>
      </c>
      <c r="C403" s="7"/>
      <c r="D403" s="6" t="s">
        <v>1205</v>
      </c>
      <c r="E403" s="6" t="s">
        <v>1880</v>
      </c>
      <c r="F403" s="7" t="str">
        <f aca="false">IF($D403="","",IFERROR(IF(INDEX(Hierarchy!$B$2:$B$1295,MATCH($D403,Hierarchy!$A$2:$A$1295,0))="","",INDEX(Hierarchy!$B$2:$B$1295,MATCH($D403,Hierarchy!$A$2:$A$1295,0))),"NODE NOT FOUND"))</f>
        <v>Country</v>
      </c>
      <c r="G403" s="7" t="str">
        <f aca="false">IF($D403="","",IFERROR(IF(INDEX(Hierarchy!$D$2:$D$1295,MATCH($D403,Hierarchy!$A$2:$A$1295,0))="","",INDEX(Hierarchy!$D$2:$D$1295,MATCH($D403,Hierarchy!$A$2:$A$1295,0))),"NODE NOT FOUND"))</f>
        <v>EMEA</v>
      </c>
      <c r="H403" s="7" t="str">
        <f aca="false">IF($D403="","",IFERROR(IF(INDEX(Hierarchy!$E$2:$E$1295,MATCH($D403,Hierarchy!$A$2:$A$1295,0))="","",INDEX(Hierarchy!$E$2:$E$1295,MATCH($D403,Hierarchy!$A$2:$A$1295,0))),"NODE NOT FOUND"))</f>
        <v>Africa</v>
      </c>
      <c r="I403" s="7" t="str">
        <f aca="false">IF($D403="","",IFERROR(IF(INDEX(Hierarchy!$F$2:$F$1295,MATCH($D403,Hierarchy!$A$2:$A$1295,0))="","",INDEX(Hierarchy!$F$2:$F$1295,MATCH($D403,Hierarchy!$A$2:$A$1295,0))),"NODE NOT FOUND"))</f>
        <v>Côte d'Ivoire (Ivory Coast)</v>
      </c>
      <c r="J403" s="7" t="str">
        <f aca="false">IF($D403="","",IFERROR(IF(INDEX(Hierarchy!$G$2:$G$1295,MATCH($D403,Hierarchy!$A$2:$A$1295,0))="","",INDEX(Hierarchy!$G$2:$G$1295,MATCH($D403,Hierarchy!$A$2:$A$1295,0))),"NODE NOT FOUND"))</f>
        <v>CIV</v>
      </c>
      <c r="K403" s="7" t="str">
        <f aca="false">IF($D403="","",IFERROR(IF(INDEX(Hierarchy!$H$2:$H$1295,MATCH($D403,Hierarchy!$A$2:$A$1295,0))="","",INDEX(Hierarchy!$H$2:$H$1295,MATCH($D403,Hierarchy!$A$2:$A$1295,0))),"NODE NOT FOUND"))</f>
        <v/>
      </c>
      <c r="L403" s="7" t="str">
        <f aca="false">IF($D403="","",IFERROR(IF(INDEX(Hierarchy!$I$2:$I$1295,MATCH($D403,Hierarchy!$A$2:$A$1295,0))="","",INDEX(Hierarchy!$I$2:$I$1295,MATCH($D403,Hierarchy!$A$2:$A$1295,0))),"NODE NOT FOUND"))</f>
        <v/>
      </c>
      <c r="M403" s="17" t="str">
        <f aca="false">IF(B403="Pre-seeded","Pre-seeded",IF(B403="Review 2026-09-16","Added from review",IF(C403="","New",IF(C403=D403,"","Changed"))))</f>
        <v>Pre-seeded</v>
      </c>
      <c r="N403" s="7" t="str">
        <f aca="false">TRIM(SUBSTITUTE(SUBSTITUTE(SUBSTITUTE(" "&amp;TRIM(SUBSTITUTE(SUBSTITUTE(SUBSTITUTE(SUBSTITUTE(SUBSTITUTE(SUBSTITUTE(SUBSTITUTE(SUBSTITUTE(SUBSTITUTE(SUBSTITUTE(SUBSTITUTE(SUBSTITUTE(SUBSTITUTE(SUBSTITUTE(SUBSTITUTE(UPPER(TRIM(A403)),"[MEMBER]",""),"{MEMBER}",""),"[MEMBER}",""),"MEMBER]",""),"(A)",""),"""",""),"“",""),"”",""),".",""),":",""),",",""),"–"," "),"-"," "),"/"," "),"&amp;"," AND "))&amp;" "," THE "," ")," TOTAL "," ")," OPERATIONS "," "))</f>
        <v>CÔTE D'IVOIRE (IVORY COAST)</v>
      </c>
      <c r="O403" s="17" t="str">
        <f aca="false">IF(COUNTIFS($N$2:$N$2000,N403,$D$2:$D$2000,"&lt;&gt;"&amp;D403)&gt;0,"CONFLICT","")</f>
        <v/>
      </c>
      <c r="P403" s="7"/>
    </row>
    <row r="404" customFormat="false" ht="15" hidden="false" customHeight="false" outlineLevel="0" collapsed="false">
      <c r="A404" s="7" t="s">
        <v>640</v>
      </c>
      <c r="B404" s="7" t="s">
        <v>1879</v>
      </c>
      <c r="C404" s="7"/>
      <c r="D404" s="6" t="s">
        <v>640</v>
      </c>
      <c r="E404" s="6" t="s">
        <v>1880</v>
      </c>
      <c r="F404" s="7" t="str">
        <f aca="false">IF($D404="","",IFERROR(IF(INDEX(Hierarchy!$B$2:$B$1295,MATCH($D404,Hierarchy!$A$2:$A$1295,0))="","",INDEX(Hierarchy!$B$2:$B$1295,MATCH($D404,Hierarchy!$A$2:$A$1295,0))),"NODE NOT FOUND"))</f>
        <v>Sub-region component</v>
      </c>
      <c r="G404" s="7" t="str">
        <f aca="false">IF($D404="","",IFERROR(IF(INDEX(Hierarchy!$D$2:$D$1295,MATCH($D404,Hierarchy!$A$2:$A$1295,0))="","",INDEX(Hierarchy!$D$2:$D$1295,MATCH($D404,Hierarchy!$A$2:$A$1295,0))),"NODE NOT FOUND"))</f>
        <v>EMEA</v>
      </c>
      <c r="H404" s="7" t="str">
        <f aca="false">IF($D404="","",IFERROR(IF(INDEX(Hierarchy!$E$2:$E$1295,MATCH($D404,Hierarchy!$A$2:$A$1295,0))="","",INDEX(Hierarchy!$E$2:$E$1295,MATCH($D404,Hierarchy!$A$2:$A$1295,0))),"NODE NOT FOUND"))</f>
        <v>Europe</v>
      </c>
      <c r="I404" s="7" t="str">
        <f aca="false">IF($D404="","",IFERROR(IF(INDEX(Hierarchy!$F$2:$F$1295,MATCH($D404,Hierarchy!$A$2:$A$1295,0))="","",INDEX(Hierarchy!$F$2:$F$1295,MATCH($D404,Hierarchy!$A$2:$A$1295,0))),"NODE NOT FOUND"))</f>
        <v/>
      </c>
      <c r="J404" s="7" t="str">
        <f aca="false">IF($D404="","",IFERROR(IF(INDEX(Hierarchy!$G$2:$G$1295,MATCH($D404,Hierarchy!$A$2:$A$1295,0))="","",INDEX(Hierarchy!$G$2:$G$1295,MATCH($D404,Hierarchy!$A$2:$A$1295,0))),"NODE NOT FOUND"))</f>
        <v/>
      </c>
      <c r="K404" s="7" t="str">
        <f aca="false">IF($D404="","",IFERROR(IF(INDEX(Hierarchy!$H$2:$H$1295,MATCH($D404,Hierarchy!$A$2:$A$1295,0))="","",INDEX(Hierarchy!$H$2:$H$1295,MATCH($D404,Hierarchy!$A$2:$A$1295,0))),"NODE NOT FOUND"))</f>
        <v/>
      </c>
      <c r="L404" s="7" t="str">
        <f aca="false">IF($D404="","",IFERROR(IF(INDEX(Hierarchy!$I$2:$I$1295,MATCH($D404,Hierarchy!$A$2:$A$1295,0))="","",INDEX(Hierarchy!$I$2:$I$1295,MATCH($D404,Hierarchy!$A$2:$A$1295,0))),"NODE NOT FOUND"))</f>
        <v/>
      </c>
      <c r="M404" s="17" t="str">
        <f aca="false">IF(B404="Pre-seeded","Pre-seeded",IF(B404="Review 2026-09-16","Added from review",IF(C404="","New",IF(C404=D404,"","Changed"))))</f>
        <v>Pre-seeded</v>
      </c>
      <c r="N404" s="7" t="str">
        <f aca="false">TRIM(SUBSTITUTE(SUBSTITUTE(SUBSTITUTE(" "&amp;TRIM(SUBSTITUTE(SUBSTITUTE(SUBSTITUTE(SUBSTITUTE(SUBSTITUTE(SUBSTITUTE(SUBSTITUTE(SUBSTITUTE(SUBSTITUTE(SUBSTITUTE(SUBSTITUTE(SUBSTITUTE(SUBSTITUTE(SUBSTITUTE(SUBSTITUTE(UPPER(TRIM(A404)),"[MEMBER]",""),"{MEMBER}",""),"[MEMBER}",""),"MEMBER]",""),"(A)",""),"""",""),"“",""),"”",""),".",""),":",""),",",""),"–"," "),"-"," "),"/"," "),"&amp;"," AND "))&amp;" "," THE "," ")," TOTAL "," ")," OPERATIONS "," "))</f>
        <v>DACH</v>
      </c>
      <c r="O404" s="17" t="str">
        <f aca="false">IF(COUNTIFS($N$2:$N$2000,N404,$D$2:$D$2000,"&lt;&gt;"&amp;D404)&gt;0,"CONFLICT","")</f>
        <v/>
      </c>
      <c r="P404" s="7"/>
    </row>
    <row r="405" customFormat="false" ht="15" hidden="false" customHeight="false" outlineLevel="0" collapsed="false">
      <c r="A405" s="7" t="s">
        <v>1333</v>
      </c>
      <c r="B405" s="7" t="s">
        <v>1879</v>
      </c>
      <c r="C405" s="7"/>
      <c r="D405" s="6" t="s">
        <v>1333</v>
      </c>
      <c r="E405" s="6" t="s">
        <v>1880</v>
      </c>
      <c r="F405" s="7" t="str">
        <f aca="false">IF($D405="","",IFERROR(IF(INDEX(Hierarchy!$B$2:$B$1295,MATCH($D405,Hierarchy!$A$2:$A$1295,0))="","",INDEX(Hierarchy!$B$2:$B$1295,MATCH($D405,Hierarchy!$A$2:$A$1295,0))),"NODE NOT FOUND"))</f>
        <v>State/Province</v>
      </c>
      <c r="G405" s="7" t="str">
        <f aca="false">IF($D405="","",IFERROR(IF(INDEX(Hierarchy!$D$2:$D$1295,MATCH($D405,Hierarchy!$A$2:$A$1295,0))="","",INDEX(Hierarchy!$D$2:$D$1295,MATCH($D405,Hierarchy!$A$2:$A$1295,0))),"NODE NOT FOUND"))</f>
        <v>APAC</v>
      </c>
      <c r="H405" s="7" t="str">
        <f aca="false">IF($D405="","",IFERROR(IF(INDEX(Hierarchy!$E$2:$E$1295,MATCH($D405,Hierarchy!$A$2:$A$1295,0))="","",INDEX(Hierarchy!$E$2:$E$1295,MATCH($D405,Hierarchy!$A$2:$A$1295,0))),"NODE NOT FOUND"))</f>
        <v>South Asia</v>
      </c>
      <c r="I405" s="7" t="str">
        <f aca="false">IF($D405="","",IFERROR(IF(INDEX(Hierarchy!$F$2:$F$1295,MATCH($D405,Hierarchy!$A$2:$A$1295,0))="","",INDEX(Hierarchy!$F$2:$F$1295,MATCH($D405,Hierarchy!$A$2:$A$1295,0))),"NODE NOT FOUND"))</f>
        <v>India</v>
      </c>
      <c r="J405" s="7" t="str">
        <f aca="false">IF($D405="","",IFERROR(IF(INDEX(Hierarchy!$G$2:$G$1295,MATCH($D405,Hierarchy!$A$2:$A$1295,0))="","",INDEX(Hierarchy!$G$2:$G$1295,MATCH($D405,Hierarchy!$A$2:$A$1295,0))),"NODE NOT FOUND"))</f>
        <v>IND</v>
      </c>
      <c r="K405" s="7" t="str">
        <f aca="false">IF($D405="","",IFERROR(IF(INDEX(Hierarchy!$H$2:$H$1295,MATCH($D405,Hierarchy!$A$2:$A$1295,0))="","",INDEX(Hierarchy!$H$2:$H$1295,MATCH($D405,Hierarchy!$A$2:$A$1295,0))),"NODE NOT FOUND"))</f>
        <v>Dadra and Nagar Haveli and Daman and Diu</v>
      </c>
      <c r="L405" s="7" t="str">
        <f aca="false">IF($D405="","",IFERROR(IF(INDEX(Hierarchy!$I$2:$I$1295,MATCH($D405,Hierarchy!$A$2:$A$1295,0))="","",INDEX(Hierarchy!$I$2:$I$1295,MATCH($D405,Hierarchy!$A$2:$A$1295,0))),"NODE NOT FOUND"))</f>
        <v/>
      </c>
      <c r="M405" s="17" t="str">
        <f aca="false">IF(B405="Pre-seeded","Pre-seeded",IF(B405="Review 2026-09-16","Added from review",IF(C405="","New",IF(C405=D405,"","Changed"))))</f>
        <v>Pre-seeded</v>
      </c>
      <c r="N405" s="7" t="str">
        <f aca="false">TRIM(SUBSTITUTE(SUBSTITUTE(SUBSTITUTE(" "&amp;TRIM(SUBSTITUTE(SUBSTITUTE(SUBSTITUTE(SUBSTITUTE(SUBSTITUTE(SUBSTITUTE(SUBSTITUTE(SUBSTITUTE(SUBSTITUTE(SUBSTITUTE(SUBSTITUTE(SUBSTITUTE(SUBSTITUTE(SUBSTITUTE(SUBSTITUTE(UPPER(TRIM(A405)),"[MEMBER]",""),"{MEMBER}",""),"[MEMBER}",""),"MEMBER]",""),"(A)",""),"""",""),"“",""),"”",""),".",""),":",""),",",""),"–"," "),"-"," "),"/"," "),"&amp;"," AND "))&amp;" "," THE "," ")," TOTAL "," ")," OPERATIONS "," "))</f>
        <v>DADRA AND NAGAR HAVELI AND DAMAN AND DIU</v>
      </c>
      <c r="O405" s="17" t="str">
        <f aca="false">IF(COUNTIFS($N$2:$N$2000,N405,$D$2:$D$2000,"&lt;&gt;"&amp;D405)&gt;0,"CONFLICT","")</f>
        <v/>
      </c>
      <c r="P405" s="7"/>
    </row>
    <row r="406" customFormat="false" ht="15" hidden="false" customHeight="false" outlineLevel="0" collapsed="false">
      <c r="A406" s="7" t="s">
        <v>1564</v>
      </c>
      <c r="B406" s="7" t="s">
        <v>1879</v>
      </c>
      <c r="C406" s="7"/>
      <c r="D406" s="6" t="s">
        <v>1564</v>
      </c>
      <c r="E406" s="6" t="s">
        <v>1880</v>
      </c>
      <c r="F406" s="7" t="str">
        <f aca="false">IF($D406="","",IFERROR(IF(INDEX(Hierarchy!$B$2:$B$1295,MATCH($D406,Hierarchy!$A$2:$A$1295,0))="","",INDEX(Hierarchy!$B$2:$B$1295,MATCH($D406,Hierarchy!$A$2:$A$1295,0))),"NODE NOT FOUND"))</f>
        <v>State/Province</v>
      </c>
      <c r="G406" s="7" t="str">
        <f aca="false">IF($D406="","",IFERROR(IF(INDEX(Hierarchy!$D$2:$D$1295,MATCH($D406,Hierarchy!$A$2:$A$1295,0))="","",INDEX(Hierarchy!$D$2:$D$1295,MATCH($D406,Hierarchy!$A$2:$A$1295,0))),"NODE NOT FOUND"))</f>
        <v>APAC</v>
      </c>
      <c r="H406" s="7" t="str">
        <f aca="false">IF($D406="","",IFERROR(IF(INDEX(Hierarchy!$E$2:$E$1295,MATCH($D406,Hierarchy!$A$2:$A$1295,0))="","",INDEX(Hierarchy!$E$2:$E$1295,MATCH($D406,Hierarchy!$A$2:$A$1295,0))),"NODE NOT FOUND"))</f>
        <v>East Asia</v>
      </c>
      <c r="I406" s="7" t="str">
        <f aca="false">IF($D406="","",IFERROR(IF(INDEX(Hierarchy!$F$2:$F$1295,MATCH($D406,Hierarchy!$A$2:$A$1295,0))="","",INDEX(Hierarchy!$F$2:$F$1295,MATCH($D406,Hierarchy!$A$2:$A$1295,0))),"NODE NOT FOUND"))</f>
        <v>South Korea</v>
      </c>
      <c r="J406" s="7" t="str">
        <f aca="false">IF($D406="","",IFERROR(IF(INDEX(Hierarchy!$G$2:$G$1295,MATCH($D406,Hierarchy!$A$2:$A$1295,0))="","",INDEX(Hierarchy!$G$2:$G$1295,MATCH($D406,Hierarchy!$A$2:$A$1295,0))),"NODE NOT FOUND"))</f>
        <v>KOR</v>
      </c>
      <c r="K406" s="7" t="str">
        <f aca="false">IF($D406="","",IFERROR(IF(INDEX(Hierarchy!$H$2:$H$1295,MATCH($D406,Hierarchy!$A$2:$A$1295,0))="","",INDEX(Hierarchy!$H$2:$H$1295,MATCH($D406,Hierarchy!$A$2:$A$1295,0))),"NODE NOT FOUND"))</f>
        <v>Daegu</v>
      </c>
      <c r="L406" s="7" t="str">
        <f aca="false">IF($D406="","",IFERROR(IF(INDEX(Hierarchy!$I$2:$I$1295,MATCH($D406,Hierarchy!$A$2:$A$1295,0))="","",INDEX(Hierarchy!$I$2:$I$1295,MATCH($D406,Hierarchy!$A$2:$A$1295,0))),"NODE NOT FOUND"))</f>
        <v/>
      </c>
      <c r="M406" s="17" t="str">
        <f aca="false">IF(B406="Pre-seeded","Pre-seeded",IF(B406="Review 2026-09-16","Added from review",IF(C406="","New",IF(C406=D406,"","Changed"))))</f>
        <v>Pre-seeded</v>
      </c>
      <c r="N406" s="7" t="str">
        <f aca="false">TRIM(SUBSTITUTE(SUBSTITUTE(SUBSTITUTE(" "&amp;TRIM(SUBSTITUTE(SUBSTITUTE(SUBSTITUTE(SUBSTITUTE(SUBSTITUTE(SUBSTITUTE(SUBSTITUTE(SUBSTITUTE(SUBSTITUTE(SUBSTITUTE(SUBSTITUTE(SUBSTITUTE(SUBSTITUTE(SUBSTITUTE(SUBSTITUTE(UPPER(TRIM(A406)),"[MEMBER]",""),"{MEMBER}",""),"[MEMBER}",""),"MEMBER]",""),"(A)",""),"""",""),"“",""),"”",""),".",""),":",""),",",""),"–"," "),"-"," "),"/"," "),"&amp;"," AND "))&amp;" "," THE "," ")," TOTAL "," ")," OPERATIONS "," "))</f>
        <v>DAEGU</v>
      </c>
      <c r="O406" s="17" t="str">
        <f aca="false">IF(COUNTIFS($N$2:$N$2000,N406,$D$2:$D$2000,"&lt;&gt;"&amp;D406)&gt;0,"CONFLICT","")</f>
        <v/>
      </c>
      <c r="P406" s="7"/>
    </row>
    <row r="407" customFormat="false" ht="15" hidden="false" customHeight="false" outlineLevel="0" collapsed="false">
      <c r="A407" s="7" t="s">
        <v>1565</v>
      </c>
      <c r="B407" s="7" t="s">
        <v>1879</v>
      </c>
      <c r="C407" s="7"/>
      <c r="D407" s="6" t="s">
        <v>1565</v>
      </c>
      <c r="E407" s="6" t="s">
        <v>1880</v>
      </c>
      <c r="F407" s="7" t="str">
        <f aca="false">IF($D407="","",IFERROR(IF(INDEX(Hierarchy!$B$2:$B$1295,MATCH($D407,Hierarchy!$A$2:$A$1295,0))="","",INDEX(Hierarchy!$B$2:$B$1295,MATCH($D407,Hierarchy!$A$2:$A$1295,0))),"NODE NOT FOUND"))</f>
        <v>State/Province</v>
      </c>
      <c r="G407" s="7" t="str">
        <f aca="false">IF($D407="","",IFERROR(IF(INDEX(Hierarchy!$D$2:$D$1295,MATCH($D407,Hierarchy!$A$2:$A$1295,0))="","",INDEX(Hierarchy!$D$2:$D$1295,MATCH($D407,Hierarchy!$A$2:$A$1295,0))),"NODE NOT FOUND"))</f>
        <v>APAC</v>
      </c>
      <c r="H407" s="7" t="str">
        <f aca="false">IF($D407="","",IFERROR(IF(INDEX(Hierarchy!$E$2:$E$1295,MATCH($D407,Hierarchy!$A$2:$A$1295,0))="","",INDEX(Hierarchy!$E$2:$E$1295,MATCH($D407,Hierarchy!$A$2:$A$1295,0))),"NODE NOT FOUND"))</f>
        <v>East Asia</v>
      </c>
      <c r="I407" s="7" t="str">
        <f aca="false">IF($D407="","",IFERROR(IF(INDEX(Hierarchy!$F$2:$F$1295,MATCH($D407,Hierarchy!$A$2:$A$1295,0))="","",INDEX(Hierarchy!$F$2:$F$1295,MATCH($D407,Hierarchy!$A$2:$A$1295,0))),"NODE NOT FOUND"))</f>
        <v>South Korea</v>
      </c>
      <c r="J407" s="7" t="str">
        <f aca="false">IF($D407="","",IFERROR(IF(INDEX(Hierarchy!$G$2:$G$1295,MATCH($D407,Hierarchy!$A$2:$A$1295,0))="","",INDEX(Hierarchy!$G$2:$G$1295,MATCH($D407,Hierarchy!$A$2:$A$1295,0))),"NODE NOT FOUND"))</f>
        <v>KOR</v>
      </c>
      <c r="K407" s="7" t="str">
        <f aca="false">IF($D407="","",IFERROR(IF(INDEX(Hierarchy!$H$2:$H$1295,MATCH($D407,Hierarchy!$A$2:$A$1295,0))="","",INDEX(Hierarchy!$H$2:$H$1295,MATCH($D407,Hierarchy!$A$2:$A$1295,0))),"NODE NOT FOUND"))</f>
        <v>Daejeon</v>
      </c>
      <c r="L407" s="7" t="str">
        <f aca="false">IF($D407="","",IFERROR(IF(INDEX(Hierarchy!$I$2:$I$1295,MATCH($D407,Hierarchy!$A$2:$A$1295,0))="","",INDEX(Hierarchy!$I$2:$I$1295,MATCH($D407,Hierarchy!$A$2:$A$1295,0))),"NODE NOT FOUND"))</f>
        <v/>
      </c>
      <c r="M407" s="17" t="str">
        <f aca="false">IF(B407="Pre-seeded","Pre-seeded",IF(B407="Review 2026-09-16","Added from review",IF(C407="","New",IF(C407=D407,"","Changed"))))</f>
        <v>Pre-seeded</v>
      </c>
      <c r="N407" s="7" t="str">
        <f aca="false">TRIM(SUBSTITUTE(SUBSTITUTE(SUBSTITUTE(" "&amp;TRIM(SUBSTITUTE(SUBSTITUTE(SUBSTITUTE(SUBSTITUTE(SUBSTITUTE(SUBSTITUTE(SUBSTITUTE(SUBSTITUTE(SUBSTITUTE(SUBSTITUTE(SUBSTITUTE(SUBSTITUTE(SUBSTITUTE(SUBSTITUTE(SUBSTITUTE(UPPER(TRIM(A407)),"[MEMBER]",""),"{MEMBER}",""),"[MEMBER}",""),"MEMBER]",""),"(A)",""),"""",""),"“",""),"”",""),".",""),":",""),",",""),"–"," "),"-"," "),"/"," "),"&amp;"," AND "))&amp;" "," THE "," ")," TOTAL "," ")," OPERATIONS "," "))</f>
        <v>DAEJEON</v>
      </c>
      <c r="O407" s="17" t="str">
        <f aca="false">IF(COUNTIFS($N$2:$N$2000,N407,$D$2:$D$2000,"&lt;&gt;"&amp;D407)&gt;0,"CONFLICT","")</f>
        <v/>
      </c>
      <c r="P407" s="7"/>
    </row>
    <row r="408" customFormat="false" ht="15" hidden="false" customHeight="false" outlineLevel="0" collapsed="false">
      <c r="A408" s="7" t="s">
        <v>2083</v>
      </c>
      <c r="B408" s="7" t="s">
        <v>1879</v>
      </c>
      <c r="C408" s="7"/>
      <c r="D408" s="6" t="s">
        <v>248</v>
      </c>
      <c r="E408" s="6" t="s">
        <v>1880</v>
      </c>
      <c r="F408" s="7" t="str">
        <f aca="false">IF($D408="","",IFERROR(IF(INDEX(Hierarchy!$B$2:$B$1295,MATCH($D408,Hierarchy!$A$2:$A$1295,0))="","",INDEX(Hierarchy!$B$2:$B$1295,MATCH($D408,Hierarchy!$A$2:$A$1295,0))),"NODE NOT FOUND"))</f>
        <v>City</v>
      </c>
      <c r="G408" s="7" t="str">
        <f aca="false">IF($D408="","",IFERROR(IF(INDEX(Hierarchy!$D$2:$D$1295,MATCH($D408,Hierarchy!$A$2:$A$1295,0))="","",INDEX(Hierarchy!$D$2:$D$1295,MATCH($D408,Hierarchy!$A$2:$A$1295,0))),"NODE NOT FOUND"))</f>
        <v>AMER</v>
      </c>
      <c r="H408" s="7" t="str">
        <f aca="false">IF($D408="","",IFERROR(IF(INDEX(Hierarchy!$E$2:$E$1295,MATCH($D408,Hierarchy!$A$2:$A$1295,0))="","",INDEX(Hierarchy!$E$2:$E$1295,MATCH($D408,Hierarchy!$A$2:$A$1295,0))),"NODE NOT FOUND"))</f>
        <v>North America (NORAM)</v>
      </c>
      <c r="I408" s="7" t="str">
        <f aca="false">IF($D408="","",IFERROR(IF(INDEX(Hierarchy!$F$2:$F$1295,MATCH($D408,Hierarchy!$A$2:$A$1295,0))="","",INDEX(Hierarchy!$F$2:$F$1295,MATCH($D408,Hierarchy!$A$2:$A$1295,0))),"NODE NOT FOUND"))</f>
        <v>United States</v>
      </c>
      <c r="J408" s="7" t="str">
        <f aca="false">IF($D408="","",IFERROR(IF(INDEX(Hierarchy!$G$2:$G$1295,MATCH($D408,Hierarchy!$A$2:$A$1295,0))="","",INDEX(Hierarchy!$G$2:$G$1295,MATCH($D408,Hierarchy!$A$2:$A$1295,0))),"NODE NOT FOUND"))</f>
        <v>USA</v>
      </c>
      <c r="K408" s="7" t="str">
        <f aca="false">IF($D408="","",IFERROR(IF(INDEX(Hierarchy!$H$2:$H$1295,MATCH($D408,Hierarchy!$A$2:$A$1295,0))="","",INDEX(Hierarchy!$H$2:$H$1295,MATCH($D408,Hierarchy!$A$2:$A$1295,0))),"NODE NOT FOUND"))</f>
        <v>Texas</v>
      </c>
      <c r="L408" s="7" t="str">
        <f aca="false">IF($D408="","",IFERROR(IF(INDEX(Hierarchy!$I$2:$I$1295,MATCH($D408,Hierarchy!$A$2:$A$1295,0))="","",INDEX(Hierarchy!$I$2:$I$1295,MATCH($D408,Hierarchy!$A$2:$A$1295,0))),"NODE NOT FOUND"))</f>
        <v>Dallas–Fort Worth</v>
      </c>
      <c r="M408" s="17" t="str">
        <f aca="false">IF(B408="Pre-seeded","Pre-seeded",IF(B408="Review 2026-09-16","Added from review",IF(C408="","New",IF(C408=D408,"","Changed"))))</f>
        <v>Pre-seeded</v>
      </c>
      <c r="N408" s="7" t="str">
        <f aca="false">TRIM(SUBSTITUTE(SUBSTITUTE(SUBSTITUTE(" "&amp;TRIM(SUBSTITUTE(SUBSTITUTE(SUBSTITUTE(SUBSTITUTE(SUBSTITUTE(SUBSTITUTE(SUBSTITUTE(SUBSTITUTE(SUBSTITUTE(SUBSTITUTE(SUBSTITUTE(SUBSTITUTE(SUBSTITUTE(SUBSTITUTE(SUBSTITUTE(UPPER(TRIM(A408)),"[MEMBER]",""),"{MEMBER}",""),"[MEMBER}",""),"MEMBER]",""),"(A)",""),"""",""),"“",""),"”",""),".",""),":",""),",",""),"–"," "),"-"," "),"/"," "),"&amp;"," AND "))&amp;" "," THE "," ")," TOTAL "," ")," OPERATIONS "," "))</f>
        <v>DALLAS FORT WORTH</v>
      </c>
      <c r="O408" s="17" t="str">
        <f aca="false">IF(COUNTIFS($N$2:$N$2000,N408,$D$2:$D$2000,"&lt;&gt;"&amp;D408)&gt;0,"CONFLICT","")</f>
        <v/>
      </c>
      <c r="P408" s="7"/>
    </row>
    <row r="409" customFormat="false" ht="15" hidden="false" customHeight="false" outlineLevel="0" collapsed="false">
      <c r="A409" s="7" t="s">
        <v>1671</v>
      </c>
      <c r="B409" s="7" t="s">
        <v>1879</v>
      </c>
      <c r="C409" s="7"/>
      <c r="D409" s="6" t="s">
        <v>1671</v>
      </c>
      <c r="E409" s="6" t="s">
        <v>1880</v>
      </c>
      <c r="F409" s="7" t="str">
        <f aca="false">IF($D409="","",IFERROR(IF(INDEX(Hierarchy!$B$2:$B$1295,MATCH($D409,Hierarchy!$A$2:$A$1295,0))="","",INDEX(Hierarchy!$B$2:$B$1295,MATCH($D409,Hierarchy!$A$2:$A$1295,0))),"NODE NOT FOUND"))</f>
        <v>State/Province</v>
      </c>
      <c r="G409" s="7" t="str">
        <f aca="false">IF($D409="","",IFERROR(IF(INDEX(Hierarchy!$D$2:$D$1295,MATCH($D409,Hierarchy!$A$2:$A$1295,0))="","",INDEX(Hierarchy!$D$2:$D$1295,MATCH($D409,Hierarchy!$A$2:$A$1295,0))),"NODE NOT FOUND"))</f>
        <v>APAC</v>
      </c>
      <c r="H409" s="7" t="str">
        <f aca="false">IF($D409="","",IFERROR(IF(INDEX(Hierarchy!$E$2:$E$1295,MATCH($D409,Hierarchy!$A$2:$A$1295,0))="","",INDEX(Hierarchy!$E$2:$E$1295,MATCH($D409,Hierarchy!$A$2:$A$1295,0))),"NODE NOT FOUND"))</f>
        <v>Southeast Asia (ASEAN)</v>
      </c>
      <c r="I409" s="7" t="str">
        <f aca="false">IF($D409="","",IFERROR(IF(INDEX(Hierarchy!$F$2:$F$1295,MATCH($D409,Hierarchy!$A$2:$A$1295,0))="","",INDEX(Hierarchy!$F$2:$F$1295,MATCH($D409,Hierarchy!$A$2:$A$1295,0))),"NODE NOT FOUND"))</f>
        <v>Philippines</v>
      </c>
      <c r="J409" s="7" t="str">
        <f aca="false">IF($D409="","",IFERROR(IF(INDEX(Hierarchy!$G$2:$G$1295,MATCH($D409,Hierarchy!$A$2:$A$1295,0))="","",INDEX(Hierarchy!$G$2:$G$1295,MATCH($D409,Hierarchy!$A$2:$A$1295,0))),"NODE NOT FOUND"))</f>
        <v>PHL</v>
      </c>
      <c r="K409" s="7" t="str">
        <f aca="false">IF($D409="","",IFERROR(IF(INDEX(Hierarchy!$H$2:$H$1295,MATCH($D409,Hierarchy!$A$2:$A$1295,0))="","",INDEX(Hierarchy!$H$2:$H$1295,MATCH($D409,Hierarchy!$A$2:$A$1295,0))),"NODE NOT FOUND"))</f>
        <v>Davao Region</v>
      </c>
      <c r="L409" s="7" t="str">
        <f aca="false">IF($D409="","",IFERROR(IF(INDEX(Hierarchy!$I$2:$I$1295,MATCH($D409,Hierarchy!$A$2:$A$1295,0))="","",INDEX(Hierarchy!$I$2:$I$1295,MATCH($D409,Hierarchy!$A$2:$A$1295,0))),"NODE NOT FOUND"))</f>
        <v/>
      </c>
      <c r="M409" s="17" t="str">
        <f aca="false">IF(B409="Pre-seeded","Pre-seeded",IF(B409="Review 2026-09-16","Added from review",IF(C409="","New",IF(C409=D409,"","Changed"))))</f>
        <v>Pre-seeded</v>
      </c>
      <c r="N409" s="7" t="str">
        <f aca="false">TRIM(SUBSTITUTE(SUBSTITUTE(SUBSTITUTE(" "&amp;TRIM(SUBSTITUTE(SUBSTITUTE(SUBSTITUTE(SUBSTITUTE(SUBSTITUTE(SUBSTITUTE(SUBSTITUTE(SUBSTITUTE(SUBSTITUTE(SUBSTITUTE(SUBSTITUTE(SUBSTITUTE(SUBSTITUTE(SUBSTITUTE(SUBSTITUTE(UPPER(TRIM(A409)),"[MEMBER]",""),"{MEMBER}",""),"[MEMBER}",""),"MEMBER]",""),"(A)",""),"""",""),"“",""),"”",""),".",""),":",""),",",""),"–"," "),"-"," "),"/"," "),"&amp;"," AND "))&amp;" "," THE "," ")," TOTAL "," ")," OPERATIONS "," "))</f>
        <v>DAVAO REGION</v>
      </c>
      <c r="O409" s="17" t="str">
        <f aca="false">IF(COUNTIFS($N$2:$N$2000,N409,$D$2:$D$2000,"&lt;&gt;"&amp;D409)&gt;0,"CONFLICT","")</f>
        <v/>
      </c>
      <c r="P409" s="7"/>
    </row>
    <row r="410" customFormat="false" ht="15" hidden="false" customHeight="false" outlineLevel="0" collapsed="false">
      <c r="A410" s="7" t="s">
        <v>2084</v>
      </c>
      <c r="B410" s="7" t="s">
        <v>1882</v>
      </c>
      <c r="C410" s="7" t="s">
        <v>160</v>
      </c>
      <c r="D410" s="6" t="s">
        <v>160</v>
      </c>
      <c r="E410" s="6" t="s">
        <v>1880</v>
      </c>
      <c r="F410" s="7" t="str">
        <f aca="false">IF($D410="","",IFERROR(IF(INDEX(Hierarchy!$B$2:$B$1295,MATCH($D410,Hierarchy!$A$2:$A$1295,0))="","",INDEX(Hierarchy!$B$2:$B$1295,MATCH($D410,Hierarchy!$A$2:$A$1295,0))),"NODE NOT FOUND"))</f>
        <v>State/Province</v>
      </c>
      <c r="G410" s="7" t="str">
        <f aca="false">IF($D410="","",IFERROR(IF(INDEX(Hierarchy!$D$2:$D$1295,MATCH($D410,Hierarchy!$A$2:$A$1295,0))="","",INDEX(Hierarchy!$D$2:$D$1295,MATCH($D410,Hierarchy!$A$2:$A$1295,0))),"NODE NOT FOUND"))</f>
        <v>AMER</v>
      </c>
      <c r="H410" s="7" t="str">
        <f aca="false">IF($D410="","",IFERROR(IF(INDEX(Hierarchy!$E$2:$E$1295,MATCH($D410,Hierarchy!$A$2:$A$1295,0))="","",INDEX(Hierarchy!$E$2:$E$1295,MATCH($D410,Hierarchy!$A$2:$A$1295,0))),"NODE NOT FOUND"))</f>
        <v>North America (NORAM)</v>
      </c>
      <c r="I410" s="7" t="str">
        <f aca="false">IF($D410="","",IFERROR(IF(INDEX(Hierarchy!$F$2:$F$1295,MATCH($D410,Hierarchy!$A$2:$A$1295,0))="","",INDEX(Hierarchy!$F$2:$F$1295,MATCH($D410,Hierarchy!$A$2:$A$1295,0))),"NODE NOT FOUND"))</f>
        <v>United States</v>
      </c>
      <c r="J410" s="7" t="str">
        <f aca="false">IF($D410="","",IFERROR(IF(INDEX(Hierarchy!$G$2:$G$1295,MATCH($D410,Hierarchy!$A$2:$A$1295,0))="","",INDEX(Hierarchy!$G$2:$G$1295,MATCH($D410,Hierarchy!$A$2:$A$1295,0))),"NODE NOT FOUND"))</f>
        <v>USA</v>
      </c>
      <c r="K410" s="7" t="str">
        <f aca="false">IF($D410="","",IFERROR(IF(INDEX(Hierarchy!$H$2:$H$1295,MATCH($D410,Hierarchy!$A$2:$A$1295,0))="","",INDEX(Hierarchy!$H$2:$H$1295,MATCH($D410,Hierarchy!$A$2:$A$1295,0))),"NODE NOT FOUND"))</f>
        <v>Delaware</v>
      </c>
      <c r="L410" s="7" t="str">
        <f aca="false">IF($D410="","",IFERROR(IF(INDEX(Hierarchy!$I$2:$I$1295,MATCH($D410,Hierarchy!$A$2:$A$1295,0))="","",INDEX(Hierarchy!$I$2:$I$1295,MATCH($D410,Hierarchy!$A$2:$A$1295,0))),"NODE NOT FOUND"))</f>
        <v/>
      </c>
      <c r="M410" s="17" t="str">
        <f aca="false">IF(B410="Pre-seeded","Pre-seeded",IF(B410="Review 2026-09-16","Added from review",IF(C410="","New",IF(C410=D410,"","Changed"))))</f>
        <v/>
      </c>
      <c r="N410" s="7" t="str">
        <f aca="false">TRIM(SUBSTITUTE(SUBSTITUTE(SUBSTITUTE(" "&amp;TRIM(SUBSTITUTE(SUBSTITUTE(SUBSTITUTE(SUBSTITUTE(SUBSTITUTE(SUBSTITUTE(SUBSTITUTE(SUBSTITUTE(SUBSTITUTE(SUBSTITUTE(SUBSTITUTE(SUBSTITUTE(SUBSTITUTE(SUBSTITUTE(SUBSTITUTE(UPPER(TRIM(A410)),"[MEMBER]",""),"{MEMBER}",""),"[MEMBER}",""),"MEMBER]",""),"(A)",""),"""",""),"“",""),"”",""),".",""),":",""),",",""),"–"," "),"-"," "),"/"," "),"&amp;"," AND "))&amp;" "," THE "," ")," TOTAL "," ")," OPERATIONS "," "))</f>
        <v>DELAWARE</v>
      </c>
      <c r="O410" s="17" t="str">
        <f aca="false">IF(COUNTIFS($N$2:$N$2000,N410,$D$2:$D$2000,"&lt;&gt;"&amp;D410)&gt;0,"CONFLICT","")</f>
        <v/>
      </c>
      <c r="P410" s="7"/>
    </row>
    <row r="411" customFormat="false" ht="15" hidden="false" customHeight="false" outlineLevel="0" collapsed="false">
      <c r="A411" s="7" t="s">
        <v>160</v>
      </c>
      <c r="B411" s="7" t="s">
        <v>1882</v>
      </c>
      <c r="C411" s="7" t="s">
        <v>160</v>
      </c>
      <c r="D411" s="6" t="s">
        <v>160</v>
      </c>
      <c r="E411" s="6" t="s">
        <v>1880</v>
      </c>
      <c r="F411" s="7" t="str">
        <f aca="false">IF($D411="","",IFERROR(IF(INDEX(Hierarchy!$B$2:$B$1295,MATCH($D411,Hierarchy!$A$2:$A$1295,0))="","",INDEX(Hierarchy!$B$2:$B$1295,MATCH($D411,Hierarchy!$A$2:$A$1295,0))),"NODE NOT FOUND"))</f>
        <v>State/Province</v>
      </c>
      <c r="G411" s="7" t="str">
        <f aca="false">IF($D411="","",IFERROR(IF(INDEX(Hierarchy!$D$2:$D$1295,MATCH($D411,Hierarchy!$A$2:$A$1295,0))="","",INDEX(Hierarchy!$D$2:$D$1295,MATCH($D411,Hierarchy!$A$2:$A$1295,0))),"NODE NOT FOUND"))</f>
        <v>AMER</v>
      </c>
      <c r="H411" s="7" t="str">
        <f aca="false">IF($D411="","",IFERROR(IF(INDEX(Hierarchy!$E$2:$E$1295,MATCH($D411,Hierarchy!$A$2:$A$1295,0))="","",INDEX(Hierarchy!$E$2:$E$1295,MATCH($D411,Hierarchy!$A$2:$A$1295,0))),"NODE NOT FOUND"))</f>
        <v>North America (NORAM)</v>
      </c>
      <c r="I411" s="7" t="str">
        <f aca="false">IF($D411="","",IFERROR(IF(INDEX(Hierarchy!$F$2:$F$1295,MATCH($D411,Hierarchy!$A$2:$A$1295,0))="","",INDEX(Hierarchy!$F$2:$F$1295,MATCH($D411,Hierarchy!$A$2:$A$1295,0))),"NODE NOT FOUND"))</f>
        <v>United States</v>
      </c>
      <c r="J411" s="7" t="str">
        <f aca="false">IF($D411="","",IFERROR(IF(INDEX(Hierarchy!$G$2:$G$1295,MATCH($D411,Hierarchy!$A$2:$A$1295,0))="","",INDEX(Hierarchy!$G$2:$G$1295,MATCH($D411,Hierarchy!$A$2:$A$1295,0))),"NODE NOT FOUND"))</f>
        <v>USA</v>
      </c>
      <c r="K411" s="7" t="str">
        <f aca="false">IF($D411="","",IFERROR(IF(INDEX(Hierarchy!$H$2:$H$1295,MATCH($D411,Hierarchy!$A$2:$A$1295,0))="","",INDEX(Hierarchy!$H$2:$H$1295,MATCH($D411,Hierarchy!$A$2:$A$1295,0))),"NODE NOT FOUND"))</f>
        <v>Delaware</v>
      </c>
      <c r="L411" s="7" t="str">
        <f aca="false">IF($D411="","",IFERROR(IF(INDEX(Hierarchy!$I$2:$I$1295,MATCH($D411,Hierarchy!$A$2:$A$1295,0))="","",INDEX(Hierarchy!$I$2:$I$1295,MATCH($D411,Hierarchy!$A$2:$A$1295,0))),"NODE NOT FOUND"))</f>
        <v/>
      </c>
      <c r="M411" s="17" t="str">
        <f aca="false">IF(B411="Pre-seeded","Pre-seeded",IF(B411="Review 2026-09-16","Added from review",IF(C411="","New",IF(C411=D411,"","Changed"))))</f>
        <v/>
      </c>
      <c r="N411" s="7" t="str">
        <f aca="false">TRIM(SUBSTITUTE(SUBSTITUTE(SUBSTITUTE(" "&amp;TRIM(SUBSTITUTE(SUBSTITUTE(SUBSTITUTE(SUBSTITUTE(SUBSTITUTE(SUBSTITUTE(SUBSTITUTE(SUBSTITUTE(SUBSTITUTE(SUBSTITUTE(SUBSTITUTE(SUBSTITUTE(SUBSTITUTE(SUBSTITUTE(SUBSTITUTE(UPPER(TRIM(A411)),"[MEMBER]",""),"{MEMBER}",""),"[MEMBER}",""),"MEMBER]",""),"(A)",""),"""",""),"“",""),"”",""),".",""),":",""),",",""),"–"," "),"-"," "),"/"," "),"&amp;"," AND "))&amp;" "," THE "," ")," TOTAL "," ")," OPERATIONS "," "))</f>
        <v>DELAWARE</v>
      </c>
      <c r="O411" s="17" t="str">
        <f aca="false">IF(COUNTIFS($N$2:$N$2000,N411,$D$2:$D$2000,"&lt;&gt;"&amp;D411)&gt;0,"CONFLICT","")</f>
        <v/>
      </c>
      <c r="P411" s="7"/>
    </row>
    <row r="412" customFormat="false" ht="15" hidden="false" customHeight="false" outlineLevel="0" collapsed="false">
      <c r="A412" s="7" t="s">
        <v>1334</v>
      </c>
      <c r="B412" s="7" t="s">
        <v>1879</v>
      </c>
      <c r="C412" s="7"/>
      <c r="D412" s="6" t="s">
        <v>1334</v>
      </c>
      <c r="E412" s="6" t="s">
        <v>1880</v>
      </c>
      <c r="F412" s="7" t="str">
        <f aca="false">IF($D412="","",IFERROR(IF(INDEX(Hierarchy!$B$2:$B$1295,MATCH($D412,Hierarchy!$A$2:$A$1295,0))="","",INDEX(Hierarchy!$B$2:$B$1295,MATCH($D412,Hierarchy!$A$2:$A$1295,0))),"NODE NOT FOUND"))</f>
        <v>State/Province</v>
      </c>
      <c r="G412" s="7" t="str">
        <f aca="false">IF($D412="","",IFERROR(IF(INDEX(Hierarchy!$D$2:$D$1295,MATCH($D412,Hierarchy!$A$2:$A$1295,0))="","",INDEX(Hierarchy!$D$2:$D$1295,MATCH($D412,Hierarchy!$A$2:$A$1295,0))),"NODE NOT FOUND"))</f>
        <v>APAC</v>
      </c>
      <c r="H412" s="7" t="str">
        <f aca="false">IF($D412="","",IFERROR(IF(INDEX(Hierarchy!$E$2:$E$1295,MATCH($D412,Hierarchy!$A$2:$A$1295,0))="","",INDEX(Hierarchy!$E$2:$E$1295,MATCH($D412,Hierarchy!$A$2:$A$1295,0))),"NODE NOT FOUND"))</f>
        <v>South Asia</v>
      </c>
      <c r="I412" s="7" t="str">
        <f aca="false">IF($D412="","",IFERROR(IF(INDEX(Hierarchy!$F$2:$F$1295,MATCH($D412,Hierarchy!$A$2:$A$1295,0))="","",INDEX(Hierarchy!$F$2:$F$1295,MATCH($D412,Hierarchy!$A$2:$A$1295,0))),"NODE NOT FOUND"))</f>
        <v>India</v>
      </c>
      <c r="J412" s="7" t="str">
        <f aca="false">IF($D412="","",IFERROR(IF(INDEX(Hierarchy!$G$2:$G$1295,MATCH($D412,Hierarchy!$A$2:$A$1295,0))="","",INDEX(Hierarchy!$G$2:$G$1295,MATCH($D412,Hierarchy!$A$2:$A$1295,0))),"NODE NOT FOUND"))</f>
        <v>IND</v>
      </c>
      <c r="K412" s="7" t="str">
        <f aca="false">IF($D412="","",IFERROR(IF(INDEX(Hierarchy!$H$2:$H$1295,MATCH($D412,Hierarchy!$A$2:$A$1295,0))="","",INDEX(Hierarchy!$H$2:$H$1295,MATCH($D412,Hierarchy!$A$2:$A$1295,0))),"NODE NOT FOUND"))</f>
        <v>Delhi</v>
      </c>
      <c r="L412" s="7" t="str">
        <f aca="false">IF($D412="","",IFERROR(IF(INDEX(Hierarchy!$I$2:$I$1295,MATCH($D412,Hierarchy!$A$2:$A$1295,0))="","",INDEX(Hierarchy!$I$2:$I$1295,MATCH($D412,Hierarchy!$A$2:$A$1295,0))),"NODE NOT FOUND"))</f>
        <v/>
      </c>
      <c r="M412" s="17" t="str">
        <f aca="false">IF(B412="Pre-seeded","Pre-seeded",IF(B412="Review 2026-09-16","Added from review",IF(C412="","New",IF(C412=D412,"","Changed"))))</f>
        <v>Pre-seeded</v>
      </c>
      <c r="N412" s="7" t="str">
        <f aca="false">TRIM(SUBSTITUTE(SUBSTITUTE(SUBSTITUTE(" "&amp;TRIM(SUBSTITUTE(SUBSTITUTE(SUBSTITUTE(SUBSTITUTE(SUBSTITUTE(SUBSTITUTE(SUBSTITUTE(SUBSTITUTE(SUBSTITUTE(SUBSTITUTE(SUBSTITUTE(SUBSTITUTE(SUBSTITUTE(SUBSTITUTE(SUBSTITUTE(UPPER(TRIM(A412)),"[MEMBER]",""),"{MEMBER}",""),"[MEMBER}",""),"MEMBER]",""),"(A)",""),"""",""),"“",""),"”",""),".",""),":",""),",",""),"–"," "),"-"," "),"/"," "),"&amp;"," AND "))&amp;" "," THE "," ")," TOTAL "," ")," OPERATIONS "," "))</f>
        <v>DELHI</v>
      </c>
      <c r="O412" s="17" t="str">
        <f aca="false">IF(COUNTIFS($N$2:$N$2000,N412,$D$2:$D$2000,"&lt;&gt;"&amp;D412)&gt;0,"CONFLICT","")</f>
        <v/>
      </c>
      <c r="P412" s="7"/>
    </row>
    <row r="413" customFormat="false" ht="15" hidden="false" customHeight="false" outlineLevel="0" collapsed="false">
      <c r="A413" s="7" t="s">
        <v>1141</v>
      </c>
      <c r="B413" s="7" t="s">
        <v>1879</v>
      </c>
      <c r="C413" s="7"/>
      <c r="D413" s="6" t="s">
        <v>1141</v>
      </c>
      <c r="E413" s="6" t="s">
        <v>1880</v>
      </c>
      <c r="F413" s="7" t="str">
        <f aca="false">IF($D413="","",IFERROR(IF(INDEX(Hierarchy!$B$2:$B$1295,MATCH($D413,Hierarchy!$A$2:$A$1295,0))="","",INDEX(Hierarchy!$B$2:$B$1295,MATCH($D413,Hierarchy!$A$2:$A$1295,0))),"NODE NOT FOUND"))</f>
        <v>State/Province</v>
      </c>
      <c r="G413" s="7" t="str">
        <f aca="false">IF($D413="","",IFERROR(IF(INDEX(Hierarchy!$D$2:$D$1295,MATCH($D413,Hierarchy!$A$2:$A$1295,0))="","",INDEX(Hierarchy!$D$2:$D$1295,MATCH($D413,Hierarchy!$A$2:$A$1295,0))),"NODE NOT FOUND"))</f>
        <v>EMEA</v>
      </c>
      <c r="H413" s="7" t="str">
        <f aca="false">IF($D413="","",IFERROR(IF(INDEX(Hierarchy!$E$2:$E$1295,MATCH($D413,Hierarchy!$A$2:$A$1295,0))="","",INDEX(Hierarchy!$E$2:$E$1295,MATCH($D413,Hierarchy!$A$2:$A$1295,0))),"NODE NOT FOUND"))</f>
        <v>Africa</v>
      </c>
      <c r="I413" s="7" t="str">
        <f aca="false">IF($D413="","",IFERROR(IF(INDEX(Hierarchy!$F$2:$F$1295,MATCH($D413,Hierarchy!$A$2:$A$1295,0))="","",INDEX(Hierarchy!$F$2:$F$1295,MATCH($D413,Hierarchy!$A$2:$A$1295,0))),"NODE NOT FOUND"))</f>
        <v>Nigeria</v>
      </c>
      <c r="J413" s="7" t="str">
        <f aca="false">IF($D413="","",IFERROR(IF(INDEX(Hierarchy!$G$2:$G$1295,MATCH($D413,Hierarchy!$A$2:$A$1295,0))="","",INDEX(Hierarchy!$G$2:$G$1295,MATCH($D413,Hierarchy!$A$2:$A$1295,0))),"NODE NOT FOUND"))</f>
        <v>NGA</v>
      </c>
      <c r="K413" s="7" t="str">
        <f aca="false">IF($D413="","",IFERROR(IF(INDEX(Hierarchy!$H$2:$H$1295,MATCH($D413,Hierarchy!$A$2:$A$1295,0))="","",INDEX(Hierarchy!$H$2:$H$1295,MATCH($D413,Hierarchy!$A$2:$A$1295,0))),"NODE NOT FOUND"))</f>
        <v>Delta</v>
      </c>
      <c r="L413" s="7" t="str">
        <f aca="false">IF($D413="","",IFERROR(IF(INDEX(Hierarchy!$I$2:$I$1295,MATCH($D413,Hierarchy!$A$2:$A$1295,0))="","",INDEX(Hierarchy!$I$2:$I$1295,MATCH($D413,Hierarchy!$A$2:$A$1295,0))),"NODE NOT FOUND"))</f>
        <v/>
      </c>
      <c r="M413" s="17" t="str">
        <f aca="false">IF(B413="Pre-seeded","Pre-seeded",IF(B413="Review 2026-09-16","Added from review",IF(C413="","New",IF(C413=D413,"","Changed"))))</f>
        <v>Pre-seeded</v>
      </c>
      <c r="N413" s="7" t="str">
        <f aca="false">TRIM(SUBSTITUTE(SUBSTITUTE(SUBSTITUTE(" "&amp;TRIM(SUBSTITUTE(SUBSTITUTE(SUBSTITUTE(SUBSTITUTE(SUBSTITUTE(SUBSTITUTE(SUBSTITUTE(SUBSTITUTE(SUBSTITUTE(SUBSTITUTE(SUBSTITUTE(SUBSTITUTE(SUBSTITUTE(SUBSTITUTE(SUBSTITUTE(UPPER(TRIM(A413)),"[MEMBER]",""),"{MEMBER}",""),"[MEMBER}",""),"MEMBER]",""),"(A)",""),"""",""),"“",""),"”",""),".",""),":",""),",",""),"–"," "),"-"," "),"/"," "),"&amp;"," AND "))&amp;" "," THE "," ")," TOTAL "," ")," OPERATIONS "," "))</f>
        <v>DELTA</v>
      </c>
      <c r="O413" s="17" t="str">
        <f aca="false">IF(COUNTIFS($N$2:$N$2000,N413,$D$2:$D$2000,"&lt;&gt;"&amp;D413)&gt;0,"CONFLICT","")</f>
        <v/>
      </c>
      <c r="P413" s="7"/>
    </row>
    <row r="414" customFormat="false" ht="15" hidden="false" customHeight="false" outlineLevel="0" collapsed="false">
      <c r="A414" s="7" t="s">
        <v>2085</v>
      </c>
      <c r="B414" s="7" t="s">
        <v>1879</v>
      </c>
      <c r="C414" s="7"/>
      <c r="D414" s="6" t="s">
        <v>1557</v>
      </c>
      <c r="E414" s="6" t="s">
        <v>1880</v>
      </c>
      <c r="F414" s="7" t="str">
        <f aca="false">IF($D414="","",IFERROR(IF(INDEX(Hierarchy!$B$2:$B$1295,MATCH($D414,Hierarchy!$A$2:$A$1295,0))="","",INDEX(Hierarchy!$B$2:$B$1295,MATCH($D414,Hierarchy!$A$2:$A$1295,0))),"NODE NOT FOUND"))</f>
        <v>Country</v>
      </c>
      <c r="G414" s="7" t="str">
        <f aca="false">IF($D414="","",IFERROR(IF(INDEX(Hierarchy!$D$2:$D$1295,MATCH($D414,Hierarchy!$A$2:$A$1295,0))="","",INDEX(Hierarchy!$D$2:$D$1295,MATCH($D414,Hierarchy!$A$2:$A$1295,0))),"NODE NOT FOUND"))</f>
        <v>APAC</v>
      </c>
      <c r="H414" s="7" t="str">
        <f aca="false">IF($D414="","",IFERROR(IF(INDEX(Hierarchy!$E$2:$E$1295,MATCH($D414,Hierarchy!$A$2:$A$1295,0))="","",INDEX(Hierarchy!$E$2:$E$1295,MATCH($D414,Hierarchy!$A$2:$A$1295,0))),"NODE NOT FOUND"))</f>
        <v>East Asia</v>
      </c>
      <c r="I414" s="7" t="str">
        <f aca="false">IF($D414="","",IFERROR(IF(INDEX(Hierarchy!$F$2:$F$1295,MATCH($D414,Hierarchy!$A$2:$A$1295,0))="","",INDEX(Hierarchy!$F$2:$F$1295,MATCH($D414,Hierarchy!$A$2:$A$1295,0))),"NODE NOT FOUND"))</f>
        <v>North Korea</v>
      </c>
      <c r="J414" s="7" t="str">
        <f aca="false">IF($D414="","",IFERROR(IF(INDEX(Hierarchy!$G$2:$G$1295,MATCH($D414,Hierarchy!$A$2:$A$1295,0))="","",INDEX(Hierarchy!$G$2:$G$1295,MATCH($D414,Hierarchy!$A$2:$A$1295,0))),"NODE NOT FOUND"))</f>
        <v>PRK</v>
      </c>
      <c r="K414" s="7" t="str">
        <f aca="false">IF($D414="","",IFERROR(IF(INDEX(Hierarchy!$H$2:$H$1295,MATCH($D414,Hierarchy!$A$2:$A$1295,0))="","",INDEX(Hierarchy!$H$2:$H$1295,MATCH($D414,Hierarchy!$A$2:$A$1295,0))),"NODE NOT FOUND"))</f>
        <v/>
      </c>
      <c r="L414" s="7" t="str">
        <f aca="false">IF($D414="","",IFERROR(IF(INDEX(Hierarchy!$I$2:$I$1295,MATCH($D414,Hierarchy!$A$2:$A$1295,0))="","",INDEX(Hierarchy!$I$2:$I$1295,MATCH($D414,Hierarchy!$A$2:$A$1295,0))),"NODE NOT FOUND"))</f>
        <v/>
      </c>
      <c r="M414" s="17" t="str">
        <f aca="false">IF(B414="Pre-seeded","Pre-seeded",IF(B414="Review 2026-09-16","Added from review",IF(C414="","New",IF(C414=D414,"","Changed"))))</f>
        <v>Pre-seeded</v>
      </c>
      <c r="N414" s="7" t="str">
        <f aca="false">TRIM(SUBSTITUTE(SUBSTITUTE(SUBSTITUTE(" "&amp;TRIM(SUBSTITUTE(SUBSTITUTE(SUBSTITUTE(SUBSTITUTE(SUBSTITUTE(SUBSTITUTE(SUBSTITUTE(SUBSTITUTE(SUBSTITUTE(SUBSTITUTE(SUBSTITUTE(SUBSTITUTE(SUBSTITUTE(SUBSTITUTE(SUBSTITUTE(UPPER(TRIM(A414)),"[MEMBER]",""),"{MEMBER}",""),"[MEMBER}",""),"MEMBER]",""),"(A)",""),"""",""),"“",""),"”",""),".",""),":",""),",",""),"–"," "),"-"," "),"/"," "),"&amp;"," AND "))&amp;" "," THE "," ")," TOTAL "," ")," OPERATIONS "," "))</f>
        <v>DEMOCRATIC PEOPLE'S REPUBLIC OF KOREA</v>
      </c>
      <c r="O414" s="17" t="str">
        <f aca="false">IF(COUNTIFS($N$2:$N$2000,N414,$D$2:$D$2000,"&lt;&gt;"&amp;D414)&gt;0,"CONFLICT","")</f>
        <v/>
      </c>
      <c r="P414" s="7" t="s">
        <v>1936</v>
      </c>
    </row>
    <row r="415" customFormat="false" ht="15" hidden="false" customHeight="false" outlineLevel="0" collapsed="false">
      <c r="A415" s="7" t="s">
        <v>2086</v>
      </c>
      <c r="B415" s="7" t="s">
        <v>1882</v>
      </c>
      <c r="C415" s="7" t="s">
        <v>1207</v>
      </c>
      <c r="D415" s="6" t="s">
        <v>1207</v>
      </c>
      <c r="E415" s="6" t="s">
        <v>1880</v>
      </c>
      <c r="F415" s="7" t="str">
        <f aca="false">IF($D415="","",IFERROR(IF(INDEX(Hierarchy!$B$2:$B$1295,MATCH($D415,Hierarchy!$A$2:$A$1295,0))="","",INDEX(Hierarchy!$B$2:$B$1295,MATCH($D415,Hierarchy!$A$2:$A$1295,0))),"NODE NOT FOUND"))</f>
        <v>Country</v>
      </c>
      <c r="G415" s="7" t="str">
        <f aca="false">IF($D415="","",IFERROR(IF(INDEX(Hierarchy!$D$2:$D$1295,MATCH($D415,Hierarchy!$A$2:$A$1295,0))="","",INDEX(Hierarchy!$D$2:$D$1295,MATCH($D415,Hierarchy!$A$2:$A$1295,0))),"NODE NOT FOUND"))</f>
        <v>EMEA</v>
      </c>
      <c r="H415" s="7" t="str">
        <f aca="false">IF($D415="","",IFERROR(IF(INDEX(Hierarchy!$E$2:$E$1295,MATCH($D415,Hierarchy!$A$2:$A$1295,0))="","",INDEX(Hierarchy!$E$2:$E$1295,MATCH($D415,Hierarchy!$A$2:$A$1295,0))),"NODE NOT FOUND"))</f>
        <v>Africa</v>
      </c>
      <c r="I415" s="7" t="str">
        <f aca="false">IF($D415="","",IFERROR(IF(INDEX(Hierarchy!$F$2:$F$1295,MATCH($D415,Hierarchy!$A$2:$A$1295,0))="","",INDEX(Hierarchy!$F$2:$F$1295,MATCH($D415,Hierarchy!$A$2:$A$1295,0))),"NODE NOT FOUND"))</f>
        <v>Democratic Republic of the Congo (DRC)</v>
      </c>
      <c r="J415" s="7" t="str">
        <f aca="false">IF($D415="","",IFERROR(IF(INDEX(Hierarchy!$G$2:$G$1295,MATCH($D415,Hierarchy!$A$2:$A$1295,0))="","",INDEX(Hierarchy!$G$2:$G$1295,MATCH($D415,Hierarchy!$A$2:$A$1295,0))),"NODE NOT FOUND"))</f>
        <v>COD</v>
      </c>
      <c r="K415" s="7" t="str">
        <f aca="false">IF($D415="","",IFERROR(IF(INDEX(Hierarchy!$H$2:$H$1295,MATCH($D415,Hierarchy!$A$2:$A$1295,0))="","",INDEX(Hierarchy!$H$2:$H$1295,MATCH($D415,Hierarchy!$A$2:$A$1295,0))),"NODE NOT FOUND"))</f>
        <v/>
      </c>
      <c r="L415" s="7" t="str">
        <f aca="false">IF($D415="","",IFERROR(IF(INDEX(Hierarchy!$I$2:$I$1295,MATCH($D415,Hierarchy!$A$2:$A$1295,0))="","",INDEX(Hierarchy!$I$2:$I$1295,MATCH($D415,Hierarchy!$A$2:$A$1295,0))),"NODE NOT FOUND"))</f>
        <v/>
      </c>
      <c r="M415" s="17" t="str">
        <f aca="false">IF(B415="Pre-seeded","Pre-seeded",IF(B415="Review 2026-09-16","Added from review",IF(C415="","New",IF(C415=D415,"","Changed"))))</f>
        <v/>
      </c>
      <c r="N415" s="7" t="str">
        <f aca="false">TRIM(SUBSTITUTE(SUBSTITUTE(SUBSTITUTE(" "&amp;TRIM(SUBSTITUTE(SUBSTITUTE(SUBSTITUTE(SUBSTITUTE(SUBSTITUTE(SUBSTITUTE(SUBSTITUTE(SUBSTITUTE(SUBSTITUTE(SUBSTITUTE(SUBSTITUTE(SUBSTITUTE(SUBSTITUTE(SUBSTITUTE(SUBSTITUTE(UPPER(TRIM(A415)),"[MEMBER]",""),"{MEMBER}",""),"[MEMBER}",""),"MEMBER]",""),"(A)",""),"""",""),"“",""),"”",""),".",""),":",""),",",""),"–"," "),"-"," "),"/"," "),"&amp;"," AND "))&amp;" "," THE "," ")," TOTAL "," ")," OPERATIONS "," "))</f>
        <v>DEMOCRATIC REPUBLIC OF CONGO</v>
      </c>
      <c r="O415" s="17" t="str">
        <f aca="false">IF(COUNTIFS($N$2:$N$2000,N415,$D$2:$D$2000,"&lt;&gt;"&amp;D415)&gt;0,"CONFLICT","")</f>
        <v/>
      </c>
      <c r="P415" s="7"/>
    </row>
    <row r="416" customFormat="false" ht="15" hidden="false" customHeight="false" outlineLevel="0" collapsed="false">
      <c r="A416" s="7" t="s">
        <v>2087</v>
      </c>
      <c r="B416" s="7" t="s">
        <v>1879</v>
      </c>
      <c r="C416" s="7"/>
      <c r="D416" s="6" t="s">
        <v>1280</v>
      </c>
      <c r="E416" s="6" t="s">
        <v>1880</v>
      </c>
      <c r="F416" s="7" t="str">
        <f aca="false">IF($D416="","",IFERROR(IF(INDEX(Hierarchy!$B$2:$B$1295,MATCH($D416,Hierarchy!$A$2:$A$1295,0))="","",INDEX(Hierarchy!$B$2:$B$1295,MATCH($D416,Hierarchy!$A$2:$A$1295,0))),"NODE NOT FOUND"))</f>
        <v>Country</v>
      </c>
      <c r="G416" s="7" t="str">
        <f aca="false">IF($D416="","",IFERROR(IF(INDEX(Hierarchy!$D$2:$D$1295,MATCH($D416,Hierarchy!$A$2:$A$1295,0))="","",INDEX(Hierarchy!$D$2:$D$1295,MATCH($D416,Hierarchy!$A$2:$A$1295,0))),"NODE NOT FOUND"))</f>
        <v>EMEA</v>
      </c>
      <c r="H416" s="7" t="str">
        <f aca="false">IF($D416="","",IFERROR(IF(INDEX(Hierarchy!$E$2:$E$1295,MATCH($D416,Hierarchy!$A$2:$A$1295,0))="","",INDEX(Hierarchy!$E$2:$E$1295,MATCH($D416,Hierarchy!$A$2:$A$1295,0))),"NODE NOT FOUND"))</f>
        <v>Africa</v>
      </c>
      <c r="I416" s="7" t="str">
        <f aca="false">IF($D416="","",IFERROR(IF(INDEX(Hierarchy!$F$2:$F$1295,MATCH($D416,Hierarchy!$A$2:$A$1295,0))="","",INDEX(Hierarchy!$F$2:$F$1295,MATCH($D416,Hierarchy!$A$2:$A$1295,0))),"NODE NOT FOUND"))</f>
        <v>Sao Tome and Principe</v>
      </c>
      <c r="J416" s="7" t="str">
        <f aca="false">IF($D416="","",IFERROR(IF(INDEX(Hierarchy!$G$2:$G$1295,MATCH($D416,Hierarchy!$A$2:$A$1295,0))="","",INDEX(Hierarchy!$G$2:$G$1295,MATCH($D416,Hierarchy!$A$2:$A$1295,0))),"NODE NOT FOUND"))</f>
        <v>STP</v>
      </c>
      <c r="K416" s="7" t="str">
        <f aca="false">IF($D416="","",IFERROR(IF(INDEX(Hierarchy!$H$2:$H$1295,MATCH($D416,Hierarchy!$A$2:$A$1295,0))="","",INDEX(Hierarchy!$H$2:$H$1295,MATCH($D416,Hierarchy!$A$2:$A$1295,0))),"NODE NOT FOUND"))</f>
        <v/>
      </c>
      <c r="L416" s="7" t="str">
        <f aca="false">IF($D416="","",IFERROR(IF(INDEX(Hierarchy!$I$2:$I$1295,MATCH($D416,Hierarchy!$A$2:$A$1295,0))="","",INDEX(Hierarchy!$I$2:$I$1295,MATCH($D416,Hierarchy!$A$2:$A$1295,0))),"NODE NOT FOUND"))</f>
        <v/>
      </c>
      <c r="M416" s="17" t="str">
        <f aca="false">IF(B416="Pre-seeded","Pre-seeded",IF(B416="Review 2026-09-16","Added from review",IF(C416="","New",IF(C416=D416,"","Changed"))))</f>
        <v>Pre-seeded</v>
      </c>
      <c r="N416" s="7" t="str">
        <f aca="false">TRIM(SUBSTITUTE(SUBSTITUTE(SUBSTITUTE(" "&amp;TRIM(SUBSTITUTE(SUBSTITUTE(SUBSTITUTE(SUBSTITUTE(SUBSTITUTE(SUBSTITUTE(SUBSTITUTE(SUBSTITUTE(SUBSTITUTE(SUBSTITUTE(SUBSTITUTE(SUBSTITUTE(SUBSTITUTE(SUBSTITUTE(SUBSTITUTE(UPPER(TRIM(A416)),"[MEMBER]",""),"{MEMBER}",""),"[MEMBER}",""),"MEMBER]",""),"(A)",""),"""",""),"“",""),"”",""),".",""),":",""),",",""),"–"," "),"-"," "),"/"," "),"&amp;"," AND "))&amp;" "," THE "," ")," TOTAL "," ")," OPERATIONS "," "))</f>
        <v>DEMOCRATIC REPUBLIC OF SAO TOME AND PRINCIPE</v>
      </c>
      <c r="O416" s="17" t="str">
        <f aca="false">IF(COUNTIFS($N$2:$N$2000,N416,$D$2:$D$2000,"&lt;&gt;"&amp;D416)&gt;0,"CONFLICT","")</f>
        <v/>
      </c>
      <c r="P416" s="7" t="s">
        <v>1936</v>
      </c>
    </row>
    <row r="417" customFormat="false" ht="15" hidden="false" customHeight="false" outlineLevel="0" collapsed="false">
      <c r="A417" s="7" t="s">
        <v>1207</v>
      </c>
      <c r="B417" s="7" t="s">
        <v>1879</v>
      </c>
      <c r="C417" s="7"/>
      <c r="D417" s="6" t="s">
        <v>1207</v>
      </c>
      <c r="E417" s="6" t="s">
        <v>1880</v>
      </c>
      <c r="F417" s="7" t="str">
        <f aca="false">IF($D417="","",IFERROR(IF(INDEX(Hierarchy!$B$2:$B$1295,MATCH($D417,Hierarchy!$A$2:$A$1295,0))="","",INDEX(Hierarchy!$B$2:$B$1295,MATCH($D417,Hierarchy!$A$2:$A$1295,0))),"NODE NOT FOUND"))</f>
        <v>Country</v>
      </c>
      <c r="G417" s="7" t="str">
        <f aca="false">IF($D417="","",IFERROR(IF(INDEX(Hierarchy!$D$2:$D$1295,MATCH($D417,Hierarchy!$A$2:$A$1295,0))="","",INDEX(Hierarchy!$D$2:$D$1295,MATCH($D417,Hierarchy!$A$2:$A$1295,0))),"NODE NOT FOUND"))</f>
        <v>EMEA</v>
      </c>
      <c r="H417" s="7" t="str">
        <f aca="false">IF($D417="","",IFERROR(IF(INDEX(Hierarchy!$E$2:$E$1295,MATCH($D417,Hierarchy!$A$2:$A$1295,0))="","",INDEX(Hierarchy!$E$2:$E$1295,MATCH($D417,Hierarchy!$A$2:$A$1295,0))),"NODE NOT FOUND"))</f>
        <v>Africa</v>
      </c>
      <c r="I417" s="7" t="str">
        <f aca="false">IF($D417="","",IFERROR(IF(INDEX(Hierarchy!$F$2:$F$1295,MATCH($D417,Hierarchy!$A$2:$A$1295,0))="","",INDEX(Hierarchy!$F$2:$F$1295,MATCH($D417,Hierarchy!$A$2:$A$1295,0))),"NODE NOT FOUND"))</f>
        <v>Democratic Republic of the Congo (DRC)</v>
      </c>
      <c r="J417" s="7" t="str">
        <f aca="false">IF($D417="","",IFERROR(IF(INDEX(Hierarchy!$G$2:$G$1295,MATCH($D417,Hierarchy!$A$2:$A$1295,0))="","",INDEX(Hierarchy!$G$2:$G$1295,MATCH($D417,Hierarchy!$A$2:$A$1295,0))),"NODE NOT FOUND"))</f>
        <v>COD</v>
      </c>
      <c r="K417" s="7" t="str">
        <f aca="false">IF($D417="","",IFERROR(IF(INDEX(Hierarchy!$H$2:$H$1295,MATCH($D417,Hierarchy!$A$2:$A$1295,0))="","",INDEX(Hierarchy!$H$2:$H$1295,MATCH($D417,Hierarchy!$A$2:$A$1295,0))),"NODE NOT FOUND"))</f>
        <v/>
      </c>
      <c r="L417" s="7" t="str">
        <f aca="false">IF($D417="","",IFERROR(IF(INDEX(Hierarchy!$I$2:$I$1295,MATCH($D417,Hierarchy!$A$2:$A$1295,0))="","",INDEX(Hierarchy!$I$2:$I$1295,MATCH($D417,Hierarchy!$A$2:$A$1295,0))),"NODE NOT FOUND"))</f>
        <v/>
      </c>
      <c r="M417" s="17" t="str">
        <f aca="false">IF(B417="Pre-seeded","Pre-seeded",IF(B417="Review 2026-09-16","Added from review",IF(C417="","New",IF(C417=D417,"","Changed"))))</f>
        <v>Pre-seeded</v>
      </c>
      <c r="N417" s="7" t="str">
        <f aca="false">TRIM(SUBSTITUTE(SUBSTITUTE(SUBSTITUTE(" "&amp;TRIM(SUBSTITUTE(SUBSTITUTE(SUBSTITUTE(SUBSTITUTE(SUBSTITUTE(SUBSTITUTE(SUBSTITUTE(SUBSTITUTE(SUBSTITUTE(SUBSTITUTE(SUBSTITUTE(SUBSTITUTE(SUBSTITUTE(SUBSTITUTE(SUBSTITUTE(UPPER(TRIM(A417)),"[MEMBER]",""),"{MEMBER}",""),"[MEMBER}",""),"MEMBER]",""),"(A)",""),"""",""),"“",""),"”",""),".",""),":",""),",",""),"–"," "),"-"," "),"/"," "),"&amp;"," AND "))&amp;" "," THE "," ")," TOTAL "," ")," OPERATIONS "," "))</f>
        <v>DEMOCRATIC REPUBLIC OF CONGO (DRC)</v>
      </c>
      <c r="O417" s="17" t="str">
        <f aca="false">IF(COUNTIFS($N$2:$N$2000,N417,$D$2:$D$2000,"&lt;&gt;"&amp;D417)&gt;0,"CONFLICT","")</f>
        <v/>
      </c>
      <c r="P417" s="7"/>
    </row>
    <row r="418" customFormat="false" ht="15" hidden="false" customHeight="false" outlineLevel="0" collapsed="false">
      <c r="A418" s="7" t="s">
        <v>2088</v>
      </c>
      <c r="B418" s="7" t="s">
        <v>1879</v>
      </c>
      <c r="C418" s="7"/>
      <c r="D418" s="6" t="s">
        <v>1687</v>
      </c>
      <c r="E418" s="6" t="s">
        <v>1880</v>
      </c>
      <c r="F418" s="7" t="str">
        <f aca="false">IF($D418="","",IFERROR(IF(INDEX(Hierarchy!$B$2:$B$1295,MATCH($D418,Hierarchy!$A$2:$A$1295,0))="","",INDEX(Hierarchy!$B$2:$B$1295,MATCH($D418,Hierarchy!$A$2:$A$1295,0))),"NODE NOT FOUND"))</f>
        <v>Country</v>
      </c>
      <c r="G418" s="7" t="str">
        <f aca="false">IF($D418="","",IFERROR(IF(INDEX(Hierarchy!$D$2:$D$1295,MATCH($D418,Hierarchy!$A$2:$A$1295,0))="","",INDEX(Hierarchy!$D$2:$D$1295,MATCH($D418,Hierarchy!$A$2:$A$1295,0))),"NODE NOT FOUND"))</f>
        <v>APAC</v>
      </c>
      <c r="H418" s="7" t="str">
        <f aca="false">IF($D418="","",IFERROR(IF(INDEX(Hierarchy!$E$2:$E$1295,MATCH($D418,Hierarchy!$A$2:$A$1295,0))="","",INDEX(Hierarchy!$E$2:$E$1295,MATCH($D418,Hierarchy!$A$2:$A$1295,0))),"NODE NOT FOUND"))</f>
        <v>Southeast Asia (ASEAN)</v>
      </c>
      <c r="I418" s="7" t="str">
        <f aca="false">IF($D418="","",IFERROR(IF(INDEX(Hierarchy!$F$2:$F$1295,MATCH($D418,Hierarchy!$A$2:$A$1295,0))="","",INDEX(Hierarchy!$F$2:$F$1295,MATCH($D418,Hierarchy!$A$2:$A$1295,0))),"NODE NOT FOUND"))</f>
        <v>Timor-Leste</v>
      </c>
      <c r="J418" s="7" t="str">
        <f aca="false">IF($D418="","",IFERROR(IF(INDEX(Hierarchy!$G$2:$G$1295,MATCH($D418,Hierarchy!$A$2:$A$1295,0))="","",INDEX(Hierarchy!$G$2:$G$1295,MATCH($D418,Hierarchy!$A$2:$A$1295,0))),"NODE NOT FOUND"))</f>
        <v>TLS</v>
      </c>
      <c r="K418" s="7" t="str">
        <f aca="false">IF($D418="","",IFERROR(IF(INDEX(Hierarchy!$H$2:$H$1295,MATCH($D418,Hierarchy!$A$2:$A$1295,0))="","",INDEX(Hierarchy!$H$2:$H$1295,MATCH($D418,Hierarchy!$A$2:$A$1295,0))),"NODE NOT FOUND"))</f>
        <v/>
      </c>
      <c r="L418" s="7" t="str">
        <f aca="false">IF($D418="","",IFERROR(IF(INDEX(Hierarchy!$I$2:$I$1295,MATCH($D418,Hierarchy!$A$2:$A$1295,0))="","",INDEX(Hierarchy!$I$2:$I$1295,MATCH($D418,Hierarchy!$A$2:$A$1295,0))),"NODE NOT FOUND"))</f>
        <v/>
      </c>
      <c r="M418" s="17" t="str">
        <f aca="false">IF(B418="Pre-seeded","Pre-seeded",IF(B418="Review 2026-09-16","Added from review",IF(C418="","New",IF(C418=D418,"","Changed"))))</f>
        <v>Pre-seeded</v>
      </c>
      <c r="N418" s="7" t="str">
        <f aca="false">TRIM(SUBSTITUTE(SUBSTITUTE(SUBSTITUTE(" "&amp;TRIM(SUBSTITUTE(SUBSTITUTE(SUBSTITUTE(SUBSTITUTE(SUBSTITUTE(SUBSTITUTE(SUBSTITUTE(SUBSTITUTE(SUBSTITUTE(SUBSTITUTE(SUBSTITUTE(SUBSTITUTE(SUBSTITUTE(SUBSTITUTE(SUBSTITUTE(UPPER(TRIM(A418)),"[MEMBER]",""),"{MEMBER}",""),"[MEMBER}",""),"MEMBER]",""),"(A)",""),"""",""),"“",""),"”",""),".",""),":",""),",",""),"–"," "),"-"," "),"/"," "),"&amp;"," AND "))&amp;" "," THE "," ")," TOTAL "," ")," OPERATIONS "," "))</f>
        <v>DEMOCRATIC REPUBLIC OF TIMOR LESTE</v>
      </c>
      <c r="O418" s="17" t="str">
        <f aca="false">IF(COUNTIFS($N$2:$N$2000,N418,$D$2:$D$2000,"&lt;&gt;"&amp;D418)&gt;0,"CONFLICT","")</f>
        <v/>
      </c>
      <c r="P418" s="7" t="s">
        <v>1936</v>
      </c>
    </row>
    <row r="419" customFormat="false" ht="15" hidden="false" customHeight="false" outlineLevel="0" collapsed="false">
      <c r="A419" s="7" t="s">
        <v>2089</v>
      </c>
      <c r="B419" s="7" t="s">
        <v>1879</v>
      </c>
      <c r="C419" s="7"/>
      <c r="D419" s="6" t="s">
        <v>1407</v>
      </c>
      <c r="E419" s="6" t="s">
        <v>1880</v>
      </c>
      <c r="F419" s="7" t="str">
        <f aca="false">IF($D419="","",IFERROR(IF(INDEX(Hierarchy!$B$2:$B$1295,MATCH($D419,Hierarchy!$A$2:$A$1295,0))="","",INDEX(Hierarchy!$B$2:$B$1295,MATCH($D419,Hierarchy!$A$2:$A$1295,0))),"NODE NOT FOUND"))</f>
        <v>Country</v>
      </c>
      <c r="G419" s="7" t="str">
        <f aca="false">IF($D419="","",IFERROR(IF(INDEX(Hierarchy!$D$2:$D$1295,MATCH($D419,Hierarchy!$A$2:$A$1295,0))="","",INDEX(Hierarchy!$D$2:$D$1295,MATCH($D419,Hierarchy!$A$2:$A$1295,0))),"NODE NOT FOUND"))</f>
        <v>APAC</v>
      </c>
      <c r="H419" s="7" t="str">
        <f aca="false">IF($D419="","",IFERROR(IF(INDEX(Hierarchy!$E$2:$E$1295,MATCH($D419,Hierarchy!$A$2:$A$1295,0))="","",INDEX(Hierarchy!$E$2:$E$1295,MATCH($D419,Hierarchy!$A$2:$A$1295,0))),"NODE NOT FOUND"))</f>
        <v>South Asia</v>
      </c>
      <c r="I419" s="7" t="str">
        <f aca="false">IF($D419="","",IFERROR(IF(INDEX(Hierarchy!$F$2:$F$1295,MATCH($D419,Hierarchy!$A$2:$A$1295,0))="","",INDEX(Hierarchy!$F$2:$F$1295,MATCH($D419,Hierarchy!$A$2:$A$1295,0))),"NODE NOT FOUND"))</f>
        <v>Sri Lanka</v>
      </c>
      <c r="J419" s="7" t="str">
        <f aca="false">IF($D419="","",IFERROR(IF(INDEX(Hierarchy!$G$2:$G$1295,MATCH($D419,Hierarchy!$A$2:$A$1295,0))="","",INDEX(Hierarchy!$G$2:$G$1295,MATCH($D419,Hierarchy!$A$2:$A$1295,0))),"NODE NOT FOUND"))</f>
        <v>LKA</v>
      </c>
      <c r="K419" s="7" t="str">
        <f aca="false">IF($D419="","",IFERROR(IF(INDEX(Hierarchy!$H$2:$H$1295,MATCH($D419,Hierarchy!$A$2:$A$1295,0))="","",INDEX(Hierarchy!$H$2:$H$1295,MATCH($D419,Hierarchy!$A$2:$A$1295,0))),"NODE NOT FOUND"))</f>
        <v/>
      </c>
      <c r="L419" s="7" t="str">
        <f aca="false">IF($D419="","",IFERROR(IF(INDEX(Hierarchy!$I$2:$I$1295,MATCH($D419,Hierarchy!$A$2:$A$1295,0))="","",INDEX(Hierarchy!$I$2:$I$1295,MATCH($D419,Hierarchy!$A$2:$A$1295,0))),"NODE NOT FOUND"))</f>
        <v/>
      </c>
      <c r="M419" s="17" t="str">
        <f aca="false">IF(B419="Pre-seeded","Pre-seeded",IF(B419="Review 2026-09-16","Added from review",IF(C419="","New",IF(C419=D419,"","Changed"))))</f>
        <v>Pre-seeded</v>
      </c>
      <c r="N419" s="7" t="str">
        <f aca="false">TRIM(SUBSTITUTE(SUBSTITUTE(SUBSTITUTE(" "&amp;TRIM(SUBSTITUTE(SUBSTITUTE(SUBSTITUTE(SUBSTITUTE(SUBSTITUTE(SUBSTITUTE(SUBSTITUTE(SUBSTITUTE(SUBSTITUTE(SUBSTITUTE(SUBSTITUTE(SUBSTITUTE(SUBSTITUTE(SUBSTITUTE(SUBSTITUTE(UPPER(TRIM(A419)),"[MEMBER]",""),"{MEMBER}",""),"[MEMBER}",""),"MEMBER]",""),"(A)",""),"""",""),"“",""),"”",""),".",""),":",""),",",""),"–"," "),"-"," "),"/"," "),"&amp;"," AND "))&amp;" "," THE "," ")," TOTAL "," ")," OPERATIONS "," "))</f>
        <v>DEMOCRATIC SOCIALIST REPUBLIC OF SRI LANKA</v>
      </c>
      <c r="O419" s="17" t="str">
        <f aca="false">IF(COUNTIFS($N$2:$N$2000,N419,$D$2:$D$2000,"&lt;&gt;"&amp;D419)&gt;0,"CONFLICT","")</f>
        <v/>
      </c>
      <c r="P419" s="7" t="s">
        <v>1936</v>
      </c>
    </row>
    <row r="420" customFormat="false" ht="15" hidden="false" customHeight="false" outlineLevel="0" collapsed="false">
      <c r="A420" s="7" t="s">
        <v>787</v>
      </c>
      <c r="B420" s="7" t="s">
        <v>1882</v>
      </c>
      <c r="C420" s="7" t="s">
        <v>787</v>
      </c>
      <c r="D420" s="6" t="s">
        <v>787</v>
      </c>
      <c r="E420" s="6" t="s">
        <v>1880</v>
      </c>
      <c r="F420" s="7" t="str">
        <f aca="false">IF($D420="","",IFERROR(IF(INDEX(Hierarchy!$B$2:$B$1295,MATCH($D420,Hierarchy!$A$2:$A$1295,0))="","",INDEX(Hierarchy!$B$2:$B$1295,MATCH($D420,Hierarchy!$A$2:$A$1295,0))),"NODE NOT FOUND"))</f>
        <v>Country</v>
      </c>
      <c r="G420" s="7" t="str">
        <f aca="false">IF($D420="","",IFERROR(IF(INDEX(Hierarchy!$D$2:$D$1295,MATCH($D420,Hierarchy!$A$2:$A$1295,0))="","",INDEX(Hierarchy!$D$2:$D$1295,MATCH($D420,Hierarchy!$A$2:$A$1295,0))),"NODE NOT FOUND"))</f>
        <v>EMEA</v>
      </c>
      <c r="H420" s="7" t="str">
        <f aca="false">IF($D420="","",IFERROR(IF(INDEX(Hierarchy!$E$2:$E$1295,MATCH($D420,Hierarchy!$A$2:$A$1295,0))="","",INDEX(Hierarchy!$E$2:$E$1295,MATCH($D420,Hierarchy!$A$2:$A$1295,0))),"NODE NOT FOUND"))</f>
        <v>Europe</v>
      </c>
      <c r="I420" s="7" t="str">
        <f aca="false">IF($D420="","",IFERROR(IF(INDEX(Hierarchy!$F$2:$F$1295,MATCH($D420,Hierarchy!$A$2:$A$1295,0))="","",INDEX(Hierarchy!$F$2:$F$1295,MATCH($D420,Hierarchy!$A$2:$A$1295,0))),"NODE NOT FOUND"))</f>
        <v>Denmark</v>
      </c>
      <c r="J420" s="7" t="str">
        <f aca="false">IF($D420="","",IFERROR(IF(INDEX(Hierarchy!$G$2:$G$1295,MATCH($D420,Hierarchy!$A$2:$A$1295,0))="","",INDEX(Hierarchy!$G$2:$G$1295,MATCH($D420,Hierarchy!$A$2:$A$1295,0))),"NODE NOT FOUND"))</f>
        <v>DNK</v>
      </c>
      <c r="K420" s="7" t="str">
        <f aca="false">IF($D420="","",IFERROR(IF(INDEX(Hierarchy!$H$2:$H$1295,MATCH($D420,Hierarchy!$A$2:$A$1295,0))="","",INDEX(Hierarchy!$H$2:$H$1295,MATCH($D420,Hierarchy!$A$2:$A$1295,0))),"NODE NOT FOUND"))</f>
        <v/>
      </c>
      <c r="L420" s="7" t="str">
        <f aca="false">IF($D420="","",IFERROR(IF(INDEX(Hierarchy!$I$2:$I$1295,MATCH($D420,Hierarchy!$A$2:$A$1295,0))="","",INDEX(Hierarchy!$I$2:$I$1295,MATCH($D420,Hierarchy!$A$2:$A$1295,0))),"NODE NOT FOUND"))</f>
        <v/>
      </c>
      <c r="M420" s="17" t="str">
        <f aca="false">IF(B420="Pre-seeded","Pre-seeded",IF(B420="Review 2026-09-16","Added from review",IF(C420="","New",IF(C420=D420,"","Changed"))))</f>
        <v/>
      </c>
      <c r="N420" s="7" t="str">
        <f aca="false">TRIM(SUBSTITUTE(SUBSTITUTE(SUBSTITUTE(" "&amp;TRIM(SUBSTITUTE(SUBSTITUTE(SUBSTITUTE(SUBSTITUTE(SUBSTITUTE(SUBSTITUTE(SUBSTITUTE(SUBSTITUTE(SUBSTITUTE(SUBSTITUTE(SUBSTITUTE(SUBSTITUTE(SUBSTITUTE(SUBSTITUTE(SUBSTITUTE(UPPER(TRIM(A420)),"[MEMBER]",""),"{MEMBER}",""),"[MEMBER}",""),"MEMBER]",""),"(A)",""),"""",""),"“",""),"”",""),".",""),":",""),",",""),"–"," "),"-"," "),"/"," "),"&amp;"," AND "))&amp;" "," THE "," ")," TOTAL "," ")," OPERATIONS "," "))</f>
        <v>DENMARK</v>
      </c>
      <c r="O420" s="17" t="str">
        <f aca="false">IF(COUNTIFS($N$2:$N$2000,N420,$D$2:$D$2000,"&lt;&gt;"&amp;D420)&gt;0,"CONFLICT","")</f>
        <v/>
      </c>
      <c r="P420" s="7"/>
    </row>
    <row r="421" customFormat="false" ht="15" hidden="false" customHeight="false" outlineLevel="0" collapsed="false">
      <c r="A421" s="7" t="s">
        <v>2090</v>
      </c>
      <c r="B421" s="7" t="s">
        <v>1882</v>
      </c>
      <c r="C421" s="7" t="s">
        <v>787</v>
      </c>
      <c r="D421" s="6" t="s">
        <v>787</v>
      </c>
      <c r="E421" s="6" t="s">
        <v>1880</v>
      </c>
      <c r="F421" s="7" t="str">
        <f aca="false">IF($D421="","",IFERROR(IF(INDEX(Hierarchy!$B$2:$B$1295,MATCH($D421,Hierarchy!$A$2:$A$1295,0))="","",INDEX(Hierarchy!$B$2:$B$1295,MATCH($D421,Hierarchy!$A$2:$A$1295,0))),"NODE NOT FOUND"))</f>
        <v>Country</v>
      </c>
      <c r="G421" s="7" t="str">
        <f aca="false">IF($D421="","",IFERROR(IF(INDEX(Hierarchy!$D$2:$D$1295,MATCH($D421,Hierarchy!$A$2:$A$1295,0))="","",INDEX(Hierarchy!$D$2:$D$1295,MATCH($D421,Hierarchy!$A$2:$A$1295,0))),"NODE NOT FOUND"))</f>
        <v>EMEA</v>
      </c>
      <c r="H421" s="7" t="str">
        <f aca="false">IF($D421="","",IFERROR(IF(INDEX(Hierarchy!$E$2:$E$1295,MATCH($D421,Hierarchy!$A$2:$A$1295,0))="","",INDEX(Hierarchy!$E$2:$E$1295,MATCH($D421,Hierarchy!$A$2:$A$1295,0))),"NODE NOT FOUND"))</f>
        <v>Europe</v>
      </c>
      <c r="I421" s="7" t="str">
        <f aca="false">IF($D421="","",IFERROR(IF(INDEX(Hierarchy!$F$2:$F$1295,MATCH($D421,Hierarchy!$A$2:$A$1295,0))="","",INDEX(Hierarchy!$F$2:$F$1295,MATCH($D421,Hierarchy!$A$2:$A$1295,0))),"NODE NOT FOUND"))</f>
        <v>Denmark</v>
      </c>
      <c r="J421" s="7" t="str">
        <f aca="false">IF($D421="","",IFERROR(IF(INDEX(Hierarchy!$G$2:$G$1295,MATCH($D421,Hierarchy!$A$2:$A$1295,0))="","",INDEX(Hierarchy!$G$2:$G$1295,MATCH($D421,Hierarchy!$A$2:$A$1295,0))),"NODE NOT FOUND"))</f>
        <v>DNK</v>
      </c>
      <c r="K421" s="7" t="str">
        <f aca="false">IF($D421="","",IFERROR(IF(INDEX(Hierarchy!$H$2:$H$1295,MATCH($D421,Hierarchy!$A$2:$A$1295,0))="","",INDEX(Hierarchy!$H$2:$H$1295,MATCH($D421,Hierarchy!$A$2:$A$1295,0))),"NODE NOT FOUND"))</f>
        <v/>
      </c>
      <c r="L421" s="7" t="str">
        <f aca="false">IF($D421="","",IFERROR(IF(INDEX(Hierarchy!$I$2:$I$1295,MATCH($D421,Hierarchy!$A$2:$A$1295,0))="","",INDEX(Hierarchy!$I$2:$I$1295,MATCH($D421,Hierarchy!$A$2:$A$1295,0))),"NODE NOT FOUND"))</f>
        <v/>
      </c>
      <c r="M421" s="17" t="str">
        <f aca="false">IF(B421="Pre-seeded","Pre-seeded",IF(B421="Review 2026-09-16","Added from review",IF(C421="","New",IF(C421=D421,"","Changed"))))</f>
        <v/>
      </c>
      <c r="N421" s="7" t="str">
        <f aca="false">TRIM(SUBSTITUTE(SUBSTITUTE(SUBSTITUTE(" "&amp;TRIM(SUBSTITUTE(SUBSTITUTE(SUBSTITUTE(SUBSTITUTE(SUBSTITUTE(SUBSTITUTE(SUBSTITUTE(SUBSTITUTE(SUBSTITUTE(SUBSTITUTE(SUBSTITUTE(SUBSTITUTE(SUBSTITUTE(SUBSTITUTE(SUBSTITUTE(UPPER(TRIM(A421)),"[MEMBER]",""),"{MEMBER}",""),"[MEMBER}",""),"MEMBER]",""),"(A)",""),"""",""),"“",""),"”",""),".",""),":",""),",",""),"–"," "),"-"," "),"/"," "),"&amp;"," AND "))&amp;" "," THE "," ")," TOTAL "," ")," OPERATIONS "," "))</f>
        <v>DENMARK</v>
      </c>
      <c r="O421" s="17" t="str">
        <f aca="false">IF(COUNTIFS($N$2:$N$2000,N421,$D$2:$D$2000,"&lt;&gt;"&amp;D421)&gt;0,"CONFLICT","")</f>
        <v/>
      </c>
      <c r="P421" s="7"/>
    </row>
    <row r="422" customFormat="false" ht="15" hidden="false" customHeight="false" outlineLevel="0" collapsed="false">
      <c r="A422" s="7" t="s">
        <v>2091</v>
      </c>
      <c r="B422" s="7" t="s">
        <v>1879</v>
      </c>
      <c r="C422" s="7"/>
      <c r="D422" s="6" t="s">
        <v>1809</v>
      </c>
      <c r="E422" s="6" t="s">
        <v>1880</v>
      </c>
      <c r="F422" s="7" t="str">
        <f aca="false">IF($D422="","",IFERROR(IF(INDEX(Hierarchy!$B$2:$B$1295,MATCH($D422,Hierarchy!$A$2:$A$1295,0))="","",INDEX(Hierarchy!$B$2:$B$1295,MATCH($D422,Hierarchy!$A$2:$A$1295,0))),"NODE NOT FOUND"))</f>
        <v>Market grouping</v>
      </c>
      <c r="G422" s="7" t="str">
        <f aca="false">IF($D422="","",IFERROR(IF(INDEX(Hierarchy!$D$2:$D$1295,MATCH($D422,Hierarchy!$A$2:$A$1295,0))="","",INDEX(Hierarchy!$D$2:$D$1295,MATCH($D422,Hierarchy!$A$2:$A$1295,0))),"NODE NOT FOUND"))</f>
        <v>Market grouping</v>
      </c>
      <c r="H422" s="7" t="str">
        <f aca="false">IF($D422="","",IFERROR(IF(INDEX(Hierarchy!$E$2:$E$1295,MATCH($D422,Hierarchy!$A$2:$A$1295,0))="","",INDEX(Hierarchy!$E$2:$E$1295,MATCH($D422,Hierarchy!$A$2:$A$1295,0))),"NODE NOT FOUND"))</f>
        <v/>
      </c>
      <c r="I422" s="7" t="str">
        <f aca="false">IF($D422="","",IFERROR(IF(INDEX(Hierarchy!$F$2:$F$1295,MATCH($D422,Hierarchy!$A$2:$A$1295,0))="","",INDEX(Hierarchy!$F$2:$F$1295,MATCH($D422,Hierarchy!$A$2:$A$1295,0))),"NODE NOT FOUND"))</f>
        <v/>
      </c>
      <c r="J422" s="7" t="str">
        <f aca="false">IF($D422="","",IFERROR(IF(INDEX(Hierarchy!$G$2:$G$1295,MATCH($D422,Hierarchy!$A$2:$A$1295,0))="","",INDEX(Hierarchy!$G$2:$G$1295,MATCH($D422,Hierarchy!$A$2:$A$1295,0))),"NODE NOT FOUND"))</f>
        <v/>
      </c>
      <c r="K422" s="7" t="str">
        <f aca="false">IF($D422="","",IFERROR(IF(INDEX(Hierarchy!$H$2:$H$1295,MATCH($D422,Hierarchy!$A$2:$A$1295,0))="","",INDEX(Hierarchy!$H$2:$H$1295,MATCH($D422,Hierarchy!$A$2:$A$1295,0))),"NODE NOT FOUND"))</f>
        <v/>
      </c>
      <c r="L422" s="7" t="str">
        <f aca="false">IF($D422="","",IFERROR(IF(INDEX(Hierarchy!$I$2:$I$1295,MATCH($D422,Hierarchy!$A$2:$A$1295,0))="","",INDEX(Hierarchy!$I$2:$I$1295,MATCH($D422,Hierarchy!$A$2:$A$1295,0))),"NODE NOT FOUND"))</f>
        <v/>
      </c>
      <c r="M422" s="17" t="str">
        <f aca="false">IF(B422="Pre-seeded","Pre-seeded",IF(B422="Review 2026-09-16","Added from review",IF(C422="","New",IF(C422=D422,"","Changed"))))</f>
        <v>Pre-seeded</v>
      </c>
      <c r="N422" s="7" t="str">
        <f aca="false">TRIM(SUBSTITUTE(SUBSTITUTE(SUBSTITUTE(" "&amp;TRIM(SUBSTITUTE(SUBSTITUTE(SUBSTITUTE(SUBSTITUTE(SUBSTITUTE(SUBSTITUTE(SUBSTITUTE(SUBSTITUTE(SUBSTITUTE(SUBSTITUTE(SUBSTITUTE(SUBSTITUTE(SUBSTITUTE(SUBSTITUTE(SUBSTITUTE(UPPER(TRIM(A422)),"[MEMBER]",""),"{MEMBER}",""),"[MEMBER}",""),"MEMBER]",""),"(A)",""),"""",""),"“",""),"”",""),".",""),":",""),",",""),"–"," "),"-"," "),"/"," "),"&amp;"," AND "))&amp;" "," THE "," ")," TOTAL "," ")," OPERATIONS "," "))</f>
        <v>DEVELOPED</v>
      </c>
      <c r="O422" s="17" t="str">
        <f aca="false">IF(COUNTIFS($N$2:$N$2000,N422,$D$2:$D$2000,"&lt;&gt;"&amp;D422)&gt;0,"CONFLICT","")</f>
        <v/>
      </c>
      <c r="P422" s="7"/>
    </row>
    <row r="423" customFormat="false" ht="15" hidden="false" customHeight="false" outlineLevel="0" collapsed="false">
      <c r="A423" s="7" t="s">
        <v>2092</v>
      </c>
      <c r="B423" s="7" t="s">
        <v>1879</v>
      </c>
      <c r="C423" s="7"/>
      <c r="D423" s="6" t="s">
        <v>744</v>
      </c>
      <c r="E423" s="6" t="s">
        <v>1891</v>
      </c>
      <c r="F423" s="7" t="str">
        <f aca="false">IF($D423="","",IFERROR(IF(INDEX(Hierarchy!$B$2:$B$1295,MATCH($D423,Hierarchy!$A$2:$A$1295,0))="","",INDEX(Hierarchy!$B$2:$B$1295,MATCH($D423,Hierarchy!$A$2:$A$1295,0))),"NODE NOT FOUND"))</f>
        <v>Sub-region group</v>
      </c>
      <c r="G423" s="7" t="str">
        <f aca="false">IF($D423="","",IFERROR(IF(INDEX(Hierarchy!$D$2:$D$1295,MATCH($D423,Hierarchy!$A$2:$A$1295,0))="","",INDEX(Hierarchy!$D$2:$D$1295,MATCH($D423,Hierarchy!$A$2:$A$1295,0))),"NODE NOT FOUND"))</f>
        <v>APAC</v>
      </c>
      <c r="H423" s="7" t="str">
        <f aca="false">IF($D423="","",IFERROR(IF(INDEX(Hierarchy!$E$2:$E$1295,MATCH($D423,Hierarchy!$A$2:$A$1295,0))="","",INDEX(Hierarchy!$E$2:$E$1295,MATCH($D423,Hierarchy!$A$2:$A$1295,0))),"NODE NOT FOUND"))</f>
        <v/>
      </c>
      <c r="I423" s="7" t="str">
        <f aca="false">IF($D423="","",IFERROR(IF(INDEX(Hierarchy!$F$2:$F$1295,MATCH($D423,Hierarchy!$A$2:$A$1295,0))="","",INDEX(Hierarchy!$F$2:$F$1295,MATCH($D423,Hierarchy!$A$2:$A$1295,0))),"NODE NOT FOUND"))</f>
        <v/>
      </c>
      <c r="J423" s="7" t="str">
        <f aca="false">IF($D423="","",IFERROR(IF(INDEX(Hierarchy!$G$2:$G$1295,MATCH($D423,Hierarchy!$A$2:$A$1295,0))="","",INDEX(Hierarchy!$G$2:$G$1295,MATCH($D423,Hierarchy!$A$2:$A$1295,0))),"NODE NOT FOUND"))</f>
        <v/>
      </c>
      <c r="K423" s="7" t="str">
        <f aca="false">IF($D423="","",IFERROR(IF(INDEX(Hierarchy!$H$2:$H$1295,MATCH($D423,Hierarchy!$A$2:$A$1295,0))="","",INDEX(Hierarchy!$H$2:$H$1295,MATCH($D423,Hierarchy!$A$2:$A$1295,0))),"NODE NOT FOUND"))</f>
        <v/>
      </c>
      <c r="L423" s="7" t="str">
        <f aca="false">IF($D423="","",IFERROR(IF(INDEX(Hierarchy!$I$2:$I$1295,MATCH($D423,Hierarchy!$A$2:$A$1295,0))="","",INDEX(Hierarchy!$I$2:$I$1295,MATCH($D423,Hierarchy!$A$2:$A$1295,0))),"NODE NOT FOUND"))</f>
        <v/>
      </c>
      <c r="M423" s="17" t="str">
        <f aca="false">IF(B423="Pre-seeded","Pre-seeded",IF(B423="Review 2026-09-16","Added from review",IF(C423="","New",IF(C423=D423,"","Changed"))))</f>
        <v>Pre-seeded</v>
      </c>
      <c r="N423" s="7" t="str">
        <f aca="false">TRIM(SUBSTITUTE(SUBSTITUTE(SUBSTITUTE(" "&amp;TRIM(SUBSTITUTE(SUBSTITUTE(SUBSTITUTE(SUBSTITUTE(SUBSTITUTE(SUBSTITUTE(SUBSTITUTE(SUBSTITUTE(SUBSTITUTE(SUBSTITUTE(SUBSTITUTE(SUBSTITUTE(SUBSTITUTE(SUBSTITUTE(SUBSTITUTE(UPPER(TRIM(A423)),"[MEMBER]",""),"{MEMBER}",""),"[MEMBER}",""),"MEMBER]",""),"(A)",""),"""",""),"“",""),"”",""),".",""),":",""),",",""),"–"," "),"-"," "),"/"," "),"&amp;"," AND "))&amp;" "," THE "," ")," TOTAL "," ")," OPERATIONS "," "))</f>
        <v>DEVELOPED ASIA</v>
      </c>
      <c r="O423" s="17" t="str">
        <f aca="false">IF(COUNTIFS($N$2:$N$2000,N423,$D$2:$D$2000,"&lt;&gt;"&amp;D423)&gt;0,"CONFLICT","")</f>
        <v/>
      </c>
      <c r="P423" s="7"/>
    </row>
    <row r="424" customFormat="false" ht="15" hidden="false" customHeight="false" outlineLevel="0" collapsed="false">
      <c r="A424" s="7" t="s">
        <v>2093</v>
      </c>
      <c r="B424" s="7" t="s">
        <v>1885</v>
      </c>
      <c r="C424" s="7" t="s">
        <v>622</v>
      </c>
      <c r="D424" s="6" t="s">
        <v>622</v>
      </c>
      <c r="E424" s="6" t="s">
        <v>1891</v>
      </c>
      <c r="F424" s="7" t="str">
        <f aca="false">IF($D424="","",IFERROR(IF(INDEX(Hierarchy!$B$2:$B$1295,MATCH($D424,Hierarchy!$A$2:$A$1295,0))="","",INDEX(Hierarchy!$B$2:$B$1295,MATCH($D424,Hierarchy!$A$2:$A$1295,0))),"NODE NOT FOUND"))</f>
        <v>Sub-region</v>
      </c>
      <c r="G424" s="7" t="str">
        <f aca="false">IF($D424="","",IFERROR(IF(INDEX(Hierarchy!$D$2:$D$1295,MATCH($D424,Hierarchy!$A$2:$A$1295,0))="","",INDEX(Hierarchy!$D$2:$D$1295,MATCH($D424,Hierarchy!$A$2:$A$1295,0))),"NODE NOT FOUND"))</f>
        <v>EMEA</v>
      </c>
      <c r="H424" s="7" t="str">
        <f aca="false">IF($D424="","",IFERROR(IF(INDEX(Hierarchy!$E$2:$E$1295,MATCH($D424,Hierarchy!$A$2:$A$1295,0))="","",INDEX(Hierarchy!$E$2:$E$1295,MATCH($D424,Hierarchy!$A$2:$A$1295,0))),"NODE NOT FOUND"))</f>
        <v>Europe</v>
      </c>
      <c r="I424" s="7" t="str">
        <f aca="false">IF($D424="","",IFERROR(IF(INDEX(Hierarchy!$F$2:$F$1295,MATCH($D424,Hierarchy!$A$2:$A$1295,0))="","",INDEX(Hierarchy!$F$2:$F$1295,MATCH($D424,Hierarchy!$A$2:$A$1295,0))),"NODE NOT FOUND"))</f>
        <v/>
      </c>
      <c r="J424" s="7" t="str">
        <f aca="false">IF($D424="","",IFERROR(IF(INDEX(Hierarchy!$G$2:$G$1295,MATCH($D424,Hierarchy!$A$2:$A$1295,0))="","",INDEX(Hierarchy!$G$2:$G$1295,MATCH($D424,Hierarchy!$A$2:$A$1295,0))),"NODE NOT FOUND"))</f>
        <v/>
      </c>
      <c r="K424" s="7" t="str">
        <f aca="false">IF($D424="","",IFERROR(IF(INDEX(Hierarchy!$H$2:$H$1295,MATCH($D424,Hierarchy!$A$2:$A$1295,0))="","",INDEX(Hierarchy!$H$2:$H$1295,MATCH($D424,Hierarchy!$A$2:$A$1295,0))),"NODE NOT FOUND"))</f>
        <v/>
      </c>
      <c r="L424" s="7" t="str">
        <f aca="false">IF($D424="","",IFERROR(IF(INDEX(Hierarchy!$I$2:$I$1295,MATCH($D424,Hierarchy!$A$2:$A$1295,0))="","",INDEX(Hierarchy!$I$2:$I$1295,MATCH($D424,Hierarchy!$A$2:$A$1295,0))),"NODE NOT FOUND"))</f>
        <v/>
      </c>
      <c r="M424" s="17" t="str">
        <f aca="false">IF(B424="Pre-seeded","Pre-seeded",IF(B424="Review 2026-09-16","Added from review",IF(C424="","New",IF(C424=D424,"","Changed"))))</f>
        <v/>
      </c>
      <c r="N424" s="7" t="str">
        <f aca="false">TRIM(SUBSTITUTE(SUBSTITUTE(SUBSTITUTE(" "&amp;TRIM(SUBSTITUTE(SUBSTITUTE(SUBSTITUTE(SUBSTITUTE(SUBSTITUTE(SUBSTITUTE(SUBSTITUTE(SUBSTITUTE(SUBSTITUTE(SUBSTITUTE(SUBSTITUTE(SUBSTITUTE(SUBSTITUTE(SUBSTITUTE(SUBSTITUTE(UPPER(TRIM(A424)),"[MEMBER]",""),"{MEMBER}",""),"[MEMBER}",""),"MEMBER]",""),"(A)",""),"""",""),"“",""),"”",""),".",""),":",""),",",""),"–"," "),"-"," "),"/"," "),"&amp;"," AND "))&amp;" "," THE "," ")," TOTAL "," ")," OPERATIONS "," "))</f>
        <v>DEVELOPED EUROPE</v>
      </c>
      <c r="O424" s="17" t="str">
        <f aca="false">IF(COUNTIFS($N$2:$N$2000,N424,$D$2:$D$2000,"&lt;&gt;"&amp;D424)&gt;0,"CONFLICT","")</f>
        <v/>
      </c>
      <c r="P424" s="7"/>
    </row>
    <row r="425" customFormat="false" ht="15" hidden="false" customHeight="false" outlineLevel="0" collapsed="false">
      <c r="A425" s="7" t="s">
        <v>2094</v>
      </c>
      <c r="B425" s="7" t="s">
        <v>1885</v>
      </c>
      <c r="C425" s="7" t="s">
        <v>1784</v>
      </c>
      <c r="D425" s="6" t="s">
        <v>1784</v>
      </c>
      <c r="E425" s="6" t="s">
        <v>1891</v>
      </c>
      <c r="F425" s="7" t="str">
        <f aca="false">IF($D425="","",IFERROR(IF(INDEX(Hierarchy!$B$2:$B$1295,MATCH($D425,Hierarchy!$A$2:$A$1295,0))="","",INDEX(Hierarchy!$B$2:$B$1295,MATCH($D425,Hierarchy!$A$2:$A$1295,0))),"NODE NOT FOUND"))</f>
        <v>Bucket</v>
      </c>
      <c r="G425" s="7" t="str">
        <f aca="false">IF($D425="","",IFERROR(IF(INDEX(Hierarchy!$D$2:$D$1295,MATCH($D425,Hierarchy!$A$2:$A$1295,0))="","",INDEX(Hierarchy!$D$2:$D$1295,MATCH($D425,Hierarchy!$A$2:$A$1295,0))),"NODE NOT FOUND"))</f>
        <v>Non-regional</v>
      </c>
      <c r="H425" s="7" t="str">
        <f aca="false">IF($D425="","",IFERROR(IF(INDEX(Hierarchy!$E$2:$E$1295,MATCH($D425,Hierarchy!$A$2:$A$1295,0))="","",INDEX(Hierarchy!$E$2:$E$1295,MATCH($D425,Hierarchy!$A$2:$A$1295,0))),"NODE NOT FOUND"))</f>
        <v/>
      </c>
      <c r="I425" s="7" t="str">
        <f aca="false">IF($D425="","",IFERROR(IF(INDEX(Hierarchy!$F$2:$F$1295,MATCH($D425,Hierarchy!$A$2:$A$1295,0))="","",INDEX(Hierarchy!$F$2:$F$1295,MATCH($D425,Hierarchy!$A$2:$A$1295,0))),"NODE NOT FOUND"))</f>
        <v/>
      </c>
      <c r="J425" s="7" t="str">
        <f aca="false">IF($D425="","",IFERROR(IF(INDEX(Hierarchy!$G$2:$G$1295,MATCH($D425,Hierarchy!$A$2:$A$1295,0))="","",INDEX(Hierarchy!$G$2:$G$1295,MATCH($D425,Hierarchy!$A$2:$A$1295,0))),"NODE NOT FOUND"))</f>
        <v/>
      </c>
      <c r="K425" s="7" t="str">
        <f aca="false">IF($D425="","",IFERROR(IF(INDEX(Hierarchy!$H$2:$H$1295,MATCH($D425,Hierarchy!$A$2:$A$1295,0))="","",INDEX(Hierarchy!$H$2:$H$1295,MATCH($D425,Hierarchy!$A$2:$A$1295,0))),"NODE NOT FOUND"))</f>
        <v/>
      </c>
      <c r="L425" s="7" t="str">
        <f aca="false">IF($D425="","",IFERROR(IF(INDEX(Hierarchy!$I$2:$I$1295,MATCH($D425,Hierarchy!$A$2:$A$1295,0))="","",INDEX(Hierarchy!$I$2:$I$1295,MATCH($D425,Hierarchy!$A$2:$A$1295,0))),"NODE NOT FOUND"))</f>
        <v/>
      </c>
      <c r="M425" s="17" t="str">
        <f aca="false">IF(B425="Pre-seeded","Pre-seeded",IF(B425="Review 2026-09-16","Added from review",IF(C425="","New",IF(C425=D425,"","Changed"))))</f>
        <v/>
      </c>
      <c r="N425" s="7" t="str">
        <f aca="false">TRIM(SUBSTITUTE(SUBSTITUTE(SUBSTITUTE(" "&amp;TRIM(SUBSTITUTE(SUBSTITUTE(SUBSTITUTE(SUBSTITUTE(SUBSTITUTE(SUBSTITUTE(SUBSTITUTE(SUBSTITUTE(SUBSTITUTE(SUBSTITUTE(SUBSTITUTE(SUBSTITUTE(SUBSTITUTE(SUBSTITUTE(SUBSTITUTE(UPPER(TRIM(A425)),"[MEMBER]",""),"{MEMBER}",""),"[MEMBER}",""),"MEMBER]",""),"(A)",""),"""",""),"“",""),"”",""),".",""),":",""),",",""),"–"," "),"-"," "),"/"," "),"&amp;"," AND "))&amp;" "," THE "," ")," TOTAL "," ")," OPERATIONS "," "))</f>
        <v>DEVELOPED INTERNATIONAL</v>
      </c>
      <c r="O425" s="17" t="str">
        <f aca="false">IF(COUNTIFS($N$2:$N$2000,N425,$D$2:$D$2000,"&lt;&gt;"&amp;D425)&gt;0,"CONFLICT","")</f>
        <v/>
      </c>
      <c r="P425" s="7"/>
    </row>
    <row r="426" customFormat="false" ht="15" hidden="false" customHeight="false" outlineLevel="0" collapsed="false">
      <c r="A426" s="7" t="s">
        <v>1809</v>
      </c>
      <c r="B426" s="7" t="s">
        <v>1885</v>
      </c>
      <c r="C426" s="7" t="s">
        <v>2032</v>
      </c>
      <c r="D426" s="6" t="s">
        <v>1809</v>
      </c>
      <c r="E426" s="6" t="s">
        <v>1880</v>
      </c>
      <c r="F426" s="7" t="str">
        <f aca="false">IF($D426="","",IFERROR(IF(INDEX(Hierarchy!$B$2:$B$1295,MATCH($D426,Hierarchy!$A$2:$A$1295,0))="","",INDEX(Hierarchy!$B$2:$B$1295,MATCH($D426,Hierarchy!$A$2:$A$1295,0))),"NODE NOT FOUND"))</f>
        <v>Market grouping</v>
      </c>
      <c r="G426" s="7" t="str">
        <f aca="false">IF($D426="","",IFERROR(IF(INDEX(Hierarchy!$D$2:$D$1295,MATCH($D426,Hierarchy!$A$2:$A$1295,0))="","",INDEX(Hierarchy!$D$2:$D$1295,MATCH($D426,Hierarchy!$A$2:$A$1295,0))),"NODE NOT FOUND"))</f>
        <v>Market grouping</v>
      </c>
      <c r="H426" s="7" t="str">
        <f aca="false">IF($D426="","",IFERROR(IF(INDEX(Hierarchy!$E$2:$E$1295,MATCH($D426,Hierarchy!$A$2:$A$1295,0))="","",INDEX(Hierarchy!$E$2:$E$1295,MATCH($D426,Hierarchy!$A$2:$A$1295,0))),"NODE NOT FOUND"))</f>
        <v/>
      </c>
      <c r="I426" s="7" t="str">
        <f aca="false">IF($D426="","",IFERROR(IF(INDEX(Hierarchy!$F$2:$F$1295,MATCH($D426,Hierarchy!$A$2:$A$1295,0))="","",INDEX(Hierarchy!$F$2:$F$1295,MATCH($D426,Hierarchy!$A$2:$A$1295,0))),"NODE NOT FOUND"))</f>
        <v/>
      </c>
      <c r="J426" s="7" t="str">
        <f aca="false">IF($D426="","",IFERROR(IF(INDEX(Hierarchy!$G$2:$G$1295,MATCH($D426,Hierarchy!$A$2:$A$1295,0))="","",INDEX(Hierarchy!$G$2:$G$1295,MATCH($D426,Hierarchy!$A$2:$A$1295,0))),"NODE NOT FOUND"))</f>
        <v/>
      </c>
      <c r="K426" s="7" t="str">
        <f aca="false">IF($D426="","",IFERROR(IF(INDEX(Hierarchy!$H$2:$H$1295,MATCH($D426,Hierarchy!$A$2:$A$1295,0))="","",INDEX(Hierarchy!$H$2:$H$1295,MATCH($D426,Hierarchy!$A$2:$A$1295,0))),"NODE NOT FOUND"))</f>
        <v/>
      </c>
      <c r="L426" s="7" t="str">
        <f aca="false">IF($D426="","",IFERROR(IF(INDEX(Hierarchy!$I$2:$I$1295,MATCH($D426,Hierarchy!$A$2:$A$1295,0))="","",INDEX(Hierarchy!$I$2:$I$1295,MATCH($D426,Hierarchy!$A$2:$A$1295,0))),"NODE NOT FOUND"))</f>
        <v/>
      </c>
      <c r="M426" s="17" t="str">
        <f aca="false">IF(B426="Pre-seeded","Pre-seeded",IF(B426="Review 2026-09-16","Added from review",IF(C426="","New",IF(C426=D426,"","Changed"))))</f>
        <v>Changed</v>
      </c>
      <c r="N426" s="7" t="str">
        <f aca="false">TRIM(SUBSTITUTE(SUBSTITUTE(SUBSTITUTE(" "&amp;TRIM(SUBSTITUTE(SUBSTITUTE(SUBSTITUTE(SUBSTITUTE(SUBSTITUTE(SUBSTITUTE(SUBSTITUTE(SUBSTITUTE(SUBSTITUTE(SUBSTITUTE(SUBSTITUTE(SUBSTITUTE(SUBSTITUTE(SUBSTITUTE(SUBSTITUTE(UPPER(TRIM(A426)),"[MEMBER]",""),"{MEMBER}",""),"[MEMBER}",""),"MEMBER]",""),"(A)",""),"""",""),"“",""),"”",""),".",""),":",""),",",""),"–"," "),"-"," "),"/"," "),"&amp;"," AND "))&amp;" "," THE "," ")," TOTAL "," ")," OPERATIONS "," "))</f>
        <v>DEVELOPED MARKETS</v>
      </c>
      <c r="O426" s="17" t="str">
        <f aca="false">IF(COUNTIFS($N$2:$N$2000,N426,$D$2:$D$2000,"&lt;&gt;"&amp;D426)&gt;0,"CONFLICT","")</f>
        <v/>
      </c>
      <c r="P426" s="7"/>
    </row>
    <row r="427" customFormat="false" ht="15" hidden="false" customHeight="false" outlineLevel="0" collapsed="false">
      <c r="A427" s="7" t="s">
        <v>2095</v>
      </c>
      <c r="B427" s="7" t="s">
        <v>1885</v>
      </c>
      <c r="C427" s="7" t="s">
        <v>2032</v>
      </c>
      <c r="D427" s="6" t="s">
        <v>1809</v>
      </c>
      <c r="E427" s="6" t="s">
        <v>1891</v>
      </c>
      <c r="F427" s="7" t="str">
        <f aca="false">IF($D427="","",IFERROR(IF(INDEX(Hierarchy!$B$2:$B$1295,MATCH($D427,Hierarchy!$A$2:$A$1295,0))="","",INDEX(Hierarchy!$B$2:$B$1295,MATCH($D427,Hierarchy!$A$2:$A$1295,0))),"NODE NOT FOUND"))</f>
        <v>Market grouping</v>
      </c>
      <c r="G427" s="7" t="str">
        <f aca="false">IF($D427="","",IFERROR(IF(INDEX(Hierarchy!$D$2:$D$1295,MATCH($D427,Hierarchy!$A$2:$A$1295,0))="","",INDEX(Hierarchy!$D$2:$D$1295,MATCH($D427,Hierarchy!$A$2:$A$1295,0))),"NODE NOT FOUND"))</f>
        <v>Market grouping</v>
      </c>
      <c r="H427" s="7" t="str">
        <f aca="false">IF($D427="","",IFERROR(IF(INDEX(Hierarchy!$E$2:$E$1295,MATCH($D427,Hierarchy!$A$2:$A$1295,0))="","",INDEX(Hierarchy!$E$2:$E$1295,MATCH($D427,Hierarchy!$A$2:$A$1295,0))),"NODE NOT FOUND"))</f>
        <v/>
      </c>
      <c r="I427" s="7" t="str">
        <f aca="false">IF($D427="","",IFERROR(IF(INDEX(Hierarchy!$F$2:$F$1295,MATCH($D427,Hierarchy!$A$2:$A$1295,0))="","",INDEX(Hierarchy!$F$2:$F$1295,MATCH($D427,Hierarchy!$A$2:$A$1295,0))),"NODE NOT FOUND"))</f>
        <v/>
      </c>
      <c r="J427" s="7" t="str">
        <f aca="false">IF($D427="","",IFERROR(IF(INDEX(Hierarchy!$G$2:$G$1295,MATCH($D427,Hierarchy!$A$2:$A$1295,0))="","",INDEX(Hierarchy!$G$2:$G$1295,MATCH($D427,Hierarchy!$A$2:$A$1295,0))),"NODE NOT FOUND"))</f>
        <v/>
      </c>
      <c r="K427" s="7" t="str">
        <f aca="false">IF($D427="","",IFERROR(IF(INDEX(Hierarchy!$H$2:$H$1295,MATCH($D427,Hierarchy!$A$2:$A$1295,0))="","",INDEX(Hierarchy!$H$2:$H$1295,MATCH($D427,Hierarchy!$A$2:$A$1295,0))),"NODE NOT FOUND"))</f>
        <v/>
      </c>
      <c r="L427" s="7" t="str">
        <f aca="false">IF($D427="","",IFERROR(IF(INDEX(Hierarchy!$I$2:$I$1295,MATCH($D427,Hierarchy!$A$2:$A$1295,0))="","",INDEX(Hierarchy!$I$2:$I$1295,MATCH($D427,Hierarchy!$A$2:$A$1295,0))),"NODE NOT FOUND"))</f>
        <v/>
      </c>
      <c r="M427" s="17" t="str">
        <f aca="false">IF(B427="Pre-seeded","Pre-seeded",IF(B427="Review 2026-09-16","Added from review",IF(C427="","New",IF(C427=D427,"","Changed"))))</f>
        <v>Changed</v>
      </c>
      <c r="N427" s="7" t="str">
        <f aca="false">TRIM(SUBSTITUTE(SUBSTITUTE(SUBSTITUTE(" "&amp;TRIM(SUBSTITUTE(SUBSTITUTE(SUBSTITUTE(SUBSTITUTE(SUBSTITUTE(SUBSTITUTE(SUBSTITUTE(SUBSTITUTE(SUBSTITUTE(SUBSTITUTE(SUBSTITUTE(SUBSTITUTE(SUBSTITUTE(SUBSTITUTE(SUBSTITUTE(UPPER(TRIM(A427)),"[MEMBER]",""),"{MEMBER}",""),"[MEMBER}",""),"MEMBER]",""),"(A)",""),"""",""),"“",""),"”",""),".",""),":",""),",",""),"–"," "),"-"," "),"/"," "),"&amp;"," AND "))&amp;" "," THE "," ")," TOTAL "," ")," OPERATIONS "," "))</f>
        <v>DEVELOPED REST OF WORLD</v>
      </c>
      <c r="O427" s="17" t="str">
        <f aca="false">IF(COUNTIFS($N$2:$N$2000,N427,$D$2:$D$2000,"&lt;&gt;"&amp;D427)&gt;0,"CONFLICT","")</f>
        <v/>
      </c>
      <c r="P427" s="7"/>
    </row>
    <row r="428" customFormat="false" ht="15" hidden="false" customHeight="false" outlineLevel="0" collapsed="false">
      <c r="A428" s="7" t="s">
        <v>2096</v>
      </c>
      <c r="B428" s="7" t="s">
        <v>1879</v>
      </c>
      <c r="C428" s="7"/>
      <c r="D428" s="6" t="s">
        <v>248</v>
      </c>
      <c r="E428" s="6" t="s">
        <v>1880</v>
      </c>
      <c r="F428" s="7" t="str">
        <f aca="false">IF($D428="","",IFERROR(IF(INDEX(Hierarchy!$B$2:$B$1295,MATCH($D428,Hierarchy!$A$2:$A$1295,0))="","",INDEX(Hierarchy!$B$2:$B$1295,MATCH($D428,Hierarchy!$A$2:$A$1295,0))),"NODE NOT FOUND"))</f>
        <v>City</v>
      </c>
      <c r="G428" s="7" t="str">
        <f aca="false">IF($D428="","",IFERROR(IF(INDEX(Hierarchy!$D$2:$D$1295,MATCH($D428,Hierarchy!$A$2:$A$1295,0))="","",INDEX(Hierarchy!$D$2:$D$1295,MATCH($D428,Hierarchy!$A$2:$A$1295,0))),"NODE NOT FOUND"))</f>
        <v>AMER</v>
      </c>
      <c r="H428" s="7" t="str">
        <f aca="false">IF($D428="","",IFERROR(IF(INDEX(Hierarchy!$E$2:$E$1295,MATCH($D428,Hierarchy!$A$2:$A$1295,0))="","",INDEX(Hierarchy!$E$2:$E$1295,MATCH($D428,Hierarchy!$A$2:$A$1295,0))),"NODE NOT FOUND"))</f>
        <v>North America (NORAM)</v>
      </c>
      <c r="I428" s="7" t="str">
        <f aca="false">IF($D428="","",IFERROR(IF(INDEX(Hierarchy!$F$2:$F$1295,MATCH($D428,Hierarchy!$A$2:$A$1295,0))="","",INDEX(Hierarchy!$F$2:$F$1295,MATCH($D428,Hierarchy!$A$2:$A$1295,0))),"NODE NOT FOUND"))</f>
        <v>United States</v>
      </c>
      <c r="J428" s="7" t="str">
        <f aca="false">IF($D428="","",IFERROR(IF(INDEX(Hierarchy!$G$2:$G$1295,MATCH($D428,Hierarchy!$A$2:$A$1295,0))="","",INDEX(Hierarchy!$G$2:$G$1295,MATCH($D428,Hierarchy!$A$2:$A$1295,0))),"NODE NOT FOUND"))</f>
        <v>USA</v>
      </c>
      <c r="K428" s="7" t="str">
        <f aca="false">IF($D428="","",IFERROR(IF(INDEX(Hierarchy!$H$2:$H$1295,MATCH($D428,Hierarchy!$A$2:$A$1295,0))="","",INDEX(Hierarchy!$H$2:$H$1295,MATCH($D428,Hierarchy!$A$2:$A$1295,0))),"NODE NOT FOUND"))</f>
        <v>Texas</v>
      </c>
      <c r="L428" s="7" t="str">
        <f aca="false">IF($D428="","",IFERROR(IF(INDEX(Hierarchy!$I$2:$I$1295,MATCH($D428,Hierarchy!$A$2:$A$1295,0))="","",INDEX(Hierarchy!$I$2:$I$1295,MATCH($D428,Hierarchy!$A$2:$A$1295,0))),"NODE NOT FOUND"))</f>
        <v>Dallas–Fort Worth</v>
      </c>
      <c r="M428" s="17" t="str">
        <f aca="false">IF(B428="Pre-seeded","Pre-seeded",IF(B428="Review 2026-09-16","Added from review",IF(C428="","New",IF(C428=D428,"","Changed"))))</f>
        <v>Pre-seeded</v>
      </c>
      <c r="N428" s="7" t="str">
        <f aca="false">TRIM(SUBSTITUTE(SUBSTITUTE(SUBSTITUTE(" "&amp;TRIM(SUBSTITUTE(SUBSTITUTE(SUBSTITUTE(SUBSTITUTE(SUBSTITUTE(SUBSTITUTE(SUBSTITUTE(SUBSTITUTE(SUBSTITUTE(SUBSTITUTE(SUBSTITUTE(SUBSTITUTE(SUBSTITUTE(SUBSTITUTE(SUBSTITUTE(UPPER(TRIM(A428)),"[MEMBER]",""),"{MEMBER}",""),"[MEMBER}",""),"MEMBER]",""),"(A)",""),"""",""),"“",""),"”",""),".",""),":",""),",",""),"–"," "),"-"," "),"/"," "),"&amp;"," AND "))&amp;" "," THE "," ")," TOTAL "," ")," OPERATIONS "," "))</f>
        <v>DFW</v>
      </c>
      <c r="O428" s="17" t="str">
        <f aca="false">IF(COUNTIFS($N$2:$N$2000,N428,$D$2:$D$2000,"&lt;&gt;"&amp;D428)&gt;0,"CONFLICT","")</f>
        <v/>
      </c>
      <c r="P428" s="7"/>
    </row>
    <row r="429" customFormat="false" ht="15" hidden="false" customHeight="false" outlineLevel="0" collapsed="false">
      <c r="A429" s="7" t="s">
        <v>1380</v>
      </c>
      <c r="B429" s="7" t="s">
        <v>1879</v>
      </c>
      <c r="C429" s="7"/>
      <c r="D429" s="6" t="s">
        <v>1380</v>
      </c>
      <c r="E429" s="6" t="s">
        <v>1880</v>
      </c>
      <c r="F429" s="7" t="str">
        <f aca="false">IF($D429="","",IFERROR(IF(INDEX(Hierarchy!$B$2:$B$1295,MATCH($D429,Hierarchy!$A$2:$A$1295,0))="","",INDEX(Hierarchy!$B$2:$B$1295,MATCH($D429,Hierarchy!$A$2:$A$1295,0))),"NODE NOT FOUND"))</f>
        <v>State/Province</v>
      </c>
      <c r="G429" s="7" t="str">
        <f aca="false">IF($D429="","",IFERROR(IF(INDEX(Hierarchy!$D$2:$D$1295,MATCH($D429,Hierarchy!$A$2:$A$1295,0))="","",INDEX(Hierarchy!$D$2:$D$1295,MATCH($D429,Hierarchy!$A$2:$A$1295,0))),"NODE NOT FOUND"))</f>
        <v>APAC</v>
      </c>
      <c r="H429" s="7" t="str">
        <f aca="false">IF($D429="","",IFERROR(IF(INDEX(Hierarchy!$E$2:$E$1295,MATCH($D429,Hierarchy!$A$2:$A$1295,0))="","",INDEX(Hierarchy!$E$2:$E$1295,MATCH($D429,Hierarchy!$A$2:$A$1295,0))),"NODE NOT FOUND"))</f>
        <v>South Asia</v>
      </c>
      <c r="I429" s="7" t="str">
        <f aca="false">IF($D429="","",IFERROR(IF(INDEX(Hierarchy!$F$2:$F$1295,MATCH($D429,Hierarchy!$A$2:$A$1295,0))="","",INDEX(Hierarchy!$F$2:$F$1295,MATCH($D429,Hierarchy!$A$2:$A$1295,0))),"NODE NOT FOUND"))</f>
        <v>Bangladesh</v>
      </c>
      <c r="J429" s="7" t="str">
        <f aca="false">IF($D429="","",IFERROR(IF(INDEX(Hierarchy!$G$2:$G$1295,MATCH($D429,Hierarchy!$A$2:$A$1295,0))="","",INDEX(Hierarchy!$G$2:$G$1295,MATCH($D429,Hierarchy!$A$2:$A$1295,0))),"NODE NOT FOUND"))</f>
        <v>BGD</v>
      </c>
      <c r="K429" s="7" t="str">
        <f aca="false">IF($D429="","",IFERROR(IF(INDEX(Hierarchy!$H$2:$H$1295,MATCH($D429,Hierarchy!$A$2:$A$1295,0))="","",INDEX(Hierarchy!$H$2:$H$1295,MATCH($D429,Hierarchy!$A$2:$A$1295,0))),"NODE NOT FOUND"))</f>
        <v>Dhaka Division</v>
      </c>
      <c r="L429" s="7" t="str">
        <f aca="false">IF($D429="","",IFERROR(IF(INDEX(Hierarchy!$I$2:$I$1295,MATCH($D429,Hierarchy!$A$2:$A$1295,0))="","",INDEX(Hierarchy!$I$2:$I$1295,MATCH($D429,Hierarchy!$A$2:$A$1295,0))),"NODE NOT FOUND"))</f>
        <v/>
      </c>
      <c r="M429" s="17" t="str">
        <f aca="false">IF(B429="Pre-seeded","Pre-seeded",IF(B429="Review 2026-09-16","Added from review",IF(C429="","New",IF(C429=D429,"","Changed"))))</f>
        <v>Pre-seeded</v>
      </c>
      <c r="N429" s="7" t="str">
        <f aca="false">TRIM(SUBSTITUTE(SUBSTITUTE(SUBSTITUTE(" "&amp;TRIM(SUBSTITUTE(SUBSTITUTE(SUBSTITUTE(SUBSTITUTE(SUBSTITUTE(SUBSTITUTE(SUBSTITUTE(SUBSTITUTE(SUBSTITUTE(SUBSTITUTE(SUBSTITUTE(SUBSTITUTE(SUBSTITUTE(SUBSTITUTE(SUBSTITUTE(UPPER(TRIM(A429)),"[MEMBER]",""),"{MEMBER}",""),"[MEMBER}",""),"MEMBER]",""),"(A)",""),"""",""),"“",""),"”",""),".",""),":",""),",",""),"–"," "),"-"," "),"/"," "),"&amp;"," AND "))&amp;" "," THE "," ")," TOTAL "," ")," OPERATIONS "," "))</f>
        <v>DHAKA DIVISION</v>
      </c>
      <c r="O429" s="17" t="str">
        <f aca="false">IF(COUNTIFS($N$2:$N$2000,N429,$D$2:$D$2000,"&lt;&gt;"&amp;D429)&gt;0,"CONFLICT","")</f>
        <v/>
      </c>
      <c r="P429" s="7"/>
    </row>
    <row r="430" customFormat="false" ht="15" hidden="false" customHeight="false" outlineLevel="0" collapsed="false">
      <c r="A430" s="7" t="s">
        <v>161</v>
      </c>
      <c r="B430" s="7" t="s">
        <v>1882</v>
      </c>
      <c r="C430" s="7" t="s">
        <v>161</v>
      </c>
      <c r="D430" s="6" t="s">
        <v>161</v>
      </c>
      <c r="E430" s="6" t="s">
        <v>1880</v>
      </c>
      <c r="F430" s="7" t="str">
        <f aca="false">IF($D430="","",IFERROR(IF(INDEX(Hierarchy!$B$2:$B$1295,MATCH($D430,Hierarchy!$A$2:$A$1295,0))="","",INDEX(Hierarchy!$B$2:$B$1295,MATCH($D430,Hierarchy!$A$2:$A$1295,0))),"NODE NOT FOUND"))</f>
        <v>State/Province</v>
      </c>
      <c r="G430" s="7" t="str">
        <f aca="false">IF($D430="","",IFERROR(IF(INDEX(Hierarchy!$D$2:$D$1295,MATCH($D430,Hierarchy!$A$2:$A$1295,0))="","",INDEX(Hierarchy!$D$2:$D$1295,MATCH($D430,Hierarchy!$A$2:$A$1295,0))),"NODE NOT FOUND"))</f>
        <v>AMER</v>
      </c>
      <c r="H430" s="7" t="str">
        <f aca="false">IF($D430="","",IFERROR(IF(INDEX(Hierarchy!$E$2:$E$1295,MATCH($D430,Hierarchy!$A$2:$A$1295,0))="","",INDEX(Hierarchy!$E$2:$E$1295,MATCH($D430,Hierarchy!$A$2:$A$1295,0))),"NODE NOT FOUND"))</f>
        <v>North America (NORAM)</v>
      </c>
      <c r="I430" s="7" t="str">
        <f aca="false">IF($D430="","",IFERROR(IF(INDEX(Hierarchy!$F$2:$F$1295,MATCH($D430,Hierarchy!$A$2:$A$1295,0))="","",INDEX(Hierarchy!$F$2:$F$1295,MATCH($D430,Hierarchy!$A$2:$A$1295,0))),"NODE NOT FOUND"))</f>
        <v>United States</v>
      </c>
      <c r="J430" s="7" t="str">
        <f aca="false">IF($D430="","",IFERROR(IF(INDEX(Hierarchy!$G$2:$G$1295,MATCH($D430,Hierarchy!$A$2:$A$1295,0))="","",INDEX(Hierarchy!$G$2:$G$1295,MATCH($D430,Hierarchy!$A$2:$A$1295,0))),"NODE NOT FOUND"))</f>
        <v>USA</v>
      </c>
      <c r="K430" s="7" t="str">
        <f aca="false">IF($D430="","",IFERROR(IF(INDEX(Hierarchy!$H$2:$H$1295,MATCH($D430,Hierarchy!$A$2:$A$1295,0))="","",INDEX(Hierarchy!$H$2:$H$1295,MATCH($D430,Hierarchy!$A$2:$A$1295,0))),"NODE NOT FOUND"))</f>
        <v>District of Columbia</v>
      </c>
      <c r="L430" s="7" t="str">
        <f aca="false">IF($D430="","",IFERROR(IF(INDEX(Hierarchy!$I$2:$I$1295,MATCH($D430,Hierarchy!$A$2:$A$1295,0))="","",INDEX(Hierarchy!$I$2:$I$1295,MATCH($D430,Hierarchy!$A$2:$A$1295,0))),"NODE NOT FOUND"))</f>
        <v/>
      </c>
      <c r="M430" s="17" t="str">
        <f aca="false">IF(B430="Pre-seeded","Pre-seeded",IF(B430="Review 2026-09-16","Added from review",IF(C430="","New",IF(C430=D430,"","Changed"))))</f>
        <v/>
      </c>
      <c r="N430" s="7" t="str">
        <f aca="false">TRIM(SUBSTITUTE(SUBSTITUTE(SUBSTITUTE(" "&amp;TRIM(SUBSTITUTE(SUBSTITUTE(SUBSTITUTE(SUBSTITUTE(SUBSTITUTE(SUBSTITUTE(SUBSTITUTE(SUBSTITUTE(SUBSTITUTE(SUBSTITUTE(SUBSTITUTE(SUBSTITUTE(SUBSTITUTE(SUBSTITUTE(SUBSTITUTE(UPPER(TRIM(A430)),"[MEMBER]",""),"{MEMBER}",""),"[MEMBER}",""),"MEMBER]",""),"(A)",""),"""",""),"“",""),"”",""),".",""),":",""),",",""),"–"," "),"-"," "),"/"," "),"&amp;"," AND "))&amp;" "," THE "," ")," TOTAL "," ")," OPERATIONS "," "))</f>
        <v>DISTRICT OF COLUMBIA</v>
      </c>
      <c r="O430" s="17" t="str">
        <f aca="false">IF(COUNTIFS($N$2:$N$2000,N430,$D$2:$D$2000,"&lt;&gt;"&amp;D430)&gt;0,"CONFLICT","")</f>
        <v/>
      </c>
      <c r="P430" s="7"/>
    </row>
    <row r="431" customFormat="false" ht="15" hidden="false" customHeight="false" outlineLevel="0" collapsed="false">
      <c r="A431" s="7" t="s">
        <v>1209</v>
      </c>
      <c r="B431" s="7" t="s">
        <v>1879</v>
      </c>
      <c r="C431" s="7"/>
      <c r="D431" s="6" t="s">
        <v>1209</v>
      </c>
      <c r="E431" s="6" t="s">
        <v>1880</v>
      </c>
      <c r="F431" s="7" t="str">
        <f aca="false">IF($D431="","",IFERROR(IF(INDEX(Hierarchy!$B$2:$B$1295,MATCH($D431,Hierarchy!$A$2:$A$1295,0))="","",INDEX(Hierarchy!$B$2:$B$1295,MATCH($D431,Hierarchy!$A$2:$A$1295,0))),"NODE NOT FOUND"))</f>
        <v>Country</v>
      </c>
      <c r="G431" s="7" t="str">
        <f aca="false">IF($D431="","",IFERROR(IF(INDEX(Hierarchy!$D$2:$D$1295,MATCH($D431,Hierarchy!$A$2:$A$1295,0))="","",INDEX(Hierarchy!$D$2:$D$1295,MATCH($D431,Hierarchy!$A$2:$A$1295,0))),"NODE NOT FOUND"))</f>
        <v>EMEA</v>
      </c>
      <c r="H431" s="7" t="str">
        <f aca="false">IF($D431="","",IFERROR(IF(INDEX(Hierarchy!$E$2:$E$1295,MATCH($D431,Hierarchy!$A$2:$A$1295,0))="","",INDEX(Hierarchy!$E$2:$E$1295,MATCH($D431,Hierarchy!$A$2:$A$1295,0))),"NODE NOT FOUND"))</f>
        <v>Africa</v>
      </c>
      <c r="I431" s="7" t="str">
        <f aca="false">IF($D431="","",IFERROR(IF(INDEX(Hierarchy!$F$2:$F$1295,MATCH($D431,Hierarchy!$A$2:$A$1295,0))="","",INDEX(Hierarchy!$F$2:$F$1295,MATCH($D431,Hierarchy!$A$2:$A$1295,0))),"NODE NOT FOUND"))</f>
        <v>Djibouti</v>
      </c>
      <c r="J431" s="7" t="str">
        <f aca="false">IF($D431="","",IFERROR(IF(INDEX(Hierarchy!$G$2:$G$1295,MATCH($D431,Hierarchy!$A$2:$A$1295,0))="","",INDEX(Hierarchy!$G$2:$G$1295,MATCH($D431,Hierarchy!$A$2:$A$1295,0))),"NODE NOT FOUND"))</f>
        <v>DJI</v>
      </c>
      <c r="K431" s="7" t="str">
        <f aca="false">IF($D431="","",IFERROR(IF(INDEX(Hierarchy!$H$2:$H$1295,MATCH($D431,Hierarchy!$A$2:$A$1295,0))="","",INDEX(Hierarchy!$H$2:$H$1295,MATCH($D431,Hierarchy!$A$2:$A$1295,0))),"NODE NOT FOUND"))</f>
        <v/>
      </c>
      <c r="L431" s="7" t="str">
        <f aca="false">IF($D431="","",IFERROR(IF(INDEX(Hierarchy!$I$2:$I$1295,MATCH($D431,Hierarchy!$A$2:$A$1295,0))="","",INDEX(Hierarchy!$I$2:$I$1295,MATCH($D431,Hierarchy!$A$2:$A$1295,0))),"NODE NOT FOUND"))</f>
        <v/>
      </c>
      <c r="M431" s="17" t="str">
        <f aca="false">IF(B431="Pre-seeded","Pre-seeded",IF(B431="Review 2026-09-16","Added from review",IF(C431="","New",IF(C431=D431,"","Changed"))))</f>
        <v>Pre-seeded</v>
      </c>
      <c r="N431" s="7" t="str">
        <f aca="false">TRIM(SUBSTITUTE(SUBSTITUTE(SUBSTITUTE(" "&amp;TRIM(SUBSTITUTE(SUBSTITUTE(SUBSTITUTE(SUBSTITUTE(SUBSTITUTE(SUBSTITUTE(SUBSTITUTE(SUBSTITUTE(SUBSTITUTE(SUBSTITUTE(SUBSTITUTE(SUBSTITUTE(SUBSTITUTE(SUBSTITUTE(SUBSTITUTE(UPPER(TRIM(A431)),"[MEMBER]",""),"{MEMBER}",""),"[MEMBER}",""),"MEMBER]",""),"(A)",""),"""",""),"“",""),"”",""),".",""),":",""),",",""),"–"," "),"-"," "),"/"," "),"&amp;"," AND "))&amp;" "," THE "," ")," TOTAL "," ")," OPERATIONS "," "))</f>
        <v>DJIBOUTI</v>
      </c>
      <c r="O431" s="17" t="str">
        <f aca="false">IF(COUNTIFS($N$2:$N$2000,N431,$D$2:$D$2000,"&lt;&gt;"&amp;D431)&gt;0,"CONFLICT","")</f>
        <v/>
      </c>
      <c r="P431" s="7"/>
    </row>
    <row r="432" customFormat="false" ht="15" hidden="false" customHeight="false" outlineLevel="0" collapsed="false">
      <c r="A432" s="7" t="s">
        <v>2097</v>
      </c>
      <c r="B432" s="7" t="s">
        <v>1879</v>
      </c>
      <c r="C432" s="7"/>
      <c r="D432" s="6" t="s">
        <v>1606</v>
      </c>
      <c r="E432" s="6" t="s">
        <v>1880</v>
      </c>
      <c r="F432" s="7" t="str">
        <f aca="false">IF($D432="","",IFERROR(IF(INDEX(Hierarchy!$B$2:$B$1295,MATCH($D432,Hierarchy!$A$2:$A$1295,0))="","",INDEX(Hierarchy!$B$2:$B$1295,MATCH($D432,Hierarchy!$A$2:$A$1295,0))),"NODE NOT FOUND"))</f>
        <v>State/Province</v>
      </c>
      <c r="G432" s="7" t="str">
        <f aca="false">IF($D432="","",IFERROR(IF(INDEX(Hierarchy!$D$2:$D$1295,MATCH($D432,Hierarchy!$A$2:$A$1295,0))="","",INDEX(Hierarchy!$D$2:$D$1295,MATCH($D432,Hierarchy!$A$2:$A$1295,0))),"NODE NOT FOUND"))</f>
        <v>APAC</v>
      </c>
      <c r="H432" s="7" t="str">
        <f aca="false">IF($D432="","",IFERROR(IF(INDEX(Hierarchy!$E$2:$E$1295,MATCH($D432,Hierarchy!$A$2:$A$1295,0))="","",INDEX(Hierarchy!$E$2:$E$1295,MATCH($D432,Hierarchy!$A$2:$A$1295,0))),"NODE NOT FOUND"))</f>
        <v>Southeast Asia (ASEAN)</v>
      </c>
      <c r="I432" s="7" t="str">
        <f aca="false">IF($D432="","",IFERROR(IF(INDEX(Hierarchy!$F$2:$F$1295,MATCH($D432,Hierarchy!$A$2:$A$1295,0))="","",INDEX(Hierarchy!$F$2:$F$1295,MATCH($D432,Hierarchy!$A$2:$A$1295,0))),"NODE NOT FOUND"))</f>
        <v>Indonesia</v>
      </c>
      <c r="J432" s="7" t="str">
        <f aca="false">IF($D432="","",IFERROR(IF(INDEX(Hierarchy!$G$2:$G$1295,MATCH($D432,Hierarchy!$A$2:$A$1295,0))="","",INDEX(Hierarchy!$G$2:$G$1295,MATCH($D432,Hierarchy!$A$2:$A$1295,0))),"NODE NOT FOUND"))</f>
        <v>IDN</v>
      </c>
      <c r="K432" s="7" t="str">
        <f aca="false">IF($D432="","",IFERROR(IF(INDEX(Hierarchy!$H$2:$H$1295,MATCH($D432,Hierarchy!$A$2:$A$1295,0))="","",INDEX(Hierarchy!$H$2:$H$1295,MATCH($D432,Hierarchy!$A$2:$A$1295,0))),"NODE NOT FOUND"))</f>
        <v>Jakarta</v>
      </c>
      <c r="L432" s="7" t="str">
        <f aca="false">IF($D432="","",IFERROR(IF(INDEX(Hierarchy!$I$2:$I$1295,MATCH($D432,Hierarchy!$A$2:$A$1295,0))="","",INDEX(Hierarchy!$I$2:$I$1295,MATCH($D432,Hierarchy!$A$2:$A$1295,0))),"NODE NOT FOUND"))</f>
        <v/>
      </c>
      <c r="M432" s="17" t="str">
        <f aca="false">IF(B432="Pre-seeded","Pre-seeded",IF(B432="Review 2026-09-16","Added from review",IF(C432="","New",IF(C432=D432,"","Changed"))))</f>
        <v>Pre-seeded</v>
      </c>
      <c r="N432" s="7" t="str">
        <f aca="false">TRIM(SUBSTITUTE(SUBSTITUTE(SUBSTITUTE(" "&amp;TRIM(SUBSTITUTE(SUBSTITUTE(SUBSTITUTE(SUBSTITUTE(SUBSTITUTE(SUBSTITUTE(SUBSTITUTE(SUBSTITUTE(SUBSTITUTE(SUBSTITUTE(SUBSTITUTE(SUBSTITUTE(SUBSTITUTE(SUBSTITUTE(SUBSTITUTE(UPPER(TRIM(A432)),"[MEMBER]",""),"{MEMBER}",""),"[MEMBER}",""),"MEMBER]",""),"(A)",""),"""",""),"“",""),"”",""),".",""),":",""),",",""),"–"," "),"-"," "),"/"," "),"&amp;"," AND "))&amp;" "," THE "," ")," TOTAL "," ")," OPERATIONS "," "))</f>
        <v>DKI JAKARTA</v>
      </c>
      <c r="O432" s="17" t="str">
        <f aca="false">IF(COUNTIFS($N$2:$N$2000,N432,$D$2:$D$2000,"&lt;&gt;"&amp;D432)&gt;0,"CONFLICT","")</f>
        <v/>
      </c>
      <c r="P432" s="7"/>
    </row>
    <row r="433" customFormat="false" ht="15" hidden="false" customHeight="false" outlineLevel="0" collapsed="false">
      <c r="A433" s="7" t="s">
        <v>2098</v>
      </c>
      <c r="B433" s="7" t="s">
        <v>1879</v>
      </c>
      <c r="C433" s="7"/>
      <c r="D433" s="6" t="s">
        <v>122</v>
      </c>
      <c r="E433" s="6" t="s">
        <v>1880</v>
      </c>
      <c r="F433" s="7" t="str">
        <f aca="false">IF($D433="","",IFERROR(IF(INDEX(Hierarchy!$B$2:$B$1295,MATCH($D433,Hierarchy!$A$2:$A$1295,0))="","",INDEX(Hierarchy!$B$2:$B$1295,MATCH($D433,Hierarchy!$A$2:$A$1295,0))),"NODE NOT FOUND"))</f>
        <v>Sub-national region</v>
      </c>
      <c r="G433" s="7" t="str">
        <f aca="false">IF($D433="","",IFERROR(IF(INDEX(Hierarchy!$D$2:$D$1295,MATCH($D433,Hierarchy!$A$2:$A$1295,0))="","",INDEX(Hierarchy!$D$2:$D$1295,MATCH($D433,Hierarchy!$A$2:$A$1295,0))),"NODE NOT FOUND"))</f>
        <v>AMER</v>
      </c>
      <c r="H433" s="7" t="str">
        <f aca="false">IF($D433="","",IFERROR(IF(INDEX(Hierarchy!$E$2:$E$1295,MATCH($D433,Hierarchy!$A$2:$A$1295,0))="","",INDEX(Hierarchy!$E$2:$E$1295,MATCH($D433,Hierarchy!$A$2:$A$1295,0))),"NODE NOT FOUND"))</f>
        <v>North America (NORAM)</v>
      </c>
      <c r="I433" s="7" t="str">
        <f aca="false">IF($D433="","",IFERROR(IF(INDEX(Hierarchy!$F$2:$F$1295,MATCH($D433,Hierarchy!$A$2:$A$1295,0))="","",INDEX(Hierarchy!$F$2:$F$1295,MATCH($D433,Hierarchy!$A$2:$A$1295,0))),"NODE NOT FOUND"))</f>
        <v>United States</v>
      </c>
      <c r="J433" s="7" t="str">
        <f aca="false">IF($D433="","",IFERROR(IF(INDEX(Hierarchy!$G$2:$G$1295,MATCH($D433,Hierarchy!$A$2:$A$1295,0))="","",INDEX(Hierarchy!$G$2:$G$1295,MATCH($D433,Hierarchy!$A$2:$A$1295,0))),"NODE NOT FOUND"))</f>
        <v>USA</v>
      </c>
      <c r="K433" s="7" t="str">
        <f aca="false">IF($D433="","",IFERROR(IF(INDEX(Hierarchy!$H$2:$H$1295,MATCH($D433,Hierarchy!$A$2:$A$1295,0))="","",INDEX(Hierarchy!$H$2:$H$1295,MATCH($D433,Hierarchy!$A$2:$A$1295,0))),"NODE NOT FOUND"))</f>
        <v/>
      </c>
      <c r="L433" s="7" t="str">
        <f aca="false">IF($D433="","",IFERROR(IF(INDEX(Hierarchy!$I$2:$I$1295,MATCH($D433,Hierarchy!$A$2:$A$1295,0))="","",INDEX(Hierarchy!$I$2:$I$1295,MATCH($D433,Hierarchy!$A$2:$A$1295,0))),"NODE NOT FOUND"))</f>
        <v/>
      </c>
      <c r="M433" s="17" t="str">
        <f aca="false">IF(B433="Pre-seeded","Pre-seeded",IF(B433="Review 2026-09-16","Added from review",IF(C433="","New",IF(C433=D433,"","Changed"))))</f>
        <v>Pre-seeded</v>
      </c>
      <c r="N433" s="7" t="str">
        <f aca="false">TRIM(SUBSTITUTE(SUBSTITUTE(SUBSTITUTE(" "&amp;TRIM(SUBSTITUTE(SUBSTITUTE(SUBSTITUTE(SUBSTITUTE(SUBSTITUTE(SUBSTITUTE(SUBSTITUTE(SUBSTITUTE(SUBSTITUTE(SUBSTITUTE(SUBSTITUTE(SUBSTITUTE(SUBSTITUTE(SUBSTITUTE(SUBSTITUTE(UPPER(TRIM(A433)),"[MEMBER]",""),"{MEMBER}",""),"[MEMBER}",""),"MEMBER]",""),"(A)",""),"""",""),"“",""),"”",""),".",""),":",""),",",""),"–"," "),"-"," "),"/"," "),"&amp;"," AND "))&amp;" "," THE "," ")," TOTAL "," ")," OPERATIONS "," "))</f>
        <v>DMV</v>
      </c>
      <c r="O433" s="17" t="str">
        <f aca="false">IF(COUNTIFS($N$2:$N$2000,N433,$D$2:$D$2000,"&lt;&gt;"&amp;D433)&gt;0,"CONFLICT","")</f>
        <v/>
      </c>
      <c r="P433" s="7"/>
    </row>
    <row r="434" customFormat="false" ht="15" hidden="false" customHeight="false" outlineLevel="0" collapsed="false">
      <c r="A434" s="7" t="s">
        <v>1788</v>
      </c>
      <c r="B434" s="7" t="s">
        <v>1882</v>
      </c>
      <c r="C434" s="7" t="s">
        <v>1788</v>
      </c>
      <c r="D434" s="6" t="s">
        <v>1788</v>
      </c>
      <c r="E434" s="6" t="s">
        <v>1880</v>
      </c>
      <c r="F434" s="7" t="str">
        <f aca="false">IF($D434="","",IFERROR(IF(INDEX(Hierarchy!$B$2:$B$1295,MATCH($D434,Hierarchy!$A$2:$A$1295,0))="","",INDEX(Hierarchy!$B$2:$B$1295,MATCH($D434,Hierarchy!$A$2:$A$1295,0))),"NODE NOT FOUND"))</f>
        <v>Bucket</v>
      </c>
      <c r="G434" s="7" t="str">
        <f aca="false">IF($D434="","",IFERROR(IF(INDEX(Hierarchy!$D$2:$D$1295,MATCH($D434,Hierarchy!$A$2:$A$1295,0))="","",INDEX(Hierarchy!$D$2:$D$1295,MATCH($D434,Hierarchy!$A$2:$A$1295,0))),"NODE NOT FOUND"))</f>
        <v>Non-regional</v>
      </c>
      <c r="H434" s="7" t="str">
        <f aca="false">IF($D434="","",IFERROR(IF(INDEX(Hierarchy!$E$2:$E$1295,MATCH($D434,Hierarchy!$A$2:$A$1295,0))="","",INDEX(Hierarchy!$E$2:$E$1295,MATCH($D434,Hierarchy!$A$2:$A$1295,0))),"NODE NOT FOUND"))</f>
        <v/>
      </c>
      <c r="I434" s="7" t="str">
        <f aca="false">IF($D434="","",IFERROR(IF(INDEX(Hierarchy!$F$2:$F$1295,MATCH($D434,Hierarchy!$A$2:$A$1295,0))="","",INDEX(Hierarchy!$F$2:$F$1295,MATCH($D434,Hierarchy!$A$2:$A$1295,0))),"NODE NOT FOUND"))</f>
        <v/>
      </c>
      <c r="J434" s="7" t="str">
        <f aca="false">IF($D434="","",IFERROR(IF(INDEX(Hierarchy!$G$2:$G$1295,MATCH($D434,Hierarchy!$A$2:$A$1295,0))="","",INDEX(Hierarchy!$G$2:$G$1295,MATCH($D434,Hierarchy!$A$2:$A$1295,0))),"NODE NOT FOUND"))</f>
        <v/>
      </c>
      <c r="K434" s="7" t="str">
        <f aca="false">IF($D434="","",IFERROR(IF(INDEX(Hierarchy!$H$2:$H$1295,MATCH($D434,Hierarchy!$A$2:$A$1295,0))="","",INDEX(Hierarchy!$H$2:$H$1295,MATCH($D434,Hierarchy!$A$2:$A$1295,0))),"NODE NOT FOUND"))</f>
        <v/>
      </c>
      <c r="L434" s="7" t="str">
        <f aca="false">IF($D434="","",IFERROR(IF(INDEX(Hierarchy!$I$2:$I$1295,MATCH($D434,Hierarchy!$A$2:$A$1295,0))="","",INDEX(Hierarchy!$I$2:$I$1295,MATCH($D434,Hierarchy!$A$2:$A$1295,0))),"NODE NOT FOUND"))</f>
        <v/>
      </c>
      <c r="M434" s="17" t="str">
        <f aca="false">IF(B434="Pre-seeded","Pre-seeded",IF(B434="Review 2026-09-16","Added from review",IF(C434="","New",IF(C434=D434,"","Changed"))))</f>
        <v/>
      </c>
      <c r="N434" s="7" t="str">
        <f aca="false">TRIM(SUBSTITUTE(SUBSTITUTE(SUBSTITUTE(" "&amp;TRIM(SUBSTITUTE(SUBSTITUTE(SUBSTITUTE(SUBSTITUTE(SUBSTITUTE(SUBSTITUTE(SUBSTITUTE(SUBSTITUTE(SUBSTITUTE(SUBSTITUTE(SUBSTITUTE(SUBSTITUTE(SUBSTITUTE(SUBSTITUTE(SUBSTITUTE(UPPER(TRIM(A434)),"[MEMBER]",""),"{MEMBER}",""),"[MEMBER}",""),"MEMBER]",""),"(A)",""),"""",""),"“",""),"”",""),".",""),":",""),",",""),"–"," "),"-"," "),"/"," "),"&amp;"," AND "))&amp;" "," THE "," ")," TOTAL "," ")," OPERATIONS "," "))</f>
        <v>DOMESTIC</v>
      </c>
      <c r="O434" s="17" t="str">
        <f aca="false">IF(COUNTIFS($N$2:$N$2000,N434,$D$2:$D$2000,"&lt;&gt;"&amp;D434)&gt;0,"CONFLICT","")</f>
        <v/>
      </c>
      <c r="P434" s="7"/>
    </row>
    <row r="435" customFormat="false" ht="15" hidden="false" customHeight="false" outlineLevel="0" collapsed="false">
      <c r="A435" s="7" t="s">
        <v>2099</v>
      </c>
      <c r="B435" s="7" t="s">
        <v>1885</v>
      </c>
      <c r="C435" s="7" t="s">
        <v>1788</v>
      </c>
      <c r="D435" s="6" t="s">
        <v>1788</v>
      </c>
      <c r="E435" s="6" t="s">
        <v>1880</v>
      </c>
      <c r="F435" s="7" t="str">
        <f aca="false">IF($D435="","",IFERROR(IF(INDEX(Hierarchy!$B$2:$B$1295,MATCH($D435,Hierarchy!$A$2:$A$1295,0))="","",INDEX(Hierarchy!$B$2:$B$1295,MATCH($D435,Hierarchy!$A$2:$A$1295,0))),"NODE NOT FOUND"))</f>
        <v>Bucket</v>
      </c>
      <c r="G435" s="7" t="str">
        <f aca="false">IF($D435="","",IFERROR(IF(INDEX(Hierarchy!$D$2:$D$1295,MATCH($D435,Hierarchy!$A$2:$A$1295,0))="","",INDEX(Hierarchy!$D$2:$D$1295,MATCH($D435,Hierarchy!$A$2:$A$1295,0))),"NODE NOT FOUND"))</f>
        <v>Non-regional</v>
      </c>
      <c r="H435" s="7" t="str">
        <f aca="false">IF($D435="","",IFERROR(IF(INDEX(Hierarchy!$E$2:$E$1295,MATCH($D435,Hierarchy!$A$2:$A$1295,0))="","",INDEX(Hierarchy!$E$2:$E$1295,MATCH($D435,Hierarchy!$A$2:$A$1295,0))),"NODE NOT FOUND"))</f>
        <v/>
      </c>
      <c r="I435" s="7" t="str">
        <f aca="false">IF($D435="","",IFERROR(IF(INDEX(Hierarchy!$F$2:$F$1295,MATCH($D435,Hierarchy!$A$2:$A$1295,0))="","",INDEX(Hierarchy!$F$2:$F$1295,MATCH($D435,Hierarchy!$A$2:$A$1295,0))),"NODE NOT FOUND"))</f>
        <v/>
      </c>
      <c r="J435" s="7" t="str">
        <f aca="false">IF($D435="","",IFERROR(IF(INDEX(Hierarchy!$G$2:$G$1295,MATCH($D435,Hierarchy!$A$2:$A$1295,0))="","",INDEX(Hierarchy!$G$2:$G$1295,MATCH($D435,Hierarchy!$A$2:$A$1295,0))),"NODE NOT FOUND"))</f>
        <v/>
      </c>
      <c r="K435" s="7" t="str">
        <f aca="false">IF($D435="","",IFERROR(IF(INDEX(Hierarchy!$H$2:$H$1295,MATCH($D435,Hierarchy!$A$2:$A$1295,0))="","",INDEX(Hierarchy!$H$2:$H$1295,MATCH($D435,Hierarchy!$A$2:$A$1295,0))),"NODE NOT FOUND"))</f>
        <v/>
      </c>
      <c r="L435" s="7" t="str">
        <f aca="false">IF($D435="","",IFERROR(IF(INDEX(Hierarchy!$I$2:$I$1295,MATCH($D435,Hierarchy!$A$2:$A$1295,0))="","",INDEX(Hierarchy!$I$2:$I$1295,MATCH($D435,Hierarchy!$A$2:$A$1295,0))),"NODE NOT FOUND"))</f>
        <v/>
      </c>
      <c r="M435" s="17" t="str">
        <f aca="false">IF(B435="Pre-seeded","Pre-seeded",IF(B435="Review 2026-09-16","Added from review",IF(C435="","New",IF(C435=D435,"","Changed"))))</f>
        <v/>
      </c>
      <c r="N435" s="7" t="str">
        <f aca="false">TRIM(SUBSTITUTE(SUBSTITUTE(SUBSTITUTE(" "&amp;TRIM(SUBSTITUTE(SUBSTITUTE(SUBSTITUTE(SUBSTITUTE(SUBSTITUTE(SUBSTITUTE(SUBSTITUTE(SUBSTITUTE(SUBSTITUTE(SUBSTITUTE(SUBSTITUTE(SUBSTITUTE(SUBSTITUTE(SUBSTITUTE(SUBSTITUTE(UPPER(TRIM(A435)),"[MEMBER]",""),"{MEMBER}",""),"[MEMBER}",""),"MEMBER]",""),"(A)",""),"""",""),"“",""),"”",""),".",""),":",""),",",""),"–"," "),"-"," "),"/"," "),"&amp;"," AND "))&amp;" "," THE "," ")," TOTAL "," ")," OPERATIONS "," "))</f>
        <v>DOMESTIC (NON US TITLE)</v>
      </c>
      <c r="O435" s="17" t="str">
        <f aca="false">IF(COUNTIFS($N$2:$N$2000,N435,$D$2:$D$2000,"&lt;&gt;"&amp;D435)&gt;0,"CONFLICT","")</f>
        <v/>
      </c>
      <c r="P435" s="7" t="s">
        <v>2100</v>
      </c>
    </row>
    <row r="436" customFormat="false" ht="15" hidden="false" customHeight="false" outlineLevel="0" collapsed="false">
      <c r="A436" s="7" t="s">
        <v>2101</v>
      </c>
      <c r="B436" s="7" t="s">
        <v>1882</v>
      </c>
      <c r="C436" s="7" t="s">
        <v>1788</v>
      </c>
      <c r="D436" s="6" t="s">
        <v>1788</v>
      </c>
      <c r="E436" s="6" t="s">
        <v>1880</v>
      </c>
      <c r="F436" s="7" t="str">
        <f aca="false">IF($D436="","",IFERROR(IF(INDEX(Hierarchy!$B$2:$B$1295,MATCH($D436,Hierarchy!$A$2:$A$1295,0))="","",INDEX(Hierarchy!$B$2:$B$1295,MATCH($D436,Hierarchy!$A$2:$A$1295,0))),"NODE NOT FOUND"))</f>
        <v>Bucket</v>
      </c>
      <c r="G436" s="7" t="str">
        <f aca="false">IF($D436="","",IFERROR(IF(INDEX(Hierarchy!$D$2:$D$1295,MATCH($D436,Hierarchy!$A$2:$A$1295,0))="","",INDEX(Hierarchy!$D$2:$D$1295,MATCH($D436,Hierarchy!$A$2:$A$1295,0))),"NODE NOT FOUND"))</f>
        <v>Non-regional</v>
      </c>
      <c r="H436" s="7" t="str">
        <f aca="false">IF($D436="","",IFERROR(IF(INDEX(Hierarchy!$E$2:$E$1295,MATCH($D436,Hierarchy!$A$2:$A$1295,0))="","",INDEX(Hierarchy!$E$2:$E$1295,MATCH($D436,Hierarchy!$A$2:$A$1295,0))),"NODE NOT FOUND"))</f>
        <v/>
      </c>
      <c r="I436" s="7" t="str">
        <f aca="false">IF($D436="","",IFERROR(IF(INDEX(Hierarchy!$F$2:$F$1295,MATCH($D436,Hierarchy!$A$2:$A$1295,0))="","",INDEX(Hierarchy!$F$2:$F$1295,MATCH($D436,Hierarchy!$A$2:$A$1295,0))),"NODE NOT FOUND"))</f>
        <v/>
      </c>
      <c r="J436" s="7" t="str">
        <f aca="false">IF($D436="","",IFERROR(IF(INDEX(Hierarchy!$G$2:$G$1295,MATCH($D436,Hierarchy!$A$2:$A$1295,0))="","",INDEX(Hierarchy!$G$2:$G$1295,MATCH($D436,Hierarchy!$A$2:$A$1295,0))),"NODE NOT FOUND"))</f>
        <v/>
      </c>
      <c r="K436" s="7" t="str">
        <f aca="false">IF($D436="","",IFERROR(IF(INDEX(Hierarchy!$H$2:$H$1295,MATCH($D436,Hierarchy!$A$2:$A$1295,0))="","",INDEX(Hierarchy!$H$2:$H$1295,MATCH($D436,Hierarchy!$A$2:$A$1295,0))),"NODE NOT FOUND"))</f>
        <v/>
      </c>
      <c r="L436" s="7" t="str">
        <f aca="false">IF($D436="","",IFERROR(IF(INDEX(Hierarchy!$I$2:$I$1295,MATCH($D436,Hierarchy!$A$2:$A$1295,0))="","",INDEX(Hierarchy!$I$2:$I$1295,MATCH($D436,Hierarchy!$A$2:$A$1295,0))),"NODE NOT FOUND"))</f>
        <v/>
      </c>
      <c r="M436" s="17" t="str">
        <f aca="false">IF(B436="Pre-seeded","Pre-seeded",IF(B436="Review 2026-09-16","Added from review",IF(C436="","New",IF(C436=D436,"","Changed"))))</f>
        <v/>
      </c>
      <c r="N436" s="7" t="str">
        <f aca="false">TRIM(SUBSTITUTE(SUBSTITUTE(SUBSTITUTE(" "&amp;TRIM(SUBSTITUTE(SUBSTITUTE(SUBSTITUTE(SUBSTITUTE(SUBSTITUTE(SUBSTITUTE(SUBSTITUTE(SUBSTITUTE(SUBSTITUTE(SUBSTITUTE(SUBSTITUTE(SUBSTITUTE(SUBSTITUTE(SUBSTITUTE(SUBSTITUTE(UPPER(TRIM(A436)),"[MEMBER]",""),"{MEMBER}",""),"[MEMBER}",""),"MEMBER]",""),"(A)",""),"""",""),"“",""),"”",""),".",""),":",""),",",""),"–"," "),"-"," "),"/"," "),"&amp;"," AND "))&amp;" "," THE "," ")," TOTAL "," ")," OPERATIONS "," "))</f>
        <v>DOMESTIC</v>
      </c>
      <c r="O436" s="17" t="str">
        <f aca="false">IF(COUNTIFS($N$2:$N$2000,N436,$D$2:$D$2000,"&lt;&gt;"&amp;D436)&gt;0,"CONFLICT","")</f>
        <v/>
      </c>
      <c r="P436" s="7"/>
    </row>
    <row r="437" customFormat="false" ht="15" hidden="false" customHeight="false" outlineLevel="0" collapsed="false">
      <c r="A437" s="7" t="s">
        <v>2102</v>
      </c>
      <c r="B437" s="7" t="s">
        <v>1882</v>
      </c>
      <c r="C437" s="7" t="s">
        <v>81</v>
      </c>
      <c r="D437" s="6" t="s">
        <v>81</v>
      </c>
      <c r="E437" s="6" t="s">
        <v>1880</v>
      </c>
      <c r="F437" s="7" t="str">
        <f aca="false">IF($D437="","",IFERROR(IF(INDEX(Hierarchy!$B$2:$B$1295,MATCH($D437,Hierarchy!$A$2:$A$1295,0))="","",INDEX(Hierarchy!$B$2:$B$1295,MATCH($D437,Hierarchy!$A$2:$A$1295,0))),"NODE NOT FOUND"))</f>
        <v>Country</v>
      </c>
      <c r="G437" s="7" t="str">
        <f aca="false">IF($D437="","",IFERROR(IF(INDEX(Hierarchy!$D$2:$D$1295,MATCH($D437,Hierarchy!$A$2:$A$1295,0))="","",INDEX(Hierarchy!$D$2:$D$1295,MATCH($D437,Hierarchy!$A$2:$A$1295,0))),"NODE NOT FOUND"))</f>
        <v>AMER</v>
      </c>
      <c r="H437" s="7" t="str">
        <f aca="false">IF($D437="","",IFERROR(IF(INDEX(Hierarchy!$E$2:$E$1295,MATCH($D437,Hierarchy!$A$2:$A$1295,0))="","",INDEX(Hierarchy!$E$2:$E$1295,MATCH($D437,Hierarchy!$A$2:$A$1295,0))),"NODE NOT FOUND"))</f>
        <v>North America (NORAM)</v>
      </c>
      <c r="I437" s="7" t="str">
        <f aca="false">IF($D437="","",IFERROR(IF(INDEX(Hierarchy!$F$2:$F$1295,MATCH($D437,Hierarchy!$A$2:$A$1295,0))="","",INDEX(Hierarchy!$F$2:$F$1295,MATCH($D437,Hierarchy!$A$2:$A$1295,0))),"NODE NOT FOUND"))</f>
        <v>United States</v>
      </c>
      <c r="J437" s="7" t="str">
        <f aca="false">IF($D437="","",IFERROR(IF(INDEX(Hierarchy!$G$2:$G$1295,MATCH($D437,Hierarchy!$A$2:$A$1295,0))="","",INDEX(Hierarchy!$G$2:$G$1295,MATCH($D437,Hierarchy!$A$2:$A$1295,0))),"NODE NOT FOUND"))</f>
        <v>USA</v>
      </c>
      <c r="K437" s="7" t="str">
        <f aca="false">IF($D437="","",IFERROR(IF(INDEX(Hierarchy!$H$2:$H$1295,MATCH($D437,Hierarchy!$A$2:$A$1295,0))="","",INDEX(Hierarchy!$H$2:$H$1295,MATCH($D437,Hierarchy!$A$2:$A$1295,0))),"NODE NOT FOUND"))</f>
        <v/>
      </c>
      <c r="L437" s="7" t="str">
        <f aca="false">IF($D437="","",IFERROR(IF(INDEX(Hierarchy!$I$2:$I$1295,MATCH($D437,Hierarchy!$A$2:$A$1295,0))="","",INDEX(Hierarchy!$I$2:$I$1295,MATCH($D437,Hierarchy!$A$2:$A$1295,0))),"NODE NOT FOUND"))</f>
        <v/>
      </c>
      <c r="M437" s="17" t="str">
        <f aca="false">IF(B437="Pre-seeded","Pre-seeded",IF(B437="Review 2026-09-16","Added from review",IF(C437="","New",IF(C437=D437,"","Changed"))))</f>
        <v/>
      </c>
      <c r="N437" s="7" t="str">
        <f aca="false">TRIM(SUBSTITUTE(SUBSTITUTE(SUBSTITUTE(" "&amp;TRIM(SUBSTITUTE(SUBSTITUTE(SUBSTITUTE(SUBSTITUTE(SUBSTITUTE(SUBSTITUTE(SUBSTITUTE(SUBSTITUTE(SUBSTITUTE(SUBSTITUTE(SUBSTITUTE(SUBSTITUTE(SUBSTITUTE(SUBSTITUTE(SUBSTITUTE(UPPER(TRIM(A437)),"[MEMBER]",""),"{MEMBER}",""),"[MEMBER}",""),"MEMBER]",""),"(A)",""),"""",""),"“",""),"”",""),".",""),":",""),",",""),"–"," "),"-"," "),"/"," "),"&amp;"," AND "))&amp;" "," THE "," ")," TOTAL "," ")," OPERATIONS "," "))</f>
        <v>DOMESTIC UNITED STATES</v>
      </c>
      <c r="O437" s="17" t="str">
        <f aca="false">IF(COUNTIFS($N$2:$N$2000,N437,$D$2:$D$2000,"&lt;&gt;"&amp;D437)&gt;0,"CONFLICT","")</f>
        <v/>
      </c>
      <c r="P437" s="7"/>
    </row>
    <row r="438" customFormat="false" ht="15" hidden="false" customHeight="false" outlineLevel="0" collapsed="false">
      <c r="A438" s="7" t="s">
        <v>544</v>
      </c>
      <c r="B438" s="7" t="s">
        <v>1879</v>
      </c>
      <c r="C438" s="7"/>
      <c r="D438" s="6" t="s">
        <v>544</v>
      </c>
      <c r="E438" s="6" t="s">
        <v>1880</v>
      </c>
      <c r="F438" s="7" t="str">
        <f aca="false">IF($D438="","",IFERROR(IF(INDEX(Hierarchy!$B$2:$B$1295,MATCH($D438,Hierarchy!$A$2:$A$1295,0))="","",INDEX(Hierarchy!$B$2:$B$1295,MATCH($D438,Hierarchy!$A$2:$A$1295,0))),"NODE NOT FOUND"))</f>
        <v>Country</v>
      </c>
      <c r="G438" s="7" t="str">
        <f aca="false">IF($D438="","",IFERROR(IF(INDEX(Hierarchy!$D$2:$D$1295,MATCH($D438,Hierarchy!$A$2:$A$1295,0))="","",INDEX(Hierarchy!$D$2:$D$1295,MATCH($D438,Hierarchy!$A$2:$A$1295,0))),"NODE NOT FOUND"))</f>
        <v>AMER</v>
      </c>
      <c r="H438" s="7" t="str">
        <f aca="false">IF($D438="","",IFERROR(IF(INDEX(Hierarchy!$E$2:$E$1295,MATCH($D438,Hierarchy!$A$2:$A$1295,0))="","",INDEX(Hierarchy!$E$2:$E$1295,MATCH($D438,Hierarchy!$A$2:$A$1295,0))),"NODE NOT FOUND"))</f>
        <v>Latin America (LATAM)</v>
      </c>
      <c r="I438" s="7" t="str">
        <f aca="false">IF($D438="","",IFERROR(IF(INDEX(Hierarchy!$F$2:$F$1295,MATCH($D438,Hierarchy!$A$2:$A$1295,0))="","",INDEX(Hierarchy!$F$2:$F$1295,MATCH($D438,Hierarchy!$A$2:$A$1295,0))),"NODE NOT FOUND"))</f>
        <v>Dominica</v>
      </c>
      <c r="J438" s="7" t="str">
        <f aca="false">IF($D438="","",IFERROR(IF(INDEX(Hierarchy!$G$2:$G$1295,MATCH($D438,Hierarchy!$A$2:$A$1295,0))="","",INDEX(Hierarchy!$G$2:$G$1295,MATCH($D438,Hierarchy!$A$2:$A$1295,0))),"NODE NOT FOUND"))</f>
        <v>DMA</v>
      </c>
      <c r="K438" s="7" t="str">
        <f aca="false">IF($D438="","",IFERROR(IF(INDEX(Hierarchy!$H$2:$H$1295,MATCH($D438,Hierarchy!$A$2:$A$1295,0))="","",INDEX(Hierarchy!$H$2:$H$1295,MATCH($D438,Hierarchy!$A$2:$A$1295,0))),"NODE NOT FOUND"))</f>
        <v/>
      </c>
      <c r="L438" s="7" t="str">
        <f aca="false">IF($D438="","",IFERROR(IF(INDEX(Hierarchy!$I$2:$I$1295,MATCH($D438,Hierarchy!$A$2:$A$1295,0))="","",INDEX(Hierarchy!$I$2:$I$1295,MATCH($D438,Hierarchy!$A$2:$A$1295,0))),"NODE NOT FOUND"))</f>
        <v/>
      </c>
      <c r="M438" s="17" t="str">
        <f aca="false">IF(B438="Pre-seeded","Pre-seeded",IF(B438="Review 2026-09-16","Added from review",IF(C438="","New",IF(C438=D438,"","Changed"))))</f>
        <v>Pre-seeded</v>
      </c>
      <c r="N438" s="7" t="str">
        <f aca="false">TRIM(SUBSTITUTE(SUBSTITUTE(SUBSTITUTE(" "&amp;TRIM(SUBSTITUTE(SUBSTITUTE(SUBSTITUTE(SUBSTITUTE(SUBSTITUTE(SUBSTITUTE(SUBSTITUTE(SUBSTITUTE(SUBSTITUTE(SUBSTITUTE(SUBSTITUTE(SUBSTITUTE(SUBSTITUTE(SUBSTITUTE(SUBSTITUTE(UPPER(TRIM(A438)),"[MEMBER]",""),"{MEMBER}",""),"[MEMBER}",""),"MEMBER]",""),"(A)",""),"""",""),"“",""),"”",""),".",""),":",""),",",""),"–"," "),"-"," "),"/"," "),"&amp;"," AND "))&amp;" "," THE "," ")," TOTAL "," ")," OPERATIONS "," "))</f>
        <v>DOMINICA</v>
      </c>
      <c r="O438" s="17" t="str">
        <f aca="false">IF(COUNTIFS($N$2:$N$2000,N438,$D$2:$D$2000,"&lt;&gt;"&amp;D438)&gt;0,"CONFLICT","")</f>
        <v/>
      </c>
      <c r="P438" s="7"/>
    </row>
    <row r="439" customFormat="false" ht="15" hidden="false" customHeight="false" outlineLevel="0" collapsed="false">
      <c r="A439" s="7" t="s">
        <v>546</v>
      </c>
      <c r="B439" s="7" t="s">
        <v>1882</v>
      </c>
      <c r="C439" s="7" t="s">
        <v>546</v>
      </c>
      <c r="D439" s="6" t="s">
        <v>546</v>
      </c>
      <c r="E439" s="6" t="s">
        <v>1880</v>
      </c>
      <c r="F439" s="7" t="str">
        <f aca="false">IF($D439="","",IFERROR(IF(INDEX(Hierarchy!$B$2:$B$1295,MATCH($D439,Hierarchy!$A$2:$A$1295,0))="","",INDEX(Hierarchy!$B$2:$B$1295,MATCH($D439,Hierarchy!$A$2:$A$1295,0))),"NODE NOT FOUND"))</f>
        <v>Country</v>
      </c>
      <c r="G439" s="7" t="str">
        <f aca="false">IF($D439="","",IFERROR(IF(INDEX(Hierarchy!$D$2:$D$1295,MATCH($D439,Hierarchy!$A$2:$A$1295,0))="","",INDEX(Hierarchy!$D$2:$D$1295,MATCH($D439,Hierarchy!$A$2:$A$1295,0))),"NODE NOT FOUND"))</f>
        <v>AMER</v>
      </c>
      <c r="H439" s="7" t="str">
        <f aca="false">IF($D439="","",IFERROR(IF(INDEX(Hierarchy!$E$2:$E$1295,MATCH($D439,Hierarchy!$A$2:$A$1295,0))="","",INDEX(Hierarchy!$E$2:$E$1295,MATCH($D439,Hierarchy!$A$2:$A$1295,0))),"NODE NOT FOUND"))</f>
        <v>Latin America (LATAM)</v>
      </c>
      <c r="I439" s="7" t="str">
        <f aca="false">IF($D439="","",IFERROR(IF(INDEX(Hierarchy!$F$2:$F$1295,MATCH($D439,Hierarchy!$A$2:$A$1295,0))="","",INDEX(Hierarchy!$F$2:$F$1295,MATCH($D439,Hierarchy!$A$2:$A$1295,0))),"NODE NOT FOUND"))</f>
        <v>Dominican Republic</v>
      </c>
      <c r="J439" s="7" t="str">
        <f aca="false">IF($D439="","",IFERROR(IF(INDEX(Hierarchy!$G$2:$G$1295,MATCH($D439,Hierarchy!$A$2:$A$1295,0))="","",INDEX(Hierarchy!$G$2:$G$1295,MATCH($D439,Hierarchy!$A$2:$A$1295,0))),"NODE NOT FOUND"))</f>
        <v>DOM</v>
      </c>
      <c r="K439" s="7" t="str">
        <f aca="false">IF($D439="","",IFERROR(IF(INDEX(Hierarchy!$H$2:$H$1295,MATCH($D439,Hierarchy!$A$2:$A$1295,0))="","",INDEX(Hierarchy!$H$2:$H$1295,MATCH($D439,Hierarchy!$A$2:$A$1295,0))),"NODE NOT FOUND"))</f>
        <v/>
      </c>
      <c r="L439" s="7" t="str">
        <f aca="false">IF($D439="","",IFERROR(IF(INDEX(Hierarchy!$I$2:$I$1295,MATCH($D439,Hierarchy!$A$2:$A$1295,0))="","",INDEX(Hierarchy!$I$2:$I$1295,MATCH($D439,Hierarchy!$A$2:$A$1295,0))),"NODE NOT FOUND"))</f>
        <v/>
      </c>
      <c r="M439" s="17" t="str">
        <f aca="false">IF(B439="Pre-seeded","Pre-seeded",IF(B439="Review 2026-09-16","Added from review",IF(C439="","New",IF(C439=D439,"","Changed"))))</f>
        <v/>
      </c>
      <c r="N439" s="7" t="str">
        <f aca="false">TRIM(SUBSTITUTE(SUBSTITUTE(SUBSTITUTE(" "&amp;TRIM(SUBSTITUTE(SUBSTITUTE(SUBSTITUTE(SUBSTITUTE(SUBSTITUTE(SUBSTITUTE(SUBSTITUTE(SUBSTITUTE(SUBSTITUTE(SUBSTITUTE(SUBSTITUTE(SUBSTITUTE(SUBSTITUTE(SUBSTITUTE(SUBSTITUTE(UPPER(TRIM(A439)),"[MEMBER]",""),"{MEMBER}",""),"[MEMBER}",""),"MEMBER]",""),"(A)",""),"""",""),"“",""),"”",""),".",""),":",""),",",""),"–"," "),"-"," "),"/"," "),"&amp;"," AND "))&amp;" "," THE "," ")," TOTAL "," ")," OPERATIONS "," "))</f>
        <v>DOMINICAN REPUBLIC</v>
      </c>
      <c r="O439" s="17" t="str">
        <f aca="false">IF(COUNTIFS($N$2:$N$2000,N439,$D$2:$D$2000,"&lt;&gt;"&amp;D439)&gt;0,"CONFLICT","")</f>
        <v/>
      </c>
      <c r="P439" s="7"/>
    </row>
    <row r="440" customFormat="false" ht="15" hidden="false" customHeight="false" outlineLevel="0" collapsed="false">
      <c r="A440" s="7" t="s">
        <v>2103</v>
      </c>
      <c r="B440" s="7" t="s">
        <v>1882</v>
      </c>
      <c r="C440" s="7" t="s">
        <v>546</v>
      </c>
      <c r="D440" s="6" t="s">
        <v>546</v>
      </c>
      <c r="E440" s="6" t="s">
        <v>1880</v>
      </c>
      <c r="F440" s="7" t="str">
        <f aca="false">IF($D440="","",IFERROR(IF(INDEX(Hierarchy!$B$2:$B$1295,MATCH($D440,Hierarchy!$A$2:$A$1295,0))="","",INDEX(Hierarchy!$B$2:$B$1295,MATCH($D440,Hierarchy!$A$2:$A$1295,0))),"NODE NOT FOUND"))</f>
        <v>Country</v>
      </c>
      <c r="G440" s="7" t="str">
        <f aca="false">IF($D440="","",IFERROR(IF(INDEX(Hierarchy!$D$2:$D$1295,MATCH($D440,Hierarchy!$A$2:$A$1295,0))="","",INDEX(Hierarchy!$D$2:$D$1295,MATCH($D440,Hierarchy!$A$2:$A$1295,0))),"NODE NOT FOUND"))</f>
        <v>AMER</v>
      </c>
      <c r="H440" s="7" t="str">
        <f aca="false">IF($D440="","",IFERROR(IF(INDEX(Hierarchy!$E$2:$E$1295,MATCH($D440,Hierarchy!$A$2:$A$1295,0))="","",INDEX(Hierarchy!$E$2:$E$1295,MATCH($D440,Hierarchy!$A$2:$A$1295,0))),"NODE NOT FOUND"))</f>
        <v>Latin America (LATAM)</v>
      </c>
      <c r="I440" s="7" t="str">
        <f aca="false">IF($D440="","",IFERROR(IF(INDEX(Hierarchy!$F$2:$F$1295,MATCH($D440,Hierarchy!$A$2:$A$1295,0))="","",INDEX(Hierarchy!$F$2:$F$1295,MATCH($D440,Hierarchy!$A$2:$A$1295,0))),"NODE NOT FOUND"))</f>
        <v>Dominican Republic</v>
      </c>
      <c r="J440" s="7" t="str">
        <f aca="false">IF($D440="","",IFERROR(IF(INDEX(Hierarchy!$G$2:$G$1295,MATCH($D440,Hierarchy!$A$2:$A$1295,0))="","",INDEX(Hierarchy!$G$2:$G$1295,MATCH($D440,Hierarchy!$A$2:$A$1295,0))),"NODE NOT FOUND"))</f>
        <v>DOM</v>
      </c>
      <c r="K440" s="7" t="str">
        <f aca="false">IF($D440="","",IFERROR(IF(INDEX(Hierarchy!$H$2:$H$1295,MATCH($D440,Hierarchy!$A$2:$A$1295,0))="","",INDEX(Hierarchy!$H$2:$H$1295,MATCH($D440,Hierarchy!$A$2:$A$1295,0))),"NODE NOT FOUND"))</f>
        <v/>
      </c>
      <c r="L440" s="7" t="str">
        <f aca="false">IF($D440="","",IFERROR(IF(INDEX(Hierarchy!$I$2:$I$1295,MATCH($D440,Hierarchy!$A$2:$A$1295,0))="","",INDEX(Hierarchy!$I$2:$I$1295,MATCH($D440,Hierarchy!$A$2:$A$1295,0))),"NODE NOT FOUND"))</f>
        <v/>
      </c>
      <c r="M440" s="17" t="str">
        <f aca="false">IF(B440="Pre-seeded","Pre-seeded",IF(B440="Review 2026-09-16","Added from review",IF(C440="","New",IF(C440=D440,"","Changed"))))</f>
        <v/>
      </c>
      <c r="N440" s="7" t="str">
        <f aca="false">TRIM(SUBSTITUTE(SUBSTITUTE(SUBSTITUTE(" "&amp;TRIM(SUBSTITUTE(SUBSTITUTE(SUBSTITUTE(SUBSTITUTE(SUBSTITUTE(SUBSTITUTE(SUBSTITUTE(SUBSTITUTE(SUBSTITUTE(SUBSTITUTE(SUBSTITUTE(SUBSTITUTE(SUBSTITUTE(SUBSTITUTE(SUBSTITUTE(UPPER(TRIM(A440)),"[MEMBER]",""),"{MEMBER}",""),"[MEMBER}",""),"MEMBER]",""),"(A)",""),"""",""),"“",""),"”",""),".",""),":",""),",",""),"–"," "),"-"," "),"/"," "),"&amp;"," AND "))&amp;" "," THE "," ")," TOTAL "," ")," OPERATIONS "," "))</f>
        <v>DOMINICAN REPUBLIC</v>
      </c>
      <c r="O440" s="17" t="str">
        <f aca="false">IF(COUNTIFS($N$2:$N$2000,N440,$D$2:$D$2000,"&lt;&gt;"&amp;D440)&gt;0,"CONFLICT","")</f>
        <v/>
      </c>
      <c r="P440" s="7"/>
    </row>
    <row r="441" customFormat="false" ht="15" hidden="false" customHeight="false" outlineLevel="0" collapsed="false">
      <c r="A441" s="7" t="s">
        <v>2104</v>
      </c>
      <c r="B441" s="7" t="s">
        <v>1879</v>
      </c>
      <c r="C441" s="7"/>
      <c r="D441" s="6" t="s">
        <v>1207</v>
      </c>
      <c r="E441" s="6" t="s">
        <v>1880</v>
      </c>
      <c r="F441" s="7" t="str">
        <f aca="false">IF($D441="","",IFERROR(IF(INDEX(Hierarchy!$B$2:$B$1295,MATCH($D441,Hierarchy!$A$2:$A$1295,0))="","",INDEX(Hierarchy!$B$2:$B$1295,MATCH($D441,Hierarchy!$A$2:$A$1295,0))),"NODE NOT FOUND"))</f>
        <v>Country</v>
      </c>
      <c r="G441" s="7" t="str">
        <f aca="false">IF($D441="","",IFERROR(IF(INDEX(Hierarchy!$D$2:$D$1295,MATCH($D441,Hierarchy!$A$2:$A$1295,0))="","",INDEX(Hierarchy!$D$2:$D$1295,MATCH($D441,Hierarchy!$A$2:$A$1295,0))),"NODE NOT FOUND"))</f>
        <v>EMEA</v>
      </c>
      <c r="H441" s="7" t="str">
        <f aca="false">IF($D441="","",IFERROR(IF(INDEX(Hierarchy!$E$2:$E$1295,MATCH($D441,Hierarchy!$A$2:$A$1295,0))="","",INDEX(Hierarchy!$E$2:$E$1295,MATCH($D441,Hierarchy!$A$2:$A$1295,0))),"NODE NOT FOUND"))</f>
        <v>Africa</v>
      </c>
      <c r="I441" s="7" t="str">
        <f aca="false">IF($D441="","",IFERROR(IF(INDEX(Hierarchy!$F$2:$F$1295,MATCH($D441,Hierarchy!$A$2:$A$1295,0))="","",INDEX(Hierarchy!$F$2:$F$1295,MATCH($D441,Hierarchy!$A$2:$A$1295,0))),"NODE NOT FOUND"))</f>
        <v>Democratic Republic of the Congo (DRC)</v>
      </c>
      <c r="J441" s="7" t="str">
        <f aca="false">IF($D441="","",IFERROR(IF(INDEX(Hierarchy!$G$2:$G$1295,MATCH($D441,Hierarchy!$A$2:$A$1295,0))="","",INDEX(Hierarchy!$G$2:$G$1295,MATCH($D441,Hierarchy!$A$2:$A$1295,0))),"NODE NOT FOUND"))</f>
        <v>COD</v>
      </c>
      <c r="K441" s="7" t="str">
        <f aca="false">IF($D441="","",IFERROR(IF(INDEX(Hierarchy!$H$2:$H$1295,MATCH($D441,Hierarchy!$A$2:$A$1295,0))="","",INDEX(Hierarchy!$H$2:$H$1295,MATCH($D441,Hierarchy!$A$2:$A$1295,0))),"NODE NOT FOUND"))</f>
        <v/>
      </c>
      <c r="L441" s="7" t="str">
        <f aca="false">IF($D441="","",IFERROR(IF(INDEX(Hierarchy!$I$2:$I$1295,MATCH($D441,Hierarchy!$A$2:$A$1295,0))="","",INDEX(Hierarchy!$I$2:$I$1295,MATCH($D441,Hierarchy!$A$2:$A$1295,0))),"NODE NOT FOUND"))</f>
        <v/>
      </c>
      <c r="M441" s="17" t="str">
        <f aca="false">IF(B441="Pre-seeded","Pre-seeded",IF(B441="Review 2026-09-16","Added from review",IF(C441="","New",IF(C441=D441,"","Changed"))))</f>
        <v>Pre-seeded</v>
      </c>
      <c r="N441" s="7" t="str">
        <f aca="false">TRIM(SUBSTITUTE(SUBSTITUTE(SUBSTITUTE(" "&amp;TRIM(SUBSTITUTE(SUBSTITUTE(SUBSTITUTE(SUBSTITUTE(SUBSTITUTE(SUBSTITUTE(SUBSTITUTE(SUBSTITUTE(SUBSTITUTE(SUBSTITUTE(SUBSTITUTE(SUBSTITUTE(SUBSTITUTE(SUBSTITUTE(SUBSTITUTE(UPPER(TRIM(A441)),"[MEMBER]",""),"{MEMBER}",""),"[MEMBER}",""),"MEMBER]",""),"(A)",""),"""",""),"“",""),"”",""),".",""),":",""),",",""),"–"," "),"-"," "),"/"," "),"&amp;"," AND "))&amp;" "," THE "," ")," TOTAL "," ")," OPERATIONS "," "))</f>
        <v>DRC</v>
      </c>
      <c r="O441" s="17" t="str">
        <f aca="false">IF(COUNTIFS($N$2:$N$2000,N441,$D$2:$D$2000,"&lt;&gt;"&amp;D441)&gt;0,"CONFLICT","")</f>
        <v/>
      </c>
      <c r="P441" s="7"/>
    </row>
    <row r="442" customFormat="false" ht="15" hidden="false" customHeight="false" outlineLevel="0" collapsed="false">
      <c r="A442" s="7" t="s">
        <v>885</v>
      </c>
      <c r="B442" s="7" t="s">
        <v>1879</v>
      </c>
      <c r="C442" s="7"/>
      <c r="D442" s="6" t="s">
        <v>885</v>
      </c>
      <c r="E442" s="6" t="s">
        <v>1880</v>
      </c>
      <c r="F442" s="7" t="str">
        <f aca="false">IF($D442="","",IFERROR(IF(INDEX(Hierarchy!$B$2:$B$1295,MATCH($D442,Hierarchy!$A$2:$A$1295,0))="","",INDEX(Hierarchy!$B$2:$B$1295,MATCH($D442,Hierarchy!$A$2:$A$1295,0))),"NODE NOT FOUND"))</f>
        <v>State/Province</v>
      </c>
      <c r="G442" s="7" t="str">
        <f aca="false">IF($D442="","",IFERROR(IF(INDEX(Hierarchy!$D$2:$D$1295,MATCH($D442,Hierarchy!$A$2:$A$1295,0))="","",INDEX(Hierarchy!$D$2:$D$1295,MATCH($D442,Hierarchy!$A$2:$A$1295,0))),"NODE NOT FOUND"))</f>
        <v>EMEA</v>
      </c>
      <c r="H442" s="7" t="str">
        <f aca="false">IF($D442="","",IFERROR(IF(INDEX(Hierarchy!$E$2:$E$1295,MATCH($D442,Hierarchy!$A$2:$A$1295,0))="","",INDEX(Hierarchy!$E$2:$E$1295,MATCH($D442,Hierarchy!$A$2:$A$1295,0))),"NODE NOT FOUND"))</f>
        <v>Europe</v>
      </c>
      <c r="I442" s="7" t="str">
        <f aca="false">IF($D442="","",IFERROR(IF(INDEX(Hierarchy!$F$2:$F$1295,MATCH($D442,Hierarchy!$A$2:$A$1295,0))="","",INDEX(Hierarchy!$F$2:$F$1295,MATCH($D442,Hierarchy!$A$2:$A$1295,0))),"NODE NOT FOUND"))</f>
        <v>Netherlands</v>
      </c>
      <c r="J442" s="7" t="str">
        <f aca="false">IF($D442="","",IFERROR(IF(INDEX(Hierarchy!$G$2:$G$1295,MATCH($D442,Hierarchy!$A$2:$A$1295,0))="","",INDEX(Hierarchy!$G$2:$G$1295,MATCH($D442,Hierarchy!$A$2:$A$1295,0))),"NODE NOT FOUND"))</f>
        <v>NLD</v>
      </c>
      <c r="K442" s="7" t="str">
        <f aca="false">IF($D442="","",IFERROR(IF(INDEX(Hierarchy!$H$2:$H$1295,MATCH($D442,Hierarchy!$A$2:$A$1295,0))="","",INDEX(Hierarchy!$H$2:$H$1295,MATCH($D442,Hierarchy!$A$2:$A$1295,0))),"NODE NOT FOUND"))</f>
        <v>Drenthe</v>
      </c>
      <c r="L442" s="7" t="str">
        <f aca="false">IF($D442="","",IFERROR(IF(INDEX(Hierarchy!$I$2:$I$1295,MATCH($D442,Hierarchy!$A$2:$A$1295,0))="","",INDEX(Hierarchy!$I$2:$I$1295,MATCH($D442,Hierarchy!$A$2:$A$1295,0))),"NODE NOT FOUND"))</f>
        <v/>
      </c>
      <c r="M442" s="17" t="str">
        <f aca="false">IF(B442="Pre-seeded","Pre-seeded",IF(B442="Review 2026-09-16","Added from review",IF(C442="","New",IF(C442=D442,"","Changed"))))</f>
        <v>Pre-seeded</v>
      </c>
      <c r="N442" s="7" t="str">
        <f aca="false">TRIM(SUBSTITUTE(SUBSTITUTE(SUBSTITUTE(" "&amp;TRIM(SUBSTITUTE(SUBSTITUTE(SUBSTITUTE(SUBSTITUTE(SUBSTITUTE(SUBSTITUTE(SUBSTITUTE(SUBSTITUTE(SUBSTITUTE(SUBSTITUTE(SUBSTITUTE(SUBSTITUTE(SUBSTITUTE(SUBSTITUTE(SUBSTITUTE(UPPER(TRIM(A442)),"[MEMBER]",""),"{MEMBER}",""),"[MEMBER}",""),"MEMBER]",""),"(A)",""),"""",""),"“",""),"”",""),".",""),":",""),",",""),"–"," "),"-"," "),"/"," "),"&amp;"," AND "))&amp;" "," THE "," ")," TOTAL "," ")," OPERATIONS "," "))</f>
        <v>DRENTHE</v>
      </c>
      <c r="O442" s="17" t="str">
        <f aca="false">IF(COUNTIFS($N$2:$N$2000,N442,$D$2:$D$2000,"&lt;&gt;"&amp;D442)&gt;0,"CONFLICT","")</f>
        <v/>
      </c>
      <c r="P442" s="7"/>
    </row>
    <row r="443" customFormat="false" ht="15" hidden="false" customHeight="false" outlineLevel="0" collapsed="false">
      <c r="A443" s="7" t="s">
        <v>1041</v>
      </c>
      <c r="B443" s="7" t="s">
        <v>1879</v>
      </c>
      <c r="C443" s="7"/>
      <c r="D443" s="6" t="s">
        <v>1041</v>
      </c>
      <c r="E443" s="6" t="s">
        <v>1880</v>
      </c>
      <c r="F443" s="7" t="str">
        <f aca="false">IF($D443="","",IFERROR(IF(INDEX(Hierarchy!$B$2:$B$1295,MATCH($D443,Hierarchy!$A$2:$A$1295,0))="","",INDEX(Hierarchy!$B$2:$B$1295,MATCH($D443,Hierarchy!$A$2:$A$1295,0))),"NODE NOT FOUND"))</f>
        <v>State/Province</v>
      </c>
      <c r="G443" s="7" t="str">
        <f aca="false">IF($D443="","",IFERROR(IF(INDEX(Hierarchy!$D$2:$D$1295,MATCH($D443,Hierarchy!$A$2:$A$1295,0))="","",INDEX(Hierarchy!$D$2:$D$1295,MATCH($D443,Hierarchy!$A$2:$A$1295,0))),"NODE NOT FOUND"))</f>
        <v>EMEA</v>
      </c>
      <c r="H443" s="7" t="str">
        <f aca="false">IF($D443="","",IFERROR(IF(INDEX(Hierarchy!$E$2:$E$1295,MATCH($D443,Hierarchy!$A$2:$A$1295,0))="","",INDEX(Hierarchy!$E$2:$E$1295,MATCH($D443,Hierarchy!$A$2:$A$1295,0))),"NODE NOT FOUND"))</f>
        <v>Middle East</v>
      </c>
      <c r="I443" s="7" t="str">
        <f aca="false">IF($D443="","",IFERROR(IF(INDEX(Hierarchy!$F$2:$F$1295,MATCH($D443,Hierarchy!$A$2:$A$1295,0))="","",INDEX(Hierarchy!$F$2:$F$1295,MATCH($D443,Hierarchy!$A$2:$A$1295,0))),"NODE NOT FOUND"))</f>
        <v>United Arab Emirates</v>
      </c>
      <c r="J443" s="7" t="str">
        <f aca="false">IF($D443="","",IFERROR(IF(INDEX(Hierarchy!$G$2:$G$1295,MATCH($D443,Hierarchy!$A$2:$A$1295,0))="","",INDEX(Hierarchy!$G$2:$G$1295,MATCH($D443,Hierarchy!$A$2:$A$1295,0))),"NODE NOT FOUND"))</f>
        <v>ARE</v>
      </c>
      <c r="K443" s="7" t="str">
        <f aca="false">IF($D443="","",IFERROR(IF(INDEX(Hierarchy!$H$2:$H$1295,MATCH($D443,Hierarchy!$A$2:$A$1295,0))="","",INDEX(Hierarchy!$H$2:$H$1295,MATCH($D443,Hierarchy!$A$2:$A$1295,0))),"NODE NOT FOUND"))</f>
        <v>Dubai</v>
      </c>
      <c r="L443" s="7" t="str">
        <f aca="false">IF($D443="","",IFERROR(IF(INDEX(Hierarchy!$I$2:$I$1295,MATCH($D443,Hierarchy!$A$2:$A$1295,0))="","",INDEX(Hierarchy!$I$2:$I$1295,MATCH($D443,Hierarchy!$A$2:$A$1295,0))),"NODE NOT FOUND"))</f>
        <v/>
      </c>
      <c r="M443" s="17" t="str">
        <f aca="false">IF(B443="Pre-seeded","Pre-seeded",IF(B443="Review 2026-09-16","Added from review",IF(C443="","New",IF(C443=D443,"","Changed"))))</f>
        <v>Pre-seeded</v>
      </c>
      <c r="N443" s="7" t="str">
        <f aca="false">TRIM(SUBSTITUTE(SUBSTITUTE(SUBSTITUTE(" "&amp;TRIM(SUBSTITUTE(SUBSTITUTE(SUBSTITUTE(SUBSTITUTE(SUBSTITUTE(SUBSTITUTE(SUBSTITUTE(SUBSTITUTE(SUBSTITUTE(SUBSTITUTE(SUBSTITUTE(SUBSTITUTE(SUBSTITUTE(SUBSTITUTE(SUBSTITUTE(UPPER(TRIM(A443)),"[MEMBER]",""),"{MEMBER}",""),"[MEMBER}",""),"MEMBER]",""),"(A)",""),"""",""),"“",""),"”",""),".",""),":",""),",",""),"–"," "),"-"," "),"/"," "),"&amp;"," AND "))&amp;" "," THE "," ")," TOTAL "," ")," OPERATIONS "," "))</f>
        <v>DUBAI</v>
      </c>
      <c r="O443" s="17" t="str">
        <f aca="false">IF(COUNTIFS($N$2:$N$2000,N443,$D$2:$D$2000,"&lt;&gt;"&amp;D443)&gt;0,"CONFLICT","")</f>
        <v/>
      </c>
      <c r="P443" s="7"/>
    </row>
    <row r="444" customFormat="false" ht="15" hidden="false" customHeight="false" outlineLevel="0" collapsed="false">
      <c r="A444" s="7" t="s">
        <v>392</v>
      </c>
      <c r="B444" s="7" t="s">
        <v>1879</v>
      </c>
      <c r="C444" s="7"/>
      <c r="D444" s="6" t="s">
        <v>392</v>
      </c>
      <c r="E444" s="6" t="s">
        <v>1880</v>
      </c>
      <c r="F444" s="7" t="str">
        <f aca="false">IF($D444="","",IFERROR(IF(INDEX(Hierarchy!$B$2:$B$1295,MATCH($D444,Hierarchy!$A$2:$A$1295,0))="","",INDEX(Hierarchy!$B$2:$B$1295,MATCH($D444,Hierarchy!$A$2:$A$1295,0))),"NODE NOT FOUND"))</f>
        <v>State/Province</v>
      </c>
      <c r="G444" s="7" t="str">
        <f aca="false">IF($D444="","",IFERROR(IF(INDEX(Hierarchy!$D$2:$D$1295,MATCH($D444,Hierarchy!$A$2:$A$1295,0))="","",INDEX(Hierarchy!$D$2:$D$1295,MATCH($D444,Hierarchy!$A$2:$A$1295,0))),"NODE NOT FOUND"))</f>
        <v>AMER</v>
      </c>
      <c r="H444" s="7" t="str">
        <f aca="false">IF($D444="","",IFERROR(IF(INDEX(Hierarchy!$E$2:$E$1295,MATCH($D444,Hierarchy!$A$2:$A$1295,0))="","",INDEX(Hierarchy!$E$2:$E$1295,MATCH($D444,Hierarchy!$A$2:$A$1295,0))),"NODE NOT FOUND"))</f>
        <v>Latin America (LATAM)</v>
      </c>
      <c r="I444" s="7" t="str">
        <f aca="false">IF($D444="","",IFERROR(IF(INDEX(Hierarchy!$F$2:$F$1295,MATCH($D444,Hierarchy!$A$2:$A$1295,0))="","",INDEX(Hierarchy!$F$2:$F$1295,MATCH($D444,Hierarchy!$A$2:$A$1295,0))),"NODE NOT FOUND"))</f>
        <v>Mexico</v>
      </c>
      <c r="J444" s="7" t="str">
        <f aca="false">IF($D444="","",IFERROR(IF(INDEX(Hierarchy!$G$2:$G$1295,MATCH($D444,Hierarchy!$A$2:$A$1295,0))="","",INDEX(Hierarchy!$G$2:$G$1295,MATCH($D444,Hierarchy!$A$2:$A$1295,0))),"NODE NOT FOUND"))</f>
        <v>MEX</v>
      </c>
      <c r="K444" s="7" t="str">
        <f aca="false">IF($D444="","",IFERROR(IF(INDEX(Hierarchy!$H$2:$H$1295,MATCH($D444,Hierarchy!$A$2:$A$1295,0))="","",INDEX(Hierarchy!$H$2:$H$1295,MATCH($D444,Hierarchy!$A$2:$A$1295,0))),"NODE NOT FOUND"))</f>
        <v>Durango</v>
      </c>
      <c r="L444" s="7" t="str">
        <f aca="false">IF($D444="","",IFERROR(IF(INDEX(Hierarchy!$I$2:$I$1295,MATCH($D444,Hierarchy!$A$2:$A$1295,0))="","",INDEX(Hierarchy!$I$2:$I$1295,MATCH($D444,Hierarchy!$A$2:$A$1295,0))),"NODE NOT FOUND"))</f>
        <v/>
      </c>
      <c r="M444" s="17" t="str">
        <f aca="false">IF(B444="Pre-seeded","Pre-seeded",IF(B444="Review 2026-09-16","Added from review",IF(C444="","New",IF(C444=D444,"","Changed"))))</f>
        <v>Pre-seeded</v>
      </c>
      <c r="N444" s="7" t="str">
        <f aca="false">TRIM(SUBSTITUTE(SUBSTITUTE(SUBSTITUTE(" "&amp;TRIM(SUBSTITUTE(SUBSTITUTE(SUBSTITUTE(SUBSTITUTE(SUBSTITUTE(SUBSTITUTE(SUBSTITUTE(SUBSTITUTE(SUBSTITUTE(SUBSTITUTE(SUBSTITUTE(SUBSTITUTE(SUBSTITUTE(SUBSTITUTE(SUBSTITUTE(UPPER(TRIM(A444)),"[MEMBER]",""),"{MEMBER}",""),"[MEMBER}",""),"MEMBER]",""),"(A)",""),"""",""),"“",""),"”",""),".",""),":",""),",",""),"–"," "),"-"," "),"/"," "),"&amp;"," AND "))&amp;" "," THE "," ")," TOTAL "," ")," OPERATIONS "," "))</f>
        <v>DURANGO</v>
      </c>
      <c r="O444" s="17" t="str">
        <f aca="false">IF(COUNTIFS($N$2:$N$2000,N444,$D$2:$D$2000,"&lt;&gt;"&amp;D444)&gt;0,"CONFLICT","")</f>
        <v/>
      </c>
      <c r="P444" s="7"/>
    </row>
    <row r="445" customFormat="false" ht="15" hidden="false" customHeight="false" outlineLevel="0" collapsed="false">
      <c r="A445" s="7" t="s">
        <v>2105</v>
      </c>
      <c r="B445" s="7" t="s">
        <v>1909</v>
      </c>
      <c r="C445" s="7"/>
      <c r="D445" s="6" t="s">
        <v>1801</v>
      </c>
      <c r="E445" s="6" t="s">
        <v>1880</v>
      </c>
      <c r="F445" s="7" t="str">
        <f aca="false">IF($D445="","",IFERROR(IF(INDEX(Hierarchy!$B$2:$B$1295,MATCH($D445,Hierarchy!$A$2:$A$1295,0))="","",INDEX(Hierarchy!$B$2:$B$1295,MATCH($D445,Hierarchy!$A$2:$A$1295,0))),"NODE NOT FOUND"))</f>
        <v>Multi-region</v>
      </c>
      <c r="G445" s="7" t="str">
        <f aca="false">IF($D445="","",IFERROR(IF(INDEX(Hierarchy!$D$2:$D$1295,MATCH($D445,Hierarchy!$A$2:$A$1295,0))="","",INDEX(Hierarchy!$D$2:$D$1295,MATCH($D445,Hierarchy!$A$2:$A$1295,0))),"NODE NOT FOUND"))</f>
        <v>Multi-region</v>
      </c>
      <c r="H445" s="7" t="str">
        <f aca="false">IF($D445="","",IFERROR(IF(INDEX(Hierarchy!$E$2:$E$1295,MATCH($D445,Hierarchy!$A$2:$A$1295,0))="","",INDEX(Hierarchy!$E$2:$E$1295,MATCH($D445,Hierarchy!$A$2:$A$1295,0))),"NODE NOT FOUND"))</f>
        <v/>
      </c>
      <c r="I445" s="7" t="str">
        <f aca="false">IF($D445="","",IFERROR(IF(INDEX(Hierarchy!$F$2:$F$1295,MATCH($D445,Hierarchy!$A$2:$A$1295,0))="","",INDEX(Hierarchy!$F$2:$F$1295,MATCH($D445,Hierarchy!$A$2:$A$1295,0))),"NODE NOT FOUND"))</f>
        <v/>
      </c>
      <c r="J445" s="7" t="str">
        <f aca="false">IF($D445="","",IFERROR(IF(INDEX(Hierarchy!$G$2:$G$1295,MATCH($D445,Hierarchy!$A$2:$A$1295,0))="","",INDEX(Hierarchy!$G$2:$G$1295,MATCH($D445,Hierarchy!$A$2:$A$1295,0))),"NODE NOT FOUND"))</f>
        <v/>
      </c>
      <c r="K445" s="7" t="str">
        <f aca="false">IF($D445="","",IFERROR(IF(INDEX(Hierarchy!$H$2:$H$1295,MATCH($D445,Hierarchy!$A$2:$A$1295,0))="","",INDEX(Hierarchy!$H$2:$H$1295,MATCH($D445,Hierarchy!$A$2:$A$1295,0))),"NODE NOT FOUND"))</f>
        <v/>
      </c>
      <c r="L445" s="7" t="str">
        <f aca="false">IF($D445="","",IFERROR(IF(INDEX(Hierarchy!$I$2:$I$1295,MATCH($D445,Hierarchy!$A$2:$A$1295,0))="","",INDEX(Hierarchy!$I$2:$I$1295,MATCH($D445,Hierarchy!$A$2:$A$1295,0))),"NODE NOT FOUND"))</f>
        <v/>
      </c>
      <c r="M445" s="17" t="str">
        <f aca="false">IF(B445="Pre-seeded","Pre-seeded",IF(B445="Review 2026-09-16","Added from review",IF(C445="","New",IF(C445=D445,"","Changed"))))</f>
        <v>New</v>
      </c>
      <c r="N445" s="7" t="str">
        <f aca="false">TRIM(SUBSTITUTE(SUBSTITUTE(SUBSTITUTE(" "&amp;TRIM(SUBSTITUTE(SUBSTITUTE(SUBSTITUTE(SUBSTITUTE(SUBSTITUTE(SUBSTITUTE(SUBSTITUTE(SUBSTITUTE(SUBSTITUTE(SUBSTITUTE(SUBSTITUTE(SUBSTITUTE(SUBSTITUTE(SUBSTITUTE(SUBSTITUTE(UPPER(TRIM(A445)),"[MEMBER]",""),"{MEMBER}",""),"[MEMBER}",""),"MEMBER]",""),"(A)",""),"""",""),"“",""),"”",""),".",""),":",""),",",""),"–"," "),"-"," "),"/"," "),"&amp;"," AND "))&amp;" "," THE "," ")," TOTAL "," ")," OPERATIONS "," "))</f>
        <v>EAME</v>
      </c>
      <c r="O445" s="17" t="str">
        <f aca="false">IF(COUNTIFS($N$2:$N$2000,N445,$D$2:$D$2000,"&lt;&gt;"&amp;D445)&gt;0,"CONFLICT","")</f>
        <v/>
      </c>
      <c r="P445" s="7"/>
    </row>
    <row r="446" customFormat="false" ht="15" hidden="false" customHeight="false" outlineLevel="0" collapsed="false">
      <c r="A446" s="7" t="s">
        <v>2106</v>
      </c>
      <c r="B446" s="7" t="s">
        <v>1879</v>
      </c>
      <c r="C446" s="7"/>
      <c r="D446" s="6" t="s">
        <v>1822</v>
      </c>
      <c r="E446" s="6" t="s">
        <v>1880</v>
      </c>
      <c r="F446" s="7" t="str">
        <f aca="false">IF($D446="","",IFERROR(IF(INDEX(Hierarchy!$B$2:$B$1295,MATCH($D446,Hierarchy!$A$2:$A$1295,0))="","",INDEX(Hierarchy!$B$2:$B$1295,MATCH($D446,Hierarchy!$A$2:$A$1295,0))),"NODE NOT FOUND"))</f>
        <v>Reference grouping</v>
      </c>
      <c r="G446" s="7" t="str">
        <f aca="false">IF($D446="","",IFERROR(IF(INDEX(Hierarchy!$D$2:$D$1295,MATCH($D446,Hierarchy!$A$2:$A$1295,0))="","",INDEX(Hierarchy!$D$2:$D$1295,MATCH($D446,Hierarchy!$A$2:$A$1295,0))),"NODE NOT FOUND"))</f>
        <v>Reference (UN / World Bank)</v>
      </c>
      <c r="H446" s="7" t="str">
        <f aca="false">IF($D446="","",IFERROR(IF(INDEX(Hierarchy!$E$2:$E$1295,MATCH($D446,Hierarchy!$A$2:$A$1295,0))="","",INDEX(Hierarchy!$E$2:$E$1295,MATCH($D446,Hierarchy!$A$2:$A$1295,0))),"NODE NOT FOUND"))</f>
        <v/>
      </c>
      <c r="I446" s="7" t="str">
        <f aca="false">IF($D446="","",IFERROR(IF(INDEX(Hierarchy!$F$2:$F$1295,MATCH($D446,Hierarchy!$A$2:$A$1295,0))="","",INDEX(Hierarchy!$F$2:$F$1295,MATCH($D446,Hierarchy!$A$2:$A$1295,0))),"NODE NOT FOUND"))</f>
        <v/>
      </c>
      <c r="J446" s="7" t="str">
        <f aca="false">IF($D446="","",IFERROR(IF(INDEX(Hierarchy!$G$2:$G$1295,MATCH($D446,Hierarchy!$A$2:$A$1295,0))="","",INDEX(Hierarchy!$G$2:$G$1295,MATCH($D446,Hierarchy!$A$2:$A$1295,0))),"NODE NOT FOUND"))</f>
        <v/>
      </c>
      <c r="K446" s="7" t="str">
        <f aca="false">IF($D446="","",IFERROR(IF(INDEX(Hierarchy!$H$2:$H$1295,MATCH($D446,Hierarchy!$A$2:$A$1295,0))="","",INDEX(Hierarchy!$H$2:$H$1295,MATCH($D446,Hierarchy!$A$2:$A$1295,0))),"NODE NOT FOUND"))</f>
        <v/>
      </c>
      <c r="L446" s="7" t="str">
        <f aca="false">IF($D446="","",IFERROR(IF(INDEX(Hierarchy!$I$2:$I$1295,MATCH($D446,Hierarchy!$A$2:$A$1295,0))="","",INDEX(Hierarchy!$I$2:$I$1295,MATCH($D446,Hierarchy!$A$2:$A$1295,0))),"NODE NOT FOUND"))</f>
        <v/>
      </c>
      <c r="M446" s="17" t="str">
        <f aca="false">IF(B446="Pre-seeded","Pre-seeded",IF(B446="Review 2026-09-16","Added from review",IF(C446="","New",IF(C446=D446,"","Changed"))))</f>
        <v>Pre-seeded</v>
      </c>
      <c r="N446" s="7" t="str">
        <f aca="false">TRIM(SUBSTITUTE(SUBSTITUTE(SUBSTITUTE(" "&amp;TRIM(SUBSTITUTE(SUBSTITUTE(SUBSTITUTE(SUBSTITUTE(SUBSTITUTE(SUBSTITUTE(SUBSTITUTE(SUBSTITUTE(SUBSTITUTE(SUBSTITUTE(SUBSTITUTE(SUBSTITUTE(SUBSTITUTE(SUBSTITUTE(SUBSTITUTE(UPPER(TRIM(A446)),"[MEMBER]",""),"{MEMBER}",""),"[MEMBER}",""),"MEMBER]",""),"(A)",""),"""",""),"“",""),"”",""),".",""),":",""),",",""),"–"," "),"-"," "),"/"," "),"&amp;"," AND "))&amp;" "," THE "," ")," TOTAL "," ")," OPERATIONS "," "))</f>
        <v>EAP</v>
      </c>
      <c r="O446" s="17" t="str">
        <f aca="false">IF(COUNTIFS($N$2:$N$2000,N446,$D$2:$D$2000,"&lt;&gt;"&amp;D446)&gt;0,"CONFLICT","")</f>
        <v/>
      </c>
      <c r="P446" s="7"/>
    </row>
    <row r="447" customFormat="false" ht="15" hidden="false" customHeight="false" outlineLevel="0" collapsed="false">
      <c r="A447" s="7" t="s">
        <v>2107</v>
      </c>
      <c r="B447" s="7" t="s">
        <v>1882</v>
      </c>
      <c r="C447" s="7" t="s">
        <v>2107</v>
      </c>
      <c r="D447" s="6" t="s">
        <v>92</v>
      </c>
      <c r="E447" s="6" t="s">
        <v>1880</v>
      </c>
      <c r="F447" s="7" t="str">
        <f aca="false">IF($D447="","",IFERROR(IF(INDEX(Hierarchy!$B$2:$B$1295,MATCH($D447,Hierarchy!$A$2:$A$1295,0))="","",INDEX(Hierarchy!$B$2:$B$1295,MATCH($D447,Hierarchy!$A$2:$A$1295,0))),"NODE NOT FOUND"))</f>
        <v>Sub-national region</v>
      </c>
      <c r="G447" s="7" t="str">
        <f aca="false">IF($D447="","",IFERROR(IF(INDEX(Hierarchy!$D$2:$D$1295,MATCH($D447,Hierarchy!$A$2:$A$1295,0))="","",INDEX(Hierarchy!$D$2:$D$1295,MATCH($D447,Hierarchy!$A$2:$A$1295,0))),"NODE NOT FOUND"))</f>
        <v>AMER</v>
      </c>
      <c r="H447" s="7" t="str">
        <f aca="false">IF($D447="","",IFERROR(IF(INDEX(Hierarchy!$E$2:$E$1295,MATCH($D447,Hierarchy!$A$2:$A$1295,0))="","",INDEX(Hierarchy!$E$2:$E$1295,MATCH($D447,Hierarchy!$A$2:$A$1295,0))),"NODE NOT FOUND"))</f>
        <v>North America (NORAM)</v>
      </c>
      <c r="I447" s="7" t="str">
        <f aca="false">IF($D447="","",IFERROR(IF(INDEX(Hierarchy!$F$2:$F$1295,MATCH($D447,Hierarchy!$A$2:$A$1295,0))="","",INDEX(Hierarchy!$F$2:$F$1295,MATCH($D447,Hierarchy!$A$2:$A$1295,0))),"NODE NOT FOUND"))</f>
        <v>United States</v>
      </c>
      <c r="J447" s="7" t="str">
        <f aca="false">IF($D447="","",IFERROR(IF(INDEX(Hierarchy!$G$2:$G$1295,MATCH($D447,Hierarchy!$A$2:$A$1295,0))="","",INDEX(Hierarchy!$G$2:$G$1295,MATCH($D447,Hierarchy!$A$2:$A$1295,0))),"NODE NOT FOUND"))</f>
        <v>USA</v>
      </c>
      <c r="K447" s="7" t="str">
        <f aca="false">IF($D447="","",IFERROR(IF(INDEX(Hierarchy!$H$2:$H$1295,MATCH($D447,Hierarchy!$A$2:$A$1295,0))="","",INDEX(Hierarchy!$H$2:$H$1295,MATCH($D447,Hierarchy!$A$2:$A$1295,0))),"NODE NOT FOUND"))</f>
        <v/>
      </c>
      <c r="L447" s="7" t="str">
        <f aca="false">IF($D447="","",IFERROR(IF(INDEX(Hierarchy!$I$2:$I$1295,MATCH($D447,Hierarchy!$A$2:$A$1295,0))="","",INDEX(Hierarchy!$I$2:$I$1295,MATCH($D447,Hierarchy!$A$2:$A$1295,0))),"NODE NOT FOUND"))</f>
        <v/>
      </c>
      <c r="M447" s="17" t="str">
        <f aca="false">IF(B447="Pre-seeded","Pre-seeded",IF(B447="Review 2026-09-16","Added from review",IF(C447="","New",IF(C447=D447,"","Changed"))))</f>
        <v>Changed</v>
      </c>
      <c r="N447" s="7" t="str">
        <f aca="false">TRIM(SUBSTITUTE(SUBSTITUTE(SUBSTITUTE(" "&amp;TRIM(SUBSTITUTE(SUBSTITUTE(SUBSTITUTE(SUBSTITUTE(SUBSTITUTE(SUBSTITUTE(SUBSTITUTE(SUBSTITUTE(SUBSTITUTE(SUBSTITUTE(SUBSTITUTE(SUBSTITUTE(SUBSTITUTE(SUBSTITUTE(SUBSTITUTE(UPPER(TRIM(A447)),"[MEMBER]",""),"{MEMBER}",""),"[MEMBER}",""),"MEMBER]",""),"(A)",""),"""",""),"“",""),"”",""),".",""),":",""),",",""),"–"," "),"-"," "),"/"," "),"&amp;"," AND "))&amp;" "," THE "," ")," TOTAL "," ")," OPERATIONS "," "))</f>
        <v>EAST</v>
      </c>
      <c r="O447" s="17" t="str">
        <f aca="false">IF(COUNTIFS($N$2:$N$2000,N447,$D$2:$D$2000,"&lt;&gt;"&amp;D447)&gt;0,"CONFLICT","")</f>
        <v/>
      </c>
      <c r="P447" s="7"/>
    </row>
    <row r="448" customFormat="false" ht="15" hidden="false" customHeight="false" outlineLevel="0" collapsed="false">
      <c r="A448" s="7" t="s">
        <v>1100</v>
      </c>
      <c r="B448" s="7" t="s">
        <v>1879</v>
      </c>
      <c r="C448" s="7"/>
      <c r="D448" s="6" t="s">
        <v>1100</v>
      </c>
      <c r="E448" s="6" t="s">
        <v>1880</v>
      </c>
      <c r="F448" s="7" t="str">
        <f aca="false">IF($D448="","",IFERROR(IF(INDEX(Hierarchy!$B$2:$B$1295,MATCH($D448,Hierarchy!$A$2:$A$1295,0))="","",INDEX(Hierarchy!$B$2:$B$1295,MATCH($D448,Hierarchy!$A$2:$A$1295,0))),"NODE NOT FOUND"))</f>
        <v>Sub-region component</v>
      </c>
      <c r="G448" s="7" t="str">
        <f aca="false">IF($D448="","",IFERROR(IF(INDEX(Hierarchy!$D$2:$D$1295,MATCH($D448,Hierarchy!$A$2:$A$1295,0))="","",INDEX(Hierarchy!$D$2:$D$1295,MATCH($D448,Hierarchy!$A$2:$A$1295,0))),"NODE NOT FOUND"))</f>
        <v>EMEA</v>
      </c>
      <c r="H448" s="7" t="str">
        <f aca="false">IF($D448="","",IFERROR(IF(INDEX(Hierarchy!$E$2:$E$1295,MATCH($D448,Hierarchy!$A$2:$A$1295,0))="","",INDEX(Hierarchy!$E$2:$E$1295,MATCH($D448,Hierarchy!$A$2:$A$1295,0))),"NODE NOT FOUND"))</f>
        <v>Africa</v>
      </c>
      <c r="I448" s="7" t="str">
        <f aca="false">IF($D448="","",IFERROR(IF(INDEX(Hierarchy!$F$2:$F$1295,MATCH($D448,Hierarchy!$A$2:$A$1295,0))="","",INDEX(Hierarchy!$F$2:$F$1295,MATCH($D448,Hierarchy!$A$2:$A$1295,0))),"NODE NOT FOUND"))</f>
        <v/>
      </c>
      <c r="J448" s="7" t="str">
        <f aca="false">IF($D448="","",IFERROR(IF(INDEX(Hierarchy!$G$2:$G$1295,MATCH($D448,Hierarchy!$A$2:$A$1295,0))="","",INDEX(Hierarchy!$G$2:$G$1295,MATCH($D448,Hierarchy!$A$2:$A$1295,0))),"NODE NOT FOUND"))</f>
        <v/>
      </c>
      <c r="K448" s="7" t="str">
        <f aca="false">IF($D448="","",IFERROR(IF(INDEX(Hierarchy!$H$2:$H$1295,MATCH($D448,Hierarchy!$A$2:$A$1295,0))="","",INDEX(Hierarchy!$H$2:$H$1295,MATCH($D448,Hierarchy!$A$2:$A$1295,0))),"NODE NOT FOUND"))</f>
        <v/>
      </c>
      <c r="L448" s="7" t="str">
        <f aca="false">IF($D448="","",IFERROR(IF(INDEX(Hierarchy!$I$2:$I$1295,MATCH($D448,Hierarchy!$A$2:$A$1295,0))="","",INDEX(Hierarchy!$I$2:$I$1295,MATCH($D448,Hierarchy!$A$2:$A$1295,0))),"NODE NOT FOUND"))</f>
        <v/>
      </c>
      <c r="M448" s="17" t="str">
        <f aca="false">IF(B448="Pre-seeded","Pre-seeded",IF(B448="Review 2026-09-16","Added from review",IF(C448="","New",IF(C448=D448,"","Changed"))))</f>
        <v>Pre-seeded</v>
      </c>
      <c r="N448" s="7" t="str">
        <f aca="false">TRIM(SUBSTITUTE(SUBSTITUTE(SUBSTITUTE(" "&amp;TRIM(SUBSTITUTE(SUBSTITUTE(SUBSTITUTE(SUBSTITUTE(SUBSTITUTE(SUBSTITUTE(SUBSTITUTE(SUBSTITUTE(SUBSTITUTE(SUBSTITUTE(SUBSTITUTE(SUBSTITUTE(SUBSTITUTE(SUBSTITUTE(SUBSTITUTE(UPPER(TRIM(A448)),"[MEMBER]",""),"{MEMBER}",""),"[MEMBER}",""),"MEMBER]",""),"(A)",""),"""",""),"“",""),"”",""),".",""),":",""),",",""),"–"," "),"-"," "),"/"," "),"&amp;"," AND "))&amp;" "," THE "," ")," TOTAL "," ")," OPERATIONS "," "))</f>
        <v>EAST AFRICA</v>
      </c>
      <c r="O448" s="17" t="str">
        <f aca="false">IF(COUNTIFS($N$2:$N$2000,N448,$D$2:$D$2000,"&lt;&gt;"&amp;D448)&gt;0,"CONFLICT","")</f>
        <v/>
      </c>
      <c r="P448" s="7"/>
    </row>
    <row r="449" customFormat="false" ht="15" hidden="false" customHeight="false" outlineLevel="0" collapsed="false">
      <c r="A449" s="7" t="s">
        <v>2108</v>
      </c>
      <c r="B449" s="7" t="s">
        <v>1885</v>
      </c>
      <c r="C449" s="7" t="s">
        <v>2109</v>
      </c>
      <c r="D449" s="6" t="s">
        <v>744</v>
      </c>
      <c r="E449" s="6" t="s">
        <v>1891</v>
      </c>
      <c r="F449" s="7" t="str">
        <f aca="false">IF($D449="","",IFERROR(IF(INDEX(Hierarchy!$B$2:$B$1295,MATCH($D449,Hierarchy!$A$2:$A$1295,0))="","",INDEX(Hierarchy!$B$2:$B$1295,MATCH($D449,Hierarchy!$A$2:$A$1295,0))),"NODE NOT FOUND"))</f>
        <v>Sub-region group</v>
      </c>
      <c r="G449" s="7" t="str">
        <f aca="false">IF($D449="","",IFERROR(IF(INDEX(Hierarchy!$D$2:$D$1295,MATCH($D449,Hierarchy!$A$2:$A$1295,0))="","",INDEX(Hierarchy!$D$2:$D$1295,MATCH($D449,Hierarchy!$A$2:$A$1295,0))),"NODE NOT FOUND"))</f>
        <v>APAC</v>
      </c>
      <c r="H449" s="7" t="str">
        <f aca="false">IF($D449="","",IFERROR(IF(INDEX(Hierarchy!$E$2:$E$1295,MATCH($D449,Hierarchy!$A$2:$A$1295,0))="","",INDEX(Hierarchy!$E$2:$E$1295,MATCH($D449,Hierarchy!$A$2:$A$1295,0))),"NODE NOT FOUND"))</f>
        <v/>
      </c>
      <c r="I449" s="7" t="str">
        <f aca="false">IF($D449="","",IFERROR(IF(INDEX(Hierarchy!$F$2:$F$1295,MATCH($D449,Hierarchy!$A$2:$A$1295,0))="","",INDEX(Hierarchy!$F$2:$F$1295,MATCH($D449,Hierarchy!$A$2:$A$1295,0))),"NODE NOT FOUND"))</f>
        <v/>
      </c>
      <c r="J449" s="7" t="str">
        <f aca="false">IF($D449="","",IFERROR(IF(INDEX(Hierarchy!$G$2:$G$1295,MATCH($D449,Hierarchy!$A$2:$A$1295,0))="","",INDEX(Hierarchy!$G$2:$G$1295,MATCH($D449,Hierarchy!$A$2:$A$1295,0))),"NODE NOT FOUND"))</f>
        <v/>
      </c>
      <c r="K449" s="7" t="str">
        <f aca="false">IF($D449="","",IFERROR(IF(INDEX(Hierarchy!$H$2:$H$1295,MATCH($D449,Hierarchy!$A$2:$A$1295,0))="","",INDEX(Hierarchy!$H$2:$H$1295,MATCH($D449,Hierarchy!$A$2:$A$1295,0))),"NODE NOT FOUND"))</f>
        <v/>
      </c>
      <c r="L449" s="7" t="str">
        <f aca="false">IF($D449="","",IFERROR(IF(INDEX(Hierarchy!$I$2:$I$1295,MATCH($D449,Hierarchy!$A$2:$A$1295,0))="","",INDEX(Hierarchy!$I$2:$I$1295,MATCH($D449,Hierarchy!$A$2:$A$1295,0))),"NODE NOT FOUND"))</f>
        <v/>
      </c>
      <c r="M449" s="17" t="str">
        <f aca="false">IF(B449="Pre-seeded","Pre-seeded",IF(B449="Review 2026-09-16","Added from review",IF(C449="","New",IF(C449=D449,"","Changed"))))</f>
        <v>Changed</v>
      </c>
      <c r="N449" s="7" t="str">
        <f aca="false">TRIM(SUBSTITUTE(SUBSTITUTE(SUBSTITUTE(" "&amp;TRIM(SUBSTITUTE(SUBSTITUTE(SUBSTITUTE(SUBSTITUTE(SUBSTITUTE(SUBSTITUTE(SUBSTITUTE(SUBSTITUTE(SUBSTITUTE(SUBSTITUTE(SUBSTITUTE(SUBSTITUTE(SUBSTITUTE(SUBSTITUTE(SUBSTITUTE(UPPER(TRIM(A449)),"[MEMBER]",""),"{MEMBER}",""),"[MEMBER}",""),"MEMBER]",""),"(A)",""),"""",""),"“",""),"”",""),".",""),":",""),",",""),"–"," "),"-"," "),"/"," "),"&amp;"," AND "))&amp;" "," THE "," ")," TOTAL "," ")," OPERATIONS "," "))</f>
        <v>EAST AND SOUTHEAST ASIA</v>
      </c>
      <c r="O449" s="17" t="str">
        <f aca="false">IF(COUNTIFS($N$2:$N$2000,N449,$D$2:$D$2000,"&lt;&gt;"&amp;D449)&gt;0,"CONFLICT","")</f>
        <v/>
      </c>
      <c r="P449" s="7"/>
    </row>
    <row r="450" customFormat="false" ht="15" hidden="false" customHeight="false" outlineLevel="0" collapsed="false">
      <c r="A450" s="7" t="s">
        <v>1419</v>
      </c>
      <c r="B450" s="7" t="s">
        <v>1885</v>
      </c>
      <c r="C450" s="7" t="s">
        <v>2109</v>
      </c>
      <c r="D450" s="6" t="s">
        <v>1419</v>
      </c>
      <c r="E450" s="6" t="s">
        <v>1880</v>
      </c>
      <c r="F450" s="7" t="str">
        <f aca="false">IF($D450="","",IFERROR(IF(INDEX(Hierarchy!$B$2:$B$1295,MATCH($D450,Hierarchy!$A$2:$A$1295,0))="","",INDEX(Hierarchy!$B$2:$B$1295,MATCH($D450,Hierarchy!$A$2:$A$1295,0))),"NODE NOT FOUND"))</f>
        <v>Sub-region</v>
      </c>
      <c r="G450" s="7" t="str">
        <f aca="false">IF($D450="","",IFERROR(IF(INDEX(Hierarchy!$D$2:$D$1295,MATCH($D450,Hierarchy!$A$2:$A$1295,0))="","",INDEX(Hierarchy!$D$2:$D$1295,MATCH($D450,Hierarchy!$A$2:$A$1295,0))),"NODE NOT FOUND"))</f>
        <v>APAC</v>
      </c>
      <c r="H450" s="7" t="str">
        <f aca="false">IF($D450="","",IFERROR(IF(INDEX(Hierarchy!$E$2:$E$1295,MATCH($D450,Hierarchy!$A$2:$A$1295,0))="","",INDEX(Hierarchy!$E$2:$E$1295,MATCH($D450,Hierarchy!$A$2:$A$1295,0))),"NODE NOT FOUND"))</f>
        <v>East Asia</v>
      </c>
      <c r="I450" s="7" t="str">
        <f aca="false">IF($D450="","",IFERROR(IF(INDEX(Hierarchy!$F$2:$F$1295,MATCH($D450,Hierarchy!$A$2:$A$1295,0))="","",INDEX(Hierarchy!$F$2:$F$1295,MATCH($D450,Hierarchy!$A$2:$A$1295,0))),"NODE NOT FOUND"))</f>
        <v/>
      </c>
      <c r="J450" s="7" t="str">
        <f aca="false">IF($D450="","",IFERROR(IF(INDEX(Hierarchy!$G$2:$G$1295,MATCH($D450,Hierarchy!$A$2:$A$1295,0))="","",INDEX(Hierarchy!$G$2:$G$1295,MATCH($D450,Hierarchy!$A$2:$A$1295,0))),"NODE NOT FOUND"))</f>
        <v/>
      </c>
      <c r="K450" s="7" t="str">
        <f aca="false">IF($D450="","",IFERROR(IF(INDEX(Hierarchy!$H$2:$H$1295,MATCH($D450,Hierarchy!$A$2:$A$1295,0))="","",INDEX(Hierarchy!$H$2:$H$1295,MATCH($D450,Hierarchy!$A$2:$A$1295,0))),"NODE NOT FOUND"))</f>
        <v/>
      </c>
      <c r="L450" s="7" t="str">
        <f aca="false">IF($D450="","",IFERROR(IF(INDEX(Hierarchy!$I$2:$I$1295,MATCH($D450,Hierarchy!$A$2:$A$1295,0))="","",INDEX(Hierarchy!$I$2:$I$1295,MATCH($D450,Hierarchy!$A$2:$A$1295,0))),"NODE NOT FOUND"))</f>
        <v/>
      </c>
      <c r="M450" s="17" t="str">
        <f aca="false">IF(B450="Pre-seeded","Pre-seeded",IF(B450="Review 2026-09-16","Added from review",IF(C450="","New",IF(C450=D450,"","Changed"))))</f>
        <v>Changed</v>
      </c>
      <c r="N450" s="7" t="str">
        <f aca="false">TRIM(SUBSTITUTE(SUBSTITUTE(SUBSTITUTE(" "&amp;TRIM(SUBSTITUTE(SUBSTITUTE(SUBSTITUTE(SUBSTITUTE(SUBSTITUTE(SUBSTITUTE(SUBSTITUTE(SUBSTITUTE(SUBSTITUTE(SUBSTITUTE(SUBSTITUTE(SUBSTITUTE(SUBSTITUTE(SUBSTITUTE(SUBSTITUTE(UPPER(TRIM(A450)),"[MEMBER]",""),"{MEMBER}",""),"[MEMBER}",""),"MEMBER]",""),"(A)",""),"""",""),"“",""),"”",""),".",""),":",""),",",""),"–"," "),"-"," "),"/"," "),"&amp;"," AND "))&amp;" "," THE "," ")," TOTAL "," ")," OPERATIONS "," "))</f>
        <v>EAST ASIA</v>
      </c>
      <c r="O450" s="17" t="str">
        <f aca="false">IF(COUNTIFS($N$2:$N$2000,N450,$D$2:$D$2000,"&lt;&gt;"&amp;D450)&gt;0,"CONFLICT","")</f>
        <v/>
      </c>
      <c r="P450" s="7" t="s">
        <v>2110</v>
      </c>
    </row>
    <row r="451" customFormat="false" ht="15" hidden="false" customHeight="false" outlineLevel="0" collapsed="false">
      <c r="A451" s="7" t="s">
        <v>2111</v>
      </c>
      <c r="B451" s="7" t="s">
        <v>1879</v>
      </c>
      <c r="C451" s="7"/>
      <c r="D451" s="6" t="s">
        <v>1822</v>
      </c>
      <c r="E451" s="6" t="s">
        <v>1880</v>
      </c>
      <c r="F451" s="7" t="str">
        <f aca="false">IF($D451="","",IFERROR(IF(INDEX(Hierarchy!$B$2:$B$1295,MATCH($D451,Hierarchy!$A$2:$A$1295,0))="","",INDEX(Hierarchy!$B$2:$B$1295,MATCH($D451,Hierarchy!$A$2:$A$1295,0))),"NODE NOT FOUND"))</f>
        <v>Reference grouping</v>
      </c>
      <c r="G451" s="7" t="str">
        <f aca="false">IF($D451="","",IFERROR(IF(INDEX(Hierarchy!$D$2:$D$1295,MATCH($D451,Hierarchy!$A$2:$A$1295,0))="","",INDEX(Hierarchy!$D$2:$D$1295,MATCH($D451,Hierarchy!$A$2:$A$1295,0))),"NODE NOT FOUND"))</f>
        <v>Reference (UN / World Bank)</v>
      </c>
      <c r="H451" s="7" t="str">
        <f aca="false">IF($D451="","",IFERROR(IF(INDEX(Hierarchy!$E$2:$E$1295,MATCH($D451,Hierarchy!$A$2:$A$1295,0))="","",INDEX(Hierarchy!$E$2:$E$1295,MATCH($D451,Hierarchy!$A$2:$A$1295,0))),"NODE NOT FOUND"))</f>
        <v/>
      </c>
      <c r="I451" s="7" t="str">
        <f aca="false">IF($D451="","",IFERROR(IF(INDEX(Hierarchy!$F$2:$F$1295,MATCH($D451,Hierarchy!$A$2:$A$1295,0))="","",INDEX(Hierarchy!$F$2:$F$1295,MATCH($D451,Hierarchy!$A$2:$A$1295,0))),"NODE NOT FOUND"))</f>
        <v/>
      </c>
      <c r="J451" s="7" t="str">
        <f aca="false">IF($D451="","",IFERROR(IF(INDEX(Hierarchy!$G$2:$G$1295,MATCH($D451,Hierarchy!$A$2:$A$1295,0))="","",INDEX(Hierarchy!$G$2:$G$1295,MATCH($D451,Hierarchy!$A$2:$A$1295,0))),"NODE NOT FOUND"))</f>
        <v/>
      </c>
      <c r="K451" s="7" t="str">
        <f aca="false">IF($D451="","",IFERROR(IF(INDEX(Hierarchy!$H$2:$H$1295,MATCH($D451,Hierarchy!$A$2:$A$1295,0))="","",INDEX(Hierarchy!$H$2:$H$1295,MATCH($D451,Hierarchy!$A$2:$A$1295,0))),"NODE NOT FOUND"))</f>
        <v/>
      </c>
      <c r="L451" s="7" t="str">
        <f aca="false">IF($D451="","",IFERROR(IF(INDEX(Hierarchy!$I$2:$I$1295,MATCH($D451,Hierarchy!$A$2:$A$1295,0))="","",INDEX(Hierarchy!$I$2:$I$1295,MATCH($D451,Hierarchy!$A$2:$A$1295,0))),"NODE NOT FOUND"))</f>
        <v/>
      </c>
      <c r="M451" s="17" t="str">
        <f aca="false">IF(B451="Pre-seeded","Pre-seeded",IF(B451="Review 2026-09-16","Added from review",IF(C451="","New",IF(C451=D451,"","Changed"))))</f>
        <v>Pre-seeded</v>
      </c>
      <c r="N451" s="7" t="str">
        <f aca="false">TRIM(SUBSTITUTE(SUBSTITUTE(SUBSTITUTE(" "&amp;TRIM(SUBSTITUTE(SUBSTITUTE(SUBSTITUTE(SUBSTITUTE(SUBSTITUTE(SUBSTITUTE(SUBSTITUTE(SUBSTITUTE(SUBSTITUTE(SUBSTITUTE(SUBSTITUTE(SUBSTITUTE(SUBSTITUTE(SUBSTITUTE(SUBSTITUTE(UPPER(TRIM(A451)),"[MEMBER]",""),"{MEMBER}",""),"[MEMBER}",""),"MEMBER]",""),"(A)",""),"""",""),"“",""),"”",""),".",""),":",""),",",""),"–"," "),"-"," "),"/"," "),"&amp;"," AND "))&amp;" "," THE "," ")," TOTAL "," ")," OPERATIONS "," "))</f>
        <v>EAST ASIA AND PACIFIC</v>
      </c>
      <c r="O451" s="17" t="str">
        <f aca="false">IF(COUNTIFS($N$2:$N$2000,N451,$D$2:$D$2000,"&lt;&gt;"&amp;D451)&gt;0,"CONFLICT","")</f>
        <v/>
      </c>
      <c r="P451" s="7"/>
    </row>
    <row r="452" customFormat="false" ht="15" hidden="false" customHeight="false" outlineLevel="0" collapsed="false">
      <c r="A452" s="7" t="s">
        <v>2112</v>
      </c>
      <c r="B452" s="7" t="s">
        <v>1885</v>
      </c>
      <c r="C452" s="7" t="s">
        <v>744</v>
      </c>
      <c r="D452" s="6" t="s">
        <v>1311</v>
      </c>
      <c r="E452" s="6" t="s">
        <v>1886</v>
      </c>
      <c r="F452" s="7" t="str">
        <f aca="false">IF($D452="","",IFERROR(IF(INDEX(Hierarchy!$B$2:$B$1295,MATCH($D452,Hierarchy!$A$2:$A$1295,0))="","",INDEX(Hierarchy!$B$2:$B$1295,MATCH($D452,Hierarchy!$A$2:$A$1295,0))),"NODE NOT FOUND"))</f>
        <v>Region</v>
      </c>
      <c r="G452" s="7" t="str">
        <f aca="false">IF($D452="","",IFERROR(IF(INDEX(Hierarchy!$D$2:$D$1295,MATCH($D452,Hierarchy!$A$2:$A$1295,0))="","",INDEX(Hierarchy!$D$2:$D$1295,MATCH($D452,Hierarchy!$A$2:$A$1295,0))),"NODE NOT FOUND"))</f>
        <v>APAC</v>
      </c>
      <c r="H452" s="7" t="str">
        <f aca="false">IF($D452="","",IFERROR(IF(INDEX(Hierarchy!$E$2:$E$1295,MATCH($D452,Hierarchy!$A$2:$A$1295,0))="","",INDEX(Hierarchy!$E$2:$E$1295,MATCH($D452,Hierarchy!$A$2:$A$1295,0))),"NODE NOT FOUND"))</f>
        <v/>
      </c>
      <c r="I452" s="7" t="str">
        <f aca="false">IF($D452="","",IFERROR(IF(INDEX(Hierarchy!$F$2:$F$1295,MATCH($D452,Hierarchy!$A$2:$A$1295,0))="","",INDEX(Hierarchy!$F$2:$F$1295,MATCH($D452,Hierarchy!$A$2:$A$1295,0))),"NODE NOT FOUND"))</f>
        <v/>
      </c>
      <c r="J452" s="7" t="str">
        <f aca="false">IF($D452="","",IFERROR(IF(INDEX(Hierarchy!$G$2:$G$1295,MATCH($D452,Hierarchy!$A$2:$A$1295,0))="","",INDEX(Hierarchy!$G$2:$G$1295,MATCH($D452,Hierarchy!$A$2:$A$1295,0))),"NODE NOT FOUND"))</f>
        <v/>
      </c>
      <c r="K452" s="7" t="str">
        <f aca="false">IF($D452="","",IFERROR(IF(INDEX(Hierarchy!$H$2:$H$1295,MATCH($D452,Hierarchy!$A$2:$A$1295,0))="","",INDEX(Hierarchy!$H$2:$H$1295,MATCH($D452,Hierarchy!$A$2:$A$1295,0))),"NODE NOT FOUND"))</f>
        <v/>
      </c>
      <c r="L452" s="7" t="str">
        <f aca="false">IF($D452="","",IFERROR(IF(INDEX(Hierarchy!$I$2:$I$1295,MATCH($D452,Hierarchy!$A$2:$A$1295,0))="","",INDEX(Hierarchy!$I$2:$I$1295,MATCH($D452,Hierarchy!$A$2:$A$1295,0))),"NODE NOT FOUND"))</f>
        <v/>
      </c>
      <c r="M452" s="17" t="str">
        <f aca="false">IF(B452="Pre-seeded","Pre-seeded",IF(B452="Review 2026-09-16","Added from review",IF(C452="","New",IF(C452=D452,"","Changed"))))</f>
        <v>Changed</v>
      </c>
      <c r="N452" s="7" t="str">
        <f aca="false">TRIM(SUBSTITUTE(SUBSTITUTE(SUBSTITUTE(" "&amp;TRIM(SUBSTITUTE(SUBSTITUTE(SUBSTITUTE(SUBSTITUTE(SUBSTITUTE(SUBSTITUTE(SUBSTITUTE(SUBSTITUTE(SUBSTITUTE(SUBSTITUTE(SUBSTITUTE(SUBSTITUTE(SUBSTITUTE(SUBSTITUTE(SUBSTITUTE(UPPER(TRIM(A452)),"[MEMBER]",""),"{MEMBER}",""),"[MEMBER}",""),"MEMBER]",""),"(A)",""),"""",""),"“",""),"”",""),".",""),":",""),",",""),"–"," "),"-"," "),"/"," "),"&amp;"," AND "))&amp;" "," THE "," ")," TOTAL "," ")," OPERATIONS "," "))</f>
        <v>EAST ASIA AND AUSTRALIA</v>
      </c>
      <c r="O452" s="17" t="str">
        <f aca="false">IF(COUNTIFS($N$2:$N$2000,N452,$D$2:$D$2000,"&lt;&gt;"&amp;D452)&gt;0,"CONFLICT","")</f>
        <v/>
      </c>
      <c r="P452" s="7"/>
    </row>
    <row r="453" customFormat="false" ht="15" hidden="false" customHeight="false" outlineLevel="0" collapsed="false">
      <c r="A453" s="7" t="s">
        <v>1822</v>
      </c>
      <c r="B453" s="7" t="s">
        <v>1879</v>
      </c>
      <c r="C453" s="7"/>
      <c r="D453" s="6" t="s">
        <v>1822</v>
      </c>
      <c r="E453" s="6" t="s">
        <v>1880</v>
      </c>
      <c r="F453" s="7" t="str">
        <f aca="false">IF($D453="","",IFERROR(IF(INDEX(Hierarchy!$B$2:$B$1295,MATCH($D453,Hierarchy!$A$2:$A$1295,0))="","",INDEX(Hierarchy!$B$2:$B$1295,MATCH($D453,Hierarchy!$A$2:$A$1295,0))),"NODE NOT FOUND"))</f>
        <v>Reference grouping</v>
      </c>
      <c r="G453" s="7" t="str">
        <f aca="false">IF($D453="","",IFERROR(IF(INDEX(Hierarchy!$D$2:$D$1295,MATCH($D453,Hierarchy!$A$2:$A$1295,0))="","",INDEX(Hierarchy!$D$2:$D$1295,MATCH($D453,Hierarchy!$A$2:$A$1295,0))),"NODE NOT FOUND"))</f>
        <v>Reference (UN / World Bank)</v>
      </c>
      <c r="H453" s="7" t="str">
        <f aca="false">IF($D453="","",IFERROR(IF(INDEX(Hierarchy!$E$2:$E$1295,MATCH($D453,Hierarchy!$A$2:$A$1295,0))="","",INDEX(Hierarchy!$E$2:$E$1295,MATCH($D453,Hierarchy!$A$2:$A$1295,0))),"NODE NOT FOUND"))</f>
        <v/>
      </c>
      <c r="I453" s="7" t="str">
        <f aca="false">IF($D453="","",IFERROR(IF(INDEX(Hierarchy!$F$2:$F$1295,MATCH($D453,Hierarchy!$A$2:$A$1295,0))="","",INDEX(Hierarchy!$F$2:$F$1295,MATCH($D453,Hierarchy!$A$2:$A$1295,0))),"NODE NOT FOUND"))</f>
        <v/>
      </c>
      <c r="J453" s="7" t="str">
        <f aca="false">IF($D453="","",IFERROR(IF(INDEX(Hierarchy!$G$2:$G$1295,MATCH($D453,Hierarchy!$A$2:$A$1295,0))="","",INDEX(Hierarchy!$G$2:$G$1295,MATCH($D453,Hierarchy!$A$2:$A$1295,0))),"NODE NOT FOUND"))</f>
        <v/>
      </c>
      <c r="K453" s="7" t="str">
        <f aca="false">IF($D453="","",IFERROR(IF(INDEX(Hierarchy!$H$2:$H$1295,MATCH($D453,Hierarchy!$A$2:$A$1295,0))="","",INDEX(Hierarchy!$H$2:$H$1295,MATCH($D453,Hierarchy!$A$2:$A$1295,0))),"NODE NOT FOUND"))</f>
        <v/>
      </c>
      <c r="L453" s="7" t="str">
        <f aca="false">IF($D453="","",IFERROR(IF(INDEX(Hierarchy!$I$2:$I$1295,MATCH($D453,Hierarchy!$A$2:$A$1295,0))="","",INDEX(Hierarchy!$I$2:$I$1295,MATCH($D453,Hierarchy!$A$2:$A$1295,0))),"NODE NOT FOUND"))</f>
        <v/>
      </c>
      <c r="M453" s="17" t="str">
        <f aca="false">IF(B453="Pre-seeded","Pre-seeded",IF(B453="Review 2026-09-16","Added from review",IF(C453="","New",IF(C453=D453,"","Changed"))))</f>
        <v>Pre-seeded</v>
      </c>
      <c r="N453" s="7" t="str">
        <f aca="false">TRIM(SUBSTITUTE(SUBSTITUTE(SUBSTITUTE(" "&amp;TRIM(SUBSTITUTE(SUBSTITUTE(SUBSTITUTE(SUBSTITUTE(SUBSTITUTE(SUBSTITUTE(SUBSTITUTE(SUBSTITUTE(SUBSTITUTE(SUBSTITUTE(SUBSTITUTE(SUBSTITUTE(SUBSTITUTE(SUBSTITUTE(SUBSTITUTE(UPPER(TRIM(A453)),"[MEMBER]",""),"{MEMBER}",""),"[MEMBER}",""),"MEMBER]",""),"(A)",""),"""",""),"“",""),"”",""),".",""),":",""),",",""),"–"," "),"-"," "),"/"," "),"&amp;"," AND "))&amp;" "," THE "," ")," TOTAL "," ")," OPERATIONS "," "))</f>
        <v>EAST ASIA AND PACIFIC (WORLD BANK)</v>
      </c>
      <c r="O453" s="17" t="str">
        <f aca="false">IF(COUNTIFS($N$2:$N$2000,N453,$D$2:$D$2000,"&lt;&gt;"&amp;D453)&gt;0,"CONFLICT","")</f>
        <v/>
      </c>
      <c r="P453" s="7"/>
    </row>
    <row r="454" customFormat="false" ht="15" hidden="false" customHeight="false" outlineLevel="0" collapsed="false">
      <c r="A454" s="7" t="s">
        <v>1492</v>
      </c>
      <c r="B454" s="7" t="s">
        <v>1879</v>
      </c>
      <c r="C454" s="7"/>
      <c r="D454" s="6" t="s">
        <v>1492</v>
      </c>
      <c r="E454" s="6" t="s">
        <v>1880</v>
      </c>
      <c r="F454" s="7" t="str">
        <f aca="false">IF($D454="","",IFERROR(IF(INDEX(Hierarchy!$B$2:$B$1295,MATCH($D454,Hierarchy!$A$2:$A$1295,0))="","",INDEX(Hierarchy!$B$2:$B$1295,MATCH($D454,Hierarchy!$A$2:$A$1295,0))),"NODE NOT FOUND"))</f>
        <v>Sub-national region</v>
      </c>
      <c r="G454" s="7" t="str">
        <f aca="false">IF($D454="","",IFERROR(IF(INDEX(Hierarchy!$D$2:$D$1295,MATCH($D454,Hierarchy!$A$2:$A$1295,0))="","",INDEX(Hierarchy!$D$2:$D$1295,MATCH($D454,Hierarchy!$A$2:$A$1295,0))),"NODE NOT FOUND"))</f>
        <v>APAC</v>
      </c>
      <c r="H454" s="7" t="str">
        <f aca="false">IF($D454="","",IFERROR(IF(INDEX(Hierarchy!$E$2:$E$1295,MATCH($D454,Hierarchy!$A$2:$A$1295,0))="","",INDEX(Hierarchy!$E$2:$E$1295,MATCH($D454,Hierarchy!$A$2:$A$1295,0))),"NODE NOT FOUND"))</f>
        <v>East Asia</v>
      </c>
      <c r="I454" s="7" t="str">
        <f aca="false">IF($D454="","",IFERROR(IF(INDEX(Hierarchy!$F$2:$F$1295,MATCH($D454,Hierarchy!$A$2:$A$1295,0))="","",INDEX(Hierarchy!$F$2:$F$1295,MATCH($D454,Hierarchy!$A$2:$A$1295,0))),"NODE NOT FOUND"))</f>
        <v>China</v>
      </c>
      <c r="J454" s="7" t="str">
        <f aca="false">IF($D454="","",IFERROR(IF(INDEX(Hierarchy!$G$2:$G$1295,MATCH($D454,Hierarchy!$A$2:$A$1295,0))="","",INDEX(Hierarchy!$G$2:$G$1295,MATCH($D454,Hierarchy!$A$2:$A$1295,0))),"NODE NOT FOUND"))</f>
        <v>CHN</v>
      </c>
      <c r="K454" s="7" t="str">
        <f aca="false">IF($D454="","",IFERROR(IF(INDEX(Hierarchy!$H$2:$H$1295,MATCH($D454,Hierarchy!$A$2:$A$1295,0))="","",INDEX(Hierarchy!$H$2:$H$1295,MATCH($D454,Hierarchy!$A$2:$A$1295,0))),"NODE NOT FOUND"))</f>
        <v/>
      </c>
      <c r="L454" s="7" t="str">
        <f aca="false">IF($D454="","",IFERROR(IF(INDEX(Hierarchy!$I$2:$I$1295,MATCH($D454,Hierarchy!$A$2:$A$1295,0))="","",INDEX(Hierarchy!$I$2:$I$1295,MATCH($D454,Hierarchy!$A$2:$A$1295,0))),"NODE NOT FOUND"))</f>
        <v/>
      </c>
      <c r="M454" s="17" t="str">
        <f aca="false">IF(B454="Pre-seeded","Pre-seeded",IF(B454="Review 2026-09-16","Added from review",IF(C454="","New",IF(C454=D454,"","Changed"))))</f>
        <v>Pre-seeded</v>
      </c>
      <c r="N454" s="7" t="str">
        <f aca="false">TRIM(SUBSTITUTE(SUBSTITUTE(SUBSTITUTE(" "&amp;TRIM(SUBSTITUTE(SUBSTITUTE(SUBSTITUTE(SUBSTITUTE(SUBSTITUTE(SUBSTITUTE(SUBSTITUTE(SUBSTITUTE(SUBSTITUTE(SUBSTITUTE(SUBSTITUTE(SUBSTITUTE(SUBSTITUTE(SUBSTITUTE(SUBSTITUTE(UPPER(TRIM(A454)),"[MEMBER]",""),"{MEMBER}",""),"[MEMBER}",""),"MEMBER]",""),"(A)",""),"""",""),"“",""),"”",""),".",""),":",""),",",""),"–"," "),"-"," "),"/"," "),"&amp;"," AND "))&amp;" "," THE "," ")," TOTAL "," ")," OPERATIONS "," "))</f>
        <v>EAST CHINA</v>
      </c>
      <c r="O454" s="17" t="str">
        <f aca="false">IF(COUNTIFS($N$2:$N$2000,N454,$D$2:$D$2000,"&lt;&gt;"&amp;D454)&gt;0,"CONFLICT","")</f>
        <v/>
      </c>
      <c r="P454" s="7"/>
    </row>
    <row r="455" customFormat="false" ht="15" hidden="false" customHeight="false" outlineLevel="0" collapsed="false">
      <c r="A455" s="7" t="s">
        <v>1320</v>
      </c>
      <c r="B455" s="7" t="s">
        <v>1879</v>
      </c>
      <c r="C455" s="7"/>
      <c r="D455" s="6" t="s">
        <v>1320</v>
      </c>
      <c r="E455" s="6" t="s">
        <v>1880</v>
      </c>
      <c r="F455" s="7" t="str">
        <f aca="false">IF($D455="","",IFERROR(IF(INDEX(Hierarchy!$B$2:$B$1295,MATCH($D455,Hierarchy!$A$2:$A$1295,0))="","",INDEX(Hierarchy!$B$2:$B$1295,MATCH($D455,Hierarchy!$A$2:$A$1295,0))),"NODE NOT FOUND"))</f>
        <v>Sub-national region</v>
      </c>
      <c r="G455" s="7" t="str">
        <f aca="false">IF($D455="","",IFERROR(IF(INDEX(Hierarchy!$D$2:$D$1295,MATCH($D455,Hierarchy!$A$2:$A$1295,0))="","",INDEX(Hierarchy!$D$2:$D$1295,MATCH($D455,Hierarchy!$A$2:$A$1295,0))),"NODE NOT FOUND"))</f>
        <v>APAC</v>
      </c>
      <c r="H455" s="7" t="str">
        <f aca="false">IF($D455="","",IFERROR(IF(INDEX(Hierarchy!$E$2:$E$1295,MATCH($D455,Hierarchy!$A$2:$A$1295,0))="","",INDEX(Hierarchy!$E$2:$E$1295,MATCH($D455,Hierarchy!$A$2:$A$1295,0))),"NODE NOT FOUND"))</f>
        <v>South Asia</v>
      </c>
      <c r="I455" s="7" t="str">
        <f aca="false">IF($D455="","",IFERROR(IF(INDEX(Hierarchy!$F$2:$F$1295,MATCH($D455,Hierarchy!$A$2:$A$1295,0))="","",INDEX(Hierarchy!$F$2:$F$1295,MATCH($D455,Hierarchy!$A$2:$A$1295,0))),"NODE NOT FOUND"))</f>
        <v>India</v>
      </c>
      <c r="J455" s="7" t="str">
        <f aca="false">IF($D455="","",IFERROR(IF(INDEX(Hierarchy!$G$2:$G$1295,MATCH($D455,Hierarchy!$A$2:$A$1295,0))="","",INDEX(Hierarchy!$G$2:$G$1295,MATCH($D455,Hierarchy!$A$2:$A$1295,0))),"NODE NOT FOUND"))</f>
        <v>IND</v>
      </c>
      <c r="K455" s="7" t="str">
        <f aca="false">IF($D455="","",IFERROR(IF(INDEX(Hierarchy!$H$2:$H$1295,MATCH($D455,Hierarchy!$A$2:$A$1295,0))="","",INDEX(Hierarchy!$H$2:$H$1295,MATCH($D455,Hierarchy!$A$2:$A$1295,0))),"NODE NOT FOUND"))</f>
        <v/>
      </c>
      <c r="L455" s="7" t="str">
        <f aca="false">IF($D455="","",IFERROR(IF(INDEX(Hierarchy!$I$2:$I$1295,MATCH($D455,Hierarchy!$A$2:$A$1295,0))="","",INDEX(Hierarchy!$I$2:$I$1295,MATCH($D455,Hierarchy!$A$2:$A$1295,0))),"NODE NOT FOUND"))</f>
        <v/>
      </c>
      <c r="M455" s="17" t="str">
        <f aca="false">IF(B455="Pre-seeded","Pre-seeded",IF(B455="Review 2026-09-16","Added from review",IF(C455="","New",IF(C455=D455,"","Changed"))))</f>
        <v>Pre-seeded</v>
      </c>
      <c r="N455" s="7" t="str">
        <f aca="false">TRIM(SUBSTITUTE(SUBSTITUTE(SUBSTITUTE(" "&amp;TRIM(SUBSTITUTE(SUBSTITUTE(SUBSTITUTE(SUBSTITUTE(SUBSTITUTE(SUBSTITUTE(SUBSTITUTE(SUBSTITUTE(SUBSTITUTE(SUBSTITUTE(SUBSTITUTE(SUBSTITUTE(SUBSTITUTE(SUBSTITUTE(SUBSTITUTE(UPPER(TRIM(A455)),"[MEMBER]",""),"{MEMBER}",""),"[MEMBER}",""),"MEMBER]",""),"(A)",""),"""",""),"“",""),"”",""),".",""),":",""),",",""),"–"," "),"-"," "),"/"," "),"&amp;"," AND "))&amp;" "," THE "," ")," TOTAL "," ")," OPERATIONS "," "))</f>
        <v>EAST INDIA</v>
      </c>
      <c r="O455" s="17" t="str">
        <f aca="false">IF(COUNTIFS($N$2:$N$2000,N455,$D$2:$D$2000,"&lt;&gt;"&amp;D455)&gt;0,"CONFLICT","")</f>
        <v/>
      </c>
      <c r="P455" s="7"/>
    </row>
    <row r="456" customFormat="false" ht="15" hidden="false" customHeight="false" outlineLevel="0" collapsed="false">
      <c r="A456" s="7" t="s">
        <v>1600</v>
      </c>
      <c r="B456" s="7" t="s">
        <v>1879</v>
      </c>
      <c r="C456" s="7"/>
      <c r="D456" s="6" t="s">
        <v>1600</v>
      </c>
      <c r="E456" s="6" t="s">
        <v>1880</v>
      </c>
      <c r="F456" s="7" t="str">
        <f aca="false">IF($D456="","",IFERROR(IF(INDEX(Hierarchy!$B$2:$B$1295,MATCH($D456,Hierarchy!$A$2:$A$1295,0))="","",INDEX(Hierarchy!$B$2:$B$1295,MATCH($D456,Hierarchy!$A$2:$A$1295,0))),"NODE NOT FOUND"))</f>
        <v>State/Province</v>
      </c>
      <c r="G456" s="7" t="str">
        <f aca="false">IF($D456="","",IFERROR(IF(INDEX(Hierarchy!$D$2:$D$1295,MATCH($D456,Hierarchy!$A$2:$A$1295,0))="","",INDEX(Hierarchy!$D$2:$D$1295,MATCH($D456,Hierarchy!$A$2:$A$1295,0))),"NODE NOT FOUND"))</f>
        <v>APAC</v>
      </c>
      <c r="H456" s="7" t="str">
        <f aca="false">IF($D456="","",IFERROR(IF(INDEX(Hierarchy!$E$2:$E$1295,MATCH($D456,Hierarchy!$A$2:$A$1295,0))="","",INDEX(Hierarchy!$E$2:$E$1295,MATCH($D456,Hierarchy!$A$2:$A$1295,0))),"NODE NOT FOUND"))</f>
        <v>Southeast Asia (ASEAN)</v>
      </c>
      <c r="I456" s="7" t="str">
        <f aca="false">IF($D456="","",IFERROR(IF(INDEX(Hierarchy!$F$2:$F$1295,MATCH($D456,Hierarchy!$A$2:$A$1295,0))="","",INDEX(Hierarchy!$F$2:$F$1295,MATCH($D456,Hierarchy!$A$2:$A$1295,0))),"NODE NOT FOUND"))</f>
        <v>Indonesia</v>
      </c>
      <c r="J456" s="7" t="str">
        <f aca="false">IF($D456="","",IFERROR(IF(INDEX(Hierarchy!$G$2:$G$1295,MATCH($D456,Hierarchy!$A$2:$A$1295,0))="","",INDEX(Hierarchy!$G$2:$G$1295,MATCH($D456,Hierarchy!$A$2:$A$1295,0))),"NODE NOT FOUND"))</f>
        <v>IDN</v>
      </c>
      <c r="K456" s="7" t="str">
        <f aca="false">IF($D456="","",IFERROR(IF(INDEX(Hierarchy!$H$2:$H$1295,MATCH($D456,Hierarchy!$A$2:$A$1295,0))="","",INDEX(Hierarchy!$H$2:$H$1295,MATCH($D456,Hierarchy!$A$2:$A$1295,0))),"NODE NOT FOUND"))</f>
        <v>East Java</v>
      </c>
      <c r="L456" s="7" t="str">
        <f aca="false">IF($D456="","",IFERROR(IF(INDEX(Hierarchy!$I$2:$I$1295,MATCH($D456,Hierarchy!$A$2:$A$1295,0))="","",INDEX(Hierarchy!$I$2:$I$1295,MATCH($D456,Hierarchy!$A$2:$A$1295,0))),"NODE NOT FOUND"))</f>
        <v/>
      </c>
      <c r="M456" s="17" t="str">
        <f aca="false">IF(B456="Pre-seeded","Pre-seeded",IF(B456="Review 2026-09-16","Added from review",IF(C456="","New",IF(C456=D456,"","Changed"))))</f>
        <v>Pre-seeded</v>
      </c>
      <c r="N456" s="7" t="str">
        <f aca="false">TRIM(SUBSTITUTE(SUBSTITUTE(SUBSTITUTE(" "&amp;TRIM(SUBSTITUTE(SUBSTITUTE(SUBSTITUTE(SUBSTITUTE(SUBSTITUTE(SUBSTITUTE(SUBSTITUTE(SUBSTITUTE(SUBSTITUTE(SUBSTITUTE(SUBSTITUTE(SUBSTITUTE(SUBSTITUTE(SUBSTITUTE(SUBSTITUTE(UPPER(TRIM(A456)),"[MEMBER]",""),"{MEMBER}",""),"[MEMBER}",""),"MEMBER]",""),"(A)",""),"""",""),"“",""),"”",""),".",""),":",""),",",""),"–"," "),"-"," "),"/"," "),"&amp;"," AND "))&amp;" "," THE "," ")," TOTAL "," ")," OPERATIONS "," "))</f>
        <v>EAST JAVA</v>
      </c>
      <c r="O456" s="17" t="str">
        <f aca="false">IF(COUNTIFS($N$2:$N$2000,N456,$D$2:$D$2000,"&lt;&gt;"&amp;D456)&gt;0,"CONFLICT","")</f>
        <v/>
      </c>
      <c r="P456" s="7"/>
    </row>
    <row r="457" customFormat="false" ht="15" hidden="false" customHeight="false" outlineLevel="0" collapsed="false">
      <c r="A457" s="7" t="s">
        <v>1602</v>
      </c>
      <c r="B457" s="7" t="s">
        <v>1879</v>
      </c>
      <c r="C457" s="7"/>
      <c r="D457" s="6" t="s">
        <v>1602</v>
      </c>
      <c r="E457" s="6" t="s">
        <v>1880</v>
      </c>
      <c r="F457" s="7" t="str">
        <f aca="false">IF($D457="","",IFERROR(IF(INDEX(Hierarchy!$B$2:$B$1295,MATCH($D457,Hierarchy!$A$2:$A$1295,0))="","",INDEX(Hierarchy!$B$2:$B$1295,MATCH($D457,Hierarchy!$A$2:$A$1295,0))),"NODE NOT FOUND"))</f>
        <v>State/Province</v>
      </c>
      <c r="G457" s="7" t="str">
        <f aca="false">IF($D457="","",IFERROR(IF(INDEX(Hierarchy!$D$2:$D$1295,MATCH($D457,Hierarchy!$A$2:$A$1295,0))="","",INDEX(Hierarchy!$D$2:$D$1295,MATCH($D457,Hierarchy!$A$2:$A$1295,0))),"NODE NOT FOUND"))</f>
        <v>APAC</v>
      </c>
      <c r="H457" s="7" t="str">
        <f aca="false">IF($D457="","",IFERROR(IF(INDEX(Hierarchy!$E$2:$E$1295,MATCH($D457,Hierarchy!$A$2:$A$1295,0))="","",INDEX(Hierarchy!$E$2:$E$1295,MATCH($D457,Hierarchy!$A$2:$A$1295,0))),"NODE NOT FOUND"))</f>
        <v>Southeast Asia (ASEAN)</v>
      </c>
      <c r="I457" s="7" t="str">
        <f aca="false">IF($D457="","",IFERROR(IF(INDEX(Hierarchy!$F$2:$F$1295,MATCH($D457,Hierarchy!$A$2:$A$1295,0))="","",INDEX(Hierarchy!$F$2:$F$1295,MATCH($D457,Hierarchy!$A$2:$A$1295,0))),"NODE NOT FOUND"))</f>
        <v>Indonesia</v>
      </c>
      <c r="J457" s="7" t="str">
        <f aca="false">IF($D457="","",IFERROR(IF(INDEX(Hierarchy!$G$2:$G$1295,MATCH($D457,Hierarchy!$A$2:$A$1295,0))="","",INDEX(Hierarchy!$G$2:$G$1295,MATCH($D457,Hierarchy!$A$2:$A$1295,0))),"NODE NOT FOUND"))</f>
        <v>IDN</v>
      </c>
      <c r="K457" s="7" t="str">
        <f aca="false">IF($D457="","",IFERROR(IF(INDEX(Hierarchy!$H$2:$H$1295,MATCH($D457,Hierarchy!$A$2:$A$1295,0))="","",INDEX(Hierarchy!$H$2:$H$1295,MATCH($D457,Hierarchy!$A$2:$A$1295,0))),"NODE NOT FOUND"))</f>
        <v>East Kalimantan</v>
      </c>
      <c r="L457" s="7" t="str">
        <f aca="false">IF($D457="","",IFERROR(IF(INDEX(Hierarchy!$I$2:$I$1295,MATCH($D457,Hierarchy!$A$2:$A$1295,0))="","",INDEX(Hierarchy!$I$2:$I$1295,MATCH($D457,Hierarchy!$A$2:$A$1295,0))),"NODE NOT FOUND"))</f>
        <v/>
      </c>
      <c r="M457" s="17" t="str">
        <f aca="false">IF(B457="Pre-seeded","Pre-seeded",IF(B457="Review 2026-09-16","Added from review",IF(C457="","New",IF(C457=D457,"","Changed"))))</f>
        <v>Pre-seeded</v>
      </c>
      <c r="N457" s="7" t="str">
        <f aca="false">TRIM(SUBSTITUTE(SUBSTITUTE(SUBSTITUTE(" "&amp;TRIM(SUBSTITUTE(SUBSTITUTE(SUBSTITUTE(SUBSTITUTE(SUBSTITUTE(SUBSTITUTE(SUBSTITUTE(SUBSTITUTE(SUBSTITUTE(SUBSTITUTE(SUBSTITUTE(SUBSTITUTE(SUBSTITUTE(SUBSTITUTE(SUBSTITUTE(UPPER(TRIM(A457)),"[MEMBER]",""),"{MEMBER}",""),"[MEMBER}",""),"MEMBER]",""),"(A)",""),"""",""),"“",""),"”",""),".",""),":",""),",",""),"–"," "),"-"," "),"/"," "),"&amp;"," AND "))&amp;" "," THE "," ")," TOTAL "," ")," OPERATIONS "," "))</f>
        <v>EAST KALIMANTAN</v>
      </c>
      <c r="O457" s="17" t="str">
        <f aca="false">IF(COUNTIFS($N$2:$N$2000,N457,$D$2:$D$2000,"&lt;&gt;"&amp;D457)&gt;0,"CONFLICT","")</f>
        <v/>
      </c>
      <c r="P457" s="7"/>
    </row>
    <row r="458" customFormat="false" ht="15" hidden="false" customHeight="false" outlineLevel="0" collapsed="false">
      <c r="A458" s="7" t="s">
        <v>666</v>
      </c>
      <c r="B458" s="7" t="s">
        <v>1879</v>
      </c>
      <c r="C458" s="7"/>
      <c r="D458" s="6" t="s">
        <v>666</v>
      </c>
      <c r="E458" s="6" t="s">
        <v>1880</v>
      </c>
      <c r="F458" s="7" t="str">
        <f aca="false">IF($D458="","",IFERROR(IF(INDEX(Hierarchy!$B$2:$B$1295,MATCH($D458,Hierarchy!$A$2:$A$1295,0))="","",INDEX(Hierarchy!$B$2:$B$1295,MATCH($D458,Hierarchy!$A$2:$A$1295,0))),"NODE NOT FOUND"))</f>
        <v>Sub-national region</v>
      </c>
      <c r="G458" s="7" t="str">
        <f aca="false">IF($D458="","",IFERROR(IF(INDEX(Hierarchy!$D$2:$D$1295,MATCH($D458,Hierarchy!$A$2:$A$1295,0))="","",INDEX(Hierarchy!$D$2:$D$1295,MATCH($D458,Hierarchy!$A$2:$A$1295,0))),"NODE NOT FOUND"))</f>
        <v>EMEA</v>
      </c>
      <c r="H458" s="7" t="str">
        <f aca="false">IF($D458="","",IFERROR(IF(INDEX(Hierarchy!$E$2:$E$1295,MATCH($D458,Hierarchy!$A$2:$A$1295,0))="","",INDEX(Hierarchy!$E$2:$E$1295,MATCH($D458,Hierarchy!$A$2:$A$1295,0))),"NODE NOT FOUND"))</f>
        <v>Europe</v>
      </c>
      <c r="I458" s="7" t="str">
        <f aca="false">IF($D458="","",IFERROR(IF(INDEX(Hierarchy!$F$2:$F$1295,MATCH($D458,Hierarchy!$A$2:$A$1295,0))="","",INDEX(Hierarchy!$F$2:$F$1295,MATCH($D458,Hierarchy!$A$2:$A$1295,0))),"NODE NOT FOUND"))</f>
        <v>United Kingdom</v>
      </c>
      <c r="J458" s="7" t="str">
        <f aca="false">IF($D458="","",IFERROR(IF(INDEX(Hierarchy!$G$2:$G$1295,MATCH($D458,Hierarchy!$A$2:$A$1295,0))="","",INDEX(Hierarchy!$G$2:$G$1295,MATCH($D458,Hierarchy!$A$2:$A$1295,0))),"NODE NOT FOUND"))</f>
        <v>GBR</v>
      </c>
      <c r="K458" s="7" t="str">
        <f aca="false">IF($D458="","",IFERROR(IF(INDEX(Hierarchy!$H$2:$H$1295,MATCH($D458,Hierarchy!$A$2:$A$1295,0))="","",INDEX(Hierarchy!$H$2:$H$1295,MATCH($D458,Hierarchy!$A$2:$A$1295,0))),"NODE NOT FOUND"))</f>
        <v>England</v>
      </c>
      <c r="L458" s="7" t="str">
        <f aca="false">IF($D458="","",IFERROR(IF(INDEX(Hierarchy!$I$2:$I$1295,MATCH($D458,Hierarchy!$A$2:$A$1295,0))="","",INDEX(Hierarchy!$I$2:$I$1295,MATCH($D458,Hierarchy!$A$2:$A$1295,0))),"NODE NOT FOUND"))</f>
        <v/>
      </c>
      <c r="M458" s="17" t="str">
        <f aca="false">IF(B458="Pre-seeded","Pre-seeded",IF(B458="Review 2026-09-16","Added from review",IF(C458="","New",IF(C458=D458,"","Changed"))))</f>
        <v>Pre-seeded</v>
      </c>
      <c r="N458" s="7" t="str">
        <f aca="false">TRIM(SUBSTITUTE(SUBSTITUTE(SUBSTITUTE(" "&amp;TRIM(SUBSTITUTE(SUBSTITUTE(SUBSTITUTE(SUBSTITUTE(SUBSTITUTE(SUBSTITUTE(SUBSTITUTE(SUBSTITUTE(SUBSTITUTE(SUBSTITUTE(SUBSTITUTE(SUBSTITUTE(SUBSTITUTE(SUBSTITUTE(SUBSTITUTE(UPPER(TRIM(A458)),"[MEMBER]",""),"{MEMBER}",""),"[MEMBER}",""),"MEMBER]",""),"(A)",""),"""",""),"“",""),"”",""),".",""),":",""),",",""),"–"," "),"-"," "),"/"," "),"&amp;"," AND "))&amp;" "," THE "," ")," TOTAL "," ")," OPERATIONS "," "))</f>
        <v>EAST MIDLANDS</v>
      </c>
      <c r="O458" s="17" t="str">
        <f aca="false">IF(COUNTIFS($N$2:$N$2000,N458,$D$2:$D$2000,"&lt;&gt;"&amp;D458)&gt;0,"CONFLICT","")</f>
        <v/>
      </c>
      <c r="P458" s="7"/>
    </row>
    <row r="459" customFormat="false" ht="15" hidden="false" customHeight="false" outlineLevel="0" collapsed="false">
      <c r="A459" s="7" t="s">
        <v>2113</v>
      </c>
      <c r="B459" s="7" t="s">
        <v>1879</v>
      </c>
      <c r="C459" s="7"/>
      <c r="D459" s="6" t="s">
        <v>93</v>
      </c>
      <c r="E459" s="6" t="s">
        <v>1880</v>
      </c>
      <c r="F459" s="7" t="str">
        <f aca="false">IF($D459="","",IFERROR(IF(INDEX(Hierarchy!$B$2:$B$1295,MATCH($D459,Hierarchy!$A$2:$A$1295,0))="","",INDEX(Hierarchy!$B$2:$B$1295,MATCH($D459,Hierarchy!$A$2:$A$1295,0))),"NODE NOT FOUND"))</f>
        <v>Sub-national region</v>
      </c>
      <c r="G459" s="7" t="str">
        <f aca="false">IF($D459="","",IFERROR(IF(INDEX(Hierarchy!$D$2:$D$1295,MATCH($D459,Hierarchy!$A$2:$A$1295,0))="","",INDEX(Hierarchy!$D$2:$D$1295,MATCH($D459,Hierarchy!$A$2:$A$1295,0))),"NODE NOT FOUND"))</f>
        <v>AMER</v>
      </c>
      <c r="H459" s="7" t="str">
        <f aca="false">IF($D459="","",IFERROR(IF(INDEX(Hierarchy!$E$2:$E$1295,MATCH($D459,Hierarchy!$A$2:$A$1295,0))="","",INDEX(Hierarchy!$E$2:$E$1295,MATCH($D459,Hierarchy!$A$2:$A$1295,0))),"NODE NOT FOUND"))</f>
        <v>North America (NORAM)</v>
      </c>
      <c r="I459" s="7" t="str">
        <f aca="false">IF($D459="","",IFERROR(IF(INDEX(Hierarchy!$F$2:$F$1295,MATCH($D459,Hierarchy!$A$2:$A$1295,0))="","",INDEX(Hierarchy!$F$2:$F$1295,MATCH($D459,Hierarchy!$A$2:$A$1295,0))),"NODE NOT FOUND"))</f>
        <v>United States</v>
      </c>
      <c r="J459" s="7" t="str">
        <f aca="false">IF($D459="","",IFERROR(IF(INDEX(Hierarchy!$G$2:$G$1295,MATCH($D459,Hierarchy!$A$2:$A$1295,0))="","",INDEX(Hierarchy!$G$2:$G$1295,MATCH($D459,Hierarchy!$A$2:$A$1295,0))),"NODE NOT FOUND"))</f>
        <v>USA</v>
      </c>
      <c r="K459" s="7" t="str">
        <f aca="false">IF($D459="","",IFERROR(IF(INDEX(Hierarchy!$H$2:$H$1295,MATCH($D459,Hierarchy!$A$2:$A$1295,0))="","",INDEX(Hierarchy!$H$2:$H$1295,MATCH($D459,Hierarchy!$A$2:$A$1295,0))),"NODE NOT FOUND"))</f>
        <v/>
      </c>
      <c r="L459" s="7" t="str">
        <f aca="false">IF($D459="","",IFERROR(IF(INDEX(Hierarchy!$I$2:$I$1295,MATCH($D459,Hierarchy!$A$2:$A$1295,0))="","",INDEX(Hierarchy!$I$2:$I$1295,MATCH($D459,Hierarchy!$A$2:$A$1295,0))),"NODE NOT FOUND"))</f>
        <v/>
      </c>
      <c r="M459" s="17" t="str">
        <f aca="false">IF(B459="Pre-seeded","Pre-seeded",IF(B459="Review 2026-09-16","Added from review",IF(C459="","New",IF(C459=D459,"","Changed"))))</f>
        <v>Pre-seeded</v>
      </c>
      <c r="N459" s="7" t="str">
        <f aca="false">TRIM(SUBSTITUTE(SUBSTITUTE(SUBSTITUTE(" "&amp;TRIM(SUBSTITUTE(SUBSTITUTE(SUBSTITUTE(SUBSTITUTE(SUBSTITUTE(SUBSTITUTE(SUBSTITUTE(SUBSTITUTE(SUBSTITUTE(SUBSTITUTE(SUBSTITUTE(SUBSTITUTE(SUBSTITUTE(SUBSTITUTE(SUBSTITUTE(UPPER(TRIM(A459)),"[MEMBER]",""),"{MEMBER}",""),"[MEMBER}",""),"MEMBER]",""),"(A)",""),"""",""),"“",""),"”",""),".",""),":",""),",",""),"–"," "),"-"," "),"/"," "),"&amp;"," AND "))&amp;" "," THE "," ")," TOTAL "," ")," OPERATIONS "," "))</f>
        <v>EAST NORTH CENTRAL</v>
      </c>
      <c r="O459" s="17" t="str">
        <f aca="false">IF(COUNTIFS($N$2:$N$2000,N459,$D$2:$D$2000,"&lt;&gt;"&amp;D459)&gt;0,"CONFLICT","")</f>
        <v/>
      </c>
      <c r="P459" s="7"/>
    </row>
    <row r="460" customFormat="false" ht="15" hidden="false" customHeight="false" outlineLevel="0" collapsed="false">
      <c r="A460" s="7" t="s">
        <v>1603</v>
      </c>
      <c r="B460" s="7" t="s">
        <v>1879</v>
      </c>
      <c r="C460" s="7"/>
      <c r="D460" s="6" t="s">
        <v>1603</v>
      </c>
      <c r="E460" s="6" t="s">
        <v>1880</v>
      </c>
      <c r="F460" s="7" t="str">
        <f aca="false">IF($D460="","",IFERROR(IF(INDEX(Hierarchy!$B$2:$B$1295,MATCH($D460,Hierarchy!$A$2:$A$1295,0))="","",INDEX(Hierarchy!$B$2:$B$1295,MATCH($D460,Hierarchy!$A$2:$A$1295,0))),"NODE NOT FOUND"))</f>
        <v>State/Province</v>
      </c>
      <c r="G460" s="7" t="str">
        <f aca="false">IF($D460="","",IFERROR(IF(INDEX(Hierarchy!$D$2:$D$1295,MATCH($D460,Hierarchy!$A$2:$A$1295,0))="","",INDEX(Hierarchy!$D$2:$D$1295,MATCH($D460,Hierarchy!$A$2:$A$1295,0))),"NODE NOT FOUND"))</f>
        <v>APAC</v>
      </c>
      <c r="H460" s="7" t="str">
        <f aca="false">IF($D460="","",IFERROR(IF(INDEX(Hierarchy!$E$2:$E$1295,MATCH($D460,Hierarchy!$A$2:$A$1295,0))="","",INDEX(Hierarchy!$E$2:$E$1295,MATCH($D460,Hierarchy!$A$2:$A$1295,0))),"NODE NOT FOUND"))</f>
        <v>Southeast Asia (ASEAN)</v>
      </c>
      <c r="I460" s="7" t="str">
        <f aca="false">IF($D460="","",IFERROR(IF(INDEX(Hierarchy!$F$2:$F$1295,MATCH($D460,Hierarchy!$A$2:$A$1295,0))="","",INDEX(Hierarchy!$F$2:$F$1295,MATCH($D460,Hierarchy!$A$2:$A$1295,0))),"NODE NOT FOUND"))</f>
        <v>Indonesia</v>
      </c>
      <c r="J460" s="7" t="str">
        <f aca="false">IF($D460="","",IFERROR(IF(INDEX(Hierarchy!$G$2:$G$1295,MATCH($D460,Hierarchy!$A$2:$A$1295,0))="","",INDEX(Hierarchy!$G$2:$G$1295,MATCH($D460,Hierarchy!$A$2:$A$1295,0))),"NODE NOT FOUND"))</f>
        <v>IDN</v>
      </c>
      <c r="K460" s="7" t="str">
        <f aca="false">IF($D460="","",IFERROR(IF(INDEX(Hierarchy!$H$2:$H$1295,MATCH($D460,Hierarchy!$A$2:$A$1295,0))="","",INDEX(Hierarchy!$H$2:$H$1295,MATCH($D460,Hierarchy!$A$2:$A$1295,0))),"NODE NOT FOUND"))</f>
        <v>East Nusa Tenggara</v>
      </c>
      <c r="L460" s="7" t="str">
        <f aca="false">IF($D460="","",IFERROR(IF(INDEX(Hierarchy!$I$2:$I$1295,MATCH($D460,Hierarchy!$A$2:$A$1295,0))="","",INDEX(Hierarchy!$I$2:$I$1295,MATCH($D460,Hierarchy!$A$2:$A$1295,0))),"NODE NOT FOUND"))</f>
        <v/>
      </c>
      <c r="M460" s="17" t="str">
        <f aca="false">IF(B460="Pre-seeded","Pre-seeded",IF(B460="Review 2026-09-16","Added from review",IF(C460="","New",IF(C460=D460,"","Changed"))))</f>
        <v>Pre-seeded</v>
      </c>
      <c r="N460" s="7" t="str">
        <f aca="false">TRIM(SUBSTITUTE(SUBSTITUTE(SUBSTITUTE(" "&amp;TRIM(SUBSTITUTE(SUBSTITUTE(SUBSTITUTE(SUBSTITUTE(SUBSTITUTE(SUBSTITUTE(SUBSTITUTE(SUBSTITUTE(SUBSTITUTE(SUBSTITUTE(SUBSTITUTE(SUBSTITUTE(SUBSTITUTE(SUBSTITUTE(SUBSTITUTE(UPPER(TRIM(A460)),"[MEMBER]",""),"{MEMBER}",""),"[MEMBER}",""),"MEMBER]",""),"(A)",""),"""",""),"“",""),"”",""),".",""),":",""),",",""),"–"," "),"-"," "),"/"," "),"&amp;"," AND "))&amp;" "," THE "," ")," TOTAL "," ")," OPERATIONS "," "))</f>
        <v>EAST NUSA TENGGARA</v>
      </c>
      <c r="O460" s="17" t="str">
        <f aca="false">IF(COUNTIFS($N$2:$N$2000,N460,$D$2:$D$2000,"&lt;&gt;"&amp;D460)&gt;0,"CONFLICT","")</f>
        <v/>
      </c>
      <c r="P460" s="7"/>
    </row>
    <row r="461" customFormat="false" ht="15" hidden="false" customHeight="false" outlineLevel="0" collapsed="false">
      <c r="A461" s="7" t="s">
        <v>668</v>
      </c>
      <c r="B461" s="7" t="s">
        <v>1879</v>
      </c>
      <c r="C461" s="7"/>
      <c r="D461" s="6" t="s">
        <v>668</v>
      </c>
      <c r="E461" s="6" t="s">
        <v>1880</v>
      </c>
      <c r="F461" s="7" t="str">
        <f aca="false">IF($D461="","",IFERROR(IF(INDEX(Hierarchy!$B$2:$B$1295,MATCH($D461,Hierarchy!$A$2:$A$1295,0))="","",INDEX(Hierarchy!$B$2:$B$1295,MATCH($D461,Hierarchy!$A$2:$A$1295,0))),"NODE NOT FOUND"))</f>
        <v>Sub-national region</v>
      </c>
      <c r="G461" s="7" t="str">
        <f aca="false">IF($D461="","",IFERROR(IF(INDEX(Hierarchy!$D$2:$D$1295,MATCH($D461,Hierarchy!$A$2:$A$1295,0))="","",INDEX(Hierarchy!$D$2:$D$1295,MATCH($D461,Hierarchy!$A$2:$A$1295,0))),"NODE NOT FOUND"))</f>
        <v>EMEA</v>
      </c>
      <c r="H461" s="7" t="str">
        <f aca="false">IF($D461="","",IFERROR(IF(INDEX(Hierarchy!$E$2:$E$1295,MATCH($D461,Hierarchy!$A$2:$A$1295,0))="","",INDEX(Hierarchy!$E$2:$E$1295,MATCH($D461,Hierarchy!$A$2:$A$1295,0))),"NODE NOT FOUND"))</f>
        <v>Europe</v>
      </c>
      <c r="I461" s="7" t="str">
        <f aca="false">IF($D461="","",IFERROR(IF(INDEX(Hierarchy!$F$2:$F$1295,MATCH($D461,Hierarchy!$A$2:$A$1295,0))="","",INDEX(Hierarchy!$F$2:$F$1295,MATCH($D461,Hierarchy!$A$2:$A$1295,0))),"NODE NOT FOUND"))</f>
        <v>United Kingdom</v>
      </c>
      <c r="J461" s="7" t="str">
        <f aca="false">IF($D461="","",IFERROR(IF(INDEX(Hierarchy!$G$2:$G$1295,MATCH($D461,Hierarchy!$A$2:$A$1295,0))="","",INDEX(Hierarchy!$G$2:$G$1295,MATCH($D461,Hierarchy!$A$2:$A$1295,0))),"NODE NOT FOUND"))</f>
        <v>GBR</v>
      </c>
      <c r="K461" s="7" t="str">
        <f aca="false">IF($D461="","",IFERROR(IF(INDEX(Hierarchy!$H$2:$H$1295,MATCH($D461,Hierarchy!$A$2:$A$1295,0))="","",INDEX(Hierarchy!$H$2:$H$1295,MATCH($D461,Hierarchy!$A$2:$A$1295,0))),"NODE NOT FOUND"))</f>
        <v>England</v>
      </c>
      <c r="L461" s="7" t="str">
        <f aca="false">IF($D461="","",IFERROR(IF(INDEX(Hierarchy!$I$2:$I$1295,MATCH($D461,Hierarchy!$A$2:$A$1295,0))="","",INDEX(Hierarchy!$I$2:$I$1295,MATCH($D461,Hierarchy!$A$2:$A$1295,0))),"NODE NOT FOUND"))</f>
        <v/>
      </c>
      <c r="M461" s="17" t="str">
        <f aca="false">IF(B461="Pre-seeded","Pre-seeded",IF(B461="Review 2026-09-16","Added from review",IF(C461="","New",IF(C461=D461,"","Changed"))))</f>
        <v>Pre-seeded</v>
      </c>
      <c r="N461" s="7" t="str">
        <f aca="false">TRIM(SUBSTITUTE(SUBSTITUTE(SUBSTITUTE(" "&amp;TRIM(SUBSTITUTE(SUBSTITUTE(SUBSTITUTE(SUBSTITUTE(SUBSTITUTE(SUBSTITUTE(SUBSTITUTE(SUBSTITUTE(SUBSTITUTE(SUBSTITUTE(SUBSTITUTE(SUBSTITUTE(SUBSTITUTE(SUBSTITUTE(SUBSTITUTE(UPPER(TRIM(A461)),"[MEMBER]",""),"{MEMBER}",""),"[MEMBER}",""),"MEMBER]",""),"(A)",""),"""",""),"“",""),"”",""),".",""),":",""),",",""),"–"," "),"-"," "),"/"," "),"&amp;"," AND "))&amp;" "," THE "," ")," TOTAL "," ")," OPERATIONS "," "))</f>
        <v>EAST OF ENGLAND</v>
      </c>
      <c r="O461" s="17" t="str">
        <f aca="false">IF(COUNTIFS($N$2:$N$2000,N461,$D$2:$D$2000,"&lt;&gt;"&amp;D461)&gt;0,"CONFLICT","")</f>
        <v/>
      </c>
      <c r="P461" s="7"/>
    </row>
    <row r="462" customFormat="false" ht="15" hidden="false" customHeight="false" outlineLevel="0" collapsed="false">
      <c r="A462" s="7" t="s">
        <v>2114</v>
      </c>
      <c r="B462" s="7" t="s">
        <v>1879</v>
      </c>
      <c r="C462" s="7"/>
      <c r="D462" s="6" t="s">
        <v>95</v>
      </c>
      <c r="E462" s="6" t="s">
        <v>1880</v>
      </c>
      <c r="F462" s="7" t="str">
        <f aca="false">IF($D462="","",IFERROR(IF(INDEX(Hierarchy!$B$2:$B$1295,MATCH($D462,Hierarchy!$A$2:$A$1295,0))="","",INDEX(Hierarchy!$B$2:$B$1295,MATCH($D462,Hierarchy!$A$2:$A$1295,0))),"NODE NOT FOUND"))</f>
        <v>Sub-national region</v>
      </c>
      <c r="G462" s="7" t="str">
        <f aca="false">IF($D462="","",IFERROR(IF(INDEX(Hierarchy!$D$2:$D$1295,MATCH($D462,Hierarchy!$A$2:$A$1295,0))="","",INDEX(Hierarchy!$D$2:$D$1295,MATCH($D462,Hierarchy!$A$2:$A$1295,0))),"NODE NOT FOUND"))</f>
        <v>AMER</v>
      </c>
      <c r="H462" s="7" t="str">
        <f aca="false">IF($D462="","",IFERROR(IF(INDEX(Hierarchy!$E$2:$E$1295,MATCH($D462,Hierarchy!$A$2:$A$1295,0))="","",INDEX(Hierarchy!$E$2:$E$1295,MATCH($D462,Hierarchy!$A$2:$A$1295,0))),"NODE NOT FOUND"))</f>
        <v>North America (NORAM)</v>
      </c>
      <c r="I462" s="7" t="str">
        <f aca="false">IF($D462="","",IFERROR(IF(INDEX(Hierarchy!$F$2:$F$1295,MATCH($D462,Hierarchy!$A$2:$A$1295,0))="","",INDEX(Hierarchy!$F$2:$F$1295,MATCH($D462,Hierarchy!$A$2:$A$1295,0))),"NODE NOT FOUND"))</f>
        <v>United States</v>
      </c>
      <c r="J462" s="7" t="str">
        <f aca="false">IF($D462="","",IFERROR(IF(INDEX(Hierarchy!$G$2:$G$1295,MATCH($D462,Hierarchy!$A$2:$A$1295,0))="","",INDEX(Hierarchy!$G$2:$G$1295,MATCH($D462,Hierarchy!$A$2:$A$1295,0))),"NODE NOT FOUND"))</f>
        <v>USA</v>
      </c>
      <c r="K462" s="7" t="str">
        <f aca="false">IF($D462="","",IFERROR(IF(INDEX(Hierarchy!$H$2:$H$1295,MATCH($D462,Hierarchy!$A$2:$A$1295,0))="","",INDEX(Hierarchy!$H$2:$H$1295,MATCH($D462,Hierarchy!$A$2:$A$1295,0))),"NODE NOT FOUND"))</f>
        <v/>
      </c>
      <c r="L462" s="7" t="str">
        <f aca="false">IF($D462="","",IFERROR(IF(INDEX(Hierarchy!$I$2:$I$1295,MATCH($D462,Hierarchy!$A$2:$A$1295,0))="","",INDEX(Hierarchy!$I$2:$I$1295,MATCH($D462,Hierarchy!$A$2:$A$1295,0))),"NODE NOT FOUND"))</f>
        <v/>
      </c>
      <c r="M462" s="17" t="str">
        <f aca="false">IF(B462="Pre-seeded","Pre-seeded",IF(B462="Review 2026-09-16","Added from review",IF(C462="","New",IF(C462=D462,"","Changed"))))</f>
        <v>Pre-seeded</v>
      </c>
      <c r="N462" s="7" t="str">
        <f aca="false">TRIM(SUBSTITUTE(SUBSTITUTE(SUBSTITUTE(" "&amp;TRIM(SUBSTITUTE(SUBSTITUTE(SUBSTITUTE(SUBSTITUTE(SUBSTITUTE(SUBSTITUTE(SUBSTITUTE(SUBSTITUTE(SUBSTITUTE(SUBSTITUTE(SUBSTITUTE(SUBSTITUTE(SUBSTITUTE(SUBSTITUTE(SUBSTITUTE(UPPER(TRIM(A462)),"[MEMBER]",""),"{MEMBER}",""),"[MEMBER}",""),"MEMBER]",""),"(A)",""),"""",""),"“",""),"”",""),".",""),":",""),",",""),"–"," "),"-"," "),"/"," "),"&amp;"," AND "))&amp;" "," THE "," ")," TOTAL "," ")," OPERATIONS "," "))</f>
        <v>EAST SOUTH CENTRAL</v>
      </c>
      <c r="O462" s="17" t="str">
        <f aca="false">IF(COUNTIFS($N$2:$N$2000,N462,$D$2:$D$2000,"&lt;&gt;"&amp;D462)&gt;0,"CONFLICT","")</f>
        <v/>
      </c>
      <c r="P462" s="7"/>
    </row>
    <row r="463" customFormat="false" ht="15" hidden="false" customHeight="false" outlineLevel="0" collapsed="false">
      <c r="A463" s="7" t="s">
        <v>2115</v>
      </c>
      <c r="B463" s="7" t="s">
        <v>1879</v>
      </c>
      <c r="C463" s="7"/>
      <c r="D463" s="6" t="s">
        <v>1687</v>
      </c>
      <c r="E463" s="6" t="s">
        <v>1880</v>
      </c>
      <c r="F463" s="7" t="str">
        <f aca="false">IF($D463="","",IFERROR(IF(INDEX(Hierarchy!$B$2:$B$1295,MATCH($D463,Hierarchy!$A$2:$A$1295,0))="","",INDEX(Hierarchy!$B$2:$B$1295,MATCH($D463,Hierarchy!$A$2:$A$1295,0))),"NODE NOT FOUND"))</f>
        <v>Country</v>
      </c>
      <c r="G463" s="7" t="str">
        <f aca="false">IF($D463="","",IFERROR(IF(INDEX(Hierarchy!$D$2:$D$1295,MATCH($D463,Hierarchy!$A$2:$A$1295,0))="","",INDEX(Hierarchy!$D$2:$D$1295,MATCH($D463,Hierarchy!$A$2:$A$1295,0))),"NODE NOT FOUND"))</f>
        <v>APAC</v>
      </c>
      <c r="H463" s="7" t="str">
        <f aca="false">IF($D463="","",IFERROR(IF(INDEX(Hierarchy!$E$2:$E$1295,MATCH($D463,Hierarchy!$A$2:$A$1295,0))="","",INDEX(Hierarchy!$E$2:$E$1295,MATCH($D463,Hierarchy!$A$2:$A$1295,0))),"NODE NOT FOUND"))</f>
        <v>Southeast Asia (ASEAN)</v>
      </c>
      <c r="I463" s="7" t="str">
        <f aca="false">IF($D463="","",IFERROR(IF(INDEX(Hierarchy!$F$2:$F$1295,MATCH($D463,Hierarchy!$A$2:$A$1295,0))="","",INDEX(Hierarchy!$F$2:$F$1295,MATCH($D463,Hierarchy!$A$2:$A$1295,0))),"NODE NOT FOUND"))</f>
        <v>Timor-Leste</v>
      </c>
      <c r="J463" s="7" t="str">
        <f aca="false">IF($D463="","",IFERROR(IF(INDEX(Hierarchy!$G$2:$G$1295,MATCH($D463,Hierarchy!$A$2:$A$1295,0))="","",INDEX(Hierarchy!$G$2:$G$1295,MATCH($D463,Hierarchy!$A$2:$A$1295,0))),"NODE NOT FOUND"))</f>
        <v>TLS</v>
      </c>
      <c r="K463" s="7" t="str">
        <f aca="false">IF($D463="","",IFERROR(IF(INDEX(Hierarchy!$H$2:$H$1295,MATCH($D463,Hierarchy!$A$2:$A$1295,0))="","",INDEX(Hierarchy!$H$2:$H$1295,MATCH($D463,Hierarchy!$A$2:$A$1295,0))),"NODE NOT FOUND"))</f>
        <v/>
      </c>
      <c r="L463" s="7" t="str">
        <f aca="false">IF($D463="","",IFERROR(IF(INDEX(Hierarchy!$I$2:$I$1295,MATCH($D463,Hierarchy!$A$2:$A$1295,0))="","",INDEX(Hierarchy!$I$2:$I$1295,MATCH($D463,Hierarchy!$A$2:$A$1295,0))),"NODE NOT FOUND"))</f>
        <v/>
      </c>
      <c r="M463" s="17" t="str">
        <f aca="false">IF(B463="Pre-seeded","Pre-seeded",IF(B463="Review 2026-09-16","Added from review",IF(C463="","New",IF(C463=D463,"","Changed"))))</f>
        <v>Pre-seeded</v>
      </c>
      <c r="N463" s="7" t="str">
        <f aca="false">TRIM(SUBSTITUTE(SUBSTITUTE(SUBSTITUTE(" "&amp;TRIM(SUBSTITUTE(SUBSTITUTE(SUBSTITUTE(SUBSTITUTE(SUBSTITUTE(SUBSTITUTE(SUBSTITUTE(SUBSTITUTE(SUBSTITUTE(SUBSTITUTE(SUBSTITUTE(SUBSTITUTE(SUBSTITUTE(SUBSTITUTE(SUBSTITUTE(UPPER(TRIM(A463)),"[MEMBER]",""),"{MEMBER}",""),"[MEMBER}",""),"MEMBER]",""),"(A)",""),"""",""),"“",""),"”",""),".",""),":",""),",",""),"–"," "),"-"," "),"/"," "),"&amp;"," AND "))&amp;" "," THE "," ")," TOTAL "," ")," OPERATIONS "," "))</f>
        <v>EAST TIMOR</v>
      </c>
      <c r="O463" s="17" t="str">
        <f aca="false">IF(COUNTIFS($N$2:$N$2000,N463,$D$2:$D$2000,"&lt;&gt;"&amp;D463)&gt;0,"CONFLICT","")</f>
        <v/>
      </c>
      <c r="P463" s="7"/>
    </row>
    <row r="464" customFormat="false" ht="15" hidden="false" customHeight="false" outlineLevel="0" collapsed="false">
      <c r="A464" s="7" t="s">
        <v>1190</v>
      </c>
      <c r="B464" s="7" t="s">
        <v>1879</v>
      </c>
      <c r="C464" s="7"/>
      <c r="D464" s="6" t="s">
        <v>1100</v>
      </c>
      <c r="E464" s="6" t="s">
        <v>1880</v>
      </c>
      <c r="F464" s="7" t="str">
        <f aca="false">IF($D464="","",IFERROR(IF(INDEX(Hierarchy!$B$2:$B$1295,MATCH($D464,Hierarchy!$A$2:$A$1295,0))="","",INDEX(Hierarchy!$B$2:$B$1295,MATCH($D464,Hierarchy!$A$2:$A$1295,0))),"NODE NOT FOUND"))</f>
        <v>Sub-region component</v>
      </c>
      <c r="G464" s="7" t="str">
        <f aca="false">IF($D464="","",IFERROR(IF(INDEX(Hierarchy!$D$2:$D$1295,MATCH($D464,Hierarchy!$A$2:$A$1295,0))="","",INDEX(Hierarchy!$D$2:$D$1295,MATCH($D464,Hierarchy!$A$2:$A$1295,0))),"NODE NOT FOUND"))</f>
        <v>EMEA</v>
      </c>
      <c r="H464" s="7" t="str">
        <f aca="false">IF($D464="","",IFERROR(IF(INDEX(Hierarchy!$E$2:$E$1295,MATCH($D464,Hierarchy!$A$2:$A$1295,0))="","",INDEX(Hierarchy!$E$2:$E$1295,MATCH($D464,Hierarchy!$A$2:$A$1295,0))),"NODE NOT FOUND"))</f>
        <v>Africa</v>
      </c>
      <c r="I464" s="7" t="str">
        <f aca="false">IF($D464="","",IFERROR(IF(INDEX(Hierarchy!$F$2:$F$1295,MATCH($D464,Hierarchy!$A$2:$A$1295,0))="","",INDEX(Hierarchy!$F$2:$F$1295,MATCH($D464,Hierarchy!$A$2:$A$1295,0))),"NODE NOT FOUND"))</f>
        <v/>
      </c>
      <c r="J464" s="7" t="str">
        <f aca="false">IF($D464="","",IFERROR(IF(INDEX(Hierarchy!$G$2:$G$1295,MATCH($D464,Hierarchy!$A$2:$A$1295,0))="","",INDEX(Hierarchy!$G$2:$G$1295,MATCH($D464,Hierarchy!$A$2:$A$1295,0))),"NODE NOT FOUND"))</f>
        <v/>
      </c>
      <c r="K464" s="7" t="str">
        <f aca="false">IF($D464="","",IFERROR(IF(INDEX(Hierarchy!$H$2:$H$1295,MATCH($D464,Hierarchy!$A$2:$A$1295,0))="","",INDEX(Hierarchy!$H$2:$H$1295,MATCH($D464,Hierarchy!$A$2:$A$1295,0))),"NODE NOT FOUND"))</f>
        <v/>
      </c>
      <c r="L464" s="7" t="str">
        <f aca="false">IF($D464="","",IFERROR(IF(INDEX(Hierarchy!$I$2:$I$1295,MATCH($D464,Hierarchy!$A$2:$A$1295,0))="","",INDEX(Hierarchy!$I$2:$I$1295,MATCH($D464,Hierarchy!$A$2:$A$1295,0))),"NODE NOT FOUND"))</f>
        <v/>
      </c>
      <c r="M464" s="17" t="str">
        <f aca="false">IF(B464="Pre-seeded","Pre-seeded",IF(B464="Review 2026-09-16","Added from review",IF(C464="","New",IF(C464=D464,"","Changed"))))</f>
        <v>Pre-seeded</v>
      </c>
      <c r="N464" s="7" t="str">
        <f aca="false">TRIM(SUBSTITUTE(SUBSTITUTE(SUBSTITUTE(" "&amp;TRIM(SUBSTITUTE(SUBSTITUTE(SUBSTITUTE(SUBSTITUTE(SUBSTITUTE(SUBSTITUTE(SUBSTITUTE(SUBSTITUTE(SUBSTITUTE(SUBSTITUTE(SUBSTITUTE(SUBSTITUTE(SUBSTITUTE(SUBSTITUTE(SUBSTITUTE(UPPER(TRIM(A464)),"[MEMBER]",""),"{MEMBER}",""),"[MEMBER}",""),"MEMBER]",""),"(A)",""),"""",""),"“",""),"”",""),".",""),":",""),",",""),"–"," "),"-"," "),"/"," "),"&amp;"," AND "))&amp;" "," THE "," ")," TOTAL "," ")," OPERATIONS "," "))</f>
        <v>EASTERN AFRICA</v>
      </c>
      <c r="O464" s="17" t="str">
        <f aca="false">IF(COUNTIFS($N$2:$N$2000,N464,$D$2:$D$2000,"&lt;&gt;"&amp;D464)&gt;0,"CONFLICT","")</f>
        <v/>
      </c>
      <c r="P464" s="7"/>
    </row>
    <row r="465" customFormat="false" ht="15" hidden="false" customHeight="false" outlineLevel="0" collapsed="false">
      <c r="A465" s="7" t="s">
        <v>1427</v>
      </c>
      <c r="B465" s="7" t="s">
        <v>1885</v>
      </c>
      <c r="C465" s="7" t="s">
        <v>744</v>
      </c>
      <c r="D465" s="6" t="s">
        <v>1419</v>
      </c>
      <c r="E465" s="6" t="s">
        <v>1880</v>
      </c>
      <c r="F465" s="7" t="str">
        <f aca="false">IF($D465="","",IFERROR(IF(INDEX(Hierarchy!$B$2:$B$1295,MATCH($D465,Hierarchy!$A$2:$A$1295,0))="","",INDEX(Hierarchy!$B$2:$B$1295,MATCH($D465,Hierarchy!$A$2:$A$1295,0))),"NODE NOT FOUND"))</f>
        <v>Sub-region</v>
      </c>
      <c r="G465" s="7" t="str">
        <f aca="false">IF($D465="","",IFERROR(IF(INDEX(Hierarchy!$D$2:$D$1295,MATCH($D465,Hierarchy!$A$2:$A$1295,0))="","",INDEX(Hierarchy!$D$2:$D$1295,MATCH($D465,Hierarchy!$A$2:$A$1295,0))),"NODE NOT FOUND"))</f>
        <v>APAC</v>
      </c>
      <c r="H465" s="7" t="str">
        <f aca="false">IF($D465="","",IFERROR(IF(INDEX(Hierarchy!$E$2:$E$1295,MATCH($D465,Hierarchy!$A$2:$A$1295,0))="","",INDEX(Hierarchy!$E$2:$E$1295,MATCH($D465,Hierarchy!$A$2:$A$1295,0))),"NODE NOT FOUND"))</f>
        <v>East Asia</v>
      </c>
      <c r="I465" s="7" t="str">
        <f aca="false">IF($D465="","",IFERROR(IF(INDEX(Hierarchy!$F$2:$F$1295,MATCH($D465,Hierarchy!$A$2:$A$1295,0))="","",INDEX(Hierarchy!$F$2:$F$1295,MATCH($D465,Hierarchy!$A$2:$A$1295,0))),"NODE NOT FOUND"))</f>
        <v/>
      </c>
      <c r="J465" s="7" t="str">
        <f aca="false">IF($D465="","",IFERROR(IF(INDEX(Hierarchy!$G$2:$G$1295,MATCH($D465,Hierarchy!$A$2:$A$1295,0))="","",INDEX(Hierarchy!$G$2:$G$1295,MATCH($D465,Hierarchy!$A$2:$A$1295,0))),"NODE NOT FOUND"))</f>
        <v/>
      </c>
      <c r="K465" s="7" t="str">
        <f aca="false">IF($D465="","",IFERROR(IF(INDEX(Hierarchy!$H$2:$H$1295,MATCH($D465,Hierarchy!$A$2:$A$1295,0))="","",INDEX(Hierarchy!$H$2:$H$1295,MATCH($D465,Hierarchy!$A$2:$A$1295,0))),"NODE NOT FOUND"))</f>
        <v/>
      </c>
      <c r="L465" s="7" t="str">
        <f aca="false">IF($D465="","",IFERROR(IF(INDEX(Hierarchy!$I$2:$I$1295,MATCH($D465,Hierarchy!$A$2:$A$1295,0))="","",INDEX(Hierarchy!$I$2:$I$1295,MATCH($D465,Hierarchy!$A$2:$A$1295,0))),"NODE NOT FOUND"))</f>
        <v/>
      </c>
      <c r="M465" s="17" t="str">
        <f aca="false">IF(B465="Pre-seeded","Pre-seeded",IF(B465="Review 2026-09-16","Added from review",IF(C465="","New",IF(C465=D465,"","Changed"))))</f>
        <v>Changed</v>
      </c>
      <c r="N465" s="7" t="str">
        <f aca="false">TRIM(SUBSTITUTE(SUBSTITUTE(SUBSTITUTE(" "&amp;TRIM(SUBSTITUTE(SUBSTITUTE(SUBSTITUTE(SUBSTITUTE(SUBSTITUTE(SUBSTITUTE(SUBSTITUTE(SUBSTITUTE(SUBSTITUTE(SUBSTITUTE(SUBSTITUTE(SUBSTITUTE(SUBSTITUTE(SUBSTITUTE(SUBSTITUTE(UPPER(TRIM(A465)),"[MEMBER]",""),"{MEMBER}",""),"[MEMBER}",""),"MEMBER]",""),"(A)",""),"""",""),"“",""),"”",""),".",""),":",""),",",""),"–"," "),"-"," "),"/"," "),"&amp;"," AND "))&amp;" "," THE "," ")," TOTAL "," ")," OPERATIONS "," "))</f>
        <v>EASTERN ASIA</v>
      </c>
      <c r="O465" s="17" t="str">
        <f aca="false">IF(COUNTIFS($N$2:$N$2000,N465,$D$2:$D$2000,"&lt;&gt;"&amp;D465)&gt;0,"CONFLICT","")</f>
        <v/>
      </c>
      <c r="P465" s="7"/>
    </row>
    <row r="466" customFormat="false" ht="15" hidden="false" customHeight="false" outlineLevel="0" collapsed="false">
      <c r="A466" s="7" t="s">
        <v>275</v>
      </c>
      <c r="B466" s="7" t="s">
        <v>1879</v>
      </c>
      <c r="C466" s="7"/>
      <c r="D466" s="6" t="s">
        <v>275</v>
      </c>
      <c r="E466" s="6" t="s">
        <v>1880</v>
      </c>
      <c r="F466" s="7" t="str">
        <f aca="false">IF($D466="","",IFERROR(IF(INDEX(Hierarchy!$B$2:$B$1295,MATCH($D466,Hierarchy!$A$2:$A$1295,0))="","",INDEX(Hierarchy!$B$2:$B$1295,MATCH($D466,Hierarchy!$A$2:$A$1295,0))),"NODE NOT FOUND"))</f>
        <v>Sub-national region</v>
      </c>
      <c r="G466" s="7" t="str">
        <f aca="false">IF($D466="","",IFERROR(IF(INDEX(Hierarchy!$D$2:$D$1295,MATCH($D466,Hierarchy!$A$2:$A$1295,0))="","",INDEX(Hierarchy!$D$2:$D$1295,MATCH($D466,Hierarchy!$A$2:$A$1295,0))),"NODE NOT FOUND"))</f>
        <v>AMER</v>
      </c>
      <c r="H466" s="7" t="str">
        <f aca="false">IF($D466="","",IFERROR(IF(INDEX(Hierarchy!$E$2:$E$1295,MATCH($D466,Hierarchy!$A$2:$A$1295,0))="","",INDEX(Hierarchy!$E$2:$E$1295,MATCH($D466,Hierarchy!$A$2:$A$1295,0))),"NODE NOT FOUND"))</f>
        <v>North America (NORAM)</v>
      </c>
      <c r="I466" s="7" t="str">
        <f aca="false">IF($D466="","",IFERROR(IF(INDEX(Hierarchy!$F$2:$F$1295,MATCH($D466,Hierarchy!$A$2:$A$1295,0))="","",INDEX(Hierarchy!$F$2:$F$1295,MATCH($D466,Hierarchy!$A$2:$A$1295,0))),"NODE NOT FOUND"))</f>
        <v>Canada</v>
      </c>
      <c r="J466" s="7" t="str">
        <f aca="false">IF($D466="","",IFERROR(IF(INDEX(Hierarchy!$G$2:$G$1295,MATCH($D466,Hierarchy!$A$2:$A$1295,0))="","",INDEX(Hierarchy!$G$2:$G$1295,MATCH($D466,Hierarchy!$A$2:$A$1295,0))),"NODE NOT FOUND"))</f>
        <v>CAN</v>
      </c>
      <c r="K466" s="7" t="str">
        <f aca="false">IF($D466="","",IFERROR(IF(INDEX(Hierarchy!$H$2:$H$1295,MATCH($D466,Hierarchy!$A$2:$A$1295,0))="","",INDEX(Hierarchy!$H$2:$H$1295,MATCH($D466,Hierarchy!$A$2:$A$1295,0))),"NODE NOT FOUND"))</f>
        <v/>
      </c>
      <c r="L466" s="7" t="str">
        <f aca="false">IF($D466="","",IFERROR(IF(INDEX(Hierarchy!$I$2:$I$1295,MATCH($D466,Hierarchy!$A$2:$A$1295,0))="","",INDEX(Hierarchy!$I$2:$I$1295,MATCH($D466,Hierarchy!$A$2:$A$1295,0))),"NODE NOT FOUND"))</f>
        <v/>
      </c>
      <c r="M466" s="17" t="str">
        <f aca="false">IF(B466="Pre-seeded","Pre-seeded",IF(B466="Review 2026-09-16","Added from review",IF(C466="","New",IF(C466=D466,"","Changed"))))</f>
        <v>Pre-seeded</v>
      </c>
      <c r="N466" s="7" t="str">
        <f aca="false">TRIM(SUBSTITUTE(SUBSTITUTE(SUBSTITUTE(" "&amp;TRIM(SUBSTITUTE(SUBSTITUTE(SUBSTITUTE(SUBSTITUTE(SUBSTITUTE(SUBSTITUTE(SUBSTITUTE(SUBSTITUTE(SUBSTITUTE(SUBSTITUTE(SUBSTITUTE(SUBSTITUTE(SUBSTITUTE(SUBSTITUTE(SUBSTITUTE(UPPER(TRIM(A466)),"[MEMBER]",""),"{MEMBER}",""),"[MEMBER}",""),"MEMBER]",""),"(A)",""),"""",""),"“",""),"”",""),".",""),":",""),",",""),"–"," "),"-"," "),"/"," "),"&amp;"," AND "))&amp;" "," THE "," ")," TOTAL "," ")," OPERATIONS "," "))</f>
        <v>EASTERN CANADA</v>
      </c>
      <c r="O466" s="17" t="str">
        <f aca="false">IF(COUNTIFS($N$2:$N$2000,N466,$D$2:$D$2000,"&lt;&gt;"&amp;D466)&gt;0,"CONFLICT","")</f>
        <v/>
      </c>
      <c r="P466" s="7"/>
    </row>
    <row r="467" customFormat="false" ht="15" hidden="false" customHeight="false" outlineLevel="0" collapsed="false">
      <c r="A467" s="7" t="s">
        <v>1115</v>
      </c>
      <c r="B467" s="7" t="s">
        <v>1879</v>
      </c>
      <c r="C467" s="7"/>
      <c r="D467" s="6" t="s">
        <v>1115</v>
      </c>
      <c r="E467" s="6" t="s">
        <v>1880</v>
      </c>
      <c r="F467" s="7" t="str">
        <f aca="false">IF($D467="","",IFERROR(IF(INDEX(Hierarchy!$B$2:$B$1295,MATCH($D467,Hierarchy!$A$2:$A$1295,0))="","",INDEX(Hierarchy!$B$2:$B$1295,MATCH($D467,Hierarchy!$A$2:$A$1295,0))),"NODE NOT FOUND"))</f>
        <v>State/Province</v>
      </c>
      <c r="G467" s="7" t="str">
        <f aca="false">IF($D467="","",IFERROR(IF(INDEX(Hierarchy!$D$2:$D$1295,MATCH($D467,Hierarchy!$A$2:$A$1295,0))="","",INDEX(Hierarchy!$D$2:$D$1295,MATCH($D467,Hierarchy!$A$2:$A$1295,0))),"NODE NOT FOUND"))</f>
        <v>EMEA</v>
      </c>
      <c r="H467" s="7" t="str">
        <f aca="false">IF($D467="","",IFERROR(IF(INDEX(Hierarchy!$E$2:$E$1295,MATCH($D467,Hierarchy!$A$2:$A$1295,0))="","",INDEX(Hierarchy!$E$2:$E$1295,MATCH($D467,Hierarchy!$A$2:$A$1295,0))),"NODE NOT FOUND"))</f>
        <v>Africa</v>
      </c>
      <c r="I467" s="7" t="str">
        <f aca="false">IF($D467="","",IFERROR(IF(INDEX(Hierarchy!$F$2:$F$1295,MATCH($D467,Hierarchy!$A$2:$A$1295,0))="","",INDEX(Hierarchy!$F$2:$F$1295,MATCH($D467,Hierarchy!$A$2:$A$1295,0))),"NODE NOT FOUND"))</f>
        <v>South Africa</v>
      </c>
      <c r="J467" s="7" t="str">
        <f aca="false">IF($D467="","",IFERROR(IF(INDEX(Hierarchy!$G$2:$G$1295,MATCH($D467,Hierarchy!$A$2:$A$1295,0))="","",INDEX(Hierarchy!$G$2:$G$1295,MATCH($D467,Hierarchy!$A$2:$A$1295,0))),"NODE NOT FOUND"))</f>
        <v>ZAF</v>
      </c>
      <c r="K467" s="7" t="str">
        <f aca="false">IF($D467="","",IFERROR(IF(INDEX(Hierarchy!$H$2:$H$1295,MATCH($D467,Hierarchy!$A$2:$A$1295,0))="","",INDEX(Hierarchy!$H$2:$H$1295,MATCH($D467,Hierarchy!$A$2:$A$1295,0))),"NODE NOT FOUND"))</f>
        <v>Eastern Cape</v>
      </c>
      <c r="L467" s="7" t="str">
        <f aca="false">IF($D467="","",IFERROR(IF(INDEX(Hierarchy!$I$2:$I$1295,MATCH($D467,Hierarchy!$A$2:$A$1295,0))="","",INDEX(Hierarchy!$I$2:$I$1295,MATCH($D467,Hierarchy!$A$2:$A$1295,0))),"NODE NOT FOUND"))</f>
        <v/>
      </c>
      <c r="M467" s="17" t="str">
        <f aca="false">IF(B467="Pre-seeded","Pre-seeded",IF(B467="Review 2026-09-16","Added from review",IF(C467="","New",IF(C467=D467,"","Changed"))))</f>
        <v>Pre-seeded</v>
      </c>
      <c r="N467" s="7" t="str">
        <f aca="false">TRIM(SUBSTITUTE(SUBSTITUTE(SUBSTITUTE(" "&amp;TRIM(SUBSTITUTE(SUBSTITUTE(SUBSTITUTE(SUBSTITUTE(SUBSTITUTE(SUBSTITUTE(SUBSTITUTE(SUBSTITUTE(SUBSTITUTE(SUBSTITUTE(SUBSTITUTE(SUBSTITUTE(SUBSTITUTE(SUBSTITUTE(SUBSTITUTE(UPPER(TRIM(A467)),"[MEMBER]",""),"{MEMBER}",""),"[MEMBER}",""),"MEMBER]",""),"(A)",""),"""",""),"“",""),"”",""),".",""),":",""),",",""),"–"," "),"-"," "),"/"," "),"&amp;"," AND "))&amp;" "," THE "," ")," TOTAL "," ")," OPERATIONS "," "))</f>
        <v>EASTERN CAPE</v>
      </c>
      <c r="O467" s="17" t="str">
        <f aca="false">IF(COUNTIFS($N$2:$N$2000,N467,$D$2:$D$2000,"&lt;&gt;"&amp;D467)&gt;0,"CONFLICT","")</f>
        <v/>
      </c>
      <c r="P467" s="7"/>
    </row>
    <row r="468" customFormat="false" ht="15" hidden="false" customHeight="false" outlineLevel="0" collapsed="false">
      <c r="A468" s="7" t="s">
        <v>642</v>
      </c>
      <c r="B468" s="7" t="s">
        <v>1882</v>
      </c>
      <c r="C468" s="7" t="s">
        <v>642</v>
      </c>
      <c r="D468" s="6" t="s">
        <v>642</v>
      </c>
      <c r="E468" s="6" t="s">
        <v>1880</v>
      </c>
      <c r="F468" s="7" t="str">
        <f aca="false">IF($D468="","",IFERROR(IF(INDEX(Hierarchy!$B$2:$B$1295,MATCH($D468,Hierarchy!$A$2:$A$1295,0))="","",INDEX(Hierarchy!$B$2:$B$1295,MATCH($D468,Hierarchy!$A$2:$A$1295,0))),"NODE NOT FOUND"))</f>
        <v>Sub-region component</v>
      </c>
      <c r="G468" s="7" t="str">
        <f aca="false">IF($D468="","",IFERROR(IF(INDEX(Hierarchy!$D$2:$D$1295,MATCH($D468,Hierarchy!$A$2:$A$1295,0))="","",INDEX(Hierarchy!$D$2:$D$1295,MATCH($D468,Hierarchy!$A$2:$A$1295,0))),"NODE NOT FOUND"))</f>
        <v>EMEA</v>
      </c>
      <c r="H468" s="7" t="str">
        <f aca="false">IF($D468="","",IFERROR(IF(INDEX(Hierarchy!$E$2:$E$1295,MATCH($D468,Hierarchy!$A$2:$A$1295,0))="","",INDEX(Hierarchy!$E$2:$E$1295,MATCH($D468,Hierarchy!$A$2:$A$1295,0))),"NODE NOT FOUND"))</f>
        <v>Europe</v>
      </c>
      <c r="I468" s="7" t="str">
        <f aca="false">IF($D468="","",IFERROR(IF(INDEX(Hierarchy!$F$2:$F$1295,MATCH($D468,Hierarchy!$A$2:$A$1295,0))="","",INDEX(Hierarchy!$F$2:$F$1295,MATCH($D468,Hierarchy!$A$2:$A$1295,0))),"NODE NOT FOUND"))</f>
        <v/>
      </c>
      <c r="J468" s="7" t="str">
        <f aca="false">IF($D468="","",IFERROR(IF(INDEX(Hierarchy!$G$2:$G$1295,MATCH($D468,Hierarchy!$A$2:$A$1295,0))="","",INDEX(Hierarchy!$G$2:$G$1295,MATCH($D468,Hierarchy!$A$2:$A$1295,0))),"NODE NOT FOUND"))</f>
        <v/>
      </c>
      <c r="K468" s="7" t="str">
        <f aca="false">IF($D468="","",IFERROR(IF(INDEX(Hierarchy!$H$2:$H$1295,MATCH($D468,Hierarchy!$A$2:$A$1295,0))="","",INDEX(Hierarchy!$H$2:$H$1295,MATCH($D468,Hierarchy!$A$2:$A$1295,0))),"NODE NOT FOUND"))</f>
        <v/>
      </c>
      <c r="L468" s="7" t="str">
        <f aca="false">IF($D468="","",IFERROR(IF(INDEX(Hierarchy!$I$2:$I$1295,MATCH($D468,Hierarchy!$A$2:$A$1295,0))="","",INDEX(Hierarchy!$I$2:$I$1295,MATCH($D468,Hierarchy!$A$2:$A$1295,0))),"NODE NOT FOUND"))</f>
        <v/>
      </c>
      <c r="M468" s="17" t="str">
        <f aca="false">IF(B468="Pre-seeded","Pre-seeded",IF(B468="Review 2026-09-16","Added from review",IF(C468="","New",IF(C468=D468,"","Changed"))))</f>
        <v/>
      </c>
      <c r="N468" s="7" t="str">
        <f aca="false">TRIM(SUBSTITUTE(SUBSTITUTE(SUBSTITUTE(" "&amp;TRIM(SUBSTITUTE(SUBSTITUTE(SUBSTITUTE(SUBSTITUTE(SUBSTITUTE(SUBSTITUTE(SUBSTITUTE(SUBSTITUTE(SUBSTITUTE(SUBSTITUTE(SUBSTITUTE(SUBSTITUTE(SUBSTITUTE(SUBSTITUTE(SUBSTITUTE(UPPER(TRIM(A468)),"[MEMBER]",""),"{MEMBER}",""),"[MEMBER}",""),"MEMBER]",""),"(A)",""),"""",""),"“",""),"”",""),".",""),":",""),",",""),"–"," "),"-"," "),"/"," "),"&amp;"," AND "))&amp;" "," THE "," ")," TOTAL "," ")," OPERATIONS "," "))</f>
        <v>EASTERN EUROPE</v>
      </c>
      <c r="O468" s="17" t="str">
        <f aca="false">IF(COUNTIFS($N$2:$N$2000,N468,$D$2:$D$2000,"&lt;&gt;"&amp;D468)&gt;0,"CONFLICT","")</f>
        <v/>
      </c>
      <c r="P468" s="7"/>
    </row>
    <row r="469" customFormat="false" ht="15" hidden="false" customHeight="false" outlineLevel="0" collapsed="false">
      <c r="A469" s="7" t="s">
        <v>2116</v>
      </c>
      <c r="B469" s="7" t="s">
        <v>1885</v>
      </c>
      <c r="C469" s="7" t="s">
        <v>1973</v>
      </c>
      <c r="D469" s="6" t="s">
        <v>613</v>
      </c>
      <c r="E469" s="6" t="s">
        <v>1891</v>
      </c>
      <c r="F469" s="7" t="str">
        <f aca="false">IF($D469="","",IFERROR(IF(INDEX(Hierarchy!$B$2:$B$1295,MATCH($D469,Hierarchy!$A$2:$A$1295,0))="","",INDEX(Hierarchy!$B$2:$B$1295,MATCH($D469,Hierarchy!$A$2:$A$1295,0))),"NODE NOT FOUND"))</f>
        <v>Region</v>
      </c>
      <c r="G469" s="7" t="str">
        <f aca="false">IF($D469="","",IFERROR(IF(INDEX(Hierarchy!$D$2:$D$1295,MATCH($D469,Hierarchy!$A$2:$A$1295,0))="","",INDEX(Hierarchy!$D$2:$D$1295,MATCH($D469,Hierarchy!$A$2:$A$1295,0))),"NODE NOT FOUND"))</f>
        <v>EMEA</v>
      </c>
      <c r="H469" s="7" t="str">
        <f aca="false">IF($D469="","",IFERROR(IF(INDEX(Hierarchy!$E$2:$E$1295,MATCH($D469,Hierarchy!$A$2:$A$1295,0))="","",INDEX(Hierarchy!$E$2:$E$1295,MATCH($D469,Hierarchy!$A$2:$A$1295,0))),"NODE NOT FOUND"))</f>
        <v/>
      </c>
      <c r="I469" s="7" t="str">
        <f aca="false">IF($D469="","",IFERROR(IF(INDEX(Hierarchy!$F$2:$F$1295,MATCH($D469,Hierarchy!$A$2:$A$1295,0))="","",INDEX(Hierarchy!$F$2:$F$1295,MATCH($D469,Hierarchy!$A$2:$A$1295,0))),"NODE NOT FOUND"))</f>
        <v/>
      </c>
      <c r="J469" s="7" t="str">
        <f aca="false">IF($D469="","",IFERROR(IF(INDEX(Hierarchy!$G$2:$G$1295,MATCH($D469,Hierarchy!$A$2:$A$1295,0))="","",INDEX(Hierarchy!$G$2:$G$1295,MATCH($D469,Hierarchy!$A$2:$A$1295,0))),"NODE NOT FOUND"))</f>
        <v/>
      </c>
      <c r="K469" s="7" t="str">
        <f aca="false">IF($D469="","",IFERROR(IF(INDEX(Hierarchy!$H$2:$H$1295,MATCH($D469,Hierarchy!$A$2:$A$1295,0))="","",INDEX(Hierarchy!$H$2:$H$1295,MATCH($D469,Hierarchy!$A$2:$A$1295,0))),"NODE NOT FOUND"))</f>
        <v/>
      </c>
      <c r="L469" s="7" t="str">
        <f aca="false">IF($D469="","",IFERROR(IF(INDEX(Hierarchy!$I$2:$I$1295,MATCH($D469,Hierarchy!$A$2:$A$1295,0))="","",INDEX(Hierarchy!$I$2:$I$1295,MATCH($D469,Hierarchy!$A$2:$A$1295,0))),"NODE NOT FOUND"))</f>
        <v/>
      </c>
      <c r="M469" s="17" t="str">
        <f aca="false">IF(B469="Pre-seeded","Pre-seeded",IF(B469="Review 2026-09-16","Added from review",IF(C469="","New",IF(C469=D469,"","Changed"))))</f>
        <v>Changed</v>
      </c>
      <c r="N469" s="7" t="str">
        <f aca="false">TRIM(SUBSTITUTE(SUBSTITUTE(SUBSTITUTE(" "&amp;TRIM(SUBSTITUTE(SUBSTITUTE(SUBSTITUTE(SUBSTITUTE(SUBSTITUTE(SUBSTITUTE(SUBSTITUTE(SUBSTITUTE(SUBSTITUTE(SUBSTITUTE(SUBSTITUTE(SUBSTITUTE(SUBSTITUTE(SUBSTITUTE(SUBSTITUTE(UPPER(TRIM(A469)),"[MEMBER]",""),"{MEMBER}",""),"[MEMBER}",""),"MEMBER]",""),"(A)",""),"""",""),"“",""),"”",""),".",""),":",""),",",""),"–"," "),"-"," "),"/"," "),"&amp;"," AND "))&amp;" "," THE "," ")," TOTAL "," ")," OPERATIONS "," "))</f>
        <v>EASTERN EUROPE MIDDLE EAST AND AFRICA</v>
      </c>
      <c r="O469" s="17" t="str">
        <f aca="false">IF(COUNTIFS($N$2:$N$2000,N469,$D$2:$D$2000,"&lt;&gt;"&amp;D469)&gt;0,"CONFLICT","")</f>
        <v/>
      </c>
      <c r="P469" s="7" t="s">
        <v>2117</v>
      </c>
    </row>
    <row r="470" customFormat="false" ht="15" hidden="false" customHeight="false" outlineLevel="0" collapsed="false">
      <c r="A470" s="7" t="s">
        <v>2118</v>
      </c>
      <c r="B470" s="7" t="s">
        <v>1879</v>
      </c>
      <c r="C470" s="7"/>
      <c r="D470" s="6" t="s">
        <v>1800</v>
      </c>
      <c r="E470" s="6" t="s">
        <v>1880</v>
      </c>
      <c r="F470" s="7" t="str">
        <f aca="false">IF($D470="","",IFERROR(IF(INDEX(Hierarchy!$B$2:$B$1295,MATCH($D470,Hierarchy!$A$2:$A$1295,0))="","",INDEX(Hierarchy!$B$2:$B$1295,MATCH($D470,Hierarchy!$A$2:$A$1295,0))),"NODE NOT FOUND"))</f>
        <v>Multi-region</v>
      </c>
      <c r="G470" s="7" t="str">
        <f aca="false">IF($D470="","",IFERROR(IF(INDEX(Hierarchy!$D$2:$D$1295,MATCH($D470,Hierarchy!$A$2:$A$1295,0))="","",INDEX(Hierarchy!$D$2:$D$1295,MATCH($D470,Hierarchy!$A$2:$A$1295,0))),"NODE NOT FOUND"))</f>
        <v>Multi-region</v>
      </c>
      <c r="H470" s="7" t="str">
        <f aca="false">IF($D470="","",IFERROR(IF(INDEX(Hierarchy!$E$2:$E$1295,MATCH($D470,Hierarchy!$A$2:$A$1295,0))="","",INDEX(Hierarchy!$E$2:$E$1295,MATCH($D470,Hierarchy!$A$2:$A$1295,0))),"NODE NOT FOUND"))</f>
        <v/>
      </c>
      <c r="I470" s="7" t="str">
        <f aca="false">IF($D470="","",IFERROR(IF(INDEX(Hierarchy!$F$2:$F$1295,MATCH($D470,Hierarchy!$A$2:$A$1295,0))="","",INDEX(Hierarchy!$F$2:$F$1295,MATCH($D470,Hierarchy!$A$2:$A$1295,0))),"NODE NOT FOUND"))</f>
        <v/>
      </c>
      <c r="J470" s="7" t="str">
        <f aca="false">IF($D470="","",IFERROR(IF(INDEX(Hierarchy!$G$2:$G$1295,MATCH($D470,Hierarchy!$A$2:$A$1295,0))="","",INDEX(Hierarchy!$G$2:$G$1295,MATCH($D470,Hierarchy!$A$2:$A$1295,0))),"NODE NOT FOUND"))</f>
        <v/>
      </c>
      <c r="K470" s="7" t="str">
        <f aca="false">IF($D470="","",IFERROR(IF(INDEX(Hierarchy!$H$2:$H$1295,MATCH($D470,Hierarchy!$A$2:$A$1295,0))="","",INDEX(Hierarchy!$H$2:$H$1295,MATCH($D470,Hierarchy!$A$2:$A$1295,0))),"NODE NOT FOUND"))</f>
        <v/>
      </c>
      <c r="L470" s="7" t="str">
        <f aca="false">IF($D470="","",IFERROR(IF(INDEX(Hierarchy!$I$2:$I$1295,MATCH($D470,Hierarchy!$A$2:$A$1295,0))="","",INDEX(Hierarchy!$I$2:$I$1295,MATCH($D470,Hierarchy!$A$2:$A$1295,0))),"NODE NOT FOUND"))</f>
        <v/>
      </c>
      <c r="M470" s="17" t="str">
        <f aca="false">IF(B470="Pre-seeded","Pre-seeded",IF(B470="Review 2026-09-16","Added from review",IF(C470="","New",IF(C470=D470,"","Changed"))))</f>
        <v>Pre-seeded</v>
      </c>
      <c r="N470" s="7" t="str">
        <f aca="false">TRIM(SUBSTITUTE(SUBSTITUTE(SUBSTITUTE(" "&amp;TRIM(SUBSTITUTE(SUBSTITUTE(SUBSTITUTE(SUBSTITUTE(SUBSTITUTE(SUBSTITUTE(SUBSTITUTE(SUBSTITUTE(SUBSTITUTE(SUBSTITUTE(SUBSTITUTE(SUBSTITUTE(SUBSTITUTE(SUBSTITUTE(SUBSTITUTE(UPPER(TRIM(A470)),"[MEMBER]",""),"{MEMBER}",""),"[MEMBER}",""),"MEMBER]",""),"(A)",""),"""",""),"“",""),"”",""),".",""),":",""),",",""),"–"," "),"-"," "),"/"," "),"&amp;"," AND "))&amp;" "," THE "," ")," TOTAL "," ")," OPERATIONS "," "))</f>
        <v>EASTERN HEMISPHERE</v>
      </c>
      <c r="O470" s="17" t="str">
        <f aca="false">IF(COUNTIFS($N$2:$N$2000,N470,$D$2:$D$2000,"&lt;&gt;"&amp;D470)&gt;0,"CONFLICT","")</f>
        <v/>
      </c>
      <c r="P470" s="7"/>
    </row>
    <row r="471" customFormat="false" ht="15" hidden="false" customHeight="false" outlineLevel="0" collapsed="false">
      <c r="A471" s="7" t="s">
        <v>2119</v>
      </c>
      <c r="B471" s="7" t="s">
        <v>1885</v>
      </c>
      <c r="C471" s="7" t="s">
        <v>2107</v>
      </c>
      <c r="D471" s="6" t="s">
        <v>613</v>
      </c>
      <c r="E471" s="6" t="s">
        <v>1886</v>
      </c>
      <c r="F471" s="7" t="str">
        <f aca="false">IF($D471="","",IFERROR(IF(INDEX(Hierarchy!$B$2:$B$1295,MATCH($D471,Hierarchy!$A$2:$A$1295,0))="","",INDEX(Hierarchy!$B$2:$B$1295,MATCH($D471,Hierarchy!$A$2:$A$1295,0))),"NODE NOT FOUND"))</f>
        <v>Region</v>
      </c>
      <c r="G471" s="7" t="str">
        <f aca="false">IF($D471="","",IFERROR(IF(INDEX(Hierarchy!$D$2:$D$1295,MATCH($D471,Hierarchy!$A$2:$A$1295,0))="","",INDEX(Hierarchy!$D$2:$D$1295,MATCH($D471,Hierarchy!$A$2:$A$1295,0))),"NODE NOT FOUND"))</f>
        <v>EMEA</v>
      </c>
      <c r="H471" s="7" t="str">
        <f aca="false">IF($D471="","",IFERROR(IF(INDEX(Hierarchy!$E$2:$E$1295,MATCH($D471,Hierarchy!$A$2:$A$1295,0))="","",INDEX(Hierarchy!$E$2:$E$1295,MATCH($D471,Hierarchy!$A$2:$A$1295,0))),"NODE NOT FOUND"))</f>
        <v/>
      </c>
      <c r="I471" s="7" t="str">
        <f aca="false">IF($D471="","",IFERROR(IF(INDEX(Hierarchy!$F$2:$F$1295,MATCH($D471,Hierarchy!$A$2:$A$1295,0))="","",INDEX(Hierarchy!$F$2:$F$1295,MATCH($D471,Hierarchy!$A$2:$A$1295,0))),"NODE NOT FOUND"))</f>
        <v/>
      </c>
      <c r="J471" s="7" t="str">
        <f aca="false">IF($D471="","",IFERROR(IF(INDEX(Hierarchy!$G$2:$G$1295,MATCH($D471,Hierarchy!$A$2:$A$1295,0))="","",INDEX(Hierarchy!$G$2:$G$1295,MATCH($D471,Hierarchy!$A$2:$A$1295,0))),"NODE NOT FOUND"))</f>
        <v/>
      </c>
      <c r="K471" s="7" t="str">
        <f aca="false">IF($D471="","",IFERROR(IF(INDEX(Hierarchy!$H$2:$H$1295,MATCH($D471,Hierarchy!$A$2:$A$1295,0))="","",INDEX(Hierarchy!$H$2:$H$1295,MATCH($D471,Hierarchy!$A$2:$A$1295,0))),"NODE NOT FOUND"))</f>
        <v/>
      </c>
      <c r="L471" s="7" t="str">
        <f aca="false">IF($D471="","",IFERROR(IF(INDEX(Hierarchy!$I$2:$I$1295,MATCH($D471,Hierarchy!$A$2:$A$1295,0))="","",INDEX(Hierarchy!$I$2:$I$1295,MATCH($D471,Hierarchy!$A$2:$A$1295,0))),"NODE NOT FOUND"))</f>
        <v/>
      </c>
      <c r="M471" s="17" t="str">
        <f aca="false">IF(B471="Pre-seeded","Pre-seeded",IF(B471="Review 2026-09-16","Added from review",IF(C471="","New",IF(C471=D471,"","Changed"))))</f>
        <v>Changed</v>
      </c>
      <c r="N471" s="7" t="str">
        <f aca="false">TRIM(SUBSTITUTE(SUBSTITUTE(SUBSTITUTE(" "&amp;TRIM(SUBSTITUTE(SUBSTITUTE(SUBSTITUTE(SUBSTITUTE(SUBSTITUTE(SUBSTITUTE(SUBSTITUTE(SUBSTITUTE(SUBSTITUTE(SUBSTITUTE(SUBSTITUTE(SUBSTITUTE(SUBSTITUTE(SUBSTITUTE(SUBSTITUTE(UPPER(TRIM(A471)),"[MEMBER]",""),"{MEMBER}",""),"[MEMBER}",""),"MEMBER]",""),"(A)",""),"""",""),"“",""),"”",""),".",""),":",""),",",""),"–"," "),"-"," "),"/"," "),"&amp;"," AND "))&amp;" "," THE "," ")," TOTAL "," ")," OPERATIONS "," "))</f>
        <v>EASTERN MEDITERRANEAN</v>
      </c>
      <c r="O471" s="17" t="str">
        <f aca="false">IF(COUNTIFS($N$2:$N$2000,N471,$D$2:$D$2000,"&lt;&gt;"&amp;D471)&gt;0,"CONFLICT","")</f>
        <v/>
      </c>
      <c r="P471" s="7" t="s">
        <v>2120</v>
      </c>
    </row>
    <row r="472" customFormat="false" ht="15" hidden="false" customHeight="false" outlineLevel="0" collapsed="false">
      <c r="A472" s="7" t="s">
        <v>1051</v>
      </c>
      <c r="B472" s="7" t="s">
        <v>1879</v>
      </c>
      <c r="C472" s="7"/>
      <c r="D472" s="6" t="s">
        <v>1051</v>
      </c>
      <c r="E472" s="6" t="s">
        <v>1880</v>
      </c>
      <c r="F472" s="7" t="str">
        <f aca="false">IF($D472="","",IFERROR(IF(INDEX(Hierarchy!$B$2:$B$1295,MATCH($D472,Hierarchy!$A$2:$A$1295,0))="","",INDEX(Hierarchy!$B$2:$B$1295,MATCH($D472,Hierarchy!$A$2:$A$1295,0))),"NODE NOT FOUND"))</f>
        <v>State/Province</v>
      </c>
      <c r="G472" s="7" t="str">
        <f aca="false">IF($D472="","",IFERROR(IF(INDEX(Hierarchy!$D$2:$D$1295,MATCH($D472,Hierarchy!$A$2:$A$1295,0))="","",INDEX(Hierarchy!$D$2:$D$1295,MATCH($D472,Hierarchy!$A$2:$A$1295,0))),"NODE NOT FOUND"))</f>
        <v>EMEA</v>
      </c>
      <c r="H472" s="7" t="str">
        <f aca="false">IF($D472="","",IFERROR(IF(INDEX(Hierarchy!$E$2:$E$1295,MATCH($D472,Hierarchy!$A$2:$A$1295,0))="","",INDEX(Hierarchy!$E$2:$E$1295,MATCH($D472,Hierarchy!$A$2:$A$1295,0))),"NODE NOT FOUND"))</f>
        <v>Middle East</v>
      </c>
      <c r="I472" s="7" t="str">
        <f aca="false">IF($D472="","",IFERROR(IF(INDEX(Hierarchy!$F$2:$F$1295,MATCH($D472,Hierarchy!$A$2:$A$1295,0))="","",INDEX(Hierarchy!$F$2:$F$1295,MATCH($D472,Hierarchy!$A$2:$A$1295,0))),"NODE NOT FOUND"))</f>
        <v>Saudi Arabia</v>
      </c>
      <c r="J472" s="7" t="str">
        <f aca="false">IF($D472="","",IFERROR(IF(INDEX(Hierarchy!$G$2:$G$1295,MATCH($D472,Hierarchy!$A$2:$A$1295,0))="","",INDEX(Hierarchy!$G$2:$G$1295,MATCH($D472,Hierarchy!$A$2:$A$1295,0))),"NODE NOT FOUND"))</f>
        <v>SAU</v>
      </c>
      <c r="K472" s="7" t="str">
        <f aca="false">IF($D472="","",IFERROR(IF(INDEX(Hierarchy!$H$2:$H$1295,MATCH($D472,Hierarchy!$A$2:$A$1295,0))="","",INDEX(Hierarchy!$H$2:$H$1295,MATCH($D472,Hierarchy!$A$2:$A$1295,0))),"NODE NOT FOUND"))</f>
        <v>Eastern Province</v>
      </c>
      <c r="L472" s="7" t="str">
        <f aca="false">IF($D472="","",IFERROR(IF(INDEX(Hierarchy!$I$2:$I$1295,MATCH($D472,Hierarchy!$A$2:$A$1295,0))="","",INDEX(Hierarchy!$I$2:$I$1295,MATCH($D472,Hierarchy!$A$2:$A$1295,0))),"NODE NOT FOUND"))</f>
        <v/>
      </c>
      <c r="M472" s="17" t="str">
        <f aca="false">IF(B472="Pre-seeded","Pre-seeded",IF(B472="Review 2026-09-16","Added from review",IF(C472="","New",IF(C472=D472,"","Changed"))))</f>
        <v>Pre-seeded</v>
      </c>
      <c r="N472" s="7" t="str">
        <f aca="false">TRIM(SUBSTITUTE(SUBSTITUTE(SUBSTITUTE(" "&amp;TRIM(SUBSTITUTE(SUBSTITUTE(SUBSTITUTE(SUBSTITUTE(SUBSTITUTE(SUBSTITUTE(SUBSTITUTE(SUBSTITUTE(SUBSTITUTE(SUBSTITUTE(SUBSTITUTE(SUBSTITUTE(SUBSTITUTE(SUBSTITUTE(SUBSTITUTE(UPPER(TRIM(A472)),"[MEMBER]",""),"{MEMBER}",""),"[MEMBER}",""),"MEMBER]",""),"(A)",""),"""",""),"“",""),"”",""),".",""),":",""),",",""),"–"," "),"-"," "),"/"," "),"&amp;"," AND "))&amp;" "," THE "," ")," TOTAL "," ")," OPERATIONS "," "))</f>
        <v>EASTERN PROVINCE</v>
      </c>
      <c r="O472" s="17" t="str">
        <f aca="false">IF(COUNTIFS($N$2:$N$2000,N472,$D$2:$D$2000,"&lt;&gt;"&amp;D472)&gt;0,"CONFLICT","")</f>
        <v/>
      </c>
      <c r="P472" s="7"/>
    </row>
    <row r="473" customFormat="false" ht="15" hidden="false" customHeight="false" outlineLevel="0" collapsed="false">
      <c r="A473" s="7" t="s">
        <v>1410</v>
      </c>
      <c r="B473" s="7" t="s">
        <v>1879</v>
      </c>
      <c r="C473" s="7"/>
      <c r="D473" s="6" t="s">
        <v>1410</v>
      </c>
      <c r="E473" s="6" t="s">
        <v>1880</v>
      </c>
      <c r="F473" s="7" t="str">
        <f aca="false">IF($D473="","",IFERROR(IF(INDEX(Hierarchy!$B$2:$B$1295,MATCH($D473,Hierarchy!$A$2:$A$1295,0))="","",INDEX(Hierarchy!$B$2:$B$1295,MATCH($D473,Hierarchy!$A$2:$A$1295,0))),"NODE NOT FOUND"))</f>
        <v>State/Province</v>
      </c>
      <c r="G473" s="7" t="str">
        <f aca="false">IF($D473="","",IFERROR(IF(INDEX(Hierarchy!$D$2:$D$1295,MATCH($D473,Hierarchy!$A$2:$A$1295,0))="","",INDEX(Hierarchy!$D$2:$D$1295,MATCH($D473,Hierarchy!$A$2:$A$1295,0))),"NODE NOT FOUND"))</f>
        <v>APAC</v>
      </c>
      <c r="H473" s="7" t="str">
        <f aca="false">IF($D473="","",IFERROR(IF(INDEX(Hierarchy!$E$2:$E$1295,MATCH($D473,Hierarchy!$A$2:$A$1295,0))="","",INDEX(Hierarchy!$E$2:$E$1295,MATCH($D473,Hierarchy!$A$2:$A$1295,0))),"NODE NOT FOUND"))</f>
        <v>South Asia</v>
      </c>
      <c r="I473" s="7" t="str">
        <f aca="false">IF($D473="","",IFERROR(IF(INDEX(Hierarchy!$F$2:$F$1295,MATCH($D473,Hierarchy!$A$2:$A$1295,0))="","",INDEX(Hierarchy!$F$2:$F$1295,MATCH($D473,Hierarchy!$A$2:$A$1295,0))),"NODE NOT FOUND"))</f>
        <v>Sri Lanka</v>
      </c>
      <c r="J473" s="7" t="str">
        <f aca="false">IF($D473="","",IFERROR(IF(INDEX(Hierarchy!$G$2:$G$1295,MATCH($D473,Hierarchy!$A$2:$A$1295,0))="","",INDEX(Hierarchy!$G$2:$G$1295,MATCH($D473,Hierarchy!$A$2:$A$1295,0))),"NODE NOT FOUND"))</f>
        <v>LKA</v>
      </c>
      <c r="K473" s="7" t="str">
        <f aca="false">IF($D473="","",IFERROR(IF(INDEX(Hierarchy!$H$2:$H$1295,MATCH($D473,Hierarchy!$A$2:$A$1295,0))="","",INDEX(Hierarchy!$H$2:$H$1295,MATCH($D473,Hierarchy!$A$2:$A$1295,0))),"NODE NOT FOUND"))</f>
        <v>Eastern Province (Sri Lanka)</v>
      </c>
      <c r="L473" s="7" t="str">
        <f aca="false">IF($D473="","",IFERROR(IF(INDEX(Hierarchy!$I$2:$I$1295,MATCH($D473,Hierarchy!$A$2:$A$1295,0))="","",INDEX(Hierarchy!$I$2:$I$1295,MATCH($D473,Hierarchy!$A$2:$A$1295,0))),"NODE NOT FOUND"))</f>
        <v/>
      </c>
      <c r="M473" s="17" t="str">
        <f aca="false">IF(B473="Pre-seeded","Pre-seeded",IF(B473="Review 2026-09-16","Added from review",IF(C473="","New",IF(C473=D473,"","Changed"))))</f>
        <v>Pre-seeded</v>
      </c>
      <c r="N473" s="7" t="str">
        <f aca="false">TRIM(SUBSTITUTE(SUBSTITUTE(SUBSTITUTE(" "&amp;TRIM(SUBSTITUTE(SUBSTITUTE(SUBSTITUTE(SUBSTITUTE(SUBSTITUTE(SUBSTITUTE(SUBSTITUTE(SUBSTITUTE(SUBSTITUTE(SUBSTITUTE(SUBSTITUTE(SUBSTITUTE(SUBSTITUTE(SUBSTITUTE(SUBSTITUTE(UPPER(TRIM(A473)),"[MEMBER]",""),"{MEMBER}",""),"[MEMBER}",""),"MEMBER]",""),"(A)",""),"""",""),"“",""),"”",""),".",""),":",""),",",""),"–"," "),"-"," "),"/"," "),"&amp;"," AND "))&amp;" "," THE "," ")," TOTAL "," ")," OPERATIONS "," "))</f>
        <v>EASTERN PROVINCE (SRI LANKA)</v>
      </c>
      <c r="O473" s="17" t="str">
        <f aca="false">IF(COUNTIFS($N$2:$N$2000,N473,$D$2:$D$2000,"&lt;&gt;"&amp;D473)&gt;0,"CONFLICT","")</f>
        <v/>
      </c>
      <c r="P473" s="7"/>
    </row>
    <row r="474" customFormat="false" ht="15" hidden="false" customHeight="false" outlineLevel="0" collapsed="false">
      <c r="A474" s="7" t="s">
        <v>2121</v>
      </c>
      <c r="B474" s="7" t="s">
        <v>1882</v>
      </c>
      <c r="C474" s="7" t="s">
        <v>2121</v>
      </c>
      <c r="D474" s="6" t="s">
        <v>92</v>
      </c>
      <c r="E474" s="6" t="s">
        <v>1880</v>
      </c>
      <c r="F474" s="7" t="str">
        <f aca="false">IF($D474="","",IFERROR(IF(INDEX(Hierarchy!$B$2:$B$1295,MATCH($D474,Hierarchy!$A$2:$A$1295,0))="","",INDEX(Hierarchy!$B$2:$B$1295,MATCH($D474,Hierarchy!$A$2:$A$1295,0))),"NODE NOT FOUND"))</f>
        <v>Sub-national region</v>
      </c>
      <c r="G474" s="7" t="str">
        <f aca="false">IF($D474="","",IFERROR(IF(INDEX(Hierarchy!$D$2:$D$1295,MATCH($D474,Hierarchy!$A$2:$A$1295,0))="","",INDEX(Hierarchy!$D$2:$D$1295,MATCH($D474,Hierarchy!$A$2:$A$1295,0))),"NODE NOT FOUND"))</f>
        <v>AMER</v>
      </c>
      <c r="H474" s="7" t="str">
        <f aca="false">IF($D474="","",IFERROR(IF(INDEX(Hierarchy!$E$2:$E$1295,MATCH($D474,Hierarchy!$A$2:$A$1295,0))="","",INDEX(Hierarchy!$E$2:$E$1295,MATCH($D474,Hierarchy!$A$2:$A$1295,0))),"NODE NOT FOUND"))</f>
        <v>North America (NORAM)</v>
      </c>
      <c r="I474" s="7" t="str">
        <f aca="false">IF($D474="","",IFERROR(IF(INDEX(Hierarchy!$F$2:$F$1295,MATCH($D474,Hierarchy!$A$2:$A$1295,0))="","",INDEX(Hierarchy!$F$2:$F$1295,MATCH($D474,Hierarchy!$A$2:$A$1295,0))),"NODE NOT FOUND"))</f>
        <v>United States</v>
      </c>
      <c r="J474" s="7" t="str">
        <f aca="false">IF($D474="","",IFERROR(IF(INDEX(Hierarchy!$G$2:$G$1295,MATCH($D474,Hierarchy!$A$2:$A$1295,0))="","",INDEX(Hierarchy!$G$2:$G$1295,MATCH($D474,Hierarchy!$A$2:$A$1295,0))),"NODE NOT FOUND"))</f>
        <v>USA</v>
      </c>
      <c r="K474" s="7" t="str">
        <f aca="false">IF($D474="","",IFERROR(IF(INDEX(Hierarchy!$H$2:$H$1295,MATCH($D474,Hierarchy!$A$2:$A$1295,0))="","",INDEX(Hierarchy!$H$2:$H$1295,MATCH($D474,Hierarchy!$A$2:$A$1295,0))),"NODE NOT FOUND"))</f>
        <v/>
      </c>
      <c r="L474" s="7" t="str">
        <f aca="false">IF($D474="","",IFERROR(IF(INDEX(Hierarchy!$I$2:$I$1295,MATCH($D474,Hierarchy!$A$2:$A$1295,0))="","",INDEX(Hierarchy!$I$2:$I$1295,MATCH($D474,Hierarchy!$A$2:$A$1295,0))),"NODE NOT FOUND"))</f>
        <v/>
      </c>
      <c r="M474" s="17" t="str">
        <f aca="false">IF(B474="Pre-seeded","Pre-seeded",IF(B474="Review 2026-09-16","Added from review",IF(C474="","New",IF(C474=D474,"","Changed"))))</f>
        <v>Changed</v>
      </c>
      <c r="N474" s="7" t="str">
        <f aca="false">TRIM(SUBSTITUTE(SUBSTITUTE(SUBSTITUTE(" "&amp;TRIM(SUBSTITUTE(SUBSTITUTE(SUBSTITUTE(SUBSTITUTE(SUBSTITUTE(SUBSTITUTE(SUBSTITUTE(SUBSTITUTE(SUBSTITUTE(SUBSTITUTE(SUBSTITUTE(SUBSTITUTE(SUBSTITUTE(SUBSTITUTE(SUBSTITUTE(UPPER(TRIM(A474)),"[MEMBER]",""),"{MEMBER}",""),"[MEMBER}",""),"MEMBER]",""),"(A)",""),"""",""),"“",""),"”",""),".",""),":",""),",",""),"–"," "),"-"," "),"/"," "),"&amp;"," AND "))&amp;" "," THE "," ")," TOTAL "," ")," OPERATIONS "," "))</f>
        <v>EASTERN REGION</v>
      </c>
      <c r="O474" s="17" t="str">
        <f aca="false">IF(COUNTIFS($N$2:$N$2000,N474,$D$2:$D$2000,"&lt;&gt;"&amp;D474)&gt;0,"CONFLICT","")</f>
        <v/>
      </c>
      <c r="P474" s="7"/>
    </row>
    <row r="475" customFormat="false" ht="15" hidden="false" customHeight="false" outlineLevel="0" collapsed="false">
      <c r="A475" s="7" t="s">
        <v>2122</v>
      </c>
      <c r="B475" s="7" t="s">
        <v>1879</v>
      </c>
      <c r="C475" s="7"/>
      <c r="D475" s="6" t="s">
        <v>609</v>
      </c>
      <c r="E475" s="6" t="s">
        <v>1880</v>
      </c>
      <c r="F475" s="7" t="str">
        <f aca="false">IF($D475="","",IFERROR(IF(INDEX(Hierarchy!$B$2:$B$1295,MATCH($D475,Hierarchy!$A$2:$A$1295,0))="","",INDEX(Hierarchy!$B$2:$B$1295,MATCH($D475,Hierarchy!$A$2:$A$1295,0))),"NODE NOT FOUND"))</f>
        <v>Country</v>
      </c>
      <c r="G475" s="7" t="str">
        <f aca="false">IF($D475="","",IFERROR(IF(INDEX(Hierarchy!$D$2:$D$1295,MATCH($D475,Hierarchy!$A$2:$A$1295,0))="","",INDEX(Hierarchy!$D$2:$D$1295,MATCH($D475,Hierarchy!$A$2:$A$1295,0))),"NODE NOT FOUND"))</f>
        <v>AMER</v>
      </c>
      <c r="H475" s="7" t="str">
        <f aca="false">IF($D475="","",IFERROR(IF(INDEX(Hierarchy!$E$2:$E$1295,MATCH($D475,Hierarchy!$A$2:$A$1295,0))="","",INDEX(Hierarchy!$E$2:$E$1295,MATCH($D475,Hierarchy!$A$2:$A$1295,0))),"NODE NOT FOUND"))</f>
        <v>Latin America (LATAM)</v>
      </c>
      <c r="I475" s="7" t="str">
        <f aca="false">IF($D475="","",IFERROR(IF(INDEX(Hierarchy!$F$2:$F$1295,MATCH($D475,Hierarchy!$A$2:$A$1295,0))="","",INDEX(Hierarchy!$F$2:$F$1295,MATCH($D475,Hierarchy!$A$2:$A$1295,0))),"NODE NOT FOUND"))</f>
        <v>Uruguay</v>
      </c>
      <c r="J475" s="7" t="str">
        <f aca="false">IF($D475="","",IFERROR(IF(INDEX(Hierarchy!$G$2:$G$1295,MATCH($D475,Hierarchy!$A$2:$A$1295,0))="","",INDEX(Hierarchy!$G$2:$G$1295,MATCH($D475,Hierarchy!$A$2:$A$1295,0))),"NODE NOT FOUND"))</f>
        <v>URY</v>
      </c>
      <c r="K475" s="7" t="str">
        <f aca="false">IF($D475="","",IFERROR(IF(INDEX(Hierarchy!$H$2:$H$1295,MATCH($D475,Hierarchy!$A$2:$A$1295,0))="","",INDEX(Hierarchy!$H$2:$H$1295,MATCH($D475,Hierarchy!$A$2:$A$1295,0))),"NODE NOT FOUND"))</f>
        <v/>
      </c>
      <c r="L475" s="7" t="str">
        <f aca="false">IF($D475="","",IFERROR(IF(INDEX(Hierarchy!$I$2:$I$1295,MATCH($D475,Hierarchy!$A$2:$A$1295,0))="","",INDEX(Hierarchy!$I$2:$I$1295,MATCH($D475,Hierarchy!$A$2:$A$1295,0))),"NODE NOT FOUND"))</f>
        <v/>
      </c>
      <c r="M475" s="17" t="str">
        <f aca="false">IF(B475="Pre-seeded","Pre-seeded",IF(B475="Review 2026-09-16","Added from review",IF(C475="","New",IF(C475=D475,"","Changed"))))</f>
        <v>Pre-seeded</v>
      </c>
      <c r="N475" s="7" t="str">
        <f aca="false">TRIM(SUBSTITUTE(SUBSTITUTE(SUBSTITUTE(" "&amp;TRIM(SUBSTITUTE(SUBSTITUTE(SUBSTITUTE(SUBSTITUTE(SUBSTITUTE(SUBSTITUTE(SUBSTITUTE(SUBSTITUTE(SUBSTITUTE(SUBSTITUTE(SUBSTITUTE(SUBSTITUTE(SUBSTITUTE(SUBSTITUTE(SUBSTITUTE(UPPER(TRIM(A475)),"[MEMBER]",""),"{MEMBER}",""),"[MEMBER}",""),"MEMBER]",""),"(A)",""),"""",""),"“",""),"”",""),".",""),":",""),",",""),"–"," "),"-"," "),"/"," "),"&amp;"," AND "))&amp;" "," THE "," ")," TOTAL "," ")," OPERATIONS "," "))</f>
        <v>EASTERN REPUBLIC OF URUGUAY</v>
      </c>
      <c r="O475" s="17" t="str">
        <f aca="false">IF(COUNTIFS($N$2:$N$2000,N475,$D$2:$D$2000,"&lt;&gt;"&amp;D475)&gt;0,"CONFLICT","")</f>
        <v/>
      </c>
      <c r="P475" s="7" t="s">
        <v>1936</v>
      </c>
    </row>
    <row r="476" customFormat="false" ht="15" hidden="false" customHeight="false" outlineLevel="0" collapsed="false">
      <c r="A476" s="7" t="s">
        <v>1672</v>
      </c>
      <c r="B476" s="7" t="s">
        <v>1879</v>
      </c>
      <c r="C476" s="7"/>
      <c r="D476" s="6" t="s">
        <v>1672</v>
      </c>
      <c r="E476" s="6" t="s">
        <v>1880</v>
      </c>
      <c r="F476" s="7" t="str">
        <f aca="false">IF($D476="","",IFERROR(IF(INDEX(Hierarchy!$B$2:$B$1295,MATCH($D476,Hierarchy!$A$2:$A$1295,0))="","",INDEX(Hierarchy!$B$2:$B$1295,MATCH($D476,Hierarchy!$A$2:$A$1295,0))),"NODE NOT FOUND"))</f>
        <v>State/Province</v>
      </c>
      <c r="G476" s="7" t="str">
        <f aca="false">IF($D476="","",IFERROR(IF(INDEX(Hierarchy!$D$2:$D$1295,MATCH($D476,Hierarchy!$A$2:$A$1295,0))="","",INDEX(Hierarchy!$D$2:$D$1295,MATCH($D476,Hierarchy!$A$2:$A$1295,0))),"NODE NOT FOUND"))</f>
        <v>APAC</v>
      </c>
      <c r="H476" s="7" t="str">
        <f aca="false">IF($D476="","",IFERROR(IF(INDEX(Hierarchy!$E$2:$E$1295,MATCH($D476,Hierarchy!$A$2:$A$1295,0))="","",INDEX(Hierarchy!$E$2:$E$1295,MATCH($D476,Hierarchy!$A$2:$A$1295,0))),"NODE NOT FOUND"))</f>
        <v>Southeast Asia (ASEAN)</v>
      </c>
      <c r="I476" s="7" t="str">
        <f aca="false">IF($D476="","",IFERROR(IF(INDEX(Hierarchy!$F$2:$F$1295,MATCH($D476,Hierarchy!$A$2:$A$1295,0))="","",INDEX(Hierarchy!$F$2:$F$1295,MATCH($D476,Hierarchy!$A$2:$A$1295,0))),"NODE NOT FOUND"))</f>
        <v>Philippines</v>
      </c>
      <c r="J476" s="7" t="str">
        <f aca="false">IF($D476="","",IFERROR(IF(INDEX(Hierarchy!$G$2:$G$1295,MATCH($D476,Hierarchy!$A$2:$A$1295,0))="","",INDEX(Hierarchy!$G$2:$G$1295,MATCH($D476,Hierarchy!$A$2:$A$1295,0))),"NODE NOT FOUND"))</f>
        <v>PHL</v>
      </c>
      <c r="K476" s="7" t="str">
        <f aca="false">IF($D476="","",IFERROR(IF(INDEX(Hierarchy!$H$2:$H$1295,MATCH($D476,Hierarchy!$A$2:$A$1295,0))="","",INDEX(Hierarchy!$H$2:$H$1295,MATCH($D476,Hierarchy!$A$2:$A$1295,0))),"NODE NOT FOUND"))</f>
        <v>Eastern Visayas</v>
      </c>
      <c r="L476" s="7" t="str">
        <f aca="false">IF($D476="","",IFERROR(IF(INDEX(Hierarchy!$I$2:$I$1295,MATCH($D476,Hierarchy!$A$2:$A$1295,0))="","",INDEX(Hierarchy!$I$2:$I$1295,MATCH($D476,Hierarchy!$A$2:$A$1295,0))),"NODE NOT FOUND"))</f>
        <v/>
      </c>
      <c r="M476" s="17" t="str">
        <f aca="false">IF(B476="Pre-seeded","Pre-seeded",IF(B476="Review 2026-09-16","Added from review",IF(C476="","New",IF(C476=D476,"","Changed"))))</f>
        <v>Pre-seeded</v>
      </c>
      <c r="N476" s="7" t="str">
        <f aca="false">TRIM(SUBSTITUTE(SUBSTITUTE(SUBSTITUTE(" "&amp;TRIM(SUBSTITUTE(SUBSTITUTE(SUBSTITUTE(SUBSTITUTE(SUBSTITUTE(SUBSTITUTE(SUBSTITUTE(SUBSTITUTE(SUBSTITUTE(SUBSTITUTE(SUBSTITUTE(SUBSTITUTE(SUBSTITUTE(SUBSTITUTE(SUBSTITUTE(UPPER(TRIM(A476)),"[MEMBER]",""),"{MEMBER}",""),"[MEMBER}",""),"MEMBER]",""),"(A)",""),"""",""),"“",""),"”",""),".",""),":",""),",",""),"–"," "),"-"," "),"/"," "),"&amp;"," AND "))&amp;" "," THE "," ")," TOTAL "," ")," OPERATIONS "," "))</f>
        <v>EASTERN VISAYAS</v>
      </c>
      <c r="O476" s="17" t="str">
        <f aca="false">IF(COUNTIFS($N$2:$N$2000,N476,$D$2:$D$2000,"&lt;&gt;"&amp;D476)&gt;0,"CONFLICT","")</f>
        <v/>
      </c>
      <c r="P476" s="7"/>
    </row>
    <row r="477" customFormat="false" ht="15" hidden="false" customHeight="false" outlineLevel="0" collapsed="false">
      <c r="A477" s="7" t="s">
        <v>1142</v>
      </c>
      <c r="B477" s="7" t="s">
        <v>1879</v>
      </c>
      <c r="C477" s="7"/>
      <c r="D477" s="6" t="s">
        <v>1142</v>
      </c>
      <c r="E477" s="6" t="s">
        <v>1880</v>
      </c>
      <c r="F477" s="7" t="str">
        <f aca="false">IF($D477="","",IFERROR(IF(INDEX(Hierarchy!$B$2:$B$1295,MATCH($D477,Hierarchy!$A$2:$A$1295,0))="","",INDEX(Hierarchy!$B$2:$B$1295,MATCH($D477,Hierarchy!$A$2:$A$1295,0))),"NODE NOT FOUND"))</f>
        <v>State/Province</v>
      </c>
      <c r="G477" s="7" t="str">
        <f aca="false">IF($D477="","",IFERROR(IF(INDEX(Hierarchy!$D$2:$D$1295,MATCH($D477,Hierarchy!$A$2:$A$1295,0))="","",INDEX(Hierarchy!$D$2:$D$1295,MATCH($D477,Hierarchy!$A$2:$A$1295,0))),"NODE NOT FOUND"))</f>
        <v>EMEA</v>
      </c>
      <c r="H477" s="7" t="str">
        <f aca="false">IF($D477="","",IFERROR(IF(INDEX(Hierarchy!$E$2:$E$1295,MATCH($D477,Hierarchy!$A$2:$A$1295,0))="","",INDEX(Hierarchy!$E$2:$E$1295,MATCH($D477,Hierarchy!$A$2:$A$1295,0))),"NODE NOT FOUND"))</f>
        <v>Africa</v>
      </c>
      <c r="I477" s="7" t="str">
        <f aca="false">IF($D477="","",IFERROR(IF(INDEX(Hierarchy!$F$2:$F$1295,MATCH($D477,Hierarchy!$A$2:$A$1295,0))="","",INDEX(Hierarchy!$F$2:$F$1295,MATCH($D477,Hierarchy!$A$2:$A$1295,0))),"NODE NOT FOUND"))</f>
        <v>Nigeria</v>
      </c>
      <c r="J477" s="7" t="str">
        <f aca="false">IF($D477="","",IFERROR(IF(INDEX(Hierarchy!$G$2:$G$1295,MATCH($D477,Hierarchy!$A$2:$A$1295,0))="","",INDEX(Hierarchy!$G$2:$G$1295,MATCH($D477,Hierarchy!$A$2:$A$1295,0))),"NODE NOT FOUND"))</f>
        <v>NGA</v>
      </c>
      <c r="K477" s="7" t="str">
        <f aca="false">IF($D477="","",IFERROR(IF(INDEX(Hierarchy!$H$2:$H$1295,MATCH($D477,Hierarchy!$A$2:$A$1295,0))="","",INDEX(Hierarchy!$H$2:$H$1295,MATCH($D477,Hierarchy!$A$2:$A$1295,0))),"NODE NOT FOUND"))</f>
        <v>Ebonyi</v>
      </c>
      <c r="L477" s="7" t="str">
        <f aca="false">IF($D477="","",IFERROR(IF(INDEX(Hierarchy!$I$2:$I$1295,MATCH($D477,Hierarchy!$A$2:$A$1295,0))="","",INDEX(Hierarchy!$I$2:$I$1295,MATCH($D477,Hierarchy!$A$2:$A$1295,0))),"NODE NOT FOUND"))</f>
        <v/>
      </c>
      <c r="M477" s="17" t="str">
        <f aca="false">IF(B477="Pre-seeded","Pre-seeded",IF(B477="Review 2026-09-16","Added from review",IF(C477="","New",IF(C477=D477,"","Changed"))))</f>
        <v>Pre-seeded</v>
      </c>
      <c r="N477" s="7" t="str">
        <f aca="false">TRIM(SUBSTITUTE(SUBSTITUTE(SUBSTITUTE(" "&amp;TRIM(SUBSTITUTE(SUBSTITUTE(SUBSTITUTE(SUBSTITUTE(SUBSTITUTE(SUBSTITUTE(SUBSTITUTE(SUBSTITUTE(SUBSTITUTE(SUBSTITUTE(SUBSTITUTE(SUBSTITUTE(SUBSTITUTE(SUBSTITUTE(SUBSTITUTE(UPPER(TRIM(A477)),"[MEMBER]",""),"{MEMBER}",""),"[MEMBER}",""),"MEMBER]",""),"(A)",""),"""",""),"“",""),"”",""),".",""),":",""),",",""),"–"," "),"-"," "),"/"," "),"&amp;"," AND "))&amp;" "," THE "," ")," TOTAL "," ")," OPERATIONS "," "))</f>
        <v>EBONYI</v>
      </c>
      <c r="O477" s="17" t="str">
        <f aca="false">IF(COUNTIFS($N$2:$N$2000,N477,$D$2:$D$2000,"&lt;&gt;"&amp;D477)&gt;0,"CONFLICT","")</f>
        <v/>
      </c>
      <c r="P477" s="7"/>
    </row>
    <row r="478" customFormat="false" ht="15" hidden="false" customHeight="false" outlineLevel="0" collapsed="false">
      <c r="A478" s="7" t="s">
        <v>2123</v>
      </c>
      <c r="B478" s="7" t="s">
        <v>1879</v>
      </c>
      <c r="C478" s="7"/>
      <c r="D478" s="6" t="s">
        <v>1826</v>
      </c>
      <c r="E478" s="6" t="s">
        <v>1880</v>
      </c>
      <c r="F478" s="7" t="str">
        <f aca="false">IF($D478="","",IFERROR(IF(INDEX(Hierarchy!$B$2:$B$1295,MATCH($D478,Hierarchy!$A$2:$A$1295,0))="","",INDEX(Hierarchy!$B$2:$B$1295,MATCH($D478,Hierarchy!$A$2:$A$1295,0))),"NODE NOT FOUND"))</f>
        <v>Reference grouping</v>
      </c>
      <c r="G478" s="7" t="str">
        <f aca="false">IF($D478="","",IFERROR(IF(INDEX(Hierarchy!$D$2:$D$1295,MATCH($D478,Hierarchy!$A$2:$A$1295,0))="","",INDEX(Hierarchy!$D$2:$D$1295,MATCH($D478,Hierarchy!$A$2:$A$1295,0))),"NODE NOT FOUND"))</f>
        <v>Reference (UN / World Bank)</v>
      </c>
      <c r="H478" s="7" t="str">
        <f aca="false">IF($D478="","",IFERROR(IF(INDEX(Hierarchy!$E$2:$E$1295,MATCH($D478,Hierarchy!$A$2:$A$1295,0))="","",INDEX(Hierarchy!$E$2:$E$1295,MATCH($D478,Hierarchy!$A$2:$A$1295,0))),"NODE NOT FOUND"))</f>
        <v/>
      </c>
      <c r="I478" s="7" t="str">
        <f aca="false">IF($D478="","",IFERROR(IF(INDEX(Hierarchy!$F$2:$F$1295,MATCH($D478,Hierarchy!$A$2:$A$1295,0))="","",INDEX(Hierarchy!$F$2:$F$1295,MATCH($D478,Hierarchy!$A$2:$A$1295,0))),"NODE NOT FOUND"))</f>
        <v/>
      </c>
      <c r="J478" s="7" t="str">
        <f aca="false">IF($D478="","",IFERROR(IF(INDEX(Hierarchy!$G$2:$G$1295,MATCH($D478,Hierarchy!$A$2:$A$1295,0))="","",INDEX(Hierarchy!$G$2:$G$1295,MATCH($D478,Hierarchy!$A$2:$A$1295,0))),"NODE NOT FOUND"))</f>
        <v/>
      </c>
      <c r="K478" s="7" t="str">
        <f aca="false">IF($D478="","",IFERROR(IF(INDEX(Hierarchy!$H$2:$H$1295,MATCH($D478,Hierarchy!$A$2:$A$1295,0))="","",INDEX(Hierarchy!$H$2:$H$1295,MATCH($D478,Hierarchy!$A$2:$A$1295,0))),"NODE NOT FOUND"))</f>
        <v/>
      </c>
      <c r="L478" s="7" t="str">
        <f aca="false">IF($D478="","",IFERROR(IF(INDEX(Hierarchy!$I$2:$I$1295,MATCH($D478,Hierarchy!$A$2:$A$1295,0))="","",INDEX(Hierarchy!$I$2:$I$1295,MATCH($D478,Hierarchy!$A$2:$A$1295,0))),"NODE NOT FOUND"))</f>
        <v/>
      </c>
      <c r="M478" s="17" t="str">
        <f aca="false">IF(B478="Pre-seeded","Pre-seeded",IF(B478="Review 2026-09-16","Added from review",IF(C478="","New",IF(C478=D478,"","Changed"))))</f>
        <v>Pre-seeded</v>
      </c>
      <c r="N478" s="7" t="str">
        <f aca="false">TRIM(SUBSTITUTE(SUBSTITUTE(SUBSTITUTE(" "&amp;TRIM(SUBSTITUTE(SUBSTITUTE(SUBSTITUTE(SUBSTITUTE(SUBSTITUTE(SUBSTITUTE(SUBSTITUTE(SUBSTITUTE(SUBSTITUTE(SUBSTITUTE(SUBSTITUTE(SUBSTITUTE(SUBSTITUTE(SUBSTITUTE(SUBSTITUTE(UPPER(TRIM(A478)),"[MEMBER]",""),"{MEMBER}",""),"[MEMBER}",""),"MEMBER]",""),"(A)",""),"""",""),"“",""),"”",""),".",""),":",""),",",""),"–"," "),"-"," "),"/"," "),"&amp;"," AND "))&amp;" "," THE "," ")," TOTAL "," ")," OPERATIONS "," "))</f>
        <v>ECA</v>
      </c>
      <c r="O478" s="17" t="str">
        <f aca="false">IF(COUNTIFS($N$2:$N$2000,N478,$D$2:$D$2000,"&lt;&gt;"&amp;D478)&gt;0,"CONFLICT","")</f>
        <v/>
      </c>
      <c r="P478" s="7"/>
    </row>
    <row r="479" customFormat="false" ht="15" hidden="false" customHeight="false" outlineLevel="0" collapsed="false">
      <c r="A479" s="7" t="s">
        <v>549</v>
      </c>
      <c r="B479" s="7" t="s">
        <v>1882</v>
      </c>
      <c r="C479" s="7" t="s">
        <v>549</v>
      </c>
      <c r="D479" s="6" t="s">
        <v>549</v>
      </c>
      <c r="E479" s="6" t="s">
        <v>1880</v>
      </c>
      <c r="F479" s="7" t="str">
        <f aca="false">IF($D479="","",IFERROR(IF(INDEX(Hierarchy!$B$2:$B$1295,MATCH($D479,Hierarchy!$A$2:$A$1295,0))="","",INDEX(Hierarchy!$B$2:$B$1295,MATCH($D479,Hierarchy!$A$2:$A$1295,0))),"NODE NOT FOUND"))</f>
        <v>Country</v>
      </c>
      <c r="G479" s="7" t="str">
        <f aca="false">IF($D479="","",IFERROR(IF(INDEX(Hierarchy!$D$2:$D$1295,MATCH($D479,Hierarchy!$A$2:$A$1295,0))="","",INDEX(Hierarchy!$D$2:$D$1295,MATCH($D479,Hierarchy!$A$2:$A$1295,0))),"NODE NOT FOUND"))</f>
        <v>AMER</v>
      </c>
      <c r="H479" s="7" t="str">
        <f aca="false">IF($D479="","",IFERROR(IF(INDEX(Hierarchy!$E$2:$E$1295,MATCH($D479,Hierarchy!$A$2:$A$1295,0))="","",INDEX(Hierarchy!$E$2:$E$1295,MATCH($D479,Hierarchy!$A$2:$A$1295,0))),"NODE NOT FOUND"))</f>
        <v>Latin America (LATAM)</v>
      </c>
      <c r="I479" s="7" t="str">
        <f aca="false">IF($D479="","",IFERROR(IF(INDEX(Hierarchy!$F$2:$F$1295,MATCH($D479,Hierarchy!$A$2:$A$1295,0))="","",INDEX(Hierarchy!$F$2:$F$1295,MATCH($D479,Hierarchy!$A$2:$A$1295,0))),"NODE NOT FOUND"))</f>
        <v>Ecuador</v>
      </c>
      <c r="J479" s="7" t="str">
        <f aca="false">IF($D479="","",IFERROR(IF(INDEX(Hierarchy!$G$2:$G$1295,MATCH($D479,Hierarchy!$A$2:$A$1295,0))="","",INDEX(Hierarchy!$G$2:$G$1295,MATCH($D479,Hierarchy!$A$2:$A$1295,0))),"NODE NOT FOUND"))</f>
        <v>ECU</v>
      </c>
      <c r="K479" s="7" t="str">
        <f aca="false">IF($D479="","",IFERROR(IF(INDEX(Hierarchy!$H$2:$H$1295,MATCH($D479,Hierarchy!$A$2:$A$1295,0))="","",INDEX(Hierarchy!$H$2:$H$1295,MATCH($D479,Hierarchy!$A$2:$A$1295,0))),"NODE NOT FOUND"))</f>
        <v/>
      </c>
      <c r="L479" s="7" t="str">
        <f aca="false">IF($D479="","",IFERROR(IF(INDEX(Hierarchy!$I$2:$I$1295,MATCH($D479,Hierarchy!$A$2:$A$1295,0))="","",INDEX(Hierarchy!$I$2:$I$1295,MATCH($D479,Hierarchy!$A$2:$A$1295,0))),"NODE NOT FOUND"))</f>
        <v/>
      </c>
      <c r="M479" s="17" t="str">
        <f aca="false">IF(B479="Pre-seeded","Pre-seeded",IF(B479="Review 2026-09-16","Added from review",IF(C479="","New",IF(C479=D479,"","Changed"))))</f>
        <v/>
      </c>
      <c r="N479" s="7" t="str">
        <f aca="false">TRIM(SUBSTITUTE(SUBSTITUTE(SUBSTITUTE(" "&amp;TRIM(SUBSTITUTE(SUBSTITUTE(SUBSTITUTE(SUBSTITUTE(SUBSTITUTE(SUBSTITUTE(SUBSTITUTE(SUBSTITUTE(SUBSTITUTE(SUBSTITUTE(SUBSTITUTE(SUBSTITUTE(SUBSTITUTE(SUBSTITUTE(SUBSTITUTE(UPPER(TRIM(A479)),"[MEMBER]",""),"{MEMBER}",""),"[MEMBER}",""),"MEMBER]",""),"(A)",""),"""",""),"“",""),"”",""),".",""),":",""),",",""),"–"," "),"-"," "),"/"," "),"&amp;"," AND "))&amp;" "," THE "," ")," TOTAL "," ")," OPERATIONS "," "))</f>
        <v>ECUADOR</v>
      </c>
      <c r="O479" s="17" t="str">
        <f aca="false">IF(COUNTIFS($N$2:$N$2000,N479,$D$2:$D$2000,"&lt;&gt;"&amp;D479)&gt;0,"CONFLICT","")</f>
        <v/>
      </c>
      <c r="P479" s="7"/>
    </row>
    <row r="480" customFormat="false" ht="15" hidden="false" customHeight="false" outlineLevel="0" collapsed="false">
      <c r="A480" s="7" t="s">
        <v>1143</v>
      </c>
      <c r="B480" s="7" t="s">
        <v>1879</v>
      </c>
      <c r="C480" s="7"/>
      <c r="D480" s="6" t="s">
        <v>1143</v>
      </c>
      <c r="E480" s="6" t="s">
        <v>1880</v>
      </c>
      <c r="F480" s="7" t="str">
        <f aca="false">IF($D480="","",IFERROR(IF(INDEX(Hierarchy!$B$2:$B$1295,MATCH($D480,Hierarchy!$A$2:$A$1295,0))="","",INDEX(Hierarchy!$B$2:$B$1295,MATCH($D480,Hierarchy!$A$2:$A$1295,0))),"NODE NOT FOUND"))</f>
        <v>State/Province</v>
      </c>
      <c r="G480" s="7" t="str">
        <f aca="false">IF($D480="","",IFERROR(IF(INDEX(Hierarchy!$D$2:$D$1295,MATCH($D480,Hierarchy!$A$2:$A$1295,0))="","",INDEX(Hierarchy!$D$2:$D$1295,MATCH($D480,Hierarchy!$A$2:$A$1295,0))),"NODE NOT FOUND"))</f>
        <v>EMEA</v>
      </c>
      <c r="H480" s="7" t="str">
        <f aca="false">IF($D480="","",IFERROR(IF(INDEX(Hierarchy!$E$2:$E$1295,MATCH($D480,Hierarchy!$A$2:$A$1295,0))="","",INDEX(Hierarchy!$E$2:$E$1295,MATCH($D480,Hierarchy!$A$2:$A$1295,0))),"NODE NOT FOUND"))</f>
        <v>Africa</v>
      </c>
      <c r="I480" s="7" t="str">
        <f aca="false">IF($D480="","",IFERROR(IF(INDEX(Hierarchy!$F$2:$F$1295,MATCH($D480,Hierarchy!$A$2:$A$1295,0))="","",INDEX(Hierarchy!$F$2:$F$1295,MATCH($D480,Hierarchy!$A$2:$A$1295,0))),"NODE NOT FOUND"))</f>
        <v>Nigeria</v>
      </c>
      <c r="J480" s="7" t="str">
        <f aca="false">IF($D480="","",IFERROR(IF(INDEX(Hierarchy!$G$2:$G$1295,MATCH($D480,Hierarchy!$A$2:$A$1295,0))="","",INDEX(Hierarchy!$G$2:$G$1295,MATCH($D480,Hierarchy!$A$2:$A$1295,0))),"NODE NOT FOUND"))</f>
        <v>NGA</v>
      </c>
      <c r="K480" s="7" t="str">
        <f aca="false">IF($D480="","",IFERROR(IF(INDEX(Hierarchy!$H$2:$H$1295,MATCH($D480,Hierarchy!$A$2:$A$1295,0))="","",INDEX(Hierarchy!$H$2:$H$1295,MATCH($D480,Hierarchy!$A$2:$A$1295,0))),"NODE NOT FOUND"))</f>
        <v>Edo</v>
      </c>
      <c r="L480" s="7" t="str">
        <f aca="false">IF($D480="","",IFERROR(IF(INDEX(Hierarchy!$I$2:$I$1295,MATCH($D480,Hierarchy!$A$2:$A$1295,0))="","",INDEX(Hierarchy!$I$2:$I$1295,MATCH($D480,Hierarchy!$A$2:$A$1295,0))),"NODE NOT FOUND"))</f>
        <v/>
      </c>
      <c r="M480" s="17" t="str">
        <f aca="false">IF(B480="Pre-seeded","Pre-seeded",IF(B480="Review 2026-09-16","Added from review",IF(C480="","New",IF(C480=D480,"","Changed"))))</f>
        <v>Pre-seeded</v>
      </c>
      <c r="N480" s="7" t="str">
        <f aca="false">TRIM(SUBSTITUTE(SUBSTITUTE(SUBSTITUTE(" "&amp;TRIM(SUBSTITUTE(SUBSTITUTE(SUBSTITUTE(SUBSTITUTE(SUBSTITUTE(SUBSTITUTE(SUBSTITUTE(SUBSTITUTE(SUBSTITUTE(SUBSTITUTE(SUBSTITUTE(SUBSTITUTE(SUBSTITUTE(SUBSTITUTE(SUBSTITUTE(UPPER(TRIM(A480)),"[MEMBER]",""),"{MEMBER}",""),"[MEMBER}",""),"MEMBER]",""),"(A)",""),"""",""),"“",""),"”",""),".",""),":",""),",",""),"–"," "),"-"," "),"/"," "),"&amp;"," AND "))&amp;" "," THE "," ")," TOTAL "," ")," OPERATIONS "," "))</f>
        <v>EDO</v>
      </c>
      <c r="O480" s="17" t="str">
        <f aca="false">IF(COUNTIFS($N$2:$N$2000,N480,$D$2:$D$2000,"&lt;&gt;"&amp;D480)&gt;0,"CONFLICT","")</f>
        <v/>
      </c>
      <c r="P480" s="7"/>
    </row>
    <row r="481" customFormat="false" ht="15" hidden="false" customHeight="false" outlineLevel="0" collapsed="false">
      <c r="A481" s="7" t="s">
        <v>2124</v>
      </c>
      <c r="B481" s="7" t="s">
        <v>1879</v>
      </c>
      <c r="C481" s="7"/>
      <c r="D481" s="6" t="s">
        <v>616</v>
      </c>
      <c r="E481" s="6" t="s">
        <v>1880</v>
      </c>
      <c r="F481" s="7" t="str">
        <f aca="false">IF($D481="","",IFERROR(IF(INDEX(Hierarchy!$B$2:$B$1295,MATCH($D481,Hierarchy!$A$2:$A$1295,0))="","",INDEX(Hierarchy!$B$2:$B$1295,MATCH($D481,Hierarchy!$A$2:$A$1295,0))),"NODE NOT FOUND"))</f>
        <v>Sub-region group</v>
      </c>
      <c r="G481" s="7" t="str">
        <f aca="false">IF($D481="","",IFERROR(IF(INDEX(Hierarchy!$D$2:$D$1295,MATCH($D481,Hierarchy!$A$2:$A$1295,0))="","",INDEX(Hierarchy!$D$2:$D$1295,MATCH($D481,Hierarchy!$A$2:$A$1295,0))),"NODE NOT FOUND"))</f>
        <v>EMEA</v>
      </c>
      <c r="H481" s="7" t="str">
        <f aca="false">IF($D481="","",IFERROR(IF(INDEX(Hierarchy!$E$2:$E$1295,MATCH($D481,Hierarchy!$A$2:$A$1295,0))="","",INDEX(Hierarchy!$E$2:$E$1295,MATCH($D481,Hierarchy!$A$2:$A$1295,0))),"NODE NOT FOUND"))</f>
        <v/>
      </c>
      <c r="I481" s="7" t="str">
        <f aca="false">IF($D481="","",IFERROR(IF(INDEX(Hierarchy!$F$2:$F$1295,MATCH($D481,Hierarchy!$A$2:$A$1295,0))="","",INDEX(Hierarchy!$F$2:$F$1295,MATCH($D481,Hierarchy!$A$2:$A$1295,0))),"NODE NOT FOUND"))</f>
        <v/>
      </c>
      <c r="J481" s="7" t="str">
        <f aca="false">IF($D481="","",IFERROR(IF(INDEX(Hierarchy!$G$2:$G$1295,MATCH($D481,Hierarchy!$A$2:$A$1295,0))="","",INDEX(Hierarchy!$G$2:$G$1295,MATCH($D481,Hierarchy!$A$2:$A$1295,0))),"NODE NOT FOUND"))</f>
        <v/>
      </c>
      <c r="K481" s="7" t="str">
        <f aca="false">IF($D481="","",IFERROR(IF(INDEX(Hierarchy!$H$2:$H$1295,MATCH($D481,Hierarchy!$A$2:$A$1295,0))="","",INDEX(Hierarchy!$H$2:$H$1295,MATCH($D481,Hierarchy!$A$2:$A$1295,0))),"NODE NOT FOUND"))</f>
        <v/>
      </c>
      <c r="L481" s="7" t="str">
        <f aca="false">IF($D481="","",IFERROR(IF(INDEX(Hierarchy!$I$2:$I$1295,MATCH($D481,Hierarchy!$A$2:$A$1295,0))="","",INDEX(Hierarchy!$I$2:$I$1295,MATCH($D481,Hierarchy!$A$2:$A$1295,0))),"NODE NOT FOUND"))</f>
        <v/>
      </c>
      <c r="M481" s="17" t="str">
        <f aca="false">IF(B481="Pre-seeded","Pre-seeded",IF(B481="Review 2026-09-16","Added from review",IF(C481="","New",IF(C481=D481,"","Changed"))))</f>
        <v>Pre-seeded</v>
      </c>
      <c r="N481" s="7" t="str">
        <f aca="false">TRIM(SUBSTITUTE(SUBSTITUTE(SUBSTITUTE(" "&amp;TRIM(SUBSTITUTE(SUBSTITUTE(SUBSTITUTE(SUBSTITUTE(SUBSTITUTE(SUBSTITUTE(SUBSTITUTE(SUBSTITUTE(SUBSTITUTE(SUBSTITUTE(SUBSTITUTE(SUBSTITUTE(SUBSTITUTE(SUBSTITUTE(SUBSTITUTE(UPPER(TRIM(A481)),"[MEMBER]",""),"{MEMBER}",""),"[MEMBER}",""),"MEMBER]",""),"(A)",""),"""",""),"“",""),"”",""),".",""),":",""),",",""),"–"," "),"-"," "),"/"," "),"&amp;"," AND "))&amp;" "," THE "," ")," TOTAL "," ")," OPERATIONS "," "))</f>
        <v>EEMEA</v>
      </c>
      <c r="O481" s="17" t="str">
        <f aca="false">IF(COUNTIFS($N$2:$N$2000,N481,$D$2:$D$2000,"&lt;&gt;"&amp;D481)&gt;0,"CONFLICT","")</f>
        <v/>
      </c>
      <c r="P481" s="7"/>
    </row>
    <row r="482" customFormat="false" ht="15" hidden="false" customHeight="false" outlineLevel="0" collapsed="false">
      <c r="A482" s="7" t="s">
        <v>1212</v>
      </c>
      <c r="B482" s="7" t="s">
        <v>1882</v>
      </c>
      <c r="C482" s="7" t="s">
        <v>1212</v>
      </c>
      <c r="D482" s="6" t="s">
        <v>1212</v>
      </c>
      <c r="E482" s="6" t="s">
        <v>1880</v>
      </c>
      <c r="F482" s="7" t="str">
        <f aca="false">IF($D482="","",IFERROR(IF(INDEX(Hierarchy!$B$2:$B$1295,MATCH($D482,Hierarchy!$A$2:$A$1295,0))="","",INDEX(Hierarchy!$B$2:$B$1295,MATCH($D482,Hierarchy!$A$2:$A$1295,0))),"NODE NOT FOUND"))</f>
        <v>Country</v>
      </c>
      <c r="G482" s="7" t="str">
        <f aca="false">IF($D482="","",IFERROR(IF(INDEX(Hierarchy!$D$2:$D$1295,MATCH($D482,Hierarchy!$A$2:$A$1295,0))="","",INDEX(Hierarchy!$D$2:$D$1295,MATCH($D482,Hierarchy!$A$2:$A$1295,0))),"NODE NOT FOUND"))</f>
        <v>EMEA</v>
      </c>
      <c r="H482" s="7" t="str">
        <f aca="false">IF($D482="","",IFERROR(IF(INDEX(Hierarchy!$E$2:$E$1295,MATCH($D482,Hierarchy!$A$2:$A$1295,0))="","",INDEX(Hierarchy!$E$2:$E$1295,MATCH($D482,Hierarchy!$A$2:$A$1295,0))),"NODE NOT FOUND"))</f>
        <v>Africa</v>
      </c>
      <c r="I482" s="7" t="str">
        <f aca="false">IF($D482="","",IFERROR(IF(INDEX(Hierarchy!$F$2:$F$1295,MATCH($D482,Hierarchy!$A$2:$A$1295,0))="","",INDEX(Hierarchy!$F$2:$F$1295,MATCH($D482,Hierarchy!$A$2:$A$1295,0))),"NODE NOT FOUND"))</f>
        <v>Egypt</v>
      </c>
      <c r="J482" s="7" t="str">
        <f aca="false">IF($D482="","",IFERROR(IF(INDEX(Hierarchy!$G$2:$G$1295,MATCH($D482,Hierarchy!$A$2:$A$1295,0))="","",INDEX(Hierarchy!$G$2:$G$1295,MATCH($D482,Hierarchy!$A$2:$A$1295,0))),"NODE NOT FOUND"))</f>
        <v>EGY</v>
      </c>
      <c r="K482" s="7" t="str">
        <f aca="false">IF($D482="","",IFERROR(IF(INDEX(Hierarchy!$H$2:$H$1295,MATCH($D482,Hierarchy!$A$2:$A$1295,0))="","",INDEX(Hierarchy!$H$2:$H$1295,MATCH($D482,Hierarchy!$A$2:$A$1295,0))),"NODE NOT FOUND"))</f>
        <v/>
      </c>
      <c r="L482" s="7" t="str">
        <f aca="false">IF($D482="","",IFERROR(IF(INDEX(Hierarchy!$I$2:$I$1295,MATCH($D482,Hierarchy!$A$2:$A$1295,0))="","",INDEX(Hierarchy!$I$2:$I$1295,MATCH($D482,Hierarchy!$A$2:$A$1295,0))),"NODE NOT FOUND"))</f>
        <v/>
      </c>
      <c r="M482" s="17" t="str">
        <f aca="false">IF(B482="Pre-seeded","Pre-seeded",IF(B482="Review 2026-09-16","Added from review",IF(C482="","New",IF(C482=D482,"","Changed"))))</f>
        <v/>
      </c>
      <c r="N482" s="7" t="str">
        <f aca="false">TRIM(SUBSTITUTE(SUBSTITUTE(SUBSTITUTE(" "&amp;TRIM(SUBSTITUTE(SUBSTITUTE(SUBSTITUTE(SUBSTITUTE(SUBSTITUTE(SUBSTITUTE(SUBSTITUTE(SUBSTITUTE(SUBSTITUTE(SUBSTITUTE(SUBSTITUTE(SUBSTITUTE(SUBSTITUTE(SUBSTITUTE(SUBSTITUTE(UPPER(TRIM(A482)),"[MEMBER]",""),"{MEMBER}",""),"[MEMBER}",""),"MEMBER]",""),"(A)",""),"""",""),"“",""),"”",""),".",""),":",""),",",""),"–"," "),"-"," "),"/"," "),"&amp;"," AND "))&amp;" "," THE "," ")," TOTAL "," ")," OPERATIONS "," "))</f>
        <v>EGYPT</v>
      </c>
      <c r="O482" s="17" t="str">
        <f aca="false">IF(COUNTIFS($N$2:$N$2000,N482,$D$2:$D$2000,"&lt;&gt;"&amp;D482)&gt;0,"CONFLICT","")</f>
        <v/>
      </c>
      <c r="P482" s="7"/>
    </row>
    <row r="483" customFormat="false" ht="15" hidden="false" customHeight="false" outlineLevel="0" collapsed="false">
      <c r="A483" s="7" t="s">
        <v>1443</v>
      </c>
      <c r="B483" s="7" t="s">
        <v>1879</v>
      </c>
      <c r="C483" s="7"/>
      <c r="D483" s="6" t="s">
        <v>1443</v>
      </c>
      <c r="E483" s="6" t="s">
        <v>1880</v>
      </c>
      <c r="F483" s="7" t="str">
        <f aca="false">IF($D483="","",IFERROR(IF(INDEX(Hierarchy!$B$2:$B$1295,MATCH($D483,Hierarchy!$A$2:$A$1295,0))="","",INDEX(Hierarchy!$B$2:$B$1295,MATCH($D483,Hierarchy!$A$2:$A$1295,0))),"NODE NOT FOUND"))</f>
        <v>State/Province</v>
      </c>
      <c r="G483" s="7" t="str">
        <f aca="false">IF($D483="","",IFERROR(IF(INDEX(Hierarchy!$D$2:$D$1295,MATCH($D483,Hierarchy!$A$2:$A$1295,0))="","",INDEX(Hierarchy!$D$2:$D$1295,MATCH($D483,Hierarchy!$A$2:$A$1295,0))),"NODE NOT FOUND"))</f>
        <v>APAC</v>
      </c>
      <c r="H483" s="7" t="str">
        <f aca="false">IF($D483="","",IFERROR(IF(INDEX(Hierarchy!$E$2:$E$1295,MATCH($D483,Hierarchy!$A$2:$A$1295,0))="","",INDEX(Hierarchy!$E$2:$E$1295,MATCH($D483,Hierarchy!$A$2:$A$1295,0))),"NODE NOT FOUND"))</f>
        <v>East Asia</v>
      </c>
      <c r="I483" s="7" t="str">
        <f aca="false">IF($D483="","",IFERROR(IF(INDEX(Hierarchy!$F$2:$F$1295,MATCH($D483,Hierarchy!$A$2:$A$1295,0))="","",INDEX(Hierarchy!$F$2:$F$1295,MATCH($D483,Hierarchy!$A$2:$A$1295,0))),"NODE NOT FOUND"))</f>
        <v>Japan</v>
      </c>
      <c r="J483" s="7" t="str">
        <f aca="false">IF($D483="","",IFERROR(IF(INDEX(Hierarchy!$G$2:$G$1295,MATCH($D483,Hierarchy!$A$2:$A$1295,0))="","",INDEX(Hierarchy!$G$2:$G$1295,MATCH($D483,Hierarchy!$A$2:$A$1295,0))),"NODE NOT FOUND"))</f>
        <v>JPN</v>
      </c>
      <c r="K483" s="7" t="str">
        <f aca="false">IF($D483="","",IFERROR(IF(INDEX(Hierarchy!$H$2:$H$1295,MATCH($D483,Hierarchy!$A$2:$A$1295,0))="","",INDEX(Hierarchy!$H$2:$H$1295,MATCH($D483,Hierarchy!$A$2:$A$1295,0))),"NODE NOT FOUND"))</f>
        <v>Ehime</v>
      </c>
      <c r="L483" s="7" t="str">
        <f aca="false">IF($D483="","",IFERROR(IF(INDEX(Hierarchy!$I$2:$I$1295,MATCH($D483,Hierarchy!$A$2:$A$1295,0))="","",INDEX(Hierarchy!$I$2:$I$1295,MATCH($D483,Hierarchy!$A$2:$A$1295,0))),"NODE NOT FOUND"))</f>
        <v/>
      </c>
      <c r="M483" s="17" t="str">
        <f aca="false">IF(B483="Pre-seeded","Pre-seeded",IF(B483="Review 2026-09-16","Added from review",IF(C483="","New",IF(C483=D483,"","Changed"))))</f>
        <v>Pre-seeded</v>
      </c>
      <c r="N483" s="7" t="str">
        <f aca="false">TRIM(SUBSTITUTE(SUBSTITUTE(SUBSTITUTE(" "&amp;TRIM(SUBSTITUTE(SUBSTITUTE(SUBSTITUTE(SUBSTITUTE(SUBSTITUTE(SUBSTITUTE(SUBSTITUTE(SUBSTITUTE(SUBSTITUTE(SUBSTITUTE(SUBSTITUTE(SUBSTITUTE(SUBSTITUTE(SUBSTITUTE(SUBSTITUTE(UPPER(TRIM(A483)),"[MEMBER]",""),"{MEMBER}",""),"[MEMBER}",""),"MEMBER]",""),"(A)",""),"""",""),"“",""),"”",""),".",""),":",""),",",""),"–"," "),"-"," "),"/"," "),"&amp;"," AND "))&amp;" "," THE "," ")," TOTAL "," ")," OPERATIONS "," "))</f>
        <v>EHIME</v>
      </c>
      <c r="O483" s="17" t="str">
        <f aca="false">IF(COUNTIFS($N$2:$N$2000,N483,$D$2:$D$2000,"&lt;&gt;"&amp;D483)&gt;0,"CONFLICT","")</f>
        <v/>
      </c>
      <c r="P483" s="7"/>
    </row>
    <row r="484" customFormat="false" ht="15" hidden="false" customHeight="false" outlineLevel="0" collapsed="false">
      <c r="A484" s="7" t="s">
        <v>1144</v>
      </c>
      <c r="B484" s="7" t="s">
        <v>1879</v>
      </c>
      <c r="C484" s="7"/>
      <c r="D484" s="6" t="s">
        <v>1144</v>
      </c>
      <c r="E484" s="6" t="s">
        <v>1880</v>
      </c>
      <c r="F484" s="7" t="str">
        <f aca="false">IF($D484="","",IFERROR(IF(INDEX(Hierarchy!$B$2:$B$1295,MATCH($D484,Hierarchy!$A$2:$A$1295,0))="","",INDEX(Hierarchy!$B$2:$B$1295,MATCH($D484,Hierarchy!$A$2:$A$1295,0))),"NODE NOT FOUND"))</f>
        <v>State/Province</v>
      </c>
      <c r="G484" s="7" t="str">
        <f aca="false">IF($D484="","",IFERROR(IF(INDEX(Hierarchy!$D$2:$D$1295,MATCH($D484,Hierarchy!$A$2:$A$1295,0))="","",INDEX(Hierarchy!$D$2:$D$1295,MATCH($D484,Hierarchy!$A$2:$A$1295,0))),"NODE NOT FOUND"))</f>
        <v>EMEA</v>
      </c>
      <c r="H484" s="7" t="str">
        <f aca="false">IF($D484="","",IFERROR(IF(INDEX(Hierarchy!$E$2:$E$1295,MATCH($D484,Hierarchy!$A$2:$A$1295,0))="","",INDEX(Hierarchy!$E$2:$E$1295,MATCH($D484,Hierarchy!$A$2:$A$1295,0))),"NODE NOT FOUND"))</f>
        <v>Africa</v>
      </c>
      <c r="I484" s="7" t="str">
        <f aca="false">IF($D484="","",IFERROR(IF(INDEX(Hierarchy!$F$2:$F$1295,MATCH($D484,Hierarchy!$A$2:$A$1295,0))="","",INDEX(Hierarchy!$F$2:$F$1295,MATCH($D484,Hierarchy!$A$2:$A$1295,0))),"NODE NOT FOUND"))</f>
        <v>Nigeria</v>
      </c>
      <c r="J484" s="7" t="str">
        <f aca="false">IF($D484="","",IFERROR(IF(INDEX(Hierarchy!$G$2:$G$1295,MATCH($D484,Hierarchy!$A$2:$A$1295,0))="","",INDEX(Hierarchy!$G$2:$G$1295,MATCH($D484,Hierarchy!$A$2:$A$1295,0))),"NODE NOT FOUND"))</f>
        <v>NGA</v>
      </c>
      <c r="K484" s="7" t="str">
        <f aca="false">IF($D484="","",IFERROR(IF(INDEX(Hierarchy!$H$2:$H$1295,MATCH($D484,Hierarchy!$A$2:$A$1295,0))="","",INDEX(Hierarchy!$H$2:$H$1295,MATCH($D484,Hierarchy!$A$2:$A$1295,0))),"NODE NOT FOUND"))</f>
        <v>Ekiti</v>
      </c>
      <c r="L484" s="7" t="str">
        <f aca="false">IF($D484="","",IFERROR(IF(INDEX(Hierarchy!$I$2:$I$1295,MATCH($D484,Hierarchy!$A$2:$A$1295,0))="","",INDEX(Hierarchy!$I$2:$I$1295,MATCH($D484,Hierarchy!$A$2:$A$1295,0))),"NODE NOT FOUND"))</f>
        <v/>
      </c>
      <c r="M484" s="17" t="str">
        <f aca="false">IF(B484="Pre-seeded","Pre-seeded",IF(B484="Review 2026-09-16","Added from review",IF(C484="","New",IF(C484=D484,"","Changed"))))</f>
        <v>Pre-seeded</v>
      </c>
      <c r="N484" s="7" t="str">
        <f aca="false">TRIM(SUBSTITUTE(SUBSTITUTE(SUBSTITUTE(" "&amp;TRIM(SUBSTITUTE(SUBSTITUTE(SUBSTITUTE(SUBSTITUTE(SUBSTITUTE(SUBSTITUTE(SUBSTITUTE(SUBSTITUTE(SUBSTITUTE(SUBSTITUTE(SUBSTITUTE(SUBSTITUTE(SUBSTITUTE(SUBSTITUTE(SUBSTITUTE(UPPER(TRIM(A484)),"[MEMBER]",""),"{MEMBER}",""),"[MEMBER}",""),"MEMBER]",""),"(A)",""),"""",""),"“",""),"”",""),".",""),":",""),",",""),"–"," "),"-"," "),"/"," "),"&amp;"," AND "))&amp;" "," THE "," ")," TOTAL "," ")," OPERATIONS "," "))</f>
        <v>EKITI</v>
      </c>
      <c r="O484" s="17" t="str">
        <f aca="false">IF(COUNTIFS($N$2:$N$2000,N484,$D$2:$D$2000,"&lt;&gt;"&amp;D484)&gt;0,"CONFLICT","")</f>
        <v/>
      </c>
      <c r="P484" s="7"/>
    </row>
    <row r="485" customFormat="false" ht="15" hidden="false" customHeight="false" outlineLevel="0" collapsed="false">
      <c r="A485" s="7" t="s">
        <v>552</v>
      </c>
      <c r="B485" s="7" t="s">
        <v>1882</v>
      </c>
      <c r="C485" s="7" t="s">
        <v>552</v>
      </c>
      <c r="D485" s="6" t="s">
        <v>552</v>
      </c>
      <c r="E485" s="6" t="s">
        <v>1880</v>
      </c>
      <c r="F485" s="7" t="str">
        <f aca="false">IF($D485="","",IFERROR(IF(INDEX(Hierarchy!$B$2:$B$1295,MATCH($D485,Hierarchy!$A$2:$A$1295,0))="","",INDEX(Hierarchy!$B$2:$B$1295,MATCH($D485,Hierarchy!$A$2:$A$1295,0))),"NODE NOT FOUND"))</f>
        <v>Country</v>
      </c>
      <c r="G485" s="7" t="str">
        <f aca="false">IF($D485="","",IFERROR(IF(INDEX(Hierarchy!$D$2:$D$1295,MATCH($D485,Hierarchy!$A$2:$A$1295,0))="","",INDEX(Hierarchy!$D$2:$D$1295,MATCH($D485,Hierarchy!$A$2:$A$1295,0))),"NODE NOT FOUND"))</f>
        <v>AMER</v>
      </c>
      <c r="H485" s="7" t="str">
        <f aca="false">IF($D485="","",IFERROR(IF(INDEX(Hierarchy!$E$2:$E$1295,MATCH($D485,Hierarchy!$A$2:$A$1295,0))="","",INDEX(Hierarchy!$E$2:$E$1295,MATCH($D485,Hierarchy!$A$2:$A$1295,0))),"NODE NOT FOUND"))</f>
        <v>Latin America (LATAM)</v>
      </c>
      <c r="I485" s="7" t="str">
        <f aca="false">IF($D485="","",IFERROR(IF(INDEX(Hierarchy!$F$2:$F$1295,MATCH($D485,Hierarchy!$A$2:$A$1295,0))="","",INDEX(Hierarchy!$F$2:$F$1295,MATCH($D485,Hierarchy!$A$2:$A$1295,0))),"NODE NOT FOUND"))</f>
        <v>El Salvador</v>
      </c>
      <c r="J485" s="7" t="str">
        <f aca="false">IF($D485="","",IFERROR(IF(INDEX(Hierarchy!$G$2:$G$1295,MATCH($D485,Hierarchy!$A$2:$A$1295,0))="","",INDEX(Hierarchy!$G$2:$G$1295,MATCH($D485,Hierarchy!$A$2:$A$1295,0))),"NODE NOT FOUND"))</f>
        <v>SLV</v>
      </c>
      <c r="K485" s="7" t="str">
        <f aca="false">IF($D485="","",IFERROR(IF(INDEX(Hierarchy!$H$2:$H$1295,MATCH($D485,Hierarchy!$A$2:$A$1295,0))="","",INDEX(Hierarchy!$H$2:$H$1295,MATCH($D485,Hierarchy!$A$2:$A$1295,0))),"NODE NOT FOUND"))</f>
        <v/>
      </c>
      <c r="L485" s="7" t="str">
        <f aca="false">IF($D485="","",IFERROR(IF(INDEX(Hierarchy!$I$2:$I$1295,MATCH($D485,Hierarchy!$A$2:$A$1295,0))="","",INDEX(Hierarchy!$I$2:$I$1295,MATCH($D485,Hierarchy!$A$2:$A$1295,0))),"NODE NOT FOUND"))</f>
        <v/>
      </c>
      <c r="M485" s="17" t="str">
        <f aca="false">IF(B485="Pre-seeded","Pre-seeded",IF(B485="Review 2026-09-16","Added from review",IF(C485="","New",IF(C485=D485,"","Changed"))))</f>
        <v/>
      </c>
      <c r="N485" s="7" t="str">
        <f aca="false">TRIM(SUBSTITUTE(SUBSTITUTE(SUBSTITUTE(" "&amp;TRIM(SUBSTITUTE(SUBSTITUTE(SUBSTITUTE(SUBSTITUTE(SUBSTITUTE(SUBSTITUTE(SUBSTITUTE(SUBSTITUTE(SUBSTITUTE(SUBSTITUTE(SUBSTITUTE(SUBSTITUTE(SUBSTITUTE(SUBSTITUTE(SUBSTITUTE(UPPER(TRIM(A485)),"[MEMBER]",""),"{MEMBER}",""),"[MEMBER}",""),"MEMBER]",""),"(A)",""),"""",""),"“",""),"”",""),".",""),":",""),",",""),"–"," "),"-"," "),"/"," "),"&amp;"," AND "))&amp;" "," THE "," ")," TOTAL "," ")," OPERATIONS "," "))</f>
        <v>EL SALVADOR</v>
      </c>
      <c r="O485" s="17" t="str">
        <f aca="false">IF(COUNTIFS($N$2:$N$2000,N485,$D$2:$D$2000,"&lt;&gt;"&amp;D485)&gt;0,"CONFLICT","")</f>
        <v/>
      </c>
      <c r="P485" s="7"/>
    </row>
    <row r="486" customFormat="false" ht="15" hidden="false" customHeight="false" outlineLevel="0" collapsed="false">
      <c r="A486" s="7" t="s">
        <v>2125</v>
      </c>
      <c r="B486" s="7" t="s">
        <v>1879</v>
      </c>
      <c r="C486" s="7"/>
      <c r="D486" s="6" t="s">
        <v>1811</v>
      </c>
      <c r="E486" s="6" t="s">
        <v>1880</v>
      </c>
      <c r="F486" s="7" t="str">
        <f aca="false">IF($D486="","",IFERROR(IF(INDEX(Hierarchy!$B$2:$B$1295,MATCH($D486,Hierarchy!$A$2:$A$1295,0))="","",INDEX(Hierarchy!$B$2:$B$1295,MATCH($D486,Hierarchy!$A$2:$A$1295,0))),"NODE NOT FOUND"))</f>
        <v>Market grouping</v>
      </c>
      <c r="G486" s="7" t="str">
        <f aca="false">IF($D486="","",IFERROR(IF(INDEX(Hierarchy!$D$2:$D$1295,MATCH($D486,Hierarchy!$A$2:$A$1295,0))="","",INDEX(Hierarchy!$D$2:$D$1295,MATCH($D486,Hierarchy!$A$2:$A$1295,0))),"NODE NOT FOUND"))</f>
        <v>Market grouping</v>
      </c>
      <c r="H486" s="7" t="str">
        <f aca="false">IF($D486="","",IFERROR(IF(INDEX(Hierarchy!$E$2:$E$1295,MATCH($D486,Hierarchy!$A$2:$A$1295,0))="","",INDEX(Hierarchy!$E$2:$E$1295,MATCH($D486,Hierarchy!$A$2:$A$1295,0))),"NODE NOT FOUND"))</f>
        <v/>
      </c>
      <c r="I486" s="7" t="str">
        <f aca="false">IF($D486="","",IFERROR(IF(INDEX(Hierarchy!$F$2:$F$1295,MATCH($D486,Hierarchy!$A$2:$A$1295,0))="","",INDEX(Hierarchy!$F$2:$F$1295,MATCH($D486,Hierarchy!$A$2:$A$1295,0))),"NODE NOT FOUND"))</f>
        <v/>
      </c>
      <c r="J486" s="7" t="str">
        <f aca="false">IF($D486="","",IFERROR(IF(INDEX(Hierarchy!$G$2:$G$1295,MATCH($D486,Hierarchy!$A$2:$A$1295,0))="","",INDEX(Hierarchy!$G$2:$G$1295,MATCH($D486,Hierarchy!$A$2:$A$1295,0))),"NODE NOT FOUND"))</f>
        <v/>
      </c>
      <c r="K486" s="7" t="str">
        <f aca="false">IF($D486="","",IFERROR(IF(INDEX(Hierarchy!$H$2:$H$1295,MATCH($D486,Hierarchy!$A$2:$A$1295,0))="","",INDEX(Hierarchy!$H$2:$H$1295,MATCH($D486,Hierarchy!$A$2:$A$1295,0))),"NODE NOT FOUND"))</f>
        <v/>
      </c>
      <c r="L486" s="7" t="str">
        <f aca="false">IF($D486="","",IFERROR(IF(INDEX(Hierarchy!$I$2:$I$1295,MATCH($D486,Hierarchy!$A$2:$A$1295,0))="","",INDEX(Hierarchy!$I$2:$I$1295,MATCH($D486,Hierarchy!$A$2:$A$1295,0))),"NODE NOT FOUND"))</f>
        <v/>
      </c>
      <c r="M486" s="17" t="str">
        <f aca="false">IF(B486="Pre-seeded","Pre-seeded",IF(B486="Review 2026-09-16","Added from review",IF(C486="","New",IF(C486=D486,"","Changed"))))</f>
        <v>Pre-seeded</v>
      </c>
      <c r="N486" s="7" t="str">
        <f aca="false">TRIM(SUBSTITUTE(SUBSTITUTE(SUBSTITUTE(" "&amp;TRIM(SUBSTITUTE(SUBSTITUTE(SUBSTITUTE(SUBSTITUTE(SUBSTITUTE(SUBSTITUTE(SUBSTITUTE(SUBSTITUTE(SUBSTITUTE(SUBSTITUTE(SUBSTITUTE(SUBSTITUTE(SUBSTITUTE(SUBSTITUTE(SUBSTITUTE(UPPER(TRIM(A486)),"[MEMBER]",""),"{MEMBER}",""),"[MEMBER}",""),"MEMBER]",""),"(A)",""),"""",""),"“",""),"”",""),".",""),":",""),",",""),"–"," "),"-"," "),"/"," "),"&amp;"," AND "))&amp;" "," THE "," ")," TOTAL "," ")," OPERATIONS "," "))</f>
        <v>EM</v>
      </c>
      <c r="O486" s="17" t="str">
        <f aca="false">IF(COUNTIFS($N$2:$N$2000,N486,$D$2:$D$2000,"&lt;&gt;"&amp;D486)&gt;0,"CONFLICT","")</f>
        <v/>
      </c>
      <c r="P486" s="7"/>
    </row>
    <row r="487" customFormat="false" ht="15" hidden="false" customHeight="false" outlineLevel="0" collapsed="false">
      <c r="A487" s="7" t="s">
        <v>614</v>
      </c>
      <c r="B487" s="7" t="s">
        <v>1882</v>
      </c>
      <c r="C487" s="7" t="s">
        <v>1973</v>
      </c>
      <c r="D487" s="6" t="s">
        <v>613</v>
      </c>
      <c r="E487" s="6" t="s">
        <v>1880</v>
      </c>
      <c r="F487" s="7" t="str">
        <f aca="false">IF($D487="","",IFERROR(IF(INDEX(Hierarchy!$B$2:$B$1295,MATCH($D487,Hierarchy!$A$2:$A$1295,0))="","",INDEX(Hierarchy!$B$2:$B$1295,MATCH($D487,Hierarchy!$A$2:$A$1295,0))),"NODE NOT FOUND"))</f>
        <v>Region</v>
      </c>
      <c r="G487" s="7" t="str">
        <f aca="false">IF($D487="","",IFERROR(IF(INDEX(Hierarchy!$D$2:$D$1295,MATCH($D487,Hierarchy!$A$2:$A$1295,0))="","",INDEX(Hierarchy!$D$2:$D$1295,MATCH($D487,Hierarchy!$A$2:$A$1295,0))),"NODE NOT FOUND"))</f>
        <v>EMEA</v>
      </c>
      <c r="H487" s="7" t="str">
        <f aca="false">IF($D487="","",IFERROR(IF(INDEX(Hierarchy!$E$2:$E$1295,MATCH($D487,Hierarchy!$A$2:$A$1295,0))="","",INDEX(Hierarchy!$E$2:$E$1295,MATCH($D487,Hierarchy!$A$2:$A$1295,0))),"NODE NOT FOUND"))</f>
        <v/>
      </c>
      <c r="I487" s="7" t="str">
        <f aca="false">IF($D487="","",IFERROR(IF(INDEX(Hierarchy!$F$2:$F$1295,MATCH($D487,Hierarchy!$A$2:$A$1295,0))="","",INDEX(Hierarchy!$F$2:$F$1295,MATCH($D487,Hierarchy!$A$2:$A$1295,0))),"NODE NOT FOUND"))</f>
        <v/>
      </c>
      <c r="J487" s="7" t="str">
        <f aca="false">IF($D487="","",IFERROR(IF(INDEX(Hierarchy!$G$2:$G$1295,MATCH($D487,Hierarchy!$A$2:$A$1295,0))="","",INDEX(Hierarchy!$G$2:$G$1295,MATCH($D487,Hierarchy!$A$2:$A$1295,0))),"NODE NOT FOUND"))</f>
        <v/>
      </c>
      <c r="K487" s="7" t="str">
        <f aca="false">IF($D487="","",IFERROR(IF(INDEX(Hierarchy!$H$2:$H$1295,MATCH($D487,Hierarchy!$A$2:$A$1295,0))="","",INDEX(Hierarchy!$H$2:$H$1295,MATCH($D487,Hierarchy!$A$2:$A$1295,0))),"NODE NOT FOUND"))</f>
        <v/>
      </c>
      <c r="L487" s="7" t="str">
        <f aca="false">IF($D487="","",IFERROR(IF(INDEX(Hierarchy!$I$2:$I$1295,MATCH($D487,Hierarchy!$A$2:$A$1295,0))="","",INDEX(Hierarchy!$I$2:$I$1295,MATCH($D487,Hierarchy!$A$2:$A$1295,0))),"NODE NOT FOUND"))</f>
        <v/>
      </c>
      <c r="M487" s="17" t="str">
        <f aca="false">IF(B487="Pre-seeded","Pre-seeded",IF(B487="Review 2026-09-16","Added from review",IF(C487="","New",IF(C487=D487,"","Changed"))))</f>
        <v>Changed</v>
      </c>
      <c r="N487" s="7" t="str">
        <f aca="false">TRIM(SUBSTITUTE(SUBSTITUTE(SUBSTITUTE(" "&amp;TRIM(SUBSTITUTE(SUBSTITUTE(SUBSTITUTE(SUBSTITUTE(SUBSTITUTE(SUBSTITUTE(SUBSTITUTE(SUBSTITUTE(SUBSTITUTE(SUBSTITUTE(SUBSTITUTE(SUBSTITUTE(SUBSTITUTE(SUBSTITUTE(SUBSTITUTE(UPPER(TRIM(A487)),"[MEMBER]",""),"{MEMBER}",""),"[MEMBER}",""),"MEMBER]",""),"(A)",""),"""",""),"“",""),"”",""),".",""),":",""),",",""),"–"," "),"-"," "),"/"," "),"&amp;"," AND "))&amp;" "," THE "," ")," TOTAL "," ")," OPERATIONS "," "))</f>
        <v>EMEA</v>
      </c>
      <c r="O487" s="17" t="str">
        <f aca="false">IF(COUNTIFS($N$2:$N$2000,N487,$D$2:$D$2000,"&lt;&gt;"&amp;D487)&gt;0,"CONFLICT","")</f>
        <v/>
      </c>
      <c r="P487" s="7"/>
    </row>
    <row r="488" customFormat="false" ht="15" hidden="false" customHeight="false" outlineLevel="0" collapsed="false">
      <c r="A488" s="7" t="s">
        <v>2126</v>
      </c>
      <c r="B488" s="7" t="s">
        <v>1882</v>
      </c>
      <c r="C488" s="7" t="s">
        <v>1973</v>
      </c>
      <c r="D488" s="6" t="s">
        <v>613</v>
      </c>
      <c r="E488" s="6" t="s">
        <v>1880</v>
      </c>
      <c r="F488" s="7" t="str">
        <f aca="false">IF($D488="","",IFERROR(IF(INDEX(Hierarchy!$B$2:$B$1295,MATCH($D488,Hierarchy!$A$2:$A$1295,0))="","",INDEX(Hierarchy!$B$2:$B$1295,MATCH($D488,Hierarchy!$A$2:$A$1295,0))),"NODE NOT FOUND"))</f>
        <v>Region</v>
      </c>
      <c r="G488" s="7" t="str">
        <f aca="false">IF($D488="","",IFERROR(IF(INDEX(Hierarchy!$D$2:$D$1295,MATCH($D488,Hierarchy!$A$2:$A$1295,0))="","",INDEX(Hierarchy!$D$2:$D$1295,MATCH($D488,Hierarchy!$A$2:$A$1295,0))),"NODE NOT FOUND"))</f>
        <v>EMEA</v>
      </c>
      <c r="H488" s="7" t="str">
        <f aca="false">IF($D488="","",IFERROR(IF(INDEX(Hierarchy!$E$2:$E$1295,MATCH($D488,Hierarchy!$A$2:$A$1295,0))="","",INDEX(Hierarchy!$E$2:$E$1295,MATCH($D488,Hierarchy!$A$2:$A$1295,0))),"NODE NOT FOUND"))</f>
        <v/>
      </c>
      <c r="I488" s="7" t="str">
        <f aca="false">IF($D488="","",IFERROR(IF(INDEX(Hierarchy!$F$2:$F$1295,MATCH($D488,Hierarchy!$A$2:$A$1295,0))="","",INDEX(Hierarchy!$F$2:$F$1295,MATCH($D488,Hierarchy!$A$2:$A$1295,0))),"NODE NOT FOUND"))</f>
        <v/>
      </c>
      <c r="J488" s="7" t="str">
        <f aca="false">IF($D488="","",IFERROR(IF(INDEX(Hierarchy!$G$2:$G$1295,MATCH($D488,Hierarchy!$A$2:$A$1295,0))="","",INDEX(Hierarchy!$G$2:$G$1295,MATCH($D488,Hierarchy!$A$2:$A$1295,0))),"NODE NOT FOUND"))</f>
        <v/>
      </c>
      <c r="K488" s="7" t="str">
        <f aca="false">IF($D488="","",IFERROR(IF(INDEX(Hierarchy!$H$2:$H$1295,MATCH($D488,Hierarchy!$A$2:$A$1295,0))="","",INDEX(Hierarchy!$H$2:$H$1295,MATCH($D488,Hierarchy!$A$2:$A$1295,0))),"NODE NOT FOUND"))</f>
        <v/>
      </c>
      <c r="L488" s="7" t="str">
        <f aca="false">IF($D488="","",IFERROR(IF(INDEX(Hierarchy!$I$2:$I$1295,MATCH($D488,Hierarchy!$A$2:$A$1295,0))="","",INDEX(Hierarchy!$I$2:$I$1295,MATCH($D488,Hierarchy!$A$2:$A$1295,0))),"NODE NOT FOUND"))</f>
        <v/>
      </c>
      <c r="M488" s="17" t="str">
        <f aca="false">IF(B488="Pre-seeded","Pre-seeded",IF(B488="Review 2026-09-16","Added from review",IF(C488="","New",IF(C488=D488,"","Changed"))))</f>
        <v>Changed</v>
      </c>
      <c r="N488" s="7" t="str">
        <f aca="false">TRIM(SUBSTITUTE(SUBSTITUTE(SUBSTITUTE(" "&amp;TRIM(SUBSTITUTE(SUBSTITUTE(SUBSTITUTE(SUBSTITUTE(SUBSTITUTE(SUBSTITUTE(SUBSTITUTE(SUBSTITUTE(SUBSTITUTE(SUBSTITUTE(SUBSTITUTE(SUBSTITUTE(SUBSTITUTE(SUBSTITUTE(SUBSTITUTE(UPPER(TRIM(A488)),"[MEMBER]",""),"{MEMBER}",""),"[MEMBER}",""),"MEMBER]",""),"(A)",""),"""",""),"“",""),"”",""),".",""),":",""),",",""),"–"," "),"-"," "),"/"," "),"&amp;"," AND "))&amp;" "," THE "," ")," TOTAL "," ")," OPERATIONS "," "))</f>
        <v>EMEA (EUROPE MIDDLE EAST AND AFRICA)</v>
      </c>
      <c r="O488" s="17" t="str">
        <f aca="false">IF(COUNTIFS($N$2:$N$2000,N488,$D$2:$D$2000,"&lt;&gt;"&amp;D488)&gt;0,"CONFLICT","")</f>
        <v/>
      </c>
      <c r="P488" s="7"/>
    </row>
    <row r="489" customFormat="false" ht="15" hidden="false" customHeight="false" outlineLevel="0" collapsed="false">
      <c r="A489" s="7" t="s">
        <v>1800</v>
      </c>
      <c r="B489" s="7" t="s">
        <v>1879</v>
      </c>
      <c r="C489" s="7"/>
      <c r="D489" s="6" t="s">
        <v>1800</v>
      </c>
      <c r="E489" s="6" t="s">
        <v>1880</v>
      </c>
      <c r="F489" s="7" t="str">
        <f aca="false">IF($D489="","",IFERROR(IF(INDEX(Hierarchy!$B$2:$B$1295,MATCH($D489,Hierarchy!$A$2:$A$1295,0))="","",INDEX(Hierarchy!$B$2:$B$1295,MATCH($D489,Hierarchy!$A$2:$A$1295,0))),"NODE NOT FOUND"))</f>
        <v>Multi-region</v>
      </c>
      <c r="G489" s="7" t="str">
        <f aca="false">IF($D489="","",IFERROR(IF(INDEX(Hierarchy!$D$2:$D$1295,MATCH($D489,Hierarchy!$A$2:$A$1295,0))="","",INDEX(Hierarchy!$D$2:$D$1295,MATCH($D489,Hierarchy!$A$2:$A$1295,0))),"NODE NOT FOUND"))</f>
        <v>Multi-region</v>
      </c>
      <c r="H489" s="7" t="str">
        <f aca="false">IF($D489="","",IFERROR(IF(INDEX(Hierarchy!$E$2:$E$1295,MATCH($D489,Hierarchy!$A$2:$A$1295,0))="","",INDEX(Hierarchy!$E$2:$E$1295,MATCH($D489,Hierarchy!$A$2:$A$1295,0))),"NODE NOT FOUND"))</f>
        <v/>
      </c>
      <c r="I489" s="7" t="str">
        <f aca="false">IF($D489="","",IFERROR(IF(INDEX(Hierarchy!$F$2:$F$1295,MATCH($D489,Hierarchy!$A$2:$A$1295,0))="","",INDEX(Hierarchy!$F$2:$F$1295,MATCH($D489,Hierarchy!$A$2:$A$1295,0))),"NODE NOT FOUND"))</f>
        <v/>
      </c>
      <c r="J489" s="7" t="str">
        <f aca="false">IF($D489="","",IFERROR(IF(INDEX(Hierarchy!$G$2:$G$1295,MATCH($D489,Hierarchy!$A$2:$A$1295,0))="","",INDEX(Hierarchy!$G$2:$G$1295,MATCH($D489,Hierarchy!$A$2:$A$1295,0))),"NODE NOT FOUND"))</f>
        <v/>
      </c>
      <c r="K489" s="7" t="str">
        <f aca="false">IF($D489="","",IFERROR(IF(INDEX(Hierarchy!$H$2:$H$1295,MATCH($D489,Hierarchy!$A$2:$A$1295,0))="","",INDEX(Hierarchy!$H$2:$H$1295,MATCH($D489,Hierarchy!$A$2:$A$1295,0))),"NODE NOT FOUND"))</f>
        <v/>
      </c>
      <c r="L489" s="7" t="str">
        <f aca="false">IF($D489="","",IFERROR(IF(INDEX(Hierarchy!$I$2:$I$1295,MATCH($D489,Hierarchy!$A$2:$A$1295,0))="","",INDEX(Hierarchy!$I$2:$I$1295,MATCH($D489,Hierarchy!$A$2:$A$1295,0))),"NODE NOT FOUND"))</f>
        <v/>
      </c>
      <c r="M489" s="17" t="str">
        <f aca="false">IF(B489="Pre-seeded","Pre-seeded",IF(B489="Review 2026-09-16","Added from review",IF(C489="","New",IF(C489=D489,"","Changed"))))</f>
        <v>Pre-seeded</v>
      </c>
      <c r="N489" s="7" t="str">
        <f aca="false">TRIM(SUBSTITUTE(SUBSTITUTE(SUBSTITUTE(" "&amp;TRIM(SUBSTITUTE(SUBSTITUTE(SUBSTITUTE(SUBSTITUTE(SUBSTITUTE(SUBSTITUTE(SUBSTITUTE(SUBSTITUTE(SUBSTITUTE(SUBSTITUTE(SUBSTITUTE(SUBSTITUTE(SUBSTITUTE(SUBSTITUTE(SUBSTITUTE(UPPER(TRIM(A489)),"[MEMBER]",""),"{MEMBER}",""),"[MEMBER}",""),"MEMBER]",""),"(A)",""),"""",""),"“",""),"”",""),".",""),":",""),",",""),"–"," "),"-"," "),"/"," "),"&amp;"," AND "))&amp;" "," THE "," ")," TOTAL "," ")," OPERATIONS "," "))</f>
        <v>EMEA AND APAC</v>
      </c>
      <c r="O489" s="17" t="str">
        <f aca="false">IF(COUNTIFS($N$2:$N$2000,N489,$D$2:$D$2000,"&lt;&gt;"&amp;D489)&gt;0,"CONFLICT","")</f>
        <v/>
      </c>
      <c r="P489" s="7"/>
    </row>
    <row r="490" customFormat="false" ht="15" hidden="false" customHeight="false" outlineLevel="0" collapsed="false">
      <c r="A490" s="7" t="s">
        <v>2127</v>
      </c>
      <c r="B490" s="7" t="s">
        <v>1882</v>
      </c>
      <c r="C490" s="7" t="s">
        <v>2127</v>
      </c>
      <c r="D490" s="6" t="s">
        <v>1800</v>
      </c>
      <c r="E490" s="6" t="s">
        <v>1880</v>
      </c>
      <c r="F490" s="7" t="str">
        <f aca="false">IF($D490="","",IFERROR(IF(INDEX(Hierarchy!$B$2:$B$1295,MATCH($D490,Hierarchy!$A$2:$A$1295,0))="","",INDEX(Hierarchy!$B$2:$B$1295,MATCH($D490,Hierarchy!$A$2:$A$1295,0))),"NODE NOT FOUND"))</f>
        <v>Multi-region</v>
      </c>
      <c r="G490" s="7" t="str">
        <f aca="false">IF($D490="","",IFERROR(IF(INDEX(Hierarchy!$D$2:$D$1295,MATCH($D490,Hierarchy!$A$2:$A$1295,0))="","",INDEX(Hierarchy!$D$2:$D$1295,MATCH($D490,Hierarchy!$A$2:$A$1295,0))),"NODE NOT FOUND"))</f>
        <v>Multi-region</v>
      </c>
      <c r="H490" s="7" t="str">
        <f aca="false">IF($D490="","",IFERROR(IF(INDEX(Hierarchy!$E$2:$E$1295,MATCH($D490,Hierarchy!$A$2:$A$1295,0))="","",INDEX(Hierarchy!$E$2:$E$1295,MATCH($D490,Hierarchy!$A$2:$A$1295,0))),"NODE NOT FOUND"))</f>
        <v/>
      </c>
      <c r="I490" s="7" t="str">
        <f aca="false">IF($D490="","",IFERROR(IF(INDEX(Hierarchy!$F$2:$F$1295,MATCH($D490,Hierarchy!$A$2:$A$1295,0))="","",INDEX(Hierarchy!$F$2:$F$1295,MATCH($D490,Hierarchy!$A$2:$A$1295,0))),"NODE NOT FOUND"))</f>
        <v/>
      </c>
      <c r="J490" s="7" t="str">
        <f aca="false">IF($D490="","",IFERROR(IF(INDEX(Hierarchy!$G$2:$G$1295,MATCH($D490,Hierarchy!$A$2:$A$1295,0))="","",INDEX(Hierarchy!$G$2:$G$1295,MATCH($D490,Hierarchy!$A$2:$A$1295,0))),"NODE NOT FOUND"))</f>
        <v/>
      </c>
      <c r="K490" s="7" t="str">
        <f aca="false">IF($D490="","",IFERROR(IF(INDEX(Hierarchy!$H$2:$H$1295,MATCH($D490,Hierarchy!$A$2:$A$1295,0))="","",INDEX(Hierarchy!$H$2:$H$1295,MATCH($D490,Hierarchy!$A$2:$A$1295,0))),"NODE NOT FOUND"))</f>
        <v/>
      </c>
      <c r="L490" s="7" t="str">
        <f aca="false">IF($D490="","",IFERROR(IF(INDEX(Hierarchy!$I$2:$I$1295,MATCH($D490,Hierarchy!$A$2:$A$1295,0))="","",INDEX(Hierarchy!$I$2:$I$1295,MATCH($D490,Hierarchy!$A$2:$A$1295,0))),"NODE NOT FOUND"))</f>
        <v/>
      </c>
      <c r="M490" s="17" t="str">
        <f aca="false">IF(B490="Pre-seeded","Pre-seeded",IF(B490="Review 2026-09-16","Added from review",IF(C490="","New",IF(C490=D490,"","Changed"))))</f>
        <v>Changed</v>
      </c>
      <c r="N490" s="7" t="str">
        <f aca="false">TRIM(SUBSTITUTE(SUBSTITUTE(SUBSTITUTE(" "&amp;TRIM(SUBSTITUTE(SUBSTITUTE(SUBSTITUTE(SUBSTITUTE(SUBSTITUTE(SUBSTITUTE(SUBSTITUTE(SUBSTITUTE(SUBSTITUTE(SUBSTITUTE(SUBSTITUTE(SUBSTITUTE(SUBSTITUTE(SUBSTITUTE(SUBSTITUTE(UPPER(TRIM(A490)),"[MEMBER]",""),"{MEMBER}",""),"[MEMBER}",""),"MEMBER]",""),"(A)",""),"""",""),"“",""),"”",""),".",""),":",""),",",""),"–"," "),"-"," "),"/"," "),"&amp;"," AND "))&amp;" "," THE "," ")," TOTAL "," ")," OPERATIONS "," "))</f>
        <v>EMEA AND ASIA PACIFIC</v>
      </c>
      <c r="O490" s="17" t="str">
        <f aca="false">IF(COUNTIFS($N$2:$N$2000,N490,$D$2:$D$2000,"&lt;&gt;"&amp;D490)&gt;0,"CONFLICT","")</f>
        <v/>
      </c>
      <c r="P490" s="7"/>
    </row>
    <row r="491" customFormat="false" ht="15" hidden="false" customHeight="false" outlineLevel="0" collapsed="false">
      <c r="A491" s="7" t="s">
        <v>2128</v>
      </c>
      <c r="B491" s="7" t="s">
        <v>1882</v>
      </c>
      <c r="C491" s="7" t="s">
        <v>1973</v>
      </c>
      <c r="D491" s="6" t="s">
        <v>613</v>
      </c>
      <c r="E491" s="6" t="s">
        <v>1880</v>
      </c>
      <c r="F491" s="7" t="str">
        <f aca="false">IF($D491="","",IFERROR(IF(INDEX(Hierarchy!$B$2:$B$1295,MATCH($D491,Hierarchy!$A$2:$A$1295,0))="","",INDEX(Hierarchy!$B$2:$B$1295,MATCH($D491,Hierarchy!$A$2:$A$1295,0))),"NODE NOT FOUND"))</f>
        <v>Region</v>
      </c>
      <c r="G491" s="7" t="str">
        <f aca="false">IF($D491="","",IFERROR(IF(INDEX(Hierarchy!$D$2:$D$1295,MATCH($D491,Hierarchy!$A$2:$A$1295,0))="","",INDEX(Hierarchy!$D$2:$D$1295,MATCH($D491,Hierarchy!$A$2:$A$1295,0))),"NODE NOT FOUND"))</f>
        <v>EMEA</v>
      </c>
      <c r="H491" s="7" t="str">
        <f aca="false">IF($D491="","",IFERROR(IF(INDEX(Hierarchy!$E$2:$E$1295,MATCH($D491,Hierarchy!$A$2:$A$1295,0))="","",INDEX(Hierarchy!$E$2:$E$1295,MATCH($D491,Hierarchy!$A$2:$A$1295,0))),"NODE NOT FOUND"))</f>
        <v/>
      </c>
      <c r="I491" s="7" t="str">
        <f aca="false">IF($D491="","",IFERROR(IF(INDEX(Hierarchy!$F$2:$F$1295,MATCH($D491,Hierarchy!$A$2:$A$1295,0))="","",INDEX(Hierarchy!$F$2:$F$1295,MATCH($D491,Hierarchy!$A$2:$A$1295,0))),"NODE NOT FOUND"))</f>
        <v/>
      </c>
      <c r="J491" s="7" t="str">
        <f aca="false">IF($D491="","",IFERROR(IF(INDEX(Hierarchy!$G$2:$G$1295,MATCH($D491,Hierarchy!$A$2:$A$1295,0))="","",INDEX(Hierarchy!$G$2:$G$1295,MATCH($D491,Hierarchy!$A$2:$A$1295,0))),"NODE NOT FOUND"))</f>
        <v/>
      </c>
      <c r="K491" s="7" t="str">
        <f aca="false">IF($D491="","",IFERROR(IF(INDEX(Hierarchy!$H$2:$H$1295,MATCH($D491,Hierarchy!$A$2:$A$1295,0))="","",INDEX(Hierarchy!$H$2:$H$1295,MATCH($D491,Hierarchy!$A$2:$A$1295,0))),"NODE NOT FOUND"))</f>
        <v/>
      </c>
      <c r="L491" s="7" t="str">
        <f aca="false">IF($D491="","",IFERROR(IF(INDEX(Hierarchy!$I$2:$I$1295,MATCH($D491,Hierarchy!$A$2:$A$1295,0))="","",INDEX(Hierarchy!$I$2:$I$1295,MATCH($D491,Hierarchy!$A$2:$A$1295,0))),"NODE NOT FOUND"))</f>
        <v/>
      </c>
      <c r="M491" s="17" t="str">
        <f aca="false">IF(B491="Pre-seeded","Pre-seeded",IF(B491="Review 2026-09-16","Added from review",IF(C491="","New",IF(C491=D491,"","Changed"))))</f>
        <v>Changed</v>
      </c>
      <c r="N491" s="7" t="str">
        <f aca="false">TRIM(SUBSTITUTE(SUBSTITUTE(SUBSTITUTE(" "&amp;TRIM(SUBSTITUTE(SUBSTITUTE(SUBSTITUTE(SUBSTITUTE(SUBSTITUTE(SUBSTITUTE(SUBSTITUTE(SUBSTITUTE(SUBSTITUTE(SUBSTITUTE(SUBSTITUTE(SUBSTITUTE(SUBSTITUTE(SUBSTITUTE(SUBSTITUTE(UPPER(TRIM(A491)),"[MEMBER]",""),"{MEMBER}",""),"[MEMBER}",""),"MEMBER]",""),"(A)",""),"""",""),"“",""),"”",""),".",""),":",""),",",""),"–"," "),"-"," "),"/"," "),"&amp;"," AND "))&amp;" "," THE "," ")," TOTAL "," ")," OPERATIONS "," "))</f>
        <v>EMEA GEOGRAPHIC REGION</v>
      </c>
      <c r="O491" s="17" t="str">
        <f aca="false">IF(COUNTIFS($N$2:$N$2000,N491,$D$2:$D$2000,"&lt;&gt;"&amp;D491)&gt;0,"CONFLICT","")</f>
        <v/>
      </c>
      <c r="P491" s="7"/>
    </row>
    <row r="492" customFormat="false" ht="15" hidden="false" customHeight="false" outlineLevel="0" collapsed="false">
      <c r="A492" s="7" t="s">
        <v>2129</v>
      </c>
      <c r="B492" s="7" t="s">
        <v>1879</v>
      </c>
      <c r="C492" s="7"/>
      <c r="D492" s="6" t="s">
        <v>1802</v>
      </c>
      <c r="E492" s="6" t="s">
        <v>1880</v>
      </c>
      <c r="F492" s="7" t="str">
        <f aca="false">IF($D492="","",IFERROR(IF(INDEX(Hierarchy!$B$2:$B$1295,MATCH($D492,Hierarchy!$A$2:$A$1295,0))="","",INDEX(Hierarchy!$B$2:$B$1295,MATCH($D492,Hierarchy!$A$2:$A$1295,0))),"NODE NOT FOUND"))</f>
        <v>Multi-region</v>
      </c>
      <c r="G492" s="7" t="str">
        <f aca="false">IF($D492="","",IFERROR(IF(INDEX(Hierarchy!$D$2:$D$1295,MATCH($D492,Hierarchy!$A$2:$A$1295,0))="","",INDEX(Hierarchy!$D$2:$D$1295,MATCH($D492,Hierarchy!$A$2:$A$1295,0))),"NODE NOT FOUND"))</f>
        <v>Multi-region</v>
      </c>
      <c r="H492" s="7" t="str">
        <f aca="false">IF($D492="","",IFERROR(IF(INDEX(Hierarchy!$E$2:$E$1295,MATCH($D492,Hierarchy!$A$2:$A$1295,0))="","",INDEX(Hierarchy!$E$2:$E$1295,MATCH($D492,Hierarchy!$A$2:$A$1295,0))),"NODE NOT FOUND"))</f>
        <v/>
      </c>
      <c r="I492" s="7" t="str">
        <f aca="false">IF($D492="","",IFERROR(IF(INDEX(Hierarchy!$F$2:$F$1295,MATCH($D492,Hierarchy!$A$2:$A$1295,0))="","",INDEX(Hierarchy!$F$2:$F$1295,MATCH($D492,Hierarchy!$A$2:$A$1295,0))),"NODE NOT FOUND"))</f>
        <v/>
      </c>
      <c r="J492" s="7" t="str">
        <f aca="false">IF($D492="","",IFERROR(IF(INDEX(Hierarchy!$G$2:$G$1295,MATCH($D492,Hierarchy!$A$2:$A$1295,0))="","",INDEX(Hierarchy!$G$2:$G$1295,MATCH($D492,Hierarchy!$A$2:$A$1295,0))),"NODE NOT FOUND"))</f>
        <v/>
      </c>
      <c r="K492" s="7" t="str">
        <f aca="false">IF($D492="","",IFERROR(IF(INDEX(Hierarchy!$H$2:$H$1295,MATCH($D492,Hierarchy!$A$2:$A$1295,0))="","",INDEX(Hierarchy!$H$2:$H$1295,MATCH($D492,Hierarchy!$A$2:$A$1295,0))),"NODE NOT FOUND"))</f>
        <v/>
      </c>
      <c r="L492" s="7" t="str">
        <f aca="false">IF($D492="","",IFERROR(IF(INDEX(Hierarchy!$I$2:$I$1295,MATCH($D492,Hierarchy!$A$2:$A$1295,0))="","",INDEX(Hierarchy!$I$2:$I$1295,MATCH($D492,Hierarchy!$A$2:$A$1295,0))),"NODE NOT FOUND"))</f>
        <v/>
      </c>
      <c r="M492" s="17" t="str">
        <f aca="false">IF(B492="Pre-seeded","Pre-seeded",IF(B492="Review 2026-09-16","Added from review",IF(C492="","New",IF(C492=D492,"","Changed"))))</f>
        <v>Pre-seeded</v>
      </c>
      <c r="N492" s="7" t="str">
        <f aca="false">TRIM(SUBSTITUTE(SUBSTITUTE(SUBSTITUTE(" "&amp;TRIM(SUBSTITUTE(SUBSTITUTE(SUBSTITUTE(SUBSTITUTE(SUBSTITUTE(SUBSTITUTE(SUBSTITUTE(SUBSTITUTE(SUBSTITUTE(SUBSTITUTE(SUBSTITUTE(SUBSTITUTE(SUBSTITUTE(SUBSTITUTE(SUBSTITUTE(UPPER(TRIM(A492)),"[MEMBER]",""),"{MEMBER}",""),"[MEMBER}",""),"MEMBER]",""),"(A)",""),"""",""),"“",""),"”",""),".",""),":",""),",",""),"–"," "),"-"," "),"/"," "),"&amp;"," AND "))&amp;" "," THE "," ")," TOTAL "," ")," OPERATIONS "," "))</f>
        <v>EMEIA</v>
      </c>
      <c r="O492" s="17" t="str">
        <f aca="false">IF(COUNTIFS($N$2:$N$2000,N492,$D$2:$D$2000,"&lt;&gt;"&amp;D492)&gt;0,"CONFLICT","")</f>
        <v/>
      </c>
      <c r="P492" s="7"/>
    </row>
    <row r="493" customFormat="false" ht="15" hidden="false" customHeight="false" outlineLevel="0" collapsed="false">
      <c r="A493" s="7" t="s">
        <v>2130</v>
      </c>
      <c r="B493" s="7" t="s">
        <v>1885</v>
      </c>
      <c r="C493" s="7" t="s">
        <v>2032</v>
      </c>
      <c r="D493" s="6" t="s">
        <v>1811</v>
      </c>
      <c r="E493" s="6" t="s">
        <v>1880</v>
      </c>
      <c r="F493" s="7" t="str">
        <f aca="false">IF($D493="","",IFERROR(IF(INDEX(Hierarchy!$B$2:$B$1295,MATCH($D493,Hierarchy!$A$2:$A$1295,0))="","",INDEX(Hierarchy!$B$2:$B$1295,MATCH($D493,Hierarchy!$A$2:$A$1295,0))),"NODE NOT FOUND"))</f>
        <v>Market grouping</v>
      </c>
      <c r="G493" s="7" t="str">
        <f aca="false">IF($D493="","",IFERROR(IF(INDEX(Hierarchy!$D$2:$D$1295,MATCH($D493,Hierarchy!$A$2:$A$1295,0))="","",INDEX(Hierarchy!$D$2:$D$1295,MATCH($D493,Hierarchy!$A$2:$A$1295,0))),"NODE NOT FOUND"))</f>
        <v>Market grouping</v>
      </c>
      <c r="H493" s="7" t="str">
        <f aca="false">IF($D493="","",IFERROR(IF(INDEX(Hierarchy!$E$2:$E$1295,MATCH($D493,Hierarchy!$A$2:$A$1295,0))="","",INDEX(Hierarchy!$E$2:$E$1295,MATCH($D493,Hierarchy!$A$2:$A$1295,0))),"NODE NOT FOUND"))</f>
        <v/>
      </c>
      <c r="I493" s="7" t="str">
        <f aca="false">IF($D493="","",IFERROR(IF(INDEX(Hierarchy!$F$2:$F$1295,MATCH($D493,Hierarchy!$A$2:$A$1295,0))="","",INDEX(Hierarchy!$F$2:$F$1295,MATCH($D493,Hierarchy!$A$2:$A$1295,0))),"NODE NOT FOUND"))</f>
        <v/>
      </c>
      <c r="J493" s="7" t="str">
        <f aca="false">IF($D493="","",IFERROR(IF(INDEX(Hierarchy!$G$2:$G$1295,MATCH($D493,Hierarchy!$A$2:$A$1295,0))="","",INDEX(Hierarchy!$G$2:$G$1295,MATCH($D493,Hierarchy!$A$2:$A$1295,0))),"NODE NOT FOUND"))</f>
        <v/>
      </c>
      <c r="K493" s="7" t="str">
        <f aca="false">IF($D493="","",IFERROR(IF(INDEX(Hierarchy!$H$2:$H$1295,MATCH($D493,Hierarchy!$A$2:$A$1295,0))="","",INDEX(Hierarchy!$H$2:$H$1295,MATCH($D493,Hierarchy!$A$2:$A$1295,0))),"NODE NOT FOUND"))</f>
        <v/>
      </c>
      <c r="L493" s="7" t="str">
        <f aca="false">IF($D493="","",IFERROR(IF(INDEX(Hierarchy!$I$2:$I$1295,MATCH($D493,Hierarchy!$A$2:$A$1295,0))="","",INDEX(Hierarchy!$I$2:$I$1295,MATCH($D493,Hierarchy!$A$2:$A$1295,0))),"NODE NOT FOUND"))</f>
        <v/>
      </c>
      <c r="M493" s="17" t="str">
        <f aca="false">IF(B493="Pre-seeded","Pre-seeded",IF(B493="Review 2026-09-16","Added from review",IF(C493="","New",IF(C493=D493,"","Changed"))))</f>
        <v>Changed</v>
      </c>
      <c r="N493" s="7" t="str">
        <f aca="false">TRIM(SUBSTITUTE(SUBSTITUTE(SUBSTITUTE(" "&amp;TRIM(SUBSTITUTE(SUBSTITUTE(SUBSTITUTE(SUBSTITUTE(SUBSTITUTE(SUBSTITUTE(SUBSTITUTE(SUBSTITUTE(SUBSTITUTE(SUBSTITUTE(SUBSTITUTE(SUBSTITUTE(SUBSTITUTE(SUBSTITUTE(SUBSTITUTE(UPPER(TRIM(A493)),"[MEMBER]",""),"{MEMBER}",""),"[MEMBER}",""),"MEMBER]",""),"(A)",""),"""",""),"“",""),"”",""),".",""),":",""),",",""),"–"," "),"-"," "),"/"," "),"&amp;"," AND "))&amp;" "," THE "," ")," TOTAL "," ")," OPERATIONS "," "))</f>
        <v>EMERGING</v>
      </c>
      <c r="O493" s="17" t="str">
        <f aca="false">IF(COUNTIFS($N$2:$N$2000,N493,$D$2:$D$2000,"&lt;&gt;"&amp;D493)&gt;0,"CONFLICT","")</f>
        <v/>
      </c>
      <c r="P493" s="7"/>
    </row>
    <row r="494" customFormat="false" ht="15" hidden="false" customHeight="false" outlineLevel="0" collapsed="false">
      <c r="A494" s="7" t="s">
        <v>2131</v>
      </c>
      <c r="B494" s="7" t="s">
        <v>1879</v>
      </c>
      <c r="C494" s="7"/>
      <c r="D494" s="6" t="s">
        <v>744</v>
      </c>
      <c r="E494" s="6" t="s">
        <v>1891</v>
      </c>
      <c r="F494" s="7" t="str">
        <f aca="false">IF($D494="","",IFERROR(IF(INDEX(Hierarchy!$B$2:$B$1295,MATCH($D494,Hierarchy!$A$2:$A$1295,0))="","",INDEX(Hierarchy!$B$2:$B$1295,MATCH($D494,Hierarchy!$A$2:$A$1295,0))),"NODE NOT FOUND"))</f>
        <v>Sub-region group</v>
      </c>
      <c r="G494" s="7" t="str">
        <f aca="false">IF($D494="","",IFERROR(IF(INDEX(Hierarchy!$D$2:$D$1295,MATCH($D494,Hierarchy!$A$2:$A$1295,0))="","",INDEX(Hierarchy!$D$2:$D$1295,MATCH($D494,Hierarchy!$A$2:$A$1295,0))),"NODE NOT FOUND"))</f>
        <v>APAC</v>
      </c>
      <c r="H494" s="7" t="str">
        <f aca="false">IF($D494="","",IFERROR(IF(INDEX(Hierarchy!$E$2:$E$1295,MATCH($D494,Hierarchy!$A$2:$A$1295,0))="","",INDEX(Hierarchy!$E$2:$E$1295,MATCH($D494,Hierarchy!$A$2:$A$1295,0))),"NODE NOT FOUND"))</f>
        <v/>
      </c>
      <c r="I494" s="7" t="str">
        <f aca="false">IF($D494="","",IFERROR(IF(INDEX(Hierarchy!$F$2:$F$1295,MATCH($D494,Hierarchy!$A$2:$A$1295,0))="","",INDEX(Hierarchy!$F$2:$F$1295,MATCH($D494,Hierarchy!$A$2:$A$1295,0))),"NODE NOT FOUND"))</f>
        <v/>
      </c>
      <c r="J494" s="7" t="str">
        <f aca="false">IF($D494="","",IFERROR(IF(INDEX(Hierarchy!$G$2:$G$1295,MATCH($D494,Hierarchy!$A$2:$A$1295,0))="","",INDEX(Hierarchy!$G$2:$G$1295,MATCH($D494,Hierarchy!$A$2:$A$1295,0))),"NODE NOT FOUND"))</f>
        <v/>
      </c>
      <c r="K494" s="7" t="str">
        <f aca="false">IF($D494="","",IFERROR(IF(INDEX(Hierarchy!$H$2:$H$1295,MATCH($D494,Hierarchy!$A$2:$A$1295,0))="","",INDEX(Hierarchy!$H$2:$H$1295,MATCH($D494,Hierarchy!$A$2:$A$1295,0))),"NODE NOT FOUND"))</f>
        <v/>
      </c>
      <c r="L494" s="7" t="str">
        <f aca="false">IF($D494="","",IFERROR(IF(INDEX(Hierarchy!$I$2:$I$1295,MATCH($D494,Hierarchy!$A$2:$A$1295,0))="","",INDEX(Hierarchy!$I$2:$I$1295,MATCH($D494,Hierarchy!$A$2:$A$1295,0))),"NODE NOT FOUND"))</f>
        <v/>
      </c>
      <c r="M494" s="17" t="str">
        <f aca="false">IF(B494="Pre-seeded","Pre-seeded",IF(B494="Review 2026-09-16","Added from review",IF(C494="","New",IF(C494=D494,"","Changed"))))</f>
        <v>Pre-seeded</v>
      </c>
      <c r="N494" s="7" t="str">
        <f aca="false">TRIM(SUBSTITUTE(SUBSTITUTE(SUBSTITUTE(" "&amp;TRIM(SUBSTITUTE(SUBSTITUTE(SUBSTITUTE(SUBSTITUTE(SUBSTITUTE(SUBSTITUTE(SUBSTITUTE(SUBSTITUTE(SUBSTITUTE(SUBSTITUTE(SUBSTITUTE(SUBSTITUTE(SUBSTITUTE(SUBSTITUTE(SUBSTITUTE(UPPER(TRIM(A494)),"[MEMBER]",""),"{MEMBER}",""),"[MEMBER}",""),"MEMBER]",""),"(A)",""),"""",""),"“",""),"”",""),".",""),":",""),",",""),"–"," "),"-"," "),"/"," "),"&amp;"," AND "))&amp;" "," THE "," ")," TOTAL "," ")," OPERATIONS "," "))</f>
        <v>EMERGING ASIA</v>
      </c>
      <c r="O494" s="17" t="str">
        <f aca="false">IF(COUNTIFS($N$2:$N$2000,N494,$D$2:$D$2000,"&lt;&gt;"&amp;D494)&gt;0,"CONFLICT","")</f>
        <v/>
      </c>
      <c r="P494" s="7"/>
    </row>
    <row r="495" customFormat="false" ht="15" hidden="false" customHeight="false" outlineLevel="0" collapsed="false">
      <c r="A495" s="7" t="s">
        <v>2132</v>
      </c>
      <c r="B495" s="7" t="s">
        <v>1879</v>
      </c>
      <c r="C495" s="7"/>
      <c r="D495" s="6" t="s">
        <v>1811</v>
      </c>
      <c r="E495" s="6" t="s">
        <v>1880</v>
      </c>
      <c r="F495" s="7" t="str">
        <f aca="false">IF($D495="","",IFERROR(IF(INDEX(Hierarchy!$B$2:$B$1295,MATCH($D495,Hierarchy!$A$2:$A$1295,0))="","",INDEX(Hierarchy!$B$2:$B$1295,MATCH($D495,Hierarchy!$A$2:$A$1295,0))),"NODE NOT FOUND"))</f>
        <v>Market grouping</v>
      </c>
      <c r="G495" s="7" t="str">
        <f aca="false">IF($D495="","",IFERROR(IF(INDEX(Hierarchy!$D$2:$D$1295,MATCH($D495,Hierarchy!$A$2:$A$1295,0))="","",INDEX(Hierarchy!$D$2:$D$1295,MATCH($D495,Hierarchy!$A$2:$A$1295,0))),"NODE NOT FOUND"))</f>
        <v>Market grouping</v>
      </c>
      <c r="H495" s="7" t="str">
        <f aca="false">IF($D495="","",IFERROR(IF(INDEX(Hierarchy!$E$2:$E$1295,MATCH($D495,Hierarchy!$A$2:$A$1295,0))="","",INDEX(Hierarchy!$E$2:$E$1295,MATCH($D495,Hierarchy!$A$2:$A$1295,0))),"NODE NOT FOUND"))</f>
        <v/>
      </c>
      <c r="I495" s="7" t="str">
        <f aca="false">IF($D495="","",IFERROR(IF(INDEX(Hierarchy!$F$2:$F$1295,MATCH($D495,Hierarchy!$A$2:$A$1295,0))="","",INDEX(Hierarchy!$F$2:$F$1295,MATCH($D495,Hierarchy!$A$2:$A$1295,0))),"NODE NOT FOUND"))</f>
        <v/>
      </c>
      <c r="J495" s="7" t="str">
        <f aca="false">IF($D495="","",IFERROR(IF(INDEX(Hierarchy!$G$2:$G$1295,MATCH($D495,Hierarchy!$A$2:$A$1295,0))="","",INDEX(Hierarchy!$G$2:$G$1295,MATCH($D495,Hierarchy!$A$2:$A$1295,0))),"NODE NOT FOUND"))</f>
        <v/>
      </c>
      <c r="K495" s="7" t="str">
        <f aca="false">IF($D495="","",IFERROR(IF(INDEX(Hierarchy!$H$2:$H$1295,MATCH($D495,Hierarchy!$A$2:$A$1295,0))="","",INDEX(Hierarchy!$H$2:$H$1295,MATCH($D495,Hierarchy!$A$2:$A$1295,0))),"NODE NOT FOUND"))</f>
        <v/>
      </c>
      <c r="L495" s="7" t="str">
        <f aca="false">IF($D495="","",IFERROR(IF(INDEX(Hierarchy!$I$2:$I$1295,MATCH($D495,Hierarchy!$A$2:$A$1295,0))="","",INDEX(Hierarchy!$I$2:$I$1295,MATCH($D495,Hierarchy!$A$2:$A$1295,0))),"NODE NOT FOUND"))</f>
        <v/>
      </c>
      <c r="M495" s="17" t="str">
        <f aca="false">IF(B495="Pre-seeded","Pre-seeded",IF(B495="Review 2026-09-16","Added from review",IF(C495="","New",IF(C495=D495,"","Changed"))))</f>
        <v>Pre-seeded</v>
      </c>
      <c r="N495" s="7" t="str">
        <f aca="false">TRIM(SUBSTITUTE(SUBSTITUTE(SUBSTITUTE(" "&amp;TRIM(SUBSTITUTE(SUBSTITUTE(SUBSTITUTE(SUBSTITUTE(SUBSTITUTE(SUBSTITUTE(SUBSTITUTE(SUBSTITUTE(SUBSTITUTE(SUBSTITUTE(SUBSTITUTE(SUBSTITUTE(SUBSTITUTE(SUBSTITUTE(SUBSTITUTE(UPPER(TRIM(A495)),"[MEMBER]",""),"{MEMBER}",""),"[MEMBER}",""),"MEMBER]",""),"(A)",""),"""",""),"“",""),"”",""),".",""),":",""),",",""),"–"," "),"-"," "),"/"," "),"&amp;"," AND "))&amp;" "," THE "," ")," TOTAL "," ")," OPERATIONS "," "))</f>
        <v>EMERGING ECONOMIES</v>
      </c>
      <c r="O495" s="17" t="str">
        <f aca="false">IF(COUNTIFS($N$2:$N$2000,N495,$D$2:$D$2000,"&lt;&gt;"&amp;D495)&gt;0,"CONFLICT","")</f>
        <v/>
      </c>
      <c r="P495" s="7"/>
    </row>
    <row r="496" customFormat="false" ht="15" hidden="false" customHeight="false" outlineLevel="0" collapsed="false">
      <c r="A496" s="7" t="s">
        <v>2133</v>
      </c>
      <c r="B496" s="7" t="s">
        <v>1879</v>
      </c>
      <c r="C496" s="7"/>
      <c r="D496" s="6" t="s">
        <v>624</v>
      </c>
      <c r="E496" s="6" t="s">
        <v>1880</v>
      </c>
      <c r="F496" s="7" t="str">
        <f aca="false">IF($D496="","",IFERROR(IF(INDEX(Hierarchy!$B$2:$B$1295,MATCH($D496,Hierarchy!$A$2:$A$1295,0))="","",INDEX(Hierarchy!$B$2:$B$1295,MATCH($D496,Hierarchy!$A$2:$A$1295,0))),"NODE NOT FOUND"))</f>
        <v>Sub-region component</v>
      </c>
      <c r="G496" s="7" t="str">
        <f aca="false">IF($D496="","",IFERROR(IF(INDEX(Hierarchy!$D$2:$D$1295,MATCH($D496,Hierarchy!$A$2:$A$1295,0))="","",INDEX(Hierarchy!$D$2:$D$1295,MATCH($D496,Hierarchy!$A$2:$A$1295,0))),"NODE NOT FOUND"))</f>
        <v>EMEA</v>
      </c>
      <c r="H496" s="7" t="str">
        <f aca="false">IF($D496="","",IFERROR(IF(INDEX(Hierarchy!$E$2:$E$1295,MATCH($D496,Hierarchy!$A$2:$A$1295,0))="","",INDEX(Hierarchy!$E$2:$E$1295,MATCH($D496,Hierarchy!$A$2:$A$1295,0))),"NODE NOT FOUND"))</f>
        <v>Europe</v>
      </c>
      <c r="I496" s="7" t="str">
        <f aca="false">IF($D496="","",IFERROR(IF(INDEX(Hierarchy!$F$2:$F$1295,MATCH($D496,Hierarchy!$A$2:$A$1295,0))="","",INDEX(Hierarchy!$F$2:$F$1295,MATCH($D496,Hierarchy!$A$2:$A$1295,0))),"NODE NOT FOUND"))</f>
        <v/>
      </c>
      <c r="J496" s="7" t="str">
        <f aca="false">IF($D496="","",IFERROR(IF(INDEX(Hierarchy!$G$2:$G$1295,MATCH($D496,Hierarchy!$A$2:$A$1295,0))="","",INDEX(Hierarchy!$G$2:$G$1295,MATCH($D496,Hierarchy!$A$2:$A$1295,0))),"NODE NOT FOUND"))</f>
        <v/>
      </c>
      <c r="K496" s="7" t="str">
        <f aca="false">IF($D496="","",IFERROR(IF(INDEX(Hierarchy!$H$2:$H$1295,MATCH($D496,Hierarchy!$A$2:$A$1295,0))="","",INDEX(Hierarchy!$H$2:$H$1295,MATCH($D496,Hierarchy!$A$2:$A$1295,0))),"NODE NOT FOUND"))</f>
        <v/>
      </c>
      <c r="L496" s="7" t="str">
        <f aca="false">IF($D496="","",IFERROR(IF(INDEX(Hierarchy!$I$2:$I$1295,MATCH($D496,Hierarchy!$A$2:$A$1295,0))="","",INDEX(Hierarchy!$I$2:$I$1295,MATCH($D496,Hierarchy!$A$2:$A$1295,0))),"NODE NOT FOUND"))</f>
        <v/>
      </c>
      <c r="M496" s="17" t="str">
        <f aca="false">IF(B496="Pre-seeded","Pre-seeded",IF(B496="Review 2026-09-16","Added from review",IF(C496="","New",IF(C496=D496,"","Changed"))))</f>
        <v>Pre-seeded</v>
      </c>
      <c r="N496" s="7" t="str">
        <f aca="false">TRIM(SUBSTITUTE(SUBSTITUTE(SUBSTITUTE(" "&amp;TRIM(SUBSTITUTE(SUBSTITUTE(SUBSTITUTE(SUBSTITUTE(SUBSTITUTE(SUBSTITUTE(SUBSTITUTE(SUBSTITUTE(SUBSTITUTE(SUBSTITUTE(SUBSTITUTE(SUBSTITUTE(SUBSTITUTE(SUBSTITUTE(SUBSTITUTE(UPPER(TRIM(A496)),"[MEMBER]",""),"{MEMBER}",""),"[MEMBER}",""),"MEMBER]",""),"(A)",""),"""",""),"“",""),"”",""),".",""),":",""),",",""),"–"," "),"-"," "),"/"," "),"&amp;"," AND "))&amp;" "," THE "," ")," TOTAL "," ")," OPERATIONS "," "))</f>
        <v>EMERGING EUROPE</v>
      </c>
      <c r="O496" s="17" t="str">
        <f aca="false">IF(COUNTIFS($N$2:$N$2000,N496,$D$2:$D$2000,"&lt;&gt;"&amp;D496)&gt;0,"CONFLICT","")</f>
        <v/>
      </c>
      <c r="P496" s="7"/>
    </row>
    <row r="497" customFormat="false" ht="15" hidden="false" customHeight="false" outlineLevel="0" collapsed="false">
      <c r="A497" s="7" t="s">
        <v>1811</v>
      </c>
      <c r="B497" s="7" t="s">
        <v>1885</v>
      </c>
      <c r="C497" s="7" t="s">
        <v>2032</v>
      </c>
      <c r="D497" s="6" t="s">
        <v>1811</v>
      </c>
      <c r="E497" s="6" t="s">
        <v>1880</v>
      </c>
      <c r="F497" s="7" t="str">
        <f aca="false">IF($D497="","",IFERROR(IF(INDEX(Hierarchy!$B$2:$B$1295,MATCH($D497,Hierarchy!$A$2:$A$1295,0))="","",INDEX(Hierarchy!$B$2:$B$1295,MATCH($D497,Hierarchy!$A$2:$A$1295,0))),"NODE NOT FOUND"))</f>
        <v>Market grouping</v>
      </c>
      <c r="G497" s="7" t="str">
        <f aca="false">IF($D497="","",IFERROR(IF(INDEX(Hierarchy!$D$2:$D$1295,MATCH($D497,Hierarchy!$A$2:$A$1295,0))="","",INDEX(Hierarchy!$D$2:$D$1295,MATCH($D497,Hierarchy!$A$2:$A$1295,0))),"NODE NOT FOUND"))</f>
        <v>Market grouping</v>
      </c>
      <c r="H497" s="7" t="str">
        <f aca="false">IF($D497="","",IFERROR(IF(INDEX(Hierarchy!$E$2:$E$1295,MATCH($D497,Hierarchy!$A$2:$A$1295,0))="","",INDEX(Hierarchy!$E$2:$E$1295,MATCH($D497,Hierarchy!$A$2:$A$1295,0))),"NODE NOT FOUND"))</f>
        <v/>
      </c>
      <c r="I497" s="7" t="str">
        <f aca="false">IF($D497="","",IFERROR(IF(INDEX(Hierarchy!$F$2:$F$1295,MATCH($D497,Hierarchy!$A$2:$A$1295,0))="","",INDEX(Hierarchy!$F$2:$F$1295,MATCH($D497,Hierarchy!$A$2:$A$1295,0))),"NODE NOT FOUND"))</f>
        <v/>
      </c>
      <c r="J497" s="7" t="str">
        <f aca="false">IF($D497="","",IFERROR(IF(INDEX(Hierarchy!$G$2:$G$1295,MATCH($D497,Hierarchy!$A$2:$A$1295,0))="","",INDEX(Hierarchy!$G$2:$G$1295,MATCH($D497,Hierarchy!$A$2:$A$1295,0))),"NODE NOT FOUND"))</f>
        <v/>
      </c>
      <c r="K497" s="7" t="str">
        <f aca="false">IF($D497="","",IFERROR(IF(INDEX(Hierarchy!$H$2:$H$1295,MATCH($D497,Hierarchy!$A$2:$A$1295,0))="","",INDEX(Hierarchy!$H$2:$H$1295,MATCH($D497,Hierarchy!$A$2:$A$1295,0))),"NODE NOT FOUND"))</f>
        <v/>
      </c>
      <c r="L497" s="7" t="str">
        <f aca="false">IF($D497="","",IFERROR(IF(INDEX(Hierarchy!$I$2:$I$1295,MATCH($D497,Hierarchy!$A$2:$A$1295,0))="","",INDEX(Hierarchy!$I$2:$I$1295,MATCH($D497,Hierarchy!$A$2:$A$1295,0))),"NODE NOT FOUND"))</f>
        <v/>
      </c>
      <c r="M497" s="17" t="str">
        <f aca="false">IF(B497="Pre-seeded","Pre-seeded",IF(B497="Review 2026-09-16","Added from review",IF(C497="","New",IF(C497=D497,"","Changed"))))</f>
        <v>Changed</v>
      </c>
      <c r="N497" s="7" t="str">
        <f aca="false">TRIM(SUBSTITUTE(SUBSTITUTE(SUBSTITUTE(" "&amp;TRIM(SUBSTITUTE(SUBSTITUTE(SUBSTITUTE(SUBSTITUTE(SUBSTITUTE(SUBSTITUTE(SUBSTITUTE(SUBSTITUTE(SUBSTITUTE(SUBSTITUTE(SUBSTITUTE(SUBSTITUTE(SUBSTITUTE(SUBSTITUTE(SUBSTITUTE(UPPER(TRIM(A497)),"[MEMBER]",""),"{MEMBER}",""),"[MEMBER}",""),"MEMBER]",""),"(A)",""),"""",""),"“",""),"”",""),".",""),":",""),",",""),"–"," "),"-"," "),"/"," "),"&amp;"," AND "))&amp;" "," THE "," ")," TOTAL "," ")," OPERATIONS "," "))</f>
        <v>EMERGING MARKETS</v>
      </c>
      <c r="O497" s="17" t="str">
        <f aca="false">IF(COUNTIFS($N$2:$N$2000,N497,$D$2:$D$2000,"&lt;&gt;"&amp;D497)&gt;0,"CONFLICT","")</f>
        <v/>
      </c>
      <c r="P497" s="7"/>
    </row>
    <row r="498" customFormat="false" ht="15" hidden="false" customHeight="false" outlineLevel="0" collapsed="false">
      <c r="A498" s="7" t="s">
        <v>838</v>
      </c>
      <c r="B498" s="7" t="s">
        <v>1879</v>
      </c>
      <c r="C498" s="7"/>
      <c r="D498" s="6" t="s">
        <v>838</v>
      </c>
      <c r="E498" s="6" t="s">
        <v>1880</v>
      </c>
      <c r="F498" s="7" t="str">
        <f aca="false">IF($D498="","",IFERROR(IF(INDEX(Hierarchy!$B$2:$B$1295,MATCH($D498,Hierarchy!$A$2:$A$1295,0))="","",INDEX(Hierarchy!$B$2:$B$1295,MATCH($D498,Hierarchy!$A$2:$A$1295,0))),"NODE NOT FOUND"))</f>
        <v>State/Province</v>
      </c>
      <c r="G498" s="7" t="str">
        <f aca="false">IF($D498="","",IFERROR(IF(INDEX(Hierarchy!$D$2:$D$1295,MATCH($D498,Hierarchy!$A$2:$A$1295,0))="","",INDEX(Hierarchy!$D$2:$D$1295,MATCH($D498,Hierarchy!$A$2:$A$1295,0))),"NODE NOT FOUND"))</f>
        <v>EMEA</v>
      </c>
      <c r="H498" s="7" t="str">
        <f aca="false">IF($D498="","",IFERROR(IF(INDEX(Hierarchy!$E$2:$E$1295,MATCH($D498,Hierarchy!$A$2:$A$1295,0))="","",INDEX(Hierarchy!$E$2:$E$1295,MATCH($D498,Hierarchy!$A$2:$A$1295,0))),"NODE NOT FOUND"))</f>
        <v>Europe</v>
      </c>
      <c r="I498" s="7" t="str">
        <f aca="false">IF($D498="","",IFERROR(IF(INDEX(Hierarchy!$F$2:$F$1295,MATCH($D498,Hierarchy!$A$2:$A$1295,0))="","",INDEX(Hierarchy!$F$2:$F$1295,MATCH($D498,Hierarchy!$A$2:$A$1295,0))),"NODE NOT FOUND"))</f>
        <v>Italy</v>
      </c>
      <c r="J498" s="7" t="str">
        <f aca="false">IF($D498="","",IFERROR(IF(INDEX(Hierarchy!$G$2:$G$1295,MATCH($D498,Hierarchy!$A$2:$A$1295,0))="","",INDEX(Hierarchy!$G$2:$G$1295,MATCH($D498,Hierarchy!$A$2:$A$1295,0))),"NODE NOT FOUND"))</f>
        <v>ITA</v>
      </c>
      <c r="K498" s="7" t="str">
        <f aca="false">IF($D498="","",IFERROR(IF(INDEX(Hierarchy!$H$2:$H$1295,MATCH($D498,Hierarchy!$A$2:$A$1295,0))="","",INDEX(Hierarchy!$H$2:$H$1295,MATCH($D498,Hierarchy!$A$2:$A$1295,0))),"NODE NOT FOUND"))</f>
        <v>Emilia-Romagna</v>
      </c>
      <c r="L498" s="7" t="str">
        <f aca="false">IF($D498="","",IFERROR(IF(INDEX(Hierarchy!$I$2:$I$1295,MATCH($D498,Hierarchy!$A$2:$A$1295,0))="","",INDEX(Hierarchy!$I$2:$I$1295,MATCH($D498,Hierarchy!$A$2:$A$1295,0))),"NODE NOT FOUND"))</f>
        <v/>
      </c>
      <c r="M498" s="17" t="str">
        <f aca="false">IF(B498="Pre-seeded","Pre-seeded",IF(B498="Review 2026-09-16","Added from review",IF(C498="","New",IF(C498=D498,"","Changed"))))</f>
        <v>Pre-seeded</v>
      </c>
      <c r="N498" s="7" t="str">
        <f aca="false">TRIM(SUBSTITUTE(SUBSTITUTE(SUBSTITUTE(" "&amp;TRIM(SUBSTITUTE(SUBSTITUTE(SUBSTITUTE(SUBSTITUTE(SUBSTITUTE(SUBSTITUTE(SUBSTITUTE(SUBSTITUTE(SUBSTITUTE(SUBSTITUTE(SUBSTITUTE(SUBSTITUTE(SUBSTITUTE(SUBSTITUTE(SUBSTITUTE(UPPER(TRIM(A498)),"[MEMBER]",""),"{MEMBER}",""),"[MEMBER}",""),"MEMBER]",""),"(A)",""),"""",""),"“",""),"”",""),".",""),":",""),",",""),"–"," "),"-"," "),"/"," "),"&amp;"," AND "))&amp;" "," THE "," ")," TOTAL "," ")," OPERATIONS "," "))</f>
        <v>EMILIA ROMAGNA</v>
      </c>
      <c r="O498" s="17" t="str">
        <f aca="false">IF(COUNTIFS($N$2:$N$2000,N498,$D$2:$D$2000,"&lt;&gt;"&amp;D498)&gt;0,"CONFLICT","")</f>
        <v/>
      </c>
      <c r="P498" s="7"/>
    </row>
    <row r="499" customFormat="false" ht="15" hidden="false" customHeight="false" outlineLevel="0" collapsed="false">
      <c r="A499" s="7" t="s">
        <v>2134</v>
      </c>
      <c r="B499" s="7" t="s">
        <v>1879</v>
      </c>
      <c r="C499" s="7"/>
      <c r="D499" s="6" t="s">
        <v>1035</v>
      </c>
      <c r="E499" s="6" t="s">
        <v>1880</v>
      </c>
      <c r="F499" s="7" t="str">
        <f aca="false">IF($D499="","",IFERROR(IF(INDEX(Hierarchy!$B$2:$B$1295,MATCH($D499,Hierarchy!$A$2:$A$1295,0))="","",INDEX(Hierarchy!$B$2:$B$1295,MATCH($D499,Hierarchy!$A$2:$A$1295,0))),"NODE NOT FOUND"))</f>
        <v>Country</v>
      </c>
      <c r="G499" s="7" t="str">
        <f aca="false">IF($D499="","",IFERROR(IF(INDEX(Hierarchy!$D$2:$D$1295,MATCH($D499,Hierarchy!$A$2:$A$1295,0))="","",INDEX(Hierarchy!$D$2:$D$1295,MATCH($D499,Hierarchy!$A$2:$A$1295,0))),"NODE NOT FOUND"))</f>
        <v>EMEA</v>
      </c>
      <c r="H499" s="7" t="str">
        <f aca="false">IF($D499="","",IFERROR(IF(INDEX(Hierarchy!$E$2:$E$1295,MATCH($D499,Hierarchy!$A$2:$A$1295,0))="","",INDEX(Hierarchy!$E$2:$E$1295,MATCH($D499,Hierarchy!$A$2:$A$1295,0))),"NODE NOT FOUND"))</f>
        <v>Middle East</v>
      </c>
      <c r="I499" s="7" t="str">
        <f aca="false">IF($D499="","",IFERROR(IF(INDEX(Hierarchy!$F$2:$F$1295,MATCH($D499,Hierarchy!$A$2:$A$1295,0))="","",INDEX(Hierarchy!$F$2:$F$1295,MATCH($D499,Hierarchy!$A$2:$A$1295,0))),"NODE NOT FOUND"))</f>
        <v>United Arab Emirates</v>
      </c>
      <c r="J499" s="7" t="str">
        <f aca="false">IF($D499="","",IFERROR(IF(INDEX(Hierarchy!$G$2:$G$1295,MATCH($D499,Hierarchy!$A$2:$A$1295,0))="","",INDEX(Hierarchy!$G$2:$G$1295,MATCH($D499,Hierarchy!$A$2:$A$1295,0))),"NODE NOT FOUND"))</f>
        <v>ARE</v>
      </c>
      <c r="K499" s="7" t="str">
        <f aca="false">IF($D499="","",IFERROR(IF(INDEX(Hierarchy!$H$2:$H$1295,MATCH($D499,Hierarchy!$A$2:$A$1295,0))="","",INDEX(Hierarchy!$H$2:$H$1295,MATCH($D499,Hierarchy!$A$2:$A$1295,0))),"NODE NOT FOUND"))</f>
        <v/>
      </c>
      <c r="L499" s="7" t="str">
        <f aca="false">IF($D499="","",IFERROR(IF(INDEX(Hierarchy!$I$2:$I$1295,MATCH($D499,Hierarchy!$A$2:$A$1295,0))="","",INDEX(Hierarchy!$I$2:$I$1295,MATCH($D499,Hierarchy!$A$2:$A$1295,0))),"NODE NOT FOUND"))</f>
        <v/>
      </c>
      <c r="M499" s="17" t="str">
        <f aca="false">IF(B499="Pre-seeded","Pre-seeded",IF(B499="Review 2026-09-16","Added from review",IF(C499="","New",IF(C499=D499,"","Changed"))))</f>
        <v>Pre-seeded</v>
      </c>
      <c r="N499" s="7" t="str">
        <f aca="false">TRIM(SUBSTITUTE(SUBSTITUTE(SUBSTITUTE(" "&amp;TRIM(SUBSTITUTE(SUBSTITUTE(SUBSTITUTE(SUBSTITUTE(SUBSTITUTE(SUBSTITUTE(SUBSTITUTE(SUBSTITUTE(SUBSTITUTE(SUBSTITUTE(SUBSTITUTE(SUBSTITUTE(SUBSTITUTE(SUBSTITUTE(SUBSTITUTE(UPPER(TRIM(A499)),"[MEMBER]",""),"{MEMBER}",""),"[MEMBER}",""),"MEMBER]",""),"(A)",""),"""",""),"“",""),"”",""),".",""),":",""),",",""),"–"," "),"-"," "),"/"," "),"&amp;"," AND "))&amp;" "," THE "," ")," TOTAL "," ")," OPERATIONS "," "))</f>
        <v>EMIRATES</v>
      </c>
      <c r="O499" s="17" t="str">
        <f aca="false">IF(COUNTIFS($N$2:$N$2000,N499,$D$2:$D$2000,"&lt;&gt;"&amp;D499)&gt;0,"CONFLICT","")</f>
        <v/>
      </c>
      <c r="P499" s="7"/>
    </row>
    <row r="500" customFormat="false" ht="15" hidden="false" customHeight="false" outlineLevel="0" collapsed="false">
      <c r="A500" s="7" t="s">
        <v>664</v>
      </c>
      <c r="B500" s="7" t="s">
        <v>1882</v>
      </c>
      <c r="C500" s="7" t="s">
        <v>664</v>
      </c>
      <c r="D500" s="6" t="s">
        <v>664</v>
      </c>
      <c r="E500" s="6" t="s">
        <v>1880</v>
      </c>
      <c r="F500" s="7" t="str">
        <f aca="false">IF($D500="","",IFERROR(IF(INDEX(Hierarchy!$B$2:$B$1295,MATCH($D500,Hierarchy!$A$2:$A$1295,0))="","",INDEX(Hierarchy!$B$2:$B$1295,MATCH($D500,Hierarchy!$A$2:$A$1295,0))),"NODE NOT FOUND"))</f>
        <v>State/Province</v>
      </c>
      <c r="G500" s="7" t="str">
        <f aca="false">IF($D500="","",IFERROR(IF(INDEX(Hierarchy!$D$2:$D$1295,MATCH($D500,Hierarchy!$A$2:$A$1295,0))="","",INDEX(Hierarchy!$D$2:$D$1295,MATCH($D500,Hierarchy!$A$2:$A$1295,0))),"NODE NOT FOUND"))</f>
        <v>EMEA</v>
      </c>
      <c r="H500" s="7" t="str">
        <f aca="false">IF($D500="","",IFERROR(IF(INDEX(Hierarchy!$E$2:$E$1295,MATCH($D500,Hierarchy!$A$2:$A$1295,0))="","",INDEX(Hierarchy!$E$2:$E$1295,MATCH($D500,Hierarchy!$A$2:$A$1295,0))),"NODE NOT FOUND"))</f>
        <v>Europe</v>
      </c>
      <c r="I500" s="7" t="str">
        <f aca="false">IF($D500="","",IFERROR(IF(INDEX(Hierarchy!$F$2:$F$1295,MATCH($D500,Hierarchy!$A$2:$A$1295,0))="","",INDEX(Hierarchy!$F$2:$F$1295,MATCH($D500,Hierarchy!$A$2:$A$1295,0))),"NODE NOT FOUND"))</f>
        <v>United Kingdom</v>
      </c>
      <c r="J500" s="7" t="str">
        <f aca="false">IF($D500="","",IFERROR(IF(INDEX(Hierarchy!$G$2:$G$1295,MATCH($D500,Hierarchy!$A$2:$A$1295,0))="","",INDEX(Hierarchy!$G$2:$G$1295,MATCH($D500,Hierarchy!$A$2:$A$1295,0))),"NODE NOT FOUND"))</f>
        <v>GBR</v>
      </c>
      <c r="K500" s="7" t="str">
        <f aca="false">IF($D500="","",IFERROR(IF(INDEX(Hierarchy!$H$2:$H$1295,MATCH($D500,Hierarchy!$A$2:$A$1295,0))="","",INDEX(Hierarchy!$H$2:$H$1295,MATCH($D500,Hierarchy!$A$2:$A$1295,0))),"NODE NOT FOUND"))</f>
        <v>England</v>
      </c>
      <c r="L500" s="7" t="str">
        <f aca="false">IF($D500="","",IFERROR(IF(INDEX(Hierarchy!$I$2:$I$1295,MATCH($D500,Hierarchy!$A$2:$A$1295,0))="","",INDEX(Hierarchy!$I$2:$I$1295,MATCH($D500,Hierarchy!$A$2:$A$1295,0))),"NODE NOT FOUND"))</f>
        <v/>
      </c>
      <c r="M500" s="17" t="str">
        <f aca="false">IF(B500="Pre-seeded","Pre-seeded",IF(B500="Review 2026-09-16","Added from review",IF(C500="","New",IF(C500=D500,"","Changed"))))</f>
        <v/>
      </c>
      <c r="N500" s="7" t="str">
        <f aca="false">TRIM(SUBSTITUTE(SUBSTITUTE(SUBSTITUTE(" "&amp;TRIM(SUBSTITUTE(SUBSTITUTE(SUBSTITUTE(SUBSTITUTE(SUBSTITUTE(SUBSTITUTE(SUBSTITUTE(SUBSTITUTE(SUBSTITUTE(SUBSTITUTE(SUBSTITUTE(SUBSTITUTE(SUBSTITUTE(SUBSTITUTE(SUBSTITUTE(UPPER(TRIM(A500)),"[MEMBER]",""),"{MEMBER}",""),"[MEMBER}",""),"MEMBER]",""),"(A)",""),"""",""),"“",""),"”",""),".",""),":",""),",",""),"–"," "),"-"," "),"/"," "),"&amp;"," AND "))&amp;" "," THE "," ")," TOTAL "," ")," OPERATIONS "," "))</f>
        <v>ENGLAND</v>
      </c>
      <c r="O500" s="17" t="str">
        <f aca="false">IF(COUNTIFS($N$2:$N$2000,N500,$D$2:$D$2000,"&lt;&gt;"&amp;D500)&gt;0,"CONFLICT","")</f>
        <v/>
      </c>
      <c r="P500" s="7"/>
    </row>
    <row r="501" customFormat="false" ht="15" hidden="false" customHeight="false" outlineLevel="0" collapsed="false">
      <c r="A501" s="7" t="s">
        <v>436</v>
      </c>
      <c r="B501" s="7" t="s">
        <v>1879</v>
      </c>
      <c r="C501" s="7"/>
      <c r="D501" s="6" t="s">
        <v>436</v>
      </c>
      <c r="E501" s="6" t="s">
        <v>1880</v>
      </c>
      <c r="F501" s="7" t="str">
        <f aca="false">IF($D501="","",IFERROR(IF(INDEX(Hierarchy!$B$2:$B$1295,MATCH($D501,Hierarchy!$A$2:$A$1295,0))="","",INDEX(Hierarchy!$B$2:$B$1295,MATCH($D501,Hierarchy!$A$2:$A$1295,0))),"NODE NOT FOUND"))</f>
        <v>State/Province</v>
      </c>
      <c r="G501" s="7" t="str">
        <f aca="false">IF($D501="","",IFERROR(IF(INDEX(Hierarchy!$D$2:$D$1295,MATCH($D501,Hierarchy!$A$2:$A$1295,0))="","",INDEX(Hierarchy!$D$2:$D$1295,MATCH($D501,Hierarchy!$A$2:$A$1295,0))),"NODE NOT FOUND"))</f>
        <v>AMER</v>
      </c>
      <c r="H501" s="7" t="str">
        <f aca="false">IF($D501="","",IFERROR(IF(INDEX(Hierarchy!$E$2:$E$1295,MATCH($D501,Hierarchy!$A$2:$A$1295,0))="","",INDEX(Hierarchy!$E$2:$E$1295,MATCH($D501,Hierarchy!$A$2:$A$1295,0))),"NODE NOT FOUND"))</f>
        <v>Latin America (LATAM)</v>
      </c>
      <c r="I501" s="7" t="str">
        <f aca="false">IF($D501="","",IFERROR(IF(INDEX(Hierarchy!$F$2:$F$1295,MATCH($D501,Hierarchy!$A$2:$A$1295,0))="","",INDEX(Hierarchy!$F$2:$F$1295,MATCH($D501,Hierarchy!$A$2:$A$1295,0))),"NODE NOT FOUND"))</f>
        <v>Argentina</v>
      </c>
      <c r="J501" s="7" t="str">
        <f aca="false">IF($D501="","",IFERROR(IF(INDEX(Hierarchy!$G$2:$G$1295,MATCH($D501,Hierarchy!$A$2:$A$1295,0))="","",INDEX(Hierarchy!$G$2:$G$1295,MATCH($D501,Hierarchy!$A$2:$A$1295,0))),"NODE NOT FOUND"))</f>
        <v>ARG</v>
      </c>
      <c r="K501" s="7" t="str">
        <f aca="false">IF($D501="","",IFERROR(IF(INDEX(Hierarchy!$H$2:$H$1295,MATCH($D501,Hierarchy!$A$2:$A$1295,0))="","",INDEX(Hierarchy!$H$2:$H$1295,MATCH($D501,Hierarchy!$A$2:$A$1295,0))),"NODE NOT FOUND"))</f>
        <v>Entre Ríos</v>
      </c>
      <c r="L501" s="7" t="str">
        <f aca="false">IF($D501="","",IFERROR(IF(INDEX(Hierarchy!$I$2:$I$1295,MATCH($D501,Hierarchy!$A$2:$A$1295,0))="","",INDEX(Hierarchy!$I$2:$I$1295,MATCH($D501,Hierarchy!$A$2:$A$1295,0))),"NODE NOT FOUND"))</f>
        <v/>
      </c>
      <c r="M501" s="17" t="str">
        <f aca="false">IF(B501="Pre-seeded","Pre-seeded",IF(B501="Review 2026-09-16","Added from review",IF(C501="","New",IF(C501=D501,"","Changed"))))</f>
        <v>Pre-seeded</v>
      </c>
      <c r="N501" s="7" t="str">
        <f aca="false">TRIM(SUBSTITUTE(SUBSTITUTE(SUBSTITUTE(" "&amp;TRIM(SUBSTITUTE(SUBSTITUTE(SUBSTITUTE(SUBSTITUTE(SUBSTITUTE(SUBSTITUTE(SUBSTITUTE(SUBSTITUTE(SUBSTITUTE(SUBSTITUTE(SUBSTITUTE(SUBSTITUTE(SUBSTITUTE(SUBSTITUTE(SUBSTITUTE(UPPER(TRIM(A501)),"[MEMBER]",""),"{MEMBER}",""),"[MEMBER}",""),"MEMBER]",""),"(A)",""),"""",""),"“",""),"”",""),".",""),":",""),",",""),"–"," "),"-"," "),"/"," "),"&amp;"," AND "))&amp;" "," THE "," ")," TOTAL "," ")," OPERATIONS "," "))</f>
        <v>ENTRE RÍOS</v>
      </c>
      <c r="O501" s="17" t="str">
        <f aca="false">IF(COUNTIFS($N$2:$N$2000,N501,$D$2:$D$2000,"&lt;&gt;"&amp;D501)&gt;0,"CONFLICT","")</f>
        <v/>
      </c>
      <c r="P501" s="7"/>
    </row>
    <row r="502" customFormat="false" ht="15" hidden="false" customHeight="false" outlineLevel="0" collapsed="false">
      <c r="A502" s="7" t="s">
        <v>1145</v>
      </c>
      <c r="B502" s="7" t="s">
        <v>1879</v>
      </c>
      <c r="C502" s="7"/>
      <c r="D502" s="6" t="s">
        <v>1145</v>
      </c>
      <c r="E502" s="6" t="s">
        <v>1880</v>
      </c>
      <c r="F502" s="7" t="str">
        <f aca="false">IF($D502="","",IFERROR(IF(INDEX(Hierarchy!$B$2:$B$1295,MATCH($D502,Hierarchy!$A$2:$A$1295,0))="","",INDEX(Hierarchy!$B$2:$B$1295,MATCH($D502,Hierarchy!$A$2:$A$1295,0))),"NODE NOT FOUND"))</f>
        <v>State/Province</v>
      </c>
      <c r="G502" s="7" t="str">
        <f aca="false">IF($D502="","",IFERROR(IF(INDEX(Hierarchy!$D$2:$D$1295,MATCH($D502,Hierarchy!$A$2:$A$1295,0))="","",INDEX(Hierarchy!$D$2:$D$1295,MATCH($D502,Hierarchy!$A$2:$A$1295,0))),"NODE NOT FOUND"))</f>
        <v>EMEA</v>
      </c>
      <c r="H502" s="7" t="str">
        <f aca="false">IF($D502="","",IFERROR(IF(INDEX(Hierarchy!$E$2:$E$1295,MATCH($D502,Hierarchy!$A$2:$A$1295,0))="","",INDEX(Hierarchy!$E$2:$E$1295,MATCH($D502,Hierarchy!$A$2:$A$1295,0))),"NODE NOT FOUND"))</f>
        <v>Africa</v>
      </c>
      <c r="I502" s="7" t="str">
        <f aca="false">IF($D502="","",IFERROR(IF(INDEX(Hierarchy!$F$2:$F$1295,MATCH($D502,Hierarchy!$A$2:$A$1295,0))="","",INDEX(Hierarchy!$F$2:$F$1295,MATCH($D502,Hierarchy!$A$2:$A$1295,0))),"NODE NOT FOUND"))</f>
        <v>Nigeria</v>
      </c>
      <c r="J502" s="7" t="str">
        <f aca="false">IF($D502="","",IFERROR(IF(INDEX(Hierarchy!$G$2:$G$1295,MATCH($D502,Hierarchy!$A$2:$A$1295,0))="","",INDEX(Hierarchy!$G$2:$G$1295,MATCH($D502,Hierarchy!$A$2:$A$1295,0))),"NODE NOT FOUND"))</f>
        <v>NGA</v>
      </c>
      <c r="K502" s="7" t="str">
        <f aca="false">IF($D502="","",IFERROR(IF(INDEX(Hierarchy!$H$2:$H$1295,MATCH($D502,Hierarchy!$A$2:$A$1295,0))="","",INDEX(Hierarchy!$H$2:$H$1295,MATCH($D502,Hierarchy!$A$2:$A$1295,0))),"NODE NOT FOUND"))</f>
        <v>Enugu</v>
      </c>
      <c r="L502" s="7" t="str">
        <f aca="false">IF($D502="","",IFERROR(IF(INDEX(Hierarchy!$I$2:$I$1295,MATCH($D502,Hierarchy!$A$2:$A$1295,0))="","",INDEX(Hierarchy!$I$2:$I$1295,MATCH($D502,Hierarchy!$A$2:$A$1295,0))),"NODE NOT FOUND"))</f>
        <v/>
      </c>
      <c r="M502" s="17" t="str">
        <f aca="false">IF(B502="Pre-seeded","Pre-seeded",IF(B502="Review 2026-09-16","Added from review",IF(C502="","New",IF(C502=D502,"","Changed"))))</f>
        <v>Pre-seeded</v>
      </c>
      <c r="N502" s="7" t="str">
        <f aca="false">TRIM(SUBSTITUTE(SUBSTITUTE(SUBSTITUTE(" "&amp;TRIM(SUBSTITUTE(SUBSTITUTE(SUBSTITUTE(SUBSTITUTE(SUBSTITUTE(SUBSTITUTE(SUBSTITUTE(SUBSTITUTE(SUBSTITUTE(SUBSTITUTE(SUBSTITUTE(SUBSTITUTE(SUBSTITUTE(SUBSTITUTE(SUBSTITUTE(UPPER(TRIM(A502)),"[MEMBER]",""),"{MEMBER}",""),"[MEMBER}",""),"MEMBER]",""),"(A)",""),"""",""),"“",""),"”",""),".",""),":",""),",",""),"–"," "),"-"," "),"/"," "),"&amp;"," AND "))&amp;" "," THE "," ")," TOTAL "," ")," OPERATIONS "," "))</f>
        <v>ENUGU</v>
      </c>
      <c r="O502" s="17" t="str">
        <f aca="false">IF(COUNTIFS($N$2:$N$2000,N502,$D$2:$D$2000,"&lt;&gt;"&amp;D502)&gt;0,"CONFLICT","")</f>
        <v/>
      </c>
      <c r="P502" s="7"/>
    </row>
    <row r="503" customFormat="false" ht="15" hidden="false" customHeight="false" outlineLevel="0" collapsed="false">
      <c r="A503" s="7" t="s">
        <v>1216</v>
      </c>
      <c r="B503" s="7" t="s">
        <v>1882</v>
      </c>
      <c r="C503" s="7" t="s">
        <v>1216</v>
      </c>
      <c r="D503" s="6" t="s">
        <v>1216</v>
      </c>
      <c r="E503" s="6" t="s">
        <v>1880</v>
      </c>
      <c r="F503" s="7" t="str">
        <f aca="false">IF($D503="","",IFERROR(IF(INDEX(Hierarchy!$B$2:$B$1295,MATCH($D503,Hierarchy!$A$2:$A$1295,0))="","",INDEX(Hierarchy!$B$2:$B$1295,MATCH($D503,Hierarchy!$A$2:$A$1295,0))),"NODE NOT FOUND"))</f>
        <v>Country</v>
      </c>
      <c r="G503" s="7" t="str">
        <f aca="false">IF($D503="","",IFERROR(IF(INDEX(Hierarchy!$D$2:$D$1295,MATCH($D503,Hierarchy!$A$2:$A$1295,0))="","",INDEX(Hierarchy!$D$2:$D$1295,MATCH($D503,Hierarchy!$A$2:$A$1295,0))),"NODE NOT FOUND"))</f>
        <v>EMEA</v>
      </c>
      <c r="H503" s="7" t="str">
        <f aca="false">IF($D503="","",IFERROR(IF(INDEX(Hierarchy!$E$2:$E$1295,MATCH($D503,Hierarchy!$A$2:$A$1295,0))="","",INDEX(Hierarchy!$E$2:$E$1295,MATCH($D503,Hierarchy!$A$2:$A$1295,0))),"NODE NOT FOUND"))</f>
        <v>Africa</v>
      </c>
      <c r="I503" s="7" t="str">
        <f aca="false">IF($D503="","",IFERROR(IF(INDEX(Hierarchy!$F$2:$F$1295,MATCH($D503,Hierarchy!$A$2:$A$1295,0))="","",INDEX(Hierarchy!$F$2:$F$1295,MATCH($D503,Hierarchy!$A$2:$A$1295,0))),"NODE NOT FOUND"))</f>
        <v>Equatorial Guinea</v>
      </c>
      <c r="J503" s="7" t="str">
        <f aca="false">IF($D503="","",IFERROR(IF(INDEX(Hierarchy!$G$2:$G$1295,MATCH($D503,Hierarchy!$A$2:$A$1295,0))="","",INDEX(Hierarchy!$G$2:$G$1295,MATCH($D503,Hierarchy!$A$2:$A$1295,0))),"NODE NOT FOUND"))</f>
        <v>GNQ</v>
      </c>
      <c r="K503" s="7" t="str">
        <f aca="false">IF($D503="","",IFERROR(IF(INDEX(Hierarchy!$H$2:$H$1295,MATCH($D503,Hierarchy!$A$2:$A$1295,0))="","",INDEX(Hierarchy!$H$2:$H$1295,MATCH($D503,Hierarchy!$A$2:$A$1295,0))),"NODE NOT FOUND"))</f>
        <v/>
      </c>
      <c r="L503" s="7" t="str">
        <f aca="false">IF($D503="","",IFERROR(IF(INDEX(Hierarchy!$I$2:$I$1295,MATCH($D503,Hierarchy!$A$2:$A$1295,0))="","",INDEX(Hierarchy!$I$2:$I$1295,MATCH($D503,Hierarchy!$A$2:$A$1295,0))),"NODE NOT FOUND"))</f>
        <v/>
      </c>
      <c r="M503" s="17" t="str">
        <f aca="false">IF(B503="Pre-seeded","Pre-seeded",IF(B503="Review 2026-09-16","Added from review",IF(C503="","New",IF(C503=D503,"","Changed"))))</f>
        <v/>
      </c>
      <c r="N503" s="7" t="str">
        <f aca="false">TRIM(SUBSTITUTE(SUBSTITUTE(SUBSTITUTE(" "&amp;TRIM(SUBSTITUTE(SUBSTITUTE(SUBSTITUTE(SUBSTITUTE(SUBSTITUTE(SUBSTITUTE(SUBSTITUTE(SUBSTITUTE(SUBSTITUTE(SUBSTITUTE(SUBSTITUTE(SUBSTITUTE(SUBSTITUTE(SUBSTITUTE(SUBSTITUTE(UPPER(TRIM(A503)),"[MEMBER]",""),"{MEMBER}",""),"[MEMBER}",""),"MEMBER]",""),"(A)",""),"""",""),"“",""),"”",""),".",""),":",""),",",""),"–"," "),"-"," "),"/"," "),"&amp;"," AND "))&amp;" "," THE "," ")," TOTAL "," ")," OPERATIONS "," "))</f>
        <v>EQUATORIAL GUINEA</v>
      </c>
      <c r="O503" s="17" t="str">
        <f aca="false">IF(COUNTIFS($N$2:$N$2000,N503,$D$2:$D$2000,"&lt;&gt;"&amp;D503)&gt;0,"CONFLICT","")</f>
        <v/>
      </c>
      <c r="P503" s="7"/>
    </row>
    <row r="504" customFormat="false" ht="15" hidden="false" customHeight="false" outlineLevel="0" collapsed="false">
      <c r="A504" s="7" t="s">
        <v>1218</v>
      </c>
      <c r="B504" s="7" t="s">
        <v>1879</v>
      </c>
      <c r="C504" s="7"/>
      <c r="D504" s="6" t="s">
        <v>1218</v>
      </c>
      <c r="E504" s="6" t="s">
        <v>1880</v>
      </c>
      <c r="F504" s="7" t="str">
        <f aca="false">IF($D504="","",IFERROR(IF(INDEX(Hierarchy!$B$2:$B$1295,MATCH($D504,Hierarchy!$A$2:$A$1295,0))="","",INDEX(Hierarchy!$B$2:$B$1295,MATCH($D504,Hierarchy!$A$2:$A$1295,0))),"NODE NOT FOUND"))</f>
        <v>Country</v>
      </c>
      <c r="G504" s="7" t="str">
        <f aca="false">IF($D504="","",IFERROR(IF(INDEX(Hierarchy!$D$2:$D$1295,MATCH($D504,Hierarchy!$A$2:$A$1295,0))="","",INDEX(Hierarchy!$D$2:$D$1295,MATCH($D504,Hierarchy!$A$2:$A$1295,0))),"NODE NOT FOUND"))</f>
        <v>EMEA</v>
      </c>
      <c r="H504" s="7" t="str">
        <f aca="false">IF($D504="","",IFERROR(IF(INDEX(Hierarchy!$E$2:$E$1295,MATCH($D504,Hierarchy!$A$2:$A$1295,0))="","",INDEX(Hierarchy!$E$2:$E$1295,MATCH($D504,Hierarchy!$A$2:$A$1295,0))),"NODE NOT FOUND"))</f>
        <v>Africa</v>
      </c>
      <c r="I504" s="7" t="str">
        <f aca="false">IF($D504="","",IFERROR(IF(INDEX(Hierarchy!$F$2:$F$1295,MATCH($D504,Hierarchy!$A$2:$A$1295,0))="","",INDEX(Hierarchy!$F$2:$F$1295,MATCH($D504,Hierarchy!$A$2:$A$1295,0))),"NODE NOT FOUND"))</f>
        <v>Eritrea</v>
      </c>
      <c r="J504" s="7" t="str">
        <f aca="false">IF($D504="","",IFERROR(IF(INDEX(Hierarchy!$G$2:$G$1295,MATCH($D504,Hierarchy!$A$2:$A$1295,0))="","",INDEX(Hierarchy!$G$2:$G$1295,MATCH($D504,Hierarchy!$A$2:$A$1295,0))),"NODE NOT FOUND"))</f>
        <v>ERI</v>
      </c>
      <c r="K504" s="7" t="str">
        <f aca="false">IF($D504="","",IFERROR(IF(INDEX(Hierarchy!$H$2:$H$1295,MATCH($D504,Hierarchy!$A$2:$A$1295,0))="","",INDEX(Hierarchy!$H$2:$H$1295,MATCH($D504,Hierarchy!$A$2:$A$1295,0))),"NODE NOT FOUND"))</f>
        <v/>
      </c>
      <c r="L504" s="7" t="str">
        <f aca="false">IF($D504="","",IFERROR(IF(INDEX(Hierarchy!$I$2:$I$1295,MATCH($D504,Hierarchy!$A$2:$A$1295,0))="","",INDEX(Hierarchy!$I$2:$I$1295,MATCH($D504,Hierarchy!$A$2:$A$1295,0))),"NODE NOT FOUND"))</f>
        <v/>
      </c>
      <c r="M504" s="17" t="str">
        <f aca="false">IF(B504="Pre-seeded","Pre-seeded",IF(B504="Review 2026-09-16","Added from review",IF(C504="","New",IF(C504=D504,"","Changed"))))</f>
        <v>Pre-seeded</v>
      </c>
      <c r="N504" s="7" t="str">
        <f aca="false">TRIM(SUBSTITUTE(SUBSTITUTE(SUBSTITUTE(" "&amp;TRIM(SUBSTITUTE(SUBSTITUTE(SUBSTITUTE(SUBSTITUTE(SUBSTITUTE(SUBSTITUTE(SUBSTITUTE(SUBSTITUTE(SUBSTITUTE(SUBSTITUTE(SUBSTITUTE(SUBSTITUTE(SUBSTITUTE(SUBSTITUTE(SUBSTITUTE(UPPER(TRIM(A504)),"[MEMBER]",""),"{MEMBER}",""),"[MEMBER}",""),"MEMBER]",""),"(A)",""),"""",""),"“",""),"”",""),".",""),":",""),",",""),"–"," "),"-"," "),"/"," "),"&amp;"," AND "))&amp;" "," THE "," ")," TOTAL "," ")," OPERATIONS "," "))</f>
        <v>ERITREA</v>
      </c>
      <c r="O504" s="17" t="str">
        <f aca="false">IF(COUNTIFS($N$2:$N$2000,N504,$D$2:$D$2000,"&lt;&gt;"&amp;D504)&gt;0,"CONFLICT","")</f>
        <v/>
      </c>
      <c r="P504" s="7"/>
    </row>
    <row r="505" customFormat="false" ht="15" hidden="false" customHeight="false" outlineLevel="0" collapsed="false">
      <c r="A505" s="7" t="s">
        <v>351</v>
      </c>
      <c r="B505" s="7" t="s">
        <v>1879</v>
      </c>
      <c r="C505" s="7"/>
      <c r="D505" s="6" t="s">
        <v>351</v>
      </c>
      <c r="E505" s="6" t="s">
        <v>1880</v>
      </c>
      <c r="F505" s="7" t="str">
        <f aca="false">IF($D505="","",IFERROR(IF(INDEX(Hierarchy!$B$2:$B$1295,MATCH($D505,Hierarchy!$A$2:$A$1295,0))="","",INDEX(Hierarchy!$B$2:$B$1295,MATCH($D505,Hierarchy!$A$2:$A$1295,0))),"NODE NOT FOUND"))</f>
        <v>State/Province</v>
      </c>
      <c r="G505" s="7" t="str">
        <f aca="false">IF($D505="","",IFERROR(IF(INDEX(Hierarchy!$D$2:$D$1295,MATCH($D505,Hierarchy!$A$2:$A$1295,0))="","",INDEX(Hierarchy!$D$2:$D$1295,MATCH($D505,Hierarchy!$A$2:$A$1295,0))),"NODE NOT FOUND"))</f>
        <v>AMER</v>
      </c>
      <c r="H505" s="7" t="str">
        <f aca="false">IF($D505="","",IFERROR(IF(INDEX(Hierarchy!$E$2:$E$1295,MATCH($D505,Hierarchy!$A$2:$A$1295,0))="","",INDEX(Hierarchy!$E$2:$E$1295,MATCH($D505,Hierarchy!$A$2:$A$1295,0))),"NODE NOT FOUND"))</f>
        <v>Latin America (LATAM)</v>
      </c>
      <c r="I505" s="7" t="str">
        <f aca="false">IF($D505="","",IFERROR(IF(INDEX(Hierarchy!$F$2:$F$1295,MATCH($D505,Hierarchy!$A$2:$A$1295,0))="","",INDEX(Hierarchy!$F$2:$F$1295,MATCH($D505,Hierarchy!$A$2:$A$1295,0))),"NODE NOT FOUND"))</f>
        <v>Brazil</v>
      </c>
      <c r="J505" s="7" t="str">
        <f aca="false">IF($D505="","",IFERROR(IF(INDEX(Hierarchy!$G$2:$G$1295,MATCH($D505,Hierarchy!$A$2:$A$1295,0))="","",INDEX(Hierarchy!$G$2:$G$1295,MATCH($D505,Hierarchy!$A$2:$A$1295,0))),"NODE NOT FOUND"))</f>
        <v>BRA</v>
      </c>
      <c r="K505" s="7" t="str">
        <f aca="false">IF($D505="","",IFERROR(IF(INDEX(Hierarchy!$H$2:$H$1295,MATCH($D505,Hierarchy!$A$2:$A$1295,0))="","",INDEX(Hierarchy!$H$2:$H$1295,MATCH($D505,Hierarchy!$A$2:$A$1295,0))),"NODE NOT FOUND"))</f>
        <v>Espírito Santo</v>
      </c>
      <c r="L505" s="7" t="str">
        <f aca="false">IF($D505="","",IFERROR(IF(INDEX(Hierarchy!$I$2:$I$1295,MATCH($D505,Hierarchy!$A$2:$A$1295,0))="","",INDEX(Hierarchy!$I$2:$I$1295,MATCH($D505,Hierarchy!$A$2:$A$1295,0))),"NODE NOT FOUND"))</f>
        <v/>
      </c>
      <c r="M505" s="17" t="str">
        <f aca="false">IF(B505="Pre-seeded","Pre-seeded",IF(B505="Review 2026-09-16","Added from review",IF(C505="","New",IF(C505=D505,"","Changed"))))</f>
        <v>Pre-seeded</v>
      </c>
      <c r="N505" s="7" t="str">
        <f aca="false">TRIM(SUBSTITUTE(SUBSTITUTE(SUBSTITUTE(" "&amp;TRIM(SUBSTITUTE(SUBSTITUTE(SUBSTITUTE(SUBSTITUTE(SUBSTITUTE(SUBSTITUTE(SUBSTITUTE(SUBSTITUTE(SUBSTITUTE(SUBSTITUTE(SUBSTITUTE(SUBSTITUTE(SUBSTITUTE(SUBSTITUTE(SUBSTITUTE(UPPER(TRIM(A505)),"[MEMBER]",""),"{MEMBER}",""),"[MEMBER}",""),"MEMBER]",""),"(A)",""),"""",""),"“",""),"”",""),".",""),":",""),",",""),"–"," "),"-"," "),"/"," "),"&amp;"," AND "))&amp;" "," THE "," ")," TOTAL "," ")," OPERATIONS "," "))</f>
        <v>ESPÍRITO SANTO</v>
      </c>
      <c r="O505" s="17" t="str">
        <f aca="false">IF(COUNTIFS($N$2:$N$2000,N505,$D$2:$D$2000,"&lt;&gt;"&amp;D505)&gt;0,"CONFLICT","")</f>
        <v/>
      </c>
      <c r="P505" s="7"/>
    </row>
    <row r="506" customFormat="false" ht="15" hidden="false" customHeight="false" outlineLevel="0" collapsed="false">
      <c r="A506" s="7" t="s">
        <v>2135</v>
      </c>
      <c r="B506" s="7" t="s">
        <v>1879</v>
      </c>
      <c r="C506" s="7"/>
      <c r="D506" s="6" t="s">
        <v>413</v>
      </c>
      <c r="E506" s="6" t="s">
        <v>1880</v>
      </c>
      <c r="F506" s="7" t="str">
        <f aca="false">IF($D506="","",IFERROR(IF(INDEX(Hierarchy!$B$2:$B$1295,MATCH($D506,Hierarchy!$A$2:$A$1295,0))="","",INDEX(Hierarchy!$B$2:$B$1295,MATCH($D506,Hierarchy!$A$2:$A$1295,0))),"NODE NOT FOUND"))</f>
        <v>State/Province</v>
      </c>
      <c r="G506" s="7" t="str">
        <f aca="false">IF($D506="","",IFERROR(IF(INDEX(Hierarchy!$D$2:$D$1295,MATCH($D506,Hierarchy!$A$2:$A$1295,0))="","",INDEX(Hierarchy!$D$2:$D$1295,MATCH($D506,Hierarchy!$A$2:$A$1295,0))),"NODE NOT FOUND"))</f>
        <v>AMER</v>
      </c>
      <c r="H506" s="7" t="str">
        <f aca="false">IF($D506="","",IFERROR(IF(INDEX(Hierarchy!$E$2:$E$1295,MATCH($D506,Hierarchy!$A$2:$A$1295,0))="","",INDEX(Hierarchy!$E$2:$E$1295,MATCH($D506,Hierarchy!$A$2:$A$1295,0))),"NODE NOT FOUND"))</f>
        <v>Latin America (LATAM)</v>
      </c>
      <c r="I506" s="7" t="str">
        <f aca="false">IF($D506="","",IFERROR(IF(INDEX(Hierarchy!$F$2:$F$1295,MATCH($D506,Hierarchy!$A$2:$A$1295,0))="","",INDEX(Hierarchy!$F$2:$F$1295,MATCH($D506,Hierarchy!$A$2:$A$1295,0))),"NODE NOT FOUND"))</f>
        <v>Mexico</v>
      </c>
      <c r="J506" s="7" t="str">
        <f aca="false">IF($D506="","",IFERROR(IF(INDEX(Hierarchy!$G$2:$G$1295,MATCH($D506,Hierarchy!$A$2:$A$1295,0))="","",INDEX(Hierarchy!$G$2:$G$1295,MATCH($D506,Hierarchy!$A$2:$A$1295,0))),"NODE NOT FOUND"))</f>
        <v>MEX</v>
      </c>
      <c r="K506" s="7" t="str">
        <f aca="false">IF($D506="","",IFERROR(IF(INDEX(Hierarchy!$H$2:$H$1295,MATCH($D506,Hierarchy!$A$2:$A$1295,0))="","",INDEX(Hierarchy!$H$2:$H$1295,MATCH($D506,Hierarchy!$A$2:$A$1295,0))),"NODE NOT FOUND"))</f>
        <v>State of Mexico</v>
      </c>
      <c r="L506" s="7" t="str">
        <f aca="false">IF($D506="","",IFERROR(IF(INDEX(Hierarchy!$I$2:$I$1295,MATCH($D506,Hierarchy!$A$2:$A$1295,0))="","",INDEX(Hierarchy!$I$2:$I$1295,MATCH($D506,Hierarchy!$A$2:$A$1295,0))),"NODE NOT FOUND"))</f>
        <v/>
      </c>
      <c r="M506" s="17" t="str">
        <f aca="false">IF(B506="Pre-seeded","Pre-seeded",IF(B506="Review 2026-09-16","Added from review",IF(C506="","New",IF(C506=D506,"","Changed"))))</f>
        <v>Pre-seeded</v>
      </c>
      <c r="N506" s="7" t="str">
        <f aca="false">TRIM(SUBSTITUTE(SUBSTITUTE(SUBSTITUTE(" "&amp;TRIM(SUBSTITUTE(SUBSTITUTE(SUBSTITUTE(SUBSTITUTE(SUBSTITUTE(SUBSTITUTE(SUBSTITUTE(SUBSTITUTE(SUBSTITUTE(SUBSTITUTE(SUBSTITUTE(SUBSTITUTE(SUBSTITUTE(SUBSTITUTE(SUBSTITUTE(UPPER(TRIM(A506)),"[MEMBER]",""),"{MEMBER}",""),"[MEMBER}",""),"MEMBER]",""),"(A)",""),"""",""),"“",""),"”",""),".",""),":",""),",",""),"–"," "),"-"," "),"/"," "),"&amp;"," AND "))&amp;" "," THE "," ")," TOTAL "," ")," OPERATIONS "," "))</f>
        <v>ESTADO DE MÉXICO</v>
      </c>
      <c r="O506" s="17" t="str">
        <f aca="false">IF(COUNTIFS($N$2:$N$2000,N506,$D$2:$D$2000,"&lt;&gt;"&amp;D506)&gt;0,"CONFLICT","")</f>
        <v/>
      </c>
      <c r="P506" s="7"/>
    </row>
    <row r="507" customFormat="false" ht="15" hidden="false" customHeight="false" outlineLevel="0" collapsed="false">
      <c r="A507" s="7" t="s">
        <v>791</v>
      </c>
      <c r="B507" s="7" t="s">
        <v>1879</v>
      </c>
      <c r="C507" s="7"/>
      <c r="D507" s="6" t="s">
        <v>791</v>
      </c>
      <c r="E507" s="6" t="s">
        <v>1880</v>
      </c>
      <c r="F507" s="7" t="str">
        <f aca="false">IF($D507="","",IFERROR(IF(INDEX(Hierarchy!$B$2:$B$1295,MATCH($D507,Hierarchy!$A$2:$A$1295,0))="","",INDEX(Hierarchy!$B$2:$B$1295,MATCH($D507,Hierarchy!$A$2:$A$1295,0))),"NODE NOT FOUND"))</f>
        <v>Country</v>
      </c>
      <c r="G507" s="7" t="str">
        <f aca="false">IF($D507="","",IFERROR(IF(INDEX(Hierarchy!$D$2:$D$1295,MATCH($D507,Hierarchy!$A$2:$A$1295,0))="","",INDEX(Hierarchy!$D$2:$D$1295,MATCH($D507,Hierarchy!$A$2:$A$1295,0))),"NODE NOT FOUND"))</f>
        <v>EMEA</v>
      </c>
      <c r="H507" s="7" t="str">
        <f aca="false">IF($D507="","",IFERROR(IF(INDEX(Hierarchy!$E$2:$E$1295,MATCH($D507,Hierarchy!$A$2:$A$1295,0))="","",INDEX(Hierarchy!$E$2:$E$1295,MATCH($D507,Hierarchy!$A$2:$A$1295,0))),"NODE NOT FOUND"))</f>
        <v>Europe</v>
      </c>
      <c r="I507" s="7" t="str">
        <f aca="false">IF($D507="","",IFERROR(IF(INDEX(Hierarchy!$F$2:$F$1295,MATCH($D507,Hierarchy!$A$2:$A$1295,0))="","",INDEX(Hierarchy!$F$2:$F$1295,MATCH($D507,Hierarchy!$A$2:$A$1295,0))),"NODE NOT FOUND"))</f>
        <v>Estonia</v>
      </c>
      <c r="J507" s="7" t="str">
        <f aca="false">IF($D507="","",IFERROR(IF(INDEX(Hierarchy!$G$2:$G$1295,MATCH($D507,Hierarchy!$A$2:$A$1295,0))="","",INDEX(Hierarchy!$G$2:$G$1295,MATCH($D507,Hierarchy!$A$2:$A$1295,0))),"NODE NOT FOUND"))</f>
        <v>EST</v>
      </c>
      <c r="K507" s="7" t="str">
        <f aca="false">IF($D507="","",IFERROR(IF(INDEX(Hierarchy!$H$2:$H$1295,MATCH($D507,Hierarchy!$A$2:$A$1295,0))="","",INDEX(Hierarchy!$H$2:$H$1295,MATCH($D507,Hierarchy!$A$2:$A$1295,0))),"NODE NOT FOUND"))</f>
        <v/>
      </c>
      <c r="L507" s="7" t="str">
        <f aca="false">IF($D507="","",IFERROR(IF(INDEX(Hierarchy!$I$2:$I$1295,MATCH($D507,Hierarchy!$A$2:$A$1295,0))="","",INDEX(Hierarchy!$I$2:$I$1295,MATCH($D507,Hierarchy!$A$2:$A$1295,0))),"NODE NOT FOUND"))</f>
        <v/>
      </c>
      <c r="M507" s="17" t="str">
        <f aca="false">IF(B507="Pre-seeded","Pre-seeded",IF(B507="Review 2026-09-16","Added from review",IF(C507="","New",IF(C507=D507,"","Changed"))))</f>
        <v>Pre-seeded</v>
      </c>
      <c r="N507" s="7" t="str">
        <f aca="false">TRIM(SUBSTITUTE(SUBSTITUTE(SUBSTITUTE(" "&amp;TRIM(SUBSTITUTE(SUBSTITUTE(SUBSTITUTE(SUBSTITUTE(SUBSTITUTE(SUBSTITUTE(SUBSTITUTE(SUBSTITUTE(SUBSTITUTE(SUBSTITUTE(SUBSTITUTE(SUBSTITUTE(SUBSTITUTE(SUBSTITUTE(SUBSTITUTE(UPPER(TRIM(A507)),"[MEMBER]",""),"{MEMBER}",""),"[MEMBER}",""),"MEMBER]",""),"(A)",""),"""",""),"“",""),"”",""),".",""),":",""),",",""),"–"," "),"-"," "),"/"," "),"&amp;"," AND "))&amp;" "," THE "," ")," TOTAL "," ")," OPERATIONS "," "))</f>
        <v>ESTONIA</v>
      </c>
      <c r="O507" s="17" t="str">
        <f aca="false">IF(COUNTIFS($N$2:$N$2000,N507,$D$2:$D$2000,"&lt;&gt;"&amp;D507)&gt;0,"CONFLICT","")</f>
        <v/>
      </c>
      <c r="P507" s="7"/>
    </row>
    <row r="508" customFormat="false" ht="15" hidden="false" customHeight="false" outlineLevel="0" collapsed="false">
      <c r="A508" s="7" t="s">
        <v>1220</v>
      </c>
      <c r="B508" s="7" t="s">
        <v>1879</v>
      </c>
      <c r="C508" s="7"/>
      <c r="D508" s="6" t="s">
        <v>1220</v>
      </c>
      <c r="E508" s="6" t="s">
        <v>1880</v>
      </c>
      <c r="F508" s="7" t="str">
        <f aca="false">IF($D508="","",IFERROR(IF(INDEX(Hierarchy!$B$2:$B$1295,MATCH($D508,Hierarchy!$A$2:$A$1295,0))="","",INDEX(Hierarchy!$B$2:$B$1295,MATCH($D508,Hierarchy!$A$2:$A$1295,0))),"NODE NOT FOUND"))</f>
        <v>Country</v>
      </c>
      <c r="G508" s="7" t="str">
        <f aca="false">IF($D508="","",IFERROR(IF(INDEX(Hierarchy!$D$2:$D$1295,MATCH($D508,Hierarchy!$A$2:$A$1295,0))="","",INDEX(Hierarchy!$D$2:$D$1295,MATCH($D508,Hierarchy!$A$2:$A$1295,0))),"NODE NOT FOUND"))</f>
        <v>EMEA</v>
      </c>
      <c r="H508" s="7" t="str">
        <f aca="false">IF($D508="","",IFERROR(IF(INDEX(Hierarchy!$E$2:$E$1295,MATCH($D508,Hierarchy!$A$2:$A$1295,0))="","",INDEX(Hierarchy!$E$2:$E$1295,MATCH($D508,Hierarchy!$A$2:$A$1295,0))),"NODE NOT FOUND"))</f>
        <v>Africa</v>
      </c>
      <c r="I508" s="7" t="str">
        <f aca="false">IF($D508="","",IFERROR(IF(INDEX(Hierarchy!$F$2:$F$1295,MATCH($D508,Hierarchy!$A$2:$A$1295,0))="","",INDEX(Hierarchy!$F$2:$F$1295,MATCH($D508,Hierarchy!$A$2:$A$1295,0))),"NODE NOT FOUND"))</f>
        <v>Eswatini</v>
      </c>
      <c r="J508" s="7" t="str">
        <f aca="false">IF($D508="","",IFERROR(IF(INDEX(Hierarchy!$G$2:$G$1295,MATCH($D508,Hierarchy!$A$2:$A$1295,0))="","",INDEX(Hierarchy!$G$2:$G$1295,MATCH($D508,Hierarchy!$A$2:$A$1295,0))),"NODE NOT FOUND"))</f>
        <v>SWZ</v>
      </c>
      <c r="K508" s="7" t="str">
        <f aca="false">IF($D508="","",IFERROR(IF(INDEX(Hierarchy!$H$2:$H$1295,MATCH($D508,Hierarchy!$A$2:$A$1295,0))="","",INDEX(Hierarchy!$H$2:$H$1295,MATCH($D508,Hierarchy!$A$2:$A$1295,0))),"NODE NOT FOUND"))</f>
        <v/>
      </c>
      <c r="L508" s="7" t="str">
        <f aca="false">IF($D508="","",IFERROR(IF(INDEX(Hierarchy!$I$2:$I$1295,MATCH($D508,Hierarchy!$A$2:$A$1295,0))="","",INDEX(Hierarchy!$I$2:$I$1295,MATCH($D508,Hierarchy!$A$2:$A$1295,0))),"NODE NOT FOUND"))</f>
        <v/>
      </c>
      <c r="M508" s="17" t="str">
        <f aca="false">IF(B508="Pre-seeded","Pre-seeded",IF(B508="Review 2026-09-16","Added from review",IF(C508="","New",IF(C508=D508,"","Changed"))))</f>
        <v>Pre-seeded</v>
      </c>
      <c r="N508" s="7" t="str">
        <f aca="false">TRIM(SUBSTITUTE(SUBSTITUTE(SUBSTITUTE(" "&amp;TRIM(SUBSTITUTE(SUBSTITUTE(SUBSTITUTE(SUBSTITUTE(SUBSTITUTE(SUBSTITUTE(SUBSTITUTE(SUBSTITUTE(SUBSTITUTE(SUBSTITUTE(SUBSTITUTE(SUBSTITUTE(SUBSTITUTE(SUBSTITUTE(SUBSTITUTE(UPPER(TRIM(A508)),"[MEMBER]",""),"{MEMBER}",""),"[MEMBER}",""),"MEMBER]",""),"(A)",""),"""",""),"“",""),"”",""),".",""),":",""),",",""),"–"," "),"-"," "),"/"," "),"&amp;"," AND "))&amp;" "," THE "," ")," TOTAL "," ")," OPERATIONS "," "))</f>
        <v>ESWATINI</v>
      </c>
      <c r="O508" s="17" t="str">
        <f aca="false">IF(COUNTIFS($N$2:$N$2000,N508,$D$2:$D$2000,"&lt;&gt;"&amp;D508)&gt;0,"CONFLICT","")</f>
        <v/>
      </c>
      <c r="P508" s="7"/>
    </row>
    <row r="509" customFormat="false" ht="15" hidden="false" customHeight="false" outlineLevel="0" collapsed="false">
      <c r="A509" s="7" t="s">
        <v>1222</v>
      </c>
      <c r="B509" s="7" t="s">
        <v>1879</v>
      </c>
      <c r="C509" s="7"/>
      <c r="D509" s="6" t="s">
        <v>1222</v>
      </c>
      <c r="E509" s="6" t="s">
        <v>1880</v>
      </c>
      <c r="F509" s="7" t="str">
        <f aca="false">IF($D509="","",IFERROR(IF(INDEX(Hierarchy!$B$2:$B$1295,MATCH($D509,Hierarchy!$A$2:$A$1295,0))="","",INDEX(Hierarchy!$B$2:$B$1295,MATCH($D509,Hierarchy!$A$2:$A$1295,0))),"NODE NOT FOUND"))</f>
        <v>Country</v>
      </c>
      <c r="G509" s="7" t="str">
        <f aca="false">IF($D509="","",IFERROR(IF(INDEX(Hierarchy!$D$2:$D$1295,MATCH($D509,Hierarchy!$A$2:$A$1295,0))="","",INDEX(Hierarchy!$D$2:$D$1295,MATCH($D509,Hierarchy!$A$2:$A$1295,0))),"NODE NOT FOUND"))</f>
        <v>EMEA</v>
      </c>
      <c r="H509" s="7" t="str">
        <f aca="false">IF($D509="","",IFERROR(IF(INDEX(Hierarchy!$E$2:$E$1295,MATCH($D509,Hierarchy!$A$2:$A$1295,0))="","",INDEX(Hierarchy!$E$2:$E$1295,MATCH($D509,Hierarchy!$A$2:$A$1295,0))),"NODE NOT FOUND"))</f>
        <v>Africa</v>
      </c>
      <c r="I509" s="7" t="str">
        <f aca="false">IF($D509="","",IFERROR(IF(INDEX(Hierarchy!$F$2:$F$1295,MATCH($D509,Hierarchy!$A$2:$A$1295,0))="","",INDEX(Hierarchy!$F$2:$F$1295,MATCH($D509,Hierarchy!$A$2:$A$1295,0))),"NODE NOT FOUND"))</f>
        <v>Ethiopia</v>
      </c>
      <c r="J509" s="7" t="str">
        <f aca="false">IF($D509="","",IFERROR(IF(INDEX(Hierarchy!$G$2:$G$1295,MATCH($D509,Hierarchy!$A$2:$A$1295,0))="","",INDEX(Hierarchy!$G$2:$G$1295,MATCH($D509,Hierarchy!$A$2:$A$1295,0))),"NODE NOT FOUND"))</f>
        <v>ETH</v>
      </c>
      <c r="K509" s="7" t="str">
        <f aca="false">IF($D509="","",IFERROR(IF(INDEX(Hierarchy!$H$2:$H$1295,MATCH($D509,Hierarchy!$A$2:$A$1295,0))="","",INDEX(Hierarchy!$H$2:$H$1295,MATCH($D509,Hierarchy!$A$2:$A$1295,0))),"NODE NOT FOUND"))</f>
        <v/>
      </c>
      <c r="L509" s="7" t="str">
        <f aca="false">IF($D509="","",IFERROR(IF(INDEX(Hierarchy!$I$2:$I$1295,MATCH($D509,Hierarchy!$A$2:$A$1295,0))="","",INDEX(Hierarchy!$I$2:$I$1295,MATCH($D509,Hierarchy!$A$2:$A$1295,0))),"NODE NOT FOUND"))</f>
        <v/>
      </c>
      <c r="M509" s="17" t="str">
        <f aca="false">IF(B509="Pre-seeded","Pre-seeded",IF(B509="Review 2026-09-16","Added from review",IF(C509="","New",IF(C509=D509,"","Changed"))))</f>
        <v>Pre-seeded</v>
      </c>
      <c r="N509" s="7" t="str">
        <f aca="false">TRIM(SUBSTITUTE(SUBSTITUTE(SUBSTITUTE(" "&amp;TRIM(SUBSTITUTE(SUBSTITUTE(SUBSTITUTE(SUBSTITUTE(SUBSTITUTE(SUBSTITUTE(SUBSTITUTE(SUBSTITUTE(SUBSTITUTE(SUBSTITUTE(SUBSTITUTE(SUBSTITUTE(SUBSTITUTE(SUBSTITUTE(SUBSTITUTE(UPPER(TRIM(A509)),"[MEMBER]",""),"{MEMBER}",""),"[MEMBER}",""),"MEMBER]",""),"(A)",""),"""",""),"“",""),"”",""),".",""),":",""),",",""),"–"," "),"-"," "),"/"," "),"&amp;"," AND "))&amp;" "," THE "," ")," TOTAL "," ")," OPERATIONS "," "))</f>
        <v>ETHIOPIA</v>
      </c>
      <c r="O509" s="17" t="str">
        <f aca="false">IF(COUNTIFS($N$2:$N$2000,N509,$D$2:$D$2000,"&lt;&gt;"&amp;D509)&gt;0,"CONFLICT","")</f>
        <v/>
      </c>
      <c r="P509" s="7"/>
    </row>
    <row r="510" customFormat="false" ht="15" hidden="false" customHeight="false" outlineLevel="0" collapsed="false">
      <c r="A510" s="7" t="s">
        <v>2136</v>
      </c>
      <c r="B510" s="7" t="s">
        <v>1879</v>
      </c>
      <c r="C510" s="7"/>
      <c r="D510" s="6" t="s">
        <v>644</v>
      </c>
      <c r="E510" s="6" t="s">
        <v>1880</v>
      </c>
      <c r="F510" s="7" t="str">
        <f aca="false">IF($D510="","",IFERROR(IF(INDEX(Hierarchy!$B$2:$B$1295,MATCH($D510,Hierarchy!$A$2:$A$1295,0))="","",INDEX(Hierarchy!$B$2:$B$1295,MATCH($D510,Hierarchy!$A$2:$A$1295,0))),"NODE NOT FOUND"))</f>
        <v>Sub-region component</v>
      </c>
      <c r="G510" s="7" t="str">
        <f aca="false">IF($D510="","",IFERROR(IF(INDEX(Hierarchy!$D$2:$D$1295,MATCH($D510,Hierarchy!$A$2:$A$1295,0))="","",INDEX(Hierarchy!$D$2:$D$1295,MATCH($D510,Hierarchy!$A$2:$A$1295,0))),"NODE NOT FOUND"))</f>
        <v>EMEA</v>
      </c>
      <c r="H510" s="7" t="str">
        <f aca="false">IF($D510="","",IFERROR(IF(INDEX(Hierarchy!$E$2:$E$1295,MATCH($D510,Hierarchy!$A$2:$A$1295,0))="","",INDEX(Hierarchy!$E$2:$E$1295,MATCH($D510,Hierarchy!$A$2:$A$1295,0))),"NODE NOT FOUND"))</f>
        <v>Europe</v>
      </c>
      <c r="I510" s="7" t="str">
        <f aca="false">IF($D510="","",IFERROR(IF(INDEX(Hierarchy!$F$2:$F$1295,MATCH($D510,Hierarchy!$A$2:$A$1295,0))="","",INDEX(Hierarchy!$F$2:$F$1295,MATCH($D510,Hierarchy!$A$2:$A$1295,0))),"NODE NOT FOUND"))</f>
        <v/>
      </c>
      <c r="J510" s="7" t="str">
        <f aca="false">IF($D510="","",IFERROR(IF(INDEX(Hierarchy!$G$2:$G$1295,MATCH($D510,Hierarchy!$A$2:$A$1295,0))="","",INDEX(Hierarchy!$G$2:$G$1295,MATCH($D510,Hierarchy!$A$2:$A$1295,0))),"NODE NOT FOUND"))</f>
        <v/>
      </c>
      <c r="K510" s="7" t="str">
        <f aca="false">IF($D510="","",IFERROR(IF(INDEX(Hierarchy!$H$2:$H$1295,MATCH($D510,Hierarchy!$A$2:$A$1295,0))="","",INDEX(Hierarchy!$H$2:$H$1295,MATCH($D510,Hierarchy!$A$2:$A$1295,0))),"NODE NOT FOUND"))</f>
        <v/>
      </c>
      <c r="L510" s="7" t="str">
        <f aca="false">IF($D510="","",IFERROR(IF(INDEX(Hierarchy!$I$2:$I$1295,MATCH($D510,Hierarchy!$A$2:$A$1295,0))="","",INDEX(Hierarchy!$I$2:$I$1295,MATCH($D510,Hierarchy!$A$2:$A$1295,0))),"NODE NOT FOUND"))</f>
        <v/>
      </c>
      <c r="M510" s="17" t="str">
        <f aca="false">IF(B510="Pre-seeded","Pre-seeded",IF(B510="Review 2026-09-16","Added from review",IF(C510="","New",IF(C510=D510,"","Changed"))))</f>
        <v>Pre-seeded</v>
      </c>
      <c r="N510" s="7" t="str">
        <f aca="false">TRIM(SUBSTITUTE(SUBSTITUTE(SUBSTITUTE(" "&amp;TRIM(SUBSTITUTE(SUBSTITUTE(SUBSTITUTE(SUBSTITUTE(SUBSTITUTE(SUBSTITUTE(SUBSTITUTE(SUBSTITUTE(SUBSTITUTE(SUBSTITUTE(SUBSTITUTE(SUBSTITUTE(SUBSTITUTE(SUBSTITUTE(SUBSTITUTE(UPPER(TRIM(A510)),"[MEMBER]",""),"{MEMBER}",""),"[MEMBER}",""),"MEMBER]",""),"(A)",""),"""",""),"“",""),"”",""),".",""),":",""),",",""),"–"," "),"-"," "),"/"," "),"&amp;"," AND "))&amp;" "," THE "," ")," TOTAL "," ")," OPERATIONS "," "))</f>
        <v>EU</v>
      </c>
      <c r="O510" s="17" t="str">
        <f aca="false">IF(COUNTIFS($N$2:$N$2000,N510,$D$2:$D$2000,"&lt;&gt;"&amp;D510)&gt;0,"CONFLICT","")</f>
        <v/>
      </c>
      <c r="P510" s="7"/>
    </row>
    <row r="511" customFormat="false" ht="15" hidden="false" customHeight="false" outlineLevel="0" collapsed="false">
      <c r="A511" s="7" t="s">
        <v>645</v>
      </c>
      <c r="B511" s="7" t="s">
        <v>1879</v>
      </c>
      <c r="C511" s="7"/>
      <c r="D511" s="6" t="s">
        <v>644</v>
      </c>
      <c r="E511" s="6" t="s">
        <v>1880</v>
      </c>
      <c r="F511" s="7" t="str">
        <f aca="false">IF($D511="","",IFERROR(IF(INDEX(Hierarchy!$B$2:$B$1295,MATCH($D511,Hierarchy!$A$2:$A$1295,0))="","",INDEX(Hierarchy!$B$2:$B$1295,MATCH($D511,Hierarchy!$A$2:$A$1295,0))),"NODE NOT FOUND"))</f>
        <v>Sub-region component</v>
      </c>
      <c r="G511" s="7" t="str">
        <f aca="false">IF($D511="","",IFERROR(IF(INDEX(Hierarchy!$D$2:$D$1295,MATCH($D511,Hierarchy!$A$2:$A$1295,0))="","",INDEX(Hierarchy!$D$2:$D$1295,MATCH($D511,Hierarchy!$A$2:$A$1295,0))),"NODE NOT FOUND"))</f>
        <v>EMEA</v>
      </c>
      <c r="H511" s="7" t="str">
        <f aca="false">IF($D511="","",IFERROR(IF(INDEX(Hierarchy!$E$2:$E$1295,MATCH($D511,Hierarchy!$A$2:$A$1295,0))="","",INDEX(Hierarchy!$E$2:$E$1295,MATCH($D511,Hierarchy!$A$2:$A$1295,0))),"NODE NOT FOUND"))</f>
        <v>Europe</v>
      </c>
      <c r="I511" s="7" t="str">
        <f aca="false">IF($D511="","",IFERROR(IF(INDEX(Hierarchy!$F$2:$F$1295,MATCH($D511,Hierarchy!$A$2:$A$1295,0))="","",INDEX(Hierarchy!$F$2:$F$1295,MATCH($D511,Hierarchy!$A$2:$A$1295,0))),"NODE NOT FOUND"))</f>
        <v/>
      </c>
      <c r="J511" s="7" t="str">
        <f aca="false">IF($D511="","",IFERROR(IF(INDEX(Hierarchy!$G$2:$G$1295,MATCH($D511,Hierarchy!$A$2:$A$1295,0))="","",INDEX(Hierarchy!$G$2:$G$1295,MATCH($D511,Hierarchy!$A$2:$A$1295,0))),"NODE NOT FOUND"))</f>
        <v/>
      </c>
      <c r="K511" s="7" t="str">
        <f aca="false">IF($D511="","",IFERROR(IF(INDEX(Hierarchy!$H$2:$H$1295,MATCH($D511,Hierarchy!$A$2:$A$1295,0))="","",INDEX(Hierarchy!$H$2:$H$1295,MATCH($D511,Hierarchy!$A$2:$A$1295,0))),"NODE NOT FOUND"))</f>
        <v/>
      </c>
      <c r="L511" s="7" t="str">
        <f aca="false">IF($D511="","",IFERROR(IF(INDEX(Hierarchy!$I$2:$I$1295,MATCH($D511,Hierarchy!$A$2:$A$1295,0))="","",INDEX(Hierarchy!$I$2:$I$1295,MATCH($D511,Hierarchy!$A$2:$A$1295,0))),"NODE NOT FOUND"))</f>
        <v/>
      </c>
      <c r="M511" s="17" t="str">
        <f aca="false">IF(B511="Pre-seeded","Pre-seeded",IF(B511="Review 2026-09-16","Added from review",IF(C511="","New",IF(C511=D511,"","Changed"))))</f>
        <v>Pre-seeded</v>
      </c>
      <c r="N511" s="7" t="str">
        <f aca="false">TRIM(SUBSTITUTE(SUBSTITUTE(SUBSTITUTE(" "&amp;TRIM(SUBSTITUTE(SUBSTITUTE(SUBSTITUTE(SUBSTITUTE(SUBSTITUTE(SUBSTITUTE(SUBSTITUTE(SUBSTITUTE(SUBSTITUTE(SUBSTITUTE(SUBSTITUTE(SUBSTITUTE(SUBSTITUTE(SUBSTITUTE(SUBSTITUTE(UPPER(TRIM(A511)),"[MEMBER]",""),"{MEMBER}",""),"[MEMBER}",""),"MEMBER]",""),"(A)",""),"""",""),"“",""),"”",""),".",""),":",""),",",""),"–"," "),"-"," "),"/"," "),"&amp;"," AND "))&amp;" "," THE "," ")," TOTAL "," ")," OPERATIONS "," "))</f>
        <v>EU 27</v>
      </c>
      <c r="O511" s="17" t="str">
        <f aca="false">IF(COUNTIFS($N$2:$N$2000,N511,$D$2:$D$2000,"&lt;&gt;"&amp;D511)&gt;0,"CONFLICT","")</f>
        <v/>
      </c>
      <c r="P511" s="7"/>
    </row>
    <row r="512" customFormat="false" ht="15" hidden="false" customHeight="false" outlineLevel="0" collapsed="false">
      <c r="A512" s="7" t="s">
        <v>2137</v>
      </c>
      <c r="B512" s="7" t="s">
        <v>1879</v>
      </c>
      <c r="C512" s="7"/>
      <c r="D512" s="6" t="s">
        <v>644</v>
      </c>
      <c r="E512" s="6" t="s">
        <v>1880</v>
      </c>
      <c r="F512" s="7" t="str">
        <f aca="false">IF($D512="","",IFERROR(IF(INDEX(Hierarchy!$B$2:$B$1295,MATCH($D512,Hierarchy!$A$2:$A$1295,0))="","",INDEX(Hierarchy!$B$2:$B$1295,MATCH($D512,Hierarchy!$A$2:$A$1295,0))),"NODE NOT FOUND"))</f>
        <v>Sub-region component</v>
      </c>
      <c r="G512" s="7" t="str">
        <f aca="false">IF($D512="","",IFERROR(IF(INDEX(Hierarchy!$D$2:$D$1295,MATCH($D512,Hierarchy!$A$2:$A$1295,0))="","",INDEX(Hierarchy!$D$2:$D$1295,MATCH($D512,Hierarchy!$A$2:$A$1295,0))),"NODE NOT FOUND"))</f>
        <v>EMEA</v>
      </c>
      <c r="H512" s="7" t="str">
        <f aca="false">IF($D512="","",IFERROR(IF(INDEX(Hierarchy!$E$2:$E$1295,MATCH($D512,Hierarchy!$A$2:$A$1295,0))="","",INDEX(Hierarchy!$E$2:$E$1295,MATCH($D512,Hierarchy!$A$2:$A$1295,0))),"NODE NOT FOUND"))</f>
        <v>Europe</v>
      </c>
      <c r="I512" s="7" t="str">
        <f aca="false">IF($D512="","",IFERROR(IF(INDEX(Hierarchy!$F$2:$F$1295,MATCH($D512,Hierarchy!$A$2:$A$1295,0))="","",INDEX(Hierarchy!$F$2:$F$1295,MATCH($D512,Hierarchy!$A$2:$A$1295,0))),"NODE NOT FOUND"))</f>
        <v/>
      </c>
      <c r="J512" s="7" t="str">
        <f aca="false">IF($D512="","",IFERROR(IF(INDEX(Hierarchy!$G$2:$G$1295,MATCH($D512,Hierarchy!$A$2:$A$1295,0))="","",INDEX(Hierarchy!$G$2:$G$1295,MATCH($D512,Hierarchy!$A$2:$A$1295,0))),"NODE NOT FOUND"))</f>
        <v/>
      </c>
      <c r="K512" s="7" t="str">
        <f aca="false">IF($D512="","",IFERROR(IF(INDEX(Hierarchy!$H$2:$H$1295,MATCH($D512,Hierarchy!$A$2:$A$1295,0))="","",INDEX(Hierarchy!$H$2:$H$1295,MATCH($D512,Hierarchy!$A$2:$A$1295,0))),"NODE NOT FOUND"))</f>
        <v/>
      </c>
      <c r="L512" s="7" t="str">
        <f aca="false">IF($D512="","",IFERROR(IF(INDEX(Hierarchy!$I$2:$I$1295,MATCH($D512,Hierarchy!$A$2:$A$1295,0))="","",INDEX(Hierarchy!$I$2:$I$1295,MATCH($D512,Hierarchy!$A$2:$A$1295,0))),"NODE NOT FOUND"))</f>
        <v/>
      </c>
      <c r="M512" s="17" t="str">
        <f aca="false">IF(B512="Pre-seeded","Pre-seeded",IF(B512="Review 2026-09-16","Added from review",IF(C512="","New",IF(C512=D512,"","Changed"))))</f>
        <v>Pre-seeded</v>
      </c>
      <c r="N512" s="7" t="str">
        <f aca="false">TRIM(SUBSTITUTE(SUBSTITUTE(SUBSTITUTE(" "&amp;TRIM(SUBSTITUTE(SUBSTITUTE(SUBSTITUTE(SUBSTITUTE(SUBSTITUTE(SUBSTITUTE(SUBSTITUTE(SUBSTITUTE(SUBSTITUTE(SUBSTITUTE(SUBSTITUTE(SUBSTITUTE(SUBSTITUTE(SUBSTITUTE(SUBSTITUTE(UPPER(TRIM(A512)),"[MEMBER]",""),"{MEMBER}",""),"[MEMBER}",""),"MEMBER]",""),"(A)",""),"""",""),"“",""),"”",""),".",""),":",""),",",""),"–"," "),"-"," "),"/"," "),"&amp;"," AND "))&amp;" "," THE "," ")," TOTAL "," ")," OPERATIONS "," "))</f>
        <v>EU27</v>
      </c>
      <c r="O512" s="17" t="str">
        <f aca="false">IF(COUNTIFS($N$2:$N$2000,N512,$D$2:$D$2000,"&lt;&gt;"&amp;D512)&gt;0,"CONFLICT","")</f>
        <v/>
      </c>
      <c r="P512" s="7"/>
    </row>
    <row r="513" customFormat="false" ht="15" hidden="false" customHeight="false" outlineLevel="0" collapsed="false">
      <c r="A513" s="7" t="s">
        <v>2138</v>
      </c>
      <c r="B513" s="7" t="s">
        <v>1879</v>
      </c>
      <c r="C513" s="7"/>
      <c r="D513" s="6" t="s">
        <v>1803</v>
      </c>
      <c r="E513" s="6" t="s">
        <v>1886</v>
      </c>
      <c r="F513" s="7" t="str">
        <f aca="false">IF($D513="","",IFERROR(IF(INDEX(Hierarchy!$B$2:$B$1295,MATCH($D513,Hierarchy!$A$2:$A$1295,0))="","",INDEX(Hierarchy!$B$2:$B$1295,MATCH($D513,Hierarchy!$A$2:$A$1295,0))),"NODE NOT FOUND"))</f>
        <v>Multi-region</v>
      </c>
      <c r="G513" s="7" t="str">
        <f aca="false">IF($D513="","",IFERROR(IF(INDEX(Hierarchy!$D$2:$D$1295,MATCH($D513,Hierarchy!$A$2:$A$1295,0))="","",INDEX(Hierarchy!$D$2:$D$1295,MATCH($D513,Hierarchy!$A$2:$A$1295,0))),"NODE NOT FOUND"))</f>
        <v>Multi-region</v>
      </c>
      <c r="H513" s="7" t="str">
        <f aca="false">IF($D513="","",IFERROR(IF(INDEX(Hierarchy!$E$2:$E$1295,MATCH($D513,Hierarchy!$A$2:$A$1295,0))="","",INDEX(Hierarchy!$E$2:$E$1295,MATCH($D513,Hierarchy!$A$2:$A$1295,0))),"NODE NOT FOUND"))</f>
        <v/>
      </c>
      <c r="I513" s="7" t="str">
        <f aca="false">IF($D513="","",IFERROR(IF(INDEX(Hierarchy!$F$2:$F$1295,MATCH($D513,Hierarchy!$A$2:$A$1295,0))="","",INDEX(Hierarchy!$F$2:$F$1295,MATCH($D513,Hierarchy!$A$2:$A$1295,0))),"NODE NOT FOUND"))</f>
        <v/>
      </c>
      <c r="J513" s="7" t="str">
        <f aca="false">IF($D513="","",IFERROR(IF(INDEX(Hierarchy!$G$2:$G$1295,MATCH($D513,Hierarchy!$A$2:$A$1295,0))="","",INDEX(Hierarchy!$G$2:$G$1295,MATCH($D513,Hierarchy!$A$2:$A$1295,0))),"NODE NOT FOUND"))</f>
        <v/>
      </c>
      <c r="K513" s="7" t="str">
        <f aca="false">IF($D513="","",IFERROR(IF(INDEX(Hierarchy!$H$2:$H$1295,MATCH($D513,Hierarchy!$A$2:$A$1295,0))="","",INDEX(Hierarchy!$H$2:$H$1295,MATCH($D513,Hierarchy!$A$2:$A$1295,0))),"NODE NOT FOUND"))</f>
        <v/>
      </c>
      <c r="L513" s="7" t="str">
        <f aca="false">IF($D513="","",IFERROR(IF(INDEX(Hierarchy!$I$2:$I$1295,MATCH($D513,Hierarchy!$A$2:$A$1295,0))="","",INDEX(Hierarchy!$I$2:$I$1295,MATCH($D513,Hierarchy!$A$2:$A$1295,0))),"NODE NOT FOUND"))</f>
        <v/>
      </c>
      <c r="M513" s="17" t="str">
        <f aca="false">IF(B513="Pre-seeded","Pre-seeded",IF(B513="Review 2026-09-16","Added from review",IF(C513="","New",IF(C513=D513,"","Changed"))))</f>
        <v>Pre-seeded</v>
      </c>
      <c r="N513" s="7" t="str">
        <f aca="false">TRIM(SUBSTITUTE(SUBSTITUTE(SUBSTITUTE(" "&amp;TRIM(SUBSTITUTE(SUBSTITUTE(SUBSTITUTE(SUBSTITUTE(SUBSTITUTE(SUBSTITUTE(SUBSTITUTE(SUBSTITUTE(SUBSTITUTE(SUBSTITUTE(SUBSTITUTE(SUBSTITUTE(SUBSTITUTE(SUBSTITUTE(SUBSTITUTE(UPPER(TRIM(A513)),"[MEMBER]",""),"{MEMBER}",""),"[MEMBER}",""),"MEMBER]",""),"(A)",""),"""",""),"“",""),"”",""),".",""),":",""),",",""),"–"," "),"-"," "),"/"," "),"&amp;"," AND "))&amp;" "," THE "," ")," TOTAL "," ")," OPERATIONS "," "))</f>
        <v>EURASIA</v>
      </c>
      <c r="O513" s="17" t="str">
        <f aca="false">IF(COUNTIFS($N$2:$N$2000,N513,$D$2:$D$2000,"&lt;&gt;"&amp;D513)&gt;0,"CONFLICT","")</f>
        <v/>
      </c>
      <c r="P513" s="7"/>
    </row>
    <row r="514" customFormat="false" ht="15" hidden="false" customHeight="false" outlineLevel="0" collapsed="false">
      <c r="A514" s="7" t="s">
        <v>622</v>
      </c>
      <c r="B514" s="7" t="s">
        <v>1882</v>
      </c>
      <c r="C514" s="7" t="s">
        <v>622</v>
      </c>
      <c r="D514" s="6" t="s">
        <v>622</v>
      </c>
      <c r="E514" s="6" t="s">
        <v>1880</v>
      </c>
      <c r="F514" s="7" t="str">
        <f aca="false">IF($D514="","",IFERROR(IF(INDEX(Hierarchy!$B$2:$B$1295,MATCH($D514,Hierarchy!$A$2:$A$1295,0))="","",INDEX(Hierarchy!$B$2:$B$1295,MATCH($D514,Hierarchy!$A$2:$A$1295,0))),"NODE NOT FOUND"))</f>
        <v>Sub-region</v>
      </c>
      <c r="G514" s="7" t="str">
        <f aca="false">IF($D514="","",IFERROR(IF(INDEX(Hierarchy!$D$2:$D$1295,MATCH($D514,Hierarchy!$A$2:$A$1295,0))="","",INDEX(Hierarchy!$D$2:$D$1295,MATCH($D514,Hierarchy!$A$2:$A$1295,0))),"NODE NOT FOUND"))</f>
        <v>EMEA</v>
      </c>
      <c r="H514" s="7" t="str">
        <f aca="false">IF($D514="","",IFERROR(IF(INDEX(Hierarchy!$E$2:$E$1295,MATCH($D514,Hierarchy!$A$2:$A$1295,0))="","",INDEX(Hierarchy!$E$2:$E$1295,MATCH($D514,Hierarchy!$A$2:$A$1295,0))),"NODE NOT FOUND"))</f>
        <v>Europe</v>
      </c>
      <c r="I514" s="7" t="str">
        <f aca="false">IF($D514="","",IFERROR(IF(INDEX(Hierarchy!$F$2:$F$1295,MATCH($D514,Hierarchy!$A$2:$A$1295,0))="","",INDEX(Hierarchy!$F$2:$F$1295,MATCH($D514,Hierarchy!$A$2:$A$1295,0))),"NODE NOT FOUND"))</f>
        <v/>
      </c>
      <c r="J514" s="7" t="str">
        <f aca="false">IF($D514="","",IFERROR(IF(INDEX(Hierarchy!$G$2:$G$1295,MATCH($D514,Hierarchy!$A$2:$A$1295,0))="","",INDEX(Hierarchy!$G$2:$G$1295,MATCH($D514,Hierarchy!$A$2:$A$1295,0))),"NODE NOT FOUND"))</f>
        <v/>
      </c>
      <c r="K514" s="7" t="str">
        <f aca="false">IF($D514="","",IFERROR(IF(INDEX(Hierarchy!$H$2:$H$1295,MATCH($D514,Hierarchy!$A$2:$A$1295,0))="","",INDEX(Hierarchy!$H$2:$H$1295,MATCH($D514,Hierarchy!$A$2:$A$1295,0))),"NODE NOT FOUND"))</f>
        <v/>
      </c>
      <c r="L514" s="7" t="str">
        <f aca="false">IF($D514="","",IFERROR(IF(INDEX(Hierarchy!$I$2:$I$1295,MATCH($D514,Hierarchy!$A$2:$A$1295,0))="","",INDEX(Hierarchy!$I$2:$I$1295,MATCH($D514,Hierarchy!$A$2:$A$1295,0))),"NODE NOT FOUND"))</f>
        <v/>
      </c>
      <c r="M514" s="17" t="str">
        <f aca="false">IF(B514="Pre-seeded","Pre-seeded",IF(B514="Review 2026-09-16","Added from review",IF(C514="","New",IF(C514=D514,"","Changed"))))</f>
        <v/>
      </c>
      <c r="N514" s="7" t="str">
        <f aca="false">TRIM(SUBSTITUTE(SUBSTITUTE(SUBSTITUTE(" "&amp;TRIM(SUBSTITUTE(SUBSTITUTE(SUBSTITUTE(SUBSTITUTE(SUBSTITUTE(SUBSTITUTE(SUBSTITUTE(SUBSTITUTE(SUBSTITUTE(SUBSTITUTE(SUBSTITUTE(SUBSTITUTE(SUBSTITUTE(SUBSTITUTE(SUBSTITUTE(UPPER(TRIM(A514)),"[MEMBER]",""),"{MEMBER}",""),"[MEMBER}",""),"MEMBER]",""),"(A)",""),"""",""),"“",""),"”",""),".",""),":",""),",",""),"–"," "),"-"," "),"/"," "),"&amp;"," AND "))&amp;" "," THE "," ")," TOTAL "," ")," OPERATIONS "," "))</f>
        <v>EUROPE</v>
      </c>
      <c r="O514" s="17" t="str">
        <f aca="false">IF(COUNTIFS($N$2:$N$2000,N514,$D$2:$D$2000,"&lt;&gt;"&amp;D514)&gt;0,"CONFLICT","")</f>
        <v/>
      </c>
      <c r="P514" s="7"/>
    </row>
    <row r="515" customFormat="false" ht="15" hidden="false" customHeight="false" outlineLevel="0" collapsed="false">
      <c r="A515" s="7" t="s">
        <v>2139</v>
      </c>
      <c r="B515" s="7" t="s">
        <v>1879</v>
      </c>
      <c r="C515" s="7"/>
      <c r="D515" s="6" t="s">
        <v>1826</v>
      </c>
      <c r="E515" s="6" t="s">
        <v>1880</v>
      </c>
      <c r="F515" s="7" t="str">
        <f aca="false">IF($D515="","",IFERROR(IF(INDEX(Hierarchy!$B$2:$B$1295,MATCH($D515,Hierarchy!$A$2:$A$1295,0))="","",INDEX(Hierarchy!$B$2:$B$1295,MATCH($D515,Hierarchy!$A$2:$A$1295,0))),"NODE NOT FOUND"))</f>
        <v>Reference grouping</v>
      </c>
      <c r="G515" s="7" t="str">
        <f aca="false">IF($D515="","",IFERROR(IF(INDEX(Hierarchy!$D$2:$D$1295,MATCH($D515,Hierarchy!$A$2:$A$1295,0))="","",INDEX(Hierarchy!$D$2:$D$1295,MATCH($D515,Hierarchy!$A$2:$A$1295,0))),"NODE NOT FOUND"))</f>
        <v>Reference (UN / World Bank)</v>
      </c>
      <c r="H515" s="7" t="str">
        <f aca="false">IF($D515="","",IFERROR(IF(INDEX(Hierarchy!$E$2:$E$1295,MATCH($D515,Hierarchy!$A$2:$A$1295,0))="","",INDEX(Hierarchy!$E$2:$E$1295,MATCH($D515,Hierarchy!$A$2:$A$1295,0))),"NODE NOT FOUND"))</f>
        <v/>
      </c>
      <c r="I515" s="7" t="str">
        <f aca="false">IF($D515="","",IFERROR(IF(INDEX(Hierarchy!$F$2:$F$1295,MATCH($D515,Hierarchy!$A$2:$A$1295,0))="","",INDEX(Hierarchy!$F$2:$F$1295,MATCH($D515,Hierarchy!$A$2:$A$1295,0))),"NODE NOT FOUND"))</f>
        <v/>
      </c>
      <c r="J515" s="7" t="str">
        <f aca="false">IF($D515="","",IFERROR(IF(INDEX(Hierarchy!$G$2:$G$1295,MATCH($D515,Hierarchy!$A$2:$A$1295,0))="","",INDEX(Hierarchy!$G$2:$G$1295,MATCH($D515,Hierarchy!$A$2:$A$1295,0))),"NODE NOT FOUND"))</f>
        <v/>
      </c>
      <c r="K515" s="7" t="str">
        <f aca="false">IF($D515="","",IFERROR(IF(INDEX(Hierarchy!$H$2:$H$1295,MATCH($D515,Hierarchy!$A$2:$A$1295,0))="","",INDEX(Hierarchy!$H$2:$H$1295,MATCH($D515,Hierarchy!$A$2:$A$1295,0))),"NODE NOT FOUND"))</f>
        <v/>
      </c>
      <c r="L515" s="7" t="str">
        <f aca="false">IF($D515="","",IFERROR(IF(INDEX(Hierarchy!$I$2:$I$1295,MATCH($D515,Hierarchy!$A$2:$A$1295,0))="","",INDEX(Hierarchy!$I$2:$I$1295,MATCH($D515,Hierarchy!$A$2:$A$1295,0))),"NODE NOT FOUND"))</f>
        <v/>
      </c>
      <c r="M515" s="17" t="str">
        <f aca="false">IF(B515="Pre-seeded","Pre-seeded",IF(B515="Review 2026-09-16","Added from review",IF(C515="","New",IF(C515=D515,"","Changed"))))</f>
        <v>Pre-seeded</v>
      </c>
      <c r="N515" s="7" t="str">
        <f aca="false">TRIM(SUBSTITUTE(SUBSTITUTE(SUBSTITUTE(" "&amp;TRIM(SUBSTITUTE(SUBSTITUTE(SUBSTITUTE(SUBSTITUTE(SUBSTITUTE(SUBSTITUTE(SUBSTITUTE(SUBSTITUTE(SUBSTITUTE(SUBSTITUTE(SUBSTITUTE(SUBSTITUTE(SUBSTITUTE(SUBSTITUTE(SUBSTITUTE(UPPER(TRIM(A515)),"[MEMBER]",""),"{MEMBER}",""),"[MEMBER}",""),"MEMBER]",""),"(A)",""),"""",""),"“",""),"”",""),".",""),":",""),",",""),"–"," "),"-"," "),"/"," "),"&amp;"," AND "))&amp;" "," THE "," ")," TOTAL "," ")," OPERATIONS "," "))</f>
        <v>EUROPE AND CENTRAL ASIA</v>
      </c>
      <c r="O515" s="17" t="str">
        <f aca="false">IF(COUNTIFS($N$2:$N$2000,N515,$D$2:$D$2000,"&lt;&gt;"&amp;D515)&gt;0,"CONFLICT","")</f>
        <v/>
      </c>
      <c r="P515" s="7"/>
    </row>
    <row r="516" customFormat="false" ht="15" hidden="false" customHeight="false" outlineLevel="0" collapsed="false">
      <c r="A516" s="7" t="s">
        <v>2140</v>
      </c>
      <c r="B516" s="7" t="s">
        <v>1885</v>
      </c>
      <c r="C516" s="7" t="s">
        <v>622</v>
      </c>
      <c r="D516" s="6" t="s">
        <v>622</v>
      </c>
      <c r="E516" s="6" t="s">
        <v>1891</v>
      </c>
      <c r="F516" s="7" t="str">
        <f aca="false">IF($D516="","",IFERROR(IF(INDEX(Hierarchy!$B$2:$B$1295,MATCH($D516,Hierarchy!$A$2:$A$1295,0))="","",INDEX(Hierarchy!$B$2:$B$1295,MATCH($D516,Hierarchy!$A$2:$A$1295,0))),"NODE NOT FOUND"))</f>
        <v>Sub-region</v>
      </c>
      <c r="G516" s="7" t="str">
        <f aca="false">IF($D516="","",IFERROR(IF(INDEX(Hierarchy!$D$2:$D$1295,MATCH($D516,Hierarchy!$A$2:$A$1295,0))="","",INDEX(Hierarchy!$D$2:$D$1295,MATCH($D516,Hierarchy!$A$2:$A$1295,0))),"NODE NOT FOUND"))</f>
        <v>EMEA</v>
      </c>
      <c r="H516" s="7" t="str">
        <f aca="false">IF($D516="","",IFERROR(IF(INDEX(Hierarchy!$E$2:$E$1295,MATCH($D516,Hierarchy!$A$2:$A$1295,0))="","",INDEX(Hierarchy!$E$2:$E$1295,MATCH($D516,Hierarchy!$A$2:$A$1295,0))),"NODE NOT FOUND"))</f>
        <v>Europe</v>
      </c>
      <c r="I516" s="7" t="str">
        <f aca="false">IF($D516="","",IFERROR(IF(INDEX(Hierarchy!$F$2:$F$1295,MATCH($D516,Hierarchy!$A$2:$A$1295,0))="","",INDEX(Hierarchy!$F$2:$F$1295,MATCH($D516,Hierarchy!$A$2:$A$1295,0))),"NODE NOT FOUND"))</f>
        <v/>
      </c>
      <c r="J516" s="7" t="str">
        <f aca="false">IF($D516="","",IFERROR(IF(INDEX(Hierarchy!$G$2:$G$1295,MATCH($D516,Hierarchy!$A$2:$A$1295,0))="","",INDEX(Hierarchy!$G$2:$G$1295,MATCH($D516,Hierarchy!$A$2:$A$1295,0))),"NODE NOT FOUND"))</f>
        <v/>
      </c>
      <c r="K516" s="7" t="str">
        <f aca="false">IF($D516="","",IFERROR(IF(INDEX(Hierarchy!$H$2:$H$1295,MATCH($D516,Hierarchy!$A$2:$A$1295,0))="","",INDEX(Hierarchy!$H$2:$H$1295,MATCH($D516,Hierarchy!$A$2:$A$1295,0))),"NODE NOT FOUND"))</f>
        <v/>
      </c>
      <c r="L516" s="7" t="str">
        <f aca="false">IF($D516="","",IFERROR(IF(INDEX(Hierarchy!$I$2:$I$1295,MATCH($D516,Hierarchy!$A$2:$A$1295,0))="","",INDEX(Hierarchy!$I$2:$I$1295,MATCH($D516,Hierarchy!$A$2:$A$1295,0))),"NODE NOT FOUND"))</f>
        <v/>
      </c>
      <c r="M516" s="17" t="str">
        <f aca="false">IF(B516="Pre-seeded","Pre-seeded",IF(B516="Review 2026-09-16","Added from review",IF(C516="","New",IF(C516=D516,"","Changed"))))</f>
        <v/>
      </c>
      <c r="N516" s="7" t="str">
        <f aca="false">TRIM(SUBSTITUTE(SUBSTITUTE(SUBSTITUTE(" "&amp;TRIM(SUBSTITUTE(SUBSTITUTE(SUBSTITUTE(SUBSTITUTE(SUBSTITUTE(SUBSTITUTE(SUBSTITUTE(SUBSTITUTE(SUBSTITUTE(SUBSTITUTE(SUBSTITUTE(SUBSTITUTE(SUBSTITUTE(SUBSTITUTE(SUBSTITUTE(UPPER(TRIM(A516)),"[MEMBER]",""),"{MEMBER}",""),"[MEMBER}",""),"MEMBER]",""),"(A)",""),"""",""),"“",""),"”",""),".",""),":",""),",",""),"–"," "),"-"," "),"/"," "),"&amp;"," AND "))&amp;" "," THE "," ")," TOTAL "," ")," OPERATIONS "," "))</f>
        <v>EUROPE (EXCLUDING UNITED KINGDOM)</v>
      </c>
      <c r="O516" s="17" t="str">
        <f aca="false">IF(COUNTIFS($N$2:$N$2000,N516,$D$2:$D$2000,"&lt;&gt;"&amp;D516)&gt;0,"CONFLICT","")</f>
        <v/>
      </c>
      <c r="P516" s="7" t="s">
        <v>2141</v>
      </c>
    </row>
    <row r="517" customFormat="false" ht="15" hidden="false" customHeight="false" outlineLevel="0" collapsed="false">
      <c r="A517" s="7" t="s">
        <v>1824</v>
      </c>
      <c r="B517" s="7" t="s">
        <v>1879</v>
      </c>
      <c r="C517" s="7"/>
      <c r="D517" s="6" t="s">
        <v>1824</v>
      </c>
      <c r="E517" s="6" t="s">
        <v>1880</v>
      </c>
      <c r="F517" s="7" t="str">
        <f aca="false">IF($D517="","",IFERROR(IF(INDEX(Hierarchy!$B$2:$B$1295,MATCH($D517,Hierarchy!$A$2:$A$1295,0))="","",INDEX(Hierarchy!$B$2:$B$1295,MATCH($D517,Hierarchy!$A$2:$A$1295,0))),"NODE NOT FOUND"))</f>
        <v>Reference grouping</v>
      </c>
      <c r="G517" s="7" t="str">
        <f aca="false">IF($D517="","",IFERROR(IF(INDEX(Hierarchy!$D$2:$D$1295,MATCH($D517,Hierarchy!$A$2:$A$1295,0))="","",INDEX(Hierarchy!$D$2:$D$1295,MATCH($D517,Hierarchy!$A$2:$A$1295,0))),"NODE NOT FOUND"))</f>
        <v>Reference (UN / World Bank)</v>
      </c>
      <c r="H517" s="7" t="str">
        <f aca="false">IF($D517="","",IFERROR(IF(INDEX(Hierarchy!$E$2:$E$1295,MATCH($D517,Hierarchy!$A$2:$A$1295,0))="","",INDEX(Hierarchy!$E$2:$E$1295,MATCH($D517,Hierarchy!$A$2:$A$1295,0))),"NODE NOT FOUND"))</f>
        <v/>
      </c>
      <c r="I517" s="7" t="str">
        <f aca="false">IF($D517="","",IFERROR(IF(INDEX(Hierarchy!$F$2:$F$1295,MATCH($D517,Hierarchy!$A$2:$A$1295,0))="","",INDEX(Hierarchy!$F$2:$F$1295,MATCH($D517,Hierarchy!$A$2:$A$1295,0))),"NODE NOT FOUND"))</f>
        <v/>
      </c>
      <c r="J517" s="7" t="str">
        <f aca="false">IF($D517="","",IFERROR(IF(INDEX(Hierarchy!$G$2:$G$1295,MATCH($D517,Hierarchy!$A$2:$A$1295,0))="","",INDEX(Hierarchy!$G$2:$G$1295,MATCH($D517,Hierarchy!$A$2:$A$1295,0))),"NODE NOT FOUND"))</f>
        <v/>
      </c>
      <c r="K517" s="7" t="str">
        <f aca="false">IF($D517="","",IFERROR(IF(INDEX(Hierarchy!$H$2:$H$1295,MATCH($D517,Hierarchy!$A$2:$A$1295,0))="","",INDEX(Hierarchy!$H$2:$H$1295,MATCH($D517,Hierarchy!$A$2:$A$1295,0))),"NODE NOT FOUND"))</f>
        <v/>
      </c>
      <c r="L517" s="7" t="str">
        <f aca="false">IF($D517="","",IFERROR(IF(INDEX(Hierarchy!$I$2:$I$1295,MATCH($D517,Hierarchy!$A$2:$A$1295,0))="","",INDEX(Hierarchy!$I$2:$I$1295,MATCH($D517,Hierarchy!$A$2:$A$1295,0))),"NODE NOT FOUND"))</f>
        <v/>
      </c>
      <c r="M517" s="17" t="str">
        <f aca="false">IF(B517="Pre-seeded","Pre-seeded",IF(B517="Review 2026-09-16","Added from review",IF(C517="","New",IF(C517=D517,"","Changed"))))</f>
        <v>Pre-seeded</v>
      </c>
      <c r="N517" s="7" t="str">
        <f aca="false">TRIM(SUBSTITUTE(SUBSTITUTE(SUBSTITUTE(" "&amp;TRIM(SUBSTITUTE(SUBSTITUTE(SUBSTITUTE(SUBSTITUTE(SUBSTITUTE(SUBSTITUTE(SUBSTITUTE(SUBSTITUTE(SUBSTITUTE(SUBSTITUTE(SUBSTITUTE(SUBSTITUTE(SUBSTITUTE(SUBSTITUTE(SUBSTITUTE(UPPER(TRIM(A517)),"[MEMBER]",""),"{MEMBER}",""),"[MEMBER}",""),"MEMBER]",""),"(A)",""),"""",""),"“",""),"”",""),".",""),":",""),",",""),"–"," "),"-"," "),"/"," "),"&amp;"," AND "))&amp;" "," THE "," ")," TOTAL "," ")," OPERATIONS "," "))</f>
        <v>EUROPE (UN M49)</v>
      </c>
      <c r="O517" s="17" t="str">
        <f aca="false">IF(COUNTIFS($N$2:$N$2000,N517,$D$2:$D$2000,"&lt;&gt;"&amp;D517)&gt;0,"CONFLICT","")</f>
        <v/>
      </c>
      <c r="P517" s="7"/>
    </row>
    <row r="518" customFormat="false" ht="15" hidden="false" customHeight="false" outlineLevel="0" collapsed="false">
      <c r="A518" s="7" t="s">
        <v>2142</v>
      </c>
      <c r="B518" s="7" t="s">
        <v>1879</v>
      </c>
      <c r="C518" s="7"/>
      <c r="D518" s="6" t="s">
        <v>1803</v>
      </c>
      <c r="E518" s="6" t="s">
        <v>1886</v>
      </c>
      <c r="F518" s="7" t="str">
        <f aca="false">IF($D518="","",IFERROR(IF(INDEX(Hierarchy!$B$2:$B$1295,MATCH($D518,Hierarchy!$A$2:$A$1295,0))="","",INDEX(Hierarchy!$B$2:$B$1295,MATCH($D518,Hierarchy!$A$2:$A$1295,0))),"NODE NOT FOUND"))</f>
        <v>Multi-region</v>
      </c>
      <c r="G518" s="7" t="str">
        <f aca="false">IF($D518="","",IFERROR(IF(INDEX(Hierarchy!$D$2:$D$1295,MATCH($D518,Hierarchy!$A$2:$A$1295,0))="","",INDEX(Hierarchy!$D$2:$D$1295,MATCH($D518,Hierarchy!$A$2:$A$1295,0))),"NODE NOT FOUND"))</f>
        <v>Multi-region</v>
      </c>
      <c r="H518" s="7" t="str">
        <f aca="false">IF($D518="","",IFERROR(IF(INDEX(Hierarchy!$E$2:$E$1295,MATCH($D518,Hierarchy!$A$2:$A$1295,0))="","",INDEX(Hierarchy!$E$2:$E$1295,MATCH($D518,Hierarchy!$A$2:$A$1295,0))),"NODE NOT FOUND"))</f>
        <v/>
      </c>
      <c r="I518" s="7" t="str">
        <f aca="false">IF($D518="","",IFERROR(IF(INDEX(Hierarchy!$F$2:$F$1295,MATCH($D518,Hierarchy!$A$2:$A$1295,0))="","",INDEX(Hierarchy!$F$2:$F$1295,MATCH($D518,Hierarchy!$A$2:$A$1295,0))),"NODE NOT FOUND"))</f>
        <v/>
      </c>
      <c r="J518" s="7" t="str">
        <f aca="false">IF($D518="","",IFERROR(IF(INDEX(Hierarchy!$G$2:$G$1295,MATCH($D518,Hierarchy!$A$2:$A$1295,0))="","",INDEX(Hierarchy!$G$2:$G$1295,MATCH($D518,Hierarchy!$A$2:$A$1295,0))),"NODE NOT FOUND"))</f>
        <v/>
      </c>
      <c r="K518" s="7" t="str">
        <f aca="false">IF($D518="","",IFERROR(IF(INDEX(Hierarchy!$H$2:$H$1295,MATCH($D518,Hierarchy!$A$2:$A$1295,0))="","",INDEX(Hierarchy!$H$2:$H$1295,MATCH($D518,Hierarchy!$A$2:$A$1295,0))),"NODE NOT FOUND"))</f>
        <v/>
      </c>
      <c r="L518" s="7" t="str">
        <f aca="false">IF($D518="","",IFERROR(IF(INDEX(Hierarchy!$I$2:$I$1295,MATCH($D518,Hierarchy!$A$2:$A$1295,0))="","",INDEX(Hierarchy!$I$2:$I$1295,MATCH($D518,Hierarchy!$A$2:$A$1295,0))),"NODE NOT FOUND"))</f>
        <v/>
      </c>
      <c r="M518" s="17" t="str">
        <f aca="false">IF(B518="Pre-seeded","Pre-seeded",IF(B518="Review 2026-09-16","Added from review",IF(C518="","New",IF(C518=D518,"","Changed"))))</f>
        <v>Pre-seeded</v>
      </c>
      <c r="N518" s="7" t="str">
        <f aca="false">TRIM(SUBSTITUTE(SUBSTITUTE(SUBSTITUTE(" "&amp;TRIM(SUBSTITUTE(SUBSTITUTE(SUBSTITUTE(SUBSTITUTE(SUBSTITUTE(SUBSTITUTE(SUBSTITUTE(SUBSTITUTE(SUBSTITUTE(SUBSTITUTE(SUBSTITUTE(SUBSTITUTE(SUBSTITUTE(SUBSTITUTE(SUBSTITUTE(UPPER(TRIM(A518)),"[MEMBER]",""),"{MEMBER}",""),"[MEMBER}",""),"MEMBER]",""),"(A)",""),"""",""),"“",""),"”",""),".",""),":",""),",",""),"–"," "),"-"," "),"/"," "),"&amp;"," AND "))&amp;" "," THE "," ")," TOTAL "," ")," OPERATIONS "," "))</f>
        <v>EUROPE AND ASIA</v>
      </c>
      <c r="O518" s="17" t="str">
        <f aca="false">IF(COUNTIFS($N$2:$N$2000,N518,$D$2:$D$2000,"&lt;&gt;"&amp;D518)&gt;0,"CONFLICT","")</f>
        <v/>
      </c>
      <c r="P518" s="7"/>
    </row>
    <row r="519" customFormat="false" ht="15" hidden="false" customHeight="false" outlineLevel="0" collapsed="false">
      <c r="A519" s="7" t="s">
        <v>1826</v>
      </c>
      <c r="B519" s="7" t="s">
        <v>1879</v>
      </c>
      <c r="C519" s="7"/>
      <c r="D519" s="6" t="s">
        <v>1826</v>
      </c>
      <c r="E519" s="6" t="s">
        <v>1880</v>
      </c>
      <c r="F519" s="7" t="str">
        <f aca="false">IF($D519="","",IFERROR(IF(INDEX(Hierarchy!$B$2:$B$1295,MATCH($D519,Hierarchy!$A$2:$A$1295,0))="","",INDEX(Hierarchy!$B$2:$B$1295,MATCH($D519,Hierarchy!$A$2:$A$1295,0))),"NODE NOT FOUND"))</f>
        <v>Reference grouping</v>
      </c>
      <c r="G519" s="7" t="str">
        <f aca="false">IF($D519="","",IFERROR(IF(INDEX(Hierarchy!$D$2:$D$1295,MATCH($D519,Hierarchy!$A$2:$A$1295,0))="","",INDEX(Hierarchy!$D$2:$D$1295,MATCH($D519,Hierarchy!$A$2:$A$1295,0))),"NODE NOT FOUND"))</f>
        <v>Reference (UN / World Bank)</v>
      </c>
      <c r="H519" s="7" t="str">
        <f aca="false">IF($D519="","",IFERROR(IF(INDEX(Hierarchy!$E$2:$E$1295,MATCH($D519,Hierarchy!$A$2:$A$1295,0))="","",INDEX(Hierarchy!$E$2:$E$1295,MATCH($D519,Hierarchy!$A$2:$A$1295,0))),"NODE NOT FOUND"))</f>
        <v/>
      </c>
      <c r="I519" s="7" t="str">
        <f aca="false">IF($D519="","",IFERROR(IF(INDEX(Hierarchy!$F$2:$F$1295,MATCH($D519,Hierarchy!$A$2:$A$1295,0))="","",INDEX(Hierarchy!$F$2:$F$1295,MATCH($D519,Hierarchy!$A$2:$A$1295,0))),"NODE NOT FOUND"))</f>
        <v/>
      </c>
      <c r="J519" s="7" t="str">
        <f aca="false">IF($D519="","",IFERROR(IF(INDEX(Hierarchy!$G$2:$G$1295,MATCH($D519,Hierarchy!$A$2:$A$1295,0))="","",INDEX(Hierarchy!$G$2:$G$1295,MATCH($D519,Hierarchy!$A$2:$A$1295,0))),"NODE NOT FOUND"))</f>
        <v/>
      </c>
      <c r="K519" s="7" t="str">
        <f aca="false">IF($D519="","",IFERROR(IF(INDEX(Hierarchy!$H$2:$H$1295,MATCH($D519,Hierarchy!$A$2:$A$1295,0))="","",INDEX(Hierarchy!$H$2:$H$1295,MATCH($D519,Hierarchy!$A$2:$A$1295,0))),"NODE NOT FOUND"))</f>
        <v/>
      </c>
      <c r="L519" s="7" t="str">
        <f aca="false">IF($D519="","",IFERROR(IF(INDEX(Hierarchy!$I$2:$I$1295,MATCH($D519,Hierarchy!$A$2:$A$1295,0))="","",INDEX(Hierarchy!$I$2:$I$1295,MATCH($D519,Hierarchy!$A$2:$A$1295,0))),"NODE NOT FOUND"))</f>
        <v/>
      </c>
      <c r="M519" s="17" t="str">
        <f aca="false">IF(B519="Pre-seeded","Pre-seeded",IF(B519="Review 2026-09-16","Added from review",IF(C519="","New",IF(C519=D519,"","Changed"))))</f>
        <v>Pre-seeded</v>
      </c>
      <c r="N519" s="7" t="str">
        <f aca="false">TRIM(SUBSTITUTE(SUBSTITUTE(SUBSTITUTE(" "&amp;TRIM(SUBSTITUTE(SUBSTITUTE(SUBSTITUTE(SUBSTITUTE(SUBSTITUTE(SUBSTITUTE(SUBSTITUTE(SUBSTITUTE(SUBSTITUTE(SUBSTITUTE(SUBSTITUTE(SUBSTITUTE(SUBSTITUTE(SUBSTITUTE(SUBSTITUTE(UPPER(TRIM(A519)),"[MEMBER]",""),"{MEMBER}",""),"[MEMBER}",""),"MEMBER]",""),"(A)",""),"""",""),"“",""),"”",""),".",""),":",""),",",""),"–"," "),"-"," "),"/"," "),"&amp;"," AND "))&amp;" "," THE "," ")," TOTAL "," ")," OPERATIONS "," "))</f>
        <v>EUROPE AND CENTRAL ASIA (WORLD BANK)</v>
      </c>
      <c r="O519" s="17" t="str">
        <f aca="false">IF(COUNTIFS($N$2:$N$2000,N519,$D$2:$D$2000,"&lt;&gt;"&amp;D519)&gt;0,"CONFLICT","")</f>
        <v/>
      </c>
      <c r="P519" s="7"/>
    </row>
    <row r="520" customFormat="false" ht="15" hidden="false" customHeight="false" outlineLevel="0" collapsed="false">
      <c r="A520" s="7" t="s">
        <v>2143</v>
      </c>
      <c r="B520" s="7" t="s">
        <v>1885</v>
      </c>
      <c r="C520" s="7" t="s">
        <v>622</v>
      </c>
      <c r="D520" s="6" t="s">
        <v>622</v>
      </c>
      <c r="E520" s="6" t="s">
        <v>1886</v>
      </c>
      <c r="F520" s="7" t="str">
        <f aca="false">IF($D520="","",IFERROR(IF(INDEX(Hierarchy!$B$2:$B$1295,MATCH($D520,Hierarchy!$A$2:$A$1295,0))="","",INDEX(Hierarchy!$B$2:$B$1295,MATCH($D520,Hierarchy!$A$2:$A$1295,0))),"NODE NOT FOUND"))</f>
        <v>Sub-region</v>
      </c>
      <c r="G520" s="7" t="str">
        <f aca="false">IF($D520="","",IFERROR(IF(INDEX(Hierarchy!$D$2:$D$1295,MATCH($D520,Hierarchy!$A$2:$A$1295,0))="","",INDEX(Hierarchy!$D$2:$D$1295,MATCH($D520,Hierarchy!$A$2:$A$1295,0))),"NODE NOT FOUND"))</f>
        <v>EMEA</v>
      </c>
      <c r="H520" s="7" t="str">
        <f aca="false">IF($D520="","",IFERROR(IF(INDEX(Hierarchy!$E$2:$E$1295,MATCH($D520,Hierarchy!$A$2:$A$1295,0))="","",INDEX(Hierarchy!$E$2:$E$1295,MATCH($D520,Hierarchy!$A$2:$A$1295,0))),"NODE NOT FOUND"))</f>
        <v>Europe</v>
      </c>
      <c r="I520" s="7" t="str">
        <f aca="false">IF($D520="","",IFERROR(IF(INDEX(Hierarchy!$F$2:$F$1295,MATCH($D520,Hierarchy!$A$2:$A$1295,0))="","",INDEX(Hierarchy!$F$2:$F$1295,MATCH($D520,Hierarchy!$A$2:$A$1295,0))),"NODE NOT FOUND"))</f>
        <v/>
      </c>
      <c r="J520" s="7" t="str">
        <f aca="false">IF($D520="","",IFERROR(IF(INDEX(Hierarchy!$G$2:$G$1295,MATCH($D520,Hierarchy!$A$2:$A$1295,0))="","",INDEX(Hierarchy!$G$2:$G$1295,MATCH($D520,Hierarchy!$A$2:$A$1295,0))),"NODE NOT FOUND"))</f>
        <v/>
      </c>
      <c r="K520" s="7" t="str">
        <f aca="false">IF($D520="","",IFERROR(IF(INDEX(Hierarchy!$H$2:$H$1295,MATCH($D520,Hierarchy!$A$2:$A$1295,0))="","",INDEX(Hierarchy!$H$2:$H$1295,MATCH($D520,Hierarchy!$A$2:$A$1295,0))),"NODE NOT FOUND"))</f>
        <v/>
      </c>
      <c r="L520" s="7" t="str">
        <f aca="false">IF($D520="","",IFERROR(IF(INDEX(Hierarchy!$I$2:$I$1295,MATCH($D520,Hierarchy!$A$2:$A$1295,0))="","",INDEX(Hierarchy!$I$2:$I$1295,MATCH($D520,Hierarchy!$A$2:$A$1295,0))),"NODE NOT FOUND"))</f>
        <v/>
      </c>
      <c r="M520" s="17" t="str">
        <f aca="false">IF(B520="Pre-seeded","Pre-seeded",IF(B520="Review 2026-09-16","Added from review",IF(C520="","New",IF(C520=D520,"","Changed"))))</f>
        <v/>
      </c>
      <c r="N520" s="7" t="str">
        <f aca="false">TRIM(SUBSTITUTE(SUBSTITUTE(SUBSTITUTE(" "&amp;TRIM(SUBSTITUTE(SUBSTITUTE(SUBSTITUTE(SUBSTITUTE(SUBSTITUTE(SUBSTITUTE(SUBSTITUTE(SUBSTITUTE(SUBSTITUTE(SUBSTITUTE(SUBSTITUTE(SUBSTITUTE(SUBSTITUTE(SUBSTITUTE(SUBSTITUTE(UPPER(TRIM(A520)),"[MEMBER]",""),"{MEMBER}",""),"[MEMBER}",""),"MEMBER]",""),"(A)",""),"""",""),"“",""),"”",""),".",""),":",""),",",""),"–"," "),"-"," "),"/"," "),"&amp;"," AND "))&amp;" "," THE "," ")," TOTAL "," ")," OPERATIONS "," "))</f>
        <v>EUROPE AND OTHER</v>
      </c>
      <c r="O520" s="17" t="str">
        <f aca="false">IF(COUNTIFS($N$2:$N$2000,N520,$D$2:$D$2000,"&lt;&gt;"&amp;D520)&gt;0,"CONFLICT","")</f>
        <v/>
      </c>
      <c r="P520" s="7"/>
    </row>
    <row r="521" customFormat="false" ht="15" hidden="false" customHeight="false" outlineLevel="0" collapsed="false">
      <c r="A521" s="7" t="s">
        <v>2144</v>
      </c>
      <c r="B521" s="7" t="s">
        <v>1882</v>
      </c>
      <c r="C521" s="7" t="s">
        <v>622</v>
      </c>
      <c r="D521" s="6" t="s">
        <v>622</v>
      </c>
      <c r="E521" s="6" t="s">
        <v>1880</v>
      </c>
      <c r="F521" s="7" t="str">
        <f aca="false">IF($D521="","",IFERROR(IF(INDEX(Hierarchy!$B$2:$B$1295,MATCH($D521,Hierarchy!$A$2:$A$1295,0))="","",INDEX(Hierarchy!$B$2:$B$1295,MATCH($D521,Hierarchy!$A$2:$A$1295,0))),"NODE NOT FOUND"))</f>
        <v>Sub-region</v>
      </c>
      <c r="G521" s="7" t="str">
        <f aca="false">IF($D521="","",IFERROR(IF(INDEX(Hierarchy!$D$2:$D$1295,MATCH($D521,Hierarchy!$A$2:$A$1295,0))="","",INDEX(Hierarchy!$D$2:$D$1295,MATCH($D521,Hierarchy!$A$2:$A$1295,0))),"NODE NOT FOUND"))</f>
        <v>EMEA</v>
      </c>
      <c r="H521" s="7" t="str">
        <f aca="false">IF($D521="","",IFERROR(IF(INDEX(Hierarchy!$E$2:$E$1295,MATCH($D521,Hierarchy!$A$2:$A$1295,0))="","",INDEX(Hierarchy!$E$2:$E$1295,MATCH($D521,Hierarchy!$A$2:$A$1295,0))),"NODE NOT FOUND"))</f>
        <v>Europe</v>
      </c>
      <c r="I521" s="7" t="str">
        <f aca="false">IF($D521="","",IFERROR(IF(INDEX(Hierarchy!$F$2:$F$1295,MATCH($D521,Hierarchy!$A$2:$A$1295,0))="","",INDEX(Hierarchy!$F$2:$F$1295,MATCH($D521,Hierarchy!$A$2:$A$1295,0))),"NODE NOT FOUND"))</f>
        <v/>
      </c>
      <c r="J521" s="7" t="str">
        <f aca="false">IF($D521="","",IFERROR(IF(INDEX(Hierarchy!$G$2:$G$1295,MATCH($D521,Hierarchy!$A$2:$A$1295,0))="","",INDEX(Hierarchy!$G$2:$G$1295,MATCH($D521,Hierarchy!$A$2:$A$1295,0))),"NODE NOT FOUND"))</f>
        <v/>
      </c>
      <c r="K521" s="7" t="str">
        <f aca="false">IF($D521="","",IFERROR(IF(INDEX(Hierarchy!$H$2:$H$1295,MATCH($D521,Hierarchy!$A$2:$A$1295,0))="","",INDEX(Hierarchy!$H$2:$H$1295,MATCH($D521,Hierarchy!$A$2:$A$1295,0))),"NODE NOT FOUND"))</f>
        <v/>
      </c>
      <c r="L521" s="7" t="str">
        <f aca="false">IF($D521="","",IFERROR(IF(INDEX(Hierarchy!$I$2:$I$1295,MATCH($D521,Hierarchy!$A$2:$A$1295,0))="","",INDEX(Hierarchy!$I$2:$I$1295,MATCH($D521,Hierarchy!$A$2:$A$1295,0))),"NODE NOT FOUND"))</f>
        <v/>
      </c>
      <c r="M521" s="17" t="str">
        <f aca="false">IF(B521="Pre-seeded","Pre-seeded",IF(B521="Review 2026-09-16","Added from review",IF(C521="","New",IF(C521=D521,"","Changed"))))</f>
        <v/>
      </c>
      <c r="N521" s="7" t="str">
        <f aca="false">TRIM(SUBSTITUTE(SUBSTITUTE(SUBSTITUTE(" "&amp;TRIM(SUBSTITUTE(SUBSTITUTE(SUBSTITUTE(SUBSTITUTE(SUBSTITUTE(SUBSTITUTE(SUBSTITUTE(SUBSTITUTE(SUBSTITUTE(SUBSTITUTE(SUBSTITUTE(SUBSTITUTE(SUBSTITUTE(SUBSTITUTE(SUBSTITUTE(UPPER(TRIM(A521)),"[MEMBER]",""),"{MEMBER}",""),"[MEMBER}",""),"MEMBER]",""),"(A)",""),"""",""),"“",""),"”",""),".",""),":",""),",",""),"–"," "),"-"," "),"/"," "),"&amp;"," AND "))&amp;" "," THE "," ")," TOTAL "," ")," OPERATIONS "," "))</f>
        <v>EUROPE</v>
      </c>
      <c r="O521" s="17" t="str">
        <f aca="false">IF(COUNTIFS($N$2:$N$2000,N521,$D$2:$D$2000,"&lt;&gt;"&amp;D521)&gt;0,"CONFLICT","")</f>
        <v/>
      </c>
      <c r="P521" s="7"/>
    </row>
    <row r="522" customFormat="false" ht="15" hidden="false" customHeight="false" outlineLevel="0" collapsed="false">
      <c r="A522" s="7" t="s">
        <v>2145</v>
      </c>
      <c r="B522" s="7" t="s">
        <v>1882</v>
      </c>
      <c r="C522" s="7" t="s">
        <v>1973</v>
      </c>
      <c r="D522" s="6" t="s">
        <v>613</v>
      </c>
      <c r="E522" s="6" t="s">
        <v>1880</v>
      </c>
      <c r="F522" s="7" t="str">
        <f aca="false">IF($D522="","",IFERROR(IF(INDEX(Hierarchy!$B$2:$B$1295,MATCH($D522,Hierarchy!$A$2:$A$1295,0))="","",INDEX(Hierarchy!$B$2:$B$1295,MATCH($D522,Hierarchy!$A$2:$A$1295,0))),"NODE NOT FOUND"))</f>
        <v>Region</v>
      </c>
      <c r="G522" s="7" t="str">
        <f aca="false">IF($D522="","",IFERROR(IF(INDEX(Hierarchy!$D$2:$D$1295,MATCH($D522,Hierarchy!$A$2:$A$1295,0))="","",INDEX(Hierarchy!$D$2:$D$1295,MATCH($D522,Hierarchy!$A$2:$A$1295,0))),"NODE NOT FOUND"))</f>
        <v>EMEA</v>
      </c>
      <c r="H522" s="7" t="str">
        <f aca="false">IF($D522="","",IFERROR(IF(INDEX(Hierarchy!$E$2:$E$1295,MATCH($D522,Hierarchy!$A$2:$A$1295,0))="","",INDEX(Hierarchy!$E$2:$E$1295,MATCH($D522,Hierarchy!$A$2:$A$1295,0))),"NODE NOT FOUND"))</f>
        <v/>
      </c>
      <c r="I522" s="7" t="str">
        <f aca="false">IF($D522="","",IFERROR(IF(INDEX(Hierarchy!$F$2:$F$1295,MATCH($D522,Hierarchy!$A$2:$A$1295,0))="","",INDEX(Hierarchy!$F$2:$F$1295,MATCH($D522,Hierarchy!$A$2:$A$1295,0))),"NODE NOT FOUND"))</f>
        <v/>
      </c>
      <c r="J522" s="7" t="str">
        <f aca="false">IF($D522="","",IFERROR(IF(INDEX(Hierarchy!$G$2:$G$1295,MATCH($D522,Hierarchy!$A$2:$A$1295,0))="","",INDEX(Hierarchy!$G$2:$G$1295,MATCH($D522,Hierarchy!$A$2:$A$1295,0))),"NODE NOT FOUND"))</f>
        <v/>
      </c>
      <c r="K522" s="7" t="str">
        <f aca="false">IF($D522="","",IFERROR(IF(INDEX(Hierarchy!$H$2:$H$1295,MATCH($D522,Hierarchy!$A$2:$A$1295,0))="","",INDEX(Hierarchy!$H$2:$H$1295,MATCH($D522,Hierarchy!$A$2:$A$1295,0))),"NODE NOT FOUND"))</f>
        <v/>
      </c>
      <c r="L522" s="7" t="str">
        <f aca="false">IF($D522="","",IFERROR(IF(INDEX(Hierarchy!$I$2:$I$1295,MATCH($D522,Hierarchy!$A$2:$A$1295,0))="","",INDEX(Hierarchy!$I$2:$I$1295,MATCH($D522,Hierarchy!$A$2:$A$1295,0))),"NODE NOT FOUND"))</f>
        <v/>
      </c>
      <c r="M522" s="17" t="str">
        <f aca="false">IF(B522="Pre-seeded","Pre-seeded",IF(B522="Review 2026-09-16","Added from review",IF(C522="","New",IF(C522=D522,"","Changed"))))</f>
        <v>Changed</v>
      </c>
      <c r="N522" s="7" t="str">
        <f aca="false">TRIM(SUBSTITUTE(SUBSTITUTE(SUBSTITUTE(" "&amp;TRIM(SUBSTITUTE(SUBSTITUTE(SUBSTITUTE(SUBSTITUTE(SUBSTITUTE(SUBSTITUTE(SUBSTITUTE(SUBSTITUTE(SUBSTITUTE(SUBSTITUTE(SUBSTITUTE(SUBSTITUTE(SUBSTITUTE(SUBSTITUTE(SUBSTITUTE(UPPER(TRIM(A522)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22" s="17" t="str">
        <f aca="false">IF(COUNTIFS($N$2:$N$2000,N522,$D$2:$D$2000,"&lt;&gt;"&amp;D522)&gt;0,"CONFLICT","")</f>
        <v/>
      </c>
      <c r="P522" s="7"/>
    </row>
    <row r="523" customFormat="false" ht="15" hidden="false" customHeight="false" outlineLevel="0" collapsed="false">
      <c r="A523" s="7" t="s">
        <v>2146</v>
      </c>
      <c r="B523" s="7" t="s">
        <v>1885</v>
      </c>
      <c r="C523" s="7" t="s">
        <v>744</v>
      </c>
      <c r="D523" s="6" t="s">
        <v>1801</v>
      </c>
      <c r="E523" s="6" t="s">
        <v>1880</v>
      </c>
      <c r="F523" s="7" t="str">
        <f aca="false">IF($D523="","",IFERROR(IF(INDEX(Hierarchy!$B$2:$B$1295,MATCH($D523,Hierarchy!$A$2:$A$1295,0))="","",INDEX(Hierarchy!$B$2:$B$1295,MATCH($D523,Hierarchy!$A$2:$A$1295,0))),"NODE NOT FOUND"))</f>
        <v>Multi-region</v>
      </c>
      <c r="G523" s="7" t="str">
        <f aca="false">IF($D523="","",IFERROR(IF(INDEX(Hierarchy!$D$2:$D$1295,MATCH($D523,Hierarchy!$A$2:$A$1295,0))="","",INDEX(Hierarchy!$D$2:$D$1295,MATCH($D523,Hierarchy!$A$2:$A$1295,0))),"NODE NOT FOUND"))</f>
        <v>Multi-region</v>
      </c>
      <c r="H523" s="7" t="str">
        <f aca="false">IF($D523="","",IFERROR(IF(INDEX(Hierarchy!$E$2:$E$1295,MATCH($D523,Hierarchy!$A$2:$A$1295,0))="","",INDEX(Hierarchy!$E$2:$E$1295,MATCH($D523,Hierarchy!$A$2:$A$1295,0))),"NODE NOT FOUND"))</f>
        <v/>
      </c>
      <c r="I523" s="7" t="str">
        <f aca="false">IF($D523="","",IFERROR(IF(INDEX(Hierarchy!$F$2:$F$1295,MATCH($D523,Hierarchy!$A$2:$A$1295,0))="","",INDEX(Hierarchy!$F$2:$F$1295,MATCH($D523,Hierarchy!$A$2:$A$1295,0))),"NODE NOT FOUND"))</f>
        <v/>
      </c>
      <c r="J523" s="7" t="str">
        <f aca="false">IF($D523="","",IFERROR(IF(INDEX(Hierarchy!$G$2:$G$1295,MATCH($D523,Hierarchy!$A$2:$A$1295,0))="","",INDEX(Hierarchy!$G$2:$G$1295,MATCH($D523,Hierarchy!$A$2:$A$1295,0))),"NODE NOT FOUND"))</f>
        <v/>
      </c>
      <c r="K523" s="7" t="str">
        <f aca="false">IF($D523="","",IFERROR(IF(INDEX(Hierarchy!$H$2:$H$1295,MATCH($D523,Hierarchy!$A$2:$A$1295,0))="","",INDEX(Hierarchy!$H$2:$H$1295,MATCH($D523,Hierarchy!$A$2:$A$1295,0))),"NODE NOT FOUND"))</f>
        <v/>
      </c>
      <c r="L523" s="7" t="str">
        <f aca="false">IF($D523="","",IFERROR(IF(INDEX(Hierarchy!$I$2:$I$1295,MATCH($D523,Hierarchy!$A$2:$A$1295,0))="","",INDEX(Hierarchy!$I$2:$I$1295,MATCH($D523,Hierarchy!$A$2:$A$1295,0))),"NODE NOT FOUND"))</f>
        <v/>
      </c>
      <c r="M523" s="17" t="str">
        <f aca="false">IF(B523="Pre-seeded","Pre-seeded",IF(B523="Review 2026-09-16","Added from review",IF(C523="","New",IF(C523=D523,"","Changed"))))</f>
        <v>Changed</v>
      </c>
      <c r="N523" s="7" t="str">
        <f aca="false">TRIM(SUBSTITUTE(SUBSTITUTE(SUBSTITUTE(" "&amp;TRIM(SUBSTITUTE(SUBSTITUTE(SUBSTITUTE(SUBSTITUTE(SUBSTITUTE(SUBSTITUTE(SUBSTITUTE(SUBSTITUTE(SUBSTITUTE(SUBSTITUTE(SUBSTITUTE(SUBSTITUTE(SUBSTITUTE(SUBSTITUTE(SUBSTITUTE(UPPER(TRIM(A523)),"[MEMBER]",""),"{MEMBER}",""),"[MEMBER}",""),"MEMBER]",""),"(A)",""),"""",""),"“",""),"”",""),".",""),":",""),",",""),"–"," "),"-"," "),"/"," "),"&amp;"," AND "))&amp;" "," THE "," ")," TOTAL "," ")," OPERATIONS "," "))</f>
        <v>EUROPE ASIA AND MIDDLE EAST (EAME)</v>
      </c>
      <c r="O523" s="17" t="str">
        <f aca="false">IF(COUNTIFS($N$2:$N$2000,N523,$D$2:$D$2000,"&lt;&gt;"&amp;D523)&gt;0,"CONFLICT","")</f>
        <v/>
      </c>
      <c r="P523" s="7" t="s">
        <v>1957</v>
      </c>
    </row>
    <row r="524" customFormat="false" ht="15" hidden="false" customHeight="false" outlineLevel="0" collapsed="false">
      <c r="A524" s="7" t="s">
        <v>2147</v>
      </c>
      <c r="B524" s="7" t="s">
        <v>1885</v>
      </c>
      <c r="C524" s="7" t="s">
        <v>622</v>
      </c>
      <c r="D524" s="6" t="s">
        <v>622</v>
      </c>
      <c r="E524" s="6" t="s">
        <v>1891</v>
      </c>
      <c r="F524" s="7" t="str">
        <f aca="false">IF($D524="","",IFERROR(IF(INDEX(Hierarchy!$B$2:$B$1295,MATCH($D524,Hierarchy!$A$2:$A$1295,0))="","",INDEX(Hierarchy!$B$2:$B$1295,MATCH($D524,Hierarchy!$A$2:$A$1295,0))),"NODE NOT FOUND"))</f>
        <v>Sub-region</v>
      </c>
      <c r="G524" s="7" t="str">
        <f aca="false">IF($D524="","",IFERROR(IF(INDEX(Hierarchy!$D$2:$D$1295,MATCH($D524,Hierarchy!$A$2:$A$1295,0))="","",INDEX(Hierarchy!$D$2:$D$1295,MATCH($D524,Hierarchy!$A$2:$A$1295,0))),"NODE NOT FOUND"))</f>
        <v>EMEA</v>
      </c>
      <c r="H524" s="7" t="str">
        <f aca="false">IF($D524="","",IFERROR(IF(INDEX(Hierarchy!$E$2:$E$1295,MATCH($D524,Hierarchy!$A$2:$A$1295,0))="","",INDEX(Hierarchy!$E$2:$E$1295,MATCH($D524,Hierarchy!$A$2:$A$1295,0))),"NODE NOT FOUND"))</f>
        <v>Europe</v>
      </c>
      <c r="I524" s="7" t="str">
        <f aca="false">IF($D524="","",IFERROR(IF(INDEX(Hierarchy!$F$2:$F$1295,MATCH($D524,Hierarchy!$A$2:$A$1295,0))="","",INDEX(Hierarchy!$F$2:$F$1295,MATCH($D524,Hierarchy!$A$2:$A$1295,0))),"NODE NOT FOUND"))</f>
        <v/>
      </c>
      <c r="J524" s="7" t="str">
        <f aca="false">IF($D524="","",IFERROR(IF(INDEX(Hierarchy!$G$2:$G$1295,MATCH($D524,Hierarchy!$A$2:$A$1295,0))="","",INDEX(Hierarchy!$G$2:$G$1295,MATCH($D524,Hierarchy!$A$2:$A$1295,0))),"NODE NOT FOUND"))</f>
        <v/>
      </c>
      <c r="K524" s="7" t="str">
        <f aca="false">IF($D524="","",IFERROR(IF(INDEX(Hierarchy!$H$2:$H$1295,MATCH($D524,Hierarchy!$A$2:$A$1295,0))="","",INDEX(Hierarchy!$H$2:$H$1295,MATCH($D524,Hierarchy!$A$2:$A$1295,0))),"NODE NOT FOUND"))</f>
        <v/>
      </c>
      <c r="L524" s="7" t="str">
        <f aca="false">IF($D524="","",IFERROR(IF(INDEX(Hierarchy!$I$2:$I$1295,MATCH($D524,Hierarchy!$A$2:$A$1295,0))="","",INDEX(Hierarchy!$I$2:$I$1295,MATCH($D524,Hierarchy!$A$2:$A$1295,0))),"NODE NOT FOUND"))</f>
        <v/>
      </c>
      <c r="M524" s="17" t="str">
        <f aca="false">IF(B524="Pre-seeded","Pre-seeded",IF(B524="Review 2026-09-16","Added from review",IF(C524="","New",IF(C524=D524,"","Changed"))))</f>
        <v/>
      </c>
      <c r="N524" s="7" t="str">
        <f aca="false">TRIM(SUBSTITUTE(SUBSTITUTE(SUBSTITUTE(" "&amp;TRIM(SUBSTITUTE(SUBSTITUTE(SUBSTITUTE(SUBSTITUTE(SUBSTITUTE(SUBSTITUTE(SUBSTITUTE(SUBSTITUTE(SUBSTITUTE(SUBSTITUTE(SUBSTITUTE(SUBSTITUTE(SUBSTITUTE(SUBSTITUTE(SUBSTITUTE(UPPER(TRIM(A524)),"[MEMBER]",""),"{MEMBER}",""),"[MEMBER}",""),"MEMBER]",""),"(A)",""),"""",""),"“",""),"”",""),".",""),":",""),",",""),"–"," "),"-"," "),"/"," "),"&amp;"," AND "))&amp;" "," THE "," ")," TOTAL "," ")," OPERATIONS "," "))</f>
        <v>EUROPE EXCLUDING UNITED KINGDOM</v>
      </c>
      <c r="O524" s="17" t="str">
        <f aca="false">IF(COUNTIFS($N$2:$N$2000,N524,$D$2:$D$2000,"&lt;&gt;"&amp;D524)&gt;0,"CONFLICT","")</f>
        <v/>
      </c>
      <c r="P524" s="7" t="s">
        <v>2141</v>
      </c>
    </row>
    <row r="525" customFormat="false" ht="15" hidden="false" customHeight="false" outlineLevel="0" collapsed="false">
      <c r="A525" s="7" t="s">
        <v>2148</v>
      </c>
      <c r="B525" s="7" t="s">
        <v>1882</v>
      </c>
      <c r="C525" s="7" t="s">
        <v>1973</v>
      </c>
      <c r="D525" s="6" t="s">
        <v>613</v>
      </c>
      <c r="E525" s="6" t="s">
        <v>1880</v>
      </c>
      <c r="F525" s="7" t="str">
        <f aca="false">IF($D525="","",IFERROR(IF(INDEX(Hierarchy!$B$2:$B$1295,MATCH($D525,Hierarchy!$A$2:$A$1295,0))="","",INDEX(Hierarchy!$B$2:$B$1295,MATCH($D525,Hierarchy!$A$2:$A$1295,0))),"NODE NOT FOUND"))</f>
        <v>Region</v>
      </c>
      <c r="G525" s="7" t="str">
        <f aca="false">IF($D525="","",IFERROR(IF(INDEX(Hierarchy!$D$2:$D$1295,MATCH($D525,Hierarchy!$A$2:$A$1295,0))="","",INDEX(Hierarchy!$D$2:$D$1295,MATCH($D525,Hierarchy!$A$2:$A$1295,0))),"NODE NOT FOUND"))</f>
        <v>EMEA</v>
      </c>
      <c r="H525" s="7" t="str">
        <f aca="false">IF($D525="","",IFERROR(IF(INDEX(Hierarchy!$E$2:$E$1295,MATCH($D525,Hierarchy!$A$2:$A$1295,0))="","",INDEX(Hierarchy!$E$2:$E$1295,MATCH($D525,Hierarchy!$A$2:$A$1295,0))),"NODE NOT FOUND"))</f>
        <v/>
      </c>
      <c r="I525" s="7" t="str">
        <f aca="false">IF($D525="","",IFERROR(IF(INDEX(Hierarchy!$F$2:$F$1295,MATCH($D525,Hierarchy!$A$2:$A$1295,0))="","",INDEX(Hierarchy!$F$2:$F$1295,MATCH($D525,Hierarchy!$A$2:$A$1295,0))),"NODE NOT FOUND"))</f>
        <v/>
      </c>
      <c r="J525" s="7" t="str">
        <f aca="false">IF($D525="","",IFERROR(IF(INDEX(Hierarchy!$G$2:$G$1295,MATCH($D525,Hierarchy!$A$2:$A$1295,0))="","",INDEX(Hierarchy!$G$2:$G$1295,MATCH($D525,Hierarchy!$A$2:$A$1295,0))),"NODE NOT FOUND"))</f>
        <v/>
      </c>
      <c r="K525" s="7" t="str">
        <f aca="false">IF($D525="","",IFERROR(IF(INDEX(Hierarchy!$H$2:$H$1295,MATCH($D525,Hierarchy!$A$2:$A$1295,0))="","",INDEX(Hierarchy!$H$2:$H$1295,MATCH($D525,Hierarchy!$A$2:$A$1295,0))),"NODE NOT FOUND"))</f>
        <v/>
      </c>
      <c r="L525" s="7" t="str">
        <f aca="false">IF($D525="","",IFERROR(IF(INDEX(Hierarchy!$I$2:$I$1295,MATCH($D525,Hierarchy!$A$2:$A$1295,0))="","",INDEX(Hierarchy!$I$2:$I$1295,MATCH($D525,Hierarchy!$A$2:$A$1295,0))),"NODE NOT FOUND"))</f>
        <v/>
      </c>
      <c r="M525" s="17" t="str">
        <f aca="false">IF(B525="Pre-seeded","Pre-seeded",IF(B525="Review 2026-09-16","Added from review",IF(C525="","New",IF(C525=D525,"","Changed"))))</f>
        <v>Changed</v>
      </c>
      <c r="N525" s="7" t="str">
        <f aca="false">TRIM(SUBSTITUTE(SUBSTITUTE(SUBSTITUTE(" "&amp;TRIM(SUBSTITUTE(SUBSTITUTE(SUBSTITUTE(SUBSTITUTE(SUBSTITUTE(SUBSTITUTE(SUBSTITUTE(SUBSTITUTE(SUBSTITUTE(SUBSTITUTE(SUBSTITUTE(SUBSTITUTE(SUBSTITUTE(SUBSTITUTE(SUBSTITUTE(UPPER(TRIM(A525)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25" s="17" t="str">
        <f aca="false">IF(COUNTIFS($N$2:$N$2000,N525,$D$2:$D$2000,"&lt;&gt;"&amp;D525)&gt;0,"CONFLICT","")</f>
        <v/>
      </c>
      <c r="P525" s="7"/>
    </row>
    <row r="526" customFormat="false" ht="15" hidden="false" customHeight="false" outlineLevel="0" collapsed="false">
      <c r="A526" s="7" t="s">
        <v>2149</v>
      </c>
      <c r="B526" s="7" t="s">
        <v>1882</v>
      </c>
      <c r="C526" s="7" t="s">
        <v>1973</v>
      </c>
      <c r="D526" s="6" t="s">
        <v>613</v>
      </c>
      <c r="E526" s="6" t="s">
        <v>1880</v>
      </c>
      <c r="F526" s="7" t="str">
        <f aca="false">IF($D526="","",IFERROR(IF(INDEX(Hierarchy!$B$2:$B$1295,MATCH($D526,Hierarchy!$A$2:$A$1295,0))="","",INDEX(Hierarchy!$B$2:$B$1295,MATCH($D526,Hierarchy!$A$2:$A$1295,0))),"NODE NOT FOUND"))</f>
        <v>Region</v>
      </c>
      <c r="G526" s="7" t="str">
        <f aca="false">IF($D526="","",IFERROR(IF(INDEX(Hierarchy!$D$2:$D$1295,MATCH($D526,Hierarchy!$A$2:$A$1295,0))="","",INDEX(Hierarchy!$D$2:$D$1295,MATCH($D526,Hierarchy!$A$2:$A$1295,0))),"NODE NOT FOUND"))</f>
        <v>EMEA</v>
      </c>
      <c r="H526" s="7" t="str">
        <f aca="false">IF($D526="","",IFERROR(IF(INDEX(Hierarchy!$E$2:$E$1295,MATCH($D526,Hierarchy!$A$2:$A$1295,0))="","",INDEX(Hierarchy!$E$2:$E$1295,MATCH($D526,Hierarchy!$A$2:$A$1295,0))),"NODE NOT FOUND"))</f>
        <v/>
      </c>
      <c r="I526" s="7" t="str">
        <f aca="false">IF($D526="","",IFERROR(IF(INDEX(Hierarchy!$F$2:$F$1295,MATCH($D526,Hierarchy!$A$2:$A$1295,0))="","",INDEX(Hierarchy!$F$2:$F$1295,MATCH($D526,Hierarchy!$A$2:$A$1295,0))),"NODE NOT FOUND"))</f>
        <v/>
      </c>
      <c r="J526" s="7" t="str">
        <f aca="false">IF($D526="","",IFERROR(IF(INDEX(Hierarchy!$G$2:$G$1295,MATCH($D526,Hierarchy!$A$2:$A$1295,0))="","",INDEX(Hierarchy!$G$2:$G$1295,MATCH($D526,Hierarchy!$A$2:$A$1295,0))),"NODE NOT FOUND"))</f>
        <v/>
      </c>
      <c r="K526" s="7" t="str">
        <f aca="false">IF($D526="","",IFERROR(IF(INDEX(Hierarchy!$H$2:$H$1295,MATCH($D526,Hierarchy!$A$2:$A$1295,0))="","",INDEX(Hierarchy!$H$2:$H$1295,MATCH($D526,Hierarchy!$A$2:$A$1295,0))),"NODE NOT FOUND"))</f>
        <v/>
      </c>
      <c r="L526" s="7" t="str">
        <f aca="false">IF($D526="","",IFERROR(IF(INDEX(Hierarchy!$I$2:$I$1295,MATCH($D526,Hierarchy!$A$2:$A$1295,0))="","",INDEX(Hierarchy!$I$2:$I$1295,MATCH($D526,Hierarchy!$A$2:$A$1295,0))),"NODE NOT FOUND"))</f>
        <v/>
      </c>
      <c r="M526" s="17" t="str">
        <f aca="false">IF(B526="Pre-seeded","Pre-seeded",IF(B526="Review 2026-09-16","Added from review",IF(C526="","New",IF(C526=D526,"","Changed"))))</f>
        <v>Changed</v>
      </c>
      <c r="N526" s="7" t="str">
        <f aca="false">TRIM(SUBSTITUTE(SUBSTITUTE(SUBSTITUTE(" "&amp;TRIM(SUBSTITUTE(SUBSTITUTE(SUBSTITUTE(SUBSTITUTE(SUBSTITUTE(SUBSTITUTE(SUBSTITUTE(SUBSTITUTE(SUBSTITUTE(SUBSTITUTE(SUBSTITUTE(SUBSTITUTE(SUBSTITUTE(SUBSTITUTE(SUBSTITUTE(UPPER(TRIM(A526)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26" s="17" t="str">
        <f aca="false">IF(COUNTIFS($N$2:$N$2000,N526,$D$2:$D$2000,"&lt;&gt;"&amp;D526)&gt;0,"CONFLICT","")</f>
        <v/>
      </c>
      <c r="P526" s="7"/>
    </row>
    <row r="527" customFormat="false" ht="15" hidden="false" customHeight="false" outlineLevel="0" collapsed="false">
      <c r="A527" s="7" t="s">
        <v>2150</v>
      </c>
      <c r="B527" s="7" t="s">
        <v>1882</v>
      </c>
      <c r="C527" s="7" t="s">
        <v>1973</v>
      </c>
      <c r="D527" s="6" t="s">
        <v>613</v>
      </c>
      <c r="E527" s="6" t="s">
        <v>1880</v>
      </c>
      <c r="F527" s="7" t="str">
        <f aca="false">IF($D527="","",IFERROR(IF(INDEX(Hierarchy!$B$2:$B$1295,MATCH($D527,Hierarchy!$A$2:$A$1295,0))="","",INDEX(Hierarchy!$B$2:$B$1295,MATCH($D527,Hierarchy!$A$2:$A$1295,0))),"NODE NOT FOUND"))</f>
        <v>Region</v>
      </c>
      <c r="G527" s="7" t="str">
        <f aca="false">IF($D527="","",IFERROR(IF(INDEX(Hierarchy!$D$2:$D$1295,MATCH($D527,Hierarchy!$A$2:$A$1295,0))="","",INDEX(Hierarchy!$D$2:$D$1295,MATCH($D527,Hierarchy!$A$2:$A$1295,0))),"NODE NOT FOUND"))</f>
        <v>EMEA</v>
      </c>
      <c r="H527" s="7" t="str">
        <f aca="false">IF($D527="","",IFERROR(IF(INDEX(Hierarchy!$E$2:$E$1295,MATCH($D527,Hierarchy!$A$2:$A$1295,0))="","",INDEX(Hierarchy!$E$2:$E$1295,MATCH($D527,Hierarchy!$A$2:$A$1295,0))),"NODE NOT FOUND"))</f>
        <v/>
      </c>
      <c r="I527" s="7" t="str">
        <f aca="false">IF($D527="","",IFERROR(IF(INDEX(Hierarchy!$F$2:$F$1295,MATCH($D527,Hierarchy!$A$2:$A$1295,0))="","",INDEX(Hierarchy!$F$2:$F$1295,MATCH($D527,Hierarchy!$A$2:$A$1295,0))),"NODE NOT FOUND"))</f>
        <v/>
      </c>
      <c r="J527" s="7" t="str">
        <f aca="false">IF($D527="","",IFERROR(IF(INDEX(Hierarchy!$G$2:$G$1295,MATCH($D527,Hierarchy!$A$2:$A$1295,0))="","",INDEX(Hierarchy!$G$2:$G$1295,MATCH($D527,Hierarchy!$A$2:$A$1295,0))),"NODE NOT FOUND"))</f>
        <v/>
      </c>
      <c r="K527" s="7" t="str">
        <f aca="false">IF($D527="","",IFERROR(IF(INDEX(Hierarchy!$H$2:$H$1295,MATCH($D527,Hierarchy!$A$2:$A$1295,0))="","",INDEX(Hierarchy!$H$2:$H$1295,MATCH($D527,Hierarchy!$A$2:$A$1295,0))),"NODE NOT FOUND"))</f>
        <v/>
      </c>
      <c r="L527" s="7" t="str">
        <f aca="false">IF($D527="","",IFERROR(IF(INDEX(Hierarchy!$I$2:$I$1295,MATCH($D527,Hierarchy!$A$2:$A$1295,0))="","",INDEX(Hierarchy!$I$2:$I$1295,MATCH($D527,Hierarchy!$A$2:$A$1295,0))),"NODE NOT FOUND"))</f>
        <v/>
      </c>
      <c r="M527" s="17" t="str">
        <f aca="false">IF(B527="Pre-seeded","Pre-seeded",IF(B527="Review 2026-09-16","Added from review",IF(C527="","New",IF(C527=D527,"","Changed"))))</f>
        <v>Changed</v>
      </c>
      <c r="N527" s="7" t="str">
        <f aca="false">TRIM(SUBSTITUTE(SUBSTITUTE(SUBSTITUTE(" "&amp;TRIM(SUBSTITUTE(SUBSTITUTE(SUBSTITUTE(SUBSTITUTE(SUBSTITUTE(SUBSTITUTE(SUBSTITUTE(SUBSTITUTE(SUBSTITUTE(SUBSTITUTE(SUBSTITUTE(SUBSTITUTE(SUBSTITUTE(SUBSTITUTE(SUBSTITUTE(UPPER(TRIM(A527)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27" s="17" t="str">
        <f aca="false">IF(COUNTIFS($N$2:$N$2000,N527,$D$2:$D$2000,"&lt;&gt;"&amp;D527)&gt;0,"CONFLICT","")</f>
        <v/>
      </c>
      <c r="P527" s="7"/>
    </row>
    <row r="528" customFormat="false" ht="15" hidden="false" customHeight="false" outlineLevel="0" collapsed="false">
      <c r="A528" s="7" t="s">
        <v>2151</v>
      </c>
      <c r="B528" s="7" t="s">
        <v>1882</v>
      </c>
      <c r="C528" s="7" t="s">
        <v>1973</v>
      </c>
      <c r="D528" s="6" t="s">
        <v>613</v>
      </c>
      <c r="E528" s="6" t="s">
        <v>1880</v>
      </c>
      <c r="F528" s="7" t="str">
        <f aca="false">IF($D528="","",IFERROR(IF(INDEX(Hierarchy!$B$2:$B$1295,MATCH($D528,Hierarchy!$A$2:$A$1295,0))="","",INDEX(Hierarchy!$B$2:$B$1295,MATCH($D528,Hierarchy!$A$2:$A$1295,0))),"NODE NOT FOUND"))</f>
        <v>Region</v>
      </c>
      <c r="G528" s="7" t="str">
        <f aca="false">IF($D528="","",IFERROR(IF(INDEX(Hierarchy!$D$2:$D$1295,MATCH($D528,Hierarchy!$A$2:$A$1295,0))="","",INDEX(Hierarchy!$D$2:$D$1295,MATCH($D528,Hierarchy!$A$2:$A$1295,0))),"NODE NOT FOUND"))</f>
        <v>EMEA</v>
      </c>
      <c r="H528" s="7" t="str">
        <f aca="false">IF($D528="","",IFERROR(IF(INDEX(Hierarchy!$E$2:$E$1295,MATCH($D528,Hierarchy!$A$2:$A$1295,0))="","",INDEX(Hierarchy!$E$2:$E$1295,MATCH($D528,Hierarchy!$A$2:$A$1295,0))),"NODE NOT FOUND"))</f>
        <v/>
      </c>
      <c r="I528" s="7" t="str">
        <f aca="false">IF($D528="","",IFERROR(IF(INDEX(Hierarchy!$F$2:$F$1295,MATCH($D528,Hierarchy!$A$2:$A$1295,0))="","",INDEX(Hierarchy!$F$2:$F$1295,MATCH($D528,Hierarchy!$A$2:$A$1295,0))),"NODE NOT FOUND"))</f>
        <v/>
      </c>
      <c r="J528" s="7" t="str">
        <f aca="false">IF($D528="","",IFERROR(IF(INDEX(Hierarchy!$G$2:$G$1295,MATCH($D528,Hierarchy!$A$2:$A$1295,0))="","",INDEX(Hierarchy!$G$2:$G$1295,MATCH($D528,Hierarchy!$A$2:$A$1295,0))),"NODE NOT FOUND"))</f>
        <v/>
      </c>
      <c r="K528" s="7" t="str">
        <f aca="false">IF($D528="","",IFERROR(IF(INDEX(Hierarchy!$H$2:$H$1295,MATCH($D528,Hierarchy!$A$2:$A$1295,0))="","",INDEX(Hierarchy!$H$2:$H$1295,MATCH($D528,Hierarchy!$A$2:$A$1295,0))),"NODE NOT FOUND"))</f>
        <v/>
      </c>
      <c r="L528" s="7" t="str">
        <f aca="false">IF($D528="","",IFERROR(IF(INDEX(Hierarchy!$I$2:$I$1295,MATCH($D528,Hierarchy!$A$2:$A$1295,0))="","",INDEX(Hierarchy!$I$2:$I$1295,MATCH($D528,Hierarchy!$A$2:$A$1295,0))),"NODE NOT FOUND"))</f>
        <v/>
      </c>
      <c r="M528" s="17" t="str">
        <f aca="false">IF(B528="Pre-seeded","Pre-seeded",IF(B528="Review 2026-09-16","Added from review",IF(C528="","New",IF(C528=D528,"","Changed"))))</f>
        <v>Changed</v>
      </c>
      <c r="N528" s="7" t="str">
        <f aca="false">TRIM(SUBSTITUTE(SUBSTITUTE(SUBSTITUTE(" "&amp;TRIM(SUBSTITUTE(SUBSTITUTE(SUBSTITUTE(SUBSTITUTE(SUBSTITUTE(SUBSTITUTE(SUBSTITUTE(SUBSTITUTE(SUBSTITUTE(SUBSTITUTE(SUBSTITUTE(SUBSTITUTE(SUBSTITUTE(SUBSTITUTE(SUBSTITUTE(UPPER(TRIM(A528)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28" s="17" t="str">
        <f aca="false">IF(COUNTIFS($N$2:$N$2000,N528,$D$2:$D$2000,"&lt;&gt;"&amp;D528)&gt;0,"CONFLICT","")</f>
        <v/>
      </c>
      <c r="P528" s="7"/>
    </row>
    <row r="529" customFormat="false" ht="15" hidden="false" customHeight="false" outlineLevel="0" collapsed="false">
      <c r="A529" s="7" t="s">
        <v>2152</v>
      </c>
      <c r="B529" s="7" t="s">
        <v>1882</v>
      </c>
      <c r="C529" s="7" t="s">
        <v>1973</v>
      </c>
      <c r="D529" s="6" t="s">
        <v>613</v>
      </c>
      <c r="E529" s="6" t="s">
        <v>1880</v>
      </c>
      <c r="F529" s="7" t="str">
        <f aca="false">IF($D529="","",IFERROR(IF(INDEX(Hierarchy!$B$2:$B$1295,MATCH($D529,Hierarchy!$A$2:$A$1295,0))="","",INDEX(Hierarchy!$B$2:$B$1295,MATCH($D529,Hierarchy!$A$2:$A$1295,0))),"NODE NOT FOUND"))</f>
        <v>Region</v>
      </c>
      <c r="G529" s="7" t="str">
        <f aca="false">IF($D529="","",IFERROR(IF(INDEX(Hierarchy!$D$2:$D$1295,MATCH($D529,Hierarchy!$A$2:$A$1295,0))="","",INDEX(Hierarchy!$D$2:$D$1295,MATCH($D529,Hierarchy!$A$2:$A$1295,0))),"NODE NOT FOUND"))</f>
        <v>EMEA</v>
      </c>
      <c r="H529" s="7" t="str">
        <f aca="false">IF($D529="","",IFERROR(IF(INDEX(Hierarchy!$E$2:$E$1295,MATCH($D529,Hierarchy!$A$2:$A$1295,0))="","",INDEX(Hierarchy!$E$2:$E$1295,MATCH($D529,Hierarchy!$A$2:$A$1295,0))),"NODE NOT FOUND"))</f>
        <v/>
      </c>
      <c r="I529" s="7" t="str">
        <f aca="false">IF($D529="","",IFERROR(IF(INDEX(Hierarchy!$F$2:$F$1295,MATCH($D529,Hierarchy!$A$2:$A$1295,0))="","",INDEX(Hierarchy!$F$2:$F$1295,MATCH($D529,Hierarchy!$A$2:$A$1295,0))),"NODE NOT FOUND"))</f>
        <v/>
      </c>
      <c r="J529" s="7" t="str">
        <f aca="false">IF($D529="","",IFERROR(IF(INDEX(Hierarchy!$G$2:$G$1295,MATCH($D529,Hierarchy!$A$2:$A$1295,0))="","",INDEX(Hierarchy!$G$2:$G$1295,MATCH($D529,Hierarchy!$A$2:$A$1295,0))),"NODE NOT FOUND"))</f>
        <v/>
      </c>
      <c r="K529" s="7" t="str">
        <f aca="false">IF($D529="","",IFERROR(IF(INDEX(Hierarchy!$H$2:$H$1295,MATCH($D529,Hierarchy!$A$2:$A$1295,0))="","",INDEX(Hierarchy!$H$2:$H$1295,MATCH($D529,Hierarchy!$A$2:$A$1295,0))),"NODE NOT FOUND"))</f>
        <v/>
      </c>
      <c r="L529" s="7" t="str">
        <f aca="false">IF($D529="","",IFERROR(IF(INDEX(Hierarchy!$I$2:$I$1295,MATCH($D529,Hierarchy!$A$2:$A$1295,0))="","",INDEX(Hierarchy!$I$2:$I$1295,MATCH($D529,Hierarchy!$A$2:$A$1295,0))),"NODE NOT FOUND"))</f>
        <v/>
      </c>
      <c r="M529" s="17" t="str">
        <f aca="false">IF(B529="Pre-seeded","Pre-seeded",IF(B529="Review 2026-09-16","Added from review",IF(C529="","New",IF(C529=D529,"","Changed"))))</f>
        <v>Changed</v>
      </c>
      <c r="N529" s="7" t="str">
        <f aca="false">TRIM(SUBSTITUTE(SUBSTITUTE(SUBSTITUTE(" "&amp;TRIM(SUBSTITUTE(SUBSTITUTE(SUBSTITUTE(SUBSTITUTE(SUBSTITUTE(SUBSTITUTE(SUBSTITUTE(SUBSTITUTE(SUBSTITUTE(SUBSTITUTE(SUBSTITUTE(SUBSTITUTE(SUBSTITUTE(SUBSTITUTE(SUBSTITUTE(UPPER(TRIM(A529)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29" s="17" t="str">
        <f aca="false">IF(COUNTIFS($N$2:$N$2000,N529,$D$2:$D$2000,"&lt;&gt;"&amp;D529)&gt;0,"CONFLICT","")</f>
        <v/>
      </c>
      <c r="P529" s="7"/>
    </row>
    <row r="530" customFormat="false" ht="15" hidden="false" customHeight="false" outlineLevel="0" collapsed="false">
      <c r="A530" s="7" t="s">
        <v>1973</v>
      </c>
      <c r="B530" s="7" t="s">
        <v>1882</v>
      </c>
      <c r="C530" s="7" t="s">
        <v>1973</v>
      </c>
      <c r="D530" s="6" t="s">
        <v>613</v>
      </c>
      <c r="E530" s="6" t="s">
        <v>1880</v>
      </c>
      <c r="F530" s="7" t="str">
        <f aca="false">IF($D530="","",IFERROR(IF(INDEX(Hierarchy!$B$2:$B$1295,MATCH($D530,Hierarchy!$A$2:$A$1295,0))="","",INDEX(Hierarchy!$B$2:$B$1295,MATCH($D530,Hierarchy!$A$2:$A$1295,0))),"NODE NOT FOUND"))</f>
        <v>Region</v>
      </c>
      <c r="G530" s="7" t="str">
        <f aca="false">IF($D530="","",IFERROR(IF(INDEX(Hierarchy!$D$2:$D$1295,MATCH($D530,Hierarchy!$A$2:$A$1295,0))="","",INDEX(Hierarchy!$D$2:$D$1295,MATCH($D530,Hierarchy!$A$2:$A$1295,0))),"NODE NOT FOUND"))</f>
        <v>EMEA</v>
      </c>
      <c r="H530" s="7" t="str">
        <f aca="false">IF($D530="","",IFERROR(IF(INDEX(Hierarchy!$E$2:$E$1295,MATCH($D530,Hierarchy!$A$2:$A$1295,0))="","",INDEX(Hierarchy!$E$2:$E$1295,MATCH($D530,Hierarchy!$A$2:$A$1295,0))),"NODE NOT FOUND"))</f>
        <v/>
      </c>
      <c r="I530" s="7" t="str">
        <f aca="false">IF($D530="","",IFERROR(IF(INDEX(Hierarchy!$F$2:$F$1295,MATCH($D530,Hierarchy!$A$2:$A$1295,0))="","",INDEX(Hierarchy!$F$2:$F$1295,MATCH($D530,Hierarchy!$A$2:$A$1295,0))),"NODE NOT FOUND"))</f>
        <v/>
      </c>
      <c r="J530" s="7" t="str">
        <f aca="false">IF($D530="","",IFERROR(IF(INDEX(Hierarchy!$G$2:$G$1295,MATCH($D530,Hierarchy!$A$2:$A$1295,0))="","",INDEX(Hierarchy!$G$2:$G$1295,MATCH($D530,Hierarchy!$A$2:$A$1295,0))),"NODE NOT FOUND"))</f>
        <v/>
      </c>
      <c r="K530" s="7" t="str">
        <f aca="false">IF($D530="","",IFERROR(IF(INDEX(Hierarchy!$H$2:$H$1295,MATCH($D530,Hierarchy!$A$2:$A$1295,0))="","",INDEX(Hierarchy!$H$2:$H$1295,MATCH($D530,Hierarchy!$A$2:$A$1295,0))),"NODE NOT FOUND"))</f>
        <v/>
      </c>
      <c r="L530" s="7" t="str">
        <f aca="false">IF($D530="","",IFERROR(IF(INDEX(Hierarchy!$I$2:$I$1295,MATCH($D530,Hierarchy!$A$2:$A$1295,0))="","",INDEX(Hierarchy!$I$2:$I$1295,MATCH($D530,Hierarchy!$A$2:$A$1295,0))),"NODE NOT FOUND"))</f>
        <v/>
      </c>
      <c r="M530" s="17" t="str">
        <f aca="false">IF(B530="Pre-seeded","Pre-seeded",IF(B530="Review 2026-09-16","Added from review",IF(C530="","New",IF(C530=D530,"","Changed"))))</f>
        <v>Changed</v>
      </c>
      <c r="N530" s="7" t="str">
        <f aca="false">TRIM(SUBSTITUTE(SUBSTITUTE(SUBSTITUTE(" "&amp;TRIM(SUBSTITUTE(SUBSTITUTE(SUBSTITUTE(SUBSTITUTE(SUBSTITUTE(SUBSTITUTE(SUBSTITUTE(SUBSTITUTE(SUBSTITUTE(SUBSTITUTE(SUBSTITUTE(SUBSTITUTE(SUBSTITUTE(SUBSTITUTE(SUBSTITUTE(UPPER(TRIM(A530)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30" s="17" t="str">
        <f aca="false">IF(COUNTIFS($N$2:$N$2000,N530,$D$2:$D$2000,"&lt;&gt;"&amp;D530)&gt;0,"CONFLICT","")</f>
        <v/>
      </c>
      <c r="P530" s="7"/>
    </row>
    <row r="531" customFormat="false" ht="15" hidden="false" customHeight="false" outlineLevel="0" collapsed="false">
      <c r="A531" s="7" t="s">
        <v>2153</v>
      </c>
      <c r="B531" s="7" t="s">
        <v>1882</v>
      </c>
      <c r="C531" s="7" t="s">
        <v>1973</v>
      </c>
      <c r="D531" s="6" t="s">
        <v>613</v>
      </c>
      <c r="E531" s="6" t="s">
        <v>1880</v>
      </c>
      <c r="F531" s="7" t="str">
        <f aca="false">IF($D531="","",IFERROR(IF(INDEX(Hierarchy!$B$2:$B$1295,MATCH($D531,Hierarchy!$A$2:$A$1295,0))="","",INDEX(Hierarchy!$B$2:$B$1295,MATCH($D531,Hierarchy!$A$2:$A$1295,0))),"NODE NOT FOUND"))</f>
        <v>Region</v>
      </c>
      <c r="G531" s="7" t="str">
        <f aca="false">IF($D531="","",IFERROR(IF(INDEX(Hierarchy!$D$2:$D$1295,MATCH($D531,Hierarchy!$A$2:$A$1295,0))="","",INDEX(Hierarchy!$D$2:$D$1295,MATCH($D531,Hierarchy!$A$2:$A$1295,0))),"NODE NOT FOUND"))</f>
        <v>EMEA</v>
      </c>
      <c r="H531" s="7" t="str">
        <f aca="false">IF($D531="","",IFERROR(IF(INDEX(Hierarchy!$E$2:$E$1295,MATCH($D531,Hierarchy!$A$2:$A$1295,0))="","",INDEX(Hierarchy!$E$2:$E$1295,MATCH($D531,Hierarchy!$A$2:$A$1295,0))),"NODE NOT FOUND"))</f>
        <v/>
      </c>
      <c r="I531" s="7" t="str">
        <f aca="false">IF($D531="","",IFERROR(IF(INDEX(Hierarchy!$F$2:$F$1295,MATCH($D531,Hierarchy!$A$2:$A$1295,0))="","",INDEX(Hierarchy!$F$2:$F$1295,MATCH($D531,Hierarchy!$A$2:$A$1295,0))),"NODE NOT FOUND"))</f>
        <v/>
      </c>
      <c r="J531" s="7" t="str">
        <f aca="false">IF($D531="","",IFERROR(IF(INDEX(Hierarchy!$G$2:$G$1295,MATCH($D531,Hierarchy!$A$2:$A$1295,0))="","",INDEX(Hierarchy!$G$2:$G$1295,MATCH($D531,Hierarchy!$A$2:$A$1295,0))),"NODE NOT FOUND"))</f>
        <v/>
      </c>
      <c r="K531" s="7" t="str">
        <f aca="false">IF($D531="","",IFERROR(IF(INDEX(Hierarchy!$H$2:$H$1295,MATCH($D531,Hierarchy!$A$2:$A$1295,0))="","",INDEX(Hierarchy!$H$2:$H$1295,MATCH($D531,Hierarchy!$A$2:$A$1295,0))),"NODE NOT FOUND"))</f>
        <v/>
      </c>
      <c r="L531" s="7" t="str">
        <f aca="false">IF($D531="","",IFERROR(IF(INDEX(Hierarchy!$I$2:$I$1295,MATCH($D531,Hierarchy!$A$2:$A$1295,0))="","",INDEX(Hierarchy!$I$2:$I$1295,MATCH($D531,Hierarchy!$A$2:$A$1295,0))),"NODE NOT FOUND"))</f>
        <v/>
      </c>
      <c r="M531" s="17" t="str">
        <f aca="false">IF(B531="Pre-seeded","Pre-seeded",IF(B531="Review 2026-09-16","Added from review",IF(C531="","New",IF(C531=D531,"","Changed"))))</f>
        <v>Changed</v>
      </c>
      <c r="N531" s="7" t="str">
        <f aca="false">TRIM(SUBSTITUTE(SUBSTITUTE(SUBSTITUTE(" "&amp;TRIM(SUBSTITUTE(SUBSTITUTE(SUBSTITUTE(SUBSTITUTE(SUBSTITUTE(SUBSTITUTE(SUBSTITUTE(SUBSTITUTE(SUBSTITUTE(SUBSTITUTE(SUBSTITUTE(SUBSTITUTE(SUBSTITUTE(SUBSTITUTE(SUBSTITUTE(UPPER(TRIM(A531)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31" s="17" t="str">
        <f aca="false">IF(COUNTIFS($N$2:$N$2000,N531,$D$2:$D$2000,"&lt;&gt;"&amp;D531)&gt;0,"CONFLICT","")</f>
        <v/>
      </c>
      <c r="P531" s="7"/>
    </row>
    <row r="532" customFormat="false" ht="15" hidden="false" customHeight="false" outlineLevel="0" collapsed="false">
      <c r="A532" s="7" t="s">
        <v>2154</v>
      </c>
      <c r="B532" s="7" t="s">
        <v>1882</v>
      </c>
      <c r="C532" s="7" t="s">
        <v>1973</v>
      </c>
      <c r="D532" s="6" t="s">
        <v>613</v>
      </c>
      <c r="E532" s="6" t="s">
        <v>1880</v>
      </c>
      <c r="F532" s="7" t="str">
        <f aca="false">IF($D532="","",IFERROR(IF(INDEX(Hierarchy!$B$2:$B$1295,MATCH($D532,Hierarchy!$A$2:$A$1295,0))="","",INDEX(Hierarchy!$B$2:$B$1295,MATCH($D532,Hierarchy!$A$2:$A$1295,0))),"NODE NOT FOUND"))</f>
        <v>Region</v>
      </c>
      <c r="G532" s="7" t="str">
        <f aca="false">IF($D532="","",IFERROR(IF(INDEX(Hierarchy!$D$2:$D$1295,MATCH($D532,Hierarchy!$A$2:$A$1295,0))="","",INDEX(Hierarchy!$D$2:$D$1295,MATCH($D532,Hierarchy!$A$2:$A$1295,0))),"NODE NOT FOUND"))</f>
        <v>EMEA</v>
      </c>
      <c r="H532" s="7" t="str">
        <f aca="false">IF($D532="","",IFERROR(IF(INDEX(Hierarchy!$E$2:$E$1295,MATCH($D532,Hierarchy!$A$2:$A$1295,0))="","",INDEX(Hierarchy!$E$2:$E$1295,MATCH($D532,Hierarchy!$A$2:$A$1295,0))),"NODE NOT FOUND"))</f>
        <v/>
      </c>
      <c r="I532" s="7" t="str">
        <f aca="false">IF($D532="","",IFERROR(IF(INDEX(Hierarchy!$F$2:$F$1295,MATCH($D532,Hierarchy!$A$2:$A$1295,0))="","",INDEX(Hierarchy!$F$2:$F$1295,MATCH($D532,Hierarchy!$A$2:$A$1295,0))),"NODE NOT FOUND"))</f>
        <v/>
      </c>
      <c r="J532" s="7" t="str">
        <f aca="false">IF($D532="","",IFERROR(IF(INDEX(Hierarchy!$G$2:$G$1295,MATCH($D532,Hierarchy!$A$2:$A$1295,0))="","",INDEX(Hierarchy!$G$2:$G$1295,MATCH($D532,Hierarchy!$A$2:$A$1295,0))),"NODE NOT FOUND"))</f>
        <v/>
      </c>
      <c r="K532" s="7" t="str">
        <f aca="false">IF($D532="","",IFERROR(IF(INDEX(Hierarchy!$H$2:$H$1295,MATCH($D532,Hierarchy!$A$2:$A$1295,0))="","",INDEX(Hierarchy!$H$2:$H$1295,MATCH($D532,Hierarchy!$A$2:$A$1295,0))),"NODE NOT FOUND"))</f>
        <v/>
      </c>
      <c r="L532" s="7" t="str">
        <f aca="false">IF($D532="","",IFERROR(IF(INDEX(Hierarchy!$I$2:$I$1295,MATCH($D532,Hierarchy!$A$2:$A$1295,0))="","",INDEX(Hierarchy!$I$2:$I$1295,MATCH($D532,Hierarchy!$A$2:$A$1295,0))),"NODE NOT FOUND"))</f>
        <v/>
      </c>
      <c r="M532" s="17" t="str">
        <f aca="false">IF(B532="Pre-seeded","Pre-seeded",IF(B532="Review 2026-09-16","Added from review",IF(C532="","New",IF(C532=D532,"","Changed"))))</f>
        <v>Changed</v>
      </c>
      <c r="N532" s="7" t="str">
        <f aca="false">TRIM(SUBSTITUTE(SUBSTITUTE(SUBSTITUTE(" "&amp;TRIM(SUBSTITUTE(SUBSTITUTE(SUBSTITUTE(SUBSTITUTE(SUBSTITUTE(SUBSTITUTE(SUBSTITUTE(SUBSTITUTE(SUBSTITUTE(SUBSTITUTE(SUBSTITUTE(SUBSTITUTE(SUBSTITUTE(SUBSTITUTE(SUBSTITUTE(UPPER(TRIM(A532)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32" s="17" t="str">
        <f aca="false">IF(COUNTIFS($N$2:$N$2000,N532,$D$2:$D$2000,"&lt;&gt;"&amp;D532)&gt;0,"CONFLICT","")</f>
        <v/>
      </c>
      <c r="P532" s="7"/>
    </row>
    <row r="533" customFormat="false" ht="15" hidden="false" customHeight="false" outlineLevel="0" collapsed="false">
      <c r="A533" s="7" t="s">
        <v>2155</v>
      </c>
      <c r="B533" s="7" t="s">
        <v>1882</v>
      </c>
      <c r="C533" s="7" t="s">
        <v>1973</v>
      </c>
      <c r="D533" s="6" t="s">
        <v>613</v>
      </c>
      <c r="E533" s="6" t="s">
        <v>1880</v>
      </c>
      <c r="F533" s="7" t="str">
        <f aca="false">IF($D533="","",IFERROR(IF(INDEX(Hierarchy!$B$2:$B$1295,MATCH($D533,Hierarchy!$A$2:$A$1295,0))="","",INDEX(Hierarchy!$B$2:$B$1295,MATCH($D533,Hierarchy!$A$2:$A$1295,0))),"NODE NOT FOUND"))</f>
        <v>Region</v>
      </c>
      <c r="G533" s="7" t="str">
        <f aca="false">IF($D533="","",IFERROR(IF(INDEX(Hierarchy!$D$2:$D$1295,MATCH($D533,Hierarchy!$A$2:$A$1295,0))="","",INDEX(Hierarchy!$D$2:$D$1295,MATCH($D533,Hierarchy!$A$2:$A$1295,0))),"NODE NOT FOUND"))</f>
        <v>EMEA</v>
      </c>
      <c r="H533" s="7" t="str">
        <f aca="false">IF($D533="","",IFERROR(IF(INDEX(Hierarchy!$E$2:$E$1295,MATCH($D533,Hierarchy!$A$2:$A$1295,0))="","",INDEX(Hierarchy!$E$2:$E$1295,MATCH($D533,Hierarchy!$A$2:$A$1295,0))),"NODE NOT FOUND"))</f>
        <v/>
      </c>
      <c r="I533" s="7" t="str">
        <f aca="false">IF($D533="","",IFERROR(IF(INDEX(Hierarchy!$F$2:$F$1295,MATCH($D533,Hierarchy!$A$2:$A$1295,0))="","",INDEX(Hierarchy!$F$2:$F$1295,MATCH($D533,Hierarchy!$A$2:$A$1295,0))),"NODE NOT FOUND"))</f>
        <v/>
      </c>
      <c r="J533" s="7" t="str">
        <f aca="false">IF($D533="","",IFERROR(IF(INDEX(Hierarchy!$G$2:$G$1295,MATCH($D533,Hierarchy!$A$2:$A$1295,0))="","",INDEX(Hierarchy!$G$2:$G$1295,MATCH($D533,Hierarchy!$A$2:$A$1295,0))),"NODE NOT FOUND"))</f>
        <v/>
      </c>
      <c r="K533" s="7" t="str">
        <f aca="false">IF($D533="","",IFERROR(IF(INDEX(Hierarchy!$H$2:$H$1295,MATCH($D533,Hierarchy!$A$2:$A$1295,0))="","",INDEX(Hierarchy!$H$2:$H$1295,MATCH($D533,Hierarchy!$A$2:$A$1295,0))),"NODE NOT FOUND"))</f>
        <v/>
      </c>
      <c r="L533" s="7" t="str">
        <f aca="false">IF($D533="","",IFERROR(IF(INDEX(Hierarchy!$I$2:$I$1295,MATCH($D533,Hierarchy!$A$2:$A$1295,0))="","",INDEX(Hierarchy!$I$2:$I$1295,MATCH($D533,Hierarchy!$A$2:$A$1295,0))),"NODE NOT FOUND"))</f>
        <v/>
      </c>
      <c r="M533" s="17" t="str">
        <f aca="false">IF(B533="Pre-seeded","Pre-seeded",IF(B533="Review 2026-09-16","Added from review",IF(C533="","New",IF(C533=D533,"","Changed"))))</f>
        <v>Changed</v>
      </c>
      <c r="N533" s="7" t="str">
        <f aca="false">TRIM(SUBSTITUTE(SUBSTITUTE(SUBSTITUTE(" "&amp;TRIM(SUBSTITUTE(SUBSTITUTE(SUBSTITUTE(SUBSTITUTE(SUBSTITUTE(SUBSTITUTE(SUBSTITUTE(SUBSTITUTE(SUBSTITUTE(SUBSTITUTE(SUBSTITUTE(SUBSTITUTE(SUBSTITUTE(SUBSTITUTE(SUBSTITUTE(UPPER(TRIM(A533)),"[MEMBER]",""),"{MEMBER}",""),"[MEMBER}",""),"MEMBER]",""),"(A)",""),"""",""),"“",""),"”",""),".",""),":",""),",",""),"–"," "),"-"," "),"/"," "),"&amp;"," AND "))&amp;" "," THE "," ")," TOTAL "," ")," OPERATIONS "," "))</f>
        <v>EUROPE MIDDLE EAST AFRICA</v>
      </c>
      <c r="O533" s="17" t="str">
        <f aca="false">IF(COUNTIFS($N$2:$N$2000,N533,$D$2:$D$2000,"&lt;&gt;"&amp;D533)&gt;0,"CONFLICT","")</f>
        <v/>
      </c>
      <c r="P533" s="7"/>
    </row>
    <row r="534" customFormat="false" ht="15" hidden="false" customHeight="false" outlineLevel="0" collapsed="false">
      <c r="A534" s="7" t="s">
        <v>2156</v>
      </c>
      <c r="B534" s="7" t="s">
        <v>1882</v>
      </c>
      <c r="C534" s="7" t="s">
        <v>1973</v>
      </c>
      <c r="D534" s="6" t="s">
        <v>613</v>
      </c>
      <c r="E534" s="6" t="s">
        <v>1880</v>
      </c>
      <c r="F534" s="7" t="str">
        <f aca="false">IF($D534="","",IFERROR(IF(INDEX(Hierarchy!$B$2:$B$1295,MATCH($D534,Hierarchy!$A$2:$A$1295,0))="","",INDEX(Hierarchy!$B$2:$B$1295,MATCH($D534,Hierarchy!$A$2:$A$1295,0))),"NODE NOT FOUND"))</f>
        <v>Region</v>
      </c>
      <c r="G534" s="7" t="str">
        <f aca="false">IF($D534="","",IFERROR(IF(INDEX(Hierarchy!$D$2:$D$1295,MATCH($D534,Hierarchy!$A$2:$A$1295,0))="","",INDEX(Hierarchy!$D$2:$D$1295,MATCH($D534,Hierarchy!$A$2:$A$1295,0))),"NODE NOT FOUND"))</f>
        <v>EMEA</v>
      </c>
      <c r="H534" s="7" t="str">
        <f aca="false">IF($D534="","",IFERROR(IF(INDEX(Hierarchy!$E$2:$E$1295,MATCH($D534,Hierarchy!$A$2:$A$1295,0))="","",INDEX(Hierarchy!$E$2:$E$1295,MATCH($D534,Hierarchy!$A$2:$A$1295,0))),"NODE NOT FOUND"))</f>
        <v/>
      </c>
      <c r="I534" s="7" t="str">
        <f aca="false">IF($D534="","",IFERROR(IF(INDEX(Hierarchy!$F$2:$F$1295,MATCH($D534,Hierarchy!$A$2:$A$1295,0))="","",INDEX(Hierarchy!$F$2:$F$1295,MATCH($D534,Hierarchy!$A$2:$A$1295,0))),"NODE NOT FOUND"))</f>
        <v/>
      </c>
      <c r="J534" s="7" t="str">
        <f aca="false">IF($D534="","",IFERROR(IF(INDEX(Hierarchy!$G$2:$G$1295,MATCH($D534,Hierarchy!$A$2:$A$1295,0))="","",INDEX(Hierarchy!$G$2:$G$1295,MATCH($D534,Hierarchy!$A$2:$A$1295,0))),"NODE NOT FOUND"))</f>
        <v/>
      </c>
      <c r="K534" s="7" t="str">
        <f aca="false">IF($D534="","",IFERROR(IF(INDEX(Hierarchy!$H$2:$H$1295,MATCH($D534,Hierarchy!$A$2:$A$1295,0))="","",INDEX(Hierarchy!$H$2:$H$1295,MATCH($D534,Hierarchy!$A$2:$A$1295,0))),"NODE NOT FOUND"))</f>
        <v/>
      </c>
      <c r="L534" s="7" t="str">
        <f aca="false">IF($D534="","",IFERROR(IF(INDEX(Hierarchy!$I$2:$I$1295,MATCH($D534,Hierarchy!$A$2:$A$1295,0))="","",INDEX(Hierarchy!$I$2:$I$1295,MATCH($D534,Hierarchy!$A$2:$A$1295,0))),"NODE NOT FOUND"))</f>
        <v/>
      </c>
      <c r="M534" s="17" t="str">
        <f aca="false">IF(B534="Pre-seeded","Pre-seeded",IF(B534="Review 2026-09-16","Added from review",IF(C534="","New",IF(C534=D534,"","Changed"))))</f>
        <v>Changed</v>
      </c>
      <c r="N534" s="7" t="str">
        <f aca="false">TRIM(SUBSTITUTE(SUBSTITUTE(SUBSTITUTE(" "&amp;TRIM(SUBSTITUTE(SUBSTITUTE(SUBSTITUTE(SUBSTITUTE(SUBSTITUTE(SUBSTITUTE(SUBSTITUTE(SUBSTITUTE(SUBSTITUTE(SUBSTITUTE(SUBSTITUTE(SUBSTITUTE(SUBSTITUTE(SUBSTITUTE(SUBSTITUTE(UPPER(TRIM(A534)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34" s="17" t="str">
        <f aca="false">IF(COUNTIFS($N$2:$N$2000,N534,$D$2:$D$2000,"&lt;&gt;"&amp;D534)&gt;0,"CONFLICT","")</f>
        <v/>
      </c>
      <c r="P534" s="7"/>
    </row>
    <row r="535" customFormat="false" ht="15" hidden="false" customHeight="false" outlineLevel="0" collapsed="false">
      <c r="A535" s="7" t="s">
        <v>2157</v>
      </c>
      <c r="B535" s="7" t="s">
        <v>1882</v>
      </c>
      <c r="C535" s="7" t="s">
        <v>1973</v>
      </c>
      <c r="D535" s="6" t="s">
        <v>613</v>
      </c>
      <c r="E535" s="6" t="s">
        <v>1880</v>
      </c>
      <c r="F535" s="7" t="str">
        <f aca="false">IF($D535="","",IFERROR(IF(INDEX(Hierarchy!$B$2:$B$1295,MATCH($D535,Hierarchy!$A$2:$A$1295,0))="","",INDEX(Hierarchy!$B$2:$B$1295,MATCH($D535,Hierarchy!$A$2:$A$1295,0))),"NODE NOT FOUND"))</f>
        <v>Region</v>
      </c>
      <c r="G535" s="7" t="str">
        <f aca="false">IF($D535="","",IFERROR(IF(INDEX(Hierarchy!$D$2:$D$1295,MATCH($D535,Hierarchy!$A$2:$A$1295,0))="","",INDEX(Hierarchy!$D$2:$D$1295,MATCH($D535,Hierarchy!$A$2:$A$1295,0))),"NODE NOT FOUND"))</f>
        <v>EMEA</v>
      </c>
      <c r="H535" s="7" t="str">
        <f aca="false">IF($D535="","",IFERROR(IF(INDEX(Hierarchy!$E$2:$E$1295,MATCH($D535,Hierarchy!$A$2:$A$1295,0))="","",INDEX(Hierarchy!$E$2:$E$1295,MATCH($D535,Hierarchy!$A$2:$A$1295,0))),"NODE NOT FOUND"))</f>
        <v/>
      </c>
      <c r="I535" s="7" t="str">
        <f aca="false">IF($D535="","",IFERROR(IF(INDEX(Hierarchy!$F$2:$F$1295,MATCH($D535,Hierarchy!$A$2:$A$1295,0))="","",INDEX(Hierarchy!$F$2:$F$1295,MATCH($D535,Hierarchy!$A$2:$A$1295,0))),"NODE NOT FOUND"))</f>
        <v/>
      </c>
      <c r="J535" s="7" t="str">
        <f aca="false">IF($D535="","",IFERROR(IF(INDEX(Hierarchy!$G$2:$G$1295,MATCH($D535,Hierarchy!$A$2:$A$1295,0))="","",INDEX(Hierarchy!$G$2:$G$1295,MATCH($D535,Hierarchy!$A$2:$A$1295,0))),"NODE NOT FOUND"))</f>
        <v/>
      </c>
      <c r="K535" s="7" t="str">
        <f aca="false">IF($D535="","",IFERROR(IF(INDEX(Hierarchy!$H$2:$H$1295,MATCH($D535,Hierarchy!$A$2:$A$1295,0))="","",INDEX(Hierarchy!$H$2:$H$1295,MATCH($D535,Hierarchy!$A$2:$A$1295,0))),"NODE NOT FOUND"))</f>
        <v/>
      </c>
      <c r="L535" s="7" t="str">
        <f aca="false">IF($D535="","",IFERROR(IF(INDEX(Hierarchy!$I$2:$I$1295,MATCH($D535,Hierarchy!$A$2:$A$1295,0))="","",INDEX(Hierarchy!$I$2:$I$1295,MATCH($D535,Hierarchy!$A$2:$A$1295,0))),"NODE NOT FOUND"))</f>
        <v/>
      </c>
      <c r="M535" s="17" t="str">
        <f aca="false">IF(B535="Pre-seeded","Pre-seeded",IF(B535="Review 2026-09-16","Added from review",IF(C535="","New",IF(C535=D535,"","Changed"))))</f>
        <v>Changed</v>
      </c>
      <c r="N535" s="7" t="str">
        <f aca="false">TRIM(SUBSTITUTE(SUBSTITUTE(SUBSTITUTE(" "&amp;TRIM(SUBSTITUTE(SUBSTITUTE(SUBSTITUTE(SUBSTITUTE(SUBSTITUTE(SUBSTITUTE(SUBSTITUTE(SUBSTITUTE(SUBSTITUTE(SUBSTITUTE(SUBSTITUTE(SUBSTITUTE(SUBSTITUTE(SUBSTITUTE(SUBSTITUTE(UPPER(TRIM(A535)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35" s="17" t="str">
        <f aca="false">IF(COUNTIFS($N$2:$N$2000,N535,$D$2:$D$2000,"&lt;&gt;"&amp;D535)&gt;0,"CONFLICT","")</f>
        <v/>
      </c>
      <c r="P535" s="7"/>
    </row>
    <row r="536" customFormat="false" ht="15" hidden="false" customHeight="false" outlineLevel="0" collapsed="false">
      <c r="A536" s="7" t="s">
        <v>2158</v>
      </c>
      <c r="B536" s="7" t="s">
        <v>1882</v>
      </c>
      <c r="C536" s="7" t="s">
        <v>1973</v>
      </c>
      <c r="D536" s="6" t="s">
        <v>613</v>
      </c>
      <c r="E536" s="6" t="s">
        <v>1880</v>
      </c>
      <c r="F536" s="7" t="str">
        <f aca="false">IF($D536="","",IFERROR(IF(INDEX(Hierarchy!$B$2:$B$1295,MATCH($D536,Hierarchy!$A$2:$A$1295,0))="","",INDEX(Hierarchy!$B$2:$B$1295,MATCH($D536,Hierarchy!$A$2:$A$1295,0))),"NODE NOT FOUND"))</f>
        <v>Region</v>
      </c>
      <c r="G536" s="7" t="str">
        <f aca="false">IF($D536="","",IFERROR(IF(INDEX(Hierarchy!$D$2:$D$1295,MATCH($D536,Hierarchy!$A$2:$A$1295,0))="","",INDEX(Hierarchy!$D$2:$D$1295,MATCH($D536,Hierarchy!$A$2:$A$1295,0))),"NODE NOT FOUND"))</f>
        <v>EMEA</v>
      </c>
      <c r="H536" s="7" t="str">
        <f aca="false">IF($D536="","",IFERROR(IF(INDEX(Hierarchy!$E$2:$E$1295,MATCH($D536,Hierarchy!$A$2:$A$1295,0))="","",INDEX(Hierarchy!$E$2:$E$1295,MATCH($D536,Hierarchy!$A$2:$A$1295,0))),"NODE NOT FOUND"))</f>
        <v/>
      </c>
      <c r="I536" s="7" t="str">
        <f aca="false">IF($D536="","",IFERROR(IF(INDEX(Hierarchy!$F$2:$F$1295,MATCH($D536,Hierarchy!$A$2:$A$1295,0))="","",INDEX(Hierarchy!$F$2:$F$1295,MATCH($D536,Hierarchy!$A$2:$A$1295,0))),"NODE NOT FOUND"))</f>
        <v/>
      </c>
      <c r="J536" s="7" t="str">
        <f aca="false">IF($D536="","",IFERROR(IF(INDEX(Hierarchy!$G$2:$G$1295,MATCH($D536,Hierarchy!$A$2:$A$1295,0))="","",INDEX(Hierarchy!$G$2:$G$1295,MATCH($D536,Hierarchy!$A$2:$A$1295,0))),"NODE NOT FOUND"))</f>
        <v/>
      </c>
      <c r="K536" s="7" t="str">
        <f aca="false">IF($D536="","",IFERROR(IF(INDEX(Hierarchy!$H$2:$H$1295,MATCH($D536,Hierarchy!$A$2:$A$1295,0))="","",INDEX(Hierarchy!$H$2:$H$1295,MATCH($D536,Hierarchy!$A$2:$A$1295,0))),"NODE NOT FOUND"))</f>
        <v/>
      </c>
      <c r="L536" s="7" t="str">
        <f aca="false">IF($D536="","",IFERROR(IF(INDEX(Hierarchy!$I$2:$I$1295,MATCH($D536,Hierarchy!$A$2:$A$1295,0))="","",INDEX(Hierarchy!$I$2:$I$1295,MATCH($D536,Hierarchy!$A$2:$A$1295,0))),"NODE NOT FOUND"))</f>
        <v/>
      </c>
      <c r="M536" s="17" t="str">
        <f aca="false">IF(B536="Pre-seeded","Pre-seeded",IF(B536="Review 2026-09-16","Added from review",IF(C536="","New",IF(C536=D536,"","Changed"))))</f>
        <v>Changed</v>
      </c>
      <c r="N536" s="7" t="str">
        <f aca="false">TRIM(SUBSTITUTE(SUBSTITUTE(SUBSTITUTE(" "&amp;TRIM(SUBSTITUTE(SUBSTITUTE(SUBSTITUTE(SUBSTITUTE(SUBSTITUTE(SUBSTITUTE(SUBSTITUTE(SUBSTITUTE(SUBSTITUTE(SUBSTITUTE(SUBSTITUTE(SUBSTITUTE(SUBSTITUTE(SUBSTITUTE(SUBSTITUTE(UPPER(TRIM(A536)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36" s="17" t="str">
        <f aca="false">IF(COUNTIFS($N$2:$N$2000,N536,$D$2:$D$2000,"&lt;&gt;"&amp;D536)&gt;0,"CONFLICT","")</f>
        <v/>
      </c>
      <c r="P536" s="7"/>
    </row>
    <row r="537" customFormat="false" ht="15" hidden="false" customHeight="false" outlineLevel="0" collapsed="false">
      <c r="A537" s="7" t="s">
        <v>2159</v>
      </c>
      <c r="B537" s="7" t="s">
        <v>1885</v>
      </c>
      <c r="C537" s="7" t="s">
        <v>1973</v>
      </c>
      <c r="D537" s="6" t="s">
        <v>613</v>
      </c>
      <c r="E537" s="6" t="s">
        <v>1898</v>
      </c>
      <c r="F537" s="7" t="str">
        <f aca="false">IF($D537="","",IFERROR(IF(INDEX(Hierarchy!$B$2:$B$1295,MATCH($D537,Hierarchy!$A$2:$A$1295,0))="","",INDEX(Hierarchy!$B$2:$B$1295,MATCH($D537,Hierarchy!$A$2:$A$1295,0))),"NODE NOT FOUND"))</f>
        <v>Region</v>
      </c>
      <c r="G537" s="7" t="str">
        <f aca="false">IF($D537="","",IFERROR(IF(INDEX(Hierarchy!$D$2:$D$1295,MATCH($D537,Hierarchy!$A$2:$A$1295,0))="","",INDEX(Hierarchy!$D$2:$D$1295,MATCH($D537,Hierarchy!$A$2:$A$1295,0))),"NODE NOT FOUND"))</f>
        <v>EMEA</v>
      </c>
      <c r="H537" s="7" t="str">
        <f aca="false">IF($D537="","",IFERROR(IF(INDEX(Hierarchy!$E$2:$E$1295,MATCH($D537,Hierarchy!$A$2:$A$1295,0))="","",INDEX(Hierarchy!$E$2:$E$1295,MATCH($D537,Hierarchy!$A$2:$A$1295,0))),"NODE NOT FOUND"))</f>
        <v/>
      </c>
      <c r="I537" s="7" t="str">
        <f aca="false">IF($D537="","",IFERROR(IF(INDEX(Hierarchy!$F$2:$F$1295,MATCH($D537,Hierarchy!$A$2:$A$1295,0))="","",INDEX(Hierarchy!$F$2:$F$1295,MATCH($D537,Hierarchy!$A$2:$A$1295,0))),"NODE NOT FOUND"))</f>
        <v/>
      </c>
      <c r="J537" s="7" t="str">
        <f aca="false">IF($D537="","",IFERROR(IF(INDEX(Hierarchy!$G$2:$G$1295,MATCH($D537,Hierarchy!$A$2:$A$1295,0))="","",INDEX(Hierarchy!$G$2:$G$1295,MATCH($D537,Hierarchy!$A$2:$A$1295,0))),"NODE NOT FOUND"))</f>
        <v/>
      </c>
      <c r="K537" s="7" t="str">
        <f aca="false">IF($D537="","",IFERROR(IF(INDEX(Hierarchy!$H$2:$H$1295,MATCH($D537,Hierarchy!$A$2:$A$1295,0))="","",INDEX(Hierarchy!$H$2:$H$1295,MATCH($D537,Hierarchy!$A$2:$A$1295,0))),"NODE NOT FOUND"))</f>
        <v/>
      </c>
      <c r="L537" s="7" t="str">
        <f aca="false">IF($D537="","",IFERROR(IF(INDEX(Hierarchy!$I$2:$I$1295,MATCH($D537,Hierarchy!$A$2:$A$1295,0))="","",INDEX(Hierarchy!$I$2:$I$1295,MATCH($D537,Hierarchy!$A$2:$A$1295,0))),"NODE NOT FOUND"))</f>
        <v/>
      </c>
      <c r="M537" s="17" t="str">
        <f aca="false">IF(B537="Pre-seeded","Pre-seeded",IF(B537="Review 2026-09-16","Added from review",IF(C537="","New",IF(C537=D537,"","Changed"))))</f>
        <v>Changed</v>
      </c>
      <c r="N537" s="7" t="str">
        <f aca="false">TRIM(SUBSTITUTE(SUBSTITUTE(SUBSTITUTE(" "&amp;TRIM(SUBSTITUTE(SUBSTITUTE(SUBSTITUTE(SUBSTITUTE(SUBSTITUTE(SUBSTITUTE(SUBSTITUTE(SUBSTITUTE(SUBSTITUTE(SUBSTITUTE(SUBSTITUTE(SUBSTITUTE(SUBSTITUTE(SUBSTITUTE(SUBSTITUTE(UPPER(TRIM(A537)),"[MEMBER]",""),"{MEMBER}",""),"[MEMBER}",""),"MEMBER]",""),"(A)",""),"""",""),"“",""),"”",""),".",""),":",""),",",""),"–"," "),"-"," "),"/"," "),"&amp;"," AND "))&amp;" "," THE "," ")," TOTAL "," ")," OPERATIONS "," "))</f>
        <v>EUROPE MIDDLE EAST AND AFRICA OTHER</v>
      </c>
      <c r="O537" s="17" t="str">
        <f aca="false">IF(COUNTIFS($N$2:$N$2000,N537,$D$2:$D$2000,"&lt;&gt;"&amp;D537)&gt;0,"CONFLICT","")</f>
        <v/>
      </c>
      <c r="P537" s="7"/>
    </row>
    <row r="538" customFormat="false" ht="15" hidden="false" customHeight="false" outlineLevel="0" collapsed="false">
      <c r="A538" s="7" t="s">
        <v>2160</v>
      </c>
      <c r="B538" s="7" t="s">
        <v>1879</v>
      </c>
      <c r="C538" s="7"/>
      <c r="D538" s="6" t="s">
        <v>1802</v>
      </c>
      <c r="E538" s="6" t="s">
        <v>1880</v>
      </c>
      <c r="F538" s="7" t="str">
        <f aca="false">IF($D538="","",IFERROR(IF(INDEX(Hierarchy!$B$2:$B$1295,MATCH($D538,Hierarchy!$A$2:$A$1295,0))="","",INDEX(Hierarchy!$B$2:$B$1295,MATCH($D538,Hierarchy!$A$2:$A$1295,0))),"NODE NOT FOUND"))</f>
        <v>Multi-region</v>
      </c>
      <c r="G538" s="7" t="str">
        <f aca="false">IF($D538="","",IFERROR(IF(INDEX(Hierarchy!$D$2:$D$1295,MATCH($D538,Hierarchy!$A$2:$A$1295,0))="","",INDEX(Hierarchy!$D$2:$D$1295,MATCH($D538,Hierarchy!$A$2:$A$1295,0))),"NODE NOT FOUND"))</f>
        <v>Multi-region</v>
      </c>
      <c r="H538" s="7" t="str">
        <f aca="false">IF($D538="","",IFERROR(IF(INDEX(Hierarchy!$E$2:$E$1295,MATCH($D538,Hierarchy!$A$2:$A$1295,0))="","",INDEX(Hierarchy!$E$2:$E$1295,MATCH($D538,Hierarchy!$A$2:$A$1295,0))),"NODE NOT FOUND"))</f>
        <v/>
      </c>
      <c r="I538" s="7" t="str">
        <f aca="false">IF($D538="","",IFERROR(IF(INDEX(Hierarchy!$F$2:$F$1295,MATCH($D538,Hierarchy!$A$2:$A$1295,0))="","",INDEX(Hierarchy!$F$2:$F$1295,MATCH($D538,Hierarchy!$A$2:$A$1295,0))),"NODE NOT FOUND"))</f>
        <v/>
      </c>
      <c r="J538" s="7" t="str">
        <f aca="false">IF($D538="","",IFERROR(IF(INDEX(Hierarchy!$G$2:$G$1295,MATCH($D538,Hierarchy!$A$2:$A$1295,0))="","",INDEX(Hierarchy!$G$2:$G$1295,MATCH($D538,Hierarchy!$A$2:$A$1295,0))),"NODE NOT FOUND"))</f>
        <v/>
      </c>
      <c r="K538" s="7" t="str">
        <f aca="false">IF($D538="","",IFERROR(IF(INDEX(Hierarchy!$H$2:$H$1295,MATCH($D538,Hierarchy!$A$2:$A$1295,0))="","",INDEX(Hierarchy!$H$2:$H$1295,MATCH($D538,Hierarchy!$A$2:$A$1295,0))),"NODE NOT FOUND"))</f>
        <v/>
      </c>
      <c r="L538" s="7" t="str">
        <f aca="false">IF($D538="","",IFERROR(IF(INDEX(Hierarchy!$I$2:$I$1295,MATCH($D538,Hierarchy!$A$2:$A$1295,0))="","",INDEX(Hierarchy!$I$2:$I$1295,MATCH($D538,Hierarchy!$A$2:$A$1295,0))),"NODE NOT FOUND"))</f>
        <v/>
      </c>
      <c r="M538" s="17" t="str">
        <f aca="false">IF(B538="Pre-seeded","Pre-seeded",IF(B538="Review 2026-09-16","Added from review",IF(C538="","New",IF(C538=D538,"","Changed"))))</f>
        <v>Pre-seeded</v>
      </c>
      <c r="N538" s="7" t="str">
        <f aca="false">TRIM(SUBSTITUTE(SUBSTITUTE(SUBSTITUTE(" "&amp;TRIM(SUBSTITUTE(SUBSTITUTE(SUBSTITUTE(SUBSTITUTE(SUBSTITUTE(SUBSTITUTE(SUBSTITUTE(SUBSTITUTE(SUBSTITUTE(SUBSTITUTE(SUBSTITUTE(SUBSTITUTE(SUBSTITUTE(SUBSTITUTE(SUBSTITUTE(UPPER(TRIM(A538)),"[MEMBER]",""),"{MEMBER}",""),"[MEMBER}",""),"MEMBER]",""),"(A)",""),"""",""),"“",""),"”",""),".",""),":",""),",",""),"–"," "),"-"," "),"/"," "),"&amp;"," AND "))&amp;" "," THE "," ")," TOTAL "," ")," OPERATIONS "," "))</f>
        <v>EUROPE MIDDLE EAST INDIA AND AFRICA</v>
      </c>
      <c r="O538" s="17" t="str">
        <f aca="false">IF(COUNTIFS($N$2:$N$2000,N538,$D$2:$D$2000,"&lt;&gt;"&amp;D538)&gt;0,"CONFLICT","")</f>
        <v/>
      </c>
      <c r="P538" s="7"/>
    </row>
    <row r="539" customFormat="false" ht="15" hidden="false" customHeight="false" outlineLevel="0" collapsed="false">
      <c r="A539" s="7" t="s">
        <v>1802</v>
      </c>
      <c r="B539" s="7" t="s">
        <v>1879</v>
      </c>
      <c r="C539" s="7"/>
      <c r="D539" s="6" t="s">
        <v>1802</v>
      </c>
      <c r="E539" s="6" t="s">
        <v>1880</v>
      </c>
      <c r="F539" s="7" t="str">
        <f aca="false">IF($D539="","",IFERROR(IF(INDEX(Hierarchy!$B$2:$B$1295,MATCH($D539,Hierarchy!$A$2:$A$1295,0))="","",INDEX(Hierarchy!$B$2:$B$1295,MATCH($D539,Hierarchy!$A$2:$A$1295,0))),"NODE NOT FOUND"))</f>
        <v>Multi-region</v>
      </c>
      <c r="G539" s="7" t="str">
        <f aca="false">IF($D539="","",IFERROR(IF(INDEX(Hierarchy!$D$2:$D$1295,MATCH($D539,Hierarchy!$A$2:$A$1295,0))="","",INDEX(Hierarchy!$D$2:$D$1295,MATCH($D539,Hierarchy!$A$2:$A$1295,0))),"NODE NOT FOUND"))</f>
        <v>Multi-region</v>
      </c>
      <c r="H539" s="7" t="str">
        <f aca="false">IF($D539="","",IFERROR(IF(INDEX(Hierarchy!$E$2:$E$1295,MATCH($D539,Hierarchy!$A$2:$A$1295,0))="","",INDEX(Hierarchy!$E$2:$E$1295,MATCH($D539,Hierarchy!$A$2:$A$1295,0))),"NODE NOT FOUND"))</f>
        <v/>
      </c>
      <c r="I539" s="7" t="str">
        <f aca="false">IF($D539="","",IFERROR(IF(INDEX(Hierarchy!$F$2:$F$1295,MATCH($D539,Hierarchy!$A$2:$A$1295,0))="","",INDEX(Hierarchy!$F$2:$F$1295,MATCH($D539,Hierarchy!$A$2:$A$1295,0))),"NODE NOT FOUND"))</f>
        <v/>
      </c>
      <c r="J539" s="7" t="str">
        <f aca="false">IF($D539="","",IFERROR(IF(INDEX(Hierarchy!$G$2:$G$1295,MATCH($D539,Hierarchy!$A$2:$A$1295,0))="","",INDEX(Hierarchy!$G$2:$G$1295,MATCH($D539,Hierarchy!$A$2:$A$1295,0))),"NODE NOT FOUND"))</f>
        <v/>
      </c>
      <c r="K539" s="7" t="str">
        <f aca="false">IF($D539="","",IFERROR(IF(INDEX(Hierarchy!$H$2:$H$1295,MATCH($D539,Hierarchy!$A$2:$A$1295,0))="","",INDEX(Hierarchy!$H$2:$H$1295,MATCH($D539,Hierarchy!$A$2:$A$1295,0))),"NODE NOT FOUND"))</f>
        <v/>
      </c>
      <c r="L539" s="7" t="str">
        <f aca="false">IF($D539="","",IFERROR(IF(INDEX(Hierarchy!$I$2:$I$1295,MATCH($D539,Hierarchy!$A$2:$A$1295,0))="","",INDEX(Hierarchy!$I$2:$I$1295,MATCH($D539,Hierarchy!$A$2:$A$1295,0))),"NODE NOT FOUND"))</f>
        <v/>
      </c>
      <c r="M539" s="17" t="str">
        <f aca="false">IF(B539="Pre-seeded","Pre-seeded",IF(B539="Review 2026-09-16","Added from review",IF(C539="","New",IF(C539=D539,"","Changed"))))</f>
        <v>Pre-seeded</v>
      </c>
      <c r="N539" s="7" t="str">
        <f aca="false">TRIM(SUBSTITUTE(SUBSTITUTE(SUBSTITUTE(" "&amp;TRIM(SUBSTITUTE(SUBSTITUTE(SUBSTITUTE(SUBSTITUTE(SUBSTITUTE(SUBSTITUTE(SUBSTITUTE(SUBSTITUTE(SUBSTITUTE(SUBSTITUTE(SUBSTITUTE(SUBSTITUTE(SUBSTITUTE(SUBSTITUTE(SUBSTITUTE(UPPER(TRIM(A539)),"[MEMBER]",""),"{MEMBER}",""),"[MEMBER}",""),"MEMBER]",""),"(A)",""),"""",""),"“",""),"”",""),".",""),":",""),",",""),"–"," "),"-"," "),"/"," "),"&amp;"," AND "))&amp;" "," THE "," ")," TOTAL "," ")," OPERATIONS "," "))</f>
        <v>EUROPE MIDDLE EAST INDIA AND AFRICA (EMEIA)</v>
      </c>
      <c r="O539" s="17" t="str">
        <f aca="false">IF(COUNTIFS($N$2:$N$2000,N539,$D$2:$D$2000,"&lt;&gt;"&amp;D539)&gt;0,"CONFLICT","")</f>
        <v/>
      </c>
      <c r="P539" s="7"/>
    </row>
    <row r="540" customFormat="false" ht="15" hidden="false" customHeight="false" outlineLevel="0" collapsed="false">
      <c r="A540" s="7" t="s">
        <v>2161</v>
      </c>
      <c r="B540" s="7" t="s">
        <v>1882</v>
      </c>
      <c r="C540" s="7" t="s">
        <v>1973</v>
      </c>
      <c r="D540" s="6" t="s">
        <v>613</v>
      </c>
      <c r="E540" s="6" t="s">
        <v>1880</v>
      </c>
      <c r="F540" s="7" t="str">
        <f aca="false">IF($D540="","",IFERROR(IF(INDEX(Hierarchy!$B$2:$B$1295,MATCH($D540,Hierarchy!$A$2:$A$1295,0))="","",INDEX(Hierarchy!$B$2:$B$1295,MATCH($D540,Hierarchy!$A$2:$A$1295,0))),"NODE NOT FOUND"))</f>
        <v>Region</v>
      </c>
      <c r="G540" s="7" t="str">
        <f aca="false">IF($D540="","",IFERROR(IF(INDEX(Hierarchy!$D$2:$D$1295,MATCH($D540,Hierarchy!$A$2:$A$1295,0))="","",INDEX(Hierarchy!$D$2:$D$1295,MATCH($D540,Hierarchy!$A$2:$A$1295,0))),"NODE NOT FOUND"))</f>
        <v>EMEA</v>
      </c>
      <c r="H540" s="7" t="str">
        <f aca="false">IF($D540="","",IFERROR(IF(INDEX(Hierarchy!$E$2:$E$1295,MATCH($D540,Hierarchy!$A$2:$A$1295,0))="","",INDEX(Hierarchy!$E$2:$E$1295,MATCH($D540,Hierarchy!$A$2:$A$1295,0))),"NODE NOT FOUND"))</f>
        <v/>
      </c>
      <c r="I540" s="7" t="str">
        <f aca="false">IF($D540="","",IFERROR(IF(INDEX(Hierarchy!$F$2:$F$1295,MATCH($D540,Hierarchy!$A$2:$A$1295,0))="","",INDEX(Hierarchy!$F$2:$F$1295,MATCH($D540,Hierarchy!$A$2:$A$1295,0))),"NODE NOT FOUND"))</f>
        <v/>
      </c>
      <c r="J540" s="7" t="str">
        <f aca="false">IF($D540="","",IFERROR(IF(INDEX(Hierarchy!$G$2:$G$1295,MATCH($D540,Hierarchy!$A$2:$A$1295,0))="","",INDEX(Hierarchy!$G$2:$G$1295,MATCH($D540,Hierarchy!$A$2:$A$1295,0))),"NODE NOT FOUND"))</f>
        <v/>
      </c>
      <c r="K540" s="7" t="str">
        <f aca="false">IF($D540="","",IFERROR(IF(INDEX(Hierarchy!$H$2:$H$1295,MATCH($D540,Hierarchy!$A$2:$A$1295,0))="","",INDEX(Hierarchy!$H$2:$H$1295,MATCH($D540,Hierarchy!$A$2:$A$1295,0))),"NODE NOT FOUND"))</f>
        <v/>
      </c>
      <c r="L540" s="7" t="str">
        <f aca="false">IF($D540="","",IFERROR(IF(INDEX(Hierarchy!$I$2:$I$1295,MATCH($D540,Hierarchy!$A$2:$A$1295,0))="","",INDEX(Hierarchy!$I$2:$I$1295,MATCH($D540,Hierarchy!$A$2:$A$1295,0))),"NODE NOT FOUND"))</f>
        <v/>
      </c>
      <c r="M540" s="17" t="str">
        <f aca="false">IF(B540="Pre-seeded","Pre-seeded",IF(B540="Review 2026-09-16","Added from review",IF(C540="","New",IF(C540=D540,"","Changed"))))</f>
        <v>Changed</v>
      </c>
      <c r="N540" s="7" t="str">
        <f aca="false">TRIM(SUBSTITUTE(SUBSTITUTE(SUBSTITUTE(" "&amp;TRIM(SUBSTITUTE(SUBSTITUTE(SUBSTITUTE(SUBSTITUTE(SUBSTITUTE(SUBSTITUTE(SUBSTITUTE(SUBSTITUTE(SUBSTITUTE(SUBSTITUTE(SUBSTITUTE(SUBSTITUTE(SUBSTITUTE(SUBSTITUTE(SUBSTITUTE(UPPER(TRIM(A540)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40" s="17" t="str">
        <f aca="false">IF(COUNTIFS($N$2:$N$2000,N540,$D$2:$D$2000,"&lt;&gt;"&amp;D540)&gt;0,"CONFLICT","")</f>
        <v/>
      </c>
      <c r="P540" s="7"/>
    </row>
    <row r="541" customFormat="false" ht="15" hidden="false" customHeight="false" outlineLevel="0" collapsed="false">
      <c r="A541" s="7" t="s">
        <v>2162</v>
      </c>
      <c r="B541" s="7" t="s">
        <v>1882</v>
      </c>
      <c r="C541" s="7" t="s">
        <v>1973</v>
      </c>
      <c r="D541" s="6" t="s">
        <v>613</v>
      </c>
      <c r="E541" s="6" t="s">
        <v>1880</v>
      </c>
      <c r="F541" s="7" t="str">
        <f aca="false">IF($D541="","",IFERROR(IF(INDEX(Hierarchy!$B$2:$B$1295,MATCH($D541,Hierarchy!$A$2:$A$1295,0))="","",INDEX(Hierarchy!$B$2:$B$1295,MATCH($D541,Hierarchy!$A$2:$A$1295,0))),"NODE NOT FOUND"))</f>
        <v>Region</v>
      </c>
      <c r="G541" s="7" t="str">
        <f aca="false">IF($D541="","",IFERROR(IF(INDEX(Hierarchy!$D$2:$D$1295,MATCH($D541,Hierarchy!$A$2:$A$1295,0))="","",INDEX(Hierarchy!$D$2:$D$1295,MATCH($D541,Hierarchy!$A$2:$A$1295,0))),"NODE NOT FOUND"))</f>
        <v>EMEA</v>
      </c>
      <c r="H541" s="7" t="str">
        <f aca="false">IF($D541="","",IFERROR(IF(INDEX(Hierarchy!$E$2:$E$1295,MATCH($D541,Hierarchy!$A$2:$A$1295,0))="","",INDEX(Hierarchy!$E$2:$E$1295,MATCH($D541,Hierarchy!$A$2:$A$1295,0))),"NODE NOT FOUND"))</f>
        <v/>
      </c>
      <c r="I541" s="7" t="str">
        <f aca="false">IF($D541="","",IFERROR(IF(INDEX(Hierarchy!$F$2:$F$1295,MATCH($D541,Hierarchy!$A$2:$A$1295,0))="","",INDEX(Hierarchy!$F$2:$F$1295,MATCH($D541,Hierarchy!$A$2:$A$1295,0))),"NODE NOT FOUND"))</f>
        <v/>
      </c>
      <c r="J541" s="7" t="str">
        <f aca="false">IF($D541="","",IFERROR(IF(INDEX(Hierarchy!$G$2:$G$1295,MATCH($D541,Hierarchy!$A$2:$A$1295,0))="","",INDEX(Hierarchy!$G$2:$G$1295,MATCH($D541,Hierarchy!$A$2:$A$1295,0))),"NODE NOT FOUND"))</f>
        <v/>
      </c>
      <c r="K541" s="7" t="str">
        <f aca="false">IF($D541="","",IFERROR(IF(INDEX(Hierarchy!$H$2:$H$1295,MATCH($D541,Hierarchy!$A$2:$A$1295,0))="","",INDEX(Hierarchy!$H$2:$H$1295,MATCH($D541,Hierarchy!$A$2:$A$1295,0))),"NODE NOT FOUND"))</f>
        <v/>
      </c>
      <c r="L541" s="7" t="str">
        <f aca="false">IF($D541="","",IFERROR(IF(INDEX(Hierarchy!$I$2:$I$1295,MATCH($D541,Hierarchy!$A$2:$A$1295,0))="","",INDEX(Hierarchy!$I$2:$I$1295,MATCH($D541,Hierarchy!$A$2:$A$1295,0))),"NODE NOT FOUND"))</f>
        <v/>
      </c>
      <c r="M541" s="17" t="str">
        <f aca="false">IF(B541="Pre-seeded","Pre-seeded",IF(B541="Review 2026-09-16","Added from review",IF(C541="","New",IF(C541=D541,"","Changed"))))</f>
        <v>Changed</v>
      </c>
      <c r="N541" s="7" t="str">
        <f aca="false">TRIM(SUBSTITUTE(SUBSTITUTE(SUBSTITUTE(" "&amp;TRIM(SUBSTITUTE(SUBSTITUTE(SUBSTITUTE(SUBSTITUTE(SUBSTITUTE(SUBSTITUTE(SUBSTITUTE(SUBSTITUTE(SUBSTITUTE(SUBSTITUTE(SUBSTITUTE(SUBSTITUTE(SUBSTITUTE(SUBSTITUTE(SUBSTITUTE(UPPER(TRIM(A541)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41" s="17" t="str">
        <f aca="false">IF(COUNTIFS($N$2:$N$2000,N541,$D$2:$D$2000,"&lt;&gt;"&amp;D541)&gt;0,"CONFLICT","")</f>
        <v/>
      </c>
      <c r="P541" s="7"/>
    </row>
    <row r="542" customFormat="false" ht="15" hidden="false" customHeight="false" outlineLevel="0" collapsed="false">
      <c r="A542" s="7" t="s">
        <v>2163</v>
      </c>
      <c r="B542" s="7" t="s">
        <v>1882</v>
      </c>
      <c r="C542" s="7" t="s">
        <v>1973</v>
      </c>
      <c r="D542" s="6" t="s">
        <v>613</v>
      </c>
      <c r="E542" s="6" t="s">
        <v>1880</v>
      </c>
      <c r="F542" s="7" t="str">
        <f aca="false">IF($D542="","",IFERROR(IF(INDEX(Hierarchy!$B$2:$B$1295,MATCH($D542,Hierarchy!$A$2:$A$1295,0))="","",INDEX(Hierarchy!$B$2:$B$1295,MATCH($D542,Hierarchy!$A$2:$A$1295,0))),"NODE NOT FOUND"))</f>
        <v>Region</v>
      </c>
      <c r="G542" s="7" t="str">
        <f aca="false">IF($D542="","",IFERROR(IF(INDEX(Hierarchy!$D$2:$D$1295,MATCH($D542,Hierarchy!$A$2:$A$1295,0))="","",INDEX(Hierarchy!$D$2:$D$1295,MATCH($D542,Hierarchy!$A$2:$A$1295,0))),"NODE NOT FOUND"))</f>
        <v>EMEA</v>
      </c>
      <c r="H542" s="7" t="str">
        <f aca="false">IF($D542="","",IFERROR(IF(INDEX(Hierarchy!$E$2:$E$1295,MATCH($D542,Hierarchy!$A$2:$A$1295,0))="","",INDEX(Hierarchy!$E$2:$E$1295,MATCH($D542,Hierarchy!$A$2:$A$1295,0))),"NODE NOT FOUND"))</f>
        <v/>
      </c>
      <c r="I542" s="7" t="str">
        <f aca="false">IF($D542="","",IFERROR(IF(INDEX(Hierarchy!$F$2:$F$1295,MATCH($D542,Hierarchy!$A$2:$A$1295,0))="","",INDEX(Hierarchy!$F$2:$F$1295,MATCH($D542,Hierarchy!$A$2:$A$1295,0))),"NODE NOT FOUND"))</f>
        <v/>
      </c>
      <c r="J542" s="7" t="str">
        <f aca="false">IF($D542="","",IFERROR(IF(INDEX(Hierarchy!$G$2:$G$1295,MATCH($D542,Hierarchy!$A$2:$A$1295,0))="","",INDEX(Hierarchy!$G$2:$G$1295,MATCH($D542,Hierarchy!$A$2:$A$1295,0))),"NODE NOT FOUND"))</f>
        <v/>
      </c>
      <c r="K542" s="7" t="str">
        <f aca="false">IF($D542="","",IFERROR(IF(INDEX(Hierarchy!$H$2:$H$1295,MATCH($D542,Hierarchy!$A$2:$A$1295,0))="","",INDEX(Hierarchy!$H$2:$H$1295,MATCH($D542,Hierarchy!$A$2:$A$1295,0))),"NODE NOT FOUND"))</f>
        <v/>
      </c>
      <c r="L542" s="7" t="str">
        <f aca="false">IF($D542="","",IFERROR(IF(INDEX(Hierarchy!$I$2:$I$1295,MATCH($D542,Hierarchy!$A$2:$A$1295,0))="","",INDEX(Hierarchy!$I$2:$I$1295,MATCH($D542,Hierarchy!$A$2:$A$1295,0))),"NODE NOT FOUND"))</f>
        <v/>
      </c>
      <c r="M542" s="17" t="str">
        <f aca="false">IF(B542="Pre-seeded","Pre-seeded",IF(B542="Review 2026-09-16","Added from review",IF(C542="","New",IF(C542=D542,"","Changed"))))</f>
        <v>Changed</v>
      </c>
      <c r="N542" s="7" t="str">
        <f aca="false">TRIM(SUBSTITUTE(SUBSTITUTE(SUBSTITUTE(" "&amp;TRIM(SUBSTITUTE(SUBSTITUTE(SUBSTITUTE(SUBSTITUTE(SUBSTITUTE(SUBSTITUTE(SUBSTITUTE(SUBSTITUTE(SUBSTITUTE(SUBSTITUTE(SUBSTITUTE(SUBSTITUTE(SUBSTITUTE(SUBSTITUTE(SUBSTITUTE(UPPER(TRIM(A542)),"[MEMBER]",""),"{MEMBER}",""),"[MEMBER}",""),"MEMBER]",""),"(A)",""),"""",""),"“",""),"”",""),".",""),":",""),",",""),"–"," "),"-"," "),"/"," "),"&amp;"," AND "))&amp;" "," THE "," ")," TOTAL "," ")," OPERATIONS "," "))</f>
        <v>EUROPE MIDDLE EAST AND AFRICA (EMEA)</v>
      </c>
      <c r="O542" s="17" t="str">
        <f aca="false">IF(COUNTIFS($N$2:$N$2000,N542,$D$2:$D$2000,"&lt;&gt;"&amp;D542)&gt;0,"CONFLICT","")</f>
        <v/>
      </c>
      <c r="P542" s="7"/>
    </row>
    <row r="543" customFormat="false" ht="15" hidden="false" customHeight="false" outlineLevel="0" collapsed="false">
      <c r="A543" s="7" t="s">
        <v>2164</v>
      </c>
      <c r="B543" s="7" t="s">
        <v>1885</v>
      </c>
      <c r="C543" s="7" t="s">
        <v>1973</v>
      </c>
      <c r="D543" s="6" t="s">
        <v>613</v>
      </c>
      <c r="E543" s="6" t="s">
        <v>1891</v>
      </c>
      <c r="F543" s="7" t="str">
        <f aca="false">IF($D543="","",IFERROR(IF(INDEX(Hierarchy!$B$2:$B$1295,MATCH($D543,Hierarchy!$A$2:$A$1295,0))="","",INDEX(Hierarchy!$B$2:$B$1295,MATCH($D543,Hierarchy!$A$2:$A$1295,0))),"NODE NOT FOUND"))</f>
        <v>Region</v>
      </c>
      <c r="G543" s="7" t="str">
        <f aca="false">IF($D543="","",IFERROR(IF(INDEX(Hierarchy!$D$2:$D$1295,MATCH($D543,Hierarchy!$A$2:$A$1295,0))="","",INDEX(Hierarchy!$D$2:$D$1295,MATCH($D543,Hierarchy!$A$2:$A$1295,0))),"NODE NOT FOUND"))</f>
        <v>EMEA</v>
      </c>
      <c r="H543" s="7" t="str">
        <f aca="false">IF($D543="","",IFERROR(IF(INDEX(Hierarchy!$E$2:$E$1295,MATCH($D543,Hierarchy!$A$2:$A$1295,0))="","",INDEX(Hierarchy!$E$2:$E$1295,MATCH($D543,Hierarchy!$A$2:$A$1295,0))),"NODE NOT FOUND"))</f>
        <v/>
      </c>
      <c r="I543" s="7" t="str">
        <f aca="false">IF($D543="","",IFERROR(IF(INDEX(Hierarchy!$F$2:$F$1295,MATCH($D543,Hierarchy!$A$2:$A$1295,0))="","",INDEX(Hierarchy!$F$2:$F$1295,MATCH($D543,Hierarchy!$A$2:$A$1295,0))),"NODE NOT FOUND"))</f>
        <v/>
      </c>
      <c r="J543" s="7" t="str">
        <f aca="false">IF($D543="","",IFERROR(IF(INDEX(Hierarchy!$G$2:$G$1295,MATCH($D543,Hierarchy!$A$2:$A$1295,0))="","",INDEX(Hierarchy!$G$2:$G$1295,MATCH($D543,Hierarchy!$A$2:$A$1295,0))),"NODE NOT FOUND"))</f>
        <v/>
      </c>
      <c r="K543" s="7" t="str">
        <f aca="false">IF($D543="","",IFERROR(IF(INDEX(Hierarchy!$H$2:$H$1295,MATCH($D543,Hierarchy!$A$2:$A$1295,0))="","",INDEX(Hierarchy!$H$2:$H$1295,MATCH($D543,Hierarchy!$A$2:$A$1295,0))),"NODE NOT FOUND"))</f>
        <v/>
      </c>
      <c r="L543" s="7" t="str">
        <f aca="false">IF($D543="","",IFERROR(IF(INDEX(Hierarchy!$I$2:$I$1295,MATCH($D543,Hierarchy!$A$2:$A$1295,0))="","",INDEX(Hierarchy!$I$2:$I$1295,MATCH($D543,Hierarchy!$A$2:$A$1295,0))),"NODE NOT FOUND"))</f>
        <v/>
      </c>
      <c r="M543" s="17" t="str">
        <f aca="false">IF(B543="Pre-seeded","Pre-seeded",IF(B543="Review 2026-09-16","Added from review",IF(C543="","New",IF(C543=D543,"","Changed"))))</f>
        <v>Changed</v>
      </c>
      <c r="N543" s="7" t="str">
        <f aca="false">TRIM(SUBSTITUTE(SUBSTITUTE(SUBSTITUTE(" "&amp;TRIM(SUBSTITUTE(SUBSTITUTE(SUBSTITUTE(SUBSTITUTE(SUBSTITUTE(SUBSTITUTE(SUBSTITUTE(SUBSTITUTE(SUBSTITUTE(SUBSTITUTE(SUBSTITUTE(SUBSTITUTE(SUBSTITUTE(SUBSTITUTE(SUBSTITUTE(UPPER(TRIM(A543)),"[MEMBER]",""),"{MEMBER}",""),"[MEMBER}",""),"MEMBER]",""),"(A)",""),"""",""),"“",""),"”",""),".",""),":",""),",",""),"–"," "),"-"," "),"/"," "),"&amp;"," AND "))&amp;" "," THE "," ")," TOTAL "," ")," OPERATIONS "," "))</f>
        <v>EUROPE MIDDLE EAST AND NORTH AFRICA</v>
      </c>
      <c r="O543" s="17" t="str">
        <f aca="false">IF(COUNTIFS($N$2:$N$2000,N543,$D$2:$D$2000,"&lt;&gt;"&amp;D543)&gt;0,"CONFLICT","")</f>
        <v/>
      </c>
      <c r="P543" s="7" t="s">
        <v>2165</v>
      </c>
    </row>
    <row r="544" customFormat="false" ht="15" hidden="false" customHeight="false" outlineLevel="0" collapsed="false">
      <c r="A544" s="7" t="s">
        <v>2166</v>
      </c>
      <c r="B544" s="7" t="s">
        <v>1882</v>
      </c>
      <c r="C544" s="7" t="s">
        <v>1973</v>
      </c>
      <c r="D544" s="6" t="s">
        <v>613</v>
      </c>
      <c r="E544" s="6" t="s">
        <v>1880</v>
      </c>
      <c r="F544" s="7" t="str">
        <f aca="false">IF($D544="","",IFERROR(IF(INDEX(Hierarchy!$B$2:$B$1295,MATCH($D544,Hierarchy!$A$2:$A$1295,0))="","",INDEX(Hierarchy!$B$2:$B$1295,MATCH($D544,Hierarchy!$A$2:$A$1295,0))),"NODE NOT FOUND"))</f>
        <v>Region</v>
      </c>
      <c r="G544" s="7" t="str">
        <f aca="false">IF($D544="","",IFERROR(IF(INDEX(Hierarchy!$D$2:$D$1295,MATCH($D544,Hierarchy!$A$2:$A$1295,0))="","",INDEX(Hierarchy!$D$2:$D$1295,MATCH($D544,Hierarchy!$A$2:$A$1295,0))),"NODE NOT FOUND"))</f>
        <v>EMEA</v>
      </c>
      <c r="H544" s="7" t="str">
        <f aca="false">IF($D544="","",IFERROR(IF(INDEX(Hierarchy!$E$2:$E$1295,MATCH($D544,Hierarchy!$A$2:$A$1295,0))="","",INDEX(Hierarchy!$E$2:$E$1295,MATCH($D544,Hierarchy!$A$2:$A$1295,0))),"NODE NOT FOUND"))</f>
        <v/>
      </c>
      <c r="I544" s="7" t="str">
        <f aca="false">IF($D544="","",IFERROR(IF(INDEX(Hierarchy!$F$2:$F$1295,MATCH($D544,Hierarchy!$A$2:$A$1295,0))="","",INDEX(Hierarchy!$F$2:$F$1295,MATCH($D544,Hierarchy!$A$2:$A$1295,0))),"NODE NOT FOUND"))</f>
        <v/>
      </c>
      <c r="J544" s="7" t="str">
        <f aca="false">IF($D544="","",IFERROR(IF(INDEX(Hierarchy!$G$2:$G$1295,MATCH($D544,Hierarchy!$A$2:$A$1295,0))="","",INDEX(Hierarchy!$G$2:$G$1295,MATCH($D544,Hierarchy!$A$2:$A$1295,0))),"NODE NOT FOUND"))</f>
        <v/>
      </c>
      <c r="K544" s="7" t="str">
        <f aca="false">IF($D544="","",IFERROR(IF(INDEX(Hierarchy!$H$2:$H$1295,MATCH($D544,Hierarchy!$A$2:$A$1295,0))="","",INDEX(Hierarchy!$H$2:$H$1295,MATCH($D544,Hierarchy!$A$2:$A$1295,0))),"NODE NOT FOUND"))</f>
        <v/>
      </c>
      <c r="L544" s="7" t="str">
        <f aca="false">IF($D544="","",IFERROR(IF(INDEX(Hierarchy!$I$2:$I$1295,MATCH($D544,Hierarchy!$A$2:$A$1295,0))="","",INDEX(Hierarchy!$I$2:$I$1295,MATCH($D544,Hierarchy!$A$2:$A$1295,0))),"NODE NOT FOUND"))</f>
        <v/>
      </c>
      <c r="M544" s="17" t="str">
        <f aca="false">IF(B544="Pre-seeded","Pre-seeded",IF(B544="Review 2026-09-16","Added from review",IF(C544="","New",IF(C544=D544,"","Changed"))))</f>
        <v>Changed</v>
      </c>
      <c r="N544" s="7" t="str">
        <f aca="false">TRIM(SUBSTITUTE(SUBSTITUTE(SUBSTITUTE(" "&amp;TRIM(SUBSTITUTE(SUBSTITUTE(SUBSTITUTE(SUBSTITUTE(SUBSTITUTE(SUBSTITUTE(SUBSTITUTE(SUBSTITUTE(SUBSTITUTE(SUBSTITUTE(SUBSTITUTE(SUBSTITUTE(SUBSTITUTE(SUBSTITUTE(SUBSTITUTE(UPPER(TRIM(A544)),"[MEMBER]",""),"{MEMBER}",""),"[MEMBER}",""),"MEMBER]",""),"(A)",""),"""",""),"“",""),"”",""),".",""),":",""),",",""),"–"," "),"-"," "),"/"," "),"&amp;"," AND "))&amp;" "," THE "," ")," TOTAL "," ")," OPERATIONS "," "))</f>
        <v>EUROPE MIDDLE EAST AND AFRICA (EMEA)</v>
      </c>
      <c r="O544" s="17" t="str">
        <f aca="false">IF(COUNTIFS($N$2:$N$2000,N544,$D$2:$D$2000,"&lt;&gt;"&amp;D544)&gt;0,"CONFLICT","")</f>
        <v/>
      </c>
      <c r="P544" s="7"/>
    </row>
    <row r="545" customFormat="false" ht="15" hidden="false" customHeight="false" outlineLevel="0" collapsed="false">
      <c r="A545" s="7" t="s">
        <v>2167</v>
      </c>
      <c r="B545" s="7" t="s">
        <v>1882</v>
      </c>
      <c r="C545" s="7" t="s">
        <v>1973</v>
      </c>
      <c r="D545" s="6" t="s">
        <v>613</v>
      </c>
      <c r="E545" s="6" t="s">
        <v>1880</v>
      </c>
      <c r="F545" s="7" t="str">
        <f aca="false">IF($D545="","",IFERROR(IF(INDEX(Hierarchy!$B$2:$B$1295,MATCH($D545,Hierarchy!$A$2:$A$1295,0))="","",INDEX(Hierarchy!$B$2:$B$1295,MATCH($D545,Hierarchy!$A$2:$A$1295,0))),"NODE NOT FOUND"))</f>
        <v>Region</v>
      </c>
      <c r="G545" s="7" t="str">
        <f aca="false">IF($D545="","",IFERROR(IF(INDEX(Hierarchy!$D$2:$D$1295,MATCH($D545,Hierarchy!$A$2:$A$1295,0))="","",INDEX(Hierarchy!$D$2:$D$1295,MATCH($D545,Hierarchy!$A$2:$A$1295,0))),"NODE NOT FOUND"))</f>
        <v>EMEA</v>
      </c>
      <c r="H545" s="7" t="str">
        <f aca="false">IF($D545="","",IFERROR(IF(INDEX(Hierarchy!$E$2:$E$1295,MATCH($D545,Hierarchy!$A$2:$A$1295,0))="","",INDEX(Hierarchy!$E$2:$E$1295,MATCH($D545,Hierarchy!$A$2:$A$1295,0))),"NODE NOT FOUND"))</f>
        <v/>
      </c>
      <c r="I545" s="7" t="str">
        <f aca="false">IF($D545="","",IFERROR(IF(INDEX(Hierarchy!$F$2:$F$1295,MATCH($D545,Hierarchy!$A$2:$A$1295,0))="","",INDEX(Hierarchy!$F$2:$F$1295,MATCH($D545,Hierarchy!$A$2:$A$1295,0))),"NODE NOT FOUND"))</f>
        <v/>
      </c>
      <c r="J545" s="7" t="str">
        <f aca="false">IF($D545="","",IFERROR(IF(INDEX(Hierarchy!$G$2:$G$1295,MATCH($D545,Hierarchy!$A$2:$A$1295,0))="","",INDEX(Hierarchy!$G$2:$G$1295,MATCH($D545,Hierarchy!$A$2:$A$1295,0))),"NODE NOT FOUND"))</f>
        <v/>
      </c>
      <c r="K545" s="7" t="str">
        <f aca="false">IF($D545="","",IFERROR(IF(INDEX(Hierarchy!$H$2:$H$1295,MATCH($D545,Hierarchy!$A$2:$A$1295,0))="","",INDEX(Hierarchy!$H$2:$H$1295,MATCH($D545,Hierarchy!$A$2:$A$1295,0))),"NODE NOT FOUND"))</f>
        <v/>
      </c>
      <c r="L545" s="7" t="str">
        <f aca="false">IF($D545="","",IFERROR(IF(INDEX(Hierarchy!$I$2:$I$1295,MATCH($D545,Hierarchy!$A$2:$A$1295,0))="","",INDEX(Hierarchy!$I$2:$I$1295,MATCH($D545,Hierarchy!$A$2:$A$1295,0))),"NODE NOT FOUND"))</f>
        <v/>
      </c>
      <c r="M545" s="17" t="str">
        <f aca="false">IF(B545="Pre-seeded","Pre-seeded",IF(B545="Review 2026-09-16","Added from review",IF(C545="","New",IF(C545=D545,"","Changed"))))</f>
        <v>Changed</v>
      </c>
      <c r="N545" s="7" t="str">
        <f aca="false">TRIM(SUBSTITUTE(SUBSTITUTE(SUBSTITUTE(" "&amp;TRIM(SUBSTITUTE(SUBSTITUTE(SUBSTITUTE(SUBSTITUTE(SUBSTITUTE(SUBSTITUTE(SUBSTITUTE(SUBSTITUTE(SUBSTITUTE(SUBSTITUTE(SUBSTITUTE(SUBSTITUTE(SUBSTITUTE(SUBSTITUTE(SUBSTITUTE(UPPER(TRIM(A545)),"[MEMBER]",""),"{MEMBER}",""),"[MEMBER}",""),"MEMBER]",""),"(A)",""),"""",""),"“",""),"”",""),".",""),":",""),",",""),"–"," "),"-"," "),"/"," "),"&amp;"," AND "))&amp;" "," THE "," ")," TOTAL "," ")," OPERATIONS "," "))</f>
        <v>EUROPE MIDDLE EAST  AND AFRICA</v>
      </c>
      <c r="O545" s="17" t="str">
        <f aca="false">IF(COUNTIFS($N$2:$N$2000,N545,$D$2:$D$2000,"&lt;&gt;"&amp;D545)&gt;0,"CONFLICT","")</f>
        <v/>
      </c>
      <c r="P545" s="7"/>
    </row>
    <row r="546" customFormat="false" ht="15" hidden="false" customHeight="false" outlineLevel="0" collapsed="false">
      <c r="A546" s="7" t="s">
        <v>2168</v>
      </c>
      <c r="B546" s="7" t="s">
        <v>1885</v>
      </c>
      <c r="C546" s="7" t="s">
        <v>622</v>
      </c>
      <c r="D546" s="6" t="s">
        <v>1803</v>
      </c>
      <c r="E546" s="6" t="s">
        <v>1886</v>
      </c>
      <c r="F546" s="7" t="str">
        <f aca="false">IF($D546="","",IFERROR(IF(INDEX(Hierarchy!$B$2:$B$1295,MATCH($D546,Hierarchy!$A$2:$A$1295,0))="","",INDEX(Hierarchy!$B$2:$B$1295,MATCH($D546,Hierarchy!$A$2:$A$1295,0))),"NODE NOT FOUND"))</f>
        <v>Multi-region</v>
      </c>
      <c r="G546" s="7" t="str">
        <f aca="false">IF($D546="","",IFERROR(IF(INDEX(Hierarchy!$D$2:$D$1295,MATCH($D546,Hierarchy!$A$2:$A$1295,0))="","",INDEX(Hierarchy!$D$2:$D$1295,MATCH($D546,Hierarchy!$A$2:$A$1295,0))),"NODE NOT FOUND"))</f>
        <v>Multi-region</v>
      </c>
      <c r="H546" s="7" t="str">
        <f aca="false">IF($D546="","",IFERROR(IF(INDEX(Hierarchy!$E$2:$E$1295,MATCH($D546,Hierarchy!$A$2:$A$1295,0))="","",INDEX(Hierarchy!$E$2:$E$1295,MATCH($D546,Hierarchy!$A$2:$A$1295,0))),"NODE NOT FOUND"))</f>
        <v/>
      </c>
      <c r="I546" s="7" t="str">
        <f aca="false">IF($D546="","",IFERROR(IF(INDEX(Hierarchy!$F$2:$F$1295,MATCH($D546,Hierarchy!$A$2:$A$1295,0))="","",INDEX(Hierarchy!$F$2:$F$1295,MATCH($D546,Hierarchy!$A$2:$A$1295,0))),"NODE NOT FOUND"))</f>
        <v/>
      </c>
      <c r="J546" s="7" t="str">
        <f aca="false">IF($D546="","",IFERROR(IF(INDEX(Hierarchy!$G$2:$G$1295,MATCH($D546,Hierarchy!$A$2:$A$1295,0))="","",INDEX(Hierarchy!$G$2:$G$1295,MATCH($D546,Hierarchy!$A$2:$A$1295,0))),"NODE NOT FOUND"))</f>
        <v/>
      </c>
      <c r="K546" s="7" t="str">
        <f aca="false">IF($D546="","",IFERROR(IF(INDEX(Hierarchy!$H$2:$H$1295,MATCH($D546,Hierarchy!$A$2:$A$1295,0))="","",INDEX(Hierarchy!$H$2:$H$1295,MATCH($D546,Hierarchy!$A$2:$A$1295,0))),"NODE NOT FOUND"))</f>
        <v/>
      </c>
      <c r="L546" s="7" t="str">
        <f aca="false">IF($D546="","",IFERROR(IF(INDEX(Hierarchy!$I$2:$I$1295,MATCH($D546,Hierarchy!$A$2:$A$1295,0))="","",INDEX(Hierarchy!$I$2:$I$1295,MATCH($D546,Hierarchy!$A$2:$A$1295,0))),"NODE NOT FOUND"))</f>
        <v/>
      </c>
      <c r="M546" s="17" t="str">
        <f aca="false">IF(B546="Pre-seeded","Pre-seeded",IF(B546="Review 2026-09-16","Added from review",IF(C546="","New",IF(C546=D546,"","Changed"))))</f>
        <v>Changed</v>
      </c>
      <c r="N546" s="7" t="str">
        <f aca="false">TRIM(SUBSTITUTE(SUBSTITUTE(SUBSTITUTE(" "&amp;TRIM(SUBSTITUTE(SUBSTITUTE(SUBSTITUTE(SUBSTITUTE(SUBSTITUTE(SUBSTITUTE(SUBSTITUTE(SUBSTITUTE(SUBSTITUTE(SUBSTITUTE(SUBSTITUTE(SUBSTITUTE(SUBSTITUTE(SUBSTITUTE(SUBSTITUTE(UPPER(TRIM(A546)),"[MEMBER]",""),"{MEMBER}",""),"[MEMBER}",""),"MEMBER]",""),"(A)",""),"""",""),"“",""),"”",""),".",""),":",""),",",""),"–"," "),"-"," "),"/"," "),"&amp;"," AND "))&amp;" "," THE "," ")," TOTAL "," ")," OPERATIONS "," "))</f>
        <v>EUROPE UNITED KINGDOM AND IRELAND AND EMERGING MARKETS (EUKEM)</v>
      </c>
      <c r="O546" s="17" t="str">
        <f aca="false">IF(COUNTIFS($N$2:$N$2000,N546,$D$2:$D$2000,"&lt;&gt;"&amp;D546)&gt;0,"CONFLICT","")</f>
        <v/>
      </c>
      <c r="P546" s="7" t="s">
        <v>2169</v>
      </c>
    </row>
    <row r="547" customFormat="false" ht="15" hidden="false" customHeight="false" outlineLevel="0" collapsed="false">
      <c r="A547" s="7" t="s">
        <v>2170</v>
      </c>
      <c r="B547" s="7" t="s">
        <v>1882</v>
      </c>
      <c r="C547" s="7" t="s">
        <v>1973</v>
      </c>
      <c r="D547" s="6" t="s">
        <v>613</v>
      </c>
      <c r="E547" s="6" t="s">
        <v>1880</v>
      </c>
      <c r="F547" s="7" t="str">
        <f aca="false">IF($D547="","",IFERROR(IF(INDEX(Hierarchy!$B$2:$B$1295,MATCH($D547,Hierarchy!$A$2:$A$1295,0))="","",INDEX(Hierarchy!$B$2:$B$1295,MATCH($D547,Hierarchy!$A$2:$A$1295,0))),"NODE NOT FOUND"))</f>
        <v>Region</v>
      </c>
      <c r="G547" s="7" t="str">
        <f aca="false">IF($D547="","",IFERROR(IF(INDEX(Hierarchy!$D$2:$D$1295,MATCH($D547,Hierarchy!$A$2:$A$1295,0))="","",INDEX(Hierarchy!$D$2:$D$1295,MATCH($D547,Hierarchy!$A$2:$A$1295,0))),"NODE NOT FOUND"))</f>
        <v>EMEA</v>
      </c>
      <c r="H547" s="7" t="str">
        <f aca="false">IF($D547="","",IFERROR(IF(INDEX(Hierarchy!$E$2:$E$1295,MATCH($D547,Hierarchy!$A$2:$A$1295,0))="","",INDEX(Hierarchy!$E$2:$E$1295,MATCH($D547,Hierarchy!$A$2:$A$1295,0))),"NODE NOT FOUND"))</f>
        <v/>
      </c>
      <c r="I547" s="7" t="str">
        <f aca="false">IF($D547="","",IFERROR(IF(INDEX(Hierarchy!$F$2:$F$1295,MATCH($D547,Hierarchy!$A$2:$A$1295,0))="","",INDEX(Hierarchy!$F$2:$F$1295,MATCH($D547,Hierarchy!$A$2:$A$1295,0))),"NODE NOT FOUND"))</f>
        <v/>
      </c>
      <c r="J547" s="7" t="str">
        <f aca="false">IF($D547="","",IFERROR(IF(INDEX(Hierarchy!$G$2:$G$1295,MATCH($D547,Hierarchy!$A$2:$A$1295,0))="","",INDEX(Hierarchy!$G$2:$G$1295,MATCH($D547,Hierarchy!$A$2:$A$1295,0))),"NODE NOT FOUND"))</f>
        <v/>
      </c>
      <c r="K547" s="7" t="str">
        <f aca="false">IF($D547="","",IFERROR(IF(INDEX(Hierarchy!$H$2:$H$1295,MATCH($D547,Hierarchy!$A$2:$A$1295,0))="","",INDEX(Hierarchy!$H$2:$H$1295,MATCH($D547,Hierarchy!$A$2:$A$1295,0))),"NODE NOT FOUND"))</f>
        <v/>
      </c>
      <c r="L547" s="7" t="str">
        <f aca="false">IF($D547="","",IFERROR(IF(INDEX(Hierarchy!$I$2:$I$1295,MATCH($D547,Hierarchy!$A$2:$A$1295,0))="","",INDEX(Hierarchy!$I$2:$I$1295,MATCH($D547,Hierarchy!$A$2:$A$1295,0))),"NODE NOT FOUND"))</f>
        <v/>
      </c>
      <c r="M547" s="17" t="str">
        <f aca="false">IF(B547="Pre-seeded","Pre-seeded",IF(B547="Review 2026-09-16","Added from review",IF(C547="","New",IF(C547=D547,"","Changed"))))</f>
        <v>Changed</v>
      </c>
      <c r="N547" s="7" t="str">
        <f aca="false">TRIM(SUBSTITUTE(SUBSTITUTE(SUBSTITUTE(" "&amp;TRIM(SUBSTITUTE(SUBSTITUTE(SUBSTITUTE(SUBSTITUTE(SUBSTITUTE(SUBSTITUTE(SUBSTITUTE(SUBSTITUTE(SUBSTITUTE(SUBSTITUTE(SUBSTITUTE(SUBSTITUTE(SUBSTITUTE(SUBSTITUTE(SUBSTITUTE(UPPER(TRIM(A547)),"[MEMBER]",""),"{MEMBER}",""),"[MEMBER}",""),"MEMBER]",""),"(A)",""),"""",""),"“",""),"”",""),".",""),":",""),",",""),"–"," "),"-"," "),"/"," "),"&amp;"," AND "))&amp;" "," THE "," ")," TOTAL "," ")," OPERATIONS "," "))</f>
        <v>EUROPE MIDDLE EAST AND AFRICA</v>
      </c>
      <c r="O547" s="17" t="str">
        <f aca="false">IF(COUNTIFS($N$2:$N$2000,N547,$D$2:$D$2000,"&lt;&gt;"&amp;D547)&gt;0,"CONFLICT","")</f>
        <v/>
      </c>
      <c r="P547" s="7"/>
    </row>
    <row r="548" customFormat="false" ht="15" hidden="false" customHeight="false" outlineLevel="0" collapsed="false">
      <c r="A548" s="7" t="s">
        <v>2171</v>
      </c>
      <c r="B548" s="7" t="s">
        <v>1882</v>
      </c>
      <c r="C548" s="7" t="s">
        <v>1973</v>
      </c>
      <c r="D548" s="6" t="s">
        <v>613</v>
      </c>
      <c r="E548" s="6" t="s">
        <v>1880</v>
      </c>
      <c r="F548" s="7" t="str">
        <f aca="false">IF($D548="","",IFERROR(IF(INDEX(Hierarchy!$B$2:$B$1295,MATCH($D548,Hierarchy!$A$2:$A$1295,0))="","",INDEX(Hierarchy!$B$2:$B$1295,MATCH($D548,Hierarchy!$A$2:$A$1295,0))),"NODE NOT FOUND"))</f>
        <v>Region</v>
      </c>
      <c r="G548" s="7" t="str">
        <f aca="false">IF($D548="","",IFERROR(IF(INDEX(Hierarchy!$D$2:$D$1295,MATCH($D548,Hierarchy!$A$2:$A$1295,0))="","",INDEX(Hierarchy!$D$2:$D$1295,MATCH($D548,Hierarchy!$A$2:$A$1295,0))),"NODE NOT FOUND"))</f>
        <v>EMEA</v>
      </c>
      <c r="H548" s="7" t="str">
        <f aca="false">IF($D548="","",IFERROR(IF(INDEX(Hierarchy!$E$2:$E$1295,MATCH($D548,Hierarchy!$A$2:$A$1295,0))="","",INDEX(Hierarchy!$E$2:$E$1295,MATCH($D548,Hierarchy!$A$2:$A$1295,0))),"NODE NOT FOUND"))</f>
        <v/>
      </c>
      <c r="I548" s="7" t="str">
        <f aca="false">IF($D548="","",IFERROR(IF(INDEX(Hierarchy!$F$2:$F$1295,MATCH($D548,Hierarchy!$A$2:$A$1295,0))="","",INDEX(Hierarchy!$F$2:$F$1295,MATCH($D548,Hierarchy!$A$2:$A$1295,0))),"NODE NOT FOUND"))</f>
        <v/>
      </c>
      <c r="J548" s="7" t="str">
        <f aca="false">IF($D548="","",IFERROR(IF(INDEX(Hierarchy!$G$2:$G$1295,MATCH($D548,Hierarchy!$A$2:$A$1295,0))="","",INDEX(Hierarchy!$G$2:$G$1295,MATCH($D548,Hierarchy!$A$2:$A$1295,0))),"NODE NOT FOUND"))</f>
        <v/>
      </c>
      <c r="K548" s="7" t="str">
        <f aca="false">IF($D548="","",IFERROR(IF(INDEX(Hierarchy!$H$2:$H$1295,MATCH($D548,Hierarchy!$A$2:$A$1295,0))="","",INDEX(Hierarchy!$H$2:$H$1295,MATCH($D548,Hierarchy!$A$2:$A$1295,0))),"NODE NOT FOUND"))</f>
        <v/>
      </c>
      <c r="L548" s="7" t="str">
        <f aca="false">IF($D548="","",IFERROR(IF(INDEX(Hierarchy!$I$2:$I$1295,MATCH($D548,Hierarchy!$A$2:$A$1295,0))="","",INDEX(Hierarchy!$I$2:$I$1295,MATCH($D548,Hierarchy!$A$2:$A$1295,0))),"NODE NOT FOUND"))</f>
        <v/>
      </c>
      <c r="M548" s="17" t="str">
        <f aca="false">IF(B548="Pre-seeded","Pre-seeded",IF(B548="Review 2026-09-16","Added from review",IF(C548="","New",IF(C548=D548,"","Changed"))))</f>
        <v>Changed</v>
      </c>
      <c r="N548" s="7" t="str">
        <f aca="false">TRIM(SUBSTITUTE(SUBSTITUTE(SUBSTITUTE(" "&amp;TRIM(SUBSTITUTE(SUBSTITUTE(SUBSTITUTE(SUBSTITUTE(SUBSTITUTE(SUBSTITUTE(SUBSTITUTE(SUBSTITUTE(SUBSTITUTE(SUBSTITUTE(SUBSTITUTE(SUBSTITUTE(SUBSTITUTE(SUBSTITUTE(SUBSTITUTE(UPPER(TRIM(A548)),"[MEMBER]",""),"{MEMBER}",""),"[MEMBER}",""),"MEMBER]",""),"(A)",""),"""",""),"“",""),"”",""),".",""),":",""),",",""),"–"," "),"-"," "),"/"," "),"&amp;"," AND "))&amp;" "," THE "," ")," TOTAL "," ")," OPERATIONS "," "))</f>
        <v>EUROPE MIDDLE EAST AFRICA</v>
      </c>
      <c r="O548" s="17" t="str">
        <f aca="false">IF(COUNTIFS($N$2:$N$2000,N548,$D$2:$D$2000,"&lt;&gt;"&amp;D548)&gt;0,"CONFLICT","")</f>
        <v/>
      </c>
      <c r="P548" s="7"/>
    </row>
    <row r="549" customFormat="false" ht="15" hidden="false" customHeight="false" outlineLevel="0" collapsed="false">
      <c r="A549" s="7" t="s">
        <v>2172</v>
      </c>
      <c r="B549" s="7" t="s">
        <v>1882</v>
      </c>
      <c r="C549" s="7" t="s">
        <v>622</v>
      </c>
      <c r="D549" s="6" t="s">
        <v>622</v>
      </c>
      <c r="E549" s="6" t="s">
        <v>1880</v>
      </c>
      <c r="F549" s="7" t="str">
        <f aca="false">IF($D549="","",IFERROR(IF(INDEX(Hierarchy!$B$2:$B$1295,MATCH($D549,Hierarchy!$A$2:$A$1295,0))="","",INDEX(Hierarchy!$B$2:$B$1295,MATCH($D549,Hierarchy!$A$2:$A$1295,0))),"NODE NOT FOUND"))</f>
        <v>Sub-region</v>
      </c>
      <c r="G549" s="7" t="str">
        <f aca="false">IF($D549="","",IFERROR(IF(INDEX(Hierarchy!$D$2:$D$1295,MATCH($D549,Hierarchy!$A$2:$A$1295,0))="","",INDEX(Hierarchy!$D$2:$D$1295,MATCH($D549,Hierarchy!$A$2:$A$1295,0))),"NODE NOT FOUND"))</f>
        <v>EMEA</v>
      </c>
      <c r="H549" s="7" t="str">
        <f aca="false">IF($D549="","",IFERROR(IF(INDEX(Hierarchy!$E$2:$E$1295,MATCH($D549,Hierarchy!$A$2:$A$1295,0))="","",INDEX(Hierarchy!$E$2:$E$1295,MATCH($D549,Hierarchy!$A$2:$A$1295,0))),"NODE NOT FOUND"))</f>
        <v>Europe</v>
      </c>
      <c r="I549" s="7" t="str">
        <f aca="false">IF($D549="","",IFERROR(IF(INDEX(Hierarchy!$F$2:$F$1295,MATCH($D549,Hierarchy!$A$2:$A$1295,0))="","",INDEX(Hierarchy!$F$2:$F$1295,MATCH($D549,Hierarchy!$A$2:$A$1295,0))),"NODE NOT FOUND"))</f>
        <v/>
      </c>
      <c r="J549" s="7" t="str">
        <f aca="false">IF($D549="","",IFERROR(IF(INDEX(Hierarchy!$G$2:$G$1295,MATCH($D549,Hierarchy!$A$2:$A$1295,0))="","",INDEX(Hierarchy!$G$2:$G$1295,MATCH($D549,Hierarchy!$A$2:$A$1295,0))),"NODE NOT FOUND"))</f>
        <v/>
      </c>
      <c r="K549" s="7" t="str">
        <f aca="false">IF($D549="","",IFERROR(IF(INDEX(Hierarchy!$H$2:$H$1295,MATCH($D549,Hierarchy!$A$2:$A$1295,0))="","",INDEX(Hierarchy!$H$2:$H$1295,MATCH($D549,Hierarchy!$A$2:$A$1295,0))),"NODE NOT FOUND"))</f>
        <v/>
      </c>
      <c r="L549" s="7" t="str">
        <f aca="false">IF($D549="","",IFERROR(IF(INDEX(Hierarchy!$I$2:$I$1295,MATCH($D549,Hierarchy!$A$2:$A$1295,0))="","",INDEX(Hierarchy!$I$2:$I$1295,MATCH($D549,Hierarchy!$A$2:$A$1295,0))),"NODE NOT FOUND"))</f>
        <v/>
      </c>
      <c r="M549" s="17" t="str">
        <f aca="false">IF(B549="Pre-seeded","Pre-seeded",IF(B549="Review 2026-09-16","Added from review",IF(C549="","New",IF(C549=D549,"","Changed"))))</f>
        <v/>
      </c>
      <c r="N549" s="7" t="str">
        <f aca="false">TRIM(SUBSTITUTE(SUBSTITUTE(SUBSTITUTE(" "&amp;TRIM(SUBSTITUTE(SUBSTITUTE(SUBSTITUTE(SUBSTITUTE(SUBSTITUTE(SUBSTITUTE(SUBSTITUTE(SUBSTITUTE(SUBSTITUTE(SUBSTITUTE(SUBSTITUTE(SUBSTITUTE(SUBSTITUTE(SUBSTITUTE(SUBSTITUTE(UPPER(TRIM(A549)),"[MEMBER]",""),"{MEMBER}",""),"[MEMBER}",""),"MEMBER]",""),"(A)",""),"""",""),"“",""),"”",""),".",""),":",""),",",""),"–"," "),"-"," "),"/"," "),"&amp;"," AND "))&amp;" "," THE "," ")," TOTAL "," ")," OPERATIONS "," "))</f>
        <v>EUROPE</v>
      </c>
      <c r="O549" s="17" t="str">
        <f aca="false">IF(COUNTIFS($N$2:$N$2000,N549,$D$2:$D$2000,"&lt;&gt;"&amp;D549)&gt;0,"CONFLICT","")</f>
        <v/>
      </c>
      <c r="P549" s="7"/>
    </row>
    <row r="550" customFormat="false" ht="15" hidden="false" customHeight="false" outlineLevel="0" collapsed="false">
      <c r="A550" s="7" t="s">
        <v>2173</v>
      </c>
      <c r="B550" s="7" t="s">
        <v>1879</v>
      </c>
      <c r="C550" s="7"/>
      <c r="D550" s="6" t="s">
        <v>622</v>
      </c>
      <c r="E550" s="6" t="s">
        <v>1891</v>
      </c>
      <c r="F550" s="7" t="str">
        <f aca="false">IF($D550="","",IFERROR(IF(INDEX(Hierarchy!$B$2:$B$1295,MATCH($D550,Hierarchy!$A$2:$A$1295,0))="","",INDEX(Hierarchy!$B$2:$B$1295,MATCH($D550,Hierarchy!$A$2:$A$1295,0))),"NODE NOT FOUND"))</f>
        <v>Sub-region</v>
      </c>
      <c r="G550" s="7" t="str">
        <f aca="false">IF($D550="","",IFERROR(IF(INDEX(Hierarchy!$D$2:$D$1295,MATCH($D550,Hierarchy!$A$2:$A$1295,0))="","",INDEX(Hierarchy!$D$2:$D$1295,MATCH($D550,Hierarchy!$A$2:$A$1295,0))),"NODE NOT FOUND"))</f>
        <v>EMEA</v>
      </c>
      <c r="H550" s="7" t="str">
        <f aca="false">IF($D550="","",IFERROR(IF(INDEX(Hierarchy!$E$2:$E$1295,MATCH($D550,Hierarchy!$A$2:$A$1295,0))="","",INDEX(Hierarchy!$E$2:$E$1295,MATCH($D550,Hierarchy!$A$2:$A$1295,0))),"NODE NOT FOUND"))</f>
        <v>Europe</v>
      </c>
      <c r="I550" s="7" t="str">
        <f aca="false">IF($D550="","",IFERROR(IF(INDEX(Hierarchy!$F$2:$F$1295,MATCH($D550,Hierarchy!$A$2:$A$1295,0))="","",INDEX(Hierarchy!$F$2:$F$1295,MATCH($D550,Hierarchy!$A$2:$A$1295,0))),"NODE NOT FOUND"))</f>
        <v/>
      </c>
      <c r="J550" s="7" t="str">
        <f aca="false">IF($D550="","",IFERROR(IF(INDEX(Hierarchy!$G$2:$G$1295,MATCH($D550,Hierarchy!$A$2:$A$1295,0))="","",INDEX(Hierarchy!$G$2:$G$1295,MATCH($D550,Hierarchy!$A$2:$A$1295,0))),"NODE NOT FOUND"))</f>
        <v/>
      </c>
      <c r="K550" s="7" t="str">
        <f aca="false">IF($D550="","",IFERROR(IF(INDEX(Hierarchy!$H$2:$H$1295,MATCH($D550,Hierarchy!$A$2:$A$1295,0))="","",INDEX(Hierarchy!$H$2:$H$1295,MATCH($D550,Hierarchy!$A$2:$A$1295,0))),"NODE NOT FOUND"))</f>
        <v/>
      </c>
      <c r="L550" s="7" t="str">
        <f aca="false">IF($D550="","",IFERROR(IF(INDEX(Hierarchy!$I$2:$I$1295,MATCH($D550,Hierarchy!$A$2:$A$1295,0))="","",INDEX(Hierarchy!$I$2:$I$1295,MATCH($D550,Hierarchy!$A$2:$A$1295,0))),"NODE NOT FOUND"))</f>
        <v/>
      </c>
      <c r="M550" s="17" t="str">
        <f aca="false">IF(B550="Pre-seeded","Pre-seeded",IF(B550="Review 2026-09-16","Added from review",IF(C550="","New",IF(C550=D550,"","Changed"))))</f>
        <v>Pre-seeded</v>
      </c>
      <c r="N550" s="7" t="str">
        <f aca="false">TRIM(SUBSTITUTE(SUBSTITUTE(SUBSTITUTE(" "&amp;TRIM(SUBSTITUTE(SUBSTITUTE(SUBSTITUTE(SUBSTITUTE(SUBSTITUTE(SUBSTITUTE(SUBSTITUTE(SUBSTITUTE(SUBSTITUTE(SUBSTITUTE(SUBSTITUTE(SUBSTITUTE(SUBSTITUTE(SUBSTITUTE(SUBSTITUTE(UPPER(TRIM(A550)),"[MEMBER]",""),"{MEMBER}",""),"[MEMBER}",""),"MEMBER]",""),"(A)",""),"""",""),"“",""),"”",""),".",""),":",""),",",""),"–"," "),"-"," "),"/"," "),"&amp;"," AND "))&amp;" "," THE "," ")," TOTAL "," ")," OPERATIONS "," "))</f>
        <v>EUROPEAN ECONOMIC AREA</v>
      </c>
      <c r="O550" s="17" t="str">
        <f aca="false">IF(COUNTIFS($N$2:$N$2000,N550,$D$2:$D$2000,"&lt;&gt;"&amp;D550)&gt;0,"CONFLICT","")</f>
        <v/>
      </c>
      <c r="P550" s="7"/>
    </row>
    <row r="551" customFormat="false" ht="15" hidden="false" customHeight="false" outlineLevel="0" collapsed="false">
      <c r="A551" s="7" t="s">
        <v>644</v>
      </c>
      <c r="B551" s="7" t="s">
        <v>1885</v>
      </c>
      <c r="C551" s="7" t="s">
        <v>622</v>
      </c>
      <c r="D551" s="6" t="s">
        <v>644</v>
      </c>
      <c r="E551" s="6" t="s">
        <v>1880</v>
      </c>
      <c r="F551" s="7" t="str">
        <f aca="false">IF($D551="","",IFERROR(IF(INDEX(Hierarchy!$B$2:$B$1295,MATCH($D551,Hierarchy!$A$2:$A$1295,0))="","",INDEX(Hierarchy!$B$2:$B$1295,MATCH($D551,Hierarchy!$A$2:$A$1295,0))),"NODE NOT FOUND"))</f>
        <v>Sub-region component</v>
      </c>
      <c r="G551" s="7" t="str">
        <f aca="false">IF($D551="","",IFERROR(IF(INDEX(Hierarchy!$D$2:$D$1295,MATCH($D551,Hierarchy!$A$2:$A$1295,0))="","",INDEX(Hierarchy!$D$2:$D$1295,MATCH($D551,Hierarchy!$A$2:$A$1295,0))),"NODE NOT FOUND"))</f>
        <v>EMEA</v>
      </c>
      <c r="H551" s="7" t="str">
        <f aca="false">IF($D551="","",IFERROR(IF(INDEX(Hierarchy!$E$2:$E$1295,MATCH($D551,Hierarchy!$A$2:$A$1295,0))="","",INDEX(Hierarchy!$E$2:$E$1295,MATCH($D551,Hierarchy!$A$2:$A$1295,0))),"NODE NOT FOUND"))</f>
        <v>Europe</v>
      </c>
      <c r="I551" s="7" t="str">
        <f aca="false">IF($D551="","",IFERROR(IF(INDEX(Hierarchy!$F$2:$F$1295,MATCH($D551,Hierarchy!$A$2:$A$1295,0))="","",INDEX(Hierarchy!$F$2:$F$1295,MATCH($D551,Hierarchy!$A$2:$A$1295,0))),"NODE NOT FOUND"))</f>
        <v/>
      </c>
      <c r="J551" s="7" t="str">
        <f aca="false">IF($D551="","",IFERROR(IF(INDEX(Hierarchy!$G$2:$G$1295,MATCH($D551,Hierarchy!$A$2:$A$1295,0))="","",INDEX(Hierarchy!$G$2:$G$1295,MATCH($D551,Hierarchy!$A$2:$A$1295,0))),"NODE NOT FOUND"))</f>
        <v/>
      </c>
      <c r="K551" s="7" t="str">
        <f aca="false">IF($D551="","",IFERROR(IF(INDEX(Hierarchy!$H$2:$H$1295,MATCH($D551,Hierarchy!$A$2:$A$1295,0))="","",INDEX(Hierarchy!$H$2:$H$1295,MATCH($D551,Hierarchy!$A$2:$A$1295,0))),"NODE NOT FOUND"))</f>
        <v/>
      </c>
      <c r="L551" s="7" t="str">
        <f aca="false">IF($D551="","",IFERROR(IF(INDEX(Hierarchy!$I$2:$I$1295,MATCH($D551,Hierarchy!$A$2:$A$1295,0))="","",INDEX(Hierarchy!$I$2:$I$1295,MATCH($D551,Hierarchy!$A$2:$A$1295,0))),"NODE NOT FOUND"))</f>
        <v/>
      </c>
      <c r="M551" s="17" t="str">
        <f aca="false">IF(B551="Pre-seeded","Pre-seeded",IF(B551="Review 2026-09-16","Added from review",IF(C551="","New",IF(C551=D551,"","Changed"))))</f>
        <v>Changed</v>
      </c>
      <c r="N551" s="7" t="str">
        <f aca="false">TRIM(SUBSTITUTE(SUBSTITUTE(SUBSTITUTE(" "&amp;TRIM(SUBSTITUTE(SUBSTITUTE(SUBSTITUTE(SUBSTITUTE(SUBSTITUTE(SUBSTITUTE(SUBSTITUTE(SUBSTITUTE(SUBSTITUTE(SUBSTITUTE(SUBSTITUTE(SUBSTITUTE(SUBSTITUTE(SUBSTITUTE(SUBSTITUTE(UPPER(TRIM(A551)),"[MEMBER]",""),"{MEMBER}",""),"[MEMBER}",""),"MEMBER]",""),"(A)",""),"""",""),"“",""),"”",""),".",""),":",""),",",""),"–"," "),"-"," "),"/"," "),"&amp;"," AND "))&amp;" "," THE "," ")," TOTAL "," ")," OPERATIONS "," "))</f>
        <v>EUROPEAN UNION</v>
      </c>
      <c r="O551" s="17" t="str">
        <f aca="false">IF(COUNTIFS($N$2:$N$2000,N551,$D$2:$D$2000,"&lt;&gt;"&amp;D551)&gt;0,"CONFLICT","")</f>
        <v/>
      </c>
      <c r="P551" s="7"/>
    </row>
    <row r="552" customFormat="false" ht="15" hidden="false" customHeight="false" outlineLevel="0" collapsed="false">
      <c r="A552" s="7" t="s">
        <v>2174</v>
      </c>
      <c r="B552" s="7" t="s">
        <v>1879</v>
      </c>
      <c r="C552" s="7"/>
      <c r="D552" s="6" t="s">
        <v>644</v>
      </c>
      <c r="E552" s="6" t="s">
        <v>1880</v>
      </c>
      <c r="F552" s="7" t="str">
        <f aca="false">IF($D552="","",IFERROR(IF(INDEX(Hierarchy!$B$2:$B$1295,MATCH($D552,Hierarchy!$A$2:$A$1295,0))="","",INDEX(Hierarchy!$B$2:$B$1295,MATCH($D552,Hierarchy!$A$2:$A$1295,0))),"NODE NOT FOUND"))</f>
        <v>Sub-region component</v>
      </c>
      <c r="G552" s="7" t="str">
        <f aca="false">IF($D552="","",IFERROR(IF(INDEX(Hierarchy!$D$2:$D$1295,MATCH($D552,Hierarchy!$A$2:$A$1295,0))="","",INDEX(Hierarchy!$D$2:$D$1295,MATCH($D552,Hierarchy!$A$2:$A$1295,0))),"NODE NOT FOUND"))</f>
        <v>EMEA</v>
      </c>
      <c r="H552" s="7" t="str">
        <f aca="false">IF($D552="","",IFERROR(IF(INDEX(Hierarchy!$E$2:$E$1295,MATCH($D552,Hierarchy!$A$2:$A$1295,0))="","",INDEX(Hierarchy!$E$2:$E$1295,MATCH($D552,Hierarchy!$A$2:$A$1295,0))),"NODE NOT FOUND"))</f>
        <v>Europe</v>
      </c>
      <c r="I552" s="7" t="str">
        <f aca="false">IF($D552="","",IFERROR(IF(INDEX(Hierarchy!$F$2:$F$1295,MATCH($D552,Hierarchy!$A$2:$A$1295,0))="","",INDEX(Hierarchy!$F$2:$F$1295,MATCH($D552,Hierarchy!$A$2:$A$1295,0))),"NODE NOT FOUND"))</f>
        <v/>
      </c>
      <c r="J552" s="7" t="str">
        <f aca="false">IF($D552="","",IFERROR(IF(INDEX(Hierarchy!$G$2:$G$1295,MATCH($D552,Hierarchy!$A$2:$A$1295,0))="","",INDEX(Hierarchy!$G$2:$G$1295,MATCH($D552,Hierarchy!$A$2:$A$1295,0))),"NODE NOT FOUND"))</f>
        <v/>
      </c>
      <c r="K552" s="7" t="str">
        <f aca="false">IF($D552="","",IFERROR(IF(INDEX(Hierarchy!$H$2:$H$1295,MATCH($D552,Hierarchy!$A$2:$A$1295,0))="","",INDEX(Hierarchy!$H$2:$H$1295,MATCH($D552,Hierarchy!$A$2:$A$1295,0))),"NODE NOT FOUND"))</f>
        <v/>
      </c>
      <c r="L552" s="7" t="str">
        <f aca="false">IF($D552="","",IFERROR(IF(INDEX(Hierarchy!$I$2:$I$1295,MATCH($D552,Hierarchy!$A$2:$A$1295,0))="","",INDEX(Hierarchy!$I$2:$I$1295,MATCH($D552,Hierarchy!$A$2:$A$1295,0))),"NODE NOT FOUND"))</f>
        <v/>
      </c>
      <c r="M552" s="17" t="str">
        <f aca="false">IF(B552="Pre-seeded","Pre-seeded",IF(B552="Review 2026-09-16","Added from review",IF(C552="","New",IF(C552=D552,"","Changed"))))</f>
        <v>Pre-seeded</v>
      </c>
      <c r="N552" s="7" t="str">
        <f aca="false">TRIM(SUBSTITUTE(SUBSTITUTE(SUBSTITUTE(" "&amp;TRIM(SUBSTITUTE(SUBSTITUTE(SUBSTITUTE(SUBSTITUTE(SUBSTITUTE(SUBSTITUTE(SUBSTITUTE(SUBSTITUTE(SUBSTITUTE(SUBSTITUTE(SUBSTITUTE(SUBSTITUTE(SUBSTITUTE(SUBSTITUTE(SUBSTITUTE(UPPER(TRIM(A552)),"[MEMBER]",""),"{MEMBER}",""),"[MEMBER}",""),"MEMBER]",""),"(A)",""),"""",""),"“",""),"”",""),".",""),":",""),",",""),"–"," "),"-"," "),"/"," "),"&amp;"," AND "))&amp;" "," THE "," ")," TOTAL "," ")," OPERATIONS "," "))</f>
        <v>EUROPEAN UNION (EU)</v>
      </c>
      <c r="O552" s="17" t="str">
        <f aca="false">IF(COUNTIFS($N$2:$N$2000,N552,$D$2:$D$2000,"&lt;&gt;"&amp;D552)&gt;0,"CONFLICT","")</f>
        <v/>
      </c>
      <c r="P552" s="7"/>
    </row>
    <row r="553" customFormat="false" ht="15" hidden="false" customHeight="false" outlineLevel="0" collapsed="false">
      <c r="A553" s="7" t="s">
        <v>2175</v>
      </c>
      <c r="B553" s="7" t="s">
        <v>1879</v>
      </c>
      <c r="C553" s="7"/>
      <c r="D553" s="6" t="s">
        <v>644</v>
      </c>
      <c r="E553" s="6" t="s">
        <v>1891</v>
      </c>
      <c r="F553" s="7" t="str">
        <f aca="false">IF($D553="","",IFERROR(IF(INDEX(Hierarchy!$B$2:$B$1295,MATCH($D553,Hierarchy!$A$2:$A$1295,0))="","",INDEX(Hierarchy!$B$2:$B$1295,MATCH($D553,Hierarchy!$A$2:$A$1295,0))),"NODE NOT FOUND"))</f>
        <v>Sub-region component</v>
      </c>
      <c r="G553" s="7" t="str">
        <f aca="false">IF($D553="","",IFERROR(IF(INDEX(Hierarchy!$D$2:$D$1295,MATCH($D553,Hierarchy!$A$2:$A$1295,0))="","",INDEX(Hierarchy!$D$2:$D$1295,MATCH($D553,Hierarchy!$A$2:$A$1295,0))),"NODE NOT FOUND"))</f>
        <v>EMEA</v>
      </c>
      <c r="H553" s="7" t="str">
        <f aca="false">IF($D553="","",IFERROR(IF(INDEX(Hierarchy!$E$2:$E$1295,MATCH($D553,Hierarchy!$A$2:$A$1295,0))="","",INDEX(Hierarchy!$E$2:$E$1295,MATCH($D553,Hierarchy!$A$2:$A$1295,0))),"NODE NOT FOUND"))</f>
        <v>Europe</v>
      </c>
      <c r="I553" s="7" t="str">
        <f aca="false">IF($D553="","",IFERROR(IF(INDEX(Hierarchy!$F$2:$F$1295,MATCH($D553,Hierarchy!$A$2:$A$1295,0))="","",INDEX(Hierarchy!$F$2:$F$1295,MATCH($D553,Hierarchy!$A$2:$A$1295,0))),"NODE NOT FOUND"))</f>
        <v/>
      </c>
      <c r="J553" s="7" t="str">
        <f aca="false">IF($D553="","",IFERROR(IF(INDEX(Hierarchy!$G$2:$G$1295,MATCH($D553,Hierarchy!$A$2:$A$1295,0))="","",INDEX(Hierarchy!$G$2:$G$1295,MATCH($D553,Hierarchy!$A$2:$A$1295,0))),"NODE NOT FOUND"))</f>
        <v/>
      </c>
      <c r="K553" s="7" t="str">
        <f aca="false">IF($D553="","",IFERROR(IF(INDEX(Hierarchy!$H$2:$H$1295,MATCH($D553,Hierarchy!$A$2:$A$1295,0))="","",INDEX(Hierarchy!$H$2:$H$1295,MATCH($D553,Hierarchy!$A$2:$A$1295,0))),"NODE NOT FOUND"))</f>
        <v/>
      </c>
      <c r="L553" s="7" t="str">
        <f aca="false">IF($D553="","",IFERROR(IF(INDEX(Hierarchy!$I$2:$I$1295,MATCH($D553,Hierarchy!$A$2:$A$1295,0))="","",INDEX(Hierarchy!$I$2:$I$1295,MATCH($D553,Hierarchy!$A$2:$A$1295,0))),"NODE NOT FOUND"))</f>
        <v/>
      </c>
      <c r="M553" s="17" t="str">
        <f aca="false">IF(B553="Pre-seeded","Pre-seeded",IF(B553="Review 2026-09-16","Added from review",IF(C553="","New",IF(C553=D553,"","Changed"))))</f>
        <v>Pre-seeded</v>
      </c>
      <c r="N553" s="7" t="str">
        <f aca="false">TRIM(SUBSTITUTE(SUBSTITUTE(SUBSTITUTE(" "&amp;TRIM(SUBSTITUTE(SUBSTITUTE(SUBSTITUTE(SUBSTITUTE(SUBSTITUTE(SUBSTITUTE(SUBSTITUTE(SUBSTITUTE(SUBSTITUTE(SUBSTITUTE(SUBSTITUTE(SUBSTITUTE(SUBSTITUTE(SUBSTITUTE(SUBSTITUTE(UPPER(TRIM(A553)),"[MEMBER]",""),"{MEMBER}",""),"[MEMBER}",""),"MEMBER]",""),"(A)",""),"""",""),"“",""),"”",""),".",""),":",""),",",""),"–"," "),"-"," "),"/"," "),"&amp;"," AND "))&amp;" "," THE "," ")," TOTAL "," ")," OPERATIONS "," "))</f>
        <v>EUROZONE</v>
      </c>
      <c r="O553" s="17" t="str">
        <f aca="false">IF(COUNTIFS($N$2:$N$2000,N553,$D$2:$D$2000,"&lt;&gt;"&amp;D553)&gt;0,"CONFLICT","")</f>
        <v/>
      </c>
      <c r="P553" s="7"/>
    </row>
    <row r="554" customFormat="false" ht="15" hidden="false" customHeight="false" outlineLevel="0" collapsed="false">
      <c r="A554" s="7" t="s">
        <v>2176</v>
      </c>
      <c r="B554" s="7" t="s">
        <v>1879</v>
      </c>
      <c r="C554" s="7"/>
      <c r="D554" s="6" t="s">
        <v>1784</v>
      </c>
      <c r="E554" s="6" t="s">
        <v>1880</v>
      </c>
      <c r="F554" s="7" t="str">
        <f aca="false">IF($D554="","",IFERROR(IF(INDEX(Hierarchy!$B$2:$B$1295,MATCH($D554,Hierarchy!$A$2:$A$1295,0))="","",INDEX(Hierarchy!$B$2:$B$1295,MATCH($D554,Hierarchy!$A$2:$A$1295,0))),"NODE NOT FOUND"))</f>
        <v>Bucket</v>
      </c>
      <c r="G554" s="7" t="str">
        <f aca="false">IF($D554="","",IFERROR(IF(INDEX(Hierarchy!$D$2:$D$1295,MATCH($D554,Hierarchy!$A$2:$A$1295,0))="","",INDEX(Hierarchy!$D$2:$D$1295,MATCH($D554,Hierarchy!$A$2:$A$1295,0))),"NODE NOT FOUND"))</f>
        <v>Non-regional</v>
      </c>
      <c r="H554" s="7" t="str">
        <f aca="false">IF($D554="","",IFERROR(IF(INDEX(Hierarchy!$E$2:$E$1295,MATCH($D554,Hierarchy!$A$2:$A$1295,0))="","",INDEX(Hierarchy!$E$2:$E$1295,MATCH($D554,Hierarchy!$A$2:$A$1295,0))),"NODE NOT FOUND"))</f>
        <v/>
      </c>
      <c r="I554" s="7" t="str">
        <f aca="false">IF($D554="","",IFERROR(IF(INDEX(Hierarchy!$F$2:$F$1295,MATCH($D554,Hierarchy!$A$2:$A$1295,0))="","",INDEX(Hierarchy!$F$2:$F$1295,MATCH($D554,Hierarchy!$A$2:$A$1295,0))),"NODE NOT FOUND"))</f>
        <v/>
      </c>
      <c r="J554" s="7" t="str">
        <f aca="false">IF($D554="","",IFERROR(IF(INDEX(Hierarchy!$G$2:$G$1295,MATCH($D554,Hierarchy!$A$2:$A$1295,0))="","",INDEX(Hierarchy!$G$2:$G$1295,MATCH($D554,Hierarchy!$A$2:$A$1295,0))),"NODE NOT FOUND"))</f>
        <v/>
      </c>
      <c r="K554" s="7" t="str">
        <f aca="false">IF($D554="","",IFERROR(IF(INDEX(Hierarchy!$H$2:$H$1295,MATCH($D554,Hierarchy!$A$2:$A$1295,0))="","",INDEX(Hierarchy!$H$2:$H$1295,MATCH($D554,Hierarchy!$A$2:$A$1295,0))),"NODE NOT FOUND"))</f>
        <v/>
      </c>
      <c r="L554" s="7" t="str">
        <f aca="false">IF($D554="","",IFERROR(IF(INDEX(Hierarchy!$I$2:$I$1295,MATCH($D554,Hierarchy!$A$2:$A$1295,0))="","",INDEX(Hierarchy!$I$2:$I$1295,MATCH($D554,Hierarchy!$A$2:$A$1295,0))),"NODE NOT FOUND"))</f>
        <v/>
      </c>
      <c r="M554" s="17" t="str">
        <f aca="false">IF(B554="Pre-seeded","Pre-seeded",IF(B554="Review 2026-09-16","Added from review",IF(C554="","New",IF(C554=D554,"","Changed"))))</f>
        <v>Pre-seeded</v>
      </c>
      <c r="N554" s="7" t="str">
        <f aca="false">TRIM(SUBSTITUTE(SUBSTITUTE(SUBSTITUTE(" "&amp;TRIM(SUBSTITUTE(SUBSTITUTE(SUBSTITUTE(SUBSTITUTE(SUBSTITUTE(SUBSTITUTE(SUBSTITUTE(SUBSTITUTE(SUBSTITUTE(SUBSTITUTE(SUBSTITUTE(SUBSTITUTE(SUBSTITUTE(SUBSTITUTE(SUBSTITUTE(UPPER(TRIM(A554)),"[MEMBER]",""),"{MEMBER}",""),"[MEMBER}",""),"MEMBER]",""),"(A)",""),"""",""),"“",""),"”",""),".",""),":",""),",",""),"–"," "),"-"," "),"/"," "),"&amp;"," AND "))&amp;" "," THE "," ")," TOTAL "," ")," OPERATIONS "," "))</f>
        <v>EX US</v>
      </c>
      <c r="O554" s="17" t="str">
        <f aca="false">IF(COUNTIFS($N$2:$N$2000,N554,$D$2:$D$2000,"&lt;&gt;"&amp;D554)&gt;0,"CONFLICT","")</f>
        <v/>
      </c>
      <c r="P554" s="7"/>
    </row>
    <row r="555" customFormat="false" ht="15" hidden="false" customHeight="false" outlineLevel="0" collapsed="false">
      <c r="A555" s="7" t="s">
        <v>964</v>
      </c>
      <c r="B555" s="7" t="s">
        <v>1879</v>
      </c>
      <c r="C555" s="7"/>
      <c r="D555" s="6" t="s">
        <v>964</v>
      </c>
      <c r="E555" s="6" t="s">
        <v>1880</v>
      </c>
      <c r="F555" s="7" t="str">
        <f aca="false">IF($D555="","",IFERROR(IF(INDEX(Hierarchy!$B$2:$B$1295,MATCH($D555,Hierarchy!$A$2:$A$1295,0))="","",INDEX(Hierarchy!$B$2:$B$1295,MATCH($D555,Hierarchy!$A$2:$A$1295,0))),"NODE NOT FOUND"))</f>
        <v>State/Province</v>
      </c>
      <c r="G555" s="7" t="str">
        <f aca="false">IF($D555="","",IFERROR(IF(INDEX(Hierarchy!$D$2:$D$1295,MATCH($D555,Hierarchy!$A$2:$A$1295,0))="","",INDEX(Hierarchy!$D$2:$D$1295,MATCH($D555,Hierarchy!$A$2:$A$1295,0))),"NODE NOT FOUND"))</f>
        <v>EMEA</v>
      </c>
      <c r="H555" s="7" t="str">
        <f aca="false">IF($D555="","",IFERROR(IF(INDEX(Hierarchy!$E$2:$E$1295,MATCH($D555,Hierarchy!$A$2:$A$1295,0))="","",INDEX(Hierarchy!$E$2:$E$1295,MATCH($D555,Hierarchy!$A$2:$A$1295,0))),"NODE NOT FOUND"))</f>
        <v>Europe</v>
      </c>
      <c r="I555" s="7" t="str">
        <f aca="false">IF($D555="","",IFERROR(IF(INDEX(Hierarchy!$F$2:$F$1295,MATCH($D555,Hierarchy!$A$2:$A$1295,0))="","",INDEX(Hierarchy!$F$2:$F$1295,MATCH($D555,Hierarchy!$A$2:$A$1295,0))),"NODE NOT FOUND"))</f>
        <v>Spain</v>
      </c>
      <c r="J555" s="7" t="str">
        <f aca="false">IF($D555="","",IFERROR(IF(INDEX(Hierarchy!$G$2:$G$1295,MATCH($D555,Hierarchy!$A$2:$A$1295,0))="","",INDEX(Hierarchy!$G$2:$G$1295,MATCH($D555,Hierarchy!$A$2:$A$1295,0))),"NODE NOT FOUND"))</f>
        <v>ESP</v>
      </c>
      <c r="K555" s="7" t="str">
        <f aca="false">IF($D555="","",IFERROR(IF(INDEX(Hierarchy!$H$2:$H$1295,MATCH($D555,Hierarchy!$A$2:$A$1295,0))="","",INDEX(Hierarchy!$H$2:$H$1295,MATCH($D555,Hierarchy!$A$2:$A$1295,0))),"NODE NOT FOUND"))</f>
        <v>Extremadura</v>
      </c>
      <c r="L555" s="7" t="str">
        <f aca="false">IF($D555="","",IFERROR(IF(INDEX(Hierarchy!$I$2:$I$1295,MATCH($D555,Hierarchy!$A$2:$A$1295,0))="","",INDEX(Hierarchy!$I$2:$I$1295,MATCH($D555,Hierarchy!$A$2:$A$1295,0))),"NODE NOT FOUND"))</f>
        <v/>
      </c>
      <c r="M555" s="17" t="str">
        <f aca="false">IF(B555="Pre-seeded","Pre-seeded",IF(B555="Review 2026-09-16","Added from review",IF(C555="","New",IF(C555=D555,"","Changed"))))</f>
        <v>Pre-seeded</v>
      </c>
      <c r="N555" s="7" t="str">
        <f aca="false">TRIM(SUBSTITUTE(SUBSTITUTE(SUBSTITUTE(" "&amp;TRIM(SUBSTITUTE(SUBSTITUTE(SUBSTITUTE(SUBSTITUTE(SUBSTITUTE(SUBSTITUTE(SUBSTITUTE(SUBSTITUTE(SUBSTITUTE(SUBSTITUTE(SUBSTITUTE(SUBSTITUTE(SUBSTITUTE(SUBSTITUTE(SUBSTITUTE(UPPER(TRIM(A555)),"[MEMBER]",""),"{MEMBER}",""),"[MEMBER}",""),"MEMBER]",""),"(A)",""),"""",""),"“",""),"”",""),".",""),":",""),",",""),"–"," "),"-"," "),"/"," "),"&amp;"," AND "))&amp;" "," THE "," ")," TOTAL "," ")," OPERATIONS "," "))</f>
        <v>EXTREMADURA</v>
      </c>
      <c r="O555" s="17" t="str">
        <f aca="false">IF(COUNTIFS($N$2:$N$2000,N555,$D$2:$D$2000,"&lt;&gt;"&amp;D555)&gt;0,"CONFLICT","")</f>
        <v/>
      </c>
      <c r="P555" s="7"/>
    </row>
    <row r="556" customFormat="false" ht="15" hidden="false" customHeight="false" outlineLevel="0" collapsed="false">
      <c r="A556" s="7" t="s">
        <v>2177</v>
      </c>
      <c r="B556" s="7" t="s">
        <v>1954</v>
      </c>
      <c r="C556" s="7"/>
      <c r="D556" s="6" t="s">
        <v>1797</v>
      </c>
      <c r="E556" s="6" t="s">
        <v>1886</v>
      </c>
      <c r="F556" s="7" t="str">
        <f aca="false">IF($D556="","",IFERROR(IF(INDEX(Hierarchy!$B$2:$B$1295,MATCH($D556,Hierarchy!$A$2:$A$1295,0))="","",INDEX(Hierarchy!$B$2:$B$1295,MATCH($D556,Hierarchy!$A$2:$A$1295,0))),"NODE NOT FOUND"))</f>
        <v>Multi-region</v>
      </c>
      <c r="G556" s="7" t="str">
        <f aca="false">IF($D556="","",IFERROR(IF(INDEX(Hierarchy!$D$2:$D$1295,MATCH($D556,Hierarchy!$A$2:$A$1295,0))="","",INDEX(Hierarchy!$D$2:$D$1295,MATCH($D556,Hierarchy!$A$2:$A$1295,0))),"NODE NOT FOUND"))</f>
        <v>Multi-region</v>
      </c>
      <c r="H556" s="7" t="str">
        <f aca="false">IF($D556="","",IFERROR(IF(INDEX(Hierarchy!$E$2:$E$1295,MATCH($D556,Hierarchy!$A$2:$A$1295,0))="","",INDEX(Hierarchy!$E$2:$E$1295,MATCH($D556,Hierarchy!$A$2:$A$1295,0))),"NODE NOT FOUND"))</f>
        <v/>
      </c>
      <c r="I556" s="7" t="str">
        <f aca="false">IF($D556="","",IFERROR(IF(INDEX(Hierarchy!$F$2:$F$1295,MATCH($D556,Hierarchy!$A$2:$A$1295,0))="","",INDEX(Hierarchy!$F$2:$F$1295,MATCH($D556,Hierarchy!$A$2:$A$1295,0))),"NODE NOT FOUND"))</f>
        <v/>
      </c>
      <c r="J556" s="7" t="str">
        <f aca="false">IF($D556="","",IFERROR(IF(INDEX(Hierarchy!$G$2:$G$1295,MATCH($D556,Hierarchy!$A$2:$A$1295,0))="","",INDEX(Hierarchy!$G$2:$G$1295,MATCH($D556,Hierarchy!$A$2:$A$1295,0))),"NODE NOT FOUND"))</f>
        <v/>
      </c>
      <c r="K556" s="7" t="str">
        <f aca="false">IF($D556="","",IFERROR(IF(INDEX(Hierarchy!$H$2:$H$1295,MATCH($D556,Hierarchy!$A$2:$A$1295,0))="","",INDEX(Hierarchy!$H$2:$H$1295,MATCH($D556,Hierarchy!$A$2:$A$1295,0))),"NODE NOT FOUND"))</f>
        <v/>
      </c>
      <c r="L556" s="7" t="str">
        <f aca="false">IF($D556="","",IFERROR(IF(INDEX(Hierarchy!$I$2:$I$1295,MATCH($D556,Hierarchy!$A$2:$A$1295,0))="","",INDEX(Hierarchy!$I$2:$I$1295,MATCH($D556,Hierarchy!$A$2:$A$1295,0))),"NODE NOT FOUND"))</f>
        <v/>
      </c>
      <c r="M556" s="17" t="str">
        <f aca="false">IF(B556="Pre-seeded","Pre-seeded",IF(B556="Review 2026-09-16","Added from review",IF(C556="","New",IF(C556=D556,"","Changed"))))</f>
        <v>Added from review</v>
      </c>
      <c r="N556" s="7" t="str">
        <f aca="false">TRIM(SUBSTITUTE(SUBSTITUTE(SUBSTITUTE(" "&amp;TRIM(SUBSTITUTE(SUBSTITUTE(SUBSTITUTE(SUBSTITUTE(SUBSTITUTE(SUBSTITUTE(SUBSTITUTE(SUBSTITUTE(SUBSTITUTE(SUBSTITUTE(SUBSTITUTE(SUBSTITUTE(SUBSTITUTE(SUBSTITUTE(SUBSTITUTE(UPPER(TRIM(A556)),"[MEMBER]",""),"{MEMBER}",""),"[MEMBER}",""),"MEMBER]",""),"(A)",""),"""",""),"“",""),"”",""),".",""),":",""),",",""),"–"," "),"-"," "),"/"," "),"&amp;"," AND "))&amp;" "," THE "," ")," TOTAL "," ")," OPERATIONS "," "))</f>
        <v>FACTORIES IN HOUSTON TEXAS AND HIJI JAPAN</v>
      </c>
      <c r="O556" s="17" t="str">
        <f aca="false">IF(COUNTIFS($N$2:$N$2000,N556,$D$2:$D$2000,"&lt;&gt;"&amp;D556)&gt;0,"CONFLICT","")</f>
        <v/>
      </c>
      <c r="P556" s="7" t="s">
        <v>2178</v>
      </c>
    </row>
    <row r="557" customFormat="false" ht="15" hidden="false" customHeight="false" outlineLevel="0" collapsed="false">
      <c r="A557" s="7" t="s">
        <v>555</v>
      </c>
      <c r="B557" s="7" t="s">
        <v>1879</v>
      </c>
      <c r="C557" s="7"/>
      <c r="D557" s="6" t="s">
        <v>555</v>
      </c>
      <c r="E557" s="6" t="s">
        <v>1880</v>
      </c>
      <c r="F557" s="7" t="str">
        <f aca="false">IF($D557="","",IFERROR(IF(INDEX(Hierarchy!$B$2:$B$1295,MATCH($D557,Hierarchy!$A$2:$A$1295,0))="","",INDEX(Hierarchy!$B$2:$B$1295,MATCH($D557,Hierarchy!$A$2:$A$1295,0))),"NODE NOT FOUND"))</f>
        <v>Country</v>
      </c>
      <c r="G557" s="7" t="str">
        <f aca="false">IF($D557="","",IFERROR(IF(INDEX(Hierarchy!$D$2:$D$1295,MATCH($D557,Hierarchy!$A$2:$A$1295,0))="","",INDEX(Hierarchy!$D$2:$D$1295,MATCH($D557,Hierarchy!$A$2:$A$1295,0))),"NODE NOT FOUND"))</f>
        <v>AMER</v>
      </c>
      <c r="H557" s="7" t="str">
        <f aca="false">IF($D557="","",IFERROR(IF(INDEX(Hierarchy!$E$2:$E$1295,MATCH($D557,Hierarchy!$A$2:$A$1295,0))="","",INDEX(Hierarchy!$E$2:$E$1295,MATCH($D557,Hierarchy!$A$2:$A$1295,0))),"NODE NOT FOUND"))</f>
        <v>Latin America (LATAM)</v>
      </c>
      <c r="I557" s="7" t="str">
        <f aca="false">IF($D557="","",IFERROR(IF(INDEX(Hierarchy!$F$2:$F$1295,MATCH($D557,Hierarchy!$A$2:$A$1295,0))="","",INDEX(Hierarchy!$F$2:$F$1295,MATCH($D557,Hierarchy!$A$2:$A$1295,0))),"NODE NOT FOUND"))</f>
        <v>Falkland Islands</v>
      </c>
      <c r="J557" s="7" t="str">
        <f aca="false">IF($D557="","",IFERROR(IF(INDEX(Hierarchy!$G$2:$G$1295,MATCH($D557,Hierarchy!$A$2:$A$1295,0))="","",INDEX(Hierarchy!$G$2:$G$1295,MATCH($D557,Hierarchy!$A$2:$A$1295,0))),"NODE NOT FOUND"))</f>
        <v>FLK</v>
      </c>
      <c r="K557" s="7" t="str">
        <f aca="false">IF($D557="","",IFERROR(IF(INDEX(Hierarchy!$H$2:$H$1295,MATCH($D557,Hierarchy!$A$2:$A$1295,0))="","",INDEX(Hierarchy!$H$2:$H$1295,MATCH($D557,Hierarchy!$A$2:$A$1295,0))),"NODE NOT FOUND"))</f>
        <v/>
      </c>
      <c r="L557" s="7" t="str">
        <f aca="false">IF($D557="","",IFERROR(IF(INDEX(Hierarchy!$I$2:$I$1295,MATCH($D557,Hierarchy!$A$2:$A$1295,0))="","",INDEX(Hierarchy!$I$2:$I$1295,MATCH($D557,Hierarchy!$A$2:$A$1295,0))),"NODE NOT FOUND"))</f>
        <v/>
      </c>
      <c r="M557" s="17" t="str">
        <f aca="false">IF(B557="Pre-seeded","Pre-seeded",IF(B557="Review 2026-09-16","Added from review",IF(C557="","New",IF(C557=D557,"","Changed"))))</f>
        <v>Pre-seeded</v>
      </c>
      <c r="N557" s="7" t="str">
        <f aca="false">TRIM(SUBSTITUTE(SUBSTITUTE(SUBSTITUTE(" "&amp;TRIM(SUBSTITUTE(SUBSTITUTE(SUBSTITUTE(SUBSTITUTE(SUBSTITUTE(SUBSTITUTE(SUBSTITUTE(SUBSTITUTE(SUBSTITUTE(SUBSTITUTE(SUBSTITUTE(SUBSTITUTE(SUBSTITUTE(SUBSTITUTE(SUBSTITUTE(UPPER(TRIM(A557)),"[MEMBER]",""),"{MEMBER}",""),"[MEMBER}",""),"MEMBER]",""),"(A)",""),"""",""),"“",""),"”",""),".",""),":",""),",",""),"–"," "),"-"," "),"/"," "),"&amp;"," AND "))&amp;" "," THE "," ")," TOTAL "," ")," OPERATIONS "," "))</f>
        <v>FALKLAND ISLANDS</v>
      </c>
      <c r="O557" s="17" t="str">
        <f aca="false">IF(COUNTIFS($N$2:$N$2000,N557,$D$2:$D$2000,"&lt;&gt;"&amp;D557)&gt;0,"CONFLICT","")</f>
        <v/>
      </c>
      <c r="P557" s="7"/>
    </row>
    <row r="558" customFormat="false" ht="15" hidden="false" customHeight="false" outlineLevel="0" collapsed="false">
      <c r="A558" s="7" t="s">
        <v>2179</v>
      </c>
      <c r="B558" s="7" t="s">
        <v>1879</v>
      </c>
      <c r="C558" s="7"/>
      <c r="D558" s="6" t="s">
        <v>555</v>
      </c>
      <c r="E558" s="6" t="s">
        <v>1880</v>
      </c>
      <c r="F558" s="7" t="str">
        <f aca="false">IF($D558="","",IFERROR(IF(INDEX(Hierarchy!$B$2:$B$1295,MATCH($D558,Hierarchy!$A$2:$A$1295,0))="","",INDEX(Hierarchy!$B$2:$B$1295,MATCH($D558,Hierarchy!$A$2:$A$1295,0))),"NODE NOT FOUND"))</f>
        <v>Country</v>
      </c>
      <c r="G558" s="7" t="str">
        <f aca="false">IF($D558="","",IFERROR(IF(INDEX(Hierarchy!$D$2:$D$1295,MATCH($D558,Hierarchy!$A$2:$A$1295,0))="","",INDEX(Hierarchy!$D$2:$D$1295,MATCH($D558,Hierarchy!$A$2:$A$1295,0))),"NODE NOT FOUND"))</f>
        <v>AMER</v>
      </c>
      <c r="H558" s="7" t="str">
        <f aca="false">IF($D558="","",IFERROR(IF(INDEX(Hierarchy!$E$2:$E$1295,MATCH($D558,Hierarchy!$A$2:$A$1295,0))="","",INDEX(Hierarchy!$E$2:$E$1295,MATCH($D558,Hierarchy!$A$2:$A$1295,0))),"NODE NOT FOUND"))</f>
        <v>Latin America (LATAM)</v>
      </c>
      <c r="I558" s="7" t="str">
        <f aca="false">IF($D558="","",IFERROR(IF(INDEX(Hierarchy!$F$2:$F$1295,MATCH($D558,Hierarchy!$A$2:$A$1295,0))="","",INDEX(Hierarchy!$F$2:$F$1295,MATCH($D558,Hierarchy!$A$2:$A$1295,0))),"NODE NOT FOUND"))</f>
        <v>Falkland Islands</v>
      </c>
      <c r="J558" s="7" t="str">
        <f aca="false">IF($D558="","",IFERROR(IF(INDEX(Hierarchy!$G$2:$G$1295,MATCH($D558,Hierarchy!$A$2:$A$1295,0))="","",INDEX(Hierarchy!$G$2:$G$1295,MATCH($D558,Hierarchy!$A$2:$A$1295,0))),"NODE NOT FOUND"))</f>
        <v>FLK</v>
      </c>
      <c r="K558" s="7" t="str">
        <f aca="false">IF($D558="","",IFERROR(IF(INDEX(Hierarchy!$H$2:$H$1295,MATCH($D558,Hierarchy!$A$2:$A$1295,0))="","",INDEX(Hierarchy!$H$2:$H$1295,MATCH($D558,Hierarchy!$A$2:$A$1295,0))),"NODE NOT FOUND"))</f>
        <v/>
      </c>
      <c r="L558" s="7" t="str">
        <f aca="false">IF($D558="","",IFERROR(IF(INDEX(Hierarchy!$I$2:$I$1295,MATCH($D558,Hierarchy!$A$2:$A$1295,0))="","",INDEX(Hierarchy!$I$2:$I$1295,MATCH($D558,Hierarchy!$A$2:$A$1295,0))),"NODE NOT FOUND"))</f>
        <v/>
      </c>
      <c r="M558" s="17" t="str">
        <f aca="false">IF(B558="Pre-seeded","Pre-seeded",IF(B558="Review 2026-09-16","Added from review",IF(C558="","New",IF(C558=D558,"","Changed"))))</f>
        <v>Pre-seeded</v>
      </c>
      <c r="N558" s="7" t="str">
        <f aca="false">TRIM(SUBSTITUTE(SUBSTITUTE(SUBSTITUTE(" "&amp;TRIM(SUBSTITUTE(SUBSTITUTE(SUBSTITUTE(SUBSTITUTE(SUBSTITUTE(SUBSTITUTE(SUBSTITUTE(SUBSTITUTE(SUBSTITUTE(SUBSTITUTE(SUBSTITUTE(SUBSTITUTE(SUBSTITUTE(SUBSTITUTE(SUBSTITUTE(UPPER(TRIM(A558)),"[MEMBER]",""),"{MEMBER}",""),"[MEMBER}",""),"MEMBER]",""),"(A)",""),"""",""),"“",""),"”",""),".",""),":",""),",",""),"–"," "),"-"," "),"/"," "),"&amp;"," AND "))&amp;" "," THE "," ")," TOTAL "," ")," OPERATIONS "," "))</f>
        <v>FALKLAND ISLANDS (MALVINAS)</v>
      </c>
      <c r="O558" s="17" t="str">
        <f aca="false">IF(COUNTIFS($N$2:$N$2000,N558,$D$2:$D$2000,"&lt;&gt;"&amp;D558)&gt;0,"CONFLICT","")</f>
        <v/>
      </c>
      <c r="P558" s="7" t="s">
        <v>1936</v>
      </c>
    </row>
    <row r="559" customFormat="false" ht="15" hidden="false" customHeight="false" outlineLevel="0" collapsed="false">
      <c r="A559" s="7" t="s">
        <v>2180</v>
      </c>
      <c r="B559" s="7" t="s">
        <v>1885</v>
      </c>
      <c r="C559" s="7" t="s">
        <v>2107</v>
      </c>
      <c r="D559" s="6" t="s">
        <v>744</v>
      </c>
      <c r="E559" s="6" t="s">
        <v>1880</v>
      </c>
      <c r="F559" s="7" t="str">
        <f aca="false">IF($D559="","",IFERROR(IF(INDEX(Hierarchy!$B$2:$B$1295,MATCH($D559,Hierarchy!$A$2:$A$1295,0))="","",INDEX(Hierarchy!$B$2:$B$1295,MATCH($D559,Hierarchy!$A$2:$A$1295,0))),"NODE NOT FOUND"))</f>
        <v>Sub-region group</v>
      </c>
      <c r="G559" s="7" t="str">
        <f aca="false">IF($D559="","",IFERROR(IF(INDEX(Hierarchy!$D$2:$D$1295,MATCH($D559,Hierarchy!$A$2:$A$1295,0))="","",INDEX(Hierarchy!$D$2:$D$1295,MATCH($D559,Hierarchy!$A$2:$A$1295,0))),"NODE NOT FOUND"))</f>
        <v>APAC</v>
      </c>
      <c r="H559" s="7" t="str">
        <f aca="false">IF($D559="","",IFERROR(IF(INDEX(Hierarchy!$E$2:$E$1295,MATCH($D559,Hierarchy!$A$2:$A$1295,0))="","",INDEX(Hierarchy!$E$2:$E$1295,MATCH($D559,Hierarchy!$A$2:$A$1295,0))),"NODE NOT FOUND"))</f>
        <v/>
      </c>
      <c r="I559" s="7" t="str">
        <f aca="false">IF($D559="","",IFERROR(IF(INDEX(Hierarchy!$F$2:$F$1295,MATCH($D559,Hierarchy!$A$2:$A$1295,0))="","",INDEX(Hierarchy!$F$2:$F$1295,MATCH($D559,Hierarchy!$A$2:$A$1295,0))),"NODE NOT FOUND"))</f>
        <v/>
      </c>
      <c r="J559" s="7" t="str">
        <f aca="false">IF($D559="","",IFERROR(IF(INDEX(Hierarchy!$G$2:$G$1295,MATCH($D559,Hierarchy!$A$2:$A$1295,0))="","",INDEX(Hierarchy!$G$2:$G$1295,MATCH($D559,Hierarchy!$A$2:$A$1295,0))),"NODE NOT FOUND"))</f>
        <v/>
      </c>
      <c r="K559" s="7" t="str">
        <f aca="false">IF($D559="","",IFERROR(IF(INDEX(Hierarchy!$H$2:$H$1295,MATCH($D559,Hierarchy!$A$2:$A$1295,0))="","",INDEX(Hierarchy!$H$2:$H$1295,MATCH($D559,Hierarchy!$A$2:$A$1295,0))),"NODE NOT FOUND"))</f>
        <v/>
      </c>
      <c r="L559" s="7" t="str">
        <f aca="false">IF($D559="","",IFERROR(IF(INDEX(Hierarchy!$I$2:$I$1295,MATCH($D559,Hierarchy!$A$2:$A$1295,0))="","",INDEX(Hierarchy!$I$2:$I$1295,MATCH($D559,Hierarchy!$A$2:$A$1295,0))),"NODE NOT FOUND"))</f>
        <v/>
      </c>
      <c r="M559" s="17" t="str">
        <f aca="false">IF(B559="Pre-seeded","Pre-seeded",IF(B559="Review 2026-09-16","Added from review",IF(C559="","New",IF(C559=D559,"","Changed"))))</f>
        <v>Changed</v>
      </c>
      <c r="N559" s="7" t="str">
        <f aca="false">TRIM(SUBSTITUTE(SUBSTITUTE(SUBSTITUTE(" "&amp;TRIM(SUBSTITUTE(SUBSTITUTE(SUBSTITUTE(SUBSTITUTE(SUBSTITUTE(SUBSTITUTE(SUBSTITUTE(SUBSTITUTE(SUBSTITUTE(SUBSTITUTE(SUBSTITUTE(SUBSTITUTE(SUBSTITUTE(SUBSTITUTE(SUBSTITUTE(UPPER(TRIM(A559)),"[MEMBER]",""),"{MEMBER}",""),"[MEMBER}",""),"MEMBER]",""),"(A)",""),"""",""),"“",""),"”",""),".",""),":",""),",",""),"–"," "),"-"," "),"/"," "),"&amp;"," AND "))&amp;" "," THE "," ")," TOTAL "," ")," OPERATIONS "," "))</f>
        <v>FAR EAST</v>
      </c>
      <c r="O559" s="17" t="str">
        <f aca="false">IF(COUNTIFS($N$2:$N$2000,N559,$D$2:$D$2000,"&lt;&gt;"&amp;D559)&gt;0,"CONFLICT","")</f>
        <v/>
      </c>
      <c r="P559" s="7"/>
    </row>
    <row r="560" customFormat="false" ht="15" hidden="false" customHeight="false" outlineLevel="0" collapsed="false">
      <c r="A560" s="7" t="s">
        <v>794</v>
      </c>
      <c r="B560" s="7" t="s">
        <v>1879</v>
      </c>
      <c r="C560" s="7"/>
      <c r="D560" s="6" t="s">
        <v>794</v>
      </c>
      <c r="E560" s="6" t="s">
        <v>1880</v>
      </c>
      <c r="F560" s="7" t="str">
        <f aca="false">IF($D560="","",IFERROR(IF(INDEX(Hierarchy!$B$2:$B$1295,MATCH($D560,Hierarchy!$A$2:$A$1295,0))="","",INDEX(Hierarchy!$B$2:$B$1295,MATCH($D560,Hierarchy!$A$2:$A$1295,0))),"NODE NOT FOUND"))</f>
        <v>Country</v>
      </c>
      <c r="G560" s="7" t="str">
        <f aca="false">IF($D560="","",IFERROR(IF(INDEX(Hierarchy!$D$2:$D$1295,MATCH($D560,Hierarchy!$A$2:$A$1295,0))="","",INDEX(Hierarchy!$D$2:$D$1295,MATCH($D560,Hierarchy!$A$2:$A$1295,0))),"NODE NOT FOUND"))</f>
        <v>EMEA</v>
      </c>
      <c r="H560" s="7" t="str">
        <f aca="false">IF($D560="","",IFERROR(IF(INDEX(Hierarchy!$E$2:$E$1295,MATCH($D560,Hierarchy!$A$2:$A$1295,0))="","",INDEX(Hierarchy!$E$2:$E$1295,MATCH($D560,Hierarchy!$A$2:$A$1295,0))),"NODE NOT FOUND"))</f>
        <v>Europe</v>
      </c>
      <c r="I560" s="7" t="str">
        <f aca="false">IF($D560="","",IFERROR(IF(INDEX(Hierarchy!$F$2:$F$1295,MATCH($D560,Hierarchy!$A$2:$A$1295,0))="","",INDEX(Hierarchy!$F$2:$F$1295,MATCH($D560,Hierarchy!$A$2:$A$1295,0))),"NODE NOT FOUND"))</f>
        <v>Faroe Islands</v>
      </c>
      <c r="J560" s="7" t="str">
        <f aca="false">IF($D560="","",IFERROR(IF(INDEX(Hierarchy!$G$2:$G$1295,MATCH($D560,Hierarchy!$A$2:$A$1295,0))="","",INDEX(Hierarchy!$G$2:$G$1295,MATCH($D560,Hierarchy!$A$2:$A$1295,0))),"NODE NOT FOUND"))</f>
        <v>FRO</v>
      </c>
      <c r="K560" s="7" t="str">
        <f aca="false">IF($D560="","",IFERROR(IF(INDEX(Hierarchy!$H$2:$H$1295,MATCH($D560,Hierarchy!$A$2:$A$1295,0))="","",INDEX(Hierarchy!$H$2:$H$1295,MATCH($D560,Hierarchy!$A$2:$A$1295,0))),"NODE NOT FOUND"))</f>
        <v/>
      </c>
      <c r="L560" s="7" t="str">
        <f aca="false">IF($D560="","",IFERROR(IF(INDEX(Hierarchy!$I$2:$I$1295,MATCH($D560,Hierarchy!$A$2:$A$1295,0))="","",INDEX(Hierarchy!$I$2:$I$1295,MATCH($D560,Hierarchy!$A$2:$A$1295,0))),"NODE NOT FOUND"))</f>
        <v/>
      </c>
      <c r="M560" s="17" t="str">
        <f aca="false">IF(B560="Pre-seeded","Pre-seeded",IF(B560="Review 2026-09-16","Added from review",IF(C560="","New",IF(C560=D560,"","Changed"))))</f>
        <v>Pre-seeded</v>
      </c>
      <c r="N560" s="7" t="str">
        <f aca="false">TRIM(SUBSTITUTE(SUBSTITUTE(SUBSTITUTE(" "&amp;TRIM(SUBSTITUTE(SUBSTITUTE(SUBSTITUTE(SUBSTITUTE(SUBSTITUTE(SUBSTITUTE(SUBSTITUTE(SUBSTITUTE(SUBSTITUTE(SUBSTITUTE(SUBSTITUTE(SUBSTITUTE(SUBSTITUTE(SUBSTITUTE(SUBSTITUTE(UPPER(TRIM(A560)),"[MEMBER]",""),"{MEMBER}",""),"[MEMBER}",""),"MEMBER]",""),"(A)",""),"""",""),"“",""),"”",""),".",""),":",""),",",""),"–"," "),"-"," "),"/"," "),"&amp;"," AND "))&amp;" "," THE "," ")," TOTAL "," ")," OPERATIONS "," "))</f>
        <v>FAROE ISLANDS</v>
      </c>
      <c r="O560" s="17" t="str">
        <f aca="false">IF(COUNTIFS($N$2:$N$2000,N560,$D$2:$D$2000,"&lt;&gt;"&amp;D560)&gt;0,"CONFLICT","")</f>
        <v/>
      </c>
      <c r="P560" s="7"/>
    </row>
    <row r="561" customFormat="false" ht="15" hidden="false" customHeight="false" outlineLevel="0" collapsed="false">
      <c r="A561" s="7" t="s">
        <v>1146</v>
      </c>
      <c r="B561" s="7" t="s">
        <v>1879</v>
      </c>
      <c r="C561" s="7"/>
      <c r="D561" s="6" t="s">
        <v>1146</v>
      </c>
      <c r="E561" s="6" t="s">
        <v>1880</v>
      </c>
      <c r="F561" s="7" t="str">
        <f aca="false">IF($D561="","",IFERROR(IF(INDEX(Hierarchy!$B$2:$B$1295,MATCH($D561,Hierarchy!$A$2:$A$1295,0))="","",INDEX(Hierarchy!$B$2:$B$1295,MATCH($D561,Hierarchy!$A$2:$A$1295,0))),"NODE NOT FOUND"))</f>
        <v>State/Province</v>
      </c>
      <c r="G561" s="7" t="str">
        <f aca="false">IF($D561="","",IFERROR(IF(INDEX(Hierarchy!$D$2:$D$1295,MATCH($D561,Hierarchy!$A$2:$A$1295,0))="","",INDEX(Hierarchy!$D$2:$D$1295,MATCH($D561,Hierarchy!$A$2:$A$1295,0))),"NODE NOT FOUND"))</f>
        <v>EMEA</v>
      </c>
      <c r="H561" s="7" t="str">
        <f aca="false">IF($D561="","",IFERROR(IF(INDEX(Hierarchy!$E$2:$E$1295,MATCH($D561,Hierarchy!$A$2:$A$1295,0))="","",INDEX(Hierarchy!$E$2:$E$1295,MATCH($D561,Hierarchy!$A$2:$A$1295,0))),"NODE NOT FOUND"))</f>
        <v>Africa</v>
      </c>
      <c r="I561" s="7" t="str">
        <f aca="false">IF($D561="","",IFERROR(IF(INDEX(Hierarchy!$F$2:$F$1295,MATCH($D561,Hierarchy!$A$2:$A$1295,0))="","",INDEX(Hierarchy!$F$2:$F$1295,MATCH($D561,Hierarchy!$A$2:$A$1295,0))),"NODE NOT FOUND"))</f>
        <v>Nigeria</v>
      </c>
      <c r="J561" s="7" t="str">
        <f aca="false">IF($D561="","",IFERROR(IF(INDEX(Hierarchy!$G$2:$G$1295,MATCH($D561,Hierarchy!$A$2:$A$1295,0))="","",INDEX(Hierarchy!$G$2:$G$1295,MATCH($D561,Hierarchy!$A$2:$A$1295,0))),"NODE NOT FOUND"))</f>
        <v>NGA</v>
      </c>
      <c r="K561" s="7" t="str">
        <f aca="false">IF($D561="","",IFERROR(IF(INDEX(Hierarchy!$H$2:$H$1295,MATCH($D561,Hierarchy!$A$2:$A$1295,0))="","",INDEX(Hierarchy!$H$2:$H$1295,MATCH($D561,Hierarchy!$A$2:$A$1295,0))),"NODE NOT FOUND"))</f>
        <v>Federal Capital Territory (Abuja)</v>
      </c>
      <c r="L561" s="7" t="str">
        <f aca="false">IF($D561="","",IFERROR(IF(INDEX(Hierarchy!$I$2:$I$1295,MATCH($D561,Hierarchy!$A$2:$A$1295,0))="","",INDEX(Hierarchy!$I$2:$I$1295,MATCH($D561,Hierarchy!$A$2:$A$1295,0))),"NODE NOT FOUND"))</f>
        <v/>
      </c>
      <c r="M561" s="17" t="str">
        <f aca="false">IF(B561="Pre-seeded","Pre-seeded",IF(B561="Review 2026-09-16","Added from review",IF(C561="","New",IF(C561=D561,"","Changed"))))</f>
        <v>Pre-seeded</v>
      </c>
      <c r="N561" s="7" t="str">
        <f aca="false">TRIM(SUBSTITUTE(SUBSTITUTE(SUBSTITUTE(" "&amp;TRIM(SUBSTITUTE(SUBSTITUTE(SUBSTITUTE(SUBSTITUTE(SUBSTITUTE(SUBSTITUTE(SUBSTITUTE(SUBSTITUTE(SUBSTITUTE(SUBSTITUTE(SUBSTITUTE(SUBSTITUTE(SUBSTITUTE(SUBSTITUTE(SUBSTITUTE(UPPER(TRIM(A561)),"[MEMBER]",""),"{MEMBER}",""),"[MEMBER}",""),"MEMBER]",""),"(A)",""),"""",""),"“",""),"”",""),".",""),":",""),",",""),"–"," "),"-"," "),"/"," "),"&amp;"," AND "))&amp;" "," THE "," ")," TOTAL "," ")," OPERATIONS "," "))</f>
        <v>FEDERAL CAPITAL TERRITORY (ABUJA)</v>
      </c>
      <c r="O561" s="17" t="str">
        <f aca="false">IF(COUNTIFS($N$2:$N$2000,N561,$D$2:$D$2000,"&lt;&gt;"&amp;D561)&gt;0,"CONFLICT","")</f>
        <v/>
      </c>
      <c r="P561" s="7"/>
    </row>
    <row r="562" customFormat="false" ht="15" hidden="false" customHeight="false" outlineLevel="0" collapsed="false">
      <c r="A562" s="7" t="s">
        <v>2181</v>
      </c>
      <c r="B562" s="7" t="s">
        <v>1879</v>
      </c>
      <c r="C562" s="7"/>
      <c r="D562" s="6" t="s">
        <v>1222</v>
      </c>
      <c r="E562" s="6" t="s">
        <v>1880</v>
      </c>
      <c r="F562" s="7" t="str">
        <f aca="false">IF($D562="","",IFERROR(IF(INDEX(Hierarchy!$B$2:$B$1295,MATCH($D562,Hierarchy!$A$2:$A$1295,0))="","",INDEX(Hierarchy!$B$2:$B$1295,MATCH($D562,Hierarchy!$A$2:$A$1295,0))),"NODE NOT FOUND"))</f>
        <v>Country</v>
      </c>
      <c r="G562" s="7" t="str">
        <f aca="false">IF($D562="","",IFERROR(IF(INDEX(Hierarchy!$D$2:$D$1295,MATCH($D562,Hierarchy!$A$2:$A$1295,0))="","",INDEX(Hierarchy!$D$2:$D$1295,MATCH($D562,Hierarchy!$A$2:$A$1295,0))),"NODE NOT FOUND"))</f>
        <v>EMEA</v>
      </c>
      <c r="H562" s="7" t="str">
        <f aca="false">IF($D562="","",IFERROR(IF(INDEX(Hierarchy!$E$2:$E$1295,MATCH($D562,Hierarchy!$A$2:$A$1295,0))="","",INDEX(Hierarchy!$E$2:$E$1295,MATCH($D562,Hierarchy!$A$2:$A$1295,0))),"NODE NOT FOUND"))</f>
        <v>Africa</v>
      </c>
      <c r="I562" s="7" t="str">
        <f aca="false">IF($D562="","",IFERROR(IF(INDEX(Hierarchy!$F$2:$F$1295,MATCH($D562,Hierarchy!$A$2:$A$1295,0))="","",INDEX(Hierarchy!$F$2:$F$1295,MATCH($D562,Hierarchy!$A$2:$A$1295,0))),"NODE NOT FOUND"))</f>
        <v>Ethiopia</v>
      </c>
      <c r="J562" s="7" t="str">
        <f aca="false">IF($D562="","",IFERROR(IF(INDEX(Hierarchy!$G$2:$G$1295,MATCH($D562,Hierarchy!$A$2:$A$1295,0))="","",INDEX(Hierarchy!$G$2:$G$1295,MATCH($D562,Hierarchy!$A$2:$A$1295,0))),"NODE NOT FOUND"))</f>
        <v>ETH</v>
      </c>
      <c r="K562" s="7" t="str">
        <f aca="false">IF($D562="","",IFERROR(IF(INDEX(Hierarchy!$H$2:$H$1295,MATCH($D562,Hierarchy!$A$2:$A$1295,0))="","",INDEX(Hierarchy!$H$2:$H$1295,MATCH($D562,Hierarchy!$A$2:$A$1295,0))),"NODE NOT FOUND"))</f>
        <v/>
      </c>
      <c r="L562" s="7" t="str">
        <f aca="false">IF($D562="","",IFERROR(IF(INDEX(Hierarchy!$I$2:$I$1295,MATCH($D562,Hierarchy!$A$2:$A$1295,0))="","",INDEX(Hierarchy!$I$2:$I$1295,MATCH($D562,Hierarchy!$A$2:$A$1295,0))),"NODE NOT FOUND"))</f>
        <v/>
      </c>
      <c r="M562" s="17" t="str">
        <f aca="false">IF(B562="Pre-seeded","Pre-seeded",IF(B562="Review 2026-09-16","Added from review",IF(C562="","New",IF(C562=D562,"","Changed"))))</f>
        <v>Pre-seeded</v>
      </c>
      <c r="N562" s="7" t="str">
        <f aca="false">TRIM(SUBSTITUTE(SUBSTITUTE(SUBSTITUTE(" "&amp;TRIM(SUBSTITUTE(SUBSTITUTE(SUBSTITUTE(SUBSTITUTE(SUBSTITUTE(SUBSTITUTE(SUBSTITUTE(SUBSTITUTE(SUBSTITUTE(SUBSTITUTE(SUBSTITUTE(SUBSTITUTE(SUBSTITUTE(SUBSTITUTE(SUBSTITUTE(UPPER(TRIM(A562)),"[MEMBER]",""),"{MEMBER}",""),"[MEMBER}",""),"MEMBER]",""),"(A)",""),"""",""),"“",""),"”",""),".",""),":",""),",",""),"–"," "),"-"," "),"/"," "),"&amp;"," AND "))&amp;" "," THE "," ")," TOTAL "," ")," OPERATIONS "," "))</f>
        <v>FEDERAL DEMOCRATIC REPUBLIC OF ETHIOPIA</v>
      </c>
      <c r="O562" s="17" t="str">
        <f aca="false">IF(COUNTIFS($N$2:$N$2000,N562,$D$2:$D$2000,"&lt;&gt;"&amp;D562)&gt;0,"CONFLICT","")</f>
        <v/>
      </c>
      <c r="P562" s="7" t="s">
        <v>1936</v>
      </c>
    </row>
    <row r="563" customFormat="false" ht="15" hidden="false" customHeight="false" outlineLevel="0" collapsed="false">
      <c r="A563" s="7" t="s">
        <v>2182</v>
      </c>
      <c r="B563" s="7" t="s">
        <v>1879</v>
      </c>
      <c r="C563" s="7"/>
      <c r="D563" s="6" t="s">
        <v>1393</v>
      </c>
      <c r="E563" s="6" t="s">
        <v>1880</v>
      </c>
      <c r="F563" s="7" t="str">
        <f aca="false">IF($D563="","",IFERROR(IF(INDEX(Hierarchy!$B$2:$B$1295,MATCH($D563,Hierarchy!$A$2:$A$1295,0))="","",INDEX(Hierarchy!$B$2:$B$1295,MATCH($D563,Hierarchy!$A$2:$A$1295,0))),"NODE NOT FOUND"))</f>
        <v>Country</v>
      </c>
      <c r="G563" s="7" t="str">
        <f aca="false">IF($D563="","",IFERROR(IF(INDEX(Hierarchy!$D$2:$D$1295,MATCH($D563,Hierarchy!$A$2:$A$1295,0))="","",INDEX(Hierarchy!$D$2:$D$1295,MATCH($D563,Hierarchy!$A$2:$A$1295,0))),"NODE NOT FOUND"))</f>
        <v>APAC</v>
      </c>
      <c r="H563" s="7" t="str">
        <f aca="false">IF($D563="","",IFERROR(IF(INDEX(Hierarchy!$E$2:$E$1295,MATCH($D563,Hierarchy!$A$2:$A$1295,0))="","",INDEX(Hierarchy!$E$2:$E$1295,MATCH($D563,Hierarchy!$A$2:$A$1295,0))),"NODE NOT FOUND"))</f>
        <v>South Asia</v>
      </c>
      <c r="I563" s="7" t="str">
        <f aca="false">IF($D563="","",IFERROR(IF(INDEX(Hierarchy!$F$2:$F$1295,MATCH($D563,Hierarchy!$A$2:$A$1295,0))="","",INDEX(Hierarchy!$F$2:$F$1295,MATCH($D563,Hierarchy!$A$2:$A$1295,0))),"NODE NOT FOUND"))</f>
        <v>Nepal</v>
      </c>
      <c r="J563" s="7" t="str">
        <f aca="false">IF($D563="","",IFERROR(IF(INDEX(Hierarchy!$G$2:$G$1295,MATCH($D563,Hierarchy!$A$2:$A$1295,0))="","",INDEX(Hierarchy!$G$2:$G$1295,MATCH($D563,Hierarchy!$A$2:$A$1295,0))),"NODE NOT FOUND"))</f>
        <v>NPL</v>
      </c>
      <c r="K563" s="7" t="str">
        <f aca="false">IF($D563="","",IFERROR(IF(INDEX(Hierarchy!$H$2:$H$1295,MATCH($D563,Hierarchy!$A$2:$A$1295,0))="","",INDEX(Hierarchy!$H$2:$H$1295,MATCH($D563,Hierarchy!$A$2:$A$1295,0))),"NODE NOT FOUND"))</f>
        <v/>
      </c>
      <c r="L563" s="7" t="str">
        <f aca="false">IF($D563="","",IFERROR(IF(INDEX(Hierarchy!$I$2:$I$1295,MATCH($D563,Hierarchy!$A$2:$A$1295,0))="","",INDEX(Hierarchy!$I$2:$I$1295,MATCH($D563,Hierarchy!$A$2:$A$1295,0))),"NODE NOT FOUND"))</f>
        <v/>
      </c>
      <c r="M563" s="17" t="str">
        <f aca="false">IF(B563="Pre-seeded","Pre-seeded",IF(B563="Review 2026-09-16","Added from review",IF(C563="","New",IF(C563=D563,"","Changed"))))</f>
        <v>Pre-seeded</v>
      </c>
      <c r="N563" s="7" t="str">
        <f aca="false">TRIM(SUBSTITUTE(SUBSTITUTE(SUBSTITUTE(" "&amp;TRIM(SUBSTITUTE(SUBSTITUTE(SUBSTITUTE(SUBSTITUTE(SUBSTITUTE(SUBSTITUTE(SUBSTITUTE(SUBSTITUTE(SUBSTITUTE(SUBSTITUTE(SUBSTITUTE(SUBSTITUTE(SUBSTITUTE(SUBSTITUTE(SUBSTITUTE(UPPER(TRIM(A563)),"[MEMBER]",""),"{MEMBER}",""),"[MEMBER}",""),"MEMBER]",""),"(A)",""),"""",""),"“",""),"”",""),".",""),":",""),",",""),"–"," "),"-"," "),"/"," "),"&amp;"," AND "))&amp;" "," THE "," ")," TOTAL "," ")," OPERATIONS "," "))</f>
        <v>FEDERAL DEMOCRATIC REPUBLIC OF NEPAL</v>
      </c>
      <c r="O563" s="17" t="str">
        <f aca="false">IF(COUNTIFS($N$2:$N$2000,N563,$D$2:$D$2000,"&lt;&gt;"&amp;D563)&gt;0,"CONFLICT","")</f>
        <v/>
      </c>
      <c r="P563" s="7" t="s">
        <v>1936</v>
      </c>
    </row>
    <row r="564" customFormat="false" ht="15" hidden="false" customHeight="false" outlineLevel="0" collapsed="false">
      <c r="A564" s="7" t="s">
        <v>352</v>
      </c>
      <c r="B564" s="7" t="s">
        <v>1879</v>
      </c>
      <c r="C564" s="7"/>
      <c r="D564" s="6" t="s">
        <v>352</v>
      </c>
      <c r="E564" s="6" t="s">
        <v>1880</v>
      </c>
      <c r="F564" s="7" t="str">
        <f aca="false">IF($D564="","",IFERROR(IF(INDEX(Hierarchy!$B$2:$B$1295,MATCH($D564,Hierarchy!$A$2:$A$1295,0))="","",INDEX(Hierarchy!$B$2:$B$1295,MATCH($D564,Hierarchy!$A$2:$A$1295,0))),"NODE NOT FOUND"))</f>
        <v>State/Province</v>
      </c>
      <c r="G564" s="7" t="str">
        <f aca="false">IF($D564="","",IFERROR(IF(INDEX(Hierarchy!$D$2:$D$1295,MATCH($D564,Hierarchy!$A$2:$A$1295,0))="","",INDEX(Hierarchy!$D$2:$D$1295,MATCH($D564,Hierarchy!$A$2:$A$1295,0))),"NODE NOT FOUND"))</f>
        <v>AMER</v>
      </c>
      <c r="H564" s="7" t="str">
        <f aca="false">IF($D564="","",IFERROR(IF(INDEX(Hierarchy!$E$2:$E$1295,MATCH($D564,Hierarchy!$A$2:$A$1295,0))="","",INDEX(Hierarchy!$E$2:$E$1295,MATCH($D564,Hierarchy!$A$2:$A$1295,0))),"NODE NOT FOUND"))</f>
        <v>Latin America (LATAM)</v>
      </c>
      <c r="I564" s="7" t="str">
        <f aca="false">IF($D564="","",IFERROR(IF(INDEX(Hierarchy!$F$2:$F$1295,MATCH($D564,Hierarchy!$A$2:$A$1295,0))="","",INDEX(Hierarchy!$F$2:$F$1295,MATCH($D564,Hierarchy!$A$2:$A$1295,0))),"NODE NOT FOUND"))</f>
        <v>Brazil</v>
      </c>
      <c r="J564" s="7" t="str">
        <f aca="false">IF($D564="","",IFERROR(IF(INDEX(Hierarchy!$G$2:$G$1295,MATCH($D564,Hierarchy!$A$2:$A$1295,0))="","",INDEX(Hierarchy!$G$2:$G$1295,MATCH($D564,Hierarchy!$A$2:$A$1295,0))),"NODE NOT FOUND"))</f>
        <v>BRA</v>
      </c>
      <c r="K564" s="7" t="str">
        <f aca="false">IF($D564="","",IFERROR(IF(INDEX(Hierarchy!$H$2:$H$1295,MATCH($D564,Hierarchy!$A$2:$A$1295,0))="","",INDEX(Hierarchy!$H$2:$H$1295,MATCH($D564,Hierarchy!$A$2:$A$1295,0))),"NODE NOT FOUND"))</f>
        <v>Federal District (Brazil)</v>
      </c>
      <c r="L564" s="7" t="str">
        <f aca="false">IF($D564="","",IFERROR(IF(INDEX(Hierarchy!$I$2:$I$1295,MATCH($D564,Hierarchy!$A$2:$A$1295,0))="","",INDEX(Hierarchy!$I$2:$I$1295,MATCH($D564,Hierarchy!$A$2:$A$1295,0))),"NODE NOT FOUND"))</f>
        <v/>
      </c>
      <c r="M564" s="17" t="str">
        <f aca="false">IF(B564="Pre-seeded","Pre-seeded",IF(B564="Review 2026-09-16","Added from review",IF(C564="","New",IF(C564=D564,"","Changed"))))</f>
        <v>Pre-seeded</v>
      </c>
      <c r="N564" s="7" t="str">
        <f aca="false">TRIM(SUBSTITUTE(SUBSTITUTE(SUBSTITUTE(" "&amp;TRIM(SUBSTITUTE(SUBSTITUTE(SUBSTITUTE(SUBSTITUTE(SUBSTITUTE(SUBSTITUTE(SUBSTITUTE(SUBSTITUTE(SUBSTITUTE(SUBSTITUTE(SUBSTITUTE(SUBSTITUTE(SUBSTITUTE(SUBSTITUTE(SUBSTITUTE(UPPER(TRIM(A564)),"[MEMBER]",""),"{MEMBER}",""),"[MEMBER}",""),"MEMBER]",""),"(A)",""),"""",""),"“",""),"”",""),".",""),":",""),",",""),"–"," "),"-"," "),"/"," "),"&amp;"," AND "))&amp;" "," THE "," ")," TOTAL "," ")," OPERATIONS "," "))</f>
        <v>FEDERAL DISTRICT (BRAZIL)</v>
      </c>
      <c r="O564" s="17" t="str">
        <f aca="false">IF(COUNTIFS($N$2:$N$2000,N564,$D$2:$D$2000,"&lt;&gt;"&amp;D564)&gt;0,"CONFLICT","")</f>
        <v/>
      </c>
      <c r="P564" s="7"/>
    </row>
    <row r="565" customFormat="false" ht="15" hidden="false" customHeight="false" outlineLevel="0" collapsed="false">
      <c r="A565" s="7" t="s">
        <v>2183</v>
      </c>
      <c r="B565" s="7" t="s">
        <v>1879</v>
      </c>
      <c r="C565" s="7"/>
      <c r="D565" s="6" t="s">
        <v>689</v>
      </c>
      <c r="E565" s="6" t="s">
        <v>1880</v>
      </c>
      <c r="F565" s="7" t="str">
        <f aca="false">IF($D565="","",IFERROR(IF(INDEX(Hierarchy!$B$2:$B$1295,MATCH($D565,Hierarchy!$A$2:$A$1295,0))="","",INDEX(Hierarchy!$B$2:$B$1295,MATCH($D565,Hierarchy!$A$2:$A$1295,0))),"NODE NOT FOUND"))</f>
        <v>Country</v>
      </c>
      <c r="G565" s="7" t="str">
        <f aca="false">IF($D565="","",IFERROR(IF(INDEX(Hierarchy!$D$2:$D$1295,MATCH($D565,Hierarchy!$A$2:$A$1295,0))="","",INDEX(Hierarchy!$D$2:$D$1295,MATCH($D565,Hierarchy!$A$2:$A$1295,0))),"NODE NOT FOUND"))</f>
        <v>EMEA</v>
      </c>
      <c r="H565" s="7" t="str">
        <f aca="false">IF($D565="","",IFERROR(IF(INDEX(Hierarchy!$E$2:$E$1295,MATCH($D565,Hierarchy!$A$2:$A$1295,0))="","",INDEX(Hierarchy!$E$2:$E$1295,MATCH($D565,Hierarchy!$A$2:$A$1295,0))),"NODE NOT FOUND"))</f>
        <v>Europe</v>
      </c>
      <c r="I565" s="7" t="str">
        <f aca="false">IF($D565="","",IFERROR(IF(INDEX(Hierarchy!$F$2:$F$1295,MATCH($D565,Hierarchy!$A$2:$A$1295,0))="","",INDEX(Hierarchy!$F$2:$F$1295,MATCH($D565,Hierarchy!$A$2:$A$1295,0))),"NODE NOT FOUND"))</f>
        <v>Germany</v>
      </c>
      <c r="J565" s="7" t="str">
        <f aca="false">IF($D565="","",IFERROR(IF(INDEX(Hierarchy!$G$2:$G$1295,MATCH($D565,Hierarchy!$A$2:$A$1295,0))="","",INDEX(Hierarchy!$G$2:$G$1295,MATCH($D565,Hierarchy!$A$2:$A$1295,0))),"NODE NOT FOUND"))</f>
        <v>DEU</v>
      </c>
      <c r="K565" s="7" t="str">
        <f aca="false">IF($D565="","",IFERROR(IF(INDEX(Hierarchy!$H$2:$H$1295,MATCH($D565,Hierarchy!$A$2:$A$1295,0))="","",INDEX(Hierarchy!$H$2:$H$1295,MATCH($D565,Hierarchy!$A$2:$A$1295,0))),"NODE NOT FOUND"))</f>
        <v/>
      </c>
      <c r="L565" s="7" t="str">
        <f aca="false">IF($D565="","",IFERROR(IF(INDEX(Hierarchy!$I$2:$I$1295,MATCH($D565,Hierarchy!$A$2:$A$1295,0))="","",INDEX(Hierarchy!$I$2:$I$1295,MATCH($D565,Hierarchy!$A$2:$A$1295,0))),"NODE NOT FOUND"))</f>
        <v/>
      </c>
      <c r="M565" s="17" t="str">
        <f aca="false">IF(B565="Pre-seeded","Pre-seeded",IF(B565="Review 2026-09-16","Added from review",IF(C565="","New",IF(C565=D565,"","Changed"))))</f>
        <v>Pre-seeded</v>
      </c>
      <c r="N565" s="7" t="str">
        <f aca="false">TRIM(SUBSTITUTE(SUBSTITUTE(SUBSTITUTE(" "&amp;TRIM(SUBSTITUTE(SUBSTITUTE(SUBSTITUTE(SUBSTITUTE(SUBSTITUTE(SUBSTITUTE(SUBSTITUTE(SUBSTITUTE(SUBSTITUTE(SUBSTITUTE(SUBSTITUTE(SUBSTITUTE(SUBSTITUTE(SUBSTITUTE(SUBSTITUTE(UPPER(TRIM(A565)),"[MEMBER]",""),"{MEMBER}",""),"[MEMBER}",""),"MEMBER]",""),"(A)",""),"""",""),"“",""),"”",""),".",""),":",""),",",""),"–"," "),"-"," "),"/"," "),"&amp;"," AND "))&amp;" "," THE "," ")," TOTAL "," ")," OPERATIONS "," "))</f>
        <v>FEDERAL REPUBLIC OF GERMANY</v>
      </c>
      <c r="O565" s="17" t="str">
        <f aca="false">IF(COUNTIFS($N$2:$N$2000,N565,$D$2:$D$2000,"&lt;&gt;"&amp;D565)&gt;0,"CONFLICT","")</f>
        <v/>
      </c>
      <c r="P565" s="7" t="s">
        <v>1936</v>
      </c>
    </row>
    <row r="566" customFormat="false" ht="15" hidden="false" customHeight="false" outlineLevel="0" collapsed="false">
      <c r="A566" s="7" t="s">
        <v>2184</v>
      </c>
      <c r="B566" s="7" t="s">
        <v>1879</v>
      </c>
      <c r="C566" s="7"/>
      <c r="D566" s="6" t="s">
        <v>1128</v>
      </c>
      <c r="E566" s="6" t="s">
        <v>1880</v>
      </c>
      <c r="F566" s="7" t="str">
        <f aca="false">IF($D566="","",IFERROR(IF(INDEX(Hierarchy!$B$2:$B$1295,MATCH($D566,Hierarchy!$A$2:$A$1295,0))="","",INDEX(Hierarchy!$B$2:$B$1295,MATCH($D566,Hierarchy!$A$2:$A$1295,0))),"NODE NOT FOUND"))</f>
        <v>Country</v>
      </c>
      <c r="G566" s="7" t="str">
        <f aca="false">IF($D566="","",IFERROR(IF(INDEX(Hierarchy!$D$2:$D$1295,MATCH($D566,Hierarchy!$A$2:$A$1295,0))="","",INDEX(Hierarchy!$D$2:$D$1295,MATCH($D566,Hierarchy!$A$2:$A$1295,0))),"NODE NOT FOUND"))</f>
        <v>EMEA</v>
      </c>
      <c r="H566" s="7" t="str">
        <f aca="false">IF($D566="","",IFERROR(IF(INDEX(Hierarchy!$E$2:$E$1295,MATCH($D566,Hierarchy!$A$2:$A$1295,0))="","",INDEX(Hierarchy!$E$2:$E$1295,MATCH($D566,Hierarchy!$A$2:$A$1295,0))),"NODE NOT FOUND"))</f>
        <v>Africa</v>
      </c>
      <c r="I566" s="7" t="str">
        <f aca="false">IF($D566="","",IFERROR(IF(INDEX(Hierarchy!$F$2:$F$1295,MATCH($D566,Hierarchy!$A$2:$A$1295,0))="","",INDEX(Hierarchy!$F$2:$F$1295,MATCH($D566,Hierarchy!$A$2:$A$1295,0))),"NODE NOT FOUND"))</f>
        <v>Nigeria</v>
      </c>
      <c r="J566" s="7" t="str">
        <f aca="false">IF($D566="","",IFERROR(IF(INDEX(Hierarchy!$G$2:$G$1295,MATCH($D566,Hierarchy!$A$2:$A$1295,0))="","",INDEX(Hierarchy!$G$2:$G$1295,MATCH($D566,Hierarchy!$A$2:$A$1295,0))),"NODE NOT FOUND"))</f>
        <v>NGA</v>
      </c>
      <c r="K566" s="7" t="str">
        <f aca="false">IF($D566="","",IFERROR(IF(INDEX(Hierarchy!$H$2:$H$1295,MATCH($D566,Hierarchy!$A$2:$A$1295,0))="","",INDEX(Hierarchy!$H$2:$H$1295,MATCH($D566,Hierarchy!$A$2:$A$1295,0))),"NODE NOT FOUND"))</f>
        <v/>
      </c>
      <c r="L566" s="7" t="str">
        <f aca="false">IF($D566="","",IFERROR(IF(INDEX(Hierarchy!$I$2:$I$1295,MATCH($D566,Hierarchy!$A$2:$A$1295,0))="","",INDEX(Hierarchy!$I$2:$I$1295,MATCH($D566,Hierarchy!$A$2:$A$1295,0))),"NODE NOT FOUND"))</f>
        <v/>
      </c>
      <c r="M566" s="17" t="str">
        <f aca="false">IF(B566="Pre-seeded","Pre-seeded",IF(B566="Review 2026-09-16","Added from review",IF(C566="","New",IF(C566=D566,"","Changed"))))</f>
        <v>Pre-seeded</v>
      </c>
      <c r="N566" s="7" t="str">
        <f aca="false">TRIM(SUBSTITUTE(SUBSTITUTE(SUBSTITUTE(" "&amp;TRIM(SUBSTITUTE(SUBSTITUTE(SUBSTITUTE(SUBSTITUTE(SUBSTITUTE(SUBSTITUTE(SUBSTITUTE(SUBSTITUTE(SUBSTITUTE(SUBSTITUTE(SUBSTITUTE(SUBSTITUTE(SUBSTITUTE(SUBSTITUTE(SUBSTITUTE(UPPER(TRIM(A566)),"[MEMBER]",""),"{MEMBER}",""),"[MEMBER}",""),"MEMBER]",""),"(A)",""),"""",""),"“",""),"”",""),".",""),":",""),",",""),"–"," "),"-"," "),"/"," "),"&amp;"," AND "))&amp;" "," THE "," ")," TOTAL "," ")," OPERATIONS "," "))</f>
        <v>FEDERAL REPUBLIC OF NIGERIA</v>
      </c>
      <c r="O566" s="17" t="str">
        <f aca="false">IF(COUNTIFS($N$2:$N$2000,N566,$D$2:$D$2000,"&lt;&gt;"&amp;D566)&gt;0,"CONFLICT","")</f>
        <v/>
      </c>
      <c r="P566" s="7" t="s">
        <v>1936</v>
      </c>
    </row>
    <row r="567" customFormat="false" ht="15" hidden="false" customHeight="false" outlineLevel="0" collapsed="false">
      <c r="A567" s="7" t="s">
        <v>2185</v>
      </c>
      <c r="B567" s="7" t="s">
        <v>1879</v>
      </c>
      <c r="C567" s="7"/>
      <c r="D567" s="6" t="s">
        <v>1289</v>
      </c>
      <c r="E567" s="6" t="s">
        <v>1880</v>
      </c>
      <c r="F567" s="7" t="str">
        <f aca="false">IF($D567="","",IFERROR(IF(INDEX(Hierarchy!$B$2:$B$1295,MATCH($D567,Hierarchy!$A$2:$A$1295,0))="","",INDEX(Hierarchy!$B$2:$B$1295,MATCH($D567,Hierarchy!$A$2:$A$1295,0))),"NODE NOT FOUND"))</f>
        <v>Country</v>
      </c>
      <c r="G567" s="7" t="str">
        <f aca="false">IF($D567="","",IFERROR(IF(INDEX(Hierarchy!$D$2:$D$1295,MATCH($D567,Hierarchy!$A$2:$A$1295,0))="","",INDEX(Hierarchy!$D$2:$D$1295,MATCH($D567,Hierarchy!$A$2:$A$1295,0))),"NODE NOT FOUND"))</f>
        <v>EMEA</v>
      </c>
      <c r="H567" s="7" t="str">
        <f aca="false">IF($D567="","",IFERROR(IF(INDEX(Hierarchy!$E$2:$E$1295,MATCH($D567,Hierarchy!$A$2:$A$1295,0))="","",INDEX(Hierarchy!$E$2:$E$1295,MATCH($D567,Hierarchy!$A$2:$A$1295,0))),"NODE NOT FOUND"))</f>
        <v>Africa</v>
      </c>
      <c r="I567" s="7" t="str">
        <f aca="false">IF($D567="","",IFERROR(IF(INDEX(Hierarchy!$F$2:$F$1295,MATCH($D567,Hierarchy!$A$2:$A$1295,0))="","",INDEX(Hierarchy!$F$2:$F$1295,MATCH($D567,Hierarchy!$A$2:$A$1295,0))),"NODE NOT FOUND"))</f>
        <v>Somalia</v>
      </c>
      <c r="J567" s="7" t="str">
        <f aca="false">IF($D567="","",IFERROR(IF(INDEX(Hierarchy!$G$2:$G$1295,MATCH($D567,Hierarchy!$A$2:$A$1295,0))="","",INDEX(Hierarchy!$G$2:$G$1295,MATCH($D567,Hierarchy!$A$2:$A$1295,0))),"NODE NOT FOUND"))</f>
        <v>SOM</v>
      </c>
      <c r="K567" s="7" t="str">
        <f aca="false">IF($D567="","",IFERROR(IF(INDEX(Hierarchy!$H$2:$H$1295,MATCH($D567,Hierarchy!$A$2:$A$1295,0))="","",INDEX(Hierarchy!$H$2:$H$1295,MATCH($D567,Hierarchy!$A$2:$A$1295,0))),"NODE NOT FOUND"))</f>
        <v/>
      </c>
      <c r="L567" s="7" t="str">
        <f aca="false">IF($D567="","",IFERROR(IF(INDEX(Hierarchy!$I$2:$I$1295,MATCH($D567,Hierarchy!$A$2:$A$1295,0))="","",INDEX(Hierarchy!$I$2:$I$1295,MATCH($D567,Hierarchy!$A$2:$A$1295,0))),"NODE NOT FOUND"))</f>
        <v/>
      </c>
      <c r="M567" s="17" t="str">
        <f aca="false">IF(B567="Pre-seeded","Pre-seeded",IF(B567="Review 2026-09-16","Added from review",IF(C567="","New",IF(C567=D567,"","Changed"))))</f>
        <v>Pre-seeded</v>
      </c>
      <c r="N567" s="7" t="str">
        <f aca="false">TRIM(SUBSTITUTE(SUBSTITUTE(SUBSTITUTE(" "&amp;TRIM(SUBSTITUTE(SUBSTITUTE(SUBSTITUTE(SUBSTITUTE(SUBSTITUTE(SUBSTITUTE(SUBSTITUTE(SUBSTITUTE(SUBSTITUTE(SUBSTITUTE(SUBSTITUTE(SUBSTITUTE(SUBSTITUTE(SUBSTITUTE(SUBSTITUTE(UPPER(TRIM(A567)),"[MEMBER]",""),"{MEMBER}",""),"[MEMBER}",""),"MEMBER]",""),"(A)",""),"""",""),"“",""),"”",""),".",""),":",""),",",""),"–"," "),"-"," "),"/"," "),"&amp;"," AND "))&amp;" "," THE "," ")," TOTAL "," ")," OPERATIONS "," "))</f>
        <v>FEDERAL REPUBLIC OF SOMALIA</v>
      </c>
      <c r="O567" s="17" t="str">
        <f aca="false">IF(COUNTIFS($N$2:$N$2000,N567,$D$2:$D$2000,"&lt;&gt;"&amp;D567)&gt;0,"CONFLICT","")</f>
        <v/>
      </c>
      <c r="P567" s="7" t="s">
        <v>1936</v>
      </c>
    </row>
    <row r="568" customFormat="false" ht="15" hidden="false" customHeight="false" outlineLevel="0" collapsed="false">
      <c r="A568" s="7" t="s">
        <v>2186</v>
      </c>
      <c r="B568" s="7" t="s">
        <v>1879</v>
      </c>
      <c r="C568" s="7"/>
      <c r="D568" s="6" t="s">
        <v>1752</v>
      </c>
      <c r="E568" s="6" t="s">
        <v>1880</v>
      </c>
      <c r="F568" s="7" t="str">
        <f aca="false">IF($D568="","",IFERROR(IF(INDEX(Hierarchy!$B$2:$B$1295,MATCH($D568,Hierarchy!$A$2:$A$1295,0))="","",INDEX(Hierarchy!$B$2:$B$1295,MATCH($D568,Hierarchy!$A$2:$A$1295,0))),"NODE NOT FOUND"))</f>
        <v>Country</v>
      </c>
      <c r="G568" s="7" t="str">
        <f aca="false">IF($D568="","",IFERROR(IF(INDEX(Hierarchy!$D$2:$D$1295,MATCH($D568,Hierarchy!$A$2:$A$1295,0))="","",INDEX(Hierarchy!$D$2:$D$1295,MATCH($D568,Hierarchy!$A$2:$A$1295,0))),"NODE NOT FOUND"))</f>
        <v>APAC</v>
      </c>
      <c r="H568" s="7" t="str">
        <f aca="false">IF($D568="","",IFERROR(IF(INDEX(Hierarchy!$E$2:$E$1295,MATCH($D568,Hierarchy!$A$2:$A$1295,0))="","",INDEX(Hierarchy!$E$2:$E$1295,MATCH($D568,Hierarchy!$A$2:$A$1295,0))),"NODE NOT FOUND"))</f>
        <v>Oceania (ANZ)</v>
      </c>
      <c r="I568" s="7" t="str">
        <f aca="false">IF($D568="","",IFERROR(IF(INDEX(Hierarchy!$F$2:$F$1295,MATCH($D568,Hierarchy!$A$2:$A$1295,0))="","",INDEX(Hierarchy!$F$2:$F$1295,MATCH($D568,Hierarchy!$A$2:$A$1295,0))),"NODE NOT FOUND"))</f>
        <v>Micronesia</v>
      </c>
      <c r="J568" s="7" t="str">
        <f aca="false">IF($D568="","",IFERROR(IF(INDEX(Hierarchy!$G$2:$G$1295,MATCH($D568,Hierarchy!$A$2:$A$1295,0))="","",INDEX(Hierarchy!$G$2:$G$1295,MATCH($D568,Hierarchy!$A$2:$A$1295,0))),"NODE NOT FOUND"))</f>
        <v>FSM</v>
      </c>
      <c r="K568" s="7" t="str">
        <f aca="false">IF($D568="","",IFERROR(IF(INDEX(Hierarchy!$H$2:$H$1295,MATCH($D568,Hierarchy!$A$2:$A$1295,0))="","",INDEX(Hierarchy!$H$2:$H$1295,MATCH($D568,Hierarchy!$A$2:$A$1295,0))),"NODE NOT FOUND"))</f>
        <v/>
      </c>
      <c r="L568" s="7" t="str">
        <f aca="false">IF($D568="","",IFERROR(IF(INDEX(Hierarchy!$I$2:$I$1295,MATCH($D568,Hierarchy!$A$2:$A$1295,0))="","",INDEX(Hierarchy!$I$2:$I$1295,MATCH($D568,Hierarchy!$A$2:$A$1295,0))),"NODE NOT FOUND"))</f>
        <v/>
      </c>
      <c r="M568" s="17" t="str">
        <f aca="false">IF(B568="Pre-seeded","Pre-seeded",IF(B568="Review 2026-09-16","Added from review",IF(C568="","New",IF(C568=D568,"","Changed"))))</f>
        <v>Pre-seeded</v>
      </c>
      <c r="N568" s="7" t="str">
        <f aca="false">TRIM(SUBSTITUTE(SUBSTITUTE(SUBSTITUTE(" "&amp;TRIM(SUBSTITUTE(SUBSTITUTE(SUBSTITUTE(SUBSTITUTE(SUBSTITUTE(SUBSTITUTE(SUBSTITUTE(SUBSTITUTE(SUBSTITUTE(SUBSTITUTE(SUBSTITUTE(SUBSTITUTE(SUBSTITUTE(SUBSTITUTE(SUBSTITUTE(UPPER(TRIM(A568)),"[MEMBER]",""),"{MEMBER}",""),"[MEMBER}",""),"MEMBER]",""),"(A)",""),"""",""),"“",""),"”",""),".",""),":",""),",",""),"–"," "),"-"," "),"/"," "),"&amp;"," AND "))&amp;" "," THE "," ")," TOTAL "," ")," OPERATIONS "," "))</f>
        <v>FEDERATED STATES OF MICRONESIA</v>
      </c>
      <c r="O568" s="17" t="str">
        <f aca="false">IF(COUNTIFS($N$2:$N$2000,N568,$D$2:$D$2000,"&lt;&gt;"&amp;D568)&gt;0,"CONFLICT","")</f>
        <v/>
      </c>
      <c r="P568" s="7" t="s">
        <v>1936</v>
      </c>
    </row>
    <row r="569" customFormat="false" ht="15" hidden="false" customHeight="false" outlineLevel="0" collapsed="false">
      <c r="A569" s="7" t="s">
        <v>2187</v>
      </c>
      <c r="B569" s="7" t="s">
        <v>1879</v>
      </c>
      <c r="C569" s="7"/>
      <c r="D569" s="6" t="s">
        <v>332</v>
      </c>
      <c r="E569" s="6" t="s">
        <v>1880</v>
      </c>
      <c r="F569" s="7" t="str">
        <f aca="false">IF($D569="","",IFERROR(IF(INDEX(Hierarchy!$B$2:$B$1295,MATCH($D569,Hierarchy!$A$2:$A$1295,0))="","",INDEX(Hierarchy!$B$2:$B$1295,MATCH($D569,Hierarchy!$A$2:$A$1295,0))),"NODE NOT FOUND"))</f>
        <v>Country</v>
      </c>
      <c r="G569" s="7" t="str">
        <f aca="false">IF($D569="","",IFERROR(IF(INDEX(Hierarchy!$D$2:$D$1295,MATCH($D569,Hierarchy!$A$2:$A$1295,0))="","",INDEX(Hierarchy!$D$2:$D$1295,MATCH($D569,Hierarchy!$A$2:$A$1295,0))),"NODE NOT FOUND"))</f>
        <v>AMER</v>
      </c>
      <c r="H569" s="7" t="str">
        <f aca="false">IF($D569="","",IFERROR(IF(INDEX(Hierarchy!$E$2:$E$1295,MATCH($D569,Hierarchy!$A$2:$A$1295,0))="","",INDEX(Hierarchy!$E$2:$E$1295,MATCH($D569,Hierarchy!$A$2:$A$1295,0))),"NODE NOT FOUND"))</f>
        <v>Latin America (LATAM)</v>
      </c>
      <c r="I569" s="7" t="str">
        <f aca="false">IF($D569="","",IFERROR(IF(INDEX(Hierarchy!$F$2:$F$1295,MATCH($D569,Hierarchy!$A$2:$A$1295,0))="","",INDEX(Hierarchy!$F$2:$F$1295,MATCH($D569,Hierarchy!$A$2:$A$1295,0))),"NODE NOT FOUND"))</f>
        <v>Brazil</v>
      </c>
      <c r="J569" s="7" t="str">
        <f aca="false">IF($D569="","",IFERROR(IF(INDEX(Hierarchy!$G$2:$G$1295,MATCH($D569,Hierarchy!$A$2:$A$1295,0))="","",INDEX(Hierarchy!$G$2:$G$1295,MATCH($D569,Hierarchy!$A$2:$A$1295,0))),"NODE NOT FOUND"))</f>
        <v>BRA</v>
      </c>
      <c r="K569" s="7" t="str">
        <f aca="false">IF($D569="","",IFERROR(IF(INDEX(Hierarchy!$H$2:$H$1295,MATCH($D569,Hierarchy!$A$2:$A$1295,0))="","",INDEX(Hierarchy!$H$2:$H$1295,MATCH($D569,Hierarchy!$A$2:$A$1295,0))),"NODE NOT FOUND"))</f>
        <v/>
      </c>
      <c r="L569" s="7" t="str">
        <f aca="false">IF($D569="","",IFERROR(IF(INDEX(Hierarchy!$I$2:$I$1295,MATCH($D569,Hierarchy!$A$2:$A$1295,0))="","",INDEX(Hierarchy!$I$2:$I$1295,MATCH($D569,Hierarchy!$A$2:$A$1295,0))),"NODE NOT FOUND"))</f>
        <v/>
      </c>
      <c r="M569" s="17" t="str">
        <f aca="false">IF(B569="Pre-seeded","Pre-seeded",IF(B569="Review 2026-09-16","Added from review",IF(C569="","New",IF(C569=D569,"","Changed"))))</f>
        <v>Pre-seeded</v>
      </c>
      <c r="N569" s="7" t="str">
        <f aca="false">TRIM(SUBSTITUTE(SUBSTITUTE(SUBSTITUTE(" "&amp;TRIM(SUBSTITUTE(SUBSTITUTE(SUBSTITUTE(SUBSTITUTE(SUBSTITUTE(SUBSTITUTE(SUBSTITUTE(SUBSTITUTE(SUBSTITUTE(SUBSTITUTE(SUBSTITUTE(SUBSTITUTE(SUBSTITUTE(SUBSTITUTE(SUBSTITUTE(UPPER(TRIM(A569)),"[MEMBER]",""),"{MEMBER}",""),"[MEMBER}",""),"MEMBER]",""),"(A)",""),"""",""),"“",""),"”",""),".",""),":",""),",",""),"–"," "),"-"," "),"/"," "),"&amp;"," AND "))&amp;" "," THE "," ")," TOTAL "," ")," OPERATIONS "," "))</f>
        <v>FEDERATIVE REPUBLIC OF BRAZIL</v>
      </c>
      <c r="O569" s="17" t="str">
        <f aca="false">IF(COUNTIFS($N$2:$N$2000,N569,$D$2:$D$2000,"&lt;&gt;"&amp;D569)&gt;0,"CONFLICT","")</f>
        <v/>
      </c>
      <c r="P569" s="7" t="s">
        <v>1936</v>
      </c>
    </row>
    <row r="570" customFormat="false" ht="15" hidden="false" customHeight="false" outlineLevel="0" collapsed="false">
      <c r="A570" s="7" t="s">
        <v>1744</v>
      </c>
      <c r="B570" s="7" t="s">
        <v>1879</v>
      </c>
      <c r="C570" s="7"/>
      <c r="D570" s="6" t="s">
        <v>1744</v>
      </c>
      <c r="E570" s="6" t="s">
        <v>1880</v>
      </c>
      <c r="F570" s="7" t="str">
        <f aca="false">IF($D570="","",IFERROR(IF(INDEX(Hierarchy!$B$2:$B$1295,MATCH($D570,Hierarchy!$A$2:$A$1295,0))="","",INDEX(Hierarchy!$B$2:$B$1295,MATCH($D570,Hierarchy!$A$2:$A$1295,0))),"NODE NOT FOUND"))</f>
        <v>Country</v>
      </c>
      <c r="G570" s="7" t="str">
        <f aca="false">IF($D570="","",IFERROR(IF(INDEX(Hierarchy!$D$2:$D$1295,MATCH($D570,Hierarchy!$A$2:$A$1295,0))="","",INDEX(Hierarchy!$D$2:$D$1295,MATCH($D570,Hierarchy!$A$2:$A$1295,0))),"NODE NOT FOUND"))</f>
        <v>APAC</v>
      </c>
      <c r="H570" s="7" t="str">
        <f aca="false">IF($D570="","",IFERROR(IF(INDEX(Hierarchy!$E$2:$E$1295,MATCH($D570,Hierarchy!$A$2:$A$1295,0))="","",INDEX(Hierarchy!$E$2:$E$1295,MATCH($D570,Hierarchy!$A$2:$A$1295,0))),"NODE NOT FOUND"))</f>
        <v>Oceania (ANZ)</v>
      </c>
      <c r="I570" s="7" t="str">
        <f aca="false">IF($D570="","",IFERROR(IF(INDEX(Hierarchy!$F$2:$F$1295,MATCH($D570,Hierarchy!$A$2:$A$1295,0))="","",INDEX(Hierarchy!$F$2:$F$1295,MATCH($D570,Hierarchy!$A$2:$A$1295,0))),"NODE NOT FOUND"))</f>
        <v>Fiji</v>
      </c>
      <c r="J570" s="7" t="str">
        <f aca="false">IF($D570="","",IFERROR(IF(INDEX(Hierarchy!$G$2:$G$1295,MATCH($D570,Hierarchy!$A$2:$A$1295,0))="","",INDEX(Hierarchy!$G$2:$G$1295,MATCH($D570,Hierarchy!$A$2:$A$1295,0))),"NODE NOT FOUND"))</f>
        <v>FJI</v>
      </c>
      <c r="K570" s="7" t="str">
        <f aca="false">IF($D570="","",IFERROR(IF(INDEX(Hierarchy!$H$2:$H$1295,MATCH($D570,Hierarchy!$A$2:$A$1295,0))="","",INDEX(Hierarchy!$H$2:$H$1295,MATCH($D570,Hierarchy!$A$2:$A$1295,0))),"NODE NOT FOUND"))</f>
        <v/>
      </c>
      <c r="L570" s="7" t="str">
        <f aca="false">IF($D570="","",IFERROR(IF(INDEX(Hierarchy!$I$2:$I$1295,MATCH($D570,Hierarchy!$A$2:$A$1295,0))="","",INDEX(Hierarchy!$I$2:$I$1295,MATCH($D570,Hierarchy!$A$2:$A$1295,0))),"NODE NOT FOUND"))</f>
        <v/>
      </c>
      <c r="M570" s="17" t="str">
        <f aca="false">IF(B570="Pre-seeded","Pre-seeded",IF(B570="Review 2026-09-16","Added from review",IF(C570="","New",IF(C570=D570,"","Changed"))))</f>
        <v>Pre-seeded</v>
      </c>
      <c r="N570" s="7" t="str">
        <f aca="false">TRIM(SUBSTITUTE(SUBSTITUTE(SUBSTITUTE(" "&amp;TRIM(SUBSTITUTE(SUBSTITUTE(SUBSTITUTE(SUBSTITUTE(SUBSTITUTE(SUBSTITUTE(SUBSTITUTE(SUBSTITUTE(SUBSTITUTE(SUBSTITUTE(SUBSTITUTE(SUBSTITUTE(SUBSTITUTE(SUBSTITUTE(SUBSTITUTE(UPPER(TRIM(A570)),"[MEMBER]",""),"{MEMBER}",""),"[MEMBER}",""),"MEMBER]",""),"(A)",""),"""",""),"“",""),"”",""),".",""),":",""),",",""),"–"," "),"-"," "),"/"," "),"&amp;"," AND "))&amp;" "," THE "," ")," TOTAL "," ")," OPERATIONS "," "))</f>
        <v>FIJI</v>
      </c>
      <c r="O570" s="17" t="str">
        <f aca="false">IF(COUNTIFS($N$2:$N$2000,N570,$D$2:$D$2000,"&lt;&gt;"&amp;D570)&gt;0,"CONFLICT","")</f>
        <v/>
      </c>
      <c r="P570" s="7"/>
    </row>
    <row r="571" customFormat="false" ht="15" hidden="false" customHeight="false" outlineLevel="0" collapsed="false">
      <c r="A571" s="7" t="s">
        <v>796</v>
      </c>
      <c r="B571" s="7" t="s">
        <v>1882</v>
      </c>
      <c r="C571" s="7" t="s">
        <v>796</v>
      </c>
      <c r="D571" s="6" t="s">
        <v>796</v>
      </c>
      <c r="E571" s="6" t="s">
        <v>1880</v>
      </c>
      <c r="F571" s="7" t="str">
        <f aca="false">IF($D571="","",IFERROR(IF(INDEX(Hierarchy!$B$2:$B$1295,MATCH($D571,Hierarchy!$A$2:$A$1295,0))="","",INDEX(Hierarchy!$B$2:$B$1295,MATCH($D571,Hierarchy!$A$2:$A$1295,0))),"NODE NOT FOUND"))</f>
        <v>Country</v>
      </c>
      <c r="G571" s="7" t="str">
        <f aca="false">IF($D571="","",IFERROR(IF(INDEX(Hierarchy!$D$2:$D$1295,MATCH($D571,Hierarchy!$A$2:$A$1295,0))="","",INDEX(Hierarchy!$D$2:$D$1295,MATCH($D571,Hierarchy!$A$2:$A$1295,0))),"NODE NOT FOUND"))</f>
        <v>EMEA</v>
      </c>
      <c r="H571" s="7" t="str">
        <f aca="false">IF($D571="","",IFERROR(IF(INDEX(Hierarchy!$E$2:$E$1295,MATCH($D571,Hierarchy!$A$2:$A$1295,0))="","",INDEX(Hierarchy!$E$2:$E$1295,MATCH($D571,Hierarchy!$A$2:$A$1295,0))),"NODE NOT FOUND"))</f>
        <v>Europe</v>
      </c>
      <c r="I571" s="7" t="str">
        <f aca="false">IF($D571="","",IFERROR(IF(INDEX(Hierarchy!$F$2:$F$1295,MATCH($D571,Hierarchy!$A$2:$A$1295,0))="","",INDEX(Hierarchy!$F$2:$F$1295,MATCH($D571,Hierarchy!$A$2:$A$1295,0))),"NODE NOT FOUND"))</f>
        <v>Finland</v>
      </c>
      <c r="J571" s="7" t="str">
        <f aca="false">IF($D571="","",IFERROR(IF(INDEX(Hierarchy!$G$2:$G$1295,MATCH($D571,Hierarchy!$A$2:$A$1295,0))="","",INDEX(Hierarchy!$G$2:$G$1295,MATCH($D571,Hierarchy!$A$2:$A$1295,0))),"NODE NOT FOUND"))</f>
        <v>FIN</v>
      </c>
      <c r="K571" s="7" t="str">
        <f aca="false">IF($D571="","",IFERROR(IF(INDEX(Hierarchy!$H$2:$H$1295,MATCH($D571,Hierarchy!$A$2:$A$1295,0))="","",INDEX(Hierarchy!$H$2:$H$1295,MATCH($D571,Hierarchy!$A$2:$A$1295,0))),"NODE NOT FOUND"))</f>
        <v/>
      </c>
      <c r="L571" s="7" t="str">
        <f aca="false">IF($D571="","",IFERROR(IF(INDEX(Hierarchy!$I$2:$I$1295,MATCH($D571,Hierarchy!$A$2:$A$1295,0))="","",INDEX(Hierarchy!$I$2:$I$1295,MATCH($D571,Hierarchy!$A$2:$A$1295,0))),"NODE NOT FOUND"))</f>
        <v/>
      </c>
      <c r="M571" s="17" t="str">
        <f aca="false">IF(B571="Pre-seeded","Pre-seeded",IF(B571="Review 2026-09-16","Added from review",IF(C571="","New",IF(C571=D571,"","Changed"))))</f>
        <v/>
      </c>
      <c r="N571" s="7" t="str">
        <f aca="false">TRIM(SUBSTITUTE(SUBSTITUTE(SUBSTITUTE(" "&amp;TRIM(SUBSTITUTE(SUBSTITUTE(SUBSTITUTE(SUBSTITUTE(SUBSTITUTE(SUBSTITUTE(SUBSTITUTE(SUBSTITUTE(SUBSTITUTE(SUBSTITUTE(SUBSTITUTE(SUBSTITUTE(SUBSTITUTE(SUBSTITUTE(SUBSTITUTE(UPPER(TRIM(A571)),"[MEMBER]",""),"{MEMBER}",""),"[MEMBER}",""),"MEMBER]",""),"(A)",""),"""",""),"“",""),"”",""),".",""),":",""),",",""),"–"," "),"-"," "),"/"," "),"&amp;"," AND "))&amp;" "," THE "," ")," TOTAL "," ")," OPERATIONS "," "))</f>
        <v>FINLAND</v>
      </c>
      <c r="O571" s="17" t="str">
        <f aca="false">IF(COUNTIFS($N$2:$N$2000,N571,$D$2:$D$2000,"&lt;&gt;"&amp;D571)&gt;0,"CONFLICT","")</f>
        <v/>
      </c>
      <c r="P571" s="7"/>
    </row>
    <row r="572" customFormat="false" ht="15" hidden="false" customHeight="false" outlineLevel="0" collapsed="false">
      <c r="A572" s="7" t="s">
        <v>2188</v>
      </c>
      <c r="B572" s="7" t="s">
        <v>1882</v>
      </c>
      <c r="C572" s="7" t="s">
        <v>796</v>
      </c>
      <c r="D572" s="6" t="s">
        <v>796</v>
      </c>
      <c r="E572" s="6" t="s">
        <v>1880</v>
      </c>
      <c r="F572" s="7" t="str">
        <f aca="false">IF($D572="","",IFERROR(IF(INDEX(Hierarchy!$B$2:$B$1295,MATCH($D572,Hierarchy!$A$2:$A$1295,0))="","",INDEX(Hierarchy!$B$2:$B$1295,MATCH($D572,Hierarchy!$A$2:$A$1295,0))),"NODE NOT FOUND"))</f>
        <v>Country</v>
      </c>
      <c r="G572" s="7" t="str">
        <f aca="false">IF($D572="","",IFERROR(IF(INDEX(Hierarchy!$D$2:$D$1295,MATCH($D572,Hierarchy!$A$2:$A$1295,0))="","",INDEX(Hierarchy!$D$2:$D$1295,MATCH($D572,Hierarchy!$A$2:$A$1295,0))),"NODE NOT FOUND"))</f>
        <v>EMEA</v>
      </c>
      <c r="H572" s="7" t="str">
        <f aca="false">IF($D572="","",IFERROR(IF(INDEX(Hierarchy!$E$2:$E$1295,MATCH($D572,Hierarchy!$A$2:$A$1295,0))="","",INDEX(Hierarchy!$E$2:$E$1295,MATCH($D572,Hierarchy!$A$2:$A$1295,0))),"NODE NOT FOUND"))</f>
        <v>Europe</v>
      </c>
      <c r="I572" s="7" t="str">
        <f aca="false">IF($D572="","",IFERROR(IF(INDEX(Hierarchy!$F$2:$F$1295,MATCH($D572,Hierarchy!$A$2:$A$1295,0))="","",INDEX(Hierarchy!$F$2:$F$1295,MATCH($D572,Hierarchy!$A$2:$A$1295,0))),"NODE NOT FOUND"))</f>
        <v>Finland</v>
      </c>
      <c r="J572" s="7" t="str">
        <f aca="false">IF($D572="","",IFERROR(IF(INDEX(Hierarchy!$G$2:$G$1295,MATCH($D572,Hierarchy!$A$2:$A$1295,0))="","",INDEX(Hierarchy!$G$2:$G$1295,MATCH($D572,Hierarchy!$A$2:$A$1295,0))),"NODE NOT FOUND"))</f>
        <v>FIN</v>
      </c>
      <c r="K572" s="7" t="str">
        <f aca="false">IF($D572="","",IFERROR(IF(INDEX(Hierarchy!$H$2:$H$1295,MATCH($D572,Hierarchy!$A$2:$A$1295,0))="","",INDEX(Hierarchy!$H$2:$H$1295,MATCH($D572,Hierarchy!$A$2:$A$1295,0))),"NODE NOT FOUND"))</f>
        <v/>
      </c>
      <c r="L572" s="7" t="str">
        <f aca="false">IF($D572="","",IFERROR(IF(INDEX(Hierarchy!$I$2:$I$1295,MATCH($D572,Hierarchy!$A$2:$A$1295,0))="","",INDEX(Hierarchy!$I$2:$I$1295,MATCH($D572,Hierarchy!$A$2:$A$1295,0))),"NODE NOT FOUND"))</f>
        <v/>
      </c>
      <c r="M572" s="17" t="str">
        <f aca="false">IF(B572="Pre-seeded","Pre-seeded",IF(B572="Review 2026-09-16","Added from review",IF(C572="","New",IF(C572=D572,"","Changed"))))</f>
        <v/>
      </c>
      <c r="N572" s="7" t="str">
        <f aca="false">TRIM(SUBSTITUTE(SUBSTITUTE(SUBSTITUTE(" "&amp;TRIM(SUBSTITUTE(SUBSTITUTE(SUBSTITUTE(SUBSTITUTE(SUBSTITUTE(SUBSTITUTE(SUBSTITUTE(SUBSTITUTE(SUBSTITUTE(SUBSTITUTE(SUBSTITUTE(SUBSTITUTE(SUBSTITUTE(SUBSTITUTE(SUBSTITUTE(UPPER(TRIM(A572)),"[MEMBER]",""),"{MEMBER}",""),"[MEMBER}",""),"MEMBER]",""),"(A)",""),"""",""),"“",""),"”",""),".",""),":",""),",",""),"–"," "),"-"," "),"/"," "),"&amp;"," AND "))&amp;" "," THE "," ")," TOTAL "," ")," OPERATIONS "," "))</f>
        <v>FINLAND</v>
      </c>
      <c r="O572" s="17" t="str">
        <f aca="false">IF(COUNTIFS($N$2:$N$2000,N572,$D$2:$D$2000,"&lt;&gt;"&amp;D572)&gt;0,"CONFLICT","")</f>
        <v/>
      </c>
      <c r="P572" s="7"/>
    </row>
    <row r="573" customFormat="false" ht="15" hidden="false" customHeight="false" outlineLevel="0" collapsed="false">
      <c r="A573" s="7" t="s">
        <v>768</v>
      </c>
      <c r="B573" s="7" t="s">
        <v>1879</v>
      </c>
      <c r="C573" s="7"/>
      <c r="D573" s="6" t="s">
        <v>768</v>
      </c>
      <c r="E573" s="6" t="s">
        <v>1880</v>
      </c>
      <c r="F573" s="7" t="str">
        <f aca="false">IF($D573="","",IFERROR(IF(INDEX(Hierarchy!$B$2:$B$1295,MATCH($D573,Hierarchy!$A$2:$A$1295,0))="","",INDEX(Hierarchy!$B$2:$B$1295,MATCH($D573,Hierarchy!$A$2:$A$1295,0))),"NODE NOT FOUND"))</f>
        <v>State/Province</v>
      </c>
      <c r="G573" s="7" t="str">
        <f aca="false">IF($D573="","",IFERROR(IF(INDEX(Hierarchy!$D$2:$D$1295,MATCH($D573,Hierarchy!$A$2:$A$1295,0))="","",INDEX(Hierarchy!$D$2:$D$1295,MATCH($D573,Hierarchy!$A$2:$A$1295,0))),"NODE NOT FOUND"))</f>
        <v>EMEA</v>
      </c>
      <c r="H573" s="7" t="str">
        <f aca="false">IF($D573="","",IFERROR(IF(INDEX(Hierarchy!$E$2:$E$1295,MATCH($D573,Hierarchy!$A$2:$A$1295,0))="","",INDEX(Hierarchy!$E$2:$E$1295,MATCH($D573,Hierarchy!$A$2:$A$1295,0))),"NODE NOT FOUND"))</f>
        <v>Europe</v>
      </c>
      <c r="I573" s="7" t="str">
        <f aca="false">IF($D573="","",IFERROR(IF(INDEX(Hierarchy!$F$2:$F$1295,MATCH($D573,Hierarchy!$A$2:$A$1295,0))="","",INDEX(Hierarchy!$F$2:$F$1295,MATCH($D573,Hierarchy!$A$2:$A$1295,0))),"NODE NOT FOUND"))</f>
        <v>Belgium</v>
      </c>
      <c r="J573" s="7" t="str">
        <f aca="false">IF($D573="","",IFERROR(IF(INDEX(Hierarchy!$G$2:$G$1295,MATCH($D573,Hierarchy!$A$2:$A$1295,0))="","",INDEX(Hierarchy!$G$2:$G$1295,MATCH($D573,Hierarchy!$A$2:$A$1295,0))),"NODE NOT FOUND"))</f>
        <v>BEL</v>
      </c>
      <c r="K573" s="7" t="str">
        <f aca="false">IF($D573="","",IFERROR(IF(INDEX(Hierarchy!$H$2:$H$1295,MATCH($D573,Hierarchy!$A$2:$A$1295,0))="","",INDEX(Hierarchy!$H$2:$H$1295,MATCH($D573,Hierarchy!$A$2:$A$1295,0))),"NODE NOT FOUND"))</f>
        <v>Flanders</v>
      </c>
      <c r="L573" s="7" t="str">
        <f aca="false">IF($D573="","",IFERROR(IF(INDEX(Hierarchy!$I$2:$I$1295,MATCH($D573,Hierarchy!$A$2:$A$1295,0))="","",INDEX(Hierarchy!$I$2:$I$1295,MATCH($D573,Hierarchy!$A$2:$A$1295,0))),"NODE NOT FOUND"))</f>
        <v/>
      </c>
      <c r="M573" s="17" t="str">
        <f aca="false">IF(B573="Pre-seeded","Pre-seeded",IF(B573="Review 2026-09-16","Added from review",IF(C573="","New",IF(C573=D573,"","Changed"))))</f>
        <v>Pre-seeded</v>
      </c>
      <c r="N573" s="7" t="str">
        <f aca="false">TRIM(SUBSTITUTE(SUBSTITUTE(SUBSTITUTE(" "&amp;TRIM(SUBSTITUTE(SUBSTITUTE(SUBSTITUTE(SUBSTITUTE(SUBSTITUTE(SUBSTITUTE(SUBSTITUTE(SUBSTITUTE(SUBSTITUTE(SUBSTITUTE(SUBSTITUTE(SUBSTITUTE(SUBSTITUTE(SUBSTITUTE(SUBSTITUTE(UPPER(TRIM(A573)),"[MEMBER]",""),"{MEMBER}",""),"[MEMBER}",""),"MEMBER]",""),"(A)",""),"""",""),"“",""),"”",""),".",""),":",""),",",""),"–"," "),"-"," "),"/"," "),"&amp;"," AND "))&amp;" "," THE "," ")," TOTAL "," ")," OPERATIONS "," "))</f>
        <v>FLANDERS</v>
      </c>
      <c r="O573" s="17" t="str">
        <f aca="false">IF(COUNTIFS($N$2:$N$2000,N573,$D$2:$D$2000,"&lt;&gt;"&amp;D573)&gt;0,"CONFLICT","")</f>
        <v/>
      </c>
      <c r="P573" s="7"/>
    </row>
    <row r="574" customFormat="false" ht="15" hidden="false" customHeight="false" outlineLevel="0" collapsed="false">
      <c r="A574" s="7" t="s">
        <v>886</v>
      </c>
      <c r="B574" s="7" t="s">
        <v>1879</v>
      </c>
      <c r="C574" s="7"/>
      <c r="D574" s="6" t="s">
        <v>886</v>
      </c>
      <c r="E574" s="6" t="s">
        <v>1880</v>
      </c>
      <c r="F574" s="7" t="str">
        <f aca="false">IF($D574="","",IFERROR(IF(INDEX(Hierarchy!$B$2:$B$1295,MATCH($D574,Hierarchy!$A$2:$A$1295,0))="","",INDEX(Hierarchy!$B$2:$B$1295,MATCH($D574,Hierarchy!$A$2:$A$1295,0))),"NODE NOT FOUND"))</f>
        <v>State/Province</v>
      </c>
      <c r="G574" s="7" t="str">
        <f aca="false">IF($D574="","",IFERROR(IF(INDEX(Hierarchy!$D$2:$D$1295,MATCH($D574,Hierarchy!$A$2:$A$1295,0))="","",INDEX(Hierarchy!$D$2:$D$1295,MATCH($D574,Hierarchy!$A$2:$A$1295,0))),"NODE NOT FOUND"))</f>
        <v>EMEA</v>
      </c>
      <c r="H574" s="7" t="str">
        <f aca="false">IF($D574="","",IFERROR(IF(INDEX(Hierarchy!$E$2:$E$1295,MATCH($D574,Hierarchy!$A$2:$A$1295,0))="","",INDEX(Hierarchy!$E$2:$E$1295,MATCH($D574,Hierarchy!$A$2:$A$1295,0))),"NODE NOT FOUND"))</f>
        <v>Europe</v>
      </c>
      <c r="I574" s="7" t="str">
        <f aca="false">IF($D574="","",IFERROR(IF(INDEX(Hierarchy!$F$2:$F$1295,MATCH($D574,Hierarchy!$A$2:$A$1295,0))="","",INDEX(Hierarchy!$F$2:$F$1295,MATCH($D574,Hierarchy!$A$2:$A$1295,0))),"NODE NOT FOUND"))</f>
        <v>Netherlands</v>
      </c>
      <c r="J574" s="7" t="str">
        <f aca="false">IF($D574="","",IFERROR(IF(INDEX(Hierarchy!$G$2:$G$1295,MATCH($D574,Hierarchy!$A$2:$A$1295,0))="","",INDEX(Hierarchy!$G$2:$G$1295,MATCH($D574,Hierarchy!$A$2:$A$1295,0))),"NODE NOT FOUND"))</f>
        <v>NLD</v>
      </c>
      <c r="K574" s="7" t="str">
        <f aca="false">IF($D574="","",IFERROR(IF(INDEX(Hierarchy!$H$2:$H$1295,MATCH($D574,Hierarchy!$A$2:$A$1295,0))="","",INDEX(Hierarchy!$H$2:$H$1295,MATCH($D574,Hierarchy!$A$2:$A$1295,0))),"NODE NOT FOUND"))</f>
        <v>Flevoland</v>
      </c>
      <c r="L574" s="7" t="str">
        <f aca="false">IF($D574="","",IFERROR(IF(INDEX(Hierarchy!$I$2:$I$1295,MATCH($D574,Hierarchy!$A$2:$A$1295,0))="","",INDEX(Hierarchy!$I$2:$I$1295,MATCH($D574,Hierarchy!$A$2:$A$1295,0))),"NODE NOT FOUND"))</f>
        <v/>
      </c>
      <c r="M574" s="17" t="str">
        <f aca="false">IF(B574="Pre-seeded","Pre-seeded",IF(B574="Review 2026-09-16","Added from review",IF(C574="","New",IF(C574=D574,"","Changed"))))</f>
        <v>Pre-seeded</v>
      </c>
      <c r="N574" s="7" t="str">
        <f aca="false">TRIM(SUBSTITUTE(SUBSTITUTE(SUBSTITUTE(" "&amp;TRIM(SUBSTITUTE(SUBSTITUTE(SUBSTITUTE(SUBSTITUTE(SUBSTITUTE(SUBSTITUTE(SUBSTITUTE(SUBSTITUTE(SUBSTITUTE(SUBSTITUTE(SUBSTITUTE(SUBSTITUTE(SUBSTITUTE(SUBSTITUTE(SUBSTITUTE(UPPER(TRIM(A574)),"[MEMBER]",""),"{MEMBER}",""),"[MEMBER}",""),"MEMBER]",""),"(A)",""),"""",""),"“",""),"”",""),".",""),":",""),",",""),"–"," "),"-"," "),"/"," "),"&amp;"," AND "))&amp;" "," THE "," ")," TOTAL "," ")," OPERATIONS "," "))</f>
        <v>FLEVOLAND</v>
      </c>
      <c r="O574" s="17" t="str">
        <f aca="false">IF(COUNTIFS($N$2:$N$2000,N574,$D$2:$D$2000,"&lt;&gt;"&amp;D574)&gt;0,"CONFLICT","")</f>
        <v/>
      </c>
      <c r="P574" s="7"/>
    </row>
    <row r="575" customFormat="false" ht="15" hidden="false" customHeight="false" outlineLevel="0" collapsed="false">
      <c r="A575" s="7" t="s">
        <v>163</v>
      </c>
      <c r="B575" s="7" t="s">
        <v>1882</v>
      </c>
      <c r="C575" s="7" t="s">
        <v>163</v>
      </c>
      <c r="D575" s="6" t="s">
        <v>163</v>
      </c>
      <c r="E575" s="6" t="s">
        <v>1880</v>
      </c>
      <c r="F575" s="7" t="str">
        <f aca="false">IF($D575="","",IFERROR(IF(INDEX(Hierarchy!$B$2:$B$1295,MATCH($D575,Hierarchy!$A$2:$A$1295,0))="","",INDEX(Hierarchy!$B$2:$B$1295,MATCH($D575,Hierarchy!$A$2:$A$1295,0))),"NODE NOT FOUND"))</f>
        <v>State/Province</v>
      </c>
      <c r="G575" s="7" t="str">
        <f aca="false">IF($D575="","",IFERROR(IF(INDEX(Hierarchy!$D$2:$D$1295,MATCH($D575,Hierarchy!$A$2:$A$1295,0))="","",INDEX(Hierarchy!$D$2:$D$1295,MATCH($D575,Hierarchy!$A$2:$A$1295,0))),"NODE NOT FOUND"))</f>
        <v>AMER</v>
      </c>
      <c r="H575" s="7" t="str">
        <f aca="false">IF($D575="","",IFERROR(IF(INDEX(Hierarchy!$E$2:$E$1295,MATCH($D575,Hierarchy!$A$2:$A$1295,0))="","",INDEX(Hierarchy!$E$2:$E$1295,MATCH($D575,Hierarchy!$A$2:$A$1295,0))),"NODE NOT FOUND"))</f>
        <v>North America (NORAM)</v>
      </c>
      <c r="I575" s="7" t="str">
        <f aca="false">IF($D575="","",IFERROR(IF(INDEX(Hierarchy!$F$2:$F$1295,MATCH($D575,Hierarchy!$A$2:$A$1295,0))="","",INDEX(Hierarchy!$F$2:$F$1295,MATCH($D575,Hierarchy!$A$2:$A$1295,0))),"NODE NOT FOUND"))</f>
        <v>United States</v>
      </c>
      <c r="J575" s="7" t="str">
        <f aca="false">IF($D575="","",IFERROR(IF(INDEX(Hierarchy!$G$2:$G$1295,MATCH($D575,Hierarchy!$A$2:$A$1295,0))="","",INDEX(Hierarchy!$G$2:$G$1295,MATCH($D575,Hierarchy!$A$2:$A$1295,0))),"NODE NOT FOUND"))</f>
        <v>USA</v>
      </c>
      <c r="K575" s="7" t="str">
        <f aca="false">IF($D575="","",IFERROR(IF(INDEX(Hierarchy!$H$2:$H$1295,MATCH($D575,Hierarchy!$A$2:$A$1295,0))="","",INDEX(Hierarchy!$H$2:$H$1295,MATCH($D575,Hierarchy!$A$2:$A$1295,0))),"NODE NOT FOUND"))</f>
        <v>Florida</v>
      </c>
      <c r="L575" s="7" t="str">
        <f aca="false">IF($D575="","",IFERROR(IF(INDEX(Hierarchy!$I$2:$I$1295,MATCH($D575,Hierarchy!$A$2:$A$1295,0))="","",INDEX(Hierarchy!$I$2:$I$1295,MATCH($D575,Hierarchy!$A$2:$A$1295,0))),"NODE NOT FOUND"))</f>
        <v/>
      </c>
      <c r="M575" s="17" t="str">
        <f aca="false">IF(B575="Pre-seeded","Pre-seeded",IF(B575="Review 2026-09-16","Added from review",IF(C575="","New",IF(C575=D575,"","Changed"))))</f>
        <v/>
      </c>
      <c r="N575" s="7" t="str">
        <f aca="false">TRIM(SUBSTITUTE(SUBSTITUTE(SUBSTITUTE(" "&amp;TRIM(SUBSTITUTE(SUBSTITUTE(SUBSTITUTE(SUBSTITUTE(SUBSTITUTE(SUBSTITUTE(SUBSTITUTE(SUBSTITUTE(SUBSTITUTE(SUBSTITUTE(SUBSTITUTE(SUBSTITUTE(SUBSTITUTE(SUBSTITUTE(SUBSTITUTE(UPPER(TRIM(A575)),"[MEMBER]",""),"{MEMBER}",""),"[MEMBER}",""),"MEMBER]",""),"(A)",""),"""",""),"“",""),"”",""),".",""),":",""),",",""),"–"," "),"-"," "),"/"," "),"&amp;"," AND "))&amp;" "," THE "," ")," TOTAL "," ")," OPERATIONS "," "))</f>
        <v>FLORIDA</v>
      </c>
      <c r="O575" s="17" t="str">
        <f aca="false">IF(COUNTIFS($N$2:$N$2000,N575,$D$2:$D$2000,"&lt;&gt;"&amp;D575)&gt;0,"CONFLICT","")</f>
        <v/>
      </c>
      <c r="P575" s="7"/>
    </row>
    <row r="576" customFormat="false" ht="15" hidden="false" customHeight="false" outlineLevel="0" collapsed="false">
      <c r="A576" s="7" t="s">
        <v>2189</v>
      </c>
      <c r="B576" s="7" t="s">
        <v>1882</v>
      </c>
      <c r="C576" s="7" t="s">
        <v>163</v>
      </c>
      <c r="D576" s="6" t="s">
        <v>163</v>
      </c>
      <c r="E576" s="6" t="s">
        <v>1880</v>
      </c>
      <c r="F576" s="7" t="str">
        <f aca="false">IF($D576="","",IFERROR(IF(INDEX(Hierarchy!$B$2:$B$1295,MATCH($D576,Hierarchy!$A$2:$A$1295,0))="","",INDEX(Hierarchy!$B$2:$B$1295,MATCH($D576,Hierarchy!$A$2:$A$1295,0))),"NODE NOT FOUND"))</f>
        <v>State/Province</v>
      </c>
      <c r="G576" s="7" t="str">
        <f aca="false">IF($D576="","",IFERROR(IF(INDEX(Hierarchy!$D$2:$D$1295,MATCH($D576,Hierarchy!$A$2:$A$1295,0))="","",INDEX(Hierarchy!$D$2:$D$1295,MATCH($D576,Hierarchy!$A$2:$A$1295,0))),"NODE NOT FOUND"))</f>
        <v>AMER</v>
      </c>
      <c r="H576" s="7" t="str">
        <f aca="false">IF($D576="","",IFERROR(IF(INDEX(Hierarchy!$E$2:$E$1295,MATCH($D576,Hierarchy!$A$2:$A$1295,0))="","",INDEX(Hierarchy!$E$2:$E$1295,MATCH($D576,Hierarchy!$A$2:$A$1295,0))),"NODE NOT FOUND"))</f>
        <v>North America (NORAM)</v>
      </c>
      <c r="I576" s="7" t="str">
        <f aca="false">IF($D576="","",IFERROR(IF(INDEX(Hierarchy!$F$2:$F$1295,MATCH($D576,Hierarchy!$A$2:$A$1295,0))="","",INDEX(Hierarchy!$F$2:$F$1295,MATCH($D576,Hierarchy!$A$2:$A$1295,0))),"NODE NOT FOUND"))</f>
        <v>United States</v>
      </c>
      <c r="J576" s="7" t="str">
        <f aca="false">IF($D576="","",IFERROR(IF(INDEX(Hierarchy!$G$2:$G$1295,MATCH($D576,Hierarchy!$A$2:$A$1295,0))="","",INDEX(Hierarchy!$G$2:$G$1295,MATCH($D576,Hierarchy!$A$2:$A$1295,0))),"NODE NOT FOUND"))</f>
        <v>USA</v>
      </c>
      <c r="K576" s="7" t="str">
        <f aca="false">IF($D576="","",IFERROR(IF(INDEX(Hierarchy!$H$2:$H$1295,MATCH($D576,Hierarchy!$A$2:$A$1295,0))="","",INDEX(Hierarchy!$H$2:$H$1295,MATCH($D576,Hierarchy!$A$2:$A$1295,0))),"NODE NOT FOUND"))</f>
        <v>Florida</v>
      </c>
      <c r="L576" s="7" t="str">
        <f aca="false">IF($D576="","",IFERROR(IF(INDEX(Hierarchy!$I$2:$I$1295,MATCH($D576,Hierarchy!$A$2:$A$1295,0))="","",INDEX(Hierarchy!$I$2:$I$1295,MATCH($D576,Hierarchy!$A$2:$A$1295,0))),"NODE NOT FOUND"))</f>
        <v/>
      </c>
      <c r="M576" s="17" t="str">
        <f aca="false">IF(B576="Pre-seeded","Pre-seeded",IF(B576="Review 2026-09-16","Added from review",IF(C576="","New",IF(C576=D576,"","Changed"))))</f>
        <v/>
      </c>
      <c r="N576" s="7" t="str">
        <f aca="false">TRIM(SUBSTITUTE(SUBSTITUTE(SUBSTITUTE(" "&amp;TRIM(SUBSTITUTE(SUBSTITUTE(SUBSTITUTE(SUBSTITUTE(SUBSTITUTE(SUBSTITUTE(SUBSTITUTE(SUBSTITUTE(SUBSTITUTE(SUBSTITUTE(SUBSTITUTE(SUBSTITUTE(SUBSTITUTE(SUBSTITUTE(SUBSTITUTE(UPPER(TRIM(A576)),"[MEMBER]",""),"{MEMBER}",""),"[MEMBER}",""),"MEMBER]",""),"(A)",""),"""",""),"“",""),"”",""),".",""),":",""),",",""),"–"," "),"-"," "),"/"," "),"&amp;"," AND "))&amp;" "," THE "," ")," TOTAL "," ")," OPERATIONS "," "))</f>
        <v>FLORIDA</v>
      </c>
      <c r="O576" s="17" t="str">
        <f aca="false">IF(COUNTIFS($N$2:$N$2000,N576,$D$2:$D$2000,"&lt;&gt;"&amp;D576)&gt;0,"CONFLICT","")</f>
        <v/>
      </c>
      <c r="P576" s="7"/>
    </row>
    <row r="577" customFormat="false" ht="15" hidden="false" customHeight="false" outlineLevel="0" collapsed="false">
      <c r="A577" s="7" t="s">
        <v>1894</v>
      </c>
      <c r="B577" s="7" t="s">
        <v>1882</v>
      </c>
      <c r="C577" s="7" t="s">
        <v>1894</v>
      </c>
      <c r="D577" s="6" t="s">
        <v>1784</v>
      </c>
      <c r="E577" s="6" t="s">
        <v>1880</v>
      </c>
      <c r="F577" s="7" t="str">
        <f aca="false">IF($D577="","",IFERROR(IF(INDEX(Hierarchy!$B$2:$B$1295,MATCH($D577,Hierarchy!$A$2:$A$1295,0))="","",INDEX(Hierarchy!$B$2:$B$1295,MATCH($D577,Hierarchy!$A$2:$A$1295,0))),"NODE NOT FOUND"))</f>
        <v>Bucket</v>
      </c>
      <c r="G577" s="7" t="str">
        <f aca="false">IF($D577="","",IFERROR(IF(INDEX(Hierarchy!$D$2:$D$1295,MATCH($D577,Hierarchy!$A$2:$A$1295,0))="","",INDEX(Hierarchy!$D$2:$D$1295,MATCH($D577,Hierarchy!$A$2:$A$1295,0))),"NODE NOT FOUND"))</f>
        <v>Non-regional</v>
      </c>
      <c r="H577" s="7" t="str">
        <f aca="false">IF($D577="","",IFERROR(IF(INDEX(Hierarchy!$E$2:$E$1295,MATCH($D577,Hierarchy!$A$2:$A$1295,0))="","",INDEX(Hierarchy!$E$2:$E$1295,MATCH($D577,Hierarchy!$A$2:$A$1295,0))),"NODE NOT FOUND"))</f>
        <v/>
      </c>
      <c r="I577" s="7" t="str">
        <f aca="false">IF($D577="","",IFERROR(IF(INDEX(Hierarchy!$F$2:$F$1295,MATCH($D577,Hierarchy!$A$2:$A$1295,0))="","",INDEX(Hierarchy!$F$2:$F$1295,MATCH($D577,Hierarchy!$A$2:$A$1295,0))),"NODE NOT FOUND"))</f>
        <v/>
      </c>
      <c r="J577" s="7" t="str">
        <f aca="false">IF($D577="","",IFERROR(IF(INDEX(Hierarchy!$G$2:$G$1295,MATCH($D577,Hierarchy!$A$2:$A$1295,0))="","",INDEX(Hierarchy!$G$2:$G$1295,MATCH($D577,Hierarchy!$A$2:$A$1295,0))),"NODE NOT FOUND"))</f>
        <v/>
      </c>
      <c r="K577" s="7" t="str">
        <f aca="false">IF($D577="","",IFERROR(IF(INDEX(Hierarchy!$H$2:$H$1295,MATCH($D577,Hierarchy!$A$2:$A$1295,0))="","",INDEX(Hierarchy!$H$2:$H$1295,MATCH($D577,Hierarchy!$A$2:$A$1295,0))),"NODE NOT FOUND"))</f>
        <v/>
      </c>
      <c r="L577" s="7" t="str">
        <f aca="false">IF($D577="","",IFERROR(IF(INDEX(Hierarchy!$I$2:$I$1295,MATCH($D577,Hierarchy!$A$2:$A$1295,0))="","",INDEX(Hierarchy!$I$2:$I$1295,MATCH($D577,Hierarchy!$A$2:$A$1295,0))),"NODE NOT FOUND"))</f>
        <v/>
      </c>
      <c r="M577" s="17" t="str">
        <f aca="false">IF(B577="Pre-seeded","Pre-seeded",IF(B577="Review 2026-09-16","Added from review",IF(C577="","New",IF(C577=D577,"","Changed"))))</f>
        <v>Changed</v>
      </c>
      <c r="N577" s="7" t="str">
        <f aca="false">TRIM(SUBSTITUTE(SUBSTITUTE(SUBSTITUTE(" "&amp;TRIM(SUBSTITUTE(SUBSTITUTE(SUBSTITUTE(SUBSTITUTE(SUBSTITUTE(SUBSTITUTE(SUBSTITUTE(SUBSTITUTE(SUBSTITUTE(SUBSTITUTE(SUBSTITUTE(SUBSTITUTE(SUBSTITUTE(SUBSTITUTE(SUBSTITUTE(UPPER(TRIM(A577)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577" s="17" t="str">
        <f aca="false">IF(COUNTIFS($N$2:$N$2000,N577,$D$2:$D$2000,"&lt;&gt;"&amp;D577)&gt;0,"CONFLICT","")</f>
        <v/>
      </c>
      <c r="P577" s="7" t="s">
        <v>2190</v>
      </c>
    </row>
    <row r="578" customFormat="false" ht="15" hidden="false" customHeight="false" outlineLevel="0" collapsed="false">
      <c r="A578" s="7" t="s">
        <v>2191</v>
      </c>
      <c r="B578" s="7" t="s">
        <v>1885</v>
      </c>
      <c r="C578" s="7" t="s">
        <v>1894</v>
      </c>
      <c r="D578" s="6" t="s">
        <v>1784</v>
      </c>
      <c r="E578" s="6" t="s">
        <v>1880</v>
      </c>
      <c r="F578" s="7" t="str">
        <f aca="false">IF($D578="","",IFERROR(IF(INDEX(Hierarchy!$B$2:$B$1295,MATCH($D578,Hierarchy!$A$2:$A$1295,0))="","",INDEX(Hierarchy!$B$2:$B$1295,MATCH($D578,Hierarchy!$A$2:$A$1295,0))),"NODE NOT FOUND"))</f>
        <v>Bucket</v>
      </c>
      <c r="G578" s="7" t="str">
        <f aca="false">IF($D578="","",IFERROR(IF(INDEX(Hierarchy!$D$2:$D$1295,MATCH($D578,Hierarchy!$A$2:$A$1295,0))="","",INDEX(Hierarchy!$D$2:$D$1295,MATCH($D578,Hierarchy!$A$2:$A$1295,0))),"NODE NOT FOUND"))</f>
        <v>Non-regional</v>
      </c>
      <c r="H578" s="7" t="str">
        <f aca="false">IF($D578="","",IFERROR(IF(INDEX(Hierarchy!$E$2:$E$1295,MATCH($D578,Hierarchy!$A$2:$A$1295,0))="","",INDEX(Hierarchy!$E$2:$E$1295,MATCH($D578,Hierarchy!$A$2:$A$1295,0))),"NODE NOT FOUND"))</f>
        <v/>
      </c>
      <c r="I578" s="7" t="str">
        <f aca="false">IF($D578="","",IFERROR(IF(INDEX(Hierarchy!$F$2:$F$1295,MATCH($D578,Hierarchy!$A$2:$A$1295,0))="","",INDEX(Hierarchy!$F$2:$F$1295,MATCH($D578,Hierarchy!$A$2:$A$1295,0))),"NODE NOT FOUND"))</f>
        <v/>
      </c>
      <c r="J578" s="7" t="str">
        <f aca="false">IF($D578="","",IFERROR(IF(INDEX(Hierarchy!$G$2:$G$1295,MATCH($D578,Hierarchy!$A$2:$A$1295,0))="","",INDEX(Hierarchy!$G$2:$G$1295,MATCH($D578,Hierarchy!$A$2:$A$1295,0))),"NODE NOT FOUND"))</f>
        <v/>
      </c>
      <c r="K578" s="7" t="str">
        <f aca="false">IF($D578="","",IFERROR(IF(INDEX(Hierarchy!$H$2:$H$1295,MATCH($D578,Hierarchy!$A$2:$A$1295,0))="","",INDEX(Hierarchy!$H$2:$H$1295,MATCH($D578,Hierarchy!$A$2:$A$1295,0))),"NODE NOT FOUND"))</f>
        <v/>
      </c>
      <c r="L578" s="7" t="str">
        <f aca="false">IF($D578="","",IFERROR(IF(INDEX(Hierarchy!$I$2:$I$1295,MATCH($D578,Hierarchy!$A$2:$A$1295,0))="","",INDEX(Hierarchy!$I$2:$I$1295,MATCH($D578,Hierarchy!$A$2:$A$1295,0))),"NODE NOT FOUND"))</f>
        <v/>
      </c>
      <c r="M578" s="17" t="str">
        <f aca="false">IF(B578="Pre-seeded","Pre-seeded",IF(B578="Review 2026-09-16","Added from review",IF(C578="","New",IF(C578=D578,"","Changed"))))</f>
        <v>Changed</v>
      </c>
      <c r="N578" s="7" t="str">
        <f aca="false">TRIM(SUBSTITUTE(SUBSTITUTE(SUBSTITUTE(" "&amp;TRIM(SUBSTITUTE(SUBSTITUTE(SUBSTITUTE(SUBSTITUTE(SUBSTITUTE(SUBSTITUTE(SUBSTITUTE(SUBSTITUTE(SUBSTITUTE(SUBSTITUTE(SUBSTITUTE(SUBSTITUTE(SUBSTITUTE(SUBSTITUTE(SUBSTITUTE(UPPER(TRIM(A578)),"[MEMBER]",""),"{MEMBER}",""),"[MEMBER}",""),"MEMBER]",""),"(A)",""),"""",""),"“",""),"”",""),".",""),":",""),",",""),"–"," "),"-"," "),"/"," "),"&amp;"," AND "))&amp;" "," THE "," ")," TOTAL "," ")," OPERATIONS "," "))</f>
        <v>FOREIGN COUNTRIES</v>
      </c>
      <c r="O578" s="17" t="str">
        <f aca="false">IF(COUNTIFS($N$2:$N$2000,N578,$D$2:$D$2000,"&lt;&gt;"&amp;D578)&gt;0,"CONFLICT","")</f>
        <v/>
      </c>
      <c r="P578" s="7" t="s">
        <v>1895</v>
      </c>
    </row>
    <row r="579" customFormat="false" ht="15" hidden="false" customHeight="false" outlineLevel="0" collapsed="false">
      <c r="A579" s="7" t="s">
        <v>2192</v>
      </c>
      <c r="B579" s="7" t="s">
        <v>1882</v>
      </c>
      <c r="C579" s="7" t="s">
        <v>1894</v>
      </c>
      <c r="D579" s="6" t="s">
        <v>1784</v>
      </c>
      <c r="E579" s="6" t="s">
        <v>1880</v>
      </c>
      <c r="F579" s="7" t="str">
        <f aca="false">IF($D579="","",IFERROR(IF(INDEX(Hierarchy!$B$2:$B$1295,MATCH($D579,Hierarchy!$A$2:$A$1295,0))="","",INDEX(Hierarchy!$B$2:$B$1295,MATCH($D579,Hierarchy!$A$2:$A$1295,0))),"NODE NOT FOUND"))</f>
        <v>Bucket</v>
      </c>
      <c r="G579" s="7" t="str">
        <f aca="false">IF($D579="","",IFERROR(IF(INDEX(Hierarchy!$D$2:$D$1295,MATCH($D579,Hierarchy!$A$2:$A$1295,0))="","",INDEX(Hierarchy!$D$2:$D$1295,MATCH($D579,Hierarchy!$A$2:$A$1295,0))),"NODE NOT FOUND"))</f>
        <v>Non-regional</v>
      </c>
      <c r="H579" s="7" t="str">
        <f aca="false">IF($D579="","",IFERROR(IF(INDEX(Hierarchy!$E$2:$E$1295,MATCH($D579,Hierarchy!$A$2:$A$1295,0))="","",INDEX(Hierarchy!$E$2:$E$1295,MATCH($D579,Hierarchy!$A$2:$A$1295,0))),"NODE NOT FOUND"))</f>
        <v/>
      </c>
      <c r="I579" s="7" t="str">
        <f aca="false">IF($D579="","",IFERROR(IF(INDEX(Hierarchy!$F$2:$F$1295,MATCH($D579,Hierarchy!$A$2:$A$1295,0))="","",INDEX(Hierarchy!$F$2:$F$1295,MATCH($D579,Hierarchy!$A$2:$A$1295,0))),"NODE NOT FOUND"))</f>
        <v/>
      </c>
      <c r="J579" s="7" t="str">
        <f aca="false">IF($D579="","",IFERROR(IF(INDEX(Hierarchy!$G$2:$G$1295,MATCH($D579,Hierarchy!$A$2:$A$1295,0))="","",INDEX(Hierarchy!$G$2:$G$1295,MATCH($D579,Hierarchy!$A$2:$A$1295,0))),"NODE NOT FOUND"))</f>
        <v/>
      </c>
      <c r="K579" s="7" t="str">
        <f aca="false">IF($D579="","",IFERROR(IF(INDEX(Hierarchy!$H$2:$H$1295,MATCH($D579,Hierarchy!$A$2:$A$1295,0))="","",INDEX(Hierarchy!$H$2:$H$1295,MATCH($D579,Hierarchy!$A$2:$A$1295,0))),"NODE NOT FOUND"))</f>
        <v/>
      </c>
      <c r="L579" s="7" t="str">
        <f aca="false">IF($D579="","",IFERROR(IF(INDEX(Hierarchy!$I$2:$I$1295,MATCH($D579,Hierarchy!$A$2:$A$1295,0))="","",INDEX(Hierarchy!$I$2:$I$1295,MATCH($D579,Hierarchy!$A$2:$A$1295,0))),"NODE NOT FOUND"))</f>
        <v/>
      </c>
      <c r="M579" s="17" t="str">
        <f aca="false">IF(B579="Pre-seeded","Pre-seeded",IF(B579="Review 2026-09-16","Added from review",IF(C579="","New",IF(C579=D579,"","Changed"))))</f>
        <v>Changed</v>
      </c>
      <c r="N579" s="7" t="str">
        <f aca="false">TRIM(SUBSTITUTE(SUBSTITUTE(SUBSTITUTE(" "&amp;TRIM(SUBSTITUTE(SUBSTITUTE(SUBSTITUTE(SUBSTITUTE(SUBSTITUTE(SUBSTITUTE(SUBSTITUTE(SUBSTITUTE(SUBSTITUTE(SUBSTITUTE(SUBSTITUTE(SUBSTITUTE(SUBSTITUTE(SUBSTITUTE(SUBSTITUTE(UPPER(TRIM(A579)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579" s="17" t="str">
        <f aca="false">IF(COUNTIFS($N$2:$N$2000,N579,$D$2:$D$2000,"&lt;&gt;"&amp;D579)&gt;0,"CONFLICT","")</f>
        <v/>
      </c>
      <c r="P579" s="7" t="s">
        <v>2190</v>
      </c>
    </row>
    <row r="580" customFormat="false" ht="15" hidden="false" customHeight="false" outlineLevel="0" collapsed="false">
      <c r="A580" s="7" t="s">
        <v>2193</v>
      </c>
      <c r="B580" s="7" t="s">
        <v>1885</v>
      </c>
      <c r="C580" s="7" t="s">
        <v>1894</v>
      </c>
      <c r="D580" s="6" t="s">
        <v>1784</v>
      </c>
      <c r="E580" s="6" t="s">
        <v>1880</v>
      </c>
      <c r="F580" s="7" t="str">
        <f aca="false">IF($D580="","",IFERROR(IF(INDEX(Hierarchy!$B$2:$B$1295,MATCH($D580,Hierarchy!$A$2:$A$1295,0))="","",INDEX(Hierarchy!$B$2:$B$1295,MATCH($D580,Hierarchy!$A$2:$A$1295,0))),"NODE NOT FOUND"))</f>
        <v>Bucket</v>
      </c>
      <c r="G580" s="7" t="str">
        <f aca="false">IF($D580="","",IFERROR(IF(INDEX(Hierarchy!$D$2:$D$1295,MATCH($D580,Hierarchy!$A$2:$A$1295,0))="","",INDEX(Hierarchy!$D$2:$D$1295,MATCH($D580,Hierarchy!$A$2:$A$1295,0))),"NODE NOT FOUND"))</f>
        <v>Non-regional</v>
      </c>
      <c r="H580" s="7" t="str">
        <f aca="false">IF($D580="","",IFERROR(IF(INDEX(Hierarchy!$E$2:$E$1295,MATCH($D580,Hierarchy!$A$2:$A$1295,0))="","",INDEX(Hierarchy!$E$2:$E$1295,MATCH($D580,Hierarchy!$A$2:$A$1295,0))),"NODE NOT FOUND"))</f>
        <v/>
      </c>
      <c r="I580" s="7" t="str">
        <f aca="false">IF($D580="","",IFERROR(IF(INDEX(Hierarchy!$F$2:$F$1295,MATCH($D580,Hierarchy!$A$2:$A$1295,0))="","",INDEX(Hierarchy!$F$2:$F$1295,MATCH($D580,Hierarchy!$A$2:$A$1295,0))),"NODE NOT FOUND"))</f>
        <v/>
      </c>
      <c r="J580" s="7" t="str">
        <f aca="false">IF($D580="","",IFERROR(IF(INDEX(Hierarchy!$G$2:$G$1295,MATCH($D580,Hierarchy!$A$2:$A$1295,0))="","",INDEX(Hierarchy!$G$2:$G$1295,MATCH($D580,Hierarchy!$A$2:$A$1295,0))),"NODE NOT FOUND"))</f>
        <v/>
      </c>
      <c r="K580" s="7" t="str">
        <f aca="false">IF($D580="","",IFERROR(IF(INDEX(Hierarchy!$H$2:$H$1295,MATCH($D580,Hierarchy!$A$2:$A$1295,0))="","",INDEX(Hierarchy!$H$2:$H$1295,MATCH($D580,Hierarchy!$A$2:$A$1295,0))),"NODE NOT FOUND"))</f>
        <v/>
      </c>
      <c r="L580" s="7" t="str">
        <f aca="false">IF($D580="","",IFERROR(IF(INDEX(Hierarchy!$I$2:$I$1295,MATCH($D580,Hierarchy!$A$2:$A$1295,0))="","",INDEX(Hierarchy!$I$2:$I$1295,MATCH($D580,Hierarchy!$A$2:$A$1295,0))),"NODE NOT FOUND"))</f>
        <v/>
      </c>
      <c r="M580" s="17" t="str">
        <f aca="false">IF(B580="Pre-seeded","Pre-seeded",IF(B580="Review 2026-09-16","Added from review",IF(C580="","New",IF(C580=D580,"","Changed"))))</f>
        <v>Changed</v>
      </c>
      <c r="N580" s="7" t="str">
        <f aca="false">TRIM(SUBSTITUTE(SUBSTITUTE(SUBSTITUTE(" "&amp;TRIM(SUBSTITUTE(SUBSTITUTE(SUBSTITUTE(SUBSTITUTE(SUBSTITUTE(SUBSTITUTE(SUBSTITUTE(SUBSTITUTE(SUBSTITUTE(SUBSTITUTE(SUBSTITUTE(SUBSTITUTE(SUBSTITUTE(SUBSTITUTE(SUBSTITUTE(UPPER(TRIM(A580)),"[MEMBER]",""),"{MEMBER}",""),"[MEMBER}",""),"MEMBER]",""),"(A)",""),"""",""),"“",""),"”",""),".",""),":",""),",",""),"–"," "),"-"," "),"/"," "),"&amp;"," AND "))&amp;" "," THE "," ")," TOTAL "," ")," OPERATIONS "," "))</f>
        <v>FOREIGN SOURCE REVENUE</v>
      </c>
      <c r="O580" s="17" t="str">
        <f aca="false">IF(COUNTIFS($N$2:$N$2000,N580,$D$2:$D$2000,"&lt;&gt;"&amp;D580)&gt;0,"CONFLICT","")</f>
        <v/>
      </c>
      <c r="P580" s="7" t="s">
        <v>1895</v>
      </c>
    </row>
    <row r="581" customFormat="false" ht="15" hidden="false" customHeight="false" outlineLevel="0" collapsed="false">
      <c r="A581" s="7" t="s">
        <v>2194</v>
      </c>
      <c r="B581" s="7" t="s">
        <v>1885</v>
      </c>
      <c r="C581" s="7" t="s">
        <v>271</v>
      </c>
      <c r="D581" s="6" t="s">
        <v>1784</v>
      </c>
      <c r="E581" s="6" t="s">
        <v>1891</v>
      </c>
      <c r="F581" s="7" t="str">
        <f aca="false">IF($D581="","",IFERROR(IF(INDEX(Hierarchy!$B$2:$B$1295,MATCH($D581,Hierarchy!$A$2:$A$1295,0))="","",INDEX(Hierarchy!$B$2:$B$1295,MATCH($D581,Hierarchy!$A$2:$A$1295,0))),"NODE NOT FOUND"))</f>
        <v>Bucket</v>
      </c>
      <c r="G581" s="7" t="str">
        <f aca="false">IF($D581="","",IFERROR(IF(INDEX(Hierarchy!$D$2:$D$1295,MATCH($D581,Hierarchy!$A$2:$A$1295,0))="","",INDEX(Hierarchy!$D$2:$D$1295,MATCH($D581,Hierarchy!$A$2:$A$1295,0))),"NODE NOT FOUND"))</f>
        <v>Non-regional</v>
      </c>
      <c r="H581" s="7" t="str">
        <f aca="false">IF($D581="","",IFERROR(IF(INDEX(Hierarchy!$E$2:$E$1295,MATCH($D581,Hierarchy!$A$2:$A$1295,0))="","",INDEX(Hierarchy!$E$2:$E$1295,MATCH($D581,Hierarchy!$A$2:$A$1295,0))),"NODE NOT FOUND"))</f>
        <v/>
      </c>
      <c r="I581" s="7" t="str">
        <f aca="false">IF($D581="","",IFERROR(IF(INDEX(Hierarchy!$F$2:$F$1295,MATCH($D581,Hierarchy!$A$2:$A$1295,0))="","",INDEX(Hierarchy!$F$2:$F$1295,MATCH($D581,Hierarchy!$A$2:$A$1295,0))),"NODE NOT FOUND"))</f>
        <v/>
      </c>
      <c r="J581" s="7" t="str">
        <f aca="false">IF($D581="","",IFERROR(IF(INDEX(Hierarchy!$G$2:$G$1295,MATCH($D581,Hierarchy!$A$2:$A$1295,0))="","",INDEX(Hierarchy!$G$2:$G$1295,MATCH($D581,Hierarchy!$A$2:$A$1295,0))),"NODE NOT FOUND"))</f>
        <v/>
      </c>
      <c r="K581" s="7" t="str">
        <f aca="false">IF($D581="","",IFERROR(IF(INDEX(Hierarchy!$H$2:$H$1295,MATCH($D581,Hierarchy!$A$2:$A$1295,0))="","",INDEX(Hierarchy!$H$2:$H$1295,MATCH($D581,Hierarchy!$A$2:$A$1295,0))),"NODE NOT FOUND"))</f>
        <v/>
      </c>
      <c r="L581" s="7" t="str">
        <f aca="false">IF($D581="","",IFERROR(IF(INDEX(Hierarchy!$I$2:$I$1295,MATCH($D581,Hierarchy!$A$2:$A$1295,0))="","",INDEX(Hierarchy!$I$2:$I$1295,MATCH($D581,Hierarchy!$A$2:$A$1295,0))),"NODE NOT FOUND"))</f>
        <v/>
      </c>
      <c r="M581" s="17" t="str">
        <f aca="false">IF(B581="Pre-seeded","Pre-seeded",IF(B581="Review 2026-09-16","Added from review",IF(C581="","New",IF(C581=D581,"","Changed"))))</f>
        <v>Changed</v>
      </c>
      <c r="N581" s="7" t="str">
        <f aca="false">TRIM(SUBSTITUTE(SUBSTITUTE(SUBSTITUTE(" "&amp;TRIM(SUBSTITUTE(SUBSTITUTE(SUBSTITUTE(SUBSTITUTE(SUBSTITUTE(SUBSTITUTE(SUBSTITUTE(SUBSTITUTE(SUBSTITUTE(SUBSTITUTE(SUBSTITUTE(SUBSTITUTE(SUBSTITUTE(SUBSTITUTE(SUBSTITUTE(UPPER(TRIM(A581)),"[MEMBER]",""),"{MEMBER}",""),"[MEMBER}",""),"MEMBER]",""),"(A)",""),"""",""),"“",""),"”",""),".",""),":",""),",",""),"–"," "),"-"," "),"/"," "),"&amp;"," AND "))&amp;" "," THE "," ")," TOTAL "," ")," OPERATIONS "," "))</f>
        <v>FOREIGN EXCLUDING UNITED STATES OF AMERICA AND CANADA</v>
      </c>
      <c r="O581" s="17" t="str">
        <f aca="false">IF(COUNTIFS($N$2:$N$2000,N581,$D$2:$D$2000,"&lt;&gt;"&amp;D581)&gt;0,"CONFLICT","")</f>
        <v/>
      </c>
      <c r="P581" s="7" t="s">
        <v>2195</v>
      </c>
    </row>
    <row r="582" customFormat="false" ht="15" hidden="false" customHeight="false" outlineLevel="0" collapsed="false">
      <c r="A582" s="7" t="s">
        <v>2196</v>
      </c>
      <c r="B582" s="7" t="s">
        <v>1885</v>
      </c>
      <c r="C582" s="7" t="s">
        <v>622</v>
      </c>
      <c r="D582" s="6" t="s">
        <v>1784</v>
      </c>
      <c r="E582" s="6" t="s">
        <v>1880</v>
      </c>
      <c r="F582" s="7" t="str">
        <f aca="false">IF($D582="","",IFERROR(IF(INDEX(Hierarchy!$B$2:$B$1295,MATCH($D582,Hierarchy!$A$2:$A$1295,0))="","",INDEX(Hierarchy!$B$2:$B$1295,MATCH($D582,Hierarchy!$A$2:$A$1295,0))),"NODE NOT FOUND"))</f>
        <v>Bucket</v>
      </c>
      <c r="G582" s="7" t="str">
        <f aca="false">IF($D582="","",IFERROR(IF(INDEX(Hierarchy!$D$2:$D$1295,MATCH($D582,Hierarchy!$A$2:$A$1295,0))="","",INDEX(Hierarchy!$D$2:$D$1295,MATCH($D582,Hierarchy!$A$2:$A$1295,0))),"NODE NOT FOUND"))</f>
        <v>Non-regional</v>
      </c>
      <c r="H582" s="7" t="str">
        <f aca="false">IF($D582="","",IFERROR(IF(INDEX(Hierarchy!$E$2:$E$1295,MATCH($D582,Hierarchy!$A$2:$A$1295,0))="","",INDEX(Hierarchy!$E$2:$E$1295,MATCH($D582,Hierarchy!$A$2:$A$1295,0))),"NODE NOT FOUND"))</f>
        <v/>
      </c>
      <c r="I582" s="7" t="str">
        <f aca="false">IF($D582="","",IFERROR(IF(INDEX(Hierarchy!$F$2:$F$1295,MATCH($D582,Hierarchy!$A$2:$A$1295,0))="","",INDEX(Hierarchy!$F$2:$F$1295,MATCH($D582,Hierarchy!$A$2:$A$1295,0))),"NODE NOT FOUND"))</f>
        <v/>
      </c>
      <c r="J582" s="7" t="str">
        <f aca="false">IF($D582="","",IFERROR(IF(INDEX(Hierarchy!$G$2:$G$1295,MATCH($D582,Hierarchy!$A$2:$A$1295,0))="","",INDEX(Hierarchy!$G$2:$G$1295,MATCH($D582,Hierarchy!$A$2:$A$1295,0))),"NODE NOT FOUND"))</f>
        <v/>
      </c>
      <c r="K582" s="7" t="str">
        <f aca="false">IF($D582="","",IFERROR(IF(INDEX(Hierarchy!$H$2:$H$1295,MATCH($D582,Hierarchy!$A$2:$A$1295,0))="","",INDEX(Hierarchy!$H$2:$H$1295,MATCH($D582,Hierarchy!$A$2:$A$1295,0))),"NODE NOT FOUND"))</f>
        <v/>
      </c>
      <c r="L582" s="7" t="str">
        <f aca="false">IF($D582="","",IFERROR(IF(INDEX(Hierarchy!$I$2:$I$1295,MATCH($D582,Hierarchy!$A$2:$A$1295,0))="","",INDEX(Hierarchy!$I$2:$I$1295,MATCH($D582,Hierarchy!$A$2:$A$1295,0))),"NODE NOT FOUND"))</f>
        <v/>
      </c>
      <c r="M582" s="17" t="str">
        <f aca="false">IF(B582="Pre-seeded","Pre-seeded",IF(B582="Review 2026-09-16","Added from review",IF(C582="","New",IF(C582=D582,"","Changed"))))</f>
        <v>Changed</v>
      </c>
      <c r="N582" s="7" t="str">
        <f aca="false">TRIM(SUBSTITUTE(SUBSTITUTE(SUBSTITUTE(" "&amp;TRIM(SUBSTITUTE(SUBSTITUTE(SUBSTITUTE(SUBSTITUTE(SUBSTITUTE(SUBSTITUTE(SUBSTITUTE(SUBSTITUTE(SUBSTITUTE(SUBSTITUTE(SUBSTITUTE(SUBSTITUTE(SUBSTITUTE(SUBSTITUTE(SUBSTITUTE(UPPER(TRIM(A582)),"[MEMBER]",""),"{MEMBER}",""),"[MEMBER}",""),"MEMBER]",""),"(A)",""),"""",""),"“",""),"”",""),".",""),":",""),",",""),"–"," "),"-"," "),"/"," "),"&amp;"," AND "))&amp;" "," THE "," ")," TOTAL "," ")," OPERATIONS "," "))</f>
        <v>FOREIGN PRIMARILY EUROPE</v>
      </c>
      <c r="O582" s="17" t="str">
        <f aca="false">IF(COUNTIFS($N$2:$N$2000,N582,$D$2:$D$2000,"&lt;&gt;"&amp;D582)&gt;0,"CONFLICT","")</f>
        <v/>
      </c>
      <c r="P582" s="7" t="s">
        <v>2197</v>
      </c>
    </row>
    <row r="583" customFormat="false" ht="15" hidden="false" customHeight="false" outlineLevel="0" collapsed="false">
      <c r="A583" s="7" t="s">
        <v>437</v>
      </c>
      <c r="B583" s="7" t="s">
        <v>1879</v>
      </c>
      <c r="C583" s="7"/>
      <c r="D583" s="6" t="s">
        <v>437</v>
      </c>
      <c r="E583" s="6" t="s">
        <v>1880</v>
      </c>
      <c r="F583" s="7" t="str">
        <f aca="false">IF($D583="","",IFERROR(IF(INDEX(Hierarchy!$B$2:$B$1295,MATCH($D583,Hierarchy!$A$2:$A$1295,0))="","",INDEX(Hierarchy!$B$2:$B$1295,MATCH($D583,Hierarchy!$A$2:$A$1295,0))),"NODE NOT FOUND"))</f>
        <v>State/Province</v>
      </c>
      <c r="G583" s="7" t="str">
        <f aca="false">IF($D583="","",IFERROR(IF(INDEX(Hierarchy!$D$2:$D$1295,MATCH($D583,Hierarchy!$A$2:$A$1295,0))="","",INDEX(Hierarchy!$D$2:$D$1295,MATCH($D583,Hierarchy!$A$2:$A$1295,0))),"NODE NOT FOUND"))</f>
        <v>AMER</v>
      </c>
      <c r="H583" s="7" t="str">
        <f aca="false">IF($D583="","",IFERROR(IF(INDEX(Hierarchy!$E$2:$E$1295,MATCH($D583,Hierarchy!$A$2:$A$1295,0))="","",INDEX(Hierarchy!$E$2:$E$1295,MATCH($D583,Hierarchy!$A$2:$A$1295,0))),"NODE NOT FOUND"))</f>
        <v>Latin America (LATAM)</v>
      </c>
      <c r="I583" s="7" t="str">
        <f aca="false">IF($D583="","",IFERROR(IF(INDEX(Hierarchy!$F$2:$F$1295,MATCH($D583,Hierarchy!$A$2:$A$1295,0))="","",INDEX(Hierarchy!$F$2:$F$1295,MATCH($D583,Hierarchy!$A$2:$A$1295,0))),"NODE NOT FOUND"))</f>
        <v>Argentina</v>
      </c>
      <c r="J583" s="7" t="str">
        <f aca="false">IF($D583="","",IFERROR(IF(INDEX(Hierarchy!$G$2:$G$1295,MATCH($D583,Hierarchy!$A$2:$A$1295,0))="","",INDEX(Hierarchy!$G$2:$G$1295,MATCH($D583,Hierarchy!$A$2:$A$1295,0))),"NODE NOT FOUND"))</f>
        <v>ARG</v>
      </c>
      <c r="K583" s="7" t="str">
        <f aca="false">IF($D583="","",IFERROR(IF(INDEX(Hierarchy!$H$2:$H$1295,MATCH($D583,Hierarchy!$A$2:$A$1295,0))="","",INDEX(Hierarchy!$H$2:$H$1295,MATCH($D583,Hierarchy!$A$2:$A$1295,0))),"NODE NOT FOUND"))</f>
        <v>Formosa</v>
      </c>
      <c r="L583" s="7" t="str">
        <f aca="false">IF($D583="","",IFERROR(IF(INDEX(Hierarchy!$I$2:$I$1295,MATCH($D583,Hierarchy!$A$2:$A$1295,0))="","",INDEX(Hierarchy!$I$2:$I$1295,MATCH($D583,Hierarchy!$A$2:$A$1295,0))),"NODE NOT FOUND"))</f>
        <v/>
      </c>
      <c r="M583" s="17" t="str">
        <f aca="false">IF(B583="Pre-seeded","Pre-seeded",IF(B583="Review 2026-09-16","Added from review",IF(C583="","New",IF(C583=D583,"","Changed"))))</f>
        <v>Pre-seeded</v>
      </c>
      <c r="N583" s="7" t="str">
        <f aca="false">TRIM(SUBSTITUTE(SUBSTITUTE(SUBSTITUTE(" "&amp;TRIM(SUBSTITUTE(SUBSTITUTE(SUBSTITUTE(SUBSTITUTE(SUBSTITUTE(SUBSTITUTE(SUBSTITUTE(SUBSTITUTE(SUBSTITUTE(SUBSTITUTE(SUBSTITUTE(SUBSTITUTE(SUBSTITUTE(SUBSTITUTE(SUBSTITUTE(UPPER(TRIM(A583)),"[MEMBER]",""),"{MEMBER}",""),"[MEMBER}",""),"MEMBER]",""),"(A)",""),"""",""),"“",""),"”",""),".",""),":",""),",",""),"–"," "),"-"," "),"/"," "),"&amp;"," AND "))&amp;" "," THE "," ")," TOTAL "," ")," OPERATIONS "," "))</f>
        <v>FORMOSA</v>
      </c>
      <c r="O583" s="17" t="str">
        <f aca="false">IF(COUNTIFS($N$2:$N$2000,N583,$D$2:$D$2000,"&lt;&gt;"&amp;D583)&gt;0,"CONFLICT","")</f>
        <v/>
      </c>
      <c r="P583" s="7"/>
    </row>
    <row r="584" customFormat="false" ht="15" hidden="false" customHeight="false" outlineLevel="0" collapsed="false">
      <c r="A584" s="7" t="s">
        <v>714</v>
      </c>
      <c r="B584" s="7" t="s">
        <v>1882</v>
      </c>
      <c r="C584" s="7" t="s">
        <v>714</v>
      </c>
      <c r="D584" s="6" t="s">
        <v>714</v>
      </c>
      <c r="E584" s="6" t="s">
        <v>1880</v>
      </c>
      <c r="F584" s="7" t="str">
        <f aca="false">IF($D584="","",IFERROR(IF(INDEX(Hierarchy!$B$2:$B$1295,MATCH($D584,Hierarchy!$A$2:$A$1295,0))="","",INDEX(Hierarchy!$B$2:$B$1295,MATCH($D584,Hierarchy!$A$2:$A$1295,0))),"NODE NOT FOUND"))</f>
        <v>Country</v>
      </c>
      <c r="G584" s="7" t="str">
        <f aca="false">IF($D584="","",IFERROR(IF(INDEX(Hierarchy!$D$2:$D$1295,MATCH($D584,Hierarchy!$A$2:$A$1295,0))="","",INDEX(Hierarchy!$D$2:$D$1295,MATCH($D584,Hierarchy!$A$2:$A$1295,0))),"NODE NOT FOUND"))</f>
        <v>EMEA</v>
      </c>
      <c r="H584" s="7" t="str">
        <f aca="false">IF($D584="","",IFERROR(IF(INDEX(Hierarchy!$E$2:$E$1295,MATCH($D584,Hierarchy!$A$2:$A$1295,0))="","",INDEX(Hierarchy!$E$2:$E$1295,MATCH($D584,Hierarchy!$A$2:$A$1295,0))),"NODE NOT FOUND"))</f>
        <v>Europe</v>
      </c>
      <c r="I584" s="7" t="str">
        <f aca="false">IF($D584="","",IFERROR(IF(INDEX(Hierarchy!$F$2:$F$1295,MATCH($D584,Hierarchy!$A$2:$A$1295,0))="","",INDEX(Hierarchy!$F$2:$F$1295,MATCH($D584,Hierarchy!$A$2:$A$1295,0))),"NODE NOT FOUND"))</f>
        <v>France</v>
      </c>
      <c r="J584" s="7" t="str">
        <f aca="false">IF($D584="","",IFERROR(IF(INDEX(Hierarchy!$G$2:$G$1295,MATCH($D584,Hierarchy!$A$2:$A$1295,0))="","",INDEX(Hierarchy!$G$2:$G$1295,MATCH($D584,Hierarchy!$A$2:$A$1295,0))),"NODE NOT FOUND"))</f>
        <v>FRA</v>
      </c>
      <c r="K584" s="7" t="str">
        <f aca="false">IF($D584="","",IFERROR(IF(INDEX(Hierarchy!$H$2:$H$1295,MATCH($D584,Hierarchy!$A$2:$A$1295,0))="","",INDEX(Hierarchy!$H$2:$H$1295,MATCH($D584,Hierarchy!$A$2:$A$1295,0))),"NODE NOT FOUND"))</f>
        <v/>
      </c>
      <c r="L584" s="7" t="str">
        <f aca="false">IF($D584="","",IFERROR(IF(INDEX(Hierarchy!$I$2:$I$1295,MATCH($D584,Hierarchy!$A$2:$A$1295,0))="","",INDEX(Hierarchy!$I$2:$I$1295,MATCH($D584,Hierarchy!$A$2:$A$1295,0))),"NODE NOT FOUND"))</f>
        <v/>
      </c>
      <c r="M584" s="17" t="str">
        <f aca="false">IF(B584="Pre-seeded","Pre-seeded",IF(B584="Review 2026-09-16","Added from review",IF(C584="","New",IF(C584=D584,"","Changed"))))</f>
        <v/>
      </c>
      <c r="N584" s="7" t="str">
        <f aca="false">TRIM(SUBSTITUTE(SUBSTITUTE(SUBSTITUTE(" "&amp;TRIM(SUBSTITUTE(SUBSTITUTE(SUBSTITUTE(SUBSTITUTE(SUBSTITUTE(SUBSTITUTE(SUBSTITUTE(SUBSTITUTE(SUBSTITUTE(SUBSTITUTE(SUBSTITUTE(SUBSTITUTE(SUBSTITUTE(SUBSTITUTE(SUBSTITUTE(UPPER(TRIM(A584)),"[MEMBER]",""),"{MEMBER}",""),"[MEMBER}",""),"MEMBER]",""),"(A)",""),"""",""),"“",""),"”",""),".",""),":",""),",",""),"–"," "),"-"," "),"/"," "),"&amp;"," AND "))&amp;" "," THE "," ")," TOTAL "," ")," OPERATIONS "," "))</f>
        <v>FRANCE</v>
      </c>
      <c r="O584" s="17" t="str">
        <f aca="false">IF(COUNTIFS($N$2:$N$2000,N584,$D$2:$D$2000,"&lt;&gt;"&amp;D584)&gt;0,"CONFLICT","")</f>
        <v/>
      </c>
      <c r="P584" s="7"/>
    </row>
    <row r="585" customFormat="false" ht="15" hidden="false" customHeight="false" outlineLevel="0" collapsed="false">
      <c r="A585" s="7" t="s">
        <v>2198</v>
      </c>
      <c r="B585" s="7" t="s">
        <v>1882</v>
      </c>
      <c r="C585" s="7" t="s">
        <v>714</v>
      </c>
      <c r="D585" s="6" t="s">
        <v>714</v>
      </c>
      <c r="E585" s="6" t="s">
        <v>1880</v>
      </c>
      <c r="F585" s="7" t="str">
        <f aca="false">IF($D585="","",IFERROR(IF(INDEX(Hierarchy!$B$2:$B$1295,MATCH($D585,Hierarchy!$A$2:$A$1295,0))="","",INDEX(Hierarchy!$B$2:$B$1295,MATCH($D585,Hierarchy!$A$2:$A$1295,0))),"NODE NOT FOUND"))</f>
        <v>Country</v>
      </c>
      <c r="G585" s="7" t="str">
        <f aca="false">IF($D585="","",IFERROR(IF(INDEX(Hierarchy!$D$2:$D$1295,MATCH($D585,Hierarchy!$A$2:$A$1295,0))="","",INDEX(Hierarchy!$D$2:$D$1295,MATCH($D585,Hierarchy!$A$2:$A$1295,0))),"NODE NOT FOUND"))</f>
        <v>EMEA</v>
      </c>
      <c r="H585" s="7" t="str">
        <f aca="false">IF($D585="","",IFERROR(IF(INDEX(Hierarchy!$E$2:$E$1295,MATCH($D585,Hierarchy!$A$2:$A$1295,0))="","",INDEX(Hierarchy!$E$2:$E$1295,MATCH($D585,Hierarchy!$A$2:$A$1295,0))),"NODE NOT FOUND"))</f>
        <v>Europe</v>
      </c>
      <c r="I585" s="7" t="str">
        <f aca="false">IF($D585="","",IFERROR(IF(INDEX(Hierarchy!$F$2:$F$1295,MATCH($D585,Hierarchy!$A$2:$A$1295,0))="","",INDEX(Hierarchy!$F$2:$F$1295,MATCH($D585,Hierarchy!$A$2:$A$1295,0))),"NODE NOT FOUND"))</f>
        <v>France</v>
      </c>
      <c r="J585" s="7" t="str">
        <f aca="false">IF($D585="","",IFERROR(IF(INDEX(Hierarchy!$G$2:$G$1295,MATCH($D585,Hierarchy!$A$2:$A$1295,0))="","",INDEX(Hierarchy!$G$2:$G$1295,MATCH($D585,Hierarchy!$A$2:$A$1295,0))),"NODE NOT FOUND"))</f>
        <v>FRA</v>
      </c>
      <c r="K585" s="7" t="str">
        <f aca="false">IF($D585="","",IFERROR(IF(INDEX(Hierarchy!$H$2:$H$1295,MATCH($D585,Hierarchy!$A$2:$A$1295,0))="","",INDEX(Hierarchy!$H$2:$H$1295,MATCH($D585,Hierarchy!$A$2:$A$1295,0))),"NODE NOT FOUND"))</f>
        <v/>
      </c>
      <c r="L585" s="7" t="str">
        <f aca="false">IF($D585="","",IFERROR(IF(INDEX(Hierarchy!$I$2:$I$1295,MATCH($D585,Hierarchy!$A$2:$A$1295,0))="","",INDEX(Hierarchy!$I$2:$I$1295,MATCH($D585,Hierarchy!$A$2:$A$1295,0))),"NODE NOT FOUND"))</f>
        <v/>
      </c>
      <c r="M585" s="17" t="str">
        <f aca="false">IF(B585="Pre-seeded","Pre-seeded",IF(B585="Review 2026-09-16","Added from review",IF(C585="","New",IF(C585=D585,"","Changed"))))</f>
        <v/>
      </c>
      <c r="N585" s="7" t="str">
        <f aca="false">TRIM(SUBSTITUTE(SUBSTITUTE(SUBSTITUTE(" "&amp;TRIM(SUBSTITUTE(SUBSTITUTE(SUBSTITUTE(SUBSTITUTE(SUBSTITUTE(SUBSTITUTE(SUBSTITUTE(SUBSTITUTE(SUBSTITUTE(SUBSTITUTE(SUBSTITUTE(SUBSTITUTE(SUBSTITUTE(SUBSTITUTE(SUBSTITUTE(UPPER(TRIM(A585)),"[MEMBER]",""),"{MEMBER}",""),"[MEMBER}",""),"MEMBER]",""),"(A)",""),"""",""),"“",""),"”",""),".",""),":",""),",",""),"–"," "),"-"," "),"/"," "),"&amp;"," AND "))&amp;" "," THE "," ")," TOTAL "," ")," OPERATIONS "," "))</f>
        <v>FRANCE</v>
      </c>
      <c r="O585" s="17" t="str">
        <f aca="false">IF(COUNTIFS($N$2:$N$2000,N585,$D$2:$D$2000,"&lt;&gt;"&amp;D585)&gt;0,"CONFLICT","")</f>
        <v/>
      </c>
      <c r="P585" s="7"/>
    </row>
    <row r="586" customFormat="false" ht="15" hidden="false" customHeight="false" outlineLevel="0" collapsed="false">
      <c r="A586" s="7" t="s">
        <v>1116</v>
      </c>
      <c r="B586" s="7" t="s">
        <v>1879</v>
      </c>
      <c r="C586" s="7"/>
      <c r="D586" s="6" t="s">
        <v>1116</v>
      </c>
      <c r="E586" s="6" t="s">
        <v>1880</v>
      </c>
      <c r="F586" s="7" t="str">
        <f aca="false">IF($D586="","",IFERROR(IF(INDEX(Hierarchy!$B$2:$B$1295,MATCH($D586,Hierarchy!$A$2:$A$1295,0))="","",INDEX(Hierarchy!$B$2:$B$1295,MATCH($D586,Hierarchy!$A$2:$A$1295,0))),"NODE NOT FOUND"))</f>
        <v>State/Province</v>
      </c>
      <c r="G586" s="7" t="str">
        <f aca="false">IF($D586="","",IFERROR(IF(INDEX(Hierarchy!$D$2:$D$1295,MATCH($D586,Hierarchy!$A$2:$A$1295,0))="","",INDEX(Hierarchy!$D$2:$D$1295,MATCH($D586,Hierarchy!$A$2:$A$1295,0))),"NODE NOT FOUND"))</f>
        <v>EMEA</v>
      </c>
      <c r="H586" s="7" t="str">
        <f aca="false">IF($D586="","",IFERROR(IF(INDEX(Hierarchy!$E$2:$E$1295,MATCH($D586,Hierarchy!$A$2:$A$1295,0))="","",INDEX(Hierarchy!$E$2:$E$1295,MATCH($D586,Hierarchy!$A$2:$A$1295,0))),"NODE NOT FOUND"))</f>
        <v>Africa</v>
      </c>
      <c r="I586" s="7" t="str">
        <f aca="false">IF($D586="","",IFERROR(IF(INDEX(Hierarchy!$F$2:$F$1295,MATCH($D586,Hierarchy!$A$2:$A$1295,0))="","",INDEX(Hierarchy!$F$2:$F$1295,MATCH($D586,Hierarchy!$A$2:$A$1295,0))),"NODE NOT FOUND"))</f>
        <v>South Africa</v>
      </c>
      <c r="J586" s="7" t="str">
        <f aca="false">IF($D586="","",IFERROR(IF(INDEX(Hierarchy!$G$2:$G$1295,MATCH($D586,Hierarchy!$A$2:$A$1295,0))="","",INDEX(Hierarchy!$G$2:$G$1295,MATCH($D586,Hierarchy!$A$2:$A$1295,0))),"NODE NOT FOUND"))</f>
        <v>ZAF</v>
      </c>
      <c r="K586" s="7" t="str">
        <f aca="false">IF($D586="","",IFERROR(IF(INDEX(Hierarchy!$H$2:$H$1295,MATCH($D586,Hierarchy!$A$2:$A$1295,0))="","",INDEX(Hierarchy!$H$2:$H$1295,MATCH($D586,Hierarchy!$A$2:$A$1295,0))),"NODE NOT FOUND"))</f>
        <v>Free State</v>
      </c>
      <c r="L586" s="7" t="str">
        <f aca="false">IF($D586="","",IFERROR(IF(INDEX(Hierarchy!$I$2:$I$1295,MATCH($D586,Hierarchy!$A$2:$A$1295,0))="","",INDEX(Hierarchy!$I$2:$I$1295,MATCH($D586,Hierarchy!$A$2:$A$1295,0))),"NODE NOT FOUND"))</f>
        <v/>
      </c>
      <c r="M586" s="17" t="str">
        <f aca="false">IF(B586="Pre-seeded","Pre-seeded",IF(B586="Review 2026-09-16","Added from review",IF(C586="","New",IF(C586=D586,"","Changed"))))</f>
        <v>Pre-seeded</v>
      </c>
      <c r="N586" s="7" t="str">
        <f aca="false">TRIM(SUBSTITUTE(SUBSTITUTE(SUBSTITUTE(" "&amp;TRIM(SUBSTITUTE(SUBSTITUTE(SUBSTITUTE(SUBSTITUTE(SUBSTITUTE(SUBSTITUTE(SUBSTITUTE(SUBSTITUTE(SUBSTITUTE(SUBSTITUTE(SUBSTITUTE(SUBSTITUTE(SUBSTITUTE(SUBSTITUTE(SUBSTITUTE(UPPER(TRIM(A586)),"[MEMBER]",""),"{MEMBER}",""),"[MEMBER}",""),"MEMBER]",""),"(A)",""),"""",""),"“",""),"”",""),".",""),":",""),",",""),"–"," "),"-"," "),"/"," "),"&amp;"," AND "))&amp;" "," THE "," ")," TOTAL "," ")," OPERATIONS "," "))</f>
        <v>FREE STATE</v>
      </c>
      <c r="O586" s="17" t="str">
        <f aca="false">IF(COUNTIFS($N$2:$N$2000,N586,$D$2:$D$2000,"&lt;&gt;"&amp;D586)&gt;0,"CONFLICT","")</f>
        <v/>
      </c>
      <c r="P586" s="7"/>
    </row>
    <row r="587" customFormat="false" ht="15" hidden="false" customHeight="false" outlineLevel="0" collapsed="false">
      <c r="A587" s="7" t="s">
        <v>557</v>
      </c>
      <c r="B587" s="7" t="s">
        <v>1879</v>
      </c>
      <c r="C587" s="7"/>
      <c r="D587" s="6" t="s">
        <v>557</v>
      </c>
      <c r="E587" s="6" t="s">
        <v>1880</v>
      </c>
      <c r="F587" s="7" t="str">
        <f aca="false">IF($D587="","",IFERROR(IF(INDEX(Hierarchy!$B$2:$B$1295,MATCH($D587,Hierarchy!$A$2:$A$1295,0))="","",INDEX(Hierarchy!$B$2:$B$1295,MATCH($D587,Hierarchy!$A$2:$A$1295,0))),"NODE NOT FOUND"))</f>
        <v>Country</v>
      </c>
      <c r="G587" s="7" t="str">
        <f aca="false">IF($D587="","",IFERROR(IF(INDEX(Hierarchy!$D$2:$D$1295,MATCH($D587,Hierarchy!$A$2:$A$1295,0))="","",INDEX(Hierarchy!$D$2:$D$1295,MATCH($D587,Hierarchy!$A$2:$A$1295,0))),"NODE NOT FOUND"))</f>
        <v>AMER</v>
      </c>
      <c r="H587" s="7" t="str">
        <f aca="false">IF($D587="","",IFERROR(IF(INDEX(Hierarchy!$E$2:$E$1295,MATCH($D587,Hierarchy!$A$2:$A$1295,0))="","",INDEX(Hierarchy!$E$2:$E$1295,MATCH($D587,Hierarchy!$A$2:$A$1295,0))),"NODE NOT FOUND"))</f>
        <v>Latin America (LATAM)</v>
      </c>
      <c r="I587" s="7" t="str">
        <f aca="false">IF($D587="","",IFERROR(IF(INDEX(Hierarchy!$F$2:$F$1295,MATCH($D587,Hierarchy!$A$2:$A$1295,0))="","",INDEX(Hierarchy!$F$2:$F$1295,MATCH($D587,Hierarchy!$A$2:$A$1295,0))),"NODE NOT FOUND"))</f>
        <v>French Guiana</v>
      </c>
      <c r="J587" s="7" t="str">
        <f aca="false">IF($D587="","",IFERROR(IF(INDEX(Hierarchy!$G$2:$G$1295,MATCH($D587,Hierarchy!$A$2:$A$1295,0))="","",INDEX(Hierarchy!$G$2:$G$1295,MATCH($D587,Hierarchy!$A$2:$A$1295,0))),"NODE NOT FOUND"))</f>
        <v>GUF</v>
      </c>
      <c r="K587" s="7" t="str">
        <f aca="false">IF($D587="","",IFERROR(IF(INDEX(Hierarchy!$H$2:$H$1295,MATCH($D587,Hierarchy!$A$2:$A$1295,0))="","",INDEX(Hierarchy!$H$2:$H$1295,MATCH($D587,Hierarchy!$A$2:$A$1295,0))),"NODE NOT FOUND"))</f>
        <v/>
      </c>
      <c r="L587" s="7" t="str">
        <f aca="false">IF($D587="","",IFERROR(IF(INDEX(Hierarchy!$I$2:$I$1295,MATCH($D587,Hierarchy!$A$2:$A$1295,0))="","",INDEX(Hierarchy!$I$2:$I$1295,MATCH($D587,Hierarchy!$A$2:$A$1295,0))),"NODE NOT FOUND"))</f>
        <v/>
      </c>
      <c r="M587" s="17" t="str">
        <f aca="false">IF(B587="Pre-seeded","Pre-seeded",IF(B587="Review 2026-09-16","Added from review",IF(C587="","New",IF(C587=D587,"","Changed"))))</f>
        <v>Pre-seeded</v>
      </c>
      <c r="N587" s="7" t="str">
        <f aca="false">TRIM(SUBSTITUTE(SUBSTITUTE(SUBSTITUTE(" "&amp;TRIM(SUBSTITUTE(SUBSTITUTE(SUBSTITUTE(SUBSTITUTE(SUBSTITUTE(SUBSTITUTE(SUBSTITUTE(SUBSTITUTE(SUBSTITUTE(SUBSTITUTE(SUBSTITUTE(SUBSTITUTE(SUBSTITUTE(SUBSTITUTE(SUBSTITUTE(UPPER(TRIM(A587)),"[MEMBER]",""),"{MEMBER}",""),"[MEMBER}",""),"MEMBER]",""),"(A)",""),"""",""),"“",""),"”",""),".",""),":",""),",",""),"–"," "),"-"," "),"/"," "),"&amp;"," AND "))&amp;" "," THE "," ")," TOTAL "," ")," OPERATIONS "," "))</f>
        <v>FRENCH GUIANA</v>
      </c>
      <c r="O587" s="17" t="str">
        <f aca="false">IF(COUNTIFS($N$2:$N$2000,N587,$D$2:$D$2000,"&lt;&gt;"&amp;D587)&gt;0,"CONFLICT","")</f>
        <v/>
      </c>
      <c r="P587" s="7"/>
    </row>
    <row r="588" customFormat="false" ht="15" hidden="false" customHeight="false" outlineLevel="0" collapsed="false">
      <c r="A588" s="7" t="s">
        <v>1747</v>
      </c>
      <c r="B588" s="7" t="s">
        <v>1879</v>
      </c>
      <c r="C588" s="7"/>
      <c r="D588" s="6" t="s">
        <v>1747</v>
      </c>
      <c r="E588" s="6" t="s">
        <v>1880</v>
      </c>
      <c r="F588" s="7" t="str">
        <f aca="false">IF($D588="","",IFERROR(IF(INDEX(Hierarchy!$B$2:$B$1295,MATCH($D588,Hierarchy!$A$2:$A$1295,0))="","",INDEX(Hierarchy!$B$2:$B$1295,MATCH($D588,Hierarchy!$A$2:$A$1295,0))),"NODE NOT FOUND"))</f>
        <v>Country</v>
      </c>
      <c r="G588" s="7" t="str">
        <f aca="false">IF($D588="","",IFERROR(IF(INDEX(Hierarchy!$D$2:$D$1295,MATCH($D588,Hierarchy!$A$2:$A$1295,0))="","",INDEX(Hierarchy!$D$2:$D$1295,MATCH($D588,Hierarchy!$A$2:$A$1295,0))),"NODE NOT FOUND"))</f>
        <v>APAC</v>
      </c>
      <c r="H588" s="7" t="str">
        <f aca="false">IF($D588="","",IFERROR(IF(INDEX(Hierarchy!$E$2:$E$1295,MATCH($D588,Hierarchy!$A$2:$A$1295,0))="","",INDEX(Hierarchy!$E$2:$E$1295,MATCH($D588,Hierarchy!$A$2:$A$1295,0))),"NODE NOT FOUND"))</f>
        <v>Oceania (ANZ)</v>
      </c>
      <c r="I588" s="7" t="str">
        <f aca="false">IF($D588="","",IFERROR(IF(INDEX(Hierarchy!$F$2:$F$1295,MATCH($D588,Hierarchy!$A$2:$A$1295,0))="","",INDEX(Hierarchy!$F$2:$F$1295,MATCH($D588,Hierarchy!$A$2:$A$1295,0))),"NODE NOT FOUND"))</f>
        <v>French Polynesia</v>
      </c>
      <c r="J588" s="7" t="str">
        <f aca="false">IF($D588="","",IFERROR(IF(INDEX(Hierarchy!$G$2:$G$1295,MATCH($D588,Hierarchy!$A$2:$A$1295,0))="","",INDEX(Hierarchy!$G$2:$G$1295,MATCH($D588,Hierarchy!$A$2:$A$1295,0))),"NODE NOT FOUND"))</f>
        <v>PYF</v>
      </c>
      <c r="K588" s="7" t="str">
        <f aca="false">IF($D588="","",IFERROR(IF(INDEX(Hierarchy!$H$2:$H$1295,MATCH($D588,Hierarchy!$A$2:$A$1295,0))="","",INDEX(Hierarchy!$H$2:$H$1295,MATCH($D588,Hierarchy!$A$2:$A$1295,0))),"NODE NOT FOUND"))</f>
        <v/>
      </c>
      <c r="L588" s="7" t="str">
        <f aca="false">IF($D588="","",IFERROR(IF(INDEX(Hierarchy!$I$2:$I$1295,MATCH($D588,Hierarchy!$A$2:$A$1295,0))="","",INDEX(Hierarchy!$I$2:$I$1295,MATCH($D588,Hierarchy!$A$2:$A$1295,0))),"NODE NOT FOUND"))</f>
        <v/>
      </c>
      <c r="M588" s="17" t="str">
        <f aca="false">IF(B588="Pre-seeded","Pre-seeded",IF(B588="Review 2026-09-16","Added from review",IF(C588="","New",IF(C588=D588,"","Changed"))))</f>
        <v>Pre-seeded</v>
      </c>
      <c r="N588" s="7" t="str">
        <f aca="false">TRIM(SUBSTITUTE(SUBSTITUTE(SUBSTITUTE(" "&amp;TRIM(SUBSTITUTE(SUBSTITUTE(SUBSTITUTE(SUBSTITUTE(SUBSTITUTE(SUBSTITUTE(SUBSTITUTE(SUBSTITUTE(SUBSTITUTE(SUBSTITUTE(SUBSTITUTE(SUBSTITUTE(SUBSTITUTE(SUBSTITUTE(SUBSTITUTE(UPPER(TRIM(A588)),"[MEMBER]",""),"{MEMBER}",""),"[MEMBER}",""),"MEMBER]",""),"(A)",""),"""",""),"“",""),"”",""),".",""),":",""),",",""),"–"," "),"-"," "),"/"," "),"&amp;"," AND "))&amp;" "," THE "," ")," TOTAL "," ")," OPERATIONS "," "))</f>
        <v>FRENCH POLYNESIA</v>
      </c>
      <c r="O588" s="17" t="str">
        <f aca="false">IF(COUNTIFS($N$2:$N$2000,N588,$D$2:$D$2000,"&lt;&gt;"&amp;D588)&gt;0,"CONFLICT","")</f>
        <v/>
      </c>
      <c r="P588" s="7"/>
    </row>
    <row r="589" customFormat="false" ht="15" hidden="false" customHeight="false" outlineLevel="0" collapsed="false">
      <c r="A589" s="7" t="s">
        <v>2199</v>
      </c>
      <c r="B589" s="7" t="s">
        <v>1879</v>
      </c>
      <c r="C589" s="7"/>
      <c r="D589" s="6" t="s">
        <v>714</v>
      </c>
      <c r="E589" s="6" t="s">
        <v>1880</v>
      </c>
      <c r="F589" s="7" t="str">
        <f aca="false">IF($D589="","",IFERROR(IF(INDEX(Hierarchy!$B$2:$B$1295,MATCH($D589,Hierarchy!$A$2:$A$1295,0))="","",INDEX(Hierarchy!$B$2:$B$1295,MATCH($D589,Hierarchy!$A$2:$A$1295,0))),"NODE NOT FOUND"))</f>
        <v>Country</v>
      </c>
      <c r="G589" s="7" t="str">
        <f aca="false">IF($D589="","",IFERROR(IF(INDEX(Hierarchy!$D$2:$D$1295,MATCH($D589,Hierarchy!$A$2:$A$1295,0))="","",INDEX(Hierarchy!$D$2:$D$1295,MATCH($D589,Hierarchy!$A$2:$A$1295,0))),"NODE NOT FOUND"))</f>
        <v>EMEA</v>
      </c>
      <c r="H589" s="7" t="str">
        <f aca="false">IF($D589="","",IFERROR(IF(INDEX(Hierarchy!$E$2:$E$1295,MATCH($D589,Hierarchy!$A$2:$A$1295,0))="","",INDEX(Hierarchy!$E$2:$E$1295,MATCH($D589,Hierarchy!$A$2:$A$1295,0))),"NODE NOT FOUND"))</f>
        <v>Europe</v>
      </c>
      <c r="I589" s="7" t="str">
        <f aca="false">IF($D589="","",IFERROR(IF(INDEX(Hierarchy!$F$2:$F$1295,MATCH($D589,Hierarchy!$A$2:$A$1295,0))="","",INDEX(Hierarchy!$F$2:$F$1295,MATCH($D589,Hierarchy!$A$2:$A$1295,0))),"NODE NOT FOUND"))</f>
        <v>France</v>
      </c>
      <c r="J589" s="7" t="str">
        <f aca="false">IF($D589="","",IFERROR(IF(INDEX(Hierarchy!$G$2:$G$1295,MATCH($D589,Hierarchy!$A$2:$A$1295,0))="","",INDEX(Hierarchy!$G$2:$G$1295,MATCH($D589,Hierarchy!$A$2:$A$1295,0))),"NODE NOT FOUND"))</f>
        <v>FRA</v>
      </c>
      <c r="K589" s="7" t="str">
        <f aca="false">IF($D589="","",IFERROR(IF(INDEX(Hierarchy!$H$2:$H$1295,MATCH($D589,Hierarchy!$A$2:$A$1295,0))="","",INDEX(Hierarchy!$H$2:$H$1295,MATCH($D589,Hierarchy!$A$2:$A$1295,0))),"NODE NOT FOUND"))</f>
        <v/>
      </c>
      <c r="L589" s="7" t="str">
        <f aca="false">IF($D589="","",IFERROR(IF(INDEX(Hierarchy!$I$2:$I$1295,MATCH($D589,Hierarchy!$A$2:$A$1295,0))="","",INDEX(Hierarchy!$I$2:$I$1295,MATCH($D589,Hierarchy!$A$2:$A$1295,0))),"NODE NOT FOUND"))</f>
        <v/>
      </c>
      <c r="M589" s="17" t="str">
        <f aca="false">IF(B589="Pre-seeded","Pre-seeded",IF(B589="Review 2026-09-16","Added from review",IF(C589="","New",IF(C589=D589,"","Changed"))))</f>
        <v>Pre-seeded</v>
      </c>
      <c r="N589" s="7" t="str">
        <f aca="false">TRIM(SUBSTITUTE(SUBSTITUTE(SUBSTITUTE(" "&amp;TRIM(SUBSTITUTE(SUBSTITUTE(SUBSTITUTE(SUBSTITUTE(SUBSTITUTE(SUBSTITUTE(SUBSTITUTE(SUBSTITUTE(SUBSTITUTE(SUBSTITUTE(SUBSTITUTE(SUBSTITUTE(SUBSTITUTE(SUBSTITUTE(SUBSTITUTE(UPPER(TRIM(A589)),"[MEMBER]",""),"{MEMBER}",""),"[MEMBER}",""),"MEMBER]",""),"(A)",""),"""",""),"“",""),"”",""),".",""),":",""),",",""),"–"," "),"-"," "),"/"," "),"&amp;"," AND "))&amp;" "," THE "," ")," TOTAL "," ")," OPERATIONS "," "))</f>
        <v>FRENCH REPUBLIC</v>
      </c>
      <c r="O589" s="17" t="str">
        <f aca="false">IF(COUNTIFS($N$2:$N$2000,N589,$D$2:$D$2000,"&lt;&gt;"&amp;D589)&gt;0,"CONFLICT","")</f>
        <v/>
      </c>
      <c r="P589" s="7" t="s">
        <v>1936</v>
      </c>
    </row>
    <row r="590" customFormat="false" ht="15" hidden="false" customHeight="false" outlineLevel="0" collapsed="false">
      <c r="A590" s="7" t="s">
        <v>988</v>
      </c>
      <c r="B590" s="7" t="s">
        <v>1879</v>
      </c>
      <c r="C590" s="7"/>
      <c r="D590" s="6" t="s">
        <v>988</v>
      </c>
      <c r="E590" s="6" t="s">
        <v>1880</v>
      </c>
      <c r="F590" s="7" t="str">
        <f aca="false">IF($D590="","",IFERROR(IF(INDEX(Hierarchy!$B$2:$B$1295,MATCH($D590,Hierarchy!$A$2:$A$1295,0))="","",INDEX(Hierarchy!$B$2:$B$1295,MATCH($D590,Hierarchy!$A$2:$A$1295,0))),"NODE NOT FOUND"))</f>
        <v>State/Province</v>
      </c>
      <c r="G590" s="7" t="str">
        <f aca="false">IF($D590="","",IFERROR(IF(INDEX(Hierarchy!$D$2:$D$1295,MATCH($D590,Hierarchy!$A$2:$A$1295,0))="","",INDEX(Hierarchy!$D$2:$D$1295,MATCH($D590,Hierarchy!$A$2:$A$1295,0))),"NODE NOT FOUND"))</f>
        <v>EMEA</v>
      </c>
      <c r="H590" s="7" t="str">
        <f aca="false">IF($D590="","",IFERROR(IF(INDEX(Hierarchy!$E$2:$E$1295,MATCH($D590,Hierarchy!$A$2:$A$1295,0))="","",INDEX(Hierarchy!$E$2:$E$1295,MATCH($D590,Hierarchy!$A$2:$A$1295,0))),"NODE NOT FOUND"))</f>
        <v>Europe</v>
      </c>
      <c r="I590" s="7" t="str">
        <f aca="false">IF($D590="","",IFERROR(IF(INDEX(Hierarchy!$F$2:$F$1295,MATCH($D590,Hierarchy!$A$2:$A$1295,0))="","",INDEX(Hierarchy!$F$2:$F$1295,MATCH($D590,Hierarchy!$A$2:$A$1295,0))),"NODE NOT FOUND"))</f>
        <v>Switzerland</v>
      </c>
      <c r="J590" s="7" t="str">
        <f aca="false">IF($D590="","",IFERROR(IF(INDEX(Hierarchy!$G$2:$G$1295,MATCH($D590,Hierarchy!$A$2:$A$1295,0))="","",INDEX(Hierarchy!$G$2:$G$1295,MATCH($D590,Hierarchy!$A$2:$A$1295,0))),"NODE NOT FOUND"))</f>
        <v>CHE</v>
      </c>
      <c r="K590" s="7" t="str">
        <f aca="false">IF($D590="","",IFERROR(IF(INDEX(Hierarchy!$H$2:$H$1295,MATCH($D590,Hierarchy!$A$2:$A$1295,0))="","",INDEX(Hierarchy!$H$2:$H$1295,MATCH($D590,Hierarchy!$A$2:$A$1295,0))),"NODE NOT FOUND"))</f>
        <v>Fribourg</v>
      </c>
      <c r="L590" s="7" t="str">
        <f aca="false">IF($D590="","",IFERROR(IF(INDEX(Hierarchy!$I$2:$I$1295,MATCH($D590,Hierarchy!$A$2:$A$1295,0))="","",INDEX(Hierarchy!$I$2:$I$1295,MATCH($D590,Hierarchy!$A$2:$A$1295,0))),"NODE NOT FOUND"))</f>
        <v/>
      </c>
      <c r="M590" s="17" t="str">
        <f aca="false">IF(B590="Pre-seeded","Pre-seeded",IF(B590="Review 2026-09-16","Added from review",IF(C590="","New",IF(C590=D590,"","Changed"))))</f>
        <v>Pre-seeded</v>
      </c>
      <c r="N590" s="7" t="str">
        <f aca="false">TRIM(SUBSTITUTE(SUBSTITUTE(SUBSTITUTE(" "&amp;TRIM(SUBSTITUTE(SUBSTITUTE(SUBSTITUTE(SUBSTITUTE(SUBSTITUTE(SUBSTITUTE(SUBSTITUTE(SUBSTITUTE(SUBSTITUTE(SUBSTITUTE(SUBSTITUTE(SUBSTITUTE(SUBSTITUTE(SUBSTITUTE(SUBSTITUTE(UPPER(TRIM(A590)),"[MEMBER]",""),"{MEMBER}",""),"[MEMBER}",""),"MEMBER]",""),"(A)",""),"""",""),"“",""),"”",""),".",""),":",""),",",""),"–"," "),"-"," "),"/"," "),"&amp;"," AND "))&amp;" "," THE "," ")," TOTAL "," ")," OPERATIONS "," "))</f>
        <v>FRIBOURG</v>
      </c>
      <c r="O590" s="17" t="str">
        <f aca="false">IF(COUNTIFS($N$2:$N$2000,N590,$D$2:$D$2000,"&lt;&gt;"&amp;D590)&gt;0,"CONFLICT","")</f>
        <v/>
      </c>
      <c r="P590" s="7"/>
    </row>
    <row r="591" customFormat="false" ht="15" hidden="false" customHeight="false" outlineLevel="0" collapsed="false">
      <c r="A591" s="7" t="s">
        <v>887</v>
      </c>
      <c r="B591" s="7" t="s">
        <v>1879</v>
      </c>
      <c r="C591" s="7"/>
      <c r="D591" s="6" t="s">
        <v>887</v>
      </c>
      <c r="E591" s="6" t="s">
        <v>1880</v>
      </c>
      <c r="F591" s="7" t="str">
        <f aca="false">IF($D591="","",IFERROR(IF(INDEX(Hierarchy!$B$2:$B$1295,MATCH($D591,Hierarchy!$A$2:$A$1295,0))="","",INDEX(Hierarchy!$B$2:$B$1295,MATCH($D591,Hierarchy!$A$2:$A$1295,0))),"NODE NOT FOUND"))</f>
        <v>State/Province</v>
      </c>
      <c r="G591" s="7" t="str">
        <f aca="false">IF($D591="","",IFERROR(IF(INDEX(Hierarchy!$D$2:$D$1295,MATCH($D591,Hierarchy!$A$2:$A$1295,0))="","",INDEX(Hierarchy!$D$2:$D$1295,MATCH($D591,Hierarchy!$A$2:$A$1295,0))),"NODE NOT FOUND"))</f>
        <v>EMEA</v>
      </c>
      <c r="H591" s="7" t="str">
        <f aca="false">IF($D591="","",IFERROR(IF(INDEX(Hierarchy!$E$2:$E$1295,MATCH($D591,Hierarchy!$A$2:$A$1295,0))="","",INDEX(Hierarchy!$E$2:$E$1295,MATCH($D591,Hierarchy!$A$2:$A$1295,0))),"NODE NOT FOUND"))</f>
        <v>Europe</v>
      </c>
      <c r="I591" s="7" t="str">
        <f aca="false">IF($D591="","",IFERROR(IF(INDEX(Hierarchy!$F$2:$F$1295,MATCH($D591,Hierarchy!$A$2:$A$1295,0))="","",INDEX(Hierarchy!$F$2:$F$1295,MATCH($D591,Hierarchy!$A$2:$A$1295,0))),"NODE NOT FOUND"))</f>
        <v>Netherlands</v>
      </c>
      <c r="J591" s="7" t="str">
        <f aca="false">IF($D591="","",IFERROR(IF(INDEX(Hierarchy!$G$2:$G$1295,MATCH($D591,Hierarchy!$A$2:$A$1295,0))="","",INDEX(Hierarchy!$G$2:$G$1295,MATCH($D591,Hierarchy!$A$2:$A$1295,0))),"NODE NOT FOUND"))</f>
        <v>NLD</v>
      </c>
      <c r="K591" s="7" t="str">
        <f aca="false">IF($D591="","",IFERROR(IF(INDEX(Hierarchy!$H$2:$H$1295,MATCH($D591,Hierarchy!$A$2:$A$1295,0))="","",INDEX(Hierarchy!$H$2:$H$1295,MATCH($D591,Hierarchy!$A$2:$A$1295,0))),"NODE NOT FOUND"))</f>
        <v>Friesland</v>
      </c>
      <c r="L591" s="7" t="str">
        <f aca="false">IF($D591="","",IFERROR(IF(INDEX(Hierarchy!$I$2:$I$1295,MATCH($D591,Hierarchy!$A$2:$A$1295,0))="","",INDEX(Hierarchy!$I$2:$I$1295,MATCH($D591,Hierarchy!$A$2:$A$1295,0))),"NODE NOT FOUND"))</f>
        <v/>
      </c>
      <c r="M591" s="17" t="str">
        <f aca="false">IF(B591="Pre-seeded","Pre-seeded",IF(B591="Review 2026-09-16","Added from review",IF(C591="","New",IF(C591=D591,"","Changed"))))</f>
        <v>Pre-seeded</v>
      </c>
      <c r="N591" s="7" t="str">
        <f aca="false">TRIM(SUBSTITUTE(SUBSTITUTE(SUBSTITUTE(" "&amp;TRIM(SUBSTITUTE(SUBSTITUTE(SUBSTITUTE(SUBSTITUTE(SUBSTITUTE(SUBSTITUTE(SUBSTITUTE(SUBSTITUTE(SUBSTITUTE(SUBSTITUTE(SUBSTITUTE(SUBSTITUTE(SUBSTITUTE(SUBSTITUTE(SUBSTITUTE(UPPER(TRIM(A591)),"[MEMBER]",""),"{MEMBER}",""),"[MEMBER}",""),"MEMBER]",""),"(A)",""),"""",""),"“",""),"”",""),".",""),":",""),",",""),"–"," "),"-"," "),"/"," "),"&amp;"," AND "))&amp;" "," THE "," ")," TOTAL "," ")," OPERATIONS "," "))</f>
        <v>FRIESLAND</v>
      </c>
      <c r="O591" s="17" t="str">
        <f aca="false">IF(COUNTIFS($N$2:$N$2000,N591,$D$2:$D$2000,"&lt;&gt;"&amp;D591)&gt;0,"CONFLICT","")</f>
        <v/>
      </c>
      <c r="P591" s="7"/>
    </row>
    <row r="592" customFormat="false" ht="15" hidden="false" customHeight="false" outlineLevel="0" collapsed="false">
      <c r="A592" s="7" t="s">
        <v>839</v>
      </c>
      <c r="B592" s="7" t="s">
        <v>1879</v>
      </c>
      <c r="C592" s="7"/>
      <c r="D592" s="6" t="s">
        <v>839</v>
      </c>
      <c r="E592" s="6" t="s">
        <v>1880</v>
      </c>
      <c r="F592" s="7" t="str">
        <f aca="false">IF($D592="","",IFERROR(IF(INDEX(Hierarchy!$B$2:$B$1295,MATCH($D592,Hierarchy!$A$2:$A$1295,0))="","",INDEX(Hierarchy!$B$2:$B$1295,MATCH($D592,Hierarchy!$A$2:$A$1295,0))),"NODE NOT FOUND"))</f>
        <v>State/Province</v>
      </c>
      <c r="G592" s="7" t="str">
        <f aca="false">IF($D592="","",IFERROR(IF(INDEX(Hierarchy!$D$2:$D$1295,MATCH($D592,Hierarchy!$A$2:$A$1295,0))="","",INDEX(Hierarchy!$D$2:$D$1295,MATCH($D592,Hierarchy!$A$2:$A$1295,0))),"NODE NOT FOUND"))</f>
        <v>EMEA</v>
      </c>
      <c r="H592" s="7" t="str">
        <f aca="false">IF($D592="","",IFERROR(IF(INDEX(Hierarchy!$E$2:$E$1295,MATCH($D592,Hierarchy!$A$2:$A$1295,0))="","",INDEX(Hierarchy!$E$2:$E$1295,MATCH($D592,Hierarchy!$A$2:$A$1295,0))),"NODE NOT FOUND"))</f>
        <v>Europe</v>
      </c>
      <c r="I592" s="7" t="str">
        <f aca="false">IF($D592="","",IFERROR(IF(INDEX(Hierarchy!$F$2:$F$1295,MATCH($D592,Hierarchy!$A$2:$A$1295,0))="","",INDEX(Hierarchy!$F$2:$F$1295,MATCH($D592,Hierarchy!$A$2:$A$1295,0))),"NODE NOT FOUND"))</f>
        <v>Italy</v>
      </c>
      <c r="J592" s="7" t="str">
        <f aca="false">IF($D592="","",IFERROR(IF(INDEX(Hierarchy!$G$2:$G$1295,MATCH($D592,Hierarchy!$A$2:$A$1295,0))="","",INDEX(Hierarchy!$G$2:$G$1295,MATCH($D592,Hierarchy!$A$2:$A$1295,0))),"NODE NOT FOUND"))</f>
        <v>ITA</v>
      </c>
      <c r="K592" s="7" t="str">
        <f aca="false">IF($D592="","",IFERROR(IF(INDEX(Hierarchy!$H$2:$H$1295,MATCH($D592,Hierarchy!$A$2:$A$1295,0))="","",INDEX(Hierarchy!$H$2:$H$1295,MATCH($D592,Hierarchy!$A$2:$A$1295,0))),"NODE NOT FOUND"))</f>
        <v>Friuli-Venezia Giulia</v>
      </c>
      <c r="L592" s="7" t="str">
        <f aca="false">IF($D592="","",IFERROR(IF(INDEX(Hierarchy!$I$2:$I$1295,MATCH($D592,Hierarchy!$A$2:$A$1295,0))="","",INDEX(Hierarchy!$I$2:$I$1295,MATCH($D592,Hierarchy!$A$2:$A$1295,0))),"NODE NOT FOUND"))</f>
        <v/>
      </c>
      <c r="M592" s="17" t="str">
        <f aca="false">IF(B592="Pre-seeded","Pre-seeded",IF(B592="Review 2026-09-16","Added from review",IF(C592="","New",IF(C592=D592,"","Changed"))))</f>
        <v>Pre-seeded</v>
      </c>
      <c r="N592" s="7" t="str">
        <f aca="false">TRIM(SUBSTITUTE(SUBSTITUTE(SUBSTITUTE(" "&amp;TRIM(SUBSTITUTE(SUBSTITUTE(SUBSTITUTE(SUBSTITUTE(SUBSTITUTE(SUBSTITUTE(SUBSTITUTE(SUBSTITUTE(SUBSTITUTE(SUBSTITUTE(SUBSTITUTE(SUBSTITUTE(SUBSTITUTE(SUBSTITUTE(SUBSTITUTE(UPPER(TRIM(A592)),"[MEMBER]",""),"{MEMBER}",""),"[MEMBER}",""),"MEMBER]",""),"(A)",""),"""",""),"“",""),"”",""),".",""),":",""),",",""),"–"," "),"-"," "),"/"," "),"&amp;"," AND "))&amp;" "," THE "," ")," TOTAL "," ")," OPERATIONS "," "))</f>
        <v>FRIULI VENEZIA GIULIA</v>
      </c>
      <c r="O592" s="17" t="str">
        <f aca="false">IF(COUNTIFS($N$2:$N$2000,N592,$D$2:$D$2000,"&lt;&gt;"&amp;D592)&gt;0,"CONFLICT","")</f>
        <v/>
      </c>
      <c r="P592" s="7"/>
    </row>
    <row r="593" customFormat="false" ht="15" hidden="false" customHeight="false" outlineLevel="0" collapsed="false">
      <c r="A593" s="7" t="s">
        <v>2200</v>
      </c>
      <c r="B593" s="7" t="s">
        <v>1879</v>
      </c>
      <c r="C593" s="7"/>
      <c r="D593" s="6" t="s">
        <v>1812</v>
      </c>
      <c r="E593" s="6" t="s">
        <v>1880</v>
      </c>
      <c r="F593" s="7" t="str">
        <f aca="false">IF($D593="","",IFERROR(IF(INDEX(Hierarchy!$B$2:$B$1295,MATCH($D593,Hierarchy!$A$2:$A$1295,0))="","",INDEX(Hierarchy!$B$2:$B$1295,MATCH($D593,Hierarchy!$A$2:$A$1295,0))),"NODE NOT FOUND"))</f>
        <v>Market grouping</v>
      </c>
      <c r="G593" s="7" t="str">
        <f aca="false">IF($D593="","",IFERROR(IF(INDEX(Hierarchy!$D$2:$D$1295,MATCH($D593,Hierarchy!$A$2:$A$1295,0))="","",INDEX(Hierarchy!$D$2:$D$1295,MATCH($D593,Hierarchy!$A$2:$A$1295,0))),"NODE NOT FOUND"))</f>
        <v>Market grouping</v>
      </c>
      <c r="H593" s="7" t="str">
        <f aca="false">IF($D593="","",IFERROR(IF(INDEX(Hierarchy!$E$2:$E$1295,MATCH($D593,Hierarchy!$A$2:$A$1295,0))="","",INDEX(Hierarchy!$E$2:$E$1295,MATCH($D593,Hierarchy!$A$2:$A$1295,0))),"NODE NOT FOUND"))</f>
        <v/>
      </c>
      <c r="I593" s="7" t="str">
        <f aca="false">IF($D593="","",IFERROR(IF(INDEX(Hierarchy!$F$2:$F$1295,MATCH($D593,Hierarchy!$A$2:$A$1295,0))="","",INDEX(Hierarchy!$F$2:$F$1295,MATCH($D593,Hierarchy!$A$2:$A$1295,0))),"NODE NOT FOUND"))</f>
        <v/>
      </c>
      <c r="J593" s="7" t="str">
        <f aca="false">IF($D593="","",IFERROR(IF(INDEX(Hierarchy!$G$2:$G$1295,MATCH($D593,Hierarchy!$A$2:$A$1295,0))="","",INDEX(Hierarchy!$G$2:$G$1295,MATCH($D593,Hierarchy!$A$2:$A$1295,0))),"NODE NOT FOUND"))</f>
        <v/>
      </c>
      <c r="K593" s="7" t="str">
        <f aca="false">IF($D593="","",IFERROR(IF(INDEX(Hierarchy!$H$2:$H$1295,MATCH($D593,Hierarchy!$A$2:$A$1295,0))="","",INDEX(Hierarchy!$H$2:$H$1295,MATCH($D593,Hierarchy!$A$2:$A$1295,0))),"NODE NOT FOUND"))</f>
        <v/>
      </c>
      <c r="L593" s="7" t="str">
        <f aca="false">IF($D593="","",IFERROR(IF(INDEX(Hierarchy!$I$2:$I$1295,MATCH($D593,Hierarchy!$A$2:$A$1295,0))="","",INDEX(Hierarchy!$I$2:$I$1295,MATCH($D593,Hierarchy!$A$2:$A$1295,0))),"NODE NOT FOUND"))</f>
        <v/>
      </c>
      <c r="M593" s="17" t="str">
        <f aca="false">IF(B593="Pre-seeded","Pre-seeded",IF(B593="Review 2026-09-16","Added from review",IF(C593="","New",IF(C593=D593,"","Changed"))))</f>
        <v>Pre-seeded</v>
      </c>
      <c r="N593" s="7" t="str">
        <f aca="false">TRIM(SUBSTITUTE(SUBSTITUTE(SUBSTITUTE(" "&amp;TRIM(SUBSTITUTE(SUBSTITUTE(SUBSTITUTE(SUBSTITUTE(SUBSTITUTE(SUBSTITUTE(SUBSTITUTE(SUBSTITUTE(SUBSTITUTE(SUBSTITUTE(SUBSTITUTE(SUBSTITUTE(SUBSTITUTE(SUBSTITUTE(SUBSTITUTE(UPPER(TRIM(A593)),"[MEMBER]",""),"{MEMBER}",""),"[MEMBER}",""),"MEMBER]",""),"(A)",""),"""",""),"“",""),"”",""),".",""),":",""),",",""),"–"," "),"-"," "),"/"," "),"&amp;"," AND "))&amp;" "," THE "," ")," TOTAL "," ")," OPERATIONS "," "))</f>
        <v>FRONTIER</v>
      </c>
      <c r="O593" s="17" t="str">
        <f aca="false">IF(COUNTIFS($N$2:$N$2000,N593,$D$2:$D$2000,"&lt;&gt;"&amp;D593)&gt;0,"CONFLICT","")</f>
        <v/>
      </c>
      <c r="P593" s="7"/>
    </row>
    <row r="594" customFormat="false" ht="15" hidden="false" customHeight="false" outlineLevel="0" collapsed="false">
      <c r="A594" s="7" t="s">
        <v>1042</v>
      </c>
      <c r="B594" s="7" t="s">
        <v>1879</v>
      </c>
      <c r="C594" s="7"/>
      <c r="D594" s="6" t="s">
        <v>1042</v>
      </c>
      <c r="E594" s="6" t="s">
        <v>1880</v>
      </c>
      <c r="F594" s="7" t="str">
        <f aca="false">IF($D594="","",IFERROR(IF(INDEX(Hierarchy!$B$2:$B$1295,MATCH($D594,Hierarchy!$A$2:$A$1295,0))="","",INDEX(Hierarchy!$B$2:$B$1295,MATCH($D594,Hierarchy!$A$2:$A$1295,0))),"NODE NOT FOUND"))</f>
        <v>State/Province</v>
      </c>
      <c r="G594" s="7" t="str">
        <f aca="false">IF($D594="","",IFERROR(IF(INDEX(Hierarchy!$D$2:$D$1295,MATCH($D594,Hierarchy!$A$2:$A$1295,0))="","",INDEX(Hierarchy!$D$2:$D$1295,MATCH($D594,Hierarchy!$A$2:$A$1295,0))),"NODE NOT FOUND"))</f>
        <v>EMEA</v>
      </c>
      <c r="H594" s="7" t="str">
        <f aca="false">IF($D594="","",IFERROR(IF(INDEX(Hierarchy!$E$2:$E$1295,MATCH($D594,Hierarchy!$A$2:$A$1295,0))="","",INDEX(Hierarchy!$E$2:$E$1295,MATCH($D594,Hierarchy!$A$2:$A$1295,0))),"NODE NOT FOUND"))</f>
        <v>Middle East</v>
      </c>
      <c r="I594" s="7" t="str">
        <f aca="false">IF($D594="","",IFERROR(IF(INDEX(Hierarchy!$F$2:$F$1295,MATCH($D594,Hierarchy!$A$2:$A$1295,0))="","",INDEX(Hierarchy!$F$2:$F$1295,MATCH($D594,Hierarchy!$A$2:$A$1295,0))),"NODE NOT FOUND"))</f>
        <v>United Arab Emirates</v>
      </c>
      <c r="J594" s="7" t="str">
        <f aca="false">IF($D594="","",IFERROR(IF(INDEX(Hierarchy!$G$2:$G$1295,MATCH($D594,Hierarchy!$A$2:$A$1295,0))="","",INDEX(Hierarchy!$G$2:$G$1295,MATCH($D594,Hierarchy!$A$2:$A$1295,0))),"NODE NOT FOUND"))</f>
        <v>ARE</v>
      </c>
      <c r="K594" s="7" t="str">
        <f aca="false">IF($D594="","",IFERROR(IF(INDEX(Hierarchy!$H$2:$H$1295,MATCH($D594,Hierarchy!$A$2:$A$1295,0))="","",INDEX(Hierarchy!$H$2:$H$1295,MATCH($D594,Hierarchy!$A$2:$A$1295,0))),"NODE NOT FOUND"))</f>
        <v>Fujairah</v>
      </c>
      <c r="L594" s="7" t="str">
        <f aca="false">IF($D594="","",IFERROR(IF(INDEX(Hierarchy!$I$2:$I$1295,MATCH($D594,Hierarchy!$A$2:$A$1295,0))="","",INDEX(Hierarchy!$I$2:$I$1295,MATCH($D594,Hierarchy!$A$2:$A$1295,0))),"NODE NOT FOUND"))</f>
        <v/>
      </c>
      <c r="M594" s="17" t="str">
        <f aca="false">IF(B594="Pre-seeded","Pre-seeded",IF(B594="Review 2026-09-16","Added from review",IF(C594="","New",IF(C594=D594,"","Changed"))))</f>
        <v>Pre-seeded</v>
      </c>
      <c r="N594" s="7" t="str">
        <f aca="false">TRIM(SUBSTITUTE(SUBSTITUTE(SUBSTITUTE(" "&amp;TRIM(SUBSTITUTE(SUBSTITUTE(SUBSTITUTE(SUBSTITUTE(SUBSTITUTE(SUBSTITUTE(SUBSTITUTE(SUBSTITUTE(SUBSTITUTE(SUBSTITUTE(SUBSTITUTE(SUBSTITUTE(SUBSTITUTE(SUBSTITUTE(SUBSTITUTE(UPPER(TRIM(A594)),"[MEMBER]",""),"{MEMBER}",""),"[MEMBER}",""),"MEMBER]",""),"(A)",""),"""",""),"“",""),"”",""),".",""),":",""),",",""),"–"," "),"-"," "),"/"," "),"&amp;"," AND "))&amp;" "," THE "," ")," TOTAL "," ")," OPERATIONS "," "))</f>
        <v>FUJAIRAH</v>
      </c>
      <c r="O594" s="17" t="str">
        <f aca="false">IF(COUNTIFS($N$2:$N$2000,N594,$D$2:$D$2000,"&lt;&gt;"&amp;D594)&gt;0,"CONFLICT","")</f>
        <v/>
      </c>
      <c r="P594" s="7"/>
    </row>
    <row r="595" customFormat="false" ht="15" hidden="false" customHeight="false" outlineLevel="0" collapsed="false">
      <c r="A595" s="7" t="s">
        <v>1503</v>
      </c>
      <c r="B595" s="7" t="s">
        <v>1879</v>
      </c>
      <c r="C595" s="7"/>
      <c r="D595" s="6" t="s">
        <v>1503</v>
      </c>
      <c r="E595" s="6" t="s">
        <v>1880</v>
      </c>
      <c r="F595" s="7" t="str">
        <f aca="false">IF($D595="","",IFERROR(IF(INDEX(Hierarchy!$B$2:$B$1295,MATCH($D595,Hierarchy!$A$2:$A$1295,0))="","",INDEX(Hierarchy!$B$2:$B$1295,MATCH($D595,Hierarchy!$A$2:$A$1295,0))),"NODE NOT FOUND"))</f>
        <v>State/Province</v>
      </c>
      <c r="G595" s="7" t="str">
        <f aca="false">IF($D595="","",IFERROR(IF(INDEX(Hierarchy!$D$2:$D$1295,MATCH($D595,Hierarchy!$A$2:$A$1295,0))="","",INDEX(Hierarchy!$D$2:$D$1295,MATCH($D595,Hierarchy!$A$2:$A$1295,0))),"NODE NOT FOUND"))</f>
        <v>APAC</v>
      </c>
      <c r="H595" s="7" t="str">
        <f aca="false">IF($D595="","",IFERROR(IF(INDEX(Hierarchy!$E$2:$E$1295,MATCH($D595,Hierarchy!$A$2:$A$1295,0))="","",INDEX(Hierarchy!$E$2:$E$1295,MATCH($D595,Hierarchy!$A$2:$A$1295,0))),"NODE NOT FOUND"))</f>
        <v>East Asia</v>
      </c>
      <c r="I595" s="7" t="str">
        <f aca="false">IF($D595="","",IFERROR(IF(INDEX(Hierarchy!$F$2:$F$1295,MATCH($D595,Hierarchy!$A$2:$A$1295,0))="","",INDEX(Hierarchy!$F$2:$F$1295,MATCH($D595,Hierarchy!$A$2:$A$1295,0))),"NODE NOT FOUND"))</f>
        <v>China</v>
      </c>
      <c r="J595" s="7" t="str">
        <f aca="false">IF($D595="","",IFERROR(IF(INDEX(Hierarchy!$G$2:$G$1295,MATCH($D595,Hierarchy!$A$2:$A$1295,0))="","",INDEX(Hierarchy!$G$2:$G$1295,MATCH($D595,Hierarchy!$A$2:$A$1295,0))),"NODE NOT FOUND"))</f>
        <v>CHN</v>
      </c>
      <c r="K595" s="7" t="str">
        <f aca="false">IF($D595="","",IFERROR(IF(INDEX(Hierarchy!$H$2:$H$1295,MATCH($D595,Hierarchy!$A$2:$A$1295,0))="","",INDEX(Hierarchy!$H$2:$H$1295,MATCH($D595,Hierarchy!$A$2:$A$1295,0))),"NODE NOT FOUND"))</f>
        <v>Fujian</v>
      </c>
      <c r="L595" s="7" t="str">
        <f aca="false">IF($D595="","",IFERROR(IF(INDEX(Hierarchy!$I$2:$I$1295,MATCH($D595,Hierarchy!$A$2:$A$1295,0))="","",INDEX(Hierarchy!$I$2:$I$1295,MATCH($D595,Hierarchy!$A$2:$A$1295,0))),"NODE NOT FOUND"))</f>
        <v/>
      </c>
      <c r="M595" s="17" t="str">
        <f aca="false">IF(B595="Pre-seeded","Pre-seeded",IF(B595="Review 2026-09-16","Added from review",IF(C595="","New",IF(C595=D595,"","Changed"))))</f>
        <v>Pre-seeded</v>
      </c>
      <c r="N595" s="7" t="str">
        <f aca="false">TRIM(SUBSTITUTE(SUBSTITUTE(SUBSTITUTE(" "&amp;TRIM(SUBSTITUTE(SUBSTITUTE(SUBSTITUTE(SUBSTITUTE(SUBSTITUTE(SUBSTITUTE(SUBSTITUTE(SUBSTITUTE(SUBSTITUTE(SUBSTITUTE(SUBSTITUTE(SUBSTITUTE(SUBSTITUTE(SUBSTITUTE(SUBSTITUTE(UPPER(TRIM(A595)),"[MEMBER]",""),"{MEMBER}",""),"[MEMBER}",""),"MEMBER]",""),"(A)",""),"""",""),"“",""),"”",""),".",""),":",""),",",""),"–"," "),"-"," "),"/"," "),"&amp;"," AND "))&amp;" "," THE "," ")," TOTAL "," ")," OPERATIONS "," "))</f>
        <v>FUJIAN</v>
      </c>
      <c r="O595" s="17" t="str">
        <f aca="false">IF(COUNTIFS($N$2:$N$2000,N595,$D$2:$D$2000,"&lt;&gt;"&amp;D595)&gt;0,"CONFLICT","")</f>
        <v/>
      </c>
      <c r="P595" s="7"/>
    </row>
    <row r="596" customFormat="false" ht="15" hidden="false" customHeight="false" outlineLevel="0" collapsed="false">
      <c r="A596" s="7" t="s">
        <v>1444</v>
      </c>
      <c r="B596" s="7" t="s">
        <v>1879</v>
      </c>
      <c r="C596" s="7"/>
      <c r="D596" s="6" t="s">
        <v>1444</v>
      </c>
      <c r="E596" s="6" t="s">
        <v>1880</v>
      </c>
      <c r="F596" s="7" t="str">
        <f aca="false">IF($D596="","",IFERROR(IF(INDEX(Hierarchy!$B$2:$B$1295,MATCH($D596,Hierarchy!$A$2:$A$1295,0))="","",INDEX(Hierarchy!$B$2:$B$1295,MATCH($D596,Hierarchy!$A$2:$A$1295,0))),"NODE NOT FOUND"))</f>
        <v>State/Province</v>
      </c>
      <c r="G596" s="7" t="str">
        <f aca="false">IF($D596="","",IFERROR(IF(INDEX(Hierarchy!$D$2:$D$1295,MATCH($D596,Hierarchy!$A$2:$A$1295,0))="","",INDEX(Hierarchy!$D$2:$D$1295,MATCH($D596,Hierarchy!$A$2:$A$1295,0))),"NODE NOT FOUND"))</f>
        <v>APAC</v>
      </c>
      <c r="H596" s="7" t="str">
        <f aca="false">IF($D596="","",IFERROR(IF(INDEX(Hierarchy!$E$2:$E$1295,MATCH($D596,Hierarchy!$A$2:$A$1295,0))="","",INDEX(Hierarchy!$E$2:$E$1295,MATCH($D596,Hierarchy!$A$2:$A$1295,0))),"NODE NOT FOUND"))</f>
        <v>East Asia</v>
      </c>
      <c r="I596" s="7" t="str">
        <f aca="false">IF($D596="","",IFERROR(IF(INDEX(Hierarchy!$F$2:$F$1295,MATCH($D596,Hierarchy!$A$2:$A$1295,0))="","",INDEX(Hierarchy!$F$2:$F$1295,MATCH($D596,Hierarchy!$A$2:$A$1295,0))),"NODE NOT FOUND"))</f>
        <v>Japan</v>
      </c>
      <c r="J596" s="7" t="str">
        <f aca="false">IF($D596="","",IFERROR(IF(INDEX(Hierarchy!$G$2:$G$1295,MATCH($D596,Hierarchy!$A$2:$A$1295,0))="","",INDEX(Hierarchy!$G$2:$G$1295,MATCH($D596,Hierarchy!$A$2:$A$1295,0))),"NODE NOT FOUND"))</f>
        <v>JPN</v>
      </c>
      <c r="K596" s="7" t="str">
        <f aca="false">IF($D596="","",IFERROR(IF(INDEX(Hierarchy!$H$2:$H$1295,MATCH($D596,Hierarchy!$A$2:$A$1295,0))="","",INDEX(Hierarchy!$H$2:$H$1295,MATCH($D596,Hierarchy!$A$2:$A$1295,0))),"NODE NOT FOUND"))</f>
        <v>Fukui</v>
      </c>
      <c r="L596" s="7" t="str">
        <f aca="false">IF($D596="","",IFERROR(IF(INDEX(Hierarchy!$I$2:$I$1295,MATCH($D596,Hierarchy!$A$2:$A$1295,0))="","",INDEX(Hierarchy!$I$2:$I$1295,MATCH($D596,Hierarchy!$A$2:$A$1295,0))),"NODE NOT FOUND"))</f>
        <v/>
      </c>
      <c r="M596" s="17" t="str">
        <f aca="false">IF(B596="Pre-seeded","Pre-seeded",IF(B596="Review 2026-09-16","Added from review",IF(C596="","New",IF(C596=D596,"","Changed"))))</f>
        <v>Pre-seeded</v>
      </c>
      <c r="N596" s="7" t="str">
        <f aca="false">TRIM(SUBSTITUTE(SUBSTITUTE(SUBSTITUTE(" "&amp;TRIM(SUBSTITUTE(SUBSTITUTE(SUBSTITUTE(SUBSTITUTE(SUBSTITUTE(SUBSTITUTE(SUBSTITUTE(SUBSTITUTE(SUBSTITUTE(SUBSTITUTE(SUBSTITUTE(SUBSTITUTE(SUBSTITUTE(SUBSTITUTE(SUBSTITUTE(UPPER(TRIM(A596)),"[MEMBER]",""),"{MEMBER}",""),"[MEMBER}",""),"MEMBER]",""),"(A)",""),"""",""),"“",""),"”",""),".",""),":",""),",",""),"–"," "),"-"," "),"/"," "),"&amp;"," AND "))&amp;" "," THE "," ")," TOTAL "," ")," OPERATIONS "," "))</f>
        <v>FUKUI</v>
      </c>
      <c r="O596" s="17" t="str">
        <f aca="false">IF(COUNTIFS($N$2:$N$2000,N596,$D$2:$D$2000,"&lt;&gt;"&amp;D596)&gt;0,"CONFLICT","")</f>
        <v/>
      </c>
      <c r="P596" s="7"/>
    </row>
    <row r="597" customFormat="false" ht="15" hidden="false" customHeight="false" outlineLevel="0" collapsed="false">
      <c r="A597" s="7" t="s">
        <v>1445</v>
      </c>
      <c r="B597" s="7" t="s">
        <v>1879</v>
      </c>
      <c r="C597" s="7"/>
      <c r="D597" s="6" t="s">
        <v>1445</v>
      </c>
      <c r="E597" s="6" t="s">
        <v>1880</v>
      </c>
      <c r="F597" s="7" t="str">
        <f aca="false">IF($D597="","",IFERROR(IF(INDEX(Hierarchy!$B$2:$B$1295,MATCH($D597,Hierarchy!$A$2:$A$1295,0))="","",INDEX(Hierarchy!$B$2:$B$1295,MATCH($D597,Hierarchy!$A$2:$A$1295,0))),"NODE NOT FOUND"))</f>
        <v>State/Province</v>
      </c>
      <c r="G597" s="7" t="str">
        <f aca="false">IF($D597="","",IFERROR(IF(INDEX(Hierarchy!$D$2:$D$1295,MATCH($D597,Hierarchy!$A$2:$A$1295,0))="","",INDEX(Hierarchy!$D$2:$D$1295,MATCH($D597,Hierarchy!$A$2:$A$1295,0))),"NODE NOT FOUND"))</f>
        <v>APAC</v>
      </c>
      <c r="H597" s="7" t="str">
        <f aca="false">IF($D597="","",IFERROR(IF(INDEX(Hierarchy!$E$2:$E$1295,MATCH($D597,Hierarchy!$A$2:$A$1295,0))="","",INDEX(Hierarchy!$E$2:$E$1295,MATCH($D597,Hierarchy!$A$2:$A$1295,0))),"NODE NOT FOUND"))</f>
        <v>East Asia</v>
      </c>
      <c r="I597" s="7" t="str">
        <f aca="false">IF($D597="","",IFERROR(IF(INDEX(Hierarchy!$F$2:$F$1295,MATCH($D597,Hierarchy!$A$2:$A$1295,0))="","",INDEX(Hierarchy!$F$2:$F$1295,MATCH($D597,Hierarchy!$A$2:$A$1295,0))),"NODE NOT FOUND"))</f>
        <v>Japan</v>
      </c>
      <c r="J597" s="7" t="str">
        <f aca="false">IF($D597="","",IFERROR(IF(INDEX(Hierarchy!$G$2:$G$1295,MATCH($D597,Hierarchy!$A$2:$A$1295,0))="","",INDEX(Hierarchy!$G$2:$G$1295,MATCH($D597,Hierarchy!$A$2:$A$1295,0))),"NODE NOT FOUND"))</f>
        <v>JPN</v>
      </c>
      <c r="K597" s="7" t="str">
        <f aca="false">IF($D597="","",IFERROR(IF(INDEX(Hierarchy!$H$2:$H$1295,MATCH($D597,Hierarchy!$A$2:$A$1295,0))="","",INDEX(Hierarchy!$H$2:$H$1295,MATCH($D597,Hierarchy!$A$2:$A$1295,0))),"NODE NOT FOUND"))</f>
        <v>Fukuoka</v>
      </c>
      <c r="L597" s="7" t="str">
        <f aca="false">IF($D597="","",IFERROR(IF(INDEX(Hierarchy!$I$2:$I$1295,MATCH($D597,Hierarchy!$A$2:$A$1295,0))="","",INDEX(Hierarchy!$I$2:$I$1295,MATCH($D597,Hierarchy!$A$2:$A$1295,0))),"NODE NOT FOUND"))</f>
        <v/>
      </c>
      <c r="M597" s="17" t="str">
        <f aca="false">IF(B597="Pre-seeded","Pre-seeded",IF(B597="Review 2026-09-16","Added from review",IF(C597="","New",IF(C597=D597,"","Changed"))))</f>
        <v>Pre-seeded</v>
      </c>
      <c r="N597" s="7" t="str">
        <f aca="false">TRIM(SUBSTITUTE(SUBSTITUTE(SUBSTITUTE(" "&amp;TRIM(SUBSTITUTE(SUBSTITUTE(SUBSTITUTE(SUBSTITUTE(SUBSTITUTE(SUBSTITUTE(SUBSTITUTE(SUBSTITUTE(SUBSTITUTE(SUBSTITUTE(SUBSTITUTE(SUBSTITUTE(SUBSTITUTE(SUBSTITUTE(SUBSTITUTE(UPPER(TRIM(A597)),"[MEMBER]",""),"{MEMBER}",""),"[MEMBER}",""),"MEMBER]",""),"(A)",""),"""",""),"“",""),"”",""),".",""),":",""),",",""),"–"," "),"-"," "),"/"," "),"&amp;"," AND "))&amp;" "," THE "," ")," TOTAL "," ")," OPERATIONS "," "))</f>
        <v>FUKUOKA</v>
      </c>
      <c r="O597" s="17" t="str">
        <f aca="false">IF(COUNTIFS($N$2:$N$2000,N597,$D$2:$D$2000,"&lt;&gt;"&amp;D597)&gt;0,"CONFLICT","")</f>
        <v/>
      </c>
      <c r="P597" s="7"/>
    </row>
    <row r="598" customFormat="false" ht="15" hidden="false" customHeight="false" outlineLevel="0" collapsed="false">
      <c r="A598" s="7" t="s">
        <v>1446</v>
      </c>
      <c r="B598" s="7" t="s">
        <v>1879</v>
      </c>
      <c r="C598" s="7"/>
      <c r="D598" s="6" t="s">
        <v>1446</v>
      </c>
      <c r="E598" s="6" t="s">
        <v>1880</v>
      </c>
      <c r="F598" s="7" t="str">
        <f aca="false">IF($D598="","",IFERROR(IF(INDEX(Hierarchy!$B$2:$B$1295,MATCH($D598,Hierarchy!$A$2:$A$1295,0))="","",INDEX(Hierarchy!$B$2:$B$1295,MATCH($D598,Hierarchy!$A$2:$A$1295,0))),"NODE NOT FOUND"))</f>
        <v>State/Province</v>
      </c>
      <c r="G598" s="7" t="str">
        <f aca="false">IF($D598="","",IFERROR(IF(INDEX(Hierarchy!$D$2:$D$1295,MATCH($D598,Hierarchy!$A$2:$A$1295,0))="","",INDEX(Hierarchy!$D$2:$D$1295,MATCH($D598,Hierarchy!$A$2:$A$1295,0))),"NODE NOT FOUND"))</f>
        <v>APAC</v>
      </c>
      <c r="H598" s="7" t="str">
        <f aca="false">IF($D598="","",IFERROR(IF(INDEX(Hierarchy!$E$2:$E$1295,MATCH($D598,Hierarchy!$A$2:$A$1295,0))="","",INDEX(Hierarchy!$E$2:$E$1295,MATCH($D598,Hierarchy!$A$2:$A$1295,0))),"NODE NOT FOUND"))</f>
        <v>East Asia</v>
      </c>
      <c r="I598" s="7" t="str">
        <f aca="false">IF($D598="","",IFERROR(IF(INDEX(Hierarchy!$F$2:$F$1295,MATCH($D598,Hierarchy!$A$2:$A$1295,0))="","",INDEX(Hierarchy!$F$2:$F$1295,MATCH($D598,Hierarchy!$A$2:$A$1295,0))),"NODE NOT FOUND"))</f>
        <v>Japan</v>
      </c>
      <c r="J598" s="7" t="str">
        <f aca="false">IF($D598="","",IFERROR(IF(INDEX(Hierarchy!$G$2:$G$1295,MATCH($D598,Hierarchy!$A$2:$A$1295,0))="","",INDEX(Hierarchy!$G$2:$G$1295,MATCH($D598,Hierarchy!$A$2:$A$1295,0))),"NODE NOT FOUND"))</f>
        <v>JPN</v>
      </c>
      <c r="K598" s="7" t="str">
        <f aca="false">IF($D598="","",IFERROR(IF(INDEX(Hierarchy!$H$2:$H$1295,MATCH($D598,Hierarchy!$A$2:$A$1295,0))="","",INDEX(Hierarchy!$H$2:$H$1295,MATCH($D598,Hierarchy!$A$2:$A$1295,0))),"NODE NOT FOUND"))</f>
        <v>Fukushima</v>
      </c>
      <c r="L598" s="7" t="str">
        <f aca="false">IF($D598="","",IFERROR(IF(INDEX(Hierarchy!$I$2:$I$1295,MATCH($D598,Hierarchy!$A$2:$A$1295,0))="","",INDEX(Hierarchy!$I$2:$I$1295,MATCH($D598,Hierarchy!$A$2:$A$1295,0))),"NODE NOT FOUND"))</f>
        <v/>
      </c>
      <c r="M598" s="17" t="str">
        <f aca="false">IF(B598="Pre-seeded","Pre-seeded",IF(B598="Review 2026-09-16","Added from review",IF(C598="","New",IF(C598=D598,"","Changed"))))</f>
        <v>Pre-seeded</v>
      </c>
      <c r="N598" s="7" t="str">
        <f aca="false">TRIM(SUBSTITUTE(SUBSTITUTE(SUBSTITUTE(" "&amp;TRIM(SUBSTITUTE(SUBSTITUTE(SUBSTITUTE(SUBSTITUTE(SUBSTITUTE(SUBSTITUTE(SUBSTITUTE(SUBSTITUTE(SUBSTITUTE(SUBSTITUTE(SUBSTITUTE(SUBSTITUTE(SUBSTITUTE(SUBSTITUTE(SUBSTITUTE(UPPER(TRIM(A598)),"[MEMBER]",""),"{MEMBER}",""),"[MEMBER}",""),"MEMBER]",""),"(A)",""),"""",""),"“",""),"”",""),".",""),":",""),",",""),"–"," "),"-"," "),"/"," "),"&amp;"," AND "))&amp;" "," THE "," ")," TOTAL "," ")," OPERATIONS "," "))</f>
        <v>FUKUSHIMA</v>
      </c>
      <c r="O598" s="17" t="str">
        <f aca="false">IF(COUNTIFS($N$2:$N$2000,N598,$D$2:$D$2000,"&lt;&gt;"&amp;D598)&gt;0,"CONFLICT","")</f>
        <v/>
      </c>
      <c r="P598" s="7"/>
    </row>
    <row r="599" customFormat="false" ht="15" hidden="false" customHeight="false" outlineLevel="0" collapsed="false">
      <c r="A599" s="7" t="s">
        <v>2201</v>
      </c>
      <c r="B599" s="7" t="s">
        <v>1885</v>
      </c>
      <c r="C599" s="7" t="s">
        <v>2032</v>
      </c>
      <c r="D599" s="6" t="s">
        <v>661</v>
      </c>
      <c r="E599" s="6" t="s">
        <v>1880</v>
      </c>
      <c r="F599" s="7" t="str">
        <f aca="false">IF($D599="","",IFERROR(IF(INDEX(Hierarchy!$B$2:$B$1295,MATCH($D599,Hierarchy!$A$2:$A$1295,0))="","",INDEX(Hierarchy!$B$2:$B$1295,MATCH($D599,Hierarchy!$A$2:$A$1295,0))),"NODE NOT FOUND"))</f>
        <v>Country</v>
      </c>
      <c r="G599" s="7" t="str">
        <f aca="false">IF($D599="","",IFERROR(IF(INDEX(Hierarchy!$D$2:$D$1295,MATCH($D599,Hierarchy!$A$2:$A$1295,0))="","",INDEX(Hierarchy!$D$2:$D$1295,MATCH($D599,Hierarchy!$A$2:$A$1295,0))),"NODE NOT FOUND"))</f>
        <v>EMEA</v>
      </c>
      <c r="H599" s="7" t="str">
        <f aca="false">IF($D599="","",IFERROR(IF(INDEX(Hierarchy!$E$2:$E$1295,MATCH($D599,Hierarchy!$A$2:$A$1295,0))="","",INDEX(Hierarchy!$E$2:$E$1295,MATCH($D599,Hierarchy!$A$2:$A$1295,0))),"NODE NOT FOUND"))</f>
        <v>Europe</v>
      </c>
      <c r="I599" s="7" t="str">
        <f aca="false">IF($D599="","",IFERROR(IF(INDEX(Hierarchy!$F$2:$F$1295,MATCH($D599,Hierarchy!$A$2:$A$1295,0))="","",INDEX(Hierarchy!$F$2:$F$1295,MATCH($D599,Hierarchy!$A$2:$A$1295,0))),"NODE NOT FOUND"))</f>
        <v>United Kingdom</v>
      </c>
      <c r="J599" s="7" t="str">
        <f aca="false">IF($D599="","",IFERROR(IF(INDEX(Hierarchy!$G$2:$G$1295,MATCH($D599,Hierarchy!$A$2:$A$1295,0))="","",INDEX(Hierarchy!$G$2:$G$1295,MATCH($D599,Hierarchy!$A$2:$A$1295,0))),"NODE NOT FOUND"))</f>
        <v>GBR</v>
      </c>
      <c r="K599" s="7" t="str">
        <f aca="false">IF($D599="","",IFERROR(IF(INDEX(Hierarchy!$H$2:$H$1295,MATCH($D599,Hierarchy!$A$2:$A$1295,0))="","",INDEX(Hierarchy!$H$2:$H$1295,MATCH($D599,Hierarchy!$A$2:$A$1295,0))),"NODE NOT FOUND"))</f>
        <v/>
      </c>
      <c r="L599" s="7" t="str">
        <f aca="false">IF($D599="","",IFERROR(IF(INDEX(Hierarchy!$I$2:$I$1295,MATCH($D599,Hierarchy!$A$2:$A$1295,0))="","",INDEX(Hierarchy!$I$2:$I$1295,MATCH($D599,Hierarchy!$A$2:$A$1295,0))),"NODE NOT FOUND"))</f>
        <v/>
      </c>
      <c r="M599" s="17" t="str">
        <f aca="false">IF(B599="Pre-seeded","Pre-seeded",IF(B599="Review 2026-09-16","Added from review",IF(C599="","New",IF(C599=D599,"","Changed"))))</f>
        <v>Changed</v>
      </c>
      <c r="N599" s="7" t="str">
        <f aca="false">TRIM(SUBSTITUTE(SUBSTITUTE(SUBSTITUTE(" "&amp;TRIM(SUBSTITUTE(SUBSTITUTE(SUBSTITUTE(SUBSTITUTE(SUBSTITUTE(SUBSTITUTE(SUBSTITUTE(SUBSTITUTE(SUBSTITUTE(SUBSTITUTE(SUBSTITUTE(SUBSTITUTE(SUBSTITUTE(SUBSTITUTE(SUBSTITUTE(UPPER(TRIM(A599)),"[MEMBER]",""),"{MEMBER}",""),"[MEMBER}",""),"MEMBER]",""),"(A)",""),"""",""),"“",""),"”",""),".",""),":",""),",",""),"–"," "),"-"," "),"/"," "),"&amp;"," AND "))&amp;" "," THE "," ")," TOTAL "," ")," OPERATIONS "," "))</f>
        <v>G B</v>
      </c>
      <c r="O599" s="17" t="str">
        <f aca="false">IF(COUNTIFS($N$2:$N$2000,N599,$D$2:$D$2000,"&lt;&gt;"&amp;D599)&gt;0,"CONFLICT","")</f>
        <v/>
      </c>
      <c r="P599" s="7"/>
    </row>
    <row r="600" customFormat="false" ht="15" hidden="false" customHeight="false" outlineLevel="0" collapsed="false">
      <c r="A600" s="7" t="s">
        <v>1225</v>
      </c>
      <c r="B600" s="7" t="s">
        <v>1879</v>
      </c>
      <c r="C600" s="7"/>
      <c r="D600" s="6" t="s">
        <v>1225</v>
      </c>
      <c r="E600" s="6" t="s">
        <v>1880</v>
      </c>
      <c r="F600" s="7" t="str">
        <f aca="false">IF($D600="","",IFERROR(IF(INDEX(Hierarchy!$B$2:$B$1295,MATCH($D600,Hierarchy!$A$2:$A$1295,0))="","",INDEX(Hierarchy!$B$2:$B$1295,MATCH($D600,Hierarchy!$A$2:$A$1295,0))),"NODE NOT FOUND"))</f>
        <v>Country</v>
      </c>
      <c r="G600" s="7" t="str">
        <f aca="false">IF($D600="","",IFERROR(IF(INDEX(Hierarchy!$D$2:$D$1295,MATCH($D600,Hierarchy!$A$2:$A$1295,0))="","",INDEX(Hierarchy!$D$2:$D$1295,MATCH($D600,Hierarchy!$A$2:$A$1295,0))),"NODE NOT FOUND"))</f>
        <v>EMEA</v>
      </c>
      <c r="H600" s="7" t="str">
        <f aca="false">IF($D600="","",IFERROR(IF(INDEX(Hierarchy!$E$2:$E$1295,MATCH($D600,Hierarchy!$A$2:$A$1295,0))="","",INDEX(Hierarchy!$E$2:$E$1295,MATCH($D600,Hierarchy!$A$2:$A$1295,0))),"NODE NOT FOUND"))</f>
        <v>Africa</v>
      </c>
      <c r="I600" s="7" t="str">
        <f aca="false">IF($D600="","",IFERROR(IF(INDEX(Hierarchy!$F$2:$F$1295,MATCH($D600,Hierarchy!$A$2:$A$1295,0))="","",INDEX(Hierarchy!$F$2:$F$1295,MATCH($D600,Hierarchy!$A$2:$A$1295,0))),"NODE NOT FOUND"))</f>
        <v>Gabon</v>
      </c>
      <c r="J600" s="7" t="str">
        <f aca="false">IF($D600="","",IFERROR(IF(INDEX(Hierarchy!$G$2:$G$1295,MATCH($D600,Hierarchy!$A$2:$A$1295,0))="","",INDEX(Hierarchy!$G$2:$G$1295,MATCH($D600,Hierarchy!$A$2:$A$1295,0))),"NODE NOT FOUND"))</f>
        <v>GAB</v>
      </c>
      <c r="K600" s="7" t="str">
        <f aca="false">IF($D600="","",IFERROR(IF(INDEX(Hierarchy!$H$2:$H$1295,MATCH($D600,Hierarchy!$A$2:$A$1295,0))="","",INDEX(Hierarchy!$H$2:$H$1295,MATCH($D600,Hierarchy!$A$2:$A$1295,0))),"NODE NOT FOUND"))</f>
        <v/>
      </c>
      <c r="L600" s="7" t="str">
        <f aca="false">IF($D600="","",IFERROR(IF(INDEX(Hierarchy!$I$2:$I$1295,MATCH($D600,Hierarchy!$A$2:$A$1295,0))="","",INDEX(Hierarchy!$I$2:$I$1295,MATCH($D600,Hierarchy!$A$2:$A$1295,0))),"NODE NOT FOUND"))</f>
        <v/>
      </c>
      <c r="M600" s="17" t="str">
        <f aca="false">IF(B600="Pre-seeded","Pre-seeded",IF(B600="Review 2026-09-16","Added from review",IF(C600="","New",IF(C600=D600,"","Changed"))))</f>
        <v>Pre-seeded</v>
      </c>
      <c r="N600" s="7" t="str">
        <f aca="false">TRIM(SUBSTITUTE(SUBSTITUTE(SUBSTITUTE(" "&amp;TRIM(SUBSTITUTE(SUBSTITUTE(SUBSTITUTE(SUBSTITUTE(SUBSTITUTE(SUBSTITUTE(SUBSTITUTE(SUBSTITUTE(SUBSTITUTE(SUBSTITUTE(SUBSTITUTE(SUBSTITUTE(SUBSTITUTE(SUBSTITUTE(SUBSTITUTE(UPPER(TRIM(A600)),"[MEMBER]",""),"{MEMBER}",""),"[MEMBER}",""),"MEMBER]",""),"(A)",""),"""",""),"“",""),"”",""),".",""),":",""),",",""),"–"," "),"-"," "),"/"," "),"&amp;"," AND "))&amp;" "," THE "," ")," TOTAL "," ")," OPERATIONS "," "))</f>
        <v>GABON</v>
      </c>
      <c r="O600" s="17" t="str">
        <f aca="false">IF(COUNTIFS($N$2:$N$2000,N600,$D$2:$D$2000,"&lt;&gt;"&amp;D600)&gt;0,"CONFLICT","")</f>
        <v/>
      </c>
      <c r="P600" s="7"/>
    </row>
    <row r="601" customFormat="false" ht="15" hidden="false" customHeight="false" outlineLevel="0" collapsed="false">
      <c r="A601" s="7" t="s">
        <v>2202</v>
      </c>
      <c r="B601" s="7" t="s">
        <v>1879</v>
      </c>
      <c r="C601" s="7"/>
      <c r="D601" s="6" t="s">
        <v>1225</v>
      </c>
      <c r="E601" s="6" t="s">
        <v>1880</v>
      </c>
      <c r="F601" s="7" t="str">
        <f aca="false">IF($D601="","",IFERROR(IF(INDEX(Hierarchy!$B$2:$B$1295,MATCH($D601,Hierarchy!$A$2:$A$1295,0))="","",INDEX(Hierarchy!$B$2:$B$1295,MATCH($D601,Hierarchy!$A$2:$A$1295,0))),"NODE NOT FOUND"))</f>
        <v>Country</v>
      </c>
      <c r="G601" s="7" t="str">
        <f aca="false">IF($D601="","",IFERROR(IF(INDEX(Hierarchy!$D$2:$D$1295,MATCH($D601,Hierarchy!$A$2:$A$1295,0))="","",INDEX(Hierarchy!$D$2:$D$1295,MATCH($D601,Hierarchy!$A$2:$A$1295,0))),"NODE NOT FOUND"))</f>
        <v>EMEA</v>
      </c>
      <c r="H601" s="7" t="str">
        <f aca="false">IF($D601="","",IFERROR(IF(INDEX(Hierarchy!$E$2:$E$1295,MATCH($D601,Hierarchy!$A$2:$A$1295,0))="","",INDEX(Hierarchy!$E$2:$E$1295,MATCH($D601,Hierarchy!$A$2:$A$1295,0))),"NODE NOT FOUND"))</f>
        <v>Africa</v>
      </c>
      <c r="I601" s="7" t="str">
        <f aca="false">IF($D601="","",IFERROR(IF(INDEX(Hierarchy!$F$2:$F$1295,MATCH($D601,Hierarchy!$A$2:$A$1295,0))="","",INDEX(Hierarchy!$F$2:$F$1295,MATCH($D601,Hierarchy!$A$2:$A$1295,0))),"NODE NOT FOUND"))</f>
        <v>Gabon</v>
      </c>
      <c r="J601" s="7" t="str">
        <f aca="false">IF($D601="","",IFERROR(IF(INDEX(Hierarchy!$G$2:$G$1295,MATCH($D601,Hierarchy!$A$2:$A$1295,0))="","",INDEX(Hierarchy!$G$2:$G$1295,MATCH($D601,Hierarchy!$A$2:$A$1295,0))),"NODE NOT FOUND"))</f>
        <v>GAB</v>
      </c>
      <c r="K601" s="7" t="str">
        <f aca="false">IF($D601="","",IFERROR(IF(INDEX(Hierarchy!$H$2:$H$1295,MATCH($D601,Hierarchy!$A$2:$A$1295,0))="","",INDEX(Hierarchy!$H$2:$H$1295,MATCH($D601,Hierarchy!$A$2:$A$1295,0))),"NODE NOT FOUND"))</f>
        <v/>
      </c>
      <c r="L601" s="7" t="str">
        <f aca="false">IF($D601="","",IFERROR(IF(INDEX(Hierarchy!$I$2:$I$1295,MATCH($D601,Hierarchy!$A$2:$A$1295,0))="","",INDEX(Hierarchy!$I$2:$I$1295,MATCH($D601,Hierarchy!$A$2:$A$1295,0))),"NODE NOT FOUND"))</f>
        <v/>
      </c>
      <c r="M601" s="17" t="str">
        <f aca="false">IF(B601="Pre-seeded","Pre-seeded",IF(B601="Review 2026-09-16","Added from review",IF(C601="","New",IF(C601=D601,"","Changed"))))</f>
        <v>Pre-seeded</v>
      </c>
      <c r="N601" s="7" t="str">
        <f aca="false">TRIM(SUBSTITUTE(SUBSTITUTE(SUBSTITUTE(" "&amp;TRIM(SUBSTITUTE(SUBSTITUTE(SUBSTITUTE(SUBSTITUTE(SUBSTITUTE(SUBSTITUTE(SUBSTITUTE(SUBSTITUTE(SUBSTITUTE(SUBSTITUTE(SUBSTITUTE(SUBSTITUTE(SUBSTITUTE(SUBSTITUTE(SUBSTITUTE(UPPER(TRIM(A601)),"[MEMBER]",""),"{MEMBER}",""),"[MEMBER}",""),"MEMBER]",""),"(A)",""),"""",""),"“",""),"”",""),".",""),":",""),",",""),"–"," "),"-"," "),"/"," "),"&amp;"," AND "))&amp;" "," THE "," ")," TOTAL "," ")," OPERATIONS "," "))</f>
        <v>GABONESE REPUBLIC</v>
      </c>
      <c r="O601" s="17" t="str">
        <f aca="false">IF(COUNTIFS($N$2:$N$2000,N601,$D$2:$D$2000,"&lt;&gt;"&amp;D601)&gt;0,"CONFLICT","")</f>
        <v/>
      </c>
      <c r="P601" s="7" t="s">
        <v>1936</v>
      </c>
    </row>
    <row r="602" customFormat="false" ht="15" hidden="false" customHeight="false" outlineLevel="0" collapsed="false">
      <c r="A602" s="7" t="s">
        <v>267</v>
      </c>
      <c r="B602" s="7" t="s">
        <v>1882</v>
      </c>
      <c r="C602" s="7" t="s">
        <v>267</v>
      </c>
      <c r="D602" s="6" t="s">
        <v>267</v>
      </c>
      <c r="E602" s="6" t="s">
        <v>1880</v>
      </c>
      <c r="F602" s="7" t="str">
        <f aca="false">IF($D602="","",IFERROR(IF(INDEX(Hierarchy!$B$2:$B$1295,MATCH($D602,Hierarchy!$A$2:$A$1295,0))="","",INDEX(Hierarchy!$B$2:$B$1295,MATCH($D602,Hierarchy!$A$2:$A$1295,0))),"NODE NOT FOUND"))</f>
        <v>City</v>
      </c>
      <c r="G602" s="7" t="str">
        <f aca="false">IF($D602="","",IFERROR(IF(INDEX(Hierarchy!$D$2:$D$1295,MATCH($D602,Hierarchy!$A$2:$A$1295,0))="","",INDEX(Hierarchy!$D$2:$D$1295,MATCH($D602,Hierarchy!$A$2:$A$1295,0))),"NODE NOT FOUND"))</f>
        <v>AMER</v>
      </c>
      <c r="H602" s="7" t="str">
        <f aca="false">IF($D602="","",IFERROR(IF(INDEX(Hierarchy!$E$2:$E$1295,MATCH($D602,Hierarchy!$A$2:$A$1295,0))="","",INDEX(Hierarchy!$E$2:$E$1295,MATCH($D602,Hierarchy!$A$2:$A$1295,0))),"NODE NOT FOUND"))</f>
        <v>North America (NORAM)</v>
      </c>
      <c r="I602" s="7" t="str">
        <f aca="false">IF($D602="","",IFERROR(IF(INDEX(Hierarchy!$F$2:$F$1295,MATCH($D602,Hierarchy!$A$2:$A$1295,0))="","",INDEX(Hierarchy!$F$2:$F$1295,MATCH($D602,Hierarchy!$A$2:$A$1295,0))),"NODE NOT FOUND"))</f>
        <v>United States</v>
      </c>
      <c r="J602" s="7" t="str">
        <f aca="false">IF($D602="","",IFERROR(IF(INDEX(Hierarchy!$G$2:$G$1295,MATCH($D602,Hierarchy!$A$2:$A$1295,0))="","",INDEX(Hierarchy!$G$2:$G$1295,MATCH($D602,Hierarchy!$A$2:$A$1295,0))),"NODE NOT FOUND"))</f>
        <v>USA</v>
      </c>
      <c r="K602" s="7" t="str">
        <f aca="false">IF($D602="","",IFERROR(IF(INDEX(Hierarchy!$H$2:$H$1295,MATCH($D602,Hierarchy!$A$2:$A$1295,0))="","",INDEX(Hierarchy!$H$2:$H$1295,MATCH($D602,Hierarchy!$A$2:$A$1295,0))),"NODE NOT FOUND"))</f>
        <v/>
      </c>
      <c r="L602" s="7" t="str">
        <f aca="false">IF($D602="","",IFERROR(IF(INDEX(Hierarchy!$I$2:$I$1295,MATCH($D602,Hierarchy!$A$2:$A$1295,0))="","",INDEX(Hierarchy!$I$2:$I$1295,MATCH($D602,Hierarchy!$A$2:$A$1295,0))),"NODE NOT FOUND"))</f>
        <v>Gainesville</v>
      </c>
      <c r="M602" s="17" t="str">
        <f aca="false">IF(B602="Pre-seeded","Pre-seeded",IF(B602="Review 2026-09-16","Added from review",IF(C602="","New",IF(C602=D602,"","Changed"))))</f>
        <v/>
      </c>
      <c r="N602" s="7" t="str">
        <f aca="false">TRIM(SUBSTITUTE(SUBSTITUTE(SUBSTITUTE(" "&amp;TRIM(SUBSTITUTE(SUBSTITUTE(SUBSTITUTE(SUBSTITUTE(SUBSTITUTE(SUBSTITUTE(SUBSTITUTE(SUBSTITUTE(SUBSTITUTE(SUBSTITUTE(SUBSTITUTE(SUBSTITUTE(SUBSTITUTE(SUBSTITUTE(SUBSTITUTE(UPPER(TRIM(A602)),"[MEMBER]",""),"{MEMBER}",""),"[MEMBER}",""),"MEMBER]",""),"(A)",""),"""",""),"“",""),"”",""),".",""),":",""),",",""),"–"," "),"-"," "),"/"," "),"&amp;"," AND "))&amp;" "," THE "," ")," TOTAL "," ")," OPERATIONS "," "))</f>
        <v>GAINESVILLE</v>
      </c>
      <c r="O602" s="17" t="str">
        <f aca="false">IF(COUNTIFS($N$2:$N$2000,N602,$D$2:$D$2000,"&lt;&gt;"&amp;D602)&gt;0,"CONFLICT","")</f>
        <v/>
      </c>
      <c r="P602" s="7"/>
    </row>
    <row r="603" customFormat="false" ht="15" hidden="false" customHeight="false" outlineLevel="0" collapsed="false">
      <c r="A603" s="7" t="s">
        <v>965</v>
      </c>
      <c r="B603" s="7" t="s">
        <v>1879</v>
      </c>
      <c r="C603" s="7"/>
      <c r="D603" s="6" t="s">
        <v>965</v>
      </c>
      <c r="E603" s="6" t="s">
        <v>1880</v>
      </c>
      <c r="F603" s="7" t="str">
        <f aca="false">IF($D603="","",IFERROR(IF(INDEX(Hierarchy!$B$2:$B$1295,MATCH($D603,Hierarchy!$A$2:$A$1295,0))="","",INDEX(Hierarchy!$B$2:$B$1295,MATCH($D603,Hierarchy!$A$2:$A$1295,0))),"NODE NOT FOUND"))</f>
        <v>State/Province</v>
      </c>
      <c r="G603" s="7" t="str">
        <f aca="false">IF($D603="","",IFERROR(IF(INDEX(Hierarchy!$D$2:$D$1295,MATCH($D603,Hierarchy!$A$2:$A$1295,0))="","",INDEX(Hierarchy!$D$2:$D$1295,MATCH($D603,Hierarchy!$A$2:$A$1295,0))),"NODE NOT FOUND"))</f>
        <v>EMEA</v>
      </c>
      <c r="H603" s="7" t="str">
        <f aca="false">IF($D603="","",IFERROR(IF(INDEX(Hierarchy!$E$2:$E$1295,MATCH($D603,Hierarchy!$A$2:$A$1295,0))="","",INDEX(Hierarchy!$E$2:$E$1295,MATCH($D603,Hierarchy!$A$2:$A$1295,0))),"NODE NOT FOUND"))</f>
        <v>Europe</v>
      </c>
      <c r="I603" s="7" t="str">
        <f aca="false">IF($D603="","",IFERROR(IF(INDEX(Hierarchy!$F$2:$F$1295,MATCH($D603,Hierarchy!$A$2:$A$1295,0))="","",INDEX(Hierarchy!$F$2:$F$1295,MATCH($D603,Hierarchy!$A$2:$A$1295,0))),"NODE NOT FOUND"))</f>
        <v>Spain</v>
      </c>
      <c r="J603" s="7" t="str">
        <f aca="false">IF($D603="","",IFERROR(IF(INDEX(Hierarchy!$G$2:$G$1295,MATCH($D603,Hierarchy!$A$2:$A$1295,0))="","",INDEX(Hierarchy!$G$2:$G$1295,MATCH($D603,Hierarchy!$A$2:$A$1295,0))),"NODE NOT FOUND"))</f>
        <v>ESP</v>
      </c>
      <c r="K603" s="7" t="str">
        <f aca="false">IF($D603="","",IFERROR(IF(INDEX(Hierarchy!$H$2:$H$1295,MATCH($D603,Hierarchy!$A$2:$A$1295,0))="","",INDEX(Hierarchy!$H$2:$H$1295,MATCH($D603,Hierarchy!$A$2:$A$1295,0))),"NODE NOT FOUND"))</f>
        <v>Galicia</v>
      </c>
      <c r="L603" s="7" t="str">
        <f aca="false">IF($D603="","",IFERROR(IF(INDEX(Hierarchy!$I$2:$I$1295,MATCH($D603,Hierarchy!$A$2:$A$1295,0))="","",INDEX(Hierarchy!$I$2:$I$1295,MATCH($D603,Hierarchy!$A$2:$A$1295,0))),"NODE NOT FOUND"))</f>
        <v/>
      </c>
      <c r="M603" s="17" t="str">
        <f aca="false">IF(B603="Pre-seeded","Pre-seeded",IF(B603="Review 2026-09-16","Added from review",IF(C603="","New",IF(C603=D603,"","Changed"))))</f>
        <v>Pre-seeded</v>
      </c>
      <c r="N603" s="7" t="str">
        <f aca="false">TRIM(SUBSTITUTE(SUBSTITUTE(SUBSTITUTE(" "&amp;TRIM(SUBSTITUTE(SUBSTITUTE(SUBSTITUTE(SUBSTITUTE(SUBSTITUTE(SUBSTITUTE(SUBSTITUTE(SUBSTITUTE(SUBSTITUTE(SUBSTITUTE(SUBSTITUTE(SUBSTITUTE(SUBSTITUTE(SUBSTITUTE(SUBSTITUTE(UPPER(TRIM(A603)),"[MEMBER]",""),"{MEMBER}",""),"[MEMBER}",""),"MEMBER]",""),"(A)",""),"""",""),"“",""),"”",""),".",""),":",""),",",""),"–"," "),"-"," "),"/"," "),"&amp;"," AND "))&amp;" "," THE "," ")," TOTAL "," ")," OPERATIONS "," "))</f>
        <v>GALICIA</v>
      </c>
      <c r="O603" s="17" t="str">
        <f aca="false">IF(COUNTIFS($N$2:$N$2000,N603,$D$2:$D$2000,"&lt;&gt;"&amp;D603)&gt;0,"CONFLICT","")</f>
        <v/>
      </c>
      <c r="P603" s="7"/>
    </row>
    <row r="604" customFormat="false" ht="15" hidden="false" customHeight="false" outlineLevel="0" collapsed="false">
      <c r="A604" s="7" t="s">
        <v>1227</v>
      </c>
      <c r="B604" s="7" t="s">
        <v>1882</v>
      </c>
      <c r="C604" s="7" t="s">
        <v>1227</v>
      </c>
      <c r="D604" s="6" t="s">
        <v>1227</v>
      </c>
      <c r="E604" s="6" t="s">
        <v>1880</v>
      </c>
      <c r="F604" s="7" t="str">
        <f aca="false">IF($D604="","",IFERROR(IF(INDEX(Hierarchy!$B$2:$B$1295,MATCH($D604,Hierarchy!$A$2:$A$1295,0))="","",INDEX(Hierarchy!$B$2:$B$1295,MATCH($D604,Hierarchy!$A$2:$A$1295,0))),"NODE NOT FOUND"))</f>
        <v>Country</v>
      </c>
      <c r="G604" s="7" t="str">
        <f aca="false">IF($D604="","",IFERROR(IF(INDEX(Hierarchy!$D$2:$D$1295,MATCH($D604,Hierarchy!$A$2:$A$1295,0))="","",INDEX(Hierarchy!$D$2:$D$1295,MATCH($D604,Hierarchy!$A$2:$A$1295,0))),"NODE NOT FOUND"))</f>
        <v>EMEA</v>
      </c>
      <c r="H604" s="7" t="str">
        <f aca="false">IF($D604="","",IFERROR(IF(INDEX(Hierarchy!$E$2:$E$1295,MATCH($D604,Hierarchy!$A$2:$A$1295,0))="","",INDEX(Hierarchy!$E$2:$E$1295,MATCH($D604,Hierarchy!$A$2:$A$1295,0))),"NODE NOT FOUND"))</f>
        <v>Africa</v>
      </c>
      <c r="I604" s="7" t="str">
        <f aca="false">IF($D604="","",IFERROR(IF(INDEX(Hierarchy!$F$2:$F$1295,MATCH($D604,Hierarchy!$A$2:$A$1295,0))="","",INDEX(Hierarchy!$F$2:$F$1295,MATCH($D604,Hierarchy!$A$2:$A$1295,0))),"NODE NOT FOUND"))</f>
        <v>Gambia</v>
      </c>
      <c r="J604" s="7" t="str">
        <f aca="false">IF($D604="","",IFERROR(IF(INDEX(Hierarchy!$G$2:$G$1295,MATCH($D604,Hierarchy!$A$2:$A$1295,0))="","",INDEX(Hierarchy!$G$2:$G$1295,MATCH($D604,Hierarchy!$A$2:$A$1295,0))),"NODE NOT FOUND"))</f>
        <v>GMB</v>
      </c>
      <c r="K604" s="7" t="str">
        <f aca="false">IF($D604="","",IFERROR(IF(INDEX(Hierarchy!$H$2:$H$1295,MATCH($D604,Hierarchy!$A$2:$A$1295,0))="","",INDEX(Hierarchy!$H$2:$H$1295,MATCH($D604,Hierarchy!$A$2:$A$1295,0))),"NODE NOT FOUND"))</f>
        <v/>
      </c>
      <c r="L604" s="7" t="str">
        <f aca="false">IF($D604="","",IFERROR(IF(INDEX(Hierarchy!$I$2:$I$1295,MATCH($D604,Hierarchy!$A$2:$A$1295,0))="","",INDEX(Hierarchy!$I$2:$I$1295,MATCH($D604,Hierarchy!$A$2:$A$1295,0))),"NODE NOT FOUND"))</f>
        <v/>
      </c>
      <c r="M604" s="17" t="str">
        <f aca="false">IF(B604="Pre-seeded","Pre-seeded",IF(B604="Review 2026-09-16","Added from review",IF(C604="","New",IF(C604=D604,"","Changed"))))</f>
        <v/>
      </c>
      <c r="N604" s="7" t="str">
        <f aca="false">TRIM(SUBSTITUTE(SUBSTITUTE(SUBSTITUTE(" "&amp;TRIM(SUBSTITUTE(SUBSTITUTE(SUBSTITUTE(SUBSTITUTE(SUBSTITUTE(SUBSTITUTE(SUBSTITUTE(SUBSTITUTE(SUBSTITUTE(SUBSTITUTE(SUBSTITUTE(SUBSTITUTE(SUBSTITUTE(SUBSTITUTE(SUBSTITUTE(UPPER(TRIM(A604)),"[MEMBER]",""),"{MEMBER}",""),"[MEMBER}",""),"MEMBER]",""),"(A)",""),"""",""),"“",""),"”",""),".",""),":",""),",",""),"–"," "),"-"," "),"/"," "),"&amp;"," AND "))&amp;" "," THE "," ")," TOTAL "," ")," OPERATIONS "," "))</f>
        <v>GAMBIA</v>
      </c>
      <c r="O604" s="17" t="str">
        <f aca="false">IF(COUNTIFS($N$2:$N$2000,N604,$D$2:$D$2000,"&lt;&gt;"&amp;D604)&gt;0,"CONFLICT","")</f>
        <v/>
      </c>
      <c r="P604" s="7"/>
    </row>
    <row r="605" customFormat="false" ht="15" hidden="false" customHeight="false" outlineLevel="0" collapsed="false">
      <c r="A605" s="7" t="s">
        <v>2203</v>
      </c>
      <c r="B605" s="7" t="s">
        <v>1905</v>
      </c>
      <c r="C605" s="7" t="s">
        <v>1906</v>
      </c>
      <c r="D605" s="6" t="s">
        <v>646</v>
      </c>
      <c r="E605" s="6" t="s">
        <v>1880</v>
      </c>
      <c r="F605" s="7" t="str">
        <f aca="false">IF($D605="","",IFERROR(IF(INDEX(Hierarchy!$B$2:$B$1295,MATCH($D605,Hierarchy!$A$2:$A$1295,0))="","",INDEX(Hierarchy!$B$2:$B$1295,MATCH($D605,Hierarchy!$A$2:$A$1295,0))),"NODE NOT FOUND"))</f>
        <v>Sub-region component</v>
      </c>
      <c r="G605" s="7" t="str">
        <f aca="false">IF($D605="","",IFERROR(IF(INDEX(Hierarchy!$D$2:$D$1295,MATCH($D605,Hierarchy!$A$2:$A$1295,0))="","",INDEX(Hierarchy!$D$2:$D$1295,MATCH($D605,Hierarchy!$A$2:$A$1295,0))),"NODE NOT FOUND"))</f>
        <v>EMEA</v>
      </c>
      <c r="H605" s="7" t="str">
        <f aca="false">IF($D605="","",IFERROR(IF(INDEX(Hierarchy!$E$2:$E$1295,MATCH($D605,Hierarchy!$A$2:$A$1295,0))="","",INDEX(Hierarchy!$E$2:$E$1295,MATCH($D605,Hierarchy!$A$2:$A$1295,0))),"NODE NOT FOUND"))</f>
        <v>Europe</v>
      </c>
      <c r="I605" s="7" t="str">
        <f aca="false">IF($D605="","",IFERROR(IF(INDEX(Hierarchy!$F$2:$F$1295,MATCH($D605,Hierarchy!$A$2:$A$1295,0))="","",INDEX(Hierarchy!$F$2:$F$1295,MATCH($D605,Hierarchy!$A$2:$A$1295,0))),"NODE NOT FOUND"))</f>
        <v/>
      </c>
      <c r="J605" s="7" t="str">
        <f aca="false">IF($D605="","",IFERROR(IF(INDEX(Hierarchy!$G$2:$G$1295,MATCH($D605,Hierarchy!$A$2:$A$1295,0))="","",INDEX(Hierarchy!$G$2:$G$1295,MATCH($D605,Hierarchy!$A$2:$A$1295,0))),"NODE NOT FOUND"))</f>
        <v/>
      </c>
      <c r="K605" s="7" t="str">
        <f aca="false">IF($D605="","",IFERROR(IF(INDEX(Hierarchy!$H$2:$H$1295,MATCH($D605,Hierarchy!$A$2:$A$1295,0))="","",INDEX(Hierarchy!$H$2:$H$1295,MATCH($D605,Hierarchy!$A$2:$A$1295,0))),"NODE NOT FOUND"))</f>
        <v/>
      </c>
      <c r="L605" s="7" t="str">
        <f aca="false">IF($D605="","",IFERROR(IF(INDEX(Hierarchy!$I$2:$I$1295,MATCH($D605,Hierarchy!$A$2:$A$1295,0))="","",INDEX(Hierarchy!$I$2:$I$1295,MATCH($D605,Hierarchy!$A$2:$A$1295,0))),"NODE NOT FOUND"))</f>
        <v/>
      </c>
      <c r="M605" s="17" t="str">
        <f aca="false">IF(B605="Pre-seeded","Pre-seeded",IF(B605="Review 2026-09-16","Added from review",IF(C605="","New",IF(C605=D605,"","Changed"))))</f>
        <v>Changed</v>
      </c>
      <c r="N605" s="7" t="str">
        <f aca="false">TRIM(SUBSTITUTE(SUBSTITUTE(SUBSTITUTE(" "&amp;TRIM(SUBSTITUTE(SUBSTITUTE(SUBSTITUTE(SUBSTITUTE(SUBSTITUTE(SUBSTITUTE(SUBSTITUTE(SUBSTITUTE(SUBSTITUTE(SUBSTITUTE(SUBSTITUTE(SUBSTITUTE(SUBSTITUTE(SUBSTITUTE(SUBSTITUTE(UPPER(TRIM(A605)),"[MEMBER]",""),"{MEMBER}",""),"[MEMBER}",""),"MEMBER]",""),"(A)",""),"""",""),"“",""),"”",""),".",""),":",""),",",""),"–"," "),"-"," "),"/"," "),"&amp;"," AND "))&amp;" "," THE "," ")," TOTAL "," ")," OPERATIONS "," "))</f>
        <v>GAMESTOP IBERIA</v>
      </c>
      <c r="O605" s="17" t="str">
        <f aca="false">IF(COUNTIFS($N$2:$N$2000,N605,$D$2:$D$2000,"&lt;&gt;"&amp;D605)&gt;0,"CONFLICT","")</f>
        <v/>
      </c>
      <c r="P605" s="7" t="s">
        <v>2204</v>
      </c>
    </row>
    <row r="606" customFormat="false" ht="15" hidden="false" customHeight="false" outlineLevel="0" collapsed="false">
      <c r="A606" s="7" t="s">
        <v>1566</v>
      </c>
      <c r="B606" s="7" t="s">
        <v>1879</v>
      </c>
      <c r="C606" s="7"/>
      <c r="D606" s="6" t="s">
        <v>1566</v>
      </c>
      <c r="E606" s="6" t="s">
        <v>1880</v>
      </c>
      <c r="F606" s="7" t="str">
        <f aca="false">IF($D606="","",IFERROR(IF(INDEX(Hierarchy!$B$2:$B$1295,MATCH($D606,Hierarchy!$A$2:$A$1295,0))="","",INDEX(Hierarchy!$B$2:$B$1295,MATCH($D606,Hierarchy!$A$2:$A$1295,0))),"NODE NOT FOUND"))</f>
        <v>State/Province</v>
      </c>
      <c r="G606" s="7" t="str">
        <f aca="false">IF($D606="","",IFERROR(IF(INDEX(Hierarchy!$D$2:$D$1295,MATCH($D606,Hierarchy!$A$2:$A$1295,0))="","",INDEX(Hierarchy!$D$2:$D$1295,MATCH($D606,Hierarchy!$A$2:$A$1295,0))),"NODE NOT FOUND"))</f>
        <v>APAC</v>
      </c>
      <c r="H606" s="7" t="str">
        <f aca="false">IF($D606="","",IFERROR(IF(INDEX(Hierarchy!$E$2:$E$1295,MATCH($D606,Hierarchy!$A$2:$A$1295,0))="","",INDEX(Hierarchy!$E$2:$E$1295,MATCH($D606,Hierarchy!$A$2:$A$1295,0))),"NODE NOT FOUND"))</f>
        <v>East Asia</v>
      </c>
      <c r="I606" s="7" t="str">
        <f aca="false">IF($D606="","",IFERROR(IF(INDEX(Hierarchy!$F$2:$F$1295,MATCH($D606,Hierarchy!$A$2:$A$1295,0))="","",INDEX(Hierarchy!$F$2:$F$1295,MATCH($D606,Hierarchy!$A$2:$A$1295,0))),"NODE NOT FOUND"))</f>
        <v>South Korea</v>
      </c>
      <c r="J606" s="7" t="str">
        <f aca="false">IF($D606="","",IFERROR(IF(INDEX(Hierarchy!$G$2:$G$1295,MATCH($D606,Hierarchy!$A$2:$A$1295,0))="","",INDEX(Hierarchy!$G$2:$G$1295,MATCH($D606,Hierarchy!$A$2:$A$1295,0))),"NODE NOT FOUND"))</f>
        <v>KOR</v>
      </c>
      <c r="K606" s="7" t="str">
        <f aca="false">IF($D606="","",IFERROR(IF(INDEX(Hierarchy!$H$2:$H$1295,MATCH($D606,Hierarchy!$A$2:$A$1295,0))="","",INDEX(Hierarchy!$H$2:$H$1295,MATCH($D606,Hierarchy!$A$2:$A$1295,0))),"NODE NOT FOUND"))</f>
        <v>Gangwon</v>
      </c>
      <c r="L606" s="7" t="str">
        <f aca="false">IF($D606="","",IFERROR(IF(INDEX(Hierarchy!$I$2:$I$1295,MATCH($D606,Hierarchy!$A$2:$A$1295,0))="","",INDEX(Hierarchy!$I$2:$I$1295,MATCH($D606,Hierarchy!$A$2:$A$1295,0))),"NODE NOT FOUND"))</f>
        <v/>
      </c>
      <c r="M606" s="17" t="str">
        <f aca="false">IF(B606="Pre-seeded","Pre-seeded",IF(B606="Review 2026-09-16","Added from review",IF(C606="","New",IF(C606=D606,"","Changed"))))</f>
        <v>Pre-seeded</v>
      </c>
      <c r="N606" s="7" t="str">
        <f aca="false">TRIM(SUBSTITUTE(SUBSTITUTE(SUBSTITUTE(" "&amp;TRIM(SUBSTITUTE(SUBSTITUTE(SUBSTITUTE(SUBSTITUTE(SUBSTITUTE(SUBSTITUTE(SUBSTITUTE(SUBSTITUTE(SUBSTITUTE(SUBSTITUTE(SUBSTITUTE(SUBSTITUTE(SUBSTITUTE(SUBSTITUTE(SUBSTITUTE(UPPER(TRIM(A606)),"[MEMBER]",""),"{MEMBER}",""),"[MEMBER}",""),"MEMBER]",""),"(A)",""),"""",""),"“",""),"”",""),".",""),":",""),",",""),"–"," "),"-"," "),"/"," "),"&amp;"," AND "))&amp;" "," THE "," ")," TOTAL "," ")," OPERATIONS "," "))</f>
        <v>GANGWON</v>
      </c>
      <c r="O606" s="17" t="str">
        <f aca="false">IF(COUNTIFS($N$2:$N$2000,N606,$D$2:$D$2000,"&lt;&gt;"&amp;D606)&gt;0,"CONFLICT","")</f>
        <v/>
      </c>
      <c r="P606" s="7"/>
    </row>
    <row r="607" customFormat="false" ht="15" hidden="false" customHeight="false" outlineLevel="0" collapsed="false">
      <c r="A607" s="7" t="s">
        <v>1505</v>
      </c>
      <c r="B607" s="7" t="s">
        <v>1879</v>
      </c>
      <c r="C607" s="7"/>
      <c r="D607" s="6" t="s">
        <v>1505</v>
      </c>
      <c r="E607" s="6" t="s">
        <v>1880</v>
      </c>
      <c r="F607" s="7" t="str">
        <f aca="false">IF($D607="","",IFERROR(IF(INDEX(Hierarchy!$B$2:$B$1295,MATCH($D607,Hierarchy!$A$2:$A$1295,0))="","",INDEX(Hierarchy!$B$2:$B$1295,MATCH($D607,Hierarchy!$A$2:$A$1295,0))),"NODE NOT FOUND"))</f>
        <v>State/Province</v>
      </c>
      <c r="G607" s="7" t="str">
        <f aca="false">IF($D607="","",IFERROR(IF(INDEX(Hierarchy!$D$2:$D$1295,MATCH($D607,Hierarchy!$A$2:$A$1295,0))="","",INDEX(Hierarchy!$D$2:$D$1295,MATCH($D607,Hierarchy!$A$2:$A$1295,0))),"NODE NOT FOUND"))</f>
        <v>APAC</v>
      </c>
      <c r="H607" s="7" t="str">
        <f aca="false">IF($D607="","",IFERROR(IF(INDEX(Hierarchy!$E$2:$E$1295,MATCH($D607,Hierarchy!$A$2:$A$1295,0))="","",INDEX(Hierarchy!$E$2:$E$1295,MATCH($D607,Hierarchy!$A$2:$A$1295,0))),"NODE NOT FOUND"))</f>
        <v>East Asia</v>
      </c>
      <c r="I607" s="7" t="str">
        <f aca="false">IF($D607="","",IFERROR(IF(INDEX(Hierarchy!$F$2:$F$1295,MATCH($D607,Hierarchy!$A$2:$A$1295,0))="","",INDEX(Hierarchy!$F$2:$F$1295,MATCH($D607,Hierarchy!$A$2:$A$1295,0))),"NODE NOT FOUND"))</f>
        <v>China</v>
      </c>
      <c r="J607" s="7" t="str">
        <f aca="false">IF($D607="","",IFERROR(IF(INDEX(Hierarchy!$G$2:$G$1295,MATCH($D607,Hierarchy!$A$2:$A$1295,0))="","",INDEX(Hierarchy!$G$2:$G$1295,MATCH($D607,Hierarchy!$A$2:$A$1295,0))),"NODE NOT FOUND"))</f>
        <v>CHN</v>
      </c>
      <c r="K607" s="7" t="str">
        <f aca="false">IF($D607="","",IFERROR(IF(INDEX(Hierarchy!$H$2:$H$1295,MATCH($D607,Hierarchy!$A$2:$A$1295,0))="","",INDEX(Hierarchy!$H$2:$H$1295,MATCH($D607,Hierarchy!$A$2:$A$1295,0))),"NODE NOT FOUND"))</f>
        <v>Gansu</v>
      </c>
      <c r="L607" s="7" t="str">
        <f aca="false">IF($D607="","",IFERROR(IF(INDEX(Hierarchy!$I$2:$I$1295,MATCH($D607,Hierarchy!$A$2:$A$1295,0))="","",INDEX(Hierarchy!$I$2:$I$1295,MATCH($D607,Hierarchy!$A$2:$A$1295,0))),"NODE NOT FOUND"))</f>
        <v/>
      </c>
      <c r="M607" s="17" t="str">
        <f aca="false">IF(B607="Pre-seeded","Pre-seeded",IF(B607="Review 2026-09-16","Added from review",IF(C607="","New",IF(C607=D607,"","Changed"))))</f>
        <v>Pre-seeded</v>
      </c>
      <c r="N607" s="7" t="str">
        <f aca="false">TRIM(SUBSTITUTE(SUBSTITUTE(SUBSTITUTE(" "&amp;TRIM(SUBSTITUTE(SUBSTITUTE(SUBSTITUTE(SUBSTITUTE(SUBSTITUTE(SUBSTITUTE(SUBSTITUTE(SUBSTITUTE(SUBSTITUTE(SUBSTITUTE(SUBSTITUTE(SUBSTITUTE(SUBSTITUTE(SUBSTITUTE(SUBSTITUTE(UPPER(TRIM(A607)),"[MEMBER]",""),"{MEMBER}",""),"[MEMBER}",""),"MEMBER]",""),"(A)",""),"""",""),"“",""),"”",""),".",""),":",""),",",""),"–"," "),"-"," "),"/"," "),"&amp;"," AND "))&amp;" "," THE "," ")," TOTAL "," ")," OPERATIONS "," "))</f>
        <v>GANSU</v>
      </c>
      <c r="O607" s="17" t="str">
        <f aca="false">IF(COUNTIFS($N$2:$N$2000,N607,$D$2:$D$2000,"&lt;&gt;"&amp;D607)&gt;0,"CONFLICT","")</f>
        <v/>
      </c>
      <c r="P607" s="7"/>
    </row>
    <row r="608" customFormat="false" ht="15" hidden="false" customHeight="false" outlineLevel="0" collapsed="false">
      <c r="A608" s="7" t="s">
        <v>1117</v>
      </c>
      <c r="B608" s="7" t="s">
        <v>1879</v>
      </c>
      <c r="C608" s="7"/>
      <c r="D608" s="6" t="s">
        <v>1117</v>
      </c>
      <c r="E608" s="6" t="s">
        <v>1880</v>
      </c>
      <c r="F608" s="7" t="str">
        <f aca="false">IF($D608="","",IFERROR(IF(INDEX(Hierarchy!$B$2:$B$1295,MATCH($D608,Hierarchy!$A$2:$A$1295,0))="","",INDEX(Hierarchy!$B$2:$B$1295,MATCH($D608,Hierarchy!$A$2:$A$1295,0))),"NODE NOT FOUND"))</f>
        <v>State/Province</v>
      </c>
      <c r="G608" s="7" t="str">
        <f aca="false">IF($D608="","",IFERROR(IF(INDEX(Hierarchy!$D$2:$D$1295,MATCH($D608,Hierarchy!$A$2:$A$1295,0))="","",INDEX(Hierarchy!$D$2:$D$1295,MATCH($D608,Hierarchy!$A$2:$A$1295,0))),"NODE NOT FOUND"))</f>
        <v>EMEA</v>
      </c>
      <c r="H608" s="7" t="str">
        <f aca="false">IF($D608="","",IFERROR(IF(INDEX(Hierarchy!$E$2:$E$1295,MATCH($D608,Hierarchy!$A$2:$A$1295,0))="","",INDEX(Hierarchy!$E$2:$E$1295,MATCH($D608,Hierarchy!$A$2:$A$1295,0))),"NODE NOT FOUND"))</f>
        <v>Africa</v>
      </c>
      <c r="I608" s="7" t="str">
        <f aca="false">IF($D608="","",IFERROR(IF(INDEX(Hierarchy!$F$2:$F$1295,MATCH($D608,Hierarchy!$A$2:$A$1295,0))="","",INDEX(Hierarchy!$F$2:$F$1295,MATCH($D608,Hierarchy!$A$2:$A$1295,0))),"NODE NOT FOUND"))</f>
        <v>South Africa</v>
      </c>
      <c r="J608" s="7" t="str">
        <f aca="false">IF($D608="","",IFERROR(IF(INDEX(Hierarchy!$G$2:$G$1295,MATCH($D608,Hierarchy!$A$2:$A$1295,0))="","",INDEX(Hierarchy!$G$2:$G$1295,MATCH($D608,Hierarchy!$A$2:$A$1295,0))),"NODE NOT FOUND"))</f>
        <v>ZAF</v>
      </c>
      <c r="K608" s="7" t="str">
        <f aca="false">IF($D608="","",IFERROR(IF(INDEX(Hierarchy!$H$2:$H$1295,MATCH($D608,Hierarchy!$A$2:$A$1295,0))="","",INDEX(Hierarchy!$H$2:$H$1295,MATCH($D608,Hierarchy!$A$2:$A$1295,0))),"NODE NOT FOUND"))</f>
        <v>Gauteng</v>
      </c>
      <c r="L608" s="7" t="str">
        <f aca="false">IF($D608="","",IFERROR(IF(INDEX(Hierarchy!$I$2:$I$1295,MATCH($D608,Hierarchy!$A$2:$A$1295,0))="","",INDEX(Hierarchy!$I$2:$I$1295,MATCH($D608,Hierarchy!$A$2:$A$1295,0))),"NODE NOT FOUND"))</f>
        <v/>
      </c>
      <c r="M608" s="17" t="str">
        <f aca="false">IF(B608="Pre-seeded","Pre-seeded",IF(B608="Review 2026-09-16","Added from review",IF(C608="","New",IF(C608=D608,"","Changed"))))</f>
        <v>Pre-seeded</v>
      </c>
      <c r="N608" s="7" t="str">
        <f aca="false">TRIM(SUBSTITUTE(SUBSTITUTE(SUBSTITUTE(" "&amp;TRIM(SUBSTITUTE(SUBSTITUTE(SUBSTITUTE(SUBSTITUTE(SUBSTITUTE(SUBSTITUTE(SUBSTITUTE(SUBSTITUTE(SUBSTITUTE(SUBSTITUTE(SUBSTITUTE(SUBSTITUTE(SUBSTITUTE(SUBSTITUTE(SUBSTITUTE(UPPER(TRIM(A608)),"[MEMBER]",""),"{MEMBER}",""),"[MEMBER}",""),"MEMBER]",""),"(A)",""),"""",""),"“",""),"”",""),".",""),":",""),",",""),"–"," "),"-"," "),"/"," "),"&amp;"," AND "))&amp;" "," THE "," ")," TOTAL "," ")," OPERATIONS "," "))</f>
        <v>GAUTENG</v>
      </c>
      <c r="O608" s="17" t="str">
        <f aca="false">IF(COUNTIFS($N$2:$N$2000,N608,$D$2:$D$2000,"&lt;&gt;"&amp;D608)&gt;0,"CONFLICT","")</f>
        <v/>
      </c>
      <c r="P608" s="7"/>
    </row>
    <row r="609" customFormat="false" ht="15" hidden="false" customHeight="false" outlineLevel="0" collapsed="false">
      <c r="A609" s="7" t="s">
        <v>2205</v>
      </c>
      <c r="B609" s="7" t="s">
        <v>1879</v>
      </c>
      <c r="C609" s="7"/>
      <c r="D609" s="6" t="s">
        <v>1031</v>
      </c>
      <c r="E609" s="6" t="s">
        <v>1880</v>
      </c>
      <c r="F609" s="7" t="str">
        <f aca="false">IF($D609="","",IFERROR(IF(INDEX(Hierarchy!$B$2:$B$1295,MATCH($D609,Hierarchy!$A$2:$A$1295,0))="","",INDEX(Hierarchy!$B$2:$B$1295,MATCH($D609,Hierarchy!$A$2:$A$1295,0))),"NODE NOT FOUND"))</f>
        <v>Sub-region component</v>
      </c>
      <c r="G609" s="7" t="str">
        <f aca="false">IF($D609="","",IFERROR(IF(INDEX(Hierarchy!$D$2:$D$1295,MATCH($D609,Hierarchy!$A$2:$A$1295,0))="","",INDEX(Hierarchy!$D$2:$D$1295,MATCH($D609,Hierarchy!$A$2:$A$1295,0))),"NODE NOT FOUND"))</f>
        <v>EMEA</v>
      </c>
      <c r="H609" s="7" t="str">
        <f aca="false">IF($D609="","",IFERROR(IF(INDEX(Hierarchy!$E$2:$E$1295,MATCH($D609,Hierarchy!$A$2:$A$1295,0))="","",INDEX(Hierarchy!$E$2:$E$1295,MATCH($D609,Hierarchy!$A$2:$A$1295,0))),"NODE NOT FOUND"))</f>
        <v>Middle East</v>
      </c>
      <c r="I609" s="7" t="str">
        <f aca="false">IF($D609="","",IFERROR(IF(INDEX(Hierarchy!$F$2:$F$1295,MATCH($D609,Hierarchy!$A$2:$A$1295,0))="","",INDEX(Hierarchy!$F$2:$F$1295,MATCH($D609,Hierarchy!$A$2:$A$1295,0))),"NODE NOT FOUND"))</f>
        <v/>
      </c>
      <c r="J609" s="7" t="str">
        <f aca="false">IF($D609="","",IFERROR(IF(INDEX(Hierarchy!$G$2:$G$1295,MATCH($D609,Hierarchy!$A$2:$A$1295,0))="","",INDEX(Hierarchy!$G$2:$G$1295,MATCH($D609,Hierarchy!$A$2:$A$1295,0))),"NODE NOT FOUND"))</f>
        <v/>
      </c>
      <c r="K609" s="7" t="str">
        <f aca="false">IF($D609="","",IFERROR(IF(INDEX(Hierarchy!$H$2:$H$1295,MATCH($D609,Hierarchy!$A$2:$A$1295,0))="","",INDEX(Hierarchy!$H$2:$H$1295,MATCH($D609,Hierarchy!$A$2:$A$1295,0))),"NODE NOT FOUND"))</f>
        <v/>
      </c>
      <c r="L609" s="7" t="str">
        <f aca="false">IF($D609="","",IFERROR(IF(INDEX(Hierarchy!$I$2:$I$1295,MATCH($D609,Hierarchy!$A$2:$A$1295,0))="","",INDEX(Hierarchy!$I$2:$I$1295,MATCH($D609,Hierarchy!$A$2:$A$1295,0))),"NODE NOT FOUND"))</f>
        <v/>
      </c>
      <c r="M609" s="17" t="str">
        <f aca="false">IF(B609="Pre-seeded","Pre-seeded",IF(B609="Review 2026-09-16","Added from review",IF(C609="","New",IF(C609=D609,"","Changed"))))</f>
        <v>Pre-seeded</v>
      </c>
      <c r="N609" s="7" t="str">
        <f aca="false">TRIM(SUBSTITUTE(SUBSTITUTE(SUBSTITUTE(" "&amp;TRIM(SUBSTITUTE(SUBSTITUTE(SUBSTITUTE(SUBSTITUTE(SUBSTITUTE(SUBSTITUTE(SUBSTITUTE(SUBSTITUTE(SUBSTITUTE(SUBSTITUTE(SUBSTITUTE(SUBSTITUTE(SUBSTITUTE(SUBSTITUTE(SUBSTITUTE(UPPER(TRIM(A609)),"[MEMBER]",""),"{MEMBER}",""),"[MEMBER}",""),"MEMBER]",""),"(A)",""),"""",""),"“",""),"”",""),".",""),":",""),",",""),"–"," "),"-"," "),"/"," "),"&amp;"," AND "))&amp;" "," THE "," ")," TOTAL "," ")," OPERATIONS "," "))</f>
        <v>GCC</v>
      </c>
      <c r="O609" s="17" t="str">
        <f aca="false">IF(COUNTIFS($N$2:$N$2000,N609,$D$2:$D$2000,"&lt;&gt;"&amp;D609)&gt;0,"CONFLICT","")</f>
        <v/>
      </c>
      <c r="P609" s="7"/>
    </row>
    <row r="610" customFormat="false" ht="15" hidden="false" customHeight="false" outlineLevel="0" collapsed="false">
      <c r="A610" s="7" t="s">
        <v>1031</v>
      </c>
      <c r="B610" s="7" t="s">
        <v>1879</v>
      </c>
      <c r="C610" s="7"/>
      <c r="D610" s="6" t="s">
        <v>1031</v>
      </c>
      <c r="E610" s="6" t="s">
        <v>1880</v>
      </c>
      <c r="F610" s="7" t="str">
        <f aca="false">IF($D610="","",IFERROR(IF(INDEX(Hierarchy!$B$2:$B$1295,MATCH($D610,Hierarchy!$A$2:$A$1295,0))="","",INDEX(Hierarchy!$B$2:$B$1295,MATCH($D610,Hierarchy!$A$2:$A$1295,0))),"NODE NOT FOUND"))</f>
        <v>Sub-region component</v>
      </c>
      <c r="G610" s="7" t="str">
        <f aca="false">IF($D610="","",IFERROR(IF(INDEX(Hierarchy!$D$2:$D$1295,MATCH($D610,Hierarchy!$A$2:$A$1295,0))="","",INDEX(Hierarchy!$D$2:$D$1295,MATCH($D610,Hierarchy!$A$2:$A$1295,0))),"NODE NOT FOUND"))</f>
        <v>EMEA</v>
      </c>
      <c r="H610" s="7" t="str">
        <f aca="false">IF($D610="","",IFERROR(IF(INDEX(Hierarchy!$E$2:$E$1295,MATCH($D610,Hierarchy!$A$2:$A$1295,0))="","",INDEX(Hierarchy!$E$2:$E$1295,MATCH($D610,Hierarchy!$A$2:$A$1295,0))),"NODE NOT FOUND"))</f>
        <v>Middle East</v>
      </c>
      <c r="I610" s="7" t="str">
        <f aca="false">IF($D610="","",IFERROR(IF(INDEX(Hierarchy!$F$2:$F$1295,MATCH($D610,Hierarchy!$A$2:$A$1295,0))="","",INDEX(Hierarchy!$F$2:$F$1295,MATCH($D610,Hierarchy!$A$2:$A$1295,0))),"NODE NOT FOUND"))</f>
        <v/>
      </c>
      <c r="J610" s="7" t="str">
        <f aca="false">IF($D610="","",IFERROR(IF(INDEX(Hierarchy!$G$2:$G$1295,MATCH($D610,Hierarchy!$A$2:$A$1295,0))="","",INDEX(Hierarchy!$G$2:$G$1295,MATCH($D610,Hierarchy!$A$2:$A$1295,0))),"NODE NOT FOUND"))</f>
        <v/>
      </c>
      <c r="K610" s="7" t="str">
        <f aca="false">IF($D610="","",IFERROR(IF(INDEX(Hierarchy!$H$2:$H$1295,MATCH($D610,Hierarchy!$A$2:$A$1295,0))="","",INDEX(Hierarchy!$H$2:$H$1295,MATCH($D610,Hierarchy!$A$2:$A$1295,0))),"NODE NOT FOUND"))</f>
        <v/>
      </c>
      <c r="L610" s="7" t="str">
        <f aca="false">IF($D610="","",IFERROR(IF(INDEX(Hierarchy!$I$2:$I$1295,MATCH($D610,Hierarchy!$A$2:$A$1295,0))="","",INDEX(Hierarchy!$I$2:$I$1295,MATCH($D610,Hierarchy!$A$2:$A$1295,0))),"NODE NOT FOUND"))</f>
        <v/>
      </c>
      <c r="M610" s="17" t="str">
        <f aca="false">IF(B610="Pre-seeded","Pre-seeded",IF(B610="Review 2026-09-16","Added from review",IF(C610="","New",IF(C610=D610,"","Changed"))))</f>
        <v>Pre-seeded</v>
      </c>
      <c r="N610" s="7" t="str">
        <f aca="false">TRIM(SUBSTITUTE(SUBSTITUTE(SUBSTITUTE(" "&amp;TRIM(SUBSTITUTE(SUBSTITUTE(SUBSTITUTE(SUBSTITUTE(SUBSTITUTE(SUBSTITUTE(SUBSTITUTE(SUBSTITUTE(SUBSTITUTE(SUBSTITUTE(SUBSTITUTE(SUBSTITUTE(SUBSTITUTE(SUBSTITUTE(SUBSTITUTE(UPPER(TRIM(A610)),"[MEMBER]",""),"{MEMBER}",""),"[MEMBER}",""),"MEMBER]",""),"(A)",""),"""",""),"“",""),"”",""),".",""),":",""),",",""),"–"," "),"-"," "),"/"," "),"&amp;"," AND "))&amp;" "," THE "," ")," TOTAL "," ")," OPERATIONS "," "))</f>
        <v>GCC (GULF COOPERATION COUNCIL)</v>
      </c>
      <c r="O610" s="17" t="str">
        <f aca="false">IF(COUNTIFS($N$2:$N$2000,N610,$D$2:$D$2000,"&lt;&gt;"&amp;D610)&gt;0,"CONFLICT","")</f>
        <v/>
      </c>
      <c r="P610" s="7"/>
    </row>
    <row r="611" customFormat="false" ht="15" hidden="false" customHeight="false" outlineLevel="0" collapsed="false">
      <c r="A611" s="7" t="s">
        <v>888</v>
      </c>
      <c r="B611" s="7" t="s">
        <v>1879</v>
      </c>
      <c r="C611" s="7"/>
      <c r="D611" s="6" t="s">
        <v>888</v>
      </c>
      <c r="E611" s="6" t="s">
        <v>1880</v>
      </c>
      <c r="F611" s="7" t="str">
        <f aca="false">IF($D611="","",IFERROR(IF(INDEX(Hierarchy!$B$2:$B$1295,MATCH($D611,Hierarchy!$A$2:$A$1295,0))="","",INDEX(Hierarchy!$B$2:$B$1295,MATCH($D611,Hierarchy!$A$2:$A$1295,0))),"NODE NOT FOUND"))</f>
        <v>State/Province</v>
      </c>
      <c r="G611" s="7" t="str">
        <f aca="false">IF($D611="","",IFERROR(IF(INDEX(Hierarchy!$D$2:$D$1295,MATCH($D611,Hierarchy!$A$2:$A$1295,0))="","",INDEX(Hierarchy!$D$2:$D$1295,MATCH($D611,Hierarchy!$A$2:$A$1295,0))),"NODE NOT FOUND"))</f>
        <v>EMEA</v>
      </c>
      <c r="H611" s="7" t="str">
        <f aca="false">IF($D611="","",IFERROR(IF(INDEX(Hierarchy!$E$2:$E$1295,MATCH($D611,Hierarchy!$A$2:$A$1295,0))="","",INDEX(Hierarchy!$E$2:$E$1295,MATCH($D611,Hierarchy!$A$2:$A$1295,0))),"NODE NOT FOUND"))</f>
        <v>Europe</v>
      </c>
      <c r="I611" s="7" t="str">
        <f aca="false">IF($D611="","",IFERROR(IF(INDEX(Hierarchy!$F$2:$F$1295,MATCH($D611,Hierarchy!$A$2:$A$1295,0))="","",INDEX(Hierarchy!$F$2:$F$1295,MATCH($D611,Hierarchy!$A$2:$A$1295,0))),"NODE NOT FOUND"))</f>
        <v>Netherlands</v>
      </c>
      <c r="J611" s="7" t="str">
        <f aca="false">IF($D611="","",IFERROR(IF(INDEX(Hierarchy!$G$2:$G$1295,MATCH($D611,Hierarchy!$A$2:$A$1295,0))="","",INDEX(Hierarchy!$G$2:$G$1295,MATCH($D611,Hierarchy!$A$2:$A$1295,0))),"NODE NOT FOUND"))</f>
        <v>NLD</v>
      </c>
      <c r="K611" s="7" t="str">
        <f aca="false">IF($D611="","",IFERROR(IF(INDEX(Hierarchy!$H$2:$H$1295,MATCH($D611,Hierarchy!$A$2:$A$1295,0))="","",INDEX(Hierarchy!$H$2:$H$1295,MATCH($D611,Hierarchy!$A$2:$A$1295,0))),"NODE NOT FOUND"))</f>
        <v>Gelderland</v>
      </c>
      <c r="L611" s="7" t="str">
        <f aca="false">IF($D611="","",IFERROR(IF(INDEX(Hierarchy!$I$2:$I$1295,MATCH($D611,Hierarchy!$A$2:$A$1295,0))="","",INDEX(Hierarchy!$I$2:$I$1295,MATCH($D611,Hierarchy!$A$2:$A$1295,0))),"NODE NOT FOUND"))</f>
        <v/>
      </c>
      <c r="M611" s="17" t="str">
        <f aca="false">IF(B611="Pre-seeded","Pre-seeded",IF(B611="Review 2026-09-16","Added from review",IF(C611="","New",IF(C611=D611,"","Changed"))))</f>
        <v>Pre-seeded</v>
      </c>
      <c r="N611" s="7" t="str">
        <f aca="false">TRIM(SUBSTITUTE(SUBSTITUTE(SUBSTITUTE(" "&amp;TRIM(SUBSTITUTE(SUBSTITUTE(SUBSTITUTE(SUBSTITUTE(SUBSTITUTE(SUBSTITUTE(SUBSTITUTE(SUBSTITUTE(SUBSTITUTE(SUBSTITUTE(SUBSTITUTE(SUBSTITUTE(SUBSTITUTE(SUBSTITUTE(SUBSTITUTE(UPPER(TRIM(A611)),"[MEMBER]",""),"{MEMBER}",""),"[MEMBER}",""),"MEMBER]",""),"(A)",""),"""",""),"“",""),"”",""),".",""),":",""),",",""),"–"," "),"-"," "),"/"," "),"&amp;"," AND "))&amp;" "," THE "," ")," TOTAL "," ")," OPERATIONS "," "))</f>
        <v>GELDERLAND</v>
      </c>
      <c r="O611" s="17" t="str">
        <f aca="false">IF(COUNTIFS($N$2:$N$2000,N611,$D$2:$D$2000,"&lt;&gt;"&amp;D611)&gt;0,"CONFLICT","")</f>
        <v/>
      </c>
      <c r="P611" s="7"/>
    </row>
    <row r="612" customFormat="false" ht="15" hidden="false" customHeight="false" outlineLevel="0" collapsed="false">
      <c r="A612" s="7" t="s">
        <v>989</v>
      </c>
      <c r="B612" s="7" t="s">
        <v>1879</v>
      </c>
      <c r="C612" s="7"/>
      <c r="D612" s="6" t="s">
        <v>989</v>
      </c>
      <c r="E612" s="6" t="s">
        <v>1880</v>
      </c>
      <c r="F612" s="7" t="str">
        <f aca="false">IF($D612="","",IFERROR(IF(INDEX(Hierarchy!$B$2:$B$1295,MATCH($D612,Hierarchy!$A$2:$A$1295,0))="","",INDEX(Hierarchy!$B$2:$B$1295,MATCH($D612,Hierarchy!$A$2:$A$1295,0))),"NODE NOT FOUND"))</f>
        <v>State/Province</v>
      </c>
      <c r="G612" s="7" t="str">
        <f aca="false">IF($D612="","",IFERROR(IF(INDEX(Hierarchy!$D$2:$D$1295,MATCH($D612,Hierarchy!$A$2:$A$1295,0))="","",INDEX(Hierarchy!$D$2:$D$1295,MATCH($D612,Hierarchy!$A$2:$A$1295,0))),"NODE NOT FOUND"))</f>
        <v>EMEA</v>
      </c>
      <c r="H612" s="7" t="str">
        <f aca="false">IF($D612="","",IFERROR(IF(INDEX(Hierarchy!$E$2:$E$1295,MATCH($D612,Hierarchy!$A$2:$A$1295,0))="","",INDEX(Hierarchy!$E$2:$E$1295,MATCH($D612,Hierarchy!$A$2:$A$1295,0))),"NODE NOT FOUND"))</f>
        <v>Europe</v>
      </c>
      <c r="I612" s="7" t="str">
        <f aca="false">IF($D612="","",IFERROR(IF(INDEX(Hierarchy!$F$2:$F$1295,MATCH($D612,Hierarchy!$A$2:$A$1295,0))="","",INDEX(Hierarchy!$F$2:$F$1295,MATCH($D612,Hierarchy!$A$2:$A$1295,0))),"NODE NOT FOUND"))</f>
        <v>Switzerland</v>
      </c>
      <c r="J612" s="7" t="str">
        <f aca="false">IF($D612="","",IFERROR(IF(INDEX(Hierarchy!$G$2:$G$1295,MATCH($D612,Hierarchy!$A$2:$A$1295,0))="","",INDEX(Hierarchy!$G$2:$G$1295,MATCH($D612,Hierarchy!$A$2:$A$1295,0))),"NODE NOT FOUND"))</f>
        <v>CHE</v>
      </c>
      <c r="K612" s="7" t="str">
        <f aca="false">IF($D612="","",IFERROR(IF(INDEX(Hierarchy!$H$2:$H$1295,MATCH($D612,Hierarchy!$A$2:$A$1295,0))="","",INDEX(Hierarchy!$H$2:$H$1295,MATCH($D612,Hierarchy!$A$2:$A$1295,0))),"NODE NOT FOUND"))</f>
        <v>Geneva (canton)</v>
      </c>
      <c r="L612" s="7" t="str">
        <f aca="false">IF($D612="","",IFERROR(IF(INDEX(Hierarchy!$I$2:$I$1295,MATCH($D612,Hierarchy!$A$2:$A$1295,0))="","",INDEX(Hierarchy!$I$2:$I$1295,MATCH($D612,Hierarchy!$A$2:$A$1295,0))),"NODE NOT FOUND"))</f>
        <v/>
      </c>
      <c r="M612" s="17" t="str">
        <f aca="false">IF(B612="Pre-seeded","Pre-seeded",IF(B612="Review 2026-09-16","Added from review",IF(C612="","New",IF(C612=D612,"","Changed"))))</f>
        <v>Pre-seeded</v>
      </c>
      <c r="N612" s="7" t="str">
        <f aca="false">TRIM(SUBSTITUTE(SUBSTITUTE(SUBSTITUTE(" "&amp;TRIM(SUBSTITUTE(SUBSTITUTE(SUBSTITUTE(SUBSTITUTE(SUBSTITUTE(SUBSTITUTE(SUBSTITUTE(SUBSTITUTE(SUBSTITUTE(SUBSTITUTE(SUBSTITUTE(SUBSTITUTE(SUBSTITUTE(SUBSTITUTE(SUBSTITUTE(UPPER(TRIM(A612)),"[MEMBER]",""),"{MEMBER}",""),"[MEMBER}",""),"MEMBER]",""),"(A)",""),"""",""),"“",""),"”",""),".",""),":",""),",",""),"–"," "),"-"," "),"/"," "),"&amp;"," AND "))&amp;" "," THE "," ")," TOTAL "," ")," OPERATIONS "," "))</f>
        <v>GENEVA (CANTON)</v>
      </c>
      <c r="O612" s="17" t="str">
        <f aca="false">IF(COUNTIFS($N$2:$N$2000,N612,$D$2:$D$2000,"&lt;&gt;"&amp;D612)&gt;0,"CONFLICT","")</f>
        <v/>
      </c>
      <c r="P612" s="7"/>
    </row>
    <row r="613" customFormat="false" ht="15" hidden="false" customHeight="false" outlineLevel="0" collapsed="false">
      <c r="A613" s="7" t="s">
        <v>2206</v>
      </c>
      <c r="B613" s="7" t="s">
        <v>1882</v>
      </c>
      <c r="C613" s="7" t="s">
        <v>2207</v>
      </c>
      <c r="D613" s="6" t="s">
        <v>1784</v>
      </c>
      <c r="E613" s="6" t="s">
        <v>1880</v>
      </c>
      <c r="F613" s="7" t="str">
        <f aca="false">IF($D613="","",IFERROR(IF(INDEX(Hierarchy!$B$2:$B$1295,MATCH($D613,Hierarchy!$A$2:$A$1295,0))="","",INDEX(Hierarchy!$B$2:$B$1295,MATCH($D613,Hierarchy!$A$2:$A$1295,0))),"NODE NOT FOUND"))</f>
        <v>Bucket</v>
      </c>
      <c r="G613" s="7" t="str">
        <f aca="false">IF($D613="","",IFERROR(IF(INDEX(Hierarchy!$D$2:$D$1295,MATCH($D613,Hierarchy!$A$2:$A$1295,0))="","",INDEX(Hierarchy!$D$2:$D$1295,MATCH($D613,Hierarchy!$A$2:$A$1295,0))),"NODE NOT FOUND"))</f>
        <v>Non-regional</v>
      </c>
      <c r="H613" s="7" t="str">
        <f aca="false">IF($D613="","",IFERROR(IF(INDEX(Hierarchy!$E$2:$E$1295,MATCH($D613,Hierarchy!$A$2:$A$1295,0))="","",INDEX(Hierarchy!$E$2:$E$1295,MATCH($D613,Hierarchy!$A$2:$A$1295,0))),"NODE NOT FOUND"))</f>
        <v/>
      </c>
      <c r="I613" s="7" t="str">
        <f aca="false">IF($D613="","",IFERROR(IF(INDEX(Hierarchy!$F$2:$F$1295,MATCH($D613,Hierarchy!$A$2:$A$1295,0))="","",INDEX(Hierarchy!$F$2:$F$1295,MATCH($D613,Hierarchy!$A$2:$A$1295,0))),"NODE NOT FOUND"))</f>
        <v/>
      </c>
      <c r="J613" s="7" t="str">
        <f aca="false">IF($D613="","",IFERROR(IF(INDEX(Hierarchy!$G$2:$G$1295,MATCH($D613,Hierarchy!$A$2:$A$1295,0))="","",INDEX(Hierarchy!$G$2:$G$1295,MATCH($D613,Hierarchy!$A$2:$A$1295,0))),"NODE NOT FOUND"))</f>
        <v/>
      </c>
      <c r="K613" s="7" t="str">
        <f aca="false">IF($D613="","",IFERROR(IF(INDEX(Hierarchy!$H$2:$H$1295,MATCH($D613,Hierarchy!$A$2:$A$1295,0))="","",INDEX(Hierarchy!$H$2:$H$1295,MATCH($D613,Hierarchy!$A$2:$A$1295,0))),"NODE NOT FOUND"))</f>
        <v/>
      </c>
      <c r="L613" s="7" t="str">
        <f aca="false">IF($D613="","",IFERROR(IF(INDEX(Hierarchy!$I$2:$I$1295,MATCH($D613,Hierarchy!$A$2:$A$1295,0))="","",INDEX(Hierarchy!$I$2:$I$1295,MATCH($D613,Hierarchy!$A$2:$A$1295,0))),"NODE NOT FOUND"))</f>
        <v/>
      </c>
      <c r="M613" s="17" t="str">
        <f aca="false">IF(B613="Pre-seeded","Pre-seeded",IF(B613="Review 2026-09-16","Added from review",IF(C613="","New",IF(C613=D613,"","Changed"))))</f>
        <v>Changed</v>
      </c>
      <c r="N613" s="7" t="str">
        <f aca="false">TRIM(SUBSTITUTE(SUBSTITUTE(SUBSTITUTE(" "&amp;TRIM(SUBSTITUTE(SUBSTITUTE(SUBSTITUTE(SUBSTITUTE(SUBSTITUTE(SUBSTITUTE(SUBSTITUTE(SUBSTITUTE(SUBSTITUTE(SUBSTITUTE(SUBSTITUTE(SUBSTITUTE(SUBSTITUTE(SUBSTITUTE(SUBSTITUTE(UPPER(TRIM(A613)),"[MEMBER]",""),"{MEMBER}",""),"[MEMBER}",""),"MEMBER]",""),"(A)",""),"""",""),"“",""),"”",""),".",""),":",""),",",""),"–"," "),"-"," "),"/"," "),"&amp;"," AND "))&amp;" "," THE "," ")," TOTAL "," ")," OPERATIONS "," "))</f>
        <v>GEOGRAPHICAL OUTSIDE UNITED STATES</v>
      </c>
      <c r="O613" s="17" t="str">
        <f aca="false">IF(COUNTIFS($N$2:$N$2000,N613,$D$2:$D$2000,"&lt;&gt;"&amp;D613)&gt;0,"CONFLICT","")</f>
        <v/>
      </c>
      <c r="P613" s="7" t="s">
        <v>2208</v>
      </c>
    </row>
    <row r="614" customFormat="false" ht="15" hidden="false" customHeight="false" outlineLevel="0" collapsed="false">
      <c r="A614" s="7" t="s">
        <v>170</v>
      </c>
      <c r="B614" s="7" t="s">
        <v>1882</v>
      </c>
      <c r="C614" s="7" t="s">
        <v>170</v>
      </c>
      <c r="D614" s="6" t="s">
        <v>170</v>
      </c>
      <c r="E614" s="6" t="s">
        <v>1880</v>
      </c>
      <c r="F614" s="7" t="str">
        <f aca="false">IF($D614="","",IFERROR(IF(INDEX(Hierarchy!$B$2:$B$1295,MATCH($D614,Hierarchy!$A$2:$A$1295,0))="","",INDEX(Hierarchy!$B$2:$B$1295,MATCH($D614,Hierarchy!$A$2:$A$1295,0))),"NODE NOT FOUND"))</f>
        <v>State/Province</v>
      </c>
      <c r="G614" s="7" t="str">
        <f aca="false">IF($D614="","",IFERROR(IF(INDEX(Hierarchy!$D$2:$D$1295,MATCH($D614,Hierarchy!$A$2:$A$1295,0))="","",INDEX(Hierarchy!$D$2:$D$1295,MATCH($D614,Hierarchy!$A$2:$A$1295,0))),"NODE NOT FOUND"))</f>
        <v>AMER</v>
      </c>
      <c r="H614" s="7" t="str">
        <f aca="false">IF($D614="","",IFERROR(IF(INDEX(Hierarchy!$E$2:$E$1295,MATCH($D614,Hierarchy!$A$2:$A$1295,0))="","",INDEX(Hierarchy!$E$2:$E$1295,MATCH($D614,Hierarchy!$A$2:$A$1295,0))),"NODE NOT FOUND"))</f>
        <v>North America (NORAM)</v>
      </c>
      <c r="I614" s="7" t="str">
        <f aca="false">IF($D614="","",IFERROR(IF(INDEX(Hierarchy!$F$2:$F$1295,MATCH($D614,Hierarchy!$A$2:$A$1295,0))="","",INDEX(Hierarchy!$F$2:$F$1295,MATCH($D614,Hierarchy!$A$2:$A$1295,0))),"NODE NOT FOUND"))</f>
        <v>United States</v>
      </c>
      <c r="J614" s="7" t="str">
        <f aca="false">IF($D614="","",IFERROR(IF(INDEX(Hierarchy!$G$2:$G$1295,MATCH($D614,Hierarchy!$A$2:$A$1295,0))="","",INDEX(Hierarchy!$G$2:$G$1295,MATCH($D614,Hierarchy!$A$2:$A$1295,0))),"NODE NOT FOUND"))</f>
        <v>USA</v>
      </c>
      <c r="K614" s="7" t="str">
        <f aca="false">IF($D614="","",IFERROR(IF(INDEX(Hierarchy!$H$2:$H$1295,MATCH($D614,Hierarchy!$A$2:$A$1295,0))="","",INDEX(Hierarchy!$H$2:$H$1295,MATCH($D614,Hierarchy!$A$2:$A$1295,0))),"NODE NOT FOUND"))</f>
        <v>Georgia</v>
      </c>
      <c r="L614" s="7" t="str">
        <f aca="false">IF($D614="","",IFERROR(IF(INDEX(Hierarchy!$I$2:$I$1295,MATCH($D614,Hierarchy!$A$2:$A$1295,0))="","",INDEX(Hierarchy!$I$2:$I$1295,MATCH($D614,Hierarchy!$A$2:$A$1295,0))),"NODE NOT FOUND"))</f>
        <v/>
      </c>
      <c r="M614" s="17" t="str">
        <f aca="false">IF(B614="Pre-seeded","Pre-seeded",IF(B614="Review 2026-09-16","Added from review",IF(C614="","New",IF(C614=D614,"","Changed"))))</f>
        <v/>
      </c>
      <c r="N614" s="7" t="str">
        <f aca="false">TRIM(SUBSTITUTE(SUBSTITUTE(SUBSTITUTE(" "&amp;TRIM(SUBSTITUTE(SUBSTITUTE(SUBSTITUTE(SUBSTITUTE(SUBSTITUTE(SUBSTITUTE(SUBSTITUTE(SUBSTITUTE(SUBSTITUTE(SUBSTITUTE(SUBSTITUTE(SUBSTITUTE(SUBSTITUTE(SUBSTITUTE(SUBSTITUTE(UPPER(TRIM(A614)),"[MEMBER]",""),"{MEMBER}",""),"[MEMBER}",""),"MEMBER]",""),"(A)",""),"""",""),"“",""),"”",""),".",""),":",""),",",""),"–"," "),"-"," "),"/"," "),"&amp;"," AND "))&amp;" "," THE "," ")," TOTAL "," ")," OPERATIONS "," "))</f>
        <v>GEORGIA</v>
      </c>
      <c r="O614" s="17" t="str">
        <f aca="false">IF(COUNTIFS($N$2:$N$2000,N614,$D$2:$D$2000,"&lt;&gt;"&amp;D614)&gt;0,"CONFLICT","")</f>
        <v/>
      </c>
      <c r="P614" s="7" t="s">
        <v>2209</v>
      </c>
    </row>
    <row r="615" customFormat="false" ht="15" hidden="false" customHeight="false" outlineLevel="0" collapsed="false">
      <c r="A615" s="7" t="s">
        <v>2210</v>
      </c>
      <c r="B615" s="7" t="s">
        <v>1882</v>
      </c>
      <c r="C615" s="7" t="s">
        <v>170</v>
      </c>
      <c r="D615" s="6" t="s">
        <v>170</v>
      </c>
      <c r="E615" s="6" t="s">
        <v>1880</v>
      </c>
      <c r="F615" s="7" t="str">
        <f aca="false">IF($D615="","",IFERROR(IF(INDEX(Hierarchy!$B$2:$B$1295,MATCH($D615,Hierarchy!$A$2:$A$1295,0))="","",INDEX(Hierarchy!$B$2:$B$1295,MATCH($D615,Hierarchy!$A$2:$A$1295,0))),"NODE NOT FOUND"))</f>
        <v>State/Province</v>
      </c>
      <c r="G615" s="7" t="str">
        <f aca="false">IF($D615="","",IFERROR(IF(INDEX(Hierarchy!$D$2:$D$1295,MATCH($D615,Hierarchy!$A$2:$A$1295,0))="","",INDEX(Hierarchy!$D$2:$D$1295,MATCH($D615,Hierarchy!$A$2:$A$1295,0))),"NODE NOT FOUND"))</f>
        <v>AMER</v>
      </c>
      <c r="H615" s="7" t="str">
        <f aca="false">IF($D615="","",IFERROR(IF(INDEX(Hierarchy!$E$2:$E$1295,MATCH($D615,Hierarchy!$A$2:$A$1295,0))="","",INDEX(Hierarchy!$E$2:$E$1295,MATCH($D615,Hierarchy!$A$2:$A$1295,0))),"NODE NOT FOUND"))</f>
        <v>North America (NORAM)</v>
      </c>
      <c r="I615" s="7" t="str">
        <f aca="false">IF($D615="","",IFERROR(IF(INDEX(Hierarchy!$F$2:$F$1295,MATCH($D615,Hierarchy!$A$2:$A$1295,0))="","",INDEX(Hierarchy!$F$2:$F$1295,MATCH($D615,Hierarchy!$A$2:$A$1295,0))),"NODE NOT FOUND"))</f>
        <v>United States</v>
      </c>
      <c r="J615" s="7" t="str">
        <f aca="false">IF($D615="","",IFERROR(IF(INDEX(Hierarchy!$G$2:$G$1295,MATCH($D615,Hierarchy!$A$2:$A$1295,0))="","",INDEX(Hierarchy!$G$2:$G$1295,MATCH($D615,Hierarchy!$A$2:$A$1295,0))),"NODE NOT FOUND"))</f>
        <v>USA</v>
      </c>
      <c r="K615" s="7" t="str">
        <f aca="false">IF($D615="","",IFERROR(IF(INDEX(Hierarchy!$H$2:$H$1295,MATCH($D615,Hierarchy!$A$2:$A$1295,0))="","",INDEX(Hierarchy!$H$2:$H$1295,MATCH($D615,Hierarchy!$A$2:$A$1295,0))),"NODE NOT FOUND"))</f>
        <v>Georgia</v>
      </c>
      <c r="L615" s="7" t="str">
        <f aca="false">IF($D615="","",IFERROR(IF(INDEX(Hierarchy!$I$2:$I$1295,MATCH($D615,Hierarchy!$A$2:$A$1295,0))="","",INDEX(Hierarchy!$I$2:$I$1295,MATCH($D615,Hierarchy!$A$2:$A$1295,0))),"NODE NOT FOUND"))</f>
        <v/>
      </c>
      <c r="M615" s="17" t="str">
        <f aca="false">IF(B615="Pre-seeded","Pre-seeded",IF(B615="Review 2026-09-16","Added from review",IF(C615="","New",IF(C615=D615,"","Changed"))))</f>
        <v/>
      </c>
      <c r="N615" s="7" t="str">
        <f aca="false">TRIM(SUBSTITUTE(SUBSTITUTE(SUBSTITUTE(" "&amp;TRIM(SUBSTITUTE(SUBSTITUTE(SUBSTITUTE(SUBSTITUTE(SUBSTITUTE(SUBSTITUTE(SUBSTITUTE(SUBSTITUTE(SUBSTITUTE(SUBSTITUTE(SUBSTITUTE(SUBSTITUTE(SUBSTITUTE(SUBSTITUTE(SUBSTITUTE(UPPER(TRIM(A615)),"[MEMBER]",""),"{MEMBER}",""),"[MEMBER}",""),"MEMBER]",""),"(A)",""),"""",""),"“",""),"”",""),".",""),":",""),",",""),"–"," "),"-"," "),"/"," "),"&amp;"," AND "))&amp;" "," THE "," ")," TOTAL "," ")," OPERATIONS "," "))</f>
        <v>GEORGIA</v>
      </c>
      <c r="O615" s="17" t="str">
        <f aca="false">IF(COUNTIFS($N$2:$N$2000,N615,$D$2:$D$2000,"&lt;&gt;"&amp;D615)&gt;0,"CONFLICT","")</f>
        <v/>
      </c>
      <c r="P615" s="7" t="s">
        <v>2209</v>
      </c>
    </row>
    <row r="616" customFormat="false" ht="15" hidden="false" customHeight="false" outlineLevel="0" collapsed="false">
      <c r="A616" s="7" t="s">
        <v>800</v>
      </c>
      <c r="B616" s="7" t="s">
        <v>1879</v>
      </c>
      <c r="C616" s="7"/>
      <c r="D616" s="6" t="s">
        <v>800</v>
      </c>
      <c r="E616" s="6" t="s">
        <v>1880</v>
      </c>
      <c r="F616" s="7" t="str">
        <f aca="false">IF($D616="","",IFERROR(IF(INDEX(Hierarchy!$B$2:$B$1295,MATCH($D616,Hierarchy!$A$2:$A$1295,0))="","",INDEX(Hierarchy!$B$2:$B$1295,MATCH($D616,Hierarchy!$A$2:$A$1295,0))),"NODE NOT FOUND"))</f>
        <v>Country</v>
      </c>
      <c r="G616" s="7" t="str">
        <f aca="false">IF($D616="","",IFERROR(IF(INDEX(Hierarchy!$D$2:$D$1295,MATCH($D616,Hierarchy!$A$2:$A$1295,0))="","",INDEX(Hierarchy!$D$2:$D$1295,MATCH($D616,Hierarchy!$A$2:$A$1295,0))),"NODE NOT FOUND"))</f>
        <v>EMEA</v>
      </c>
      <c r="H616" s="7" t="str">
        <f aca="false">IF($D616="","",IFERROR(IF(INDEX(Hierarchy!$E$2:$E$1295,MATCH($D616,Hierarchy!$A$2:$A$1295,0))="","",INDEX(Hierarchy!$E$2:$E$1295,MATCH($D616,Hierarchy!$A$2:$A$1295,0))),"NODE NOT FOUND"))</f>
        <v>Europe</v>
      </c>
      <c r="I616" s="7" t="str">
        <f aca="false">IF($D616="","",IFERROR(IF(INDEX(Hierarchy!$F$2:$F$1295,MATCH($D616,Hierarchy!$A$2:$A$1295,0))="","",INDEX(Hierarchy!$F$2:$F$1295,MATCH($D616,Hierarchy!$A$2:$A$1295,0))),"NODE NOT FOUND"))</f>
        <v>Georgia (Country)</v>
      </c>
      <c r="J616" s="7" t="str">
        <f aca="false">IF($D616="","",IFERROR(IF(INDEX(Hierarchy!$G$2:$G$1295,MATCH($D616,Hierarchy!$A$2:$A$1295,0))="","",INDEX(Hierarchy!$G$2:$G$1295,MATCH($D616,Hierarchy!$A$2:$A$1295,0))),"NODE NOT FOUND"))</f>
        <v>GEO</v>
      </c>
      <c r="K616" s="7" t="str">
        <f aca="false">IF($D616="","",IFERROR(IF(INDEX(Hierarchy!$H$2:$H$1295,MATCH($D616,Hierarchy!$A$2:$A$1295,0))="","",INDEX(Hierarchy!$H$2:$H$1295,MATCH($D616,Hierarchy!$A$2:$A$1295,0))),"NODE NOT FOUND"))</f>
        <v/>
      </c>
      <c r="L616" s="7" t="str">
        <f aca="false">IF($D616="","",IFERROR(IF(INDEX(Hierarchy!$I$2:$I$1295,MATCH($D616,Hierarchy!$A$2:$A$1295,0))="","",INDEX(Hierarchy!$I$2:$I$1295,MATCH($D616,Hierarchy!$A$2:$A$1295,0))),"NODE NOT FOUND"))</f>
        <v/>
      </c>
      <c r="M616" s="17" t="str">
        <f aca="false">IF(B616="Pre-seeded","Pre-seeded",IF(B616="Review 2026-09-16","Added from review",IF(C616="","New",IF(C616=D616,"","Changed"))))</f>
        <v>Pre-seeded</v>
      </c>
      <c r="N616" s="7" t="str">
        <f aca="false">TRIM(SUBSTITUTE(SUBSTITUTE(SUBSTITUTE(" "&amp;TRIM(SUBSTITUTE(SUBSTITUTE(SUBSTITUTE(SUBSTITUTE(SUBSTITUTE(SUBSTITUTE(SUBSTITUTE(SUBSTITUTE(SUBSTITUTE(SUBSTITUTE(SUBSTITUTE(SUBSTITUTE(SUBSTITUTE(SUBSTITUTE(SUBSTITUTE(UPPER(TRIM(A616)),"[MEMBER]",""),"{MEMBER}",""),"[MEMBER}",""),"MEMBER]",""),"(A)",""),"""",""),"“",""),"”",""),".",""),":",""),",",""),"–"," "),"-"," "),"/"," "),"&amp;"," AND "))&amp;" "," THE "," ")," TOTAL "," ")," OPERATIONS "," "))</f>
        <v>GEORGIA (COUNTRY)</v>
      </c>
      <c r="O616" s="17" t="str">
        <f aca="false">IF(COUNTIFS($N$2:$N$2000,N616,$D$2:$D$2000,"&lt;&gt;"&amp;D616)&gt;0,"CONFLICT","")</f>
        <v/>
      </c>
      <c r="P616" s="7"/>
    </row>
    <row r="617" customFormat="false" ht="15" hidden="false" customHeight="false" outlineLevel="0" collapsed="false">
      <c r="A617" s="7" t="s">
        <v>2211</v>
      </c>
      <c r="B617" s="7" t="s">
        <v>1882</v>
      </c>
      <c r="C617" s="7" t="s">
        <v>689</v>
      </c>
      <c r="D617" s="6" t="s">
        <v>689</v>
      </c>
      <c r="E617" s="6" t="s">
        <v>1880</v>
      </c>
      <c r="F617" s="7" t="str">
        <f aca="false">IF($D617="","",IFERROR(IF(INDEX(Hierarchy!$B$2:$B$1295,MATCH($D617,Hierarchy!$A$2:$A$1295,0))="","",INDEX(Hierarchy!$B$2:$B$1295,MATCH($D617,Hierarchy!$A$2:$A$1295,0))),"NODE NOT FOUND"))</f>
        <v>Country</v>
      </c>
      <c r="G617" s="7" t="str">
        <f aca="false">IF($D617="","",IFERROR(IF(INDEX(Hierarchy!$D$2:$D$1295,MATCH($D617,Hierarchy!$A$2:$A$1295,0))="","",INDEX(Hierarchy!$D$2:$D$1295,MATCH($D617,Hierarchy!$A$2:$A$1295,0))),"NODE NOT FOUND"))</f>
        <v>EMEA</v>
      </c>
      <c r="H617" s="7" t="str">
        <f aca="false">IF($D617="","",IFERROR(IF(INDEX(Hierarchy!$E$2:$E$1295,MATCH($D617,Hierarchy!$A$2:$A$1295,0))="","",INDEX(Hierarchy!$E$2:$E$1295,MATCH($D617,Hierarchy!$A$2:$A$1295,0))),"NODE NOT FOUND"))</f>
        <v>Europe</v>
      </c>
      <c r="I617" s="7" t="str">
        <f aca="false">IF($D617="","",IFERROR(IF(INDEX(Hierarchy!$F$2:$F$1295,MATCH($D617,Hierarchy!$A$2:$A$1295,0))="","",INDEX(Hierarchy!$F$2:$F$1295,MATCH($D617,Hierarchy!$A$2:$A$1295,0))),"NODE NOT FOUND"))</f>
        <v>Germany</v>
      </c>
      <c r="J617" s="7" t="str">
        <f aca="false">IF($D617="","",IFERROR(IF(INDEX(Hierarchy!$G$2:$G$1295,MATCH($D617,Hierarchy!$A$2:$A$1295,0))="","",INDEX(Hierarchy!$G$2:$G$1295,MATCH($D617,Hierarchy!$A$2:$A$1295,0))),"NODE NOT FOUND"))</f>
        <v>DEU</v>
      </c>
      <c r="K617" s="7" t="str">
        <f aca="false">IF($D617="","",IFERROR(IF(INDEX(Hierarchy!$H$2:$H$1295,MATCH($D617,Hierarchy!$A$2:$A$1295,0))="","",INDEX(Hierarchy!$H$2:$H$1295,MATCH($D617,Hierarchy!$A$2:$A$1295,0))),"NODE NOT FOUND"))</f>
        <v/>
      </c>
      <c r="L617" s="7" t="str">
        <f aca="false">IF($D617="","",IFERROR(IF(INDEX(Hierarchy!$I$2:$I$1295,MATCH($D617,Hierarchy!$A$2:$A$1295,0))="","",INDEX(Hierarchy!$I$2:$I$1295,MATCH($D617,Hierarchy!$A$2:$A$1295,0))),"NODE NOT FOUND"))</f>
        <v/>
      </c>
      <c r="M617" s="17" t="str">
        <f aca="false">IF(B617="Pre-seeded","Pre-seeded",IF(B617="Review 2026-09-16","Added from review",IF(C617="","New",IF(C617=D617,"","Changed"))))</f>
        <v/>
      </c>
      <c r="N617" s="7" t="str">
        <f aca="false">TRIM(SUBSTITUTE(SUBSTITUTE(SUBSTITUTE(" "&amp;TRIM(SUBSTITUTE(SUBSTITUTE(SUBSTITUTE(SUBSTITUTE(SUBSTITUTE(SUBSTITUTE(SUBSTITUTE(SUBSTITUTE(SUBSTITUTE(SUBSTITUTE(SUBSTITUTE(SUBSTITUTE(SUBSTITUTE(SUBSTITUTE(SUBSTITUTE(UPPER(TRIM(A617)),"[MEMBER]",""),"{MEMBER}",""),"[MEMBER}",""),"MEMBER]",""),"(A)",""),"""",""),"“",""),"”",""),".",""),":",""),",",""),"–"," "),"-"," "),"/"," "),"&amp;"," AND "))&amp;" "," THE "," ")," TOTAL "," ")," OPERATIONS "," "))</f>
        <v>GERMAN</v>
      </c>
      <c r="O617" s="17" t="str">
        <f aca="false">IF(COUNTIFS($N$2:$N$2000,N617,$D$2:$D$2000,"&lt;&gt;"&amp;D617)&gt;0,"CONFLICT","")</f>
        <v/>
      </c>
      <c r="P617" s="7"/>
    </row>
    <row r="618" customFormat="false" ht="15" hidden="false" customHeight="false" outlineLevel="0" collapsed="false">
      <c r="A618" s="7" t="s">
        <v>689</v>
      </c>
      <c r="B618" s="7" t="s">
        <v>1882</v>
      </c>
      <c r="C618" s="7" t="s">
        <v>689</v>
      </c>
      <c r="D618" s="6" t="s">
        <v>689</v>
      </c>
      <c r="E618" s="6" t="s">
        <v>1880</v>
      </c>
      <c r="F618" s="7" t="str">
        <f aca="false">IF($D618="","",IFERROR(IF(INDEX(Hierarchy!$B$2:$B$1295,MATCH($D618,Hierarchy!$A$2:$A$1295,0))="","",INDEX(Hierarchy!$B$2:$B$1295,MATCH($D618,Hierarchy!$A$2:$A$1295,0))),"NODE NOT FOUND"))</f>
        <v>Country</v>
      </c>
      <c r="G618" s="7" t="str">
        <f aca="false">IF($D618="","",IFERROR(IF(INDEX(Hierarchy!$D$2:$D$1295,MATCH($D618,Hierarchy!$A$2:$A$1295,0))="","",INDEX(Hierarchy!$D$2:$D$1295,MATCH($D618,Hierarchy!$A$2:$A$1295,0))),"NODE NOT FOUND"))</f>
        <v>EMEA</v>
      </c>
      <c r="H618" s="7" t="str">
        <f aca="false">IF($D618="","",IFERROR(IF(INDEX(Hierarchy!$E$2:$E$1295,MATCH($D618,Hierarchy!$A$2:$A$1295,0))="","",INDEX(Hierarchy!$E$2:$E$1295,MATCH($D618,Hierarchy!$A$2:$A$1295,0))),"NODE NOT FOUND"))</f>
        <v>Europe</v>
      </c>
      <c r="I618" s="7" t="str">
        <f aca="false">IF($D618="","",IFERROR(IF(INDEX(Hierarchy!$F$2:$F$1295,MATCH($D618,Hierarchy!$A$2:$A$1295,0))="","",INDEX(Hierarchy!$F$2:$F$1295,MATCH($D618,Hierarchy!$A$2:$A$1295,0))),"NODE NOT FOUND"))</f>
        <v>Germany</v>
      </c>
      <c r="J618" s="7" t="str">
        <f aca="false">IF($D618="","",IFERROR(IF(INDEX(Hierarchy!$G$2:$G$1295,MATCH($D618,Hierarchy!$A$2:$A$1295,0))="","",INDEX(Hierarchy!$G$2:$G$1295,MATCH($D618,Hierarchy!$A$2:$A$1295,0))),"NODE NOT FOUND"))</f>
        <v>DEU</v>
      </c>
      <c r="K618" s="7" t="str">
        <f aca="false">IF($D618="","",IFERROR(IF(INDEX(Hierarchy!$H$2:$H$1295,MATCH($D618,Hierarchy!$A$2:$A$1295,0))="","",INDEX(Hierarchy!$H$2:$H$1295,MATCH($D618,Hierarchy!$A$2:$A$1295,0))),"NODE NOT FOUND"))</f>
        <v/>
      </c>
      <c r="L618" s="7" t="str">
        <f aca="false">IF($D618="","",IFERROR(IF(INDEX(Hierarchy!$I$2:$I$1295,MATCH($D618,Hierarchy!$A$2:$A$1295,0))="","",INDEX(Hierarchy!$I$2:$I$1295,MATCH($D618,Hierarchy!$A$2:$A$1295,0))),"NODE NOT FOUND"))</f>
        <v/>
      </c>
      <c r="M618" s="17" t="str">
        <f aca="false">IF(B618="Pre-seeded","Pre-seeded",IF(B618="Review 2026-09-16","Added from review",IF(C618="","New",IF(C618=D618,"","Changed"))))</f>
        <v/>
      </c>
      <c r="N618" s="7" t="str">
        <f aca="false">TRIM(SUBSTITUTE(SUBSTITUTE(SUBSTITUTE(" "&amp;TRIM(SUBSTITUTE(SUBSTITUTE(SUBSTITUTE(SUBSTITUTE(SUBSTITUTE(SUBSTITUTE(SUBSTITUTE(SUBSTITUTE(SUBSTITUTE(SUBSTITUTE(SUBSTITUTE(SUBSTITUTE(SUBSTITUTE(SUBSTITUTE(SUBSTITUTE(UPPER(TRIM(A618)),"[MEMBER]",""),"{MEMBER}",""),"[MEMBER}",""),"MEMBER]",""),"(A)",""),"""",""),"“",""),"”",""),".",""),":",""),",",""),"–"," "),"-"," "),"/"," "),"&amp;"," AND "))&amp;" "," THE "," ")," TOTAL "," ")," OPERATIONS "," "))</f>
        <v>GERMANY</v>
      </c>
      <c r="O618" s="17" t="str">
        <f aca="false">IF(COUNTIFS($N$2:$N$2000,N618,$D$2:$D$2000,"&lt;&gt;"&amp;D618)&gt;0,"CONFLICT","")</f>
        <v/>
      </c>
      <c r="P618" s="7"/>
    </row>
    <row r="619" customFormat="false" ht="15" hidden="false" customHeight="false" outlineLevel="0" collapsed="false">
      <c r="A619" s="7" t="s">
        <v>2212</v>
      </c>
      <c r="B619" s="7" t="s">
        <v>1882</v>
      </c>
      <c r="C619" s="7" t="s">
        <v>689</v>
      </c>
      <c r="D619" s="6" t="s">
        <v>689</v>
      </c>
      <c r="E619" s="6" t="s">
        <v>1880</v>
      </c>
      <c r="F619" s="7" t="str">
        <f aca="false">IF($D619="","",IFERROR(IF(INDEX(Hierarchy!$B$2:$B$1295,MATCH($D619,Hierarchy!$A$2:$A$1295,0))="","",INDEX(Hierarchy!$B$2:$B$1295,MATCH($D619,Hierarchy!$A$2:$A$1295,0))),"NODE NOT FOUND"))</f>
        <v>Country</v>
      </c>
      <c r="G619" s="7" t="str">
        <f aca="false">IF($D619="","",IFERROR(IF(INDEX(Hierarchy!$D$2:$D$1295,MATCH($D619,Hierarchy!$A$2:$A$1295,0))="","",INDEX(Hierarchy!$D$2:$D$1295,MATCH($D619,Hierarchy!$A$2:$A$1295,0))),"NODE NOT FOUND"))</f>
        <v>EMEA</v>
      </c>
      <c r="H619" s="7" t="str">
        <f aca="false">IF($D619="","",IFERROR(IF(INDEX(Hierarchy!$E$2:$E$1295,MATCH($D619,Hierarchy!$A$2:$A$1295,0))="","",INDEX(Hierarchy!$E$2:$E$1295,MATCH($D619,Hierarchy!$A$2:$A$1295,0))),"NODE NOT FOUND"))</f>
        <v>Europe</v>
      </c>
      <c r="I619" s="7" t="str">
        <f aca="false">IF($D619="","",IFERROR(IF(INDEX(Hierarchy!$F$2:$F$1295,MATCH($D619,Hierarchy!$A$2:$A$1295,0))="","",INDEX(Hierarchy!$F$2:$F$1295,MATCH($D619,Hierarchy!$A$2:$A$1295,0))),"NODE NOT FOUND"))</f>
        <v>Germany</v>
      </c>
      <c r="J619" s="7" t="str">
        <f aca="false">IF($D619="","",IFERROR(IF(INDEX(Hierarchy!$G$2:$G$1295,MATCH($D619,Hierarchy!$A$2:$A$1295,0))="","",INDEX(Hierarchy!$G$2:$G$1295,MATCH($D619,Hierarchy!$A$2:$A$1295,0))),"NODE NOT FOUND"))</f>
        <v>DEU</v>
      </c>
      <c r="K619" s="7" t="str">
        <f aca="false">IF($D619="","",IFERROR(IF(INDEX(Hierarchy!$H$2:$H$1295,MATCH($D619,Hierarchy!$A$2:$A$1295,0))="","",INDEX(Hierarchy!$H$2:$H$1295,MATCH($D619,Hierarchy!$A$2:$A$1295,0))),"NODE NOT FOUND"))</f>
        <v/>
      </c>
      <c r="L619" s="7" t="str">
        <f aca="false">IF($D619="","",IFERROR(IF(INDEX(Hierarchy!$I$2:$I$1295,MATCH($D619,Hierarchy!$A$2:$A$1295,0))="","",INDEX(Hierarchy!$I$2:$I$1295,MATCH($D619,Hierarchy!$A$2:$A$1295,0))),"NODE NOT FOUND"))</f>
        <v/>
      </c>
      <c r="M619" s="17" t="str">
        <f aca="false">IF(B619="Pre-seeded","Pre-seeded",IF(B619="Review 2026-09-16","Added from review",IF(C619="","New",IF(C619=D619,"","Changed"))))</f>
        <v/>
      </c>
      <c r="N619" s="7" t="str">
        <f aca="false">TRIM(SUBSTITUTE(SUBSTITUTE(SUBSTITUTE(" "&amp;TRIM(SUBSTITUTE(SUBSTITUTE(SUBSTITUTE(SUBSTITUTE(SUBSTITUTE(SUBSTITUTE(SUBSTITUTE(SUBSTITUTE(SUBSTITUTE(SUBSTITUTE(SUBSTITUTE(SUBSTITUTE(SUBSTITUTE(SUBSTITUTE(SUBSTITUTE(UPPER(TRIM(A619)),"[MEMBER]",""),"{MEMBER}",""),"[MEMBER}",""),"MEMBER]",""),"(A)",""),"""",""),"“",""),"”",""),".",""),":",""),",",""),"–"," "),"-"," "),"/"," "),"&amp;"," AND "))&amp;" "," THE "," ")," TOTAL "," ")," OPERATIONS "," "))</f>
        <v>GERMANY</v>
      </c>
      <c r="O619" s="17" t="str">
        <f aca="false">IF(COUNTIFS($N$2:$N$2000,N619,$D$2:$D$2000,"&lt;&gt;"&amp;D619)&gt;0,"CONFLICT","")</f>
        <v/>
      </c>
      <c r="P619" s="7"/>
    </row>
    <row r="620" customFormat="false" ht="15" hidden="false" customHeight="false" outlineLevel="0" collapsed="false">
      <c r="A620" s="7" t="s">
        <v>2213</v>
      </c>
      <c r="B620" s="7" t="s">
        <v>1885</v>
      </c>
      <c r="C620" s="7" t="s">
        <v>689</v>
      </c>
      <c r="D620" s="6" t="s">
        <v>629</v>
      </c>
      <c r="E620" s="6" t="s">
        <v>1886</v>
      </c>
      <c r="F620" s="7" t="str">
        <f aca="false">IF($D620="","",IFERROR(IF(INDEX(Hierarchy!$B$2:$B$1295,MATCH($D620,Hierarchy!$A$2:$A$1295,0))="","",INDEX(Hierarchy!$B$2:$B$1295,MATCH($D620,Hierarchy!$A$2:$A$1295,0))),"NODE NOT FOUND"))</f>
        <v>Sub-region component</v>
      </c>
      <c r="G620" s="7" t="str">
        <f aca="false">IF($D620="","",IFERROR(IF(INDEX(Hierarchy!$D$2:$D$1295,MATCH($D620,Hierarchy!$A$2:$A$1295,0))="","",INDEX(Hierarchy!$D$2:$D$1295,MATCH($D620,Hierarchy!$A$2:$A$1295,0))),"NODE NOT FOUND"))</f>
        <v>EMEA</v>
      </c>
      <c r="H620" s="7" t="str">
        <f aca="false">IF($D620="","",IFERROR(IF(INDEX(Hierarchy!$E$2:$E$1295,MATCH($D620,Hierarchy!$A$2:$A$1295,0))="","",INDEX(Hierarchy!$E$2:$E$1295,MATCH($D620,Hierarchy!$A$2:$A$1295,0))),"NODE NOT FOUND"))</f>
        <v>Europe</v>
      </c>
      <c r="I620" s="7" t="str">
        <f aca="false">IF($D620="","",IFERROR(IF(INDEX(Hierarchy!$F$2:$F$1295,MATCH($D620,Hierarchy!$A$2:$A$1295,0))="","",INDEX(Hierarchy!$F$2:$F$1295,MATCH($D620,Hierarchy!$A$2:$A$1295,0))),"NODE NOT FOUND"))</f>
        <v/>
      </c>
      <c r="J620" s="7" t="str">
        <f aca="false">IF($D620="","",IFERROR(IF(INDEX(Hierarchy!$G$2:$G$1295,MATCH($D620,Hierarchy!$A$2:$A$1295,0))="","",INDEX(Hierarchy!$G$2:$G$1295,MATCH($D620,Hierarchy!$A$2:$A$1295,0))),"NODE NOT FOUND"))</f>
        <v/>
      </c>
      <c r="K620" s="7" t="str">
        <f aca="false">IF($D620="","",IFERROR(IF(INDEX(Hierarchy!$H$2:$H$1295,MATCH($D620,Hierarchy!$A$2:$A$1295,0))="","",INDEX(Hierarchy!$H$2:$H$1295,MATCH($D620,Hierarchy!$A$2:$A$1295,0))),"NODE NOT FOUND"))</f>
        <v/>
      </c>
      <c r="L620" s="7" t="str">
        <f aca="false">IF($D620="","",IFERROR(IF(INDEX(Hierarchy!$I$2:$I$1295,MATCH($D620,Hierarchy!$A$2:$A$1295,0))="","",INDEX(Hierarchy!$I$2:$I$1295,MATCH($D620,Hierarchy!$A$2:$A$1295,0))),"NODE NOT FOUND"))</f>
        <v/>
      </c>
      <c r="M620" s="17" t="str">
        <f aca="false">IF(B620="Pre-seeded","Pre-seeded",IF(B620="Review 2026-09-16","Added from review",IF(C620="","New",IF(C620=D620,"","Changed"))))</f>
        <v>Changed</v>
      </c>
      <c r="N620" s="7" t="str">
        <f aca="false">TRIM(SUBSTITUTE(SUBSTITUTE(SUBSTITUTE(" "&amp;TRIM(SUBSTITUTE(SUBSTITUTE(SUBSTITUTE(SUBSTITUTE(SUBSTITUTE(SUBSTITUTE(SUBSTITUTE(SUBSTITUTE(SUBSTITUTE(SUBSTITUTE(SUBSTITUTE(SUBSTITUTE(SUBSTITUTE(SUBSTITUTE(SUBSTITUTE(UPPER(TRIM(A620)),"[MEMBER]",""),"{MEMBER}",""),"[MEMBER}",""),"MEMBER]",""),"(A)",""),"""",""),"“",""),"”",""),".",""),":",""),",",""),"–"," "),"-"," "),"/"," "),"&amp;"," AND "))&amp;" "," THE "," ")," TOTAL "," ")," OPERATIONS "," "))</f>
        <v>GERMANY AND ITALY</v>
      </c>
      <c r="O620" s="17" t="str">
        <f aca="false">IF(COUNTIFS($N$2:$N$2000,N620,$D$2:$D$2000,"&lt;&gt;"&amp;D620)&gt;0,"CONFLICT","")</f>
        <v/>
      </c>
      <c r="P620" s="7"/>
    </row>
    <row r="621" customFormat="false" ht="15" hidden="false" customHeight="false" outlineLevel="0" collapsed="false">
      <c r="A621" s="7" t="s">
        <v>2214</v>
      </c>
      <c r="B621" s="7" t="s">
        <v>1885</v>
      </c>
      <c r="C621" s="7" t="s">
        <v>689</v>
      </c>
      <c r="D621" s="6" t="s">
        <v>1803</v>
      </c>
      <c r="E621" s="6" t="s">
        <v>1886</v>
      </c>
      <c r="F621" s="7" t="str">
        <f aca="false">IF($D621="","",IFERROR(IF(INDEX(Hierarchy!$B$2:$B$1295,MATCH($D621,Hierarchy!$A$2:$A$1295,0))="","",INDEX(Hierarchy!$B$2:$B$1295,MATCH($D621,Hierarchy!$A$2:$A$1295,0))),"NODE NOT FOUND"))</f>
        <v>Multi-region</v>
      </c>
      <c r="G621" s="7" t="str">
        <f aca="false">IF($D621="","",IFERROR(IF(INDEX(Hierarchy!$D$2:$D$1295,MATCH($D621,Hierarchy!$A$2:$A$1295,0))="","",INDEX(Hierarchy!$D$2:$D$1295,MATCH($D621,Hierarchy!$A$2:$A$1295,0))),"NODE NOT FOUND"))</f>
        <v>Multi-region</v>
      </c>
      <c r="H621" s="7" t="str">
        <f aca="false">IF($D621="","",IFERROR(IF(INDEX(Hierarchy!$E$2:$E$1295,MATCH($D621,Hierarchy!$A$2:$A$1295,0))="","",INDEX(Hierarchy!$E$2:$E$1295,MATCH($D621,Hierarchy!$A$2:$A$1295,0))),"NODE NOT FOUND"))</f>
        <v/>
      </c>
      <c r="I621" s="7" t="str">
        <f aca="false">IF($D621="","",IFERROR(IF(INDEX(Hierarchy!$F$2:$F$1295,MATCH($D621,Hierarchy!$A$2:$A$1295,0))="","",INDEX(Hierarchy!$F$2:$F$1295,MATCH($D621,Hierarchy!$A$2:$A$1295,0))),"NODE NOT FOUND"))</f>
        <v/>
      </c>
      <c r="J621" s="7" t="str">
        <f aca="false">IF($D621="","",IFERROR(IF(INDEX(Hierarchy!$G$2:$G$1295,MATCH($D621,Hierarchy!$A$2:$A$1295,0))="","",INDEX(Hierarchy!$G$2:$G$1295,MATCH($D621,Hierarchy!$A$2:$A$1295,0))),"NODE NOT FOUND"))</f>
        <v/>
      </c>
      <c r="K621" s="7" t="str">
        <f aca="false">IF($D621="","",IFERROR(IF(INDEX(Hierarchy!$H$2:$H$1295,MATCH($D621,Hierarchy!$A$2:$A$1295,0))="","",INDEX(Hierarchy!$H$2:$H$1295,MATCH($D621,Hierarchy!$A$2:$A$1295,0))),"NODE NOT FOUND"))</f>
        <v/>
      </c>
      <c r="L621" s="7" t="str">
        <f aca="false">IF($D621="","",IFERROR(IF(INDEX(Hierarchy!$I$2:$I$1295,MATCH($D621,Hierarchy!$A$2:$A$1295,0))="","",INDEX(Hierarchy!$I$2:$I$1295,MATCH($D621,Hierarchy!$A$2:$A$1295,0))),"NODE NOT FOUND"))</f>
        <v/>
      </c>
      <c r="M621" s="17" t="str">
        <f aca="false">IF(B621="Pre-seeded","Pre-seeded",IF(B621="Review 2026-09-16","Added from review",IF(C621="","New",IF(C621=D621,"","Changed"))))</f>
        <v>Changed</v>
      </c>
      <c r="N621" s="7" t="str">
        <f aca="false">TRIM(SUBSTITUTE(SUBSTITUTE(SUBSTITUTE(" "&amp;TRIM(SUBSTITUTE(SUBSTITUTE(SUBSTITUTE(SUBSTITUTE(SUBSTITUTE(SUBSTITUTE(SUBSTITUTE(SUBSTITUTE(SUBSTITUTE(SUBSTITUTE(SUBSTITUTE(SUBSTITUTE(SUBSTITUTE(SUBSTITUTE(SUBSTITUTE(UPPER(TRIM(A621)),"[MEMBER]",""),"{MEMBER}",""),"[MEMBER}",""),"MEMBER]",""),"(A)",""),"""",""),"“",""),"”",""),".",""),":",""),",",""),"–"," "),"-"," "),"/"," "),"&amp;"," AND "))&amp;" "," THE "," ")," TOTAL "," ")," OPERATIONS "," "))</f>
        <v>GERMANY ITALY AND JAPAN</v>
      </c>
      <c r="O621" s="17" t="str">
        <f aca="false">IF(COUNTIFS($N$2:$N$2000,N621,$D$2:$D$2000,"&lt;&gt;"&amp;D621)&gt;0,"CONFLICT","")</f>
        <v/>
      </c>
      <c r="P621" s="7"/>
    </row>
    <row r="622" customFormat="false" ht="15" hidden="false" customHeight="false" outlineLevel="0" collapsed="false">
      <c r="A622" s="7" t="s">
        <v>2215</v>
      </c>
      <c r="B622" s="7" t="s">
        <v>1885</v>
      </c>
      <c r="C622" s="7" t="s">
        <v>1697</v>
      </c>
      <c r="D622" s="6" t="s">
        <v>1803</v>
      </c>
      <c r="E622" s="6" t="s">
        <v>1886</v>
      </c>
      <c r="F622" s="7" t="str">
        <f aca="false">IF($D622="","",IFERROR(IF(INDEX(Hierarchy!$B$2:$B$1295,MATCH($D622,Hierarchy!$A$2:$A$1295,0))="","",INDEX(Hierarchy!$B$2:$B$1295,MATCH($D622,Hierarchy!$A$2:$A$1295,0))),"NODE NOT FOUND"))</f>
        <v>Multi-region</v>
      </c>
      <c r="G622" s="7" t="str">
        <f aca="false">IF($D622="","",IFERROR(IF(INDEX(Hierarchy!$D$2:$D$1295,MATCH($D622,Hierarchy!$A$2:$A$1295,0))="","",INDEX(Hierarchy!$D$2:$D$1295,MATCH($D622,Hierarchy!$A$2:$A$1295,0))),"NODE NOT FOUND"))</f>
        <v>Multi-region</v>
      </c>
      <c r="H622" s="7" t="str">
        <f aca="false">IF($D622="","",IFERROR(IF(INDEX(Hierarchy!$E$2:$E$1295,MATCH($D622,Hierarchy!$A$2:$A$1295,0))="","",INDEX(Hierarchy!$E$2:$E$1295,MATCH($D622,Hierarchy!$A$2:$A$1295,0))),"NODE NOT FOUND"))</f>
        <v/>
      </c>
      <c r="I622" s="7" t="str">
        <f aca="false">IF($D622="","",IFERROR(IF(INDEX(Hierarchy!$F$2:$F$1295,MATCH($D622,Hierarchy!$A$2:$A$1295,0))="","",INDEX(Hierarchy!$F$2:$F$1295,MATCH($D622,Hierarchy!$A$2:$A$1295,0))),"NODE NOT FOUND"))</f>
        <v/>
      </c>
      <c r="J622" s="7" t="str">
        <f aca="false">IF($D622="","",IFERROR(IF(INDEX(Hierarchy!$G$2:$G$1295,MATCH($D622,Hierarchy!$A$2:$A$1295,0))="","",INDEX(Hierarchy!$G$2:$G$1295,MATCH($D622,Hierarchy!$A$2:$A$1295,0))),"NODE NOT FOUND"))</f>
        <v/>
      </c>
      <c r="K622" s="7" t="str">
        <f aca="false">IF($D622="","",IFERROR(IF(INDEX(Hierarchy!$H$2:$H$1295,MATCH($D622,Hierarchy!$A$2:$A$1295,0))="","",INDEX(Hierarchy!$H$2:$H$1295,MATCH($D622,Hierarchy!$A$2:$A$1295,0))),"NODE NOT FOUND"))</f>
        <v/>
      </c>
      <c r="L622" s="7" t="str">
        <f aca="false">IF($D622="","",IFERROR(IF(INDEX(Hierarchy!$I$2:$I$1295,MATCH($D622,Hierarchy!$A$2:$A$1295,0))="","",INDEX(Hierarchy!$I$2:$I$1295,MATCH($D622,Hierarchy!$A$2:$A$1295,0))),"NODE NOT FOUND"))</f>
        <v/>
      </c>
      <c r="M622" s="17" t="str">
        <f aca="false">IF(B622="Pre-seeded","Pre-seeded",IF(B622="Review 2026-09-16","Added from review",IF(C622="","New",IF(C622=D622,"","Changed"))))</f>
        <v>Changed</v>
      </c>
      <c r="N622" s="7" t="str">
        <f aca="false">TRIM(SUBSTITUTE(SUBSTITUTE(SUBSTITUTE(" "&amp;TRIM(SUBSTITUTE(SUBSTITUTE(SUBSTITUTE(SUBSTITUTE(SUBSTITUTE(SUBSTITUTE(SUBSTITUTE(SUBSTITUTE(SUBSTITUTE(SUBSTITUTE(SUBSTITUTE(SUBSTITUTE(SUBSTITUTE(SUBSTITUTE(SUBSTITUTE(UPPER(TRIM(A622)),"[MEMBER]",""),"{MEMBER}",""),"[MEMBER}",""),"MEMBER]",""),"(A)",""),"""",""),"“",""),"”",""),".",""),":",""),",",""),"–"," "),"-"," "),"/"," "),"&amp;"," AND "))&amp;" "," THE "," ")," TOTAL "," ")," OPERATIONS "," "))</f>
        <v>GERMANY ITALY JAPAN AND AUSTRALIA</v>
      </c>
      <c r="O622" s="17" t="str">
        <f aca="false">IF(COUNTIFS($N$2:$N$2000,N622,$D$2:$D$2000,"&lt;&gt;"&amp;D622)&gt;0,"CONFLICT","")</f>
        <v/>
      </c>
      <c r="P622" s="7"/>
    </row>
    <row r="623" customFormat="false" ht="15" hidden="false" customHeight="false" outlineLevel="0" collapsed="false">
      <c r="A623" s="7" t="s">
        <v>1229</v>
      </c>
      <c r="B623" s="7" t="s">
        <v>1879</v>
      </c>
      <c r="C623" s="7"/>
      <c r="D623" s="6" t="s">
        <v>1229</v>
      </c>
      <c r="E623" s="6" t="s">
        <v>1880</v>
      </c>
      <c r="F623" s="7" t="str">
        <f aca="false">IF($D623="","",IFERROR(IF(INDEX(Hierarchy!$B$2:$B$1295,MATCH($D623,Hierarchy!$A$2:$A$1295,0))="","",INDEX(Hierarchy!$B$2:$B$1295,MATCH($D623,Hierarchy!$A$2:$A$1295,0))),"NODE NOT FOUND"))</f>
        <v>Country</v>
      </c>
      <c r="G623" s="7" t="str">
        <f aca="false">IF($D623="","",IFERROR(IF(INDEX(Hierarchy!$D$2:$D$1295,MATCH($D623,Hierarchy!$A$2:$A$1295,0))="","",INDEX(Hierarchy!$D$2:$D$1295,MATCH($D623,Hierarchy!$A$2:$A$1295,0))),"NODE NOT FOUND"))</f>
        <v>EMEA</v>
      </c>
      <c r="H623" s="7" t="str">
        <f aca="false">IF($D623="","",IFERROR(IF(INDEX(Hierarchy!$E$2:$E$1295,MATCH($D623,Hierarchy!$A$2:$A$1295,0))="","",INDEX(Hierarchy!$E$2:$E$1295,MATCH($D623,Hierarchy!$A$2:$A$1295,0))),"NODE NOT FOUND"))</f>
        <v>Africa</v>
      </c>
      <c r="I623" s="7" t="str">
        <f aca="false">IF($D623="","",IFERROR(IF(INDEX(Hierarchy!$F$2:$F$1295,MATCH($D623,Hierarchy!$A$2:$A$1295,0))="","",INDEX(Hierarchy!$F$2:$F$1295,MATCH($D623,Hierarchy!$A$2:$A$1295,0))),"NODE NOT FOUND"))</f>
        <v>Ghana</v>
      </c>
      <c r="J623" s="7" t="str">
        <f aca="false">IF($D623="","",IFERROR(IF(INDEX(Hierarchy!$G$2:$G$1295,MATCH($D623,Hierarchy!$A$2:$A$1295,0))="","",INDEX(Hierarchy!$G$2:$G$1295,MATCH($D623,Hierarchy!$A$2:$A$1295,0))),"NODE NOT FOUND"))</f>
        <v>GHA</v>
      </c>
      <c r="K623" s="7" t="str">
        <f aca="false">IF($D623="","",IFERROR(IF(INDEX(Hierarchy!$H$2:$H$1295,MATCH($D623,Hierarchy!$A$2:$A$1295,0))="","",INDEX(Hierarchy!$H$2:$H$1295,MATCH($D623,Hierarchy!$A$2:$A$1295,0))),"NODE NOT FOUND"))</f>
        <v/>
      </c>
      <c r="L623" s="7" t="str">
        <f aca="false">IF($D623="","",IFERROR(IF(INDEX(Hierarchy!$I$2:$I$1295,MATCH($D623,Hierarchy!$A$2:$A$1295,0))="","",INDEX(Hierarchy!$I$2:$I$1295,MATCH($D623,Hierarchy!$A$2:$A$1295,0))),"NODE NOT FOUND"))</f>
        <v/>
      </c>
      <c r="M623" s="17" t="str">
        <f aca="false">IF(B623="Pre-seeded","Pre-seeded",IF(B623="Review 2026-09-16","Added from review",IF(C623="","New",IF(C623=D623,"","Changed"))))</f>
        <v>Pre-seeded</v>
      </c>
      <c r="N623" s="7" t="str">
        <f aca="false">TRIM(SUBSTITUTE(SUBSTITUTE(SUBSTITUTE(" "&amp;TRIM(SUBSTITUTE(SUBSTITUTE(SUBSTITUTE(SUBSTITUTE(SUBSTITUTE(SUBSTITUTE(SUBSTITUTE(SUBSTITUTE(SUBSTITUTE(SUBSTITUTE(SUBSTITUTE(SUBSTITUTE(SUBSTITUTE(SUBSTITUTE(SUBSTITUTE(UPPER(TRIM(A623)),"[MEMBER]",""),"{MEMBER}",""),"[MEMBER}",""),"MEMBER]",""),"(A)",""),"""",""),"“",""),"”",""),".",""),":",""),",",""),"–"," "),"-"," "),"/"," "),"&amp;"," AND "))&amp;" "," THE "," ")," TOTAL "," ")," OPERATIONS "," "))</f>
        <v>GHANA</v>
      </c>
      <c r="O623" s="17" t="str">
        <f aca="false">IF(COUNTIFS($N$2:$N$2000,N623,$D$2:$D$2000,"&lt;&gt;"&amp;D623)&gt;0,"CONFLICT","")</f>
        <v/>
      </c>
      <c r="P623" s="7"/>
    </row>
    <row r="624" customFormat="false" ht="15" hidden="false" customHeight="false" outlineLevel="0" collapsed="false">
      <c r="A624" s="7" t="s">
        <v>804</v>
      </c>
      <c r="B624" s="7" t="s">
        <v>1879</v>
      </c>
      <c r="C624" s="7"/>
      <c r="D624" s="6" t="s">
        <v>804</v>
      </c>
      <c r="E624" s="6" t="s">
        <v>1880</v>
      </c>
      <c r="F624" s="7" t="str">
        <f aca="false">IF($D624="","",IFERROR(IF(INDEX(Hierarchy!$B$2:$B$1295,MATCH($D624,Hierarchy!$A$2:$A$1295,0))="","",INDEX(Hierarchy!$B$2:$B$1295,MATCH($D624,Hierarchy!$A$2:$A$1295,0))),"NODE NOT FOUND"))</f>
        <v>Country</v>
      </c>
      <c r="G624" s="7" t="str">
        <f aca="false">IF($D624="","",IFERROR(IF(INDEX(Hierarchy!$D$2:$D$1295,MATCH($D624,Hierarchy!$A$2:$A$1295,0))="","",INDEX(Hierarchy!$D$2:$D$1295,MATCH($D624,Hierarchy!$A$2:$A$1295,0))),"NODE NOT FOUND"))</f>
        <v>EMEA</v>
      </c>
      <c r="H624" s="7" t="str">
        <f aca="false">IF($D624="","",IFERROR(IF(INDEX(Hierarchy!$E$2:$E$1295,MATCH($D624,Hierarchy!$A$2:$A$1295,0))="","",INDEX(Hierarchy!$E$2:$E$1295,MATCH($D624,Hierarchy!$A$2:$A$1295,0))),"NODE NOT FOUND"))</f>
        <v>Europe</v>
      </c>
      <c r="I624" s="7" t="str">
        <f aca="false">IF($D624="","",IFERROR(IF(INDEX(Hierarchy!$F$2:$F$1295,MATCH($D624,Hierarchy!$A$2:$A$1295,0))="","",INDEX(Hierarchy!$F$2:$F$1295,MATCH($D624,Hierarchy!$A$2:$A$1295,0))),"NODE NOT FOUND"))</f>
        <v>Gibraltar</v>
      </c>
      <c r="J624" s="7" t="str">
        <f aca="false">IF($D624="","",IFERROR(IF(INDEX(Hierarchy!$G$2:$G$1295,MATCH($D624,Hierarchy!$A$2:$A$1295,0))="","",INDEX(Hierarchy!$G$2:$G$1295,MATCH($D624,Hierarchy!$A$2:$A$1295,0))),"NODE NOT FOUND"))</f>
        <v>GIB</v>
      </c>
      <c r="K624" s="7" t="str">
        <f aca="false">IF($D624="","",IFERROR(IF(INDEX(Hierarchy!$H$2:$H$1295,MATCH($D624,Hierarchy!$A$2:$A$1295,0))="","",INDEX(Hierarchy!$H$2:$H$1295,MATCH($D624,Hierarchy!$A$2:$A$1295,0))),"NODE NOT FOUND"))</f>
        <v/>
      </c>
      <c r="L624" s="7" t="str">
        <f aca="false">IF($D624="","",IFERROR(IF(INDEX(Hierarchy!$I$2:$I$1295,MATCH($D624,Hierarchy!$A$2:$A$1295,0))="","",INDEX(Hierarchy!$I$2:$I$1295,MATCH($D624,Hierarchy!$A$2:$A$1295,0))),"NODE NOT FOUND"))</f>
        <v/>
      </c>
      <c r="M624" s="17" t="str">
        <f aca="false">IF(B624="Pre-seeded","Pre-seeded",IF(B624="Review 2026-09-16","Added from review",IF(C624="","New",IF(C624=D624,"","Changed"))))</f>
        <v>Pre-seeded</v>
      </c>
      <c r="N624" s="7" t="str">
        <f aca="false">TRIM(SUBSTITUTE(SUBSTITUTE(SUBSTITUTE(" "&amp;TRIM(SUBSTITUTE(SUBSTITUTE(SUBSTITUTE(SUBSTITUTE(SUBSTITUTE(SUBSTITUTE(SUBSTITUTE(SUBSTITUTE(SUBSTITUTE(SUBSTITUTE(SUBSTITUTE(SUBSTITUTE(SUBSTITUTE(SUBSTITUTE(SUBSTITUTE(UPPER(TRIM(A624)),"[MEMBER]",""),"{MEMBER}",""),"[MEMBER}",""),"MEMBER]",""),"(A)",""),"""",""),"“",""),"”",""),".",""),":",""),",",""),"–"," "),"-"," "),"/"," "),"&amp;"," AND "))&amp;" "," THE "," ")," TOTAL "," ")," OPERATIONS "," "))</f>
        <v>GIBRALTAR</v>
      </c>
      <c r="O624" s="17" t="str">
        <f aca="false">IF(COUNTIFS($N$2:$N$2000,N624,$D$2:$D$2000,"&lt;&gt;"&amp;D624)&gt;0,"CONFLICT","")</f>
        <v/>
      </c>
      <c r="P624" s="7"/>
    </row>
    <row r="625" customFormat="false" ht="15" hidden="false" customHeight="false" outlineLevel="0" collapsed="false">
      <c r="A625" s="7" t="s">
        <v>1447</v>
      </c>
      <c r="B625" s="7" t="s">
        <v>1879</v>
      </c>
      <c r="C625" s="7"/>
      <c r="D625" s="6" t="s">
        <v>1447</v>
      </c>
      <c r="E625" s="6" t="s">
        <v>1880</v>
      </c>
      <c r="F625" s="7" t="str">
        <f aca="false">IF($D625="","",IFERROR(IF(INDEX(Hierarchy!$B$2:$B$1295,MATCH($D625,Hierarchy!$A$2:$A$1295,0))="","",INDEX(Hierarchy!$B$2:$B$1295,MATCH($D625,Hierarchy!$A$2:$A$1295,0))),"NODE NOT FOUND"))</f>
        <v>State/Province</v>
      </c>
      <c r="G625" s="7" t="str">
        <f aca="false">IF($D625="","",IFERROR(IF(INDEX(Hierarchy!$D$2:$D$1295,MATCH($D625,Hierarchy!$A$2:$A$1295,0))="","",INDEX(Hierarchy!$D$2:$D$1295,MATCH($D625,Hierarchy!$A$2:$A$1295,0))),"NODE NOT FOUND"))</f>
        <v>APAC</v>
      </c>
      <c r="H625" s="7" t="str">
        <f aca="false">IF($D625="","",IFERROR(IF(INDEX(Hierarchy!$E$2:$E$1295,MATCH($D625,Hierarchy!$A$2:$A$1295,0))="","",INDEX(Hierarchy!$E$2:$E$1295,MATCH($D625,Hierarchy!$A$2:$A$1295,0))),"NODE NOT FOUND"))</f>
        <v>East Asia</v>
      </c>
      <c r="I625" s="7" t="str">
        <f aca="false">IF($D625="","",IFERROR(IF(INDEX(Hierarchy!$F$2:$F$1295,MATCH($D625,Hierarchy!$A$2:$A$1295,0))="","",INDEX(Hierarchy!$F$2:$F$1295,MATCH($D625,Hierarchy!$A$2:$A$1295,0))),"NODE NOT FOUND"))</f>
        <v>Japan</v>
      </c>
      <c r="J625" s="7" t="str">
        <f aca="false">IF($D625="","",IFERROR(IF(INDEX(Hierarchy!$G$2:$G$1295,MATCH($D625,Hierarchy!$A$2:$A$1295,0))="","",INDEX(Hierarchy!$G$2:$G$1295,MATCH($D625,Hierarchy!$A$2:$A$1295,0))),"NODE NOT FOUND"))</f>
        <v>JPN</v>
      </c>
      <c r="K625" s="7" t="str">
        <f aca="false">IF($D625="","",IFERROR(IF(INDEX(Hierarchy!$H$2:$H$1295,MATCH($D625,Hierarchy!$A$2:$A$1295,0))="","",INDEX(Hierarchy!$H$2:$H$1295,MATCH($D625,Hierarchy!$A$2:$A$1295,0))),"NODE NOT FOUND"))</f>
        <v>Gifu</v>
      </c>
      <c r="L625" s="7" t="str">
        <f aca="false">IF($D625="","",IFERROR(IF(INDEX(Hierarchy!$I$2:$I$1295,MATCH($D625,Hierarchy!$A$2:$A$1295,0))="","",INDEX(Hierarchy!$I$2:$I$1295,MATCH($D625,Hierarchy!$A$2:$A$1295,0))),"NODE NOT FOUND"))</f>
        <v/>
      </c>
      <c r="M625" s="17" t="str">
        <f aca="false">IF(B625="Pre-seeded","Pre-seeded",IF(B625="Review 2026-09-16","Added from review",IF(C625="","New",IF(C625=D625,"","Changed"))))</f>
        <v>Pre-seeded</v>
      </c>
      <c r="N625" s="7" t="str">
        <f aca="false">TRIM(SUBSTITUTE(SUBSTITUTE(SUBSTITUTE(" "&amp;TRIM(SUBSTITUTE(SUBSTITUTE(SUBSTITUTE(SUBSTITUTE(SUBSTITUTE(SUBSTITUTE(SUBSTITUTE(SUBSTITUTE(SUBSTITUTE(SUBSTITUTE(SUBSTITUTE(SUBSTITUTE(SUBSTITUTE(SUBSTITUTE(SUBSTITUTE(UPPER(TRIM(A625)),"[MEMBER]",""),"{MEMBER}",""),"[MEMBER}",""),"MEMBER]",""),"(A)",""),"""",""),"“",""),"”",""),".",""),":",""),",",""),"–"," "),"-"," "),"/"," "),"&amp;"," AND "))&amp;" "," THE "," ")," TOTAL "," ")," OPERATIONS "," "))</f>
        <v>GIFU</v>
      </c>
      <c r="O625" s="17" t="str">
        <f aca="false">IF(COUNTIFS($N$2:$N$2000,N625,$D$2:$D$2000,"&lt;&gt;"&amp;D625)&gt;0,"CONFLICT","")</f>
        <v/>
      </c>
      <c r="P625" s="7"/>
    </row>
    <row r="626" customFormat="false" ht="15" hidden="false" customHeight="false" outlineLevel="0" collapsed="false">
      <c r="A626" s="7" t="s">
        <v>1400</v>
      </c>
      <c r="B626" s="7" t="s">
        <v>1879</v>
      </c>
      <c r="C626" s="7"/>
      <c r="D626" s="6" t="s">
        <v>1400</v>
      </c>
      <c r="E626" s="6" t="s">
        <v>1880</v>
      </c>
      <c r="F626" s="7" t="str">
        <f aca="false">IF($D626="","",IFERROR(IF(INDEX(Hierarchy!$B$2:$B$1295,MATCH($D626,Hierarchy!$A$2:$A$1295,0))="","",INDEX(Hierarchy!$B$2:$B$1295,MATCH($D626,Hierarchy!$A$2:$A$1295,0))),"NODE NOT FOUND"))</f>
        <v>State/Province</v>
      </c>
      <c r="G626" s="7" t="str">
        <f aca="false">IF($D626="","",IFERROR(IF(INDEX(Hierarchy!$D$2:$D$1295,MATCH($D626,Hierarchy!$A$2:$A$1295,0))="","",INDEX(Hierarchy!$D$2:$D$1295,MATCH($D626,Hierarchy!$A$2:$A$1295,0))),"NODE NOT FOUND"))</f>
        <v>APAC</v>
      </c>
      <c r="H626" s="7" t="str">
        <f aca="false">IF($D626="","",IFERROR(IF(INDEX(Hierarchy!$E$2:$E$1295,MATCH($D626,Hierarchy!$A$2:$A$1295,0))="","",INDEX(Hierarchy!$E$2:$E$1295,MATCH($D626,Hierarchy!$A$2:$A$1295,0))),"NODE NOT FOUND"))</f>
        <v>South Asia</v>
      </c>
      <c r="I626" s="7" t="str">
        <f aca="false">IF($D626="","",IFERROR(IF(INDEX(Hierarchy!$F$2:$F$1295,MATCH($D626,Hierarchy!$A$2:$A$1295,0))="","",INDEX(Hierarchy!$F$2:$F$1295,MATCH($D626,Hierarchy!$A$2:$A$1295,0))),"NODE NOT FOUND"))</f>
        <v>Pakistan</v>
      </c>
      <c r="J626" s="7" t="str">
        <f aca="false">IF($D626="","",IFERROR(IF(INDEX(Hierarchy!$G$2:$G$1295,MATCH($D626,Hierarchy!$A$2:$A$1295,0))="","",INDEX(Hierarchy!$G$2:$G$1295,MATCH($D626,Hierarchy!$A$2:$A$1295,0))),"NODE NOT FOUND"))</f>
        <v>PAK</v>
      </c>
      <c r="K626" s="7" t="str">
        <f aca="false">IF($D626="","",IFERROR(IF(INDEX(Hierarchy!$H$2:$H$1295,MATCH($D626,Hierarchy!$A$2:$A$1295,0))="","",INDEX(Hierarchy!$H$2:$H$1295,MATCH($D626,Hierarchy!$A$2:$A$1295,0))),"NODE NOT FOUND"))</f>
        <v>Gilgit-Baltistan</v>
      </c>
      <c r="L626" s="7" t="str">
        <f aca="false">IF($D626="","",IFERROR(IF(INDEX(Hierarchy!$I$2:$I$1295,MATCH($D626,Hierarchy!$A$2:$A$1295,0))="","",INDEX(Hierarchy!$I$2:$I$1295,MATCH($D626,Hierarchy!$A$2:$A$1295,0))),"NODE NOT FOUND"))</f>
        <v/>
      </c>
      <c r="M626" s="17" t="str">
        <f aca="false">IF(B626="Pre-seeded","Pre-seeded",IF(B626="Review 2026-09-16","Added from review",IF(C626="","New",IF(C626=D626,"","Changed"))))</f>
        <v>Pre-seeded</v>
      </c>
      <c r="N626" s="7" t="str">
        <f aca="false">TRIM(SUBSTITUTE(SUBSTITUTE(SUBSTITUTE(" "&amp;TRIM(SUBSTITUTE(SUBSTITUTE(SUBSTITUTE(SUBSTITUTE(SUBSTITUTE(SUBSTITUTE(SUBSTITUTE(SUBSTITUTE(SUBSTITUTE(SUBSTITUTE(SUBSTITUTE(SUBSTITUTE(SUBSTITUTE(SUBSTITUTE(SUBSTITUTE(UPPER(TRIM(A626)),"[MEMBER]",""),"{MEMBER}",""),"[MEMBER}",""),"MEMBER]",""),"(A)",""),"""",""),"“",""),"”",""),".",""),":",""),",",""),"–"," "),"-"," "),"/"," "),"&amp;"," AND "))&amp;" "," THE "," ")," TOTAL "," ")," OPERATIONS "," "))</f>
        <v>GILGIT BALTISTAN</v>
      </c>
      <c r="O626" s="17" t="str">
        <f aca="false">IF(COUNTIFS($N$2:$N$2000,N626,$D$2:$D$2000,"&lt;&gt;"&amp;D626)&gt;0,"CONFLICT","")</f>
        <v/>
      </c>
      <c r="P626" s="7"/>
    </row>
    <row r="627" customFormat="false" ht="15" hidden="false" customHeight="false" outlineLevel="0" collapsed="false">
      <c r="A627" s="7" t="s">
        <v>1723</v>
      </c>
      <c r="B627" s="7" t="s">
        <v>1879</v>
      </c>
      <c r="C627" s="7"/>
      <c r="D627" s="6" t="s">
        <v>1723</v>
      </c>
      <c r="E627" s="6" t="s">
        <v>1880</v>
      </c>
      <c r="F627" s="7" t="str">
        <f aca="false">IF($D627="","",IFERROR(IF(INDEX(Hierarchy!$B$2:$B$1295,MATCH($D627,Hierarchy!$A$2:$A$1295,0))="","",INDEX(Hierarchy!$B$2:$B$1295,MATCH($D627,Hierarchy!$A$2:$A$1295,0))),"NODE NOT FOUND"))</f>
        <v>State/Province</v>
      </c>
      <c r="G627" s="7" t="str">
        <f aca="false">IF($D627="","",IFERROR(IF(INDEX(Hierarchy!$D$2:$D$1295,MATCH($D627,Hierarchy!$A$2:$A$1295,0))="","",INDEX(Hierarchy!$D$2:$D$1295,MATCH($D627,Hierarchy!$A$2:$A$1295,0))),"NODE NOT FOUND"))</f>
        <v>APAC</v>
      </c>
      <c r="H627" s="7" t="str">
        <f aca="false">IF($D627="","",IFERROR(IF(INDEX(Hierarchy!$E$2:$E$1295,MATCH($D627,Hierarchy!$A$2:$A$1295,0))="","",INDEX(Hierarchy!$E$2:$E$1295,MATCH($D627,Hierarchy!$A$2:$A$1295,0))),"NODE NOT FOUND"))</f>
        <v>Oceania (ANZ)</v>
      </c>
      <c r="I627" s="7" t="str">
        <f aca="false">IF($D627="","",IFERROR(IF(INDEX(Hierarchy!$F$2:$F$1295,MATCH($D627,Hierarchy!$A$2:$A$1295,0))="","",INDEX(Hierarchy!$F$2:$F$1295,MATCH($D627,Hierarchy!$A$2:$A$1295,0))),"NODE NOT FOUND"))</f>
        <v>New Zealand</v>
      </c>
      <c r="J627" s="7" t="str">
        <f aca="false">IF($D627="","",IFERROR(IF(INDEX(Hierarchy!$G$2:$G$1295,MATCH($D627,Hierarchy!$A$2:$A$1295,0))="","",INDEX(Hierarchy!$G$2:$G$1295,MATCH($D627,Hierarchy!$A$2:$A$1295,0))),"NODE NOT FOUND"))</f>
        <v>NZL</v>
      </c>
      <c r="K627" s="7" t="str">
        <f aca="false">IF($D627="","",IFERROR(IF(INDEX(Hierarchy!$H$2:$H$1295,MATCH($D627,Hierarchy!$A$2:$A$1295,0))="","",INDEX(Hierarchy!$H$2:$H$1295,MATCH($D627,Hierarchy!$A$2:$A$1295,0))),"NODE NOT FOUND"))</f>
        <v>Gisborne</v>
      </c>
      <c r="L627" s="7" t="str">
        <f aca="false">IF($D627="","",IFERROR(IF(INDEX(Hierarchy!$I$2:$I$1295,MATCH($D627,Hierarchy!$A$2:$A$1295,0))="","",INDEX(Hierarchy!$I$2:$I$1295,MATCH($D627,Hierarchy!$A$2:$A$1295,0))),"NODE NOT FOUND"))</f>
        <v/>
      </c>
      <c r="M627" s="17" t="str">
        <f aca="false">IF(B627="Pre-seeded","Pre-seeded",IF(B627="Review 2026-09-16","Added from review",IF(C627="","New",IF(C627=D627,"","Changed"))))</f>
        <v>Pre-seeded</v>
      </c>
      <c r="N627" s="7" t="str">
        <f aca="false">TRIM(SUBSTITUTE(SUBSTITUTE(SUBSTITUTE(" "&amp;TRIM(SUBSTITUTE(SUBSTITUTE(SUBSTITUTE(SUBSTITUTE(SUBSTITUTE(SUBSTITUTE(SUBSTITUTE(SUBSTITUTE(SUBSTITUTE(SUBSTITUTE(SUBSTITUTE(SUBSTITUTE(SUBSTITUTE(SUBSTITUTE(SUBSTITUTE(UPPER(TRIM(A627)),"[MEMBER]",""),"{MEMBER}",""),"[MEMBER}",""),"MEMBER]",""),"(A)",""),"""",""),"“",""),"”",""),".",""),":",""),",",""),"–"," "),"-"," "),"/"," "),"&amp;"," AND "))&amp;" "," THE "," ")," TOTAL "," ")," OPERATIONS "," "))</f>
        <v>GISBORNE</v>
      </c>
      <c r="O627" s="17" t="str">
        <f aca="false">IF(COUNTIFS($N$2:$N$2000,N627,$D$2:$D$2000,"&lt;&gt;"&amp;D627)&gt;0,"CONFLICT","")</f>
        <v/>
      </c>
      <c r="P627" s="7"/>
    </row>
    <row r="628" customFormat="false" ht="15" hidden="false" customHeight="false" outlineLevel="0" collapsed="false">
      <c r="A628" s="7" t="s">
        <v>990</v>
      </c>
      <c r="B628" s="7" t="s">
        <v>1879</v>
      </c>
      <c r="C628" s="7"/>
      <c r="D628" s="6" t="s">
        <v>990</v>
      </c>
      <c r="E628" s="6" t="s">
        <v>1880</v>
      </c>
      <c r="F628" s="7" t="str">
        <f aca="false">IF($D628="","",IFERROR(IF(INDEX(Hierarchy!$B$2:$B$1295,MATCH($D628,Hierarchy!$A$2:$A$1295,0))="","",INDEX(Hierarchy!$B$2:$B$1295,MATCH($D628,Hierarchy!$A$2:$A$1295,0))),"NODE NOT FOUND"))</f>
        <v>State/Province</v>
      </c>
      <c r="G628" s="7" t="str">
        <f aca="false">IF($D628="","",IFERROR(IF(INDEX(Hierarchy!$D$2:$D$1295,MATCH($D628,Hierarchy!$A$2:$A$1295,0))="","",INDEX(Hierarchy!$D$2:$D$1295,MATCH($D628,Hierarchy!$A$2:$A$1295,0))),"NODE NOT FOUND"))</f>
        <v>EMEA</v>
      </c>
      <c r="H628" s="7" t="str">
        <f aca="false">IF($D628="","",IFERROR(IF(INDEX(Hierarchy!$E$2:$E$1295,MATCH($D628,Hierarchy!$A$2:$A$1295,0))="","",INDEX(Hierarchy!$E$2:$E$1295,MATCH($D628,Hierarchy!$A$2:$A$1295,0))),"NODE NOT FOUND"))</f>
        <v>Europe</v>
      </c>
      <c r="I628" s="7" t="str">
        <f aca="false">IF($D628="","",IFERROR(IF(INDEX(Hierarchy!$F$2:$F$1295,MATCH($D628,Hierarchy!$A$2:$A$1295,0))="","",INDEX(Hierarchy!$F$2:$F$1295,MATCH($D628,Hierarchy!$A$2:$A$1295,0))),"NODE NOT FOUND"))</f>
        <v>Switzerland</v>
      </c>
      <c r="J628" s="7" t="str">
        <f aca="false">IF($D628="","",IFERROR(IF(INDEX(Hierarchy!$G$2:$G$1295,MATCH($D628,Hierarchy!$A$2:$A$1295,0))="","",INDEX(Hierarchy!$G$2:$G$1295,MATCH($D628,Hierarchy!$A$2:$A$1295,0))),"NODE NOT FOUND"))</f>
        <v>CHE</v>
      </c>
      <c r="K628" s="7" t="str">
        <f aca="false">IF($D628="","",IFERROR(IF(INDEX(Hierarchy!$H$2:$H$1295,MATCH($D628,Hierarchy!$A$2:$A$1295,0))="","",INDEX(Hierarchy!$H$2:$H$1295,MATCH($D628,Hierarchy!$A$2:$A$1295,0))),"NODE NOT FOUND"))</f>
        <v>Glarus</v>
      </c>
      <c r="L628" s="7" t="str">
        <f aca="false">IF($D628="","",IFERROR(IF(INDEX(Hierarchy!$I$2:$I$1295,MATCH($D628,Hierarchy!$A$2:$A$1295,0))="","",INDEX(Hierarchy!$I$2:$I$1295,MATCH($D628,Hierarchy!$A$2:$A$1295,0))),"NODE NOT FOUND"))</f>
        <v/>
      </c>
      <c r="M628" s="17" t="str">
        <f aca="false">IF(B628="Pre-seeded","Pre-seeded",IF(B628="Review 2026-09-16","Added from review",IF(C628="","New",IF(C628=D628,"","Changed"))))</f>
        <v>Pre-seeded</v>
      </c>
      <c r="N628" s="7" t="str">
        <f aca="false">TRIM(SUBSTITUTE(SUBSTITUTE(SUBSTITUTE(" "&amp;TRIM(SUBSTITUTE(SUBSTITUTE(SUBSTITUTE(SUBSTITUTE(SUBSTITUTE(SUBSTITUTE(SUBSTITUTE(SUBSTITUTE(SUBSTITUTE(SUBSTITUTE(SUBSTITUTE(SUBSTITUTE(SUBSTITUTE(SUBSTITUTE(SUBSTITUTE(UPPER(TRIM(A628)),"[MEMBER]",""),"{MEMBER}",""),"[MEMBER}",""),"MEMBER]",""),"(A)",""),"""",""),"“",""),"”",""),".",""),":",""),",",""),"–"," "),"-"," "),"/"," "),"&amp;"," AND "))&amp;" "," THE "," ")," TOTAL "," ")," OPERATIONS "," "))</f>
        <v>GLARUS</v>
      </c>
      <c r="O628" s="17" t="str">
        <f aca="false">IF(COUNTIFS($N$2:$N$2000,N628,$D$2:$D$2000,"&lt;&gt;"&amp;D628)&gt;0,"CONFLICT","")</f>
        <v/>
      </c>
      <c r="P628" s="7"/>
    </row>
    <row r="629" customFormat="false" ht="15" hidden="false" customHeight="false" outlineLevel="0" collapsed="false">
      <c r="A629" s="7" t="s">
        <v>3</v>
      </c>
      <c r="B629" s="7" t="s">
        <v>1879</v>
      </c>
      <c r="C629" s="7"/>
      <c r="D629" s="6" t="s">
        <v>3</v>
      </c>
      <c r="E629" s="6" t="s">
        <v>1880</v>
      </c>
      <c r="F629" s="7" t="str">
        <f aca="false">IF($D629="","",IFERROR(IF(INDEX(Hierarchy!$B$2:$B$1295,MATCH($D629,Hierarchy!$A$2:$A$1295,0))="","",INDEX(Hierarchy!$B$2:$B$1295,MATCH($D629,Hierarchy!$A$2:$A$1295,0))),"NODE NOT FOUND"))</f>
        <v>Global</v>
      </c>
      <c r="G629" s="7" t="str">
        <f aca="false">IF($D629="","",IFERROR(IF(INDEX(Hierarchy!$D$2:$D$1295,MATCH($D629,Hierarchy!$A$2:$A$1295,0))="","",INDEX(Hierarchy!$D$2:$D$1295,MATCH($D629,Hierarchy!$A$2:$A$1295,0))),"NODE NOT FOUND"))</f>
        <v>Global</v>
      </c>
      <c r="H629" s="7" t="str">
        <f aca="false">IF($D629="","",IFERROR(IF(INDEX(Hierarchy!$E$2:$E$1295,MATCH($D629,Hierarchy!$A$2:$A$1295,0))="","",INDEX(Hierarchy!$E$2:$E$1295,MATCH($D629,Hierarchy!$A$2:$A$1295,0))),"NODE NOT FOUND"))</f>
        <v/>
      </c>
      <c r="I629" s="7" t="str">
        <f aca="false">IF($D629="","",IFERROR(IF(INDEX(Hierarchy!$F$2:$F$1295,MATCH($D629,Hierarchy!$A$2:$A$1295,0))="","",INDEX(Hierarchy!$F$2:$F$1295,MATCH($D629,Hierarchy!$A$2:$A$1295,0))),"NODE NOT FOUND"))</f>
        <v/>
      </c>
      <c r="J629" s="7" t="str">
        <f aca="false">IF($D629="","",IFERROR(IF(INDEX(Hierarchy!$G$2:$G$1295,MATCH($D629,Hierarchy!$A$2:$A$1295,0))="","",INDEX(Hierarchy!$G$2:$G$1295,MATCH($D629,Hierarchy!$A$2:$A$1295,0))),"NODE NOT FOUND"))</f>
        <v/>
      </c>
      <c r="K629" s="7" t="str">
        <f aca="false">IF($D629="","",IFERROR(IF(INDEX(Hierarchy!$H$2:$H$1295,MATCH($D629,Hierarchy!$A$2:$A$1295,0))="","",INDEX(Hierarchy!$H$2:$H$1295,MATCH($D629,Hierarchy!$A$2:$A$1295,0))),"NODE NOT FOUND"))</f>
        <v/>
      </c>
      <c r="L629" s="7" t="str">
        <f aca="false">IF($D629="","",IFERROR(IF(INDEX(Hierarchy!$I$2:$I$1295,MATCH($D629,Hierarchy!$A$2:$A$1295,0))="","",INDEX(Hierarchy!$I$2:$I$1295,MATCH($D629,Hierarchy!$A$2:$A$1295,0))),"NODE NOT FOUND"))</f>
        <v/>
      </c>
      <c r="M629" s="17" t="str">
        <f aca="false">IF(B629="Pre-seeded","Pre-seeded",IF(B629="Review 2026-09-16","Added from review",IF(C629="","New",IF(C629=D629,"","Changed"))))</f>
        <v>Pre-seeded</v>
      </c>
      <c r="N629" s="7" t="str">
        <f aca="false">TRIM(SUBSTITUTE(SUBSTITUTE(SUBSTITUTE(" "&amp;TRIM(SUBSTITUTE(SUBSTITUTE(SUBSTITUTE(SUBSTITUTE(SUBSTITUTE(SUBSTITUTE(SUBSTITUTE(SUBSTITUTE(SUBSTITUTE(SUBSTITUTE(SUBSTITUTE(SUBSTITUTE(SUBSTITUTE(SUBSTITUTE(SUBSTITUTE(UPPER(TRIM(A629)),"[MEMBER]",""),"{MEMBER}",""),"[MEMBER}",""),"MEMBER]",""),"(A)",""),"""",""),"“",""),"”",""),".",""),":",""),",",""),"–"," "),"-"," "),"/"," "),"&amp;"," AND "))&amp;" "," THE "," ")," TOTAL "," ")," OPERATIONS "," "))</f>
        <v>GLOBAL</v>
      </c>
      <c r="O629" s="17" t="str">
        <f aca="false">IF(COUNTIFS($N$2:$N$2000,N629,$D$2:$D$2000,"&lt;&gt;"&amp;D629)&gt;0,"CONFLICT","")</f>
        <v/>
      </c>
      <c r="P629" s="7"/>
    </row>
    <row r="630" customFormat="false" ht="15" hidden="false" customHeight="false" outlineLevel="0" collapsed="false">
      <c r="A630" s="7" t="s">
        <v>2216</v>
      </c>
      <c r="B630" s="7" t="s">
        <v>1885</v>
      </c>
      <c r="C630" s="7" t="s">
        <v>2032</v>
      </c>
      <c r="D630" s="6" t="s">
        <v>1811</v>
      </c>
      <c r="E630" s="6" t="s">
        <v>1880</v>
      </c>
      <c r="F630" s="7" t="str">
        <f aca="false">IF($D630="","",IFERROR(IF(INDEX(Hierarchy!$B$2:$B$1295,MATCH($D630,Hierarchy!$A$2:$A$1295,0))="","",INDEX(Hierarchy!$B$2:$B$1295,MATCH($D630,Hierarchy!$A$2:$A$1295,0))),"NODE NOT FOUND"))</f>
        <v>Market grouping</v>
      </c>
      <c r="G630" s="7" t="str">
        <f aca="false">IF($D630="","",IFERROR(IF(INDEX(Hierarchy!$D$2:$D$1295,MATCH($D630,Hierarchy!$A$2:$A$1295,0))="","",INDEX(Hierarchy!$D$2:$D$1295,MATCH($D630,Hierarchy!$A$2:$A$1295,0))),"NODE NOT FOUND"))</f>
        <v>Market grouping</v>
      </c>
      <c r="H630" s="7" t="str">
        <f aca="false">IF($D630="","",IFERROR(IF(INDEX(Hierarchy!$E$2:$E$1295,MATCH($D630,Hierarchy!$A$2:$A$1295,0))="","",INDEX(Hierarchy!$E$2:$E$1295,MATCH($D630,Hierarchy!$A$2:$A$1295,0))),"NODE NOT FOUND"))</f>
        <v/>
      </c>
      <c r="I630" s="7" t="str">
        <f aca="false">IF($D630="","",IFERROR(IF(INDEX(Hierarchy!$F$2:$F$1295,MATCH($D630,Hierarchy!$A$2:$A$1295,0))="","",INDEX(Hierarchy!$F$2:$F$1295,MATCH($D630,Hierarchy!$A$2:$A$1295,0))),"NODE NOT FOUND"))</f>
        <v/>
      </c>
      <c r="J630" s="7" t="str">
        <f aca="false">IF($D630="","",IFERROR(IF(INDEX(Hierarchy!$G$2:$G$1295,MATCH($D630,Hierarchy!$A$2:$A$1295,0))="","",INDEX(Hierarchy!$G$2:$G$1295,MATCH($D630,Hierarchy!$A$2:$A$1295,0))),"NODE NOT FOUND"))</f>
        <v/>
      </c>
      <c r="K630" s="7" t="str">
        <f aca="false">IF($D630="","",IFERROR(IF(INDEX(Hierarchy!$H$2:$H$1295,MATCH($D630,Hierarchy!$A$2:$A$1295,0))="","",INDEX(Hierarchy!$H$2:$H$1295,MATCH($D630,Hierarchy!$A$2:$A$1295,0))),"NODE NOT FOUND"))</f>
        <v/>
      </c>
      <c r="L630" s="7" t="str">
        <f aca="false">IF($D630="","",IFERROR(IF(INDEX(Hierarchy!$I$2:$I$1295,MATCH($D630,Hierarchy!$A$2:$A$1295,0))="","",INDEX(Hierarchy!$I$2:$I$1295,MATCH($D630,Hierarchy!$A$2:$A$1295,0))),"NODE NOT FOUND"))</f>
        <v/>
      </c>
      <c r="M630" s="17" t="str">
        <f aca="false">IF(B630="Pre-seeded","Pre-seeded",IF(B630="Review 2026-09-16","Added from review",IF(C630="","New",IF(C630=D630,"","Changed"))))</f>
        <v>Changed</v>
      </c>
      <c r="N630" s="7" t="str">
        <f aca="false">TRIM(SUBSTITUTE(SUBSTITUTE(SUBSTITUTE(" "&amp;TRIM(SUBSTITUTE(SUBSTITUTE(SUBSTITUTE(SUBSTITUTE(SUBSTITUTE(SUBSTITUTE(SUBSTITUTE(SUBSTITUTE(SUBSTITUTE(SUBSTITUTE(SUBSTITUTE(SUBSTITUTE(SUBSTITUTE(SUBSTITUTE(SUBSTITUTE(UPPER(TRIM(A630)),"[MEMBER]",""),"{MEMBER}",""),"[MEMBER}",""),"MEMBER]",""),"(A)",""),"""",""),"“",""),"”",""),".",""),":",""),",",""),"–"," "),"-"," "),"/"," "),"&amp;"," AND "))&amp;" "," THE "," ")," TOTAL "," ")," OPERATIONS "," "))</f>
        <v>GLOBAL EMERGING MARKETS</v>
      </c>
      <c r="O630" s="17" t="str">
        <f aca="false">IF(COUNTIFS($N$2:$N$2000,N630,$D$2:$D$2000,"&lt;&gt;"&amp;D630)&gt;0,"CONFLICT","")</f>
        <v/>
      </c>
      <c r="P630" s="7"/>
    </row>
    <row r="631" customFormat="false" ht="15" hidden="false" customHeight="false" outlineLevel="0" collapsed="false">
      <c r="A631" s="7" t="s">
        <v>1336</v>
      </c>
      <c r="B631" s="7" t="s">
        <v>1879</v>
      </c>
      <c r="C631" s="7"/>
      <c r="D631" s="6" t="s">
        <v>1336</v>
      </c>
      <c r="E631" s="6" t="s">
        <v>1880</v>
      </c>
      <c r="F631" s="7" t="str">
        <f aca="false">IF($D631="","",IFERROR(IF(INDEX(Hierarchy!$B$2:$B$1295,MATCH($D631,Hierarchy!$A$2:$A$1295,0))="","",INDEX(Hierarchy!$B$2:$B$1295,MATCH($D631,Hierarchy!$A$2:$A$1295,0))),"NODE NOT FOUND"))</f>
        <v>State/Province</v>
      </c>
      <c r="G631" s="7" t="str">
        <f aca="false">IF($D631="","",IFERROR(IF(INDEX(Hierarchy!$D$2:$D$1295,MATCH($D631,Hierarchy!$A$2:$A$1295,0))="","",INDEX(Hierarchy!$D$2:$D$1295,MATCH($D631,Hierarchy!$A$2:$A$1295,0))),"NODE NOT FOUND"))</f>
        <v>APAC</v>
      </c>
      <c r="H631" s="7" t="str">
        <f aca="false">IF($D631="","",IFERROR(IF(INDEX(Hierarchy!$E$2:$E$1295,MATCH($D631,Hierarchy!$A$2:$A$1295,0))="","",INDEX(Hierarchy!$E$2:$E$1295,MATCH($D631,Hierarchy!$A$2:$A$1295,0))),"NODE NOT FOUND"))</f>
        <v>South Asia</v>
      </c>
      <c r="I631" s="7" t="str">
        <f aca="false">IF($D631="","",IFERROR(IF(INDEX(Hierarchy!$F$2:$F$1295,MATCH($D631,Hierarchy!$A$2:$A$1295,0))="","",INDEX(Hierarchy!$F$2:$F$1295,MATCH($D631,Hierarchy!$A$2:$A$1295,0))),"NODE NOT FOUND"))</f>
        <v>India</v>
      </c>
      <c r="J631" s="7" t="str">
        <f aca="false">IF($D631="","",IFERROR(IF(INDEX(Hierarchy!$G$2:$G$1295,MATCH($D631,Hierarchy!$A$2:$A$1295,0))="","",INDEX(Hierarchy!$G$2:$G$1295,MATCH($D631,Hierarchy!$A$2:$A$1295,0))),"NODE NOT FOUND"))</f>
        <v>IND</v>
      </c>
      <c r="K631" s="7" t="str">
        <f aca="false">IF($D631="","",IFERROR(IF(INDEX(Hierarchy!$H$2:$H$1295,MATCH($D631,Hierarchy!$A$2:$A$1295,0))="","",INDEX(Hierarchy!$H$2:$H$1295,MATCH($D631,Hierarchy!$A$2:$A$1295,0))),"NODE NOT FOUND"))</f>
        <v>Goa</v>
      </c>
      <c r="L631" s="7" t="str">
        <f aca="false">IF($D631="","",IFERROR(IF(INDEX(Hierarchy!$I$2:$I$1295,MATCH($D631,Hierarchy!$A$2:$A$1295,0))="","",INDEX(Hierarchy!$I$2:$I$1295,MATCH($D631,Hierarchy!$A$2:$A$1295,0))),"NODE NOT FOUND"))</f>
        <v/>
      </c>
      <c r="M631" s="17" t="str">
        <f aca="false">IF(B631="Pre-seeded","Pre-seeded",IF(B631="Review 2026-09-16","Added from review",IF(C631="","New",IF(C631=D631,"","Changed"))))</f>
        <v>Pre-seeded</v>
      </c>
      <c r="N631" s="7" t="str">
        <f aca="false">TRIM(SUBSTITUTE(SUBSTITUTE(SUBSTITUTE(" "&amp;TRIM(SUBSTITUTE(SUBSTITUTE(SUBSTITUTE(SUBSTITUTE(SUBSTITUTE(SUBSTITUTE(SUBSTITUTE(SUBSTITUTE(SUBSTITUTE(SUBSTITUTE(SUBSTITUTE(SUBSTITUTE(SUBSTITUTE(SUBSTITUTE(SUBSTITUTE(UPPER(TRIM(A631)),"[MEMBER]",""),"{MEMBER}",""),"[MEMBER}",""),"MEMBER]",""),"(A)",""),"""",""),"“",""),"”",""),".",""),":",""),",",""),"–"," "),"-"," "),"/"," "),"&amp;"," AND "))&amp;" "," THE "," ")," TOTAL "," ")," OPERATIONS "," "))</f>
        <v>GOA</v>
      </c>
      <c r="O631" s="17" t="str">
        <f aca="false">IF(COUNTIFS($N$2:$N$2000,N631,$D$2:$D$2000,"&lt;&gt;"&amp;D631)&gt;0,"CONFLICT","")</f>
        <v/>
      </c>
      <c r="P631" s="7"/>
    </row>
    <row r="632" customFormat="false" ht="15" hidden="false" customHeight="false" outlineLevel="0" collapsed="false">
      <c r="A632" s="7" t="s">
        <v>355</v>
      </c>
      <c r="B632" s="7" t="s">
        <v>1879</v>
      </c>
      <c r="C632" s="7"/>
      <c r="D632" s="6" t="s">
        <v>355</v>
      </c>
      <c r="E632" s="6" t="s">
        <v>1880</v>
      </c>
      <c r="F632" s="7" t="str">
        <f aca="false">IF($D632="","",IFERROR(IF(INDEX(Hierarchy!$B$2:$B$1295,MATCH($D632,Hierarchy!$A$2:$A$1295,0))="","",INDEX(Hierarchy!$B$2:$B$1295,MATCH($D632,Hierarchy!$A$2:$A$1295,0))),"NODE NOT FOUND"))</f>
        <v>State/Province</v>
      </c>
      <c r="G632" s="7" t="str">
        <f aca="false">IF($D632="","",IFERROR(IF(INDEX(Hierarchy!$D$2:$D$1295,MATCH($D632,Hierarchy!$A$2:$A$1295,0))="","",INDEX(Hierarchy!$D$2:$D$1295,MATCH($D632,Hierarchy!$A$2:$A$1295,0))),"NODE NOT FOUND"))</f>
        <v>AMER</v>
      </c>
      <c r="H632" s="7" t="str">
        <f aca="false">IF($D632="","",IFERROR(IF(INDEX(Hierarchy!$E$2:$E$1295,MATCH($D632,Hierarchy!$A$2:$A$1295,0))="","",INDEX(Hierarchy!$E$2:$E$1295,MATCH($D632,Hierarchy!$A$2:$A$1295,0))),"NODE NOT FOUND"))</f>
        <v>Latin America (LATAM)</v>
      </c>
      <c r="I632" s="7" t="str">
        <f aca="false">IF($D632="","",IFERROR(IF(INDEX(Hierarchy!$F$2:$F$1295,MATCH($D632,Hierarchy!$A$2:$A$1295,0))="","",INDEX(Hierarchy!$F$2:$F$1295,MATCH($D632,Hierarchy!$A$2:$A$1295,0))),"NODE NOT FOUND"))</f>
        <v>Brazil</v>
      </c>
      <c r="J632" s="7" t="str">
        <f aca="false">IF($D632="","",IFERROR(IF(INDEX(Hierarchy!$G$2:$G$1295,MATCH($D632,Hierarchy!$A$2:$A$1295,0))="","",INDEX(Hierarchy!$G$2:$G$1295,MATCH($D632,Hierarchy!$A$2:$A$1295,0))),"NODE NOT FOUND"))</f>
        <v>BRA</v>
      </c>
      <c r="K632" s="7" t="str">
        <f aca="false">IF($D632="","",IFERROR(IF(INDEX(Hierarchy!$H$2:$H$1295,MATCH($D632,Hierarchy!$A$2:$A$1295,0))="","",INDEX(Hierarchy!$H$2:$H$1295,MATCH($D632,Hierarchy!$A$2:$A$1295,0))),"NODE NOT FOUND"))</f>
        <v>Goiás</v>
      </c>
      <c r="L632" s="7" t="str">
        <f aca="false">IF($D632="","",IFERROR(IF(INDEX(Hierarchy!$I$2:$I$1295,MATCH($D632,Hierarchy!$A$2:$A$1295,0))="","",INDEX(Hierarchy!$I$2:$I$1295,MATCH($D632,Hierarchy!$A$2:$A$1295,0))),"NODE NOT FOUND"))</f>
        <v/>
      </c>
      <c r="M632" s="17" t="str">
        <f aca="false">IF(B632="Pre-seeded","Pre-seeded",IF(B632="Review 2026-09-16","Added from review",IF(C632="","New",IF(C632=D632,"","Changed"))))</f>
        <v>Pre-seeded</v>
      </c>
      <c r="N632" s="7" t="str">
        <f aca="false">TRIM(SUBSTITUTE(SUBSTITUTE(SUBSTITUTE(" "&amp;TRIM(SUBSTITUTE(SUBSTITUTE(SUBSTITUTE(SUBSTITUTE(SUBSTITUTE(SUBSTITUTE(SUBSTITUTE(SUBSTITUTE(SUBSTITUTE(SUBSTITUTE(SUBSTITUTE(SUBSTITUTE(SUBSTITUTE(SUBSTITUTE(SUBSTITUTE(UPPER(TRIM(A632)),"[MEMBER]",""),"{MEMBER}",""),"[MEMBER}",""),"MEMBER]",""),"(A)",""),"""",""),"“",""),"”",""),".",""),":",""),",",""),"–"," "),"-"," "),"/"," "),"&amp;"," AND "))&amp;" "," THE "," ")," TOTAL "," ")," OPERATIONS "," "))</f>
        <v>GOIÁS</v>
      </c>
      <c r="O632" s="17" t="str">
        <f aca="false">IF(COUNTIFS($N$2:$N$2000,N632,$D$2:$D$2000,"&lt;&gt;"&amp;D632)&gt;0,"CONFLICT","")</f>
        <v/>
      </c>
      <c r="P632" s="7"/>
    </row>
    <row r="633" customFormat="false" ht="15" hidden="false" customHeight="false" outlineLevel="0" collapsed="false">
      <c r="A633" s="7" t="s">
        <v>1148</v>
      </c>
      <c r="B633" s="7" t="s">
        <v>1879</v>
      </c>
      <c r="C633" s="7"/>
      <c r="D633" s="6" t="s">
        <v>1148</v>
      </c>
      <c r="E633" s="6" t="s">
        <v>1880</v>
      </c>
      <c r="F633" s="7" t="str">
        <f aca="false">IF($D633="","",IFERROR(IF(INDEX(Hierarchy!$B$2:$B$1295,MATCH($D633,Hierarchy!$A$2:$A$1295,0))="","",INDEX(Hierarchy!$B$2:$B$1295,MATCH($D633,Hierarchy!$A$2:$A$1295,0))),"NODE NOT FOUND"))</f>
        <v>State/Province</v>
      </c>
      <c r="G633" s="7" t="str">
        <f aca="false">IF($D633="","",IFERROR(IF(INDEX(Hierarchy!$D$2:$D$1295,MATCH($D633,Hierarchy!$A$2:$A$1295,0))="","",INDEX(Hierarchy!$D$2:$D$1295,MATCH($D633,Hierarchy!$A$2:$A$1295,0))),"NODE NOT FOUND"))</f>
        <v>EMEA</v>
      </c>
      <c r="H633" s="7" t="str">
        <f aca="false">IF($D633="","",IFERROR(IF(INDEX(Hierarchy!$E$2:$E$1295,MATCH($D633,Hierarchy!$A$2:$A$1295,0))="","",INDEX(Hierarchy!$E$2:$E$1295,MATCH($D633,Hierarchy!$A$2:$A$1295,0))),"NODE NOT FOUND"))</f>
        <v>Africa</v>
      </c>
      <c r="I633" s="7" t="str">
        <f aca="false">IF($D633="","",IFERROR(IF(INDEX(Hierarchy!$F$2:$F$1295,MATCH($D633,Hierarchy!$A$2:$A$1295,0))="","",INDEX(Hierarchy!$F$2:$F$1295,MATCH($D633,Hierarchy!$A$2:$A$1295,0))),"NODE NOT FOUND"))</f>
        <v>Nigeria</v>
      </c>
      <c r="J633" s="7" t="str">
        <f aca="false">IF($D633="","",IFERROR(IF(INDEX(Hierarchy!$G$2:$G$1295,MATCH($D633,Hierarchy!$A$2:$A$1295,0))="","",INDEX(Hierarchy!$G$2:$G$1295,MATCH($D633,Hierarchy!$A$2:$A$1295,0))),"NODE NOT FOUND"))</f>
        <v>NGA</v>
      </c>
      <c r="K633" s="7" t="str">
        <f aca="false">IF($D633="","",IFERROR(IF(INDEX(Hierarchy!$H$2:$H$1295,MATCH($D633,Hierarchy!$A$2:$A$1295,0))="","",INDEX(Hierarchy!$H$2:$H$1295,MATCH($D633,Hierarchy!$A$2:$A$1295,0))),"NODE NOT FOUND"))</f>
        <v>Gombe</v>
      </c>
      <c r="L633" s="7" t="str">
        <f aca="false">IF($D633="","",IFERROR(IF(INDEX(Hierarchy!$I$2:$I$1295,MATCH($D633,Hierarchy!$A$2:$A$1295,0))="","",INDEX(Hierarchy!$I$2:$I$1295,MATCH($D633,Hierarchy!$A$2:$A$1295,0))),"NODE NOT FOUND"))</f>
        <v/>
      </c>
      <c r="M633" s="17" t="str">
        <f aca="false">IF(B633="Pre-seeded","Pre-seeded",IF(B633="Review 2026-09-16","Added from review",IF(C633="","New",IF(C633=D633,"","Changed"))))</f>
        <v>Pre-seeded</v>
      </c>
      <c r="N633" s="7" t="str">
        <f aca="false">TRIM(SUBSTITUTE(SUBSTITUTE(SUBSTITUTE(" "&amp;TRIM(SUBSTITUTE(SUBSTITUTE(SUBSTITUTE(SUBSTITUTE(SUBSTITUTE(SUBSTITUTE(SUBSTITUTE(SUBSTITUTE(SUBSTITUTE(SUBSTITUTE(SUBSTITUTE(SUBSTITUTE(SUBSTITUTE(SUBSTITUTE(SUBSTITUTE(UPPER(TRIM(A633)),"[MEMBER]",""),"{MEMBER}",""),"[MEMBER}",""),"MEMBER]",""),"(A)",""),"""",""),"“",""),"”",""),".",""),":",""),",",""),"–"," "),"-"," "),"/"," "),"&amp;"," AND "))&amp;" "," THE "," ")," TOTAL "," ")," OPERATIONS "," "))</f>
        <v>GOMBE</v>
      </c>
      <c r="O633" s="17" t="str">
        <f aca="false">IF(COUNTIFS($N$2:$N$2000,N633,$D$2:$D$2000,"&lt;&gt;"&amp;D633)&gt;0,"CONFLICT","")</f>
        <v/>
      </c>
      <c r="P633" s="7"/>
    </row>
    <row r="634" customFormat="false" ht="15" hidden="false" customHeight="false" outlineLevel="0" collapsed="false">
      <c r="A634" s="7" t="s">
        <v>1604</v>
      </c>
      <c r="B634" s="7" t="s">
        <v>1879</v>
      </c>
      <c r="C634" s="7"/>
      <c r="D634" s="6" t="s">
        <v>1604</v>
      </c>
      <c r="E634" s="6" t="s">
        <v>1880</v>
      </c>
      <c r="F634" s="7" t="str">
        <f aca="false">IF($D634="","",IFERROR(IF(INDEX(Hierarchy!$B$2:$B$1295,MATCH($D634,Hierarchy!$A$2:$A$1295,0))="","",INDEX(Hierarchy!$B$2:$B$1295,MATCH($D634,Hierarchy!$A$2:$A$1295,0))),"NODE NOT FOUND"))</f>
        <v>State/Province</v>
      </c>
      <c r="G634" s="7" t="str">
        <f aca="false">IF($D634="","",IFERROR(IF(INDEX(Hierarchy!$D$2:$D$1295,MATCH($D634,Hierarchy!$A$2:$A$1295,0))="","",INDEX(Hierarchy!$D$2:$D$1295,MATCH($D634,Hierarchy!$A$2:$A$1295,0))),"NODE NOT FOUND"))</f>
        <v>APAC</v>
      </c>
      <c r="H634" s="7" t="str">
        <f aca="false">IF($D634="","",IFERROR(IF(INDEX(Hierarchy!$E$2:$E$1295,MATCH($D634,Hierarchy!$A$2:$A$1295,0))="","",INDEX(Hierarchy!$E$2:$E$1295,MATCH($D634,Hierarchy!$A$2:$A$1295,0))),"NODE NOT FOUND"))</f>
        <v>Southeast Asia (ASEAN)</v>
      </c>
      <c r="I634" s="7" t="str">
        <f aca="false">IF($D634="","",IFERROR(IF(INDEX(Hierarchy!$F$2:$F$1295,MATCH($D634,Hierarchy!$A$2:$A$1295,0))="","",INDEX(Hierarchy!$F$2:$F$1295,MATCH($D634,Hierarchy!$A$2:$A$1295,0))),"NODE NOT FOUND"))</f>
        <v>Indonesia</v>
      </c>
      <c r="J634" s="7" t="str">
        <f aca="false">IF($D634="","",IFERROR(IF(INDEX(Hierarchy!$G$2:$G$1295,MATCH($D634,Hierarchy!$A$2:$A$1295,0))="","",INDEX(Hierarchy!$G$2:$G$1295,MATCH($D634,Hierarchy!$A$2:$A$1295,0))),"NODE NOT FOUND"))</f>
        <v>IDN</v>
      </c>
      <c r="K634" s="7" t="str">
        <f aca="false">IF($D634="","",IFERROR(IF(INDEX(Hierarchy!$H$2:$H$1295,MATCH($D634,Hierarchy!$A$2:$A$1295,0))="","",INDEX(Hierarchy!$H$2:$H$1295,MATCH($D634,Hierarchy!$A$2:$A$1295,0))),"NODE NOT FOUND"))</f>
        <v>Gorontalo</v>
      </c>
      <c r="L634" s="7" t="str">
        <f aca="false">IF($D634="","",IFERROR(IF(INDEX(Hierarchy!$I$2:$I$1295,MATCH($D634,Hierarchy!$A$2:$A$1295,0))="","",INDEX(Hierarchy!$I$2:$I$1295,MATCH($D634,Hierarchy!$A$2:$A$1295,0))),"NODE NOT FOUND"))</f>
        <v/>
      </c>
      <c r="M634" s="17" t="str">
        <f aca="false">IF(B634="Pre-seeded","Pre-seeded",IF(B634="Review 2026-09-16","Added from review",IF(C634="","New",IF(C634=D634,"","Changed"))))</f>
        <v>Pre-seeded</v>
      </c>
      <c r="N634" s="7" t="str">
        <f aca="false">TRIM(SUBSTITUTE(SUBSTITUTE(SUBSTITUTE(" "&amp;TRIM(SUBSTITUTE(SUBSTITUTE(SUBSTITUTE(SUBSTITUTE(SUBSTITUTE(SUBSTITUTE(SUBSTITUTE(SUBSTITUTE(SUBSTITUTE(SUBSTITUTE(SUBSTITUTE(SUBSTITUTE(SUBSTITUTE(SUBSTITUTE(SUBSTITUTE(UPPER(TRIM(A634)),"[MEMBER]",""),"{MEMBER}",""),"[MEMBER}",""),"MEMBER]",""),"(A)",""),"""",""),"“",""),"”",""),".",""),":",""),",",""),"–"," "),"-"," "),"/"," "),"&amp;"," AND "))&amp;" "," THE "," ")," TOTAL "," ")," OPERATIONS "," "))</f>
        <v>GORONTALO</v>
      </c>
      <c r="O634" s="17" t="str">
        <f aca="false">IF(COUNTIFS($N$2:$N$2000,N634,$D$2:$D$2000,"&lt;&gt;"&amp;D634)&gt;0,"CONFLICT","")</f>
        <v/>
      </c>
      <c r="P634" s="7"/>
    </row>
    <row r="635" customFormat="false" ht="15" hidden="false" customHeight="false" outlineLevel="0" collapsed="false">
      <c r="A635" s="7" t="s">
        <v>2217</v>
      </c>
      <c r="B635" s="7" t="s">
        <v>1879</v>
      </c>
      <c r="C635" s="7"/>
      <c r="D635" s="6" t="s">
        <v>870</v>
      </c>
      <c r="E635" s="6" t="s">
        <v>1880</v>
      </c>
      <c r="F635" s="7" t="str">
        <f aca="false">IF($D635="","",IFERROR(IF(INDEX(Hierarchy!$B$2:$B$1295,MATCH($D635,Hierarchy!$A$2:$A$1295,0))="","",INDEX(Hierarchy!$B$2:$B$1295,MATCH($D635,Hierarchy!$A$2:$A$1295,0))),"NODE NOT FOUND"))</f>
        <v>Country</v>
      </c>
      <c r="G635" s="7" t="str">
        <f aca="false">IF($D635="","",IFERROR(IF(INDEX(Hierarchy!$D$2:$D$1295,MATCH($D635,Hierarchy!$A$2:$A$1295,0))="","",INDEX(Hierarchy!$D$2:$D$1295,MATCH($D635,Hierarchy!$A$2:$A$1295,0))),"NODE NOT FOUND"))</f>
        <v>EMEA</v>
      </c>
      <c r="H635" s="7" t="str">
        <f aca="false">IF($D635="","",IFERROR(IF(INDEX(Hierarchy!$E$2:$E$1295,MATCH($D635,Hierarchy!$A$2:$A$1295,0))="","",INDEX(Hierarchy!$E$2:$E$1295,MATCH($D635,Hierarchy!$A$2:$A$1295,0))),"NODE NOT FOUND"))</f>
        <v>Europe</v>
      </c>
      <c r="I635" s="7" t="str">
        <f aca="false">IF($D635="","",IFERROR(IF(INDEX(Hierarchy!$F$2:$F$1295,MATCH($D635,Hierarchy!$A$2:$A$1295,0))="","",INDEX(Hierarchy!$F$2:$F$1295,MATCH($D635,Hierarchy!$A$2:$A$1295,0))),"NODE NOT FOUND"))</f>
        <v>Luxembourg</v>
      </c>
      <c r="J635" s="7" t="str">
        <f aca="false">IF($D635="","",IFERROR(IF(INDEX(Hierarchy!$G$2:$G$1295,MATCH($D635,Hierarchy!$A$2:$A$1295,0))="","",INDEX(Hierarchy!$G$2:$G$1295,MATCH($D635,Hierarchy!$A$2:$A$1295,0))),"NODE NOT FOUND"))</f>
        <v>LUX</v>
      </c>
      <c r="K635" s="7" t="str">
        <f aca="false">IF($D635="","",IFERROR(IF(INDEX(Hierarchy!$H$2:$H$1295,MATCH($D635,Hierarchy!$A$2:$A$1295,0))="","",INDEX(Hierarchy!$H$2:$H$1295,MATCH($D635,Hierarchy!$A$2:$A$1295,0))),"NODE NOT FOUND"))</f>
        <v/>
      </c>
      <c r="L635" s="7" t="str">
        <f aca="false">IF($D635="","",IFERROR(IF(INDEX(Hierarchy!$I$2:$I$1295,MATCH($D635,Hierarchy!$A$2:$A$1295,0))="","",INDEX(Hierarchy!$I$2:$I$1295,MATCH($D635,Hierarchy!$A$2:$A$1295,0))),"NODE NOT FOUND"))</f>
        <v/>
      </c>
      <c r="M635" s="17" t="str">
        <f aca="false">IF(B635="Pre-seeded","Pre-seeded",IF(B635="Review 2026-09-16","Added from review",IF(C635="","New",IF(C635=D635,"","Changed"))))</f>
        <v>Pre-seeded</v>
      </c>
      <c r="N635" s="7" t="str">
        <f aca="false">TRIM(SUBSTITUTE(SUBSTITUTE(SUBSTITUTE(" "&amp;TRIM(SUBSTITUTE(SUBSTITUTE(SUBSTITUTE(SUBSTITUTE(SUBSTITUTE(SUBSTITUTE(SUBSTITUTE(SUBSTITUTE(SUBSTITUTE(SUBSTITUTE(SUBSTITUTE(SUBSTITUTE(SUBSTITUTE(SUBSTITUTE(SUBSTITUTE(UPPER(TRIM(A635)),"[MEMBER]",""),"{MEMBER}",""),"[MEMBER}",""),"MEMBER]",""),"(A)",""),"""",""),"“",""),"”",""),".",""),":",""),",",""),"–"," "),"-"," "),"/"," "),"&amp;"," AND "))&amp;" "," THE "," ")," TOTAL "," ")," OPERATIONS "," "))</f>
        <v>GRAND DUCHY OF LUXEMBOURG</v>
      </c>
      <c r="O635" s="17" t="str">
        <f aca="false">IF(COUNTIFS($N$2:$N$2000,N635,$D$2:$D$2000,"&lt;&gt;"&amp;D635)&gt;0,"CONFLICT","")</f>
        <v/>
      </c>
      <c r="P635" s="7" t="s">
        <v>1936</v>
      </c>
    </row>
    <row r="636" customFormat="false" ht="15" hidden="false" customHeight="false" outlineLevel="0" collapsed="false">
      <c r="A636" s="7" t="s">
        <v>724</v>
      </c>
      <c r="B636" s="7" t="s">
        <v>1879</v>
      </c>
      <c r="C636" s="7"/>
      <c r="D636" s="6" t="s">
        <v>724</v>
      </c>
      <c r="E636" s="6" t="s">
        <v>1880</v>
      </c>
      <c r="F636" s="7" t="str">
        <f aca="false">IF($D636="","",IFERROR(IF(INDEX(Hierarchy!$B$2:$B$1295,MATCH($D636,Hierarchy!$A$2:$A$1295,0))="","",INDEX(Hierarchy!$B$2:$B$1295,MATCH($D636,Hierarchy!$A$2:$A$1295,0))),"NODE NOT FOUND"))</f>
        <v>State/Province</v>
      </c>
      <c r="G636" s="7" t="str">
        <f aca="false">IF($D636="","",IFERROR(IF(INDEX(Hierarchy!$D$2:$D$1295,MATCH($D636,Hierarchy!$A$2:$A$1295,0))="","",INDEX(Hierarchy!$D$2:$D$1295,MATCH($D636,Hierarchy!$A$2:$A$1295,0))),"NODE NOT FOUND"))</f>
        <v>EMEA</v>
      </c>
      <c r="H636" s="7" t="str">
        <f aca="false">IF($D636="","",IFERROR(IF(INDEX(Hierarchy!$E$2:$E$1295,MATCH($D636,Hierarchy!$A$2:$A$1295,0))="","",INDEX(Hierarchy!$E$2:$E$1295,MATCH($D636,Hierarchy!$A$2:$A$1295,0))),"NODE NOT FOUND"))</f>
        <v>Europe</v>
      </c>
      <c r="I636" s="7" t="str">
        <f aca="false">IF($D636="","",IFERROR(IF(INDEX(Hierarchy!$F$2:$F$1295,MATCH($D636,Hierarchy!$A$2:$A$1295,0))="","",INDEX(Hierarchy!$F$2:$F$1295,MATCH($D636,Hierarchy!$A$2:$A$1295,0))),"NODE NOT FOUND"))</f>
        <v>France</v>
      </c>
      <c r="J636" s="7" t="str">
        <f aca="false">IF($D636="","",IFERROR(IF(INDEX(Hierarchy!$G$2:$G$1295,MATCH($D636,Hierarchy!$A$2:$A$1295,0))="","",INDEX(Hierarchy!$G$2:$G$1295,MATCH($D636,Hierarchy!$A$2:$A$1295,0))),"NODE NOT FOUND"))</f>
        <v>FRA</v>
      </c>
      <c r="K636" s="7" t="str">
        <f aca="false">IF($D636="","",IFERROR(IF(INDEX(Hierarchy!$H$2:$H$1295,MATCH($D636,Hierarchy!$A$2:$A$1295,0))="","",INDEX(Hierarchy!$H$2:$H$1295,MATCH($D636,Hierarchy!$A$2:$A$1295,0))),"NODE NOT FOUND"))</f>
        <v>Grand Est</v>
      </c>
      <c r="L636" s="7" t="str">
        <f aca="false">IF($D636="","",IFERROR(IF(INDEX(Hierarchy!$I$2:$I$1295,MATCH($D636,Hierarchy!$A$2:$A$1295,0))="","",INDEX(Hierarchy!$I$2:$I$1295,MATCH($D636,Hierarchy!$A$2:$A$1295,0))),"NODE NOT FOUND"))</f>
        <v/>
      </c>
      <c r="M636" s="17" t="str">
        <f aca="false">IF(B636="Pre-seeded","Pre-seeded",IF(B636="Review 2026-09-16","Added from review",IF(C636="","New",IF(C636=D636,"","Changed"))))</f>
        <v>Pre-seeded</v>
      </c>
      <c r="N636" s="7" t="str">
        <f aca="false">TRIM(SUBSTITUTE(SUBSTITUTE(SUBSTITUTE(" "&amp;TRIM(SUBSTITUTE(SUBSTITUTE(SUBSTITUTE(SUBSTITUTE(SUBSTITUTE(SUBSTITUTE(SUBSTITUTE(SUBSTITUTE(SUBSTITUTE(SUBSTITUTE(SUBSTITUTE(SUBSTITUTE(SUBSTITUTE(SUBSTITUTE(SUBSTITUTE(UPPER(TRIM(A636)),"[MEMBER]",""),"{MEMBER}",""),"[MEMBER}",""),"MEMBER]",""),"(A)",""),"""",""),"“",""),"”",""),".",""),":",""),",",""),"–"," "),"-"," "),"/"," "),"&amp;"," AND "))&amp;" "," THE "," ")," TOTAL "," ")," OPERATIONS "," "))</f>
        <v>GRAND EST</v>
      </c>
      <c r="O636" s="17" t="str">
        <f aca="false">IF(COUNTIFS($N$2:$N$2000,N636,$D$2:$D$2000,"&lt;&gt;"&amp;D636)&gt;0,"CONFLICT","")</f>
        <v/>
      </c>
      <c r="P636" s="7"/>
    </row>
    <row r="637" customFormat="false" ht="15" hidden="false" customHeight="false" outlineLevel="0" collapsed="false">
      <c r="A637" s="7" t="s">
        <v>991</v>
      </c>
      <c r="B637" s="7" t="s">
        <v>1879</v>
      </c>
      <c r="C637" s="7"/>
      <c r="D637" s="6" t="s">
        <v>991</v>
      </c>
      <c r="E637" s="6" t="s">
        <v>1880</v>
      </c>
      <c r="F637" s="7" t="str">
        <f aca="false">IF($D637="","",IFERROR(IF(INDEX(Hierarchy!$B$2:$B$1295,MATCH($D637,Hierarchy!$A$2:$A$1295,0))="","",INDEX(Hierarchy!$B$2:$B$1295,MATCH($D637,Hierarchy!$A$2:$A$1295,0))),"NODE NOT FOUND"))</f>
        <v>State/Province</v>
      </c>
      <c r="G637" s="7" t="str">
        <f aca="false">IF($D637="","",IFERROR(IF(INDEX(Hierarchy!$D$2:$D$1295,MATCH($D637,Hierarchy!$A$2:$A$1295,0))="","",INDEX(Hierarchy!$D$2:$D$1295,MATCH($D637,Hierarchy!$A$2:$A$1295,0))),"NODE NOT FOUND"))</f>
        <v>EMEA</v>
      </c>
      <c r="H637" s="7" t="str">
        <f aca="false">IF($D637="","",IFERROR(IF(INDEX(Hierarchy!$E$2:$E$1295,MATCH($D637,Hierarchy!$A$2:$A$1295,0))="","",INDEX(Hierarchy!$E$2:$E$1295,MATCH($D637,Hierarchy!$A$2:$A$1295,0))),"NODE NOT FOUND"))</f>
        <v>Europe</v>
      </c>
      <c r="I637" s="7" t="str">
        <f aca="false">IF($D637="","",IFERROR(IF(INDEX(Hierarchy!$F$2:$F$1295,MATCH($D637,Hierarchy!$A$2:$A$1295,0))="","",INDEX(Hierarchy!$F$2:$F$1295,MATCH($D637,Hierarchy!$A$2:$A$1295,0))),"NODE NOT FOUND"))</f>
        <v>Switzerland</v>
      </c>
      <c r="J637" s="7" t="str">
        <f aca="false">IF($D637="","",IFERROR(IF(INDEX(Hierarchy!$G$2:$G$1295,MATCH($D637,Hierarchy!$A$2:$A$1295,0))="","",INDEX(Hierarchy!$G$2:$G$1295,MATCH($D637,Hierarchy!$A$2:$A$1295,0))),"NODE NOT FOUND"))</f>
        <v>CHE</v>
      </c>
      <c r="K637" s="7" t="str">
        <f aca="false">IF($D637="","",IFERROR(IF(INDEX(Hierarchy!$H$2:$H$1295,MATCH($D637,Hierarchy!$A$2:$A$1295,0))="","",INDEX(Hierarchy!$H$2:$H$1295,MATCH($D637,Hierarchy!$A$2:$A$1295,0))),"NODE NOT FOUND"))</f>
        <v>Graubünden</v>
      </c>
      <c r="L637" s="7" t="str">
        <f aca="false">IF($D637="","",IFERROR(IF(INDEX(Hierarchy!$I$2:$I$1295,MATCH($D637,Hierarchy!$A$2:$A$1295,0))="","",INDEX(Hierarchy!$I$2:$I$1295,MATCH($D637,Hierarchy!$A$2:$A$1295,0))),"NODE NOT FOUND"))</f>
        <v/>
      </c>
      <c r="M637" s="17" t="str">
        <f aca="false">IF(B637="Pre-seeded","Pre-seeded",IF(B637="Review 2026-09-16","Added from review",IF(C637="","New",IF(C637=D637,"","Changed"))))</f>
        <v>Pre-seeded</v>
      </c>
      <c r="N637" s="7" t="str">
        <f aca="false">TRIM(SUBSTITUTE(SUBSTITUTE(SUBSTITUTE(" "&amp;TRIM(SUBSTITUTE(SUBSTITUTE(SUBSTITUTE(SUBSTITUTE(SUBSTITUTE(SUBSTITUTE(SUBSTITUTE(SUBSTITUTE(SUBSTITUTE(SUBSTITUTE(SUBSTITUTE(SUBSTITUTE(SUBSTITUTE(SUBSTITUTE(SUBSTITUTE(UPPER(TRIM(A637)),"[MEMBER]",""),"{MEMBER}",""),"[MEMBER}",""),"MEMBER]",""),"(A)",""),"""",""),"“",""),"”",""),".",""),":",""),",",""),"–"," "),"-"," "),"/"," "),"&amp;"," AND "))&amp;" "," THE "," ")," TOTAL "," ")," OPERATIONS "," "))</f>
        <v>GRAUBÜNDEN</v>
      </c>
      <c r="O637" s="17" t="str">
        <f aca="false">IF(COUNTIFS($N$2:$N$2000,N637,$D$2:$D$2000,"&lt;&gt;"&amp;D637)&gt;0,"CONFLICT","")</f>
        <v/>
      </c>
      <c r="P637" s="7"/>
    </row>
    <row r="638" customFormat="false" ht="15" hidden="false" customHeight="false" outlineLevel="0" collapsed="false">
      <c r="A638" s="7" t="s">
        <v>2218</v>
      </c>
      <c r="B638" s="7" t="s">
        <v>1879</v>
      </c>
      <c r="C638" s="7"/>
      <c r="D638" s="6" t="s">
        <v>661</v>
      </c>
      <c r="E638" s="6" t="s">
        <v>1880</v>
      </c>
      <c r="F638" s="7" t="str">
        <f aca="false">IF($D638="","",IFERROR(IF(INDEX(Hierarchy!$B$2:$B$1295,MATCH($D638,Hierarchy!$A$2:$A$1295,0))="","",INDEX(Hierarchy!$B$2:$B$1295,MATCH($D638,Hierarchy!$A$2:$A$1295,0))),"NODE NOT FOUND"))</f>
        <v>Country</v>
      </c>
      <c r="G638" s="7" t="str">
        <f aca="false">IF($D638="","",IFERROR(IF(INDEX(Hierarchy!$D$2:$D$1295,MATCH($D638,Hierarchy!$A$2:$A$1295,0))="","",INDEX(Hierarchy!$D$2:$D$1295,MATCH($D638,Hierarchy!$A$2:$A$1295,0))),"NODE NOT FOUND"))</f>
        <v>EMEA</v>
      </c>
      <c r="H638" s="7" t="str">
        <f aca="false">IF($D638="","",IFERROR(IF(INDEX(Hierarchy!$E$2:$E$1295,MATCH($D638,Hierarchy!$A$2:$A$1295,0))="","",INDEX(Hierarchy!$E$2:$E$1295,MATCH($D638,Hierarchy!$A$2:$A$1295,0))),"NODE NOT FOUND"))</f>
        <v>Europe</v>
      </c>
      <c r="I638" s="7" t="str">
        <f aca="false">IF($D638="","",IFERROR(IF(INDEX(Hierarchy!$F$2:$F$1295,MATCH($D638,Hierarchy!$A$2:$A$1295,0))="","",INDEX(Hierarchy!$F$2:$F$1295,MATCH($D638,Hierarchy!$A$2:$A$1295,0))),"NODE NOT FOUND"))</f>
        <v>United Kingdom</v>
      </c>
      <c r="J638" s="7" t="str">
        <f aca="false">IF($D638="","",IFERROR(IF(INDEX(Hierarchy!$G$2:$G$1295,MATCH($D638,Hierarchy!$A$2:$A$1295,0))="","",INDEX(Hierarchy!$G$2:$G$1295,MATCH($D638,Hierarchy!$A$2:$A$1295,0))),"NODE NOT FOUND"))</f>
        <v>GBR</v>
      </c>
      <c r="K638" s="7" t="str">
        <f aca="false">IF($D638="","",IFERROR(IF(INDEX(Hierarchy!$H$2:$H$1295,MATCH($D638,Hierarchy!$A$2:$A$1295,0))="","",INDEX(Hierarchy!$H$2:$H$1295,MATCH($D638,Hierarchy!$A$2:$A$1295,0))),"NODE NOT FOUND"))</f>
        <v/>
      </c>
      <c r="L638" s="7" t="str">
        <f aca="false">IF($D638="","",IFERROR(IF(INDEX(Hierarchy!$I$2:$I$1295,MATCH($D638,Hierarchy!$A$2:$A$1295,0))="","",INDEX(Hierarchy!$I$2:$I$1295,MATCH($D638,Hierarchy!$A$2:$A$1295,0))),"NODE NOT FOUND"))</f>
        <v/>
      </c>
      <c r="M638" s="17" t="str">
        <f aca="false">IF(B638="Pre-seeded","Pre-seeded",IF(B638="Review 2026-09-16","Added from review",IF(C638="","New",IF(C638=D638,"","Changed"))))</f>
        <v>Pre-seeded</v>
      </c>
      <c r="N638" s="7" t="str">
        <f aca="false">TRIM(SUBSTITUTE(SUBSTITUTE(SUBSTITUTE(" "&amp;TRIM(SUBSTITUTE(SUBSTITUTE(SUBSTITUTE(SUBSTITUTE(SUBSTITUTE(SUBSTITUTE(SUBSTITUTE(SUBSTITUTE(SUBSTITUTE(SUBSTITUTE(SUBSTITUTE(SUBSTITUTE(SUBSTITUTE(SUBSTITUTE(SUBSTITUTE(UPPER(TRIM(A638)),"[MEMBER]",""),"{MEMBER}",""),"[MEMBER}",""),"MEMBER]",""),"(A)",""),"""",""),"“",""),"”",""),".",""),":",""),",",""),"–"," "),"-"," "),"/"," "),"&amp;"," AND "))&amp;" "," THE "," ")," TOTAL "," ")," OPERATIONS "," "))</f>
        <v>GREAT BRITAIN</v>
      </c>
      <c r="O638" s="17" t="str">
        <f aca="false">IF(COUNTIFS($N$2:$N$2000,N638,$D$2:$D$2000,"&lt;&gt;"&amp;D638)&gt;0,"CONFLICT","")</f>
        <v/>
      </c>
      <c r="P638" s="7"/>
    </row>
    <row r="639" customFormat="false" ht="15" hidden="false" customHeight="false" outlineLevel="0" collapsed="false">
      <c r="A639" s="7" t="s">
        <v>2219</v>
      </c>
      <c r="B639" s="7" t="s">
        <v>1879</v>
      </c>
      <c r="C639" s="7"/>
      <c r="D639" s="6" t="s">
        <v>96</v>
      </c>
      <c r="E639" s="6" t="s">
        <v>1880</v>
      </c>
      <c r="F639" s="7" t="str">
        <f aca="false">IF($D639="","",IFERROR(IF(INDEX(Hierarchy!$B$2:$B$1295,MATCH($D639,Hierarchy!$A$2:$A$1295,0))="","",INDEX(Hierarchy!$B$2:$B$1295,MATCH($D639,Hierarchy!$A$2:$A$1295,0))),"NODE NOT FOUND"))</f>
        <v>Sub-national region</v>
      </c>
      <c r="G639" s="7" t="str">
        <f aca="false">IF($D639="","",IFERROR(IF(INDEX(Hierarchy!$D$2:$D$1295,MATCH($D639,Hierarchy!$A$2:$A$1295,0))="","",INDEX(Hierarchy!$D$2:$D$1295,MATCH($D639,Hierarchy!$A$2:$A$1295,0))),"NODE NOT FOUND"))</f>
        <v>AMER</v>
      </c>
      <c r="H639" s="7" t="str">
        <f aca="false">IF($D639="","",IFERROR(IF(INDEX(Hierarchy!$E$2:$E$1295,MATCH($D639,Hierarchy!$A$2:$A$1295,0))="","",INDEX(Hierarchy!$E$2:$E$1295,MATCH($D639,Hierarchy!$A$2:$A$1295,0))),"NODE NOT FOUND"))</f>
        <v>North America (NORAM)</v>
      </c>
      <c r="I639" s="7" t="str">
        <f aca="false">IF($D639="","",IFERROR(IF(INDEX(Hierarchy!$F$2:$F$1295,MATCH($D639,Hierarchy!$A$2:$A$1295,0))="","",INDEX(Hierarchy!$F$2:$F$1295,MATCH($D639,Hierarchy!$A$2:$A$1295,0))),"NODE NOT FOUND"))</f>
        <v>United States</v>
      </c>
      <c r="J639" s="7" t="str">
        <f aca="false">IF($D639="","",IFERROR(IF(INDEX(Hierarchy!$G$2:$G$1295,MATCH($D639,Hierarchy!$A$2:$A$1295,0))="","",INDEX(Hierarchy!$G$2:$G$1295,MATCH($D639,Hierarchy!$A$2:$A$1295,0))),"NODE NOT FOUND"))</f>
        <v>USA</v>
      </c>
      <c r="K639" s="7" t="str">
        <f aca="false">IF($D639="","",IFERROR(IF(INDEX(Hierarchy!$H$2:$H$1295,MATCH($D639,Hierarchy!$A$2:$A$1295,0))="","",INDEX(Hierarchy!$H$2:$H$1295,MATCH($D639,Hierarchy!$A$2:$A$1295,0))),"NODE NOT FOUND"))</f>
        <v/>
      </c>
      <c r="L639" s="7" t="str">
        <f aca="false">IF($D639="","",IFERROR(IF(INDEX(Hierarchy!$I$2:$I$1295,MATCH($D639,Hierarchy!$A$2:$A$1295,0))="","",INDEX(Hierarchy!$I$2:$I$1295,MATCH($D639,Hierarchy!$A$2:$A$1295,0))),"NODE NOT FOUND"))</f>
        <v/>
      </c>
      <c r="M639" s="17" t="str">
        <f aca="false">IF(B639="Pre-seeded","Pre-seeded",IF(B639="Review 2026-09-16","Added from review",IF(C639="","New",IF(C639=D639,"","Changed"))))</f>
        <v>Pre-seeded</v>
      </c>
      <c r="N639" s="7" t="str">
        <f aca="false">TRIM(SUBSTITUTE(SUBSTITUTE(SUBSTITUTE(" "&amp;TRIM(SUBSTITUTE(SUBSTITUTE(SUBSTITUTE(SUBSTITUTE(SUBSTITUTE(SUBSTITUTE(SUBSTITUTE(SUBSTITUTE(SUBSTITUTE(SUBSTITUTE(SUBSTITUTE(SUBSTITUTE(SUBSTITUTE(SUBSTITUTE(SUBSTITUTE(UPPER(TRIM(A639)),"[MEMBER]",""),"{MEMBER}",""),"[MEMBER}",""),"MEMBER]",""),"(A)",""),"""",""),"“",""),"”",""),".",""),":",""),",",""),"–"," "),"-"," "),"/"," "),"&amp;"," AND "))&amp;" "," THE "," ")," TOTAL "," ")," OPERATIONS "," "))</f>
        <v>GREAT LAKES</v>
      </c>
      <c r="O639" s="17" t="str">
        <f aca="false">IF(COUNTIFS($N$2:$N$2000,N639,$D$2:$D$2000,"&lt;&gt;"&amp;D639)&gt;0,"CONFLICT","")</f>
        <v/>
      </c>
      <c r="P639" s="7"/>
    </row>
    <row r="640" customFormat="false" ht="15" hidden="false" customHeight="false" outlineLevel="0" collapsed="false">
      <c r="A640" s="7" t="s">
        <v>1493</v>
      </c>
      <c r="B640" s="7" t="s">
        <v>1879</v>
      </c>
      <c r="C640" s="7"/>
      <c r="D640" s="6" t="s">
        <v>1493</v>
      </c>
      <c r="E640" s="6" t="s">
        <v>1880</v>
      </c>
      <c r="F640" s="7" t="str">
        <f aca="false">IF($D640="","",IFERROR(IF(INDEX(Hierarchy!$B$2:$B$1295,MATCH($D640,Hierarchy!$A$2:$A$1295,0))="","",INDEX(Hierarchy!$B$2:$B$1295,MATCH($D640,Hierarchy!$A$2:$A$1295,0))),"NODE NOT FOUND"))</f>
        <v>Sub-national region</v>
      </c>
      <c r="G640" s="7" t="str">
        <f aca="false">IF($D640="","",IFERROR(IF(INDEX(Hierarchy!$D$2:$D$1295,MATCH($D640,Hierarchy!$A$2:$A$1295,0))="","",INDEX(Hierarchy!$D$2:$D$1295,MATCH($D640,Hierarchy!$A$2:$A$1295,0))),"NODE NOT FOUND"))</f>
        <v>APAC</v>
      </c>
      <c r="H640" s="7" t="str">
        <f aca="false">IF($D640="","",IFERROR(IF(INDEX(Hierarchy!$E$2:$E$1295,MATCH($D640,Hierarchy!$A$2:$A$1295,0))="","",INDEX(Hierarchy!$E$2:$E$1295,MATCH($D640,Hierarchy!$A$2:$A$1295,0))),"NODE NOT FOUND"))</f>
        <v>East Asia</v>
      </c>
      <c r="I640" s="7" t="str">
        <f aca="false">IF($D640="","",IFERROR(IF(INDEX(Hierarchy!$F$2:$F$1295,MATCH($D640,Hierarchy!$A$2:$A$1295,0))="","",INDEX(Hierarchy!$F$2:$F$1295,MATCH($D640,Hierarchy!$A$2:$A$1295,0))),"NODE NOT FOUND"))</f>
        <v>China</v>
      </c>
      <c r="J640" s="7" t="str">
        <f aca="false">IF($D640="","",IFERROR(IF(INDEX(Hierarchy!$G$2:$G$1295,MATCH($D640,Hierarchy!$A$2:$A$1295,0))="","",INDEX(Hierarchy!$G$2:$G$1295,MATCH($D640,Hierarchy!$A$2:$A$1295,0))),"NODE NOT FOUND"))</f>
        <v>CHN</v>
      </c>
      <c r="K640" s="7" t="str">
        <f aca="false">IF($D640="","",IFERROR(IF(INDEX(Hierarchy!$H$2:$H$1295,MATCH($D640,Hierarchy!$A$2:$A$1295,0))="","",INDEX(Hierarchy!$H$2:$H$1295,MATCH($D640,Hierarchy!$A$2:$A$1295,0))),"NODE NOT FOUND"))</f>
        <v/>
      </c>
      <c r="L640" s="7" t="str">
        <f aca="false">IF($D640="","",IFERROR(IF(INDEX(Hierarchy!$I$2:$I$1295,MATCH($D640,Hierarchy!$A$2:$A$1295,0))="","",INDEX(Hierarchy!$I$2:$I$1295,MATCH($D640,Hierarchy!$A$2:$A$1295,0))),"NODE NOT FOUND"))</f>
        <v/>
      </c>
      <c r="M640" s="17" t="str">
        <f aca="false">IF(B640="Pre-seeded","Pre-seeded",IF(B640="Review 2026-09-16","Added from review",IF(C640="","New",IF(C640=D640,"","Changed"))))</f>
        <v>Pre-seeded</v>
      </c>
      <c r="N640" s="7" t="str">
        <f aca="false">TRIM(SUBSTITUTE(SUBSTITUTE(SUBSTITUTE(" "&amp;TRIM(SUBSTITUTE(SUBSTITUTE(SUBSTITUTE(SUBSTITUTE(SUBSTITUTE(SUBSTITUTE(SUBSTITUTE(SUBSTITUTE(SUBSTITUTE(SUBSTITUTE(SUBSTITUTE(SUBSTITUTE(SUBSTITUTE(SUBSTITUTE(SUBSTITUTE(UPPER(TRIM(A640)),"[MEMBER]",""),"{MEMBER}",""),"[MEMBER}",""),"MEMBER]",""),"(A)",""),"""",""),"“",""),"”",""),".",""),":",""),",",""),"–"," "),"-"," "),"/"," "),"&amp;"," AND "))&amp;" "," THE "," ")," TOTAL "," ")," OPERATIONS "," "))</f>
        <v>GREATER BAY AREA</v>
      </c>
      <c r="O640" s="17" t="str">
        <f aca="false">IF(COUNTIFS($N$2:$N$2000,N640,$D$2:$D$2000,"&lt;&gt;"&amp;D640)&gt;0,"CONFLICT","")</f>
        <v/>
      </c>
      <c r="P640" s="7"/>
    </row>
    <row r="641" customFormat="false" ht="15" hidden="false" customHeight="false" outlineLevel="0" collapsed="false">
      <c r="A641" s="7" t="s">
        <v>1420</v>
      </c>
      <c r="B641" s="7" t="s">
        <v>1882</v>
      </c>
      <c r="C641" s="7" t="s">
        <v>1420</v>
      </c>
      <c r="D641" s="6" t="s">
        <v>1420</v>
      </c>
      <c r="E641" s="6" t="s">
        <v>1880</v>
      </c>
      <c r="F641" s="7" t="str">
        <f aca="false">IF($D641="","",IFERROR(IF(INDEX(Hierarchy!$B$2:$B$1295,MATCH($D641,Hierarchy!$A$2:$A$1295,0))="","",INDEX(Hierarchy!$B$2:$B$1295,MATCH($D641,Hierarchy!$A$2:$A$1295,0))),"NODE NOT FOUND"))</f>
        <v>Sub-region component</v>
      </c>
      <c r="G641" s="7" t="str">
        <f aca="false">IF($D641="","",IFERROR(IF(INDEX(Hierarchy!$D$2:$D$1295,MATCH($D641,Hierarchy!$A$2:$A$1295,0))="","",INDEX(Hierarchy!$D$2:$D$1295,MATCH($D641,Hierarchy!$A$2:$A$1295,0))),"NODE NOT FOUND"))</f>
        <v>APAC</v>
      </c>
      <c r="H641" s="7" t="str">
        <f aca="false">IF($D641="","",IFERROR(IF(INDEX(Hierarchy!$E$2:$E$1295,MATCH($D641,Hierarchy!$A$2:$A$1295,0))="","",INDEX(Hierarchy!$E$2:$E$1295,MATCH($D641,Hierarchy!$A$2:$A$1295,0))),"NODE NOT FOUND"))</f>
        <v>East Asia</v>
      </c>
      <c r="I641" s="7" t="str">
        <f aca="false">IF($D641="","",IFERROR(IF(INDEX(Hierarchy!$F$2:$F$1295,MATCH($D641,Hierarchy!$A$2:$A$1295,0))="","",INDEX(Hierarchy!$F$2:$F$1295,MATCH($D641,Hierarchy!$A$2:$A$1295,0))),"NODE NOT FOUND"))</f>
        <v/>
      </c>
      <c r="J641" s="7" t="str">
        <f aca="false">IF($D641="","",IFERROR(IF(INDEX(Hierarchy!$G$2:$G$1295,MATCH($D641,Hierarchy!$A$2:$A$1295,0))="","",INDEX(Hierarchy!$G$2:$G$1295,MATCH($D641,Hierarchy!$A$2:$A$1295,0))),"NODE NOT FOUND"))</f>
        <v/>
      </c>
      <c r="K641" s="7" t="str">
        <f aca="false">IF($D641="","",IFERROR(IF(INDEX(Hierarchy!$H$2:$H$1295,MATCH($D641,Hierarchy!$A$2:$A$1295,0))="","",INDEX(Hierarchy!$H$2:$H$1295,MATCH($D641,Hierarchy!$A$2:$A$1295,0))),"NODE NOT FOUND"))</f>
        <v/>
      </c>
      <c r="L641" s="7" t="str">
        <f aca="false">IF($D641="","",IFERROR(IF(INDEX(Hierarchy!$I$2:$I$1295,MATCH($D641,Hierarchy!$A$2:$A$1295,0))="","",INDEX(Hierarchy!$I$2:$I$1295,MATCH($D641,Hierarchy!$A$2:$A$1295,0))),"NODE NOT FOUND"))</f>
        <v/>
      </c>
      <c r="M641" s="17" t="str">
        <f aca="false">IF(B641="Pre-seeded","Pre-seeded",IF(B641="Review 2026-09-16","Added from review",IF(C641="","New",IF(C641=D641,"","Changed"))))</f>
        <v/>
      </c>
      <c r="N641" s="7" t="str">
        <f aca="false">TRIM(SUBSTITUTE(SUBSTITUTE(SUBSTITUTE(" "&amp;TRIM(SUBSTITUTE(SUBSTITUTE(SUBSTITUTE(SUBSTITUTE(SUBSTITUTE(SUBSTITUTE(SUBSTITUTE(SUBSTITUTE(SUBSTITUTE(SUBSTITUTE(SUBSTITUTE(SUBSTITUTE(SUBSTITUTE(SUBSTITUTE(SUBSTITUTE(UPPER(TRIM(A641)),"[MEMBER]",""),"{MEMBER}",""),"[MEMBER}",""),"MEMBER]",""),"(A)",""),"""",""),"“",""),"”",""),".",""),":",""),",",""),"–"," "),"-"," "),"/"," "),"&amp;"," AND "))&amp;" "," THE "," ")," TOTAL "," ")," OPERATIONS "," "))</f>
        <v>GREATER CHINA</v>
      </c>
      <c r="O641" s="17" t="str">
        <f aca="false">IF(COUNTIFS($N$2:$N$2000,N641,$D$2:$D$2000,"&lt;&gt;"&amp;D641)&gt;0,"CONFLICT","")</f>
        <v/>
      </c>
      <c r="P641" s="7"/>
    </row>
    <row r="642" customFormat="false" ht="15" hidden="false" customHeight="false" outlineLevel="0" collapsed="false">
      <c r="A642" s="7" t="s">
        <v>669</v>
      </c>
      <c r="B642" s="7" t="s">
        <v>1879</v>
      </c>
      <c r="C642" s="7"/>
      <c r="D642" s="6" t="s">
        <v>669</v>
      </c>
      <c r="E642" s="6" t="s">
        <v>1880</v>
      </c>
      <c r="F642" s="7" t="str">
        <f aca="false">IF($D642="","",IFERROR(IF(INDEX(Hierarchy!$B$2:$B$1295,MATCH($D642,Hierarchy!$A$2:$A$1295,0))="","",INDEX(Hierarchy!$B$2:$B$1295,MATCH($D642,Hierarchy!$A$2:$A$1295,0))),"NODE NOT FOUND"))</f>
        <v>Sub-national region</v>
      </c>
      <c r="G642" s="7" t="str">
        <f aca="false">IF($D642="","",IFERROR(IF(INDEX(Hierarchy!$D$2:$D$1295,MATCH($D642,Hierarchy!$A$2:$A$1295,0))="","",INDEX(Hierarchy!$D$2:$D$1295,MATCH($D642,Hierarchy!$A$2:$A$1295,0))),"NODE NOT FOUND"))</f>
        <v>EMEA</v>
      </c>
      <c r="H642" s="7" t="str">
        <f aca="false">IF($D642="","",IFERROR(IF(INDEX(Hierarchy!$E$2:$E$1295,MATCH($D642,Hierarchy!$A$2:$A$1295,0))="","",INDEX(Hierarchy!$E$2:$E$1295,MATCH($D642,Hierarchy!$A$2:$A$1295,0))),"NODE NOT FOUND"))</f>
        <v>Europe</v>
      </c>
      <c r="I642" s="7" t="str">
        <f aca="false">IF($D642="","",IFERROR(IF(INDEX(Hierarchy!$F$2:$F$1295,MATCH($D642,Hierarchy!$A$2:$A$1295,0))="","",INDEX(Hierarchy!$F$2:$F$1295,MATCH($D642,Hierarchy!$A$2:$A$1295,0))),"NODE NOT FOUND"))</f>
        <v>United Kingdom</v>
      </c>
      <c r="J642" s="7" t="str">
        <f aca="false">IF($D642="","",IFERROR(IF(INDEX(Hierarchy!$G$2:$G$1295,MATCH($D642,Hierarchy!$A$2:$A$1295,0))="","",INDEX(Hierarchy!$G$2:$G$1295,MATCH($D642,Hierarchy!$A$2:$A$1295,0))),"NODE NOT FOUND"))</f>
        <v>GBR</v>
      </c>
      <c r="K642" s="7" t="str">
        <f aca="false">IF($D642="","",IFERROR(IF(INDEX(Hierarchy!$H$2:$H$1295,MATCH($D642,Hierarchy!$A$2:$A$1295,0))="","",INDEX(Hierarchy!$H$2:$H$1295,MATCH($D642,Hierarchy!$A$2:$A$1295,0))),"NODE NOT FOUND"))</f>
        <v>England</v>
      </c>
      <c r="L642" s="7" t="str">
        <f aca="false">IF($D642="","",IFERROR(IF(INDEX(Hierarchy!$I$2:$I$1295,MATCH($D642,Hierarchy!$A$2:$A$1295,0))="","",INDEX(Hierarchy!$I$2:$I$1295,MATCH($D642,Hierarchy!$A$2:$A$1295,0))),"NODE NOT FOUND"))</f>
        <v/>
      </c>
      <c r="M642" s="17" t="str">
        <f aca="false">IF(B642="Pre-seeded","Pre-seeded",IF(B642="Review 2026-09-16","Added from review",IF(C642="","New",IF(C642=D642,"","Changed"))))</f>
        <v>Pre-seeded</v>
      </c>
      <c r="N642" s="7" t="str">
        <f aca="false">TRIM(SUBSTITUTE(SUBSTITUTE(SUBSTITUTE(" "&amp;TRIM(SUBSTITUTE(SUBSTITUTE(SUBSTITUTE(SUBSTITUTE(SUBSTITUTE(SUBSTITUTE(SUBSTITUTE(SUBSTITUTE(SUBSTITUTE(SUBSTITUTE(SUBSTITUTE(SUBSTITUTE(SUBSTITUTE(SUBSTITUTE(SUBSTITUTE(UPPER(TRIM(A642)),"[MEMBER]",""),"{MEMBER}",""),"[MEMBER}",""),"MEMBER]",""),"(A)",""),"""",""),"“",""),"”",""),".",""),":",""),",",""),"–"," "),"-"," "),"/"," "),"&amp;"," AND "))&amp;" "," THE "," ")," TOTAL "," ")," OPERATIONS "," "))</f>
        <v>GREATER LONDON</v>
      </c>
      <c r="O642" s="17" t="str">
        <f aca="false">IF(COUNTIFS($N$2:$N$2000,N642,$D$2:$D$2000,"&lt;&gt;"&amp;D642)&gt;0,"CONFLICT","")</f>
        <v/>
      </c>
      <c r="P642" s="7"/>
    </row>
    <row r="643" customFormat="false" ht="15" hidden="false" customHeight="false" outlineLevel="0" collapsed="false">
      <c r="A643" s="7" t="s">
        <v>2220</v>
      </c>
      <c r="B643" s="7" t="s">
        <v>1879</v>
      </c>
      <c r="C643" s="7"/>
      <c r="D643" s="6" t="s">
        <v>669</v>
      </c>
      <c r="E643" s="6" t="s">
        <v>1880</v>
      </c>
      <c r="F643" s="7" t="str">
        <f aca="false">IF($D643="","",IFERROR(IF(INDEX(Hierarchy!$B$2:$B$1295,MATCH($D643,Hierarchy!$A$2:$A$1295,0))="","",INDEX(Hierarchy!$B$2:$B$1295,MATCH($D643,Hierarchy!$A$2:$A$1295,0))),"NODE NOT FOUND"))</f>
        <v>Sub-national region</v>
      </c>
      <c r="G643" s="7" t="str">
        <f aca="false">IF($D643="","",IFERROR(IF(INDEX(Hierarchy!$D$2:$D$1295,MATCH($D643,Hierarchy!$A$2:$A$1295,0))="","",INDEX(Hierarchy!$D$2:$D$1295,MATCH($D643,Hierarchy!$A$2:$A$1295,0))),"NODE NOT FOUND"))</f>
        <v>EMEA</v>
      </c>
      <c r="H643" s="7" t="str">
        <f aca="false">IF($D643="","",IFERROR(IF(INDEX(Hierarchy!$E$2:$E$1295,MATCH($D643,Hierarchy!$A$2:$A$1295,0))="","",INDEX(Hierarchy!$E$2:$E$1295,MATCH($D643,Hierarchy!$A$2:$A$1295,0))),"NODE NOT FOUND"))</f>
        <v>Europe</v>
      </c>
      <c r="I643" s="7" t="str">
        <f aca="false">IF($D643="","",IFERROR(IF(INDEX(Hierarchy!$F$2:$F$1295,MATCH($D643,Hierarchy!$A$2:$A$1295,0))="","",INDEX(Hierarchy!$F$2:$F$1295,MATCH($D643,Hierarchy!$A$2:$A$1295,0))),"NODE NOT FOUND"))</f>
        <v>United Kingdom</v>
      </c>
      <c r="J643" s="7" t="str">
        <f aca="false">IF($D643="","",IFERROR(IF(INDEX(Hierarchy!$G$2:$G$1295,MATCH($D643,Hierarchy!$A$2:$A$1295,0))="","",INDEX(Hierarchy!$G$2:$G$1295,MATCH($D643,Hierarchy!$A$2:$A$1295,0))),"NODE NOT FOUND"))</f>
        <v>GBR</v>
      </c>
      <c r="K643" s="7" t="str">
        <f aca="false">IF($D643="","",IFERROR(IF(INDEX(Hierarchy!$H$2:$H$1295,MATCH($D643,Hierarchy!$A$2:$A$1295,0))="","",INDEX(Hierarchy!$H$2:$H$1295,MATCH($D643,Hierarchy!$A$2:$A$1295,0))),"NODE NOT FOUND"))</f>
        <v>England</v>
      </c>
      <c r="L643" s="7" t="str">
        <f aca="false">IF($D643="","",IFERROR(IF(INDEX(Hierarchy!$I$2:$I$1295,MATCH($D643,Hierarchy!$A$2:$A$1295,0))="","",INDEX(Hierarchy!$I$2:$I$1295,MATCH($D643,Hierarchy!$A$2:$A$1295,0))),"NODE NOT FOUND"))</f>
        <v/>
      </c>
      <c r="M643" s="17" t="str">
        <f aca="false">IF(B643="Pre-seeded","Pre-seeded",IF(B643="Review 2026-09-16","Added from review",IF(C643="","New",IF(C643=D643,"","Changed"))))</f>
        <v>Pre-seeded</v>
      </c>
      <c r="N643" s="7" t="str">
        <f aca="false">TRIM(SUBSTITUTE(SUBSTITUTE(SUBSTITUTE(" "&amp;TRIM(SUBSTITUTE(SUBSTITUTE(SUBSTITUTE(SUBSTITUTE(SUBSTITUTE(SUBSTITUTE(SUBSTITUTE(SUBSTITUTE(SUBSTITUTE(SUBSTITUTE(SUBSTITUTE(SUBSTITUTE(SUBSTITUTE(SUBSTITUTE(SUBSTITUTE(UPPER(TRIM(A643)),"[MEMBER]",""),"{MEMBER}",""),"[MEMBER}",""),"MEMBER]",""),"(A)",""),"""",""),"“",""),"”",""),".",""),":",""),",",""),"–"," "),"-"," "),"/"," "),"&amp;"," AND "))&amp;" "," THE "," ")," TOTAL "," ")," OPERATIONS "," "))</f>
        <v>GREATER LONDON AREA</v>
      </c>
      <c r="O643" s="17" t="str">
        <f aca="false">IF(COUNTIFS($N$2:$N$2000,N643,$D$2:$D$2000,"&lt;&gt;"&amp;D643)&gt;0,"CONFLICT","")</f>
        <v/>
      </c>
      <c r="P643" s="7"/>
    </row>
    <row r="644" customFormat="false" ht="15" hidden="false" customHeight="false" outlineLevel="0" collapsed="false">
      <c r="A644" s="7" t="s">
        <v>908</v>
      </c>
      <c r="B644" s="7" t="s">
        <v>1879</v>
      </c>
      <c r="C644" s="7"/>
      <c r="D644" s="6" t="s">
        <v>908</v>
      </c>
      <c r="E644" s="6" t="s">
        <v>1880</v>
      </c>
      <c r="F644" s="7" t="str">
        <f aca="false">IF($D644="","",IFERROR(IF(INDEX(Hierarchy!$B$2:$B$1295,MATCH($D644,Hierarchy!$A$2:$A$1295,0))="","",INDEX(Hierarchy!$B$2:$B$1295,MATCH($D644,Hierarchy!$A$2:$A$1295,0))),"NODE NOT FOUND"))</f>
        <v>State/Province</v>
      </c>
      <c r="G644" s="7" t="str">
        <f aca="false">IF($D644="","",IFERROR(IF(INDEX(Hierarchy!$D$2:$D$1295,MATCH($D644,Hierarchy!$A$2:$A$1295,0))="","",INDEX(Hierarchy!$D$2:$D$1295,MATCH($D644,Hierarchy!$A$2:$A$1295,0))),"NODE NOT FOUND"))</f>
        <v>EMEA</v>
      </c>
      <c r="H644" s="7" t="str">
        <f aca="false">IF($D644="","",IFERROR(IF(INDEX(Hierarchy!$E$2:$E$1295,MATCH($D644,Hierarchy!$A$2:$A$1295,0))="","",INDEX(Hierarchy!$E$2:$E$1295,MATCH($D644,Hierarchy!$A$2:$A$1295,0))),"NODE NOT FOUND"))</f>
        <v>Europe</v>
      </c>
      <c r="I644" s="7" t="str">
        <f aca="false">IF($D644="","",IFERROR(IF(INDEX(Hierarchy!$F$2:$F$1295,MATCH($D644,Hierarchy!$A$2:$A$1295,0))="","",INDEX(Hierarchy!$F$2:$F$1295,MATCH($D644,Hierarchy!$A$2:$A$1295,0))),"NODE NOT FOUND"))</f>
        <v>Poland</v>
      </c>
      <c r="J644" s="7" t="str">
        <f aca="false">IF($D644="","",IFERROR(IF(INDEX(Hierarchy!$G$2:$G$1295,MATCH($D644,Hierarchy!$A$2:$A$1295,0))="","",INDEX(Hierarchy!$G$2:$G$1295,MATCH($D644,Hierarchy!$A$2:$A$1295,0))),"NODE NOT FOUND"))</f>
        <v>POL</v>
      </c>
      <c r="K644" s="7" t="str">
        <f aca="false">IF($D644="","",IFERROR(IF(INDEX(Hierarchy!$H$2:$H$1295,MATCH($D644,Hierarchy!$A$2:$A$1295,0))="","",INDEX(Hierarchy!$H$2:$H$1295,MATCH($D644,Hierarchy!$A$2:$A$1295,0))),"NODE NOT FOUND"))</f>
        <v>Greater Poland</v>
      </c>
      <c r="L644" s="7" t="str">
        <f aca="false">IF($D644="","",IFERROR(IF(INDEX(Hierarchy!$I$2:$I$1295,MATCH($D644,Hierarchy!$A$2:$A$1295,0))="","",INDEX(Hierarchy!$I$2:$I$1295,MATCH($D644,Hierarchy!$A$2:$A$1295,0))),"NODE NOT FOUND"))</f>
        <v/>
      </c>
      <c r="M644" s="17" t="str">
        <f aca="false">IF(B644="Pre-seeded","Pre-seeded",IF(B644="Review 2026-09-16","Added from review",IF(C644="","New",IF(C644=D644,"","Changed"))))</f>
        <v>Pre-seeded</v>
      </c>
      <c r="N644" s="7" t="str">
        <f aca="false">TRIM(SUBSTITUTE(SUBSTITUTE(SUBSTITUTE(" "&amp;TRIM(SUBSTITUTE(SUBSTITUTE(SUBSTITUTE(SUBSTITUTE(SUBSTITUTE(SUBSTITUTE(SUBSTITUTE(SUBSTITUTE(SUBSTITUTE(SUBSTITUTE(SUBSTITUTE(SUBSTITUTE(SUBSTITUTE(SUBSTITUTE(SUBSTITUTE(UPPER(TRIM(A644)),"[MEMBER]",""),"{MEMBER}",""),"[MEMBER}",""),"MEMBER]",""),"(A)",""),"""",""),"“",""),"”",""),".",""),":",""),",",""),"–"," "),"-"," "),"/"," "),"&amp;"," AND "))&amp;" "," THE "," ")," TOTAL "," ")," OPERATIONS "," "))</f>
        <v>GREATER POLAND</v>
      </c>
      <c r="O644" s="17" t="str">
        <f aca="false">IF(COUNTIFS($N$2:$N$2000,N644,$D$2:$D$2000,"&lt;&gt;"&amp;D644)&gt;0,"CONFLICT","")</f>
        <v/>
      </c>
      <c r="P644" s="7"/>
    </row>
    <row r="645" customFormat="false" ht="15" hidden="false" customHeight="false" outlineLevel="0" collapsed="false">
      <c r="A645" s="7" t="s">
        <v>2221</v>
      </c>
      <c r="B645" s="7" t="s">
        <v>1879</v>
      </c>
      <c r="C645" s="7"/>
      <c r="D645" s="6" t="s">
        <v>294</v>
      </c>
      <c r="E645" s="6" t="s">
        <v>1880</v>
      </c>
      <c r="F645" s="7" t="str">
        <f aca="false">IF($D645="","",IFERROR(IF(INDEX(Hierarchy!$B$2:$B$1295,MATCH($D645,Hierarchy!$A$2:$A$1295,0))="","",INDEX(Hierarchy!$B$2:$B$1295,MATCH($D645,Hierarchy!$A$2:$A$1295,0))),"NODE NOT FOUND"))</f>
        <v>City</v>
      </c>
      <c r="G645" s="7" t="str">
        <f aca="false">IF($D645="","",IFERROR(IF(INDEX(Hierarchy!$D$2:$D$1295,MATCH($D645,Hierarchy!$A$2:$A$1295,0))="","",INDEX(Hierarchy!$D$2:$D$1295,MATCH($D645,Hierarchy!$A$2:$A$1295,0))),"NODE NOT FOUND"))</f>
        <v>AMER</v>
      </c>
      <c r="H645" s="7" t="str">
        <f aca="false">IF($D645="","",IFERROR(IF(INDEX(Hierarchy!$E$2:$E$1295,MATCH($D645,Hierarchy!$A$2:$A$1295,0))="","",INDEX(Hierarchy!$E$2:$E$1295,MATCH($D645,Hierarchy!$A$2:$A$1295,0))),"NODE NOT FOUND"))</f>
        <v>North America (NORAM)</v>
      </c>
      <c r="I645" s="7" t="str">
        <f aca="false">IF($D645="","",IFERROR(IF(INDEX(Hierarchy!$F$2:$F$1295,MATCH($D645,Hierarchy!$A$2:$A$1295,0))="","",INDEX(Hierarchy!$F$2:$F$1295,MATCH($D645,Hierarchy!$A$2:$A$1295,0))),"NODE NOT FOUND"))</f>
        <v>Canada</v>
      </c>
      <c r="J645" s="7" t="str">
        <f aca="false">IF($D645="","",IFERROR(IF(INDEX(Hierarchy!$G$2:$G$1295,MATCH($D645,Hierarchy!$A$2:$A$1295,0))="","",INDEX(Hierarchy!$G$2:$G$1295,MATCH($D645,Hierarchy!$A$2:$A$1295,0))),"NODE NOT FOUND"))</f>
        <v>CAN</v>
      </c>
      <c r="K645" s="7" t="str">
        <f aca="false">IF($D645="","",IFERROR(IF(INDEX(Hierarchy!$H$2:$H$1295,MATCH($D645,Hierarchy!$A$2:$A$1295,0))="","",INDEX(Hierarchy!$H$2:$H$1295,MATCH($D645,Hierarchy!$A$2:$A$1295,0))),"NODE NOT FOUND"))</f>
        <v>Ontario</v>
      </c>
      <c r="L645" s="7" t="str">
        <f aca="false">IF($D645="","",IFERROR(IF(INDEX(Hierarchy!$I$2:$I$1295,MATCH($D645,Hierarchy!$A$2:$A$1295,0))="","",INDEX(Hierarchy!$I$2:$I$1295,MATCH($D645,Hierarchy!$A$2:$A$1295,0))),"NODE NOT FOUND"))</f>
        <v>Greater Toronto Area</v>
      </c>
      <c r="M645" s="17" t="str">
        <f aca="false">IF(B645="Pre-seeded","Pre-seeded",IF(B645="Review 2026-09-16","Added from review",IF(C645="","New",IF(C645=D645,"","Changed"))))</f>
        <v>Pre-seeded</v>
      </c>
      <c r="N645" s="7" t="str">
        <f aca="false">TRIM(SUBSTITUTE(SUBSTITUTE(SUBSTITUTE(" "&amp;TRIM(SUBSTITUTE(SUBSTITUTE(SUBSTITUTE(SUBSTITUTE(SUBSTITUTE(SUBSTITUTE(SUBSTITUTE(SUBSTITUTE(SUBSTITUTE(SUBSTITUTE(SUBSTITUTE(SUBSTITUTE(SUBSTITUTE(SUBSTITUTE(SUBSTITUTE(UPPER(TRIM(A645)),"[MEMBER]",""),"{MEMBER}",""),"[MEMBER}",""),"MEMBER]",""),"(A)",""),"""",""),"“",""),"”",""),".",""),":",""),",",""),"–"," "),"-"," "),"/"," "),"&amp;"," AND "))&amp;" "," THE "," ")," TOTAL "," ")," OPERATIONS "," "))</f>
        <v>GREATER TORONTO</v>
      </c>
      <c r="O645" s="17" t="str">
        <f aca="false">IF(COUNTIFS($N$2:$N$2000,N645,$D$2:$D$2000,"&lt;&gt;"&amp;D645)&gt;0,"CONFLICT","")</f>
        <v/>
      </c>
      <c r="P645" s="7"/>
    </row>
    <row r="646" customFormat="false" ht="15" hidden="false" customHeight="false" outlineLevel="0" collapsed="false">
      <c r="A646" s="7" t="s">
        <v>2222</v>
      </c>
      <c r="B646" s="7" t="s">
        <v>1879</v>
      </c>
      <c r="C646" s="7"/>
      <c r="D646" s="6" t="s">
        <v>1734</v>
      </c>
      <c r="E646" s="6" t="s">
        <v>1880</v>
      </c>
      <c r="F646" s="7" t="str">
        <f aca="false">IF($D646="","",IFERROR(IF(INDEX(Hierarchy!$B$2:$B$1295,MATCH($D646,Hierarchy!$A$2:$A$1295,0))="","",INDEX(Hierarchy!$B$2:$B$1295,MATCH($D646,Hierarchy!$A$2:$A$1295,0))),"NODE NOT FOUND"))</f>
        <v>State/Province</v>
      </c>
      <c r="G646" s="7" t="str">
        <f aca="false">IF($D646="","",IFERROR(IF(INDEX(Hierarchy!$D$2:$D$1295,MATCH($D646,Hierarchy!$A$2:$A$1295,0))="","",INDEX(Hierarchy!$D$2:$D$1295,MATCH($D646,Hierarchy!$A$2:$A$1295,0))),"NODE NOT FOUND"))</f>
        <v>APAC</v>
      </c>
      <c r="H646" s="7" t="str">
        <f aca="false">IF($D646="","",IFERROR(IF(INDEX(Hierarchy!$E$2:$E$1295,MATCH($D646,Hierarchy!$A$2:$A$1295,0))="","",INDEX(Hierarchy!$E$2:$E$1295,MATCH($D646,Hierarchy!$A$2:$A$1295,0))),"NODE NOT FOUND"))</f>
        <v>Oceania (ANZ)</v>
      </c>
      <c r="I646" s="7" t="str">
        <f aca="false">IF($D646="","",IFERROR(IF(INDEX(Hierarchy!$F$2:$F$1295,MATCH($D646,Hierarchy!$A$2:$A$1295,0))="","",INDEX(Hierarchy!$F$2:$F$1295,MATCH($D646,Hierarchy!$A$2:$A$1295,0))),"NODE NOT FOUND"))</f>
        <v>New Zealand</v>
      </c>
      <c r="J646" s="7" t="str">
        <f aca="false">IF($D646="","",IFERROR(IF(INDEX(Hierarchy!$G$2:$G$1295,MATCH($D646,Hierarchy!$A$2:$A$1295,0))="","",INDEX(Hierarchy!$G$2:$G$1295,MATCH($D646,Hierarchy!$A$2:$A$1295,0))),"NODE NOT FOUND"))</f>
        <v>NZL</v>
      </c>
      <c r="K646" s="7" t="str">
        <f aca="false">IF($D646="","",IFERROR(IF(INDEX(Hierarchy!$H$2:$H$1295,MATCH($D646,Hierarchy!$A$2:$A$1295,0))="","",INDEX(Hierarchy!$H$2:$H$1295,MATCH($D646,Hierarchy!$A$2:$A$1295,0))),"NODE NOT FOUND"))</f>
        <v>Wellington</v>
      </c>
      <c r="L646" s="7" t="str">
        <f aca="false">IF($D646="","",IFERROR(IF(INDEX(Hierarchy!$I$2:$I$1295,MATCH($D646,Hierarchy!$A$2:$A$1295,0))="","",INDEX(Hierarchy!$I$2:$I$1295,MATCH($D646,Hierarchy!$A$2:$A$1295,0))),"NODE NOT FOUND"))</f>
        <v/>
      </c>
      <c r="M646" s="17" t="str">
        <f aca="false">IF(B646="Pre-seeded","Pre-seeded",IF(B646="Review 2026-09-16","Added from review",IF(C646="","New",IF(C646=D646,"","Changed"))))</f>
        <v>Pre-seeded</v>
      </c>
      <c r="N646" s="7" t="str">
        <f aca="false">TRIM(SUBSTITUTE(SUBSTITUTE(SUBSTITUTE(" "&amp;TRIM(SUBSTITUTE(SUBSTITUTE(SUBSTITUTE(SUBSTITUTE(SUBSTITUTE(SUBSTITUTE(SUBSTITUTE(SUBSTITUTE(SUBSTITUTE(SUBSTITUTE(SUBSTITUTE(SUBSTITUTE(SUBSTITUTE(SUBSTITUTE(SUBSTITUTE(UPPER(TRIM(A646)),"[MEMBER]",""),"{MEMBER}",""),"[MEMBER}",""),"MEMBER]",""),"(A)",""),"""",""),"“",""),"”",""),".",""),":",""),",",""),"–"," "),"-"," "),"/"," "),"&amp;"," AND "))&amp;" "," THE "," ")," TOTAL "," ")," OPERATIONS "," "))</f>
        <v>GREATER WELLINGTON</v>
      </c>
      <c r="O646" s="17" t="str">
        <f aca="false">IF(COUNTIFS($N$2:$N$2000,N646,$D$2:$D$2000,"&lt;&gt;"&amp;D646)&gt;0,"CONFLICT","")</f>
        <v/>
      </c>
      <c r="P646" s="7"/>
    </row>
    <row r="647" customFormat="false" ht="15" hidden="false" customHeight="false" outlineLevel="0" collapsed="false">
      <c r="A647" s="7" t="s">
        <v>806</v>
      </c>
      <c r="B647" s="7" t="s">
        <v>1882</v>
      </c>
      <c r="C647" s="7" t="s">
        <v>806</v>
      </c>
      <c r="D647" s="6" t="s">
        <v>806</v>
      </c>
      <c r="E647" s="6" t="s">
        <v>1880</v>
      </c>
      <c r="F647" s="7" t="str">
        <f aca="false">IF($D647="","",IFERROR(IF(INDEX(Hierarchy!$B$2:$B$1295,MATCH($D647,Hierarchy!$A$2:$A$1295,0))="","",INDEX(Hierarchy!$B$2:$B$1295,MATCH($D647,Hierarchy!$A$2:$A$1295,0))),"NODE NOT FOUND"))</f>
        <v>Country</v>
      </c>
      <c r="G647" s="7" t="str">
        <f aca="false">IF($D647="","",IFERROR(IF(INDEX(Hierarchy!$D$2:$D$1295,MATCH($D647,Hierarchy!$A$2:$A$1295,0))="","",INDEX(Hierarchy!$D$2:$D$1295,MATCH($D647,Hierarchy!$A$2:$A$1295,0))),"NODE NOT FOUND"))</f>
        <v>EMEA</v>
      </c>
      <c r="H647" s="7" t="str">
        <f aca="false">IF($D647="","",IFERROR(IF(INDEX(Hierarchy!$E$2:$E$1295,MATCH($D647,Hierarchy!$A$2:$A$1295,0))="","",INDEX(Hierarchy!$E$2:$E$1295,MATCH($D647,Hierarchy!$A$2:$A$1295,0))),"NODE NOT FOUND"))</f>
        <v>Europe</v>
      </c>
      <c r="I647" s="7" t="str">
        <f aca="false">IF($D647="","",IFERROR(IF(INDEX(Hierarchy!$F$2:$F$1295,MATCH($D647,Hierarchy!$A$2:$A$1295,0))="","",INDEX(Hierarchy!$F$2:$F$1295,MATCH($D647,Hierarchy!$A$2:$A$1295,0))),"NODE NOT FOUND"))</f>
        <v>Greece</v>
      </c>
      <c r="J647" s="7" t="str">
        <f aca="false">IF($D647="","",IFERROR(IF(INDEX(Hierarchy!$G$2:$G$1295,MATCH($D647,Hierarchy!$A$2:$A$1295,0))="","",INDEX(Hierarchy!$G$2:$G$1295,MATCH($D647,Hierarchy!$A$2:$A$1295,0))),"NODE NOT FOUND"))</f>
        <v>GRC</v>
      </c>
      <c r="K647" s="7" t="str">
        <f aca="false">IF($D647="","",IFERROR(IF(INDEX(Hierarchy!$H$2:$H$1295,MATCH($D647,Hierarchy!$A$2:$A$1295,0))="","",INDEX(Hierarchy!$H$2:$H$1295,MATCH($D647,Hierarchy!$A$2:$A$1295,0))),"NODE NOT FOUND"))</f>
        <v/>
      </c>
      <c r="L647" s="7" t="str">
        <f aca="false">IF($D647="","",IFERROR(IF(INDEX(Hierarchy!$I$2:$I$1295,MATCH($D647,Hierarchy!$A$2:$A$1295,0))="","",INDEX(Hierarchy!$I$2:$I$1295,MATCH($D647,Hierarchy!$A$2:$A$1295,0))),"NODE NOT FOUND"))</f>
        <v/>
      </c>
      <c r="M647" s="17" t="str">
        <f aca="false">IF(B647="Pre-seeded","Pre-seeded",IF(B647="Review 2026-09-16","Added from review",IF(C647="","New",IF(C647=D647,"","Changed"))))</f>
        <v/>
      </c>
      <c r="N647" s="7" t="str">
        <f aca="false">TRIM(SUBSTITUTE(SUBSTITUTE(SUBSTITUTE(" "&amp;TRIM(SUBSTITUTE(SUBSTITUTE(SUBSTITUTE(SUBSTITUTE(SUBSTITUTE(SUBSTITUTE(SUBSTITUTE(SUBSTITUTE(SUBSTITUTE(SUBSTITUTE(SUBSTITUTE(SUBSTITUTE(SUBSTITUTE(SUBSTITUTE(SUBSTITUTE(UPPER(TRIM(A647)),"[MEMBER]",""),"{MEMBER}",""),"[MEMBER}",""),"MEMBER]",""),"(A)",""),"""",""),"“",""),"”",""),".",""),":",""),",",""),"–"," "),"-"," "),"/"," "),"&amp;"," AND "))&amp;" "," THE "," ")," TOTAL "," ")," OPERATIONS "," "))</f>
        <v>GREECE</v>
      </c>
      <c r="O647" s="17" t="str">
        <f aca="false">IF(COUNTIFS($N$2:$N$2000,N647,$D$2:$D$2000,"&lt;&gt;"&amp;D647)&gt;0,"CONFLICT","")</f>
        <v/>
      </c>
      <c r="P647" s="7"/>
    </row>
    <row r="648" customFormat="false" ht="15" hidden="false" customHeight="false" outlineLevel="0" collapsed="false">
      <c r="A648" s="7" t="s">
        <v>306</v>
      </c>
      <c r="B648" s="7" t="s">
        <v>1879</v>
      </c>
      <c r="C648" s="7"/>
      <c r="D648" s="6" t="s">
        <v>306</v>
      </c>
      <c r="E648" s="6" t="s">
        <v>1880</v>
      </c>
      <c r="F648" s="7" t="str">
        <f aca="false">IF($D648="","",IFERROR(IF(INDEX(Hierarchy!$B$2:$B$1295,MATCH($D648,Hierarchy!$A$2:$A$1295,0))="","",INDEX(Hierarchy!$B$2:$B$1295,MATCH($D648,Hierarchy!$A$2:$A$1295,0))),"NODE NOT FOUND"))</f>
        <v>Country</v>
      </c>
      <c r="G648" s="7" t="str">
        <f aca="false">IF($D648="","",IFERROR(IF(INDEX(Hierarchy!$D$2:$D$1295,MATCH($D648,Hierarchy!$A$2:$A$1295,0))="","",INDEX(Hierarchy!$D$2:$D$1295,MATCH($D648,Hierarchy!$A$2:$A$1295,0))),"NODE NOT FOUND"))</f>
        <v>AMER</v>
      </c>
      <c r="H648" s="7" t="str">
        <f aca="false">IF($D648="","",IFERROR(IF(INDEX(Hierarchy!$E$2:$E$1295,MATCH($D648,Hierarchy!$A$2:$A$1295,0))="","",INDEX(Hierarchy!$E$2:$E$1295,MATCH($D648,Hierarchy!$A$2:$A$1295,0))),"NODE NOT FOUND"))</f>
        <v>North America (NORAM)</v>
      </c>
      <c r="I648" s="7" t="str">
        <f aca="false">IF($D648="","",IFERROR(IF(INDEX(Hierarchy!$F$2:$F$1295,MATCH($D648,Hierarchy!$A$2:$A$1295,0))="","",INDEX(Hierarchy!$F$2:$F$1295,MATCH($D648,Hierarchy!$A$2:$A$1295,0))),"NODE NOT FOUND"))</f>
        <v>Greenland</v>
      </c>
      <c r="J648" s="7" t="str">
        <f aca="false">IF($D648="","",IFERROR(IF(INDEX(Hierarchy!$G$2:$G$1295,MATCH($D648,Hierarchy!$A$2:$A$1295,0))="","",INDEX(Hierarchy!$G$2:$G$1295,MATCH($D648,Hierarchy!$A$2:$A$1295,0))),"NODE NOT FOUND"))</f>
        <v>GRL</v>
      </c>
      <c r="K648" s="7" t="str">
        <f aca="false">IF($D648="","",IFERROR(IF(INDEX(Hierarchy!$H$2:$H$1295,MATCH($D648,Hierarchy!$A$2:$A$1295,0))="","",INDEX(Hierarchy!$H$2:$H$1295,MATCH($D648,Hierarchy!$A$2:$A$1295,0))),"NODE NOT FOUND"))</f>
        <v/>
      </c>
      <c r="L648" s="7" t="str">
        <f aca="false">IF($D648="","",IFERROR(IF(INDEX(Hierarchy!$I$2:$I$1295,MATCH($D648,Hierarchy!$A$2:$A$1295,0))="","",INDEX(Hierarchy!$I$2:$I$1295,MATCH($D648,Hierarchy!$A$2:$A$1295,0))),"NODE NOT FOUND"))</f>
        <v/>
      </c>
      <c r="M648" s="17" t="str">
        <f aca="false">IF(B648="Pre-seeded","Pre-seeded",IF(B648="Review 2026-09-16","Added from review",IF(C648="","New",IF(C648=D648,"","Changed"))))</f>
        <v>Pre-seeded</v>
      </c>
      <c r="N648" s="7" t="str">
        <f aca="false">TRIM(SUBSTITUTE(SUBSTITUTE(SUBSTITUTE(" "&amp;TRIM(SUBSTITUTE(SUBSTITUTE(SUBSTITUTE(SUBSTITUTE(SUBSTITUTE(SUBSTITUTE(SUBSTITUTE(SUBSTITUTE(SUBSTITUTE(SUBSTITUTE(SUBSTITUTE(SUBSTITUTE(SUBSTITUTE(SUBSTITUTE(SUBSTITUTE(UPPER(TRIM(A648)),"[MEMBER]",""),"{MEMBER}",""),"[MEMBER}",""),"MEMBER]",""),"(A)",""),"""",""),"“",""),"”",""),".",""),":",""),",",""),"–"," "),"-"," "),"/"," "),"&amp;"," AND "))&amp;" "," THE "," ")," TOTAL "," ")," OPERATIONS "," "))</f>
        <v>GREENLAND</v>
      </c>
      <c r="O648" s="17" t="str">
        <f aca="false">IF(COUNTIFS($N$2:$N$2000,N648,$D$2:$D$2000,"&lt;&gt;"&amp;D648)&gt;0,"CONFLICT","")</f>
        <v/>
      </c>
      <c r="P648" s="7"/>
    </row>
    <row r="649" customFormat="false" ht="15" hidden="false" customHeight="false" outlineLevel="0" collapsed="false">
      <c r="A649" s="7" t="s">
        <v>559</v>
      </c>
      <c r="B649" s="7" t="s">
        <v>1879</v>
      </c>
      <c r="C649" s="7"/>
      <c r="D649" s="6" t="s">
        <v>559</v>
      </c>
      <c r="E649" s="6" t="s">
        <v>1880</v>
      </c>
      <c r="F649" s="7" t="str">
        <f aca="false">IF($D649="","",IFERROR(IF(INDEX(Hierarchy!$B$2:$B$1295,MATCH($D649,Hierarchy!$A$2:$A$1295,0))="","",INDEX(Hierarchy!$B$2:$B$1295,MATCH($D649,Hierarchy!$A$2:$A$1295,0))),"NODE NOT FOUND"))</f>
        <v>Country</v>
      </c>
      <c r="G649" s="7" t="str">
        <f aca="false">IF($D649="","",IFERROR(IF(INDEX(Hierarchy!$D$2:$D$1295,MATCH($D649,Hierarchy!$A$2:$A$1295,0))="","",INDEX(Hierarchy!$D$2:$D$1295,MATCH($D649,Hierarchy!$A$2:$A$1295,0))),"NODE NOT FOUND"))</f>
        <v>AMER</v>
      </c>
      <c r="H649" s="7" t="str">
        <f aca="false">IF($D649="","",IFERROR(IF(INDEX(Hierarchy!$E$2:$E$1295,MATCH($D649,Hierarchy!$A$2:$A$1295,0))="","",INDEX(Hierarchy!$E$2:$E$1295,MATCH($D649,Hierarchy!$A$2:$A$1295,0))),"NODE NOT FOUND"))</f>
        <v>Latin America (LATAM)</v>
      </c>
      <c r="I649" s="7" t="str">
        <f aca="false">IF($D649="","",IFERROR(IF(INDEX(Hierarchy!$F$2:$F$1295,MATCH($D649,Hierarchy!$A$2:$A$1295,0))="","",INDEX(Hierarchy!$F$2:$F$1295,MATCH($D649,Hierarchy!$A$2:$A$1295,0))),"NODE NOT FOUND"))</f>
        <v>Grenada</v>
      </c>
      <c r="J649" s="7" t="str">
        <f aca="false">IF($D649="","",IFERROR(IF(INDEX(Hierarchy!$G$2:$G$1295,MATCH($D649,Hierarchy!$A$2:$A$1295,0))="","",INDEX(Hierarchy!$G$2:$G$1295,MATCH($D649,Hierarchy!$A$2:$A$1295,0))),"NODE NOT FOUND"))</f>
        <v>GRD</v>
      </c>
      <c r="K649" s="7" t="str">
        <f aca="false">IF($D649="","",IFERROR(IF(INDEX(Hierarchy!$H$2:$H$1295,MATCH($D649,Hierarchy!$A$2:$A$1295,0))="","",INDEX(Hierarchy!$H$2:$H$1295,MATCH($D649,Hierarchy!$A$2:$A$1295,0))),"NODE NOT FOUND"))</f>
        <v/>
      </c>
      <c r="L649" s="7" t="str">
        <f aca="false">IF($D649="","",IFERROR(IF(INDEX(Hierarchy!$I$2:$I$1295,MATCH($D649,Hierarchy!$A$2:$A$1295,0))="","",INDEX(Hierarchy!$I$2:$I$1295,MATCH($D649,Hierarchy!$A$2:$A$1295,0))),"NODE NOT FOUND"))</f>
        <v/>
      </c>
      <c r="M649" s="17" t="str">
        <f aca="false">IF(B649="Pre-seeded","Pre-seeded",IF(B649="Review 2026-09-16","Added from review",IF(C649="","New",IF(C649=D649,"","Changed"))))</f>
        <v>Pre-seeded</v>
      </c>
      <c r="N649" s="7" t="str">
        <f aca="false">TRIM(SUBSTITUTE(SUBSTITUTE(SUBSTITUTE(" "&amp;TRIM(SUBSTITUTE(SUBSTITUTE(SUBSTITUTE(SUBSTITUTE(SUBSTITUTE(SUBSTITUTE(SUBSTITUTE(SUBSTITUTE(SUBSTITUTE(SUBSTITUTE(SUBSTITUTE(SUBSTITUTE(SUBSTITUTE(SUBSTITUTE(SUBSTITUTE(UPPER(TRIM(A649)),"[MEMBER]",""),"{MEMBER}",""),"[MEMBER}",""),"MEMBER]",""),"(A)",""),"""",""),"“",""),"”",""),".",""),":",""),",",""),"–"," "),"-"," "),"/"," "),"&amp;"," AND "))&amp;" "," THE "," ")," TOTAL "," ")," OPERATIONS "," "))</f>
        <v>GRENADA</v>
      </c>
      <c r="O649" s="17" t="str">
        <f aca="false">IF(COUNTIFS($N$2:$N$2000,N649,$D$2:$D$2000,"&lt;&gt;"&amp;D649)&gt;0,"CONFLICT","")</f>
        <v/>
      </c>
      <c r="P649" s="7"/>
    </row>
    <row r="650" customFormat="false" ht="15" hidden="false" customHeight="false" outlineLevel="0" collapsed="false">
      <c r="A650" s="7" t="s">
        <v>889</v>
      </c>
      <c r="B650" s="7" t="s">
        <v>1879</v>
      </c>
      <c r="C650" s="7"/>
      <c r="D650" s="6" t="s">
        <v>889</v>
      </c>
      <c r="E650" s="6" t="s">
        <v>1880</v>
      </c>
      <c r="F650" s="7" t="str">
        <f aca="false">IF($D650="","",IFERROR(IF(INDEX(Hierarchy!$B$2:$B$1295,MATCH($D650,Hierarchy!$A$2:$A$1295,0))="","",INDEX(Hierarchy!$B$2:$B$1295,MATCH($D650,Hierarchy!$A$2:$A$1295,0))),"NODE NOT FOUND"))</f>
        <v>State/Province</v>
      </c>
      <c r="G650" s="7" t="str">
        <f aca="false">IF($D650="","",IFERROR(IF(INDEX(Hierarchy!$D$2:$D$1295,MATCH($D650,Hierarchy!$A$2:$A$1295,0))="","",INDEX(Hierarchy!$D$2:$D$1295,MATCH($D650,Hierarchy!$A$2:$A$1295,0))),"NODE NOT FOUND"))</f>
        <v>EMEA</v>
      </c>
      <c r="H650" s="7" t="str">
        <f aca="false">IF($D650="","",IFERROR(IF(INDEX(Hierarchy!$E$2:$E$1295,MATCH($D650,Hierarchy!$A$2:$A$1295,0))="","",INDEX(Hierarchy!$E$2:$E$1295,MATCH($D650,Hierarchy!$A$2:$A$1295,0))),"NODE NOT FOUND"))</f>
        <v>Europe</v>
      </c>
      <c r="I650" s="7" t="str">
        <f aca="false">IF($D650="","",IFERROR(IF(INDEX(Hierarchy!$F$2:$F$1295,MATCH($D650,Hierarchy!$A$2:$A$1295,0))="","",INDEX(Hierarchy!$F$2:$F$1295,MATCH($D650,Hierarchy!$A$2:$A$1295,0))),"NODE NOT FOUND"))</f>
        <v>Netherlands</v>
      </c>
      <c r="J650" s="7" t="str">
        <f aca="false">IF($D650="","",IFERROR(IF(INDEX(Hierarchy!$G$2:$G$1295,MATCH($D650,Hierarchy!$A$2:$A$1295,0))="","",INDEX(Hierarchy!$G$2:$G$1295,MATCH($D650,Hierarchy!$A$2:$A$1295,0))),"NODE NOT FOUND"))</f>
        <v>NLD</v>
      </c>
      <c r="K650" s="7" t="str">
        <f aca="false">IF($D650="","",IFERROR(IF(INDEX(Hierarchy!$H$2:$H$1295,MATCH($D650,Hierarchy!$A$2:$A$1295,0))="","",INDEX(Hierarchy!$H$2:$H$1295,MATCH($D650,Hierarchy!$A$2:$A$1295,0))),"NODE NOT FOUND"))</f>
        <v>Groningen</v>
      </c>
      <c r="L650" s="7" t="str">
        <f aca="false">IF($D650="","",IFERROR(IF(INDEX(Hierarchy!$I$2:$I$1295,MATCH($D650,Hierarchy!$A$2:$A$1295,0))="","",INDEX(Hierarchy!$I$2:$I$1295,MATCH($D650,Hierarchy!$A$2:$A$1295,0))),"NODE NOT FOUND"))</f>
        <v/>
      </c>
      <c r="M650" s="17" t="str">
        <f aca="false">IF(B650="Pre-seeded","Pre-seeded",IF(B650="Review 2026-09-16","Added from review",IF(C650="","New",IF(C650=D650,"","Changed"))))</f>
        <v>Pre-seeded</v>
      </c>
      <c r="N650" s="7" t="str">
        <f aca="false">TRIM(SUBSTITUTE(SUBSTITUTE(SUBSTITUTE(" "&amp;TRIM(SUBSTITUTE(SUBSTITUTE(SUBSTITUTE(SUBSTITUTE(SUBSTITUTE(SUBSTITUTE(SUBSTITUTE(SUBSTITUTE(SUBSTITUTE(SUBSTITUTE(SUBSTITUTE(SUBSTITUTE(SUBSTITUTE(SUBSTITUTE(SUBSTITUTE(UPPER(TRIM(A650)),"[MEMBER]",""),"{MEMBER}",""),"[MEMBER}",""),"MEMBER]",""),"(A)",""),"""",""),"“",""),"”",""),".",""),":",""),",",""),"–"," "),"-"," "),"/"," "),"&amp;"," AND "))&amp;" "," THE "," ")," TOTAL "," ")," OPERATIONS "," "))</f>
        <v>GRONINGEN</v>
      </c>
      <c r="O650" s="17" t="str">
        <f aca="false">IF(COUNTIFS($N$2:$N$2000,N650,$D$2:$D$2000,"&lt;&gt;"&amp;D650)&gt;0,"CONFLICT","")</f>
        <v/>
      </c>
      <c r="P650" s="7"/>
    </row>
    <row r="651" customFormat="false" ht="15" hidden="false" customHeight="false" outlineLevel="0" collapsed="false">
      <c r="A651" s="7" t="s">
        <v>2223</v>
      </c>
      <c r="B651" s="7" t="s">
        <v>1879</v>
      </c>
      <c r="C651" s="7"/>
      <c r="D651" s="6" t="s">
        <v>294</v>
      </c>
      <c r="E651" s="6" t="s">
        <v>1880</v>
      </c>
      <c r="F651" s="7" t="str">
        <f aca="false">IF($D651="","",IFERROR(IF(INDEX(Hierarchy!$B$2:$B$1295,MATCH($D651,Hierarchy!$A$2:$A$1295,0))="","",INDEX(Hierarchy!$B$2:$B$1295,MATCH($D651,Hierarchy!$A$2:$A$1295,0))),"NODE NOT FOUND"))</f>
        <v>City</v>
      </c>
      <c r="G651" s="7" t="str">
        <f aca="false">IF($D651="","",IFERROR(IF(INDEX(Hierarchy!$D$2:$D$1295,MATCH($D651,Hierarchy!$A$2:$A$1295,0))="","",INDEX(Hierarchy!$D$2:$D$1295,MATCH($D651,Hierarchy!$A$2:$A$1295,0))),"NODE NOT FOUND"))</f>
        <v>AMER</v>
      </c>
      <c r="H651" s="7" t="str">
        <f aca="false">IF($D651="","",IFERROR(IF(INDEX(Hierarchy!$E$2:$E$1295,MATCH($D651,Hierarchy!$A$2:$A$1295,0))="","",INDEX(Hierarchy!$E$2:$E$1295,MATCH($D651,Hierarchy!$A$2:$A$1295,0))),"NODE NOT FOUND"))</f>
        <v>North America (NORAM)</v>
      </c>
      <c r="I651" s="7" t="str">
        <f aca="false">IF($D651="","",IFERROR(IF(INDEX(Hierarchy!$F$2:$F$1295,MATCH($D651,Hierarchy!$A$2:$A$1295,0))="","",INDEX(Hierarchy!$F$2:$F$1295,MATCH($D651,Hierarchy!$A$2:$A$1295,0))),"NODE NOT FOUND"))</f>
        <v>Canada</v>
      </c>
      <c r="J651" s="7" t="str">
        <f aca="false">IF($D651="","",IFERROR(IF(INDEX(Hierarchy!$G$2:$G$1295,MATCH($D651,Hierarchy!$A$2:$A$1295,0))="","",INDEX(Hierarchy!$G$2:$G$1295,MATCH($D651,Hierarchy!$A$2:$A$1295,0))),"NODE NOT FOUND"))</f>
        <v>CAN</v>
      </c>
      <c r="K651" s="7" t="str">
        <f aca="false">IF($D651="","",IFERROR(IF(INDEX(Hierarchy!$H$2:$H$1295,MATCH($D651,Hierarchy!$A$2:$A$1295,0))="","",INDEX(Hierarchy!$H$2:$H$1295,MATCH($D651,Hierarchy!$A$2:$A$1295,0))),"NODE NOT FOUND"))</f>
        <v>Ontario</v>
      </c>
      <c r="L651" s="7" t="str">
        <f aca="false">IF($D651="","",IFERROR(IF(INDEX(Hierarchy!$I$2:$I$1295,MATCH($D651,Hierarchy!$A$2:$A$1295,0))="","",INDEX(Hierarchy!$I$2:$I$1295,MATCH($D651,Hierarchy!$A$2:$A$1295,0))),"NODE NOT FOUND"))</f>
        <v>Greater Toronto Area</v>
      </c>
      <c r="M651" s="17" t="str">
        <f aca="false">IF(B651="Pre-seeded","Pre-seeded",IF(B651="Review 2026-09-16","Added from review",IF(C651="","New",IF(C651=D651,"","Changed"))))</f>
        <v>Pre-seeded</v>
      </c>
      <c r="N651" s="7" t="str">
        <f aca="false">TRIM(SUBSTITUTE(SUBSTITUTE(SUBSTITUTE(" "&amp;TRIM(SUBSTITUTE(SUBSTITUTE(SUBSTITUTE(SUBSTITUTE(SUBSTITUTE(SUBSTITUTE(SUBSTITUTE(SUBSTITUTE(SUBSTITUTE(SUBSTITUTE(SUBSTITUTE(SUBSTITUTE(SUBSTITUTE(SUBSTITUTE(SUBSTITUTE(UPPER(TRIM(A651)),"[MEMBER]",""),"{MEMBER}",""),"[MEMBER}",""),"MEMBER]",""),"(A)",""),"""",""),"“",""),"”",""),".",""),":",""),",",""),"–"," "),"-"," "),"/"," "),"&amp;"," AND "))&amp;" "," THE "," ")," TOTAL "," ")," OPERATIONS "," "))</f>
        <v>GTA</v>
      </c>
      <c r="O651" s="17" t="str">
        <f aca="false">IF(COUNTIFS($N$2:$N$2000,N651,$D$2:$D$2000,"&lt;&gt;"&amp;D651)&gt;0,"CONFLICT","")</f>
        <v/>
      </c>
      <c r="P651" s="7"/>
    </row>
    <row r="652" customFormat="false" ht="15" hidden="false" customHeight="false" outlineLevel="0" collapsed="false">
      <c r="A652" s="7" t="s">
        <v>561</v>
      </c>
      <c r="B652" s="7" t="s">
        <v>1879</v>
      </c>
      <c r="C652" s="7"/>
      <c r="D652" s="6" t="s">
        <v>561</v>
      </c>
      <c r="E652" s="6" t="s">
        <v>1880</v>
      </c>
      <c r="F652" s="7" t="str">
        <f aca="false">IF($D652="","",IFERROR(IF(INDEX(Hierarchy!$B$2:$B$1295,MATCH($D652,Hierarchy!$A$2:$A$1295,0))="","",INDEX(Hierarchy!$B$2:$B$1295,MATCH($D652,Hierarchy!$A$2:$A$1295,0))),"NODE NOT FOUND"))</f>
        <v>Country</v>
      </c>
      <c r="G652" s="7" t="str">
        <f aca="false">IF($D652="","",IFERROR(IF(INDEX(Hierarchy!$D$2:$D$1295,MATCH($D652,Hierarchy!$A$2:$A$1295,0))="","",INDEX(Hierarchy!$D$2:$D$1295,MATCH($D652,Hierarchy!$A$2:$A$1295,0))),"NODE NOT FOUND"))</f>
        <v>AMER</v>
      </c>
      <c r="H652" s="7" t="str">
        <f aca="false">IF($D652="","",IFERROR(IF(INDEX(Hierarchy!$E$2:$E$1295,MATCH($D652,Hierarchy!$A$2:$A$1295,0))="","",INDEX(Hierarchy!$E$2:$E$1295,MATCH($D652,Hierarchy!$A$2:$A$1295,0))),"NODE NOT FOUND"))</f>
        <v>Latin America (LATAM)</v>
      </c>
      <c r="I652" s="7" t="str">
        <f aca="false">IF($D652="","",IFERROR(IF(INDEX(Hierarchy!$F$2:$F$1295,MATCH($D652,Hierarchy!$A$2:$A$1295,0))="","",INDEX(Hierarchy!$F$2:$F$1295,MATCH($D652,Hierarchy!$A$2:$A$1295,0))),"NODE NOT FOUND"))</f>
        <v>Guadeloupe</v>
      </c>
      <c r="J652" s="7" t="str">
        <f aca="false">IF($D652="","",IFERROR(IF(INDEX(Hierarchy!$G$2:$G$1295,MATCH($D652,Hierarchy!$A$2:$A$1295,0))="","",INDEX(Hierarchy!$G$2:$G$1295,MATCH($D652,Hierarchy!$A$2:$A$1295,0))),"NODE NOT FOUND"))</f>
        <v>GLP</v>
      </c>
      <c r="K652" s="7" t="str">
        <f aca="false">IF($D652="","",IFERROR(IF(INDEX(Hierarchy!$H$2:$H$1295,MATCH($D652,Hierarchy!$A$2:$A$1295,0))="","",INDEX(Hierarchy!$H$2:$H$1295,MATCH($D652,Hierarchy!$A$2:$A$1295,0))),"NODE NOT FOUND"))</f>
        <v/>
      </c>
      <c r="L652" s="7" t="str">
        <f aca="false">IF($D652="","",IFERROR(IF(INDEX(Hierarchy!$I$2:$I$1295,MATCH($D652,Hierarchy!$A$2:$A$1295,0))="","",INDEX(Hierarchy!$I$2:$I$1295,MATCH($D652,Hierarchy!$A$2:$A$1295,0))),"NODE NOT FOUND"))</f>
        <v/>
      </c>
      <c r="M652" s="17" t="str">
        <f aca="false">IF(B652="Pre-seeded","Pre-seeded",IF(B652="Review 2026-09-16","Added from review",IF(C652="","New",IF(C652=D652,"","Changed"))))</f>
        <v>Pre-seeded</v>
      </c>
      <c r="N652" s="7" t="str">
        <f aca="false">TRIM(SUBSTITUTE(SUBSTITUTE(SUBSTITUTE(" "&amp;TRIM(SUBSTITUTE(SUBSTITUTE(SUBSTITUTE(SUBSTITUTE(SUBSTITUTE(SUBSTITUTE(SUBSTITUTE(SUBSTITUTE(SUBSTITUTE(SUBSTITUTE(SUBSTITUTE(SUBSTITUTE(SUBSTITUTE(SUBSTITUTE(SUBSTITUTE(UPPER(TRIM(A652)),"[MEMBER]",""),"{MEMBER}",""),"[MEMBER}",""),"MEMBER]",""),"(A)",""),"""",""),"“",""),"”",""),".",""),":",""),",",""),"–"," "),"-"," "),"/"," "),"&amp;"," AND "))&amp;" "," THE "," ")," TOTAL "," ")," OPERATIONS "," "))</f>
        <v>GUADELOUPE</v>
      </c>
      <c r="O652" s="17" t="str">
        <f aca="false">IF(COUNTIFS($N$2:$N$2000,N652,$D$2:$D$2000,"&lt;&gt;"&amp;D652)&gt;0,"CONFLICT","")</f>
        <v/>
      </c>
      <c r="P652" s="7"/>
    </row>
    <row r="653" customFormat="false" ht="15" hidden="false" customHeight="false" outlineLevel="0" collapsed="false">
      <c r="A653" s="7" t="s">
        <v>516</v>
      </c>
      <c r="B653" s="7" t="s">
        <v>1879</v>
      </c>
      <c r="C653" s="7"/>
      <c r="D653" s="6" t="s">
        <v>516</v>
      </c>
      <c r="E653" s="6" t="s">
        <v>1880</v>
      </c>
      <c r="F653" s="7" t="str">
        <f aca="false">IF($D653="","",IFERROR(IF(INDEX(Hierarchy!$B$2:$B$1295,MATCH($D653,Hierarchy!$A$2:$A$1295,0))="","",INDEX(Hierarchy!$B$2:$B$1295,MATCH($D653,Hierarchy!$A$2:$A$1295,0))),"NODE NOT FOUND"))</f>
        <v>State/Province</v>
      </c>
      <c r="G653" s="7" t="str">
        <f aca="false">IF($D653="","",IFERROR(IF(INDEX(Hierarchy!$D$2:$D$1295,MATCH($D653,Hierarchy!$A$2:$A$1295,0))="","",INDEX(Hierarchy!$D$2:$D$1295,MATCH($D653,Hierarchy!$A$2:$A$1295,0))),"NODE NOT FOUND"))</f>
        <v>AMER</v>
      </c>
      <c r="H653" s="7" t="str">
        <f aca="false">IF($D653="","",IFERROR(IF(INDEX(Hierarchy!$E$2:$E$1295,MATCH($D653,Hierarchy!$A$2:$A$1295,0))="","",INDEX(Hierarchy!$E$2:$E$1295,MATCH($D653,Hierarchy!$A$2:$A$1295,0))),"NODE NOT FOUND"))</f>
        <v>Latin America (LATAM)</v>
      </c>
      <c r="I653" s="7" t="str">
        <f aca="false">IF($D653="","",IFERROR(IF(INDEX(Hierarchy!$F$2:$F$1295,MATCH($D653,Hierarchy!$A$2:$A$1295,0))="","",INDEX(Hierarchy!$F$2:$F$1295,MATCH($D653,Hierarchy!$A$2:$A$1295,0))),"NODE NOT FOUND"))</f>
        <v>Colombia</v>
      </c>
      <c r="J653" s="7" t="str">
        <f aca="false">IF($D653="","",IFERROR(IF(INDEX(Hierarchy!$G$2:$G$1295,MATCH($D653,Hierarchy!$A$2:$A$1295,0))="","",INDEX(Hierarchy!$G$2:$G$1295,MATCH($D653,Hierarchy!$A$2:$A$1295,0))),"NODE NOT FOUND"))</f>
        <v>COL</v>
      </c>
      <c r="K653" s="7" t="str">
        <f aca="false">IF($D653="","",IFERROR(IF(INDEX(Hierarchy!$H$2:$H$1295,MATCH($D653,Hierarchy!$A$2:$A$1295,0))="","",INDEX(Hierarchy!$H$2:$H$1295,MATCH($D653,Hierarchy!$A$2:$A$1295,0))),"NODE NOT FOUND"))</f>
        <v>Guainía</v>
      </c>
      <c r="L653" s="7" t="str">
        <f aca="false">IF($D653="","",IFERROR(IF(INDEX(Hierarchy!$I$2:$I$1295,MATCH($D653,Hierarchy!$A$2:$A$1295,0))="","",INDEX(Hierarchy!$I$2:$I$1295,MATCH($D653,Hierarchy!$A$2:$A$1295,0))),"NODE NOT FOUND"))</f>
        <v/>
      </c>
      <c r="M653" s="17" t="str">
        <f aca="false">IF(B653="Pre-seeded","Pre-seeded",IF(B653="Review 2026-09-16","Added from review",IF(C653="","New",IF(C653=D653,"","Changed"))))</f>
        <v>Pre-seeded</v>
      </c>
      <c r="N653" s="7" t="str">
        <f aca="false">TRIM(SUBSTITUTE(SUBSTITUTE(SUBSTITUTE(" "&amp;TRIM(SUBSTITUTE(SUBSTITUTE(SUBSTITUTE(SUBSTITUTE(SUBSTITUTE(SUBSTITUTE(SUBSTITUTE(SUBSTITUTE(SUBSTITUTE(SUBSTITUTE(SUBSTITUTE(SUBSTITUTE(SUBSTITUTE(SUBSTITUTE(SUBSTITUTE(UPPER(TRIM(A653)),"[MEMBER]",""),"{MEMBER}",""),"[MEMBER}",""),"MEMBER]",""),"(A)",""),"""",""),"“",""),"”",""),".",""),":",""),",",""),"–"," "),"-"," "),"/"," "),"&amp;"," AND "))&amp;" "," THE "," ")," TOTAL "," ")," OPERATIONS "," "))</f>
        <v>GUAINÍA</v>
      </c>
      <c r="O653" s="17" t="str">
        <f aca="false">IF(COUNTIFS($N$2:$N$2000,N653,$D$2:$D$2000,"&lt;&gt;"&amp;D653)&gt;0,"CONFLICT","")</f>
        <v/>
      </c>
      <c r="P653" s="7"/>
    </row>
    <row r="654" customFormat="false" ht="15" hidden="false" customHeight="false" outlineLevel="0" collapsed="false">
      <c r="A654" s="7" t="s">
        <v>2224</v>
      </c>
      <c r="B654" s="7" t="s">
        <v>1882</v>
      </c>
      <c r="C654" s="7" t="s">
        <v>81</v>
      </c>
      <c r="D654" s="6" t="s">
        <v>174</v>
      </c>
      <c r="E654" s="6" t="s">
        <v>1880</v>
      </c>
      <c r="F654" s="7" t="str">
        <f aca="false">IF($D654="","",IFERROR(IF(INDEX(Hierarchy!$B$2:$B$1295,MATCH($D654,Hierarchy!$A$2:$A$1295,0))="","",INDEX(Hierarchy!$B$2:$B$1295,MATCH($D654,Hierarchy!$A$2:$A$1295,0))),"NODE NOT FOUND"))</f>
        <v>State/Province</v>
      </c>
      <c r="G654" s="7" t="str">
        <f aca="false">IF($D654="","",IFERROR(IF(INDEX(Hierarchy!$D$2:$D$1295,MATCH($D654,Hierarchy!$A$2:$A$1295,0))="","",INDEX(Hierarchy!$D$2:$D$1295,MATCH($D654,Hierarchy!$A$2:$A$1295,0))),"NODE NOT FOUND"))</f>
        <v>AMER</v>
      </c>
      <c r="H654" s="7" t="str">
        <f aca="false">IF($D654="","",IFERROR(IF(INDEX(Hierarchy!$E$2:$E$1295,MATCH($D654,Hierarchy!$A$2:$A$1295,0))="","",INDEX(Hierarchy!$E$2:$E$1295,MATCH($D654,Hierarchy!$A$2:$A$1295,0))),"NODE NOT FOUND"))</f>
        <v>North America (NORAM)</v>
      </c>
      <c r="I654" s="7" t="str">
        <f aca="false">IF($D654="","",IFERROR(IF(INDEX(Hierarchy!$F$2:$F$1295,MATCH($D654,Hierarchy!$A$2:$A$1295,0))="","",INDEX(Hierarchy!$F$2:$F$1295,MATCH($D654,Hierarchy!$A$2:$A$1295,0))),"NODE NOT FOUND"))</f>
        <v>United States</v>
      </c>
      <c r="J654" s="7" t="str">
        <f aca="false">IF($D654="","",IFERROR(IF(INDEX(Hierarchy!$G$2:$G$1295,MATCH($D654,Hierarchy!$A$2:$A$1295,0))="","",INDEX(Hierarchy!$G$2:$G$1295,MATCH($D654,Hierarchy!$A$2:$A$1295,0))),"NODE NOT FOUND"))</f>
        <v>USA</v>
      </c>
      <c r="K654" s="7" t="str">
        <f aca="false">IF($D654="","",IFERROR(IF(INDEX(Hierarchy!$H$2:$H$1295,MATCH($D654,Hierarchy!$A$2:$A$1295,0))="","",INDEX(Hierarchy!$H$2:$H$1295,MATCH($D654,Hierarchy!$A$2:$A$1295,0))),"NODE NOT FOUND"))</f>
        <v>Guam</v>
      </c>
      <c r="L654" s="7" t="str">
        <f aca="false">IF($D654="","",IFERROR(IF(INDEX(Hierarchy!$I$2:$I$1295,MATCH($D654,Hierarchy!$A$2:$A$1295,0))="","",INDEX(Hierarchy!$I$2:$I$1295,MATCH($D654,Hierarchy!$A$2:$A$1295,0))),"NODE NOT FOUND"))</f>
        <v/>
      </c>
      <c r="M654" s="17" t="str">
        <f aca="false">IF(B654="Pre-seeded","Pre-seeded",IF(B654="Review 2026-09-16","Added from review",IF(C654="","New",IF(C654=D654,"","Changed"))))</f>
        <v>Changed</v>
      </c>
      <c r="N654" s="7" t="str">
        <f aca="false">TRIM(SUBSTITUTE(SUBSTITUTE(SUBSTITUTE(" "&amp;TRIM(SUBSTITUTE(SUBSTITUTE(SUBSTITUTE(SUBSTITUTE(SUBSTITUTE(SUBSTITUTE(SUBSTITUTE(SUBSTITUTE(SUBSTITUTE(SUBSTITUTE(SUBSTITUTE(SUBSTITUTE(SUBSTITUTE(SUBSTITUTE(SUBSTITUTE(UPPER(TRIM(A654)),"[MEMBER]",""),"{MEMBER}",""),"[MEMBER}",""),"MEMBER]",""),"(A)",""),"""",""),"“",""),"”",""),".",""),":",""),",",""),"–"," "),"-"," "),"/"," "),"&amp;"," AND "))&amp;" "," THE "," ")," TOTAL "," ")," OPERATIONS "," "))</f>
        <v>GUAM</v>
      </c>
      <c r="O654" s="17" t="str">
        <f aca="false">IF(COUNTIFS($N$2:$N$2000,N654,$D$2:$D$2000,"&lt;&gt;"&amp;D654)&gt;0,"CONFLICT","")</f>
        <v/>
      </c>
      <c r="P654" s="7"/>
    </row>
    <row r="655" customFormat="false" ht="15" hidden="false" customHeight="false" outlineLevel="0" collapsed="false">
      <c r="A655" s="7" t="s">
        <v>393</v>
      </c>
      <c r="B655" s="7" t="s">
        <v>1879</v>
      </c>
      <c r="C655" s="7"/>
      <c r="D655" s="6" t="s">
        <v>393</v>
      </c>
      <c r="E655" s="6" t="s">
        <v>1880</v>
      </c>
      <c r="F655" s="7" t="str">
        <f aca="false">IF($D655="","",IFERROR(IF(INDEX(Hierarchy!$B$2:$B$1295,MATCH($D655,Hierarchy!$A$2:$A$1295,0))="","",INDEX(Hierarchy!$B$2:$B$1295,MATCH($D655,Hierarchy!$A$2:$A$1295,0))),"NODE NOT FOUND"))</f>
        <v>State/Province</v>
      </c>
      <c r="G655" s="7" t="str">
        <f aca="false">IF($D655="","",IFERROR(IF(INDEX(Hierarchy!$D$2:$D$1295,MATCH($D655,Hierarchy!$A$2:$A$1295,0))="","",INDEX(Hierarchy!$D$2:$D$1295,MATCH($D655,Hierarchy!$A$2:$A$1295,0))),"NODE NOT FOUND"))</f>
        <v>AMER</v>
      </c>
      <c r="H655" s="7" t="str">
        <f aca="false">IF($D655="","",IFERROR(IF(INDEX(Hierarchy!$E$2:$E$1295,MATCH($D655,Hierarchy!$A$2:$A$1295,0))="","",INDEX(Hierarchy!$E$2:$E$1295,MATCH($D655,Hierarchy!$A$2:$A$1295,0))),"NODE NOT FOUND"))</f>
        <v>Latin America (LATAM)</v>
      </c>
      <c r="I655" s="7" t="str">
        <f aca="false">IF($D655="","",IFERROR(IF(INDEX(Hierarchy!$F$2:$F$1295,MATCH($D655,Hierarchy!$A$2:$A$1295,0))="","",INDEX(Hierarchy!$F$2:$F$1295,MATCH($D655,Hierarchy!$A$2:$A$1295,0))),"NODE NOT FOUND"))</f>
        <v>Mexico</v>
      </c>
      <c r="J655" s="7" t="str">
        <f aca="false">IF($D655="","",IFERROR(IF(INDEX(Hierarchy!$G$2:$G$1295,MATCH($D655,Hierarchy!$A$2:$A$1295,0))="","",INDEX(Hierarchy!$G$2:$G$1295,MATCH($D655,Hierarchy!$A$2:$A$1295,0))),"NODE NOT FOUND"))</f>
        <v>MEX</v>
      </c>
      <c r="K655" s="7" t="str">
        <f aca="false">IF($D655="","",IFERROR(IF(INDEX(Hierarchy!$H$2:$H$1295,MATCH($D655,Hierarchy!$A$2:$A$1295,0))="","",INDEX(Hierarchy!$H$2:$H$1295,MATCH($D655,Hierarchy!$A$2:$A$1295,0))),"NODE NOT FOUND"))</f>
        <v>Guanajuato</v>
      </c>
      <c r="L655" s="7" t="str">
        <f aca="false">IF($D655="","",IFERROR(IF(INDEX(Hierarchy!$I$2:$I$1295,MATCH($D655,Hierarchy!$A$2:$A$1295,0))="","",INDEX(Hierarchy!$I$2:$I$1295,MATCH($D655,Hierarchy!$A$2:$A$1295,0))),"NODE NOT FOUND"))</f>
        <v/>
      </c>
      <c r="M655" s="17" t="str">
        <f aca="false">IF(B655="Pre-seeded","Pre-seeded",IF(B655="Review 2026-09-16","Added from review",IF(C655="","New",IF(C655=D655,"","Changed"))))</f>
        <v>Pre-seeded</v>
      </c>
      <c r="N655" s="7" t="str">
        <f aca="false">TRIM(SUBSTITUTE(SUBSTITUTE(SUBSTITUTE(" "&amp;TRIM(SUBSTITUTE(SUBSTITUTE(SUBSTITUTE(SUBSTITUTE(SUBSTITUTE(SUBSTITUTE(SUBSTITUTE(SUBSTITUTE(SUBSTITUTE(SUBSTITUTE(SUBSTITUTE(SUBSTITUTE(SUBSTITUTE(SUBSTITUTE(SUBSTITUTE(UPPER(TRIM(A655)),"[MEMBER]",""),"{MEMBER}",""),"[MEMBER}",""),"MEMBER]",""),"(A)",""),"""",""),"“",""),"”",""),".",""),":",""),",",""),"–"," "),"-"," "),"/"," "),"&amp;"," AND "))&amp;" "," THE "," ")," TOTAL "," ")," OPERATIONS "," "))</f>
        <v>GUANAJUATO</v>
      </c>
      <c r="O655" s="17" t="str">
        <f aca="false">IF(COUNTIFS($N$2:$N$2000,N655,$D$2:$D$2000,"&lt;&gt;"&amp;D655)&gt;0,"CONFLICT","")</f>
        <v/>
      </c>
      <c r="P655" s="7"/>
    </row>
    <row r="656" customFormat="false" ht="15" hidden="false" customHeight="false" outlineLevel="0" collapsed="false">
      <c r="A656" s="7" t="s">
        <v>1506</v>
      </c>
      <c r="B656" s="7" t="s">
        <v>1879</v>
      </c>
      <c r="C656" s="7"/>
      <c r="D656" s="6" t="s">
        <v>1506</v>
      </c>
      <c r="E656" s="6" t="s">
        <v>1880</v>
      </c>
      <c r="F656" s="7" t="str">
        <f aca="false">IF($D656="","",IFERROR(IF(INDEX(Hierarchy!$B$2:$B$1295,MATCH($D656,Hierarchy!$A$2:$A$1295,0))="","",INDEX(Hierarchy!$B$2:$B$1295,MATCH($D656,Hierarchy!$A$2:$A$1295,0))),"NODE NOT FOUND"))</f>
        <v>State/Province</v>
      </c>
      <c r="G656" s="7" t="str">
        <f aca="false">IF($D656="","",IFERROR(IF(INDEX(Hierarchy!$D$2:$D$1295,MATCH($D656,Hierarchy!$A$2:$A$1295,0))="","",INDEX(Hierarchy!$D$2:$D$1295,MATCH($D656,Hierarchy!$A$2:$A$1295,0))),"NODE NOT FOUND"))</f>
        <v>APAC</v>
      </c>
      <c r="H656" s="7" t="str">
        <f aca="false">IF($D656="","",IFERROR(IF(INDEX(Hierarchy!$E$2:$E$1295,MATCH($D656,Hierarchy!$A$2:$A$1295,0))="","",INDEX(Hierarchy!$E$2:$E$1295,MATCH($D656,Hierarchy!$A$2:$A$1295,0))),"NODE NOT FOUND"))</f>
        <v>East Asia</v>
      </c>
      <c r="I656" s="7" t="str">
        <f aca="false">IF($D656="","",IFERROR(IF(INDEX(Hierarchy!$F$2:$F$1295,MATCH($D656,Hierarchy!$A$2:$A$1295,0))="","",INDEX(Hierarchy!$F$2:$F$1295,MATCH($D656,Hierarchy!$A$2:$A$1295,0))),"NODE NOT FOUND"))</f>
        <v>China</v>
      </c>
      <c r="J656" s="7" t="str">
        <f aca="false">IF($D656="","",IFERROR(IF(INDEX(Hierarchy!$G$2:$G$1295,MATCH($D656,Hierarchy!$A$2:$A$1295,0))="","",INDEX(Hierarchy!$G$2:$G$1295,MATCH($D656,Hierarchy!$A$2:$A$1295,0))),"NODE NOT FOUND"))</f>
        <v>CHN</v>
      </c>
      <c r="K656" s="7" t="str">
        <f aca="false">IF($D656="","",IFERROR(IF(INDEX(Hierarchy!$H$2:$H$1295,MATCH($D656,Hierarchy!$A$2:$A$1295,0))="","",INDEX(Hierarchy!$H$2:$H$1295,MATCH($D656,Hierarchy!$A$2:$A$1295,0))),"NODE NOT FOUND"))</f>
        <v>Guangdong</v>
      </c>
      <c r="L656" s="7" t="str">
        <f aca="false">IF($D656="","",IFERROR(IF(INDEX(Hierarchy!$I$2:$I$1295,MATCH($D656,Hierarchy!$A$2:$A$1295,0))="","",INDEX(Hierarchy!$I$2:$I$1295,MATCH($D656,Hierarchy!$A$2:$A$1295,0))),"NODE NOT FOUND"))</f>
        <v/>
      </c>
      <c r="M656" s="17" t="str">
        <f aca="false">IF(B656="Pre-seeded","Pre-seeded",IF(B656="Review 2026-09-16","Added from review",IF(C656="","New",IF(C656=D656,"","Changed"))))</f>
        <v>Pre-seeded</v>
      </c>
      <c r="N656" s="7" t="str">
        <f aca="false">TRIM(SUBSTITUTE(SUBSTITUTE(SUBSTITUTE(" "&amp;TRIM(SUBSTITUTE(SUBSTITUTE(SUBSTITUTE(SUBSTITUTE(SUBSTITUTE(SUBSTITUTE(SUBSTITUTE(SUBSTITUTE(SUBSTITUTE(SUBSTITUTE(SUBSTITUTE(SUBSTITUTE(SUBSTITUTE(SUBSTITUTE(SUBSTITUTE(UPPER(TRIM(A656)),"[MEMBER]",""),"{MEMBER}",""),"[MEMBER}",""),"MEMBER]",""),"(A)",""),"""",""),"“",""),"”",""),".",""),":",""),",",""),"–"," "),"-"," "),"/"," "),"&amp;"," AND "))&amp;" "," THE "," ")," TOTAL "," ")," OPERATIONS "," "))</f>
        <v>GUANGDONG</v>
      </c>
      <c r="O656" s="17" t="str">
        <f aca="false">IF(COUNTIFS($N$2:$N$2000,N656,$D$2:$D$2000,"&lt;&gt;"&amp;D656)&gt;0,"CONFLICT","")</f>
        <v/>
      </c>
      <c r="P656" s="7"/>
    </row>
    <row r="657" customFormat="false" ht="15" hidden="false" customHeight="false" outlineLevel="0" collapsed="false">
      <c r="A657" s="7" t="s">
        <v>1510</v>
      </c>
      <c r="B657" s="7" t="s">
        <v>1879</v>
      </c>
      <c r="C657" s="7"/>
      <c r="D657" s="6" t="s">
        <v>1510</v>
      </c>
      <c r="E657" s="6" t="s">
        <v>1880</v>
      </c>
      <c r="F657" s="7" t="str">
        <f aca="false">IF($D657="","",IFERROR(IF(INDEX(Hierarchy!$B$2:$B$1295,MATCH($D657,Hierarchy!$A$2:$A$1295,0))="","",INDEX(Hierarchy!$B$2:$B$1295,MATCH($D657,Hierarchy!$A$2:$A$1295,0))),"NODE NOT FOUND"))</f>
        <v>State/Province</v>
      </c>
      <c r="G657" s="7" t="str">
        <f aca="false">IF($D657="","",IFERROR(IF(INDEX(Hierarchy!$D$2:$D$1295,MATCH($D657,Hierarchy!$A$2:$A$1295,0))="","",INDEX(Hierarchy!$D$2:$D$1295,MATCH($D657,Hierarchy!$A$2:$A$1295,0))),"NODE NOT FOUND"))</f>
        <v>APAC</v>
      </c>
      <c r="H657" s="7" t="str">
        <f aca="false">IF($D657="","",IFERROR(IF(INDEX(Hierarchy!$E$2:$E$1295,MATCH($D657,Hierarchy!$A$2:$A$1295,0))="","",INDEX(Hierarchy!$E$2:$E$1295,MATCH($D657,Hierarchy!$A$2:$A$1295,0))),"NODE NOT FOUND"))</f>
        <v>East Asia</v>
      </c>
      <c r="I657" s="7" t="str">
        <f aca="false">IF($D657="","",IFERROR(IF(INDEX(Hierarchy!$F$2:$F$1295,MATCH($D657,Hierarchy!$A$2:$A$1295,0))="","",INDEX(Hierarchy!$F$2:$F$1295,MATCH($D657,Hierarchy!$A$2:$A$1295,0))),"NODE NOT FOUND"))</f>
        <v>China</v>
      </c>
      <c r="J657" s="7" t="str">
        <f aca="false">IF($D657="","",IFERROR(IF(INDEX(Hierarchy!$G$2:$G$1295,MATCH($D657,Hierarchy!$A$2:$A$1295,0))="","",INDEX(Hierarchy!$G$2:$G$1295,MATCH($D657,Hierarchy!$A$2:$A$1295,0))),"NODE NOT FOUND"))</f>
        <v>CHN</v>
      </c>
      <c r="K657" s="7" t="str">
        <f aca="false">IF($D657="","",IFERROR(IF(INDEX(Hierarchy!$H$2:$H$1295,MATCH($D657,Hierarchy!$A$2:$A$1295,0))="","",INDEX(Hierarchy!$H$2:$H$1295,MATCH($D657,Hierarchy!$A$2:$A$1295,0))),"NODE NOT FOUND"))</f>
        <v>Guangxi</v>
      </c>
      <c r="L657" s="7" t="str">
        <f aca="false">IF($D657="","",IFERROR(IF(INDEX(Hierarchy!$I$2:$I$1295,MATCH($D657,Hierarchy!$A$2:$A$1295,0))="","",INDEX(Hierarchy!$I$2:$I$1295,MATCH($D657,Hierarchy!$A$2:$A$1295,0))),"NODE NOT FOUND"))</f>
        <v/>
      </c>
      <c r="M657" s="17" t="str">
        <f aca="false">IF(B657="Pre-seeded","Pre-seeded",IF(B657="Review 2026-09-16","Added from review",IF(C657="","New",IF(C657=D657,"","Changed"))))</f>
        <v>Pre-seeded</v>
      </c>
      <c r="N657" s="7" t="str">
        <f aca="false">TRIM(SUBSTITUTE(SUBSTITUTE(SUBSTITUTE(" "&amp;TRIM(SUBSTITUTE(SUBSTITUTE(SUBSTITUTE(SUBSTITUTE(SUBSTITUTE(SUBSTITUTE(SUBSTITUTE(SUBSTITUTE(SUBSTITUTE(SUBSTITUTE(SUBSTITUTE(SUBSTITUTE(SUBSTITUTE(SUBSTITUTE(SUBSTITUTE(UPPER(TRIM(A657)),"[MEMBER]",""),"{MEMBER}",""),"[MEMBER}",""),"MEMBER]",""),"(A)",""),"""",""),"“",""),"”",""),".",""),":",""),",",""),"–"," "),"-"," "),"/"," "),"&amp;"," AND "))&amp;" "," THE "," ")," TOTAL "," ")," OPERATIONS "," "))</f>
        <v>GUANGXI</v>
      </c>
      <c r="O657" s="17" t="str">
        <f aca="false">IF(COUNTIFS($N$2:$N$2000,N657,$D$2:$D$2000,"&lt;&gt;"&amp;D657)&gt;0,"CONFLICT","")</f>
        <v/>
      </c>
      <c r="P657" s="7"/>
    </row>
    <row r="658" customFormat="false" ht="15" hidden="false" customHeight="false" outlineLevel="0" collapsed="false">
      <c r="A658" s="7" t="s">
        <v>2225</v>
      </c>
      <c r="B658" s="7" t="s">
        <v>1882</v>
      </c>
      <c r="C658" s="7" t="s">
        <v>563</v>
      </c>
      <c r="D658" s="6" t="s">
        <v>563</v>
      </c>
      <c r="E658" s="6" t="s">
        <v>1880</v>
      </c>
      <c r="F658" s="7" t="str">
        <f aca="false">IF($D658="","",IFERROR(IF(INDEX(Hierarchy!$B$2:$B$1295,MATCH($D658,Hierarchy!$A$2:$A$1295,0))="","",INDEX(Hierarchy!$B$2:$B$1295,MATCH($D658,Hierarchy!$A$2:$A$1295,0))),"NODE NOT FOUND"))</f>
        <v>Country</v>
      </c>
      <c r="G658" s="7" t="str">
        <f aca="false">IF($D658="","",IFERROR(IF(INDEX(Hierarchy!$D$2:$D$1295,MATCH($D658,Hierarchy!$A$2:$A$1295,0))="","",INDEX(Hierarchy!$D$2:$D$1295,MATCH($D658,Hierarchy!$A$2:$A$1295,0))),"NODE NOT FOUND"))</f>
        <v>AMER</v>
      </c>
      <c r="H658" s="7" t="str">
        <f aca="false">IF($D658="","",IFERROR(IF(INDEX(Hierarchy!$E$2:$E$1295,MATCH($D658,Hierarchy!$A$2:$A$1295,0))="","",INDEX(Hierarchy!$E$2:$E$1295,MATCH($D658,Hierarchy!$A$2:$A$1295,0))),"NODE NOT FOUND"))</f>
        <v>Latin America (LATAM)</v>
      </c>
      <c r="I658" s="7" t="str">
        <f aca="false">IF($D658="","",IFERROR(IF(INDEX(Hierarchy!$F$2:$F$1295,MATCH($D658,Hierarchy!$A$2:$A$1295,0))="","",INDEX(Hierarchy!$F$2:$F$1295,MATCH($D658,Hierarchy!$A$2:$A$1295,0))),"NODE NOT FOUND"))</f>
        <v>Guatemala</v>
      </c>
      <c r="J658" s="7" t="str">
        <f aca="false">IF($D658="","",IFERROR(IF(INDEX(Hierarchy!$G$2:$G$1295,MATCH($D658,Hierarchy!$A$2:$A$1295,0))="","",INDEX(Hierarchy!$G$2:$G$1295,MATCH($D658,Hierarchy!$A$2:$A$1295,0))),"NODE NOT FOUND"))</f>
        <v>GTM</v>
      </c>
      <c r="K658" s="7" t="str">
        <f aca="false">IF($D658="","",IFERROR(IF(INDEX(Hierarchy!$H$2:$H$1295,MATCH($D658,Hierarchy!$A$2:$A$1295,0))="","",INDEX(Hierarchy!$H$2:$H$1295,MATCH($D658,Hierarchy!$A$2:$A$1295,0))),"NODE NOT FOUND"))</f>
        <v/>
      </c>
      <c r="L658" s="7" t="str">
        <f aca="false">IF($D658="","",IFERROR(IF(INDEX(Hierarchy!$I$2:$I$1295,MATCH($D658,Hierarchy!$A$2:$A$1295,0))="","",INDEX(Hierarchy!$I$2:$I$1295,MATCH($D658,Hierarchy!$A$2:$A$1295,0))),"NODE NOT FOUND"))</f>
        <v/>
      </c>
      <c r="M658" s="17" t="str">
        <f aca="false">IF(B658="Pre-seeded","Pre-seeded",IF(B658="Review 2026-09-16","Added from review",IF(C658="","New",IF(C658=D658,"","Changed"))))</f>
        <v/>
      </c>
      <c r="N658" s="7" t="str">
        <f aca="false">TRIM(SUBSTITUTE(SUBSTITUTE(SUBSTITUTE(" "&amp;TRIM(SUBSTITUTE(SUBSTITUTE(SUBSTITUTE(SUBSTITUTE(SUBSTITUTE(SUBSTITUTE(SUBSTITUTE(SUBSTITUTE(SUBSTITUTE(SUBSTITUTE(SUBSTITUTE(SUBSTITUTE(SUBSTITUTE(SUBSTITUTE(SUBSTITUTE(UPPER(TRIM(A658)),"[MEMBER]",""),"{MEMBER}",""),"[MEMBER}",""),"MEMBER]",""),"(A)",""),"""",""),"“",""),"”",""),".",""),":",""),",",""),"–"," "),"-"," "),"/"," "),"&amp;"," AND "))&amp;" "," THE "," ")," TOTAL "," ")," OPERATIONS "," "))</f>
        <v>GUATEMALA</v>
      </c>
      <c r="O658" s="17" t="str">
        <f aca="false">IF(COUNTIFS($N$2:$N$2000,N658,$D$2:$D$2000,"&lt;&gt;"&amp;D658)&gt;0,"CONFLICT","")</f>
        <v/>
      </c>
      <c r="P658" s="7"/>
    </row>
    <row r="659" customFormat="false" ht="15" hidden="false" customHeight="false" outlineLevel="0" collapsed="false">
      <c r="A659" s="7" t="s">
        <v>563</v>
      </c>
      <c r="B659" s="7" t="s">
        <v>1882</v>
      </c>
      <c r="C659" s="7" t="s">
        <v>563</v>
      </c>
      <c r="D659" s="6" t="s">
        <v>563</v>
      </c>
      <c r="E659" s="6" t="s">
        <v>1880</v>
      </c>
      <c r="F659" s="7" t="str">
        <f aca="false">IF($D659="","",IFERROR(IF(INDEX(Hierarchy!$B$2:$B$1295,MATCH($D659,Hierarchy!$A$2:$A$1295,0))="","",INDEX(Hierarchy!$B$2:$B$1295,MATCH($D659,Hierarchy!$A$2:$A$1295,0))),"NODE NOT FOUND"))</f>
        <v>Country</v>
      </c>
      <c r="G659" s="7" t="str">
        <f aca="false">IF($D659="","",IFERROR(IF(INDEX(Hierarchy!$D$2:$D$1295,MATCH($D659,Hierarchy!$A$2:$A$1295,0))="","",INDEX(Hierarchy!$D$2:$D$1295,MATCH($D659,Hierarchy!$A$2:$A$1295,0))),"NODE NOT FOUND"))</f>
        <v>AMER</v>
      </c>
      <c r="H659" s="7" t="str">
        <f aca="false">IF($D659="","",IFERROR(IF(INDEX(Hierarchy!$E$2:$E$1295,MATCH($D659,Hierarchy!$A$2:$A$1295,0))="","",INDEX(Hierarchy!$E$2:$E$1295,MATCH($D659,Hierarchy!$A$2:$A$1295,0))),"NODE NOT FOUND"))</f>
        <v>Latin America (LATAM)</v>
      </c>
      <c r="I659" s="7" t="str">
        <f aca="false">IF($D659="","",IFERROR(IF(INDEX(Hierarchy!$F$2:$F$1295,MATCH($D659,Hierarchy!$A$2:$A$1295,0))="","",INDEX(Hierarchy!$F$2:$F$1295,MATCH($D659,Hierarchy!$A$2:$A$1295,0))),"NODE NOT FOUND"))</f>
        <v>Guatemala</v>
      </c>
      <c r="J659" s="7" t="str">
        <f aca="false">IF($D659="","",IFERROR(IF(INDEX(Hierarchy!$G$2:$G$1295,MATCH($D659,Hierarchy!$A$2:$A$1295,0))="","",INDEX(Hierarchy!$G$2:$G$1295,MATCH($D659,Hierarchy!$A$2:$A$1295,0))),"NODE NOT FOUND"))</f>
        <v>GTM</v>
      </c>
      <c r="K659" s="7" t="str">
        <f aca="false">IF($D659="","",IFERROR(IF(INDEX(Hierarchy!$H$2:$H$1295,MATCH($D659,Hierarchy!$A$2:$A$1295,0))="","",INDEX(Hierarchy!$H$2:$H$1295,MATCH($D659,Hierarchy!$A$2:$A$1295,0))),"NODE NOT FOUND"))</f>
        <v/>
      </c>
      <c r="L659" s="7" t="str">
        <f aca="false">IF($D659="","",IFERROR(IF(INDEX(Hierarchy!$I$2:$I$1295,MATCH($D659,Hierarchy!$A$2:$A$1295,0))="","",INDEX(Hierarchy!$I$2:$I$1295,MATCH($D659,Hierarchy!$A$2:$A$1295,0))),"NODE NOT FOUND"))</f>
        <v/>
      </c>
      <c r="M659" s="17" t="str">
        <f aca="false">IF(B659="Pre-seeded","Pre-seeded",IF(B659="Review 2026-09-16","Added from review",IF(C659="","New",IF(C659=D659,"","Changed"))))</f>
        <v/>
      </c>
      <c r="N659" s="7" t="str">
        <f aca="false">TRIM(SUBSTITUTE(SUBSTITUTE(SUBSTITUTE(" "&amp;TRIM(SUBSTITUTE(SUBSTITUTE(SUBSTITUTE(SUBSTITUTE(SUBSTITUTE(SUBSTITUTE(SUBSTITUTE(SUBSTITUTE(SUBSTITUTE(SUBSTITUTE(SUBSTITUTE(SUBSTITUTE(SUBSTITUTE(SUBSTITUTE(SUBSTITUTE(UPPER(TRIM(A659)),"[MEMBER]",""),"{MEMBER}",""),"[MEMBER}",""),"MEMBER]",""),"(A)",""),"""",""),"“",""),"”",""),".",""),":",""),",",""),"–"," "),"-"," "),"/"," "),"&amp;"," AND "))&amp;" "," THE "," ")," TOTAL "," ")," OPERATIONS "," "))</f>
        <v>GUATEMALA</v>
      </c>
      <c r="O659" s="17" t="str">
        <f aca="false">IF(COUNTIFS($N$2:$N$2000,N659,$D$2:$D$2000,"&lt;&gt;"&amp;D659)&gt;0,"CONFLICT","")</f>
        <v/>
      </c>
      <c r="P659" s="7"/>
    </row>
    <row r="660" customFormat="false" ht="15" hidden="false" customHeight="false" outlineLevel="0" collapsed="false">
      <c r="A660" s="7" t="s">
        <v>2226</v>
      </c>
      <c r="B660" s="7" t="s">
        <v>1882</v>
      </c>
      <c r="C660" s="7" t="s">
        <v>563</v>
      </c>
      <c r="D660" s="6" t="s">
        <v>563</v>
      </c>
      <c r="E660" s="6" t="s">
        <v>1880</v>
      </c>
      <c r="F660" s="7" t="str">
        <f aca="false">IF($D660="","",IFERROR(IF(INDEX(Hierarchy!$B$2:$B$1295,MATCH($D660,Hierarchy!$A$2:$A$1295,0))="","",INDEX(Hierarchy!$B$2:$B$1295,MATCH($D660,Hierarchy!$A$2:$A$1295,0))),"NODE NOT FOUND"))</f>
        <v>Country</v>
      </c>
      <c r="G660" s="7" t="str">
        <f aca="false">IF($D660="","",IFERROR(IF(INDEX(Hierarchy!$D$2:$D$1295,MATCH($D660,Hierarchy!$A$2:$A$1295,0))="","",INDEX(Hierarchy!$D$2:$D$1295,MATCH($D660,Hierarchy!$A$2:$A$1295,0))),"NODE NOT FOUND"))</f>
        <v>AMER</v>
      </c>
      <c r="H660" s="7" t="str">
        <f aca="false">IF($D660="","",IFERROR(IF(INDEX(Hierarchy!$E$2:$E$1295,MATCH($D660,Hierarchy!$A$2:$A$1295,0))="","",INDEX(Hierarchy!$E$2:$E$1295,MATCH($D660,Hierarchy!$A$2:$A$1295,0))),"NODE NOT FOUND"))</f>
        <v>Latin America (LATAM)</v>
      </c>
      <c r="I660" s="7" t="str">
        <f aca="false">IF($D660="","",IFERROR(IF(INDEX(Hierarchy!$F$2:$F$1295,MATCH($D660,Hierarchy!$A$2:$A$1295,0))="","",INDEX(Hierarchy!$F$2:$F$1295,MATCH($D660,Hierarchy!$A$2:$A$1295,0))),"NODE NOT FOUND"))</f>
        <v>Guatemala</v>
      </c>
      <c r="J660" s="7" t="str">
        <f aca="false">IF($D660="","",IFERROR(IF(INDEX(Hierarchy!$G$2:$G$1295,MATCH($D660,Hierarchy!$A$2:$A$1295,0))="","",INDEX(Hierarchy!$G$2:$G$1295,MATCH($D660,Hierarchy!$A$2:$A$1295,0))),"NODE NOT FOUND"))</f>
        <v>GTM</v>
      </c>
      <c r="K660" s="7" t="str">
        <f aca="false">IF($D660="","",IFERROR(IF(INDEX(Hierarchy!$H$2:$H$1295,MATCH($D660,Hierarchy!$A$2:$A$1295,0))="","",INDEX(Hierarchy!$H$2:$H$1295,MATCH($D660,Hierarchy!$A$2:$A$1295,0))),"NODE NOT FOUND"))</f>
        <v/>
      </c>
      <c r="L660" s="7" t="str">
        <f aca="false">IF($D660="","",IFERROR(IF(INDEX(Hierarchy!$I$2:$I$1295,MATCH($D660,Hierarchy!$A$2:$A$1295,0))="","",INDEX(Hierarchy!$I$2:$I$1295,MATCH($D660,Hierarchy!$A$2:$A$1295,0))),"NODE NOT FOUND"))</f>
        <v/>
      </c>
      <c r="M660" s="17" t="str">
        <f aca="false">IF(B660="Pre-seeded","Pre-seeded",IF(B660="Review 2026-09-16","Added from review",IF(C660="","New",IF(C660=D660,"","Changed"))))</f>
        <v/>
      </c>
      <c r="N660" s="7" t="str">
        <f aca="false">TRIM(SUBSTITUTE(SUBSTITUTE(SUBSTITUTE(" "&amp;TRIM(SUBSTITUTE(SUBSTITUTE(SUBSTITUTE(SUBSTITUTE(SUBSTITUTE(SUBSTITUTE(SUBSTITUTE(SUBSTITUTE(SUBSTITUTE(SUBSTITUTE(SUBSTITUTE(SUBSTITUTE(SUBSTITUTE(SUBSTITUTE(SUBSTITUTE(UPPER(TRIM(A660)),"[MEMBER]",""),"{MEMBER}",""),"[MEMBER}",""),"MEMBER]",""),"(A)",""),"""",""),"“",""),"”",""),".",""),":",""),",",""),"–"," "),"-"," "),"/"," "),"&amp;"," AND "))&amp;" "," THE "," ")," TOTAL "," ")," OPERATIONS "," "))</f>
        <v>GUATEMALA AND GUATEMALA</v>
      </c>
      <c r="O660" s="17" t="str">
        <f aca="false">IF(COUNTIFS($N$2:$N$2000,N660,$D$2:$D$2000,"&lt;&gt;"&amp;D660)&gt;0,"CONFLICT","")</f>
        <v/>
      </c>
      <c r="P660" s="7"/>
    </row>
    <row r="661" customFormat="false" ht="15" hidden="false" customHeight="false" outlineLevel="0" collapsed="false">
      <c r="A661" s="7" t="s">
        <v>517</v>
      </c>
      <c r="B661" s="7" t="s">
        <v>1879</v>
      </c>
      <c r="C661" s="7"/>
      <c r="D661" s="6" t="s">
        <v>517</v>
      </c>
      <c r="E661" s="6" t="s">
        <v>1880</v>
      </c>
      <c r="F661" s="7" t="str">
        <f aca="false">IF($D661="","",IFERROR(IF(INDEX(Hierarchy!$B$2:$B$1295,MATCH($D661,Hierarchy!$A$2:$A$1295,0))="","",INDEX(Hierarchy!$B$2:$B$1295,MATCH($D661,Hierarchy!$A$2:$A$1295,0))),"NODE NOT FOUND"))</f>
        <v>State/Province</v>
      </c>
      <c r="G661" s="7" t="str">
        <f aca="false">IF($D661="","",IFERROR(IF(INDEX(Hierarchy!$D$2:$D$1295,MATCH($D661,Hierarchy!$A$2:$A$1295,0))="","",INDEX(Hierarchy!$D$2:$D$1295,MATCH($D661,Hierarchy!$A$2:$A$1295,0))),"NODE NOT FOUND"))</f>
        <v>AMER</v>
      </c>
      <c r="H661" s="7" t="str">
        <f aca="false">IF($D661="","",IFERROR(IF(INDEX(Hierarchy!$E$2:$E$1295,MATCH($D661,Hierarchy!$A$2:$A$1295,0))="","",INDEX(Hierarchy!$E$2:$E$1295,MATCH($D661,Hierarchy!$A$2:$A$1295,0))),"NODE NOT FOUND"))</f>
        <v>Latin America (LATAM)</v>
      </c>
      <c r="I661" s="7" t="str">
        <f aca="false">IF($D661="","",IFERROR(IF(INDEX(Hierarchy!$F$2:$F$1295,MATCH($D661,Hierarchy!$A$2:$A$1295,0))="","",INDEX(Hierarchy!$F$2:$F$1295,MATCH($D661,Hierarchy!$A$2:$A$1295,0))),"NODE NOT FOUND"))</f>
        <v>Colombia</v>
      </c>
      <c r="J661" s="7" t="str">
        <f aca="false">IF($D661="","",IFERROR(IF(INDEX(Hierarchy!$G$2:$G$1295,MATCH($D661,Hierarchy!$A$2:$A$1295,0))="","",INDEX(Hierarchy!$G$2:$G$1295,MATCH($D661,Hierarchy!$A$2:$A$1295,0))),"NODE NOT FOUND"))</f>
        <v>COL</v>
      </c>
      <c r="K661" s="7" t="str">
        <f aca="false">IF($D661="","",IFERROR(IF(INDEX(Hierarchy!$H$2:$H$1295,MATCH($D661,Hierarchy!$A$2:$A$1295,0))="","",INDEX(Hierarchy!$H$2:$H$1295,MATCH($D661,Hierarchy!$A$2:$A$1295,0))),"NODE NOT FOUND"))</f>
        <v>Guaviare</v>
      </c>
      <c r="L661" s="7" t="str">
        <f aca="false">IF($D661="","",IFERROR(IF(INDEX(Hierarchy!$I$2:$I$1295,MATCH($D661,Hierarchy!$A$2:$A$1295,0))="","",INDEX(Hierarchy!$I$2:$I$1295,MATCH($D661,Hierarchy!$A$2:$A$1295,0))),"NODE NOT FOUND"))</f>
        <v/>
      </c>
      <c r="M661" s="17" t="str">
        <f aca="false">IF(B661="Pre-seeded","Pre-seeded",IF(B661="Review 2026-09-16","Added from review",IF(C661="","New",IF(C661=D661,"","Changed"))))</f>
        <v>Pre-seeded</v>
      </c>
      <c r="N661" s="7" t="str">
        <f aca="false">TRIM(SUBSTITUTE(SUBSTITUTE(SUBSTITUTE(" "&amp;TRIM(SUBSTITUTE(SUBSTITUTE(SUBSTITUTE(SUBSTITUTE(SUBSTITUTE(SUBSTITUTE(SUBSTITUTE(SUBSTITUTE(SUBSTITUTE(SUBSTITUTE(SUBSTITUTE(SUBSTITUTE(SUBSTITUTE(SUBSTITUTE(SUBSTITUTE(UPPER(TRIM(A661)),"[MEMBER]",""),"{MEMBER}",""),"[MEMBER}",""),"MEMBER]",""),"(A)",""),"""",""),"“",""),"”",""),".",""),":",""),",",""),"–"," "),"-"," "),"/"," "),"&amp;"," AND "))&amp;" "," THE "," ")," TOTAL "," ")," OPERATIONS "," "))</f>
        <v>GUAVIARE</v>
      </c>
      <c r="O661" s="17" t="str">
        <f aca="false">IF(COUNTIFS($N$2:$N$2000,N661,$D$2:$D$2000,"&lt;&gt;"&amp;D661)&gt;0,"CONFLICT","")</f>
        <v/>
      </c>
      <c r="P661" s="7"/>
    </row>
    <row r="662" customFormat="false" ht="15" hidden="false" customHeight="false" outlineLevel="0" collapsed="false">
      <c r="A662" s="7" t="s">
        <v>810</v>
      </c>
      <c r="B662" s="7" t="s">
        <v>1879</v>
      </c>
      <c r="C662" s="7"/>
      <c r="D662" s="6" t="s">
        <v>810</v>
      </c>
      <c r="E662" s="6" t="s">
        <v>1880</v>
      </c>
      <c r="F662" s="7" t="str">
        <f aca="false">IF($D662="","",IFERROR(IF(INDEX(Hierarchy!$B$2:$B$1295,MATCH($D662,Hierarchy!$A$2:$A$1295,0))="","",INDEX(Hierarchy!$B$2:$B$1295,MATCH($D662,Hierarchy!$A$2:$A$1295,0))),"NODE NOT FOUND"))</f>
        <v>Country</v>
      </c>
      <c r="G662" s="7" t="str">
        <f aca="false">IF($D662="","",IFERROR(IF(INDEX(Hierarchy!$D$2:$D$1295,MATCH($D662,Hierarchy!$A$2:$A$1295,0))="","",INDEX(Hierarchy!$D$2:$D$1295,MATCH($D662,Hierarchy!$A$2:$A$1295,0))),"NODE NOT FOUND"))</f>
        <v>EMEA</v>
      </c>
      <c r="H662" s="7" t="str">
        <f aca="false">IF($D662="","",IFERROR(IF(INDEX(Hierarchy!$E$2:$E$1295,MATCH($D662,Hierarchy!$A$2:$A$1295,0))="","",INDEX(Hierarchy!$E$2:$E$1295,MATCH($D662,Hierarchy!$A$2:$A$1295,0))),"NODE NOT FOUND"))</f>
        <v>Europe</v>
      </c>
      <c r="I662" s="7" t="str">
        <f aca="false">IF($D662="","",IFERROR(IF(INDEX(Hierarchy!$F$2:$F$1295,MATCH($D662,Hierarchy!$A$2:$A$1295,0))="","",INDEX(Hierarchy!$F$2:$F$1295,MATCH($D662,Hierarchy!$A$2:$A$1295,0))),"NODE NOT FOUND"))</f>
        <v>Guernsey</v>
      </c>
      <c r="J662" s="7" t="str">
        <f aca="false">IF($D662="","",IFERROR(IF(INDEX(Hierarchy!$G$2:$G$1295,MATCH($D662,Hierarchy!$A$2:$A$1295,0))="","",INDEX(Hierarchy!$G$2:$G$1295,MATCH($D662,Hierarchy!$A$2:$A$1295,0))),"NODE NOT FOUND"))</f>
        <v>GGY</v>
      </c>
      <c r="K662" s="7" t="str">
        <f aca="false">IF($D662="","",IFERROR(IF(INDEX(Hierarchy!$H$2:$H$1295,MATCH($D662,Hierarchy!$A$2:$A$1295,0))="","",INDEX(Hierarchy!$H$2:$H$1295,MATCH($D662,Hierarchy!$A$2:$A$1295,0))),"NODE NOT FOUND"))</f>
        <v/>
      </c>
      <c r="L662" s="7" t="str">
        <f aca="false">IF($D662="","",IFERROR(IF(INDEX(Hierarchy!$I$2:$I$1295,MATCH($D662,Hierarchy!$A$2:$A$1295,0))="","",INDEX(Hierarchy!$I$2:$I$1295,MATCH($D662,Hierarchy!$A$2:$A$1295,0))),"NODE NOT FOUND"))</f>
        <v/>
      </c>
      <c r="M662" s="17" t="str">
        <f aca="false">IF(B662="Pre-seeded","Pre-seeded",IF(B662="Review 2026-09-16","Added from review",IF(C662="","New",IF(C662=D662,"","Changed"))))</f>
        <v>Pre-seeded</v>
      </c>
      <c r="N662" s="7" t="str">
        <f aca="false">TRIM(SUBSTITUTE(SUBSTITUTE(SUBSTITUTE(" "&amp;TRIM(SUBSTITUTE(SUBSTITUTE(SUBSTITUTE(SUBSTITUTE(SUBSTITUTE(SUBSTITUTE(SUBSTITUTE(SUBSTITUTE(SUBSTITUTE(SUBSTITUTE(SUBSTITUTE(SUBSTITUTE(SUBSTITUTE(SUBSTITUTE(SUBSTITUTE(UPPER(TRIM(A662)),"[MEMBER]",""),"{MEMBER}",""),"[MEMBER}",""),"MEMBER]",""),"(A)",""),"""",""),"“",""),"”",""),".",""),":",""),",",""),"–"," "),"-"," "),"/"," "),"&amp;"," AND "))&amp;" "," THE "," ")," TOTAL "," ")," OPERATIONS "," "))</f>
        <v>GUERNSEY</v>
      </c>
      <c r="O662" s="17" t="str">
        <f aca="false">IF(COUNTIFS($N$2:$N$2000,N662,$D$2:$D$2000,"&lt;&gt;"&amp;D662)&gt;0,"CONFLICT","")</f>
        <v/>
      </c>
      <c r="P662" s="7"/>
    </row>
    <row r="663" customFormat="false" ht="15" hidden="false" customHeight="false" outlineLevel="0" collapsed="false">
      <c r="A663" s="7" t="s">
        <v>394</v>
      </c>
      <c r="B663" s="7" t="s">
        <v>1879</v>
      </c>
      <c r="C663" s="7"/>
      <c r="D663" s="6" t="s">
        <v>394</v>
      </c>
      <c r="E663" s="6" t="s">
        <v>1880</v>
      </c>
      <c r="F663" s="7" t="str">
        <f aca="false">IF($D663="","",IFERROR(IF(INDEX(Hierarchy!$B$2:$B$1295,MATCH($D663,Hierarchy!$A$2:$A$1295,0))="","",INDEX(Hierarchy!$B$2:$B$1295,MATCH($D663,Hierarchy!$A$2:$A$1295,0))),"NODE NOT FOUND"))</f>
        <v>State/Province</v>
      </c>
      <c r="G663" s="7" t="str">
        <f aca="false">IF($D663="","",IFERROR(IF(INDEX(Hierarchy!$D$2:$D$1295,MATCH($D663,Hierarchy!$A$2:$A$1295,0))="","",INDEX(Hierarchy!$D$2:$D$1295,MATCH($D663,Hierarchy!$A$2:$A$1295,0))),"NODE NOT FOUND"))</f>
        <v>AMER</v>
      </c>
      <c r="H663" s="7" t="str">
        <f aca="false">IF($D663="","",IFERROR(IF(INDEX(Hierarchy!$E$2:$E$1295,MATCH($D663,Hierarchy!$A$2:$A$1295,0))="","",INDEX(Hierarchy!$E$2:$E$1295,MATCH($D663,Hierarchy!$A$2:$A$1295,0))),"NODE NOT FOUND"))</f>
        <v>Latin America (LATAM)</v>
      </c>
      <c r="I663" s="7" t="str">
        <f aca="false">IF($D663="","",IFERROR(IF(INDEX(Hierarchy!$F$2:$F$1295,MATCH($D663,Hierarchy!$A$2:$A$1295,0))="","",INDEX(Hierarchy!$F$2:$F$1295,MATCH($D663,Hierarchy!$A$2:$A$1295,0))),"NODE NOT FOUND"))</f>
        <v>Mexico</v>
      </c>
      <c r="J663" s="7" t="str">
        <f aca="false">IF($D663="","",IFERROR(IF(INDEX(Hierarchy!$G$2:$G$1295,MATCH($D663,Hierarchy!$A$2:$A$1295,0))="","",INDEX(Hierarchy!$G$2:$G$1295,MATCH($D663,Hierarchy!$A$2:$A$1295,0))),"NODE NOT FOUND"))</f>
        <v>MEX</v>
      </c>
      <c r="K663" s="7" t="str">
        <f aca="false">IF($D663="","",IFERROR(IF(INDEX(Hierarchy!$H$2:$H$1295,MATCH($D663,Hierarchy!$A$2:$A$1295,0))="","",INDEX(Hierarchy!$H$2:$H$1295,MATCH($D663,Hierarchy!$A$2:$A$1295,0))),"NODE NOT FOUND"))</f>
        <v>Guerrero</v>
      </c>
      <c r="L663" s="7" t="str">
        <f aca="false">IF($D663="","",IFERROR(IF(INDEX(Hierarchy!$I$2:$I$1295,MATCH($D663,Hierarchy!$A$2:$A$1295,0))="","",INDEX(Hierarchy!$I$2:$I$1295,MATCH($D663,Hierarchy!$A$2:$A$1295,0))),"NODE NOT FOUND"))</f>
        <v/>
      </c>
      <c r="M663" s="17" t="str">
        <f aca="false">IF(B663="Pre-seeded","Pre-seeded",IF(B663="Review 2026-09-16","Added from review",IF(C663="","New",IF(C663=D663,"","Changed"))))</f>
        <v>Pre-seeded</v>
      </c>
      <c r="N663" s="7" t="str">
        <f aca="false">TRIM(SUBSTITUTE(SUBSTITUTE(SUBSTITUTE(" "&amp;TRIM(SUBSTITUTE(SUBSTITUTE(SUBSTITUTE(SUBSTITUTE(SUBSTITUTE(SUBSTITUTE(SUBSTITUTE(SUBSTITUTE(SUBSTITUTE(SUBSTITUTE(SUBSTITUTE(SUBSTITUTE(SUBSTITUTE(SUBSTITUTE(SUBSTITUTE(UPPER(TRIM(A663)),"[MEMBER]",""),"{MEMBER}",""),"[MEMBER}",""),"MEMBER]",""),"(A)",""),"""",""),"“",""),"”",""),".",""),":",""),",",""),"–"," "),"-"," "),"/"," "),"&amp;"," AND "))&amp;" "," THE "," ")," TOTAL "," ")," OPERATIONS "," "))</f>
        <v>GUERRERO</v>
      </c>
      <c r="O663" s="17" t="str">
        <f aca="false">IF(COUNTIFS($N$2:$N$2000,N663,$D$2:$D$2000,"&lt;&gt;"&amp;D663)&gt;0,"CONFLICT","")</f>
        <v/>
      </c>
      <c r="P663" s="7"/>
    </row>
    <row r="664" customFormat="false" ht="15" hidden="false" customHeight="false" outlineLevel="0" collapsed="false">
      <c r="A664" s="7" t="s">
        <v>1232</v>
      </c>
      <c r="B664" s="7" t="s">
        <v>1879</v>
      </c>
      <c r="C664" s="7"/>
      <c r="D664" s="6" t="s">
        <v>1232</v>
      </c>
      <c r="E664" s="6" t="s">
        <v>1880</v>
      </c>
      <c r="F664" s="7" t="str">
        <f aca="false">IF($D664="","",IFERROR(IF(INDEX(Hierarchy!$B$2:$B$1295,MATCH($D664,Hierarchy!$A$2:$A$1295,0))="","",INDEX(Hierarchy!$B$2:$B$1295,MATCH($D664,Hierarchy!$A$2:$A$1295,0))),"NODE NOT FOUND"))</f>
        <v>Country</v>
      </c>
      <c r="G664" s="7" t="str">
        <f aca="false">IF($D664="","",IFERROR(IF(INDEX(Hierarchy!$D$2:$D$1295,MATCH($D664,Hierarchy!$A$2:$A$1295,0))="","",INDEX(Hierarchy!$D$2:$D$1295,MATCH($D664,Hierarchy!$A$2:$A$1295,0))),"NODE NOT FOUND"))</f>
        <v>EMEA</v>
      </c>
      <c r="H664" s="7" t="str">
        <f aca="false">IF($D664="","",IFERROR(IF(INDEX(Hierarchy!$E$2:$E$1295,MATCH($D664,Hierarchy!$A$2:$A$1295,0))="","",INDEX(Hierarchy!$E$2:$E$1295,MATCH($D664,Hierarchy!$A$2:$A$1295,0))),"NODE NOT FOUND"))</f>
        <v>Africa</v>
      </c>
      <c r="I664" s="7" t="str">
        <f aca="false">IF($D664="","",IFERROR(IF(INDEX(Hierarchy!$F$2:$F$1295,MATCH($D664,Hierarchy!$A$2:$A$1295,0))="","",INDEX(Hierarchy!$F$2:$F$1295,MATCH($D664,Hierarchy!$A$2:$A$1295,0))),"NODE NOT FOUND"))</f>
        <v>Guinea</v>
      </c>
      <c r="J664" s="7" t="str">
        <f aca="false">IF($D664="","",IFERROR(IF(INDEX(Hierarchy!$G$2:$G$1295,MATCH($D664,Hierarchy!$A$2:$A$1295,0))="","",INDEX(Hierarchy!$G$2:$G$1295,MATCH($D664,Hierarchy!$A$2:$A$1295,0))),"NODE NOT FOUND"))</f>
        <v>GIN</v>
      </c>
      <c r="K664" s="7" t="str">
        <f aca="false">IF($D664="","",IFERROR(IF(INDEX(Hierarchy!$H$2:$H$1295,MATCH($D664,Hierarchy!$A$2:$A$1295,0))="","",INDEX(Hierarchy!$H$2:$H$1295,MATCH($D664,Hierarchy!$A$2:$A$1295,0))),"NODE NOT FOUND"))</f>
        <v/>
      </c>
      <c r="L664" s="7" t="str">
        <f aca="false">IF($D664="","",IFERROR(IF(INDEX(Hierarchy!$I$2:$I$1295,MATCH($D664,Hierarchy!$A$2:$A$1295,0))="","",INDEX(Hierarchy!$I$2:$I$1295,MATCH($D664,Hierarchy!$A$2:$A$1295,0))),"NODE NOT FOUND"))</f>
        <v/>
      </c>
      <c r="M664" s="17" t="str">
        <f aca="false">IF(B664="Pre-seeded","Pre-seeded",IF(B664="Review 2026-09-16","Added from review",IF(C664="","New",IF(C664=D664,"","Changed"))))</f>
        <v>Pre-seeded</v>
      </c>
      <c r="N664" s="7" t="str">
        <f aca="false">TRIM(SUBSTITUTE(SUBSTITUTE(SUBSTITUTE(" "&amp;TRIM(SUBSTITUTE(SUBSTITUTE(SUBSTITUTE(SUBSTITUTE(SUBSTITUTE(SUBSTITUTE(SUBSTITUTE(SUBSTITUTE(SUBSTITUTE(SUBSTITUTE(SUBSTITUTE(SUBSTITUTE(SUBSTITUTE(SUBSTITUTE(SUBSTITUTE(UPPER(TRIM(A664)),"[MEMBER]",""),"{MEMBER}",""),"[MEMBER}",""),"MEMBER]",""),"(A)",""),"""",""),"“",""),"”",""),".",""),":",""),",",""),"–"," "),"-"," "),"/"," "),"&amp;"," AND "))&amp;" "," THE "," ")," TOTAL "," ")," OPERATIONS "," "))</f>
        <v>GUINEA</v>
      </c>
      <c r="O664" s="17" t="str">
        <f aca="false">IF(COUNTIFS($N$2:$N$2000,N664,$D$2:$D$2000,"&lt;&gt;"&amp;D664)&gt;0,"CONFLICT","")</f>
        <v/>
      </c>
      <c r="P664" s="7"/>
    </row>
    <row r="665" customFormat="false" ht="15" hidden="false" customHeight="false" outlineLevel="0" collapsed="false">
      <c r="A665" s="7" t="s">
        <v>1234</v>
      </c>
      <c r="B665" s="7" t="s">
        <v>1879</v>
      </c>
      <c r="C665" s="7"/>
      <c r="D665" s="6" t="s">
        <v>1234</v>
      </c>
      <c r="E665" s="6" t="s">
        <v>1880</v>
      </c>
      <c r="F665" s="7" t="str">
        <f aca="false">IF($D665="","",IFERROR(IF(INDEX(Hierarchy!$B$2:$B$1295,MATCH($D665,Hierarchy!$A$2:$A$1295,0))="","",INDEX(Hierarchy!$B$2:$B$1295,MATCH($D665,Hierarchy!$A$2:$A$1295,0))),"NODE NOT FOUND"))</f>
        <v>Country</v>
      </c>
      <c r="G665" s="7" t="str">
        <f aca="false">IF($D665="","",IFERROR(IF(INDEX(Hierarchy!$D$2:$D$1295,MATCH($D665,Hierarchy!$A$2:$A$1295,0))="","",INDEX(Hierarchy!$D$2:$D$1295,MATCH($D665,Hierarchy!$A$2:$A$1295,0))),"NODE NOT FOUND"))</f>
        <v>EMEA</v>
      </c>
      <c r="H665" s="7" t="str">
        <f aca="false">IF($D665="","",IFERROR(IF(INDEX(Hierarchy!$E$2:$E$1295,MATCH($D665,Hierarchy!$A$2:$A$1295,0))="","",INDEX(Hierarchy!$E$2:$E$1295,MATCH($D665,Hierarchy!$A$2:$A$1295,0))),"NODE NOT FOUND"))</f>
        <v>Africa</v>
      </c>
      <c r="I665" s="7" t="str">
        <f aca="false">IF($D665="","",IFERROR(IF(INDEX(Hierarchy!$F$2:$F$1295,MATCH($D665,Hierarchy!$A$2:$A$1295,0))="","",INDEX(Hierarchy!$F$2:$F$1295,MATCH($D665,Hierarchy!$A$2:$A$1295,0))),"NODE NOT FOUND"))</f>
        <v>Guinea-Bissau</v>
      </c>
      <c r="J665" s="7" t="str">
        <f aca="false">IF($D665="","",IFERROR(IF(INDEX(Hierarchy!$G$2:$G$1295,MATCH($D665,Hierarchy!$A$2:$A$1295,0))="","",INDEX(Hierarchy!$G$2:$G$1295,MATCH($D665,Hierarchy!$A$2:$A$1295,0))),"NODE NOT FOUND"))</f>
        <v>GNB</v>
      </c>
      <c r="K665" s="7" t="str">
        <f aca="false">IF($D665="","",IFERROR(IF(INDEX(Hierarchy!$H$2:$H$1295,MATCH($D665,Hierarchy!$A$2:$A$1295,0))="","",INDEX(Hierarchy!$H$2:$H$1295,MATCH($D665,Hierarchy!$A$2:$A$1295,0))),"NODE NOT FOUND"))</f>
        <v/>
      </c>
      <c r="L665" s="7" t="str">
        <f aca="false">IF($D665="","",IFERROR(IF(INDEX(Hierarchy!$I$2:$I$1295,MATCH($D665,Hierarchy!$A$2:$A$1295,0))="","",INDEX(Hierarchy!$I$2:$I$1295,MATCH($D665,Hierarchy!$A$2:$A$1295,0))),"NODE NOT FOUND"))</f>
        <v/>
      </c>
      <c r="M665" s="17" t="str">
        <f aca="false">IF(B665="Pre-seeded","Pre-seeded",IF(B665="Review 2026-09-16","Added from review",IF(C665="","New",IF(C665=D665,"","Changed"))))</f>
        <v>Pre-seeded</v>
      </c>
      <c r="N665" s="7" t="str">
        <f aca="false">TRIM(SUBSTITUTE(SUBSTITUTE(SUBSTITUTE(" "&amp;TRIM(SUBSTITUTE(SUBSTITUTE(SUBSTITUTE(SUBSTITUTE(SUBSTITUTE(SUBSTITUTE(SUBSTITUTE(SUBSTITUTE(SUBSTITUTE(SUBSTITUTE(SUBSTITUTE(SUBSTITUTE(SUBSTITUTE(SUBSTITUTE(SUBSTITUTE(UPPER(TRIM(A665)),"[MEMBER]",""),"{MEMBER}",""),"[MEMBER}",""),"MEMBER]",""),"(A)",""),"""",""),"“",""),"”",""),".",""),":",""),",",""),"–"," "),"-"," "),"/"," "),"&amp;"," AND "))&amp;" "," THE "," ")," TOTAL "," ")," OPERATIONS "," "))</f>
        <v>GUINEA BISSAU</v>
      </c>
      <c r="O665" s="17" t="str">
        <f aca="false">IF(COUNTIFS($N$2:$N$2000,N665,$D$2:$D$2000,"&lt;&gt;"&amp;D665)&gt;0,"CONFLICT","")</f>
        <v/>
      </c>
      <c r="P665" s="7"/>
    </row>
    <row r="666" customFormat="false" ht="15" hidden="false" customHeight="false" outlineLevel="0" collapsed="false">
      <c r="A666" s="7" t="s">
        <v>1512</v>
      </c>
      <c r="B666" s="7" t="s">
        <v>1879</v>
      </c>
      <c r="C666" s="7"/>
      <c r="D666" s="6" t="s">
        <v>1512</v>
      </c>
      <c r="E666" s="6" t="s">
        <v>1880</v>
      </c>
      <c r="F666" s="7" t="str">
        <f aca="false">IF($D666="","",IFERROR(IF(INDEX(Hierarchy!$B$2:$B$1295,MATCH($D666,Hierarchy!$A$2:$A$1295,0))="","",INDEX(Hierarchy!$B$2:$B$1295,MATCH($D666,Hierarchy!$A$2:$A$1295,0))),"NODE NOT FOUND"))</f>
        <v>State/Province</v>
      </c>
      <c r="G666" s="7" t="str">
        <f aca="false">IF($D666="","",IFERROR(IF(INDEX(Hierarchy!$D$2:$D$1295,MATCH($D666,Hierarchy!$A$2:$A$1295,0))="","",INDEX(Hierarchy!$D$2:$D$1295,MATCH($D666,Hierarchy!$A$2:$A$1295,0))),"NODE NOT FOUND"))</f>
        <v>APAC</v>
      </c>
      <c r="H666" s="7" t="str">
        <f aca="false">IF($D666="","",IFERROR(IF(INDEX(Hierarchy!$E$2:$E$1295,MATCH($D666,Hierarchy!$A$2:$A$1295,0))="","",INDEX(Hierarchy!$E$2:$E$1295,MATCH($D666,Hierarchy!$A$2:$A$1295,0))),"NODE NOT FOUND"))</f>
        <v>East Asia</v>
      </c>
      <c r="I666" s="7" t="str">
        <f aca="false">IF($D666="","",IFERROR(IF(INDEX(Hierarchy!$F$2:$F$1295,MATCH($D666,Hierarchy!$A$2:$A$1295,0))="","",INDEX(Hierarchy!$F$2:$F$1295,MATCH($D666,Hierarchy!$A$2:$A$1295,0))),"NODE NOT FOUND"))</f>
        <v>China</v>
      </c>
      <c r="J666" s="7" t="str">
        <f aca="false">IF($D666="","",IFERROR(IF(INDEX(Hierarchy!$G$2:$G$1295,MATCH($D666,Hierarchy!$A$2:$A$1295,0))="","",INDEX(Hierarchy!$G$2:$G$1295,MATCH($D666,Hierarchy!$A$2:$A$1295,0))),"NODE NOT FOUND"))</f>
        <v>CHN</v>
      </c>
      <c r="K666" s="7" t="str">
        <f aca="false">IF($D666="","",IFERROR(IF(INDEX(Hierarchy!$H$2:$H$1295,MATCH($D666,Hierarchy!$A$2:$A$1295,0))="","",INDEX(Hierarchy!$H$2:$H$1295,MATCH($D666,Hierarchy!$A$2:$A$1295,0))),"NODE NOT FOUND"))</f>
        <v>Guizhou</v>
      </c>
      <c r="L666" s="7" t="str">
        <f aca="false">IF($D666="","",IFERROR(IF(INDEX(Hierarchy!$I$2:$I$1295,MATCH($D666,Hierarchy!$A$2:$A$1295,0))="","",INDEX(Hierarchy!$I$2:$I$1295,MATCH($D666,Hierarchy!$A$2:$A$1295,0))),"NODE NOT FOUND"))</f>
        <v/>
      </c>
      <c r="M666" s="17" t="str">
        <f aca="false">IF(B666="Pre-seeded","Pre-seeded",IF(B666="Review 2026-09-16","Added from review",IF(C666="","New",IF(C666=D666,"","Changed"))))</f>
        <v>Pre-seeded</v>
      </c>
      <c r="N666" s="7" t="str">
        <f aca="false">TRIM(SUBSTITUTE(SUBSTITUTE(SUBSTITUTE(" "&amp;TRIM(SUBSTITUTE(SUBSTITUTE(SUBSTITUTE(SUBSTITUTE(SUBSTITUTE(SUBSTITUTE(SUBSTITUTE(SUBSTITUTE(SUBSTITUTE(SUBSTITUTE(SUBSTITUTE(SUBSTITUTE(SUBSTITUTE(SUBSTITUTE(SUBSTITUTE(UPPER(TRIM(A666)),"[MEMBER]",""),"{MEMBER}",""),"[MEMBER}",""),"MEMBER]",""),"(A)",""),"""",""),"“",""),"”",""),".",""),":",""),",",""),"–"," "),"-"," "),"/"," "),"&amp;"," AND "))&amp;" "," THE "," ")," TOTAL "," ")," OPERATIONS "," "))</f>
        <v>GUIZHOU</v>
      </c>
      <c r="O666" s="17" t="str">
        <f aca="false">IF(COUNTIFS($N$2:$N$2000,N666,$D$2:$D$2000,"&lt;&gt;"&amp;D666)&gt;0,"CONFLICT","")</f>
        <v/>
      </c>
      <c r="P666" s="7"/>
    </row>
    <row r="667" customFormat="false" ht="15" hidden="false" customHeight="false" outlineLevel="0" collapsed="false">
      <c r="A667" s="7" t="s">
        <v>1337</v>
      </c>
      <c r="B667" s="7" t="s">
        <v>1879</v>
      </c>
      <c r="C667" s="7"/>
      <c r="D667" s="6" t="s">
        <v>1337</v>
      </c>
      <c r="E667" s="6" t="s">
        <v>1880</v>
      </c>
      <c r="F667" s="7" t="str">
        <f aca="false">IF($D667="","",IFERROR(IF(INDEX(Hierarchy!$B$2:$B$1295,MATCH($D667,Hierarchy!$A$2:$A$1295,0))="","",INDEX(Hierarchy!$B$2:$B$1295,MATCH($D667,Hierarchy!$A$2:$A$1295,0))),"NODE NOT FOUND"))</f>
        <v>State/Province</v>
      </c>
      <c r="G667" s="7" t="str">
        <f aca="false">IF($D667="","",IFERROR(IF(INDEX(Hierarchy!$D$2:$D$1295,MATCH($D667,Hierarchy!$A$2:$A$1295,0))="","",INDEX(Hierarchy!$D$2:$D$1295,MATCH($D667,Hierarchy!$A$2:$A$1295,0))),"NODE NOT FOUND"))</f>
        <v>APAC</v>
      </c>
      <c r="H667" s="7" t="str">
        <f aca="false">IF($D667="","",IFERROR(IF(INDEX(Hierarchy!$E$2:$E$1295,MATCH($D667,Hierarchy!$A$2:$A$1295,0))="","",INDEX(Hierarchy!$E$2:$E$1295,MATCH($D667,Hierarchy!$A$2:$A$1295,0))),"NODE NOT FOUND"))</f>
        <v>South Asia</v>
      </c>
      <c r="I667" s="7" t="str">
        <f aca="false">IF($D667="","",IFERROR(IF(INDEX(Hierarchy!$F$2:$F$1295,MATCH($D667,Hierarchy!$A$2:$A$1295,0))="","",INDEX(Hierarchy!$F$2:$F$1295,MATCH($D667,Hierarchy!$A$2:$A$1295,0))),"NODE NOT FOUND"))</f>
        <v>India</v>
      </c>
      <c r="J667" s="7" t="str">
        <f aca="false">IF($D667="","",IFERROR(IF(INDEX(Hierarchy!$G$2:$G$1295,MATCH($D667,Hierarchy!$A$2:$A$1295,0))="","",INDEX(Hierarchy!$G$2:$G$1295,MATCH($D667,Hierarchy!$A$2:$A$1295,0))),"NODE NOT FOUND"))</f>
        <v>IND</v>
      </c>
      <c r="K667" s="7" t="str">
        <f aca="false">IF($D667="","",IFERROR(IF(INDEX(Hierarchy!$H$2:$H$1295,MATCH($D667,Hierarchy!$A$2:$A$1295,0))="","",INDEX(Hierarchy!$H$2:$H$1295,MATCH($D667,Hierarchy!$A$2:$A$1295,0))),"NODE NOT FOUND"))</f>
        <v>Gujarat</v>
      </c>
      <c r="L667" s="7" t="str">
        <f aca="false">IF($D667="","",IFERROR(IF(INDEX(Hierarchy!$I$2:$I$1295,MATCH($D667,Hierarchy!$A$2:$A$1295,0))="","",INDEX(Hierarchy!$I$2:$I$1295,MATCH($D667,Hierarchy!$A$2:$A$1295,0))),"NODE NOT FOUND"))</f>
        <v/>
      </c>
      <c r="M667" s="17" t="str">
        <f aca="false">IF(B667="Pre-seeded","Pre-seeded",IF(B667="Review 2026-09-16","Added from review",IF(C667="","New",IF(C667=D667,"","Changed"))))</f>
        <v>Pre-seeded</v>
      </c>
      <c r="N667" s="7" t="str">
        <f aca="false">TRIM(SUBSTITUTE(SUBSTITUTE(SUBSTITUTE(" "&amp;TRIM(SUBSTITUTE(SUBSTITUTE(SUBSTITUTE(SUBSTITUTE(SUBSTITUTE(SUBSTITUTE(SUBSTITUTE(SUBSTITUTE(SUBSTITUTE(SUBSTITUTE(SUBSTITUTE(SUBSTITUTE(SUBSTITUTE(SUBSTITUTE(SUBSTITUTE(UPPER(TRIM(A667)),"[MEMBER]",""),"{MEMBER}",""),"[MEMBER}",""),"MEMBER]",""),"(A)",""),"""",""),"“",""),"”",""),".",""),":",""),",",""),"–"," "),"-"," "),"/"," "),"&amp;"," AND "))&amp;" "," THE "," ")," TOTAL "," ")," OPERATIONS "," "))</f>
        <v>GUJARAT</v>
      </c>
      <c r="O667" s="17" t="str">
        <f aca="false">IF(COUNTIFS($N$2:$N$2000,N667,$D$2:$D$2000,"&lt;&gt;"&amp;D667)&gt;0,"CONFLICT","")</f>
        <v/>
      </c>
      <c r="P667" s="7"/>
    </row>
    <row r="668" customFormat="false" ht="15" hidden="false" customHeight="false" outlineLevel="0" collapsed="false">
      <c r="A668" s="7" t="s">
        <v>2227</v>
      </c>
      <c r="B668" s="7" t="s">
        <v>1879</v>
      </c>
      <c r="C668" s="7"/>
      <c r="D668" s="6" t="s">
        <v>97</v>
      </c>
      <c r="E668" s="6" t="s">
        <v>1880</v>
      </c>
      <c r="F668" s="7" t="str">
        <f aca="false">IF($D668="","",IFERROR(IF(INDEX(Hierarchy!$B$2:$B$1295,MATCH($D668,Hierarchy!$A$2:$A$1295,0))="","",INDEX(Hierarchy!$B$2:$B$1295,MATCH($D668,Hierarchy!$A$2:$A$1295,0))),"NODE NOT FOUND"))</f>
        <v>Sub-national region</v>
      </c>
      <c r="G668" s="7" t="str">
        <f aca="false">IF($D668="","",IFERROR(IF(INDEX(Hierarchy!$D$2:$D$1295,MATCH($D668,Hierarchy!$A$2:$A$1295,0))="","",INDEX(Hierarchy!$D$2:$D$1295,MATCH($D668,Hierarchy!$A$2:$A$1295,0))),"NODE NOT FOUND"))</f>
        <v>AMER</v>
      </c>
      <c r="H668" s="7" t="str">
        <f aca="false">IF($D668="","",IFERROR(IF(INDEX(Hierarchy!$E$2:$E$1295,MATCH($D668,Hierarchy!$A$2:$A$1295,0))="","",INDEX(Hierarchy!$E$2:$E$1295,MATCH($D668,Hierarchy!$A$2:$A$1295,0))),"NODE NOT FOUND"))</f>
        <v>North America (NORAM)</v>
      </c>
      <c r="I668" s="7" t="str">
        <f aca="false">IF($D668="","",IFERROR(IF(INDEX(Hierarchy!$F$2:$F$1295,MATCH($D668,Hierarchy!$A$2:$A$1295,0))="","",INDEX(Hierarchy!$F$2:$F$1295,MATCH($D668,Hierarchy!$A$2:$A$1295,0))),"NODE NOT FOUND"))</f>
        <v>United States</v>
      </c>
      <c r="J668" s="7" t="str">
        <f aca="false">IF($D668="","",IFERROR(IF(INDEX(Hierarchy!$G$2:$G$1295,MATCH($D668,Hierarchy!$A$2:$A$1295,0))="","",INDEX(Hierarchy!$G$2:$G$1295,MATCH($D668,Hierarchy!$A$2:$A$1295,0))),"NODE NOT FOUND"))</f>
        <v>USA</v>
      </c>
      <c r="K668" s="7" t="str">
        <f aca="false">IF($D668="","",IFERROR(IF(INDEX(Hierarchy!$H$2:$H$1295,MATCH($D668,Hierarchy!$A$2:$A$1295,0))="","",INDEX(Hierarchy!$H$2:$H$1295,MATCH($D668,Hierarchy!$A$2:$A$1295,0))),"NODE NOT FOUND"))</f>
        <v/>
      </c>
      <c r="L668" s="7" t="str">
        <f aca="false">IF($D668="","",IFERROR(IF(INDEX(Hierarchy!$I$2:$I$1295,MATCH($D668,Hierarchy!$A$2:$A$1295,0))="","",INDEX(Hierarchy!$I$2:$I$1295,MATCH($D668,Hierarchy!$A$2:$A$1295,0))),"NODE NOT FOUND"))</f>
        <v/>
      </c>
      <c r="M668" s="17" t="str">
        <f aca="false">IF(B668="Pre-seeded","Pre-seeded",IF(B668="Review 2026-09-16","Added from review",IF(C668="","New",IF(C668=D668,"","Changed"))))</f>
        <v>Pre-seeded</v>
      </c>
      <c r="N668" s="7" t="str">
        <f aca="false">TRIM(SUBSTITUTE(SUBSTITUTE(SUBSTITUTE(" "&amp;TRIM(SUBSTITUTE(SUBSTITUTE(SUBSTITUTE(SUBSTITUTE(SUBSTITUTE(SUBSTITUTE(SUBSTITUTE(SUBSTITUTE(SUBSTITUTE(SUBSTITUTE(SUBSTITUTE(SUBSTITUTE(SUBSTITUTE(SUBSTITUTE(SUBSTITUTE(UPPER(TRIM(A668)),"[MEMBER]",""),"{MEMBER}",""),"[MEMBER}",""),"MEMBER]",""),"(A)",""),"""",""),"“",""),"”",""),".",""),":",""),",",""),"–"," "),"-"," "),"/"," "),"&amp;"," AND "))&amp;" "," THE "," ")," TOTAL "," ")," OPERATIONS "," "))</f>
        <v>GULF COAST</v>
      </c>
      <c r="O668" s="17" t="str">
        <f aca="false">IF(COUNTIFS($N$2:$N$2000,N668,$D$2:$D$2000,"&lt;&gt;"&amp;D668)&gt;0,"CONFLICT","")</f>
        <v/>
      </c>
      <c r="P668" s="7"/>
    </row>
    <row r="669" customFormat="false" ht="15" hidden="false" customHeight="false" outlineLevel="0" collapsed="false">
      <c r="A669" s="7" t="s">
        <v>2228</v>
      </c>
      <c r="B669" s="7" t="s">
        <v>1879</v>
      </c>
      <c r="C669" s="7"/>
      <c r="D669" s="6" t="s">
        <v>1031</v>
      </c>
      <c r="E669" s="6" t="s">
        <v>1880</v>
      </c>
      <c r="F669" s="7" t="str">
        <f aca="false">IF($D669="","",IFERROR(IF(INDEX(Hierarchy!$B$2:$B$1295,MATCH($D669,Hierarchy!$A$2:$A$1295,0))="","",INDEX(Hierarchy!$B$2:$B$1295,MATCH($D669,Hierarchy!$A$2:$A$1295,0))),"NODE NOT FOUND"))</f>
        <v>Sub-region component</v>
      </c>
      <c r="G669" s="7" t="str">
        <f aca="false">IF($D669="","",IFERROR(IF(INDEX(Hierarchy!$D$2:$D$1295,MATCH($D669,Hierarchy!$A$2:$A$1295,0))="","",INDEX(Hierarchy!$D$2:$D$1295,MATCH($D669,Hierarchy!$A$2:$A$1295,0))),"NODE NOT FOUND"))</f>
        <v>EMEA</v>
      </c>
      <c r="H669" s="7" t="str">
        <f aca="false">IF($D669="","",IFERROR(IF(INDEX(Hierarchy!$E$2:$E$1295,MATCH($D669,Hierarchy!$A$2:$A$1295,0))="","",INDEX(Hierarchy!$E$2:$E$1295,MATCH($D669,Hierarchy!$A$2:$A$1295,0))),"NODE NOT FOUND"))</f>
        <v>Middle East</v>
      </c>
      <c r="I669" s="7" t="str">
        <f aca="false">IF($D669="","",IFERROR(IF(INDEX(Hierarchy!$F$2:$F$1295,MATCH($D669,Hierarchy!$A$2:$A$1295,0))="","",INDEX(Hierarchy!$F$2:$F$1295,MATCH($D669,Hierarchy!$A$2:$A$1295,0))),"NODE NOT FOUND"))</f>
        <v/>
      </c>
      <c r="J669" s="7" t="str">
        <f aca="false">IF($D669="","",IFERROR(IF(INDEX(Hierarchy!$G$2:$G$1295,MATCH($D669,Hierarchy!$A$2:$A$1295,0))="","",INDEX(Hierarchy!$G$2:$G$1295,MATCH($D669,Hierarchy!$A$2:$A$1295,0))),"NODE NOT FOUND"))</f>
        <v/>
      </c>
      <c r="K669" s="7" t="str">
        <f aca="false">IF($D669="","",IFERROR(IF(INDEX(Hierarchy!$H$2:$H$1295,MATCH($D669,Hierarchy!$A$2:$A$1295,0))="","",INDEX(Hierarchy!$H$2:$H$1295,MATCH($D669,Hierarchy!$A$2:$A$1295,0))),"NODE NOT FOUND"))</f>
        <v/>
      </c>
      <c r="L669" s="7" t="str">
        <f aca="false">IF($D669="","",IFERROR(IF(INDEX(Hierarchy!$I$2:$I$1295,MATCH($D669,Hierarchy!$A$2:$A$1295,0))="","",INDEX(Hierarchy!$I$2:$I$1295,MATCH($D669,Hierarchy!$A$2:$A$1295,0))),"NODE NOT FOUND"))</f>
        <v/>
      </c>
      <c r="M669" s="17" t="str">
        <f aca="false">IF(B669="Pre-seeded","Pre-seeded",IF(B669="Review 2026-09-16","Added from review",IF(C669="","New",IF(C669=D669,"","Changed"))))</f>
        <v>Pre-seeded</v>
      </c>
      <c r="N669" s="7" t="str">
        <f aca="false">TRIM(SUBSTITUTE(SUBSTITUTE(SUBSTITUTE(" "&amp;TRIM(SUBSTITUTE(SUBSTITUTE(SUBSTITUTE(SUBSTITUTE(SUBSTITUTE(SUBSTITUTE(SUBSTITUTE(SUBSTITUTE(SUBSTITUTE(SUBSTITUTE(SUBSTITUTE(SUBSTITUTE(SUBSTITUTE(SUBSTITUTE(SUBSTITUTE(UPPER(TRIM(A669)),"[MEMBER]",""),"{MEMBER}",""),"[MEMBER}",""),"MEMBER]",""),"(A)",""),"""",""),"“",""),"”",""),".",""),":",""),",",""),"–"," "),"-"," "),"/"," "),"&amp;"," AND "))&amp;" "," THE "," ")," TOTAL "," ")," OPERATIONS "," "))</f>
        <v>GULF COOPERATION COUNCIL</v>
      </c>
      <c r="O669" s="17" t="str">
        <f aca="false">IF(COUNTIFS($N$2:$N$2000,N669,$D$2:$D$2000,"&lt;&gt;"&amp;D669)&gt;0,"CONFLICT","")</f>
        <v/>
      </c>
      <c r="P669" s="7"/>
    </row>
    <row r="670" customFormat="false" ht="15" hidden="false" customHeight="false" outlineLevel="0" collapsed="false">
      <c r="A670" s="7" t="s">
        <v>2229</v>
      </c>
      <c r="B670" s="7" t="s">
        <v>1879</v>
      </c>
      <c r="C670" s="7"/>
      <c r="D670" s="6" t="s">
        <v>1031</v>
      </c>
      <c r="E670" s="6" t="s">
        <v>1880</v>
      </c>
      <c r="F670" s="7" t="str">
        <f aca="false">IF($D670="","",IFERROR(IF(INDEX(Hierarchy!$B$2:$B$1295,MATCH($D670,Hierarchy!$A$2:$A$1295,0))="","",INDEX(Hierarchy!$B$2:$B$1295,MATCH($D670,Hierarchy!$A$2:$A$1295,0))),"NODE NOT FOUND"))</f>
        <v>Sub-region component</v>
      </c>
      <c r="G670" s="7" t="str">
        <f aca="false">IF($D670="","",IFERROR(IF(INDEX(Hierarchy!$D$2:$D$1295,MATCH($D670,Hierarchy!$A$2:$A$1295,0))="","",INDEX(Hierarchy!$D$2:$D$1295,MATCH($D670,Hierarchy!$A$2:$A$1295,0))),"NODE NOT FOUND"))</f>
        <v>EMEA</v>
      </c>
      <c r="H670" s="7" t="str">
        <f aca="false">IF($D670="","",IFERROR(IF(INDEX(Hierarchy!$E$2:$E$1295,MATCH($D670,Hierarchy!$A$2:$A$1295,0))="","",INDEX(Hierarchy!$E$2:$E$1295,MATCH($D670,Hierarchy!$A$2:$A$1295,0))),"NODE NOT FOUND"))</f>
        <v>Middle East</v>
      </c>
      <c r="I670" s="7" t="str">
        <f aca="false">IF($D670="","",IFERROR(IF(INDEX(Hierarchy!$F$2:$F$1295,MATCH($D670,Hierarchy!$A$2:$A$1295,0))="","",INDEX(Hierarchy!$F$2:$F$1295,MATCH($D670,Hierarchy!$A$2:$A$1295,0))),"NODE NOT FOUND"))</f>
        <v/>
      </c>
      <c r="J670" s="7" t="str">
        <f aca="false">IF($D670="","",IFERROR(IF(INDEX(Hierarchy!$G$2:$G$1295,MATCH($D670,Hierarchy!$A$2:$A$1295,0))="","",INDEX(Hierarchy!$G$2:$G$1295,MATCH($D670,Hierarchy!$A$2:$A$1295,0))),"NODE NOT FOUND"))</f>
        <v/>
      </c>
      <c r="K670" s="7" t="str">
        <f aca="false">IF($D670="","",IFERROR(IF(INDEX(Hierarchy!$H$2:$H$1295,MATCH($D670,Hierarchy!$A$2:$A$1295,0))="","",INDEX(Hierarchy!$H$2:$H$1295,MATCH($D670,Hierarchy!$A$2:$A$1295,0))),"NODE NOT FOUND"))</f>
        <v/>
      </c>
      <c r="L670" s="7" t="str">
        <f aca="false">IF($D670="","",IFERROR(IF(INDEX(Hierarchy!$I$2:$I$1295,MATCH($D670,Hierarchy!$A$2:$A$1295,0))="","",INDEX(Hierarchy!$I$2:$I$1295,MATCH($D670,Hierarchy!$A$2:$A$1295,0))),"NODE NOT FOUND"))</f>
        <v/>
      </c>
      <c r="M670" s="17" t="str">
        <f aca="false">IF(B670="Pre-seeded","Pre-seeded",IF(B670="Review 2026-09-16","Added from review",IF(C670="","New",IF(C670=D670,"","Changed"))))</f>
        <v>Pre-seeded</v>
      </c>
      <c r="N670" s="7" t="str">
        <f aca="false">TRIM(SUBSTITUTE(SUBSTITUTE(SUBSTITUTE(" "&amp;TRIM(SUBSTITUTE(SUBSTITUTE(SUBSTITUTE(SUBSTITUTE(SUBSTITUTE(SUBSTITUTE(SUBSTITUTE(SUBSTITUTE(SUBSTITUTE(SUBSTITUTE(SUBSTITUTE(SUBSTITUTE(SUBSTITUTE(SUBSTITUTE(SUBSTITUTE(UPPER(TRIM(A670)),"[MEMBER]",""),"{MEMBER}",""),"[MEMBER}",""),"MEMBER]",""),"(A)",""),"""",""),"“",""),"”",""),".",""),":",""),",",""),"–"," "),"-"," "),"/"," "),"&amp;"," AND "))&amp;" "," THE "," ")," TOTAL "," ")," OPERATIONS "," "))</f>
        <v>GULF COOPERATION COUNCIL (GCC)</v>
      </c>
      <c r="O670" s="17" t="str">
        <f aca="false">IF(COUNTIFS($N$2:$N$2000,N670,$D$2:$D$2000,"&lt;&gt;"&amp;D670)&gt;0,"CONFLICT","")</f>
        <v/>
      </c>
      <c r="P670" s="7"/>
    </row>
    <row r="671" customFormat="false" ht="15" hidden="false" customHeight="false" outlineLevel="0" collapsed="false">
      <c r="A671" s="7" t="s">
        <v>2230</v>
      </c>
      <c r="B671" s="7" t="s">
        <v>1879</v>
      </c>
      <c r="C671" s="7"/>
      <c r="D671" s="6" t="s">
        <v>1031</v>
      </c>
      <c r="E671" s="6" t="s">
        <v>1880</v>
      </c>
      <c r="F671" s="7" t="str">
        <f aca="false">IF($D671="","",IFERROR(IF(INDEX(Hierarchy!$B$2:$B$1295,MATCH($D671,Hierarchy!$A$2:$A$1295,0))="","",INDEX(Hierarchy!$B$2:$B$1295,MATCH($D671,Hierarchy!$A$2:$A$1295,0))),"NODE NOT FOUND"))</f>
        <v>Sub-region component</v>
      </c>
      <c r="G671" s="7" t="str">
        <f aca="false">IF($D671="","",IFERROR(IF(INDEX(Hierarchy!$D$2:$D$1295,MATCH($D671,Hierarchy!$A$2:$A$1295,0))="","",INDEX(Hierarchy!$D$2:$D$1295,MATCH($D671,Hierarchy!$A$2:$A$1295,0))),"NODE NOT FOUND"))</f>
        <v>EMEA</v>
      </c>
      <c r="H671" s="7" t="str">
        <f aca="false">IF($D671="","",IFERROR(IF(INDEX(Hierarchy!$E$2:$E$1295,MATCH($D671,Hierarchy!$A$2:$A$1295,0))="","",INDEX(Hierarchy!$E$2:$E$1295,MATCH($D671,Hierarchy!$A$2:$A$1295,0))),"NODE NOT FOUND"))</f>
        <v>Middle East</v>
      </c>
      <c r="I671" s="7" t="str">
        <f aca="false">IF($D671="","",IFERROR(IF(INDEX(Hierarchy!$F$2:$F$1295,MATCH($D671,Hierarchy!$A$2:$A$1295,0))="","",INDEX(Hierarchy!$F$2:$F$1295,MATCH($D671,Hierarchy!$A$2:$A$1295,0))),"NODE NOT FOUND"))</f>
        <v/>
      </c>
      <c r="J671" s="7" t="str">
        <f aca="false">IF($D671="","",IFERROR(IF(INDEX(Hierarchy!$G$2:$G$1295,MATCH($D671,Hierarchy!$A$2:$A$1295,0))="","",INDEX(Hierarchy!$G$2:$G$1295,MATCH($D671,Hierarchy!$A$2:$A$1295,0))),"NODE NOT FOUND"))</f>
        <v/>
      </c>
      <c r="K671" s="7" t="str">
        <f aca="false">IF($D671="","",IFERROR(IF(INDEX(Hierarchy!$H$2:$H$1295,MATCH($D671,Hierarchy!$A$2:$A$1295,0))="","",INDEX(Hierarchy!$H$2:$H$1295,MATCH($D671,Hierarchy!$A$2:$A$1295,0))),"NODE NOT FOUND"))</f>
        <v/>
      </c>
      <c r="L671" s="7" t="str">
        <f aca="false">IF($D671="","",IFERROR(IF(INDEX(Hierarchy!$I$2:$I$1295,MATCH($D671,Hierarchy!$A$2:$A$1295,0))="","",INDEX(Hierarchy!$I$2:$I$1295,MATCH($D671,Hierarchy!$A$2:$A$1295,0))),"NODE NOT FOUND"))</f>
        <v/>
      </c>
      <c r="M671" s="17" t="str">
        <f aca="false">IF(B671="Pre-seeded","Pre-seeded",IF(B671="Review 2026-09-16","Added from review",IF(C671="","New",IF(C671=D671,"","Changed"))))</f>
        <v>Pre-seeded</v>
      </c>
      <c r="N671" s="7" t="str">
        <f aca="false">TRIM(SUBSTITUTE(SUBSTITUTE(SUBSTITUTE(" "&amp;TRIM(SUBSTITUTE(SUBSTITUTE(SUBSTITUTE(SUBSTITUTE(SUBSTITUTE(SUBSTITUTE(SUBSTITUTE(SUBSTITUTE(SUBSTITUTE(SUBSTITUTE(SUBSTITUTE(SUBSTITUTE(SUBSTITUTE(SUBSTITUTE(SUBSTITUTE(UPPER(TRIM(A671)),"[MEMBER]",""),"{MEMBER}",""),"[MEMBER}",""),"MEMBER]",""),"(A)",""),"""",""),"“",""),"”",""),".",""),":",""),",",""),"–"," "),"-"," "),"/"," "),"&amp;"," AND "))&amp;" "," THE "," ")," TOTAL "," ")," OPERATIONS "," "))</f>
        <v>GULF REGION</v>
      </c>
      <c r="O671" s="17" t="str">
        <f aca="false">IF(COUNTIFS($N$2:$N$2000,N671,$D$2:$D$2000,"&lt;&gt;"&amp;D671)&gt;0,"CONFLICT","")</f>
        <v/>
      </c>
      <c r="P671" s="7"/>
    </row>
    <row r="672" customFormat="false" ht="15" hidden="false" customHeight="false" outlineLevel="0" collapsed="false">
      <c r="A672" s="7" t="s">
        <v>2231</v>
      </c>
      <c r="B672" s="7" t="s">
        <v>1879</v>
      </c>
      <c r="C672" s="7"/>
      <c r="D672" s="6" t="s">
        <v>1031</v>
      </c>
      <c r="E672" s="6" t="s">
        <v>1880</v>
      </c>
      <c r="F672" s="7" t="str">
        <f aca="false">IF($D672="","",IFERROR(IF(INDEX(Hierarchy!$B$2:$B$1295,MATCH($D672,Hierarchy!$A$2:$A$1295,0))="","",INDEX(Hierarchy!$B$2:$B$1295,MATCH($D672,Hierarchy!$A$2:$A$1295,0))),"NODE NOT FOUND"))</f>
        <v>Sub-region component</v>
      </c>
      <c r="G672" s="7" t="str">
        <f aca="false">IF($D672="","",IFERROR(IF(INDEX(Hierarchy!$D$2:$D$1295,MATCH($D672,Hierarchy!$A$2:$A$1295,0))="","",INDEX(Hierarchy!$D$2:$D$1295,MATCH($D672,Hierarchy!$A$2:$A$1295,0))),"NODE NOT FOUND"))</f>
        <v>EMEA</v>
      </c>
      <c r="H672" s="7" t="str">
        <f aca="false">IF($D672="","",IFERROR(IF(INDEX(Hierarchy!$E$2:$E$1295,MATCH($D672,Hierarchy!$A$2:$A$1295,0))="","",INDEX(Hierarchy!$E$2:$E$1295,MATCH($D672,Hierarchy!$A$2:$A$1295,0))),"NODE NOT FOUND"))</f>
        <v>Middle East</v>
      </c>
      <c r="I672" s="7" t="str">
        <f aca="false">IF($D672="","",IFERROR(IF(INDEX(Hierarchy!$F$2:$F$1295,MATCH($D672,Hierarchy!$A$2:$A$1295,0))="","",INDEX(Hierarchy!$F$2:$F$1295,MATCH($D672,Hierarchy!$A$2:$A$1295,0))),"NODE NOT FOUND"))</f>
        <v/>
      </c>
      <c r="J672" s="7" t="str">
        <f aca="false">IF($D672="","",IFERROR(IF(INDEX(Hierarchy!$G$2:$G$1295,MATCH($D672,Hierarchy!$A$2:$A$1295,0))="","",INDEX(Hierarchy!$G$2:$G$1295,MATCH($D672,Hierarchy!$A$2:$A$1295,0))),"NODE NOT FOUND"))</f>
        <v/>
      </c>
      <c r="K672" s="7" t="str">
        <f aca="false">IF($D672="","",IFERROR(IF(INDEX(Hierarchy!$H$2:$H$1295,MATCH($D672,Hierarchy!$A$2:$A$1295,0))="","",INDEX(Hierarchy!$H$2:$H$1295,MATCH($D672,Hierarchy!$A$2:$A$1295,0))),"NODE NOT FOUND"))</f>
        <v/>
      </c>
      <c r="L672" s="7" t="str">
        <f aca="false">IF($D672="","",IFERROR(IF(INDEX(Hierarchy!$I$2:$I$1295,MATCH($D672,Hierarchy!$A$2:$A$1295,0))="","",INDEX(Hierarchy!$I$2:$I$1295,MATCH($D672,Hierarchy!$A$2:$A$1295,0))),"NODE NOT FOUND"))</f>
        <v/>
      </c>
      <c r="M672" s="17" t="str">
        <f aca="false">IF(B672="Pre-seeded","Pre-seeded",IF(B672="Review 2026-09-16","Added from review",IF(C672="","New",IF(C672=D672,"","Changed"))))</f>
        <v>Pre-seeded</v>
      </c>
      <c r="N672" s="7" t="str">
        <f aca="false">TRIM(SUBSTITUTE(SUBSTITUTE(SUBSTITUTE(" "&amp;TRIM(SUBSTITUTE(SUBSTITUTE(SUBSTITUTE(SUBSTITUTE(SUBSTITUTE(SUBSTITUTE(SUBSTITUTE(SUBSTITUTE(SUBSTITUTE(SUBSTITUTE(SUBSTITUTE(SUBSTITUTE(SUBSTITUTE(SUBSTITUTE(SUBSTITUTE(UPPER(TRIM(A672)),"[MEMBER]",""),"{MEMBER}",""),"[MEMBER}",""),"MEMBER]",""),"(A)",""),"""",""),"“",""),"”",""),".",""),":",""),",",""),"–"," "),"-"," "),"/"," "),"&amp;"," AND "))&amp;" "," THE "," ")," TOTAL "," ")," OPERATIONS "," "))</f>
        <v>GULF STATES</v>
      </c>
      <c r="O672" s="17" t="str">
        <f aca="false">IF(COUNTIFS($N$2:$N$2000,N672,$D$2:$D$2000,"&lt;&gt;"&amp;D672)&gt;0,"CONFLICT","")</f>
        <v/>
      </c>
      <c r="P672" s="7"/>
    </row>
    <row r="673" customFormat="false" ht="15" hidden="false" customHeight="false" outlineLevel="0" collapsed="false">
      <c r="A673" s="7" t="s">
        <v>1448</v>
      </c>
      <c r="B673" s="7" t="s">
        <v>1879</v>
      </c>
      <c r="C673" s="7"/>
      <c r="D673" s="6" t="s">
        <v>1448</v>
      </c>
      <c r="E673" s="6" t="s">
        <v>1880</v>
      </c>
      <c r="F673" s="7" t="str">
        <f aca="false">IF($D673="","",IFERROR(IF(INDEX(Hierarchy!$B$2:$B$1295,MATCH($D673,Hierarchy!$A$2:$A$1295,0))="","",INDEX(Hierarchy!$B$2:$B$1295,MATCH($D673,Hierarchy!$A$2:$A$1295,0))),"NODE NOT FOUND"))</f>
        <v>State/Province</v>
      </c>
      <c r="G673" s="7" t="str">
        <f aca="false">IF($D673="","",IFERROR(IF(INDEX(Hierarchy!$D$2:$D$1295,MATCH($D673,Hierarchy!$A$2:$A$1295,0))="","",INDEX(Hierarchy!$D$2:$D$1295,MATCH($D673,Hierarchy!$A$2:$A$1295,0))),"NODE NOT FOUND"))</f>
        <v>APAC</v>
      </c>
      <c r="H673" s="7" t="str">
        <f aca="false">IF($D673="","",IFERROR(IF(INDEX(Hierarchy!$E$2:$E$1295,MATCH($D673,Hierarchy!$A$2:$A$1295,0))="","",INDEX(Hierarchy!$E$2:$E$1295,MATCH($D673,Hierarchy!$A$2:$A$1295,0))),"NODE NOT FOUND"))</f>
        <v>East Asia</v>
      </c>
      <c r="I673" s="7" t="str">
        <f aca="false">IF($D673="","",IFERROR(IF(INDEX(Hierarchy!$F$2:$F$1295,MATCH($D673,Hierarchy!$A$2:$A$1295,0))="","",INDEX(Hierarchy!$F$2:$F$1295,MATCH($D673,Hierarchy!$A$2:$A$1295,0))),"NODE NOT FOUND"))</f>
        <v>Japan</v>
      </c>
      <c r="J673" s="7" t="str">
        <f aca="false">IF($D673="","",IFERROR(IF(INDEX(Hierarchy!$G$2:$G$1295,MATCH($D673,Hierarchy!$A$2:$A$1295,0))="","",INDEX(Hierarchy!$G$2:$G$1295,MATCH($D673,Hierarchy!$A$2:$A$1295,0))),"NODE NOT FOUND"))</f>
        <v>JPN</v>
      </c>
      <c r="K673" s="7" t="str">
        <f aca="false">IF($D673="","",IFERROR(IF(INDEX(Hierarchy!$H$2:$H$1295,MATCH($D673,Hierarchy!$A$2:$A$1295,0))="","",INDEX(Hierarchy!$H$2:$H$1295,MATCH($D673,Hierarchy!$A$2:$A$1295,0))),"NODE NOT FOUND"))</f>
        <v>Gunma</v>
      </c>
      <c r="L673" s="7" t="str">
        <f aca="false">IF($D673="","",IFERROR(IF(INDEX(Hierarchy!$I$2:$I$1295,MATCH($D673,Hierarchy!$A$2:$A$1295,0))="","",INDEX(Hierarchy!$I$2:$I$1295,MATCH($D673,Hierarchy!$A$2:$A$1295,0))),"NODE NOT FOUND"))</f>
        <v/>
      </c>
      <c r="M673" s="17" t="str">
        <f aca="false">IF(B673="Pre-seeded","Pre-seeded",IF(B673="Review 2026-09-16","Added from review",IF(C673="","New",IF(C673=D673,"","Changed"))))</f>
        <v>Pre-seeded</v>
      </c>
      <c r="N673" s="7" t="str">
        <f aca="false">TRIM(SUBSTITUTE(SUBSTITUTE(SUBSTITUTE(" "&amp;TRIM(SUBSTITUTE(SUBSTITUTE(SUBSTITUTE(SUBSTITUTE(SUBSTITUTE(SUBSTITUTE(SUBSTITUTE(SUBSTITUTE(SUBSTITUTE(SUBSTITUTE(SUBSTITUTE(SUBSTITUTE(SUBSTITUTE(SUBSTITUTE(SUBSTITUTE(UPPER(TRIM(A673)),"[MEMBER]",""),"{MEMBER}",""),"[MEMBER}",""),"MEMBER]",""),"(A)",""),"""",""),"“",""),"”",""),".",""),":",""),",",""),"–"," "),"-"," "),"/"," "),"&amp;"," AND "))&amp;" "," THE "," ")," TOTAL "," ")," OPERATIONS "," "))</f>
        <v>GUNMA</v>
      </c>
      <c r="O673" s="17" t="str">
        <f aca="false">IF(COUNTIFS($N$2:$N$2000,N673,$D$2:$D$2000,"&lt;&gt;"&amp;D673)&gt;0,"CONFLICT","")</f>
        <v/>
      </c>
      <c r="P673" s="7"/>
    </row>
    <row r="674" customFormat="false" ht="15" hidden="false" customHeight="false" outlineLevel="0" collapsed="false">
      <c r="A674" s="7" t="s">
        <v>2232</v>
      </c>
      <c r="B674" s="7" t="s">
        <v>1879</v>
      </c>
      <c r="C674" s="7"/>
      <c r="D674" s="6" t="s">
        <v>1340</v>
      </c>
      <c r="E674" s="6" t="s">
        <v>1880</v>
      </c>
      <c r="F674" s="7" t="str">
        <f aca="false">IF($D674="","",IFERROR(IF(INDEX(Hierarchy!$B$2:$B$1295,MATCH($D674,Hierarchy!$A$2:$A$1295,0))="","",INDEX(Hierarchy!$B$2:$B$1295,MATCH($D674,Hierarchy!$A$2:$A$1295,0))),"NODE NOT FOUND"))</f>
        <v>City</v>
      </c>
      <c r="G674" s="7" t="str">
        <f aca="false">IF($D674="","",IFERROR(IF(INDEX(Hierarchy!$D$2:$D$1295,MATCH($D674,Hierarchy!$A$2:$A$1295,0))="","",INDEX(Hierarchy!$D$2:$D$1295,MATCH($D674,Hierarchy!$A$2:$A$1295,0))),"NODE NOT FOUND"))</f>
        <v>APAC</v>
      </c>
      <c r="H674" s="7" t="str">
        <f aca="false">IF($D674="","",IFERROR(IF(INDEX(Hierarchy!$E$2:$E$1295,MATCH($D674,Hierarchy!$A$2:$A$1295,0))="","",INDEX(Hierarchy!$E$2:$E$1295,MATCH($D674,Hierarchy!$A$2:$A$1295,0))),"NODE NOT FOUND"))</f>
        <v>South Asia</v>
      </c>
      <c r="I674" s="7" t="str">
        <f aca="false">IF($D674="","",IFERROR(IF(INDEX(Hierarchy!$F$2:$F$1295,MATCH($D674,Hierarchy!$A$2:$A$1295,0))="","",INDEX(Hierarchy!$F$2:$F$1295,MATCH($D674,Hierarchy!$A$2:$A$1295,0))),"NODE NOT FOUND"))</f>
        <v>India</v>
      </c>
      <c r="J674" s="7" t="str">
        <f aca="false">IF($D674="","",IFERROR(IF(INDEX(Hierarchy!$G$2:$G$1295,MATCH($D674,Hierarchy!$A$2:$A$1295,0))="","",INDEX(Hierarchy!$G$2:$G$1295,MATCH($D674,Hierarchy!$A$2:$A$1295,0))),"NODE NOT FOUND"))</f>
        <v>IND</v>
      </c>
      <c r="K674" s="7" t="str">
        <f aca="false">IF($D674="","",IFERROR(IF(INDEX(Hierarchy!$H$2:$H$1295,MATCH($D674,Hierarchy!$A$2:$A$1295,0))="","",INDEX(Hierarchy!$H$2:$H$1295,MATCH($D674,Hierarchy!$A$2:$A$1295,0))),"NODE NOT FOUND"))</f>
        <v>Haryana</v>
      </c>
      <c r="L674" s="7" t="str">
        <f aca="false">IF($D674="","",IFERROR(IF(INDEX(Hierarchy!$I$2:$I$1295,MATCH($D674,Hierarchy!$A$2:$A$1295,0))="","",INDEX(Hierarchy!$I$2:$I$1295,MATCH($D674,Hierarchy!$A$2:$A$1295,0))),"NODE NOT FOUND"))</f>
        <v>Gurugram</v>
      </c>
      <c r="M674" s="17" t="str">
        <f aca="false">IF(B674="Pre-seeded","Pre-seeded",IF(B674="Review 2026-09-16","Added from review",IF(C674="","New",IF(C674=D674,"","Changed"))))</f>
        <v>Pre-seeded</v>
      </c>
      <c r="N674" s="7" t="str">
        <f aca="false">TRIM(SUBSTITUTE(SUBSTITUTE(SUBSTITUTE(" "&amp;TRIM(SUBSTITUTE(SUBSTITUTE(SUBSTITUTE(SUBSTITUTE(SUBSTITUTE(SUBSTITUTE(SUBSTITUTE(SUBSTITUTE(SUBSTITUTE(SUBSTITUTE(SUBSTITUTE(SUBSTITUTE(SUBSTITUTE(SUBSTITUTE(SUBSTITUTE(UPPER(TRIM(A674)),"[MEMBER]",""),"{MEMBER}",""),"[MEMBER}",""),"MEMBER]",""),"(A)",""),"""",""),"“",""),"”",""),".",""),":",""),",",""),"–"," "),"-"," "),"/"," "),"&amp;"," AND "))&amp;" "," THE "," ")," TOTAL "," ")," OPERATIONS "," "))</f>
        <v>GURGAON</v>
      </c>
      <c r="O674" s="17" t="str">
        <f aca="false">IF(COUNTIFS($N$2:$N$2000,N674,$D$2:$D$2000,"&lt;&gt;"&amp;D674)&gt;0,"CONFLICT","")</f>
        <v/>
      </c>
      <c r="P674" s="7"/>
    </row>
    <row r="675" customFormat="false" ht="15" hidden="false" customHeight="false" outlineLevel="0" collapsed="false">
      <c r="A675" s="7" t="s">
        <v>565</v>
      </c>
      <c r="B675" s="7" t="s">
        <v>1882</v>
      </c>
      <c r="C675" s="7" t="s">
        <v>565</v>
      </c>
      <c r="D675" s="6" t="s">
        <v>565</v>
      </c>
      <c r="E675" s="6" t="s">
        <v>1880</v>
      </c>
      <c r="F675" s="7" t="str">
        <f aca="false">IF($D675="","",IFERROR(IF(INDEX(Hierarchy!$B$2:$B$1295,MATCH($D675,Hierarchy!$A$2:$A$1295,0))="","",INDEX(Hierarchy!$B$2:$B$1295,MATCH($D675,Hierarchy!$A$2:$A$1295,0))),"NODE NOT FOUND"))</f>
        <v>Country</v>
      </c>
      <c r="G675" s="7" t="str">
        <f aca="false">IF($D675="","",IFERROR(IF(INDEX(Hierarchy!$D$2:$D$1295,MATCH($D675,Hierarchy!$A$2:$A$1295,0))="","",INDEX(Hierarchy!$D$2:$D$1295,MATCH($D675,Hierarchy!$A$2:$A$1295,0))),"NODE NOT FOUND"))</f>
        <v>AMER</v>
      </c>
      <c r="H675" s="7" t="str">
        <f aca="false">IF($D675="","",IFERROR(IF(INDEX(Hierarchy!$E$2:$E$1295,MATCH($D675,Hierarchy!$A$2:$A$1295,0))="","",INDEX(Hierarchy!$E$2:$E$1295,MATCH($D675,Hierarchy!$A$2:$A$1295,0))),"NODE NOT FOUND"))</f>
        <v>Latin America (LATAM)</v>
      </c>
      <c r="I675" s="7" t="str">
        <f aca="false">IF($D675="","",IFERROR(IF(INDEX(Hierarchy!$F$2:$F$1295,MATCH($D675,Hierarchy!$A$2:$A$1295,0))="","",INDEX(Hierarchy!$F$2:$F$1295,MATCH($D675,Hierarchy!$A$2:$A$1295,0))),"NODE NOT FOUND"))</f>
        <v>Guyana</v>
      </c>
      <c r="J675" s="7" t="str">
        <f aca="false">IF($D675="","",IFERROR(IF(INDEX(Hierarchy!$G$2:$G$1295,MATCH($D675,Hierarchy!$A$2:$A$1295,0))="","",INDEX(Hierarchy!$G$2:$G$1295,MATCH($D675,Hierarchy!$A$2:$A$1295,0))),"NODE NOT FOUND"))</f>
        <v>GUY</v>
      </c>
      <c r="K675" s="7" t="str">
        <f aca="false">IF($D675="","",IFERROR(IF(INDEX(Hierarchy!$H$2:$H$1295,MATCH($D675,Hierarchy!$A$2:$A$1295,0))="","",INDEX(Hierarchy!$H$2:$H$1295,MATCH($D675,Hierarchy!$A$2:$A$1295,0))),"NODE NOT FOUND"))</f>
        <v/>
      </c>
      <c r="L675" s="7" t="str">
        <f aca="false">IF($D675="","",IFERROR(IF(INDEX(Hierarchy!$I$2:$I$1295,MATCH($D675,Hierarchy!$A$2:$A$1295,0))="","",INDEX(Hierarchy!$I$2:$I$1295,MATCH($D675,Hierarchy!$A$2:$A$1295,0))),"NODE NOT FOUND"))</f>
        <v/>
      </c>
      <c r="M675" s="17" t="str">
        <f aca="false">IF(B675="Pre-seeded","Pre-seeded",IF(B675="Review 2026-09-16","Added from review",IF(C675="","New",IF(C675=D675,"","Changed"))))</f>
        <v/>
      </c>
      <c r="N675" s="7" t="str">
        <f aca="false">TRIM(SUBSTITUTE(SUBSTITUTE(SUBSTITUTE(" "&amp;TRIM(SUBSTITUTE(SUBSTITUTE(SUBSTITUTE(SUBSTITUTE(SUBSTITUTE(SUBSTITUTE(SUBSTITUTE(SUBSTITUTE(SUBSTITUTE(SUBSTITUTE(SUBSTITUTE(SUBSTITUTE(SUBSTITUTE(SUBSTITUTE(SUBSTITUTE(UPPER(TRIM(A675)),"[MEMBER]",""),"{MEMBER}",""),"[MEMBER}",""),"MEMBER]",""),"(A)",""),"""",""),"“",""),"”",""),".",""),":",""),",",""),"–"," "),"-"," "),"/"," "),"&amp;"," AND "))&amp;" "," THE "," ")," TOTAL "," ")," OPERATIONS "," "))</f>
        <v>GUYANA</v>
      </c>
      <c r="O675" s="17" t="str">
        <f aca="false">IF(COUNTIFS($N$2:$N$2000,N675,$D$2:$D$2000,"&lt;&gt;"&amp;D675)&gt;0,"CONFLICT","")</f>
        <v/>
      </c>
      <c r="P675" s="7"/>
    </row>
    <row r="676" customFormat="false" ht="15" hidden="false" customHeight="false" outlineLevel="0" collapsed="false">
      <c r="A676" s="7" t="s">
        <v>1567</v>
      </c>
      <c r="B676" s="7" t="s">
        <v>1879</v>
      </c>
      <c r="C676" s="7"/>
      <c r="D676" s="6" t="s">
        <v>1567</v>
      </c>
      <c r="E676" s="6" t="s">
        <v>1880</v>
      </c>
      <c r="F676" s="7" t="str">
        <f aca="false">IF($D676="","",IFERROR(IF(INDEX(Hierarchy!$B$2:$B$1295,MATCH($D676,Hierarchy!$A$2:$A$1295,0))="","",INDEX(Hierarchy!$B$2:$B$1295,MATCH($D676,Hierarchy!$A$2:$A$1295,0))),"NODE NOT FOUND"))</f>
        <v>State/Province</v>
      </c>
      <c r="G676" s="7" t="str">
        <f aca="false">IF($D676="","",IFERROR(IF(INDEX(Hierarchy!$D$2:$D$1295,MATCH($D676,Hierarchy!$A$2:$A$1295,0))="","",INDEX(Hierarchy!$D$2:$D$1295,MATCH($D676,Hierarchy!$A$2:$A$1295,0))),"NODE NOT FOUND"))</f>
        <v>APAC</v>
      </c>
      <c r="H676" s="7" t="str">
        <f aca="false">IF($D676="","",IFERROR(IF(INDEX(Hierarchy!$E$2:$E$1295,MATCH($D676,Hierarchy!$A$2:$A$1295,0))="","",INDEX(Hierarchy!$E$2:$E$1295,MATCH($D676,Hierarchy!$A$2:$A$1295,0))),"NODE NOT FOUND"))</f>
        <v>East Asia</v>
      </c>
      <c r="I676" s="7" t="str">
        <f aca="false">IF($D676="","",IFERROR(IF(INDEX(Hierarchy!$F$2:$F$1295,MATCH($D676,Hierarchy!$A$2:$A$1295,0))="","",INDEX(Hierarchy!$F$2:$F$1295,MATCH($D676,Hierarchy!$A$2:$A$1295,0))),"NODE NOT FOUND"))</f>
        <v>South Korea</v>
      </c>
      <c r="J676" s="7" t="str">
        <f aca="false">IF($D676="","",IFERROR(IF(INDEX(Hierarchy!$G$2:$G$1295,MATCH($D676,Hierarchy!$A$2:$A$1295,0))="","",INDEX(Hierarchy!$G$2:$G$1295,MATCH($D676,Hierarchy!$A$2:$A$1295,0))),"NODE NOT FOUND"))</f>
        <v>KOR</v>
      </c>
      <c r="K676" s="7" t="str">
        <f aca="false">IF($D676="","",IFERROR(IF(INDEX(Hierarchy!$H$2:$H$1295,MATCH($D676,Hierarchy!$A$2:$A$1295,0))="","",INDEX(Hierarchy!$H$2:$H$1295,MATCH($D676,Hierarchy!$A$2:$A$1295,0))),"NODE NOT FOUND"))</f>
        <v>Gwangju</v>
      </c>
      <c r="L676" s="7" t="str">
        <f aca="false">IF($D676="","",IFERROR(IF(INDEX(Hierarchy!$I$2:$I$1295,MATCH($D676,Hierarchy!$A$2:$A$1295,0))="","",INDEX(Hierarchy!$I$2:$I$1295,MATCH($D676,Hierarchy!$A$2:$A$1295,0))),"NODE NOT FOUND"))</f>
        <v/>
      </c>
      <c r="M676" s="17" t="str">
        <f aca="false">IF(B676="Pre-seeded","Pre-seeded",IF(B676="Review 2026-09-16","Added from review",IF(C676="","New",IF(C676=D676,"","Changed"))))</f>
        <v>Pre-seeded</v>
      </c>
      <c r="N676" s="7" t="str">
        <f aca="false">TRIM(SUBSTITUTE(SUBSTITUTE(SUBSTITUTE(" "&amp;TRIM(SUBSTITUTE(SUBSTITUTE(SUBSTITUTE(SUBSTITUTE(SUBSTITUTE(SUBSTITUTE(SUBSTITUTE(SUBSTITUTE(SUBSTITUTE(SUBSTITUTE(SUBSTITUTE(SUBSTITUTE(SUBSTITUTE(SUBSTITUTE(SUBSTITUTE(UPPER(TRIM(A676)),"[MEMBER]",""),"{MEMBER}",""),"[MEMBER}",""),"MEMBER]",""),"(A)",""),"""",""),"“",""),"”",""),".",""),":",""),",",""),"–"," "),"-"," "),"/"," "),"&amp;"," AND "))&amp;" "," THE "," ")," TOTAL "," ")," OPERATIONS "," "))</f>
        <v>GWANGJU</v>
      </c>
      <c r="O676" s="17" t="str">
        <f aca="false">IF(COUNTIFS($N$2:$N$2000,N676,$D$2:$D$2000,"&lt;&gt;"&amp;D676)&gt;0,"CONFLICT","")</f>
        <v/>
      </c>
      <c r="P676" s="7"/>
    </row>
    <row r="677" customFormat="false" ht="15" hidden="false" customHeight="false" outlineLevel="0" collapsed="false">
      <c r="A677" s="7" t="s">
        <v>1568</v>
      </c>
      <c r="B677" s="7" t="s">
        <v>1879</v>
      </c>
      <c r="C677" s="7"/>
      <c r="D677" s="6" t="s">
        <v>1568</v>
      </c>
      <c r="E677" s="6" t="s">
        <v>1880</v>
      </c>
      <c r="F677" s="7" t="str">
        <f aca="false">IF($D677="","",IFERROR(IF(INDEX(Hierarchy!$B$2:$B$1295,MATCH($D677,Hierarchy!$A$2:$A$1295,0))="","",INDEX(Hierarchy!$B$2:$B$1295,MATCH($D677,Hierarchy!$A$2:$A$1295,0))),"NODE NOT FOUND"))</f>
        <v>State/Province</v>
      </c>
      <c r="G677" s="7" t="str">
        <f aca="false">IF($D677="","",IFERROR(IF(INDEX(Hierarchy!$D$2:$D$1295,MATCH($D677,Hierarchy!$A$2:$A$1295,0))="","",INDEX(Hierarchy!$D$2:$D$1295,MATCH($D677,Hierarchy!$A$2:$A$1295,0))),"NODE NOT FOUND"))</f>
        <v>APAC</v>
      </c>
      <c r="H677" s="7" t="str">
        <f aca="false">IF($D677="","",IFERROR(IF(INDEX(Hierarchy!$E$2:$E$1295,MATCH($D677,Hierarchy!$A$2:$A$1295,0))="","",INDEX(Hierarchy!$E$2:$E$1295,MATCH($D677,Hierarchy!$A$2:$A$1295,0))),"NODE NOT FOUND"))</f>
        <v>East Asia</v>
      </c>
      <c r="I677" s="7" t="str">
        <f aca="false">IF($D677="","",IFERROR(IF(INDEX(Hierarchy!$F$2:$F$1295,MATCH($D677,Hierarchy!$A$2:$A$1295,0))="","",INDEX(Hierarchy!$F$2:$F$1295,MATCH($D677,Hierarchy!$A$2:$A$1295,0))),"NODE NOT FOUND"))</f>
        <v>South Korea</v>
      </c>
      <c r="J677" s="7" t="str">
        <f aca="false">IF($D677="","",IFERROR(IF(INDEX(Hierarchy!$G$2:$G$1295,MATCH($D677,Hierarchy!$A$2:$A$1295,0))="","",INDEX(Hierarchy!$G$2:$G$1295,MATCH($D677,Hierarchy!$A$2:$A$1295,0))),"NODE NOT FOUND"))</f>
        <v>KOR</v>
      </c>
      <c r="K677" s="7" t="str">
        <f aca="false">IF($D677="","",IFERROR(IF(INDEX(Hierarchy!$H$2:$H$1295,MATCH($D677,Hierarchy!$A$2:$A$1295,0))="","",INDEX(Hierarchy!$H$2:$H$1295,MATCH($D677,Hierarchy!$A$2:$A$1295,0))),"NODE NOT FOUND"))</f>
        <v>Gyeonggi</v>
      </c>
      <c r="L677" s="7" t="str">
        <f aca="false">IF($D677="","",IFERROR(IF(INDEX(Hierarchy!$I$2:$I$1295,MATCH($D677,Hierarchy!$A$2:$A$1295,0))="","",INDEX(Hierarchy!$I$2:$I$1295,MATCH($D677,Hierarchy!$A$2:$A$1295,0))),"NODE NOT FOUND"))</f>
        <v/>
      </c>
      <c r="M677" s="17" t="str">
        <f aca="false">IF(B677="Pre-seeded","Pre-seeded",IF(B677="Review 2026-09-16","Added from review",IF(C677="","New",IF(C677=D677,"","Changed"))))</f>
        <v>Pre-seeded</v>
      </c>
      <c r="N677" s="7" t="str">
        <f aca="false">TRIM(SUBSTITUTE(SUBSTITUTE(SUBSTITUTE(" "&amp;TRIM(SUBSTITUTE(SUBSTITUTE(SUBSTITUTE(SUBSTITUTE(SUBSTITUTE(SUBSTITUTE(SUBSTITUTE(SUBSTITUTE(SUBSTITUTE(SUBSTITUTE(SUBSTITUTE(SUBSTITUTE(SUBSTITUTE(SUBSTITUTE(SUBSTITUTE(UPPER(TRIM(A677)),"[MEMBER]",""),"{MEMBER}",""),"[MEMBER}",""),"MEMBER]",""),"(A)",""),"""",""),"“",""),"”",""),".",""),":",""),",",""),"–"," "),"-"," "),"/"," "),"&amp;"," AND "))&amp;" "," THE "," ")," TOTAL "," ")," OPERATIONS "," "))</f>
        <v>GYEONGGI</v>
      </c>
      <c r="O677" s="17" t="str">
        <f aca="false">IF(COUNTIFS($N$2:$N$2000,N677,$D$2:$D$2000,"&lt;&gt;"&amp;D677)&gt;0,"CONFLICT","")</f>
        <v/>
      </c>
      <c r="P677" s="7"/>
    </row>
    <row r="678" customFormat="false" ht="15" hidden="false" customHeight="false" outlineLevel="0" collapsed="false">
      <c r="A678" s="7" t="s">
        <v>2233</v>
      </c>
      <c r="B678" s="7" t="s">
        <v>1879</v>
      </c>
      <c r="C678" s="7"/>
      <c r="D678" s="6" t="s">
        <v>1568</v>
      </c>
      <c r="E678" s="6" t="s">
        <v>1880</v>
      </c>
      <c r="F678" s="7" t="str">
        <f aca="false">IF($D678="","",IFERROR(IF(INDEX(Hierarchy!$B$2:$B$1295,MATCH($D678,Hierarchy!$A$2:$A$1295,0))="","",INDEX(Hierarchy!$B$2:$B$1295,MATCH($D678,Hierarchy!$A$2:$A$1295,0))),"NODE NOT FOUND"))</f>
        <v>State/Province</v>
      </c>
      <c r="G678" s="7" t="str">
        <f aca="false">IF($D678="","",IFERROR(IF(INDEX(Hierarchy!$D$2:$D$1295,MATCH($D678,Hierarchy!$A$2:$A$1295,0))="","",INDEX(Hierarchy!$D$2:$D$1295,MATCH($D678,Hierarchy!$A$2:$A$1295,0))),"NODE NOT FOUND"))</f>
        <v>APAC</v>
      </c>
      <c r="H678" s="7" t="str">
        <f aca="false">IF($D678="","",IFERROR(IF(INDEX(Hierarchy!$E$2:$E$1295,MATCH($D678,Hierarchy!$A$2:$A$1295,0))="","",INDEX(Hierarchy!$E$2:$E$1295,MATCH($D678,Hierarchy!$A$2:$A$1295,0))),"NODE NOT FOUND"))</f>
        <v>East Asia</v>
      </c>
      <c r="I678" s="7" t="str">
        <f aca="false">IF($D678="","",IFERROR(IF(INDEX(Hierarchy!$F$2:$F$1295,MATCH($D678,Hierarchy!$A$2:$A$1295,0))="","",INDEX(Hierarchy!$F$2:$F$1295,MATCH($D678,Hierarchy!$A$2:$A$1295,0))),"NODE NOT FOUND"))</f>
        <v>South Korea</v>
      </c>
      <c r="J678" s="7" t="str">
        <f aca="false">IF($D678="","",IFERROR(IF(INDEX(Hierarchy!$G$2:$G$1295,MATCH($D678,Hierarchy!$A$2:$A$1295,0))="","",INDEX(Hierarchy!$G$2:$G$1295,MATCH($D678,Hierarchy!$A$2:$A$1295,0))),"NODE NOT FOUND"))</f>
        <v>KOR</v>
      </c>
      <c r="K678" s="7" t="str">
        <f aca="false">IF($D678="","",IFERROR(IF(INDEX(Hierarchy!$H$2:$H$1295,MATCH($D678,Hierarchy!$A$2:$A$1295,0))="","",INDEX(Hierarchy!$H$2:$H$1295,MATCH($D678,Hierarchy!$A$2:$A$1295,0))),"NODE NOT FOUND"))</f>
        <v>Gyeonggi</v>
      </c>
      <c r="L678" s="7" t="str">
        <f aca="false">IF($D678="","",IFERROR(IF(INDEX(Hierarchy!$I$2:$I$1295,MATCH($D678,Hierarchy!$A$2:$A$1295,0))="","",INDEX(Hierarchy!$I$2:$I$1295,MATCH($D678,Hierarchy!$A$2:$A$1295,0))),"NODE NOT FOUND"))</f>
        <v/>
      </c>
      <c r="M678" s="17" t="str">
        <f aca="false">IF(B678="Pre-seeded","Pre-seeded",IF(B678="Review 2026-09-16","Added from review",IF(C678="","New",IF(C678=D678,"","Changed"))))</f>
        <v>Pre-seeded</v>
      </c>
      <c r="N678" s="7" t="str">
        <f aca="false">TRIM(SUBSTITUTE(SUBSTITUTE(SUBSTITUTE(" "&amp;TRIM(SUBSTITUTE(SUBSTITUTE(SUBSTITUTE(SUBSTITUTE(SUBSTITUTE(SUBSTITUTE(SUBSTITUTE(SUBSTITUTE(SUBSTITUTE(SUBSTITUTE(SUBSTITUTE(SUBSTITUTE(SUBSTITUTE(SUBSTITUTE(SUBSTITUTE(UPPER(TRIM(A678)),"[MEMBER]",""),"{MEMBER}",""),"[MEMBER}",""),"MEMBER]",""),"(A)",""),"""",""),"“",""),"”",""),".",""),":",""),",",""),"–"," "),"-"," "),"/"," "),"&amp;"," AND "))&amp;" "," THE "," ")," TOTAL "," ")," OPERATIONS "," "))</f>
        <v>GYEONGGI DO</v>
      </c>
      <c r="O678" s="17" t="str">
        <f aca="false">IF(COUNTIFS($N$2:$N$2000,N678,$D$2:$D$2000,"&lt;&gt;"&amp;D678)&gt;0,"CONFLICT","")</f>
        <v/>
      </c>
      <c r="P678" s="7"/>
    </row>
    <row r="679" customFormat="false" ht="15" hidden="false" customHeight="false" outlineLevel="0" collapsed="false">
      <c r="A679" s="7" t="s">
        <v>1053</v>
      </c>
      <c r="B679" s="7" t="s">
        <v>1879</v>
      </c>
      <c r="C679" s="7"/>
      <c r="D679" s="6" t="s">
        <v>1053</v>
      </c>
      <c r="E679" s="6" t="s">
        <v>1880</v>
      </c>
      <c r="F679" s="7" t="str">
        <f aca="false">IF($D679="","",IFERROR(IF(INDEX(Hierarchy!$B$2:$B$1295,MATCH($D679,Hierarchy!$A$2:$A$1295,0))="","",INDEX(Hierarchy!$B$2:$B$1295,MATCH($D679,Hierarchy!$A$2:$A$1295,0))),"NODE NOT FOUND"))</f>
        <v>State/Province</v>
      </c>
      <c r="G679" s="7" t="str">
        <f aca="false">IF($D679="","",IFERROR(IF(INDEX(Hierarchy!$D$2:$D$1295,MATCH($D679,Hierarchy!$A$2:$A$1295,0))="","",INDEX(Hierarchy!$D$2:$D$1295,MATCH($D679,Hierarchy!$A$2:$A$1295,0))),"NODE NOT FOUND"))</f>
        <v>EMEA</v>
      </c>
      <c r="H679" s="7" t="str">
        <f aca="false">IF($D679="","",IFERROR(IF(INDEX(Hierarchy!$E$2:$E$1295,MATCH($D679,Hierarchy!$A$2:$A$1295,0))="","",INDEX(Hierarchy!$E$2:$E$1295,MATCH($D679,Hierarchy!$A$2:$A$1295,0))),"NODE NOT FOUND"))</f>
        <v>Middle East</v>
      </c>
      <c r="I679" s="7" t="str">
        <f aca="false">IF($D679="","",IFERROR(IF(INDEX(Hierarchy!$F$2:$F$1295,MATCH($D679,Hierarchy!$A$2:$A$1295,0))="","",INDEX(Hierarchy!$F$2:$F$1295,MATCH($D679,Hierarchy!$A$2:$A$1295,0))),"NODE NOT FOUND"))</f>
        <v>Saudi Arabia</v>
      </c>
      <c r="J679" s="7" t="str">
        <f aca="false">IF($D679="","",IFERROR(IF(INDEX(Hierarchy!$G$2:$G$1295,MATCH($D679,Hierarchy!$A$2:$A$1295,0))="","",INDEX(Hierarchy!$G$2:$G$1295,MATCH($D679,Hierarchy!$A$2:$A$1295,0))),"NODE NOT FOUND"))</f>
        <v>SAU</v>
      </c>
      <c r="K679" s="7" t="str">
        <f aca="false">IF($D679="","",IFERROR(IF(INDEX(Hierarchy!$H$2:$H$1295,MATCH($D679,Hierarchy!$A$2:$A$1295,0))="","",INDEX(Hierarchy!$H$2:$H$1295,MATCH($D679,Hierarchy!$A$2:$A$1295,0))),"NODE NOT FOUND"))</f>
        <v>Hail Province</v>
      </c>
      <c r="L679" s="7" t="str">
        <f aca="false">IF($D679="","",IFERROR(IF(INDEX(Hierarchy!$I$2:$I$1295,MATCH($D679,Hierarchy!$A$2:$A$1295,0))="","",INDEX(Hierarchy!$I$2:$I$1295,MATCH($D679,Hierarchy!$A$2:$A$1295,0))),"NODE NOT FOUND"))</f>
        <v/>
      </c>
      <c r="M679" s="17" t="str">
        <f aca="false">IF(B679="Pre-seeded","Pre-seeded",IF(B679="Review 2026-09-16","Added from review",IF(C679="","New",IF(C679=D679,"","Changed"))))</f>
        <v>Pre-seeded</v>
      </c>
      <c r="N679" s="7" t="str">
        <f aca="false">TRIM(SUBSTITUTE(SUBSTITUTE(SUBSTITUTE(" "&amp;TRIM(SUBSTITUTE(SUBSTITUTE(SUBSTITUTE(SUBSTITUTE(SUBSTITUTE(SUBSTITUTE(SUBSTITUTE(SUBSTITUTE(SUBSTITUTE(SUBSTITUTE(SUBSTITUTE(SUBSTITUTE(SUBSTITUTE(SUBSTITUTE(SUBSTITUTE(UPPER(TRIM(A679)),"[MEMBER]",""),"{MEMBER}",""),"[MEMBER}",""),"MEMBER]",""),"(A)",""),"""",""),"“",""),"”",""),".",""),":",""),",",""),"–"," "),"-"," "),"/"," "),"&amp;"," AND "))&amp;" "," THE "," ")," TOTAL "," ")," OPERATIONS "," "))</f>
        <v>HAIL PROVINCE</v>
      </c>
      <c r="O679" s="17" t="str">
        <f aca="false">IF(COUNTIFS($N$2:$N$2000,N679,$D$2:$D$2000,"&lt;&gt;"&amp;D679)&gt;0,"CONFLICT","")</f>
        <v/>
      </c>
      <c r="P679" s="7"/>
    </row>
    <row r="680" customFormat="false" ht="15" hidden="false" customHeight="false" outlineLevel="0" collapsed="false">
      <c r="A680" s="7" t="s">
        <v>1513</v>
      </c>
      <c r="B680" s="7" t="s">
        <v>1879</v>
      </c>
      <c r="C680" s="7"/>
      <c r="D680" s="6" t="s">
        <v>1513</v>
      </c>
      <c r="E680" s="6" t="s">
        <v>1880</v>
      </c>
      <c r="F680" s="7" t="str">
        <f aca="false">IF($D680="","",IFERROR(IF(INDEX(Hierarchy!$B$2:$B$1295,MATCH($D680,Hierarchy!$A$2:$A$1295,0))="","",INDEX(Hierarchy!$B$2:$B$1295,MATCH($D680,Hierarchy!$A$2:$A$1295,0))),"NODE NOT FOUND"))</f>
        <v>State/Province</v>
      </c>
      <c r="G680" s="7" t="str">
        <f aca="false">IF($D680="","",IFERROR(IF(INDEX(Hierarchy!$D$2:$D$1295,MATCH($D680,Hierarchy!$A$2:$A$1295,0))="","",INDEX(Hierarchy!$D$2:$D$1295,MATCH($D680,Hierarchy!$A$2:$A$1295,0))),"NODE NOT FOUND"))</f>
        <v>APAC</v>
      </c>
      <c r="H680" s="7" t="str">
        <f aca="false">IF($D680="","",IFERROR(IF(INDEX(Hierarchy!$E$2:$E$1295,MATCH($D680,Hierarchy!$A$2:$A$1295,0))="","",INDEX(Hierarchy!$E$2:$E$1295,MATCH($D680,Hierarchy!$A$2:$A$1295,0))),"NODE NOT FOUND"))</f>
        <v>East Asia</v>
      </c>
      <c r="I680" s="7" t="str">
        <f aca="false">IF($D680="","",IFERROR(IF(INDEX(Hierarchy!$F$2:$F$1295,MATCH($D680,Hierarchy!$A$2:$A$1295,0))="","",INDEX(Hierarchy!$F$2:$F$1295,MATCH($D680,Hierarchy!$A$2:$A$1295,0))),"NODE NOT FOUND"))</f>
        <v>China</v>
      </c>
      <c r="J680" s="7" t="str">
        <f aca="false">IF($D680="","",IFERROR(IF(INDEX(Hierarchy!$G$2:$G$1295,MATCH($D680,Hierarchy!$A$2:$A$1295,0))="","",INDEX(Hierarchy!$G$2:$G$1295,MATCH($D680,Hierarchy!$A$2:$A$1295,0))),"NODE NOT FOUND"))</f>
        <v>CHN</v>
      </c>
      <c r="K680" s="7" t="str">
        <f aca="false">IF($D680="","",IFERROR(IF(INDEX(Hierarchy!$H$2:$H$1295,MATCH($D680,Hierarchy!$A$2:$A$1295,0))="","",INDEX(Hierarchy!$H$2:$H$1295,MATCH($D680,Hierarchy!$A$2:$A$1295,0))),"NODE NOT FOUND"))</f>
        <v>Hainan</v>
      </c>
      <c r="L680" s="7" t="str">
        <f aca="false">IF($D680="","",IFERROR(IF(INDEX(Hierarchy!$I$2:$I$1295,MATCH($D680,Hierarchy!$A$2:$A$1295,0))="","",INDEX(Hierarchy!$I$2:$I$1295,MATCH($D680,Hierarchy!$A$2:$A$1295,0))),"NODE NOT FOUND"))</f>
        <v/>
      </c>
      <c r="M680" s="17" t="str">
        <f aca="false">IF(B680="Pre-seeded","Pre-seeded",IF(B680="Review 2026-09-16","Added from review",IF(C680="","New",IF(C680=D680,"","Changed"))))</f>
        <v>Pre-seeded</v>
      </c>
      <c r="N680" s="7" t="str">
        <f aca="false">TRIM(SUBSTITUTE(SUBSTITUTE(SUBSTITUTE(" "&amp;TRIM(SUBSTITUTE(SUBSTITUTE(SUBSTITUTE(SUBSTITUTE(SUBSTITUTE(SUBSTITUTE(SUBSTITUTE(SUBSTITUTE(SUBSTITUTE(SUBSTITUTE(SUBSTITUTE(SUBSTITUTE(SUBSTITUTE(SUBSTITUTE(SUBSTITUTE(UPPER(TRIM(A680)),"[MEMBER]",""),"{MEMBER}",""),"[MEMBER}",""),"MEMBER]",""),"(A)",""),"""",""),"“",""),"”",""),".",""),":",""),",",""),"–"," "),"-"," "),"/"," "),"&amp;"," AND "))&amp;" "," THE "," ")," TOTAL "," ")," OPERATIONS "," "))</f>
        <v>HAINAN</v>
      </c>
      <c r="O680" s="17" t="str">
        <f aca="false">IF(COUNTIFS($N$2:$N$2000,N680,$D$2:$D$2000,"&lt;&gt;"&amp;D680)&gt;0,"CONFLICT","")</f>
        <v/>
      </c>
      <c r="P680" s="7"/>
    </row>
    <row r="681" customFormat="false" ht="15" hidden="false" customHeight="false" outlineLevel="0" collapsed="false">
      <c r="A681" s="7" t="s">
        <v>2234</v>
      </c>
      <c r="B681" s="7" t="s">
        <v>1882</v>
      </c>
      <c r="C681" s="7" t="s">
        <v>568</v>
      </c>
      <c r="D681" s="6" t="s">
        <v>568</v>
      </c>
      <c r="E681" s="6" t="s">
        <v>1880</v>
      </c>
      <c r="F681" s="7" t="str">
        <f aca="false">IF($D681="","",IFERROR(IF(INDEX(Hierarchy!$B$2:$B$1295,MATCH($D681,Hierarchy!$A$2:$A$1295,0))="","",INDEX(Hierarchy!$B$2:$B$1295,MATCH($D681,Hierarchy!$A$2:$A$1295,0))),"NODE NOT FOUND"))</f>
        <v>Country</v>
      </c>
      <c r="G681" s="7" t="str">
        <f aca="false">IF($D681="","",IFERROR(IF(INDEX(Hierarchy!$D$2:$D$1295,MATCH($D681,Hierarchy!$A$2:$A$1295,0))="","",INDEX(Hierarchy!$D$2:$D$1295,MATCH($D681,Hierarchy!$A$2:$A$1295,0))),"NODE NOT FOUND"))</f>
        <v>AMER</v>
      </c>
      <c r="H681" s="7" t="str">
        <f aca="false">IF($D681="","",IFERROR(IF(INDEX(Hierarchy!$E$2:$E$1295,MATCH($D681,Hierarchy!$A$2:$A$1295,0))="","",INDEX(Hierarchy!$E$2:$E$1295,MATCH($D681,Hierarchy!$A$2:$A$1295,0))),"NODE NOT FOUND"))</f>
        <v>Latin America (LATAM)</v>
      </c>
      <c r="I681" s="7" t="str">
        <f aca="false">IF($D681="","",IFERROR(IF(INDEX(Hierarchy!$F$2:$F$1295,MATCH($D681,Hierarchy!$A$2:$A$1295,0))="","",INDEX(Hierarchy!$F$2:$F$1295,MATCH($D681,Hierarchy!$A$2:$A$1295,0))),"NODE NOT FOUND"))</f>
        <v>Haiti</v>
      </c>
      <c r="J681" s="7" t="str">
        <f aca="false">IF($D681="","",IFERROR(IF(INDEX(Hierarchy!$G$2:$G$1295,MATCH($D681,Hierarchy!$A$2:$A$1295,0))="","",INDEX(Hierarchy!$G$2:$G$1295,MATCH($D681,Hierarchy!$A$2:$A$1295,0))),"NODE NOT FOUND"))</f>
        <v>HTI</v>
      </c>
      <c r="K681" s="7" t="str">
        <f aca="false">IF($D681="","",IFERROR(IF(INDEX(Hierarchy!$H$2:$H$1295,MATCH($D681,Hierarchy!$A$2:$A$1295,0))="","",INDEX(Hierarchy!$H$2:$H$1295,MATCH($D681,Hierarchy!$A$2:$A$1295,0))),"NODE NOT FOUND"))</f>
        <v/>
      </c>
      <c r="L681" s="7" t="str">
        <f aca="false">IF($D681="","",IFERROR(IF(INDEX(Hierarchy!$I$2:$I$1295,MATCH($D681,Hierarchy!$A$2:$A$1295,0))="","",INDEX(Hierarchy!$I$2:$I$1295,MATCH($D681,Hierarchy!$A$2:$A$1295,0))),"NODE NOT FOUND"))</f>
        <v/>
      </c>
      <c r="M681" s="17" t="str">
        <f aca="false">IF(B681="Pre-seeded","Pre-seeded",IF(B681="Review 2026-09-16","Added from review",IF(C681="","New",IF(C681=D681,"","Changed"))))</f>
        <v/>
      </c>
      <c r="N681" s="7" t="str">
        <f aca="false">TRIM(SUBSTITUTE(SUBSTITUTE(SUBSTITUTE(" "&amp;TRIM(SUBSTITUTE(SUBSTITUTE(SUBSTITUTE(SUBSTITUTE(SUBSTITUTE(SUBSTITUTE(SUBSTITUTE(SUBSTITUTE(SUBSTITUTE(SUBSTITUTE(SUBSTITUTE(SUBSTITUTE(SUBSTITUTE(SUBSTITUTE(SUBSTITUTE(UPPER(TRIM(A681)),"[MEMBER]",""),"{MEMBER}",""),"[MEMBER}",""),"MEMBER]",""),"(A)",""),"""",""),"“",""),"”",""),".",""),":",""),",",""),"–"," "),"-"," "),"/"," "),"&amp;"," AND "))&amp;" "," THE "," ")," TOTAL "," ")," OPERATIONS "," "))</f>
        <v>HAITI</v>
      </c>
      <c r="O681" s="17" t="str">
        <f aca="false">IF(COUNTIFS($N$2:$N$2000,N681,$D$2:$D$2000,"&lt;&gt;"&amp;D681)&gt;0,"CONFLICT","")</f>
        <v/>
      </c>
      <c r="P681" s="7"/>
    </row>
    <row r="682" customFormat="false" ht="15" hidden="false" customHeight="false" outlineLevel="0" collapsed="false">
      <c r="A682" s="7" t="s">
        <v>568</v>
      </c>
      <c r="B682" s="7" t="s">
        <v>1882</v>
      </c>
      <c r="C682" s="7" t="s">
        <v>568</v>
      </c>
      <c r="D682" s="6" t="s">
        <v>568</v>
      </c>
      <c r="E682" s="6" t="s">
        <v>1880</v>
      </c>
      <c r="F682" s="7" t="str">
        <f aca="false">IF($D682="","",IFERROR(IF(INDEX(Hierarchy!$B$2:$B$1295,MATCH($D682,Hierarchy!$A$2:$A$1295,0))="","",INDEX(Hierarchy!$B$2:$B$1295,MATCH($D682,Hierarchy!$A$2:$A$1295,0))),"NODE NOT FOUND"))</f>
        <v>Country</v>
      </c>
      <c r="G682" s="7" t="str">
        <f aca="false">IF($D682="","",IFERROR(IF(INDEX(Hierarchy!$D$2:$D$1295,MATCH($D682,Hierarchy!$A$2:$A$1295,0))="","",INDEX(Hierarchy!$D$2:$D$1295,MATCH($D682,Hierarchy!$A$2:$A$1295,0))),"NODE NOT FOUND"))</f>
        <v>AMER</v>
      </c>
      <c r="H682" s="7" t="str">
        <f aca="false">IF($D682="","",IFERROR(IF(INDEX(Hierarchy!$E$2:$E$1295,MATCH($D682,Hierarchy!$A$2:$A$1295,0))="","",INDEX(Hierarchy!$E$2:$E$1295,MATCH($D682,Hierarchy!$A$2:$A$1295,0))),"NODE NOT FOUND"))</f>
        <v>Latin America (LATAM)</v>
      </c>
      <c r="I682" s="7" t="str">
        <f aca="false">IF($D682="","",IFERROR(IF(INDEX(Hierarchy!$F$2:$F$1295,MATCH($D682,Hierarchy!$A$2:$A$1295,0))="","",INDEX(Hierarchy!$F$2:$F$1295,MATCH($D682,Hierarchy!$A$2:$A$1295,0))),"NODE NOT FOUND"))</f>
        <v>Haiti</v>
      </c>
      <c r="J682" s="7" t="str">
        <f aca="false">IF($D682="","",IFERROR(IF(INDEX(Hierarchy!$G$2:$G$1295,MATCH($D682,Hierarchy!$A$2:$A$1295,0))="","",INDEX(Hierarchy!$G$2:$G$1295,MATCH($D682,Hierarchy!$A$2:$A$1295,0))),"NODE NOT FOUND"))</f>
        <v>HTI</v>
      </c>
      <c r="K682" s="7" t="str">
        <f aca="false">IF($D682="","",IFERROR(IF(INDEX(Hierarchy!$H$2:$H$1295,MATCH($D682,Hierarchy!$A$2:$A$1295,0))="","",INDEX(Hierarchy!$H$2:$H$1295,MATCH($D682,Hierarchy!$A$2:$A$1295,0))),"NODE NOT FOUND"))</f>
        <v/>
      </c>
      <c r="L682" s="7" t="str">
        <f aca="false">IF($D682="","",IFERROR(IF(INDEX(Hierarchy!$I$2:$I$1295,MATCH($D682,Hierarchy!$A$2:$A$1295,0))="","",INDEX(Hierarchy!$I$2:$I$1295,MATCH($D682,Hierarchy!$A$2:$A$1295,0))),"NODE NOT FOUND"))</f>
        <v/>
      </c>
      <c r="M682" s="17" t="str">
        <f aca="false">IF(B682="Pre-seeded","Pre-seeded",IF(B682="Review 2026-09-16","Added from review",IF(C682="","New",IF(C682=D682,"","Changed"))))</f>
        <v/>
      </c>
      <c r="N682" s="7" t="str">
        <f aca="false">TRIM(SUBSTITUTE(SUBSTITUTE(SUBSTITUTE(" "&amp;TRIM(SUBSTITUTE(SUBSTITUTE(SUBSTITUTE(SUBSTITUTE(SUBSTITUTE(SUBSTITUTE(SUBSTITUTE(SUBSTITUTE(SUBSTITUTE(SUBSTITUTE(SUBSTITUTE(SUBSTITUTE(SUBSTITUTE(SUBSTITUTE(SUBSTITUTE(UPPER(TRIM(A682)),"[MEMBER]",""),"{MEMBER}",""),"[MEMBER}",""),"MEMBER]",""),"(A)",""),"""",""),"“",""),"”",""),".",""),":",""),",",""),"–"," "),"-"," "),"/"," "),"&amp;"," AND "))&amp;" "," THE "," ")," TOTAL "," ")," OPERATIONS "," "))</f>
        <v>HAITI</v>
      </c>
      <c r="O682" s="17" t="str">
        <f aca="false">IF(COUNTIFS($N$2:$N$2000,N682,$D$2:$D$2000,"&lt;&gt;"&amp;D682)&gt;0,"CONFLICT","")</f>
        <v/>
      </c>
      <c r="P682" s="7"/>
    </row>
    <row r="683" customFormat="false" ht="15" hidden="false" customHeight="false" outlineLevel="0" collapsed="false">
      <c r="A683" s="7" t="s">
        <v>700</v>
      </c>
      <c r="B683" s="7" t="s">
        <v>1879</v>
      </c>
      <c r="C683" s="7"/>
      <c r="D683" s="6" t="s">
        <v>700</v>
      </c>
      <c r="E683" s="6" t="s">
        <v>1880</v>
      </c>
      <c r="F683" s="7" t="str">
        <f aca="false">IF($D683="","",IFERROR(IF(INDEX(Hierarchy!$B$2:$B$1295,MATCH($D683,Hierarchy!$A$2:$A$1295,0))="","",INDEX(Hierarchy!$B$2:$B$1295,MATCH($D683,Hierarchy!$A$2:$A$1295,0))),"NODE NOT FOUND"))</f>
        <v>State/Province</v>
      </c>
      <c r="G683" s="7" t="str">
        <f aca="false">IF($D683="","",IFERROR(IF(INDEX(Hierarchy!$D$2:$D$1295,MATCH($D683,Hierarchy!$A$2:$A$1295,0))="","",INDEX(Hierarchy!$D$2:$D$1295,MATCH($D683,Hierarchy!$A$2:$A$1295,0))),"NODE NOT FOUND"))</f>
        <v>EMEA</v>
      </c>
      <c r="H683" s="7" t="str">
        <f aca="false">IF($D683="","",IFERROR(IF(INDEX(Hierarchy!$E$2:$E$1295,MATCH($D683,Hierarchy!$A$2:$A$1295,0))="","",INDEX(Hierarchy!$E$2:$E$1295,MATCH($D683,Hierarchy!$A$2:$A$1295,0))),"NODE NOT FOUND"))</f>
        <v>Europe</v>
      </c>
      <c r="I683" s="7" t="str">
        <f aca="false">IF($D683="","",IFERROR(IF(INDEX(Hierarchy!$F$2:$F$1295,MATCH($D683,Hierarchy!$A$2:$A$1295,0))="","",INDEX(Hierarchy!$F$2:$F$1295,MATCH($D683,Hierarchy!$A$2:$A$1295,0))),"NODE NOT FOUND"))</f>
        <v>Germany</v>
      </c>
      <c r="J683" s="7" t="str">
        <f aca="false">IF($D683="","",IFERROR(IF(INDEX(Hierarchy!$G$2:$G$1295,MATCH($D683,Hierarchy!$A$2:$A$1295,0))="","",INDEX(Hierarchy!$G$2:$G$1295,MATCH($D683,Hierarchy!$A$2:$A$1295,0))),"NODE NOT FOUND"))</f>
        <v>DEU</v>
      </c>
      <c r="K683" s="7" t="str">
        <f aca="false">IF($D683="","",IFERROR(IF(INDEX(Hierarchy!$H$2:$H$1295,MATCH($D683,Hierarchy!$A$2:$A$1295,0))="","",INDEX(Hierarchy!$H$2:$H$1295,MATCH($D683,Hierarchy!$A$2:$A$1295,0))),"NODE NOT FOUND"))</f>
        <v>Hamburg</v>
      </c>
      <c r="L683" s="7" t="str">
        <f aca="false">IF($D683="","",IFERROR(IF(INDEX(Hierarchy!$I$2:$I$1295,MATCH($D683,Hierarchy!$A$2:$A$1295,0))="","",INDEX(Hierarchy!$I$2:$I$1295,MATCH($D683,Hierarchy!$A$2:$A$1295,0))),"NODE NOT FOUND"))</f>
        <v/>
      </c>
      <c r="M683" s="17" t="str">
        <f aca="false">IF(B683="Pre-seeded","Pre-seeded",IF(B683="Review 2026-09-16","Added from review",IF(C683="","New",IF(C683=D683,"","Changed"))))</f>
        <v>Pre-seeded</v>
      </c>
      <c r="N683" s="7" t="str">
        <f aca="false">TRIM(SUBSTITUTE(SUBSTITUTE(SUBSTITUTE(" "&amp;TRIM(SUBSTITUTE(SUBSTITUTE(SUBSTITUTE(SUBSTITUTE(SUBSTITUTE(SUBSTITUTE(SUBSTITUTE(SUBSTITUTE(SUBSTITUTE(SUBSTITUTE(SUBSTITUTE(SUBSTITUTE(SUBSTITUTE(SUBSTITUTE(SUBSTITUTE(UPPER(TRIM(A683)),"[MEMBER]",""),"{MEMBER}",""),"[MEMBER}",""),"MEMBER]",""),"(A)",""),"""",""),"“",""),"”",""),".",""),":",""),",",""),"–"," "),"-"," "),"/"," "),"&amp;"," AND "))&amp;" "," THE "," ")," TOTAL "," ")," OPERATIONS "," "))</f>
        <v>HAMBURG</v>
      </c>
      <c r="O683" s="17" t="str">
        <f aca="false">IF(COUNTIFS($N$2:$N$2000,N683,$D$2:$D$2000,"&lt;&gt;"&amp;D683)&gt;0,"CONFLICT","")</f>
        <v/>
      </c>
      <c r="P683" s="7"/>
    </row>
    <row r="684" customFormat="false" ht="15" hidden="false" customHeight="false" outlineLevel="0" collapsed="false">
      <c r="A684" s="7" t="s">
        <v>1543</v>
      </c>
      <c r="B684" s="7" t="s">
        <v>1882</v>
      </c>
      <c r="C684" s="7" t="s">
        <v>1543</v>
      </c>
      <c r="D684" s="6" t="s">
        <v>1543</v>
      </c>
      <c r="E684" s="6" t="s">
        <v>1880</v>
      </c>
      <c r="F684" s="7" t="str">
        <f aca="false">IF($D684="","",IFERROR(IF(INDEX(Hierarchy!$B$2:$B$1295,MATCH($D684,Hierarchy!$A$2:$A$1295,0))="","",INDEX(Hierarchy!$B$2:$B$1295,MATCH($D684,Hierarchy!$A$2:$A$1295,0))),"NODE NOT FOUND"))</f>
        <v>City</v>
      </c>
      <c r="G684" s="7" t="str">
        <f aca="false">IF($D684="","",IFERROR(IF(INDEX(Hierarchy!$D$2:$D$1295,MATCH($D684,Hierarchy!$A$2:$A$1295,0))="","",INDEX(Hierarchy!$D$2:$D$1295,MATCH($D684,Hierarchy!$A$2:$A$1295,0))),"NODE NOT FOUND"))</f>
        <v>APAC</v>
      </c>
      <c r="H684" s="7" t="str">
        <f aca="false">IF($D684="","",IFERROR(IF(INDEX(Hierarchy!$E$2:$E$1295,MATCH($D684,Hierarchy!$A$2:$A$1295,0))="","",INDEX(Hierarchy!$E$2:$E$1295,MATCH($D684,Hierarchy!$A$2:$A$1295,0))),"NODE NOT FOUND"))</f>
        <v>East Asia</v>
      </c>
      <c r="I684" s="7" t="str">
        <f aca="false">IF($D684="","",IFERROR(IF(INDEX(Hierarchy!$F$2:$F$1295,MATCH($D684,Hierarchy!$A$2:$A$1295,0))="","",INDEX(Hierarchy!$F$2:$F$1295,MATCH($D684,Hierarchy!$A$2:$A$1295,0))),"NODE NOT FOUND"))</f>
        <v>China</v>
      </c>
      <c r="J684" s="7" t="str">
        <f aca="false">IF($D684="","",IFERROR(IF(INDEX(Hierarchy!$G$2:$G$1295,MATCH($D684,Hierarchy!$A$2:$A$1295,0))="","",INDEX(Hierarchy!$G$2:$G$1295,MATCH($D684,Hierarchy!$A$2:$A$1295,0))),"NODE NOT FOUND"))</f>
        <v>CHN</v>
      </c>
      <c r="K684" s="7" t="str">
        <f aca="false">IF($D684="","",IFERROR(IF(INDEX(Hierarchy!$H$2:$H$1295,MATCH($D684,Hierarchy!$A$2:$A$1295,0))="","",INDEX(Hierarchy!$H$2:$H$1295,MATCH($D684,Hierarchy!$A$2:$A$1295,0))),"NODE NOT FOUND"))</f>
        <v>Zhejiang</v>
      </c>
      <c r="L684" s="7" t="str">
        <f aca="false">IF($D684="","",IFERROR(IF(INDEX(Hierarchy!$I$2:$I$1295,MATCH($D684,Hierarchy!$A$2:$A$1295,0))="","",INDEX(Hierarchy!$I$2:$I$1295,MATCH($D684,Hierarchy!$A$2:$A$1295,0))),"NODE NOT FOUND"))</f>
        <v>Hangzhou</v>
      </c>
      <c r="M684" s="17" t="str">
        <f aca="false">IF(B684="Pre-seeded","Pre-seeded",IF(B684="Review 2026-09-16","Added from review",IF(C684="","New",IF(C684=D684,"","Changed"))))</f>
        <v/>
      </c>
      <c r="N684" s="7" t="str">
        <f aca="false">TRIM(SUBSTITUTE(SUBSTITUTE(SUBSTITUTE(" "&amp;TRIM(SUBSTITUTE(SUBSTITUTE(SUBSTITUTE(SUBSTITUTE(SUBSTITUTE(SUBSTITUTE(SUBSTITUTE(SUBSTITUTE(SUBSTITUTE(SUBSTITUTE(SUBSTITUTE(SUBSTITUTE(SUBSTITUTE(SUBSTITUTE(SUBSTITUTE(UPPER(TRIM(A684)),"[MEMBER]",""),"{MEMBER}",""),"[MEMBER}",""),"MEMBER]",""),"(A)",""),"""",""),"“",""),"”",""),".",""),":",""),",",""),"–"," "),"-"," "),"/"," "),"&amp;"," AND "))&amp;" "," THE "," ")," TOTAL "," ")," OPERATIONS "," "))</f>
        <v>HANGZHOU</v>
      </c>
      <c r="O684" s="17" t="str">
        <f aca="false">IF(COUNTIFS($N$2:$N$2000,N684,$D$2:$D$2000,"&lt;&gt;"&amp;D684)&gt;0,"CONFLICT","")</f>
        <v/>
      </c>
      <c r="P684" s="7"/>
    </row>
    <row r="685" customFormat="false" ht="15" hidden="false" customHeight="false" outlineLevel="0" collapsed="false">
      <c r="A685" s="7" t="s">
        <v>2235</v>
      </c>
      <c r="B685" s="7" t="s">
        <v>1905</v>
      </c>
      <c r="C685" s="7" t="s">
        <v>1906</v>
      </c>
      <c r="D685" s="6" t="s">
        <v>163</v>
      </c>
      <c r="E685" s="6" t="s">
        <v>1886</v>
      </c>
      <c r="F685" s="7" t="str">
        <f aca="false">IF($D685="","",IFERROR(IF(INDEX(Hierarchy!$B$2:$B$1295,MATCH($D685,Hierarchy!$A$2:$A$1295,0))="","",INDEX(Hierarchy!$B$2:$B$1295,MATCH($D685,Hierarchy!$A$2:$A$1295,0))),"NODE NOT FOUND"))</f>
        <v>State/Province</v>
      </c>
      <c r="G685" s="7" t="str">
        <f aca="false">IF($D685="","",IFERROR(IF(INDEX(Hierarchy!$D$2:$D$1295,MATCH($D685,Hierarchy!$A$2:$A$1295,0))="","",INDEX(Hierarchy!$D$2:$D$1295,MATCH($D685,Hierarchy!$A$2:$A$1295,0))),"NODE NOT FOUND"))</f>
        <v>AMER</v>
      </c>
      <c r="H685" s="7" t="str">
        <f aca="false">IF($D685="","",IFERROR(IF(INDEX(Hierarchy!$E$2:$E$1295,MATCH($D685,Hierarchy!$A$2:$A$1295,0))="","",INDEX(Hierarchy!$E$2:$E$1295,MATCH($D685,Hierarchy!$A$2:$A$1295,0))),"NODE NOT FOUND"))</f>
        <v>North America (NORAM)</v>
      </c>
      <c r="I685" s="7" t="str">
        <f aca="false">IF($D685="","",IFERROR(IF(INDEX(Hierarchy!$F$2:$F$1295,MATCH($D685,Hierarchy!$A$2:$A$1295,0))="","",INDEX(Hierarchy!$F$2:$F$1295,MATCH($D685,Hierarchy!$A$2:$A$1295,0))),"NODE NOT FOUND"))</f>
        <v>United States</v>
      </c>
      <c r="J685" s="7" t="str">
        <f aca="false">IF($D685="","",IFERROR(IF(INDEX(Hierarchy!$G$2:$G$1295,MATCH($D685,Hierarchy!$A$2:$A$1295,0))="","",INDEX(Hierarchy!$G$2:$G$1295,MATCH($D685,Hierarchy!$A$2:$A$1295,0))),"NODE NOT FOUND"))</f>
        <v>USA</v>
      </c>
      <c r="K685" s="7" t="str">
        <f aca="false">IF($D685="","",IFERROR(IF(INDEX(Hierarchy!$H$2:$H$1295,MATCH($D685,Hierarchy!$A$2:$A$1295,0))="","",INDEX(Hierarchy!$H$2:$H$1295,MATCH($D685,Hierarchy!$A$2:$A$1295,0))),"NODE NOT FOUND"))</f>
        <v>Florida</v>
      </c>
      <c r="L685" s="7" t="str">
        <f aca="false">IF($D685="","",IFERROR(IF(INDEX(Hierarchy!$I$2:$I$1295,MATCH($D685,Hierarchy!$A$2:$A$1295,0))="","",INDEX(Hierarchy!$I$2:$I$1295,MATCH($D685,Hierarchy!$A$2:$A$1295,0))),"NODE NOT FOUND"))</f>
        <v/>
      </c>
      <c r="M685" s="17" t="str">
        <f aca="false">IF(B685="Pre-seeded","Pre-seeded",IF(B685="Review 2026-09-16","Added from review",IF(C685="","New",IF(C685=D685,"","Changed"))))</f>
        <v>Changed</v>
      </c>
      <c r="N685" s="7" t="str">
        <f aca="false">TRIM(SUBSTITUTE(SUBSTITUTE(SUBSTITUTE(" "&amp;TRIM(SUBSTITUTE(SUBSTITUTE(SUBSTITUTE(SUBSTITUTE(SUBSTITUTE(SUBSTITUTE(SUBSTITUTE(SUBSTITUTE(SUBSTITUTE(SUBSTITUTE(SUBSTITUTE(SUBSTITUTE(SUBSTITUTE(SUBSTITUTE(SUBSTITUTE(UPPER(TRIM(A685)),"[MEMBER]",""),"{MEMBER}",""),"[MEMBER}",""),"MEMBER]",""),"(A)",""),"""",""),"“",""),"”",""),".",""),":",""),",",""),"–"," "),"-"," "),"/"," "),"&amp;"," AND "))&amp;" "," THE "," ")," TOTAL "," ")," OPERATIONS "," "))</f>
        <v>HARD ROCK CASINO AND HOTEL HOLLYWOOD AND TAMPA FLORIDA</v>
      </c>
      <c r="O685" s="17" t="str">
        <f aca="false">IF(COUNTIFS($N$2:$N$2000,N685,$D$2:$D$2000,"&lt;&gt;"&amp;D685)&gt;0,"CONFLICT","")</f>
        <v/>
      </c>
      <c r="P685" s="7" t="s">
        <v>2236</v>
      </c>
    </row>
    <row r="686" customFormat="false" ht="15" hidden="false" customHeight="false" outlineLevel="0" collapsed="false">
      <c r="A686" s="7" t="s">
        <v>2237</v>
      </c>
      <c r="B686" s="7" t="s">
        <v>1905</v>
      </c>
      <c r="C686" s="7" t="s">
        <v>1906</v>
      </c>
      <c r="D686" s="6" t="s">
        <v>164</v>
      </c>
      <c r="E686" s="6" t="s">
        <v>1880</v>
      </c>
      <c r="F686" s="7" t="str">
        <f aca="false">IF($D686="","",IFERROR(IF(INDEX(Hierarchy!$B$2:$B$1295,MATCH($D686,Hierarchy!$A$2:$A$1295,0))="","",INDEX(Hierarchy!$B$2:$B$1295,MATCH($D686,Hierarchy!$A$2:$A$1295,0))),"NODE NOT FOUND"))</f>
        <v>City</v>
      </c>
      <c r="G686" s="7" t="str">
        <f aca="false">IF($D686="","",IFERROR(IF(INDEX(Hierarchy!$D$2:$D$1295,MATCH($D686,Hierarchy!$A$2:$A$1295,0))="","",INDEX(Hierarchy!$D$2:$D$1295,MATCH($D686,Hierarchy!$A$2:$A$1295,0))),"NODE NOT FOUND"))</f>
        <v>AMER</v>
      </c>
      <c r="H686" s="7" t="str">
        <f aca="false">IF($D686="","",IFERROR(IF(INDEX(Hierarchy!$E$2:$E$1295,MATCH($D686,Hierarchy!$A$2:$A$1295,0))="","",INDEX(Hierarchy!$E$2:$E$1295,MATCH($D686,Hierarchy!$A$2:$A$1295,0))),"NODE NOT FOUND"))</f>
        <v>North America (NORAM)</v>
      </c>
      <c r="I686" s="7" t="str">
        <f aca="false">IF($D686="","",IFERROR(IF(INDEX(Hierarchy!$F$2:$F$1295,MATCH($D686,Hierarchy!$A$2:$A$1295,0))="","",INDEX(Hierarchy!$F$2:$F$1295,MATCH($D686,Hierarchy!$A$2:$A$1295,0))),"NODE NOT FOUND"))</f>
        <v>United States</v>
      </c>
      <c r="J686" s="7" t="str">
        <f aca="false">IF($D686="","",IFERROR(IF(INDEX(Hierarchy!$G$2:$G$1295,MATCH($D686,Hierarchy!$A$2:$A$1295,0))="","",INDEX(Hierarchy!$G$2:$G$1295,MATCH($D686,Hierarchy!$A$2:$A$1295,0))),"NODE NOT FOUND"))</f>
        <v>USA</v>
      </c>
      <c r="K686" s="7" t="str">
        <f aca="false">IF($D686="","",IFERROR(IF(INDEX(Hierarchy!$H$2:$H$1295,MATCH($D686,Hierarchy!$A$2:$A$1295,0))="","",INDEX(Hierarchy!$H$2:$H$1295,MATCH($D686,Hierarchy!$A$2:$A$1295,0))),"NODE NOT FOUND"))</f>
        <v>Florida</v>
      </c>
      <c r="L686" s="7" t="str">
        <f aca="false">IF($D686="","",IFERROR(IF(INDEX(Hierarchy!$I$2:$I$1295,MATCH($D686,Hierarchy!$A$2:$A$1295,0))="","",INDEX(Hierarchy!$I$2:$I$1295,MATCH($D686,Hierarchy!$A$2:$A$1295,0))),"NODE NOT FOUND"))</f>
        <v>Hollywood</v>
      </c>
      <c r="M686" s="17" t="str">
        <f aca="false">IF(B686="Pre-seeded","Pre-seeded",IF(B686="Review 2026-09-16","Added from review",IF(C686="","New",IF(C686=D686,"","Changed"))))</f>
        <v>Changed</v>
      </c>
      <c r="N686" s="7" t="str">
        <f aca="false">TRIM(SUBSTITUTE(SUBSTITUTE(SUBSTITUTE(" "&amp;TRIM(SUBSTITUTE(SUBSTITUTE(SUBSTITUTE(SUBSTITUTE(SUBSTITUTE(SUBSTITUTE(SUBSTITUTE(SUBSTITUTE(SUBSTITUTE(SUBSTITUTE(SUBSTITUTE(SUBSTITUTE(SUBSTITUTE(SUBSTITUTE(SUBSTITUTE(UPPER(TRIM(A686)),"[MEMBER]",""),"{MEMBER}",""),"[MEMBER}",""),"MEMBER]",""),"(A)",""),"""",""),"“",""),"”",""),".",""),":",""),",",""),"–"," "),"-"," "),"/"," "),"&amp;"," AND "))&amp;" "," THE "," ")," TOTAL "," ")," OPERATIONS "," "))</f>
        <v>HARD ROCK CASINO AND HOTEL HOLLYWOOD FLORIDA</v>
      </c>
      <c r="O686" s="17" t="str">
        <f aca="false">IF(COUNTIFS($N$2:$N$2000,N686,$D$2:$D$2000,"&lt;&gt;"&amp;D686)&gt;0,"CONFLICT","")</f>
        <v/>
      </c>
      <c r="P686" s="7" t="s">
        <v>2238</v>
      </c>
    </row>
    <row r="687" customFormat="false" ht="15" hidden="false" customHeight="false" outlineLevel="0" collapsed="false">
      <c r="A687" s="7" t="s">
        <v>2239</v>
      </c>
      <c r="B687" s="7" t="s">
        <v>1905</v>
      </c>
      <c r="C687" s="7" t="s">
        <v>1906</v>
      </c>
      <c r="D687" s="6" t="s">
        <v>169</v>
      </c>
      <c r="E687" s="6" t="s">
        <v>1880</v>
      </c>
      <c r="F687" s="7" t="str">
        <f aca="false">IF($D687="","",IFERROR(IF(INDEX(Hierarchy!$B$2:$B$1295,MATCH($D687,Hierarchy!$A$2:$A$1295,0))="","",INDEX(Hierarchy!$B$2:$B$1295,MATCH($D687,Hierarchy!$A$2:$A$1295,0))),"NODE NOT FOUND"))</f>
        <v>City</v>
      </c>
      <c r="G687" s="7" t="str">
        <f aca="false">IF($D687="","",IFERROR(IF(INDEX(Hierarchy!$D$2:$D$1295,MATCH($D687,Hierarchy!$A$2:$A$1295,0))="","",INDEX(Hierarchy!$D$2:$D$1295,MATCH($D687,Hierarchy!$A$2:$A$1295,0))),"NODE NOT FOUND"))</f>
        <v>AMER</v>
      </c>
      <c r="H687" s="7" t="str">
        <f aca="false">IF($D687="","",IFERROR(IF(INDEX(Hierarchy!$E$2:$E$1295,MATCH($D687,Hierarchy!$A$2:$A$1295,0))="","",INDEX(Hierarchy!$E$2:$E$1295,MATCH($D687,Hierarchy!$A$2:$A$1295,0))),"NODE NOT FOUND"))</f>
        <v>North America (NORAM)</v>
      </c>
      <c r="I687" s="7" t="str">
        <f aca="false">IF($D687="","",IFERROR(IF(INDEX(Hierarchy!$F$2:$F$1295,MATCH($D687,Hierarchy!$A$2:$A$1295,0))="","",INDEX(Hierarchy!$F$2:$F$1295,MATCH($D687,Hierarchy!$A$2:$A$1295,0))),"NODE NOT FOUND"))</f>
        <v>United States</v>
      </c>
      <c r="J687" s="7" t="str">
        <f aca="false">IF($D687="","",IFERROR(IF(INDEX(Hierarchy!$G$2:$G$1295,MATCH($D687,Hierarchy!$A$2:$A$1295,0))="","",INDEX(Hierarchy!$G$2:$G$1295,MATCH($D687,Hierarchy!$A$2:$A$1295,0))),"NODE NOT FOUND"))</f>
        <v>USA</v>
      </c>
      <c r="K687" s="7" t="str">
        <f aca="false">IF($D687="","",IFERROR(IF(INDEX(Hierarchy!$H$2:$H$1295,MATCH($D687,Hierarchy!$A$2:$A$1295,0))="","",INDEX(Hierarchy!$H$2:$H$1295,MATCH($D687,Hierarchy!$A$2:$A$1295,0))),"NODE NOT FOUND"))</f>
        <v>Florida</v>
      </c>
      <c r="L687" s="7" t="str">
        <f aca="false">IF($D687="","",IFERROR(IF(INDEX(Hierarchy!$I$2:$I$1295,MATCH($D687,Hierarchy!$A$2:$A$1295,0))="","",INDEX(Hierarchy!$I$2:$I$1295,MATCH($D687,Hierarchy!$A$2:$A$1295,0))),"NODE NOT FOUND"))</f>
        <v>Tampa</v>
      </c>
      <c r="M687" s="17" t="str">
        <f aca="false">IF(B687="Pre-seeded","Pre-seeded",IF(B687="Review 2026-09-16","Added from review",IF(C687="","New",IF(C687=D687,"","Changed"))))</f>
        <v>Changed</v>
      </c>
      <c r="N687" s="7" t="str">
        <f aca="false">TRIM(SUBSTITUTE(SUBSTITUTE(SUBSTITUTE(" "&amp;TRIM(SUBSTITUTE(SUBSTITUTE(SUBSTITUTE(SUBSTITUTE(SUBSTITUTE(SUBSTITUTE(SUBSTITUTE(SUBSTITUTE(SUBSTITUTE(SUBSTITUTE(SUBSTITUTE(SUBSTITUTE(SUBSTITUTE(SUBSTITUTE(SUBSTITUTE(UPPER(TRIM(A687)),"[MEMBER]",""),"{MEMBER}",""),"[MEMBER}",""),"MEMBER]",""),"(A)",""),"""",""),"“",""),"”",""),".",""),":",""),",",""),"–"," "),"-"," "),"/"," "),"&amp;"," AND "))&amp;" "," THE "," ")," TOTAL "," ")," OPERATIONS "," "))</f>
        <v>HARD ROCK CASINO AND HOTEL TAMPA FLORIDA</v>
      </c>
      <c r="O687" s="17" t="str">
        <f aca="false">IF(COUNTIFS($N$2:$N$2000,N687,$D$2:$D$2000,"&lt;&gt;"&amp;D687)&gt;0,"CONFLICT","")</f>
        <v/>
      </c>
      <c r="P687" s="7" t="s">
        <v>2238</v>
      </c>
    </row>
    <row r="688" customFormat="false" ht="15" hidden="false" customHeight="false" outlineLevel="0" collapsed="false">
      <c r="A688" s="7" t="s">
        <v>1339</v>
      </c>
      <c r="B688" s="7" t="s">
        <v>1879</v>
      </c>
      <c r="C688" s="7"/>
      <c r="D688" s="6" t="s">
        <v>1339</v>
      </c>
      <c r="E688" s="6" t="s">
        <v>1880</v>
      </c>
      <c r="F688" s="7" t="str">
        <f aca="false">IF($D688="","",IFERROR(IF(INDEX(Hierarchy!$B$2:$B$1295,MATCH($D688,Hierarchy!$A$2:$A$1295,0))="","",INDEX(Hierarchy!$B$2:$B$1295,MATCH($D688,Hierarchy!$A$2:$A$1295,0))),"NODE NOT FOUND"))</f>
        <v>State/Province</v>
      </c>
      <c r="G688" s="7" t="str">
        <f aca="false">IF($D688="","",IFERROR(IF(INDEX(Hierarchy!$D$2:$D$1295,MATCH($D688,Hierarchy!$A$2:$A$1295,0))="","",INDEX(Hierarchy!$D$2:$D$1295,MATCH($D688,Hierarchy!$A$2:$A$1295,0))),"NODE NOT FOUND"))</f>
        <v>APAC</v>
      </c>
      <c r="H688" s="7" t="str">
        <f aca="false">IF($D688="","",IFERROR(IF(INDEX(Hierarchy!$E$2:$E$1295,MATCH($D688,Hierarchy!$A$2:$A$1295,0))="","",INDEX(Hierarchy!$E$2:$E$1295,MATCH($D688,Hierarchy!$A$2:$A$1295,0))),"NODE NOT FOUND"))</f>
        <v>South Asia</v>
      </c>
      <c r="I688" s="7" t="str">
        <f aca="false">IF($D688="","",IFERROR(IF(INDEX(Hierarchy!$F$2:$F$1295,MATCH($D688,Hierarchy!$A$2:$A$1295,0))="","",INDEX(Hierarchy!$F$2:$F$1295,MATCH($D688,Hierarchy!$A$2:$A$1295,0))),"NODE NOT FOUND"))</f>
        <v>India</v>
      </c>
      <c r="J688" s="7" t="str">
        <f aca="false">IF($D688="","",IFERROR(IF(INDEX(Hierarchy!$G$2:$G$1295,MATCH($D688,Hierarchy!$A$2:$A$1295,0))="","",INDEX(Hierarchy!$G$2:$G$1295,MATCH($D688,Hierarchy!$A$2:$A$1295,0))),"NODE NOT FOUND"))</f>
        <v>IND</v>
      </c>
      <c r="K688" s="7" t="str">
        <f aca="false">IF($D688="","",IFERROR(IF(INDEX(Hierarchy!$H$2:$H$1295,MATCH($D688,Hierarchy!$A$2:$A$1295,0))="","",INDEX(Hierarchy!$H$2:$H$1295,MATCH($D688,Hierarchy!$A$2:$A$1295,0))),"NODE NOT FOUND"))</f>
        <v>Haryana</v>
      </c>
      <c r="L688" s="7" t="str">
        <f aca="false">IF($D688="","",IFERROR(IF(INDEX(Hierarchy!$I$2:$I$1295,MATCH($D688,Hierarchy!$A$2:$A$1295,0))="","",INDEX(Hierarchy!$I$2:$I$1295,MATCH($D688,Hierarchy!$A$2:$A$1295,0))),"NODE NOT FOUND"))</f>
        <v/>
      </c>
      <c r="M688" s="17" t="str">
        <f aca="false">IF(B688="Pre-seeded","Pre-seeded",IF(B688="Review 2026-09-16","Added from review",IF(C688="","New",IF(C688=D688,"","Changed"))))</f>
        <v>Pre-seeded</v>
      </c>
      <c r="N688" s="7" t="str">
        <f aca="false">TRIM(SUBSTITUTE(SUBSTITUTE(SUBSTITUTE(" "&amp;TRIM(SUBSTITUTE(SUBSTITUTE(SUBSTITUTE(SUBSTITUTE(SUBSTITUTE(SUBSTITUTE(SUBSTITUTE(SUBSTITUTE(SUBSTITUTE(SUBSTITUTE(SUBSTITUTE(SUBSTITUTE(SUBSTITUTE(SUBSTITUTE(SUBSTITUTE(UPPER(TRIM(A688)),"[MEMBER]",""),"{MEMBER}",""),"[MEMBER}",""),"MEMBER]",""),"(A)",""),"""",""),"“",""),"”",""),".",""),":",""),",",""),"–"," "),"-"," "),"/"," "),"&amp;"," AND "))&amp;" "," THE "," ")," TOTAL "," ")," OPERATIONS "," "))</f>
        <v>HARYANA</v>
      </c>
      <c r="O688" s="17" t="str">
        <f aca="false">IF(COUNTIFS($N$2:$N$2000,N688,$D$2:$D$2000,"&lt;&gt;"&amp;D688)&gt;0,"CONFLICT","")</f>
        <v/>
      </c>
      <c r="P688" s="7"/>
    </row>
    <row r="689" customFormat="false" ht="15" hidden="false" customHeight="false" outlineLevel="0" collapsed="false">
      <c r="A689" s="7" t="s">
        <v>2240</v>
      </c>
      <c r="B689" s="7" t="s">
        <v>1879</v>
      </c>
      <c r="C689" s="7"/>
      <c r="D689" s="6" t="s">
        <v>1076</v>
      </c>
      <c r="E689" s="6" t="s">
        <v>1880</v>
      </c>
      <c r="F689" s="7" t="str">
        <f aca="false">IF($D689="","",IFERROR(IF(INDEX(Hierarchy!$B$2:$B$1295,MATCH($D689,Hierarchy!$A$2:$A$1295,0))="","",INDEX(Hierarchy!$B$2:$B$1295,MATCH($D689,Hierarchy!$A$2:$A$1295,0))),"NODE NOT FOUND"))</f>
        <v>Country</v>
      </c>
      <c r="G689" s="7" t="str">
        <f aca="false">IF($D689="","",IFERROR(IF(INDEX(Hierarchy!$D$2:$D$1295,MATCH($D689,Hierarchy!$A$2:$A$1295,0))="","",INDEX(Hierarchy!$D$2:$D$1295,MATCH($D689,Hierarchy!$A$2:$A$1295,0))),"NODE NOT FOUND"))</f>
        <v>EMEA</v>
      </c>
      <c r="H689" s="7" t="str">
        <f aca="false">IF($D689="","",IFERROR(IF(INDEX(Hierarchy!$E$2:$E$1295,MATCH($D689,Hierarchy!$A$2:$A$1295,0))="","",INDEX(Hierarchy!$E$2:$E$1295,MATCH($D689,Hierarchy!$A$2:$A$1295,0))),"NODE NOT FOUND"))</f>
        <v>Middle East</v>
      </c>
      <c r="I689" s="7" t="str">
        <f aca="false">IF($D689="","",IFERROR(IF(INDEX(Hierarchy!$F$2:$F$1295,MATCH($D689,Hierarchy!$A$2:$A$1295,0))="","",INDEX(Hierarchy!$F$2:$F$1295,MATCH($D689,Hierarchy!$A$2:$A$1295,0))),"NODE NOT FOUND"))</f>
        <v>Jordan</v>
      </c>
      <c r="J689" s="7" t="str">
        <f aca="false">IF($D689="","",IFERROR(IF(INDEX(Hierarchy!$G$2:$G$1295,MATCH($D689,Hierarchy!$A$2:$A$1295,0))="","",INDEX(Hierarchy!$G$2:$G$1295,MATCH($D689,Hierarchy!$A$2:$A$1295,0))),"NODE NOT FOUND"))</f>
        <v>JOR</v>
      </c>
      <c r="K689" s="7" t="str">
        <f aca="false">IF($D689="","",IFERROR(IF(INDEX(Hierarchy!$H$2:$H$1295,MATCH($D689,Hierarchy!$A$2:$A$1295,0))="","",INDEX(Hierarchy!$H$2:$H$1295,MATCH($D689,Hierarchy!$A$2:$A$1295,0))),"NODE NOT FOUND"))</f>
        <v/>
      </c>
      <c r="L689" s="7" t="str">
        <f aca="false">IF($D689="","",IFERROR(IF(INDEX(Hierarchy!$I$2:$I$1295,MATCH($D689,Hierarchy!$A$2:$A$1295,0))="","",INDEX(Hierarchy!$I$2:$I$1295,MATCH($D689,Hierarchy!$A$2:$A$1295,0))),"NODE NOT FOUND"))</f>
        <v/>
      </c>
      <c r="M689" s="17" t="str">
        <f aca="false">IF(B689="Pre-seeded","Pre-seeded",IF(B689="Review 2026-09-16","Added from review",IF(C689="","New",IF(C689=D689,"","Changed"))))</f>
        <v>Pre-seeded</v>
      </c>
      <c r="N689" s="7" t="str">
        <f aca="false">TRIM(SUBSTITUTE(SUBSTITUTE(SUBSTITUTE(" "&amp;TRIM(SUBSTITUTE(SUBSTITUTE(SUBSTITUTE(SUBSTITUTE(SUBSTITUTE(SUBSTITUTE(SUBSTITUTE(SUBSTITUTE(SUBSTITUTE(SUBSTITUTE(SUBSTITUTE(SUBSTITUTE(SUBSTITUTE(SUBSTITUTE(SUBSTITUTE(UPPER(TRIM(A689)),"[MEMBER]",""),"{MEMBER}",""),"[MEMBER}",""),"MEMBER]",""),"(A)",""),"""",""),"“",""),"”",""),".",""),":",""),",",""),"–"," "),"-"," "),"/"," "),"&amp;"," AND "))&amp;" "," THE "," ")," TOTAL "," ")," OPERATIONS "," "))</f>
        <v>HASHEMITE KINGDOM OF JORDAN</v>
      </c>
      <c r="O689" s="17" t="str">
        <f aca="false">IF(COUNTIFS($N$2:$N$2000,N689,$D$2:$D$2000,"&lt;&gt;"&amp;D689)&gt;0,"CONFLICT","")</f>
        <v/>
      </c>
      <c r="P689" s="7" t="s">
        <v>1936</v>
      </c>
    </row>
    <row r="690" customFormat="false" ht="15" hidden="false" customHeight="false" outlineLevel="0" collapsed="false">
      <c r="A690" s="7" t="s">
        <v>725</v>
      </c>
      <c r="B690" s="7" t="s">
        <v>1879</v>
      </c>
      <c r="C690" s="7"/>
      <c r="D690" s="6" t="s">
        <v>725</v>
      </c>
      <c r="E690" s="6" t="s">
        <v>1880</v>
      </c>
      <c r="F690" s="7" t="str">
        <f aca="false">IF($D690="","",IFERROR(IF(INDEX(Hierarchy!$B$2:$B$1295,MATCH($D690,Hierarchy!$A$2:$A$1295,0))="","",INDEX(Hierarchy!$B$2:$B$1295,MATCH($D690,Hierarchy!$A$2:$A$1295,0))),"NODE NOT FOUND"))</f>
        <v>State/Province</v>
      </c>
      <c r="G690" s="7" t="str">
        <f aca="false">IF($D690="","",IFERROR(IF(INDEX(Hierarchy!$D$2:$D$1295,MATCH($D690,Hierarchy!$A$2:$A$1295,0))="","",INDEX(Hierarchy!$D$2:$D$1295,MATCH($D690,Hierarchy!$A$2:$A$1295,0))),"NODE NOT FOUND"))</f>
        <v>EMEA</v>
      </c>
      <c r="H690" s="7" t="str">
        <f aca="false">IF($D690="","",IFERROR(IF(INDEX(Hierarchy!$E$2:$E$1295,MATCH($D690,Hierarchy!$A$2:$A$1295,0))="","",INDEX(Hierarchy!$E$2:$E$1295,MATCH($D690,Hierarchy!$A$2:$A$1295,0))),"NODE NOT FOUND"))</f>
        <v>Europe</v>
      </c>
      <c r="I690" s="7" t="str">
        <f aca="false">IF($D690="","",IFERROR(IF(INDEX(Hierarchy!$F$2:$F$1295,MATCH($D690,Hierarchy!$A$2:$A$1295,0))="","",INDEX(Hierarchy!$F$2:$F$1295,MATCH($D690,Hierarchy!$A$2:$A$1295,0))),"NODE NOT FOUND"))</f>
        <v>France</v>
      </c>
      <c r="J690" s="7" t="str">
        <f aca="false">IF($D690="","",IFERROR(IF(INDEX(Hierarchy!$G$2:$G$1295,MATCH($D690,Hierarchy!$A$2:$A$1295,0))="","",INDEX(Hierarchy!$G$2:$G$1295,MATCH($D690,Hierarchy!$A$2:$A$1295,0))),"NODE NOT FOUND"))</f>
        <v>FRA</v>
      </c>
      <c r="K690" s="7" t="str">
        <f aca="false">IF($D690="","",IFERROR(IF(INDEX(Hierarchy!$H$2:$H$1295,MATCH($D690,Hierarchy!$A$2:$A$1295,0))="","",INDEX(Hierarchy!$H$2:$H$1295,MATCH($D690,Hierarchy!$A$2:$A$1295,0))),"NODE NOT FOUND"))</f>
        <v>Hauts-de-France</v>
      </c>
      <c r="L690" s="7" t="str">
        <f aca="false">IF($D690="","",IFERROR(IF(INDEX(Hierarchy!$I$2:$I$1295,MATCH($D690,Hierarchy!$A$2:$A$1295,0))="","",INDEX(Hierarchy!$I$2:$I$1295,MATCH($D690,Hierarchy!$A$2:$A$1295,0))),"NODE NOT FOUND"))</f>
        <v/>
      </c>
      <c r="M690" s="17" t="str">
        <f aca="false">IF(B690="Pre-seeded","Pre-seeded",IF(B690="Review 2026-09-16","Added from review",IF(C690="","New",IF(C690=D690,"","Changed"))))</f>
        <v>Pre-seeded</v>
      </c>
      <c r="N690" s="7" t="str">
        <f aca="false">TRIM(SUBSTITUTE(SUBSTITUTE(SUBSTITUTE(" "&amp;TRIM(SUBSTITUTE(SUBSTITUTE(SUBSTITUTE(SUBSTITUTE(SUBSTITUTE(SUBSTITUTE(SUBSTITUTE(SUBSTITUTE(SUBSTITUTE(SUBSTITUTE(SUBSTITUTE(SUBSTITUTE(SUBSTITUTE(SUBSTITUTE(SUBSTITUTE(UPPER(TRIM(A690)),"[MEMBER]",""),"{MEMBER}",""),"[MEMBER}",""),"MEMBER]",""),"(A)",""),"""",""),"“",""),"”",""),".",""),":",""),",",""),"–"," "),"-"," "),"/"," "),"&amp;"," AND "))&amp;" "," THE "," ")," TOTAL "," ")," OPERATIONS "," "))</f>
        <v>HAUTS DE FRANCE</v>
      </c>
      <c r="O690" s="17" t="str">
        <f aca="false">IF(COUNTIFS($N$2:$N$2000,N690,$D$2:$D$2000,"&lt;&gt;"&amp;D690)&gt;0,"CONFLICT","")</f>
        <v/>
      </c>
      <c r="P690" s="7"/>
    </row>
    <row r="691" customFormat="false" ht="15" hidden="false" customHeight="false" outlineLevel="0" collapsed="false">
      <c r="A691" s="7" t="s">
        <v>176</v>
      </c>
      <c r="B691" s="7" t="s">
        <v>1882</v>
      </c>
      <c r="C691" s="7" t="s">
        <v>176</v>
      </c>
      <c r="D691" s="6" t="s">
        <v>176</v>
      </c>
      <c r="E691" s="6" t="s">
        <v>1880</v>
      </c>
      <c r="F691" s="7" t="str">
        <f aca="false">IF($D691="","",IFERROR(IF(INDEX(Hierarchy!$B$2:$B$1295,MATCH($D691,Hierarchy!$A$2:$A$1295,0))="","",INDEX(Hierarchy!$B$2:$B$1295,MATCH($D691,Hierarchy!$A$2:$A$1295,0))),"NODE NOT FOUND"))</f>
        <v>State/Province</v>
      </c>
      <c r="G691" s="7" t="str">
        <f aca="false">IF($D691="","",IFERROR(IF(INDEX(Hierarchy!$D$2:$D$1295,MATCH($D691,Hierarchy!$A$2:$A$1295,0))="","",INDEX(Hierarchy!$D$2:$D$1295,MATCH($D691,Hierarchy!$A$2:$A$1295,0))),"NODE NOT FOUND"))</f>
        <v>AMER</v>
      </c>
      <c r="H691" s="7" t="str">
        <f aca="false">IF($D691="","",IFERROR(IF(INDEX(Hierarchy!$E$2:$E$1295,MATCH($D691,Hierarchy!$A$2:$A$1295,0))="","",INDEX(Hierarchy!$E$2:$E$1295,MATCH($D691,Hierarchy!$A$2:$A$1295,0))),"NODE NOT FOUND"))</f>
        <v>North America (NORAM)</v>
      </c>
      <c r="I691" s="7" t="str">
        <f aca="false">IF($D691="","",IFERROR(IF(INDEX(Hierarchy!$F$2:$F$1295,MATCH($D691,Hierarchy!$A$2:$A$1295,0))="","",INDEX(Hierarchy!$F$2:$F$1295,MATCH($D691,Hierarchy!$A$2:$A$1295,0))),"NODE NOT FOUND"))</f>
        <v>United States</v>
      </c>
      <c r="J691" s="7" t="str">
        <f aca="false">IF($D691="","",IFERROR(IF(INDEX(Hierarchy!$G$2:$G$1295,MATCH($D691,Hierarchy!$A$2:$A$1295,0))="","",INDEX(Hierarchy!$G$2:$G$1295,MATCH($D691,Hierarchy!$A$2:$A$1295,0))),"NODE NOT FOUND"))</f>
        <v>USA</v>
      </c>
      <c r="K691" s="7" t="str">
        <f aca="false">IF($D691="","",IFERROR(IF(INDEX(Hierarchy!$H$2:$H$1295,MATCH($D691,Hierarchy!$A$2:$A$1295,0))="","",INDEX(Hierarchy!$H$2:$H$1295,MATCH($D691,Hierarchy!$A$2:$A$1295,0))),"NODE NOT FOUND"))</f>
        <v>Hawaii</v>
      </c>
      <c r="L691" s="7" t="str">
        <f aca="false">IF($D691="","",IFERROR(IF(INDEX(Hierarchy!$I$2:$I$1295,MATCH($D691,Hierarchy!$A$2:$A$1295,0))="","",INDEX(Hierarchy!$I$2:$I$1295,MATCH($D691,Hierarchy!$A$2:$A$1295,0))),"NODE NOT FOUND"))</f>
        <v/>
      </c>
      <c r="M691" s="17" t="str">
        <f aca="false">IF(B691="Pre-seeded","Pre-seeded",IF(B691="Review 2026-09-16","Added from review",IF(C691="","New",IF(C691=D691,"","Changed"))))</f>
        <v/>
      </c>
      <c r="N691" s="7" t="str">
        <f aca="false">TRIM(SUBSTITUTE(SUBSTITUTE(SUBSTITUTE(" "&amp;TRIM(SUBSTITUTE(SUBSTITUTE(SUBSTITUTE(SUBSTITUTE(SUBSTITUTE(SUBSTITUTE(SUBSTITUTE(SUBSTITUTE(SUBSTITUTE(SUBSTITUTE(SUBSTITUTE(SUBSTITUTE(SUBSTITUTE(SUBSTITUTE(SUBSTITUTE(UPPER(TRIM(A691)),"[MEMBER]",""),"{MEMBER}",""),"[MEMBER}",""),"MEMBER]",""),"(A)",""),"""",""),"“",""),"”",""),".",""),":",""),",",""),"–"," "),"-"," "),"/"," "),"&amp;"," AND "))&amp;" "," THE "," ")," TOTAL "," ")," OPERATIONS "," "))</f>
        <v>HAWAII</v>
      </c>
      <c r="O691" s="17" t="str">
        <f aca="false">IF(COUNTIFS($N$2:$N$2000,N691,$D$2:$D$2000,"&lt;&gt;"&amp;D691)&gt;0,"CONFLICT","")</f>
        <v/>
      </c>
      <c r="P691" s="7"/>
    </row>
    <row r="692" customFormat="false" ht="15" hidden="false" customHeight="false" outlineLevel="0" collapsed="false">
      <c r="A692" s="7" t="s">
        <v>1724</v>
      </c>
      <c r="B692" s="7" t="s">
        <v>1879</v>
      </c>
      <c r="C692" s="7"/>
      <c r="D692" s="6" t="s">
        <v>1724</v>
      </c>
      <c r="E692" s="6" t="s">
        <v>1880</v>
      </c>
      <c r="F692" s="7" t="str">
        <f aca="false">IF($D692="","",IFERROR(IF(INDEX(Hierarchy!$B$2:$B$1295,MATCH($D692,Hierarchy!$A$2:$A$1295,0))="","",INDEX(Hierarchy!$B$2:$B$1295,MATCH($D692,Hierarchy!$A$2:$A$1295,0))),"NODE NOT FOUND"))</f>
        <v>State/Province</v>
      </c>
      <c r="G692" s="7" t="str">
        <f aca="false">IF($D692="","",IFERROR(IF(INDEX(Hierarchy!$D$2:$D$1295,MATCH($D692,Hierarchy!$A$2:$A$1295,0))="","",INDEX(Hierarchy!$D$2:$D$1295,MATCH($D692,Hierarchy!$A$2:$A$1295,0))),"NODE NOT FOUND"))</f>
        <v>APAC</v>
      </c>
      <c r="H692" s="7" t="str">
        <f aca="false">IF($D692="","",IFERROR(IF(INDEX(Hierarchy!$E$2:$E$1295,MATCH($D692,Hierarchy!$A$2:$A$1295,0))="","",INDEX(Hierarchy!$E$2:$E$1295,MATCH($D692,Hierarchy!$A$2:$A$1295,0))),"NODE NOT FOUND"))</f>
        <v>Oceania (ANZ)</v>
      </c>
      <c r="I692" s="7" t="str">
        <f aca="false">IF($D692="","",IFERROR(IF(INDEX(Hierarchy!$F$2:$F$1295,MATCH($D692,Hierarchy!$A$2:$A$1295,0))="","",INDEX(Hierarchy!$F$2:$F$1295,MATCH($D692,Hierarchy!$A$2:$A$1295,0))),"NODE NOT FOUND"))</f>
        <v>New Zealand</v>
      </c>
      <c r="J692" s="7" t="str">
        <f aca="false">IF($D692="","",IFERROR(IF(INDEX(Hierarchy!$G$2:$G$1295,MATCH($D692,Hierarchy!$A$2:$A$1295,0))="","",INDEX(Hierarchy!$G$2:$G$1295,MATCH($D692,Hierarchy!$A$2:$A$1295,0))),"NODE NOT FOUND"))</f>
        <v>NZL</v>
      </c>
      <c r="K692" s="7" t="str">
        <f aca="false">IF($D692="","",IFERROR(IF(INDEX(Hierarchy!$H$2:$H$1295,MATCH($D692,Hierarchy!$A$2:$A$1295,0))="","",INDEX(Hierarchy!$H$2:$H$1295,MATCH($D692,Hierarchy!$A$2:$A$1295,0))),"NODE NOT FOUND"))</f>
        <v>Hawke's Bay</v>
      </c>
      <c r="L692" s="7" t="str">
        <f aca="false">IF($D692="","",IFERROR(IF(INDEX(Hierarchy!$I$2:$I$1295,MATCH($D692,Hierarchy!$A$2:$A$1295,0))="","",INDEX(Hierarchy!$I$2:$I$1295,MATCH($D692,Hierarchy!$A$2:$A$1295,0))),"NODE NOT FOUND"))</f>
        <v/>
      </c>
      <c r="M692" s="17" t="str">
        <f aca="false">IF(B692="Pre-seeded","Pre-seeded",IF(B692="Review 2026-09-16","Added from review",IF(C692="","New",IF(C692=D692,"","Changed"))))</f>
        <v>Pre-seeded</v>
      </c>
      <c r="N692" s="7" t="str">
        <f aca="false">TRIM(SUBSTITUTE(SUBSTITUTE(SUBSTITUTE(" "&amp;TRIM(SUBSTITUTE(SUBSTITUTE(SUBSTITUTE(SUBSTITUTE(SUBSTITUTE(SUBSTITUTE(SUBSTITUTE(SUBSTITUTE(SUBSTITUTE(SUBSTITUTE(SUBSTITUTE(SUBSTITUTE(SUBSTITUTE(SUBSTITUTE(SUBSTITUTE(UPPER(TRIM(A692)),"[MEMBER]",""),"{MEMBER}",""),"[MEMBER}",""),"MEMBER]",""),"(A)",""),"""",""),"“",""),"”",""),".",""),":",""),",",""),"–"," "),"-"," "),"/"," "),"&amp;"," AND "))&amp;" "," THE "," ")," TOTAL "," ")," OPERATIONS "," "))</f>
        <v>HAWKE'S BAY</v>
      </c>
      <c r="O692" s="17" t="str">
        <f aca="false">IF(COUNTIFS($N$2:$N$2000,N692,$D$2:$D$2000,"&lt;&gt;"&amp;D692)&gt;0,"CONFLICT","")</f>
        <v/>
      </c>
      <c r="P692" s="7"/>
    </row>
    <row r="693" customFormat="false" ht="15" hidden="false" customHeight="false" outlineLevel="0" collapsed="false">
      <c r="A693" s="7" t="s">
        <v>1514</v>
      </c>
      <c r="B693" s="7" t="s">
        <v>1879</v>
      </c>
      <c r="C693" s="7"/>
      <c r="D693" s="6" t="s">
        <v>1514</v>
      </c>
      <c r="E693" s="6" t="s">
        <v>1880</v>
      </c>
      <c r="F693" s="7" t="str">
        <f aca="false">IF($D693="","",IFERROR(IF(INDEX(Hierarchy!$B$2:$B$1295,MATCH($D693,Hierarchy!$A$2:$A$1295,0))="","",INDEX(Hierarchy!$B$2:$B$1295,MATCH($D693,Hierarchy!$A$2:$A$1295,0))),"NODE NOT FOUND"))</f>
        <v>State/Province</v>
      </c>
      <c r="G693" s="7" t="str">
        <f aca="false">IF($D693="","",IFERROR(IF(INDEX(Hierarchy!$D$2:$D$1295,MATCH($D693,Hierarchy!$A$2:$A$1295,0))="","",INDEX(Hierarchy!$D$2:$D$1295,MATCH($D693,Hierarchy!$A$2:$A$1295,0))),"NODE NOT FOUND"))</f>
        <v>APAC</v>
      </c>
      <c r="H693" s="7" t="str">
        <f aca="false">IF($D693="","",IFERROR(IF(INDEX(Hierarchy!$E$2:$E$1295,MATCH($D693,Hierarchy!$A$2:$A$1295,0))="","",INDEX(Hierarchy!$E$2:$E$1295,MATCH($D693,Hierarchy!$A$2:$A$1295,0))),"NODE NOT FOUND"))</f>
        <v>East Asia</v>
      </c>
      <c r="I693" s="7" t="str">
        <f aca="false">IF($D693="","",IFERROR(IF(INDEX(Hierarchy!$F$2:$F$1295,MATCH($D693,Hierarchy!$A$2:$A$1295,0))="","",INDEX(Hierarchy!$F$2:$F$1295,MATCH($D693,Hierarchy!$A$2:$A$1295,0))),"NODE NOT FOUND"))</f>
        <v>China</v>
      </c>
      <c r="J693" s="7" t="str">
        <f aca="false">IF($D693="","",IFERROR(IF(INDEX(Hierarchy!$G$2:$G$1295,MATCH($D693,Hierarchy!$A$2:$A$1295,0))="","",INDEX(Hierarchy!$G$2:$G$1295,MATCH($D693,Hierarchy!$A$2:$A$1295,0))),"NODE NOT FOUND"))</f>
        <v>CHN</v>
      </c>
      <c r="K693" s="7" t="str">
        <f aca="false">IF($D693="","",IFERROR(IF(INDEX(Hierarchy!$H$2:$H$1295,MATCH($D693,Hierarchy!$A$2:$A$1295,0))="","",INDEX(Hierarchy!$H$2:$H$1295,MATCH($D693,Hierarchy!$A$2:$A$1295,0))),"NODE NOT FOUND"))</f>
        <v>Hebei</v>
      </c>
      <c r="L693" s="7" t="str">
        <f aca="false">IF($D693="","",IFERROR(IF(INDEX(Hierarchy!$I$2:$I$1295,MATCH($D693,Hierarchy!$A$2:$A$1295,0))="","",INDEX(Hierarchy!$I$2:$I$1295,MATCH($D693,Hierarchy!$A$2:$A$1295,0))),"NODE NOT FOUND"))</f>
        <v/>
      </c>
      <c r="M693" s="17" t="str">
        <f aca="false">IF(B693="Pre-seeded","Pre-seeded",IF(B693="Review 2026-09-16","Added from review",IF(C693="","New",IF(C693=D693,"","Changed"))))</f>
        <v>Pre-seeded</v>
      </c>
      <c r="N693" s="7" t="str">
        <f aca="false">TRIM(SUBSTITUTE(SUBSTITUTE(SUBSTITUTE(" "&amp;TRIM(SUBSTITUTE(SUBSTITUTE(SUBSTITUTE(SUBSTITUTE(SUBSTITUTE(SUBSTITUTE(SUBSTITUTE(SUBSTITUTE(SUBSTITUTE(SUBSTITUTE(SUBSTITUTE(SUBSTITUTE(SUBSTITUTE(SUBSTITUTE(SUBSTITUTE(UPPER(TRIM(A693)),"[MEMBER]",""),"{MEMBER}",""),"[MEMBER}",""),"MEMBER]",""),"(A)",""),"""",""),"“",""),"”",""),".",""),":",""),",",""),"–"," "),"-"," "),"/"," "),"&amp;"," AND "))&amp;" "," THE "," ")," TOTAL "," ")," OPERATIONS "," "))</f>
        <v>HEBEI</v>
      </c>
      <c r="O693" s="17" t="str">
        <f aca="false">IF(COUNTIFS($N$2:$N$2000,N693,$D$2:$D$2000,"&lt;&gt;"&amp;D693)&gt;0,"CONFLICT","")</f>
        <v/>
      </c>
      <c r="P693" s="7"/>
    </row>
    <row r="694" customFormat="false" ht="15" hidden="false" customHeight="false" outlineLevel="0" collapsed="false">
      <c r="A694" s="7" t="s">
        <v>1515</v>
      </c>
      <c r="B694" s="7" t="s">
        <v>1879</v>
      </c>
      <c r="C694" s="7"/>
      <c r="D694" s="6" t="s">
        <v>1515</v>
      </c>
      <c r="E694" s="6" t="s">
        <v>1880</v>
      </c>
      <c r="F694" s="7" t="str">
        <f aca="false">IF($D694="","",IFERROR(IF(INDEX(Hierarchy!$B$2:$B$1295,MATCH($D694,Hierarchy!$A$2:$A$1295,0))="","",INDEX(Hierarchy!$B$2:$B$1295,MATCH($D694,Hierarchy!$A$2:$A$1295,0))),"NODE NOT FOUND"))</f>
        <v>State/Province</v>
      </c>
      <c r="G694" s="7" t="str">
        <f aca="false">IF($D694="","",IFERROR(IF(INDEX(Hierarchy!$D$2:$D$1295,MATCH($D694,Hierarchy!$A$2:$A$1295,0))="","",INDEX(Hierarchy!$D$2:$D$1295,MATCH($D694,Hierarchy!$A$2:$A$1295,0))),"NODE NOT FOUND"))</f>
        <v>APAC</v>
      </c>
      <c r="H694" s="7" t="str">
        <f aca="false">IF($D694="","",IFERROR(IF(INDEX(Hierarchy!$E$2:$E$1295,MATCH($D694,Hierarchy!$A$2:$A$1295,0))="","",INDEX(Hierarchy!$E$2:$E$1295,MATCH($D694,Hierarchy!$A$2:$A$1295,0))),"NODE NOT FOUND"))</f>
        <v>East Asia</v>
      </c>
      <c r="I694" s="7" t="str">
        <f aca="false">IF($D694="","",IFERROR(IF(INDEX(Hierarchy!$F$2:$F$1295,MATCH($D694,Hierarchy!$A$2:$A$1295,0))="","",INDEX(Hierarchy!$F$2:$F$1295,MATCH($D694,Hierarchy!$A$2:$A$1295,0))),"NODE NOT FOUND"))</f>
        <v>China</v>
      </c>
      <c r="J694" s="7" t="str">
        <f aca="false">IF($D694="","",IFERROR(IF(INDEX(Hierarchy!$G$2:$G$1295,MATCH($D694,Hierarchy!$A$2:$A$1295,0))="","",INDEX(Hierarchy!$G$2:$G$1295,MATCH($D694,Hierarchy!$A$2:$A$1295,0))),"NODE NOT FOUND"))</f>
        <v>CHN</v>
      </c>
      <c r="K694" s="7" t="str">
        <f aca="false">IF($D694="","",IFERROR(IF(INDEX(Hierarchy!$H$2:$H$1295,MATCH($D694,Hierarchy!$A$2:$A$1295,0))="","",INDEX(Hierarchy!$H$2:$H$1295,MATCH($D694,Hierarchy!$A$2:$A$1295,0))),"NODE NOT FOUND"))</f>
        <v>Heilongjiang</v>
      </c>
      <c r="L694" s="7" t="str">
        <f aca="false">IF($D694="","",IFERROR(IF(INDEX(Hierarchy!$I$2:$I$1295,MATCH($D694,Hierarchy!$A$2:$A$1295,0))="","",INDEX(Hierarchy!$I$2:$I$1295,MATCH($D694,Hierarchy!$A$2:$A$1295,0))),"NODE NOT FOUND"))</f>
        <v/>
      </c>
      <c r="M694" s="17" t="str">
        <f aca="false">IF(B694="Pre-seeded","Pre-seeded",IF(B694="Review 2026-09-16","Added from review",IF(C694="","New",IF(C694=D694,"","Changed"))))</f>
        <v>Pre-seeded</v>
      </c>
      <c r="N694" s="7" t="str">
        <f aca="false">TRIM(SUBSTITUTE(SUBSTITUTE(SUBSTITUTE(" "&amp;TRIM(SUBSTITUTE(SUBSTITUTE(SUBSTITUTE(SUBSTITUTE(SUBSTITUTE(SUBSTITUTE(SUBSTITUTE(SUBSTITUTE(SUBSTITUTE(SUBSTITUTE(SUBSTITUTE(SUBSTITUTE(SUBSTITUTE(SUBSTITUTE(SUBSTITUTE(UPPER(TRIM(A694)),"[MEMBER]",""),"{MEMBER}",""),"[MEMBER}",""),"MEMBER]",""),"(A)",""),"""",""),"“",""),"”",""),".",""),":",""),",",""),"–"," "),"-"," "),"/"," "),"&amp;"," AND "))&amp;" "," THE "," ")," TOTAL "," ")," OPERATIONS "," "))</f>
        <v>HEILONGJIANG</v>
      </c>
      <c r="O694" s="17" t="str">
        <f aca="false">IF(COUNTIFS($N$2:$N$2000,N694,$D$2:$D$2000,"&lt;&gt;"&amp;D694)&gt;0,"CONFLICT","")</f>
        <v/>
      </c>
      <c r="P694" s="7"/>
    </row>
    <row r="695" customFormat="false" ht="15" hidden="false" customHeight="false" outlineLevel="0" collapsed="false">
      <c r="A695" s="7" t="s">
        <v>2241</v>
      </c>
      <c r="B695" s="7" t="s">
        <v>1879</v>
      </c>
      <c r="C695" s="7"/>
      <c r="D695" s="6" t="s">
        <v>806</v>
      </c>
      <c r="E695" s="6" t="s">
        <v>1880</v>
      </c>
      <c r="F695" s="7" t="str">
        <f aca="false">IF($D695="","",IFERROR(IF(INDEX(Hierarchy!$B$2:$B$1295,MATCH($D695,Hierarchy!$A$2:$A$1295,0))="","",INDEX(Hierarchy!$B$2:$B$1295,MATCH($D695,Hierarchy!$A$2:$A$1295,0))),"NODE NOT FOUND"))</f>
        <v>Country</v>
      </c>
      <c r="G695" s="7" t="str">
        <f aca="false">IF($D695="","",IFERROR(IF(INDEX(Hierarchy!$D$2:$D$1295,MATCH($D695,Hierarchy!$A$2:$A$1295,0))="","",INDEX(Hierarchy!$D$2:$D$1295,MATCH($D695,Hierarchy!$A$2:$A$1295,0))),"NODE NOT FOUND"))</f>
        <v>EMEA</v>
      </c>
      <c r="H695" s="7" t="str">
        <f aca="false">IF($D695="","",IFERROR(IF(INDEX(Hierarchy!$E$2:$E$1295,MATCH($D695,Hierarchy!$A$2:$A$1295,0))="","",INDEX(Hierarchy!$E$2:$E$1295,MATCH($D695,Hierarchy!$A$2:$A$1295,0))),"NODE NOT FOUND"))</f>
        <v>Europe</v>
      </c>
      <c r="I695" s="7" t="str">
        <f aca="false">IF($D695="","",IFERROR(IF(INDEX(Hierarchy!$F$2:$F$1295,MATCH($D695,Hierarchy!$A$2:$A$1295,0))="","",INDEX(Hierarchy!$F$2:$F$1295,MATCH($D695,Hierarchy!$A$2:$A$1295,0))),"NODE NOT FOUND"))</f>
        <v>Greece</v>
      </c>
      <c r="J695" s="7" t="str">
        <f aca="false">IF($D695="","",IFERROR(IF(INDEX(Hierarchy!$G$2:$G$1295,MATCH($D695,Hierarchy!$A$2:$A$1295,0))="","",INDEX(Hierarchy!$G$2:$G$1295,MATCH($D695,Hierarchy!$A$2:$A$1295,0))),"NODE NOT FOUND"))</f>
        <v>GRC</v>
      </c>
      <c r="K695" s="7" t="str">
        <f aca="false">IF($D695="","",IFERROR(IF(INDEX(Hierarchy!$H$2:$H$1295,MATCH($D695,Hierarchy!$A$2:$A$1295,0))="","",INDEX(Hierarchy!$H$2:$H$1295,MATCH($D695,Hierarchy!$A$2:$A$1295,0))),"NODE NOT FOUND"))</f>
        <v/>
      </c>
      <c r="L695" s="7" t="str">
        <f aca="false">IF($D695="","",IFERROR(IF(INDEX(Hierarchy!$I$2:$I$1295,MATCH($D695,Hierarchy!$A$2:$A$1295,0))="","",INDEX(Hierarchy!$I$2:$I$1295,MATCH($D695,Hierarchy!$A$2:$A$1295,0))),"NODE NOT FOUND"))</f>
        <v/>
      </c>
      <c r="M695" s="17" t="str">
        <f aca="false">IF(B695="Pre-seeded","Pre-seeded",IF(B695="Review 2026-09-16","Added from review",IF(C695="","New",IF(C695=D695,"","Changed"))))</f>
        <v>Pre-seeded</v>
      </c>
      <c r="N695" s="7" t="str">
        <f aca="false">TRIM(SUBSTITUTE(SUBSTITUTE(SUBSTITUTE(" "&amp;TRIM(SUBSTITUTE(SUBSTITUTE(SUBSTITUTE(SUBSTITUTE(SUBSTITUTE(SUBSTITUTE(SUBSTITUTE(SUBSTITUTE(SUBSTITUTE(SUBSTITUTE(SUBSTITUTE(SUBSTITUTE(SUBSTITUTE(SUBSTITUTE(SUBSTITUTE(UPPER(TRIM(A695)),"[MEMBER]",""),"{MEMBER}",""),"[MEMBER}",""),"MEMBER]",""),"(A)",""),"""",""),"“",""),"”",""),".",""),":",""),",",""),"–"," "),"-"," "),"/"," "),"&amp;"," AND "))&amp;" "," THE "," ")," TOTAL "," ")," OPERATIONS "," "))</f>
        <v>HELLENIC REPUBLIC</v>
      </c>
      <c r="O695" s="17" t="str">
        <f aca="false">IF(COUNTIFS($N$2:$N$2000,N695,$D$2:$D$2000,"&lt;&gt;"&amp;D695)&gt;0,"CONFLICT","")</f>
        <v/>
      </c>
      <c r="P695" s="7" t="s">
        <v>1936</v>
      </c>
    </row>
    <row r="696" customFormat="false" ht="15" hidden="false" customHeight="false" outlineLevel="0" collapsed="false">
      <c r="A696" s="7" t="s">
        <v>1516</v>
      </c>
      <c r="B696" s="7" t="s">
        <v>1879</v>
      </c>
      <c r="C696" s="7"/>
      <c r="D696" s="6" t="s">
        <v>1516</v>
      </c>
      <c r="E696" s="6" t="s">
        <v>1880</v>
      </c>
      <c r="F696" s="7" t="str">
        <f aca="false">IF($D696="","",IFERROR(IF(INDEX(Hierarchy!$B$2:$B$1295,MATCH($D696,Hierarchy!$A$2:$A$1295,0))="","",INDEX(Hierarchy!$B$2:$B$1295,MATCH($D696,Hierarchy!$A$2:$A$1295,0))),"NODE NOT FOUND"))</f>
        <v>State/Province</v>
      </c>
      <c r="G696" s="7" t="str">
        <f aca="false">IF($D696="","",IFERROR(IF(INDEX(Hierarchy!$D$2:$D$1295,MATCH($D696,Hierarchy!$A$2:$A$1295,0))="","",INDEX(Hierarchy!$D$2:$D$1295,MATCH($D696,Hierarchy!$A$2:$A$1295,0))),"NODE NOT FOUND"))</f>
        <v>APAC</v>
      </c>
      <c r="H696" s="7" t="str">
        <f aca="false">IF($D696="","",IFERROR(IF(INDEX(Hierarchy!$E$2:$E$1295,MATCH($D696,Hierarchy!$A$2:$A$1295,0))="","",INDEX(Hierarchy!$E$2:$E$1295,MATCH($D696,Hierarchy!$A$2:$A$1295,0))),"NODE NOT FOUND"))</f>
        <v>East Asia</v>
      </c>
      <c r="I696" s="7" t="str">
        <f aca="false">IF($D696="","",IFERROR(IF(INDEX(Hierarchy!$F$2:$F$1295,MATCH($D696,Hierarchy!$A$2:$A$1295,0))="","",INDEX(Hierarchy!$F$2:$F$1295,MATCH($D696,Hierarchy!$A$2:$A$1295,0))),"NODE NOT FOUND"))</f>
        <v>China</v>
      </c>
      <c r="J696" s="7" t="str">
        <f aca="false">IF($D696="","",IFERROR(IF(INDEX(Hierarchy!$G$2:$G$1295,MATCH($D696,Hierarchy!$A$2:$A$1295,0))="","",INDEX(Hierarchy!$G$2:$G$1295,MATCH($D696,Hierarchy!$A$2:$A$1295,0))),"NODE NOT FOUND"))</f>
        <v>CHN</v>
      </c>
      <c r="K696" s="7" t="str">
        <f aca="false">IF($D696="","",IFERROR(IF(INDEX(Hierarchy!$H$2:$H$1295,MATCH($D696,Hierarchy!$A$2:$A$1295,0))="","",INDEX(Hierarchy!$H$2:$H$1295,MATCH($D696,Hierarchy!$A$2:$A$1295,0))),"NODE NOT FOUND"))</f>
        <v>Henan</v>
      </c>
      <c r="L696" s="7" t="str">
        <f aca="false">IF($D696="","",IFERROR(IF(INDEX(Hierarchy!$I$2:$I$1295,MATCH($D696,Hierarchy!$A$2:$A$1295,0))="","",INDEX(Hierarchy!$I$2:$I$1295,MATCH($D696,Hierarchy!$A$2:$A$1295,0))),"NODE NOT FOUND"))</f>
        <v/>
      </c>
      <c r="M696" s="17" t="str">
        <f aca="false">IF(B696="Pre-seeded","Pre-seeded",IF(B696="Review 2026-09-16","Added from review",IF(C696="","New",IF(C696=D696,"","Changed"))))</f>
        <v>Pre-seeded</v>
      </c>
      <c r="N696" s="7" t="str">
        <f aca="false">TRIM(SUBSTITUTE(SUBSTITUTE(SUBSTITUTE(" "&amp;TRIM(SUBSTITUTE(SUBSTITUTE(SUBSTITUTE(SUBSTITUTE(SUBSTITUTE(SUBSTITUTE(SUBSTITUTE(SUBSTITUTE(SUBSTITUTE(SUBSTITUTE(SUBSTITUTE(SUBSTITUTE(SUBSTITUTE(SUBSTITUTE(SUBSTITUTE(UPPER(TRIM(A696)),"[MEMBER]",""),"{MEMBER}",""),"[MEMBER}",""),"MEMBER]",""),"(A)",""),"""",""),"“",""),"”",""),".",""),":",""),",",""),"–"," "),"-"," "),"/"," "),"&amp;"," AND "))&amp;" "," THE "," ")," TOTAL "," ")," OPERATIONS "," "))</f>
        <v>HENAN</v>
      </c>
      <c r="O696" s="17" t="str">
        <f aca="false">IF(COUNTIFS($N$2:$N$2000,N696,$D$2:$D$2000,"&lt;&gt;"&amp;D696)&gt;0,"CONFLICT","")</f>
        <v/>
      </c>
      <c r="P696" s="7"/>
    </row>
    <row r="697" customFormat="false" ht="15" hidden="false" customHeight="false" outlineLevel="0" collapsed="false">
      <c r="A697" s="7" t="s">
        <v>701</v>
      </c>
      <c r="B697" s="7" t="s">
        <v>1879</v>
      </c>
      <c r="C697" s="7"/>
      <c r="D697" s="6" t="s">
        <v>701</v>
      </c>
      <c r="E697" s="6" t="s">
        <v>1880</v>
      </c>
      <c r="F697" s="7" t="str">
        <f aca="false">IF($D697="","",IFERROR(IF(INDEX(Hierarchy!$B$2:$B$1295,MATCH($D697,Hierarchy!$A$2:$A$1295,0))="","",INDEX(Hierarchy!$B$2:$B$1295,MATCH($D697,Hierarchy!$A$2:$A$1295,0))),"NODE NOT FOUND"))</f>
        <v>State/Province</v>
      </c>
      <c r="G697" s="7" t="str">
        <f aca="false">IF($D697="","",IFERROR(IF(INDEX(Hierarchy!$D$2:$D$1295,MATCH($D697,Hierarchy!$A$2:$A$1295,0))="","",INDEX(Hierarchy!$D$2:$D$1295,MATCH($D697,Hierarchy!$A$2:$A$1295,0))),"NODE NOT FOUND"))</f>
        <v>EMEA</v>
      </c>
      <c r="H697" s="7" t="str">
        <f aca="false">IF($D697="","",IFERROR(IF(INDEX(Hierarchy!$E$2:$E$1295,MATCH($D697,Hierarchy!$A$2:$A$1295,0))="","",INDEX(Hierarchy!$E$2:$E$1295,MATCH($D697,Hierarchy!$A$2:$A$1295,0))),"NODE NOT FOUND"))</f>
        <v>Europe</v>
      </c>
      <c r="I697" s="7" t="str">
        <f aca="false">IF($D697="","",IFERROR(IF(INDEX(Hierarchy!$F$2:$F$1295,MATCH($D697,Hierarchy!$A$2:$A$1295,0))="","",INDEX(Hierarchy!$F$2:$F$1295,MATCH($D697,Hierarchy!$A$2:$A$1295,0))),"NODE NOT FOUND"))</f>
        <v>Germany</v>
      </c>
      <c r="J697" s="7" t="str">
        <f aca="false">IF($D697="","",IFERROR(IF(INDEX(Hierarchy!$G$2:$G$1295,MATCH($D697,Hierarchy!$A$2:$A$1295,0))="","",INDEX(Hierarchy!$G$2:$G$1295,MATCH($D697,Hierarchy!$A$2:$A$1295,0))),"NODE NOT FOUND"))</f>
        <v>DEU</v>
      </c>
      <c r="K697" s="7" t="str">
        <f aca="false">IF($D697="","",IFERROR(IF(INDEX(Hierarchy!$H$2:$H$1295,MATCH($D697,Hierarchy!$A$2:$A$1295,0))="","",INDEX(Hierarchy!$H$2:$H$1295,MATCH($D697,Hierarchy!$A$2:$A$1295,0))),"NODE NOT FOUND"))</f>
        <v>Hesse</v>
      </c>
      <c r="L697" s="7" t="str">
        <f aca="false">IF($D697="","",IFERROR(IF(INDEX(Hierarchy!$I$2:$I$1295,MATCH($D697,Hierarchy!$A$2:$A$1295,0))="","",INDEX(Hierarchy!$I$2:$I$1295,MATCH($D697,Hierarchy!$A$2:$A$1295,0))),"NODE NOT FOUND"))</f>
        <v/>
      </c>
      <c r="M697" s="17" t="str">
        <f aca="false">IF(B697="Pre-seeded","Pre-seeded",IF(B697="Review 2026-09-16","Added from review",IF(C697="","New",IF(C697=D697,"","Changed"))))</f>
        <v>Pre-seeded</v>
      </c>
      <c r="N697" s="7" t="str">
        <f aca="false">TRIM(SUBSTITUTE(SUBSTITUTE(SUBSTITUTE(" "&amp;TRIM(SUBSTITUTE(SUBSTITUTE(SUBSTITUTE(SUBSTITUTE(SUBSTITUTE(SUBSTITUTE(SUBSTITUTE(SUBSTITUTE(SUBSTITUTE(SUBSTITUTE(SUBSTITUTE(SUBSTITUTE(SUBSTITUTE(SUBSTITUTE(SUBSTITUTE(UPPER(TRIM(A697)),"[MEMBER]",""),"{MEMBER}",""),"[MEMBER}",""),"MEMBER]",""),"(A)",""),"""",""),"“",""),"”",""),".",""),":",""),",",""),"–"," "),"-"," "),"/"," "),"&amp;"," AND "))&amp;" "," THE "," ")," TOTAL "," ")," OPERATIONS "," "))</f>
        <v>HESSE</v>
      </c>
      <c r="O697" s="17" t="str">
        <f aca="false">IF(COUNTIFS($N$2:$N$2000,N697,$D$2:$D$2000,"&lt;&gt;"&amp;D697)&gt;0,"CONFLICT","")</f>
        <v/>
      </c>
      <c r="P697" s="7"/>
    </row>
    <row r="698" customFormat="false" ht="15" hidden="false" customHeight="false" outlineLevel="0" collapsed="false">
      <c r="A698" s="7" t="s">
        <v>2242</v>
      </c>
      <c r="B698" s="7" t="s">
        <v>1879</v>
      </c>
      <c r="C698" s="7"/>
      <c r="D698" s="6" t="s">
        <v>701</v>
      </c>
      <c r="E698" s="6" t="s">
        <v>1880</v>
      </c>
      <c r="F698" s="7" t="str">
        <f aca="false">IF($D698="","",IFERROR(IF(INDEX(Hierarchy!$B$2:$B$1295,MATCH($D698,Hierarchy!$A$2:$A$1295,0))="","",INDEX(Hierarchy!$B$2:$B$1295,MATCH($D698,Hierarchy!$A$2:$A$1295,0))),"NODE NOT FOUND"))</f>
        <v>State/Province</v>
      </c>
      <c r="G698" s="7" t="str">
        <f aca="false">IF($D698="","",IFERROR(IF(INDEX(Hierarchy!$D$2:$D$1295,MATCH($D698,Hierarchy!$A$2:$A$1295,0))="","",INDEX(Hierarchy!$D$2:$D$1295,MATCH($D698,Hierarchy!$A$2:$A$1295,0))),"NODE NOT FOUND"))</f>
        <v>EMEA</v>
      </c>
      <c r="H698" s="7" t="str">
        <f aca="false">IF($D698="","",IFERROR(IF(INDEX(Hierarchy!$E$2:$E$1295,MATCH($D698,Hierarchy!$A$2:$A$1295,0))="","",INDEX(Hierarchy!$E$2:$E$1295,MATCH($D698,Hierarchy!$A$2:$A$1295,0))),"NODE NOT FOUND"))</f>
        <v>Europe</v>
      </c>
      <c r="I698" s="7" t="str">
        <f aca="false">IF($D698="","",IFERROR(IF(INDEX(Hierarchy!$F$2:$F$1295,MATCH($D698,Hierarchy!$A$2:$A$1295,0))="","",INDEX(Hierarchy!$F$2:$F$1295,MATCH($D698,Hierarchy!$A$2:$A$1295,0))),"NODE NOT FOUND"))</f>
        <v>Germany</v>
      </c>
      <c r="J698" s="7" t="str">
        <f aca="false">IF($D698="","",IFERROR(IF(INDEX(Hierarchy!$G$2:$G$1295,MATCH($D698,Hierarchy!$A$2:$A$1295,0))="","",INDEX(Hierarchy!$G$2:$G$1295,MATCH($D698,Hierarchy!$A$2:$A$1295,0))),"NODE NOT FOUND"))</f>
        <v>DEU</v>
      </c>
      <c r="K698" s="7" t="str">
        <f aca="false">IF($D698="","",IFERROR(IF(INDEX(Hierarchy!$H$2:$H$1295,MATCH($D698,Hierarchy!$A$2:$A$1295,0))="","",INDEX(Hierarchy!$H$2:$H$1295,MATCH($D698,Hierarchy!$A$2:$A$1295,0))),"NODE NOT FOUND"))</f>
        <v>Hesse</v>
      </c>
      <c r="L698" s="7" t="str">
        <f aca="false">IF($D698="","",IFERROR(IF(INDEX(Hierarchy!$I$2:$I$1295,MATCH($D698,Hierarchy!$A$2:$A$1295,0))="","",INDEX(Hierarchy!$I$2:$I$1295,MATCH($D698,Hierarchy!$A$2:$A$1295,0))),"NODE NOT FOUND"))</f>
        <v/>
      </c>
      <c r="M698" s="17" t="str">
        <f aca="false">IF(B698="Pre-seeded","Pre-seeded",IF(B698="Review 2026-09-16","Added from review",IF(C698="","New",IF(C698=D698,"","Changed"))))</f>
        <v>Pre-seeded</v>
      </c>
      <c r="N698" s="7" t="str">
        <f aca="false">TRIM(SUBSTITUTE(SUBSTITUTE(SUBSTITUTE(" "&amp;TRIM(SUBSTITUTE(SUBSTITUTE(SUBSTITUTE(SUBSTITUTE(SUBSTITUTE(SUBSTITUTE(SUBSTITUTE(SUBSTITUTE(SUBSTITUTE(SUBSTITUTE(SUBSTITUTE(SUBSTITUTE(SUBSTITUTE(SUBSTITUTE(SUBSTITUTE(UPPER(TRIM(A698)),"[MEMBER]",""),"{MEMBER}",""),"[MEMBER}",""),"MEMBER]",""),"(A)",""),"""",""),"“",""),"”",""),".",""),":",""),",",""),"–"," "),"-"," "),"/"," "),"&amp;"," AND "))&amp;" "," THE "," ")," TOTAL "," ")," OPERATIONS "," "))</f>
        <v>HESSEN</v>
      </c>
      <c r="O698" s="17" t="str">
        <f aca="false">IF(COUNTIFS($N$2:$N$2000,N698,$D$2:$D$2000,"&lt;&gt;"&amp;D698)&gt;0,"CONFLICT","")</f>
        <v/>
      </c>
      <c r="P698" s="7"/>
    </row>
    <row r="699" customFormat="false" ht="15" hidden="false" customHeight="false" outlineLevel="0" collapsed="false">
      <c r="A699" s="7" t="s">
        <v>395</v>
      </c>
      <c r="B699" s="7" t="s">
        <v>1879</v>
      </c>
      <c r="C699" s="7"/>
      <c r="D699" s="6" t="s">
        <v>395</v>
      </c>
      <c r="E699" s="6" t="s">
        <v>1880</v>
      </c>
      <c r="F699" s="7" t="str">
        <f aca="false">IF($D699="","",IFERROR(IF(INDEX(Hierarchy!$B$2:$B$1295,MATCH($D699,Hierarchy!$A$2:$A$1295,0))="","",INDEX(Hierarchy!$B$2:$B$1295,MATCH($D699,Hierarchy!$A$2:$A$1295,0))),"NODE NOT FOUND"))</f>
        <v>State/Province</v>
      </c>
      <c r="G699" s="7" t="str">
        <f aca="false">IF($D699="","",IFERROR(IF(INDEX(Hierarchy!$D$2:$D$1295,MATCH($D699,Hierarchy!$A$2:$A$1295,0))="","",INDEX(Hierarchy!$D$2:$D$1295,MATCH($D699,Hierarchy!$A$2:$A$1295,0))),"NODE NOT FOUND"))</f>
        <v>AMER</v>
      </c>
      <c r="H699" s="7" t="str">
        <f aca="false">IF($D699="","",IFERROR(IF(INDEX(Hierarchy!$E$2:$E$1295,MATCH($D699,Hierarchy!$A$2:$A$1295,0))="","",INDEX(Hierarchy!$E$2:$E$1295,MATCH($D699,Hierarchy!$A$2:$A$1295,0))),"NODE NOT FOUND"))</f>
        <v>Latin America (LATAM)</v>
      </c>
      <c r="I699" s="7" t="str">
        <f aca="false">IF($D699="","",IFERROR(IF(INDEX(Hierarchy!$F$2:$F$1295,MATCH($D699,Hierarchy!$A$2:$A$1295,0))="","",INDEX(Hierarchy!$F$2:$F$1295,MATCH($D699,Hierarchy!$A$2:$A$1295,0))),"NODE NOT FOUND"))</f>
        <v>Mexico</v>
      </c>
      <c r="J699" s="7" t="str">
        <f aca="false">IF($D699="","",IFERROR(IF(INDEX(Hierarchy!$G$2:$G$1295,MATCH($D699,Hierarchy!$A$2:$A$1295,0))="","",INDEX(Hierarchy!$G$2:$G$1295,MATCH($D699,Hierarchy!$A$2:$A$1295,0))),"NODE NOT FOUND"))</f>
        <v>MEX</v>
      </c>
      <c r="K699" s="7" t="str">
        <f aca="false">IF($D699="","",IFERROR(IF(INDEX(Hierarchy!$H$2:$H$1295,MATCH($D699,Hierarchy!$A$2:$A$1295,0))="","",INDEX(Hierarchy!$H$2:$H$1295,MATCH($D699,Hierarchy!$A$2:$A$1295,0))),"NODE NOT FOUND"))</f>
        <v>Hidalgo</v>
      </c>
      <c r="L699" s="7" t="str">
        <f aca="false">IF($D699="","",IFERROR(IF(INDEX(Hierarchy!$I$2:$I$1295,MATCH($D699,Hierarchy!$A$2:$A$1295,0))="","",INDEX(Hierarchy!$I$2:$I$1295,MATCH($D699,Hierarchy!$A$2:$A$1295,0))),"NODE NOT FOUND"))</f>
        <v/>
      </c>
      <c r="M699" s="17" t="str">
        <f aca="false">IF(B699="Pre-seeded","Pre-seeded",IF(B699="Review 2026-09-16","Added from review",IF(C699="","New",IF(C699=D699,"","Changed"))))</f>
        <v>Pre-seeded</v>
      </c>
      <c r="N699" s="7" t="str">
        <f aca="false">TRIM(SUBSTITUTE(SUBSTITUTE(SUBSTITUTE(" "&amp;TRIM(SUBSTITUTE(SUBSTITUTE(SUBSTITUTE(SUBSTITUTE(SUBSTITUTE(SUBSTITUTE(SUBSTITUTE(SUBSTITUTE(SUBSTITUTE(SUBSTITUTE(SUBSTITUTE(SUBSTITUTE(SUBSTITUTE(SUBSTITUTE(SUBSTITUTE(UPPER(TRIM(A699)),"[MEMBER]",""),"{MEMBER}",""),"[MEMBER}",""),"MEMBER]",""),"(A)",""),"""",""),"“",""),"”",""),".",""),":",""),",",""),"–"," "),"-"," "),"/"," "),"&amp;"," AND "))&amp;" "," THE "," ")," TOTAL "," ")," OPERATIONS "," "))</f>
        <v>HIDALGO</v>
      </c>
      <c r="O699" s="17" t="str">
        <f aca="false">IF(COUNTIFS($N$2:$N$2000,N699,$D$2:$D$2000,"&lt;&gt;"&amp;D699)&gt;0,"CONFLICT","")</f>
        <v/>
      </c>
      <c r="P699" s="7"/>
    </row>
    <row r="700" customFormat="false" ht="15" hidden="false" customHeight="false" outlineLevel="0" collapsed="false">
      <c r="A700" s="7" t="s">
        <v>87</v>
      </c>
      <c r="B700" s="7" t="s">
        <v>1879</v>
      </c>
      <c r="C700" s="7"/>
      <c r="D700" s="6" t="s">
        <v>1827</v>
      </c>
      <c r="E700" s="6" t="s">
        <v>1880</v>
      </c>
      <c r="F700" s="7" t="str">
        <f aca="false">IF($D700="","",IFERROR(IF(INDEX(Hierarchy!$B$2:$B$1295,MATCH($D700,Hierarchy!$A$2:$A$1295,0))="","",INDEX(Hierarchy!$B$2:$B$1295,MATCH($D700,Hierarchy!$A$2:$A$1295,0))),"NODE NOT FOUND"))</f>
        <v>Reference grouping</v>
      </c>
      <c r="G700" s="7" t="str">
        <f aca="false">IF($D700="","",IFERROR(IF(INDEX(Hierarchy!$D$2:$D$1295,MATCH($D700,Hierarchy!$A$2:$A$1295,0))="","",INDEX(Hierarchy!$D$2:$D$1295,MATCH($D700,Hierarchy!$A$2:$A$1295,0))),"NODE NOT FOUND"))</f>
        <v>Reference (UN / World Bank)</v>
      </c>
      <c r="H700" s="7" t="str">
        <f aca="false">IF($D700="","",IFERROR(IF(INDEX(Hierarchy!$E$2:$E$1295,MATCH($D700,Hierarchy!$A$2:$A$1295,0))="","",INDEX(Hierarchy!$E$2:$E$1295,MATCH($D700,Hierarchy!$A$2:$A$1295,0))),"NODE NOT FOUND"))</f>
        <v/>
      </c>
      <c r="I700" s="7" t="str">
        <f aca="false">IF($D700="","",IFERROR(IF(INDEX(Hierarchy!$F$2:$F$1295,MATCH($D700,Hierarchy!$A$2:$A$1295,0))="","",INDEX(Hierarchy!$F$2:$F$1295,MATCH($D700,Hierarchy!$A$2:$A$1295,0))),"NODE NOT FOUND"))</f>
        <v/>
      </c>
      <c r="J700" s="7" t="str">
        <f aca="false">IF($D700="","",IFERROR(IF(INDEX(Hierarchy!$G$2:$G$1295,MATCH($D700,Hierarchy!$A$2:$A$1295,0))="","",INDEX(Hierarchy!$G$2:$G$1295,MATCH($D700,Hierarchy!$A$2:$A$1295,0))),"NODE NOT FOUND"))</f>
        <v/>
      </c>
      <c r="K700" s="7" t="str">
        <f aca="false">IF($D700="","",IFERROR(IF(INDEX(Hierarchy!$H$2:$H$1295,MATCH($D700,Hierarchy!$A$2:$A$1295,0))="","",INDEX(Hierarchy!$H$2:$H$1295,MATCH($D700,Hierarchy!$A$2:$A$1295,0))),"NODE NOT FOUND"))</f>
        <v/>
      </c>
      <c r="L700" s="7" t="str">
        <f aca="false">IF($D700="","",IFERROR(IF(INDEX(Hierarchy!$I$2:$I$1295,MATCH($D700,Hierarchy!$A$2:$A$1295,0))="","",INDEX(Hierarchy!$I$2:$I$1295,MATCH($D700,Hierarchy!$A$2:$A$1295,0))),"NODE NOT FOUND"))</f>
        <v/>
      </c>
      <c r="M700" s="17" t="str">
        <f aca="false">IF(B700="Pre-seeded","Pre-seeded",IF(B700="Review 2026-09-16","Added from review",IF(C700="","New",IF(C700=D700,"","Changed"))))</f>
        <v>Pre-seeded</v>
      </c>
      <c r="N700" s="7" t="str">
        <f aca="false">TRIM(SUBSTITUTE(SUBSTITUTE(SUBSTITUTE(" "&amp;TRIM(SUBSTITUTE(SUBSTITUTE(SUBSTITUTE(SUBSTITUTE(SUBSTITUTE(SUBSTITUTE(SUBSTITUTE(SUBSTITUTE(SUBSTITUTE(SUBSTITUTE(SUBSTITUTE(SUBSTITUTE(SUBSTITUTE(SUBSTITUTE(SUBSTITUTE(UPPER(TRIM(A700)),"[MEMBER]",""),"{MEMBER}",""),"[MEMBER}",""),"MEMBER]",""),"(A)",""),"""",""),"“",""),"”",""),".",""),":",""),",",""),"–"," "),"-"," "),"/"," "),"&amp;"," AND "))&amp;" "," THE "," ")," TOTAL "," ")," OPERATIONS "," "))</f>
        <v>HIGH INCOME</v>
      </c>
      <c r="O700" s="17" t="str">
        <f aca="false">IF(COUNTIFS($N$2:$N$2000,N700,$D$2:$D$2000,"&lt;&gt;"&amp;D700)&gt;0,"CONFLICT","")</f>
        <v/>
      </c>
      <c r="P700" s="7"/>
    </row>
    <row r="701" customFormat="false" ht="15" hidden="false" customHeight="false" outlineLevel="0" collapsed="false">
      <c r="A701" s="7" t="s">
        <v>1827</v>
      </c>
      <c r="B701" s="7" t="s">
        <v>1879</v>
      </c>
      <c r="C701" s="7"/>
      <c r="D701" s="6" t="s">
        <v>1827</v>
      </c>
      <c r="E701" s="6" t="s">
        <v>1880</v>
      </c>
      <c r="F701" s="7" t="str">
        <f aca="false">IF($D701="","",IFERROR(IF(INDEX(Hierarchy!$B$2:$B$1295,MATCH($D701,Hierarchy!$A$2:$A$1295,0))="","",INDEX(Hierarchy!$B$2:$B$1295,MATCH($D701,Hierarchy!$A$2:$A$1295,0))),"NODE NOT FOUND"))</f>
        <v>Reference grouping</v>
      </c>
      <c r="G701" s="7" t="str">
        <f aca="false">IF($D701="","",IFERROR(IF(INDEX(Hierarchy!$D$2:$D$1295,MATCH($D701,Hierarchy!$A$2:$A$1295,0))="","",INDEX(Hierarchy!$D$2:$D$1295,MATCH($D701,Hierarchy!$A$2:$A$1295,0))),"NODE NOT FOUND"))</f>
        <v>Reference (UN / World Bank)</v>
      </c>
      <c r="H701" s="7" t="str">
        <f aca="false">IF($D701="","",IFERROR(IF(INDEX(Hierarchy!$E$2:$E$1295,MATCH($D701,Hierarchy!$A$2:$A$1295,0))="","",INDEX(Hierarchy!$E$2:$E$1295,MATCH($D701,Hierarchy!$A$2:$A$1295,0))),"NODE NOT FOUND"))</f>
        <v/>
      </c>
      <c r="I701" s="7" t="str">
        <f aca="false">IF($D701="","",IFERROR(IF(INDEX(Hierarchy!$F$2:$F$1295,MATCH($D701,Hierarchy!$A$2:$A$1295,0))="","",INDEX(Hierarchy!$F$2:$F$1295,MATCH($D701,Hierarchy!$A$2:$A$1295,0))),"NODE NOT FOUND"))</f>
        <v/>
      </c>
      <c r="J701" s="7" t="str">
        <f aca="false">IF($D701="","",IFERROR(IF(INDEX(Hierarchy!$G$2:$G$1295,MATCH($D701,Hierarchy!$A$2:$A$1295,0))="","",INDEX(Hierarchy!$G$2:$G$1295,MATCH($D701,Hierarchy!$A$2:$A$1295,0))),"NODE NOT FOUND"))</f>
        <v/>
      </c>
      <c r="K701" s="7" t="str">
        <f aca="false">IF($D701="","",IFERROR(IF(INDEX(Hierarchy!$H$2:$H$1295,MATCH($D701,Hierarchy!$A$2:$A$1295,0))="","",INDEX(Hierarchy!$H$2:$H$1295,MATCH($D701,Hierarchy!$A$2:$A$1295,0))),"NODE NOT FOUND"))</f>
        <v/>
      </c>
      <c r="L701" s="7" t="str">
        <f aca="false">IF($D701="","",IFERROR(IF(INDEX(Hierarchy!$I$2:$I$1295,MATCH($D701,Hierarchy!$A$2:$A$1295,0))="","",INDEX(Hierarchy!$I$2:$I$1295,MATCH($D701,Hierarchy!$A$2:$A$1295,0))),"NODE NOT FOUND"))</f>
        <v/>
      </c>
      <c r="M701" s="17" t="str">
        <f aca="false">IF(B701="Pre-seeded","Pre-seeded",IF(B701="Review 2026-09-16","Added from review",IF(C701="","New",IF(C701=D701,"","Changed"))))</f>
        <v>Pre-seeded</v>
      </c>
      <c r="N701" s="7" t="str">
        <f aca="false">TRIM(SUBSTITUTE(SUBSTITUTE(SUBSTITUTE(" "&amp;TRIM(SUBSTITUTE(SUBSTITUTE(SUBSTITUTE(SUBSTITUTE(SUBSTITUTE(SUBSTITUTE(SUBSTITUTE(SUBSTITUTE(SUBSTITUTE(SUBSTITUTE(SUBSTITUTE(SUBSTITUTE(SUBSTITUTE(SUBSTITUTE(SUBSTITUTE(UPPER(TRIM(A701)),"[MEMBER]",""),"{MEMBER}",""),"[MEMBER}",""),"MEMBER]",""),"(A)",""),"""",""),"“",""),"”",""),".",""),":",""),",",""),"–"," "),"-"," "),"/"," "),"&amp;"," AND "))&amp;" "," THE "," ")," TOTAL "," ")," OPERATIONS "," "))</f>
        <v>HIGH INCOME ECONOMIES (WORLD BANK)</v>
      </c>
      <c r="O701" s="17" t="str">
        <f aca="false">IF(COUNTIFS($N$2:$N$2000,N701,$D$2:$D$2000,"&lt;&gt;"&amp;D701)&gt;0,"CONFLICT","")</f>
        <v/>
      </c>
      <c r="P701" s="7"/>
    </row>
    <row r="702" customFormat="false" ht="15" hidden="false" customHeight="false" outlineLevel="0" collapsed="false">
      <c r="A702" s="7" t="s">
        <v>2243</v>
      </c>
      <c r="B702" s="7" t="s">
        <v>1879</v>
      </c>
      <c r="C702" s="7"/>
      <c r="D702" s="6" t="s">
        <v>1827</v>
      </c>
      <c r="E702" s="6" t="s">
        <v>1880</v>
      </c>
      <c r="F702" s="7" t="str">
        <f aca="false">IF($D702="","",IFERROR(IF(INDEX(Hierarchy!$B$2:$B$1295,MATCH($D702,Hierarchy!$A$2:$A$1295,0))="","",INDEX(Hierarchy!$B$2:$B$1295,MATCH($D702,Hierarchy!$A$2:$A$1295,0))),"NODE NOT FOUND"))</f>
        <v>Reference grouping</v>
      </c>
      <c r="G702" s="7" t="str">
        <f aca="false">IF($D702="","",IFERROR(IF(INDEX(Hierarchy!$D$2:$D$1295,MATCH($D702,Hierarchy!$A$2:$A$1295,0))="","",INDEX(Hierarchy!$D$2:$D$1295,MATCH($D702,Hierarchy!$A$2:$A$1295,0))),"NODE NOT FOUND"))</f>
        <v>Reference (UN / World Bank)</v>
      </c>
      <c r="H702" s="7" t="str">
        <f aca="false">IF($D702="","",IFERROR(IF(INDEX(Hierarchy!$E$2:$E$1295,MATCH($D702,Hierarchy!$A$2:$A$1295,0))="","",INDEX(Hierarchy!$E$2:$E$1295,MATCH($D702,Hierarchy!$A$2:$A$1295,0))),"NODE NOT FOUND"))</f>
        <v/>
      </c>
      <c r="I702" s="7" t="str">
        <f aca="false">IF($D702="","",IFERROR(IF(INDEX(Hierarchy!$F$2:$F$1295,MATCH($D702,Hierarchy!$A$2:$A$1295,0))="","",INDEX(Hierarchy!$F$2:$F$1295,MATCH($D702,Hierarchy!$A$2:$A$1295,0))),"NODE NOT FOUND"))</f>
        <v/>
      </c>
      <c r="J702" s="7" t="str">
        <f aca="false">IF($D702="","",IFERROR(IF(INDEX(Hierarchy!$G$2:$G$1295,MATCH($D702,Hierarchy!$A$2:$A$1295,0))="","",INDEX(Hierarchy!$G$2:$G$1295,MATCH($D702,Hierarchy!$A$2:$A$1295,0))),"NODE NOT FOUND"))</f>
        <v/>
      </c>
      <c r="K702" s="7" t="str">
        <f aca="false">IF($D702="","",IFERROR(IF(INDEX(Hierarchy!$H$2:$H$1295,MATCH($D702,Hierarchy!$A$2:$A$1295,0))="","",INDEX(Hierarchy!$H$2:$H$1295,MATCH($D702,Hierarchy!$A$2:$A$1295,0))),"NODE NOT FOUND"))</f>
        <v/>
      </c>
      <c r="L702" s="7" t="str">
        <f aca="false">IF($D702="","",IFERROR(IF(INDEX(Hierarchy!$I$2:$I$1295,MATCH($D702,Hierarchy!$A$2:$A$1295,0))="","",INDEX(Hierarchy!$I$2:$I$1295,MATCH($D702,Hierarchy!$A$2:$A$1295,0))),"NODE NOT FOUND"))</f>
        <v/>
      </c>
      <c r="M702" s="17" t="str">
        <f aca="false">IF(B702="Pre-seeded","Pre-seeded",IF(B702="Review 2026-09-16","Added from review",IF(C702="","New",IF(C702=D702,"","Changed"))))</f>
        <v>Pre-seeded</v>
      </c>
      <c r="N702" s="7" t="str">
        <f aca="false">TRIM(SUBSTITUTE(SUBSTITUTE(SUBSTITUTE(" "&amp;TRIM(SUBSTITUTE(SUBSTITUTE(SUBSTITUTE(SUBSTITUTE(SUBSTITUTE(SUBSTITUTE(SUBSTITUTE(SUBSTITUTE(SUBSTITUTE(SUBSTITUTE(SUBSTITUTE(SUBSTITUTE(SUBSTITUTE(SUBSTITUTE(SUBSTITUTE(UPPER(TRIM(A702)),"[MEMBER]",""),"{MEMBER}",""),"[MEMBER}",""),"MEMBER]",""),"(A)",""),"""",""),"“",""),"”",""),".",""),":",""),",",""),"–"," "),"-"," "),"/"," "),"&amp;"," AND "))&amp;" "," THE "," ")," TOTAL "," ")," OPERATIONS "," "))</f>
        <v>HIGH INCOME COUNTRIES</v>
      </c>
      <c r="O702" s="17" t="str">
        <f aca="false">IF(COUNTIFS($N$2:$N$2000,N702,$D$2:$D$2000,"&lt;&gt;"&amp;D702)&gt;0,"CONFLICT","")</f>
        <v/>
      </c>
      <c r="P702" s="7"/>
    </row>
    <row r="703" customFormat="false" ht="15" hidden="false" customHeight="false" outlineLevel="0" collapsed="false">
      <c r="A703" s="7" t="s">
        <v>1605</v>
      </c>
      <c r="B703" s="7" t="s">
        <v>1879</v>
      </c>
      <c r="C703" s="7"/>
      <c r="D703" s="6" t="s">
        <v>1605</v>
      </c>
      <c r="E703" s="6" t="s">
        <v>1880</v>
      </c>
      <c r="F703" s="7" t="str">
        <f aca="false">IF($D703="","",IFERROR(IF(INDEX(Hierarchy!$B$2:$B$1295,MATCH($D703,Hierarchy!$A$2:$A$1295,0))="","",INDEX(Hierarchy!$B$2:$B$1295,MATCH($D703,Hierarchy!$A$2:$A$1295,0))),"NODE NOT FOUND"))</f>
        <v>State/Province</v>
      </c>
      <c r="G703" s="7" t="str">
        <f aca="false">IF($D703="","",IFERROR(IF(INDEX(Hierarchy!$D$2:$D$1295,MATCH($D703,Hierarchy!$A$2:$A$1295,0))="","",INDEX(Hierarchy!$D$2:$D$1295,MATCH($D703,Hierarchy!$A$2:$A$1295,0))),"NODE NOT FOUND"))</f>
        <v>APAC</v>
      </c>
      <c r="H703" s="7" t="str">
        <f aca="false">IF($D703="","",IFERROR(IF(INDEX(Hierarchy!$E$2:$E$1295,MATCH($D703,Hierarchy!$A$2:$A$1295,0))="","",INDEX(Hierarchy!$E$2:$E$1295,MATCH($D703,Hierarchy!$A$2:$A$1295,0))),"NODE NOT FOUND"))</f>
        <v>Southeast Asia (ASEAN)</v>
      </c>
      <c r="I703" s="7" t="str">
        <f aca="false">IF($D703="","",IFERROR(IF(INDEX(Hierarchy!$F$2:$F$1295,MATCH($D703,Hierarchy!$A$2:$A$1295,0))="","",INDEX(Hierarchy!$F$2:$F$1295,MATCH($D703,Hierarchy!$A$2:$A$1295,0))),"NODE NOT FOUND"))</f>
        <v>Indonesia</v>
      </c>
      <c r="J703" s="7" t="str">
        <f aca="false">IF($D703="","",IFERROR(IF(INDEX(Hierarchy!$G$2:$G$1295,MATCH($D703,Hierarchy!$A$2:$A$1295,0))="","",INDEX(Hierarchy!$G$2:$G$1295,MATCH($D703,Hierarchy!$A$2:$A$1295,0))),"NODE NOT FOUND"))</f>
        <v>IDN</v>
      </c>
      <c r="K703" s="7" t="str">
        <f aca="false">IF($D703="","",IFERROR(IF(INDEX(Hierarchy!$H$2:$H$1295,MATCH($D703,Hierarchy!$A$2:$A$1295,0))="","",INDEX(Hierarchy!$H$2:$H$1295,MATCH($D703,Hierarchy!$A$2:$A$1295,0))),"NODE NOT FOUND"))</f>
        <v>Highland Papua</v>
      </c>
      <c r="L703" s="7" t="str">
        <f aca="false">IF($D703="","",IFERROR(IF(INDEX(Hierarchy!$I$2:$I$1295,MATCH($D703,Hierarchy!$A$2:$A$1295,0))="","",INDEX(Hierarchy!$I$2:$I$1295,MATCH($D703,Hierarchy!$A$2:$A$1295,0))),"NODE NOT FOUND"))</f>
        <v/>
      </c>
      <c r="M703" s="17" t="str">
        <f aca="false">IF(B703="Pre-seeded","Pre-seeded",IF(B703="Review 2026-09-16","Added from review",IF(C703="","New",IF(C703=D703,"","Changed"))))</f>
        <v>Pre-seeded</v>
      </c>
      <c r="N703" s="7" t="str">
        <f aca="false">TRIM(SUBSTITUTE(SUBSTITUTE(SUBSTITUTE(" "&amp;TRIM(SUBSTITUTE(SUBSTITUTE(SUBSTITUTE(SUBSTITUTE(SUBSTITUTE(SUBSTITUTE(SUBSTITUTE(SUBSTITUTE(SUBSTITUTE(SUBSTITUTE(SUBSTITUTE(SUBSTITUTE(SUBSTITUTE(SUBSTITUTE(SUBSTITUTE(UPPER(TRIM(A703)),"[MEMBER]",""),"{MEMBER}",""),"[MEMBER}",""),"MEMBER]",""),"(A)",""),"""",""),"“",""),"”",""),".",""),":",""),",",""),"–"," "),"-"," "),"/"," "),"&amp;"," AND "))&amp;" "," THE "," ")," TOTAL "," ")," OPERATIONS "," "))</f>
        <v>HIGHLAND PAPUA</v>
      </c>
      <c r="O703" s="17" t="str">
        <f aca="false">IF(COUNTIFS($N$2:$N$2000,N703,$D$2:$D$2000,"&lt;&gt;"&amp;D703)&gt;0,"CONFLICT","")</f>
        <v/>
      </c>
      <c r="P703" s="7"/>
    </row>
    <row r="704" customFormat="false" ht="15" hidden="false" customHeight="false" outlineLevel="0" collapsed="false">
      <c r="A704" s="7" t="s">
        <v>1341</v>
      </c>
      <c r="B704" s="7" t="s">
        <v>1879</v>
      </c>
      <c r="C704" s="7"/>
      <c r="D704" s="6" t="s">
        <v>1341</v>
      </c>
      <c r="E704" s="6" t="s">
        <v>1880</v>
      </c>
      <c r="F704" s="7" t="str">
        <f aca="false">IF($D704="","",IFERROR(IF(INDEX(Hierarchy!$B$2:$B$1295,MATCH($D704,Hierarchy!$A$2:$A$1295,0))="","",INDEX(Hierarchy!$B$2:$B$1295,MATCH($D704,Hierarchy!$A$2:$A$1295,0))),"NODE NOT FOUND"))</f>
        <v>State/Province</v>
      </c>
      <c r="G704" s="7" t="str">
        <f aca="false">IF($D704="","",IFERROR(IF(INDEX(Hierarchy!$D$2:$D$1295,MATCH($D704,Hierarchy!$A$2:$A$1295,0))="","",INDEX(Hierarchy!$D$2:$D$1295,MATCH($D704,Hierarchy!$A$2:$A$1295,0))),"NODE NOT FOUND"))</f>
        <v>APAC</v>
      </c>
      <c r="H704" s="7" t="str">
        <f aca="false">IF($D704="","",IFERROR(IF(INDEX(Hierarchy!$E$2:$E$1295,MATCH($D704,Hierarchy!$A$2:$A$1295,0))="","",INDEX(Hierarchy!$E$2:$E$1295,MATCH($D704,Hierarchy!$A$2:$A$1295,0))),"NODE NOT FOUND"))</f>
        <v>South Asia</v>
      </c>
      <c r="I704" s="7" t="str">
        <f aca="false">IF($D704="","",IFERROR(IF(INDEX(Hierarchy!$F$2:$F$1295,MATCH($D704,Hierarchy!$A$2:$A$1295,0))="","",INDEX(Hierarchy!$F$2:$F$1295,MATCH($D704,Hierarchy!$A$2:$A$1295,0))),"NODE NOT FOUND"))</f>
        <v>India</v>
      </c>
      <c r="J704" s="7" t="str">
        <f aca="false">IF($D704="","",IFERROR(IF(INDEX(Hierarchy!$G$2:$G$1295,MATCH($D704,Hierarchy!$A$2:$A$1295,0))="","",INDEX(Hierarchy!$G$2:$G$1295,MATCH($D704,Hierarchy!$A$2:$A$1295,0))),"NODE NOT FOUND"))</f>
        <v>IND</v>
      </c>
      <c r="K704" s="7" t="str">
        <f aca="false">IF($D704="","",IFERROR(IF(INDEX(Hierarchy!$H$2:$H$1295,MATCH($D704,Hierarchy!$A$2:$A$1295,0))="","",INDEX(Hierarchy!$H$2:$H$1295,MATCH($D704,Hierarchy!$A$2:$A$1295,0))),"NODE NOT FOUND"))</f>
        <v>Himachal Pradesh</v>
      </c>
      <c r="L704" s="7" t="str">
        <f aca="false">IF($D704="","",IFERROR(IF(INDEX(Hierarchy!$I$2:$I$1295,MATCH($D704,Hierarchy!$A$2:$A$1295,0))="","",INDEX(Hierarchy!$I$2:$I$1295,MATCH($D704,Hierarchy!$A$2:$A$1295,0))),"NODE NOT FOUND"))</f>
        <v/>
      </c>
      <c r="M704" s="17" t="str">
        <f aca="false">IF(B704="Pre-seeded","Pre-seeded",IF(B704="Review 2026-09-16","Added from review",IF(C704="","New",IF(C704=D704,"","Changed"))))</f>
        <v>Pre-seeded</v>
      </c>
      <c r="N704" s="7" t="str">
        <f aca="false">TRIM(SUBSTITUTE(SUBSTITUTE(SUBSTITUTE(" "&amp;TRIM(SUBSTITUTE(SUBSTITUTE(SUBSTITUTE(SUBSTITUTE(SUBSTITUTE(SUBSTITUTE(SUBSTITUTE(SUBSTITUTE(SUBSTITUTE(SUBSTITUTE(SUBSTITUTE(SUBSTITUTE(SUBSTITUTE(SUBSTITUTE(SUBSTITUTE(UPPER(TRIM(A704)),"[MEMBER]",""),"{MEMBER}",""),"[MEMBER}",""),"MEMBER]",""),"(A)",""),"""",""),"“",""),"”",""),".",""),":",""),",",""),"–"," "),"-"," "),"/"," "),"&amp;"," AND "))&amp;" "," THE "," ")," TOTAL "," ")," OPERATIONS "," "))</f>
        <v>HIMACHAL PRADESH</v>
      </c>
      <c r="O704" s="17" t="str">
        <f aca="false">IF(COUNTIFS($N$2:$N$2000,N704,$D$2:$D$2000,"&lt;&gt;"&amp;D704)&gt;0,"CONFLICT","")</f>
        <v/>
      </c>
      <c r="P704" s="7"/>
    </row>
    <row r="705" customFormat="false" ht="15" hidden="false" customHeight="false" outlineLevel="0" collapsed="false">
      <c r="A705" s="7" t="s">
        <v>1449</v>
      </c>
      <c r="B705" s="7" t="s">
        <v>1879</v>
      </c>
      <c r="C705" s="7"/>
      <c r="D705" s="6" t="s">
        <v>1449</v>
      </c>
      <c r="E705" s="6" t="s">
        <v>1880</v>
      </c>
      <c r="F705" s="7" t="str">
        <f aca="false">IF($D705="","",IFERROR(IF(INDEX(Hierarchy!$B$2:$B$1295,MATCH($D705,Hierarchy!$A$2:$A$1295,0))="","",INDEX(Hierarchy!$B$2:$B$1295,MATCH($D705,Hierarchy!$A$2:$A$1295,0))),"NODE NOT FOUND"))</f>
        <v>State/Province</v>
      </c>
      <c r="G705" s="7" t="str">
        <f aca="false">IF($D705="","",IFERROR(IF(INDEX(Hierarchy!$D$2:$D$1295,MATCH($D705,Hierarchy!$A$2:$A$1295,0))="","",INDEX(Hierarchy!$D$2:$D$1295,MATCH($D705,Hierarchy!$A$2:$A$1295,0))),"NODE NOT FOUND"))</f>
        <v>APAC</v>
      </c>
      <c r="H705" s="7" t="str">
        <f aca="false">IF($D705="","",IFERROR(IF(INDEX(Hierarchy!$E$2:$E$1295,MATCH($D705,Hierarchy!$A$2:$A$1295,0))="","",INDEX(Hierarchy!$E$2:$E$1295,MATCH($D705,Hierarchy!$A$2:$A$1295,0))),"NODE NOT FOUND"))</f>
        <v>East Asia</v>
      </c>
      <c r="I705" s="7" t="str">
        <f aca="false">IF($D705="","",IFERROR(IF(INDEX(Hierarchy!$F$2:$F$1295,MATCH($D705,Hierarchy!$A$2:$A$1295,0))="","",INDEX(Hierarchy!$F$2:$F$1295,MATCH($D705,Hierarchy!$A$2:$A$1295,0))),"NODE NOT FOUND"))</f>
        <v>Japan</v>
      </c>
      <c r="J705" s="7" t="str">
        <f aca="false">IF($D705="","",IFERROR(IF(INDEX(Hierarchy!$G$2:$G$1295,MATCH($D705,Hierarchy!$A$2:$A$1295,0))="","",INDEX(Hierarchy!$G$2:$G$1295,MATCH($D705,Hierarchy!$A$2:$A$1295,0))),"NODE NOT FOUND"))</f>
        <v>JPN</v>
      </c>
      <c r="K705" s="7" t="str">
        <f aca="false">IF($D705="","",IFERROR(IF(INDEX(Hierarchy!$H$2:$H$1295,MATCH($D705,Hierarchy!$A$2:$A$1295,0))="","",INDEX(Hierarchy!$H$2:$H$1295,MATCH($D705,Hierarchy!$A$2:$A$1295,0))),"NODE NOT FOUND"))</f>
        <v>Hiroshima</v>
      </c>
      <c r="L705" s="7" t="str">
        <f aca="false">IF($D705="","",IFERROR(IF(INDEX(Hierarchy!$I$2:$I$1295,MATCH($D705,Hierarchy!$A$2:$A$1295,0))="","",INDEX(Hierarchy!$I$2:$I$1295,MATCH($D705,Hierarchy!$A$2:$A$1295,0))),"NODE NOT FOUND"))</f>
        <v/>
      </c>
      <c r="M705" s="17" t="str">
        <f aca="false">IF(B705="Pre-seeded","Pre-seeded",IF(B705="Review 2026-09-16","Added from review",IF(C705="","New",IF(C705=D705,"","Changed"))))</f>
        <v>Pre-seeded</v>
      </c>
      <c r="N705" s="7" t="str">
        <f aca="false">TRIM(SUBSTITUTE(SUBSTITUTE(SUBSTITUTE(" "&amp;TRIM(SUBSTITUTE(SUBSTITUTE(SUBSTITUTE(SUBSTITUTE(SUBSTITUTE(SUBSTITUTE(SUBSTITUTE(SUBSTITUTE(SUBSTITUTE(SUBSTITUTE(SUBSTITUTE(SUBSTITUTE(SUBSTITUTE(SUBSTITUTE(SUBSTITUTE(UPPER(TRIM(A705)),"[MEMBER]",""),"{MEMBER}",""),"[MEMBER}",""),"MEMBER]",""),"(A)",""),"""",""),"“",""),"”",""),".",""),":",""),",",""),"–"," "),"-"," "),"/"," "),"&amp;"," AND "))&amp;" "," THE "," ")," TOTAL "," ")," OPERATIONS "," "))</f>
        <v>HIROSHIMA</v>
      </c>
      <c r="O705" s="17" t="str">
        <f aca="false">IF(COUNTIFS($N$2:$N$2000,N705,$D$2:$D$2000,"&lt;&gt;"&amp;D705)&gt;0,"CONFLICT","")</f>
        <v/>
      </c>
      <c r="P705" s="7"/>
    </row>
    <row r="706" customFormat="false" ht="15" hidden="false" customHeight="false" outlineLevel="0" collapsed="false">
      <c r="A706" s="7" t="s">
        <v>1450</v>
      </c>
      <c r="B706" s="7" t="s">
        <v>1879</v>
      </c>
      <c r="C706" s="7"/>
      <c r="D706" s="6" t="s">
        <v>1450</v>
      </c>
      <c r="E706" s="6" t="s">
        <v>1880</v>
      </c>
      <c r="F706" s="7" t="str">
        <f aca="false">IF($D706="","",IFERROR(IF(INDEX(Hierarchy!$B$2:$B$1295,MATCH($D706,Hierarchy!$A$2:$A$1295,0))="","",INDEX(Hierarchy!$B$2:$B$1295,MATCH($D706,Hierarchy!$A$2:$A$1295,0))),"NODE NOT FOUND"))</f>
        <v>State/Province</v>
      </c>
      <c r="G706" s="7" t="str">
        <f aca="false">IF($D706="","",IFERROR(IF(INDEX(Hierarchy!$D$2:$D$1295,MATCH($D706,Hierarchy!$A$2:$A$1295,0))="","",INDEX(Hierarchy!$D$2:$D$1295,MATCH($D706,Hierarchy!$A$2:$A$1295,0))),"NODE NOT FOUND"))</f>
        <v>APAC</v>
      </c>
      <c r="H706" s="7" t="str">
        <f aca="false">IF($D706="","",IFERROR(IF(INDEX(Hierarchy!$E$2:$E$1295,MATCH($D706,Hierarchy!$A$2:$A$1295,0))="","",INDEX(Hierarchy!$E$2:$E$1295,MATCH($D706,Hierarchy!$A$2:$A$1295,0))),"NODE NOT FOUND"))</f>
        <v>East Asia</v>
      </c>
      <c r="I706" s="7" t="str">
        <f aca="false">IF($D706="","",IFERROR(IF(INDEX(Hierarchy!$F$2:$F$1295,MATCH($D706,Hierarchy!$A$2:$A$1295,0))="","",INDEX(Hierarchy!$F$2:$F$1295,MATCH($D706,Hierarchy!$A$2:$A$1295,0))),"NODE NOT FOUND"))</f>
        <v>Japan</v>
      </c>
      <c r="J706" s="7" t="str">
        <f aca="false">IF($D706="","",IFERROR(IF(INDEX(Hierarchy!$G$2:$G$1295,MATCH($D706,Hierarchy!$A$2:$A$1295,0))="","",INDEX(Hierarchy!$G$2:$G$1295,MATCH($D706,Hierarchy!$A$2:$A$1295,0))),"NODE NOT FOUND"))</f>
        <v>JPN</v>
      </c>
      <c r="K706" s="7" t="str">
        <f aca="false">IF($D706="","",IFERROR(IF(INDEX(Hierarchy!$H$2:$H$1295,MATCH($D706,Hierarchy!$A$2:$A$1295,0))="","",INDEX(Hierarchy!$H$2:$H$1295,MATCH($D706,Hierarchy!$A$2:$A$1295,0))),"NODE NOT FOUND"))</f>
        <v>Hokkaido</v>
      </c>
      <c r="L706" s="7" t="str">
        <f aca="false">IF($D706="","",IFERROR(IF(INDEX(Hierarchy!$I$2:$I$1295,MATCH($D706,Hierarchy!$A$2:$A$1295,0))="","",INDEX(Hierarchy!$I$2:$I$1295,MATCH($D706,Hierarchy!$A$2:$A$1295,0))),"NODE NOT FOUND"))</f>
        <v/>
      </c>
      <c r="M706" s="17" t="str">
        <f aca="false">IF(B706="Pre-seeded","Pre-seeded",IF(B706="Review 2026-09-16","Added from review",IF(C706="","New",IF(C706=D706,"","Changed"))))</f>
        <v>Pre-seeded</v>
      </c>
      <c r="N706" s="7" t="str">
        <f aca="false">TRIM(SUBSTITUTE(SUBSTITUTE(SUBSTITUTE(" "&amp;TRIM(SUBSTITUTE(SUBSTITUTE(SUBSTITUTE(SUBSTITUTE(SUBSTITUTE(SUBSTITUTE(SUBSTITUTE(SUBSTITUTE(SUBSTITUTE(SUBSTITUTE(SUBSTITUTE(SUBSTITUTE(SUBSTITUTE(SUBSTITUTE(SUBSTITUTE(UPPER(TRIM(A706)),"[MEMBER]",""),"{MEMBER}",""),"[MEMBER}",""),"MEMBER]",""),"(A)",""),"""",""),"“",""),"”",""),".",""),":",""),",",""),"–"," "),"-"," "),"/"," "),"&amp;"," AND "))&amp;" "," THE "," ")," TOTAL "," ")," OPERATIONS "," "))</f>
        <v>HOKKAIDO</v>
      </c>
      <c r="O706" s="17" t="str">
        <f aca="false">IF(COUNTIFS($N$2:$N$2000,N706,$D$2:$D$2000,"&lt;&gt;"&amp;D706)&gt;0,"CONFLICT","")</f>
        <v/>
      </c>
      <c r="P706" s="7"/>
    </row>
    <row r="707" customFormat="false" ht="15" hidden="false" customHeight="false" outlineLevel="0" collapsed="false">
      <c r="A707" s="7" t="s">
        <v>1431</v>
      </c>
      <c r="B707" s="7" t="s">
        <v>1879</v>
      </c>
      <c r="C707" s="7"/>
      <c r="D707" s="6" t="s">
        <v>1431</v>
      </c>
      <c r="E707" s="6" t="s">
        <v>1880</v>
      </c>
      <c r="F707" s="7" t="str">
        <f aca="false">IF($D707="","",IFERROR(IF(INDEX(Hierarchy!$B$2:$B$1295,MATCH($D707,Hierarchy!$A$2:$A$1295,0))="","",INDEX(Hierarchy!$B$2:$B$1295,MATCH($D707,Hierarchy!$A$2:$A$1295,0))),"NODE NOT FOUND"))</f>
        <v>Sub-national region</v>
      </c>
      <c r="G707" s="7" t="str">
        <f aca="false">IF($D707="","",IFERROR(IF(INDEX(Hierarchy!$D$2:$D$1295,MATCH($D707,Hierarchy!$A$2:$A$1295,0))="","",INDEX(Hierarchy!$D$2:$D$1295,MATCH($D707,Hierarchy!$A$2:$A$1295,0))),"NODE NOT FOUND"))</f>
        <v>APAC</v>
      </c>
      <c r="H707" s="7" t="str">
        <f aca="false">IF($D707="","",IFERROR(IF(INDEX(Hierarchy!$E$2:$E$1295,MATCH($D707,Hierarchy!$A$2:$A$1295,0))="","",INDEX(Hierarchy!$E$2:$E$1295,MATCH($D707,Hierarchy!$A$2:$A$1295,0))),"NODE NOT FOUND"))</f>
        <v>East Asia</v>
      </c>
      <c r="I707" s="7" t="str">
        <f aca="false">IF($D707="","",IFERROR(IF(INDEX(Hierarchy!$F$2:$F$1295,MATCH($D707,Hierarchy!$A$2:$A$1295,0))="","",INDEX(Hierarchy!$F$2:$F$1295,MATCH($D707,Hierarchy!$A$2:$A$1295,0))),"NODE NOT FOUND"))</f>
        <v>Japan</v>
      </c>
      <c r="J707" s="7" t="str">
        <f aca="false">IF($D707="","",IFERROR(IF(INDEX(Hierarchy!$G$2:$G$1295,MATCH($D707,Hierarchy!$A$2:$A$1295,0))="","",INDEX(Hierarchy!$G$2:$G$1295,MATCH($D707,Hierarchy!$A$2:$A$1295,0))),"NODE NOT FOUND"))</f>
        <v>JPN</v>
      </c>
      <c r="K707" s="7" t="str">
        <f aca="false">IF($D707="","",IFERROR(IF(INDEX(Hierarchy!$H$2:$H$1295,MATCH($D707,Hierarchy!$A$2:$A$1295,0))="","",INDEX(Hierarchy!$H$2:$H$1295,MATCH($D707,Hierarchy!$A$2:$A$1295,0))),"NODE NOT FOUND"))</f>
        <v/>
      </c>
      <c r="L707" s="7" t="str">
        <f aca="false">IF($D707="","",IFERROR(IF(INDEX(Hierarchy!$I$2:$I$1295,MATCH($D707,Hierarchy!$A$2:$A$1295,0))="","",INDEX(Hierarchy!$I$2:$I$1295,MATCH($D707,Hierarchy!$A$2:$A$1295,0))),"NODE NOT FOUND"))</f>
        <v/>
      </c>
      <c r="M707" s="17" t="str">
        <f aca="false">IF(B707="Pre-seeded","Pre-seeded",IF(B707="Review 2026-09-16","Added from review",IF(C707="","New",IF(C707=D707,"","Changed"))))</f>
        <v>Pre-seeded</v>
      </c>
      <c r="N707" s="7" t="str">
        <f aca="false">TRIM(SUBSTITUTE(SUBSTITUTE(SUBSTITUTE(" "&amp;TRIM(SUBSTITUTE(SUBSTITUTE(SUBSTITUTE(SUBSTITUTE(SUBSTITUTE(SUBSTITUTE(SUBSTITUTE(SUBSTITUTE(SUBSTITUTE(SUBSTITUTE(SUBSTITUTE(SUBSTITUTE(SUBSTITUTE(SUBSTITUTE(SUBSTITUTE(UPPER(TRIM(A707)),"[MEMBER]",""),"{MEMBER}",""),"[MEMBER}",""),"MEMBER]",""),"(A)",""),"""",""),"“",""),"”",""),".",""),":",""),",",""),"–"," "),"-"," "),"/"," "),"&amp;"," AND "))&amp;" "," THE "," ")," TOTAL "," ")," OPERATIONS "," "))</f>
        <v>HOKKAIDO REGION</v>
      </c>
      <c r="O707" s="17" t="str">
        <f aca="false">IF(COUNTIFS($N$2:$N$2000,N707,$D$2:$D$2000,"&lt;&gt;"&amp;D707)&gt;0,"CONFLICT","")</f>
        <v/>
      </c>
      <c r="P707" s="7"/>
    </row>
    <row r="708" customFormat="false" ht="15" hidden="false" customHeight="false" outlineLevel="0" collapsed="false">
      <c r="A708" s="7" t="s">
        <v>2244</v>
      </c>
      <c r="B708" s="7" t="s">
        <v>1879</v>
      </c>
      <c r="C708" s="7"/>
      <c r="D708" s="6" t="s">
        <v>883</v>
      </c>
      <c r="E708" s="6" t="s">
        <v>1880</v>
      </c>
      <c r="F708" s="7" t="str">
        <f aca="false">IF($D708="","",IFERROR(IF(INDEX(Hierarchy!$B$2:$B$1295,MATCH($D708,Hierarchy!$A$2:$A$1295,0))="","",INDEX(Hierarchy!$B$2:$B$1295,MATCH($D708,Hierarchy!$A$2:$A$1295,0))),"NODE NOT FOUND"))</f>
        <v>Country</v>
      </c>
      <c r="G708" s="7" t="str">
        <f aca="false">IF($D708="","",IFERROR(IF(INDEX(Hierarchy!$D$2:$D$1295,MATCH($D708,Hierarchy!$A$2:$A$1295,0))="","",INDEX(Hierarchy!$D$2:$D$1295,MATCH($D708,Hierarchy!$A$2:$A$1295,0))),"NODE NOT FOUND"))</f>
        <v>EMEA</v>
      </c>
      <c r="H708" s="7" t="str">
        <f aca="false">IF($D708="","",IFERROR(IF(INDEX(Hierarchy!$E$2:$E$1295,MATCH($D708,Hierarchy!$A$2:$A$1295,0))="","",INDEX(Hierarchy!$E$2:$E$1295,MATCH($D708,Hierarchy!$A$2:$A$1295,0))),"NODE NOT FOUND"))</f>
        <v>Europe</v>
      </c>
      <c r="I708" s="7" t="str">
        <f aca="false">IF($D708="","",IFERROR(IF(INDEX(Hierarchy!$F$2:$F$1295,MATCH($D708,Hierarchy!$A$2:$A$1295,0))="","",INDEX(Hierarchy!$F$2:$F$1295,MATCH($D708,Hierarchy!$A$2:$A$1295,0))),"NODE NOT FOUND"))</f>
        <v>Netherlands</v>
      </c>
      <c r="J708" s="7" t="str">
        <f aca="false">IF($D708="","",IFERROR(IF(INDEX(Hierarchy!$G$2:$G$1295,MATCH($D708,Hierarchy!$A$2:$A$1295,0))="","",INDEX(Hierarchy!$G$2:$G$1295,MATCH($D708,Hierarchy!$A$2:$A$1295,0))),"NODE NOT FOUND"))</f>
        <v>NLD</v>
      </c>
      <c r="K708" s="7" t="str">
        <f aca="false">IF($D708="","",IFERROR(IF(INDEX(Hierarchy!$H$2:$H$1295,MATCH($D708,Hierarchy!$A$2:$A$1295,0))="","",INDEX(Hierarchy!$H$2:$H$1295,MATCH($D708,Hierarchy!$A$2:$A$1295,0))),"NODE NOT FOUND"))</f>
        <v/>
      </c>
      <c r="L708" s="7" t="str">
        <f aca="false">IF($D708="","",IFERROR(IF(INDEX(Hierarchy!$I$2:$I$1295,MATCH($D708,Hierarchy!$A$2:$A$1295,0))="","",INDEX(Hierarchy!$I$2:$I$1295,MATCH($D708,Hierarchy!$A$2:$A$1295,0))),"NODE NOT FOUND"))</f>
        <v/>
      </c>
      <c r="M708" s="17" t="str">
        <f aca="false">IF(B708="Pre-seeded","Pre-seeded",IF(B708="Review 2026-09-16","Added from review",IF(C708="","New",IF(C708=D708,"","Changed"))))</f>
        <v>Pre-seeded</v>
      </c>
      <c r="N708" s="7" t="str">
        <f aca="false">TRIM(SUBSTITUTE(SUBSTITUTE(SUBSTITUTE(" "&amp;TRIM(SUBSTITUTE(SUBSTITUTE(SUBSTITUTE(SUBSTITUTE(SUBSTITUTE(SUBSTITUTE(SUBSTITUTE(SUBSTITUTE(SUBSTITUTE(SUBSTITUTE(SUBSTITUTE(SUBSTITUTE(SUBSTITUTE(SUBSTITUTE(SUBSTITUTE(UPPER(TRIM(A708)),"[MEMBER]",""),"{MEMBER}",""),"[MEMBER}",""),"MEMBER]",""),"(A)",""),"""",""),"“",""),"”",""),".",""),":",""),",",""),"–"," "),"-"," "),"/"," "),"&amp;"," AND "))&amp;" "," THE "," ")," TOTAL "," ")," OPERATIONS "," "))</f>
        <v>HOLLAND</v>
      </c>
      <c r="O708" s="17" t="str">
        <f aca="false">IF(COUNTIFS($N$2:$N$2000,N708,$D$2:$D$2000,"&lt;&gt;"&amp;D708)&gt;0,"CONFLICT","")</f>
        <v/>
      </c>
      <c r="P708" s="7"/>
    </row>
    <row r="709" customFormat="false" ht="15" hidden="false" customHeight="false" outlineLevel="0" collapsed="false">
      <c r="A709" s="7" t="s">
        <v>164</v>
      </c>
      <c r="B709" s="7" t="s">
        <v>1882</v>
      </c>
      <c r="C709" s="7" t="s">
        <v>164</v>
      </c>
      <c r="D709" s="6" t="s">
        <v>164</v>
      </c>
      <c r="E709" s="6" t="s">
        <v>1880</v>
      </c>
      <c r="F709" s="7" t="str">
        <f aca="false">IF($D709="","",IFERROR(IF(INDEX(Hierarchy!$B$2:$B$1295,MATCH($D709,Hierarchy!$A$2:$A$1295,0))="","",INDEX(Hierarchy!$B$2:$B$1295,MATCH($D709,Hierarchy!$A$2:$A$1295,0))),"NODE NOT FOUND"))</f>
        <v>City</v>
      </c>
      <c r="G709" s="7" t="str">
        <f aca="false">IF($D709="","",IFERROR(IF(INDEX(Hierarchy!$D$2:$D$1295,MATCH($D709,Hierarchy!$A$2:$A$1295,0))="","",INDEX(Hierarchy!$D$2:$D$1295,MATCH($D709,Hierarchy!$A$2:$A$1295,0))),"NODE NOT FOUND"))</f>
        <v>AMER</v>
      </c>
      <c r="H709" s="7" t="str">
        <f aca="false">IF($D709="","",IFERROR(IF(INDEX(Hierarchy!$E$2:$E$1295,MATCH($D709,Hierarchy!$A$2:$A$1295,0))="","",INDEX(Hierarchy!$E$2:$E$1295,MATCH($D709,Hierarchy!$A$2:$A$1295,0))),"NODE NOT FOUND"))</f>
        <v>North America (NORAM)</v>
      </c>
      <c r="I709" s="7" t="str">
        <f aca="false">IF($D709="","",IFERROR(IF(INDEX(Hierarchy!$F$2:$F$1295,MATCH($D709,Hierarchy!$A$2:$A$1295,0))="","",INDEX(Hierarchy!$F$2:$F$1295,MATCH($D709,Hierarchy!$A$2:$A$1295,0))),"NODE NOT FOUND"))</f>
        <v>United States</v>
      </c>
      <c r="J709" s="7" t="str">
        <f aca="false">IF($D709="","",IFERROR(IF(INDEX(Hierarchy!$G$2:$G$1295,MATCH($D709,Hierarchy!$A$2:$A$1295,0))="","",INDEX(Hierarchy!$G$2:$G$1295,MATCH($D709,Hierarchy!$A$2:$A$1295,0))),"NODE NOT FOUND"))</f>
        <v>USA</v>
      </c>
      <c r="K709" s="7" t="str">
        <f aca="false">IF($D709="","",IFERROR(IF(INDEX(Hierarchy!$H$2:$H$1295,MATCH($D709,Hierarchy!$A$2:$A$1295,0))="","",INDEX(Hierarchy!$H$2:$H$1295,MATCH($D709,Hierarchy!$A$2:$A$1295,0))),"NODE NOT FOUND"))</f>
        <v>Florida</v>
      </c>
      <c r="L709" s="7" t="str">
        <f aca="false">IF($D709="","",IFERROR(IF(INDEX(Hierarchy!$I$2:$I$1295,MATCH($D709,Hierarchy!$A$2:$A$1295,0))="","",INDEX(Hierarchy!$I$2:$I$1295,MATCH($D709,Hierarchy!$A$2:$A$1295,0))),"NODE NOT FOUND"))</f>
        <v>Hollywood</v>
      </c>
      <c r="M709" s="17" t="str">
        <f aca="false">IF(B709="Pre-seeded","Pre-seeded",IF(B709="Review 2026-09-16","Added from review",IF(C709="","New",IF(C709=D709,"","Changed"))))</f>
        <v/>
      </c>
      <c r="N709" s="7" t="str">
        <f aca="false">TRIM(SUBSTITUTE(SUBSTITUTE(SUBSTITUTE(" "&amp;TRIM(SUBSTITUTE(SUBSTITUTE(SUBSTITUTE(SUBSTITUTE(SUBSTITUTE(SUBSTITUTE(SUBSTITUTE(SUBSTITUTE(SUBSTITUTE(SUBSTITUTE(SUBSTITUTE(SUBSTITUTE(SUBSTITUTE(SUBSTITUTE(SUBSTITUTE(UPPER(TRIM(A709)),"[MEMBER]",""),"{MEMBER}",""),"[MEMBER}",""),"MEMBER]",""),"(A)",""),"""",""),"“",""),"”",""),".",""),":",""),",",""),"–"," "),"-"," "),"/"," "),"&amp;"," AND "))&amp;" "," THE "," ")," TOTAL "," ")," OPERATIONS "," "))</f>
        <v>HOLLYWOOD</v>
      </c>
      <c r="O709" s="17" t="str">
        <f aca="false">IF(COUNTIFS($N$2:$N$2000,N709,$D$2:$D$2000,"&lt;&gt;"&amp;D709)&gt;0,"CONFLICT","")</f>
        <v/>
      </c>
      <c r="P709" s="7"/>
    </row>
    <row r="710" customFormat="false" ht="15" hidden="false" customHeight="false" outlineLevel="0" collapsed="false">
      <c r="A710" s="7" t="s">
        <v>910</v>
      </c>
      <c r="B710" s="7" t="s">
        <v>1879</v>
      </c>
      <c r="C710" s="7"/>
      <c r="D710" s="6" t="s">
        <v>910</v>
      </c>
      <c r="E710" s="6" t="s">
        <v>1880</v>
      </c>
      <c r="F710" s="7" t="str">
        <f aca="false">IF($D710="","",IFERROR(IF(INDEX(Hierarchy!$B$2:$B$1295,MATCH($D710,Hierarchy!$A$2:$A$1295,0))="","",INDEX(Hierarchy!$B$2:$B$1295,MATCH($D710,Hierarchy!$A$2:$A$1295,0))),"NODE NOT FOUND"))</f>
        <v>State/Province</v>
      </c>
      <c r="G710" s="7" t="str">
        <f aca="false">IF($D710="","",IFERROR(IF(INDEX(Hierarchy!$D$2:$D$1295,MATCH($D710,Hierarchy!$A$2:$A$1295,0))="","",INDEX(Hierarchy!$D$2:$D$1295,MATCH($D710,Hierarchy!$A$2:$A$1295,0))),"NODE NOT FOUND"))</f>
        <v>EMEA</v>
      </c>
      <c r="H710" s="7" t="str">
        <f aca="false">IF($D710="","",IFERROR(IF(INDEX(Hierarchy!$E$2:$E$1295,MATCH($D710,Hierarchy!$A$2:$A$1295,0))="","",INDEX(Hierarchy!$E$2:$E$1295,MATCH($D710,Hierarchy!$A$2:$A$1295,0))),"NODE NOT FOUND"))</f>
        <v>Europe</v>
      </c>
      <c r="I710" s="7" t="str">
        <f aca="false">IF($D710="","",IFERROR(IF(INDEX(Hierarchy!$F$2:$F$1295,MATCH($D710,Hierarchy!$A$2:$A$1295,0))="","",INDEX(Hierarchy!$F$2:$F$1295,MATCH($D710,Hierarchy!$A$2:$A$1295,0))),"NODE NOT FOUND"))</f>
        <v>Poland</v>
      </c>
      <c r="J710" s="7" t="str">
        <f aca="false">IF($D710="","",IFERROR(IF(INDEX(Hierarchy!$G$2:$G$1295,MATCH($D710,Hierarchy!$A$2:$A$1295,0))="","",INDEX(Hierarchy!$G$2:$G$1295,MATCH($D710,Hierarchy!$A$2:$A$1295,0))),"NODE NOT FOUND"))</f>
        <v>POL</v>
      </c>
      <c r="K710" s="7" t="str">
        <f aca="false">IF($D710="","",IFERROR(IF(INDEX(Hierarchy!$H$2:$H$1295,MATCH($D710,Hierarchy!$A$2:$A$1295,0))="","",INDEX(Hierarchy!$H$2:$H$1295,MATCH($D710,Hierarchy!$A$2:$A$1295,0))),"NODE NOT FOUND"))</f>
        <v>Holy Cross</v>
      </c>
      <c r="L710" s="7" t="str">
        <f aca="false">IF($D710="","",IFERROR(IF(INDEX(Hierarchy!$I$2:$I$1295,MATCH($D710,Hierarchy!$A$2:$A$1295,0))="","",INDEX(Hierarchy!$I$2:$I$1295,MATCH($D710,Hierarchy!$A$2:$A$1295,0))),"NODE NOT FOUND"))</f>
        <v/>
      </c>
      <c r="M710" s="17" t="str">
        <f aca="false">IF(B710="Pre-seeded","Pre-seeded",IF(B710="Review 2026-09-16","Added from review",IF(C710="","New",IF(C710=D710,"","Changed"))))</f>
        <v>Pre-seeded</v>
      </c>
      <c r="N710" s="7" t="str">
        <f aca="false">TRIM(SUBSTITUTE(SUBSTITUTE(SUBSTITUTE(" "&amp;TRIM(SUBSTITUTE(SUBSTITUTE(SUBSTITUTE(SUBSTITUTE(SUBSTITUTE(SUBSTITUTE(SUBSTITUTE(SUBSTITUTE(SUBSTITUTE(SUBSTITUTE(SUBSTITUTE(SUBSTITUTE(SUBSTITUTE(SUBSTITUTE(SUBSTITUTE(UPPER(TRIM(A710)),"[MEMBER]",""),"{MEMBER}",""),"[MEMBER}",""),"MEMBER]",""),"(A)",""),"""",""),"“",""),"”",""),".",""),":",""),",",""),"–"," "),"-"," "),"/"," "),"&amp;"," AND "))&amp;" "," THE "," ")," TOTAL "," ")," OPERATIONS "," "))</f>
        <v>HOLY CROSS</v>
      </c>
      <c r="O710" s="17" t="str">
        <f aca="false">IF(COUNTIFS($N$2:$N$2000,N710,$D$2:$D$2000,"&lt;&gt;"&amp;D710)&gt;0,"CONFLICT","")</f>
        <v/>
      </c>
      <c r="P710" s="7"/>
    </row>
    <row r="711" customFormat="false" ht="15" hidden="false" customHeight="false" outlineLevel="0" collapsed="false">
      <c r="A711" s="7" t="s">
        <v>2245</v>
      </c>
      <c r="B711" s="7" t="s">
        <v>1879</v>
      </c>
      <c r="C711" s="7"/>
      <c r="D711" s="6" t="s">
        <v>1026</v>
      </c>
      <c r="E711" s="6" t="s">
        <v>1880</v>
      </c>
      <c r="F711" s="7" t="str">
        <f aca="false">IF($D711="","",IFERROR(IF(INDEX(Hierarchy!$B$2:$B$1295,MATCH($D711,Hierarchy!$A$2:$A$1295,0))="","",INDEX(Hierarchy!$B$2:$B$1295,MATCH($D711,Hierarchy!$A$2:$A$1295,0))),"NODE NOT FOUND"))</f>
        <v>Country</v>
      </c>
      <c r="G711" s="7" t="str">
        <f aca="false">IF($D711="","",IFERROR(IF(INDEX(Hierarchy!$D$2:$D$1295,MATCH($D711,Hierarchy!$A$2:$A$1295,0))="","",INDEX(Hierarchy!$D$2:$D$1295,MATCH($D711,Hierarchy!$A$2:$A$1295,0))),"NODE NOT FOUND"))</f>
        <v>EMEA</v>
      </c>
      <c r="H711" s="7" t="str">
        <f aca="false">IF($D711="","",IFERROR(IF(INDEX(Hierarchy!$E$2:$E$1295,MATCH($D711,Hierarchy!$A$2:$A$1295,0))="","",INDEX(Hierarchy!$E$2:$E$1295,MATCH($D711,Hierarchy!$A$2:$A$1295,0))),"NODE NOT FOUND"))</f>
        <v>Europe</v>
      </c>
      <c r="I711" s="7" t="str">
        <f aca="false">IF($D711="","",IFERROR(IF(INDEX(Hierarchy!$F$2:$F$1295,MATCH($D711,Hierarchy!$A$2:$A$1295,0))="","",INDEX(Hierarchy!$F$2:$F$1295,MATCH($D711,Hierarchy!$A$2:$A$1295,0))),"NODE NOT FOUND"))</f>
        <v>Vatican City</v>
      </c>
      <c r="J711" s="7" t="str">
        <f aca="false">IF($D711="","",IFERROR(IF(INDEX(Hierarchy!$G$2:$G$1295,MATCH($D711,Hierarchy!$A$2:$A$1295,0))="","",INDEX(Hierarchy!$G$2:$G$1295,MATCH($D711,Hierarchy!$A$2:$A$1295,0))),"NODE NOT FOUND"))</f>
        <v>VAT</v>
      </c>
      <c r="K711" s="7" t="str">
        <f aca="false">IF($D711="","",IFERROR(IF(INDEX(Hierarchy!$H$2:$H$1295,MATCH($D711,Hierarchy!$A$2:$A$1295,0))="","",INDEX(Hierarchy!$H$2:$H$1295,MATCH($D711,Hierarchy!$A$2:$A$1295,0))),"NODE NOT FOUND"))</f>
        <v/>
      </c>
      <c r="L711" s="7" t="str">
        <f aca="false">IF($D711="","",IFERROR(IF(INDEX(Hierarchy!$I$2:$I$1295,MATCH($D711,Hierarchy!$A$2:$A$1295,0))="","",INDEX(Hierarchy!$I$2:$I$1295,MATCH($D711,Hierarchy!$A$2:$A$1295,0))),"NODE NOT FOUND"))</f>
        <v/>
      </c>
      <c r="M711" s="17" t="str">
        <f aca="false">IF(B711="Pre-seeded","Pre-seeded",IF(B711="Review 2026-09-16","Added from review",IF(C711="","New",IF(C711=D711,"","Changed"))))</f>
        <v>Pre-seeded</v>
      </c>
      <c r="N711" s="7" t="str">
        <f aca="false">TRIM(SUBSTITUTE(SUBSTITUTE(SUBSTITUTE(" "&amp;TRIM(SUBSTITUTE(SUBSTITUTE(SUBSTITUTE(SUBSTITUTE(SUBSTITUTE(SUBSTITUTE(SUBSTITUTE(SUBSTITUTE(SUBSTITUTE(SUBSTITUTE(SUBSTITUTE(SUBSTITUTE(SUBSTITUTE(SUBSTITUTE(SUBSTITUTE(UPPER(TRIM(A711)),"[MEMBER]",""),"{MEMBER}",""),"[MEMBER}",""),"MEMBER]",""),"(A)",""),"""",""),"“",""),"”",""),".",""),":",""),",",""),"–"," "),"-"," "),"/"," "),"&amp;"," AND "))&amp;" "," THE "," ")," TOTAL "," ")," OPERATIONS "," "))</f>
        <v>HOLY SEE (VATICAN CITY STATE)</v>
      </c>
      <c r="O711" s="17" t="str">
        <f aca="false">IF(COUNTIFS($N$2:$N$2000,N711,$D$2:$D$2000,"&lt;&gt;"&amp;D711)&gt;0,"CONFLICT","")</f>
        <v/>
      </c>
      <c r="P711" s="7" t="s">
        <v>1936</v>
      </c>
    </row>
    <row r="712" customFormat="false" ht="15" hidden="false" customHeight="false" outlineLevel="0" collapsed="false">
      <c r="A712" s="7" t="s">
        <v>2246</v>
      </c>
      <c r="B712" s="7" t="s">
        <v>1879</v>
      </c>
      <c r="C712" s="7"/>
      <c r="D712" s="6" t="s">
        <v>1788</v>
      </c>
      <c r="E712" s="6" t="s">
        <v>1880</v>
      </c>
      <c r="F712" s="7" t="str">
        <f aca="false">IF($D712="","",IFERROR(IF(INDEX(Hierarchy!$B$2:$B$1295,MATCH($D712,Hierarchy!$A$2:$A$1295,0))="","",INDEX(Hierarchy!$B$2:$B$1295,MATCH($D712,Hierarchy!$A$2:$A$1295,0))),"NODE NOT FOUND"))</f>
        <v>Bucket</v>
      </c>
      <c r="G712" s="7" t="str">
        <f aca="false">IF($D712="","",IFERROR(IF(INDEX(Hierarchy!$D$2:$D$1295,MATCH($D712,Hierarchy!$A$2:$A$1295,0))="","",INDEX(Hierarchy!$D$2:$D$1295,MATCH($D712,Hierarchy!$A$2:$A$1295,0))),"NODE NOT FOUND"))</f>
        <v>Non-regional</v>
      </c>
      <c r="H712" s="7" t="str">
        <f aca="false">IF($D712="","",IFERROR(IF(INDEX(Hierarchy!$E$2:$E$1295,MATCH($D712,Hierarchy!$A$2:$A$1295,0))="","",INDEX(Hierarchy!$E$2:$E$1295,MATCH($D712,Hierarchy!$A$2:$A$1295,0))),"NODE NOT FOUND"))</f>
        <v/>
      </c>
      <c r="I712" s="7" t="str">
        <f aca="false">IF($D712="","",IFERROR(IF(INDEX(Hierarchy!$F$2:$F$1295,MATCH($D712,Hierarchy!$A$2:$A$1295,0))="","",INDEX(Hierarchy!$F$2:$F$1295,MATCH($D712,Hierarchy!$A$2:$A$1295,0))),"NODE NOT FOUND"))</f>
        <v/>
      </c>
      <c r="J712" s="7" t="str">
        <f aca="false">IF($D712="","",IFERROR(IF(INDEX(Hierarchy!$G$2:$G$1295,MATCH($D712,Hierarchy!$A$2:$A$1295,0))="","",INDEX(Hierarchy!$G$2:$G$1295,MATCH($D712,Hierarchy!$A$2:$A$1295,0))),"NODE NOT FOUND"))</f>
        <v/>
      </c>
      <c r="K712" s="7" t="str">
        <f aca="false">IF($D712="","",IFERROR(IF(INDEX(Hierarchy!$H$2:$H$1295,MATCH($D712,Hierarchy!$A$2:$A$1295,0))="","",INDEX(Hierarchy!$H$2:$H$1295,MATCH($D712,Hierarchy!$A$2:$A$1295,0))),"NODE NOT FOUND"))</f>
        <v/>
      </c>
      <c r="L712" s="7" t="str">
        <f aca="false">IF($D712="","",IFERROR(IF(INDEX(Hierarchy!$I$2:$I$1295,MATCH($D712,Hierarchy!$A$2:$A$1295,0))="","",INDEX(Hierarchy!$I$2:$I$1295,MATCH($D712,Hierarchy!$A$2:$A$1295,0))),"NODE NOT FOUND"))</f>
        <v/>
      </c>
      <c r="M712" s="17" t="str">
        <f aca="false">IF(B712="Pre-seeded","Pre-seeded",IF(B712="Review 2026-09-16","Added from review",IF(C712="","New",IF(C712=D712,"","Changed"))))</f>
        <v>Pre-seeded</v>
      </c>
      <c r="N712" s="7" t="str">
        <f aca="false">TRIM(SUBSTITUTE(SUBSTITUTE(SUBSTITUTE(" "&amp;TRIM(SUBSTITUTE(SUBSTITUTE(SUBSTITUTE(SUBSTITUTE(SUBSTITUTE(SUBSTITUTE(SUBSTITUTE(SUBSTITUTE(SUBSTITUTE(SUBSTITUTE(SUBSTITUTE(SUBSTITUTE(SUBSTITUTE(SUBSTITUTE(SUBSTITUTE(UPPER(TRIM(A712)),"[MEMBER]",""),"{MEMBER}",""),"[MEMBER}",""),"MEMBER]",""),"(A)",""),"""",""),"“",""),"”",""),".",""),":",""),",",""),"–"," "),"-"," "),"/"," "),"&amp;"," AND "))&amp;" "," THE "," ")," TOTAL "," ")," OPERATIONS "," "))</f>
        <v>HOME MARKET</v>
      </c>
      <c r="O712" s="17" t="str">
        <f aca="false">IF(COUNTIFS($N$2:$N$2000,N712,$D$2:$D$2000,"&lt;&gt;"&amp;D712)&gt;0,"CONFLICT","")</f>
        <v/>
      </c>
      <c r="P712" s="7"/>
    </row>
    <row r="713" customFormat="false" ht="15" hidden="false" customHeight="false" outlineLevel="0" collapsed="false">
      <c r="A713" s="7" t="s">
        <v>571</v>
      </c>
      <c r="B713" s="7" t="s">
        <v>1882</v>
      </c>
      <c r="C713" s="7" t="s">
        <v>571</v>
      </c>
      <c r="D713" s="6" t="s">
        <v>571</v>
      </c>
      <c r="E713" s="6" t="s">
        <v>1880</v>
      </c>
      <c r="F713" s="7" t="str">
        <f aca="false">IF($D713="","",IFERROR(IF(INDEX(Hierarchy!$B$2:$B$1295,MATCH($D713,Hierarchy!$A$2:$A$1295,0))="","",INDEX(Hierarchy!$B$2:$B$1295,MATCH($D713,Hierarchy!$A$2:$A$1295,0))),"NODE NOT FOUND"))</f>
        <v>Country</v>
      </c>
      <c r="G713" s="7" t="str">
        <f aca="false">IF($D713="","",IFERROR(IF(INDEX(Hierarchy!$D$2:$D$1295,MATCH($D713,Hierarchy!$A$2:$A$1295,0))="","",INDEX(Hierarchy!$D$2:$D$1295,MATCH($D713,Hierarchy!$A$2:$A$1295,0))),"NODE NOT FOUND"))</f>
        <v>AMER</v>
      </c>
      <c r="H713" s="7" t="str">
        <f aca="false">IF($D713="","",IFERROR(IF(INDEX(Hierarchy!$E$2:$E$1295,MATCH($D713,Hierarchy!$A$2:$A$1295,0))="","",INDEX(Hierarchy!$E$2:$E$1295,MATCH($D713,Hierarchy!$A$2:$A$1295,0))),"NODE NOT FOUND"))</f>
        <v>Latin America (LATAM)</v>
      </c>
      <c r="I713" s="7" t="str">
        <f aca="false">IF($D713="","",IFERROR(IF(INDEX(Hierarchy!$F$2:$F$1295,MATCH($D713,Hierarchy!$A$2:$A$1295,0))="","",INDEX(Hierarchy!$F$2:$F$1295,MATCH($D713,Hierarchy!$A$2:$A$1295,0))),"NODE NOT FOUND"))</f>
        <v>Honduras</v>
      </c>
      <c r="J713" s="7" t="str">
        <f aca="false">IF($D713="","",IFERROR(IF(INDEX(Hierarchy!$G$2:$G$1295,MATCH($D713,Hierarchy!$A$2:$A$1295,0))="","",INDEX(Hierarchy!$G$2:$G$1295,MATCH($D713,Hierarchy!$A$2:$A$1295,0))),"NODE NOT FOUND"))</f>
        <v>HND</v>
      </c>
      <c r="K713" s="7" t="str">
        <f aca="false">IF($D713="","",IFERROR(IF(INDEX(Hierarchy!$H$2:$H$1295,MATCH($D713,Hierarchy!$A$2:$A$1295,0))="","",INDEX(Hierarchy!$H$2:$H$1295,MATCH($D713,Hierarchy!$A$2:$A$1295,0))),"NODE NOT FOUND"))</f>
        <v/>
      </c>
      <c r="L713" s="7" t="str">
        <f aca="false">IF($D713="","",IFERROR(IF(INDEX(Hierarchy!$I$2:$I$1295,MATCH($D713,Hierarchy!$A$2:$A$1295,0))="","",INDEX(Hierarchy!$I$2:$I$1295,MATCH($D713,Hierarchy!$A$2:$A$1295,0))),"NODE NOT FOUND"))</f>
        <v/>
      </c>
      <c r="M713" s="17" t="str">
        <f aca="false">IF(B713="Pre-seeded","Pre-seeded",IF(B713="Review 2026-09-16","Added from review",IF(C713="","New",IF(C713=D713,"","Changed"))))</f>
        <v/>
      </c>
      <c r="N713" s="7" t="str">
        <f aca="false">TRIM(SUBSTITUTE(SUBSTITUTE(SUBSTITUTE(" "&amp;TRIM(SUBSTITUTE(SUBSTITUTE(SUBSTITUTE(SUBSTITUTE(SUBSTITUTE(SUBSTITUTE(SUBSTITUTE(SUBSTITUTE(SUBSTITUTE(SUBSTITUTE(SUBSTITUTE(SUBSTITUTE(SUBSTITUTE(SUBSTITUTE(SUBSTITUTE(UPPER(TRIM(A713)),"[MEMBER]",""),"{MEMBER}",""),"[MEMBER}",""),"MEMBER]",""),"(A)",""),"""",""),"“",""),"”",""),".",""),":",""),",",""),"–"," "),"-"," "),"/"," "),"&amp;"," AND "))&amp;" "," THE "," ")," TOTAL "," ")," OPERATIONS "," "))</f>
        <v>HONDURAS</v>
      </c>
      <c r="O713" s="17" t="str">
        <f aca="false">IF(COUNTIFS($N$2:$N$2000,N713,$D$2:$D$2000,"&lt;&gt;"&amp;D713)&gt;0,"CONFLICT","")</f>
        <v/>
      </c>
      <c r="P713" s="7"/>
    </row>
    <row r="714" customFormat="false" ht="15" hidden="false" customHeight="false" outlineLevel="0" collapsed="false">
      <c r="A714" s="7" t="s">
        <v>2247</v>
      </c>
      <c r="B714" s="7" t="s">
        <v>1882</v>
      </c>
      <c r="C714" s="7" t="s">
        <v>571</v>
      </c>
      <c r="D714" s="6" t="s">
        <v>571</v>
      </c>
      <c r="E714" s="6" t="s">
        <v>1880</v>
      </c>
      <c r="F714" s="7" t="str">
        <f aca="false">IF($D714="","",IFERROR(IF(INDEX(Hierarchy!$B$2:$B$1295,MATCH($D714,Hierarchy!$A$2:$A$1295,0))="","",INDEX(Hierarchy!$B$2:$B$1295,MATCH($D714,Hierarchy!$A$2:$A$1295,0))),"NODE NOT FOUND"))</f>
        <v>Country</v>
      </c>
      <c r="G714" s="7" t="str">
        <f aca="false">IF($D714="","",IFERROR(IF(INDEX(Hierarchy!$D$2:$D$1295,MATCH($D714,Hierarchy!$A$2:$A$1295,0))="","",INDEX(Hierarchy!$D$2:$D$1295,MATCH($D714,Hierarchy!$A$2:$A$1295,0))),"NODE NOT FOUND"))</f>
        <v>AMER</v>
      </c>
      <c r="H714" s="7" t="str">
        <f aca="false">IF($D714="","",IFERROR(IF(INDEX(Hierarchy!$E$2:$E$1295,MATCH($D714,Hierarchy!$A$2:$A$1295,0))="","",INDEX(Hierarchy!$E$2:$E$1295,MATCH($D714,Hierarchy!$A$2:$A$1295,0))),"NODE NOT FOUND"))</f>
        <v>Latin America (LATAM)</v>
      </c>
      <c r="I714" s="7" t="str">
        <f aca="false">IF($D714="","",IFERROR(IF(INDEX(Hierarchy!$F$2:$F$1295,MATCH($D714,Hierarchy!$A$2:$A$1295,0))="","",INDEX(Hierarchy!$F$2:$F$1295,MATCH($D714,Hierarchy!$A$2:$A$1295,0))),"NODE NOT FOUND"))</f>
        <v>Honduras</v>
      </c>
      <c r="J714" s="7" t="str">
        <f aca="false">IF($D714="","",IFERROR(IF(INDEX(Hierarchy!$G$2:$G$1295,MATCH($D714,Hierarchy!$A$2:$A$1295,0))="","",INDEX(Hierarchy!$G$2:$G$1295,MATCH($D714,Hierarchy!$A$2:$A$1295,0))),"NODE NOT FOUND"))</f>
        <v>HND</v>
      </c>
      <c r="K714" s="7" t="str">
        <f aca="false">IF($D714="","",IFERROR(IF(INDEX(Hierarchy!$H$2:$H$1295,MATCH($D714,Hierarchy!$A$2:$A$1295,0))="","",INDEX(Hierarchy!$H$2:$H$1295,MATCH($D714,Hierarchy!$A$2:$A$1295,0))),"NODE NOT FOUND"))</f>
        <v/>
      </c>
      <c r="L714" s="7" t="str">
        <f aca="false">IF($D714="","",IFERROR(IF(INDEX(Hierarchy!$I$2:$I$1295,MATCH($D714,Hierarchy!$A$2:$A$1295,0))="","",INDEX(Hierarchy!$I$2:$I$1295,MATCH($D714,Hierarchy!$A$2:$A$1295,0))),"NODE NOT FOUND"))</f>
        <v/>
      </c>
      <c r="M714" s="17" t="str">
        <f aca="false">IF(B714="Pre-seeded","Pre-seeded",IF(B714="Review 2026-09-16","Added from review",IF(C714="","New",IF(C714=D714,"","Changed"))))</f>
        <v/>
      </c>
      <c r="N714" s="7" t="str">
        <f aca="false">TRIM(SUBSTITUTE(SUBSTITUTE(SUBSTITUTE(" "&amp;TRIM(SUBSTITUTE(SUBSTITUTE(SUBSTITUTE(SUBSTITUTE(SUBSTITUTE(SUBSTITUTE(SUBSTITUTE(SUBSTITUTE(SUBSTITUTE(SUBSTITUTE(SUBSTITUTE(SUBSTITUTE(SUBSTITUTE(SUBSTITUTE(SUBSTITUTE(UPPER(TRIM(A714)),"[MEMBER]",""),"{MEMBER}",""),"[MEMBER}",""),"MEMBER]",""),"(A)",""),"""",""),"“",""),"”",""),".",""),":",""),",",""),"–"," "),"-"," "),"/"," "),"&amp;"," AND "))&amp;" "," THE "," ")," TOTAL "," ")," OPERATIONS "," "))</f>
        <v>HONDURAS</v>
      </c>
      <c r="O714" s="17" t="str">
        <f aca="false">IF(COUNTIFS($N$2:$N$2000,N714,$D$2:$D$2000,"&lt;&gt;"&amp;D714)&gt;0,"CONFLICT","")</f>
        <v/>
      </c>
      <c r="P714" s="7"/>
    </row>
    <row r="715" customFormat="false" ht="15" hidden="false" customHeight="false" outlineLevel="0" collapsed="false">
      <c r="A715" s="7" t="s">
        <v>1550</v>
      </c>
      <c r="B715" s="7" t="s">
        <v>1882</v>
      </c>
      <c r="C715" s="7" t="s">
        <v>1550</v>
      </c>
      <c r="D715" s="6" t="s">
        <v>1550</v>
      </c>
      <c r="E715" s="6" t="s">
        <v>1880</v>
      </c>
      <c r="F715" s="7" t="str">
        <f aca="false">IF($D715="","",IFERROR(IF(INDEX(Hierarchy!$B$2:$B$1295,MATCH($D715,Hierarchy!$A$2:$A$1295,0))="","",INDEX(Hierarchy!$B$2:$B$1295,MATCH($D715,Hierarchy!$A$2:$A$1295,0))),"NODE NOT FOUND"))</f>
        <v>Country</v>
      </c>
      <c r="G715" s="7" t="str">
        <f aca="false">IF($D715="","",IFERROR(IF(INDEX(Hierarchy!$D$2:$D$1295,MATCH($D715,Hierarchy!$A$2:$A$1295,0))="","",INDEX(Hierarchy!$D$2:$D$1295,MATCH($D715,Hierarchy!$A$2:$A$1295,0))),"NODE NOT FOUND"))</f>
        <v>APAC</v>
      </c>
      <c r="H715" s="7" t="str">
        <f aca="false">IF($D715="","",IFERROR(IF(INDEX(Hierarchy!$E$2:$E$1295,MATCH($D715,Hierarchy!$A$2:$A$1295,0))="","",INDEX(Hierarchy!$E$2:$E$1295,MATCH($D715,Hierarchy!$A$2:$A$1295,0))),"NODE NOT FOUND"))</f>
        <v>East Asia</v>
      </c>
      <c r="I715" s="7" t="str">
        <f aca="false">IF($D715="","",IFERROR(IF(INDEX(Hierarchy!$F$2:$F$1295,MATCH($D715,Hierarchy!$A$2:$A$1295,0))="","",INDEX(Hierarchy!$F$2:$F$1295,MATCH($D715,Hierarchy!$A$2:$A$1295,0))),"NODE NOT FOUND"))</f>
        <v>Hong Kong</v>
      </c>
      <c r="J715" s="7" t="str">
        <f aca="false">IF($D715="","",IFERROR(IF(INDEX(Hierarchy!$G$2:$G$1295,MATCH($D715,Hierarchy!$A$2:$A$1295,0))="","",INDEX(Hierarchy!$G$2:$G$1295,MATCH($D715,Hierarchy!$A$2:$A$1295,0))),"NODE NOT FOUND"))</f>
        <v>HKG</v>
      </c>
      <c r="K715" s="7" t="str">
        <f aca="false">IF($D715="","",IFERROR(IF(INDEX(Hierarchy!$H$2:$H$1295,MATCH($D715,Hierarchy!$A$2:$A$1295,0))="","",INDEX(Hierarchy!$H$2:$H$1295,MATCH($D715,Hierarchy!$A$2:$A$1295,0))),"NODE NOT FOUND"))</f>
        <v/>
      </c>
      <c r="L715" s="7" t="str">
        <f aca="false">IF($D715="","",IFERROR(IF(INDEX(Hierarchy!$I$2:$I$1295,MATCH($D715,Hierarchy!$A$2:$A$1295,0))="","",INDEX(Hierarchy!$I$2:$I$1295,MATCH($D715,Hierarchy!$A$2:$A$1295,0))),"NODE NOT FOUND"))</f>
        <v/>
      </c>
      <c r="M715" s="17" t="str">
        <f aca="false">IF(B715="Pre-seeded","Pre-seeded",IF(B715="Review 2026-09-16","Added from review",IF(C715="","New",IF(C715=D715,"","Changed"))))</f>
        <v/>
      </c>
      <c r="N715" s="7" t="str">
        <f aca="false">TRIM(SUBSTITUTE(SUBSTITUTE(SUBSTITUTE(" "&amp;TRIM(SUBSTITUTE(SUBSTITUTE(SUBSTITUTE(SUBSTITUTE(SUBSTITUTE(SUBSTITUTE(SUBSTITUTE(SUBSTITUTE(SUBSTITUTE(SUBSTITUTE(SUBSTITUTE(SUBSTITUTE(SUBSTITUTE(SUBSTITUTE(SUBSTITUTE(UPPER(TRIM(A715)),"[MEMBER]",""),"{MEMBER}",""),"[MEMBER}",""),"MEMBER]",""),"(A)",""),"""",""),"“",""),"”",""),".",""),":",""),",",""),"–"," "),"-"," "),"/"," "),"&amp;"," AND "))&amp;" "," THE "," ")," TOTAL "," ")," OPERATIONS "," "))</f>
        <v>HONG KONG</v>
      </c>
      <c r="O715" s="17" t="str">
        <f aca="false">IF(COUNTIFS($N$2:$N$2000,N715,$D$2:$D$2000,"&lt;&gt;"&amp;D715)&gt;0,"CONFLICT","")</f>
        <v/>
      </c>
      <c r="P715" s="7"/>
    </row>
    <row r="716" customFormat="false" ht="15" hidden="false" customHeight="false" outlineLevel="0" collapsed="false">
      <c r="A716" s="7" t="s">
        <v>2248</v>
      </c>
      <c r="B716" s="7" t="s">
        <v>1882</v>
      </c>
      <c r="C716" s="7" t="s">
        <v>1550</v>
      </c>
      <c r="D716" s="6" t="s">
        <v>1550</v>
      </c>
      <c r="E716" s="6" t="s">
        <v>1880</v>
      </c>
      <c r="F716" s="7" t="str">
        <f aca="false">IF($D716="","",IFERROR(IF(INDEX(Hierarchy!$B$2:$B$1295,MATCH($D716,Hierarchy!$A$2:$A$1295,0))="","",INDEX(Hierarchy!$B$2:$B$1295,MATCH($D716,Hierarchy!$A$2:$A$1295,0))),"NODE NOT FOUND"))</f>
        <v>Country</v>
      </c>
      <c r="G716" s="7" t="str">
        <f aca="false">IF($D716="","",IFERROR(IF(INDEX(Hierarchy!$D$2:$D$1295,MATCH($D716,Hierarchy!$A$2:$A$1295,0))="","",INDEX(Hierarchy!$D$2:$D$1295,MATCH($D716,Hierarchy!$A$2:$A$1295,0))),"NODE NOT FOUND"))</f>
        <v>APAC</v>
      </c>
      <c r="H716" s="7" t="str">
        <f aca="false">IF($D716="","",IFERROR(IF(INDEX(Hierarchy!$E$2:$E$1295,MATCH($D716,Hierarchy!$A$2:$A$1295,0))="","",INDEX(Hierarchy!$E$2:$E$1295,MATCH($D716,Hierarchy!$A$2:$A$1295,0))),"NODE NOT FOUND"))</f>
        <v>East Asia</v>
      </c>
      <c r="I716" s="7" t="str">
        <f aca="false">IF($D716="","",IFERROR(IF(INDEX(Hierarchy!$F$2:$F$1295,MATCH($D716,Hierarchy!$A$2:$A$1295,0))="","",INDEX(Hierarchy!$F$2:$F$1295,MATCH($D716,Hierarchy!$A$2:$A$1295,0))),"NODE NOT FOUND"))</f>
        <v>Hong Kong</v>
      </c>
      <c r="J716" s="7" t="str">
        <f aca="false">IF($D716="","",IFERROR(IF(INDEX(Hierarchy!$G$2:$G$1295,MATCH($D716,Hierarchy!$A$2:$A$1295,0))="","",INDEX(Hierarchy!$G$2:$G$1295,MATCH($D716,Hierarchy!$A$2:$A$1295,0))),"NODE NOT FOUND"))</f>
        <v>HKG</v>
      </c>
      <c r="K716" s="7" t="str">
        <f aca="false">IF($D716="","",IFERROR(IF(INDEX(Hierarchy!$H$2:$H$1295,MATCH($D716,Hierarchy!$A$2:$A$1295,0))="","",INDEX(Hierarchy!$H$2:$H$1295,MATCH($D716,Hierarchy!$A$2:$A$1295,0))),"NODE NOT FOUND"))</f>
        <v/>
      </c>
      <c r="L716" s="7" t="str">
        <f aca="false">IF($D716="","",IFERROR(IF(INDEX(Hierarchy!$I$2:$I$1295,MATCH($D716,Hierarchy!$A$2:$A$1295,0))="","",INDEX(Hierarchy!$I$2:$I$1295,MATCH($D716,Hierarchy!$A$2:$A$1295,0))),"NODE NOT FOUND"))</f>
        <v/>
      </c>
      <c r="M716" s="17" t="str">
        <f aca="false">IF(B716="Pre-seeded","Pre-seeded",IF(B716="Review 2026-09-16","Added from review",IF(C716="","New",IF(C716=D716,"","Changed"))))</f>
        <v/>
      </c>
      <c r="N716" s="7" t="str">
        <f aca="false">TRIM(SUBSTITUTE(SUBSTITUTE(SUBSTITUTE(" "&amp;TRIM(SUBSTITUTE(SUBSTITUTE(SUBSTITUTE(SUBSTITUTE(SUBSTITUTE(SUBSTITUTE(SUBSTITUTE(SUBSTITUTE(SUBSTITUTE(SUBSTITUTE(SUBSTITUTE(SUBSTITUTE(SUBSTITUTE(SUBSTITUTE(SUBSTITUTE(UPPER(TRIM(A716)),"[MEMBER]",""),"{MEMBER}",""),"[MEMBER}",""),"MEMBER]",""),"(A)",""),"""",""),"“",""),"”",""),".",""),":",""),",",""),"–"," "),"-"," "),"/"," "),"&amp;"," AND "))&amp;" "," THE "," ")," TOTAL "," ")," OPERATIONS "," "))</f>
        <v>HONG KONG</v>
      </c>
      <c r="O716" s="17" t="str">
        <f aca="false">IF(COUNTIFS($N$2:$N$2000,N716,$D$2:$D$2000,"&lt;&gt;"&amp;D716)&gt;0,"CONFLICT","")</f>
        <v/>
      </c>
      <c r="P716" s="7"/>
    </row>
    <row r="717" customFormat="false" ht="15" hidden="false" customHeight="false" outlineLevel="0" collapsed="false">
      <c r="A717" s="7" t="s">
        <v>2249</v>
      </c>
      <c r="B717" s="7" t="s">
        <v>1879</v>
      </c>
      <c r="C717" s="7"/>
      <c r="D717" s="6" t="s">
        <v>1420</v>
      </c>
      <c r="E717" s="6" t="s">
        <v>1891</v>
      </c>
      <c r="F717" s="7" t="str">
        <f aca="false">IF($D717="","",IFERROR(IF(INDEX(Hierarchy!$B$2:$B$1295,MATCH($D717,Hierarchy!$A$2:$A$1295,0))="","",INDEX(Hierarchy!$B$2:$B$1295,MATCH($D717,Hierarchy!$A$2:$A$1295,0))),"NODE NOT FOUND"))</f>
        <v>Sub-region component</v>
      </c>
      <c r="G717" s="7" t="str">
        <f aca="false">IF($D717="","",IFERROR(IF(INDEX(Hierarchy!$D$2:$D$1295,MATCH($D717,Hierarchy!$A$2:$A$1295,0))="","",INDEX(Hierarchy!$D$2:$D$1295,MATCH($D717,Hierarchy!$A$2:$A$1295,0))),"NODE NOT FOUND"))</f>
        <v>APAC</v>
      </c>
      <c r="H717" s="7" t="str">
        <f aca="false">IF($D717="","",IFERROR(IF(INDEX(Hierarchy!$E$2:$E$1295,MATCH($D717,Hierarchy!$A$2:$A$1295,0))="","",INDEX(Hierarchy!$E$2:$E$1295,MATCH($D717,Hierarchy!$A$2:$A$1295,0))),"NODE NOT FOUND"))</f>
        <v>East Asia</v>
      </c>
      <c r="I717" s="7" t="str">
        <f aca="false">IF($D717="","",IFERROR(IF(INDEX(Hierarchy!$F$2:$F$1295,MATCH($D717,Hierarchy!$A$2:$A$1295,0))="","",INDEX(Hierarchy!$F$2:$F$1295,MATCH($D717,Hierarchy!$A$2:$A$1295,0))),"NODE NOT FOUND"))</f>
        <v/>
      </c>
      <c r="J717" s="7" t="str">
        <f aca="false">IF($D717="","",IFERROR(IF(INDEX(Hierarchy!$G$2:$G$1295,MATCH($D717,Hierarchy!$A$2:$A$1295,0))="","",INDEX(Hierarchy!$G$2:$G$1295,MATCH($D717,Hierarchy!$A$2:$A$1295,0))),"NODE NOT FOUND"))</f>
        <v/>
      </c>
      <c r="K717" s="7" t="str">
        <f aca="false">IF($D717="","",IFERROR(IF(INDEX(Hierarchy!$H$2:$H$1295,MATCH($D717,Hierarchy!$A$2:$A$1295,0))="","",INDEX(Hierarchy!$H$2:$H$1295,MATCH($D717,Hierarchy!$A$2:$A$1295,0))),"NODE NOT FOUND"))</f>
        <v/>
      </c>
      <c r="L717" s="7" t="str">
        <f aca="false">IF($D717="","",IFERROR(IF(INDEX(Hierarchy!$I$2:$I$1295,MATCH($D717,Hierarchy!$A$2:$A$1295,0))="","",INDEX(Hierarchy!$I$2:$I$1295,MATCH($D717,Hierarchy!$A$2:$A$1295,0))),"NODE NOT FOUND"))</f>
        <v/>
      </c>
      <c r="M717" s="17" t="str">
        <f aca="false">IF(B717="Pre-seeded","Pre-seeded",IF(B717="Review 2026-09-16","Added from review",IF(C717="","New",IF(C717=D717,"","Changed"))))</f>
        <v>Pre-seeded</v>
      </c>
      <c r="N717" s="7" t="str">
        <f aca="false">TRIM(SUBSTITUTE(SUBSTITUTE(SUBSTITUTE(" "&amp;TRIM(SUBSTITUTE(SUBSTITUTE(SUBSTITUTE(SUBSTITUTE(SUBSTITUTE(SUBSTITUTE(SUBSTITUTE(SUBSTITUTE(SUBSTITUTE(SUBSTITUTE(SUBSTITUTE(SUBSTITUTE(SUBSTITUTE(SUBSTITUTE(SUBSTITUTE(UPPER(TRIM(A717)),"[MEMBER]",""),"{MEMBER}",""),"[MEMBER}",""),"MEMBER]",""),"(A)",""),"""",""),"“",""),"”",""),".",""),":",""),",",""),"–"," "),"-"," "),"/"," "),"&amp;"," AND "))&amp;" "," THE "," ")," TOTAL "," ")," OPERATIONS "," "))</f>
        <v>HONG KONG AND MACAU</v>
      </c>
      <c r="O717" s="17" t="str">
        <f aca="false">IF(COUNTIFS($N$2:$N$2000,N717,$D$2:$D$2000,"&lt;&gt;"&amp;D717)&gt;0,"CONFLICT","")</f>
        <v/>
      </c>
      <c r="P717" s="7"/>
    </row>
    <row r="718" customFormat="false" ht="15" hidden="false" customHeight="false" outlineLevel="0" collapsed="false">
      <c r="A718" s="7" t="s">
        <v>2250</v>
      </c>
      <c r="B718" s="7" t="s">
        <v>1879</v>
      </c>
      <c r="C718" s="7"/>
      <c r="D718" s="6" t="s">
        <v>1550</v>
      </c>
      <c r="E718" s="6" t="s">
        <v>1880</v>
      </c>
      <c r="F718" s="7" t="str">
        <f aca="false">IF($D718="","",IFERROR(IF(INDEX(Hierarchy!$B$2:$B$1295,MATCH($D718,Hierarchy!$A$2:$A$1295,0))="","",INDEX(Hierarchy!$B$2:$B$1295,MATCH($D718,Hierarchy!$A$2:$A$1295,0))),"NODE NOT FOUND"))</f>
        <v>Country</v>
      </c>
      <c r="G718" s="7" t="str">
        <f aca="false">IF($D718="","",IFERROR(IF(INDEX(Hierarchy!$D$2:$D$1295,MATCH($D718,Hierarchy!$A$2:$A$1295,0))="","",INDEX(Hierarchy!$D$2:$D$1295,MATCH($D718,Hierarchy!$A$2:$A$1295,0))),"NODE NOT FOUND"))</f>
        <v>APAC</v>
      </c>
      <c r="H718" s="7" t="str">
        <f aca="false">IF($D718="","",IFERROR(IF(INDEX(Hierarchy!$E$2:$E$1295,MATCH($D718,Hierarchy!$A$2:$A$1295,0))="","",INDEX(Hierarchy!$E$2:$E$1295,MATCH($D718,Hierarchy!$A$2:$A$1295,0))),"NODE NOT FOUND"))</f>
        <v>East Asia</v>
      </c>
      <c r="I718" s="7" t="str">
        <f aca="false">IF($D718="","",IFERROR(IF(INDEX(Hierarchy!$F$2:$F$1295,MATCH($D718,Hierarchy!$A$2:$A$1295,0))="","",INDEX(Hierarchy!$F$2:$F$1295,MATCH($D718,Hierarchy!$A$2:$A$1295,0))),"NODE NOT FOUND"))</f>
        <v>Hong Kong</v>
      </c>
      <c r="J718" s="7" t="str">
        <f aca="false">IF($D718="","",IFERROR(IF(INDEX(Hierarchy!$G$2:$G$1295,MATCH($D718,Hierarchy!$A$2:$A$1295,0))="","",INDEX(Hierarchy!$G$2:$G$1295,MATCH($D718,Hierarchy!$A$2:$A$1295,0))),"NODE NOT FOUND"))</f>
        <v>HKG</v>
      </c>
      <c r="K718" s="7" t="str">
        <f aca="false">IF($D718="","",IFERROR(IF(INDEX(Hierarchy!$H$2:$H$1295,MATCH($D718,Hierarchy!$A$2:$A$1295,0))="","",INDEX(Hierarchy!$H$2:$H$1295,MATCH($D718,Hierarchy!$A$2:$A$1295,0))),"NODE NOT FOUND"))</f>
        <v/>
      </c>
      <c r="L718" s="7" t="str">
        <f aca="false">IF($D718="","",IFERROR(IF(INDEX(Hierarchy!$I$2:$I$1295,MATCH($D718,Hierarchy!$A$2:$A$1295,0))="","",INDEX(Hierarchy!$I$2:$I$1295,MATCH($D718,Hierarchy!$A$2:$A$1295,0))),"NODE NOT FOUND"))</f>
        <v/>
      </c>
      <c r="M718" s="17" t="str">
        <f aca="false">IF(B718="Pre-seeded","Pre-seeded",IF(B718="Review 2026-09-16","Added from review",IF(C718="","New",IF(C718=D718,"","Changed"))))</f>
        <v>Pre-seeded</v>
      </c>
      <c r="N718" s="7" t="str">
        <f aca="false">TRIM(SUBSTITUTE(SUBSTITUTE(SUBSTITUTE(" "&amp;TRIM(SUBSTITUTE(SUBSTITUTE(SUBSTITUTE(SUBSTITUTE(SUBSTITUTE(SUBSTITUTE(SUBSTITUTE(SUBSTITUTE(SUBSTITUTE(SUBSTITUTE(SUBSTITUTE(SUBSTITUTE(SUBSTITUTE(SUBSTITUTE(SUBSTITUTE(UPPER(TRIM(A718)),"[MEMBER]",""),"{MEMBER}",""),"[MEMBER}",""),"MEMBER]",""),"(A)",""),"""",""),"“",""),"”",""),".",""),":",""),",",""),"–"," "),"-"," "),"/"," "),"&amp;"," AND "))&amp;" "," THE "," ")," TOTAL "," ")," OPERATIONS "," "))</f>
        <v>HONG KONG SAR</v>
      </c>
      <c r="O718" s="17" t="str">
        <f aca="false">IF(COUNTIFS($N$2:$N$2000,N718,$D$2:$D$2000,"&lt;&gt;"&amp;D718)&gt;0,"CONFLICT","")</f>
        <v/>
      </c>
      <c r="P718" s="7"/>
    </row>
    <row r="719" customFormat="false" ht="15" hidden="false" customHeight="false" outlineLevel="0" collapsed="false">
      <c r="A719" s="7" t="s">
        <v>2251</v>
      </c>
      <c r="B719" s="7" t="s">
        <v>1885</v>
      </c>
      <c r="C719" s="7" t="s">
        <v>1550</v>
      </c>
      <c r="D719" s="6" t="s">
        <v>1420</v>
      </c>
      <c r="E719" s="6" t="s">
        <v>1891</v>
      </c>
      <c r="F719" s="7" t="str">
        <f aca="false">IF($D719="","",IFERROR(IF(INDEX(Hierarchy!$B$2:$B$1295,MATCH($D719,Hierarchy!$A$2:$A$1295,0))="","",INDEX(Hierarchy!$B$2:$B$1295,MATCH($D719,Hierarchy!$A$2:$A$1295,0))),"NODE NOT FOUND"))</f>
        <v>Sub-region component</v>
      </c>
      <c r="G719" s="7" t="str">
        <f aca="false">IF($D719="","",IFERROR(IF(INDEX(Hierarchy!$D$2:$D$1295,MATCH($D719,Hierarchy!$A$2:$A$1295,0))="","",INDEX(Hierarchy!$D$2:$D$1295,MATCH($D719,Hierarchy!$A$2:$A$1295,0))),"NODE NOT FOUND"))</f>
        <v>APAC</v>
      </c>
      <c r="H719" s="7" t="str">
        <f aca="false">IF($D719="","",IFERROR(IF(INDEX(Hierarchy!$E$2:$E$1295,MATCH($D719,Hierarchy!$A$2:$A$1295,0))="","",INDEX(Hierarchy!$E$2:$E$1295,MATCH($D719,Hierarchy!$A$2:$A$1295,0))),"NODE NOT FOUND"))</f>
        <v>East Asia</v>
      </c>
      <c r="I719" s="7" t="str">
        <f aca="false">IF($D719="","",IFERROR(IF(INDEX(Hierarchy!$F$2:$F$1295,MATCH($D719,Hierarchy!$A$2:$A$1295,0))="","",INDEX(Hierarchy!$F$2:$F$1295,MATCH($D719,Hierarchy!$A$2:$A$1295,0))),"NODE NOT FOUND"))</f>
        <v/>
      </c>
      <c r="J719" s="7" t="str">
        <f aca="false">IF($D719="","",IFERROR(IF(INDEX(Hierarchy!$G$2:$G$1295,MATCH($D719,Hierarchy!$A$2:$A$1295,0))="","",INDEX(Hierarchy!$G$2:$G$1295,MATCH($D719,Hierarchy!$A$2:$A$1295,0))),"NODE NOT FOUND"))</f>
        <v/>
      </c>
      <c r="K719" s="7" t="str">
        <f aca="false">IF($D719="","",IFERROR(IF(INDEX(Hierarchy!$H$2:$H$1295,MATCH($D719,Hierarchy!$A$2:$A$1295,0))="","",INDEX(Hierarchy!$H$2:$H$1295,MATCH($D719,Hierarchy!$A$2:$A$1295,0))),"NODE NOT FOUND"))</f>
        <v/>
      </c>
      <c r="L719" s="7" t="str">
        <f aca="false">IF($D719="","",IFERROR(IF(INDEX(Hierarchy!$I$2:$I$1295,MATCH($D719,Hierarchy!$A$2:$A$1295,0))="","",INDEX(Hierarchy!$I$2:$I$1295,MATCH($D719,Hierarchy!$A$2:$A$1295,0))),"NODE NOT FOUND"))</f>
        <v/>
      </c>
      <c r="M719" s="17" t="str">
        <f aca="false">IF(B719="Pre-seeded","Pre-seeded",IF(B719="Review 2026-09-16","Added from review",IF(C719="","New",IF(C719=D719,"","Changed"))))</f>
        <v>Changed</v>
      </c>
      <c r="N719" s="7" t="str">
        <f aca="false">TRIM(SUBSTITUTE(SUBSTITUTE(SUBSTITUTE(" "&amp;TRIM(SUBSTITUTE(SUBSTITUTE(SUBSTITUTE(SUBSTITUTE(SUBSTITUTE(SUBSTITUTE(SUBSTITUTE(SUBSTITUTE(SUBSTITUTE(SUBSTITUTE(SUBSTITUTE(SUBSTITUTE(SUBSTITUTE(SUBSTITUTE(SUBSTITUTE(UPPER(TRIM(A719)),"[MEMBER]",""),"{MEMBER}",""),"[MEMBER}",""),"MEMBER]",""),"(A)",""),"""",""),"“",""),"”",""),".",""),":",""),",",""),"–"," "),"-"," "),"/"," "),"&amp;"," AND "))&amp;" "," THE "," ")," TOTAL "," ")," OPERATIONS "," "))</f>
        <v>HONG KONG SAR TAIWAN AND MACAU SAR</v>
      </c>
      <c r="O719" s="17" t="str">
        <f aca="false">IF(COUNTIFS($N$2:$N$2000,N719,$D$2:$D$2000,"&lt;&gt;"&amp;D719)&gt;0,"CONFLICT","")</f>
        <v/>
      </c>
      <c r="P719" s="7" t="s">
        <v>2252</v>
      </c>
    </row>
    <row r="720" customFormat="false" ht="15" hidden="false" customHeight="false" outlineLevel="0" collapsed="false">
      <c r="A720" s="7" t="s">
        <v>2253</v>
      </c>
      <c r="B720" s="7" t="s">
        <v>1879</v>
      </c>
      <c r="C720" s="7"/>
      <c r="D720" s="6" t="s">
        <v>1550</v>
      </c>
      <c r="E720" s="6" t="s">
        <v>1880</v>
      </c>
      <c r="F720" s="7" t="str">
        <f aca="false">IF($D720="","",IFERROR(IF(INDEX(Hierarchy!$B$2:$B$1295,MATCH($D720,Hierarchy!$A$2:$A$1295,0))="","",INDEX(Hierarchy!$B$2:$B$1295,MATCH($D720,Hierarchy!$A$2:$A$1295,0))),"NODE NOT FOUND"))</f>
        <v>Country</v>
      </c>
      <c r="G720" s="7" t="str">
        <f aca="false">IF($D720="","",IFERROR(IF(INDEX(Hierarchy!$D$2:$D$1295,MATCH($D720,Hierarchy!$A$2:$A$1295,0))="","",INDEX(Hierarchy!$D$2:$D$1295,MATCH($D720,Hierarchy!$A$2:$A$1295,0))),"NODE NOT FOUND"))</f>
        <v>APAC</v>
      </c>
      <c r="H720" s="7" t="str">
        <f aca="false">IF($D720="","",IFERROR(IF(INDEX(Hierarchy!$E$2:$E$1295,MATCH($D720,Hierarchy!$A$2:$A$1295,0))="","",INDEX(Hierarchy!$E$2:$E$1295,MATCH($D720,Hierarchy!$A$2:$A$1295,0))),"NODE NOT FOUND"))</f>
        <v>East Asia</v>
      </c>
      <c r="I720" s="7" t="str">
        <f aca="false">IF($D720="","",IFERROR(IF(INDEX(Hierarchy!$F$2:$F$1295,MATCH($D720,Hierarchy!$A$2:$A$1295,0))="","",INDEX(Hierarchy!$F$2:$F$1295,MATCH($D720,Hierarchy!$A$2:$A$1295,0))),"NODE NOT FOUND"))</f>
        <v>Hong Kong</v>
      </c>
      <c r="J720" s="7" t="str">
        <f aca="false">IF($D720="","",IFERROR(IF(INDEX(Hierarchy!$G$2:$G$1295,MATCH($D720,Hierarchy!$A$2:$A$1295,0))="","",INDEX(Hierarchy!$G$2:$G$1295,MATCH($D720,Hierarchy!$A$2:$A$1295,0))),"NODE NOT FOUND"))</f>
        <v>HKG</v>
      </c>
      <c r="K720" s="7" t="str">
        <f aca="false">IF($D720="","",IFERROR(IF(INDEX(Hierarchy!$H$2:$H$1295,MATCH($D720,Hierarchy!$A$2:$A$1295,0))="","",INDEX(Hierarchy!$H$2:$H$1295,MATCH($D720,Hierarchy!$A$2:$A$1295,0))),"NODE NOT FOUND"))</f>
        <v/>
      </c>
      <c r="L720" s="7" t="str">
        <f aca="false">IF($D720="","",IFERROR(IF(INDEX(Hierarchy!$I$2:$I$1295,MATCH($D720,Hierarchy!$A$2:$A$1295,0))="","",INDEX(Hierarchy!$I$2:$I$1295,MATCH($D720,Hierarchy!$A$2:$A$1295,0))),"NODE NOT FOUND"))</f>
        <v/>
      </c>
      <c r="M720" s="17" t="str">
        <f aca="false">IF(B720="Pre-seeded","Pre-seeded",IF(B720="Review 2026-09-16","Added from review",IF(C720="","New",IF(C720=D720,"","Changed"))))</f>
        <v>Pre-seeded</v>
      </c>
      <c r="N720" s="7" t="str">
        <f aca="false">TRIM(SUBSTITUTE(SUBSTITUTE(SUBSTITUTE(" "&amp;TRIM(SUBSTITUTE(SUBSTITUTE(SUBSTITUTE(SUBSTITUTE(SUBSTITUTE(SUBSTITUTE(SUBSTITUTE(SUBSTITUTE(SUBSTITUTE(SUBSTITUTE(SUBSTITUTE(SUBSTITUTE(SUBSTITUTE(SUBSTITUTE(SUBSTITUTE(UPPER(TRIM(A720)),"[MEMBER]",""),"{MEMBER}",""),"[MEMBER}",""),"MEMBER]",""),"(A)",""),"""",""),"“",""),"”",""),".",""),":",""),",",""),"–"," "),"-"," "),"/"," "),"&amp;"," AND "))&amp;" "," THE "," ")," TOTAL "," ")," OPERATIONS "," "))</f>
        <v>HONG KONG SPECIAL ADMINISTRATIVE REGION OF CHINA</v>
      </c>
      <c r="O720" s="17" t="str">
        <f aca="false">IF(COUNTIFS($N$2:$N$2000,N720,$D$2:$D$2000,"&lt;&gt;"&amp;D720)&gt;0,"CONFLICT","")</f>
        <v/>
      </c>
      <c r="P720" s="7" t="s">
        <v>1936</v>
      </c>
    </row>
    <row r="721" customFormat="false" ht="15" hidden="false" customHeight="false" outlineLevel="0" collapsed="false">
      <c r="A721" s="7" t="s">
        <v>2254</v>
      </c>
      <c r="B721" s="7" t="s">
        <v>1879</v>
      </c>
      <c r="C721" s="7"/>
      <c r="D721" s="6" t="s">
        <v>1100</v>
      </c>
      <c r="E721" s="6" t="s">
        <v>1891</v>
      </c>
      <c r="F721" s="7" t="str">
        <f aca="false">IF($D721="","",IFERROR(IF(INDEX(Hierarchy!$B$2:$B$1295,MATCH($D721,Hierarchy!$A$2:$A$1295,0))="","",INDEX(Hierarchy!$B$2:$B$1295,MATCH($D721,Hierarchy!$A$2:$A$1295,0))),"NODE NOT FOUND"))</f>
        <v>Sub-region component</v>
      </c>
      <c r="G721" s="7" t="str">
        <f aca="false">IF($D721="","",IFERROR(IF(INDEX(Hierarchy!$D$2:$D$1295,MATCH($D721,Hierarchy!$A$2:$A$1295,0))="","",INDEX(Hierarchy!$D$2:$D$1295,MATCH($D721,Hierarchy!$A$2:$A$1295,0))),"NODE NOT FOUND"))</f>
        <v>EMEA</v>
      </c>
      <c r="H721" s="7" t="str">
        <f aca="false">IF($D721="","",IFERROR(IF(INDEX(Hierarchy!$E$2:$E$1295,MATCH($D721,Hierarchy!$A$2:$A$1295,0))="","",INDEX(Hierarchy!$E$2:$E$1295,MATCH($D721,Hierarchy!$A$2:$A$1295,0))),"NODE NOT FOUND"))</f>
        <v>Africa</v>
      </c>
      <c r="I721" s="7" t="str">
        <f aca="false">IF($D721="","",IFERROR(IF(INDEX(Hierarchy!$F$2:$F$1295,MATCH($D721,Hierarchy!$A$2:$A$1295,0))="","",INDEX(Hierarchy!$F$2:$F$1295,MATCH($D721,Hierarchy!$A$2:$A$1295,0))),"NODE NOT FOUND"))</f>
        <v/>
      </c>
      <c r="J721" s="7" t="str">
        <f aca="false">IF($D721="","",IFERROR(IF(INDEX(Hierarchy!$G$2:$G$1295,MATCH($D721,Hierarchy!$A$2:$A$1295,0))="","",INDEX(Hierarchy!$G$2:$G$1295,MATCH($D721,Hierarchy!$A$2:$A$1295,0))),"NODE NOT FOUND"))</f>
        <v/>
      </c>
      <c r="K721" s="7" t="str">
        <f aca="false">IF($D721="","",IFERROR(IF(INDEX(Hierarchy!$H$2:$H$1295,MATCH($D721,Hierarchy!$A$2:$A$1295,0))="","",INDEX(Hierarchy!$H$2:$H$1295,MATCH($D721,Hierarchy!$A$2:$A$1295,0))),"NODE NOT FOUND"))</f>
        <v/>
      </c>
      <c r="L721" s="7" t="str">
        <f aca="false">IF($D721="","",IFERROR(IF(INDEX(Hierarchy!$I$2:$I$1295,MATCH($D721,Hierarchy!$A$2:$A$1295,0))="","",INDEX(Hierarchy!$I$2:$I$1295,MATCH($D721,Hierarchy!$A$2:$A$1295,0))),"NODE NOT FOUND"))</f>
        <v/>
      </c>
      <c r="M721" s="17" t="str">
        <f aca="false">IF(B721="Pre-seeded","Pre-seeded",IF(B721="Review 2026-09-16","Added from review",IF(C721="","New",IF(C721=D721,"","Changed"))))</f>
        <v>Pre-seeded</v>
      </c>
      <c r="N721" s="7" t="str">
        <f aca="false">TRIM(SUBSTITUTE(SUBSTITUTE(SUBSTITUTE(" "&amp;TRIM(SUBSTITUTE(SUBSTITUTE(SUBSTITUTE(SUBSTITUTE(SUBSTITUTE(SUBSTITUTE(SUBSTITUTE(SUBSTITUTE(SUBSTITUTE(SUBSTITUTE(SUBSTITUTE(SUBSTITUTE(SUBSTITUTE(SUBSTITUTE(SUBSTITUTE(UPPER(TRIM(A721)),"[MEMBER]",""),"{MEMBER}",""),"[MEMBER}",""),"MEMBER]",""),"(A)",""),"""",""),"“",""),"”",""),".",""),":",""),",",""),"–"," "),"-"," "),"/"," "),"&amp;"," AND "))&amp;" "," THE "," ")," TOTAL "," ")," OPERATIONS "," "))</f>
        <v>HORN OF AFRICA</v>
      </c>
      <c r="O721" s="17" t="str">
        <f aca="false">IF(COUNTIFS($N$2:$N$2000,N721,$D$2:$D$2000,"&lt;&gt;"&amp;D721)&gt;0,"CONFLICT","")</f>
        <v/>
      </c>
      <c r="P721" s="7"/>
    </row>
    <row r="722" customFormat="false" ht="15" hidden="false" customHeight="false" outlineLevel="0" collapsed="false">
      <c r="A722" s="7" t="s">
        <v>250</v>
      </c>
      <c r="B722" s="7" t="s">
        <v>1882</v>
      </c>
      <c r="C722" s="7" t="s">
        <v>250</v>
      </c>
      <c r="D722" s="6" t="s">
        <v>250</v>
      </c>
      <c r="E722" s="6" t="s">
        <v>1880</v>
      </c>
      <c r="F722" s="7" t="str">
        <f aca="false">IF($D722="","",IFERROR(IF(INDEX(Hierarchy!$B$2:$B$1295,MATCH($D722,Hierarchy!$A$2:$A$1295,0))="","",INDEX(Hierarchy!$B$2:$B$1295,MATCH($D722,Hierarchy!$A$2:$A$1295,0))),"NODE NOT FOUND"))</f>
        <v>City</v>
      </c>
      <c r="G722" s="7" t="str">
        <f aca="false">IF($D722="","",IFERROR(IF(INDEX(Hierarchy!$D$2:$D$1295,MATCH($D722,Hierarchy!$A$2:$A$1295,0))="","",INDEX(Hierarchy!$D$2:$D$1295,MATCH($D722,Hierarchy!$A$2:$A$1295,0))),"NODE NOT FOUND"))</f>
        <v>AMER</v>
      </c>
      <c r="H722" s="7" t="str">
        <f aca="false">IF($D722="","",IFERROR(IF(INDEX(Hierarchy!$E$2:$E$1295,MATCH($D722,Hierarchy!$A$2:$A$1295,0))="","",INDEX(Hierarchy!$E$2:$E$1295,MATCH($D722,Hierarchy!$A$2:$A$1295,0))),"NODE NOT FOUND"))</f>
        <v>North America (NORAM)</v>
      </c>
      <c r="I722" s="7" t="str">
        <f aca="false">IF($D722="","",IFERROR(IF(INDEX(Hierarchy!$F$2:$F$1295,MATCH($D722,Hierarchy!$A$2:$A$1295,0))="","",INDEX(Hierarchy!$F$2:$F$1295,MATCH($D722,Hierarchy!$A$2:$A$1295,0))),"NODE NOT FOUND"))</f>
        <v>United States</v>
      </c>
      <c r="J722" s="7" t="str">
        <f aca="false">IF($D722="","",IFERROR(IF(INDEX(Hierarchy!$G$2:$G$1295,MATCH($D722,Hierarchy!$A$2:$A$1295,0))="","",INDEX(Hierarchy!$G$2:$G$1295,MATCH($D722,Hierarchy!$A$2:$A$1295,0))),"NODE NOT FOUND"))</f>
        <v>USA</v>
      </c>
      <c r="K722" s="7" t="str">
        <f aca="false">IF($D722="","",IFERROR(IF(INDEX(Hierarchy!$H$2:$H$1295,MATCH($D722,Hierarchy!$A$2:$A$1295,0))="","",INDEX(Hierarchy!$H$2:$H$1295,MATCH($D722,Hierarchy!$A$2:$A$1295,0))),"NODE NOT FOUND"))</f>
        <v>Texas</v>
      </c>
      <c r="L722" s="7" t="str">
        <f aca="false">IF($D722="","",IFERROR(IF(INDEX(Hierarchy!$I$2:$I$1295,MATCH($D722,Hierarchy!$A$2:$A$1295,0))="","",INDEX(Hierarchy!$I$2:$I$1295,MATCH($D722,Hierarchy!$A$2:$A$1295,0))),"NODE NOT FOUND"))</f>
        <v>Houston</v>
      </c>
      <c r="M722" s="17" t="str">
        <f aca="false">IF(B722="Pre-seeded","Pre-seeded",IF(B722="Review 2026-09-16","Added from review",IF(C722="","New",IF(C722=D722,"","Changed"))))</f>
        <v/>
      </c>
      <c r="N722" s="7" t="str">
        <f aca="false">TRIM(SUBSTITUTE(SUBSTITUTE(SUBSTITUTE(" "&amp;TRIM(SUBSTITUTE(SUBSTITUTE(SUBSTITUTE(SUBSTITUTE(SUBSTITUTE(SUBSTITUTE(SUBSTITUTE(SUBSTITUTE(SUBSTITUTE(SUBSTITUTE(SUBSTITUTE(SUBSTITUTE(SUBSTITUTE(SUBSTITUTE(SUBSTITUTE(UPPER(TRIM(A722)),"[MEMBER]",""),"{MEMBER}",""),"[MEMBER}",""),"MEMBER]",""),"(A)",""),"""",""),"“",""),"”",""),".",""),":",""),",",""),"–"," "),"-"," "),"/"," "),"&amp;"," AND "))&amp;" "," THE "," ")," TOTAL "," ")," OPERATIONS "," "))</f>
        <v>HOUSTON</v>
      </c>
      <c r="O722" s="17" t="str">
        <f aca="false">IF(COUNTIFS($N$2:$N$2000,N722,$D$2:$D$2000,"&lt;&gt;"&amp;D722)&gt;0,"CONFLICT","")</f>
        <v/>
      </c>
      <c r="P722" s="7"/>
    </row>
    <row r="723" customFormat="false" ht="15" hidden="false" customHeight="false" outlineLevel="0" collapsed="false">
      <c r="A723" s="7" t="s">
        <v>1517</v>
      </c>
      <c r="B723" s="7" t="s">
        <v>1879</v>
      </c>
      <c r="C723" s="7"/>
      <c r="D723" s="6" t="s">
        <v>1517</v>
      </c>
      <c r="E723" s="6" t="s">
        <v>1880</v>
      </c>
      <c r="F723" s="7" t="str">
        <f aca="false">IF($D723="","",IFERROR(IF(INDEX(Hierarchy!$B$2:$B$1295,MATCH($D723,Hierarchy!$A$2:$A$1295,0))="","",INDEX(Hierarchy!$B$2:$B$1295,MATCH($D723,Hierarchy!$A$2:$A$1295,0))),"NODE NOT FOUND"))</f>
        <v>State/Province</v>
      </c>
      <c r="G723" s="7" t="str">
        <f aca="false">IF($D723="","",IFERROR(IF(INDEX(Hierarchy!$D$2:$D$1295,MATCH($D723,Hierarchy!$A$2:$A$1295,0))="","",INDEX(Hierarchy!$D$2:$D$1295,MATCH($D723,Hierarchy!$A$2:$A$1295,0))),"NODE NOT FOUND"))</f>
        <v>APAC</v>
      </c>
      <c r="H723" s="7" t="str">
        <f aca="false">IF($D723="","",IFERROR(IF(INDEX(Hierarchy!$E$2:$E$1295,MATCH($D723,Hierarchy!$A$2:$A$1295,0))="","",INDEX(Hierarchy!$E$2:$E$1295,MATCH($D723,Hierarchy!$A$2:$A$1295,0))),"NODE NOT FOUND"))</f>
        <v>East Asia</v>
      </c>
      <c r="I723" s="7" t="str">
        <f aca="false">IF($D723="","",IFERROR(IF(INDEX(Hierarchy!$F$2:$F$1295,MATCH($D723,Hierarchy!$A$2:$A$1295,0))="","",INDEX(Hierarchy!$F$2:$F$1295,MATCH($D723,Hierarchy!$A$2:$A$1295,0))),"NODE NOT FOUND"))</f>
        <v>China</v>
      </c>
      <c r="J723" s="7" t="str">
        <f aca="false">IF($D723="","",IFERROR(IF(INDEX(Hierarchy!$G$2:$G$1295,MATCH($D723,Hierarchy!$A$2:$A$1295,0))="","",INDEX(Hierarchy!$G$2:$G$1295,MATCH($D723,Hierarchy!$A$2:$A$1295,0))),"NODE NOT FOUND"))</f>
        <v>CHN</v>
      </c>
      <c r="K723" s="7" t="str">
        <f aca="false">IF($D723="","",IFERROR(IF(INDEX(Hierarchy!$H$2:$H$1295,MATCH($D723,Hierarchy!$A$2:$A$1295,0))="","",INDEX(Hierarchy!$H$2:$H$1295,MATCH($D723,Hierarchy!$A$2:$A$1295,0))),"NODE NOT FOUND"))</f>
        <v>Hubei</v>
      </c>
      <c r="L723" s="7" t="str">
        <f aca="false">IF($D723="","",IFERROR(IF(INDEX(Hierarchy!$I$2:$I$1295,MATCH($D723,Hierarchy!$A$2:$A$1295,0))="","",INDEX(Hierarchy!$I$2:$I$1295,MATCH($D723,Hierarchy!$A$2:$A$1295,0))),"NODE NOT FOUND"))</f>
        <v/>
      </c>
      <c r="M723" s="17" t="str">
        <f aca="false">IF(B723="Pre-seeded","Pre-seeded",IF(B723="Review 2026-09-16","Added from review",IF(C723="","New",IF(C723=D723,"","Changed"))))</f>
        <v>Pre-seeded</v>
      </c>
      <c r="N723" s="7" t="str">
        <f aca="false">TRIM(SUBSTITUTE(SUBSTITUTE(SUBSTITUTE(" "&amp;TRIM(SUBSTITUTE(SUBSTITUTE(SUBSTITUTE(SUBSTITUTE(SUBSTITUTE(SUBSTITUTE(SUBSTITUTE(SUBSTITUTE(SUBSTITUTE(SUBSTITUTE(SUBSTITUTE(SUBSTITUTE(SUBSTITUTE(SUBSTITUTE(SUBSTITUTE(UPPER(TRIM(A723)),"[MEMBER]",""),"{MEMBER}",""),"[MEMBER}",""),"MEMBER]",""),"(A)",""),"""",""),"“",""),"”",""),".",""),":",""),",",""),"–"," "),"-"," "),"/"," "),"&amp;"," AND "))&amp;" "," THE "," ")," TOTAL "," ")," OPERATIONS "," "))</f>
        <v>HUBEI</v>
      </c>
      <c r="O723" s="17" t="str">
        <f aca="false">IF(COUNTIFS($N$2:$N$2000,N723,$D$2:$D$2000,"&lt;&gt;"&amp;D723)&gt;0,"CONFLICT","")</f>
        <v/>
      </c>
      <c r="P723" s="7"/>
    </row>
    <row r="724" customFormat="false" ht="15" hidden="false" customHeight="false" outlineLevel="0" collapsed="false">
      <c r="A724" s="7" t="s">
        <v>518</v>
      </c>
      <c r="B724" s="7" t="s">
        <v>1879</v>
      </c>
      <c r="C724" s="7"/>
      <c r="D724" s="6" t="s">
        <v>518</v>
      </c>
      <c r="E724" s="6" t="s">
        <v>1880</v>
      </c>
      <c r="F724" s="7" t="str">
        <f aca="false">IF($D724="","",IFERROR(IF(INDEX(Hierarchy!$B$2:$B$1295,MATCH($D724,Hierarchy!$A$2:$A$1295,0))="","",INDEX(Hierarchy!$B$2:$B$1295,MATCH($D724,Hierarchy!$A$2:$A$1295,0))),"NODE NOT FOUND"))</f>
        <v>State/Province</v>
      </c>
      <c r="G724" s="7" t="str">
        <f aca="false">IF($D724="","",IFERROR(IF(INDEX(Hierarchy!$D$2:$D$1295,MATCH($D724,Hierarchy!$A$2:$A$1295,0))="","",INDEX(Hierarchy!$D$2:$D$1295,MATCH($D724,Hierarchy!$A$2:$A$1295,0))),"NODE NOT FOUND"))</f>
        <v>AMER</v>
      </c>
      <c r="H724" s="7" t="str">
        <f aca="false">IF($D724="","",IFERROR(IF(INDEX(Hierarchy!$E$2:$E$1295,MATCH($D724,Hierarchy!$A$2:$A$1295,0))="","",INDEX(Hierarchy!$E$2:$E$1295,MATCH($D724,Hierarchy!$A$2:$A$1295,0))),"NODE NOT FOUND"))</f>
        <v>Latin America (LATAM)</v>
      </c>
      <c r="I724" s="7" t="str">
        <f aca="false">IF($D724="","",IFERROR(IF(INDEX(Hierarchy!$F$2:$F$1295,MATCH($D724,Hierarchy!$A$2:$A$1295,0))="","",INDEX(Hierarchy!$F$2:$F$1295,MATCH($D724,Hierarchy!$A$2:$A$1295,0))),"NODE NOT FOUND"))</f>
        <v>Colombia</v>
      </c>
      <c r="J724" s="7" t="str">
        <f aca="false">IF($D724="","",IFERROR(IF(INDEX(Hierarchy!$G$2:$G$1295,MATCH($D724,Hierarchy!$A$2:$A$1295,0))="","",INDEX(Hierarchy!$G$2:$G$1295,MATCH($D724,Hierarchy!$A$2:$A$1295,0))),"NODE NOT FOUND"))</f>
        <v>COL</v>
      </c>
      <c r="K724" s="7" t="str">
        <f aca="false">IF($D724="","",IFERROR(IF(INDEX(Hierarchy!$H$2:$H$1295,MATCH($D724,Hierarchy!$A$2:$A$1295,0))="","",INDEX(Hierarchy!$H$2:$H$1295,MATCH($D724,Hierarchy!$A$2:$A$1295,0))),"NODE NOT FOUND"))</f>
        <v>Huila</v>
      </c>
      <c r="L724" s="7" t="str">
        <f aca="false">IF($D724="","",IFERROR(IF(INDEX(Hierarchy!$I$2:$I$1295,MATCH($D724,Hierarchy!$A$2:$A$1295,0))="","",INDEX(Hierarchy!$I$2:$I$1295,MATCH($D724,Hierarchy!$A$2:$A$1295,0))),"NODE NOT FOUND"))</f>
        <v/>
      </c>
      <c r="M724" s="17" t="str">
        <f aca="false">IF(B724="Pre-seeded","Pre-seeded",IF(B724="Review 2026-09-16","Added from review",IF(C724="","New",IF(C724=D724,"","Changed"))))</f>
        <v>Pre-seeded</v>
      </c>
      <c r="N724" s="7" t="str">
        <f aca="false">TRIM(SUBSTITUTE(SUBSTITUTE(SUBSTITUTE(" "&amp;TRIM(SUBSTITUTE(SUBSTITUTE(SUBSTITUTE(SUBSTITUTE(SUBSTITUTE(SUBSTITUTE(SUBSTITUTE(SUBSTITUTE(SUBSTITUTE(SUBSTITUTE(SUBSTITUTE(SUBSTITUTE(SUBSTITUTE(SUBSTITUTE(SUBSTITUTE(UPPER(TRIM(A724)),"[MEMBER]",""),"{MEMBER}",""),"[MEMBER}",""),"MEMBER]",""),"(A)",""),"""",""),"“",""),"”",""),".",""),":",""),",",""),"–"," "),"-"," "),"/"," "),"&amp;"," AND "))&amp;" "," THE "," ")," TOTAL "," ")," OPERATIONS "," "))</f>
        <v>HUILA</v>
      </c>
      <c r="O724" s="17" t="str">
        <f aca="false">IF(COUNTIFS($N$2:$N$2000,N724,$D$2:$D$2000,"&lt;&gt;"&amp;D724)&gt;0,"CONFLICT","")</f>
        <v/>
      </c>
      <c r="P724" s="7"/>
    </row>
    <row r="725" customFormat="false" ht="15" hidden="false" customHeight="false" outlineLevel="0" collapsed="false">
      <c r="A725" s="7" t="s">
        <v>1519</v>
      </c>
      <c r="B725" s="7" t="s">
        <v>1879</v>
      </c>
      <c r="C725" s="7"/>
      <c r="D725" s="6" t="s">
        <v>1519</v>
      </c>
      <c r="E725" s="6" t="s">
        <v>1880</v>
      </c>
      <c r="F725" s="7" t="str">
        <f aca="false">IF($D725="","",IFERROR(IF(INDEX(Hierarchy!$B$2:$B$1295,MATCH($D725,Hierarchy!$A$2:$A$1295,0))="","",INDEX(Hierarchy!$B$2:$B$1295,MATCH($D725,Hierarchy!$A$2:$A$1295,0))),"NODE NOT FOUND"))</f>
        <v>State/Province</v>
      </c>
      <c r="G725" s="7" t="str">
        <f aca="false">IF($D725="","",IFERROR(IF(INDEX(Hierarchy!$D$2:$D$1295,MATCH($D725,Hierarchy!$A$2:$A$1295,0))="","",INDEX(Hierarchy!$D$2:$D$1295,MATCH($D725,Hierarchy!$A$2:$A$1295,0))),"NODE NOT FOUND"))</f>
        <v>APAC</v>
      </c>
      <c r="H725" s="7" t="str">
        <f aca="false">IF($D725="","",IFERROR(IF(INDEX(Hierarchy!$E$2:$E$1295,MATCH($D725,Hierarchy!$A$2:$A$1295,0))="","",INDEX(Hierarchy!$E$2:$E$1295,MATCH($D725,Hierarchy!$A$2:$A$1295,0))),"NODE NOT FOUND"))</f>
        <v>East Asia</v>
      </c>
      <c r="I725" s="7" t="str">
        <f aca="false">IF($D725="","",IFERROR(IF(INDEX(Hierarchy!$F$2:$F$1295,MATCH($D725,Hierarchy!$A$2:$A$1295,0))="","",INDEX(Hierarchy!$F$2:$F$1295,MATCH($D725,Hierarchy!$A$2:$A$1295,0))),"NODE NOT FOUND"))</f>
        <v>China</v>
      </c>
      <c r="J725" s="7" t="str">
        <f aca="false">IF($D725="","",IFERROR(IF(INDEX(Hierarchy!$G$2:$G$1295,MATCH($D725,Hierarchy!$A$2:$A$1295,0))="","",INDEX(Hierarchy!$G$2:$G$1295,MATCH($D725,Hierarchy!$A$2:$A$1295,0))),"NODE NOT FOUND"))</f>
        <v>CHN</v>
      </c>
      <c r="K725" s="7" t="str">
        <f aca="false">IF($D725="","",IFERROR(IF(INDEX(Hierarchy!$H$2:$H$1295,MATCH($D725,Hierarchy!$A$2:$A$1295,0))="","",INDEX(Hierarchy!$H$2:$H$1295,MATCH($D725,Hierarchy!$A$2:$A$1295,0))),"NODE NOT FOUND"))</f>
        <v>Hunan</v>
      </c>
      <c r="L725" s="7" t="str">
        <f aca="false">IF($D725="","",IFERROR(IF(INDEX(Hierarchy!$I$2:$I$1295,MATCH($D725,Hierarchy!$A$2:$A$1295,0))="","",INDEX(Hierarchy!$I$2:$I$1295,MATCH($D725,Hierarchy!$A$2:$A$1295,0))),"NODE NOT FOUND"))</f>
        <v/>
      </c>
      <c r="M725" s="17" t="str">
        <f aca="false">IF(B725="Pre-seeded","Pre-seeded",IF(B725="Review 2026-09-16","Added from review",IF(C725="","New",IF(C725=D725,"","Changed"))))</f>
        <v>Pre-seeded</v>
      </c>
      <c r="N725" s="7" t="str">
        <f aca="false">TRIM(SUBSTITUTE(SUBSTITUTE(SUBSTITUTE(" "&amp;TRIM(SUBSTITUTE(SUBSTITUTE(SUBSTITUTE(SUBSTITUTE(SUBSTITUTE(SUBSTITUTE(SUBSTITUTE(SUBSTITUTE(SUBSTITUTE(SUBSTITUTE(SUBSTITUTE(SUBSTITUTE(SUBSTITUTE(SUBSTITUTE(SUBSTITUTE(UPPER(TRIM(A725)),"[MEMBER]",""),"{MEMBER}",""),"[MEMBER}",""),"MEMBER]",""),"(A)",""),"""",""),"“",""),"”",""),".",""),":",""),",",""),"–"," "),"-"," "),"/"," "),"&amp;"," AND "))&amp;" "," THE "," ")," TOTAL "," ")," OPERATIONS "," "))</f>
        <v>HUNAN</v>
      </c>
      <c r="O725" s="17" t="str">
        <f aca="false">IF(COUNTIFS($N$2:$N$2000,N725,$D$2:$D$2000,"&lt;&gt;"&amp;D725)&gt;0,"CONFLICT","")</f>
        <v/>
      </c>
      <c r="P725" s="7"/>
    </row>
    <row r="726" customFormat="false" ht="15" hidden="false" customHeight="false" outlineLevel="0" collapsed="false">
      <c r="A726" s="7" t="s">
        <v>813</v>
      </c>
      <c r="B726" s="7" t="s">
        <v>1882</v>
      </c>
      <c r="C726" s="7" t="s">
        <v>813</v>
      </c>
      <c r="D726" s="6" t="s">
        <v>813</v>
      </c>
      <c r="E726" s="6" t="s">
        <v>1880</v>
      </c>
      <c r="F726" s="7" t="str">
        <f aca="false">IF($D726="","",IFERROR(IF(INDEX(Hierarchy!$B$2:$B$1295,MATCH($D726,Hierarchy!$A$2:$A$1295,0))="","",INDEX(Hierarchy!$B$2:$B$1295,MATCH($D726,Hierarchy!$A$2:$A$1295,0))),"NODE NOT FOUND"))</f>
        <v>Country</v>
      </c>
      <c r="G726" s="7" t="str">
        <f aca="false">IF($D726="","",IFERROR(IF(INDEX(Hierarchy!$D$2:$D$1295,MATCH($D726,Hierarchy!$A$2:$A$1295,0))="","",INDEX(Hierarchy!$D$2:$D$1295,MATCH($D726,Hierarchy!$A$2:$A$1295,0))),"NODE NOT FOUND"))</f>
        <v>EMEA</v>
      </c>
      <c r="H726" s="7" t="str">
        <f aca="false">IF($D726="","",IFERROR(IF(INDEX(Hierarchy!$E$2:$E$1295,MATCH($D726,Hierarchy!$A$2:$A$1295,0))="","",INDEX(Hierarchy!$E$2:$E$1295,MATCH($D726,Hierarchy!$A$2:$A$1295,0))),"NODE NOT FOUND"))</f>
        <v>Europe</v>
      </c>
      <c r="I726" s="7" t="str">
        <f aca="false">IF($D726="","",IFERROR(IF(INDEX(Hierarchy!$F$2:$F$1295,MATCH($D726,Hierarchy!$A$2:$A$1295,0))="","",INDEX(Hierarchy!$F$2:$F$1295,MATCH($D726,Hierarchy!$A$2:$A$1295,0))),"NODE NOT FOUND"))</f>
        <v>Hungary</v>
      </c>
      <c r="J726" s="7" t="str">
        <f aca="false">IF($D726="","",IFERROR(IF(INDEX(Hierarchy!$G$2:$G$1295,MATCH($D726,Hierarchy!$A$2:$A$1295,0))="","",INDEX(Hierarchy!$G$2:$G$1295,MATCH($D726,Hierarchy!$A$2:$A$1295,0))),"NODE NOT FOUND"))</f>
        <v>HUN</v>
      </c>
      <c r="K726" s="7" t="str">
        <f aca="false">IF($D726="","",IFERROR(IF(INDEX(Hierarchy!$H$2:$H$1295,MATCH($D726,Hierarchy!$A$2:$A$1295,0))="","",INDEX(Hierarchy!$H$2:$H$1295,MATCH($D726,Hierarchy!$A$2:$A$1295,0))),"NODE NOT FOUND"))</f>
        <v/>
      </c>
      <c r="L726" s="7" t="str">
        <f aca="false">IF($D726="","",IFERROR(IF(INDEX(Hierarchy!$I$2:$I$1295,MATCH($D726,Hierarchy!$A$2:$A$1295,0))="","",INDEX(Hierarchy!$I$2:$I$1295,MATCH($D726,Hierarchy!$A$2:$A$1295,0))),"NODE NOT FOUND"))</f>
        <v/>
      </c>
      <c r="M726" s="17" t="str">
        <f aca="false">IF(B726="Pre-seeded","Pre-seeded",IF(B726="Review 2026-09-16","Added from review",IF(C726="","New",IF(C726=D726,"","Changed"))))</f>
        <v/>
      </c>
      <c r="N726" s="7" t="str">
        <f aca="false">TRIM(SUBSTITUTE(SUBSTITUTE(SUBSTITUTE(" "&amp;TRIM(SUBSTITUTE(SUBSTITUTE(SUBSTITUTE(SUBSTITUTE(SUBSTITUTE(SUBSTITUTE(SUBSTITUTE(SUBSTITUTE(SUBSTITUTE(SUBSTITUTE(SUBSTITUTE(SUBSTITUTE(SUBSTITUTE(SUBSTITUTE(SUBSTITUTE(UPPER(TRIM(A726)),"[MEMBER]",""),"{MEMBER}",""),"[MEMBER}",""),"MEMBER]",""),"(A)",""),"""",""),"“",""),"”",""),".",""),":",""),",",""),"–"," "),"-"," "),"/"," "),"&amp;"," AND "))&amp;" "," THE "," ")," TOTAL "," ")," OPERATIONS "," "))</f>
        <v>HUNGARY</v>
      </c>
      <c r="O726" s="17" t="str">
        <f aca="false">IF(COUNTIFS($N$2:$N$2000,N726,$D$2:$D$2000,"&lt;&gt;"&amp;D726)&gt;0,"CONFLICT","")</f>
        <v/>
      </c>
      <c r="P726" s="7"/>
    </row>
    <row r="727" customFormat="false" ht="15" hidden="false" customHeight="false" outlineLevel="0" collapsed="false">
      <c r="A727" s="7" t="s">
        <v>2255</v>
      </c>
      <c r="B727" s="7" t="s">
        <v>1882</v>
      </c>
      <c r="C727" s="7" t="s">
        <v>813</v>
      </c>
      <c r="D727" s="6" t="s">
        <v>813</v>
      </c>
      <c r="E727" s="6" t="s">
        <v>1880</v>
      </c>
      <c r="F727" s="7" t="str">
        <f aca="false">IF($D727="","",IFERROR(IF(INDEX(Hierarchy!$B$2:$B$1295,MATCH($D727,Hierarchy!$A$2:$A$1295,0))="","",INDEX(Hierarchy!$B$2:$B$1295,MATCH($D727,Hierarchy!$A$2:$A$1295,0))),"NODE NOT FOUND"))</f>
        <v>Country</v>
      </c>
      <c r="G727" s="7" t="str">
        <f aca="false">IF($D727="","",IFERROR(IF(INDEX(Hierarchy!$D$2:$D$1295,MATCH($D727,Hierarchy!$A$2:$A$1295,0))="","",INDEX(Hierarchy!$D$2:$D$1295,MATCH($D727,Hierarchy!$A$2:$A$1295,0))),"NODE NOT FOUND"))</f>
        <v>EMEA</v>
      </c>
      <c r="H727" s="7" t="str">
        <f aca="false">IF($D727="","",IFERROR(IF(INDEX(Hierarchy!$E$2:$E$1295,MATCH($D727,Hierarchy!$A$2:$A$1295,0))="","",INDEX(Hierarchy!$E$2:$E$1295,MATCH($D727,Hierarchy!$A$2:$A$1295,0))),"NODE NOT FOUND"))</f>
        <v>Europe</v>
      </c>
      <c r="I727" s="7" t="str">
        <f aca="false">IF($D727="","",IFERROR(IF(INDEX(Hierarchy!$F$2:$F$1295,MATCH($D727,Hierarchy!$A$2:$A$1295,0))="","",INDEX(Hierarchy!$F$2:$F$1295,MATCH($D727,Hierarchy!$A$2:$A$1295,0))),"NODE NOT FOUND"))</f>
        <v>Hungary</v>
      </c>
      <c r="J727" s="7" t="str">
        <f aca="false">IF($D727="","",IFERROR(IF(INDEX(Hierarchy!$G$2:$G$1295,MATCH($D727,Hierarchy!$A$2:$A$1295,0))="","",INDEX(Hierarchy!$G$2:$G$1295,MATCH($D727,Hierarchy!$A$2:$A$1295,0))),"NODE NOT FOUND"))</f>
        <v>HUN</v>
      </c>
      <c r="K727" s="7" t="str">
        <f aca="false">IF($D727="","",IFERROR(IF(INDEX(Hierarchy!$H$2:$H$1295,MATCH($D727,Hierarchy!$A$2:$A$1295,0))="","",INDEX(Hierarchy!$H$2:$H$1295,MATCH($D727,Hierarchy!$A$2:$A$1295,0))),"NODE NOT FOUND"))</f>
        <v/>
      </c>
      <c r="L727" s="7" t="str">
        <f aca="false">IF($D727="","",IFERROR(IF(INDEX(Hierarchy!$I$2:$I$1295,MATCH($D727,Hierarchy!$A$2:$A$1295,0))="","",INDEX(Hierarchy!$I$2:$I$1295,MATCH($D727,Hierarchy!$A$2:$A$1295,0))),"NODE NOT FOUND"))</f>
        <v/>
      </c>
      <c r="M727" s="17" t="str">
        <f aca="false">IF(B727="Pre-seeded","Pre-seeded",IF(B727="Review 2026-09-16","Added from review",IF(C727="","New",IF(C727=D727,"","Changed"))))</f>
        <v/>
      </c>
      <c r="N727" s="7" t="str">
        <f aca="false">TRIM(SUBSTITUTE(SUBSTITUTE(SUBSTITUTE(" "&amp;TRIM(SUBSTITUTE(SUBSTITUTE(SUBSTITUTE(SUBSTITUTE(SUBSTITUTE(SUBSTITUTE(SUBSTITUTE(SUBSTITUTE(SUBSTITUTE(SUBSTITUTE(SUBSTITUTE(SUBSTITUTE(SUBSTITUTE(SUBSTITUTE(SUBSTITUTE(UPPER(TRIM(A727)),"[MEMBER]",""),"{MEMBER}",""),"[MEMBER}",""),"MEMBER]",""),"(A)",""),"""",""),"“",""),"”",""),".",""),":",""),",",""),"–"," "),"-"," "),"/"," "),"&amp;"," AND "))&amp;" "," THE "," ")," TOTAL "," ")," OPERATIONS "," "))</f>
        <v>HUNGARY</v>
      </c>
      <c r="O727" s="17" t="str">
        <f aca="false">IF(COUNTIFS($N$2:$N$2000,N727,$D$2:$D$2000,"&lt;&gt;"&amp;D727)&gt;0,"CONFLICT","")</f>
        <v/>
      </c>
      <c r="P727" s="7"/>
    </row>
    <row r="728" customFormat="false" ht="15" hidden="false" customHeight="false" outlineLevel="0" collapsed="false">
      <c r="A728" s="7" t="s">
        <v>1452</v>
      </c>
      <c r="B728" s="7" t="s">
        <v>1879</v>
      </c>
      <c r="C728" s="7"/>
      <c r="D728" s="6" t="s">
        <v>1452</v>
      </c>
      <c r="E728" s="6" t="s">
        <v>1880</v>
      </c>
      <c r="F728" s="7" t="str">
        <f aca="false">IF($D728="","",IFERROR(IF(INDEX(Hierarchy!$B$2:$B$1295,MATCH($D728,Hierarchy!$A$2:$A$1295,0))="","",INDEX(Hierarchy!$B$2:$B$1295,MATCH($D728,Hierarchy!$A$2:$A$1295,0))),"NODE NOT FOUND"))</f>
        <v>State/Province</v>
      </c>
      <c r="G728" s="7" t="str">
        <f aca="false">IF($D728="","",IFERROR(IF(INDEX(Hierarchy!$D$2:$D$1295,MATCH($D728,Hierarchy!$A$2:$A$1295,0))="","",INDEX(Hierarchy!$D$2:$D$1295,MATCH($D728,Hierarchy!$A$2:$A$1295,0))),"NODE NOT FOUND"))</f>
        <v>APAC</v>
      </c>
      <c r="H728" s="7" t="str">
        <f aca="false">IF($D728="","",IFERROR(IF(INDEX(Hierarchy!$E$2:$E$1295,MATCH($D728,Hierarchy!$A$2:$A$1295,0))="","",INDEX(Hierarchy!$E$2:$E$1295,MATCH($D728,Hierarchy!$A$2:$A$1295,0))),"NODE NOT FOUND"))</f>
        <v>East Asia</v>
      </c>
      <c r="I728" s="7" t="str">
        <f aca="false">IF($D728="","",IFERROR(IF(INDEX(Hierarchy!$F$2:$F$1295,MATCH($D728,Hierarchy!$A$2:$A$1295,0))="","",INDEX(Hierarchy!$F$2:$F$1295,MATCH($D728,Hierarchy!$A$2:$A$1295,0))),"NODE NOT FOUND"))</f>
        <v>Japan</v>
      </c>
      <c r="J728" s="7" t="str">
        <f aca="false">IF($D728="","",IFERROR(IF(INDEX(Hierarchy!$G$2:$G$1295,MATCH($D728,Hierarchy!$A$2:$A$1295,0))="","",INDEX(Hierarchy!$G$2:$G$1295,MATCH($D728,Hierarchy!$A$2:$A$1295,0))),"NODE NOT FOUND"))</f>
        <v>JPN</v>
      </c>
      <c r="K728" s="7" t="str">
        <f aca="false">IF($D728="","",IFERROR(IF(INDEX(Hierarchy!$H$2:$H$1295,MATCH($D728,Hierarchy!$A$2:$A$1295,0))="","",INDEX(Hierarchy!$H$2:$H$1295,MATCH($D728,Hierarchy!$A$2:$A$1295,0))),"NODE NOT FOUND"))</f>
        <v>Hyogo</v>
      </c>
      <c r="L728" s="7" t="str">
        <f aca="false">IF($D728="","",IFERROR(IF(INDEX(Hierarchy!$I$2:$I$1295,MATCH($D728,Hierarchy!$A$2:$A$1295,0))="","",INDEX(Hierarchy!$I$2:$I$1295,MATCH($D728,Hierarchy!$A$2:$A$1295,0))),"NODE NOT FOUND"))</f>
        <v/>
      </c>
      <c r="M728" s="17" t="str">
        <f aca="false">IF(B728="Pre-seeded","Pre-seeded",IF(B728="Review 2026-09-16","Added from review",IF(C728="","New",IF(C728=D728,"","Changed"))))</f>
        <v>Pre-seeded</v>
      </c>
      <c r="N728" s="7" t="str">
        <f aca="false">TRIM(SUBSTITUTE(SUBSTITUTE(SUBSTITUTE(" "&amp;TRIM(SUBSTITUTE(SUBSTITUTE(SUBSTITUTE(SUBSTITUTE(SUBSTITUTE(SUBSTITUTE(SUBSTITUTE(SUBSTITUTE(SUBSTITUTE(SUBSTITUTE(SUBSTITUTE(SUBSTITUTE(SUBSTITUTE(SUBSTITUTE(SUBSTITUTE(UPPER(TRIM(A728)),"[MEMBER]",""),"{MEMBER}",""),"[MEMBER}",""),"MEMBER]",""),"(A)",""),"""",""),"“",""),"”",""),".",""),":",""),",",""),"–"," "),"-"," "),"/"," "),"&amp;"," AND "))&amp;" "," THE "," ")," TOTAL "," ")," OPERATIONS "," "))</f>
        <v>HYOGO</v>
      </c>
      <c r="O728" s="17" t="str">
        <f aca="false">IF(COUNTIFS($N$2:$N$2000,N728,$D$2:$D$2000,"&lt;&gt;"&amp;D728)&gt;0,"CONFLICT","")</f>
        <v/>
      </c>
      <c r="P728" s="7"/>
    </row>
    <row r="729" customFormat="false" ht="15" hidden="false" customHeight="false" outlineLevel="0" collapsed="false">
      <c r="A729" s="7" t="s">
        <v>1453</v>
      </c>
      <c r="B729" s="7" t="s">
        <v>1879</v>
      </c>
      <c r="C729" s="7"/>
      <c r="D729" s="6" t="s">
        <v>1453</v>
      </c>
      <c r="E729" s="6" t="s">
        <v>1880</v>
      </c>
      <c r="F729" s="7" t="str">
        <f aca="false">IF($D729="","",IFERROR(IF(INDEX(Hierarchy!$B$2:$B$1295,MATCH($D729,Hierarchy!$A$2:$A$1295,0))="","",INDEX(Hierarchy!$B$2:$B$1295,MATCH($D729,Hierarchy!$A$2:$A$1295,0))),"NODE NOT FOUND"))</f>
        <v>State/Province</v>
      </c>
      <c r="G729" s="7" t="str">
        <f aca="false">IF($D729="","",IFERROR(IF(INDEX(Hierarchy!$D$2:$D$1295,MATCH($D729,Hierarchy!$A$2:$A$1295,0))="","",INDEX(Hierarchy!$D$2:$D$1295,MATCH($D729,Hierarchy!$A$2:$A$1295,0))),"NODE NOT FOUND"))</f>
        <v>APAC</v>
      </c>
      <c r="H729" s="7" t="str">
        <f aca="false">IF($D729="","",IFERROR(IF(INDEX(Hierarchy!$E$2:$E$1295,MATCH($D729,Hierarchy!$A$2:$A$1295,0))="","",INDEX(Hierarchy!$E$2:$E$1295,MATCH($D729,Hierarchy!$A$2:$A$1295,0))),"NODE NOT FOUND"))</f>
        <v>East Asia</v>
      </c>
      <c r="I729" s="7" t="str">
        <f aca="false">IF($D729="","",IFERROR(IF(INDEX(Hierarchy!$F$2:$F$1295,MATCH($D729,Hierarchy!$A$2:$A$1295,0))="","",INDEX(Hierarchy!$F$2:$F$1295,MATCH($D729,Hierarchy!$A$2:$A$1295,0))),"NODE NOT FOUND"))</f>
        <v>Japan</v>
      </c>
      <c r="J729" s="7" t="str">
        <f aca="false">IF($D729="","",IFERROR(IF(INDEX(Hierarchy!$G$2:$G$1295,MATCH($D729,Hierarchy!$A$2:$A$1295,0))="","",INDEX(Hierarchy!$G$2:$G$1295,MATCH($D729,Hierarchy!$A$2:$A$1295,0))),"NODE NOT FOUND"))</f>
        <v>JPN</v>
      </c>
      <c r="K729" s="7" t="str">
        <f aca="false">IF($D729="","",IFERROR(IF(INDEX(Hierarchy!$H$2:$H$1295,MATCH($D729,Hierarchy!$A$2:$A$1295,0))="","",INDEX(Hierarchy!$H$2:$H$1295,MATCH($D729,Hierarchy!$A$2:$A$1295,0))),"NODE NOT FOUND"))</f>
        <v>Ibaraki</v>
      </c>
      <c r="L729" s="7" t="str">
        <f aca="false">IF($D729="","",IFERROR(IF(INDEX(Hierarchy!$I$2:$I$1295,MATCH($D729,Hierarchy!$A$2:$A$1295,0))="","",INDEX(Hierarchy!$I$2:$I$1295,MATCH($D729,Hierarchy!$A$2:$A$1295,0))),"NODE NOT FOUND"))</f>
        <v/>
      </c>
      <c r="M729" s="17" t="str">
        <f aca="false">IF(B729="Pre-seeded","Pre-seeded",IF(B729="Review 2026-09-16","Added from review",IF(C729="","New",IF(C729=D729,"","Changed"))))</f>
        <v>Pre-seeded</v>
      </c>
      <c r="N729" s="7" t="str">
        <f aca="false">TRIM(SUBSTITUTE(SUBSTITUTE(SUBSTITUTE(" "&amp;TRIM(SUBSTITUTE(SUBSTITUTE(SUBSTITUTE(SUBSTITUTE(SUBSTITUTE(SUBSTITUTE(SUBSTITUTE(SUBSTITUTE(SUBSTITUTE(SUBSTITUTE(SUBSTITUTE(SUBSTITUTE(SUBSTITUTE(SUBSTITUTE(SUBSTITUTE(UPPER(TRIM(A729)),"[MEMBER]",""),"{MEMBER}",""),"[MEMBER}",""),"MEMBER]",""),"(A)",""),"""",""),"“",""),"”",""),".",""),":",""),",",""),"–"," "),"-"," "),"/"," "),"&amp;"," AND "))&amp;" "," THE "," ")," TOTAL "," ")," OPERATIONS "," "))</f>
        <v>IBARAKI</v>
      </c>
      <c r="O729" s="17" t="str">
        <f aca="false">IF(COUNTIFS($N$2:$N$2000,N729,$D$2:$D$2000,"&lt;&gt;"&amp;D729)&gt;0,"CONFLICT","")</f>
        <v/>
      </c>
      <c r="P729" s="7"/>
    </row>
    <row r="730" customFormat="false" ht="15" hidden="false" customHeight="false" outlineLevel="0" collapsed="false">
      <c r="A730" s="7" t="s">
        <v>646</v>
      </c>
      <c r="B730" s="7" t="s">
        <v>1879</v>
      </c>
      <c r="C730" s="7"/>
      <c r="D730" s="6" t="s">
        <v>646</v>
      </c>
      <c r="E730" s="6" t="s">
        <v>1880</v>
      </c>
      <c r="F730" s="7" t="str">
        <f aca="false">IF($D730="","",IFERROR(IF(INDEX(Hierarchy!$B$2:$B$1295,MATCH($D730,Hierarchy!$A$2:$A$1295,0))="","",INDEX(Hierarchy!$B$2:$B$1295,MATCH($D730,Hierarchy!$A$2:$A$1295,0))),"NODE NOT FOUND"))</f>
        <v>Sub-region component</v>
      </c>
      <c r="G730" s="7" t="str">
        <f aca="false">IF($D730="","",IFERROR(IF(INDEX(Hierarchy!$D$2:$D$1295,MATCH($D730,Hierarchy!$A$2:$A$1295,0))="","",INDEX(Hierarchy!$D$2:$D$1295,MATCH($D730,Hierarchy!$A$2:$A$1295,0))),"NODE NOT FOUND"))</f>
        <v>EMEA</v>
      </c>
      <c r="H730" s="7" t="str">
        <f aca="false">IF($D730="","",IFERROR(IF(INDEX(Hierarchy!$E$2:$E$1295,MATCH($D730,Hierarchy!$A$2:$A$1295,0))="","",INDEX(Hierarchy!$E$2:$E$1295,MATCH($D730,Hierarchy!$A$2:$A$1295,0))),"NODE NOT FOUND"))</f>
        <v>Europe</v>
      </c>
      <c r="I730" s="7" t="str">
        <f aca="false">IF($D730="","",IFERROR(IF(INDEX(Hierarchy!$F$2:$F$1295,MATCH($D730,Hierarchy!$A$2:$A$1295,0))="","",INDEX(Hierarchy!$F$2:$F$1295,MATCH($D730,Hierarchy!$A$2:$A$1295,0))),"NODE NOT FOUND"))</f>
        <v/>
      </c>
      <c r="J730" s="7" t="str">
        <f aca="false">IF($D730="","",IFERROR(IF(INDEX(Hierarchy!$G$2:$G$1295,MATCH($D730,Hierarchy!$A$2:$A$1295,0))="","",INDEX(Hierarchy!$G$2:$G$1295,MATCH($D730,Hierarchy!$A$2:$A$1295,0))),"NODE NOT FOUND"))</f>
        <v/>
      </c>
      <c r="K730" s="7" t="str">
        <f aca="false">IF($D730="","",IFERROR(IF(INDEX(Hierarchy!$H$2:$H$1295,MATCH($D730,Hierarchy!$A$2:$A$1295,0))="","",INDEX(Hierarchy!$H$2:$H$1295,MATCH($D730,Hierarchy!$A$2:$A$1295,0))),"NODE NOT FOUND"))</f>
        <v/>
      </c>
      <c r="L730" s="7" t="str">
        <f aca="false">IF($D730="","",IFERROR(IF(INDEX(Hierarchy!$I$2:$I$1295,MATCH($D730,Hierarchy!$A$2:$A$1295,0))="","",INDEX(Hierarchy!$I$2:$I$1295,MATCH($D730,Hierarchy!$A$2:$A$1295,0))),"NODE NOT FOUND"))</f>
        <v/>
      </c>
      <c r="M730" s="17" t="str">
        <f aca="false">IF(B730="Pre-seeded","Pre-seeded",IF(B730="Review 2026-09-16","Added from review",IF(C730="","New",IF(C730=D730,"","Changed"))))</f>
        <v>Pre-seeded</v>
      </c>
      <c r="N730" s="7" t="str">
        <f aca="false">TRIM(SUBSTITUTE(SUBSTITUTE(SUBSTITUTE(" "&amp;TRIM(SUBSTITUTE(SUBSTITUTE(SUBSTITUTE(SUBSTITUTE(SUBSTITUTE(SUBSTITUTE(SUBSTITUTE(SUBSTITUTE(SUBSTITUTE(SUBSTITUTE(SUBSTITUTE(SUBSTITUTE(SUBSTITUTE(SUBSTITUTE(SUBSTITUTE(UPPER(TRIM(A730)),"[MEMBER]",""),"{MEMBER}",""),"[MEMBER}",""),"MEMBER]",""),"(A)",""),"""",""),"“",""),"”",""),".",""),":",""),",",""),"–"," "),"-"," "),"/"," "),"&amp;"," AND "))&amp;" "," THE "," ")," TOTAL "," ")," OPERATIONS "," "))</f>
        <v>IBERIA</v>
      </c>
      <c r="O730" s="17" t="str">
        <f aca="false">IF(COUNTIFS($N$2:$N$2000,N730,$D$2:$D$2000,"&lt;&gt;"&amp;D730)&gt;0,"CONFLICT","")</f>
        <v/>
      </c>
      <c r="P730" s="7"/>
    </row>
    <row r="731" customFormat="false" ht="15" hidden="false" customHeight="false" outlineLevel="0" collapsed="false">
      <c r="A731" s="7" t="s">
        <v>2256</v>
      </c>
      <c r="B731" s="7" t="s">
        <v>1879</v>
      </c>
      <c r="C731" s="7"/>
      <c r="D731" s="6" t="s">
        <v>646</v>
      </c>
      <c r="E731" s="6" t="s">
        <v>1880</v>
      </c>
      <c r="F731" s="7" t="str">
        <f aca="false">IF($D731="","",IFERROR(IF(INDEX(Hierarchy!$B$2:$B$1295,MATCH($D731,Hierarchy!$A$2:$A$1295,0))="","",INDEX(Hierarchy!$B$2:$B$1295,MATCH($D731,Hierarchy!$A$2:$A$1295,0))),"NODE NOT FOUND"))</f>
        <v>Sub-region component</v>
      </c>
      <c r="G731" s="7" t="str">
        <f aca="false">IF($D731="","",IFERROR(IF(INDEX(Hierarchy!$D$2:$D$1295,MATCH($D731,Hierarchy!$A$2:$A$1295,0))="","",INDEX(Hierarchy!$D$2:$D$1295,MATCH($D731,Hierarchy!$A$2:$A$1295,0))),"NODE NOT FOUND"))</f>
        <v>EMEA</v>
      </c>
      <c r="H731" s="7" t="str">
        <f aca="false">IF($D731="","",IFERROR(IF(INDEX(Hierarchy!$E$2:$E$1295,MATCH($D731,Hierarchy!$A$2:$A$1295,0))="","",INDEX(Hierarchy!$E$2:$E$1295,MATCH($D731,Hierarchy!$A$2:$A$1295,0))),"NODE NOT FOUND"))</f>
        <v>Europe</v>
      </c>
      <c r="I731" s="7" t="str">
        <f aca="false">IF($D731="","",IFERROR(IF(INDEX(Hierarchy!$F$2:$F$1295,MATCH($D731,Hierarchy!$A$2:$A$1295,0))="","",INDEX(Hierarchy!$F$2:$F$1295,MATCH($D731,Hierarchy!$A$2:$A$1295,0))),"NODE NOT FOUND"))</f>
        <v/>
      </c>
      <c r="J731" s="7" t="str">
        <f aca="false">IF($D731="","",IFERROR(IF(INDEX(Hierarchy!$G$2:$G$1295,MATCH($D731,Hierarchy!$A$2:$A$1295,0))="","",INDEX(Hierarchy!$G$2:$G$1295,MATCH($D731,Hierarchy!$A$2:$A$1295,0))),"NODE NOT FOUND"))</f>
        <v/>
      </c>
      <c r="K731" s="7" t="str">
        <f aca="false">IF($D731="","",IFERROR(IF(INDEX(Hierarchy!$H$2:$H$1295,MATCH($D731,Hierarchy!$A$2:$A$1295,0))="","",INDEX(Hierarchy!$H$2:$H$1295,MATCH($D731,Hierarchy!$A$2:$A$1295,0))),"NODE NOT FOUND"))</f>
        <v/>
      </c>
      <c r="L731" s="7" t="str">
        <f aca="false">IF($D731="","",IFERROR(IF(INDEX(Hierarchy!$I$2:$I$1295,MATCH($D731,Hierarchy!$A$2:$A$1295,0))="","",INDEX(Hierarchy!$I$2:$I$1295,MATCH($D731,Hierarchy!$A$2:$A$1295,0))),"NODE NOT FOUND"))</f>
        <v/>
      </c>
      <c r="M731" s="17" t="str">
        <f aca="false">IF(B731="Pre-seeded","Pre-seeded",IF(B731="Review 2026-09-16","Added from review",IF(C731="","New",IF(C731=D731,"","Changed"))))</f>
        <v>Pre-seeded</v>
      </c>
      <c r="N731" s="7" t="str">
        <f aca="false">TRIM(SUBSTITUTE(SUBSTITUTE(SUBSTITUTE(" "&amp;TRIM(SUBSTITUTE(SUBSTITUTE(SUBSTITUTE(SUBSTITUTE(SUBSTITUTE(SUBSTITUTE(SUBSTITUTE(SUBSTITUTE(SUBSTITUTE(SUBSTITUTE(SUBSTITUTE(SUBSTITUTE(SUBSTITUTE(SUBSTITUTE(SUBSTITUTE(UPPER(TRIM(A731)),"[MEMBER]",""),"{MEMBER}",""),"[MEMBER}",""),"MEMBER]",""),"(A)",""),"""",""),"“",""),"”",""),".",""),":",""),",",""),"–"," "),"-"," "),"/"," "),"&amp;"," AND "))&amp;" "," THE "," ")," TOTAL "," ")," OPERATIONS "," "))</f>
        <v>IBERIAN PENINSULA</v>
      </c>
      <c r="O731" s="17" t="str">
        <f aca="false">IF(COUNTIFS($N$2:$N$2000,N731,$D$2:$D$2000,"&lt;&gt;"&amp;D731)&gt;0,"CONFLICT","")</f>
        <v/>
      </c>
      <c r="P731" s="7"/>
    </row>
    <row r="732" customFormat="false" ht="15" hidden="false" customHeight="false" outlineLevel="0" collapsed="false">
      <c r="A732" s="7" t="s">
        <v>2257</v>
      </c>
      <c r="B732" s="7" t="s">
        <v>1882</v>
      </c>
      <c r="C732" s="7" t="s">
        <v>816</v>
      </c>
      <c r="D732" s="6" t="s">
        <v>816</v>
      </c>
      <c r="E732" s="6" t="s">
        <v>1880</v>
      </c>
      <c r="F732" s="7" t="str">
        <f aca="false">IF($D732="","",IFERROR(IF(INDEX(Hierarchy!$B$2:$B$1295,MATCH($D732,Hierarchy!$A$2:$A$1295,0))="","",INDEX(Hierarchy!$B$2:$B$1295,MATCH($D732,Hierarchy!$A$2:$A$1295,0))),"NODE NOT FOUND"))</f>
        <v>Country</v>
      </c>
      <c r="G732" s="7" t="str">
        <f aca="false">IF($D732="","",IFERROR(IF(INDEX(Hierarchy!$D$2:$D$1295,MATCH($D732,Hierarchy!$A$2:$A$1295,0))="","",INDEX(Hierarchy!$D$2:$D$1295,MATCH($D732,Hierarchy!$A$2:$A$1295,0))),"NODE NOT FOUND"))</f>
        <v>EMEA</v>
      </c>
      <c r="H732" s="7" t="str">
        <f aca="false">IF($D732="","",IFERROR(IF(INDEX(Hierarchy!$E$2:$E$1295,MATCH($D732,Hierarchy!$A$2:$A$1295,0))="","",INDEX(Hierarchy!$E$2:$E$1295,MATCH($D732,Hierarchy!$A$2:$A$1295,0))),"NODE NOT FOUND"))</f>
        <v>Europe</v>
      </c>
      <c r="I732" s="7" t="str">
        <f aca="false">IF($D732="","",IFERROR(IF(INDEX(Hierarchy!$F$2:$F$1295,MATCH($D732,Hierarchy!$A$2:$A$1295,0))="","",INDEX(Hierarchy!$F$2:$F$1295,MATCH($D732,Hierarchy!$A$2:$A$1295,0))),"NODE NOT FOUND"))</f>
        <v>Iceland</v>
      </c>
      <c r="J732" s="7" t="str">
        <f aca="false">IF($D732="","",IFERROR(IF(INDEX(Hierarchy!$G$2:$G$1295,MATCH($D732,Hierarchy!$A$2:$A$1295,0))="","",INDEX(Hierarchy!$G$2:$G$1295,MATCH($D732,Hierarchy!$A$2:$A$1295,0))),"NODE NOT FOUND"))</f>
        <v>ISL</v>
      </c>
      <c r="K732" s="7" t="str">
        <f aca="false">IF($D732="","",IFERROR(IF(INDEX(Hierarchy!$H$2:$H$1295,MATCH($D732,Hierarchy!$A$2:$A$1295,0))="","",INDEX(Hierarchy!$H$2:$H$1295,MATCH($D732,Hierarchy!$A$2:$A$1295,0))),"NODE NOT FOUND"))</f>
        <v/>
      </c>
      <c r="L732" s="7" t="str">
        <f aca="false">IF($D732="","",IFERROR(IF(INDEX(Hierarchy!$I$2:$I$1295,MATCH($D732,Hierarchy!$A$2:$A$1295,0))="","",INDEX(Hierarchy!$I$2:$I$1295,MATCH($D732,Hierarchy!$A$2:$A$1295,0))),"NODE NOT FOUND"))</f>
        <v/>
      </c>
      <c r="M732" s="17" t="str">
        <f aca="false">IF(B732="Pre-seeded","Pre-seeded",IF(B732="Review 2026-09-16","Added from review",IF(C732="","New",IF(C732=D732,"","Changed"))))</f>
        <v/>
      </c>
      <c r="N732" s="7" t="str">
        <f aca="false">TRIM(SUBSTITUTE(SUBSTITUTE(SUBSTITUTE(" "&amp;TRIM(SUBSTITUTE(SUBSTITUTE(SUBSTITUTE(SUBSTITUTE(SUBSTITUTE(SUBSTITUTE(SUBSTITUTE(SUBSTITUTE(SUBSTITUTE(SUBSTITUTE(SUBSTITUTE(SUBSTITUTE(SUBSTITUTE(SUBSTITUTE(SUBSTITUTE(UPPER(TRIM(A732)),"[MEMBER]",""),"{MEMBER}",""),"[MEMBER}",""),"MEMBER]",""),"(A)",""),"""",""),"“",""),"”",""),".",""),":",""),",",""),"–"," "),"-"," "),"/"," "),"&amp;"," AND "))&amp;" "," THE "," ")," TOTAL "," ")," OPERATIONS "," "))</f>
        <v>ICELAND</v>
      </c>
      <c r="O732" s="17" t="str">
        <f aca="false">IF(COUNTIFS($N$2:$N$2000,N732,$D$2:$D$2000,"&lt;&gt;"&amp;D732)&gt;0,"CONFLICT","")</f>
        <v/>
      </c>
      <c r="P732" s="7"/>
    </row>
    <row r="733" customFormat="false" ht="15" hidden="false" customHeight="false" outlineLevel="0" collapsed="false">
      <c r="A733" s="7" t="s">
        <v>178</v>
      </c>
      <c r="B733" s="7" t="s">
        <v>1882</v>
      </c>
      <c r="C733" s="7" t="s">
        <v>178</v>
      </c>
      <c r="D733" s="6" t="s">
        <v>178</v>
      </c>
      <c r="E733" s="6" t="s">
        <v>1880</v>
      </c>
      <c r="F733" s="7" t="str">
        <f aca="false">IF($D733="","",IFERROR(IF(INDEX(Hierarchy!$B$2:$B$1295,MATCH($D733,Hierarchy!$A$2:$A$1295,0))="","",INDEX(Hierarchy!$B$2:$B$1295,MATCH($D733,Hierarchy!$A$2:$A$1295,0))),"NODE NOT FOUND"))</f>
        <v>State/Province</v>
      </c>
      <c r="G733" s="7" t="str">
        <f aca="false">IF($D733="","",IFERROR(IF(INDEX(Hierarchy!$D$2:$D$1295,MATCH($D733,Hierarchy!$A$2:$A$1295,0))="","",INDEX(Hierarchy!$D$2:$D$1295,MATCH($D733,Hierarchy!$A$2:$A$1295,0))),"NODE NOT FOUND"))</f>
        <v>AMER</v>
      </c>
      <c r="H733" s="7" t="str">
        <f aca="false">IF($D733="","",IFERROR(IF(INDEX(Hierarchy!$E$2:$E$1295,MATCH($D733,Hierarchy!$A$2:$A$1295,0))="","",INDEX(Hierarchy!$E$2:$E$1295,MATCH($D733,Hierarchy!$A$2:$A$1295,0))),"NODE NOT FOUND"))</f>
        <v>North America (NORAM)</v>
      </c>
      <c r="I733" s="7" t="str">
        <f aca="false">IF($D733="","",IFERROR(IF(INDEX(Hierarchy!$F$2:$F$1295,MATCH($D733,Hierarchy!$A$2:$A$1295,0))="","",INDEX(Hierarchy!$F$2:$F$1295,MATCH($D733,Hierarchy!$A$2:$A$1295,0))),"NODE NOT FOUND"))</f>
        <v>United States</v>
      </c>
      <c r="J733" s="7" t="str">
        <f aca="false">IF($D733="","",IFERROR(IF(INDEX(Hierarchy!$G$2:$G$1295,MATCH($D733,Hierarchy!$A$2:$A$1295,0))="","",INDEX(Hierarchy!$G$2:$G$1295,MATCH($D733,Hierarchy!$A$2:$A$1295,0))),"NODE NOT FOUND"))</f>
        <v>USA</v>
      </c>
      <c r="K733" s="7" t="str">
        <f aca="false">IF($D733="","",IFERROR(IF(INDEX(Hierarchy!$H$2:$H$1295,MATCH($D733,Hierarchy!$A$2:$A$1295,0))="","",INDEX(Hierarchy!$H$2:$H$1295,MATCH($D733,Hierarchy!$A$2:$A$1295,0))),"NODE NOT FOUND"))</f>
        <v>Idaho</v>
      </c>
      <c r="L733" s="7" t="str">
        <f aca="false">IF($D733="","",IFERROR(IF(INDEX(Hierarchy!$I$2:$I$1295,MATCH($D733,Hierarchy!$A$2:$A$1295,0))="","",INDEX(Hierarchy!$I$2:$I$1295,MATCH($D733,Hierarchy!$A$2:$A$1295,0))),"NODE NOT FOUND"))</f>
        <v/>
      </c>
      <c r="M733" s="17" t="str">
        <f aca="false">IF(B733="Pre-seeded","Pre-seeded",IF(B733="Review 2026-09-16","Added from review",IF(C733="","New",IF(C733=D733,"","Changed"))))</f>
        <v/>
      </c>
      <c r="N733" s="7" t="str">
        <f aca="false">TRIM(SUBSTITUTE(SUBSTITUTE(SUBSTITUTE(" "&amp;TRIM(SUBSTITUTE(SUBSTITUTE(SUBSTITUTE(SUBSTITUTE(SUBSTITUTE(SUBSTITUTE(SUBSTITUTE(SUBSTITUTE(SUBSTITUTE(SUBSTITUTE(SUBSTITUTE(SUBSTITUTE(SUBSTITUTE(SUBSTITUTE(SUBSTITUTE(UPPER(TRIM(A733)),"[MEMBER]",""),"{MEMBER}",""),"[MEMBER}",""),"MEMBER]",""),"(A)",""),"""",""),"“",""),"”",""),".",""),":",""),",",""),"–"," "),"-"," "),"/"," "),"&amp;"," AND "))&amp;" "," THE "," ")," TOTAL "," ")," OPERATIONS "," "))</f>
        <v>IDAHO</v>
      </c>
      <c r="O733" s="17" t="str">
        <f aca="false">IF(COUNTIFS($N$2:$N$2000,N733,$D$2:$D$2000,"&lt;&gt;"&amp;D733)&gt;0,"CONFLICT","")</f>
        <v/>
      </c>
      <c r="P733" s="7"/>
    </row>
    <row r="734" customFormat="false" ht="15" hidden="false" customHeight="false" outlineLevel="0" collapsed="false">
      <c r="A734" s="7" t="s">
        <v>2258</v>
      </c>
      <c r="B734" s="7" t="s">
        <v>1882</v>
      </c>
      <c r="C734" s="7" t="s">
        <v>178</v>
      </c>
      <c r="D734" s="6" t="s">
        <v>178</v>
      </c>
      <c r="E734" s="6" t="s">
        <v>1880</v>
      </c>
      <c r="F734" s="7" t="str">
        <f aca="false">IF($D734="","",IFERROR(IF(INDEX(Hierarchy!$B$2:$B$1295,MATCH($D734,Hierarchy!$A$2:$A$1295,0))="","",INDEX(Hierarchy!$B$2:$B$1295,MATCH($D734,Hierarchy!$A$2:$A$1295,0))),"NODE NOT FOUND"))</f>
        <v>State/Province</v>
      </c>
      <c r="G734" s="7" t="str">
        <f aca="false">IF($D734="","",IFERROR(IF(INDEX(Hierarchy!$D$2:$D$1295,MATCH($D734,Hierarchy!$A$2:$A$1295,0))="","",INDEX(Hierarchy!$D$2:$D$1295,MATCH($D734,Hierarchy!$A$2:$A$1295,0))),"NODE NOT FOUND"))</f>
        <v>AMER</v>
      </c>
      <c r="H734" s="7" t="str">
        <f aca="false">IF($D734="","",IFERROR(IF(INDEX(Hierarchy!$E$2:$E$1295,MATCH($D734,Hierarchy!$A$2:$A$1295,0))="","",INDEX(Hierarchy!$E$2:$E$1295,MATCH($D734,Hierarchy!$A$2:$A$1295,0))),"NODE NOT FOUND"))</f>
        <v>North America (NORAM)</v>
      </c>
      <c r="I734" s="7" t="str">
        <f aca="false">IF($D734="","",IFERROR(IF(INDEX(Hierarchy!$F$2:$F$1295,MATCH($D734,Hierarchy!$A$2:$A$1295,0))="","",INDEX(Hierarchy!$F$2:$F$1295,MATCH($D734,Hierarchy!$A$2:$A$1295,0))),"NODE NOT FOUND"))</f>
        <v>United States</v>
      </c>
      <c r="J734" s="7" t="str">
        <f aca="false">IF($D734="","",IFERROR(IF(INDEX(Hierarchy!$G$2:$G$1295,MATCH($D734,Hierarchy!$A$2:$A$1295,0))="","",INDEX(Hierarchy!$G$2:$G$1295,MATCH($D734,Hierarchy!$A$2:$A$1295,0))),"NODE NOT FOUND"))</f>
        <v>USA</v>
      </c>
      <c r="K734" s="7" t="str">
        <f aca="false">IF($D734="","",IFERROR(IF(INDEX(Hierarchy!$H$2:$H$1295,MATCH($D734,Hierarchy!$A$2:$A$1295,0))="","",INDEX(Hierarchy!$H$2:$H$1295,MATCH($D734,Hierarchy!$A$2:$A$1295,0))),"NODE NOT FOUND"))</f>
        <v>Idaho</v>
      </c>
      <c r="L734" s="7" t="str">
        <f aca="false">IF($D734="","",IFERROR(IF(INDEX(Hierarchy!$I$2:$I$1295,MATCH($D734,Hierarchy!$A$2:$A$1295,0))="","",INDEX(Hierarchy!$I$2:$I$1295,MATCH($D734,Hierarchy!$A$2:$A$1295,0))),"NODE NOT FOUND"))</f>
        <v/>
      </c>
      <c r="M734" s="17" t="str">
        <f aca="false">IF(B734="Pre-seeded","Pre-seeded",IF(B734="Review 2026-09-16","Added from review",IF(C734="","New",IF(C734=D734,"","Changed"))))</f>
        <v/>
      </c>
      <c r="N734" s="7" t="str">
        <f aca="false">TRIM(SUBSTITUTE(SUBSTITUTE(SUBSTITUTE(" "&amp;TRIM(SUBSTITUTE(SUBSTITUTE(SUBSTITUTE(SUBSTITUTE(SUBSTITUTE(SUBSTITUTE(SUBSTITUTE(SUBSTITUTE(SUBSTITUTE(SUBSTITUTE(SUBSTITUTE(SUBSTITUTE(SUBSTITUTE(SUBSTITUTE(SUBSTITUTE(UPPER(TRIM(A734)),"[MEMBER]",""),"{MEMBER}",""),"[MEMBER}",""),"MEMBER]",""),"(A)",""),"""",""),"“",""),"”",""),".",""),":",""),",",""),"–"," "),"-"," "),"/"," "),"&amp;"," AND "))&amp;" "," THE "," ")," TOTAL "," ")," OPERATIONS "," "))</f>
        <v>IDAHO</v>
      </c>
      <c r="O734" s="17" t="str">
        <f aca="false">IF(COUNTIFS($N$2:$N$2000,N734,$D$2:$D$2000,"&lt;&gt;"&amp;D734)&gt;0,"CONFLICT","")</f>
        <v/>
      </c>
      <c r="P734" s="7"/>
    </row>
    <row r="735" customFormat="false" ht="15" hidden="false" customHeight="false" outlineLevel="0" collapsed="false">
      <c r="A735" s="7" t="s">
        <v>2259</v>
      </c>
      <c r="B735" s="7" t="s">
        <v>1879</v>
      </c>
      <c r="C735" s="7"/>
      <c r="D735" s="6" t="s">
        <v>733</v>
      </c>
      <c r="E735" s="6" t="s">
        <v>1880</v>
      </c>
      <c r="F735" s="7" t="str">
        <f aca="false">IF($D735="","",IFERROR(IF(INDEX(Hierarchy!$B$2:$B$1295,MATCH($D735,Hierarchy!$A$2:$A$1295,0))="","",INDEX(Hierarchy!$B$2:$B$1295,MATCH($D735,Hierarchy!$A$2:$A$1295,0))),"NODE NOT FOUND"))</f>
        <v>State/Province</v>
      </c>
      <c r="G735" s="7" t="str">
        <f aca="false">IF($D735="","",IFERROR(IF(INDEX(Hierarchy!$D$2:$D$1295,MATCH($D735,Hierarchy!$A$2:$A$1295,0))="","",INDEX(Hierarchy!$D$2:$D$1295,MATCH($D735,Hierarchy!$A$2:$A$1295,0))),"NODE NOT FOUND"))</f>
        <v>EMEA</v>
      </c>
      <c r="H735" s="7" t="str">
        <f aca="false">IF($D735="","",IFERROR(IF(INDEX(Hierarchy!$E$2:$E$1295,MATCH($D735,Hierarchy!$A$2:$A$1295,0))="","",INDEX(Hierarchy!$E$2:$E$1295,MATCH($D735,Hierarchy!$A$2:$A$1295,0))),"NODE NOT FOUND"))</f>
        <v>Europe</v>
      </c>
      <c r="I735" s="7" t="str">
        <f aca="false">IF($D735="","",IFERROR(IF(INDEX(Hierarchy!$F$2:$F$1295,MATCH($D735,Hierarchy!$A$2:$A$1295,0))="","",INDEX(Hierarchy!$F$2:$F$1295,MATCH($D735,Hierarchy!$A$2:$A$1295,0))),"NODE NOT FOUND"))</f>
        <v>France</v>
      </c>
      <c r="J735" s="7" t="str">
        <f aca="false">IF($D735="","",IFERROR(IF(INDEX(Hierarchy!$G$2:$G$1295,MATCH($D735,Hierarchy!$A$2:$A$1295,0))="","",INDEX(Hierarchy!$G$2:$G$1295,MATCH($D735,Hierarchy!$A$2:$A$1295,0))),"NODE NOT FOUND"))</f>
        <v>FRA</v>
      </c>
      <c r="K735" s="7" t="str">
        <f aca="false">IF($D735="","",IFERROR(IF(INDEX(Hierarchy!$H$2:$H$1295,MATCH($D735,Hierarchy!$A$2:$A$1295,0))="","",INDEX(Hierarchy!$H$2:$H$1295,MATCH($D735,Hierarchy!$A$2:$A$1295,0))),"NODE NOT FOUND"))</f>
        <v>Île-de-France</v>
      </c>
      <c r="L735" s="7" t="str">
        <f aca="false">IF($D735="","",IFERROR(IF(INDEX(Hierarchy!$I$2:$I$1295,MATCH($D735,Hierarchy!$A$2:$A$1295,0))="","",INDEX(Hierarchy!$I$2:$I$1295,MATCH($D735,Hierarchy!$A$2:$A$1295,0))),"NODE NOT FOUND"))</f>
        <v/>
      </c>
      <c r="M735" s="17" t="str">
        <f aca="false">IF(B735="Pre-seeded","Pre-seeded",IF(B735="Review 2026-09-16","Added from review",IF(C735="","New",IF(C735=D735,"","Changed"))))</f>
        <v>Pre-seeded</v>
      </c>
      <c r="N735" s="7" t="str">
        <f aca="false">TRIM(SUBSTITUTE(SUBSTITUTE(SUBSTITUTE(" "&amp;TRIM(SUBSTITUTE(SUBSTITUTE(SUBSTITUTE(SUBSTITUTE(SUBSTITUTE(SUBSTITUTE(SUBSTITUTE(SUBSTITUTE(SUBSTITUTE(SUBSTITUTE(SUBSTITUTE(SUBSTITUTE(SUBSTITUTE(SUBSTITUTE(SUBSTITUTE(UPPER(TRIM(A735)),"[MEMBER]",""),"{MEMBER}",""),"[MEMBER}",""),"MEMBER]",""),"(A)",""),"""",""),"“",""),"”",""),".",""),":",""),",",""),"–"," "),"-"," "),"/"," "),"&amp;"," AND "))&amp;" "," THE "," ")," TOTAL "," ")," OPERATIONS "," "))</f>
        <v>ILE DE FRANCE</v>
      </c>
      <c r="O735" s="17" t="str">
        <f aca="false">IF(COUNTIFS($N$2:$N$2000,N735,$D$2:$D$2000,"&lt;&gt;"&amp;D735)&gt;0,"CONFLICT","")</f>
        <v/>
      </c>
      <c r="P735" s="7"/>
    </row>
    <row r="736" customFormat="false" ht="15" hidden="false" customHeight="false" outlineLevel="0" collapsed="false">
      <c r="A736" s="7" t="s">
        <v>179</v>
      </c>
      <c r="B736" s="7" t="s">
        <v>1882</v>
      </c>
      <c r="C736" s="7" t="s">
        <v>179</v>
      </c>
      <c r="D736" s="6" t="s">
        <v>179</v>
      </c>
      <c r="E736" s="6" t="s">
        <v>1880</v>
      </c>
      <c r="F736" s="7" t="str">
        <f aca="false">IF($D736="","",IFERROR(IF(INDEX(Hierarchy!$B$2:$B$1295,MATCH($D736,Hierarchy!$A$2:$A$1295,0))="","",INDEX(Hierarchy!$B$2:$B$1295,MATCH($D736,Hierarchy!$A$2:$A$1295,0))),"NODE NOT FOUND"))</f>
        <v>State/Province</v>
      </c>
      <c r="G736" s="7" t="str">
        <f aca="false">IF($D736="","",IFERROR(IF(INDEX(Hierarchy!$D$2:$D$1295,MATCH($D736,Hierarchy!$A$2:$A$1295,0))="","",INDEX(Hierarchy!$D$2:$D$1295,MATCH($D736,Hierarchy!$A$2:$A$1295,0))),"NODE NOT FOUND"))</f>
        <v>AMER</v>
      </c>
      <c r="H736" s="7" t="str">
        <f aca="false">IF($D736="","",IFERROR(IF(INDEX(Hierarchy!$E$2:$E$1295,MATCH($D736,Hierarchy!$A$2:$A$1295,0))="","",INDEX(Hierarchy!$E$2:$E$1295,MATCH($D736,Hierarchy!$A$2:$A$1295,0))),"NODE NOT FOUND"))</f>
        <v>North America (NORAM)</v>
      </c>
      <c r="I736" s="7" t="str">
        <f aca="false">IF($D736="","",IFERROR(IF(INDEX(Hierarchy!$F$2:$F$1295,MATCH($D736,Hierarchy!$A$2:$A$1295,0))="","",INDEX(Hierarchy!$F$2:$F$1295,MATCH($D736,Hierarchy!$A$2:$A$1295,0))),"NODE NOT FOUND"))</f>
        <v>United States</v>
      </c>
      <c r="J736" s="7" t="str">
        <f aca="false">IF($D736="","",IFERROR(IF(INDEX(Hierarchy!$G$2:$G$1295,MATCH($D736,Hierarchy!$A$2:$A$1295,0))="","",INDEX(Hierarchy!$G$2:$G$1295,MATCH($D736,Hierarchy!$A$2:$A$1295,0))),"NODE NOT FOUND"))</f>
        <v>USA</v>
      </c>
      <c r="K736" s="7" t="str">
        <f aca="false">IF($D736="","",IFERROR(IF(INDEX(Hierarchy!$H$2:$H$1295,MATCH($D736,Hierarchy!$A$2:$A$1295,0))="","",INDEX(Hierarchy!$H$2:$H$1295,MATCH($D736,Hierarchy!$A$2:$A$1295,0))),"NODE NOT FOUND"))</f>
        <v>Illinois</v>
      </c>
      <c r="L736" s="7" t="str">
        <f aca="false">IF($D736="","",IFERROR(IF(INDEX(Hierarchy!$I$2:$I$1295,MATCH($D736,Hierarchy!$A$2:$A$1295,0))="","",INDEX(Hierarchy!$I$2:$I$1295,MATCH($D736,Hierarchy!$A$2:$A$1295,0))),"NODE NOT FOUND"))</f>
        <v/>
      </c>
      <c r="M736" s="17" t="str">
        <f aca="false">IF(B736="Pre-seeded","Pre-seeded",IF(B736="Review 2026-09-16","Added from review",IF(C736="","New",IF(C736=D736,"","Changed"))))</f>
        <v/>
      </c>
      <c r="N736" s="7" t="str">
        <f aca="false">TRIM(SUBSTITUTE(SUBSTITUTE(SUBSTITUTE(" "&amp;TRIM(SUBSTITUTE(SUBSTITUTE(SUBSTITUTE(SUBSTITUTE(SUBSTITUTE(SUBSTITUTE(SUBSTITUTE(SUBSTITUTE(SUBSTITUTE(SUBSTITUTE(SUBSTITUTE(SUBSTITUTE(SUBSTITUTE(SUBSTITUTE(SUBSTITUTE(UPPER(TRIM(A736)),"[MEMBER]",""),"{MEMBER}",""),"[MEMBER}",""),"MEMBER]",""),"(A)",""),"""",""),"“",""),"”",""),".",""),":",""),",",""),"–"," "),"-"," "),"/"," "),"&amp;"," AND "))&amp;" "," THE "," ")," TOTAL "," ")," OPERATIONS "," "))</f>
        <v>ILLINOIS</v>
      </c>
      <c r="O736" s="17" t="str">
        <f aca="false">IF(COUNTIFS($N$2:$N$2000,N736,$D$2:$D$2000,"&lt;&gt;"&amp;D736)&gt;0,"CONFLICT","")</f>
        <v/>
      </c>
      <c r="P736" s="7"/>
    </row>
    <row r="737" customFormat="false" ht="15" hidden="false" customHeight="false" outlineLevel="0" collapsed="false">
      <c r="A737" s="7" t="s">
        <v>2260</v>
      </c>
      <c r="B737" s="7" t="s">
        <v>1882</v>
      </c>
      <c r="C737" s="7" t="s">
        <v>179</v>
      </c>
      <c r="D737" s="6" t="s">
        <v>179</v>
      </c>
      <c r="E737" s="6" t="s">
        <v>1880</v>
      </c>
      <c r="F737" s="7" t="str">
        <f aca="false">IF($D737="","",IFERROR(IF(INDEX(Hierarchy!$B$2:$B$1295,MATCH($D737,Hierarchy!$A$2:$A$1295,0))="","",INDEX(Hierarchy!$B$2:$B$1295,MATCH($D737,Hierarchy!$A$2:$A$1295,0))),"NODE NOT FOUND"))</f>
        <v>State/Province</v>
      </c>
      <c r="G737" s="7" t="str">
        <f aca="false">IF($D737="","",IFERROR(IF(INDEX(Hierarchy!$D$2:$D$1295,MATCH($D737,Hierarchy!$A$2:$A$1295,0))="","",INDEX(Hierarchy!$D$2:$D$1295,MATCH($D737,Hierarchy!$A$2:$A$1295,0))),"NODE NOT FOUND"))</f>
        <v>AMER</v>
      </c>
      <c r="H737" s="7" t="str">
        <f aca="false">IF($D737="","",IFERROR(IF(INDEX(Hierarchy!$E$2:$E$1295,MATCH($D737,Hierarchy!$A$2:$A$1295,0))="","",INDEX(Hierarchy!$E$2:$E$1295,MATCH($D737,Hierarchy!$A$2:$A$1295,0))),"NODE NOT FOUND"))</f>
        <v>North America (NORAM)</v>
      </c>
      <c r="I737" s="7" t="str">
        <f aca="false">IF($D737="","",IFERROR(IF(INDEX(Hierarchy!$F$2:$F$1295,MATCH($D737,Hierarchy!$A$2:$A$1295,0))="","",INDEX(Hierarchy!$F$2:$F$1295,MATCH($D737,Hierarchy!$A$2:$A$1295,0))),"NODE NOT FOUND"))</f>
        <v>United States</v>
      </c>
      <c r="J737" s="7" t="str">
        <f aca="false">IF($D737="","",IFERROR(IF(INDEX(Hierarchy!$G$2:$G$1295,MATCH($D737,Hierarchy!$A$2:$A$1295,0))="","",INDEX(Hierarchy!$G$2:$G$1295,MATCH($D737,Hierarchy!$A$2:$A$1295,0))),"NODE NOT FOUND"))</f>
        <v>USA</v>
      </c>
      <c r="K737" s="7" t="str">
        <f aca="false">IF($D737="","",IFERROR(IF(INDEX(Hierarchy!$H$2:$H$1295,MATCH($D737,Hierarchy!$A$2:$A$1295,0))="","",INDEX(Hierarchy!$H$2:$H$1295,MATCH($D737,Hierarchy!$A$2:$A$1295,0))),"NODE NOT FOUND"))</f>
        <v>Illinois</v>
      </c>
      <c r="L737" s="7" t="str">
        <f aca="false">IF($D737="","",IFERROR(IF(INDEX(Hierarchy!$I$2:$I$1295,MATCH($D737,Hierarchy!$A$2:$A$1295,0))="","",INDEX(Hierarchy!$I$2:$I$1295,MATCH($D737,Hierarchy!$A$2:$A$1295,0))),"NODE NOT FOUND"))</f>
        <v/>
      </c>
      <c r="M737" s="17" t="str">
        <f aca="false">IF(B737="Pre-seeded","Pre-seeded",IF(B737="Review 2026-09-16","Added from review",IF(C737="","New",IF(C737=D737,"","Changed"))))</f>
        <v/>
      </c>
      <c r="N737" s="7" t="str">
        <f aca="false">TRIM(SUBSTITUTE(SUBSTITUTE(SUBSTITUTE(" "&amp;TRIM(SUBSTITUTE(SUBSTITUTE(SUBSTITUTE(SUBSTITUTE(SUBSTITUTE(SUBSTITUTE(SUBSTITUTE(SUBSTITUTE(SUBSTITUTE(SUBSTITUTE(SUBSTITUTE(SUBSTITUTE(SUBSTITUTE(SUBSTITUTE(SUBSTITUTE(UPPER(TRIM(A737)),"[MEMBER]",""),"{MEMBER}",""),"[MEMBER}",""),"MEMBER]",""),"(A)",""),"""",""),"“",""),"”",""),".",""),":",""),",",""),"–"," "),"-"," "),"/"," "),"&amp;"," AND "))&amp;" "," THE "," ")," TOTAL "," ")," OPERATIONS "," "))</f>
        <v>ILLINOIS</v>
      </c>
      <c r="O737" s="17" t="str">
        <f aca="false">IF(COUNTIFS($N$2:$N$2000,N737,$D$2:$D$2000,"&lt;&gt;"&amp;D737)&gt;0,"CONFLICT","")</f>
        <v/>
      </c>
      <c r="P737" s="7"/>
    </row>
    <row r="738" customFormat="false" ht="15" hidden="false" customHeight="false" outlineLevel="0" collapsed="false">
      <c r="A738" s="7" t="s">
        <v>1673</v>
      </c>
      <c r="B738" s="7" t="s">
        <v>1879</v>
      </c>
      <c r="C738" s="7"/>
      <c r="D738" s="6" t="s">
        <v>1673</v>
      </c>
      <c r="E738" s="6" t="s">
        <v>1880</v>
      </c>
      <c r="F738" s="7" t="str">
        <f aca="false">IF($D738="","",IFERROR(IF(INDEX(Hierarchy!$B$2:$B$1295,MATCH($D738,Hierarchy!$A$2:$A$1295,0))="","",INDEX(Hierarchy!$B$2:$B$1295,MATCH($D738,Hierarchy!$A$2:$A$1295,0))),"NODE NOT FOUND"))</f>
        <v>State/Province</v>
      </c>
      <c r="G738" s="7" t="str">
        <f aca="false">IF($D738="","",IFERROR(IF(INDEX(Hierarchy!$D$2:$D$1295,MATCH($D738,Hierarchy!$A$2:$A$1295,0))="","",INDEX(Hierarchy!$D$2:$D$1295,MATCH($D738,Hierarchy!$A$2:$A$1295,0))),"NODE NOT FOUND"))</f>
        <v>APAC</v>
      </c>
      <c r="H738" s="7" t="str">
        <f aca="false">IF($D738="","",IFERROR(IF(INDEX(Hierarchy!$E$2:$E$1295,MATCH($D738,Hierarchy!$A$2:$A$1295,0))="","",INDEX(Hierarchy!$E$2:$E$1295,MATCH($D738,Hierarchy!$A$2:$A$1295,0))),"NODE NOT FOUND"))</f>
        <v>Southeast Asia (ASEAN)</v>
      </c>
      <c r="I738" s="7" t="str">
        <f aca="false">IF($D738="","",IFERROR(IF(INDEX(Hierarchy!$F$2:$F$1295,MATCH($D738,Hierarchy!$A$2:$A$1295,0))="","",INDEX(Hierarchy!$F$2:$F$1295,MATCH($D738,Hierarchy!$A$2:$A$1295,0))),"NODE NOT FOUND"))</f>
        <v>Philippines</v>
      </c>
      <c r="J738" s="7" t="str">
        <f aca="false">IF($D738="","",IFERROR(IF(INDEX(Hierarchy!$G$2:$G$1295,MATCH($D738,Hierarchy!$A$2:$A$1295,0))="","",INDEX(Hierarchy!$G$2:$G$1295,MATCH($D738,Hierarchy!$A$2:$A$1295,0))),"NODE NOT FOUND"))</f>
        <v>PHL</v>
      </c>
      <c r="K738" s="7" t="str">
        <f aca="false">IF($D738="","",IFERROR(IF(INDEX(Hierarchy!$H$2:$H$1295,MATCH($D738,Hierarchy!$A$2:$A$1295,0))="","",INDEX(Hierarchy!$H$2:$H$1295,MATCH($D738,Hierarchy!$A$2:$A$1295,0))),"NODE NOT FOUND"))</f>
        <v>Ilocos Region</v>
      </c>
      <c r="L738" s="7" t="str">
        <f aca="false">IF($D738="","",IFERROR(IF(INDEX(Hierarchy!$I$2:$I$1295,MATCH($D738,Hierarchy!$A$2:$A$1295,0))="","",INDEX(Hierarchy!$I$2:$I$1295,MATCH($D738,Hierarchy!$A$2:$A$1295,0))),"NODE NOT FOUND"))</f>
        <v/>
      </c>
      <c r="M738" s="17" t="str">
        <f aca="false">IF(B738="Pre-seeded","Pre-seeded",IF(B738="Review 2026-09-16","Added from review",IF(C738="","New",IF(C738=D738,"","Changed"))))</f>
        <v>Pre-seeded</v>
      </c>
      <c r="N738" s="7" t="str">
        <f aca="false">TRIM(SUBSTITUTE(SUBSTITUTE(SUBSTITUTE(" "&amp;TRIM(SUBSTITUTE(SUBSTITUTE(SUBSTITUTE(SUBSTITUTE(SUBSTITUTE(SUBSTITUTE(SUBSTITUTE(SUBSTITUTE(SUBSTITUTE(SUBSTITUTE(SUBSTITUTE(SUBSTITUTE(SUBSTITUTE(SUBSTITUTE(SUBSTITUTE(UPPER(TRIM(A738)),"[MEMBER]",""),"{MEMBER}",""),"[MEMBER}",""),"MEMBER]",""),"(A)",""),"""",""),"“",""),"”",""),".",""),":",""),",",""),"–"," "),"-"," "),"/"," "),"&amp;"," AND "))&amp;" "," THE "," ")," TOTAL "," ")," OPERATIONS "," "))</f>
        <v>ILOCOS REGION</v>
      </c>
      <c r="O738" s="17" t="str">
        <f aca="false">IF(COUNTIFS($N$2:$N$2000,N738,$D$2:$D$2000,"&lt;&gt;"&amp;D738)&gt;0,"CONFLICT","")</f>
        <v/>
      </c>
      <c r="P738" s="7"/>
    </row>
    <row r="739" customFormat="false" ht="15" hidden="false" customHeight="false" outlineLevel="0" collapsed="false">
      <c r="A739" s="7" t="s">
        <v>1149</v>
      </c>
      <c r="B739" s="7" t="s">
        <v>1879</v>
      </c>
      <c r="C739" s="7"/>
      <c r="D739" s="6" t="s">
        <v>1149</v>
      </c>
      <c r="E739" s="6" t="s">
        <v>1880</v>
      </c>
      <c r="F739" s="7" t="str">
        <f aca="false">IF($D739="","",IFERROR(IF(INDEX(Hierarchy!$B$2:$B$1295,MATCH($D739,Hierarchy!$A$2:$A$1295,0))="","",INDEX(Hierarchy!$B$2:$B$1295,MATCH($D739,Hierarchy!$A$2:$A$1295,0))),"NODE NOT FOUND"))</f>
        <v>State/Province</v>
      </c>
      <c r="G739" s="7" t="str">
        <f aca="false">IF($D739="","",IFERROR(IF(INDEX(Hierarchy!$D$2:$D$1295,MATCH($D739,Hierarchy!$A$2:$A$1295,0))="","",INDEX(Hierarchy!$D$2:$D$1295,MATCH($D739,Hierarchy!$A$2:$A$1295,0))),"NODE NOT FOUND"))</f>
        <v>EMEA</v>
      </c>
      <c r="H739" s="7" t="str">
        <f aca="false">IF($D739="","",IFERROR(IF(INDEX(Hierarchy!$E$2:$E$1295,MATCH($D739,Hierarchy!$A$2:$A$1295,0))="","",INDEX(Hierarchy!$E$2:$E$1295,MATCH($D739,Hierarchy!$A$2:$A$1295,0))),"NODE NOT FOUND"))</f>
        <v>Africa</v>
      </c>
      <c r="I739" s="7" t="str">
        <f aca="false">IF($D739="","",IFERROR(IF(INDEX(Hierarchy!$F$2:$F$1295,MATCH($D739,Hierarchy!$A$2:$A$1295,0))="","",INDEX(Hierarchy!$F$2:$F$1295,MATCH($D739,Hierarchy!$A$2:$A$1295,0))),"NODE NOT FOUND"))</f>
        <v>Nigeria</v>
      </c>
      <c r="J739" s="7" t="str">
        <f aca="false">IF($D739="","",IFERROR(IF(INDEX(Hierarchy!$G$2:$G$1295,MATCH($D739,Hierarchy!$A$2:$A$1295,0))="","",INDEX(Hierarchy!$G$2:$G$1295,MATCH($D739,Hierarchy!$A$2:$A$1295,0))),"NODE NOT FOUND"))</f>
        <v>NGA</v>
      </c>
      <c r="K739" s="7" t="str">
        <f aca="false">IF($D739="","",IFERROR(IF(INDEX(Hierarchy!$H$2:$H$1295,MATCH($D739,Hierarchy!$A$2:$A$1295,0))="","",INDEX(Hierarchy!$H$2:$H$1295,MATCH($D739,Hierarchy!$A$2:$A$1295,0))),"NODE NOT FOUND"))</f>
        <v>Imo</v>
      </c>
      <c r="L739" s="7" t="str">
        <f aca="false">IF($D739="","",IFERROR(IF(INDEX(Hierarchy!$I$2:$I$1295,MATCH($D739,Hierarchy!$A$2:$A$1295,0))="","",INDEX(Hierarchy!$I$2:$I$1295,MATCH($D739,Hierarchy!$A$2:$A$1295,0))),"NODE NOT FOUND"))</f>
        <v/>
      </c>
      <c r="M739" s="17" t="str">
        <f aca="false">IF(B739="Pre-seeded","Pre-seeded",IF(B739="Review 2026-09-16","Added from review",IF(C739="","New",IF(C739=D739,"","Changed"))))</f>
        <v>Pre-seeded</v>
      </c>
      <c r="N739" s="7" t="str">
        <f aca="false">TRIM(SUBSTITUTE(SUBSTITUTE(SUBSTITUTE(" "&amp;TRIM(SUBSTITUTE(SUBSTITUTE(SUBSTITUTE(SUBSTITUTE(SUBSTITUTE(SUBSTITUTE(SUBSTITUTE(SUBSTITUTE(SUBSTITUTE(SUBSTITUTE(SUBSTITUTE(SUBSTITUTE(SUBSTITUTE(SUBSTITUTE(SUBSTITUTE(UPPER(TRIM(A739)),"[MEMBER]",""),"{MEMBER}",""),"[MEMBER}",""),"MEMBER]",""),"(A)",""),"""",""),"“",""),"”",""),".",""),":",""),",",""),"–"," "),"-"," "),"/"," "),"&amp;"," AND "))&amp;" "," THE "," ")," TOTAL "," ")," OPERATIONS "," "))</f>
        <v>IMO</v>
      </c>
      <c r="O739" s="17" t="str">
        <f aca="false">IF(COUNTIFS($N$2:$N$2000,N739,$D$2:$D$2000,"&lt;&gt;"&amp;D739)&gt;0,"CONFLICT","")</f>
        <v/>
      </c>
      <c r="P739" s="7"/>
    </row>
    <row r="740" customFormat="false" ht="15" hidden="false" customHeight="false" outlineLevel="0" collapsed="false">
      <c r="A740" s="7" t="s">
        <v>2261</v>
      </c>
      <c r="B740" s="7" t="s">
        <v>1882</v>
      </c>
      <c r="C740" s="7" t="s">
        <v>81</v>
      </c>
      <c r="D740" s="6" t="s">
        <v>81</v>
      </c>
      <c r="E740" s="6" t="s">
        <v>1880</v>
      </c>
      <c r="F740" s="7" t="str">
        <f aca="false">IF($D740="","",IFERROR(IF(INDEX(Hierarchy!$B$2:$B$1295,MATCH($D740,Hierarchy!$A$2:$A$1295,0))="","",INDEX(Hierarchy!$B$2:$B$1295,MATCH($D740,Hierarchy!$A$2:$A$1295,0))),"NODE NOT FOUND"))</f>
        <v>Country</v>
      </c>
      <c r="G740" s="7" t="str">
        <f aca="false">IF($D740="","",IFERROR(IF(INDEX(Hierarchy!$D$2:$D$1295,MATCH($D740,Hierarchy!$A$2:$A$1295,0))="","",INDEX(Hierarchy!$D$2:$D$1295,MATCH($D740,Hierarchy!$A$2:$A$1295,0))),"NODE NOT FOUND"))</f>
        <v>AMER</v>
      </c>
      <c r="H740" s="7" t="str">
        <f aca="false">IF($D740="","",IFERROR(IF(INDEX(Hierarchy!$E$2:$E$1295,MATCH($D740,Hierarchy!$A$2:$A$1295,0))="","",INDEX(Hierarchy!$E$2:$E$1295,MATCH($D740,Hierarchy!$A$2:$A$1295,0))),"NODE NOT FOUND"))</f>
        <v>North America (NORAM)</v>
      </c>
      <c r="I740" s="7" t="str">
        <f aca="false">IF($D740="","",IFERROR(IF(INDEX(Hierarchy!$F$2:$F$1295,MATCH($D740,Hierarchy!$A$2:$A$1295,0))="","",INDEX(Hierarchy!$F$2:$F$1295,MATCH($D740,Hierarchy!$A$2:$A$1295,0))),"NODE NOT FOUND"))</f>
        <v>United States</v>
      </c>
      <c r="J740" s="7" t="str">
        <f aca="false">IF($D740="","",IFERROR(IF(INDEX(Hierarchy!$G$2:$G$1295,MATCH($D740,Hierarchy!$A$2:$A$1295,0))="","",INDEX(Hierarchy!$G$2:$G$1295,MATCH($D740,Hierarchy!$A$2:$A$1295,0))),"NODE NOT FOUND"))</f>
        <v>USA</v>
      </c>
      <c r="K740" s="7" t="str">
        <f aca="false">IF($D740="","",IFERROR(IF(INDEX(Hierarchy!$H$2:$H$1295,MATCH($D740,Hierarchy!$A$2:$A$1295,0))="","",INDEX(Hierarchy!$H$2:$H$1295,MATCH($D740,Hierarchy!$A$2:$A$1295,0))),"NODE NOT FOUND"))</f>
        <v/>
      </c>
      <c r="L740" s="7" t="str">
        <f aca="false">IF($D740="","",IFERROR(IF(INDEX(Hierarchy!$I$2:$I$1295,MATCH($D740,Hierarchy!$A$2:$A$1295,0))="","",INDEX(Hierarchy!$I$2:$I$1295,MATCH($D740,Hierarchy!$A$2:$A$1295,0))),"NODE NOT FOUND"))</f>
        <v/>
      </c>
      <c r="M740" s="17" t="str">
        <f aca="false">IF(B740="Pre-seeded","Pre-seeded",IF(B740="Review 2026-09-16","Added from review",IF(C740="","New",IF(C740=D740,"","Changed"))))</f>
        <v/>
      </c>
      <c r="N740" s="7" t="str">
        <f aca="false">TRIM(SUBSTITUTE(SUBSTITUTE(SUBSTITUTE(" "&amp;TRIM(SUBSTITUTE(SUBSTITUTE(SUBSTITUTE(SUBSTITUTE(SUBSTITUTE(SUBSTITUTE(SUBSTITUTE(SUBSTITUTE(SUBSTITUTE(SUBSTITUTE(SUBSTITUTE(SUBSTITUTE(SUBSTITUTE(SUBSTITUTE(SUBSTITUTE(UPPER(TRIM(A740)),"[MEMBER]",""),"{MEMBER}",""),"[MEMBER}",""),"MEMBER]",""),"(A)",""),"""",""),"“",""),"”",""),".",""),":",""),",",""),"–"," "),"-"," "),"/"," "),"&amp;"," AND "))&amp;" "," THE "," ")," TOTAL "," ")," OPERATIONS "," "))</f>
        <v>IN US</v>
      </c>
      <c r="O740" s="17" t="str">
        <f aca="false">IF(COUNTIFS($N$2:$N$2000,N740,$D$2:$D$2000,"&lt;&gt;"&amp;D740)&gt;0,"CONFLICT","")</f>
        <v/>
      </c>
      <c r="P740" s="7"/>
    </row>
    <row r="741" customFormat="false" ht="15" hidden="false" customHeight="false" outlineLevel="0" collapsed="false">
      <c r="A741" s="7" t="s">
        <v>1569</v>
      </c>
      <c r="B741" s="7" t="s">
        <v>1879</v>
      </c>
      <c r="C741" s="7"/>
      <c r="D741" s="6" t="s">
        <v>1569</v>
      </c>
      <c r="E741" s="6" t="s">
        <v>1880</v>
      </c>
      <c r="F741" s="7" t="str">
        <f aca="false">IF($D741="","",IFERROR(IF(INDEX(Hierarchy!$B$2:$B$1295,MATCH($D741,Hierarchy!$A$2:$A$1295,0))="","",INDEX(Hierarchy!$B$2:$B$1295,MATCH($D741,Hierarchy!$A$2:$A$1295,0))),"NODE NOT FOUND"))</f>
        <v>State/Province</v>
      </c>
      <c r="G741" s="7" t="str">
        <f aca="false">IF($D741="","",IFERROR(IF(INDEX(Hierarchy!$D$2:$D$1295,MATCH($D741,Hierarchy!$A$2:$A$1295,0))="","",INDEX(Hierarchy!$D$2:$D$1295,MATCH($D741,Hierarchy!$A$2:$A$1295,0))),"NODE NOT FOUND"))</f>
        <v>APAC</v>
      </c>
      <c r="H741" s="7" t="str">
        <f aca="false">IF($D741="","",IFERROR(IF(INDEX(Hierarchy!$E$2:$E$1295,MATCH($D741,Hierarchy!$A$2:$A$1295,0))="","",INDEX(Hierarchy!$E$2:$E$1295,MATCH($D741,Hierarchy!$A$2:$A$1295,0))),"NODE NOT FOUND"))</f>
        <v>East Asia</v>
      </c>
      <c r="I741" s="7" t="str">
        <f aca="false">IF($D741="","",IFERROR(IF(INDEX(Hierarchy!$F$2:$F$1295,MATCH($D741,Hierarchy!$A$2:$A$1295,0))="","",INDEX(Hierarchy!$F$2:$F$1295,MATCH($D741,Hierarchy!$A$2:$A$1295,0))),"NODE NOT FOUND"))</f>
        <v>South Korea</v>
      </c>
      <c r="J741" s="7" t="str">
        <f aca="false">IF($D741="","",IFERROR(IF(INDEX(Hierarchy!$G$2:$G$1295,MATCH($D741,Hierarchy!$A$2:$A$1295,0))="","",INDEX(Hierarchy!$G$2:$G$1295,MATCH($D741,Hierarchy!$A$2:$A$1295,0))),"NODE NOT FOUND"))</f>
        <v>KOR</v>
      </c>
      <c r="K741" s="7" t="str">
        <f aca="false">IF($D741="","",IFERROR(IF(INDEX(Hierarchy!$H$2:$H$1295,MATCH($D741,Hierarchy!$A$2:$A$1295,0))="","",INDEX(Hierarchy!$H$2:$H$1295,MATCH($D741,Hierarchy!$A$2:$A$1295,0))),"NODE NOT FOUND"))</f>
        <v>Incheon</v>
      </c>
      <c r="L741" s="7" t="str">
        <f aca="false">IF($D741="","",IFERROR(IF(INDEX(Hierarchy!$I$2:$I$1295,MATCH($D741,Hierarchy!$A$2:$A$1295,0))="","",INDEX(Hierarchy!$I$2:$I$1295,MATCH($D741,Hierarchy!$A$2:$A$1295,0))),"NODE NOT FOUND"))</f>
        <v/>
      </c>
      <c r="M741" s="17" t="str">
        <f aca="false">IF(B741="Pre-seeded","Pre-seeded",IF(B741="Review 2026-09-16","Added from review",IF(C741="","New",IF(C741=D741,"","Changed"))))</f>
        <v>Pre-seeded</v>
      </c>
      <c r="N741" s="7" t="str">
        <f aca="false">TRIM(SUBSTITUTE(SUBSTITUTE(SUBSTITUTE(" "&amp;TRIM(SUBSTITUTE(SUBSTITUTE(SUBSTITUTE(SUBSTITUTE(SUBSTITUTE(SUBSTITUTE(SUBSTITUTE(SUBSTITUTE(SUBSTITUTE(SUBSTITUTE(SUBSTITUTE(SUBSTITUTE(SUBSTITUTE(SUBSTITUTE(SUBSTITUTE(UPPER(TRIM(A741)),"[MEMBER]",""),"{MEMBER}",""),"[MEMBER}",""),"MEMBER]",""),"(A)",""),"""",""),"“",""),"”",""),".",""),":",""),",",""),"–"," "),"-"," "),"/"," "),"&amp;"," AND "))&amp;" "," THE "," ")," TOTAL "," ")," OPERATIONS "," "))</f>
        <v>INCHEON</v>
      </c>
      <c r="O741" s="17" t="str">
        <f aca="false">IF(COUNTIFS($N$2:$N$2000,N741,$D$2:$D$2000,"&lt;&gt;"&amp;D741)&gt;0,"CONFLICT","")</f>
        <v/>
      </c>
      <c r="P741" s="7"/>
    </row>
    <row r="742" customFormat="false" ht="15" hidden="false" customHeight="false" outlineLevel="0" collapsed="false">
      <c r="A742" s="7" t="s">
        <v>2262</v>
      </c>
      <c r="B742" s="7" t="s">
        <v>1879</v>
      </c>
      <c r="C742" s="7"/>
      <c r="D742" s="6" t="s">
        <v>1766</v>
      </c>
      <c r="E742" s="6" t="s">
        <v>1880</v>
      </c>
      <c r="F742" s="7" t="str">
        <f aca="false">IF($D742="","",IFERROR(IF(INDEX(Hierarchy!$B$2:$B$1295,MATCH($D742,Hierarchy!$A$2:$A$1295,0))="","",INDEX(Hierarchy!$B$2:$B$1295,MATCH($D742,Hierarchy!$A$2:$A$1295,0))),"NODE NOT FOUND"))</f>
        <v>Country</v>
      </c>
      <c r="G742" s="7" t="str">
        <f aca="false">IF($D742="","",IFERROR(IF(INDEX(Hierarchy!$D$2:$D$1295,MATCH($D742,Hierarchy!$A$2:$A$1295,0))="","",INDEX(Hierarchy!$D$2:$D$1295,MATCH($D742,Hierarchy!$A$2:$A$1295,0))),"NODE NOT FOUND"))</f>
        <v>APAC</v>
      </c>
      <c r="H742" s="7" t="str">
        <f aca="false">IF($D742="","",IFERROR(IF(INDEX(Hierarchy!$E$2:$E$1295,MATCH($D742,Hierarchy!$A$2:$A$1295,0))="","",INDEX(Hierarchy!$E$2:$E$1295,MATCH($D742,Hierarchy!$A$2:$A$1295,0))),"NODE NOT FOUND"))</f>
        <v>Oceania (ANZ)</v>
      </c>
      <c r="I742" s="7" t="str">
        <f aca="false">IF($D742="","",IFERROR(IF(INDEX(Hierarchy!$F$2:$F$1295,MATCH($D742,Hierarchy!$A$2:$A$1295,0))="","",INDEX(Hierarchy!$F$2:$F$1295,MATCH($D742,Hierarchy!$A$2:$A$1295,0))),"NODE NOT FOUND"))</f>
        <v>Papua New Guinea</v>
      </c>
      <c r="J742" s="7" t="str">
        <f aca="false">IF($D742="","",IFERROR(IF(INDEX(Hierarchy!$G$2:$G$1295,MATCH($D742,Hierarchy!$A$2:$A$1295,0))="","",INDEX(Hierarchy!$G$2:$G$1295,MATCH($D742,Hierarchy!$A$2:$A$1295,0))),"NODE NOT FOUND"))</f>
        <v>PNG</v>
      </c>
      <c r="K742" s="7" t="str">
        <f aca="false">IF($D742="","",IFERROR(IF(INDEX(Hierarchy!$H$2:$H$1295,MATCH($D742,Hierarchy!$A$2:$A$1295,0))="","",INDEX(Hierarchy!$H$2:$H$1295,MATCH($D742,Hierarchy!$A$2:$A$1295,0))),"NODE NOT FOUND"))</f>
        <v/>
      </c>
      <c r="L742" s="7" t="str">
        <f aca="false">IF($D742="","",IFERROR(IF(INDEX(Hierarchy!$I$2:$I$1295,MATCH($D742,Hierarchy!$A$2:$A$1295,0))="","",INDEX(Hierarchy!$I$2:$I$1295,MATCH($D742,Hierarchy!$A$2:$A$1295,0))),"NODE NOT FOUND"))</f>
        <v/>
      </c>
      <c r="M742" s="17" t="str">
        <f aca="false">IF(B742="Pre-seeded","Pre-seeded",IF(B742="Review 2026-09-16","Added from review",IF(C742="","New",IF(C742=D742,"","Changed"))))</f>
        <v>Pre-seeded</v>
      </c>
      <c r="N742" s="7" t="str">
        <f aca="false">TRIM(SUBSTITUTE(SUBSTITUTE(SUBSTITUTE(" "&amp;TRIM(SUBSTITUTE(SUBSTITUTE(SUBSTITUTE(SUBSTITUTE(SUBSTITUTE(SUBSTITUTE(SUBSTITUTE(SUBSTITUTE(SUBSTITUTE(SUBSTITUTE(SUBSTITUTE(SUBSTITUTE(SUBSTITUTE(SUBSTITUTE(SUBSTITUTE(UPPER(TRIM(A742)),"[MEMBER]",""),"{MEMBER}",""),"[MEMBER}",""),"MEMBER]",""),"(A)",""),"""",""),"“",""),"”",""),".",""),":",""),",",""),"–"," "),"-"," "),"/"," "),"&amp;"," AND "))&amp;" "," THE "," ")," TOTAL "," ")," OPERATIONS "," "))</f>
        <v>INDEPENDENT STATE OF PAPUA NEW GUINEA</v>
      </c>
      <c r="O742" s="17" t="str">
        <f aca="false">IF(COUNTIFS($N$2:$N$2000,N742,$D$2:$D$2000,"&lt;&gt;"&amp;D742)&gt;0,"CONFLICT","")</f>
        <v/>
      </c>
      <c r="P742" s="7" t="s">
        <v>1936</v>
      </c>
    </row>
    <row r="743" customFormat="false" ht="15" hidden="false" customHeight="false" outlineLevel="0" collapsed="false">
      <c r="A743" s="7" t="s">
        <v>2263</v>
      </c>
      <c r="B743" s="7" t="s">
        <v>1879</v>
      </c>
      <c r="C743" s="7"/>
      <c r="D743" s="6" t="s">
        <v>1770</v>
      </c>
      <c r="E743" s="6" t="s">
        <v>1880</v>
      </c>
      <c r="F743" s="7" t="str">
        <f aca="false">IF($D743="","",IFERROR(IF(INDEX(Hierarchy!$B$2:$B$1295,MATCH($D743,Hierarchy!$A$2:$A$1295,0))="","",INDEX(Hierarchy!$B$2:$B$1295,MATCH($D743,Hierarchy!$A$2:$A$1295,0))),"NODE NOT FOUND"))</f>
        <v>Country</v>
      </c>
      <c r="G743" s="7" t="str">
        <f aca="false">IF($D743="","",IFERROR(IF(INDEX(Hierarchy!$D$2:$D$1295,MATCH($D743,Hierarchy!$A$2:$A$1295,0))="","",INDEX(Hierarchy!$D$2:$D$1295,MATCH($D743,Hierarchy!$A$2:$A$1295,0))),"NODE NOT FOUND"))</f>
        <v>APAC</v>
      </c>
      <c r="H743" s="7" t="str">
        <f aca="false">IF($D743="","",IFERROR(IF(INDEX(Hierarchy!$E$2:$E$1295,MATCH($D743,Hierarchy!$A$2:$A$1295,0))="","",INDEX(Hierarchy!$E$2:$E$1295,MATCH($D743,Hierarchy!$A$2:$A$1295,0))),"NODE NOT FOUND"))</f>
        <v>Oceania (ANZ)</v>
      </c>
      <c r="I743" s="7" t="str">
        <f aca="false">IF($D743="","",IFERROR(IF(INDEX(Hierarchy!$F$2:$F$1295,MATCH($D743,Hierarchy!$A$2:$A$1295,0))="","",INDEX(Hierarchy!$F$2:$F$1295,MATCH($D743,Hierarchy!$A$2:$A$1295,0))),"NODE NOT FOUND"))</f>
        <v>Samoa</v>
      </c>
      <c r="J743" s="7" t="str">
        <f aca="false">IF($D743="","",IFERROR(IF(INDEX(Hierarchy!$G$2:$G$1295,MATCH($D743,Hierarchy!$A$2:$A$1295,0))="","",INDEX(Hierarchy!$G$2:$G$1295,MATCH($D743,Hierarchy!$A$2:$A$1295,0))),"NODE NOT FOUND"))</f>
        <v>WSM</v>
      </c>
      <c r="K743" s="7" t="str">
        <f aca="false">IF($D743="","",IFERROR(IF(INDEX(Hierarchy!$H$2:$H$1295,MATCH($D743,Hierarchy!$A$2:$A$1295,0))="","",INDEX(Hierarchy!$H$2:$H$1295,MATCH($D743,Hierarchy!$A$2:$A$1295,0))),"NODE NOT FOUND"))</f>
        <v/>
      </c>
      <c r="L743" s="7" t="str">
        <f aca="false">IF($D743="","",IFERROR(IF(INDEX(Hierarchy!$I$2:$I$1295,MATCH($D743,Hierarchy!$A$2:$A$1295,0))="","",INDEX(Hierarchy!$I$2:$I$1295,MATCH($D743,Hierarchy!$A$2:$A$1295,0))),"NODE NOT FOUND"))</f>
        <v/>
      </c>
      <c r="M743" s="17" t="str">
        <f aca="false">IF(B743="Pre-seeded","Pre-seeded",IF(B743="Review 2026-09-16","Added from review",IF(C743="","New",IF(C743=D743,"","Changed"))))</f>
        <v>Pre-seeded</v>
      </c>
      <c r="N743" s="7" t="str">
        <f aca="false">TRIM(SUBSTITUTE(SUBSTITUTE(SUBSTITUTE(" "&amp;TRIM(SUBSTITUTE(SUBSTITUTE(SUBSTITUTE(SUBSTITUTE(SUBSTITUTE(SUBSTITUTE(SUBSTITUTE(SUBSTITUTE(SUBSTITUTE(SUBSTITUTE(SUBSTITUTE(SUBSTITUTE(SUBSTITUTE(SUBSTITUTE(SUBSTITUTE(UPPER(TRIM(A743)),"[MEMBER]",""),"{MEMBER}",""),"[MEMBER}",""),"MEMBER]",""),"(A)",""),"""",""),"“",""),"”",""),".",""),":",""),",",""),"–"," "),"-"," "),"/"," "),"&amp;"," AND "))&amp;" "," THE "," ")," TOTAL "," ")," OPERATIONS "," "))</f>
        <v>INDEPENDENT STATE OF SAMOA</v>
      </c>
      <c r="O743" s="17" t="str">
        <f aca="false">IF(COUNTIFS($N$2:$N$2000,N743,$D$2:$D$2000,"&lt;&gt;"&amp;D743)&gt;0,"CONFLICT","")</f>
        <v/>
      </c>
      <c r="P743" s="7" t="s">
        <v>1936</v>
      </c>
    </row>
    <row r="744" customFormat="false" ht="15" hidden="false" customHeight="false" outlineLevel="0" collapsed="false">
      <c r="A744" s="7" t="s">
        <v>1316</v>
      </c>
      <c r="B744" s="7" t="s">
        <v>1882</v>
      </c>
      <c r="C744" s="7" t="s">
        <v>1316</v>
      </c>
      <c r="D744" s="6" t="s">
        <v>1316</v>
      </c>
      <c r="E744" s="6" t="s">
        <v>1880</v>
      </c>
      <c r="F744" s="7" t="str">
        <f aca="false">IF($D744="","",IFERROR(IF(INDEX(Hierarchy!$B$2:$B$1295,MATCH($D744,Hierarchy!$A$2:$A$1295,0))="","",INDEX(Hierarchy!$B$2:$B$1295,MATCH($D744,Hierarchy!$A$2:$A$1295,0))),"NODE NOT FOUND"))</f>
        <v>Country</v>
      </c>
      <c r="G744" s="7" t="str">
        <f aca="false">IF($D744="","",IFERROR(IF(INDEX(Hierarchy!$D$2:$D$1295,MATCH($D744,Hierarchy!$A$2:$A$1295,0))="","",INDEX(Hierarchy!$D$2:$D$1295,MATCH($D744,Hierarchy!$A$2:$A$1295,0))),"NODE NOT FOUND"))</f>
        <v>APAC</v>
      </c>
      <c r="H744" s="7" t="str">
        <f aca="false">IF($D744="","",IFERROR(IF(INDEX(Hierarchy!$E$2:$E$1295,MATCH($D744,Hierarchy!$A$2:$A$1295,0))="","",INDEX(Hierarchy!$E$2:$E$1295,MATCH($D744,Hierarchy!$A$2:$A$1295,0))),"NODE NOT FOUND"))</f>
        <v>South Asia</v>
      </c>
      <c r="I744" s="7" t="str">
        <f aca="false">IF($D744="","",IFERROR(IF(INDEX(Hierarchy!$F$2:$F$1295,MATCH($D744,Hierarchy!$A$2:$A$1295,0))="","",INDEX(Hierarchy!$F$2:$F$1295,MATCH($D744,Hierarchy!$A$2:$A$1295,0))),"NODE NOT FOUND"))</f>
        <v>India</v>
      </c>
      <c r="J744" s="7" t="str">
        <f aca="false">IF($D744="","",IFERROR(IF(INDEX(Hierarchy!$G$2:$G$1295,MATCH($D744,Hierarchy!$A$2:$A$1295,0))="","",INDEX(Hierarchy!$G$2:$G$1295,MATCH($D744,Hierarchy!$A$2:$A$1295,0))),"NODE NOT FOUND"))</f>
        <v>IND</v>
      </c>
      <c r="K744" s="7" t="str">
        <f aca="false">IF($D744="","",IFERROR(IF(INDEX(Hierarchy!$H$2:$H$1295,MATCH($D744,Hierarchy!$A$2:$A$1295,0))="","",INDEX(Hierarchy!$H$2:$H$1295,MATCH($D744,Hierarchy!$A$2:$A$1295,0))),"NODE NOT FOUND"))</f>
        <v/>
      </c>
      <c r="L744" s="7" t="str">
        <f aca="false">IF($D744="","",IFERROR(IF(INDEX(Hierarchy!$I$2:$I$1295,MATCH($D744,Hierarchy!$A$2:$A$1295,0))="","",INDEX(Hierarchy!$I$2:$I$1295,MATCH($D744,Hierarchy!$A$2:$A$1295,0))),"NODE NOT FOUND"))</f>
        <v/>
      </c>
      <c r="M744" s="17" t="str">
        <f aca="false">IF(B744="Pre-seeded","Pre-seeded",IF(B744="Review 2026-09-16","Added from review",IF(C744="","New",IF(C744=D744,"","Changed"))))</f>
        <v/>
      </c>
      <c r="N744" s="7" t="str">
        <f aca="false">TRIM(SUBSTITUTE(SUBSTITUTE(SUBSTITUTE(" "&amp;TRIM(SUBSTITUTE(SUBSTITUTE(SUBSTITUTE(SUBSTITUTE(SUBSTITUTE(SUBSTITUTE(SUBSTITUTE(SUBSTITUTE(SUBSTITUTE(SUBSTITUTE(SUBSTITUTE(SUBSTITUTE(SUBSTITUTE(SUBSTITUTE(SUBSTITUTE(UPPER(TRIM(A744)),"[MEMBER]",""),"{MEMBER}",""),"[MEMBER}",""),"MEMBER]",""),"(A)",""),"""",""),"“",""),"”",""),".",""),":",""),",",""),"–"," "),"-"," "),"/"," "),"&amp;"," AND "))&amp;" "," THE "," ")," TOTAL "," ")," OPERATIONS "," "))</f>
        <v>INDIA</v>
      </c>
      <c r="O744" s="17" t="str">
        <f aca="false">IF(COUNTIFS($N$2:$N$2000,N744,$D$2:$D$2000,"&lt;&gt;"&amp;D744)&gt;0,"CONFLICT","")</f>
        <v/>
      </c>
      <c r="P744" s="7"/>
    </row>
    <row r="745" customFormat="false" ht="15" hidden="false" customHeight="false" outlineLevel="0" collapsed="false">
      <c r="A745" s="7" t="s">
        <v>2264</v>
      </c>
      <c r="B745" s="7" t="s">
        <v>1882</v>
      </c>
      <c r="C745" s="7" t="s">
        <v>1316</v>
      </c>
      <c r="D745" s="6" t="s">
        <v>1316</v>
      </c>
      <c r="E745" s="6" t="s">
        <v>1880</v>
      </c>
      <c r="F745" s="7" t="str">
        <f aca="false">IF($D745="","",IFERROR(IF(INDEX(Hierarchy!$B$2:$B$1295,MATCH($D745,Hierarchy!$A$2:$A$1295,0))="","",INDEX(Hierarchy!$B$2:$B$1295,MATCH($D745,Hierarchy!$A$2:$A$1295,0))),"NODE NOT FOUND"))</f>
        <v>Country</v>
      </c>
      <c r="G745" s="7" t="str">
        <f aca="false">IF($D745="","",IFERROR(IF(INDEX(Hierarchy!$D$2:$D$1295,MATCH($D745,Hierarchy!$A$2:$A$1295,0))="","",INDEX(Hierarchy!$D$2:$D$1295,MATCH($D745,Hierarchy!$A$2:$A$1295,0))),"NODE NOT FOUND"))</f>
        <v>APAC</v>
      </c>
      <c r="H745" s="7" t="str">
        <f aca="false">IF($D745="","",IFERROR(IF(INDEX(Hierarchy!$E$2:$E$1295,MATCH($D745,Hierarchy!$A$2:$A$1295,0))="","",INDEX(Hierarchy!$E$2:$E$1295,MATCH($D745,Hierarchy!$A$2:$A$1295,0))),"NODE NOT FOUND"))</f>
        <v>South Asia</v>
      </c>
      <c r="I745" s="7" t="str">
        <f aca="false">IF($D745="","",IFERROR(IF(INDEX(Hierarchy!$F$2:$F$1295,MATCH($D745,Hierarchy!$A$2:$A$1295,0))="","",INDEX(Hierarchy!$F$2:$F$1295,MATCH($D745,Hierarchy!$A$2:$A$1295,0))),"NODE NOT FOUND"))</f>
        <v>India</v>
      </c>
      <c r="J745" s="7" t="str">
        <f aca="false">IF($D745="","",IFERROR(IF(INDEX(Hierarchy!$G$2:$G$1295,MATCH($D745,Hierarchy!$A$2:$A$1295,0))="","",INDEX(Hierarchy!$G$2:$G$1295,MATCH($D745,Hierarchy!$A$2:$A$1295,0))),"NODE NOT FOUND"))</f>
        <v>IND</v>
      </c>
      <c r="K745" s="7" t="str">
        <f aca="false">IF($D745="","",IFERROR(IF(INDEX(Hierarchy!$H$2:$H$1295,MATCH($D745,Hierarchy!$A$2:$A$1295,0))="","",INDEX(Hierarchy!$H$2:$H$1295,MATCH($D745,Hierarchy!$A$2:$A$1295,0))),"NODE NOT FOUND"))</f>
        <v/>
      </c>
      <c r="L745" s="7" t="str">
        <f aca="false">IF($D745="","",IFERROR(IF(INDEX(Hierarchy!$I$2:$I$1295,MATCH($D745,Hierarchy!$A$2:$A$1295,0))="","",INDEX(Hierarchy!$I$2:$I$1295,MATCH($D745,Hierarchy!$A$2:$A$1295,0))),"NODE NOT FOUND"))</f>
        <v/>
      </c>
      <c r="M745" s="17" t="str">
        <f aca="false">IF(B745="Pre-seeded","Pre-seeded",IF(B745="Review 2026-09-16","Added from review",IF(C745="","New",IF(C745=D745,"","Changed"))))</f>
        <v/>
      </c>
      <c r="N745" s="7" t="str">
        <f aca="false">TRIM(SUBSTITUTE(SUBSTITUTE(SUBSTITUTE(" "&amp;TRIM(SUBSTITUTE(SUBSTITUTE(SUBSTITUTE(SUBSTITUTE(SUBSTITUTE(SUBSTITUTE(SUBSTITUTE(SUBSTITUTE(SUBSTITUTE(SUBSTITUTE(SUBSTITUTE(SUBSTITUTE(SUBSTITUTE(SUBSTITUTE(SUBSTITUTE(UPPER(TRIM(A745)),"[MEMBER]",""),"{MEMBER}",""),"[MEMBER}",""),"MEMBER]",""),"(A)",""),"""",""),"“",""),"”",""),".",""),":",""),",",""),"–"," "),"-"," "),"/"," "),"&amp;"," AND "))&amp;" "," THE "," ")," TOTAL "," ")," OPERATIONS "," "))</f>
        <v>INDIA</v>
      </c>
      <c r="O745" s="17" t="str">
        <f aca="false">IF(COUNTIFS($N$2:$N$2000,N745,$D$2:$D$2000,"&lt;&gt;"&amp;D745)&gt;0,"CONFLICT","")</f>
        <v/>
      </c>
      <c r="P745" s="7"/>
    </row>
    <row r="746" customFormat="false" ht="15" hidden="false" customHeight="false" outlineLevel="0" collapsed="false">
      <c r="A746" s="7" t="s">
        <v>2265</v>
      </c>
      <c r="B746" s="7" t="s">
        <v>1879</v>
      </c>
      <c r="C746" s="7"/>
      <c r="D746" s="6" t="s">
        <v>1315</v>
      </c>
      <c r="E746" s="6" t="s">
        <v>1880</v>
      </c>
      <c r="F746" s="7" t="str">
        <f aca="false">IF($D746="","",IFERROR(IF(INDEX(Hierarchy!$B$2:$B$1295,MATCH($D746,Hierarchy!$A$2:$A$1295,0))="","",INDEX(Hierarchy!$B$2:$B$1295,MATCH($D746,Hierarchy!$A$2:$A$1295,0))),"NODE NOT FOUND"))</f>
        <v>Sub-region</v>
      </c>
      <c r="G746" s="7" t="str">
        <f aca="false">IF($D746="","",IFERROR(IF(INDEX(Hierarchy!$D$2:$D$1295,MATCH($D746,Hierarchy!$A$2:$A$1295,0))="","",INDEX(Hierarchy!$D$2:$D$1295,MATCH($D746,Hierarchy!$A$2:$A$1295,0))),"NODE NOT FOUND"))</f>
        <v>APAC</v>
      </c>
      <c r="H746" s="7" t="str">
        <f aca="false">IF($D746="","",IFERROR(IF(INDEX(Hierarchy!$E$2:$E$1295,MATCH($D746,Hierarchy!$A$2:$A$1295,0))="","",INDEX(Hierarchy!$E$2:$E$1295,MATCH($D746,Hierarchy!$A$2:$A$1295,0))),"NODE NOT FOUND"))</f>
        <v>South Asia</v>
      </c>
      <c r="I746" s="7" t="str">
        <f aca="false">IF($D746="","",IFERROR(IF(INDEX(Hierarchy!$F$2:$F$1295,MATCH($D746,Hierarchy!$A$2:$A$1295,0))="","",INDEX(Hierarchy!$F$2:$F$1295,MATCH($D746,Hierarchy!$A$2:$A$1295,0))),"NODE NOT FOUND"))</f>
        <v/>
      </c>
      <c r="J746" s="7" t="str">
        <f aca="false">IF($D746="","",IFERROR(IF(INDEX(Hierarchy!$G$2:$G$1295,MATCH($D746,Hierarchy!$A$2:$A$1295,0))="","",INDEX(Hierarchy!$G$2:$G$1295,MATCH($D746,Hierarchy!$A$2:$A$1295,0))),"NODE NOT FOUND"))</f>
        <v/>
      </c>
      <c r="K746" s="7" t="str">
        <f aca="false">IF($D746="","",IFERROR(IF(INDEX(Hierarchy!$H$2:$H$1295,MATCH($D746,Hierarchy!$A$2:$A$1295,0))="","",INDEX(Hierarchy!$H$2:$H$1295,MATCH($D746,Hierarchy!$A$2:$A$1295,0))),"NODE NOT FOUND"))</f>
        <v/>
      </c>
      <c r="L746" s="7" t="str">
        <f aca="false">IF($D746="","",IFERROR(IF(INDEX(Hierarchy!$I$2:$I$1295,MATCH($D746,Hierarchy!$A$2:$A$1295,0))="","",INDEX(Hierarchy!$I$2:$I$1295,MATCH($D746,Hierarchy!$A$2:$A$1295,0))),"NODE NOT FOUND"))</f>
        <v/>
      </c>
      <c r="M746" s="17" t="str">
        <f aca="false">IF(B746="Pre-seeded","Pre-seeded",IF(B746="Review 2026-09-16","Added from review",IF(C746="","New",IF(C746=D746,"","Changed"))))</f>
        <v>Pre-seeded</v>
      </c>
      <c r="N746" s="7" t="str">
        <f aca="false">TRIM(SUBSTITUTE(SUBSTITUTE(SUBSTITUTE(" "&amp;TRIM(SUBSTITUTE(SUBSTITUTE(SUBSTITUTE(SUBSTITUTE(SUBSTITUTE(SUBSTITUTE(SUBSTITUTE(SUBSTITUTE(SUBSTITUTE(SUBSTITUTE(SUBSTITUTE(SUBSTITUTE(SUBSTITUTE(SUBSTITUTE(SUBSTITUTE(UPPER(TRIM(A746)),"[MEMBER]",""),"{MEMBER}",""),"[MEMBER}",""),"MEMBER]",""),"(A)",""),"""",""),"“",""),"”",""),".",""),":",""),",",""),"–"," "),"-"," "),"/"," "),"&amp;"," AND "))&amp;" "," THE "," ")," TOTAL "," ")," OPERATIONS "," "))</f>
        <v>INDIAN SUBCONTINENT</v>
      </c>
      <c r="O746" s="17" t="str">
        <f aca="false">IF(COUNTIFS($N$2:$N$2000,N746,$D$2:$D$2000,"&lt;&gt;"&amp;D746)&gt;0,"CONFLICT","")</f>
        <v/>
      </c>
      <c r="P746" s="7"/>
    </row>
    <row r="747" customFormat="false" ht="15" hidden="false" customHeight="false" outlineLevel="0" collapsed="false">
      <c r="A747" s="7" t="s">
        <v>182</v>
      </c>
      <c r="B747" s="7" t="s">
        <v>1882</v>
      </c>
      <c r="C747" s="7" t="s">
        <v>182</v>
      </c>
      <c r="D747" s="6" t="s">
        <v>182</v>
      </c>
      <c r="E747" s="6" t="s">
        <v>1880</v>
      </c>
      <c r="F747" s="7" t="str">
        <f aca="false">IF($D747="","",IFERROR(IF(INDEX(Hierarchy!$B$2:$B$1295,MATCH($D747,Hierarchy!$A$2:$A$1295,0))="","",INDEX(Hierarchy!$B$2:$B$1295,MATCH($D747,Hierarchy!$A$2:$A$1295,0))),"NODE NOT FOUND"))</f>
        <v>State/Province</v>
      </c>
      <c r="G747" s="7" t="str">
        <f aca="false">IF($D747="","",IFERROR(IF(INDEX(Hierarchy!$D$2:$D$1295,MATCH($D747,Hierarchy!$A$2:$A$1295,0))="","",INDEX(Hierarchy!$D$2:$D$1295,MATCH($D747,Hierarchy!$A$2:$A$1295,0))),"NODE NOT FOUND"))</f>
        <v>AMER</v>
      </c>
      <c r="H747" s="7" t="str">
        <f aca="false">IF($D747="","",IFERROR(IF(INDEX(Hierarchy!$E$2:$E$1295,MATCH($D747,Hierarchy!$A$2:$A$1295,0))="","",INDEX(Hierarchy!$E$2:$E$1295,MATCH($D747,Hierarchy!$A$2:$A$1295,0))),"NODE NOT FOUND"))</f>
        <v>North America (NORAM)</v>
      </c>
      <c r="I747" s="7" t="str">
        <f aca="false">IF($D747="","",IFERROR(IF(INDEX(Hierarchy!$F$2:$F$1295,MATCH($D747,Hierarchy!$A$2:$A$1295,0))="","",INDEX(Hierarchy!$F$2:$F$1295,MATCH($D747,Hierarchy!$A$2:$A$1295,0))),"NODE NOT FOUND"))</f>
        <v>United States</v>
      </c>
      <c r="J747" s="7" t="str">
        <f aca="false">IF($D747="","",IFERROR(IF(INDEX(Hierarchy!$G$2:$G$1295,MATCH($D747,Hierarchy!$A$2:$A$1295,0))="","",INDEX(Hierarchy!$G$2:$G$1295,MATCH($D747,Hierarchy!$A$2:$A$1295,0))),"NODE NOT FOUND"))</f>
        <v>USA</v>
      </c>
      <c r="K747" s="7" t="str">
        <f aca="false">IF($D747="","",IFERROR(IF(INDEX(Hierarchy!$H$2:$H$1295,MATCH($D747,Hierarchy!$A$2:$A$1295,0))="","",INDEX(Hierarchy!$H$2:$H$1295,MATCH($D747,Hierarchy!$A$2:$A$1295,0))),"NODE NOT FOUND"))</f>
        <v>Indiana</v>
      </c>
      <c r="L747" s="7" t="str">
        <f aca="false">IF($D747="","",IFERROR(IF(INDEX(Hierarchy!$I$2:$I$1295,MATCH($D747,Hierarchy!$A$2:$A$1295,0))="","",INDEX(Hierarchy!$I$2:$I$1295,MATCH($D747,Hierarchy!$A$2:$A$1295,0))),"NODE NOT FOUND"))</f>
        <v/>
      </c>
      <c r="M747" s="17" t="str">
        <f aca="false">IF(B747="Pre-seeded","Pre-seeded",IF(B747="Review 2026-09-16","Added from review",IF(C747="","New",IF(C747=D747,"","Changed"))))</f>
        <v/>
      </c>
      <c r="N747" s="7" t="str">
        <f aca="false">TRIM(SUBSTITUTE(SUBSTITUTE(SUBSTITUTE(" "&amp;TRIM(SUBSTITUTE(SUBSTITUTE(SUBSTITUTE(SUBSTITUTE(SUBSTITUTE(SUBSTITUTE(SUBSTITUTE(SUBSTITUTE(SUBSTITUTE(SUBSTITUTE(SUBSTITUTE(SUBSTITUTE(SUBSTITUTE(SUBSTITUTE(SUBSTITUTE(UPPER(TRIM(A747)),"[MEMBER]",""),"{MEMBER}",""),"[MEMBER}",""),"MEMBER]",""),"(A)",""),"""",""),"“",""),"”",""),".",""),":",""),",",""),"–"," "),"-"," "),"/"," "),"&amp;"," AND "))&amp;" "," THE "," ")," TOTAL "," ")," OPERATIONS "," "))</f>
        <v>INDIANA</v>
      </c>
      <c r="O747" s="17" t="str">
        <f aca="false">IF(COUNTIFS($N$2:$N$2000,N747,$D$2:$D$2000,"&lt;&gt;"&amp;D747)&gt;0,"CONFLICT","")</f>
        <v/>
      </c>
      <c r="P747" s="7"/>
    </row>
    <row r="748" customFormat="false" ht="15" hidden="false" customHeight="false" outlineLevel="0" collapsed="false">
      <c r="A748" s="7" t="s">
        <v>2266</v>
      </c>
      <c r="B748" s="7" t="s">
        <v>1879</v>
      </c>
      <c r="C748" s="7"/>
      <c r="D748" s="6" t="s">
        <v>1311</v>
      </c>
      <c r="E748" s="6" t="s">
        <v>1891</v>
      </c>
      <c r="F748" s="7" t="str">
        <f aca="false">IF($D748="","",IFERROR(IF(INDEX(Hierarchy!$B$2:$B$1295,MATCH($D748,Hierarchy!$A$2:$A$1295,0))="","",INDEX(Hierarchy!$B$2:$B$1295,MATCH($D748,Hierarchy!$A$2:$A$1295,0))),"NODE NOT FOUND"))</f>
        <v>Region</v>
      </c>
      <c r="G748" s="7" t="str">
        <f aca="false">IF($D748="","",IFERROR(IF(INDEX(Hierarchy!$D$2:$D$1295,MATCH($D748,Hierarchy!$A$2:$A$1295,0))="","",INDEX(Hierarchy!$D$2:$D$1295,MATCH($D748,Hierarchy!$A$2:$A$1295,0))),"NODE NOT FOUND"))</f>
        <v>APAC</v>
      </c>
      <c r="H748" s="7" t="str">
        <f aca="false">IF($D748="","",IFERROR(IF(INDEX(Hierarchy!$E$2:$E$1295,MATCH($D748,Hierarchy!$A$2:$A$1295,0))="","",INDEX(Hierarchy!$E$2:$E$1295,MATCH($D748,Hierarchy!$A$2:$A$1295,0))),"NODE NOT FOUND"))</f>
        <v/>
      </c>
      <c r="I748" s="7" t="str">
        <f aca="false">IF($D748="","",IFERROR(IF(INDEX(Hierarchy!$F$2:$F$1295,MATCH($D748,Hierarchy!$A$2:$A$1295,0))="","",INDEX(Hierarchy!$F$2:$F$1295,MATCH($D748,Hierarchy!$A$2:$A$1295,0))),"NODE NOT FOUND"))</f>
        <v/>
      </c>
      <c r="J748" s="7" t="str">
        <f aca="false">IF($D748="","",IFERROR(IF(INDEX(Hierarchy!$G$2:$G$1295,MATCH($D748,Hierarchy!$A$2:$A$1295,0))="","",INDEX(Hierarchy!$G$2:$G$1295,MATCH($D748,Hierarchy!$A$2:$A$1295,0))),"NODE NOT FOUND"))</f>
        <v/>
      </c>
      <c r="K748" s="7" t="str">
        <f aca="false">IF($D748="","",IFERROR(IF(INDEX(Hierarchy!$H$2:$H$1295,MATCH($D748,Hierarchy!$A$2:$A$1295,0))="","",INDEX(Hierarchy!$H$2:$H$1295,MATCH($D748,Hierarchy!$A$2:$A$1295,0))),"NODE NOT FOUND"))</f>
        <v/>
      </c>
      <c r="L748" s="7" t="str">
        <f aca="false">IF($D748="","",IFERROR(IF(INDEX(Hierarchy!$I$2:$I$1295,MATCH($D748,Hierarchy!$A$2:$A$1295,0))="","",INDEX(Hierarchy!$I$2:$I$1295,MATCH($D748,Hierarchy!$A$2:$A$1295,0))),"NODE NOT FOUND"))</f>
        <v/>
      </c>
      <c r="M748" s="17" t="str">
        <f aca="false">IF(B748="Pre-seeded","Pre-seeded",IF(B748="Review 2026-09-16","Added from review",IF(C748="","New",IF(C748=D748,"","Changed"))))</f>
        <v>Pre-seeded</v>
      </c>
      <c r="N748" s="7" t="str">
        <f aca="false">TRIM(SUBSTITUTE(SUBSTITUTE(SUBSTITUTE(" "&amp;TRIM(SUBSTITUTE(SUBSTITUTE(SUBSTITUTE(SUBSTITUTE(SUBSTITUTE(SUBSTITUTE(SUBSTITUTE(SUBSTITUTE(SUBSTITUTE(SUBSTITUTE(SUBSTITUTE(SUBSTITUTE(SUBSTITUTE(SUBSTITUTE(SUBSTITUTE(UPPER(TRIM(A748)),"[MEMBER]",""),"{MEMBER}",""),"[MEMBER}",""),"MEMBER]",""),"(A)",""),"""",""),"“",""),"”",""),".",""),":",""),",",""),"–"," "),"-"," "),"/"," "),"&amp;"," AND "))&amp;" "," THE "," ")," TOTAL "," ")," OPERATIONS "," "))</f>
        <v>INDO PACIFIC</v>
      </c>
      <c r="O748" s="17" t="str">
        <f aca="false">IF(COUNTIFS($N$2:$N$2000,N748,$D$2:$D$2000,"&lt;&gt;"&amp;D748)&gt;0,"CONFLICT","")</f>
        <v/>
      </c>
      <c r="P748" s="7"/>
    </row>
    <row r="749" customFormat="false" ht="15" hidden="false" customHeight="false" outlineLevel="0" collapsed="false">
      <c r="A749" s="7" t="s">
        <v>2267</v>
      </c>
      <c r="B749" s="7" t="s">
        <v>1879</v>
      </c>
      <c r="C749" s="7"/>
      <c r="D749" s="6" t="s">
        <v>1586</v>
      </c>
      <c r="E749" s="6" t="s">
        <v>1880</v>
      </c>
      <c r="F749" s="7" t="str">
        <f aca="false">IF($D749="","",IFERROR(IF(INDEX(Hierarchy!$B$2:$B$1295,MATCH($D749,Hierarchy!$A$2:$A$1295,0))="","",INDEX(Hierarchy!$B$2:$B$1295,MATCH($D749,Hierarchy!$A$2:$A$1295,0))),"NODE NOT FOUND"))</f>
        <v>Sub-region component</v>
      </c>
      <c r="G749" s="7" t="str">
        <f aca="false">IF($D749="","",IFERROR(IF(INDEX(Hierarchy!$D$2:$D$1295,MATCH($D749,Hierarchy!$A$2:$A$1295,0))="","",INDEX(Hierarchy!$D$2:$D$1295,MATCH($D749,Hierarchy!$A$2:$A$1295,0))),"NODE NOT FOUND"))</f>
        <v>APAC</v>
      </c>
      <c r="H749" s="7" t="str">
        <f aca="false">IF($D749="","",IFERROR(IF(INDEX(Hierarchy!$E$2:$E$1295,MATCH($D749,Hierarchy!$A$2:$A$1295,0))="","",INDEX(Hierarchy!$E$2:$E$1295,MATCH($D749,Hierarchy!$A$2:$A$1295,0))),"NODE NOT FOUND"))</f>
        <v>Southeast Asia (ASEAN)</v>
      </c>
      <c r="I749" s="7" t="str">
        <f aca="false">IF($D749="","",IFERROR(IF(INDEX(Hierarchy!$F$2:$F$1295,MATCH($D749,Hierarchy!$A$2:$A$1295,0))="","",INDEX(Hierarchy!$F$2:$F$1295,MATCH($D749,Hierarchy!$A$2:$A$1295,0))),"NODE NOT FOUND"))</f>
        <v/>
      </c>
      <c r="J749" s="7" t="str">
        <f aca="false">IF($D749="","",IFERROR(IF(INDEX(Hierarchy!$G$2:$G$1295,MATCH($D749,Hierarchy!$A$2:$A$1295,0))="","",INDEX(Hierarchy!$G$2:$G$1295,MATCH($D749,Hierarchy!$A$2:$A$1295,0))),"NODE NOT FOUND"))</f>
        <v/>
      </c>
      <c r="K749" s="7" t="str">
        <f aca="false">IF($D749="","",IFERROR(IF(INDEX(Hierarchy!$H$2:$H$1295,MATCH($D749,Hierarchy!$A$2:$A$1295,0))="","",INDEX(Hierarchy!$H$2:$H$1295,MATCH($D749,Hierarchy!$A$2:$A$1295,0))),"NODE NOT FOUND"))</f>
        <v/>
      </c>
      <c r="L749" s="7" t="str">
        <f aca="false">IF($D749="","",IFERROR(IF(INDEX(Hierarchy!$I$2:$I$1295,MATCH($D749,Hierarchy!$A$2:$A$1295,0))="","",INDEX(Hierarchy!$I$2:$I$1295,MATCH($D749,Hierarchy!$A$2:$A$1295,0))),"NODE NOT FOUND"))</f>
        <v/>
      </c>
      <c r="M749" s="17" t="str">
        <f aca="false">IF(B749="Pre-seeded","Pre-seeded",IF(B749="Review 2026-09-16","Added from review",IF(C749="","New",IF(C749=D749,"","Changed"))))</f>
        <v>Pre-seeded</v>
      </c>
      <c r="N749" s="7" t="str">
        <f aca="false">TRIM(SUBSTITUTE(SUBSTITUTE(SUBSTITUTE(" "&amp;TRIM(SUBSTITUTE(SUBSTITUTE(SUBSTITUTE(SUBSTITUTE(SUBSTITUTE(SUBSTITUTE(SUBSTITUTE(SUBSTITUTE(SUBSTITUTE(SUBSTITUTE(SUBSTITUTE(SUBSTITUTE(SUBSTITUTE(SUBSTITUTE(SUBSTITUTE(UPPER(TRIM(A749)),"[MEMBER]",""),"{MEMBER}",""),"[MEMBER}",""),"MEMBER]",""),"(A)",""),"""",""),"“",""),"”",""),".",""),":",""),",",""),"–"," "),"-"," "),"/"," "),"&amp;"," AND "))&amp;" "," THE "," ")," TOTAL "," ")," OPERATIONS "," "))</f>
        <v>INDOCHINA</v>
      </c>
      <c r="O749" s="17" t="str">
        <f aca="false">IF(COUNTIFS($N$2:$N$2000,N749,$D$2:$D$2000,"&lt;&gt;"&amp;D749)&gt;0,"CONFLICT","")</f>
        <v/>
      </c>
      <c r="P749" s="7"/>
    </row>
    <row r="750" customFormat="false" ht="15" hidden="false" customHeight="false" outlineLevel="0" collapsed="false">
      <c r="A750" s="7" t="s">
        <v>1588</v>
      </c>
      <c r="B750" s="7" t="s">
        <v>1882</v>
      </c>
      <c r="C750" s="7" t="s">
        <v>1588</v>
      </c>
      <c r="D750" s="6" t="s">
        <v>1588</v>
      </c>
      <c r="E750" s="6" t="s">
        <v>1880</v>
      </c>
      <c r="F750" s="7" t="str">
        <f aca="false">IF($D750="","",IFERROR(IF(INDEX(Hierarchy!$B$2:$B$1295,MATCH($D750,Hierarchy!$A$2:$A$1295,0))="","",INDEX(Hierarchy!$B$2:$B$1295,MATCH($D750,Hierarchy!$A$2:$A$1295,0))),"NODE NOT FOUND"))</f>
        <v>Country</v>
      </c>
      <c r="G750" s="7" t="str">
        <f aca="false">IF($D750="","",IFERROR(IF(INDEX(Hierarchy!$D$2:$D$1295,MATCH($D750,Hierarchy!$A$2:$A$1295,0))="","",INDEX(Hierarchy!$D$2:$D$1295,MATCH($D750,Hierarchy!$A$2:$A$1295,0))),"NODE NOT FOUND"))</f>
        <v>APAC</v>
      </c>
      <c r="H750" s="7" t="str">
        <f aca="false">IF($D750="","",IFERROR(IF(INDEX(Hierarchy!$E$2:$E$1295,MATCH($D750,Hierarchy!$A$2:$A$1295,0))="","",INDEX(Hierarchy!$E$2:$E$1295,MATCH($D750,Hierarchy!$A$2:$A$1295,0))),"NODE NOT FOUND"))</f>
        <v>Southeast Asia (ASEAN)</v>
      </c>
      <c r="I750" s="7" t="str">
        <f aca="false">IF($D750="","",IFERROR(IF(INDEX(Hierarchy!$F$2:$F$1295,MATCH($D750,Hierarchy!$A$2:$A$1295,0))="","",INDEX(Hierarchy!$F$2:$F$1295,MATCH($D750,Hierarchy!$A$2:$A$1295,0))),"NODE NOT FOUND"))</f>
        <v>Indonesia</v>
      </c>
      <c r="J750" s="7" t="str">
        <f aca="false">IF($D750="","",IFERROR(IF(INDEX(Hierarchy!$G$2:$G$1295,MATCH($D750,Hierarchy!$A$2:$A$1295,0))="","",INDEX(Hierarchy!$G$2:$G$1295,MATCH($D750,Hierarchy!$A$2:$A$1295,0))),"NODE NOT FOUND"))</f>
        <v>IDN</v>
      </c>
      <c r="K750" s="7" t="str">
        <f aca="false">IF($D750="","",IFERROR(IF(INDEX(Hierarchy!$H$2:$H$1295,MATCH($D750,Hierarchy!$A$2:$A$1295,0))="","",INDEX(Hierarchy!$H$2:$H$1295,MATCH($D750,Hierarchy!$A$2:$A$1295,0))),"NODE NOT FOUND"))</f>
        <v/>
      </c>
      <c r="L750" s="7" t="str">
        <f aca="false">IF($D750="","",IFERROR(IF(INDEX(Hierarchy!$I$2:$I$1295,MATCH($D750,Hierarchy!$A$2:$A$1295,0))="","",INDEX(Hierarchy!$I$2:$I$1295,MATCH($D750,Hierarchy!$A$2:$A$1295,0))),"NODE NOT FOUND"))</f>
        <v/>
      </c>
      <c r="M750" s="17" t="str">
        <f aca="false">IF(B750="Pre-seeded","Pre-seeded",IF(B750="Review 2026-09-16","Added from review",IF(C750="","New",IF(C750=D750,"","Changed"))))</f>
        <v/>
      </c>
      <c r="N750" s="7" t="str">
        <f aca="false">TRIM(SUBSTITUTE(SUBSTITUTE(SUBSTITUTE(" "&amp;TRIM(SUBSTITUTE(SUBSTITUTE(SUBSTITUTE(SUBSTITUTE(SUBSTITUTE(SUBSTITUTE(SUBSTITUTE(SUBSTITUTE(SUBSTITUTE(SUBSTITUTE(SUBSTITUTE(SUBSTITUTE(SUBSTITUTE(SUBSTITUTE(SUBSTITUTE(UPPER(TRIM(A750)),"[MEMBER]",""),"{MEMBER}",""),"[MEMBER}",""),"MEMBER]",""),"(A)",""),"""",""),"“",""),"”",""),".",""),":",""),",",""),"–"," "),"-"," "),"/"," "),"&amp;"," AND "))&amp;" "," THE "," ")," TOTAL "," ")," OPERATIONS "," "))</f>
        <v>INDONESIA</v>
      </c>
      <c r="O750" s="17" t="str">
        <f aca="false">IF(COUNTIFS($N$2:$N$2000,N750,$D$2:$D$2000,"&lt;&gt;"&amp;D750)&gt;0,"CONFLICT","")</f>
        <v/>
      </c>
      <c r="P750" s="7"/>
    </row>
    <row r="751" customFormat="false" ht="15" hidden="false" customHeight="false" outlineLevel="0" collapsed="false">
      <c r="A751" s="7" t="s">
        <v>1520</v>
      </c>
      <c r="B751" s="7" t="s">
        <v>1879</v>
      </c>
      <c r="C751" s="7"/>
      <c r="D751" s="6" t="s">
        <v>1520</v>
      </c>
      <c r="E751" s="6" t="s">
        <v>1880</v>
      </c>
      <c r="F751" s="7" t="str">
        <f aca="false">IF($D751="","",IFERROR(IF(INDEX(Hierarchy!$B$2:$B$1295,MATCH($D751,Hierarchy!$A$2:$A$1295,0))="","",INDEX(Hierarchy!$B$2:$B$1295,MATCH($D751,Hierarchy!$A$2:$A$1295,0))),"NODE NOT FOUND"))</f>
        <v>State/Province</v>
      </c>
      <c r="G751" s="7" t="str">
        <f aca="false">IF($D751="","",IFERROR(IF(INDEX(Hierarchy!$D$2:$D$1295,MATCH($D751,Hierarchy!$A$2:$A$1295,0))="","",INDEX(Hierarchy!$D$2:$D$1295,MATCH($D751,Hierarchy!$A$2:$A$1295,0))),"NODE NOT FOUND"))</f>
        <v>APAC</v>
      </c>
      <c r="H751" s="7" t="str">
        <f aca="false">IF($D751="","",IFERROR(IF(INDEX(Hierarchy!$E$2:$E$1295,MATCH($D751,Hierarchy!$A$2:$A$1295,0))="","",INDEX(Hierarchy!$E$2:$E$1295,MATCH($D751,Hierarchy!$A$2:$A$1295,0))),"NODE NOT FOUND"))</f>
        <v>East Asia</v>
      </c>
      <c r="I751" s="7" t="str">
        <f aca="false">IF($D751="","",IFERROR(IF(INDEX(Hierarchy!$F$2:$F$1295,MATCH($D751,Hierarchy!$A$2:$A$1295,0))="","",INDEX(Hierarchy!$F$2:$F$1295,MATCH($D751,Hierarchy!$A$2:$A$1295,0))),"NODE NOT FOUND"))</f>
        <v>China</v>
      </c>
      <c r="J751" s="7" t="str">
        <f aca="false">IF($D751="","",IFERROR(IF(INDEX(Hierarchy!$G$2:$G$1295,MATCH($D751,Hierarchy!$A$2:$A$1295,0))="","",INDEX(Hierarchy!$G$2:$G$1295,MATCH($D751,Hierarchy!$A$2:$A$1295,0))),"NODE NOT FOUND"))</f>
        <v>CHN</v>
      </c>
      <c r="K751" s="7" t="str">
        <f aca="false">IF($D751="","",IFERROR(IF(INDEX(Hierarchy!$H$2:$H$1295,MATCH($D751,Hierarchy!$A$2:$A$1295,0))="","",INDEX(Hierarchy!$H$2:$H$1295,MATCH($D751,Hierarchy!$A$2:$A$1295,0))),"NODE NOT FOUND"))</f>
        <v>Inner Mongolia</v>
      </c>
      <c r="L751" s="7" t="str">
        <f aca="false">IF($D751="","",IFERROR(IF(INDEX(Hierarchy!$I$2:$I$1295,MATCH($D751,Hierarchy!$A$2:$A$1295,0))="","",INDEX(Hierarchy!$I$2:$I$1295,MATCH($D751,Hierarchy!$A$2:$A$1295,0))),"NODE NOT FOUND"))</f>
        <v/>
      </c>
      <c r="M751" s="17" t="str">
        <f aca="false">IF(B751="Pre-seeded","Pre-seeded",IF(B751="Review 2026-09-16","Added from review",IF(C751="","New",IF(C751=D751,"","Changed"))))</f>
        <v>Pre-seeded</v>
      </c>
      <c r="N751" s="7" t="str">
        <f aca="false">TRIM(SUBSTITUTE(SUBSTITUTE(SUBSTITUTE(" "&amp;TRIM(SUBSTITUTE(SUBSTITUTE(SUBSTITUTE(SUBSTITUTE(SUBSTITUTE(SUBSTITUTE(SUBSTITUTE(SUBSTITUTE(SUBSTITUTE(SUBSTITUTE(SUBSTITUTE(SUBSTITUTE(SUBSTITUTE(SUBSTITUTE(SUBSTITUTE(UPPER(TRIM(A751)),"[MEMBER]",""),"{MEMBER}",""),"[MEMBER}",""),"MEMBER]",""),"(A)",""),"""",""),"“",""),"”",""),".",""),":",""),",",""),"–"," "),"-"," "),"/"," "),"&amp;"," AND "))&amp;" "," THE "," ")," TOTAL "," ")," OPERATIONS "," "))</f>
        <v>INNER MONGOLIA</v>
      </c>
      <c r="O751" s="17" t="str">
        <f aca="false">IF(COUNTIFS($N$2:$N$2000,N751,$D$2:$D$2000,"&lt;&gt;"&amp;D751)&gt;0,"CONFLICT","")</f>
        <v/>
      </c>
      <c r="P751" s="7"/>
    </row>
    <row r="752" customFormat="false" ht="15" hidden="false" customHeight="false" outlineLevel="0" collapsed="false">
      <c r="A752" s="7" t="s">
        <v>2268</v>
      </c>
      <c r="B752" s="7" t="s">
        <v>1885</v>
      </c>
      <c r="C752" s="7" t="s">
        <v>2032</v>
      </c>
      <c r="D752" s="6" t="s">
        <v>81</v>
      </c>
      <c r="E752" s="6" t="s">
        <v>1880</v>
      </c>
      <c r="F752" s="7" t="str">
        <f aca="false">IF($D752="","",IFERROR(IF(INDEX(Hierarchy!$B$2:$B$1295,MATCH($D752,Hierarchy!$A$2:$A$1295,0))="","",INDEX(Hierarchy!$B$2:$B$1295,MATCH($D752,Hierarchy!$A$2:$A$1295,0))),"NODE NOT FOUND"))</f>
        <v>Country</v>
      </c>
      <c r="G752" s="7" t="str">
        <f aca="false">IF($D752="","",IFERROR(IF(INDEX(Hierarchy!$D$2:$D$1295,MATCH($D752,Hierarchy!$A$2:$A$1295,0))="","",INDEX(Hierarchy!$D$2:$D$1295,MATCH($D752,Hierarchy!$A$2:$A$1295,0))),"NODE NOT FOUND"))</f>
        <v>AMER</v>
      </c>
      <c r="H752" s="7" t="str">
        <f aca="false">IF($D752="","",IFERROR(IF(INDEX(Hierarchy!$E$2:$E$1295,MATCH($D752,Hierarchy!$A$2:$A$1295,0))="","",INDEX(Hierarchy!$E$2:$E$1295,MATCH($D752,Hierarchy!$A$2:$A$1295,0))),"NODE NOT FOUND"))</f>
        <v>North America (NORAM)</v>
      </c>
      <c r="I752" s="7" t="str">
        <f aca="false">IF($D752="","",IFERROR(IF(INDEX(Hierarchy!$F$2:$F$1295,MATCH($D752,Hierarchy!$A$2:$A$1295,0))="","",INDEX(Hierarchy!$F$2:$F$1295,MATCH($D752,Hierarchy!$A$2:$A$1295,0))),"NODE NOT FOUND"))</f>
        <v>United States</v>
      </c>
      <c r="J752" s="7" t="str">
        <f aca="false">IF($D752="","",IFERROR(IF(INDEX(Hierarchy!$G$2:$G$1295,MATCH($D752,Hierarchy!$A$2:$A$1295,0))="","",INDEX(Hierarchy!$G$2:$G$1295,MATCH($D752,Hierarchy!$A$2:$A$1295,0))),"NODE NOT FOUND"))</f>
        <v>USA</v>
      </c>
      <c r="K752" s="7" t="str">
        <f aca="false">IF($D752="","",IFERROR(IF(INDEX(Hierarchy!$H$2:$H$1295,MATCH($D752,Hierarchy!$A$2:$A$1295,0))="","",INDEX(Hierarchy!$H$2:$H$1295,MATCH($D752,Hierarchy!$A$2:$A$1295,0))),"NODE NOT FOUND"))</f>
        <v/>
      </c>
      <c r="L752" s="7" t="str">
        <f aca="false">IF($D752="","",IFERROR(IF(INDEX(Hierarchy!$I$2:$I$1295,MATCH($D752,Hierarchy!$A$2:$A$1295,0))="","",INDEX(Hierarchy!$I$2:$I$1295,MATCH($D752,Hierarchy!$A$2:$A$1295,0))),"NODE NOT FOUND"))</f>
        <v/>
      </c>
      <c r="M752" s="17" t="str">
        <f aca="false">IF(B752="Pre-seeded","Pre-seeded",IF(B752="Review 2026-09-16","Added from review",IF(C752="","New",IF(C752=D752,"","Changed"))))</f>
        <v>Changed</v>
      </c>
      <c r="N752" s="7" t="str">
        <f aca="false">TRIM(SUBSTITUTE(SUBSTITUTE(SUBSTITUTE(" "&amp;TRIM(SUBSTITUTE(SUBSTITUTE(SUBSTITUTE(SUBSTITUTE(SUBSTITUTE(SUBSTITUTE(SUBSTITUTE(SUBSTITUTE(SUBSTITUTE(SUBSTITUTE(SUBSTITUTE(SUBSTITUTE(SUBSTITUTE(SUBSTITUTE(SUBSTITUTE(UPPER(TRIM(A752)),"[MEMBER]",""),"{MEMBER}",""),"[MEMBER}",""),"MEMBER]",""),"(A)",""),"""",""),"“",""),"”",""),".",""),":",""),",",""),"–"," "),"-"," "),"/"," "),"&amp;"," AND "))&amp;" "," THE "," ")," TOTAL "," ")," OPERATIONS "," "))</f>
        <v>INSIDE US</v>
      </c>
      <c r="O752" s="17" t="str">
        <f aca="false">IF(COUNTIFS($N$2:$N$2000,N752,$D$2:$D$2000,"&lt;&gt;"&amp;D752)&gt;0,"CONFLICT","")</f>
        <v/>
      </c>
      <c r="P752" s="7"/>
    </row>
    <row r="753" customFormat="false" ht="15" hidden="false" customHeight="false" outlineLevel="0" collapsed="false">
      <c r="A753" s="7" t="s">
        <v>2269</v>
      </c>
      <c r="B753" s="7" t="s">
        <v>1885</v>
      </c>
      <c r="C753" s="7" t="s">
        <v>81</v>
      </c>
      <c r="D753" s="6" t="s">
        <v>81</v>
      </c>
      <c r="E753" s="6" t="s">
        <v>1880</v>
      </c>
      <c r="F753" s="7" t="str">
        <f aca="false">IF($D753="","",IFERROR(IF(INDEX(Hierarchy!$B$2:$B$1295,MATCH($D753,Hierarchy!$A$2:$A$1295,0))="","",INDEX(Hierarchy!$B$2:$B$1295,MATCH($D753,Hierarchy!$A$2:$A$1295,0))),"NODE NOT FOUND"))</f>
        <v>Country</v>
      </c>
      <c r="G753" s="7" t="str">
        <f aca="false">IF($D753="","",IFERROR(IF(INDEX(Hierarchy!$D$2:$D$1295,MATCH($D753,Hierarchy!$A$2:$A$1295,0))="","",INDEX(Hierarchy!$D$2:$D$1295,MATCH($D753,Hierarchy!$A$2:$A$1295,0))),"NODE NOT FOUND"))</f>
        <v>AMER</v>
      </c>
      <c r="H753" s="7" t="str">
        <f aca="false">IF($D753="","",IFERROR(IF(INDEX(Hierarchy!$E$2:$E$1295,MATCH($D753,Hierarchy!$A$2:$A$1295,0))="","",INDEX(Hierarchy!$E$2:$E$1295,MATCH($D753,Hierarchy!$A$2:$A$1295,0))),"NODE NOT FOUND"))</f>
        <v>North America (NORAM)</v>
      </c>
      <c r="I753" s="7" t="str">
        <f aca="false">IF($D753="","",IFERROR(IF(INDEX(Hierarchy!$F$2:$F$1295,MATCH($D753,Hierarchy!$A$2:$A$1295,0))="","",INDEX(Hierarchy!$F$2:$F$1295,MATCH($D753,Hierarchy!$A$2:$A$1295,0))),"NODE NOT FOUND"))</f>
        <v>United States</v>
      </c>
      <c r="J753" s="7" t="str">
        <f aca="false">IF($D753="","",IFERROR(IF(INDEX(Hierarchy!$G$2:$G$1295,MATCH($D753,Hierarchy!$A$2:$A$1295,0))="","",INDEX(Hierarchy!$G$2:$G$1295,MATCH($D753,Hierarchy!$A$2:$A$1295,0))),"NODE NOT FOUND"))</f>
        <v>USA</v>
      </c>
      <c r="K753" s="7" t="str">
        <f aca="false">IF($D753="","",IFERROR(IF(INDEX(Hierarchy!$H$2:$H$1295,MATCH($D753,Hierarchy!$A$2:$A$1295,0))="","",INDEX(Hierarchy!$H$2:$H$1295,MATCH($D753,Hierarchy!$A$2:$A$1295,0))),"NODE NOT FOUND"))</f>
        <v/>
      </c>
      <c r="L753" s="7" t="str">
        <f aca="false">IF($D753="","",IFERROR(IF(INDEX(Hierarchy!$I$2:$I$1295,MATCH($D753,Hierarchy!$A$2:$A$1295,0))="","",INDEX(Hierarchy!$I$2:$I$1295,MATCH($D753,Hierarchy!$A$2:$A$1295,0))),"NODE NOT FOUND"))</f>
        <v/>
      </c>
      <c r="M753" s="17" t="str">
        <f aca="false">IF(B753="Pre-seeded","Pre-seeded",IF(B753="Review 2026-09-16","Added from review",IF(C753="","New",IF(C753=D753,"","Changed"))))</f>
        <v/>
      </c>
      <c r="N753" s="7" t="str">
        <f aca="false">TRIM(SUBSTITUTE(SUBSTITUTE(SUBSTITUTE(" "&amp;TRIM(SUBSTITUTE(SUBSTITUTE(SUBSTITUTE(SUBSTITUTE(SUBSTITUTE(SUBSTITUTE(SUBSTITUTE(SUBSTITUTE(SUBSTITUTE(SUBSTITUTE(SUBSTITUTE(SUBSTITUTE(SUBSTITUTE(SUBSTITUTE(SUBSTITUTE(UPPER(TRIM(A753)),"[MEMBER]",""),"{MEMBER}",""),"[MEMBER}",""),"MEMBER]",""),"(A)",""),"""",""),"“",""),"”",""),".",""),":",""),",",""),"–"," "),"-"," "),"/"," "),"&amp;"," AND "))&amp;" "," THE "," ")," TOTAL "," ")," OPERATIONS "," "))</f>
        <v>INSIDE UNITED STATES</v>
      </c>
      <c r="O753" s="17" t="str">
        <f aca="false">IF(COUNTIFS($N$2:$N$2000,N753,$D$2:$D$2000,"&lt;&gt;"&amp;D753)&gt;0,"CONFLICT","")</f>
        <v/>
      </c>
      <c r="P753" s="7"/>
    </row>
    <row r="754" customFormat="false" ht="15" hidden="false" customHeight="false" outlineLevel="0" collapsed="false">
      <c r="A754" s="7" t="s">
        <v>2270</v>
      </c>
      <c r="B754" s="7" t="s">
        <v>1885</v>
      </c>
      <c r="C754" s="7" t="s">
        <v>2032</v>
      </c>
      <c r="D754" s="6" t="s">
        <v>1784</v>
      </c>
      <c r="E754" s="6" t="s">
        <v>1880</v>
      </c>
      <c r="F754" s="7" t="str">
        <f aca="false">IF($D754="","",IFERROR(IF(INDEX(Hierarchy!$B$2:$B$1295,MATCH($D754,Hierarchy!$A$2:$A$1295,0))="","",INDEX(Hierarchy!$B$2:$B$1295,MATCH($D754,Hierarchy!$A$2:$A$1295,0))),"NODE NOT FOUND"))</f>
        <v>Bucket</v>
      </c>
      <c r="G754" s="7" t="str">
        <f aca="false">IF($D754="","",IFERROR(IF(INDEX(Hierarchy!$D$2:$D$1295,MATCH($D754,Hierarchy!$A$2:$A$1295,0))="","",INDEX(Hierarchy!$D$2:$D$1295,MATCH($D754,Hierarchy!$A$2:$A$1295,0))),"NODE NOT FOUND"))</f>
        <v>Non-regional</v>
      </c>
      <c r="H754" s="7" t="str">
        <f aca="false">IF($D754="","",IFERROR(IF(INDEX(Hierarchy!$E$2:$E$1295,MATCH($D754,Hierarchy!$A$2:$A$1295,0))="","",INDEX(Hierarchy!$E$2:$E$1295,MATCH($D754,Hierarchy!$A$2:$A$1295,0))),"NODE NOT FOUND"))</f>
        <v/>
      </c>
      <c r="I754" s="7" t="str">
        <f aca="false">IF($D754="","",IFERROR(IF(INDEX(Hierarchy!$F$2:$F$1295,MATCH($D754,Hierarchy!$A$2:$A$1295,0))="","",INDEX(Hierarchy!$F$2:$F$1295,MATCH($D754,Hierarchy!$A$2:$A$1295,0))),"NODE NOT FOUND"))</f>
        <v/>
      </c>
      <c r="J754" s="7" t="str">
        <f aca="false">IF($D754="","",IFERROR(IF(INDEX(Hierarchy!$G$2:$G$1295,MATCH($D754,Hierarchy!$A$2:$A$1295,0))="","",INDEX(Hierarchy!$G$2:$G$1295,MATCH($D754,Hierarchy!$A$2:$A$1295,0))),"NODE NOT FOUND"))</f>
        <v/>
      </c>
      <c r="K754" s="7" t="str">
        <f aca="false">IF($D754="","",IFERROR(IF(INDEX(Hierarchy!$H$2:$H$1295,MATCH($D754,Hierarchy!$A$2:$A$1295,0))="","",INDEX(Hierarchy!$H$2:$H$1295,MATCH($D754,Hierarchy!$A$2:$A$1295,0))),"NODE NOT FOUND"))</f>
        <v/>
      </c>
      <c r="L754" s="7" t="str">
        <f aca="false">IF($D754="","",IFERROR(IF(INDEX(Hierarchy!$I$2:$I$1295,MATCH($D754,Hierarchy!$A$2:$A$1295,0))="","",INDEX(Hierarchy!$I$2:$I$1295,MATCH($D754,Hierarchy!$A$2:$A$1295,0))),"NODE NOT FOUND"))</f>
        <v/>
      </c>
      <c r="M754" s="17" t="str">
        <f aca="false">IF(B754="Pre-seeded","Pre-seeded",IF(B754="Review 2026-09-16","Added from review",IF(C754="","New",IF(C754=D754,"","Changed"))))</f>
        <v>Changed</v>
      </c>
      <c r="N754" s="7" t="str">
        <f aca="false">TRIM(SUBSTITUTE(SUBSTITUTE(SUBSTITUTE(" "&amp;TRIM(SUBSTITUTE(SUBSTITUTE(SUBSTITUTE(SUBSTITUTE(SUBSTITUTE(SUBSTITUTE(SUBSTITUTE(SUBSTITUTE(SUBSTITUTE(SUBSTITUTE(SUBSTITUTE(SUBSTITUTE(SUBSTITUTE(SUBSTITUTE(SUBSTITUTE(UPPER(TRIM(A754)),"[MEMBER]",""),"{MEMBER}",""),"[MEMBER}",""),"MEMBER]",""),"(A)",""),"""",""),"“",""),"”",""),".",""),":",""),",",""),"–"," "),"-"," "),"/"," "),"&amp;"," AND "))&amp;" "," THE "," ")," TOTAL "," ")," OPERATIONS "," "))</f>
        <v>INT'L</v>
      </c>
      <c r="O754" s="17" t="str">
        <f aca="false">IF(COUNTIFS($N$2:$N$2000,N754,$D$2:$D$2000,"&lt;&gt;"&amp;D754)&gt;0,"CONFLICT","")</f>
        <v/>
      </c>
      <c r="P754" s="7"/>
    </row>
    <row r="755" customFormat="false" ht="15" hidden="false" customHeight="false" outlineLevel="0" collapsed="false">
      <c r="A755" s="7" t="s">
        <v>2271</v>
      </c>
      <c r="B755" s="7" t="s">
        <v>1954</v>
      </c>
      <c r="C755" s="7"/>
      <c r="D755" s="6" t="s">
        <v>1784</v>
      </c>
      <c r="E755" s="6" t="s">
        <v>1880</v>
      </c>
      <c r="F755" s="7" t="str">
        <f aca="false">IF($D755="","",IFERROR(IF(INDEX(Hierarchy!$B$2:$B$1295,MATCH($D755,Hierarchy!$A$2:$A$1295,0))="","",INDEX(Hierarchy!$B$2:$B$1295,MATCH($D755,Hierarchy!$A$2:$A$1295,0))),"NODE NOT FOUND"))</f>
        <v>Bucket</v>
      </c>
      <c r="G755" s="7" t="str">
        <f aca="false">IF($D755="","",IFERROR(IF(INDEX(Hierarchy!$D$2:$D$1295,MATCH($D755,Hierarchy!$A$2:$A$1295,0))="","",INDEX(Hierarchy!$D$2:$D$1295,MATCH($D755,Hierarchy!$A$2:$A$1295,0))),"NODE NOT FOUND"))</f>
        <v>Non-regional</v>
      </c>
      <c r="H755" s="7" t="str">
        <f aca="false">IF($D755="","",IFERROR(IF(INDEX(Hierarchy!$E$2:$E$1295,MATCH($D755,Hierarchy!$A$2:$A$1295,0))="","",INDEX(Hierarchy!$E$2:$E$1295,MATCH($D755,Hierarchy!$A$2:$A$1295,0))),"NODE NOT FOUND"))</f>
        <v/>
      </c>
      <c r="I755" s="7" t="str">
        <f aca="false">IF($D755="","",IFERROR(IF(INDEX(Hierarchy!$F$2:$F$1295,MATCH($D755,Hierarchy!$A$2:$A$1295,0))="","",INDEX(Hierarchy!$F$2:$F$1295,MATCH($D755,Hierarchy!$A$2:$A$1295,0))),"NODE NOT FOUND"))</f>
        <v/>
      </c>
      <c r="J755" s="7" t="str">
        <f aca="false">IF($D755="","",IFERROR(IF(INDEX(Hierarchy!$G$2:$G$1295,MATCH($D755,Hierarchy!$A$2:$A$1295,0))="","",INDEX(Hierarchy!$G$2:$G$1295,MATCH($D755,Hierarchy!$A$2:$A$1295,0))),"NODE NOT FOUND"))</f>
        <v/>
      </c>
      <c r="K755" s="7" t="str">
        <f aca="false">IF($D755="","",IFERROR(IF(INDEX(Hierarchy!$H$2:$H$1295,MATCH($D755,Hierarchy!$A$2:$A$1295,0))="","",INDEX(Hierarchy!$H$2:$H$1295,MATCH($D755,Hierarchy!$A$2:$A$1295,0))),"NODE NOT FOUND"))</f>
        <v/>
      </c>
      <c r="L755" s="7" t="str">
        <f aca="false">IF($D755="","",IFERROR(IF(INDEX(Hierarchy!$I$2:$I$1295,MATCH($D755,Hierarchy!$A$2:$A$1295,0))="","",INDEX(Hierarchy!$I$2:$I$1295,MATCH($D755,Hierarchy!$A$2:$A$1295,0))),"NODE NOT FOUND"))</f>
        <v/>
      </c>
      <c r="M755" s="17" t="str">
        <f aca="false">IF(B755="Pre-seeded","Pre-seeded",IF(B755="Review 2026-09-16","Added from review",IF(C755="","New",IF(C755=D755,"","Changed"))))</f>
        <v>Added from review</v>
      </c>
      <c r="N755" s="7" t="str">
        <f aca="false">TRIM(SUBSTITUTE(SUBSTITUTE(SUBSTITUTE(" "&amp;TRIM(SUBSTITUTE(SUBSTITUTE(SUBSTITUTE(SUBSTITUTE(SUBSTITUTE(SUBSTITUTE(SUBSTITUTE(SUBSTITUTE(SUBSTITUTE(SUBSTITUTE(SUBSTITUTE(SUBSTITUTE(SUBSTITUTE(SUBSTITUTE(SUBSTITUTE(UPPER(TRIM(A755)),"[MEMBER]",""),"{MEMBER}",""),"[MEMBER}",""),"MEMBER]",""),"(A)",""),"""",""),"“",""),"”",""),".",""),":",""),",",""),"–"," "),"-"," "),"/"," "),"&amp;"," AND "))&amp;" "," THE "," ")," TOTAL "," ")," OPERATIONS "," "))</f>
        <v>INT'L</v>
      </c>
      <c r="O755" s="17" t="str">
        <f aca="false">IF(COUNTIFS($N$2:$N$2000,N755,$D$2:$D$2000,"&lt;&gt;"&amp;D755)&gt;0,"CONFLICT","")</f>
        <v/>
      </c>
      <c r="P755" s="7" t="s">
        <v>1955</v>
      </c>
    </row>
    <row r="756" customFormat="false" ht="15" hidden="false" customHeight="false" outlineLevel="0" collapsed="false">
      <c r="A756" s="7" t="s">
        <v>1784</v>
      </c>
      <c r="B756" s="7" t="s">
        <v>1882</v>
      </c>
      <c r="C756" s="7" t="s">
        <v>1784</v>
      </c>
      <c r="D756" s="6" t="s">
        <v>1784</v>
      </c>
      <c r="E756" s="6" t="s">
        <v>1880</v>
      </c>
      <c r="F756" s="7" t="str">
        <f aca="false">IF($D756="","",IFERROR(IF(INDEX(Hierarchy!$B$2:$B$1295,MATCH($D756,Hierarchy!$A$2:$A$1295,0))="","",INDEX(Hierarchy!$B$2:$B$1295,MATCH($D756,Hierarchy!$A$2:$A$1295,0))),"NODE NOT FOUND"))</f>
        <v>Bucket</v>
      </c>
      <c r="G756" s="7" t="str">
        <f aca="false">IF($D756="","",IFERROR(IF(INDEX(Hierarchy!$D$2:$D$1295,MATCH($D756,Hierarchy!$A$2:$A$1295,0))="","",INDEX(Hierarchy!$D$2:$D$1295,MATCH($D756,Hierarchy!$A$2:$A$1295,0))),"NODE NOT FOUND"))</f>
        <v>Non-regional</v>
      </c>
      <c r="H756" s="7" t="str">
        <f aca="false">IF($D756="","",IFERROR(IF(INDEX(Hierarchy!$E$2:$E$1295,MATCH($D756,Hierarchy!$A$2:$A$1295,0))="","",INDEX(Hierarchy!$E$2:$E$1295,MATCH($D756,Hierarchy!$A$2:$A$1295,0))),"NODE NOT FOUND"))</f>
        <v/>
      </c>
      <c r="I756" s="7" t="str">
        <f aca="false">IF($D756="","",IFERROR(IF(INDEX(Hierarchy!$F$2:$F$1295,MATCH($D756,Hierarchy!$A$2:$A$1295,0))="","",INDEX(Hierarchy!$F$2:$F$1295,MATCH($D756,Hierarchy!$A$2:$A$1295,0))),"NODE NOT FOUND"))</f>
        <v/>
      </c>
      <c r="J756" s="7" t="str">
        <f aca="false">IF($D756="","",IFERROR(IF(INDEX(Hierarchy!$G$2:$G$1295,MATCH($D756,Hierarchy!$A$2:$A$1295,0))="","",INDEX(Hierarchy!$G$2:$G$1295,MATCH($D756,Hierarchy!$A$2:$A$1295,0))),"NODE NOT FOUND"))</f>
        <v/>
      </c>
      <c r="K756" s="7" t="str">
        <f aca="false">IF($D756="","",IFERROR(IF(INDEX(Hierarchy!$H$2:$H$1295,MATCH($D756,Hierarchy!$A$2:$A$1295,0))="","",INDEX(Hierarchy!$H$2:$H$1295,MATCH($D756,Hierarchy!$A$2:$A$1295,0))),"NODE NOT FOUND"))</f>
        <v/>
      </c>
      <c r="L756" s="7" t="str">
        <f aca="false">IF($D756="","",IFERROR(IF(INDEX(Hierarchy!$I$2:$I$1295,MATCH($D756,Hierarchy!$A$2:$A$1295,0))="","",INDEX(Hierarchy!$I$2:$I$1295,MATCH($D756,Hierarchy!$A$2:$A$1295,0))),"NODE NOT FOUND"))</f>
        <v/>
      </c>
      <c r="M756" s="17" t="str">
        <f aca="false">IF(B756="Pre-seeded","Pre-seeded",IF(B756="Review 2026-09-16","Added from review",IF(C756="","New",IF(C756=D756,"","Changed"))))</f>
        <v/>
      </c>
      <c r="N756" s="7" t="str">
        <f aca="false">TRIM(SUBSTITUTE(SUBSTITUTE(SUBSTITUTE(" "&amp;TRIM(SUBSTITUTE(SUBSTITUTE(SUBSTITUTE(SUBSTITUTE(SUBSTITUTE(SUBSTITUTE(SUBSTITUTE(SUBSTITUTE(SUBSTITUTE(SUBSTITUTE(SUBSTITUTE(SUBSTITUTE(SUBSTITUTE(SUBSTITUTE(SUBSTITUTE(UPPER(TRIM(A756)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756" s="17" t="str">
        <f aca="false">IF(COUNTIFS($N$2:$N$2000,N756,$D$2:$D$2000,"&lt;&gt;"&amp;D756)&gt;0,"CONFLICT","")</f>
        <v/>
      </c>
      <c r="P756" s="7"/>
    </row>
    <row r="757" customFormat="false" ht="15" hidden="false" customHeight="false" outlineLevel="0" collapsed="false">
      <c r="A757" s="7" t="s">
        <v>2272</v>
      </c>
      <c r="B757" s="7" t="s">
        <v>1879</v>
      </c>
      <c r="C757" s="7"/>
      <c r="D757" s="6" t="s">
        <v>1784</v>
      </c>
      <c r="E757" s="6" t="s">
        <v>1880</v>
      </c>
      <c r="F757" s="7" t="str">
        <f aca="false">IF($D757="","",IFERROR(IF(INDEX(Hierarchy!$B$2:$B$1295,MATCH($D757,Hierarchy!$A$2:$A$1295,0))="","",INDEX(Hierarchy!$B$2:$B$1295,MATCH($D757,Hierarchy!$A$2:$A$1295,0))),"NODE NOT FOUND"))</f>
        <v>Bucket</v>
      </c>
      <c r="G757" s="7" t="str">
        <f aca="false">IF($D757="","",IFERROR(IF(INDEX(Hierarchy!$D$2:$D$1295,MATCH($D757,Hierarchy!$A$2:$A$1295,0))="","",INDEX(Hierarchy!$D$2:$D$1295,MATCH($D757,Hierarchy!$A$2:$A$1295,0))),"NODE NOT FOUND"))</f>
        <v>Non-regional</v>
      </c>
      <c r="H757" s="7" t="str">
        <f aca="false">IF($D757="","",IFERROR(IF(INDEX(Hierarchy!$E$2:$E$1295,MATCH($D757,Hierarchy!$A$2:$A$1295,0))="","",INDEX(Hierarchy!$E$2:$E$1295,MATCH($D757,Hierarchy!$A$2:$A$1295,0))),"NODE NOT FOUND"))</f>
        <v/>
      </c>
      <c r="I757" s="7" t="str">
        <f aca="false">IF($D757="","",IFERROR(IF(INDEX(Hierarchy!$F$2:$F$1295,MATCH($D757,Hierarchy!$A$2:$A$1295,0))="","",INDEX(Hierarchy!$F$2:$F$1295,MATCH($D757,Hierarchy!$A$2:$A$1295,0))),"NODE NOT FOUND"))</f>
        <v/>
      </c>
      <c r="J757" s="7" t="str">
        <f aca="false">IF($D757="","",IFERROR(IF(INDEX(Hierarchy!$G$2:$G$1295,MATCH($D757,Hierarchy!$A$2:$A$1295,0))="","",INDEX(Hierarchy!$G$2:$G$1295,MATCH($D757,Hierarchy!$A$2:$A$1295,0))),"NODE NOT FOUND"))</f>
        <v/>
      </c>
      <c r="K757" s="7" t="str">
        <f aca="false">IF($D757="","",IFERROR(IF(INDEX(Hierarchy!$H$2:$H$1295,MATCH($D757,Hierarchy!$A$2:$A$1295,0))="","",INDEX(Hierarchy!$H$2:$H$1295,MATCH($D757,Hierarchy!$A$2:$A$1295,0))),"NODE NOT FOUND"))</f>
        <v/>
      </c>
      <c r="L757" s="7" t="str">
        <f aca="false">IF($D757="","",IFERROR(IF(INDEX(Hierarchy!$I$2:$I$1295,MATCH($D757,Hierarchy!$A$2:$A$1295,0))="","",INDEX(Hierarchy!$I$2:$I$1295,MATCH($D757,Hierarchy!$A$2:$A$1295,0))),"NODE NOT FOUND"))</f>
        <v/>
      </c>
      <c r="M757" s="17" t="str">
        <f aca="false">IF(B757="Pre-seeded","Pre-seeded",IF(B757="Review 2026-09-16","Added from review",IF(C757="","New",IF(C757=D757,"","Changed"))))</f>
        <v>Pre-seeded</v>
      </c>
      <c r="N757" s="7" t="str">
        <f aca="false">TRIM(SUBSTITUTE(SUBSTITUTE(SUBSTITUTE(" "&amp;TRIM(SUBSTITUTE(SUBSTITUTE(SUBSTITUTE(SUBSTITUTE(SUBSTITUTE(SUBSTITUTE(SUBSTITUTE(SUBSTITUTE(SUBSTITUTE(SUBSTITUTE(SUBSTITUTE(SUBSTITUTE(SUBSTITUTE(SUBSTITUTE(SUBSTITUTE(UPPER(TRIM(A757)),"[MEMBER]",""),"{MEMBER}",""),"[MEMBER}",""),"MEMBER]",""),"(A)",""),"""",""),"“",""),"”",""),".",""),":",""),",",""),"–"," "),"-"," "),"/"," "),"&amp;"," AND "))&amp;" "," THE "," ")," TOTAL "," ")," OPERATIONS "," "))</f>
        <v>INTERNATIONAL (EXCLUDING US)</v>
      </c>
      <c r="O757" s="17" t="str">
        <f aca="false">IF(COUNTIFS($N$2:$N$2000,N757,$D$2:$D$2000,"&lt;&gt;"&amp;D757)&gt;0,"CONFLICT","")</f>
        <v/>
      </c>
      <c r="P757" s="7"/>
    </row>
    <row r="758" customFormat="false" ht="15" hidden="false" customHeight="false" outlineLevel="0" collapsed="false">
      <c r="A758" s="7" t="s">
        <v>2273</v>
      </c>
      <c r="B758" s="7" t="s">
        <v>1885</v>
      </c>
      <c r="C758" s="7" t="s">
        <v>1784</v>
      </c>
      <c r="D758" s="6" t="s">
        <v>1784</v>
      </c>
      <c r="E758" s="6" t="s">
        <v>1898</v>
      </c>
      <c r="F758" s="7" t="str">
        <f aca="false">IF($D758="","",IFERROR(IF(INDEX(Hierarchy!$B$2:$B$1295,MATCH($D758,Hierarchy!$A$2:$A$1295,0))="","",INDEX(Hierarchy!$B$2:$B$1295,MATCH($D758,Hierarchy!$A$2:$A$1295,0))),"NODE NOT FOUND"))</f>
        <v>Bucket</v>
      </c>
      <c r="G758" s="7" t="str">
        <f aca="false">IF($D758="","",IFERROR(IF(INDEX(Hierarchy!$D$2:$D$1295,MATCH($D758,Hierarchy!$A$2:$A$1295,0))="","",INDEX(Hierarchy!$D$2:$D$1295,MATCH($D758,Hierarchy!$A$2:$A$1295,0))),"NODE NOT FOUND"))</f>
        <v>Non-regional</v>
      </c>
      <c r="H758" s="7" t="str">
        <f aca="false">IF($D758="","",IFERROR(IF(INDEX(Hierarchy!$E$2:$E$1295,MATCH($D758,Hierarchy!$A$2:$A$1295,0))="","",INDEX(Hierarchy!$E$2:$E$1295,MATCH($D758,Hierarchy!$A$2:$A$1295,0))),"NODE NOT FOUND"))</f>
        <v/>
      </c>
      <c r="I758" s="7" t="str">
        <f aca="false">IF($D758="","",IFERROR(IF(INDEX(Hierarchy!$F$2:$F$1295,MATCH($D758,Hierarchy!$A$2:$A$1295,0))="","",INDEX(Hierarchy!$F$2:$F$1295,MATCH($D758,Hierarchy!$A$2:$A$1295,0))),"NODE NOT FOUND"))</f>
        <v/>
      </c>
      <c r="J758" s="7" t="str">
        <f aca="false">IF($D758="","",IFERROR(IF(INDEX(Hierarchy!$G$2:$G$1295,MATCH($D758,Hierarchy!$A$2:$A$1295,0))="","",INDEX(Hierarchy!$G$2:$G$1295,MATCH($D758,Hierarchy!$A$2:$A$1295,0))),"NODE NOT FOUND"))</f>
        <v/>
      </c>
      <c r="K758" s="7" t="str">
        <f aca="false">IF($D758="","",IFERROR(IF(INDEX(Hierarchy!$H$2:$H$1295,MATCH($D758,Hierarchy!$A$2:$A$1295,0))="","",INDEX(Hierarchy!$H$2:$H$1295,MATCH($D758,Hierarchy!$A$2:$A$1295,0))),"NODE NOT FOUND"))</f>
        <v/>
      </c>
      <c r="L758" s="7" t="str">
        <f aca="false">IF($D758="","",IFERROR(IF(INDEX(Hierarchy!$I$2:$I$1295,MATCH($D758,Hierarchy!$A$2:$A$1295,0))="","",INDEX(Hierarchy!$I$2:$I$1295,MATCH($D758,Hierarchy!$A$2:$A$1295,0))),"NODE NOT FOUND"))</f>
        <v/>
      </c>
      <c r="M758" s="17" t="str">
        <f aca="false">IF(B758="Pre-seeded","Pre-seeded",IF(B758="Review 2026-09-16","Added from review",IF(C758="","New",IF(C758=D758,"","Changed"))))</f>
        <v/>
      </c>
      <c r="N758" s="7" t="str">
        <f aca="false">TRIM(SUBSTITUTE(SUBSTITUTE(SUBSTITUTE(" "&amp;TRIM(SUBSTITUTE(SUBSTITUTE(SUBSTITUTE(SUBSTITUTE(SUBSTITUTE(SUBSTITUTE(SUBSTITUTE(SUBSTITUTE(SUBSTITUTE(SUBSTITUTE(SUBSTITUTE(SUBSTITUTE(SUBSTITUTE(SUBSTITUTE(SUBSTITUTE(UPPER(TRIM(A758)),"[MEMBER]",""),"{MEMBER}",""),"[MEMBER}",""),"MEMBER]",""),"(A)",""),"""",""),"“",""),"”",""),".",""),":",""),",",""),"–"," "),"-"," "),"/"," "),"&amp;"," AND "))&amp;" "," THE "," ")," TOTAL "," ")," OPERATIONS "," "))</f>
        <v>INTERNATIONAL OTHER</v>
      </c>
      <c r="O758" s="17" t="str">
        <f aca="false">IF(COUNTIFS($N$2:$N$2000,N758,$D$2:$D$2000,"&lt;&gt;"&amp;D758)&gt;0,"CONFLICT","")</f>
        <v/>
      </c>
      <c r="P758" s="7"/>
    </row>
    <row r="759" customFormat="false" ht="15" hidden="false" customHeight="false" outlineLevel="0" collapsed="false">
      <c r="A759" s="7" t="s">
        <v>2274</v>
      </c>
      <c r="B759" s="7" t="s">
        <v>1885</v>
      </c>
      <c r="C759" s="7" t="s">
        <v>1784</v>
      </c>
      <c r="D759" s="6" t="s">
        <v>1784</v>
      </c>
      <c r="E759" s="6" t="s">
        <v>1886</v>
      </c>
      <c r="F759" s="7" t="str">
        <f aca="false">IF($D759="","",IFERROR(IF(INDEX(Hierarchy!$B$2:$B$1295,MATCH($D759,Hierarchy!$A$2:$A$1295,0))="","",INDEX(Hierarchy!$B$2:$B$1295,MATCH($D759,Hierarchy!$A$2:$A$1295,0))),"NODE NOT FOUND"))</f>
        <v>Bucket</v>
      </c>
      <c r="G759" s="7" t="str">
        <f aca="false">IF($D759="","",IFERROR(IF(INDEX(Hierarchy!$D$2:$D$1295,MATCH($D759,Hierarchy!$A$2:$A$1295,0))="","",INDEX(Hierarchy!$D$2:$D$1295,MATCH($D759,Hierarchy!$A$2:$A$1295,0))),"NODE NOT FOUND"))</f>
        <v>Non-regional</v>
      </c>
      <c r="H759" s="7" t="str">
        <f aca="false">IF($D759="","",IFERROR(IF(INDEX(Hierarchy!$E$2:$E$1295,MATCH($D759,Hierarchy!$A$2:$A$1295,0))="","",INDEX(Hierarchy!$E$2:$E$1295,MATCH($D759,Hierarchy!$A$2:$A$1295,0))),"NODE NOT FOUND"))</f>
        <v/>
      </c>
      <c r="I759" s="7" t="str">
        <f aca="false">IF($D759="","",IFERROR(IF(INDEX(Hierarchy!$F$2:$F$1295,MATCH($D759,Hierarchy!$A$2:$A$1295,0))="","",INDEX(Hierarchy!$F$2:$F$1295,MATCH($D759,Hierarchy!$A$2:$A$1295,0))),"NODE NOT FOUND"))</f>
        <v/>
      </c>
      <c r="J759" s="7" t="str">
        <f aca="false">IF($D759="","",IFERROR(IF(INDEX(Hierarchy!$G$2:$G$1295,MATCH($D759,Hierarchy!$A$2:$A$1295,0))="","",INDEX(Hierarchy!$G$2:$G$1295,MATCH($D759,Hierarchy!$A$2:$A$1295,0))),"NODE NOT FOUND"))</f>
        <v/>
      </c>
      <c r="K759" s="7" t="str">
        <f aca="false">IF($D759="","",IFERROR(IF(INDEX(Hierarchy!$H$2:$H$1295,MATCH($D759,Hierarchy!$A$2:$A$1295,0))="","",INDEX(Hierarchy!$H$2:$H$1295,MATCH($D759,Hierarchy!$A$2:$A$1295,0))),"NODE NOT FOUND"))</f>
        <v/>
      </c>
      <c r="L759" s="7" t="str">
        <f aca="false">IF($D759="","",IFERROR(IF(INDEX(Hierarchy!$I$2:$I$1295,MATCH($D759,Hierarchy!$A$2:$A$1295,0))="","",INDEX(Hierarchy!$I$2:$I$1295,MATCH($D759,Hierarchy!$A$2:$A$1295,0))),"NODE NOT FOUND"))</f>
        <v/>
      </c>
      <c r="M759" s="17" t="str">
        <f aca="false">IF(B759="Pre-seeded","Pre-seeded",IF(B759="Review 2026-09-16","Added from review",IF(C759="","New",IF(C759=D759,"","Changed"))))</f>
        <v/>
      </c>
      <c r="N759" s="7" t="str">
        <f aca="false">TRIM(SUBSTITUTE(SUBSTITUTE(SUBSTITUTE(" "&amp;TRIM(SUBSTITUTE(SUBSTITUTE(SUBSTITUTE(SUBSTITUTE(SUBSTITUTE(SUBSTITUTE(SUBSTITUTE(SUBSTITUTE(SUBSTITUTE(SUBSTITUTE(SUBSTITUTE(SUBSTITUTE(SUBSTITUTE(SUBSTITUTE(SUBSTITUTE(UPPER(TRIM(A759)),"[MEMBER]",""),"{MEMBER}",""),"[MEMBER}",""),"MEMBER]",""),"(A)",""),"""",""),"“",""),"”",""),".",""),":",""),",",""),"–"," "),"-"," "),"/"," "),"&amp;"," AND "))&amp;" "," THE "," ")," TOTAL "," ")," OPERATIONS "," "))</f>
        <v>INTERNATIONAL AND OTHER</v>
      </c>
      <c r="O759" s="17" t="str">
        <f aca="false">IF(COUNTIFS($N$2:$N$2000,N759,$D$2:$D$2000,"&lt;&gt;"&amp;D759)&gt;0,"CONFLICT","")</f>
        <v/>
      </c>
      <c r="P759" s="7"/>
    </row>
    <row r="760" customFormat="false" ht="15" hidden="false" customHeight="false" outlineLevel="0" collapsed="false">
      <c r="A760" s="7" t="s">
        <v>2275</v>
      </c>
      <c r="B760" s="7" t="s">
        <v>1885</v>
      </c>
      <c r="C760" s="7" t="s">
        <v>1784</v>
      </c>
      <c r="D760" s="6" t="s">
        <v>1784</v>
      </c>
      <c r="E760" s="6" t="s">
        <v>1880</v>
      </c>
      <c r="F760" s="7" t="str">
        <f aca="false">IF($D760="","",IFERROR(IF(INDEX(Hierarchy!$B$2:$B$1295,MATCH($D760,Hierarchy!$A$2:$A$1295,0))="","",INDEX(Hierarchy!$B$2:$B$1295,MATCH($D760,Hierarchy!$A$2:$A$1295,0))),"NODE NOT FOUND"))</f>
        <v>Bucket</v>
      </c>
      <c r="G760" s="7" t="str">
        <f aca="false">IF($D760="","",IFERROR(IF(INDEX(Hierarchy!$D$2:$D$1295,MATCH($D760,Hierarchy!$A$2:$A$1295,0))="","",INDEX(Hierarchy!$D$2:$D$1295,MATCH($D760,Hierarchy!$A$2:$A$1295,0))),"NODE NOT FOUND"))</f>
        <v>Non-regional</v>
      </c>
      <c r="H760" s="7" t="str">
        <f aca="false">IF($D760="","",IFERROR(IF(INDEX(Hierarchy!$E$2:$E$1295,MATCH($D760,Hierarchy!$A$2:$A$1295,0))="","",INDEX(Hierarchy!$E$2:$E$1295,MATCH($D760,Hierarchy!$A$2:$A$1295,0))),"NODE NOT FOUND"))</f>
        <v/>
      </c>
      <c r="I760" s="7" t="str">
        <f aca="false">IF($D760="","",IFERROR(IF(INDEX(Hierarchy!$F$2:$F$1295,MATCH($D760,Hierarchy!$A$2:$A$1295,0))="","",INDEX(Hierarchy!$F$2:$F$1295,MATCH($D760,Hierarchy!$A$2:$A$1295,0))),"NODE NOT FOUND"))</f>
        <v/>
      </c>
      <c r="J760" s="7" t="str">
        <f aca="false">IF($D760="","",IFERROR(IF(INDEX(Hierarchy!$G$2:$G$1295,MATCH($D760,Hierarchy!$A$2:$A$1295,0))="","",INDEX(Hierarchy!$G$2:$G$1295,MATCH($D760,Hierarchy!$A$2:$A$1295,0))),"NODE NOT FOUND"))</f>
        <v/>
      </c>
      <c r="K760" s="7" t="str">
        <f aca="false">IF($D760="","",IFERROR(IF(INDEX(Hierarchy!$H$2:$H$1295,MATCH($D760,Hierarchy!$A$2:$A$1295,0))="","",INDEX(Hierarchy!$H$2:$H$1295,MATCH($D760,Hierarchy!$A$2:$A$1295,0))),"NODE NOT FOUND"))</f>
        <v/>
      </c>
      <c r="L760" s="7" t="str">
        <f aca="false">IF($D760="","",IFERROR(IF(INDEX(Hierarchy!$I$2:$I$1295,MATCH($D760,Hierarchy!$A$2:$A$1295,0))="","",INDEX(Hierarchy!$I$2:$I$1295,MATCH($D760,Hierarchy!$A$2:$A$1295,0))),"NODE NOT FOUND"))</f>
        <v/>
      </c>
      <c r="M760" s="17" t="str">
        <f aca="false">IF(B760="Pre-seeded","Pre-seeded",IF(B760="Review 2026-09-16","Added from review",IF(C760="","New",IF(C760=D760,"","Changed"))))</f>
        <v/>
      </c>
      <c r="N760" s="7" t="str">
        <f aca="false">TRIM(SUBSTITUTE(SUBSTITUTE(SUBSTITUTE(" "&amp;TRIM(SUBSTITUTE(SUBSTITUTE(SUBSTITUTE(SUBSTITUTE(SUBSTITUTE(SUBSTITUTE(SUBSTITUTE(SUBSTITUTE(SUBSTITUTE(SUBSTITUTE(SUBSTITUTE(SUBSTITUTE(SUBSTITUTE(SUBSTITUTE(SUBSTITUTE(UPPER(TRIM(A760)),"[MEMBER]",""),"{MEMBER}",""),"[MEMBER}",""),"MEMBER]",""),"(A)",""),"""",""),"“",""),"”",""),".",""),":",""),",",""),"–"," "),"-"," "),"/"," "),"&amp;"," AND "))&amp;" "," THE "," ")," TOTAL "," ")," OPERATIONS "," "))</f>
        <v>INTERNATIONAL FRANCHISE</v>
      </c>
      <c r="O760" s="17" t="str">
        <f aca="false">IF(COUNTIFS($N$2:$N$2000,N760,$D$2:$D$2000,"&lt;&gt;"&amp;D760)&gt;0,"CONFLICT","")</f>
        <v/>
      </c>
      <c r="P760" s="7" t="s">
        <v>2276</v>
      </c>
    </row>
    <row r="761" customFormat="false" ht="15" hidden="false" customHeight="false" outlineLevel="0" collapsed="false">
      <c r="A761" s="7" t="s">
        <v>2277</v>
      </c>
      <c r="B761" s="7" t="s">
        <v>1885</v>
      </c>
      <c r="C761" s="7" t="s">
        <v>1784</v>
      </c>
      <c r="D761" s="6" t="s">
        <v>1784</v>
      </c>
      <c r="E761" s="6" t="s">
        <v>1880</v>
      </c>
      <c r="F761" s="7" t="str">
        <f aca="false">IF($D761="","",IFERROR(IF(INDEX(Hierarchy!$B$2:$B$1295,MATCH($D761,Hierarchy!$A$2:$A$1295,0))="","",INDEX(Hierarchy!$B$2:$B$1295,MATCH($D761,Hierarchy!$A$2:$A$1295,0))),"NODE NOT FOUND"))</f>
        <v>Bucket</v>
      </c>
      <c r="G761" s="7" t="str">
        <f aca="false">IF($D761="","",IFERROR(IF(INDEX(Hierarchy!$D$2:$D$1295,MATCH($D761,Hierarchy!$A$2:$A$1295,0))="","",INDEX(Hierarchy!$D$2:$D$1295,MATCH($D761,Hierarchy!$A$2:$A$1295,0))),"NODE NOT FOUND"))</f>
        <v>Non-regional</v>
      </c>
      <c r="H761" s="7" t="str">
        <f aca="false">IF($D761="","",IFERROR(IF(INDEX(Hierarchy!$E$2:$E$1295,MATCH($D761,Hierarchy!$A$2:$A$1295,0))="","",INDEX(Hierarchy!$E$2:$E$1295,MATCH($D761,Hierarchy!$A$2:$A$1295,0))),"NODE NOT FOUND"))</f>
        <v/>
      </c>
      <c r="I761" s="7" t="str">
        <f aca="false">IF($D761="","",IFERROR(IF(INDEX(Hierarchy!$F$2:$F$1295,MATCH($D761,Hierarchy!$A$2:$A$1295,0))="","",INDEX(Hierarchy!$F$2:$F$1295,MATCH($D761,Hierarchy!$A$2:$A$1295,0))),"NODE NOT FOUND"))</f>
        <v/>
      </c>
      <c r="J761" s="7" t="str">
        <f aca="false">IF($D761="","",IFERROR(IF(INDEX(Hierarchy!$G$2:$G$1295,MATCH($D761,Hierarchy!$A$2:$A$1295,0))="","",INDEX(Hierarchy!$G$2:$G$1295,MATCH($D761,Hierarchy!$A$2:$A$1295,0))),"NODE NOT FOUND"))</f>
        <v/>
      </c>
      <c r="K761" s="7" t="str">
        <f aca="false">IF($D761="","",IFERROR(IF(INDEX(Hierarchy!$H$2:$H$1295,MATCH($D761,Hierarchy!$A$2:$A$1295,0))="","",INDEX(Hierarchy!$H$2:$H$1295,MATCH($D761,Hierarchy!$A$2:$A$1295,0))),"NODE NOT FOUND"))</f>
        <v/>
      </c>
      <c r="L761" s="7" t="str">
        <f aca="false">IF($D761="","",IFERROR(IF(INDEX(Hierarchy!$I$2:$I$1295,MATCH($D761,Hierarchy!$A$2:$A$1295,0))="","",INDEX(Hierarchy!$I$2:$I$1295,MATCH($D761,Hierarchy!$A$2:$A$1295,0))),"NODE NOT FOUND"))</f>
        <v/>
      </c>
      <c r="M761" s="17" t="str">
        <f aca="false">IF(B761="Pre-seeded","Pre-seeded",IF(B761="Review 2026-09-16","Added from review",IF(C761="","New",IF(C761=D761,"","Changed"))))</f>
        <v/>
      </c>
      <c r="N761" s="7" t="str">
        <f aca="false">TRIM(SUBSTITUTE(SUBSTITUTE(SUBSTITUTE(" "&amp;TRIM(SUBSTITUTE(SUBSTITUTE(SUBSTITUTE(SUBSTITUTE(SUBSTITUTE(SUBSTITUTE(SUBSTITUTE(SUBSTITUTE(SUBSTITUTE(SUBSTITUTE(SUBSTITUTE(SUBSTITUTE(SUBSTITUTE(SUBSTITUTE(SUBSTITUTE(UPPER(TRIM(A761)),"[MEMBER]",""),"{MEMBER}",""),"[MEMBER}",""),"MEMBER]",""),"(A)",""),"""",""),"“",""),"”",""),".",""),":",""),",",""),"–"," "),"-"," "),"/"," "),"&amp;"," AND "))&amp;" "," THE "," ")," TOTAL "," ")," OPERATIONS "," "))</f>
        <v>INTERNATIONAL MARKETS</v>
      </c>
      <c r="O761" s="17" t="str">
        <f aca="false">IF(COUNTIFS($N$2:$N$2000,N761,$D$2:$D$2000,"&lt;&gt;"&amp;D761)&gt;0,"CONFLICT","")</f>
        <v/>
      </c>
      <c r="P761" s="7"/>
    </row>
    <row r="762" customFormat="false" ht="15" hidden="false" customHeight="false" outlineLevel="0" collapsed="false">
      <c r="A762" s="7" t="s">
        <v>2278</v>
      </c>
      <c r="B762" s="7" t="s">
        <v>1882</v>
      </c>
      <c r="C762" s="7" t="s">
        <v>1784</v>
      </c>
      <c r="D762" s="6" t="s">
        <v>1784</v>
      </c>
      <c r="E762" s="6" t="s">
        <v>1880</v>
      </c>
      <c r="F762" s="7" t="str">
        <f aca="false">IF($D762="","",IFERROR(IF(INDEX(Hierarchy!$B$2:$B$1295,MATCH($D762,Hierarchy!$A$2:$A$1295,0))="","",INDEX(Hierarchy!$B$2:$B$1295,MATCH($D762,Hierarchy!$A$2:$A$1295,0))),"NODE NOT FOUND"))</f>
        <v>Bucket</v>
      </c>
      <c r="G762" s="7" t="str">
        <f aca="false">IF($D762="","",IFERROR(IF(INDEX(Hierarchy!$D$2:$D$1295,MATCH($D762,Hierarchy!$A$2:$A$1295,0))="","",INDEX(Hierarchy!$D$2:$D$1295,MATCH($D762,Hierarchy!$A$2:$A$1295,0))),"NODE NOT FOUND"))</f>
        <v>Non-regional</v>
      </c>
      <c r="H762" s="7" t="str">
        <f aca="false">IF($D762="","",IFERROR(IF(INDEX(Hierarchy!$E$2:$E$1295,MATCH($D762,Hierarchy!$A$2:$A$1295,0))="","",INDEX(Hierarchy!$E$2:$E$1295,MATCH($D762,Hierarchy!$A$2:$A$1295,0))),"NODE NOT FOUND"))</f>
        <v/>
      </c>
      <c r="I762" s="7" t="str">
        <f aca="false">IF($D762="","",IFERROR(IF(INDEX(Hierarchy!$F$2:$F$1295,MATCH($D762,Hierarchy!$A$2:$A$1295,0))="","",INDEX(Hierarchy!$F$2:$F$1295,MATCH($D762,Hierarchy!$A$2:$A$1295,0))),"NODE NOT FOUND"))</f>
        <v/>
      </c>
      <c r="J762" s="7" t="str">
        <f aca="false">IF($D762="","",IFERROR(IF(INDEX(Hierarchy!$G$2:$G$1295,MATCH($D762,Hierarchy!$A$2:$A$1295,0))="","",INDEX(Hierarchy!$G$2:$G$1295,MATCH($D762,Hierarchy!$A$2:$A$1295,0))),"NODE NOT FOUND"))</f>
        <v/>
      </c>
      <c r="K762" s="7" t="str">
        <f aca="false">IF($D762="","",IFERROR(IF(INDEX(Hierarchy!$H$2:$H$1295,MATCH($D762,Hierarchy!$A$2:$A$1295,0))="","",INDEX(Hierarchy!$H$2:$H$1295,MATCH($D762,Hierarchy!$A$2:$A$1295,0))),"NODE NOT FOUND"))</f>
        <v/>
      </c>
      <c r="L762" s="7" t="str">
        <f aca="false">IF($D762="","",IFERROR(IF(INDEX(Hierarchy!$I$2:$I$1295,MATCH($D762,Hierarchy!$A$2:$A$1295,0))="","",INDEX(Hierarchy!$I$2:$I$1295,MATCH($D762,Hierarchy!$A$2:$A$1295,0))),"NODE NOT FOUND"))</f>
        <v/>
      </c>
      <c r="M762" s="17" t="str">
        <f aca="false">IF(B762="Pre-seeded","Pre-seeded",IF(B762="Review 2026-09-16","Added from review",IF(C762="","New",IF(C762=D762,"","Changed"))))</f>
        <v/>
      </c>
      <c r="N762" s="7" t="str">
        <f aca="false">TRIM(SUBSTITUTE(SUBSTITUTE(SUBSTITUTE(" "&amp;TRIM(SUBSTITUTE(SUBSTITUTE(SUBSTITUTE(SUBSTITUTE(SUBSTITUTE(SUBSTITUTE(SUBSTITUTE(SUBSTITUTE(SUBSTITUTE(SUBSTITUTE(SUBSTITUTE(SUBSTITUTE(SUBSTITUTE(SUBSTITUTE(SUBSTITUTE(UPPER(TRIM(A762)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762" s="17" t="str">
        <f aca="false">IF(COUNTIFS($N$2:$N$2000,N762,$D$2:$D$2000,"&lt;&gt;"&amp;D762)&gt;0,"CONFLICT","")</f>
        <v/>
      </c>
      <c r="P762" s="7"/>
    </row>
    <row r="763" customFormat="false" ht="15" hidden="false" customHeight="false" outlineLevel="0" collapsed="false">
      <c r="A763" s="7" t="s">
        <v>2279</v>
      </c>
      <c r="B763" s="7" t="s">
        <v>1882</v>
      </c>
      <c r="C763" s="7" t="s">
        <v>1784</v>
      </c>
      <c r="D763" s="6" t="s">
        <v>1784</v>
      </c>
      <c r="E763" s="6" t="s">
        <v>1880</v>
      </c>
      <c r="F763" s="7" t="str">
        <f aca="false">IF($D763="","",IFERROR(IF(INDEX(Hierarchy!$B$2:$B$1295,MATCH($D763,Hierarchy!$A$2:$A$1295,0))="","",INDEX(Hierarchy!$B$2:$B$1295,MATCH($D763,Hierarchy!$A$2:$A$1295,0))),"NODE NOT FOUND"))</f>
        <v>Bucket</v>
      </c>
      <c r="G763" s="7" t="str">
        <f aca="false">IF($D763="","",IFERROR(IF(INDEX(Hierarchy!$D$2:$D$1295,MATCH($D763,Hierarchy!$A$2:$A$1295,0))="","",INDEX(Hierarchy!$D$2:$D$1295,MATCH($D763,Hierarchy!$A$2:$A$1295,0))),"NODE NOT FOUND"))</f>
        <v>Non-regional</v>
      </c>
      <c r="H763" s="7" t="str">
        <f aca="false">IF($D763="","",IFERROR(IF(INDEX(Hierarchy!$E$2:$E$1295,MATCH($D763,Hierarchy!$A$2:$A$1295,0))="","",INDEX(Hierarchy!$E$2:$E$1295,MATCH($D763,Hierarchy!$A$2:$A$1295,0))),"NODE NOT FOUND"))</f>
        <v/>
      </c>
      <c r="I763" s="7" t="str">
        <f aca="false">IF($D763="","",IFERROR(IF(INDEX(Hierarchy!$F$2:$F$1295,MATCH($D763,Hierarchy!$A$2:$A$1295,0))="","",INDEX(Hierarchy!$F$2:$F$1295,MATCH($D763,Hierarchy!$A$2:$A$1295,0))),"NODE NOT FOUND"))</f>
        <v/>
      </c>
      <c r="J763" s="7" t="str">
        <f aca="false">IF($D763="","",IFERROR(IF(INDEX(Hierarchy!$G$2:$G$1295,MATCH($D763,Hierarchy!$A$2:$A$1295,0))="","",INDEX(Hierarchy!$G$2:$G$1295,MATCH($D763,Hierarchy!$A$2:$A$1295,0))),"NODE NOT FOUND"))</f>
        <v/>
      </c>
      <c r="K763" s="7" t="str">
        <f aca="false">IF($D763="","",IFERROR(IF(INDEX(Hierarchy!$H$2:$H$1295,MATCH($D763,Hierarchy!$A$2:$A$1295,0))="","",INDEX(Hierarchy!$H$2:$H$1295,MATCH($D763,Hierarchy!$A$2:$A$1295,0))),"NODE NOT FOUND"))</f>
        <v/>
      </c>
      <c r="L763" s="7" t="str">
        <f aca="false">IF($D763="","",IFERROR(IF(INDEX(Hierarchy!$I$2:$I$1295,MATCH($D763,Hierarchy!$A$2:$A$1295,0))="","",INDEX(Hierarchy!$I$2:$I$1295,MATCH($D763,Hierarchy!$A$2:$A$1295,0))),"NODE NOT FOUND"))</f>
        <v/>
      </c>
      <c r="M763" s="17" t="str">
        <f aca="false">IF(B763="Pre-seeded","Pre-seeded",IF(B763="Review 2026-09-16","Added from review",IF(C763="","New",IF(C763=D763,"","Changed"))))</f>
        <v/>
      </c>
      <c r="N763" s="7" t="str">
        <f aca="false">TRIM(SUBSTITUTE(SUBSTITUTE(SUBSTITUTE(" "&amp;TRIM(SUBSTITUTE(SUBSTITUTE(SUBSTITUTE(SUBSTITUTE(SUBSTITUTE(SUBSTITUTE(SUBSTITUTE(SUBSTITUTE(SUBSTITUTE(SUBSTITUTE(SUBSTITUTE(SUBSTITUTE(SUBSTITUTE(SUBSTITUTE(SUBSTITUTE(UPPER(TRIM(A763)),"[MEMBER]",""),"{MEMBER}",""),"[MEMBER}",""),"MEMBER]",""),"(A)",""),"""",""),"“",""),"”",""),".",""),":",""),",",""),"–"," "),"-"," "),"/"," "),"&amp;"," AND "))&amp;" "," THE "," ")," TOTAL "," ")," OPERATIONS "," "))</f>
        <v>INTERNATIONAL REGION</v>
      </c>
      <c r="O763" s="17" t="str">
        <f aca="false">IF(COUNTIFS($N$2:$N$2000,N763,$D$2:$D$2000,"&lt;&gt;"&amp;D763)&gt;0,"CONFLICT","")</f>
        <v/>
      </c>
      <c r="P763" s="7"/>
    </row>
    <row r="764" customFormat="false" ht="15" hidden="false" customHeight="false" outlineLevel="0" collapsed="false">
      <c r="A764" s="7" t="s">
        <v>2280</v>
      </c>
      <c r="B764" s="7" t="s">
        <v>1882</v>
      </c>
      <c r="C764" s="7" t="s">
        <v>1784</v>
      </c>
      <c r="D764" s="6" t="s">
        <v>1784</v>
      </c>
      <c r="E764" s="6" t="s">
        <v>1880</v>
      </c>
      <c r="F764" s="7" t="str">
        <f aca="false">IF($D764="","",IFERROR(IF(INDEX(Hierarchy!$B$2:$B$1295,MATCH($D764,Hierarchy!$A$2:$A$1295,0))="","",INDEX(Hierarchy!$B$2:$B$1295,MATCH($D764,Hierarchy!$A$2:$A$1295,0))),"NODE NOT FOUND"))</f>
        <v>Bucket</v>
      </c>
      <c r="G764" s="7" t="str">
        <f aca="false">IF($D764="","",IFERROR(IF(INDEX(Hierarchy!$D$2:$D$1295,MATCH($D764,Hierarchy!$A$2:$A$1295,0))="","",INDEX(Hierarchy!$D$2:$D$1295,MATCH($D764,Hierarchy!$A$2:$A$1295,0))),"NODE NOT FOUND"))</f>
        <v>Non-regional</v>
      </c>
      <c r="H764" s="7" t="str">
        <f aca="false">IF($D764="","",IFERROR(IF(INDEX(Hierarchy!$E$2:$E$1295,MATCH($D764,Hierarchy!$A$2:$A$1295,0))="","",INDEX(Hierarchy!$E$2:$E$1295,MATCH($D764,Hierarchy!$A$2:$A$1295,0))),"NODE NOT FOUND"))</f>
        <v/>
      </c>
      <c r="I764" s="7" t="str">
        <f aca="false">IF($D764="","",IFERROR(IF(INDEX(Hierarchy!$F$2:$F$1295,MATCH($D764,Hierarchy!$A$2:$A$1295,0))="","",INDEX(Hierarchy!$F$2:$F$1295,MATCH($D764,Hierarchy!$A$2:$A$1295,0))),"NODE NOT FOUND"))</f>
        <v/>
      </c>
      <c r="J764" s="7" t="str">
        <f aca="false">IF($D764="","",IFERROR(IF(INDEX(Hierarchy!$G$2:$G$1295,MATCH($D764,Hierarchy!$A$2:$A$1295,0))="","",INDEX(Hierarchy!$G$2:$G$1295,MATCH($D764,Hierarchy!$A$2:$A$1295,0))),"NODE NOT FOUND"))</f>
        <v/>
      </c>
      <c r="K764" s="7" t="str">
        <f aca="false">IF($D764="","",IFERROR(IF(INDEX(Hierarchy!$H$2:$H$1295,MATCH($D764,Hierarchy!$A$2:$A$1295,0))="","",INDEX(Hierarchy!$H$2:$H$1295,MATCH($D764,Hierarchy!$A$2:$A$1295,0))),"NODE NOT FOUND"))</f>
        <v/>
      </c>
      <c r="L764" s="7" t="str">
        <f aca="false">IF($D764="","",IFERROR(IF(INDEX(Hierarchy!$I$2:$I$1295,MATCH($D764,Hierarchy!$A$2:$A$1295,0))="","",INDEX(Hierarchy!$I$2:$I$1295,MATCH($D764,Hierarchy!$A$2:$A$1295,0))),"NODE NOT FOUND"))</f>
        <v/>
      </c>
      <c r="M764" s="17" t="str">
        <f aca="false">IF(B764="Pre-seeded","Pre-seeded",IF(B764="Review 2026-09-16","Added from review",IF(C764="","New",IF(C764=D764,"","Changed"))))</f>
        <v/>
      </c>
      <c r="N764" s="7" t="str">
        <f aca="false">TRIM(SUBSTITUTE(SUBSTITUTE(SUBSTITUTE(" "&amp;TRIM(SUBSTITUTE(SUBSTITUTE(SUBSTITUTE(SUBSTITUTE(SUBSTITUTE(SUBSTITUTE(SUBSTITUTE(SUBSTITUTE(SUBSTITUTE(SUBSTITUTE(SUBSTITUTE(SUBSTITUTE(SUBSTITUTE(SUBSTITUTE(SUBSTITUTE(UPPER(TRIM(A764)),"[MEMBER]",""),"{MEMBER}",""),"[MEMBER}",""),"MEMBER]",""),"(A)",""),"""",""),"“",""),"”",""),".",""),":",""),",",""),"–"," "),"-"," "),"/"," "),"&amp;"," AND "))&amp;" "," THE "," ")," TOTAL "," ")," OPERATIONS "," "))</f>
        <v>INTERNATIONAL SEGMENT</v>
      </c>
      <c r="O764" s="17" t="str">
        <f aca="false">IF(COUNTIFS($N$2:$N$2000,N764,$D$2:$D$2000,"&lt;&gt;"&amp;D764)&gt;0,"CONFLICT","")</f>
        <v/>
      </c>
      <c r="P764" s="7"/>
    </row>
    <row r="765" customFormat="false" ht="15" hidden="false" customHeight="false" outlineLevel="0" collapsed="false">
      <c r="A765" s="7" t="s">
        <v>2281</v>
      </c>
      <c r="B765" s="7" t="s">
        <v>1885</v>
      </c>
      <c r="C765" s="7" t="s">
        <v>1784</v>
      </c>
      <c r="D765" s="6" t="s">
        <v>1784</v>
      </c>
      <c r="E765" s="6" t="s">
        <v>1880</v>
      </c>
      <c r="F765" s="7" t="str">
        <f aca="false">IF($D765="","",IFERROR(IF(INDEX(Hierarchy!$B$2:$B$1295,MATCH($D765,Hierarchy!$A$2:$A$1295,0))="","",INDEX(Hierarchy!$B$2:$B$1295,MATCH($D765,Hierarchy!$A$2:$A$1295,0))),"NODE NOT FOUND"))</f>
        <v>Bucket</v>
      </c>
      <c r="G765" s="7" t="str">
        <f aca="false">IF($D765="","",IFERROR(IF(INDEX(Hierarchy!$D$2:$D$1295,MATCH($D765,Hierarchy!$A$2:$A$1295,0))="","",INDEX(Hierarchy!$D$2:$D$1295,MATCH($D765,Hierarchy!$A$2:$A$1295,0))),"NODE NOT FOUND"))</f>
        <v>Non-regional</v>
      </c>
      <c r="H765" s="7" t="str">
        <f aca="false">IF($D765="","",IFERROR(IF(INDEX(Hierarchy!$E$2:$E$1295,MATCH($D765,Hierarchy!$A$2:$A$1295,0))="","",INDEX(Hierarchy!$E$2:$E$1295,MATCH($D765,Hierarchy!$A$2:$A$1295,0))),"NODE NOT FOUND"))</f>
        <v/>
      </c>
      <c r="I765" s="7" t="str">
        <f aca="false">IF($D765="","",IFERROR(IF(INDEX(Hierarchy!$F$2:$F$1295,MATCH($D765,Hierarchy!$A$2:$A$1295,0))="","",INDEX(Hierarchy!$F$2:$F$1295,MATCH($D765,Hierarchy!$A$2:$A$1295,0))),"NODE NOT FOUND"))</f>
        <v/>
      </c>
      <c r="J765" s="7" t="str">
        <f aca="false">IF($D765="","",IFERROR(IF(INDEX(Hierarchy!$G$2:$G$1295,MATCH($D765,Hierarchy!$A$2:$A$1295,0))="","",INDEX(Hierarchy!$G$2:$G$1295,MATCH($D765,Hierarchy!$A$2:$A$1295,0))),"NODE NOT FOUND"))</f>
        <v/>
      </c>
      <c r="K765" s="7" t="str">
        <f aca="false">IF($D765="","",IFERROR(IF(INDEX(Hierarchy!$H$2:$H$1295,MATCH($D765,Hierarchy!$A$2:$A$1295,0))="","",INDEX(Hierarchy!$H$2:$H$1295,MATCH($D765,Hierarchy!$A$2:$A$1295,0))),"NODE NOT FOUND"))</f>
        <v/>
      </c>
      <c r="L765" s="7" t="str">
        <f aca="false">IF($D765="","",IFERROR(IF(INDEX(Hierarchy!$I$2:$I$1295,MATCH($D765,Hierarchy!$A$2:$A$1295,0))="","",INDEX(Hierarchy!$I$2:$I$1295,MATCH($D765,Hierarchy!$A$2:$A$1295,0))),"NODE NOT FOUND"))</f>
        <v/>
      </c>
      <c r="M765" s="17" t="str">
        <f aca="false">IF(B765="Pre-seeded","Pre-seeded",IF(B765="Review 2026-09-16","Added from review",IF(C765="","New",IF(C765=D765,"","Changed"))))</f>
        <v/>
      </c>
      <c r="N765" s="7" t="str">
        <f aca="false">TRIM(SUBSTITUTE(SUBSTITUTE(SUBSTITUTE(" "&amp;TRIM(SUBSTITUTE(SUBSTITUTE(SUBSTITUTE(SUBSTITUTE(SUBSTITUTE(SUBSTITUTE(SUBSTITUTE(SUBSTITUTE(SUBSTITUTE(SUBSTITUTE(SUBSTITUTE(SUBSTITUTE(SUBSTITUTE(SUBSTITUTE(SUBSTITUTE(UPPER(TRIM(A765)),"[MEMBER]",""),"{MEMBER}",""),"[MEMBER}",""),"MEMBER]",""),"(A)",""),"""",""),"“",""),"”",""),".",""),":",""),",",""),"–"," "),"-"," "),"/"," "),"&amp;"," AND "))&amp;" "," THE "," ")," TOTAL "," ")," OPERATIONS "," "))</f>
        <v>INTERNATIONAL WHOLESALE</v>
      </c>
      <c r="O765" s="17" t="str">
        <f aca="false">IF(COUNTIFS($N$2:$N$2000,N765,$D$2:$D$2000,"&lt;&gt;"&amp;D765)&gt;0,"CONFLICT","")</f>
        <v/>
      </c>
      <c r="P765" s="7" t="s">
        <v>2276</v>
      </c>
    </row>
    <row r="766" customFormat="false" ht="15" hidden="false" customHeight="false" outlineLevel="0" collapsed="false">
      <c r="A766" s="7" t="s">
        <v>2282</v>
      </c>
      <c r="B766" s="7" t="s">
        <v>1885</v>
      </c>
      <c r="C766" s="7" t="s">
        <v>1784</v>
      </c>
      <c r="D766" s="6" t="s">
        <v>1784</v>
      </c>
      <c r="E766" s="6" t="s">
        <v>1891</v>
      </c>
      <c r="F766" s="7" t="str">
        <f aca="false">IF($D766="","",IFERROR(IF(INDEX(Hierarchy!$B$2:$B$1295,MATCH($D766,Hierarchy!$A$2:$A$1295,0))="","",INDEX(Hierarchy!$B$2:$B$1295,MATCH($D766,Hierarchy!$A$2:$A$1295,0))),"NODE NOT FOUND"))</f>
        <v>Bucket</v>
      </c>
      <c r="G766" s="7" t="str">
        <f aca="false">IF($D766="","",IFERROR(IF(INDEX(Hierarchy!$D$2:$D$1295,MATCH($D766,Hierarchy!$A$2:$A$1295,0))="","",INDEX(Hierarchy!$D$2:$D$1295,MATCH($D766,Hierarchy!$A$2:$A$1295,0))),"NODE NOT FOUND"))</f>
        <v>Non-regional</v>
      </c>
      <c r="H766" s="7" t="str">
        <f aca="false">IF($D766="","",IFERROR(IF(INDEX(Hierarchy!$E$2:$E$1295,MATCH($D766,Hierarchy!$A$2:$A$1295,0))="","",INDEX(Hierarchy!$E$2:$E$1295,MATCH($D766,Hierarchy!$A$2:$A$1295,0))),"NODE NOT FOUND"))</f>
        <v/>
      </c>
      <c r="I766" s="7" t="str">
        <f aca="false">IF($D766="","",IFERROR(IF(INDEX(Hierarchy!$F$2:$F$1295,MATCH($D766,Hierarchy!$A$2:$A$1295,0))="","",INDEX(Hierarchy!$F$2:$F$1295,MATCH($D766,Hierarchy!$A$2:$A$1295,0))),"NODE NOT FOUND"))</f>
        <v/>
      </c>
      <c r="J766" s="7" t="str">
        <f aca="false">IF($D766="","",IFERROR(IF(INDEX(Hierarchy!$G$2:$G$1295,MATCH($D766,Hierarchy!$A$2:$A$1295,0))="","",INDEX(Hierarchy!$G$2:$G$1295,MATCH($D766,Hierarchy!$A$2:$A$1295,0))),"NODE NOT FOUND"))</f>
        <v/>
      </c>
      <c r="K766" s="7" t="str">
        <f aca="false">IF($D766="","",IFERROR(IF(INDEX(Hierarchy!$H$2:$H$1295,MATCH($D766,Hierarchy!$A$2:$A$1295,0))="","",INDEX(Hierarchy!$H$2:$H$1295,MATCH($D766,Hierarchy!$A$2:$A$1295,0))),"NODE NOT FOUND"))</f>
        <v/>
      </c>
      <c r="L766" s="7" t="str">
        <f aca="false">IF($D766="","",IFERROR(IF(INDEX(Hierarchy!$I$2:$I$1295,MATCH($D766,Hierarchy!$A$2:$A$1295,0))="","",INDEX(Hierarchy!$I$2:$I$1295,MATCH($D766,Hierarchy!$A$2:$A$1295,0))),"NODE NOT FOUND"))</f>
        <v/>
      </c>
      <c r="M766" s="17" t="str">
        <f aca="false">IF(B766="Pre-seeded","Pre-seeded",IF(B766="Review 2026-09-16","Added from review",IF(C766="","New",IF(C766=D766,"","Changed"))))</f>
        <v/>
      </c>
      <c r="N766" s="7" t="str">
        <f aca="false">TRIM(SUBSTITUTE(SUBSTITUTE(SUBSTITUTE(" "&amp;TRIM(SUBSTITUTE(SUBSTITUTE(SUBSTITUTE(SUBSTITUTE(SUBSTITUTE(SUBSTITUTE(SUBSTITUTE(SUBSTITUTE(SUBSTITUTE(SUBSTITUTE(SUBSTITUTE(SUBSTITUTE(SUBSTITUTE(SUBSTITUTE(SUBSTITUTE(UPPER(TRIM(A766)),"[MEMBER]",""),"{MEMBER}",""),"[MEMBER}",""),"MEMBER]",""),"(A)",""),"""",""),"“",""),"”",""),".",""),":",""),",",""),"–"," "),"-"," "),"/"," "),"&amp;"," AND "))&amp;" "," THE "," ")," TOTAL "," ")," OPERATIONS "," "))</f>
        <v>INTERNATIONAL EXCLUDING NORTH AMERICA</v>
      </c>
      <c r="O766" s="17" t="str">
        <f aca="false">IF(COUNTIFS($N$2:$N$2000,N766,$D$2:$D$2000,"&lt;&gt;"&amp;D766)&gt;0,"CONFLICT","")</f>
        <v/>
      </c>
      <c r="P766" s="7" t="s">
        <v>2195</v>
      </c>
    </row>
    <row r="767" customFormat="false" ht="15" hidden="false" customHeight="false" outlineLevel="0" collapsed="false">
      <c r="A767" s="7" t="s">
        <v>184</v>
      </c>
      <c r="B767" s="7" t="s">
        <v>1882</v>
      </c>
      <c r="C767" s="7" t="s">
        <v>184</v>
      </c>
      <c r="D767" s="6" t="s">
        <v>184</v>
      </c>
      <c r="E767" s="6" t="s">
        <v>1880</v>
      </c>
      <c r="F767" s="7" t="str">
        <f aca="false">IF($D767="","",IFERROR(IF(INDEX(Hierarchy!$B$2:$B$1295,MATCH($D767,Hierarchy!$A$2:$A$1295,0))="","",INDEX(Hierarchy!$B$2:$B$1295,MATCH($D767,Hierarchy!$A$2:$A$1295,0))),"NODE NOT FOUND"))</f>
        <v>State/Province</v>
      </c>
      <c r="G767" s="7" t="str">
        <f aca="false">IF($D767="","",IFERROR(IF(INDEX(Hierarchy!$D$2:$D$1295,MATCH($D767,Hierarchy!$A$2:$A$1295,0))="","",INDEX(Hierarchy!$D$2:$D$1295,MATCH($D767,Hierarchy!$A$2:$A$1295,0))),"NODE NOT FOUND"))</f>
        <v>AMER</v>
      </c>
      <c r="H767" s="7" t="str">
        <f aca="false">IF($D767="","",IFERROR(IF(INDEX(Hierarchy!$E$2:$E$1295,MATCH($D767,Hierarchy!$A$2:$A$1295,0))="","",INDEX(Hierarchy!$E$2:$E$1295,MATCH($D767,Hierarchy!$A$2:$A$1295,0))),"NODE NOT FOUND"))</f>
        <v>North America (NORAM)</v>
      </c>
      <c r="I767" s="7" t="str">
        <f aca="false">IF($D767="","",IFERROR(IF(INDEX(Hierarchy!$F$2:$F$1295,MATCH($D767,Hierarchy!$A$2:$A$1295,0))="","",INDEX(Hierarchy!$F$2:$F$1295,MATCH($D767,Hierarchy!$A$2:$A$1295,0))),"NODE NOT FOUND"))</f>
        <v>United States</v>
      </c>
      <c r="J767" s="7" t="str">
        <f aca="false">IF($D767="","",IFERROR(IF(INDEX(Hierarchy!$G$2:$G$1295,MATCH($D767,Hierarchy!$A$2:$A$1295,0))="","",INDEX(Hierarchy!$G$2:$G$1295,MATCH($D767,Hierarchy!$A$2:$A$1295,0))),"NODE NOT FOUND"))</f>
        <v>USA</v>
      </c>
      <c r="K767" s="7" t="str">
        <f aca="false">IF($D767="","",IFERROR(IF(INDEX(Hierarchy!$H$2:$H$1295,MATCH($D767,Hierarchy!$A$2:$A$1295,0))="","",INDEX(Hierarchy!$H$2:$H$1295,MATCH($D767,Hierarchy!$A$2:$A$1295,0))),"NODE NOT FOUND"))</f>
        <v>Iowa</v>
      </c>
      <c r="L767" s="7" t="str">
        <f aca="false">IF($D767="","",IFERROR(IF(INDEX(Hierarchy!$I$2:$I$1295,MATCH($D767,Hierarchy!$A$2:$A$1295,0))="","",INDEX(Hierarchy!$I$2:$I$1295,MATCH($D767,Hierarchy!$A$2:$A$1295,0))),"NODE NOT FOUND"))</f>
        <v/>
      </c>
      <c r="M767" s="17" t="str">
        <f aca="false">IF(B767="Pre-seeded","Pre-seeded",IF(B767="Review 2026-09-16","Added from review",IF(C767="","New",IF(C767=D767,"","Changed"))))</f>
        <v/>
      </c>
      <c r="N767" s="7" t="str">
        <f aca="false">TRIM(SUBSTITUTE(SUBSTITUTE(SUBSTITUTE(" "&amp;TRIM(SUBSTITUTE(SUBSTITUTE(SUBSTITUTE(SUBSTITUTE(SUBSTITUTE(SUBSTITUTE(SUBSTITUTE(SUBSTITUTE(SUBSTITUTE(SUBSTITUTE(SUBSTITUTE(SUBSTITUTE(SUBSTITUTE(SUBSTITUTE(SUBSTITUTE(UPPER(TRIM(A767)),"[MEMBER]",""),"{MEMBER}",""),"[MEMBER}",""),"MEMBER]",""),"(A)",""),"""",""),"“",""),"”",""),".",""),":",""),",",""),"–"," "),"-"," "),"/"," "),"&amp;"," AND "))&amp;" "," THE "," ")," TOTAL "," ")," OPERATIONS "," "))</f>
        <v>IOWA</v>
      </c>
      <c r="O767" s="17" t="str">
        <f aca="false">IF(COUNTIFS($N$2:$N$2000,N767,$D$2:$D$2000,"&lt;&gt;"&amp;D767)&gt;0,"CONFLICT","")</f>
        <v/>
      </c>
      <c r="P767" s="7"/>
    </row>
    <row r="768" customFormat="false" ht="15" hidden="false" customHeight="false" outlineLevel="0" collapsed="false">
      <c r="A768" s="7" t="s">
        <v>2283</v>
      </c>
      <c r="B768" s="7" t="s">
        <v>1882</v>
      </c>
      <c r="C768" s="7" t="s">
        <v>184</v>
      </c>
      <c r="D768" s="6" t="s">
        <v>184</v>
      </c>
      <c r="E768" s="6" t="s">
        <v>1880</v>
      </c>
      <c r="F768" s="7" t="str">
        <f aca="false">IF($D768="","",IFERROR(IF(INDEX(Hierarchy!$B$2:$B$1295,MATCH($D768,Hierarchy!$A$2:$A$1295,0))="","",INDEX(Hierarchy!$B$2:$B$1295,MATCH($D768,Hierarchy!$A$2:$A$1295,0))),"NODE NOT FOUND"))</f>
        <v>State/Province</v>
      </c>
      <c r="G768" s="7" t="str">
        <f aca="false">IF($D768="","",IFERROR(IF(INDEX(Hierarchy!$D$2:$D$1295,MATCH($D768,Hierarchy!$A$2:$A$1295,0))="","",INDEX(Hierarchy!$D$2:$D$1295,MATCH($D768,Hierarchy!$A$2:$A$1295,0))),"NODE NOT FOUND"))</f>
        <v>AMER</v>
      </c>
      <c r="H768" s="7" t="str">
        <f aca="false">IF($D768="","",IFERROR(IF(INDEX(Hierarchy!$E$2:$E$1295,MATCH($D768,Hierarchy!$A$2:$A$1295,0))="","",INDEX(Hierarchy!$E$2:$E$1295,MATCH($D768,Hierarchy!$A$2:$A$1295,0))),"NODE NOT FOUND"))</f>
        <v>North America (NORAM)</v>
      </c>
      <c r="I768" s="7" t="str">
        <f aca="false">IF($D768="","",IFERROR(IF(INDEX(Hierarchy!$F$2:$F$1295,MATCH($D768,Hierarchy!$A$2:$A$1295,0))="","",INDEX(Hierarchy!$F$2:$F$1295,MATCH($D768,Hierarchy!$A$2:$A$1295,0))),"NODE NOT FOUND"))</f>
        <v>United States</v>
      </c>
      <c r="J768" s="7" t="str">
        <f aca="false">IF($D768="","",IFERROR(IF(INDEX(Hierarchy!$G$2:$G$1295,MATCH($D768,Hierarchy!$A$2:$A$1295,0))="","",INDEX(Hierarchy!$G$2:$G$1295,MATCH($D768,Hierarchy!$A$2:$A$1295,0))),"NODE NOT FOUND"))</f>
        <v>USA</v>
      </c>
      <c r="K768" s="7" t="str">
        <f aca="false">IF($D768="","",IFERROR(IF(INDEX(Hierarchy!$H$2:$H$1295,MATCH($D768,Hierarchy!$A$2:$A$1295,0))="","",INDEX(Hierarchy!$H$2:$H$1295,MATCH($D768,Hierarchy!$A$2:$A$1295,0))),"NODE NOT FOUND"))</f>
        <v>Iowa</v>
      </c>
      <c r="L768" s="7" t="str">
        <f aca="false">IF($D768="","",IFERROR(IF(INDEX(Hierarchy!$I$2:$I$1295,MATCH($D768,Hierarchy!$A$2:$A$1295,0))="","",INDEX(Hierarchy!$I$2:$I$1295,MATCH($D768,Hierarchy!$A$2:$A$1295,0))),"NODE NOT FOUND"))</f>
        <v/>
      </c>
      <c r="M768" s="17" t="str">
        <f aca="false">IF(B768="Pre-seeded","Pre-seeded",IF(B768="Review 2026-09-16","Added from review",IF(C768="","New",IF(C768=D768,"","Changed"))))</f>
        <v/>
      </c>
      <c r="N768" s="7" t="str">
        <f aca="false">TRIM(SUBSTITUTE(SUBSTITUTE(SUBSTITUTE(" "&amp;TRIM(SUBSTITUTE(SUBSTITUTE(SUBSTITUTE(SUBSTITUTE(SUBSTITUTE(SUBSTITUTE(SUBSTITUTE(SUBSTITUTE(SUBSTITUTE(SUBSTITUTE(SUBSTITUTE(SUBSTITUTE(SUBSTITUTE(SUBSTITUTE(SUBSTITUTE(UPPER(TRIM(A768)),"[MEMBER]",""),"{MEMBER}",""),"[MEMBER}",""),"MEMBER]",""),"(A)",""),"""",""),"“",""),"”",""),".",""),":",""),",",""),"–"," "),"-"," "),"/"," "),"&amp;"," AND "))&amp;" "," THE "," ")," TOTAL "," ")," OPERATIONS "," "))</f>
        <v>IOWA</v>
      </c>
      <c r="O768" s="17" t="str">
        <f aca="false">IF(COUNTIFS($N$2:$N$2000,N768,$D$2:$D$2000,"&lt;&gt;"&amp;D768)&gt;0,"CONFLICT","")</f>
        <v/>
      </c>
      <c r="P768" s="7"/>
    </row>
    <row r="769" customFormat="false" ht="15" hidden="false" customHeight="false" outlineLevel="0" collapsed="false">
      <c r="A769" s="7" t="s">
        <v>1065</v>
      </c>
      <c r="B769" s="7" t="s">
        <v>1879</v>
      </c>
      <c r="C769" s="7"/>
      <c r="D769" s="6" t="s">
        <v>1065</v>
      </c>
      <c r="E769" s="6" t="s">
        <v>1880</v>
      </c>
      <c r="F769" s="7" t="str">
        <f aca="false">IF($D769="","",IFERROR(IF(INDEX(Hierarchy!$B$2:$B$1295,MATCH($D769,Hierarchy!$A$2:$A$1295,0))="","",INDEX(Hierarchy!$B$2:$B$1295,MATCH($D769,Hierarchy!$A$2:$A$1295,0))),"NODE NOT FOUND"))</f>
        <v>Country</v>
      </c>
      <c r="G769" s="7" t="str">
        <f aca="false">IF($D769="","",IFERROR(IF(INDEX(Hierarchy!$D$2:$D$1295,MATCH($D769,Hierarchy!$A$2:$A$1295,0))="","",INDEX(Hierarchy!$D$2:$D$1295,MATCH($D769,Hierarchy!$A$2:$A$1295,0))),"NODE NOT FOUND"))</f>
        <v>EMEA</v>
      </c>
      <c r="H769" s="7" t="str">
        <f aca="false">IF($D769="","",IFERROR(IF(INDEX(Hierarchy!$E$2:$E$1295,MATCH($D769,Hierarchy!$A$2:$A$1295,0))="","",INDEX(Hierarchy!$E$2:$E$1295,MATCH($D769,Hierarchy!$A$2:$A$1295,0))),"NODE NOT FOUND"))</f>
        <v>Middle East</v>
      </c>
      <c r="I769" s="7" t="str">
        <f aca="false">IF($D769="","",IFERROR(IF(INDEX(Hierarchy!$F$2:$F$1295,MATCH($D769,Hierarchy!$A$2:$A$1295,0))="","",INDEX(Hierarchy!$F$2:$F$1295,MATCH($D769,Hierarchy!$A$2:$A$1295,0))),"NODE NOT FOUND"))</f>
        <v>Iran</v>
      </c>
      <c r="J769" s="7" t="str">
        <f aca="false">IF($D769="","",IFERROR(IF(INDEX(Hierarchy!$G$2:$G$1295,MATCH($D769,Hierarchy!$A$2:$A$1295,0))="","",INDEX(Hierarchy!$G$2:$G$1295,MATCH($D769,Hierarchy!$A$2:$A$1295,0))),"NODE NOT FOUND"))</f>
        <v>IRN</v>
      </c>
      <c r="K769" s="7" t="str">
        <f aca="false">IF($D769="","",IFERROR(IF(INDEX(Hierarchy!$H$2:$H$1295,MATCH($D769,Hierarchy!$A$2:$A$1295,0))="","",INDEX(Hierarchy!$H$2:$H$1295,MATCH($D769,Hierarchy!$A$2:$A$1295,0))),"NODE NOT FOUND"))</f>
        <v/>
      </c>
      <c r="L769" s="7" t="str">
        <f aca="false">IF($D769="","",IFERROR(IF(INDEX(Hierarchy!$I$2:$I$1295,MATCH($D769,Hierarchy!$A$2:$A$1295,0))="","",INDEX(Hierarchy!$I$2:$I$1295,MATCH($D769,Hierarchy!$A$2:$A$1295,0))),"NODE NOT FOUND"))</f>
        <v/>
      </c>
      <c r="M769" s="17" t="str">
        <f aca="false">IF(B769="Pre-seeded","Pre-seeded",IF(B769="Review 2026-09-16","Added from review",IF(C769="","New",IF(C769=D769,"","Changed"))))</f>
        <v>Pre-seeded</v>
      </c>
      <c r="N769" s="7" t="str">
        <f aca="false">TRIM(SUBSTITUTE(SUBSTITUTE(SUBSTITUTE(" "&amp;TRIM(SUBSTITUTE(SUBSTITUTE(SUBSTITUTE(SUBSTITUTE(SUBSTITUTE(SUBSTITUTE(SUBSTITUTE(SUBSTITUTE(SUBSTITUTE(SUBSTITUTE(SUBSTITUTE(SUBSTITUTE(SUBSTITUTE(SUBSTITUTE(SUBSTITUTE(UPPER(TRIM(A769)),"[MEMBER]",""),"{MEMBER}",""),"[MEMBER}",""),"MEMBER]",""),"(A)",""),"""",""),"“",""),"”",""),".",""),":",""),",",""),"–"," "),"-"," "),"/"," "),"&amp;"," AND "))&amp;" "," THE "," ")," TOTAL "," ")," OPERATIONS "," "))</f>
        <v>IRAN</v>
      </c>
      <c r="O769" s="17" t="str">
        <f aca="false">IF(COUNTIFS($N$2:$N$2000,N769,$D$2:$D$2000,"&lt;&gt;"&amp;D769)&gt;0,"CONFLICT","")</f>
        <v/>
      </c>
      <c r="P769" s="7"/>
    </row>
    <row r="770" customFormat="false" ht="15" hidden="false" customHeight="false" outlineLevel="0" collapsed="false">
      <c r="A770" s="7" t="s">
        <v>2284</v>
      </c>
      <c r="B770" s="7" t="s">
        <v>1879</v>
      </c>
      <c r="C770" s="7"/>
      <c r="D770" s="6" t="s">
        <v>1065</v>
      </c>
      <c r="E770" s="6" t="s">
        <v>1880</v>
      </c>
      <c r="F770" s="7" t="str">
        <f aca="false">IF($D770="","",IFERROR(IF(INDEX(Hierarchy!$B$2:$B$1295,MATCH($D770,Hierarchy!$A$2:$A$1295,0))="","",INDEX(Hierarchy!$B$2:$B$1295,MATCH($D770,Hierarchy!$A$2:$A$1295,0))),"NODE NOT FOUND"))</f>
        <v>Country</v>
      </c>
      <c r="G770" s="7" t="str">
        <f aca="false">IF($D770="","",IFERROR(IF(INDEX(Hierarchy!$D$2:$D$1295,MATCH($D770,Hierarchy!$A$2:$A$1295,0))="","",INDEX(Hierarchy!$D$2:$D$1295,MATCH($D770,Hierarchy!$A$2:$A$1295,0))),"NODE NOT FOUND"))</f>
        <v>EMEA</v>
      </c>
      <c r="H770" s="7" t="str">
        <f aca="false">IF($D770="","",IFERROR(IF(INDEX(Hierarchy!$E$2:$E$1295,MATCH($D770,Hierarchy!$A$2:$A$1295,0))="","",INDEX(Hierarchy!$E$2:$E$1295,MATCH($D770,Hierarchy!$A$2:$A$1295,0))),"NODE NOT FOUND"))</f>
        <v>Middle East</v>
      </c>
      <c r="I770" s="7" t="str">
        <f aca="false">IF($D770="","",IFERROR(IF(INDEX(Hierarchy!$F$2:$F$1295,MATCH($D770,Hierarchy!$A$2:$A$1295,0))="","",INDEX(Hierarchy!$F$2:$F$1295,MATCH($D770,Hierarchy!$A$2:$A$1295,0))),"NODE NOT FOUND"))</f>
        <v>Iran</v>
      </c>
      <c r="J770" s="7" t="str">
        <f aca="false">IF($D770="","",IFERROR(IF(INDEX(Hierarchy!$G$2:$G$1295,MATCH($D770,Hierarchy!$A$2:$A$1295,0))="","",INDEX(Hierarchy!$G$2:$G$1295,MATCH($D770,Hierarchy!$A$2:$A$1295,0))),"NODE NOT FOUND"))</f>
        <v>IRN</v>
      </c>
      <c r="K770" s="7" t="str">
        <f aca="false">IF($D770="","",IFERROR(IF(INDEX(Hierarchy!$H$2:$H$1295,MATCH($D770,Hierarchy!$A$2:$A$1295,0))="","",INDEX(Hierarchy!$H$2:$H$1295,MATCH($D770,Hierarchy!$A$2:$A$1295,0))),"NODE NOT FOUND"))</f>
        <v/>
      </c>
      <c r="L770" s="7" t="str">
        <f aca="false">IF($D770="","",IFERROR(IF(INDEX(Hierarchy!$I$2:$I$1295,MATCH($D770,Hierarchy!$A$2:$A$1295,0))="","",INDEX(Hierarchy!$I$2:$I$1295,MATCH($D770,Hierarchy!$A$2:$A$1295,0))),"NODE NOT FOUND"))</f>
        <v/>
      </c>
      <c r="M770" s="17" t="str">
        <f aca="false">IF(B770="Pre-seeded","Pre-seeded",IF(B770="Review 2026-09-16","Added from review",IF(C770="","New",IF(C770=D770,"","Changed"))))</f>
        <v>Pre-seeded</v>
      </c>
      <c r="N770" s="7" t="str">
        <f aca="false">TRIM(SUBSTITUTE(SUBSTITUTE(SUBSTITUTE(" "&amp;TRIM(SUBSTITUTE(SUBSTITUTE(SUBSTITUTE(SUBSTITUTE(SUBSTITUTE(SUBSTITUTE(SUBSTITUTE(SUBSTITUTE(SUBSTITUTE(SUBSTITUTE(SUBSTITUTE(SUBSTITUTE(SUBSTITUTE(SUBSTITUTE(SUBSTITUTE(UPPER(TRIM(A770)),"[MEMBER]",""),"{MEMBER}",""),"[MEMBER}",""),"MEMBER]",""),"(A)",""),"""",""),"“",""),"”",""),".",""),":",""),",",""),"–"," "),"-"," "),"/"," "),"&amp;"," AND "))&amp;" "," THE "," ")," TOTAL "," ")," OPERATIONS "," "))</f>
        <v>IRAN ISLAMIC REPUBLIC OF</v>
      </c>
      <c r="O770" s="17" t="str">
        <f aca="false">IF(COUNTIFS($N$2:$N$2000,N770,$D$2:$D$2000,"&lt;&gt;"&amp;D770)&gt;0,"CONFLICT","")</f>
        <v/>
      </c>
      <c r="P770" s="7" t="s">
        <v>1936</v>
      </c>
    </row>
    <row r="771" customFormat="false" ht="15" hidden="false" customHeight="false" outlineLevel="0" collapsed="false">
      <c r="A771" s="7" t="s">
        <v>1069</v>
      </c>
      <c r="B771" s="7" t="s">
        <v>1882</v>
      </c>
      <c r="C771" s="7" t="s">
        <v>1069</v>
      </c>
      <c r="D771" s="6" t="s">
        <v>1069</v>
      </c>
      <c r="E771" s="6" t="s">
        <v>1880</v>
      </c>
      <c r="F771" s="7" t="str">
        <f aca="false">IF($D771="","",IFERROR(IF(INDEX(Hierarchy!$B$2:$B$1295,MATCH($D771,Hierarchy!$A$2:$A$1295,0))="","",INDEX(Hierarchy!$B$2:$B$1295,MATCH($D771,Hierarchy!$A$2:$A$1295,0))),"NODE NOT FOUND"))</f>
        <v>Country</v>
      </c>
      <c r="G771" s="7" t="str">
        <f aca="false">IF($D771="","",IFERROR(IF(INDEX(Hierarchy!$D$2:$D$1295,MATCH($D771,Hierarchy!$A$2:$A$1295,0))="","",INDEX(Hierarchy!$D$2:$D$1295,MATCH($D771,Hierarchy!$A$2:$A$1295,0))),"NODE NOT FOUND"))</f>
        <v>EMEA</v>
      </c>
      <c r="H771" s="7" t="str">
        <f aca="false">IF($D771="","",IFERROR(IF(INDEX(Hierarchy!$E$2:$E$1295,MATCH($D771,Hierarchy!$A$2:$A$1295,0))="","",INDEX(Hierarchy!$E$2:$E$1295,MATCH($D771,Hierarchy!$A$2:$A$1295,0))),"NODE NOT FOUND"))</f>
        <v>Middle East</v>
      </c>
      <c r="I771" s="7" t="str">
        <f aca="false">IF($D771="","",IFERROR(IF(INDEX(Hierarchy!$F$2:$F$1295,MATCH($D771,Hierarchy!$A$2:$A$1295,0))="","",INDEX(Hierarchy!$F$2:$F$1295,MATCH($D771,Hierarchy!$A$2:$A$1295,0))),"NODE NOT FOUND"))</f>
        <v>Iraq</v>
      </c>
      <c r="J771" s="7" t="str">
        <f aca="false">IF($D771="","",IFERROR(IF(INDEX(Hierarchy!$G$2:$G$1295,MATCH($D771,Hierarchy!$A$2:$A$1295,0))="","",INDEX(Hierarchy!$G$2:$G$1295,MATCH($D771,Hierarchy!$A$2:$A$1295,0))),"NODE NOT FOUND"))</f>
        <v>IRQ</v>
      </c>
      <c r="K771" s="7" t="str">
        <f aca="false">IF($D771="","",IFERROR(IF(INDEX(Hierarchy!$H$2:$H$1295,MATCH($D771,Hierarchy!$A$2:$A$1295,0))="","",INDEX(Hierarchy!$H$2:$H$1295,MATCH($D771,Hierarchy!$A$2:$A$1295,0))),"NODE NOT FOUND"))</f>
        <v/>
      </c>
      <c r="L771" s="7" t="str">
        <f aca="false">IF($D771="","",IFERROR(IF(INDEX(Hierarchy!$I$2:$I$1295,MATCH($D771,Hierarchy!$A$2:$A$1295,0))="","",INDEX(Hierarchy!$I$2:$I$1295,MATCH($D771,Hierarchy!$A$2:$A$1295,0))),"NODE NOT FOUND"))</f>
        <v/>
      </c>
      <c r="M771" s="17" t="str">
        <f aca="false">IF(B771="Pre-seeded","Pre-seeded",IF(B771="Review 2026-09-16","Added from review",IF(C771="","New",IF(C771=D771,"","Changed"))))</f>
        <v/>
      </c>
      <c r="N771" s="7" t="str">
        <f aca="false">TRIM(SUBSTITUTE(SUBSTITUTE(SUBSTITUTE(" "&amp;TRIM(SUBSTITUTE(SUBSTITUTE(SUBSTITUTE(SUBSTITUTE(SUBSTITUTE(SUBSTITUTE(SUBSTITUTE(SUBSTITUTE(SUBSTITUTE(SUBSTITUTE(SUBSTITUTE(SUBSTITUTE(SUBSTITUTE(SUBSTITUTE(SUBSTITUTE(UPPER(TRIM(A771)),"[MEMBER]",""),"{MEMBER}",""),"[MEMBER}",""),"MEMBER]",""),"(A)",""),"""",""),"“",""),"”",""),".",""),":",""),",",""),"–"," "),"-"," "),"/"," "),"&amp;"," AND "))&amp;" "," THE "," ")," TOTAL "," ")," OPERATIONS "," "))</f>
        <v>IRAQ</v>
      </c>
      <c r="O771" s="17" t="str">
        <f aca="false">IF(COUNTIFS($N$2:$N$2000,N771,$D$2:$D$2000,"&lt;&gt;"&amp;D771)&gt;0,"CONFLICT","")</f>
        <v/>
      </c>
      <c r="P771" s="7"/>
    </row>
    <row r="772" customFormat="false" ht="15" hidden="false" customHeight="false" outlineLevel="0" collapsed="false">
      <c r="A772" s="7" t="s">
        <v>819</v>
      </c>
      <c r="B772" s="7" t="s">
        <v>1882</v>
      </c>
      <c r="C772" s="7" t="s">
        <v>819</v>
      </c>
      <c r="D772" s="6" t="s">
        <v>819</v>
      </c>
      <c r="E772" s="6" t="s">
        <v>1880</v>
      </c>
      <c r="F772" s="7" t="str">
        <f aca="false">IF($D772="","",IFERROR(IF(INDEX(Hierarchy!$B$2:$B$1295,MATCH($D772,Hierarchy!$A$2:$A$1295,0))="","",INDEX(Hierarchy!$B$2:$B$1295,MATCH($D772,Hierarchy!$A$2:$A$1295,0))),"NODE NOT FOUND"))</f>
        <v>Country</v>
      </c>
      <c r="G772" s="7" t="str">
        <f aca="false">IF($D772="","",IFERROR(IF(INDEX(Hierarchy!$D$2:$D$1295,MATCH($D772,Hierarchy!$A$2:$A$1295,0))="","",INDEX(Hierarchy!$D$2:$D$1295,MATCH($D772,Hierarchy!$A$2:$A$1295,0))),"NODE NOT FOUND"))</f>
        <v>EMEA</v>
      </c>
      <c r="H772" s="7" t="str">
        <f aca="false">IF($D772="","",IFERROR(IF(INDEX(Hierarchy!$E$2:$E$1295,MATCH($D772,Hierarchy!$A$2:$A$1295,0))="","",INDEX(Hierarchy!$E$2:$E$1295,MATCH($D772,Hierarchy!$A$2:$A$1295,0))),"NODE NOT FOUND"))</f>
        <v>Europe</v>
      </c>
      <c r="I772" s="7" t="str">
        <f aca="false">IF($D772="","",IFERROR(IF(INDEX(Hierarchy!$F$2:$F$1295,MATCH($D772,Hierarchy!$A$2:$A$1295,0))="","",INDEX(Hierarchy!$F$2:$F$1295,MATCH($D772,Hierarchy!$A$2:$A$1295,0))),"NODE NOT FOUND"))</f>
        <v>Ireland</v>
      </c>
      <c r="J772" s="7" t="str">
        <f aca="false">IF($D772="","",IFERROR(IF(INDEX(Hierarchy!$G$2:$G$1295,MATCH($D772,Hierarchy!$A$2:$A$1295,0))="","",INDEX(Hierarchy!$G$2:$G$1295,MATCH($D772,Hierarchy!$A$2:$A$1295,0))),"NODE NOT FOUND"))</f>
        <v>IRL</v>
      </c>
      <c r="K772" s="7" t="str">
        <f aca="false">IF($D772="","",IFERROR(IF(INDEX(Hierarchy!$H$2:$H$1295,MATCH($D772,Hierarchy!$A$2:$A$1295,0))="","",INDEX(Hierarchy!$H$2:$H$1295,MATCH($D772,Hierarchy!$A$2:$A$1295,0))),"NODE NOT FOUND"))</f>
        <v/>
      </c>
      <c r="L772" s="7" t="str">
        <f aca="false">IF($D772="","",IFERROR(IF(INDEX(Hierarchy!$I$2:$I$1295,MATCH($D772,Hierarchy!$A$2:$A$1295,0))="","",INDEX(Hierarchy!$I$2:$I$1295,MATCH($D772,Hierarchy!$A$2:$A$1295,0))),"NODE NOT FOUND"))</f>
        <v/>
      </c>
      <c r="M772" s="17" t="str">
        <f aca="false">IF(B772="Pre-seeded","Pre-seeded",IF(B772="Review 2026-09-16","Added from review",IF(C772="","New",IF(C772=D772,"","Changed"))))</f>
        <v/>
      </c>
      <c r="N772" s="7" t="str">
        <f aca="false">TRIM(SUBSTITUTE(SUBSTITUTE(SUBSTITUTE(" "&amp;TRIM(SUBSTITUTE(SUBSTITUTE(SUBSTITUTE(SUBSTITUTE(SUBSTITUTE(SUBSTITUTE(SUBSTITUTE(SUBSTITUTE(SUBSTITUTE(SUBSTITUTE(SUBSTITUTE(SUBSTITUTE(SUBSTITUTE(SUBSTITUTE(SUBSTITUTE(UPPER(TRIM(A772)),"[MEMBER]",""),"{MEMBER}",""),"[MEMBER}",""),"MEMBER]",""),"(A)",""),"""",""),"“",""),"”",""),".",""),":",""),",",""),"–"," "),"-"," "),"/"," "),"&amp;"," AND "))&amp;" "," THE "," ")," TOTAL "," ")," OPERATIONS "," "))</f>
        <v>IRELAND</v>
      </c>
      <c r="O772" s="17" t="str">
        <f aca="false">IF(COUNTIFS($N$2:$N$2000,N772,$D$2:$D$2000,"&lt;&gt;"&amp;D772)&gt;0,"CONFLICT","")</f>
        <v/>
      </c>
      <c r="P772" s="7"/>
    </row>
    <row r="773" customFormat="false" ht="15" hidden="false" customHeight="false" outlineLevel="0" collapsed="false">
      <c r="A773" s="7" t="s">
        <v>2285</v>
      </c>
      <c r="B773" s="7" t="s">
        <v>1882</v>
      </c>
      <c r="C773" s="7" t="s">
        <v>819</v>
      </c>
      <c r="D773" s="6" t="s">
        <v>819</v>
      </c>
      <c r="E773" s="6" t="s">
        <v>1880</v>
      </c>
      <c r="F773" s="7" t="str">
        <f aca="false">IF($D773="","",IFERROR(IF(INDEX(Hierarchy!$B$2:$B$1295,MATCH($D773,Hierarchy!$A$2:$A$1295,0))="","",INDEX(Hierarchy!$B$2:$B$1295,MATCH($D773,Hierarchy!$A$2:$A$1295,0))),"NODE NOT FOUND"))</f>
        <v>Country</v>
      </c>
      <c r="G773" s="7" t="str">
        <f aca="false">IF($D773="","",IFERROR(IF(INDEX(Hierarchy!$D$2:$D$1295,MATCH($D773,Hierarchy!$A$2:$A$1295,0))="","",INDEX(Hierarchy!$D$2:$D$1295,MATCH($D773,Hierarchy!$A$2:$A$1295,0))),"NODE NOT FOUND"))</f>
        <v>EMEA</v>
      </c>
      <c r="H773" s="7" t="str">
        <f aca="false">IF($D773="","",IFERROR(IF(INDEX(Hierarchy!$E$2:$E$1295,MATCH($D773,Hierarchy!$A$2:$A$1295,0))="","",INDEX(Hierarchy!$E$2:$E$1295,MATCH($D773,Hierarchy!$A$2:$A$1295,0))),"NODE NOT FOUND"))</f>
        <v>Europe</v>
      </c>
      <c r="I773" s="7" t="str">
        <f aca="false">IF($D773="","",IFERROR(IF(INDEX(Hierarchy!$F$2:$F$1295,MATCH($D773,Hierarchy!$A$2:$A$1295,0))="","",INDEX(Hierarchy!$F$2:$F$1295,MATCH($D773,Hierarchy!$A$2:$A$1295,0))),"NODE NOT FOUND"))</f>
        <v>Ireland</v>
      </c>
      <c r="J773" s="7" t="str">
        <f aca="false">IF($D773="","",IFERROR(IF(INDEX(Hierarchy!$G$2:$G$1295,MATCH($D773,Hierarchy!$A$2:$A$1295,0))="","",INDEX(Hierarchy!$G$2:$G$1295,MATCH($D773,Hierarchy!$A$2:$A$1295,0))),"NODE NOT FOUND"))</f>
        <v>IRL</v>
      </c>
      <c r="K773" s="7" t="str">
        <f aca="false">IF($D773="","",IFERROR(IF(INDEX(Hierarchy!$H$2:$H$1295,MATCH($D773,Hierarchy!$A$2:$A$1295,0))="","",INDEX(Hierarchy!$H$2:$H$1295,MATCH($D773,Hierarchy!$A$2:$A$1295,0))),"NODE NOT FOUND"))</f>
        <v/>
      </c>
      <c r="L773" s="7" t="str">
        <f aca="false">IF($D773="","",IFERROR(IF(INDEX(Hierarchy!$I$2:$I$1295,MATCH($D773,Hierarchy!$A$2:$A$1295,0))="","",INDEX(Hierarchy!$I$2:$I$1295,MATCH($D773,Hierarchy!$A$2:$A$1295,0))),"NODE NOT FOUND"))</f>
        <v/>
      </c>
      <c r="M773" s="17" t="str">
        <f aca="false">IF(B773="Pre-seeded","Pre-seeded",IF(B773="Review 2026-09-16","Added from review",IF(C773="","New",IF(C773=D773,"","Changed"))))</f>
        <v/>
      </c>
      <c r="N773" s="7" t="str">
        <f aca="false">TRIM(SUBSTITUTE(SUBSTITUTE(SUBSTITUTE(" "&amp;TRIM(SUBSTITUTE(SUBSTITUTE(SUBSTITUTE(SUBSTITUTE(SUBSTITUTE(SUBSTITUTE(SUBSTITUTE(SUBSTITUTE(SUBSTITUTE(SUBSTITUTE(SUBSTITUTE(SUBSTITUTE(SUBSTITUTE(SUBSTITUTE(SUBSTITUTE(UPPER(TRIM(A773)),"[MEMBER]",""),"{MEMBER}",""),"[MEMBER}",""),"MEMBER]",""),"(A)",""),"""",""),"“",""),"”",""),".",""),":",""),",",""),"–"," "),"-"," "),"/"," "),"&amp;"," AND "))&amp;" "," THE "," ")," TOTAL "," ")," OPERATIONS "," "))</f>
        <v>IRELAND</v>
      </c>
      <c r="O773" s="17" t="str">
        <f aca="false">IF(COUNTIFS($N$2:$N$2000,N773,$D$2:$D$2000,"&lt;&gt;"&amp;D773)&gt;0,"CONFLICT","")</f>
        <v/>
      </c>
      <c r="P773" s="7"/>
    </row>
    <row r="774" customFormat="false" ht="15" hidden="false" customHeight="false" outlineLevel="0" collapsed="false">
      <c r="A774" s="7" t="s">
        <v>2286</v>
      </c>
      <c r="B774" s="7" t="s">
        <v>1905</v>
      </c>
      <c r="C774" s="7" t="s">
        <v>1906</v>
      </c>
      <c r="D774" s="6" t="s">
        <v>141</v>
      </c>
      <c r="E774" s="6" t="s">
        <v>1880</v>
      </c>
      <c r="F774" s="7" t="str">
        <f aca="false">IF($D774="","",IFERROR(IF(INDEX(Hierarchy!$B$2:$B$1295,MATCH($D774,Hierarchy!$A$2:$A$1295,0))="","",INDEX(Hierarchy!$B$2:$B$1295,MATCH($D774,Hierarchy!$A$2:$A$1295,0))),"NODE NOT FOUND"))</f>
        <v>City</v>
      </c>
      <c r="G774" s="7" t="str">
        <f aca="false">IF($D774="","",IFERROR(IF(INDEX(Hierarchy!$D$2:$D$1295,MATCH($D774,Hierarchy!$A$2:$A$1295,0))="","",INDEX(Hierarchy!$D$2:$D$1295,MATCH($D774,Hierarchy!$A$2:$A$1295,0))),"NODE NOT FOUND"))</f>
        <v>AMER</v>
      </c>
      <c r="H774" s="7" t="str">
        <f aca="false">IF($D774="","",IFERROR(IF(INDEX(Hierarchy!$E$2:$E$1295,MATCH($D774,Hierarchy!$A$2:$A$1295,0))="","",INDEX(Hierarchy!$E$2:$E$1295,MATCH($D774,Hierarchy!$A$2:$A$1295,0))),"NODE NOT FOUND"))</f>
        <v>North America (NORAM)</v>
      </c>
      <c r="I774" s="7" t="str">
        <f aca="false">IF($D774="","",IFERROR(IF(INDEX(Hierarchy!$F$2:$F$1295,MATCH($D774,Hierarchy!$A$2:$A$1295,0))="","",INDEX(Hierarchy!$F$2:$F$1295,MATCH($D774,Hierarchy!$A$2:$A$1295,0))),"NODE NOT FOUND"))</f>
        <v>United States</v>
      </c>
      <c r="J774" s="7" t="str">
        <f aca="false">IF($D774="","",IFERROR(IF(INDEX(Hierarchy!$G$2:$G$1295,MATCH($D774,Hierarchy!$A$2:$A$1295,0))="","",INDEX(Hierarchy!$G$2:$G$1295,MATCH($D774,Hierarchy!$A$2:$A$1295,0))),"NODE NOT FOUND"))</f>
        <v>USA</v>
      </c>
      <c r="K774" s="7" t="str">
        <f aca="false">IF($D774="","",IFERROR(IF(INDEX(Hierarchy!$H$2:$H$1295,MATCH($D774,Hierarchy!$A$2:$A$1295,0))="","",INDEX(Hierarchy!$H$2:$H$1295,MATCH($D774,Hierarchy!$A$2:$A$1295,0))),"NODE NOT FOUND"))</f>
        <v>California</v>
      </c>
      <c r="L774" s="7" t="str">
        <f aca="false">IF($D774="","",IFERROR(IF(INDEX(Hierarchy!$I$2:$I$1295,MATCH($D774,Hierarchy!$A$2:$A$1295,0))="","",INDEX(Hierarchy!$I$2:$I$1295,MATCH($D774,Hierarchy!$A$2:$A$1295,0))),"NODE NOT FOUND"))</f>
        <v>Irwindale</v>
      </c>
      <c r="M774" s="17" t="str">
        <f aca="false">IF(B774="Pre-seeded","Pre-seeded",IF(B774="Review 2026-09-16","Added from review",IF(C774="","New",IF(C774=D774,"","Changed"))))</f>
        <v>Changed</v>
      </c>
      <c r="N774" s="7" t="str">
        <f aca="false">TRIM(SUBSTITUTE(SUBSTITUTE(SUBSTITUTE(" "&amp;TRIM(SUBSTITUTE(SUBSTITUTE(SUBSTITUTE(SUBSTITUTE(SUBSTITUTE(SUBSTITUTE(SUBSTITUTE(SUBSTITUTE(SUBSTITUTE(SUBSTITUTE(SUBSTITUTE(SUBSTITUTE(SUBSTITUTE(SUBSTITUTE(SUBSTITUTE(UPPER(TRIM(A774)),"[MEMBER]",""),"{MEMBER}",""),"[MEMBER}",""),"MEMBER]",""),"(A)",""),"""",""),"“",""),"”",""),".",""),":",""),",",""),"–"," "),"-"," "),"/"," "),"&amp;"," AND "))&amp;" "," THE "," ")," TOTAL "," ")," OPERATIONS "," "))</f>
        <v>IRWINDALE BREWERY</v>
      </c>
      <c r="O774" s="17" t="str">
        <f aca="false">IF(COUNTIFS($N$2:$N$2000,N774,$D$2:$D$2000,"&lt;&gt;"&amp;D774)&gt;0,"CONFLICT","")</f>
        <v/>
      </c>
      <c r="P774" s="7" t="s">
        <v>2287</v>
      </c>
    </row>
    <row r="775" customFormat="false" ht="15" hidden="false" customHeight="false" outlineLevel="0" collapsed="false">
      <c r="A775" s="7" t="s">
        <v>1454</v>
      </c>
      <c r="B775" s="7" t="s">
        <v>1879</v>
      </c>
      <c r="C775" s="7"/>
      <c r="D775" s="6" t="s">
        <v>1454</v>
      </c>
      <c r="E775" s="6" t="s">
        <v>1880</v>
      </c>
      <c r="F775" s="7" t="str">
        <f aca="false">IF($D775="","",IFERROR(IF(INDEX(Hierarchy!$B$2:$B$1295,MATCH($D775,Hierarchy!$A$2:$A$1295,0))="","",INDEX(Hierarchy!$B$2:$B$1295,MATCH($D775,Hierarchy!$A$2:$A$1295,0))),"NODE NOT FOUND"))</f>
        <v>State/Province</v>
      </c>
      <c r="G775" s="7" t="str">
        <f aca="false">IF($D775="","",IFERROR(IF(INDEX(Hierarchy!$D$2:$D$1295,MATCH($D775,Hierarchy!$A$2:$A$1295,0))="","",INDEX(Hierarchy!$D$2:$D$1295,MATCH($D775,Hierarchy!$A$2:$A$1295,0))),"NODE NOT FOUND"))</f>
        <v>APAC</v>
      </c>
      <c r="H775" s="7" t="str">
        <f aca="false">IF($D775="","",IFERROR(IF(INDEX(Hierarchy!$E$2:$E$1295,MATCH($D775,Hierarchy!$A$2:$A$1295,0))="","",INDEX(Hierarchy!$E$2:$E$1295,MATCH($D775,Hierarchy!$A$2:$A$1295,0))),"NODE NOT FOUND"))</f>
        <v>East Asia</v>
      </c>
      <c r="I775" s="7" t="str">
        <f aca="false">IF($D775="","",IFERROR(IF(INDEX(Hierarchy!$F$2:$F$1295,MATCH($D775,Hierarchy!$A$2:$A$1295,0))="","",INDEX(Hierarchy!$F$2:$F$1295,MATCH($D775,Hierarchy!$A$2:$A$1295,0))),"NODE NOT FOUND"))</f>
        <v>Japan</v>
      </c>
      <c r="J775" s="7" t="str">
        <f aca="false">IF($D775="","",IFERROR(IF(INDEX(Hierarchy!$G$2:$G$1295,MATCH($D775,Hierarchy!$A$2:$A$1295,0))="","",INDEX(Hierarchy!$G$2:$G$1295,MATCH($D775,Hierarchy!$A$2:$A$1295,0))),"NODE NOT FOUND"))</f>
        <v>JPN</v>
      </c>
      <c r="K775" s="7" t="str">
        <f aca="false">IF($D775="","",IFERROR(IF(INDEX(Hierarchy!$H$2:$H$1295,MATCH($D775,Hierarchy!$A$2:$A$1295,0))="","",INDEX(Hierarchy!$H$2:$H$1295,MATCH($D775,Hierarchy!$A$2:$A$1295,0))),"NODE NOT FOUND"))</f>
        <v>Ishikawa</v>
      </c>
      <c r="L775" s="7" t="str">
        <f aca="false">IF($D775="","",IFERROR(IF(INDEX(Hierarchy!$I$2:$I$1295,MATCH($D775,Hierarchy!$A$2:$A$1295,0))="","",INDEX(Hierarchy!$I$2:$I$1295,MATCH($D775,Hierarchy!$A$2:$A$1295,0))),"NODE NOT FOUND"))</f>
        <v/>
      </c>
      <c r="M775" s="17" t="str">
        <f aca="false">IF(B775="Pre-seeded","Pre-seeded",IF(B775="Review 2026-09-16","Added from review",IF(C775="","New",IF(C775=D775,"","Changed"))))</f>
        <v>Pre-seeded</v>
      </c>
      <c r="N775" s="7" t="str">
        <f aca="false">TRIM(SUBSTITUTE(SUBSTITUTE(SUBSTITUTE(" "&amp;TRIM(SUBSTITUTE(SUBSTITUTE(SUBSTITUTE(SUBSTITUTE(SUBSTITUTE(SUBSTITUTE(SUBSTITUTE(SUBSTITUTE(SUBSTITUTE(SUBSTITUTE(SUBSTITUTE(SUBSTITUTE(SUBSTITUTE(SUBSTITUTE(SUBSTITUTE(UPPER(TRIM(A775)),"[MEMBER]",""),"{MEMBER}",""),"[MEMBER}",""),"MEMBER]",""),"(A)",""),"""",""),"“",""),"”",""),".",""),":",""),",",""),"–"," "),"-"," "),"/"," "),"&amp;"," AND "))&amp;" "," THE "," ")," TOTAL "," ")," OPERATIONS "," "))</f>
        <v>ISHIKAWA</v>
      </c>
      <c r="O775" s="17" t="str">
        <f aca="false">IF(COUNTIFS($N$2:$N$2000,N775,$D$2:$D$2000,"&lt;&gt;"&amp;D775)&gt;0,"CONFLICT","")</f>
        <v/>
      </c>
      <c r="P775" s="7"/>
    </row>
    <row r="776" customFormat="false" ht="15" hidden="false" customHeight="false" outlineLevel="0" collapsed="false">
      <c r="A776" s="7" t="s">
        <v>1401</v>
      </c>
      <c r="B776" s="7" t="s">
        <v>1879</v>
      </c>
      <c r="C776" s="7"/>
      <c r="D776" s="6" t="s">
        <v>1401</v>
      </c>
      <c r="E776" s="6" t="s">
        <v>1880</v>
      </c>
      <c r="F776" s="7" t="str">
        <f aca="false">IF($D776="","",IFERROR(IF(INDEX(Hierarchy!$B$2:$B$1295,MATCH($D776,Hierarchy!$A$2:$A$1295,0))="","",INDEX(Hierarchy!$B$2:$B$1295,MATCH($D776,Hierarchy!$A$2:$A$1295,0))),"NODE NOT FOUND"))</f>
        <v>State/Province</v>
      </c>
      <c r="G776" s="7" t="str">
        <f aca="false">IF($D776="","",IFERROR(IF(INDEX(Hierarchy!$D$2:$D$1295,MATCH($D776,Hierarchy!$A$2:$A$1295,0))="","",INDEX(Hierarchy!$D$2:$D$1295,MATCH($D776,Hierarchy!$A$2:$A$1295,0))),"NODE NOT FOUND"))</f>
        <v>APAC</v>
      </c>
      <c r="H776" s="7" t="str">
        <f aca="false">IF($D776="","",IFERROR(IF(INDEX(Hierarchy!$E$2:$E$1295,MATCH($D776,Hierarchy!$A$2:$A$1295,0))="","",INDEX(Hierarchy!$E$2:$E$1295,MATCH($D776,Hierarchy!$A$2:$A$1295,0))),"NODE NOT FOUND"))</f>
        <v>South Asia</v>
      </c>
      <c r="I776" s="7" t="str">
        <f aca="false">IF($D776="","",IFERROR(IF(INDEX(Hierarchy!$F$2:$F$1295,MATCH($D776,Hierarchy!$A$2:$A$1295,0))="","",INDEX(Hierarchy!$F$2:$F$1295,MATCH($D776,Hierarchy!$A$2:$A$1295,0))),"NODE NOT FOUND"))</f>
        <v>Pakistan</v>
      </c>
      <c r="J776" s="7" t="str">
        <f aca="false">IF($D776="","",IFERROR(IF(INDEX(Hierarchy!$G$2:$G$1295,MATCH($D776,Hierarchy!$A$2:$A$1295,0))="","",INDEX(Hierarchy!$G$2:$G$1295,MATCH($D776,Hierarchy!$A$2:$A$1295,0))),"NODE NOT FOUND"))</f>
        <v>PAK</v>
      </c>
      <c r="K776" s="7" t="str">
        <f aca="false">IF($D776="","",IFERROR(IF(INDEX(Hierarchy!$H$2:$H$1295,MATCH($D776,Hierarchy!$A$2:$A$1295,0))="","",INDEX(Hierarchy!$H$2:$H$1295,MATCH($D776,Hierarchy!$A$2:$A$1295,0))),"NODE NOT FOUND"))</f>
        <v>Islamabad Capital Territory</v>
      </c>
      <c r="L776" s="7" t="str">
        <f aca="false">IF($D776="","",IFERROR(IF(INDEX(Hierarchy!$I$2:$I$1295,MATCH($D776,Hierarchy!$A$2:$A$1295,0))="","",INDEX(Hierarchy!$I$2:$I$1295,MATCH($D776,Hierarchy!$A$2:$A$1295,0))),"NODE NOT FOUND"))</f>
        <v/>
      </c>
      <c r="M776" s="17" t="str">
        <f aca="false">IF(B776="Pre-seeded","Pre-seeded",IF(B776="Review 2026-09-16","Added from review",IF(C776="","New",IF(C776=D776,"","Changed"))))</f>
        <v>Pre-seeded</v>
      </c>
      <c r="N776" s="7" t="str">
        <f aca="false">TRIM(SUBSTITUTE(SUBSTITUTE(SUBSTITUTE(" "&amp;TRIM(SUBSTITUTE(SUBSTITUTE(SUBSTITUTE(SUBSTITUTE(SUBSTITUTE(SUBSTITUTE(SUBSTITUTE(SUBSTITUTE(SUBSTITUTE(SUBSTITUTE(SUBSTITUTE(SUBSTITUTE(SUBSTITUTE(SUBSTITUTE(SUBSTITUTE(UPPER(TRIM(A776)),"[MEMBER]",""),"{MEMBER}",""),"[MEMBER}",""),"MEMBER]",""),"(A)",""),"""",""),"“",""),"”",""),".",""),":",""),",",""),"–"," "),"-"," "),"/"," "),"&amp;"," AND "))&amp;" "," THE "," ")," TOTAL "," ")," OPERATIONS "," "))</f>
        <v>ISLAMABAD CAPITAL TERRITORY</v>
      </c>
      <c r="O776" s="17" t="str">
        <f aca="false">IF(COUNTIFS($N$2:$N$2000,N776,$D$2:$D$2000,"&lt;&gt;"&amp;D776)&gt;0,"CONFLICT","")</f>
        <v/>
      </c>
      <c r="P776" s="7"/>
    </row>
    <row r="777" customFormat="false" ht="15" hidden="false" customHeight="false" outlineLevel="0" collapsed="false">
      <c r="A777" s="7" t="s">
        <v>2288</v>
      </c>
      <c r="B777" s="7" t="s">
        <v>1879</v>
      </c>
      <c r="C777" s="7"/>
      <c r="D777" s="6" t="s">
        <v>1372</v>
      </c>
      <c r="E777" s="6" t="s">
        <v>1880</v>
      </c>
      <c r="F777" s="7" t="str">
        <f aca="false">IF($D777="","",IFERROR(IF(INDEX(Hierarchy!$B$2:$B$1295,MATCH($D777,Hierarchy!$A$2:$A$1295,0))="","",INDEX(Hierarchy!$B$2:$B$1295,MATCH($D777,Hierarchy!$A$2:$A$1295,0))),"NODE NOT FOUND"))</f>
        <v>Country</v>
      </c>
      <c r="G777" s="7" t="str">
        <f aca="false">IF($D777="","",IFERROR(IF(INDEX(Hierarchy!$D$2:$D$1295,MATCH($D777,Hierarchy!$A$2:$A$1295,0))="","",INDEX(Hierarchy!$D$2:$D$1295,MATCH($D777,Hierarchy!$A$2:$A$1295,0))),"NODE NOT FOUND"))</f>
        <v>APAC</v>
      </c>
      <c r="H777" s="7" t="str">
        <f aca="false">IF($D777="","",IFERROR(IF(INDEX(Hierarchy!$E$2:$E$1295,MATCH($D777,Hierarchy!$A$2:$A$1295,0))="","",INDEX(Hierarchy!$E$2:$E$1295,MATCH($D777,Hierarchy!$A$2:$A$1295,0))),"NODE NOT FOUND"))</f>
        <v>South Asia</v>
      </c>
      <c r="I777" s="7" t="str">
        <f aca="false">IF($D777="","",IFERROR(IF(INDEX(Hierarchy!$F$2:$F$1295,MATCH($D777,Hierarchy!$A$2:$A$1295,0))="","",INDEX(Hierarchy!$F$2:$F$1295,MATCH($D777,Hierarchy!$A$2:$A$1295,0))),"NODE NOT FOUND"))</f>
        <v>Afghanistan</v>
      </c>
      <c r="J777" s="7" t="str">
        <f aca="false">IF($D777="","",IFERROR(IF(INDEX(Hierarchy!$G$2:$G$1295,MATCH($D777,Hierarchy!$A$2:$A$1295,0))="","",INDEX(Hierarchy!$G$2:$G$1295,MATCH($D777,Hierarchy!$A$2:$A$1295,0))),"NODE NOT FOUND"))</f>
        <v>AFG</v>
      </c>
      <c r="K777" s="7" t="str">
        <f aca="false">IF($D777="","",IFERROR(IF(INDEX(Hierarchy!$H$2:$H$1295,MATCH($D777,Hierarchy!$A$2:$A$1295,0))="","",INDEX(Hierarchy!$H$2:$H$1295,MATCH($D777,Hierarchy!$A$2:$A$1295,0))),"NODE NOT FOUND"))</f>
        <v/>
      </c>
      <c r="L777" s="7" t="str">
        <f aca="false">IF($D777="","",IFERROR(IF(INDEX(Hierarchy!$I$2:$I$1295,MATCH($D777,Hierarchy!$A$2:$A$1295,0))="","",INDEX(Hierarchy!$I$2:$I$1295,MATCH($D777,Hierarchy!$A$2:$A$1295,0))),"NODE NOT FOUND"))</f>
        <v/>
      </c>
      <c r="M777" s="17" t="str">
        <f aca="false">IF(B777="Pre-seeded","Pre-seeded",IF(B777="Review 2026-09-16","Added from review",IF(C777="","New",IF(C777=D777,"","Changed"))))</f>
        <v>Pre-seeded</v>
      </c>
      <c r="N777" s="7" t="str">
        <f aca="false">TRIM(SUBSTITUTE(SUBSTITUTE(SUBSTITUTE(" "&amp;TRIM(SUBSTITUTE(SUBSTITUTE(SUBSTITUTE(SUBSTITUTE(SUBSTITUTE(SUBSTITUTE(SUBSTITUTE(SUBSTITUTE(SUBSTITUTE(SUBSTITUTE(SUBSTITUTE(SUBSTITUTE(SUBSTITUTE(SUBSTITUTE(SUBSTITUTE(UPPER(TRIM(A777)),"[MEMBER]",""),"{MEMBER}",""),"[MEMBER}",""),"MEMBER]",""),"(A)",""),"""",""),"“",""),"”",""),".",""),":",""),",",""),"–"," "),"-"," "),"/"," "),"&amp;"," AND "))&amp;" "," THE "," ")," TOTAL "," ")," OPERATIONS "," "))</f>
        <v>ISLAMIC REPUBLIC OF AFGHANISTAN</v>
      </c>
      <c r="O777" s="17" t="str">
        <f aca="false">IF(COUNTIFS($N$2:$N$2000,N777,$D$2:$D$2000,"&lt;&gt;"&amp;D777)&gt;0,"CONFLICT","")</f>
        <v/>
      </c>
      <c r="P777" s="7" t="s">
        <v>1936</v>
      </c>
    </row>
    <row r="778" customFormat="false" ht="15" hidden="false" customHeight="false" outlineLevel="0" collapsed="false">
      <c r="A778" s="7" t="s">
        <v>2289</v>
      </c>
      <c r="B778" s="7" t="s">
        <v>1879</v>
      </c>
      <c r="C778" s="7"/>
      <c r="D778" s="6" t="s">
        <v>1065</v>
      </c>
      <c r="E778" s="6" t="s">
        <v>1880</v>
      </c>
      <c r="F778" s="7" t="str">
        <f aca="false">IF($D778="","",IFERROR(IF(INDEX(Hierarchy!$B$2:$B$1295,MATCH($D778,Hierarchy!$A$2:$A$1295,0))="","",INDEX(Hierarchy!$B$2:$B$1295,MATCH($D778,Hierarchy!$A$2:$A$1295,0))),"NODE NOT FOUND"))</f>
        <v>Country</v>
      </c>
      <c r="G778" s="7" t="str">
        <f aca="false">IF($D778="","",IFERROR(IF(INDEX(Hierarchy!$D$2:$D$1295,MATCH($D778,Hierarchy!$A$2:$A$1295,0))="","",INDEX(Hierarchy!$D$2:$D$1295,MATCH($D778,Hierarchy!$A$2:$A$1295,0))),"NODE NOT FOUND"))</f>
        <v>EMEA</v>
      </c>
      <c r="H778" s="7" t="str">
        <f aca="false">IF($D778="","",IFERROR(IF(INDEX(Hierarchy!$E$2:$E$1295,MATCH($D778,Hierarchy!$A$2:$A$1295,0))="","",INDEX(Hierarchy!$E$2:$E$1295,MATCH($D778,Hierarchy!$A$2:$A$1295,0))),"NODE NOT FOUND"))</f>
        <v>Middle East</v>
      </c>
      <c r="I778" s="7" t="str">
        <f aca="false">IF($D778="","",IFERROR(IF(INDEX(Hierarchy!$F$2:$F$1295,MATCH($D778,Hierarchy!$A$2:$A$1295,0))="","",INDEX(Hierarchy!$F$2:$F$1295,MATCH($D778,Hierarchy!$A$2:$A$1295,0))),"NODE NOT FOUND"))</f>
        <v>Iran</v>
      </c>
      <c r="J778" s="7" t="str">
        <f aca="false">IF($D778="","",IFERROR(IF(INDEX(Hierarchy!$G$2:$G$1295,MATCH($D778,Hierarchy!$A$2:$A$1295,0))="","",INDEX(Hierarchy!$G$2:$G$1295,MATCH($D778,Hierarchy!$A$2:$A$1295,0))),"NODE NOT FOUND"))</f>
        <v>IRN</v>
      </c>
      <c r="K778" s="7" t="str">
        <f aca="false">IF($D778="","",IFERROR(IF(INDEX(Hierarchy!$H$2:$H$1295,MATCH($D778,Hierarchy!$A$2:$A$1295,0))="","",INDEX(Hierarchy!$H$2:$H$1295,MATCH($D778,Hierarchy!$A$2:$A$1295,0))),"NODE NOT FOUND"))</f>
        <v/>
      </c>
      <c r="L778" s="7" t="str">
        <f aca="false">IF($D778="","",IFERROR(IF(INDEX(Hierarchy!$I$2:$I$1295,MATCH($D778,Hierarchy!$A$2:$A$1295,0))="","",INDEX(Hierarchy!$I$2:$I$1295,MATCH($D778,Hierarchy!$A$2:$A$1295,0))),"NODE NOT FOUND"))</f>
        <v/>
      </c>
      <c r="M778" s="17" t="str">
        <f aca="false">IF(B778="Pre-seeded","Pre-seeded",IF(B778="Review 2026-09-16","Added from review",IF(C778="","New",IF(C778=D778,"","Changed"))))</f>
        <v>Pre-seeded</v>
      </c>
      <c r="N778" s="7" t="str">
        <f aca="false">TRIM(SUBSTITUTE(SUBSTITUTE(SUBSTITUTE(" "&amp;TRIM(SUBSTITUTE(SUBSTITUTE(SUBSTITUTE(SUBSTITUTE(SUBSTITUTE(SUBSTITUTE(SUBSTITUTE(SUBSTITUTE(SUBSTITUTE(SUBSTITUTE(SUBSTITUTE(SUBSTITUTE(SUBSTITUTE(SUBSTITUTE(SUBSTITUTE(UPPER(TRIM(A778)),"[MEMBER]",""),"{MEMBER}",""),"[MEMBER}",""),"MEMBER]",""),"(A)",""),"""",""),"“",""),"”",""),".",""),":",""),",",""),"–"," "),"-"," "),"/"," "),"&amp;"," AND "))&amp;" "," THE "," ")," TOTAL "," ")," OPERATIONS "," "))</f>
        <v>ISLAMIC REPUBLIC OF IRAN</v>
      </c>
      <c r="O778" s="17" t="str">
        <f aca="false">IF(COUNTIFS($N$2:$N$2000,N778,$D$2:$D$2000,"&lt;&gt;"&amp;D778)&gt;0,"CONFLICT","")</f>
        <v/>
      </c>
      <c r="P778" s="7" t="s">
        <v>1936</v>
      </c>
    </row>
    <row r="779" customFormat="false" ht="15" hidden="false" customHeight="false" outlineLevel="0" collapsed="false">
      <c r="A779" s="7" t="s">
        <v>2290</v>
      </c>
      <c r="B779" s="7" t="s">
        <v>1879</v>
      </c>
      <c r="C779" s="7"/>
      <c r="D779" s="6" t="s">
        <v>1254</v>
      </c>
      <c r="E779" s="6" t="s">
        <v>1880</v>
      </c>
      <c r="F779" s="7" t="str">
        <f aca="false">IF($D779="","",IFERROR(IF(INDEX(Hierarchy!$B$2:$B$1295,MATCH($D779,Hierarchy!$A$2:$A$1295,0))="","",INDEX(Hierarchy!$B$2:$B$1295,MATCH($D779,Hierarchy!$A$2:$A$1295,0))),"NODE NOT FOUND"))</f>
        <v>Country</v>
      </c>
      <c r="G779" s="7" t="str">
        <f aca="false">IF($D779="","",IFERROR(IF(INDEX(Hierarchy!$D$2:$D$1295,MATCH($D779,Hierarchy!$A$2:$A$1295,0))="","",INDEX(Hierarchy!$D$2:$D$1295,MATCH($D779,Hierarchy!$A$2:$A$1295,0))),"NODE NOT FOUND"))</f>
        <v>EMEA</v>
      </c>
      <c r="H779" s="7" t="str">
        <f aca="false">IF($D779="","",IFERROR(IF(INDEX(Hierarchy!$E$2:$E$1295,MATCH($D779,Hierarchy!$A$2:$A$1295,0))="","",INDEX(Hierarchy!$E$2:$E$1295,MATCH($D779,Hierarchy!$A$2:$A$1295,0))),"NODE NOT FOUND"))</f>
        <v>Africa</v>
      </c>
      <c r="I779" s="7" t="str">
        <f aca="false">IF($D779="","",IFERROR(IF(INDEX(Hierarchy!$F$2:$F$1295,MATCH($D779,Hierarchy!$A$2:$A$1295,0))="","",INDEX(Hierarchy!$F$2:$F$1295,MATCH($D779,Hierarchy!$A$2:$A$1295,0))),"NODE NOT FOUND"))</f>
        <v>Mauritania</v>
      </c>
      <c r="J779" s="7" t="str">
        <f aca="false">IF($D779="","",IFERROR(IF(INDEX(Hierarchy!$G$2:$G$1295,MATCH($D779,Hierarchy!$A$2:$A$1295,0))="","",INDEX(Hierarchy!$G$2:$G$1295,MATCH($D779,Hierarchy!$A$2:$A$1295,0))),"NODE NOT FOUND"))</f>
        <v>MRT</v>
      </c>
      <c r="K779" s="7" t="str">
        <f aca="false">IF($D779="","",IFERROR(IF(INDEX(Hierarchy!$H$2:$H$1295,MATCH($D779,Hierarchy!$A$2:$A$1295,0))="","",INDEX(Hierarchy!$H$2:$H$1295,MATCH($D779,Hierarchy!$A$2:$A$1295,0))),"NODE NOT FOUND"))</f>
        <v/>
      </c>
      <c r="L779" s="7" t="str">
        <f aca="false">IF($D779="","",IFERROR(IF(INDEX(Hierarchy!$I$2:$I$1295,MATCH($D779,Hierarchy!$A$2:$A$1295,0))="","",INDEX(Hierarchy!$I$2:$I$1295,MATCH($D779,Hierarchy!$A$2:$A$1295,0))),"NODE NOT FOUND"))</f>
        <v/>
      </c>
      <c r="M779" s="17" t="str">
        <f aca="false">IF(B779="Pre-seeded","Pre-seeded",IF(B779="Review 2026-09-16","Added from review",IF(C779="","New",IF(C779=D779,"","Changed"))))</f>
        <v>Pre-seeded</v>
      </c>
      <c r="N779" s="7" t="str">
        <f aca="false">TRIM(SUBSTITUTE(SUBSTITUTE(SUBSTITUTE(" "&amp;TRIM(SUBSTITUTE(SUBSTITUTE(SUBSTITUTE(SUBSTITUTE(SUBSTITUTE(SUBSTITUTE(SUBSTITUTE(SUBSTITUTE(SUBSTITUTE(SUBSTITUTE(SUBSTITUTE(SUBSTITUTE(SUBSTITUTE(SUBSTITUTE(SUBSTITUTE(UPPER(TRIM(A779)),"[MEMBER]",""),"{MEMBER}",""),"[MEMBER}",""),"MEMBER]",""),"(A)",""),"""",""),"“",""),"”",""),".",""),":",""),",",""),"–"," "),"-"," "),"/"," "),"&amp;"," AND "))&amp;" "," THE "," ")," TOTAL "," ")," OPERATIONS "," "))</f>
        <v>ISLAMIC REPUBLIC OF MAURITANIA</v>
      </c>
      <c r="O779" s="17" t="str">
        <f aca="false">IF(COUNTIFS($N$2:$N$2000,N779,$D$2:$D$2000,"&lt;&gt;"&amp;D779)&gt;0,"CONFLICT","")</f>
        <v/>
      </c>
      <c r="P779" s="7" t="s">
        <v>1936</v>
      </c>
    </row>
    <row r="780" customFormat="false" ht="15" hidden="false" customHeight="false" outlineLevel="0" collapsed="false">
      <c r="A780" s="7" t="s">
        <v>2291</v>
      </c>
      <c r="B780" s="7" t="s">
        <v>1879</v>
      </c>
      <c r="C780" s="7"/>
      <c r="D780" s="6" t="s">
        <v>1395</v>
      </c>
      <c r="E780" s="6" t="s">
        <v>1880</v>
      </c>
      <c r="F780" s="7" t="str">
        <f aca="false">IF($D780="","",IFERROR(IF(INDEX(Hierarchy!$B$2:$B$1295,MATCH($D780,Hierarchy!$A$2:$A$1295,0))="","",INDEX(Hierarchy!$B$2:$B$1295,MATCH($D780,Hierarchy!$A$2:$A$1295,0))),"NODE NOT FOUND"))</f>
        <v>Country</v>
      </c>
      <c r="G780" s="7" t="str">
        <f aca="false">IF($D780="","",IFERROR(IF(INDEX(Hierarchy!$D$2:$D$1295,MATCH($D780,Hierarchy!$A$2:$A$1295,0))="","",INDEX(Hierarchy!$D$2:$D$1295,MATCH($D780,Hierarchy!$A$2:$A$1295,0))),"NODE NOT FOUND"))</f>
        <v>APAC</v>
      </c>
      <c r="H780" s="7" t="str">
        <f aca="false">IF($D780="","",IFERROR(IF(INDEX(Hierarchy!$E$2:$E$1295,MATCH($D780,Hierarchy!$A$2:$A$1295,0))="","",INDEX(Hierarchy!$E$2:$E$1295,MATCH($D780,Hierarchy!$A$2:$A$1295,0))),"NODE NOT FOUND"))</f>
        <v>South Asia</v>
      </c>
      <c r="I780" s="7" t="str">
        <f aca="false">IF($D780="","",IFERROR(IF(INDEX(Hierarchy!$F$2:$F$1295,MATCH($D780,Hierarchy!$A$2:$A$1295,0))="","",INDEX(Hierarchy!$F$2:$F$1295,MATCH($D780,Hierarchy!$A$2:$A$1295,0))),"NODE NOT FOUND"))</f>
        <v>Pakistan</v>
      </c>
      <c r="J780" s="7" t="str">
        <f aca="false">IF($D780="","",IFERROR(IF(INDEX(Hierarchy!$G$2:$G$1295,MATCH($D780,Hierarchy!$A$2:$A$1295,0))="","",INDEX(Hierarchy!$G$2:$G$1295,MATCH($D780,Hierarchy!$A$2:$A$1295,0))),"NODE NOT FOUND"))</f>
        <v>PAK</v>
      </c>
      <c r="K780" s="7" t="str">
        <f aca="false">IF($D780="","",IFERROR(IF(INDEX(Hierarchy!$H$2:$H$1295,MATCH($D780,Hierarchy!$A$2:$A$1295,0))="","",INDEX(Hierarchy!$H$2:$H$1295,MATCH($D780,Hierarchy!$A$2:$A$1295,0))),"NODE NOT FOUND"))</f>
        <v/>
      </c>
      <c r="L780" s="7" t="str">
        <f aca="false">IF($D780="","",IFERROR(IF(INDEX(Hierarchy!$I$2:$I$1295,MATCH($D780,Hierarchy!$A$2:$A$1295,0))="","",INDEX(Hierarchy!$I$2:$I$1295,MATCH($D780,Hierarchy!$A$2:$A$1295,0))),"NODE NOT FOUND"))</f>
        <v/>
      </c>
      <c r="M780" s="17" t="str">
        <f aca="false">IF(B780="Pre-seeded","Pre-seeded",IF(B780="Review 2026-09-16","Added from review",IF(C780="","New",IF(C780=D780,"","Changed"))))</f>
        <v>Pre-seeded</v>
      </c>
      <c r="N780" s="7" t="str">
        <f aca="false">TRIM(SUBSTITUTE(SUBSTITUTE(SUBSTITUTE(" "&amp;TRIM(SUBSTITUTE(SUBSTITUTE(SUBSTITUTE(SUBSTITUTE(SUBSTITUTE(SUBSTITUTE(SUBSTITUTE(SUBSTITUTE(SUBSTITUTE(SUBSTITUTE(SUBSTITUTE(SUBSTITUTE(SUBSTITUTE(SUBSTITUTE(SUBSTITUTE(UPPER(TRIM(A780)),"[MEMBER]",""),"{MEMBER}",""),"[MEMBER}",""),"MEMBER]",""),"(A)",""),"""",""),"“",""),"”",""),".",""),":",""),",",""),"–"," "),"-"," "),"/"," "),"&amp;"," AND "))&amp;" "," THE "," ")," TOTAL "," ")," OPERATIONS "," "))</f>
        <v>ISLAMIC REPUBLIC OF PAKISTAN</v>
      </c>
      <c r="O780" s="17" t="str">
        <f aca="false">IF(COUNTIFS($N$2:$N$2000,N780,$D$2:$D$2000,"&lt;&gt;"&amp;D780)&gt;0,"CONFLICT","")</f>
        <v/>
      </c>
      <c r="P780" s="7" t="s">
        <v>1936</v>
      </c>
    </row>
    <row r="781" customFormat="false" ht="15" hidden="false" customHeight="false" outlineLevel="0" collapsed="false">
      <c r="A781" s="7" t="s">
        <v>827</v>
      </c>
      <c r="B781" s="7" t="s">
        <v>1879</v>
      </c>
      <c r="C781" s="7"/>
      <c r="D781" s="6" t="s">
        <v>827</v>
      </c>
      <c r="E781" s="6" t="s">
        <v>1880</v>
      </c>
      <c r="F781" s="7" t="str">
        <f aca="false">IF($D781="","",IFERROR(IF(INDEX(Hierarchy!$B$2:$B$1295,MATCH($D781,Hierarchy!$A$2:$A$1295,0))="","",INDEX(Hierarchy!$B$2:$B$1295,MATCH($D781,Hierarchy!$A$2:$A$1295,0))),"NODE NOT FOUND"))</f>
        <v>Country</v>
      </c>
      <c r="G781" s="7" t="str">
        <f aca="false">IF($D781="","",IFERROR(IF(INDEX(Hierarchy!$D$2:$D$1295,MATCH($D781,Hierarchy!$A$2:$A$1295,0))="","",INDEX(Hierarchy!$D$2:$D$1295,MATCH($D781,Hierarchy!$A$2:$A$1295,0))),"NODE NOT FOUND"))</f>
        <v>EMEA</v>
      </c>
      <c r="H781" s="7" t="str">
        <f aca="false">IF($D781="","",IFERROR(IF(INDEX(Hierarchy!$E$2:$E$1295,MATCH($D781,Hierarchy!$A$2:$A$1295,0))="","",INDEX(Hierarchy!$E$2:$E$1295,MATCH($D781,Hierarchy!$A$2:$A$1295,0))),"NODE NOT FOUND"))</f>
        <v>Europe</v>
      </c>
      <c r="I781" s="7" t="str">
        <f aca="false">IF($D781="","",IFERROR(IF(INDEX(Hierarchy!$F$2:$F$1295,MATCH($D781,Hierarchy!$A$2:$A$1295,0))="","",INDEX(Hierarchy!$F$2:$F$1295,MATCH($D781,Hierarchy!$A$2:$A$1295,0))),"NODE NOT FOUND"))</f>
        <v>Isle of Man</v>
      </c>
      <c r="J781" s="7" t="str">
        <f aca="false">IF($D781="","",IFERROR(IF(INDEX(Hierarchy!$G$2:$G$1295,MATCH($D781,Hierarchy!$A$2:$A$1295,0))="","",INDEX(Hierarchy!$G$2:$G$1295,MATCH($D781,Hierarchy!$A$2:$A$1295,0))),"NODE NOT FOUND"))</f>
        <v>IMN</v>
      </c>
      <c r="K781" s="7" t="str">
        <f aca="false">IF($D781="","",IFERROR(IF(INDEX(Hierarchy!$H$2:$H$1295,MATCH($D781,Hierarchy!$A$2:$A$1295,0))="","",INDEX(Hierarchy!$H$2:$H$1295,MATCH($D781,Hierarchy!$A$2:$A$1295,0))),"NODE NOT FOUND"))</f>
        <v/>
      </c>
      <c r="L781" s="7" t="str">
        <f aca="false">IF($D781="","",IFERROR(IF(INDEX(Hierarchy!$I$2:$I$1295,MATCH($D781,Hierarchy!$A$2:$A$1295,0))="","",INDEX(Hierarchy!$I$2:$I$1295,MATCH($D781,Hierarchy!$A$2:$A$1295,0))),"NODE NOT FOUND"))</f>
        <v/>
      </c>
      <c r="M781" s="17" t="str">
        <f aca="false">IF(B781="Pre-seeded","Pre-seeded",IF(B781="Review 2026-09-16","Added from review",IF(C781="","New",IF(C781=D781,"","Changed"))))</f>
        <v>Pre-seeded</v>
      </c>
      <c r="N781" s="7" t="str">
        <f aca="false">TRIM(SUBSTITUTE(SUBSTITUTE(SUBSTITUTE(" "&amp;TRIM(SUBSTITUTE(SUBSTITUTE(SUBSTITUTE(SUBSTITUTE(SUBSTITUTE(SUBSTITUTE(SUBSTITUTE(SUBSTITUTE(SUBSTITUTE(SUBSTITUTE(SUBSTITUTE(SUBSTITUTE(SUBSTITUTE(SUBSTITUTE(SUBSTITUTE(UPPER(TRIM(A781)),"[MEMBER]",""),"{MEMBER}",""),"[MEMBER}",""),"MEMBER]",""),"(A)",""),"""",""),"“",""),"”",""),".",""),":",""),",",""),"–"," "),"-"," "),"/"," "),"&amp;"," AND "))&amp;" "," THE "," ")," TOTAL "," ")," OPERATIONS "," "))</f>
        <v>ISLE OF MAN</v>
      </c>
      <c r="O781" s="17" t="str">
        <f aca="false">IF(COUNTIFS($N$2:$N$2000,N781,$D$2:$D$2000,"&lt;&gt;"&amp;D781)&gt;0,"CONFLICT","")</f>
        <v/>
      </c>
      <c r="P781" s="7"/>
    </row>
    <row r="782" customFormat="false" ht="15" hidden="false" customHeight="false" outlineLevel="0" collapsed="false">
      <c r="A782" s="7" t="s">
        <v>1071</v>
      </c>
      <c r="B782" s="7" t="s">
        <v>1882</v>
      </c>
      <c r="C782" s="7" t="s">
        <v>1071</v>
      </c>
      <c r="D782" s="6" t="s">
        <v>1071</v>
      </c>
      <c r="E782" s="6" t="s">
        <v>1880</v>
      </c>
      <c r="F782" s="7" t="str">
        <f aca="false">IF($D782="","",IFERROR(IF(INDEX(Hierarchy!$B$2:$B$1295,MATCH($D782,Hierarchy!$A$2:$A$1295,0))="","",INDEX(Hierarchy!$B$2:$B$1295,MATCH($D782,Hierarchy!$A$2:$A$1295,0))),"NODE NOT FOUND"))</f>
        <v>Country</v>
      </c>
      <c r="G782" s="7" t="str">
        <f aca="false">IF($D782="","",IFERROR(IF(INDEX(Hierarchy!$D$2:$D$1295,MATCH($D782,Hierarchy!$A$2:$A$1295,0))="","",INDEX(Hierarchy!$D$2:$D$1295,MATCH($D782,Hierarchy!$A$2:$A$1295,0))),"NODE NOT FOUND"))</f>
        <v>EMEA</v>
      </c>
      <c r="H782" s="7" t="str">
        <f aca="false">IF($D782="","",IFERROR(IF(INDEX(Hierarchy!$E$2:$E$1295,MATCH($D782,Hierarchy!$A$2:$A$1295,0))="","",INDEX(Hierarchy!$E$2:$E$1295,MATCH($D782,Hierarchy!$A$2:$A$1295,0))),"NODE NOT FOUND"))</f>
        <v>Middle East</v>
      </c>
      <c r="I782" s="7" t="str">
        <f aca="false">IF($D782="","",IFERROR(IF(INDEX(Hierarchy!$F$2:$F$1295,MATCH($D782,Hierarchy!$A$2:$A$1295,0))="","",INDEX(Hierarchy!$F$2:$F$1295,MATCH($D782,Hierarchy!$A$2:$A$1295,0))),"NODE NOT FOUND"))</f>
        <v>Israel</v>
      </c>
      <c r="J782" s="7" t="str">
        <f aca="false">IF($D782="","",IFERROR(IF(INDEX(Hierarchy!$G$2:$G$1295,MATCH($D782,Hierarchy!$A$2:$A$1295,0))="","",INDEX(Hierarchy!$G$2:$G$1295,MATCH($D782,Hierarchy!$A$2:$A$1295,0))),"NODE NOT FOUND"))</f>
        <v>ISR</v>
      </c>
      <c r="K782" s="7" t="str">
        <f aca="false">IF($D782="","",IFERROR(IF(INDEX(Hierarchy!$H$2:$H$1295,MATCH($D782,Hierarchy!$A$2:$A$1295,0))="","",INDEX(Hierarchy!$H$2:$H$1295,MATCH($D782,Hierarchy!$A$2:$A$1295,0))),"NODE NOT FOUND"))</f>
        <v/>
      </c>
      <c r="L782" s="7" t="str">
        <f aca="false">IF($D782="","",IFERROR(IF(INDEX(Hierarchy!$I$2:$I$1295,MATCH($D782,Hierarchy!$A$2:$A$1295,0))="","",INDEX(Hierarchy!$I$2:$I$1295,MATCH($D782,Hierarchy!$A$2:$A$1295,0))),"NODE NOT FOUND"))</f>
        <v/>
      </c>
      <c r="M782" s="17" t="str">
        <f aca="false">IF(B782="Pre-seeded","Pre-seeded",IF(B782="Review 2026-09-16","Added from review",IF(C782="","New",IF(C782=D782,"","Changed"))))</f>
        <v/>
      </c>
      <c r="N782" s="7" t="str">
        <f aca="false">TRIM(SUBSTITUTE(SUBSTITUTE(SUBSTITUTE(" "&amp;TRIM(SUBSTITUTE(SUBSTITUTE(SUBSTITUTE(SUBSTITUTE(SUBSTITUTE(SUBSTITUTE(SUBSTITUTE(SUBSTITUTE(SUBSTITUTE(SUBSTITUTE(SUBSTITUTE(SUBSTITUTE(SUBSTITUTE(SUBSTITUTE(SUBSTITUTE(UPPER(TRIM(A782)),"[MEMBER]",""),"{MEMBER}",""),"[MEMBER}",""),"MEMBER]",""),"(A)",""),"""",""),"“",""),"”",""),".",""),":",""),",",""),"–"," "),"-"," "),"/"," "),"&amp;"," AND "))&amp;" "," THE "," ")," TOTAL "," ")," OPERATIONS "," "))</f>
        <v>ISRAEL</v>
      </c>
      <c r="O782" s="17" t="str">
        <f aca="false">IF(COUNTIFS($N$2:$N$2000,N782,$D$2:$D$2000,"&lt;&gt;"&amp;D782)&gt;0,"CONFLICT","")</f>
        <v/>
      </c>
      <c r="P782" s="7"/>
    </row>
    <row r="783" customFormat="false" ht="15" hidden="false" customHeight="false" outlineLevel="0" collapsed="false">
      <c r="A783" s="7" t="s">
        <v>2292</v>
      </c>
      <c r="B783" s="7" t="s">
        <v>1882</v>
      </c>
      <c r="C783" s="7" t="s">
        <v>1071</v>
      </c>
      <c r="D783" s="6" t="s">
        <v>1071</v>
      </c>
      <c r="E783" s="6" t="s">
        <v>1880</v>
      </c>
      <c r="F783" s="7" t="str">
        <f aca="false">IF($D783="","",IFERROR(IF(INDEX(Hierarchy!$B$2:$B$1295,MATCH($D783,Hierarchy!$A$2:$A$1295,0))="","",INDEX(Hierarchy!$B$2:$B$1295,MATCH($D783,Hierarchy!$A$2:$A$1295,0))),"NODE NOT FOUND"))</f>
        <v>Country</v>
      </c>
      <c r="G783" s="7" t="str">
        <f aca="false">IF($D783="","",IFERROR(IF(INDEX(Hierarchy!$D$2:$D$1295,MATCH($D783,Hierarchy!$A$2:$A$1295,0))="","",INDEX(Hierarchy!$D$2:$D$1295,MATCH($D783,Hierarchy!$A$2:$A$1295,0))),"NODE NOT FOUND"))</f>
        <v>EMEA</v>
      </c>
      <c r="H783" s="7" t="str">
        <f aca="false">IF($D783="","",IFERROR(IF(INDEX(Hierarchy!$E$2:$E$1295,MATCH($D783,Hierarchy!$A$2:$A$1295,0))="","",INDEX(Hierarchy!$E$2:$E$1295,MATCH($D783,Hierarchy!$A$2:$A$1295,0))),"NODE NOT FOUND"))</f>
        <v>Middle East</v>
      </c>
      <c r="I783" s="7" t="str">
        <f aca="false">IF($D783="","",IFERROR(IF(INDEX(Hierarchy!$F$2:$F$1295,MATCH($D783,Hierarchy!$A$2:$A$1295,0))="","",INDEX(Hierarchy!$F$2:$F$1295,MATCH($D783,Hierarchy!$A$2:$A$1295,0))),"NODE NOT FOUND"))</f>
        <v>Israel</v>
      </c>
      <c r="J783" s="7" t="str">
        <f aca="false">IF($D783="","",IFERROR(IF(INDEX(Hierarchy!$G$2:$G$1295,MATCH($D783,Hierarchy!$A$2:$A$1295,0))="","",INDEX(Hierarchy!$G$2:$G$1295,MATCH($D783,Hierarchy!$A$2:$A$1295,0))),"NODE NOT FOUND"))</f>
        <v>ISR</v>
      </c>
      <c r="K783" s="7" t="str">
        <f aca="false">IF($D783="","",IFERROR(IF(INDEX(Hierarchy!$H$2:$H$1295,MATCH($D783,Hierarchy!$A$2:$A$1295,0))="","",INDEX(Hierarchy!$H$2:$H$1295,MATCH($D783,Hierarchy!$A$2:$A$1295,0))),"NODE NOT FOUND"))</f>
        <v/>
      </c>
      <c r="L783" s="7" t="str">
        <f aca="false">IF($D783="","",IFERROR(IF(INDEX(Hierarchy!$I$2:$I$1295,MATCH($D783,Hierarchy!$A$2:$A$1295,0))="","",INDEX(Hierarchy!$I$2:$I$1295,MATCH($D783,Hierarchy!$A$2:$A$1295,0))),"NODE NOT FOUND"))</f>
        <v/>
      </c>
      <c r="M783" s="17" t="str">
        <f aca="false">IF(B783="Pre-seeded","Pre-seeded",IF(B783="Review 2026-09-16","Added from review",IF(C783="","New",IF(C783=D783,"","Changed"))))</f>
        <v/>
      </c>
      <c r="N783" s="7" t="str">
        <f aca="false">TRIM(SUBSTITUTE(SUBSTITUTE(SUBSTITUTE(" "&amp;TRIM(SUBSTITUTE(SUBSTITUTE(SUBSTITUTE(SUBSTITUTE(SUBSTITUTE(SUBSTITUTE(SUBSTITUTE(SUBSTITUTE(SUBSTITUTE(SUBSTITUTE(SUBSTITUTE(SUBSTITUTE(SUBSTITUTE(SUBSTITUTE(SUBSTITUTE(UPPER(TRIM(A783)),"[MEMBER]",""),"{MEMBER}",""),"[MEMBER}",""),"MEMBER]",""),"(A)",""),"""",""),"“",""),"”",""),".",""),":",""),",",""),"–"," "),"-"," "),"/"," "),"&amp;"," AND "))&amp;" "," THE "," ")," TOTAL "," ")," OPERATIONS "," "))</f>
        <v>ISRAEL</v>
      </c>
      <c r="O783" s="17" t="str">
        <f aca="false">IF(COUNTIFS($N$2:$N$2000,N783,$D$2:$D$2000,"&lt;&gt;"&amp;D783)&gt;0,"CONFLICT","")</f>
        <v/>
      </c>
      <c r="P783" s="7"/>
    </row>
    <row r="784" customFormat="false" ht="15" hidden="false" customHeight="false" outlineLevel="0" collapsed="false">
      <c r="A784" s="7" t="s">
        <v>2293</v>
      </c>
      <c r="B784" s="7" t="s">
        <v>1879</v>
      </c>
      <c r="C784" s="7"/>
      <c r="D784" s="6" t="s">
        <v>829</v>
      </c>
      <c r="E784" s="6" t="s">
        <v>1880</v>
      </c>
      <c r="F784" s="7" t="str">
        <f aca="false">IF($D784="","",IFERROR(IF(INDEX(Hierarchy!$B$2:$B$1295,MATCH($D784,Hierarchy!$A$2:$A$1295,0))="","",INDEX(Hierarchy!$B$2:$B$1295,MATCH($D784,Hierarchy!$A$2:$A$1295,0))),"NODE NOT FOUND"))</f>
        <v>Country</v>
      </c>
      <c r="G784" s="7" t="str">
        <f aca="false">IF($D784="","",IFERROR(IF(INDEX(Hierarchy!$D$2:$D$1295,MATCH($D784,Hierarchy!$A$2:$A$1295,0))="","",INDEX(Hierarchy!$D$2:$D$1295,MATCH($D784,Hierarchy!$A$2:$A$1295,0))),"NODE NOT FOUND"))</f>
        <v>EMEA</v>
      </c>
      <c r="H784" s="7" t="str">
        <f aca="false">IF($D784="","",IFERROR(IF(INDEX(Hierarchy!$E$2:$E$1295,MATCH($D784,Hierarchy!$A$2:$A$1295,0))="","",INDEX(Hierarchy!$E$2:$E$1295,MATCH($D784,Hierarchy!$A$2:$A$1295,0))),"NODE NOT FOUND"))</f>
        <v>Europe</v>
      </c>
      <c r="I784" s="7" t="str">
        <f aca="false">IF($D784="","",IFERROR(IF(INDEX(Hierarchy!$F$2:$F$1295,MATCH($D784,Hierarchy!$A$2:$A$1295,0))="","",INDEX(Hierarchy!$F$2:$F$1295,MATCH($D784,Hierarchy!$A$2:$A$1295,0))),"NODE NOT FOUND"))</f>
        <v>Italy</v>
      </c>
      <c r="J784" s="7" t="str">
        <f aca="false">IF($D784="","",IFERROR(IF(INDEX(Hierarchy!$G$2:$G$1295,MATCH($D784,Hierarchy!$A$2:$A$1295,0))="","",INDEX(Hierarchy!$G$2:$G$1295,MATCH($D784,Hierarchy!$A$2:$A$1295,0))),"NODE NOT FOUND"))</f>
        <v>ITA</v>
      </c>
      <c r="K784" s="7" t="str">
        <f aca="false">IF($D784="","",IFERROR(IF(INDEX(Hierarchy!$H$2:$H$1295,MATCH($D784,Hierarchy!$A$2:$A$1295,0))="","",INDEX(Hierarchy!$H$2:$H$1295,MATCH($D784,Hierarchy!$A$2:$A$1295,0))),"NODE NOT FOUND"))</f>
        <v/>
      </c>
      <c r="L784" s="7" t="str">
        <f aca="false">IF($D784="","",IFERROR(IF(INDEX(Hierarchy!$I$2:$I$1295,MATCH($D784,Hierarchy!$A$2:$A$1295,0))="","",INDEX(Hierarchy!$I$2:$I$1295,MATCH($D784,Hierarchy!$A$2:$A$1295,0))),"NODE NOT FOUND"))</f>
        <v/>
      </c>
      <c r="M784" s="17" t="str">
        <f aca="false">IF(B784="Pre-seeded","Pre-seeded",IF(B784="Review 2026-09-16","Added from review",IF(C784="","New",IF(C784=D784,"","Changed"))))</f>
        <v>Pre-seeded</v>
      </c>
      <c r="N784" s="7" t="str">
        <f aca="false">TRIM(SUBSTITUTE(SUBSTITUTE(SUBSTITUTE(" "&amp;TRIM(SUBSTITUTE(SUBSTITUTE(SUBSTITUTE(SUBSTITUTE(SUBSTITUTE(SUBSTITUTE(SUBSTITUTE(SUBSTITUTE(SUBSTITUTE(SUBSTITUTE(SUBSTITUTE(SUBSTITUTE(SUBSTITUTE(SUBSTITUTE(SUBSTITUTE(UPPER(TRIM(A784)),"[MEMBER]",""),"{MEMBER}",""),"[MEMBER}",""),"MEMBER]",""),"(A)",""),"""",""),"“",""),"”",""),".",""),":",""),",",""),"–"," "),"-"," "),"/"," "),"&amp;"," AND "))&amp;" "," THE "," ")," TOTAL "," ")," OPERATIONS "," "))</f>
        <v>ITALIAN REPUBLIC</v>
      </c>
      <c r="O784" s="17" t="str">
        <f aca="false">IF(COUNTIFS($N$2:$N$2000,N784,$D$2:$D$2000,"&lt;&gt;"&amp;D784)&gt;0,"CONFLICT","")</f>
        <v/>
      </c>
      <c r="P784" s="7" t="s">
        <v>1936</v>
      </c>
    </row>
    <row r="785" customFormat="false" ht="15" hidden="false" customHeight="false" outlineLevel="0" collapsed="false">
      <c r="A785" s="7" t="s">
        <v>829</v>
      </c>
      <c r="B785" s="7" t="s">
        <v>1882</v>
      </c>
      <c r="C785" s="7" t="s">
        <v>829</v>
      </c>
      <c r="D785" s="6" t="s">
        <v>829</v>
      </c>
      <c r="E785" s="6" t="s">
        <v>1880</v>
      </c>
      <c r="F785" s="7" t="str">
        <f aca="false">IF($D785="","",IFERROR(IF(INDEX(Hierarchy!$B$2:$B$1295,MATCH($D785,Hierarchy!$A$2:$A$1295,0))="","",INDEX(Hierarchy!$B$2:$B$1295,MATCH($D785,Hierarchy!$A$2:$A$1295,0))),"NODE NOT FOUND"))</f>
        <v>Country</v>
      </c>
      <c r="G785" s="7" t="str">
        <f aca="false">IF($D785="","",IFERROR(IF(INDEX(Hierarchy!$D$2:$D$1295,MATCH($D785,Hierarchy!$A$2:$A$1295,0))="","",INDEX(Hierarchy!$D$2:$D$1295,MATCH($D785,Hierarchy!$A$2:$A$1295,0))),"NODE NOT FOUND"))</f>
        <v>EMEA</v>
      </c>
      <c r="H785" s="7" t="str">
        <f aca="false">IF($D785="","",IFERROR(IF(INDEX(Hierarchy!$E$2:$E$1295,MATCH($D785,Hierarchy!$A$2:$A$1295,0))="","",INDEX(Hierarchy!$E$2:$E$1295,MATCH($D785,Hierarchy!$A$2:$A$1295,0))),"NODE NOT FOUND"))</f>
        <v>Europe</v>
      </c>
      <c r="I785" s="7" t="str">
        <f aca="false">IF($D785="","",IFERROR(IF(INDEX(Hierarchy!$F$2:$F$1295,MATCH($D785,Hierarchy!$A$2:$A$1295,0))="","",INDEX(Hierarchy!$F$2:$F$1295,MATCH($D785,Hierarchy!$A$2:$A$1295,0))),"NODE NOT FOUND"))</f>
        <v>Italy</v>
      </c>
      <c r="J785" s="7" t="str">
        <f aca="false">IF($D785="","",IFERROR(IF(INDEX(Hierarchy!$G$2:$G$1295,MATCH($D785,Hierarchy!$A$2:$A$1295,0))="","",INDEX(Hierarchy!$G$2:$G$1295,MATCH($D785,Hierarchy!$A$2:$A$1295,0))),"NODE NOT FOUND"))</f>
        <v>ITA</v>
      </c>
      <c r="K785" s="7" t="str">
        <f aca="false">IF($D785="","",IFERROR(IF(INDEX(Hierarchy!$H$2:$H$1295,MATCH($D785,Hierarchy!$A$2:$A$1295,0))="","",INDEX(Hierarchy!$H$2:$H$1295,MATCH($D785,Hierarchy!$A$2:$A$1295,0))),"NODE NOT FOUND"))</f>
        <v/>
      </c>
      <c r="L785" s="7" t="str">
        <f aca="false">IF($D785="","",IFERROR(IF(INDEX(Hierarchy!$I$2:$I$1295,MATCH($D785,Hierarchy!$A$2:$A$1295,0))="","",INDEX(Hierarchy!$I$2:$I$1295,MATCH($D785,Hierarchy!$A$2:$A$1295,0))),"NODE NOT FOUND"))</f>
        <v/>
      </c>
      <c r="M785" s="17" t="str">
        <f aca="false">IF(B785="Pre-seeded","Pre-seeded",IF(B785="Review 2026-09-16","Added from review",IF(C785="","New",IF(C785=D785,"","Changed"))))</f>
        <v/>
      </c>
      <c r="N785" s="7" t="str">
        <f aca="false">TRIM(SUBSTITUTE(SUBSTITUTE(SUBSTITUTE(" "&amp;TRIM(SUBSTITUTE(SUBSTITUTE(SUBSTITUTE(SUBSTITUTE(SUBSTITUTE(SUBSTITUTE(SUBSTITUTE(SUBSTITUTE(SUBSTITUTE(SUBSTITUTE(SUBSTITUTE(SUBSTITUTE(SUBSTITUTE(SUBSTITUTE(SUBSTITUTE(UPPER(TRIM(A785)),"[MEMBER]",""),"{MEMBER}",""),"[MEMBER}",""),"MEMBER]",""),"(A)",""),"""",""),"“",""),"”",""),".",""),":",""),",",""),"–"," "),"-"," "),"/"," "),"&amp;"," AND "))&amp;" "," THE "," ")," TOTAL "," ")," OPERATIONS "," "))</f>
        <v>ITALY</v>
      </c>
      <c r="O785" s="17" t="str">
        <f aca="false">IF(COUNTIFS($N$2:$N$2000,N785,$D$2:$D$2000,"&lt;&gt;"&amp;D785)&gt;0,"CONFLICT","")</f>
        <v/>
      </c>
      <c r="P785" s="7"/>
    </row>
    <row r="786" customFormat="false" ht="15" hidden="false" customHeight="false" outlineLevel="0" collapsed="false">
      <c r="A786" s="7" t="s">
        <v>2294</v>
      </c>
      <c r="B786" s="7" t="s">
        <v>1882</v>
      </c>
      <c r="C786" s="7" t="s">
        <v>829</v>
      </c>
      <c r="D786" s="6" t="s">
        <v>829</v>
      </c>
      <c r="E786" s="6" t="s">
        <v>1880</v>
      </c>
      <c r="F786" s="7" t="str">
        <f aca="false">IF($D786="","",IFERROR(IF(INDEX(Hierarchy!$B$2:$B$1295,MATCH($D786,Hierarchy!$A$2:$A$1295,0))="","",INDEX(Hierarchy!$B$2:$B$1295,MATCH($D786,Hierarchy!$A$2:$A$1295,0))),"NODE NOT FOUND"))</f>
        <v>Country</v>
      </c>
      <c r="G786" s="7" t="str">
        <f aca="false">IF($D786="","",IFERROR(IF(INDEX(Hierarchy!$D$2:$D$1295,MATCH($D786,Hierarchy!$A$2:$A$1295,0))="","",INDEX(Hierarchy!$D$2:$D$1295,MATCH($D786,Hierarchy!$A$2:$A$1295,0))),"NODE NOT FOUND"))</f>
        <v>EMEA</v>
      </c>
      <c r="H786" s="7" t="str">
        <f aca="false">IF($D786="","",IFERROR(IF(INDEX(Hierarchy!$E$2:$E$1295,MATCH($D786,Hierarchy!$A$2:$A$1295,0))="","",INDEX(Hierarchy!$E$2:$E$1295,MATCH($D786,Hierarchy!$A$2:$A$1295,0))),"NODE NOT FOUND"))</f>
        <v>Europe</v>
      </c>
      <c r="I786" s="7" t="str">
        <f aca="false">IF($D786="","",IFERROR(IF(INDEX(Hierarchy!$F$2:$F$1295,MATCH($D786,Hierarchy!$A$2:$A$1295,0))="","",INDEX(Hierarchy!$F$2:$F$1295,MATCH($D786,Hierarchy!$A$2:$A$1295,0))),"NODE NOT FOUND"))</f>
        <v>Italy</v>
      </c>
      <c r="J786" s="7" t="str">
        <f aca="false">IF($D786="","",IFERROR(IF(INDEX(Hierarchy!$G$2:$G$1295,MATCH($D786,Hierarchy!$A$2:$A$1295,0))="","",INDEX(Hierarchy!$G$2:$G$1295,MATCH($D786,Hierarchy!$A$2:$A$1295,0))),"NODE NOT FOUND"))</f>
        <v>ITA</v>
      </c>
      <c r="K786" s="7" t="str">
        <f aca="false">IF($D786="","",IFERROR(IF(INDEX(Hierarchy!$H$2:$H$1295,MATCH($D786,Hierarchy!$A$2:$A$1295,0))="","",INDEX(Hierarchy!$H$2:$H$1295,MATCH($D786,Hierarchy!$A$2:$A$1295,0))),"NODE NOT FOUND"))</f>
        <v/>
      </c>
      <c r="L786" s="7" t="str">
        <f aca="false">IF($D786="","",IFERROR(IF(INDEX(Hierarchy!$I$2:$I$1295,MATCH($D786,Hierarchy!$A$2:$A$1295,0))="","",INDEX(Hierarchy!$I$2:$I$1295,MATCH($D786,Hierarchy!$A$2:$A$1295,0))),"NODE NOT FOUND"))</f>
        <v/>
      </c>
      <c r="M786" s="17" t="str">
        <f aca="false">IF(B786="Pre-seeded","Pre-seeded",IF(B786="Review 2026-09-16","Added from review",IF(C786="","New",IF(C786=D786,"","Changed"))))</f>
        <v/>
      </c>
      <c r="N786" s="7" t="str">
        <f aca="false">TRIM(SUBSTITUTE(SUBSTITUTE(SUBSTITUTE(" "&amp;TRIM(SUBSTITUTE(SUBSTITUTE(SUBSTITUTE(SUBSTITUTE(SUBSTITUTE(SUBSTITUTE(SUBSTITUTE(SUBSTITUTE(SUBSTITUTE(SUBSTITUTE(SUBSTITUTE(SUBSTITUTE(SUBSTITUTE(SUBSTITUTE(SUBSTITUTE(UPPER(TRIM(A786)),"[MEMBER]",""),"{MEMBER}",""),"[MEMBER}",""),"MEMBER]",""),"(A)",""),"""",""),"“",""),"”",""),".",""),":",""),",",""),"–"," "),"-"," "),"/"," "),"&amp;"," AND "))&amp;" "," THE "," ")," TOTAL "," ")," OPERATIONS "," "))</f>
        <v>ITALY</v>
      </c>
      <c r="O786" s="17" t="str">
        <f aca="false">IF(COUNTIFS($N$2:$N$2000,N786,$D$2:$D$2000,"&lt;&gt;"&amp;D786)&gt;0,"CONFLICT","")</f>
        <v/>
      </c>
      <c r="P786" s="7"/>
    </row>
    <row r="787" customFormat="false" ht="15" hidden="false" customHeight="false" outlineLevel="0" collapsed="false">
      <c r="A787" s="7" t="s">
        <v>2295</v>
      </c>
      <c r="B787" s="7" t="s">
        <v>1882</v>
      </c>
      <c r="C787" s="7" t="s">
        <v>2295</v>
      </c>
      <c r="D787" s="6" t="s">
        <v>1205</v>
      </c>
      <c r="E787" s="6" t="s">
        <v>1880</v>
      </c>
      <c r="F787" s="7" t="str">
        <f aca="false">IF($D787="","",IFERROR(IF(INDEX(Hierarchy!$B$2:$B$1295,MATCH($D787,Hierarchy!$A$2:$A$1295,0))="","",INDEX(Hierarchy!$B$2:$B$1295,MATCH($D787,Hierarchy!$A$2:$A$1295,0))),"NODE NOT FOUND"))</f>
        <v>Country</v>
      </c>
      <c r="G787" s="7" t="str">
        <f aca="false">IF($D787="","",IFERROR(IF(INDEX(Hierarchy!$D$2:$D$1295,MATCH($D787,Hierarchy!$A$2:$A$1295,0))="","",INDEX(Hierarchy!$D$2:$D$1295,MATCH($D787,Hierarchy!$A$2:$A$1295,0))),"NODE NOT FOUND"))</f>
        <v>EMEA</v>
      </c>
      <c r="H787" s="7" t="str">
        <f aca="false">IF($D787="","",IFERROR(IF(INDEX(Hierarchy!$E$2:$E$1295,MATCH($D787,Hierarchy!$A$2:$A$1295,0))="","",INDEX(Hierarchy!$E$2:$E$1295,MATCH($D787,Hierarchy!$A$2:$A$1295,0))),"NODE NOT FOUND"))</f>
        <v>Africa</v>
      </c>
      <c r="I787" s="7" t="str">
        <f aca="false">IF($D787="","",IFERROR(IF(INDEX(Hierarchy!$F$2:$F$1295,MATCH($D787,Hierarchy!$A$2:$A$1295,0))="","",INDEX(Hierarchy!$F$2:$F$1295,MATCH($D787,Hierarchy!$A$2:$A$1295,0))),"NODE NOT FOUND"))</f>
        <v>Côte d'Ivoire (Ivory Coast)</v>
      </c>
      <c r="J787" s="7" t="str">
        <f aca="false">IF($D787="","",IFERROR(IF(INDEX(Hierarchy!$G$2:$G$1295,MATCH($D787,Hierarchy!$A$2:$A$1295,0))="","",INDEX(Hierarchy!$G$2:$G$1295,MATCH($D787,Hierarchy!$A$2:$A$1295,0))),"NODE NOT FOUND"))</f>
        <v>CIV</v>
      </c>
      <c r="K787" s="7" t="str">
        <f aca="false">IF($D787="","",IFERROR(IF(INDEX(Hierarchy!$H$2:$H$1295,MATCH($D787,Hierarchy!$A$2:$A$1295,0))="","",INDEX(Hierarchy!$H$2:$H$1295,MATCH($D787,Hierarchy!$A$2:$A$1295,0))),"NODE NOT FOUND"))</f>
        <v/>
      </c>
      <c r="L787" s="7" t="str">
        <f aca="false">IF($D787="","",IFERROR(IF(INDEX(Hierarchy!$I$2:$I$1295,MATCH($D787,Hierarchy!$A$2:$A$1295,0))="","",INDEX(Hierarchy!$I$2:$I$1295,MATCH($D787,Hierarchy!$A$2:$A$1295,0))),"NODE NOT FOUND"))</f>
        <v/>
      </c>
      <c r="M787" s="17" t="str">
        <f aca="false">IF(B787="Pre-seeded","Pre-seeded",IF(B787="Review 2026-09-16","Added from review",IF(C787="","New",IF(C787=D787,"","Changed"))))</f>
        <v>Changed</v>
      </c>
      <c r="N787" s="7" t="str">
        <f aca="false">TRIM(SUBSTITUTE(SUBSTITUTE(SUBSTITUTE(" "&amp;TRIM(SUBSTITUTE(SUBSTITUTE(SUBSTITUTE(SUBSTITUTE(SUBSTITUTE(SUBSTITUTE(SUBSTITUTE(SUBSTITUTE(SUBSTITUTE(SUBSTITUTE(SUBSTITUTE(SUBSTITUTE(SUBSTITUTE(SUBSTITUTE(SUBSTITUTE(UPPER(TRIM(A787)),"[MEMBER]",""),"{MEMBER}",""),"[MEMBER}",""),"MEMBER]",""),"(A)",""),"""",""),"“",""),"”",""),".",""),":",""),",",""),"–"," "),"-"," "),"/"," "),"&amp;"," AND "))&amp;" "," THE "," ")," TOTAL "," ")," OPERATIONS "," "))</f>
        <v>IVORY COAST</v>
      </c>
      <c r="O787" s="17" t="str">
        <f aca="false">IF(COUNTIFS($N$2:$N$2000,N787,$D$2:$D$2000,"&lt;&gt;"&amp;D787)&gt;0,"CONFLICT","")</f>
        <v/>
      </c>
      <c r="P787" s="7"/>
    </row>
    <row r="788" customFormat="false" ht="15" hidden="false" customHeight="false" outlineLevel="0" collapsed="false">
      <c r="A788" s="7" t="s">
        <v>1455</v>
      </c>
      <c r="B788" s="7" t="s">
        <v>1879</v>
      </c>
      <c r="C788" s="7"/>
      <c r="D788" s="6" t="s">
        <v>1455</v>
      </c>
      <c r="E788" s="6" t="s">
        <v>1880</v>
      </c>
      <c r="F788" s="7" t="str">
        <f aca="false">IF($D788="","",IFERROR(IF(INDEX(Hierarchy!$B$2:$B$1295,MATCH($D788,Hierarchy!$A$2:$A$1295,0))="","",INDEX(Hierarchy!$B$2:$B$1295,MATCH($D788,Hierarchy!$A$2:$A$1295,0))),"NODE NOT FOUND"))</f>
        <v>State/Province</v>
      </c>
      <c r="G788" s="7" t="str">
        <f aca="false">IF($D788="","",IFERROR(IF(INDEX(Hierarchy!$D$2:$D$1295,MATCH($D788,Hierarchy!$A$2:$A$1295,0))="","",INDEX(Hierarchy!$D$2:$D$1295,MATCH($D788,Hierarchy!$A$2:$A$1295,0))),"NODE NOT FOUND"))</f>
        <v>APAC</v>
      </c>
      <c r="H788" s="7" t="str">
        <f aca="false">IF($D788="","",IFERROR(IF(INDEX(Hierarchy!$E$2:$E$1295,MATCH($D788,Hierarchy!$A$2:$A$1295,0))="","",INDEX(Hierarchy!$E$2:$E$1295,MATCH($D788,Hierarchy!$A$2:$A$1295,0))),"NODE NOT FOUND"))</f>
        <v>East Asia</v>
      </c>
      <c r="I788" s="7" t="str">
        <f aca="false">IF($D788="","",IFERROR(IF(INDEX(Hierarchy!$F$2:$F$1295,MATCH($D788,Hierarchy!$A$2:$A$1295,0))="","",INDEX(Hierarchy!$F$2:$F$1295,MATCH($D788,Hierarchy!$A$2:$A$1295,0))),"NODE NOT FOUND"))</f>
        <v>Japan</v>
      </c>
      <c r="J788" s="7" t="str">
        <f aca="false">IF($D788="","",IFERROR(IF(INDEX(Hierarchy!$G$2:$G$1295,MATCH($D788,Hierarchy!$A$2:$A$1295,0))="","",INDEX(Hierarchy!$G$2:$G$1295,MATCH($D788,Hierarchy!$A$2:$A$1295,0))),"NODE NOT FOUND"))</f>
        <v>JPN</v>
      </c>
      <c r="K788" s="7" t="str">
        <f aca="false">IF($D788="","",IFERROR(IF(INDEX(Hierarchy!$H$2:$H$1295,MATCH($D788,Hierarchy!$A$2:$A$1295,0))="","",INDEX(Hierarchy!$H$2:$H$1295,MATCH($D788,Hierarchy!$A$2:$A$1295,0))),"NODE NOT FOUND"))</f>
        <v>Iwate</v>
      </c>
      <c r="L788" s="7" t="str">
        <f aca="false">IF($D788="","",IFERROR(IF(INDEX(Hierarchy!$I$2:$I$1295,MATCH($D788,Hierarchy!$A$2:$A$1295,0))="","",INDEX(Hierarchy!$I$2:$I$1295,MATCH($D788,Hierarchy!$A$2:$A$1295,0))),"NODE NOT FOUND"))</f>
        <v/>
      </c>
      <c r="M788" s="17" t="str">
        <f aca="false">IF(B788="Pre-seeded","Pre-seeded",IF(B788="Review 2026-09-16","Added from review",IF(C788="","New",IF(C788=D788,"","Changed"))))</f>
        <v>Pre-seeded</v>
      </c>
      <c r="N788" s="7" t="str">
        <f aca="false">TRIM(SUBSTITUTE(SUBSTITUTE(SUBSTITUTE(" "&amp;TRIM(SUBSTITUTE(SUBSTITUTE(SUBSTITUTE(SUBSTITUTE(SUBSTITUTE(SUBSTITUTE(SUBSTITUTE(SUBSTITUTE(SUBSTITUTE(SUBSTITUTE(SUBSTITUTE(SUBSTITUTE(SUBSTITUTE(SUBSTITUTE(SUBSTITUTE(UPPER(TRIM(A788)),"[MEMBER]",""),"{MEMBER}",""),"[MEMBER}",""),"MEMBER]",""),"(A)",""),"""",""),"“",""),"”",""),".",""),":",""),",",""),"–"," "),"-"," "),"/"," "),"&amp;"," AND "))&amp;" "," THE "," ")," TOTAL "," ")," OPERATIONS "," "))</f>
        <v>IWATE</v>
      </c>
      <c r="O788" s="17" t="str">
        <f aca="false">IF(COUNTIFS($N$2:$N$2000,N788,$D$2:$D$2000,"&lt;&gt;"&amp;D788)&gt;0,"CONFLICT","")</f>
        <v/>
      </c>
      <c r="P788" s="7"/>
    </row>
    <row r="789" customFormat="false" ht="15" hidden="false" customHeight="false" outlineLevel="0" collapsed="false">
      <c r="A789" s="7" t="s">
        <v>1606</v>
      </c>
      <c r="B789" s="7" t="s">
        <v>1879</v>
      </c>
      <c r="C789" s="7"/>
      <c r="D789" s="6" t="s">
        <v>1606</v>
      </c>
      <c r="E789" s="6" t="s">
        <v>1880</v>
      </c>
      <c r="F789" s="7" t="str">
        <f aca="false">IF($D789="","",IFERROR(IF(INDEX(Hierarchy!$B$2:$B$1295,MATCH($D789,Hierarchy!$A$2:$A$1295,0))="","",INDEX(Hierarchy!$B$2:$B$1295,MATCH($D789,Hierarchy!$A$2:$A$1295,0))),"NODE NOT FOUND"))</f>
        <v>State/Province</v>
      </c>
      <c r="G789" s="7" t="str">
        <f aca="false">IF($D789="","",IFERROR(IF(INDEX(Hierarchy!$D$2:$D$1295,MATCH($D789,Hierarchy!$A$2:$A$1295,0))="","",INDEX(Hierarchy!$D$2:$D$1295,MATCH($D789,Hierarchy!$A$2:$A$1295,0))),"NODE NOT FOUND"))</f>
        <v>APAC</v>
      </c>
      <c r="H789" s="7" t="str">
        <f aca="false">IF($D789="","",IFERROR(IF(INDEX(Hierarchy!$E$2:$E$1295,MATCH($D789,Hierarchy!$A$2:$A$1295,0))="","",INDEX(Hierarchy!$E$2:$E$1295,MATCH($D789,Hierarchy!$A$2:$A$1295,0))),"NODE NOT FOUND"))</f>
        <v>Southeast Asia (ASEAN)</v>
      </c>
      <c r="I789" s="7" t="str">
        <f aca="false">IF($D789="","",IFERROR(IF(INDEX(Hierarchy!$F$2:$F$1295,MATCH($D789,Hierarchy!$A$2:$A$1295,0))="","",INDEX(Hierarchy!$F$2:$F$1295,MATCH($D789,Hierarchy!$A$2:$A$1295,0))),"NODE NOT FOUND"))</f>
        <v>Indonesia</v>
      </c>
      <c r="J789" s="7" t="str">
        <f aca="false">IF($D789="","",IFERROR(IF(INDEX(Hierarchy!$G$2:$G$1295,MATCH($D789,Hierarchy!$A$2:$A$1295,0))="","",INDEX(Hierarchy!$G$2:$G$1295,MATCH($D789,Hierarchy!$A$2:$A$1295,0))),"NODE NOT FOUND"))</f>
        <v>IDN</v>
      </c>
      <c r="K789" s="7" t="str">
        <f aca="false">IF($D789="","",IFERROR(IF(INDEX(Hierarchy!$H$2:$H$1295,MATCH($D789,Hierarchy!$A$2:$A$1295,0))="","",INDEX(Hierarchy!$H$2:$H$1295,MATCH($D789,Hierarchy!$A$2:$A$1295,0))),"NODE NOT FOUND"))</f>
        <v>Jakarta</v>
      </c>
      <c r="L789" s="7" t="str">
        <f aca="false">IF($D789="","",IFERROR(IF(INDEX(Hierarchy!$I$2:$I$1295,MATCH($D789,Hierarchy!$A$2:$A$1295,0))="","",INDEX(Hierarchy!$I$2:$I$1295,MATCH($D789,Hierarchy!$A$2:$A$1295,0))),"NODE NOT FOUND"))</f>
        <v/>
      </c>
      <c r="M789" s="17" t="str">
        <f aca="false">IF(B789="Pre-seeded","Pre-seeded",IF(B789="Review 2026-09-16","Added from review",IF(C789="","New",IF(C789=D789,"","Changed"))))</f>
        <v>Pre-seeded</v>
      </c>
      <c r="N789" s="7" t="str">
        <f aca="false">TRIM(SUBSTITUTE(SUBSTITUTE(SUBSTITUTE(" "&amp;TRIM(SUBSTITUTE(SUBSTITUTE(SUBSTITUTE(SUBSTITUTE(SUBSTITUTE(SUBSTITUTE(SUBSTITUTE(SUBSTITUTE(SUBSTITUTE(SUBSTITUTE(SUBSTITUTE(SUBSTITUTE(SUBSTITUTE(SUBSTITUTE(SUBSTITUTE(UPPER(TRIM(A789)),"[MEMBER]",""),"{MEMBER}",""),"[MEMBER}",""),"MEMBER]",""),"(A)",""),"""",""),"“",""),"”",""),".",""),":",""),",",""),"–"," "),"-"," "),"/"," "),"&amp;"," AND "))&amp;" "," THE "," ")," TOTAL "," ")," OPERATIONS "," "))</f>
        <v>JAKARTA</v>
      </c>
      <c r="O789" s="17" t="str">
        <f aca="false">IF(COUNTIFS($N$2:$N$2000,N789,$D$2:$D$2000,"&lt;&gt;"&amp;D789)&gt;0,"CONFLICT","")</f>
        <v/>
      </c>
      <c r="P789" s="7"/>
    </row>
    <row r="790" customFormat="false" ht="15" hidden="false" customHeight="false" outlineLevel="0" collapsed="false">
      <c r="A790" s="7" t="s">
        <v>396</v>
      </c>
      <c r="B790" s="7" t="s">
        <v>1879</v>
      </c>
      <c r="C790" s="7"/>
      <c r="D790" s="6" t="s">
        <v>396</v>
      </c>
      <c r="E790" s="6" t="s">
        <v>1880</v>
      </c>
      <c r="F790" s="7" t="str">
        <f aca="false">IF($D790="","",IFERROR(IF(INDEX(Hierarchy!$B$2:$B$1295,MATCH($D790,Hierarchy!$A$2:$A$1295,0))="","",INDEX(Hierarchy!$B$2:$B$1295,MATCH($D790,Hierarchy!$A$2:$A$1295,0))),"NODE NOT FOUND"))</f>
        <v>State/Province</v>
      </c>
      <c r="G790" s="7" t="str">
        <f aca="false">IF($D790="","",IFERROR(IF(INDEX(Hierarchy!$D$2:$D$1295,MATCH($D790,Hierarchy!$A$2:$A$1295,0))="","",INDEX(Hierarchy!$D$2:$D$1295,MATCH($D790,Hierarchy!$A$2:$A$1295,0))),"NODE NOT FOUND"))</f>
        <v>AMER</v>
      </c>
      <c r="H790" s="7" t="str">
        <f aca="false">IF($D790="","",IFERROR(IF(INDEX(Hierarchy!$E$2:$E$1295,MATCH($D790,Hierarchy!$A$2:$A$1295,0))="","",INDEX(Hierarchy!$E$2:$E$1295,MATCH($D790,Hierarchy!$A$2:$A$1295,0))),"NODE NOT FOUND"))</f>
        <v>Latin America (LATAM)</v>
      </c>
      <c r="I790" s="7" t="str">
        <f aca="false">IF($D790="","",IFERROR(IF(INDEX(Hierarchy!$F$2:$F$1295,MATCH($D790,Hierarchy!$A$2:$A$1295,0))="","",INDEX(Hierarchy!$F$2:$F$1295,MATCH($D790,Hierarchy!$A$2:$A$1295,0))),"NODE NOT FOUND"))</f>
        <v>Mexico</v>
      </c>
      <c r="J790" s="7" t="str">
        <f aca="false">IF($D790="","",IFERROR(IF(INDEX(Hierarchy!$G$2:$G$1295,MATCH($D790,Hierarchy!$A$2:$A$1295,0))="","",INDEX(Hierarchy!$G$2:$G$1295,MATCH($D790,Hierarchy!$A$2:$A$1295,0))),"NODE NOT FOUND"))</f>
        <v>MEX</v>
      </c>
      <c r="K790" s="7" t="str">
        <f aca="false">IF($D790="","",IFERROR(IF(INDEX(Hierarchy!$H$2:$H$1295,MATCH($D790,Hierarchy!$A$2:$A$1295,0))="","",INDEX(Hierarchy!$H$2:$H$1295,MATCH($D790,Hierarchy!$A$2:$A$1295,0))),"NODE NOT FOUND"))</f>
        <v>Jalisco</v>
      </c>
      <c r="L790" s="7" t="str">
        <f aca="false">IF($D790="","",IFERROR(IF(INDEX(Hierarchy!$I$2:$I$1295,MATCH($D790,Hierarchy!$A$2:$A$1295,0))="","",INDEX(Hierarchy!$I$2:$I$1295,MATCH($D790,Hierarchy!$A$2:$A$1295,0))),"NODE NOT FOUND"))</f>
        <v/>
      </c>
      <c r="M790" s="17" t="str">
        <f aca="false">IF(B790="Pre-seeded","Pre-seeded",IF(B790="Review 2026-09-16","Added from review",IF(C790="","New",IF(C790=D790,"","Changed"))))</f>
        <v>Pre-seeded</v>
      </c>
      <c r="N790" s="7" t="str">
        <f aca="false">TRIM(SUBSTITUTE(SUBSTITUTE(SUBSTITUTE(" "&amp;TRIM(SUBSTITUTE(SUBSTITUTE(SUBSTITUTE(SUBSTITUTE(SUBSTITUTE(SUBSTITUTE(SUBSTITUTE(SUBSTITUTE(SUBSTITUTE(SUBSTITUTE(SUBSTITUTE(SUBSTITUTE(SUBSTITUTE(SUBSTITUTE(SUBSTITUTE(UPPER(TRIM(A790)),"[MEMBER]",""),"{MEMBER}",""),"[MEMBER}",""),"MEMBER]",""),"(A)",""),"""",""),"“",""),"”",""),".",""),":",""),",",""),"–"," "),"-"," "),"/"," "),"&amp;"," AND "))&amp;" "," THE "," ")," TOTAL "," ")," OPERATIONS "," "))</f>
        <v>JALISCO</v>
      </c>
      <c r="O790" s="17" t="str">
        <f aca="false">IF(COUNTIFS($N$2:$N$2000,N790,$D$2:$D$2000,"&lt;&gt;"&amp;D790)&gt;0,"CONFLICT","")</f>
        <v/>
      </c>
      <c r="P790" s="7"/>
    </row>
    <row r="791" customFormat="false" ht="15" hidden="false" customHeight="false" outlineLevel="0" collapsed="false">
      <c r="A791" s="7" t="s">
        <v>573</v>
      </c>
      <c r="B791" s="7" t="s">
        <v>1882</v>
      </c>
      <c r="C791" s="7" t="s">
        <v>573</v>
      </c>
      <c r="D791" s="6" t="s">
        <v>573</v>
      </c>
      <c r="E791" s="6" t="s">
        <v>1880</v>
      </c>
      <c r="F791" s="7" t="str">
        <f aca="false">IF($D791="","",IFERROR(IF(INDEX(Hierarchy!$B$2:$B$1295,MATCH($D791,Hierarchy!$A$2:$A$1295,0))="","",INDEX(Hierarchy!$B$2:$B$1295,MATCH($D791,Hierarchy!$A$2:$A$1295,0))),"NODE NOT FOUND"))</f>
        <v>Country</v>
      </c>
      <c r="G791" s="7" t="str">
        <f aca="false">IF($D791="","",IFERROR(IF(INDEX(Hierarchy!$D$2:$D$1295,MATCH($D791,Hierarchy!$A$2:$A$1295,0))="","",INDEX(Hierarchy!$D$2:$D$1295,MATCH($D791,Hierarchy!$A$2:$A$1295,0))),"NODE NOT FOUND"))</f>
        <v>AMER</v>
      </c>
      <c r="H791" s="7" t="str">
        <f aca="false">IF($D791="","",IFERROR(IF(INDEX(Hierarchy!$E$2:$E$1295,MATCH($D791,Hierarchy!$A$2:$A$1295,0))="","",INDEX(Hierarchy!$E$2:$E$1295,MATCH($D791,Hierarchy!$A$2:$A$1295,0))),"NODE NOT FOUND"))</f>
        <v>Latin America (LATAM)</v>
      </c>
      <c r="I791" s="7" t="str">
        <f aca="false">IF($D791="","",IFERROR(IF(INDEX(Hierarchy!$F$2:$F$1295,MATCH($D791,Hierarchy!$A$2:$A$1295,0))="","",INDEX(Hierarchy!$F$2:$F$1295,MATCH($D791,Hierarchy!$A$2:$A$1295,0))),"NODE NOT FOUND"))</f>
        <v>Jamaica</v>
      </c>
      <c r="J791" s="7" t="str">
        <f aca="false">IF($D791="","",IFERROR(IF(INDEX(Hierarchy!$G$2:$G$1295,MATCH($D791,Hierarchy!$A$2:$A$1295,0))="","",INDEX(Hierarchy!$G$2:$G$1295,MATCH($D791,Hierarchy!$A$2:$A$1295,0))),"NODE NOT FOUND"))</f>
        <v>JAM</v>
      </c>
      <c r="K791" s="7" t="str">
        <f aca="false">IF($D791="","",IFERROR(IF(INDEX(Hierarchy!$H$2:$H$1295,MATCH($D791,Hierarchy!$A$2:$A$1295,0))="","",INDEX(Hierarchy!$H$2:$H$1295,MATCH($D791,Hierarchy!$A$2:$A$1295,0))),"NODE NOT FOUND"))</f>
        <v/>
      </c>
      <c r="L791" s="7" t="str">
        <f aca="false">IF($D791="","",IFERROR(IF(INDEX(Hierarchy!$I$2:$I$1295,MATCH($D791,Hierarchy!$A$2:$A$1295,0))="","",INDEX(Hierarchy!$I$2:$I$1295,MATCH($D791,Hierarchy!$A$2:$A$1295,0))),"NODE NOT FOUND"))</f>
        <v/>
      </c>
      <c r="M791" s="17" t="str">
        <f aca="false">IF(B791="Pre-seeded","Pre-seeded",IF(B791="Review 2026-09-16","Added from review",IF(C791="","New",IF(C791=D791,"","Changed"))))</f>
        <v/>
      </c>
      <c r="N791" s="7" t="str">
        <f aca="false">TRIM(SUBSTITUTE(SUBSTITUTE(SUBSTITUTE(" "&amp;TRIM(SUBSTITUTE(SUBSTITUTE(SUBSTITUTE(SUBSTITUTE(SUBSTITUTE(SUBSTITUTE(SUBSTITUTE(SUBSTITUTE(SUBSTITUTE(SUBSTITUTE(SUBSTITUTE(SUBSTITUTE(SUBSTITUTE(SUBSTITUTE(SUBSTITUTE(UPPER(TRIM(A791)),"[MEMBER]",""),"{MEMBER}",""),"[MEMBER}",""),"MEMBER]",""),"(A)",""),"""",""),"“",""),"”",""),".",""),":",""),",",""),"–"," "),"-"," "),"/"," "),"&amp;"," AND "))&amp;" "," THE "," ")," TOTAL "," ")," OPERATIONS "," "))</f>
        <v>JAMAICA</v>
      </c>
      <c r="O791" s="17" t="str">
        <f aca="false">IF(COUNTIFS($N$2:$N$2000,N791,$D$2:$D$2000,"&lt;&gt;"&amp;D791)&gt;0,"CONFLICT","")</f>
        <v/>
      </c>
      <c r="P791" s="7"/>
    </row>
    <row r="792" customFormat="false" ht="15" hidden="false" customHeight="false" outlineLevel="0" collapsed="false">
      <c r="A792" s="7" t="s">
        <v>1607</v>
      </c>
      <c r="B792" s="7" t="s">
        <v>1879</v>
      </c>
      <c r="C792" s="7"/>
      <c r="D792" s="6" t="s">
        <v>1607</v>
      </c>
      <c r="E792" s="6" t="s">
        <v>1880</v>
      </c>
      <c r="F792" s="7" t="str">
        <f aca="false">IF($D792="","",IFERROR(IF(INDEX(Hierarchy!$B$2:$B$1295,MATCH($D792,Hierarchy!$A$2:$A$1295,0))="","",INDEX(Hierarchy!$B$2:$B$1295,MATCH($D792,Hierarchy!$A$2:$A$1295,0))),"NODE NOT FOUND"))</f>
        <v>State/Province</v>
      </c>
      <c r="G792" s="7" t="str">
        <f aca="false">IF($D792="","",IFERROR(IF(INDEX(Hierarchy!$D$2:$D$1295,MATCH($D792,Hierarchy!$A$2:$A$1295,0))="","",INDEX(Hierarchy!$D$2:$D$1295,MATCH($D792,Hierarchy!$A$2:$A$1295,0))),"NODE NOT FOUND"))</f>
        <v>APAC</v>
      </c>
      <c r="H792" s="7" t="str">
        <f aca="false">IF($D792="","",IFERROR(IF(INDEX(Hierarchy!$E$2:$E$1295,MATCH($D792,Hierarchy!$A$2:$A$1295,0))="","",INDEX(Hierarchy!$E$2:$E$1295,MATCH($D792,Hierarchy!$A$2:$A$1295,0))),"NODE NOT FOUND"))</f>
        <v>Southeast Asia (ASEAN)</v>
      </c>
      <c r="I792" s="7" t="str">
        <f aca="false">IF($D792="","",IFERROR(IF(INDEX(Hierarchy!$F$2:$F$1295,MATCH($D792,Hierarchy!$A$2:$A$1295,0))="","",INDEX(Hierarchy!$F$2:$F$1295,MATCH($D792,Hierarchy!$A$2:$A$1295,0))),"NODE NOT FOUND"))</f>
        <v>Indonesia</v>
      </c>
      <c r="J792" s="7" t="str">
        <f aca="false">IF($D792="","",IFERROR(IF(INDEX(Hierarchy!$G$2:$G$1295,MATCH($D792,Hierarchy!$A$2:$A$1295,0))="","",INDEX(Hierarchy!$G$2:$G$1295,MATCH($D792,Hierarchy!$A$2:$A$1295,0))),"NODE NOT FOUND"))</f>
        <v>IDN</v>
      </c>
      <c r="K792" s="7" t="str">
        <f aca="false">IF($D792="","",IFERROR(IF(INDEX(Hierarchy!$H$2:$H$1295,MATCH($D792,Hierarchy!$A$2:$A$1295,0))="","",INDEX(Hierarchy!$H$2:$H$1295,MATCH($D792,Hierarchy!$A$2:$A$1295,0))),"NODE NOT FOUND"))</f>
        <v>Jambi</v>
      </c>
      <c r="L792" s="7" t="str">
        <f aca="false">IF($D792="","",IFERROR(IF(INDEX(Hierarchy!$I$2:$I$1295,MATCH($D792,Hierarchy!$A$2:$A$1295,0))="","",INDEX(Hierarchy!$I$2:$I$1295,MATCH($D792,Hierarchy!$A$2:$A$1295,0))),"NODE NOT FOUND"))</f>
        <v/>
      </c>
      <c r="M792" s="17" t="str">
        <f aca="false">IF(B792="Pre-seeded","Pre-seeded",IF(B792="Review 2026-09-16","Added from review",IF(C792="","New",IF(C792=D792,"","Changed"))))</f>
        <v>Pre-seeded</v>
      </c>
      <c r="N792" s="7" t="str">
        <f aca="false">TRIM(SUBSTITUTE(SUBSTITUTE(SUBSTITUTE(" "&amp;TRIM(SUBSTITUTE(SUBSTITUTE(SUBSTITUTE(SUBSTITUTE(SUBSTITUTE(SUBSTITUTE(SUBSTITUTE(SUBSTITUTE(SUBSTITUTE(SUBSTITUTE(SUBSTITUTE(SUBSTITUTE(SUBSTITUTE(SUBSTITUTE(SUBSTITUTE(UPPER(TRIM(A792)),"[MEMBER]",""),"{MEMBER}",""),"[MEMBER}",""),"MEMBER]",""),"(A)",""),"""",""),"“",""),"”",""),".",""),":",""),",",""),"–"," "),"-"," "),"/"," "),"&amp;"," AND "))&amp;" "," THE "," ")," TOTAL "," ")," OPERATIONS "," "))</f>
        <v>JAMBI</v>
      </c>
      <c r="O792" s="17" t="str">
        <f aca="false">IF(COUNTIFS($N$2:$N$2000,N792,$D$2:$D$2000,"&lt;&gt;"&amp;D792)&gt;0,"CONFLICT","")</f>
        <v/>
      </c>
      <c r="P792" s="7"/>
    </row>
    <row r="793" customFormat="false" ht="15" hidden="false" customHeight="false" outlineLevel="0" collapsed="false">
      <c r="A793" s="7" t="s">
        <v>1342</v>
      </c>
      <c r="B793" s="7" t="s">
        <v>1879</v>
      </c>
      <c r="C793" s="7"/>
      <c r="D793" s="6" t="s">
        <v>1342</v>
      </c>
      <c r="E793" s="6" t="s">
        <v>1880</v>
      </c>
      <c r="F793" s="7" t="str">
        <f aca="false">IF($D793="","",IFERROR(IF(INDEX(Hierarchy!$B$2:$B$1295,MATCH($D793,Hierarchy!$A$2:$A$1295,0))="","",INDEX(Hierarchy!$B$2:$B$1295,MATCH($D793,Hierarchy!$A$2:$A$1295,0))),"NODE NOT FOUND"))</f>
        <v>State/Province</v>
      </c>
      <c r="G793" s="7" t="str">
        <f aca="false">IF($D793="","",IFERROR(IF(INDEX(Hierarchy!$D$2:$D$1295,MATCH($D793,Hierarchy!$A$2:$A$1295,0))="","",INDEX(Hierarchy!$D$2:$D$1295,MATCH($D793,Hierarchy!$A$2:$A$1295,0))),"NODE NOT FOUND"))</f>
        <v>APAC</v>
      </c>
      <c r="H793" s="7" t="str">
        <f aca="false">IF($D793="","",IFERROR(IF(INDEX(Hierarchy!$E$2:$E$1295,MATCH($D793,Hierarchy!$A$2:$A$1295,0))="","",INDEX(Hierarchy!$E$2:$E$1295,MATCH($D793,Hierarchy!$A$2:$A$1295,0))),"NODE NOT FOUND"))</f>
        <v>South Asia</v>
      </c>
      <c r="I793" s="7" t="str">
        <f aca="false">IF($D793="","",IFERROR(IF(INDEX(Hierarchy!$F$2:$F$1295,MATCH($D793,Hierarchy!$A$2:$A$1295,0))="","",INDEX(Hierarchy!$F$2:$F$1295,MATCH($D793,Hierarchy!$A$2:$A$1295,0))),"NODE NOT FOUND"))</f>
        <v>India</v>
      </c>
      <c r="J793" s="7" t="str">
        <f aca="false">IF($D793="","",IFERROR(IF(INDEX(Hierarchy!$G$2:$G$1295,MATCH($D793,Hierarchy!$A$2:$A$1295,0))="","",INDEX(Hierarchy!$G$2:$G$1295,MATCH($D793,Hierarchy!$A$2:$A$1295,0))),"NODE NOT FOUND"))</f>
        <v>IND</v>
      </c>
      <c r="K793" s="7" t="str">
        <f aca="false">IF($D793="","",IFERROR(IF(INDEX(Hierarchy!$H$2:$H$1295,MATCH($D793,Hierarchy!$A$2:$A$1295,0))="","",INDEX(Hierarchy!$H$2:$H$1295,MATCH($D793,Hierarchy!$A$2:$A$1295,0))),"NODE NOT FOUND"))</f>
        <v>Jammu and Kashmir</v>
      </c>
      <c r="L793" s="7" t="str">
        <f aca="false">IF($D793="","",IFERROR(IF(INDEX(Hierarchy!$I$2:$I$1295,MATCH($D793,Hierarchy!$A$2:$A$1295,0))="","",INDEX(Hierarchy!$I$2:$I$1295,MATCH($D793,Hierarchy!$A$2:$A$1295,0))),"NODE NOT FOUND"))</f>
        <v/>
      </c>
      <c r="M793" s="17" t="str">
        <f aca="false">IF(B793="Pre-seeded","Pre-seeded",IF(B793="Review 2026-09-16","Added from review",IF(C793="","New",IF(C793=D793,"","Changed"))))</f>
        <v>Pre-seeded</v>
      </c>
      <c r="N793" s="7" t="str">
        <f aca="false">TRIM(SUBSTITUTE(SUBSTITUTE(SUBSTITUTE(" "&amp;TRIM(SUBSTITUTE(SUBSTITUTE(SUBSTITUTE(SUBSTITUTE(SUBSTITUTE(SUBSTITUTE(SUBSTITUTE(SUBSTITUTE(SUBSTITUTE(SUBSTITUTE(SUBSTITUTE(SUBSTITUTE(SUBSTITUTE(SUBSTITUTE(SUBSTITUTE(UPPER(TRIM(A793)),"[MEMBER]",""),"{MEMBER}",""),"[MEMBER}",""),"MEMBER]",""),"(A)",""),"""",""),"“",""),"”",""),".",""),":",""),",",""),"–"," "),"-"," "),"/"," "),"&amp;"," AND "))&amp;" "," THE "," ")," TOTAL "," ")," OPERATIONS "," "))</f>
        <v>JAMMU AND KASHMIR</v>
      </c>
      <c r="O793" s="17" t="str">
        <f aca="false">IF(COUNTIFS($N$2:$N$2000,N793,$D$2:$D$2000,"&lt;&gt;"&amp;D793)&gt;0,"CONFLICT","")</f>
        <v/>
      </c>
      <c r="P793" s="7"/>
    </row>
    <row r="794" customFormat="false" ht="15" hidden="false" customHeight="false" outlineLevel="0" collapsed="false">
      <c r="A794" s="7" t="s">
        <v>2296</v>
      </c>
      <c r="B794" s="7" t="s">
        <v>1885</v>
      </c>
      <c r="C794" s="7" t="s">
        <v>2032</v>
      </c>
      <c r="D794" s="6" t="s">
        <v>1311</v>
      </c>
      <c r="E794" s="6" t="s">
        <v>1880</v>
      </c>
      <c r="F794" s="7" t="str">
        <f aca="false">IF($D794="","",IFERROR(IF(INDEX(Hierarchy!$B$2:$B$1295,MATCH($D794,Hierarchy!$A$2:$A$1295,0))="","",INDEX(Hierarchy!$B$2:$B$1295,MATCH($D794,Hierarchy!$A$2:$A$1295,0))),"NODE NOT FOUND"))</f>
        <v>Region</v>
      </c>
      <c r="G794" s="7" t="str">
        <f aca="false">IF($D794="","",IFERROR(IF(INDEX(Hierarchy!$D$2:$D$1295,MATCH($D794,Hierarchy!$A$2:$A$1295,0))="","",INDEX(Hierarchy!$D$2:$D$1295,MATCH($D794,Hierarchy!$A$2:$A$1295,0))),"NODE NOT FOUND"))</f>
        <v>APAC</v>
      </c>
      <c r="H794" s="7" t="str">
        <f aca="false">IF($D794="","",IFERROR(IF(INDEX(Hierarchy!$E$2:$E$1295,MATCH($D794,Hierarchy!$A$2:$A$1295,0))="","",INDEX(Hierarchy!$E$2:$E$1295,MATCH($D794,Hierarchy!$A$2:$A$1295,0))),"NODE NOT FOUND"))</f>
        <v/>
      </c>
      <c r="I794" s="7" t="str">
        <f aca="false">IF($D794="","",IFERROR(IF(INDEX(Hierarchy!$F$2:$F$1295,MATCH($D794,Hierarchy!$A$2:$A$1295,0))="","",INDEX(Hierarchy!$F$2:$F$1295,MATCH($D794,Hierarchy!$A$2:$A$1295,0))),"NODE NOT FOUND"))</f>
        <v/>
      </c>
      <c r="J794" s="7" t="str">
        <f aca="false">IF($D794="","",IFERROR(IF(INDEX(Hierarchy!$G$2:$G$1295,MATCH($D794,Hierarchy!$A$2:$A$1295,0))="","",INDEX(Hierarchy!$G$2:$G$1295,MATCH($D794,Hierarchy!$A$2:$A$1295,0))),"NODE NOT FOUND"))</f>
        <v/>
      </c>
      <c r="K794" s="7" t="str">
        <f aca="false">IF($D794="","",IFERROR(IF(INDEX(Hierarchy!$H$2:$H$1295,MATCH($D794,Hierarchy!$A$2:$A$1295,0))="","",INDEX(Hierarchy!$H$2:$H$1295,MATCH($D794,Hierarchy!$A$2:$A$1295,0))),"NODE NOT FOUND"))</f>
        <v/>
      </c>
      <c r="L794" s="7" t="str">
        <f aca="false">IF($D794="","",IFERROR(IF(INDEX(Hierarchy!$I$2:$I$1295,MATCH($D794,Hierarchy!$A$2:$A$1295,0))="","",INDEX(Hierarchy!$I$2:$I$1295,MATCH($D794,Hierarchy!$A$2:$A$1295,0))),"NODE NOT FOUND"))</f>
        <v/>
      </c>
      <c r="M794" s="17" t="str">
        <f aca="false">IF(B794="Pre-seeded","Pre-seeded",IF(B794="Review 2026-09-16","Added from review",IF(C794="","New",IF(C794=D794,"","Changed"))))</f>
        <v>Changed</v>
      </c>
      <c r="N794" s="7" t="str">
        <f aca="false">TRIM(SUBSTITUTE(SUBSTITUTE(SUBSTITUTE(" "&amp;TRIM(SUBSTITUTE(SUBSTITUTE(SUBSTITUTE(SUBSTITUTE(SUBSTITUTE(SUBSTITUTE(SUBSTITUTE(SUBSTITUTE(SUBSTITUTE(SUBSTITUTE(SUBSTITUTE(SUBSTITUTE(SUBSTITUTE(SUBSTITUTE(SUBSTITUTE(UPPER(TRIM(A794)),"[MEMBER]",""),"{MEMBER}",""),"[MEMBER}",""),"MEMBER]",""),"(A)",""),"""",""),"“",""),"”",""),".",""),":",""),",",""),"–"," "),"-"," "),"/"," "),"&amp;"," AND "))&amp;" "," THE "," ")," TOTAL "," ")," OPERATIONS "," "))</f>
        <v>JAPA GEOGRAPHIC REGION</v>
      </c>
      <c r="O794" s="17" t="str">
        <f aca="false">IF(COUNTIFS($N$2:$N$2000,N794,$D$2:$D$2000,"&lt;&gt;"&amp;D794)&gt;0,"CONFLICT","")</f>
        <v/>
      </c>
      <c r="P794" s="7" t="s">
        <v>2297</v>
      </c>
    </row>
    <row r="795" customFormat="false" ht="15" hidden="false" customHeight="false" outlineLevel="0" collapsed="false">
      <c r="A795" s="7" t="s">
        <v>2298</v>
      </c>
      <c r="B795" s="7" t="s">
        <v>1879</v>
      </c>
      <c r="C795" s="7"/>
      <c r="D795" s="6" t="s">
        <v>1311</v>
      </c>
      <c r="E795" s="6" t="s">
        <v>1880</v>
      </c>
      <c r="F795" s="7" t="str">
        <f aca="false">IF($D795="","",IFERROR(IF(INDEX(Hierarchy!$B$2:$B$1295,MATCH($D795,Hierarchy!$A$2:$A$1295,0))="","",INDEX(Hierarchy!$B$2:$B$1295,MATCH($D795,Hierarchy!$A$2:$A$1295,0))),"NODE NOT FOUND"))</f>
        <v>Region</v>
      </c>
      <c r="G795" s="7" t="str">
        <f aca="false">IF($D795="","",IFERROR(IF(INDEX(Hierarchy!$D$2:$D$1295,MATCH($D795,Hierarchy!$A$2:$A$1295,0))="","",INDEX(Hierarchy!$D$2:$D$1295,MATCH($D795,Hierarchy!$A$2:$A$1295,0))),"NODE NOT FOUND"))</f>
        <v>APAC</v>
      </c>
      <c r="H795" s="7" t="str">
        <f aca="false">IF($D795="","",IFERROR(IF(INDEX(Hierarchy!$E$2:$E$1295,MATCH($D795,Hierarchy!$A$2:$A$1295,0))="","",INDEX(Hierarchy!$E$2:$E$1295,MATCH($D795,Hierarchy!$A$2:$A$1295,0))),"NODE NOT FOUND"))</f>
        <v/>
      </c>
      <c r="I795" s="7" t="str">
        <f aca="false">IF($D795="","",IFERROR(IF(INDEX(Hierarchy!$F$2:$F$1295,MATCH($D795,Hierarchy!$A$2:$A$1295,0))="","",INDEX(Hierarchy!$F$2:$F$1295,MATCH($D795,Hierarchy!$A$2:$A$1295,0))),"NODE NOT FOUND"))</f>
        <v/>
      </c>
      <c r="J795" s="7" t="str">
        <f aca="false">IF($D795="","",IFERROR(IF(INDEX(Hierarchy!$G$2:$G$1295,MATCH($D795,Hierarchy!$A$2:$A$1295,0))="","",INDEX(Hierarchy!$G$2:$G$1295,MATCH($D795,Hierarchy!$A$2:$A$1295,0))),"NODE NOT FOUND"))</f>
        <v/>
      </c>
      <c r="K795" s="7" t="str">
        <f aca="false">IF($D795="","",IFERROR(IF(INDEX(Hierarchy!$H$2:$H$1295,MATCH($D795,Hierarchy!$A$2:$A$1295,0))="","",INDEX(Hierarchy!$H$2:$H$1295,MATCH($D795,Hierarchy!$A$2:$A$1295,0))),"NODE NOT FOUND"))</f>
        <v/>
      </c>
      <c r="L795" s="7" t="str">
        <f aca="false">IF($D795="","",IFERROR(IF(INDEX(Hierarchy!$I$2:$I$1295,MATCH($D795,Hierarchy!$A$2:$A$1295,0))="","",INDEX(Hierarchy!$I$2:$I$1295,MATCH($D795,Hierarchy!$A$2:$A$1295,0))),"NODE NOT FOUND"))</f>
        <v/>
      </c>
      <c r="M795" s="17" t="str">
        <f aca="false">IF(B795="Pre-seeded","Pre-seeded",IF(B795="Review 2026-09-16","Added from review",IF(C795="","New",IF(C795=D795,"","Changed"))))</f>
        <v>Pre-seeded</v>
      </c>
      <c r="N795" s="7" t="str">
        <f aca="false">TRIM(SUBSTITUTE(SUBSTITUTE(SUBSTITUTE(" "&amp;TRIM(SUBSTITUTE(SUBSTITUTE(SUBSTITUTE(SUBSTITUTE(SUBSTITUTE(SUBSTITUTE(SUBSTITUTE(SUBSTITUTE(SUBSTITUTE(SUBSTITUTE(SUBSTITUTE(SUBSTITUTE(SUBSTITUTE(SUBSTITUTE(SUBSTITUTE(UPPER(TRIM(A795)),"[MEMBER]",""),"{MEMBER}",""),"[MEMBER}",""),"MEMBER]",""),"(A)",""),"""",""),"“",""),"”",""),".",""),":",""),",",""),"–"," "),"-"," "),"/"," "),"&amp;"," AND "))&amp;" "," THE "," ")," TOTAL "," ")," OPERATIONS "," "))</f>
        <v>JAPAC</v>
      </c>
      <c r="O795" s="17" t="str">
        <f aca="false">IF(COUNTIFS($N$2:$N$2000,N795,$D$2:$D$2000,"&lt;&gt;"&amp;D795)&gt;0,"CONFLICT","")</f>
        <v/>
      </c>
      <c r="P795" s="7"/>
    </row>
    <row r="796" customFormat="false" ht="15" hidden="false" customHeight="false" outlineLevel="0" collapsed="false">
      <c r="A796" s="7" t="s">
        <v>1424</v>
      </c>
      <c r="B796" s="7" t="s">
        <v>1882</v>
      </c>
      <c r="C796" s="7" t="s">
        <v>1424</v>
      </c>
      <c r="D796" s="6" t="s">
        <v>1424</v>
      </c>
      <c r="E796" s="6" t="s">
        <v>1880</v>
      </c>
      <c r="F796" s="7" t="str">
        <f aca="false">IF($D796="","",IFERROR(IF(INDEX(Hierarchy!$B$2:$B$1295,MATCH($D796,Hierarchy!$A$2:$A$1295,0))="","",INDEX(Hierarchy!$B$2:$B$1295,MATCH($D796,Hierarchy!$A$2:$A$1295,0))),"NODE NOT FOUND"))</f>
        <v>Country</v>
      </c>
      <c r="G796" s="7" t="str">
        <f aca="false">IF($D796="","",IFERROR(IF(INDEX(Hierarchy!$D$2:$D$1295,MATCH($D796,Hierarchy!$A$2:$A$1295,0))="","",INDEX(Hierarchy!$D$2:$D$1295,MATCH($D796,Hierarchy!$A$2:$A$1295,0))),"NODE NOT FOUND"))</f>
        <v>APAC</v>
      </c>
      <c r="H796" s="7" t="str">
        <f aca="false">IF($D796="","",IFERROR(IF(INDEX(Hierarchy!$E$2:$E$1295,MATCH($D796,Hierarchy!$A$2:$A$1295,0))="","",INDEX(Hierarchy!$E$2:$E$1295,MATCH($D796,Hierarchy!$A$2:$A$1295,0))),"NODE NOT FOUND"))</f>
        <v>East Asia</v>
      </c>
      <c r="I796" s="7" t="str">
        <f aca="false">IF($D796="","",IFERROR(IF(INDEX(Hierarchy!$F$2:$F$1295,MATCH($D796,Hierarchy!$A$2:$A$1295,0))="","",INDEX(Hierarchy!$F$2:$F$1295,MATCH($D796,Hierarchy!$A$2:$A$1295,0))),"NODE NOT FOUND"))</f>
        <v>Japan</v>
      </c>
      <c r="J796" s="7" t="str">
        <f aca="false">IF($D796="","",IFERROR(IF(INDEX(Hierarchy!$G$2:$G$1295,MATCH($D796,Hierarchy!$A$2:$A$1295,0))="","",INDEX(Hierarchy!$G$2:$G$1295,MATCH($D796,Hierarchy!$A$2:$A$1295,0))),"NODE NOT FOUND"))</f>
        <v>JPN</v>
      </c>
      <c r="K796" s="7" t="str">
        <f aca="false">IF($D796="","",IFERROR(IF(INDEX(Hierarchy!$H$2:$H$1295,MATCH($D796,Hierarchy!$A$2:$A$1295,0))="","",INDEX(Hierarchy!$H$2:$H$1295,MATCH($D796,Hierarchy!$A$2:$A$1295,0))),"NODE NOT FOUND"))</f>
        <v/>
      </c>
      <c r="L796" s="7" t="str">
        <f aca="false">IF($D796="","",IFERROR(IF(INDEX(Hierarchy!$I$2:$I$1295,MATCH($D796,Hierarchy!$A$2:$A$1295,0))="","",INDEX(Hierarchy!$I$2:$I$1295,MATCH($D796,Hierarchy!$A$2:$A$1295,0))),"NODE NOT FOUND"))</f>
        <v/>
      </c>
      <c r="M796" s="17" t="str">
        <f aca="false">IF(B796="Pre-seeded","Pre-seeded",IF(B796="Review 2026-09-16","Added from review",IF(C796="","New",IF(C796=D796,"","Changed"))))</f>
        <v/>
      </c>
      <c r="N796" s="7" t="str">
        <f aca="false">TRIM(SUBSTITUTE(SUBSTITUTE(SUBSTITUTE(" "&amp;TRIM(SUBSTITUTE(SUBSTITUTE(SUBSTITUTE(SUBSTITUTE(SUBSTITUTE(SUBSTITUTE(SUBSTITUTE(SUBSTITUTE(SUBSTITUTE(SUBSTITUTE(SUBSTITUTE(SUBSTITUTE(SUBSTITUTE(SUBSTITUTE(SUBSTITUTE(UPPER(TRIM(A796)),"[MEMBER]",""),"{MEMBER}",""),"[MEMBER}",""),"MEMBER]",""),"(A)",""),"""",""),"“",""),"”",""),".",""),":",""),",",""),"–"," "),"-"," "),"/"," "),"&amp;"," AND "))&amp;" "," THE "," ")," TOTAL "," ")," OPERATIONS "," "))</f>
        <v>JAPAN</v>
      </c>
      <c r="O796" s="17" t="str">
        <f aca="false">IF(COUNTIFS($N$2:$N$2000,N796,$D$2:$D$2000,"&lt;&gt;"&amp;D796)&gt;0,"CONFLICT","")</f>
        <v/>
      </c>
      <c r="P796" s="7"/>
    </row>
    <row r="797" customFormat="false" ht="15" hidden="false" customHeight="false" outlineLevel="0" collapsed="false">
      <c r="A797" s="7" t="s">
        <v>2299</v>
      </c>
      <c r="B797" s="7" t="s">
        <v>1882</v>
      </c>
      <c r="C797" s="7" t="s">
        <v>1424</v>
      </c>
      <c r="D797" s="6" t="s">
        <v>1424</v>
      </c>
      <c r="E797" s="6" t="s">
        <v>1880</v>
      </c>
      <c r="F797" s="7" t="str">
        <f aca="false">IF($D797="","",IFERROR(IF(INDEX(Hierarchy!$B$2:$B$1295,MATCH($D797,Hierarchy!$A$2:$A$1295,0))="","",INDEX(Hierarchy!$B$2:$B$1295,MATCH($D797,Hierarchy!$A$2:$A$1295,0))),"NODE NOT FOUND"))</f>
        <v>Country</v>
      </c>
      <c r="G797" s="7" t="str">
        <f aca="false">IF($D797="","",IFERROR(IF(INDEX(Hierarchy!$D$2:$D$1295,MATCH($D797,Hierarchy!$A$2:$A$1295,0))="","",INDEX(Hierarchy!$D$2:$D$1295,MATCH($D797,Hierarchy!$A$2:$A$1295,0))),"NODE NOT FOUND"))</f>
        <v>APAC</v>
      </c>
      <c r="H797" s="7" t="str">
        <f aca="false">IF($D797="","",IFERROR(IF(INDEX(Hierarchy!$E$2:$E$1295,MATCH($D797,Hierarchy!$A$2:$A$1295,0))="","",INDEX(Hierarchy!$E$2:$E$1295,MATCH($D797,Hierarchy!$A$2:$A$1295,0))),"NODE NOT FOUND"))</f>
        <v>East Asia</v>
      </c>
      <c r="I797" s="7" t="str">
        <f aca="false">IF($D797="","",IFERROR(IF(INDEX(Hierarchy!$F$2:$F$1295,MATCH($D797,Hierarchy!$A$2:$A$1295,0))="","",INDEX(Hierarchy!$F$2:$F$1295,MATCH($D797,Hierarchy!$A$2:$A$1295,0))),"NODE NOT FOUND"))</f>
        <v>Japan</v>
      </c>
      <c r="J797" s="7" t="str">
        <f aca="false">IF($D797="","",IFERROR(IF(INDEX(Hierarchy!$G$2:$G$1295,MATCH($D797,Hierarchy!$A$2:$A$1295,0))="","",INDEX(Hierarchy!$G$2:$G$1295,MATCH($D797,Hierarchy!$A$2:$A$1295,0))),"NODE NOT FOUND"))</f>
        <v>JPN</v>
      </c>
      <c r="K797" s="7" t="str">
        <f aca="false">IF($D797="","",IFERROR(IF(INDEX(Hierarchy!$H$2:$H$1295,MATCH($D797,Hierarchy!$A$2:$A$1295,0))="","",INDEX(Hierarchy!$H$2:$H$1295,MATCH($D797,Hierarchy!$A$2:$A$1295,0))),"NODE NOT FOUND"))</f>
        <v/>
      </c>
      <c r="L797" s="7" t="str">
        <f aca="false">IF($D797="","",IFERROR(IF(INDEX(Hierarchy!$I$2:$I$1295,MATCH($D797,Hierarchy!$A$2:$A$1295,0))="","",INDEX(Hierarchy!$I$2:$I$1295,MATCH($D797,Hierarchy!$A$2:$A$1295,0))),"NODE NOT FOUND"))</f>
        <v/>
      </c>
      <c r="M797" s="17" t="str">
        <f aca="false">IF(B797="Pre-seeded","Pre-seeded",IF(B797="Review 2026-09-16","Added from review",IF(C797="","New",IF(C797=D797,"","Changed"))))</f>
        <v/>
      </c>
      <c r="N797" s="7" t="str">
        <f aca="false">TRIM(SUBSTITUTE(SUBSTITUTE(SUBSTITUTE(" "&amp;TRIM(SUBSTITUTE(SUBSTITUTE(SUBSTITUTE(SUBSTITUTE(SUBSTITUTE(SUBSTITUTE(SUBSTITUTE(SUBSTITUTE(SUBSTITUTE(SUBSTITUTE(SUBSTITUTE(SUBSTITUTE(SUBSTITUTE(SUBSTITUTE(SUBSTITUTE(UPPER(TRIM(A797)),"[MEMBER]",""),"{MEMBER}",""),"[MEMBER}",""),"MEMBER]",""),"(A)",""),"""",""),"“",""),"”",""),".",""),":",""),",",""),"–"," "),"-"," "),"/"," "),"&amp;"," AND "))&amp;" "," THE "," ")," TOTAL "," ")," OPERATIONS "," "))</f>
        <v>JAPAN</v>
      </c>
      <c r="O797" s="17" t="str">
        <f aca="false">IF(COUNTIFS($N$2:$N$2000,N797,$D$2:$D$2000,"&lt;&gt;"&amp;D797)&gt;0,"CONFLICT","")</f>
        <v/>
      </c>
      <c r="P797" s="7"/>
    </row>
    <row r="798" customFormat="false" ht="15" hidden="false" customHeight="false" outlineLevel="0" collapsed="false">
      <c r="A798" s="7" t="s">
        <v>2300</v>
      </c>
      <c r="B798" s="7" t="s">
        <v>1879</v>
      </c>
      <c r="C798" s="7"/>
      <c r="D798" s="6" t="s">
        <v>1311</v>
      </c>
      <c r="E798" s="6" t="s">
        <v>1880</v>
      </c>
      <c r="F798" s="7" t="str">
        <f aca="false">IF($D798="","",IFERROR(IF(INDEX(Hierarchy!$B$2:$B$1295,MATCH($D798,Hierarchy!$A$2:$A$1295,0))="","",INDEX(Hierarchy!$B$2:$B$1295,MATCH($D798,Hierarchy!$A$2:$A$1295,0))),"NODE NOT FOUND"))</f>
        <v>Region</v>
      </c>
      <c r="G798" s="7" t="str">
        <f aca="false">IF($D798="","",IFERROR(IF(INDEX(Hierarchy!$D$2:$D$1295,MATCH($D798,Hierarchy!$A$2:$A$1295,0))="","",INDEX(Hierarchy!$D$2:$D$1295,MATCH($D798,Hierarchy!$A$2:$A$1295,0))),"NODE NOT FOUND"))</f>
        <v>APAC</v>
      </c>
      <c r="H798" s="7" t="str">
        <f aca="false">IF($D798="","",IFERROR(IF(INDEX(Hierarchy!$E$2:$E$1295,MATCH($D798,Hierarchy!$A$2:$A$1295,0))="","",INDEX(Hierarchy!$E$2:$E$1295,MATCH($D798,Hierarchy!$A$2:$A$1295,0))),"NODE NOT FOUND"))</f>
        <v/>
      </c>
      <c r="I798" s="7" t="str">
        <f aca="false">IF($D798="","",IFERROR(IF(INDEX(Hierarchy!$F$2:$F$1295,MATCH($D798,Hierarchy!$A$2:$A$1295,0))="","",INDEX(Hierarchy!$F$2:$F$1295,MATCH($D798,Hierarchy!$A$2:$A$1295,0))),"NODE NOT FOUND"))</f>
        <v/>
      </c>
      <c r="J798" s="7" t="str">
        <f aca="false">IF($D798="","",IFERROR(IF(INDEX(Hierarchy!$G$2:$G$1295,MATCH($D798,Hierarchy!$A$2:$A$1295,0))="","",INDEX(Hierarchy!$G$2:$G$1295,MATCH($D798,Hierarchy!$A$2:$A$1295,0))),"NODE NOT FOUND"))</f>
        <v/>
      </c>
      <c r="K798" s="7" t="str">
        <f aca="false">IF($D798="","",IFERROR(IF(INDEX(Hierarchy!$H$2:$H$1295,MATCH($D798,Hierarchy!$A$2:$A$1295,0))="","",INDEX(Hierarchy!$H$2:$H$1295,MATCH($D798,Hierarchy!$A$2:$A$1295,0))),"NODE NOT FOUND"))</f>
        <v/>
      </c>
      <c r="L798" s="7" t="str">
        <f aca="false">IF($D798="","",IFERROR(IF(INDEX(Hierarchy!$I$2:$I$1295,MATCH($D798,Hierarchy!$A$2:$A$1295,0))="","",INDEX(Hierarchy!$I$2:$I$1295,MATCH($D798,Hierarchy!$A$2:$A$1295,0))),"NODE NOT FOUND"))</f>
        <v/>
      </c>
      <c r="M798" s="17" t="str">
        <f aca="false">IF(B798="Pre-seeded","Pre-seeded",IF(B798="Review 2026-09-16","Added from review",IF(C798="","New",IF(C798=D798,"","Changed"))))</f>
        <v>Pre-seeded</v>
      </c>
      <c r="N798" s="7" t="str">
        <f aca="false">TRIM(SUBSTITUTE(SUBSTITUTE(SUBSTITUTE(" "&amp;TRIM(SUBSTITUTE(SUBSTITUTE(SUBSTITUTE(SUBSTITUTE(SUBSTITUTE(SUBSTITUTE(SUBSTITUTE(SUBSTITUTE(SUBSTITUTE(SUBSTITUTE(SUBSTITUTE(SUBSTITUTE(SUBSTITUTE(SUBSTITUTE(SUBSTITUTE(UPPER(TRIM(A798)),"[MEMBER]",""),"{MEMBER}",""),"[MEMBER}",""),"MEMBER]",""),"(A)",""),"""",""),"“",""),"”",""),".",""),":",""),",",""),"–"," "),"-"," "),"/"," "),"&amp;"," AND "))&amp;" "," THE "," ")," TOTAL "," ")," OPERATIONS "," "))</f>
        <v>JAPAN AND ASIA PACIFIC</v>
      </c>
      <c r="O798" s="17" t="str">
        <f aca="false">IF(COUNTIFS($N$2:$N$2000,N798,$D$2:$D$2000,"&lt;&gt;"&amp;D798)&gt;0,"CONFLICT","")</f>
        <v/>
      </c>
      <c r="P798" s="7"/>
    </row>
    <row r="799" customFormat="false" ht="15" hidden="false" customHeight="false" outlineLevel="0" collapsed="false">
      <c r="A799" s="7" t="s">
        <v>2301</v>
      </c>
      <c r="B799" s="7" t="s">
        <v>1879</v>
      </c>
      <c r="C799" s="7"/>
      <c r="D799" s="6" t="s">
        <v>1422</v>
      </c>
      <c r="E799" s="6" t="s">
        <v>1891</v>
      </c>
      <c r="F799" s="7" t="str">
        <f aca="false">IF($D799="","",IFERROR(IF(INDEX(Hierarchy!$B$2:$B$1295,MATCH($D799,Hierarchy!$A$2:$A$1295,0))="","",INDEX(Hierarchy!$B$2:$B$1295,MATCH($D799,Hierarchy!$A$2:$A$1295,0))),"NODE NOT FOUND"))</f>
        <v>Sub-region component</v>
      </c>
      <c r="G799" s="7" t="str">
        <f aca="false">IF($D799="","",IFERROR(IF(INDEX(Hierarchy!$D$2:$D$1295,MATCH($D799,Hierarchy!$A$2:$A$1295,0))="","",INDEX(Hierarchy!$D$2:$D$1295,MATCH($D799,Hierarchy!$A$2:$A$1295,0))),"NODE NOT FOUND"))</f>
        <v>APAC</v>
      </c>
      <c r="H799" s="7" t="str">
        <f aca="false">IF($D799="","",IFERROR(IF(INDEX(Hierarchy!$E$2:$E$1295,MATCH($D799,Hierarchy!$A$2:$A$1295,0))="","",INDEX(Hierarchy!$E$2:$E$1295,MATCH($D799,Hierarchy!$A$2:$A$1295,0))),"NODE NOT FOUND"))</f>
        <v>East Asia</v>
      </c>
      <c r="I799" s="7" t="str">
        <f aca="false">IF($D799="","",IFERROR(IF(INDEX(Hierarchy!$F$2:$F$1295,MATCH($D799,Hierarchy!$A$2:$A$1295,0))="","",INDEX(Hierarchy!$F$2:$F$1295,MATCH($D799,Hierarchy!$A$2:$A$1295,0))),"NODE NOT FOUND"))</f>
        <v/>
      </c>
      <c r="J799" s="7" t="str">
        <f aca="false">IF($D799="","",IFERROR(IF(INDEX(Hierarchy!$G$2:$G$1295,MATCH($D799,Hierarchy!$A$2:$A$1295,0))="","",INDEX(Hierarchy!$G$2:$G$1295,MATCH($D799,Hierarchy!$A$2:$A$1295,0))),"NODE NOT FOUND"))</f>
        <v/>
      </c>
      <c r="K799" s="7" t="str">
        <f aca="false">IF($D799="","",IFERROR(IF(INDEX(Hierarchy!$H$2:$H$1295,MATCH($D799,Hierarchy!$A$2:$A$1295,0))="","",INDEX(Hierarchy!$H$2:$H$1295,MATCH($D799,Hierarchy!$A$2:$A$1295,0))),"NODE NOT FOUND"))</f>
        <v/>
      </c>
      <c r="L799" s="7" t="str">
        <f aca="false">IF($D799="","",IFERROR(IF(INDEX(Hierarchy!$I$2:$I$1295,MATCH($D799,Hierarchy!$A$2:$A$1295,0))="","",INDEX(Hierarchy!$I$2:$I$1295,MATCH($D799,Hierarchy!$A$2:$A$1295,0))),"NODE NOT FOUND"))</f>
        <v/>
      </c>
      <c r="M799" s="17" t="str">
        <f aca="false">IF(B799="Pre-seeded","Pre-seeded",IF(B799="Review 2026-09-16","Added from review",IF(C799="","New",IF(C799=D799,"","Changed"))))</f>
        <v>Pre-seeded</v>
      </c>
      <c r="N799" s="7" t="str">
        <f aca="false">TRIM(SUBSTITUTE(SUBSTITUTE(SUBSTITUTE(" "&amp;TRIM(SUBSTITUTE(SUBSTITUTE(SUBSTITUTE(SUBSTITUTE(SUBSTITUTE(SUBSTITUTE(SUBSTITUTE(SUBSTITUTE(SUBSTITUTE(SUBSTITUTE(SUBSTITUTE(SUBSTITUTE(SUBSTITUTE(SUBSTITUTE(SUBSTITUTE(UPPER(TRIM(A799)),"[MEMBER]",""),"{MEMBER}",""),"[MEMBER}",""),"MEMBER]",""),"(A)",""),"""",""),"“",""),"”",""),".",""),":",""),",",""),"–"," "),"-"," "),"/"," "),"&amp;"," AND "))&amp;" "," THE "," ")," TOTAL "," ")," OPERATIONS "," "))</f>
        <v>JAPAN AND KOREA</v>
      </c>
      <c r="O799" s="17" t="str">
        <f aca="false">IF(COUNTIFS($N$2:$N$2000,N799,$D$2:$D$2000,"&lt;&gt;"&amp;D799)&gt;0,"CONFLICT","")</f>
        <v/>
      </c>
      <c r="P799" s="7"/>
    </row>
    <row r="800" customFormat="false" ht="15" hidden="false" customHeight="false" outlineLevel="0" collapsed="false">
      <c r="A800" s="7" t="s">
        <v>2302</v>
      </c>
      <c r="B800" s="7" t="s">
        <v>1882</v>
      </c>
      <c r="C800" s="7" t="s">
        <v>1424</v>
      </c>
      <c r="D800" s="6" t="s">
        <v>1424</v>
      </c>
      <c r="E800" s="6" t="s">
        <v>1880</v>
      </c>
      <c r="F800" s="7" t="str">
        <f aca="false">IF($D800="","",IFERROR(IF(INDEX(Hierarchy!$B$2:$B$1295,MATCH($D800,Hierarchy!$A$2:$A$1295,0))="","",INDEX(Hierarchy!$B$2:$B$1295,MATCH($D800,Hierarchy!$A$2:$A$1295,0))),"NODE NOT FOUND"))</f>
        <v>Country</v>
      </c>
      <c r="G800" s="7" t="str">
        <f aca="false">IF($D800="","",IFERROR(IF(INDEX(Hierarchy!$D$2:$D$1295,MATCH($D800,Hierarchy!$A$2:$A$1295,0))="","",INDEX(Hierarchy!$D$2:$D$1295,MATCH($D800,Hierarchy!$A$2:$A$1295,0))),"NODE NOT FOUND"))</f>
        <v>APAC</v>
      </c>
      <c r="H800" s="7" t="str">
        <f aca="false">IF($D800="","",IFERROR(IF(INDEX(Hierarchy!$E$2:$E$1295,MATCH($D800,Hierarchy!$A$2:$A$1295,0))="","",INDEX(Hierarchy!$E$2:$E$1295,MATCH($D800,Hierarchy!$A$2:$A$1295,0))),"NODE NOT FOUND"))</f>
        <v>East Asia</v>
      </c>
      <c r="I800" s="7" t="str">
        <f aca="false">IF($D800="","",IFERROR(IF(INDEX(Hierarchy!$F$2:$F$1295,MATCH($D800,Hierarchy!$A$2:$A$1295,0))="","",INDEX(Hierarchy!$F$2:$F$1295,MATCH($D800,Hierarchy!$A$2:$A$1295,0))),"NODE NOT FOUND"))</f>
        <v>Japan</v>
      </c>
      <c r="J800" s="7" t="str">
        <f aca="false">IF($D800="","",IFERROR(IF(INDEX(Hierarchy!$G$2:$G$1295,MATCH($D800,Hierarchy!$A$2:$A$1295,0))="","",INDEX(Hierarchy!$G$2:$G$1295,MATCH($D800,Hierarchy!$A$2:$A$1295,0))),"NODE NOT FOUND"))</f>
        <v>JPN</v>
      </c>
      <c r="K800" s="7" t="str">
        <f aca="false">IF($D800="","",IFERROR(IF(INDEX(Hierarchy!$H$2:$H$1295,MATCH($D800,Hierarchy!$A$2:$A$1295,0))="","",INDEX(Hierarchy!$H$2:$H$1295,MATCH($D800,Hierarchy!$A$2:$A$1295,0))),"NODE NOT FOUND"))</f>
        <v/>
      </c>
      <c r="L800" s="7" t="str">
        <f aca="false">IF($D800="","",IFERROR(IF(INDEX(Hierarchy!$I$2:$I$1295,MATCH($D800,Hierarchy!$A$2:$A$1295,0))="","",INDEX(Hierarchy!$I$2:$I$1295,MATCH($D800,Hierarchy!$A$2:$A$1295,0))),"NODE NOT FOUND"))</f>
        <v/>
      </c>
      <c r="M800" s="17" t="str">
        <f aca="false">IF(B800="Pre-seeded","Pre-seeded",IF(B800="Review 2026-09-16","Added from review",IF(C800="","New",IF(C800=D800,"","Changed"))))</f>
        <v/>
      </c>
      <c r="N800" s="7" t="str">
        <f aca="false">TRIM(SUBSTITUTE(SUBSTITUTE(SUBSTITUTE(" "&amp;TRIM(SUBSTITUTE(SUBSTITUTE(SUBSTITUTE(SUBSTITUTE(SUBSTITUTE(SUBSTITUTE(SUBSTITUTE(SUBSTITUTE(SUBSTITUTE(SUBSTITUTE(SUBSTITUTE(SUBSTITUTE(SUBSTITUTE(SUBSTITUTE(SUBSTITUTE(UPPER(TRIM(A800)),"[MEMBER]",""),"{MEMBER}",""),"[MEMBER}",""),"MEMBER]",""),"(A)",""),"""",""),"“",""),"”",""),".",""),":",""),",",""),"–"," "),"-"," "),"/"," "),"&amp;"," AND "))&amp;" "," THE "," ")," TOTAL "," ")," OPERATIONS "," "))</f>
        <v>JAPAN</v>
      </c>
      <c r="O800" s="17" t="str">
        <f aca="false">IF(COUNTIFS($N$2:$N$2000,N800,$D$2:$D$2000,"&lt;&gt;"&amp;D800)&gt;0,"CONFLICT","")</f>
        <v/>
      </c>
      <c r="P800" s="7"/>
    </row>
    <row r="801" customFormat="false" ht="15" hidden="false" customHeight="false" outlineLevel="0" collapsed="false">
      <c r="A801" s="7" t="s">
        <v>1054</v>
      </c>
      <c r="B801" s="7" t="s">
        <v>1879</v>
      </c>
      <c r="C801" s="7"/>
      <c r="D801" s="6" t="s">
        <v>1054</v>
      </c>
      <c r="E801" s="6" t="s">
        <v>1880</v>
      </c>
      <c r="F801" s="7" t="str">
        <f aca="false">IF($D801="","",IFERROR(IF(INDEX(Hierarchy!$B$2:$B$1295,MATCH($D801,Hierarchy!$A$2:$A$1295,0))="","",INDEX(Hierarchy!$B$2:$B$1295,MATCH($D801,Hierarchy!$A$2:$A$1295,0))),"NODE NOT FOUND"))</f>
        <v>State/Province</v>
      </c>
      <c r="G801" s="7" t="str">
        <f aca="false">IF($D801="","",IFERROR(IF(INDEX(Hierarchy!$D$2:$D$1295,MATCH($D801,Hierarchy!$A$2:$A$1295,0))="","",INDEX(Hierarchy!$D$2:$D$1295,MATCH($D801,Hierarchy!$A$2:$A$1295,0))),"NODE NOT FOUND"))</f>
        <v>EMEA</v>
      </c>
      <c r="H801" s="7" t="str">
        <f aca="false">IF($D801="","",IFERROR(IF(INDEX(Hierarchy!$E$2:$E$1295,MATCH($D801,Hierarchy!$A$2:$A$1295,0))="","",INDEX(Hierarchy!$E$2:$E$1295,MATCH($D801,Hierarchy!$A$2:$A$1295,0))),"NODE NOT FOUND"))</f>
        <v>Middle East</v>
      </c>
      <c r="I801" s="7" t="str">
        <f aca="false">IF($D801="","",IFERROR(IF(INDEX(Hierarchy!$F$2:$F$1295,MATCH($D801,Hierarchy!$A$2:$A$1295,0))="","",INDEX(Hierarchy!$F$2:$F$1295,MATCH($D801,Hierarchy!$A$2:$A$1295,0))),"NODE NOT FOUND"))</f>
        <v>Saudi Arabia</v>
      </c>
      <c r="J801" s="7" t="str">
        <f aca="false">IF($D801="","",IFERROR(IF(INDEX(Hierarchy!$G$2:$G$1295,MATCH($D801,Hierarchy!$A$2:$A$1295,0))="","",INDEX(Hierarchy!$G$2:$G$1295,MATCH($D801,Hierarchy!$A$2:$A$1295,0))),"NODE NOT FOUND"))</f>
        <v>SAU</v>
      </c>
      <c r="K801" s="7" t="str">
        <f aca="false">IF($D801="","",IFERROR(IF(INDEX(Hierarchy!$H$2:$H$1295,MATCH($D801,Hierarchy!$A$2:$A$1295,0))="","",INDEX(Hierarchy!$H$2:$H$1295,MATCH($D801,Hierarchy!$A$2:$A$1295,0))),"NODE NOT FOUND"))</f>
        <v>Jazan Province</v>
      </c>
      <c r="L801" s="7" t="str">
        <f aca="false">IF($D801="","",IFERROR(IF(INDEX(Hierarchy!$I$2:$I$1295,MATCH($D801,Hierarchy!$A$2:$A$1295,0))="","",INDEX(Hierarchy!$I$2:$I$1295,MATCH($D801,Hierarchy!$A$2:$A$1295,0))),"NODE NOT FOUND"))</f>
        <v/>
      </c>
      <c r="M801" s="17" t="str">
        <f aca="false">IF(B801="Pre-seeded","Pre-seeded",IF(B801="Review 2026-09-16","Added from review",IF(C801="","New",IF(C801=D801,"","Changed"))))</f>
        <v>Pre-seeded</v>
      </c>
      <c r="N801" s="7" t="str">
        <f aca="false">TRIM(SUBSTITUTE(SUBSTITUTE(SUBSTITUTE(" "&amp;TRIM(SUBSTITUTE(SUBSTITUTE(SUBSTITUTE(SUBSTITUTE(SUBSTITUTE(SUBSTITUTE(SUBSTITUTE(SUBSTITUTE(SUBSTITUTE(SUBSTITUTE(SUBSTITUTE(SUBSTITUTE(SUBSTITUTE(SUBSTITUTE(SUBSTITUTE(UPPER(TRIM(A801)),"[MEMBER]",""),"{MEMBER}",""),"[MEMBER}",""),"MEMBER]",""),"(A)",""),"""",""),"“",""),"”",""),".",""),":",""),",",""),"–"," "),"-"," "),"/"," "),"&amp;"," AND "))&amp;" "," THE "," ")," TOTAL "," ")," OPERATIONS "," "))</f>
        <v>JAZAN PROVINCE</v>
      </c>
      <c r="O801" s="17" t="str">
        <f aca="false">IF(COUNTIFS($N$2:$N$2000,N801,$D$2:$D$2000,"&lt;&gt;"&amp;D801)&gt;0,"CONFLICT","")</f>
        <v/>
      </c>
      <c r="P801" s="7"/>
    </row>
    <row r="802" customFormat="false" ht="15" hidden="false" customHeight="false" outlineLevel="0" collapsed="false">
      <c r="A802" s="7" t="s">
        <v>1570</v>
      </c>
      <c r="B802" s="7" t="s">
        <v>1879</v>
      </c>
      <c r="C802" s="7"/>
      <c r="D802" s="6" t="s">
        <v>1570</v>
      </c>
      <c r="E802" s="6" t="s">
        <v>1880</v>
      </c>
      <c r="F802" s="7" t="str">
        <f aca="false">IF($D802="","",IFERROR(IF(INDEX(Hierarchy!$B$2:$B$1295,MATCH($D802,Hierarchy!$A$2:$A$1295,0))="","",INDEX(Hierarchy!$B$2:$B$1295,MATCH($D802,Hierarchy!$A$2:$A$1295,0))),"NODE NOT FOUND"))</f>
        <v>State/Province</v>
      </c>
      <c r="G802" s="7" t="str">
        <f aca="false">IF($D802="","",IFERROR(IF(INDEX(Hierarchy!$D$2:$D$1295,MATCH($D802,Hierarchy!$A$2:$A$1295,0))="","",INDEX(Hierarchy!$D$2:$D$1295,MATCH($D802,Hierarchy!$A$2:$A$1295,0))),"NODE NOT FOUND"))</f>
        <v>APAC</v>
      </c>
      <c r="H802" s="7" t="str">
        <f aca="false">IF($D802="","",IFERROR(IF(INDEX(Hierarchy!$E$2:$E$1295,MATCH($D802,Hierarchy!$A$2:$A$1295,0))="","",INDEX(Hierarchy!$E$2:$E$1295,MATCH($D802,Hierarchy!$A$2:$A$1295,0))),"NODE NOT FOUND"))</f>
        <v>East Asia</v>
      </c>
      <c r="I802" s="7" t="str">
        <f aca="false">IF($D802="","",IFERROR(IF(INDEX(Hierarchy!$F$2:$F$1295,MATCH($D802,Hierarchy!$A$2:$A$1295,0))="","",INDEX(Hierarchy!$F$2:$F$1295,MATCH($D802,Hierarchy!$A$2:$A$1295,0))),"NODE NOT FOUND"))</f>
        <v>South Korea</v>
      </c>
      <c r="J802" s="7" t="str">
        <f aca="false">IF($D802="","",IFERROR(IF(INDEX(Hierarchy!$G$2:$G$1295,MATCH($D802,Hierarchy!$A$2:$A$1295,0))="","",INDEX(Hierarchy!$G$2:$G$1295,MATCH($D802,Hierarchy!$A$2:$A$1295,0))),"NODE NOT FOUND"))</f>
        <v>KOR</v>
      </c>
      <c r="K802" s="7" t="str">
        <f aca="false">IF($D802="","",IFERROR(IF(INDEX(Hierarchy!$H$2:$H$1295,MATCH($D802,Hierarchy!$A$2:$A$1295,0))="","",INDEX(Hierarchy!$H$2:$H$1295,MATCH($D802,Hierarchy!$A$2:$A$1295,0))),"NODE NOT FOUND"))</f>
        <v>Jeju</v>
      </c>
      <c r="L802" s="7" t="str">
        <f aca="false">IF($D802="","",IFERROR(IF(INDEX(Hierarchy!$I$2:$I$1295,MATCH($D802,Hierarchy!$A$2:$A$1295,0))="","",INDEX(Hierarchy!$I$2:$I$1295,MATCH($D802,Hierarchy!$A$2:$A$1295,0))),"NODE NOT FOUND"))</f>
        <v/>
      </c>
      <c r="M802" s="17" t="str">
        <f aca="false">IF(B802="Pre-seeded","Pre-seeded",IF(B802="Review 2026-09-16","Added from review",IF(C802="","New",IF(C802=D802,"","Changed"))))</f>
        <v>Pre-seeded</v>
      </c>
      <c r="N802" s="7" t="str">
        <f aca="false">TRIM(SUBSTITUTE(SUBSTITUTE(SUBSTITUTE(" "&amp;TRIM(SUBSTITUTE(SUBSTITUTE(SUBSTITUTE(SUBSTITUTE(SUBSTITUTE(SUBSTITUTE(SUBSTITUTE(SUBSTITUTE(SUBSTITUTE(SUBSTITUTE(SUBSTITUTE(SUBSTITUTE(SUBSTITUTE(SUBSTITUTE(SUBSTITUTE(UPPER(TRIM(A802)),"[MEMBER]",""),"{MEMBER}",""),"[MEMBER}",""),"MEMBER]",""),"(A)",""),"""",""),"“",""),"”",""),".",""),":",""),",",""),"–"," "),"-"," "),"/"," "),"&amp;"," AND "))&amp;" "," THE "," ")," TOTAL "," ")," OPERATIONS "," "))</f>
        <v>JEJU</v>
      </c>
      <c r="O802" s="17" t="str">
        <f aca="false">IF(COUNTIFS($N$2:$N$2000,N802,$D$2:$D$2000,"&lt;&gt;"&amp;D802)&gt;0,"CONFLICT","")</f>
        <v/>
      </c>
      <c r="P802" s="7"/>
    </row>
    <row r="803" customFormat="false" ht="15" hidden="false" customHeight="false" outlineLevel="0" collapsed="false">
      <c r="A803" s="7" t="s">
        <v>854</v>
      </c>
      <c r="B803" s="7" t="s">
        <v>1879</v>
      </c>
      <c r="C803" s="7"/>
      <c r="D803" s="6" t="s">
        <v>854</v>
      </c>
      <c r="E803" s="6" t="s">
        <v>1880</v>
      </c>
      <c r="F803" s="7" t="str">
        <f aca="false">IF($D803="","",IFERROR(IF(INDEX(Hierarchy!$B$2:$B$1295,MATCH($D803,Hierarchy!$A$2:$A$1295,0))="","",INDEX(Hierarchy!$B$2:$B$1295,MATCH($D803,Hierarchy!$A$2:$A$1295,0))),"NODE NOT FOUND"))</f>
        <v>Country</v>
      </c>
      <c r="G803" s="7" t="str">
        <f aca="false">IF($D803="","",IFERROR(IF(INDEX(Hierarchy!$D$2:$D$1295,MATCH($D803,Hierarchy!$A$2:$A$1295,0))="","",INDEX(Hierarchy!$D$2:$D$1295,MATCH($D803,Hierarchy!$A$2:$A$1295,0))),"NODE NOT FOUND"))</f>
        <v>EMEA</v>
      </c>
      <c r="H803" s="7" t="str">
        <f aca="false">IF($D803="","",IFERROR(IF(INDEX(Hierarchy!$E$2:$E$1295,MATCH($D803,Hierarchy!$A$2:$A$1295,0))="","",INDEX(Hierarchy!$E$2:$E$1295,MATCH($D803,Hierarchy!$A$2:$A$1295,0))),"NODE NOT FOUND"))</f>
        <v>Europe</v>
      </c>
      <c r="I803" s="7" t="str">
        <f aca="false">IF($D803="","",IFERROR(IF(INDEX(Hierarchy!$F$2:$F$1295,MATCH($D803,Hierarchy!$A$2:$A$1295,0))="","",INDEX(Hierarchy!$F$2:$F$1295,MATCH($D803,Hierarchy!$A$2:$A$1295,0))),"NODE NOT FOUND"))</f>
        <v>Jersey</v>
      </c>
      <c r="J803" s="7" t="str">
        <f aca="false">IF($D803="","",IFERROR(IF(INDEX(Hierarchy!$G$2:$G$1295,MATCH($D803,Hierarchy!$A$2:$A$1295,0))="","",INDEX(Hierarchy!$G$2:$G$1295,MATCH($D803,Hierarchy!$A$2:$A$1295,0))),"NODE NOT FOUND"))</f>
        <v>JEY</v>
      </c>
      <c r="K803" s="7" t="str">
        <f aca="false">IF($D803="","",IFERROR(IF(INDEX(Hierarchy!$H$2:$H$1295,MATCH($D803,Hierarchy!$A$2:$A$1295,0))="","",INDEX(Hierarchy!$H$2:$H$1295,MATCH($D803,Hierarchy!$A$2:$A$1295,0))),"NODE NOT FOUND"))</f>
        <v/>
      </c>
      <c r="L803" s="7" t="str">
        <f aca="false">IF($D803="","",IFERROR(IF(INDEX(Hierarchy!$I$2:$I$1295,MATCH($D803,Hierarchy!$A$2:$A$1295,0))="","",INDEX(Hierarchy!$I$2:$I$1295,MATCH($D803,Hierarchy!$A$2:$A$1295,0))),"NODE NOT FOUND"))</f>
        <v/>
      </c>
      <c r="M803" s="17" t="str">
        <f aca="false">IF(B803="Pre-seeded","Pre-seeded",IF(B803="Review 2026-09-16","Added from review",IF(C803="","New",IF(C803=D803,"","Changed"))))</f>
        <v>Pre-seeded</v>
      </c>
      <c r="N803" s="7" t="str">
        <f aca="false">TRIM(SUBSTITUTE(SUBSTITUTE(SUBSTITUTE(" "&amp;TRIM(SUBSTITUTE(SUBSTITUTE(SUBSTITUTE(SUBSTITUTE(SUBSTITUTE(SUBSTITUTE(SUBSTITUTE(SUBSTITUTE(SUBSTITUTE(SUBSTITUTE(SUBSTITUTE(SUBSTITUTE(SUBSTITUTE(SUBSTITUTE(SUBSTITUTE(UPPER(TRIM(A803)),"[MEMBER]",""),"{MEMBER}",""),"[MEMBER}",""),"MEMBER]",""),"(A)",""),"""",""),"“",""),"”",""),".",""),":",""),",",""),"–"," "),"-"," "),"/"," "),"&amp;"," AND "))&amp;" "," THE "," ")," TOTAL "," ")," OPERATIONS "," "))</f>
        <v>JERSEY</v>
      </c>
      <c r="O803" s="17" t="str">
        <f aca="false">IF(COUNTIFS($N$2:$N$2000,N803,$D$2:$D$2000,"&lt;&gt;"&amp;D803)&gt;0,"CONFLICT","")</f>
        <v/>
      </c>
      <c r="P803" s="7"/>
    </row>
    <row r="804" customFormat="false" ht="15" hidden="false" customHeight="false" outlineLevel="0" collapsed="false">
      <c r="A804" s="7" t="s">
        <v>1343</v>
      </c>
      <c r="B804" s="7" t="s">
        <v>1879</v>
      </c>
      <c r="C804" s="7"/>
      <c r="D804" s="6" t="s">
        <v>1343</v>
      </c>
      <c r="E804" s="6" t="s">
        <v>1880</v>
      </c>
      <c r="F804" s="7" t="str">
        <f aca="false">IF($D804="","",IFERROR(IF(INDEX(Hierarchy!$B$2:$B$1295,MATCH($D804,Hierarchy!$A$2:$A$1295,0))="","",INDEX(Hierarchy!$B$2:$B$1295,MATCH($D804,Hierarchy!$A$2:$A$1295,0))),"NODE NOT FOUND"))</f>
        <v>State/Province</v>
      </c>
      <c r="G804" s="7" t="str">
        <f aca="false">IF($D804="","",IFERROR(IF(INDEX(Hierarchy!$D$2:$D$1295,MATCH($D804,Hierarchy!$A$2:$A$1295,0))="","",INDEX(Hierarchy!$D$2:$D$1295,MATCH($D804,Hierarchy!$A$2:$A$1295,0))),"NODE NOT FOUND"))</f>
        <v>APAC</v>
      </c>
      <c r="H804" s="7" t="str">
        <f aca="false">IF($D804="","",IFERROR(IF(INDEX(Hierarchy!$E$2:$E$1295,MATCH($D804,Hierarchy!$A$2:$A$1295,0))="","",INDEX(Hierarchy!$E$2:$E$1295,MATCH($D804,Hierarchy!$A$2:$A$1295,0))),"NODE NOT FOUND"))</f>
        <v>South Asia</v>
      </c>
      <c r="I804" s="7" t="str">
        <f aca="false">IF($D804="","",IFERROR(IF(INDEX(Hierarchy!$F$2:$F$1295,MATCH($D804,Hierarchy!$A$2:$A$1295,0))="","",INDEX(Hierarchy!$F$2:$F$1295,MATCH($D804,Hierarchy!$A$2:$A$1295,0))),"NODE NOT FOUND"))</f>
        <v>India</v>
      </c>
      <c r="J804" s="7" t="str">
        <f aca="false">IF($D804="","",IFERROR(IF(INDEX(Hierarchy!$G$2:$G$1295,MATCH($D804,Hierarchy!$A$2:$A$1295,0))="","",INDEX(Hierarchy!$G$2:$G$1295,MATCH($D804,Hierarchy!$A$2:$A$1295,0))),"NODE NOT FOUND"))</f>
        <v>IND</v>
      </c>
      <c r="K804" s="7" t="str">
        <f aca="false">IF($D804="","",IFERROR(IF(INDEX(Hierarchy!$H$2:$H$1295,MATCH($D804,Hierarchy!$A$2:$A$1295,0))="","",INDEX(Hierarchy!$H$2:$H$1295,MATCH($D804,Hierarchy!$A$2:$A$1295,0))),"NODE NOT FOUND"))</f>
        <v>Jharkhand</v>
      </c>
      <c r="L804" s="7" t="str">
        <f aca="false">IF($D804="","",IFERROR(IF(INDEX(Hierarchy!$I$2:$I$1295,MATCH($D804,Hierarchy!$A$2:$A$1295,0))="","",INDEX(Hierarchy!$I$2:$I$1295,MATCH($D804,Hierarchy!$A$2:$A$1295,0))),"NODE NOT FOUND"))</f>
        <v/>
      </c>
      <c r="M804" s="17" t="str">
        <f aca="false">IF(B804="Pre-seeded","Pre-seeded",IF(B804="Review 2026-09-16","Added from review",IF(C804="","New",IF(C804=D804,"","Changed"))))</f>
        <v>Pre-seeded</v>
      </c>
      <c r="N804" s="7" t="str">
        <f aca="false">TRIM(SUBSTITUTE(SUBSTITUTE(SUBSTITUTE(" "&amp;TRIM(SUBSTITUTE(SUBSTITUTE(SUBSTITUTE(SUBSTITUTE(SUBSTITUTE(SUBSTITUTE(SUBSTITUTE(SUBSTITUTE(SUBSTITUTE(SUBSTITUTE(SUBSTITUTE(SUBSTITUTE(SUBSTITUTE(SUBSTITUTE(SUBSTITUTE(UPPER(TRIM(A804)),"[MEMBER]",""),"{MEMBER}",""),"[MEMBER}",""),"MEMBER]",""),"(A)",""),"""",""),"“",""),"”",""),".",""),":",""),",",""),"–"," "),"-"," "),"/"," "),"&amp;"," AND "))&amp;" "," THE "," ")," TOTAL "," ")," OPERATIONS "," "))</f>
        <v>JHARKHAND</v>
      </c>
      <c r="O804" s="17" t="str">
        <f aca="false">IF(COUNTIFS($N$2:$N$2000,N804,$D$2:$D$2000,"&lt;&gt;"&amp;D804)&gt;0,"CONFLICT","")</f>
        <v/>
      </c>
      <c r="P804" s="7"/>
    </row>
    <row r="805" customFormat="false" ht="15" hidden="false" customHeight="false" outlineLevel="0" collapsed="false">
      <c r="A805" s="7" t="s">
        <v>1521</v>
      </c>
      <c r="B805" s="7" t="s">
        <v>1879</v>
      </c>
      <c r="C805" s="7"/>
      <c r="D805" s="6" t="s">
        <v>1521</v>
      </c>
      <c r="E805" s="6" t="s">
        <v>1880</v>
      </c>
      <c r="F805" s="7" t="str">
        <f aca="false">IF($D805="","",IFERROR(IF(INDEX(Hierarchy!$B$2:$B$1295,MATCH($D805,Hierarchy!$A$2:$A$1295,0))="","",INDEX(Hierarchy!$B$2:$B$1295,MATCH($D805,Hierarchy!$A$2:$A$1295,0))),"NODE NOT FOUND"))</f>
        <v>State/Province</v>
      </c>
      <c r="G805" s="7" t="str">
        <f aca="false">IF($D805="","",IFERROR(IF(INDEX(Hierarchy!$D$2:$D$1295,MATCH($D805,Hierarchy!$A$2:$A$1295,0))="","",INDEX(Hierarchy!$D$2:$D$1295,MATCH($D805,Hierarchy!$A$2:$A$1295,0))),"NODE NOT FOUND"))</f>
        <v>APAC</v>
      </c>
      <c r="H805" s="7" t="str">
        <f aca="false">IF($D805="","",IFERROR(IF(INDEX(Hierarchy!$E$2:$E$1295,MATCH($D805,Hierarchy!$A$2:$A$1295,0))="","",INDEX(Hierarchy!$E$2:$E$1295,MATCH($D805,Hierarchy!$A$2:$A$1295,0))),"NODE NOT FOUND"))</f>
        <v>East Asia</v>
      </c>
      <c r="I805" s="7" t="str">
        <f aca="false">IF($D805="","",IFERROR(IF(INDEX(Hierarchy!$F$2:$F$1295,MATCH($D805,Hierarchy!$A$2:$A$1295,0))="","",INDEX(Hierarchy!$F$2:$F$1295,MATCH($D805,Hierarchy!$A$2:$A$1295,0))),"NODE NOT FOUND"))</f>
        <v>China</v>
      </c>
      <c r="J805" s="7" t="str">
        <f aca="false">IF($D805="","",IFERROR(IF(INDEX(Hierarchy!$G$2:$G$1295,MATCH($D805,Hierarchy!$A$2:$A$1295,0))="","",INDEX(Hierarchy!$G$2:$G$1295,MATCH($D805,Hierarchy!$A$2:$A$1295,0))),"NODE NOT FOUND"))</f>
        <v>CHN</v>
      </c>
      <c r="K805" s="7" t="str">
        <f aca="false">IF($D805="","",IFERROR(IF(INDEX(Hierarchy!$H$2:$H$1295,MATCH($D805,Hierarchy!$A$2:$A$1295,0))="","",INDEX(Hierarchy!$H$2:$H$1295,MATCH($D805,Hierarchy!$A$2:$A$1295,0))),"NODE NOT FOUND"))</f>
        <v>Jiangsu</v>
      </c>
      <c r="L805" s="7" t="str">
        <f aca="false">IF($D805="","",IFERROR(IF(INDEX(Hierarchy!$I$2:$I$1295,MATCH($D805,Hierarchy!$A$2:$A$1295,0))="","",INDEX(Hierarchy!$I$2:$I$1295,MATCH($D805,Hierarchy!$A$2:$A$1295,0))),"NODE NOT FOUND"))</f>
        <v/>
      </c>
      <c r="M805" s="17" t="str">
        <f aca="false">IF(B805="Pre-seeded","Pre-seeded",IF(B805="Review 2026-09-16","Added from review",IF(C805="","New",IF(C805=D805,"","Changed"))))</f>
        <v>Pre-seeded</v>
      </c>
      <c r="N805" s="7" t="str">
        <f aca="false">TRIM(SUBSTITUTE(SUBSTITUTE(SUBSTITUTE(" "&amp;TRIM(SUBSTITUTE(SUBSTITUTE(SUBSTITUTE(SUBSTITUTE(SUBSTITUTE(SUBSTITUTE(SUBSTITUTE(SUBSTITUTE(SUBSTITUTE(SUBSTITUTE(SUBSTITUTE(SUBSTITUTE(SUBSTITUTE(SUBSTITUTE(SUBSTITUTE(UPPER(TRIM(A805)),"[MEMBER]",""),"{MEMBER}",""),"[MEMBER}",""),"MEMBER]",""),"(A)",""),"""",""),"“",""),"”",""),".",""),":",""),",",""),"–"," "),"-"," "),"/"," "),"&amp;"," AND "))&amp;" "," THE "," ")," TOTAL "," ")," OPERATIONS "," "))</f>
        <v>JIANGSU</v>
      </c>
      <c r="O805" s="17" t="str">
        <f aca="false">IF(COUNTIFS($N$2:$N$2000,N805,$D$2:$D$2000,"&lt;&gt;"&amp;D805)&gt;0,"CONFLICT","")</f>
        <v/>
      </c>
      <c r="P805" s="7"/>
    </row>
    <row r="806" customFormat="false" ht="15" hidden="false" customHeight="false" outlineLevel="0" collapsed="false">
      <c r="A806" s="7" t="s">
        <v>1525</v>
      </c>
      <c r="B806" s="7" t="s">
        <v>1879</v>
      </c>
      <c r="C806" s="7"/>
      <c r="D806" s="6" t="s">
        <v>1525</v>
      </c>
      <c r="E806" s="6" t="s">
        <v>1880</v>
      </c>
      <c r="F806" s="7" t="str">
        <f aca="false">IF($D806="","",IFERROR(IF(INDEX(Hierarchy!$B$2:$B$1295,MATCH($D806,Hierarchy!$A$2:$A$1295,0))="","",INDEX(Hierarchy!$B$2:$B$1295,MATCH($D806,Hierarchy!$A$2:$A$1295,0))),"NODE NOT FOUND"))</f>
        <v>State/Province</v>
      </c>
      <c r="G806" s="7" t="str">
        <f aca="false">IF($D806="","",IFERROR(IF(INDEX(Hierarchy!$D$2:$D$1295,MATCH($D806,Hierarchy!$A$2:$A$1295,0))="","",INDEX(Hierarchy!$D$2:$D$1295,MATCH($D806,Hierarchy!$A$2:$A$1295,0))),"NODE NOT FOUND"))</f>
        <v>APAC</v>
      </c>
      <c r="H806" s="7" t="str">
        <f aca="false">IF($D806="","",IFERROR(IF(INDEX(Hierarchy!$E$2:$E$1295,MATCH($D806,Hierarchy!$A$2:$A$1295,0))="","",INDEX(Hierarchy!$E$2:$E$1295,MATCH($D806,Hierarchy!$A$2:$A$1295,0))),"NODE NOT FOUND"))</f>
        <v>East Asia</v>
      </c>
      <c r="I806" s="7" t="str">
        <f aca="false">IF($D806="","",IFERROR(IF(INDEX(Hierarchy!$F$2:$F$1295,MATCH($D806,Hierarchy!$A$2:$A$1295,0))="","",INDEX(Hierarchy!$F$2:$F$1295,MATCH($D806,Hierarchy!$A$2:$A$1295,0))),"NODE NOT FOUND"))</f>
        <v>China</v>
      </c>
      <c r="J806" s="7" t="str">
        <f aca="false">IF($D806="","",IFERROR(IF(INDEX(Hierarchy!$G$2:$G$1295,MATCH($D806,Hierarchy!$A$2:$A$1295,0))="","",INDEX(Hierarchy!$G$2:$G$1295,MATCH($D806,Hierarchy!$A$2:$A$1295,0))),"NODE NOT FOUND"))</f>
        <v>CHN</v>
      </c>
      <c r="K806" s="7" t="str">
        <f aca="false">IF($D806="","",IFERROR(IF(INDEX(Hierarchy!$H$2:$H$1295,MATCH($D806,Hierarchy!$A$2:$A$1295,0))="","",INDEX(Hierarchy!$H$2:$H$1295,MATCH($D806,Hierarchy!$A$2:$A$1295,0))),"NODE NOT FOUND"))</f>
        <v>Jiangxi</v>
      </c>
      <c r="L806" s="7" t="str">
        <f aca="false">IF($D806="","",IFERROR(IF(INDEX(Hierarchy!$I$2:$I$1295,MATCH($D806,Hierarchy!$A$2:$A$1295,0))="","",INDEX(Hierarchy!$I$2:$I$1295,MATCH($D806,Hierarchy!$A$2:$A$1295,0))),"NODE NOT FOUND"))</f>
        <v/>
      </c>
      <c r="M806" s="17" t="str">
        <f aca="false">IF(B806="Pre-seeded","Pre-seeded",IF(B806="Review 2026-09-16","Added from review",IF(C806="","New",IF(C806=D806,"","Changed"))))</f>
        <v>Pre-seeded</v>
      </c>
      <c r="N806" s="7" t="str">
        <f aca="false">TRIM(SUBSTITUTE(SUBSTITUTE(SUBSTITUTE(" "&amp;TRIM(SUBSTITUTE(SUBSTITUTE(SUBSTITUTE(SUBSTITUTE(SUBSTITUTE(SUBSTITUTE(SUBSTITUTE(SUBSTITUTE(SUBSTITUTE(SUBSTITUTE(SUBSTITUTE(SUBSTITUTE(SUBSTITUTE(SUBSTITUTE(SUBSTITUTE(UPPER(TRIM(A806)),"[MEMBER]",""),"{MEMBER}",""),"[MEMBER}",""),"MEMBER]",""),"(A)",""),"""",""),"“",""),"”",""),".",""),":",""),",",""),"–"," "),"-"," "),"/"," "),"&amp;"," AND "))&amp;" "," THE "," ")," TOTAL "," ")," OPERATIONS "," "))</f>
        <v>JIANGXI</v>
      </c>
      <c r="O806" s="17" t="str">
        <f aca="false">IF(COUNTIFS($N$2:$N$2000,N806,$D$2:$D$2000,"&lt;&gt;"&amp;D806)&gt;0,"CONFLICT","")</f>
        <v/>
      </c>
      <c r="P806" s="7"/>
    </row>
    <row r="807" customFormat="false" ht="15" hidden="false" customHeight="false" outlineLevel="0" collapsed="false">
      <c r="A807" s="7" t="s">
        <v>1150</v>
      </c>
      <c r="B807" s="7" t="s">
        <v>1879</v>
      </c>
      <c r="C807" s="7"/>
      <c r="D807" s="6" t="s">
        <v>1150</v>
      </c>
      <c r="E807" s="6" t="s">
        <v>1880</v>
      </c>
      <c r="F807" s="7" t="str">
        <f aca="false">IF($D807="","",IFERROR(IF(INDEX(Hierarchy!$B$2:$B$1295,MATCH($D807,Hierarchy!$A$2:$A$1295,0))="","",INDEX(Hierarchy!$B$2:$B$1295,MATCH($D807,Hierarchy!$A$2:$A$1295,0))),"NODE NOT FOUND"))</f>
        <v>State/Province</v>
      </c>
      <c r="G807" s="7" t="str">
        <f aca="false">IF($D807="","",IFERROR(IF(INDEX(Hierarchy!$D$2:$D$1295,MATCH($D807,Hierarchy!$A$2:$A$1295,0))="","",INDEX(Hierarchy!$D$2:$D$1295,MATCH($D807,Hierarchy!$A$2:$A$1295,0))),"NODE NOT FOUND"))</f>
        <v>EMEA</v>
      </c>
      <c r="H807" s="7" t="str">
        <f aca="false">IF($D807="","",IFERROR(IF(INDEX(Hierarchy!$E$2:$E$1295,MATCH($D807,Hierarchy!$A$2:$A$1295,0))="","",INDEX(Hierarchy!$E$2:$E$1295,MATCH($D807,Hierarchy!$A$2:$A$1295,0))),"NODE NOT FOUND"))</f>
        <v>Africa</v>
      </c>
      <c r="I807" s="7" t="str">
        <f aca="false">IF($D807="","",IFERROR(IF(INDEX(Hierarchy!$F$2:$F$1295,MATCH($D807,Hierarchy!$A$2:$A$1295,0))="","",INDEX(Hierarchy!$F$2:$F$1295,MATCH($D807,Hierarchy!$A$2:$A$1295,0))),"NODE NOT FOUND"))</f>
        <v>Nigeria</v>
      </c>
      <c r="J807" s="7" t="str">
        <f aca="false">IF($D807="","",IFERROR(IF(INDEX(Hierarchy!$G$2:$G$1295,MATCH($D807,Hierarchy!$A$2:$A$1295,0))="","",INDEX(Hierarchy!$G$2:$G$1295,MATCH($D807,Hierarchy!$A$2:$A$1295,0))),"NODE NOT FOUND"))</f>
        <v>NGA</v>
      </c>
      <c r="K807" s="7" t="str">
        <f aca="false">IF($D807="","",IFERROR(IF(INDEX(Hierarchy!$H$2:$H$1295,MATCH($D807,Hierarchy!$A$2:$A$1295,0))="","",INDEX(Hierarchy!$H$2:$H$1295,MATCH($D807,Hierarchy!$A$2:$A$1295,0))),"NODE NOT FOUND"))</f>
        <v>Jigawa</v>
      </c>
      <c r="L807" s="7" t="str">
        <f aca="false">IF($D807="","",IFERROR(IF(INDEX(Hierarchy!$I$2:$I$1295,MATCH($D807,Hierarchy!$A$2:$A$1295,0))="","",INDEX(Hierarchy!$I$2:$I$1295,MATCH($D807,Hierarchy!$A$2:$A$1295,0))),"NODE NOT FOUND"))</f>
        <v/>
      </c>
      <c r="M807" s="17" t="str">
        <f aca="false">IF(B807="Pre-seeded","Pre-seeded",IF(B807="Review 2026-09-16","Added from review",IF(C807="","New",IF(C807=D807,"","Changed"))))</f>
        <v>Pre-seeded</v>
      </c>
      <c r="N807" s="7" t="str">
        <f aca="false">TRIM(SUBSTITUTE(SUBSTITUTE(SUBSTITUTE(" "&amp;TRIM(SUBSTITUTE(SUBSTITUTE(SUBSTITUTE(SUBSTITUTE(SUBSTITUTE(SUBSTITUTE(SUBSTITUTE(SUBSTITUTE(SUBSTITUTE(SUBSTITUTE(SUBSTITUTE(SUBSTITUTE(SUBSTITUTE(SUBSTITUTE(SUBSTITUTE(UPPER(TRIM(A807)),"[MEMBER]",""),"{MEMBER}",""),"[MEMBER}",""),"MEMBER]",""),"(A)",""),"""",""),"“",""),"”",""),".",""),":",""),",",""),"–"," "),"-"," "),"/"," "),"&amp;"," AND "))&amp;" "," THE "," ")," TOTAL "," ")," OPERATIONS "," "))</f>
        <v>JIGAWA</v>
      </c>
      <c r="O807" s="17" t="str">
        <f aca="false">IF(COUNTIFS($N$2:$N$2000,N807,$D$2:$D$2000,"&lt;&gt;"&amp;D807)&gt;0,"CONFLICT","")</f>
        <v/>
      </c>
      <c r="P807" s="7"/>
    </row>
    <row r="808" customFormat="false" ht="15" hidden="false" customHeight="false" outlineLevel="0" collapsed="false">
      <c r="A808" s="7" t="s">
        <v>1526</v>
      </c>
      <c r="B808" s="7" t="s">
        <v>1879</v>
      </c>
      <c r="C808" s="7"/>
      <c r="D808" s="6" t="s">
        <v>1526</v>
      </c>
      <c r="E808" s="6" t="s">
        <v>1880</v>
      </c>
      <c r="F808" s="7" t="str">
        <f aca="false">IF($D808="","",IFERROR(IF(INDEX(Hierarchy!$B$2:$B$1295,MATCH($D808,Hierarchy!$A$2:$A$1295,0))="","",INDEX(Hierarchy!$B$2:$B$1295,MATCH($D808,Hierarchy!$A$2:$A$1295,0))),"NODE NOT FOUND"))</f>
        <v>State/Province</v>
      </c>
      <c r="G808" s="7" t="str">
        <f aca="false">IF($D808="","",IFERROR(IF(INDEX(Hierarchy!$D$2:$D$1295,MATCH($D808,Hierarchy!$A$2:$A$1295,0))="","",INDEX(Hierarchy!$D$2:$D$1295,MATCH($D808,Hierarchy!$A$2:$A$1295,0))),"NODE NOT FOUND"))</f>
        <v>APAC</v>
      </c>
      <c r="H808" s="7" t="str">
        <f aca="false">IF($D808="","",IFERROR(IF(INDEX(Hierarchy!$E$2:$E$1295,MATCH($D808,Hierarchy!$A$2:$A$1295,0))="","",INDEX(Hierarchy!$E$2:$E$1295,MATCH($D808,Hierarchy!$A$2:$A$1295,0))),"NODE NOT FOUND"))</f>
        <v>East Asia</v>
      </c>
      <c r="I808" s="7" t="str">
        <f aca="false">IF($D808="","",IFERROR(IF(INDEX(Hierarchy!$F$2:$F$1295,MATCH($D808,Hierarchy!$A$2:$A$1295,0))="","",INDEX(Hierarchy!$F$2:$F$1295,MATCH($D808,Hierarchy!$A$2:$A$1295,0))),"NODE NOT FOUND"))</f>
        <v>China</v>
      </c>
      <c r="J808" s="7" t="str">
        <f aca="false">IF($D808="","",IFERROR(IF(INDEX(Hierarchy!$G$2:$G$1295,MATCH($D808,Hierarchy!$A$2:$A$1295,0))="","",INDEX(Hierarchy!$G$2:$G$1295,MATCH($D808,Hierarchy!$A$2:$A$1295,0))),"NODE NOT FOUND"))</f>
        <v>CHN</v>
      </c>
      <c r="K808" s="7" t="str">
        <f aca="false">IF($D808="","",IFERROR(IF(INDEX(Hierarchy!$H$2:$H$1295,MATCH($D808,Hierarchy!$A$2:$A$1295,0))="","",INDEX(Hierarchy!$H$2:$H$1295,MATCH($D808,Hierarchy!$A$2:$A$1295,0))),"NODE NOT FOUND"))</f>
        <v>Jilin</v>
      </c>
      <c r="L808" s="7" t="str">
        <f aca="false">IF($D808="","",IFERROR(IF(INDEX(Hierarchy!$I$2:$I$1295,MATCH($D808,Hierarchy!$A$2:$A$1295,0))="","",INDEX(Hierarchy!$I$2:$I$1295,MATCH($D808,Hierarchy!$A$2:$A$1295,0))),"NODE NOT FOUND"))</f>
        <v/>
      </c>
      <c r="M808" s="17" t="str">
        <f aca="false">IF(B808="Pre-seeded","Pre-seeded",IF(B808="Review 2026-09-16","Added from review",IF(C808="","New",IF(C808=D808,"","Changed"))))</f>
        <v>Pre-seeded</v>
      </c>
      <c r="N808" s="7" t="str">
        <f aca="false">TRIM(SUBSTITUTE(SUBSTITUTE(SUBSTITUTE(" "&amp;TRIM(SUBSTITUTE(SUBSTITUTE(SUBSTITUTE(SUBSTITUTE(SUBSTITUTE(SUBSTITUTE(SUBSTITUTE(SUBSTITUTE(SUBSTITUTE(SUBSTITUTE(SUBSTITUTE(SUBSTITUTE(SUBSTITUTE(SUBSTITUTE(SUBSTITUTE(UPPER(TRIM(A808)),"[MEMBER]",""),"{MEMBER}",""),"[MEMBER}",""),"MEMBER]",""),"(A)",""),"""",""),"“",""),"”",""),".",""),":",""),",",""),"–"," "),"-"," "),"/"," "),"&amp;"," AND "))&amp;" "," THE "," ")," TOTAL "," ")," OPERATIONS "," "))</f>
        <v>JILIN</v>
      </c>
      <c r="O808" s="17" t="str">
        <f aca="false">IF(COUNTIFS($N$2:$N$2000,N808,$D$2:$D$2000,"&lt;&gt;"&amp;D808)&gt;0,"CONFLICT","")</f>
        <v/>
      </c>
      <c r="P808" s="7"/>
    </row>
    <row r="809" customFormat="false" ht="15" hidden="false" customHeight="false" outlineLevel="0" collapsed="false">
      <c r="A809" s="7" t="s">
        <v>1633</v>
      </c>
      <c r="B809" s="7" t="s">
        <v>1879</v>
      </c>
      <c r="C809" s="7"/>
      <c r="D809" s="6" t="s">
        <v>1633</v>
      </c>
      <c r="E809" s="6" t="s">
        <v>1880</v>
      </c>
      <c r="F809" s="7" t="str">
        <f aca="false">IF($D809="","",IFERROR(IF(INDEX(Hierarchy!$B$2:$B$1295,MATCH($D809,Hierarchy!$A$2:$A$1295,0))="","",INDEX(Hierarchy!$B$2:$B$1295,MATCH($D809,Hierarchy!$A$2:$A$1295,0))),"NODE NOT FOUND"))</f>
        <v>State/Province</v>
      </c>
      <c r="G809" s="7" t="str">
        <f aca="false">IF($D809="","",IFERROR(IF(INDEX(Hierarchy!$D$2:$D$1295,MATCH($D809,Hierarchy!$A$2:$A$1295,0))="","",INDEX(Hierarchy!$D$2:$D$1295,MATCH($D809,Hierarchy!$A$2:$A$1295,0))),"NODE NOT FOUND"))</f>
        <v>APAC</v>
      </c>
      <c r="H809" s="7" t="str">
        <f aca="false">IF($D809="","",IFERROR(IF(INDEX(Hierarchy!$E$2:$E$1295,MATCH($D809,Hierarchy!$A$2:$A$1295,0))="","",INDEX(Hierarchy!$E$2:$E$1295,MATCH($D809,Hierarchy!$A$2:$A$1295,0))),"NODE NOT FOUND"))</f>
        <v>Southeast Asia (ASEAN)</v>
      </c>
      <c r="I809" s="7" t="str">
        <f aca="false">IF($D809="","",IFERROR(IF(INDEX(Hierarchy!$F$2:$F$1295,MATCH($D809,Hierarchy!$A$2:$A$1295,0))="","",INDEX(Hierarchy!$F$2:$F$1295,MATCH($D809,Hierarchy!$A$2:$A$1295,0))),"NODE NOT FOUND"))</f>
        <v>Malaysia</v>
      </c>
      <c r="J809" s="7" t="str">
        <f aca="false">IF($D809="","",IFERROR(IF(INDEX(Hierarchy!$G$2:$G$1295,MATCH($D809,Hierarchy!$A$2:$A$1295,0))="","",INDEX(Hierarchy!$G$2:$G$1295,MATCH($D809,Hierarchy!$A$2:$A$1295,0))),"NODE NOT FOUND"))</f>
        <v>MYS</v>
      </c>
      <c r="K809" s="7" t="str">
        <f aca="false">IF($D809="","",IFERROR(IF(INDEX(Hierarchy!$H$2:$H$1295,MATCH($D809,Hierarchy!$A$2:$A$1295,0))="","",INDEX(Hierarchy!$H$2:$H$1295,MATCH($D809,Hierarchy!$A$2:$A$1295,0))),"NODE NOT FOUND"))</f>
        <v>Johor</v>
      </c>
      <c r="L809" s="7" t="str">
        <f aca="false">IF($D809="","",IFERROR(IF(INDEX(Hierarchy!$I$2:$I$1295,MATCH($D809,Hierarchy!$A$2:$A$1295,0))="","",INDEX(Hierarchy!$I$2:$I$1295,MATCH($D809,Hierarchy!$A$2:$A$1295,0))),"NODE NOT FOUND"))</f>
        <v/>
      </c>
      <c r="M809" s="17" t="str">
        <f aca="false">IF(B809="Pre-seeded","Pre-seeded",IF(B809="Review 2026-09-16","Added from review",IF(C809="","New",IF(C809=D809,"","Changed"))))</f>
        <v>Pre-seeded</v>
      </c>
      <c r="N809" s="7" t="str">
        <f aca="false">TRIM(SUBSTITUTE(SUBSTITUTE(SUBSTITUTE(" "&amp;TRIM(SUBSTITUTE(SUBSTITUTE(SUBSTITUTE(SUBSTITUTE(SUBSTITUTE(SUBSTITUTE(SUBSTITUTE(SUBSTITUTE(SUBSTITUTE(SUBSTITUTE(SUBSTITUTE(SUBSTITUTE(SUBSTITUTE(SUBSTITUTE(SUBSTITUTE(UPPER(TRIM(A809)),"[MEMBER]",""),"{MEMBER}",""),"[MEMBER}",""),"MEMBER]",""),"(A)",""),"""",""),"“",""),"”",""),".",""),":",""),",",""),"–"," "),"-"," "),"/"," "),"&amp;"," AND "))&amp;" "," THE "," ")," TOTAL "," ")," OPERATIONS "," "))</f>
        <v>JOHOR</v>
      </c>
      <c r="O809" s="17" t="str">
        <f aca="false">IF(COUNTIFS($N$2:$N$2000,N809,$D$2:$D$2000,"&lt;&gt;"&amp;D809)&gt;0,"CONFLICT","")</f>
        <v/>
      </c>
      <c r="P809" s="7"/>
    </row>
    <row r="810" customFormat="false" ht="15" hidden="false" customHeight="false" outlineLevel="0" collapsed="false">
      <c r="A810" s="7" t="s">
        <v>1076</v>
      </c>
      <c r="B810" s="7" t="s">
        <v>1879</v>
      </c>
      <c r="C810" s="7"/>
      <c r="D810" s="6" t="s">
        <v>1076</v>
      </c>
      <c r="E810" s="6" t="s">
        <v>1880</v>
      </c>
      <c r="F810" s="7" t="str">
        <f aca="false">IF($D810="","",IFERROR(IF(INDEX(Hierarchy!$B$2:$B$1295,MATCH($D810,Hierarchy!$A$2:$A$1295,0))="","",INDEX(Hierarchy!$B$2:$B$1295,MATCH($D810,Hierarchy!$A$2:$A$1295,0))),"NODE NOT FOUND"))</f>
        <v>Country</v>
      </c>
      <c r="G810" s="7" t="str">
        <f aca="false">IF($D810="","",IFERROR(IF(INDEX(Hierarchy!$D$2:$D$1295,MATCH($D810,Hierarchy!$A$2:$A$1295,0))="","",INDEX(Hierarchy!$D$2:$D$1295,MATCH($D810,Hierarchy!$A$2:$A$1295,0))),"NODE NOT FOUND"))</f>
        <v>EMEA</v>
      </c>
      <c r="H810" s="7" t="str">
        <f aca="false">IF($D810="","",IFERROR(IF(INDEX(Hierarchy!$E$2:$E$1295,MATCH($D810,Hierarchy!$A$2:$A$1295,0))="","",INDEX(Hierarchy!$E$2:$E$1295,MATCH($D810,Hierarchy!$A$2:$A$1295,0))),"NODE NOT FOUND"))</f>
        <v>Middle East</v>
      </c>
      <c r="I810" s="7" t="str">
        <f aca="false">IF($D810="","",IFERROR(IF(INDEX(Hierarchy!$F$2:$F$1295,MATCH($D810,Hierarchy!$A$2:$A$1295,0))="","",INDEX(Hierarchy!$F$2:$F$1295,MATCH($D810,Hierarchy!$A$2:$A$1295,0))),"NODE NOT FOUND"))</f>
        <v>Jordan</v>
      </c>
      <c r="J810" s="7" t="str">
        <f aca="false">IF($D810="","",IFERROR(IF(INDEX(Hierarchy!$G$2:$G$1295,MATCH($D810,Hierarchy!$A$2:$A$1295,0))="","",INDEX(Hierarchy!$G$2:$G$1295,MATCH($D810,Hierarchy!$A$2:$A$1295,0))),"NODE NOT FOUND"))</f>
        <v>JOR</v>
      </c>
      <c r="K810" s="7" t="str">
        <f aca="false">IF($D810="","",IFERROR(IF(INDEX(Hierarchy!$H$2:$H$1295,MATCH($D810,Hierarchy!$A$2:$A$1295,0))="","",INDEX(Hierarchy!$H$2:$H$1295,MATCH($D810,Hierarchy!$A$2:$A$1295,0))),"NODE NOT FOUND"))</f>
        <v/>
      </c>
      <c r="L810" s="7" t="str">
        <f aca="false">IF($D810="","",IFERROR(IF(INDEX(Hierarchy!$I$2:$I$1295,MATCH($D810,Hierarchy!$A$2:$A$1295,0))="","",INDEX(Hierarchy!$I$2:$I$1295,MATCH($D810,Hierarchy!$A$2:$A$1295,0))),"NODE NOT FOUND"))</f>
        <v/>
      </c>
      <c r="M810" s="17" t="str">
        <f aca="false">IF(B810="Pre-seeded","Pre-seeded",IF(B810="Review 2026-09-16","Added from review",IF(C810="","New",IF(C810=D810,"","Changed"))))</f>
        <v>Pre-seeded</v>
      </c>
      <c r="N810" s="7" t="str">
        <f aca="false">TRIM(SUBSTITUTE(SUBSTITUTE(SUBSTITUTE(" "&amp;TRIM(SUBSTITUTE(SUBSTITUTE(SUBSTITUTE(SUBSTITUTE(SUBSTITUTE(SUBSTITUTE(SUBSTITUTE(SUBSTITUTE(SUBSTITUTE(SUBSTITUTE(SUBSTITUTE(SUBSTITUTE(SUBSTITUTE(SUBSTITUTE(SUBSTITUTE(UPPER(TRIM(A810)),"[MEMBER]",""),"{MEMBER}",""),"[MEMBER}",""),"MEMBER]",""),"(A)",""),"""",""),"“",""),"”",""),".",""),":",""),",",""),"–"," "),"-"," "),"/"," "),"&amp;"," AND "))&amp;" "," THE "," ")," TOTAL "," ")," OPERATIONS "," "))</f>
        <v>JORDAN</v>
      </c>
      <c r="O810" s="17" t="str">
        <f aca="false">IF(COUNTIFS($N$2:$N$2000,N810,$D$2:$D$2000,"&lt;&gt;"&amp;D810)&gt;0,"CONFLICT","")</f>
        <v/>
      </c>
      <c r="P810" s="7"/>
    </row>
    <row r="811" customFormat="false" ht="15" hidden="false" customHeight="false" outlineLevel="0" collapsed="false">
      <c r="A811" s="7" t="s">
        <v>438</v>
      </c>
      <c r="B811" s="7" t="s">
        <v>1879</v>
      </c>
      <c r="C811" s="7"/>
      <c r="D811" s="6" t="s">
        <v>438</v>
      </c>
      <c r="E811" s="6" t="s">
        <v>1880</v>
      </c>
      <c r="F811" s="7" t="str">
        <f aca="false">IF($D811="","",IFERROR(IF(INDEX(Hierarchy!$B$2:$B$1295,MATCH($D811,Hierarchy!$A$2:$A$1295,0))="","",INDEX(Hierarchy!$B$2:$B$1295,MATCH($D811,Hierarchy!$A$2:$A$1295,0))),"NODE NOT FOUND"))</f>
        <v>State/Province</v>
      </c>
      <c r="G811" s="7" t="str">
        <f aca="false">IF($D811="","",IFERROR(IF(INDEX(Hierarchy!$D$2:$D$1295,MATCH($D811,Hierarchy!$A$2:$A$1295,0))="","",INDEX(Hierarchy!$D$2:$D$1295,MATCH($D811,Hierarchy!$A$2:$A$1295,0))),"NODE NOT FOUND"))</f>
        <v>AMER</v>
      </c>
      <c r="H811" s="7" t="str">
        <f aca="false">IF($D811="","",IFERROR(IF(INDEX(Hierarchy!$E$2:$E$1295,MATCH($D811,Hierarchy!$A$2:$A$1295,0))="","",INDEX(Hierarchy!$E$2:$E$1295,MATCH($D811,Hierarchy!$A$2:$A$1295,0))),"NODE NOT FOUND"))</f>
        <v>Latin America (LATAM)</v>
      </c>
      <c r="I811" s="7" t="str">
        <f aca="false">IF($D811="","",IFERROR(IF(INDEX(Hierarchy!$F$2:$F$1295,MATCH($D811,Hierarchy!$A$2:$A$1295,0))="","",INDEX(Hierarchy!$F$2:$F$1295,MATCH($D811,Hierarchy!$A$2:$A$1295,0))),"NODE NOT FOUND"))</f>
        <v>Argentina</v>
      </c>
      <c r="J811" s="7" t="str">
        <f aca="false">IF($D811="","",IFERROR(IF(INDEX(Hierarchy!$G$2:$G$1295,MATCH($D811,Hierarchy!$A$2:$A$1295,0))="","",INDEX(Hierarchy!$G$2:$G$1295,MATCH($D811,Hierarchy!$A$2:$A$1295,0))),"NODE NOT FOUND"))</f>
        <v>ARG</v>
      </c>
      <c r="K811" s="7" t="str">
        <f aca="false">IF($D811="","",IFERROR(IF(INDEX(Hierarchy!$H$2:$H$1295,MATCH($D811,Hierarchy!$A$2:$A$1295,0))="","",INDEX(Hierarchy!$H$2:$H$1295,MATCH($D811,Hierarchy!$A$2:$A$1295,0))),"NODE NOT FOUND"))</f>
        <v>Jujuy</v>
      </c>
      <c r="L811" s="7" t="str">
        <f aca="false">IF($D811="","",IFERROR(IF(INDEX(Hierarchy!$I$2:$I$1295,MATCH($D811,Hierarchy!$A$2:$A$1295,0))="","",INDEX(Hierarchy!$I$2:$I$1295,MATCH($D811,Hierarchy!$A$2:$A$1295,0))),"NODE NOT FOUND"))</f>
        <v/>
      </c>
      <c r="M811" s="17" t="str">
        <f aca="false">IF(B811="Pre-seeded","Pre-seeded",IF(B811="Review 2026-09-16","Added from review",IF(C811="","New",IF(C811=D811,"","Changed"))))</f>
        <v>Pre-seeded</v>
      </c>
      <c r="N811" s="7" t="str">
        <f aca="false">TRIM(SUBSTITUTE(SUBSTITUTE(SUBSTITUTE(" "&amp;TRIM(SUBSTITUTE(SUBSTITUTE(SUBSTITUTE(SUBSTITUTE(SUBSTITUTE(SUBSTITUTE(SUBSTITUTE(SUBSTITUTE(SUBSTITUTE(SUBSTITUTE(SUBSTITUTE(SUBSTITUTE(SUBSTITUTE(SUBSTITUTE(SUBSTITUTE(UPPER(TRIM(A811)),"[MEMBER]",""),"{MEMBER}",""),"[MEMBER}",""),"MEMBER]",""),"(A)",""),"""",""),"“",""),"”",""),".",""),":",""),",",""),"–"," "),"-"," "),"/"," "),"&amp;"," AND "))&amp;" "," THE "," ")," TOTAL "," ")," OPERATIONS "," "))</f>
        <v>JUJUY</v>
      </c>
      <c r="O811" s="17" t="str">
        <f aca="false">IF(COUNTIFS($N$2:$N$2000,N811,$D$2:$D$2000,"&lt;&gt;"&amp;D811)&gt;0,"CONFLICT","")</f>
        <v/>
      </c>
      <c r="P811" s="7"/>
    </row>
    <row r="812" customFormat="false" ht="15" hidden="false" customHeight="false" outlineLevel="0" collapsed="false">
      <c r="A812" s="7" t="s">
        <v>992</v>
      </c>
      <c r="B812" s="7" t="s">
        <v>1879</v>
      </c>
      <c r="C812" s="7"/>
      <c r="D812" s="6" t="s">
        <v>992</v>
      </c>
      <c r="E812" s="6" t="s">
        <v>1880</v>
      </c>
      <c r="F812" s="7" t="str">
        <f aca="false">IF($D812="","",IFERROR(IF(INDEX(Hierarchy!$B$2:$B$1295,MATCH($D812,Hierarchy!$A$2:$A$1295,0))="","",INDEX(Hierarchy!$B$2:$B$1295,MATCH($D812,Hierarchy!$A$2:$A$1295,0))),"NODE NOT FOUND"))</f>
        <v>State/Province</v>
      </c>
      <c r="G812" s="7" t="str">
        <f aca="false">IF($D812="","",IFERROR(IF(INDEX(Hierarchy!$D$2:$D$1295,MATCH($D812,Hierarchy!$A$2:$A$1295,0))="","",INDEX(Hierarchy!$D$2:$D$1295,MATCH($D812,Hierarchy!$A$2:$A$1295,0))),"NODE NOT FOUND"))</f>
        <v>EMEA</v>
      </c>
      <c r="H812" s="7" t="str">
        <f aca="false">IF($D812="","",IFERROR(IF(INDEX(Hierarchy!$E$2:$E$1295,MATCH($D812,Hierarchy!$A$2:$A$1295,0))="","",INDEX(Hierarchy!$E$2:$E$1295,MATCH($D812,Hierarchy!$A$2:$A$1295,0))),"NODE NOT FOUND"))</f>
        <v>Europe</v>
      </c>
      <c r="I812" s="7" t="str">
        <f aca="false">IF($D812="","",IFERROR(IF(INDEX(Hierarchy!$F$2:$F$1295,MATCH($D812,Hierarchy!$A$2:$A$1295,0))="","",INDEX(Hierarchy!$F$2:$F$1295,MATCH($D812,Hierarchy!$A$2:$A$1295,0))),"NODE NOT FOUND"))</f>
        <v>Switzerland</v>
      </c>
      <c r="J812" s="7" t="str">
        <f aca="false">IF($D812="","",IFERROR(IF(INDEX(Hierarchy!$G$2:$G$1295,MATCH($D812,Hierarchy!$A$2:$A$1295,0))="","",INDEX(Hierarchy!$G$2:$G$1295,MATCH($D812,Hierarchy!$A$2:$A$1295,0))),"NODE NOT FOUND"))</f>
        <v>CHE</v>
      </c>
      <c r="K812" s="7" t="str">
        <f aca="false">IF($D812="","",IFERROR(IF(INDEX(Hierarchy!$H$2:$H$1295,MATCH($D812,Hierarchy!$A$2:$A$1295,0))="","",INDEX(Hierarchy!$H$2:$H$1295,MATCH($D812,Hierarchy!$A$2:$A$1295,0))),"NODE NOT FOUND"))</f>
        <v>Jura</v>
      </c>
      <c r="L812" s="7" t="str">
        <f aca="false">IF($D812="","",IFERROR(IF(INDEX(Hierarchy!$I$2:$I$1295,MATCH($D812,Hierarchy!$A$2:$A$1295,0))="","",INDEX(Hierarchy!$I$2:$I$1295,MATCH($D812,Hierarchy!$A$2:$A$1295,0))),"NODE NOT FOUND"))</f>
        <v/>
      </c>
      <c r="M812" s="17" t="str">
        <f aca="false">IF(B812="Pre-seeded","Pre-seeded",IF(B812="Review 2026-09-16","Added from review",IF(C812="","New",IF(C812=D812,"","Changed"))))</f>
        <v>Pre-seeded</v>
      </c>
      <c r="N812" s="7" t="str">
        <f aca="false">TRIM(SUBSTITUTE(SUBSTITUTE(SUBSTITUTE(" "&amp;TRIM(SUBSTITUTE(SUBSTITUTE(SUBSTITUTE(SUBSTITUTE(SUBSTITUTE(SUBSTITUTE(SUBSTITUTE(SUBSTITUTE(SUBSTITUTE(SUBSTITUTE(SUBSTITUTE(SUBSTITUTE(SUBSTITUTE(SUBSTITUTE(SUBSTITUTE(UPPER(TRIM(A812)),"[MEMBER]",""),"{MEMBER}",""),"[MEMBER}",""),"MEMBER]",""),"(A)",""),"""",""),"“",""),"”",""),".",""),":",""),",",""),"–"," "),"-"," "),"/"," "),"&amp;"," AND "))&amp;" "," THE "," ")," TOTAL "," ")," OPERATIONS "," "))</f>
        <v>JURA</v>
      </c>
      <c r="O812" s="17" t="str">
        <f aca="false">IF(COUNTIFS($N$2:$N$2000,N812,$D$2:$D$2000,"&lt;&gt;"&amp;D812)&gt;0,"CONFLICT","")</f>
        <v/>
      </c>
      <c r="P812" s="7"/>
    </row>
    <row r="813" customFormat="false" ht="15" hidden="false" customHeight="false" outlineLevel="0" collapsed="false">
      <c r="A813" s="7" t="s">
        <v>1151</v>
      </c>
      <c r="B813" s="7" t="s">
        <v>1879</v>
      </c>
      <c r="C813" s="7"/>
      <c r="D813" s="6" t="s">
        <v>1151</v>
      </c>
      <c r="E813" s="6" t="s">
        <v>1880</v>
      </c>
      <c r="F813" s="7" t="str">
        <f aca="false">IF($D813="","",IFERROR(IF(INDEX(Hierarchy!$B$2:$B$1295,MATCH($D813,Hierarchy!$A$2:$A$1295,0))="","",INDEX(Hierarchy!$B$2:$B$1295,MATCH($D813,Hierarchy!$A$2:$A$1295,0))),"NODE NOT FOUND"))</f>
        <v>State/Province</v>
      </c>
      <c r="G813" s="7" t="str">
        <f aca="false">IF($D813="","",IFERROR(IF(INDEX(Hierarchy!$D$2:$D$1295,MATCH($D813,Hierarchy!$A$2:$A$1295,0))="","",INDEX(Hierarchy!$D$2:$D$1295,MATCH($D813,Hierarchy!$A$2:$A$1295,0))),"NODE NOT FOUND"))</f>
        <v>EMEA</v>
      </c>
      <c r="H813" s="7" t="str">
        <f aca="false">IF($D813="","",IFERROR(IF(INDEX(Hierarchy!$E$2:$E$1295,MATCH($D813,Hierarchy!$A$2:$A$1295,0))="","",INDEX(Hierarchy!$E$2:$E$1295,MATCH($D813,Hierarchy!$A$2:$A$1295,0))),"NODE NOT FOUND"))</f>
        <v>Africa</v>
      </c>
      <c r="I813" s="7" t="str">
        <f aca="false">IF($D813="","",IFERROR(IF(INDEX(Hierarchy!$F$2:$F$1295,MATCH($D813,Hierarchy!$A$2:$A$1295,0))="","",INDEX(Hierarchy!$F$2:$F$1295,MATCH($D813,Hierarchy!$A$2:$A$1295,0))),"NODE NOT FOUND"))</f>
        <v>Nigeria</v>
      </c>
      <c r="J813" s="7" t="str">
        <f aca="false">IF($D813="","",IFERROR(IF(INDEX(Hierarchy!$G$2:$G$1295,MATCH($D813,Hierarchy!$A$2:$A$1295,0))="","",INDEX(Hierarchy!$G$2:$G$1295,MATCH($D813,Hierarchy!$A$2:$A$1295,0))),"NODE NOT FOUND"))</f>
        <v>NGA</v>
      </c>
      <c r="K813" s="7" t="str">
        <f aca="false">IF($D813="","",IFERROR(IF(INDEX(Hierarchy!$H$2:$H$1295,MATCH($D813,Hierarchy!$A$2:$A$1295,0))="","",INDEX(Hierarchy!$H$2:$H$1295,MATCH($D813,Hierarchy!$A$2:$A$1295,0))),"NODE NOT FOUND"))</f>
        <v>Kaduna</v>
      </c>
      <c r="L813" s="7" t="str">
        <f aca="false">IF($D813="","",IFERROR(IF(INDEX(Hierarchy!$I$2:$I$1295,MATCH($D813,Hierarchy!$A$2:$A$1295,0))="","",INDEX(Hierarchy!$I$2:$I$1295,MATCH($D813,Hierarchy!$A$2:$A$1295,0))),"NODE NOT FOUND"))</f>
        <v/>
      </c>
      <c r="M813" s="17" t="str">
        <f aca="false">IF(B813="Pre-seeded","Pre-seeded",IF(B813="Review 2026-09-16","Added from review",IF(C813="","New",IF(C813=D813,"","Changed"))))</f>
        <v>Pre-seeded</v>
      </c>
      <c r="N813" s="7" t="str">
        <f aca="false">TRIM(SUBSTITUTE(SUBSTITUTE(SUBSTITUTE(" "&amp;TRIM(SUBSTITUTE(SUBSTITUTE(SUBSTITUTE(SUBSTITUTE(SUBSTITUTE(SUBSTITUTE(SUBSTITUTE(SUBSTITUTE(SUBSTITUTE(SUBSTITUTE(SUBSTITUTE(SUBSTITUTE(SUBSTITUTE(SUBSTITUTE(SUBSTITUTE(UPPER(TRIM(A813)),"[MEMBER]",""),"{MEMBER}",""),"[MEMBER}",""),"MEMBER]",""),"(A)",""),"""",""),"“",""),"”",""),".",""),":",""),",",""),"–"," "),"-"," "),"/"," "),"&amp;"," AND "))&amp;" "," THE "," ")," TOTAL "," ")," OPERATIONS "," "))</f>
        <v>KADUNA</v>
      </c>
      <c r="O813" s="17" t="str">
        <f aca="false">IF(COUNTIFS($N$2:$N$2000,N813,$D$2:$D$2000,"&lt;&gt;"&amp;D813)&gt;0,"CONFLICT","")</f>
        <v/>
      </c>
      <c r="P813" s="7"/>
    </row>
    <row r="814" customFormat="false" ht="15" hidden="false" customHeight="false" outlineLevel="0" collapsed="false">
      <c r="A814" s="7" t="s">
        <v>1456</v>
      </c>
      <c r="B814" s="7" t="s">
        <v>1879</v>
      </c>
      <c r="C814" s="7"/>
      <c r="D814" s="6" t="s">
        <v>1456</v>
      </c>
      <c r="E814" s="6" t="s">
        <v>1880</v>
      </c>
      <c r="F814" s="7" t="str">
        <f aca="false">IF($D814="","",IFERROR(IF(INDEX(Hierarchy!$B$2:$B$1295,MATCH($D814,Hierarchy!$A$2:$A$1295,0))="","",INDEX(Hierarchy!$B$2:$B$1295,MATCH($D814,Hierarchy!$A$2:$A$1295,0))),"NODE NOT FOUND"))</f>
        <v>State/Province</v>
      </c>
      <c r="G814" s="7" t="str">
        <f aca="false">IF($D814="","",IFERROR(IF(INDEX(Hierarchy!$D$2:$D$1295,MATCH($D814,Hierarchy!$A$2:$A$1295,0))="","",INDEX(Hierarchy!$D$2:$D$1295,MATCH($D814,Hierarchy!$A$2:$A$1295,0))),"NODE NOT FOUND"))</f>
        <v>APAC</v>
      </c>
      <c r="H814" s="7" t="str">
        <f aca="false">IF($D814="","",IFERROR(IF(INDEX(Hierarchy!$E$2:$E$1295,MATCH($D814,Hierarchy!$A$2:$A$1295,0))="","",INDEX(Hierarchy!$E$2:$E$1295,MATCH($D814,Hierarchy!$A$2:$A$1295,0))),"NODE NOT FOUND"))</f>
        <v>East Asia</v>
      </c>
      <c r="I814" s="7" t="str">
        <f aca="false">IF($D814="","",IFERROR(IF(INDEX(Hierarchy!$F$2:$F$1295,MATCH($D814,Hierarchy!$A$2:$A$1295,0))="","",INDEX(Hierarchy!$F$2:$F$1295,MATCH($D814,Hierarchy!$A$2:$A$1295,0))),"NODE NOT FOUND"))</f>
        <v>Japan</v>
      </c>
      <c r="J814" s="7" t="str">
        <f aca="false">IF($D814="","",IFERROR(IF(INDEX(Hierarchy!$G$2:$G$1295,MATCH($D814,Hierarchy!$A$2:$A$1295,0))="","",INDEX(Hierarchy!$G$2:$G$1295,MATCH($D814,Hierarchy!$A$2:$A$1295,0))),"NODE NOT FOUND"))</f>
        <v>JPN</v>
      </c>
      <c r="K814" s="7" t="str">
        <f aca="false">IF($D814="","",IFERROR(IF(INDEX(Hierarchy!$H$2:$H$1295,MATCH($D814,Hierarchy!$A$2:$A$1295,0))="","",INDEX(Hierarchy!$H$2:$H$1295,MATCH($D814,Hierarchy!$A$2:$A$1295,0))),"NODE NOT FOUND"))</f>
        <v>Kagawa</v>
      </c>
      <c r="L814" s="7" t="str">
        <f aca="false">IF($D814="","",IFERROR(IF(INDEX(Hierarchy!$I$2:$I$1295,MATCH($D814,Hierarchy!$A$2:$A$1295,0))="","",INDEX(Hierarchy!$I$2:$I$1295,MATCH($D814,Hierarchy!$A$2:$A$1295,0))),"NODE NOT FOUND"))</f>
        <v/>
      </c>
      <c r="M814" s="17" t="str">
        <f aca="false">IF(B814="Pre-seeded","Pre-seeded",IF(B814="Review 2026-09-16","Added from review",IF(C814="","New",IF(C814=D814,"","Changed"))))</f>
        <v>Pre-seeded</v>
      </c>
      <c r="N814" s="7" t="str">
        <f aca="false">TRIM(SUBSTITUTE(SUBSTITUTE(SUBSTITUTE(" "&amp;TRIM(SUBSTITUTE(SUBSTITUTE(SUBSTITUTE(SUBSTITUTE(SUBSTITUTE(SUBSTITUTE(SUBSTITUTE(SUBSTITUTE(SUBSTITUTE(SUBSTITUTE(SUBSTITUTE(SUBSTITUTE(SUBSTITUTE(SUBSTITUTE(SUBSTITUTE(UPPER(TRIM(A814)),"[MEMBER]",""),"{MEMBER}",""),"[MEMBER}",""),"MEMBER]",""),"(A)",""),"""",""),"“",""),"”",""),".",""),":",""),",",""),"–"," "),"-"," "),"/"," "),"&amp;"," AND "))&amp;" "," THE "," ")," TOTAL "," ")," OPERATIONS "," "))</f>
        <v>KAGAWA</v>
      </c>
      <c r="O814" s="17" t="str">
        <f aca="false">IF(COUNTIFS($N$2:$N$2000,N814,$D$2:$D$2000,"&lt;&gt;"&amp;D814)&gt;0,"CONFLICT","")</f>
        <v/>
      </c>
      <c r="P814" s="7"/>
    </row>
    <row r="815" customFormat="false" ht="15" hidden="false" customHeight="false" outlineLevel="0" collapsed="false">
      <c r="A815" s="7" t="s">
        <v>1457</v>
      </c>
      <c r="B815" s="7" t="s">
        <v>1879</v>
      </c>
      <c r="C815" s="7"/>
      <c r="D815" s="6" t="s">
        <v>1457</v>
      </c>
      <c r="E815" s="6" t="s">
        <v>1880</v>
      </c>
      <c r="F815" s="7" t="str">
        <f aca="false">IF($D815="","",IFERROR(IF(INDEX(Hierarchy!$B$2:$B$1295,MATCH($D815,Hierarchy!$A$2:$A$1295,0))="","",INDEX(Hierarchy!$B$2:$B$1295,MATCH($D815,Hierarchy!$A$2:$A$1295,0))),"NODE NOT FOUND"))</f>
        <v>State/Province</v>
      </c>
      <c r="G815" s="7" t="str">
        <f aca="false">IF($D815="","",IFERROR(IF(INDEX(Hierarchy!$D$2:$D$1295,MATCH($D815,Hierarchy!$A$2:$A$1295,0))="","",INDEX(Hierarchy!$D$2:$D$1295,MATCH($D815,Hierarchy!$A$2:$A$1295,0))),"NODE NOT FOUND"))</f>
        <v>APAC</v>
      </c>
      <c r="H815" s="7" t="str">
        <f aca="false">IF($D815="","",IFERROR(IF(INDEX(Hierarchy!$E$2:$E$1295,MATCH($D815,Hierarchy!$A$2:$A$1295,0))="","",INDEX(Hierarchy!$E$2:$E$1295,MATCH($D815,Hierarchy!$A$2:$A$1295,0))),"NODE NOT FOUND"))</f>
        <v>East Asia</v>
      </c>
      <c r="I815" s="7" t="str">
        <f aca="false">IF($D815="","",IFERROR(IF(INDEX(Hierarchy!$F$2:$F$1295,MATCH($D815,Hierarchy!$A$2:$A$1295,0))="","",INDEX(Hierarchy!$F$2:$F$1295,MATCH($D815,Hierarchy!$A$2:$A$1295,0))),"NODE NOT FOUND"))</f>
        <v>Japan</v>
      </c>
      <c r="J815" s="7" t="str">
        <f aca="false">IF($D815="","",IFERROR(IF(INDEX(Hierarchy!$G$2:$G$1295,MATCH($D815,Hierarchy!$A$2:$A$1295,0))="","",INDEX(Hierarchy!$G$2:$G$1295,MATCH($D815,Hierarchy!$A$2:$A$1295,0))),"NODE NOT FOUND"))</f>
        <v>JPN</v>
      </c>
      <c r="K815" s="7" t="str">
        <f aca="false">IF($D815="","",IFERROR(IF(INDEX(Hierarchy!$H$2:$H$1295,MATCH($D815,Hierarchy!$A$2:$A$1295,0))="","",INDEX(Hierarchy!$H$2:$H$1295,MATCH($D815,Hierarchy!$A$2:$A$1295,0))),"NODE NOT FOUND"))</f>
        <v>Kagoshima</v>
      </c>
      <c r="L815" s="7" t="str">
        <f aca="false">IF($D815="","",IFERROR(IF(INDEX(Hierarchy!$I$2:$I$1295,MATCH($D815,Hierarchy!$A$2:$A$1295,0))="","",INDEX(Hierarchy!$I$2:$I$1295,MATCH($D815,Hierarchy!$A$2:$A$1295,0))),"NODE NOT FOUND"))</f>
        <v/>
      </c>
      <c r="M815" s="17" t="str">
        <f aca="false">IF(B815="Pre-seeded","Pre-seeded",IF(B815="Review 2026-09-16","Added from review",IF(C815="","New",IF(C815=D815,"","Changed"))))</f>
        <v>Pre-seeded</v>
      </c>
      <c r="N815" s="7" t="str">
        <f aca="false">TRIM(SUBSTITUTE(SUBSTITUTE(SUBSTITUTE(" "&amp;TRIM(SUBSTITUTE(SUBSTITUTE(SUBSTITUTE(SUBSTITUTE(SUBSTITUTE(SUBSTITUTE(SUBSTITUTE(SUBSTITUTE(SUBSTITUTE(SUBSTITUTE(SUBSTITUTE(SUBSTITUTE(SUBSTITUTE(SUBSTITUTE(SUBSTITUTE(UPPER(TRIM(A815)),"[MEMBER]",""),"{MEMBER}",""),"[MEMBER}",""),"MEMBER]",""),"(A)",""),"""",""),"“",""),"”",""),".",""),":",""),",",""),"–"," "),"-"," "),"/"," "),"&amp;"," AND "))&amp;" "," THE "," ")," TOTAL "," ")," OPERATIONS "," "))</f>
        <v>KAGOSHIMA</v>
      </c>
      <c r="O815" s="17" t="str">
        <f aca="false">IF(COUNTIFS($N$2:$N$2000,N815,$D$2:$D$2000,"&lt;&gt;"&amp;D815)&gt;0,"CONFLICT","")</f>
        <v/>
      </c>
      <c r="P815" s="7"/>
    </row>
    <row r="816" customFormat="false" ht="15" hidden="false" customHeight="false" outlineLevel="0" collapsed="false">
      <c r="A816" s="7" t="s">
        <v>1458</v>
      </c>
      <c r="B816" s="7" t="s">
        <v>1879</v>
      </c>
      <c r="C816" s="7"/>
      <c r="D816" s="6" t="s">
        <v>1458</v>
      </c>
      <c r="E816" s="6" t="s">
        <v>1880</v>
      </c>
      <c r="F816" s="7" t="str">
        <f aca="false">IF($D816="","",IFERROR(IF(INDEX(Hierarchy!$B$2:$B$1295,MATCH($D816,Hierarchy!$A$2:$A$1295,0))="","",INDEX(Hierarchy!$B$2:$B$1295,MATCH($D816,Hierarchy!$A$2:$A$1295,0))),"NODE NOT FOUND"))</f>
        <v>State/Province</v>
      </c>
      <c r="G816" s="7" t="str">
        <f aca="false">IF($D816="","",IFERROR(IF(INDEX(Hierarchy!$D$2:$D$1295,MATCH($D816,Hierarchy!$A$2:$A$1295,0))="","",INDEX(Hierarchy!$D$2:$D$1295,MATCH($D816,Hierarchy!$A$2:$A$1295,0))),"NODE NOT FOUND"))</f>
        <v>APAC</v>
      </c>
      <c r="H816" s="7" t="str">
        <f aca="false">IF($D816="","",IFERROR(IF(INDEX(Hierarchy!$E$2:$E$1295,MATCH($D816,Hierarchy!$A$2:$A$1295,0))="","",INDEX(Hierarchy!$E$2:$E$1295,MATCH($D816,Hierarchy!$A$2:$A$1295,0))),"NODE NOT FOUND"))</f>
        <v>East Asia</v>
      </c>
      <c r="I816" s="7" t="str">
        <f aca="false">IF($D816="","",IFERROR(IF(INDEX(Hierarchy!$F$2:$F$1295,MATCH($D816,Hierarchy!$A$2:$A$1295,0))="","",INDEX(Hierarchy!$F$2:$F$1295,MATCH($D816,Hierarchy!$A$2:$A$1295,0))),"NODE NOT FOUND"))</f>
        <v>Japan</v>
      </c>
      <c r="J816" s="7" t="str">
        <f aca="false">IF($D816="","",IFERROR(IF(INDEX(Hierarchy!$G$2:$G$1295,MATCH($D816,Hierarchy!$A$2:$A$1295,0))="","",INDEX(Hierarchy!$G$2:$G$1295,MATCH($D816,Hierarchy!$A$2:$A$1295,0))),"NODE NOT FOUND"))</f>
        <v>JPN</v>
      </c>
      <c r="K816" s="7" t="str">
        <f aca="false">IF($D816="","",IFERROR(IF(INDEX(Hierarchy!$H$2:$H$1295,MATCH($D816,Hierarchy!$A$2:$A$1295,0))="","",INDEX(Hierarchy!$H$2:$H$1295,MATCH($D816,Hierarchy!$A$2:$A$1295,0))),"NODE NOT FOUND"))</f>
        <v>Kanagawa</v>
      </c>
      <c r="L816" s="7" t="str">
        <f aca="false">IF($D816="","",IFERROR(IF(INDEX(Hierarchy!$I$2:$I$1295,MATCH($D816,Hierarchy!$A$2:$A$1295,0))="","",INDEX(Hierarchy!$I$2:$I$1295,MATCH($D816,Hierarchy!$A$2:$A$1295,0))),"NODE NOT FOUND"))</f>
        <v/>
      </c>
      <c r="M816" s="17" t="str">
        <f aca="false">IF(B816="Pre-seeded","Pre-seeded",IF(B816="Review 2026-09-16","Added from review",IF(C816="","New",IF(C816=D816,"","Changed"))))</f>
        <v>Pre-seeded</v>
      </c>
      <c r="N816" s="7" t="str">
        <f aca="false">TRIM(SUBSTITUTE(SUBSTITUTE(SUBSTITUTE(" "&amp;TRIM(SUBSTITUTE(SUBSTITUTE(SUBSTITUTE(SUBSTITUTE(SUBSTITUTE(SUBSTITUTE(SUBSTITUTE(SUBSTITUTE(SUBSTITUTE(SUBSTITUTE(SUBSTITUTE(SUBSTITUTE(SUBSTITUTE(SUBSTITUTE(SUBSTITUTE(UPPER(TRIM(A816)),"[MEMBER]",""),"{MEMBER}",""),"[MEMBER}",""),"MEMBER]",""),"(A)",""),"""",""),"“",""),"”",""),".",""),":",""),",",""),"–"," "),"-"," "),"/"," "),"&amp;"," AND "))&amp;" "," THE "," ")," TOTAL "," ")," OPERATIONS "," "))</f>
        <v>KANAGAWA</v>
      </c>
      <c r="O816" s="17" t="str">
        <f aca="false">IF(COUNTIFS($N$2:$N$2000,N816,$D$2:$D$2000,"&lt;&gt;"&amp;D816)&gt;0,"CONFLICT","")</f>
        <v/>
      </c>
      <c r="P816" s="7"/>
    </row>
    <row r="817" customFormat="false" ht="15" hidden="false" customHeight="false" outlineLevel="0" collapsed="false">
      <c r="A817" s="7" t="s">
        <v>1152</v>
      </c>
      <c r="B817" s="7" t="s">
        <v>1879</v>
      </c>
      <c r="C817" s="7"/>
      <c r="D817" s="6" t="s">
        <v>1152</v>
      </c>
      <c r="E817" s="6" t="s">
        <v>1880</v>
      </c>
      <c r="F817" s="7" t="str">
        <f aca="false">IF($D817="","",IFERROR(IF(INDEX(Hierarchy!$B$2:$B$1295,MATCH($D817,Hierarchy!$A$2:$A$1295,0))="","",INDEX(Hierarchy!$B$2:$B$1295,MATCH($D817,Hierarchy!$A$2:$A$1295,0))),"NODE NOT FOUND"))</f>
        <v>State/Province</v>
      </c>
      <c r="G817" s="7" t="str">
        <f aca="false">IF($D817="","",IFERROR(IF(INDEX(Hierarchy!$D$2:$D$1295,MATCH($D817,Hierarchy!$A$2:$A$1295,0))="","",INDEX(Hierarchy!$D$2:$D$1295,MATCH($D817,Hierarchy!$A$2:$A$1295,0))),"NODE NOT FOUND"))</f>
        <v>EMEA</v>
      </c>
      <c r="H817" s="7" t="str">
        <f aca="false">IF($D817="","",IFERROR(IF(INDEX(Hierarchy!$E$2:$E$1295,MATCH($D817,Hierarchy!$A$2:$A$1295,0))="","",INDEX(Hierarchy!$E$2:$E$1295,MATCH($D817,Hierarchy!$A$2:$A$1295,0))),"NODE NOT FOUND"))</f>
        <v>Africa</v>
      </c>
      <c r="I817" s="7" t="str">
        <f aca="false">IF($D817="","",IFERROR(IF(INDEX(Hierarchy!$F$2:$F$1295,MATCH($D817,Hierarchy!$A$2:$A$1295,0))="","",INDEX(Hierarchy!$F$2:$F$1295,MATCH($D817,Hierarchy!$A$2:$A$1295,0))),"NODE NOT FOUND"))</f>
        <v>Nigeria</v>
      </c>
      <c r="J817" s="7" t="str">
        <f aca="false">IF($D817="","",IFERROR(IF(INDEX(Hierarchy!$G$2:$G$1295,MATCH($D817,Hierarchy!$A$2:$A$1295,0))="","",INDEX(Hierarchy!$G$2:$G$1295,MATCH($D817,Hierarchy!$A$2:$A$1295,0))),"NODE NOT FOUND"))</f>
        <v>NGA</v>
      </c>
      <c r="K817" s="7" t="str">
        <f aca="false">IF($D817="","",IFERROR(IF(INDEX(Hierarchy!$H$2:$H$1295,MATCH($D817,Hierarchy!$A$2:$A$1295,0))="","",INDEX(Hierarchy!$H$2:$H$1295,MATCH($D817,Hierarchy!$A$2:$A$1295,0))),"NODE NOT FOUND"))</f>
        <v>Kano</v>
      </c>
      <c r="L817" s="7" t="str">
        <f aca="false">IF($D817="","",IFERROR(IF(INDEX(Hierarchy!$I$2:$I$1295,MATCH($D817,Hierarchy!$A$2:$A$1295,0))="","",INDEX(Hierarchy!$I$2:$I$1295,MATCH($D817,Hierarchy!$A$2:$A$1295,0))),"NODE NOT FOUND"))</f>
        <v/>
      </c>
      <c r="M817" s="17" t="str">
        <f aca="false">IF(B817="Pre-seeded","Pre-seeded",IF(B817="Review 2026-09-16","Added from review",IF(C817="","New",IF(C817=D817,"","Changed"))))</f>
        <v>Pre-seeded</v>
      </c>
      <c r="N817" s="7" t="str">
        <f aca="false">TRIM(SUBSTITUTE(SUBSTITUTE(SUBSTITUTE(" "&amp;TRIM(SUBSTITUTE(SUBSTITUTE(SUBSTITUTE(SUBSTITUTE(SUBSTITUTE(SUBSTITUTE(SUBSTITUTE(SUBSTITUTE(SUBSTITUTE(SUBSTITUTE(SUBSTITUTE(SUBSTITUTE(SUBSTITUTE(SUBSTITUTE(SUBSTITUTE(UPPER(TRIM(A817)),"[MEMBER]",""),"{MEMBER}",""),"[MEMBER}",""),"MEMBER]",""),"(A)",""),"""",""),"“",""),"”",""),".",""),":",""),",",""),"–"," "),"-"," "),"/"," "),"&amp;"," AND "))&amp;" "," THE "," ")," TOTAL "," ")," OPERATIONS "," "))</f>
        <v>KANO</v>
      </c>
      <c r="O817" s="17" t="str">
        <f aca="false">IF(COUNTIFS($N$2:$N$2000,N817,$D$2:$D$2000,"&lt;&gt;"&amp;D817)&gt;0,"CONFLICT","")</f>
        <v/>
      </c>
      <c r="P817" s="7"/>
    </row>
    <row r="818" customFormat="false" ht="15" hidden="false" customHeight="false" outlineLevel="0" collapsed="false">
      <c r="A818" s="7" t="s">
        <v>1432</v>
      </c>
      <c r="B818" s="7" t="s">
        <v>1879</v>
      </c>
      <c r="C818" s="7"/>
      <c r="D818" s="6" t="s">
        <v>1432</v>
      </c>
      <c r="E818" s="6" t="s">
        <v>1880</v>
      </c>
      <c r="F818" s="7" t="str">
        <f aca="false">IF($D818="","",IFERROR(IF(INDEX(Hierarchy!$B$2:$B$1295,MATCH($D818,Hierarchy!$A$2:$A$1295,0))="","",INDEX(Hierarchy!$B$2:$B$1295,MATCH($D818,Hierarchy!$A$2:$A$1295,0))),"NODE NOT FOUND"))</f>
        <v>Sub-national region</v>
      </c>
      <c r="G818" s="7" t="str">
        <f aca="false">IF($D818="","",IFERROR(IF(INDEX(Hierarchy!$D$2:$D$1295,MATCH($D818,Hierarchy!$A$2:$A$1295,0))="","",INDEX(Hierarchy!$D$2:$D$1295,MATCH($D818,Hierarchy!$A$2:$A$1295,0))),"NODE NOT FOUND"))</f>
        <v>APAC</v>
      </c>
      <c r="H818" s="7" t="str">
        <f aca="false">IF($D818="","",IFERROR(IF(INDEX(Hierarchy!$E$2:$E$1295,MATCH($D818,Hierarchy!$A$2:$A$1295,0))="","",INDEX(Hierarchy!$E$2:$E$1295,MATCH($D818,Hierarchy!$A$2:$A$1295,0))),"NODE NOT FOUND"))</f>
        <v>East Asia</v>
      </c>
      <c r="I818" s="7" t="str">
        <f aca="false">IF($D818="","",IFERROR(IF(INDEX(Hierarchy!$F$2:$F$1295,MATCH($D818,Hierarchy!$A$2:$A$1295,0))="","",INDEX(Hierarchy!$F$2:$F$1295,MATCH($D818,Hierarchy!$A$2:$A$1295,0))),"NODE NOT FOUND"))</f>
        <v>Japan</v>
      </c>
      <c r="J818" s="7" t="str">
        <f aca="false">IF($D818="","",IFERROR(IF(INDEX(Hierarchy!$G$2:$G$1295,MATCH($D818,Hierarchy!$A$2:$A$1295,0))="","",INDEX(Hierarchy!$G$2:$G$1295,MATCH($D818,Hierarchy!$A$2:$A$1295,0))),"NODE NOT FOUND"))</f>
        <v>JPN</v>
      </c>
      <c r="K818" s="7" t="str">
        <f aca="false">IF($D818="","",IFERROR(IF(INDEX(Hierarchy!$H$2:$H$1295,MATCH($D818,Hierarchy!$A$2:$A$1295,0))="","",INDEX(Hierarchy!$H$2:$H$1295,MATCH($D818,Hierarchy!$A$2:$A$1295,0))),"NODE NOT FOUND"))</f>
        <v/>
      </c>
      <c r="L818" s="7" t="str">
        <f aca="false">IF($D818="","",IFERROR(IF(INDEX(Hierarchy!$I$2:$I$1295,MATCH($D818,Hierarchy!$A$2:$A$1295,0))="","",INDEX(Hierarchy!$I$2:$I$1295,MATCH($D818,Hierarchy!$A$2:$A$1295,0))),"NODE NOT FOUND"))</f>
        <v/>
      </c>
      <c r="M818" s="17" t="str">
        <f aca="false">IF(B818="Pre-seeded","Pre-seeded",IF(B818="Review 2026-09-16","Added from review",IF(C818="","New",IF(C818=D818,"","Changed"))))</f>
        <v>Pre-seeded</v>
      </c>
      <c r="N818" s="7" t="str">
        <f aca="false">TRIM(SUBSTITUTE(SUBSTITUTE(SUBSTITUTE(" "&amp;TRIM(SUBSTITUTE(SUBSTITUTE(SUBSTITUTE(SUBSTITUTE(SUBSTITUTE(SUBSTITUTE(SUBSTITUTE(SUBSTITUTE(SUBSTITUTE(SUBSTITUTE(SUBSTITUTE(SUBSTITUTE(SUBSTITUTE(SUBSTITUTE(SUBSTITUTE(UPPER(TRIM(A818)),"[MEMBER]",""),"{MEMBER}",""),"[MEMBER}",""),"MEMBER]",""),"(A)",""),"""",""),"“",""),"”",""),".",""),":",""),",",""),"–"," "),"-"," "),"/"," "),"&amp;"," AND "))&amp;" "," THE "," ")," TOTAL "," ")," OPERATIONS "," "))</f>
        <v>KANSAI REGION</v>
      </c>
      <c r="O818" s="17" t="str">
        <f aca="false">IF(COUNTIFS($N$2:$N$2000,N818,$D$2:$D$2000,"&lt;&gt;"&amp;D818)&gt;0,"CONFLICT","")</f>
        <v/>
      </c>
      <c r="P818" s="7"/>
    </row>
    <row r="819" customFormat="false" ht="15" hidden="false" customHeight="false" outlineLevel="0" collapsed="false">
      <c r="A819" s="7" t="s">
        <v>185</v>
      </c>
      <c r="B819" s="7" t="s">
        <v>1882</v>
      </c>
      <c r="C819" s="7" t="s">
        <v>185</v>
      </c>
      <c r="D819" s="6" t="s">
        <v>185</v>
      </c>
      <c r="E819" s="6" t="s">
        <v>1880</v>
      </c>
      <c r="F819" s="7" t="str">
        <f aca="false">IF($D819="","",IFERROR(IF(INDEX(Hierarchy!$B$2:$B$1295,MATCH($D819,Hierarchy!$A$2:$A$1295,0))="","",INDEX(Hierarchy!$B$2:$B$1295,MATCH($D819,Hierarchy!$A$2:$A$1295,0))),"NODE NOT FOUND"))</f>
        <v>State/Province</v>
      </c>
      <c r="G819" s="7" t="str">
        <f aca="false">IF($D819="","",IFERROR(IF(INDEX(Hierarchy!$D$2:$D$1295,MATCH($D819,Hierarchy!$A$2:$A$1295,0))="","",INDEX(Hierarchy!$D$2:$D$1295,MATCH($D819,Hierarchy!$A$2:$A$1295,0))),"NODE NOT FOUND"))</f>
        <v>AMER</v>
      </c>
      <c r="H819" s="7" t="str">
        <f aca="false">IF($D819="","",IFERROR(IF(INDEX(Hierarchy!$E$2:$E$1295,MATCH($D819,Hierarchy!$A$2:$A$1295,0))="","",INDEX(Hierarchy!$E$2:$E$1295,MATCH($D819,Hierarchy!$A$2:$A$1295,0))),"NODE NOT FOUND"))</f>
        <v>North America (NORAM)</v>
      </c>
      <c r="I819" s="7" t="str">
        <f aca="false">IF($D819="","",IFERROR(IF(INDEX(Hierarchy!$F$2:$F$1295,MATCH($D819,Hierarchy!$A$2:$A$1295,0))="","",INDEX(Hierarchy!$F$2:$F$1295,MATCH($D819,Hierarchy!$A$2:$A$1295,0))),"NODE NOT FOUND"))</f>
        <v>United States</v>
      </c>
      <c r="J819" s="7" t="str">
        <f aca="false">IF($D819="","",IFERROR(IF(INDEX(Hierarchy!$G$2:$G$1295,MATCH($D819,Hierarchy!$A$2:$A$1295,0))="","",INDEX(Hierarchy!$G$2:$G$1295,MATCH($D819,Hierarchy!$A$2:$A$1295,0))),"NODE NOT FOUND"))</f>
        <v>USA</v>
      </c>
      <c r="K819" s="7" t="str">
        <f aca="false">IF($D819="","",IFERROR(IF(INDEX(Hierarchy!$H$2:$H$1295,MATCH($D819,Hierarchy!$A$2:$A$1295,0))="","",INDEX(Hierarchy!$H$2:$H$1295,MATCH($D819,Hierarchy!$A$2:$A$1295,0))),"NODE NOT FOUND"))</f>
        <v>Kansas</v>
      </c>
      <c r="L819" s="7" t="str">
        <f aca="false">IF($D819="","",IFERROR(IF(INDEX(Hierarchy!$I$2:$I$1295,MATCH($D819,Hierarchy!$A$2:$A$1295,0))="","",INDEX(Hierarchy!$I$2:$I$1295,MATCH($D819,Hierarchy!$A$2:$A$1295,0))),"NODE NOT FOUND"))</f>
        <v/>
      </c>
      <c r="M819" s="17" t="str">
        <f aca="false">IF(B819="Pre-seeded","Pre-seeded",IF(B819="Review 2026-09-16","Added from review",IF(C819="","New",IF(C819=D819,"","Changed"))))</f>
        <v/>
      </c>
      <c r="N819" s="7" t="str">
        <f aca="false">TRIM(SUBSTITUTE(SUBSTITUTE(SUBSTITUTE(" "&amp;TRIM(SUBSTITUTE(SUBSTITUTE(SUBSTITUTE(SUBSTITUTE(SUBSTITUTE(SUBSTITUTE(SUBSTITUTE(SUBSTITUTE(SUBSTITUTE(SUBSTITUTE(SUBSTITUTE(SUBSTITUTE(SUBSTITUTE(SUBSTITUTE(SUBSTITUTE(UPPER(TRIM(A819)),"[MEMBER]",""),"{MEMBER}",""),"[MEMBER}",""),"MEMBER]",""),"(A)",""),"""",""),"“",""),"”",""),".",""),":",""),",",""),"–"," "),"-"," "),"/"," "),"&amp;"," AND "))&amp;" "," THE "," ")," TOTAL "," ")," OPERATIONS "," "))</f>
        <v>KANSAS</v>
      </c>
      <c r="O819" s="17" t="str">
        <f aca="false">IF(COUNTIFS($N$2:$N$2000,N819,$D$2:$D$2000,"&lt;&gt;"&amp;D819)&gt;0,"CONFLICT","")</f>
        <v/>
      </c>
      <c r="P819" s="7"/>
    </row>
    <row r="820" customFormat="false" ht="15" hidden="false" customHeight="false" outlineLevel="0" collapsed="false">
      <c r="A820" s="7" t="s">
        <v>1433</v>
      </c>
      <c r="B820" s="7" t="s">
        <v>1879</v>
      </c>
      <c r="C820" s="7"/>
      <c r="D820" s="6" t="s">
        <v>1433</v>
      </c>
      <c r="E820" s="6" t="s">
        <v>1880</v>
      </c>
      <c r="F820" s="7" t="str">
        <f aca="false">IF($D820="","",IFERROR(IF(INDEX(Hierarchy!$B$2:$B$1295,MATCH($D820,Hierarchy!$A$2:$A$1295,0))="","",INDEX(Hierarchy!$B$2:$B$1295,MATCH($D820,Hierarchy!$A$2:$A$1295,0))),"NODE NOT FOUND"))</f>
        <v>Sub-national region</v>
      </c>
      <c r="G820" s="7" t="str">
        <f aca="false">IF($D820="","",IFERROR(IF(INDEX(Hierarchy!$D$2:$D$1295,MATCH($D820,Hierarchy!$A$2:$A$1295,0))="","",INDEX(Hierarchy!$D$2:$D$1295,MATCH($D820,Hierarchy!$A$2:$A$1295,0))),"NODE NOT FOUND"))</f>
        <v>APAC</v>
      </c>
      <c r="H820" s="7" t="str">
        <f aca="false">IF($D820="","",IFERROR(IF(INDEX(Hierarchy!$E$2:$E$1295,MATCH($D820,Hierarchy!$A$2:$A$1295,0))="","",INDEX(Hierarchy!$E$2:$E$1295,MATCH($D820,Hierarchy!$A$2:$A$1295,0))),"NODE NOT FOUND"))</f>
        <v>East Asia</v>
      </c>
      <c r="I820" s="7" t="str">
        <f aca="false">IF($D820="","",IFERROR(IF(INDEX(Hierarchy!$F$2:$F$1295,MATCH($D820,Hierarchy!$A$2:$A$1295,0))="","",INDEX(Hierarchy!$F$2:$F$1295,MATCH($D820,Hierarchy!$A$2:$A$1295,0))),"NODE NOT FOUND"))</f>
        <v>Japan</v>
      </c>
      <c r="J820" s="7" t="str">
        <f aca="false">IF($D820="","",IFERROR(IF(INDEX(Hierarchy!$G$2:$G$1295,MATCH($D820,Hierarchy!$A$2:$A$1295,0))="","",INDEX(Hierarchy!$G$2:$G$1295,MATCH($D820,Hierarchy!$A$2:$A$1295,0))),"NODE NOT FOUND"))</f>
        <v>JPN</v>
      </c>
      <c r="K820" s="7" t="str">
        <f aca="false">IF($D820="","",IFERROR(IF(INDEX(Hierarchy!$H$2:$H$1295,MATCH($D820,Hierarchy!$A$2:$A$1295,0))="","",INDEX(Hierarchy!$H$2:$H$1295,MATCH($D820,Hierarchy!$A$2:$A$1295,0))),"NODE NOT FOUND"))</f>
        <v/>
      </c>
      <c r="L820" s="7" t="str">
        <f aca="false">IF($D820="","",IFERROR(IF(INDEX(Hierarchy!$I$2:$I$1295,MATCH($D820,Hierarchy!$A$2:$A$1295,0))="","",INDEX(Hierarchy!$I$2:$I$1295,MATCH($D820,Hierarchy!$A$2:$A$1295,0))),"NODE NOT FOUND"))</f>
        <v/>
      </c>
      <c r="M820" s="17" t="str">
        <f aca="false">IF(B820="Pre-seeded","Pre-seeded",IF(B820="Review 2026-09-16","Added from review",IF(C820="","New",IF(C820=D820,"","Changed"))))</f>
        <v>Pre-seeded</v>
      </c>
      <c r="N820" s="7" t="str">
        <f aca="false">TRIM(SUBSTITUTE(SUBSTITUTE(SUBSTITUTE(" "&amp;TRIM(SUBSTITUTE(SUBSTITUTE(SUBSTITUTE(SUBSTITUTE(SUBSTITUTE(SUBSTITUTE(SUBSTITUTE(SUBSTITUTE(SUBSTITUTE(SUBSTITUTE(SUBSTITUTE(SUBSTITUTE(SUBSTITUTE(SUBSTITUTE(SUBSTITUTE(UPPER(TRIM(A820)),"[MEMBER]",""),"{MEMBER}",""),"[MEMBER}",""),"MEMBER]",""),"(A)",""),"""",""),"“",""),"”",""),".",""),":",""),",",""),"–"," "),"-"," "),"/"," "),"&amp;"," AND "))&amp;" "," THE "," ")," TOTAL "," ")," OPERATIONS "," "))</f>
        <v>KANTO REGION</v>
      </c>
      <c r="O820" s="17" t="str">
        <f aca="false">IF(COUNTIFS($N$2:$N$2000,N820,$D$2:$D$2000,"&lt;&gt;"&amp;D820)&gt;0,"CONFLICT","")</f>
        <v/>
      </c>
      <c r="P820" s="7"/>
    </row>
    <row r="821" customFormat="false" ht="15" hidden="false" customHeight="false" outlineLevel="0" collapsed="false">
      <c r="A821" s="7" t="s">
        <v>1344</v>
      </c>
      <c r="B821" s="7" t="s">
        <v>1879</v>
      </c>
      <c r="C821" s="7"/>
      <c r="D821" s="6" t="s">
        <v>1344</v>
      </c>
      <c r="E821" s="6" t="s">
        <v>1880</v>
      </c>
      <c r="F821" s="7" t="str">
        <f aca="false">IF($D821="","",IFERROR(IF(INDEX(Hierarchy!$B$2:$B$1295,MATCH($D821,Hierarchy!$A$2:$A$1295,0))="","",INDEX(Hierarchy!$B$2:$B$1295,MATCH($D821,Hierarchy!$A$2:$A$1295,0))),"NODE NOT FOUND"))</f>
        <v>State/Province</v>
      </c>
      <c r="G821" s="7" t="str">
        <f aca="false">IF($D821="","",IFERROR(IF(INDEX(Hierarchy!$D$2:$D$1295,MATCH($D821,Hierarchy!$A$2:$A$1295,0))="","",INDEX(Hierarchy!$D$2:$D$1295,MATCH($D821,Hierarchy!$A$2:$A$1295,0))),"NODE NOT FOUND"))</f>
        <v>APAC</v>
      </c>
      <c r="H821" s="7" t="str">
        <f aca="false">IF($D821="","",IFERROR(IF(INDEX(Hierarchy!$E$2:$E$1295,MATCH($D821,Hierarchy!$A$2:$A$1295,0))="","",INDEX(Hierarchy!$E$2:$E$1295,MATCH($D821,Hierarchy!$A$2:$A$1295,0))),"NODE NOT FOUND"))</f>
        <v>South Asia</v>
      </c>
      <c r="I821" s="7" t="str">
        <f aca="false">IF($D821="","",IFERROR(IF(INDEX(Hierarchy!$F$2:$F$1295,MATCH($D821,Hierarchy!$A$2:$A$1295,0))="","",INDEX(Hierarchy!$F$2:$F$1295,MATCH($D821,Hierarchy!$A$2:$A$1295,0))),"NODE NOT FOUND"))</f>
        <v>India</v>
      </c>
      <c r="J821" s="7" t="str">
        <f aca="false">IF($D821="","",IFERROR(IF(INDEX(Hierarchy!$G$2:$G$1295,MATCH($D821,Hierarchy!$A$2:$A$1295,0))="","",INDEX(Hierarchy!$G$2:$G$1295,MATCH($D821,Hierarchy!$A$2:$A$1295,0))),"NODE NOT FOUND"))</f>
        <v>IND</v>
      </c>
      <c r="K821" s="7" t="str">
        <f aca="false">IF($D821="","",IFERROR(IF(INDEX(Hierarchy!$H$2:$H$1295,MATCH($D821,Hierarchy!$A$2:$A$1295,0))="","",INDEX(Hierarchy!$H$2:$H$1295,MATCH($D821,Hierarchy!$A$2:$A$1295,0))),"NODE NOT FOUND"))</f>
        <v>Karnataka</v>
      </c>
      <c r="L821" s="7" t="str">
        <f aca="false">IF($D821="","",IFERROR(IF(INDEX(Hierarchy!$I$2:$I$1295,MATCH($D821,Hierarchy!$A$2:$A$1295,0))="","",INDEX(Hierarchy!$I$2:$I$1295,MATCH($D821,Hierarchy!$A$2:$A$1295,0))),"NODE NOT FOUND"))</f>
        <v/>
      </c>
      <c r="M821" s="17" t="str">
        <f aca="false">IF(B821="Pre-seeded","Pre-seeded",IF(B821="Review 2026-09-16","Added from review",IF(C821="","New",IF(C821=D821,"","Changed"))))</f>
        <v>Pre-seeded</v>
      </c>
      <c r="N821" s="7" t="str">
        <f aca="false">TRIM(SUBSTITUTE(SUBSTITUTE(SUBSTITUTE(" "&amp;TRIM(SUBSTITUTE(SUBSTITUTE(SUBSTITUTE(SUBSTITUTE(SUBSTITUTE(SUBSTITUTE(SUBSTITUTE(SUBSTITUTE(SUBSTITUTE(SUBSTITUTE(SUBSTITUTE(SUBSTITUTE(SUBSTITUTE(SUBSTITUTE(SUBSTITUTE(UPPER(TRIM(A821)),"[MEMBER]",""),"{MEMBER}",""),"[MEMBER}",""),"MEMBER]",""),"(A)",""),"""",""),"“",""),"”",""),".",""),":",""),",",""),"–"," "),"-"," "),"/"," "),"&amp;"," AND "))&amp;" "," THE "," ")," TOTAL "," ")," OPERATIONS "," "))</f>
        <v>KARNATAKA</v>
      </c>
      <c r="O821" s="17" t="str">
        <f aca="false">IF(COUNTIFS($N$2:$N$2000,N821,$D$2:$D$2000,"&lt;&gt;"&amp;D821)&gt;0,"CONFLICT","")</f>
        <v/>
      </c>
      <c r="P821" s="7"/>
    </row>
    <row r="822" customFormat="false" ht="15" hidden="false" customHeight="false" outlineLevel="0" collapsed="false">
      <c r="A822" s="7" t="s">
        <v>1153</v>
      </c>
      <c r="B822" s="7" t="s">
        <v>1879</v>
      </c>
      <c r="C822" s="7"/>
      <c r="D822" s="6" t="s">
        <v>1153</v>
      </c>
      <c r="E822" s="6" t="s">
        <v>1880</v>
      </c>
      <c r="F822" s="7" t="str">
        <f aca="false">IF($D822="","",IFERROR(IF(INDEX(Hierarchy!$B$2:$B$1295,MATCH($D822,Hierarchy!$A$2:$A$1295,0))="","",INDEX(Hierarchy!$B$2:$B$1295,MATCH($D822,Hierarchy!$A$2:$A$1295,0))),"NODE NOT FOUND"))</f>
        <v>State/Province</v>
      </c>
      <c r="G822" s="7" t="str">
        <f aca="false">IF($D822="","",IFERROR(IF(INDEX(Hierarchy!$D$2:$D$1295,MATCH($D822,Hierarchy!$A$2:$A$1295,0))="","",INDEX(Hierarchy!$D$2:$D$1295,MATCH($D822,Hierarchy!$A$2:$A$1295,0))),"NODE NOT FOUND"))</f>
        <v>EMEA</v>
      </c>
      <c r="H822" s="7" t="str">
        <f aca="false">IF($D822="","",IFERROR(IF(INDEX(Hierarchy!$E$2:$E$1295,MATCH($D822,Hierarchy!$A$2:$A$1295,0))="","",INDEX(Hierarchy!$E$2:$E$1295,MATCH($D822,Hierarchy!$A$2:$A$1295,0))),"NODE NOT FOUND"))</f>
        <v>Africa</v>
      </c>
      <c r="I822" s="7" t="str">
        <f aca="false">IF($D822="","",IFERROR(IF(INDEX(Hierarchy!$F$2:$F$1295,MATCH($D822,Hierarchy!$A$2:$A$1295,0))="","",INDEX(Hierarchy!$F$2:$F$1295,MATCH($D822,Hierarchy!$A$2:$A$1295,0))),"NODE NOT FOUND"))</f>
        <v>Nigeria</v>
      </c>
      <c r="J822" s="7" t="str">
        <f aca="false">IF($D822="","",IFERROR(IF(INDEX(Hierarchy!$G$2:$G$1295,MATCH($D822,Hierarchy!$A$2:$A$1295,0))="","",INDEX(Hierarchy!$G$2:$G$1295,MATCH($D822,Hierarchy!$A$2:$A$1295,0))),"NODE NOT FOUND"))</f>
        <v>NGA</v>
      </c>
      <c r="K822" s="7" t="str">
        <f aca="false">IF($D822="","",IFERROR(IF(INDEX(Hierarchy!$H$2:$H$1295,MATCH($D822,Hierarchy!$A$2:$A$1295,0))="","",INDEX(Hierarchy!$H$2:$H$1295,MATCH($D822,Hierarchy!$A$2:$A$1295,0))),"NODE NOT FOUND"))</f>
        <v>Katsina</v>
      </c>
      <c r="L822" s="7" t="str">
        <f aca="false">IF($D822="","",IFERROR(IF(INDEX(Hierarchy!$I$2:$I$1295,MATCH($D822,Hierarchy!$A$2:$A$1295,0))="","",INDEX(Hierarchy!$I$2:$I$1295,MATCH($D822,Hierarchy!$A$2:$A$1295,0))),"NODE NOT FOUND"))</f>
        <v/>
      </c>
      <c r="M822" s="17" t="str">
        <f aca="false">IF(B822="Pre-seeded","Pre-seeded",IF(B822="Review 2026-09-16","Added from review",IF(C822="","New",IF(C822=D822,"","Changed"))))</f>
        <v>Pre-seeded</v>
      </c>
      <c r="N822" s="7" t="str">
        <f aca="false">TRIM(SUBSTITUTE(SUBSTITUTE(SUBSTITUTE(" "&amp;TRIM(SUBSTITUTE(SUBSTITUTE(SUBSTITUTE(SUBSTITUTE(SUBSTITUTE(SUBSTITUTE(SUBSTITUTE(SUBSTITUTE(SUBSTITUTE(SUBSTITUTE(SUBSTITUTE(SUBSTITUTE(SUBSTITUTE(SUBSTITUTE(SUBSTITUTE(UPPER(TRIM(A822)),"[MEMBER]",""),"{MEMBER}",""),"[MEMBER}",""),"MEMBER]",""),"(A)",""),"""",""),"“",""),"”",""),".",""),":",""),",",""),"–"," "),"-"," "),"/"," "),"&amp;"," AND "))&amp;" "," THE "," ")," TOTAL "," ")," OPERATIONS "," "))</f>
        <v>KATSINA</v>
      </c>
      <c r="O822" s="17" t="str">
        <f aca="false">IF(COUNTIFS($N$2:$N$2000,N822,$D$2:$D$2000,"&lt;&gt;"&amp;D822)&gt;0,"CONFLICT","")</f>
        <v/>
      </c>
      <c r="P822" s="7"/>
    </row>
    <row r="823" customFormat="false" ht="15" hidden="false" customHeight="false" outlineLevel="0" collapsed="false">
      <c r="A823" s="7" t="s">
        <v>856</v>
      </c>
      <c r="B823" s="7" t="s">
        <v>1882</v>
      </c>
      <c r="C823" s="7" t="s">
        <v>856</v>
      </c>
      <c r="D823" s="6" t="s">
        <v>856</v>
      </c>
      <c r="E823" s="6" t="s">
        <v>1880</v>
      </c>
      <c r="F823" s="7" t="str">
        <f aca="false">IF($D823="","",IFERROR(IF(INDEX(Hierarchy!$B$2:$B$1295,MATCH($D823,Hierarchy!$A$2:$A$1295,0))="","",INDEX(Hierarchy!$B$2:$B$1295,MATCH($D823,Hierarchy!$A$2:$A$1295,0))),"NODE NOT FOUND"))</f>
        <v>Country</v>
      </c>
      <c r="G823" s="7" t="str">
        <f aca="false">IF($D823="","",IFERROR(IF(INDEX(Hierarchy!$D$2:$D$1295,MATCH($D823,Hierarchy!$A$2:$A$1295,0))="","",INDEX(Hierarchy!$D$2:$D$1295,MATCH($D823,Hierarchy!$A$2:$A$1295,0))),"NODE NOT FOUND"))</f>
        <v>EMEA</v>
      </c>
      <c r="H823" s="7" t="str">
        <f aca="false">IF($D823="","",IFERROR(IF(INDEX(Hierarchy!$E$2:$E$1295,MATCH($D823,Hierarchy!$A$2:$A$1295,0))="","",INDEX(Hierarchy!$E$2:$E$1295,MATCH($D823,Hierarchy!$A$2:$A$1295,0))),"NODE NOT FOUND"))</f>
        <v>Europe</v>
      </c>
      <c r="I823" s="7" t="str">
        <f aca="false">IF($D823="","",IFERROR(IF(INDEX(Hierarchy!$F$2:$F$1295,MATCH($D823,Hierarchy!$A$2:$A$1295,0))="","",INDEX(Hierarchy!$F$2:$F$1295,MATCH($D823,Hierarchy!$A$2:$A$1295,0))),"NODE NOT FOUND"))</f>
        <v>Kazakhstan</v>
      </c>
      <c r="J823" s="7" t="str">
        <f aca="false">IF($D823="","",IFERROR(IF(INDEX(Hierarchy!$G$2:$G$1295,MATCH($D823,Hierarchy!$A$2:$A$1295,0))="","",INDEX(Hierarchy!$G$2:$G$1295,MATCH($D823,Hierarchy!$A$2:$A$1295,0))),"NODE NOT FOUND"))</f>
        <v>KAZ</v>
      </c>
      <c r="K823" s="7" t="str">
        <f aca="false">IF($D823="","",IFERROR(IF(INDEX(Hierarchy!$H$2:$H$1295,MATCH($D823,Hierarchy!$A$2:$A$1295,0))="","",INDEX(Hierarchy!$H$2:$H$1295,MATCH($D823,Hierarchy!$A$2:$A$1295,0))),"NODE NOT FOUND"))</f>
        <v/>
      </c>
      <c r="L823" s="7" t="str">
        <f aca="false">IF($D823="","",IFERROR(IF(INDEX(Hierarchy!$I$2:$I$1295,MATCH($D823,Hierarchy!$A$2:$A$1295,0))="","",INDEX(Hierarchy!$I$2:$I$1295,MATCH($D823,Hierarchy!$A$2:$A$1295,0))),"NODE NOT FOUND"))</f>
        <v/>
      </c>
      <c r="M823" s="17" t="str">
        <f aca="false">IF(B823="Pre-seeded","Pre-seeded",IF(B823="Review 2026-09-16","Added from review",IF(C823="","New",IF(C823=D823,"","Changed"))))</f>
        <v/>
      </c>
      <c r="N823" s="7" t="str">
        <f aca="false">TRIM(SUBSTITUTE(SUBSTITUTE(SUBSTITUTE(" "&amp;TRIM(SUBSTITUTE(SUBSTITUTE(SUBSTITUTE(SUBSTITUTE(SUBSTITUTE(SUBSTITUTE(SUBSTITUTE(SUBSTITUTE(SUBSTITUTE(SUBSTITUTE(SUBSTITUTE(SUBSTITUTE(SUBSTITUTE(SUBSTITUTE(SUBSTITUTE(UPPER(TRIM(A823)),"[MEMBER]",""),"{MEMBER}",""),"[MEMBER}",""),"MEMBER]",""),"(A)",""),"""",""),"“",""),"”",""),".",""),":",""),",",""),"–"," "),"-"," "),"/"," "),"&amp;"," AND "))&amp;" "," THE "," ")," TOTAL "," ")," OPERATIONS "," "))</f>
        <v>KAZAKHSTAN</v>
      </c>
      <c r="O823" s="17" t="str">
        <f aca="false">IF(COUNTIFS($N$2:$N$2000,N823,$D$2:$D$2000,"&lt;&gt;"&amp;D823)&gt;0,"CONFLICT","")</f>
        <v/>
      </c>
      <c r="P823" s="7"/>
    </row>
    <row r="824" customFormat="false" ht="15" hidden="false" customHeight="false" outlineLevel="0" collapsed="false">
      <c r="A824" s="7" t="s">
        <v>1154</v>
      </c>
      <c r="B824" s="7" t="s">
        <v>1879</v>
      </c>
      <c r="C824" s="7"/>
      <c r="D824" s="6" t="s">
        <v>1154</v>
      </c>
      <c r="E824" s="6" t="s">
        <v>1880</v>
      </c>
      <c r="F824" s="7" t="str">
        <f aca="false">IF($D824="","",IFERROR(IF(INDEX(Hierarchy!$B$2:$B$1295,MATCH($D824,Hierarchy!$A$2:$A$1295,0))="","",INDEX(Hierarchy!$B$2:$B$1295,MATCH($D824,Hierarchy!$A$2:$A$1295,0))),"NODE NOT FOUND"))</f>
        <v>State/Province</v>
      </c>
      <c r="G824" s="7" t="str">
        <f aca="false">IF($D824="","",IFERROR(IF(INDEX(Hierarchy!$D$2:$D$1295,MATCH($D824,Hierarchy!$A$2:$A$1295,0))="","",INDEX(Hierarchy!$D$2:$D$1295,MATCH($D824,Hierarchy!$A$2:$A$1295,0))),"NODE NOT FOUND"))</f>
        <v>EMEA</v>
      </c>
      <c r="H824" s="7" t="str">
        <f aca="false">IF($D824="","",IFERROR(IF(INDEX(Hierarchy!$E$2:$E$1295,MATCH($D824,Hierarchy!$A$2:$A$1295,0))="","",INDEX(Hierarchy!$E$2:$E$1295,MATCH($D824,Hierarchy!$A$2:$A$1295,0))),"NODE NOT FOUND"))</f>
        <v>Africa</v>
      </c>
      <c r="I824" s="7" t="str">
        <f aca="false">IF($D824="","",IFERROR(IF(INDEX(Hierarchy!$F$2:$F$1295,MATCH($D824,Hierarchy!$A$2:$A$1295,0))="","",INDEX(Hierarchy!$F$2:$F$1295,MATCH($D824,Hierarchy!$A$2:$A$1295,0))),"NODE NOT FOUND"))</f>
        <v>Nigeria</v>
      </c>
      <c r="J824" s="7" t="str">
        <f aca="false">IF($D824="","",IFERROR(IF(INDEX(Hierarchy!$G$2:$G$1295,MATCH($D824,Hierarchy!$A$2:$A$1295,0))="","",INDEX(Hierarchy!$G$2:$G$1295,MATCH($D824,Hierarchy!$A$2:$A$1295,0))),"NODE NOT FOUND"))</f>
        <v>NGA</v>
      </c>
      <c r="K824" s="7" t="str">
        <f aca="false">IF($D824="","",IFERROR(IF(INDEX(Hierarchy!$H$2:$H$1295,MATCH($D824,Hierarchy!$A$2:$A$1295,0))="","",INDEX(Hierarchy!$H$2:$H$1295,MATCH($D824,Hierarchy!$A$2:$A$1295,0))),"NODE NOT FOUND"))</f>
        <v>Kebbi</v>
      </c>
      <c r="L824" s="7" t="str">
        <f aca="false">IF($D824="","",IFERROR(IF(INDEX(Hierarchy!$I$2:$I$1295,MATCH($D824,Hierarchy!$A$2:$A$1295,0))="","",INDEX(Hierarchy!$I$2:$I$1295,MATCH($D824,Hierarchy!$A$2:$A$1295,0))),"NODE NOT FOUND"))</f>
        <v/>
      </c>
      <c r="M824" s="17" t="str">
        <f aca="false">IF(B824="Pre-seeded","Pre-seeded",IF(B824="Review 2026-09-16","Added from review",IF(C824="","New",IF(C824=D824,"","Changed"))))</f>
        <v>Pre-seeded</v>
      </c>
      <c r="N824" s="7" t="str">
        <f aca="false">TRIM(SUBSTITUTE(SUBSTITUTE(SUBSTITUTE(" "&amp;TRIM(SUBSTITUTE(SUBSTITUTE(SUBSTITUTE(SUBSTITUTE(SUBSTITUTE(SUBSTITUTE(SUBSTITUTE(SUBSTITUTE(SUBSTITUTE(SUBSTITUTE(SUBSTITUTE(SUBSTITUTE(SUBSTITUTE(SUBSTITUTE(SUBSTITUTE(UPPER(TRIM(A824)),"[MEMBER]",""),"{MEMBER}",""),"[MEMBER}",""),"MEMBER]",""),"(A)",""),"""",""),"“",""),"”",""),".",""),":",""),",",""),"–"," "),"-"," "),"/"," "),"&amp;"," AND "))&amp;" "," THE "," ")," TOTAL "," ")," OPERATIONS "," "))</f>
        <v>KEBBI</v>
      </c>
      <c r="O824" s="17" t="str">
        <f aca="false">IF(COUNTIFS($N$2:$N$2000,N824,$D$2:$D$2000,"&lt;&gt;"&amp;D824)&gt;0,"CONFLICT","")</f>
        <v/>
      </c>
      <c r="P824" s="7"/>
    </row>
    <row r="825" customFormat="false" ht="15" hidden="false" customHeight="false" outlineLevel="0" collapsed="false">
      <c r="A825" s="7" t="s">
        <v>1635</v>
      </c>
      <c r="B825" s="7" t="s">
        <v>1879</v>
      </c>
      <c r="C825" s="7"/>
      <c r="D825" s="6" t="s">
        <v>1635</v>
      </c>
      <c r="E825" s="6" t="s">
        <v>1880</v>
      </c>
      <c r="F825" s="7" t="str">
        <f aca="false">IF($D825="","",IFERROR(IF(INDEX(Hierarchy!$B$2:$B$1295,MATCH($D825,Hierarchy!$A$2:$A$1295,0))="","",INDEX(Hierarchy!$B$2:$B$1295,MATCH($D825,Hierarchy!$A$2:$A$1295,0))),"NODE NOT FOUND"))</f>
        <v>State/Province</v>
      </c>
      <c r="G825" s="7" t="str">
        <f aca="false">IF($D825="","",IFERROR(IF(INDEX(Hierarchy!$D$2:$D$1295,MATCH($D825,Hierarchy!$A$2:$A$1295,0))="","",INDEX(Hierarchy!$D$2:$D$1295,MATCH($D825,Hierarchy!$A$2:$A$1295,0))),"NODE NOT FOUND"))</f>
        <v>APAC</v>
      </c>
      <c r="H825" s="7" t="str">
        <f aca="false">IF($D825="","",IFERROR(IF(INDEX(Hierarchy!$E$2:$E$1295,MATCH($D825,Hierarchy!$A$2:$A$1295,0))="","",INDEX(Hierarchy!$E$2:$E$1295,MATCH($D825,Hierarchy!$A$2:$A$1295,0))),"NODE NOT FOUND"))</f>
        <v>Southeast Asia (ASEAN)</v>
      </c>
      <c r="I825" s="7" t="str">
        <f aca="false">IF($D825="","",IFERROR(IF(INDEX(Hierarchy!$F$2:$F$1295,MATCH($D825,Hierarchy!$A$2:$A$1295,0))="","",INDEX(Hierarchy!$F$2:$F$1295,MATCH($D825,Hierarchy!$A$2:$A$1295,0))),"NODE NOT FOUND"))</f>
        <v>Malaysia</v>
      </c>
      <c r="J825" s="7" t="str">
        <f aca="false">IF($D825="","",IFERROR(IF(INDEX(Hierarchy!$G$2:$G$1295,MATCH($D825,Hierarchy!$A$2:$A$1295,0))="","",INDEX(Hierarchy!$G$2:$G$1295,MATCH($D825,Hierarchy!$A$2:$A$1295,0))),"NODE NOT FOUND"))</f>
        <v>MYS</v>
      </c>
      <c r="K825" s="7" t="str">
        <f aca="false">IF($D825="","",IFERROR(IF(INDEX(Hierarchy!$H$2:$H$1295,MATCH($D825,Hierarchy!$A$2:$A$1295,0))="","",INDEX(Hierarchy!$H$2:$H$1295,MATCH($D825,Hierarchy!$A$2:$A$1295,0))),"NODE NOT FOUND"))</f>
        <v>Kedah</v>
      </c>
      <c r="L825" s="7" t="str">
        <f aca="false">IF($D825="","",IFERROR(IF(INDEX(Hierarchy!$I$2:$I$1295,MATCH($D825,Hierarchy!$A$2:$A$1295,0))="","",INDEX(Hierarchy!$I$2:$I$1295,MATCH($D825,Hierarchy!$A$2:$A$1295,0))),"NODE NOT FOUND"))</f>
        <v/>
      </c>
      <c r="M825" s="17" t="str">
        <f aca="false">IF(B825="Pre-seeded","Pre-seeded",IF(B825="Review 2026-09-16","Added from review",IF(C825="","New",IF(C825=D825,"","Changed"))))</f>
        <v>Pre-seeded</v>
      </c>
      <c r="N825" s="7" t="str">
        <f aca="false">TRIM(SUBSTITUTE(SUBSTITUTE(SUBSTITUTE(" "&amp;TRIM(SUBSTITUTE(SUBSTITUTE(SUBSTITUTE(SUBSTITUTE(SUBSTITUTE(SUBSTITUTE(SUBSTITUTE(SUBSTITUTE(SUBSTITUTE(SUBSTITUTE(SUBSTITUTE(SUBSTITUTE(SUBSTITUTE(SUBSTITUTE(SUBSTITUTE(UPPER(TRIM(A825)),"[MEMBER]",""),"{MEMBER}",""),"[MEMBER}",""),"MEMBER]",""),"(A)",""),"""",""),"“",""),"”",""),".",""),":",""),",",""),"–"," "),"-"," "),"/"," "),"&amp;"," AND "))&amp;" "," THE "," ")," TOTAL "," ")," OPERATIONS "," "))</f>
        <v>KEDAH</v>
      </c>
      <c r="O825" s="17" t="str">
        <f aca="false">IF(COUNTIFS($N$2:$N$2000,N825,$D$2:$D$2000,"&lt;&gt;"&amp;D825)&gt;0,"CONFLICT","")</f>
        <v/>
      </c>
      <c r="P825" s="7"/>
    </row>
    <row r="826" customFormat="false" ht="15" hidden="false" customHeight="false" outlineLevel="0" collapsed="false">
      <c r="A826" s="7" t="s">
        <v>1636</v>
      </c>
      <c r="B826" s="7" t="s">
        <v>1879</v>
      </c>
      <c r="C826" s="7"/>
      <c r="D826" s="6" t="s">
        <v>1636</v>
      </c>
      <c r="E826" s="6" t="s">
        <v>1880</v>
      </c>
      <c r="F826" s="7" t="str">
        <f aca="false">IF($D826="","",IFERROR(IF(INDEX(Hierarchy!$B$2:$B$1295,MATCH($D826,Hierarchy!$A$2:$A$1295,0))="","",INDEX(Hierarchy!$B$2:$B$1295,MATCH($D826,Hierarchy!$A$2:$A$1295,0))),"NODE NOT FOUND"))</f>
        <v>State/Province</v>
      </c>
      <c r="G826" s="7" t="str">
        <f aca="false">IF($D826="","",IFERROR(IF(INDEX(Hierarchy!$D$2:$D$1295,MATCH($D826,Hierarchy!$A$2:$A$1295,0))="","",INDEX(Hierarchy!$D$2:$D$1295,MATCH($D826,Hierarchy!$A$2:$A$1295,0))),"NODE NOT FOUND"))</f>
        <v>APAC</v>
      </c>
      <c r="H826" s="7" t="str">
        <f aca="false">IF($D826="","",IFERROR(IF(INDEX(Hierarchy!$E$2:$E$1295,MATCH($D826,Hierarchy!$A$2:$A$1295,0))="","",INDEX(Hierarchy!$E$2:$E$1295,MATCH($D826,Hierarchy!$A$2:$A$1295,0))),"NODE NOT FOUND"))</f>
        <v>Southeast Asia (ASEAN)</v>
      </c>
      <c r="I826" s="7" t="str">
        <f aca="false">IF($D826="","",IFERROR(IF(INDEX(Hierarchy!$F$2:$F$1295,MATCH($D826,Hierarchy!$A$2:$A$1295,0))="","",INDEX(Hierarchy!$F$2:$F$1295,MATCH($D826,Hierarchy!$A$2:$A$1295,0))),"NODE NOT FOUND"))</f>
        <v>Malaysia</v>
      </c>
      <c r="J826" s="7" t="str">
        <f aca="false">IF($D826="","",IFERROR(IF(INDEX(Hierarchy!$G$2:$G$1295,MATCH($D826,Hierarchy!$A$2:$A$1295,0))="","",INDEX(Hierarchy!$G$2:$G$1295,MATCH($D826,Hierarchy!$A$2:$A$1295,0))),"NODE NOT FOUND"))</f>
        <v>MYS</v>
      </c>
      <c r="K826" s="7" t="str">
        <f aca="false">IF($D826="","",IFERROR(IF(INDEX(Hierarchy!$H$2:$H$1295,MATCH($D826,Hierarchy!$A$2:$A$1295,0))="","",INDEX(Hierarchy!$H$2:$H$1295,MATCH($D826,Hierarchy!$A$2:$A$1295,0))),"NODE NOT FOUND"))</f>
        <v>Kelantan</v>
      </c>
      <c r="L826" s="7" t="str">
        <f aca="false">IF($D826="","",IFERROR(IF(INDEX(Hierarchy!$I$2:$I$1295,MATCH($D826,Hierarchy!$A$2:$A$1295,0))="","",INDEX(Hierarchy!$I$2:$I$1295,MATCH($D826,Hierarchy!$A$2:$A$1295,0))),"NODE NOT FOUND"))</f>
        <v/>
      </c>
      <c r="M826" s="17" t="str">
        <f aca="false">IF(B826="Pre-seeded","Pre-seeded",IF(B826="Review 2026-09-16","Added from review",IF(C826="","New",IF(C826=D826,"","Changed"))))</f>
        <v>Pre-seeded</v>
      </c>
      <c r="N826" s="7" t="str">
        <f aca="false">TRIM(SUBSTITUTE(SUBSTITUTE(SUBSTITUTE(" "&amp;TRIM(SUBSTITUTE(SUBSTITUTE(SUBSTITUTE(SUBSTITUTE(SUBSTITUTE(SUBSTITUTE(SUBSTITUTE(SUBSTITUTE(SUBSTITUTE(SUBSTITUTE(SUBSTITUTE(SUBSTITUTE(SUBSTITUTE(SUBSTITUTE(SUBSTITUTE(UPPER(TRIM(A826)),"[MEMBER]",""),"{MEMBER}",""),"[MEMBER}",""),"MEMBER]",""),"(A)",""),"""",""),"“",""),"”",""),".",""),":",""),",",""),"–"," "),"-"," "),"/"," "),"&amp;"," AND "))&amp;" "," THE "," ")," TOTAL "," ")," OPERATIONS "," "))</f>
        <v>KELANTAN</v>
      </c>
      <c r="O826" s="17" t="str">
        <f aca="false">IF(COUNTIFS($N$2:$N$2000,N826,$D$2:$D$2000,"&lt;&gt;"&amp;D826)&gt;0,"CONFLICT","")</f>
        <v/>
      </c>
      <c r="P826" s="7"/>
    </row>
    <row r="827" customFormat="false" ht="15" hidden="false" customHeight="false" outlineLevel="0" collapsed="false">
      <c r="A827" s="7" t="s">
        <v>186</v>
      </c>
      <c r="B827" s="7" t="s">
        <v>1882</v>
      </c>
      <c r="C827" s="7" t="s">
        <v>186</v>
      </c>
      <c r="D827" s="6" t="s">
        <v>186</v>
      </c>
      <c r="E827" s="6" t="s">
        <v>1880</v>
      </c>
      <c r="F827" s="7" t="str">
        <f aca="false">IF($D827="","",IFERROR(IF(INDEX(Hierarchy!$B$2:$B$1295,MATCH($D827,Hierarchy!$A$2:$A$1295,0))="","",INDEX(Hierarchy!$B$2:$B$1295,MATCH($D827,Hierarchy!$A$2:$A$1295,0))),"NODE NOT FOUND"))</f>
        <v>State/Province</v>
      </c>
      <c r="G827" s="7" t="str">
        <f aca="false">IF($D827="","",IFERROR(IF(INDEX(Hierarchy!$D$2:$D$1295,MATCH($D827,Hierarchy!$A$2:$A$1295,0))="","",INDEX(Hierarchy!$D$2:$D$1295,MATCH($D827,Hierarchy!$A$2:$A$1295,0))),"NODE NOT FOUND"))</f>
        <v>AMER</v>
      </c>
      <c r="H827" s="7" t="str">
        <f aca="false">IF($D827="","",IFERROR(IF(INDEX(Hierarchy!$E$2:$E$1295,MATCH($D827,Hierarchy!$A$2:$A$1295,0))="","",INDEX(Hierarchy!$E$2:$E$1295,MATCH($D827,Hierarchy!$A$2:$A$1295,0))),"NODE NOT FOUND"))</f>
        <v>North America (NORAM)</v>
      </c>
      <c r="I827" s="7" t="str">
        <f aca="false">IF($D827="","",IFERROR(IF(INDEX(Hierarchy!$F$2:$F$1295,MATCH($D827,Hierarchy!$A$2:$A$1295,0))="","",INDEX(Hierarchy!$F$2:$F$1295,MATCH($D827,Hierarchy!$A$2:$A$1295,0))),"NODE NOT FOUND"))</f>
        <v>United States</v>
      </c>
      <c r="J827" s="7" t="str">
        <f aca="false">IF($D827="","",IFERROR(IF(INDEX(Hierarchy!$G$2:$G$1295,MATCH($D827,Hierarchy!$A$2:$A$1295,0))="","",INDEX(Hierarchy!$G$2:$G$1295,MATCH($D827,Hierarchy!$A$2:$A$1295,0))),"NODE NOT FOUND"))</f>
        <v>USA</v>
      </c>
      <c r="K827" s="7" t="str">
        <f aca="false">IF($D827="","",IFERROR(IF(INDEX(Hierarchy!$H$2:$H$1295,MATCH($D827,Hierarchy!$A$2:$A$1295,0))="","",INDEX(Hierarchy!$H$2:$H$1295,MATCH($D827,Hierarchy!$A$2:$A$1295,0))),"NODE NOT FOUND"))</f>
        <v>Kentucky</v>
      </c>
      <c r="L827" s="7" t="str">
        <f aca="false">IF($D827="","",IFERROR(IF(INDEX(Hierarchy!$I$2:$I$1295,MATCH($D827,Hierarchy!$A$2:$A$1295,0))="","",INDEX(Hierarchy!$I$2:$I$1295,MATCH($D827,Hierarchy!$A$2:$A$1295,0))),"NODE NOT FOUND"))</f>
        <v/>
      </c>
      <c r="M827" s="17" t="str">
        <f aca="false">IF(B827="Pre-seeded","Pre-seeded",IF(B827="Review 2026-09-16","Added from review",IF(C827="","New",IF(C827=D827,"","Changed"))))</f>
        <v/>
      </c>
      <c r="N827" s="7" t="str">
        <f aca="false">TRIM(SUBSTITUTE(SUBSTITUTE(SUBSTITUTE(" "&amp;TRIM(SUBSTITUTE(SUBSTITUTE(SUBSTITUTE(SUBSTITUTE(SUBSTITUTE(SUBSTITUTE(SUBSTITUTE(SUBSTITUTE(SUBSTITUTE(SUBSTITUTE(SUBSTITUTE(SUBSTITUTE(SUBSTITUTE(SUBSTITUTE(SUBSTITUTE(UPPER(TRIM(A827)),"[MEMBER]",""),"{MEMBER}",""),"[MEMBER}",""),"MEMBER]",""),"(A)",""),"""",""),"“",""),"”",""),".",""),":",""),",",""),"–"," "),"-"," "),"/"," "),"&amp;"," AND "))&amp;" "," THE "," ")," TOTAL "," ")," OPERATIONS "," "))</f>
        <v>KENTUCKY</v>
      </c>
      <c r="O827" s="17" t="str">
        <f aca="false">IF(COUNTIFS($N$2:$N$2000,N827,$D$2:$D$2000,"&lt;&gt;"&amp;D827)&gt;0,"CONFLICT","")</f>
        <v/>
      </c>
      <c r="P827" s="7"/>
    </row>
    <row r="828" customFormat="false" ht="15" hidden="false" customHeight="false" outlineLevel="0" collapsed="false">
      <c r="A828" s="7" t="s">
        <v>2303</v>
      </c>
      <c r="B828" s="7" t="s">
        <v>1882</v>
      </c>
      <c r="C828" s="7" t="s">
        <v>186</v>
      </c>
      <c r="D828" s="6" t="s">
        <v>186</v>
      </c>
      <c r="E828" s="6" t="s">
        <v>1880</v>
      </c>
      <c r="F828" s="7" t="str">
        <f aca="false">IF($D828="","",IFERROR(IF(INDEX(Hierarchy!$B$2:$B$1295,MATCH($D828,Hierarchy!$A$2:$A$1295,0))="","",INDEX(Hierarchy!$B$2:$B$1295,MATCH($D828,Hierarchy!$A$2:$A$1295,0))),"NODE NOT FOUND"))</f>
        <v>State/Province</v>
      </c>
      <c r="G828" s="7" t="str">
        <f aca="false">IF($D828="","",IFERROR(IF(INDEX(Hierarchy!$D$2:$D$1295,MATCH($D828,Hierarchy!$A$2:$A$1295,0))="","",INDEX(Hierarchy!$D$2:$D$1295,MATCH($D828,Hierarchy!$A$2:$A$1295,0))),"NODE NOT FOUND"))</f>
        <v>AMER</v>
      </c>
      <c r="H828" s="7" t="str">
        <f aca="false">IF($D828="","",IFERROR(IF(INDEX(Hierarchy!$E$2:$E$1295,MATCH($D828,Hierarchy!$A$2:$A$1295,0))="","",INDEX(Hierarchy!$E$2:$E$1295,MATCH($D828,Hierarchy!$A$2:$A$1295,0))),"NODE NOT FOUND"))</f>
        <v>North America (NORAM)</v>
      </c>
      <c r="I828" s="7" t="str">
        <f aca="false">IF($D828="","",IFERROR(IF(INDEX(Hierarchy!$F$2:$F$1295,MATCH($D828,Hierarchy!$A$2:$A$1295,0))="","",INDEX(Hierarchy!$F$2:$F$1295,MATCH($D828,Hierarchy!$A$2:$A$1295,0))),"NODE NOT FOUND"))</f>
        <v>United States</v>
      </c>
      <c r="J828" s="7" t="str">
        <f aca="false">IF($D828="","",IFERROR(IF(INDEX(Hierarchy!$G$2:$G$1295,MATCH($D828,Hierarchy!$A$2:$A$1295,0))="","",INDEX(Hierarchy!$G$2:$G$1295,MATCH($D828,Hierarchy!$A$2:$A$1295,0))),"NODE NOT FOUND"))</f>
        <v>USA</v>
      </c>
      <c r="K828" s="7" t="str">
        <f aca="false">IF($D828="","",IFERROR(IF(INDEX(Hierarchy!$H$2:$H$1295,MATCH($D828,Hierarchy!$A$2:$A$1295,0))="","",INDEX(Hierarchy!$H$2:$H$1295,MATCH($D828,Hierarchy!$A$2:$A$1295,0))),"NODE NOT FOUND"))</f>
        <v>Kentucky</v>
      </c>
      <c r="L828" s="7" t="str">
        <f aca="false">IF($D828="","",IFERROR(IF(INDEX(Hierarchy!$I$2:$I$1295,MATCH($D828,Hierarchy!$A$2:$A$1295,0))="","",INDEX(Hierarchy!$I$2:$I$1295,MATCH($D828,Hierarchy!$A$2:$A$1295,0))),"NODE NOT FOUND"))</f>
        <v/>
      </c>
      <c r="M828" s="17" t="str">
        <f aca="false">IF(B828="Pre-seeded","Pre-seeded",IF(B828="Review 2026-09-16","Added from review",IF(C828="","New",IF(C828=D828,"","Changed"))))</f>
        <v/>
      </c>
      <c r="N828" s="7" t="str">
        <f aca="false">TRIM(SUBSTITUTE(SUBSTITUTE(SUBSTITUTE(" "&amp;TRIM(SUBSTITUTE(SUBSTITUTE(SUBSTITUTE(SUBSTITUTE(SUBSTITUTE(SUBSTITUTE(SUBSTITUTE(SUBSTITUTE(SUBSTITUTE(SUBSTITUTE(SUBSTITUTE(SUBSTITUTE(SUBSTITUTE(SUBSTITUTE(SUBSTITUTE(UPPER(TRIM(A828)),"[MEMBER]",""),"{MEMBER}",""),"[MEMBER}",""),"MEMBER]",""),"(A)",""),"""",""),"“",""),"”",""),".",""),":",""),",",""),"–"," "),"-"," "),"/"," "),"&amp;"," AND "))&amp;" "," THE "," ")," TOTAL "," ")," OPERATIONS "," "))</f>
        <v>KENTUCKY</v>
      </c>
      <c r="O828" s="17" t="str">
        <f aca="false">IF(COUNTIFS($N$2:$N$2000,N828,$D$2:$D$2000,"&lt;&gt;"&amp;D828)&gt;0,"CONFLICT","")</f>
        <v/>
      </c>
      <c r="P828" s="7"/>
    </row>
    <row r="829" customFormat="false" ht="15" hidden="false" customHeight="false" outlineLevel="0" collapsed="false">
      <c r="A829" s="7" t="s">
        <v>1237</v>
      </c>
      <c r="B829" s="7" t="s">
        <v>1882</v>
      </c>
      <c r="C829" s="7" t="s">
        <v>1237</v>
      </c>
      <c r="D829" s="6" t="s">
        <v>1237</v>
      </c>
      <c r="E829" s="6" t="s">
        <v>1880</v>
      </c>
      <c r="F829" s="7" t="str">
        <f aca="false">IF($D829="","",IFERROR(IF(INDEX(Hierarchy!$B$2:$B$1295,MATCH($D829,Hierarchy!$A$2:$A$1295,0))="","",INDEX(Hierarchy!$B$2:$B$1295,MATCH($D829,Hierarchy!$A$2:$A$1295,0))),"NODE NOT FOUND"))</f>
        <v>Country</v>
      </c>
      <c r="G829" s="7" t="str">
        <f aca="false">IF($D829="","",IFERROR(IF(INDEX(Hierarchy!$D$2:$D$1295,MATCH($D829,Hierarchy!$A$2:$A$1295,0))="","",INDEX(Hierarchy!$D$2:$D$1295,MATCH($D829,Hierarchy!$A$2:$A$1295,0))),"NODE NOT FOUND"))</f>
        <v>EMEA</v>
      </c>
      <c r="H829" s="7" t="str">
        <f aca="false">IF($D829="","",IFERROR(IF(INDEX(Hierarchy!$E$2:$E$1295,MATCH($D829,Hierarchy!$A$2:$A$1295,0))="","",INDEX(Hierarchy!$E$2:$E$1295,MATCH($D829,Hierarchy!$A$2:$A$1295,0))),"NODE NOT FOUND"))</f>
        <v>Africa</v>
      </c>
      <c r="I829" s="7" t="str">
        <f aca="false">IF($D829="","",IFERROR(IF(INDEX(Hierarchy!$F$2:$F$1295,MATCH($D829,Hierarchy!$A$2:$A$1295,0))="","",INDEX(Hierarchy!$F$2:$F$1295,MATCH($D829,Hierarchy!$A$2:$A$1295,0))),"NODE NOT FOUND"))</f>
        <v>Kenya</v>
      </c>
      <c r="J829" s="7" t="str">
        <f aca="false">IF($D829="","",IFERROR(IF(INDEX(Hierarchy!$G$2:$G$1295,MATCH($D829,Hierarchy!$A$2:$A$1295,0))="","",INDEX(Hierarchy!$G$2:$G$1295,MATCH($D829,Hierarchy!$A$2:$A$1295,0))),"NODE NOT FOUND"))</f>
        <v>KEN</v>
      </c>
      <c r="K829" s="7" t="str">
        <f aca="false">IF($D829="","",IFERROR(IF(INDEX(Hierarchy!$H$2:$H$1295,MATCH($D829,Hierarchy!$A$2:$A$1295,0))="","",INDEX(Hierarchy!$H$2:$H$1295,MATCH($D829,Hierarchy!$A$2:$A$1295,0))),"NODE NOT FOUND"))</f>
        <v/>
      </c>
      <c r="L829" s="7" t="str">
        <f aca="false">IF($D829="","",IFERROR(IF(INDEX(Hierarchy!$I$2:$I$1295,MATCH($D829,Hierarchy!$A$2:$A$1295,0))="","",INDEX(Hierarchy!$I$2:$I$1295,MATCH($D829,Hierarchy!$A$2:$A$1295,0))),"NODE NOT FOUND"))</f>
        <v/>
      </c>
      <c r="M829" s="17" t="str">
        <f aca="false">IF(B829="Pre-seeded","Pre-seeded",IF(B829="Review 2026-09-16","Added from review",IF(C829="","New",IF(C829=D829,"","Changed"))))</f>
        <v/>
      </c>
      <c r="N829" s="7" t="str">
        <f aca="false">TRIM(SUBSTITUTE(SUBSTITUTE(SUBSTITUTE(" "&amp;TRIM(SUBSTITUTE(SUBSTITUTE(SUBSTITUTE(SUBSTITUTE(SUBSTITUTE(SUBSTITUTE(SUBSTITUTE(SUBSTITUTE(SUBSTITUTE(SUBSTITUTE(SUBSTITUTE(SUBSTITUTE(SUBSTITUTE(SUBSTITUTE(SUBSTITUTE(UPPER(TRIM(A829)),"[MEMBER]",""),"{MEMBER}",""),"[MEMBER}",""),"MEMBER]",""),"(A)",""),"""",""),"“",""),"”",""),".",""),":",""),",",""),"–"," "),"-"," "),"/"," "),"&amp;"," AND "))&amp;" "," THE "," ")," TOTAL "," ")," OPERATIONS "," "))</f>
        <v>KENYA</v>
      </c>
      <c r="O829" s="17" t="str">
        <f aca="false">IF(COUNTIFS($N$2:$N$2000,N829,$D$2:$D$2000,"&lt;&gt;"&amp;D829)&gt;0,"CONFLICT","")</f>
        <v/>
      </c>
      <c r="P829" s="7"/>
    </row>
    <row r="830" customFormat="false" ht="15" hidden="false" customHeight="false" outlineLevel="0" collapsed="false">
      <c r="A830" s="7" t="s">
        <v>1346</v>
      </c>
      <c r="B830" s="7" t="s">
        <v>1879</v>
      </c>
      <c r="C830" s="7"/>
      <c r="D830" s="6" t="s">
        <v>1346</v>
      </c>
      <c r="E830" s="6" t="s">
        <v>1880</v>
      </c>
      <c r="F830" s="7" t="str">
        <f aca="false">IF($D830="","",IFERROR(IF(INDEX(Hierarchy!$B$2:$B$1295,MATCH($D830,Hierarchy!$A$2:$A$1295,0))="","",INDEX(Hierarchy!$B$2:$B$1295,MATCH($D830,Hierarchy!$A$2:$A$1295,0))),"NODE NOT FOUND"))</f>
        <v>State/Province</v>
      </c>
      <c r="G830" s="7" t="str">
        <f aca="false">IF($D830="","",IFERROR(IF(INDEX(Hierarchy!$D$2:$D$1295,MATCH($D830,Hierarchy!$A$2:$A$1295,0))="","",INDEX(Hierarchy!$D$2:$D$1295,MATCH($D830,Hierarchy!$A$2:$A$1295,0))),"NODE NOT FOUND"))</f>
        <v>APAC</v>
      </c>
      <c r="H830" s="7" t="str">
        <f aca="false">IF($D830="","",IFERROR(IF(INDEX(Hierarchy!$E$2:$E$1295,MATCH($D830,Hierarchy!$A$2:$A$1295,0))="","",INDEX(Hierarchy!$E$2:$E$1295,MATCH($D830,Hierarchy!$A$2:$A$1295,0))),"NODE NOT FOUND"))</f>
        <v>South Asia</v>
      </c>
      <c r="I830" s="7" t="str">
        <f aca="false">IF($D830="","",IFERROR(IF(INDEX(Hierarchy!$F$2:$F$1295,MATCH($D830,Hierarchy!$A$2:$A$1295,0))="","",INDEX(Hierarchy!$F$2:$F$1295,MATCH($D830,Hierarchy!$A$2:$A$1295,0))),"NODE NOT FOUND"))</f>
        <v>India</v>
      </c>
      <c r="J830" s="7" t="str">
        <f aca="false">IF($D830="","",IFERROR(IF(INDEX(Hierarchy!$G$2:$G$1295,MATCH($D830,Hierarchy!$A$2:$A$1295,0))="","",INDEX(Hierarchy!$G$2:$G$1295,MATCH($D830,Hierarchy!$A$2:$A$1295,0))),"NODE NOT FOUND"))</f>
        <v>IND</v>
      </c>
      <c r="K830" s="7" t="str">
        <f aca="false">IF($D830="","",IFERROR(IF(INDEX(Hierarchy!$H$2:$H$1295,MATCH($D830,Hierarchy!$A$2:$A$1295,0))="","",INDEX(Hierarchy!$H$2:$H$1295,MATCH($D830,Hierarchy!$A$2:$A$1295,0))),"NODE NOT FOUND"))</f>
        <v>Kerala</v>
      </c>
      <c r="L830" s="7" t="str">
        <f aca="false">IF($D830="","",IFERROR(IF(INDEX(Hierarchy!$I$2:$I$1295,MATCH($D830,Hierarchy!$A$2:$A$1295,0))="","",INDEX(Hierarchy!$I$2:$I$1295,MATCH($D830,Hierarchy!$A$2:$A$1295,0))),"NODE NOT FOUND"))</f>
        <v/>
      </c>
      <c r="M830" s="17" t="str">
        <f aca="false">IF(B830="Pre-seeded","Pre-seeded",IF(B830="Review 2026-09-16","Added from review",IF(C830="","New",IF(C830=D830,"","Changed"))))</f>
        <v>Pre-seeded</v>
      </c>
      <c r="N830" s="7" t="str">
        <f aca="false">TRIM(SUBSTITUTE(SUBSTITUTE(SUBSTITUTE(" "&amp;TRIM(SUBSTITUTE(SUBSTITUTE(SUBSTITUTE(SUBSTITUTE(SUBSTITUTE(SUBSTITUTE(SUBSTITUTE(SUBSTITUTE(SUBSTITUTE(SUBSTITUTE(SUBSTITUTE(SUBSTITUTE(SUBSTITUTE(SUBSTITUTE(SUBSTITUTE(UPPER(TRIM(A830)),"[MEMBER]",""),"{MEMBER}",""),"[MEMBER}",""),"MEMBER]",""),"(A)",""),"""",""),"“",""),"”",""),".",""),":",""),",",""),"–"," "),"-"," "),"/"," "),"&amp;"," AND "))&amp;" "," THE "," ")," TOTAL "," ")," OPERATIONS "," "))</f>
        <v>KERALA</v>
      </c>
      <c r="O830" s="17" t="str">
        <f aca="false">IF(COUNTIFS($N$2:$N$2000,N830,$D$2:$D$2000,"&lt;&gt;"&amp;D830)&gt;0,"CONFLICT","")</f>
        <v/>
      </c>
      <c r="P830" s="7"/>
    </row>
    <row r="831" customFormat="false" ht="15" hidden="false" customHeight="false" outlineLevel="0" collapsed="false">
      <c r="A831" s="7" t="s">
        <v>1381</v>
      </c>
      <c r="B831" s="7" t="s">
        <v>1879</v>
      </c>
      <c r="C831" s="7"/>
      <c r="D831" s="6" t="s">
        <v>1381</v>
      </c>
      <c r="E831" s="6" t="s">
        <v>1880</v>
      </c>
      <c r="F831" s="7" t="str">
        <f aca="false">IF($D831="","",IFERROR(IF(INDEX(Hierarchy!$B$2:$B$1295,MATCH($D831,Hierarchy!$A$2:$A$1295,0))="","",INDEX(Hierarchy!$B$2:$B$1295,MATCH($D831,Hierarchy!$A$2:$A$1295,0))),"NODE NOT FOUND"))</f>
        <v>State/Province</v>
      </c>
      <c r="G831" s="7" t="str">
        <f aca="false">IF($D831="","",IFERROR(IF(INDEX(Hierarchy!$D$2:$D$1295,MATCH($D831,Hierarchy!$A$2:$A$1295,0))="","",INDEX(Hierarchy!$D$2:$D$1295,MATCH($D831,Hierarchy!$A$2:$A$1295,0))),"NODE NOT FOUND"))</f>
        <v>APAC</v>
      </c>
      <c r="H831" s="7" t="str">
        <f aca="false">IF($D831="","",IFERROR(IF(INDEX(Hierarchy!$E$2:$E$1295,MATCH($D831,Hierarchy!$A$2:$A$1295,0))="","",INDEX(Hierarchy!$E$2:$E$1295,MATCH($D831,Hierarchy!$A$2:$A$1295,0))),"NODE NOT FOUND"))</f>
        <v>South Asia</v>
      </c>
      <c r="I831" s="7" t="str">
        <f aca="false">IF($D831="","",IFERROR(IF(INDEX(Hierarchy!$F$2:$F$1295,MATCH($D831,Hierarchy!$A$2:$A$1295,0))="","",INDEX(Hierarchy!$F$2:$F$1295,MATCH($D831,Hierarchy!$A$2:$A$1295,0))),"NODE NOT FOUND"))</f>
        <v>Bangladesh</v>
      </c>
      <c r="J831" s="7" t="str">
        <f aca="false">IF($D831="","",IFERROR(IF(INDEX(Hierarchy!$G$2:$G$1295,MATCH($D831,Hierarchy!$A$2:$A$1295,0))="","",INDEX(Hierarchy!$G$2:$G$1295,MATCH($D831,Hierarchy!$A$2:$A$1295,0))),"NODE NOT FOUND"))</f>
        <v>BGD</v>
      </c>
      <c r="K831" s="7" t="str">
        <f aca="false">IF($D831="","",IFERROR(IF(INDEX(Hierarchy!$H$2:$H$1295,MATCH($D831,Hierarchy!$A$2:$A$1295,0))="","",INDEX(Hierarchy!$H$2:$H$1295,MATCH($D831,Hierarchy!$A$2:$A$1295,0))),"NODE NOT FOUND"))</f>
        <v>Khulna</v>
      </c>
      <c r="L831" s="7" t="str">
        <f aca="false">IF($D831="","",IFERROR(IF(INDEX(Hierarchy!$I$2:$I$1295,MATCH($D831,Hierarchy!$A$2:$A$1295,0))="","",INDEX(Hierarchy!$I$2:$I$1295,MATCH($D831,Hierarchy!$A$2:$A$1295,0))),"NODE NOT FOUND"))</f>
        <v/>
      </c>
      <c r="M831" s="17" t="str">
        <f aca="false">IF(B831="Pre-seeded","Pre-seeded",IF(B831="Review 2026-09-16","Added from review",IF(C831="","New",IF(C831=D831,"","Changed"))))</f>
        <v>Pre-seeded</v>
      </c>
      <c r="N831" s="7" t="str">
        <f aca="false">TRIM(SUBSTITUTE(SUBSTITUTE(SUBSTITUTE(" "&amp;TRIM(SUBSTITUTE(SUBSTITUTE(SUBSTITUTE(SUBSTITUTE(SUBSTITUTE(SUBSTITUTE(SUBSTITUTE(SUBSTITUTE(SUBSTITUTE(SUBSTITUTE(SUBSTITUTE(SUBSTITUTE(SUBSTITUTE(SUBSTITUTE(SUBSTITUTE(UPPER(TRIM(A831)),"[MEMBER]",""),"{MEMBER}",""),"[MEMBER}",""),"MEMBER]",""),"(A)",""),"""",""),"“",""),"”",""),".",""),":",""),",",""),"–"," "),"-"," "),"/"," "),"&amp;"," AND "))&amp;" "," THE "," ")," TOTAL "," ")," OPERATIONS "," "))</f>
        <v>KHULNA</v>
      </c>
      <c r="O831" s="17" t="str">
        <f aca="false">IF(COUNTIFS($N$2:$N$2000,N831,$D$2:$D$2000,"&lt;&gt;"&amp;D831)&gt;0,"CONFLICT","")</f>
        <v/>
      </c>
      <c r="P831" s="7"/>
    </row>
    <row r="832" customFormat="false" ht="15" hidden="false" customHeight="false" outlineLevel="0" collapsed="false">
      <c r="A832" s="7" t="s">
        <v>1402</v>
      </c>
      <c r="B832" s="7" t="s">
        <v>1879</v>
      </c>
      <c r="C832" s="7"/>
      <c r="D832" s="6" t="s">
        <v>1402</v>
      </c>
      <c r="E832" s="6" t="s">
        <v>1880</v>
      </c>
      <c r="F832" s="7" t="str">
        <f aca="false">IF($D832="","",IFERROR(IF(INDEX(Hierarchy!$B$2:$B$1295,MATCH($D832,Hierarchy!$A$2:$A$1295,0))="","",INDEX(Hierarchy!$B$2:$B$1295,MATCH($D832,Hierarchy!$A$2:$A$1295,0))),"NODE NOT FOUND"))</f>
        <v>State/Province</v>
      </c>
      <c r="G832" s="7" t="str">
        <f aca="false">IF($D832="","",IFERROR(IF(INDEX(Hierarchy!$D$2:$D$1295,MATCH($D832,Hierarchy!$A$2:$A$1295,0))="","",INDEX(Hierarchy!$D$2:$D$1295,MATCH($D832,Hierarchy!$A$2:$A$1295,0))),"NODE NOT FOUND"))</f>
        <v>APAC</v>
      </c>
      <c r="H832" s="7" t="str">
        <f aca="false">IF($D832="","",IFERROR(IF(INDEX(Hierarchy!$E$2:$E$1295,MATCH($D832,Hierarchy!$A$2:$A$1295,0))="","",INDEX(Hierarchy!$E$2:$E$1295,MATCH($D832,Hierarchy!$A$2:$A$1295,0))),"NODE NOT FOUND"))</f>
        <v>South Asia</v>
      </c>
      <c r="I832" s="7" t="str">
        <f aca="false">IF($D832="","",IFERROR(IF(INDEX(Hierarchy!$F$2:$F$1295,MATCH($D832,Hierarchy!$A$2:$A$1295,0))="","",INDEX(Hierarchy!$F$2:$F$1295,MATCH($D832,Hierarchy!$A$2:$A$1295,0))),"NODE NOT FOUND"))</f>
        <v>Pakistan</v>
      </c>
      <c r="J832" s="7" t="str">
        <f aca="false">IF($D832="","",IFERROR(IF(INDEX(Hierarchy!$G$2:$G$1295,MATCH($D832,Hierarchy!$A$2:$A$1295,0))="","",INDEX(Hierarchy!$G$2:$G$1295,MATCH($D832,Hierarchy!$A$2:$A$1295,0))),"NODE NOT FOUND"))</f>
        <v>PAK</v>
      </c>
      <c r="K832" s="7" t="str">
        <f aca="false">IF($D832="","",IFERROR(IF(INDEX(Hierarchy!$H$2:$H$1295,MATCH($D832,Hierarchy!$A$2:$A$1295,0))="","",INDEX(Hierarchy!$H$2:$H$1295,MATCH($D832,Hierarchy!$A$2:$A$1295,0))),"NODE NOT FOUND"))</f>
        <v>Khyber Pakhtunkhwa</v>
      </c>
      <c r="L832" s="7" t="str">
        <f aca="false">IF($D832="","",IFERROR(IF(INDEX(Hierarchy!$I$2:$I$1295,MATCH($D832,Hierarchy!$A$2:$A$1295,0))="","",INDEX(Hierarchy!$I$2:$I$1295,MATCH($D832,Hierarchy!$A$2:$A$1295,0))),"NODE NOT FOUND"))</f>
        <v/>
      </c>
      <c r="M832" s="17" t="str">
        <f aca="false">IF(B832="Pre-seeded","Pre-seeded",IF(B832="Review 2026-09-16","Added from review",IF(C832="","New",IF(C832=D832,"","Changed"))))</f>
        <v>Pre-seeded</v>
      </c>
      <c r="N832" s="7" t="str">
        <f aca="false">TRIM(SUBSTITUTE(SUBSTITUTE(SUBSTITUTE(" "&amp;TRIM(SUBSTITUTE(SUBSTITUTE(SUBSTITUTE(SUBSTITUTE(SUBSTITUTE(SUBSTITUTE(SUBSTITUTE(SUBSTITUTE(SUBSTITUTE(SUBSTITUTE(SUBSTITUTE(SUBSTITUTE(SUBSTITUTE(SUBSTITUTE(SUBSTITUTE(UPPER(TRIM(A832)),"[MEMBER]",""),"{MEMBER}",""),"[MEMBER}",""),"MEMBER]",""),"(A)",""),"""",""),"“",""),"”",""),".",""),":",""),",",""),"–"," "),"-"," "),"/"," "),"&amp;"," AND "))&amp;" "," THE "," ")," TOTAL "," ")," OPERATIONS "," "))</f>
        <v>KHYBER PAKHTUNKHWA</v>
      </c>
      <c r="O832" s="17" t="str">
        <f aca="false">IF(COUNTIFS($N$2:$N$2000,N832,$D$2:$D$2000,"&lt;&gt;"&amp;D832)&gt;0,"CONFLICT","")</f>
        <v/>
      </c>
      <c r="P832" s="7"/>
    </row>
    <row r="833" customFormat="false" ht="15" hidden="false" customHeight="false" outlineLevel="0" collapsed="false">
      <c r="A833" s="7" t="s">
        <v>2304</v>
      </c>
      <c r="B833" s="7" t="s">
        <v>1879</v>
      </c>
      <c r="C833" s="7"/>
      <c r="D833" s="6" t="s">
        <v>1023</v>
      </c>
      <c r="E833" s="6" t="s">
        <v>1880</v>
      </c>
      <c r="F833" s="7" t="str">
        <f aca="false">IF($D833="","",IFERROR(IF(INDEX(Hierarchy!$B$2:$B$1295,MATCH($D833,Hierarchy!$A$2:$A$1295,0))="","",INDEX(Hierarchy!$B$2:$B$1295,MATCH($D833,Hierarchy!$A$2:$A$1295,0))),"NODE NOT FOUND"))</f>
        <v>City</v>
      </c>
      <c r="G833" s="7" t="str">
        <f aca="false">IF($D833="","",IFERROR(IF(INDEX(Hierarchy!$D$2:$D$1295,MATCH($D833,Hierarchy!$A$2:$A$1295,0))="","",INDEX(Hierarchy!$D$2:$D$1295,MATCH($D833,Hierarchy!$A$2:$A$1295,0))),"NODE NOT FOUND"))</f>
        <v>EMEA</v>
      </c>
      <c r="H833" s="7" t="str">
        <f aca="false">IF($D833="","",IFERROR(IF(INDEX(Hierarchy!$E$2:$E$1295,MATCH($D833,Hierarchy!$A$2:$A$1295,0))="","",INDEX(Hierarchy!$E$2:$E$1295,MATCH($D833,Hierarchy!$A$2:$A$1295,0))),"NODE NOT FOUND"))</f>
        <v>Europe</v>
      </c>
      <c r="I833" s="7" t="str">
        <f aca="false">IF($D833="","",IFERROR(IF(INDEX(Hierarchy!$F$2:$F$1295,MATCH($D833,Hierarchy!$A$2:$A$1295,0))="","",INDEX(Hierarchy!$F$2:$F$1295,MATCH($D833,Hierarchy!$A$2:$A$1295,0))),"NODE NOT FOUND"))</f>
        <v>Ukraine</v>
      </c>
      <c r="J833" s="7" t="str">
        <f aca="false">IF($D833="","",IFERROR(IF(INDEX(Hierarchy!$G$2:$G$1295,MATCH($D833,Hierarchy!$A$2:$A$1295,0))="","",INDEX(Hierarchy!$G$2:$G$1295,MATCH($D833,Hierarchy!$A$2:$A$1295,0))),"NODE NOT FOUND"))</f>
        <v>UKR</v>
      </c>
      <c r="K833" s="7" t="str">
        <f aca="false">IF($D833="","",IFERROR(IF(INDEX(Hierarchy!$H$2:$H$1295,MATCH($D833,Hierarchy!$A$2:$A$1295,0))="","",INDEX(Hierarchy!$H$2:$H$1295,MATCH($D833,Hierarchy!$A$2:$A$1295,0))),"NODE NOT FOUND"))</f>
        <v/>
      </c>
      <c r="L833" s="7" t="str">
        <f aca="false">IF($D833="","",IFERROR(IF(INDEX(Hierarchy!$I$2:$I$1295,MATCH($D833,Hierarchy!$A$2:$A$1295,0))="","",INDEX(Hierarchy!$I$2:$I$1295,MATCH($D833,Hierarchy!$A$2:$A$1295,0))),"NODE NOT FOUND"))</f>
        <v>Kyiv</v>
      </c>
      <c r="M833" s="17" t="str">
        <f aca="false">IF(B833="Pre-seeded","Pre-seeded",IF(B833="Review 2026-09-16","Added from review",IF(C833="","New",IF(C833=D833,"","Changed"))))</f>
        <v>Pre-seeded</v>
      </c>
      <c r="N833" s="7" t="str">
        <f aca="false">TRIM(SUBSTITUTE(SUBSTITUTE(SUBSTITUTE(" "&amp;TRIM(SUBSTITUTE(SUBSTITUTE(SUBSTITUTE(SUBSTITUTE(SUBSTITUTE(SUBSTITUTE(SUBSTITUTE(SUBSTITUTE(SUBSTITUTE(SUBSTITUTE(SUBSTITUTE(SUBSTITUTE(SUBSTITUTE(SUBSTITUTE(SUBSTITUTE(UPPER(TRIM(A833)),"[MEMBER]",""),"{MEMBER}",""),"[MEMBER}",""),"MEMBER]",""),"(A)",""),"""",""),"“",""),"”",""),".",""),":",""),",",""),"–"," "),"-"," "),"/"," "),"&amp;"," AND "))&amp;" "," THE "," ")," TOTAL "," ")," OPERATIONS "," "))</f>
        <v>KIEV</v>
      </c>
      <c r="O833" s="17" t="str">
        <f aca="false">IF(COUNTIFS($N$2:$N$2000,N833,$D$2:$D$2000,"&lt;&gt;"&amp;D833)&gt;0,"CONFLICT","")</f>
        <v/>
      </c>
      <c r="P833" s="7"/>
    </row>
    <row r="834" customFormat="false" ht="15" hidden="false" customHeight="false" outlineLevel="0" collapsed="false">
      <c r="A834" s="7" t="s">
        <v>2305</v>
      </c>
      <c r="B834" s="7" t="s">
        <v>1879</v>
      </c>
      <c r="C834" s="7"/>
      <c r="D834" s="6" t="s">
        <v>1063</v>
      </c>
      <c r="E834" s="6" t="s">
        <v>1880</v>
      </c>
      <c r="F834" s="7" t="str">
        <f aca="false">IF($D834="","",IFERROR(IF(INDEX(Hierarchy!$B$2:$B$1295,MATCH($D834,Hierarchy!$A$2:$A$1295,0))="","",INDEX(Hierarchy!$B$2:$B$1295,MATCH($D834,Hierarchy!$A$2:$A$1295,0))),"NODE NOT FOUND"))</f>
        <v>Country</v>
      </c>
      <c r="G834" s="7" t="str">
        <f aca="false">IF($D834="","",IFERROR(IF(INDEX(Hierarchy!$D$2:$D$1295,MATCH($D834,Hierarchy!$A$2:$A$1295,0))="","",INDEX(Hierarchy!$D$2:$D$1295,MATCH($D834,Hierarchy!$A$2:$A$1295,0))),"NODE NOT FOUND"))</f>
        <v>EMEA</v>
      </c>
      <c r="H834" s="7" t="str">
        <f aca="false">IF($D834="","",IFERROR(IF(INDEX(Hierarchy!$E$2:$E$1295,MATCH($D834,Hierarchy!$A$2:$A$1295,0))="","",INDEX(Hierarchy!$E$2:$E$1295,MATCH($D834,Hierarchy!$A$2:$A$1295,0))),"NODE NOT FOUND"))</f>
        <v>Middle East</v>
      </c>
      <c r="I834" s="7" t="str">
        <f aca="false">IF($D834="","",IFERROR(IF(INDEX(Hierarchy!$F$2:$F$1295,MATCH($D834,Hierarchy!$A$2:$A$1295,0))="","",INDEX(Hierarchy!$F$2:$F$1295,MATCH($D834,Hierarchy!$A$2:$A$1295,0))),"NODE NOT FOUND"))</f>
        <v>Bahrain</v>
      </c>
      <c r="J834" s="7" t="str">
        <f aca="false">IF($D834="","",IFERROR(IF(INDEX(Hierarchy!$G$2:$G$1295,MATCH($D834,Hierarchy!$A$2:$A$1295,0))="","",INDEX(Hierarchy!$G$2:$G$1295,MATCH($D834,Hierarchy!$A$2:$A$1295,0))),"NODE NOT FOUND"))</f>
        <v>BHR</v>
      </c>
      <c r="K834" s="7" t="str">
        <f aca="false">IF($D834="","",IFERROR(IF(INDEX(Hierarchy!$H$2:$H$1295,MATCH($D834,Hierarchy!$A$2:$A$1295,0))="","",INDEX(Hierarchy!$H$2:$H$1295,MATCH($D834,Hierarchy!$A$2:$A$1295,0))),"NODE NOT FOUND"))</f>
        <v/>
      </c>
      <c r="L834" s="7" t="str">
        <f aca="false">IF($D834="","",IFERROR(IF(INDEX(Hierarchy!$I$2:$I$1295,MATCH($D834,Hierarchy!$A$2:$A$1295,0))="","",INDEX(Hierarchy!$I$2:$I$1295,MATCH($D834,Hierarchy!$A$2:$A$1295,0))),"NODE NOT FOUND"))</f>
        <v/>
      </c>
      <c r="M834" s="17" t="str">
        <f aca="false">IF(B834="Pre-seeded","Pre-seeded",IF(B834="Review 2026-09-16","Added from review",IF(C834="","New",IF(C834=D834,"","Changed"))))</f>
        <v>Pre-seeded</v>
      </c>
      <c r="N834" s="7" t="str">
        <f aca="false">TRIM(SUBSTITUTE(SUBSTITUTE(SUBSTITUTE(" "&amp;TRIM(SUBSTITUTE(SUBSTITUTE(SUBSTITUTE(SUBSTITUTE(SUBSTITUTE(SUBSTITUTE(SUBSTITUTE(SUBSTITUTE(SUBSTITUTE(SUBSTITUTE(SUBSTITUTE(SUBSTITUTE(SUBSTITUTE(SUBSTITUTE(SUBSTITUTE(UPPER(TRIM(A834)),"[MEMBER]",""),"{MEMBER}",""),"[MEMBER}",""),"MEMBER]",""),"(A)",""),"""",""),"“",""),"”",""),".",""),":",""),",",""),"–"," "),"-"," "),"/"," "),"&amp;"," AND "))&amp;" "," THE "," ")," TOTAL "," ")," OPERATIONS "," "))</f>
        <v>KINGDOM OF BAHRAIN</v>
      </c>
      <c r="O834" s="17" t="str">
        <f aca="false">IF(COUNTIFS($N$2:$N$2000,N834,$D$2:$D$2000,"&lt;&gt;"&amp;D834)&gt;0,"CONFLICT","")</f>
        <v/>
      </c>
      <c r="P834" s="7" t="s">
        <v>1936</v>
      </c>
    </row>
    <row r="835" customFormat="false" ht="15" hidden="false" customHeight="false" outlineLevel="0" collapsed="false">
      <c r="A835" s="7" t="s">
        <v>2306</v>
      </c>
      <c r="B835" s="7" t="s">
        <v>1879</v>
      </c>
      <c r="C835" s="7"/>
      <c r="D835" s="6" t="s">
        <v>764</v>
      </c>
      <c r="E835" s="6" t="s">
        <v>1880</v>
      </c>
      <c r="F835" s="7" t="str">
        <f aca="false">IF($D835="","",IFERROR(IF(INDEX(Hierarchy!$B$2:$B$1295,MATCH($D835,Hierarchy!$A$2:$A$1295,0))="","",INDEX(Hierarchy!$B$2:$B$1295,MATCH($D835,Hierarchy!$A$2:$A$1295,0))),"NODE NOT FOUND"))</f>
        <v>Country</v>
      </c>
      <c r="G835" s="7" t="str">
        <f aca="false">IF($D835="","",IFERROR(IF(INDEX(Hierarchy!$D$2:$D$1295,MATCH($D835,Hierarchy!$A$2:$A$1295,0))="","",INDEX(Hierarchy!$D$2:$D$1295,MATCH($D835,Hierarchy!$A$2:$A$1295,0))),"NODE NOT FOUND"))</f>
        <v>EMEA</v>
      </c>
      <c r="H835" s="7" t="str">
        <f aca="false">IF($D835="","",IFERROR(IF(INDEX(Hierarchy!$E$2:$E$1295,MATCH($D835,Hierarchy!$A$2:$A$1295,0))="","",INDEX(Hierarchy!$E$2:$E$1295,MATCH($D835,Hierarchy!$A$2:$A$1295,0))),"NODE NOT FOUND"))</f>
        <v>Europe</v>
      </c>
      <c r="I835" s="7" t="str">
        <f aca="false">IF($D835="","",IFERROR(IF(INDEX(Hierarchy!$F$2:$F$1295,MATCH($D835,Hierarchy!$A$2:$A$1295,0))="","",INDEX(Hierarchy!$F$2:$F$1295,MATCH($D835,Hierarchy!$A$2:$A$1295,0))),"NODE NOT FOUND"))</f>
        <v>Belgium</v>
      </c>
      <c r="J835" s="7" t="str">
        <f aca="false">IF($D835="","",IFERROR(IF(INDEX(Hierarchy!$G$2:$G$1295,MATCH($D835,Hierarchy!$A$2:$A$1295,0))="","",INDEX(Hierarchy!$G$2:$G$1295,MATCH($D835,Hierarchy!$A$2:$A$1295,0))),"NODE NOT FOUND"))</f>
        <v>BEL</v>
      </c>
      <c r="K835" s="7" t="str">
        <f aca="false">IF($D835="","",IFERROR(IF(INDEX(Hierarchy!$H$2:$H$1295,MATCH($D835,Hierarchy!$A$2:$A$1295,0))="","",INDEX(Hierarchy!$H$2:$H$1295,MATCH($D835,Hierarchy!$A$2:$A$1295,0))),"NODE NOT FOUND"))</f>
        <v/>
      </c>
      <c r="L835" s="7" t="str">
        <f aca="false">IF($D835="","",IFERROR(IF(INDEX(Hierarchy!$I$2:$I$1295,MATCH($D835,Hierarchy!$A$2:$A$1295,0))="","",INDEX(Hierarchy!$I$2:$I$1295,MATCH($D835,Hierarchy!$A$2:$A$1295,0))),"NODE NOT FOUND"))</f>
        <v/>
      </c>
      <c r="M835" s="17" t="str">
        <f aca="false">IF(B835="Pre-seeded","Pre-seeded",IF(B835="Review 2026-09-16","Added from review",IF(C835="","New",IF(C835=D835,"","Changed"))))</f>
        <v>Pre-seeded</v>
      </c>
      <c r="N835" s="7" t="str">
        <f aca="false">TRIM(SUBSTITUTE(SUBSTITUTE(SUBSTITUTE(" "&amp;TRIM(SUBSTITUTE(SUBSTITUTE(SUBSTITUTE(SUBSTITUTE(SUBSTITUTE(SUBSTITUTE(SUBSTITUTE(SUBSTITUTE(SUBSTITUTE(SUBSTITUTE(SUBSTITUTE(SUBSTITUTE(SUBSTITUTE(SUBSTITUTE(SUBSTITUTE(UPPER(TRIM(A835)),"[MEMBER]",""),"{MEMBER}",""),"[MEMBER}",""),"MEMBER]",""),"(A)",""),"""",""),"“",""),"”",""),".",""),":",""),",",""),"–"," "),"-"," "),"/"," "),"&amp;"," AND "))&amp;" "," THE "," ")," TOTAL "," ")," OPERATIONS "," "))</f>
        <v>KINGDOM OF BELGIUM</v>
      </c>
      <c r="O835" s="17" t="str">
        <f aca="false">IF(COUNTIFS($N$2:$N$2000,N835,$D$2:$D$2000,"&lt;&gt;"&amp;D835)&gt;0,"CONFLICT","")</f>
        <v/>
      </c>
      <c r="P835" s="7" t="s">
        <v>1936</v>
      </c>
    </row>
    <row r="836" customFormat="false" ht="15" hidden="false" customHeight="false" outlineLevel="0" collapsed="false">
      <c r="A836" s="7" t="s">
        <v>2307</v>
      </c>
      <c r="B836" s="7" t="s">
        <v>1879</v>
      </c>
      <c r="C836" s="7"/>
      <c r="D836" s="6" t="s">
        <v>1387</v>
      </c>
      <c r="E836" s="6" t="s">
        <v>1880</v>
      </c>
      <c r="F836" s="7" t="str">
        <f aca="false">IF($D836="","",IFERROR(IF(INDEX(Hierarchy!$B$2:$B$1295,MATCH($D836,Hierarchy!$A$2:$A$1295,0))="","",INDEX(Hierarchy!$B$2:$B$1295,MATCH($D836,Hierarchy!$A$2:$A$1295,0))),"NODE NOT FOUND"))</f>
        <v>Country</v>
      </c>
      <c r="G836" s="7" t="str">
        <f aca="false">IF($D836="","",IFERROR(IF(INDEX(Hierarchy!$D$2:$D$1295,MATCH($D836,Hierarchy!$A$2:$A$1295,0))="","",INDEX(Hierarchy!$D$2:$D$1295,MATCH($D836,Hierarchy!$A$2:$A$1295,0))),"NODE NOT FOUND"))</f>
        <v>APAC</v>
      </c>
      <c r="H836" s="7" t="str">
        <f aca="false">IF($D836="","",IFERROR(IF(INDEX(Hierarchy!$E$2:$E$1295,MATCH($D836,Hierarchy!$A$2:$A$1295,0))="","",INDEX(Hierarchy!$E$2:$E$1295,MATCH($D836,Hierarchy!$A$2:$A$1295,0))),"NODE NOT FOUND"))</f>
        <v>South Asia</v>
      </c>
      <c r="I836" s="7" t="str">
        <f aca="false">IF($D836="","",IFERROR(IF(INDEX(Hierarchy!$F$2:$F$1295,MATCH($D836,Hierarchy!$A$2:$A$1295,0))="","",INDEX(Hierarchy!$F$2:$F$1295,MATCH($D836,Hierarchy!$A$2:$A$1295,0))),"NODE NOT FOUND"))</f>
        <v>Bhutan</v>
      </c>
      <c r="J836" s="7" t="str">
        <f aca="false">IF($D836="","",IFERROR(IF(INDEX(Hierarchy!$G$2:$G$1295,MATCH($D836,Hierarchy!$A$2:$A$1295,0))="","",INDEX(Hierarchy!$G$2:$G$1295,MATCH($D836,Hierarchy!$A$2:$A$1295,0))),"NODE NOT FOUND"))</f>
        <v>BTN</v>
      </c>
      <c r="K836" s="7" t="str">
        <f aca="false">IF($D836="","",IFERROR(IF(INDEX(Hierarchy!$H$2:$H$1295,MATCH($D836,Hierarchy!$A$2:$A$1295,0))="","",INDEX(Hierarchy!$H$2:$H$1295,MATCH($D836,Hierarchy!$A$2:$A$1295,0))),"NODE NOT FOUND"))</f>
        <v/>
      </c>
      <c r="L836" s="7" t="str">
        <f aca="false">IF($D836="","",IFERROR(IF(INDEX(Hierarchy!$I$2:$I$1295,MATCH($D836,Hierarchy!$A$2:$A$1295,0))="","",INDEX(Hierarchy!$I$2:$I$1295,MATCH($D836,Hierarchy!$A$2:$A$1295,0))),"NODE NOT FOUND"))</f>
        <v/>
      </c>
      <c r="M836" s="17" t="str">
        <f aca="false">IF(B836="Pre-seeded","Pre-seeded",IF(B836="Review 2026-09-16","Added from review",IF(C836="","New",IF(C836=D836,"","Changed"))))</f>
        <v>Pre-seeded</v>
      </c>
      <c r="N836" s="7" t="str">
        <f aca="false">TRIM(SUBSTITUTE(SUBSTITUTE(SUBSTITUTE(" "&amp;TRIM(SUBSTITUTE(SUBSTITUTE(SUBSTITUTE(SUBSTITUTE(SUBSTITUTE(SUBSTITUTE(SUBSTITUTE(SUBSTITUTE(SUBSTITUTE(SUBSTITUTE(SUBSTITUTE(SUBSTITUTE(SUBSTITUTE(SUBSTITUTE(SUBSTITUTE(UPPER(TRIM(A836)),"[MEMBER]",""),"{MEMBER}",""),"[MEMBER}",""),"MEMBER]",""),"(A)",""),"""",""),"“",""),"”",""),".",""),":",""),",",""),"–"," "),"-"," "),"/"," "),"&amp;"," AND "))&amp;" "," THE "," ")," TOTAL "," ")," OPERATIONS "," "))</f>
        <v>KINGDOM OF BHUTAN</v>
      </c>
      <c r="O836" s="17" t="str">
        <f aca="false">IF(COUNTIFS($N$2:$N$2000,N836,$D$2:$D$2000,"&lt;&gt;"&amp;D836)&gt;0,"CONFLICT","")</f>
        <v/>
      </c>
      <c r="P836" s="7" t="s">
        <v>1936</v>
      </c>
    </row>
    <row r="837" customFormat="false" ht="15" hidden="false" customHeight="false" outlineLevel="0" collapsed="false">
      <c r="A837" s="7" t="s">
        <v>2308</v>
      </c>
      <c r="B837" s="7" t="s">
        <v>1879</v>
      </c>
      <c r="C837" s="7"/>
      <c r="D837" s="6" t="s">
        <v>1653</v>
      </c>
      <c r="E837" s="6" t="s">
        <v>1880</v>
      </c>
      <c r="F837" s="7" t="str">
        <f aca="false">IF($D837="","",IFERROR(IF(INDEX(Hierarchy!$B$2:$B$1295,MATCH($D837,Hierarchy!$A$2:$A$1295,0))="","",INDEX(Hierarchy!$B$2:$B$1295,MATCH($D837,Hierarchy!$A$2:$A$1295,0))),"NODE NOT FOUND"))</f>
        <v>Country</v>
      </c>
      <c r="G837" s="7" t="str">
        <f aca="false">IF($D837="","",IFERROR(IF(INDEX(Hierarchy!$D$2:$D$1295,MATCH($D837,Hierarchy!$A$2:$A$1295,0))="","",INDEX(Hierarchy!$D$2:$D$1295,MATCH($D837,Hierarchy!$A$2:$A$1295,0))),"NODE NOT FOUND"))</f>
        <v>APAC</v>
      </c>
      <c r="H837" s="7" t="str">
        <f aca="false">IF($D837="","",IFERROR(IF(INDEX(Hierarchy!$E$2:$E$1295,MATCH($D837,Hierarchy!$A$2:$A$1295,0))="","",INDEX(Hierarchy!$E$2:$E$1295,MATCH($D837,Hierarchy!$A$2:$A$1295,0))),"NODE NOT FOUND"))</f>
        <v>Southeast Asia (ASEAN)</v>
      </c>
      <c r="I837" s="7" t="str">
        <f aca="false">IF($D837="","",IFERROR(IF(INDEX(Hierarchy!$F$2:$F$1295,MATCH($D837,Hierarchy!$A$2:$A$1295,0))="","",INDEX(Hierarchy!$F$2:$F$1295,MATCH($D837,Hierarchy!$A$2:$A$1295,0))),"NODE NOT FOUND"))</f>
        <v>Cambodia</v>
      </c>
      <c r="J837" s="7" t="str">
        <f aca="false">IF($D837="","",IFERROR(IF(INDEX(Hierarchy!$G$2:$G$1295,MATCH($D837,Hierarchy!$A$2:$A$1295,0))="","",INDEX(Hierarchy!$G$2:$G$1295,MATCH($D837,Hierarchy!$A$2:$A$1295,0))),"NODE NOT FOUND"))</f>
        <v>KHM</v>
      </c>
      <c r="K837" s="7" t="str">
        <f aca="false">IF($D837="","",IFERROR(IF(INDEX(Hierarchy!$H$2:$H$1295,MATCH($D837,Hierarchy!$A$2:$A$1295,0))="","",INDEX(Hierarchy!$H$2:$H$1295,MATCH($D837,Hierarchy!$A$2:$A$1295,0))),"NODE NOT FOUND"))</f>
        <v/>
      </c>
      <c r="L837" s="7" t="str">
        <f aca="false">IF($D837="","",IFERROR(IF(INDEX(Hierarchy!$I$2:$I$1295,MATCH($D837,Hierarchy!$A$2:$A$1295,0))="","",INDEX(Hierarchy!$I$2:$I$1295,MATCH($D837,Hierarchy!$A$2:$A$1295,0))),"NODE NOT FOUND"))</f>
        <v/>
      </c>
      <c r="M837" s="17" t="str">
        <f aca="false">IF(B837="Pre-seeded","Pre-seeded",IF(B837="Review 2026-09-16","Added from review",IF(C837="","New",IF(C837=D837,"","Changed"))))</f>
        <v>Pre-seeded</v>
      </c>
      <c r="N837" s="7" t="str">
        <f aca="false">TRIM(SUBSTITUTE(SUBSTITUTE(SUBSTITUTE(" "&amp;TRIM(SUBSTITUTE(SUBSTITUTE(SUBSTITUTE(SUBSTITUTE(SUBSTITUTE(SUBSTITUTE(SUBSTITUTE(SUBSTITUTE(SUBSTITUTE(SUBSTITUTE(SUBSTITUTE(SUBSTITUTE(SUBSTITUTE(SUBSTITUTE(SUBSTITUTE(UPPER(TRIM(A837)),"[MEMBER]",""),"{MEMBER}",""),"[MEMBER}",""),"MEMBER]",""),"(A)",""),"""",""),"“",""),"”",""),".",""),":",""),",",""),"–"," "),"-"," "),"/"," "),"&amp;"," AND "))&amp;" "," THE "," ")," TOTAL "," ")," OPERATIONS "," "))</f>
        <v>KINGDOM OF CAMBODIA</v>
      </c>
      <c r="O837" s="17" t="str">
        <f aca="false">IF(COUNTIFS($N$2:$N$2000,N837,$D$2:$D$2000,"&lt;&gt;"&amp;D837)&gt;0,"CONFLICT","")</f>
        <v/>
      </c>
      <c r="P837" s="7" t="s">
        <v>1936</v>
      </c>
    </row>
    <row r="838" customFormat="false" ht="15" hidden="false" customHeight="false" outlineLevel="0" collapsed="false">
      <c r="A838" s="7" t="s">
        <v>2309</v>
      </c>
      <c r="B838" s="7" t="s">
        <v>1879</v>
      </c>
      <c r="C838" s="7"/>
      <c r="D838" s="6" t="s">
        <v>787</v>
      </c>
      <c r="E838" s="6" t="s">
        <v>1880</v>
      </c>
      <c r="F838" s="7" t="str">
        <f aca="false">IF($D838="","",IFERROR(IF(INDEX(Hierarchy!$B$2:$B$1295,MATCH($D838,Hierarchy!$A$2:$A$1295,0))="","",INDEX(Hierarchy!$B$2:$B$1295,MATCH($D838,Hierarchy!$A$2:$A$1295,0))),"NODE NOT FOUND"))</f>
        <v>Country</v>
      </c>
      <c r="G838" s="7" t="str">
        <f aca="false">IF($D838="","",IFERROR(IF(INDEX(Hierarchy!$D$2:$D$1295,MATCH($D838,Hierarchy!$A$2:$A$1295,0))="","",INDEX(Hierarchy!$D$2:$D$1295,MATCH($D838,Hierarchy!$A$2:$A$1295,0))),"NODE NOT FOUND"))</f>
        <v>EMEA</v>
      </c>
      <c r="H838" s="7" t="str">
        <f aca="false">IF($D838="","",IFERROR(IF(INDEX(Hierarchy!$E$2:$E$1295,MATCH($D838,Hierarchy!$A$2:$A$1295,0))="","",INDEX(Hierarchy!$E$2:$E$1295,MATCH($D838,Hierarchy!$A$2:$A$1295,0))),"NODE NOT FOUND"))</f>
        <v>Europe</v>
      </c>
      <c r="I838" s="7" t="str">
        <f aca="false">IF($D838="","",IFERROR(IF(INDEX(Hierarchy!$F$2:$F$1295,MATCH($D838,Hierarchy!$A$2:$A$1295,0))="","",INDEX(Hierarchy!$F$2:$F$1295,MATCH($D838,Hierarchy!$A$2:$A$1295,0))),"NODE NOT FOUND"))</f>
        <v>Denmark</v>
      </c>
      <c r="J838" s="7" t="str">
        <f aca="false">IF($D838="","",IFERROR(IF(INDEX(Hierarchy!$G$2:$G$1295,MATCH($D838,Hierarchy!$A$2:$A$1295,0))="","",INDEX(Hierarchy!$G$2:$G$1295,MATCH($D838,Hierarchy!$A$2:$A$1295,0))),"NODE NOT FOUND"))</f>
        <v>DNK</v>
      </c>
      <c r="K838" s="7" t="str">
        <f aca="false">IF($D838="","",IFERROR(IF(INDEX(Hierarchy!$H$2:$H$1295,MATCH($D838,Hierarchy!$A$2:$A$1295,0))="","",INDEX(Hierarchy!$H$2:$H$1295,MATCH($D838,Hierarchy!$A$2:$A$1295,0))),"NODE NOT FOUND"))</f>
        <v/>
      </c>
      <c r="L838" s="7" t="str">
        <f aca="false">IF($D838="","",IFERROR(IF(INDEX(Hierarchy!$I$2:$I$1295,MATCH($D838,Hierarchy!$A$2:$A$1295,0))="","",INDEX(Hierarchy!$I$2:$I$1295,MATCH($D838,Hierarchy!$A$2:$A$1295,0))),"NODE NOT FOUND"))</f>
        <v/>
      </c>
      <c r="M838" s="17" t="str">
        <f aca="false">IF(B838="Pre-seeded","Pre-seeded",IF(B838="Review 2026-09-16","Added from review",IF(C838="","New",IF(C838=D838,"","Changed"))))</f>
        <v>Pre-seeded</v>
      </c>
      <c r="N838" s="7" t="str">
        <f aca="false">TRIM(SUBSTITUTE(SUBSTITUTE(SUBSTITUTE(" "&amp;TRIM(SUBSTITUTE(SUBSTITUTE(SUBSTITUTE(SUBSTITUTE(SUBSTITUTE(SUBSTITUTE(SUBSTITUTE(SUBSTITUTE(SUBSTITUTE(SUBSTITUTE(SUBSTITUTE(SUBSTITUTE(SUBSTITUTE(SUBSTITUTE(SUBSTITUTE(UPPER(TRIM(A838)),"[MEMBER]",""),"{MEMBER}",""),"[MEMBER}",""),"MEMBER]",""),"(A)",""),"""",""),"“",""),"”",""),".",""),":",""),",",""),"–"," "),"-"," "),"/"," "),"&amp;"," AND "))&amp;" "," THE "," ")," TOTAL "," ")," OPERATIONS "," "))</f>
        <v>KINGDOM OF DENMARK</v>
      </c>
      <c r="O838" s="17" t="str">
        <f aca="false">IF(COUNTIFS($N$2:$N$2000,N838,$D$2:$D$2000,"&lt;&gt;"&amp;D838)&gt;0,"CONFLICT","")</f>
        <v/>
      </c>
      <c r="P838" s="7" t="s">
        <v>1936</v>
      </c>
    </row>
    <row r="839" customFormat="false" ht="15" hidden="false" customHeight="false" outlineLevel="0" collapsed="false">
      <c r="A839" s="7" t="s">
        <v>2310</v>
      </c>
      <c r="B839" s="7" t="s">
        <v>1879</v>
      </c>
      <c r="C839" s="7"/>
      <c r="D839" s="6" t="s">
        <v>1220</v>
      </c>
      <c r="E839" s="6" t="s">
        <v>1880</v>
      </c>
      <c r="F839" s="7" t="str">
        <f aca="false">IF($D839="","",IFERROR(IF(INDEX(Hierarchy!$B$2:$B$1295,MATCH($D839,Hierarchy!$A$2:$A$1295,0))="","",INDEX(Hierarchy!$B$2:$B$1295,MATCH($D839,Hierarchy!$A$2:$A$1295,0))),"NODE NOT FOUND"))</f>
        <v>Country</v>
      </c>
      <c r="G839" s="7" t="str">
        <f aca="false">IF($D839="","",IFERROR(IF(INDEX(Hierarchy!$D$2:$D$1295,MATCH($D839,Hierarchy!$A$2:$A$1295,0))="","",INDEX(Hierarchy!$D$2:$D$1295,MATCH($D839,Hierarchy!$A$2:$A$1295,0))),"NODE NOT FOUND"))</f>
        <v>EMEA</v>
      </c>
      <c r="H839" s="7" t="str">
        <f aca="false">IF($D839="","",IFERROR(IF(INDEX(Hierarchy!$E$2:$E$1295,MATCH($D839,Hierarchy!$A$2:$A$1295,0))="","",INDEX(Hierarchy!$E$2:$E$1295,MATCH($D839,Hierarchy!$A$2:$A$1295,0))),"NODE NOT FOUND"))</f>
        <v>Africa</v>
      </c>
      <c r="I839" s="7" t="str">
        <f aca="false">IF($D839="","",IFERROR(IF(INDEX(Hierarchy!$F$2:$F$1295,MATCH($D839,Hierarchy!$A$2:$A$1295,0))="","",INDEX(Hierarchy!$F$2:$F$1295,MATCH($D839,Hierarchy!$A$2:$A$1295,0))),"NODE NOT FOUND"))</f>
        <v>Eswatini</v>
      </c>
      <c r="J839" s="7" t="str">
        <f aca="false">IF($D839="","",IFERROR(IF(INDEX(Hierarchy!$G$2:$G$1295,MATCH($D839,Hierarchy!$A$2:$A$1295,0))="","",INDEX(Hierarchy!$G$2:$G$1295,MATCH($D839,Hierarchy!$A$2:$A$1295,0))),"NODE NOT FOUND"))</f>
        <v>SWZ</v>
      </c>
      <c r="K839" s="7" t="str">
        <f aca="false">IF($D839="","",IFERROR(IF(INDEX(Hierarchy!$H$2:$H$1295,MATCH($D839,Hierarchy!$A$2:$A$1295,0))="","",INDEX(Hierarchy!$H$2:$H$1295,MATCH($D839,Hierarchy!$A$2:$A$1295,0))),"NODE NOT FOUND"))</f>
        <v/>
      </c>
      <c r="L839" s="7" t="str">
        <f aca="false">IF($D839="","",IFERROR(IF(INDEX(Hierarchy!$I$2:$I$1295,MATCH($D839,Hierarchy!$A$2:$A$1295,0))="","",INDEX(Hierarchy!$I$2:$I$1295,MATCH($D839,Hierarchy!$A$2:$A$1295,0))),"NODE NOT FOUND"))</f>
        <v/>
      </c>
      <c r="M839" s="17" t="str">
        <f aca="false">IF(B839="Pre-seeded","Pre-seeded",IF(B839="Review 2026-09-16","Added from review",IF(C839="","New",IF(C839=D839,"","Changed"))))</f>
        <v>Pre-seeded</v>
      </c>
      <c r="N839" s="7" t="str">
        <f aca="false">TRIM(SUBSTITUTE(SUBSTITUTE(SUBSTITUTE(" "&amp;TRIM(SUBSTITUTE(SUBSTITUTE(SUBSTITUTE(SUBSTITUTE(SUBSTITUTE(SUBSTITUTE(SUBSTITUTE(SUBSTITUTE(SUBSTITUTE(SUBSTITUTE(SUBSTITUTE(SUBSTITUTE(SUBSTITUTE(SUBSTITUTE(SUBSTITUTE(UPPER(TRIM(A839)),"[MEMBER]",""),"{MEMBER}",""),"[MEMBER}",""),"MEMBER]",""),"(A)",""),"""",""),"“",""),"”",""),".",""),":",""),",",""),"–"," "),"-"," "),"/"," "),"&amp;"," AND "))&amp;" "," THE "," ")," TOTAL "," ")," OPERATIONS "," "))</f>
        <v>KINGDOM OF ESWATINI</v>
      </c>
      <c r="O839" s="17" t="str">
        <f aca="false">IF(COUNTIFS($N$2:$N$2000,N839,$D$2:$D$2000,"&lt;&gt;"&amp;D839)&gt;0,"CONFLICT","")</f>
        <v/>
      </c>
      <c r="P839" s="7" t="s">
        <v>1936</v>
      </c>
    </row>
    <row r="840" customFormat="false" ht="15" hidden="false" customHeight="false" outlineLevel="0" collapsed="false">
      <c r="A840" s="7" t="s">
        <v>2311</v>
      </c>
      <c r="B840" s="7" t="s">
        <v>1879</v>
      </c>
      <c r="C840" s="7"/>
      <c r="D840" s="6" t="s">
        <v>1241</v>
      </c>
      <c r="E840" s="6" t="s">
        <v>1880</v>
      </c>
      <c r="F840" s="7" t="str">
        <f aca="false">IF($D840="","",IFERROR(IF(INDEX(Hierarchy!$B$2:$B$1295,MATCH($D840,Hierarchy!$A$2:$A$1295,0))="","",INDEX(Hierarchy!$B$2:$B$1295,MATCH($D840,Hierarchy!$A$2:$A$1295,0))),"NODE NOT FOUND"))</f>
        <v>Country</v>
      </c>
      <c r="G840" s="7" t="str">
        <f aca="false">IF($D840="","",IFERROR(IF(INDEX(Hierarchy!$D$2:$D$1295,MATCH($D840,Hierarchy!$A$2:$A$1295,0))="","",INDEX(Hierarchy!$D$2:$D$1295,MATCH($D840,Hierarchy!$A$2:$A$1295,0))),"NODE NOT FOUND"))</f>
        <v>EMEA</v>
      </c>
      <c r="H840" s="7" t="str">
        <f aca="false">IF($D840="","",IFERROR(IF(INDEX(Hierarchy!$E$2:$E$1295,MATCH($D840,Hierarchy!$A$2:$A$1295,0))="","",INDEX(Hierarchy!$E$2:$E$1295,MATCH($D840,Hierarchy!$A$2:$A$1295,0))),"NODE NOT FOUND"))</f>
        <v>Africa</v>
      </c>
      <c r="I840" s="7" t="str">
        <f aca="false">IF($D840="","",IFERROR(IF(INDEX(Hierarchy!$F$2:$F$1295,MATCH($D840,Hierarchy!$A$2:$A$1295,0))="","",INDEX(Hierarchy!$F$2:$F$1295,MATCH($D840,Hierarchy!$A$2:$A$1295,0))),"NODE NOT FOUND"))</f>
        <v>Lesotho</v>
      </c>
      <c r="J840" s="7" t="str">
        <f aca="false">IF($D840="","",IFERROR(IF(INDEX(Hierarchy!$G$2:$G$1295,MATCH($D840,Hierarchy!$A$2:$A$1295,0))="","",INDEX(Hierarchy!$G$2:$G$1295,MATCH($D840,Hierarchy!$A$2:$A$1295,0))),"NODE NOT FOUND"))</f>
        <v>LSO</v>
      </c>
      <c r="K840" s="7" t="str">
        <f aca="false">IF($D840="","",IFERROR(IF(INDEX(Hierarchy!$H$2:$H$1295,MATCH($D840,Hierarchy!$A$2:$A$1295,0))="","",INDEX(Hierarchy!$H$2:$H$1295,MATCH($D840,Hierarchy!$A$2:$A$1295,0))),"NODE NOT FOUND"))</f>
        <v/>
      </c>
      <c r="L840" s="7" t="str">
        <f aca="false">IF($D840="","",IFERROR(IF(INDEX(Hierarchy!$I$2:$I$1295,MATCH($D840,Hierarchy!$A$2:$A$1295,0))="","",INDEX(Hierarchy!$I$2:$I$1295,MATCH($D840,Hierarchy!$A$2:$A$1295,0))),"NODE NOT FOUND"))</f>
        <v/>
      </c>
      <c r="M840" s="17" t="str">
        <f aca="false">IF(B840="Pre-seeded","Pre-seeded",IF(B840="Review 2026-09-16","Added from review",IF(C840="","New",IF(C840=D840,"","Changed"))))</f>
        <v>Pre-seeded</v>
      </c>
      <c r="N840" s="7" t="str">
        <f aca="false">TRIM(SUBSTITUTE(SUBSTITUTE(SUBSTITUTE(" "&amp;TRIM(SUBSTITUTE(SUBSTITUTE(SUBSTITUTE(SUBSTITUTE(SUBSTITUTE(SUBSTITUTE(SUBSTITUTE(SUBSTITUTE(SUBSTITUTE(SUBSTITUTE(SUBSTITUTE(SUBSTITUTE(SUBSTITUTE(SUBSTITUTE(SUBSTITUTE(UPPER(TRIM(A840)),"[MEMBER]",""),"{MEMBER}",""),"[MEMBER}",""),"MEMBER]",""),"(A)",""),"""",""),"“",""),"”",""),".",""),":",""),",",""),"–"," "),"-"," "),"/"," "),"&amp;"," AND "))&amp;" "," THE "," ")," TOTAL "," ")," OPERATIONS "," "))</f>
        <v>KINGDOM OF LESOTHO</v>
      </c>
      <c r="O840" s="17" t="str">
        <f aca="false">IF(COUNTIFS($N$2:$N$2000,N840,$D$2:$D$2000,"&lt;&gt;"&amp;D840)&gt;0,"CONFLICT","")</f>
        <v/>
      </c>
      <c r="P840" s="7" t="s">
        <v>1936</v>
      </c>
    </row>
    <row r="841" customFormat="false" ht="15" hidden="false" customHeight="false" outlineLevel="0" collapsed="false">
      <c r="A841" s="7" t="s">
        <v>2312</v>
      </c>
      <c r="B841" s="7" t="s">
        <v>1879</v>
      </c>
      <c r="C841" s="7"/>
      <c r="D841" s="6" t="s">
        <v>1262</v>
      </c>
      <c r="E841" s="6" t="s">
        <v>1880</v>
      </c>
      <c r="F841" s="7" t="str">
        <f aca="false">IF($D841="","",IFERROR(IF(INDEX(Hierarchy!$B$2:$B$1295,MATCH($D841,Hierarchy!$A$2:$A$1295,0))="","",INDEX(Hierarchy!$B$2:$B$1295,MATCH($D841,Hierarchy!$A$2:$A$1295,0))),"NODE NOT FOUND"))</f>
        <v>Country</v>
      </c>
      <c r="G841" s="7" t="str">
        <f aca="false">IF($D841="","",IFERROR(IF(INDEX(Hierarchy!$D$2:$D$1295,MATCH($D841,Hierarchy!$A$2:$A$1295,0))="","",INDEX(Hierarchy!$D$2:$D$1295,MATCH($D841,Hierarchy!$A$2:$A$1295,0))),"NODE NOT FOUND"))</f>
        <v>EMEA</v>
      </c>
      <c r="H841" s="7" t="str">
        <f aca="false">IF($D841="","",IFERROR(IF(INDEX(Hierarchy!$E$2:$E$1295,MATCH($D841,Hierarchy!$A$2:$A$1295,0))="","",INDEX(Hierarchy!$E$2:$E$1295,MATCH($D841,Hierarchy!$A$2:$A$1295,0))),"NODE NOT FOUND"))</f>
        <v>Africa</v>
      </c>
      <c r="I841" s="7" t="str">
        <f aca="false">IF($D841="","",IFERROR(IF(INDEX(Hierarchy!$F$2:$F$1295,MATCH($D841,Hierarchy!$A$2:$A$1295,0))="","",INDEX(Hierarchy!$F$2:$F$1295,MATCH($D841,Hierarchy!$A$2:$A$1295,0))),"NODE NOT FOUND"))</f>
        <v>Morocco</v>
      </c>
      <c r="J841" s="7" t="str">
        <f aca="false">IF($D841="","",IFERROR(IF(INDEX(Hierarchy!$G$2:$G$1295,MATCH($D841,Hierarchy!$A$2:$A$1295,0))="","",INDEX(Hierarchy!$G$2:$G$1295,MATCH($D841,Hierarchy!$A$2:$A$1295,0))),"NODE NOT FOUND"))</f>
        <v>MAR</v>
      </c>
      <c r="K841" s="7" t="str">
        <f aca="false">IF($D841="","",IFERROR(IF(INDEX(Hierarchy!$H$2:$H$1295,MATCH($D841,Hierarchy!$A$2:$A$1295,0))="","",INDEX(Hierarchy!$H$2:$H$1295,MATCH($D841,Hierarchy!$A$2:$A$1295,0))),"NODE NOT FOUND"))</f>
        <v/>
      </c>
      <c r="L841" s="7" t="str">
        <f aca="false">IF($D841="","",IFERROR(IF(INDEX(Hierarchy!$I$2:$I$1295,MATCH($D841,Hierarchy!$A$2:$A$1295,0))="","",INDEX(Hierarchy!$I$2:$I$1295,MATCH($D841,Hierarchy!$A$2:$A$1295,0))),"NODE NOT FOUND"))</f>
        <v/>
      </c>
      <c r="M841" s="17" t="str">
        <f aca="false">IF(B841="Pre-seeded","Pre-seeded",IF(B841="Review 2026-09-16","Added from review",IF(C841="","New",IF(C841=D841,"","Changed"))))</f>
        <v>Pre-seeded</v>
      </c>
      <c r="N841" s="7" t="str">
        <f aca="false">TRIM(SUBSTITUTE(SUBSTITUTE(SUBSTITUTE(" "&amp;TRIM(SUBSTITUTE(SUBSTITUTE(SUBSTITUTE(SUBSTITUTE(SUBSTITUTE(SUBSTITUTE(SUBSTITUTE(SUBSTITUTE(SUBSTITUTE(SUBSTITUTE(SUBSTITUTE(SUBSTITUTE(SUBSTITUTE(SUBSTITUTE(SUBSTITUTE(UPPER(TRIM(A841)),"[MEMBER]",""),"{MEMBER}",""),"[MEMBER}",""),"MEMBER]",""),"(A)",""),"""",""),"“",""),"”",""),".",""),":",""),",",""),"–"," "),"-"," "),"/"," "),"&amp;"," AND "))&amp;" "," THE "," ")," TOTAL "," ")," OPERATIONS "," "))</f>
        <v>KINGDOM OF MOROCCO</v>
      </c>
      <c r="O841" s="17" t="str">
        <f aca="false">IF(COUNTIFS($N$2:$N$2000,N841,$D$2:$D$2000,"&lt;&gt;"&amp;D841)&gt;0,"CONFLICT","")</f>
        <v/>
      </c>
      <c r="P841" s="7" t="s">
        <v>1936</v>
      </c>
    </row>
    <row r="842" customFormat="false" ht="15" hidden="false" customHeight="false" outlineLevel="0" collapsed="false">
      <c r="A842" s="7" t="s">
        <v>2313</v>
      </c>
      <c r="B842" s="7" t="s">
        <v>1879</v>
      </c>
      <c r="C842" s="7"/>
      <c r="D842" s="6" t="s">
        <v>902</v>
      </c>
      <c r="E842" s="6" t="s">
        <v>1880</v>
      </c>
      <c r="F842" s="7" t="str">
        <f aca="false">IF($D842="","",IFERROR(IF(INDEX(Hierarchy!$B$2:$B$1295,MATCH($D842,Hierarchy!$A$2:$A$1295,0))="","",INDEX(Hierarchy!$B$2:$B$1295,MATCH($D842,Hierarchy!$A$2:$A$1295,0))),"NODE NOT FOUND"))</f>
        <v>Country</v>
      </c>
      <c r="G842" s="7" t="str">
        <f aca="false">IF($D842="","",IFERROR(IF(INDEX(Hierarchy!$D$2:$D$1295,MATCH($D842,Hierarchy!$A$2:$A$1295,0))="","",INDEX(Hierarchy!$D$2:$D$1295,MATCH($D842,Hierarchy!$A$2:$A$1295,0))),"NODE NOT FOUND"))</f>
        <v>EMEA</v>
      </c>
      <c r="H842" s="7" t="str">
        <f aca="false">IF($D842="","",IFERROR(IF(INDEX(Hierarchy!$E$2:$E$1295,MATCH($D842,Hierarchy!$A$2:$A$1295,0))="","",INDEX(Hierarchy!$E$2:$E$1295,MATCH($D842,Hierarchy!$A$2:$A$1295,0))),"NODE NOT FOUND"))</f>
        <v>Europe</v>
      </c>
      <c r="I842" s="7" t="str">
        <f aca="false">IF($D842="","",IFERROR(IF(INDEX(Hierarchy!$F$2:$F$1295,MATCH($D842,Hierarchy!$A$2:$A$1295,0))="","",INDEX(Hierarchy!$F$2:$F$1295,MATCH($D842,Hierarchy!$A$2:$A$1295,0))),"NODE NOT FOUND"))</f>
        <v>Norway</v>
      </c>
      <c r="J842" s="7" t="str">
        <f aca="false">IF($D842="","",IFERROR(IF(INDEX(Hierarchy!$G$2:$G$1295,MATCH($D842,Hierarchy!$A$2:$A$1295,0))="","",INDEX(Hierarchy!$G$2:$G$1295,MATCH($D842,Hierarchy!$A$2:$A$1295,0))),"NODE NOT FOUND"))</f>
        <v>NOR</v>
      </c>
      <c r="K842" s="7" t="str">
        <f aca="false">IF($D842="","",IFERROR(IF(INDEX(Hierarchy!$H$2:$H$1295,MATCH($D842,Hierarchy!$A$2:$A$1295,0))="","",INDEX(Hierarchy!$H$2:$H$1295,MATCH($D842,Hierarchy!$A$2:$A$1295,0))),"NODE NOT FOUND"))</f>
        <v/>
      </c>
      <c r="L842" s="7" t="str">
        <f aca="false">IF($D842="","",IFERROR(IF(INDEX(Hierarchy!$I$2:$I$1295,MATCH($D842,Hierarchy!$A$2:$A$1295,0))="","",INDEX(Hierarchy!$I$2:$I$1295,MATCH($D842,Hierarchy!$A$2:$A$1295,0))),"NODE NOT FOUND"))</f>
        <v/>
      </c>
      <c r="M842" s="17" t="str">
        <f aca="false">IF(B842="Pre-seeded","Pre-seeded",IF(B842="Review 2026-09-16","Added from review",IF(C842="","New",IF(C842=D842,"","Changed"))))</f>
        <v>Pre-seeded</v>
      </c>
      <c r="N842" s="7" t="str">
        <f aca="false">TRIM(SUBSTITUTE(SUBSTITUTE(SUBSTITUTE(" "&amp;TRIM(SUBSTITUTE(SUBSTITUTE(SUBSTITUTE(SUBSTITUTE(SUBSTITUTE(SUBSTITUTE(SUBSTITUTE(SUBSTITUTE(SUBSTITUTE(SUBSTITUTE(SUBSTITUTE(SUBSTITUTE(SUBSTITUTE(SUBSTITUTE(SUBSTITUTE(UPPER(TRIM(A842)),"[MEMBER]",""),"{MEMBER}",""),"[MEMBER}",""),"MEMBER]",""),"(A)",""),"""",""),"“",""),"”",""),".",""),":",""),",",""),"–"," "),"-"," "),"/"," "),"&amp;"," AND "))&amp;" "," THE "," ")," TOTAL "," ")," OPERATIONS "," "))</f>
        <v>KINGDOM OF NORWAY</v>
      </c>
      <c r="O842" s="17" t="str">
        <f aca="false">IF(COUNTIFS($N$2:$N$2000,N842,$D$2:$D$2000,"&lt;&gt;"&amp;D842)&gt;0,"CONFLICT","")</f>
        <v/>
      </c>
      <c r="P842" s="7" t="s">
        <v>1936</v>
      </c>
    </row>
    <row r="843" customFormat="false" ht="15" hidden="false" customHeight="false" outlineLevel="0" collapsed="false">
      <c r="A843" s="7" t="s">
        <v>2314</v>
      </c>
      <c r="B843" s="7" t="s">
        <v>1879</v>
      </c>
      <c r="C843" s="7"/>
      <c r="D843" s="6" t="s">
        <v>1046</v>
      </c>
      <c r="E843" s="6" t="s">
        <v>1880</v>
      </c>
      <c r="F843" s="7" t="str">
        <f aca="false">IF($D843="","",IFERROR(IF(INDEX(Hierarchy!$B$2:$B$1295,MATCH($D843,Hierarchy!$A$2:$A$1295,0))="","",INDEX(Hierarchy!$B$2:$B$1295,MATCH($D843,Hierarchy!$A$2:$A$1295,0))),"NODE NOT FOUND"))</f>
        <v>Country</v>
      </c>
      <c r="G843" s="7" t="str">
        <f aca="false">IF($D843="","",IFERROR(IF(INDEX(Hierarchy!$D$2:$D$1295,MATCH($D843,Hierarchy!$A$2:$A$1295,0))="","",INDEX(Hierarchy!$D$2:$D$1295,MATCH($D843,Hierarchy!$A$2:$A$1295,0))),"NODE NOT FOUND"))</f>
        <v>EMEA</v>
      </c>
      <c r="H843" s="7" t="str">
        <f aca="false">IF($D843="","",IFERROR(IF(INDEX(Hierarchy!$E$2:$E$1295,MATCH($D843,Hierarchy!$A$2:$A$1295,0))="","",INDEX(Hierarchy!$E$2:$E$1295,MATCH($D843,Hierarchy!$A$2:$A$1295,0))),"NODE NOT FOUND"))</f>
        <v>Middle East</v>
      </c>
      <c r="I843" s="7" t="str">
        <f aca="false">IF($D843="","",IFERROR(IF(INDEX(Hierarchy!$F$2:$F$1295,MATCH($D843,Hierarchy!$A$2:$A$1295,0))="","",INDEX(Hierarchy!$F$2:$F$1295,MATCH($D843,Hierarchy!$A$2:$A$1295,0))),"NODE NOT FOUND"))</f>
        <v>Saudi Arabia</v>
      </c>
      <c r="J843" s="7" t="str">
        <f aca="false">IF($D843="","",IFERROR(IF(INDEX(Hierarchy!$G$2:$G$1295,MATCH($D843,Hierarchy!$A$2:$A$1295,0))="","",INDEX(Hierarchy!$G$2:$G$1295,MATCH($D843,Hierarchy!$A$2:$A$1295,0))),"NODE NOT FOUND"))</f>
        <v>SAU</v>
      </c>
      <c r="K843" s="7" t="str">
        <f aca="false">IF($D843="","",IFERROR(IF(INDEX(Hierarchy!$H$2:$H$1295,MATCH($D843,Hierarchy!$A$2:$A$1295,0))="","",INDEX(Hierarchy!$H$2:$H$1295,MATCH($D843,Hierarchy!$A$2:$A$1295,0))),"NODE NOT FOUND"))</f>
        <v/>
      </c>
      <c r="L843" s="7" t="str">
        <f aca="false">IF($D843="","",IFERROR(IF(INDEX(Hierarchy!$I$2:$I$1295,MATCH($D843,Hierarchy!$A$2:$A$1295,0))="","",INDEX(Hierarchy!$I$2:$I$1295,MATCH($D843,Hierarchy!$A$2:$A$1295,0))),"NODE NOT FOUND"))</f>
        <v/>
      </c>
      <c r="M843" s="17" t="str">
        <f aca="false">IF(B843="Pre-seeded","Pre-seeded",IF(B843="Review 2026-09-16","Added from review",IF(C843="","New",IF(C843=D843,"","Changed"))))</f>
        <v>Pre-seeded</v>
      </c>
      <c r="N843" s="7" t="str">
        <f aca="false">TRIM(SUBSTITUTE(SUBSTITUTE(SUBSTITUTE(" "&amp;TRIM(SUBSTITUTE(SUBSTITUTE(SUBSTITUTE(SUBSTITUTE(SUBSTITUTE(SUBSTITUTE(SUBSTITUTE(SUBSTITUTE(SUBSTITUTE(SUBSTITUTE(SUBSTITUTE(SUBSTITUTE(SUBSTITUTE(SUBSTITUTE(SUBSTITUTE(UPPER(TRIM(A843)),"[MEMBER]",""),"{MEMBER}",""),"[MEMBER}",""),"MEMBER]",""),"(A)",""),"""",""),"“",""),"”",""),".",""),":",""),",",""),"–"," "),"-"," "),"/"," "),"&amp;"," AND "))&amp;" "," THE "," ")," TOTAL "," ")," OPERATIONS "," "))</f>
        <v>KINGDOM OF SAUDI ARABIA</v>
      </c>
      <c r="O843" s="17" t="str">
        <f aca="false">IF(COUNTIFS($N$2:$N$2000,N843,$D$2:$D$2000,"&lt;&gt;"&amp;D843)&gt;0,"CONFLICT","")</f>
        <v/>
      </c>
      <c r="P843" s="7" t="s">
        <v>1936</v>
      </c>
    </row>
    <row r="844" customFormat="false" ht="15" hidden="false" customHeight="false" outlineLevel="0" collapsed="false">
      <c r="A844" s="7" t="s">
        <v>2315</v>
      </c>
      <c r="B844" s="7" t="s">
        <v>1879</v>
      </c>
      <c r="C844" s="7"/>
      <c r="D844" s="6" t="s">
        <v>949</v>
      </c>
      <c r="E844" s="6" t="s">
        <v>1880</v>
      </c>
      <c r="F844" s="7" t="str">
        <f aca="false">IF($D844="","",IFERROR(IF(INDEX(Hierarchy!$B$2:$B$1295,MATCH($D844,Hierarchy!$A$2:$A$1295,0))="","",INDEX(Hierarchy!$B$2:$B$1295,MATCH($D844,Hierarchy!$A$2:$A$1295,0))),"NODE NOT FOUND"))</f>
        <v>Country</v>
      </c>
      <c r="G844" s="7" t="str">
        <f aca="false">IF($D844="","",IFERROR(IF(INDEX(Hierarchy!$D$2:$D$1295,MATCH($D844,Hierarchy!$A$2:$A$1295,0))="","",INDEX(Hierarchy!$D$2:$D$1295,MATCH($D844,Hierarchy!$A$2:$A$1295,0))),"NODE NOT FOUND"))</f>
        <v>EMEA</v>
      </c>
      <c r="H844" s="7" t="str">
        <f aca="false">IF($D844="","",IFERROR(IF(INDEX(Hierarchy!$E$2:$E$1295,MATCH($D844,Hierarchy!$A$2:$A$1295,0))="","",INDEX(Hierarchy!$E$2:$E$1295,MATCH($D844,Hierarchy!$A$2:$A$1295,0))),"NODE NOT FOUND"))</f>
        <v>Europe</v>
      </c>
      <c r="I844" s="7" t="str">
        <f aca="false">IF($D844="","",IFERROR(IF(INDEX(Hierarchy!$F$2:$F$1295,MATCH($D844,Hierarchy!$A$2:$A$1295,0))="","",INDEX(Hierarchy!$F$2:$F$1295,MATCH($D844,Hierarchy!$A$2:$A$1295,0))),"NODE NOT FOUND"))</f>
        <v>Spain</v>
      </c>
      <c r="J844" s="7" t="str">
        <f aca="false">IF($D844="","",IFERROR(IF(INDEX(Hierarchy!$G$2:$G$1295,MATCH($D844,Hierarchy!$A$2:$A$1295,0))="","",INDEX(Hierarchy!$G$2:$G$1295,MATCH($D844,Hierarchy!$A$2:$A$1295,0))),"NODE NOT FOUND"))</f>
        <v>ESP</v>
      </c>
      <c r="K844" s="7" t="str">
        <f aca="false">IF($D844="","",IFERROR(IF(INDEX(Hierarchy!$H$2:$H$1295,MATCH($D844,Hierarchy!$A$2:$A$1295,0))="","",INDEX(Hierarchy!$H$2:$H$1295,MATCH($D844,Hierarchy!$A$2:$A$1295,0))),"NODE NOT FOUND"))</f>
        <v/>
      </c>
      <c r="L844" s="7" t="str">
        <f aca="false">IF($D844="","",IFERROR(IF(INDEX(Hierarchy!$I$2:$I$1295,MATCH($D844,Hierarchy!$A$2:$A$1295,0))="","",INDEX(Hierarchy!$I$2:$I$1295,MATCH($D844,Hierarchy!$A$2:$A$1295,0))),"NODE NOT FOUND"))</f>
        <v/>
      </c>
      <c r="M844" s="17" t="str">
        <f aca="false">IF(B844="Pre-seeded","Pre-seeded",IF(B844="Review 2026-09-16","Added from review",IF(C844="","New",IF(C844=D844,"","Changed"))))</f>
        <v>Pre-seeded</v>
      </c>
      <c r="N844" s="7" t="str">
        <f aca="false">TRIM(SUBSTITUTE(SUBSTITUTE(SUBSTITUTE(" "&amp;TRIM(SUBSTITUTE(SUBSTITUTE(SUBSTITUTE(SUBSTITUTE(SUBSTITUTE(SUBSTITUTE(SUBSTITUTE(SUBSTITUTE(SUBSTITUTE(SUBSTITUTE(SUBSTITUTE(SUBSTITUTE(SUBSTITUTE(SUBSTITUTE(SUBSTITUTE(UPPER(TRIM(A844)),"[MEMBER]",""),"{MEMBER}",""),"[MEMBER}",""),"MEMBER]",""),"(A)",""),"""",""),"“",""),"”",""),".",""),":",""),",",""),"–"," "),"-"," "),"/"," "),"&amp;"," AND "))&amp;" "," THE "," ")," TOTAL "," ")," OPERATIONS "," "))</f>
        <v>KINGDOM OF SPAIN</v>
      </c>
      <c r="O844" s="17" t="str">
        <f aca="false">IF(COUNTIFS($N$2:$N$2000,N844,$D$2:$D$2000,"&lt;&gt;"&amp;D844)&gt;0,"CONFLICT","")</f>
        <v/>
      </c>
      <c r="P844" s="7" t="s">
        <v>1936</v>
      </c>
    </row>
    <row r="845" customFormat="false" ht="15" hidden="false" customHeight="false" outlineLevel="0" collapsed="false">
      <c r="A845" s="7" t="s">
        <v>2316</v>
      </c>
      <c r="B845" s="7" t="s">
        <v>1879</v>
      </c>
      <c r="C845" s="7"/>
      <c r="D845" s="6" t="s">
        <v>975</v>
      </c>
      <c r="E845" s="6" t="s">
        <v>1880</v>
      </c>
      <c r="F845" s="7" t="str">
        <f aca="false">IF($D845="","",IFERROR(IF(INDEX(Hierarchy!$B$2:$B$1295,MATCH($D845,Hierarchy!$A$2:$A$1295,0))="","",INDEX(Hierarchy!$B$2:$B$1295,MATCH($D845,Hierarchy!$A$2:$A$1295,0))),"NODE NOT FOUND"))</f>
        <v>Country</v>
      </c>
      <c r="G845" s="7" t="str">
        <f aca="false">IF($D845="","",IFERROR(IF(INDEX(Hierarchy!$D$2:$D$1295,MATCH($D845,Hierarchy!$A$2:$A$1295,0))="","",INDEX(Hierarchy!$D$2:$D$1295,MATCH($D845,Hierarchy!$A$2:$A$1295,0))),"NODE NOT FOUND"))</f>
        <v>EMEA</v>
      </c>
      <c r="H845" s="7" t="str">
        <f aca="false">IF($D845="","",IFERROR(IF(INDEX(Hierarchy!$E$2:$E$1295,MATCH($D845,Hierarchy!$A$2:$A$1295,0))="","",INDEX(Hierarchy!$E$2:$E$1295,MATCH($D845,Hierarchy!$A$2:$A$1295,0))),"NODE NOT FOUND"))</f>
        <v>Europe</v>
      </c>
      <c r="I845" s="7" t="str">
        <f aca="false">IF($D845="","",IFERROR(IF(INDEX(Hierarchy!$F$2:$F$1295,MATCH($D845,Hierarchy!$A$2:$A$1295,0))="","",INDEX(Hierarchy!$F$2:$F$1295,MATCH($D845,Hierarchy!$A$2:$A$1295,0))),"NODE NOT FOUND"))</f>
        <v>Sweden</v>
      </c>
      <c r="J845" s="7" t="str">
        <f aca="false">IF($D845="","",IFERROR(IF(INDEX(Hierarchy!$G$2:$G$1295,MATCH($D845,Hierarchy!$A$2:$A$1295,0))="","",INDEX(Hierarchy!$G$2:$G$1295,MATCH($D845,Hierarchy!$A$2:$A$1295,0))),"NODE NOT FOUND"))</f>
        <v>SWE</v>
      </c>
      <c r="K845" s="7" t="str">
        <f aca="false">IF($D845="","",IFERROR(IF(INDEX(Hierarchy!$H$2:$H$1295,MATCH($D845,Hierarchy!$A$2:$A$1295,0))="","",INDEX(Hierarchy!$H$2:$H$1295,MATCH($D845,Hierarchy!$A$2:$A$1295,0))),"NODE NOT FOUND"))</f>
        <v/>
      </c>
      <c r="L845" s="7" t="str">
        <f aca="false">IF($D845="","",IFERROR(IF(INDEX(Hierarchy!$I$2:$I$1295,MATCH($D845,Hierarchy!$A$2:$A$1295,0))="","",INDEX(Hierarchy!$I$2:$I$1295,MATCH($D845,Hierarchy!$A$2:$A$1295,0))),"NODE NOT FOUND"))</f>
        <v/>
      </c>
      <c r="M845" s="17" t="str">
        <f aca="false">IF(B845="Pre-seeded","Pre-seeded",IF(B845="Review 2026-09-16","Added from review",IF(C845="","New",IF(C845=D845,"","Changed"))))</f>
        <v>Pre-seeded</v>
      </c>
      <c r="N845" s="7" t="str">
        <f aca="false">TRIM(SUBSTITUTE(SUBSTITUTE(SUBSTITUTE(" "&amp;TRIM(SUBSTITUTE(SUBSTITUTE(SUBSTITUTE(SUBSTITUTE(SUBSTITUTE(SUBSTITUTE(SUBSTITUTE(SUBSTITUTE(SUBSTITUTE(SUBSTITUTE(SUBSTITUTE(SUBSTITUTE(SUBSTITUTE(SUBSTITUTE(SUBSTITUTE(UPPER(TRIM(A845)),"[MEMBER]",""),"{MEMBER}",""),"[MEMBER}",""),"MEMBER]",""),"(A)",""),"""",""),"“",""),"”",""),".",""),":",""),",",""),"–"," "),"-"," "),"/"," "),"&amp;"," AND "))&amp;" "," THE "," ")," TOTAL "," ")," OPERATIONS "," "))</f>
        <v>KINGDOM OF SWEDEN</v>
      </c>
      <c r="O845" s="17" t="str">
        <f aca="false">IF(COUNTIFS($N$2:$N$2000,N845,$D$2:$D$2000,"&lt;&gt;"&amp;D845)&gt;0,"CONFLICT","")</f>
        <v/>
      </c>
      <c r="P845" s="7" t="s">
        <v>1936</v>
      </c>
    </row>
    <row r="846" customFormat="false" ht="15" hidden="false" customHeight="false" outlineLevel="0" collapsed="false">
      <c r="A846" s="7" t="s">
        <v>2317</v>
      </c>
      <c r="B846" s="7" t="s">
        <v>1879</v>
      </c>
      <c r="C846" s="7"/>
      <c r="D846" s="6" t="s">
        <v>1684</v>
      </c>
      <c r="E846" s="6" t="s">
        <v>1880</v>
      </c>
      <c r="F846" s="7" t="str">
        <f aca="false">IF($D846="","",IFERROR(IF(INDEX(Hierarchy!$B$2:$B$1295,MATCH($D846,Hierarchy!$A$2:$A$1295,0))="","",INDEX(Hierarchy!$B$2:$B$1295,MATCH($D846,Hierarchy!$A$2:$A$1295,0))),"NODE NOT FOUND"))</f>
        <v>Country</v>
      </c>
      <c r="G846" s="7" t="str">
        <f aca="false">IF($D846="","",IFERROR(IF(INDEX(Hierarchy!$D$2:$D$1295,MATCH($D846,Hierarchy!$A$2:$A$1295,0))="","",INDEX(Hierarchy!$D$2:$D$1295,MATCH($D846,Hierarchy!$A$2:$A$1295,0))),"NODE NOT FOUND"))</f>
        <v>APAC</v>
      </c>
      <c r="H846" s="7" t="str">
        <f aca="false">IF($D846="","",IFERROR(IF(INDEX(Hierarchy!$E$2:$E$1295,MATCH($D846,Hierarchy!$A$2:$A$1295,0))="","",INDEX(Hierarchy!$E$2:$E$1295,MATCH($D846,Hierarchy!$A$2:$A$1295,0))),"NODE NOT FOUND"))</f>
        <v>Southeast Asia (ASEAN)</v>
      </c>
      <c r="I846" s="7" t="str">
        <f aca="false">IF($D846="","",IFERROR(IF(INDEX(Hierarchy!$F$2:$F$1295,MATCH($D846,Hierarchy!$A$2:$A$1295,0))="","",INDEX(Hierarchy!$F$2:$F$1295,MATCH($D846,Hierarchy!$A$2:$A$1295,0))),"NODE NOT FOUND"))</f>
        <v>Thailand</v>
      </c>
      <c r="J846" s="7" t="str">
        <f aca="false">IF($D846="","",IFERROR(IF(INDEX(Hierarchy!$G$2:$G$1295,MATCH($D846,Hierarchy!$A$2:$A$1295,0))="","",INDEX(Hierarchy!$G$2:$G$1295,MATCH($D846,Hierarchy!$A$2:$A$1295,0))),"NODE NOT FOUND"))</f>
        <v>THA</v>
      </c>
      <c r="K846" s="7" t="str">
        <f aca="false">IF($D846="","",IFERROR(IF(INDEX(Hierarchy!$H$2:$H$1295,MATCH($D846,Hierarchy!$A$2:$A$1295,0))="","",INDEX(Hierarchy!$H$2:$H$1295,MATCH($D846,Hierarchy!$A$2:$A$1295,0))),"NODE NOT FOUND"))</f>
        <v/>
      </c>
      <c r="L846" s="7" t="str">
        <f aca="false">IF($D846="","",IFERROR(IF(INDEX(Hierarchy!$I$2:$I$1295,MATCH($D846,Hierarchy!$A$2:$A$1295,0))="","",INDEX(Hierarchy!$I$2:$I$1295,MATCH($D846,Hierarchy!$A$2:$A$1295,0))),"NODE NOT FOUND"))</f>
        <v/>
      </c>
      <c r="M846" s="17" t="str">
        <f aca="false">IF(B846="Pre-seeded","Pre-seeded",IF(B846="Review 2026-09-16","Added from review",IF(C846="","New",IF(C846=D846,"","Changed"))))</f>
        <v>Pre-seeded</v>
      </c>
      <c r="N846" s="7" t="str">
        <f aca="false">TRIM(SUBSTITUTE(SUBSTITUTE(SUBSTITUTE(" "&amp;TRIM(SUBSTITUTE(SUBSTITUTE(SUBSTITUTE(SUBSTITUTE(SUBSTITUTE(SUBSTITUTE(SUBSTITUTE(SUBSTITUTE(SUBSTITUTE(SUBSTITUTE(SUBSTITUTE(SUBSTITUTE(SUBSTITUTE(SUBSTITUTE(SUBSTITUTE(UPPER(TRIM(A846)),"[MEMBER]",""),"{MEMBER}",""),"[MEMBER}",""),"MEMBER]",""),"(A)",""),"""",""),"“",""),"”",""),".",""),":",""),",",""),"–"," "),"-"," "),"/"," "),"&amp;"," AND "))&amp;" "," THE "," ")," TOTAL "," ")," OPERATIONS "," "))</f>
        <v>KINGDOM OF THAILAND</v>
      </c>
      <c r="O846" s="17" t="str">
        <f aca="false">IF(COUNTIFS($N$2:$N$2000,N846,$D$2:$D$2000,"&lt;&gt;"&amp;D846)&gt;0,"CONFLICT","")</f>
        <v/>
      </c>
      <c r="P846" s="7" t="s">
        <v>1936</v>
      </c>
    </row>
    <row r="847" customFormat="false" ht="15" hidden="false" customHeight="false" outlineLevel="0" collapsed="false">
      <c r="A847" s="7" t="s">
        <v>2318</v>
      </c>
      <c r="B847" s="7" t="s">
        <v>1879</v>
      </c>
      <c r="C847" s="7"/>
      <c r="D847" s="6" t="s">
        <v>883</v>
      </c>
      <c r="E847" s="6" t="s">
        <v>1880</v>
      </c>
      <c r="F847" s="7" t="str">
        <f aca="false">IF($D847="","",IFERROR(IF(INDEX(Hierarchy!$B$2:$B$1295,MATCH($D847,Hierarchy!$A$2:$A$1295,0))="","",INDEX(Hierarchy!$B$2:$B$1295,MATCH($D847,Hierarchy!$A$2:$A$1295,0))),"NODE NOT FOUND"))</f>
        <v>Country</v>
      </c>
      <c r="G847" s="7" t="str">
        <f aca="false">IF($D847="","",IFERROR(IF(INDEX(Hierarchy!$D$2:$D$1295,MATCH($D847,Hierarchy!$A$2:$A$1295,0))="","",INDEX(Hierarchy!$D$2:$D$1295,MATCH($D847,Hierarchy!$A$2:$A$1295,0))),"NODE NOT FOUND"))</f>
        <v>EMEA</v>
      </c>
      <c r="H847" s="7" t="str">
        <f aca="false">IF($D847="","",IFERROR(IF(INDEX(Hierarchy!$E$2:$E$1295,MATCH($D847,Hierarchy!$A$2:$A$1295,0))="","",INDEX(Hierarchy!$E$2:$E$1295,MATCH($D847,Hierarchy!$A$2:$A$1295,0))),"NODE NOT FOUND"))</f>
        <v>Europe</v>
      </c>
      <c r="I847" s="7" t="str">
        <f aca="false">IF($D847="","",IFERROR(IF(INDEX(Hierarchy!$F$2:$F$1295,MATCH($D847,Hierarchy!$A$2:$A$1295,0))="","",INDEX(Hierarchy!$F$2:$F$1295,MATCH($D847,Hierarchy!$A$2:$A$1295,0))),"NODE NOT FOUND"))</f>
        <v>Netherlands</v>
      </c>
      <c r="J847" s="7" t="str">
        <f aca="false">IF($D847="","",IFERROR(IF(INDEX(Hierarchy!$G$2:$G$1295,MATCH($D847,Hierarchy!$A$2:$A$1295,0))="","",INDEX(Hierarchy!$G$2:$G$1295,MATCH($D847,Hierarchy!$A$2:$A$1295,0))),"NODE NOT FOUND"))</f>
        <v>NLD</v>
      </c>
      <c r="K847" s="7" t="str">
        <f aca="false">IF($D847="","",IFERROR(IF(INDEX(Hierarchy!$H$2:$H$1295,MATCH($D847,Hierarchy!$A$2:$A$1295,0))="","",INDEX(Hierarchy!$H$2:$H$1295,MATCH($D847,Hierarchy!$A$2:$A$1295,0))),"NODE NOT FOUND"))</f>
        <v/>
      </c>
      <c r="L847" s="7" t="str">
        <f aca="false">IF($D847="","",IFERROR(IF(INDEX(Hierarchy!$I$2:$I$1295,MATCH($D847,Hierarchy!$A$2:$A$1295,0))="","",INDEX(Hierarchy!$I$2:$I$1295,MATCH($D847,Hierarchy!$A$2:$A$1295,0))),"NODE NOT FOUND"))</f>
        <v/>
      </c>
      <c r="M847" s="17" t="str">
        <f aca="false">IF(B847="Pre-seeded","Pre-seeded",IF(B847="Review 2026-09-16","Added from review",IF(C847="","New",IF(C847=D847,"","Changed"))))</f>
        <v>Pre-seeded</v>
      </c>
      <c r="N847" s="7" t="str">
        <f aca="false">TRIM(SUBSTITUTE(SUBSTITUTE(SUBSTITUTE(" "&amp;TRIM(SUBSTITUTE(SUBSTITUTE(SUBSTITUTE(SUBSTITUTE(SUBSTITUTE(SUBSTITUTE(SUBSTITUTE(SUBSTITUTE(SUBSTITUTE(SUBSTITUTE(SUBSTITUTE(SUBSTITUTE(SUBSTITUTE(SUBSTITUTE(SUBSTITUTE(UPPER(TRIM(A847)),"[MEMBER]",""),"{MEMBER}",""),"[MEMBER}",""),"MEMBER]",""),"(A)",""),"""",""),"“",""),"”",""),".",""),":",""),",",""),"–"," "),"-"," "),"/"," "),"&amp;"," AND "))&amp;" "," THE "," ")," TOTAL "," ")," OPERATIONS "," "))</f>
        <v>KINGDOM OF NETHERLANDS</v>
      </c>
      <c r="O847" s="17" t="str">
        <f aca="false">IF(COUNTIFS($N$2:$N$2000,N847,$D$2:$D$2000,"&lt;&gt;"&amp;D847)&gt;0,"CONFLICT","")</f>
        <v/>
      </c>
      <c r="P847" s="7" t="s">
        <v>1936</v>
      </c>
    </row>
    <row r="848" customFormat="false" ht="15" hidden="false" customHeight="false" outlineLevel="0" collapsed="false">
      <c r="A848" s="7" t="s">
        <v>2319</v>
      </c>
      <c r="B848" s="7" t="s">
        <v>1879</v>
      </c>
      <c r="C848" s="7"/>
      <c r="D848" s="6" t="s">
        <v>1776</v>
      </c>
      <c r="E848" s="6" t="s">
        <v>1880</v>
      </c>
      <c r="F848" s="7" t="str">
        <f aca="false">IF($D848="","",IFERROR(IF(INDEX(Hierarchy!$B$2:$B$1295,MATCH($D848,Hierarchy!$A$2:$A$1295,0))="","",INDEX(Hierarchy!$B$2:$B$1295,MATCH($D848,Hierarchy!$A$2:$A$1295,0))),"NODE NOT FOUND"))</f>
        <v>Country</v>
      </c>
      <c r="G848" s="7" t="str">
        <f aca="false">IF($D848="","",IFERROR(IF(INDEX(Hierarchy!$D$2:$D$1295,MATCH($D848,Hierarchy!$A$2:$A$1295,0))="","",INDEX(Hierarchy!$D$2:$D$1295,MATCH($D848,Hierarchy!$A$2:$A$1295,0))),"NODE NOT FOUND"))</f>
        <v>APAC</v>
      </c>
      <c r="H848" s="7" t="str">
        <f aca="false">IF($D848="","",IFERROR(IF(INDEX(Hierarchy!$E$2:$E$1295,MATCH($D848,Hierarchy!$A$2:$A$1295,0))="","",INDEX(Hierarchy!$E$2:$E$1295,MATCH($D848,Hierarchy!$A$2:$A$1295,0))),"NODE NOT FOUND"))</f>
        <v>Oceania (ANZ)</v>
      </c>
      <c r="I848" s="7" t="str">
        <f aca="false">IF($D848="","",IFERROR(IF(INDEX(Hierarchy!$F$2:$F$1295,MATCH($D848,Hierarchy!$A$2:$A$1295,0))="","",INDEX(Hierarchy!$F$2:$F$1295,MATCH($D848,Hierarchy!$A$2:$A$1295,0))),"NODE NOT FOUND"))</f>
        <v>Tonga</v>
      </c>
      <c r="J848" s="7" t="str">
        <f aca="false">IF($D848="","",IFERROR(IF(INDEX(Hierarchy!$G$2:$G$1295,MATCH($D848,Hierarchy!$A$2:$A$1295,0))="","",INDEX(Hierarchy!$G$2:$G$1295,MATCH($D848,Hierarchy!$A$2:$A$1295,0))),"NODE NOT FOUND"))</f>
        <v>TON</v>
      </c>
      <c r="K848" s="7" t="str">
        <f aca="false">IF($D848="","",IFERROR(IF(INDEX(Hierarchy!$H$2:$H$1295,MATCH($D848,Hierarchy!$A$2:$A$1295,0))="","",INDEX(Hierarchy!$H$2:$H$1295,MATCH($D848,Hierarchy!$A$2:$A$1295,0))),"NODE NOT FOUND"))</f>
        <v/>
      </c>
      <c r="L848" s="7" t="str">
        <f aca="false">IF($D848="","",IFERROR(IF(INDEX(Hierarchy!$I$2:$I$1295,MATCH($D848,Hierarchy!$A$2:$A$1295,0))="","",INDEX(Hierarchy!$I$2:$I$1295,MATCH($D848,Hierarchy!$A$2:$A$1295,0))),"NODE NOT FOUND"))</f>
        <v/>
      </c>
      <c r="M848" s="17" t="str">
        <f aca="false">IF(B848="Pre-seeded","Pre-seeded",IF(B848="Review 2026-09-16","Added from review",IF(C848="","New",IF(C848=D848,"","Changed"))))</f>
        <v>Pre-seeded</v>
      </c>
      <c r="N848" s="7" t="str">
        <f aca="false">TRIM(SUBSTITUTE(SUBSTITUTE(SUBSTITUTE(" "&amp;TRIM(SUBSTITUTE(SUBSTITUTE(SUBSTITUTE(SUBSTITUTE(SUBSTITUTE(SUBSTITUTE(SUBSTITUTE(SUBSTITUTE(SUBSTITUTE(SUBSTITUTE(SUBSTITUTE(SUBSTITUTE(SUBSTITUTE(SUBSTITUTE(SUBSTITUTE(UPPER(TRIM(A848)),"[MEMBER]",""),"{MEMBER}",""),"[MEMBER}",""),"MEMBER]",""),"(A)",""),"""",""),"“",""),"”",""),".",""),":",""),",",""),"–"," "),"-"," "),"/"," "),"&amp;"," AND "))&amp;" "," THE "," ")," TOTAL "," ")," OPERATIONS "," "))</f>
        <v>KINGDOM OF TONGA</v>
      </c>
      <c r="O848" s="17" t="str">
        <f aca="false">IF(COUNTIFS($N$2:$N$2000,N848,$D$2:$D$2000,"&lt;&gt;"&amp;D848)&gt;0,"CONFLICT","")</f>
        <v/>
      </c>
      <c r="P848" s="7" t="s">
        <v>1936</v>
      </c>
    </row>
    <row r="849" customFormat="false" ht="15" hidden="false" customHeight="false" outlineLevel="0" collapsed="false">
      <c r="A849" s="7" t="s">
        <v>1749</v>
      </c>
      <c r="B849" s="7" t="s">
        <v>1879</v>
      </c>
      <c r="C849" s="7"/>
      <c r="D849" s="6" t="s">
        <v>1749</v>
      </c>
      <c r="E849" s="6" t="s">
        <v>1880</v>
      </c>
      <c r="F849" s="7" t="str">
        <f aca="false">IF($D849="","",IFERROR(IF(INDEX(Hierarchy!$B$2:$B$1295,MATCH($D849,Hierarchy!$A$2:$A$1295,0))="","",INDEX(Hierarchy!$B$2:$B$1295,MATCH($D849,Hierarchy!$A$2:$A$1295,0))),"NODE NOT FOUND"))</f>
        <v>Country</v>
      </c>
      <c r="G849" s="7" t="str">
        <f aca="false">IF($D849="","",IFERROR(IF(INDEX(Hierarchy!$D$2:$D$1295,MATCH($D849,Hierarchy!$A$2:$A$1295,0))="","",INDEX(Hierarchy!$D$2:$D$1295,MATCH($D849,Hierarchy!$A$2:$A$1295,0))),"NODE NOT FOUND"))</f>
        <v>APAC</v>
      </c>
      <c r="H849" s="7" t="str">
        <f aca="false">IF($D849="","",IFERROR(IF(INDEX(Hierarchy!$E$2:$E$1295,MATCH($D849,Hierarchy!$A$2:$A$1295,0))="","",INDEX(Hierarchy!$E$2:$E$1295,MATCH($D849,Hierarchy!$A$2:$A$1295,0))),"NODE NOT FOUND"))</f>
        <v>Oceania (ANZ)</v>
      </c>
      <c r="I849" s="7" t="str">
        <f aca="false">IF($D849="","",IFERROR(IF(INDEX(Hierarchy!$F$2:$F$1295,MATCH($D849,Hierarchy!$A$2:$A$1295,0))="","",INDEX(Hierarchy!$F$2:$F$1295,MATCH($D849,Hierarchy!$A$2:$A$1295,0))),"NODE NOT FOUND"))</f>
        <v>Kiribati</v>
      </c>
      <c r="J849" s="7" t="str">
        <f aca="false">IF($D849="","",IFERROR(IF(INDEX(Hierarchy!$G$2:$G$1295,MATCH($D849,Hierarchy!$A$2:$A$1295,0))="","",INDEX(Hierarchy!$G$2:$G$1295,MATCH($D849,Hierarchy!$A$2:$A$1295,0))),"NODE NOT FOUND"))</f>
        <v>KIR</v>
      </c>
      <c r="K849" s="7" t="str">
        <f aca="false">IF($D849="","",IFERROR(IF(INDEX(Hierarchy!$H$2:$H$1295,MATCH($D849,Hierarchy!$A$2:$A$1295,0))="","",INDEX(Hierarchy!$H$2:$H$1295,MATCH($D849,Hierarchy!$A$2:$A$1295,0))),"NODE NOT FOUND"))</f>
        <v/>
      </c>
      <c r="L849" s="7" t="str">
        <f aca="false">IF($D849="","",IFERROR(IF(INDEX(Hierarchy!$I$2:$I$1295,MATCH($D849,Hierarchy!$A$2:$A$1295,0))="","",INDEX(Hierarchy!$I$2:$I$1295,MATCH($D849,Hierarchy!$A$2:$A$1295,0))),"NODE NOT FOUND"))</f>
        <v/>
      </c>
      <c r="M849" s="17" t="str">
        <f aca="false">IF(B849="Pre-seeded","Pre-seeded",IF(B849="Review 2026-09-16","Added from review",IF(C849="","New",IF(C849=D849,"","Changed"))))</f>
        <v>Pre-seeded</v>
      </c>
      <c r="N849" s="7" t="str">
        <f aca="false">TRIM(SUBSTITUTE(SUBSTITUTE(SUBSTITUTE(" "&amp;TRIM(SUBSTITUTE(SUBSTITUTE(SUBSTITUTE(SUBSTITUTE(SUBSTITUTE(SUBSTITUTE(SUBSTITUTE(SUBSTITUTE(SUBSTITUTE(SUBSTITUTE(SUBSTITUTE(SUBSTITUTE(SUBSTITUTE(SUBSTITUTE(SUBSTITUTE(UPPER(TRIM(A849)),"[MEMBER]",""),"{MEMBER}",""),"[MEMBER}",""),"MEMBER]",""),"(A)",""),"""",""),"“",""),"”",""),".",""),":",""),",",""),"–"," "),"-"," "),"/"," "),"&amp;"," AND "))&amp;" "," THE "," ")," TOTAL "," ")," OPERATIONS "," "))</f>
        <v>KIRIBATI</v>
      </c>
      <c r="O849" s="17" t="str">
        <f aca="false">IF(COUNTIFS($N$2:$N$2000,N849,$D$2:$D$2000,"&lt;&gt;"&amp;D849)&gt;0,"CONFLICT","")</f>
        <v/>
      </c>
      <c r="P849" s="7"/>
    </row>
    <row r="850" customFormat="false" ht="15" hidden="false" customHeight="false" outlineLevel="0" collapsed="false">
      <c r="A850" s="7" t="s">
        <v>1460</v>
      </c>
      <c r="B850" s="7" t="s">
        <v>1879</v>
      </c>
      <c r="C850" s="7"/>
      <c r="D850" s="6" t="s">
        <v>1460</v>
      </c>
      <c r="E850" s="6" t="s">
        <v>1880</v>
      </c>
      <c r="F850" s="7" t="str">
        <f aca="false">IF($D850="","",IFERROR(IF(INDEX(Hierarchy!$B$2:$B$1295,MATCH($D850,Hierarchy!$A$2:$A$1295,0))="","",INDEX(Hierarchy!$B$2:$B$1295,MATCH($D850,Hierarchy!$A$2:$A$1295,0))),"NODE NOT FOUND"))</f>
        <v>State/Province</v>
      </c>
      <c r="G850" s="7" t="str">
        <f aca="false">IF($D850="","",IFERROR(IF(INDEX(Hierarchy!$D$2:$D$1295,MATCH($D850,Hierarchy!$A$2:$A$1295,0))="","",INDEX(Hierarchy!$D$2:$D$1295,MATCH($D850,Hierarchy!$A$2:$A$1295,0))),"NODE NOT FOUND"))</f>
        <v>APAC</v>
      </c>
      <c r="H850" s="7" t="str">
        <f aca="false">IF($D850="","",IFERROR(IF(INDEX(Hierarchy!$E$2:$E$1295,MATCH($D850,Hierarchy!$A$2:$A$1295,0))="","",INDEX(Hierarchy!$E$2:$E$1295,MATCH($D850,Hierarchy!$A$2:$A$1295,0))),"NODE NOT FOUND"))</f>
        <v>East Asia</v>
      </c>
      <c r="I850" s="7" t="str">
        <f aca="false">IF($D850="","",IFERROR(IF(INDEX(Hierarchy!$F$2:$F$1295,MATCH($D850,Hierarchy!$A$2:$A$1295,0))="","",INDEX(Hierarchy!$F$2:$F$1295,MATCH($D850,Hierarchy!$A$2:$A$1295,0))),"NODE NOT FOUND"))</f>
        <v>Japan</v>
      </c>
      <c r="J850" s="7" t="str">
        <f aca="false">IF($D850="","",IFERROR(IF(INDEX(Hierarchy!$G$2:$G$1295,MATCH($D850,Hierarchy!$A$2:$A$1295,0))="","",INDEX(Hierarchy!$G$2:$G$1295,MATCH($D850,Hierarchy!$A$2:$A$1295,0))),"NODE NOT FOUND"))</f>
        <v>JPN</v>
      </c>
      <c r="K850" s="7" t="str">
        <f aca="false">IF($D850="","",IFERROR(IF(INDEX(Hierarchy!$H$2:$H$1295,MATCH($D850,Hierarchy!$A$2:$A$1295,0))="","",INDEX(Hierarchy!$H$2:$H$1295,MATCH($D850,Hierarchy!$A$2:$A$1295,0))),"NODE NOT FOUND"))</f>
        <v>Kochi</v>
      </c>
      <c r="L850" s="7" t="str">
        <f aca="false">IF($D850="","",IFERROR(IF(INDEX(Hierarchy!$I$2:$I$1295,MATCH($D850,Hierarchy!$A$2:$A$1295,0))="","",INDEX(Hierarchy!$I$2:$I$1295,MATCH($D850,Hierarchy!$A$2:$A$1295,0))),"NODE NOT FOUND"))</f>
        <v/>
      </c>
      <c r="M850" s="17" t="str">
        <f aca="false">IF(B850="Pre-seeded","Pre-seeded",IF(B850="Review 2026-09-16","Added from review",IF(C850="","New",IF(C850=D850,"","Changed"))))</f>
        <v>Pre-seeded</v>
      </c>
      <c r="N850" s="7" t="str">
        <f aca="false">TRIM(SUBSTITUTE(SUBSTITUTE(SUBSTITUTE(" "&amp;TRIM(SUBSTITUTE(SUBSTITUTE(SUBSTITUTE(SUBSTITUTE(SUBSTITUTE(SUBSTITUTE(SUBSTITUTE(SUBSTITUTE(SUBSTITUTE(SUBSTITUTE(SUBSTITUTE(SUBSTITUTE(SUBSTITUTE(SUBSTITUTE(SUBSTITUTE(UPPER(TRIM(A850)),"[MEMBER]",""),"{MEMBER}",""),"[MEMBER}",""),"MEMBER]",""),"(A)",""),"""",""),"“",""),"”",""),".",""),":",""),",",""),"–"," "),"-"," "),"/"," "),"&amp;"," AND "))&amp;" "," THE "," ")," TOTAL "," ")," OPERATIONS "," "))</f>
        <v>KOCHI</v>
      </c>
      <c r="O850" s="17" t="str">
        <f aca="false">IF(COUNTIFS($N$2:$N$2000,N850,$D$2:$D$2000,"&lt;&gt;"&amp;D850)&gt;0,"CONFLICT","")</f>
        <v/>
      </c>
      <c r="P850" s="7"/>
    </row>
    <row r="851" customFormat="false" ht="15" hidden="false" customHeight="false" outlineLevel="0" collapsed="false">
      <c r="A851" s="7" t="s">
        <v>1155</v>
      </c>
      <c r="B851" s="7" t="s">
        <v>1879</v>
      </c>
      <c r="C851" s="7"/>
      <c r="D851" s="6" t="s">
        <v>1155</v>
      </c>
      <c r="E851" s="6" t="s">
        <v>1880</v>
      </c>
      <c r="F851" s="7" t="str">
        <f aca="false">IF($D851="","",IFERROR(IF(INDEX(Hierarchy!$B$2:$B$1295,MATCH($D851,Hierarchy!$A$2:$A$1295,0))="","",INDEX(Hierarchy!$B$2:$B$1295,MATCH($D851,Hierarchy!$A$2:$A$1295,0))),"NODE NOT FOUND"))</f>
        <v>State/Province</v>
      </c>
      <c r="G851" s="7" t="str">
        <f aca="false">IF($D851="","",IFERROR(IF(INDEX(Hierarchy!$D$2:$D$1295,MATCH($D851,Hierarchy!$A$2:$A$1295,0))="","",INDEX(Hierarchy!$D$2:$D$1295,MATCH($D851,Hierarchy!$A$2:$A$1295,0))),"NODE NOT FOUND"))</f>
        <v>EMEA</v>
      </c>
      <c r="H851" s="7" t="str">
        <f aca="false">IF($D851="","",IFERROR(IF(INDEX(Hierarchy!$E$2:$E$1295,MATCH($D851,Hierarchy!$A$2:$A$1295,0))="","",INDEX(Hierarchy!$E$2:$E$1295,MATCH($D851,Hierarchy!$A$2:$A$1295,0))),"NODE NOT FOUND"))</f>
        <v>Africa</v>
      </c>
      <c r="I851" s="7" t="str">
        <f aca="false">IF($D851="","",IFERROR(IF(INDEX(Hierarchy!$F$2:$F$1295,MATCH($D851,Hierarchy!$A$2:$A$1295,0))="","",INDEX(Hierarchy!$F$2:$F$1295,MATCH($D851,Hierarchy!$A$2:$A$1295,0))),"NODE NOT FOUND"))</f>
        <v>Nigeria</v>
      </c>
      <c r="J851" s="7" t="str">
        <f aca="false">IF($D851="","",IFERROR(IF(INDEX(Hierarchy!$G$2:$G$1295,MATCH($D851,Hierarchy!$A$2:$A$1295,0))="","",INDEX(Hierarchy!$G$2:$G$1295,MATCH($D851,Hierarchy!$A$2:$A$1295,0))),"NODE NOT FOUND"))</f>
        <v>NGA</v>
      </c>
      <c r="K851" s="7" t="str">
        <f aca="false">IF($D851="","",IFERROR(IF(INDEX(Hierarchy!$H$2:$H$1295,MATCH($D851,Hierarchy!$A$2:$A$1295,0))="","",INDEX(Hierarchy!$H$2:$H$1295,MATCH($D851,Hierarchy!$A$2:$A$1295,0))),"NODE NOT FOUND"))</f>
        <v>Kogi</v>
      </c>
      <c r="L851" s="7" t="str">
        <f aca="false">IF($D851="","",IFERROR(IF(INDEX(Hierarchy!$I$2:$I$1295,MATCH($D851,Hierarchy!$A$2:$A$1295,0))="","",INDEX(Hierarchy!$I$2:$I$1295,MATCH($D851,Hierarchy!$A$2:$A$1295,0))),"NODE NOT FOUND"))</f>
        <v/>
      </c>
      <c r="M851" s="17" t="str">
        <f aca="false">IF(B851="Pre-seeded","Pre-seeded",IF(B851="Review 2026-09-16","Added from review",IF(C851="","New",IF(C851=D851,"","Changed"))))</f>
        <v>Pre-seeded</v>
      </c>
      <c r="N851" s="7" t="str">
        <f aca="false">TRIM(SUBSTITUTE(SUBSTITUTE(SUBSTITUTE(" "&amp;TRIM(SUBSTITUTE(SUBSTITUTE(SUBSTITUTE(SUBSTITUTE(SUBSTITUTE(SUBSTITUTE(SUBSTITUTE(SUBSTITUTE(SUBSTITUTE(SUBSTITUTE(SUBSTITUTE(SUBSTITUTE(SUBSTITUTE(SUBSTITUTE(SUBSTITUTE(UPPER(TRIM(A851)),"[MEMBER]",""),"{MEMBER}",""),"[MEMBER}",""),"MEMBER]",""),"(A)",""),"""",""),"“",""),"”",""),".",""),":",""),",",""),"–"," "),"-"," "),"/"," "),"&amp;"," AND "))&amp;" "," THE "," ")," TOTAL "," ")," OPERATIONS "," "))</f>
        <v>KOGI</v>
      </c>
      <c r="O851" s="17" t="str">
        <f aca="false">IF(COUNTIFS($N$2:$N$2000,N851,$D$2:$D$2000,"&lt;&gt;"&amp;D851)&gt;0,"CONFLICT","")</f>
        <v/>
      </c>
      <c r="P851" s="7"/>
    </row>
    <row r="852" customFormat="false" ht="15" hidden="false" customHeight="false" outlineLevel="0" collapsed="false">
      <c r="A852" s="7" t="s">
        <v>2320</v>
      </c>
      <c r="B852" s="7" t="s">
        <v>1882</v>
      </c>
      <c r="C852" s="7" t="s">
        <v>1559</v>
      </c>
      <c r="D852" s="6" t="s">
        <v>1559</v>
      </c>
      <c r="E852" s="6" t="s">
        <v>1880</v>
      </c>
      <c r="F852" s="7" t="str">
        <f aca="false">IF($D852="","",IFERROR(IF(INDEX(Hierarchy!$B$2:$B$1295,MATCH($D852,Hierarchy!$A$2:$A$1295,0))="","",INDEX(Hierarchy!$B$2:$B$1295,MATCH($D852,Hierarchy!$A$2:$A$1295,0))),"NODE NOT FOUND"))</f>
        <v>Country</v>
      </c>
      <c r="G852" s="7" t="str">
        <f aca="false">IF($D852="","",IFERROR(IF(INDEX(Hierarchy!$D$2:$D$1295,MATCH($D852,Hierarchy!$A$2:$A$1295,0))="","",INDEX(Hierarchy!$D$2:$D$1295,MATCH($D852,Hierarchy!$A$2:$A$1295,0))),"NODE NOT FOUND"))</f>
        <v>APAC</v>
      </c>
      <c r="H852" s="7" t="str">
        <f aca="false">IF($D852="","",IFERROR(IF(INDEX(Hierarchy!$E$2:$E$1295,MATCH($D852,Hierarchy!$A$2:$A$1295,0))="","",INDEX(Hierarchy!$E$2:$E$1295,MATCH($D852,Hierarchy!$A$2:$A$1295,0))),"NODE NOT FOUND"))</f>
        <v>East Asia</v>
      </c>
      <c r="I852" s="7" t="str">
        <f aca="false">IF($D852="","",IFERROR(IF(INDEX(Hierarchy!$F$2:$F$1295,MATCH($D852,Hierarchy!$A$2:$A$1295,0))="","",INDEX(Hierarchy!$F$2:$F$1295,MATCH($D852,Hierarchy!$A$2:$A$1295,0))),"NODE NOT FOUND"))</f>
        <v>South Korea</v>
      </c>
      <c r="J852" s="7" t="str">
        <f aca="false">IF($D852="","",IFERROR(IF(INDEX(Hierarchy!$G$2:$G$1295,MATCH($D852,Hierarchy!$A$2:$A$1295,0))="","",INDEX(Hierarchy!$G$2:$G$1295,MATCH($D852,Hierarchy!$A$2:$A$1295,0))),"NODE NOT FOUND"))</f>
        <v>KOR</v>
      </c>
      <c r="K852" s="7" t="str">
        <f aca="false">IF($D852="","",IFERROR(IF(INDEX(Hierarchy!$H$2:$H$1295,MATCH($D852,Hierarchy!$A$2:$A$1295,0))="","",INDEX(Hierarchy!$H$2:$H$1295,MATCH($D852,Hierarchy!$A$2:$A$1295,0))),"NODE NOT FOUND"))</f>
        <v/>
      </c>
      <c r="L852" s="7" t="str">
        <f aca="false">IF($D852="","",IFERROR(IF(INDEX(Hierarchy!$I$2:$I$1295,MATCH($D852,Hierarchy!$A$2:$A$1295,0))="","",INDEX(Hierarchy!$I$2:$I$1295,MATCH($D852,Hierarchy!$A$2:$A$1295,0))),"NODE NOT FOUND"))</f>
        <v/>
      </c>
      <c r="M852" s="17" t="str">
        <f aca="false">IF(B852="Pre-seeded","Pre-seeded",IF(B852="Review 2026-09-16","Added from review",IF(C852="","New",IF(C852=D852,"","Changed"))))</f>
        <v/>
      </c>
      <c r="N852" s="7" t="str">
        <f aca="false">TRIM(SUBSTITUTE(SUBSTITUTE(SUBSTITUTE(" "&amp;TRIM(SUBSTITUTE(SUBSTITUTE(SUBSTITUTE(SUBSTITUTE(SUBSTITUTE(SUBSTITUTE(SUBSTITUTE(SUBSTITUTE(SUBSTITUTE(SUBSTITUTE(SUBSTITUTE(SUBSTITUTE(SUBSTITUTE(SUBSTITUTE(SUBSTITUTE(UPPER(TRIM(A852)),"[MEMBER]",""),"{MEMBER}",""),"[MEMBER}",""),"MEMBER]",""),"(A)",""),"""",""),"“",""),"”",""),".",""),":",""),",",""),"–"," "),"-"," "),"/"," "),"&amp;"," AND "))&amp;" "," THE "," ")," TOTAL "," ")," OPERATIONS "," "))</f>
        <v>KOREA</v>
      </c>
      <c r="O852" s="17" t="str">
        <f aca="false">IF(COUNTIFS($N$2:$N$2000,N852,$D$2:$D$2000,"&lt;&gt;"&amp;D852)&gt;0,"CONFLICT","")</f>
        <v/>
      </c>
      <c r="P852" s="7"/>
    </row>
    <row r="853" customFormat="false" ht="15" hidden="false" customHeight="false" outlineLevel="0" collapsed="false">
      <c r="A853" s="7" t="s">
        <v>2321</v>
      </c>
      <c r="B853" s="7" t="s">
        <v>1882</v>
      </c>
      <c r="C853" s="7" t="s">
        <v>1559</v>
      </c>
      <c r="D853" s="6" t="s">
        <v>1559</v>
      </c>
      <c r="E853" s="6" t="s">
        <v>1880</v>
      </c>
      <c r="F853" s="7" t="str">
        <f aca="false">IF($D853="","",IFERROR(IF(INDEX(Hierarchy!$B$2:$B$1295,MATCH($D853,Hierarchy!$A$2:$A$1295,0))="","",INDEX(Hierarchy!$B$2:$B$1295,MATCH($D853,Hierarchy!$A$2:$A$1295,0))),"NODE NOT FOUND"))</f>
        <v>Country</v>
      </c>
      <c r="G853" s="7" t="str">
        <f aca="false">IF($D853="","",IFERROR(IF(INDEX(Hierarchy!$D$2:$D$1295,MATCH($D853,Hierarchy!$A$2:$A$1295,0))="","",INDEX(Hierarchy!$D$2:$D$1295,MATCH($D853,Hierarchy!$A$2:$A$1295,0))),"NODE NOT FOUND"))</f>
        <v>APAC</v>
      </c>
      <c r="H853" s="7" t="str">
        <f aca="false">IF($D853="","",IFERROR(IF(INDEX(Hierarchy!$E$2:$E$1295,MATCH($D853,Hierarchy!$A$2:$A$1295,0))="","",INDEX(Hierarchy!$E$2:$E$1295,MATCH($D853,Hierarchy!$A$2:$A$1295,0))),"NODE NOT FOUND"))</f>
        <v>East Asia</v>
      </c>
      <c r="I853" s="7" t="str">
        <f aca="false">IF($D853="","",IFERROR(IF(INDEX(Hierarchy!$F$2:$F$1295,MATCH($D853,Hierarchy!$A$2:$A$1295,0))="","",INDEX(Hierarchy!$F$2:$F$1295,MATCH($D853,Hierarchy!$A$2:$A$1295,0))),"NODE NOT FOUND"))</f>
        <v>South Korea</v>
      </c>
      <c r="J853" s="7" t="str">
        <f aca="false">IF($D853="","",IFERROR(IF(INDEX(Hierarchy!$G$2:$G$1295,MATCH($D853,Hierarchy!$A$2:$A$1295,0))="","",INDEX(Hierarchy!$G$2:$G$1295,MATCH($D853,Hierarchy!$A$2:$A$1295,0))),"NODE NOT FOUND"))</f>
        <v>KOR</v>
      </c>
      <c r="K853" s="7" t="str">
        <f aca="false">IF($D853="","",IFERROR(IF(INDEX(Hierarchy!$H$2:$H$1295,MATCH($D853,Hierarchy!$A$2:$A$1295,0))="","",INDEX(Hierarchy!$H$2:$H$1295,MATCH($D853,Hierarchy!$A$2:$A$1295,0))),"NODE NOT FOUND"))</f>
        <v/>
      </c>
      <c r="L853" s="7" t="str">
        <f aca="false">IF($D853="","",IFERROR(IF(INDEX(Hierarchy!$I$2:$I$1295,MATCH($D853,Hierarchy!$A$2:$A$1295,0))="","",INDEX(Hierarchy!$I$2:$I$1295,MATCH($D853,Hierarchy!$A$2:$A$1295,0))),"NODE NOT FOUND"))</f>
        <v/>
      </c>
      <c r="M853" s="17" t="str">
        <f aca="false">IF(B853="Pre-seeded","Pre-seeded",IF(B853="Review 2026-09-16","Added from review",IF(C853="","New",IF(C853=D853,"","Changed"))))</f>
        <v/>
      </c>
      <c r="N853" s="7" t="str">
        <f aca="false">TRIM(SUBSTITUTE(SUBSTITUTE(SUBSTITUTE(" "&amp;TRIM(SUBSTITUTE(SUBSTITUTE(SUBSTITUTE(SUBSTITUTE(SUBSTITUTE(SUBSTITUTE(SUBSTITUTE(SUBSTITUTE(SUBSTITUTE(SUBSTITUTE(SUBSTITUTE(SUBSTITUTE(SUBSTITUTE(SUBSTITUTE(SUBSTITUTE(UPPER(TRIM(A853)),"[MEMBER]",""),"{MEMBER}",""),"[MEMBER}",""),"MEMBER]",""),"(A)",""),"""",""),"“",""),"”",""),".",""),":",""),",",""),"–"," "),"-"," "),"/"," "),"&amp;"," AND "))&amp;" "," THE "," ")," TOTAL "," ")," OPERATIONS "," "))</f>
        <v>KOREA</v>
      </c>
      <c r="O853" s="17" t="str">
        <f aca="false">IF(COUNTIFS($N$2:$N$2000,N853,$D$2:$D$2000,"&lt;&gt;"&amp;D853)&gt;0,"CONFLICT","")</f>
        <v/>
      </c>
      <c r="P853" s="7"/>
    </row>
    <row r="854" customFormat="false" ht="15" hidden="false" customHeight="false" outlineLevel="0" collapsed="false">
      <c r="A854" s="7" t="s">
        <v>2322</v>
      </c>
      <c r="B854" s="7" t="s">
        <v>1879</v>
      </c>
      <c r="C854" s="7"/>
      <c r="D854" s="6" t="s">
        <v>1559</v>
      </c>
      <c r="E854" s="6" t="s">
        <v>1880</v>
      </c>
      <c r="F854" s="7" t="str">
        <f aca="false">IF($D854="","",IFERROR(IF(INDEX(Hierarchy!$B$2:$B$1295,MATCH($D854,Hierarchy!$A$2:$A$1295,0))="","",INDEX(Hierarchy!$B$2:$B$1295,MATCH($D854,Hierarchy!$A$2:$A$1295,0))),"NODE NOT FOUND"))</f>
        <v>Country</v>
      </c>
      <c r="G854" s="7" t="str">
        <f aca="false">IF($D854="","",IFERROR(IF(INDEX(Hierarchy!$D$2:$D$1295,MATCH($D854,Hierarchy!$A$2:$A$1295,0))="","",INDEX(Hierarchy!$D$2:$D$1295,MATCH($D854,Hierarchy!$A$2:$A$1295,0))),"NODE NOT FOUND"))</f>
        <v>APAC</v>
      </c>
      <c r="H854" s="7" t="str">
        <f aca="false">IF($D854="","",IFERROR(IF(INDEX(Hierarchy!$E$2:$E$1295,MATCH($D854,Hierarchy!$A$2:$A$1295,0))="","",INDEX(Hierarchy!$E$2:$E$1295,MATCH($D854,Hierarchy!$A$2:$A$1295,0))),"NODE NOT FOUND"))</f>
        <v>East Asia</v>
      </c>
      <c r="I854" s="7" t="str">
        <f aca="false">IF($D854="","",IFERROR(IF(INDEX(Hierarchy!$F$2:$F$1295,MATCH($D854,Hierarchy!$A$2:$A$1295,0))="","",INDEX(Hierarchy!$F$2:$F$1295,MATCH($D854,Hierarchy!$A$2:$A$1295,0))),"NODE NOT FOUND"))</f>
        <v>South Korea</v>
      </c>
      <c r="J854" s="7" t="str">
        <f aca="false">IF($D854="","",IFERROR(IF(INDEX(Hierarchy!$G$2:$G$1295,MATCH($D854,Hierarchy!$A$2:$A$1295,0))="","",INDEX(Hierarchy!$G$2:$G$1295,MATCH($D854,Hierarchy!$A$2:$A$1295,0))),"NODE NOT FOUND"))</f>
        <v>KOR</v>
      </c>
      <c r="K854" s="7" t="str">
        <f aca="false">IF($D854="","",IFERROR(IF(INDEX(Hierarchy!$H$2:$H$1295,MATCH($D854,Hierarchy!$A$2:$A$1295,0))="","",INDEX(Hierarchy!$H$2:$H$1295,MATCH($D854,Hierarchy!$A$2:$A$1295,0))),"NODE NOT FOUND"))</f>
        <v/>
      </c>
      <c r="L854" s="7" t="str">
        <f aca="false">IF($D854="","",IFERROR(IF(INDEX(Hierarchy!$I$2:$I$1295,MATCH($D854,Hierarchy!$A$2:$A$1295,0))="","",INDEX(Hierarchy!$I$2:$I$1295,MATCH($D854,Hierarchy!$A$2:$A$1295,0))),"NODE NOT FOUND"))</f>
        <v/>
      </c>
      <c r="M854" s="17" t="str">
        <f aca="false">IF(B854="Pre-seeded","Pre-seeded",IF(B854="Review 2026-09-16","Added from review",IF(C854="","New",IF(C854=D854,"","Changed"))))</f>
        <v>Pre-seeded</v>
      </c>
      <c r="N854" s="7" t="str">
        <f aca="false">TRIM(SUBSTITUTE(SUBSTITUTE(SUBSTITUTE(" "&amp;TRIM(SUBSTITUTE(SUBSTITUTE(SUBSTITUTE(SUBSTITUTE(SUBSTITUTE(SUBSTITUTE(SUBSTITUTE(SUBSTITUTE(SUBSTITUTE(SUBSTITUTE(SUBSTITUTE(SUBSTITUTE(SUBSTITUTE(SUBSTITUTE(SUBSTITUTE(UPPER(TRIM(A854)),"[MEMBER]",""),"{MEMBER}",""),"[MEMBER}",""),"MEMBER]",""),"(A)",""),"""",""),"“",""),"”",""),".",""),":",""),",",""),"–"," "),"-"," "),"/"," "),"&amp;"," AND "))&amp;" "," THE "," ")," TOTAL "," ")," OPERATIONS "," "))</f>
        <v>KOREA (SOUTH)</v>
      </c>
      <c r="O854" s="17" t="str">
        <f aca="false">IF(COUNTIFS($N$2:$N$2000,N854,$D$2:$D$2000,"&lt;&gt;"&amp;D854)&gt;0,"CONFLICT","")</f>
        <v/>
      </c>
      <c r="P854" s="7"/>
    </row>
    <row r="855" customFormat="false" ht="15" hidden="false" customHeight="false" outlineLevel="0" collapsed="false">
      <c r="A855" s="7" t="s">
        <v>2323</v>
      </c>
      <c r="B855" s="7" t="s">
        <v>1879</v>
      </c>
      <c r="C855" s="7"/>
      <c r="D855" s="6" t="s">
        <v>1557</v>
      </c>
      <c r="E855" s="6" t="s">
        <v>1880</v>
      </c>
      <c r="F855" s="7" t="str">
        <f aca="false">IF($D855="","",IFERROR(IF(INDEX(Hierarchy!$B$2:$B$1295,MATCH($D855,Hierarchy!$A$2:$A$1295,0))="","",INDEX(Hierarchy!$B$2:$B$1295,MATCH($D855,Hierarchy!$A$2:$A$1295,0))),"NODE NOT FOUND"))</f>
        <v>Country</v>
      </c>
      <c r="G855" s="7" t="str">
        <f aca="false">IF($D855="","",IFERROR(IF(INDEX(Hierarchy!$D$2:$D$1295,MATCH($D855,Hierarchy!$A$2:$A$1295,0))="","",INDEX(Hierarchy!$D$2:$D$1295,MATCH($D855,Hierarchy!$A$2:$A$1295,0))),"NODE NOT FOUND"))</f>
        <v>APAC</v>
      </c>
      <c r="H855" s="7" t="str">
        <f aca="false">IF($D855="","",IFERROR(IF(INDEX(Hierarchy!$E$2:$E$1295,MATCH($D855,Hierarchy!$A$2:$A$1295,0))="","",INDEX(Hierarchy!$E$2:$E$1295,MATCH($D855,Hierarchy!$A$2:$A$1295,0))),"NODE NOT FOUND"))</f>
        <v>East Asia</v>
      </c>
      <c r="I855" s="7" t="str">
        <f aca="false">IF($D855="","",IFERROR(IF(INDEX(Hierarchy!$F$2:$F$1295,MATCH($D855,Hierarchy!$A$2:$A$1295,0))="","",INDEX(Hierarchy!$F$2:$F$1295,MATCH($D855,Hierarchy!$A$2:$A$1295,0))),"NODE NOT FOUND"))</f>
        <v>North Korea</v>
      </c>
      <c r="J855" s="7" t="str">
        <f aca="false">IF($D855="","",IFERROR(IF(INDEX(Hierarchy!$G$2:$G$1295,MATCH($D855,Hierarchy!$A$2:$A$1295,0))="","",INDEX(Hierarchy!$G$2:$G$1295,MATCH($D855,Hierarchy!$A$2:$A$1295,0))),"NODE NOT FOUND"))</f>
        <v>PRK</v>
      </c>
      <c r="K855" s="7" t="str">
        <f aca="false">IF($D855="","",IFERROR(IF(INDEX(Hierarchy!$H$2:$H$1295,MATCH($D855,Hierarchy!$A$2:$A$1295,0))="","",INDEX(Hierarchy!$H$2:$H$1295,MATCH($D855,Hierarchy!$A$2:$A$1295,0))),"NODE NOT FOUND"))</f>
        <v/>
      </c>
      <c r="L855" s="7" t="str">
        <f aca="false">IF($D855="","",IFERROR(IF(INDEX(Hierarchy!$I$2:$I$1295,MATCH($D855,Hierarchy!$A$2:$A$1295,0))="","",INDEX(Hierarchy!$I$2:$I$1295,MATCH($D855,Hierarchy!$A$2:$A$1295,0))),"NODE NOT FOUND"))</f>
        <v/>
      </c>
      <c r="M855" s="17" t="str">
        <f aca="false">IF(B855="Pre-seeded","Pre-seeded",IF(B855="Review 2026-09-16","Added from review",IF(C855="","New",IF(C855=D855,"","Changed"))))</f>
        <v>Pre-seeded</v>
      </c>
      <c r="N855" s="7" t="str">
        <f aca="false">TRIM(SUBSTITUTE(SUBSTITUTE(SUBSTITUTE(" "&amp;TRIM(SUBSTITUTE(SUBSTITUTE(SUBSTITUTE(SUBSTITUTE(SUBSTITUTE(SUBSTITUTE(SUBSTITUTE(SUBSTITUTE(SUBSTITUTE(SUBSTITUTE(SUBSTITUTE(SUBSTITUTE(SUBSTITUTE(SUBSTITUTE(SUBSTITUTE(UPPER(TRIM(A855)),"[MEMBER]",""),"{MEMBER}",""),"[MEMBER}",""),"MEMBER]",""),"(A)",""),"""",""),"“",""),"”",""),".",""),":",""),",",""),"–"," "),"-"," "),"/"," "),"&amp;"," AND "))&amp;" "," THE "," ")," TOTAL "," ")," OPERATIONS "," "))</f>
        <v>KOREA DEMOCRATIC PEOPLE'S REPUBLIC OF</v>
      </c>
      <c r="O855" s="17" t="str">
        <f aca="false">IF(COUNTIFS($N$2:$N$2000,N855,$D$2:$D$2000,"&lt;&gt;"&amp;D855)&gt;0,"CONFLICT","")</f>
        <v/>
      </c>
      <c r="P855" s="7" t="s">
        <v>1936</v>
      </c>
    </row>
    <row r="856" customFormat="false" ht="15" hidden="false" customHeight="false" outlineLevel="0" collapsed="false">
      <c r="A856" s="7" t="s">
        <v>2324</v>
      </c>
      <c r="B856" s="7" t="s">
        <v>1882</v>
      </c>
      <c r="C856" s="7" t="s">
        <v>1559</v>
      </c>
      <c r="D856" s="6" t="s">
        <v>1559</v>
      </c>
      <c r="E856" s="6" t="s">
        <v>1880</v>
      </c>
      <c r="F856" s="7" t="str">
        <f aca="false">IF($D856="","",IFERROR(IF(INDEX(Hierarchy!$B$2:$B$1295,MATCH($D856,Hierarchy!$A$2:$A$1295,0))="","",INDEX(Hierarchy!$B$2:$B$1295,MATCH($D856,Hierarchy!$A$2:$A$1295,0))),"NODE NOT FOUND"))</f>
        <v>Country</v>
      </c>
      <c r="G856" s="7" t="str">
        <f aca="false">IF($D856="","",IFERROR(IF(INDEX(Hierarchy!$D$2:$D$1295,MATCH($D856,Hierarchy!$A$2:$A$1295,0))="","",INDEX(Hierarchy!$D$2:$D$1295,MATCH($D856,Hierarchy!$A$2:$A$1295,0))),"NODE NOT FOUND"))</f>
        <v>APAC</v>
      </c>
      <c r="H856" s="7" t="str">
        <f aca="false">IF($D856="","",IFERROR(IF(INDEX(Hierarchy!$E$2:$E$1295,MATCH($D856,Hierarchy!$A$2:$A$1295,0))="","",INDEX(Hierarchy!$E$2:$E$1295,MATCH($D856,Hierarchy!$A$2:$A$1295,0))),"NODE NOT FOUND"))</f>
        <v>East Asia</v>
      </c>
      <c r="I856" s="7" t="str">
        <f aca="false">IF($D856="","",IFERROR(IF(INDEX(Hierarchy!$F$2:$F$1295,MATCH($D856,Hierarchy!$A$2:$A$1295,0))="","",INDEX(Hierarchy!$F$2:$F$1295,MATCH($D856,Hierarchy!$A$2:$A$1295,0))),"NODE NOT FOUND"))</f>
        <v>South Korea</v>
      </c>
      <c r="J856" s="7" t="str">
        <f aca="false">IF($D856="","",IFERROR(IF(INDEX(Hierarchy!$G$2:$G$1295,MATCH($D856,Hierarchy!$A$2:$A$1295,0))="","",INDEX(Hierarchy!$G$2:$G$1295,MATCH($D856,Hierarchy!$A$2:$A$1295,0))),"NODE NOT FOUND"))</f>
        <v>KOR</v>
      </c>
      <c r="K856" s="7" t="str">
        <f aca="false">IF($D856="","",IFERROR(IF(INDEX(Hierarchy!$H$2:$H$1295,MATCH($D856,Hierarchy!$A$2:$A$1295,0))="","",INDEX(Hierarchy!$H$2:$H$1295,MATCH($D856,Hierarchy!$A$2:$A$1295,0))),"NODE NOT FOUND"))</f>
        <v/>
      </c>
      <c r="L856" s="7" t="str">
        <f aca="false">IF($D856="","",IFERROR(IF(INDEX(Hierarchy!$I$2:$I$1295,MATCH($D856,Hierarchy!$A$2:$A$1295,0))="","",INDEX(Hierarchy!$I$2:$I$1295,MATCH($D856,Hierarchy!$A$2:$A$1295,0))),"NODE NOT FOUND"))</f>
        <v/>
      </c>
      <c r="M856" s="17" t="str">
        <f aca="false">IF(B856="Pre-seeded","Pre-seeded",IF(B856="Review 2026-09-16","Added from review",IF(C856="","New",IF(C856=D856,"","Changed"))))</f>
        <v/>
      </c>
      <c r="N856" s="7" t="str">
        <f aca="false">TRIM(SUBSTITUTE(SUBSTITUTE(SUBSTITUTE(" "&amp;TRIM(SUBSTITUTE(SUBSTITUTE(SUBSTITUTE(SUBSTITUTE(SUBSTITUTE(SUBSTITUTE(SUBSTITUTE(SUBSTITUTE(SUBSTITUTE(SUBSTITUTE(SUBSTITUTE(SUBSTITUTE(SUBSTITUTE(SUBSTITUTE(SUBSTITUTE(UPPER(TRIM(A856)),"[MEMBER]",""),"{MEMBER}",""),"[MEMBER}",""),"MEMBER]",""),"(A)",""),"""",""),"“",""),"”",""),".",""),":",""),",",""),"–"," "),"-"," "),"/"," "),"&amp;"," AND "))&amp;" "," THE "," ")," TOTAL "," ")," OPERATIONS "," "))</f>
        <v>KOREA REPUBLIC OF</v>
      </c>
      <c r="O856" s="17" t="str">
        <f aca="false">IF(COUNTIFS($N$2:$N$2000,N856,$D$2:$D$2000,"&lt;&gt;"&amp;D856)&gt;0,"CONFLICT","")</f>
        <v/>
      </c>
      <c r="P856" s="7"/>
    </row>
    <row r="857" customFormat="false" ht="15" hidden="false" customHeight="false" outlineLevel="0" collapsed="false">
      <c r="A857" s="7" t="s">
        <v>2325</v>
      </c>
      <c r="B857" s="7" t="s">
        <v>1879</v>
      </c>
      <c r="C857" s="7"/>
      <c r="D857" s="6" t="s">
        <v>1559</v>
      </c>
      <c r="E857" s="6" t="s">
        <v>1880</v>
      </c>
      <c r="F857" s="7" t="str">
        <f aca="false">IF($D857="","",IFERROR(IF(INDEX(Hierarchy!$B$2:$B$1295,MATCH($D857,Hierarchy!$A$2:$A$1295,0))="","",INDEX(Hierarchy!$B$2:$B$1295,MATCH($D857,Hierarchy!$A$2:$A$1295,0))),"NODE NOT FOUND"))</f>
        <v>Country</v>
      </c>
      <c r="G857" s="7" t="str">
        <f aca="false">IF($D857="","",IFERROR(IF(INDEX(Hierarchy!$D$2:$D$1295,MATCH($D857,Hierarchy!$A$2:$A$1295,0))="","",INDEX(Hierarchy!$D$2:$D$1295,MATCH($D857,Hierarchy!$A$2:$A$1295,0))),"NODE NOT FOUND"))</f>
        <v>APAC</v>
      </c>
      <c r="H857" s="7" t="str">
        <f aca="false">IF($D857="","",IFERROR(IF(INDEX(Hierarchy!$E$2:$E$1295,MATCH($D857,Hierarchy!$A$2:$A$1295,0))="","",INDEX(Hierarchy!$E$2:$E$1295,MATCH($D857,Hierarchy!$A$2:$A$1295,0))),"NODE NOT FOUND"))</f>
        <v>East Asia</v>
      </c>
      <c r="I857" s="7" t="str">
        <f aca="false">IF($D857="","",IFERROR(IF(INDEX(Hierarchy!$F$2:$F$1295,MATCH($D857,Hierarchy!$A$2:$A$1295,0))="","",INDEX(Hierarchy!$F$2:$F$1295,MATCH($D857,Hierarchy!$A$2:$A$1295,0))),"NODE NOT FOUND"))</f>
        <v>South Korea</v>
      </c>
      <c r="J857" s="7" t="str">
        <f aca="false">IF($D857="","",IFERROR(IF(INDEX(Hierarchy!$G$2:$G$1295,MATCH($D857,Hierarchy!$A$2:$A$1295,0))="","",INDEX(Hierarchy!$G$2:$G$1295,MATCH($D857,Hierarchy!$A$2:$A$1295,0))),"NODE NOT FOUND"))</f>
        <v>KOR</v>
      </c>
      <c r="K857" s="7" t="str">
        <f aca="false">IF($D857="","",IFERROR(IF(INDEX(Hierarchy!$H$2:$H$1295,MATCH($D857,Hierarchy!$A$2:$A$1295,0))="","",INDEX(Hierarchy!$H$2:$H$1295,MATCH($D857,Hierarchy!$A$2:$A$1295,0))),"NODE NOT FOUND"))</f>
        <v/>
      </c>
      <c r="L857" s="7" t="str">
        <f aca="false">IF($D857="","",IFERROR(IF(INDEX(Hierarchy!$I$2:$I$1295,MATCH($D857,Hierarchy!$A$2:$A$1295,0))="","",INDEX(Hierarchy!$I$2:$I$1295,MATCH($D857,Hierarchy!$A$2:$A$1295,0))),"NODE NOT FOUND"))</f>
        <v/>
      </c>
      <c r="M857" s="17" t="str">
        <f aca="false">IF(B857="Pre-seeded","Pre-seeded",IF(B857="Review 2026-09-16","Added from review",IF(C857="","New",IF(C857=D857,"","Changed"))))</f>
        <v>Pre-seeded</v>
      </c>
      <c r="N857" s="7" t="str">
        <f aca="false">TRIM(SUBSTITUTE(SUBSTITUTE(SUBSTITUTE(" "&amp;TRIM(SUBSTITUTE(SUBSTITUTE(SUBSTITUTE(SUBSTITUTE(SUBSTITUTE(SUBSTITUTE(SUBSTITUTE(SUBSTITUTE(SUBSTITUTE(SUBSTITUTE(SUBSTITUTE(SUBSTITUTE(SUBSTITUTE(SUBSTITUTE(SUBSTITUTE(UPPER(TRIM(A857)),"[MEMBER]",""),"{MEMBER}",""),"[MEMBER}",""),"MEMBER]",""),"(A)",""),"""",""),"“",""),"”",""),".",""),":",""),",",""),"–"," "),"-"," "),"/"," "),"&amp;"," AND "))&amp;" "," THE "," ")," TOTAL "," ")," OPERATIONS "," "))</f>
        <v>KOREA SOUTH</v>
      </c>
      <c r="O857" s="17" t="str">
        <f aca="false">IF(COUNTIFS($N$2:$N$2000,N857,$D$2:$D$2000,"&lt;&gt;"&amp;D857)&gt;0,"CONFLICT","")</f>
        <v/>
      </c>
      <c r="P857" s="7"/>
    </row>
    <row r="858" customFormat="false" ht="15" hidden="false" customHeight="false" outlineLevel="0" collapsed="false">
      <c r="A858" s="7" t="s">
        <v>859</v>
      </c>
      <c r="B858" s="7" t="s">
        <v>1879</v>
      </c>
      <c r="C858" s="7"/>
      <c r="D858" s="6" t="s">
        <v>859</v>
      </c>
      <c r="E858" s="6" t="s">
        <v>1880</v>
      </c>
      <c r="F858" s="7" t="str">
        <f aca="false">IF($D858="","",IFERROR(IF(INDEX(Hierarchy!$B$2:$B$1295,MATCH($D858,Hierarchy!$A$2:$A$1295,0))="","",INDEX(Hierarchy!$B$2:$B$1295,MATCH($D858,Hierarchy!$A$2:$A$1295,0))),"NODE NOT FOUND"))</f>
        <v>Country</v>
      </c>
      <c r="G858" s="7" t="str">
        <f aca="false">IF($D858="","",IFERROR(IF(INDEX(Hierarchy!$D$2:$D$1295,MATCH($D858,Hierarchy!$A$2:$A$1295,0))="","",INDEX(Hierarchy!$D$2:$D$1295,MATCH($D858,Hierarchy!$A$2:$A$1295,0))),"NODE NOT FOUND"))</f>
        <v>EMEA</v>
      </c>
      <c r="H858" s="7" t="str">
        <f aca="false">IF($D858="","",IFERROR(IF(INDEX(Hierarchy!$E$2:$E$1295,MATCH($D858,Hierarchy!$A$2:$A$1295,0))="","",INDEX(Hierarchy!$E$2:$E$1295,MATCH($D858,Hierarchy!$A$2:$A$1295,0))),"NODE NOT FOUND"))</f>
        <v>Europe</v>
      </c>
      <c r="I858" s="7" t="str">
        <f aca="false">IF($D858="","",IFERROR(IF(INDEX(Hierarchy!$F$2:$F$1295,MATCH($D858,Hierarchy!$A$2:$A$1295,0))="","",INDEX(Hierarchy!$F$2:$F$1295,MATCH($D858,Hierarchy!$A$2:$A$1295,0))),"NODE NOT FOUND"))</f>
        <v>Kosovo</v>
      </c>
      <c r="J858" s="7" t="str">
        <f aca="false">IF($D858="","",IFERROR(IF(INDEX(Hierarchy!$G$2:$G$1295,MATCH($D858,Hierarchy!$A$2:$A$1295,0))="","",INDEX(Hierarchy!$G$2:$G$1295,MATCH($D858,Hierarchy!$A$2:$A$1295,0))),"NODE NOT FOUND"))</f>
        <v>XKX</v>
      </c>
      <c r="K858" s="7" t="str">
        <f aca="false">IF($D858="","",IFERROR(IF(INDEX(Hierarchy!$H$2:$H$1295,MATCH($D858,Hierarchy!$A$2:$A$1295,0))="","",INDEX(Hierarchy!$H$2:$H$1295,MATCH($D858,Hierarchy!$A$2:$A$1295,0))),"NODE NOT FOUND"))</f>
        <v/>
      </c>
      <c r="L858" s="7" t="str">
        <f aca="false">IF($D858="","",IFERROR(IF(INDEX(Hierarchy!$I$2:$I$1295,MATCH($D858,Hierarchy!$A$2:$A$1295,0))="","",INDEX(Hierarchy!$I$2:$I$1295,MATCH($D858,Hierarchy!$A$2:$A$1295,0))),"NODE NOT FOUND"))</f>
        <v/>
      </c>
      <c r="M858" s="17" t="str">
        <f aca="false">IF(B858="Pre-seeded","Pre-seeded",IF(B858="Review 2026-09-16","Added from review",IF(C858="","New",IF(C858=D858,"","Changed"))))</f>
        <v>Pre-seeded</v>
      </c>
      <c r="N858" s="7" t="str">
        <f aca="false">TRIM(SUBSTITUTE(SUBSTITUTE(SUBSTITUTE(" "&amp;TRIM(SUBSTITUTE(SUBSTITUTE(SUBSTITUTE(SUBSTITUTE(SUBSTITUTE(SUBSTITUTE(SUBSTITUTE(SUBSTITUTE(SUBSTITUTE(SUBSTITUTE(SUBSTITUTE(SUBSTITUTE(SUBSTITUTE(SUBSTITUTE(SUBSTITUTE(UPPER(TRIM(A858)),"[MEMBER]",""),"{MEMBER}",""),"[MEMBER}",""),"MEMBER]",""),"(A)",""),"""",""),"“",""),"”",""),".",""),":",""),",",""),"–"," "),"-"," "),"/"," "),"&amp;"," AND "))&amp;" "," THE "," ")," TOTAL "," ")," OPERATIONS "," "))</f>
        <v>KOSOVO</v>
      </c>
      <c r="O858" s="17" t="str">
        <f aca="false">IF(COUNTIFS($N$2:$N$2000,N858,$D$2:$D$2000,"&lt;&gt;"&amp;D858)&gt;0,"CONFLICT","")</f>
        <v/>
      </c>
      <c r="P858" s="7"/>
    </row>
    <row r="859" customFormat="false" ht="15" hidden="false" customHeight="false" outlineLevel="0" collapsed="false">
      <c r="A859" s="7" t="s">
        <v>2326</v>
      </c>
      <c r="B859" s="7" t="s">
        <v>1879</v>
      </c>
      <c r="C859" s="7"/>
      <c r="D859" s="6" t="s">
        <v>1046</v>
      </c>
      <c r="E859" s="6" t="s">
        <v>1880</v>
      </c>
      <c r="F859" s="7" t="str">
        <f aca="false">IF($D859="","",IFERROR(IF(INDEX(Hierarchy!$B$2:$B$1295,MATCH($D859,Hierarchy!$A$2:$A$1295,0))="","",INDEX(Hierarchy!$B$2:$B$1295,MATCH($D859,Hierarchy!$A$2:$A$1295,0))),"NODE NOT FOUND"))</f>
        <v>Country</v>
      </c>
      <c r="G859" s="7" t="str">
        <f aca="false">IF($D859="","",IFERROR(IF(INDEX(Hierarchy!$D$2:$D$1295,MATCH($D859,Hierarchy!$A$2:$A$1295,0))="","",INDEX(Hierarchy!$D$2:$D$1295,MATCH($D859,Hierarchy!$A$2:$A$1295,0))),"NODE NOT FOUND"))</f>
        <v>EMEA</v>
      </c>
      <c r="H859" s="7" t="str">
        <f aca="false">IF($D859="","",IFERROR(IF(INDEX(Hierarchy!$E$2:$E$1295,MATCH($D859,Hierarchy!$A$2:$A$1295,0))="","",INDEX(Hierarchy!$E$2:$E$1295,MATCH($D859,Hierarchy!$A$2:$A$1295,0))),"NODE NOT FOUND"))</f>
        <v>Middle East</v>
      </c>
      <c r="I859" s="7" t="str">
        <f aca="false">IF($D859="","",IFERROR(IF(INDEX(Hierarchy!$F$2:$F$1295,MATCH($D859,Hierarchy!$A$2:$A$1295,0))="","",INDEX(Hierarchy!$F$2:$F$1295,MATCH($D859,Hierarchy!$A$2:$A$1295,0))),"NODE NOT FOUND"))</f>
        <v>Saudi Arabia</v>
      </c>
      <c r="J859" s="7" t="str">
        <f aca="false">IF($D859="","",IFERROR(IF(INDEX(Hierarchy!$G$2:$G$1295,MATCH($D859,Hierarchy!$A$2:$A$1295,0))="","",INDEX(Hierarchy!$G$2:$G$1295,MATCH($D859,Hierarchy!$A$2:$A$1295,0))),"NODE NOT FOUND"))</f>
        <v>SAU</v>
      </c>
      <c r="K859" s="7" t="str">
        <f aca="false">IF($D859="","",IFERROR(IF(INDEX(Hierarchy!$H$2:$H$1295,MATCH($D859,Hierarchy!$A$2:$A$1295,0))="","",INDEX(Hierarchy!$H$2:$H$1295,MATCH($D859,Hierarchy!$A$2:$A$1295,0))),"NODE NOT FOUND"))</f>
        <v/>
      </c>
      <c r="L859" s="7" t="str">
        <f aca="false">IF($D859="","",IFERROR(IF(INDEX(Hierarchy!$I$2:$I$1295,MATCH($D859,Hierarchy!$A$2:$A$1295,0))="","",INDEX(Hierarchy!$I$2:$I$1295,MATCH($D859,Hierarchy!$A$2:$A$1295,0))),"NODE NOT FOUND"))</f>
        <v/>
      </c>
      <c r="M859" s="17" t="str">
        <f aca="false">IF(B859="Pre-seeded","Pre-seeded",IF(B859="Review 2026-09-16","Added from review",IF(C859="","New",IF(C859=D859,"","Changed"))))</f>
        <v>Pre-seeded</v>
      </c>
      <c r="N859" s="7" t="str">
        <f aca="false">TRIM(SUBSTITUTE(SUBSTITUTE(SUBSTITUTE(" "&amp;TRIM(SUBSTITUTE(SUBSTITUTE(SUBSTITUTE(SUBSTITUTE(SUBSTITUTE(SUBSTITUTE(SUBSTITUTE(SUBSTITUTE(SUBSTITUTE(SUBSTITUTE(SUBSTITUTE(SUBSTITUTE(SUBSTITUTE(SUBSTITUTE(SUBSTITUTE(UPPER(TRIM(A859)),"[MEMBER]",""),"{MEMBER}",""),"[MEMBER}",""),"MEMBER]",""),"(A)",""),"""",""),"“",""),"”",""),".",""),":",""),",",""),"–"," "),"-"," "),"/"," "),"&amp;"," AND "))&amp;" "," THE "," ")," TOTAL "," ")," OPERATIONS "," "))</f>
        <v>KSA</v>
      </c>
      <c r="O859" s="17" t="str">
        <f aca="false">IF(COUNTIFS($N$2:$N$2000,N859,$D$2:$D$2000,"&lt;&gt;"&amp;D859)&gt;0,"CONFLICT","")</f>
        <v/>
      </c>
      <c r="P859" s="7"/>
    </row>
    <row r="860" customFormat="false" ht="15" hidden="false" customHeight="false" outlineLevel="0" collapsed="false">
      <c r="A860" s="7" t="s">
        <v>1637</v>
      </c>
      <c r="B860" s="7" t="s">
        <v>1879</v>
      </c>
      <c r="C860" s="7"/>
      <c r="D860" s="6" t="s">
        <v>1637</v>
      </c>
      <c r="E860" s="6" t="s">
        <v>1880</v>
      </c>
      <c r="F860" s="7" t="str">
        <f aca="false">IF($D860="","",IFERROR(IF(INDEX(Hierarchy!$B$2:$B$1295,MATCH($D860,Hierarchy!$A$2:$A$1295,0))="","",INDEX(Hierarchy!$B$2:$B$1295,MATCH($D860,Hierarchy!$A$2:$A$1295,0))),"NODE NOT FOUND"))</f>
        <v>State/Province</v>
      </c>
      <c r="G860" s="7" t="str">
        <f aca="false">IF($D860="","",IFERROR(IF(INDEX(Hierarchy!$D$2:$D$1295,MATCH($D860,Hierarchy!$A$2:$A$1295,0))="","",INDEX(Hierarchy!$D$2:$D$1295,MATCH($D860,Hierarchy!$A$2:$A$1295,0))),"NODE NOT FOUND"))</f>
        <v>APAC</v>
      </c>
      <c r="H860" s="7" t="str">
        <f aca="false">IF($D860="","",IFERROR(IF(INDEX(Hierarchy!$E$2:$E$1295,MATCH($D860,Hierarchy!$A$2:$A$1295,0))="","",INDEX(Hierarchy!$E$2:$E$1295,MATCH($D860,Hierarchy!$A$2:$A$1295,0))),"NODE NOT FOUND"))</f>
        <v>Southeast Asia (ASEAN)</v>
      </c>
      <c r="I860" s="7" t="str">
        <f aca="false">IF($D860="","",IFERROR(IF(INDEX(Hierarchy!$F$2:$F$1295,MATCH($D860,Hierarchy!$A$2:$A$1295,0))="","",INDEX(Hierarchy!$F$2:$F$1295,MATCH($D860,Hierarchy!$A$2:$A$1295,0))),"NODE NOT FOUND"))</f>
        <v>Malaysia</v>
      </c>
      <c r="J860" s="7" t="str">
        <f aca="false">IF($D860="","",IFERROR(IF(INDEX(Hierarchy!$G$2:$G$1295,MATCH($D860,Hierarchy!$A$2:$A$1295,0))="","",INDEX(Hierarchy!$G$2:$G$1295,MATCH($D860,Hierarchy!$A$2:$A$1295,0))),"NODE NOT FOUND"))</f>
        <v>MYS</v>
      </c>
      <c r="K860" s="7" t="str">
        <f aca="false">IF($D860="","",IFERROR(IF(INDEX(Hierarchy!$H$2:$H$1295,MATCH($D860,Hierarchy!$A$2:$A$1295,0))="","",INDEX(Hierarchy!$H$2:$H$1295,MATCH($D860,Hierarchy!$A$2:$A$1295,0))),"NODE NOT FOUND"))</f>
        <v>Kuala Lumpur</v>
      </c>
      <c r="L860" s="7" t="str">
        <f aca="false">IF($D860="","",IFERROR(IF(INDEX(Hierarchy!$I$2:$I$1295,MATCH($D860,Hierarchy!$A$2:$A$1295,0))="","",INDEX(Hierarchy!$I$2:$I$1295,MATCH($D860,Hierarchy!$A$2:$A$1295,0))),"NODE NOT FOUND"))</f>
        <v/>
      </c>
      <c r="M860" s="17" t="str">
        <f aca="false">IF(B860="Pre-seeded","Pre-seeded",IF(B860="Review 2026-09-16","Added from review",IF(C860="","New",IF(C860=D860,"","Changed"))))</f>
        <v>Pre-seeded</v>
      </c>
      <c r="N860" s="7" t="str">
        <f aca="false">TRIM(SUBSTITUTE(SUBSTITUTE(SUBSTITUTE(" "&amp;TRIM(SUBSTITUTE(SUBSTITUTE(SUBSTITUTE(SUBSTITUTE(SUBSTITUTE(SUBSTITUTE(SUBSTITUTE(SUBSTITUTE(SUBSTITUTE(SUBSTITUTE(SUBSTITUTE(SUBSTITUTE(SUBSTITUTE(SUBSTITUTE(SUBSTITUTE(UPPER(TRIM(A860)),"[MEMBER]",""),"{MEMBER}",""),"[MEMBER}",""),"MEMBER]",""),"(A)",""),"""",""),"“",""),"”",""),".",""),":",""),",",""),"–"," "),"-"," "),"/"," "),"&amp;"," AND "))&amp;" "," THE "," ")," TOTAL "," ")," OPERATIONS "," "))</f>
        <v>KUALA LUMPUR</v>
      </c>
      <c r="O860" s="17" t="str">
        <f aca="false">IF(COUNTIFS($N$2:$N$2000,N860,$D$2:$D$2000,"&lt;&gt;"&amp;D860)&gt;0,"CONFLICT","")</f>
        <v/>
      </c>
      <c r="P860" s="7"/>
    </row>
    <row r="861" customFormat="false" ht="15" hidden="false" customHeight="false" outlineLevel="0" collapsed="false">
      <c r="A861" s="7" t="s">
        <v>1461</v>
      </c>
      <c r="B861" s="7" t="s">
        <v>1879</v>
      </c>
      <c r="C861" s="7"/>
      <c r="D861" s="6" t="s">
        <v>1461</v>
      </c>
      <c r="E861" s="6" t="s">
        <v>1880</v>
      </c>
      <c r="F861" s="7" t="str">
        <f aca="false">IF($D861="","",IFERROR(IF(INDEX(Hierarchy!$B$2:$B$1295,MATCH($D861,Hierarchy!$A$2:$A$1295,0))="","",INDEX(Hierarchy!$B$2:$B$1295,MATCH($D861,Hierarchy!$A$2:$A$1295,0))),"NODE NOT FOUND"))</f>
        <v>State/Province</v>
      </c>
      <c r="G861" s="7" t="str">
        <f aca="false">IF($D861="","",IFERROR(IF(INDEX(Hierarchy!$D$2:$D$1295,MATCH($D861,Hierarchy!$A$2:$A$1295,0))="","",INDEX(Hierarchy!$D$2:$D$1295,MATCH($D861,Hierarchy!$A$2:$A$1295,0))),"NODE NOT FOUND"))</f>
        <v>APAC</v>
      </c>
      <c r="H861" s="7" t="str">
        <f aca="false">IF($D861="","",IFERROR(IF(INDEX(Hierarchy!$E$2:$E$1295,MATCH($D861,Hierarchy!$A$2:$A$1295,0))="","",INDEX(Hierarchy!$E$2:$E$1295,MATCH($D861,Hierarchy!$A$2:$A$1295,0))),"NODE NOT FOUND"))</f>
        <v>East Asia</v>
      </c>
      <c r="I861" s="7" t="str">
        <f aca="false">IF($D861="","",IFERROR(IF(INDEX(Hierarchy!$F$2:$F$1295,MATCH($D861,Hierarchy!$A$2:$A$1295,0))="","",INDEX(Hierarchy!$F$2:$F$1295,MATCH($D861,Hierarchy!$A$2:$A$1295,0))),"NODE NOT FOUND"))</f>
        <v>Japan</v>
      </c>
      <c r="J861" s="7" t="str">
        <f aca="false">IF($D861="","",IFERROR(IF(INDEX(Hierarchy!$G$2:$G$1295,MATCH($D861,Hierarchy!$A$2:$A$1295,0))="","",INDEX(Hierarchy!$G$2:$G$1295,MATCH($D861,Hierarchy!$A$2:$A$1295,0))),"NODE NOT FOUND"))</f>
        <v>JPN</v>
      </c>
      <c r="K861" s="7" t="str">
        <f aca="false">IF($D861="","",IFERROR(IF(INDEX(Hierarchy!$H$2:$H$1295,MATCH($D861,Hierarchy!$A$2:$A$1295,0))="","",INDEX(Hierarchy!$H$2:$H$1295,MATCH($D861,Hierarchy!$A$2:$A$1295,0))),"NODE NOT FOUND"))</f>
        <v>Kumamoto</v>
      </c>
      <c r="L861" s="7" t="str">
        <f aca="false">IF($D861="","",IFERROR(IF(INDEX(Hierarchy!$I$2:$I$1295,MATCH($D861,Hierarchy!$A$2:$A$1295,0))="","",INDEX(Hierarchy!$I$2:$I$1295,MATCH($D861,Hierarchy!$A$2:$A$1295,0))),"NODE NOT FOUND"))</f>
        <v/>
      </c>
      <c r="M861" s="17" t="str">
        <f aca="false">IF(B861="Pre-seeded","Pre-seeded",IF(B861="Review 2026-09-16","Added from review",IF(C861="","New",IF(C861=D861,"","Changed"))))</f>
        <v>Pre-seeded</v>
      </c>
      <c r="N861" s="7" t="str">
        <f aca="false">TRIM(SUBSTITUTE(SUBSTITUTE(SUBSTITUTE(" "&amp;TRIM(SUBSTITUTE(SUBSTITUTE(SUBSTITUTE(SUBSTITUTE(SUBSTITUTE(SUBSTITUTE(SUBSTITUTE(SUBSTITUTE(SUBSTITUTE(SUBSTITUTE(SUBSTITUTE(SUBSTITUTE(SUBSTITUTE(SUBSTITUTE(SUBSTITUTE(UPPER(TRIM(A861)),"[MEMBER]",""),"{MEMBER}",""),"[MEMBER}",""),"MEMBER]",""),"(A)",""),"""",""),"“",""),"”",""),".",""),":",""),",",""),"–"," "),"-"," "),"/"," "),"&amp;"," AND "))&amp;" "," THE "," ")," TOTAL "," ")," OPERATIONS "," "))</f>
        <v>KUMAMOTO</v>
      </c>
      <c r="O861" s="17" t="str">
        <f aca="false">IF(COUNTIFS($N$2:$N$2000,N861,$D$2:$D$2000,"&lt;&gt;"&amp;D861)&gt;0,"CONFLICT","")</f>
        <v/>
      </c>
      <c r="P861" s="7"/>
    </row>
    <row r="862" customFormat="false" ht="15" hidden="false" customHeight="false" outlineLevel="0" collapsed="false">
      <c r="A862" s="7" t="s">
        <v>1078</v>
      </c>
      <c r="B862" s="7" t="s">
        <v>1882</v>
      </c>
      <c r="C862" s="7" t="s">
        <v>1078</v>
      </c>
      <c r="D862" s="6" t="s">
        <v>1078</v>
      </c>
      <c r="E862" s="6" t="s">
        <v>1880</v>
      </c>
      <c r="F862" s="7" t="str">
        <f aca="false">IF($D862="","",IFERROR(IF(INDEX(Hierarchy!$B$2:$B$1295,MATCH($D862,Hierarchy!$A$2:$A$1295,0))="","",INDEX(Hierarchy!$B$2:$B$1295,MATCH($D862,Hierarchy!$A$2:$A$1295,0))),"NODE NOT FOUND"))</f>
        <v>Country</v>
      </c>
      <c r="G862" s="7" t="str">
        <f aca="false">IF($D862="","",IFERROR(IF(INDEX(Hierarchy!$D$2:$D$1295,MATCH($D862,Hierarchy!$A$2:$A$1295,0))="","",INDEX(Hierarchy!$D$2:$D$1295,MATCH($D862,Hierarchy!$A$2:$A$1295,0))),"NODE NOT FOUND"))</f>
        <v>EMEA</v>
      </c>
      <c r="H862" s="7" t="str">
        <f aca="false">IF($D862="","",IFERROR(IF(INDEX(Hierarchy!$E$2:$E$1295,MATCH($D862,Hierarchy!$A$2:$A$1295,0))="","",INDEX(Hierarchy!$E$2:$E$1295,MATCH($D862,Hierarchy!$A$2:$A$1295,0))),"NODE NOT FOUND"))</f>
        <v>Middle East</v>
      </c>
      <c r="I862" s="7" t="str">
        <f aca="false">IF($D862="","",IFERROR(IF(INDEX(Hierarchy!$F$2:$F$1295,MATCH($D862,Hierarchy!$A$2:$A$1295,0))="","",INDEX(Hierarchy!$F$2:$F$1295,MATCH($D862,Hierarchy!$A$2:$A$1295,0))),"NODE NOT FOUND"))</f>
        <v>Kuwait</v>
      </c>
      <c r="J862" s="7" t="str">
        <f aca="false">IF($D862="","",IFERROR(IF(INDEX(Hierarchy!$G$2:$G$1295,MATCH($D862,Hierarchy!$A$2:$A$1295,0))="","",INDEX(Hierarchy!$G$2:$G$1295,MATCH($D862,Hierarchy!$A$2:$A$1295,0))),"NODE NOT FOUND"))</f>
        <v>KWT</v>
      </c>
      <c r="K862" s="7" t="str">
        <f aca="false">IF($D862="","",IFERROR(IF(INDEX(Hierarchy!$H$2:$H$1295,MATCH($D862,Hierarchy!$A$2:$A$1295,0))="","",INDEX(Hierarchy!$H$2:$H$1295,MATCH($D862,Hierarchy!$A$2:$A$1295,0))),"NODE NOT FOUND"))</f>
        <v/>
      </c>
      <c r="L862" s="7" t="str">
        <f aca="false">IF($D862="","",IFERROR(IF(INDEX(Hierarchy!$I$2:$I$1295,MATCH($D862,Hierarchy!$A$2:$A$1295,0))="","",INDEX(Hierarchy!$I$2:$I$1295,MATCH($D862,Hierarchy!$A$2:$A$1295,0))),"NODE NOT FOUND"))</f>
        <v/>
      </c>
      <c r="M862" s="17" t="str">
        <f aca="false">IF(B862="Pre-seeded","Pre-seeded",IF(B862="Review 2026-09-16","Added from review",IF(C862="","New",IF(C862=D862,"","Changed"))))</f>
        <v/>
      </c>
      <c r="N862" s="7" t="str">
        <f aca="false">TRIM(SUBSTITUTE(SUBSTITUTE(SUBSTITUTE(" "&amp;TRIM(SUBSTITUTE(SUBSTITUTE(SUBSTITUTE(SUBSTITUTE(SUBSTITUTE(SUBSTITUTE(SUBSTITUTE(SUBSTITUTE(SUBSTITUTE(SUBSTITUTE(SUBSTITUTE(SUBSTITUTE(SUBSTITUTE(SUBSTITUTE(SUBSTITUTE(UPPER(TRIM(A862)),"[MEMBER]",""),"{MEMBER}",""),"[MEMBER}",""),"MEMBER]",""),"(A)",""),"""",""),"“",""),"”",""),".",""),":",""),",",""),"–"," "),"-"," "),"/"," "),"&amp;"," AND "))&amp;" "," THE "," ")," TOTAL "," ")," OPERATIONS "," "))</f>
        <v>KUWAIT</v>
      </c>
      <c r="O862" s="17" t="str">
        <f aca="false">IF(COUNTIFS($N$2:$N$2000,N862,$D$2:$D$2000,"&lt;&gt;"&amp;D862)&gt;0,"CONFLICT","")</f>
        <v/>
      </c>
      <c r="P862" s="7"/>
    </row>
    <row r="863" customFormat="false" ht="15" hidden="false" customHeight="false" outlineLevel="0" collapsed="false">
      <c r="A863" s="7" t="s">
        <v>911</v>
      </c>
      <c r="B863" s="7" t="s">
        <v>1879</v>
      </c>
      <c r="C863" s="7"/>
      <c r="D863" s="6" t="s">
        <v>911</v>
      </c>
      <c r="E863" s="6" t="s">
        <v>1880</v>
      </c>
      <c r="F863" s="7" t="str">
        <f aca="false">IF($D863="","",IFERROR(IF(INDEX(Hierarchy!$B$2:$B$1295,MATCH($D863,Hierarchy!$A$2:$A$1295,0))="","",INDEX(Hierarchy!$B$2:$B$1295,MATCH($D863,Hierarchy!$A$2:$A$1295,0))),"NODE NOT FOUND"))</f>
        <v>State/Province</v>
      </c>
      <c r="G863" s="7" t="str">
        <f aca="false">IF($D863="","",IFERROR(IF(INDEX(Hierarchy!$D$2:$D$1295,MATCH($D863,Hierarchy!$A$2:$A$1295,0))="","",INDEX(Hierarchy!$D$2:$D$1295,MATCH($D863,Hierarchy!$A$2:$A$1295,0))),"NODE NOT FOUND"))</f>
        <v>EMEA</v>
      </c>
      <c r="H863" s="7" t="str">
        <f aca="false">IF($D863="","",IFERROR(IF(INDEX(Hierarchy!$E$2:$E$1295,MATCH($D863,Hierarchy!$A$2:$A$1295,0))="","",INDEX(Hierarchy!$E$2:$E$1295,MATCH($D863,Hierarchy!$A$2:$A$1295,0))),"NODE NOT FOUND"))</f>
        <v>Europe</v>
      </c>
      <c r="I863" s="7" t="str">
        <f aca="false">IF($D863="","",IFERROR(IF(INDEX(Hierarchy!$F$2:$F$1295,MATCH($D863,Hierarchy!$A$2:$A$1295,0))="","",INDEX(Hierarchy!$F$2:$F$1295,MATCH($D863,Hierarchy!$A$2:$A$1295,0))),"NODE NOT FOUND"))</f>
        <v>Poland</v>
      </c>
      <c r="J863" s="7" t="str">
        <f aca="false">IF($D863="","",IFERROR(IF(INDEX(Hierarchy!$G$2:$G$1295,MATCH($D863,Hierarchy!$A$2:$A$1295,0))="","",INDEX(Hierarchy!$G$2:$G$1295,MATCH($D863,Hierarchy!$A$2:$A$1295,0))),"NODE NOT FOUND"))</f>
        <v>POL</v>
      </c>
      <c r="K863" s="7" t="str">
        <f aca="false">IF($D863="","",IFERROR(IF(INDEX(Hierarchy!$H$2:$H$1295,MATCH($D863,Hierarchy!$A$2:$A$1295,0))="","",INDEX(Hierarchy!$H$2:$H$1295,MATCH($D863,Hierarchy!$A$2:$A$1295,0))),"NODE NOT FOUND"))</f>
        <v>Kuyavian-Pomeranian</v>
      </c>
      <c r="L863" s="7" t="str">
        <f aca="false">IF($D863="","",IFERROR(IF(INDEX(Hierarchy!$I$2:$I$1295,MATCH($D863,Hierarchy!$A$2:$A$1295,0))="","",INDEX(Hierarchy!$I$2:$I$1295,MATCH($D863,Hierarchy!$A$2:$A$1295,0))),"NODE NOT FOUND"))</f>
        <v/>
      </c>
      <c r="M863" s="17" t="str">
        <f aca="false">IF(B863="Pre-seeded","Pre-seeded",IF(B863="Review 2026-09-16","Added from review",IF(C863="","New",IF(C863=D863,"","Changed"))))</f>
        <v>Pre-seeded</v>
      </c>
      <c r="N863" s="7" t="str">
        <f aca="false">TRIM(SUBSTITUTE(SUBSTITUTE(SUBSTITUTE(" "&amp;TRIM(SUBSTITUTE(SUBSTITUTE(SUBSTITUTE(SUBSTITUTE(SUBSTITUTE(SUBSTITUTE(SUBSTITUTE(SUBSTITUTE(SUBSTITUTE(SUBSTITUTE(SUBSTITUTE(SUBSTITUTE(SUBSTITUTE(SUBSTITUTE(SUBSTITUTE(UPPER(TRIM(A863)),"[MEMBER]",""),"{MEMBER}",""),"[MEMBER}",""),"MEMBER]",""),"(A)",""),"""",""),"“",""),"”",""),".",""),":",""),",",""),"–"," "),"-"," "),"/"," "),"&amp;"," AND "))&amp;" "," THE "," ")," TOTAL "," ")," OPERATIONS "," "))</f>
        <v>KUYAVIAN POMERANIAN</v>
      </c>
      <c r="O863" s="17" t="str">
        <f aca="false">IF(COUNTIFS($N$2:$N$2000,N863,$D$2:$D$2000,"&lt;&gt;"&amp;D863)&gt;0,"CONFLICT","")</f>
        <v/>
      </c>
      <c r="P863" s="7"/>
    </row>
    <row r="864" customFormat="false" ht="15" hidden="false" customHeight="false" outlineLevel="0" collapsed="false">
      <c r="A864" s="7" t="s">
        <v>1156</v>
      </c>
      <c r="B864" s="7" t="s">
        <v>1879</v>
      </c>
      <c r="C864" s="7"/>
      <c r="D864" s="6" t="s">
        <v>1156</v>
      </c>
      <c r="E864" s="6" t="s">
        <v>1880</v>
      </c>
      <c r="F864" s="7" t="str">
        <f aca="false">IF($D864="","",IFERROR(IF(INDEX(Hierarchy!$B$2:$B$1295,MATCH($D864,Hierarchy!$A$2:$A$1295,0))="","",INDEX(Hierarchy!$B$2:$B$1295,MATCH($D864,Hierarchy!$A$2:$A$1295,0))),"NODE NOT FOUND"))</f>
        <v>State/Province</v>
      </c>
      <c r="G864" s="7" t="str">
        <f aca="false">IF($D864="","",IFERROR(IF(INDEX(Hierarchy!$D$2:$D$1295,MATCH($D864,Hierarchy!$A$2:$A$1295,0))="","",INDEX(Hierarchy!$D$2:$D$1295,MATCH($D864,Hierarchy!$A$2:$A$1295,0))),"NODE NOT FOUND"))</f>
        <v>EMEA</v>
      </c>
      <c r="H864" s="7" t="str">
        <f aca="false">IF($D864="","",IFERROR(IF(INDEX(Hierarchy!$E$2:$E$1295,MATCH($D864,Hierarchy!$A$2:$A$1295,0))="","",INDEX(Hierarchy!$E$2:$E$1295,MATCH($D864,Hierarchy!$A$2:$A$1295,0))),"NODE NOT FOUND"))</f>
        <v>Africa</v>
      </c>
      <c r="I864" s="7" t="str">
        <f aca="false">IF($D864="","",IFERROR(IF(INDEX(Hierarchy!$F$2:$F$1295,MATCH($D864,Hierarchy!$A$2:$A$1295,0))="","",INDEX(Hierarchy!$F$2:$F$1295,MATCH($D864,Hierarchy!$A$2:$A$1295,0))),"NODE NOT FOUND"))</f>
        <v>Nigeria</v>
      </c>
      <c r="J864" s="7" t="str">
        <f aca="false">IF($D864="","",IFERROR(IF(INDEX(Hierarchy!$G$2:$G$1295,MATCH($D864,Hierarchy!$A$2:$A$1295,0))="","",INDEX(Hierarchy!$G$2:$G$1295,MATCH($D864,Hierarchy!$A$2:$A$1295,0))),"NODE NOT FOUND"))</f>
        <v>NGA</v>
      </c>
      <c r="K864" s="7" t="str">
        <f aca="false">IF($D864="","",IFERROR(IF(INDEX(Hierarchy!$H$2:$H$1295,MATCH($D864,Hierarchy!$A$2:$A$1295,0))="","",INDEX(Hierarchy!$H$2:$H$1295,MATCH($D864,Hierarchy!$A$2:$A$1295,0))),"NODE NOT FOUND"))</f>
        <v>Kwara</v>
      </c>
      <c r="L864" s="7" t="str">
        <f aca="false">IF($D864="","",IFERROR(IF(INDEX(Hierarchy!$I$2:$I$1295,MATCH($D864,Hierarchy!$A$2:$A$1295,0))="","",INDEX(Hierarchy!$I$2:$I$1295,MATCH($D864,Hierarchy!$A$2:$A$1295,0))),"NODE NOT FOUND"))</f>
        <v/>
      </c>
      <c r="M864" s="17" t="str">
        <f aca="false">IF(B864="Pre-seeded","Pre-seeded",IF(B864="Review 2026-09-16","Added from review",IF(C864="","New",IF(C864=D864,"","Changed"))))</f>
        <v>Pre-seeded</v>
      </c>
      <c r="N864" s="7" t="str">
        <f aca="false">TRIM(SUBSTITUTE(SUBSTITUTE(SUBSTITUTE(" "&amp;TRIM(SUBSTITUTE(SUBSTITUTE(SUBSTITUTE(SUBSTITUTE(SUBSTITUTE(SUBSTITUTE(SUBSTITUTE(SUBSTITUTE(SUBSTITUTE(SUBSTITUTE(SUBSTITUTE(SUBSTITUTE(SUBSTITUTE(SUBSTITUTE(SUBSTITUTE(UPPER(TRIM(A864)),"[MEMBER]",""),"{MEMBER}",""),"[MEMBER}",""),"MEMBER]",""),"(A)",""),"""",""),"“",""),"”",""),".",""),":",""),",",""),"–"," "),"-"," "),"/"," "),"&amp;"," AND "))&amp;" "," THE "," ")," TOTAL "," ")," OPERATIONS "," "))</f>
        <v>KWARA</v>
      </c>
      <c r="O864" s="17" t="str">
        <f aca="false">IF(COUNTIFS($N$2:$N$2000,N864,$D$2:$D$2000,"&lt;&gt;"&amp;D864)&gt;0,"CONFLICT","")</f>
        <v/>
      </c>
      <c r="P864" s="7"/>
    </row>
    <row r="865" customFormat="false" ht="15" hidden="false" customHeight="false" outlineLevel="0" collapsed="false">
      <c r="A865" s="7" t="s">
        <v>1120</v>
      </c>
      <c r="B865" s="7" t="s">
        <v>1879</v>
      </c>
      <c r="C865" s="7"/>
      <c r="D865" s="6" t="s">
        <v>1120</v>
      </c>
      <c r="E865" s="6" t="s">
        <v>1880</v>
      </c>
      <c r="F865" s="7" t="str">
        <f aca="false">IF($D865="","",IFERROR(IF(INDEX(Hierarchy!$B$2:$B$1295,MATCH($D865,Hierarchy!$A$2:$A$1295,0))="","",INDEX(Hierarchy!$B$2:$B$1295,MATCH($D865,Hierarchy!$A$2:$A$1295,0))),"NODE NOT FOUND"))</f>
        <v>State/Province</v>
      </c>
      <c r="G865" s="7" t="str">
        <f aca="false">IF($D865="","",IFERROR(IF(INDEX(Hierarchy!$D$2:$D$1295,MATCH($D865,Hierarchy!$A$2:$A$1295,0))="","",INDEX(Hierarchy!$D$2:$D$1295,MATCH($D865,Hierarchy!$A$2:$A$1295,0))),"NODE NOT FOUND"))</f>
        <v>EMEA</v>
      </c>
      <c r="H865" s="7" t="str">
        <f aca="false">IF($D865="","",IFERROR(IF(INDEX(Hierarchy!$E$2:$E$1295,MATCH($D865,Hierarchy!$A$2:$A$1295,0))="","",INDEX(Hierarchy!$E$2:$E$1295,MATCH($D865,Hierarchy!$A$2:$A$1295,0))),"NODE NOT FOUND"))</f>
        <v>Africa</v>
      </c>
      <c r="I865" s="7" t="str">
        <f aca="false">IF($D865="","",IFERROR(IF(INDEX(Hierarchy!$F$2:$F$1295,MATCH($D865,Hierarchy!$A$2:$A$1295,0))="","",INDEX(Hierarchy!$F$2:$F$1295,MATCH($D865,Hierarchy!$A$2:$A$1295,0))),"NODE NOT FOUND"))</f>
        <v>South Africa</v>
      </c>
      <c r="J865" s="7" t="str">
        <f aca="false">IF($D865="","",IFERROR(IF(INDEX(Hierarchy!$G$2:$G$1295,MATCH($D865,Hierarchy!$A$2:$A$1295,0))="","",INDEX(Hierarchy!$G$2:$G$1295,MATCH($D865,Hierarchy!$A$2:$A$1295,0))),"NODE NOT FOUND"))</f>
        <v>ZAF</v>
      </c>
      <c r="K865" s="7" t="str">
        <f aca="false">IF($D865="","",IFERROR(IF(INDEX(Hierarchy!$H$2:$H$1295,MATCH($D865,Hierarchy!$A$2:$A$1295,0))="","",INDEX(Hierarchy!$H$2:$H$1295,MATCH($D865,Hierarchy!$A$2:$A$1295,0))),"NODE NOT FOUND"))</f>
        <v>KwaZulu-Natal</v>
      </c>
      <c r="L865" s="7" t="str">
        <f aca="false">IF($D865="","",IFERROR(IF(INDEX(Hierarchy!$I$2:$I$1295,MATCH($D865,Hierarchy!$A$2:$A$1295,0))="","",INDEX(Hierarchy!$I$2:$I$1295,MATCH($D865,Hierarchy!$A$2:$A$1295,0))),"NODE NOT FOUND"))</f>
        <v/>
      </c>
      <c r="M865" s="17" t="str">
        <f aca="false">IF(B865="Pre-seeded","Pre-seeded",IF(B865="Review 2026-09-16","Added from review",IF(C865="","New",IF(C865=D865,"","Changed"))))</f>
        <v>Pre-seeded</v>
      </c>
      <c r="N865" s="7" t="str">
        <f aca="false">TRIM(SUBSTITUTE(SUBSTITUTE(SUBSTITUTE(" "&amp;TRIM(SUBSTITUTE(SUBSTITUTE(SUBSTITUTE(SUBSTITUTE(SUBSTITUTE(SUBSTITUTE(SUBSTITUTE(SUBSTITUTE(SUBSTITUTE(SUBSTITUTE(SUBSTITUTE(SUBSTITUTE(SUBSTITUTE(SUBSTITUTE(SUBSTITUTE(UPPER(TRIM(A865)),"[MEMBER]",""),"{MEMBER}",""),"[MEMBER}",""),"MEMBER]",""),"(A)",""),"""",""),"“",""),"”",""),".",""),":",""),",",""),"–"," "),"-"," "),"/"," "),"&amp;"," AND "))&amp;" "," THE "," ")," TOTAL "," ")," OPERATIONS "," "))</f>
        <v>KWAZULU NATAL</v>
      </c>
      <c r="O865" s="17" t="str">
        <f aca="false">IF(COUNTIFS($N$2:$N$2000,N865,$D$2:$D$2000,"&lt;&gt;"&amp;D865)&gt;0,"CONFLICT","")</f>
        <v/>
      </c>
      <c r="P865" s="7"/>
    </row>
    <row r="866" customFormat="false" ht="15" hidden="false" customHeight="false" outlineLevel="0" collapsed="false">
      <c r="A866" s="7" t="s">
        <v>1462</v>
      </c>
      <c r="B866" s="7" t="s">
        <v>1879</v>
      </c>
      <c r="C866" s="7"/>
      <c r="D866" s="6" t="s">
        <v>1462</v>
      </c>
      <c r="E866" s="6" t="s">
        <v>1880</v>
      </c>
      <c r="F866" s="7" t="str">
        <f aca="false">IF($D866="","",IFERROR(IF(INDEX(Hierarchy!$B$2:$B$1295,MATCH($D866,Hierarchy!$A$2:$A$1295,0))="","",INDEX(Hierarchy!$B$2:$B$1295,MATCH($D866,Hierarchy!$A$2:$A$1295,0))),"NODE NOT FOUND"))</f>
        <v>State/Province</v>
      </c>
      <c r="G866" s="7" t="str">
        <f aca="false">IF($D866="","",IFERROR(IF(INDEX(Hierarchy!$D$2:$D$1295,MATCH($D866,Hierarchy!$A$2:$A$1295,0))="","",INDEX(Hierarchy!$D$2:$D$1295,MATCH($D866,Hierarchy!$A$2:$A$1295,0))),"NODE NOT FOUND"))</f>
        <v>APAC</v>
      </c>
      <c r="H866" s="7" t="str">
        <f aca="false">IF($D866="","",IFERROR(IF(INDEX(Hierarchy!$E$2:$E$1295,MATCH($D866,Hierarchy!$A$2:$A$1295,0))="","",INDEX(Hierarchy!$E$2:$E$1295,MATCH($D866,Hierarchy!$A$2:$A$1295,0))),"NODE NOT FOUND"))</f>
        <v>East Asia</v>
      </c>
      <c r="I866" s="7" t="str">
        <f aca="false">IF($D866="","",IFERROR(IF(INDEX(Hierarchy!$F$2:$F$1295,MATCH($D866,Hierarchy!$A$2:$A$1295,0))="","",INDEX(Hierarchy!$F$2:$F$1295,MATCH($D866,Hierarchy!$A$2:$A$1295,0))),"NODE NOT FOUND"))</f>
        <v>Japan</v>
      </c>
      <c r="J866" s="7" t="str">
        <f aca="false">IF($D866="","",IFERROR(IF(INDEX(Hierarchy!$G$2:$G$1295,MATCH($D866,Hierarchy!$A$2:$A$1295,0))="","",INDEX(Hierarchy!$G$2:$G$1295,MATCH($D866,Hierarchy!$A$2:$A$1295,0))),"NODE NOT FOUND"))</f>
        <v>JPN</v>
      </c>
      <c r="K866" s="7" t="str">
        <f aca="false">IF($D866="","",IFERROR(IF(INDEX(Hierarchy!$H$2:$H$1295,MATCH($D866,Hierarchy!$A$2:$A$1295,0))="","",INDEX(Hierarchy!$H$2:$H$1295,MATCH($D866,Hierarchy!$A$2:$A$1295,0))),"NODE NOT FOUND"))</f>
        <v>Kyoto</v>
      </c>
      <c r="L866" s="7" t="str">
        <f aca="false">IF($D866="","",IFERROR(IF(INDEX(Hierarchy!$I$2:$I$1295,MATCH($D866,Hierarchy!$A$2:$A$1295,0))="","",INDEX(Hierarchy!$I$2:$I$1295,MATCH($D866,Hierarchy!$A$2:$A$1295,0))),"NODE NOT FOUND"))</f>
        <v/>
      </c>
      <c r="M866" s="17" t="str">
        <f aca="false">IF(B866="Pre-seeded","Pre-seeded",IF(B866="Review 2026-09-16","Added from review",IF(C866="","New",IF(C866=D866,"","Changed"))))</f>
        <v>Pre-seeded</v>
      </c>
      <c r="N866" s="7" t="str">
        <f aca="false">TRIM(SUBSTITUTE(SUBSTITUTE(SUBSTITUTE(" "&amp;TRIM(SUBSTITUTE(SUBSTITUTE(SUBSTITUTE(SUBSTITUTE(SUBSTITUTE(SUBSTITUTE(SUBSTITUTE(SUBSTITUTE(SUBSTITUTE(SUBSTITUTE(SUBSTITUTE(SUBSTITUTE(SUBSTITUTE(SUBSTITUTE(SUBSTITUTE(UPPER(TRIM(A866)),"[MEMBER]",""),"{MEMBER}",""),"[MEMBER}",""),"MEMBER]",""),"(A)",""),"""",""),"“",""),"”",""),".",""),":",""),",",""),"–"," "),"-"," "),"/"," "),"&amp;"," AND "))&amp;" "," THE "," ")," TOTAL "," ")," OPERATIONS "," "))</f>
        <v>KYOTO</v>
      </c>
      <c r="O866" s="17" t="str">
        <f aca="false">IF(COUNTIFS($N$2:$N$2000,N866,$D$2:$D$2000,"&lt;&gt;"&amp;D866)&gt;0,"CONFLICT","")</f>
        <v/>
      </c>
      <c r="P866" s="7"/>
    </row>
    <row r="867" customFormat="false" ht="15" hidden="false" customHeight="false" outlineLevel="0" collapsed="false">
      <c r="A867" s="7" t="s">
        <v>2327</v>
      </c>
      <c r="B867" s="7" t="s">
        <v>1879</v>
      </c>
      <c r="C867" s="7"/>
      <c r="D867" s="6" t="s">
        <v>861</v>
      </c>
      <c r="E867" s="6" t="s">
        <v>1880</v>
      </c>
      <c r="F867" s="7" t="str">
        <f aca="false">IF($D867="","",IFERROR(IF(INDEX(Hierarchy!$B$2:$B$1295,MATCH($D867,Hierarchy!$A$2:$A$1295,0))="","",INDEX(Hierarchy!$B$2:$B$1295,MATCH($D867,Hierarchy!$A$2:$A$1295,0))),"NODE NOT FOUND"))</f>
        <v>Country</v>
      </c>
      <c r="G867" s="7" t="str">
        <f aca="false">IF($D867="","",IFERROR(IF(INDEX(Hierarchy!$D$2:$D$1295,MATCH($D867,Hierarchy!$A$2:$A$1295,0))="","",INDEX(Hierarchy!$D$2:$D$1295,MATCH($D867,Hierarchy!$A$2:$A$1295,0))),"NODE NOT FOUND"))</f>
        <v>EMEA</v>
      </c>
      <c r="H867" s="7" t="str">
        <f aca="false">IF($D867="","",IFERROR(IF(INDEX(Hierarchy!$E$2:$E$1295,MATCH($D867,Hierarchy!$A$2:$A$1295,0))="","",INDEX(Hierarchy!$E$2:$E$1295,MATCH($D867,Hierarchy!$A$2:$A$1295,0))),"NODE NOT FOUND"))</f>
        <v>Europe</v>
      </c>
      <c r="I867" s="7" t="str">
        <f aca="false">IF($D867="","",IFERROR(IF(INDEX(Hierarchy!$F$2:$F$1295,MATCH($D867,Hierarchy!$A$2:$A$1295,0))="","",INDEX(Hierarchy!$F$2:$F$1295,MATCH($D867,Hierarchy!$A$2:$A$1295,0))),"NODE NOT FOUND"))</f>
        <v>Kyrgyzstan</v>
      </c>
      <c r="J867" s="7" t="str">
        <f aca="false">IF($D867="","",IFERROR(IF(INDEX(Hierarchy!$G$2:$G$1295,MATCH($D867,Hierarchy!$A$2:$A$1295,0))="","",INDEX(Hierarchy!$G$2:$G$1295,MATCH($D867,Hierarchy!$A$2:$A$1295,0))),"NODE NOT FOUND"))</f>
        <v>KGZ</v>
      </c>
      <c r="K867" s="7" t="str">
        <f aca="false">IF($D867="","",IFERROR(IF(INDEX(Hierarchy!$H$2:$H$1295,MATCH($D867,Hierarchy!$A$2:$A$1295,0))="","",INDEX(Hierarchy!$H$2:$H$1295,MATCH($D867,Hierarchy!$A$2:$A$1295,0))),"NODE NOT FOUND"))</f>
        <v/>
      </c>
      <c r="L867" s="7" t="str">
        <f aca="false">IF($D867="","",IFERROR(IF(INDEX(Hierarchy!$I$2:$I$1295,MATCH($D867,Hierarchy!$A$2:$A$1295,0))="","",INDEX(Hierarchy!$I$2:$I$1295,MATCH($D867,Hierarchy!$A$2:$A$1295,0))),"NODE NOT FOUND"))</f>
        <v/>
      </c>
      <c r="M867" s="17" t="str">
        <f aca="false">IF(B867="Pre-seeded","Pre-seeded",IF(B867="Review 2026-09-16","Added from review",IF(C867="","New",IF(C867=D867,"","Changed"))))</f>
        <v>Pre-seeded</v>
      </c>
      <c r="N867" s="7" t="str">
        <f aca="false">TRIM(SUBSTITUTE(SUBSTITUTE(SUBSTITUTE(" "&amp;TRIM(SUBSTITUTE(SUBSTITUTE(SUBSTITUTE(SUBSTITUTE(SUBSTITUTE(SUBSTITUTE(SUBSTITUTE(SUBSTITUTE(SUBSTITUTE(SUBSTITUTE(SUBSTITUTE(SUBSTITUTE(SUBSTITUTE(SUBSTITUTE(SUBSTITUTE(UPPER(TRIM(A867)),"[MEMBER]",""),"{MEMBER}",""),"[MEMBER}",""),"MEMBER]",""),"(A)",""),"""",""),"“",""),"”",""),".",""),":",""),",",""),"–"," "),"-"," "),"/"," "),"&amp;"," AND "))&amp;" "," THE "," ")," TOTAL "," ")," OPERATIONS "," "))</f>
        <v>KYRGYZ REPUBLIC</v>
      </c>
      <c r="O867" s="17" t="str">
        <f aca="false">IF(COUNTIFS($N$2:$N$2000,N867,$D$2:$D$2000,"&lt;&gt;"&amp;D867)&gt;0,"CONFLICT","")</f>
        <v/>
      </c>
      <c r="P867" s="7" t="s">
        <v>1936</v>
      </c>
    </row>
    <row r="868" customFormat="false" ht="15" hidden="false" customHeight="false" outlineLevel="0" collapsed="false">
      <c r="A868" s="7" t="s">
        <v>861</v>
      </c>
      <c r="B868" s="7" t="s">
        <v>1879</v>
      </c>
      <c r="C868" s="7"/>
      <c r="D868" s="6" t="s">
        <v>861</v>
      </c>
      <c r="E868" s="6" t="s">
        <v>1880</v>
      </c>
      <c r="F868" s="7" t="str">
        <f aca="false">IF($D868="","",IFERROR(IF(INDEX(Hierarchy!$B$2:$B$1295,MATCH($D868,Hierarchy!$A$2:$A$1295,0))="","",INDEX(Hierarchy!$B$2:$B$1295,MATCH($D868,Hierarchy!$A$2:$A$1295,0))),"NODE NOT FOUND"))</f>
        <v>Country</v>
      </c>
      <c r="G868" s="7" t="str">
        <f aca="false">IF($D868="","",IFERROR(IF(INDEX(Hierarchy!$D$2:$D$1295,MATCH($D868,Hierarchy!$A$2:$A$1295,0))="","",INDEX(Hierarchy!$D$2:$D$1295,MATCH($D868,Hierarchy!$A$2:$A$1295,0))),"NODE NOT FOUND"))</f>
        <v>EMEA</v>
      </c>
      <c r="H868" s="7" t="str">
        <f aca="false">IF($D868="","",IFERROR(IF(INDEX(Hierarchy!$E$2:$E$1295,MATCH($D868,Hierarchy!$A$2:$A$1295,0))="","",INDEX(Hierarchy!$E$2:$E$1295,MATCH($D868,Hierarchy!$A$2:$A$1295,0))),"NODE NOT FOUND"))</f>
        <v>Europe</v>
      </c>
      <c r="I868" s="7" t="str">
        <f aca="false">IF($D868="","",IFERROR(IF(INDEX(Hierarchy!$F$2:$F$1295,MATCH($D868,Hierarchy!$A$2:$A$1295,0))="","",INDEX(Hierarchy!$F$2:$F$1295,MATCH($D868,Hierarchy!$A$2:$A$1295,0))),"NODE NOT FOUND"))</f>
        <v>Kyrgyzstan</v>
      </c>
      <c r="J868" s="7" t="str">
        <f aca="false">IF($D868="","",IFERROR(IF(INDEX(Hierarchy!$G$2:$G$1295,MATCH($D868,Hierarchy!$A$2:$A$1295,0))="","",INDEX(Hierarchy!$G$2:$G$1295,MATCH($D868,Hierarchy!$A$2:$A$1295,0))),"NODE NOT FOUND"))</f>
        <v>KGZ</v>
      </c>
      <c r="K868" s="7" t="str">
        <f aca="false">IF($D868="","",IFERROR(IF(INDEX(Hierarchy!$H$2:$H$1295,MATCH($D868,Hierarchy!$A$2:$A$1295,0))="","",INDEX(Hierarchy!$H$2:$H$1295,MATCH($D868,Hierarchy!$A$2:$A$1295,0))),"NODE NOT FOUND"))</f>
        <v/>
      </c>
      <c r="L868" s="7" t="str">
        <f aca="false">IF($D868="","",IFERROR(IF(INDEX(Hierarchy!$I$2:$I$1295,MATCH($D868,Hierarchy!$A$2:$A$1295,0))="","",INDEX(Hierarchy!$I$2:$I$1295,MATCH($D868,Hierarchy!$A$2:$A$1295,0))),"NODE NOT FOUND"))</f>
        <v/>
      </c>
      <c r="M868" s="17" t="str">
        <f aca="false">IF(B868="Pre-seeded","Pre-seeded",IF(B868="Review 2026-09-16","Added from review",IF(C868="","New",IF(C868=D868,"","Changed"))))</f>
        <v>Pre-seeded</v>
      </c>
      <c r="N868" s="7" t="str">
        <f aca="false">TRIM(SUBSTITUTE(SUBSTITUTE(SUBSTITUTE(" "&amp;TRIM(SUBSTITUTE(SUBSTITUTE(SUBSTITUTE(SUBSTITUTE(SUBSTITUTE(SUBSTITUTE(SUBSTITUTE(SUBSTITUTE(SUBSTITUTE(SUBSTITUTE(SUBSTITUTE(SUBSTITUTE(SUBSTITUTE(SUBSTITUTE(SUBSTITUTE(UPPER(TRIM(A868)),"[MEMBER]",""),"{MEMBER}",""),"[MEMBER}",""),"MEMBER]",""),"(A)",""),"""",""),"“",""),"”",""),".",""),":",""),",",""),"–"," "),"-"," "),"/"," "),"&amp;"," AND "))&amp;" "," THE "," ")," TOTAL "," ")," OPERATIONS "," "))</f>
        <v>KYRGYZSTAN</v>
      </c>
      <c r="O868" s="17" t="str">
        <f aca="false">IF(COUNTIFS($N$2:$N$2000,N868,$D$2:$D$2000,"&lt;&gt;"&amp;D868)&gt;0,"CONFLICT","")</f>
        <v/>
      </c>
      <c r="P868" s="7"/>
    </row>
    <row r="869" customFormat="false" ht="15" hidden="false" customHeight="false" outlineLevel="0" collapsed="false">
      <c r="A869" s="7" t="s">
        <v>1434</v>
      </c>
      <c r="B869" s="7" t="s">
        <v>1879</v>
      </c>
      <c r="C869" s="7"/>
      <c r="D869" s="6" t="s">
        <v>1434</v>
      </c>
      <c r="E869" s="6" t="s">
        <v>1880</v>
      </c>
      <c r="F869" s="7" t="str">
        <f aca="false">IF($D869="","",IFERROR(IF(INDEX(Hierarchy!$B$2:$B$1295,MATCH($D869,Hierarchy!$A$2:$A$1295,0))="","",INDEX(Hierarchy!$B$2:$B$1295,MATCH($D869,Hierarchy!$A$2:$A$1295,0))),"NODE NOT FOUND"))</f>
        <v>Sub-national region</v>
      </c>
      <c r="G869" s="7" t="str">
        <f aca="false">IF($D869="","",IFERROR(IF(INDEX(Hierarchy!$D$2:$D$1295,MATCH($D869,Hierarchy!$A$2:$A$1295,0))="","",INDEX(Hierarchy!$D$2:$D$1295,MATCH($D869,Hierarchy!$A$2:$A$1295,0))),"NODE NOT FOUND"))</f>
        <v>APAC</v>
      </c>
      <c r="H869" s="7" t="str">
        <f aca="false">IF($D869="","",IFERROR(IF(INDEX(Hierarchy!$E$2:$E$1295,MATCH($D869,Hierarchy!$A$2:$A$1295,0))="","",INDEX(Hierarchy!$E$2:$E$1295,MATCH($D869,Hierarchy!$A$2:$A$1295,0))),"NODE NOT FOUND"))</f>
        <v>East Asia</v>
      </c>
      <c r="I869" s="7" t="str">
        <f aca="false">IF($D869="","",IFERROR(IF(INDEX(Hierarchy!$F$2:$F$1295,MATCH($D869,Hierarchy!$A$2:$A$1295,0))="","",INDEX(Hierarchy!$F$2:$F$1295,MATCH($D869,Hierarchy!$A$2:$A$1295,0))),"NODE NOT FOUND"))</f>
        <v>Japan</v>
      </c>
      <c r="J869" s="7" t="str">
        <f aca="false">IF($D869="","",IFERROR(IF(INDEX(Hierarchy!$G$2:$G$1295,MATCH($D869,Hierarchy!$A$2:$A$1295,0))="","",INDEX(Hierarchy!$G$2:$G$1295,MATCH($D869,Hierarchy!$A$2:$A$1295,0))),"NODE NOT FOUND"))</f>
        <v>JPN</v>
      </c>
      <c r="K869" s="7" t="str">
        <f aca="false">IF($D869="","",IFERROR(IF(INDEX(Hierarchy!$H$2:$H$1295,MATCH($D869,Hierarchy!$A$2:$A$1295,0))="","",INDEX(Hierarchy!$H$2:$H$1295,MATCH($D869,Hierarchy!$A$2:$A$1295,0))),"NODE NOT FOUND"))</f>
        <v/>
      </c>
      <c r="L869" s="7" t="str">
        <f aca="false">IF($D869="","",IFERROR(IF(INDEX(Hierarchy!$I$2:$I$1295,MATCH($D869,Hierarchy!$A$2:$A$1295,0))="","",INDEX(Hierarchy!$I$2:$I$1295,MATCH($D869,Hierarchy!$A$2:$A$1295,0))),"NODE NOT FOUND"))</f>
        <v/>
      </c>
      <c r="M869" s="17" t="str">
        <f aca="false">IF(B869="Pre-seeded","Pre-seeded",IF(B869="Review 2026-09-16","Added from review",IF(C869="","New",IF(C869=D869,"","Changed"))))</f>
        <v>Pre-seeded</v>
      </c>
      <c r="N869" s="7" t="str">
        <f aca="false">TRIM(SUBSTITUTE(SUBSTITUTE(SUBSTITUTE(" "&amp;TRIM(SUBSTITUTE(SUBSTITUTE(SUBSTITUTE(SUBSTITUTE(SUBSTITUTE(SUBSTITUTE(SUBSTITUTE(SUBSTITUTE(SUBSTITUTE(SUBSTITUTE(SUBSTITUTE(SUBSTITUTE(SUBSTITUTE(SUBSTITUTE(SUBSTITUTE(UPPER(TRIM(A869)),"[MEMBER]",""),"{MEMBER}",""),"[MEMBER}",""),"MEMBER]",""),"(A)",""),"""",""),"“",""),"”",""),".",""),":",""),",",""),"–"," "),"-"," "),"/"," "),"&amp;"," AND "))&amp;" "," THE "," ")," TOTAL "," ")," OPERATIONS "," "))</f>
        <v>KYUSHU REGION</v>
      </c>
      <c r="O869" s="17" t="str">
        <f aca="false">IF(COUNTIFS($N$2:$N$2000,N869,$D$2:$D$2000,"&lt;&gt;"&amp;D869)&gt;0,"CONFLICT","")</f>
        <v/>
      </c>
      <c r="P869" s="7"/>
    </row>
    <row r="870" customFormat="false" ht="15" hidden="false" customHeight="false" outlineLevel="0" collapsed="false">
      <c r="A870" s="7" t="s">
        <v>2328</v>
      </c>
      <c r="B870" s="7" t="s">
        <v>1879</v>
      </c>
      <c r="C870" s="7"/>
      <c r="D870" s="6" t="s">
        <v>750</v>
      </c>
      <c r="E870" s="6" t="s">
        <v>1880</v>
      </c>
      <c r="F870" s="7" t="str">
        <f aca="false">IF($D870="","",IFERROR(IF(INDEX(Hierarchy!$B$2:$B$1295,MATCH($D870,Hierarchy!$A$2:$A$1295,0))="","",INDEX(Hierarchy!$B$2:$B$1295,MATCH($D870,Hierarchy!$A$2:$A$1295,0))),"NODE NOT FOUND"))</f>
        <v>State/Province</v>
      </c>
      <c r="G870" s="7" t="str">
        <f aca="false">IF($D870="","",IFERROR(IF(INDEX(Hierarchy!$D$2:$D$1295,MATCH($D870,Hierarchy!$A$2:$A$1295,0))="","",INDEX(Hierarchy!$D$2:$D$1295,MATCH($D870,Hierarchy!$A$2:$A$1295,0))),"NODE NOT FOUND"))</f>
        <v>EMEA</v>
      </c>
      <c r="H870" s="7" t="str">
        <f aca="false">IF($D870="","",IFERROR(IF(INDEX(Hierarchy!$E$2:$E$1295,MATCH($D870,Hierarchy!$A$2:$A$1295,0))="","",INDEX(Hierarchy!$E$2:$E$1295,MATCH($D870,Hierarchy!$A$2:$A$1295,0))),"NODE NOT FOUND"))</f>
        <v>Europe</v>
      </c>
      <c r="I870" s="7" t="str">
        <f aca="false">IF($D870="","",IFERROR(IF(INDEX(Hierarchy!$F$2:$F$1295,MATCH($D870,Hierarchy!$A$2:$A$1295,0))="","",INDEX(Hierarchy!$F$2:$F$1295,MATCH($D870,Hierarchy!$A$2:$A$1295,0))),"NODE NOT FOUND"))</f>
        <v>Austria</v>
      </c>
      <c r="J870" s="7" t="str">
        <f aca="false">IF($D870="","",IFERROR(IF(INDEX(Hierarchy!$G$2:$G$1295,MATCH($D870,Hierarchy!$A$2:$A$1295,0))="","",INDEX(Hierarchy!$G$2:$G$1295,MATCH($D870,Hierarchy!$A$2:$A$1295,0))),"NODE NOT FOUND"))</f>
        <v>AUT</v>
      </c>
      <c r="K870" s="7" t="str">
        <f aca="false">IF($D870="","",IFERROR(IF(INDEX(Hierarchy!$H$2:$H$1295,MATCH($D870,Hierarchy!$A$2:$A$1295,0))="","",INDEX(Hierarchy!$H$2:$H$1295,MATCH($D870,Hierarchy!$A$2:$A$1295,0))),"NODE NOT FOUND"))</f>
        <v>Carinthia</v>
      </c>
      <c r="L870" s="7" t="str">
        <f aca="false">IF($D870="","",IFERROR(IF(INDEX(Hierarchy!$I$2:$I$1295,MATCH($D870,Hierarchy!$A$2:$A$1295,0))="","",INDEX(Hierarchy!$I$2:$I$1295,MATCH($D870,Hierarchy!$A$2:$A$1295,0))),"NODE NOT FOUND"))</f>
        <v/>
      </c>
      <c r="M870" s="17" t="str">
        <f aca="false">IF(B870="Pre-seeded","Pre-seeded",IF(B870="Review 2026-09-16","Added from review",IF(C870="","New",IF(C870=D870,"","Changed"))))</f>
        <v>Pre-seeded</v>
      </c>
      <c r="N870" s="7" t="str">
        <f aca="false">TRIM(SUBSTITUTE(SUBSTITUTE(SUBSTITUTE(" "&amp;TRIM(SUBSTITUTE(SUBSTITUTE(SUBSTITUTE(SUBSTITUTE(SUBSTITUTE(SUBSTITUTE(SUBSTITUTE(SUBSTITUTE(SUBSTITUTE(SUBSTITUTE(SUBSTITUTE(SUBSTITUTE(SUBSTITUTE(SUBSTITUTE(SUBSTITUTE(UPPER(TRIM(A870)),"[MEMBER]",""),"{MEMBER}",""),"[MEMBER}",""),"MEMBER]",""),"(A)",""),"""",""),"“",""),"”",""),".",""),":",""),",",""),"–"," "),"-"," "),"/"," "),"&amp;"," AND "))&amp;" "," THE "," ")," TOTAL "," ")," OPERATIONS "," "))</f>
        <v>KÄRNTEN</v>
      </c>
      <c r="O870" s="17" t="str">
        <f aca="false">IF(COUNTIFS($N$2:$N$2000,N870,$D$2:$D$2000,"&lt;&gt;"&amp;D870)&gt;0,"CONFLICT","")</f>
        <v/>
      </c>
      <c r="P870" s="7"/>
    </row>
    <row r="871" customFormat="false" ht="15" hidden="false" customHeight="false" outlineLevel="0" collapsed="false">
      <c r="A871" s="7" t="s">
        <v>485</v>
      </c>
      <c r="B871" s="7" t="s">
        <v>1879</v>
      </c>
      <c r="C871" s="7"/>
      <c r="D871" s="6" t="s">
        <v>485</v>
      </c>
      <c r="E871" s="6" t="s">
        <v>1880</v>
      </c>
      <c r="F871" s="7" t="str">
        <f aca="false">IF($D871="","",IFERROR(IF(INDEX(Hierarchy!$B$2:$B$1295,MATCH($D871,Hierarchy!$A$2:$A$1295,0))="","",INDEX(Hierarchy!$B$2:$B$1295,MATCH($D871,Hierarchy!$A$2:$A$1295,0))),"NODE NOT FOUND"))</f>
        <v>State/Province</v>
      </c>
      <c r="G871" s="7" t="str">
        <f aca="false">IF($D871="","",IFERROR(IF(INDEX(Hierarchy!$D$2:$D$1295,MATCH($D871,Hierarchy!$A$2:$A$1295,0))="","",INDEX(Hierarchy!$D$2:$D$1295,MATCH($D871,Hierarchy!$A$2:$A$1295,0))),"NODE NOT FOUND"))</f>
        <v>AMER</v>
      </c>
      <c r="H871" s="7" t="str">
        <f aca="false">IF($D871="","",IFERROR(IF(INDEX(Hierarchy!$E$2:$E$1295,MATCH($D871,Hierarchy!$A$2:$A$1295,0))="","",INDEX(Hierarchy!$E$2:$E$1295,MATCH($D871,Hierarchy!$A$2:$A$1295,0))),"NODE NOT FOUND"))</f>
        <v>Latin America (LATAM)</v>
      </c>
      <c r="I871" s="7" t="str">
        <f aca="false">IF($D871="","",IFERROR(IF(INDEX(Hierarchy!$F$2:$F$1295,MATCH($D871,Hierarchy!$A$2:$A$1295,0))="","",INDEX(Hierarchy!$F$2:$F$1295,MATCH($D871,Hierarchy!$A$2:$A$1295,0))),"NODE NOT FOUND"))</f>
        <v>Chile</v>
      </c>
      <c r="J871" s="7" t="str">
        <f aca="false">IF($D871="","",IFERROR(IF(INDEX(Hierarchy!$G$2:$G$1295,MATCH($D871,Hierarchy!$A$2:$A$1295,0))="","",INDEX(Hierarchy!$G$2:$G$1295,MATCH($D871,Hierarchy!$A$2:$A$1295,0))),"NODE NOT FOUND"))</f>
        <v>CHL</v>
      </c>
      <c r="K871" s="7" t="str">
        <f aca="false">IF($D871="","",IFERROR(IF(INDEX(Hierarchy!$H$2:$H$1295,MATCH($D871,Hierarchy!$A$2:$A$1295,0))="","",INDEX(Hierarchy!$H$2:$H$1295,MATCH($D871,Hierarchy!$A$2:$A$1295,0))),"NODE NOT FOUND"))</f>
        <v>La Araucanía</v>
      </c>
      <c r="L871" s="7" t="str">
        <f aca="false">IF($D871="","",IFERROR(IF(INDEX(Hierarchy!$I$2:$I$1295,MATCH($D871,Hierarchy!$A$2:$A$1295,0))="","",INDEX(Hierarchy!$I$2:$I$1295,MATCH($D871,Hierarchy!$A$2:$A$1295,0))),"NODE NOT FOUND"))</f>
        <v/>
      </c>
      <c r="M871" s="17" t="str">
        <f aca="false">IF(B871="Pre-seeded","Pre-seeded",IF(B871="Review 2026-09-16","Added from review",IF(C871="","New",IF(C871=D871,"","Changed"))))</f>
        <v>Pre-seeded</v>
      </c>
      <c r="N871" s="7" t="str">
        <f aca="false">TRIM(SUBSTITUTE(SUBSTITUTE(SUBSTITUTE(" "&amp;TRIM(SUBSTITUTE(SUBSTITUTE(SUBSTITUTE(SUBSTITUTE(SUBSTITUTE(SUBSTITUTE(SUBSTITUTE(SUBSTITUTE(SUBSTITUTE(SUBSTITUTE(SUBSTITUTE(SUBSTITUTE(SUBSTITUTE(SUBSTITUTE(SUBSTITUTE(UPPER(TRIM(A871)),"[MEMBER]",""),"{MEMBER}",""),"[MEMBER}",""),"MEMBER]",""),"(A)",""),"""",""),"“",""),"”",""),".",""),":",""),",",""),"–"," "),"-"," "),"/"," "),"&amp;"," AND "))&amp;" "," THE "," ")," TOTAL "," ")," OPERATIONS "," "))</f>
        <v>LA ARAUCANÍA</v>
      </c>
      <c r="O871" s="17" t="str">
        <f aca="false">IF(COUNTIFS($N$2:$N$2000,N871,$D$2:$D$2000,"&lt;&gt;"&amp;D871)&gt;0,"CONFLICT","")</f>
        <v/>
      </c>
      <c r="P871" s="7"/>
    </row>
    <row r="872" customFormat="false" ht="15" hidden="false" customHeight="false" outlineLevel="0" collapsed="false">
      <c r="A872" s="7" t="s">
        <v>519</v>
      </c>
      <c r="B872" s="7" t="s">
        <v>1879</v>
      </c>
      <c r="C872" s="7"/>
      <c r="D872" s="6" t="s">
        <v>519</v>
      </c>
      <c r="E872" s="6" t="s">
        <v>1880</v>
      </c>
      <c r="F872" s="7" t="str">
        <f aca="false">IF($D872="","",IFERROR(IF(INDEX(Hierarchy!$B$2:$B$1295,MATCH($D872,Hierarchy!$A$2:$A$1295,0))="","",INDEX(Hierarchy!$B$2:$B$1295,MATCH($D872,Hierarchy!$A$2:$A$1295,0))),"NODE NOT FOUND"))</f>
        <v>State/Province</v>
      </c>
      <c r="G872" s="7" t="str">
        <f aca="false">IF($D872="","",IFERROR(IF(INDEX(Hierarchy!$D$2:$D$1295,MATCH($D872,Hierarchy!$A$2:$A$1295,0))="","",INDEX(Hierarchy!$D$2:$D$1295,MATCH($D872,Hierarchy!$A$2:$A$1295,0))),"NODE NOT FOUND"))</f>
        <v>AMER</v>
      </c>
      <c r="H872" s="7" t="str">
        <f aca="false">IF($D872="","",IFERROR(IF(INDEX(Hierarchy!$E$2:$E$1295,MATCH($D872,Hierarchy!$A$2:$A$1295,0))="","",INDEX(Hierarchy!$E$2:$E$1295,MATCH($D872,Hierarchy!$A$2:$A$1295,0))),"NODE NOT FOUND"))</f>
        <v>Latin America (LATAM)</v>
      </c>
      <c r="I872" s="7" t="str">
        <f aca="false">IF($D872="","",IFERROR(IF(INDEX(Hierarchy!$F$2:$F$1295,MATCH($D872,Hierarchy!$A$2:$A$1295,0))="","",INDEX(Hierarchy!$F$2:$F$1295,MATCH($D872,Hierarchy!$A$2:$A$1295,0))),"NODE NOT FOUND"))</f>
        <v>Colombia</v>
      </c>
      <c r="J872" s="7" t="str">
        <f aca="false">IF($D872="","",IFERROR(IF(INDEX(Hierarchy!$G$2:$G$1295,MATCH($D872,Hierarchy!$A$2:$A$1295,0))="","",INDEX(Hierarchy!$G$2:$G$1295,MATCH($D872,Hierarchy!$A$2:$A$1295,0))),"NODE NOT FOUND"))</f>
        <v>COL</v>
      </c>
      <c r="K872" s="7" t="str">
        <f aca="false">IF($D872="","",IFERROR(IF(INDEX(Hierarchy!$H$2:$H$1295,MATCH($D872,Hierarchy!$A$2:$A$1295,0))="","",INDEX(Hierarchy!$H$2:$H$1295,MATCH($D872,Hierarchy!$A$2:$A$1295,0))),"NODE NOT FOUND"))</f>
        <v>La Guajira</v>
      </c>
      <c r="L872" s="7" t="str">
        <f aca="false">IF($D872="","",IFERROR(IF(INDEX(Hierarchy!$I$2:$I$1295,MATCH($D872,Hierarchy!$A$2:$A$1295,0))="","",INDEX(Hierarchy!$I$2:$I$1295,MATCH($D872,Hierarchy!$A$2:$A$1295,0))),"NODE NOT FOUND"))</f>
        <v/>
      </c>
      <c r="M872" s="17" t="str">
        <f aca="false">IF(B872="Pre-seeded","Pre-seeded",IF(B872="Review 2026-09-16","Added from review",IF(C872="","New",IF(C872=D872,"","Changed"))))</f>
        <v>Pre-seeded</v>
      </c>
      <c r="N872" s="7" t="str">
        <f aca="false">TRIM(SUBSTITUTE(SUBSTITUTE(SUBSTITUTE(" "&amp;TRIM(SUBSTITUTE(SUBSTITUTE(SUBSTITUTE(SUBSTITUTE(SUBSTITUTE(SUBSTITUTE(SUBSTITUTE(SUBSTITUTE(SUBSTITUTE(SUBSTITUTE(SUBSTITUTE(SUBSTITUTE(SUBSTITUTE(SUBSTITUTE(SUBSTITUTE(UPPER(TRIM(A872)),"[MEMBER]",""),"{MEMBER}",""),"[MEMBER}",""),"MEMBER]",""),"(A)",""),"""",""),"“",""),"”",""),".",""),":",""),",",""),"–"," "),"-"," "),"/"," "),"&amp;"," AND "))&amp;" "," THE "," ")," TOTAL "," ")," OPERATIONS "," "))</f>
        <v>LA GUAJIRA</v>
      </c>
      <c r="O872" s="17" t="str">
        <f aca="false">IF(COUNTIFS($N$2:$N$2000,N872,$D$2:$D$2000,"&lt;&gt;"&amp;D872)&gt;0,"CONFLICT","")</f>
        <v/>
      </c>
      <c r="P872" s="7"/>
    </row>
    <row r="873" customFormat="false" ht="15" hidden="false" customHeight="false" outlineLevel="0" collapsed="false">
      <c r="A873" s="7" t="s">
        <v>439</v>
      </c>
      <c r="B873" s="7" t="s">
        <v>1879</v>
      </c>
      <c r="C873" s="7"/>
      <c r="D873" s="6" t="s">
        <v>439</v>
      </c>
      <c r="E873" s="6" t="s">
        <v>1880</v>
      </c>
      <c r="F873" s="7" t="str">
        <f aca="false">IF($D873="","",IFERROR(IF(INDEX(Hierarchy!$B$2:$B$1295,MATCH($D873,Hierarchy!$A$2:$A$1295,0))="","",INDEX(Hierarchy!$B$2:$B$1295,MATCH($D873,Hierarchy!$A$2:$A$1295,0))),"NODE NOT FOUND"))</f>
        <v>State/Province</v>
      </c>
      <c r="G873" s="7" t="str">
        <f aca="false">IF($D873="","",IFERROR(IF(INDEX(Hierarchy!$D$2:$D$1295,MATCH($D873,Hierarchy!$A$2:$A$1295,0))="","",INDEX(Hierarchy!$D$2:$D$1295,MATCH($D873,Hierarchy!$A$2:$A$1295,0))),"NODE NOT FOUND"))</f>
        <v>AMER</v>
      </c>
      <c r="H873" s="7" t="str">
        <f aca="false">IF($D873="","",IFERROR(IF(INDEX(Hierarchy!$E$2:$E$1295,MATCH($D873,Hierarchy!$A$2:$A$1295,0))="","",INDEX(Hierarchy!$E$2:$E$1295,MATCH($D873,Hierarchy!$A$2:$A$1295,0))),"NODE NOT FOUND"))</f>
        <v>Latin America (LATAM)</v>
      </c>
      <c r="I873" s="7" t="str">
        <f aca="false">IF($D873="","",IFERROR(IF(INDEX(Hierarchy!$F$2:$F$1295,MATCH($D873,Hierarchy!$A$2:$A$1295,0))="","",INDEX(Hierarchy!$F$2:$F$1295,MATCH($D873,Hierarchy!$A$2:$A$1295,0))),"NODE NOT FOUND"))</f>
        <v>Argentina</v>
      </c>
      <c r="J873" s="7" t="str">
        <f aca="false">IF($D873="","",IFERROR(IF(INDEX(Hierarchy!$G$2:$G$1295,MATCH($D873,Hierarchy!$A$2:$A$1295,0))="","",INDEX(Hierarchy!$G$2:$G$1295,MATCH($D873,Hierarchy!$A$2:$A$1295,0))),"NODE NOT FOUND"))</f>
        <v>ARG</v>
      </c>
      <c r="K873" s="7" t="str">
        <f aca="false">IF($D873="","",IFERROR(IF(INDEX(Hierarchy!$H$2:$H$1295,MATCH($D873,Hierarchy!$A$2:$A$1295,0))="","",INDEX(Hierarchy!$H$2:$H$1295,MATCH($D873,Hierarchy!$A$2:$A$1295,0))),"NODE NOT FOUND"))</f>
        <v>La Pampa</v>
      </c>
      <c r="L873" s="7" t="str">
        <f aca="false">IF($D873="","",IFERROR(IF(INDEX(Hierarchy!$I$2:$I$1295,MATCH($D873,Hierarchy!$A$2:$A$1295,0))="","",INDEX(Hierarchy!$I$2:$I$1295,MATCH($D873,Hierarchy!$A$2:$A$1295,0))),"NODE NOT FOUND"))</f>
        <v/>
      </c>
      <c r="M873" s="17" t="str">
        <f aca="false">IF(B873="Pre-seeded","Pre-seeded",IF(B873="Review 2026-09-16","Added from review",IF(C873="","New",IF(C873=D873,"","Changed"))))</f>
        <v>Pre-seeded</v>
      </c>
      <c r="N873" s="7" t="str">
        <f aca="false">TRIM(SUBSTITUTE(SUBSTITUTE(SUBSTITUTE(" "&amp;TRIM(SUBSTITUTE(SUBSTITUTE(SUBSTITUTE(SUBSTITUTE(SUBSTITUTE(SUBSTITUTE(SUBSTITUTE(SUBSTITUTE(SUBSTITUTE(SUBSTITUTE(SUBSTITUTE(SUBSTITUTE(SUBSTITUTE(SUBSTITUTE(SUBSTITUTE(UPPER(TRIM(A873)),"[MEMBER]",""),"{MEMBER}",""),"[MEMBER}",""),"MEMBER]",""),"(A)",""),"""",""),"“",""),"”",""),".",""),":",""),",",""),"–"," "),"-"," "),"/"," "),"&amp;"," AND "))&amp;" "," THE "," ")," TOTAL "," ")," OPERATIONS "," "))</f>
        <v>LA PAMPA</v>
      </c>
      <c r="O873" s="17" t="str">
        <f aca="false">IF(COUNTIFS($N$2:$N$2000,N873,$D$2:$D$2000,"&lt;&gt;"&amp;D873)&gt;0,"CONFLICT","")</f>
        <v/>
      </c>
      <c r="P873" s="7"/>
    </row>
    <row r="874" customFormat="false" ht="15" hidden="false" customHeight="false" outlineLevel="0" collapsed="false">
      <c r="A874" s="7" t="s">
        <v>966</v>
      </c>
      <c r="B874" s="7" t="s">
        <v>1879</v>
      </c>
      <c r="C874" s="7"/>
      <c r="D874" s="6" t="s">
        <v>966</v>
      </c>
      <c r="E874" s="6" t="s">
        <v>1880</v>
      </c>
      <c r="F874" s="7" t="str">
        <f aca="false">IF($D874="","",IFERROR(IF(INDEX(Hierarchy!$B$2:$B$1295,MATCH($D874,Hierarchy!$A$2:$A$1295,0))="","",INDEX(Hierarchy!$B$2:$B$1295,MATCH($D874,Hierarchy!$A$2:$A$1295,0))),"NODE NOT FOUND"))</f>
        <v>State/Province</v>
      </c>
      <c r="G874" s="7" t="str">
        <f aca="false">IF($D874="","",IFERROR(IF(INDEX(Hierarchy!$D$2:$D$1295,MATCH($D874,Hierarchy!$A$2:$A$1295,0))="","",INDEX(Hierarchy!$D$2:$D$1295,MATCH($D874,Hierarchy!$A$2:$A$1295,0))),"NODE NOT FOUND"))</f>
        <v>EMEA</v>
      </c>
      <c r="H874" s="7" t="str">
        <f aca="false">IF($D874="","",IFERROR(IF(INDEX(Hierarchy!$E$2:$E$1295,MATCH($D874,Hierarchy!$A$2:$A$1295,0))="","",INDEX(Hierarchy!$E$2:$E$1295,MATCH($D874,Hierarchy!$A$2:$A$1295,0))),"NODE NOT FOUND"))</f>
        <v>Europe</v>
      </c>
      <c r="I874" s="7" t="str">
        <f aca="false">IF($D874="","",IFERROR(IF(INDEX(Hierarchy!$F$2:$F$1295,MATCH($D874,Hierarchy!$A$2:$A$1295,0))="","",INDEX(Hierarchy!$F$2:$F$1295,MATCH($D874,Hierarchy!$A$2:$A$1295,0))),"NODE NOT FOUND"))</f>
        <v>Spain</v>
      </c>
      <c r="J874" s="7" t="str">
        <f aca="false">IF($D874="","",IFERROR(IF(INDEX(Hierarchy!$G$2:$G$1295,MATCH($D874,Hierarchy!$A$2:$A$1295,0))="","",INDEX(Hierarchy!$G$2:$G$1295,MATCH($D874,Hierarchy!$A$2:$A$1295,0))),"NODE NOT FOUND"))</f>
        <v>ESP</v>
      </c>
      <c r="K874" s="7" t="str">
        <f aca="false">IF($D874="","",IFERROR(IF(INDEX(Hierarchy!$H$2:$H$1295,MATCH($D874,Hierarchy!$A$2:$A$1295,0))="","",INDEX(Hierarchy!$H$2:$H$1295,MATCH($D874,Hierarchy!$A$2:$A$1295,0))),"NODE NOT FOUND"))</f>
        <v>La Rioja</v>
      </c>
      <c r="L874" s="7" t="str">
        <f aca="false">IF($D874="","",IFERROR(IF(INDEX(Hierarchy!$I$2:$I$1295,MATCH($D874,Hierarchy!$A$2:$A$1295,0))="","",INDEX(Hierarchy!$I$2:$I$1295,MATCH($D874,Hierarchy!$A$2:$A$1295,0))),"NODE NOT FOUND"))</f>
        <v/>
      </c>
      <c r="M874" s="17" t="str">
        <f aca="false">IF(B874="Pre-seeded","Pre-seeded",IF(B874="Review 2026-09-16","Added from review",IF(C874="","New",IF(C874=D874,"","Changed"))))</f>
        <v>Pre-seeded</v>
      </c>
      <c r="N874" s="7" t="str">
        <f aca="false">TRIM(SUBSTITUTE(SUBSTITUTE(SUBSTITUTE(" "&amp;TRIM(SUBSTITUTE(SUBSTITUTE(SUBSTITUTE(SUBSTITUTE(SUBSTITUTE(SUBSTITUTE(SUBSTITUTE(SUBSTITUTE(SUBSTITUTE(SUBSTITUTE(SUBSTITUTE(SUBSTITUTE(SUBSTITUTE(SUBSTITUTE(SUBSTITUTE(UPPER(TRIM(A874)),"[MEMBER]",""),"{MEMBER}",""),"[MEMBER}",""),"MEMBER]",""),"(A)",""),"""",""),"“",""),"”",""),".",""),":",""),",",""),"–"," "),"-"," "),"/"," "),"&amp;"," AND "))&amp;" "," THE "," ")," TOTAL "," ")," OPERATIONS "," "))</f>
        <v>LA RIOJA</v>
      </c>
      <c r="O874" s="17" t="str">
        <f aca="false">IF(COUNTIFS($N$2:$N$2000,N874,$D$2:$D$2000,"&lt;&gt;"&amp;D874)&gt;0,"CONFLICT","")</f>
        <v/>
      </c>
      <c r="P874" s="7"/>
    </row>
    <row r="875" customFormat="false" ht="15" hidden="false" customHeight="false" outlineLevel="0" collapsed="false">
      <c r="A875" s="7" t="s">
        <v>440</v>
      </c>
      <c r="B875" s="7" t="s">
        <v>1879</v>
      </c>
      <c r="C875" s="7"/>
      <c r="D875" s="6" t="s">
        <v>440</v>
      </c>
      <c r="E875" s="6" t="s">
        <v>1880</v>
      </c>
      <c r="F875" s="7" t="str">
        <f aca="false">IF($D875="","",IFERROR(IF(INDEX(Hierarchy!$B$2:$B$1295,MATCH($D875,Hierarchy!$A$2:$A$1295,0))="","",INDEX(Hierarchy!$B$2:$B$1295,MATCH($D875,Hierarchy!$A$2:$A$1295,0))),"NODE NOT FOUND"))</f>
        <v>State/Province</v>
      </c>
      <c r="G875" s="7" t="str">
        <f aca="false">IF($D875="","",IFERROR(IF(INDEX(Hierarchy!$D$2:$D$1295,MATCH($D875,Hierarchy!$A$2:$A$1295,0))="","",INDEX(Hierarchy!$D$2:$D$1295,MATCH($D875,Hierarchy!$A$2:$A$1295,0))),"NODE NOT FOUND"))</f>
        <v>AMER</v>
      </c>
      <c r="H875" s="7" t="str">
        <f aca="false">IF($D875="","",IFERROR(IF(INDEX(Hierarchy!$E$2:$E$1295,MATCH($D875,Hierarchy!$A$2:$A$1295,0))="","",INDEX(Hierarchy!$E$2:$E$1295,MATCH($D875,Hierarchy!$A$2:$A$1295,0))),"NODE NOT FOUND"))</f>
        <v>Latin America (LATAM)</v>
      </c>
      <c r="I875" s="7" t="str">
        <f aca="false">IF($D875="","",IFERROR(IF(INDEX(Hierarchy!$F$2:$F$1295,MATCH($D875,Hierarchy!$A$2:$A$1295,0))="","",INDEX(Hierarchy!$F$2:$F$1295,MATCH($D875,Hierarchy!$A$2:$A$1295,0))),"NODE NOT FOUND"))</f>
        <v>Argentina</v>
      </c>
      <c r="J875" s="7" t="str">
        <f aca="false">IF($D875="","",IFERROR(IF(INDEX(Hierarchy!$G$2:$G$1295,MATCH($D875,Hierarchy!$A$2:$A$1295,0))="","",INDEX(Hierarchy!$G$2:$G$1295,MATCH($D875,Hierarchy!$A$2:$A$1295,0))),"NODE NOT FOUND"))</f>
        <v>ARG</v>
      </c>
      <c r="K875" s="7" t="str">
        <f aca="false">IF($D875="","",IFERROR(IF(INDEX(Hierarchy!$H$2:$H$1295,MATCH($D875,Hierarchy!$A$2:$A$1295,0))="","",INDEX(Hierarchy!$H$2:$H$1295,MATCH($D875,Hierarchy!$A$2:$A$1295,0))),"NODE NOT FOUND"))</f>
        <v>La Rioja (Argentina)</v>
      </c>
      <c r="L875" s="7" t="str">
        <f aca="false">IF($D875="","",IFERROR(IF(INDEX(Hierarchy!$I$2:$I$1295,MATCH($D875,Hierarchy!$A$2:$A$1295,0))="","",INDEX(Hierarchy!$I$2:$I$1295,MATCH($D875,Hierarchy!$A$2:$A$1295,0))),"NODE NOT FOUND"))</f>
        <v/>
      </c>
      <c r="M875" s="17" t="str">
        <f aca="false">IF(B875="Pre-seeded","Pre-seeded",IF(B875="Review 2026-09-16","Added from review",IF(C875="","New",IF(C875=D875,"","Changed"))))</f>
        <v>Pre-seeded</v>
      </c>
      <c r="N875" s="7" t="str">
        <f aca="false">TRIM(SUBSTITUTE(SUBSTITUTE(SUBSTITUTE(" "&amp;TRIM(SUBSTITUTE(SUBSTITUTE(SUBSTITUTE(SUBSTITUTE(SUBSTITUTE(SUBSTITUTE(SUBSTITUTE(SUBSTITUTE(SUBSTITUTE(SUBSTITUTE(SUBSTITUTE(SUBSTITUTE(SUBSTITUTE(SUBSTITUTE(SUBSTITUTE(UPPER(TRIM(A875)),"[MEMBER]",""),"{MEMBER}",""),"[MEMBER}",""),"MEMBER]",""),"(A)",""),"""",""),"“",""),"”",""),".",""),":",""),",",""),"–"," "),"-"," "),"/"," "),"&amp;"," AND "))&amp;" "," THE "," ")," TOTAL "," ")," OPERATIONS "," "))</f>
        <v>LA RIOJA (ARGENTINA)</v>
      </c>
      <c r="O875" s="17" t="str">
        <f aca="false">IF(COUNTIFS($N$2:$N$2000,N875,$D$2:$D$2000,"&lt;&gt;"&amp;D875)&gt;0,"CONFLICT","")</f>
        <v/>
      </c>
      <c r="P875" s="7"/>
    </row>
    <row r="876" customFormat="false" ht="15" hidden="false" customHeight="false" outlineLevel="0" collapsed="false">
      <c r="A876" s="7" t="s">
        <v>2329</v>
      </c>
      <c r="B876" s="7" t="s">
        <v>1909</v>
      </c>
      <c r="C876" s="7"/>
      <c r="D876" s="6" t="s">
        <v>1793</v>
      </c>
      <c r="E876" s="6" t="s">
        <v>1880</v>
      </c>
      <c r="F876" s="7" t="str">
        <f aca="false">IF($D876="","",IFERROR(IF(INDEX(Hierarchy!$B$2:$B$1295,MATCH($D876,Hierarchy!$A$2:$A$1295,0))="","",INDEX(Hierarchy!$B$2:$B$1295,MATCH($D876,Hierarchy!$A$2:$A$1295,0))),"NODE NOT FOUND"))</f>
        <v>Multi-region</v>
      </c>
      <c r="G876" s="7" t="str">
        <f aca="false">IF($D876="","",IFERROR(IF(INDEX(Hierarchy!$D$2:$D$1295,MATCH($D876,Hierarchy!$A$2:$A$1295,0))="","",INDEX(Hierarchy!$D$2:$D$1295,MATCH($D876,Hierarchy!$A$2:$A$1295,0))),"NODE NOT FOUND"))</f>
        <v>Multi-region</v>
      </c>
      <c r="H876" s="7" t="str">
        <f aca="false">IF($D876="","",IFERROR(IF(INDEX(Hierarchy!$E$2:$E$1295,MATCH($D876,Hierarchy!$A$2:$A$1295,0))="","",INDEX(Hierarchy!$E$2:$E$1295,MATCH($D876,Hierarchy!$A$2:$A$1295,0))),"NODE NOT FOUND"))</f>
        <v/>
      </c>
      <c r="I876" s="7" t="str">
        <f aca="false">IF($D876="","",IFERROR(IF(INDEX(Hierarchy!$F$2:$F$1295,MATCH($D876,Hierarchy!$A$2:$A$1295,0))="","",INDEX(Hierarchy!$F$2:$F$1295,MATCH($D876,Hierarchy!$A$2:$A$1295,0))),"NODE NOT FOUND"))</f>
        <v/>
      </c>
      <c r="J876" s="7" t="str">
        <f aca="false">IF($D876="","",IFERROR(IF(INDEX(Hierarchy!$G$2:$G$1295,MATCH($D876,Hierarchy!$A$2:$A$1295,0))="","",INDEX(Hierarchy!$G$2:$G$1295,MATCH($D876,Hierarchy!$A$2:$A$1295,0))),"NODE NOT FOUND"))</f>
        <v/>
      </c>
      <c r="K876" s="7" t="str">
        <f aca="false">IF($D876="","",IFERROR(IF(INDEX(Hierarchy!$H$2:$H$1295,MATCH($D876,Hierarchy!$A$2:$A$1295,0))="","",INDEX(Hierarchy!$H$2:$H$1295,MATCH($D876,Hierarchy!$A$2:$A$1295,0))),"NODE NOT FOUND"))</f>
        <v/>
      </c>
      <c r="L876" s="7" t="str">
        <f aca="false">IF($D876="","",IFERROR(IF(INDEX(Hierarchy!$I$2:$I$1295,MATCH($D876,Hierarchy!$A$2:$A$1295,0))="","",INDEX(Hierarchy!$I$2:$I$1295,MATCH($D876,Hierarchy!$A$2:$A$1295,0))),"NODE NOT FOUND"))</f>
        <v/>
      </c>
      <c r="M876" s="17" t="str">
        <f aca="false">IF(B876="Pre-seeded","Pre-seeded",IF(B876="Review 2026-09-16","Added from review",IF(C876="","New",IF(C876=D876,"","Changed"))))</f>
        <v>New</v>
      </c>
      <c r="N876" s="7" t="str">
        <f aca="false">TRIM(SUBSTITUTE(SUBSTITUTE(SUBSTITUTE(" "&amp;TRIM(SUBSTITUTE(SUBSTITUTE(SUBSTITUTE(SUBSTITUTE(SUBSTITUTE(SUBSTITUTE(SUBSTITUTE(SUBSTITUTE(SUBSTITUTE(SUBSTITUTE(SUBSTITUTE(SUBSTITUTE(SUBSTITUTE(SUBSTITUTE(SUBSTITUTE(UPPER(TRIM(A876)),"[MEMBER]",""),"{MEMBER}",""),"[MEMBER}",""),"MEMBER]",""),"(A)",""),"""",""),"“",""),"”",""),".",""),":",""),",",""),"–"," "),"-"," "),"/"," "),"&amp;"," AND "))&amp;" "," THE "," ")," TOTAL "," ")," OPERATIONS "," "))</f>
        <v>LAAP</v>
      </c>
      <c r="O876" s="17" t="str">
        <f aca="false">IF(COUNTIFS($N$2:$N$2000,N876,$D$2:$D$2000,"&lt;&gt;"&amp;D876)&gt;0,"CONFLICT","")</f>
        <v/>
      </c>
      <c r="P876" s="7" t="s">
        <v>2330</v>
      </c>
    </row>
    <row r="877" customFormat="false" ht="15" hidden="false" customHeight="false" outlineLevel="0" collapsed="false">
      <c r="A877" s="7" t="s">
        <v>1639</v>
      </c>
      <c r="B877" s="7" t="s">
        <v>1879</v>
      </c>
      <c r="C877" s="7"/>
      <c r="D877" s="6" t="s">
        <v>1639</v>
      </c>
      <c r="E877" s="6" t="s">
        <v>1880</v>
      </c>
      <c r="F877" s="7" t="str">
        <f aca="false">IF($D877="","",IFERROR(IF(INDEX(Hierarchy!$B$2:$B$1295,MATCH($D877,Hierarchy!$A$2:$A$1295,0))="","",INDEX(Hierarchy!$B$2:$B$1295,MATCH($D877,Hierarchy!$A$2:$A$1295,0))),"NODE NOT FOUND"))</f>
        <v>State/Province</v>
      </c>
      <c r="G877" s="7" t="str">
        <f aca="false">IF($D877="","",IFERROR(IF(INDEX(Hierarchy!$D$2:$D$1295,MATCH($D877,Hierarchy!$A$2:$A$1295,0))="","",INDEX(Hierarchy!$D$2:$D$1295,MATCH($D877,Hierarchy!$A$2:$A$1295,0))),"NODE NOT FOUND"))</f>
        <v>APAC</v>
      </c>
      <c r="H877" s="7" t="str">
        <f aca="false">IF($D877="","",IFERROR(IF(INDEX(Hierarchy!$E$2:$E$1295,MATCH($D877,Hierarchy!$A$2:$A$1295,0))="","",INDEX(Hierarchy!$E$2:$E$1295,MATCH($D877,Hierarchy!$A$2:$A$1295,0))),"NODE NOT FOUND"))</f>
        <v>Southeast Asia (ASEAN)</v>
      </c>
      <c r="I877" s="7" t="str">
        <f aca="false">IF($D877="","",IFERROR(IF(INDEX(Hierarchy!$F$2:$F$1295,MATCH($D877,Hierarchy!$A$2:$A$1295,0))="","",INDEX(Hierarchy!$F$2:$F$1295,MATCH($D877,Hierarchy!$A$2:$A$1295,0))),"NODE NOT FOUND"))</f>
        <v>Malaysia</v>
      </c>
      <c r="J877" s="7" t="str">
        <f aca="false">IF($D877="","",IFERROR(IF(INDEX(Hierarchy!$G$2:$G$1295,MATCH($D877,Hierarchy!$A$2:$A$1295,0))="","",INDEX(Hierarchy!$G$2:$G$1295,MATCH($D877,Hierarchy!$A$2:$A$1295,0))),"NODE NOT FOUND"))</f>
        <v>MYS</v>
      </c>
      <c r="K877" s="7" t="str">
        <f aca="false">IF($D877="","",IFERROR(IF(INDEX(Hierarchy!$H$2:$H$1295,MATCH($D877,Hierarchy!$A$2:$A$1295,0))="","",INDEX(Hierarchy!$H$2:$H$1295,MATCH($D877,Hierarchy!$A$2:$A$1295,0))),"NODE NOT FOUND"))</f>
        <v>Labuan</v>
      </c>
      <c r="L877" s="7" t="str">
        <f aca="false">IF($D877="","",IFERROR(IF(INDEX(Hierarchy!$I$2:$I$1295,MATCH($D877,Hierarchy!$A$2:$A$1295,0))="","",INDEX(Hierarchy!$I$2:$I$1295,MATCH($D877,Hierarchy!$A$2:$A$1295,0))),"NODE NOT FOUND"))</f>
        <v/>
      </c>
      <c r="M877" s="17" t="str">
        <f aca="false">IF(B877="Pre-seeded","Pre-seeded",IF(B877="Review 2026-09-16","Added from review",IF(C877="","New",IF(C877=D877,"","Changed"))))</f>
        <v>Pre-seeded</v>
      </c>
      <c r="N877" s="7" t="str">
        <f aca="false">TRIM(SUBSTITUTE(SUBSTITUTE(SUBSTITUTE(" "&amp;TRIM(SUBSTITUTE(SUBSTITUTE(SUBSTITUTE(SUBSTITUTE(SUBSTITUTE(SUBSTITUTE(SUBSTITUTE(SUBSTITUTE(SUBSTITUTE(SUBSTITUTE(SUBSTITUTE(SUBSTITUTE(SUBSTITUTE(SUBSTITUTE(SUBSTITUTE(UPPER(TRIM(A877)),"[MEMBER]",""),"{MEMBER}",""),"[MEMBER}",""),"MEMBER]",""),"(A)",""),"""",""),"“",""),"”",""),".",""),":",""),",",""),"–"," "),"-"," "),"/"," "),"&amp;"," AND "))&amp;" "," THE "," ")," TOTAL "," ")," OPERATIONS "," "))</f>
        <v>LABUAN</v>
      </c>
      <c r="O877" s="17" t="str">
        <f aca="false">IF(COUNTIFS($N$2:$N$2000,N877,$D$2:$D$2000,"&lt;&gt;"&amp;D877)&gt;0,"CONFLICT","")</f>
        <v/>
      </c>
      <c r="P877" s="7"/>
    </row>
    <row r="878" customFormat="false" ht="15" hidden="false" customHeight="false" outlineLevel="0" collapsed="false">
      <c r="A878" s="7" t="s">
        <v>2331</v>
      </c>
      <c r="B878" s="7" t="s">
        <v>1879</v>
      </c>
      <c r="C878" s="7"/>
      <c r="D878" s="6" t="s">
        <v>312</v>
      </c>
      <c r="E878" s="6" t="s">
        <v>1880</v>
      </c>
      <c r="F878" s="7" t="str">
        <f aca="false">IF($D878="","",IFERROR(IF(INDEX(Hierarchy!$B$2:$B$1295,MATCH($D878,Hierarchy!$A$2:$A$1295,0))="","",INDEX(Hierarchy!$B$2:$B$1295,MATCH($D878,Hierarchy!$A$2:$A$1295,0))),"NODE NOT FOUND"))</f>
        <v>Sub-region</v>
      </c>
      <c r="G878" s="7" t="str">
        <f aca="false">IF($D878="","",IFERROR(IF(INDEX(Hierarchy!$D$2:$D$1295,MATCH($D878,Hierarchy!$A$2:$A$1295,0))="","",INDEX(Hierarchy!$D$2:$D$1295,MATCH($D878,Hierarchy!$A$2:$A$1295,0))),"NODE NOT FOUND"))</f>
        <v>AMER</v>
      </c>
      <c r="H878" s="7" t="str">
        <f aca="false">IF($D878="","",IFERROR(IF(INDEX(Hierarchy!$E$2:$E$1295,MATCH($D878,Hierarchy!$A$2:$A$1295,0))="","",INDEX(Hierarchy!$E$2:$E$1295,MATCH($D878,Hierarchy!$A$2:$A$1295,0))),"NODE NOT FOUND"))</f>
        <v>Latin America (LATAM)</v>
      </c>
      <c r="I878" s="7" t="str">
        <f aca="false">IF($D878="","",IFERROR(IF(INDEX(Hierarchy!$F$2:$F$1295,MATCH($D878,Hierarchy!$A$2:$A$1295,0))="","",INDEX(Hierarchy!$F$2:$F$1295,MATCH($D878,Hierarchy!$A$2:$A$1295,0))),"NODE NOT FOUND"))</f>
        <v/>
      </c>
      <c r="J878" s="7" t="str">
        <f aca="false">IF($D878="","",IFERROR(IF(INDEX(Hierarchy!$G$2:$G$1295,MATCH($D878,Hierarchy!$A$2:$A$1295,0))="","",INDEX(Hierarchy!$G$2:$G$1295,MATCH($D878,Hierarchy!$A$2:$A$1295,0))),"NODE NOT FOUND"))</f>
        <v/>
      </c>
      <c r="K878" s="7" t="str">
        <f aca="false">IF($D878="","",IFERROR(IF(INDEX(Hierarchy!$H$2:$H$1295,MATCH($D878,Hierarchy!$A$2:$A$1295,0))="","",INDEX(Hierarchy!$H$2:$H$1295,MATCH($D878,Hierarchy!$A$2:$A$1295,0))),"NODE NOT FOUND"))</f>
        <v/>
      </c>
      <c r="L878" s="7" t="str">
        <f aca="false">IF($D878="","",IFERROR(IF(INDEX(Hierarchy!$I$2:$I$1295,MATCH($D878,Hierarchy!$A$2:$A$1295,0))="","",INDEX(Hierarchy!$I$2:$I$1295,MATCH($D878,Hierarchy!$A$2:$A$1295,0))),"NODE NOT FOUND"))</f>
        <v/>
      </c>
      <c r="M878" s="17" t="str">
        <f aca="false">IF(B878="Pre-seeded","Pre-seeded",IF(B878="Review 2026-09-16","Added from review",IF(C878="","New",IF(C878=D878,"","Changed"))))</f>
        <v>Pre-seeded</v>
      </c>
      <c r="N878" s="7" t="str">
        <f aca="false">TRIM(SUBSTITUTE(SUBSTITUTE(SUBSTITUTE(" "&amp;TRIM(SUBSTITUTE(SUBSTITUTE(SUBSTITUTE(SUBSTITUTE(SUBSTITUTE(SUBSTITUTE(SUBSTITUTE(SUBSTITUTE(SUBSTITUTE(SUBSTITUTE(SUBSTITUTE(SUBSTITUTE(SUBSTITUTE(SUBSTITUTE(SUBSTITUTE(UPPER(TRIM(A878)),"[MEMBER]",""),"{MEMBER}",""),"[MEMBER}",""),"MEMBER]",""),"(A)",""),"""",""),"“",""),"”",""),".",""),":",""),",",""),"–"," "),"-"," "),"/"," "),"&amp;"," AND "))&amp;" "," THE "," ")," TOTAL "," ")," OPERATIONS "," "))</f>
        <v>LAC</v>
      </c>
      <c r="O878" s="17" t="str">
        <f aca="false">IF(COUNTIFS($N$2:$N$2000,N878,$D$2:$D$2000,"&lt;&gt;"&amp;D878)&gt;0,"CONFLICT","")</f>
        <v/>
      </c>
      <c r="P878" s="7"/>
    </row>
    <row r="879" customFormat="false" ht="15" hidden="false" customHeight="false" outlineLevel="0" collapsed="false">
      <c r="A879" s="7" t="s">
        <v>2332</v>
      </c>
      <c r="B879" s="7" t="s">
        <v>1909</v>
      </c>
      <c r="C879" s="7"/>
      <c r="D879" s="6" t="s">
        <v>312</v>
      </c>
      <c r="E879" s="6" t="s">
        <v>1880</v>
      </c>
      <c r="F879" s="7" t="str">
        <f aca="false">IF($D879="","",IFERROR(IF(INDEX(Hierarchy!$B$2:$B$1295,MATCH($D879,Hierarchy!$A$2:$A$1295,0))="","",INDEX(Hierarchy!$B$2:$B$1295,MATCH($D879,Hierarchy!$A$2:$A$1295,0))),"NODE NOT FOUND"))</f>
        <v>Sub-region</v>
      </c>
      <c r="G879" s="7" t="str">
        <f aca="false">IF($D879="","",IFERROR(IF(INDEX(Hierarchy!$D$2:$D$1295,MATCH($D879,Hierarchy!$A$2:$A$1295,0))="","",INDEX(Hierarchy!$D$2:$D$1295,MATCH($D879,Hierarchy!$A$2:$A$1295,0))),"NODE NOT FOUND"))</f>
        <v>AMER</v>
      </c>
      <c r="H879" s="7" t="str">
        <f aca="false">IF($D879="","",IFERROR(IF(INDEX(Hierarchy!$E$2:$E$1295,MATCH($D879,Hierarchy!$A$2:$A$1295,0))="","",INDEX(Hierarchy!$E$2:$E$1295,MATCH($D879,Hierarchy!$A$2:$A$1295,0))),"NODE NOT FOUND"))</f>
        <v>Latin America (LATAM)</v>
      </c>
      <c r="I879" s="7" t="str">
        <f aca="false">IF($D879="","",IFERROR(IF(INDEX(Hierarchy!$F$2:$F$1295,MATCH($D879,Hierarchy!$A$2:$A$1295,0))="","",INDEX(Hierarchy!$F$2:$F$1295,MATCH($D879,Hierarchy!$A$2:$A$1295,0))),"NODE NOT FOUND"))</f>
        <v/>
      </c>
      <c r="J879" s="7" t="str">
        <f aca="false">IF($D879="","",IFERROR(IF(INDEX(Hierarchy!$G$2:$G$1295,MATCH($D879,Hierarchy!$A$2:$A$1295,0))="","",INDEX(Hierarchy!$G$2:$G$1295,MATCH($D879,Hierarchy!$A$2:$A$1295,0))),"NODE NOT FOUND"))</f>
        <v/>
      </c>
      <c r="K879" s="7" t="str">
        <f aca="false">IF($D879="","",IFERROR(IF(INDEX(Hierarchy!$H$2:$H$1295,MATCH($D879,Hierarchy!$A$2:$A$1295,0))="","",INDEX(Hierarchy!$H$2:$H$1295,MATCH($D879,Hierarchy!$A$2:$A$1295,0))),"NODE NOT FOUND"))</f>
        <v/>
      </c>
      <c r="L879" s="7" t="str">
        <f aca="false">IF($D879="","",IFERROR(IF(INDEX(Hierarchy!$I$2:$I$1295,MATCH($D879,Hierarchy!$A$2:$A$1295,0))="","",INDEX(Hierarchy!$I$2:$I$1295,MATCH($D879,Hierarchy!$A$2:$A$1295,0))),"NODE NOT FOUND"))</f>
        <v/>
      </c>
      <c r="M879" s="17" t="str">
        <f aca="false">IF(B879="Pre-seeded","Pre-seeded",IF(B879="Review 2026-09-16","Added from review",IF(C879="","New",IF(C879=D879,"","Changed"))))</f>
        <v>New</v>
      </c>
      <c r="N879" s="7" t="str">
        <f aca="false">TRIM(SUBSTITUTE(SUBSTITUTE(SUBSTITUTE(" "&amp;TRIM(SUBSTITUTE(SUBSTITUTE(SUBSTITUTE(SUBSTITUTE(SUBSTITUTE(SUBSTITUTE(SUBSTITUTE(SUBSTITUTE(SUBSTITUTE(SUBSTITUTE(SUBSTITUTE(SUBSTITUTE(SUBSTITUTE(SUBSTITUTE(SUBSTITUTE(UPPER(TRIM(A879)),"[MEMBER]",""),"{MEMBER}",""),"[MEMBER}",""),"MEMBER]",""),"(A)",""),"""",""),"“",""),"”",""),".",""),":",""),",",""),"–"," "),"-"," "),"/"," "),"&amp;"," AND "))&amp;" "," THE "," ")," TOTAL "," ")," OPERATIONS "," "))</f>
        <v>LACC</v>
      </c>
      <c r="O879" s="17" t="str">
        <f aca="false">IF(COUNTIFS($N$2:$N$2000,N879,$D$2:$D$2000,"&lt;&gt;"&amp;D879)&gt;0,"CONFLICT","")</f>
        <v/>
      </c>
      <c r="P879" s="7" t="s">
        <v>2333</v>
      </c>
    </row>
    <row r="880" customFormat="false" ht="15" hidden="false" customHeight="false" outlineLevel="0" collapsed="false">
      <c r="A880" s="7" t="s">
        <v>2334</v>
      </c>
      <c r="B880" s="7" t="s">
        <v>1954</v>
      </c>
      <c r="C880" s="7"/>
      <c r="D880" s="6" t="s">
        <v>312</v>
      </c>
      <c r="E880" s="6" t="s">
        <v>1880</v>
      </c>
      <c r="F880" s="7" t="str">
        <f aca="false">IF($D880="","",IFERROR(IF(INDEX(Hierarchy!$B$2:$B$1295,MATCH($D880,Hierarchy!$A$2:$A$1295,0))="","",INDEX(Hierarchy!$B$2:$B$1295,MATCH($D880,Hierarchy!$A$2:$A$1295,0))),"NODE NOT FOUND"))</f>
        <v>Sub-region</v>
      </c>
      <c r="G880" s="7" t="str">
        <f aca="false">IF($D880="","",IFERROR(IF(INDEX(Hierarchy!$D$2:$D$1295,MATCH($D880,Hierarchy!$A$2:$A$1295,0))="","",INDEX(Hierarchy!$D$2:$D$1295,MATCH($D880,Hierarchy!$A$2:$A$1295,0))),"NODE NOT FOUND"))</f>
        <v>AMER</v>
      </c>
      <c r="H880" s="7" t="str">
        <f aca="false">IF($D880="","",IFERROR(IF(INDEX(Hierarchy!$E$2:$E$1295,MATCH($D880,Hierarchy!$A$2:$A$1295,0))="","",INDEX(Hierarchy!$E$2:$E$1295,MATCH($D880,Hierarchy!$A$2:$A$1295,0))),"NODE NOT FOUND"))</f>
        <v>Latin America (LATAM)</v>
      </c>
      <c r="I880" s="7" t="str">
        <f aca="false">IF($D880="","",IFERROR(IF(INDEX(Hierarchy!$F$2:$F$1295,MATCH($D880,Hierarchy!$A$2:$A$1295,0))="","",INDEX(Hierarchy!$F$2:$F$1295,MATCH($D880,Hierarchy!$A$2:$A$1295,0))),"NODE NOT FOUND"))</f>
        <v/>
      </c>
      <c r="J880" s="7" t="str">
        <f aca="false">IF($D880="","",IFERROR(IF(INDEX(Hierarchy!$G$2:$G$1295,MATCH($D880,Hierarchy!$A$2:$A$1295,0))="","",INDEX(Hierarchy!$G$2:$G$1295,MATCH($D880,Hierarchy!$A$2:$A$1295,0))),"NODE NOT FOUND"))</f>
        <v/>
      </c>
      <c r="K880" s="7" t="str">
        <f aca="false">IF($D880="","",IFERROR(IF(INDEX(Hierarchy!$H$2:$H$1295,MATCH($D880,Hierarchy!$A$2:$A$1295,0))="","",INDEX(Hierarchy!$H$2:$H$1295,MATCH($D880,Hierarchy!$A$2:$A$1295,0))),"NODE NOT FOUND"))</f>
        <v/>
      </c>
      <c r="L880" s="7" t="str">
        <f aca="false">IF($D880="","",IFERROR(IF(INDEX(Hierarchy!$I$2:$I$1295,MATCH($D880,Hierarchy!$A$2:$A$1295,0))="","",INDEX(Hierarchy!$I$2:$I$1295,MATCH($D880,Hierarchy!$A$2:$A$1295,0))),"NODE NOT FOUND"))</f>
        <v/>
      </c>
      <c r="M880" s="17" t="str">
        <f aca="false">IF(B880="Pre-seeded","Pre-seeded",IF(B880="Review 2026-09-16","Added from review",IF(C880="","New",IF(C880=D880,"","Changed"))))</f>
        <v>Added from review</v>
      </c>
      <c r="N880" s="7" t="str">
        <f aca="false">TRIM(SUBSTITUTE(SUBSTITUTE(SUBSTITUTE(" "&amp;TRIM(SUBSTITUTE(SUBSTITUTE(SUBSTITUTE(SUBSTITUTE(SUBSTITUTE(SUBSTITUTE(SUBSTITUTE(SUBSTITUTE(SUBSTITUTE(SUBSTITUTE(SUBSTITUTE(SUBSTITUTE(SUBSTITUTE(SUBSTITUTE(SUBSTITUTE(UPPER(TRIM(A880)),"[MEMBER]",""),"{MEMBER}",""),"[MEMBER}",""),"MEMBER]",""),"(A)",""),"""",""),"“",""),"”",""),".",""),":",""),",",""),"–"," "),"-"," "),"/"," "),"&amp;"," AND "))&amp;" "," THE "," ")," TOTAL "," ")," OPERATIONS "," "))</f>
        <v>LACC GEOGRAPHIC REGION</v>
      </c>
      <c r="O880" s="17" t="str">
        <f aca="false">IF(COUNTIFS($N$2:$N$2000,N880,$D$2:$D$2000,"&lt;&gt;"&amp;D880)&gt;0,"CONFLICT","")</f>
        <v/>
      </c>
      <c r="P880" s="7" t="s">
        <v>1968</v>
      </c>
    </row>
    <row r="881" customFormat="false" ht="15" hidden="false" customHeight="false" outlineLevel="0" collapsed="false">
      <c r="A881" s="7" t="s">
        <v>1347</v>
      </c>
      <c r="B881" s="7" t="s">
        <v>1879</v>
      </c>
      <c r="C881" s="7"/>
      <c r="D881" s="6" t="s">
        <v>1347</v>
      </c>
      <c r="E881" s="6" t="s">
        <v>1880</v>
      </c>
      <c r="F881" s="7" t="str">
        <f aca="false">IF($D881="","",IFERROR(IF(INDEX(Hierarchy!$B$2:$B$1295,MATCH($D881,Hierarchy!$A$2:$A$1295,0))="","",INDEX(Hierarchy!$B$2:$B$1295,MATCH($D881,Hierarchy!$A$2:$A$1295,0))),"NODE NOT FOUND"))</f>
        <v>State/Province</v>
      </c>
      <c r="G881" s="7" t="str">
        <f aca="false">IF($D881="","",IFERROR(IF(INDEX(Hierarchy!$D$2:$D$1295,MATCH($D881,Hierarchy!$A$2:$A$1295,0))="","",INDEX(Hierarchy!$D$2:$D$1295,MATCH($D881,Hierarchy!$A$2:$A$1295,0))),"NODE NOT FOUND"))</f>
        <v>APAC</v>
      </c>
      <c r="H881" s="7" t="str">
        <f aca="false">IF($D881="","",IFERROR(IF(INDEX(Hierarchy!$E$2:$E$1295,MATCH($D881,Hierarchy!$A$2:$A$1295,0))="","",INDEX(Hierarchy!$E$2:$E$1295,MATCH($D881,Hierarchy!$A$2:$A$1295,0))),"NODE NOT FOUND"))</f>
        <v>South Asia</v>
      </c>
      <c r="I881" s="7" t="str">
        <f aca="false">IF($D881="","",IFERROR(IF(INDEX(Hierarchy!$F$2:$F$1295,MATCH($D881,Hierarchy!$A$2:$A$1295,0))="","",INDEX(Hierarchy!$F$2:$F$1295,MATCH($D881,Hierarchy!$A$2:$A$1295,0))),"NODE NOT FOUND"))</f>
        <v>India</v>
      </c>
      <c r="J881" s="7" t="str">
        <f aca="false">IF($D881="","",IFERROR(IF(INDEX(Hierarchy!$G$2:$G$1295,MATCH($D881,Hierarchy!$A$2:$A$1295,0))="","",INDEX(Hierarchy!$G$2:$G$1295,MATCH($D881,Hierarchy!$A$2:$A$1295,0))),"NODE NOT FOUND"))</f>
        <v>IND</v>
      </c>
      <c r="K881" s="7" t="str">
        <f aca="false">IF($D881="","",IFERROR(IF(INDEX(Hierarchy!$H$2:$H$1295,MATCH($D881,Hierarchy!$A$2:$A$1295,0))="","",INDEX(Hierarchy!$H$2:$H$1295,MATCH($D881,Hierarchy!$A$2:$A$1295,0))),"NODE NOT FOUND"))</f>
        <v>Ladakh</v>
      </c>
      <c r="L881" s="7" t="str">
        <f aca="false">IF($D881="","",IFERROR(IF(INDEX(Hierarchy!$I$2:$I$1295,MATCH($D881,Hierarchy!$A$2:$A$1295,0))="","",INDEX(Hierarchy!$I$2:$I$1295,MATCH($D881,Hierarchy!$A$2:$A$1295,0))),"NODE NOT FOUND"))</f>
        <v/>
      </c>
      <c r="M881" s="17" t="str">
        <f aca="false">IF(B881="Pre-seeded","Pre-seeded",IF(B881="Review 2026-09-16","Added from review",IF(C881="","New",IF(C881=D881,"","Changed"))))</f>
        <v>Pre-seeded</v>
      </c>
      <c r="N881" s="7" t="str">
        <f aca="false">TRIM(SUBSTITUTE(SUBSTITUTE(SUBSTITUTE(" "&amp;TRIM(SUBSTITUTE(SUBSTITUTE(SUBSTITUTE(SUBSTITUTE(SUBSTITUTE(SUBSTITUTE(SUBSTITUTE(SUBSTITUTE(SUBSTITUTE(SUBSTITUTE(SUBSTITUTE(SUBSTITUTE(SUBSTITUTE(SUBSTITUTE(SUBSTITUTE(UPPER(TRIM(A881)),"[MEMBER]",""),"{MEMBER}",""),"[MEMBER}",""),"MEMBER]",""),"(A)",""),"""",""),"“",""),"”",""),".",""),":",""),",",""),"–"," "),"-"," "),"/"," "),"&amp;"," AND "))&amp;" "," THE "," ")," TOTAL "," ")," OPERATIONS "," "))</f>
        <v>LADAKH</v>
      </c>
      <c r="O881" s="17" t="str">
        <f aca="false">IF(COUNTIFS($N$2:$N$2000,N881,$D$2:$D$2000,"&lt;&gt;"&amp;D881)&gt;0,"CONFLICT","")</f>
        <v/>
      </c>
      <c r="P881" s="7"/>
    </row>
    <row r="882" customFormat="false" ht="15" hidden="false" customHeight="false" outlineLevel="0" collapsed="false">
      <c r="A882" s="7" t="s">
        <v>1157</v>
      </c>
      <c r="B882" s="7" t="s">
        <v>1879</v>
      </c>
      <c r="C882" s="7"/>
      <c r="D882" s="6" t="s">
        <v>1157</v>
      </c>
      <c r="E882" s="6" t="s">
        <v>1880</v>
      </c>
      <c r="F882" s="7" t="str">
        <f aca="false">IF($D882="","",IFERROR(IF(INDEX(Hierarchy!$B$2:$B$1295,MATCH($D882,Hierarchy!$A$2:$A$1295,0))="","",INDEX(Hierarchy!$B$2:$B$1295,MATCH($D882,Hierarchy!$A$2:$A$1295,0))),"NODE NOT FOUND"))</f>
        <v>State/Province</v>
      </c>
      <c r="G882" s="7" t="str">
        <f aca="false">IF($D882="","",IFERROR(IF(INDEX(Hierarchy!$D$2:$D$1295,MATCH($D882,Hierarchy!$A$2:$A$1295,0))="","",INDEX(Hierarchy!$D$2:$D$1295,MATCH($D882,Hierarchy!$A$2:$A$1295,0))),"NODE NOT FOUND"))</f>
        <v>EMEA</v>
      </c>
      <c r="H882" s="7" t="str">
        <f aca="false">IF($D882="","",IFERROR(IF(INDEX(Hierarchy!$E$2:$E$1295,MATCH($D882,Hierarchy!$A$2:$A$1295,0))="","",INDEX(Hierarchy!$E$2:$E$1295,MATCH($D882,Hierarchy!$A$2:$A$1295,0))),"NODE NOT FOUND"))</f>
        <v>Africa</v>
      </c>
      <c r="I882" s="7" t="str">
        <f aca="false">IF($D882="","",IFERROR(IF(INDEX(Hierarchy!$F$2:$F$1295,MATCH($D882,Hierarchy!$A$2:$A$1295,0))="","",INDEX(Hierarchy!$F$2:$F$1295,MATCH($D882,Hierarchy!$A$2:$A$1295,0))),"NODE NOT FOUND"))</f>
        <v>Nigeria</v>
      </c>
      <c r="J882" s="7" t="str">
        <f aca="false">IF($D882="","",IFERROR(IF(INDEX(Hierarchy!$G$2:$G$1295,MATCH($D882,Hierarchy!$A$2:$A$1295,0))="","",INDEX(Hierarchy!$G$2:$G$1295,MATCH($D882,Hierarchy!$A$2:$A$1295,0))),"NODE NOT FOUND"))</f>
        <v>NGA</v>
      </c>
      <c r="K882" s="7" t="str">
        <f aca="false">IF($D882="","",IFERROR(IF(INDEX(Hierarchy!$H$2:$H$1295,MATCH($D882,Hierarchy!$A$2:$A$1295,0))="","",INDEX(Hierarchy!$H$2:$H$1295,MATCH($D882,Hierarchy!$A$2:$A$1295,0))),"NODE NOT FOUND"))</f>
        <v>Lagos</v>
      </c>
      <c r="L882" s="7" t="str">
        <f aca="false">IF($D882="","",IFERROR(IF(INDEX(Hierarchy!$I$2:$I$1295,MATCH($D882,Hierarchy!$A$2:$A$1295,0))="","",INDEX(Hierarchy!$I$2:$I$1295,MATCH($D882,Hierarchy!$A$2:$A$1295,0))),"NODE NOT FOUND"))</f>
        <v/>
      </c>
      <c r="M882" s="17" t="str">
        <f aca="false">IF(B882="Pre-seeded","Pre-seeded",IF(B882="Review 2026-09-16","Added from review",IF(C882="","New",IF(C882=D882,"","Changed"))))</f>
        <v>Pre-seeded</v>
      </c>
      <c r="N882" s="7" t="str">
        <f aca="false">TRIM(SUBSTITUTE(SUBSTITUTE(SUBSTITUTE(" "&amp;TRIM(SUBSTITUTE(SUBSTITUTE(SUBSTITUTE(SUBSTITUTE(SUBSTITUTE(SUBSTITUTE(SUBSTITUTE(SUBSTITUTE(SUBSTITUTE(SUBSTITUTE(SUBSTITUTE(SUBSTITUTE(SUBSTITUTE(SUBSTITUTE(SUBSTITUTE(UPPER(TRIM(A882)),"[MEMBER]",""),"{MEMBER}",""),"[MEMBER}",""),"MEMBER]",""),"(A)",""),"""",""),"“",""),"”",""),".",""),":",""),",",""),"–"," "),"-"," "),"/"," "),"&amp;"," AND "))&amp;" "," THE "," ")," TOTAL "," ")," OPERATIONS "," "))</f>
        <v>LAGOS</v>
      </c>
      <c r="O882" s="17" t="str">
        <f aca="false">IF(COUNTIFS($N$2:$N$2000,N882,$D$2:$D$2000,"&lt;&gt;"&amp;D882)&gt;0,"CONFLICT","")</f>
        <v/>
      </c>
      <c r="P882" s="7"/>
    </row>
    <row r="883" customFormat="false" ht="15" hidden="false" customHeight="false" outlineLevel="0" collapsed="false">
      <c r="A883" s="7" t="s">
        <v>1348</v>
      </c>
      <c r="B883" s="7" t="s">
        <v>1879</v>
      </c>
      <c r="C883" s="7"/>
      <c r="D883" s="6" t="s">
        <v>1348</v>
      </c>
      <c r="E883" s="6" t="s">
        <v>1880</v>
      </c>
      <c r="F883" s="7" t="str">
        <f aca="false">IF($D883="","",IFERROR(IF(INDEX(Hierarchy!$B$2:$B$1295,MATCH($D883,Hierarchy!$A$2:$A$1295,0))="","",INDEX(Hierarchy!$B$2:$B$1295,MATCH($D883,Hierarchy!$A$2:$A$1295,0))),"NODE NOT FOUND"))</f>
        <v>State/Province</v>
      </c>
      <c r="G883" s="7" t="str">
        <f aca="false">IF($D883="","",IFERROR(IF(INDEX(Hierarchy!$D$2:$D$1295,MATCH($D883,Hierarchy!$A$2:$A$1295,0))="","",INDEX(Hierarchy!$D$2:$D$1295,MATCH($D883,Hierarchy!$A$2:$A$1295,0))),"NODE NOT FOUND"))</f>
        <v>APAC</v>
      </c>
      <c r="H883" s="7" t="str">
        <f aca="false">IF($D883="","",IFERROR(IF(INDEX(Hierarchy!$E$2:$E$1295,MATCH($D883,Hierarchy!$A$2:$A$1295,0))="","",INDEX(Hierarchy!$E$2:$E$1295,MATCH($D883,Hierarchy!$A$2:$A$1295,0))),"NODE NOT FOUND"))</f>
        <v>South Asia</v>
      </c>
      <c r="I883" s="7" t="str">
        <f aca="false">IF($D883="","",IFERROR(IF(INDEX(Hierarchy!$F$2:$F$1295,MATCH($D883,Hierarchy!$A$2:$A$1295,0))="","",INDEX(Hierarchy!$F$2:$F$1295,MATCH($D883,Hierarchy!$A$2:$A$1295,0))),"NODE NOT FOUND"))</f>
        <v>India</v>
      </c>
      <c r="J883" s="7" t="str">
        <f aca="false">IF($D883="","",IFERROR(IF(INDEX(Hierarchy!$G$2:$G$1295,MATCH($D883,Hierarchy!$A$2:$A$1295,0))="","",INDEX(Hierarchy!$G$2:$G$1295,MATCH($D883,Hierarchy!$A$2:$A$1295,0))),"NODE NOT FOUND"))</f>
        <v>IND</v>
      </c>
      <c r="K883" s="7" t="str">
        <f aca="false">IF($D883="","",IFERROR(IF(INDEX(Hierarchy!$H$2:$H$1295,MATCH($D883,Hierarchy!$A$2:$A$1295,0))="","",INDEX(Hierarchy!$H$2:$H$1295,MATCH($D883,Hierarchy!$A$2:$A$1295,0))),"NODE NOT FOUND"))</f>
        <v>Lakshadweep</v>
      </c>
      <c r="L883" s="7" t="str">
        <f aca="false">IF($D883="","",IFERROR(IF(INDEX(Hierarchy!$I$2:$I$1295,MATCH($D883,Hierarchy!$A$2:$A$1295,0))="","",INDEX(Hierarchy!$I$2:$I$1295,MATCH($D883,Hierarchy!$A$2:$A$1295,0))),"NODE NOT FOUND"))</f>
        <v/>
      </c>
      <c r="M883" s="17" t="str">
        <f aca="false">IF(B883="Pre-seeded","Pre-seeded",IF(B883="Review 2026-09-16","Added from review",IF(C883="","New",IF(C883=D883,"","Changed"))))</f>
        <v>Pre-seeded</v>
      </c>
      <c r="N883" s="7" t="str">
        <f aca="false">TRIM(SUBSTITUTE(SUBSTITUTE(SUBSTITUTE(" "&amp;TRIM(SUBSTITUTE(SUBSTITUTE(SUBSTITUTE(SUBSTITUTE(SUBSTITUTE(SUBSTITUTE(SUBSTITUTE(SUBSTITUTE(SUBSTITUTE(SUBSTITUTE(SUBSTITUTE(SUBSTITUTE(SUBSTITUTE(SUBSTITUTE(SUBSTITUTE(UPPER(TRIM(A883)),"[MEMBER]",""),"{MEMBER}",""),"[MEMBER}",""),"MEMBER]",""),"(A)",""),"""",""),"“",""),"”",""),".",""),":",""),",",""),"–"," "),"-"," "),"/"," "),"&amp;"," AND "))&amp;" "," THE "," ")," TOTAL "," ")," OPERATIONS "," "))</f>
        <v>LAKSHADWEEP</v>
      </c>
      <c r="O883" s="17" t="str">
        <f aca="false">IF(COUNTIFS($N$2:$N$2000,N883,$D$2:$D$2000,"&lt;&gt;"&amp;D883)&gt;0,"CONFLICT","")</f>
        <v/>
      </c>
      <c r="P883" s="7"/>
    </row>
    <row r="884" customFormat="false" ht="15" hidden="false" customHeight="false" outlineLevel="0" collapsed="false">
      <c r="A884" s="7" t="s">
        <v>1608</v>
      </c>
      <c r="B884" s="7" t="s">
        <v>1879</v>
      </c>
      <c r="C884" s="7"/>
      <c r="D884" s="6" t="s">
        <v>1608</v>
      </c>
      <c r="E884" s="6" t="s">
        <v>1880</v>
      </c>
      <c r="F884" s="7" t="str">
        <f aca="false">IF($D884="","",IFERROR(IF(INDEX(Hierarchy!$B$2:$B$1295,MATCH($D884,Hierarchy!$A$2:$A$1295,0))="","",INDEX(Hierarchy!$B$2:$B$1295,MATCH($D884,Hierarchy!$A$2:$A$1295,0))),"NODE NOT FOUND"))</f>
        <v>State/Province</v>
      </c>
      <c r="G884" s="7" t="str">
        <f aca="false">IF($D884="","",IFERROR(IF(INDEX(Hierarchy!$D$2:$D$1295,MATCH($D884,Hierarchy!$A$2:$A$1295,0))="","",INDEX(Hierarchy!$D$2:$D$1295,MATCH($D884,Hierarchy!$A$2:$A$1295,0))),"NODE NOT FOUND"))</f>
        <v>APAC</v>
      </c>
      <c r="H884" s="7" t="str">
        <f aca="false">IF($D884="","",IFERROR(IF(INDEX(Hierarchy!$E$2:$E$1295,MATCH($D884,Hierarchy!$A$2:$A$1295,0))="","",INDEX(Hierarchy!$E$2:$E$1295,MATCH($D884,Hierarchy!$A$2:$A$1295,0))),"NODE NOT FOUND"))</f>
        <v>Southeast Asia (ASEAN)</v>
      </c>
      <c r="I884" s="7" t="str">
        <f aca="false">IF($D884="","",IFERROR(IF(INDEX(Hierarchy!$F$2:$F$1295,MATCH($D884,Hierarchy!$A$2:$A$1295,0))="","",INDEX(Hierarchy!$F$2:$F$1295,MATCH($D884,Hierarchy!$A$2:$A$1295,0))),"NODE NOT FOUND"))</f>
        <v>Indonesia</v>
      </c>
      <c r="J884" s="7" t="str">
        <f aca="false">IF($D884="","",IFERROR(IF(INDEX(Hierarchy!$G$2:$G$1295,MATCH($D884,Hierarchy!$A$2:$A$1295,0))="","",INDEX(Hierarchy!$G$2:$G$1295,MATCH($D884,Hierarchy!$A$2:$A$1295,0))),"NODE NOT FOUND"))</f>
        <v>IDN</v>
      </c>
      <c r="K884" s="7" t="str">
        <f aca="false">IF($D884="","",IFERROR(IF(INDEX(Hierarchy!$H$2:$H$1295,MATCH($D884,Hierarchy!$A$2:$A$1295,0))="","",INDEX(Hierarchy!$H$2:$H$1295,MATCH($D884,Hierarchy!$A$2:$A$1295,0))),"NODE NOT FOUND"))</f>
        <v>Lampung</v>
      </c>
      <c r="L884" s="7" t="str">
        <f aca="false">IF($D884="","",IFERROR(IF(INDEX(Hierarchy!$I$2:$I$1295,MATCH($D884,Hierarchy!$A$2:$A$1295,0))="","",INDEX(Hierarchy!$I$2:$I$1295,MATCH($D884,Hierarchy!$A$2:$A$1295,0))),"NODE NOT FOUND"))</f>
        <v/>
      </c>
      <c r="M884" s="17" t="str">
        <f aca="false">IF(B884="Pre-seeded","Pre-seeded",IF(B884="Review 2026-09-16","Added from review",IF(C884="","New",IF(C884=D884,"","Changed"))))</f>
        <v>Pre-seeded</v>
      </c>
      <c r="N884" s="7" t="str">
        <f aca="false">TRIM(SUBSTITUTE(SUBSTITUTE(SUBSTITUTE(" "&amp;TRIM(SUBSTITUTE(SUBSTITUTE(SUBSTITUTE(SUBSTITUTE(SUBSTITUTE(SUBSTITUTE(SUBSTITUTE(SUBSTITUTE(SUBSTITUTE(SUBSTITUTE(SUBSTITUTE(SUBSTITUTE(SUBSTITUTE(SUBSTITUTE(SUBSTITUTE(UPPER(TRIM(A884)),"[MEMBER]",""),"{MEMBER}",""),"[MEMBER}",""),"MEMBER]",""),"(A)",""),"""",""),"“",""),"”",""),".",""),":",""),",",""),"–"," "),"-"," "),"/"," "),"&amp;"," AND "))&amp;" "," THE "," ")," TOTAL "," ")," OPERATIONS "," "))</f>
        <v>LAMPUNG</v>
      </c>
      <c r="O884" s="17" t="str">
        <f aca="false">IF(COUNTIFS($N$2:$N$2000,N884,$D$2:$D$2000,"&lt;&gt;"&amp;D884)&gt;0,"CONFLICT","")</f>
        <v/>
      </c>
      <c r="P884" s="7"/>
    </row>
    <row r="885" customFormat="false" ht="15" hidden="false" customHeight="false" outlineLevel="0" collapsed="false">
      <c r="A885" s="7" t="s">
        <v>2335</v>
      </c>
      <c r="B885" s="7" t="s">
        <v>1879</v>
      </c>
      <c r="C885" s="7"/>
      <c r="D885" s="6" t="s">
        <v>1829</v>
      </c>
      <c r="E885" s="6" t="s">
        <v>1880</v>
      </c>
      <c r="F885" s="7" t="str">
        <f aca="false">IF($D885="","",IFERROR(IF(INDEX(Hierarchy!$B$2:$B$1295,MATCH($D885,Hierarchy!$A$2:$A$1295,0))="","",INDEX(Hierarchy!$B$2:$B$1295,MATCH($D885,Hierarchy!$A$2:$A$1295,0))),"NODE NOT FOUND"))</f>
        <v>Reference grouping</v>
      </c>
      <c r="G885" s="7" t="str">
        <f aca="false">IF($D885="","",IFERROR(IF(INDEX(Hierarchy!$D$2:$D$1295,MATCH($D885,Hierarchy!$A$2:$A$1295,0))="","",INDEX(Hierarchy!$D$2:$D$1295,MATCH($D885,Hierarchy!$A$2:$A$1295,0))),"NODE NOT FOUND"))</f>
        <v>Reference (UN / World Bank)</v>
      </c>
      <c r="H885" s="7" t="str">
        <f aca="false">IF($D885="","",IFERROR(IF(INDEX(Hierarchy!$E$2:$E$1295,MATCH($D885,Hierarchy!$A$2:$A$1295,0))="","",INDEX(Hierarchy!$E$2:$E$1295,MATCH($D885,Hierarchy!$A$2:$A$1295,0))),"NODE NOT FOUND"))</f>
        <v/>
      </c>
      <c r="I885" s="7" t="str">
        <f aca="false">IF($D885="","",IFERROR(IF(INDEX(Hierarchy!$F$2:$F$1295,MATCH($D885,Hierarchy!$A$2:$A$1295,0))="","",INDEX(Hierarchy!$F$2:$F$1295,MATCH($D885,Hierarchy!$A$2:$A$1295,0))),"NODE NOT FOUND"))</f>
        <v/>
      </c>
      <c r="J885" s="7" t="str">
        <f aca="false">IF($D885="","",IFERROR(IF(INDEX(Hierarchy!$G$2:$G$1295,MATCH($D885,Hierarchy!$A$2:$A$1295,0))="","",INDEX(Hierarchy!$G$2:$G$1295,MATCH($D885,Hierarchy!$A$2:$A$1295,0))),"NODE NOT FOUND"))</f>
        <v/>
      </c>
      <c r="K885" s="7" t="str">
        <f aca="false">IF($D885="","",IFERROR(IF(INDEX(Hierarchy!$H$2:$H$1295,MATCH($D885,Hierarchy!$A$2:$A$1295,0))="","",INDEX(Hierarchy!$H$2:$H$1295,MATCH($D885,Hierarchy!$A$2:$A$1295,0))),"NODE NOT FOUND"))</f>
        <v/>
      </c>
      <c r="L885" s="7" t="str">
        <f aca="false">IF($D885="","",IFERROR(IF(INDEX(Hierarchy!$I$2:$I$1295,MATCH($D885,Hierarchy!$A$2:$A$1295,0))="","",INDEX(Hierarchy!$I$2:$I$1295,MATCH($D885,Hierarchy!$A$2:$A$1295,0))),"NODE NOT FOUND"))</f>
        <v/>
      </c>
      <c r="M885" s="17" t="str">
        <f aca="false">IF(B885="Pre-seeded","Pre-seeded",IF(B885="Review 2026-09-16","Added from review",IF(C885="","New",IF(C885=D885,"","Changed"))))</f>
        <v>Pre-seeded</v>
      </c>
      <c r="N885" s="7" t="str">
        <f aca="false">TRIM(SUBSTITUTE(SUBSTITUTE(SUBSTITUTE(" "&amp;TRIM(SUBSTITUTE(SUBSTITUTE(SUBSTITUTE(SUBSTITUTE(SUBSTITUTE(SUBSTITUTE(SUBSTITUTE(SUBSTITUTE(SUBSTITUTE(SUBSTITUTE(SUBSTITUTE(SUBSTITUTE(SUBSTITUTE(SUBSTITUTE(SUBSTITUTE(UPPER(TRIM(A885)),"[MEMBER]",""),"{MEMBER}",""),"[MEMBER}",""),"MEMBER]",""),"(A)",""),"""",""),"“",""),"”",""),".",""),":",""),",",""),"–"," "),"-"," "),"/"," "),"&amp;"," AND "))&amp;" "," THE "," ")," TOTAL "," ")," OPERATIONS "," "))</f>
        <v>LANDLOCKED DEVELOPING COUNTRIES</v>
      </c>
      <c r="O885" s="17" t="str">
        <f aca="false">IF(COUNTIFS($N$2:$N$2000,N885,$D$2:$D$2000,"&lt;&gt;"&amp;D885)&gt;0,"CONFLICT","")</f>
        <v/>
      </c>
      <c r="P885" s="7"/>
    </row>
    <row r="886" customFormat="false" ht="15" hidden="false" customHeight="false" outlineLevel="0" collapsed="false">
      <c r="A886" s="7" t="s">
        <v>1829</v>
      </c>
      <c r="B886" s="7" t="s">
        <v>1879</v>
      </c>
      <c r="C886" s="7"/>
      <c r="D886" s="6" t="s">
        <v>1829</v>
      </c>
      <c r="E886" s="6" t="s">
        <v>1880</v>
      </c>
      <c r="F886" s="7" t="str">
        <f aca="false">IF($D886="","",IFERROR(IF(INDEX(Hierarchy!$B$2:$B$1295,MATCH($D886,Hierarchy!$A$2:$A$1295,0))="","",INDEX(Hierarchy!$B$2:$B$1295,MATCH($D886,Hierarchy!$A$2:$A$1295,0))),"NODE NOT FOUND"))</f>
        <v>Reference grouping</v>
      </c>
      <c r="G886" s="7" t="str">
        <f aca="false">IF($D886="","",IFERROR(IF(INDEX(Hierarchy!$D$2:$D$1295,MATCH($D886,Hierarchy!$A$2:$A$1295,0))="","",INDEX(Hierarchy!$D$2:$D$1295,MATCH($D886,Hierarchy!$A$2:$A$1295,0))),"NODE NOT FOUND"))</f>
        <v>Reference (UN / World Bank)</v>
      </c>
      <c r="H886" s="7" t="str">
        <f aca="false">IF($D886="","",IFERROR(IF(INDEX(Hierarchy!$E$2:$E$1295,MATCH($D886,Hierarchy!$A$2:$A$1295,0))="","",INDEX(Hierarchy!$E$2:$E$1295,MATCH($D886,Hierarchy!$A$2:$A$1295,0))),"NODE NOT FOUND"))</f>
        <v/>
      </c>
      <c r="I886" s="7" t="str">
        <f aca="false">IF($D886="","",IFERROR(IF(INDEX(Hierarchy!$F$2:$F$1295,MATCH($D886,Hierarchy!$A$2:$A$1295,0))="","",INDEX(Hierarchy!$F$2:$F$1295,MATCH($D886,Hierarchy!$A$2:$A$1295,0))),"NODE NOT FOUND"))</f>
        <v/>
      </c>
      <c r="J886" s="7" t="str">
        <f aca="false">IF($D886="","",IFERROR(IF(INDEX(Hierarchy!$G$2:$G$1295,MATCH($D886,Hierarchy!$A$2:$A$1295,0))="","",INDEX(Hierarchy!$G$2:$G$1295,MATCH($D886,Hierarchy!$A$2:$A$1295,0))),"NODE NOT FOUND"))</f>
        <v/>
      </c>
      <c r="K886" s="7" t="str">
        <f aca="false">IF($D886="","",IFERROR(IF(INDEX(Hierarchy!$H$2:$H$1295,MATCH($D886,Hierarchy!$A$2:$A$1295,0))="","",INDEX(Hierarchy!$H$2:$H$1295,MATCH($D886,Hierarchy!$A$2:$A$1295,0))),"NODE NOT FOUND"))</f>
        <v/>
      </c>
      <c r="L886" s="7" t="str">
        <f aca="false">IF($D886="","",IFERROR(IF(INDEX(Hierarchy!$I$2:$I$1295,MATCH($D886,Hierarchy!$A$2:$A$1295,0))="","",INDEX(Hierarchy!$I$2:$I$1295,MATCH($D886,Hierarchy!$A$2:$A$1295,0))),"NODE NOT FOUND"))</f>
        <v/>
      </c>
      <c r="M886" s="17" t="str">
        <f aca="false">IF(B886="Pre-seeded","Pre-seeded",IF(B886="Review 2026-09-16","Added from review",IF(C886="","New",IF(C886=D886,"","Changed"))))</f>
        <v>Pre-seeded</v>
      </c>
      <c r="N886" s="7" t="str">
        <f aca="false">TRIM(SUBSTITUTE(SUBSTITUTE(SUBSTITUTE(" "&amp;TRIM(SUBSTITUTE(SUBSTITUTE(SUBSTITUTE(SUBSTITUTE(SUBSTITUTE(SUBSTITUTE(SUBSTITUTE(SUBSTITUTE(SUBSTITUTE(SUBSTITUTE(SUBSTITUTE(SUBSTITUTE(SUBSTITUTE(SUBSTITUTE(SUBSTITUTE(UPPER(TRIM(A886)),"[MEMBER]",""),"{MEMBER}",""),"[MEMBER}",""),"MEMBER]",""),"(A)",""),"""",""),"“",""),"”",""),".",""),":",""),",",""),"–"," "),"-"," "),"/"," "),"&amp;"," AND "))&amp;" "," THE "," ")," TOTAL "," ")," OPERATIONS "," "))</f>
        <v>LANDLOCKED DEVELOPING COUNTRIES (UN LLDC)</v>
      </c>
      <c r="O886" s="17" t="str">
        <f aca="false">IF(COUNTIFS($N$2:$N$2000,N886,$D$2:$D$2000,"&lt;&gt;"&amp;D886)&gt;0,"CONFLICT","")</f>
        <v/>
      </c>
      <c r="P886" s="7"/>
    </row>
    <row r="887" customFormat="false" ht="15" hidden="false" customHeight="false" outlineLevel="0" collapsed="false">
      <c r="A887" s="7" t="s">
        <v>2336</v>
      </c>
      <c r="B887" s="7" t="s">
        <v>1879</v>
      </c>
      <c r="C887" s="7"/>
      <c r="D887" s="6" t="s">
        <v>1656</v>
      </c>
      <c r="E887" s="6" t="s">
        <v>1880</v>
      </c>
      <c r="F887" s="7" t="str">
        <f aca="false">IF($D887="","",IFERROR(IF(INDEX(Hierarchy!$B$2:$B$1295,MATCH($D887,Hierarchy!$A$2:$A$1295,0))="","",INDEX(Hierarchy!$B$2:$B$1295,MATCH($D887,Hierarchy!$A$2:$A$1295,0))),"NODE NOT FOUND"))</f>
        <v>Country</v>
      </c>
      <c r="G887" s="7" t="str">
        <f aca="false">IF($D887="","",IFERROR(IF(INDEX(Hierarchy!$D$2:$D$1295,MATCH($D887,Hierarchy!$A$2:$A$1295,0))="","",INDEX(Hierarchy!$D$2:$D$1295,MATCH($D887,Hierarchy!$A$2:$A$1295,0))),"NODE NOT FOUND"))</f>
        <v>APAC</v>
      </c>
      <c r="H887" s="7" t="str">
        <f aca="false">IF($D887="","",IFERROR(IF(INDEX(Hierarchy!$E$2:$E$1295,MATCH($D887,Hierarchy!$A$2:$A$1295,0))="","",INDEX(Hierarchy!$E$2:$E$1295,MATCH($D887,Hierarchy!$A$2:$A$1295,0))),"NODE NOT FOUND"))</f>
        <v>Southeast Asia (ASEAN)</v>
      </c>
      <c r="I887" s="7" t="str">
        <f aca="false">IF($D887="","",IFERROR(IF(INDEX(Hierarchy!$F$2:$F$1295,MATCH($D887,Hierarchy!$A$2:$A$1295,0))="","",INDEX(Hierarchy!$F$2:$F$1295,MATCH($D887,Hierarchy!$A$2:$A$1295,0))),"NODE NOT FOUND"))</f>
        <v>Laos</v>
      </c>
      <c r="J887" s="7" t="str">
        <f aca="false">IF($D887="","",IFERROR(IF(INDEX(Hierarchy!$G$2:$G$1295,MATCH($D887,Hierarchy!$A$2:$A$1295,0))="","",INDEX(Hierarchy!$G$2:$G$1295,MATCH($D887,Hierarchy!$A$2:$A$1295,0))),"NODE NOT FOUND"))</f>
        <v>LAO</v>
      </c>
      <c r="K887" s="7" t="str">
        <f aca="false">IF($D887="","",IFERROR(IF(INDEX(Hierarchy!$H$2:$H$1295,MATCH($D887,Hierarchy!$A$2:$A$1295,0))="","",INDEX(Hierarchy!$H$2:$H$1295,MATCH($D887,Hierarchy!$A$2:$A$1295,0))),"NODE NOT FOUND"))</f>
        <v/>
      </c>
      <c r="L887" s="7" t="str">
        <f aca="false">IF($D887="","",IFERROR(IF(INDEX(Hierarchy!$I$2:$I$1295,MATCH($D887,Hierarchy!$A$2:$A$1295,0))="","",INDEX(Hierarchy!$I$2:$I$1295,MATCH($D887,Hierarchy!$A$2:$A$1295,0))),"NODE NOT FOUND"))</f>
        <v/>
      </c>
      <c r="M887" s="17" t="str">
        <f aca="false">IF(B887="Pre-seeded","Pre-seeded",IF(B887="Review 2026-09-16","Added from review",IF(C887="","New",IF(C887=D887,"","Changed"))))</f>
        <v>Pre-seeded</v>
      </c>
      <c r="N887" s="7" t="str">
        <f aca="false">TRIM(SUBSTITUTE(SUBSTITUTE(SUBSTITUTE(" "&amp;TRIM(SUBSTITUTE(SUBSTITUTE(SUBSTITUTE(SUBSTITUTE(SUBSTITUTE(SUBSTITUTE(SUBSTITUTE(SUBSTITUTE(SUBSTITUTE(SUBSTITUTE(SUBSTITUTE(SUBSTITUTE(SUBSTITUTE(SUBSTITUTE(SUBSTITUTE(UPPER(TRIM(A887)),"[MEMBER]",""),"{MEMBER}",""),"[MEMBER}",""),"MEMBER]",""),"(A)",""),"""",""),"“",""),"”",""),".",""),":",""),",",""),"–"," "),"-"," "),"/"," "),"&amp;"," AND "))&amp;" "," THE "," ")," TOTAL "," ")," OPERATIONS "," "))</f>
        <v>LAO PDR</v>
      </c>
      <c r="O887" s="17" t="str">
        <f aca="false">IF(COUNTIFS($N$2:$N$2000,N887,$D$2:$D$2000,"&lt;&gt;"&amp;D887)&gt;0,"CONFLICT","")</f>
        <v/>
      </c>
      <c r="P887" s="7"/>
    </row>
    <row r="888" customFormat="false" ht="15" hidden="false" customHeight="false" outlineLevel="0" collapsed="false">
      <c r="A888" s="7" t="s">
        <v>2337</v>
      </c>
      <c r="B888" s="7" t="s">
        <v>1879</v>
      </c>
      <c r="C888" s="7"/>
      <c r="D888" s="6" t="s">
        <v>1656</v>
      </c>
      <c r="E888" s="6" t="s">
        <v>1880</v>
      </c>
      <c r="F888" s="7" t="str">
        <f aca="false">IF($D888="","",IFERROR(IF(INDEX(Hierarchy!$B$2:$B$1295,MATCH($D888,Hierarchy!$A$2:$A$1295,0))="","",INDEX(Hierarchy!$B$2:$B$1295,MATCH($D888,Hierarchy!$A$2:$A$1295,0))),"NODE NOT FOUND"))</f>
        <v>Country</v>
      </c>
      <c r="G888" s="7" t="str">
        <f aca="false">IF($D888="","",IFERROR(IF(INDEX(Hierarchy!$D$2:$D$1295,MATCH($D888,Hierarchy!$A$2:$A$1295,0))="","",INDEX(Hierarchy!$D$2:$D$1295,MATCH($D888,Hierarchy!$A$2:$A$1295,0))),"NODE NOT FOUND"))</f>
        <v>APAC</v>
      </c>
      <c r="H888" s="7" t="str">
        <f aca="false">IF($D888="","",IFERROR(IF(INDEX(Hierarchy!$E$2:$E$1295,MATCH($D888,Hierarchy!$A$2:$A$1295,0))="","",INDEX(Hierarchy!$E$2:$E$1295,MATCH($D888,Hierarchy!$A$2:$A$1295,0))),"NODE NOT FOUND"))</f>
        <v>Southeast Asia (ASEAN)</v>
      </c>
      <c r="I888" s="7" t="str">
        <f aca="false">IF($D888="","",IFERROR(IF(INDEX(Hierarchy!$F$2:$F$1295,MATCH($D888,Hierarchy!$A$2:$A$1295,0))="","",INDEX(Hierarchy!$F$2:$F$1295,MATCH($D888,Hierarchy!$A$2:$A$1295,0))),"NODE NOT FOUND"))</f>
        <v>Laos</v>
      </c>
      <c r="J888" s="7" t="str">
        <f aca="false">IF($D888="","",IFERROR(IF(INDEX(Hierarchy!$G$2:$G$1295,MATCH($D888,Hierarchy!$A$2:$A$1295,0))="","",INDEX(Hierarchy!$G$2:$G$1295,MATCH($D888,Hierarchy!$A$2:$A$1295,0))),"NODE NOT FOUND"))</f>
        <v>LAO</v>
      </c>
      <c r="K888" s="7" t="str">
        <f aca="false">IF($D888="","",IFERROR(IF(INDEX(Hierarchy!$H$2:$H$1295,MATCH($D888,Hierarchy!$A$2:$A$1295,0))="","",INDEX(Hierarchy!$H$2:$H$1295,MATCH($D888,Hierarchy!$A$2:$A$1295,0))),"NODE NOT FOUND"))</f>
        <v/>
      </c>
      <c r="L888" s="7" t="str">
        <f aca="false">IF($D888="","",IFERROR(IF(INDEX(Hierarchy!$I$2:$I$1295,MATCH($D888,Hierarchy!$A$2:$A$1295,0))="","",INDEX(Hierarchy!$I$2:$I$1295,MATCH($D888,Hierarchy!$A$2:$A$1295,0))),"NODE NOT FOUND"))</f>
        <v/>
      </c>
      <c r="M888" s="17" t="str">
        <f aca="false">IF(B888="Pre-seeded","Pre-seeded",IF(B888="Review 2026-09-16","Added from review",IF(C888="","New",IF(C888=D888,"","Changed"))))</f>
        <v>Pre-seeded</v>
      </c>
      <c r="N888" s="7" t="str">
        <f aca="false">TRIM(SUBSTITUTE(SUBSTITUTE(SUBSTITUTE(" "&amp;TRIM(SUBSTITUTE(SUBSTITUTE(SUBSTITUTE(SUBSTITUTE(SUBSTITUTE(SUBSTITUTE(SUBSTITUTE(SUBSTITUTE(SUBSTITUTE(SUBSTITUTE(SUBSTITUTE(SUBSTITUTE(SUBSTITUTE(SUBSTITUTE(SUBSTITUTE(UPPER(TRIM(A888)),"[MEMBER]",""),"{MEMBER}",""),"[MEMBER}",""),"MEMBER]",""),"(A)",""),"""",""),"“",""),"”",""),".",""),":",""),",",""),"–"," "),"-"," "),"/"," "),"&amp;"," AND "))&amp;" "," THE "," ")," TOTAL "," ")," OPERATIONS "," "))</f>
        <v>LAO PEOPLE'S DEMOCRATIC REPUBLIC</v>
      </c>
      <c r="O888" s="17" t="str">
        <f aca="false">IF(COUNTIFS($N$2:$N$2000,N888,$D$2:$D$2000,"&lt;&gt;"&amp;D888)&gt;0,"CONFLICT","")</f>
        <v/>
      </c>
      <c r="P888" s="7" t="s">
        <v>1936</v>
      </c>
    </row>
    <row r="889" customFormat="false" ht="15" hidden="false" customHeight="false" outlineLevel="0" collapsed="false">
      <c r="A889" s="7" t="s">
        <v>1656</v>
      </c>
      <c r="B889" s="7" t="s">
        <v>1879</v>
      </c>
      <c r="C889" s="7"/>
      <c r="D889" s="6" t="s">
        <v>1656</v>
      </c>
      <c r="E889" s="6" t="s">
        <v>1880</v>
      </c>
      <c r="F889" s="7" t="str">
        <f aca="false">IF($D889="","",IFERROR(IF(INDEX(Hierarchy!$B$2:$B$1295,MATCH($D889,Hierarchy!$A$2:$A$1295,0))="","",INDEX(Hierarchy!$B$2:$B$1295,MATCH($D889,Hierarchy!$A$2:$A$1295,0))),"NODE NOT FOUND"))</f>
        <v>Country</v>
      </c>
      <c r="G889" s="7" t="str">
        <f aca="false">IF($D889="","",IFERROR(IF(INDEX(Hierarchy!$D$2:$D$1295,MATCH($D889,Hierarchy!$A$2:$A$1295,0))="","",INDEX(Hierarchy!$D$2:$D$1295,MATCH($D889,Hierarchy!$A$2:$A$1295,0))),"NODE NOT FOUND"))</f>
        <v>APAC</v>
      </c>
      <c r="H889" s="7" t="str">
        <f aca="false">IF($D889="","",IFERROR(IF(INDEX(Hierarchy!$E$2:$E$1295,MATCH($D889,Hierarchy!$A$2:$A$1295,0))="","",INDEX(Hierarchy!$E$2:$E$1295,MATCH($D889,Hierarchy!$A$2:$A$1295,0))),"NODE NOT FOUND"))</f>
        <v>Southeast Asia (ASEAN)</v>
      </c>
      <c r="I889" s="7" t="str">
        <f aca="false">IF($D889="","",IFERROR(IF(INDEX(Hierarchy!$F$2:$F$1295,MATCH($D889,Hierarchy!$A$2:$A$1295,0))="","",INDEX(Hierarchy!$F$2:$F$1295,MATCH($D889,Hierarchy!$A$2:$A$1295,0))),"NODE NOT FOUND"))</f>
        <v>Laos</v>
      </c>
      <c r="J889" s="7" t="str">
        <f aca="false">IF($D889="","",IFERROR(IF(INDEX(Hierarchy!$G$2:$G$1295,MATCH($D889,Hierarchy!$A$2:$A$1295,0))="","",INDEX(Hierarchy!$G$2:$G$1295,MATCH($D889,Hierarchy!$A$2:$A$1295,0))),"NODE NOT FOUND"))</f>
        <v>LAO</v>
      </c>
      <c r="K889" s="7" t="str">
        <f aca="false">IF($D889="","",IFERROR(IF(INDEX(Hierarchy!$H$2:$H$1295,MATCH($D889,Hierarchy!$A$2:$A$1295,0))="","",INDEX(Hierarchy!$H$2:$H$1295,MATCH($D889,Hierarchy!$A$2:$A$1295,0))),"NODE NOT FOUND"))</f>
        <v/>
      </c>
      <c r="L889" s="7" t="str">
        <f aca="false">IF($D889="","",IFERROR(IF(INDEX(Hierarchy!$I$2:$I$1295,MATCH($D889,Hierarchy!$A$2:$A$1295,0))="","",INDEX(Hierarchy!$I$2:$I$1295,MATCH($D889,Hierarchy!$A$2:$A$1295,0))),"NODE NOT FOUND"))</f>
        <v/>
      </c>
      <c r="M889" s="17" t="str">
        <f aca="false">IF(B889="Pre-seeded","Pre-seeded",IF(B889="Review 2026-09-16","Added from review",IF(C889="","New",IF(C889=D889,"","Changed"))))</f>
        <v>Pre-seeded</v>
      </c>
      <c r="N889" s="7" t="str">
        <f aca="false">TRIM(SUBSTITUTE(SUBSTITUTE(SUBSTITUTE(" "&amp;TRIM(SUBSTITUTE(SUBSTITUTE(SUBSTITUTE(SUBSTITUTE(SUBSTITUTE(SUBSTITUTE(SUBSTITUTE(SUBSTITUTE(SUBSTITUTE(SUBSTITUTE(SUBSTITUTE(SUBSTITUTE(SUBSTITUTE(SUBSTITUTE(SUBSTITUTE(UPPER(TRIM(A889)),"[MEMBER]",""),"{MEMBER}",""),"[MEMBER}",""),"MEMBER]",""),"(A)",""),"""",""),"“",""),"”",""),".",""),":",""),",",""),"–"," "),"-"," "),"/"," "),"&amp;"," AND "))&amp;" "," THE "," ")," TOTAL "," ")," OPERATIONS "," "))</f>
        <v>LAOS</v>
      </c>
      <c r="O889" s="17" t="str">
        <f aca="false">IF(COUNTIFS($N$2:$N$2000,N889,$D$2:$D$2000,"&lt;&gt;"&amp;D889)&gt;0,"CONFLICT","")</f>
        <v/>
      </c>
      <c r="P889" s="7"/>
    </row>
    <row r="890" customFormat="false" ht="15" hidden="false" customHeight="false" outlineLevel="0" collapsed="false">
      <c r="A890" s="7" t="s">
        <v>208</v>
      </c>
      <c r="B890" s="7" t="s">
        <v>1882</v>
      </c>
      <c r="C890" s="7" t="s">
        <v>208</v>
      </c>
      <c r="D890" s="6" t="s">
        <v>208</v>
      </c>
      <c r="E890" s="6" t="s">
        <v>1880</v>
      </c>
      <c r="F890" s="7" t="str">
        <f aca="false">IF($D890="","",IFERROR(IF(INDEX(Hierarchy!$B$2:$B$1295,MATCH($D890,Hierarchy!$A$2:$A$1295,0))="","",INDEX(Hierarchy!$B$2:$B$1295,MATCH($D890,Hierarchy!$A$2:$A$1295,0))),"NODE NOT FOUND"))</f>
        <v>City</v>
      </c>
      <c r="G890" s="7" t="str">
        <f aca="false">IF($D890="","",IFERROR(IF(INDEX(Hierarchy!$D$2:$D$1295,MATCH($D890,Hierarchy!$A$2:$A$1295,0))="","",INDEX(Hierarchy!$D$2:$D$1295,MATCH($D890,Hierarchy!$A$2:$A$1295,0))),"NODE NOT FOUND"))</f>
        <v>AMER</v>
      </c>
      <c r="H890" s="7" t="str">
        <f aca="false">IF($D890="","",IFERROR(IF(INDEX(Hierarchy!$E$2:$E$1295,MATCH($D890,Hierarchy!$A$2:$A$1295,0))="","",INDEX(Hierarchy!$E$2:$E$1295,MATCH($D890,Hierarchy!$A$2:$A$1295,0))),"NODE NOT FOUND"))</f>
        <v>North America (NORAM)</v>
      </c>
      <c r="I890" s="7" t="str">
        <f aca="false">IF($D890="","",IFERROR(IF(INDEX(Hierarchy!$F$2:$F$1295,MATCH($D890,Hierarchy!$A$2:$A$1295,0))="","",INDEX(Hierarchy!$F$2:$F$1295,MATCH($D890,Hierarchy!$A$2:$A$1295,0))),"NODE NOT FOUND"))</f>
        <v>United States</v>
      </c>
      <c r="J890" s="7" t="str">
        <f aca="false">IF($D890="","",IFERROR(IF(INDEX(Hierarchy!$G$2:$G$1295,MATCH($D890,Hierarchy!$A$2:$A$1295,0))="","",INDEX(Hierarchy!$G$2:$G$1295,MATCH($D890,Hierarchy!$A$2:$A$1295,0))),"NODE NOT FOUND"))</f>
        <v>USA</v>
      </c>
      <c r="K890" s="7" t="str">
        <f aca="false">IF($D890="","",IFERROR(IF(INDEX(Hierarchy!$H$2:$H$1295,MATCH($D890,Hierarchy!$A$2:$A$1295,0))="","",INDEX(Hierarchy!$H$2:$H$1295,MATCH($D890,Hierarchy!$A$2:$A$1295,0))),"NODE NOT FOUND"))</f>
        <v>Nevada</v>
      </c>
      <c r="L890" s="7" t="str">
        <f aca="false">IF($D890="","",IFERROR(IF(INDEX(Hierarchy!$I$2:$I$1295,MATCH($D890,Hierarchy!$A$2:$A$1295,0))="","",INDEX(Hierarchy!$I$2:$I$1295,MATCH($D890,Hierarchy!$A$2:$A$1295,0))),"NODE NOT FOUND"))</f>
        <v>Las Vegas</v>
      </c>
      <c r="M890" s="17" t="str">
        <f aca="false">IF(B890="Pre-seeded","Pre-seeded",IF(B890="Review 2026-09-16","Added from review",IF(C890="","New",IF(C890=D890,"","Changed"))))</f>
        <v/>
      </c>
      <c r="N890" s="7" t="str">
        <f aca="false">TRIM(SUBSTITUTE(SUBSTITUTE(SUBSTITUTE(" "&amp;TRIM(SUBSTITUTE(SUBSTITUTE(SUBSTITUTE(SUBSTITUTE(SUBSTITUTE(SUBSTITUTE(SUBSTITUTE(SUBSTITUTE(SUBSTITUTE(SUBSTITUTE(SUBSTITUTE(SUBSTITUTE(SUBSTITUTE(SUBSTITUTE(SUBSTITUTE(UPPER(TRIM(A890)),"[MEMBER]",""),"{MEMBER}",""),"[MEMBER}",""),"MEMBER]",""),"(A)",""),"""",""),"“",""),"”",""),".",""),":",""),",",""),"–"," "),"-"," "),"/"," "),"&amp;"," AND "))&amp;" "," THE "," ")," TOTAL "," ")," OPERATIONS "," "))</f>
        <v>LAS VEGAS</v>
      </c>
      <c r="O890" s="17" t="str">
        <f aca="false">IF(COUNTIFS($N$2:$N$2000,N890,$D$2:$D$2000,"&lt;&gt;"&amp;D890)&gt;0,"CONFLICT","")</f>
        <v/>
      </c>
      <c r="P890" s="7"/>
    </row>
    <row r="891" customFormat="false" ht="15" hidden="false" customHeight="false" outlineLevel="0" collapsed="false">
      <c r="A891" s="7" t="s">
        <v>2338</v>
      </c>
      <c r="B891" s="7" t="s">
        <v>1879</v>
      </c>
      <c r="C891" s="7"/>
      <c r="D891" s="6" t="s">
        <v>312</v>
      </c>
      <c r="E891" s="6" t="s">
        <v>1880</v>
      </c>
      <c r="F891" s="7" t="str">
        <f aca="false">IF($D891="","",IFERROR(IF(INDEX(Hierarchy!$B$2:$B$1295,MATCH($D891,Hierarchy!$A$2:$A$1295,0))="","",INDEX(Hierarchy!$B$2:$B$1295,MATCH($D891,Hierarchy!$A$2:$A$1295,0))),"NODE NOT FOUND"))</f>
        <v>Sub-region</v>
      </c>
      <c r="G891" s="7" t="str">
        <f aca="false">IF($D891="","",IFERROR(IF(INDEX(Hierarchy!$D$2:$D$1295,MATCH($D891,Hierarchy!$A$2:$A$1295,0))="","",INDEX(Hierarchy!$D$2:$D$1295,MATCH($D891,Hierarchy!$A$2:$A$1295,0))),"NODE NOT FOUND"))</f>
        <v>AMER</v>
      </c>
      <c r="H891" s="7" t="str">
        <f aca="false">IF($D891="","",IFERROR(IF(INDEX(Hierarchy!$E$2:$E$1295,MATCH($D891,Hierarchy!$A$2:$A$1295,0))="","",INDEX(Hierarchy!$E$2:$E$1295,MATCH($D891,Hierarchy!$A$2:$A$1295,0))),"NODE NOT FOUND"))</f>
        <v>Latin America (LATAM)</v>
      </c>
      <c r="I891" s="7" t="str">
        <f aca="false">IF($D891="","",IFERROR(IF(INDEX(Hierarchy!$F$2:$F$1295,MATCH($D891,Hierarchy!$A$2:$A$1295,0))="","",INDEX(Hierarchy!$F$2:$F$1295,MATCH($D891,Hierarchy!$A$2:$A$1295,0))),"NODE NOT FOUND"))</f>
        <v/>
      </c>
      <c r="J891" s="7" t="str">
        <f aca="false">IF($D891="","",IFERROR(IF(INDEX(Hierarchy!$G$2:$G$1295,MATCH($D891,Hierarchy!$A$2:$A$1295,0))="","",INDEX(Hierarchy!$G$2:$G$1295,MATCH($D891,Hierarchy!$A$2:$A$1295,0))),"NODE NOT FOUND"))</f>
        <v/>
      </c>
      <c r="K891" s="7" t="str">
        <f aca="false">IF($D891="","",IFERROR(IF(INDEX(Hierarchy!$H$2:$H$1295,MATCH($D891,Hierarchy!$A$2:$A$1295,0))="","",INDEX(Hierarchy!$H$2:$H$1295,MATCH($D891,Hierarchy!$A$2:$A$1295,0))),"NODE NOT FOUND"))</f>
        <v/>
      </c>
      <c r="L891" s="7" t="str">
        <f aca="false">IF($D891="","",IFERROR(IF(INDEX(Hierarchy!$I$2:$I$1295,MATCH($D891,Hierarchy!$A$2:$A$1295,0))="","",INDEX(Hierarchy!$I$2:$I$1295,MATCH($D891,Hierarchy!$A$2:$A$1295,0))),"NODE NOT FOUND"))</f>
        <v/>
      </c>
      <c r="M891" s="17" t="str">
        <f aca="false">IF(B891="Pre-seeded","Pre-seeded",IF(B891="Review 2026-09-16","Added from review",IF(C891="","New",IF(C891=D891,"","Changed"))))</f>
        <v>Pre-seeded</v>
      </c>
      <c r="N891" s="7" t="str">
        <f aca="false">TRIM(SUBSTITUTE(SUBSTITUTE(SUBSTITUTE(" "&amp;TRIM(SUBSTITUTE(SUBSTITUTE(SUBSTITUTE(SUBSTITUTE(SUBSTITUTE(SUBSTITUTE(SUBSTITUTE(SUBSTITUTE(SUBSTITUTE(SUBSTITUTE(SUBSTITUTE(SUBSTITUTE(SUBSTITUTE(SUBSTITUTE(SUBSTITUTE(UPPER(TRIM(A891)),"[MEMBER]",""),"{MEMBER}",""),"[MEMBER}",""),"MEMBER]",""),"(A)",""),"""",""),"“",""),"”",""),".",""),":",""),",",""),"–"," "),"-"," "),"/"," "),"&amp;"," AND "))&amp;" "," THE "," ")," TOTAL "," ")," OPERATIONS "," "))</f>
        <v>LATAM</v>
      </c>
      <c r="O891" s="17" t="str">
        <f aca="false">IF(COUNTIFS($N$2:$N$2000,N891,$D$2:$D$2000,"&lt;&gt;"&amp;D891)&gt;0,"CONFLICT","")</f>
        <v/>
      </c>
      <c r="P891" s="7"/>
    </row>
    <row r="892" customFormat="false" ht="15" hidden="false" customHeight="false" outlineLevel="0" collapsed="false">
      <c r="A892" s="7" t="s">
        <v>2339</v>
      </c>
      <c r="B892" s="7" t="s">
        <v>1882</v>
      </c>
      <c r="C892" s="7" t="s">
        <v>2339</v>
      </c>
      <c r="D892" s="6" t="s">
        <v>312</v>
      </c>
      <c r="E892" s="6" t="s">
        <v>1880</v>
      </c>
      <c r="F892" s="7" t="str">
        <f aca="false">IF($D892="","",IFERROR(IF(INDEX(Hierarchy!$B$2:$B$1295,MATCH($D892,Hierarchy!$A$2:$A$1295,0))="","",INDEX(Hierarchy!$B$2:$B$1295,MATCH($D892,Hierarchy!$A$2:$A$1295,0))),"NODE NOT FOUND"))</f>
        <v>Sub-region</v>
      </c>
      <c r="G892" s="7" t="str">
        <f aca="false">IF($D892="","",IFERROR(IF(INDEX(Hierarchy!$D$2:$D$1295,MATCH($D892,Hierarchy!$A$2:$A$1295,0))="","",INDEX(Hierarchy!$D$2:$D$1295,MATCH($D892,Hierarchy!$A$2:$A$1295,0))),"NODE NOT FOUND"))</f>
        <v>AMER</v>
      </c>
      <c r="H892" s="7" t="str">
        <f aca="false">IF($D892="","",IFERROR(IF(INDEX(Hierarchy!$E$2:$E$1295,MATCH($D892,Hierarchy!$A$2:$A$1295,0))="","",INDEX(Hierarchy!$E$2:$E$1295,MATCH($D892,Hierarchy!$A$2:$A$1295,0))),"NODE NOT FOUND"))</f>
        <v>Latin America (LATAM)</v>
      </c>
      <c r="I892" s="7" t="str">
        <f aca="false">IF($D892="","",IFERROR(IF(INDEX(Hierarchy!$F$2:$F$1295,MATCH($D892,Hierarchy!$A$2:$A$1295,0))="","",INDEX(Hierarchy!$F$2:$F$1295,MATCH($D892,Hierarchy!$A$2:$A$1295,0))),"NODE NOT FOUND"))</f>
        <v/>
      </c>
      <c r="J892" s="7" t="str">
        <f aca="false">IF($D892="","",IFERROR(IF(INDEX(Hierarchy!$G$2:$G$1295,MATCH($D892,Hierarchy!$A$2:$A$1295,0))="","",INDEX(Hierarchy!$G$2:$G$1295,MATCH($D892,Hierarchy!$A$2:$A$1295,0))),"NODE NOT FOUND"))</f>
        <v/>
      </c>
      <c r="K892" s="7" t="str">
        <f aca="false">IF($D892="","",IFERROR(IF(INDEX(Hierarchy!$H$2:$H$1295,MATCH($D892,Hierarchy!$A$2:$A$1295,0))="","",INDEX(Hierarchy!$H$2:$H$1295,MATCH($D892,Hierarchy!$A$2:$A$1295,0))),"NODE NOT FOUND"))</f>
        <v/>
      </c>
      <c r="L892" s="7" t="str">
        <f aca="false">IF($D892="","",IFERROR(IF(INDEX(Hierarchy!$I$2:$I$1295,MATCH($D892,Hierarchy!$A$2:$A$1295,0))="","",INDEX(Hierarchy!$I$2:$I$1295,MATCH($D892,Hierarchy!$A$2:$A$1295,0))),"NODE NOT FOUND"))</f>
        <v/>
      </c>
      <c r="M892" s="17" t="str">
        <f aca="false">IF(B892="Pre-seeded","Pre-seeded",IF(B892="Review 2026-09-16","Added from review",IF(C892="","New",IF(C892=D892,"","Changed"))))</f>
        <v>Changed</v>
      </c>
      <c r="N892" s="7" t="str">
        <f aca="false">TRIM(SUBSTITUTE(SUBSTITUTE(SUBSTITUTE(" "&amp;TRIM(SUBSTITUTE(SUBSTITUTE(SUBSTITUTE(SUBSTITUTE(SUBSTITUTE(SUBSTITUTE(SUBSTITUTE(SUBSTITUTE(SUBSTITUTE(SUBSTITUTE(SUBSTITUTE(SUBSTITUTE(SUBSTITUTE(SUBSTITUTE(SUBSTITUTE(UPPER(TRIM(A892)),"[MEMBER]",""),"{MEMBER}",""),"[MEMBER}",""),"MEMBER]",""),"(A)",""),"""",""),"“",""),"”",""),".",""),":",""),",",""),"–"," "),"-"," "),"/"," "),"&amp;"," AND "))&amp;" "," THE "," ")," TOTAL "," ")," OPERATIONS "," "))</f>
        <v>LATIN AMERICA</v>
      </c>
      <c r="O892" s="17" t="str">
        <f aca="false">IF(COUNTIFS($N$2:$N$2000,N892,$D$2:$D$2000,"&lt;&gt;"&amp;D892)&gt;0,"CONFLICT","")</f>
        <v/>
      </c>
      <c r="P892" s="7"/>
    </row>
    <row r="893" customFormat="false" ht="15" hidden="false" customHeight="false" outlineLevel="0" collapsed="false">
      <c r="A893" s="7" t="s">
        <v>2340</v>
      </c>
      <c r="B893" s="7" t="s">
        <v>1885</v>
      </c>
      <c r="C893" s="7" t="s">
        <v>744</v>
      </c>
      <c r="D893" s="6" t="s">
        <v>1793</v>
      </c>
      <c r="E893" s="6" t="s">
        <v>1880</v>
      </c>
      <c r="F893" s="7" t="str">
        <f aca="false">IF($D893="","",IFERROR(IF(INDEX(Hierarchy!$B$2:$B$1295,MATCH($D893,Hierarchy!$A$2:$A$1295,0))="","",INDEX(Hierarchy!$B$2:$B$1295,MATCH($D893,Hierarchy!$A$2:$A$1295,0))),"NODE NOT FOUND"))</f>
        <v>Multi-region</v>
      </c>
      <c r="G893" s="7" t="str">
        <f aca="false">IF($D893="","",IFERROR(IF(INDEX(Hierarchy!$D$2:$D$1295,MATCH($D893,Hierarchy!$A$2:$A$1295,0))="","",INDEX(Hierarchy!$D$2:$D$1295,MATCH($D893,Hierarchy!$A$2:$A$1295,0))),"NODE NOT FOUND"))</f>
        <v>Multi-region</v>
      </c>
      <c r="H893" s="7" t="str">
        <f aca="false">IF($D893="","",IFERROR(IF(INDEX(Hierarchy!$E$2:$E$1295,MATCH($D893,Hierarchy!$A$2:$A$1295,0))="","",INDEX(Hierarchy!$E$2:$E$1295,MATCH($D893,Hierarchy!$A$2:$A$1295,0))),"NODE NOT FOUND"))</f>
        <v/>
      </c>
      <c r="I893" s="7" t="str">
        <f aca="false">IF($D893="","",IFERROR(IF(INDEX(Hierarchy!$F$2:$F$1295,MATCH($D893,Hierarchy!$A$2:$A$1295,0))="","",INDEX(Hierarchy!$F$2:$F$1295,MATCH($D893,Hierarchy!$A$2:$A$1295,0))),"NODE NOT FOUND"))</f>
        <v/>
      </c>
      <c r="J893" s="7" t="str">
        <f aca="false">IF($D893="","",IFERROR(IF(INDEX(Hierarchy!$G$2:$G$1295,MATCH($D893,Hierarchy!$A$2:$A$1295,0))="","",INDEX(Hierarchy!$G$2:$G$1295,MATCH($D893,Hierarchy!$A$2:$A$1295,0))),"NODE NOT FOUND"))</f>
        <v/>
      </c>
      <c r="K893" s="7" t="str">
        <f aca="false">IF($D893="","",IFERROR(IF(INDEX(Hierarchy!$H$2:$H$1295,MATCH($D893,Hierarchy!$A$2:$A$1295,0))="","",INDEX(Hierarchy!$H$2:$H$1295,MATCH($D893,Hierarchy!$A$2:$A$1295,0))),"NODE NOT FOUND"))</f>
        <v/>
      </c>
      <c r="L893" s="7" t="str">
        <f aca="false">IF($D893="","",IFERROR(IF(INDEX(Hierarchy!$I$2:$I$1295,MATCH($D893,Hierarchy!$A$2:$A$1295,0))="","",INDEX(Hierarchy!$I$2:$I$1295,MATCH($D893,Hierarchy!$A$2:$A$1295,0))),"NODE NOT FOUND"))</f>
        <v/>
      </c>
      <c r="M893" s="17" t="str">
        <f aca="false">IF(B893="Pre-seeded","Pre-seeded",IF(B893="Review 2026-09-16","Added from review",IF(C893="","New",IF(C893=D893,"","Changed"))))</f>
        <v>Changed</v>
      </c>
      <c r="N893" s="7" t="str">
        <f aca="false">TRIM(SUBSTITUTE(SUBSTITUTE(SUBSTITUTE(" "&amp;TRIM(SUBSTITUTE(SUBSTITUTE(SUBSTITUTE(SUBSTITUTE(SUBSTITUTE(SUBSTITUTE(SUBSTITUTE(SUBSTITUTE(SUBSTITUTE(SUBSTITUTE(SUBSTITUTE(SUBSTITUTE(SUBSTITUTE(SUBSTITUTE(SUBSTITUTE(UPPER(TRIM(A893)),"[MEMBER]",""),"{MEMBER}",""),"[MEMBER}",""),"MEMBER]",""),"(A)",""),"""",""),"“",""),"”",""),".",""),":",""),",",""),"–"," "),"-"," "),"/"," "),"&amp;"," AND "))&amp;" "," THE "," ")," TOTAL "," ")," OPERATIONS "," "))</f>
        <v>LATIN AMERICA AND ASIA PACIFIC (LAAP)</v>
      </c>
      <c r="O893" s="17" t="str">
        <f aca="false">IF(COUNTIFS($N$2:$N$2000,N893,$D$2:$D$2000,"&lt;&gt;"&amp;D893)&gt;0,"CONFLICT","")</f>
        <v/>
      </c>
      <c r="P893" s="7" t="s">
        <v>1957</v>
      </c>
    </row>
    <row r="894" customFormat="false" ht="15" hidden="false" customHeight="false" outlineLevel="0" collapsed="false">
      <c r="A894" s="7" t="s">
        <v>2341</v>
      </c>
      <c r="B894" s="7" t="s">
        <v>1885</v>
      </c>
      <c r="C894" s="7" t="s">
        <v>2339</v>
      </c>
      <c r="D894" s="6" t="s">
        <v>74</v>
      </c>
      <c r="E894" s="6" t="s">
        <v>1891</v>
      </c>
      <c r="F894" s="7" t="str">
        <f aca="false">IF($D894="","",IFERROR(IF(INDEX(Hierarchy!$B$2:$B$1295,MATCH($D894,Hierarchy!$A$2:$A$1295,0))="","",INDEX(Hierarchy!$B$2:$B$1295,MATCH($D894,Hierarchy!$A$2:$A$1295,0))),"NODE NOT FOUND"))</f>
        <v>Region</v>
      </c>
      <c r="G894" s="7" t="str">
        <f aca="false">IF($D894="","",IFERROR(IF(INDEX(Hierarchy!$D$2:$D$1295,MATCH($D894,Hierarchy!$A$2:$A$1295,0))="","",INDEX(Hierarchy!$D$2:$D$1295,MATCH($D894,Hierarchy!$A$2:$A$1295,0))),"NODE NOT FOUND"))</f>
        <v>AMER</v>
      </c>
      <c r="H894" s="7" t="str">
        <f aca="false">IF($D894="","",IFERROR(IF(INDEX(Hierarchy!$E$2:$E$1295,MATCH($D894,Hierarchy!$A$2:$A$1295,0))="","",INDEX(Hierarchy!$E$2:$E$1295,MATCH($D894,Hierarchy!$A$2:$A$1295,0))),"NODE NOT FOUND"))</f>
        <v/>
      </c>
      <c r="I894" s="7" t="str">
        <f aca="false">IF($D894="","",IFERROR(IF(INDEX(Hierarchy!$F$2:$F$1295,MATCH($D894,Hierarchy!$A$2:$A$1295,0))="","",INDEX(Hierarchy!$F$2:$F$1295,MATCH($D894,Hierarchy!$A$2:$A$1295,0))),"NODE NOT FOUND"))</f>
        <v/>
      </c>
      <c r="J894" s="7" t="str">
        <f aca="false">IF($D894="","",IFERROR(IF(INDEX(Hierarchy!$G$2:$G$1295,MATCH($D894,Hierarchy!$A$2:$A$1295,0))="","",INDEX(Hierarchy!$G$2:$G$1295,MATCH($D894,Hierarchy!$A$2:$A$1295,0))),"NODE NOT FOUND"))</f>
        <v/>
      </c>
      <c r="K894" s="7" t="str">
        <f aca="false">IF($D894="","",IFERROR(IF(INDEX(Hierarchy!$H$2:$H$1295,MATCH($D894,Hierarchy!$A$2:$A$1295,0))="","",INDEX(Hierarchy!$H$2:$H$1295,MATCH($D894,Hierarchy!$A$2:$A$1295,0))),"NODE NOT FOUND"))</f>
        <v/>
      </c>
      <c r="L894" s="7" t="str">
        <f aca="false">IF($D894="","",IFERROR(IF(INDEX(Hierarchy!$I$2:$I$1295,MATCH($D894,Hierarchy!$A$2:$A$1295,0))="","",INDEX(Hierarchy!$I$2:$I$1295,MATCH($D894,Hierarchy!$A$2:$A$1295,0))),"NODE NOT FOUND"))</f>
        <v/>
      </c>
      <c r="M894" s="17" t="str">
        <f aca="false">IF(B894="Pre-seeded","Pre-seeded",IF(B894="Review 2026-09-16","Added from review",IF(C894="","New",IF(C894=D894,"","Changed"))))</f>
        <v>Changed</v>
      </c>
      <c r="N894" s="7" t="str">
        <f aca="false">TRIM(SUBSTITUTE(SUBSTITUTE(SUBSTITUTE(" "&amp;TRIM(SUBSTITUTE(SUBSTITUTE(SUBSTITUTE(SUBSTITUTE(SUBSTITUTE(SUBSTITUTE(SUBSTITUTE(SUBSTITUTE(SUBSTITUTE(SUBSTITUTE(SUBSTITUTE(SUBSTITUTE(SUBSTITUTE(SUBSTITUTE(SUBSTITUTE(UPPER(TRIM(A894)),"[MEMBER]",""),"{MEMBER}",""),"[MEMBER}",""),"MEMBER]",""),"(A)",""),"""",""),"“",""),"”",""),".",""),":",""),",",""),"–"," "),"-"," "),"/"," "),"&amp;"," AND "))&amp;" "," THE "," ")," TOTAL "," ")," OPERATIONS "," "))</f>
        <v>LATIN AMERICA AND CANADA</v>
      </c>
      <c r="O894" s="17" t="str">
        <f aca="false">IF(COUNTIFS($N$2:$N$2000,N894,$D$2:$D$2000,"&lt;&gt;"&amp;D894)&gt;0,"CONFLICT","")</f>
        <v/>
      </c>
      <c r="P894" s="7" t="s">
        <v>2342</v>
      </c>
    </row>
    <row r="895" customFormat="false" ht="15" hidden="false" customHeight="false" outlineLevel="0" collapsed="false">
      <c r="A895" s="7" t="s">
        <v>2343</v>
      </c>
      <c r="B895" s="7" t="s">
        <v>1882</v>
      </c>
      <c r="C895" s="7" t="s">
        <v>2339</v>
      </c>
      <c r="D895" s="6" t="s">
        <v>312</v>
      </c>
      <c r="E895" s="6" t="s">
        <v>1880</v>
      </c>
      <c r="F895" s="7" t="str">
        <f aca="false">IF($D895="","",IFERROR(IF(INDEX(Hierarchy!$B$2:$B$1295,MATCH($D895,Hierarchy!$A$2:$A$1295,0))="","",INDEX(Hierarchy!$B$2:$B$1295,MATCH($D895,Hierarchy!$A$2:$A$1295,0))),"NODE NOT FOUND"))</f>
        <v>Sub-region</v>
      </c>
      <c r="G895" s="7" t="str">
        <f aca="false">IF($D895="","",IFERROR(IF(INDEX(Hierarchy!$D$2:$D$1295,MATCH($D895,Hierarchy!$A$2:$A$1295,0))="","",INDEX(Hierarchy!$D$2:$D$1295,MATCH($D895,Hierarchy!$A$2:$A$1295,0))),"NODE NOT FOUND"))</f>
        <v>AMER</v>
      </c>
      <c r="H895" s="7" t="str">
        <f aca="false">IF($D895="","",IFERROR(IF(INDEX(Hierarchy!$E$2:$E$1295,MATCH($D895,Hierarchy!$A$2:$A$1295,0))="","",INDEX(Hierarchy!$E$2:$E$1295,MATCH($D895,Hierarchy!$A$2:$A$1295,0))),"NODE NOT FOUND"))</f>
        <v>Latin America (LATAM)</v>
      </c>
      <c r="I895" s="7" t="str">
        <f aca="false">IF($D895="","",IFERROR(IF(INDEX(Hierarchy!$F$2:$F$1295,MATCH($D895,Hierarchy!$A$2:$A$1295,0))="","",INDEX(Hierarchy!$F$2:$F$1295,MATCH($D895,Hierarchy!$A$2:$A$1295,0))),"NODE NOT FOUND"))</f>
        <v/>
      </c>
      <c r="J895" s="7" t="str">
        <f aca="false">IF($D895="","",IFERROR(IF(INDEX(Hierarchy!$G$2:$G$1295,MATCH($D895,Hierarchy!$A$2:$A$1295,0))="","",INDEX(Hierarchy!$G$2:$G$1295,MATCH($D895,Hierarchy!$A$2:$A$1295,0))),"NODE NOT FOUND"))</f>
        <v/>
      </c>
      <c r="K895" s="7" t="str">
        <f aca="false">IF($D895="","",IFERROR(IF(INDEX(Hierarchy!$H$2:$H$1295,MATCH($D895,Hierarchy!$A$2:$A$1295,0))="","",INDEX(Hierarchy!$H$2:$H$1295,MATCH($D895,Hierarchy!$A$2:$A$1295,0))),"NODE NOT FOUND"))</f>
        <v/>
      </c>
      <c r="L895" s="7" t="str">
        <f aca="false">IF($D895="","",IFERROR(IF(INDEX(Hierarchy!$I$2:$I$1295,MATCH($D895,Hierarchy!$A$2:$A$1295,0))="","",INDEX(Hierarchy!$I$2:$I$1295,MATCH($D895,Hierarchy!$A$2:$A$1295,0))),"NODE NOT FOUND"))</f>
        <v/>
      </c>
      <c r="M895" s="17" t="str">
        <f aca="false">IF(B895="Pre-seeded","Pre-seeded",IF(B895="Review 2026-09-16","Added from review",IF(C895="","New",IF(C895=D895,"","Changed"))))</f>
        <v>Changed</v>
      </c>
      <c r="N895" s="7" t="str">
        <f aca="false">TRIM(SUBSTITUTE(SUBSTITUTE(SUBSTITUTE(" "&amp;TRIM(SUBSTITUTE(SUBSTITUTE(SUBSTITUTE(SUBSTITUTE(SUBSTITUTE(SUBSTITUTE(SUBSTITUTE(SUBSTITUTE(SUBSTITUTE(SUBSTITUTE(SUBSTITUTE(SUBSTITUTE(SUBSTITUTE(SUBSTITUTE(SUBSTITUTE(UPPER(TRIM(A895)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895" s="17" t="str">
        <f aca="false">IF(COUNTIFS($N$2:$N$2000,N895,$D$2:$D$2000,"&lt;&gt;"&amp;D895)&gt;0,"CONFLICT","")</f>
        <v/>
      </c>
      <c r="P895" s="7"/>
    </row>
    <row r="896" customFormat="false" ht="15" hidden="false" customHeight="false" outlineLevel="0" collapsed="false">
      <c r="A896" s="7" t="s">
        <v>2344</v>
      </c>
      <c r="B896" s="7" t="s">
        <v>1882</v>
      </c>
      <c r="C896" s="7" t="s">
        <v>2339</v>
      </c>
      <c r="D896" s="6" t="s">
        <v>312</v>
      </c>
      <c r="E896" s="6" t="s">
        <v>1880</v>
      </c>
      <c r="F896" s="7" t="str">
        <f aca="false">IF($D896="","",IFERROR(IF(INDEX(Hierarchy!$B$2:$B$1295,MATCH($D896,Hierarchy!$A$2:$A$1295,0))="","",INDEX(Hierarchy!$B$2:$B$1295,MATCH($D896,Hierarchy!$A$2:$A$1295,0))),"NODE NOT FOUND"))</f>
        <v>Sub-region</v>
      </c>
      <c r="G896" s="7" t="str">
        <f aca="false">IF($D896="","",IFERROR(IF(INDEX(Hierarchy!$D$2:$D$1295,MATCH($D896,Hierarchy!$A$2:$A$1295,0))="","",INDEX(Hierarchy!$D$2:$D$1295,MATCH($D896,Hierarchy!$A$2:$A$1295,0))),"NODE NOT FOUND"))</f>
        <v>AMER</v>
      </c>
      <c r="H896" s="7" t="str">
        <f aca="false">IF($D896="","",IFERROR(IF(INDEX(Hierarchy!$E$2:$E$1295,MATCH($D896,Hierarchy!$A$2:$A$1295,0))="","",INDEX(Hierarchy!$E$2:$E$1295,MATCH($D896,Hierarchy!$A$2:$A$1295,0))),"NODE NOT FOUND"))</f>
        <v>Latin America (LATAM)</v>
      </c>
      <c r="I896" s="7" t="str">
        <f aca="false">IF($D896="","",IFERROR(IF(INDEX(Hierarchy!$F$2:$F$1295,MATCH($D896,Hierarchy!$A$2:$A$1295,0))="","",INDEX(Hierarchy!$F$2:$F$1295,MATCH($D896,Hierarchy!$A$2:$A$1295,0))),"NODE NOT FOUND"))</f>
        <v/>
      </c>
      <c r="J896" s="7" t="str">
        <f aca="false">IF($D896="","",IFERROR(IF(INDEX(Hierarchy!$G$2:$G$1295,MATCH($D896,Hierarchy!$A$2:$A$1295,0))="","",INDEX(Hierarchy!$G$2:$G$1295,MATCH($D896,Hierarchy!$A$2:$A$1295,0))),"NODE NOT FOUND"))</f>
        <v/>
      </c>
      <c r="K896" s="7" t="str">
        <f aca="false">IF($D896="","",IFERROR(IF(INDEX(Hierarchy!$H$2:$H$1295,MATCH($D896,Hierarchy!$A$2:$A$1295,0))="","",INDEX(Hierarchy!$H$2:$H$1295,MATCH($D896,Hierarchy!$A$2:$A$1295,0))),"NODE NOT FOUND"))</f>
        <v/>
      </c>
      <c r="L896" s="7" t="str">
        <f aca="false">IF($D896="","",IFERROR(IF(INDEX(Hierarchy!$I$2:$I$1295,MATCH($D896,Hierarchy!$A$2:$A$1295,0))="","",INDEX(Hierarchy!$I$2:$I$1295,MATCH($D896,Hierarchy!$A$2:$A$1295,0))),"NODE NOT FOUND"))</f>
        <v/>
      </c>
      <c r="M896" s="17" t="str">
        <f aca="false">IF(B896="Pre-seeded","Pre-seeded",IF(B896="Review 2026-09-16","Added from review",IF(C896="","New",IF(C896=D896,"","Changed"))))</f>
        <v>Changed</v>
      </c>
      <c r="N896" s="7" t="str">
        <f aca="false">TRIM(SUBSTITUTE(SUBSTITUTE(SUBSTITUTE(" "&amp;TRIM(SUBSTITUTE(SUBSTITUTE(SUBSTITUTE(SUBSTITUTE(SUBSTITUTE(SUBSTITUTE(SUBSTITUTE(SUBSTITUTE(SUBSTITUTE(SUBSTITUTE(SUBSTITUTE(SUBSTITUTE(SUBSTITUTE(SUBSTITUTE(SUBSTITUTE(UPPER(TRIM(A896)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896" s="17" t="str">
        <f aca="false">IF(COUNTIFS($N$2:$N$2000,N896,$D$2:$D$2000,"&lt;&gt;"&amp;D896)&gt;0,"CONFLICT","")</f>
        <v/>
      </c>
      <c r="P896" s="7"/>
    </row>
    <row r="897" customFormat="false" ht="15" hidden="false" customHeight="false" outlineLevel="0" collapsed="false">
      <c r="A897" s="7" t="s">
        <v>312</v>
      </c>
      <c r="B897" s="7" t="s">
        <v>1882</v>
      </c>
      <c r="C897" s="7" t="s">
        <v>2339</v>
      </c>
      <c r="D897" s="6" t="s">
        <v>312</v>
      </c>
      <c r="E897" s="6" t="s">
        <v>1880</v>
      </c>
      <c r="F897" s="7" t="str">
        <f aca="false">IF($D897="","",IFERROR(IF(INDEX(Hierarchy!$B$2:$B$1295,MATCH($D897,Hierarchy!$A$2:$A$1295,0))="","",INDEX(Hierarchy!$B$2:$B$1295,MATCH($D897,Hierarchy!$A$2:$A$1295,0))),"NODE NOT FOUND"))</f>
        <v>Sub-region</v>
      </c>
      <c r="G897" s="7" t="str">
        <f aca="false">IF($D897="","",IFERROR(IF(INDEX(Hierarchy!$D$2:$D$1295,MATCH($D897,Hierarchy!$A$2:$A$1295,0))="","",INDEX(Hierarchy!$D$2:$D$1295,MATCH($D897,Hierarchy!$A$2:$A$1295,0))),"NODE NOT FOUND"))</f>
        <v>AMER</v>
      </c>
      <c r="H897" s="7" t="str">
        <f aca="false">IF($D897="","",IFERROR(IF(INDEX(Hierarchy!$E$2:$E$1295,MATCH($D897,Hierarchy!$A$2:$A$1295,0))="","",INDEX(Hierarchy!$E$2:$E$1295,MATCH($D897,Hierarchy!$A$2:$A$1295,0))),"NODE NOT FOUND"))</f>
        <v>Latin America (LATAM)</v>
      </c>
      <c r="I897" s="7" t="str">
        <f aca="false">IF($D897="","",IFERROR(IF(INDEX(Hierarchy!$F$2:$F$1295,MATCH($D897,Hierarchy!$A$2:$A$1295,0))="","",INDEX(Hierarchy!$F$2:$F$1295,MATCH($D897,Hierarchy!$A$2:$A$1295,0))),"NODE NOT FOUND"))</f>
        <v/>
      </c>
      <c r="J897" s="7" t="str">
        <f aca="false">IF($D897="","",IFERROR(IF(INDEX(Hierarchy!$G$2:$G$1295,MATCH($D897,Hierarchy!$A$2:$A$1295,0))="","",INDEX(Hierarchy!$G$2:$G$1295,MATCH($D897,Hierarchy!$A$2:$A$1295,0))),"NODE NOT FOUND"))</f>
        <v/>
      </c>
      <c r="K897" s="7" t="str">
        <f aca="false">IF($D897="","",IFERROR(IF(INDEX(Hierarchy!$H$2:$H$1295,MATCH($D897,Hierarchy!$A$2:$A$1295,0))="","",INDEX(Hierarchy!$H$2:$H$1295,MATCH($D897,Hierarchy!$A$2:$A$1295,0))),"NODE NOT FOUND"))</f>
        <v/>
      </c>
      <c r="L897" s="7" t="str">
        <f aca="false">IF($D897="","",IFERROR(IF(INDEX(Hierarchy!$I$2:$I$1295,MATCH($D897,Hierarchy!$A$2:$A$1295,0))="","",INDEX(Hierarchy!$I$2:$I$1295,MATCH($D897,Hierarchy!$A$2:$A$1295,0))),"NODE NOT FOUND"))</f>
        <v/>
      </c>
      <c r="M897" s="17" t="str">
        <f aca="false">IF(B897="Pre-seeded","Pre-seeded",IF(B897="Review 2026-09-16","Added from review",IF(C897="","New",IF(C897=D897,"","Changed"))))</f>
        <v>Changed</v>
      </c>
      <c r="N897" s="7" t="str">
        <f aca="false">TRIM(SUBSTITUTE(SUBSTITUTE(SUBSTITUTE(" "&amp;TRIM(SUBSTITUTE(SUBSTITUTE(SUBSTITUTE(SUBSTITUTE(SUBSTITUTE(SUBSTITUTE(SUBSTITUTE(SUBSTITUTE(SUBSTITUTE(SUBSTITUTE(SUBSTITUTE(SUBSTITUTE(SUBSTITUTE(SUBSTITUTE(SUBSTITUTE(UPPER(TRIM(A897)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897" s="17" t="str">
        <f aca="false">IF(COUNTIFS($N$2:$N$2000,N897,$D$2:$D$2000,"&lt;&gt;"&amp;D897)&gt;0,"CONFLICT","")</f>
        <v/>
      </c>
      <c r="P897" s="7"/>
    </row>
    <row r="898" customFormat="false" ht="15" hidden="false" customHeight="false" outlineLevel="0" collapsed="false">
      <c r="A898" s="7" t="s">
        <v>2345</v>
      </c>
      <c r="B898" s="7" t="s">
        <v>1882</v>
      </c>
      <c r="C898" s="7" t="s">
        <v>2339</v>
      </c>
      <c r="D898" s="6" t="s">
        <v>312</v>
      </c>
      <c r="E898" s="6" t="s">
        <v>1880</v>
      </c>
      <c r="F898" s="7" t="str">
        <f aca="false">IF($D898="","",IFERROR(IF(INDEX(Hierarchy!$B$2:$B$1295,MATCH($D898,Hierarchy!$A$2:$A$1295,0))="","",INDEX(Hierarchy!$B$2:$B$1295,MATCH($D898,Hierarchy!$A$2:$A$1295,0))),"NODE NOT FOUND"))</f>
        <v>Sub-region</v>
      </c>
      <c r="G898" s="7" t="str">
        <f aca="false">IF($D898="","",IFERROR(IF(INDEX(Hierarchy!$D$2:$D$1295,MATCH($D898,Hierarchy!$A$2:$A$1295,0))="","",INDEX(Hierarchy!$D$2:$D$1295,MATCH($D898,Hierarchy!$A$2:$A$1295,0))),"NODE NOT FOUND"))</f>
        <v>AMER</v>
      </c>
      <c r="H898" s="7" t="str">
        <f aca="false">IF($D898="","",IFERROR(IF(INDEX(Hierarchy!$E$2:$E$1295,MATCH($D898,Hierarchy!$A$2:$A$1295,0))="","",INDEX(Hierarchy!$E$2:$E$1295,MATCH($D898,Hierarchy!$A$2:$A$1295,0))),"NODE NOT FOUND"))</f>
        <v>Latin America (LATAM)</v>
      </c>
      <c r="I898" s="7" t="str">
        <f aca="false">IF($D898="","",IFERROR(IF(INDEX(Hierarchy!$F$2:$F$1295,MATCH($D898,Hierarchy!$A$2:$A$1295,0))="","",INDEX(Hierarchy!$F$2:$F$1295,MATCH($D898,Hierarchy!$A$2:$A$1295,0))),"NODE NOT FOUND"))</f>
        <v/>
      </c>
      <c r="J898" s="7" t="str">
        <f aca="false">IF($D898="","",IFERROR(IF(INDEX(Hierarchy!$G$2:$G$1295,MATCH($D898,Hierarchy!$A$2:$A$1295,0))="","",INDEX(Hierarchy!$G$2:$G$1295,MATCH($D898,Hierarchy!$A$2:$A$1295,0))),"NODE NOT FOUND"))</f>
        <v/>
      </c>
      <c r="K898" s="7" t="str">
        <f aca="false">IF($D898="","",IFERROR(IF(INDEX(Hierarchy!$H$2:$H$1295,MATCH($D898,Hierarchy!$A$2:$A$1295,0))="","",INDEX(Hierarchy!$H$2:$H$1295,MATCH($D898,Hierarchy!$A$2:$A$1295,0))),"NODE NOT FOUND"))</f>
        <v/>
      </c>
      <c r="L898" s="7" t="str">
        <f aca="false">IF($D898="","",IFERROR(IF(INDEX(Hierarchy!$I$2:$I$1295,MATCH($D898,Hierarchy!$A$2:$A$1295,0))="","",INDEX(Hierarchy!$I$2:$I$1295,MATCH($D898,Hierarchy!$A$2:$A$1295,0))),"NODE NOT FOUND"))</f>
        <v/>
      </c>
      <c r="M898" s="17" t="str">
        <f aca="false">IF(B898="Pre-seeded","Pre-seeded",IF(B898="Review 2026-09-16","Added from review",IF(C898="","New",IF(C898=D898,"","Changed"))))</f>
        <v>Changed</v>
      </c>
      <c r="N898" s="7" t="str">
        <f aca="false">TRIM(SUBSTITUTE(SUBSTITUTE(SUBSTITUTE(" "&amp;TRIM(SUBSTITUTE(SUBSTITUTE(SUBSTITUTE(SUBSTITUTE(SUBSTITUTE(SUBSTITUTE(SUBSTITUTE(SUBSTITUTE(SUBSTITUTE(SUBSTITUTE(SUBSTITUTE(SUBSTITUTE(SUBSTITUTE(SUBSTITUTE(SUBSTITUTE(UPPER(TRIM(A898)),"[MEMBER]",""),"{MEMBER}",""),"[MEMBER}",""),"MEMBER]",""),"(A)",""),"""",""),"“",""),"”",""),".",""),":",""),",",""),"–"," "),"-"," "),"/"," "),"&amp;"," AND "))&amp;" "," THE "," ")," TOTAL "," ")," OPERATIONS "," "))</f>
        <v>LATIN AMERICA (LATAM)</v>
      </c>
      <c r="O898" s="17" t="str">
        <f aca="false">IF(COUNTIFS($N$2:$N$2000,N898,$D$2:$D$2000,"&lt;&gt;"&amp;D898)&gt;0,"CONFLICT","")</f>
        <v/>
      </c>
      <c r="P898" s="7"/>
    </row>
    <row r="899" customFormat="false" ht="15" hidden="false" customHeight="false" outlineLevel="0" collapsed="false">
      <c r="A899" s="7" t="s">
        <v>2346</v>
      </c>
      <c r="B899" s="7" t="s">
        <v>1882</v>
      </c>
      <c r="C899" s="7" t="s">
        <v>335</v>
      </c>
      <c r="D899" s="6" t="s">
        <v>312</v>
      </c>
      <c r="E899" s="6" t="s">
        <v>1880</v>
      </c>
      <c r="F899" s="7" t="str">
        <f aca="false">IF($D899="","",IFERROR(IF(INDEX(Hierarchy!$B$2:$B$1295,MATCH($D899,Hierarchy!$A$2:$A$1295,0))="","",INDEX(Hierarchy!$B$2:$B$1295,MATCH($D899,Hierarchy!$A$2:$A$1295,0))),"NODE NOT FOUND"))</f>
        <v>Sub-region</v>
      </c>
      <c r="G899" s="7" t="str">
        <f aca="false">IF($D899="","",IFERROR(IF(INDEX(Hierarchy!$D$2:$D$1295,MATCH($D899,Hierarchy!$A$2:$A$1295,0))="","",INDEX(Hierarchy!$D$2:$D$1295,MATCH($D899,Hierarchy!$A$2:$A$1295,0))),"NODE NOT FOUND"))</f>
        <v>AMER</v>
      </c>
      <c r="H899" s="7" t="str">
        <f aca="false">IF($D899="","",IFERROR(IF(INDEX(Hierarchy!$E$2:$E$1295,MATCH($D899,Hierarchy!$A$2:$A$1295,0))="","",INDEX(Hierarchy!$E$2:$E$1295,MATCH($D899,Hierarchy!$A$2:$A$1295,0))),"NODE NOT FOUND"))</f>
        <v>Latin America (LATAM)</v>
      </c>
      <c r="I899" s="7" t="str">
        <f aca="false">IF($D899="","",IFERROR(IF(INDEX(Hierarchy!$F$2:$F$1295,MATCH($D899,Hierarchy!$A$2:$A$1295,0))="","",INDEX(Hierarchy!$F$2:$F$1295,MATCH($D899,Hierarchy!$A$2:$A$1295,0))),"NODE NOT FOUND"))</f>
        <v/>
      </c>
      <c r="J899" s="7" t="str">
        <f aca="false">IF($D899="","",IFERROR(IF(INDEX(Hierarchy!$G$2:$G$1295,MATCH($D899,Hierarchy!$A$2:$A$1295,0))="","",INDEX(Hierarchy!$G$2:$G$1295,MATCH($D899,Hierarchy!$A$2:$A$1295,0))),"NODE NOT FOUND"))</f>
        <v/>
      </c>
      <c r="K899" s="7" t="str">
        <f aca="false">IF($D899="","",IFERROR(IF(INDEX(Hierarchy!$H$2:$H$1295,MATCH($D899,Hierarchy!$A$2:$A$1295,0))="","",INDEX(Hierarchy!$H$2:$H$1295,MATCH($D899,Hierarchy!$A$2:$A$1295,0))),"NODE NOT FOUND"))</f>
        <v/>
      </c>
      <c r="L899" s="7" t="str">
        <f aca="false">IF($D899="","",IFERROR(IF(INDEX(Hierarchy!$I$2:$I$1295,MATCH($D899,Hierarchy!$A$2:$A$1295,0))="","",INDEX(Hierarchy!$I$2:$I$1295,MATCH($D899,Hierarchy!$A$2:$A$1295,0))),"NODE NOT FOUND"))</f>
        <v/>
      </c>
      <c r="M899" s="17" t="str">
        <f aca="false">IF(B899="Pre-seeded","Pre-seeded",IF(B899="Review 2026-09-16","Added from review",IF(C899="","New",IF(C899=D899,"","Changed"))))</f>
        <v>Changed</v>
      </c>
      <c r="N899" s="7" t="str">
        <f aca="false">TRIM(SUBSTITUTE(SUBSTITUTE(SUBSTITUTE(" "&amp;TRIM(SUBSTITUTE(SUBSTITUTE(SUBSTITUTE(SUBSTITUTE(SUBSTITUTE(SUBSTITUTE(SUBSTITUTE(SUBSTITUTE(SUBSTITUTE(SUBSTITUTE(SUBSTITUTE(SUBSTITUTE(SUBSTITUTE(SUBSTITUTE(SUBSTITUTE(UPPER(TRIM(A899)),"[MEMBER]",""),"{MEMBER}",""),"[MEMBER}",""),"MEMBER]",""),"(A)",""),"""",""),"“",""),"”",""),".",""),":",""),",",""),"–"," "),"-"," "),"/"," "),"&amp;"," AND "))&amp;" "," THE "," ")," TOTAL "," ")," OPERATIONS "," "))</f>
        <v>LATIN AMERICA AND CARIBBEAN</v>
      </c>
      <c r="O899" s="17" t="str">
        <f aca="false">IF(COUNTIFS($N$2:$N$2000,N899,$D$2:$D$2000,"&lt;&gt;"&amp;D899)&gt;0,"CONFLICT","")</f>
        <v/>
      </c>
      <c r="P899" s="7"/>
    </row>
    <row r="900" customFormat="false" ht="15" hidden="false" customHeight="false" outlineLevel="0" collapsed="false">
      <c r="A900" s="7" t="s">
        <v>2347</v>
      </c>
      <c r="B900" s="7" t="s">
        <v>1882</v>
      </c>
      <c r="C900" s="7" t="s">
        <v>335</v>
      </c>
      <c r="D900" s="6" t="s">
        <v>312</v>
      </c>
      <c r="E900" s="6" t="s">
        <v>1880</v>
      </c>
      <c r="F900" s="7" t="str">
        <f aca="false">IF($D900="","",IFERROR(IF(INDEX(Hierarchy!$B$2:$B$1295,MATCH($D900,Hierarchy!$A$2:$A$1295,0))="","",INDEX(Hierarchy!$B$2:$B$1295,MATCH($D900,Hierarchy!$A$2:$A$1295,0))),"NODE NOT FOUND"))</f>
        <v>Sub-region</v>
      </c>
      <c r="G900" s="7" t="str">
        <f aca="false">IF($D900="","",IFERROR(IF(INDEX(Hierarchy!$D$2:$D$1295,MATCH($D900,Hierarchy!$A$2:$A$1295,0))="","",INDEX(Hierarchy!$D$2:$D$1295,MATCH($D900,Hierarchy!$A$2:$A$1295,0))),"NODE NOT FOUND"))</f>
        <v>AMER</v>
      </c>
      <c r="H900" s="7" t="str">
        <f aca="false">IF($D900="","",IFERROR(IF(INDEX(Hierarchy!$E$2:$E$1295,MATCH($D900,Hierarchy!$A$2:$A$1295,0))="","",INDEX(Hierarchy!$E$2:$E$1295,MATCH($D900,Hierarchy!$A$2:$A$1295,0))),"NODE NOT FOUND"))</f>
        <v>Latin America (LATAM)</v>
      </c>
      <c r="I900" s="7" t="str">
        <f aca="false">IF($D900="","",IFERROR(IF(INDEX(Hierarchy!$F$2:$F$1295,MATCH($D900,Hierarchy!$A$2:$A$1295,0))="","",INDEX(Hierarchy!$F$2:$F$1295,MATCH($D900,Hierarchy!$A$2:$A$1295,0))),"NODE NOT FOUND"))</f>
        <v/>
      </c>
      <c r="J900" s="7" t="str">
        <f aca="false">IF($D900="","",IFERROR(IF(INDEX(Hierarchy!$G$2:$G$1295,MATCH($D900,Hierarchy!$A$2:$A$1295,0))="","",INDEX(Hierarchy!$G$2:$G$1295,MATCH($D900,Hierarchy!$A$2:$A$1295,0))),"NODE NOT FOUND"))</f>
        <v/>
      </c>
      <c r="K900" s="7" t="str">
        <f aca="false">IF($D900="","",IFERROR(IF(INDEX(Hierarchy!$H$2:$H$1295,MATCH($D900,Hierarchy!$A$2:$A$1295,0))="","",INDEX(Hierarchy!$H$2:$H$1295,MATCH($D900,Hierarchy!$A$2:$A$1295,0))),"NODE NOT FOUND"))</f>
        <v/>
      </c>
      <c r="L900" s="7" t="str">
        <f aca="false">IF($D900="","",IFERROR(IF(INDEX(Hierarchy!$I$2:$I$1295,MATCH($D900,Hierarchy!$A$2:$A$1295,0))="","",INDEX(Hierarchy!$I$2:$I$1295,MATCH($D900,Hierarchy!$A$2:$A$1295,0))),"NODE NOT FOUND"))</f>
        <v/>
      </c>
      <c r="M900" s="17" t="str">
        <f aca="false">IF(B900="Pre-seeded","Pre-seeded",IF(B900="Review 2026-09-16","Added from review",IF(C900="","New",IF(C900=D900,"","Changed"))))</f>
        <v>Changed</v>
      </c>
      <c r="N900" s="7" t="str">
        <f aca="false">TRIM(SUBSTITUTE(SUBSTITUTE(SUBSTITUTE(" "&amp;TRIM(SUBSTITUTE(SUBSTITUTE(SUBSTITUTE(SUBSTITUTE(SUBSTITUTE(SUBSTITUTE(SUBSTITUTE(SUBSTITUTE(SUBSTITUTE(SUBSTITUTE(SUBSTITUTE(SUBSTITUTE(SUBSTITUTE(SUBSTITUTE(SUBSTITUTE(UPPER(TRIM(A900)),"[MEMBER]",""),"{MEMBER}",""),"[MEMBER}",""),"MEMBER]",""),"(A)",""),"""",""),"“",""),"”",""),".",""),":",""),",",""),"–"," "),"-"," "),"/"," "),"&amp;"," AND "))&amp;" "," THE "," ")," TOTAL "," ")," OPERATIONS "," "))</f>
        <v>LATIN AMERICA AND CARIBBEAN</v>
      </c>
      <c r="O900" s="17" t="str">
        <f aca="false">IF(COUNTIFS($N$2:$N$2000,N900,$D$2:$D$2000,"&lt;&gt;"&amp;D900)&gt;0,"CONFLICT","")</f>
        <v/>
      </c>
      <c r="P900" s="7"/>
    </row>
    <row r="901" customFormat="false" ht="15" hidden="false" customHeight="false" outlineLevel="0" collapsed="false">
      <c r="A901" s="7" t="s">
        <v>2348</v>
      </c>
      <c r="B901" s="7" t="s">
        <v>1885</v>
      </c>
      <c r="C901" s="7" t="s">
        <v>335</v>
      </c>
      <c r="D901" s="6" t="s">
        <v>312</v>
      </c>
      <c r="E901" s="6" t="s">
        <v>1886</v>
      </c>
      <c r="F901" s="7" t="str">
        <f aca="false">IF($D901="","",IFERROR(IF(INDEX(Hierarchy!$B$2:$B$1295,MATCH($D901,Hierarchy!$A$2:$A$1295,0))="","",INDEX(Hierarchy!$B$2:$B$1295,MATCH($D901,Hierarchy!$A$2:$A$1295,0))),"NODE NOT FOUND"))</f>
        <v>Sub-region</v>
      </c>
      <c r="G901" s="7" t="str">
        <f aca="false">IF($D901="","",IFERROR(IF(INDEX(Hierarchy!$D$2:$D$1295,MATCH($D901,Hierarchy!$A$2:$A$1295,0))="","",INDEX(Hierarchy!$D$2:$D$1295,MATCH($D901,Hierarchy!$A$2:$A$1295,0))),"NODE NOT FOUND"))</f>
        <v>AMER</v>
      </c>
      <c r="H901" s="7" t="str">
        <f aca="false">IF($D901="","",IFERROR(IF(INDEX(Hierarchy!$E$2:$E$1295,MATCH($D901,Hierarchy!$A$2:$A$1295,0))="","",INDEX(Hierarchy!$E$2:$E$1295,MATCH($D901,Hierarchy!$A$2:$A$1295,0))),"NODE NOT FOUND"))</f>
        <v>Latin America (LATAM)</v>
      </c>
      <c r="I901" s="7" t="str">
        <f aca="false">IF($D901="","",IFERROR(IF(INDEX(Hierarchy!$F$2:$F$1295,MATCH($D901,Hierarchy!$A$2:$A$1295,0))="","",INDEX(Hierarchy!$F$2:$F$1295,MATCH($D901,Hierarchy!$A$2:$A$1295,0))),"NODE NOT FOUND"))</f>
        <v/>
      </c>
      <c r="J901" s="7" t="str">
        <f aca="false">IF($D901="","",IFERROR(IF(INDEX(Hierarchy!$G$2:$G$1295,MATCH($D901,Hierarchy!$A$2:$A$1295,0))="","",INDEX(Hierarchy!$G$2:$G$1295,MATCH($D901,Hierarchy!$A$2:$A$1295,0))),"NODE NOT FOUND"))</f>
        <v/>
      </c>
      <c r="K901" s="7" t="str">
        <f aca="false">IF($D901="","",IFERROR(IF(INDEX(Hierarchy!$H$2:$H$1295,MATCH($D901,Hierarchy!$A$2:$A$1295,0))="","",INDEX(Hierarchy!$H$2:$H$1295,MATCH($D901,Hierarchy!$A$2:$A$1295,0))),"NODE NOT FOUND"))</f>
        <v/>
      </c>
      <c r="L901" s="7" t="str">
        <f aca="false">IF($D901="","",IFERROR(IF(INDEX(Hierarchy!$I$2:$I$1295,MATCH($D901,Hierarchy!$A$2:$A$1295,0))="","",INDEX(Hierarchy!$I$2:$I$1295,MATCH($D901,Hierarchy!$A$2:$A$1295,0))),"NODE NOT FOUND"))</f>
        <v/>
      </c>
      <c r="M901" s="17" t="str">
        <f aca="false">IF(B901="Pre-seeded","Pre-seeded",IF(B901="Review 2026-09-16","Added from review",IF(C901="","New",IF(C901=D901,"","Changed"))))</f>
        <v>Changed</v>
      </c>
      <c r="N901" s="7" t="str">
        <f aca="false">TRIM(SUBSTITUTE(SUBSTITUTE(SUBSTITUTE(" "&amp;TRIM(SUBSTITUTE(SUBSTITUTE(SUBSTITUTE(SUBSTITUTE(SUBSTITUTE(SUBSTITUTE(SUBSTITUTE(SUBSTITUTE(SUBSTITUTE(SUBSTITUTE(SUBSTITUTE(SUBSTITUTE(SUBSTITUTE(SUBSTITUTE(SUBSTITUTE(UPPER(TRIM(A901)),"[MEMBER]",""),"{MEMBER}",""),"[MEMBER}",""),"MEMBER]",""),"(A)",""),"""",""),"“",""),"”",""),".",""),":",""),",",""),"–"," "),"-"," "),"/"," "),"&amp;"," AND "))&amp;" "," THE "," ")," TOTAL "," ")," OPERATIONS "," "))</f>
        <v>LATIN AMERICA AND OTHER</v>
      </c>
      <c r="O901" s="17" t="str">
        <f aca="false">IF(COUNTIFS($N$2:$N$2000,N901,$D$2:$D$2000,"&lt;&gt;"&amp;D901)&gt;0,"CONFLICT","")</f>
        <v/>
      </c>
      <c r="P901" s="7"/>
    </row>
    <row r="902" customFormat="false" ht="15" hidden="false" customHeight="false" outlineLevel="0" collapsed="false">
      <c r="A902" s="7" t="s">
        <v>335</v>
      </c>
      <c r="B902" s="7" t="s">
        <v>1882</v>
      </c>
      <c r="C902" s="7" t="s">
        <v>335</v>
      </c>
      <c r="D902" s="6" t="s">
        <v>312</v>
      </c>
      <c r="E902" s="6" t="s">
        <v>1880</v>
      </c>
      <c r="F902" s="7" t="str">
        <f aca="false">IF($D902="","",IFERROR(IF(INDEX(Hierarchy!$B$2:$B$1295,MATCH($D902,Hierarchy!$A$2:$A$1295,0))="","",INDEX(Hierarchy!$B$2:$B$1295,MATCH($D902,Hierarchy!$A$2:$A$1295,0))),"NODE NOT FOUND"))</f>
        <v>Sub-region</v>
      </c>
      <c r="G902" s="7" t="str">
        <f aca="false">IF($D902="","",IFERROR(IF(INDEX(Hierarchy!$D$2:$D$1295,MATCH($D902,Hierarchy!$A$2:$A$1295,0))="","",INDEX(Hierarchy!$D$2:$D$1295,MATCH($D902,Hierarchy!$A$2:$A$1295,0))),"NODE NOT FOUND"))</f>
        <v>AMER</v>
      </c>
      <c r="H902" s="7" t="str">
        <f aca="false">IF($D902="","",IFERROR(IF(INDEX(Hierarchy!$E$2:$E$1295,MATCH($D902,Hierarchy!$A$2:$A$1295,0))="","",INDEX(Hierarchy!$E$2:$E$1295,MATCH($D902,Hierarchy!$A$2:$A$1295,0))),"NODE NOT FOUND"))</f>
        <v>Latin America (LATAM)</v>
      </c>
      <c r="I902" s="7" t="str">
        <f aca="false">IF($D902="","",IFERROR(IF(INDEX(Hierarchy!$F$2:$F$1295,MATCH($D902,Hierarchy!$A$2:$A$1295,0))="","",INDEX(Hierarchy!$F$2:$F$1295,MATCH($D902,Hierarchy!$A$2:$A$1295,0))),"NODE NOT FOUND"))</f>
        <v/>
      </c>
      <c r="J902" s="7" t="str">
        <f aca="false">IF($D902="","",IFERROR(IF(INDEX(Hierarchy!$G$2:$G$1295,MATCH($D902,Hierarchy!$A$2:$A$1295,0))="","",INDEX(Hierarchy!$G$2:$G$1295,MATCH($D902,Hierarchy!$A$2:$A$1295,0))),"NODE NOT FOUND"))</f>
        <v/>
      </c>
      <c r="K902" s="7" t="str">
        <f aca="false">IF($D902="","",IFERROR(IF(INDEX(Hierarchy!$H$2:$H$1295,MATCH($D902,Hierarchy!$A$2:$A$1295,0))="","",INDEX(Hierarchy!$H$2:$H$1295,MATCH($D902,Hierarchy!$A$2:$A$1295,0))),"NODE NOT FOUND"))</f>
        <v/>
      </c>
      <c r="L902" s="7" t="str">
        <f aca="false">IF($D902="","",IFERROR(IF(INDEX(Hierarchy!$I$2:$I$1295,MATCH($D902,Hierarchy!$A$2:$A$1295,0))="","",INDEX(Hierarchy!$I$2:$I$1295,MATCH($D902,Hierarchy!$A$2:$A$1295,0))),"NODE NOT FOUND"))</f>
        <v/>
      </c>
      <c r="M902" s="17" t="str">
        <f aca="false">IF(B902="Pre-seeded","Pre-seeded",IF(B902="Review 2026-09-16","Added from review",IF(C902="","New",IF(C902=D902,"","Changed"))))</f>
        <v>Changed</v>
      </c>
      <c r="N902" s="7" t="str">
        <f aca="false">TRIM(SUBSTITUTE(SUBSTITUTE(SUBSTITUTE(" "&amp;TRIM(SUBSTITUTE(SUBSTITUTE(SUBSTITUTE(SUBSTITUTE(SUBSTITUTE(SUBSTITUTE(SUBSTITUTE(SUBSTITUTE(SUBSTITUTE(SUBSTITUTE(SUBSTITUTE(SUBSTITUTE(SUBSTITUTE(SUBSTITUTE(SUBSTITUTE(UPPER(TRIM(A902)),"[MEMBER]",""),"{MEMBER}",""),"[MEMBER}",""),"MEMBER]",""),"(A)",""),"""",""),"“",""),"”",""),".",""),":",""),",",""),"–"," "),"-"," "),"/"," "),"&amp;"," AND "))&amp;" "," THE "," ")," TOTAL "," ")," OPERATIONS "," "))</f>
        <v>LATIN AMERICA AND CARIBBEAN</v>
      </c>
      <c r="O902" s="17" t="str">
        <f aca="false">IF(COUNTIFS($N$2:$N$2000,N902,$D$2:$D$2000,"&lt;&gt;"&amp;D902)&gt;0,"CONFLICT","")</f>
        <v/>
      </c>
      <c r="P902" s="7"/>
    </row>
    <row r="903" customFormat="false" ht="15" hidden="false" customHeight="false" outlineLevel="0" collapsed="false">
      <c r="A903" s="7" t="s">
        <v>2349</v>
      </c>
      <c r="B903" s="7" t="s">
        <v>1879</v>
      </c>
      <c r="C903" s="7"/>
      <c r="D903" s="6" t="s">
        <v>312</v>
      </c>
      <c r="E903" s="6" t="s">
        <v>1880</v>
      </c>
      <c r="F903" s="7" t="str">
        <f aca="false">IF($D903="","",IFERROR(IF(INDEX(Hierarchy!$B$2:$B$1295,MATCH($D903,Hierarchy!$A$2:$A$1295,0))="","",INDEX(Hierarchy!$B$2:$B$1295,MATCH($D903,Hierarchy!$A$2:$A$1295,0))),"NODE NOT FOUND"))</f>
        <v>Sub-region</v>
      </c>
      <c r="G903" s="7" t="str">
        <f aca="false">IF($D903="","",IFERROR(IF(INDEX(Hierarchy!$D$2:$D$1295,MATCH($D903,Hierarchy!$A$2:$A$1295,0))="","",INDEX(Hierarchy!$D$2:$D$1295,MATCH($D903,Hierarchy!$A$2:$A$1295,0))),"NODE NOT FOUND"))</f>
        <v>AMER</v>
      </c>
      <c r="H903" s="7" t="str">
        <f aca="false">IF($D903="","",IFERROR(IF(INDEX(Hierarchy!$E$2:$E$1295,MATCH($D903,Hierarchy!$A$2:$A$1295,0))="","",INDEX(Hierarchy!$E$2:$E$1295,MATCH($D903,Hierarchy!$A$2:$A$1295,0))),"NODE NOT FOUND"))</f>
        <v>Latin America (LATAM)</v>
      </c>
      <c r="I903" s="7" t="str">
        <f aca="false">IF($D903="","",IFERROR(IF(INDEX(Hierarchy!$F$2:$F$1295,MATCH($D903,Hierarchy!$A$2:$A$1295,0))="","",INDEX(Hierarchy!$F$2:$F$1295,MATCH($D903,Hierarchy!$A$2:$A$1295,0))),"NODE NOT FOUND"))</f>
        <v/>
      </c>
      <c r="J903" s="7" t="str">
        <f aca="false">IF($D903="","",IFERROR(IF(INDEX(Hierarchy!$G$2:$G$1295,MATCH($D903,Hierarchy!$A$2:$A$1295,0))="","",INDEX(Hierarchy!$G$2:$G$1295,MATCH($D903,Hierarchy!$A$2:$A$1295,0))),"NODE NOT FOUND"))</f>
        <v/>
      </c>
      <c r="K903" s="7" t="str">
        <f aca="false">IF($D903="","",IFERROR(IF(INDEX(Hierarchy!$H$2:$H$1295,MATCH($D903,Hierarchy!$A$2:$A$1295,0))="","",INDEX(Hierarchy!$H$2:$H$1295,MATCH($D903,Hierarchy!$A$2:$A$1295,0))),"NODE NOT FOUND"))</f>
        <v/>
      </c>
      <c r="L903" s="7" t="str">
        <f aca="false">IF($D903="","",IFERROR(IF(INDEX(Hierarchy!$I$2:$I$1295,MATCH($D903,Hierarchy!$A$2:$A$1295,0))="","",INDEX(Hierarchy!$I$2:$I$1295,MATCH($D903,Hierarchy!$A$2:$A$1295,0))),"NODE NOT FOUND"))</f>
        <v/>
      </c>
      <c r="M903" s="17" t="str">
        <f aca="false">IF(B903="Pre-seeded","Pre-seeded",IF(B903="Review 2026-09-16","Added from review",IF(C903="","New",IF(C903=D903,"","Changed"))))</f>
        <v>Pre-seeded</v>
      </c>
      <c r="N903" s="7" t="str">
        <f aca="false">TRIM(SUBSTITUTE(SUBSTITUTE(SUBSTITUTE(" "&amp;TRIM(SUBSTITUTE(SUBSTITUTE(SUBSTITUTE(SUBSTITUTE(SUBSTITUTE(SUBSTITUTE(SUBSTITUTE(SUBSTITUTE(SUBSTITUTE(SUBSTITUTE(SUBSTITUTE(SUBSTITUTE(SUBSTITUTE(SUBSTITUTE(SUBSTITUTE(UPPER(TRIM(A903)),"[MEMBER]",""),"{MEMBER}",""),"[MEMBER}",""),"MEMBER]",""),"(A)",""),"""",""),"“",""),"”",""),".",""),":",""),",",""),"–"," "),"-"," "),"/"," "),"&amp;"," AND "))&amp;" "," THE "," ")," TOTAL "," ")," OPERATIONS "," "))</f>
        <v>LATIN AMERICA AND CARIBBEAN (LAC)</v>
      </c>
      <c r="O903" s="17" t="str">
        <f aca="false">IF(COUNTIFS($N$2:$N$2000,N903,$D$2:$D$2000,"&lt;&gt;"&amp;D903)&gt;0,"CONFLICT","")</f>
        <v/>
      </c>
      <c r="P903" s="7"/>
    </row>
    <row r="904" customFormat="false" ht="15" hidden="false" customHeight="false" outlineLevel="0" collapsed="false">
      <c r="A904" s="7" t="s">
        <v>1831</v>
      </c>
      <c r="B904" s="7" t="s">
        <v>1879</v>
      </c>
      <c r="C904" s="7"/>
      <c r="D904" s="6" t="s">
        <v>1831</v>
      </c>
      <c r="E904" s="6" t="s">
        <v>1880</v>
      </c>
      <c r="F904" s="7" t="str">
        <f aca="false">IF($D904="","",IFERROR(IF(INDEX(Hierarchy!$B$2:$B$1295,MATCH($D904,Hierarchy!$A$2:$A$1295,0))="","",INDEX(Hierarchy!$B$2:$B$1295,MATCH($D904,Hierarchy!$A$2:$A$1295,0))),"NODE NOT FOUND"))</f>
        <v>Reference grouping</v>
      </c>
      <c r="G904" s="7" t="str">
        <f aca="false">IF($D904="","",IFERROR(IF(INDEX(Hierarchy!$D$2:$D$1295,MATCH($D904,Hierarchy!$A$2:$A$1295,0))="","",INDEX(Hierarchy!$D$2:$D$1295,MATCH($D904,Hierarchy!$A$2:$A$1295,0))),"NODE NOT FOUND"))</f>
        <v>Reference (UN / World Bank)</v>
      </c>
      <c r="H904" s="7" t="str">
        <f aca="false">IF($D904="","",IFERROR(IF(INDEX(Hierarchy!$E$2:$E$1295,MATCH($D904,Hierarchy!$A$2:$A$1295,0))="","",INDEX(Hierarchy!$E$2:$E$1295,MATCH($D904,Hierarchy!$A$2:$A$1295,0))),"NODE NOT FOUND"))</f>
        <v/>
      </c>
      <c r="I904" s="7" t="str">
        <f aca="false">IF($D904="","",IFERROR(IF(INDEX(Hierarchy!$F$2:$F$1295,MATCH($D904,Hierarchy!$A$2:$A$1295,0))="","",INDEX(Hierarchy!$F$2:$F$1295,MATCH($D904,Hierarchy!$A$2:$A$1295,0))),"NODE NOT FOUND"))</f>
        <v/>
      </c>
      <c r="J904" s="7" t="str">
        <f aca="false">IF($D904="","",IFERROR(IF(INDEX(Hierarchy!$G$2:$G$1295,MATCH($D904,Hierarchy!$A$2:$A$1295,0))="","",INDEX(Hierarchy!$G$2:$G$1295,MATCH($D904,Hierarchy!$A$2:$A$1295,0))),"NODE NOT FOUND"))</f>
        <v/>
      </c>
      <c r="K904" s="7" t="str">
        <f aca="false">IF($D904="","",IFERROR(IF(INDEX(Hierarchy!$H$2:$H$1295,MATCH($D904,Hierarchy!$A$2:$A$1295,0))="","",INDEX(Hierarchy!$H$2:$H$1295,MATCH($D904,Hierarchy!$A$2:$A$1295,0))),"NODE NOT FOUND"))</f>
        <v/>
      </c>
      <c r="L904" s="7" t="str">
        <f aca="false">IF($D904="","",IFERROR(IF(INDEX(Hierarchy!$I$2:$I$1295,MATCH($D904,Hierarchy!$A$2:$A$1295,0))="","",INDEX(Hierarchy!$I$2:$I$1295,MATCH($D904,Hierarchy!$A$2:$A$1295,0))),"NODE NOT FOUND"))</f>
        <v/>
      </c>
      <c r="M904" s="17" t="str">
        <f aca="false">IF(B904="Pre-seeded","Pre-seeded",IF(B904="Review 2026-09-16","Added from review",IF(C904="","New",IF(C904=D904,"","Changed"))))</f>
        <v>Pre-seeded</v>
      </c>
      <c r="N904" s="7" t="str">
        <f aca="false">TRIM(SUBSTITUTE(SUBSTITUTE(SUBSTITUTE(" "&amp;TRIM(SUBSTITUTE(SUBSTITUTE(SUBSTITUTE(SUBSTITUTE(SUBSTITUTE(SUBSTITUTE(SUBSTITUTE(SUBSTITUTE(SUBSTITUTE(SUBSTITUTE(SUBSTITUTE(SUBSTITUTE(SUBSTITUTE(SUBSTITUTE(SUBSTITUTE(UPPER(TRIM(A904)),"[MEMBER]",""),"{MEMBER}",""),"[MEMBER}",""),"MEMBER]",""),"(A)",""),"""",""),"“",""),"”",""),".",""),":",""),",",""),"–"," "),"-"," "),"/"," "),"&amp;"," AND "))&amp;" "," THE "," ")," TOTAL "," ")," OPERATIONS "," "))</f>
        <v>LATIN AMERICA AND CARIBBEAN (WORLD BANK)</v>
      </c>
      <c r="O904" s="17" t="str">
        <f aca="false">IF(COUNTIFS($N$2:$N$2000,N904,$D$2:$D$2000,"&lt;&gt;"&amp;D904)&gt;0,"CONFLICT","")</f>
        <v/>
      </c>
      <c r="P904" s="7"/>
    </row>
    <row r="905" customFormat="false" ht="15" hidden="false" customHeight="false" outlineLevel="0" collapsed="false">
      <c r="A905" s="7" t="s">
        <v>2350</v>
      </c>
      <c r="B905" s="7" t="s">
        <v>1882</v>
      </c>
      <c r="C905" s="7" t="s">
        <v>2339</v>
      </c>
      <c r="D905" s="6" t="s">
        <v>312</v>
      </c>
      <c r="E905" s="6" t="s">
        <v>1880</v>
      </c>
      <c r="F905" s="7" t="str">
        <f aca="false">IF($D905="","",IFERROR(IF(INDEX(Hierarchy!$B$2:$B$1295,MATCH($D905,Hierarchy!$A$2:$A$1295,0))="","",INDEX(Hierarchy!$B$2:$B$1295,MATCH($D905,Hierarchy!$A$2:$A$1295,0))),"NODE NOT FOUND"))</f>
        <v>Sub-region</v>
      </c>
      <c r="G905" s="7" t="str">
        <f aca="false">IF($D905="","",IFERROR(IF(INDEX(Hierarchy!$D$2:$D$1295,MATCH($D905,Hierarchy!$A$2:$A$1295,0))="","",INDEX(Hierarchy!$D$2:$D$1295,MATCH($D905,Hierarchy!$A$2:$A$1295,0))),"NODE NOT FOUND"))</f>
        <v>AMER</v>
      </c>
      <c r="H905" s="7" t="str">
        <f aca="false">IF($D905="","",IFERROR(IF(INDEX(Hierarchy!$E$2:$E$1295,MATCH($D905,Hierarchy!$A$2:$A$1295,0))="","",INDEX(Hierarchy!$E$2:$E$1295,MATCH($D905,Hierarchy!$A$2:$A$1295,0))),"NODE NOT FOUND"))</f>
        <v>Latin America (LATAM)</v>
      </c>
      <c r="I905" s="7" t="str">
        <f aca="false">IF($D905="","",IFERROR(IF(INDEX(Hierarchy!$F$2:$F$1295,MATCH($D905,Hierarchy!$A$2:$A$1295,0))="","",INDEX(Hierarchy!$F$2:$F$1295,MATCH($D905,Hierarchy!$A$2:$A$1295,0))),"NODE NOT FOUND"))</f>
        <v/>
      </c>
      <c r="J905" s="7" t="str">
        <f aca="false">IF($D905="","",IFERROR(IF(INDEX(Hierarchy!$G$2:$G$1295,MATCH($D905,Hierarchy!$A$2:$A$1295,0))="","",INDEX(Hierarchy!$G$2:$G$1295,MATCH($D905,Hierarchy!$A$2:$A$1295,0))),"NODE NOT FOUND"))</f>
        <v/>
      </c>
      <c r="K905" s="7" t="str">
        <f aca="false">IF($D905="","",IFERROR(IF(INDEX(Hierarchy!$H$2:$H$1295,MATCH($D905,Hierarchy!$A$2:$A$1295,0))="","",INDEX(Hierarchy!$H$2:$H$1295,MATCH($D905,Hierarchy!$A$2:$A$1295,0))),"NODE NOT FOUND"))</f>
        <v/>
      </c>
      <c r="L905" s="7" t="str">
        <f aca="false">IF($D905="","",IFERROR(IF(INDEX(Hierarchy!$I$2:$I$1295,MATCH($D905,Hierarchy!$A$2:$A$1295,0))="","",INDEX(Hierarchy!$I$2:$I$1295,MATCH($D905,Hierarchy!$A$2:$A$1295,0))),"NODE NOT FOUND"))</f>
        <v/>
      </c>
      <c r="M905" s="17" t="str">
        <f aca="false">IF(B905="Pre-seeded","Pre-seeded",IF(B905="Review 2026-09-16","Added from review",IF(C905="","New",IF(C905=D905,"","Changed"))))</f>
        <v>Changed</v>
      </c>
      <c r="N905" s="7" t="str">
        <f aca="false">TRIM(SUBSTITUTE(SUBSTITUTE(SUBSTITUTE(" "&amp;TRIM(SUBSTITUTE(SUBSTITUTE(SUBSTITUTE(SUBSTITUTE(SUBSTITUTE(SUBSTITUTE(SUBSTITUTE(SUBSTITUTE(SUBSTITUTE(SUBSTITUTE(SUBSTITUTE(SUBSTITUTE(SUBSTITUTE(SUBSTITUTE(SUBSTITUTE(UPPER(TRIM(A905)),"[MEMBER]",""),"{MEMBER}",""),"[MEMBER}",""),"MEMBER]",""),"(A)",""),"""",""),"“",""),"”",""),".",""),":",""),",",""),"–"," "),"-"," "),"/"," "),"&amp;"," AND "))&amp;" "," THE "," ")," TOTAL "," ")," OPERATIONS "," "))</f>
        <v>LATIN AMERICA</v>
      </c>
      <c r="O905" s="17" t="str">
        <f aca="false">IF(COUNTIFS($N$2:$N$2000,N905,$D$2:$D$2000,"&lt;&gt;"&amp;D905)&gt;0,"CONFLICT","")</f>
        <v/>
      </c>
      <c r="P905" s="7"/>
    </row>
    <row r="906" customFormat="false" ht="15" hidden="false" customHeight="false" outlineLevel="0" collapsed="false">
      <c r="A906" s="7" t="s">
        <v>2351</v>
      </c>
      <c r="B906" s="7" t="s">
        <v>1954</v>
      </c>
      <c r="C906" s="7"/>
      <c r="D906" s="6" t="s">
        <v>312</v>
      </c>
      <c r="E906" s="6" t="s">
        <v>1886</v>
      </c>
      <c r="F906" s="7" t="str">
        <f aca="false">IF($D906="","",IFERROR(IF(INDEX(Hierarchy!$B$2:$B$1295,MATCH($D906,Hierarchy!$A$2:$A$1295,0))="","",INDEX(Hierarchy!$B$2:$B$1295,MATCH($D906,Hierarchy!$A$2:$A$1295,0))),"NODE NOT FOUND"))</f>
        <v>Sub-region</v>
      </c>
      <c r="G906" s="7" t="str">
        <f aca="false">IF($D906="","",IFERROR(IF(INDEX(Hierarchy!$D$2:$D$1295,MATCH($D906,Hierarchy!$A$2:$A$1295,0))="","",INDEX(Hierarchy!$D$2:$D$1295,MATCH($D906,Hierarchy!$A$2:$A$1295,0))),"NODE NOT FOUND"))</f>
        <v>AMER</v>
      </c>
      <c r="H906" s="7" t="str">
        <f aca="false">IF($D906="","",IFERROR(IF(INDEX(Hierarchy!$E$2:$E$1295,MATCH($D906,Hierarchy!$A$2:$A$1295,0))="","",INDEX(Hierarchy!$E$2:$E$1295,MATCH($D906,Hierarchy!$A$2:$A$1295,0))),"NODE NOT FOUND"))</f>
        <v>Latin America (LATAM)</v>
      </c>
      <c r="I906" s="7" t="str">
        <f aca="false">IF($D906="","",IFERROR(IF(INDEX(Hierarchy!$F$2:$F$1295,MATCH($D906,Hierarchy!$A$2:$A$1295,0))="","",INDEX(Hierarchy!$F$2:$F$1295,MATCH($D906,Hierarchy!$A$2:$A$1295,0))),"NODE NOT FOUND"))</f>
        <v/>
      </c>
      <c r="J906" s="7" t="str">
        <f aca="false">IF($D906="","",IFERROR(IF(INDEX(Hierarchy!$G$2:$G$1295,MATCH($D906,Hierarchy!$A$2:$A$1295,0))="","",INDEX(Hierarchy!$G$2:$G$1295,MATCH($D906,Hierarchy!$A$2:$A$1295,0))),"NODE NOT FOUND"))</f>
        <v/>
      </c>
      <c r="K906" s="7" t="str">
        <f aca="false">IF($D906="","",IFERROR(IF(INDEX(Hierarchy!$H$2:$H$1295,MATCH($D906,Hierarchy!$A$2:$A$1295,0))="","",INDEX(Hierarchy!$H$2:$H$1295,MATCH($D906,Hierarchy!$A$2:$A$1295,0))),"NODE NOT FOUND"))</f>
        <v/>
      </c>
      <c r="L906" s="7" t="str">
        <f aca="false">IF($D906="","",IFERROR(IF(INDEX(Hierarchy!$I$2:$I$1295,MATCH($D906,Hierarchy!$A$2:$A$1295,0))="","",INDEX(Hierarchy!$I$2:$I$1295,MATCH($D906,Hierarchy!$A$2:$A$1295,0))),"NODE NOT FOUND"))</f>
        <v/>
      </c>
      <c r="M906" s="17" t="str">
        <f aca="false">IF(B906="Pre-seeded","Pre-seeded",IF(B906="Review 2026-09-16","Added from review",IF(C906="","New",IF(C906=D906,"","Changed"))))</f>
        <v>Added from review</v>
      </c>
      <c r="N906" s="7" t="str">
        <f aca="false">TRIM(SUBSTITUTE(SUBSTITUTE(SUBSTITUTE(" "&amp;TRIM(SUBSTITUTE(SUBSTITUTE(SUBSTITUTE(SUBSTITUTE(SUBSTITUTE(SUBSTITUTE(SUBSTITUTE(SUBSTITUTE(SUBSTITUTE(SUBSTITUTE(SUBSTITUTE(SUBSTITUTE(SUBSTITUTE(SUBSTITUTE(SUBSTITUTE(UPPER(TRIM(A906)),"[MEMBER]",""),"{MEMBER}",""),"[MEMBER}",""),"MEMBER]",""),"(A)",""),"""",""),"“",""),"”",""),".",""),":",""),",",""),"–"," "),"-"," "),"/"," "),"&amp;"," AND "))&amp;" "," THE "," ")," TOTAL "," ")," OPERATIONS "," "))</f>
        <v>LATIN AMERICA OTHER</v>
      </c>
      <c r="O906" s="17" t="str">
        <f aca="false">IF(COUNTIFS($N$2:$N$2000,N906,$D$2:$D$2000,"&lt;&gt;"&amp;D906)&gt;0,"CONFLICT","")</f>
        <v/>
      </c>
      <c r="P906" s="7" t="s">
        <v>1968</v>
      </c>
    </row>
    <row r="907" customFormat="false" ht="15" hidden="false" customHeight="false" outlineLevel="0" collapsed="false">
      <c r="A907" s="7" t="s">
        <v>2352</v>
      </c>
      <c r="B907" s="7" t="s">
        <v>1882</v>
      </c>
      <c r="C907" s="7" t="s">
        <v>335</v>
      </c>
      <c r="D907" s="6" t="s">
        <v>312</v>
      </c>
      <c r="E907" s="6" t="s">
        <v>1880</v>
      </c>
      <c r="F907" s="7" t="str">
        <f aca="false">IF($D907="","",IFERROR(IF(INDEX(Hierarchy!$B$2:$B$1295,MATCH($D907,Hierarchy!$A$2:$A$1295,0))="","",INDEX(Hierarchy!$B$2:$B$1295,MATCH($D907,Hierarchy!$A$2:$A$1295,0))),"NODE NOT FOUND"))</f>
        <v>Sub-region</v>
      </c>
      <c r="G907" s="7" t="str">
        <f aca="false">IF($D907="","",IFERROR(IF(INDEX(Hierarchy!$D$2:$D$1295,MATCH($D907,Hierarchy!$A$2:$A$1295,0))="","",INDEX(Hierarchy!$D$2:$D$1295,MATCH($D907,Hierarchy!$A$2:$A$1295,0))),"NODE NOT FOUND"))</f>
        <v>AMER</v>
      </c>
      <c r="H907" s="7" t="str">
        <f aca="false">IF($D907="","",IFERROR(IF(INDEX(Hierarchy!$E$2:$E$1295,MATCH($D907,Hierarchy!$A$2:$A$1295,0))="","",INDEX(Hierarchy!$E$2:$E$1295,MATCH($D907,Hierarchy!$A$2:$A$1295,0))),"NODE NOT FOUND"))</f>
        <v>Latin America (LATAM)</v>
      </c>
      <c r="I907" s="7" t="str">
        <f aca="false">IF($D907="","",IFERROR(IF(INDEX(Hierarchy!$F$2:$F$1295,MATCH($D907,Hierarchy!$A$2:$A$1295,0))="","",INDEX(Hierarchy!$F$2:$F$1295,MATCH($D907,Hierarchy!$A$2:$A$1295,0))),"NODE NOT FOUND"))</f>
        <v/>
      </c>
      <c r="J907" s="7" t="str">
        <f aca="false">IF($D907="","",IFERROR(IF(INDEX(Hierarchy!$G$2:$G$1295,MATCH($D907,Hierarchy!$A$2:$A$1295,0))="","",INDEX(Hierarchy!$G$2:$G$1295,MATCH($D907,Hierarchy!$A$2:$A$1295,0))),"NODE NOT FOUND"))</f>
        <v/>
      </c>
      <c r="K907" s="7" t="str">
        <f aca="false">IF($D907="","",IFERROR(IF(INDEX(Hierarchy!$H$2:$H$1295,MATCH($D907,Hierarchy!$A$2:$A$1295,0))="","",INDEX(Hierarchy!$H$2:$H$1295,MATCH($D907,Hierarchy!$A$2:$A$1295,0))),"NODE NOT FOUND"))</f>
        <v/>
      </c>
      <c r="L907" s="7" t="str">
        <f aca="false">IF($D907="","",IFERROR(IF(INDEX(Hierarchy!$I$2:$I$1295,MATCH($D907,Hierarchy!$A$2:$A$1295,0))="","",INDEX(Hierarchy!$I$2:$I$1295,MATCH($D907,Hierarchy!$A$2:$A$1295,0))),"NODE NOT FOUND"))</f>
        <v/>
      </c>
      <c r="M907" s="17" t="str">
        <f aca="false">IF(B907="Pre-seeded","Pre-seeded",IF(B907="Review 2026-09-16","Added from review",IF(C907="","New",IF(C907=D907,"","Changed"))))</f>
        <v>Changed</v>
      </c>
      <c r="N907" s="7" t="str">
        <f aca="false">TRIM(SUBSTITUTE(SUBSTITUTE(SUBSTITUTE(" "&amp;TRIM(SUBSTITUTE(SUBSTITUTE(SUBSTITUTE(SUBSTITUTE(SUBSTITUTE(SUBSTITUTE(SUBSTITUTE(SUBSTITUTE(SUBSTITUTE(SUBSTITUTE(SUBSTITUTE(SUBSTITUTE(SUBSTITUTE(SUBSTITUTE(SUBSTITUTE(UPPER(TRIM(A907)),"[MEMBER]",""),"{MEMBER}",""),"[MEMBER}",""),"MEMBER]",""),"(A)",""),"""",""),"“",""),"”",""),".",""),":",""),",",""),"–"," "),"-"," "),"/"," "),"&amp;"," AND "))&amp;" "," THE "," ")," TOTAL "," ")," OPERATIONS "," "))</f>
        <v>LATIN AMERICA CARIBBEAN</v>
      </c>
      <c r="O907" s="17" t="str">
        <f aca="false">IF(COUNTIFS($N$2:$N$2000,N907,$D$2:$D$2000,"&lt;&gt;"&amp;D907)&gt;0,"CONFLICT","")</f>
        <v/>
      </c>
      <c r="P907" s="7"/>
    </row>
    <row r="908" customFormat="false" ht="15" hidden="false" customHeight="false" outlineLevel="0" collapsed="false">
      <c r="A908" s="7" t="s">
        <v>2353</v>
      </c>
      <c r="B908" s="7" t="s">
        <v>1882</v>
      </c>
      <c r="C908" s="7" t="s">
        <v>2339</v>
      </c>
      <c r="D908" s="6" t="s">
        <v>312</v>
      </c>
      <c r="E908" s="6" t="s">
        <v>1880</v>
      </c>
      <c r="F908" s="7" t="str">
        <f aca="false">IF($D908="","",IFERROR(IF(INDEX(Hierarchy!$B$2:$B$1295,MATCH($D908,Hierarchy!$A$2:$A$1295,0))="","",INDEX(Hierarchy!$B$2:$B$1295,MATCH($D908,Hierarchy!$A$2:$A$1295,0))),"NODE NOT FOUND"))</f>
        <v>Sub-region</v>
      </c>
      <c r="G908" s="7" t="str">
        <f aca="false">IF($D908="","",IFERROR(IF(INDEX(Hierarchy!$D$2:$D$1295,MATCH($D908,Hierarchy!$A$2:$A$1295,0))="","",INDEX(Hierarchy!$D$2:$D$1295,MATCH($D908,Hierarchy!$A$2:$A$1295,0))),"NODE NOT FOUND"))</f>
        <v>AMER</v>
      </c>
      <c r="H908" s="7" t="str">
        <f aca="false">IF($D908="","",IFERROR(IF(INDEX(Hierarchy!$E$2:$E$1295,MATCH($D908,Hierarchy!$A$2:$A$1295,0))="","",INDEX(Hierarchy!$E$2:$E$1295,MATCH($D908,Hierarchy!$A$2:$A$1295,0))),"NODE NOT FOUND"))</f>
        <v>Latin America (LATAM)</v>
      </c>
      <c r="I908" s="7" t="str">
        <f aca="false">IF($D908="","",IFERROR(IF(INDEX(Hierarchy!$F$2:$F$1295,MATCH($D908,Hierarchy!$A$2:$A$1295,0))="","",INDEX(Hierarchy!$F$2:$F$1295,MATCH($D908,Hierarchy!$A$2:$A$1295,0))),"NODE NOT FOUND"))</f>
        <v/>
      </c>
      <c r="J908" s="7" t="str">
        <f aca="false">IF($D908="","",IFERROR(IF(INDEX(Hierarchy!$G$2:$G$1295,MATCH($D908,Hierarchy!$A$2:$A$1295,0))="","",INDEX(Hierarchy!$G$2:$G$1295,MATCH($D908,Hierarchy!$A$2:$A$1295,0))),"NODE NOT FOUND"))</f>
        <v/>
      </c>
      <c r="K908" s="7" t="str">
        <f aca="false">IF($D908="","",IFERROR(IF(INDEX(Hierarchy!$H$2:$H$1295,MATCH($D908,Hierarchy!$A$2:$A$1295,0))="","",INDEX(Hierarchy!$H$2:$H$1295,MATCH($D908,Hierarchy!$A$2:$A$1295,0))),"NODE NOT FOUND"))</f>
        <v/>
      </c>
      <c r="L908" s="7" t="str">
        <f aca="false">IF($D908="","",IFERROR(IF(INDEX(Hierarchy!$I$2:$I$1295,MATCH($D908,Hierarchy!$A$2:$A$1295,0))="","",INDEX(Hierarchy!$I$2:$I$1295,MATCH($D908,Hierarchy!$A$2:$A$1295,0))),"NODE NOT FOUND"))</f>
        <v/>
      </c>
      <c r="M908" s="17" t="str">
        <f aca="false">IF(B908="Pre-seeded","Pre-seeded",IF(B908="Review 2026-09-16","Added from review",IF(C908="","New",IF(C908=D908,"","Changed"))))</f>
        <v>Changed</v>
      </c>
      <c r="N908" s="7" t="str">
        <f aca="false">TRIM(SUBSTITUTE(SUBSTITUTE(SUBSTITUTE(" "&amp;TRIM(SUBSTITUTE(SUBSTITUTE(SUBSTITUTE(SUBSTITUTE(SUBSTITUTE(SUBSTITUTE(SUBSTITUTE(SUBSTITUTE(SUBSTITUTE(SUBSTITUTE(SUBSTITUTE(SUBSTITUTE(SUBSTITUTE(SUBSTITUTE(SUBSTITUTE(UPPER(TRIM(A908)),"[MEMBER]",""),"{MEMBER}",""),"[MEMBER}",""),"MEMBER]",""),"(A)",""),"""",""),"“",""),"”",""),".",""),":",""),",",""),"–"," "),"-"," "),"/"," "),"&amp;"," AND "))&amp;" "," THE "," ")," TOTAL "," ")," OPERATIONS "," "))</f>
        <v>LATIN  AMERICA</v>
      </c>
      <c r="O908" s="17" t="str">
        <f aca="false">IF(COUNTIFS($N$2:$N$2000,N908,$D$2:$D$2000,"&lt;&gt;"&amp;D908)&gt;0,"CONFLICT","")</f>
        <v/>
      </c>
      <c r="P908" s="7"/>
    </row>
    <row r="909" customFormat="false" ht="15" hidden="false" customHeight="false" outlineLevel="0" collapsed="false">
      <c r="A909" s="7" t="s">
        <v>863</v>
      </c>
      <c r="B909" s="7" t="s">
        <v>1879</v>
      </c>
      <c r="C909" s="7"/>
      <c r="D909" s="6" t="s">
        <v>863</v>
      </c>
      <c r="E909" s="6" t="s">
        <v>1880</v>
      </c>
      <c r="F909" s="7" t="str">
        <f aca="false">IF($D909="","",IFERROR(IF(INDEX(Hierarchy!$B$2:$B$1295,MATCH($D909,Hierarchy!$A$2:$A$1295,0))="","",INDEX(Hierarchy!$B$2:$B$1295,MATCH($D909,Hierarchy!$A$2:$A$1295,0))),"NODE NOT FOUND"))</f>
        <v>Country</v>
      </c>
      <c r="G909" s="7" t="str">
        <f aca="false">IF($D909="","",IFERROR(IF(INDEX(Hierarchy!$D$2:$D$1295,MATCH($D909,Hierarchy!$A$2:$A$1295,0))="","",INDEX(Hierarchy!$D$2:$D$1295,MATCH($D909,Hierarchy!$A$2:$A$1295,0))),"NODE NOT FOUND"))</f>
        <v>EMEA</v>
      </c>
      <c r="H909" s="7" t="str">
        <f aca="false">IF($D909="","",IFERROR(IF(INDEX(Hierarchy!$E$2:$E$1295,MATCH($D909,Hierarchy!$A$2:$A$1295,0))="","",INDEX(Hierarchy!$E$2:$E$1295,MATCH($D909,Hierarchy!$A$2:$A$1295,0))),"NODE NOT FOUND"))</f>
        <v>Europe</v>
      </c>
      <c r="I909" s="7" t="str">
        <f aca="false">IF($D909="","",IFERROR(IF(INDEX(Hierarchy!$F$2:$F$1295,MATCH($D909,Hierarchy!$A$2:$A$1295,0))="","",INDEX(Hierarchy!$F$2:$F$1295,MATCH($D909,Hierarchy!$A$2:$A$1295,0))),"NODE NOT FOUND"))</f>
        <v>Latvia</v>
      </c>
      <c r="J909" s="7" t="str">
        <f aca="false">IF($D909="","",IFERROR(IF(INDEX(Hierarchy!$G$2:$G$1295,MATCH($D909,Hierarchy!$A$2:$A$1295,0))="","",INDEX(Hierarchy!$G$2:$G$1295,MATCH($D909,Hierarchy!$A$2:$A$1295,0))),"NODE NOT FOUND"))</f>
        <v>LVA</v>
      </c>
      <c r="K909" s="7" t="str">
        <f aca="false">IF($D909="","",IFERROR(IF(INDEX(Hierarchy!$H$2:$H$1295,MATCH($D909,Hierarchy!$A$2:$A$1295,0))="","",INDEX(Hierarchy!$H$2:$H$1295,MATCH($D909,Hierarchy!$A$2:$A$1295,0))),"NODE NOT FOUND"))</f>
        <v/>
      </c>
      <c r="L909" s="7" t="str">
        <f aca="false">IF($D909="","",IFERROR(IF(INDEX(Hierarchy!$I$2:$I$1295,MATCH($D909,Hierarchy!$A$2:$A$1295,0))="","",INDEX(Hierarchy!$I$2:$I$1295,MATCH($D909,Hierarchy!$A$2:$A$1295,0))),"NODE NOT FOUND"))</f>
        <v/>
      </c>
      <c r="M909" s="17" t="str">
        <f aca="false">IF(B909="Pre-seeded","Pre-seeded",IF(B909="Review 2026-09-16","Added from review",IF(C909="","New",IF(C909=D909,"","Changed"))))</f>
        <v>Pre-seeded</v>
      </c>
      <c r="N909" s="7" t="str">
        <f aca="false">TRIM(SUBSTITUTE(SUBSTITUTE(SUBSTITUTE(" "&amp;TRIM(SUBSTITUTE(SUBSTITUTE(SUBSTITUTE(SUBSTITUTE(SUBSTITUTE(SUBSTITUTE(SUBSTITUTE(SUBSTITUTE(SUBSTITUTE(SUBSTITUTE(SUBSTITUTE(SUBSTITUTE(SUBSTITUTE(SUBSTITUTE(SUBSTITUTE(UPPER(TRIM(A909)),"[MEMBER]",""),"{MEMBER}",""),"[MEMBER}",""),"MEMBER]",""),"(A)",""),"""",""),"“",""),"”",""),".",""),":",""),",",""),"–"," "),"-"," "),"/"," "),"&amp;"," AND "))&amp;" "," THE "," ")," TOTAL "," ")," OPERATIONS "," "))</f>
        <v>LATVIA</v>
      </c>
      <c r="O909" s="17" t="str">
        <f aca="false">IF(COUNTIFS($N$2:$N$2000,N909,$D$2:$D$2000,"&lt;&gt;"&amp;D909)&gt;0,"CONFLICT","")</f>
        <v/>
      </c>
      <c r="P909" s="7"/>
    </row>
    <row r="910" customFormat="false" ht="15" hidden="false" customHeight="false" outlineLevel="0" collapsed="false">
      <c r="A910" s="7" t="s">
        <v>840</v>
      </c>
      <c r="B910" s="7" t="s">
        <v>1879</v>
      </c>
      <c r="C910" s="7"/>
      <c r="D910" s="6" t="s">
        <v>840</v>
      </c>
      <c r="E910" s="6" t="s">
        <v>1880</v>
      </c>
      <c r="F910" s="7" t="str">
        <f aca="false">IF($D910="","",IFERROR(IF(INDEX(Hierarchy!$B$2:$B$1295,MATCH($D910,Hierarchy!$A$2:$A$1295,0))="","",INDEX(Hierarchy!$B$2:$B$1295,MATCH($D910,Hierarchy!$A$2:$A$1295,0))),"NODE NOT FOUND"))</f>
        <v>State/Province</v>
      </c>
      <c r="G910" s="7" t="str">
        <f aca="false">IF($D910="","",IFERROR(IF(INDEX(Hierarchy!$D$2:$D$1295,MATCH($D910,Hierarchy!$A$2:$A$1295,0))="","",INDEX(Hierarchy!$D$2:$D$1295,MATCH($D910,Hierarchy!$A$2:$A$1295,0))),"NODE NOT FOUND"))</f>
        <v>EMEA</v>
      </c>
      <c r="H910" s="7" t="str">
        <f aca="false">IF($D910="","",IFERROR(IF(INDEX(Hierarchy!$E$2:$E$1295,MATCH($D910,Hierarchy!$A$2:$A$1295,0))="","",INDEX(Hierarchy!$E$2:$E$1295,MATCH($D910,Hierarchy!$A$2:$A$1295,0))),"NODE NOT FOUND"))</f>
        <v>Europe</v>
      </c>
      <c r="I910" s="7" t="str">
        <f aca="false">IF($D910="","",IFERROR(IF(INDEX(Hierarchy!$F$2:$F$1295,MATCH($D910,Hierarchy!$A$2:$A$1295,0))="","",INDEX(Hierarchy!$F$2:$F$1295,MATCH($D910,Hierarchy!$A$2:$A$1295,0))),"NODE NOT FOUND"))</f>
        <v>Italy</v>
      </c>
      <c r="J910" s="7" t="str">
        <f aca="false">IF($D910="","",IFERROR(IF(INDEX(Hierarchy!$G$2:$G$1295,MATCH($D910,Hierarchy!$A$2:$A$1295,0))="","",INDEX(Hierarchy!$G$2:$G$1295,MATCH($D910,Hierarchy!$A$2:$A$1295,0))),"NODE NOT FOUND"))</f>
        <v>ITA</v>
      </c>
      <c r="K910" s="7" t="str">
        <f aca="false">IF($D910="","",IFERROR(IF(INDEX(Hierarchy!$H$2:$H$1295,MATCH($D910,Hierarchy!$A$2:$A$1295,0))="","",INDEX(Hierarchy!$H$2:$H$1295,MATCH($D910,Hierarchy!$A$2:$A$1295,0))),"NODE NOT FOUND"))</f>
        <v>Lazio</v>
      </c>
      <c r="L910" s="7" t="str">
        <f aca="false">IF($D910="","",IFERROR(IF(INDEX(Hierarchy!$I$2:$I$1295,MATCH($D910,Hierarchy!$A$2:$A$1295,0))="","",INDEX(Hierarchy!$I$2:$I$1295,MATCH($D910,Hierarchy!$A$2:$A$1295,0))),"NODE NOT FOUND"))</f>
        <v/>
      </c>
      <c r="M910" s="17" t="str">
        <f aca="false">IF(B910="Pre-seeded","Pre-seeded",IF(B910="Review 2026-09-16","Added from review",IF(C910="","New",IF(C910=D910,"","Changed"))))</f>
        <v>Pre-seeded</v>
      </c>
      <c r="N910" s="7" t="str">
        <f aca="false">TRIM(SUBSTITUTE(SUBSTITUTE(SUBSTITUTE(" "&amp;TRIM(SUBSTITUTE(SUBSTITUTE(SUBSTITUTE(SUBSTITUTE(SUBSTITUTE(SUBSTITUTE(SUBSTITUTE(SUBSTITUTE(SUBSTITUTE(SUBSTITUTE(SUBSTITUTE(SUBSTITUTE(SUBSTITUTE(SUBSTITUTE(SUBSTITUTE(UPPER(TRIM(A910)),"[MEMBER]",""),"{MEMBER}",""),"[MEMBER}",""),"MEMBER]",""),"(A)",""),"""",""),"“",""),"”",""),".",""),":",""),",",""),"–"," "),"-"," "),"/"," "),"&amp;"," AND "))&amp;" "," THE "," ")," TOTAL "," ")," OPERATIONS "," "))</f>
        <v>LAZIO</v>
      </c>
      <c r="O910" s="17" t="str">
        <f aca="false">IF(COUNTIFS($N$2:$N$2000,N910,$D$2:$D$2000,"&lt;&gt;"&amp;D910)&gt;0,"CONFLICT","")</f>
        <v/>
      </c>
      <c r="P910" s="7"/>
    </row>
    <row r="911" customFormat="false" ht="15" hidden="false" customHeight="false" outlineLevel="0" collapsed="false">
      <c r="A911" s="7" t="s">
        <v>2354</v>
      </c>
      <c r="B911" s="7" t="s">
        <v>1879</v>
      </c>
      <c r="C911" s="7"/>
      <c r="D911" s="6" t="s">
        <v>1832</v>
      </c>
      <c r="E911" s="6" t="s">
        <v>1880</v>
      </c>
      <c r="F911" s="7" t="str">
        <f aca="false">IF($D911="","",IFERROR(IF(INDEX(Hierarchy!$B$2:$B$1295,MATCH($D911,Hierarchy!$A$2:$A$1295,0))="","",INDEX(Hierarchy!$B$2:$B$1295,MATCH($D911,Hierarchy!$A$2:$A$1295,0))),"NODE NOT FOUND"))</f>
        <v>Reference grouping</v>
      </c>
      <c r="G911" s="7" t="str">
        <f aca="false">IF($D911="","",IFERROR(IF(INDEX(Hierarchy!$D$2:$D$1295,MATCH($D911,Hierarchy!$A$2:$A$1295,0))="","",INDEX(Hierarchy!$D$2:$D$1295,MATCH($D911,Hierarchy!$A$2:$A$1295,0))),"NODE NOT FOUND"))</f>
        <v>Reference (UN / World Bank)</v>
      </c>
      <c r="H911" s="7" t="str">
        <f aca="false">IF($D911="","",IFERROR(IF(INDEX(Hierarchy!$E$2:$E$1295,MATCH($D911,Hierarchy!$A$2:$A$1295,0))="","",INDEX(Hierarchy!$E$2:$E$1295,MATCH($D911,Hierarchy!$A$2:$A$1295,0))),"NODE NOT FOUND"))</f>
        <v/>
      </c>
      <c r="I911" s="7" t="str">
        <f aca="false">IF($D911="","",IFERROR(IF(INDEX(Hierarchy!$F$2:$F$1295,MATCH($D911,Hierarchy!$A$2:$A$1295,0))="","",INDEX(Hierarchy!$F$2:$F$1295,MATCH($D911,Hierarchy!$A$2:$A$1295,0))),"NODE NOT FOUND"))</f>
        <v/>
      </c>
      <c r="J911" s="7" t="str">
        <f aca="false">IF($D911="","",IFERROR(IF(INDEX(Hierarchy!$G$2:$G$1295,MATCH($D911,Hierarchy!$A$2:$A$1295,0))="","",INDEX(Hierarchy!$G$2:$G$1295,MATCH($D911,Hierarchy!$A$2:$A$1295,0))),"NODE NOT FOUND"))</f>
        <v/>
      </c>
      <c r="K911" s="7" t="str">
        <f aca="false">IF($D911="","",IFERROR(IF(INDEX(Hierarchy!$H$2:$H$1295,MATCH($D911,Hierarchy!$A$2:$A$1295,0))="","",INDEX(Hierarchy!$H$2:$H$1295,MATCH($D911,Hierarchy!$A$2:$A$1295,0))),"NODE NOT FOUND"))</f>
        <v/>
      </c>
      <c r="L911" s="7" t="str">
        <f aca="false">IF($D911="","",IFERROR(IF(INDEX(Hierarchy!$I$2:$I$1295,MATCH($D911,Hierarchy!$A$2:$A$1295,0))="","",INDEX(Hierarchy!$I$2:$I$1295,MATCH($D911,Hierarchy!$A$2:$A$1295,0))),"NODE NOT FOUND"))</f>
        <v/>
      </c>
      <c r="M911" s="17" t="str">
        <f aca="false">IF(B911="Pre-seeded","Pre-seeded",IF(B911="Review 2026-09-16","Added from review",IF(C911="","New",IF(C911=D911,"","Changed"))))</f>
        <v>Pre-seeded</v>
      </c>
      <c r="N911" s="7" t="str">
        <f aca="false">TRIM(SUBSTITUTE(SUBSTITUTE(SUBSTITUTE(" "&amp;TRIM(SUBSTITUTE(SUBSTITUTE(SUBSTITUTE(SUBSTITUTE(SUBSTITUTE(SUBSTITUTE(SUBSTITUTE(SUBSTITUTE(SUBSTITUTE(SUBSTITUTE(SUBSTITUTE(SUBSTITUTE(SUBSTITUTE(SUBSTITUTE(SUBSTITUTE(UPPER(TRIM(A911)),"[MEMBER]",""),"{MEMBER}",""),"[MEMBER}",""),"MEMBER]",""),"(A)",""),"""",""),"“",""),"”",""),".",""),":",""),",",""),"–"," "),"-"," "),"/"," "),"&amp;"," AND "))&amp;" "," THE "," ")," TOTAL "," ")," OPERATIONS "," "))</f>
        <v>LDC</v>
      </c>
      <c r="O911" s="17" t="str">
        <f aca="false">IF(COUNTIFS($N$2:$N$2000,N911,$D$2:$D$2000,"&lt;&gt;"&amp;D911)&gt;0,"CONFLICT","")</f>
        <v/>
      </c>
      <c r="P911" s="7"/>
    </row>
    <row r="912" customFormat="false" ht="15" hidden="false" customHeight="false" outlineLevel="0" collapsed="false">
      <c r="A912" s="7" t="s">
        <v>2355</v>
      </c>
      <c r="B912" s="7" t="s">
        <v>1879</v>
      </c>
      <c r="C912" s="7"/>
      <c r="D912" s="6" t="s">
        <v>1832</v>
      </c>
      <c r="E912" s="6" t="s">
        <v>1880</v>
      </c>
      <c r="F912" s="7" t="str">
        <f aca="false">IF($D912="","",IFERROR(IF(INDEX(Hierarchy!$B$2:$B$1295,MATCH($D912,Hierarchy!$A$2:$A$1295,0))="","",INDEX(Hierarchy!$B$2:$B$1295,MATCH($D912,Hierarchy!$A$2:$A$1295,0))),"NODE NOT FOUND"))</f>
        <v>Reference grouping</v>
      </c>
      <c r="G912" s="7" t="str">
        <f aca="false">IF($D912="","",IFERROR(IF(INDEX(Hierarchy!$D$2:$D$1295,MATCH($D912,Hierarchy!$A$2:$A$1295,0))="","",INDEX(Hierarchy!$D$2:$D$1295,MATCH($D912,Hierarchy!$A$2:$A$1295,0))),"NODE NOT FOUND"))</f>
        <v>Reference (UN / World Bank)</v>
      </c>
      <c r="H912" s="7" t="str">
        <f aca="false">IF($D912="","",IFERROR(IF(INDEX(Hierarchy!$E$2:$E$1295,MATCH($D912,Hierarchy!$A$2:$A$1295,0))="","",INDEX(Hierarchy!$E$2:$E$1295,MATCH($D912,Hierarchy!$A$2:$A$1295,0))),"NODE NOT FOUND"))</f>
        <v/>
      </c>
      <c r="I912" s="7" t="str">
        <f aca="false">IF($D912="","",IFERROR(IF(INDEX(Hierarchy!$F$2:$F$1295,MATCH($D912,Hierarchy!$A$2:$A$1295,0))="","",INDEX(Hierarchy!$F$2:$F$1295,MATCH($D912,Hierarchy!$A$2:$A$1295,0))),"NODE NOT FOUND"))</f>
        <v/>
      </c>
      <c r="J912" s="7" t="str">
        <f aca="false">IF($D912="","",IFERROR(IF(INDEX(Hierarchy!$G$2:$G$1295,MATCH($D912,Hierarchy!$A$2:$A$1295,0))="","",INDEX(Hierarchy!$G$2:$G$1295,MATCH($D912,Hierarchy!$A$2:$A$1295,0))),"NODE NOT FOUND"))</f>
        <v/>
      </c>
      <c r="K912" s="7" t="str">
        <f aca="false">IF($D912="","",IFERROR(IF(INDEX(Hierarchy!$H$2:$H$1295,MATCH($D912,Hierarchy!$A$2:$A$1295,0))="","",INDEX(Hierarchy!$H$2:$H$1295,MATCH($D912,Hierarchy!$A$2:$A$1295,0))),"NODE NOT FOUND"))</f>
        <v/>
      </c>
      <c r="L912" s="7" t="str">
        <f aca="false">IF($D912="","",IFERROR(IF(INDEX(Hierarchy!$I$2:$I$1295,MATCH($D912,Hierarchy!$A$2:$A$1295,0))="","",INDEX(Hierarchy!$I$2:$I$1295,MATCH($D912,Hierarchy!$A$2:$A$1295,0))),"NODE NOT FOUND"))</f>
        <v/>
      </c>
      <c r="M912" s="17" t="str">
        <f aca="false">IF(B912="Pre-seeded","Pre-seeded",IF(B912="Review 2026-09-16","Added from review",IF(C912="","New",IF(C912=D912,"","Changed"))))</f>
        <v>Pre-seeded</v>
      </c>
      <c r="N912" s="7" t="str">
        <f aca="false">TRIM(SUBSTITUTE(SUBSTITUTE(SUBSTITUTE(" "&amp;TRIM(SUBSTITUTE(SUBSTITUTE(SUBSTITUTE(SUBSTITUTE(SUBSTITUTE(SUBSTITUTE(SUBSTITUTE(SUBSTITUTE(SUBSTITUTE(SUBSTITUTE(SUBSTITUTE(SUBSTITUTE(SUBSTITUTE(SUBSTITUTE(SUBSTITUTE(UPPER(TRIM(A912)),"[MEMBER]",""),"{MEMBER}",""),"[MEMBER}",""),"MEMBER]",""),"(A)",""),"""",""),"“",""),"”",""),".",""),":",""),",",""),"–"," "),"-"," "),"/"," "),"&amp;"," AND "))&amp;" "," THE "," ")," TOTAL "," ")," OPERATIONS "," "))</f>
        <v>LDCS</v>
      </c>
      <c r="O912" s="17" t="str">
        <f aca="false">IF(COUNTIFS($N$2:$N$2000,N912,$D$2:$D$2000,"&lt;&gt;"&amp;D912)&gt;0,"CONFLICT","")</f>
        <v/>
      </c>
      <c r="P912" s="7"/>
    </row>
    <row r="913" customFormat="false" ht="15" hidden="false" customHeight="false" outlineLevel="0" collapsed="false">
      <c r="A913" s="7" t="s">
        <v>2356</v>
      </c>
      <c r="B913" s="7" t="s">
        <v>1879</v>
      </c>
      <c r="C913" s="7"/>
      <c r="D913" s="6" t="s">
        <v>1832</v>
      </c>
      <c r="E913" s="6" t="s">
        <v>1880</v>
      </c>
      <c r="F913" s="7" t="str">
        <f aca="false">IF($D913="","",IFERROR(IF(INDEX(Hierarchy!$B$2:$B$1295,MATCH($D913,Hierarchy!$A$2:$A$1295,0))="","",INDEX(Hierarchy!$B$2:$B$1295,MATCH($D913,Hierarchy!$A$2:$A$1295,0))),"NODE NOT FOUND"))</f>
        <v>Reference grouping</v>
      </c>
      <c r="G913" s="7" t="str">
        <f aca="false">IF($D913="","",IFERROR(IF(INDEX(Hierarchy!$D$2:$D$1295,MATCH($D913,Hierarchy!$A$2:$A$1295,0))="","",INDEX(Hierarchy!$D$2:$D$1295,MATCH($D913,Hierarchy!$A$2:$A$1295,0))),"NODE NOT FOUND"))</f>
        <v>Reference (UN / World Bank)</v>
      </c>
      <c r="H913" s="7" t="str">
        <f aca="false">IF($D913="","",IFERROR(IF(INDEX(Hierarchy!$E$2:$E$1295,MATCH($D913,Hierarchy!$A$2:$A$1295,0))="","",INDEX(Hierarchy!$E$2:$E$1295,MATCH($D913,Hierarchy!$A$2:$A$1295,0))),"NODE NOT FOUND"))</f>
        <v/>
      </c>
      <c r="I913" s="7" t="str">
        <f aca="false">IF($D913="","",IFERROR(IF(INDEX(Hierarchy!$F$2:$F$1295,MATCH($D913,Hierarchy!$A$2:$A$1295,0))="","",INDEX(Hierarchy!$F$2:$F$1295,MATCH($D913,Hierarchy!$A$2:$A$1295,0))),"NODE NOT FOUND"))</f>
        <v/>
      </c>
      <c r="J913" s="7" t="str">
        <f aca="false">IF($D913="","",IFERROR(IF(INDEX(Hierarchy!$G$2:$G$1295,MATCH($D913,Hierarchy!$A$2:$A$1295,0))="","",INDEX(Hierarchy!$G$2:$G$1295,MATCH($D913,Hierarchy!$A$2:$A$1295,0))),"NODE NOT FOUND"))</f>
        <v/>
      </c>
      <c r="K913" s="7" t="str">
        <f aca="false">IF($D913="","",IFERROR(IF(INDEX(Hierarchy!$H$2:$H$1295,MATCH($D913,Hierarchy!$A$2:$A$1295,0))="","",INDEX(Hierarchy!$H$2:$H$1295,MATCH($D913,Hierarchy!$A$2:$A$1295,0))),"NODE NOT FOUND"))</f>
        <v/>
      </c>
      <c r="L913" s="7" t="str">
        <f aca="false">IF($D913="","",IFERROR(IF(INDEX(Hierarchy!$I$2:$I$1295,MATCH($D913,Hierarchy!$A$2:$A$1295,0))="","",INDEX(Hierarchy!$I$2:$I$1295,MATCH($D913,Hierarchy!$A$2:$A$1295,0))),"NODE NOT FOUND"))</f>
        <v/>
      </c>
      <c r="M913" s="17" t="str">
        <f aca="false">IF(B913="Pre-seeded","Pre-seeded",IF(B913="Review 2026-09-16","Added from review",IF(C913="","New",IF(C913=D913,"","Changed"))))</f>
        <v>Pre-seeded</v>
      </c>
      <c r="N913" s="7" t="str">
        <f aca="false">TRIM(SUBSTITUTE(SUBSTITUTE(SUBSTITUTE(" "&amp;TRIM(SUBSTITUTE(SUBSTITUTE(SUBSTITUTE(SUBSTITUTE(SUBSTITUTE(SUBSTITUTE(SUBSTITUTE(SUBSTITUTE(SUBSTITUTE(SUBSTITUTE(SUBSTITUTE(SUBSTITUTE(SUBSTITUTE(SUBSTITUTE(SUBSTITUTE(UPPER(TRIM(A913)),"[MEMBER]",""),"{MEMBER}",""),"[MEMBER}",""),"MEMBER]",""),"(A)",""),"""",""),"“",""),"”",""),".",""),":",""),",",""),"–"," "),"-"," "),"/"," "),"&amp;"," AND "))&amp;" "," THE "," ")," TOTAL "," ")," OPERATIONS "," "))</f>
        <v>LEAST DEVELOPED COUNTRIES</v>
      </c>
      <c r="O913" s="17" t="str">
        <f aca="false">IF(COUNTIFS($N$2:$N$2000,N913,$D$2:$D$2000,"&lt;&gt;"&amp;D913)&gt;0,"CONFLICT","")</f>
        <v/>
      </c>
      <c r="P913" s="7"/>
    </row>
    <row r="914" customFormat="false" ht="15" hidden="false" customHeight="false" outlineLevel="0" collapsed="false">
      <c r="A914" s="7" t="s">
        <v>1832</v>
      </c>
      <c r="B914" s="7" t="s">
        <v>1879</v>
      </c>
      <c r="C914" s="7"/>
      <c r="D914" s="6" t="s">
        <v>1832</v>
      </c>
      <c r="E914" s="6" t="s">
        <v>1880</v>
      </c>
      <c r="F914" s="7" t="str">
        <f aca="false">IF($D914="","",IFERROR(IF(INDEX(Hierarchy!$B$2:$B$1295,MATCH($D914,Hierarchy!$A$2:$A$1295,0))="","",INDEX(Hierarchy!$B$2:$B$1295,MATCH($D914,Hierarchy!$A$2:$A$1295,0))),"NODE NOT FOUND"))</f>
        <v>Reference grouping</v>
      </c>
      <c r="G914" s="7" t="str">
        <f aca="false">IF($D914="","",IFERROR(IF(INDEX(Hierarchy!$D$2:$D$1295,MATCH($D914,Hierarchy!$A$2:$A$1295,0))="","",INDEX(Hierarchy!$D$2:$D$1295,MATCH($D914,Hierarchy!$A$2:$A$1295,0))),"NODE NOT FOUND"))</f>
        <v>Reference (UN / World Bank)</v>
      </c>
      <c r="H914" s="7" t="str">
        <f aca="false">IF($D914="","",IFERROR(IF(INDEX(Hierarchy!$E$2:$E$1295,MATCH($D914,Hierarchy!$A$2:$A$1295,0))="","",INDEX(Hierarchy!$E$2:$E$1295,MATCH($D914,Hierarchy!$A$2:$A$1295,0))),"NODE NOT FOUND"))</f>
        <v/>
      </c>
      <c r="I914" s="7" t="str">
        <f aca="false">IF($D914="","",IFERROR(IF(INDEX(Hierarchy!$F$2:$F$1295,MATCH($D914,Hierarchy!$A$2:$A$1295,0))="","",INDEX(Hierarchy!$F$2:$F$1295,MATCH($D914,Hierarchy!$A$2:$A$1295,0))),"NODE NOT FOUND"))</f>
        <v/>
      </c>
      <c r="J914" s="7" t="str">
        <f aca="false">IF($D914="","",IFERROR(IF(INDEX(Hierarchy!$G$2:$G$1295,MATCH($D914,Hierarchy!$A$2:$A$1295,0))="","",INDEX(Hierarchy!$G$2:$G$1295,MATCH($D914,Hierarchy!$A$2:$A$1295,0))),"NODE NOT FOUND"))</f>
        <v/>
      </c>
      <c r="K914" s="7" t="str">
        <f aca="false">IF($D914="","",IFERROR(IF(INDEX(Hierarchy!$H$2:$H$1295,MATCH($D914,Hierarchy!$A$2:$A$1295,0))="","",INDEX(Hierarchy!$H$2:$H$1295,MATCH($D914,Hierarchy!$A$2:$A$1295,0))),"NODE NOT FOUND"))</f>
        <v/>
      </c>
      <c r="L914" s="7" t="str">
        <f aca="false">IF($D914="","",IFERROR(IF(INDEX(Hierarchy!$I$2:$I$1295,MATCH($D914,Hierarchy!$A$2:$A$1295,0))="","",INDEX(Hierarchy!$I$2:$I$1295,MATCH($D914,Hierarchy!$A$2:$A$1295,0))),"NODE NOT FOUND"))</f>
        <v/>
      </c>
      <c r="M914" s="17" t="str">
        <f aca="false">IF(B914="Pre-seeded","Pre-seeded",IF(B914="Review 2026-09-16","Added from review",IF(C914="","New",IF(C914=D914,"","Changed"))))</f>
        <v>Pre-seeded</v>
      </c>
      <c r="N914" s="7" t="str">
        <f aca="false">TRIM(SUBSTITUTE(SUBSTITUTE(SUBSTITUTE(" "&amp;TRIM(SUBSTITUTE(SUBSTITUTE(SUBSTITUTE(SUBSTITUTE(SUBSTITUTE(SUBSTITUTE(SUBSTITUTE(SUBSTITUTE(SUBSTITUTE(SUBSTITUTE(SUBSTITUTE(SUBSTITUTE(SUBSTITUTE(SUBSTITUTE(SUBSTITUTE(UPPER(TRIM(A914)),"[MEMBER]",""),"{MEMBER}",""),"[MEMBER}",""),"MEMBER]",""),"(A)",""),"""",""),"“",""),"”",""),".",""),":",""),",",""),"–"," "),"-"," "),"/"," "),"&amp;"," AND "))&amp;" "," THE "," ")," TOTAL "," ")," OPERATIONS "," "))</f>
        <v>LEAST DEVELOPED COUNTRIES (UN LDC)</v>
      </c>
      <c r="O914" s="17" t="str">
        <f aca="false">IF(COUNTIFS($N$2:$N$2000,N914,$D$2:$D$2000,"&lt;&gt;"&amp;D914)&gt;0,"CONFLICT","")</f>
        <v/>
      </c>
      <c r="P914" s="7"/>
    </row>
    <row r="915" customFormat="false" ht="15" hidden="false" customHeight="false" outlineLevel="0" collapsed="false">
      <c r="A915" s="7" t="s">
        <v>2357</v>
      </c>
      <c r="B915" s="7" t="s">
        <v>1879</v>
      </c>
      <c r="C915" s="7"/>
      <c r="D915" s="6" t="s">
        <v>1081</v>
      </c>
      <c r="E915" s="6" t="s">
        <v>1880</v>
      </c>
      <c r="F915" s="7" t="str">
        <f aca="false">IF($D915="","",IFERROR(IF(INDEX(Hierarchy!$B$2:$B$1295,MATCH($D915,Hierarchy!$A$2:$A$1295,0))="","",INDEX(Hierarchy!$B$2:$B$1295,MATCH($D915,Hierarchy!$A$2:$A$1295,0))),"NODE NOT FOUND"))</f>
        <v>Country</v>
      </c>
      <c r="G915" s="7" t="str">
        <f aca="false">IF($D915="","",IFERROR(IF(INDEX(Hierarchy!$D$2:$D$1295,MATCH($D915,Hierarchy!$A$2:$A$1295,0))="","",INDEX(Hierarchy!$D$2:$D$1295,MATCH($D915,Hierarchy!$A$2:$A$1295,0))),"NODE NOT FOUND"))</f>
        <v>EMEA</v>
      </c>
      <c r="H915" s="7" t="str">
        <f aca="false">IF($D915="","",IFERROR(IF(INDEX(Hierarchy!$E$2:$E$1295,MATCH($D915,Hierarchy!$A$2:$A$1295,0))="","",INDEX(Hierarchy!$E$2:$E$1295,MATCH($D915,Hierarchy!$A$2:$A$1295,0))),"NODE NOT FOUND"))</f>
        <v>Middle East</v>
      </c>
      <c r="I915" s="7" t="str">
        <f aca="false">IF($D915="","",IFERROR(IF(INDEX(Hierarchy!$F$2:$F$1295,MATCH($D915,Hierarchy!$A$2:$A$1295,0))="","",INDEX(Hierarchy!$F$2:$F$1295,MATCH($D915,Hierarchy!$A$2:$A$1295,0))),"NODE NOT FOUND"))</f>
        <v>Lebanon</v>
      </c>
      <c r="J915" s="7" t="str">
        <f aca="false">IF($D915="","",IFERROR(IF(INDEX(Hierarchy!$G$2:$G$1295,MATCH($D915,Hierarchy!$A$2:$A$1295,0))="","",INDEX(Hierarchy!$G$2:$G$1295,MATCH($D915,Hierarchy!$A$2:$A$1295,0))),"NODE NOT FOUND"))</f>
        <v>LBN</v>
      </c>
      <c r="K915" s="7" t="str">
        <f aca="false">IF($D915="","",IFERROR(IF(INDEX(Hierarchy!$H$2:$H$1295,MATCH($D915,Hierarchy!$A$2:$A$1295,0))="","",INDEX(Hierarchy!$H$2:$H$1295,MATCH($D915,Hierarchy!$A$2:$A$1295,0))),"NODE NOT FOUND"))</f>
        <v/>
      </c>
      <c r="L915" s="7" t="str">
        <f aca="false">IF($D915="","",IFERROR(IF(INDEX(Hierarchy!$I$2:$I$1295,MATCH($D915,Hierarchy!$A$2:$A$1295,0))="","",INDEX(Hierarchy!$I$2:$I$1295,MATCH($D915,Hierarchy!$A$2:$A$1295,0))),"NODE NOT FOUND"))</f>
        <v/>
      </c>
      <c r="M915" s="17" t="str">
        <f aca="false">IF(B915="Pre-seeded","Pre-seeded",IF(B915="Review 2026-09-16","Added from review",IF(C915="","New",IF(C915=D915,"","Changed"))))</f>
        <v>Pre-seeded</v>
      </c>
      <c r="N915" s="7" t="str">
        <f aca="false">TRIM(SUBSTITUTE(SUBSTITUTE(SUBSTITUTE(" "&amp;TRIM(SUBSTITUTE(SUBSTITUTE(SUBSTITUTE(SUBSTITUTE(SUBSTITUTE(SUBSTITUTE(SUBSTITUTE(SUBSTITUTE(SUBSTITUTE(SUBSTITUTE(SUBSTITUTE(SUBSTITUTE(SUBSTITUTE(SUBSTITUTE(SUBSTITUTE(UPPER(TRIM(A915)),"[MEMBER]",""),"{MEMBER}",""),"[MEMBER}",""),"MEMBER]",""),"(A)",""),"""",""),"“",""),"”",""),".",""),":",""),",",""),"–"," "),"-"," "),"/"," "),"&amp;"," AND "))&amp;" "," THE "," ")," TOTAL "," ")," OPERATIONS "," "))</f>
        <v>LEBANESE REPUBLIC</v>
      </c>
      <c r="O915" s="17" t="str">
        <f aca="false">IF(COUNTIFS($N$2:$N$2000,N915,$D$2:$D$2000,"&lt;&gt;"&amp;D915)&gt;0,"CONFLICT","")</f>
        <v/>
      </c>
      <c r="P915" s="7" t="s">
        <v>1936</v>
      </c>
    </row>
    <row r="916" customFormat="false" ht="15" hidden="false" customHeight="false" outlineLevel="0" collapsed="false">
      <c r="A916" s="7" t="s">
        <v>1081</v>
      </c>
      <c r="B916" s="7" t="s">
        <v>1879</v>
      </c>
      <c r="C916" s="7"/>
      <c r="D916" s="6" t="s">
        <v>1081</v>
      </c>
      <c r="E916" s="6" t="s">
        <v>1880</v>
      </c>
      <c r="F916" s="7" t="str">
        <f aca="false">IF($D916="","",IFERROR(IF(INDEX(Hierarchy!$B$2:$B$1295,MATCH($D916,Hierarchy!$A$2:$A$1295,0))="","",INDEX(Hierarchy!$B$2:$B$1295,MATCH($D916,Hierarchy!$A$2:$A$1295,0))),"NODE NOT FOUND"))</f>
        <v>Country</v>
      </c>
      <c r="G916" s="7" t="str">
        <f aca="false">IF($D916="","",IFERROR(IF(INDEX(Hierarchy!$D$2:$D$1295,MATCH($D916,Hierarchy!$A$2:$A$1295,0))="","",INDEX(Hierarchy!$D$2:$D$1295,MATCH($D916,Hierarchy!$A$2:$A$1295,0))),"NODE NOT FOUND"))</f>
        <v>EMEA</v>
      </c>
      <c r="H916" s="7" t="str">
        <f aca="false">IF($D916="","",IFERROR(IF(INDEX(Hierarchy!$E$2:$E$1295,MATCH($D916,Hierarchy!$A$2:$A$1295,0))="","",INDEX(Hierarchy!$E$2:$E$1295,MATCH($D916,Hierarchy!$A$2:$A$1295,0))),"NODE NOT FOUND"))</f>
        <v>Middle East</v>
      </c>
      <c r="I916" s="7" t="str">
        <f aca="false">IF($D916="","",IFERROR(IF(INDEX(Hierarchy!$F$2:$F$1295,MATCH($D916,Hierarchy!$A$2:$A$1295,0))="","",INDEX(Hierarchy!$F$2:$F$1295,MATCH($D916,Hierarchy!$A$2:$A$1295,0))),"NODE NOT FOUND"))</f>
        <v>Lebanon</v>
      </c>
      <c r="J916" s="7" t="str">
        <f aca="false">IF($D916="","",IFERROR(IF(INDEX(Hierarchy!$G$2:$G$1295,MATCH($D916,Hierarchy!$A$2:$A$1295,0))="","",INDEX(Hierarchy!$G$2:$G$1295,MATCH($D916,Hierarchy!$A$2:$A$1295,0))),"NODE NOT FOUND"))</f>
        <v>LBN</v>
      </c>
      <c r="K916" s="7" t="str">
        <f aca="false">IF($D916="","",IFERROR(IF(INDEX(Hierarchy!$H$2:$H$1295,MATCH($D916,Hierarchy!$A$2:$A$1295,0))="","",INDEX(Hierarchy!$H$2:$H$1295,MATCH($D916,Hierarchy!$A$2:$A$1295,0))),"NODE NOT FOUND"))</f>
        <v/>
      </c>
      <c r="L916" s="7" t="str">
        <f aca="false">IF($D916="","",IFERROR(IF(INDEX(Hierarchy!$I$2:$I$1295,MATCH($D916,Hierarchy!$A$2:$A$1295,0))="","",INDEX(Hierarchy!$I$2:$I$1295,MATCH($D916,Hierarchy!$A$2:$A$1295,0))),"NODE NOT FOUND"))</f>
        <v/>
      </c>
      <c r="M916" s="17" t="str">
        <f aca="false">IF(B916="Pre-seeded","Pre-seeded",IF(B916="Review 2026-09-16","Added from review",IF(C916="","New",IF(C916=D916,"","Changed"))))</f>
        <v>Pre-seeded</v>
      </c>
      <c r="N916" s="7" t="str">
        <f aca="false">TRIM(SUBSTITUTE(SUBSTITUTE(SUBSTITUTE(" "&amp;TRIM(SUBSTITUTE(SUBSTITUTE(SUBSTITUTE(SUBSTITUTE(SUBSTITUTE(SUBSTITUTE(SUBSTITUTE(SUBSTITUTE(SUBSTITUTE(SUBSTITUTE(SUBSTITUTE(SUBSTITUTE(SUBSTITUTE(SUBSTITUTE(SUBSTITUTE(UPPER(TRIM(A916)),"[MEMBER]",""),"{MEMBER}",""),"[MEMBER}",""),"MEMBER]",""),"(A)",""),"""",""),"“",""),"”",""),".",""),":",""),",",""),"–"," "),"-"," "),"/"," "),"&amp;"," AND "))&amp;" "," THE "," ")," TOTAL "," ")," OPERATIONS "," "))</f>
        <v>LEBANON</v>
      </c>
      <c r="O916" s="17" t="str">
        <f aca="false">IF(COUNTIFS($N$2:$N$2000,N916,$D$2:$D$2000,"&lt;&gt;"&amp;D916)&gt;0,"CONFLICT","")</f>
        <v/>
      </c>
      <c r="P916" s="7"/>
    </row>
    <row r="917" customFormat="false" ht="15" hidden="false" customHeight="false" outlineLevel="0" collapsed="false">
      <c r="A917" s="7" t="s">
        <v>823</v>
      </c>
      <c r="B917" s="7" t="s">
        <v>1879</v>
      </c>
      <c r="C917" s="7"/>
      <c r="D917" s="6" t="s">
        <v>823</v>
      </c>
      <c r="E917" s="6" t="s">
        <v>1880</v>
      </c>
      <c r="F917" s="7" t="str">
        <f aca="false">IF($D917="","",IFERROR(IF(INDEX(Hierarchy!$B$2:$B$1295,MATCH($D917,Hierarchy!$A$2:$A$1295,0))="","",INDEX(Hierarchy!$B$2:$B$1295,MATCH($D917,Hierarchy!$A$2:$A$1295,0))),"NODE NOT FOUND"))</f>
        <v>State/Province</v>
      </c>
      <c r="G917" s="7" t="str">
        <f aca="false">IF($D917="","",IFERROR(IF(INDEX(Hierarchy!$D$2:$D$1295,MATCH($D917,Hierarchy!$A$2:$A$1295,0))="","",INDEX(Hierarchy!$D$2:$D$1295,MATCH($D917,Hierarchy!$A$2:$A$1295,0))),"NODE NOT FOUND"))</f>
        <v>EMEA</v>
      </c>
      <c r="H917" s="7" t="str">
        <f aca="false">IF($D917="","",IFERROR(IF(INDEX(Hierarchy!$E$2:$E$1295,MATCH($D917,Hierarchy!$A$2:$A$1295,0))="","",INDEX(Hierarchy!$E$2:$E$1295,MATCH($D917,Hierarchy!$A$2:$A$1295,0))),"NODE NOT FOUND"))</f>
        <v>Europe</v>
      </c>
      <c r="I917" s="7" t="str">
        <f aca="false">IF($D917="","",IFERROR(IF(INDEX(Hierarchy!$F$2:$F$1295,MATCH($D917,Hierarchy!$A$2:$A$1295,0))="","",INDEX(Hierarchy!$F$2:$F$1295,MATCH($D917,Hierarchy!$A$2:$A$1295,0))),"NODE NOT FOUND"))</f>
        <v>Ireland</v>
      </c>
      <c r="J917" s="7" t="str">
        <f aca="false">IF($D917="","",IFERROR(IF(INDEX(Hierarchy!$G$2:$G$1295,MATCH($D917,Hierarchy!$A$2:$A$1295,0))="","",INDEX(Hierarchy!$G$2:$G$1295,MATCH($D917,Hierarchy!$A$2:$A$1295,0))),"NODE NOT FOUND"))</f>
        <v>IRL</v>
      </c>
      <c r="K917" s="7" t="str">
        <f aca="false">IF($D917="","",IFERROR(IF(INDEX(Hierarchy!$H$2:$H$1295,MATCH($D917,Hierarchy!$A$2:$A$1295,0))="","",INDEX(Hierarchy!$H$2:$H$1295,MATCH($D917,Hierarchy!$A$2:$A$1295,0))),"NODE NOT FOUND"))</f>
        <v>Leinster</v>
      </c>
      <c r="L917" s="7" t="str">
        <f aca="false">IF($D917="","",IFERROR(IF(INDEX(Hierarchy!$I$2:$I$1295,MATCH($D917,Hierarchy!$A$2:$A$1295,0))="","",INDEX(Hierarchy!$I$2:$I$1295,MATCH($D917,Hierarchy!$A$2:$A$1295,0))),"NODE NOT FOUND"))</f>
        <v/>
      </c>
      <c r="M917" s="17" t="str">
        <f aca="false">IF(B917="Pre-seeded","Pre-seeded",IF(B917="Review 2026-09-16","Added from review",IF(C917="","New",IF(C917=D917,"","Changed"))))</f>
        <v>Pre-seeded</v>
      </c>
      <c r="N917" s="7" t="str">
        <f aca="false">TRIM(SUBSTITUTE(SUBSTITUTE(SUBSTITUTE(" "&amp;TRIM(SUBSTITUTE(SUBSTITUTE(SUBSTITUTE(SUBSTITUTE(SUBSTITUTE(SUBSTITUTE(SUBSTITUTE(SUBSTITUTE(SUBSTITUTE(SUBSTITUTE(SUBSTITUTE(SUBSTITUTE(SUBSTITUTE(SUBSTITUTE(SUBSTITUTE(UPPER(TRIM(A917)),"[MEMBER]",""),"{MEMBER}",""),"[MEMBER}",""),"MEMBER]",""),"(A)",""),"""",""),"“",""),"”",""),".",""),":",""),",",""),"–"," "),"-"," "),"/"," "),"&amp;"," AND "))&amp;" "," THE "," ")," TOTAL "," ")," OPERATIONS "," "))</f>
        <v>LEINSTER</v>
      </c>
      <c r="O917" s="17" t="str">
        <f aca="false">IF(COUNTIFS($N$2:$N$2000,N917,$D$2:$D$2000,"&lt;&gt;"&amp;D917)&gt;0,"CONFLICT","")</f>
        <v/>
      </c>
      <c r="P917" s="7"/>
    </row>
    <row r="918" customFormat="false" ht="15" hidden="false" customHeight="false" outlineLevel="0" collapsed="false">
      <c r="A918" s="7" t="s">
        <v>1241</v>
      </c>
      <c r="B918" s="7" t="s">
        <v>1882</v>
      </c>
      <c r="C918" s="7" t="s">
        <v>1241</v>
      </c>
      <c r="D918" s="6" t="s">
        <v>1241</v>
      </c>
      <c r="E918" s="6" t="s">
        <v>1880</v>
      </c>
      <c r="F918" s="7" t="str">
        <f aca="false">IF($D918="","",IFERROR(IF(INDEX(Hierarchy!$B$2:$B$1295,MATCH($D918,Hierarchy!$A$2:$A$1295,0))="","",INDEX(Hierarchy!$B$2:$B$1295,MATCH($D918,Hierarchy!$A$2:$A$1295,0))),"NODE NOT FOUND"))</f>
        <v>Country</v>
      </c>
      <c r="G918" s="7" t="str">
        <f aca="false">IF($D918="","",IFERROR(IF(INDEX(Hierarchy!$D$2:$D$1295,MATCH($D918,Hierarchy!$A$2:$A$1295,0))="","",INDEX(Hierarchy!$D$2:$D$1295,MATCH($D918,Hierarchy!$A$2:$A$1295,0))),"NODE NOT FOUND"))</f>
        <v>EMEA</v>
      </c>
      <c r="H918" s="7" t="str">
        <f aca="false">IF($D918="","",IFERROR(IF(INDEX(Hierarchy!$E$2:$E$1295,MATCH($D918,Hierarchy!$A$2:$A$1295,0))="","",INDEX(Hierarchy!$E$2:$E$1295,MATCH($D918,Hierarchy!$A$2:$A$1295,0))),"NODE NOT FOUND"))</f>
        <v>Africa</v>
      </c>
      <c r="I918" s="7" t="str">
        <f aca="false">IF($D918="","",IFERROR(IF(INDEX(Hierarchy!$F$2:$F$1295,MATCH($D918,Hierarchy!$A$2:$A$1295,0))="","",INDEX(Hierarchy!$F$2:$F$1295,MATCH($D918,Hierarchy!$A$2:$A$1295,0))),"NODE NOT FOUND"))</f>
        <v>Lesotho</v>
      </c>
      <c r="J918" s="7" t="str">
        <f aca="false">IF($D918="","",IFERROR(IF(INDEX(Hierarchy!$G$2:$G$1295,MATCH($D918,Hierarchy!$A$2:$A$1295,0))="","",INDEX(Hierarchy!$G$2:$G$1295,MATCH($D918,Hierarchy!$A$2:$A$1295,0))),"NODE NOT FOUND"))</f>
        <v>LSO</v>
      </c>
      <c r="K918" s="7" t="str">
        <f aca="false">IF($D918="","",IFERROR(IF(INDEX(Hierarchy!$H$2:$H$1295,MATCH($D918,Hierarchy!$A$2:$A$1295,0))="","",INDEX(Hierarchy!$H$2:$H$1295,MATCH($D918,Hierarchy!$A$2:$A$1295,0))),"NODE NOT FOUND"))</f>
        <v/>
      </c>
      <c r="L918" s="7" t="str">
        <f aca="false">IF($D918="","",IFERROR(IF(INDEX(Hierarchy!$I$2:$I$1295,MATCH($D918,Hierarchy!$A$2:$A$1295,0))="","",INDEX(Hierarchy!$I$2:$I$1295,MATCH($D918,Hierarchy!$A$2:$A$1295,0))),"NODE NOT FOUND"))</f>
        <v/>
      </c>
      <c r="M918" s="17" t="str">
        <f aca="false">IF(B918="Pre-seeded","Pre-seeded",IF(B918="Review 2026-09-16","Added from review",IF(C918="","New",IF(C918=D918,"","Changed"))))</f>
        <v/>
      </c>
      <c r="N918" s="7" t="str">
        <f aca="false">TRIM(SUBSTITUTE(SUBSTITUTE(SUBSTITUTE(" "&amp;TRIM(SUBSTITUTE(SUBSTITUTE(SUBSTITUTE(SUBSTITUTE(SUBSTITUTE(SUBSTITUTE(SUBSTITUTE(SUBSTITUTE(SUBSTITUTE(SUBSTITUTE(SUBSTITUTE(SUBSTITUTE(SUBSTITUTE(SUBSTITUTE(SUBSTITUTE(UPPER(TRIM(A918)),"[MEMBER]",""),"{MEMBER}",""),"[MEMBER}",""),"MEMBER]",""),"(A)",""),"""",""),"“",""),"”",""),".",""),":",""),",",""),"–"," "),"-"," "),"/"," "),"&amp;"," AND "))&amp;" "," THE "," ")," TOTAL "," ")," OPERATIONS "," "))</f>
        <v>LESOTHO</v>
      </c>
      <c r="O918" s="17" t="str">
        <f aca="false">IF(COUNTIFS($N$2:$N$2000,N918,$D$2:$D$2000,"&lt;&gt;"&amp;D918)&gt;0,"CONFLICT","")</f>
        <v/>
      </c>
      <c r="P918" s="7"/>
    </row>
    <row r="919" customFormat="false" ht="15" hidden="false" customHeight="false" outlineLevel="0" collapsed="false">
      <c r="A919" s="7" t="s">
        <v>912</v>
      </c>
      <c r="B919" s="7" t="s">
        <v>1879</v>
      </c>
      <c r="C919" s="7"/>
      <c r="D919" s="6" t="s">
        <v>912</v>
      </c>
      <c r="E919" s="6" t="s">
        <v>1880</v>
      </c>
      <c r="F919" s="7" t="str">
        <f aca="false">IF($D919="","",IFERROR(IF(INDEX(Hierarchy!$B$2:$B$1295,MATCH($D919,Hierarchy!$A$2:$A$1295,0))="","",INDEX(Hierarchy!$B$2:$B$1295,MATCH($D919,Hierarchy!$A$2:$A$1295,0))),"NODE NOT FOUND"))</f>
        <v>State/Province</v>
      </c>
      <c r="G919" s="7" t="str">
        <f aca="false">IF($D919="","",IFERROR(IF(INDEX(Hierarchy!$D$2:$D$1295,MATCH($D919,Hierarchy!$A$2:$A$1295,0))="","",INDEX(Hierarchy!$D$2:$D$1295,MATCH($D919,Hierarchy!$A$2:$A$1295,0))),"NODE NOT FOUND"))</f>
        <v>EMEA</v>
      </c>
      <c r="H919" s="7" t="str">
        <f aca="false">IF($D919="","",IFERROR(IF(INDEX(Hierarchy!$E$2:$E$1295,MATCH($D919,Hierarchy!$A$2:$A$1295,0))="","",INDEX(Hierarchy!$E$2:$E$1295,MATCH($D919,Hierarchy!$A$2:$A$1295,0))),"NODE NOT FOUND"))</f>
        <v>Europe</v>
      </c>
      <c r="I919" s="7" t="str">
        <f aca="false">IF($D919="","",IFERROR(IF(INDEX(Hierarchy!$F$2:$F$1295,MATCH($D919,Hierarchy!$A$2:$A$1295,0))="","",INDEX(Hierarchy!$F$2:$F$1295,MATCH($D919,Hierarchy!$A$2:$A$1295,0))),"NODE NOT FOUND"))</f>
        <v>Poland</v>
      </c>
      <c r="J919" s="7" t="str">
        <f aca="false">IF($D919="","",IFERROR(IF(INDEX(Hierarchy!$G$2:$G$1295,MATCH($D919,Hierarchy!$A$2:$A$1295,0))="","",INDEX(Hierarchy!$G$2:$G$1295,MATCH($D919,Hierarchy!$A$2:$A$1295,0))),"NODE NOT FOUND"))</f>
        <v>POL</v>
      </c>
      <c r="K919" s="7" t="str">
        <f aca="false">IF($D919="","",IFERROR(IF(INDEX(Hierarchy!$H$2:$H$1295,MATCH($D919,Hierarchy!$A$2:$A$1295,0))="","",INDEX(Hierarchy!$H$2:$H$1295,MATCH($D919,Hierarchy!$A$2:$A$1295,0))),"NODE NOT FOUND"))</f>
        <v>Lesser Poland</v>
      </c>
      <c r="L919" s="7" t="str">
        <f aca="false">IF($D919="","",IFERROR(IF(INDEX(Hierarchy!$I$2:$I$1295,MATCH($D919,Hierarchy!$A$2:$A$1295,0))="","",INDEX(Hierarchy!$I$2:$I$1295,MATCH($D919,Hierarchy!$A$2:$A$1295,0))),"NODE NOT FOUND"))</f>
        <v/>
      </c>
      <c r="M919" s="17" t="str">
        <f aca="false">IF(B919="Pre-seeded","Pre-seeded",IF(B919="Review 2026-09-16","Added from review",IF(C919="","New",IF(C919=D919,"","Changed"))))</f>
        <v>Pre-seeded</v>
      </c>
      <c r="N919" s="7" t="str">
        <f aca="false">TRIM(SUBSTITUTE(SUBSTITUTE(SUBSTITUTE(" "&amp;TRIM(SUBSTITUTE(SUBSTITUTE(SUBSTITUTE(SUBSTITUTE(SUBSTITUTE(SUBSTITUTE(SUBSTITUTE(SUBSTITUTE(SUBSTITUTE(SUBSTITUTE(SUBSTITUTE(SUBSTITUTE(SUBSTITUTE(SUBSTITUTE(SUBSTITUTE(UPPER(TRIM(A919)),"[MEMBER]",""),"{MEMBER}",""),"[MEMBER}",""),"MEMBER]",""),"(A)",""),"""",""),"“",""),"”",""),".",""),":",""),",",""),"–"," "),"-"," "),"/"," "),"&amp;"," AND "))&amp;" "," THE "," ")," TOTAL "," ")," OPERATIONS "," "))</f>
        <v>LESSER POLAND</v>
      </c>
      <c r="O919" s="17" t="str">
        <f aca="false">IF(COUNTIFS($N$2:$N$2000,N919,$D$2:$D$2000,"&lt;&gt;"&amp;D919)&gt;0,"CONFLICT","")</f>
        <v/>
      </c>
      <c r="P919" s="7"/>
    </row>
    <row r="920" customFormat="false" ht="15" hidden="false" customHeight="false" outlineLevel="0" collapsed="false">
      <c r="A920" s="7" t="s">
        <v>1033</v>
      </c>
      <c r="B920" s="7" t="s">
        <v>1879</v>
      </c>
      <c r="C920" s="7"/>
      <c r="D920" s="6" t="s">
        <v>1033</v>
      </c>
      <c r="E920" s="6" t="s">
        <v>1880</v>
      </c>
      <c r="F920" s="7" t="str">
        <f aca="false">IF($D920="","",IFERROR(IF(INDEX(Hierarchy!$B$2:$B$1295,MATCH($D920,Hierarchy!$A$2:$A$1295,0))="","",INDEX(Hierarchy!$B$2:$B$1295,MATCH($D920,Hierarchy!$A$2:$A$1295,0))),"NODE NOT FOUND"))</f>
        <v>Sub-region component</v>
      </c>
      <c r="G920" s="7" t="str">
        <f aca="false">IF($D920="","",IFERROR(IF(INDEX(Hierarchy!$D$2:$D$1295,MATCH($D920,Hierarchy!$A$2:$A$1295,0))="","",INDEX(Hierarchy!$D$2:$D$1295,MATCH($D920,Hierarchy!$A$2:$A$1295,0))),"NODE NOT FOUND"))</f>
        <v>EMEA</v>
      </c>
      <c r="H920" s="7" t="str">
        <f aca="false">IF($D920="","",IFERROR(IF(INDEX(Hierarchy!$E$2:$E$1295,MATCH($D920,Hierarchy!$A$2:$A$1295,0))="","",INDEX(Hierarchy!$E$2:$E$1295,MATCH($D920,Hierarchy!$A$2:$A$1295,0))),"NODE NOT FOUND"))</f>
        <v>Middle East</v>
      </c>
      <c r="I920" s="7" t="str">
        <f aca="false">IF($D920="","",IFERROR(IF(INDEX(Hierarchy!$F$2:$F$1295,MATCH($D920,Hierarchy!$A$2:$A$1295,0))="","",INDEX(Hierarchy!$F$2:$F$1295,MATCH($D920,Hierarchy!$A$2:$A$1295,0))),"NODE NOT FOUND"))</f>
        <v/>
      </c>
      <c r="J920" s="7" t="str">
        <f aca="false">IF($D920="","",IFERROR(IF(INDEX(Hierarchy!$G$2:$G$1295,MATCH($D920,Hierarchy!$A$2:$A$1295,0))="","",INDEX(Hierarchy!$G$2:$G$1295,MATCH($D920,Hierarchy!$A$2:$A$1295,0))),"NODE NOT FOUND"))</f>
        <v/>
      </c>
      <c r="K920" s="7" t="str">
        <f aca="false">IF($D920="","",IFERROR(IF(INDEX(Hierarchy!$H$2:$H$1295,MATCH($D920,Hierarchy!$A$2:$A$1295,0))="","",INDEX(Hierarchy!$H$2:$H$1295,MATCH($D920,Hierarchy!$A$2:$A$1295,0))),"NODE NOT FOUND"))</f>
        <v/>
      </c>
      <c r="L920" s="7" t="str">
        <f aca="false">IF($D920="","",IFERROR(IF(INDEX(Hierarchy!$I$2:$I$1295,MATCH($D920,Hierarchy!$A$2:$A$1295,0))="","",INDEX(Hierarchy!$I$2:$I$1295,MATCH($D920,Hierarchy!$A$2:$A$1295,0))),"NODE NOT FOUND"))</f>
        <v/>
      </c>
      <c r="M920" s="17" t="str">
        <f aca="false">IF(B920="Pre-seeded","Pre-seeded",IF(B920="Review 2026-09-16","Added from review",IF(C920="","New",IF(C920=D920,"","Changed"))))</f>
        <v>Pre-seeded</v>
      </c>
      <c r="N920" s="7" t="str">
        <f aca="false">TRIM(SUBSTITUTE(SUBSTITUTE(SUBSTITUTE(" "&amp;TRIM(SUBSTITUTE(SUBSTITUTE(SUBSTITUTE(SUBSTITUTE(SUBSTITUTE(SUBSTITUTE(SUBSTITUTE(SUBSTITUTE(SUBSTITUTE(SUBSTITUTE(SUBSTITUTE(SUBSTITUTE(SUBSTITUTE(SUBSTITUTE(SUBSTITUTE(UPPER(TRIM(A920)),"[MEMBER]",""),"{MEMBER}",""),"[MEMBER}",""),"MEMBER]",""),"(A)",""),"""",""),"“",""),"”",""),".",""),":",""),",",""),"–"," "),"-"," "),"/"," "),"&amp;"," AND "))&amp;" "," THE "," ")," TOTAL "," ")," OPERATIONS "," "))</f>
        <v>LEVANT</v>
      </c>
      <c r="O920" s="17" t="str">
        <f aca="false">IF(COUNTIFS($N$2:$N$2000,N920,$D$2:$D$2000,"&lt;&gt;"&amp;D920)&gt;0,"CONFLICT","")</f>
        <v/>
      </c>
      <c r="P920" s="7"/>
    </row>
    <row r="921" customFormat="false" ht="15" hidden="false" customHeight="false" outlineLevel="0" collapsed="false">
      <c r="A921" s="7" t="s">
        <v>1527</v>
      </c>
      <c r="B921" s="7" t="s">
        <v>1879</v>
      </c>
      <c r="C921" s="7"/>
      <c r="D921" s="6" t="s">
        <v>1527</v>
      </c>
      <c r="E921" s="6" t="s">
        <v>1880</v>
      </c>
      <c r="F921" s="7" t="str">
        <f aca="false">IF($D921="","",IFERROR(IF(INDEX(Hierarchy!$B$2:$B$1295,MATCH($D921,Hierarchy!$A$2:$A$1295,0))="","",INDEX(Hierarchy!$B$2:$B$1295,MATCH($D921,Hierarchy!$A$2:$A$1295,0))),"NODE NOT FOUND"))</f>
        <v>State/Province</v>
      </c>
      <c r="G921" s="7" t="str">
        <f aca="false">IF($D921="","",IFERROR(IF(INDEX(Hierarchy!$D$2:$D$1295,MATCH($D921,Hierarchy!$A$2:$A$1295,0))="","",INDEX(Hierarchy!$D$2:$D$1295,MATCH($D921,Hierarchy!$A$2:$A$1295,0))),"NODE NOT FOUND"))</f>
        <v>APAC</v>
      </c>
      <c r="H921" s="7" t="str">
        <f aca="false">IF($D921="","",IFERROR(IF(INDEX(Hierarchy!$E$2:$E$1295,MATCH($D921,Hierarchy!$A$2:$A$1295,0))="","",INDEX(Hierarchy!$E$2:$E$1295,MATCH($D921,Hierarchy!$A$2:$A$1295,0))),"NODE NOT FOUND"))</f>
        <v>East Asia</v>
      </c>
      <c r="I921" s="7" t="str">
        <f aca="false">IF($D921="","",IFERROR(IF(INDEX(Hierarchy!$F$2:$F$1295,MATCH($D921,Hierarchy!$A$2:$A$1295,0))="","",INDEX(Hierarchy!$F$2:$F$1295,MATCH($D921,Hierarchy!$A$2:$A$1295,0))),"NODE NOT FOUND"))</f>
        <v>China</v>
      </c>
      <c r="J921" s="7" t="str">
        <f aca="false">IF($D921="","",IFERROR(IF(INDEX(Hierarchy!$G$2:$G$1295,MATCH($D921,Hierarchy!$A$2:$A$1295,0))="","",INDEX(Hierarchy!$G$2:$G$1295,MATCH($D921,Hierarchy!$A$2:$A$1295,0))),"NODE NOT FOUND"))</f>
        <v>CHN</v>
      </c>
      <c r="K921" s="7" t="str">
        <f aca="false">IF($D921="","",IFERROR(IF(INDEX(Hierarchy!$H$2:$H$1295,MATCH($D921,Hierarchy!$A$2:$A$1295,0))="","",INDEX(Hierarchy!$H$2:$H$1295,MATCH($D921,Hierarchy!$A$2:$A$1295,0))),"NODE NOT FOUND"))</f>
        <v>Liaoning</v>
      </c>
      <c r="L921" s="7" t="str">
        <f aca="false">IF($D921="","",IFERROR(IF(INDEX(Hierarchy!$I$2:$I$1295,MATCH($D921,Hierarchy!$A$2:$A$1295,0))="","",INDEX(Hierarchy!$I$2:$I$1295,MATCH($D921,Hierarchy!$A$2:$A$1295,0))),"NODE NOT FOUND"))</f>
        <v/>
      </c>
      <c r="M921" s="17" t="str">
        <f aca="false">IF(B921="Pre-seeded","Pre-seeded",IF(B921="Review 2026-09-16","Added from review",IF(C921="","New",IF(C921=D921,"","Changed"))))</f>
        <v>Pre-seeded</v>
      </c>
      <c r="N921" s="7" t="str">
        <f aca="false">TRIM(SUBSTITUTE(SUBSTITUTE(SUBSTITUTE(" "&amp;TRIM(SUBSTITUTE(SUBSTITUTE(SUBSTITUTE(SUBSTITUTE(SUBSTITUTE(SUBSTITUTE(SUBSTITUTE(SUBSTITUTE(SUBSTITUTE(SUBSTITUTE(SUBSTITUTE(SUBSTITUTE(SUBSTITUTE(SUBSTITUTE(SUBSTITUTE(UPPER(TRIM(A921)),"[MEMBER]",""),"{MEMBER}",""),"[MEMBER}",""),"MEMBER]",""),"(A)",""),"""",""),"“",""),"”",""),".",""),":",""),",",""),"–"," "),"-"," "),"/"," "),"&amp;"," AND "))&amp;" "," THE "," ")," TOTAL "," ")," OPERATIONS "," "))</f>
        <v>LIAONING</v>
      </c>
      <c r="O921" s="17" t="str">
        <f aca="false">IF(COUNTIFS($N$2:$N$2000,N921,$D$2:$D$2000,"&lt;&gt;"&amp;D921)&gt;0,"CONFLICT","")</f>
        <v/>
      </c>
      <c r="P921" s="7"/>
    </row>
    <row r="922" customFormat="false" ht="15" hidden="false" customHeight="false" outlineLevel="0" collapsed="false">
      <c r="A922" s="7" t="s">
        <v>1244</v>
      </c>
      <c r="B922" s="7" t="s">
        <v>1882</v>
      </c>
      <c r="C922" s="7" t="s">
        <v>1244</v>
      </c>
      <c r="D922" s="6" t="s">
        <v>1244</v>
      </c>
      <c r="E922" s="6" t="s">
        <v>1880</v>
      </c>
      <c r="F922" s="7" t="str">
        <f aca="false">IF($D922="","",IFERROR(IF(INDEX(Hierarchy!$B$2:$B$1295,MATCH($D922,Hierarchy!$A$2:$A$1295,0))="","",INDEX(Hierarchy!$B$2:$B$1295,MATCH($D922,Hierarchy!$A$2:$A$1295,0))),"NODE NOT FOUND"))</f>
        <v>Country</v>
      </c>
      <c r="G922" s="7" t="str">
        <f aca="false">IF($D922="","",IFERROR(IF(INDEX(Hierarchy!$D$2:$D$1295,MATCH($D922,Hierarchy!$A$2:$A$1295,0))="","",INDEX(Hierarchy!$D$2:$D$1295,MATCH($D922,Hierarchy!$A$2:$A$1295,0))),"NODE NOT FOUND"))</f>
        <v>EMEA</v>
      </c>
      <c r="H922" s="7" t="str">
        <f aca="false">IF($D922="","",IFERROR(IF(INDEX(Hierarchy!$E$2:$E$1295,MATCH($D922,Hierarchy!$A$2:$A$1295,0))="","",INDEX(Hierarchy!$E$2:$E$1295,MATCH($D922,Hierarchy!$A$2:$A$1295,0))),"NODE NOT FOUND"))</f>
        <v>Africa</v>
      </c>
      <c r="I922" s="7" t="str">
        <f aca="false">IF($D922="","",IFERROR(IF(INDEX(Hierarchy!$F$2:$F$1295,MATCH($D922,Hierarchy!$A$2:$A$1295,0))="","",INDEX(Hierarchy!$F$2:$F$1295,MATCH($D922,Hierarchy!$A$2:$A$1295,0))),"NODE NOT FOUND"))</f>
        <v>Liberia</v>
      </c>
      <c r="J922" s="7" t="str">
        <f aca="false">IF($D922="","",IFERROR(IF(INDEX(Hierarchy!$G$2:$G$1295,MATCH($D922,Hierarchy!$A$2:$A$1295,0))="","",INDEX(Hierarchy!$G$2:$G$1295,MATCH($D922,Hierarchy!$A$2:$A$1295,0))),"NODE NOT FOUND"))</f>
        <v>LBR</v>
      </c>
      <c r="K922" s="7" t="str">
        <f aca="false">IF($D922="","",IFERROR(IF(INDEX(Hierarchy!$H$2:$H$1295,MATCH($D922,Hierarchy!$A$2:$A$1295,0))="","",INDEX(Hierarchy!$H$2:$H$1295,MATCH($D922,Hierarchy!$A$2:$A$1295,0))),"NODE NOT FOUND"))</f>
        <v/>
      </c>
      <c r="L922" s="7" t="str">
        <f aca="false">IF($D922="","",IFERROR(IF(INDEX(Hierarchy!$I$2:$I$1295,MATCH($D922,Hierarchy!$A$2:$A$1295,0))="","",INDEX(Hierarchy!$I$2:$I$1295,MATCH($D922,Hierarchy!$A$2:$A$1295,0))),"NODE NOT FOUND"))</f>
        <v/>
      </c>
      <c r="M922" s="17" t="str">
        <f aca="false">IF(B922="Pre-seeded","Pre-seeded",IF(B922="Review 2026-09-16","Added from review",IF(C922="","New",IF(C922=D922,"","Changed"))))</f>
        <v/>
      </c>
      <c r="N922" s="7" t="str">
        <f aca="false">TRIM(SUBSTITUTE(SUBSTITUTE(SUBSTITUTE(" "&amp;TRIM(SUBSTITUTE(SUBSTITUTE(SUBSTITUTE(SUBSTITUTE(SUBSTITUTE(SUBSTITUTE(SUBSTITUTE(SUBSTITUTE(SUBSTITUTE(SUBSTITUTE(SUBSTITUTE(SUBSTITUTE(SUBSTITUTE(SUBSTITUTE(SUBSTITUTE(UPPER(TRIM(A922)),"[MEMBER]",""),"{MEMBER}",""),"[MEMBER}",""),"MEMBER]",""),"(A)",""),"""",""),"“",""),"”",""),".",""),":",""),",",""),"–"," "),"-"," "),"/"," "),"&amp;"," AND "))&amp;" "," THE "," ")," TOTAL "," ")," OPERATIONS "," "))</f>
        <v>LIBERIA</v>
      </c>
      <c r="O922" s="17" t="str">
        <f aca="false">IF(COUNTIFS($N$2:$N$2000,N922,$D$2:$D$2000,"&lt;&gt;"&amp;D922)&gt;0,"CONFLICT","")</f>
        <v/>
      </c>
      <c r="P922" s="7"/>
    </row>
    <row r="923" customFormat="false" ht="15" hidden="false" customHeight="false" outlineLevel="0" collapsed="false">
      <c r="A923" s="7" t="s">
        <v>1246</v>
      </c>
      <c r="B923" s="7" t="s">
        <v>1879</v>
      </c>
      <c r="C923" s="7"/>
      <c r="D923" s="6" t="s">
        <v>1246</v>
      </c>
      <c r="E923" s="6" t="s">
        <v>1880</v>
      </c>
      <c r="F923" s="7" t="str">
        <f aca="false">IF($D923="","",IFERROR(IF(INDEX(Hierarchy!$B$2:$B$1295,MATCH($D923,Hierarchy!$A$2:$A$1295,0))="","",INDEX(Hierarchy!$B$2:$B$1295,MATCH($D923,Hierarchy!$A$2:$A$1295,0))),"NODE NOT FOUND"))</f>
        <v>Country</v>
      </c>
      <c r="G923" s="7" t="str">
        <f aca="false">IF($D923="","",IFERROR(IF(INDEX(Hierarchy!$D$2:$D$1295,MATCH($D923,Hierarchy!$A$2:$A$1295,0))="","",INDEX(Hierarchy!$D$2:$D$1295,MATCH($D923,Hierarchy!$A$2:$A$1295,0))),"NODE NOT FOUND"))</f>
        <v>EMEA</v>
      </c>
      <c r="H923" s="7" t="str">
        <f aca="false">IF($D923="","",IFERROR(IF(INDEX(Hierarchy!$E$2:$E$1295,MATCH($D923,Hierarchy!$A$2:$A$1295,0))="","",INDEX(Hierarchy!$E$2:$E$1295,MATCH($D923,Hierarchy!$A$2:$A$1295,0))),"NODE NOT FOUND"))</f>
        <v>Africa</v>
      </c>
      <c r="I923" s="7" t="str">
        <f aca="false">IF($D923="","",IFERROR(IF(INDEX(Hierarchy!$F$2:$F$1295,MATCH($D923,Hierarchy!$A$2:$A$1295,0))="","",INDEX(Hierarchy!$F$2:$F$1295,MATCH($D923,Hierarchy!$A$2:$A$1295,0))),"NODE NOT FOUND"))</f>
        <v>Libya</v>
      </c>
      <c r="J923" s="7" t="str">
        <f aca="false">IF($D923="","",IFERROR(IF(INDEX(Hierarchy!$G$2:$G$1295,MATCH($D923,Hierarchy!$A$2:$A$1295,0))="","",INDEX(Hierarchy!$G$2:$G$1295,MATCH($D923,Hierarchy!$A$2:$A$1295,0))),"NODE NOT FOUND"))</f>
        <v>LBY</v>
      </c>
      <c r="K923" s="7" t="str">
        <f aca="false">IF($D923="","",IFERROR(IF(INDEX(Hierarchy!$H$2:$H$1295,MATCH($D923,Hierarchy!$A$2:$A$1295,0))="","",INDEX(Hierarchy!$H$2:$H$1295,MATCH($D923,Hierarchy!$A$2:$A$1295,0))),"NODE NOT FOUND"))</f>
        <v/>
      </c>
      <c r="L923" s="7" t="str">
        <f aca="false">IF($D923="","",IFERROR(IF(INDEX(Hierarchy!$I$2:$I$1295,MATCH($D923,Hierarchy!$A$2:$A$1295,0))="","",INDEX(Hierarchy!$I$2:$I$1295,MATCH($D923,Hierarchy!$A$2:$A$1295,0))),"NODE NOT FOUND"))</f>
        <v/>
      </c>
      <c r="M923" s="17" t="str">
        <f aca="false">IF(B923="Pre-seeded","Pre-seeded",IF(B923="Review 2026-09-16","Added from review",IF(C923="","New",IF(C923=D923,"","Changed"))))</f>
        <v>Pre-seeded</v>
      </c>
      <c r="N923" s="7" t="str">
        <f aca="false">TRIM(SUBSTITUTE(SUBSTITUTE(SUBSTITUTE(" "&amp;TRIM(SUBSTITUTE(SUBSTITUTE(SUBSTITUTE(SUBSTITUTE(SUBSTITUTE(SUBSTITUTE(SUBSTITUTE(SUBSTITUTE(SUBSTITUTE(SUBSTITUTE(SUBSTITUTE(SUBSTITUTE(SUBSTITUTE(SUBSTITUTE(SUBSTITUTE(UPPER(TRIM(A923)),"[MEMBER]",""),"{MEMBER}",""),"[MEMBER}",""),"MEMBER]",""),"(A)",""),"""",""),"“",""),"”",""),".",""),":",""),",",""),"–"," "),"-"," "),"/"," "),"&amp;"," AND "))&amp;" "," THE "," ")," TOTAL "," ")," OPERATIONS "," "))</f>
        <v>LIBYA</v>
      </c>
      <c r="O923" s="17" t="str">
        <f aca="false">IF(COUNTIFS($N$2:$N$2000,N923,$D$2:$D$2000,"&lt;&gt;"&amp;D923)&gt;0,"CONFLICT","")</f>
        <v/>
      </c>
      <c r="P923" s="7"/>
    </row>
    <row r="924" customFormat="false" ht="15" hidden="false" customHeight="false" outlineLevel="0" collapsed="false">
      <c r="A924" s="7" t="s">
        <v>865</v>
      </c>
      <c r="B924" s="7" t="s">
        <v>1879</v>
      </c>
      <c r="C924" s="7"/>
      <c r="D924" s="6" t="s">
        <v>865</v>
      </c>
      <c r="E924" s="6" t="s">
        <v>1880</v>
      </c>
      <c r="F924" s="7" t="str">
        <f aca="false">IF($D924="","",IFERROR(IF(INDEX(Hierarchy!$B$2:$B$1295,MATCH($D924,Hierarchy!$A$2:$A$1295,0))="","",INDEX(Hierarchy!$B$2:$B$1295,MATCH($D924,Hierarchy!$A$2:$A$1295,0))),"NODE NOT FOUND"))</f>
        <v>Country</v>
      </c>
      <c r="G924" s="7" t="str">
        <f aca="false">IF($D924="","",IFERROR(IF(INDEX(Hierarchy!$D$2:$D$1295,MATCH($D924,Hierarchy!$A$2:$A$1295,0))="","",INDEX(Hierarchy!$D$2:$D$1295,MATCH($D924,Hierarchy!$A$2:$A$1295,0))),"NODE NOT FOUND"))</f>
        <v>EMEA</v>
      </c>
      <c r="H924" s="7" t="str">
        <f aca="false">IF($D924="","",IFERROR(IF(INDEX(Hierarchy!$E$2:$E$1295,MATCH($D924,Hierarchy!$A$2:$A$1295,0))="","",INDEX(Hierarchy!$E$2:$E$1295,MATCH($D924,Hierarchy!$A$2:$A$1295,0))),"NODE NOT FOUND"))</f>
        <v>Europe</v>
      </c>
      <c r="I924" s="7" t="str">
        <f aca="false">IF($D924="","",IFERROR(IF(INDEX(Hierarchy!$F$2:$F$1295,MATCH($D924,Hierarchy!$A$2:$A$1295,0))="","",INDEX(Hierarchy!$F$2:$F$1295,MATCH($D924,Hierarchy!$A$2:$A$1295,0))),"NODE NOT FOUND"))</f>
        <v>Liechtenstein</v>
      </c>
      <c r="J924" s="7" t="str">
        <f aca="false">IF($D924="","",IFERROR(IF(INDEX(Hierarchy!$G$2:$G$1295,MATCH($D924,Hierarchy!$A$2:$A$1295,0))="","",INDEX(Hierarchy!$G$2:$G$1295,MATCH($D924,Hierarchy!$A$2:$A$1295,0))),"NODE NOT FOUND"))</f>
        <v>LIE</v>
      </c>
      <c r="K924" s="7" t="str">
        <f aca="false">IF($D924="","",IFERROR(IF(INDEX(Hierarchy!$H$2:$H$1295,MATCH($D924,Hierarchy!$A$2:$A$1295,0))="","",INDEX(Hierarchy!$H$2:$H$1295,MATCH($D924,Hierarchy!$A$2:$A$1295,0))),"NODE NOT FOUND"))</f>
        <v/>
      </c>
      <c r="L924" s="7" t="str">
        <f aca="false">IF($D924="","",IFERROR(IF(INDEX(Hierarchy!$I$2:$I$1295,MATCH($D924,Hierarchy!$A$2:$A$1295,0))="","",INDEX(Hierarchy!$I$2:$I$1295,MATCH($D924,Hierarchy!$A$2:$A$1295,0))),"NODE NOT FOUND"))</f>
        <v/>
      </c>
      <c r="M924" s="17" t="str">
        <f aca="false">IF(B924="Pre-seeded","Pre-seeded",IF(B924="Review 2026-09-16","Added from review",IF(C924="","New",IF(C924=D924,"","Changed"))))</f>
        <v>Pre-seeded</v>
      </c>
      <c r="N924" s="7" t="str">
        <f aca="false">TRIM(SUBSTITUTE(SUBSTITUTE(SUBSTITUTE(" "&amp;TRIM(SUBSTITUTE(SUBSTITUTE(SUBSTITUTE(SUBSTITUTE(SUBSTITUTE(SUBSTITUTE(SUBSTITUTE(SUBSTITUTE(SUBSTITUTE(SUBSTITUTE(SUBSTITUTE(SUBSTITUTE(SUBSTITUTE(SUBSTITUTE(SUBSTITUTE(UPPER(TRIM(A924)),"[MEMBER]",""),"{MEMBER}",""),"[MEMBER}",""),"MEMBER]",""),"(A)",""),"""",""),"“",""),"”",""),".",""),":",""),",",""),"–"," "),"-"," "),"/"," "),"&amp;"," AND "))&amp;" "," THE "," ")," TOTAL "," ")," OPERATIONS "," "))</f>
        <v>LIECHTENSTEIN</v>
      </c>
      <c r="O924" s="17" t="str">
        <f aca="false">IF(COUNTIFS($N$2:$N$2000,N924,$D$2:$D$2000,"&lt;&gt;"&amp;D924)&gt;0,"CONFLICT","")</f>
        <v/>
      </c>
      <c r="P924" s="7"/>
    </row>
    <row r="925" customFormat="false" ht="15" hidden="false" customHeight="false" outlineLevel="0" collapsed="false">
      <c r="A925" s="7" t="s">
        <v>841</v>
      </c>
      <c r="B925" s="7" t="s">
        <v>1879</v>
      </c>
      <c r="C925" s="7"/>
      <c r="D925" s="6" t="s">
        <v>841</v>
      </c>
      <c r="E925" s="6" t="s">
        <v>1880</v>
      </c>
      <c r="F925" s="7" t="str">
        <f aca="false">IF($D925="","",IFERROR(IF(INDEX(Hierarchy!$B$2:$B$1295,MATCH($D925,Hierarchy!$A$2:$A$1295,0))="","",INDEX(Hierarchy!$B$2:$B$1295,MATCH($D925,Hierarchy!$A$2:$A$1295,0))),"NODE NOT FOUND"))</f>
        <v>State/Province</v>
      </c>
      <c r="G925" s="7" t="str">
        <f aca="false">IF($D925="","",IFERROR(IF(INDEX(Hierarchy!$D$2:$D$1295,MATCH($D925,Hierarchy!$A$2:$A$1295,0))="","",INDEX(Hierarchy!$D$2:$D$1295,MATCH($D925,Hierarchy!$A$2:$A$1295,0))),"NODE NOT FOUND"))</f>
        <v>EMEA</v>
      </c>
      <c r="H925" s="7" t="str">
        <f aca="false">IF($D925="","",IFERROR(IF(INDEX(Hierarchy!$E$2:$E$1295,MATCH($D925,Hierarchy!$A$2:$A$1295,0))="","",INDEX(Hierarchy!$E$2:$E$1295,MATCH($D925,Hierarchy!$A$2:$A$1295,0))),"NODE NOT FOUND"))</f>
        <v>Europe</v>
      </c>
      <c r="I925" s="7" t="str">
        <f aca="false">IF($D925="","",IFERROR(IF(INDEX(Hierarchy!$F$2:$F$1295,MATCH($D925,Hierarchy!$A$2:$A$1295,0))="","",INDEX(Hierarchy!$F$2:$F$1295,MATCH($D925,Hierarchy!$A$2:$A$1295,0))),"NODE NOT FOUND"))</f>
        <v>Italy</v>
      </c>
      <c r="J925" s="7" t="str">
        <f aca="false">IF($D925="","",IFERROR(IF(INDEX(Hierarchy!$G$2:$G$1295,MATCH($D925,Hierarchy!$A$2:$A$1295,0))="","",INDEX(Hierarchy!$G$2:$G$1295,MATCH($D925,Hierarchy!$A$2:$A$1295,0))),"NODE NOT FOUND"))</f>
        <v>ITA</v>
      </c>
      <c r="K925" s="7" t="str">
        <f aca="false">IF($D925="","",IFERROR(IF(INDEX(Hierarchy!$H$2:$H$1295,MATCH($D925,Hierarchy!$A$2:$A$1295,0))="","",INDEX(Hierarchy!$H$2:$H$1295,MATCH($D925,Hierarchy!$A$2:$A$1295,0))),"NODE NOT FOUND"))</f>
        <v>Liguria</v>
      </c>
      <c r="L925" s="7" t="str">
        <f aca="false">IF($D925="","",IFERROR(IF(INDEX(Hierarchy!$I$2:$I$1295,MATCH($D925,Hierarchy!$A$2:$A$1295,0))="","",INDEX(Hierarchy!$I$2:$I$1295,MATCH($D925,Hierarchy!$A$2:$A$1295,0))),"NODE NOT FOUND"))</f>
        <v/>
      </c>
      <c r="M925" s="17" t="str">
        <f aca="false">IF(B925="Pre-seeded","Pre-seeded",IF(B925="Review 2026-09-16","Added from review",IF(C925="","New",IF(C925=D925,"","Changed"))))</f>
        <v>Pre-seeded</v>
      </c>
      <c r="N925" s="7" t="str">
        <f aca="false">TRIM(SUBSTITUTE(SUBSTITUTE(SUBSTITUTE(" "&amp;TRIM(SUBSTITUTE(SUBSTITUTE(SUBSTITUTE(SUBSTITUTE(SUBSTITUTE(SUBSTITUTE(SUBSTITUTE(SUBSTITUTE(SUBSTITUTE(SUBSTITUTE(SUBSTITUTE(SUBSTITUTE(SUBSTITUTE(SUBSTITUTE(SUBSTITUTE(UPPER(TRIM(A925)),"[MEMBER]",""),"{MEMBER}",""),"[MEMBER}",""),"MEMBER]",""),"(A)",""),"""",""),"“",""),"”",""),".",""),":",""),",",""),"–"," "),"-"," "),"/"," "),"&amp;"," AND "))&amp;" "," THE "," ")," TOTAL "," ")," OPERATIONS "," "))</f>
        <v>LIGURIA</v>
      </c>
      <c r="O925" s="17" t="str">
        <f aca="false">IF(COUNTIFS($N$2:$N$2000,N925,$D$2:$D$2000,"&lt;&gt;"&amp;D925)&gt;0,"CONFLICT","")</f>
        <v/>
      </c>
      <c r="P925" s="7"/>
    </row>
    <row r="926" customFormat="false" ht="15" hidden="false" customHeight="false" outlineLevel="0" collapsed="false">
      <c r="A926" s="7" t="s">
        <v>890</v>
      </c>
      <c r="B926" s="7" t="s">
        <v>1879</v>
      </c>
      <c r="C926" s="7"/>
      <c r="D926" s="6" t="s">
        <v>890</v>
      </c>
      <c r="E926" s="6" t="s">
        <v>1880</v>
      </c>
      <c r="F926" s="7" t="str">
        <f aca="false">IF($D926="","",IFERROR(IF(INDEX(Hierarchy!$B$2:$B$1295,MATCH($D926,Hierarchy!$A$2:$A$1295,0))="","",INDEX(Hierarchy!$B$2:$B$1295,MATCH($D926,Hierarchy!$A$2:$A$1295,0))),"NODE NOT FOUND"))</f>
        <v>State/Province</v>
      </c>
      <c r="G926" s="7" t="str">
        <f aca="false">IF($D926="","",IFERROR(IF(INDEX(Hierarchy!$D$2:$D$1295,MATCH($D926,Hierarchy!$A$2:$A$1295,0))="","",INDEX(Hierarchy!$D$2:$D$1295,MATCH($D926,Hierarchy!$A$2:$A$1295,0))),"NODE NOT FOUND"))</f>
        <v>EMEA</v>
      </c>
      <c r="H926" s="7" t="str">
        <f aca="false">IF($D926="","",IFERROR(IF(INDEX(Hierarchy!$E$2:$E$1295,MATCH($D926,Hierarchy!$A$2:$A$1295,0))="","",INDEX(Hierarchy!$E$2:$E$1295,MATCH($D926,Hierarchy!$A$2:$A$1295,0))),"NODE NOT FOUND"))</f>
        <v>Europe</v>
      </c>
      <c r="I926" s="7" t="str">
        <f aca="false">IF($D926="","",IFERROR(IF(INDEX(Hierarchy!$F$2:$F$1295,MATCH($D926,Hierarchy!$A$2:$A$1295,0))="","",INDEX(Hierarchy!$F$2:$F$1295,MATCH($D926,Hierarchy!$A$2:$A$1295,0))),"NODE NOT FOUND"))</f>
        <v>Netherlands</v>
      </c>
      <c r="J926" s="7" t="str">
        <f aca="false">IF($D926="","",IFERROR(IF(INDEX(Hierarchy!$G$2:$G$1295,MATCH($D926,Hierarchy!$A$2:$A$1295,0))="","",INDEX(Hierarchy!$G$2:$G$1295,MATCH($D926,Hierarchy!$A$2:$A$1295,0))),"NODE NOT FOUND"))</f>
        <v>NLD</v>
      </c>
      <c r="K926" s="7" t="str">
        <f aca="false">IF($D926="","",IFERROR(IF(INDEX(Hierarchy!$H$2:$H$1295,MATCH($D926,Hierarchy!$A$2:$A$1295,0))="","",INDEX(Hierarchy!$H$2:$H$1295,MATCH($D926,Hierarchy!$A$2:$A$1295,0))),"NODE NOT FOUND"))</f>
        <v>Limburg (Netherlands)</v>
      </c>
      <c r="L926" s="7" t="str">
        <f aca="false">IF($D926="","",IFERROR(IF(INDEX(Hierarchy!$I$2:$I$1295,MATCH($D926,Hierarchy!$A$2:$A$1295,0))="","",INDEX(Hierarchy!$I$2:$I$1295,MATCH($D926,Hierarchy!$A$2:$A$1295,0))),"NODE NOT FOUND"))</f>
        <v/>
      </c>
      <c r="M926" s="17" t="str">
        <f aca="false">IF(B926="Pre-seeded","Pre-seeded",IF(B926="Review 2026-09-16","Added from review",IF(C926="","New",IF(C926=D926,"","Changed"))))</f>
        <v>Pre-seeded</v>
      </c>
      <c r="N926" s="7" t="str">
        <f aca="false">TRIM(SUBSTITUTE(SUBSTITUTE(SUBSTITUTE(" "&amp;TRIM(SUBSTITUTE(SUBSTITUTE(SUBSTITUTE(SUBSTITUTE(SUBSTITUTE(SUBSTITUTE(SUBSTITUTE(SUBSTITUTE(SUBSTITUTE(SUBSTITUTE(SUBSTITUTE(SUBSTITUTE(SUBSTITUTE(SUBSTITUTE(SUBSTITUTE(UPPER(TRIM(A926)),"[MEMBER]",""),"{MEMBER}",""),"[MEMBER}",""),"MEMBER]",""),"(A)",""),"""",""),"“",""),"”",""),".",""),":",""),",",""),"–"," "),"-"," "),"/"," "),"&amp;"," AND "))&amp;" "," THE "," ")," TOTAL "," ")," OPERATIONS "," "))</f>
        <v>LIMBURG (NETHERLANDS)</v>
      </c>
      <c r="O926" s="17" t="str">
        <f aca="false">IF(COUNTIFS($N$2:$N$2000,N926,$D$2:$D$2000,"&lt;&gt;"&amp;D926)&gt;0,"CONFLICT","")</f>
        <v/>
      </c>
      <c r="P926" s="7"/>
    </row>
    <row r="927" customFormat="false" ht="15" hidden="false" customHeight="false" outlineLevel="0" collapsed="false">
      <c r="A927" s="7" t="s">
        <v>1122</v>
      </c>
      <c r="B927" s="7" t="s">
        <v>1879</v>
      </c>
      <c r="C927" s="7"/>
      <c r="D927" s="6" t="s">
        <v>1122</v>
      </c>
      <c r="E927" s="6" t="s">
        <v>1880</v>
      </c>
      <c r="F927" s="7" t="str">
        <f aca="false">IF($D927="","",IFERROR(IF(INDEX(Hierarchy!$B$2:$B$1295,MATCH($D927,Hierarchy!$A$2:$A$1295,0))="","",INDEX(Hierarchy!$B$2:$B$1295,MATCH($D927,Hierarchy!$A$2:$A$1295,0))),"NODE NOT FOUND"))</f>
        <v>State/Province</v>
      </c>
      <c r="G927" s="7" t="str">
        <f aca="false">IF($D927="","",IFERROR(IF(INDEX(Hierarchy!$D$2:$D$1295,MATCH($D927,Hierarchy!$A$2:$A$1295,0))="","",INDEX(Hierarchy!$D$2:$D$1295,MATCH($D927,Hierarchy!$A$2:$A$1295,0))),"NODE NOT FOUND"))</f>
        <v>EMEA</v>
      </c>
      <c r="H927" s="7" t="str">
        <f aca="false">IF($D927="","",IFERROR(IF(INDEX(Hierarchy!$E$2:$E$1295,MATCH($D927,Hierarchy!$A$2:$A$1295,0))="","",INDEX(Hierarchy!$E$2:$E$1295,MATCH($D927,Hierarchy!$A$2:$A$1295,0))),"NODE NOT FOUND"))</f>
        <v>Africa</v>
      </c>
      <c r="I927" s="7" t="str">
        <f aca="false">IF($D927="","",IFERROR(IF(INDEX(Hierarchy!$F$2:$F$1295,MATCH($D927,Hierarchy!$A$2:$A$1295,0))="","",INDEX(Hierarchy!$F$2:$F$1295,MATCH($D927,Hierarchy!$A$2:$A$1295,0))),"NODE NOT FOUND"))</f>
        <v>South Africa</v>
      </c>
      <c r="J927" s="7" t="str">
        <f aca="false">IF($D927="","",IFERROR(IF(INDEX(Hierarchy!$G$2:$G$1295,MATCH($D927,Hierarchy!$A$2:$A$1295,0))="","",INDEX(Hierarchy!$G$2:$G$1295,MATCH($D927,Hierarchy!$A$2:$A$1295,0))),"NODE NOT FOUND"))</f>
        <v>ZAF</v>
      </c>
      <c r="K927" s="7" t="str">
        <f aca="false">IF($D927="","",IFERROR(IF(INDEX(Hierarchy!$H$2:$H$1295,MATCH($D927,Hierarchy!$A$2:$A$1295,0))="","",INDEX(Hierarchy!$H$2:$H$1295,MATCH($D927,Hierarchy!$A$2:$A$1295,0))),"NODE NOT FOUND"))</f>
        <v>Limpopo</v>
      </c>
      <c r="L927" s="7" t="str">
        <f aca="false">IF($D927="","",IFERROR(IF(INDEX(Hierarchy!$I$2:$I$1295,MATCH($D927,Hierarchy!$A$2:$A$1295,0))="","",INDEX(Hierarchy!$I$2:$I$1295,MATCH($D927,Hierarchy!$A$2:$A$1295,0))),"NODE NOT FOUND"))</f>
        <v/>
      </c>
      <c r="M927" s="17" t="str">
        <f aca="false">IF(B927="Pre-seeded","Pre-seeded",IF(B927="Review 2026-09-16","Added from review",IF(C927="","New",IF(C927=D927,"","Changed"))))</f>
        <v>Pre-seeded</v>
      </c>
      <c r="N927" s="7" t="str">
        <f aca="false">TRIM(SUBSTITUTE(SUBSTITUTE(SUBSTITUTE(" "&amp;TRIM(SUBSTITUTE(SUBSTITUTE(SUBSTITUTE(SUBSTITUTE(SUBSTITUTE(SUBSTITUTE(SUBSTITUTE(SUBSTITUTE(SUBSTITUTE(SUBSTITUTE(SUBSTITUTE(SUBSTITUTE(SUBSTITUTE(SUBSTITUTE(SUBSTITUTE(UPPER(TRIM(A927)),"[MEMBER]",""),"{MEMBER}",""),"[MEMBER}",""),"MEMBER]",""),"(A)",""),"""",""),"“",""),"”",""),".",""),":",""),",",""),"–"," "),"-"," "),"/"," "),"&amp;"," AND "))&amp;" "," THE "," ")," TOTAL "," ")," OPERATIONS "," "))</f>
        <v>LIMPOPO</v>
      </c>
      <c r="O927" s="17" t="str">
        <f aca="false">IF(COUNTIFS($N$2:$N$2000,N927,$D$2:$D$2000,"&lt;&gt;"&amp;D927)&gt;0,"CONFLICT","")</f>
        <v/>
      </c>
      <c r="P927" s="7"/>
    </row>
    <row r="928" customFormat="false" ht="15" hidden="false" customHeight="false" outlineLevel="0" collapsed="false">
      <c r="A928" s="7" t="s">
        <v>868</v>
      </c>
      <c r="B928" s="7" t="s">
        <v>1879</v>
      </c>
      <c r="C928" s="7"/>
      <c r="D928" s="6" t="s">
        <v>868</v>
      </c>
      <c r="E928" s="6" t="s">
        <v>1880</v>
      </c>
      <c r="F928" s="7" t="str">
        <f aca="false">IF($D928="","",IFERROR(IF(INDEX(Hierarchy!$B$2:$B$1295,MATCH($D928,Hierarchy!$A$2:$A$1295,0))="","",INDEX(Hierarchy!$B$2:$B$1295,MATCH($D928,Hierarchy!$A$2:$A$1295,0))),"NODE NOT FOUND"))</f>
        <v>Country</v>
      </c>
      <c r="G928" s="7" t="str">
        <f aca="false">IF($D928="","",IFERROR(IF(INDEX(Hierarchy!$D$2:$D$1295,MATCH($D928,Hierarchy!$A$2:$A$1295,0))="","",INDEX(Hierarchy!$D$2:$D$1295,MATCH($D928,Hierarchy!$A$2:$A$1295,0))),"NODE NOT FOUND"))</f>
        <v>EMEA</v>
      </c>
      <c r="H928" s="7" t="str">
        <f aca="false">IF($D928="","",IFERROR(IF(INDEX(Hierarchy!$E$2:$E$1295,MATCH($D928,Hierarchy!$A$2:$A$1295,0))="","",INDEX(Hierarchy!$E$2:$E$1295,MATCH($D928,Hierarchy!$A$2:$A$1295,0))),"NODE NOT FOUND"))</f>
        <v>Europe</v>
      </c>
      <c r="I928" s="7" t="str">
        <f aca="false">IF($D928="","",IFERROR(IF(INDEX(Hierarchy!$F$2:$F$1295,MATCH($D928,Hierarchy!$A$2:$A$1295,0))="","",INDEX(Hierarchy!$F$2:$F$1295,MATCH($D928,Hierarchy!$A$2:$A$1295,0))),"NODE NOT FOUND"))</f>
        <v>Lithuania</v>
      </c>
      <c r="J928" s="7" t="str">
        <f aca="false">IF($D928="","",IFERROR(IF(INDEX(Hierarchy!$G$2:$G$1295,MATCH($D928,Hierarchy!$A$2:$A$1295,0))="","",INDEX(Hierarchy!$G$2:$G$1295,MATCH($D928,Hierarchy!$A$2:$A$1295,0))),"NODE NOT FOUND"))</f>
        <v>LTU</v>
      </c>
      <c r="K928" s="7" t="str">
        <f aca="false">IF($D928="","",IFERROR(IF(INDEX(Hierarchy!$H$2:$H$1295,MATCH($D928,Hierarchy!$A$2:$A$1295,0))="","",INDEX(Hierarchy!$H$2:$H$1295,MATCH($D928,Hierarchy!$A$2:$A$1295,0))),"NODE NOT FOUND"))</f>
        <v/>
      </c>
      <c r="L928" s="7" t="str">
        <f aca="false">IF($D928="","",IFERROR(IF(INDEX(Hierarchy!$I$2:$I$1295,MATCH($D928,Hierarchy!$A$2:$A$1295,0))="","",INDEX(Hierarchy!$I$2:$I$1295,MATCH($D928,Hierarchy!$A$2:$A$1295,0))),"NODE NOT FOUND"))</f>
        <v/>
      </c>
      <c r="M928" s="17" t="str">
        <f aca="false">IF(B928="Pre-seeded","Pre-seeded",IF(B928="Review 2026-09-16","Added from review",IF(C928="","New",IF(C928=D928,"","Changed"))))</f>
        <v>Pre-seeded</v>
      </c>
      <c r="N928" s="7" t="str">
        <f aca="false">TRIM(SUBSTITUTE(SUBSTITUTE(SUBSTITUTE(" "&amp;TRIM(SUBSTITUTE(SUBSTITUTE(SUBSTITUTE(SUBSTITUTE(SUBSTITUTE(SUBSTITUTE(SUBSTITUTE(SUBSTITUTE(SUBSTITUTE(SUBSTITUTE(SUBSTITUTE(SUBSTITUTE(SUBSTITUTE(SUBSTITUTE(SUBSTITUTE(UPPER(TRIM(A928)),"[MEMBER]",""),"{MEMBER}",""),"[MEMBER}",""),"MEMBER]",""),"(A)",""),"""",""),"“",""),"”",""),".",""),":",""),",",""),"–"," "),"-"," "),"/"," "),"&amp;"," AND "))&amp;" "," THE "," ")," TOTAL "," ")," OPERATIONS "," "))</f>
        <v>LITHUANIA</v>
      </c>
      <c r="O928" s="17" t="str">
        <f aca="false">IF(COUNTIFS($N$2:$N$2000,N928,$D$2:$D$2000,"&lt;&gt;"&amp;D928)&gt;0,"CONFLICT","")</f>
        <v/>
      </c>
      <c r="P928" s="7"/>
    </row>
    <row r="929" customFormat="false" ht="15" hidden="false" customHeight="false" outlineLevel="0" collapsed="false">
      <c r="A929" s="7" t="s">
        <v>2358</v>
      </c>
      <c r="B929" s="7" t="s">
        <v>1879</v>
      </c>
      <c r="C929" s="7"/>
      <c r="D929" s="6" t="s">
        <v>1829</v>
      </c>
      <c r="E929" s="6" t="s">
        <v>1880</v>
      </c>
      <c r="F929" s="7" t="str">
        <f aca="false">IF($D929="","",IFERROR(IF(INDEX(Hierarchy!$B$2:$B$1295,MATCH($D929,Hierarchy!$A$2:$A$1295,0))="","",INDEX(Hierarchy!$B$2:$B$1295,MATCH($D929,Hierarchy!$A$2:$A$1295,0))),"NODE NOT FOUND"))</f>
        <v>Reference grouping</v>
      </c>
      <c r="G929" s="7" t="str">
        <f aca="false">IF($D929="","",IFERROR(IF(INDEX(Hierarchy!$D$2:$D$1295,MATCH($D929,Hierarchy!$A$2:$A$1295,0))="","",INDEX(Hierarchy!$D$2:$D$1295,MATCH($D929,Hierarchy!$A$2:$A$1295,0))),"NODE NOT FOUND"))</f>
        <v>Reference (UN / World Bank)</v>
      </c>
      <c r="H929" s="7" t="str">
        <f aca="false">IF($D929="","",IFERROR(IF(INDEX(Hierarchy!$E$2:$E$1295,MATCH($D929,Hierarchy!$A$2:$A$1295,0))="","",INDEX(Hierarchy!$E$2:$E$1295,MATCH($D929,Hierarchy!$A$2:$A$1295,0))),"NODE NOT FOUND"))</f>
        <v/>
      </c>
      <c r="I929" s="7" t="str">
        <f aca="false">IF($D929="","",IFERROR(IF(INDEX(Hierarchy!$F$2:$F$1295,MATCH($D929,Hierarchy!$A$2:$A$1295,0))="","",INDEX(Hierarchy!$F$2:$F$1295,MATCH($D929,Hierarchy!$A$2:$A$1295,0))),"NODE NOT FOUND"))</f>
        <v/>
      </c>
      <c r="J929" s="7" t="str">
        <f aca="false">IF($D929="","",IFERROR(IF(INDEX(Hierarchy!$G$2:$G$1295,MATCH($D929,Hierarchy!$A$2:$A$1295,0))="","",INDEX(Hierarchy!$G$2:$G$1295,MATCH($D929,Hierarchy!$A$2:$A$1295,0))),"NODE NOT FOUND"))</f>
        <v/>
      </c>
      <c r="K929" s="7" t="str">
        <f aca="false">IF($D929="","",IFERROR(IF(INDEX(Hierarchy!$H$2:$H$1295,MATCH($D929,Hierarchy!$A$2:$A$1295,0))="","",INDEX(Hierarchy!$H$2:$H$1295,MATCH($D929,Hierarchy!$A$2:$A$1295,0))),"NODE NOT FOUND"))</f>
        <v/>
      </c>
      <c r="L929" s="7" t="str">
        <f aca="false">IF($D929="","",IFERROR(IF(INDEX(Hierarchy!$I$2:$I$1295,MATCH($D929,Hierarchy!$A$2:$A$1295,0))="","",INDEX(Hierarchy!$I$2:$I$1295,MATCH($D929,Hierarchy!$A$2:$A$1295,0))),"NODE NOT FOUND"))</f>
        <v/>
      </c>
      <c r="M929" s="17" t="str">
        <f aca="false">IF(B929="Pre-seeded","Pre-seeded",IF(B929="Review 2026-09-16","Added from review",IF(C929="","New",IF(C929=D929,"","Changed"))))</f>
        <v>Pre-seeded</v>
      </c>
      <c r="N929" s="7" t="str">
        <f aca="false">TRIM(SUBSTITUTE(SUBSTITUTE(SUBSTITUTE(" "&amp;TRIM(SUBSTITUTE(SUBSTITUTE(SUBSTITUTE(SUBSTITUTE(SUBSTITUTE(SUBSTITUTE(SUBSTITUTE(SUBSTITUTE(SUBSTITUTE(SUBSTITUTE(SUBSTITUTE(SUBSTITUTE(SUBSTITUTE(SUBSTITUTE(SUBSTITUTE(UPPER(TRIM(A929)),"[MEMBER]",""),"{MEMBER}",""),"[MEMBER}",""),"MEMBER]",""),"(A)",""),"""",""),"“",""),"”",""),".",""),":",""),",",""),"–"," "),"-"," "),"/"," "),"&amp;"," AND "))&amp;" "," THE "," ")," TOTAL "," ")," OPERATIONS "," "))</f>
        <v>LLDC</v>
      </c>
      <c r="O929" s="17" t="str">
        <f aca="false">IF(COUNTIFS($N$2:$N$2000,N929,$D$2:$D$2000,"&lt;&gt;"&amp;D929)&gt;0,"CONFLICT","")</f>
        <v/>
      </c>
      <c r="P929" s="7"/>
    </row>
    <row r="930" customFormat="false" ht="15" hidden="false" customHeight="false" outlineLevel="0" collapsed="false">
      <c r="A930" s="7" t="s">
        <v>2359</v>
      </c>
      <c r="B930" s="7" t="s">
        <v>1879</v>
      </c>
      <c r="C930" s="7"/>
      <c r="D930" s="6" t="s">
        <v>842</v>
      </c>
      <c r="E930" s="6" t="s">
        <v>1880</v>
      </c>
      <c r="F930" s="7" t="str">
        <f aca="false">IF($D930="","",IFERROR(IF(INDEX(Hierarchy!$B$2:$B$1295,MATCH($D930,Hierarchy!$A$2:$A$1295,0))="","",INDEX(Hierarchy!$B$2:$B$1295,MATCH($D930,Hierarchy!$A$2:$A$1295,0))),"NODE NOT FOUND"))</f>
        <v>State/Province</v>
      </c>
      <c r="G930" s="7" t="str">
        <f aca="false">IF($D930="","",IFERROR(IF(INDEX(Hierarchy!$D$2:$D$1295,MATCH($D930,Hierarchy!$A$2:$A$1295,0))="","",INDEX(Hierarchy!$D$2:$D$1295,MATCH($D930,Hierarchy!$A$2:$A$1295,0))),"NODE NOT FOUND"))</f>
        <v>EMEA</v>
      </c>
      <c r="H930" s="7" t="str">
        <f aca="false">IF($D930="","",IFERROR(IF(INDEX(Hierarchy!$E$2:$E$1295,MATCH($D930,Hierarchy!$A$2:$A$1295,0))="","",INDEX(Hierarchy!$E$2:$E$1295,MATCH($D930,Hierarchy!$A$2:$A$1295,0))),"NODE NOT FOUND"))</f>
        <v>Europe</v>
      </c>
      <c r="I930" s="7" t="str">
        <f aca="false">IF($D930="","",IFERROR(IF(INDEX(Hierarchy!$F$2:$F$1295,MATCH($D930,Hierarchy!$A$2:$A$1295,0))="","",INDEX(Hierarchy!$F$2:$F$1295,MATCH($D930,Hierarchy!$A$2:$A$1295,0))),"NODE NOT FOUND"))</f>
        <v>Italy</v>
      </c>
      <c r="J930" s="7" t="str">
        <f aca="false">IF($D930="","",IFERROR(IF(INDEX(Hierarchy!$G$2:$G$1295,MATCH($D930,Hierarchy!$A$2:$A$1295,0))="","",INDEX(Hierarchy!$G$2:$G$1295,MATCH($D930,Hierarchy!$A$2:$A$1295,0))),"NODE NOT FOUND"))</f>
        <v>ITA</v>
      </c>
      <c r="K930" s="7" t="str">
        <f aca="false">IF($D930="","",IFERROR(IF(INDEX(Hierarchy!$H$2:$H$1295,MATCH($D930,Hierarchy!$A$2:$A$1295,0))="","",INDEX(Hierarchy!$H$2:$H$1295,MATCH($D930,Hierarchy!$A$2:$A$1295,0))),"NODE NOT FOUND"))</f>
        <v>Lombardy</v>
      </c>
      <c r="L930" s="7" t="str">
        <f aca="false">IF($D930="","",IFERROR(IF(INDEX(Hierarchy!$I$2:$I$1295,MATCH($D930,Hierarchy!$A$2:$A$1295,0))="","",INDEX(Hierarchy!$I$2:$I$1295,MATCH($D930,Hierarchy!$A$2:$A$1295,0))),"NODE NOT FOUND"))</f>
        <v/>
      </c>
      <c r="M930" s="17" t="str">
        <f aca="false">IF(B930="Pre-seeded","Pre-seeded",IF(B930="Review 2026-09-16","Added from review",IF(C930="","New",IF(C930=D930,"","Changed"))))</f>
        <v>Pre-seeded</v>
      </c>
      <c r="N930" s="7" t="str">
        <f aca="false">TRIM(SUBSTITUTE(SUBSTITUTE(SUBSTITUTE(" "&amp;TRIM(SUBSTITUTE(SUBSTITUTE(SUBSTITUTE(SUBSTITUTE(SUBSTITUTE(SUBSTITUTE(SUBSTITUTE(SUBSTITUTE(SUBSTITUTE(SUBSTITUTE(SUBSTITUTE(SUBSTITUTE(SUBSTITUTE(SUBSTITUTE(SUBSTITUTE(UPPER(TRIM(A930)),"[MEMBER]",""),"{MEMBER}",""),"[MEMBER}",""),"MEMBER]",""),"(A)",""),"""",""),"“",""),"”",""),".",""),":",""),",",""),"–"," "),"-"," "),"/"," "),"&amp;"," AND "))&amp;" "," THE "," ")," TOTAL "," ")," OPERATIONS "," "))</f>
        <v>LOMBARDIA</v>
      </c>
      <c r="O930" s="17" t="str">
        <f aca="false">IF(COUNTIFS($N$2:$N$2000,N930,$D$2:$D$2000,"&lt;&gt;"&amp;D930)&gt;0,"CONFLICT","")</f>
        <v/>
      </c>
      <c r="P930" s="7"/>
    </row>
    <row r="931" customFormat="false" ht="15" hidden="false" customHeight="false" outlineLevel="0" collapsed="false">
      <c r="A931" s="7" t="s">
        <v>842</v>
      </c>
      <c r="B931" s="7" t="s">
        <v>1879</v>
      </c>
      <c r="C931" s="7"/>
      <c r="D931" s="6" t="s">
        <v>842</v>
      </c>
      <c r="E931" s="6" t="s">
        <v>1880</v>
      </c>
      <c r="F931" s="7" t="str">
        <f aca="false">IF($D931="","",IFERROR(IF(INDEX(Hierarchy!$B$2:$B$1295,MATCH($D931,Hierarchy!$A$2:$A$1295,0))="","",INDEX(Hierarchy!$B$2:$B$1295,MATCH($D931,Hierarchy!$A$2:$A$1295,0))),"NODE NOT FOUND"))</f>
        <v>State/Province</v>
      </c>
      <c r="G931" s="7" t="str">
        <f aca="false">IF($D931="","",IFERROR(IF(INDEX(Hierarchy!$D$2:$D$1295,MATCH($D931,Hierarchy!$A$2:$A$1295,0))="","",INDEX(Hierarchy!$D$2:$D$1295,MATCH($D931,Hierarchy!$A$2:$A$1295,0))),"NODE NOT FOUND"))</f>
        <v>EMEA</v>
      </c>
      <c r="H931" s="7" t="str">
        <f aca="false">IF($D931="","",IFERROR(IF(INDEX(Hierarchy!$E$2:$E$1295,MATCH($D931,Hierarchy!$A$2:$A$1295,0))="","",INDEX(Hierarchy!$E$2:$E$1295,MATCH($D931,Hierarchy!$A$2:$A$1295,0))),"NODE NOT FOUND"))</f>
        <v>Europe</v>
      </c>
      <c r="I931" s="7" t="str">
        <f aca="false">IF($D931="","",IFERROR(IF(INDEX(Hierarchy!$F$2:$F$1295,MATCH($D931,Hierarchy!$A$2:$A$1295,0))="","",INDEX(Hierarchy!$F$2:$F$1295,MATCH($D931,Hierarchy!$A$2:$A$1295,0))),"NODE NOT FOUND"))</f>
        <v>Italy</v>
      </c>
      <c r="J931" s="7" t="str">
        <f aca="false">IF($D931="","",IFERROR(IF(INDEX(Hierarchy!$G$2:$G$1295,MATCH($D931,Hierarchy!$A$2:$A$1295,0))="","",INDEX(Hierarchy!$G$2:$G$1295,MATCH($D931,Hierarchy!$A$2:$A$1295,0))),"NODE NOT FOUND"))</f>
        <v>ITA</v>
      </c>
      <c r="K931" s="7" t="str">
        <f aca="false">IF($D931="","",IFERROR(IF(INDEX(Hierarchy!$H$2:$H$1295,MATCH($D931,Hierarchy!$A$2:$A$1295,0))="","",INDEX(Hierarchy!$H$2:$H$1295,MATCH($D931,Hierarchy!$A$2:$A$1295,0))),"NODE NOT FOUND"))</f>
        <v>Lombardy</v>
      </c>
      <c r="L931" s="7" t="str">
        <f aca="false">IF($D931="","",IFERROR(IF(INDEX(Hierarchy!$I$2:$I$1295,MATCH($D931,Hierarchy!$A$2:$A$1295,0))="","",INDEX(Hierarchy!$I$2:$I$1295,MATCH($D931,Hierarchy!$A$2:$A$1295,0))),"NODE NOT FOUND"))</f>
        <v/>
      </c>
      <c r="M931" s="17" t="str">
        <f aca="false">IF(B931="Pre-seeded","Pre-seeded",IF(B931="Review 2026-09-16","Added from review",IF(C931="","New",IF(C931=D931,"","Changed"))))</f>
        <v>Pre-seeded</v>
      </c>
      <c r="N931" s="7" t="str">
        <f aca="false">TRIM(SUBSTITUTE(SUBSTITUTE(SUBSTITUTE(" "&amp;TRIM(SUBSTITUTE(SUBSTITUTE(SUBSTITUTE(SUBSTITUTE(SUBSTITUTE(SUBSTITUTE(SUBSTITUTE(SUBSTITUTE(SUBSTITUTE(SUBSTITUTE(SUBSTITUTE(SUBSTITUTE(SUBSTITUTE(SUBSTITUTE(SUBSTITUTE(UPPER(TRIM(A931)),"[MEMBER]",""),"{MEMBER}",""),"[MEMBER}",""),"MEMBER]",""),"(A)",""),"""",""),"“",""),"”",""),".",""),":",""),",",""),"–"," "),"-"," "),"/"," "),"&amp;"," AND "))&amp;" "," THE "," ")," TOTAL "," ")," OPERATIONS "," "))</f>
        <v>LOMBARDY</v>
      </c>
      <c r="O931" s="17" t="str">
        <f aca="false">IF(COUNTIFS($N$2:$N$2000,N931,$D$2:$D$2000,"&lt;&gt;"&amp;D931)&gt;0,"CONFLICT","")</f>
        <v/>
      </c>
      <c r="P931" s="7"/>
    </row>
    <row r="932" customFormat="false" ht="15" hidden="false" customHeight="false" outlineLevel="0" collapsed="false">
      <c r="A932" s="7" t="s">
        <v>2360</v>
      </c>
      <c r="B932" s="7" t="s">
        <v>1879</v>
      </c>
      <c r="C932" s="7"/>
      <c r="D932" s="6" t="s">
        <v>680</v>
      </c>
      <c r="E932" s="6" t="s">
        <v>1880</v>
      </c>
      <c r="F932" s="7" t="str">
        <f aca="false">IF($D932="","",IFERROR(IF(INDEX(Hierarchy!$B$2:$B$1295,MATCH($D932,Hierarchy!$A$2:$A$1295,0))="","",INDEX(Hierarchy!$B$2:$B$1295,MATCH($D932,Hierarchy!$A$2:$A$1295,0))),"NODE NOT FOUND"))</f>
        <v>City</v>
      </c>
      <c r="G932" s="7" t="str">
        <f aca="false">IF($D932="","",IFERROR(IF(INDEX(Hierarchy!$D$2:$D$1295,MATCH($D932,Hierarchy!$A$2:$A$1295,0))="","",INDEX(Hierarchy!$D$2:$D$1295,MATCH($D932,Hierarchy!$A$2:$A$1295,0))),"NODE NOT FOUND"))</f>
        <v>EMEA</v>
      </c>
      <c r="H932" s="7" t="str">
        <f aca="false">IF($D932="","",IFERROR(IF(INDEX(Hierarchy!$E$2:$E$1295,MATCH($D932,Hierarchy!$A$2:$A$1295,0))="","",INDEX(Hierarchy!$E$2:$E$1295,MATCH($D932,Hierarchy!$A$2:$A$1295,0))),"NODE NOT FOUND"))</f>
        <v>Europe</v>
      </c>
      <c r="I932" s="7" t="str">
        <f aca="false">IF($D932="","",IFERROR(IF(INDEX(Hierarchy!$F$2:$F$1295,MATCH($D932,Hierarchy!$A$2:$A$1295,0))="","",INDEX(Hierarchy!$F$2:$F$1295,MATCH($D932,Hierarchy!$A$2:$A$1295,0))),"NODE NOT FOUND"))</f>
        <v>United Kingdom</v>
      </c>
      <c r="J932" s="7" t="str">
        <f aca="false">IF($D932="","",IFERROR(IF(INDEX(Hierarchy!$G$2:$G$1295,MATCH($D932,Hierarchy!$A$2:$A$1295,0))="","",INDEX(Hierarchy!$G$2:$G$1295,MATCH($D932,Hierarchy!$A$2:$A$1295,0))),"NODE NOT FOUND"))</f>
        <v>GBR</v>
      </c>
      <c r="K932" s="7" t="str">
        <f aca="false">IF($D932="","",IFERROR(IF(INDEX(Hierarchy!$H$2:$H$1295,MATCH($D932,Hierarchy!$A$2:$A$1295,0))="","",INDEX(Hierarchy!$H$2:$H$1295,MATCH($D932,Hierarchy!$A$2:$A$1295,0))),"NODE NOT FOUND"))</f>
        <v>England</v>
      </c>
      <c r="L932" s="7" t="str">
        <f aca="false">IF($D932="","",IFERROR(IF(INDEX(Hierarchy!$I$2:$I$1295,MATCH($D932,Hierarchy!$A$2:$A$1295,0))="","",INDEX(Hierarchy!$I$2:$I$1295,MATCH($D932,Hierarchy!$A$2:$A$1295,0))),"NODE NOT FOUND"))</f>
        <v>London</v>
      </c>
      <c r="M932" s="17" t="str">
        <f aca="false">IF(B932="Pre-seeded","Pre-seeded",IF(B932="Review 2026-09-16","Added from review",IF(C932="","New",IF(C932=D932,"","Changed"))))</f>
        <v>Pre-seeded</v>
      </c>
      <c r="N932" s="7" t="str">
        <f aca="false">TRIM(SUBSTITUTE(SUBSTITUTE(SUBSTITUTE(" "&amp;TRIM(SUBSTITUTE(SUBSTITUTE(SUBSTITUTE(SUBSTITUTE(SUBSTITUTE(SUBSTITUTE(SUBSTITUTE(SUBSTITUTE(SUBSTITUTE(SUBSTITUTE(SUBSTITUTE(SUBSTITUTE(SUBSTITUTE(SUBSTITUTE(SUBSTITUTE(UPPER(TRIM(A932)),"[MEMBER]",""),"{MEMBER}",""),"[MEMBER}",""),"MEMBER]",""),"(A)",""),"""",""),"“",""),"”",""),".",""),":",""),",",""),"–"," "),"-"," "),"/"," "),"&amp;"," AND "))&amp;" "," THE "," ")," TOTAL "," ")," OPERATIONS "," "))</f>
        <v>LONDON ENGLAND</v>
      </c>
      <c r="O932" s="17" t="str">
        <f aca="false">IF(COUNTIFS($N$2:$N$2000,N932,$D$2:$D$2000,"&lt;&gt;"&amp;D932)&gt;0,"CONFLICT","")</f>
        <v/>
      </c>
      <c r="P932" s="7"/>
    </row>
    <row r="933" customFormat="false" ht="15" hidden="false" customHeight="false" outlineLevel="0" collapsed="false">
      <c r="A933" s="7" t="s">
        <v>2361</v>
      </c>
      <c r="B933" s="7" t="s">
        <v>1879</v>
      </c>
      <c r="C933" s="7"/>
      <c r="D933" s="6" t="s">
        <v>680</v>
      </c>
      <c r="E933" s="6" t="s">
        <v>1880</v>
      </c>
      <c r="F933" s="7" t="str">
        <f aca="false">IF($D933="","",IFERROR(IF(INDEX(Hierarchy!$B$2:$B$1295,MATCH($D933,Hierarchy!$A$2:$A$1295,0))="","",INDEX(Hierarchy!$B$2:$B$1295,MATCH($D933,Hierarchy!$A$2:$A$1295,0))),"NODE NOT FOUND"))</f>
        <v>City</v>
      </c>
      <c r="G933" s="7" t="str">
        <f aca="false">IF($D933="","",IFERROR(IF(INDEX(Hierarchy!$D$2:$D$1295,MATCH($D933,Hierarchy!$A$2:$A$1295,0))="","",INDEX(Hierarchy!$D$2:$D$1295,MATCH($D933,Hierarchy!$A$2:$A$1295,0))),"NODE NOT FOUND"))</f>
        <v>EMEA</v>
      </c>
      <c r="H933" s="7" t="str">
        <f aca="false">IF($D933="","",IFERROR(IF(INDEX(Hierarchy!$E$2:$E$1295,MATCH($D933,Hierarchy!$A$2:$A$1295,0))="","",INDEX(Hierarchy!$E$2:$E$1295,MATCH($D933,Hierarchy!$A$2:$A$1295,0))),"NODE NOT FOUND"))</f>
        <v>Europe</v>
      </c>
      <c r="I933" s="7" t="str">
        <f aca="false">IF($D933="","",IFERROR(IF(INDEX(Hierarchy!$F$2:$F$1295,MATCH($D933,Hierarchy!$A$2:$A$1295,0))="","",INDEX(Hierarchy!$F$2:$F$1295,MATCH($D933,Hierarchy!$A$2:$A$1295,0))),"NODE NOT FOUND"))</f>
        <v>United Kingdom</v>
      </c>
      <c r="J933" s="7" t="str">
        <f aca="false">IF($D933="","",IFERROR(IF(INDEX(Hierarchy!$G$2:$G$1295,MATCH($D933,Hierarchy!$A$2:$A$1295,0))="","",INDEX(Hierarchy!$G$2:$G$1295,MATCH($D933,Hierarchy!$A$2:$A$1295,0))),"NODE NOT FOUND"))</f>
        <v>GBR</v>
      </c>
      <c r="K933" s="7" t="str">
        <f aca="false">IF($D933="","",IFERROR(IF(INDEX(Hierarchy!$H$2:$H$1295,MATCH($D933,Hierarchy!$A$2:$A$1295,0))="","",INDEX(Hierarchy!$H$2:$H$1295,MATCH($D933,Hierarchy!$A$2:$A$1295,0))),"NODE NOT FOUND"))</f>
        <v>England</v>
      </c>
      <c r="L933" s="7" t="str">
        <f aca="false">IF($D933="","",IFERROR(IF(INDEX(Hierarchy!$I$2:$I$1295,MATCH($D933,Hierarchy!$A$2:$A$1295,0))="","",INDEX(Hierarchy!$I$2:$I$1295,MATCH($D933,Hierarchy!$A$2:$A$1295,0))),"NODE NOT FOUND"))</f>
        <v>London</v>
      </c>
      <c r="M933" s="17" t="str">
        <f aca="false">IF(B933="Pre-seeded","Pre-seeded",IF(B933="Review 2026-09-16","Added from review",IF(C933="","New",IF(C933=D933,"","Changed"))))</f>
        <v>Pre-seeded</v>
      </c>
      <c r="N933" s="7" t="str">
        <f aca="false">TRIM(SUBSTITUTE(SUBSTITUTE(SUBSTITUTE(" "&amp;TRIM(SUBSTITUTE(SUBSTITUTE(SUBSTITUTE(SUBSTITUTE(SUBSTITUTE(SUBSTITUTE(SUBSTITUTE(SUBSTITUTE(SUBSTITUTE(SUBSTITUTE(SUBSTITUTE(SUBSTITUTE(SUBSTITUTE(SUBSTITUTE(SUBSTITUTE(UPPER(TRIM(A933)),"[MEMBER]",""),"{MEMBER}",""),"[MEMBER}",""),"MEMBER]",""),"(A)",""),"""",""),"“",""),"”",""),".",""),":",""),",",""),"–"," "),"-"," "),"/"," "),"&amp;"," AND "))&amp;" "," THE "," ")," TOTAL "," ")," OPERATIONS "," "))</f>
        <v>LONDON UNITED KINGDOM</v>
      </c>
      <c r="O933" s="17" t="str">
        <f aca="false">IF(COUNTIFS($N$2:$N$2000,N933,$D$2:$D$2000,"&lt;&gt;"&amp;D933)&gt;0,"CONFLICT","")</f>
        <v/>
      </c>
      <c r="P933" s="7"/>
    </row>
    <row r="934" customFormat="false" ht="15" hidden="false" customHeight="false" outlineLevel="0" collapsed="false">
      <c r="A934" s="7" t="s">
        <v>217</v>
      </c>
      <c r="B934" s="7" t="s">
        <v>1882</v>
      </c>
      <c r="C934" s="7" t="s">
        <v>217</v>
      </c>
      <c r="D934" s="6" t="s">
        <v>217</v>
      </c>
      <c r="E934" s="6" t="s">
        <v>1880</v>
      </c>
      <c r="F934" s="7" t="str">
        <f aca="false">IF($D934="","",IFERROR(IF(INDEX(Hierarchy!$B$2:$B$1295,MATCH($D934,Hierarchy!$A$2:$A$1295,0))="","",INDEX(Hierarchy!$B$2:$B$1295,MATCH($D934,Hierarchy!$A$2:$A$1295,0))),"NODE NOT FOUND"))</f>
        <v>City</v>
      </c>
      <c r="G934" s="7" t="str">
        <f aca="false">IF($D934="","",IFERROR(IF(INDEX(Hierarchy!$D$2:$D$1295,MATCH($D934,Hierarchy!$A$2:$A$1295,0))="","",INDEX(Hierarchy!$D$2:$D$1295,MATCH($D934,Hierarchy!$A$2:$A$1295,0))),"NODE NOT FOUND"))</f>
        <v>AMER</v>
      </c>
      <c r="H934" s="7" t="str">
        <f aca="false">IF($D934="","",IFERROR(IF(INDEX(Hierarchy!$E$2:$E$1295,MATCH($D934,Hierarchy!$A$2:$A$1295,0))="","",INDEX(Hierarchy!$E$2:$E$1295,MATCH($D934,Hierarchy!$A$2:$A$1295,0))),"NODE NOT FOUND"))</f>
        <v>North America (NORAM)</v>
      </c>
      <c r="I934" s="7" t="str">
        <f aca="false">IF($D934="","",IFERROR(IF(INDEX(Hierarchy!$F$2:$F$1295,MATCH($D934,Hierarchy!$A$2:$A$1295,0))="","",INDEX(Hierarchy!$F$2:$F$1295,MATCH($D934,Hierarchy!$A$2:$A$1295,0))),"NODE NOT FOUND"))</f>
        <v>United States</v>
      </c>
      <c r="J934" s="7" t="str">
        <f aca="false">IF($D934="","",IFERROR(IF(INDEX(Hierarchy!$G$2:$G$1295,MATCH($D934,Hierarchy!$A$2:$A$1295,0))="","",INDEX(Hierarchy!$G$2:$G$1295,MATCH($D934,Hierarchy!$A$2:$A$1295,0))),"NODE NOT FOUND"))</f>
        <v>USA</v>
      </c>
      <c r="K934" s="7" t="str">
        <f aca="false">IF($D934="","",IFERROR(IF(INDEX(Hierarchy!$H$2:$H$1295,MATCH($D934,Hierarchy!$A$2:$A$1295,0))="","",INDEX(Hierarchy!$H$2:$H$1295,MATCH($D934,Hierarchy!$A$2:$A$1295,0))),"NODE NOT FOUND"))</f>
        <v>New York</v>
      </c>
      <c r="L934" s="7" t="str">
        <f aca="false">IF($D934="","",IFERROR(IF(INDEX(Hierarchy!$I$2:$I$1295,MATCH($D934,Hierarchy!$A$2:$A$1295,0))="","",INDEX(Hierarchy!$I$2:$I$1295,MATCH($D934,Hierarchy!$A$2:$A$1295,0))),"NODE NOT FOUND"))</f>
        <v>Long Island</v>
      </c>
      <c r="M934" s="17" t="str">
        <f aca="false">IF(B934="Pre-seeded","Pre-seeded",IF(B934="Review 2026-09-16","Added from review",IF(C934="","New",IF(C934=D934,"","Changed"))))</f>
        <v/>
      </c>
      <c r="N934" s="7" t="str">
        <f aca="false">TRIM(SUBSTITUTE(SUBSTITUTE(SUBSTITUTE(" "&amp;TRIM(SUBSTITUTE(SUBSTITUTE(SUBSTITUTE(SUBSTITUTE(SUBSTITUTE(SUBSTITUTE(SUBSTITUTE(SUBSTITUTE(SUBSTITUTE(SUBSTITUTE(SUBSTITUTE(SUBSTITUTE(SUBSTITUTE(SUBSTITUTE(SUBSTITUTE(UPPER(TRIM(A934)),"[MEMBER]",""),"{MEMBER}",""),"[MEMBER}",""),"MEMBER]",""),"(A)",""),"""",""),"“",""),"”",""),".",""),":",""),",",""),"–"," "),"-"," "),"/"," "),"&amp;"," AND "))&amp;" "," THE "," ")," TOTAL "," ")," OPERATIONS "," "))</f>
        <v>LONG ISLAND</v>
      </c>
      <c r="O934" s="17" t="str">
        <f aca="false">IF(COUNTIFS($N$2:$N$2000,N934,$D$2:$D$2000,"&lt;&gt;"&amp;D934)&gt;0,"CONFLICT","")</f>
        <v/>
      </c>
      <c r="P934" s="7"/>
    </row>
    <row r="935" customFormat="false" ht="15" hidden="false" customHeight="false" outlineLevel="0" collapsed="false">
      <c r="A935" s="7" t="s">
        <v>142</v>
      </c>
      <c r="B935" s="7" t="s">
        <v>1882</v>
      </c>
      <c r="C935" s="7" t="s">
        <v>142</v>
      </c>
      <c r="D935" s="6" t="s">
        <v>142</v>
      </c>
      <c r="E935" s="6" t="s">
        <v>1880</v>
      </c>
      <c r="F935" s="7" t="str">
        <f aca="false">IF($D935="","",IFERROR(IF(INDEX(Hierarchy!$B$2:$B$1295,MATCH($D935,Hierarchy!$A$2:$A$1295,0))="","",INDEX(Hierarchy!$B$2:$B$1295,MATCH($D935,Hierarchy!$A$2:$A$1295,0))),"NODE NOT FOUND"))</f>
        <v>City</v>
      </c>
      <c r="G935" s="7" t="str">
        <f aca="false">IF($D935="","",IFERROR(IF(INDEX(Hierarchy!$D$2:$D$1295,MATCH($D935,Hierarchy!$A$2:$A$1295,0))="","",INDEX(Hierarchy!$D$2:$D$1295,MATCH($D935,Hierarchy!$A$2:$A$1295,0))),"NODE NOT FOUND"))</f>
        <v>AMER</v>
      </c>
      <c r="H935" s="7" t="str">
        <f aca="false">IF($D935="","",IFERROR(IF(INDEX(Hierarchy!$E$2:$E$1295,MATCH($D935,Hierarchy!$A$2:$A$1295,0))="","",INDEX(Hierarchy!$E$2:$E$1295,MATCH($D935,Hierarchy!$A$2:$A$1295,0))),"NODE NOT FOUND"))</f>
        <v>North America (NORAM)</v>
      </c>
      <c r="I935" s="7" t="str">
        <f aca="false">IF($D935="","",IFERROR(IF(INDEX(Hierarchy!$F$2:$F$1295,MATCH($D935,Hierarchy!$A$2:$A$1295,0))="","",INDEX(Hierarchy!$F$2:$F$1295,MATCH($D935,Hierarchy!$A$2:$A$1295,0))),"NODE NOT FOUND"))</f>
        <v>United States</v>
      </c>
      <c r="J935" s="7" t="str">
        <f aca="false">IF($D935="","",IFERROR(IF(INDEX(Hierarchy!$G$2:$G$1295,MATCH($D935,Hierarchy!$A$2:$A$1295,0))="","",INDEX(Hierarchy!$G$2:$G$1295,MATCH($D935,Hierarchy!$A$2:$A$1295,0))),"NODE NOT FOUND"))</f>
        <v>USA</v>
      </c>
      <c r="K935" s="7" t="str">
        <f aca="false">IF($D935="","",IFERROR(IF(INDEX(Hierarchy!$H$2:$H$1295,MATCH($D935,Hierarchy!$A$2:$A$1295,0))="","",INDEX(Hierarchy!$H$2:$H$1295,MATCH($D935,Hierarchy!$A$2:$A$1295,0))),"NODE NOT FOUND"))</f>
        <v>California</v>
      </c>
      <c r="L935" s="7" t="str">
        <f aca="false">IF($D935="","",IFERROR(IF(INDEX(Hierarchy!$I$2:$I$1295,MATCH($D935,Hierarchy!$A$2:$A$1295,0))="","",INDEX(Hierarchy!$I$2:$I$1295,MATCH($D935,Hierarchy!$A$2:$A$1295,0))),"NODE NOT FOUND"))</f>
        <v>Los Angeles</v>
      </c>
      <c r="M935" s="17" t="str">
        <f aca="false">IF(B935="Pre-seeded","Pre-seeded",IF(B935="Review 2026-09-16","Added from review",IF(C935="","New",IF(C935=D935,"","Changed"))))</f>
        <v/>
      </c>
      <c r="N935" s="7" t="str">
        <f aca="false">TRIM(SUBSTITUTE(SUBSTITUTE(SUBSTITUTE(" "&amp;TRIM(SUBSTITUTE(SUBSTITUTE(SUBSTITUTE(SUBSTITUTE(SUBSTITUTE(SUBSTITUTE(SUBSTITUTE(SUBSTITUTE(SUBSTITUTE(SUBSTITUTE(SUBSTITUTE(SUBSTITUTE(SUBSTITUTE(SUBSTITUTE(SUBSTITUTE(UPPER(TRIM(A935)),"[MEMBER]",""),"{MEMBER}",""),"[MEMBER}",""),"MEMBER]",""),"(A)",""),"""",""),"“",""),"”",""),".",""),":",""),",",""),"–"," "),"-"," "),"/"," "),"&amp;"," AND "))&amp;" "," THE "," ")," TOTAL "," ")," OPERATIONS "," "))</f>
        <v>LOS ANGELES</v>
      </c>
      <c r="O935" s="17" t="str">
        <f aca="false">IF(COUNTIFS($N$2:$N$2000,N935,$D$2:$D$2000,"&lt;&gt;"&amp;D935)&gt;0,"CONFLICT","")</f>
        <v/>
      </c>
      <c r="P935" s="7"/>
    </row>
    <row r="936" customFormat="false" ht="15" hidden="false" customHeight="false" outlineLevel="0" collapsed="false">
      <c r="A936" s="7" t="s">
        <v>486</v>
      </c>
      <c r="B936" s="7" t="s">
        <v>1879</v>
      </c>
      <c r="C936" s="7"/>
      <c r="D936" s="6" t="s">
        <v>486</v>
      </c>
      <c r="E936" s="6" t="s">
        <v>1880</v>
      </c>
      <c r="F936" s="7" t="str">
        <f aca="false">IF($D936="","",IFERROR(IF(INDEX(Hierarchy!$B$2:$B$1295,MATCH($D936,Hierarchy!$A$2:$A$1295,0))="","",INDEX(Hierarchy!$B$2:$B$1295,MATCH($D936,Hierarchy!$A$2:$A$1295,0))),"NODE NOT FOUND"))</f>
        <v>State/Province</v>
      </c>
      <c r="G936" s="7" t="str">
        <f aca="false">IF($D936="","",IFERROR(IF(INDEX(Hierarchy!$D$2:$D$1295,MATCH($D936,Hierarchy!$A$2:$A$1295,0))="","",INDEX(Hierarchy!$D$2:$D$1295,MATCH($D936,Hierarchy!$A$2:$A$1295,0))),"NODE NOT FOUND"))</f>
        <v>AMER</v>
      </c>
      <c r="H936" s="7" t="str">
        <f aca="false">IF($D936="","",IFERROR(IF(INDEX(Hierarchy!$E$2:$E$1295,MATCH($D936,Hierarchy!$A$2:$A$1295,0))="","",INDEX(Hierarchy!$E$2:$E$1295,MATCH($D936,Hierarchy!$A$2:$A$1295,0))),"NODE NOT FOUND"))</f>
        <v>Latin America (LATAM)</v>
      </c>
      <c r="I936" s="7" t="str">
        <f aca="false">IF($D936="","",IFERROR(IF(INDEX(Hierarchy!$F$2:$F$1295,MATCH($D936,Hierarchy!$A$2:$A$1295,0))="","",INDEX(Hierarchy!$F$2:$F$1295,MATCH($D936,Hierarchy!$A$2:$A$1295,0))),"NODE NOT FOUND"))</f>
        <v>Chile</v>
      </c>
      <c r="J936" s="7" t="str">
        <f aca="false">IF($D936="","",IFERROR(IF(INDEX(Hierarchy!$G$2:$G$1295,MATCH($D936,Hierarchy!$A$2:$A$1295,0))="","",INDEX(Hierarchy!$G$2:$G$1295,MATCH($D936,Hierarchy!$A$2:$A$1295,0))),"NODE NOT FOUND"))</f>
        <v>CHL</v>
      </c>
      <c r="K936" s="7" t="str">
        <f aca="false">IF($D936="","",IFERROR(IF(INDEX(Hierarchy!$H$2:$H$1295,MATCH($D936,Hierarchy!$A$2:$A$1295,0))="","",INDEX(Hierarchy!$H$2:$H$1295,MATCH($D936,Hierarchy!$A$2:$A$1295,0))),"NODE NOT FOUND"))</f>
        <v>Los Lagos</v>
      </c>
      <c r="L936" s="7" t="str">
        <f aca="false">IF($D936="","",IFERROR(IF(INDEX(Hierarchy!$I$2:$I$1295,MATCH($D936,Hierarchy!$A$2:$A$1295,0))="","",INDEX(Hierarchy!$I$2:$I$1295,MATCH($D936,Hierarchy!$A$2:$A$1295,0))),"NODE NOT FOUND"))</f>
        <v/>
      </c>
      <c r="M936" s="17" t="str">
        <f aca="false">IF(B936="Pre-seeded","Pre-seeded",IF(B936="Review 2026-09-16","Added from review",IF(C936="","New",IF(C936=D936,"","Changed"))))</f>
        <v>Pre-seeded</v>
      </c>
      <c r="N936" s="7" t="str">
        <f aca="false">TRIM(SUBSTITUTE(SUBSTITUTE(SUBSTITUTE(" "&amp;TRIM(SUBSTITUTE(SUBSTITUTE(SUBSTITUTE(SUBSTITUTE(SUBSTITUTE(SUBSTITUTE(SUBSTITUTE(SUBSTITUTE(SUBSTITUTE(SUBSTITUTE(SUBSTITUTE(SUBSTITUTE(SUBSTITUTE(SUBSTITUTE(SUBSTITUTE(UPPER(TRIM(A936)),"[MEMBER]",""),"{MEMBER}",""),"[MEMBER}",""),"MEMBER]",""),"(A)",""),"""",""),"“",""),"”",""),".",""),":",""),",",""),"–"," "),"-"," "),"/"," "),"&amp;"," AND "))&amp;" "," THE "," ")," TOTAL "," ")," OPERATIONS "," "))</f>
        <v>LOS LAGOS</v>
      </c>
      <c r="O936" s="17" t="str">
        <f aca="false">IF(COUNTIFS($N$2:$N$2000,N936,$D$2:$D$2000,"&lt;&gt;"&amp;D936)&gt;0,"CONFLICT","")</f>
        <v/>
      </c>
      <c r="P936" s="7"/>
    </row>
    <row r="937" customFormat="false" ht="15" hidden="false" customHeight="false" outlineLevel="0" collapsed="false">
      <c r="A937" s="7" t="s">
        <v>487</v>
      </c>
      <c r="B937" s="7" t="s">
        <v>1879</v>
      </c>
      <c r="C937" s="7"/>
      <c r="D937" s="6" t="s">
        <v>487</v>
      </c>
      <c r="E937" s="6" t="s">
        <v>1880</v>
      </c>
      <c r="F937" s="7" t="str">
        <f aca="false">IF($D937="","",IFERROR(IF(INDEX(Hierarchy!$B$2:$B$1295,MATCH($D937,Hierarchy!$A$2:$A$1295,0))="","",INDEX(Hierarchy!$B$2:$B$1295,MATCH($D937,Hierarchy!$A$2:$A$1295,0))),"NODE NOT FOUND"))</f>
        <v>State/Province</v>
      </c>
      <c r="G937" s="7" t="str">
        <f aca="false">IF($D937="","",IFERROR(IF(INDEX(Hierarchy!$D$2:$D$1295,MATCH($D937,Hierarchy!$A$2:$A$1295,0))="","",INDEX(Hierarchy!$D$2:$D$1295,MATCH($D937,Hierarchy!$A$2:$A$1295,0))),"NODE NOT FOUND"))</f>
        <v>AMER</v>
      </c>
      <c r="H937" s="7" t="str">
        <f aca="false">IF($D937="","",IFERROR(IF(INDEX(Hierarchy!$E$2:$E$1295,MATCH($D937,Hierarchy!$A$2:$A$1295,0))="","",INDEX(Hierarchy!$E$2:$E$1295,MATCH($D937,Hierarchy!$A$2:$A$1295,0))),"NODE NOT FOUND"))</f>
        <v>Latin America (LATAM)</v>
      </c>
      <c r="I937" s="7" t="str">
        <f aca="false">IF($D937="","",IFERROR(IF(INDEX(Hierarchy!$F$2:$F$1295,MATCH($D937,Hierarchy!$A$2:$A$1295,0))="","",INDEX(Hierarchy!$F$2:$F$1295,MATCH($D937,Hierarchy!$A$2:$A$1295,0))),"NODE NOT FOUND"))</f>
        <v>Chile</v>
      </c>
      <c r="J937" s="7" t="str">
        <f aca="false">IF($D937="","",IFERROR(IF(INDEX(Hierarchy!$G$2:$G$1295,MATCH($D937,Hierarchy!$A$2:$A$1295,0))="","",INDEX(Hierarchy!$G$2:$G$1295,MATCH($D937,Hierarchy!$A$2:$A$1295,0))),"NODE NOT FOUND"))</f>
        <v>CHL</v>
      </c>
      <c r="K937" s="7" t="str">
        <f aca="false">IF($D937="","",IFERROR(IF(INDEX(Hierarchy!$H$2:$H$1295,MATCH($D937,Hierarchy!$A$2:$A$1295,0))="","",INDEX(Hierarchy!$H$2:$H$1295,MATCH($D937,Hierarchy!$A$2:$A$1295,0))),"NODE NOT FOUND"))</f>
        <v>Los Ríos</v>
      </c>
      <c r="L937" s="7" t="str">
        <f aca="false">IF($D937="","",IFERROR(IF(INDEX(Hierarchy!$I$2:$I$1295,MATCH($D937,Hierarchy!$A$2:$A$1295,0))="","",INDEX(Hierarchy!$I$2:$I$1295,MATCH($D937,Hierarchy!$A$2:$A$1295,0))),"NODE NOT FOUND"))</f>
        <v/>
      </c>
      <c r="M937" s="17" t="str">
        <f aca="false">IF(B937="Pre-seeded","Pre-seeded",IF(B937="Review 2026-09-16","Added from review",IF(C937="","New",IF(C937=D937,"","Changed"))))</f>
        <v>Pre-seeded</v>
      </c>
      <c r="N937" s="7" t="str">
        <f aca="false">TRIM(SUBSTITUTE(SUBSTITUTE(SUBSTITUTE(" "&amp;TRIM(SUBSTITUTE(SUBSTITUTE(SUBSTITUTE(SUBSTITUTE(SUBSTITUTE(SUBSTITUTE(SUBSTITUTE(SUBSTITUTE(SUBSTITUTE(SUBSTITUTE(SUBSTITUTE(SUBSTITUTE(SUBSTITUTE(SUBSTITUTE(SUBSTITUTE(UPPER(TRIM(A937)),"[MEMBER]",""),"{MEMBER}",""),"[MEMBER}",""),"MEMBER]",""),"(A)",""),"""",""),"“",""),"”",""),".",""),":",""),",",""),"–"," "),"-"," "),"/"," "),"&amp;"," AND "))&amp;" "," THE "," ")," TOTAL "," ")," OPERATIONS "," "))</f>
        <v>LOS RÍOS</v>
      </c>
      <c r="O937" s="17" t="str">
        <f aca="false">IF(COUNTIFS($N$2:$N$2000,N937,$D$2:$D$2000,"&lt;&gt;"&amp;D937)&gt;0,"CONFLICT","")</f>
        <v/>
      </c>
      <c r="P937" s="7"/>
    </row>
    <row r="938" customFormat="false" ht="15" hidden="false" customHeight="false" outlineLevel="0" collapsed="false">
      <c r="A938" s="7" t="s">
        <v>188</v>
      </c>
      <c r="B938" s="7" t="s">
        <v>1882</v>
      </c>
      <c r="C938" s="7" t="s">
        <v>188</v>
      </c>
      <c r="D938" s="6" t="s">
        <v>188</v>
      </c>
      <c r="E938" s="6" t="s">
        <v>1880</v>
      </c>
      <c r="F938" s="7" t="str">
        <f aca="false">IF($D938="","",IFERROR(IF(INDEX(Hierarchy!$B$2:$B$1295,MATCH($D938,Hierarchy!$A$2:$A$1295,0))="","",INDEX(Hierarchy!$B$2:$B$1295,MATCH($D938,Hierarchy!$A$2:$A$1295,0))),"NODE NOT FOUND"))</f>
        <v>State/Province</v>
      </c>
      <c r="G938" s="7" t="str">
        <f aca="false">IF($D938="","",IFERROR(IF(INDEX(Hierarchy!$D$2:$D$1295,MATCH($D938,Hierarchy!$A$2:$A$1295,0))="","",INDEX(Hierarchy!$D$2:$D$1295,MATCH($D938,Hierarchy!$A$2:$A$1295,0))),"NODE NOT FOUND"))</f>
        <v>AMER</v>
      </c>
      <c r="H938" s="7" t="str">
        <f aca="false">IF($D938="","",IFERROR(IF(INDEX(Hierarchy!$E$2:$E$1295,MATCH($D938,Hierarchy!$A$2:$A$1295,0))="","",INDEX(Hierarchy!$E$2:$E$1295,MATCH($D938,Hierarchy!$A$2:$A$1295,0))),"NODE NOT FOUND"))</f>
        <v>North America (NORAM)</v>
      </c>
      <c r="I938" s="7" t="str">
        <f aca="false">IF($D938="","",IFERROR(IF(INDEX(Hierarchy!$F$2:$F$1295,MATCH($D938,Hierarchy!$A$2:$A$1295,0))="","",INDEX(Hierarchy!$F$2:$F$1295,MATCH($D938,Hierarchy!$A$2:$A$1295,0))),"NODE NOT FOUND"))</f>
        <v>United States</v>
      </c>
      <c r="J938" s="7" t="str">
        <f aca="false">IF($D938="","",IFERROR(IF(INDEX(Hierarchy!$G$2:$G$1295,MATCH($D938,Hierarchy!$A$2:$A$1295,0))="","",INDEX(Hierarchy!$G$2:$G$1295,MATCH($D938,Hierarchy!$A$2:$A$1295,0))),"NODE NOT FOUND"))</f>
        <v>USA</v>
      </c>
      <c r="K938" s="7" t="str">
        <f aca="false">IF($D938="","",IFERROR(IF(INDEX(Hierarchy!$H$2:$H$1295,MATCH($D938,Hierarchy!$A$2:$A$1295,0))="","",INDEX(Hierarchy!$H$2:$H$1295,MATCH($D938,Hierarchy!$A$2:$A$1295,0))),"NODE NOT FOUND"))</f>
        <v>Louisiana</v>
      </c>
      <c r="L938" s="7" t="str">
        <f aca="false">IF($D938="","",IFERROR(IF(INDEX(Hierarchy!$I$2:$I$1295,MATCH($D938,Hierarchy!$A$2:$A$1295,0))="","",INDEX(Hierarchy!$I$2:$I$1295,MATCH($D938,Hierarchy!$A$2:$A$1295,0))),"NODE NOT FOUND"))</f>
        <v/>
      </c>
      <c r="M938" s="17" t="str">
        <f aca="false">IF(B938="Pre-seeded","Pre-seeded",IF(B938="Review 2026-09-16","Added from review",IF(C938="","New",IF(C938=D938,"","Changed"))))</f>
        <v/>
      </c>
      <c r="N938" s="7" t="str">
        <f aca="false">TRIM(SUBSTITUTE(SUBSTITUTE(SUBSTITUTE(" "&amp;TRIM(SUBSTITUTE(SUBSTITUTE(SUBSTITUTE(SUBSTITUTE(SUBSTITUTE(SUBSTITUTE(SUBSTITUTE(SUBSTITUTE(SUBSTITUTE(SUBSTITUTE(SUBSTITUTE(SUBSTITUTE(SUBSTITUTE(SUBSTITUTE(SUBSTITUTE(UPPER(TRIM(A938)),"[MEMBER]",""),"{MEMBER}",""),"[MEMBER}",""),"MEMBER]",""),"(A)",""),"""",""),"“",""),"”",""),".",""),":",""),",",""),"–"," "),"-"," "),"/"," "),"&amp;"," AND "))&amp;" "," THE "," ")," TOTAL "," ")," OPERATIONS "," "))</f>
        <v>LOUISIANA</v>
      </c>
      <c r="O938" s="17" t="str">
        <f aca="false">IF(COUNTIFS($N$2:$N$2000,N938,$D$2:$D$2000,"&lt;&gt;"&amp;D938)&gt;0,"CONFLICT","")</f>
        <v/>
      </c>
      <c r="P938" s="7"/>
    </row>
    <row r="939" customFormat="false" ht="15" hidden="false" customHeight="false" outlineLevel="0" collapsed="false">
      <c r="A939" s="7" t="s">
        <v>2362</v>
      </c>
      <c r="B939" s="7" t="s">
        <v>1882</v>
      </c>
      <c r="C939" s="7" t="s">
        <v>188</v>
      </c>
      <c r="D939" s="6" t="s">
        <v>188</v>
      </c>
      <c r="E939" s="6" t="s">
        <v>1880</v>
      </c>
      <c r="F939" s="7" t="str">
        <f aca="false">IF($D939="","",IFERROR(IF(INDEX(Hierarchy!$B$2:$B$1295,MATCH($D939,Hierarchy!$A$2:$A$1295,0))="","",INDEX(Hierarchy!$B$2:$B$1295,MATCH($D939,Hierarchy!$A$2:$A$1295,0))),"NODE NOT FOUND"))</f>
        <v>State/Province</v>
      </c>
      <c r="G939" s="7" t="str">
        <f aca="false">IF($D939="","",IFERROR(IF(INDEX(Hierarchy!$D$2:$D$1295,MATCH($D939,Hierarchy!$A$2:$A$1295,0))="","",INDEX(Hierarchy!$D$2:$D$1295,MATCH($D939,Hierarchy!$A$2:$A$1295,0))),"NODE NOT FOUND"))</f>
        <v>AMER</v>
      </c>
      <c r="H939" s="7" t="str">
        <f aca="false">IF($D939="","",IFERROR(IF(INDEX(Hierarchy!$E$2:$E$1295,MATCH($D939,Hierarchy!$A$2:$A$1295,0))="","",INDEX(Hierarchy!$E$2:$E$1295,MATCH($D939,Hierarchy!$A$2:$A$1295,0))),"NODE NOT FOUND"))</f>
        <v>North America (NORAM)</v>
      </c>
      <c r="I939" s="7" t="str">
        <f aca="false">IF($D939="","",IFERROR(IF(INDEX(Hierarchy!$F$2:$F$1295,MATCH($D939,Hierarchy!$A$2:$A$1295,0))="","",INDEX(Hierarchy!$F$2:$F$1295,MATCH($D939,Hierarchy!$A$2:$A$1295,0))),"NODE NOT FOUND"))</f>
        <v>United States</v>
      </c>
      <c r="J939" s="7" t="str">
        <f aca="false">IF($D939="","",IFERROR(IF(INDEX(Hierarchy!$G$2:$G$1295,MATCH($D939,Hierarchy!$A$2:$A$1295,0))="","",INDEX(Hierarchy!$G$2:$G$1295,MATCH($D939,Hierarchy!$A$2:$A$1295,0))),"NODE NOT FOUND"))</f>
        <v>USA</v>
      </c>
      <c r="K939" s="7" t="str">
        <f aca="false">IF($D939="","",IFERROR(IF(INDEX(Hierarchy!$H$2:$H$1295,MATCH($D939,Hierarchy!$A$2:$A$1295,0))="","",INDEX(Hierarchy!$H$2:$H$1295,MATCH($D939,Hierarchy!$A$2:$A$1295,0))),"NODE NOT FOUND"))</f>
        <v>Louisiana</v>
      </c>
      <c r="L939" s="7" t="str">
        <f aca="false">IF($D939="","",IFERROR(IF(INDEX(Hierarchy!$I$2:$I$1295,MATCH($D939,Hierarchy!$A$2:$A$1295,0))="","",INDEX(Hierarchy!$I$2:$I$1295,MATCH($D939,Hierarchy!$A$2:$A$1295,0))),"NODE NOT FOUND"))</f>
        <v/>
      </c>
      <c r="M939" s="17" t="str">
        <f aca="false">IF(B939="Pre-seeded","Pre-seeded",IF(B939="Review 2026-09-16","Added from review",IF(C939="","New",IF(C939=D939,"","Changed"))))</f>
        <v/>
      </c>
      <c r="N939" s="7" t="str">
        <f aca="false">TRIM(SUBSTITUTE(SUBSTITUTE(SUBSTITUTE(" "&amp;TRIM(SUBSTITUTE(SUBSTITUTE(SUBSTITUTE(SUBSTITUTE(SUBSTITUTE(SUBSTITUTE(SUBSTITUTE(SUBSTITUTE(SUBSTITUTE(SUBSTITUTE(SUBSTITUTE(SUBSTITUTE(SUBSTITUTE(SUBSTITUTE(SUBSTITUTE(UPPER(TRIM(A939)),"[MEMBER]",""),"{MEMBER}",""),"[MEMBER}",""),"MEMBER]",""),"(A)",""),"""",""),"“",""),"”",""),".",""),":",""),",",""),"–"," "),"-"," "),"/"," "),"&amp;"," AND "))&amp;" "," THE "," ")," TOTAL "," ")," OPERATIONS "," "))</f>
        <v>LOUISIANA</v>
      </c>
      <c r="O939" s="17" t="str">
        <f aca="false">IF(COUNTIFS($N$2:$N$2000,N939,$D$2:$D$2000,"&lt;&gt;"&amp;D939)&gt;0,"CONFLICT","")</f>
        <v/>
      </c>
      <c r="P939" s="7"/>
    </row>
    <row r="940" customFormat="false" ht="15" hidden="false" customHeight="false" outlineLevel="0" collapsed="false">
      <c r="A940" s="7" t="s">
        <v>2363</v>
      </c>
      <c r="B940" s="7" t="s">
        <v>1879</v>
      </c>
      <c r="C940" s="7"/>
      <c r="D940" s="6" t="s">
        <v>628</v>
      </c>
      <c r="E940" s="6" t="s">
        <v>1880</v>
      </c>
      <c r="F940" s="7" t="str">
        <f aca="false">IF($D940="","",IFERROR(IF(INDEX(Hierarchy!$B$2:$B$1295,MATCH($D940,Hierarchy!$A$2:$A$1295,0))="","",INDEX(Hierarchy!$B$2:$B$1295,MATCH($D940,Hierarchy!$A$2:$A$1295,0))),"NODE NOT FOUND"))</f>
        <v>Sub-region component</v>
      </c>
      <c r="G940" s="7" t="str">
        <f aca="false">IF($D940="","",IFERROR(IF(INDEX(Hierarchy!$D$2:$D$1295,MATCH($D940,Hierarchy!$A$2:$A$1295,0))="","",INDEX(Hierarchy!$D$2:$D$1295,MATCH($D940,Hierarchy!$A$2:$A$1295,0))),"NODE NOT FOUND"))</f>
        <v>EMEA</v>
      </c>
      <c r="H940" s="7" t="str">
        <f aca="false">IF($D940="","",IFERROR(IF(INDEX(Hierarchy!$E$2:$E$1295,MATCH($D940,Hierarchy!$A$2:$A$1295,0))="","",INDEX(Hierarchy!$E$2:$E$1295,MATCH($D940,Hierarchy!$A$2:$A$1295,0))),"NODE NOT FOUND"))</f>
        <v>Europe</v>
      </c>
      <c r="I940" s="7" t="str">
        <f aca="false">IF($D940="","",IFERROR(IF(INDEX(Hierarchy!$F$2:$F$1295,MATCH($D940,Hierarchy!$A$2:$A$1295,0))="","",INDEX(Hierarchy!$F$2:$F$1295,MATCH($D940,Hierarchy!$A$2:$A$1295,0))),"NODE NOT FOUND"))</f>
        <v/>
      </c>
      <c r="J940" s="7" t="str">
        <f aca="false">IF($D940="","",IFERROR(IF(INDEX(Hierarchy!$G$2:$G$1295,MATCH($D940,Hierarchy!$A$2:$A$1295,0))="","",INDEX(Hierarchy!$G$2:$G$1295,MATCH($D940,Hierarchy!$A$2:$A$1295,0))),"NODE NOT FOUND"))</f>
        <v/>
      </c>
      <c r="K940" s="7" t="str">
        <f aca="false">IF($D940="","",IFERROR(IF(INDEX(Hierarchy!$H$2:$H$1295,MATCH($D940,Hierarchy!$A$2:$A$1295,0))="","",INDEX(Hierarchy!$H$2:$H$1295,MATCH($D940,Hierarchy!$A$2:$A$1295,0))),"NODE NOT FOUND"))</f>
        <v/>
      </c>
      <c r="L940" s="7" t="str">
        <f aca="false">IF($D940="","",IFERROR(IF(INDEX(Hierarchy!$I$2:$I$1295,MATCH($D940,Hierarchy!$A$2:$A$1295,0))="","",INDEX(Hierarchy!$I$2:$I$1295,MATCH($D940,Hierarchy!$A$2:$A$1295,0))),"NODE NOT FOUND"))</f>
        <v/>
      </c>
      <c r="M940" s="17" t="str">
        <f aca="false">IF(B940="Pre-seeded","Pre-seeded",IF(B940="Review 2026-09-16","Added from review",IF(C940="","New",IF(C940=D940,"","Changed"))))</f>
        <v>Pre-seeded</v>
      </c>
      <c r="N940" s="7" t="str">
        <f aca="false">TRIM(SUBSTITUTE(SUBSTITUTE(SUBSTITUTE(" "&amp;TRIM(SUBSTITUTE(SUBSTITUTE(SUBSTITUTE(SUBSTITUTE(SUBSTITUTE(SUBSTITUTE(SUBSTITUTE(SUBSTITUTE(SUBSTITUTE(SUBSTITUTE(SUBSTITUTE(SUBSTITUTE(SUBSTITUTE(SUBSTITUTE(SUBSTITUTE(UPPER(TRIM(A940)),"[MEMBER]",""),"{MEMBER}",""),"[MEMBER}",""),"MEMBER]",""),"(A)",""),"""",""),"“",""),"”",""),".",""),":",""),",",""),"–"," "),"-"," "),"/"," "),"&amp;"," AND "))&amp;" "," THE "," ")," TOTAL "," ")," OPERATIONS "," "))</f>
        <v>LOW COUNTRIES</v>
      </c>
      <c r="O940" s="17" t="str">
        <f aca="false">IF(COUNTIFS($N$2:$N$2000,N940,$D$2:$D$2000,"&lt;&gt;"&amp;D940)&gt;0,"CONFLICT","")</f>
        <v/>
      </c>
      <c r="P940" s="7"/>
    </row>
    <row r="941" customFormat="false" ht="15" hidden="false" customHeight="false" outlineLevel="0" collapsed="false">
      <c r="A941" s="7" t="s">
        <v>1092</v>
      </c>
      <c r="B941" s="7" t="s">
        <v>1879</v>
      </c>
      <c r="C941" s="7"/>
      <c r="D941" s="6" t="s">
        <v>1833</v>
      </c>
      <c r="E941" s="6" t="s">
        <v>1880</v>
      </c>
      <c r="F941" s="7" t="str">
        <f aca="false">IF($D941="","",IFERROR(IF(INDEX(Hierarchy!$B$2:$B$1295,MATCH($D941,Hierarchy!$A$2:$A$1295,0))="","",INDEX(Hierarchy!$B$2:$B$1295,MATCH($D941,Hierarchy!$A$2:$A$1295,0))),"NODE NOT FOUND"))</f>
        <v>Reference grouping</v>
      </c>
      <c r="G941" s="7" t="str">
        <f aca="false">IF($D941="","",IFERROR(IF(INDEX(Hierarchy!$D$2:$D$1295,MATCH($D941,Hierarchy!$A$2:$A$1295,0))="","",INDEX(Hierarchy!$D$2:$D$1295,MATCH($D941,Hierarchy!$A$2:$A$1295,0))),"NODE NOT FOUND"))</f>
        <v>Reference (UN / World Bank)</v>
      </c>
      <c r="H941" s="7" t="str">
        <f aca="false">IF($D941="","",IFERROR(IF(INDEX(Hierarchy!$E$2:$E$1295,MATCH($D941,Hierarchy!$A$2:$A$1295,0))="","",INDEX(Hierarchy!$E$2:$E$1295,MATCH($D941,Hierarchy!$A$2:$A$1295,0))),"NODE NOT FOUND"))</f>
        <v/>
      </c>
      <c r="I941" s="7" t="str">
        <f aca="false">IF($D941="","",IFERROR(IF(INDEX(Hierarchy!$F$2:$F$1295,MATCH($D941,Hierarchy!$A$2:$A$1295,0))="","",INDEX(Hierarchy!$F$2:$F$1295,MATCH($D941,Hierarchy!$A$2:$A$1295,0))),"NODE NOT FOUND"))</f>
        <v/>
      </c>
      <c r="J941" s="7" t="str">
        <f aca="false">IF($D941="","",IFERROR(IF(INDEX(Hierarchy!$G$2:$G$1295,MATCH($D941,Hierarchy!$A$2:$A$1295,0))="","",INDEX(Hierarchy!$G$2:$G$1295,MATCH($D941,Hierarchy!$A$2:$A$1295,0))),"NODE NOT FOUND"))</f>
        <v/>
      </c>
      <c r="K941" s="7" t="str">
        <f aca="false">IF($D941="","",IFERROR(IF(INDEX(Hierarchy!$H$2:$H$1295,MATCH($D941,Hierarchy!$A$2:$A$1295,0))="","",INDEX(Hierarchy!$H$2:$H$1295,MATCH($D941,Hierarchy!$A$2:$A$1295,0))),"NODE NOT FOUND"))</f>
        <v/>
      </c>
      <c r="L941" s="7" t="str">
        <f aca="false">IF($D941="","",IFERROR(IF(INDEX(Hierarchy!$I$2:$I$1295,MATCH($D941,Hierarchy!$A$2:$A$1295,0))="","",INDEX(Hierarchy!$I$2:$I$1295,MATCH($D941,Hierarchy!$A$2:$A$1295,0))),"NODE NOT FOUND"))</f>
        <v/>
      </c>
      <c r="M941" s="17" t="str">
        <f aca="false">IF(B941="Pre-seeded","Pre-seeded",IF(B941="Review 2026-09-16","Added from review",IF(C941="","New",IF(C941=D941,"","Changed"))))</f>
        <v>Pre-seeded</v>
      </c>
      <c r="N941" s="7" t="str">
        <f aca="false">TRIM(SUBSTITUTE(SUBSTITUTE(SUBSTITUTE(" "&amp;TRIM(SUBSTITUTE(SUBSTITUTE(SUBSTITUTE(SUBSTITUTE(SUBSTITUTE(SUBSTITUTE(SUBSTITUTE(SUBSTITUTE(SUBSTITUTE(SUBSTITUTE(SUBSTITUTE(SUBSTITUTE(SUBSTITUTE(SUBSTITUTE(SUBSTITUTE(UPPER(TRIM(A941)),"[MEMBER]",""),"{MEMBER}",""),"[MEMBER}",""),"MEMBER]",""),"(A)",""),"""",""),"“",""),"”",""),".",""),":",""),",",""),"–"," "),"-"," "),"/"," "),"&amp;"," AND "))&amp;" "," THE "," ")," TOTAL "," ")," OPERATIONS "," "))</f>
        <v>LOW INCOME</v>
      </c>
      <c r="O941" s="17" t="str">
        <f aca="false">IF(COUNTIFS($N$2:$N$2000,N941,$D$2:$D$2000,"&lt;&gt;"&amp;D941)&gt;0,"CONFLICT","")</f>
        <v/>
      </c>
      <c r="P941" s="7"/>
    </row>
    <row r="942" customFormat="false" ht="15" hidden="false" customHeight="false" outlineLevel="0" collapsed="false">
      <c r="A942" s="7" t="s">
        <v>1833</v>
      </c>
      <c r="B942" s="7" t="s">
        <v>1879</v>
      </c>
      <c r="C942" s="7"/>
      <c r="D942" s="6" t="s">
        <v>1833</v>
      </c>
      <c r="E942" s="6" t="s">
        <v>1880</v>
      </c>
      <c r="F942" s="7" t="str">
        <f aca="false">IF($D942="","",IFERROR(IF(INDEX(Hierarchy!$B$2:$B$1295,MATCH($D942,Hierarchy!$A$2:$A$1295,0))="","",INDEX(Hierarchy!$B$2:$B$1295,MATCH($D942,Hierarchy!$A$2:$A$1295,0))),"NODE NOT FOUND"))</f>
        <v>Reference grouping</v>
      </c>
      <c r="G942" s="7" t="str">
        <f aca="false">IF($D942="","",IFERROR(IF(INDEX(Hierarchy!$D$2:$D$1295,MATCH($D942,Hierarchy!$A$2:$A$1295,0))="","",INDEX(Hierarchy!$D$2:$D$1295,MATCH($D942,Hierarchy!$A$2:$A$1295,0))),"NODE NOT FOUND"))</f>
        <v>Reference (UN / World Bank)</v>
      </c>
      <c r="H942" s="7" t="str">
        <f aca="false">IF($D942="","",IFERROR(IF(INDEX(Hierarchy!$E$2:$E$1295,MATCH($D942,Hierarchy!$A$2:$A$1295,0))="","",INDEX(Hierarchy!$E$2:$E$1295,MATCH($D942,Hierarchy!$A$2:$A$1295,0))),"NODE NOT FOUND"))</f>
        <v/>
      </c>
      <c r="I942" s="7" t="str">
        <f aca="false">IF($D942="","",IFERROR(IF(INDEX(Hierarchy!$F$2:$F$1295,MATCH($D942,Hierarchy!$A$2:$A$1295,0))="","",INDEX(Hierarchy!$F$2:$F$1295,MATCH($D942,Hierarchy!$A$2:$A$1295,0))),"NODE NOT FOUND"))</f>
        <v/>
      </c>
      <c r="J942" s="7" t="str">
        <f aca="false">IF($D942="","",IFERROR(IF(INDEX(Hierarchy!$G$2:$G$1295,MATCH($D942,Hierarchy!$A$2:$A$1295,0))="","",INDEX(Hierarchy!$G$2:$G$1295,MATCH($D942,Hierarchy!$A$2:$A$1295,0))),"NODE NOT FOUND"))</f>
        <v/>
      </c>
      <c r="K942" s="7" t="str">
        <f aca="false">IF($D942="","",IFERROR(IF(INDEX(Hierarchy!$H$2:$H$1295,MATCH($D942,Hierarchy!$A$2:$A$1295,0))="","",INDEX(Hierarchy!$H$2:$H$1295,MATCH($D942,Hierarchy!$A$2:$A$1295,0))),"NODE NOT FOUND"))</f>
        <v/>
      </c>
      <c r="L942" s="7" t="str">
        <f aca="false">IF($D942="","",IFERROR(IF(INDEX(Hierarchy!$I$2:$I$1295,MATCH($D942,Hierarchy!$A$2:$A$1295,0))="","",INDEX(Hierarchy!$I$2:$I$1295,MATCH($D942,Hierarchy!$A$2:$A$1295,0))),"NODE NOT FOUND"))</f>
        <v/>
      </c>
      <c r="M942" s="17" t="str">
        <f aca="false">IF(B942="Pre-seeded","Pre-seeded",IF(B942="Review 2026-09-16","Added from review",IF(C942="","New",IF(C942=D942,"","Changed"))))</f>
        <v>Pre-seeded</v>
      </c>
      <c r="N942" s="7" t="str">
        <f aca="false">TRIM(SUBSTITUTE(SUBSTITUTE(SUBSTITUTE(" "&amp;TRIM(SUBSTITUTE(SUBSTITUTE(SUBSTITUTE(SUBSTITUTE(SUBSTITUTE(SUBSTITUTE(SUBSTITUTE(SUBSTITUTE(SUBSTITUTE(SUBSTITUTE(SUBSTITUTE(SUBSTITUTE(SUBSTITUTE(SUBSTITUTE(SUBSTITUTE(UPPER(TRIM(A942)),"[MEMBER]",""),"{MEMBER}",""),"[MEMBER}",""),"MEMBER]",""),"(A)",""),"""",""),"“",""),"”",""),".",""),":",""),",",""),"–"," "),"-"," "),"/"," "),"&amp;"," AND "))&amp;" "," THE "," ")," TOTAL "," ")," OPERATIONS "," "))</f>
        <v>LOW INCOME ECONOMIES (WORLD BANK)</v>
      </c>
      <c r="O942" s="17" t="str">
        <f aca="false">IF(COUNTIFS($N$2:$N$2000,N942,$D$2:$D$2000,"&lt;&gt;"&amp;D942)&gt;0,"CONFLICT","")</f>
        <v/>
      </c>
      <c r="P942" s="7"/>
    </row>
    <row r="943" customFormat="false" ht="15" hidden="false" customHeight="false" outlineLevel="0" collapsed="false">
      <c r="A943" s="7" t="s">
        <v>751</v>
      </c>
      <c r="B943" s="7" t="s">
        <v>1879</v>
      </c>
      <c r="C943" s="7"/>
      <c r="D943" s="6" t="s">
        <v>751</v>
      </c>
      <c r="E943" s="6" t="s">
        <v>1880</v>
      </c>
      <c r="F943" s="7" t="str">
        <f aca="false">IF($D943="","",IFERROR(IF(INDEX(Hierarchy!$B$2:$B$1295,MATCH($D943,Hierarchy!$A$2:$A$1295,0))="","",INDEX(Hierarchy!$B$2:$B$1295,MATCH($D943,Hierarchy!$A$2:$A$1295,0))),"NODE NOT FOUND"))</f>
        <v>State/Province</v>
      </c>
      <c r="G943" s="7" t="str">
        <f aca="false">IF($D943="","",IFERROR(IF(INDEX(Hierarchy!$D$2:$D$1295,MATCH($D943,Hierarchy!$A$2:$A$1295,0))="","",INDEX(Hierarchy!$D$2:$D$1295,MATCH($D943,Hierarchy!$A$2:$A$1295,0))),"NODE NOT FOUND"))</f>
        <v>EMEA</v>
      </c>
      <c r="H943" s="7" t="str">
        <f aca="false">IF($D943="","",IFERROR(IF(INDEX(Hierarchy!$E$2:$E$1295,MATCH($D943,Hierarchy!$A$2:$A$1295,0))="","",INDEX(Hierarchy!$E$2:$E$1295,MATCH($D943,Hierarchy!$A$2:$A$1295,0))),"NODE NOT FOUND"))</f>
        <v>Europe</v>
      </c>
      <c r="I943" s="7" t="str">
        <f aca="false">IF($D943="","",IFERROR(IF(INDEX(Hierarchy!$F$2:$F$1295,MATCH($D943,Hierarchy!$A$2:$A$1295,0))="","",INDEX(Hierarchy!$F$2:$F$1295,MATCH($D943,Hierarchy!$A$2:$A$1295,0))),"NODE NOT FOUND"))</f>
        <v>Austria</v>
      </c>
      <c r="J943" s="7" t="str">
        <f aca="false">IF($D943="","",IFERROR(IF(INDEX(Hierarchy!$G$2:$G$1295,MATCH($D943,Hierarchy!$A$2:$A$1295,0))="","",INDEX(Hierarchy!$G$2:$G$1295,MATCH($D943,Hierarchy!$A$2:$A$1295,0))),"NODE NOT FOUND"))</f>
        <v>AUT</v>
      </c>
      <c r="K943" s="7" t="str">
        <f aca="false">IF($D943="","",IFERROR(IF(INDEX(Hierarchy!$H$2:$H$1295,MATCH($D943,Hierarchy!$A$2:$A$1295,0))="","",INDEX(Hierarchy!$H$2:$H$1295,MATCH($D943,Hierarchy!$A$2:$A$1295,0))),"NODE NOT FOUND"))</f>
        <v>Lower Austria</v>
      </c>
      <c r="L943" s="7" t="str">
        <f aca="false">IF($D943="","",IFERROR(IF(INDEX(Hierarchy!$I$2:$I$1295,MATCH($D943,Hierarchy!$A$2:$A$1295,0))="","",INDEX(Hierarchy!$I$2:$I$1295,MATCH($D943,Hierarchy!$A$2:$A$1295,0))),"NODE NOT FOUND"))</f>
        <v/>
      </c>
      <c r="M943" s="17" t="str">
        <f aca="false">IF(B943="Pre-seeded","Pre-seeded",IF(B943="Review 2026-09-16","Added from review",IF(C943="","New",IF(C943=D943,"","Changed"))))</f>
        <v>Pre-seeded</v>
      </c>
      <c r="N943" s="7" t="str">
        <f aca="false">TRIM(SUBSTITUTE(SUBSTITUTE(SUBSTITUTE(" "&amp;TRIM(SUBSTITUTE(SUBSTITUTE(SUBSTITUTE(SUBSTITUTE(SUBSTITUTE(SUBSTITUTE(SUBSTITUTE(SUBSTITUTE(SUBSTITUTE(SUBSTITUTE(SUBSTITUTE(SUBSTITUTE(SUBSTITUTE(SUBSTITUTE(SUBSTITUTE(UPPER(TRIM(A943)),"[MEMBER]",""),"{MEMBER}",""),"[MEMBER}",""),"MEMBER]",""),"(A)",""),"""",""),"“",""),"”",""),".",""),":",""),",",""),"–"," "),"-"," "),"/"," "),"&amp;"," AND "))&amp;" "," THE "," ")," TOTAL "," ")," OPERATIONS "," "))</f>
        <v>LOWER AUSTRIA</v>
      </c>
      <c r="O943" s="17" t="str">
        <f aca="false">IF(COUNTIFS($N$2:$N$2000,N943,$D$2:$D$2000,"&lt;&gt;"&amp;D943)&gt;0,"CONFLICT","")</f>
        <v/>
      </c>
      <c r="P943" s="7"/>
    </row>
    <row r="944" customFormat="false" ht="15" hidden="false" customHeight="false" outlineLevel="0" collapsed="false">
      <c r="A944" s="7" t="s">
        <v>2364</v>
      </c>
      <c r="B944" s="7" t="s">
        <v>1879</v>
      </c>
      <c r="C944" s="7"/>
      <c r="D944" s="6" t="s">
        <v>1835</v>
      </c>
      <c r="E944" s="6" t="s">
        <v>1880</v>
      </c>
      <c r="F944" s="7" t="str">
        <f aca="false">IF($D944="","",IFERROR(IF(INDEX(Hierarchy!$B$2:$B$1295,MATCH($D944,Hierarchy!$A$2:$A$1295,0))="","",INDEX(Hierarchy!$B$2:$B$1295,MATCH($D944,Hierarchy!$A$2:$A$1295,0))),"NODE NOT FOUND"))</f>
        <v>Reference grouping</v>
      </c>
      <c r="G944" s="7" t="str">
        <f aca="false">IF($D944="","",IFERROR(IF(INDEX(Hierarchy!$D$2:$D$1295,MATCH($D944,Hierarchy!$A$2:$A$1295,0))="","",INDEX(Hierarchy!$D$2:$D$1295,MATCH($D944,Hierarchy!$A$2:$A$1295,0))),"NODE NOT FOUND"))</f>
        <v>Reference (UN / World Bank)</v>
      </c>
      <c r="H944" s="7" t="str">
        <f aca="false">IF($D944="","",IFERROR(IF(INDEX(Hierarchy!$E$2:$E$1295,MATCH($D944,Hierarchy!$A$2:$A$1295,0))="","",INDEX(Hierarchy!$E$2:$E$1295,MATCH($D944,Hierarchy!$A$2:$A$1295,0))),"NODE NOT FOUND"))</f>
        <v/>
      </c>
      <c r="I944" s="7" t="str">
        <f aca="false">IF($D944="","",IFERROR(IF(INDEX(Hierarchy!$F$2:$F$1295,MATCH($D944,Hierarchy!$A$2:$A$1295,0))="","",INDEX(Hierarchy!$F$2:$F$1295,MATCH($D944,Hierarchy!$A$2:$A$1295,0))),"NODE NOT FOUND"))</f>
        <v/>
      </c>
      <c r="J944" s="7" t="str">
        <f aca="false">IF($D944="","",IFERROR(IF(INDEX(Hierarchy!$G$2:$G$1295,MATCH($D944,Hierarchy!$A$2:$A$1295,0))="","",INDEX(Hierarchy!$G$2:$G$1295,MATCH($D944,Hierarchy!$A$2:$A$1295,0))),"NODE NOT FOUND"))</f>
        <v/>
      </c>
      <c r="K944" s="7" t="str">
        <f aca="false">IF($D944="","",IFERROR(IF(INDEX(Hierarchy!$H$2:$H$1295,MATCH($D944,Hierarchy!$A$2:$A$1295,0))="","",INDEX(Hierarchy!$H$2:$H$1295,MATCH($D944,Hierarchy!$A$2:$A$1295,0))),"NODE NOT FOUND"))</f>
        <v/>
      </c>
      <c r="L944" s="7" t="str">
        <f aca="false">IF($D944="","",IFERROR(IF(INDEX(Hierarchy!$I$2:$I$1295,MATCH($D944,Hierarchy!$A$2:$A$1295,0))="","",INDEX(Hierarchy!$I$2:$I$1295,MATCH($D944,Hierarchy!$A$2:$A$1295,0))),"NODE NOT FOUND"))</f>
        <v/>
      </c>
      <c r="M944" s="17" t="str">
        <f aca="false">IF(B944="Pre-seeded","Pre-seeded",IF(B944="Review 2026-09-16","Added from review",IF(C944="","New",IF(C944=D944,"","Changed"))))</f>
        <v>Pre-seeded</v>
      </c>
      <c r="N944" s="7" t="str">
        <f aca="false">TRIM(SUBSTITUTE(SUBSTITUTE(SUBSTITUTE(" "&amp;TRIM(SUBSTITUTE(SUBSTITUTE(SUBSTITUTE(SUBSTITUTE(SUBSTITUTE(SUBSTITUTE(SUBSTITUTE(SUBSTITUTE(SUBSTITUTE(SUBSTITUTE(SUBSTITUTE(SUBSTITUTE(SUBSTITUTE(SUBSTITUTE(SUBSTITUTE(UPPER(TRIM(A944)),"[MEMBER]",""),"{MEMBER}",""),"[MEMBER}",""),"MEMBER]",""),"(A)",""),"""",""),"“",""),"”",""),".",""),":",""),",",""),"–"," "),"-"," "),"/"," "),"&amp;"," AND "))&amp;" "," THE "," ")," TOTAL "," ")," OPERATIONS "," "))</f>
        <v>LOWER MIDDLE INCOME</v>
      </c>
      <c r="O944" s="17" t="str">
        <f aca="false">IF(COUNTIFS($N$2:$N$2000,N944,$D$2:$D$2000,"&lt;&gt;"&amp;D944)&gt;0,"CONFLICT","")</f>
        <v/>
      </c>
      <c r="P944" s="7"/>
    </row>
    <row r="945" customFormat="false" ht="15" hidden="false" customHeight="false" outlineLevel="0" collapsed="false">
      <c r="A945" s="7" t="s">
        <v>703</v>
      </c>
      <c r="B945" s="7" t="s">
        <v>1879</v>
      </c>
      <c r="C945" s="7"/>
      <c r="D945" s="6" t="s">
        <v>703</v>
      </c>
      <c r="E945" s="6" t="s">
        <v>1880</v>
      </c>
      <c r="F945" s="7" t="str">
        <f aca="false">IF($D945="","",IFERROR(IF(INDEX(Hierarchy!$B$2:$B$1295,MATCH($D945,Hierarchy!$A$2:$A$1295,0))="","",INDEX(Hierarchy!$B$2:$B$1295,MATCH($D945,Hierarchy!$A$2:$A$1295,0))),"NODE NOT FOUND"))</f>
        <v>State/Province</v>
      </c>
      <c r="G945" s="7" t="str">
        <f aca="false">IF($D945="","",IFERROR(IF(INDEX(Hierarchy!$D$2:$D$1295,MATCH($D945,Hierarchy!$A$2:$A$1295,0))="","",INDEX(Hierarchy!$D$2:$D$1295,MATCH($D945,Hierarchy!$A$2:$A$1295,0))),"NODE NOT FOUND"))</f>
        <v>EMEA</v>
      </c>
      <c r="H945" s="7" t="str">
        <f aca="false">IF($D945="","",IFERROR(IF(INDEX(Hierarchy!$E$2:$E$1295,MATCH($D945,Hierarchy!$A$2:$A$1295,0))="","",INDEX(Hierarchy!$E$2:$E$1295,MATCH($D945,Hierarchy!$A$2:$A$1295,0))),"NODE NOT FOUND"))</f>
        <v>Europe</v>
      </c>
      <c r="I945" s="7" t="str">
        <f aca="false">IF($D945="","",IFERROR(IF(INDEX(Hierarchy!$F$2:$F$1295,MATCH($D945,Hierarchy!$A$2:$A$1295,0))="","",INDEX(Hierarchy!$F$2:$F$1295,MATCH($D945,Hierarchy!$A$2:$A$1295,0))),"NODE NOT FOUND"))</f>
        <v>Germany</v>
      </c>
      <c r="J945" s="7" t="str">
        <f aca="false">IF($D945="","",IFERROR(IF(INDEX(Hierarchy!$G$2:$G$1295,MATCH($D945,Hierarchy!$A$2:$A$1295,0))="","",INDEX(Hierarchy!$G$2:$G$1295,MATCH($D945,Hierarchy!$A$2:$A$1295,0))),"NODE NOT FOUND"))</f>
        <v>DEU</v>
      </c>
      <c r="K945" s="7" t="str">
        <f aca="false">IF($D945="","",IFERROR(IF(INDEX(Hierarchy!$H$2:$H$1295,MATCH($D945,Hierarchy!$A$2:$A$1295,0))="","",INDEX(Hierarchy!$H$2:$H$1295,MATCH($D945,Hierarchy!$A$2:$A$1295,0))),"NODE NOT FOUND"))</f>
        <v>Lower Saxony</v>
      </c>
      <c r="L945" s="7" t="str">
        <f aca="false">IF($D945="","",IFERROR(IF(INDEX(Hierarchy!$I$2:$I$1295,MATCH($D945,Hierarchy!$A$2:$A$1295,0))="","",INDEX(Hierarchy!$I$2:$I$1295,MATCH($D945,Hierarchy!$A$2:$A$1295,0))),"NODE NOT FOUND"))</f>
        <v/>
      </c>
      <c r="M945" s="17" t="str">
        <f aca="false">IF(B945="Pre-seeded","Pre-seeded",IF(B945="Review 2026-09-16","Added from review",IF(C945="","New",IF(C945=D945,"","Changed"))))</f>
        <v>Pre-seeded</v>
      </c>
      <c r="N945" s="7" t="str">
        <f aca="false">TRIM(SUBSTITUTE(SUBSTITUTE(SUBSTITUTE(" "&amp;TRIM(SUBSTITUTE(SUBSTITUTE(SUBSTITUTE(SUBSTITUTE(SUBSTITUTE(SUBSTITUTE(SUBSTITUTE(SUBSTITUTE(SUBSTITUTE(SUBSTITUTE(SUBSTITUTE(SUBSTITUTE(SUBSTITUTE(SUBSTITUTE(SUBSTITUTE(UPPER(TRIM(A945)),"[MEMBER]",""),"{MEMBER}",""),"[MEMBER}",""),"MEMBER]",""),"(A)",""),"""",""),"“",""),"”",""),".",""),":",""),",",""),"–"," "),"-"," "),"/"," "),"&amp;"," AND "))&amp;" "," THE "," ")," TOTAL "," ")," OPERATIONS "," "))</f>
        <v>LOWER SAXONY</v>
      </c>
      <c r="O945" s="17" t="str">
        <f aca="false">IF(COUNTIFS($N$2:$N$2000,N945,$D$2:$D$2000,"&lt;&gt;"&amp;D945)&gt;0,"CONFLICT","")</f>
        <v/>
      </c>
      <c r="P945" s="7"/>
    </row>
    <row r="946" customFormat="false" ht="15" hidden="false" customHeight="false" outlineLevel="0" collapsed="false">
      <c r="A946" s="7" t="s">
        <v>913</v>
      </c>
      <c r="B946" s="7" t="s">
        <v>1879</v>
      </c>
      <c r="C946" s="7"/>
      <c r="D946" s="6" t="s">
        <v>913</v>
      </c>
      <c r="E946" s="6" t="s">
        <v>1880</v>
      </c>
      <c r="F946" s="7" t="str">
        <f aca="false">IF($D946="","",IFERROR(IF(INDEX(Hierarchy!$B$2:$B$1295,MATCH($D946,Hierarchy!$A$2:$A$1295,0))="","",INDEX(Hierarchy!$B$2:$B$1295,MATCH($D946,Hierarchy!$A$2:$A$1295,0))),"NODE NOT FOUND"))</f>
        <v>State/Province</v>
      </c>
      <c r="G946" s="7" t="str">
        <f aca="false">IF($D946="","",IFERROR(IF(INDEX(Hierarchy!$D$2:$D$1295,MATCH($D946,Hierarchy!$A$2:$A$1295,0))="","",INDEX(Hierarchy!$D$2:$D$1295,MATCH($D946,Hierarchy!$A$2:$A$1295,0))),"NODE NOT FOUND"))</f>
        <v>EMEA</v>
      </c>
      <c r="H946" s="7" t="str">
        <f aca="false">IF($D946="","",IFERROR(IF(INDEX(Hierarchy!$E$2:$E$1295,MATCH($D946,Hierarchy!$A$2:$A$1295,0))="","",INDEX(Hierarchy!$E$2:$E$1295,MATCH($D946,Hierarchy!$A$2:$A$1295,0))),"NODE NOT FOUND"))</f>
        <v>Europe</v>
      </c>
      <c r="I946" s="7" t="str">
        <f aca="false">IF($D946="","",IFERROR(IF(INDEX(Hierarchy!$F$2:$F$1295,MATCH($D946,Hierarchy!$A$2:$A$1295,0))="","",INDEX(Hierarchy!$F$2:$F$1295,MATCH($D946,Hierarchy!$A$2:$A$1295,0))),"NODE NOT FOUND"))</f>
        <v>Poland</v>
      </c>
      <c r="J946" s="7" t="str">
        <f aca="false">IF($D946="","",IFERROR(IF(INDEX(Hierarchy!$G$2:$G$1295,MATCH($D946,Hierarchy!$A$2:$A$1295,0))="","",INDEX(Hierarchy!$G$2:$G$1295,MATCH($D946,Hierarchy!$A$2:$A$1295,0))),"NODE NOT FOUND"))</f>
        <v>POL</v>
      </c>
      <c r="K946" s="7" t="str">
        <f aca="false">IF($D946="","",IFERROR(IF(INDEX(Hierarchy!$H$2:$H$1295,MATCH($D946,Hierarchy!$A$2:$A$1295,0))="","",INDEX(Hierarchy!$H$2:$H$1295,MATCH($D946,Hierarchy!$A$2:$A$1295,0))),"NODE NOT FOUND"))</f>
        <v>Lower Silesian</v>
      </c>
      <c r="L946" s="7" t="str">
        <f aca="false">IF($D946="","",IFERROR(IF(INDEX(Hierarchy!$I$2:$I$1295,MATCH($D946,Hierarchy!$A$2:$A$1295,0))="","",INDEX(Hierarchy!$I$2:$I$1295,MATCH($D946,Hierarchy!$A$2:$A$1295,0))),"NODE NOT FOUND"))</f>
        <v/>
      </c>
      <c r="M946" s="17" t="str">
        <f aca="false">IF(B946="Pre-seeded","Pre-seeded",IF(B946="Review 2026-09-16","Added from review",IF(C946="","New",IF(C946=D946,"","Changed"))))</f>
        <v>Pre-seeded</v>
      </c>
      <c r="N946" s="7" t="str">
        <f aca="false">TRIM(SUBSTITUTE(SUBSTITUTE(SUBSTITUTE(" "&amp;TRIM(SUBSTITUTE(SUBSTITUTE(SUBSTITUTE(SUBSTITUTE(SUBSTITUTE(SUBSTITUTE(SUBSTITUTE(SUBSTITUTE(SUBSTITUTE(SUBSTITUTE(SUBSTITUTE(SUBSTITUTE(SUBSTITUTE(SUBSTITUTE(SUBSTITUTE(UPPER(TRIM(A946)),"[MEMBER]",""),"{MEMBER}",""),"[MEMBER}",""),"MEMBER]",""),"(A)",""),"""",""),"“",""),"”",""),".",""),":",""),",",""),"–"," "),"-"," "),"/"," "),"&amp;"," AND "))&amp;" "," THE "," ")," TOTAL "," ")," OPERATIONS "," "))</f>
        <v>LOWER SILESIAN</v>
      </c>
      <c r="O946" s="17" t="str">
        <f aca="false">IF(COUNTIFS($N$2:$N$2000,N946,$D$2:$D$2000,"&lt;&gt;"&amp;D946)&gt;0,"CONFLICT","")</f>
        <v/>
      </c>
      <c r="P946" s="7"/>
    </row>
    <row r="947" customFormat="false" ht="15" hidden="false" customHeight="false" outlineLevel="0" collapsed="false">
      <c r="A947" s="7" t="s">
        <v>1835</v>
      </c>
      <c r="B947" s="7" t="s">
        <v>1879</v>
      </c>
      <c r="C947" s="7"/>
      <c r="D947" s="6" t="s">
        <v>1835</v>
      </c>
      <c r="E947" s="6" t="s">
        <v>1880</v>
      </c>
      <c r="F947" s="7" t="str">
        <f aca="false">IF($D947="","",IFERROR(IF(INDEX(Hierarchy!$B$2:$B$1295,MATCH($D947,Hierarchy!$A$2:$A$1295,0))="","",INDEX(Hierarchy!$B$2:$B$1295,MATCH($D947,Hierarchy!$A$2:$A$1295,0))),"NODE NOT FOUND"))</f>
        <v>Reference grouping</v>
      </c>
      <c r="G947" s="7" t="str">
        <f aca="false">IF($D947="","",IFERROR(IF(INDEX(Hierarchy!$D$2:$D$1295,MATCH($D947,Hierarchy!$A$2:$A$1295,0))="","",INDEX(Hierarchy!$D$2:$D$1295,MATCH($D947,Hierarchy!$A$2:$A$1295,0))),"NODE NOT FOUND"))</f>
        <v>Reference (UN / World Bank)</v>
      </c>
      <c r="H947" s="7" t="str">
        <f aca="false">IF($D947="","",IFERROR(IF(INDEX(Hierarchy!$E$2:$E$1295,MATCH($D947,Hierarchy!$A$2:$A$1295,0))="","",INDEX(Hierarchy!$E$2:$E$1295,MATCH($D947,Hierarchy!$A$2:$A$1295,0))),"NODE NOT FOUND"))</f>
        <v/>
      </c>
      <c r="I947" s="7" t="str">
        <f aca="false">IF($D947="","",IFERROR(IF(INDEX(Hierarchy!$F$2:$F$1295,MATCH($D947,Hierarchy!$A$2:$A$1295,0))="","",INDEX(Hierarchy!$F$2:$F$1295,MATCH($D947,Hierarchy!$A$2:$A$1295,0))),"NODE NOT FOUND"))</f>
        <v/>
      </c>
      <c r="J947" s="7" t="str">
        <f aca="false">IF($D947="","",IFERROR(IF(INDEX(Hierarchy!$G$2:$G$1295,MATCH($D947,Hierarchy!$A$2:$A$1295,0))="","",INDEX(Hierarchy!$G$2:$G$1295,MATCH($D947,Hierarchy!$A$2:$A$1295,0))),"NODE NOT FOUND"))</f>
        <v/>
      </c>
      <c r="K947" s="7" t="str">
        <f aca="false">IF($D947="","",IFERROR(IF(INDEX(Hierarchy!$H$2:$H$1295,MATCH($D947,Hierarchy!$A$2:$A$1295,0))="","",INDEX(Hierarchy!$H$2:$H$1295,MATCH($D947,Hierarchy!$A$2:$A$1295,0))),"NODE NOT FOUND"))</f>
        <v/>
      </c>
      <c r="L947" s="7" t="str">
        <f aca="false">IF($D947="","",IFERROR(IF(INDEX(Hierarchy!$I$2:$I$1295,MATCH($D947,Hierarchy!$A$2:$A$1295,0))="","",INDEX(Hierarchy!$I$2:$I$1295,MATCH($D947,Hierarchy!$A$2:$A$1295,0))),"NODE NOT FOUND"))</f>
        <v/>
      </c>
      <c r="M947" s="17" t="str">
        <f aca="false">IF(B947="Pre-seeded","Pre-seeded",IF(B947="Review 2026-09-16","Added from review",IF(C947="","New",IF(C947=D947,"","Changed"))))</f>
        <v>Pre-seeded</v>
      </c>
      <c r="N947" s="7" t="str">
        <f aca="false">TRIM(SUBSTITUTE(SUBSTITUTE(SUBSTITUTE(" "&amp;TRIM(SUBSTITUTE(SUBSTITUTE(SUBSTITUTE(SUBSTITUTE(SUBSTITUTE(SUBSTITUTE(SUBSTITUTE(SUBSTITUTE(SUBSTITUTE(SUBSTITUTE(SUBSTITUTE(SUBSTITUTE(SUBSTITUTE(SUBSTITUTE(SUBSTITUTE(UPPER(TRIM(A947)),"[MEMBER]",""),"{MEMBER}",""),"[MEMBER}",""),"MEMBER]",""),"(A)",""),"""",""),"“",""),"”",""),".",""),":",""),",",""),"–"," "),"-"," "),"/"," "),"&amp;"," AND "))&amp;" "," THE "," ")," TOTAL "," ")," OPERATIONS "," "))</f>
        <v>LOWER MIDDLE INCOME ECONOMIES (WORLD BANK)</v>
      </c>
      <c r="O947" s="17" t="str">
        <f aca="false">IF(COUNTIFS($N$2:$N$2000,N947,$D$2:$D$2000,"&lt;&gt;"&amp;D947)&gt;0,"CONFLICT","")</f>
        <v/>
      </c>
      <c r="P947" s="7"/>
    </row>
    <row r="948" customFormat="false" ht="15" hidden="false" customHeight="false" outlineLevel="0" collapsed="false">
      <c r="A948" s="7" t="s">
        <v>914</v>
      </c>
      <c r="B948" s="7" t="s">
        <v>1879</v>
      </c>
      <c r="C948" s="7"/>
      <c r="D948" s="6" t="s">
        <v>914</v>
      </c>
      <c r="E948" s="6" t="s">
        <v>1880</v>
      </c>
      <c r="F948" s="7" t="str">
        <f aca="false">IF($D948="","",IFERROR(IF(INDEX(Hierarchy!$B$2:$B$1295,MATCH($D948,Hierarchy!$A$2:$A$1295,0))="","",INDEX(Hierarchy!$B$2:$B$1295,MATCH($D948,Hierarchy!$A$2:$A$1295,0))),"NODE NOT FOUND"))</f>
        <v>State/Province</v>
      </c>
      <c r="G948" s="7" t="str">
        <f aca="false">IF($D948="","",IFERROR(IF(INDEX(Hierarchy!$D$2:$D$1295,MATCH($D948,Hierarchy!$A$2:$A$1295,0))="","",INDEX(Hierarchy!$D$2:$D$1295,MATCH($D948,Hierarchy!$A$2:$A$1295,0))),"NODE NOT FOUND"))</f>
        <v>EMEA</v>
      </c>
      <c r="H948" s="7" t="str">
        <f aca="false">IF($D948="","",IFERROR(IF(INDEX(Hierarchy!$E$2:$E$1295,MATCH($D948,Hierarchy!$A$2:$A$1295,0))="","",INDEX(Hierarchy!$E$2:$E$1295,MATCH($D948,Hierarchy!$A$2:$A$1295,0))),"NODE NOT FOUND"))</f>
        <v>Europe</v>
      </c>
      <c r="I948" s="7" t="str">
        <f aca="false">IF($D948="","",IFERROR(IF(INDEX(Hierarchy!$F$2:$F$1295,MATCH($D948,Hierarchy!$A$2:$A$1295,0))="","",INDEX(Hierarchy!$F$2:$F$1295,MATCH($D948,Hierarchy!$A$2:$A$1295,0))),"NODE NOT FOUND"))</f>
        <v>Poland</v>
      </c>
      <c r="J948" s="7" t="str">
        <f aca="false">IF($D948="","",IFERROR(IF(INDEX(Hierarchy!$G$2:$G$1295,MATCH($D948,Hierarchy!$A$2:$A$1295,0))="","",INDEX(Hierarchy!$G$2:$G$1295,MATCH($D948,Hierarchy!$A$2:$A$1295,0))),"NODE NOT FOUND"))</f>
        <v>POL</v>
      </c>
      <c r="K948" s="7" t="str">
        <f aca="false">IF($D948="","",IFERROR(IF(INDEX(Hierarchy!$H$2:$H$1295,MATCH($D948,Hierarchy!$A$2:$A$1295,0))="","",INDEX(Hierarchy!$H$2:$H$1295,MATCH($D948,Hierarchy!$A$2:$A$1295,0))),"NODE NOT FOUND"))</f>
        <v>Lublin</v>
      </c>
      <c r="L948" s="7" t="str">
        <f aca="false">IF($D948="","",IFERROR(IF(INDEX(Hierarchy!$I$2:$I$1295,MATCH($D948,Hierarchy!$A$2:$A$1295,0))="","",INDEX(Hierarchy!$I$2:$I$1295,MATCH($D948,Hierarchy!$A$2:$A$1295,0))),"NODE NOT FOUND"))</f>
        <v/>
      </c>
      <c r="M948" s="17" t="str">
        <f aca="false">IF(B948="Pre-seeded","Pre-seeded",IF(B948="Review 2026-09-16","Added from review",IF(C948="","New",IF(C948=D948,"","Changed"))))</f>
        <v>Pre-seeded</v>
      </c>
      <c r="N948" s="7" t="str">
        <f aca="false">TRIM(SUBSTITUTE(SUBSTITUTE(SUBSTITUTE(" "&amp;TRIM(SUBSTITUTE(SUBSTITUTE(SUBSTITUTE(SUBSTITUTE(SUBSTITUTE(SUBSTITUTE(SUBSTITUTE(SUBSTITUTE(SUBSTITUTE(SUBSTITUTE(SUBSTITUTE(SUBSTITUTE(SUBSTITUTE(SUBSTITUTE(SUBSTITUTE(UPPER(TRIM(A948)),"[MEMBER]",""),"{MEMBER}",""),"[MEMBER}",""),"MEMBER]",""),"(A)",""),"""",""),"“",""),"”",""),".",""),":",""),",",""),"–"," "),"-"," "),"/"," "),"&amp;"," AND "))&amp;" "," THE "," ")," TOTAL "," ")," OPERATIONS "," "))</f>
        <v>LUBLIN</v>
      </c>
      <c r="O948" s="17" t="str">
        <f aca="false">IF(COUNTIFS($N$2:$N$2000,N948,$D$2:$D$2000,"&lt;&gt;"&amp;D948)&gt;0,"CONFLICT","")</f>
        <v/>
      </c>
      <c r="P948" s="7"/>
    </row>
    <row r="949" customFormat="false" ht="15" hidden="false" customHeight="false" outlineLevel="0" collapsed="false">
      <c r="A949" s="7" t="s">
        <v>915</v>
      </c>
      <c r="B949" s="7" t="s">
        <v>1879</v>
      </c>
      <c r="C949" s="7"/>
      <c r="D949" s="6" t="s">
        <v>915</v>
      </c>
      <c r="E949" s="6" t="s">
        <v>1880</v>
      </c>
      <c r="F949" s="7" t="str">
        <f aca="false">IF($D949="","",IFERROR(IF(INDEX(Hierarchy!$B$2:$B$1295,MATCH($D949,Hierarchy!$A$2:$A$1295,0))="","",INDEX(Hierarchy!$B$2:$B$1295,MATCH($D949,Hierarchy!$A$2:$A$1295,0))),"NODE NOT FOUND"))</f>
        <v>State/Province</v>
      </c>
      <c r="G949" s="7" t="str">
        <f aca="false">IF($D949="","",IFERROR(IF(INDEX(Hierarchy!$D$2:$D$1295,MATCH($D949,Hierarchy!$A$2:$A$1295,0))="","",INDEX(Hierarchy!$D$2:$D$1295,MATCH($D949,Hierarchy!$A$2:$A$1295,0))),"NODE NOT FOUND"))</f>
        <v>EMEA</v>
      </c>
      <c r="H949" s="7" t="str">
        <f aca="false">IF($D949="","",IFERROR(IF(INDEX(Hierarchy!$E$2:$E$1295,MATCH($D949,Hierarchy!$A$2:$A$1295,0))="","",INDEX(Hierarchy!$E$2:$E$1295,MATCH($D949,Hierarchy!$A$2:$A$1295,0))),"NODE NOT FOUND"))</f>
        <v>Europe</v>
      </c>
      <c r="I949" s="7" t="str">
        <f aca="false">IF($D949="","",IFERROR(IF(INDEX(Hierarchy!$F$2:$F$1295,MATCH($D949,Hierarchy!$A$2:$A$1295,0))="","",INDEX(Hierarchy!$F$2:$F$1295,MATCH($D949,Hierarchy!$A$2:$A$1295,0))),"NODE NOT FOUND"))</f>
        <v>Poland</v>
      </c>
      <c r="J949" s="7" t="str">
        <f aca="false">IF($D949="","",IFERROR(IF(INDEX(Hierarchy!$G$2:$G$1295,MATCH($D949,Hierarchy!$A$2:$A$1295,0))="","",INDEX(Hierarchy!$G$2:$G$1295,MATCH($D949,Hierarchy!$A$2:$A$1295,0))),"NODE NOT FOUND"))</f>
        <v>POL</v>
      </c>
      <c r="K949" s="7" t="str">
        <f aca="false">IF($D949="","",IFERROR(IF(INDEX(Hierarchy!$H$2:$H$1295,MATCH($D949,Hierarchy!$A$2:$A$1295,0))="","",INDEX(Hierarchy!$H$2:$H$1295,MATCH($D949,Hierarchy!$A$2:$A$1295,0))),"NODE NOT FOUND"))</f>
        <v>Lubusz</v>
      </c>
      <c r="L949" s="7" t="str">
        <f aca="false">IF($D949="","",IFERROR(IF(INDEX(Hierarchy!$I$2:$I$1295,MATCH($D949,Hierarchy!$A$2:$A$1295,0))="","",INDEX(Hierarchy!$I$2:$I$1295,MATCH($D949,Hierarchy!$A$2:$A$1295,0))),"NODE NOT FOUND"))</f>
        <v/>
      </c>
      <c r="M949" s="17" t="str">
        <f aca="false">IF(B949="Pre-seeded","Pre-seeded",IF(B949="Review 2026-09-16","Added from review",IF(C949="","New",IF(C949=D949,"","Changed"))))</f>
        <v>Pre-seeded</v>
      </c>
      <c r="N949" s="7" t="str">
        <f aca="false">TRIM(SUBSTITUTE(SUBSTITUTE(SUBSTITUTE(" "&amp;TRIM(SUBSTITUTE(SUBSTITUTE(SUBSTITUTE(SUBSTITUTE(SUBSTITUTE(SUBSTITUTE(SUBSTITUTE(SUBSTITUTE(SUBSTITUTE(SUBSTITUTE(SUBSTITUTE(SUBSTITUTE(SUBSTITUTE(SUBSTITUTE(SUBSTITUTE(UPPER(TRIM(A949)),"[MEMBER]",""),"{MEMBER}",""),"[MEMBER}",""),"MEMBER]",""),"(A)",""),"""",""),"“",""),"”",""),".",""),":",""),",",""),"–"," "),"-"," "),"/"," "),"&amp;"," AND "))&amp;" "," THE "," ")," TOTAL "," ")," OPERATIONS "," "))</f>
        <v>LUBUSZ</v>
      </c>
      <c r="O949" s="17" t="str">
        <f aca="false">IF(COUNTIFS($N$2:$N$2000,N949,$D$2:$D$2000,"&lt;&gt;"&amp;D949)&gt;0,"CONFLICT","")</f>
        <v/>
      </c>
      <c r="P949" s="7"/>
    </row>
    <row r="950" customFormat="false" ht="15" hidden="false" customHeight="false" outlineLevel="0" collapsed="false">
      <c r="A950" s="7" t="s">
        <v>993</v>
      </c>
      <c r="B950" s="7" t="s">
        <v>1879</v>
      </c>
      <c r="C950" s="7"/>
      <c r="D950" s="6" t="s">
        <v>993</v>
      </c>
      <c r="E950" s="6" t="s">
        <v>1880</v>
      </c>
      <c r="F950" s="7" t="str">
        <f aca="false">IF($D950="","",IFERROR(IF(INDEX(Hierarchy!$B$2:$B$1295,MATCH($D950,Hierarchy!$A$2:$A$1295,0))="","",INDEX(Hierarchy!$B$2:$B$1295,MATCH($D950,Hierarchy!$A$2:$A$1295,0))),"NODE NOT FOUND"))</f>
        <v>State/Province</v>
      </c>
      <c r="G950" s="7" t="str">
        <f aca="false">IF($D950="","",IFERROR(IF(INDEX(Hierarchy!$D$2:$D$1295,MATCH($D950,Hierarchy!$A$2:$A$1295,0))="","",INDEX(Hierarchy!$D$2:$D$1295,MATCH($D950,Hierarchy!$A$2:$A$1295,0))),"NODE NOT FOUND"))</f>
        <v>EMEA</v>
      </c>
      <c r="H950" s="7" t="str">
        <f aca="false">IF($D950="","",IFERROR(IF(INDEX(Hierarchy!$E$2:$E$1295,MATCH($D950,Hierarchy!$A$2:$A$1295,0))="","",INDEX(Hierarchy!$E$2:$E$1295,MATCH($D950,Hierarchy!$A$2:$A$1295,0))),"NODE NOT FOUND"))</f>
        <v>Europe</v>
      </c>
      <c r="I950" s="7" t="str">
        <f aca="false">IF($D950="","",IFERROR(IF(INDEX(Hierarchy!$F$2:$F$1295,MATCH($D950,Hierarchy!$A$2:$A$1295,0))="","",INDEX(Hierarchy!$F$2:$F$1295,MATCH($D950,Hierarchy!$A$2:$A$1295,0))),"NODE NOT FOUND"))</f>
        <v>Switzerland</v>
      </c>
      <c r="J950" s="7" t="str">
        <f aca="false">IF($D950="","",IFERROR(IF(INDEX(Hierarchy!$G$2:$G$1295,MATCH($D950,Hierarchy!$A$2:$A$1295,0))="","",INDEX(Hierarchy!$G$2:$G$1295,MATCH($D950,Hierarchy!$A$2:$A$1295,0))),"NODE NOT FOUND"))</f>
        <v>CHE</v>
      </c>
      <c r="K950" s="7" t="str">
        <f aca="false">IF($D950="","",IFERROR(IF(INDEX(Hierarchy!$H$2:$H$1295,MATCH($D950,Hierarchy!$A$2:$A$1295,0))="","",INDEX(Hierarchy!$H$2:$H$1295,MATCH($D950,Hierarchy!$A$2:$A$1295,0))),"NODE NOT FOUND"))</f>
        <v>Lucerne</v>
      </c>
      <c r="L950" s="7" t="str">
        <f aca="false">IF($D950="","",IFERROR(IF(INDEX(Hierarchy!$I$2:$I$1295,MATCH($D950,Hierarchy!$A$2:$A$1295,0))="","",INDEX(Hierarchy!$I$2:$I$1295,MATCH($D950,Hierarchy!$A$2:$A$1295,0))),"NODE NOT FOUND"))</f>
        <v/>
      </c>
      <c r="M950" s="17" t="str">
        <f aca="false">IF(B950="Pre-seeded","Pre-seeded",IF(B950="Review 2026-09-16","Added from review",IF(C950="","New",IF(C950=D950,"","Changed"))))</f>
        <v>Pre-seeded</v>
      </c>
      <c r="N950" s="7" t="str">
        <f aca="false">TRIM(SUBSTITUTE(SUBSTITUTE(SUBSTITUTE(" "&amp;TRIM(SUBSTITUTE(SUBSTITUTE(SUBSTITUTE(SUBSTITUTE(SUBSTITUTE(SUBSTITUTE(SUBSTITUTE(SUBSTITUTE(SUBSTITUTE(SUBSTITUTE(SUBSTITUTE(SUBSTITUTE(SUBSTITUTE(SUBSTITUTE(SUBSTITUTE(UPPER(TRIM(A950)),"[MEMBER]",""),"{MEMBER}",""),"[MEMBER}",""),"MEMBER]",""),"(A)",""),"""",""),"“",""),"”",""),".",""),":",""),",",""),"–"," "),"-"," "),"/"," "),"&amp;"," AND "))&amp;" "," THE "," ")," TOTAL "," ")," OPERATIONS "," "))</f>
        <v>LUCERNE</v>
      </c>
      <c r="O950" s="17" t="str">
        <f aca="false">IF(COUNTIFS($N$2:$N$2000,N950,$D$2:$D$2000,"&lt;&gt;"&amp;D950)&gt;0,"CONFLICT","")</f>
        <v/>
      </c>
      <c r="P950" s="7"/>
    </row>
    <row r="951" customFormat="false" ht="15" hidden="false" customHeight="false" outlineLevel="0" collapsed="false">
      <c r="A951" s="7" t="s">
        <v>870</v>
      </c>
      <c r="B951" s="7" t="s">
        <v>1882</v>
      </c>
      <c r="C951" s="7" t="s">
        <v>870</v>
      </c>
      <c r="D951" s="6" t="s">
        <v>870</v>
      </c>
      <c r="E951" s="6" t="s">
        <v>1880</v>
      </c>
      <c r="F951" s="7" t="str">
        <f aca="false">IF($D951="","",IFERROR(IF(INDEX(Hierarchy!$B$2:$B$1295,MATCH($D951,Hierarchy!$A$2:$A$1295,0))="","",INDEX(Hierarchy!$B$2:$B$1295,MATCH($D951,Hierarchy!$A$2:$A$1295,0))),"NODE NOT FOUND"))</f>
        <v>Country</v>
      </c>
      <c r="G951" s="7" t="str">
        <f aca="false">IF($D951="","",IFERROR(IF(INDEX(Hierarchy!$D$2:$D$1295,MATCH($D951,Hierarchy!$A$2:$A$1295,0))="","",INDEX(Hierarchy!$D$2:$D$1295,MATCH($D951,Hierarchy!$A$2:$A$1295,0))),"NODE NOT FOUND"))</f>
        <v>EMEA</v>
      </c>
      <c r="H951" s="7" t="str">
        <f aca="false">IF($D951="","",IFERROR(IF(INDEX(Hierarchy!$E$2:$E$1295,MATCH($D951,Hierarchy!$A$2:$A$1295,0))="","",INDEX(Hierarchy!$E$2:$E$1295,MATCH($D951,Hierarchy!$A$2:$A$1295,0))),"NODE NOT FOUND"))</f>
        <v>Europe</v>
      </c>
      <c r="I951" s="7" t="str">
        <f aca="false">IF($D951="","",IFERROR(IF(INDEX(Hierarchy!$F$2:$F$1295,MATCH($D951,Hierarchy!$A$2:$A$1295,0))="","",INDEX(Hierarchy!$F$2:$F$1295,MATCH($D951,Hierarchy!$A$2:$A$1295,0))),"NODE NOT FOUND"))</f>
        <v>Luxembourg</v>
      </c>
      <c r="J951" s="7" t="str">
        <f aca="false">IF($D951="","",IFERROR(IF(INDEX(Hierarchy!$G$2:$G$1295,MATCH($D951,Hierarchy!$A$2:$A$1295,0))="","",INDEX(Hierarchy!$G$2:$G$1295,MATCH($D951,Hierarchy!$A$2:$A$1295,0))),"NODE NOT FOUND"))</f>
        <v>LUX</v>
      </c>
      <c r="K951" s="7" t="str">
        <f aca="false">IF($D951="","",IFERROR(IF(INDEX(Hierarchy!$H$2:$H$1295,MATCH($D951,Hierarchy!$A$2:$A$1295,0))="","",INDEX(Hierarchy!$H$2:$H$1295,MATCH($D951,Hierarchy!$A$2:$A$1295,0))),"NODE NOT FOUND"))</f>
        <v/>
      </c>
      <c r="L951" s="7" t="str">
        <f aca="false">IF($D951="","",IFERROR(IF(INDEX(Hierarchy!$I$2:$I$1295,MATCH($D951,Hierarchy!$A$2:$A$1295,0))="","",INDEX(Hierarchy!$I$2:$I$1295,MATCH($D951,Hierarchy!$A$2:$A$1295,0))),"NODE NOT FOUND"))</f>
        <v/>
      </c>
      <c r="M951" s="17" t="str">
        <f aca="false">IF(B951="Pre-seeded","Pre-seeded",IF(B951="Review 2026-09-16","Added from review",IF(C951="","New",IF(C951=D951,"","Changed"))))</f>
        <v/>
      </c>
      <c r="N951" s="7" t="str">
        <f aca="false">TRIM(SUBSTITUTE(SUBSTITUTE(SUBSTITUTE(" "&amp;TRIM(SUBSTITUTE(SUBSTITUTE(SUBSTITUTE(SUBSTITUTE(SUBSTITUTE(SUBSTITUTE(SUBSTITUTE(SUBSTITUTE(SUBSTITUTE(SUBSTITUTE(SUBSTITUTE(SUBSTITUTE(SUBSTITUTE(SUBSTITUTE(SUBSTITUTE(UPPER(TRIM(A951)),"[MEMBER]",""),"{MEMBER}",""),"[MEMBER}",""),"MEMBER]",""),"(A)",""),"""",""),"“",""),"”",""),".",""),":",""),",",""),"–"," "),"-"," "),"/"," "),"&amp;"," AND "))&amp;" "," THE "," ")," TOTAL "," ")," OPERATIONS "," "))</f>
        <v>LUXEMBOURG</v>
      </c>
      <c r="O951" s="17" t="str">
        <f aca="false">IF(COUNTIFS($N$2:$N$2000,N951,$D$2:$D$2000,"&lt;&gt;"&amp;D951)&gt;0,"CONFLICT","")</f>
        <v/>
      </c>
      <c r="P951" s="7"/>
    </row>
    <row r="952" customFormat="false" ht="15" hidden="false" customHeight="false" outlineLevel="0" collapsed="false">
      <c r="A952" s="7" t="s">
        <v>2365</v>
      </c>
      <c r="B952" s="7" t="s">
        <v>1882</v>
      </c>
      <c r="C952" s="7" t="s">
        <v>870</v>
      </c>
      <c r="D952" s="6" t="s">
        <v>870</v>
      </c>
      <c r="E952" s="6" t="s">
        <v>1880</v>
      </c>
      <c r="F952" s="7" t="str">
        <f aca="false">IF($D952="","",IFERROR(IF(INDEX(Hierarchy!$B$2:$B$1295,MATCH($D952,Hierarchy!$A$2:$A$1295,0))="","",INDEX(Hierarchy!$B$2:$B$1295,MATCH($D952,Hierarchy!$A$2:$A$1295,0))),"NODE NOT FOUND"))</f>
        <v>Country</v>
      </c>
      <c r="G952" s="7" t="str">
        <f aca="false">IF($D952="","",IFERROR(IF(INDEX(Hierarchy!$D$2:$D$1295,MATCH($D952,Hierarchy!$A$2:$A$1295,0))="","",INDEX(Hierarchy!$D$2:$D$1295,MATCH($D952,Hierarchy!$A$2:$A$1295,0))),"NODE NOT FOUND"))</f>
        <v>EMEA</v>
      </c>
      <c r="H952" s="7" t="str">
        <f aca="false">IF($D952="","",IFERROR(IF(INDEX(Hierarchy!$E$2:$E$1295,MATCH($D952,Hierarchy!$A$2:$A$1295,0))="","",INDEX(Hierarchy!$E$2:$E$1295,MATCH($D952,Hierarchy!$A$2:$A$1295,0))),"NODE NOT FOUND"))</f>
        <v>Europe</v>
      </c>
      <c r="I952" s="7" t="str">
        <f aca="false">IF($D952="","",IFERROR(IF(INDEX(Hierarchy!$F$2:$F$1295,MATCH($D952,Hierarchy!$A$2:$A$1295,0))="","",INDEX(Hierarchy!$F$2:$F$1295,MATCH($D952,Hierarchy!$A$2:$A$1295,0))),"NODE NOT FOUND"))</f>
        <v>Luxembourg</v>
      </c>
      <c r="J952" s="7" t="str">
        <f aca="false">IF($D952="","",IFERROR(IF(INDEX(Hierarchy!$G$2:$G$1295,MATCH($D952,Hierarchy!$A$2:$A$1295,0))="","",INDEX(Hierarchy!$G$2:$G$1295,MATCH($D952,Hierarchy!$A$2:$A$1295,0))),"NODE NOT FOUND"))</f>
        <v>LUX</v>
      </c>
      <c r="K952" s="7" t="str">
        <f aca="false">IF($D952="","",IFERROR(IF(INDEX(Hierarchy!$H$2:$H$1295,MATCH($D952,Hierarchy!$A$2:$A$1295,0))="","",INDEX(Hierarchy!$H$2:$H$1295,MATCH($D952,Hierarchy!$A$2:$A$1295,0))),"NODE NOT FOUND"))</f>
        <v/>
      </c>
      <c r="L952" s="7" t="str">
        <f aca="false">IF($D952="","",IFERROR(IF(INDEX(Hierarchy!$I$2:$I$1295,MATCH($D952,Hierarchy!$A$2:$A$1295,0))="","",INDEX(Hierarchy!$I$2:$I$1295,MATCH($D952,Hierarchy!$A$2:$A$1295,0))),"NODE NOT FOUND"))</f>
        <v/>
      </c>
      <c r="M952" s="17" t="str">
        <f aca="false">IF(B952="Pre-seeded","Pre-seeded",IF(B952="Review 2026-09-16","Added from review",IF(C952="","New",IF(C952=D952,"","Changed"))))</f>
        <v/>
      </c>
      <c r="N952" s="7" t="str">
        <f aca="false">TRIM(SUBSTITUTE(SUBSTITUTE(SUBSTITUTE(" "&amp;TRIM(SUBSTITUTE(SUBSTITUTE(SUBSTITUTE(SUBSTITUTE(SUBSTITUTE(SUBSTITUTE(SUBSTITUTE(SUBSTITUTE(SUBSTITUTE(SUBSTITUTE(SUBSTITUTE(SUBSTITUTE(SUBSTITUTE(SUBSTITUTE(SUBSTITUTE(UPPER(TRIM(A952)),"[MEMBER]",""),"{MEMBER}",""),"[MEMBER}",""),"MEMBER]",""),"(A)",""),"""",""),"“",""),"”",""),".",""),":",""),",",""),"–"," "),"-"," "),"/"," "),"&amp;"," AND "))&amp;" "," THE "," ")," TOTAL "," ")," OPERATIONS "," "))</f>
        <v>LUXEMBOURG</v>
      </c>
      <c r="O952" s="17" t="str">
        <f aca="false">IF(COUNTIFS($N$2:$N$2000,N952,$D$2:$D$2000,"&lt;&gt;"&amp;D952)&gt;0,"CONFLICT","")</f>
        <v/>
      </c>
      <c r="P952" s="7"/>
    </row>
    <row r="953" customFormat="false" ht="15" hidden="false" customHeight="false" outlineLevel="0" collapsed="false">
      <c r="A953" s="7" t="s">
        <v>2366</v>
      </c>
      <c r="B953" s="7" t="s">
        <v>1879</v>
      </c>
      <c r="C953" s="7"/>
      <c r="D953" s="6" t="s">
        <v>1552</v>
      </c>
      <c r="E953" s="6" t="s">
        <v>1880</v>
      </c>
      <c r="F953" s="7" t="str">
        <f aca="false">IF($D953="","",IFERROR(IF(INDEX(Hierarchy!$B$2:$B$1295,MATCH($D953,Hierarchy!$A$2:$A$1295,0))="","",INDEX(Hierarchy!$B$2:$B$1295,MATCH($D953,Hierarchy!$A$2:$A$1295,0))),"NODE NOT FOUND"))</f>
        <v>Country</v>
      </c>
      <c r="G953" s="7" t="str">
        <f aca="false">IF($D953="","",IFERROR(IF(INDEX(Hierarchy!$D$2:$D$1295,MATCH($D953,Hierarchy!$A$2:$A$1295,0))="","",INDEX(Hierarchy!$D$2:$D$1295,MATCH($D953,Hierarchy!$A$2:$A$1295,0))),"NODE NOT FOUND"))</f>
        <v>APAC</v>
      </c>
      <c r="H953" s="7" t="str">
        <f aca="false">IF($D953="","",IFERROR(IF(INDEX(Hierarchy!$E$2:$E$1295,MATCH($D953,Hierarchy!$A$2:$A$1295,0))="","",INDEX(Hierarchy!$E$2:$E$1295,MATCH($D953,Hierarchy!$A$2:$A$1295,0))),"NODE NOT FOUND"))</f>
        <v>East Asia</v>
      </c>
      <c r="I953" s="7" t="str">
        <f aca="false">IF($D953="","",IFERROR(IF(INDEX(Hierarchy!$F$2:$F$1295,MATCH($D953,Hierarchy!$A$2:$A$1295,0))="","",INDEX(Hierarchy!$F$2:$F$1295,MATCH($D953,Hierarchy!$A$2:$A$1295,0))),"NODE NOT FOUND"))</f>
        <v>Macau</v>
      </c>
      <c r="J953" s="7" t="str">
        <f aca="false">IF($D953="","",IFERROR(IF(INDEX(Hierarchy!$G$2:$G$1295,MATCH($D953,Hierarchy!$A$2:$A$1295,0))="","",INDEX(Hierarchy!$G$2:$G$1295,MATCH($D953,Hierarchy!$A$2:$A$1295,0))),"NODE NOT FOUND"))</f>
        <v>MAC</v>
      </c>
      <c r="K953" s="7" t="str">
        <f aca="false">IF($D953="","",IFERROR(IF(INDEX(Hierarchy!$H$2:$H$1295,MATCH($D953,Hierarchy!$A$2:$A$1295,0))="","",INDEX(Hierarchy!$H$2:$H$1295,MATCH($D953,Hierarchy!$A$2:$A$1295,0))),"NODE NOT FOUND"))</f>
        <v/>
      </c>
      <c r="L953" s="7" t="str">
        <f aca="false">IF($D953="","",IFERROR(IF(INDEX(Hierarchy!$I$2:$I$1295,MATCH($D953,Hierarchy!$A$2:$A$1295,0))="","",INDEX(Hierarchy!$I$2:$I$1295,MATCH($D953,Hierarchy!$A$2:$A$1295,0))),"NODE NOT FOUND"))</f>
        <v/>
      </c>
      <c r="M953" s="17" t="str">
        <f aca="false">IF(B953="Pre-seeded","Pre-seeded",IF(B953="Review 2026-09-16","Added from review",IF(C953="","New",IF(C953=D953,"","Changed"))))</f>
        <v>Pre-seeded</v>
      </c>
      <c r="N953" s="7" t="str">
        <f aca="false">TRIM(SUBSTITUTE(SUBSTITUTE(SUBSTITUTE(" "&amp;TRIM(SUBSTITUTE(SUBSTITUTE(SUBSTITUTE(SUBSTITUTE(SUBSTITUTE(SUBSTITUTE(SUBSTITUTE(SUBSTITUTE(SUBSTITUTE(SUBSTITUTE(SUBSTITUTE(SUBSTITUTE(SUBSTITUTE(SUBSTITUTE(SUBSTITUTE(UPPER(TRIM(A953)),"[MEMBER]",""),"{MEMBER}",""),"[MEMBER}",""),"MEMBER]",""),"(A)",""),"""",""),"“",""),"”",""),".",""),":",""),",",""),"–"," "),"-"," "),"/"," "),"&amp;"," AND "))&amp;" "," THE "," ")," TOTAL "," ")," OPERATIONS "," "))</f>
        <v>MACAO</v>
      </c>
      <c r="O953" s="17" t="str">
        <f aca="false">IF(COUNTIFS($N$2:$N$2000,N953,$D$2:$D$2000,"&lt;&gt;"&amp;D953)&gt;0,"CONFLICT","")</f>
        <v/>
      </c>
      <c r="P953" s="7" t="s">
        <v>1936</v>
      </c>
    </row>
    <row r="954" customFormat="false" ht="15" hidden="false" customHeight="false" outlineLevel="0" collapsed="false">
      <c r="A954" s="7" t="s">
        <v>2367</v>
      </c>
      <c r="B954" s="7" t="s">
        <v>1879</v>
      </c>
      <c r="C954" s="7"/>
      <c r="D954" s="6" t="s">
        <v>1552</v>
      </c>
      <c r="E954" s="6" t="s">
        <v>1880</v>
      </c>
      <c r="F954" s="7" t="str">
        <f aca="false">IF($D954="","",IFERROR(IF(INDEX(Hierarchy!$B$2:$B$1295,MATCH($D954,Hierarchy!$A$2:$A$1295,0))="","",INDEX(Hierarchy!$B$2:$B$1295,MATCH($D954,Hierarchy!$A$2:$A$1295,0))),"NODE NOT FOUND"))</f>
        <v>Country</v>
      </c>
      <c r="G954" s="7" t="str">
        <f aca="false">IF($D954="","",IFERROR(IF(INDEX(Hierarchy!$D$2:$D$1295,MATCH($D954,Hierarchy!$A$2:$A$1295,0))="","",INDEX(Hierarchy!$D$2:$D$1295,MATCH($D954,Hierarchy!$A$2:$A$1295,0))),"NODE NOT FOUND"))</f>
        <v>APAC</v>
      </c>
      <c r="H954" s="7" t="str">
        <f aca="false">IF($D954="","",IFERROR(IF(INDEX(Hierarchy!$E$2:$E$1295,MATCH($D954,Hierarchy!$A$2:$A$1295,0))="","",INDEX(Hierarchy!$E$2:$E$1295,MATCH($D954,Hierarchy!$A$2:$A$1295,0))),"NODE NOT FOUND"))</f>
        <v>East Asia</v>
      </c>
      <c r="I954" s="7" t="str">
        <f aca="false">IF($D954="","",IFERROR(IF(INDEX(Hierarchy!$F$2:$F$1295,MATCH($D954,Hierarchy!$A$2:$A$1295,0))="","",INDEX(Hierarchy!$F$2:$F$1295,MATCH($D954,Hierarchy!$A$2:$A$1295,0))),"NODE NOT FOUND"))</f>
        <v>Macau</v>
      </c>
      <c r="J954" s="7" t="str">
        <f aca="false">IF($D954="","",IFERROR(IF(INDEX(Hierarchy!$G$2:$G$1295,MATCH($D954,Hierarchy!$A$2:$A$1295,0))="","",INDEX(Hierarchy!$G$2:$G$1295,MATCH($D954,Hierarchy!$A$2:$A$1295,0))),"NODE NOT FOUND"))</f>
        <v>MAC</v>
      </c>
      <c r="K954" s="7" t="str">
        <f aca="false">IF($D954="","",IFERROR(IF(INDEX(Hierarchy!$H$2:$H$1295,MATCH($D954,Hierarchy!$A$2:$A$1295,0))="","",INDEX(Hierarchy!$H$2:$H$1295,MATCH($D954,Hierarchy!$A$2:$A$1295,0))),"NODE NOT FOUND"))</f>
        <v/>
      </c>
      <c r="L954" s="7" t="str">
        <f aca="false">IF($D954="","",IFERROR(IF(INDEX(Hierarchy!$I$2:$I$1295,MATCH($D954,Hierarchy!$A$2:$A$1295,0))="","",INDEX(Hierarchy!$I$2:$I$1295,MATCH($D954,Hierarchy!$A$2:$A$1295,0))),"NODE NOT FOUND"))</f>
        <v/>
      </c>
      <c r="M954" s="17" t="str">
        <f aca="false">IF(B954="Pre-seeded","Pre-seeded",IF(B954="Review 2026-09-16","Added from review",IF(C954="","New",IF(C954=D954,"","Changed"))))</f>
        <v>Pre-seeded</v>
      </c>
      <c r="N954" s="7" t="str">
        <f aca="false">TRIM(SUBSTITUTE(SUBSTITUTE(SUBSTITUTE(" "&amp;TRIM(SUBSTITUTE(SUBSTITUTE(SUBSTITUTE(SUBSTITUTE(SUBSTITUTE(SUBSTITUTE(SUBSTITUTE(SUBSTITUTE(SUBSTITUTE(SUBSTITUTE(SUBSTITUTE(SUBSTITUTE(SUBSTITUTE(SUBSTITUTE(SUBSTITUTE(UPPER(TRIM(A954)),"[MEMBER]",""),"{MEMBER}",""),"[MEMBER}",""),"MEMBER]",""),"(A)",""),"""",""),"“",""),"”",""),".",""),":",""),",",""),"–"," "),"-"," "),"/"," "),"&amp;"," AND "))&amp;" "," THE "," ")," TOTAL "," ")," OPERATIONS "," "))</f>
        <v>MACAO SAR</v>
      </c>
      <c r="O954" s="17" t="str">
        <f aca="false">IF(COUNTIFS($N$2:$N$2000,N954,$D$2:$D$2000,"&lt;&gt;"&amp;D954)&gt;0,"CONFLICT","")</f>
        <v/>
      </c>
      <c r="P954" s="7"/>
    </row>
    <row r="955" customFormat="false" ht="15" hidden="false" customHeight="false" outlineLevel="0" collapsed="false">
      <c r="A955" s="7" t="s">
        <v>2368</v>
      </c>
      <c r="B955" s="7" t="s">
        <v>1879</v>
      </c>
      <c r="C955" s="7"/>
      <c r="D955" s="6" t="s">
        <v>1552</v>
      </c>
      <c r="E955" s="6" t="s">
        <v>1880</v>
      </c>
      <c r="F955" s="7" t="str">
        <f aca="false">IF($D955="","",IFERROR(IF(INDEX(Hierarchy!$B$2:$B$1295,MATCH($D955,Hierarchy!$A$2:$A$1295,0))="","",INDEX(Hierarchy!$B$2:$B$1295,MATCH($D955,Hierarchy!$A$2:$A$1295,0))),"NODE NOT FOUND"))</f>
        <v>Country</v>
      </c>
      <c r="G955" s="7" t="str">
        <f aca="false">IF($D955="","",IFERROR(IF(INDEX(Hierarchy!$D$2:$D$1295,MATCH($D955,Hierarchy!$A$2:$A$1295,0))="","",INDEX(Hierarchy!$D$2:$D$1295,MATCH($D955,Hierarchy!$A$2:$A$1295,0))),"NODE NOT FOUND"))</f>
        <v>APAC</v>
      </c>
      <c r="H955" s="7" t="str">
        <f aca="false">IF($D955="","",IFERROR(IF(INDEX(Hierarchy!$E$2:$E$1295,MATCH($D955,Hierarchy!$A$2:$A$1295,0))="","",INDEX(Hierarchy!$E$2:$E$1295,MATCH($D955,Hierarchy!$A$2:$A$1295,0))),"NODE NOT FOUND"))</f>
        <v>East Asia</v>
      </c>
      <c r="I955" s="7" t="str">
        <f aca="false">IF($D955="","",IFERROR(IF(INDEX(Hierarchy!$F$2:$F$1295,MATCH($D955,Hierarchy!$A$2:$A$1295,0))="","",INDEX(Hierarchy!$F$2:$F$1295,MATCH($D955,Hierarchy!$A$2:$A$1295,0))),"NODE NOT FOUND"))</f>
        <v>Macau</v>
      </c>
      <c r="J955" s="7" t="str">
        <f aca="false">IF($D955="","",IFERROR(IF(INDEX(Hierarchy!$G$2:$G$1295,MATCH($D955,Hierarchy!$A$2:$A$1295,0))="","",INDEX(Hierarchy!$G$2:$G$1295,MATCH($D955,Hierarchy!$A$2:$A$1295,0))),"NODE NOT FOUND"))</f>
        <v>MAC</v>
      </c>
      <c r="K955" s="7" t="str">
        <f aca="false">IF($D955="","",IFERROR(IF(INDEX(Hierarchy!$H$2:$H$1295,MATCH($D955,Hierarchy!$A$2:$A$1295,0))="","",INDEX(Hierarchy!$H$2:$H$1295,MATCH($D955,Hierarchy!$A$2:$A$1295,0))),"NODE NOT FOUND"))</f>
        <v/>
      </c>
      <c r="L955" s="7" t="str">
        <f aca="false">IF($D955="","",IFERROR(IF(INDEX(Hierarchy!$I$2:$I$1295,MATCH($D955,Hierarchy!$A$2:$A$1295,0))="","",INDEX(Hierarchy!$I$2:$I$1295,MATCH($D955,Hierarchy!$A$2:$A$1295,0))),"NODE NOT FOUND"))</f>
        <v/>
      </c>
      <c r="M955" s="17" t="str">
        <f aca="false">IF(B955="Pre-seeded","Pre-seeded",IF(B955="Review 2026-09-16","Added from review",IF(C955="","New",IF(C955=D955,"","Changed"))))</f>
        <v>Pre-seeded</v>
      </c>
      <c r="N955" s="7" t="str">
        <f aca="false">TRIM(SUBSTITUTE(SUBSTITUTE(SUBSTITUTE(" "&amp;TRIM(SUBSTITUTE(SUBSTITUTE(SUBSTITUTE(SUBSTITUTE(SUBSTITUTE(SUBSTITUTE(SUBSTITUTE(SUBSTITUTE(SUBSTITUTE(SUBSTITUTE(SUBSTITUTE(SUBSTITUTE(SUBSTITUTE(SUBSTITUTE(SUBSTITUTE(UPPER(TRIM(A955)),"[MEMBER]",""),"{MEMBER}",""),"[MEMBER}",""),"MEMBER]",""),"(A)",""),"""",""),"“",""),"”",""),".",""),":",""),",",""),"–"," "),"-"," "),"/"," "),"&amp;"," AND "))&amp;" "," THE "," ")," TOTAL "," ")," OPERATIONS "," "))</f>
        <v>MACAO SPECIAL ADMINISTRATIVE REGION OF CHINA</v>
      </c>
      <c r="O955" s="17" t="str">
        <f aca="false">IF(COUNTIFS($N$2:$N$2000,N955,$D$2:$D$2000,"&lt;&gt;"&amp;D955)&gt;0,"CONFLICT","")</f>
        <v/>
      </c>
      <c r="P955" s="7" t="s">
        <v>1936</v>
      </c>
    </row>
    <row r="956" customFormat="false" ht="15" hidden="false" customHeight="false" outlineLevel="0" collapsed="false">
      <c r="A956" s="7" t="s">
        <v>1552</v>
      </c>
      <c r="B956" s="7" t="s">
        <v>1879</v>
      </c>
      <c r="C956" s="7"/>
      <c r="D956" s="6" t="s">
        <v>1552</v>
      </c>
      <c r="E956" s="6" t="s">
        <v>1880</v>
      </c>
      <c r="F956" s="7" t="str">
        <f aca="false">IF($D956="","",IFERROR(IF(INDEX(Hierarchy!$B$2:$B$1295,MATCH($D956,Hierarchy!$A$2:$A$1295,0))="","",INDEX(Hierarchy!$B$2:$B$1295,MATCH($D956,Hierarchy!$A$2:$A$1295,0))),"NODE NOT FOUND"))</f>
        <v>Country</v>
      </c>
      <c r="G956" s="7" t="str">
        <f aca="false">IF($D956="","",IFERROR(IF(INDEX(Hierarchy!$D$2:$D$1295,MATCH($D956,Hierarchy!$A$2:$A$1295,0))="","",INDEX(Hierarchy!$D$2:$D$1295,MATCH($D956,Hierarchy!$A$2:$A$1295,0))),"NODE NOT FOUND"))</f>
        <v>APAC</v>
      </c>
      <c r="H956" s="7" t="str">
        <f aca="false">IF($D956="","",IFERROR(IF(INDEX(Hierarchy!$E$2:$E$1295,MATCH($D956,Hierarchy!$A$2:$A$1295,0))="","",INDEX(Hierarchy!$E$2:$E$1295,MATCH($D956,Hierarchy!$A$2:$A$1295,0))),"NODE NOT FOUND"))</f>
        <v>East Asia</v>
      </c>
      <c r="I956" s="7" t="str">
        <f aca="false">IF($D956="","",IFERROR(IF(INDEX(Hierarchy!$F$2:$F$1295,MATCH($D956,Hierarchy!$A$2:$A$1295,0))="","",INDEX(Hierarchy!$F$2:$F$1295,MATCH($D956,Hierarchy!$A$2:$A$1295,0))),"NODE NOT FOUND"))</f>
        <v>Macau</v>
      </c>
      <c r="J956" s="7" t="str">
        <f aca="false">IF($D956="","",IFERROR(IF(INDEX(Hierarchy!$G$2:$G$1295,MATCH($D956,Hierarchy!$A$2:$A$1295,0))="","",INDEX(Hierarchy!$G$2:$G$1295,MATCH($D956,Hierarchy!$A$2:$A$1295,0))),"NODE NOT FOUND"))</f>
        <v>MAC</v>
      </c>
      <c r="K956" s="7" t="str">
        <f aca="false">IF($D956="","",IFERROR(IF(INDEX(Hierarchy!$H$2:$H$1295,MATCH($D956,Hierarchy!$A$2:$A$1295,0))="","",INDEX(Hierarchy!$H$2:$H$1295,MATCH($D956,Hierarchy!$A$2:$A$1295,0))),"NODE NOT FOUND"))</f>
        <v/>
      </c>
      <c r="L956" s="7" t="str">
        <f aca="false">IF($D956="","",IFERROR(IF(INDEX(Hierarchy!$I$2:$I$1295,MATCH($D956,Hierarchy!$A$2:$A$1295,0))="","",INDEX(Hierarchy!$I$2:$I$1295,MATCH($D956,Hierarchy!$A$2:$A$1295,0))),"NODE NOT FOUND"))</f>
        <v/>
      </c>
      <c r="M956" s="17" t="str">
        <f aca="false">IF(B956="Pre-seeded","Pre-seeded",IF(B956="Review 2026-09-16","Added from review",IF(C956="","New",IF(C956=D956,"","Changed"))))</f>
        <v>Pre-seeded</v>
      </c>
      <c r="N956" s="7" t="str">
        <f aca="false">TRIM(SUBSTITUTE(SUBSTITUTE(SUBSTITUTE(" "&amp;TRIM(SUBSTITUTE(SUBSTITUTE(SUBSTITUTE(SUBSTITUTE(SUBSTITUTE(SUBSTITUTE(SUBSTITUTE(SUBSTITUTE(SUBSTITUTE(SUBSTITUTE(SUBSTITUTE(SUBSTITUTE(SUBSTITUTE(SUBSTITUTE(SUBSTITUTE(UPPER(TRIM(A956)),"[MEMBER]",""),"{MEMBER}",""),"[MEMBER}",""),"MEMBER]",""),"(A)",""),"""",""),"“",""),"”",""),".",""),":",""),",",""),"–"," "),"-"," "),"/"," "),"&amp;"," AND "))&amp;" "," THE "," ")," TOTAL "," ")," OPERATIONS "," "))</f>
        <v>MACAU</v>
      </c>
      <c r="O956" s="17" t="str">
        <f aca="false">IF(COUNTIFS($N$2:$N$2000,N956,$D$2:$D$2000,"&lt;&gt;"&amp;D956)&gt;0,"CONFLICT","")</f>
        <v/>
      </c>
      <c r="P956" s="7"/>
    </row>
    <row r="957" customFormat="false" ht="15" hidden="false" customHeight="false" outlineLevel="0" collapsed="false">
      <c r="A957" s="7" t="s">
        <v>2369</v>
      </c>
      <c r="B957" s="7" t="s">
        <v>1879</v>
      </c>
      <c r="C957" s="7"/>
      <c r="D957" s="6" t="s">
        <v>1552</v>
      </c>
      <c r="E957" s="6" t="s">
        <v>1880</v>
      </c>
      <c r="F957" s="7" t="str">
        <f aca="false">IF($D957="","",IFERROR(IF(INDEX(Hierarchy!$B$2:$B$1295,MATCH($D957,Hierarchy!$A$2:$A$1295,0))="","",INDEX(Hierarchy!$B$2:$B$1295,MATCH($D957,Hierarchy!$A$2:$A$1295,0))),"NODE NOT FOUND"))</f>
        <v>Country</v>
      </c>
      <c r="G957" s="7" t="str">
        <f aca="false">IF($D957="","",IFERROR(IF(INDEX(Hierarchy!$D$2:$D$1295,MATCH($D957,Hierarchy!$A$2:$A$1295,0))="","",INDEX(Hierarchy!$D$2:$D$1295,MATCH($D957,Hierarchy!$A$2:$A$1295,0))),"NODE NOT FOUND"))</f>
        <v>APAC</v>
      </c>
      <c r="H957" s="7" t="str">
        <f aca="false">IF($D957="","",IFERROR(IF(INDEX(Hierarchy!$E$2:$E$1295,MATCH($D957,Hierarchy!$A$2:$A$1295,0))="","",INDEX(Hierarchy!$E$2:$E$1295,MATCH($D957,Hierarchy!$A$2:$A$1295,0))),"NODE NOT FOUND"))</f>
        <v>East Asia</v>
      </c>
      <c r="I957" s="7" t="str">
        <f aca="false">IF($D957="","",IFERROR(IF(INDEX(Hierarchy!$F$2:$F$1295,MATCH($D957,Hierarchy!$A$2:$A$1295,0))="","",INDEX(Hierarchy!$F$2:$F$1295,MATCH($D957,Hierarchy!$A$2:$A$1295,0))),"NODE NOT FOUND"))</f>
        <v>Macau</v>
      </c>
      <c r="J957" s="7" t="str">
        <f aca="false">IF($D957="","",IFERROR(IF(INDEX(Hierarchy!$G$2:$G$1295,MATCH($D957,Hierarchy!$A$2:$A$1295,0))="","",INDEX(Hierarchy!$G$2:$G$1295,MATCH($D957,Hierarchy!$A$2:$A$1295,0))),"NODE NOT FOUND"))</f>
        <v>MAC</v>
      </c>
      <c r="K957" s="7" t="str">
        <f aca="false">IF($D957="","",IFERROR(IF(INDEX(Hierarchy!$H$2:$H$1295,MATCH($D957,Hierarchy!$A$2:$A$1295,0))="","",INDEX(Hierarchy!$H$2:$H$1295,MATCH($D957,Hierarchy!$A$2:$A$1295,0))),"NODE NOT FOUND"))</f>
        <v/>
      </c>
      <c r="L957" s="7" t="str">
        <f aca="false">IF($D957="","",IFERROR(IF(INDEX(Hierarchy!$I$2:$I$1295,MATCH($D957,Hierarchy!$A$2:$A$1295,0))="","",INDEX(Hierarchy!$I$2:$I$1295,MATCH($D957,Hierarchy!$A$2:$A$1295,0))),"NODE NOT FOUND"))</f>
        <v/>
      </c>
      <c r="M957" s="17" t="str">
        <f aca="false">IF(B957="Pre-seeded","Pre-seeded",IF(B957="Review 2026-09-16","Added from review",IF(C957="","New",IF(C957=D957,"","Changed"))))</f>
        <v>Pre-seeded</v>
      </c>
      <c r="N957" s="7" t="str">
        <f aca="false">TRIM(SUBSTITUTE(SUBSTITUTE(SUBSTITUTE(" "&amp;TRIM(SUBSTITUTE(SUBSTITUTE(SUBSTITUTE(SUBSTITUTE(SUBSTITUTE(SUBSTITUTE(SUBSTITUTE(SUBSTITUTE(SUBSTITUTE(SUBSTITUTE(SUBSTITUTE(SUBSTITUTE(SUBSTITUTE(SUBSTITUTE(SUBSTITUTE(UPPER(TRIM(A957)),"[MEMBER]",""),"{MEMBER}",""),"[MEMBER}",""),"MEMBER]",""),"(A)",""),"""",""),"“",""),"”",""),".",""),":",""),",",""),"–"," "),"-"," "),"/"," "),"&amp;"," AND "))&amp;" "," THE "," ")," TOTAL "," ")," OPERATIONS "," "))</f>
        <v>MACAU SAR</v>
      </c>
      <c r="O957" s="17" t="str">
        <f aca="false">IF(COUNTIFS($N$2:$N$2000,N957,$D$2:$D$2000,"&lt;&gt;"&amp;D957)&gt;0,"CONFLICT","")</f>
        <v/>
      </c>
      <c r="P957" s="7"/>
    </row>
    <row r="958" customFormat="false" ht="15" hidden="false" customHeight="false" outlineLevel="0" collapsed="false">
      <c r="A958" s="7" t="s">
        <v>2370</v>
      </c>
      <c r="B958" s="7" t="s">
        <v>1879</v>
      </c>
      <c r="C958" s="7"/>
      <c r="D958" s="6" t="s">
        <v>899</v>
      </c>
      <c r="E958" s="6" t="s">
        <v>1880</v>
      </c>
      <c r="F958" s="7" t="str">
        <f aca="false">IF($D958="","",IFERROR(IF(INDEX(Hierarchy!$B$2:$B$1295,MATCH($D958,Hierarchy!$A$2:$A$1295,0))="","",INDEX(Hierarchy!$B$2:$B$1295,MATCH($D958,Hierarchy!$A$2:$A$1295,0))),"NODE NOT FOUND"))</f>
        <v>Country</v>
      </c>
      <c r="G958" s="7" t="str">
        <f aca="false">IF($D958="","",IFERROR(IF(INDEX(Hierarchy!$D$2:$D$1295,MATCH($D958,Hierarchy!$A$2:$A$1295,0))="","",INDEX(Hierarchy!$D$2:$D$1295,MATCH($D958,Hierarchy!$A$2:$A$1295,0))),"NODE NOT FOUND"))</f>
        <v>EMEA</v>
      </c>
      <c r="H958" s="7" t="str">
        <f aca="false">IF($D958="","",IFERROR(IF(INDEX(Hierarchy!$E$2:$E$1295,MATCH($D958,Hierarchy!$A$2:$A$1295,0))="","",INDEX(Hierarchy!$E$2:$E$1295,MATCH($D958,Hierarchy!$A$2:$A$1295,0))),"NODE NOT FOUND"))</f>
        <v>Europe</v>
      </c>
      <c r="I958" s="7" t="str">
        <f aca="false">IF($D958="","",IFERROR(IF(INDEX(Hierarchy!$F$2:$F$1295,MATCH($D958,Hierarchy!$A$2:$A$1295,0))="","",INDEX(Hierarchy!$F$2:$F$1295,MATCH($D958,Hierarchy!$A$2:$A$1295,0))),"NODE NOT FOUND"))</f>
        <v>North Macedonia</v>
      </c>
      <c r="J958" s="7" t="str">
        <f aca="false">IF($D958="","",IFERROR(IF(INDEX(Hierarchy!$G$2:$G$1295,MATCH($D958,Hierarchy!$A$2:$A$1295,0))="","",INDEX(Hierarchy!$G$2:$G$1295,MATCH($D958,Hierarchy!$A$2:$A$1295,0))),"NODE NOT FOUND"))</f>
        <v>MKD</v>
      </c>
      <c r="K958" s="7" t="str">
        <f aca="false">IF($D958="","",IFERROR(IF(INDEX(Hierarchy!$H$2:$H$1295,MATCH($D958,Hierarchy!$A$2:$A$1295,0))="","",INDEX(Hierarchy!$H$2:$H$1295,MATCH($D958,Hierarchy!$A$2:$A$1295,0))),"NODE NOT FOUND"))</f>
        <v/>
      </c>
      <c r="L958" s="7" t="str">
        <f aca="false">IF($D958="","",IFERROR(IF(INDEX(Hierarchy!$I$2:$I$1295,MATCH($D958,Hierarchy!$A$2:$A$1295,0))="","",INDEX(Hierarchy!$I$2:$I$1295,MATCH($D958,Hierarchy!$A$2:$A$1295,0))),"NODE NOT FOUND"))</f>
        <v/>
      </c>
      <c r="M958" s="17" t="str">
        <f aca="false">IF(B958="Pre-seeded","Pre-seeded",IF(B958="Review 2026-09-16","Added from review",IF(C958="","New",IF(C958=D958,"","Changed"))))</f>
        <v>Pre-seeded</v>
      </c>
      <c r="N958" s="7" t="str">
        <f aca="false">TRIM(SUBSTITUTE(SUBSTITUTE(SUBSTITUTE(" "&amp;TRIM(SUBSTITUTE(SUBSTITUTE(SUBSTITUTE(SUBSTITUTE(SUBSTITUTE(SUBSTITUTE(SUBSTITUTE(SUBSTITUTE(SUBSTITUTE(SUBSTITUTE(SUBSTITUTE(SUBSTITUTE(SUBSTITUTE(SUBSTITUTE(SUBSTITUTE(UPPER(TRIM(A958)),"[MEMBER]",""),"{MEMBER}",""),"[MEMBER}",""),"MEMBER]",""),"(A)",""),"""",""),"“",""),"”",""),".",""),":",""),",",""),"–"," "),"-"," "),"/"," "),"&amp;"," AND "))&amp;" "," THE "," ")," TOTAL "," ")," OPERATIONS "," "))</f>
        <v>MACEDONIA</v>
      </c>
      <c r="O958" s="17" t="str">
        <f aca="false">IF(COUNTIFS($N$2:$N$2000,N958,$D$2:$D$2000,"&lt;&gt;"&amp;D958)&gt;0,"CONFLICT","")</f>
        <v/>
      </c>
      <c r="P958" s="7"/>
    </row>
    <row r="959" customFormat="false" ht="15" hidden="false" customHeight="false" outlineLevel="0" collapsed="false">
      <c r="A959" s="7" t="s">
        <v>1248</v>
      </c>
      <c r="B959" s="7" t="s">
        <v>1879</v>
      </c>
      <c r="C959" s="7"/>
      <c r="D959" s="6" t="s">
        <v>1248</v>
      </c>
      <c r="E959" s="6" t="s">
        <v>1880</v>
      </c>
      <c r="F959" s="7" t="str">
        <f aca="false">IF($D959="","",IFERROR(IF(INDEX(Hierarchy!$B$2:$B$1295,MATCH($D959,Hierarchy!$A$2:$A$1295,0))="","",INDEX(Hierarchy!$B$2:$B$1295,MATCH($D959,Hierarchy!$A$2:$A$1295,0))),"NODE NOT FOUND"))</f>
        <v>Country</v>
      </c>
      <c r="G959" s="7" t="str">
        <f aca="false">IF($D959="","",IFERROR(IF(INDEX(Hierarchy!$D$2:$D$1295,MATCH($D959,Hierarchy!$A$2:$A$1295,0))="","",INDEX(Hierarchy!$D$2:$D$1295,MATCH($D959,Hierarchy!$A$2:$A$1295,0))),"NODE NOT FOUND"))</f>
        <v>EMEA</v>
      </c>
      <c r="H959" s="7" t="str">
        <f aca="false">IF($D959="","",IFERROR(IF(INDEX(Hierarchy!$E$2:$E$1295,MATCH($D959,Hierarchy!$A$2:$A$1295,0))="","",INDEX(Hierarchy!$E$2:$E$1295,MATCH($D959,Hierarchy!$A$2:$A$1295,0))),"NODE NOT FOUND"))</f>
        <v>Africa</v>
      </c>
      <c r="I959" s="7" t="str">
        <f aca="false">IF($D959="","",IFERROR(IF(INDEX(Hierarchy!$F$2:$F$1295,MATCH($D959,Hierarchy!$A$2:$A$1295,0))="","",INDEX(Hierarchy!$F$2:$F$1295,MATCH($D959,Hierarchy!$A$2:$A$1295,0))),"NODE NOT FOUND"))</f>
        <v>Madagascar</v>
      </c>
      <c r="J959" s="7" t="str">
        <f aca="false">IF($D959="","",IFERROR(IF(INDEX(Hierarchy!$G$2:$G$1295,MATCH($D959,Hierarchy!$A$2:$A$1295,0))="","",INDEX(Hierarchy!$G$2:$G$1295,MATCH($D959,Hierarchy!$A$2:$A$1295,0))),"NODE NOT FOUND"))</f>
        <v>MDG</v>
      </c>
      <c r="K959" s="7" t="str">
        <f aca="false">IF($D959="","",IFERROR(IF(INDEX(Hierarchy!$H$2:$H$1295,MATCH($D959,Hierarchy!$A$2:$A$1295,0))="","",INDEX(Hierarchy!$H$2:$H$1295,MATCH($D959,Hierarchy!$A$2:$A$1295,0))),"NODE NOT FOUND"))</f>
        <v/>
      </c>
      <c r="L959" s="7" t="str">
        <f aca="false">IF($D959="","",IFERROR(IF(INDEX(Hierarchy!$I$2:$I$1295,MATCH($D959,Hierarchy!$A$2:$A$1295,0))="","",INDEX(Hierarchy!$I$2:$I$1295,MATCH($D959,Hierarchy!$A$2:$A$1295,0))),"NODE NOT FOUND"))</f>
        <v/>
      </c>
      <c r="M959" s="17" t="str">
        <f aca="false">IF(B959="Pre-seeded","Pre-seeded",IF(B959="Review 2026-09-16","Added from review",IF(C959="","New",IF(C959=D959,"","Changed"))))</f>
        <v>Pre-seeded</v>
      </c>
      <c r="N959" s="7" t="str">
        <f aca="false">TRIM(SUBSTITUTE(SUBSTITUTE(SUBSTITUTE(" "&amp;TRIM(SUBSTITUTE(SUBSTITUTE(SUBSTITUTE(SUBSTITUTE(SUBSTITUTE(SUBSTITUTE(SUBSTITUTE(SUBSTITUTE(SUBSTITUTE(SUBSTITUTE(SUBSTITUTE(SUBSTITUTE(SUBSTITUTE(SUBSTITUTE(SUBSTITUTE(UPPER(TRIM(A959)),"[MEMBER]",""),"{MEMBER}",""),"[MEMBER}",""),"MEMBER]",""),"(A)",""),"""",""),"“",""),"”",""),".",""),":",""),",",""),"–"," "),"-"," "),"/"," "),"&amp;"," AND "))&amp;" "," THE "," ")," TOTAL "," ")," OPERATIONS "," "))</f>
        <v>MADAGASCAR</v>
      </c>
      <c r="O959" s="17" t="str">
        <f aca="false">IF(COUNTIFS($N$2:$N$2000,N959,$D$2:$D$2000,"&lt;&gt;"&amp;D959)&gt;0,"CONFLICT","")</f>
        <v/>
      </c>
      <c r="P959" s="7"/>
    </row>
    <row r="960" customFormat="false" ht="15" hidden="false" customHeight="false" outlineLevel="0" collapsed="false">
      <c r="A960" s="7" t="s">
        <v>1349</v>
      </c>
      <c r="B960" s="7" t="s">
        <v>1879</v>
      </c>
      <c r="C960" s="7"/>
      <c r="D960" s="6" t="s">
        <v>1349</v>
      </c>
      <c r="E960" s="6" t="s">
        <v>1880</v>
      </c>
      <c r="F960" s="7" t="str">
        <f aca="false">IF($D960="","",IFERROR(IF(INDEX(Hierarchy!$B$2:$B$1295,MATCH($D960,Hierarchy!$A$2:$A$1295,0))="","",INDEX(Hierarchy!$B$2:$B$1295,MATCH($D960,Hierarchy!$A$2:$A$1295,0))),"NODE NOT FOUND"))</f>
        <v>State/Province</v>
      </c>
      <c r="G960" s="7" t="str">
        <f aca="false">IF($D960="","",IFERROR(IF(INDEX(Hierarchy!$D$2:$D$1295,MATCH($D960,Hierarchy!$A$2:$A$1295,0))="","",INDEX(Hierarchy!$D$2:$D$1295,MATCH($D960,Hierarchy!$A$2:$A$1295,0))),"NODE NOT FOUND"))</f>
        <v>APAC</v>
      </c>
      <c r="H960" s="7" t="str">
        <f aca="false">IF($D960="","",IFERROR(IF(INDEX(Hierarchy!$E$2:$E$1295,MATCH($D960,Hierarchy!$A$2:$A$1295,0))="","",INDEX(Hierarchy!$E$2:$E$1295,MATCH($D960,Hierarchy!$A$2:$A$1295,0))),"NODE NOT FOUND"))</f>
        <v>South Asia</v>
      </c>
      <c r="I960" s="7" t="str">
        <f aca="false">IF($D960="","",IFERROR(IF(INDEX(Hierarchy!$F$2:$F$1295,MATCH($D960,Hierarchy!$A$2:$A$1295,0))="","",INDEX(Hierarchy!$F$2:$F$1295,MATCH($D960,Hierarchy!$A$2:$A$1295,0))),"NODE NOT FOUND"))</f>
        <v>India</v>
      </c>
      <c r="J960" s="7" t="str">
        <f aca="false">IF($D960="","",IFERROR(IF(INDEX(Hierarchy!$G$2:$G$1295,MATCH($D960,Hierarchy!$A$2:$A$1295,0))="","",INDEX(Hierarchy!$G$2:$G$1295,MATCH($D960,Hierarchy!$A$2:$A$1295,0))),"NODE NOT FOUND"))</f>
        <v>IND</v>
      </c>
      <c r="K960" s="7" t="str">
        <f aca="false">IF($D960="","",IFERROR(IF(INDEX(Hierarchy!$H$2:$H$1295,MATCH($D960,Hierarchy!$A$2:$A$1295,0))="","",INDEX(Hierarchy!$H$2:$H$1295,MATCH($D960,Hierarchy!$A$2:$A$1295,0))),"NODE NOT FOUND"))</f>
        <v>Madhya Pradesh</v>
      </c>
      <c r="L960" s="7" t="str">
        <f aca="false">IF($D960="","",IFERROR(IF(INDEX(Hierarchy!$I$2:$I$1295,MATCH($D960,Hierarchy!$A$2:$A$1295,0))="","",INDEX(Hierarchy!$I$2:$I$1295,MATCH($D960,Hierarchy!$A$2:$A$1295,0))),"NODE NOT FOUND"))</f>
        <v/>
      </c>
      <c r="M960" s="17" t="str">
        <f aca="false">IF(B960="Pre-seeded","Pre-seeded",IF(B960="Review 2026-09-16","Added from review",IF(C960="","New",IF(C960=D960,"","Changed"))))</f>
        <v>Pre-seeded</v>
      </c>
      <c r="N960" s="7" t="str">
        <f aca="false">TRIM(SUBSTITUTE(SUBSTITUTE(SUBSTITUTE(" "&amp;TRIM(SUBSTITUTE(SUBSTITUTE(SUBSTITUTE(SUBSTITUTE(SUBSTITUTE(SUBSTITUTE(SUBSTITUTE(SUBSTITUTE(SUBSTITUTE(SUBSTITUTE(SUBSTITUTE(SUBSTITUTE(SUBSTITUTE(SUBSTITUTE(SUBSTITUTE(UPPER(TRIM(A960)),"[MEMBER]",""),"{MEMBER}",""),"[MEMBER}",""),"MEMBER]",""),"(A)",""),"""",""),"“",""),"”",""),".",""),":",""),",",""),"–"," "),"-"," "),"/"," "),"&amp;"," AND "))&amp;" "," THE "," ")," TOTAL "," ")," OPERATIONS "," "))</f>
        <v>MADHYA PRADESH</v>
      </c>
      <c r="O960" s="17" t="str">
        <f aca="false">IF(COUNTIFS($N$2:$N$2000,N960,$D$2:$D$2000,"&lt;&gt;"&amp;D960)&gt;0,"CONFLICT","")</f>
        <v/>
      </c>
      <c r="P960" s="7"/>
    </row>
    <row r="961" customFormat="false" ht="15" hidden="false" customHeight="false" outlineLevel="0" collapsed="false">
      <c r="A961" s="7" t="s">
        <v>2371</v>
      </c>
      <c r="B961" s="7" t="s">
        <v>1879</v>
      </c>
      <c r="C961" s="7"/>
      <c r="D961" s="6" t="s">
        <v>963</v>
      </c>
      <c r="E961" s="6" t="s">
        <v>1880</v>
      </c>
      <c r="F961" s="7" t="str">
        <f aca="false">IF($D961="","",IFERROR(IF(INDEX(Hierarchy!$B$2:$B$1295,MATCH($D961,Hierarchy!$A$2:$A$1295,0))="","",INDEX(Hierarchy!$B$2:$B$1295,MATCH($D961,Hierarchy!$A$2:$A$1295,0))),"NODE NOT FOUND"))</f>
        <v>State/Province</v>
      </c>
      <c r="G961" s="7" t="str">
        <f aca="false">IF($D961="","",IFERROR(IF(INDEX(Hierarchy!$D$2:$D$1295,MATCH($D961,Hierarchy!$A$2:$A$1295,0))="","",INDEX(Hierarchy!$D$2:$D$1295,MATCH($D961,Hierarchy!$A$2:$A$1295,0))),"NODE NOT FOUND"))</f>
        <v>EMEA</v>
      </c>
      <c r="H961" s="7" t="str">
        <f aca="false">IF($D961="","",IFERROR(IF(INDEX(Hierarchy!$E$2:$E$1295,MATCH($D961,Hierarchy!$A$2:$A$1295,0))="","",INDEX(Hierarchy!$E$2:$E$1295,MATCH($D961,Hierarchy!$A$2:$A$1295,0))),"NODE NOT FOUND"))</f>
        <v>Europe</v>
      </c>
      <c r="I961" s="7" t="str">
        <f aca="false">IF($D961="","",IFERROR(IF(INDEX(Hierarchy!$F$2:$F$1295,MATCH($D961,Hierarchy!$A$2:$A$1295,0))="","",INDEX(Hierarchy!$F$2:$F$1295,MATCH($D961,Hierarchy!$A$2:$A$1295,0))),"NODE NOT FOUND"))</f>
        <v>Spain</v>
      </c>
      <c r="J961" s="7" t="str">
        <f aca="false">IF($D961="","",IFERROR(IF(INDEX(Hierarchy!$G$2:$G$1295,MATCH($D961,Hierarchy!$A$2:$A$1295,0))="","",INDEX(Hierarchy!$G$2:$G$1295,MATCH($D961,Hierarchy!$A$2:$A$1295,0))),"NODE NOT FOUND"))</f>
        <v>ESP</v>
      </c>
      <c r="K961" s="7" t="str">
        <f aca="false">IF($D961="","",IFERROR(IF(INDEX(Hierarchy!$H$2:$H$1295,MATCH($D961,Hierarchy!$A$2:$A$1295,0))="","",INDEX(Hierarchy!$H$2:$H$1295,MATCH($D961,Hierarchy!$A$2:$A$1295,0))),"NODE NOT FOUND"))</f>
        <v>Community of Madrid</v>
      </c>
      <c r="L961" s="7" t="str">
        <f aca="false">IF($D961="","",IFERROR(IF(INDEX(Hierarchy!$I$2:$I$1295,MATCH($D961,Hierarchy!$A$2:$A$1295,0))="","",INDEX(Hierarchy!$I$2:$I$1295,MATCH($D961,Hierarchy!$A$2:$A$1295,0))),"NODE NOT FOUND"))</f>
        <v/>
      </c>
      <c r="M961" s="17" t="str">
        <f aca="false">IF(B961="Pre-seeded","Pre-seeded",IF(B961="Review 2026-09-16","Added from review",IF(C961="","New",IF(C961=D961,"","Changed"))))</f>
        <v>Pre-seeded</v>
      </c>
      <c r="N961" s="7" t="str">
        <f aca="false">TRIM(SUBSTITUTE(SUBSTITUTE(SUBSTITUTE(" "&amp;TRIM(SUBSTITUTE(SUBSTITUTE(SUBSTITUTE(SUBSTITUTE(SUBSTITUTE(SUBSTITUTE(SUBSTITUTE(SUBSTITUTE(SUBSTITUTE(SUBSTITUTE(SUBSTITUTE(SUBSTITUTE(SUBSTITUTE(SUBSTITUTE(SUBSTITUTE(UPPER(TRIM(A961)),"[MEMBER]",""),"{MEMBER}",""),"[MEMBER}",""),"MEMBER]",""),"(A)",""),"""",""),"“",""),"”",""),".",""),":",""),",",""),"–"," "),"-"," "),"/"," "),"&amp;"," AND "))&amp;" "," THE "," ")," TOTAL "," ")," OPERATIONS "," "))</f>
        <v>MADRID REGION</v>
      </c>
      <c r="O961" s="17" t="str">
        <f aca="false">IF(COUNTIFS($N$2:$N$2000,N961,$D$2:$D$2000,"&lt;&gt;"&amp;D961)&gt;0,"CONFLICT","")</f>
        <v/>
      </c>
      <c r="P961" s="7"/>
    </row>
    <row r="962" customFormat="false" ht="15" hidden="false" customHeight="false" outlineLevel="0" collapsed="false">
      <c r="A962" s="7" t="s">
        <v>488</v>
      </c>
      <c r="B962" s="7" t="s">
        <v>1879</v>
      </c>
      <c r="C962" s="7"/>
      <c r="D962" s="6" t="s">
        <v>488</v>
      </c>
      <c r="E962" s="6" t="s">
        <v>1880</v>
      </c>
      <c r="F962" s="7" t="str">
        <f aca="false">IF($D962="","",IFERROR(IF(INDEX(Hierarchy!$B$2:$B$1295,MATCH($D962,Hierarchy!$A$2:$A$1295,0))="","",INDEX(Hierarchy!$B$2:$B$1295,MATCH($D962,Hierarchy!$A$2:$A$1295,0))),"NODE NOT FOUND"))</f>
        <v>State/Province</v>
      </c>
      <c r="G962" s="7" t="str">
        <f aca="false">IF($D962="","",IFERROR(IF(INDEX(Hierarchy!$D$2:$D$1295,MATCH($D962,Hierarchy!$A$2:$A$1295,0))="","",INDEX(Hierarchy!$D$2:$D$1295,MATCH($D962,Hierarchy!$A$2:$A$1295,0))),"NODE NOT FOUND"))</f>
        <v>AMER</v>
      </c>
      <c r="H962" s="7" t="str">
        <f aca="false">IF($D962="","",IFERROR(IF(INDEX(Hierarchy!$E$2:$E$1295,MATCH($D962,Hierarchy!$A$2:$A$1295,0))="","",INDEX(Hierarchy!$E$2:$E$1295,MATCH($D962,Hierarchy!$A$2:$A$1295,0))),"NODE NOT FOUND"))</f>
        <v>Latin America (LATAM)</v>
      </c>
      <c r="I962" s="7" t="str">
        <f aca="false">IF($D962="","",IFERROR(IF(INDEX(Hierarchy!$F$2:$F$1295,MATCH($D962,Hierarchy!$A$2:$A$1295,0))="","",INDEX(Hierarchy!$F$2:$F$1295,MATCH($D962,Hierarchy!$A$2:$A$1295,0))),"NODE NOT FOUND"))</f>
        <v>Chile</v>
      </c>
      <c r="J962" s="7" t="str">
        <f aca="false">IF($D962="","",IFERROR(IF(INDEX(Hierarchy!$G$2:$G$1295,MATCH($D962,Hierarchy!$A$2:$A$1295,0))="","",INDEX(Hierarchy!$G$2:$G$1295,MATCH($D962,Hierarchy!$A$2:$A$1295,0))),"NODE NOT FOUND"))</f>
        <v>CHL</v>
      </c>
      <c r="K962" s="7" t="str">
        <f aca="false">IF($D962="","",IFERROR(IF(INDEX(Hierarchy!$H$2:$H$1295,MATCH($D962,Hierarchy!$A$2:$A$1295,0))="","",INDEX(Hierarchy!$H$2:$H$1295,MATCH($D962,Hierarchy!$A$2:$A$1295,0))),"NODE NOT FOUND"))</f>
        <v>Magallanes</v>
      </c>
      <c r="L962" s="7" t="str">
        <f aca="false">IF($D962="","",IFERROR(IF(INDEX(Hierarchy!$I$2:$I$1295,MATCH($D962,Hierarchy!$A$2:$A$1295,0))="","",INDEX(Hierarchy!$I$2:$I$1295,MATCH($D962,Hierarchy!$A$2:$A$1295,0))),"NODE NOT FOUND"))</f>
        <v/>
      </c>
      <c r="M962" s="17" t="str">
        <f aca="false">IF(B962="Pre-seeded","Pre-seeded",IF(B962="Review 2026-09-16","Added from review",IF(C962="","New",IF(C962=D962,"","Changed"))))</f>
        <v>Pre-seeded</v>
      </c>
      <c r="N962" s="7" t="str">
        <f aca="false">TRIM(SUBSTITUTE(SUBSTITUTE(SUBSTITUTE(" "&amp;TRIM(SUBSTITUTE(SUBSTITUTE(SUBSTITUTE(SUBSTITUTE(SUBSTITUTE(SUBSTITUTE(SUBSTITUTE(SUBSTITUTE(SUBSTITUTE(SUBSTITUTE(SUBSTITUTE(SUBSTITUTE(SUBSTITUTE(SUBSTITUTE(SUBSTITUTE(UPPER(TRIM(A962)),"[MEMBER]",""),"{MEMBER}",""),"[MEMBER}",""),"MEMBER]",""),"(A)",""),"""",""),"“",""),"”",""),".",""),":",""),",",""),"–"," "),"-"," "),"/"," "),"&amp;"," AND "))&amp;" "," THE "," ")," TOTAL "," ")," OPERATIONS "," "))</f>
        <v>MAGALLANES</v>
      </c>
      <c r="O962" s="17" t="str">
        <f aca="false">IF(COUNTIFS($N$2:$N$2000,N962,$D$2:$D$2000,"&lt;&gt;"&amp;D962)&gt;0,"CONFLICT","")</f>
        <v/>
      </c>
      <c r="P962" s="7"/>
    </row>
    <row r="963" customFormat="false" ht="15" hidden="false" customHeight="false" outlineLevel="0" collapsed="false">
      <c r="A963" s="7" t="s">
        <v>520</v>
      </c>
      <c r="B963" s="7" t="s">
        <v>1879</v>
      </c>
      <c r="C963" s="7"/>
      <c r="D963" s="6" t="s">
        <v>520</v>
      </c>
      <c r="E963" s="6" t="s">
        <v>1880</v>
      </c>
      <c r="F963" s="7" t="str">
        <f aca="false">IF($D963="","",IFERROR(IF(INDEX(Hierarchy!$B$2:$B$1295,MATCH($D963,Hierarchy!$A$2:$A$1295,0))="","",INDEX(Hierarchy!$B$2:$B$1295,MATCH($D963,Hierarchy!$A$2:$A$1295,0))),"NODE NOT FOUND"))</f>
        <v>State/Province</v>
      </c>
      <c r="G963" s="7" t="str">
        <f aca="false">IF($D963="","",IFERROR(IF(INDEX(Hierarchy!$D$2:$D$1295,MATCH($D963,Hierarchy!$A$2:$A$1295,0))="","",INDEX(Hierarchy!$D$2:$D$1295,MATCH($D963,Hierarchy!$A$2:$A$1295,0))),"NODE NOT FOUND"))</f>
        <v>AMER</v>
      </c>
      <c r="H963" s="7" t="str">
        <f aca="false">IF($D963="","",IFERROR(IF(INDEX(Hierarchy!$E$2:$E$1295,MATCH($D963,Hierarchy!$A$2:$A$1295,0))="","",INDEX(Hierarchy!$E$2:$E$1295,MATCH($D963,Hierarchy!$A$2:$A$1295,0))),"NODE NOT FOUND"))</f>
        <v>Latin America (LATAM)</v>
      </c>
      <c r="I963" s="7" t="str">
        <f aca="false">IF($D963="","",IFERROR(IF(INDEX(Hierarchy!$F$2:$F$1295,MATCH($D963,Hierarchy!$A$2:$A$1295,0))="","",INDEX(Hierarchy!$F$2:$F$1295,MATCH($D963,Hierarchy!$A$2:$A$1295,0))),"NODE NOT FOUND"))</f>
        <v>Colombia</v>
      </c>
      <c r="J963" s="7" t="str">
        <f aca="false">IF($D963="","",IFERROR(IF(INDEX(Hierarchy!$G$2:$G$1295,MATCH($D963,Hierarchy!$A$2:$A$1295,0))="","",INDEX(Hierarchy!$G$2:$G$1295,MATCH($D963,Hierarchy!$A$2:$A$1295,0))),"NODE NOT FOUND"))</f>
        <v>COL</v>
      </c>
      <c r="K963" s="7" t="str">
        <f aca="false">IF($D963="","",IFERROR(IF(INDEX(Hierarchy!$H$2:$H$1295,MATCH($D963,Hierarchy!$A$2:$A$1295,0))="","",INDEX(Hierarchy!$H$2:$H$1295,MATCH($D963,Hierarchy!$A$2:$A$1295,0))),"NODE NOT FOUND"))</f>
        <v>Magdalena</v>
      </c>
      <c r="L963" s="7" t="str">
        <f aca="false">IF($D963="","",IFERROR(IF(INDEX(Hierarchy!$I$2:$I$1295,MATCH($D963,Hierarchy!$A$2:$A$1295,0))="","",INDEX(Hierarchy!$I$2:$I$1295,MATCH($D963,Hierarchy!$A$2:$A$1295,0))),"NODE NOT FOUND"))</f>
        <v/>
      </c>
      <c r="M963" s="17" t="str">
        <f aca="false">IF(B963="Pre-seeded","Pre-seeded",IF(B963="Review 2026-09-16","Added from review",IF(C963="","New",IF(C963=D963,"","Changed"))))</f>
        <v>Pre-seeded</v>
      </c>
      <c r="N963" s="7" t="str">
        <f aca="false">TRIM(SUBSTITUTE(SUBSTITUTE(SUBSTITUTE(" "&amp;TRIM(SUBSTITUTE(SUBSTITUTE(SUBSTITUTE(SUBSTITUTE(SUBSTITUTE(SUBSTITUTE(SUBSTITUTE(SUBSTITUTE(SUBSTITUTE(SUBSTITUTE(SUBSTITUTE(SUBSTITUTE(SUBSTITUTE(SUBSTITUTE(SUBSTITUTE(UPPER(TRIM(A963)),"[MEMBER]",""),"{MEMBER}",""),"[MEMBER}",""),"MEMBER]",""),"(A)",""),"""",""),"“",""),"”",""),".",""),":",""),",",""),"–"," "),"-"," "),"/"," "),"&amp;"," AND "))&amp;" "," THE "," ")," TOTAL "," ")," OPERATIONS "," "))</f>
        <v>MAGDALENA</v>
      </c>
      <c r="O963" s="17" t="str">
        <f aca="false">IF(COUNTIFS($N$2:$N$2000,N963,$D$2:$D$2000,"&lt;&gt;"&amp;D963)&gt;0,"CONFLICT","")</f>
        <v/>
      </c>
      <c r="P963" s="7"/>
    </row>
    <row r="964" customFormat="false" ht="15" hidden="false" customHeight="false" outlineLevel="0" collapsed="false">
      <c r="A964" s="7" t="s">
        <v>1102</v>
      </c>
      <c r="B964" s="7" t="s">
        <v>1879</v>
      </c>
      <c r="C964" s="7"/>
      <c r="D964" s="6" t="s">
        <v>1102</v>
      </c>
      <c r="E964" s="6" t="s">
        <v>1880</v>
      </c>
      <c r="F964" s="7" t="str">
        <f aca="false">IF($D964="","",IFERROR(IF(INDEX(Hierarchy!$B$2:$B$1295,MATCH($D964,Hierarchy!$A$2:$A$1295,0))="","",INDEX(Hierarchy!$B$2:$B$1295,MATCH($D964,Hierarchy!$A$2:$A$1295,0))),"NODE NOT FOUND"))</f>
        <v>Sub-region component</v>
      </c>
      <c r="G964" s="7" t="str">
        <f aca="false">IF($D964="","",IFERROR(IF(INDEX(Hierarchy!$D$2:$D$1295,MATCH($D964,Hierarchy!$A$2:$A$1295,0))="","",INDEX(Hierarchy!$D$2:$D$1295,MATCH($D964,Hierarchy!$A$2:$A$1295,0))),"NODE NOT FOUND"))</f>
        <v>EMEA</v>
      </c>
      <c r="H964" s="7" t="str">
        <f aca="false">IF($D964="","",IFERROR(IF(INDEX(Hierarchy!$E$2:$E$1295,MATCH($D964,Hierarchy!$A$2:$A$1295,0))="","",INDEX(Hierarchy!$E$2:$E$1295,MATCH($D964,Hierarchy!$A$2:$A$1295,0))),"NODE NOT FOUND"))</f>
        <v>Africa</v>
      </c>
      <c r="I964" s="7" t="str">
        <f aca="false">IF($D964="","",IFERROR(IF(INDEX(Hierarchy!$F$2:$F$1295,MATCH($D964,Hierarchy!$A$2:$A$1295,0))="","",INDEX(Hierarchy!$F$2:$F$1295,MATCH($D964,Hierarchy!$A$2:$A$1295,0))),"NODE NOT FOUND"))</f>
        <v/>
      </c>
      <c r="J964" s="7" t="str">
        <f aca="false">IF($D964="","",IFERROR(IF(INDEX(Hierarchy!$G$2:$G$1295,MATCH($D964,Hierarchy!$A$2:$A$1295,0))="","",INDEX(Hierarchy!$G$2:$G$1295,MATCH($D964,Hierarchy!$A$2:$A$1295,0))),"NODE NOT FOUND"))</f>
        <v/>
      </c>
      <c r="K964" s="7" t="str">
        <f aca="false">IF($D964="","",IFERROR(IF(INDEX(Hierarchy!$H$2:$H$1295,MATCH($D964,Hierarchy!$A$2:$A$1295,0))="","",INDEX(Hierarchy!$H$2:$H$1295,MATCH($D964,Hierarchy!$A$2:$A$1295,0))),"NODE NOT FOUND"))</f>
        <v/>
      </c>
      <c r="L964" s="7" t="str">
        <f aca="false">IF($D964="","",IFERROR(IF(INDEX(Hierarchy!$I$2:$I$1295,MATCH($D964,Hierarchy!$A$2:$A$1295,0))="","",INDEX(Hierarchy!$I$2:$I$1295,MATCH($D964,Hierarchy!$A$2:$A$1295,0))),"NODE NOT FOUND"))</f>
        <v/>
      </c>
      <c r="M964" s="17" t="str">
        <f aca="false">IF(B964="Pre-seeded","Pre-seeded",IF(B964="Review 2026-09-16","Added from review",IF(C964="","New",IF(C964=D964,"","Changed"))))</f>
        <v>Pre-seeded</v>
      </c>
      <c r="N964" s="7" t="str">
        <f aca="false">TRIM(SUBSTITUTE(SUBSTITUTE(SUBSTITUTE(" "&amp;TRIM(SUBSTITUTE(SUBSTITUTE(SUBSTITUTE(SUBSTITUTE(SUBSTITUTE(SUBSTITUTE(SUBSTITUTE(SUBSTITUTE(SUBSTITUTE(SUBSTITUTE(SUBSTITUTE(SUBSTITUTE(SUBSTITUTE(SUBSTITUTE(SUBSTITUTE(UPPER(TRIM(A964)),"[MEMBER]",""),"{MEMBER}",""),"[MEMBER}",""),"MEMBER]",""),"(A)",""),"""",""),"“",""),"”",""),".",""),":",""),",",""),"–"," "),"-"," "),"/"," "),"&amp;"," AND "))&amp;" "," THE "," ")," TOTAL "," ")," OPERATIONS "," "))</f>
        <v>MAGHREB</v>
      </c>
      <c r="O964" s="17" t="str">
        <f aca="false">IF(COUNTIFS($N$2:$N$2000,N964,$D$2:$D$2000,"&lt;&gt;"&amp;D964)&gt;0,"CONFLICT","")</f>
        <v/>
      </c>
      <c r="P964" s="7"/>
    </row>
    <row r="965" customFormat="false" ht="15" hidden="false" customHeight="false" outlineLevel="0" collapsed="false">
      <c r="A965" s="7" t="s">
        <v>1350</v>
      </c>
      <c r="B965" s="7" t="s">
        <v>1879</v>
      </c>
      <c r="C965" s="7"/>
      <c r="D965" s="6" t="s">
        <v>1350</v>
      </c>
      <c r="E965" s="6" t="s">
        <v>1880</v>
      </c>
      <c r="F965" s="7" t="str">
        <f aca="false">IF($D965="","",IFERROR(IF(INDEX(Hierarchy!$B$2:$B$1295,MATCH($D965,Hierarchy!$A$2:$A$1295,0))="","",INDEX(Hierarchy!$B$2:$B$1295,MATCH($D965,Hierarchy!$A$2:$A$1295,0))),"NODE NOT FOUND"))</f>
        <v>State/Province</v>
      </c>
      <c r="G965" s="7" t="str">
        <f aca="false">IF($D965="","",IFERROR(IF(INDEX(Hierarchy!$D$2:$D$1295,MATCH($D965,Hierarchy!$A$2:$A$1295,0))="","",INDEX(Hierarchy!$D$2:$D$1295,MATCH($D965,Hierarchy!$A$2:$A$1295,0))),"NODE NOT FOUND"))</f>
        <v>APAC</v>
      </c>
      <c r="H965" s="7" t="str">
        <f aca="false">IF($D965="","",IFERROR(IF(INDEX(Hierarchy!$E$2:$E$1295,MATCH($D965,Hierarchy!$A$2:$A$1295,0))="","",INDEX(Hierarchy!$E$2:$E$1295,MATCH($D965,Hierarchy!$A$2:$A$1295,0))),"NODE NOT FOUND"))</f>
        <v>South Asia</v>
      </c>
      <c r="I965" s="7" t="str">
        <f aca="false">IF($D965="","",IFERROR(IF(INDEX(Hierarchy!$F$2:$F$1295,MATCH($D965,Hierarchy!$A$2:$A$1295,0))="","",INDEX(Hierarchy!$F$2:$F$1295,MATCH($D965,Hierarchy!$A$2:$A$1295,0))),"NODE NOT FOUND"))</f>
        <v>India</v>
      </c>
      <c r="J965" s="7" t="str">
        <f aca="false">IF($D965="","",IFERROR(IF(INDEX(Hierarchy!$G$2:$G$1295,MATCH($D965,Hierarchy!$A$2:$A$1295,0))="","",INDEX(Hierarchy!$G$2:$G$1295,MATCH($D965,Hierarchy!$A$2:$A$1295,0))),"NODE NOT FOUND"))</f>
        <v>IND</v>
      </c>
      <c r="K965" s="7" t="str">
        <f aca="false">IF($D965="","",IFERROR(IF(INDEX(Hierarchy!$H$2:$H$1295,MATCH($D965,Hierarchy!$A$2:$A$1295,0))="","",INDEX(Hierarchy!$H$2:$H$1295,MATCH($D965,Hierarchy!$A$2:$A$1295,0))),"NODE NOT FOUND"))</f>
        <v>Maharashtra</v>
      </c>
      <c r="L965" s="7" t="str">
        <f aca="false">IF($D965="","",IFERROR(IF(INDEX(Hierarchy!$I$2:$I$1295,MATCH($D965,Hierarchy!$A$2:$A$1295,0))="","",INDEX(Hierarchy!$I$2:$I$1295,MATCH($D965,Hierarchy!$A$2:$A$1295,0))),"NODE NOT FOUND"))</f>
        <v/>
      </c>
      <c r="M965" s="17" t="str">
        <f aca="false">IF(B965="Pre-seeded","Pre-seeded",IF(B965="Review 2026-09-16","Added from review",IF(C965="","New",IF(C965=D965,"","Changed"))))</f>
        <v>Pre-seeded</v>
      </c>
      <c r="N965" s="7" t="str">
        <f aca="false">TRIM(SUBSTITUTE(SUBSTITUTE(SUBSTITUTE(" "&amp;TRIM(SUBSTITUTE(SUBSTITUTE(SUBSTITUTE(SUBSTITUTE(SUBSTITUTE(SUBSTITUTE(SUBSTITUTE(SUBSTITUTE(SUBSTITUTE(SUBSTITUTE(SUBSTITUTE(SUBSTITUTE(SUBSTITUTE(SUBSTITUTE(SUBSTITUTE(UPPER(TRIM(A965)),"[MEMBER]",""),"{MEMBER}",""),"[MEMBER}",""),"MEMBER]",""),"(A)",""),"""",""),"“",""),"”",""),".",""),":",""),",",""),"–"," "),"-"," "),"/"," "),"&amp;"," AND "))&amp;" "," THE "," ")," TOTAL "," ")," OPERATIONS "," "))</f>
        <v>MAHARASHTRA</v>
      </c>
      <c r="O965" s="17" t="str">
        <f aca="false">IF(COUNTIFS($N$2:$N$2000,N965,$D$2:$D$2000,"&lt;&gt;"&amp;D965)&gt;0,"CONFLICT","")</f>
        <v/>
      </c>
      <c r="P965" s="7"/>
    </row>
    <row r="966" customFormat="false" ht="15" hidden="false" customHeight="false" outlineLevel="0" collapsed="false">
      <c r="A966" s="7" t="s">
        <v>190</v>
      </c>
      <c r="B966" s="7" t="s">
        <v>1882</v>
      </c>
      <c r="C966" s="7" t="s">
        <v>190</v>
      </c>
      <c r="D966" s="6" t="s">
        <v>190</v>
      </c>
      <c r="E966" s="6" t="s">
        <v>1880</v>
      </c>
      <c r="F966" s="7" t="str">
        <f aca="false">IF($D966="","",IFERROR(IF(INDEX(Hierarchy!$B$2:$B$1295,MATCH($D966,Hierarchy!$A$2:$A$1295,0))="","",INDEX(Hierarchy!$B$2:$B$1295,MATCH($D966,Hierarchy!$A$2:$A$1295,0))),"NODE NOT FOUND"))</f>
        <v>State/Province</v>
      </c>
      <c r="G966" s="7" t="str">
        <f aca="false">IF($D966="","",IFERROR(IF(INDEX(Hierarchy!$D$2:$D$1295,MATCH($D966,Hierarchy!$A$2:$A$1295,0))="","",INDEX(Hierarchy!$D$2:$D$1295,MATCH($D966,Hierarchy!$A$2:$A$1295,0))),"NODE NOT FOUND"))</f>
        <v>AMER</v>
      </c>
      <c r="H966" s="7" t="str">
        <f aca="false">IF($D966="","",IFERROR(IF(INDEX(Hierarchy!$E$2:$E$1295,MATCH($D966,Hierarchy!$A$2:$A$1295,0))="","",INDEX(Hierarchy!$E$2:$E$1295,MATCH($D966,Hierarchy!$A$2:$A$1295,0))),"NODE NOT FOUND"))</f>
        <v>North America (NORAM)</v>
      </c>
      <c r="I966" s="7" t="str">
        <f aca="false">IF($D966="","",IFERROR(IF(INDEX(Hierarchy!$F$2:$F$1295,MATCH($D966,Hierarchy!$A$2:$A$1295,0))="","",INDEX(Hierarchy!$F$2:$F$1295,MATCH($D966,Hierarchy!$A$2:$A$1295,0))),"NODE NOT FOUND"))</f>
        <v>United States</v>
      </c>
      <c r="J966" s="7" t="str">
        <f aca="false">IF($D966="","",IFERROR(IF(INDEX(Hierarchy!$G$2:$G$1295,MATCH($D966,Hierarchy!$A$2:$A$1295,0))="","",INDEX(Hierarchy!$G$2:$G$1295,MATCH($D966,Hierarchy!$A$2:$A$1295,0))),"NODE NOT FOUND"))</f>
        <v>USA</v>
      </c>
      <c r="K966" s="7" t="str">
        <f aca="false">IF($D966="","",IFERROR(IF(INDEX(Hierarchy!$H$2:$H$1295,MATCH($D966,Hierarchy!$A$2:$A$1295,0))="","",INDEX(Hierarchy!$H$2:$H$1295,MATCH($D966,Hierarchy!$A$2:$A$1295,0))),"NODE NOT FOUND"))</f>
        <v>Maine</v>
      </c>
      <c r="L966" s="7" t="str">
        <f aca="false">IF($D966="","",IFERROR(IF(INDEX(Hierarchy!$I$2:$I$1295,MATCH($D966,Hierarchy!$A$2:$A$1295,0))="","",INDEX(Hierarchy!$I$2:$I$1295,MATCH($D966,Hierarchy!$A$2:$A$1295,0))),"NODE NOT FOUND"))</f>
        <v/>
      </c>
      <c r="M966" s="17" t="str">
        <f aca="false">IF(B966="Pre-seeded","Pre-seeded",IF(B966="Review 2026-09-16","Added from review",IF(C966="","New",IF(C966=D966,"","Changed"))))</f>
        <v/>
      </c>
      <c r="N966" s="7" t="str">
        <f aca="false">TRIM(SUBSTITUTE(SUBSTITUTE(SUBSTITUTE(" "&amp;TRIM(SUBSTITUTE(SUBSTITUTE(SUBSTITUTE(SUBSTITUTE(SUBSTITUTE(SUBSTITUTE(SUBSTITUTE(SUBSTITUTE(SUBSTITUTE(SUBSTITUTE(SUBSTITUTE(SUBSTITUTE(SUBSTITUTE(SUBSTITUTE(SUBSTITUTE(UPPER(TRIM(A966)),"[MEMBER]",""),"{MEMBER}",""),"[MEMBER}",""),"MEMBER]",""),"(A)",""),"""",""),"“",""),"”",""),".",""),":",""),",",""),"–"," "),"-"," "),"/"," "),"&amp;"," AND "))&amp;" "," THE "," ")," TOTAL "," ")," OPERATIONS "," "))</f>
        <v>MAINE</v>
      </c>
      <c r="O966" s="17" t="str">
        <f aca="false">IF(COUNTIFS($N$2:$N$2000,N966,$D$2:$D$2000,"&lt;&gt;"&amp;D966)&gt;0,"CONFLICT","")</f>
        <v/>
      </c>
      <c r="P966" s="7"/>
    </row>
    <row r="967" customFormat="false" ht="15" hidden="false" customHeight="false" outlineLevel="0" collapsed="false">
      <c r="A967" s="7" t="s">
        <v>2372</v>
      </c>
      <c r="B967" s="7" t="s">
        <v>1885</v>
      </c>
      <c r="C967" s="7" t="s">
        <v>1488</v>
      </c>
      <c r="D967" s="6" t="s">
        <v>1488</v>
      </c>
      <c r="E967" s="6" t="s">
        <v>1880</v>
      </c>
      <c r="F967" s="7" t="str">
        <f aca="false">IF($D967="","",IFERROR(IF(INDEX(Hierarchy!$B$2:$B$1295,MATCH($D967,Hierarchy!$A$2:$A$1295,0))="","",INDEX(Hierarchy!$B$2:$B$1295,MATCH($D967,Hierarchy!$A$2:$A$1295,0))),"NODE NOT FOUND"))</f>
        <v>Country</v>
      </c>
      <c r="G967" s="7" t="str">
        <f aca="false">IF($D967="","",IFERROR(IF(INDEX(Hierarchy!$D$2:$D$1295,MATCH($D967,Hierarchy!$A$2:$A$1295,0))="","",INDEX(Hierarchy!$D$2:$D$1295,MATCH($D967,Hierarchy!$A$2:$A$1295,0))),"NODE NOT FOUND"))</f>
        <v>APAC</v>
      </c>
      <c r="H967" s="7" t="str">
        <f aca="false">IF($D967="","",IFERROR(IF(INDEX(Hierarchy!$E$2:$E$1295,MATCH($D967,Hierarchy!$A$2:$A$1295,0))="","",INDEX(Hierarchy!$E$2:$E$1295,MATCH($D967,Hierarchy!$A$2:$A$1295,0))),"NODE NOT FOUND"))</f>
        <v>East Asia</v>
      </c>
      <c r="I967" s="7" t="str">
        <f aca="false">IF($D967="","",IFERROR(IF(INDEX(Hierarchy!$F$2:$F$1295,MATCH($D967,Hierarchy!$A$2:$A$1295,0))="","",INDEX(Hierarchy!$F$2:$F$1295,MATCH($D967,Hierarchy!$A$2:$A$1295,0))),"NODE NOT FOUND"))</f>
        <v>China</v>
      </c>
      <c r="J967" s="7" t="str">
        <f aca="false">IF($D967="","",IFERROR(IF(INDEX(Hierarchy!$G$2:$G$1295,MATCH($D967,Hierarchy!$A$2:$A$1295,0))="","",INDEX(Hierarchy!$G$2:$G$1295,MATCH($D967,Hierarchy!$A$2:$A$1295,0))),"NODE NOT FOUND"))</f>
        <v>CHN</v>
      </c>
      <c r="K967" s="7" t="str">
        <f aca="false">IF($D967="","",IFERROR(IF(INDEX(Hierarchy!$H$2:$H$1295,MATCH($D967,Hierarchy!$A$2:$A$1295,0))="","",INDEX(Hierarchy!$H$2:$H$1295,MATCH($D967,Hierarchy!$A$2:$A$1295,0))),"NODE NOT FOUND"))</f>
        <v/>
      </c>
      <c r="L967" s="7" t="str">
        <f aca="false">IF($D967="","",IFERROR(IF(INDEX(Hierarchy!$I$2:$I$1295,MATCH($D967,Hierarchy!$A$2:$A$1295,0))="","",INDEX(Hierarchy!$I$2:$I$1295,MATCH($D967,Hierarchy!$A$2:$A$1295,0))),"NODE NOT FOUND"))</f>
        <v/>
      </c>
      <c r="M967" s="17" t="str">
        <f aca="false">IF(B967="Pre-seeded","Pre-seeded",IF(B967="Review 2026-09-16","Added from review",IF(C967="","New",IF(C967=D967,"","Changed"))))</f>
        <v/>
      </c>
      <c r="N967" s="7" t="str">
        <f aca="false">TRIM(SUBSTITUTE(SUBSTITUTE(SUBSTITUTE(" "&amp;TRIM(SUBSTITUTE(SUBSTITUTE(SUBSTITUTE(SUBSTITUTE(SUBSTITUTE(SUBSTITUTE(SUBSTITUTE(SUBSTITUTE(SUBSTITUTE(SUBSTITUTE(SUBSTITUTE(SUBSTITUTE(SUBSTITUTE(SUBSTITUTE(SUBSTITUTE(UPPER(TRIM(A967)),"[MEMBER]",""),"{MEMBER}",""),"[MEMBER}",""),"MEMBER]",""),"(A)",""),"""",""),"“",""),"”",""),".",""),":",""),",",""),"–"," "),"-"," "),"/"," "),"&amp;"," AND "))&amp;" "," THE "," ")," TOTAL "," ")," OPERATIONS "," "))</f>
        <v>MAINLAND CHINA</v>
      </c>
      <c r="O967" s="17" t="str">
        <f aca="false">IF(COUNTIFS($N$2:$N$2000,N967,$D$2:$D$2000,"&lt;&gt;"&amp;D967)&gt;0,"CONFLICT","")</f>
        <v/>
      </c>
      <c r="P967" s="7"/>
    </row>
    <row r="968" customFormat="false" ht="15" hidden="false" customHeight="false" outlineLevel="0" collapsed="false">
      <c r="A968" s="7" t="s">
        <v>2373</v>
      </c>
      <c r="B968" s="7" t="s">
        <v>1885</v>
      </c>
      <c r="C968" s="7" t="s">
        <v>1488</v>
      </c>
      <c r="D968" s="6" t="s">
        <v>1488</v>
      </c>
      <c r="E968" s="6" t="s">
        <v>1880</v>
      </c>
      <c r="F968" s="7" t="str">
        <f aca="false">IF($D968="","",IFERROR(IF(INDEX(Hierarchy!$B$2:$B$1295,MATCH($D968,Hierarchy!$A$2:$A$1295,0))="","",INDEX(Hierarchy!$B$2:$B$1295,MATCH($D968,Hierarchy!$A$2:$A$1295,0))),"NODE NOT FOUND"))</f>
        <v>Country</v>
      </c>
      <c r="G968" s="7" t="str">
        <f aca="false">IF($D968="","",IFERROR(IF(INDEX(Hierarchy!$D$2:$D$1295,MATCH($D968,Hierarchy!$A$2:$A$1295,0))="","",INDEX(Hierarchy!$D$2:$D$1295,MATCH($D968,Hierarchy!$A$2:$A$1295,0))),"NODE NOT FOUND"))</f>
        <v>APAC</v>
      </c>
      <c r="H968" s="7" t="str">
        <f aca="false">IF($D968="","",IFERROR(IF(INDEX(Hierarchy!$E$2:$E$1295,MATCH($D968,Hierarchy!$A$2:$A$1295,0))="","",INDEX(Hierarchy!$E$2:$E$1295,MATCH($D968,Hierarchy!$A$2:$A$1295,0))),"NODE NOT FOUND"))</f>
        <v>East Asia</v>
      </c>
      <c r="I968" s="7" t="str">
        <f aca="false">IF($D968="","",IFERROR(IF(INDEX(Hierarchy!$F$2:$F$1295,MATCH($D968,Hierarchy!$A$2:$A$1295,0))="","",INDEX(Hierarchy!$F$2:$F$1295,MATCH($D968,Hierarchy!$A$2:$A$1295,0))),"NODE NOT FOUND"))</f>
        <v>China</v>
      </c>
      <c r="J968" s="7" t="str">
        <f aca="false">IF($D968="","",IFERROR(IF(INDEX(Hierarchy!$G$2:$G$1295,MATCH($D968,Hierarchy!$A$2:$A$1295,0))="","",INDEX(Hierarchy!$G$2:$G$1295,MATCH($D968,Hierarchy!$A$2:$A$1295,0))),"NODE NOT FOUND"))</f>
        <v>CHN</v>
      </c>
      <c r="K968" s="7" t="str">
        <f aca="false">IF($D968="","",IFERROR(IF(INDEX(Hierarchy!$H$2:$H$1295,MATCH($D968,Hierarchy!$A$2:$A$1295,0))="","",INDEX(Hierarchy!$H$2:$H$1295,MATCH($D968,Hierarchy!$A$2:$A$1295,0))),"NODE NOT FOUND"))</f>
        <v/>
      </c>
      <c r="L968" s="7" t="str">
        <f aca="false">IF($D968="","",IFERROR(IF(INDEX(Hierarchy!$I$2:$I$1295,MATCH($D968,Hierarchy!$A$2:$A$1295,0))="","",INDEX(Hierarchy!$I$2:$I$1295,MATCH($D968,Hierarchy!$A$2:$A$1295,0))),"NODE NOT FOUND"))</f>
        <v/>
      </c>
      <c r="M968" s="17" t="str">
        <f aca="false">IF(B968="Pre-seeded","Pre-seeded",IF(B968="Review 2026-09-16","Added from review",IF(C968="","New",IF(C968=D968,"","Changed"))))</f>
        <v/>
      </c>
      <c r="N968" s="7" t="str">
        <f aca="false">TRIM(SUBSTITUTE(SUBSTITUTE(SUBSTITUTE(" "&amp;TRIM(SUBSTITUTE(SUBSTITUTE(SUBSTITUTE(SUBSTITUTE(SUBSTITUTE(SUBSTITUTE(SUBSTITUTE(SUBSTITUTE(SUBSTITUTE(SUBSTITUTE(SUBSTITUTE(SUBSTITUTE(SUBSTITUTE(SUBSTITUTE(SUBSTITUTE(UPPER(TRIM(A968)),"[MEMBER]",""),"{MEMBER}",""),"[MEMBER}",""),"MEMBER]",""),"(A)",""),"""",""),"“",""),"”",""),".",""),":",""),",",""),"–"," "),"-"," "),"/"," "),"&amp;"," AND "))&amp;" "," THE "," ")," TOTAL "," ")," OPERATIONS "," "))</f>
        <v>MAINLAND CHINA (EXCLUDING HONG KONG)</v>
      </c>
      <c r="O968" s="17" t="str">
        <f aca="false">IF(COUNTIFS($N$2:$N$2000,N968,$D$2:$D$2000,"&lt;&gt;"&amp;D968)&gt;0,"CONFLICT","")</f>
        <v/>
      </c>
      <c r="P968" s="7"/>
    </row>
    <row r="969" customFormat="false" ht="15" hidden="false" customHeight="false" outlineLevel="0" collapsed="false">
      <c r="A969" s="7" t="s">
        <v>2374</v>
      </c>
      <c r="B969" s="7" t="s">
        <v>1879</v>
      </c>
      <c r="C969" s="7"/>
      <c r="D969" s="6" t="s">
        <v>1055</v>
      </c>
      <c r="E969" s="6" t="s">
        <v>1880</v>
      </c>
      <c r="F969" s="7" t="str">
        <f aca="false">IF($D969="","",IFERROR(IF(INDEX(Hierarchy!$B$2:$B$1295,MATCH($D969,Hierarchy!$A$2:$A$1295,0))="","",INDEX(Hierarchy!$B$2:$B$1295,MATCH($D969,Hierarchy!$A$2:$A$1295,0))),"NODE NOT FOUND"))</f>
        <v>State/Province</v>
      </c>
      <c r="G969" s="7" t="str">
        <f aca="false">IF($D969="","",IFERROR(IF(INDEX(Hierarchy!$D$2:$D$1295,MATCH($D969,Hierarchy!$A$2:$A$1295,0))="","",INDEX(Hierarchy!$D$2:$D$1295,MATCH($D969,Hierarchy!$A$2:$A$1295,0))),"NODE NOT FOUND"))</f>
        <v>EMEA</v>
      </c>
      <c r="H969" s="7" t="str">
        <f aca="false">IF($D969="","",IFERROR(IF(INDEX(Hierarchy!$E$2:$E$1295,MATCH($D969,Hierarchy!$A$2:$A$1295,0))="","",INDEX(Hierarchy!$E$2:$E$1295,MATCH($D969,Hierarchy!$A$2:$A$1295,0))),"NODE NOT FOUND"))</f>
        <v>Middle East</v>
      </c>
      <c r="I969" s="7" t="str">
        <f aca="false">IF($D969="","",IFERROR(IF(INDEX(Hierarchy!$F$2:$F$1295,MATCH($D969,Hierarchy!$A$2:$A$1295,0))="","",INDEX(Hierarchy!$F$2:$F$1295,MATCH($D969,Hierarchy!$A$2:$A$1295,0))),"NODE NOT FOUND"))</f>
        <v>Saudi Arabia</v>
      </c>
      <c r="J969" s="7" t="str">
        <f aca="false">IF($D969="","",IFERROR(IF(INDEX(Hierarchy!$G$2:$G$1295,MATCH($D969,Hierarchy!$A$2:$A$1295,0))="","",INDEX(Hierarchy!$G$2:$G$1295,MATCH($D969,Hierarchy!$A$2:$A$1295,0))),"NODE NOT FOUND"))</f>
        <v>SAU</v>
      </c>
      <c r="K969" s="7" t="str">
        <f aca="false">IF($D969="","",IFERROR(IF(INDEX(Hierarchy!$H$2:$H$1295,MATCH($D969,Hierarchy!$A$2:$A$1295,0))="","",INDEX(Hierarchy!$H$2:$H$1295,MATCH($D969,Hierarchy!$A$2:$A$1295,0))),"NODE NOT FOUND"))</f>
        <v>Mecca Province</v>
      </c>
      <c r="L969" s="7" t="str">
        <f aca="false">IF($D969="","",IFERROR(IF(INDEX(Hierarchy!$I$2:$I$1295,MATCH($D969,Hierarchy!$A$2:$A$1295,0))="","",INDEX(Hierarchy!$I$2:$I$1295,MATCH($D969,Hierarchy!$A$2:$A$1295,0))),"NODE NOT FOUND"))</f>
        <v/>
      </c>
      <c r="M969" s="17" t="str">
        <f aca="false">IF(B969="Pre-seeded","Pre-seeded",IF(B969="Review 2026-09-16","Added from review",IF(C969="","New",IF(C969=D969,"","Changed"))))</f>
        <v>Pre-seeded</v>
      </c>
      <c r="N969" s="7" t="str">
        <f aca="false">TRIM(SUBSTITUTE(SUBSTITUTE(SUBSTITUTE(" "&amp;TRIM(SUBSTITUTE(SUBSTITUTE(SUBSTITUTE(SUBSTITUTE(SUBSTITUTE(SUBSTITUTE(SUBSTITUTE(SUBSTITUTE(SUBSTITUTE(SUBSTITUTE(SUBSTITUTE(SUBSTITUTE(SUBSTITUTE(SUBSTITUTE(SUBSTITUTE(UPPER(TRIM(A969)),"[MEMBER]",""),"{MEMBER}",""),"[MEMBER}",""),"MEMBER]",""),"(A)",""),"""",""),"“",""),"”",""),".",""),":",""),",",""),"–"," "),"-"," "),"/"," "),"&amp;"," AND "))&amp;" "," THE "," ")," TOTAL "," ")," OPERATIONS "," "))</f>
        <v>MAKKAH</v>
      </c>
      <c r="O969" s="17" t="str">
        <f aca="false">IF(COUNTIFS($N$2:$N$2000,N969,$D$2:$D$2000,"&lt;&gt;"&amp;D969)&gt;0,"CONFLICT","")</f>
        <v/>
      </c>
      <c r="P969" s="7"/>
    </row>
    <row r="970" customFormat="false" ht="15" hidden="false" customHeight="false" outlineLevel="0" collapsed="false">
      <c r="A970" s="7" t="s">
        <v>1640</v>
      </c>
      <c r="B970" s="7" t="s">
        <v>1879</v>
      </c>
      <c r="C970" s="7"/>
      <c r="D970" s="6" t="s">
        <v>1640</v>
      </c>
      <c r="E970" s="6" t="s">
        <v>1880</v>
      </c>
      <c r="F970" s="7" t="str">
        <f aca="false">IF($D970="","",IFERROR(IF(INDEX(Hierarchy!$B$2:$B$1295,MATCH($D970,Hierarchy!$A$2:$A$1295,0))="","",INDEX(Hierarchy!$B$2:$B$1295,MATCH($D970,Hierarchy!$A$2:$A$1295,0))),"NODE NOT FOUND"))</f>
        <v>State/Province</v>
      </c>
      <c r="G970" s="7" t="str">
        <f aca="false">IF($D970="","",IFERROR(IF(INDEX(Hierarchy!$D$2:$D$1295,MATCH($D970,Hierarchy!$A$2:$A$1295,0))="","",INDEX(Hierarchy!$D$2:$D$1295,MATCH($D970,Hierarchy!$A$2:$A$1295,0))),"NODE NOT FOUND"))</f>
        <v>APAC</v>
      </c>
      <c r="H970" s="7" t="str">
        <f aca="false">IF($D970="","",IFERROR(IF(INDEX(Hierarchy!$E$2:$E$1295,MATCH($D970,Hierarchy!$A$2:$A$1295,0))="","",INDEX(Hierarchy!$E$2:$E$1295,MATCH($D970,Hierarchy!$A$2:$A$1295,0))),"NODE NOT FOUND"))</f>
        <v>Southeast Asia (ASEAN)</v>
      </c>
      <c r="I970" s="7" t="str">
        <f aca="false">IF($D970="","",IFERROR(IF(INDEX(Hierarchy!$F$2:$F$1295,MATCH($D970,Hierarchy!$A$2:$A$1295,0))="","",INDEX(Hierarchy!$F$2:$F$1295,MATCH($D970,Hierarchy!$A$2:$A$1295,0))),"NODE NOT FOUND"))</f>
        <v>Malaysia</v>
      </c>
      <c r="J970" s="7" t="str">
        <f aca="false">IF($D970="","",IFERROR(IF(INDEX(Hierarchy!$G$2:$G$1295,MATCH($D970,Hierarchy!$A$2:$A$1295,0))="","",INDEX(Hierarchy!$G$2:$G$1295,MATCH($D970,Hierarchy!$A$2:$A$1295,0))),"NODE NOT FOUND"))</f>
        <v>MYS</v>
      </c>
      <c r="K970" s="7" t="str">
        <f aca="false">IF($D970="","",IFERROR(IF(INDEX(Hierarchy!$H$2:$H$1295,MATCH($D970,Hierarchy!$A$2:$A$1295,0))="","",INDEX(Hierarchy!$H$2:$H$1295,MATCH($D970,Hierarchy!$A$2:$A$1295,0))),"NODE NOT FOUND"))</f>
        <v>Malacca</v>
      </c>
      <c r="L970" s="7" t="str">
        <f aca="false">IF($D970="","",IFERROR(IF(INDEX(Hierarchy!$I$2:$I$1295,MATCH($D970,Hierarchy!$A$2:$A$1295,0))="","",INDEX(Hierarchy!$I$2:$I$1295,MATCH($D970,Hierarchy!$A$2:$A$1295,0))),"NODE NOT FOUND"))</f>
        <v/>
      </c>
      <c r="M970" s="17" t="str">
        <f aca="false">IF(B970="Pre-seeded","Pre-seeded",IF(B970="Review 2026-09-16","Added from review",IF(C970="","New",IF(C970=D970,"","Changed"))))</f>
        <v>Pre-seeded</v>
      </c>
      <c r="N970" s="7" t="str">
        <f aca="false">TRIM(SUBSTITUTE(SUBSTITUTE(SUBSTITUTE(" "&amp;TRIM(SUBSTITUTE(SUBSTITUTE(SUBSTITUTE(SUBSTITUTE(SUBSTITUTE(SUBSTITUTE(SUBSTITUTE(SUBSTITUTE(SUBSTITUTE(SUBSTITUTE(SUBSTITUTE(SUBSTITUTE(SUBSTITUTE(SUBSTITUTE(SUBSTITUTE(UPPER(TRIM(A970)),"[MEMBER]",""),"{MEMBER}",""),"[MEMBER}",""),"MEMBER]",""),"(A)",""),"""",""),"“",""),"”",""),".",""),":",""),",",""),"–"," "),"-"," "),"/"," "),"&amp;"," AND "))&amp;" "," THE "," ")," TOTAL "," ")," OPERATIONS "," "))</f>
        <v>MALACCA</v>
      </c>
      <c r="O970" s="17" t="str">
        <f aca="false">IF(COUNTIFS($N$2:$N$2000,N970,$D$2:$D$2000,"&lt;&gt;"&amp;D970)&gt;0,"CONFLICT","")</f>
        <v/>
      </c>
      <c r="P970" s="7"/>
    </row>
    <row r="971" customFormat="false" ht="15" hidden="false" customHeight="false" outlineLevel="0" collapsed="false">
      <c r="A971" s="7" t="s">
        <v>1250</v>
      </c>
      <c r="B971" s="7" t="s">
        <v>1879</v>
      </c>
      <c r="C971" s="7"/>
      <c r="D971" s="6" t="s">
        <v>1250</v>
      </c>
      <c r="E971" s="6" t="s">
        <v>1880</v>
      </c>
      <c r="F971" s="7" t="str">
        <f aca="false">IF($D971="","",IFERROR(IF(INDEX(Hierarchy!$B$2:$B$1295,MATCH($D971,Hierarchy!$A$2:$A$1295,0))="","",INDEX(Hierarchy!$B$2:$B$1295,MATCH($D971,Hierarchy!$A$2:$A$1295,0))),"NODE NOT FOUND"))</f>
        <v>Country</v>
      </c>
      <c r="G971" s="7" t="str">
        <f aca="false">IF($D971="","",IFERROR(IF(INDEX(Hierarchy!$D$2:$D$1295,MATCH($D971,Hierarchy!$A$2:$A$1295,0))="","",INDEX(Hierarchy!$D$2:$D$1295,MATCH($D971,Hierarchy!$A$2:$A$1295,0))),"NODE NOT FOUND"))</f>
        <v>EMEA</v>
      </c>
      <c r="H971" s="7" t="str">
        <f aca="false">IF($D971="","",IFERROR(IF(INDEX(Hierarchy!$E$2:$E$1295,MATCH($D971,Hierarchy!$A$2:$A$1295,0))="","",INDEX(Hierarchy!$E$2:$E$1295,MATCH($D971,Hierarchy!$A$2:$A$1295,0))),"NODE NOT FOUND"))</f>
        <v>Africa</v>
      </c>
      <c r="I971" s="7" t="str">
        <f aca="false">IF($D971="","",IFERROR(IF(INDEX(Hierarchy!$F$2:$F$1295,MATCH($D971,Hierarchy!$A$2:$A$1295,0))="","",INDEX(Hierarchy!$F$2:$F$1295,MATCH($D971,Hierarchy!$A$2:$A$1295,0))),"NODE NOT FOUND"))</f>
        <v>Malawi</v>
      </c>
      <c r="J971" s="7" t="str">
        <f aca="false">IF($D971="","",IFERROR(IF(INDEX(Hierarchy!$G$2:$G$1295,MATCH($D971,Hierarchy!$A$2:$A$1295,0))="","",INDEX(Hierarchy!$G$2:$G$1295,MATCH($D971,Hierarchy!$A$2:$A$1295,0))),"NODE NOT FOUND"))</f>
        <v>MWI</v>
      </c>
      <c r="K971" s="7" t="str">
        <f aca="false">IF($D971="","",IFERROR(IF(INDEX(Hierarchy!$H$2:$H$1295,MATCH($D971,Hierarchy!$A$2:$A$1295,0))="","",INDEX(Hierarchy!$H$2:$H$1295,MATCH($D971,Hierarchy!$A$2:$A$1295,0))),"NODE NOT FOUND"))</f>
        <v/>
      </c>
      <c r="L971" s="7" t="str">
        <f aca="false">IF($D971="","",IFERROR(IF(INDEX(Hierarchy!$I$2:$I$1295,MATCH($D971,Hierarchy!$A$2:$A$1295,0))="","",INDEX(Hierarchy!$I$2:$I$1295,MATCH($D971,Hierarchy!$A$2:$A$1295,0))),"NODE NOT FOUND"))</f>
        <v/>
      </c>
      <c r="M971" s="17" t="str">
        <f aca="false">IF(B971="Pre-seeded","Pre-seeded",IF(B971="Review 2026-09-16","Added from review",IF(C971="","New",IF(C971=D971,"","Changed"))))</f>
        <v>Pre-seeded</v>
      </c>
      <c r="N971" s="7" t="str">
        <f aca="false">TRIM(SUBSTITUTE(SUBSTITUTE(SUBSTITUTE(" "&amp;TRIM(SUBSTITUTE(SUBSTITUTE(SUBSTITUTE(SUBSTITUTE(SUBSTITUTE(SUBSTITUTE(SUBSTITUTE(SUBSTITUTE(SUBSTITUTE(SUBSTITUTE(SUBSTITUTE(SUBSTITUTE(SUBSTITUTE(SUBSTITUTE(SUBSTITUTE(UPPER(TRIM(A971)),"[MEMBER]",""),"{MEMBER}",""),"[MEMBER}",""),"MEMBER]",""),"(A)",""),"""",""),"“",""),"”",""),".",""),":",""),",",""),"–"," "),"-"," "),"/"," "),"&amp;"," AND "))&amp;" "," THE "," ")," TOTAL "," ")," OPERATIONS "," "))</f>
        <v>MALAWI</v>
      </c>
      <c r="O971" s="17" t="str">
        <f aca="false">IF(COUNTIFS($N$2:$N$2000,N971,$D$2:$D$2000,"&lt;&gt;"&amp;D971)&gt;0,"CONFLICT","")</f>
        <v/>
      </c>
      <c r="P971" s="7"/>
    </row>
    <row r="972" customFormat="false" ht="15" hidden="false" customHeight="false" outlineLevel="0" collapsed="false">
      <c r="A972" s="7" t="s">
        <v>1631</v>
      </c>
      <c r="B972" s="7" t="s">
        <v>1882</v>
      </c>
      <c r="C972" s="7" t="s">
        <v>1631</v>
      </c>
      <c r="D972" s="6" t="s">
        <v>1631</v>
      </c>
      <c r="E972" s="6" t="s">
        <v>1880</v>
      </c>
      <c r="F972" s="7" t="str">
        <f aca="false">IF($D972="","",IFERROR(IF(INDEX(Hierarchy!$B$2:$B$1295,MATCH($D972,Hierarchy!$A$2:$A$1295,0))="","",INDEX(Hierarchy!$B$2:$B$1295,MATCH($D972,Hierarchy!$A$2:$A$1295,0))),"NODE NOT FOUND"))</f>
        <v>Country</v>
      </c>
      <c r="G972" s="7" t="str">
        <f aca="false">IF($D972="","",IFERROR(IF(INDEX(Hierarchy!$D$2:$D$1295,MATCH($D972,Hierarchy!$A$2:$A$1295,0))="","",INDEX(Hierarchy!$D$2:$D$1295,MATCH($D972,Hierarchy!$A$2:$A$1295,0))),"NODE NOT FOUND"))</f>
        <v>APAC</v>
      </c>
      <c r="H972" s="7" t="str">
        <f aca="false">IF($D972="","",IFERROR(IF(INDEX(Hierarchy!$E$2:$E$1295,MATCH($D972,Hierarchy!$A$2:$A$1295,0))="","",INDEX(Hierarchy!$E$2:$E$1295,MATCH($D972,Hierarchy!$A$2:$A$1295,0))),"NODE NOT FOUND"))</f>
        <v>Southeast Asia (ASEAN)</v>
      </c>
      <c r="I972" s="7" t="str">
        <f aca="false">IF($D972="","",IFERROR(IF(INDEX(Hierarchy!$F$2:$F$1295,MATCH($D972,Hierarchy!$A$2:$A$1295,0))="","",INDEX(Hierarchy!$F$2:$F$1295,MATCH($D972,Hierarchy!$A$2:$A$1295,0))),"NODE NOT FOUND"))</f>
        <v>Malaysia</v>
      </c>
      <c r="J972" s="7" t="str">
        <f aca="false">IF($D972="","",IFERROR(IF(INDEX(Hierarchy!$G$2:$G$1295,MATCH($D972,Hierarchy!$A$2:$A$1295,0))="","",INDEX(Hierarchy!$G$2:$G$1295,MATCH($D972,Hierarchy!$A$2:$A$1295,0))),"NODE NOT FOUND"))</f>
        <v>MYS</v>
      </c>
      <c r="K972" s="7" t="str">
        <f aca="false">IF($D972="","",IFERROR(IF(INDEX(Hierarchy!$H$2:$H$1295,MATCH($D972,Hierarchy!$A$2:$A$1295,0))="","",INDEX(Hierarchy!$H$2:$H$1295,MATCH($D972,Hierarchy!$A$2:$A$1295,0))),"NODE NOT FOUND"))</f>
        <v/>
      </c>
      <c r="L972" s="7" t="str">
        <f aca="false">IF($D972="","",IFERROR(IF(INDEX(Hierarchy!$I$2:$I$1295,MATCH($D972,Hierarchy!$A$2:$A$1295,0))="","",INDEX(Hierarchy!$I$2:$I$1295,MATCH($D972,Hierarchy!$A$2:$A$1295,0))),"NODE NOT FOUND"))</f>
        <v/>
      </c>
      <c r="M972" s="17" t="str">
        <f aca="false">IF(B972="Pre-seeded","Pre-seeded",IF(B972="Review 2026-09-16","Added from review",IF(C972="","New",IF(C972=D972,"","Changed"))))</f>
        <v/>
      </c>
      <c r="N972" s="7" t="str">
        <f aca="false">TRIM(SUBSTITUTE(SUBSTITUTE(SUBSTITUTE(" "&amp;TRIM(SUBSTITUTE(SUBSTITUTE(SUBSTITUTE(SUBSTITUTE(SUBSTITUTE(SUBSTITUTE(SUBSTITUTE(SUBSTITUTE(SUBSTITUTE(SUBSTITUTE(SUBSTITUTE(SUBSTITUTE(SUBSTITUTE(SUBSTITUTE(SUBSTITUTE(UPPER(TRIM(A972)),"[MEMBER]",""),"{MEMBER}",""),"[MEMBER}",""),"MEMBER]",""),"(A)",""),"""",""),"“",""),"”",""),".",""),":",""),",",""),"–"," "),"-"," "),"/"," "),"&amp;"," AND "))&amp;" "," THE "," ")," TOTAL "," ")," OPERATIONS "," "))</f>
        <v>MALAYSIA</v>
      </c>
      <c r="O972" s="17" t="str">
        <f aca="false">IF(COUNTIFS($N$2:$N$2000,N972,$D$2:$D$2000,"&lt;&gt;"&amp;D972)&gt;0,"CONFLICT","")</f>
        <v/>
      </c>
      <c r="P972" s="7"/>
    </row>
    <row r="973" customFormat="false" ht="15" hidden="false" customHeight="false" outlineLevel="0" collapsed="false">
      <c r="A973" s="7" t="s">
        <v>2375</v>
      </c>
      <c r="B973" s="7" t="s">
        <v>1882</v>
      </c>
      <c r="C973" s="7" t="s">
        <v>1631</v>
      </c>
      <c r="D973" s="6" t="s">
        <v>1631</v>
      </c>
      <c r="E973" s="6" t="s">
        <v>1880</v>
      </c>
      <c r="F973" s="7" t="str">
        <f aca="false">IF($D973="","",IFERROR(IF(INDEX(Hierarchy!$B$2:$B$1295,MATCH($D973,Hierarchy!$A$2:$A$1295,0))="","",INDEX(Hierarchy!$B$2:$B$1295,MATCH($D973,Hierarchy!$A$2:$A$1295,0))),"NODE NOT FOUND"))</f>
        <v>Country</v>
      </c>
      <c r="G973" s="7" t="str">
        <f aca="false">IF($D973="","",IFERROR(IF(INDEX(Hierarchy!$D$2:$D$1295,MATCH($D973,Hierarchy!$A$2:$A$1295,0))="","",INDEX(Hierarchy!$D$2:$D$1295,MATCH($D973,Hierarchy!$A$2:$A$1295,0))),"NODE NOT FOUND"))</f>
        <v>APAC</v>
      </c>
      <c r="H973" s="7" t="str">
        <f aca="false">IF($D973="","",IFERROR(IF(INDEX(Hierarchy!$E$2:$E$1295,MATCH($D973,Hierarchy!$A$2:$A$1295,0))="","",INDEX(Hierarchy!$E$2:$E$1295,MATCH($D973,Hierarchy!$A$2:$A$1295,0))),"NODE NOT FOUND"))</f>
        <v>Southeast Asia (ASEAN)</v>
      </c>
      <c r="I973" s="7" t="str">
        <f aca="false">IF($D973="","",IFERROR(IF(INDEX(Hierarchy!$F$2:$F$1295,MATCH($D973,Hierarchy!$A$2:$A$1295,0))="","",INDEX(Hierarchy!$F$2:$F$1295,MATCH($D973,Hierarchy!$A$2:$A$1295,0))),"NODE NOT FOUND"))</f>
        <v>Malaysia</v>
      </c>
      <c r="J973" s="7" t="str">
        <f aca="false">IF($D973="","",IFERROR(IF(INDEX(Hierarchy!$G$2:$G$1295,MATCH($D973,Hierarchy!$A$2:$A$1295,0))="","",INDEX(Hierarchy!$G$2:$G$1295,MATCH($D973,Hierarchy!$A$2:$A$1295,0))),"NODE NOT FOUND"))</f>
        <v>MYS</v>
      </c>
      <c r="K973" s="7" t="str">
        <f aca="false">IF($D973="","",IFERROR(IF(INDEX(Hierarchy!$H$2:$H$1295,MATCH($D973,Hierarchy!$A$2:$A$1295,0))="","",INDEX(Hierarchy!$H$2:$H$1295,MATCH($D973,Hierarchy!$A$2:$A$1295,0))),"NODE NOT FOUND"))</f>
        <v/>
      </c>
      <c r="L973" s="7" t="str">
        <f aca="false">IF($D973="","",IFERROR(IF(INDEX(Hierarchy!$I$2:$I$1295,MATCH($D973,Hierarchy!$A$2:$A$1295,0))="","",INDEX(Hierarchy!$I$2:$I$1295,MATCH($D973,Hierarchy!$A$2:$A$1295,0))),"NODE NOT FOUND"))</f>
        <v/>
      </c>
      <c r="M973" s="17" t="str">
        <f aca="false">IF(B973="Pre-seeded","Pre-seeded",IF(B973="Review 2026-09-16","Added from review",IF(C973="","New",IF(C973=D973,"","Changed"))))</f>
        <v/>
      </c>
      <c r="N973" s="7" t="str">
        <f aca="false">TRIM(SUBSTITUTE(SUBSTITUTE(SUBSTITUTE(" "&amp;TRIM(SUBSTITUTE(SUBSTITUTE(SUBSTITUTE(SUBSTITUTE(SUBSTITUTE(SUBSTITUTE(SUBSTITUTE(SUBSTITUTE(SUBSTITUTE(SUBSTITUTE(SUBSTITUTE(SUBSTITUTE(SUBSTITUTE(SUBSTITUTE(SUBSTITUTE(UPPER(TRIM(A973)),"[MEMBER]",""),"{MEMBER}",""),"[MEMBER}",""),"MEMBER]",""),"(A)",""),"""",""),"“",""),"”",""),".",""),":",""),",",""),"–"," "),"-"," "),"/"," "),"&amp;"," AND "))&amp;" "," THE "," ")," TOTAL "," ")," OPERATIONS "," "))</f>
        <v>MALAYSIA</v>
      </c>
      <c r="O973" s="17" t="str">
        <f aca="false">IF(COUNTIFS($N$2:$N$2000,N973,$D$2:$D$2000,"&lt;&gt;"&amp;D973)&gt;0,"CONFLICT","")</f>
        <v/>
      </c>
      <c r="P973" s="7"/>
    </row>
    <row r="974" customFormat="false" ht="15" hidden="false" customHeight="false" outlineLevel="0" collapsed="false">
      <c r="A974" s="7" t="s">
        <v>1390</v>
      </c>
      <c r="B974" s="7" t="s">
        <v>1879</v>
      </c>
      <c r="C974" s="7"/>
      <c r="D974" s="6" t="s">
        <v>1390</v>
      </c>
      <c r="E974" s="6" t="s">
        <v>1880</v>
      </c>
      <c r="F974" s="7" t="str">
        <f aca="false">IF($D974="","",IFERROR(IF(INDEX(Hierarchy!$B$2:$B$1295,MATCH($D974,Hierarchy!$A$2:$A$1295,0))="","",INDEX(Hierarchy!$B$2:$B$1295,MATCH($D974,Hierarchy!$A$2:$A$1295,0))),"NODE NOT FOUND"))</f>
        <v>Country</v>
      </c>
      <c r="G974" s="7" t="str">
        <f aca="false">IF($D974="","",IFERROR(IF(INDEX(Hierarchy!$D$2:$D$1295,MATCH($D974,Hierarchy!$A$2:$A$1295,0))="","",INDEX(Hierarchy!$D$2:$D$1295,MATCH($D974,Hierarchy!$A$2:$A$1295,0))),"NODE NOT FOUND"))</f>
        <v>APAC</v>
      </c>
      <c r="H974" s="7" t="str">
        <f aca="false">IF($D974="","",IFERROR(IF(INDEX(Hierarchy!$E$2:$E$1295,MATCH($D974,Hierarchy!$A$2:$A$1295,0))="","",INDEX(Hierarchy!$E$2:$E$1295,MATCH($D974,Hierarchy!$A$2:$A$1295,0))),"NODE NOT FOUND"))</f>
        <v>South Asia</v>
      </c>
      <c r="I974" s="7" t="str">
        <f aca="false">IF($D974="","",IFERROR(IF(INDEX(Hierarchy!$F$2:$F$1295,MATCH($D974,Hierarchy!$A$2:$A$1295,0))="","",INDEX(Hierarchy!$F$2:$F$1295,MATCH($D974,Hierarchy!$A$2:$A$1295,0))),"NODE NOT FOUND"))</f>
        <v>Maldives</v>
      </c>
      <c r="J974" s="7" t="str">
        <f aca="false">IF($D974="","",IFERROR(IF(INDEX(Hierarchy!$G$2:$G$1295,MATCH($D974,Hierarchy!$A$2:$A$1295,0))="","",INDEX(Hierarchy!$G$2:$G$1295,MATCH($D974,Hierarchy!$A$2:$A$1295,0))),"NODE NOT FOUND"))</f>
        <v>MDV</v>
      </c>
      <c r="K974" s="7" t="str">
        <f aca="false">IF($D974="","",IFERROR(IF(INDEX(Hierarchy!$H$2:$H$1295,MATCH($D974,Hierarchy!$A$2:$A$1295,0))="","",INDEX(Hierarchy!$H$2:$H$1295,MATCH($D974,Hierarchy!$A$2:$A$1295,0))),"NODE NOT FOUND"))</f>
        <v/>
      </c>
      <c r="L974" s="7" t="str">
        <f aca="false">IF($D974="","",IFERROR(IF(INDEX(Hierarchy!$I$2:$I$1295,MATCH($D974,Hierarchy!$A$2:$A$1295,0))="","",INDEX(Hierarchy!$I$2:$I$1295,MATCH($D974,Hierarchy!$A$2:$A$1295,0))),"NODE NOT FOUND"))</f>
        <v/>
      </c>
      <c r="M974" s="17" t="str">
        <f aca="false">IF(B974="Pre-seeded","Pre-seeded",IF(B974="Review 2026-09-16","Added from review",IF(C974="","New",IF(C974=D974,"","Changed"))))</f>
        <v>Pre-seeded</v>
      </c>
      <c r="N974" s="7" t="str">
        <f aca="false">TRIM(SUBSTITUTE(SUBSTITUTE(SUBSTITUTE(" "&amp;TRIM(SUBSTITUTE(SUBSTITUTE(SUBSTITUTE(SUBSTITUTE(SUBSTITUTE(SUBSTITUTE(SUBSTITUTE(SUBSTITUTE(SUBSTITUTE(SUBSTITUTE(SUBSTITUTE(SUBSTITUTE(SUBSTITUTE(SUBSTITUTE(SUBSTITUTE(UPPER(TRIM(A974)),"[MEMBER]",""),"{MEMBER}",""),"[MEMBER}",""),"MEMBER]",""),"(A)",""),"""",""),"“",""),"”",""),".",""),":",""),",",""),"–"," "),"-"," "),"/"," "),"&amp;"," AND "))&amp;" "," THE "," ")," TOTAL "," ")," OPERATIONS "," "))</f>
        <v>MALDIVES</v>
      </c>
      <c r="O974" s="17" t="str">
        <f aca="false">IF(COUNTIFS($N$2:$N$2000,N974,$D$2:$D$2000,"&lt;&gt;"&amp;D974)&gt;0,"CONFLICT","")</f>
        <v/>
      </c>
      <c r="P974" s="7"/>
    </row>
    <row r="975" customFormat="false" ht="15" hidden="false" customHeight="false" outlineLevel="0" collapsed="false">
      <c r="A975" s="7" t="s">
        <v>1252</v>
      </c>
      <c r="B975" s="7" t="s">
        <v>1879</v>
      </c>
      <c r="C975" s="7"/>
      <c r="D975" s="6" t="s">
        <v>1252</v>
      </c>
      <c r="E975" s="6" t="s">
        <v>1880</v>
      </c>
      <c r="F975" s="7" t="str">
        <f aca="false">IF($D975="","",IFERROR(IF(INDEX(Hierarchy!$B$2:$B$1295,MATCH($D975,Hierarchy!$A$2:$A$1295,0))="","",INDEX(Hierarchy!$B$2:$B$1295,MATCH($D975,Hierarchy!$A$2:$A$1295,0))),"NODE NOT FOUND"))</f>
        <v>Country</v>
      </c>
      <c r="G975" s="7" t="str">
        <f aca="false">IF($D975="","",IFERROR(IF(INDEX(Hierarchy!$D$2:$D$1295,MATCH($D975,Hierarchy!$A$2:$A$1295,0))="","",INDEX(Hierarchy!$D$2:$D$1295,MATCH($D975,Hierarchy!$A$2:$A$1295,0))),"NODE NOT FOUND"))</f>
        <v>EMEA</v>
      </c>
      <c r="H975" s="7" t="str">
        <f aca="false">IF($D975="","",IFERROR(IF(INDEX(Hierarchy!$E$2:$E$1295,MATCH($D975,Hierarchy!$A$2:$A$1295,0))="","",INDEX(Hierarchy!$E$2:$E$1295,MATCH($D975,Hierarchy!$A$2:$A$1295,0))),"NODE NOT FOUND"))</f>
        <v>Africa</v>
      </c>
      <c r="I975" s="7" t="str">
        <f aca="false">IF($D975="","",IFERROR(IF(INDEX(Hierarchy!$F$2:$F$1295,MATCH($D975,Hierarchy!$A$2:$A$1295,0))="","",INDEX(Hierarchy!$F$2:$F$1295,MATCH($D975,Hierarchy!$A$2:$A$1295,0))),"NODE NOT FOUND"))</f>
        <v>Mali</v>
      </c>
      <c r="J975" s="7" t="str">
        <f aca="false">IF($D975="","",IFERROR(IF(INDEX(Hierarchy!$G$2:$G$1295,MATCH($D975,Hierarchy!$A$2:$A$1295,0))="","",INDEX(Hierarchy!$G$2:$G$1295,MATCH($D975,Hierarchy!$A$2:$A$1295,0))),"NODE NOT FOUND"))</f>
        <v>MLI</v>
      </c>
      <c r="K975" s="7" t="str">
        <f aca="false">IF($D975="","",IFERROR(IF(INDEX(Hierarchy!$H$2:$H$1295,MATCH($D975,Hierarchy!$A$2:$A$1295,0))="","",INDEX(Hierarchy!$H$2:$H$1295,MATCH($D975,Hierarchy!$A$2:$A$1295,0))),"NODE NOT FOUND"))</f>
        <v/>
      </c>
      <c r="L975" s="7" t="str">
        <f aca="false">IF($D975="","",IFERROR(IF(INDEX(Hierarchy!$I$2:$I$1295,MATCH($D975,Hierarchy!$A$2:$A$1295,0))="","",INDEX(Hierarchy!$I$2:$I$1295,MATCH($D975,Hierarchy!$A$2:$A$1295,0))),"NODE NOT FOUND"))</f>
        <v/>
      </c>
      <c r="M975" s="17" t="str">
        <f aca="false">IF(B975="Pre-seeded","Pre-seeded",IF(B975="Review 2026-09-16","Added from review",IF(C975="","New",IF(C975=D975,"","Changed"))))</f>
        <v>Pre-seeded</v>
      </c>
      <c r="N975" s="7" t="str">
        <f aca="false">TRIM(SUBSTITUTE(SUBSTITUTE(SUBSTITUTE(" "&amp;TRIM(SUBSTITUTE(SUBSTITUTE(SUBSTITUTE(SUBSTITUTE(SUBSTITUTE(SUBSTITUTE(SUBSTITUTE(SUBSTITUTE(SUBSTITUTE(SUBSTITUTE(SUBSTITUTE(SUBSTITUTE(SUBSTITUTE(SUBSTITUTE(SUBSTITUTE(UPPER(TRIM(A975)),"[MEMBER]",""),"{MEMBER}",""),"[MEMBER}",""),"MEMBER]",""),"(A)",""),"""",""),"“",""),"”",""),".",""),":",""),",",""),"–"," "),"-"," "),"/"," "),"&amp;"," AND "))&amp;" "," THE "," ")," TOTAL "," ")," OPERATIONS "," "))</f>
        <v>MALI</v>
      </c>
      <c r="O975" s="17" t="str">
        <f aca="false">IF(COUNTIFS($N$2:$N$2000,N975,$D$2:$D$2000,"&lt;&gt;"&amp;D975)&gt;0,"CONFLICT","")</f>
        <v/>
      </c>
      <c r="P975" s="7"/>
    </row>
    <row r="976" customFormat="false" ht="15" hidden="false" customHeight="false" outlineLevel="0" collapsed="false">
      <c r="A976" s="7" t="s">
        <v>2376</v>
      </c>
      <c r="B976" s="7" t="s">
        <v>1882</v>
      </c>
      <c r="C976" s="7" t="s">
        <v>873</v>
      </c>
      <c r="D976" s="6" t="s">
        <v>873</v>
      </c>
      <c r="E976" s="6" t="s">
        <v>1880</v>
      </c>
      <c r="F976" s="7" t="str">
        <f aca="false">IF($D976="","",IFERROR(IF(INDEX(Hierarchy!$B$2:$B$1295,MATCH($D976,Hierarchy!$A$2:$A$1295,0))="","",INDEX(Hierarchy!$B$2:$B$1295,MATCH($D976,Hierarchy!$A$2:$A$1295,0))),"NODE NOT FOUND"))</f>
        <v>Country</v>
      </c>
      <c r="G976" s="7" t="str">
        <f aca="false">IF($D976="","",IFERROR(IF(INDEX(Hierarchy!$D$2:$D$1295,MATCH($D976,Hierarchy!$A$2:$A$1295,0))="","",INDEX(Hierarchy!$D$2:$D$1295,MATCH($D976,Hierarchy!$A$2:$A$1295,0))),"NODE NOT FOUND"))</f>
        <v>EMEA</v>
      </c>
      <c r="H976" s="7" t="str">
        <f aca="false">IF($D976="","",IFERROR(IF(INDEX(Hierarchy!$E$2:$E$1295,MATCH($D976,Hierarchy!$A$2:$A$1295,0))="","",INDEX(Hierarchy!$E$2:$E$1295,MATCH($D976,Hierarchy!$A$2:$A$1295,0))),"NODE NOT FOUND"))</f>
        <v>Europe</v>
      </c>
      <c r="I976" s="7" t="str">
        <f aca="false">IF($D976="","",IFERROR(IF(INDEX(Hierarchy!$F$2:$F$1295,MATCH($D976,Hierarchy!$A$2:$A$1295,0))="","",INDEX(Hierarchy!$F$2:$F$1295,MATCH($D976,Hierarchy!$A$2:$A$1295,0))),"NODE NOT FOUND"))</f>
        <v>Malta</v>
      </c>
      <c r="J976" s="7" t="str">
        <f aca="false">IF($D976="","",IFERROR(IF(INDEX(Hierarchy!$G$2:$G$1295,MATCH($D976,Hierarchy!$A$2:$A$1295,0))="","",INDEX(Hierarchy!$G$2:$G$1295,MATCH($D976,Hierarchy!$A$2:$A$1295,0))),"NODE NOT FOUND"))</f>
        <v>MLT</v>
      </c>
      <c r="K976" s="7" t="str">
        <f aca="false">IF($D976="","",IFERROR(IF(INDEX(Hierarchy!$H$2:$H$1295,MATCH($D976,Hierarchy!$A$2:$A$1295,0))="","",INDEX(Hierarchy!$H$2:$H$1295,MATCH($D976,Hierarchy!$A$2:$A$1295,0))),"NODE NOT FOUND"))</f>
        <v/>
      </c>
      <c r="L976" s="7" t="str">
        <f aca="false">IF($D976="","",IFERROR(IF(INDEX(Hierarchy!$I$2:$I$1295,MATCH($D976,Hierarchy!$A$2:$A$1295,0))="","",INDEX(Hierarchy!$I$2:$I$1295,MATCH($D976,Hierarchy!$A$2:$A$1295,0))),"NODE NOT FOUND"))</f>
        <v/>
      </c>
      <c r="M976" s="17" t="str">
        <f aca="false">IF(B976="Pre-seeded","Pre-seeded",IF(B976="Review 2026-09-16","Added from review",IF(C976="","New",IF(C976=D976,"","Changed"))))</f>
        <v/>
      </c>
      <c r="N976" s="7" t="str">
        <f aca="false">TRIM(SUBSTITUTE(SUBSTITUTE(SUBSTITUTE(" "&amp;TRIM(SUBSTITUTE(SUBSTITUTE(SUBSTITUTE(SUBSTITUTE(SUBSTITUTE(SUBSTITUTE(SUBSTITUTE(SUBSTITUTE(SUBSTITUTE(SUBSTITUTE(SUBSTITUTE(SUBSTITUTE(SUBSTITUTE(SUBSTITUTE(SUBSTITUTE(UPPER(TRIM(A976)),"[MEMBER]",""),"{MEMBER}",""),"[MEMBER}",""),"MEMBER]",""),"(A)",""),"""",""),"“",""),"”",""),".",""),":",""),",",""),"–"," "),"-"," "),"/"," "),"&amp;"," AND "))&amp;" "," THE "," ")," TOTAL "," ")," OPERATIONS "," "))</f>
        <v>MALTA</v>
      </c>
      <c r="O976" s="17" t="str">
        <f aca="false">IF(COUNTIFS($N$2:$N$2000,N976,$D$2:$D$2000,"&lt;&gt;"&amp;D976)&gt;0,"CONFLICT","")</f>
        <v/>
      </c>
      <c r="P976" s="7"/>
    </row>
    <row r="977" customFormat="false" ht="15" hidden="false" customHeight="false" outlineLevel="0" collapsed="false">
      <c r="A977" s="7" t="s">
        <v>1609</v>
      </c>
      <c r="B977" s="7" t="s">
        <v>1879</v>
      </c>
      <c r="C977" s="7"/>
      <c r="D977" s="6" t="s">
        <v>1609</v>
      </c>
      <c r="E977" s="6" t="s">
        <v>1880</v>
      </c>
      <c r="F977" s="7" t="str">
        <f aca="false">IF($D977="","",IFERROR(IF(INDEX(Hierarchy!$B$2:$B$1295,MATCH($D977,Hierarchy!$A$2:$A$1295,0))="","",INDEX(Hierarchy!$B$2:$B$1295,MATCH($D977,Hierarchy!$A$2:$A$1295,0))),"NODE NOT FOUND"))</f>
        <v>State/Province</v>
      </c>
      <c r="G977" s="7" t="str">
        <f aca="false">IF($D977="","",IFERROR(IF(INDEX(Hierarchy!$D$2:$D$1295,MATCH($D977,Hierarchy!$A$2:$A$1295,0))="","",INDEX(Hierarchy!$D$2:$D$1295,MATCH($D977,Hierarchy!$A$2:$A$1295,0))),"NODE NOT FOUND"))</f>
        <v>APAC</v>
      </c>
      <c r="H977" s="7" t="str">
        <f aca="false">IF($D977="","",IFERROR(IF(INDEX(Hierarchy!$E$2:$E$1295,MATCH($D977,Hierarchy!$A$2:$A$1295,0))="","",INDEX(Hierarchy!$E$2:$E$1295,MATCH($D977,Hierarchy!$A$2:$A$1295,0))),"NODE NOT FOUND"))</f>
        <v>Southeast Asia (ASEAN)</v>
      </c>
      <c r="I977" s="7" t="str">
        <f aca="false">IF($D977="","",IFERROR(IF(INDEX(Hierarchy!$F$2:$F$1295,MATCH($D977,Hierarchy!$A$2:$A$1295,0))="","",INDEX(Hierarchy!$F$2:$F$1295,MATCH($D977,Hierarchy!$A$2:$A$1295,0))),"NODE NOT FOUND"))</f>
        <v>Indonesia</v>
      </c>
      <c r="J977" s="7" t="str">
        <f aca="false">IF($D977="","",IFERROR(IF(INDEX(Hierarchy!$G$2:$G$1295,MATCH($D977,Hierarchy!$A$2:$A$1295,0))="","",INDEX(Hierarchy!$G$2:$G$1295,MATCH($D977,Hierarchy!$A$2:$A$1295,0))),"NODE NOT FOUND"))</f>
        <v>IDN</v>
      </c>
      <c r="K977" s="7" t="str">
        <f aca="false">IF($D977="","",IFERROR(IF(INDEX(Hierarchy!$H$2:$H$1295,MATCH($D977,Hierarchy!$A$2:$A$1295,0))="","",INDEX(Hierarchy!$H$2:$H$1295,MATCH($D977,Hierarchy!$A$2:$A$1295,0))),"NODE NOT FOUND"))</f>
        <v>Maluku</v>
      </c>
      <c r="L977" s="7" t="str">
        <f aca="false">IF($D977="","",IFERROR(IF(INDEX(Hierarchy!$I$2:$I$1295,MATCH($D977,Hierarchy!$A$2:$A$1295,0))="","",INDEX(Hierarchy!$I$2:$I$1295,MATCH($D977,Hierarchy!$A$2:$A$1295,0))),"NODE NOT FOUND"))</f>
        <v/>
      </c>
      <c r="M977" s="17" t="str">
        <f aca="false">IF(B977="Pre-seeded","Pre-seeded",IF(B977="Review 2026-09-16","Added from review",IF(C977="","New",IF(C977=D977,"","Changed"))))</f>
        <v>Pre-seeded</v>
      </c>
      <c r="N977" s="7" t="str">
        <f aca="false">TRIM(SUBSTITUTE(SUBSTITUTE(SUBSTITUTE(" "&amp;TRIM(SUBSTITUTE(SUBSTITUTE(SUBSTITUTE(SUBSTITUTE(SUBSTITUTE(SUBSTITUTE(SUBSTITUTE(SUBSTITUTE(SUBSTITUTE(SUBSTITUTE(SUBSTITUTE(SUBSTITUTE(SUBSTITUTE(SUBSTITUTE(SUBSTITUTE(UPPER(TRIM(A977)),"[MEMBER]",""),"{MEMBER}",""),"[MEMBER}",""),"MEMBER]",""),"(A)",""),"""",""),"“",""),"”",""),".",""),":",""),",",""),"–"," "),"-"," "),"/"," "),"&amp;"," AND "))&amp;" "," THE "," ")," TOTAL "," ")," OPERATIONS "," "))</f>
        <v>MALUKU</v>
      </c>
      <c r="O977" s="17" t="str">
        <f aca="false">IF(COUNTIFS($N$2:$N$2000,N977,$D$2:$D$2000,"&lt;&gt;"&amp;D977)&gt;0,"CONFLICT","")</f>
        <v/>
      </c>
      <c r="P977" s="7"/>
    </row>
    <row r="978" customFormat="false" ht="15" hidden="false" customHeight="false" outlineLevel="0" collapsed="false">
      <c r="A978" s="7" t="s">
        <v>1725</v>
      </c>
      <c r="B978" s="7" t="s">
        <v>1879</v>
      </c>
      <c r="C978" s="7"/>
      <c r="D978" s="6" t="s">
        <v>1725</v>
      </c>
      <c r="E978" s="6" t="s">
        <v>1880</v>
      </c>
      <c r="F978" s="7" t="str">
        <f aca="false">IF($D978="","",IFERROR(IF(INDEX(Hierarchy!$B$2:$B$1295,MATCH($D978,Hierarchy!$A$2:$A$1295,0))="","",INDEX(Hierarchy!$B$2:$B$1295,MATCH($D978,Hierarchy!$A$2:$A$1295,0))),"NODE NOT FOUND"))</f>
        <v>State/Province</v>
      </c>
      <c r="G978" s="7" t="str">
        <f aca="false">IF($D978="","",IFERROR(IF(INDEX(Hierarchy!$D$2:$D$1295,MATCH($D978,Hierarchy!$A$2:$A$1295,0))="","",INDEX(Hierarchy!$D$2:$D$1295,MATCH($D978,Hierarchy!$A$2:$A$1295,0))),"NODE NOT FOUND"))</f>
        <v>APAC</v>
      </c>
      <c r="H978" s="7" t="str">
        <f aca="false">IF($D978="","",IFERROR(IF(INDEX(Hierarchy!$E$2:$E$1295,MATCH($D978,Hierarchy!$A$2:$A$1295,0))="","",INDEX(Hierarchy!$E$2:$E$1295,MATCH($D978,Hierarchy!$A$2:$A$1295,0))),"NODE NOT FOUND"))</f>
        <v>Oceania (ANZ)</v>
      </c>
      <c r="I978" s="7" t="str">
        <f aca="false">IF($D978="","",IFERROR(IF(INDEX(Hierarchy!$F$2:$F$1295,MATCH($D978,Hierarchy!$A$2:$A$1295,0))="","",INDEX(Hierarchy!$F$2:$F$1295,MATCH($D978,Hierarchy!$A$2:$A$1295,0))),"NODE NOT FOUND"))</f>
        <v>New Zealand</v>
      </c>
      <c r="J978" s="7" t="str">
        <f aca="false">IF($D978="","",IFERROR(IF(INDEX(Hierarchy!$G$2:$G$1295,MATCH($D978,Hierarchy!$A$2:$A$1295,0))="","",INDEX(Hierarchy!$G$2:$G$1295,MATCH($D978,Hierarchy!$A$2:$A$1295,0))),"NODE NOT FOUND"))</f>
        <v>NZL</v>
      </c>
      <c r="K978" s="7" t="str">
        <f aca="false">IF($D978="","",IFERROR(IF(INDEX(Hierarchy!$H$2:$H$1295,MATCH($D978,Hierarchy!$A$2:$A$1295,0))="","",INDEX(Hierarchy!$H$2:$H$1295,MATCH($D978,Hierarchy!$A$2:$A$1295,0))),"NODE NOT FOUND"))</f>
        <v>Manawatū-Whanganui</v>
      </c>
      <c r="L978" s="7" t="str">
        <f aca="false">IF($D978="","",IFERROR(IF(INDEX(Hierarchy!$I$2:$I$1295,MATCH($D978,Hierarchy!$A$2:$A$1295,0))="","",INDEX(Hierarchy!$I$2:$I$1295,MATCH($D978,Hierarchy!$A$2:$A$1295,0))),"NODE NOT FOUND"))</f>
        <v/>
      </c>
      <c r="M978" s="17" t="str">
        <f aca="false">IF(B978="Pre-seeded","Pre-seeded",IF(B978="Review 2026-09-16","Added from review",IF(C978="","New",IF(C978=D978,"","Changed"))))</f>
        <v>Pre-seeded</v>
      </c>
      <c r="N978" s="7" t="str">
        <f aca="false">TRIM(SUBSTITUTE(SUBSTITUTE(SUBSTITUTE(" "&amp;TRIM(SUBSTITUTE(SUBSTITUTE(SUBSTITUTE(SUBSTITUTE(SUBSTITUTE(SUBSTITUTE(SUBSTITUTE(SUBSTITUTE(SUBSTITUTE(SUBSTITUTE(SUBSTITUTE(SUBSTITUTE(SUBSTITUTE(SUBSTITUTE(SUBSTITUTE(UPPER(TRIM(A978)),"[MEMBER]",""),"{MEMBER}",""),"[MEMBER}",""),"MEMBER]",""),"(A)",""),"""",""),"“",""),"”",""),".",""),":",""),",",""),"–"," "),"-"," "),"/"," "),"&amp;"," AND "))&amp;" "," THE "," ")," TOTAL "," ")," OPERATIONS "," "))</f>
        <v>MANAWATŪ WHANGANUI</v>
      </c>
      <c r="O978" s="17" t="str">
        <f aca="false">IF(COUNTIFS($N$2:$N$2000,N978,$D$2:$D$2000,"&lt;&gt;"&amp;D978)&gt;0,"CONFLICT","")</f>
        <v/>
      </c>
      <c r="P978" s="7"/>
    </row>
    <row r="979" customFormat="false" ht="15" hidden="false" customHeight="false" outlineLevel="0" collapsed="false">
      <c r="A979" s="7" t="s">
        <v>1353</v>
      </c>
      <c r="B979" s="7" t="s">
        <v>1879</v>
      </c>
      <c r="C979" s="7"/>
      <c r="D979" s="6" t="s">
        <v>1353</v>
      </c>
      <c r="E979" s="6" t="s">
        <v>1880</v>
      </c>
      <c r="F979" s="7" t="str">
        <f aca="false">IF($D979="","",IFERROR(IF(INDEX(Hierarchy!$B$2:$B$1295,MATCH($D979,Hierarchy!$A$2:$A$1295,0))="","",INDEX(Hierarchy!$B$2:$B$1295,MATCH($D979,Hierarchy!$A$2:$A$1295,0))),"NODE NOT FOUND"))</f>
        <v>State/Province</v>
      </c>
      <c r="G979" s="7" t="str">
        <f aca="false">IF($D979="","",IFERROR(IF(INDEX(Hierarchy!$D$2:$D$1295,MATCH($D979,Hierarchy!$A$2:$A$1295,0))="","",INDEX(Hierarchy!$D$2:$D$1295,MATCH($D979,Hierarchy!$A$2:$A$1295,0))),"NODE NOT FOUND"))</f>
        <v>APAC</v>
      </c>
      <c r="H979" s="7" t="str">
        <f aca="false">IF($D979="","",IFERROR(IF(INDEX(Hierarchy!$E$2:$E$1295,MATCH($D979,Hierarchy!$A$2:$A$1295,0))="","",INDEX(Hierarchy!$E$2:$E$1295,MATCH($D979,Hierarchy!$A$2:$A$1295,0))),"NODE NOT FOUND"))</f>
        <v>South Asia</v>
      </c>
      <c r="I979" s="7" t="str">
        <f aca="false">IF($D979="","",IFERROR(IF(INDEX(Hierarchy!$F$2:$F$1295,MATCH($D979,Hierarchy!$A$2:$A$1295,0))="","",INDEX(Hierarchy!$F$2:$F$1295,MATCH($D979,Hierarchy!$A$2:$A$1295,0))),"NODE NOT FOUND"))</f>
        <v>India</v>
      </c>
      <c r="J979" s="7" t="str">
        <f aca="false">IF($D979="","",IFERROR(IF(INDEX(Hierarchy!$G$2:$G$1295,MATCH($D979,Hierarchy!$A$2:$A$1295,0))="","",INDEX(Hierarchy!$G$2:$G$1295,MATCH($D979,Hierarchy!$A$2:$A$1295,0))),"NODE NOT FOUND"))</f>
        <v>IND</v>
      </c>
      <c r="K979" s="7" t="str">
        <f aca="false">IF($D979="","",IFERROR(IF(INDEX(Hierarchy!$H$2:$H$1295,MATCH($D979,Hierarchy!$A$2:$A$1295,0))="","",INDEX(Hierarchy!$H$2:$H$1295,MATCH($D979,Hierarchy!$A$2:$A$1295,0))),"NODE NOT FOUND"))</f>
        <v>Manipur</v>
      </c>
      <c r="L979" s="7" t="str">
        <f aca="false">IF($D979="","",IFERROR(IF(INDEX(Hierarchy!$I$2:$I$1295,MATCH($D979,Hierarchy!$A$2:$A$1295,0))="","",INDEX(Hierarchy!$I$2:$I$1295,MATCH($D979,Hierarchy!$A$2:$A$1295,0))),"NODE NOT FOUND"))</f>
        <v/>
      </c>
      <c r="M979" s="17" t="str">
        <f aca="false">IF(B979="Pre-seeded","Pre-seeded",IF(B979="Review 2026-09-16","Added from review",IF(C979="","New",IF(C979=D979,"","Changed"))))</f>
        <v>Pre-seeded</v>
      </c>
      <c r="N979" s="7" t="str">
        <f aca="false">TRIM(SUBSTITUTE(SUBSTITUTE(SUBSTITUTE(" "&amp;TRIM(SUBSTITUTE(SUBSTITUTE(SUBSTITUTE(SUBSTITUTE(SUBSTITUTE(SUBSTITUTE(SUBSTITUTE(SUBSTITUTE(SUBSTITUTE(SUBSTITUTE(SUBSTITUTE(SUBSTITUTE(SUBSTITUTE(SUBSTITUTE(SUBSTITUTE(UPPER(TRIM(A979)),"[MEMBER]",""),"{MEMBER}",""),"[MEMBER}",""),"MEMBER]",""),"(A)",""),"""",""),"“",""),"”",""),".",""),":",""),",",""),"–"," "),"-"," "),"/"," "),"&amp;"," AND "))&amp;" "," THE "," ")," TOTAL "," ")," OPERATIONS "," "))</f>
        <v>MANIPUR</v>
      </c>
      <c r="O979" s="17" t="str">
        <f aca="false">IF(COUNTIFS($N$2:$N$2000,N979,$D$2:$D$2000,"&lt;&gt;"&amp;D979)&gt;0,"CONFLICT","")</f>
        <v/>
      </c>
      <c r="P979" s="7"/>
    </row>
    <row r="980" customFormat="false" ht="15" hidden="false" customHeight="false" outlineLevel="0" collapsed="false">
      <c r="A980" s="7" t="s">
        <v>285</v>
      </c>
      <c r="B980" s="7" t="s">
        <v>1879</v>
      </c>
      <c r="C980" s="7"/>
      <c r="D980" s="6" t="s">
        <v>285</v>
      </c>
      <c r="E980" s="6" t="s">
        <v>1880</v>
      </c>
      <c r="F980" s="7" t="str">
        <f aca="false">IF($D980="","",IFERROR(IF(INDEX(Hierarchy!$B$2:$B$1295,MATCH($D980,Hierarchy!$A$2:$A$1295,0))="","",INDEX(Hierarchy!$B$2:$B$1295,MATCH($D980,Hierarchy!$A$2:$A$1295,0))),"NODE NOT FOUND"))</f>
        <v>State/Province</v>
      </c>
      <c r="G980" s="7" t="str">
        <f aca="false">IF($D980="","",IFERROR(IF(INDEX(Hierarchy!$D$2:$D$1295,MATCH($D980,Hierarchy!$A$2:$A$1295,0))="","",INDEX(Hierarchy!$D$2:$D$1295,MATCH($D980,Hierarchy!$A$2:$A$1295,0))),"NODE NOT FOUND"))</f>
        <v>AMER</v>
      </c>
      <c r="H980" s="7" t="str">
        <f aca="false">IF($D980="","",IFERROR(IF(INDEX(Hierarchy!$E$2:$E$1295,MATCH($D980,Hierarchy!$A$2:$A$1295,0))="","",INDEX(Hierarchy!$E$2:$E$1295,MATCH($D980,Hierarchy!$A$2:$A$1295,0))),"NODE NOT FOUND"))</f>
        <v>North America (NORAM)</v>
      </c>
      <c r="I980" s="7" t="str">
        <f aca="false">IF($D980="","",IFERROR(IF(INDEX(Hierarchy!$F$2:$F$1295,MATCH($D980,Hierarchy!$A$2:$A$1295,0))="","",INDEX(Hierarchy!$F$2:$F$1295,MATCH($D980,Hierarchy!$A$2:$A$1295,0))),"NODE NOT FOUND"))</f>
        <v>Canada</v>
      </c>
      <c r="J980" s="7" t="str">
        <f aca="false">IF($D980="","",IFERROR(IF(INDEX(Hierarchy!$G$2:$G$1295,MATCH($D980,Hierarchy!$A$2:$A$1295,0))="","",INDEX(Hierarchy!$G$2:$G$1295,MATCH($D980,Hierarchy!$A$2:$A$1295,0))),"NODE NOT FOUND"))</f>
        <v>CAN</v>
      </c>
      <c r="K980" s="7" t="str">
        <f aca="false">IF($D980="","",IFERROR(IF(INDEX(Hierarchy!$H$2:$H$1295,MATCH($D980,Hierarchy!$A$2:$A$1295,0))="","",INDEX(Hierarchy!$H$2:$H$1295,MATCH($D980,Hierarchy!$A$2:$A$1295,0))),"NODE NOT FOUND"))</f>
        <v>Manitoba</v>
      </c>
      <c r="L980" s="7" t="str">
        <f aca="false">IF($D980="","",IFERROR(IF(INDEX(Hierarchy!$I$2:$I$1295,MATCH($D980,Hierarchy!$A$2:$A$1295,0))="","",INDEX(Hierarchy!$I$2:$I$1295,MATCH($D980,Hierarchy!$A$2:$A$1295,0))),"NODE NOT FOUND"))</f>
        <v/>
      </c>
      <c r="M980" s="17" t="str">
        <f aca="false">IF(B980="Pre-seeded","Pre-seeded",IF(B980="Review 2026-09-16","Added from review",IF(C980="","New",IF(C980=D980,"","Changed"))))</f>
        <v>Pre-seeded</v>
      </c>
      <c r="N980" s="7" t="str">
        <f aca="false">TRIM(SUBSTITUTE(SUBSTITUTE(SUBSTITUTE(" "&amp;TRIM(SUBSTITUTE(SUBSTITUTE(SUBSTITUTE(SUBSTITUTE(SUBSTITUTE(SUBSTITUTE(SUBSTITUTE(SUBSTITUTE(SUBSTITUTE(SUBSTITUTE(SUBSTITUTE(SUBSTITUTE(SUBSTITUTE(SUBSTITUTE(SUBSTITUTE(UPPER(TRIM(A980)),"[MEMBER]",""),"{MEMBER}",""),"[MEMBER}",""),"MEMBER]",""),"(A)",""),"""",""),"“",""),"”",""),".",""),":",""),",",""),"–"," "),"-"," "),"/"," "),"&amp;"," AND "))&amp;" "," THE "," ")," TOTAL "," ")," OPERATIONS "," "))</f>
        <v>MANITOBA</v>
      </c>
      <c r="O980" s="17" t="str">
        <f aca="false">IF(COUNTIFS($N$2:$N$2000,N980,$D$2:$D$2000,"&lt;&gt;"&amp;D980)&gt;0,"CONFLICT","")</f>
        <v/>
      </c>
      <c r="P980" s="7"/>
    </row>
    <row r="981" customFormat="false" ht="15" hidden="false" customHeight="false" outlineLevel="0" collapsed="false">
      <c r="A981" s="7" t="s">
        <v>2377</v>
      </c>
      <c r="B981" s="7" t="s">
        <v>1905</v>
      </c>
      <c r="C981" s="7" t="s">
        <v>1906</v>
      </c>
      <c r="D981" s="6" t="s">
        <v>250</v>
      </c>
      <c r="E981" s="6" t="s">
        <v>1880</v>
      </c>
      <c r="F981" s="7" t="str">
        <f aca="false">IF($D981="","",IFERROR(IF(INDEX(Hierarchy!$B$2:$B$1295,MATCH($D981,Hierarchy!$A$2:$A$1295,0))="","",INDEX(Hierarchy!$B$2:$B$1295,MATCH($D981,Hierarchy!$A$2:$A$1295,0))),"NODE NOT FOUND"))</f>
        <v>City</v>
      </c>
      <c r="G981" s="7" t="str">
        <f aca="false">IF($D981="","",IFERROR(IF(INDEX(Hierarchy!$D$2:$D$1295,MATCH($D981,Hierarchy!$A$2:$A$1295,0))="","",INDEX(Hierarchy!$D$2:$D$1295,MATCH($D981,Hierarchy!$A$2:$A$1295,0))),"NODE NOT FOUND"))</f>
        <v>AMER</v>
      </c>
      <c r="H981" s="7" t="str">
        <f aca="false">IF($D981="","",IFERROR(IF(INDEX(Hierarchy!$E$2:$E$1295,MATCH($D981,Hierarchy!$A$2:$A$1295,0))="","",INDEX(Hierarchy!$E$2:$E$1295,MATCH($D981,Hierarchy!$A$2:$A$1295,0))),"NODE NOT FOUND"))</f>
        <v>North America (NORAM)</v>
      </c>
      <c r="I981" s="7" t="str">
        <f aca="false">IF($D981="","",IFERROR(IF(INDEX(Hierarchy!$F$2:$F$1295,MATCH($D981,Hierarchy!$A$2:$A$1295,0))="","",INDEX(Hierarchy!$F$2:$F$1295,MATCH($D981,Hierarchy!$A$2:$A$1295,0))),"NODE NOT FOUND"))</f>
        <v>United States</v>
      </c>
      <c r="J981" s="7" t="str">
        <f aca="false">IF($D981="","",IFERROR(IF(INDEX(Hierarchy!$G$2:$G$1295,MATCH($D981,Hierarchy!$A$2:$A$1295,0))="","",INDEX(Hierarchy!$G$2:$G$1295,MATCH($D981,Hierarchy!$A$2:$A$1295,0))),"NODE NOT FOUND"))</f>
        <v>USA</v>
      </c>
      <c r="K981" s="7" t="str">
        <f aca="false">IF($D981="","",IFERROR(IF(INDEX(Hierarchy!$H$2:$H$1295,MATCH($D981,Hierarchy!$A$2:$A$1295,0))="","",INDEX(Hierarchy!$H$2:$H$1295,MATCH($D981,Hierarchy!$A$2:$A$1295,0))),"NODE NOT FOUND"))</f>
        <v>Texas</v>
      </c>
      <c r="L981" s="7" t="str">
        <f aca="false">IF($D981="","",IFERROR(IF(INDEX(Hierarchy!$I$2:$I$1295,MATCH($D981,Hierarchy!$A$2:$A$1295,0))="","",INDEX(Hierarchy!$I$2:$I$1295,MATCH($D981,Hierarchy!$A$2:$A$1295,0))),"NODE NOT FOUND"))</f>
        <v>Houston</v>
      </c>
      <c r="M981" s="17" t="str">
        <f aca="false">IF(B981="Pre-seeded","Pre-seeded",IF(B981="Review 2026-09-16","Added from review",IF(C981="","New",IF(C981=D981,"","Changed"))))</f>
        <v>Changed</v>
      </c>
      <c r="N981" s="7" t="str">
        <f aca="false">TRIM(SUBSTITUTE(SUBSTITUTE(SUBSTITUTE(" "&amp;TRIM(SUBSTITUTE(SUBSTITUTE(SUBSTITUTE(SUBSTITUTE(SUBSTITUTE(SUBSTITUTE(SUBSTITUTE(SUBSTITUTE(SUBSTITUTE(SUBSTITUTE(SUBSTITUTE(SUBSTITUTE(SUBSTITUTE(SUBSTITUTE(SUBSTITUTE(UPPER(TRIM(A981)),"[MEMBER]",""),"{MEMBER}",""),"[MEMBER}",""),"MEMBER]",""),"(A)",""),"""",""),"“",""),"”",""),".",""),":",""),",",""),"–"," "),"-"," "),"/"," "),"&amp;"," AND "))&amp;" "," THE "," ")," TOTAL "," ")," OPERATIONS "," "))</f>
        <v>MANUFACTURING FACILITY IN HOUSTON TEXAS</v>
      </c>
      <c r="O981" s="17" t="str">
        <f aca="false">IF(COUNTIFS($N$2:$N$2000,N981,$D$2:$D$2000,"&lt;&gt;"&amp;D981)&gt;0,"CONFLICT","")</f>
        <v/>
      </c>
      <c r="P981" s="7" t="s">
        <v>2378</v>
      </c>
    </row>
    <row r="982" customFormat="false" ht="15" hidden="false" customHeight="false" outlineLevel="0" collapsed="false">
      <c r="A982" s="7" t="s">
        <v>356</v>
      </c>
      <c r="B982" s="7" t="s">
        <v>1879</v>
      </c>
      <c r="C982" s="7"/>
      <c r="D982" s="6" t="s">
        <v>356</v>
      </c>
      <c r="E982" s="6" t="s">
        <v>1880</v>
      </c>
      <c r="F982" s="7" t="str">
        <f aca="false">IF($D982="","",IFERROR(IF(INDEX(Hierarchy!$B$2:$B$1295,MATCH($D982,Hierarchy!$A$2:$A$1295,0))="","",INDEX(Hierarchy!$B$2:$B$1295,MATCH($D982,Hierarchy!$A$2:$A$1295,0))),"NODE NOT FOUND"))</f>
        <v>State/Province</v>
      </c>
      <c r="G982" s="7" t="str">
        <f aca="false">IF($D982="","",IFERROR(IF(INDEX(Hierarchy!$D$2:$D$1295,MATCH($D982,Hierarchy!$A$2:$A$1295,0))="","",INDEX(Hierarchy!$D$2:$D$1295,MATCH($D982,Hierarchy!$A$2:$A$1295,0))),"NODE NOT FOUND"))</f>
        <v>AMER</v>
      </c>
      <c r="H982" s="7" t="str">
        <f aca="false">IF($D982="","",IFERROR(IF(INDEX(Hierarchy!$E$2:$E$1295,MATCH($D982,Hierarchy!$A$2:$A$1295,0))="","",INDEX(Hierarchy!$E$2:$E$1295,MATCH($D982,Hierarchy!$A$2:$A$1295,0))),"NODE NOT FOUND"))</f>
        <v>Latin America (LATAM)</v>
      </c>
      <c r="I982" s="7" t="str">
        <f aca="false">IF($D982="","",IFERROR(IF(INDEX(Hierarchy!$F$2:$F$1295,MATCH($D982,Hierarchy!$A$2:$A$1295,0))="","",INDEX(Hierarchy!$F$2:$F$1295,MATCH($D982,Hierarchy!$A$2:$A$1295,0))),"NODE NOT FOUND"))</f>
        <v>Brazil</v>
      </c>
      <c r="J982" s="7" t="str">
        <f aca="false">IF($D982="","",IFERROR(IF(INDEX(Hierarchy!$G$2:$G$1295,MATCH($D982,Hierarchy!$A$2:$A$1295,0))="","",INDEX(Hierarchy!$G$2:$G$1295,MATCH($D982,Hierarchy!$A$2:$A$1295,0))),"NODE NOT FOUND"))</f>
        <v>BRA</v>
      </c>
      <c r="K982" s="7" t="str">
        <f aca="false">IF($D982="","",IFERROR(IF(INDEX(Hierarchy!$H$2:$H$1295,MATCH($D982,Hierarchy!$A$2:$A$1295,0))="","",INDEX(Hierarchy!$H$2:$H$1295,MATCH($D982,Hierarchy!$A$2:$A$1295,0))),"NODE NOT FOUND"))</f>
        <v>Maranhão</v>
      </c>
      <c r="L982" s="7" t="str">
        <f aca="false">IF($D982="","",IFERROR(IF(INDEX(Hierarchy!$I$2:$I$1295,MATCH($D982,Hierarchy!$A$2:$A$1295,0))="","",INDEX(Hierarchy!$I$2:$I$1295,MATCH($D982,Hierarchy!$A$2:$A$1295,0))),"NODE NOT FOUND"))</f>
        <v/>
      </c>
      <c r="M982" s="17" t="str">
        <f aca="false">IF(B982="Pre-seeded","Pre-seeded",IF(B982="Review 2026-09-16","Added from review",IF(C982="","New",IF(C982=D982,"","Changed"))))</f>
        <v>Pre-seeded</v>
      </c>
      <c r="N982" s="7" t="str">
        <f aca="false">TRIM(SUBSTITUTE(SUBSTITUTE(SUBSTITUTE(" "&amp;TRIM(SUBSTITUTE(SUBSTITUTE(SUBSTITUTE(SUBSTITUTE(SUBSTITUTE(SUBSTITUTE(SUBSTITUTE(SUBSTITUTE(SUBSTITUTE(SUBSTITUTE(SUBSTITUTE(SUBSTITUTE(SUBSTITUTE(SUBSTITUTE(SUBSTITUTE(UPPER(TRIM(A982)),"[MEMBER]",""),"{MEMBER}",""),"[MEMBER}",""),"MEMBER]",""),"(A)",""),"""",""),"“",""),"”",""),".",""),":",""),",",""),"–"," "),"-"," "),"/"," "),"&amp;"," AND "))&amp;" "," THE "," ")," TOTAL "," ")," OPERATIONS "," "))</f>
        <v>MARANHÃO</v>
      </c>
      <c r="O982" s="17" t="str">
        <f aca="false">IF(COUNTIFS($N$2:$N$2000,N982,$D$2:$D$2000,"&lt;&gt;"&amp;D982)&gt;0,"CONFLICT","")</f>
        <v/>
      </c>
      <c r="P982" s="7"/>
    </row>
    <row r="983" customFormat="false" ht="15" hidden="false" customHeight="false" outlineLevel="0" collapsed="false">
      <c r="A983" s="7" t="s">
        <v>843</v>
      </c>
      <c r="B983" s="7" t="s">
        <v>1879</v>
      </c>
      <c r="C983" s="7"/>
      <c r="D983" s="6" t="s">
        <v>843</v>
      </c>
      <c r="E983" s="6" t="s">
        <v>1880</v>
      </c>
      <c r="F983" s="7" t="str">
        <f aca="false">IF($D983="","",IFERROR(IF(INDEX(Hierarchy!$B$2:$B$1295,MATCH($D983,Hierarchy!$A$2:$A$1295,0))="","",INDEX(Hierarchy!$B$2:$B$1295,MATCH($D983,Hierarchy!$A$2:$A$1295,0))),"NODE NOT FOUND"))</f>
        <v>State/Province</v>
      </c>
      <c r="G983" s="7" t="str">
        <f aca="false">IF($D983="","",IFERROR(IF(INDEX(Hierarchy!$D$2:$D$1295,MATCH($D983,Hierarchy!$A$2:$A$1295,0))="","",INDEX(Hierarchy!$D$2:$D$1295,MATCH($D983,Hierarchy!$A$2:$A$1295,0))),"NODE NOT FOUND"))</f>
        <v>EMEA</v>
      </c>
      <c r="H983" s="7" t="str">
        <f aca="false">IF($D983="","",IFERROR(IF(INDEX(Hierarchy!$E$2:$E$1295,MATCH($D983,Hierarchy!$A$2:$A$1295,0))="","",INDEX(Hierarchy!$E$2:$E$1295,MATCH($D983,Hierarchy!$A$2:$A$1295,0))),"NODE NOT FOUND"))</f>
        <v>Europe</v>
      </c>
      <c r="I983" s="7" t="str">
        <f aca="false">IF($D983="","",IFERROR(IF(INDEX(Hierarchy!$F$2:$F$1295,MATCH($D983,Hierarchy!$A$2:$A$1295,0))="","",INDEX(Hierarchy!$F$2:$F$1295,MATCH($D983,Hierarchy!$A$2:$A$1295,0))),"NODE NOT FOUND"))</f>
        <v>Italy</v>
      </c>
      <c r="J983" s="7" t="str">
        <f aca="false">IF($D983="","",IFERROR(IF(INDEX(Hierarchy!$G$2:$G$1295,MATCH($D983,Hierarchy!$A$2:$A$1295,0))="","",INDEX(Hierarchy!$G$2:$G$1295,MATCH($D983,Hierarchy!$A$2:$A$1295,0))),"NODE NOT FOUND"))</f>
        <v>ITA</v>
      </c>
      <c r="K983" s="7" t="str">
        <f aca="false">IF($D983="","",IFERROR(IF(INDEX(Hierarchy!$H$2:$H$1295,MATCH($D983,Hierarchy!$A$2:$A$1295,0))="","",INDEX(Hierarchy!$H$2:$H$1295,MATCH($D983,Hierarchy!$A$2:$A$1295,0))),"NODE NOT FOUND"))</f>
        <v>Marche</v>
      </c>
      <c r="L983" s="7" t="str">
        <f aca="false">IF($D983="","",IFERROR(IF(INDEX(Hierarchy!$I$2:$I$1295,MATCH($D983,Hierarchy!$A$2:$A$1295,0))="","",INDEX(Hierarchy!$I$2:$I$1295,MATCH($D983,Hierarchy!$A$2:$A$1295,0))),"NODE NOT FOUND"))</f>
        <v/>
      </c>
      <c r="M983" s="17" t="str">
        <f aca="false">IF(B983="Pre-seeded","Pre-seeded",IF(B983="Review 2026-09-16","Added from review",IF(C983="","New",IF(C983=D983,"","Changed"))))</f>
        <v>Pre-seeded</v>
      </c>
      <c r="N983" s="7" t="str">
        <f aca="false">TRIM(SUBSTITUTE(SUBSTITUTE(SUBSTITUTE(" "&amp;TRIM(SUBSTITUTE(SUBSTITUTE(SUBSTITUTE(SUBSTITUTE(SUBSTITUTE(SUBSTITUTE(SUBSTITUTE(SUBSTITUTE(SUBSTITUTE(SUBSTITUTE(SUBSTITUTE(SUBSTITUTE(SUBSTITUTE(SUBSTITUTE(SUBSTITUTE(UPPER(TRIM(A983)),"[MEMBER]",""),"{MEMBER}",""),"[MEMBER}",""),"MEMBER]",""),"(A)",""),"""",""),"“",""),"”",""),".",""),":",""),",",""),"–"," "),"-"," "),"/"," "),"&amp;"," AND "))&amp;" "," THE "," ")," TOTAL "," ")," OPERATIONS "," "))</f>
        <v>MARCHE</v>
      </c>
      <c r="O983" s="17" t="str">
        <f aca="false">IF(COUNTIFS($N$2:$N$2000,N983,$D$2:$D$2000,"&lt;&gt;"&amp;D983)&gt;0,"CONFLICT","")</f>
        <v/>
      </c>
      <c r="P983" s="7"/>
    </row>
    <row r="984" customFormat="false" ht="15" hidden="false" customHeight="false" outlineLevel="0" collapsed="false">
      <c r="A984" s="7" t="s">
        <v>1726</v>
      </c>
      <c r="B984" s="7" t="s">
        <v>1879</v>
      </c>
      <c r="C984" s="7"/>
      <c r="D984" s="6" t="s">
        <v>1726</v>
      </c>
      <c r="E984" s="6" t="s">
        <v>1880</v>
      </c>
      <c r="F984" s="7" t="str">
        <f aca="false">IF($D984="","",IFERROR(IF(INDEX(Hierarchy!$B$2:$B$1295,MATCH($D984,Hierarchy!$A$2:$A$1295,0))="","",INDEX(Hierarchy!$B$2:$B$1295,MATCH($D984,Hierarchy!$A$2:$A$1295,0))),"NODE NOT FOUND"))</f>
        <v>State/Province</v>
      </c>
      <c r="G984" s="7" t="str">
        <f aca="false">IF($D984="","",IFERROR(IF(INDEX(Hierarchy!$D$2:$D$1295,MATCH($D984,Hierarchy!$A$2:$A$1295,0))="","",INDEX(Hierarchy!$D$2:$D$1295,MATCH($D984,Hierarchy!$A$2:$A$1295,0))),"NODE NOT FOUND"))</f>
        <v>APAC</v>
      </c>
      <c r="H984" s="7" t="str">
        <f aca="false">IF($D984="","",IFERROR(IF(INDEX(Hierarchy!$E$2:$E$1295,MATCH($D984,Hierarchy!$A$2:$A$1295,0))="","",INDEX(Hierarchy!$E$2:$E$1295,MATCH($D984,Hierarchy!$A$2:$A$1295,0))),"NODE NOT FOUND"))</f>
        <v>Oceania (ANZ)</v>
      </c>
      <c r="I984" s="7" t="str">
        <f aca="false">IF($D984="","",IFERROR(IF(INDEX(Hierarchy!$F$2:$F$1295,MATCH($D984,Hierarchy!$A$2:$A$1295,0))="","",INDEX(Hierarchy!$F$2:$F$1295,MATCH($D984,Hierarchy!$A$2:$A$1295,0))),"NODE NOT FOUND"))</f>
        <v>New Zealand</v>
      </c>
      <c r="J984" s="7" t="str">
        <f aca="false">IF($D984="","",IFERROR(IF(INDEX(Hierarchy!$G$2:$G$1295,MATCH($D984,Hierarchy!$A$2:$A$1295,0))="","",INDEX(Hierarchy!$G$2:$G$1295,MATCH($D984,Hierarchy!$A$2:$A$1295,0))),"NODE NOT FOUND"))</f>
        <v>NZL</v>
      </c>
      <c r="K984" s="7" t="str">
        <f aca="false">IF($D984="","",IFERROR(IF(INDEX(Hierarchy!$H$2:$H$1295,MATCH($D984,Hierarchy!$A$2:$A$1295,0))="","",INDEX(Hierarchy!$H$2:$H$1295,MATCH($D984,Hierarchy!$A$2:$A$1295,0))),"NODE NOT FOUND"))</f>
        <v>Marlborough</v>
      </c>
      <c r="L984" s="7" t="str">
        <f aca="false">IF($D984="","",IFERROR(IF(INDEX(Hierarchy!$I$2:$I$1295,MATCH($D984,Hierarchy!$A$2:$A$1295,0))="","",INDEX(Hierarchy!$I$2:$I$1295,MATCH($D984,Hierarchy!$A$2:$A$1295,0))),"NODE NOT FOUND"))</f>
        <v/>
      </c>
      <c r="M984" s="17" t="str">
        <f aca="false">IF(B984="Pre-seeded","Pre-seeded",IF(B984="Review 2026-09-16","Added from review",IF(C984="","New",IF(C984=D984,"","Changed"))))</f>
        <v>Pre-seeded</v>
      </c>
      <c r="N984" s="7" t="str">
        <f aca="false">TRIM(SUBSTITUTE(SUBSTITUTE(SUBSTITUTE(" "&amp;TRIM(SUBSTITUTE(SUBSTITUTE(SUBSTITUTE(SUBSTITUTE(SUBSTITUTE(SUBSTITUTE(SUBSTITUTE(SUBSTITUTE(SUBSTITUTE(SUBSTITUTE(SUBSTITUTE(SUBSTITUTE(SUBSTITUTE(SUBSTITUTE(SUBSTITUTE(UPPER(TRIM(A984)),"[MEMBER]",""),"{MEMBER}",""),"[MEMBER}",""),"MEMBER]",""),"(A)",""),"""",""),"“",""),"”",""),".",""),":",""),",",""),"–"," "),"-"," "),"/"," "),"&amp;"," AND "))&amp;" "," THE "," ")," TOTAL "," ")," OPERATIONS "," "))</f>
        <v>MARLBOROUGH</v>
      </c>
      <c r="O984" s="17" t="str">
        <f aca="false">IF(COUNTIFS($N$2:$N$2000,N984,$D$2:$D$2000,"&lt;&gt;"&amp;D984)&gt;0,"CONFLICT","")</f>
        <v/>
      </c>
      <c r="P984" s="7"/>
    </row>
    <row r="985" customFormat="false" ht="15" hidden="false" customHeight="false" outlineLevel="0" collapsed="false">
      <c r="A985" s="7" t="s">
        <v>1753</v>
      </c>
      <c r="B985" s="7" t="s">
        <v>1879</v>
      </c>
      <c r="C985" s="7"/>
      <c r="D985" s="6" t="s">
        <v>1753</v>
      </c>
      <c r="E985" s="6" t="s">
        <v>1880</v>
      </c>
      <c r="F985" s="7" t="str">
        <f aca="false">IF($D985="","",IFERROR(IF(INDEX(Hierarchy!$B$2:$B$1295,MATCH($D985,Hierarchy!$A$2:$A$1295,0))="","",INDEX(Hierarchy!$B$2:$B$1295,MATCH($D985,Hierarchy!$A$2:$A$1295,0))),"NODE NOT FOUND"))</f>
        <v>Country</v>
      </c>
      <c r="G985" s="7" t="str">
        <f aca="false">IF($D985="","",IFERROR(IF(INDEX(Hierarchy!$D$2:$D$1295,MATCH($D985,Hierarchy!$A$2:$A$1295,0))="","",INDEX(Hierarchy!$D$2:$D$1295,MATCH($D985,Hierarchy!$A$2:$A$1295,0))),"NODE NOT FOUND"))</f>
        <v>APAC</v>
      </c>
      <c r="H985" s="7" t="str">
        <f aca="false">IF($D985="","",IFERROR(IF(INDEX(Hierarchy!$E$2:$E$1295,MATCH($D985,Hierarchy!$A$2:$A$1295,0))="","",INDEX(Hierarchy!$E$2:$E$1295,MATCH($D985,Hierarchy!$A$2:$A$1295,0))),"NODE NOT FOUND"))</f>
        <v>Oceania (ANZ)</v>
      </c>
      <c r="I985" s="7" t="str">
        <f aca="false">IF($D985="","",IFERROR(IF(INDEX(Hierarchy!$F$2:$F$1295,MATCH($D985,Hierarchy!$A$2:$A$1295,0))="","",INDEX(Hierarchy!$F$2:$F$1295,MATCH($D985,Hierarchy!$A$2:$A$1295,0))),"NODE NOT FOUND"))</f>
        <v>Marshall Islands</v>
      </c>
      <c r="J985" s="7" t="str">
        <f aca="false">IF($D985="","",IFERROR(IF(INDEX(Hierarchy!$G$2:$G$1295,MATCH($D985,Hierarchy!$A$2:$A$1295,0))="","",INDEX(Hierarchy!$G$2:$G$1295,MATCH($D985,Hierarchy!$A$2:$A$1295,0))),"NODE NOT FOUND"))</f>
        <v>MHL</v>
      </c>
      <c r="K985" s="7" t="str">
        <f aca="false">IF($D985="","",IFERROR(IF(INDEX(Hierarchy!$H$2:$H$1295,MATCH($D985,Hierarchy!$A$2:$A$1295,0))="","",INDEX(Hierarchy!$H$2:$H$1295,MATCH($D985,Hierarchy!$A$2:$A$1295,0))),"NODE NOT FOUND"))</f>
        <v/>
      </c>
      <c r="L985" s="7" t="str">
        <f aca="false">IF($D985="","",IFERROR(IF(INDEX(Hierarchy!$I$2:$I$1295,MATCH($D985,Hierarchy!$A$2:$A$1295,0))="","",INDEX(Hierarchy!$I$2:$I$1295,MATCH($D985,Hierarchy!$A$2:$A$1295,0))),"NODE NOT FOUND"))</f>
        <v/>
      </c>
      <c r="M985" s="17" t="str">
        <f aca="false">IF(B985="Pre-seeded","Pre-seeded",IF(B985="Review 2026-09-16","Added from review",IF(C985="","New",IF(C985=D985,"","Changed"))))</f>
        <v>Pre-seeded</v>
      </c>
      <c r="N985" s="7" t="str">
        <f aca="false">TRIM(SUBSTITUTE(SUBSTITUTE(SUBSTITUTE(" "&amp;TRIM(SUBSTITUTE(SUBSTITUTE(SUBSTITUTE(SUBSTITUTE(SUBSTITUTE(SUBSTITUTE(SUBSTITUTE(SUBSTITUTE(SUBSTITUTE(SUBSTITUTE(SUBSTITUTE(SUBSTITUTE(SUBSTITUTE(SUBSTITUTE(SUBSTITUTE(UPPER(TRIM(A985)),"[MEMBER]",""),"{MEMBER}",""),"[MEMBER}",""),"MEMBER]",""),"(A)",""),"""",""),"“",""),"”",""),".",""),":",""),",",""),"–"," "),"-"," "),"/"," "),"&amp;"," AND "))&amp;" "," THE "," ")," TOTAL "," ")," OPERATIONS "," "))</f>
        <v>MARSHALL ISLANDS</v>
      </c>
      <c r="O985" s="17" t="str">
        <f aca="false">IF(COUNTIFS($N$2:$N$2000,N985,$D$2:$D$2000,"&lt;&gt;"&amp;D985)&gt;0,"CONFLICT","")</f>
        <v/>
      </c>
      <c r="P985" s="7"/>
    </row>
    <row r="986" customFormat="false" ht="15" hidden="false" customHeight="false" outlineLevel="0" collapsed="false">
      <c r="A986" s="7" t="s">
        <v>575</v>
      </c>
      <c r="B986" s="7" t="s">
        <v>1879</v>
      </c>
      <c r="C986" s="7"/>
      <c r="D986" s="6" t="s">
        <v>575</v>
      </c>
      <c r="E986" s="6" t="s">
        <v>1880</v>
      </c>
      <c r="F986" s="7" t="str">
        <f aca="false">IF($D986="","",IFERROR(IF(INDEX(Hierarchy!$B$2:$B$1295,MATCH($D986,Hierarchy!$A$2:$A$1295,0))="","",INDEX(Hierarchy!$B$2:$B$1295,MATCH($D986,Hierarchy!$A$2:$A$1295,0))),"NODE NOT FOUND"))</f>
        <v>Country</v>
      </c>
      <c r="G986" s="7" t="str">
        <f aca="false">IF($D986="","",IFERROR(IF(INDEX(Hierarchy!$D$2:$D$1295,MATCH($D986,Hierarchy!$A$2:$A$1295,0))="","",INDEX(Hierarchy!$D$2:$D$1295,MATCH($D986,Hierarchy!$A$2:$A$1295,0))),"NODE NOT FOUND"))</f>
        <v>AMER</v>
      </c>
      <c r="H986" s="7" t="str">
        <f aca="false">IF($D986="","",IFERROR(IF(INDEX(Hierarchy!$E$2:$E$1295,MATCH($D986,Hierarchy!$A$2:$A$1295,0))="","",INDEX(Hierarchy!$E$2:$E$1295,MATCH($D986,Hierarchy!$A$2:$A$1295,0))),"NODE NOT FOUND"))</f>
        <v>Latin America (LATAM)</v>
      </c>
      <c r="I986" s="7" t="str">
        <f aca="false">IF($D986="","",IFERROR(IF(INDEX(Hierarchy!$F$2:$F$1295,MATCH($D986,Hierarchy!$A$2:$A$1295,0))="","",INDEX(Hierarchy!$F$2:$F$1295,MATCH($D986,Hierarchy!$A$2:$A$1295,0))),"NODE NOT FOUND"))</f>
        <v>Martinique</v>
      </c>
      <c r="J986" s="7" t="str">
        <f aca="false">IF($D986="","",IFERROR(IF(INDEX(Hierarchy!$G$2:$G$1295,MATCH($D986,Hierarchy!$A$2:$A$1295,0))="","",INDEX(Hierarchy!$G$2:$G$1295,MATCH($D986,Hierarchy!$A$2:$A$1295,0))),"NODE NOT FOUND"))</f>
        <v>MTQ</v>
      </c>
      <c r="K986" s="7" t="str">
        <f aca="false">IF($D986="","",IFERROR(IF(INDEX(Hierarchy!$H$2:$H$1295,MATCH($D986,Hierarchy!$A$2:$A$1295,0))="","",INDEX(Hierarchy!$H$2:$H$1295,MATCH($D986,Hierarchy!$A$2:$A$1295,0))),"NODE NOT FOUND"))</f>
        <v/>
      </c>
      <c r="L986" s="7" t="str">
        <f aca="false">IF($D986="","",IFERROR(IF(INDEX(Hierarchy!$I$2:$I$1295,MATCH($D986,Hierarchy!$A$2:$A$1295,0))="","",INDEX(Hierarchy!$I$2:$I$1295,MATCH($D986,Hierarchy!$A$2:$A$1295,0))),"NODE NOT FOUND"))</f>
        <v/>
      </c>
      <c r="M986" s="17" t="str">
        <f aca="false">IF(B986="Pre-seeded","Pre-seeded",IF(B986="Review 2026-09-16","Added from review",IF(C986="","New",IF(C986=D986,"","Changed"))))</f>
        <v>Pre-seeded</v>
      </c>
      <c r="N986" s="7" t="str">
        <f aca="false">TRIM(SUBSTITUTE(SUBSTITUTE(SUBSTITUTE(" "&amp;TRIM(SUBSTITUTE(SUBSTITUTE(SUBSTITUTE(SUBSTITUTE(SUBSTITUTE(SUBSTITUTE(SUBSTITUTE(SUBSTITUTE(SUBSTITUTE(SUBSTITUTE(SUBSTITUTE(SUBSTITUTE(SUBSTITUTE(SUBSTITUTE(SUBSTITUTE(UPPER(TRIM(A986)),"[MEMBER]",""),"{MEMBER}",""),"[MEMBER}",""),"MEMBER]",""),"(A)",""),"""",""),"“",""),"”",""),".",""),":",""),",",""),"–"," "),"-"," "),"/"," "),"&amp;"," AND "))&amp;" "," THE "," ")," TOTAL "," ")," OPERATIONS "," "))</f>
        <v>MARTINIQUE</v>
      </c>
      <c r="O986" s="17" t="str">
        <f aca="false">IF(COUNTIFS($N$2:$N$2000,N986,$D$2:$D$2000,"&lt;&gt;"&amp;D986)&gt;0,"CONFLICT","")</f>
        <v/>
      </c>
      <c r="P986" s="7"/>
    </row>
    <row r="987" customFormat="false" ht="15" hidden="false" customHeight="false" outlineLevel="0" collapsed="false">
      <c r="A987" s="7" t="s">
        <v>191</v>
      </c>
      <c r="B987" s="7" t="s">
        <v>1882</v>
      </c>
      <c r="C987" s="7" t="s">
        <v>191</v>
      </c>
      <c r="D987" s="6" t="s">
        <v>191</v>
      </c>
      <c r="E987" s="6" t="s">
        <v>1880</v>
      </c>
      <c r="F987" s="7" t="str">
        <f aca="false">IF($D987="","",IFERROR(IF(INDEX(Hierarchy!$B$2:$B$1295,MATCH($D987,Hierarchy!$A$2:$A$1295,0))="","",INDEX(Hierarchy!$B$2:$B$1295,MATCH($D987,Hierarchy!$A$2:$A$1295,0))),"NODE NOT FOUND"))</f>
        <v>State/Province</v>
      </c>
      <c r="G987" s="7" t="str">
        <f aca="false">IF($D987="","",IFERROR(IF(INDEX(Hierarchy!$D$2:$D$1295,MATCH($D987,Hierarchy!$A$2:$A$1295,0))="","",INDEX(Hierarchy!$D$2:$D$1295,MATCH($D987,Hierarchy!$A$2:$A$1295,0))),"NODE NOT FOUND"))</f>
        <v>AMER</v>
      </c>
      <c r="H987" s="7" t="str">
        <f aca="false">IF($D987="","",IFERROR(IF(INDEX(Hierarchy!$E$2:$E$1295,MATCH($D987,Hierarchy!$A$2:$A$1295,0))="","",INDEX(Hierarchy!$E$2:$E$1295,MATCH($D987,Hierarchy!$A$2:$A$1295,0))),"NODE NOT FOUND"))</f>
        <v>North America (NORAM)</v>
      </c>
      <c r="I987" s="7" t="str">
        <f aca="false">IF($D987="","",IFERROR(IF(INDEX(Hierarchy!$F$2:$F$1295,MATCH($D987,Hierarchy!$A$2:$A$1295,0))="","",INDEX(Hierarchy!$F$2:$F$1295,MATCH($D987,Hierarchy!$A$2:$A$1295,0))),"NODE NOT FOUND"))</f>
        <v>United States</v>
      </c>
      <c r="J987" s="7" t="str">
        <f aca="false">IF($D987="","",IFERROR(IF(INDEX(Hierarchy!$G$2:$G$1295,MATCH($D987,Hierarchy!$A$2:$A$1295,0))="","",INDEX(Hierarchy!$G$2:$G$1295,MATCH($D987,Hierarchy!$A$2:$A$1295,0))),"NODE NOT FOUND"))</f>
        <v>USA</v>
      </c>
      <c r="K987" s="7" t="str">
        <f aca="false">IF($D987="","",IFERROR(IF(INDEX(Hierarchy!$H$2:$H$1295,MATCH($D987,Hierarchy!$A$2:$A$1295,0))="","",INDEX(Hierarchy!$H$2:$H$1295,MATCH($D987,Hierarchy!$A$2:$A$1295,0))),"NODE NOT FOUND"))</f>
        <v>Maryland</v>
      </c>
      <c r="L987" s="7" t="str">
        <f aca="false">IF($D987="","",IFERROR(IF(INDEX(Hierarchy!$I$2:$I$1295,MATCH($D987,Hierarchy!$A$2:$A$1295,0))="","",INDEX(Hierarchy!$I$2:$I$1295,MATCH($D987,Hierarchy!$A$2:$A$1295,0))),"NODE NOT FOUND"))</f>
        <v/>
      </c>
      <c r="M987" s="17" t="str">
        <f aca="false">IF(B987="Pre-seeded","Pre-seeded",IF(B987="Review 2026-09-16","Added from review",IF(C987="","New",IF(C987=D987,"","Changed"))))</f>
        <v/>
      </c>
      <c r="N987" s="7" t="str">
        <f aca="false">TRIM(SUBSTITUTE(SUBSTITUTE(SUBSTITUTE(" "&amp;TRIM(SUBSTITUTE(SUBSTITUTE(SUBSTITUTE(SUBSTITUTE(SUBSTITUTE(SUBSTITUTE(SUBSTITUTE(SUBSTITUTE(SUBSTITUTE(SUBSTITUTE(SUBSTITUTE(SUBSTITUTE(SUBSTITUTE(SUBSTITUTE(SUBSTITUTE(UPPER(TRIM(A987)),"[MEMBER]",""),"{MEMBER}",""),"[MEMBER}",""),"MEMBER]",""),"(A)",""),"""",""),"“",""),"”",""),".",""),":",""),",",""),"–"," "),"-"," "),"/"," "),"&amp;"," AND "))&amp;" "," THE "," ")," TOTAL "," ")," OPERATIONS "," "))</f>
        <v>MARYLAND</v>
      </c>
      <c r="O987" s="17" t="str">
        <f aca="false">IF(COUNTIFS($N$2:$N$2000,N987,$D$2:$D$2000,"&lt;&gt;"&amp;D987)&gt;0,"CONFLICT","")</f>
        <v/>
      </c>
      <c r="P987" s="7"/>
    </row>
    <row r="988" customFormat="false" ht="15" hidden="false" customHeight="false" outlineLevel="0" collapsed="false">
      <c r="A988" s="7" t="s">
        <v>2379</v>
      </c>
      <c r="B988" s="7" t="s">
        <v>1882</v>
      </c>
      <c r="C988" s="7" t="s">
        <v>191</v>
      </c>
      <c r="D988" s="6" t="s">
        <v>191</v>
      </c>
      <c r="E988" s="6" t="s">
        <v>1880</v>
      </c>
      <c r="F988" s="7" t="str">
        <f aca="false">IF($D988="","",IFERROR(IF(INDEX(Hierarchy!$B$2:$B$1295,MATCH($D988,Hierarchy!$A$2:$A$1295,0))="","",INDEX(Hierarchy!$B$2:$B$1295,MATCH($D988,Hierarchy!$A$2:$A$1295,0))),"NODE NOT FOUND"))</f>
        <v>State/Province</v>
      </c>
      <c r="G988" s="7" t="str">
        <f aca="false">IF($D988="","",IFERROR(IF(INDEX(Hierarchy!$D$2:$D$1295,MATCH($D988,Hierarchy!$A$2:$A$1295,0))="","",INDEX(Hierarchy!$D$2:$D$1295,MATCH($D988,Hierarchy!$A$2:$A$1295,0))),"NODE NOT FOUND"))</f>
        <v>AMER</v>
      </c>
      <c r="H988" s="7" t="str">
        <f aca="false">IF($D988="","",IFERROR(IF(INDEX(Hierarchy!$E$2:$E$1295,MATCH($D988,Hierarchy!$A$2:$A$1295,0))="","",INDEX(Hierarchy!$E$2:$E$1295,MATCH($D988,Hierarchy!$A$2:$A$1295,0))),"NODE NOT FOUND"))</f>
        <v>North America (NORAM)</v>
      </c>
      <c r="I988" s="7" t="str">
        <f aca="false">IF($D988="","",IFERROR(IF(INDEX(Hierarchy!$F$2:$F$1295,MATCH($D988,Hierarchy!$A$2:$A$1295,0))="","",INDEX(Hierarchy!$F$2:$F$1295,MATCH($D988,Hierarchy!$A$2:$A$1295,0))),"NODE NOT FOUND"))</f>
        <v>United States</v>
      </c>
      <c r="J988" s="7" t="str">
        <f aca="false">IF($D988="","",IFERROR(IF(INDEX(Hierarchy!$G$2:$G$1295,MATCH($D988,Hierarchy!$A$2:$A$1295,0))="","",INDEX(Hierarchy!$G$2:$G$1295,MATCH($D988,Hierarchy!$A$2:$A$1295,0))),"NODE NOT FOUND"))</f>
        <v>USA</v>
      </c>
      <c r="K988" s="7" t="str">
        <f aca="false">IF($D988="","",IFERROR(IF(INDEX(Hierarchy!$H$2:$H$1295,MATCH($D988,Hierarchy!$A$2:$A$1295,0))="","",INDEX(Hierarchy!$H$2:$H$1295,MATCH($D988,Hierarchy!$A$2:$A$1295,0))),"NODE NOT FOUND"))</f>
        <v>Maryland</v>
      </c>
      <c r="L988" s="7" t="str">
        <f aca="false">IF($D988="","",IFERROR(IF(INDEX(Hierarchy!$I$2:$I$1295,MATCH($D988,Hierarchy!$A$2:$A$1295,0))="","",INDEX(Hierarchy!$I$2:$I$1295,MATCH($D988,Hierarchy!$A$2:$A$1295,0))),"NODE NOT FOUND"))</f>
        <v/>
      </c>
      <c r="M988" s="17" t="str">
        <f aca="false">IF(B988="Pre-seeded","Pre-seeded",IF(B988="Review 2026-09-16","Added from review",IF(C988="","New",IF(C988=D988,"","Changed"))))</f>
        <v/>
      </c>
      <c r="N988" s="7" t="str">
        <f aca="false">TRIM(SUBSTITUTE(SUBSTITUTE(SUBSTITUTE(" "&amp;TRIM(SUBSTITUTE(SUBSTITUTE(SUBSTITUTE(SUBSTITUTE(SUBSTITUTE(SUBSTITUTE(SUBSTITUTE(SUBSTITUTE(SUBSTITUTE(SUBSTITUTE(SUBSTITUTE(SUBSTITUTE(SUBSTITUTE(SUBSTITUTE(SUBSTITUTE(UPPER(TRIM(A988)),"[MEMBER]",""),"{MEMBER}",""),"[MEMBER}",""),"MEMBER]",""),"(A)",""),"""",""),"“",""),"”",""),".",""),":",""),",",""),"–"," "),"-"," "),"/"," "),"&amp;"," AND "))&amp;" "," THE "," ")," TOTAL "," ")," OPERATIONS "," "))</f>
        <v>MARYLAND</v>
      </c>
      <c r="O988" s="17" t="str">
        <f aca="false">IF(COUNTIFS($N$2:$N$2000,N988,$D$2:$D$2000,"&lt;&gt;"&amp;D988)&gt;0,"CONFLICT","")</f>
        <v/>
      </c>
      <c r="P988" s="7"/>
    </row>
    <row r="989" customFormat="false" ht="15" hidden="false" customHeight="false" outlineLevel="0" collapsed="false">
      <c r="A989" s="7" t="s">
        <v>916</v>
      </c>
      <c r="B989" s="7" t="s">
        <v>1879</v>
      </c>
      <c r="C989" s="7"/>
      <c r="D989" s="6" t="s">
        <v>916</v>
      </c>
      <c r="E989" s="6" t="s">
        <v>1880</v>
      </c>
      <c r="F989" s="7" t="str">
        <f aca="false">IF($D989="","",IFERROR(IF(INDEX(Hierarchy!$B$2:$B$1295,MATCH($D989,Hierarchy!$A$2:$A$1295,0))="","",INDEX(Hierarchy!$B$2:$B$1295,MATCH($D989,Hierarchy!$A$2:$A$1295,0))),"NODE NOT FOUND"))</f>
        <v>State/Province</v>
      </c>
      <c r="G989" s="7" t="str">
        <f aca="false">IF($D989="","",IFERROR(IF(INDEX(Hierarchy!$D$2:$D$1295,MATCH($D989,Hierarchy!$A$2:$A$1295,0))="","",INDEX(Hierarchy!$D$2:$D$1295,MATCH($D989,Hierarchy!$A$2:$A$1295,0))),"NODE NOT FOUND"))</f>
        <v>EMEA</v>
      </c>
      <c r="H989" s="7" t="str">
        <f aca="false">IF($D989="","",IFERROR(IF(INDEX(Hierarchy!$E$2:$E$1295,MATCH($D989,Hierarchy!$A$2:$A$1295,0))="","",INDEX(Hierarchy!$E$2:$E$1295,MATCH($D989,Hierarchy!$A$2:$A$1295,0))),"NODE NOT FOUND"))</f>
        <v>Europe</v>
      </c>
      <c r="I989" s="7" t="str">
        <f aca="false">IF($D989="","",IFERROR(IF(INDEX(Hierarchy!$F$2:$F$1295,MATCH($D989,Hierarchy!$A$2:$A$1295,0))="","",INDEX(Hierarchy!$F$2:$F$1295,MATCH($D989,Hierarchy!$A$2:$A$1295,0))),"NODE NOT FOUND"))</f>
        <v>Poland</v>
      </c>
      <c r="J989" s="7" t="str">
        <f aca="false">IF($D989="","",IFERROR(IF(INDEX(Hierarchy!$G$2:$G$1295,MATCH($D989,Hierarchy!$A$2:$A$1295,0))="","",INDEX(Hierarchy!$G$2:$G$1295,MATCH($D989,Hierarchy!$A$2:$A$1295,0))),"NODE NOT FOUND"))</f>
        <v>POL</v>
      </c>
      <c r="K989" s="7" t="str">
        <f aca="false">IF($D989="","",IFERROR(IF(INDEX(Hierarchy!$H$2:$H$1295,MATCH($D989,Hierarchy!$A$2:$A$1295,0))="","",INDEX(Hierarchy!$H$2:$H$1295,MATCH($D989,Hierarchy!$A$2:$A$1295,0))),"NODE NOT FOUND"))</f>
        <v>Masovian</v>
      </c>
      <c r="L989" s="7" t="str">
        <f aca="false">IF($D989="","",IFERROR(IF(INDEX(Hierarchy!$I$2:$I$1295,MATCH($D989,Hierarchy!$A$2:$A$1295,0))="","",INDEX(Hierarchy!$I$2:$I$1295,MATCH($D989,Hierarchy!$A$2:$A$1295,0))),"NODE NOT FOUND"))</f>
        <v/>
      </c>
      <c r="M989" s="17" t="str">
        <f aca="false">IF(B989="Pre-seeded","Pre-seeded",IF(B989="Review 2026-09-16","Added from review",IF(C989="","New",IF(C989=D989,"","Changed"))))</f>
        <v>Pre-seeded</v>
      </c>
      <c r="N989" s="7" t="str">
        <f aca="false">TRIM(SUBSTITUTE(SUBSTITUTE(SUBSTITUTE(" "&amp;TRIM(SUBSTITUTE(SUBSTITUTE(SUBSTITUTE(SUBSTITUTE(SUBSTITUTE(SUBSTITUTE(SUBSTITUTE(SUBSTITUTE(SUBSTITUTE(SUBSTITUTE(SUBSTITUTE(SUBSTITUTE(SUBSTITUTE(SUBSTITUTE(SUBSTITUTE(UPPER(TRIM(A989)),"[MEMBER]",""),"{MEMBER}",""),"[MEMBER}",""),"MEMBER]",""),"(A)",""),"""",""),"“",""),"”",""),".",""),":",""),",",""),"–"," "),"-"," "),"/"," "),"&amp;"," AND "))&amp;" "," THE "," ")," TOTAL "," ")," OPERATIONS "," "))</f>
        <v>MASOVIAN</v>
      </c>
      <c r="O989" s="17" t="str">
        <f aca="false">IF(COUNTIFS($N$2:$N$2000,N989,$D$2:$D$2000,"&lt;&gt;"&amp;D989)&gt;0,"CONFLICT","")</f>
        <v/>
      </c>
      <c r="P989" s="7"/>
    </row>
    <row r="990" customFormat="false" ht="15" hidden="false" customHeight="false" outlineLevel="0" collapsed="false">
      <c r="A990" s="7" t="s">
        <v>193</v>
      </c>
      <c r="B990" s="7" t="s">
        <v>1882</v>
      </c>
      <c r="C990" s="7" t="s">
        <v>193</v>
      </c>
      <c r="D990" s="6" t="s">
        <v>193</v>
      </c>
      <c r="E990" s="6" t="s">
        <v>1880</v>
      </c>
      <c r="F990" s="7" t="str">
        <f aca="false">IF($D990="","",IFERROR(IF(INDEX(Hierarchy!$B$2:$B$1295,MATCH($D990,Hierarchy!$A$2:$A$1295,0))="","",INDEX(Hierarchy!$B$2:$B$1295,MATCH($D990,Hierarchy!$A$2:$A$1295,0))),"NODE NOT FOUND"))</f>
        <v>State/Province</v>
      </c>
      <c r="G990" s="7" t="str">
        <f aca="false">IF($D990="","",IFERROR(IF(INDEX(Hierarchy!$D$2:$D$1295,MATCH($D990,Hierarchy!$A$2:$A$1295,0))="","",INDEX(Hierarchy!$D$2:$D$1295,MATCH($D990,Hierarchy!$A$2:$A$1295,0))),"NODE NOT FOUND"))</f>
        <v>AMER</v>
      </c>
      <c r="H990" s="7" t="str">
        <f aca="false">IF($D990="","",IFERROR(IF(INDEX(Hierarchy!$E$2:$E$1295,MATCH($D990,Hierarchy!$A$2:$A$1295,0))="","",INDEX(Hierarchy!$E$2:$E$1295,MATCH($D990,Hierarchy!$A$2:$A$1295,0))),"NODE NOT FOUND"))</f>
        <v>North America (NORAM)</v>
      </c>
      <c r="I990" s="7" t="str">
        <f aca="false">IF($D990="","",IFERROR(IF(INDEX(Hierarchy!$F$2:$F$1295,MATCH($D990,Hierarchy!$A$2:$A$1295,0))="","",INDEX(Hierarchy!$F$2:$F$1295,MATCH($D990,Hierarchy!$A$2:$A$1295,0))),"NODE NOT FOUND"))</f>
        <v>United States</v>
      </c>
      <c r="J990" s="7" t="str">
        <f aca="false">IF($D990="","",IFERROR(IF(INDEX(Hierarchy!$G$2:$G$1295,MATCH($D990,Hierarchy!$A$2:$A$1295,0))="","",INDEX(Hierarchy!$G$2:$G$1295,MATCH($D990,Hierarchy!$A$2:$A$1295,0))),"NODE NOT FOUND"))</f>
        <v>USA</v>
      </c>
      <c r="K990" s="7" t="str">
        <f aca="false">IF($D990="","",IFERROR(IF(INDEX(Hierarchy!$H$2:$H$1295,MATCH($D990,Hierarchy!$A$2:$A$1295,0))="","",INDEX(Hierarchy!$H$2:$H$1295,MATCH($D990,Hierarchy!$A$2:$A$1295,0))),"NODE NOT FOUND"))</f>
        <v>Massachusetts</v>
      </c>
      <c r="L990" s="7" t="str">
        <f aca="false">IF($D990="","",IFERROR(IF(INDEX(Hierarchy!$I$2:$I$1295,MATCH($D990,Hierarchy!$A$2:$A$1295,0))="","",INDEX(Hierarchy!$I$2:$I$1295,MATCH($D990,Hierarchy!$A$2:$A$1295,0))),"NODE NOT FOUND"))</f>
        <v/>
      </c>
      <c r="M990" s="17" t="str">
        <f aca="false">IF(B990="Pre-seeded","Pre-seeded",IF(B990="Review 2026-09-16","Added from review",IF(C990="","New",IF(C990=D990,"","Changed"))))</f>
        <v/>
      </c>
      <c r="N990" s="7" t="str">
        <f aca="false">TRIM(SUBSTITUTE(SUBSTITUTE(SUBSTITUTE(" "&amp;TRIM(SUBSTITUTE(SUBSTITUTE(SUBSTITUTE(SUBSTITUTE(SUBSTITUTE(SUBSTITUTE(SUBSTITUTE(SUBSTITUTE(SUBSTITUTE(SUBSTITUTE(SUBSTITUTE(SUBSTITUTE(SUBSTITUTE(SUBSTITUTE(SUBSTITUTE(UPPER(TRIM(A990)),"[MEMBER]",""),"{MEMBER}",""),"[MEMBER}",""),"MEMBER]",""),"(A)",""),"""",""),"“",""),"”",""),".",""),":",""),",",""),"–"," "),"-"," "),"/"," "),"&amp;"," AND "))&amp;" "," THE "," ")," TOTAL "," ")," OPERATIONS "," "))</f>
        <v>MASSACHUSETTS</v>
      </c>
      <c r="O990" s="17" t="str">
        <f aca="false">IF(COUNTIFS($N$2:$N$2000,N990,$D$2:$D$2000,"&lt;&gt;"&amp;D990)&gt;0,"CONFLICT","")</f>
        <v/>
      </c>
      <c r="P990" s="7"/>
    </row>
    <row r="991" customFormat="false" ht="15" hidden="false" customHeight="false" outlineLevel="0" collapsed="false">
      <c r="A991" s="7" t="s">
        <v>2380</v>
      </c>
      <c r="B991" s="7" t="s">
        <v>1882</v>
      </c>
      <c r="C991" s="7" t="s">
        <v>193</v>
      </c>
      <c r="D991" s="6" t="s">
        <v>193</v>
      </c>
      <c r="E991" s="6" t="s">
        <v>1880</v>
      </c>
      <c r="F991" s="7" t="str">
        <f aca="false">IF($D991="","",IFERROR(IF(INDEX(Hierarchy!$B$2:$B$1295,MATCH($D991,Hierarchy!$A$2:$A$1295,0))="","",INDEX(Hierarchy!$B$2:$B$1295,MATCH($D991,Hierarchy!$A$2:$A$1295,0))),"NODE NOT FOUND"))</f>
        <v>State/Province</v>
      </c>
      <c r="G991" s="7" t="str">
        <f aca="false">IF($D991="","",IFERROR(IF(INDEX(Hierarchy!$D$2:$D$1295,MATCH($D991,Hierarchy!$A$2:$A$1295,0))="","",INDEX(Hierarchy!$D$2:$D$1295,MATCH($D991,Hierarchy!$A$2:$A$1295,0))),"NODE NOT FOUND"))</f>
        <v>AMER</v>
      </c>
      <c r="H991" s="7" t="str">
        <f aca="false">IF($D991="","",IFERROR(IF(INDEX(Hierarchy!$E$2:$E$1295,MATCH($D991,Hierarchy!$A$2:$A$1295,0))="","",INDEX(Hierarchy!$E$2:$E$1295,MATCH($D991,Hierarchy!$A$2:$A$1295,0))),"NODE NOT FOUND"))</f>
        <v>North America (NORAM)</v>
      </c>
      <c r="I991" s="7" t="str">
        <f aca="false">IF($D991="","",IFERROR(IF(INDEX(Hierarchy!$F$2:$F$1295,MATCH($D991,Hierarchy!$A$2:$A$1295,0))="","",INDEX(Hierarchy!$F$2:$F$1295,MATCH($D991,Hierarchy!$A$2:$A$1295,0))),"NODE NOT FOUND"))</f>
        <v>United States</v>
      </c>
      <c r="J991" s="7" t="str">
        <f aca="false">IF($D991="","",IFERROR(IF(INDEX(Hierarchy!$G$2:$G$1295,MATCH($D991,Hierarchy!$A$2:$A$1295,0))="","",INDEX(Hierarchy!$G$2:$G$1295,MATCH($D991,Hierarchy!$A$2:$A$1295,0))),"NODE NOT FOUND"))</f>
        <v>USA</v>
      </c>
      <c r="K991" s="7" t="str">
        <f aca="false">IF($D991="","",IFERROR(IF(INDEX(Hierarchy!$H$2:$H$1295,MATCH($D991,Hierarchy!$A$2:$A$1295,0))="","",INDEX(Hierarchy!$H$2:$H$1295,MATCH($D991,Hierarchy!$A$2:$A$1295,0))),"NODE NOT FOUND"))</f>
        <v>Massachusetts</v>
      </c>
      <c r="L991" s="7" t="str">
        <f aca="false">IF($D991="","",IFERROR(IF(INDEX(Hierarchy!$I$2:$I$1295,MATCH($D991,Hierarchy!$A$2:$A$1295,0))="","",INDEX(Hierarchy!$I$2:$I$1295,MATCH($D991,Hierarchy!$A$2:$A$1295,0))),"NODE NOT FOUND"))</f>
        <v/>
      </c>
      <c r="M991" s="17" t="str">
        <f aca="false">IF(B991="Pre-seeded","Pre-seeded",IF(B991="Review 2026-09-16","Added from review",IF(C991="","New",IF(C991=D991,"","Changed"))))</f>
        <v/>
      </c>
      <c r="N991" s="7" t="str">
        <f aca="false">TRIM(SUBSTITUTE(SUBSTITUTE(SUBSTITUTE(" "&amp;TRIM(SUBSTITUTE(SUBSTITUTE(SUBSTITUTE(SUBSTITUTE(SUBSTITUTE(SUBSTITUTE(SUBSTITUTE(SUBSTITUTE(SUBSTITUTE(SUBSTITUTE(SUBSTITUTE(SUBSTITUTE(SUBSTITUTE(SUBSTITUTE(SUBSTITUTE(UPPER(TRIM(A991)),"[MEMBER]",""),"{MEMBER}",""),"[MEMBER}",""),"MEMBER]",""),"(A)",""),"""",""),"“",""),"”",""),".",""),":",""),",",""),"–"," "),"-"," "),"/"," "),"&amp;"," AND "))&amp;" "," THE "," ")," TOTAL "," ")," OPERATIONS "," "))</f>
        <v>MASSACHUSETTS</v>
      </c>
      <c r="O991" s="17" t="str">
        <f aca="false">IF(COUNTIFS($N$2:$N$2000,N991,$D$2:$D$2000,"&lt;&gt;"&amp;D991)&gt;0,"CONFLICT","")</f>
        <v/>
      </c>
      <c r="P991" s="7"/>
    </row>
    <row r="992" customFormat="false" ht="15" hidden="false" customHeight="false" outlineLevel="0" collapsed="false">
      <c r="A992" s="7" t="s">
        <v>357</v>
      </c>
      <c r="B992" s="7" t="s">
        <v>1879</v>
      </c>
      <c r="C992" s="7"/>
      <c r="D992" s="6" t="s">
        <v>357</v>
      </c>
      <c r="E992" s="6" t="s">
        <v>1880</v>
      </c>
      <c r="F992" s="7" t="str">
        <f aca="false">IF($D992="","",IFERROR(IF(INDEX(Hierarchy!$B$2:$B$1295,MATCH($D992,Hierarchy!$A$2:$A$1295,0))="","",INDEX(Hierarchy!$B$2:$B$1295,MATCH($D992,Hierarchy!$A$2:$A$1295,0))),"NODE NOT FOUND"))</f>
        <v>State/Province</v>
      </c>
      <c r="G992" s="7" t="str">
        <f aca="false">IF($D992="","",IFERROR(IF(INDEX(Hierarchy!$D$2:$D$1295,MATCH($D992,Hierarchy!$A$2:$A$1295,0))="","",INDEX(Hierarchy!$D$2:$D$1295,MATCH($D992,Hierarchy!$A$2:$A$1295,0))),"NODE NOT FOUND"))</f>
        <v>AMER</v>
      </c>
      <c r="H992" s="7" t="str">
        <f aca="false">IF($D992="","",IFERROR(IF(INDEX(Hierarchy!$E$2:$E$1295,MATCH($D992,Hierarchy!$A$2:$A$1295,0))="","",INDEX(Hierarchy!$E$2:$E$1295,MATCH($D992,Hierarchy!$A$2:$A$1295,0))),"NODE NOT FOUND"))</f>
        <v>Latin America (LATAM)</v>
      </c>
      <c r="I992" s="7" t="str">
        <f aca="false">IF($D992="","",IFERROR(IF(INDEX(Hierarchy!$F$2:$F$1295,MATCH($D992,Hierarchy!$A$2:$A$1295,0))="","",INDEX(Hierarchy!$F$2:$F$1295,MATCH($D992,Hierarchy!$A$2:$A$1295,0))),"NODE NOT FOUND"))</f>
        <v>Brazil</v>
      </c>
      <c r="J992" s="7" t="str">
        <f aca="false">IF($D992="","",IFERROR(IF(INDEX(Hierarchy!$G$2:$G$1295,MATCH($D992,Hierarchy!$A$2:$A$1295,0))="","",INDEX(Hierarchy!$G$2:$G$1295,MATCH($D992,Hierarchy!$A$2:$A$1295,0))),"NODE NOT FOUND"))</f>
        <v>BRA</v>
      </c>
      <c r="K992" s="7" t="str">
        <f aca="false">IF($D992="","",IFERROR(IF(INDEX(Hierarchy!$H$2:$H$1295,MATCH($D992,Hierarchy!$A$2:$A$1295,0))="","",INDEX(Hierarchy!$H$2:$H$1295,MATCH($D992,Hierarchy!$A$2:$A$1295,0))),"NODE NOT FOUND"))</f>
        <v>Mato Grosso</v>
      </c>
      <c r="L992" s="7" t="str">
        <f aca="false">IF($D992="","",IFERROR(IF(INDEX(Hierarchy!$I$2:$I$1295,MATCH($D992,Hierarchy!$A$2:$A$1295,0))="","",INDEX(Hierarchy!$I$2:$I$1295,MATCH($D992,Hierarchy!$A$2:$A$1295,0))),"NODE NOT FOUND"))</f>
        <v/>
      </c>
      <c r="M992" s="17" t="str">
        <f aca="false">IF(B992="Pre-seeded","Pre-seeded",IF(B992="Review 2026-09-16","Added from review",IF(C992="","New",IF(C992=D992,"","Changed"))))</f>
        <v>Pre-seeded</v>
      </c>
      <c r="N992" s="7" t="str">
        <f aca="false">TRIM(SUBSTITUTE(SUBSTITUTE(SUBSTITUTE(" "&amp;TRIM(SUBSTITUTE(SUBSTITUTE(SUBSTITUTE(SUBSTITUTE(SUBSTITUTE(SUBSTITUTE(SUBSTITUTE(SUBSTITUTE(SUBSTITUTE(SUBSTITUTE(SUBSTITUTE(SUBSTITUTE(SUBSTITUTE(SUBSTITUTE(SUBSTITUTE(UPPER(TRIM(A992)),"[MEMBER]",""),"{MEMBER}",""),"[MEMBER}",""),"MEMBER]",""),"(A)",""),"""",""),"“",""),"”",""),".",""),":",""),",",""),"–"," "),"-"," "),"/"," "),"&amp;"," AND "))&amp;" "," THE "," ")," TOTAL "," ")," OPERATIONS "," "))</f>
        <v>MATO GROSSO</v>
      </c>
      <c r="O992" s="17" t="str">
        <f aca="false">IF(COUNTIFS($N$2:$N$2000,N992,$D$2:$D$2000,"&lt;&gt;"&amp;D992)&gt;0,"CONFLICT","")</f>
        <v/>
      </c>
      <c r="P992" s="7"/>
    </row>
    <row r="993" customFormat="false" ht="15" hidden="false" customHeight="false" outlineLevel="0" collapsed="false">
      <c r="A993" s="7" t="s">
        <v>358</v>
      </c>
      <c r="B993" s="7" t="s">
        <v>1879</v>
      </c>
      <c r="C993" s="7"/>
      <c r="D993" s="6" t="s">
        <v>358</v>
      </c>
      <c r="E993" s="6" t="s">
        <v>1880</v>
      </c>
      <c r="F993" s="7" t="str">
        <f aca="false">IF($D993="","",IFERROR(IF(INDEX(Hierarchy!$B$2:$B$1295,MATCH($D993,Hierarchy!$A$2:$A$1295,0))="","",INDEX(Hierarchy!$B$2:$B$1295,MATCH($D993,Hierarchy!$A$2:$A$1295,0))),"NODE NOT FOUND"))</f>
        <v>State/Province</v>
      </c>
      <c r="G993" s="7" t="str">
        <f aca="false">IF($D993="","",IFERROR(IF(INDEX(Hierarchy!$D$2:$D$1295,MATCH($D993,Hierarchy!$A$2:$A$1295,0))="","",INDEX(Hierarchy!$D$2:$D$1295,MATCH($D993,Hierarchy!$A$2:$A$1295,0))),"NODE NOT FOUND"))</f>
        <v>AMER</v>
      </c>
      <c r="H993" s="7" t="str">
        <f aca="false">IF($D993="","",IFERROR(IF(INDEX(Hierarchy!$E$2:$E$1295,MATCH($D993,Hierarchy!$A$2:$A$1295,0))="","",INDEX(Hierarchy!$E$2:$E$1295,MATCH($D993,Hierarchy!$A$2:$A$1295,0))),"NODE NOT FOUND"))</f>
        <v>Latin America (LATAM)</v>
      </c>
      <c r="I993" s="7" t="str">
        <f aca="false">IF($D993="","",IFERROR(IF(INDEX(Hierarchy!$F$2:$F$1295,MATCH($D993,Hierarchy!$A$2:$A$1295,0))="","",INDEX(Hierarchy!$F$2:$F$1295,MATCH($D993,Hierarchy!$A$2:$A$1295,0))),"NODE NOT FOUND"))</f>
        <v>Brazil</v>
      </c>
      <c r="J993" s="7" t="str">
        <f aca="false">IF($D993="","",IFERROR(IF(INDEX(Hierarchy!$G$2:$G$1295,MATCH($D993,Hierarchy!$A$2:$A$1295,0))="","",INDEX(Hierarchy!$G$2:$G$1295,MATCH($D993,Hierarchy!$A$2:$A$1295,0))),"NODE NOT FOUND"))</f>
        <v>BRA</v>
      </c>
      <c r="K993" s="7" t="str">
        <f aca="false">IF($D993="","",IFERROR(IF(INDEX(Hierarchy!$H$2:$H$1295,MATCH($D993,Hierarchy!$A$2:$A$1295,0))="","",INDEX(Hierarchy!$H$2:$H$1295,MATCH($D993,Hierarchy!$A$2:$A$1295,0))),"NODE NOT FOUND"))</f>
        <v>Mato Grosso do Sul</v>
      </c>
      <c r="L993" s="7" t="str">
        <f aca="false">IF($D993="","",IFERROR(IF(INDEX(Hierarchy!$I$2:$I$1295,MATCH($D993,Hierarchy!$A$2:$A$1295,0))="","",INDEX(Hierarchy!$I$2:$I$1295,MATCH($D993,Hierarchy!$A$2:$A$1295,0))),"NODE NOT FOUND"))</f>
        <v/>
      </c>
      <c r="M993" s="17" t="str">
        <f aca="false">IF(B993="Pre-seeded","Pre-seeded",IF(B993="Review 2026-09-16","Added from review",IF(C993="","New",IF(C993=D993,"","Changed"))))</f>
        <v>Pre-seeded</v>
      </c>
      <c r="N993" s="7" t="str">
        <f aca="false">TRIM(SUBSTITUTE(SUBSTITUTE(SUBSTITUTE(" "&amp;TRIM(SUBSTITUTE(SUBSTITUTE(SUBSTITUTE(SUBSTITUTE(SUBSTITUTE(SUBSTITUTE(SUBSTITUTE(SUBSTITUTE(SUBSTITUTE(SUBSTITUTE(SUBSTITUTE(SUBSTITUTE(SUBSTITUTE(SUBSTITUTE(SUBSTITUTE(UPPER(TRIM(A993)),"[MEMBER]",""),"{MEMBER}",""),"[MEMBER}",""),"MEMBER]",""),"(A)",""),"""",""),"“",""),"”",""),".",""),":",""),",",""),"–"," "),"-"," "),"/"," "),"&amp;"," AND "))&amp;" "," THE "," ")," TOTAL "," ")," OPERATIONS "," "))</f>
        <v>MATO GROSSO DO SUL</v>
      </c>
      <c r="O993" s="17" t="str">
        <f aca="false">IF(COUNTIFS($N$2:$N$2000,N993,$D$2:$D$2000,"&lt;&gt;"&amp;D993)&gt;0,"CONFLICT","")</f>
        <v/>
      </c>
      <c r="P993" s="7"/>
    </row>
    <row r="994" customFormat="false" ht="15" hidden="false" customHeight="false" outlineLevel="0" collapsed="false">
      <c r="A994" s="7" t="s">
        <v>489</v>
      </c>
      <c r="B994" s="7" t="s">
        <v>1879</v>
      </c>
      <c r="C994" s="7"/>
      <c r="D994" s="6" t="s">
        <v>489</v>
      </c>
      <c r="E994" s="6" t="s">
        <v>1880</v>
      </c>
      <c r="F994" s="7" t="str">
        <f aca="false">IF($D994="","",IFERROR(IF(INDEX(Hierarchy!$B$2:$B$1295,MATCH($D994,Hierarchy!$A$2:$A$1295,0))="","",INDEX(Hierarchy!$B$2:$B$1295,MATCH($D994,Hierarchy!$A$2:$A$1295,0))),"NODE NOT FOUND"))</f>
        <v>State/Province</v>
      </c>
      <c r="G994" s="7" t="str">
        <f aca="false">IF($D994="","",IFERROR(IF(INDEX(Hierarchy!$D$2:$D$1295,MATCH($D994,Hierarchy!$A$2:$A$1295,0))="","",INDEX(Hierarchy!$D$2:$D$1295,MATCH($D994,Hierarchy!$A$2:$A$1295,0))),"NODE NOT FOUND"))</f>
        <v>AMER</v>
      </c>
      <c r="H994" s="7" t="str">
        <f aca="false">IF($D994="","",IFERROR(IF(INDEX(Hierarchy!$E$2:$E$1295,MATCH($D994,Hierarchy!$A$2:$A$1295,0))="","",INDEX(Hierarchy!$E$2:$E$1295,MATCH($D994,Hierarchy!$A$2:$A$1295,0))),"NODE NOT FOUND"))</f>
        <v>Latin America (LATAM)</v>
      </c>
      <c r="I994" s="7" t="str">
        <f aca="false">IF($D994="","",IFERROR(IF(INDEX(Hierarchy!$F$2:$F$1295,MATCH($D994,Hierarchy!$A$2:$A$1295,0))="","",INDEX(Hierarchy!$F$2:$F$1295,MATCH($D994,Hierarchy!$A$2:$A$1295,0))),"NODE NOT FOUND"))</f>
        <v>Chile</v>
      </c>
      <c r="J994" s="7" t="str">
        <f aca="false">IF($D994="","",IFERROR(IF(INDEX(Hierarchy!$G$2:$G$1295,MATCH($D994,Hierarchy!$A$2:$A$1295,0))="","",INDEX(Hierarchy!$G$2:$G$1295,MATCH($D994,Hierarchy!$A$2:$A$1295,0))),"NODE NOT FOUND"))</f>
        <v>CHL</v>
      </c>
      <c r="K994" s="7" t="str">
        <f aca="false">IF($D994="","",IFERROR(IF(INDEX(Hierarchy!$H$2:$H$1295,MATCH($D994,Hierarchy!$A$2:$A$1295,0))="","",INDEX(Hierarchy!$H$2:$H$1295,MATCH($D994,Hierarchy!$A$2:$A$1295,0))),"NODE NOT FOUND"))</f>
        <v>Maule</v>
      </c>
      <c r="L994" s="7" t="str">
        <f aca="false">IF($D994="","",IFERROR(IF(INDEX(Hierarchy!$I$2:$I$1295,MATCH($D994,Hierarchy!$A$2:$A$1295,0))="","",INDEX(Hierarchy!$I$2:$I$1295,MATCH($D994,Hierarchy!$A$2:$A$1295,0))),"NODE NOT FOUND"))</f>
        <v/>
      </c>
      <c r="M994" s="17" t="str">
        <f aca="false">IF(B994="Pre-seeded","Pre-seeded",IF(B994="Review 2026-09-16","Added from review",IF(C994="","New",IF(C994=D994,"","Changed"))))</f>
        <v>Pre-seeded</v>
      </c>
      <c r="N994" s="7" t="str">
        <f aca="false">TRIM(SUBSTITUTE(SUBSTITUTE(SUBSTITUTE(" "&amp;TRIM(SUBSTITUTE(SUBSTITUTE(SUBSTITUTE(SUBSTITUTE(SUBSTITUTE(SUBSTITUTE(SUBSTITUTE(SUBSTITUTE(SUBSTITUTE(SUBSTITUTE(SUBSTITUTE(SUBSTITUTE(SUBSTITUTE(SUBSTITUTE(SUBSTITUTE(UPPER(TRIM(A994)),"[MEMBER]",""),"{MEMBER}",""),"[MEMBER}",""),"MEMBER]",""),"(A)",""),"""",""),"“",""),"”",""),".",""),":",""),",",""),"–"," "),"-"," "),"/"," "),"&amp;"," AND "))&amp;" "," THE "," ")," TOTAL "," ")," OPERATIONS "," "))</f>
        <v>MAULE</v>
      </c>
      <c r="O994" s="17" t="str">
        <f aca="false">IF(COUNTIFS($N$2:$N$2000,N994,$D$2:$D$2000,"&lt;&gt;"&amp;D994)&gt;0,"CONFLICT","")</f>
        <v/>
      </c>
      <c r="P994" s="7"/>
    </row>
    <row r="995" customFormat="false" ht="15" hidden="false" customHeight="false" outlineLevel="0" collapsed="false">
      <c r="A995" s="7" t="s">
        <v>1254</v>
      </c>
      <c r="B995" s="7" t="s">
        <v>1882</v>
      </c>
      <c r="C995" s="7" t="s">
        <v>1254</v>
      </c>
      <c r="D995" s="6" t="s">
        <v>1254</v>
      </c>
      <c r="E995" s="6" t="s">
        <v>1880</v>
      </c>
      <c r="F995" s="7" t="str">
        <f aca="false">IF($D995="","",IFERROR(IF(INDEX(Hierarchy!$B$2:$B$1295,MATCH($D995,Hierarchy!$A$2:$A$1295,0))="","",INDEX(Hierarchy!$B$2:$B$1295,MATCH($D995,Hierarchy!$A$2:$A$1295,0))),"NODE NOT FOUND"))</f>
        <v>Country</v>
      </c>
      <c r="G995" s="7" t="str">
        <f aca="false">IF($D995="","",IFERROR(IF(INDEX(Hierarchy!$D$2:$D$1295,MATCH($D995,Hierarchy!$A$2:$A$1295,0))="","",INDEX(Hierarchy!$D$2:$D$1295,MATCH($D995,Hierarchy!$A$2:$A$1295,0))),"NODE NOT FOUND"))</f>
        <v>EMEA</v>
      </c>
      <c r="H995" s="7" t="str">
        <f aca="false">IF($D995="","",IFERROR(IF(INDEX(Hierarchy!$E$2:$E$1295,MATCH($D995,Hierarchy!$A$2:$A$1295,0))="","",INDEX(Hierarchy!$E$2:$E$1295,MATCH($D995,Hierarchy!$A$2:$A$1295,0))),"NODE NOT FOUND"))</f>
        <v>Africa</v>
      </c>
      <c r="I995" s="7" t="str">
        <f aca="false">IF($D995="","",IFERROR(IF(INDEX(Hierarchy!$F$2:$F$1295,MATCH($D995,Hierarchy!$A$2:$A$1295,0))="","",INDEX(Hierarchy!$F$2:$F$1295,MATCH($D995,Hierarchy!$A$2:$A$1295,0))),"NODE NOT FOUND"))</f>
        <v>Mauritania</v>
      </c>
      <c r="J995" s="7" t="str">
        <f aca="false">IF($D995="","",IFERROR(IF(INDEX(Hierarchy!$G$2:$G$1295,MATCH($D995,Hierarchy!$A$2:$A$1295,0))="","",INDEX(Hierarchy!$G$2:$G$1295,MATCH($D995,Hierarchy!$A$2:$A$1295,0))),"NODE NOT FOUND"))</f>
        <v>MRT</v>
      </c>
      <c r="K995" s="7" t="str">
        <f aca="false">IF($D995="","",IFERROR(IF(INDEX(Hierarchy!$H$2:$H$1295,MATCH($D995,Hierarchy!$A$2:$A$1295,0))="","",INDEX(Hierarchy!$H$2:$H$1295,MATCH($D995,Hierarchy!$A$2:$A$1295,0))),"NODE NOT FOUND"))</f>
        <v/>
      </c>
      <c r="L995" s="7" t="str">
        <f aca="false">IF($D995="","",IFERROR(IF(INDEX(Hierarchy!$I$2:$I$1295,MATCH($D995,Hierarchy!$A$2:$A$1295,0))="","",INDEX(Hierarchy!$I$2:$I$1295,MATCH($D995,Hierarchy!$A$2:$A$1295,0))),"NODE NOT FOUND"))</f>
        <v/>
      </c>
      <c r="M995" s="17" t="str">
        <f aca="false">IF(B995="Pre-seeded","Pre-seeded",IF(B995="Review 2026-09-16","Added from review",IF(C995="","New",IF(C995=D995,"","Changed"))))</f>
        <v/>
      </c>
      <c r="N995" s="7" t="str">
        <f aca="false">TRIM(SUBSTITUTE(SUBSTITUTE(SUBSTITUTE(" "&amp;TRIM(SUBSTITUTE(SUBSTITUTE(SUBSTITUTE(SUBSTITUTE(SUBSTITUTE(SUBSTITUTE(SUBSTITUTE(SUBSTITUTE(SUBSTITUTE(SUBSTITUTE(SUBSTITUTE(SUBSTITUTE(SUBSTITUTE(SUBSTITUTE(SUBSTITUTE(UPPER(TRIM(A995)),"[MEMBER]",""),"{MEMBER}",""),"[MEMBER}",""),"MEMBER]",""),"(A)",""),"""",""),"“",""),"”",""),".",""),":",""),",",""),"–"," "),"-"," "),"/"," "),"&amp;"," AND "))&amp;" "," THE "," ")," TOTAL "," ")," OPERATIONS "," "))</f>
        <v>MAURITANIA</v>
      </c>
      <c r="O995" s="17" t="str">
        <f aca="false">IF(COUNTIFS($N$2:$N$2000,N995,$D$2:$D$2000,"&lt;&gt;"&amp;D995)&gt;0,"CONFLICT","")</f>
        <v/>
      </c>
      <c r="P995" s="7"/>
    </row>
    <row r="996" customFormat="false" ht="15" hidden="false" customHeight="false" outlineLevel="0" collapsed="false">
      <c r="A996" s="7" t="s">
        <v>1257</v>
      </c>
      <c r="B996" s="7" t="s">
        <v>1879</v>
      </c>
      <c r="C996" s="7"/>
      <c r="D996" s="6" t="s">
        <v>1257</v>
      </c>
      <c r="E996" s="6" t="s">
        <v>1880</v>
      </c>
      <c r="F996" s="7" t="str">
        <f aca="false">IF($D996="","",IFERROR(IF(INDEX(Hierarchy!$B$2:$B$1295,MATCH($D996,Hierarchy!$A$2:$A$1295,0))="","",INDEX(Hierarchy!$B$2:$B$1295,MATCH($D996,Hierarchy!$A$2:$A$1295,0))),"NODE NOT FOUND"))</f>
        <v>Country</v>
      </c>
      <c r="G996" s="7" t="str">
        <f aca="false">IF($D996="","",IFERROR(IF(INDEX(Hierarchy!$D$2:$D$1295,MATCH($D996,Hierarchy!$A$2:$A$1295,0))="","",INDEX(Hierarchy!$D$2:$D$1295,MATCH($D996,Hierarchy!$A$2:$A$1295,0))),"NODE NOT FOUND"))</f>
        <v>EMEA</v>
      </c>
      <c r="H996" s="7" t="str">
        <f aca="false">IF($D996="","",IFERROR(IF(INDEX(Hierarchy!$E$2:$E$1295,MATCH($D996,Hierarchy!$A$2:$A$1295,0))="","",INDEX(Hierarchy!$E$2:$E$1295,MATCH($D996,Hierarchy!$A$2:$A$1295,0))),"NODE NOT FOUND"))</f>
        <v>Africa</v>
      </c>
      <c r="I996" s="7" t="str">
        <f aca="false">IF($D996="","",IFERROR(IF(INDEX(Hierarchy!$F$2:$F$1295,MATCH($D996,Hierarchy!$A$2:$A$1295,0))="","",INDEX(Hierarchy!$F$2:$F$1295,MATCH($D996,Hierarchy!$A$2:$A$1295,0))),"NODE NOT FOUND"))</f>
        <v>Mauritius</v>
      </c>
      <c r="J996" s="7" t="str">
        <f aca="false">IF($D996="","",IFERROR(IF(INDEX(Hierarchy!$G$2:$G$1295,MATCH($D996,Hierarchy!$A$2:$A$1295,0))="","",INDEX(Hierarchy!$G$2:$G$1295,MATCH($D996,Hierarchy!$A$2:$A$1295,0))),"NODE NOT FOUND"))</f>
        <v>MUS</v>
      </c>
      <c r="K996" s="7" t="str">
        <f aca="false">IF($D996="","",IFERROR(IF(INDEX(Hierarchy!$H$2:$H$1295,MATCH($D996,Hierarchy!$A$2:$A$1295,0))="","",INDEX(Hierarchy!$H$2:$H$1295,MATCH($D996,Hierarchy!$A$2:$A$1295,0))),"NODE NOT FOUND"))</f>
        <v/>
      </c>
      <c r="L996" s="7" t="str">
        <f aca="false">IF($D996="","",IFERROR(IF(INDEX(Hierarchy!$I$2:$I$1295,MATCH($D996,Hierarchy!$A$2:$A$1295,0))="","",INDEX(Hierarchy!$I$2:$I$1295,MATCH($D996,Hierarchy!$A$2:$A$1295,0))),"NODE NOT FOUND"))</f>
        <v/>
      </c>
      <c r="M996" s="17" t="str">
        <f aca="false">IF(B996="Pre-seeded","Pre-seeded",IF(B996="Review 2026-09-16","Added from review",IF(C996="","New",IF(C996=D996,"","Changed"))))</f>
        <v>Pre-seeded</v>
      </c>
      <c r="N996" s="7" t="str">
        <f aca="false">TRIM(SUBSTITUTE(SUBSTITUTE(SUBSTITUTE(" "&amp;TRIM(SUBSTITUTE(SUBSTITUTE(SUBSTITUTE(SUBSTITUTE(SUBSTITUTE(SUBSTITUTE(SUBSTITUTE(SUBSTITUTE(SUBSTITUTE(SUBSTITUTE(SUBSTITUTE(SUBSTITUTE(SUBSTITUTE(SUBSTITUTE(SUBSTITUTE(UPPER(TRIM(A996)),"[MEMBER]",""),"{MEMBER}",""),"[MEMBER}",""),"MEMBER]",""),"(A)",""),"""",""),"“",""),"”",""),".",""),":",""),",",""),"–"," "),"-"," "),"/"," "),"&amp;"," AND "))&amp;" "," THE "," ")," TOTAL "," ")," OPERATIONS "," "))</f>
        <v>MAURITIUS</v>
      </c>
      <c r="O996" s="17" t="str">
        <f aca="false">IF(COUNTIFS($N$2:$N$2000,N996,$D$2:$D$2000,"&lt;&gt;"&amp;D996)&gt;0,"CONFLICT","")</f>
        <v/>
      </c>
      <c r="P996" s="7"/>
    </row>
    <row r="997" customFormat="false" ht="15" hidden="false" customHeight="false" outlineLevel="0" collapsed="false">
      <c r="A997" s="7" t="s">
        <v>1260</v>
      </c>
      <c r="B997" s="7" t="s">
        <v>1879</v>
      </c>
      <c r="C997" s="7"/>
      <c r="D997" s="6" t="s">
        <v>1260</v>
      </c>
      <c r="E997" s="6" t="s">
        <v>1880</v>
      </c>
      <c r="F997" s="7" t="str">
        <f aca="false">IF($D997="","",IFERROR(IF(INDEX(Hierarchy!$B$2:$B$1295,MATCH($D997,Hierarchy!$A$2:$A$1295,0))="","",INDEX(Hierarchy!$B$2:$B$1295,MATCH($D997,Hierarchy!$A$2:$A$1295,0))),"NODE NOT FOUND"))</f>
        <v>Country</v>
      </c>
      <c r="G997" s="7" t="str">
        <f aca="false">IF($D997="","",IFERROR(IF(INDEX(Hierarchy!$D$2:$D$1295,MATCH($D997,Hierarchy!$A$2:$A$1295,0))="","",INDEX(Hierarchy!$D$2:$D$1295,MATCH($D997,Hierarchy!$A$2:$A$1295,0))),"NODE NOT FOUND"))</f>
        <v>EMEA</v>
      </c>
      <c r="H997" s="7" t="str">
        <f aca="false">IF($D997="","",IFERROR(IF(INDEX(Hierarchy!$E$2:$E$1295,MATCH($D997,Hierarchy!$A$2:$A$1295,0))="","",INDEX(Hierarchy!$E$2:$E$1295,MATCH($D997,Hierarchy!$A$2:$A$1295,0))),"NODE NOT FOUND"))</f>
        <v>Africa</v>
      </c>
      <c r="I997" s="7" t="str">
        <f aca="false">IF($D997="","",IFERROR(IF(INDEX(Hierarchy!$F$2:$F$1295,MATCH($D997,Hierarchy!$A$2:$A$1295,0))="","",INDEX(Hierarchy!$F$2:$F$1295,MATCH($D997,Hierarchy!$A$2:$A$1295,0))),"NODE NOT FOUND"))</f>
        <v>Mayotte</v>
      </c>
      <c r="J997" s="7" t="str">
        <f aca="false">IF($D997="","",IFERROR(IF(INDEX(Hierarchy!$G$2:$G$1295,MATCH($D997,Hierarchy!$A$2:$A$1295,0))="","",INDEX(Hierarchy!$G$2:$G$1295,MATCH($D997,Hierarchy!$A$2:$A$1295,0))),"NODE NOT FOUND"))</f>
        <v>MYT</v>
      </c>
      <c r="K997" s="7" t="str">
        <f aca="false">IF($D997="","",IFERROR(IF(INDEX(Hierarchy!$H$2:$H$1295,MATCH($D997,Hierarchy!$A$2:$A$1295,0))="","",INDEX(Hierarchy!$H$2:$H$1295,MATCH($D997,Hierarchy!$A$2:$A$1295,0))),"NODE NOT FOUND"))</f>
        <v/>
      </c>
      <c r="L997" s="7" t="str">
        <f aca="false">IF($D997="","",IFERROR(IF(INDEX(Hierarchy!$I$2:$I$1295,MATCH($D997,Hierarchy!$A$2:$A$1295,0))="","",INDEX(Hierarchy!$I$2:$I$1295,MATCH($D997,Hierarchy!$A$2:$A$1295,0))),"NODE NOT FOUND"))</f>
        <v/>
      </c>
      <c r="M997" s="17" t="str">
        <f aca="false">IF(B997="Pre-seeded","Pre-seeded",IF(B997="Review 2026-09-16","Added from review",IF(C997="","New",IF(C997=D997,"","Changed"))))</f>
        <v>Pre-seeded</v>
      </c>
      <c r="N997" s="7" t="str">
        <f aca="false">TRIM(SUBSTITUTE(SUBSTITUTE(SUBSTITUTE(" "&amp;TRIM(SUBSTITUTE(SUBSTITUTE(SUBSTITUTE(SUBSTITUTE(SUBSTITUTE(SUBSTITUTE(SUBSTITUTE(SUBSTITUTE(SUBSTITUTE(SUBSTITUTE(SUBSTITUTE(SUBSTITUTE(SUBSTITUTE(SUBSTITUTE(SUBSTITUTE(UPPER(TRIM(A997)),"[MEMBER]",""),"{MEMBER}",""),"[MEMBER}",""),"MEMBER]",""),"(A)",""),"""",""),"“",""),"”",""),".",""),":",""),",",""),"–"," "),"-"," "),"/"," "),"&amp;"," AND "))&amp;" "," THE "," ")," TOTAL "," ")," OPERATIONS "," "))</f>
        <v>MAYOTTE</v>
      </c>
      <c r="O997" s="17" t="str">
        <f aca="false">IF(COUNTIFS($N$2:$N$2000,N997,$D$2:$D$2000,"&lt;&gt;"&amp;D997)&gt;0,"CONFLICT","")</f>
        <v/>
      </c>
      <c r="P997" s="7"/>
    </row>
    <row r="998" customFormat="false" ht="15" hidden="false" customHeight="false" outlineLevel="0" collapsed="false">
      <c r="A998" s="7" t="s">
        <v>2381</v>
      </c>
      <c r="B998" s="7" t="s">
        <v>1879</v>
      </c>
      <c r="C998" s="7"/>
      <c r="D998" s="6" t="s">
        <v>916</v>
      </c>
      <c r="E998" s="6" t="s">
        <v>1880</v>
      </c>
      <c r="F998" s="7" t="str">
        <f aca="false">IF($D998="","",IFERROR(IF(INDEX(Hierarchy!$B$2:$B$1295,MATCH($D998,Hierarchy!$A$2:$A$1295,0))="","",INDEX(Hierarchy!$B$2:$B$1295,MATCH($D998,Hierarchy!$A$2:$A$1295,0))),"NODE NOT FOUND"))</f>
        <v>State/Province</v>
      </c>
      <c r="G998" s="7" t="str">
        <f aca="false">IF($D998="","",IFERROR(IF(INDEX(Hierarchy!$D$2:$D$1295,MATCH($D998,Hierarchy!$A$2:$A$1295,0))="","",INDEX(Hierarchy!$D$2:$D$1295,MATCH($D998,Hierarchy!$A$2:$A$1295,0))),"NODE NOT FOUND"))</f>
        <v>EMEA</v>
      </c>
      <c r="H998" s="7" t="str">
        <f aca="false">IF($D998="","",IFERROR(IF(INDEX(Hierarchy!$E$2:$E$1295,MATCH($D998,Hierarchy!$A$2:$A$1295,0))="","",INDEX(Hierarchy!$E$2:$E$1295,MATCH($D998,Hierarchy!$A$2:$A$1295,0))),"NODE NOT FOUND"))</f>
        <v>Europe</v>
      </c>
      <c r="I998" s="7" t="str">
        <f aca="false">IF($D998="","",IFERROR(IF(INDEX(Hierarchy!$F$2:$F$1295,MATCH($D998,Hierarchy!$A$2:$A$1295,0))="","",INDEX(Hierarchy!$F$2:$F$1295,MATCH($D998,Hierarchy!$A$2:$A$1295,0))),"NODE NOT FOUND"))</f>
        <v>Poland</v>
      </c>
      <c r="J998" s="7" t="str">
        <f aca="false">IF($D998="","",IFERROR(IF(INDEX(Hierarchy!$G$2:$G$1295,MATCH($D998,Hierarchy!$A$2:$A$1295,0))="","",INDEX(Hierarchy!$G$2:$G$1295,MATCH($D998,Hierarchy!$A$2:$A$1295,0))),"NODE NOT FOUND"))</f>
        <v>POL</v>
      </c>
      <c r="K998" s="7" t="str">
        <f aca="false">IF($D998="","",IFERROR(IF(INDEX(Hierarchy!$H$2:$H$1295,MATCH($D998,Hierarchy!$A$2:$A$1295,0))="","",INDEX(Hierarchy!$H$2:$H$1295,MATCH($D998,Hierarchy!$A$2:$A$1295,0))),"NODE NOT FOUND"))</f>
        <v>Masovian</v>
      </c>
      <c r="L998" s="7" t="str">
        <f aca="false">IF($D998="","",IFERROR(IF(INDEX(Hierarchy!$I$2:$I$1295,MATCH($D998,Hierarchy!$A$2:$A$1295,0))="","",INDEX(Hierarchy!$I$2:$I$1295,MATCH($D998,Hierarchy!$A$2:$A$1295,0))),"NODE NOT FOUND"))</f>
        <v/>
      </c>
      <c r="M998" s="17" t="str">
        <f aca="false">IF(B998="Pre-seeded","Pre-seeded",IF(B998="Review 2026-09-16","Added from review",IF(C998="","New",IF(C998=D998,"","Changed"))))</f>
        <v>Pre-seeded</v>
      </c>
      <c r="N998" s="7" t="str">
        <f aca="false">TRIM(SUBSTITUTE(SUBSTITUTE(SUBSTITUTE(" "&amp;TRIM(SUBSTITUTE(SUBSTITUTE(SUBSTITUTE(SUBSTITUTE(SUBSTITUTE(SUBSTITUTE(SUBSTITUTE(SUBSTITUTE(SUBSTITUTE(SUBSTITUTE(SUBSTITUTE(SUBSTITUTE(SUBSTITUTE(SUBSTITUTE(SUBSTITUTE(UPPER(TRIM(A998)),"[MEMBER]",""),"{MEMBER}",""),"[MEMBER}",""),"MEMBER]",""),"(A)",""),"""",""),"“",""),"”",""),".",""),":",""),",",""),"–"," "),"-"," "),"/"," "),"&amp;"," AND "))&amp;" "," THE "," ")," TOTAL "," ")," OPERATIONS "," "))</f>
        <v>MAZOWIECKIE</v>
      </c>
      <c r="O998" s="17" t="str">
        <f aca="false">IF(COUNTIFS($N$2:$N$2000,N998,$D$2:$D$2000,"&lt;&gt;"&amp;D998)&gt;0,"CONFLICT","")</f>
        <v/>
      </c>
      <c r="P998" s="7"/>
    </row>
    <row r="999" customFormat="false" ht="15" hidden="false" customHeight="false" outlineLevel="0" collapsed="false">
      <c r="A999" s="7" t="s">
        <v>2382</v>
      </c>
      <c r="B999" s="7" t="s">
        <v>1885</v>
      </c>
      <c r="C999" s="7" t="s">
        <v>2032</v>
      </c>
      <c r="D999" s="6" t="s">
        <v>1784</v>
      </c>
      <c r="E999" s="6" t="s">
        <v>1880</v>
      </c>
      <c r="F999" s="7" t="str">
        <f aca="false">IF($D999="","",IFERROR(IF(INDEX(Hierarchy!$B$2:$B$1295,MATCH($D999,Hierarchy!$A$2:$A$1295,0))="","",INDEX(Hierarchy!$B$2:$B$1295,MATCH($D999,Hierarchy!$A$2:$A$1295,0))),"NODE NOT FOUND"))</f>
        <v>Bucket</v>
      </c>
      <c r="G999" s="7" t="str">
        <f aca="false">IF($D999="","",IFERROR(IF(INDEX(Hierarchy!$D$2:$D$1295,MATCH($D999,Hierarchy!$A$2:$A$1295,0))="","",INDEX(Hierarchy!$D$2:$D$1295,MATCH($D999,Hierarchy!$A$2:$A$1295,0))),"NODE NOT FOUND"))</f>
        <v>Non-regional</v>
      </c>
      <c r="H999" s="7" t="str">
        <f aca="false">IF($D999="","",IFERROR(IF(INDEX(Hierarchy!$E$2:$E$1295,MATCH($D999,Hierarchy!$A$2:$A$1295,0))="","",INDEX(Hierarchy!$E$2:$E$1295,MATCH($D999,Hierarchy!$A$2:$A$1295,0))),"NODE NOT FOUND"))</f>
        <v/>
      </c>
      <c r="I999" s="7" t="str">
        <f aca="false">IF($D999="","",IFERROR(IF(INDEX(Hierarchy!$F$2:$F$1295,MATCH($D999,Hierarchy!$A$2:$A$1295,0))="","",INDEX(Hierarchy!$F$2:$F$1295,MATCH($D999,Hierarchy!$A$2:$A$1295,0))),"NODE NOT FOUND"))</f>
        <v/>
      </c>
      <c r="J999" s="7" t="str">
        <f aca="false">IF($D999="","",IFERROR(IF(INDEX(Hierarchy!$G$2:$G$1295,MATCH($D999,Hierarchy!$A$2:$A$1295,0))="","",INDEX(Hierarchy!$G$2:$G$1295,MATCH($D999,Hierarchy!$A$2:$A$1295,0))),"NODE NOT FOUND"))</f>
        <v/>
      </c>
      <c r="K999" s="7" t="str">
        <f aca="false">IF($D999="","",IFERROR(IF(INDEX(Hierarchy!$H$2:$H$1295,MATCH($D999,Hierarchy!$A$2:$A$1295,0))="","",INDEX(Hierarchy!$H$2:$H$1295,MATCH($D999,Hierarchy!$A$2:$A$1295,0))),"NODE NOT FOUND"))</f>
        <v/>
      </c>
      <c r="L999" s="7" t="str">
        <f aca="false">IF($D999="","",IFERROR(IF(INDEX(Hierarchy!$I$2:$I$1295,MATCH($D999,Hierarchy!$A$2:$A$1295,0))="","",INDEX(Hierarchy!$I$2:$I$1295,MATCH($D999,Hierarchy!$A$2:$A$1295,0))),"NODE NOT FOUND"))</f>
        <v/>
      </c>
      <c r="M999" s="17" t="str">
        <f aca="false">IF(B999="Pre-seeded","Pre-seeded",IF(B999="Review 2026-09-16","Added from review",IF(C999="","New",IF(C999=D999,"","Changed"))))</f>
        <v>Changed</v>
      </c>
      <c r="N999" s="7" t="str">
        <f aca="false">TRIM(SUBSTITUTE(SUBSTITUTE(SUBSTITUTE(" "&amp;TRIM(SUBSTITUTE(SUBSTITUTE(SUBSTITUTE(SUBSTITUTE(SUBSTITUTE(SUBSTITUTE(SUBSTITUTE(SUBSTITUTE(SUBSTITUTE(SUBSTITUTE(SUBSTITUTE(SUBSTITUTE(SUBSTITUTE(SUBSTITUTE(SUBSTITUTE(UPPER(TRIM(A999)),"[MEMBER]",""),"{MEMBER}",""),"[MEMBER}",""),"MEMBER]",""),"(A)",""),"""",""),"“",""),"”",""),".",""),":",""),",",""),"–"," "),"-"," "),"/"," "),"&amp;"," AND "))&amp;" "," THE "," ")," TOTAL "," ")," OPERATIONS "," "))</f>
        <v>MCI</v>
      </c>
      <c r="O999" s="17" t="str">
        <f aca="false">IF(COUNTIFS($N$2:$N$2000,N999,$D$2:$D$2000,"&lt;&gt;"&amp;D999)&gt;0,"CONFLICT","")</f>
        <v/>
      </c>
      <c r="P999" s="7" t="s">
        <v>2383</v>
      </c>
    </row>
    <row r="1000" customFormat="false" ht="15" hidden="false" customHeight="false" outlineLevel="0" collapsed="false">
      <c r="A1000" s="7" t="s">
        <v>2384</v>
      </c>
      <c r="B1000" s="7" t="s">
        <v>1879</v>
      </c>
      <c r="C1000" s="7"/>
      <c r="D1000" s="6" t="s">
        <v>620</v>
      </c>
      <c r="E1000" s="6" t="s">
        <v>1880</v>
      </c>
      <c r="F1000" s="7" t="str">
        <f aca="false">IF($D1000="","",IFERROR(IF(INDEX(Hierarchy!$B$2:$B$1295,MATCH($D1000,Hierarchy!$A$2:$A$1295,0))="","",INDEX(Hierarchy!$B$2:$B$1295,MATCH($D1000,Hierarchy!$A$2:$A$1295,0))),"NODE NOT FOUND"))</f>
        <v>Sub-region group</v>
      </c>
      <c r="G1000" s="7" t="str">
        <f aca="false">IF($D1000="","",IFERROR(IF(INDEX(Hierarchy!$D$2:$D$1295,MATCH($D1000,Hierarchy!$A$2:$A$1295,0))="","",INDEX(Hierarchy!$D$2:$D$1295,MATCH($D1000,Hierarchy!$A$2:$A$1295,0))),"NODE NOT FOUND"))</f>
        <v>EMEA</v>
      </c>
      <c r="H1000" s="7" t="str">
        <f aca="false">IF($D1000="","",IFERROR(IF(INDEX(Hierarchy!$E$2:$E$1295,MATCH($D1000,Hierarchy!$A$2:$A$1295,0))="","",INDEX(Hierarchy!$E$2:$E$1295,MATCH($D1000,Hierarchy!$A$2:$A$1295,0))),"NODE NOT FOUND"))</f>
        <v/>
      </c>
      <c r="I1000" s="7" t="str">
        <f aca="false">IF($D1000="","",IFERROR(IF(INDEX(Hierarchy!$F$2:$F$1295,MATCH($D1000,Hierarchy!$A$2:$A$1295,0))="","",INDEX(Hierarchy!$F$2:$F$1295,MATCH($D1000,Hierarchy!$A$2:$A$1295,0))),"NODE NOT FOUND"))</f>
        <v/>
      </c>
      <c r="J1000" s="7" t="str">
        <f aca="false">IF($D1000="","",IFERROR(IF(INDEX(Hierarchy!$G$2:$G$1295,MATCH($D1000,Hierarchy!$A$2:$A$1295,0))="","",INDEX(Hierarchy!$G$2:$G$1295,MATCH($D1000,Hierarchy!$A$2:$A$1295,0))),"NODE NOT FOUND"))</f>
        <v/>
      </c>
      <c r="K1000" s="7" t="str">
        <f aca="false">IF($D1000="","",IFERROR(IF(INDEX(Hierarchy!$H$2:$H$1295,MATCH($D1000,Hierarchy!$A$2:$A$1295,0))="","",INDEX(Hierarchy!$H$2:$H$1295,MATCH($D1000,Hierarchy!$A$2:$A$1295,0))),"NODE NOT FOUND"))</f>
        <v/>
      </c>
      <c r="L1000" s="7" t="str">
        <f aca="false">IF($D1000="","",IFERROR(IF(INDEX(Hierarchy!$I$2:$I$1295,MATCH($D1000,Hierarchy!$A$2:$A$1295,0))="","",INDEX(Hierarchy!$I$2:$I$1295,MATCH($D1000,Hierarchy!$A$2:$A$1295,0))),"NODE NOT FOUND"))</f>
        <v/>
      </c>
      <c r="M1000" s="17" t="str">
        <f aca="false">IF(B1000="Pre-seeded","Pre-seeded",IF(B1000="Review 2026-09-16","Added from review",IF(C1000="","New",IF(C1000=D1000,"","Changed"))))</f>
        <v>Pre-seeded</v>
      </c>
      <c r="N1000" s="7" t="str">
        <f aca="false">TRIM(SUBSTITUTE(SUBSTITUTE(SUBSTITUTE(" "&amp;TRIM(SUBSTITUTE(SUBSTITUTE(SUBSTITUTE(SUBSTITUTE(SUBSTITUTE(SUBSTITUTE(SUBSTITUTE(SUBSTITUTE(SUBSTITUTE(SUBSTITUTE(SUBSTITUTE(SUBSTITUTE(SUBSTITUTE(SUBSTITUTE(SUBSTITUTE(UPPER(TRIM(A1000)),"[MEMBER]",""),"{MEMBER}",""),"[MEMBER}",""),"MEMBER]",""),"(A)",""),"""",""),"“",""),"”",""),".",""),":",""),",",""),"–"," "),"-"," "),"/"," "),"&amp;"," AND "))&amp;" "," THE "," ")," TOTAL "," ")," OPERATIONS "," "))</f>
        <v>MEA</v>
      </c>
      <c r="O1000" s="17" t="str">
        <f aca="false">IF(COUNTIFS($N$2:$N$2000,N1000,$D$2:$D$2000,"&lt;&gt;"&amp;D1000)&gt;0,"CONFLICT","")</f>
        <v/>
      </c>
      <c r="P1000" s="7"/>
    </row>
    <row r="1001" customFormat="false" ht="15" hidden="false" customHeight="false" outlineLevel="0" collapsed="false">
      <c r="A1001" s="7" t="s">
        <v>2385</v>
      </c>
      <c r="B1001" s="7" t="s">
        <v>1879</v>
      </c>
      <c r="C1001" s="7"/>
      <c r="D1001" s="6" t="s">
        <v>1055</v>
      </c>
      <c r="E1001" s="6" t="s">
        <v>1891</v>
      </c>
      <c r="F1001" s="7" t="str">
        <f aca="false">IF($D1001="","",IFERROR(IF(INDEX(Hierarchy!$B$2:$B$1295,MATCH($D1001,Hierarchy!$A$2:$A$1295,0))="","",INDEX(Hierarchy!$B$2:$B$1295,MATCH($D1001,Hierarchy!$A$2:$A$1295,0))),"NODE NOT FOUND"))</f>
        <v>State/Province</v>
      </c>
      <c r="G1001" s="7" t="str">
        <f aca="false">IF($D1001="","",IFERROR(IF(INDEX(Hierarchy!$D$2:$D$1295,MATCH($D1001,Hierarchy!$A$2:$A$1295,0))="","",INDEX(Hierarchy!$D$2:$D$1295,MATCH($D1001,Hierarchy!$A$2:$A$1295,0))),"NODE NOT FOUND"))</f>
        <v>EMEA</v>
      </c>
      <c r="H1001" s="7" t="str">
        <f aca="false">IF($D1001="","",IFERROR(IF(INDEX(Hierarchy!$E$2:$E$1295,MATCH($D1001,Hierarchy!$A$2:$A$1295,0))="","",INDEX(Hierarchy!$E$2:$E$1295,MATCH($D1001,Hierarchy!$A$2:$A$1295,0))),"NODE NOT FOUND"))</f>
        <v>Middle East</v>
      </c>
      <c r="I1001" s="7" t="str">
        <f aca="false">IF($D1001="","",IFERROR(IF(INDEX(Hierarchy!$F$2:$F$1295,MATCH($D1001,Hierarchy!$A$2:$A$1295,0))="","",INDEX(Hierarchy!$F$2:$F$1295,MATCH($D1001,Hierarchy!$A$2:$A$1295,0))),"NODE NOT FOUND"))</f>
        <v>Saudi Arabia</v>
      </c>
      <c r="J1001" s="7" t="str">
        <f aca="false">IF($D1001="","",IFERROR(IF(INDEX(Hierarchy!$G$2:$G$1295,MATCH($D1001,Hierarchy!$A$2:$A$1295,0))="","",INDEX(Hierarchy!$G$2:$G$1295,MATCH($D1001,Hierarchy!$A$2:$A$1295,0))),"NODE NOT FOUND"))</f>
        <v>SAU</v>
      </c>
      <c r="K1001" s="7" t="str">
        <f aca="false">IF($D1001="","",IFERROR(IF(INDEX(Hierarchy!$H$2:$H$1295,MATCH($D1001,Hierarchy!$A$2:$A$1295,0))="","",INDEX(Hierarchy!$H$2:$H$1295,MATCH($D1001,Hierarchy!$A$2:$A$1295,0))),"NODE NOT FOUND"))</f>
        <v>Mecca Province</v>
      </c>
      <c r="L1001" s="7" t="str">
        <f aca="false">IF($D1001="","",IFERROR(IF(INDEX(Hierarchy!$I$2:$I$1295,MATCH($D1001,Hierarchy!$A$2:$A$1295,0))="","",INDEX(Hierarchy!$I$2:$I$1295,MATCH($D1001,Hierarchy!$A$2:$A$1295,0))),"NODE NOT FOUND"))</f>
        <v/>
      </c>
      <c r="M1001" s="17" t="str">
        <f aca="false">IF(B1001="Pre-seeded","Pre-seeded",IF(B1001="Review 2026-09-16","Added from review",IF(C1001="","New",IF(C1001=D1001,"","Changed"))))</f>
        <v>Pre-seeded</v>
      </c>
      <c r="N1001" s="7" t="str">
        <f aca="false">TRIM(SUBSTITUTE(SUBSTITUTE(SUBSTITUTE(" "&amp;TRIM(SUBSTITUTE(SUBSTITUTE(SUBSTITUTE(SUBSTITUTE(SUBSTITUTE(SUBSTITUTE(SUBSTITUTE(SUBSTITUTE(SUBSTITUTE(SUBSTITUTE(SUBSTITUTE(SUBSTITUTE(SUBSTITUTE(SUBSTITUTE(SUBSTITUTE(UPPER(TRIM(A1001)),"[MEMBER]",""),"{MEMBER}",""),"[MEMBER}",""),"MEMBER]",""),"(A)",""),"""",""),"“",""),"”",""),".",""),":",""),",",""),"–"," "),"-"," "),"/"," "),"&amp;"," AND "))&amp;" "," THE "," ")," TOTAL "," ")," OPERATIONS "," "))</f>
        <v>MECCA</v>
      </c>
      <c r="O1001" s="17" t="str">
        <f aca="false">IF(COUNTIFS($N$2:$N$2000,N1001,$D$2:$D$2000,"&lt;&gt;"&amp;D1001)&gt;0,"CONFLICT","")</f>
        <v/>
      </c>
      <c r="P1001" s="7"/>
    </row>
    <row r="1002" customFormat="false" ht="15" hidden="false" customHeight="false" outlineLevel="0" collapsed="false">
      <c r="A1002" s="7" t="s">
        <v>1055</v>
      </c>
      <c r="B1002" s="7" t="s">
        <v>1879</v>
      </c>
      <c r="C1002" s="7"/>
      <c r="D1002" s="6" t="s">
        <v>1055</v>
      </c>
      <c r="E1002" s="6" t="s">
        <v>1880</v>
      </c>
      <c r="F1002" s="7" t="str">
        <f aca="false">IF($D1002="","",IFERROR(IF(INDEX(Hierarchy!$B$2:$B$1295,MATCH($D1002,Hierarchy!$A$2:$A$1295,0))="","",INDEX(Hierarchy!$B$2:$B$1295,MATCH($D1002,Hierarchy!$A$2:$A$1295,0))),"NODE NOT FOUND"))</f>
        <v>State/Province</v>
      </c>
      <c r="G1002" s="7" t="str">
        <f aca="false">IF($D1002="","",IFERROR(IF(INDEX(Hierarchy!$D$2:$D$1295,MATCH($D1002,Hierarchy!$A$2:$A$1295,0))="","",INDEX(Hierarchy!$D$2:$D$1295,MATCH($D1002,Hierarchy!$A$2:$A$1295,0))),"NODE NOT FOUND"))</f>
        <v>EMEA</v>
      </c>
      <c r="H1002" s="7" t="str">
        <f aca="false">IF($D1002="","",IFERROR(IF(INDEX(Hierarchy!$E$2:$E$1295,MATCH($D1002,Hierarchy!$A$2:$A$1295,0))="","",INDEX(Hierarchy!$E$2:$E$1295,MATCH($D1002,Hierarchy!$A$2:$A$1295,0))),"NODE NOT FOUND"))</f>
        <v>Middle East</v>
      </c>
      <c r="I1002" s="7" t="str">
        <f aca="false">IF($D1002="","",IFERROR(IF(INDEX(Hierarchy!$F$2:$F$1295,MATCH($D1002,Hierarchy!$A$2:$A$1295,0))="","",INDEX(Hierarchy!$F$2:$F$1295,MATCH($D1002,Hierarchy!$A$2:$A$1295,0))),"NODE NOT FOUND"))</f>
        <v>Saudi Arabia</v>
      </c>
      <c r="J1002" s="7" t="str">
        <f aca="false">IF($D1002="","",IFERROR(IF(INDEX(Hierarchy!$G$2:$G$1295,MATCH($D1002,Hierarchy!$A$2:$A$1295,0))="","",INDEX(Hierarchy!$G$2:$G$1295,MATCH($D1002,Hierarchy!$A$2:$A$1295,0))),"NODE NOT FOUND"))</f>
        <v>SAU</v>
      </c>
      <c r="K1002" s="7" t="str">
        <f aca="false">IF($D1002="","",IFERROR(IF(INDEX(Hierarchy!$H$2:$H$1295,MATCH($D1002,Hierarchy!$A$2:$A$1295,0))="","",INDEX(Hierarchy!$H$2:$H$1295,MATCH($D1002,Hierarchy!$A$2:$A$1295,0))),"NODE NOT FOUND"))</f>
        <v>Mecca Province</v>
      </c>
      <c r="L1002" s="7" t="str">
        <f aca="false">IF($D1002="","",IFERROR(IF(INDEX(Hierarchy!$I$2:$I$1295,MATCH($D1002,Hierarchy!$A$2:$A$1295,0))="","",INDEX(Hierarchy!$I$2:$I$1295,MATCH($D1002,Hierarchy!$A$2:$A$1295,0))),"NODE NOT FOUND"))</f>
        <v/>
      </c>
      <c r="M1002" s="17" t="str">
        <f aca="false">IF(B1002="Pre-seeded","Pre-seeded",IF(B1002="Review 2026-09-16","Added from review",IF(C1002="","New",IF(C1002=D1002,"","Changed"))))</f>
        <v>Pre-seeded</v>
      </c>
      <c r="N1002" s="7" t="str">
        <f aca="false">TRIM(SUBSTITUTE(SUBSTITUTE(SUBSTITUTE(" "&amp;TRIM(SUBSTITUTE(SUBSTITUTE(SUBSTITUTE(SUBSTITUTE(SUBSTITUTE(SUBSTITUTE(SUBSTITUTE(SUBSTITUTE(SUBSTITUTE(SUBSTITUTE(SUBSTITUTE(SUBSTITUTE(SUBSTITUTE(SUBSTITUTE(SUBSTITUTE(UPPER(TRIM(A1002)),"[MEMBER]",""),"{MEMBER}",""),"[MEMBER}",""),"MEMBER]",""),"(A)",""),"""",""),"“",""),"”",""),".",""),":",""),",",""),"–"," "),"-"," "),"/"," "),"&amp;"," AND "))&amp;" "," THE "," ")," TOTAL "," ")," OPERATIONS "," "))</f>
        <v>MECCA PROVINCE</v>
      </c>
      <c r="O1002" s="17" t="str">
        <f aca="false">IF(COUNTIFS($N$2:$N$2000,N1002,$D$2:$D$2000,"&lt;&gt;"&amp;D1002)&gt;0,"CONFLICT","")</f>
        <v/>
      </c>
      <c r="P1002" s="7"/>
    </row>
    <row r="1003" customFormat="false" ht="15" hidden="false" customHeight="false" outlineLevel="0" collapsed="false">
      <c r="A1003" s="7" t="s">
        <v>2386</v>
      </c>
      <c r="B1003" s="7" t="s">
        <v>1879</v>
      </c>
      <c r="C1003" s="7"/>
      <c r="D1003" s="6" t="s">
        <v>704</v>
      </c>
      <c r="E1003" s="6" t="s">
        <v>1880</v>
      </c>
      <c r="F1003" s="7" t="str">
        <f aca="false">IF($D1003="","",IFERROR(IF(INDEX(Hierarchy!$B$2:$B$1295,MATCH($D1003,Hierarchy!$A$2:$A$1295,0))="","",INDEX(Hierarchy!$B$2:$B$1295,MATCH($D1003,Hierarchy!$A$2:$A$1295,0))),"NODE NOT FOUND"))</f>
        <v>State/Province</v>
      </c>
      <c r="G1003" s="7" t="str">
        <f aca="false">IF($D1003="","",IFERROR(IF(INDEX(Hierarchy!$D$2:$D$1295,MATCH($D1003,Hierarchy!$A$2:$A$1295,0))="","",INDEX(Hierarchy!$D$2:$D$1295,MATCH($D1003,Hierarchy!$A$2:$A$1295,0))),"NODE NOT FOUND"))</f>
        <v>EMEA</v>
      </c>
      <c r="H1003" s="7" t="str">
        <f aca="false">IF($D1003="","",IFERROR(IF(INDEX(Hierarchy!$E$2:$E$1295,MATCH($D1003,Hierarchy!$A$2:$A$1295,0))="","",INDEX(Hierarchy!$E$2:$E$1295,MATCH($D1003,Hierarchy!$A$2:$A$1295,0))),"NODE NOT FOUND"))</f>
        <v>Europe</v>
      </c>
      <c r="I1003" s="7" t="str">
        <f aca="false">IF($D1003="","",IFERROR(IF(INDEX(Hierarchy!$F$2:$F$1295,MATCH($D1003,Hierarchy!$A$2:$A$1295,0))="","",INDEX(Hierarchy!$F$2:$F$1295,MATCH($D1003,Hierarchy!$A$2:$A$1295,0))),"NODE NOT FOUND"))</f>
        <v>Germany</v>
      </c>
      <c r="J1003" s="7" t="str">
        <f aca="false">IF($D1003="","",IFERROR(IF(INDEX(Hierarchy!$G$2:$G$1295,MATCH($D1003,Hierarchy!$A$2:$A$1295,0))="","",INDEX(Hierarchy!$G$2:$G$1295,MATCH($D1003,Hierarchy!$A$2:$A$1295,0))),"NODE NOT FOUND"))</f>
        <v>DEU</v>
      </c>
      <c r="K1003" s="7" t="str">
        <f aca="false">IF($D1003="","",IFERROR(IF(INDEX(Hierarchy!$H$2:$H$1295,MATCH($D1003,Hierarchy!$A$2:$A$1295,0))="","",INDEX(Hierarchy!$H$2:$H$1295,MATCH($D1003,Hierarchy!$A$2:$A$1295,0))),"NODE NOT FOUND"))</f>
        <v>Mecklenburg-Western Pomerania</v>
      </c>
      <c r="L1003" s="7" t="str">
        <f aca="false">IF($D1003="","",IFERROR(IF(INDEX(Hierarchy!$I$2:$I$1295,MATCH($D1003,Hierarchy!$A$2:$A$1295,0))="","",INDEX(Hierarchy!$I$2:$I$1295,MATCH($D1003,Hierarchy!$A$2:$A$1295,0))),"NODE NOT FOUND"))</f>
        <v/>
      </c>
      <c r="M1003" s="17" t="str">
        <f aca="false">IF(B1003="Pre-seeded","Pre-seeded",IF(B1003="Review 2026-09-16","Added from review",IF(C1003="","New",IF(C1003=D1003,"","Changed"))))</f>
        <v>Pre-seeded</v>
      </c>
      <c r="N1003" s="7" t="str">
        <f aca="false">TRIM(SUBSTITUTE(SUBSTITUTE(SUBSTITUTE(" "&amp;TRIM(SUBSTITUTE(SUBSTITUTE(SUBSTITUTE(SUBSTITUTE(SUBSTITUTE(SUBSTITUTE(SUBSTITUTE(SUBSTITUTE(SUBSTITUTE(SUBSTITUTE(SUBSTITUTE(SUBSTITUTE(SUBSTITUTE(SUBSTITUTE(SUBSTITUTE(UPPER(TRIM(A1003)),"[MEMBER]",""),"{MEMBER}",""),"[MEMBER}",""),"MEMBER]",""),"(A)",""),"""",""),"“",""),"”",""),".",""),":",""),",",""),"–"," "),"-"," "),"/"," "),"&amp;"," AND "))&amp;" "," THE "," ")," TOTAL "," ")," OPERATIONS "," "))</f>
        <v>MECKLENBURG VORPOMMERN</v>
      </c>
      <c r="O1003" s="17" t="str">
        <f aca="false">IF(COUNTIFS($N$2:$N$2000,N1003,$D$2:$D$2000,"&lt;&gt;"&amp;D1003)&gt;0,"CONFLICT","")</f>
        <v/>
      </c>
      <c r="P1003" s="7"/>
    </row>
    <row r="1004" customFormat="false" ht="15" hidden="false" customHeight="false" outlineLevel="0" collapsed="false">
      <c r="A1004" s="7" t="s">
        <v>704</v>
      </c>
      <c r="B1004" s="7" t="s">
        <v>1879</v>
      </c>
      <c r="C1004" s="7"/>
      <c r="D1004" s="6" t="s">
        <v>704</v>
      </c>
      <c r="E1004" s="6" t="s">
        <v>1880</v>
      </c>
      <c r="F1004" s="7" t="str">
        <f aca="false">IF($D1004="","",IFERROR(IF(INDEX(Hierarchy!$B$2:$B$1295,MATCH($D1004,Hierarchy!$A$2:$A$1295,0))="","",INDEX(Hierarchy!$B$2:$B$1295,MATCH($D1004,Hierarchy!$A$2:$A$1295,0))),"NODE NOT FOUND"))</f>
        <v>State/Province</v>
      </c>
      <c r="G1004" s="7" t="str">
        <f aca="false">IF($D1004="","",IFERROR(IF(INDEX(Hierarchy!$D$2:$D$1295,MATCH($D1004,Hierarchy!$A$2:$A$1295,0))="","",INDEX(Hierarchy!$D$2:$D$1295,MATCH($D1004,Hierarchy!$A$2:$A$1295,0))),"NODE NOT FOUND"))</f>
        <v>EMEA</v>
      </c>
      <c r="H1004" s="7" t="str">
        <f aca="false">IF($D1004="","",IFERROR(IF(INDEX(Hierarchy!$E$2:$E$1295,MATCH($D1004,Hierarchy!$A$2:$A$1295,0))="","",INDEX(Hierarchy!$E$2:$E$1295,MATCH($D1004,Hierarchy!$A$2:$A$1295,0))),"NODE NOT FOUND"))</f>
        <v>Europe</v>
      </c>
      <c r="I1004" s="7" t="str">
        <f aca="false">IF($D1004="","",IFERROR(IF(INDEX(Hierarchy!$F$2:$F$1295,MATCH($D1004,Hierarchy!$A$2:$A$1295,0))="","",INDEX(Hierarchy!$F$2:$F$1295,MATCH($D1004,Hierarchy!$A$2:$A$1295,0))),"NODE NOT FOUND"))</f>
        <v>Germany</v>
      </c>
      <c r="J1004" s="7" t="str">
        <f aca="false">IF($D1004="","",IFERROR(IF(INDEX(Hierarchy!$G$2:$G$1295,MATCH($D1004,Hierarchy!$A$2:$A$1295,0))="","",INDEX(Hierarchy!$G$2:$G$1295,MATCH($D1004,Hierarchy!$A$2:$A$1295,0))),"NODE NOT FOUND"))</f>
        <v>DEU</v>
      </c>
      <c r="K1004" s="7" t="str">
        <f aca="false">IF($D1004="","",IFERROR(IF(INDEX(Hierarchy!$H$2:$H$1295,MATCH($D1004,Hierarchy!$A$2:$A$1295,0))="","",INDEX(Hierarchy!$H$2:$H$1295,MATCH($D1004,Hierarchy!$A$2:$A$1295,0))),"NODE NOT FOUND"))</f>
        <v>Mecklenburg-Western Pomerania</v>
      </c>
      <c r="L1004" s="7" t="str">
        <f aca="false">IF($D1004="","",IFERROR(IF(INDEX(Hierarchy!$I$2:$I$1295,MATCH($D1004,Hierarchy!$A$2:$A$1295,0))="","",INDEX(Hierarchy!$I$2:$I$1295,MATCH($D1004,Hierarchy!$A$2:$A$1295,0))),"NODE NOT FOUND"))</f>
        <v/>
      </c>
      <c r="M1004" s="17" t="str">
        <f aca="false">IF(B1004="Pre-seeded","Pre-seeded",IF(B1004="Review 2026-09-16","Added from review",IF(C1004="","New",IF(C1004=D1004,"","Changed"))))</f>
        <v>Pre-seeded</v>
      </c>
      <c r="N1004" s="7" t="str">
        <f aca="false">TRIM(SUBSTITUTE(SUBSTITUTE(SUBSTITUTE(" "&amp;TRIM(SUBSTITUTE(SUBSTITUTE(SUBSTITUTE(SUBSTITUTE(SUBSTITUTE(SUBSTITUTE(SUBSTITUTE(SUBSTITUTE(SUBSTITUTE(SUBSTITUTE(SUBSTITUTE(SUBSTITUTE(SUBSTITUTE(SUBSTITUTE(SUBSTITUTE(UPPER(TRIM(A1004)),"[MEMBER]",""),"{MEMBER}",""),"[MEMBER}",""),"MEMBER]",""),"(A)",""),"""",""),"“",""),"”",""),".",""),":",""),",",""),"–"," "),"-"," "),"/"," "),"&amp;"," AND "))&amp;" "," THE "," ")," TOTAL "," ")," OPERATIONS "," "))</f>
        <v>MECKLENBURG WESTERN POMERANIA</v>
      </c>
      <c r="O1004" s="17" t="str">
        <f aca="false">IF(COUNTIFS($N$2:$N$2000,N1004,$D$2:$D$2000,"&lt;&gt;"&amp;D1004)&gt;0,"CONFLICT","")</f>
        <v/>
      </c>
      <c r="P1004" s="7"/>
    </row>
    <row r="1005" customFormat="false" ht="15" hidden="false" customHeight="false" outlineLevel="0" collapsed="false">
      <c r="A1005" s="7" t="s">
        <v>1057</v>
      </c>
      <c r="B1005" s="7" t="s">
        <v>1879</v>
      </c>
      <c r="C1005" s="7"/>
      <c r="D1005" s="6" t="s">
        <v>1057</v>
      </c>
      <c r="E1005" s="6" t="s">
        <v>1880</v>
      </c>
      <c r="F1005" s="7" t="str">
        <f aca="false">IF($D1005="","",IFERROR(IF(INDEX(Hierarchy!$B$2:$B$1295,MATCH($D1005,Hierarchy!$A$2:$A$1295,0))="","",INDEX(Hierarchy!$B$2:$B$1295,MATCH($D1005,Hierarchy!$A$2:$A$1295,0))),"NODE NOT FOUND"))</f>
        <v>State/Province</v>
      </c>
      <c r="G1005" s="7" t="str">
        <f aca="false">IF($D1005="","",IFERROR(IF(INDEX(Hierarchy!$D$2:$D$1295,MATCH($D1005,Hierarchy!$A$2:$A$1295,0))="","",INDEX(Hierarchy!$D$2:$D$1295,MATCH($D1005,Hierarchy!$A$2:$A$1295,0))),"NODE NOT FOUND"))</f>
        <v>EMEA</v>
      </c>
      <c r="H1005" s="7" t="str">
        <f aca="false">IF($D1005="","",IFERROR(IF(INDEX(Hierarchy!$E$2:$E$1295,MATCH($D1005,Hierarchy!$A$2:$A$1295,0))="","",INDEX(Hierarchy!$E$2:$E$1295,MATCH($D1005,Hierarchy!$A$2:$A$1295,0))),"NODE NOT FOUND"))</f>
        <v>Middle East</v>
      </c>
      <c r="I1005" s="7" t="str">
        <f aca="false">IF($D1005="","",IFERROR(IF(INDEX(Hierarchy!$F$2:$F$1295,MATCH($D1005,Hierarchy!$A$2:$A$1295,0))="","",INDEX(Hierarchy!$F$2:$F$1295,MATCH($D1005,Hierarchy!$A$2:$A$1295,0))),"NODE NOT FOUND"))</f>
        <v>Saudi Arabia</v>
      </c>
      <c r="J1005" s="7" t="str">
        <f aca="false">IF($D1005="","",IFERROR(IF(INDEX(Hierarchy!$G$2:$G$1295,MATCH($D1005,Hierarchy!$A$2:$A$1295,0))="","",INDEX(Hierarchy!$G$2:$G$1295,MATCH($D1005,Hierarchy!$A$2:$A$1295,0))),"NODE NOT FOUND"))</f>
        <v>SAU</v>
      </c>
      <c r="K1005" s="7" t="str">
        <f aca="false">IF($D1005="","",IFERROR(IF(INDEX(Hierarchy!$H$2:$H$1295,MATCH($D1005,Hierarchy!$A$2:$A$1295,0))="","",INDEX(Hierarchy!$H$2:$H$1295,MATCH($D1005,Hierarchy!$A$2:$A$1295,0))),"NODE NOT FOUND"))</f>
        <v>Medina Province</v>
      </c>
      <c r="L1005" s="7" t="str">
        <f aca="false">IF($D1005="","",IFERROR(IF(INDEX(Hierarchy!$I$2:$I$1295,MATCH($D1005,Hierarchy!$A$2:$A$1295,0))="","",INDEX(Hierarchy!$I$2:$I$1295,MATCH($D1005,Hierarchy!$A$2:$A$1295,0))),"NODE NOT FOUND"))</f>
        <v/>
      </c>
      <c r="M1005" s="17" t="str">
        <f aca="false">IF(B1005="Pre-seeded","Pre-seeded",IF(B1005="Review 2026-09-16","Added from review",IF(C1005="","New",IF(C1005=D1005,"","Changed"))))</f>
        <v>Pre-seeded</v>
      </c>
      <c r="N1005" s="7" t="str">
        <f aca="false">TRIM(SUBSTITUTE(SUBSTITUTE(SUBSTITUTE(" "&amp;TRIM(SUBSTITUTE(SUBSTITUTE(SUBSTITUTE(SUBSTITUTE(SUBSTITUTE(SUBSTITUTE(SUBSTITUTE(SUBSTITUTE(SUBSTITUTE(SUBSTITUTE(SUBSTITUTE(SUBSTITUTE(SUBSTITUTE(SUBSTITUTE(SUBSTITUTE(UPPER(TRIM(A1005)),"[MEMBER]",""),"{MEMBER}",""),"[MEMBER}",""),"MEMBER]",""),"(A)",""),"""",""),"“",""),"”",""),".",""),":",""),",",""),"–"," "),"-"," "),"/"," "),"&amp;"," AND "))&amp;" "," THE "," ")," TOTAL "," ")," OPERATIONS "," "))</f>
        <v>MEDINA PROVINCE</v>
      </c>
      <c r="O1005" s="17" t="str">
        <f aca="false">IF(COUNTIFS($N$2:$N$2000,N1005,$D$2:$D$2000,"&lt;&gt;"&amp;D1005)&gt;0,"CONFLICT","")</f>
        <v/>
      </c>
      <c r="P1005" s="7"/>
    </row>
    <row r="1006" customFormat="false" ht="15" hidden="false" customHeight="false" outlineLevel="0" collapsed="false">
      <c r="A1006" s="7" t="s">
        <v>2387</v>
      </c>
      <c r="B1006" s="7" t="s">
        <v>1879</v>
      </c>
      <c r="C1006" s="7"/>
      <c r="D1006" s="6" t="s">
        <v>613</v>
      </c>
      <c r="E1006" s="6" t="s">
        <v>1891</v>
      </c>
      <c r="F1006" s="7" t="str">
        <f aca="false">IF($D1006="","",IFERROR(IF(INDEX(Hierarchy!$B$2:$B$1295,MATCH($D1006,Hierarchy!$A$2:$A$1295,0))="","",INDEX(Hierarchy!$B$2:$B$1295,MATCH($D1006,Hierarchy!$A$2:$A$1295,0))),"NODE NOT FOUND"))</f>
        <v>Region</v>
      </c>
      <c r="G1006" s="7" t="str">
        <f aca="false">IF($D1006="","",IFERROR(IF(INDEX(Hierarchy!$D$2:$D$1295,MATCH($D1006,Hierarchy!$A$2:$A$1295,0))="","",INDEX(Hierarchy!$D$2:$D$1295,MATCH($D1006,Hierarchy!$A$2:$A$1295,0))),"NODE NOT FOUND"))</f>
        <v>EMEA</v>
      </c>
      <c r="H1006" s="7" t="str">
        <f aca="false">IF($D1006="","",IFERROR(IF(INDEX(Hierarchy!$E$2:$E$1295,MATCH($D1006,Hierarchy!$A$2:$A$1295,0))="","",INDEX(Hierarchy!$E$2:$E$1295,MATCH($D1006,Hierarchy!$A$2:$A$1295,0))),"NODE NOT FOUND"))</f>
        <v/>
      </c>
      <c r="I1006" s="7" t="str">
        <f aca="false">IF($D1006="","",IFERROR(IF(INDEX(Hierarchy!$F$2:$F$1295,MATCH($D1006,Hierarchy!$A$2:$A$1295,0))="","",INDEX(Hierarchy!$F$2:$F$1295,MATCH($D1006,Hierarchy!$A$2:$A$1295,0))),"NODE NOT FOUND"))</f>
        <v/>
      </c>
      <c r="J1006" s="7" t="str">
        <f aca="false">IF($D1006="","",IFERROR(IF(INDEX(Hierarchy!$G$2:$G$1295,MATCH($D1006,Hierarchy!$A$2:$A$1295,0))="","",INDEX(Hierarchy!$G$2:$G$1295,MATCH($D1006,Hierarchy!$A$2:$A$1295,0))),"NODE NOT FOUND"))</f>
        <v/>
      </c>
      <c r="K1006" s="7" t="str">
        <f aca="false">IF($D1006="","",IFERROR(IF(INDEX(Hierarchy!$H$2:$H$1295,MATCH($D1006,Hierarchy!$A$2:$A$1295,0))="","",INDEX(Hierarchy!$H$2:$H$1295,MATCH($D1006,Hierarchy!$A$2:$A$1295,0))),"NODE NOT FOUND"))</f>
        <v/>
      </c>
      <c r="L1006" s="7" t="str">
        <f aca="false">IF($D1006="","",IFERROR(IF(INDEX(Hierarchy!$I$2:$I$1295,MATCH($D1006,Hierarchy!$A$2:$A$1295,0))="","",INDEX(Hierarchy!$I$2:$I$1295,MATCH($D1006,Hierarchy!$A$2:$A$1295,0))),"NODE NOT FOUND"))</f>
        <v/>
      </c>
      <c r="M1006" s="17" t="str">
        <f aca="false">IF(B1006="Pre-seeded","Pre-seeded",IF(B1006="Review 2026-09-16","Added from review",IF(C1006="","New",IF(C1006=D1006,"","Changed"))))</f>
        <v>Pre-seeded</v>
      </c>
      <c r="N1006" s="7" t="str">
        <f aca="false">TRIM(SUBSTITUTE(SUBSTITUTE(SUBSTITUTE(" "&amp;TRIM(SUBSTITUTE(SUBSTITUTE(SUBSTITUTE(SUBSTITUTE(SUBSTITUTE(SUBSTITUTE(SUBSTITUTE(SUBSTITUTE(SUBSTITUTE(SUBSTITUTE(SUBSTITUTE(SUBSTITUTE(SUBSTITUTE(SUBSTITUTE(SUBSTITUTE(UPPER(TRIM(A1006)),"[MEMBER]",""),"{MEMBER}",""),"[MEMBER}",""),"MEMBER]",""),"(A)",""),"""",""),"“",""),"”",""),".",""),":",""),",",""),"–"," "),"-"," "),"/"," "),"&amp;"," AND "))&amp;" "," THE "," ")," TOTAL "," ")," OPERATIONS "," "))</f>
        <v>MEDITERRANEAN</v>
      </c>
      <c r="O1006" s="17" t="str">
        <f aca="false">IF(COUNTIFS($N$2:$N$2000,N1006,$D$2:$D$2000,"&lt;&gt;"&amp;D1006)&gt;0,"CONFLICT","")</f>
        <v/>
      </c>
      <c r="P1006" s="7"/>
    </row>
    <row r="1007" customFormat="false" ht="15" hidden="false" customHeight="false" outlineLevel="0" collapsed="false">
      <c r="A1007" s="7" t="s">
        <v>1354</v>
      </c>
      <c r="B1007" s="7" t="s">
        <v>1879</v>
      </c>
      <c r="C1007" s="7"/>
      <c r="D1007" s="6" t="s">
        <v>1354</v>
      </c>
      <c r="E1007" s="6" t="s">
        <v>1880</v>
      </c>
      <c r="F1007" s="7" t="str">
        <f aca="false">IF($D1007="","",IFERROR(IF(INDEX(Hierarchy!$B$2:$B$1295,MATCH($D1007,Hierarchy!$A$2:$A$1295,0))="","",INDEX(Hierarchy!$B$2:$B$1295,MATCH($D1007,Hierarchy!$A$2:$A$1295,0))),"NODE NOT FOUND"))</f>
        <v>State/Province</v>
      </c>
      <c r="G1007" s="7" t="str">
        <f aca="false">IF($D1007="","",IFERROR(IF(INDEX(Hierarchy!$D$2:$D$1295,MATCH($D1007,Hierarchy!$A$2:$A$1295,0))="","",INDEX(Hierarchy!$D$2:$D$1295,MATCH($D1007,Hierarchy!$A$2:$A$1295,0))),"NODE NOT FOUND"))</f>
        <v>APAC</v>
      </c>
      <c r="H1007" s="7" t="str">
        <f aca="false">IF($D1007="","",IFERROR(IF(INDEX(Hierarchy!$E$2:$E$1295,MATCH($D1007,Hierarchy!$A$2:$A$1295,0))="","",INDEX(Hierarchy!$E$2:$E$1295,MATCH($D1007,Hierarchy!$A$2:$A$1295,0))),"NODE NOT FOUND"))</f>
        <v>South Asia</v>
      </c>
      <c r="I1007" s="7" t="str">
        <f aca="false">IF($D1007="","",IFERROR(IF(INDEX(Hierarchy!$F$2:$F$1295,MATCH($D1007,Hierarchy!$A$2:$A$1295,0))="","",INDEX(Hierarchy!$F$2:$F$1295,MATCH($D1007,Hierarchy!$A$2:$A$1295,0))),"NODE NOT FOUND"))</f>
        <v>India</v>
      </c>
      <c r="J1007" s="7" t="str">
        <f aca="false">IF($D1007="","",IFERROR(IF(INDEX(Hierarchy!$G$2:$G$1295,MATCH($D1007,Hierarchy!$A$2:$A$1295,0))="","",INDEX(Hierarchy!$G$2:$G$1295,MATCH($D1007,Hierarchy!$A$2:$A$1295,0))),"NODE NOT FOUND"))</f>
        <v>IND</v>
      </c>
      <c r="K1007" s="7" t="str">
        <f aca="false">IF($D1007="","",IFERROR(IF(INDEX(Hierarchy!$H$2:$H$1295,MATCH($D1007,Hierarchy!$A$2:$A$1295,0))="","",INDEX(Hierarchy!$H$2:$H$1295,MATCH($D1007,Hierarchy!$A$2:$A$1295,0))),"NODE NOT FOUND"))</f>
        <v>Meghalaya</v>
      </c>
      <c r="L1007" s="7" t="str">
        <f aca="false">IF($D1007="","",IFERROR(IF(INDEX(Hierarchy!$I$2:$I$1295,MATCH($D1007,Hierarchy!$A$2:$A$1295,0))="","",INDEX(Hierarchy!$I$2:$I$1295,MATCH($D1007,Hierarchy!$A$2:$A$1295,0))),"NODE NOT FOUND"))</f>
        <v/>
      </c>
      <c r="M1007" s="17" t="str">
        <f aca="false">IF(B1007="Pre-seeded","Pre-seeded",IF(B1007="Review 2026-09-16","Added from review",IF(C1007="","New",IF(C1007=D1007,"","Changed"))))</f>
        <v>Pre-seeded</v>
      </c>
      <c r="N1007" s="7" t="str">
        <f aca="false">TRIM(SUBSTITUTE(SUBSTITUTE(SUBSTITUTE(" "&amp;TRIM(SUBSTITUTE(SUBSTITUTE(SUBSTITUTE(SUBSTITUTE(SUBSTITUTE(SUBSTITUTE(SUBSTITUTE(SUBSTITUTE(SUBSTITUTE(SUBSTITUTE(SUBSTITUTE(SUBSTITUTE(SUBSTITUTE(SUBSTITUTE(SUBSTITUTE(UPPER(TRIM(A1007)),"[MEMBER]",""),"{MEMBER}",""),"[MEMBER}",""),"MEMBER]",""),"(A)",""),"""",""),"“",""),"”",""),".",""),":",""),",",""),"–"," "),"-"," "),"/"," "),"&amp;"," AND "))&amp;" "," THE "," ")," TOTAL "," ")," OPERATIONS "," "))</f>
        <v>MEGHALAYA</v>
      </c>
      <c r="O1007" s="17" t="str">
        <f aca="false">IF(COUNTIFS($N$2:$N$2000,N1007,$D$2:$D$2000,"&lt;&gt;"&amp;D1007)&gt;0,"CONFLICT","")</f>
        <v/>
      </c>
      <c r="P1007" s="7"/>
    </row>
    <row r="1008" customFormat="false" ht="15" hidden="false" customHeight="false" outlineLevel="0" collapsed="false">
      <c r="A1008" s="7" t="s">
        <v>1586</v>
      </c>
      <c r="B1008" s="7" t="s">
        <v>1879</v>
      </c>
      <c r="C1008" s="7"/>
      <c r="D1008" s="6" t="s">
        <v>1586</v>
      </c>
      <c r="E1008" s="6" t="s">
        <v>1880</v>
      </c>
      <c r="F1008" s="7" t="str">
        <f aca="false">IF($D1008="","",IFERROR(IF(INDEX(Hierarchy!$B$2:$B$1295,MATCH($D1008,Hierarchy!$A$2:$A$1295,0))="","",INDEX(Hierarchy!$B$2:$B$1295,MATCH($D1008,Hierarchy!$A$2:$A$1295,0))),"NODE NOT FOUND"))</f>
        <v>Sub-region component</v>
      </c>
      <c r="G1008" s="7" t="str">
        <f aca="false">IF($D1008="","",IFERROR(IF(INDEX(Hierarchy!$D$2:$D$1295,MATCH($D1008,Hierarchy!$A$2:$A$1295,0))="","",INDEX(Hierarchy!$D$2:$D$1295,MATCH($D1008,Hierarchy!$A$2:$A$1295,0))),"NODE NOT FOUND"))</f>
        <v>APAC</v>
      </c>
      <c r="H1008" s="7" t="str">
        <f aca="false">IF($D1008="","",IFERROR(IF(INDEX(Hierarchy!$E$2:$E$1295,MATCH($D1008,Hierarchy!$A$2:$A$1295,0))="","",INDEX(Hierarchy!$E$2:$E$1295,MATCH($D1008,Hierarchy!$A$2:$A$1295,0))),"NODE NOT FOUND"))</f>
        <v>Southeast Asia (ASEAN)</v>
      </c>
      <c r="I1008" s="7" t="str">
        <f aca="false">IF($D1008="","",IFERROR(IF(INDEX(Hierarchy!$F$2:$F$1295,MATCH($D1008,Hierarchy!$A$2:$A$1295,0))="","",INDEX(Hierarchy!$F$2:$F$1295,MATCH($D1008,Hierarchy!$A$2:$A$1295,0))),"NODE NOT FOUND"))</f>
        <v/>
      </c>
      <c r="J1008" s="7" t="str">
        <f aca="false">IF($D1008="","",IFERROR(IF(INDEX(Hierarchy!$G$2:$G$1295,MATCH($D1008,Hierarchy!$A$2:$A$1295,0))="","",INDEX(Hierarchy!$G$2:$G$1295,MATCH($D1008,Hierarchy!$A$2:$A$1295,0))),"NODE NOT FOUND"))</f>
        <v/>
      </c>
      <c r="K1008" s="7" t="str">
        <f aca="false">IF($D1008="","",IFERROR(IF(INDEX(Hierarchy!$H$2:$H$1295,MATCH($D1008,Hierarchy!$A$2:$A$1295,0))="","",INDEX(Hierarchy!$H$2:$H$1295,MATCH($D1008,Hierarchy!$A$2:$A$1295,0))),"NODE NOT FOUND"))</f>
        <v/>
      </c>
      <c r="L1008" s="7" t="str">
        <f aca="false">IF($D1008="","",IFERROR(IF(INDEX(Hierarchy!$I$2:$I$1295,MATCH($D1008,Hierarchy!$A$2:$A$1295,0))="","",INDEX(Hierarchy!$I$2:$I$1295,MATCH($D1008,Hierarchy!$A$2:$A$1295,0))),"NODE NOT FOUND"))</f>
        <v/>
      </c>
      <c r="M1008" s="17" t="str">
        <f aca="false">IF(B1008="Pre-seeded","Pre-seeded",IF(B1008="Review 2026-09-16","Added from review",IF(C1008="","New",IF(C1008=D1008,"","Changed"))))</f>
        <v>Pre-seeded</v>
      </c>
      <c r="N1008" s="7" t="str">
        <f aca="false">TRIM(SUBSTITUTE(SUBSTITUTE(SUBSTITUTE(" "&amp;TRIM(SUBSTITUTE(SUBSTITUTE(SUBSTITUTE(SUBSTITUTE(SUBSTITUTE(SUBSTITUTE(SUBSTITUTE(SUBSTITUTE(SUBSTITUTE(SUBSTITUTE(SUBSTITUTE(SUBSTITUTE(SUBSTITUTE(SUBSTITUTE(SUBSTITUTE(UPPER(TRIM(A1008)),"[MEMBER]",""),"{MEMBER}",""),"[MEMBER}",""),"MEMBER]",""),"(A)",""),"""",""),"“",""),"”",""),".",""),":",""),",",""),"–"," "),"-"," "),"/"," "),"&amp;"," AND "))&amp;" "," THE "," ")," TOTAL "," ")," OPERATIONS "," "))</f>
        <v>MEKONG REGION</v>
      </c>
      <c r="O1008" s="17" t="str">
        <f aca="false">IF(COUNTIFS($N$2:$N$2000,N1008,$D$2:$D$2000,"&lt;&gt;"&amp;D1008)&gt;0,"CONFLICT","")</f>
        <v/>
      </c>
      <c r="P1008" s="7"/>
    </row>
    <row r="1009" customFormat="false" ht="15" hidden="false" customHeight="false" outlineLevel="0" collapsed="false">
      <c r="A1009" s="7" t="s">
        <v>2388</v>
      </c>
      <c r="B1009" s="7" t="s">
        <v>1879</v>
      </c>
      <c r="C1009" s="7"/>
      <c r="D1009" s="6" t="s">
        <v>1640</v>
      </c>
      <c r="E1009" s="6" t="s">
        <v>1880</v>
      </c>
      <c r="F1009" s="7" t="str">
        <f aca="false">IF($D1009="","",IFERROR(IF(INDEX(Hierarchy!$B$2:$B$1295,MATCH($D1009,Hierarchy!$A$2:$A$1295,0))="","",INDEX(Hierarchy!$B$2:$B$1295,MATCH($D1009,Hierarchy!$A$2:$A$1295,0))),"NODE NOT FOUND"))</f>
        <v>State/Province</v>
      </c>
      <c r="G1009" s="7" t="str">
        <f aca="false">IF($D1009="","",IFERROR(IF(INDEX(Hierarchy!$D$2:$D$1295,MATCH($D1009,Hierarchy!$A$2:$A$1295,0))="","",INDEX(Hierarchy!$D$2:$D$1295,MATCH($D1009,Hierarchy!$A$2:$A$1295,0))),"NODE NOT FOUND"))</f>
        <v>APAC</v>
      </c>
      <c r="H1009" s="7" t="str">
        <f aca="false">IF($D1009="","",IFERROR(IF(INDEX(Hierarchy!$E$2:$E$1295,MATCH($D1009,Hierarchy!$A$2:$A$1295,0))="","",INDEX(Hierarchy!$E$2:$E$1295,MATCH($D1009,Hierarchy!$A$2:$A$1295,0))),"NODE NOT FOUND"))</f>
        <v>Southeast Asia (ASEAN)</v>
      </c>
      <c r="I1009" s="7" t="str">
        <f aca="false">IF($D1009="","",IFERROR(IF(INDEX(Hierarchy!$F$2:$F$1295,MATCH($D1009,Hierarchy!$A$2:$A$1295,0))="","",INDEX(Hierarchy!$F$2:$F$1295,MATCH($D1009,Hierarchy!$A$2:$A$1295,0))),"NODE NOT FOUND"))</f>
        <v>Malaysia</v>
      </c>
      <c r="J1009" s="7" t="str">
        <f aca="false">IF($D1009="","",IFERROR(IF(INDEX(Hierarchy!$G$2:$G$1295,MATCH($D1009,Hierarchy!$A$2:$A$1295,0))="","",INDEX(Hierarchy!$G$2:$G$1295,MATCH($D1009,Hierarchy!$A$2:$A$1295,0))),"NODE NOT FOUND"))</f>
        <v>MYS</v>
      </c>
      <c r="K1009" s="7" t="str">
        <f aca="false">IF($D1009="","",IFERROR(IF(INDEX(Hierarchy!$H$2:$H$1295,MATCH($D1009,Hierarchy!$A$2:$A$1295,0))="","",INDEX(Hierarchy!$H$2:$H$1295,MATCH($D1009,Hierarchy!$A$2:$A$1295,0))),"NODE NOT FOUND"))</f>
        <v>Malacca</v>
      </c>
      <c r="L1009" s="7" t="str">
        <f aca="false">IF($D1009="","",IFERROR(IF(INDEX(Hierarchy!$I$2:$I$1295,MATCH($D1009,Hierarchy!$A$2:$A$1295,0))="","",INDEX(Hierarchy!$I$2:$I$1295,MATCH($D1009,Hierarchy!$A$2:$A$1295,0))),"NODE NOT FOUND"))</f>
        <v/>
      </c>
      <c r="M1009" s="17" t="str">
        <f aca="false">IF(B1009="Pre-seeded","Pre-seeded",IF(B1009="Review 2026-09-16","Added from review",IF(C1009="","New",IF(C1009=D1009,"","Changed"))))</f>
        <v>Pre-seeded</v>
      </c>
      <c r="N1009" s="7" t="str">
        <f aca="false">TRIM(SUBSTITUTE(SUBSTITUTE(SUBSTITUTE(" "&amp;TRIM(SUBSTITUTE(SUBSTITUTE(SUBSTITUTE(SUBSTITUTE(SUBSTITUTE(SUBSTITUTE(SUBSTITUTE(SUBSTITUTE(SUBSTITUTE(SUBSTITUTE(SUBSTITUTE(SUBSTITUTE(SUBSTITUTE(SUBSTITUTE(SUBSTITUTE(UPPER(TRIM(A1009)),"[MEMBER]",""),"{MEMBER}",""),"[MEMBER}",""),"MEMBER]",""),"(A)",""),"""",""),"“",""),"”",""),".",""),":",""),",",""),"–"," "),"-"," "),"/"," "),"&amp;"," AND "))&amp;" "," THE "," ")," TOTAL "," ")," OPERATIONS "," "))</f>
        <v>MELAKA</v>
      </c>
      <c r="O1009" s="17" t="str">
        <f aca="false">IF(COUNTIFS($N$2:$N$2000,N1009,$D$2:$D$2000,"&lt;&gt;"&amp;D1009)&gt;0,"CONFLICT","")</f>
        <v/>
      </c>
      <c r="P1009" s="7"/>
    </row>
    <row r="1010" customFormat="false" ht="15" hidden="false" customHeight="false" outlineLevel="0" collapsed="false">
      <c r="A1010" s="7" t="s">
        <v>1746</v>
      </c>
      <c r="B1010" s="7" t="s">
        <v>1879</v>
      </c>
      <c r="C1010" s="7"/>
      <c r="D1010" s="6" t="s">
        <v>1837</v>
      </c>
      <c r="E1010" s="6" t="s">
        <v>1880</v>
      </c>
      <c r="F1010" s="7" t="str">
        <f aca="false">IF($D1010="","",IFERROR(IF(INDEX(Hierarchy!$B$2:$B$1295,MATCH($D1010,Hierarchy!$A$2:$A$1295,0))="","",INDEX(Hierarchy!$B$2:$B$1295,MATCH($D1010,Hierarchy!$A$2:$A$1295,0))),"NODE NOT FOUND"))</f>
        <v>Reference grouping</v>
      </c>
      <c r="G1010" s="7" t="str">
        <f aca="false">IF($D1010="","",IFERROR(IF(INDEX(Hierarchy!$D$2:$D$1295,MATCH($D1010,Hierarchy!$A$2:$A$1295,0))="","",INDEX(Hierarchy!$D$2:$D$1295,MATCH($D1010,Hierarchy!$A$2:$A$1295,0))),"NODE NOT FOUND"))</f>
        <v>Reference (UN / World Bank)</v>
      </c>
      <c r="H1010" s="7" t="str">
        <f aca="false">IF($D1010="","",IFERROR(IF(INDEX(Hierarchy!$E$2:$E$1295,MATCH($D1010,Hierarchy!$A$2:$A$1295,0))="","",INDEX(Hierarchy!$E$2:$E$1295,MATCH($D1010,Hierarchy!$A$2:$A$1295,0))),"NODE NOT FOUND"))</f>
        <v/>
      </c>
      <c r="I1010" s="7" t="str">
        <f aca="false">IF($D1010="","",IFERROR(IF(INDEX(Hierarchy!$F$2:$F$1295,MATCH($D1010,Hierarchy!$A$2:$A$1295,0))="","",INDEX(Hierarchy!$F$2:$F$1295,MATCH($D1010,Hierarchy!$A$2:$A$1295,0))),"NODE NOT FOUND"))</f>
        <v/>
      </c>
      <c r="J1010" s="7" t="str">
        <f aca="false">IF($D1010="","",IFERROR(IF(INDEX(Hierarchy!$G$2:$G$1295,MATCH($D1010,Hierarchy!$A$2:$A$1295,0))="","",INDEX(Hierarchy!$G$2:$G$1295,MATCH($D1010,Hierarchy!$A$2:$A$1295,0))),"NODE NOT FOUND"))</f>
        <v/>
      </c>
      <c r="K1010" s="7" t="str">
        <f aca="false">IF($D1010="","",IFERROR(IF(INDEX(Hierarchy!$H$2:$H$1295,MATCH($D1010,Hierarchy!$A$2:$A$1295,0))="","",INDEX(Hierarchy!$H$2:$H$1295,MATCH($D1010,Hierarchy!$A$2:$A$1295,0))),"NODE NOT FOUND"))</f>
        <v/>
      </c>
      <c r="L1010" s="7" t="str">
        <f aca="false">IF($D1010="","",IFERROR(IF(INDEX(Hierarchy!$I$2:$I$1295,MATCH($D1010,Hierarchy!$A$2:$A$1295,0))="","",INDEX(Hierarchy!$I$2:$I$1295,MATCH($D1010,Hierarchy!$A$2:$A$1295,0))),"NODE NOT FOUND"))</f>
        <v/>
      </c>
      <c r="M1010" s="17" t="str">
        <f aca="false">IF(B1010="Pre-seeded","Pre-seeded",IF(B1010="Review 2026-09-16","Added from review",IF(C1010="","New",IF(C1010=D1010,"","Changed"))))</f>
        <v>Pre-seeded</v>
      </c>
      <c r="N1010" s="7" t="str">
        <f aca="false">TRIM(SUBSTITUTE(SUBSTITUTE(SUBSTITUTE(" "&amp;TRIM(SUBSTITUTE(SUBSTITUTE(SUBSTITUTE(SUBSTITUTE(SUBSTITUTE(SUBSTITUTE(SUBSTITUTE(SUBSTITUTE(SUBSTITUTE(SUBSTITUTE(SUBSTITUTE(SUBSTITUTE(SUBSTITUTE(SUBSTITUTE(SUBSTITUTE(UPPER(TRIM(A1010)),"[MEMBER]",""),"{MEMBER}",""),"[MEMBER}",""),"MEMBER]",""),"(A)",""),"""",""),"“",""),"”",""),".",""),":",""),",",""),"–"," "),"-"," "),"/"," "),"&amp;"," AND "))&amp;" "," THE "," ")," TOTAL "," ")," OPERATIONS "," "))</f>
        <v>MELANESIA</v>
      </c>
      <c r="O1010" s="17" t="str">
        <f aca="false">IF(COUNTIFS($N$2:$N$2000,N1010,$D$2:$D$2000,"&lt;&gt;"&amp;D1010)&gt;0,"CONFLICT","")</f>
        <v/>
      </c>
      <c r="P1010" s="7"/>
    </row>
    <row r="1011" customFormat="false" ht="15" hidden="false" customHeight="false" outlineLevel="0" collapsed="false">
      <c r="A1011" s="7" t="s">
        <v>1837</v>
      </c>
      <c r="B1011" s="7" t="s">
        <v>1879</v>
      </c>
      <c r="C1011" s="7"/>
      <c r="D1011" s="6" t="s">
        <v>1837</v>
      </c>
      <c r="E1011" s="6" t="s">
        <v>1880</v>
      </c>
      <c r="F1011" s="7" t="str">
        <f aca="false">IF($D1011="","",IFERROR(IF(INDEX(Hierarchy!$B$2:$B$1295,MATCH($D1011,Hierarchy!$A$2:$A$1295,0))="","",INDEX(Hierarchy!$B$2:$B$1295,MATCH($D1011,Hierarchy!$A$2:$A$1295,0))),"NODE NOT FOUND"))</f>
        <v>Reference grouping</v>
      </c>
      <c r="G1011" s="7" t="str">
        <f aca="false">IF($D1011="","",IFERROR(IF(INDEX(Hierarchy!$D$2:$D$1295,MATCH($D1011,Hierarchy!$A$2:$A$1295,0))="","",INDEX(Hierarchy!$D$2:$D$1295,MATCH($D1011,Hierarchy!$A$2:$A$1295,0))),"NODE NOT FOUND"))</f>
        <v>Reference (UN / World Bank)</v>
      </c>
      <c r="H1011" s="7" t="str">
        <f aca="false">IF($D1011="","",IFERROR(IF(INDEX(Hierarchy!$E$2:$E$1295,MATCH($D1011,Hierarchy!$A$2:$A$1295,0))="","",INDEX(Hierarchy!$E$2:$E$1295,MATCH($D1011,Hierarchy!$A$2:$A$1295,0))),"NODE NOT FOUND"))</f>
        <v/>
      </c>
      <c r="I1011" s="7" t="str">
        <f aca="false">IF($D1011="","",IFERROR(IF(INDEX(Hierarchy!$F$2:$F$1295,MATCH($D1011,Hierarchy!$A$2:$A$1295,0))="","",INDEX(Hierarchy!$F$2:$F$1295,MATCH($D1011,Hierarchy!$A$2:$A$1295,0))),"NODE NOT FOUND"))</f>
        <v/>
      </c>
      <c r="J1011" s="7" t="str">
        <f aca="false">IF($D1011="","",IFERROR(IF(INDEX(Hierarchy!$G$2:$G$1295,MATCH($D1011,Hierarchy!$A$2:$A$1295,0))="","",INDEX(Hierarchy!$G$2:$G$1295,MATCH($D1011,Hierarchy!$A$2:$A$1295,0))),"NODE NOT FOUND"))</f>
        <v/>
      </c>
      <c r="K1011" s="7" t="str">
        <f aca="false">IF($D1011="","",IFERROR(IF(INDEX(Hierarchy!$H$2:$H$1295,MATCH($D1011,Hierarchy!$A$2:$A$1295,0))="","",INDEX(Hierarchy!$H$2:$H$1295,MATCH($D1011,Hierarchy!$A$2:$A$1295,0))),"NODE NOT FOUND"))</f>
        <v/>
      </c>
      <c r="L1011" s="7" t="str">
        <f aca="false">IF($D1011="","",IFERROR(IF(INDEX(Hierarchy!$I$2:$I$1295,MATCH($D1011,Hierarchy!$A$2:$A$1295,0))="","",INDEX(Hierarchy!$I$2:$I$1295,MATCH($D1011,Hierarchy!$A$2:$A$1295,0))),"NODE NOT FOUND"))</f>
        <v/>
      </c>
      <c r="M1011" s="17" t="str">
        <f aca="false">IF(B1011="Pre-seeded","Pre-seeded",IF(B1011="Review 2026-09-16","Added from review",IF(C1011="","New",IF(C1011=D1011,"","Changed"))))</f>
        <v>Pre-seeded</v>
      </c>
      <c r="N1011" s="7" t="str">
        <f aca="false">TRIM(SUBSTITUTE(SUBSTITUTE(SUBSTITUTE(" "&amp;TRIM(SUBSTITUTE(SUBSTITUTE(SUBSTITUTE(SUBSTITUTE(SUBSTITUTE(SUBSTITUTE(SUBSTITUTE(SUBSTITUTE(SUBSTITUTE(SUBSTITUTE(SUBSTITUTE(SUBSTITUTE(SUBSTITUTE(SUBSTITUTE(SUBSTITUTE(UPPER(TRIM(A1011)),"[MEMBER]",""),"{MEMBER}",""),"[MEMBER}",""),"MEMBER]",""),"(A)",""),"""",""),"“",""),"”",""),".",""),":",""),",",""),"–"," "),"-"," "),"/"," "),"&amp;"," AND "))&amp;" "," THE "," ")," TOTAL "," ")," OPERATIONS "," "))</f>
        <v>MELANESIA (UN M49)</v>
      </c>
      <c r="O1011" s="17" t="str">
        <f aca="false">IF(COUNTIFS($N$2:$N$2000,N1011,$D$2:$D$2000,"&lt;&gt;"&amp;D1011)&gt;0,"CONFLICT","")</f>
        <v/>
      </c>
      <c r="P1011" s="7"/>
    </row>
    <row r="1012" customFormat="false" ht="15" hidden="false" customHeight="false" outlineLevel="0" collapsed="false">
      <c r="A1012" s="7" t="s">
        <v>967</v>
      </c>
      <c r="B1012" s="7" t="s">
        <v>1879</v>
      </c>
      <c r="C1012" s="7"/>
      <c r="D1012" s="6" t="s">
        <v>967</v>
      </c>
      <c r="E1012" s="6" t="s">
        <v>1880</v>
      </c>
      <c r="F1012" s="7" t="str">
        <f aca="false">IF($D1012="","",IFERROR(IF(INDEX(Hierarchy!$B$2:$B$1295,MATCH($D1012,Hierarchy!$A$2:$A$1295,0))="","",INDEX(Hierarchy!$B$2:$B$1295,MATCH($D1012,Hierarchy!$A$2:$A$1295,0))),"NODE NOT FOUND"))</f>
        <v>State/Province</v>
      </c>
      <c r="G1012" s="7" t="str">
        <f aca="false">IF($D1012="","",IFERROR(IF(INDEX(Hierarchy!$D$2:$D$1295,MATCH($D1012,Hierarchy!$A$2:$A$1295,0))="","",INDEX(Hierarchy!$D$2:$D$1295,MATCH($D1012,Hierarchy!$A$2:$A$1295,0))),"NODE NOT FOUND"))</f>
        <v>EMEA</v>
      </c>
      <c r="H1012" s="7" t="str">
        <f aca="false">IF($D1012="","",IFERROR(IF(INDEX(Hierarchy!$E$2:$E$1295,MATCH($D1012,Hierarchy!$A$2:$A$1295,0))="","",INDEX(Hierarchy!$E$2:$E$1295,MATCH($D1012,Hierarchy!$A$2:$A$1295,0))),"NODE NOT FOUND"))</f>
        <v>Europe</v>
      </c>
      <c r="I1012" s="7" t="str">
        <f aca="false">IF($D1012="","",IFERROR(IF(INDEX(Hierarchy!$F$2:$F$1295,MATCH($D1012,Hierarchy!$A$2:$A$1295,0))="","",INDEX(Hierarchy!$F$2:$F$1295,MATCH($D1012,Hierarchy!$A$2:$A$1295,0))),"NODE NOT FOUND"))</f>
        <v>Spain</v>
      </c>
      <c r="J1012" s="7" t="str">
        <f aca="false">IF($D1012="","",IFERROR(IF(INDEX(Hierarchy!$G$2:$G$1295,MATCH($D1012,Hierarchy!$A$2:$A$1295,0))="","",INDEX(Hierarchy!$G$2:$G$1295,MATCH($D1012,Hierarchy!$A$2:$A$1295,0))),"NODE NOT FOUND"))</f>
        <v>ESP</v>
      </c>
      <c r="K1012" s="7" t="str">
        <f aca="false">IF($D1012="","",IFERROR(IF(INDEX(Hierarchy!$H$2:$H$1295,MATCH($D1012,Hierarchy!$A$2:$A$1295,0))="","",INDEX(Hierarchy!$H$2:$H$1295,MATCH($D1012,Hierarchy!$A$2:$A$1295,0))),"NODE NOT FOUND"))</f>
        <v>Melilla</v>
      </c>
      <c r="L1012" s="7" t="str">
        <f aca="false">IF($D1012="","",IFERROR(IF(INDEX(Hierarchy!$I$2:$I$1295,MATCH($D1012,Hierarchy!$A$2:$A$1295,0))="","",INDEX(Hierarchy!$I$2:$I$1295,MATCH($D1012,Hierarchy!$A$2:$A$1295,0))),"NODE NOT FOUND"))</f>
        <v/>
      </c>
      <c r="M1012" s="17" t="str">
        <f aca="false">IF(B1012="Pre-seeded","Pre-seeded",IF(B1012="Review 2026-09-16","Added from review",IF(C1012="","New",IF(C1012=D1012,"","Changed"))))</f>
        <v>Pre-seeded</v>
      </c>
      <c r="N1012" s="7" t="str">
        <f aca="false">TRIM(SUBSTITUTE(SUBSTITUTE(SUBSTITUTE(" "&amp;TRIM(SUBSTITUTE(SUBSTITUTE(SUBSTITUTE(SUBSTITUTE(SUBSTITUTE(SUBSTITUTE(SUBSTITUTE(SUBSTITUTE(SUBSTITUTE(SUBSTITUTE(SUBSTITUTE(SUBSTITUTE(SUBSTITUTE(SUBSTITUTE(SUBSTITUTE(UPPER(TRIM(A1012)),"[MEMBER]",""),"{MEMBER}",""),"[MEMBER}",""),"MEMBER]",""),"(A)",""),"""",""),"“",""),"”",""),".",""),":",""),",",""),"–"," "),"-"," "),"/"," "),"&amp;"," AND "))&amp;" "," THE "," ")," TOTAL "," ")," OPERATIONS "," "))</f>
        <v>MELILLA</v>
      </c>
      <c r="O1012" s="17" t="str">
        <f aca="false">IF(COUNTIFS($N$2:$N$2000,N1012,$D$2:$D$2000,"&lt;&gt;"&amp;D1012)&gt;0,"CONFLICT","")</f>
        <v/>
      </c>
      <c r="P1012" s="7"/>
    </row>
    <row r="1013" customFormat="false" ht="15" hidden="false" customHeight="false" outlineLevel="0" collapsed="false">
      <c r="A1013" s="7" t="s">
        <v>2389</v>
      </c>
      <c r="B1013" s="7" t="s">
        <v>1879</v>
      </c>
      <c r="C1013" s="7"/>
      <c r="D1013" s="6" t="s">
        <v>618</v>
      </c>
      <c r="E1013" s="6" t="s">
        <v>1880</v>
      </c>
      <c r="F1013" s="7" t="str">
        <f aca="false">IF($D1013="","",IFERROR(IF(INDEX(Hierarchy!$B$2:$B$1295,MATCH($D1013,Hierarchy!$A$2:$A$1295,0))="","",INDEX(Hierarchy!$B$2:$B$1295,MATCH($D1013,Hierarchy!$A$2:$A$1295,0))),"NODE NOT FOUND"))</f>
        <v>Sub-region group</v>
      </c>
      <c r="G1013" s="7" t="str">
        <f aca="false">IF($D1013="","",IFERROR(IF(INDEX(Hierarchy!$D$2:$D$1295,MATCH($D1013,Hierarchy!$A$2:$A$1295,0))="","",INDEX(Hierarchy!$D$2:$D$1295,MATCH($D1013,Hierarchy!$A$2:$A$1295,0))),"NODE NOT FOUND"))</f>
        <v>EMEA</v>
      </c>
      <c r="H1013" s="7" t="str">
        <f aca="false">IF($D1013="","",IFERROR(IF(INDEX(Hierarchy!$E$2:$E$1295,MATCH($D1013,Hierarchy!$A$2:$A$1295,0))="","",INDEX(Hierarchy!$E$2:$E$1295,MATCH($D1013,Hierarchy!$A$2:$A$1295,0))),"NODE NOT FOUND"))</f>
        <v/>
      </c>
      <c r="I1013" s="7" t="str">
        <f aca="false">IF($D1013="","",IFERROR(IF(INDEX(Hierarchy!$F$2:$F$1295,MATCH($D1013,Hierarchy!$A$2:$A$1295,0))="","",INDEX(Hierarchy!$F$2:$F$1295,MATCH($D1013,Hierarchy!$A$2:$A$1295,0))),"NODE NOT FOUND"))</f>
        <v/>
      </c>
      <c r="J1013" s="7" t="str">
        <f aca="false">IF($D1013="","",IFERROR(IF(INDEX(Hierarchy!$G$2:$G$1295,MATCH($D1013,Hierarchy!$A$2:$A$1295,0))="","",INDEX(Hierarchy!$G$2:$G$1295,MATCH($D1013,Hierarchy!$A$2:$A$1295,0))),"NODE NOT FOUND"))</f>
        <v/>
      </c>
      <c r="K1013" s="7" t="str">
        <f aca="false">IF($D1013="","",IFERROR(IF(INDEX(Hierarchy!$H$2:$H$1295,MATCH($D1013,Hierarchy!$A$2:$A$1295,0))="","",INDEX(Hierarchy!$H$2:$H$1295,MATCH($D1013,Hierarchy!$A$2:$A$1295,0))),"NODE NOT FOUND"))</f>
        <v/>
      </c>
      <c r="L1013" s="7" t="str">
        <f aca="false">IF($D1013="","",IFERROR(IF(INDEX(Hierarchy!$I$2:$I$1295,MATCH($D1013,Hierarchy!$A$2:$A$1295,0))="","",INDEX(Hierarchy!$I$2:$I$1295,MATCH($D1013,Hierarchy!$A$2:$A$1295,0))),"NODE NOT FOUND"))</f>
        <v/>
      </c>
      <c r="M1013" s="17" t="str">
        <f aca="false">IF(B1013="Pre-seeded","Pre-seeded",IF(B1013="Review 2026-09-16","Added from review",IF(C1013="","New",IF(C1013=D1013,"","Changed"))))</f>
        <v>Pre-seeded</v>
      </c>
      <c r="N1013" s="7" t="str">
        <f aca="false">TRIM(SUBSTITUTE(SUBSTITUTE(SUBSTITUTE(" "&amp;TRIM(SUBSTITUTE(SUBSTITUTE(SUBSTITUTE(SUBSTITUTE(SUBSTITUTE(SUBSTITUTE(SUBSTITUTE(SUBSTITUTE(SUBSTITUTE(SUBSTITUTE(SUBSTITUTE(SUBSTITUTE(SUBSTITUTE(SUBSTITUTE(SUBSTITUTE(UPPER(TRIM(A1013)),"[MEMBER]",""),"{MEMBER}",""),"[MEMBER}",""),"MEMBER]",""),"(A)",""),"""",""),"“",""),"”",""),".",""),":",""),",",""),"–"," "),"-"," "),"/"," "),"&amp;"," AND "))&amp;" "," THE "," ")," TOTAL "," ")," OPERATIONS "," "))</f>
        <v>MENA</v>
      </c>
      <c r="O1013" s="17" t="str">
        <f aca="false">IF(COUNTIFS($N$2:$N$2000,N1013,$D$2:$D$2000,"&lt;&gt;"&amp;D1013)&gt;0,"CONFLICT","")</f>
        <v/>
      </c>
      <c r="P1013" s="7"/>
    </row>
    <row r="1014" customFormat="false" ht="15" hidden="false" customHeight="false" outlineLevel="0" collapsed="false">
      <c r="A1014" s="7" t="s">
        <v>2390</v>
      </c>
      <c r="B1014" s="7" t="s">
        <v>1879</v>
      </c>
      <c r="C1014" s="7"/>
      <c r="D1014" s="6" t="s">
        <v>1841</v>
      </c>
      <c r="E1014" s="6" t="s">
        <v>1880</v>
      </c>
      <c r="F1014" s="7" t="str">
        <f aca="false">IF($D1014="","",IFERROR(IF(INDEX(Hierarchy!$B$2:$B$1295,MATCH($D1014,Hierarchy!$A$2:$A$1295,0))="","",INDEX(Hierarchy!$B$2:$B$1295,MATCH($D1014,Hierarchy!$A$2:$A$1295,0))),"NODE NOT FOUND"))</f>
        <v>Reference grouping</v>
      </c>
      <c r="G1014" s="7" t="str">
        <f aca="false">IF($D1014="","",IFERROR(IF(INDEX(Hierarchy!$D$2:$D$1295,MATCH($D1014,Hierarchy!$A$2:$A$1295,0))="","",INDEX(Hierarchy!$D$2:$D$1295,MATCH($D1014,Hierarchy!$A$2:$A$1295,0))),"NODE NOT FOUND"))</f>
        <v>Reference (UN / World Bank)</v>
      </c>
      <c r="H1014" s="7" t="str">
        <f aca="false">IF($D1014="","",IFERROR(IF(INDEX(Hierarchy!$E$2:$E$1295,MATCH($D1014,Hierarchy!$A$2:$A$1295,0))="","",INDEX(Hierarchy!$E$2:$E$1295,MATCH($D1014,Hierarchy!$A$2:$A$1295,0))),"NODE NOT FOUND"))</f>
        <v/>
      </c>
      <c r="I1014" s="7" t="str">
        <f aca="false">IF($D1014="","",IFERROR(IF(INDEX(Hierarchy!$F$2:$F$1295,MATCH($D1014,Hierarchy!$A$2:$A$1295,0))="","",INDEX(Hierarchy!$F$2:$F$1295,MATCH($D1014,Hierarchy!$A$2:$A$1295,0))),"NODE NOT FOUND"))</f>
        <v/>
      </c>
      <c r="J1014" s="7" t="str">
        <f aca="false">IF($D1014="","",IFERROR(IF(INDEX(Hierarchy!$G$2:$G$1295,MATCH($D1014,Hierarchy!$A$2:$A$1295,0))="","",INDEX(Hierarchy!$G$2:$G$1295,MATCH($D1014,Hierarchy!$A$2:$A$1295,0))),"NODE NOT FOUND"))</f>
        <v/>
      </c>
      <c r="K1014" s="7" t="str">
        <f aca="false">IF($D1014="","",IFERROR(IF(INDEX(Hierarchy!$H$2:$H$1295,MATCH($D1014,Hierarchy!$A$2:$A$1295,0))="","",INDEX(Hierarchy!$H$2:$H$1295,MATCH($D1014,Hierarchy!$A$2:$A$1295,0))),"NODE NOT FOUND"))</f>
        <v/>
      </c>
      <c r="L1014" s="7" t="str">
        <f aca="false">IF($D1014="","",IFERROR(IF(INDEX(Hierarchy!$I$2:$I$1295,MATCH($D1014,Hierarchy!$A$2:$A$1295,0))="","",INDEX(Hierarchy!$I$2:$I$1295,MATCH($D1014,Hierarchy!$A$2:$A$1295,0))),"NODE NOT FOUND"))</f>
        <v/>
      </c>
      <c r="M1014" s="17" t="str">
        <f aca="false">IF(B1014="Pre-seeded","Pre-seeded",IF(B1014="Review 2026-09-16","Added from review",IF(C1014="","New",IF(C1014=D1014,"","Changed"))))</f>
        <v>Pre-seeded</v>
      </c>
      <c r="N1014" s="7" t="str">
        <f aca="false">TRIM(SUBSTITUTE(SUBSTITUTE(SUBSTITUTE(" "&amp;TRIM(SUBSTITUTE(SUBSTITUTE(SUBSTITUTE(SUBSTITUTE(SUBSTITUTE(SUBSTITUTE(SUBSTITUTE(SUBSTITUTE(SUBSTITUTE(SUBSTITUTE(SUBSTITUTE(SUBSTITUTE(SUBSTITUTE(SUBSTITUTE(SUBSTITUTE(UPPER(TRIM(A1014)),"[MEMBER]",""),"{MEMBER}",""),"[MEMBER}",""),"MEMBER]",""),"(A)",""),"""",""),"“",""),"”",""),".",""),":",""),",",""),"–"," "),"-"," "),"/"," "),"&amp;"," AND "))&amp;" "," THE "," ")," TOTAL "," ")," OPERATIONS "," "))</f>
        <v>MENAAP</v>
      </c>
      <c r="O1014" s="17" t="str">
        <f aca="false">IF(COUNTIFS($N$2:$N$2000,N1014,$D$2:$D$2000,"&lt;&gt;"&amp;D1014)&gt;0,"CONFLICT","")</f>
        <v/>
      </c>
      <c r="P1014" s="7"/>
    </row>
    <row r="1015" customFormat="false" ht="15" hidden="false" customHeight="false" outlineLevel="0" collapsed="false">
      <c r="A1015" s="7" t="s">
        <v>441</v>
      </c>
      <c r="B1015" s="7" t="s">
        <v>1879</v>
      </c>
      <c r="C1015" s="7"/>
      <c r="D1015" s="6" t="s">
        <v>441</v>
      </c>
      <c r="E1015" s="6" t="s">
        <v>1880</v>
      </c>
      <c r="F1015" s="7" t="str">
        <f aca="false">IF($D1015="","",IFERROR(IF(INDEX(Hierarchy!$B$2:$B$1295,MATCH($D1015,Hierarchy!$A$2:$A$1295,0))="","",INDEX(Hierarchy!$B$2:$B$1295,MATCH($D1015,Hierarchy!$A$2:$A$1295,0))),"NODE NOT FOUND"))</f>
        <v>State/Province</v>
      </c>
      <c r="G1015" s="7" t="str">
        <f aca="false">IF($D1015="","",IFERROR(IF(INDEX(Hierarchy!$D$2:$D$1295,MATCH($D1015,Hierarchy!$A$2:$A$1295,0))="","",INDEX(Hierarchy!$D$2:$D$1295,MATCH($D1015,Hierarchy!$A$2:$A$1295,0))),"NODE NOT FOUND"))</f>
        <v>AMER</v>
      </c>
      <c r="H1015" s="7" t="str">
        <f aca="false">IF($D1015="","",IFERROR(IF(INDEX(Hierarchy!$E$2:$E$1295,MATCH($D1015,Hierarchy!$A$2:$A$1295,0))="","",INDEX(Hierarchy!$E$2:$E$1295,MATCH($D1015,Hierarchy!$A$2:$A$1295,0))),"NODE NOT FOUND"))</f>
        <v>Latin America (LATAM)</v>
      </c>
      <c r="I1015" s="7" t="str">
        <f aca="false">IF($D1015="","",IFERROR(IF(INDEX(Hierarchy!$F$2:$F$1295,MATCH($D1015,Hierarchy!$A$2:$A$1295,0))="","",INDEX(Hierarchy!$F$2:$F$1295,MATCH($D1015,Hierarchy!$A$2:$A$1295,0))),"NODE NOT FOUND"))</f>
        <v>Argentina</v>
      </c>
      <c r="J1015" s="7" t="str">
        <f aca="false">IF($D1015="","",IFERROR(IF(INDEX(Hierarchy!$G$2:$G$1295,MATCH($D1015,Hierarchy!$A$2:$A$1295,0))="","",INDEX(Hierarchy!$G$2:$G$1295,MATCH($D1015,Hierarchy!$A$2:$A$1295,0))),"NODE NOT FOUND"))</f>
        <v>ARG</v>
      </c>
      <c r="K1015" s="7" t="str">
        <f aca="false">IF($D1015="","",IFERROR(IF(INDEX(Hierarchy!$H$2:$H$1295,MATCH($D1015,Hierarchy!$A$2:$A$1295,0))="","",INDEX(Hierarchy!$H$2:$H$1295,MATCH($D1015,Hierarchy!$A$2:$A$1295,0))),"NODE NOT FOUND"))</f>
        <v>Mendoza</v>
      </c>
      <c r="L1015" s="7" t="str">
        <f aca="false">IF($D1015="","",IFERROR(IF(INDEX(Hierarchy!$I$2:$I$1295,MATCH($D1015,Hierarchy!$A$2:$A$1295,0))="","",INDEX(Hierarchy!$I$2:$I$1295,MATCH($D1015,Hierarchy!$A$2:$A$1295,0))),"NODE NOT FOUND"))</f>
        <v/>
      </c>
      <c r="M1015" s="17" t="str">
        <f aca="false">IF(B1015="Pre-seeded","Pre-seeded",IF(B1015="Review 2026-09-16","Added from review",IF(C1015="","New",IF(C1015=D1015,"","Changed"))))</f>
        <v>Pre-seeded</v>
      </c>
      <c r="N1015" s="7" t="str">
        <f aca="false">TRIM(SUBSTITUTE(SUBSTITUTE(SUBSTITUTE(" "&amp;TRIM(SUBSTITUTE(SUBSTITUTE(SUBSTITUTE(SUBSTITUTE(SUBSTITUTE(SUBSTITUTE(SUBSTITUTE(SUBSTITUTE(SUBSTITUTE(SUBSTITUTE(SUBSTITUTE(SUBSTITUTE(SUBSTITUTE(SUBSTITUTE(SUBSTITUTE(UPPER(TRIM(A1015)),"[MEMBER]",""),"{MEMBER}",""),"[MEMBER}",""),"MEMBER]",""),"(A)",""),"""",""),"“",""),"”",""),".",""),":",""),",",""),"–"," "),"-"," "),"/"," "),"&amp;"," AND "))&amp;" "," THE "," ")," TOTAL "," ")," OPERATIONS "," "))</f>
        <v>MENDOZA</v>
      </c>
      <c r="O1015" s="17" t="str">
        <f aca="false">IF(COUNTIFS($N$2:$N$2000,N1015,$D$2:$D$2000,"&lt;&gt;"&amp;D1015)&gt;0,"CONFLICT","")</f>
        <v/>
      </c>
      <c r="P1015" s="7"/>
    </row>
    <row r="1016" customFormat="false" ht="15" hidden="false" customHeight="false" outlineLevel="0" collapsed="false">
      <c r="A1016" s="7" t="s">
        <v>322</v>
      </c>
      <c r="B1016" s="7" t="s">
        <v>1879</v>
      </c>
      <c r="C1016" s="7"/>
      <c r="D1016" s="6" t="s">
        <v>322</v>
      </c>
      <c r="E1016" s="6" t="s">
        <v>1880</v>
      </c>
      <c r="F1016" s="7" t="str">
        <f aca="false">IF($D1016="","",IFERROR(IF(INDEX(Hierarchy!$B$2:$B$1295,MATCH($D1016,Hierarchy!$A$2:$A$1295,0))="","",INDEX(Hierarchy!$B$2:$B$1295,MATCH($D1016,Hierarchy!$A$2:$A$1295,0))),"NODE NOT FOUND"))</f>
        <v>Sub-region component</v>
      </c>
      <c r="G1016" s="7" t="str">
        <f aca="false">IF($D1016="","",IFERROR(IF(INDEX(Hierarchy!$D$2:$D$1295,MATCH($D1016,Hierarchy!$A$2:$A$1295,0))="","",INDEX(Hierarchy!$D$2:$D$1295,MATCH($D1016,Hierarchy!$A$2:$A$1295,0))),"NODE NOT FOUND"))</f>
        <v>AMER</v>
      </c>
      <c r="H1016" s="7" t="str">
        <f aca="false">IF($D1016="","",IFERROR(IF(INDEX(Hierarchy!$E$2:$E$1295,MATCH($D1016,Hierarchy!$A$2:$A$1295,0))="","",INDEX(Hierarchy!$E$2:$E$1295,MATCH($D1016,Hierarchy!$A$2:$A$1295,0))),"NODE NOT FOUND"))</f>
        <v>Latin America (LATAM)</v>
      </c>
      <c r="I1016" s="7" t="str">
        <f aca="false">IF($D1016="","",IFERROR(IF(INDEX(Hierarchy!$F$2:$F$1295,MATCH($D1016,Hierarchy!$A$2:$A$1295,0))="","",INDEX(Hierarchy!$F$2:$F$1295,MATCH($D1016,Hierarchy!$A$2:$A$1295,0))),"NODE NOT FOUND"))</f>
        <v/>
      </c>
      <c r="J1016" s="7" t="str">
        <f aca="false">IF($D1016="","",IFERROR(IF(INDEX(Hierarchy!$G$2:$G$1295,MATCH($D1016,Hierarchy!$A$2:$A$1295,0))="","",INDEX(Hierarchy!$G$2:$G$1295,MATCH($D1016,Hierarchy!$A$2:$A$1295,0))),"NODE NOT FOUND"))</f>
        <v/>
      </c>
      <c r="K1016" s="7" t="str">
        <f aca="false">IF($D1016="","",IFERROR(IF(INDEX(Hierarchy!$H$2:$H$1295,MATCH($D1016,Hierarchy!$A$2:$A$1295,0))="","",INDEX(Hierarchy!$H$2:$H$1295,MATCH($D1016,Hierarchy!$A$2:$A$1295,0))),"NODE NOT FOUND"))</f>
        <v/>
      </c>
      <c r="L1016" s="7" t="str">
        <f aca="false">IF($D1016="","",IFERROR(IF(INDEX(Hierarchy!$I$2:$I$1295,MATCH($D1016,Hierarchy!$A$2:$A$1295,0))="","",INDEX(Hierarchy!$I$2:$I$1295,MATCH($D1016,Hierarchy!$A$2:$A$1295,0))),"NODE NOT FOUND"))</f>
        <v/>
      </c>
      <c r="M1016" s="17" t="str">
        <f aca="false">IF(B1016="Pre-seeded","Pre-seeded",IF(B1016="Review 2026-09-16","Added from review",IF(C1016="","New",IF(C1016=D1016,"","Changed"))))</f>
        <v>Pre-seeded</v>
      </c>
      <c r="N1016" s="7" t="str">
        <f aca="false">TRIM(SUBSTITUTE(SUBSTITUTE(SUBSTITUTE(" "&amp;TRIM(SUBSTITUTE(SUBSTITUTE(SUBSTITUTE(SUBSTITUTE(SUBSTITUTE(SUBSTITUTE(SUBSTITUTE(SUBSTITUTE(SUBSTITUTE(SUBSTITUTE(SUBSTITUTE(SUBSTITUTE(SUBSTITUTE(SUBSTITUTE(SUBSTITUTE(UPPER(TRIM(A1016)),"[MEMBER]",""),"{MEMBER}",""),"[MEMBER}",""),"MEMBER]",""),"(A)",""),"""",""),"“",""),"”",""),".",""),":",""),",",""),"–"," "),"-"," "),"/"," "),"&amp;"," AND "))&amp;" "," THE "," ")," TOTAL "," ")," OPERATIONS "," "))</f>
        <v>MERCOSUR</v>
      </c>
      <c r="O1016" s="17" t="str">
        <f aca="false">IF(COUNTIFS($N$2:$N$2000,N1016,$D$2:$D$2000,"&lt;&gt;"&amp;D1016)&gt;0,"CONFLICT","")</f>
        <v/>
      </c>
      <c r="P1016" s="7"/>
    </row>
    <row r="1017" customFormat="false" ht="15" hidden="false" customHeight="false" outlineLevel="0" collapsed="false">
      <c r="A1017" s="7" t="s">
        <v>521</v>
      </c>
      <c r="B1017" s="7" t="s">
        <v>1879</v>
      </c>
      <c r="C1017" s="7"/>
      <c r="D1017" s="6" t="s">
        <v>521</v>
      </c>
      <c r="E1017" s="6" t="s">
        <v>1880</v>
      </c>
      <c r="F1017" s="7" t="str">
        <f aca="false">IF($D1017="","",IFERROR(IF(INDEX(Hierarchy!$B$2:$B$1295,MATCH($D1017,Hierarchy!$A$2:$A$1295,0))="","",INDEX(Hierarchy!$B$2:$B$1295,MATCH($D1017,Hierarchy!$A$2:$A$1295,0))),"NODE NOT FOUND"))</f>
        <v>State/Province</v>
      </c>
      <c r="G1017" s="7" t="str">
        <f aca="false">IF($D1017="","",IFERROR(IF(INDEX(Hierarchy!$D$2:$D$1295,MATCH($D1017,Hierarchy!$A$2:$A$1295,0))="","",INDEX(Hierarchy!$D$2:$D$1295,MATCH($D1017,Hierarchy!$A$2:$A$1295,0))),"NODE NOT FOUND"))</f>
        <v>AMER</v>
      </c>
      <c r="H1017" s="7" t="str">
        <f aca="false">IF($D1017="","",IFERROR(IF(INDEX(Hierarchy!$E$2:$E$1295,MATCH($D1017,Hierarchy!$A$2:$A$1295,0))="","",INDEX(Hierarchy!$E$2:$E$1295,MATCH($D1017,Hierarchy!$A$2:$A$1295,0))),"NODE NOT FOUND"))</f>
        <v>Latin America (LATAM)</v>
      </c>
      <c r="I1017" s="7" t="str">
        <f aca="false">IF($D1017="","",IFERROR(IF(INDEX(Hierarchy!$F$2:$F$1295,MATCH($D1017,Hierarchy!$A$2:$A$1295,0))="","",INDEX(Hierarchy!$F$2:$F$1295,MATCH($D1017,Hierarchy!$A$2:$A$1295,0))),"NODE NOT FOUND"))</f>
        <v>Colombia</v>
      </c>
      <c r="J1017" s="7" t="str">
        <f aca="false">IF($D1017="","",IFERROR(IF(INDEX(Hierarchy!$G$2:$G$1295,MATCH($D1017,Hierarchy!$A$2:$A$1295,0))="","",INDEX(Hierarchy!$G$2:$G$1295,MATCH($D1017,Hierarchy!$A$2:$A$1295,0))),"NODE NOT FOUND"))</f>
        <v>COL</v>
      </c>
      <c r="K1017" s="7" t="str">
        <f aca="false">IF($D1017="","",IFERROR(IF(INDEX(Hierarchy!$H$2:$H$1295,MATCH($D1017,Hierarchy!$A$2:$A$1295,0))="","",INDEX(Hierarchy!$H$2:$H$1295,MATCH($D1017,Hierarchy!$A$2:$A$1295,0))),"NODE NOT FOUND"))</f>
        <v>Meta</v>
      </c>
      <c r="L1017" s="7" t="str">
        <f aca="false">IF($D1017="","",IFERROR(IF(INDEX(Hierarchy!$I$2:$I$1295,MATCH($D1017,Hierarchy!$A$2:$A$1295,0))="","",INDEX(Hierarchy!$I$2:$I$1295,MATCH($D1017,Hierarchy!$A$2:$A$1295,0))),"NODE NOT FOUND"))</f>
        <v/>
      </c>
      <c r="M1017" s="17" t="str">
        <f aca="false">IF(B1017="Pre-seeded","Pre-seeded",IF(B1017="Review 2026-09-16","Added from review",IF(C1017="","New",IF(C1017=D1017,"","Changed"))))</f>
        <v>Pre-seeded</v>
      </c>
      <c r="N1017" s="7" t="str">
        <f aca="false">TRIM(SUBSTITUTE(SUBSTITUTE(SUBSTITUTE(" "&amp;TRIM(SUBSTITUTE(SUBSTITUTE(SUBSTITUTE(SUBSTITUTE(SUBSTITUTE(SUBSTITUTE(SUBSTITUTE(SUBSTITUTE(SUBSTITUTE(SUBSTITUTE(SUBSTITUTE(SUBSTITUTE(SUBSTITUTE(SUBSTITUTE(SUBSTITUTE(UPPER(TRIM(A1017)),"[MEMBER]",""),"{MEMBER}",""),"[MEMBER}",""),"MEMBER]",""),"(A)",""),"""",""),"“",""),"”",""),".",""),":",""),",",""),"–"," "),"-"," "),"/"," "),"&amp;"," AND "))&amp;" "," THE "," ")," TOTAL "," ")," OPERATIONS "," "))</f>
        <v>META</v>
      </c>
      <c r="O1017" s="17" t="str">
        <f aca="false">IF(COUNTIFS($N$2:$N$2000,N1017,$D$2:$D$2000,"&lt;&gt;"&amp;D1017)&gt;0,"CONFLICT","")</f>
        <v/>
      </c>
      <c r="P1017" s="7"/>
    </row>
    <row r="1018" customFormat="false" ht="15" hidden="false" customHeight="false" outlineLevel="0" collapsed="false">
      <c r="A1018" s="7" t="s">
        <v>2391</v>
      </c>
      <c r="B1018" s="7" t="s">
        <v>1879</v>
      </c>
      <c r="C1018" s="7"/>
      <c r="D1018" s="6" t="s">
        <v>1675</v>
      </c>
      <c r="E1018" s="6" t="s">
        <v>1880</v>
      </c>
      <c r="F1018" s="7" t="str">
        <f aca="false">IF($D1018="","",IFERROR(IF(INDEX(Hierarchy!$B$2:$B$1295,MATCH($D1018,Hierarchy!$A$2:$A$1295,0))="","",INDEX(Hierarchy!$B$2:$B$1295,MATCH($D1018,Hierarchy!$A$2:$A$1295,0))),"NODE NOT FOUND"))</f>
        <v>State/Province</v>
      </c>
      <c r="G1018" s="7" t="str">
        <f aca="false">IF($D1018="","",IFERROR(IF(INDEX(Hierarchy!$D$2:$D$1295,MATCH($D1018,Hierarchy!$A$2:$A$1295,0))="","",INDEX(Hierarchy!$D$2:$D$1295,MATCH($D1018,Hierarchy!$A$2:$A$1295,0))),"NODE NOT FOUND"))</f>
        <v>APAC</v>
      </c>
      <c r="H1018" s="7" t="str">
        <f aca="false">IF($D1018="","",IFERROR(IF(INDEX(Hierarchy!$E$2:$E$1295,MATCH($D1018,Hierarchy!$A$2:$A$1295,0))="","",INDEX(Hierarchy!$E$2:$E$1295,MATCH($D1018,Hierarchy!$A$2:$A$1295,0))),"NODE NOT FOUND"))</f>
        <v>Southeast Asia (ASEAN)</v>
      </c>
      <c r="I1018" s="7" t="str">
        <f aca="false">IF($D1018="","",IFERROR(IF(INDEX(Hierarchy!$F$2:$F$1295,MATCH($D1018,Hierarchy!$A$2:$A$1295,0))="","",INDEX(Hierarchy!$F$2:$F$1295,MATCH($D1018,Hierarchy!$A$2:$A$1295,0))),"NODE NOT FOUND"))</f>
        <v>Philippines</v>
      </c>
      <c r="J1018" s="7" t="str">
        <f aca="false">IF($D1018="","",IFERROR(IF(INDEX(Hierarchy!$G$2:$G$1295,MATCH($D1018,Hierarchy!$A$2:$A$1295,0))="","",INDEX(Hierarchy!$G$2:$G$1295,MATCH($D1018,Hierarchy!$A$2:$A$1295,0))),"NODE NOT FOUND"))</f>
        <v>PHL</v>
      </c>
      <c r="K1018" s="7" t="str">
        <f aca="false">IF($D1018="","",IFERROR(IF(INDEX(Hierarchy!$H$2:$H$1295,MATCH($D1018,Hierarchy!$A$2:$A$1295,0))="","",INDEX(Hierarchy!$H$2:$H$1295,MATCH($D1018,Hierarchy!$A$2:$A$1295,0))),"NODE NOT FOUND"))</f>
        <v>National Capital Region (Metro Manila)</v>
      </c>
      <c r="L1018" s="7" t="str">
        <f aca="false">IF($D1018="","",IFERROR(IF(INDEX(Hierarchy!$I$2:$I$1295,MATCH($D1018,Hierarchy!$A$2:$A$1295,0))="","",INDEX(Hierarchy!$I$2:$I$1295,MATCH($D1018,Hierarchy!$A$2:$A$1295,0))),"NODE NOT FOUND"))</f>
        <v/>
      </c>
      <c r="M1018" s="17" t="str">
        <f aca="false">IF(B1018="Pre-seeded","Pre-seeded",IF(B1018="Review 2026-09-16","Added from review",IF(C1018="","New",IF(C1018=D1018,"","Changed"))))</f>
        <v>Pre-seeded</v>
      </c>
      <c r="N1018" s="7" t="str">
        <f aca="false">TRIM(SUBSTITUTE(SUBSTITUTE(SUBSTITUTE(" "&amp;TRIM(SUBSTITUTE(SUBSTITUTE(SUBSTITUTE(SUBSTITUTE(SUBSTITUTE(SUBSTITUTE(SUBSTITUTE(SUBSTITUTE(SUBSTITUTE(SUBSTITUTE(SUBSTITUTE(SUBSTITUTE(SUBSTITUTE(SUBSTITUTE(SUBSTITUTE(UPPER(TRIM(A1018)),"[MEMBER]",""),"{MEMBER}",""),"[MEMBER}",""),"MEMBER]",""),"(A)",""),"""",""),"“",""),"”",""),".",""),":",""),",",""),"–"," "),"-"," "),"/"," "),"&amp;"," AND "))&amp;" "," THE "," ")," TOTAL "," ")," OPERATIONS "," "))</f>
        <v>METRO MANILA</v>
      </c>
      <c r="O1018" s="17" t="str">
        <f aca="false">IF(COUNTIFS($N$2:$N$2000,N1018,$D$2:$D$2000,"&lt;&gt;"&amp;D1018)&gt;0,"CONFLICT","")</f>
        <v/>
      </c>
      <c r="P1018" s="7"/>
    </row>
    <row r="1019" customFormat="false" ht="15" hidden="false" customHeight="false" outlineLevel="0" collapsed="false">
      <c r="A1019" s="7" t="s">
        <v>376</v>
      </c>
      <c r="B1019" s="7" t="s">
        <v>1882</v>
      </c>
      <c r="C1019" s="7" t="s">
        <v>376</v>
      </c>
      <c r="D1019" s="6" t="s">
        <v>376</v>
      </c>
      <c r="E1019" s="6" t="s">
        <v>1880</v>
      </c>
      <c r="F1019" s="7" t="str">
        <f aca="false">IF($D1019="","",IFERROR(IF(INDEX(Hierarchy!$B$2:$B$1295,MATCH($D1019,Hierarchy!$A$2:$A$1295,0))="","",INDEX(Hierarchy!$B$2:$B$1295,MATCH($D1019,Hierarchy!$A$2:$A$1295,0))),"NODE NOT FOUND"))</f>
        <v>Country</v>
      </c>
      <c r="G1019" s="7" t="str">
        <f aca="false">IF($D1019="","",IFERROR(IF(INDEX(Hierarchy!$D$2:$D$1295,MATCH($D1019,Hierarchy!$A$2:$A$1295,0))="","",INDEX(Hierarchy!$D$2:$D$1295,MATCH($D1019,Hierarchy!$A$2:$A$1295,0))),"NODE NOT FOUND"))</f>
        <v>AMER</v>
      </c>
      <c r="H1019" s="7" t="str">
        <f aca="false">IF($D1019="","",IFERROR(IF(INDEX(Hierarchy!$E$2:$E$1295,MATCH($D1019,Hierarchy!$A$2:$A$1295,0))="","",INDEX(Hierarchy!$E$2:$E$1295,MATCH($D1019,Hierarchy!$A$2:$A$1295,0))),"NODE NOT FOUND"))</f>
        <v>Latin America (LATAM)</v>
      </c>
      <c r="I1019" s="7" t="str">
        <f aca="false">IF($D1019="","",IFERROR(IF(INDEX(Hierarchy!$F$2:$F$1295,MATCH($D1019,Hierarchy!$A$2:$A$1295,0))="","",INDEX(Hierarchy!$F$2:$F$1295,MATCH($D1019,Hierarchy!$A$2:$A$1295,0))),"NODE NOT FOUND"))</f>
        <v>Mexico</v>
      </c>
      <c r="J1019" s="7" t="str">
        <f aca="false">IF($D1019="","",IFERROR(IF(INDEX(Hierarchy!$G$2:$G$1295,MATCH($D1019,Hierarchy!$A$2:$A$1295,0))="","",INDEX(Hierarchy!$G$2:$G$1295,MATCH($D1019,Hierarchy!$A$2:$A$1295,0))),"NODE NOT FOUND"))</f>
        <v>MEX</v>
      </c>
      <c r="K1019" s="7" t="str">
        <f aca="false">IF($D1019="","",IFERROR(IF(INDEX(Hierarchy!$H$2:$H$1295,MATCH($D1019,Hierarchy!$A$2:$A$1295,0))="","",INDEX(Hierarchy!$H$2:$H$1295,MATCH($D1019,Hierarchy!$A$2:$A$1295,0))),"NODE NOT FOUND"))</f>
        <v/>
      </c>
      <c r="L1019" s="7" t="str">
        <f aca="false">IF($D1019="","",IFERROR(IF(INDEX(Hierarchy!$I$2:$I$1295,MATCH($D1019,Hierarchy!$A$2:$A$1295,0))="","",INDEX(Hierarchy!$I$2:$I$1295,MATCH($D1019,Hierarchy!$A$2:$A$1295,0))),"NODE NOT FOUND"))</f>
        <v/>
      </c>
      <c r="M1019" s="17" t="str">
        <f aca="false">IF(B1019="Pre-seeded","Pre-seeded",IF(B1019="Review 2026-09-16","Added from review",IF(C1019="","New",IF(C1019=D1019,"","Changed"))))</f>
        <v/>
      </c>
      <c r="N1019" s="7" t="str">
        <f aca="false">TRIM(SUBSTITUTE(SUBSTITUTE(SUBSTITUTE(" "&amp;TRIM(SUBSTITUTE(SUBSTITUTE(SUBSTITUTE(SUBSTITUTE(SUBSTITUTE(SUBSTITUTE(SUBSTITUTE(SUBSTITUTE(SUBSTITUTE(SUBSTITUTE(SUBSTITUTE(SUBSTITUTE(SUBSTITUTE(SUBSTITUTE(SUBSTITUTE(UPPER(TRIM(A1019)),"[MEMBER]",""),"{MEMBER}",""),"[MEMBER}",""),"MEMBER]",""),"(A)",""),"""",""),"“",""),"”",""),".",""),":",""),",",""),"–"," "),"-"," "),"/"," "),"&amp;"," AND "))&amp;" "," THE "," ")," TOTAL "," ")," OPERATIONS "," "))</f>
        <v>MEXICO</v>
      </c>
      <c r="O1019" s="17" t="str">
        <f aca="false">IF(COUNTIFS($N$2:$N$2000,N1019,$D$2:$D$2000,"&lt;&gt;"&amp;D1019)&gt;0,"CONFLICT","")</f>
        <v/>
      </c>
      <c r="P1019" s="7"/>
    </row>
    <row r="1020" customFormat="false" ht="15" hidden="false" customHeight="false" outlineLevel="0" collapsed="false">
      <c r="A1020" s="7" t="s">
        <v>2392</v>
      </c>
      <c r="B1020" s="7" t="s">
        <v>1882</v>
      </c>
      <c r="C1020" s="7" t="s">
        <v>376</v>
      </c>
      <c r="D1020" s="6" t="s">
        <v>376</v>
      </c>
      <c r="E1020" s="6" t="s">
        <v>1880</v>
      </c>
      <c r="F1020" s="7" t="str">
        <f aca="false">IF($D1020="","",IFERROR(IF(INDEX(Hierarchy!$B$2:$B$1295,MATCH($D1020,Hierarchy!$A$2:$A$1295,0))="","",INDEX(Hierarchy!$B$2:$B$1295,MATCH($D1020,Hierarchy!$A$2:$A$1295,0))),"NODE NOT FOUND"))</f>
        <v>Country</v>
      </c>
      <c r="G1020" s="7" t="str">
        <f aca="false">IF($D1020="","",IFERROR(IF(INDEX(Hierarchy!$D$2:$D$1295,MATCH($D1020,Hierarchy!$A$2:$A$1295,0))="","",INDEX(Hierarchy!$D$2:$D$1295,MATCH($D1020,Hierarchy!$A$2:$A$1295,0))),"NODE NOT FOUND"))</f>
        <v>AMER</v>
      </c>
      <c r="H1020" s="7" t="str">
        <f aca="false">IF($D1020="","",IFERROR(IF(INDEX(Hierarchy!$E$2:$E$1295,MATCH($D1020,Hierarchy!$A$2:$A$1295,0))="","",INDEX(Hierarchy!$E$2:$E$1295,MATCH($D1020,Hierarchy!$A$2:$A$1295,0))),"NODE NOT FOUND"))</f>
        <v>Latin America (LATAM)</v>
      </c>
      <c r="I1020" s="7" t="str">
        <f aca="false">IF($D1020="","",IFERROR(IF(INDEX(Hierarchy!$F$2:$F$1295,MATCH($D1020,Hierarchy!$A$2:$A$1295,0))="","",INDEX(Hierarchy!$F$2:$F$1295,MATCH($D1020,Hierarchy!$A$2:$A$1295,0))),"NODE NOT FOUND"))</f>
        <v>Mexico</v>
      </c>
      <c r="J1020" s="7" t="str">
        <f aca="false">IF($D1020="","",IFERROR(IF(INDEX(Hierarchy!$G$2:$G$1295,MATCH($D1020,Hierarchy!$A$2:$A$1295,0))="","",INDEX(Hierarchy!$G$2:$G$1295,MATCH($D1020,Hierarchy!$A$2:$A$1295,0))),"NODE NOT FOUND"))</f>
        <v>MEX</v>
      </c>
      <c r="K1020" s="7" t="str">
        <f aca="false">IF($D1020="","",IFERROR(IF(INDEX(Hierarchy!$H$2:$H$1295,MATCH($D1020,Hierarchy!$A$2:$A$1295,0))="","",INDEX(Hierarchy!$H$2:$H$1295,MATCH($D1020,Hierarchy!$A$2:$A$1295,0))),"NODE NOT FOUND"))</f>
        <v/>
      </c>
      <c r="L1020" s="7" t="str">
        <f aca="false">IF($D1020="","",IFERROR(IF(INDEX(Hierarchy!$I$2:$I$1295,MATCH($D1020,Hierarchy!$A$2:$A$1295,0))="","",INDEX(Hierarchy!$I$2:$I$1295,MATCH($D1020,Hierarchy!$A$2:$A$1295,0))),"NODE NOT FOUND"))</f>
        <v/>
      </c>
      <c r="M1020" s="17" t="str">
        <f aca="false">IF(B1020="Pre-seeded","Pre-seeded",IF(B1020="Review 2026-09-16","Added from review",IF(C1020="","New",IF(C1020=D1020,"","Changed"))))</f>
        <v/>
      </c>
      <c r="N1020" s="7" t="str">
        <f aca="false">TRIM(SUBSTITUTE(SUBSTITUTE(SUBSTITUTE(" "&amp;TRIM(SUBSTITUTE(SUBSTITUTE(SUBSTITUTE(SUBSTITUTE(SUBSTITUTE(SUBSTITUTE(SUBSTITUTE(SUBSTITUTE(SUBSTITUTE(SUBSTITUTE(SUBSTITUTE(SUBSTITUTE(SUBSTITUTE(SUBSTITUTE(SUBSTITUTE(UPPER(TRIM(A1020)),"[MEMBER]",""),"{MEMBER}",""),"[MEMBER}",""),"MEMBER]",""),"(A)",""),"""",""),"“",""),"”",""),".",""),":",""),",",""),"–"," "),"-"," "),"/"," "),"&amp;"," AND "))&amp;" "," THE "," ")," TOTAL "," ")," OPERATIONS "," "))</f>
        <v>MEXICO</v>
      </c>
      <c r="O1020" s="17" t="str">
        <f aca="false">IF(COUNTIFS($N$2:$N$2000,N1020,$D$2:$D$2000,"&lt;&gt;"&amp;D1020)&gt;0,"CONFLICT","")</f>
        <v/>
      </c>
      <c r="P1020" s="7"/>
    </row>
    <row r="1021" customFormat="false" ht="15" hidden="false" customHeight="false" outlineLevel="0" collapsed="false">
      <c r="A1021" s="7" t="s">
        <v>2393</v>
      </c>
      <c r="B1021" s="7" t="s">
        <v>1879</v>
      </c>
      <c r="C1021" s="7"/>
      <c r="D1021" s="6" t="s">
        <v>74</v>
      </c>
      <c r="E1021" s="6" t="s">
        <v>1886</v>
      </c>
      <c r="F1021" s="7" t="str">
        <f aca="false">IF($D1021="","",IFERROR(IF(INDEX(Hierarchy!$B$2:$B$1295,MATCH($D1021,Hierarchy!$A$2:$A$1295,0))="","",INDEX(Hierarchy!$B$2:$B$1295,MATCH($D1021,Hierarchy!$A$2:$A$1295,0))),"NODE NOT FOUND"))</f>
        <v>Region</v>
      </c>
      <c r="G1021" s="7" t="str">
        <f aca="false">IF($D1021="","",IFERROR(IF(INDEX(Hierarchy!$D$2:$D$1295,MATCH($D1021,Hierarchy!$A$2:$A$1295,0))="","",INDEX(Hierarchy!$D$2:$D$1295,MATCH($D1021,Hierarchy!$A$2:$A$1295,0))),"NODE NOT FOUND"))</f>
        <v>AMER</v>
      </c>
      <c r="H1021" s="7" t="str">
        <f aca="false">IF($D1021="","",IFERROR(IF(INDEX(Hierarchy!$E$2:$E$1295,MATCH($D1021,Hierarchy!$A$2:$A$1295,0))="","",INDEX(Hierarchy!$E$2:$E$1295,MATCH($D1021,Hierarchy!$A$2:$A$1295,0))),"NODE NOT FOUND"))</f>
        <v/>
      </c>
      <c r="I1021" s="7" t="str">
        <f aca="false">IF($D1021="","",IFERROR(IF(INDEX(Hierarchy!$F$2:$F$1295,MATCH($D1021,Hierarchy!$A$2:$A$1295,0))="","",INDEX(Hierarchy!$F$2:$F$1295,MATCH($D1021,Hierarchy!$A$2:$A$1295,0))),"NODE NOT FOUND"))</f>
        <v/>
      </c>
      <c r="J1021" s="7" t="str">
        <f aca="false">IF($D1021="","",IFERROR(IF(INDEX(Hierarchy!$G$2:$G$1295,MATCH($D1021,Hierarchy!$A$2:$A$1295,0))="","",INDEX(Hierarchy!$G$2:$G$1295,MATCH($D1021,Hierarchy!$A$2:$A$1295,0))),"NODE NOT FOUND"))</f>
        <v/>
      </c>
      <c r="K1021" s="7" t="str">
        <f aca="false">IF($D1021="","",IFERROR(IF(INDEX(Hierarchy!$H$2:$H$1295,MATCH($D1021,Hierarchy!$A$2:$A$1295,0))="","",INDEX(Hierarchy!$H$2:$H$1295,MATCH($D1021,Hierarchy!$A$2:$A$1295,0))),"NODE NOT FOUND"))</f>
        <v/>
      </c>
      <c r="L1021" s="7" t="str">
        <f aca="false">IF($D1021="","",IFERROR(IF(INDEX(Hierarchy!$I$2:$I$1295,MATCH($D1021,Hierarchy!$A$2:$A$1295,0))="","",INDEX(Hierarchy!$I$2:$I$1295,MATCH($D1021,Hierarchy!$A$2:$A$1295,0))),"NODE NOT FOUND"))</f>
        <v/>
      </c>
      <c r="M1021" s="17" t="str">
        <f aca="false">IF(B1021="Pre-seeded","Pre-seeded",IF(B1021="Review 2026-09-16","Added from review",IF(C1021="","New",IF(C1021=D1021,"","Changed"))))</f>
        <v>Pre-seeded</v>
      </c>
      <c r="N1021" s="7" t="str">
        <f aca="false">TRIM(SUBSTITUTE(SUBSTITUTE(SUBSTITUTE(" "&amp;TRIM(SUBSTITUTE(SUBSTITUTE(SUBSTITUTE(SUBSTITUTE(SUBSTITUTE(SUBSTITUTE(SUBSTITUTE(SUBSTITUTE(SUBSTITUTE(SUBSTITUTE(SUBSTITUTE(SUBSTITUTE(SUBSTITUTE(SUBSTITUTE(SUBSTITUTE(UPPER(TRIM(A1021)),"[MEMBER]",""),"{MEMBER}",""),"[MEMBER}",""),"MEMBER]",""),"(A)",""),"""",""),"“",""),"”",""),".",""),":",""),",",""),"–"," "),"-"," "),"/"," "),"&amp;"," AND "))&amp;" "," THE "," ")," TOTAL "," ")," OPERATIONS "," "))</f>
        <v>MEXICO AND CANADA</v>
      </c>
      <c r="O1021" s="17" t="str">
        <f aca="false">IF(COUNTIFS($N$2:$N$2000,N1021,$D$2:$D$2000,"&lt;&gt;"&amp;D1021)&gt;0,"CONFLICT","")</f>
        <v/>
      </c>
      <c r="P1021" s="7"/>
    </row>
    <row r="1022" customFormat="false" ht="15" hidden="false" customHeight="false" outlineLevel="0" collapsed="false">
      <c r="A1022" s="7" t="s">
        <v>2394</v>
      </c>
      <c r="B1022" s="7" t="s">
        <v>1885</v>
      </c>
      <c r="C1022" s="7" t="s">
        <v>2034</v>
      </c>
      <c r="D1022" s="6" t="s">
        <v>312</v>
      </c>
      <c r="E1022" s="6" t="s">
        <v>1891</v>
      </c>
      <c r="F1022" s="7" t="str">
        <f aca="false">IF($D1022="","",IFERROR(IF(INDEX(Hierarchy!$B$2:$B$1295,MATCH($D1022,Hierarchy!$A$2:$A$1295,0))="","",INDEX(Hierarchy!$B$2:$B$1295,MATCH($D1022,Hierarchy!$A$2:$A$1295,0))),"NODE NOT FOUND"))</f>
        <v>Sub-region</v>
      </c>
      <c r="G1022" s="7" t="str">
        <f aca="false">IF($D1022="","",IFERROR(IF(INDEX(Hierarchy!$D$2:$D$1295,MATCH($D1022,Hierarchy!$A$2:$A$1295,0))="","",INDEX(Hierarchy!$D$2:$D$1295,MATCH($D1022,Hierarchy!$A$2:$A$1295,0))),"NODE NOT FOUND"))</f>
        <v>AMER</v>
      </c>
      <c r="H1022" s="7" t="str">
        <f aca="false">IF($D1022="","",IFERROR(IF(INDEX(Hierarchy!$E$2:$E$1295,MATCH($D1022,Hierarchy!$A$2:$A$1295,0))="","",INDEX(Hierarchy!$E$2:$E$1295,MATCH($D1022,Hierarchy!$A$2:$A$1295,0))),"NODE NOT FOUND"))</f>
        <v>Latin America (LATAM)</v>
      </c>
      <c r="I1022" s="7" t="str">
        <f aca="false">IF($D1022="","",IFERROR(IF(INDEX(Hierarchy!$F$2:$F$1295,MATCH($D1022,Hierarchy!$A$2:$A$1295,0))="","",INDEX(Hierarchy!$F$2:$F$1295,MATCH($D1022,Hierarchy!$A$2:$A$1295,0))),"NODE NOT FOUND"))</f>
        <v/>
      </c>
      <c r="J1022" s="7" t="str">
        <f aca="false">IF($D1022="","",IFERROR(IF(INDEX(Hierarchy!$G$2:$G$1295,MATCH($D1022,Hierarchy!$A$2:$A$1295,0))="","",INDEX(Hierarchy!$G$2:$G$1295,MATCH($D1022,Hierarchy!$A$2:$A$1295,0))),"NODE NOT FOUND"))</f>
        <v/>
      </c>
      <c r="K1022" s="7" t="str">
        <f aca="false">IF($D1022="","",IFERROR(IF(INDEX(Hierarchy!$H$2:$H$1295,MATCH($D1022,Hierarchy!$A$2:$A$1295,0))="","",INDEX(Hierarchy!$H$2:$H$1295,MATCH($D1022,Hierarchy!$A$2:$A$1295,0))),"NODE NOT FOUND"))</f>
        <v/>
      </c>
      <c r="L1022" s="7" t="str">
        <f aca="false">IF($D1022="","",IFERROR(IF(INDEX(Hierarchy!$I$2:$I$1295,MATCH($D1022,Hierarchy!$A$2:$A$1295,0))="","",INDEX(Hierarchy!$I$2:$I$1295,MATCH($D1022,Hierarchy!$A$2:$A$1295,0))),"NODE NOT FOUND"))</f>
        <v/>
      </c>
      <c r="M1022" s="17" t="str">
        <f aca="false">IF(B1022="Pre-seeded","Pre-seeded",IF(B1022="Review 2026-09-16","Added from review",IF(C1022="","New",IF(C1022=D1022,"","Changed"))))</f>
        <v>Changed</v>
      </c>
      <c r="N1022" s="7" t="str">
        <f aca="false">TRIM(SUBSTITUTE(SUBSTITUTE(SUBSTITUTE(" "&amp;TRIM(SUBSTITUTE(SUBSTITUTE(SUBSTITUTE(SUBSTITUTE(SUBSTITUTE(SUBSTITUTE(SUBSTITUTE(SUBSTITUTE(SUBSTITUTE(SUBSTITUTE(SUBSTITUTE(SUBSTITUTE(SUBSTITUTE(SUBSTITUTE(SUBSTITUTE(UPPER(TRIM(A1022)),"[MEMBER]",""),"{MEMBER}",""),"[MEMBER}",""),"MEMBER]",""),"(A)",""),"""",""),"“",""),"”",""),".",""),":",""),",",""),"–"," "),"-"," "),"/"," "),"&amp;"," AND "))&amp;" "," THE "," ")," TOTAL "," ")," OPERATIONS "," "))</f>
        <v>MEXICO AND CENTRAL AMERICA</v>
      </c>
      <c r="O1022" s="17" t="str">
        <f aca="false">IF(COUNTIFS($N$2:$N$2000,N1022,$D$2:$D$2000,"&lt;&gt;"&amp;D1022)&gt;0,"CONFLICT","")</f>
        <v/>
      </c>
      <c r="P1022" s="7"/>
    </row>
    <row r="1023" customFormat="false" ht="15" hidden="false" customHeight="false" outlineLevel="0" collapsed="false">
      <c r="A1023" s="7" t="s">
        <v>398</v>
      </c>
      <c r="B1023" s="7" t="s">
        <v>1879</v>
      </c>
      <c r="C1023" s="7"/>
      <c r="D1023" s="6" t="s">
        <v>398</v>
      </c>
      <c r="E1023" s="6" t="s">
        <v>1880</v>
      </c>
      <c r="F1023" s="7" t="str">
        <f aca="false">IF($D1023="","",IFERROR(IF(INDEX(Hierarchy!$B$2:$B$1295,MATCH($D1023,Hierarchy!$A$2:$A$1295,0))="","",INDEX(Hierarchy!$B$2:$B$1295,MATCH($D1023,Hierarchy!$A$2:$A$1295,0))),"NODE NOT FOUND"))</f>
        <v>State/Province</v>
      </c>
      <c r="G1023" s="7" t="str">
        <f aca="false">IF($D1023="","",IFERROR(IF(INDEX(Hierarchy!$D$2:$D$1295,MATCH($D1023,Hierarchy!$A$2:$A$1295,0))="","",INDEX(Hierarchy!$D$2:$D$1295,MATCH($D1023,Hierarchy!$A$2:$A$1295,0))),"NODE NOT FOUND"))</f>
        <v>AMER</v>
      </c>
      <c r="H1023" s="7" t="str">
        <f aca="false">IF($D1023="","",IFERROR(IF(INDEX(Hierarchy!$E$2:$E$1295,MATCH($D1023,Hierarchy!$A$2:$A$1295,0))="","",INDEX(Hierarchy!$E$2:$E$1295,MATCH($D1023,Hierarchy!$A$2:$A$1295,0))),"NODE NOT FOUND"))</f>
        <v>Latin America (LATAM)</v>
      </c>
      <c r="I1023" s="7" t="str">
        <f aca="false">IF($D1023="","",IFERROR(IF(INDEX(Hierarchy!$F$2:$F$1295,MATCH($D1023,Hierarchy!$A$2:$A$1295,0))="","",INDEX(Hierarchy!$F$2:$F$1295,MATCH($D1023,Hierarchy!$A$2:$A$1295,0))),"NODE NOT FOUND"))</f>
        <v>Mexico</v>
      </c>
      <c r="J1023" s="7" t="str">
        <f aca="false">IF($D1023="","",IFERROR(IF(INDEX(Hierarchy!$G$2:$G$1295,MATCH($D1023,Hierarchy!$A$2:$A$1295,0))="","",INDEX(Hierarchy!$G$2:$G$1295,MATCH($D1023,Hierarchy!$A$2:$A$1295,0))),"NODE NOT FOUND"))</f>
        <v>MEX</v>
      </c>
      <c r="K1023" s="7" t="str">
        <f aca="false">IF($D1023="","",IFERROR(IF(INDEX(Hierarchy!$H$2:$H$1295,MATCH($D1023,Hierarchy!$A$2:$A$1295,0))="","",INDEX(Hierarchy!$H$2:$H$1295,MATCH($D1023,Hierarchy!$A$2:$A$1295,0))),"NODE NOT FOUND"))</f>
        <v>Mexico City</v>
      </c>
      <c r="L1023" s="7" t="str">
        <f aca="false">IF($D1023="","",IFERROR(IF(INDEX(Hierarchy!$I$2:$I$1295,MATCH($D1023,Hierarchy!$A$2:$A$1295,0))="","",INDEX(Hierarchy!$I$2:$I$1295,MATCH($D1023,Hierarchy!$A$2:$A$1295,0))),"NODE NOT FOUND"))</f>
        <v/>
      </c>
      <c r="M1023" s="17" t="str">
        <f aca="false">IF(B1023="Pre-seeded","Pre-seeded",IF(B1023="Review 2026-09-16","Added from review",IF(C1023="","New",IF(C1023=D1023,"","Changed"))))</f>
        <v>Pre-seeded</v>
      </c>
      <c r="N1023" s="7" t="str">
        <f aca="false">TRIM(SUBSTITUTE(SUBSTITUTE(SUBSTITUTE(" "&amp;TRIM(SUBSTITUTE(SUBSTITUTE(SUBSTITUTE(SUBSTITUTE(SUBSTITUTE(SUBSTITUTE(SUBSTITUTE(SUBSTITUTE(SUBSTITUTE(SUBSTITUTE(SUBSTITUTE(SUBSTITUTE(SUBSTITUTE(SUBSTITUTE(SUBSTITUTE(UPPER(TRIM(A1023)),"[MEMBER]",""),"{MEMBER}",""),"[MEMBER}",""),"MEMBER]",""),"(A)",""),"""",""),"“",""),"”",""),".",""),":",""),",",""),"–"," "),"-"," "),"/"," "),"&amp;"," AND "))&amp;" "," THE "," ")," TOTAL "," ")," OPERATIONS "," "))</f>
        <v>MEXICO CITY</v>
      </c>
      <c r="O1023" s="17" t="str">
        <f aca="false">IF(COUNTIFS($N$2:$N$2000,N1023,$D$2:$D$2000,"&lt;&gt;"&amp;D1023)&gt;0,"CONFLICT","")</f>
        <v/>
      </c>
      <c r="P1023" s="7"/>
    </row>
    <row r="1024" customFormat="false" ht="15" hidden="false" customHeight="false" outlineLevel="0" collapsed="false">
      <c r="A1024" s="7" t="s">
        <v>196</v>
      </c>
      <c r="B1024" s="7" t="s">
        <v>1882</v>
      </c>
      <c r="C1024" s="7" t="s">
        <v>196</v>
      </c>
      <c r="D1024" s="6" t="s">
        <v>196</v>
      </c>
      <c r="E1024" s="6" t="s">
        <v>1880</v>
      </c>
      <c r="F1024" s="7" t="str">
        <f aca="false">IF($D1024="","",IFERROR(IF(INDEX(Hierarchy!$B$2:$B$1295,MATCH($D1024,Hierarchy!$A$2:$A$1295,0))="","",INDEX(Hierarchy!$B$2:$B$1295,MATCH($D1024,Hierarchy!$A$2:$A$1295,0))),"NODE NOT FOUND"))</f>
        <v>State/Province</v>
      </c>
      <c r="G1024" s="7" t="str">
        <f aca="false">IF($D1024="","",IFERROR(IF(INDEX(Hierarchy!$D$2:$D$1295,MATCH($D1024,Hierarchy!$A$2:$A$1295,0))="","",INDEX(Hierarchy!$D$2:$D$1295,MATCH($D1024,Hierarchy!$A$2:$A$1295,0))),"NODE NOT FOUND"))</f>
        <v>AMER</v>
      </c>
      <c r="H1024" s="7" t="str">
        <f aca="false">IF($D1024="","",IFERROR(IF(INDEX(Hierarchy!$E$2:$E$1295,MATCH($D1024,Hierarchy!$A$2:$A$1295,0))="","",INDEX(Hierarchy!$E$2:$E$1295,MATCH($D1024,Hierarchy!$A$2:$A$1295,0))),"NODE NOT FOUND"))</f>
        <v>North America (NORAM)</v>
      </c>
      <c r="I1024" s="7" t="str">
        <f aca="false">IF($D1024="","",IFERROR(IF(INDEX(Hierarchy!$F$2:$F$1295,MATCH($D1024,Hierarchy!$A$2:$A$1295,0))="","",INDEX(Hierarchy!$F$2:$F$1295,MATCH($D1024,Hierarchy!$A$2:$A$1295,0))),"NODE NOT FOUND"))</f>
        <v>United States</v>
      </c>
      <c r="J1024" s="7" t="str">
        <f aca="false">IF($D1024="","",IFERROR(IF(INDEX(Hierarchy!$G$2:$G$1295,MATCH($D1024,Hierarchy!$A$2:$A$1295,0))="","",INDEX(Hierarchy!$G$2:$G$1295,MATCH($D1024,Hierarchy!$A$2:$A$1295,0))),"NODE NOT FOUND"))</f>
        <v>USA</v>
      </c>
      <c r="K1024" s="7" t="str">
        <f aca="false">IF($D1024="","",IFERROR(IF(INDEX(Hierarchy!$H$2:$H$1295,MATCH($D1024,Hierarchy!$A$2:$A$1295,0))="","",INDEX(Hierarchy!$H$2:$H$1295,MATCH($D1024,Hierarchy!$A$2:$A$1295,0))),"NODE NOT FOUND"))</f>
        <v>Michigan</v>
      </c>
      <c r="L1024" s="7" t="str">
        <f aca="false">IF($D1024="","",IFERROR(IF(INDEX(Hierarchy!$I$2:$I$1295,MATCH($D1024,Hierarchy!$A$2:$A$1295,0))="","",INDEX(Hierarchy!$I$2:$I$1295,MATCH($D1024,Hierarchy!$A$2:$A$1295,0))),"NODE NOT FOUND"))</f>
        <v/>
      </c>
      <c r="M1024" s="17" t="str">
        <f aca="false">IF(B1024="Pre-seeded","Pre-seeded",IF(B1024="Review 2026-09-16","Added from review",IF(C1024="","New",IF(C1024=D1024,"","Changed"))))</f>
        <v/>
      </c>
      <c r="N1024" s="7" t="str">
        <f aca="false">TRIM(SUBSTITUTE(SUBSTITUTE(SUBSTITUTE(" "&amp;TRIM(SUBSTITUTE(SUBSTITUTE(SUBSTITUTE(SUBSTITUTE(SUBSTITUTE(SUBSTITUTE(SUBSTITUTE(SUBSTITUTE(SUBSTITUTE(SUBSTITUTE(SUBSTITUTE(SUBSTITUTE(SUBSTITUTE(SUBSTITUTE(SUBSTITUTE(UPPER(TRIM(A1024)),"[MEMBER]",""),"{MEMBER}",""),"[MEMBER}",""),"MEMBER]",""),"(A)",""),"""",""),"“",""),"”",""),".",""),":",""),",",""),"–"," "),"-"," "),"/"," "),"&amp;"," AND "))&amp;" "," THE "," ")," TOTAL "," ")," OPERATIONS "," "))</f>
        <v>MICHIGAN</v>
      </c>
      <c r="O1024" s="17" t="str">
        <f aca="false">IF(COUNTIFS($N$2:$N$2000,N1024,$D$2:$D$2000,"&lt;&gt;"&amp;D1024)&gt;0,"CONFLICT","")</f>
        <v/>
      </c>
      <c r="P1024" s="7"/>
    </row>
    <row r="1025" customFormat="false" ht="15" hidden="false" customHeight="false" outlineLevel="0" collapsed="false">
      <c r="A1025" s="7" t="s">
        <v>2395</v>
      </c>
      <c r="B1025" s="7" t="s">
        <v>1882</v>
      </c>
      <c r="C1025" s="7" t="s">
        <v>196</v>
      </c>
      <c r="D1025" s="6" t="s">
        <v>196</v>
      </c>
      <c r="E1025" s="6" t="s">
        <v>1880</v>
      </c>
      <c r="F1025" s="7" t="str">
        <f aca="false">IF($D1025="","",IFERROR(IF(INDEX(Hierarchy!$B$2:$B$1295,MATCH($D1025,Hierarchy!$A$2:$A$1295,0))="","",INDEX(Hierarchy!$B$2:$B$1295,MATCH($D1025,Hierarchy!$A$2:$A$1295,0))),"NODE NOT FOUND"))</f>
        <v>State/Province</v>
      </c>
      <c r="G1025" s="7" t="str">
        <f aca="false">IF($D1025="","",IFERROR(IF(INDEX(Hierarchy!$D$2:$D$1295,MATCH($D1025,Hierarchy!$A$2:$A$1295,0))="","",INDEX(Hierarchy!$D$2:$D$1295,MATCH($D1025,Hierarchy!$A$2:$A$1295,0))),"NODE NOT FOUND"))</f>
        <v>AMER</v>
      </c>
      <c r="H1025" s="7" t="str">
        <f aca="false">IF($D1025="","",IFERROR(IF(INDEX(Hierarchy!$E$2:$E$1295,MATCH($D1025,Hierarchy!$A$2:$A$1295,0))="","",INDEX(Hierarchy!$E$2:$E$1295,MATCH($D1025,Hierarchy!$A$2:$A$1295,0))),"NODE NOT FOUND"))</f>
        <v>North America (NORAM)</v>
      </c>
      <c r="I1025" s="7" t="str">
        <f aca="false">IF($D1025="","",IFERROR(IF(INDEX(Hierarchy!$F$2:$F$1295,MATCH($D1025,Hierarchy!$A$2:$A$1295,0))="","",INDEX(Hierarchy!$F$2:$F$1295,MATCH($D1025,Hierarchy!$A$2:$A$1295,0))),"NODE NOT FOUND"))</f>
        <v>United States</v>
      </c>
      <c r="J1025" s="7" t="str">
        <f aca="false">IF($D1025="","",IFERROR(IF(INDEX(Hierarchy!$G$2:$G$1295,MATCH($D1025,Hierarchy!$A$2:$A$1295,0))="","",INDEX(Hierarchy!$G$2:$G$1295,MATCH($D1025,Hierarchy!$A$2:$A$1295,0))),"NODE NOT FOUND"))</f>
        <v>USA</v>
      </c>
      <c r="K1025" s="7" t="str">
        <f aca="false">IF($D1025="","",IFERROR(IF(INDEX(Hierarchy!$H$2:$H$1295,MATCH($D1025,Hierarchy!$A$2:$A$1295,0))="","",INDEX(Hierarchy!$H$2:$H$1295,MATCH($D1025,Hierarchy!$A$2:$A$1295,0))),"NODE NOT FOUND"))</f>
        <v>Michigan</v>
      </c>
      <c r="L1025" s="7" t="str">
        <f aca="false">IF($D1025="","",IFERROR(IF(INDEX(Hierarchy!$I$2:$I$1295,MATCH($D1025,Hierarchy!$A$2:$A$1295,0))="","",INDEX(Hierarchy!$I$2:$I$1295,MATCH($D1025,Hierarchy!$A$2:$A$1295,0))),"NODE NOT FOUND"))</f>
        <v/>
      </c>
      <c r="M1025" s="17" t="str">
        <f aca="false">IF(B1025="Pre-seeded","Pre-seeded",IF(B1025="Review 2026-09-16","Added from review",IF(C1025="","New",IF(C1025=D1025,"","Changed"))))</f>
        <v/>
      </c>
      <c r="N1025" s="7" t="str">
        <f aca="false">TRIM(SUBSTITUTE(SUBSTITUTE(SUBSTITUTE(" "&amp;TRIM(SUBSTITUTE(SUBSTITUTE(SUBSTITUTE(SUBSTITUTE(SUBSTITUTE(SUBSTITUTE(SUBSTITUTE(SUBSTITUTE(SUBSTITUTE(SUBSTITUTE(SUBSTITUTE(SUBSTITUTE(SUBSTITUTE(SUBSTITUTE(SUBSTITUTE(UPPER(TRIM(A1025)),"[MEMBER]",""),"{MEMBER}",""),"[MEMBER}",""),"MEMBER]",""),"(A)",""),"""",""),"“",""),"”",""),".",""),":",""),",",""),"–"," "),"-"," "),"/"," "),"&amp;"," AND "))&amp;" "," THE "," ")," TOTAL "," ")," OPERATIONS "," "))</f>
        <v>MICHIGAN</v>
      </c>
      <c r="O1025" s="17" t="str">
        <f aca="false">IF(COUNTIFS($N$2:$N$2000,N1025,$D$2:$D$2000,"&lt;&gt;"&amp;D1025)&gt;0,"CONFLICT","")</f>
        <v/>
      </c>
      <c r="P1025" s="7"/>
    </row>
    <row r="1026" customFormat="false" ht="15" hidden="false" customHeight="false" outlineLevel="0" collapsed="false">
      <c r="A1026" s="7" t="s">
        <v>400</v>
      </c>
      <c r="B1026" s="7" t="s">
        <v>1879</v>
      </c>
      <c r="C1026" s="7"/>
      <c r="D1026" s="6" t="s">
        <v>400</v>
      </c>
      <c r="E1026" s="6" t="s">
        <v>1880</v>
      </c>
      <c r="F1026" s="7" t="str">
        <f aca="false">IF($D1026="","",IFERROR(IF(INDEX(Hierarchy!$B$2:$B$1295,MATCH($D1026,Hierarchy!$A$2:$A$1295,0))="","",INDEX(Hierarchy!$B$2:$B$1295,MATCH($D1026,Hierarchy!$A$2:$A$1295,0))),"NODE NOT FOUND"))</f>
        <v>State/Province</v>
      </c>
      <c r="G1026" s="7" t="str">
        <f aca="false">IF($D1026="","",IFERROR(IF(INDEX(Hierarchy!$D$2:$D$1295,MATCH($D1026,Hierarchy!$A$2:$A$1295,0))="","",INDEX(Hierarchy!$D$2:$D$1295,MATCH($D1026,Hierarchy!$A$2:$A$1295,0))),"NODE NOT FOUND"))</f>
        <v>AMER</v>
      </c>
      <c r="H1026" s="7" t="str">
        <f aca="false">IF($D1026="","",IFERROR(IF(INDEX(Hierarchy!$E$2:$E$1295,MATCH($D1026,Hierarchy!$A$2:$A$1295,0))="","",INDEX(Hierarchy!$E$2:$E$1295,MATCH($D1026,Hierarchy!$A$2:$A$1295,0))),"NODE NOT FOUND"))</f>
        <v>Latin America (LATAM)</v>
      </c>
      <c r="I1026" s="7" t="str">
        <f aca="false">IF($D1026="","",IFERROR(IF(INDEX(Hierarchy!$F$2:$F$1295,MATCH($D1026,Hierarchy!$A$2:$A$1295,0))="","",INDEX(Hierarchy!$F$2:$F$1295,MATCH($D1026,Hierarchy!$A$2:$A$1295,0))),"NODE NOT FOUND"))</f>
        <v>Mexico</v>
      </c>
      <c r="J1026" s="7" t="str">
        <f aca="false">IF($D1026="","",IFERROR(IF(INDEX(Hierarchy!$G$2:$G$1295,MATCH($D1026,Hierarchy!$A$2:$A$1295,0))="","",INDEX(Hierarchy!$G$2:$G$1295,MATCH($D1026,Hierarchy!$A$2:$A$1295,0))),"NODE NOT FOUND"))</f>
        <v>MEX</v>
      </c>
      <c r="K1026" s="7" t="str">
        <f aca="false">IF($D1026="","",IFERROR(IF(INDEX(Hierarchy!$H$2:$H$1295,MATCH($D1026,Hierarchy!$A$2:$A$1295,0))="","",INDEX(Hierarchy!$H$2:$H$1295,MATCH($D1026,Hierarchy!$A$2:$A$1295,0))),"NODE NOT FOUND"))</f>
        <v>Michoacán</v>
      </c>
      <c r="L1026" s="7" t="str">
        <f aca="false">IF($D1026="","",IFERROR(IF(INDEX(Hierarchy!$I$2:$I$1295,MATCH($D1026,Hierarchy!$A$2:$A$1295,0))="","",INDEX(Hierarchy!$I$2:$I$1295,MATCH($D1026,Hierarchy!$A$2:$A$1295,0))),"NODE NOT FOUND"))</f>
        <v/>
      </c>
      <c r="M1026" s="17" t="str">
        <f aca="false">IF(B1026="Pre-seeded","Pre-seeded",IF(B1026="Review 2026-09-16","Added from review",IF(C1026="","New",IF(C1026=D1026,"","Changed"))))</f>
        <v>Pre-seeded</v>
      </c>
      <c r="N1026" s="7" t="str">
        <f aca="false">TRIM(SUBSTITUTE(SUBSTITUTE(SUBSTITUTE(" "&amp;TRIM(SUBSTITUTE(SUBSTITUTE(SUBSTITUTE(SUBSTITUTE(SUBSTITUTE(SUBSTITUTE(SUBSTITUTE(SUBSTITUTE(SUBSTITUTE(SUBSTITUTE(SUBSTITUTE(SUBSTITUTE(SUBSTITUTE(SUBSTITUTE(SUBSTITUTE(UPPER(TRIM(A1026)),"[MEMBER]",""),"{MEMBER}",""),"[MEMBER}",""),"MEMBER]",""),"(A)",""),"""",""),"“",""),"”",""),".",""),":",""),",",""),"–"," "),"-"," "),"/"," "),"&amp;"," AND "))&amp;" "," THE "," ")," TOTAL "," ")," OPERATIONS "," "))</f>
        <v>MICHOACÁN</v>
      </c>
      <c r="O1026" s="17" t="str">
        <f aca="false">IF(COUNTIFS($N$2:$N$2000,N1026,$D$2:$D$2000,"&lt;&gt;"&amp;D1026)&gt;0,"CONFLICT","")</f>
        <v/>
      </c>
      <c r="P1026" s="7"/>
    </row>
    <row r="1027" customFormat="false" ht="15" hidden="false" customHeight="false" outlineLevel="0" collapsed="false">
      <c r="A1027" s="7" t="s">
        <v>1752</v>
      </c>
      <c r="B1027" s="7" t="s">
        <v>1879</v>
      </c>
      <c r="C1027" s="7"/>
      <c r="D1027" s="6" t="s">
        <v>1752</v>
      </c>
      <c r="E1027" s="6" t="s">
        <v>1880</v>
      </c>
      <c r="F1027" s="7" t="str">
        <f aca="false">IF($D1027="","",IFERROR(IF(INDEX(Hierarchy!$B$2:$B$1295,MATCH($D1027,Hierarchy!$A$2:$A$1295,0))="","",INDEX(Hierarchy!$B$2:$B$1295,MATCH($D1027,Hierarchy!$A$2:$A$1295,0))),"NODE NOT FOUND"))</f>
        <v>Country</v>
      </c>
      <c r="G1027" s="7" t="str">
        <f aca="false">IF($D1027="","",IFERROR(IF(INDEX(Hierarchy!$D$2:$D$1295,MATCH($D1027,Hierarchy!$A$2:$A$1295,0))="","",INDEX(Hierarchy!$D$2:$D$1295,MATCH($D1027,Hierarchy!$A$2:$A$1295,0))),"NODE NOT FOUND"))</f>
        <v>APAC</v>
      </c>
      <c r="H1027" s="7" t="str">
        <f aca="false">IF($D1027="","",IFERROR(IF(INDEX(Hierarchy!$E$2:$E$1295,MATCH($D1027,Hierarchy!$A$2:$A$1295,0))="","",INDEX(Hierarchy!$E$2:$E$1295,MATCH($D1027,Hierarchy!$A$2:$A$1295,0))),"NODE NOT FOUND"))</f>
        <v>Oceania (ANZ)</v>
      </c>
      <c r="I1027" s="7" t="str">
        <f aca="false">IF($D1027="","",IFERROR(IF(INDEX(Hierarchy!$F$2:$F$1295,MATCH($D1027,Hierarchy!$A$2:$A$1295,0))="","",INDEX(Hierarchy!$F$2:$F$1295,MATCH($D1027,Hierarchy!$A$2:$A$1295,0))),"NODE NOT FOUND"))</f>
        <v>Micronesia</v>
      </c>
      <c r="J1027" s="7" t="str">
        <f aca="false">IF($D1027="","",IFERROR(IF(INDEX(Hierarchy!$G$2:$G$1295,MATCH($D1027,Hierarchy!$A$2:$A$1295,0))="","",INDEX(Hierarchy!$G$2:$G$1295,MATCH($D1027,Hierarchy!$A$2:$A$1295,0))),"NODE NOT FOUND"))</f>
        <v>FSM</v>
      </c>
      <c r="K1027" s="7" t="str">
        <f aca="false">IF($D1027="","",IFERROR(IF(INDEX(Hierarchy!$H$2:$H$1295,MATCH($D1027,Hierarchy!$A$2:$A$1295,0))="","",INDEX(Hierarchy!$H$2:$H$1295,MATCH($D1027,Hierarchy!$A$2:$A$1295,0))),"NODE NOT FOUND"))</f>
        <v/>
      </c>
      <c r="L1027" s="7" t="str">
        <f aca="false">IF($D1027="","",IFERROR(IF(INDEX(Hierarchy!$I$2:$I$1295,MATCH($D1027,Hierarchy!$A$2:$A$1295,0))="","",INDEX(Hierarchy!$I$2:$I$1295,MATCH($D1027,Hierarchy!$A$2:$A$1295,0))),"NODE NOT FOUND"))</f>
        <v/>
      </c>
      <c r="M1027" s="17" t="str">
        <f aca="false">IF(B1027="Pre-seeded","Pre-seeded",IF(B1027="Review 2026-09-16","Added from review",IF(C1027="","New",IF(C1027=D1027,"","Changed"))))</f>
        <v>Pre-seeded</v>
      </c>
      <c r="N1027" s="7" t="str">
        <f aca="false">TRIM(SUBSTITUTE(SUBSTITUTE(SUBSTITUTE(" "&amp;TRIM(SUBSTITUTE(SUBSTITUTE(SUBSTITUTE(SUBSTITUTE(SUBSTITUTE(SUBSTITUTE(SUBSTITUTE(SUBSTITUTE(SUBSTITUTE(SUBSTITUTE(SUBSTITUTE(SUBSTITUTE(SUBSTITUTE(SUBSTITUTE(SUBSTITUTE(UPPER(TRIM(A1027)),"[MEMBER]",""),"{MEMBER}",""),"[MEMBER}",""),"MEMBER]",""),"(A)",""),"""",""),"“",""),"”",""),".",""),":",""),",",""),"–"," "),"-"," "),"/"," "),"&amp;"," AND "))&amp;" "," THE "," ")," TOTAL "," ")," OPERATIONS "," "))</f>
        <v>MICRONESIA</v>
      </c>
      <c r="O1027" s="17" t="str">
        <f aca="false">IF(COUNTIFS($N$2:$N$2000,N1027,$D$2:$D$2000,"&lt;&gt;"&amp;D1027)&gt;0,"CONFLICT","")</f>
        <v/>
      </c>
      <c r="P1027" s="7"/>
    </row>
    <row r="1028" customFormat="false" ht="15" hidden="false" customHeight="false" outlineLevel="0" collapsed="false">
      <c r="A1028" s="7" t="s">
        <v>1839</v>
      </c>
      <c r="B1028" s="7" t="s">
        <v>1879</v>
      </c>
      <c r="C1028" s="7"/>
      <c r="D1028" s="6" t="s">
        <v>1839</v>
      </c>
      <c r="E1028" s="6" t="s">
        <v>1880</v>
      </c>
      <c r="F1028" s="7" t="str">
        <f aca="false">IF($D1028="","",IFERROR(IF(INDEX(Hierarchy!$B$2:$B$1295,MATCH($D1028,Hierarchy!$A$2:$A$1295,0))="","",INDEX(Hierarchy!$B$2:$B$1295,MATCH($D1028,Hierarchy!$A$2:$A$1295,0))),"NODE NOT FOUND"))</f>
        <v>Reference grouping</v>
      </c>
      <c r="G1028" s="7" t="str">
        <f aca="false">IF($D1028="","",IFERROR(IF(INDEX(Hierarchy!$D$2:$D$1295,MATCH($D1028,Hierarchy!$A$2:$A$1295,0))="","",INDEX(Hierarchy!$D$2:$D$1295,MATCH($D1028,Hierarchy!$A$2:$A$1295,0))),"NODE NOT FOUND"))</f>
        <v>Reference (UN / World Bank)</v>
      </c>
      <c r="H1028" s="7" t="str">
        <f aca="false">IF($D1028="","",IFERROR(IF(INDEX(Hierarchy!$E$2:$E$1295,MATCH($D1028,Hierarchy!$A$2:$A$1295,0))="","",INDEX(Hierarchy!$E$2:$E$1295,MATCH($D1028,Hierarchy!$A$2:$A$1295,0))),"NODE NOT FOUND"))</f>
        <v/>
      </c>
      <c r="I1028" s="7" t="str">
        <f aca="false">IF($D1028="","",IFERROR(IF(INDEX(Hierarchy!$F$2:$F$1295,MATCH($D1028,Hierarchy!$A$2:$A$1295,0))="","",INDEX(Hierarchy!$F$2:$F$1295,MATCH($D1028,Hierarchy!$A$2:$A$1295,0))),"NODE NOT FOUND"))</f>
        <v/>
      </c>
      <c r="J1028" s="7" t="str">
        <f aca="false">IF($D1028="","",IFERROR(IF(INDEX(Hierarchy!$G$2:$G$1295,MATCH($D1028,Hierarchy!$A$2:$A$1295,0))="","",INDEX(Hierarchy!$G$2:$G$1295,MATCH($D1028,Hierarchy!$A$2:$A$1295,0))),"NODE NOT FOUND"))</f>
        <v/>
      </c>
      <c r="K1028" s="7" t="str">
        <f aca="false">IF($D1028="","",IFERROR(IF(INDEX(Hierarchy!$H$2:$H$1295,MATCH($D1028,Hierarchy!$A$2:$A$1295,0))="","",INDEX(Hierarchy!$H$2:$H$1295,MATCH($D1028,Hierarchy!$A$2:$A$1295,0))),"NODE NOT FOUND"))</f>
        <v/>
      </c>
      <c r="L1028" s="7" t="str">
        <f aca="false">IF($D1028="","",IFERROR(IF(INDEX(Hierarchy!$I$2:$I$1295,MATCH($D1028,Hierarchy!$A$2:$A$1295,0))="","",INDEX(Hierarchy!$I$2:$I$1295,MATCH($D1028,Hierarchy!$A$2:$A$1295,0))),"NODE NOT FOUND"))</f>
        <v/>
      </c>
      <c r="M1028" s="17" t="str">
        <f aca="false">IF(B1028="Pre-seeded","Pre-seeded",IF(B1028="Review 2026-09-16","Added from review",IF(C1028="","New",IF(C1028=D1028,"","Changed"))))</f>
        <v>Pre-seeded</v>
      </c>
      <c r="N1028" s="7" t="str">
        <f aca="false">TRIM(SUBSTITUTE(SUBSTITUTE(SUBSTITUTE(" "&amp;TRIM(SUBSTITUTE(SUBSTITUTE(SUBSTITUTE(SUBSTITUTE(SUBSTITUTE(SUBSTITUTE(SUBSTITUTE(SUBSTITUTE(SUBSTITUTE(SUBSTITUTE(SUBSTITUTE(SUBSTITUTE(SUBSTITUTE(SUBSTITUTE(SUBSTITUTE(UPPER(TRIM(A1028)),"[MEMBER]",""),"{MEMBER}",""),"[MEMBER}",""),"MEMBER]",""),"(A)",""),"""",""),"“",""),"”",""),".",""),":",""),",",""),"–"," "),"-"," "),"/"," "),"&amp;"," AND "))&amp;" "," THE "," ")," TOTAL "," ")," OPERATIONS "," "))</f>
        <v>MICRONESIA REGION (UN M49)</v>
      </c>
      <c r="O1028" s="17" t="str">
        <f aca="false">IF(COUNTIFS($N$2:$N$2000,N1028,$D$2:$D$2000,"&lt;&gt;"&amp;D1028)&gt;0,"CONFLICT","")</f>
        <v/>
      </c>
      <c r="P1028" s="7"/>
    </row>
    <row r="1029" customFormat="false" ht="15" hidden="false" customHeight="false" outlineLevel="0" collapsed="false">
      <c r="A1029" s="7" t="s">
        <v>2396</v>
      </c>
      <c r="B1029" s="7" t="s">
        <v>1879</v>
      </c>
      <c r="C1029" s="7"/>
      <c r="D1029" s="6" t="s">
        <v>1752</v>
      </c>
      <c r="E1029" s="6" t="s">
        <v>1880</v>
      </c>
      <c r="F1029" s="7" t="str">
        <f aca="false">IF($D1029="","",IFERROR(IF(INDEX(Hierarchy!$B$2:$B$1295,MATCH($D1029,Hierarchy!$A$2:$A$1295,0))="","",INDEX(Hierarchy!$B$2:$B$1295,MATCH($D1029,Hierarchy!$A$2:$A$1295,0))),"NODE NOT FOUND"))</f>
        <v>Country</v>
      </c>
      <c r="G1029" s="7" t="str">
        <f aca="false">IF($D1029="","",IFERROR(IF(INDEX(Hierarchy!$D$2:$D$1295,MATCH($D1029,Hierarchy!$A$2:$A$1295,0))="","",INDEX(Hierarchy!$D$2:$D$1295,MATCH($D1029,Hierarchy!$A$2:$A$1295,0))),"NODE NOT FOUND"))</f>
        <v>APAC</v>
      </c>
      <c r="H1029" s="7" t="str">
        <f aca="false">IF($D1029="","",IFERROR(IF(INDEX(Hierarchy!$E$2:$E$1295,MATCH($D1029,Hierarchy!$A$2:$A$1295,0))="","",INDEX(Hierarchy!$E$2:$E$1295,MATCH($D1029,Hierarchy!$A$2:$A$1295,0))),"NODE NOT FOUND"))</f>
        <v>Oceania (ANZ)</v>
      </c>
      <c r="I1029" s="7" t="str">
        <f aca="false">IF($D1029="","",IFERROR(IF(INDEX(Hierarchy!$F$2:$F$1295,MATCH($D1029,Hierarchy!$A$2:$A$1295,0))="","",INDEX(Hierarchy!$F$2:$F$1295,MATCH($D1029,Hierarchy!$A$2:$A$1295,0))),"NODE NOT FOUND"))</f>
        <v>Micronesia</v>
      </c>
      <c r="J1029" s="7" t="str">
        <f aca="false">IF($D1029="","",IFERROR(IF(INDEX(Hierarchy!$G$2:$G$1295,MATCH($D1029,Hierarchy!$A$2:$A$1295,0))="","",INDEX(Hierarchy!$G$2:$G$1295,MATCH($D1029,Hierarchy!$A$2:$A$1295,0))),"NODE NOT FOUND"))</f>
        <v>FSM</v>
      </c>
      <c r="K1029" s="7" t="str">
        <f aca="false">IF($D1029="","",IFERROR(IF(INDEX(Hierarchy!$H$2:$H$1295,MATCH($D1029,Hierarchy!$A$2:$A$1295,0))="","",INDEX(Hierarchy!$H$2:$H$1295,MATCH($D1029,Hierarchy!$A$2:$A$1295,0))),"NODE NOT FOUND"))</f>
        <v/>
      </c>
      <c r="L1029" s="7" t="str">
        <f aca="false">IF($D1029="","",IFERROR(IF(INDEX(Hierarchy!$I$2:$I$1295,MATCH($D1029,Hierarchy!$A$2:$A$1295,0))="","",INDEX(Hierarchy!$I$2:$I$1295,MATCH($D1029,Hierarchy!$A$2:$A$1295,0))),"NODE NOT FOUND"))</f>
        <v/>
      </c>
      <c r="M1029" s="17" t="str">
        <f aca="false">IF(B1029="Pre-seeded","Pre-seeded",IF(B1029="Review 2026-09-16","Added from review",IF(C1029="","New",IF(C1029=D1029,"","Changed"))))</f>
        <v>Pre-seeded</v>
      </c>
      <c r="N1029" s="7" t="str">
        <f aca="false">TRIM(SUBSTITUTE(SUBSTITUTE(SUBSTITUTE(" "&amp;TRIM(SUBSTITUTE(SUBSTITUTE(SUBSTITUTE(SUBSTITUTE(SUBSTITUTE(SUBSTITUTE(SUBSTITUTE(SUBSTITUTE(SUBSTITUTE(SUBSTITUTE(SUBSTITUTE(SUBSTITUTE(SUBSTITUTE(SUBSTITUTE(SUBSTITUTE(UPPER(TRIM(A1029)),"[MEMBER]",""),"{MEMBER}",""),"[MEMBER}",""),"MEMBER]",""),"(A)",""),"""",""),"“",""),"”",""),".",""),":",""),",",""),"–"," "),"-"," "),"/"," "),"&amp;"," AND "))&amp;" "," THE "," ")," TOTAL "," ")," OPERATIONS "," "))</f>
        <v>MICRONESIA FEDERATED STATES OF</v>
      </c>
      <c r="O1029" s="17" t="str">
        <f aca="false">IF(COUNTIFS($N$2:$N$2000,N1029,$D$2:$D$2000,"&lt;&gt;"&amp;D1029)&gt;0,"CONFLICT","")</f>
        <v/>
      </c>
      <c r="P1029" s="7" t="s">
        <v>1936</v>
      </c>
    </row>
    <row r="1030" customFormat="false" ht="15" hidden="false" customHeight="false" outlineLevel="0" collapsed="false">
      <c r="A1030" s="7" t="s">
        <v>2397</v>
      </c>
      <c r="B1030" s="7" t="s">
        <v>1885</v>
      </c>
      <c r="C1030" s="7" t="s">
        <v>2032</v>
      </c>
      <c r="D1030" s="6" t="s">
        <v>98</v>
      </c>
      <c r="E1030" s="6" t="s">
        <v>1880</v>
      </c>
      <c r="F1030" s="7" t="str">
        <f aca="false">IF($D1030="","",IFERROR(IF(INDEX(Hierarchy!$B$2:$B$1295,MATCH($D1030,Hierarchy!$A$2:$A$1295,0))="","",INDEX(Hierarchy!$B$2:$B$1295,MATCH($D1030,Hierarchy!$A$2:$A$1295,0))),"NODE NOT FOUND"))</f>
        <v>Sub-national region</v>
      </c>
      <c r="G1030" s="7" t="str">
        <f aca="false">IF($D1030="","",IFERROR(IF(INDEX(Hierarchy!$D$2:$D$1295,MATCH($D1030,Hierarchy!$A$2:$A$1295,0))="","",INDEX(Hierarchy!$D$2:$D$1295,MATCH($D1030,Hierarchy!$A$2:$A$1295,0))),"NODE NOT FOUND"))</f>
        <v>AMER</v>
      </c>
      <c r="H1030" s="7" t="str">
        <f aca="false">IF($D1030="","",IFERROR(IF(INDEX(Hierarchy!$E$2:$E$1295,MATCH($D1030,Hierarchy!$A$2:$A$1295,0))="","",INDEX(Hierarchy!$E$2:$E$1295,MATCH($D1030,Hierarchy!$A$2:$A$1295,0))),"NODE NOT FOUND"))</f>
        <v>North America (NORAM)</v>
      </c>
      <c r="I1030" s="7" t="str">
        <f aca="false">IF($D1030="","",IFERROR(IF(INDEX(Hierarchy!$F$2:$F$1295,MATCH($D1030,Hierarchy!$A$2:$A$1295,0))="","",INDEX(Hierarchy!$F$2:$F$1295,MATCH($D1030,Hierarchy!$A$2:$A$1295,0))),"NODE NOT FOUND"))</f>
        <v>United States</v>
      </c>
      <c r="J1030" s="7" t="str">
        <f aca="false">IF($D1030="","",IFERROR(IF(INDEX(Hierarchy!$G$2:$G$1295,MATCH($D1030,Hierarchy!$A$2:$A$1295,0))="","",INDEX(Hierarchy!$G$2:$G$1295,MATCH($D1030,Hierarchy!$A$2:$A$1295,0))),"NODE NOT FOUND"))</f>
        <v>USA</v>
      </c>
      <c r="K1030" s="7" t="str">
        <f aca="false">IF($D1030="","",IFERROR(IF(INDEX(Hierarchy!$H$2:$H$1295,MATCH($D1030,Hierarchy!$A$2:$A$1295,0))="","",INDEX(Hierarchy!$H$2:$H$1295,MATCH($D1030,Hierarchy!$A$2:$A$1295,0))),"NODE NOT FOUND"))</f>
        <v/>
      </c>
      <c r="L1030" s="7" t="str">
        <f aca="false">IF($D1030="","",IFERROR(IF(INDEX(Hierarchy!$I$2:$I$1295,MATCH($D1030,Hierarchy!$A$2:$A$1295,0))="","",INDEX(Hierarchy!$I$2:$I$1295,MATCH($D1030,Hierarchy!$A$2:$A$1295,0))),"NODE NOT FOUND"))</f>
        <v/>
      </c>
      <c r="M1030" s="17" t="str">
        <f aca="false">IF(B1030="Pre-seeded","Pre-seeded",IF(B1030="Review 2026-09-16","Added from review",IF(C1030="","New",IF(C1030=D1030,"","Changed"))))</f>
        <v>Changed</v>
      </c>
      <c r="N1030" s="7" t="str">
        <f aca="false">TRIM(SUBSTITUTE(SUBSTITUTE(SUBSTITUTE(" "&amp;TRIM(SUBSTITUTE(SUBSTITUTE(SUBSTITUTE(SUBSTITUTE(SUBSTITUTE(SUBSTITUTE(SUBSTITUTE(SUBSTITUTE(SUBSTITUTE(SUBSTITUTE(SUBSTITUTE(SUBSTITUTE(SUBSTITUTE(SUBSTITUTE(SUBSTITUTE(UPPER(TRIM(A1030)),"[MEMBER]",""),"{MEMBER}",""),"[MEMBER}",""),"MEMBER]",""),"(A)",""),"""",""),"“",""),"”",""),".",""),":",""),",",""),"–"," "),"-"," "),"/"," "),"&amp;"," AND "))&amp;" "," THE "," ")," TOTAL "," ")," OPERATIONS "," "))</f>
        <v>MID ATLANTIC</v>
      </c>
      <c r="O1030" s="17" t="str">
        <f aca="false">IF(COUNTIFS($N$2:$N$2000,N1030,$D$2:$D$2000,"&lt;&gt;"&amp;D1030)&gt;0,"CONFLICT","")</f>
        <v/>
      </c>
      <c r="P1030" s="7"/>
    </row>
    <row r="1031" customFormat="false" ht="15" hidden="false" customHeight="false" outlineLevel="0" collapsed="false">
      <c r="A1031" s="7" t="s">
        <v>2398</v>
      </c>
      <c r="B1031" s="7" t="s">
        <v>1885</v>
      </c>
      <c r="C1031" s="7" t="s">
        <v>1030</v>
      </c>
      <c r="D1031" s="6" t="s">
        <v>1030</v>
      </c>
      <c r="E1031" s="6" t="s">
        <v>1880</v>
      </c>
      <c r="F1031" s="7" t="str">
        <f aca="false">IF($D1031="","",IFERROR(IF(INDEX(Hierarchy!$B$2:$B$1295,MATCH($D1031,Hierarchy!$A$2:$A$1295,0))="","",INDEX(Hierarchy!$B$2:$B$1295,MATCH($D1031,Hierarchy!$A$2:$A$1295,0))),"NODE NOT FOUND"))</f>
        <v>Sub-region</v>
      </c>
      <c r="G1031" s="7" t="str">
        <f aca="false">IF($D1031="","",IFERROR(IF(INDEX(Hierarchy!$D$2:$D$1295,MATCH($D1031,Hierarchy!$A$2:$A$1295,0))="","",INDEX(Hierarchy!$D$2:$D$1295,MATCH($D1031,Hierarchy!$A$2:$A$1295,0))),"NODE NOT FOUND"))</f>
        <v>EMEA</v>
      </c>
      <c r="H1031" s="7" t="str">
        <f aca="false">IF($D1031="","",IFERROR(IF(INDEX(Hierarchy!$E$2:$E$1295,MATCH($D1031,Hierarchy!$A$2:$A$1295,0))="","",INDEX(Hierarchy!$E$2:$E$1295,MATCH($D1031,Hierarchy!$A$2:$A$1295,0))),"NODE NOT FOUND"))</f>
        <v>Middle East</v>
      </c>
      <c r="I1031" s="7" t="str">
        <f aca="false">IF($D1031="","",IFERROR(IF(INDEX(Hierarchy!$F$2:$F$1295,MATCH($D1031,Hierarchy!$A$2:$A$1295,0))="","",INDEX(Hierarchy!$F$2:$F$1295,MATCH($D1031,Hierarchy!$A$2:$A$1295,0))),"NODE NOT FOUND"))</f>
        <v/>
      </c>
      <c r="J1031" s="7" t="str">
        <f aca="false">IF($D1031="","",IFERROR(IF(INDEX(Hierarchy!$G$2:$G$1295,MATCH($D1031,Hierarchy!$A$2:$A$1295,0))="","",INDEX(Hierarchy!$G$2:$G$1295,MATCH($D1031,Hierarchy!$A$2:$A$1295,0))),"NODE NOT FOUND"))</f>
        <v/>
      </c>
      <c r="K1031" s="7" t="str">
        <f aca="false">IF($D1031="","",IFERROR(IF(INDEX(Hierarchy!$H$2:$H$1295,MATCH($D1031,Hierarchy!$A$2:$A$1295,0))="","",INDEX(Hierarchy!$H$2:$H$1295,MATCH($D1031,Hierarchy!$A$2:$A$1295,0))),"NODE NOT FOUND"))</f>
        <v/>
      </c>
      <c r="L1031" s="7" t="str">
        <f aca="false">IF($D1031="","",IFERROR(IF(INDEX(Hierarchy!$I$2:$I$1295,MATCH($D1031,Hierarchy!$A$2:$A$1295,0))="","",INDEX(Hierarchy!$I$2:$I$1295,MATCH($D1031,Hierarchy!$A$2:$A$1295,0))),"NODE NOT FOUND"))</f>
        <v/>
      </c>
      <c r="M1031" s="17" t="str">
        <f aca="false">IF(B1031="Pre-seeded","Pre-seeded",IF(B1031="Review 2026-09-16","Added from review",IF(C1031="","New",IF(C1031=D1031,"","Changed"))))</f>
        <v/>
      </c>
      <c r="N1031" s="7" t="str">
        <f aca="false">TRIM(SUBSTITUTE(SUBSTITUTE(SUBSTITUTE(" "&amp;TRIM(SUBSTITUTE(SUBSTITUTE(SUBSTITUTE(SUBSTITUTE(SUBSTITUTE(SUBSTITUTE(SUBSTITUTE(SUBSTITUTE(SUBSTITUTE(SUBSTITUTE(SUBSTITUTE(SUBSTITUTE(SUBSTITUTE(SUBSTITUTE(SUBSTITUTE(UPPER(TRIM(A1031)),"[MEMBER]",""),"{MEMBER}",""),"[MEMBER}",""),"MEMBER]",""),"(A)",""),"""",""),"“",""),"”",""),".",""),":",""),",",""),"–"," "),"-"," "),"/"," "),"&amp;"," AND "))&amp;" "," THE "," ")," TOTAL "," ")," OPERATIONS "," "))</f>
        <v>MID EAST</v>
      </c>
      <c r="O1031" s="17" t="str">
        <f aca="false">IF(COUNTIFS($N$2:$N$2000,N1031,$D$2:$D$2000,"&lt;&gt;"&amp;D1031)&gt;0,"CONFLICT","")</f>
        <v/>
      </c>
      <c r="P1031" s="7"/>
    </row>
    <row r="1032" customFormat="false" ht="15" hidden="false" customHeight="false" outlineLevel="0" collapsed="false">
      <c r="A1032" s="7" t="s">
        <v>2399</v>
      </c>
      <c r="B1032" s="7" t="s">
        <v>1954</v>
      </c>
      <c r="C1032" s="7"/>
      <c r="D1032" s="6" t="s">
        <v>98</v>
      </c>
      <c r="E1032" s="6" t="s">
        <v>1880</v>
      </c>
      <c r="F1032" s="7" t="str">
        <f aca="false">IF($D1032="","",IFERROR(IF(INDEX(Hierarchy!$B$2:$B$1295,MATCH($D1032,Hierarchy!$A$2:$A$1295,0))="","",INDEX(Hierarchy!$B$2:$B$1295,MATCH($D1032,Hierarchy!$A$2:$A$1295,0))),"NODE NOT FOUND"))</f>
        <v>Sub-national region</v>
      </c>
      <c r="G1032" s="7" t="str">
        <f aca="false">IF($D1032="","",IFERROR(IF(INDEX(Hierarchy!$D$2:$D$1295,MATCH($D1032,Hierarchy!$A$2:$A$1295,0))="","",INDEX(Hierarchy!$D$2:$D$1295,MATCH($D1032,Hierarchy!$A$2:$A$1295,0))),"NODE NOT FOUND"))</f>
        <v>AMER</v>
      </c>
      <c r="H1032" s="7" t="str">
        <f aca="false">IF($D1032="","",IFERROR(IF(INDEX(Hierarchy!$E$2:$E$1295,MATCH($D1032,Hierarchy!$A$2:$A$1295,0))="","",INDEX(Hierarchy!$E$2:$E$1295,MATCH($D1032,Hierarchy!$A$2:$A$1295,0))),"NODE NOT FOUND"))</f>
        <v>North America (NORAM)</v>
      </c>
      <c r="I1032" s="7" t="str">
        <f aca="false">IF($D1032="","",IFERROR(IF(INDEX(Hierarchy!$F$2:$F$1295,MATCH($D1032,Hierarchy!$A$2:$A$1295,0))="","",INDEX(Hierarchy!$F$2:$F$1295,MATCH($D1032,Hierarchy!$A$2:$A$1295,0))),"NODE NOT FOUND"))</f>
        <v>United States</v>
      </c>
      <c r="J1032" s="7" t="str">
        <f aca="false">IF($D1032="","",IFERROR(IF(INDEX(Hierarchy!$G$2:$G$1295,MATCH($D1032,Hierarchy!$A$2:$A$1295,0))="","",INDEX(Hierarchy!$G$2:$G$1295,MATCH($D1032,Hierarchy!$A$2:$A$1295,0))),"NODE NOT FOUND"))</f>
        <v>USA</v>
      </c>
      <c r="K1032" s="7" t="str">
        <f aca="false">IF($D1032="","",IFERROR(IF(INDEX(Hierarchy!$H$2:$H$1295,MATCH($D1032,Hierarchy!$A$2:$A$1295,0))="","",INDEX(Hierarchy!$H$2:$H$1295,MATCH($D1032,Hierarchy!$A$2:$A$1295,0))),"NODE NOT FOUND"))</f>
        <v/>
      </c>
      <c r="L1032" s="7" t="str">
        <f aca="false">IF($D1032="","",IFERROR(IF(INDEX(Hierarchy!$I$2:$I$1295,MATCH($D1032,Hierarchy!$A$2:$A$1295,0))="","",INDEX(Hierarchy!$I$2:$I$1295,MATCH($D1032,Hierarchy!$A$2:$A$1295,0))),"NODE NOT FOUND"))</f>
        <v/>
      </c>
      <c r="M1032" s="17" t="str">
        <f aca="false">IF(B1032="Pre-seeded","Pre-seeded",IF(B1032="Review 2026-09-16","Added from review",IF(C1032="","New",IF(C1032=D1032,"","Changed"))))</f>
        <v>Added from review</v>
      </c>
      <c r="N1032" s="7" t="str">
        <f aca="false">TRIM(SUBSTITUTE(SUBSTITUTE(SUBSTITUTE(" "&amp;TRIM(SUBSTITUTE(SUBSTITUTE(SUBSTITUTE(SUBSTITUTE(SUBSTITUTE(SUBSTITUTE(SUBSTITUTE(SUBSTITUTE(SUBSTITUTE(SUBSTITUTE(SUBSTITUTE(SUBSTITUTE(SUBSTITUTE(SUBSTITUTE(SUBSTITUTE(UPPER(TRIM(A1032)),"[MEMBER]",""),"{MEMBER}",""),"[MEMBER}",""),"MEMBER]",""),"(A)",""),"""",""),"“",""),"”",""),".",""),":",""),",",""),"–"," "),"-"," "),"/"," "),"&amp;"," AND "))&amp;" "," THE "," ")," TOTAL "," ")," OPERATIONS "," "))</f>
        <v>MID ATLANTIC</v>
      </c>
      <c r="O1032" s="17" t="str">
        <f aca="false">IF(COUNTIFS($N$2:$N$2000,N1032,$D$2:$D$2000,"&lt;&gt;"&amp;D1032)&gt;0,"CONFLICT","")</f>
        <v/>
      </c>
      <c r="P1032" s="7" t="s">
        <v>1955</v>
      </c>
    </row>
    <row r="1033" customFormat="false" ht="15" hidden="false" customHeight="false" outlineLevel="0" collapsed="false">
      <c r="A1033" s="7" t="s">
        <v>2400</v>
      </c>
      <c r="B1033" s="7" t="s">
        <v>1879</v>
      </c>
      <c r="C1033" s="7"/>
      <c r="D1033" s="6" t="s">
        <v>100</v>
      </c>
      <c r="E1033" s="6" t="s">
        <v>1880</v>
      </c>
      <c r="F1033" s="7" t="str">
        <f aca="false">IF($D1033="","",IFERROR(IF(INDEX(Hierarchy!$B$2:$B$1295,MATCH($D1033,Hierarchy!$A$2:$A$1295,0))="","",INDEX(Hierarchy!$B$2:$B$1295,MATCH($D1033,Hierarchy!$A$2:$A$1295,0))),"NODE NOT FOUND"))</f>
        <v>Sub-national region</v>
      </c>
      <c r="G1033" s="7" t="str">
        <f aca="false">IF($D1033="","",IFERROR(IF(INDEX(Hierarchy!$D$2:$D$1295,MATCH($D1033,Hierarchy!$A$2:$A$1295,0))="","",INDEX(Hierarchy!$D$2:$D$1295,MATCH($D1033,Hierarchy!$A$2:$A$1295,0))),"NODE NOT FOUND"))</f>
        <v>AMER</v>
      </c>
      <c r="H1033" s="7" t="str">
        <f aca="false">IF($D1033="","",IFERROR(IF(INDEX(Hierarchy!$E$2:$E$1295,MATCH($D1033,Hierarchy!$A$2:$A$1295,0))="","",INDEX(Hierarchy!$E$2:$E$1295,MATCH($D1033,Hierarchy!$A$2:$A$1295,0))),"NODE NOT FOUND"))</f>
        <v>North America (NORAM)</v>
      </c>
      <c r="I1033" s="7" t="str">
        <f aca="false">IF($D1033="","",IFERROR(IF(INDEX(Hierarchy!$F$2:$F$1295,MATCH($D1033,Hierarchy!$A$2:$A$1295,0))="","",INDEX(Hierarchy!$F$2:$F$1295,MATCH($D1033,Hierarchy!$A$2:$A$1295,0))),"NODE NOT FOUND"))</f>
        <v>United States</v>
      </c>
      <c r="J1033" s="7" t="str">
        <f aca="false">IF($D1033="","",IFERROR(IF(INDEX(Hierarchy!$G$2:$G$1295,MATCH($D1033,Hierarchy!$A$2:$A$1295,0))="","",INDEX(Hierarchy!$G$2:$G$1295,MATCH($D1033,Hierarchy!$A$2:$A$1295,0))),"NODE NOT FOUND"))</f>
        <v>USA</v>
      </c>
      <c r="K1033" s="7" t="str">
        <f aca="false">IF($D1033="","",IFERROR(IF(INDEX(Hierarchy!$H$2:$H$1295,MATCH($D1033,Hierarchy!$A$2:$A$1295,0))="","",INDEX(Hierarchy!$H$2:$H$1295,MATCH($D1033,Hierarchy!$A$2:$A$1295,0))),"NODE NOT FOUND"))</f>
        <v/>
      </c>
      <c r="L1033" s="7" t="str">
        <f aca="false">IF($D1033="","",IFERROR(IF(INDEX(Hierarchy!$I$2:$I$1295,MATCH($D1033,Hierarchy!$A$2:$A$1295,0))="","",INDEX(Hierarchy!$I$2:$I$1295,MATCH($D1033,Hierarchy!$A$2:$A$1295,0))),"NODE NOT FOUND"))</f>
        <v/>
      </c>
      <c r="M1033" s="17" t="str">
        <f aca="false">IF(B1033="Pre-seeded","Pre-seeded",IF(B1033="Review 2026-09-16","Added from review",IF(C1033="","New",IF(C1033=D1033,"","Changed"))))</f>
        <v>Pre-seeded</v>
      </c>
      <c r="N1033" s="7" t="str">
        <f aca="false">TRIM(SUBSTITUTE(SUBSTITUTE(SUBSTITUTE(" "&amp;TRIM(SUBSTITUTE(SUBSTITUTE(SUBSTITUTE(SUBSTITUTE(SUBSTITUTE(SUBSTITUTE(SUBSTITUTE(SUBSTITUTE(SUBSTITUTE(SUBSTITUTE(SUBSTITUTE(SUBSTITUTE(SUBSTITUTE(SUBSTITUTE(SUBSTITUTE(UPPER(TRIM(A1033)),"[MEMBER]",""),"{MEMBER}",""),"[MEMBER}",""),"MEMBER]",""),"(A)",""),"""",""),"“",""),"”",""),".",""),":",""),",",""),"–"," "),"-"," "),"/"," "),"&amp;"," AND "))&amp;" "," THE "," ")," TOTAL "," ")," OPERATIONS "," "))</f>
        <v>MID WEST</v>
      </c>
      <c r="O1033" s="17" t="str">
        <f aca="false">IF(COUNTIFS($N$2:$N$2000,N1033,$D$2:$D$2000,"&lt;&gt;"&amp;D1033)&gt;0,"CONFLICT","")</f>
        <v/>
      </c>
      <c r="P1033" s="7"/>
    </row>
    <row r="1034" customFormat="false" ht="15" hidden="false" customHeight="false" outlineLevel="0" collapsed="false">
      <c r="A1034" s="7" t="s">
        <v>1177</v>
      </c>
      <c r="B1034" s="7" t="s">
        <v>1879</v>
      </c>
      <c r="C1034" s="7"/>
      <c r="D1034" s="6" t="s">
        <v>1097</v>
      </c>
      <c r="E1034" s="6" t="s">
        <v>1880</v>
      </c>
      <c r="F1034" s="7" t="str">
        <f aca="false">IF($D1034="","",IFERROR(IF(INDEX(Hierarchy!$B$2:$B$1295,MATCH($D1034,Hierarchy!$A$2:$A$1295,0))="","",INDEX(Hierarchy!$B$2:$B$1295,MATCH($D1034,Hierarchy!$A$2:$A$1295,0))),"NODE NOT FOUND"))</f>
        <v>Sub-region component</v>
      </c>
      <c r="G1034" s="7" t="str">
        <f aca="false">IF($D1034="","",IFERROR(IF(INDEX(Hierarchy!$D$2:$D$1295,MATCH($D1034,Hierarchy!$A$2:$A$1295,0))="","",INDEX(Hierarchy!$D$2:$D$1295,MATCH($D1034,Hierarchy!$A$2:$A$1295,0))),"NODE NOT FOUND"))</f>
        <v>EMEA</v>
      </c>
      <c r="H1034" s="7" t="str">
        <f aca="false">IF($D1034="","",IFERROR(IF(INDEX(Hierarchy!$E$2:$E$1295,MATCH($D1034,Hierarchy!$A$2:$A$1295,0))="","",INDEX(Hierarchy!$E$2:$E$1295,MATCH($D1034,Hierarchy!$A$2:$A$1295,0))),"NODE NOT FOUND"))</f>
        <v>Africa</v>
      </c>
      <c r="I1034" s="7" t="str">
        <f aca="false">IF($D1034="","",IFERROR(IF(INDEX(Hierarchy!$F$2:$F$1295,MATCH($D1034,Hierarchy!$A$2:$A$1295,0))="","",INDEX(Hierarchy!$F$2:$F$1295,MATCH($D1034,Hierarchy!$A$2:$A$1295,0))),"NODE NOT FOUND"))</f>
        <v/>
      </c>
      <c r="J1034" s="7" t="str">
        <f aca="false">IF($D1034="","",IFERROR(IF(INDEX(Hierarchy!$G$2:$G$1295,MATCH($D1034,Hierarchy!$A$2:$A$1295,0))="","",INDEX(Hierarchy!$G$2:$G$1295,MATCH($D1034,Hierarchy!$A$2:$A$1295,0))),"NODE NOT FOUND"))</f>
        <v/>
      </c>
      <c r="K1034" s="7" t="str">
        <f aca="false">IF($D1034="","",IFERROR(IF(INDEX(Hierarchy!$H$2:$H$1295,MATCH($D1034,Hierarchy!$A$2:$A$1295,0))="","",INDEX(Hierarchy!$H$2:$H$1295,MATCH($D1034,Hierarchy!$A$2:$A$1295,0))),"NODE NOT FOUND"))</f>
        <v/>
      </c>
      <c r="L1034" s="7" t="str">
        <f aca="false">IF($D1034="","",IFERROR(IF(INDEX(Hierarchy!$I$2:$I$1295,MATCH($D1034,Hierarchy!$A$2:$A$1295,0))="","",INDEX(Hierarchy!$I$2:$I$1295,MATCH($D1034,Hierarchy!$A$2:$A$1295,0))),"NODE NOT FOUND"))</f>
        <v/>
      </c>
      <c r="M1034" s="17" t="str">
        <f aca="false">IF(B1034="Pre-seeded","Pre-seeded",IF(B1034="Review 2026-09-16","Added from review",IF(C1034="","New",IF(C1034=D1034,"","Changed"))))</f>
        <v>Pre-seeded</v>
      </c>
      <c r="N1034" s="7" t="str">
        <f aca="false">TRIM(SUBSTITUTE(SUBSTITUTE(SUBSTITUTE(" "&amp;TRIM(SUBSTITUTE(SUBSTITUTE(SUBSTITUTE(SUBSTITUTE(SUBSTITUTE(SUBSTITUTE(SUBSTITUTE(SUBSTITUTE(SUBSTITUTE(SUBSTITUTE(SUBSTITUTE(SUBSTITUTE(SUBSTITUTE(SUBSTITUTE(SUBSTITUTE(UPPER(TRIM(A1034)),"[MEMBER]",""),"{MEMBER}",""),"[MEMBER}",""),"MEMBER]",""),"(A)",""),"""",""),"“",""),"”",""),".",""),":",""),",",""),"–"," "),"-"," "),"/"," "),"&amp;"," AND "))&amp;" "," THE "," ")," TOTAL "," ")," OPERATIONS "," "))</f>
        <v>MIDDLE AFRICA</v>
      </c>
      <c r="O1034" s="17" t="str">
        <f aca="false">IF(COUNTIFS($N$2:$N$2000,N1034,$D$2:$D$2000,"&lt;&gt;"&amp;D1034)&gt;0,"CONFLICT","")</f>
        <v/>
      </c>
      <c r="P1034" s="7"/>
    </row>
    <row r="1035" customFormat="false" ht="15" hidden="false" customHeight="false" outlineLevel="0" collapsed="false">
      <c r="A1035" s="7" t="s">
        <v>1030</v>
      </c>
      <c r="B1035" s="7" t="s">
        <v>1882</v>
      </c>
      <c r="C1035" s="7" t="s">
        <v>1030</v>
      </c>
      <c r="D1035" s="6" t="s">
        <v>1030</v>
      </c>
      <c r="E1035" s="6" t="s">
        <v>1880</v>
      </c>
      <c r="F1035" s="7" t="str">
        <f aca="false">IF($D1035="","",IFERROR(IF(INDEX(Hierarchy!$B$2:$B$1295,MATCH($D1035,Hierarchy!$A$2:$A$1295,0))="","",INDEX(Hierarchy!$B$2:$B$1295,MATCH($D1035,Hierarchy!$A$2:$A$1295,0))),"NODE NOT FOUND"))</f>
        <v>Sub-region</v>
      </c>
      <c r="G1035" s="7" t="str">
        <f aca="false">IF($D1035="","",IFERROR(IF(INDEX(Hierarchy!$D$2:$D$1295,MATCH($D1035,Hierarchy!$A$2:$A$1295,0))="","",INDEX(Hierarchy!$D$2:$D$1295,MATCH($D1035,Hierarchy!$A$2:$A$1295,0))),"NODE NOT FOUND"))</f>
        <v>EMEA</v>
      </c>
      <c r="H1035" s="7" t="str">
        <f aca="false">IF($D1035="","",IFERROR(IF(INDEX(Hierarchy!$E$2:$E$1295,MATCH($D1035,Hierarchy!$A$2:$A$1295,0))="","",INDEX(Hierarchy!$E$2:$E$1295,MATCH($D1035,Hierarchy!$A$2:$A$1295,0))),"NODE NOT FOUND"))</f>
        <v>Middle East</v>
      </c>
      <c r="I1035" s="7" t="str">
        <f aca="false">IF($D1035="","",IFERROR(IF(INDEX(Hierarchy!$F$2:$F$1295,MATCH($D1035,Hierarchy!$A$2:$A$1295,0))="","",INDEX(Hierarchy!$F$2:$F$1295,MATCH($D1035,Hierarchy!$A$2:$A$1295,0))),"NODE NOT FOUND"))</f>
        <v/>
      </c>
      <c r="J1035" s="7" t="str">
        <f aca="false">IF($D1035="","",IFERROR(IF(INDEX(Hierarchy!$G$2:$G$1295,MATCH($D1035,Hierarchy!$A$2:$A$1295,0))="","",INDEX(Hierarchy!$G$2:$G$1295,MATCH($D1035,Hierarchy!$A$2:$A$1295,0))),"NODE NOT FOUND"))</f>
        <v/>
      </c>
      <c r="K1035" s="7" t="str">
        <f aca="false">IF($D1035="","",IFERROR(IF(INDEX(Hierarchy!$H$2:$H$1295,MATCH($D1035,Hierarchy!$A$2:$A$1295,0))="","",INDEX(Hierarchy!$H$2:$H$1295,MATCH($D1035,Hierarchy!$A$2:$A$1295,0))),"NODE NOT FOUND"))</f>
        <v/>
      </c>
      <c r="L1035" s="7" t="str">
        <f aca="false">IF($D1035="","",IFERROR(IF(INDEX(Hierarchy!$I$2:$I$1295,MATCH($D1035,Hierarchy!$A$2:$A$1295,0))="","",INDEX(Hierarchy!$I$2:$I$1295,MATCH($D1035,Hierarchy!$A$2:$A$1295,0))),"NODE NOT FOUND"))</f>
        <v/>
      </c>
      <c r="M1035" s="17" t="str">
        <f aca="false">IF(B1035="Pre-seeded","Pre-seeded",IF(B1035="Review 2026-09-16","Added from review",IF(C1035="","New",IF(C1035=D1035,"","Changed"))))</f>
        <v/>
      </c>
      <c r="N1035" s="7" t="str">
        <f aca="false">TRIM(SUBSTITUTE(SUBSTITUTE(SUBSTITUTE(" "&amp;TRIM(SUBSTITUTE(SUBSTITUTE(SUBSTITUTE(SUBSTITUTE(SUBSTITUTE(SUBSTITUTE(SUBSTITUTE(SUBSTITUTE(SUBSTITUTE(SUBSTITUTE(SUBSTITUTE(SUBSTITUTE(SUBSTITUTE(SUBSTITUTE(SUBSTITUTE(UPPER(TRIM(A1035)),"[MEMBER]",""),"{MEMBER}",""),"[MEMBER}",""),"MEMBER]",""),"(A)",""),"""",""),"“",""),"”",""),".",""),":",""),",",""),"–"," "),"-"," "),"/"," "),"&amp;"," AND "))&amp;" "," THE "," ")," TOTAL "," ")," OPERATIONS "," "))</f>
        <v>MIDDLE EAST</v>
      </c>
      <c r="O1035" s="17" t="str">
        <f aca="false">IF(COUNTIFS($N$2:$N$2000,N1035,$D$2:$D$2000,"&lt;&gt;"&amp;D1035)&gt;0,"CONFLICT","")</f>
        <v/>
      </c>
      <c r="P1035" s="7"/>
    </row>
    <row r="1036" customFormat="false" ht="15" hidden="false" customHeight="false" outlineLevel="0" collapsed="false">
      <c r="A1036" s="7" t="s">
        <v>2401</v>
      </c>
      <c r="B1036" s="7" t="s">
        <v>1882</v>
      </c>
      <c r="C1036" s="7" t="s">
        <v>620</v>
      </c>
      <c r="D1036" s="6" t="s">
        <v>620</v>
      </c>
      <c r="E1036" s="6" t="s">
        <v>1880</v>
      </c>
      <c r="F1036" s="7" t="str">
        <f aca="false">IF($D1036="","",IFERROR(IF(INDEX(Hierarchy!$B$2:$B$1295,MATCH($D1036,Hierarchy!$A$2:$A$1295,0))="","",INDEX(Hierarchy!$B$2:$B$1295,MATCH($D1036,Hierarchy!$A$2:$A$1295,0))),"NODE NOT FOUND"))</f>
        <v>Sub-region group</v>
      </c>
      <c r="G1036" s="7" t="str">
        <f aca="false">IF($D1036="","",IFERROR(IF(INDEX(Hierarchy!$D$2:$D$1295,MATCH($D1036,Hierarchy!$A$2:$A$1295,0))="","",INDEX(Hierarchy!$D$2:$D$1295,MATCH($D1036,Hierarchy!$A$2:$A$1295,0))),"NODE NOT FOUND"))</f>
        <v>EMEA</v>
      </c>
      <c r="H1036" s="7" t="str">
        <f aca="false">IF($D1036="","",IFERROR(IF(INDEX(Hierarchy!$E$2:$E$1295,MATCH($D1036,Hierarchy!$A$2:$A$1295,0))="","",INDEX(Hierarchy!$E$2:$E$1295,MATCH($D1036,Hierarchy!$A$2:$A$1295,0))),"NODE NOT FOUND"))</f>
        <v/>
      </c>
      <c r="I1036" s="7" t="str">
        <f aca="false">IF($D1036="","",IFERROR(IF(INDEX(Hierarchy!$F$2:$F$1295,MATCH($D1036,Hierarchy!$A$2:$A$1295,0))="","",INDEX(Hierarchy!$F$2:$F$1295,MATCH($D1036,Hierarchy!$A$2:$A$1295,0))),"NODE NOT FOUND"))</f>
        <v/>
      </c>
      <c r="J1036" s="7" t="str">
        <f aca="false">IF($D1036="","",IFERROR(IF(INDEX(Hierarchy!$G$2:$G$1295,MATCH($D1036,Hierarchy!$A$2:$A$1295,0))="","",INDEX(Hierarchy!$G$2:$G$1295,MATCH($D1036,Hierarchy!$A$2:$A$1295,0))),"NODE NOT FOUND"))</f>
        <v/>
      </c>
      <c r="K1036" s="7" t="str">
        <f aca="false">IF($D1036="","",IFERROR(IF(INDEX(Hierarchy!$H$2:$H$1295,MATCH($D1036,Hierarchy!$A$2:$A$1295,0))="","",INDEX(Hierarchy!$H$2:$H$1295,MATCH($D1036,Hierarchy!$A$2:$A$1295,0))),"NODE NOT FOUND"))</f>
        <v/>
      </c>
      <c r="L1036" s="7" t="str">
        <f aca="false">IF($D1036="","",IFERROR(IF(INDEX(Hierarchy!$I$2:$I$1295,MATCH($D1036,Hierarchy!$A$2:$A$1295,0))="","",INDEX(Hierarchy!$I$2:$I$1295,MATCH($D1036,Hierarchy!$A$2:$A$1295,0))),"NODE NOT FOUND"))</f>
        <v/>
      </c>
      <c r="M1036" s="17" t="str">
        <f aca="false">IF(B1036="Pre-seeded","Pre-seeded",IF(B1036="Review 2026-09-16","Added from review",IF(C1036="","New",IF(C1036=D1036,"","Changed"))))</f>
        <v/>
      </c>
      <c r="N1036" s="7" t="str">
        <f aca="false">TRIM(SUBSTITUTE(SUBSTITUTE(SUBSTITUTE(" "&amp;TRIM(SUBSTITUTE(SUBSTITUTE(SUBSTITUTE(SUBSTITUTE(SUBSTITUTE(SUBSTITUTE(SUBSTITUTE(SUBSTITUTE(SUBSTITUTE(SUBSTITUTE(SUBSTITUTE(SUBSTITUTE(SUBSTITUTE(SUBSTITUTE(SUBSTITUTE(UPPER(TRIM(A1036)),"[MEMBER]",""),"{MEMBER}",""),"[MEMBER}",""),"MEMBER]",""),"(A)",""),"""",""),"“",""),"”",""),".",""),":",""),",",""),"–"," "),"-"," "),"/"," "),"&amp;"," AND "))&amp;" "," THE "," ")," TOTAL "," ")," OPERATIONS "," "))</f>
        <v>MIDDLE EAST AND AFRICA</v>
      </c>
      <c r="O1036" s="17" t="str">
        <f aca="false">IF(COUNTIFS($N$2:$N$2000,N1036,$D$2:$D$2000,"&lt;&gt;"&amp;D1036)&gt;0,"CONFLICT","")</f>
        <v/>
      </c>
      <c r="P1036" s="7"/>
    </row>
    <row r="1037" customFormat="false" ht="15" hidden="false" customHeight="false" outlineLevel="0" collapsed="false">
      <c r="A1037" s="7" t="s">
        <v>618</v>
      </c>
      <c r="B1037" s="7" t="s">
        <v>1879</v>
      </c>
      <c r="C1037" s="7"/>
      <c r="D1037" s="6" t="s">
        <v>618</v>
      </c>
      <c r="E1037" s="6" t="s">
        <v>1880</v>
      </c>
      <c r="F1037" s="7" t="str">
        <f aca="false">IF($D1037="","",IFERROR(IF(INDEX(Hierarchy!$B$2:$B$1295,MATCH($D1037,Hierarchy!$A$2:$A$1295,0))="","",INDEX(Hierarchy!$B$2:$B$1295,MATCH($D1037,Hierarchy!$A$2:$A$1295,0))),"NODE NOT FOUND"))</f>
        <v>Sub-region group</v>
      </c>
      <c r="G1037" s="7" t="str">
        <f aca="false">IF($D1037="","",IFERROR(IF(INDEX(Hierarchy!$D$2:$D$1295,MATCH($D1037,Hierarchy!$A$2:$A$1295,0))="","",INDEX(Hierarchy!$D$2:$D$1295,MATCH($D1037,Hierarchy!$A$2:$A$1295,0))),"NODE NOT FOUND"))</f>
        <v>EMEA</v>
      </c>
      <c r="H1037" s="7" t="str">
        <f aca="false">IF($D1037="","",IFERROR(IF(INDEX(Hierarchy!$E$2:$E$1295,MATCH($D1037,Hierarchy!$A$2:$A$1295,0))="","",INDEX(Hierarchy!$E$2:$E$1295,MATCH($D1037,Hierarchy!$A$2:$A$1295,0))),"NODE NOT FOUND"))</f>
        <v/>
      </c>
      <c r="I1037" s="7" t="str">
        <f aca="false">IF($D1037="","",IFERROR(IF(INDEX(Hierarchy!$F$2:$F$1295,MATCH($D1037,Hierarchy!$A$2:$A$1295,0))="","",INDEX(Hierarchy!$F$2:$F$1295,MATCH($D1037,Hierarchy!$A$2:$A$1295,0))),"NODE NOT FOUND"))</f>
        <v/>
      </c>
      <c r="J1037" s="7" t="str">
        <f aca="false">IF($D1037="","",IFERROR(IF(INDEX(Hierarchy!$G$2:$G$1295,MATCH($D1037,Hierarchy!$A$2:$A$1295,0))="","",INDEX(Hierarchy!$G$2:$G$1295,MATCH($D1037,Hierarchy!$A$2:$A$1295,0))),"NODE NOT FOUND"))</f>
        <v/>
      </c>
      <c r="K1037" s="7" t="str">
        <f aca="false">IF($D1037="","",IFERROR(IF(INDEX(Hierarchy!$H$2:$H$1295,MATCH($D1037,Hierarchy!$A$2:$A$1295,0))="","",INDEX(Hierarchy!$H$2:$H$1295,MATCH($D1037,Hierarchy!$A$2:$A$1295,0))),"NODE NOT FOUND"))</f>
        <v/>
      </c>
      <c r="L1037" s="7" t="str">
        <f aca="false">IF($D1037="","",IFERROR(IF(INDEX(Hierarchy!$I$2:$I$1295,MATCH($D1037,Hierarchy!$A$2:$A$1295,0))="","",INDEX(Hierarchy!$I$2:$I$1295,MATCH($D1037,Hierarchy!$A$2:$A$1295,0))),"NODE NOT FOUND"))</f>
        <v/>
      </c>
      <c r="M1037" s="17" t="str">
        <f aca="false">IF(B1037="Pre-seeded","Pre-seeded",IF(B1037="Review 2026-09-16","Added from review",IF(C1037="","New",IF(C1037=D1037,"","Changed"))))</f>
        <v>Pre-seeded</v>
      </c>
      <c r="N1037" s="7" t="str">
        <f aca="false">TRIM(SUBSTITUTE(SUBSTITUTE(SUBSTITUTE(" "&amp;TRIM(SUBSTITUTE(SUBSTITUTE(SUBSTITUTE(SUBSTITUTE(SUBSTITUTE(SUBSTITUTE(SUBSTITUTE(SUBSTITUTE(SUBSTITUTE(SUBSTITUTE(SUBSTITUTE(SUBSTITUTE(SUBSTITUTE(SUBSTITUTE(SUBSTITUTE(UPPER(TRIM(A1037)),"[MEMBER]",""),"{MEMBER}",""),"[MEMBER}",""),"MEMBER]",""),"(A)",""),"""",""),"“",""),"”",""),".",""),":",""),",",""),"–"," "),"-"," "),"/"," "),"&amp;"," AND "))&amp;" "," THE "," ")," TOTAL "," ")," OPERATIONS "," "))</f>
        <v>MIDDLE EAST AND NORTH AFRICA (MENA)</v>
      </c>
      <c r="O1037" s="17" t="str">
        <f aca="false">IF(COUNTIFS($N$2:$N$2000,N1037,$D$2:$D$2000,"&lt;&gt;"&amp;D1037)&gt;0,"CONFLICT","")</f>
        <v/>
      </c>
      <c r="P1037" s="7"/>
    </row>
    <row r="1038" customFormat="false" ht="15" hidden="false" customHeight="false" outlineLevel="0" collapsed="false">
      <c r="A1038" s="7" t="s">
        <v>620</v>
      </c>
      <c r="B1038" s="7" t="s">
        <v>1882</v>
      </c>
      <c r="C1038" s="7" t="s">
        <v>620</v>
      </c>
      <c r="D1038" s="6" t="s">
        <v>620</v>
      </c>
      <c r="E1038" s="6" t="s">
        <v>1880</v>
      </c>
      <c r="F1038" s="7" t="str">
        <f aca="false">IF($D1038="","",IFERROR(IF(INDEX(Hierarchy!$B$2:$B$1295,MATCH($D1038,Hierarchy!$A$2:$A$1295,0))="","",INDEX(Hierarchy!$B$2:$B$1295,MATCH($D1038,Hierarchy!$A$2:$A$1295,0))),"NODE NOT FOUND"))</f>
        <v>Sub-region group</v>
      </c>
      <c r="G1038" s="7" t="str">
        <f aca="false">IF($D1038="","",IFERROR(IF(INDEX(Hierarchy!$D$2:$D$1295,MATCH($D1038,Hierarchy!$A$2:$A$1295,0))="","",INDEX(Hierarchy!$D$2:$D$1295,MATCH($D1038,Hierarchy!$A$2:$A$1295,0))),"NODE NOT FOUND"))</f>
        <v>EMEA</v>
      </c>
      <c r="H1038" s="7" t="str">
        <f aca="false">IF($D1038="","",IFERROR(IF(INDEX(Hierarchy!$E$2:$E$1295,MATCH($D1038,Hierarchy!$A$2:$A$1295,0))="","",INDEX(Hierarchy!$E$2:$E$1295,MATCH($D1038,Hierarchy!$A$2:$A$1295,0))),"NODE NOT FOUND"))</f>
        <v/>
      </c>
      <c r="I1038" s="7" t="str">
        <f aca="false">IF($D1038="","",IFERROR(IF(INDEX(Hierarchy!$F$2:$F$1295,MATCH($D1038,Hierarchy!$A$2:$A$1295,0))="","",INDEX(Hierarchy!$F$2:$F$1295,MATCH($D1038,Hierarchy!$A$2:$A$1295,0))),"NODE NOT FOUND"))</f>
        <v/>
      </c>
      <c r="J1038" s="7" t="str">
        <f aca="false">IF($D1038="","",IFERROR(IF(INDEX(Hierarchy!$G$2:$G$1295,MATCH($D1038,Hierarchy!$A$2:$A$1295,0))="","",INDEX(Hierarchy!$G$2:$G$1295,MATCH($D1038,Hierarchy!$A$2:$A$1295,0))),"NODE NOT FOUND"))</f>
        <v/>
      </c>
      <c r="K1038" s="7" t="str">
        <f aca="false">IF($D1038="","",IFERROR(IF(INDEX(Hierarchy!$H$2:$H$1295,MATCH($D1038,Hierarchy!$A$2:$A$1295,0))="","",INDEX(Hierarchy!$H$2:$H$1295,MATCH($D1038,Hierarchy!$A$2:$A$1295,0))),"NODE NOT FOUND"))</f>
        <v/>
      </c>
      <c r="L1038" s="7" t="str">
        <f aca="false">IF($D1038="","",IFERROR(IF(INDEX(Hierarchy!$I$2:$I$1295,MATCH($D1038,Hierarchy!$A$2:$A$1295,0))="","",INDEX(Hierarchy!$I$2:$I$1295,MATCH($D1038,Hierarchy!$A$2:$A$1295,0))),"NODE NOT FOUND"))</f>
        <v/>
      </c>
      <c r="M1038" s="17" t="str">
        <f aca="false">IF(B1038="Pre-seeded","Pre-seeded",IF(B1038="Review 2026-09-16","Added from review",IF(C1038="","New",IF(C1038=D1038,"","Changed"))))</f>
        <v/>
      </c>
      <c r="N1038" s="7" t="str">
        <f aca="false">TRIM(SUBSTITUTE(SUBSTITUTE(SUBSTITUTE(" "&amp;TRIM(SUBSTITUTE(SUBSTITUTE(SUBSTITUTE(SUBSTITUTE(SUBSTITUTE(SUBSTITUTE(SUBSTITUTE(SUBSTITUTE(SUBSTITUTE(SUBSTITUTE(SUBSTITUTE(SUBSTITUTE(SUBSTITUTE(SUBSTITUTE(SUBSTITUTE(UPPER(TRIM(A1038)),"[MEMBER]",""),"{MEMBER}",""),"[MEMBER}",""),"MEMBER]",""),"(A)",""),"""",""),"“",""),"”",""),".",""),":",""),",",""),"–"," "),"-"," "),"/"," "),"&amp;"," AND "))&amp;" "," THE "," ")," TOTAL "," ")," OPERATIONS "," "))</f>
        <v>MIDDLE EAST AND AFRICA</v>
      </c>
      <c r="O1038" s="17" t="str">
        <f aca="false">IF(COUNTIFS($N$2:$N$2000,N1038,$D$2:$D$2000,"&lt;&gt;"&amp;D1038)&gt;0,"CONFLICT","")</f>
        <v/>
      </c>
      <c r="P1038" s="7"/>
    </row>
    <row r="1039" customFormat="false" ht="15" hidden="false" customHeight="false" outlineLevel="0" collapsed="false">
      <c r="A1039" s="7" t="s">
        <v>2402</v>
      </c>
      <c r="B1039" s="7" t="s">
        <v>1882</v>
      </c>
      <c r="C1039" s="7" t="s">
        <v>620</v>
      </c>
      <c r="D1039" s="6" t="s">
        <v>620</v>
      </c>
      <c r="E1039" s="6" t="s">
        <v>1880</v>
      </c>
      <c r="F1039" s="7" t="str">
        <f aca="false">IF($D1039="","",IFERROR(IF(INDEX(Hierarchy!$B$2:$B$1295,MATCH($D1039,Hierarchy!$A$2:$A$1295,0))="","",INDEX(Hierarchy!$B$2:$B$1295,MATCH($D1039,Hierarchy!$A$2:$A$1295,0))),"NODE NOT FOUND"))</f>
        <v>Sub-region group</v>
      </c>
      <c r="G1039" s="7" t="str">
        <f aca="false">IF($D1039="","",IFERROR(IF(INDEX(Hierarchy!$D$2:$D$1295,MATCH($D1039,Hierarchy!$A$2:$A$1295,0))="","",INDEX(Hierarchy!$D$2:$D$1295,MATCH($D1039,Hierarchy!$A$2:$A$1295,0))),"NODE NOT FOUND"))</f>
        <v>EMEA</v>
      </c>
      <c r="H1039" s="7" t="str">
        <f aca="false">IF($D1039="","",IFERROR(IF(INDEX(Hierarchy!$E$2:$E$1295,MATCH($D1039,Hierarchy!$A$2:$A$1295,0))="","",INDEX(Hierarchy!$E$2:$E$1295,MATCH($D1039,Hierarchy!$A$2:$A$1295,0))),"NODE NOT FOUND"))</f>
        <v/>
      </c>
      <c r="I1039" s="7" t="str">
        <f aca="false">IF($D1039="","",IFERROR(IF(INDEX(Hierarchy!$F$2:$F$1295,MATCH($D1039,Hierarchy!$A$2:$A$1295,0))="","",INDEX(Hierarchy!$F$2:$F$1295,MATCH($D1039,Hierarchy!$A$2:$A$1295,0))),"NODE NOT FOUND"))</f>
        <v/>
      </c>
      <c r="J1039" s="7" t="str">
        <f aca="false">IF($D1039="","",IFERROR(IF(INDEX(Hierarchy!$G$2:$G$1295,MATCH($D1039,Hierarchy!$A$2:$A$1295,0))="","",INDEX(Hierarchy!$G$2:$G$1295,MATCH($D1039,Hierarchy!$A$2:$A$1295,0))),"NODE NOT FOUND"))</f>
        <v/>
      </c>
      <c r="K1039" s="7" t="str">
        <f aca="false">IF($D1039="","",IFERROR(IF(INDEX(Hierarchy!$H$2:$H$1295,MATCH($D1039,Hierarchy!$A$2:$A$1295,0))="","",INDEX(Hierarchy!$H$2:$H$1295,MATCH($D1039,Hierarchy!$A$2:$A$1295,0))),"NODE NOT FOUND"))</f>
        <v/>
      </c>
      <c r="L1039" s="7" t="str">
        <f aca="false">IF($D1039="","",IFERROR(IF(INDEX(Hierarchy!$I$2:$I$1295,MATCH($D1039,Hierarchy!$A$2:$A$1295,0))="","",INDEX(Hierarchy!$I$2:$I$1295,MATCH($D1039,Hierarchy!$A$2:$A$1295,0))),"NODE NOT FOUND"))</f>
        <v/>
      </c>
      <c r="M1039" s="17" t="str">
        <f aca="false">IF(B1039="Pre-seeded","Pre-seeded",IF(B1039="Review 2026-09-16","Added from review",IF(C1039="","New",IF(C1039=D1039,"","Changed"))))</f>
        <v/>
      </c>
      <c r="N1039" s="7" t="str">
        <f aca="false">TRIM(SUBSTITUTE(SUBSTITUTE(SUBSTITUTE(" "&amp;TRIM(SUBSTITUTE(SUBSTITUTE(SUBSTITUTE(SUBSTITUTE(SUBSTITUTE(SUBSTITUTE(SUBSTITUTE(SUBSTITUTE(SUBSTITUTE(SUBSTITUTE(SUBSTITUTE(SUBSTITUTE(SUBSTITUTE(SUBSTITUTE(SUBSTITUTE(UPPER(TRIM(A1039)),"[MEMBER]",""),"{MEMBER}",""),"[MEMBER}",""),"MEMBER]",""),"(A)",""),"""",""),"“",""),"”",""),".",""),":",""),",",""),"–"," "),"-"," "),"/"," "),"&amp;"," AND "))&amp;" "," THE "," ")," TOTAL "," ")," OPERATIONS "," "))</f>
        <v>MIDDLE EAST AND AFRICA</v>
      </c>
      <c r="O1039" s="17" t="str">
        <f aca="false">IF(COUNTIFS($N$2:$N$2000,N1039,$D$2:$D$2000,"&lt;&gt;"&amp;D1039)&gt;0,"CONFLICT","")</f>
        <v/>
      </c>
      <c r="P1039" s="7"/>
    </row>
    <row r="1040" customFormat="false" ht="15" hidden="false" customHeight="false" outlineLevel="0" collapsed="false">
      <c r="A1040" s="7" t="s">
        <v>2403</v>
      </c>
      <c r="B1040" s="7" t="s">
        <v>1879</v>
      </c>
      <c r="C1040" s="7"/>
      <c r="D1040" s="6" t="s">
        <v>620</v>
      </c>
      <c r="E1040" s="6" t="s">
        <v>1880</v>
      </c>
      <c r="F1040" s="7" t="str">
        <f aca="false">IF($D1040="","",IFERROR(IF(INDEX(Hierarchy!$B$2:$B$1295,MATCH($D1040,Hierarchy!$A$2:$A$1295,0))="","",INDEX(Hierarchy!$B$2:$B$1295,MATCH($D1040,Hierarchy!$A$2:$A$1295,0))),"NODE NOT FOUND"))</f>
        <v>Sub-region group</v>
      </c>
      <c r="G1040" s="7" t="str">
        <f aca="false">IF($D1040="","",IFERROR(IF(INDEX(Hierarchy!$D$2:$D$1295,MATCH($D1040,Hierarchy!$A$2:$A$1295,0))="","",INDEX(Hierarchy!$D$2:$D$1295,MATCH($D1040,Hierarchy!$A$2:$A$1295,0))),"NODE NOT FOUND"))</f>
        <v>EMEA</v>
      </c>
      <c r="H1040" s="7" t="str">
        <f aca="false">IF($D1040="","",IFERROR(IF(INDEX(Hierarchy!$E$2:$E$1295,MATCH($D1040,Hierarchy!$A$2:$A$1295,0))="","",INDEX(Hierarchy!$E$2:$E$1295,MATCH($D1040,Hierarchy!$A$2:$A$1295,0))),"NODE NOT FOUND"))</f>
        <v/>
      </c>
      <c r="I1040" s="7" t="str">
        <f aca="false">IF($D1040="","",IFERROR(IF(INDEX(Hierarchy!$F$2:$F$1295,MATCH($D1040,Hierarchy!$A$2:$A$1295,0))="","",INDEX(Hierarchy!$F$2:$F$1295,MATCH($D1040,Hierarchy!$A$2:$A$1295,0))),"NODE NOT FOUND"))</f>
        <v/>
      </c>
      <c r="J1040" s="7" t="str">
        <f aca="false">IF($D1040="","",IFERROR(IF(INDEX(Hierarchy!$G$2:$G$1295,MATCH($D1040,Hierarchy!$A$2:$A$1295,0))="","",INDEX(Hierarchy!$G$2:$G$1295,MATCH($D1040,Hierarchy!$A$2:$A$1295,0))),"NODE NOT FOUND"))</f>
        <v/>
      </c>
      <c r="K1040" s="7" t="str">
        <f aca="false">IF($D1040="","",IFERROR(IF(INDEX(Hierarchy!$H$2:$H$1295,MATCH($D1040,Hierarchy!$A$2:$A$1295,0))="","",INDEX(Hierarchy!$H$2:$H$1295,MATCH($D1040,Hierarchy!$A$2:$A$1295,0))),"NODE NOT FOUND"))</f>
        <v/>
      </c>
      <c r="L1040" s="7" t="str">
        <f aca="false">IF($D1040="","",IFERROR(IF(INDEX(Hierarchy!$I$2:$I$1295,MATCH($D1040,Hierarchy!$A$2:$A$1295,0))="","",INDEX(Hierarchy!$I$2:$I$1295,MATCH($D1040,Hierarchy!$A$2:$A$1295,0))),"NODE NOT FOUND"))</f>
        <v/>
      </c>
      <c r="M1040" s="17" t="str">
        <f aca="false">IF(B1040="Pre-seeded","Pre-seeded",IF(B1040="Review 2026-09-16","Added from review",IF(C1040="","New",IF(C1040=D1040,"","Changed"))))</f>
        <v>Pre-seeded</v>
      </c>
      <c r="N1040" s="7" t="str">
        <f aca="false">TRIM(SUBSTITUTE(SUBSTITUTE(SUBSTITUTE(" "&amp;TRIM(SUBSTITUTE(SUBSTITUTE(SUBSTITUTE(SUBSTITUTE(SUBSTITUTE(SUBSTITUTE(SUBSTITUTE(SUBSTITUTE(SUBSTITUTE(SUBSTITUTE(SUBSTITUTE(SUBSTITUTE(SUBSTITUTE(SUBSTITUTE(SUBSTITUTE(UPPER(TRIM(A1040)),"[MEMBER]",""),"{MEMBER}",""),"[MEMBER}",""),"MEMBER]",""),"(A)",""),"""",""),"“",""),"”",""),".",""),":",""),",",""),"–"," "),"-"," "),"/"," "),"&amp;"," AND "))&amp;" "," THE "," ")," TOTAL "," ")," OPERATIONS "," "))</f>
        <v>MIDDLE EAST AND AFRICA (MEA)</v>
      </c>
      <c r="O1040" s="17" t="str">
        <f aca="false">IF(COUNTIFS($N$2:$N$2000,N1040,$D$2:$D$2000,"&lt;&gt;"&amp;D1040)&gt;0,"CONFLICT","")</f>
        <v/>
      </c>
      <c r="P1040" s="7"/>
    </row>
    <row r="1041" customFormat="false" ht="15" hidden="false" customHeight="false" outlineLevel="0" collapsed="false">
      <c r="A1041" s="7" t="s">
        <v>2404</v>
      </c>
      <c r="B1041" s="7" t="s">
        <v>1879</v>
      </c>
      <c r="C1041" s="7"/>
      <c r="D1041" s="6" t="s">
        <v>618</v>
      </c>
      <c r="E1041" s="6" t="s">
        <v>1880</v>
      </c>
      <c r="F1041" s="7" t="str">
        <f aca="false">IF($D1041="","",IFERROR(IF(INDEX(Hierarchy!$B$2:$B$1295,MATCH($D1041,Hierarchy!$A$2:$A$1295,0))="","",INDEX(Hierarchy!$B$2:$B$1295,MATCH($D1041,Hierarchy!$A$2:$A$1295,0))),"NODE NOT FOUND"))</f>
        <v>Sub-region group</v>
      </c>
      <c r="G1041" s="7" t="str">
        <f aca="false">IF($D1041="","",IFERROR(IF(INDEX(Hierarchy!$D$2:$D$1295,MATCH($D1041,Hierarchy!$A$2:$A$1295,0))="","",INDEX(Hierarchy!$D$2:$D$1295,MATCH($D1041,Hierarchy!$A$2:$A$1295,0))),"NODE NOT FOUND"))</f>
        <v>EMEA</v>
      </c>
      <c r="H1041" s="7" t="str">
        <f aca="false">IF($D1041="","",IFERROR(IF(INDEX(Hierarchy!$E$2:$E$1295,MATCH($D1041,Hierarchy!$A$2:$A$1295,0))="","",INDEX(Hierarchy!$E$2:$E$1295,MATCH($D1041,Hierarchy!$A$2:$A$1295,0))),"NODE NOT FOUND"))</f>
        <v/>
      </c>
      <c r="I1041" s="7" t="str">
        <f aca="false">IF($D1041="","",IFERROR(IF(INDEX(Hierarchy!$F$2:$F$1295,MATCH($D1041,Hierarchy!$A$2:$A$1295,0))="","",INDEX(Hierarchy!$F$2:$F$1295,MATCH($D1041,Hierarchy!$A$2:$A$1295,0))),"NODE NOT FOUND"))</f>
        <v/>
      </c>
      <c r="J1041" s="7" t="str">
        <f aca="false">IF($D1041="","",IFERROR(IF(INDEX(Hierarchy!$G$2:$G$1295,MATCH($D1041,Hierarchy!$A$2:$A$1295,0))="","",INDEX(Hierarchy!$G$2:$G$1295,MATCH($D1041,Hierarchy!$A$2:$A$1295,0))),"NODE NOT FOUND"))</f>
        <v/>
      </c>
      <c r="K1041" s="7" t="str">
        <f aca="false">IF($D1041="","",IFERROR(IF(INDEX(Hierarchy!$H$2:$H$1295,MATCH($D1041,Hierarchy!$A$2:$A$1295,0))="","",INDEX(Hierarchy!$H$2:$H$1295,MATCH($D1041,Hierarchy!$A$2:$A$1295,0))),"NODE NOT FOUND"))</f>
        <v/>
      </c>
      <c r="L1041" s="7" t="str">
        <f aca="false">IF($D1041="","",IFERROR(IF(INDEX(Hierarchy!$I$2:$I$1295,MATCH($D1041,Hierarchy!$A$2:$A$1295,0))="","",INDEX(Hierarchy!$I$2:$I$1295,MATCH($D1041,Hierarchy!$A$2:$A$1295,0))),"NODE NOT FOUND"))</f>
        <v/>
      </c>
      <c r="M1041" s="17" t="str">
        <f aca="false">IF(B1041="Pre-seeded","Pre-seeded",IF(B1041="Review 2026-09-16","Added from review",IF(C1041="","New",IF(C1041=D1041,"","Changed"))))</f>
        <v>Pre-seeded</v>
      </c>
      <c r="N1041" s="7" t="str">
        <f aca="false">TRIM(SUBSTITUTE(SUBSTITUTE(SUBSTITUTE(" "&amp;TRIM(SUBSTITUTE(SUBSTITUTE(SUBSTITUTE(SUBSTITUTE(SUBSTITUTE(SUBSTITUTE(SUBSTITUTE(SUBSTITUTE(SUBSTITUTE(SUBSTITUTE(SUBSTITUTE(SUBSTITUTE(SUBSTITUTE(SUBSTITUTE(SUBSTITUTE(UPPER(TRIM(A1041)),"[MEMBER]",""),"{MEMBER}",""),"[MEMBER}",""),"MEMBER]",""),"(A)",""),"""",""),"“",""),"”",""),".",""),":",""),",",""),"–"," "),"-"," "),"/"," "),"&amp;"," AND "))&amp;" "," THE "," ")," TOTAL "," ")," OPERATIONS "," "))</f>
        <v>MIDDLE EAST AND NORTH AFRICA</v>
      </c>
      <c r="O1041" s="17" t="str">
        <f aca="false">IF(COUNTIFS($N$2:$N$2000,N1041,$D$2:$D$2000,"&lt;&gt;"&amp;D1041)&gt;0,"CONFLICT","")</f>
        <v/>
      </c>
      <c r="P1041" s="7"/>
    </row>
    <row r="1042" customFormat="false" ht="15" hidden="false" customHeight="false" outlineLevel="0" collapsed="false">
      <c r="A1042" s="7" t="s">
        <v>2405</v>
      </c>
      <c r="B1042" s="7" t="s">
        <v>1879</v>
      </c>
      <c r="C1042" s="7"/>
      <c r="D1042" s="6" t="s">
        <v>613</v>
      </c>
      <c r="E1042" s="6" t="s">
        <v>1886</v>
      </c>
      <c r="F1042" s="7" t="str">
        <f aca="false">IF($D1042="","",IFERROR(IF(INDEX(Hierarchy!$B$2:$B$1295,MATCH($D1042,Hierarchy!$A$2:$A$1295,0))="","",INDEX(Hierarchy!$B$2:$B$1295,MATCH($D1042,Hierarchy!$A$2:$A$1295,0))),"NODE NOT FOUND"))</f>
        <v>Region</v>
      </c>
      <c r="G1042" s="7" t="str">
        <f aca="false">IF($D1042="","",IFERROR(IF(INDEX(Hierarchy!$D$2:$D$1295,MATCH($D1042,Hierarchy!$A$2:$A$1295,0))="","",INDEX(Hierarchy!$D$2:$D$1295,MATCH($D1042,Hierarchy!$A$2:$A$1295,0))),"NODE NOT FOUND"))</f>
        <v>EMEA</v>
      </c>
      <c r="H1042" s="7" t="str">
        <f aca="false">IF($D1042="","",IFERROR(IF(INDEX(Hierarchy!$E$2:$E$1295,MATCH($D1042,Hierarchy!$A$2:$A$1295,0))="","",INDEX(Hierarchy!$E$2:$E$1295,MATCH($D1042,Hierarchy!$A$2:$A$1295,0))),"NODE NOT FOUND"))</f>
        <v/>
      </c>
      <c r="I1042" s="7" t="str">
        <f aca="false">IF($D1042="","",IFERROR(IF(INDEX(Hierarchy!$F$2:$F$1295,MATCH($D1042,Hierarchy!$A$2:$A$1295,0))="","",INDEX(Hierarchy!$F$2:$F$1295,MATCH($D1042,Hierarchy!$A$2:$A$1295,0))),"NODE NOT FOUND"))</f>
        <v/>
      </c>
      <c r="J1042" s="7" t="str">
        <f aca="false">IF($D1042="","",IFERROR(IF(INDEX(Hierarchy!$G$2:$G$1295,MATCH($D1042,Hierarchy!$A$2:$A$1295,0))="","",INDEX(Hierarchy!$G$2:$G$1295,MATCH($D1042,Hierarchy!$A$2:$A$1295,0))),"NODE NOT FOUND"))</f>
        <v/>
      </c>
      <c r="K1042" s="7" t="str">
        <f aca="false">IF($D1042="","",IFERROR(IF(INDEX(Hierarchy!$H$2:$H$1295,MATCH($D1042,Hierarchy!$A$2:$A$1295,0))="","",INDEX(Hierarchy!$H$2:$H$1295,MATCH($D1042,Hierarchy!$A$2:$A$1295,0))),"NODE NOT FOUND"))</f>
        <v/>
      </c>
      <c r="L1042" s="7" t="str">
        <f aca="false">IF($D1042="","",IFERROR(IF(INDEX(Hierarchy!$I$2:$I$1295,MATCH($D1042,Hierarchy!$A$2:$A$1295,0))="","",INDEX(Hierarchy!$I$2:$I$1295,MATCH($D1042,Hierarchy!$A$2:$A$1295,0))),"NODE NOT FOUND"))</f>
        <v/>
      </c>
      <c r="M1042" s="17" t="str">
        <f aca="false">IF(B1042="Pre-seeded","Pre-seeded",IF(B1042="Review 2026-09-16","Added from review",IF(C1042="","New",IF(C1042=D1042,"","Changed"))))</f>
        <v>Pre-seeded</v>
      </c>
      <c r="N1042" s="7" t="str">
        <f aca="false">TRIM(SUBSTITUTE(SUBSTITUTE(SUBSTITUTE(" "&amp;TRIM(SUBSTITUTE(SUBSTITUTE(SUBSTITUTE(SUBSTITUTE(SUBSTITUTE(SUBSTITUTE(SUBSTITUTE(SUBSTITUTE(SUBSTITUTE(SUBSTITUTE(SUBSTITUTE(SUBSTITUTE(SUBSTITUTE(SUBSTITUTE(SUBSTITUTE(UPPER(TRIM(A1042)),"[MEMBER]",""),"{MEMBER}",""),"[MEMBER}",""),"MEMBER]",""),"(A)",""),"""",""),"“",""),"”",""),".",""),":",""),",",""),"–"," "),"-"," "),"/"," "),"&amp;"," AND "))&amp;" "," THE "," ")," TOTAL "," ")," OPERATIONS "," "))</f>
        <v>MIDDLE EAST AND TURKEY</v>
      </c>
      <c r="O1042" s="17" t="str">
        <f aca="false">IF(COUNTIFS($N$2:$N$2000,N1042,$D$2:$D$2000,"&lt;&gt;"&amp;D1042)&gt;0,"CONFLICT","")</f>
        <v/>
      </c>
      <c r="P1042" s="7"/>
    </row>
    <row r="1043" customFormat="false" ht="15" hidden="false" customHeight="false" outlineLevel="0" collapsed="false">
      <c r="A1043" s="7" t="s">
        <v>875</v>
      </c>
      <c r="B1043" s="7" t="s">
        <v>1879</v>
      </c>
      <c r="C1043" s="7"/>
      <c r="D1043" s="6" t="s">
        <v>1841</v>
      </c>
      <c r="E1043" s="6" t="s">
        <v>1880</v>
      </c>
      <c r="F1043" s="7" t="str">
        <f aca="false">IF($D1043="","",IFERROR(IF(INDEX(Hierarchy!$B$2:$B$1295,MATCH($D1043,Hierarchy!$A$2:$A$1295,0))="","",INDEX(Hierarchy!$B$2:$B$1295,MATCH($D1043,Hierarchy!$A$2:$A$1295,0))),"NODE NOT FOUND"))</f>
        <v>Reference grouping</v>
      </c>
      <c r="G1043" s="7" t="str">
        <f aca="false">IF($D1043="","",IFERROR(IF(INDEX(Hierarchy!$D$2:$D$1295,MATCH($D1043,Hierarchy!$A$2:$A$1295,0))="","",INDEX(Hierarchy!$D$2:$D$1295,MATCH($D1043,Hierarchy!$A$2:$A$1295,0))),"NODE NOT FOUND"))</f>
        <v>Reference (UN / World Bank)</v>
      </c>
      <c r="H1043" s="7" t="str">
        <f aca="false">IF($D1043="","",IFERROR(IF(INDEX(Hierarchy!$E$2:$E$1295,MATCH($D1043,Hierarchy!$A$2:$A$1295,0))="","",INDEX(Hierarchy!$E$2:$E$1295,MATCH($D1043,Hierarchy!$A$2:$A$1295,0))),"NODE NOT FOUND"))</f>
        <v/>
      </c>
      <c r="I1043" s="7" t="str">
        <f aca="false">IF($D1043="","",IFERROR(IF(INDEX(Hierarchy!$F$2:$F$1295,MATCH($D1043,Hierarchy!$A$2:$A$1295,0))="","",INDEX(Hierarchy!$F$2:$F$1295,MATCH($D1043,Hierarchy!$A$2:$A$1295,0))),"NODE NOT FOUND"))</f>
        <v/>
      </c>
      <c r="J1043" s="7" t="str">
        <f aca="false">IF($D1043="","",IFERROR(IF(INDEX(Hierarchy!$G$2:$G$1295,MATCH($D1043,Hierarchy!$A$2:$A$1295,0))="","",INDEX(Hierarchy!$G$2:$G$1295,MATCH($D1043,Hierarchy!$A$2:$A$1295,0))),"NODE NOT FOUND"))</f>
        <v/>
      </c>
      <c r="K1043" s="7" t="str">
        <f aca="false">IF($D1043="","",IFERROR(IF(INDEX(Hierarchy!$H$2:$H$1295,MATCH($D1043,Hierarchy!$A$2:$A$1295,0))="","",INDEX(Hierarchy!$H$2:$H$1295,MATCH($D1043,Hierarchy!$A$2:$A$1295,0))),"NODE NOT FOUND"))</f>
        <v/>
      </c>
      <c r="L1043" s="7" t="str">
        <f aca="false">IF($D1043="","",IFERROR(IF(INDEX(Hierarchy!$I$2:$I$1295,MATCH($D1043,Hierarchy!$A$2:$A$1295,0))="","",INDEX(Hierarchy!$I$2:$I$1295,MATCH($D1043,Hierarchy!$A$2:$A$1295,0))),"NODE NOT FOUND"))</f>
        <v/>
      </c>
      <c r="M1043" s="17" t="str">
        <f aca="false">IF(B1043="Pre-seeded","Pre-seeded",IF(B1043="Review 2026-09-16","Added from review",IF(C1043="","New",IF(C1043=D1043,"","Changed"))))</f>
        <v>Pre-seeded</v>
      </c>
      <c r="N1043" s="7" t="str">
        <f aca="false">TRIM(SUBSTITUTE(SUBSTITUTE(SUBSTITUTE(" "&amp;TRIM(SUBSTITUTE(SUBSTITUTE(SUBSTITUTE(SUBSTITUTE(SUBSTITUTE(SUBSTITUTE(SUBSTITUTE(SUBSTITUTE(SUBSTITUTE(SUBSTITUTE(SUBSTITUTE(SUBSTITUTE(SUBSTITUTE(SUBSTITUTE(SUBSTITUTE(UPPER(TRIM(A1043)),"[MEMBER]",""),"{MEMBER}",""),"[MEMBER}",""),"MEMBER]",""),"(A)",""),"""",""),"“",""),"”",""),".",""),":",""),",",""),"–"," "),"-"," "),"/"," "),"&amp;"," AND "))&amp;" "," THE "," ")," TOTAL "," ")," OPERATIONS "," "))</f>
        <v>MIDDLE EAST NORTH AFRICA AFGHANISTAN AND PAKISTAN</v>
      </c>
      <c r="O1043" s="17" t="str">
        <f aca="false">IF(COUNTIFS($N$2:$N$2000,N1043,$D$2:$D$2000,"&lt;&gt;"&amp;D1043)&gt;0,"CONFLICT","")</f>
        <v/>
      </c>
      <c r="P1043" s="7"/>
    </row>
    <row r="1044" customFormat="false" ht="15" hidden="false" customHeight="false" outlineLevel="0" collapsed="false">
      <c r="A1044" s="7" t="s">
        <v>1841</v>
      </c>
      <c r="B1044" s="7" t="s">
        <v>1879</v>
      </c>
      <c r="C1044" s="7"/>
      <c r="D1044" s="6" t="s">
        <v>1841</v>
      </c>
      <c r="E1044" s="6" t="s">
        <v>1880</v>
      </c>
      <c r="F1044" s="7" t="str">
        <f aca="false">IF($D1044="","",IFERROR(IF(INDEX(Hierarchy!$B$2:$B$1295,MATCH($D1044,Hierarchy!$A$2:$A$1295,0))="","",INDEX(Hierarchy!$B$2:$B$1295,MATCH($D1044,Hierarchy!$A$2:$A$1295,0))),"NODE NOT FOUND"))</f>
        <v>Reference grouping</v>
      </c>
      <c r="G1044" s="7" t="str">
        <f aca="false">IF($D1044="","",IFERROR(IF(INDEX(Hierarchy!$D$2:$D$1295,MATCH($D1044,Hierarchy!$A$2:$A$1295,0))="","",INDEX(Hierarchy!$D$2:$D$1295,MATCH($D1044,Hierarchy!$A$2:$A$1295,0))),"NODE NOT FOUND"))</f>
        <v>Reference (UN / World Bank)</v>
      </c>
      <c r="H1044" s="7" t="str">
        <f aca="false">IF($D1044="","",IFERROR(IF(INDEX(Hierarchy!$E$2:$E$1295,MATCH($D1044,Hierarchy!$A$2:$A$1295,0))="","",INDEX(Hierarchy!$E$2:$E$1295,MATCH($D1044,Hierarchy!$A$2:$A$1295,0))),"NODE NOT FOUND"))</f>
        <v/>
      </c>
      <c r="I1044" s="7" t="str">
        <f aca="false">IF($D1044="","",IFERROR(IF(INDEX(Hierarchy!$F$2:$F$1295,MATCH($D1044,Hierarchy!$A$2:$A$1295,0))="","",INDEX(Hierarchy!$F$2:$F$1295,MATCH($D1044,Hierarchy!$A$2:$A$1295,0))),"NODE NOT FOUND"))</f>
        <v/>
      </c>
      <c r="J1044" s="7" t="str">
        <f aca="false">IF($D1044="","",IFERROR(IF(INDEX(Hierarchy!$G$2:$G$1295,MATCH($D1044,Hierarchy!$A$2:$A$1295,0))="","",INDEX(Hierarchy!$G$2:$G$1295,MATCH($D1044,Hierarchy!$A$2:$A$1295,0))),"NODE NOT FOUND"))</f>
        <v/>
      </c>
      <c r="K1044" s="7" t="str">
        <f aca="false">IF($D1044="","",IFERROR(IF(INDEX(Hierarchy!$H$2:$H$1295,MATCH($D1044,Hierarchy!$A$2:$A$1295,0))="","",INDEX(Hierarchy!$H$2:$H$1295,MATCH($D1044,Hierarchy!$A$2:$A$1295,0))),"NODE NOT FOUND"))</f>
        <v/>
      </c>
      <c r="L1044" s="7" t="str">
        <f aca="false">IF($D1044="","",IFERROR(IF(INDEX(Hierarchy!$I$2:$I$1295,MATCH($D1044,Hierarchy!$A$2:$A$1295,0))="","",INDEX(Hierarchy!$I$2:$I$1295,MATCH($D1044,Hierarchy!$A$2:$A$1295,0))),"NODE NOT FOUND"))</f>
        <v/>
      </c>
      <c r="M1044" s="17" t="str">
        <f aca="false">IF(B1044="Pre-seeded","Pre-seeded",IF(B1044="Review 2026-09-16","Added from review",IF(C1044="","New",IF(C1044=D1044,"","Changed"))))</f>
        <v>Pre-seeded</v>
      </c>
      <c r="N1044" s="7" t="str">
        <f aca="false">TRIM(SUBSTITUTE(SUBSTITUTE(SUBSTITUTE(" "&amp;TRIM(SUBSTITUTE(SUBSTITUTE(SUBSTITUTE(SUBSTITUTE(SUBSTITUTE(SUBSTITUTE(SUBSTITUTE(SUBSTITUTE(SUBSTITUTE(SUBSTITUTE(SUBSTITUTE(SUBSTITUTE(SUBSTITUTE(SUBSTITUTE(SUBSTITUTE(UPPER(TRIM(A1044)),"[MEMBER]",""),"{MEMBER}",""),"[MEMBER}",""),"MEMBER]",""),"(A)",""),"""",""),"“",""),"”",""),".",""),":",""),",",""),"–"," "),"-"," "),"/"," "),"&amp;"," AND "))&amp;" "," THE "," ")," TOTAL "," ")," OPERATIONS "," "))</f>
        <v>MIDDLE EAST NORTH AFRICA AFGHANISTAN AND PAKISTAN (WORLD BANK)</v>
      </c>
      <c r="O1044" s="17" t="str">
        <f aca="false">IF(COUNTIFS($N$2:$N$2000,N1044,$D$2:$D$2000,"&lt;&gt;"&amp;D1044)&gt;0,"CONFLICT","")</f>
        <v/>
      </c>
      <c r="P1044" s="7"/>
    </row>
    <row r="1045" customFormat="false" ht="15" hidden="false" customHeight="false" outlineLevel="0" collapsed="false">
      <c r="A1045" s="7" t="s">
        <v>2406</v>
      </c>
      <c r="B1045" s="7" t="s">
        <v>1879</v>
      </c>
      <c r="C1045" s="7"/>
      <c r="D1045" s="6" t="s">
        <v>1843</v>
      </c>
      <c r="E1045" s="6" t="s">
        <v>1880</v>
      </c>
      <c r="F1045" s="7" t="str">
        <f aca="false">IF($D1045="","",IFERROR(IF(INDEX(Hierarchy!$B$2:$B$1295,MATCH($D1045,Hierarchy!$A$2:$A$1295,0))="","",INDEX(Hierarchy!$B$2:$B$1295,MATCH($D1045,Hierarchy!$A$2:$A$1295,0))),"NODE NOT FOUND"))</f>
        <v>Reference grouping</v>
      </c>
      <c r="G1045" s="7" t="str">
        <f aca="false">IF($D1045="","",IFERROR(IF(INDEX(Hierarchy!$D$2:$D$1295,MATCH($D1045,Hierarchy!$A$2:$A$1295,0))="","",INDEX(Hierarchy!$D$2:$D$1295,MATCH($D1045,Hierarchy!$A$2:$A$1295,0))),"NODE NOT FOUND"))</f>
        <v>Reference (UN / World Bank)</v>
      </c>
      <c r="H1045" s="7" t="str">
        <f aca="false">IF($D1045="","",IFERROR(IF(INDEX(Hierarchy!$E$2:$E$1295,MATCH($D1045,Hierarchy!$A$2:$A$1295,0))="","",INDEX(Hierarchy!$E$2:$E$1295,MATCH($D1045,Hierarchy!$A$2:$A$1295,0))),"NODE NOT FOUND"))</f>
        <v/>
      </c>
      <c r="I1045" s="7" t="str">
        <f aca="false">IF($D1045="","",IFERROR(IF(INDEX(Hierarchy!$F$2:$F$1295,MATCH($D1045,Hierarchy!$A$2:$A$1295,0))="","",INDEX(Hierarchy!$F$2:$F$1295,MATCH($D1045,Hierarchy!$A$2:$A$1295,0))),"NODE NOT FOUND"))</f>
        <v/>
      </c>
      <c r="J1045" s="7" t="str">
        <f aca="false">IF($D1045="","",IFERROR(IF(INDEX(Hierarchy!$G$2:$G$1295,MATCH($D1045,Hierarchy!$A$2:$A$1295,0))="","",INDEX(Hierarchy!$G$2:$G$1295,MATCH($D1045,Hierarchy!$A$2:$A$1295,0))),"NODE NOT FOUND"))</f>
        <v/>
      </c>
      <c r="K1045" s="7" t="str">
        <f aca="false">IF($D1045="","",IFERROR(IF(INDEX(Hierarchy!$H$2:$H$1295,MATCH($D1045,Hierarchy!$A$2:$A$1295,0))="","",INDEX(Hierarchy!$H$2:$H$1295,MATCH($D1045,Hierarchy!$A$2:$A$1295,0))),"NODE NOT FOUND"))</f>
        <v/>
      </c>
      <c r="L1045" s="7" t="str">
        <f aca="false">IF($D1045="","",IFERROR(IF(INDEX(Hierarchy!$I$2:$I$1295,MATCH($D1045,Hierarchy!$A$2:$A$1295,0))="","",INDEX(Hierarchy!$I$2:$I$1295,MATCH($D1045,Hierarchy!$A$2:$A$1295,0))),"NODE NOT FOUND"))</f>
        <v/>
      </c>
      <c r="M1045" s="17" t="str">
        <f aca="false">IF(B1045="Pre-seeded","Pre-seeded",IF(B1045="Review 2026-09-16","Added from review",IF(C1045="","New",IF(C1045=D1045,"","Changed"))))</f>
        <v>Pre-seeded</v>
      </c>
      <c r="N1045" s="7" t="str">
        <f aca="false">TRIM(SUBSTITUTE(SUBSTITUTE(SUBSTITUTE(" "&amp;TRIM(SUBSTITUTE(SUBSTITUTE(SUBSTITUTE(SUBSTITUTE(SUBSTITUTE(SUBSTITUTE(SUBSTITUTE(SUBSTITUTE(SUBSTITUTE(SUBSTITUTE(SUBSTITUTE(SUBSTITUTE(SUBSTITUTE(SUBSTITUTE(SUBSTITUTE(UPPER(TRIM(A1045)),"[MEMBER]",""),"{MEMBER}",""),"[MEMBER}",""),"MEMBER]",""),"(A)",""),"""",""),"“",""),"”",""),".",""),":",""),",",""),"–"," "),"-"," "),"/"," "),"&amp;"," AND "))&amp;" "," THE "," ")," TOTAL "," ")," OPERATIONS "," "))</f>
        <v>MIDDLE INCOME</v>
      </c>
      <c r="O1045" s="17" t="str">
        <f aca="false">IF(COUNTIFS($N$2:$N$2000,N1045,$D$2:$D$2000,"&lt;&gt;"&amp;D1045)&gt;0,"CONFLICT","")</f>
        <v/>
      </c>
      <c r="P1045" s="7"/>
    </row>
    <row r="1046" customFormat="false" ht="15" hidden="false" customHeight="false" outlineLevel="0" collapsed="false">
      <c r="A1046" s="7" t="s">
        <v>1843</v>
      </c>
      <c r="B1046" s="7" t="s">
        <v>1879</v>
      </c>
      <c r="C1046" s="7"/>
      <c r="D1046" s="6" t="s">
        <v>1843</v>
      </c>
      <c r="E1046" s="6" t="s">
        <v>1880</v>
      </c>
      <c r="F1046" s="7" t="str">
        <f aca="false">IF($D1046="","",IFERROR(IF(INDEX(Hierarchy!$B$2:$B$1295,MATCH($D1046,Hierarchy!$A$2:$A$1295,0))="","",INDEX(Hierarchy!$B$2:$B$1295,MATCH($D1046,Hierarchy!$A$2:$A$1295,0))),"NODE NOT FOUND"))</f>
        <v>Reference grouping</v>
      </c>
      <c r="G1046" s="7" t="str">
        <f aca="false">IF($D1046="","",IFERROR(IF(INDEX(Hierarchy!$D$2:$D$1295,MATCH($D1046,Hierarchy!$A$2:$A$1295,0))="","",INDEX(Hierarchy!$D$2:$D$1295,MATCH($D1046,Hierarchy!$A$2:$A$1295,0))),"NODE NOT FOUND"))</f>
        <v>Reference (UN / World Bank)</v>
      </c>
      <c r="H1046" s="7" t="str">
        <f aca="false">IF($D1046="","",IFERROR(IF(INDEX(Hierarchy!$E$2:$E$1295,MATCH($D1046,Hierarchy!$A$2:$A$1295,0))="","",INDEX(Hierarchy!$E$2:$E$1295,MATCH($D1046,Hierarchy!$A$2:$A$1295,0))),"NODE NOT FOUND"))</f>
        <v/>
      </c>
      <c r="I1046" s="7" t="str">
        <f aca="false">IF($D1046="","",IFERROR(IF(INDEX(Hierarchy!$F$2:$F$1295,MATCH($D1046,Hierarchy!$A$2:$A$1295,0))="","",INDEX(Hierarchy!$F$2:$F$1295,MATCH($D1046,Hierarchy!$A$2:$A$1295,0))),"NODE NOT FOUND"))</f>
        <v/>
      </c>
      <c r="J1046" s="7" t="str">
        <f aca="false">IF($D1046="","",IFERROR(IF(INDEX(Hierarchy!$G$2:$G$1295,MATCH($D1046,Hierarchy!$A$2:$A$1295,0))="","",INDEX(Hierarchy!$G$2:$G$1295,MATCH($D1046,Hierarchy!$A$2:$A$1295,0))),"NODE NOT FOUND"))</f>
        <v/>
      </c>
      <c r="K1046" s="7" t="str">
        <f aca="false">IF($D1046="","",IFERROR(IF(INDEX(Hierarchy!$H$2:$H$1295,MATCH($D1046,Hierarchy!$A$2:$A$1295,0))="","",INDEX(Hierarchy!$H$2:$H$1295,MATCH($D1046,Hierarchy!$A$2:$A$1295,0))),"NODE NOT FOUND"))</f>
        <v/>
      </c>
      <c r="L1046" s="7" t="str">
        <f aca="false">IF($D1046="","",IFERROR(IF(INDEX(Hierarchy!$I$2:$I$1295,MATCH($D1046,Hierarchy!$A$2:$A$1295,0))="","",INDEX(Hierarchy!$I$2:$I$1295,MATCH($D1046,Hierarchy!$A$2:$A$1295,0))),"NODE NOT FOUND"))</f>
        <v/>
      </c>
      <c r="M1046" s="17" t="str">
        <f aca="false">IF(B1046="Pre-seeded","Pre-seeded",IF(B1046="Review 2026-09-16","Added from review",IF(C1046="","New",IF(C1046=D1046,"","Changed"))))</f>
        <v>Pre-seeded</v>
      </c>
      <c r="N1046" s="7" t="str">
        <f aca="false">TRIM(SUBSTITUTE(SUBSTITUTE(SUBSTITUTE(" "&amp;TRIM(SUBSTITUTE(SUBSTITUTE(SUBSTITUTE(SUBSTITUTE(SUBSTITUTE(SUBSTITUTE(SUBSTITUTE(SUBSTITUTE(SUBSTITUTE(SUBSTITUTE(SUBSTITUTE(SUBSTITUTE(SUBSTITUTE(SUBSTITUTE(SUBSTITUTE(UPPER(TRIM(A1046)),"[MEMBER]",""),"{MEMBER}",""),"[MEMBER}",""),"MEMBER]",""),"(A)",""),"""",""),"“",""),"”",""),".",""),":",""),",",""),"–"," "),"-"," "),"/"," "),"&amp;"," AND "))&amp;" "," THE "," ")," TOTAL "," ")," OPERATIONS "," "))</f>
        <v>MIDDLE INCOME ECONOMIES (WORLD BANK)</v>
      </c>
      <c r="O1046" s="17" t="str">
        <f aca="false">IF(COUNTIFS($N$2:$N$2000,N1046,$D$2:$D$2000,"&lt;&gt;"&amp;D1046)&gt;0,"CONFLICT","")</f>
        <v/>
      </c>
      <c r="P1046" s="7"/>
    </row>
    <row r="1047" customFormat="false" ht="15" hidden="false" customHeight="false" outlineLevel="0" collapsed="false">
      <c r="A1047" s="7" t="s">
        <v>2407</v>
      </c>
      <c r="B1047" s="7" t="s">
        <v>1879</v>
      </c>
      <c r="C1047" s="7"/>
      <c r="D1047" s="6" t="s">
        <v>1843</v>
      </c>
      <c r="E1047" s="6" t="s">
        <v>1880</v>
      </c>
      <c r="F1047" s="7" t="str">
        <f aca="false">IF($D1047="","",IFERROR(IF(INDEX(Hierarchy!$B$2:$B$1295,MATCH($D1047,Hierarchy!$A$2:$A$1295,0))="","",INDEX(Hierarchy!$B$2:$B$1295,MATCH($D1047,Hierarchy!$A$2:$A$1295,0))),"NODE NOT FOUND"))</f>
        <v>Reference grouping</v>
      </c>
      <c r="G1047" s="7" t="str">
        <f aca="false">IF($D1047="","",IFERROR(IF(INDEX(Hierarchy!$D$2:$D$1295,MATCH($D1047,Hierarchy!$A$2:$A$1295,0))="","",INDEX(Hierarchy!$D$2:$D$1295,MATCH($D1047,Hierarchy!$A$2:$A$1295,0))),"NODE NOT FOUND"))</f>
        <v>Reference (UN / World Bank)</v>
      </c>
      <c r="H1047" s="7" t="str">
        <f aca="false">IF($D1047="","",IFERROR(IF(INDEX(Hierarchy!$E$2:$E$1295,MATCH($D1047,Hierarchy!$A$2:$A$1295,0))="","",INDEX(Hierarchy!$E$2:$E$1295,MATCH($D1047,Hierarchy!$A$2:$A$1295,0))),"NODE NOT FOUND"))</f>
        <v/>
      </c>
      <c r="I1047" s="7" t="str">
        <f aca="false">IF($D1047="","",IFERROR(IF(INDEX(Hierarchy!$F$2:$F$1295,MATCH($D1047,Hierarchy!$A$2:$A$1295,0))="","",INDEX(Hierarchy!$F$2:$F$1295,MATCH($D1047,Hierarchy!$A$2:$A$1295,0))),"NODE NOT FOUND"))</f>
        <v/>
      </c>
      <c r="J1047" s="7" t="str">
        <f aca="false">IF($D1047="","",IFERROR(IF(INDEX(Hierarchy!$G$2:$G$1295,MATCH($D1047,Hierarchy!$A$2:$A$1295,0))="","",INDEX(Hierarchy!$G$2:$G$1295,MATCH($D1047,Hierarchy!$A$2:$A$1295,0))),"NODE NOT FOUND"))</f>
        <v/>
      </c>
      <c r="K1047" s="7" t="str">
        <f aca="false">IF($D1047="","",IFERROR(IF(INDEX(Hierarchy!$H$2:$H$1295,MATCH($D1047,Hierarchy!$A$2:$A$1295,0))="","",INDEX(Hierarchy!$H$2:$H$1295,MATCH($D1047,Hierarchy!$A$2:$A$1295,0))),"NODE NOT FOUND"))</f>
        <v/>
      </c>
      <c r="L1047" s="7" t="str">
        <f aca="false">IF($D1047="","",IFERROR(IF(INDEX(Hierarchy!$I$2:$I$1295,MATCH($D1047,Hierarchy!$A$2:$A$1295,0))="","",INDEX(Hierarchy!$I$2:$I$1295,MATCH($D1047,Hierarchy!$A$2:$A$1295,0))),"NODE NOT FOUND"))</f>
        <v/>
      </c>
      <c r="M1047" s="17" t="str">
        <f aca="false">IF(B1047="Pre-seeded","Pre-seeded",IF(B1047="Review 2026-09-16","Added from review",IF(C1047="","New",IF(C1047=D1047,"","Changed"))))</f>
        <v>Pre-seeded</v>
      </c>
      <c r="N1047" s="7" t="str">
        <f aca="false">TRIM(SUBSTITUTE(SUBSTITUTE(SUBSTITUTE(" "&amp;TRIM(SUBSTITUTE(SUBSTITUTE(SUBSTITUTE(SUBSTITUTE(SUBSTITUTE(SUBSTITUTE(SUBSTITUTE(SUBSTITUTE(SUBSTITUTE(SUBSTITUTE(SUBSTITUTE(SUBSTITUTE(SUBSTITUTE(SUBSTITUTE(SUBSTITUTE(UPPER(TRIM(A1047)),"[MEMBER]",""),"{MEMBER}",""),"[MEMBER}",""),"MEMBER]",""),"(A)",""),"""",""),"“",""),"”",""),".",""),":",""),",",""),"–"," "),"-"," "),"/"," "),"&amp;"," AND "))&amp;" "," THE "," ")," TOTAL "," ")," OPERATIONS "," "))</f>
        <v>MIDDLE INCOME COUNTRIES</v>
      </c>
      <c r="O1047" s="17" t="str">
        <f aca="false">IF(COUNTIFS($N$2:$N$2000,N1047,$D$2:$D$2000,"&lt;&gt;"&amp;D1047)&gt;0,"CONFLICT","")</f>
        <v/>
      </c>
      <c r="P1047" s="7"/>
    </row>
    <row r="1048" customFormat="false" ht="15" hidden="false" customHeight="false" outlineLevel="0" collapsed="false">
      <c r="A1048" s="7" t="s">
        <v>2408</v>
      </c>
      <c r="B1048" s="7" t="s">
        <v>1885</v>
      </c>
      <c r="C1048" s="7" t="s">
        <v>2409</v>
      </c>
      <c r="D1048" s="6" t="s">
        <v>100</v>
      </c>
      <c r="E1048" s="6" t="s">
        <v>1880</v>
      </c>
      <c r="F1048" s="7" t="str">
        <f aca="false">IF($D1048="","",IFERROR(IF(INDEX(Hierarchy!$B$2:$B$1295,MATCH($D1048,Hierarchy!$A$2:$A$1295,0))="","",INDEX(Hierarchy!$B$2:$B$1295,MATCH($D1048,Hierarchy!$A$2:$A$1295,0))),"NODE NOT FOUND"))</f>
        <v>Sub-national region</v>
      </c>
      <c r="G1048" s="7" t="str">
        <f aca="false">IF($D1048="","",IFERROR(IF(INDEX(Hierarchy!$D$2:$D$1295,MATCH($D1048,Hierarchy!$A$2:$A$1295,0))="","",INDEX(Hierarchy!$D$2:$D$1295,MATCH($D1048,Hierarchy!$A$2:$A$1295,0))),"NODE NOT FOUND"))</f>
        <v>AMER</v>
      </c>
      <c r="H1048" s="7" t="str">
        <f aca="false">IF($D1048="","",IFERROR(IF(INDEX(Hierarchy!$E$2:$E$1295,MATCH($D1048,Hierarchy!$A$2:$A$1295,0))="","",INDEX(Hierarchy!$E$2:$E$1295,MATCH($D1048,Hierarchy!$A$2:$A$1295,0))),"NODE NOT FOUND"))</f>
        <v>North America (NORAM)</v>
      </c>
      <c r="I1048" s="7" t="str">
        <f aca="false">IF($D1048="","",IFERROR(IF(INDEX(Hierarchy!$F$2:$F$1295,MATCH($D1048,Hierarchy!$A$2:$A$1295,0))="","",INDEX(Hierarchy!$F$2:$F$1295,MATCH($D1048,Hierarchy!$A$2:$A$1295,0))),"NODE NOT FOUND"))</f>
        <v>United States</v>
      </c>
      <c r="J1048" s="7" t="str">
        <f aca="false">IF($D1048="","",IFERROR(IF(INDEX(Hierarchy!$G$2:$G$1295,MATCH($D1048,Hierarchy!$A$2:$A$1295,0))="","",INDEX(Hierarchy!$G$2:$G$1295,MATCH($D1048,Hierarchy!$A$2:$A$1295,0))),"NODE NOT FOUND"))</f>
        <v>USA</v>
      </c>
      <c r="K1048" s="7" t="str">
        <f aca="false">IF($D1048="","",IFERROR(IF(INDEX(Hierarchy!$H$2:$H$1295,MATCH($D1048,Hierarchy!$A$2:$A$1295,0))="","",INDEX(Hierarchy!$H$2:$H$1295,MATCH($D1048,Hierarchy!$A$2:$A$1295,0))),"NODE NOT FOUND"))</f>
        <v/>
      </c>
      <c r="L1048" s="7" t="str">
        <f aca="false">IF($D1048="","",IFERROR(IF(INDEX(Hierarchy!$I$2:$I$1295,MATCH($D1048,Hierarchy!$A$2:$A$1295,0))="","",INDEX(Hierarchy!$I$2:$I$1295,MATCH($D1048,Hierarchy!$A$2:$A$1295,0))),"NODE NOT FOUND"))</f>
        <v/>
      </c>
      <c r="M1048" s="17" t="str">
        <f aca="false">IF(B1048="Pre-seeded","Pre-seeded",IF(B1048="Review 2026-09-16","Added from review",IF(C1048="","New",IF(C1048=D1048,"","Changed"))))</f>
        <v>Changed</v>
      </c>
      <c r="N1048" s="7" t="str">
        <f aca="false">TRIM(SUBSTITUTE(SUBSTITUTE(SUBSTITUTE(" "&amp;TRIM(SUBSTITUTE(SUBSTITUTE(SUBSTITUTE(SUBSTITUTE(SUBSTITUTE(SUBSTITUTE(SUBSTITUTE(SUBSTITUTE(SUBSTITUTE(SUBSTITUTE(SUBSTITUTE(SUBSTITUTE(SUBSTITUTE(SUBSTITUTE(SUBSTITUTE(UPPER(TRIM(A1048)),"[MEMBER]",""),"{MEMBER}",""),"[MEMBER}",""),"MEMBER]",""),"(A)",""),"""",""),"“",""),"”",""),".",""),":",""),",",""),"–"," "),"-"," "),"/"," "),"&amp;"," AND "))&amp;" "," THE "," ")," TOTAL "," ")," OPERATIONS "," "))</f>
        <v>MIDWEST</v>
      </c>
      <c r="O1048" s="17" t="str">
        <f aca="false">IF(COUNTIFS($N$2:$N$2000,N1048,$D$2:$D$2000,"&lt;&gt;"&amp;D1048)&gt;0,"CONFLICT","")</f>
        <v/>
      </c>
      <c r="P1048" s="7" t="s">
        <v>2410</v>
      </c>
    </row>
    <row r="1049" customFormat="false" ht="15" hidden="false" customHeight="false" outlineLevel="0" collapsed="false">
      <c r="A1049" s="7" t="s">
        <v>2411</v>
      </c>
      <c r="B1049" s="7" t="s">
        <v>1879</v>
      </c>
      <c r="C1049" s="7"/>
      <c r="D1049" s="6" t="s">
        <v>100</v>
      </c>
      <c r="E1049" s="6" t="s">
        <v>1880</v>
      </c>
      <c r="F1049" s="7" t="str">
        <f aca="false">IF($D1049="","",IFERROR(IF(INDEX(Hierarchy!$B$2:$B$1295,MATCH($D1049,Hierarchy!$A$2:$A$1295,0))="","",INDEX(Hierarchy!$B$2:$B$1295,MATCH($D1049,Hierarchy!$A$2:$A$1295,0))),"NODE NOT FOUND"))</f>
        <v>Sub-national region</v>
      </c>
      <c r="G1049" s="7" t="str">
        <f aca="false">IF($D1049="","",IFERROR(IF(INDEX(Hierarchy!$D$2:$D$1295,MATCH($D1049,Hierarchy!$A$2:$A$1295,0))="","",INDEX(Hierarchy!$D$2:$D$1295,MATCH($D1049,Hierarchy!$A$2:$A$1295,0))),"NODE NOT FOUND"))</f>
        <v>AMER</v>
      </c>
      <c r="H1049" s="7" t="str">
        <f aca="false">IF($D1049="","",IFERROR(IF(INDEX(Hierarchy!$E$2:$E$1295,MATCH($D1049,Hierarchy!$A$2:$A$1295,0))="","",INDEX(Hierarchy!$E$2:$E$1295,MATCH($D1049,Hierarchy!$A$2:$A$1295,0))),"NODE NOT FOUND"))</f>
        <v>North America (NORAM)</v>
      </c>
      <c r="I1049" s="7" t="str">
        <f aca="false">IF($D1049="","",IFERROR(IF(INDEX(Hierarchy!$F$2:$F$1295,MATCH($D1049,Hierarchy!$A$2:$A$1295,0))="","",INDEX(Hierarchy!$F$2:$F$1295,MATCH($D1049,Hierarchy!$A$2:$A$1295,0))),"NODE NOT FOUND"))</f>
        <v>United States</v>
      </c>
      <c r="J1049" s="7" t="str">
        <f aca="false">IF($D1049="","",IFERROR(IF(INDEX(Hierarchy!$G$2:$G$1295,MATCH($D1049,Hierarchy!$A$2:$A$1295,0))="","",INDEX(Hierarchy!$G$2:$G$1295,MATCH($D1049,Hierarchy!$A$2:$A$1295,0))),"NODE NOT FOUND"))</f>
        <v>USA</v>
      </c>
      <c r="K1049" s="7" t="str">
        <f aca="false">IF($D1049="","",IFERROR(IF(INDEX(Hierarchy!$H$2:$H$1295,MATCH($D1049,Hierarchy!$A$2:$A$1295,0))="","",INDEX(Hierarchy!$H$2:$H$1295,MATCH($D1049,Hierarchy!$A$2:$A$1295,0))),"NODE NOT FOUND"))</f>
        <v/>
      </c>
      <c r="L1049" s="7" t="str">
        <f aca="false">IF($D1049="","",IFERROR(IF(INDEX(Hierarchy!$I$2:$I$1295,MATCH($D1049,Hierarchy!$A$2:$A$1295,0))="","",INDEX(Hierarchy!$I$2:$I$1295,MATCH($D1049,Hierarchy!$A$2:$A$1295,0))),"NODE NOT FOUND"))</f>
        <v/>
      </c>
      <c r="M1049" s="17" t="str">
        <f aca="false">IF(B1049="Pre-seeded","Pre-seeded",IF(B1049="Review 2026-09-16","Added from review",IF(C1049="","New",IF(C1049=D1049,"","Changed"))))</f>
        <v>Pre-seeded</v>
      </c>
      <c r="N1049" s="7" t="str">
        <f aca="false">TRIM(SUBSTITUTE(SUBSTITUTE(SUBSTITUTE(" "&amp;TRIM(SUBSTITUTE(SUBSTITUTE(SUBSTITUTE(SUBSTITUTE(SUBSTITUTE(SUBSTITUTE(SUBSTITUTE(SUBSTITUTE(SUBSTITUTE(SUBSTITUTE(SUBSTITUTE(SUBSTITUTE(SUBSTITUTE(SUBSTITUTE(SUBSTITUTE(UPPER(TRIM(A1049)),"[MEMBER]",""),"{MEMBER}",""),"[MEMBER}",""),"MEMBER]",""),"(A)",""),"""",""),"“",""),"”",""),".",""),":",""),",",""),"–"," "),"-"," "),"/"," "),"&amp;"," AND "))&amp;" "," THE "," ")," TOTAL "," ")," OPERATIONS "," "))</f>
        <v>MIDWESTERN</v>
      </c>
      <c r="O1049" s="17" t="str">
        <f aca="false">IF(COUNTIFS($N$2:$N$2000,N1049,$D$2:$D$2000,"&lt;&gt;"&amp;D1049)&gt;0,"CONFLICT","")</f>
        <v/>
      </c>
      <c r="P1049" s="7"/>
    </row>
    <row r="1050" customFormat="false" ht="15" hidden="false" customHeight="false" outlineLevel="0" collapsed="false">
      <c r="A1050" s="7" t="s">
        <v>1463</v>
      </c>
      <c r="B1050" s="7" t="s">
        <v>1879</v>
      </c>
      <c r="C1050" s="7"/>
      <c r="D1050" s="6" t="s">
        <v>1463</v>
      </c>
      <c r="E1050" s="6" t="s">
        <v>1880</v>
      </c>
      <c r="F1050" s="7" t="str">
        <f aca="false">IF($D1050="","",IFERROR(IF(INDEX(Hierarchy!$B$2:$B$1295,MATCH($D1050,Hierarchy!$A$2:$A$1295,0))="","",INDEX(Hierarchy!$B$2:$B$1295,MATCH($D1050,Hierarchy!$A$2:$A$1295,0))),"NODE NOT FOUND"))</f>
        <v>State/Province</v>
      </c>
      <c r="G1050" s="7" t="str">
        <f aca="false">IF($D1050="","",IFERROR(IF(INDEX(Hierarchy!$D$2:$D$1295,MATCH($D1050,Hierarchy!$A$2:$A$1295,0))="","",INDEX(Hierarchy!$D$2:$D$1295,MATCH($D1050,Hierarchy!$A$2:$A$1295,0))),"NODE NOT FOUND"))</f>
        <v>APAC</v>
      </c>
      <c r="H1050" s="7" t="str">
        <f aca="false">IF($D1050="","",IFERROR(IF(INDEX(Hierarchy!$E$2:$E$1295,MATCH($D1050,Hierarchy!$A$2:$A$1295,0))="","",INDEX(Hierarchy!$E$2:$E$1295,MATCH($D1050,Hierarchy!$A$2:$A$1295,0))),"NODE NOT FOUND"))</f>
        <v>East Asia</v>
      </c>
      <c r="I1050" s="7" t="str">
        <f aca="false">IF($D1050="","",IFERROR(IF(INDEX(Hierarchy!$F$2:$F$1295,MATCH($D1050,Hierarchy!$A$2:$A$1295,0))="","",INDEX(Hierarchy!$F$2:$F$1295,MATCH($D1050,Hierarchy!$A$2:$A$1295,0))),"NODE NOT FOUND"))</f>
        <v>Japan</v>
      </c>
      <c r="J1050" s="7" t="str">
        <f aca="false">IF($D1050="","",IFERROR(IF(INDEX(Hierarchy!$G$2:$G$1295,MATCH($D1050,Hierarchy!$A$2:$A$1295,0))="","",INDEX(Hierarchy!$G$2:$G$1295,MATCH($D1050,Hierarchy!$A$2:$A$1295,0))),"NODE NOT FOUND"))</f>
        <v>JPN</v>
      </c>
      <c r="K1050" s="7" t="str">
        <f aca="false">IF($D1050="","",IFERROR(IF(INDEX(Hierarchy!$H$2:$H$1295,MATCH($D1050,Hierarchy!$A$2:$A$1295,0))="","",INDEX(Hierarchy!$H$2:$H$1295,MATCH($D1050,Hierarchy!$A$2:$A$1295,0))),"NODE NOT FOUND"))</f>
        <v>Mie</v>
      </c>
      <c r="L1050" s="7" t="str">
        <f aca="false">IF($D1050="","",IFERROR(IF(INDEX(Hierarchy!$I$2:$I$1295,MATCH($D1050,Hierarchy!$A$2:$A$1295,0))="","",INDEX(Hierarchy!$I$2:$I$1295,MATCH($D1050,Hierarchy!$A$2:$A$1295,0))),"NODE NOT FOUND"))</f>
        <v/>
      </c>
      <c r="M1050" s="17" t="str">
        <f aca="false">IF(B1050="Pre-seeded","Pre-seeded",IF(B1050="Review 2026-09-16","Added from review",IF(C1050="","New",IF(C1050=D1050,"","Changed"))))</f>
        <v>Pre-seeded</v>
      </c>
      <c r="N1050" s="7" t="str">
        <f aca="false">TRIM(SUBSTITUTE(SUBSTITUTE(SUBSTITUTE(" "&amp;TRIM(SUBSTITUTE(SUBSTITUTE(SUBSTITUTE(SUBSTITUTE(SUBSTITUTE(SUBSTITUTE(SUBSTITUTE(SUBSTITUTE(SUBSTITUTE(SUBSTITUTE(SUBSTITUTE(SUBSTITUTE(SUBSTITUTE(SUBSTITUTE(SUBSTITUTE(UPPER(TRIM(A1050)),"[MEMBER]",""),"{MEMBER}",""),"[MEMBER}",""),"MEMBER]",""),"(A)",""),"""",""),"“",""),"”",""),".",""),":",""),",",""),"–"," "),"-"," "),"/"," "),"&amp;"," AND "))&amp;" "," THE "," ")," TOTAL "," ")," OPERATIONS "," "))</f>
        <v>MIE</v>
      </c>
      <c r="O1050" s="17" t="str">
        <f aca="false">IF(COUNTIFS($N$2:$N$2000,N1050,$D$2:$D$2000,"&lt;&gt;"&amp;D1050)&gt;0,"CONFLICT","")</f>
        <v/>
      </c>
      <c r="P1050" s="7"/>
    </row>
    <row r="1051" customFormat="false" ht="15" hidden="false" customHeight="false" outlineLevel="0" collapsed="false">
      <c r="A1051" s="7" t="s">
        <v>1674</v>
      </c>
      <c r="B1051" s="7" t="s">
        <v>1879</v>
      </c>
      <c r="C1051" s="7"/>
      <c r="D1051" s="6" t="s">
        <v>1674</v>
      </c>
      <c r="E1051" s="6" t="s">
        <v>1880</v>
      </c>
      <c r="F1051" s="7" t="str">
        <f aca="false">IF($D1051="","",IFERROR(IF(INDEX(Hierarchy!$B$2:$B$1295,MATCH($D1051,Hierarchy!$A$2:$A$1295,0))="","",INDEX(Hierarchy!$B$2:$B$1295,MATCH($D1051,Hierarchy!$A$2:$A$1295,0))),"NODE NOT FOUND"))</f>
        <v>State/Province</v>
      </c>
      <c r="G1051" s="7" t="str">
        <f aca="false">IF($D1051="","",IFERROR(IF(INDEX(Hierarchy!$D$2:$D$1295,MATCH($D1051,Hierarchy!$A$2:$A$1295,0))="","",INDEX(Hierarchy!$D$2:$D$1295,MATCH($D1051,Hierarchy!$A$2:$A$1295,0))),"NODE NOT FOUND"))</f>
        <v>APAC</v>
      </c>
      <c r="H1051" s="7" t="str">
        <f aca="false">IF($D1051="","",IFERROR(IF(INDEX(Hierarchy!$E$2:$E$1295,MATCH($D1051,Hierarchy!$A$2:$A$1295,0))="","",INDEX(Hierarchy!$E$2:$E$1295,MATCH($D1051,Hierarchy!$A$2:$A$1295,0))),"NODE NOT FOUND"))</f>
        <v>Southeast Asia (ASEAN)</v>
      </c>
      <c r="I1051" s="7" t="str">
        <f aca="false">IF($D1051="","",IFERROR(IF(INDEX(Hierarchy!$F$2:$F$1295,MATCH($D1051,Hierarchy!$A$2:$A$1295,0))="","",INDEX(Hierarchy!$F$2:$F$1295,MATCH($D1051,Hierarchy!$A$2:$A$1295,0))),"NODE NOT FOUND"))</f>
        <v>Philippines</v>
      </c>
      <c r="J1051" s="7" t="str">
        <f aca="false">IF($D1051="","",IFERROR(IF(INDEX(Hierarchy!$G$2:$G$1295,MATCH($D1051,Hierarchy!$A$2:$A$1295,0))="","",INDEX(Hierarchy!$G$2:$G$1295,MATCH($D1051,Hierarchy!$A$2:$A$1295,0))),"NODE NOT FOUND"))</f>
        <v>PHL</v>
      </c>
      <c r="K1051" s="7" t="str">
        <f aca="false">IF($D1051="","",IFERROR(IF(INDEX(Hierarchy!$H$2:$H$1295,MATCH($D1051,Hierarchy!$A$2:$A$1295,0))="","",INDEX(Hierarchy!$H$2:$H$1295,MATCH($D1051,Hierarchy!$A$2:$A$1295,0))),"NODE NOT FOUND"))</f>
        <v>Mimaropa</v>
      </c>
      <c r="L1051" s="7" t="str">
        <f aca="false">IF($D1051="","",IFERROR(IF(INDEX(Hierarchy!$I$2:$I$1295,MATCH($D1051,Hierarchy!$A$2:$A$1295,0))="","",INDEX(Hierarchy!$I$2:$I$1295,MATCH($D1051,Hierarchy!$A$2:$A$1295,0))),"NODE NOT FOUND"))</f>
        <v/>
      </c>
      <c r="M1051" s="17" t="str">
        <f aca="false">IF(B1051="Pre-seeded","Pre-seeded",IF(B1051="Review 2026-09-16","Added from review",IF(C1051="","New",IF(C1051=D1051,"","Changed"))))</f>
        <v>Pre-seeded</v>
      </c>
      <c r="N1051" s="7" t="str">
        <f aca="false">TRIM(SUBSTITUTE(SUBSTITUTE(SUBSTITUTE(" "&amp;TRIM(SUBSTITUTE(SUBSTITUTE(SUBSTITUTE(SUBSTITUTE(SUBSTITUTE(SUBSTITUTE(SUBSTITUTE(SUBSTITUTE(SUBSTITUTE(SUBSTITUTE(SUBSTITUTE(SUBSTITUTE(SUBSTITUTE(SUBSTITUTE(SUBSTITUTE(UPPER(TRIM(A1051)),"[MEMBER]",""),"{MEMBER}",""),"[MEMBER}",""),"MEMBER]",""),"(A)",""),"""",""),"“",""),"”",""),".",""),":",""),",",""),"–"," "),"-"," "),"/"," "),"&amp;"," AND "))&amp;" "," THE "," ")," TOTAL "," ")," OPERATIONS "," "))</f>
        <v>MIMAROPA</v>
      </c>
      <c r="O1051" s="17" t="str">
        <f aca="false">IF(COUNTIFS($N$2:$N$2000,N1051,$D$2:$D$2000,"&lt;&gt;"&amp;D1051)&gt;0,"CONFLICT","")</f>
        <v/>
      </c>
      <c r="P1051" s="7"/>
    </row>
    <row r="1052" customFormat="false" ht="15" hidden="false" customHeight="false" outlineLevel="0" collapsed="false">
      <c r="A1052" s="7" t="s">
        <v>359</v>
      </c>
      <c r="B1052" s="7" t="s">
        <v>1879</v>
      </c>
      <c r="C1052" s="7"/>
      <c r="D1052" s="6" t="s">
        <v>359</v>
      </c>
      <c r="E1052" s="6" t="s">
        <v>1880</v>
      </c>
      <c r="F1052" s="7" t="str">
        <f aca="false">IF($D1052="","",IFERROR(IF(INDEX(Hierarchy!$B$2:$B$1295,MATCH($D1052,Hierarchy!$A$2:$A$1295,0))="","",INDEX(Hierarchy!$B$2:$B$1295,MATCH($D1052,Hierarchy!$A$2:$A$1295,0))),"NODE NOT FOUND"))</f>
        <v>State/Province</v>
      </c>
      <c r="G1052" s="7" t="str">
        <f aca="false">IF($D1052="","",IFERROR(IF(INDEX(Hierarchy!$D$2:$D$1295,MATCH($D1052,Hierarchy!$A$2:$A$1295,0))="","",INDEX(Hierarchy!$D$2:$D$1295,MATCH($D1052,Hierarchy!$A$2:$A$1295,0))),"NODE NOT FOUND"))</f>
        <v>AMER</v>
      </c>
      <c r="H1052" s="7" t="str">
        <f aca="false">IF($D1052="","",IFERROR(IF(INDEX(Hierarchy!$E$2:$E$1295,MATCH($D1052,Hierarchy!$A$2:$A$1295,0))="","",INDEX(Hierarchy!$E$2:$E$1295,MATCH($D1052,Hierarchy!$A$2:$A$1295,0))),"NODE NOT FOUND"))</f>
        <v>Latin America (LATAM)</v>
      </c>
      <c r="I1052" s="7" t="str">
        <f aca="false">IF($D1052="","",IFERROR(IF(INDEX(Hierarchy!$F$2:$F$1295,MATCH($D1052,Hierarchy!$A$2:$A$1295,0))="","",INDEX(Hierarchy!$F$2:$F$1295,MATCH($D1052,Hierarchy!$A$2:$A$1295,0))),"NODE NOT FOUND"))</f>
        <v>Brazil</v>
      </c>
      <c r="J1052" s="7" t="str">
        <f aca="false">IF($D1052="","",IFERROR(IF(INDEX(Hierarchy!$G$2:$G$1295,MATCH($D1052,Hierarchy!$A$2:$A$1295,0))="","",INDEX(Hierarchy!$G$2:$G$1295,MATCH($D1052,Hierarchy!$A$2:$A$1295,0))),"NODE NOT FOUND"))</f>
        <v>BRA</v>
      </c>
      <c r="K1052" s="7" t="str">
        <f aca="false">IF($D1052="","",IFERROR(IF(INDEX(Hierarchy!$H$2:$H$1295,MATCH($D1052,Hierarchy!$A$2:$A$1295,0))="","",INDEX(Hierarchy!$H$2:$H$1295,MATCH($D1052,Hierarchy!$A$2:$A$1295,0))),"NODE NOT FOUND"))</f>
        <v>Minas Gerais</v>
      </c>
      <c r="L1052" s="7" t="str">
        <f aca="false">IF($D1052="","",IFERROR(IF(INDEX(Hierarchy!$I$2:$I$1295,MATCH($D1052,Hierarchy!$A$2:$A$1295,0))="","",INDEX(Hierarchy!$I$2:$I$1295,MATCH($D1052,Hierarchy!$A$2:$A$1295,0))),"NODE NOT FOUND"))</f>
        <v/>
      </c>
      <c r="M1052" s="17" t="str">
        <f aca="false">IF(B1052="Pre-seeded","Pre-seeded",IF(B1052="Review 2026-09-16","Added from review",IF(C1052="","New",IF(C1052=D1052,"","Changed"))))</f>
        <v>Pre-seeded</v>
      </c>
      <c r="N1052" s="7" t="str">
        <f aca="false">TRIM(SUBSTITUTE(SUBSTITUTE(SUBSTITUTE(" "&amp;TRIM(SUBSTITUTE(SUBSTITUTE(SUBSTITUTE(SUBSTITUTE(SUBSTITUTE(SUBSTITUTE(SUBSTITUTE(SUBSTITUTE(SUBSTITUTE(SUBSTITUTE(SUBSTITUTE(SUBSTITUTE(SUBSTITUTE(SUBSTITUTE(SUBSTITUTE(UPPER(TRIM(A1052)),"[MEMBER]",""),"{MEMBER}",""),"[MEMBER}",""),"MEMBER]",""),"(A)",""),"""",""),"“",""),"”",""),".",""),":",""),",",""),"–"," "),"-"," "),"/"," "),"&amp;"," AND "))&amp;" "," THE "," ")," TOTAL "," ")," OPERATIONS "," "))</f>
        <v>MINAS GERAIS</v>
      </c>
      <c r="O1052" s="17" t="str">
        <f aca="false">IF(COUNTIFS($N$2:$N$2000,N1052,$D$2:$D$2000,"&lt;&gt;"&amp;D1052)&gt;0,"CONFLICT","")</f>
        <v/>
      </c>
      <c r="P1052" s="7"/>
    </row>
    <row r="1053" customFormat="false" ht="15" hidden="false" customHeight="false" outlineLevel="0" collapsed="false">
      <c r="A1053" s="7" t="s">
        <v>198</v>
      </c>
      <c r="B1053" s="7" t="s">
        <v>1882</v>
      </c>
      <c r="C1053" s="7" t="s">
        <v>198</v>
      </c>
      <c r="D1053" s="6" t="s">
        <v>198</v>
      </c>
      <c r="E1053" s="6" t="s">
        <v>1880</v>
      </c>
      <c r="F1053" s="7" t="str">
        <f aca="false">IF($D1053="","",IFERROR(IF(INDEX(Hierarchy!$B$2:$B$1295,MATCH($D1053,Hierarchy!$A$2:$A$1295,0))="","",INDEX(Hierarchy!$B$2:$B$1295,MATCH($D1053,Hierarchy!$A$2:$A$1295,0))),"NODE NOT FOUND"))</f>
        <v>State/Province</v>
      </c>
      <c r="G1053" s="7" t="str">
        <f aca="false">IF($D1053="","",IFERROR(IF(INDEX(Hierarchy!$D$2:$D$1295,MATCH($D1053,Hierarchy!$A$2:$A$1295,0))="","",INDEX(Hierarchy!$D$2:$D$1295,MATCH($D1053,Hierarchy!$A$2:$A$1295,0))),"NODE NOT FOUND"))</f>
        <v>AMER</v>
      </c>
      <c r="H1053" s="7" t="str">
        <f aca="false">IF($D1053="","",IFERROR(IF(INDEX(Hierarchy!$E$2:$E$1295,MATCH($D1053,Hierarchy!$A$2:$A$1295,0))="","",INDEX(Hierarchy!$E$2:$E$1295,MATCH($D1053,Hierarchy!$A$2:$A$1295,0))),"NODE NOT FOUND"))</f>
        <v>North America (NORAM)</v>
      </c>
      <c r="I1053" s="7" t="str">
        <f aca="false">IF($D1053="","",IFERROR(IF(INDEX(Hierarchy!$F$2:$F$1295,MATCH($D1053,Hierarchy!$A$2:$A$1295,0))="","",INDEX(Hierarchy!$F$2:$F$1295,MATCH($D1053,Hierarchy!$A$2:$A$1295,0))),"NODE NOT FOUND"))</f>
        <v>United States</v>
      </c>
      <c r="J1053" s="7" t="str">
        <f aca="false">IF($D1053="","",IFERROR(IF(INDEX(Hierarchy!$G$2:$G$1295,MATCH($D1053,Hierarchy!$A$2:$A$1295,0))="","",INDEX(Hierarchy!$G$2:$G$1295,MATCH($D1053,Hierarchy!$A$2:$A$1295,0))),"NODE NOT FOUND"))</f>
        <v>USA</v>
      </c>
      <c r="K1053" s="7" t="str">
        <f aca="false">IF($D1053="","",IFERROR(IF(INDEX(Hierarchy!$H$2:$H$1295,MATCH($D1053,Hierarchy!$A$2:$A$1295,0))="","",INDEX(Hierarchy!$H$2:$H$1295,MATCH($D1053,Hierarchy!$A$2:$A$1295,0))),"NODE NOT FOUND"))</f>
        <v>Minnesota</v>
      </c>
      <c r="L1053" s="7" t="str">
        <f aca="false">IF($D1053="","",IFERROR(IF(INDEX(Hierarchy!$I$2:$I$1295,MATCH($D1053,Hierarchy!$A$2:$A$1295,0))="","",INDEX(Hierarchy!$I$2:$I$1295,MATCH($D1053,Hierarchy!$A$2:$A$1295,0))),"NODE NOT FOUND"))</f>
        <v/>
      </c>
      <c r="M1053" s="17" t="str">
        <f aca="false">IF(B1053="Pre-seeded","Pre-seeded",IF(B1053="Review 2026-09-16","Added from review",IF(C1053="","New",IF(C1053=D1053,"","Changed"))))</f>
        <v/>
      </c>
      <c r="N1053" s="7" t="str">
        <f aca="false">TRIM(SUBSTITUTE(SUBSTITUTE(SUBSTITUTE(" "&amp;TRIM(SUBSTITUTE(SUBSTITUTE(SUBSTITUTE(SUBSTITUTE(SUBSTITUTE(SUBSTITUTE(SUBSTITUTE(SUBSTITUTE(SUBSTITUTE(SUBSTITUTE(SUBSTITUTE(SUBSTITUTE(SUBSTITUTE(SUBSTITUTE(SUBSTITUTE(UPPER(TRIM(A1053)),"[MEMBER]",""),"{MEMBER}",""),"[MEMBER}",""),"MEMBER]",""),"(A)",""),"""",""),"“",""),"”",""),".",""),":",""),",",""),"–"," "),"-"," "),"/"," "),"&amp;"," AND "))&amp;" "," THE "," ")," TOTAL "," ")," OPERATIONS "," "))</f>
        <v>MINNESOTA</v>
      </c>
      <c r="O1053" s="17" t="str">
        <f aca="false">IF(COUNTIFS($N$2:$N$2000,N1053,$D$2:$D$2000,"&lt;&gt;"&amp;D1053)&gt;0,"CONFLICT","")</f>
        <v/>
      </c>
      <c r="P1053" s="7"/>
    </row>
    <row r="1054" customFormat="false" ht="15" hidden="false" customHeight="false" outlineLevel="0" collapsed="false">
      <c r="A1054" s="7" t="s">
        <v>442</v>
      </c>
      <c r="B1054" s="7" t="s">
        <v>1879</v>
      </c>
      <c r="C1054" s="7"/>
      <c r="D1054" s="6" t="s">
        <v>442</v>
      </c>
      <c r="E1054" s="6" t="s">
        <v>1880</v>
      </c>
      <c r="F1054" s="7" t="str">
        <f aca="false">IF($D1054="","",IFERROR(IF(INDEX(Hierarchy!$B$2:$B$1295,MATCH($D1054,Hierarchy!$A$2:$A$1295,0))="","",INDEX(Hierarchy!$B$2:$B$1295,MATCH($D1054,Hierarchy!$A$2:$A$1295,0))),"NODE NOT FOUND"))</f>
        <v>State/Province</v>
      </c>
      <c r="G1054" s="7" t="str">
        <f aca="false">IF($D1054="","",IFERROR(IF(INDEX(Hierarchy!$D$2:$D$1295,MATCH($D1054,Hierarchy!$A$2:$A$1295,0))="","",INDEX(Hierarchy!$D$2:$D$1295,MATCH($D1054,Hierarchy!$A$2:$A$1295,0))),"NODE NOT FOUND"))</f>
        <v>AMER</v>
      </c>
      <c r="H1054" s="7" t="str">
        <f aca="false">IF($D1054="","",IFERROR(IF(INDEX(Hierarchy!$E$2:$E$1295,MATCH($D1054,Hierarchy!$A$2:$A$1295,0))="","",INDEX(Hierarchy!$E$2:$E$1295,MATCH($D1054,Hierarchy!$A$2:$A$1295,0))),"NODE NOT FOUND"))</f>
        <v>Latin America (LATAM)</v>
      </c>
      <c r="I1054" s="7" t="str">
        <f aca="false">IF($D1054="","",IFERROR(IF(INDEX(Hierarchy!$F$2:$F$1295,MATCH($D1054,Hierarchy!$A$2:$A$1295,0))="","",INDEX(Hierarchy!$F$2:$F$1295,MATCH($D1054,Hierarchy!$A$2:$A$1295,0))),"NODE NOT FOUND"))</f>
        <v>Argentina</v>
      </c>
      <c r="J1054" s="7" t="str">
        <f aca="false">IF($D1054="","",IFERROR(IF(INDEX(Hierarchy!$G$2:$G$1295,MATCH($D1054,Hierarchy!$A$2:$A$1295,0))="","",INDEX(Hierarchy!$G$2:$G$1295,MATCH($D1054,Hierarchy!$A$2:$A$1295,0))),"NODE NOT FOUND"))</f>
        <v>ARG</v>
      </c>
      <c r="K1054" s="7" t="str">
        <f aca="false">IF($D1054="","",IFERROR(IF(INDEX(Hierarchy!$H$2:$H$1295,MATCH($D1054,Hierarchy!$A$2:$A$1295,0))="","",INDEX(Hierarchy!$H$2:$H$1295,MATCH($D1054,Hierarchy!$A$2:$A$1295,0))),"NODE NOT FOUND"))</f>
        <v>Misiones</v>
      </c>
      <c r="L1054" s="7" t="str">
        <f aca="false">IF($D1054="","",IFERROR(IF(INDEX(Hierarchy!$I$2:$I$1295,MATCH($D1054,Hierarchy!$A$2:$A$1295,0))="","",INDEX(Hierarchy!$I$2:$I$1295,MATCH($D1054,Hierarchy!$A$2:$A$1295,0))),"NODE NOT FOUND"))</f>
        <v/>
      </c>
      <c r="M1054" s="17" t="str">
        <f aca="false">IF(B1054="Pre-seeded","Pre-seeded",IF(B1054="Review 2026-09-16","Added from review",IF(C1054="","New",IF(C1054=D1054,"","Changed"))))</f>
        <v>Pre-seeded</v>
      </c>
      <c r="N1054" s="7" t="str">
        <f aca="false">TRIM(SUBSTITUTE(SUBSTITUTE(SUBSTITUTE(" "&amp;TRIM(SUBSTITUTE(SUBSTITUTE(SUBSTITUTE(SUBSTITUTE(SUBSTITUTE(SUBSTITUTE(SUBSTITUTE(SUBSTITUTE(SUBSTITUTE(SUBSTITUTE(SUBSTITUTE(SUBSTITUTE(SUBSTITUTE(SUBSTITUTE(SUBSTITUTE(UPPER(TRIM(A1054)),"[MEMBER]",""),"{MEMBER}",""),"[MEMBER}",""),"MEMBER]",""),"(A)",""),"""",""),"“",""),"”",""),".",""),":",""),",",""),"–"," "),"-"," "),"/"," "),"&amp;"," AND "))&amp;" "," THE "," ")," TOTAL "," ")," OPERATIONS "," "))</f>
        <v>MISIONES</v>
      </c>
      <c r="O1054" s="17" t="str">
        <f aca="false">IF(COUNTIFS($N$2:$N$2000,N1054,$D$2:$D$2000,"&lt;&gt;"&amp;D1054)&gt;0,"CONFLICT","")</f>
        <v/>
      </c>
      <c r="P1054" s="7"/>
    </row>
    <row r="1055" customFormat="false" ht="15" hidden="false" customHeight="false" outlineLevel="0" collapsed="false">
      <c r="A1055" s="7" t="s">
        <v>200</v>
      </c>
      <c r="B1055" s="7" t="s">
        <v>1882</v>
      </c>
      <c r="C1055" s="7" t="s">
        <v>200</v>
      </c>
      <c r="D1055" s="6" t="s">
        <v>200</v>
      </c>
      <c r="E1055" s="6" t="s">
        <v>1880</v>
      </c>
      <c r="F1055" s="7" t="str">
        <f aca="false">IF($D1055="","",IFERROR(IF(INDEX(Hierarchy!$B$2:$B$1295,MATCH($D1055,Hierarchy!$A$2:$A$1295,0))="","",INDEX(Hierarchy!$B$2:$B$1295,MATCH($D1055,Hierarchy!$A$2:$A$1295,0))),"NODE NOT FOUND"))</f>
        <v>State/Province</v>
      </c>
      <c r="G1055" s="7" t="str">
        <f aca="false">IF($D1055="","",IFERROR(IF(INDEX(Hierarchy!$D$2:$D$1295,MATCH($D1055,Hierarchy!$A$2:$A$1295,0))="","",INDEX(Hierarchy!$D$2:$D$1295,MATCH($D1055,Hierarchy!$A$2:$A$1295,0))),"NODE NOT FOUND"))</f>
        <v>AMER</v>
      </c>
      <c r="H1055" s="7" t="str">
        <f aca="false">IF($D1055="","",IFERROR(IF(INDEX(Hierarchy!$E$2:$E$1295,MATCH($D1055,Hierarchy!$A$2:$A$1295,0))="","",INDEX(Hierarchy!$E$2:$E$1295,MATCH($D1055,Hierarchy!$A$2:$A$1295,0))),"NODE NOT FOUND"))</f>
        <v>North America (NORAM)</v>
      </c>
      <c r="I1055" s="7" t="str">
        <f aca="false">IF($D1055="","",IFERROR(IF(INDEX(Hierarchy!$F$2:$F$1295,MATCH($D1055,Hierarchy!$A$2:$A$1295,0))="","",INDEX(Hierarchy!$F$2:$F$1295,MATCH($D1055,Hierarchy!$A$2:$A$1295,0))),"NODE NOT FOUND"))</f>
        <v>United States</v>
      </c>
      <c r="J1055" s="7" t="str">
        <f aca="false">IF($D1055="","",IFERROR(IF(INDEX(Hierarchy!$G$2:$G$1295,MATCH($D1055,Hierarchy!$A$2:$A$1295,0))="","",INDEX(Hierarchy!$G$2:$G$1295,MATCH($D1055,Hierarchy!$A$2:$A$1295,0))),"NODE NOT FOUND"))</f>
        <v>USA</v>
      </c>
      <c r="K1055" s="7" t="str">
        <f aca="false">IF($D1055="","",IFERROR(IF(INDEX(Hierarchy!$H$2:$H$1295,MATCH($D1055,Hierarchy!$A$2:$A$1295,0))="","",INDEX(Hierarchy!$H$2:$H$1295,MATCH($D1055,Hierarchy!$A$2:$A$1295,0))),"NODE NOT FOUND"))</f>
        <v>Mississippi</v>
      </c>
      <c r="L1055" s="7" t="str">
        <f aca="false">IF($D1055="","",IFERROR(IF(INDEX(Hierarchy!$I$2:$I$1295,MATCH($D1055,Hierarchy!$A$2:$A$1295,0))="","",INDEX(Hierarchy!$I$2:$I$1295,MATCH($D1055,Hierarchy!$A$2:$A$1295,0))),"NODE NOT FOUND"))</f>
        <v/>
      </c>
      <c r="M1055" s="17" t="str">
        <f aca="false">IF(B1055="Pre-seeded","Pre-seeded",IF(B1055="Review 2026-09-16","Added from review",IF(C1055="","New",IF(C1055=D1055,"","Changed"))))</f>
        <v/>
      </c>
      <c r="N1055" s="7" t="str">
        <f aca="false">TRIM(SUBSTITUTE(SUBSTITUTE(SUBSTITUTE(" "&amp;TRIM(SUBSTITUTE(SUBSTITUTE(SUBSTITUTE(SUBSTITUTE(SUBSTITUTE(SUBSTITUTE(SUBSTITUTE(SUBSTITUTE(SUBSTITUTE(SUBSTITUTE(SUBSTITUTE(SUBSTITUTE(SUBSTITUTE(SUBSTITUTE(SUBSTITUTE(UPPER(TRIM(A1055)),"[MEMBER]",""),"{MEMBER}",""),"[MEMBER}",""),"MEMBER]",""),"(A)",""),"""",""),"“",""),"”",""),".",""),":",""),",",""),"–"," "),"-"," "),"/"," "),"&amp;"," AND "))&amp;" "," THE "," ")," TOTAL "," ")," OPERATIONS "," "))</f>
        <v>MISSISSIPPI</v>
      </c>
      <c r="O1055" s="17" t="str">
        <f aca="false">IF(COUNTIFS($N$2:$N$2000,N1055,$D$2:$D$2000,"&lt;&gt;"&amp;D1055)&gt;0,"CONFLICT","")</f>
        <v/>
      </c>
      <c r="P1055" s="7"/>
    </row>
    <row r="1056" customFormat="false" ht="15" hidden="false" customHeight="false" outlineLevel="0" collapsed="false">
      <c r="A1056" s="7" t="s">
        <v>201</v>
      </c>
      <c r="B1056" s="7" t="s">
        <v>1882</v>
      </c>
      <c r="C1056" s="7" t="s">
        <v>201</v>
      </c>
      <c r="D1056" s="6" t="s">
        <v>201</v>
      </c>
      <c r="E1056" s="6" t="s">
        <v>1880</v>
      </c>
      <c r="F1056" s="7" t="str">
        <f aca="false">IF($D1056="","",IFERROR(IF(INDEX(Hierarchy!$B$2:$B$1295,MATCH($D1056,Hierarchy!$A$2:$A$1295,0))="","",INDEX(Hierarchy!$B$2:$B$1295,MATCH($D1056,Hierarchy!$A$2:$A$1295,0))),"NODE NOT FOUND"))</f>
        <v>State/Province</v>
      </c>
      <c r="G1056" s="7" t="str">
        <f aca="false">IF($D1056="","",IFERROR(IF(INDEX(Hierarchy!$D$2:$D$1295,MATCH($D1056,Hierarchy!$A$2:$A$1295,0))="","",INDEX(Hierarchy!$D$2:$D$1295,MATCH($D1056,Hierarchy!$A$2:$A$1295,0))),"NODE NOT FOUND"))</f>
        <v>AMER</v>
      </c>
      <c r="H1056" s="7" t="str">
        <f aca="false">IF($D1056="","",IFERROR(IF(INDEX(Hierarchy!$E$2:$E$1295,MATCH($D1056,Hierarchy!$A$2:$A$1295,0))="","",INDEX(Hierarchy!$E$2:$E$1295,MATCH($D1056,Hierarchy!$A$2:$A$1295,0))),"NODE NOT FOUND"))</f>
        <v>North America (NORAM)</v>
      </c>
      <c r="I1056" s="7" t="str">
        <f aca="false">IF($D1056="","",IFERROR(IF(INDEX(Hierarchy!$F$2:$F$1295,MATCH($D1056,Hierarchy!$A$2:$A$1295,0))="","",INDEX(Hierarchy!$F$2:$F$1295,MATCH($D1056,Hierarchy!$A$2:$A$1295,0))),"NODE NOT FOUND"))</f>
        <v>United States</v>
      </c>
      <c r="J1056" s="7" t="str">
        <f aca="false">IF($D1056="","",IFERROR(IF(INDEX(Hierarchy!$G$2:$G$1295,MATCH($D1056,Hierarchy!$A$2:$A$1295,0))="","",INDEX(Hierarchy!$G$2:$G$1295,MATCH($D1056,Hierarchy!$A$2:$A$1295,0))),"NODE NOT FOUND"))</f>
        <v>USA</v>
      </c>
      <c r="K1056" s="7" t="str">
        <f aca="false">IF($D1056="","",IFERROR(IF(INDEX(Hierarchy!$H$2:$H$1295,MATCH($D1056,Hierarchy!$A$2:$A$1295,0))="","",INDEX(Hierarchy!$H$2:$H$1295,MATCH($D1056,Hierarchy!$A$2:$A$1295,0))),"NODE NOT FOUND"))</f>
        <v>Missouri</v>
      </c>
      <c r="L1056" s="7" t="str">
        <f aca="false">IF($D1056="","",IFERROR(IF(INDEX(Hierarchy!$I$2:$I$1295,MATCH($D1056,Hierarchy!$A$2:$A$1295,0))="","",INDEX(Hierarchy!$I$2:$I$1295,MATCH($D1056,Hierarchy!$A$2:$A$1295,0))),"NODE NOT FOUND"))</f>
        <v/>
      </c>
      <c r="M1056" s="17" t="str">
        <f aca="false">IF(B1056="Pre-seeded","Pre-seeded",IF(B1056="Review 2026-09-16","Added from review",IF(C1056="","New",IF(C1056=D1056,"","Changed"))))</f>
        <v/>
      </c>
      <c r="N1056" s="7" t="str">
        <f aca="false">TRIM(SUBSTITUTE(SUBSTITUTE(SUBSTITUTE(" "&amp;TRIM(SUBSTITUTE(SUBSTITUTE(SUBSTITUTE(SUBSTITUTE(SUBSTITUTE(SUBSTITUTE(SUBSTITUTE(SUBSTITUTE(SUBSTITUTE(SUBSTITUTE(SUBSTITUTE(SUBSTITUTE(SUBSTITUTE(SUBSTITUTE(SUBSTITUTE(UPPER(TRIM(A1056)),"[MEMBER]",""),"{MEMBER}",""),"[MEMBER}",""),"MEMBER]",""),"(A)",""),"""",""),"“",""),"”",""),".",""),":",""),",",""),"–"," "),"-"," "),"/"," "),"&amp;"," AND "))&amp;" "," THE "," ")," TOTAL "," ")," OPERATIONS "," "))</f>
        <v>MISSOURI</v>
      </c>
      <c r="O1056" s="17" t="str">
        <f aca="false">IF(COUNTIFS($N$2:$N$2000,N1056,$D$2:$D$2000,"&lt;&gt;"&amp;D1056)&gt;0,"CONFLICT","")</f>
        <v/>
      </c>
      <c r="P1056" s="7"/>
    </row>
    <row r="1057" customFormat="false" ht="15" hidden="false" customHeight="false" outlineLevel="0" collapsed="false">
      <c r="A1057" s="7" t="s">
        <v>2412</v>
      </c>
      <c r="B1057" s="7" t="s">
        <v>1882</v>
      </c>
      <c r="C1057" s="7" t="s">
        <v>201</v>
      </c>
      <c r="D1057" s="6" t="s">
        <v>201</v>
      </c>
      <c r="E1057" s="6" t="s">
        <v>1880</v>
      </c>
      <c r="F1057" s="7" t="str">
        <f aca="false">IF($D1057="","",IFERROR(IF(INDEX(Hierarchy!$B$2:$B$1295,MATCH($D1057,Hierarchy!$A$2:$A$1295,0))="","",INDEX(Hierarchy!$B$2:$B$1295,MATCH($D1057,Hierarchy!$A$2:$A$1295,0))),"NODE NOT FOUND"))</f>
        <v>State/Province</v>
      </c>
      <c r="G1057" s="7" t="str">
        <f aca="false">IF($D1057="","",IFERROR(IF(INDEX(Hierarchy!$D$2:$D$1295,MATCH($D1057,Hierarchy!$A$2:$A$1295,0))="","",INDEX(Hierarchy!$D$2:$D$1295,MATCH($D1057,Hierarchy!$A$2:$A$1295,0))),"NODE NOT FOUND"))</f>
        <v>AMER</v>
      </c>
      <c r="H1057" s="7" t="str">
        <f aca="false">IF($D1057="","",IFERROR(IF(INDEX(Hierarchy!$E$2:$E$1295,MATCH($D1057,Hierarchy!$A$2:$A$1295,0))="","",INDEX(Hierarchy!$E$2:$E$1295,MATCH($D1057,Hierarchy!$A$2:$A$1295,0))),"NODE NOT FOUND"))</f>
        <v>North America (NORAM)</v>
      </c>
      <c r="I1057" s="7" t="str">
        <f aca="false">IF($D1057="","",IFERROR(IF(INDEX(Hierarchy!$F$2:$F$1295,MATCH($D1057,Hierarchy!$A$2:$A$1295,0))="","",INDEX(Hierarchy!$F$2:$F$1295,MATCH($D1057,Hierarchy!$A$2:$A$1295,0))),"NODE NOT FOUND"))</f>
        <v>United States</v>
      </c>
      <c r="J1057" s="7" t="str">
        <f aca="false">IF($D1057="","",IFERROR(IF(INDEX(Hierarchy!$G$2:$G$1295,MATCH($D1057,Hierarchy!$A$2:$A$1295,0))="","",INDEX(Hierarchy!$G$2:$G$1295,MATCH($D1057,Hierarchy!$A$2:$A$1295,0))),"NODE NOT FOUND"))</f>
        <v>USA</v>
      </c>
      <c r="K1057" s="7" t="str">
        <f aca="false">IF($D1057="","",IFERROR(IF(INDEX(Hierarchy!$H$2:$H$1295,MATCH($D1057,Hierarchy!$A$2:$A$1295,0))="","",INDEX(Hierarchy!$H$2:$H$1295,MATCH($D1057,Hierarchy!$A$2:$A$1295,0))),"NODE NOT FOUND"))</f>
        <v>Missouri</v>
      </c>
      <c r="L1057" s="7" t="str">
        <f aca="false">IF($D1057="","",IFERROR(IF(INDEX(Hierarchy!$I$2:$I$1295,MATCH($D1057,Hierarchy!$A$2:$A$1295,0))="","",INDEX(Hierarchy!$I$2:$I$1295,MATCH($D1057,Hierarchy!$A$2:$A$1295,0))),"NODE NOT FOUND"))</f>
        <v/>
      </c>
      <c r="M1057" s="17" t="str">
        <f aca="false">IF(B1057="Pre-seeded","Pre-seeded",IF(B1057="Review 2026-09-16","Added from review",IF(C1057="","New",IF(C1057=D1057,"","Changed"))))</f>
        <v/>
      </c>
      <c r="N1057" s="7" t="str">
        <f aca="false">TRIM(SUBSTITUTE(SUBSTITUTE(SUBSTITUTE(" "&amp;TRIM(SUBSTITUTE(SUBSTITUTE(SUBSTITUTE(SUBSTITUTE(SUBSTITUTE(SUBSTITUTE(SUBSTITUTE(SUBSTITUTE(SUBSTITUTE(SUBSTITUTE(SUBSTITUTE(SUBSTITUTE(SUBSTITUTE(SUBSTITUTE(SUBSTITUTE(UPPER(TRIM(A1057)),"[MEMBER]",""),"{MEMBER}",""),"[MEMBER}",""),"MEMBER]",""),"(A)",""),"""",""),"“",""),"”",""),".",""),":",""),",",""),"–"," "),"-"," "),"/"," "),"&amp;"," AND "))&amp;" "," THE "," ")," TOTAL "," ")," OPERATIONS "," "))</f>
        <v>MISSOURI</v>
      </c>
      <c r="O1057" s="17" t="str">
        <f aca="false">IF(COUNTIFS($N$2:$N$2000,N1057,$D$2:$D$2000,"&lt;&gt;"&amp;D1057)&gt;0,"CONFLICT","")</f>
        <v/>
      </c>
      <c r="P1057" s="7"/>
    </row>
    <row r="1058" customFormat="false" ht="15" hidden="false" customHeight="false" outlineLevel="0" collapsed="false">
      <c r="A1058" s="7" t="s">
        <v>1464</v>
      </c>
      <c r="B1058" s="7" t="s">
        <v>1879</v>
      </c>
      <c r="C1058" s="7"/>
      <c r="D1058" s="6" t="s">
        <v>1464</v>
      </c>
      <c r="E1058" s="6" t="s">
        <v>1880</v>
      </c>
      <c r="F1058" s="7" t="str">
        <f aca="false">IF($D1058="","",IFERROR(IF(INDEX(Hierarchy!$B$2:$B$1295,MATCH($D1058,Hierarchy!$A$2:$A$1295,0))="","",INDEX(Hierarchy!$B$2:$B$1295,MATCH($D1058,Hierarchy!$A$2:$A$1295,0))),"NODE NOT FOUND"))</f>
        <v>State/Province</v>
      </c>
      <c r="G1058" s="7" t="str">
        <f aca="false">IF($D1058="","",IFERROR(IF(INDEX(Hierarchy!$D$2:$D$1295,MATCH($D1058,Hierarchy!$A$2:$A$1295,0))="","",INDEX(Hierarchy!$D$2:$D$1295,MATCH($D1058,Hierarchy!$A$2:$A$1295,0))),"NODE NOT FOUND"))</f>
        <v>APAC</v>
      </c>
      <c r="H1058" s="7" t="str">
        <f aca="false">IF($D1058="","",IFERROR(IF(INDEX(Hierarchy!$E$2:$E$1295,MATCH($D1058,Hierarchy!$A$2:$A$1295,0))="","",INDEX(Hierarchy!$E$2:$E$1295,MATCH($D1058,Hierarchy!$A$2:$A$1295,0))),"NODE NOT FOUND"))</f>
        <v>East Asia</v>
      </c>
      <c r="I1058" s="7" t="str">
        <f aca="false">IF($D1058="","",IFERROR(IF(INDEX(Hierarchy!$F$2:$F$1295,MATCH($D1058,Hierarchy!$A$2:$A$1295,0))="","",INDEX(Hierarchy!$F$2:$F$1295,MATCH($D1058,Hierarchy!$A$2:$A$1295,0))),"NODE NOT FOUND"))</f>
        <v>Japan</v>
      </c>
      <c r="J1058" s="7" t="str">
        <f aca="false">IF($D1058="","",IFERROR(IF(INDEX(Hierarchy!$G$2:$G$1295,MATCH($D1058,Hierarchy!$A$2:$A$1295,0))="","",INDEX(Hierarchy!$G$2:$G$1295,MATCH($D1058,Hierarchy!$A$2:$A$1295,0))),"NODE NOT FOUND"))</f>
        <v>JPN</v>
      </c>
      <c r="K1058" s="7" t="str">
        <f aca="false">IF($D1058="","",IFERROR(IF(INDEX(Hierarchy!$H$2:$H$1295,MATCH($D1058,Hierarchy!$A$2:$A$1295,0))="","",INDEX(Hierarchy!$H$2:$H$1295,MATCH($D1058,Hierarchy!$A$2:$A$1295,0))),"NODE NOT FOUND"))</f>
        <v>Miyagi</v>
      </c>
      <c r="L1058" s="7" t="str">
        <f aca="false">IF($D1058="","",IFERROR(IF(INDEX(Hierarchy!$I$2:$I$1295,MATCH($D1058,Hierarchy!$A$2:$A$1295,0))="","",INDEX(Hierarchy!$I$2:$I$1295,MATCH($D1058,Hierarchy!$A$2:$A$1295,0))),"NODE NOT FOUND"))</f>
        <v/>
      </c>
      <c r="M1058" s="17" t="str">
        <f aca="false">IF(B1058="Pre-seeded","Pre-seeded",IF(B1058="Review 2026-09-16","Added from review",IF(C1058="","New",IF(C1058=D1058,"","Changed"))))</f>
        <v>Pre-seeded</v>
      </c>
      <c r="N1058" s="7" t="str">
        <f aca="false">TRIM(SUBSTITUTE(SUBSTITUTE(SUBSTITUTE(" "&amp;TRIM(SUBSTITUTE(SUBSTITUTE(SUBSTITUTE(SUBSTITUTE(SUBSTITUTE(SUBSTITUTE(SUBSTITUTE(SUBSTITUTE(SUBSTITUTE(SUBSTITUTE(SUBSTITUTE(SUBSTITUTE(SUBSTITUTE(SUBSTITUTE(SUBSTITUTE(UPPER(TRIM(A1058)),"[MEMBER]",""),"{MEMBER}",""),"[MEMBER}",""),"MEMBER]",""),"(A)",""),"""",""),"“",""),"”",""),".",""),":",""),",",""),"–"," "),"-"," "),"/"," "),"&amp;"," AND "))&amp;" "," THE "," ")," TOTAL "," ")," OPERATIONS "," "))</f>
        <v>MIYAGI</v>
      </c>
      <c r="O1058" s="17" t="str">
        <f aca="false">IF(COUNTIFS($N$2:$N$2000,N1058,$D$2:$D$2000,"&lt;&gt;"&amp;D1058)&gt;0,"CONFLICT","")</f>
        <v/>
      </c>
      <c r="P1058" s="7"/>
    </row>
    <row r="1059" customFormat="false" ht="15" hidden="false" customHeight="false" outlineLevel="0" collapsed="false">
      <c r="A1059" s="7" t="s">
        <v>1465</v>
      </c>
      <c r="B1059" s="7" t="s">
        <v>1879</v>
      </c>
      <c r="C1059" s="7"/>
      <c r="D1059" s="6" t="s">
        <v>1465</v>
      </c>
      <c r="E1059" s="6" t="s">
        <v>1880</v>
      </c>
      <c r="F1059" s="7" t="str">
        <f aca="false">IF($D1059="","",IFERROR(IF(INDEX(Hierarchy!$B$2:$B$1295,MATCH($D1059,Hierarchy!$A$2:$A$1295,0))="","",INDEX(Hierarchy!$B$2:$B$1295,MATCH($D1059,Hierarchy!$A$2:$A$1295,0))),"NODE NOT FOUND"))</f>
        <v>State/Province</v>
      </c>
      <c r="G1059" s="7" t="str">
        <f aca="false">IF($D1059="","",IFERROR(IF(INDEX(Hierarchy!$D$2:$D$1295,MATCH($D1059,Hierarchy!$A$2:$A$1295,0))="","",INDEX(Hierarchy!$D$2:$D$1295,MATCH($D1059,Hierarchy!$A$2:$A$1295,0))),"NODE NOT FOUND"))</f>
        <v>APAC</v>
      </c>
      <c r="H1059" s="7" t="str">
        <f aca="false">IF($D1059="","",IFERROR(IF(INDEX(Hierarchy!$E$2:$E$1295,MATCH($D1059,Hierarchy!$A$2:$A$1295,0))="","",INDEX(Hierarchy!$E$2:$E$1295,MATCH($D1059,Hierarchy!$A$2:$A$1295,0))),"NODE NOT FOUND"))</f>
        <v>East Asia</v>
      </c>
      <c r="I1059" s="7" t="str">
        <f aca="false">IF($D1059="","",IFERROR(IF(INDEX(Hierarchy!$F$2:$F$1295,MATCH($D1059,Hierarchy!$A$2:$A$1295,0))="","",INDEX(Hierarchy!$F$2:$F$1295,MATCH($D1059,Hierarchy!$A$2:$A$1295,0))),"NODE NOT FOUND"))</f>
        <v>Japan</v>
      </c>
      <c r="J1059" s="7" t="str">
        <f aca="false">IF($D1059="","",IFERROR(IF(INDEX(Hierarchy!$G$2:$G$1295,MATCH($D1059,Hierarchy!$A$2:$A$1295,0))="","",INDEX(Hierarchy!$G$2:$G$1295,MATCH($D1059,Hierarchy!$A$2:$A$1295,0))),"NODE NOT FOUND"))</f>
        <v>JPN</v>
      </c>
      <c r="K1059" s="7" t="str">
        <f aca="false">IF($D1059="","",IFERROR(IF(INDEX(Hierarchy!$H$2:$H$1295,MATCH($D1059,Hierarchy!$A$2:$A$1295,0))="","",INDEX(Hierarchy!$H$2:$H$1295,MATCH($D1059,Hierarchy!$A$2:$A$1295,0))),"NODE NOT FOUND"))</f>
        <v>Miyazaki</v>
      </c>
      <c r="L1059" s="7" t="str">
        <f aca="false">IF($D1059="","",IFERROR(IF(INDEX(Hierarchy!$I$2:$I$1295,MATCH($D1059,Hierarchy!$A$2:$A$1295,0))="","",INDEX(Hierarchy!$I$2:$I$1295,MATCH($D1059,Hierarchy!$A$2:$A$1295,0))),"NODE NOT FOUND"))</f>
        <v/>
      </c>
      <c r="M1059" s="17" t="str">
        <f aca="false">IF(B1059="Pre-seeded","Pre-seeded",IF(B1059="Review 2026-09-16","Added from review",IF(C1059="","New",IF(C1059=D1059,"","Changed"))))</f>
        <v>Pre-seeded</v>
      </c>
      <c r="N1059" s="7" t="str">
        <f aca="false">TRIM(SUBSTITUTE(SUBSTITUTE(SUBSTITUTE(" "&amp;TRIM(SUBSTITUTE(SUBSTITUTE(SUBSTITUTE(SUBSTITUTE(SUBSTITUTE(SUBSTITUTE(SUBSTITUTE(SUBSTITUTE(SUBSTITUTE(SUBSTITUTE(SUBSTITUTE(SUBSTITUTE(SUBSTITUTE(SUBSTITUTE(SUBSTITUTE(UPPER(TRIM(A1059)),"[MEMBER]",""),"{MEMBER}",""),"[MEMBER}",""),"MEMBER]",""),"(A)",""),"""",""),"“",""),"”",""),".",""),":",""),",",""),"–"," "),"-"," "),"/"," "),"&amp;"," AND "))&amp;" "," THE "," ")," TOTAL "," ")," OPERATIONS "," "))</f>
        <v>MIYAZAKI</v>
      </c>
      <c r="O1059" s="17" t="str">
        <f aca="false">IF(COUNTIFS($N$2:$N$2000,N1059,$D$2:$D$2000,"&lt;&gt;"&amp;D1059)&gt;0,"CONFLICT","")</f>
        <v/>
      </c>
      <c r="P1059" s="7"/>
    </row>
    <row r="1060" customFormat="false" ht="15" hidden="false" customHeight="false" outlineLevel="0" collapsed="false">
      <c r="A1060" s="7" t="s">
        <v>1355</v>
      </c>
      <c r="B1060" s="7" t="s">
        <v>1879</v>
      </c>
      <c r="C1060" s="7"/>
      <c r="D1060" s="6" t="s">
        <v>1355</v>
      </c>
      <c r="E1060" s="6" t="s">
        <v>1880</v>
      </c>
      <c r="F1060" s="7" t="str">
        <f aca="false">IF($D1060="","",IFERROR(IF(INDEX(Hierarchy!$B$2:$B$1295,MATCH($D1060,Hierarchy!$A$2:$A$1295,0))="","",INDEX(Hierarchy!$B$2:$B$1295,MATCH($D1060,Hierarchy!$A$2:$A$1295,0))),"NODE NOT FOUND"))</f>
        <v>State/Province</v>
      </c>
      <c r="G1060" s="7" t="str">
        <f aca="false">IF($D1060="","",IFERROR(IF(INDEX(Hierarchy!$D$2:$D$1295,MATCH($D1060,Hierarchy!$A$2:$A$1295,0))="","",INDEX(Hierarchy!$D$2:$D$1295,MATCH($D1060,Hierarchy!$A$2:$A$1295,0))),"NODE NOT FOUND"))</f>
        <v>APAC</v>
      </c>
      <c r="H1060" s="7" t="str">
        <f aca="false">IF($D1060="","",IFERROR(IF(INDEX(Hierarchy!$E$2:$E$1295,MATCH($D1060,Hierarchy!$A$2:$A$1295,0))="","",INDEX(Hierarchy!$E$2:$E$1295,MATCH($D1060,Hierarchy!$A$2:$A$1295,0))),"NODE NOT FOUND"))</f>
        <v>South Asia</v>
      </c>
      <c r="I1060" s="7" t="str">
        <f aca="false">IF($D1060="","",IFERROR(IF(INDEX(Hierarchy!$F$2:$F$1295,MATCH($D1060,Hierarchy!$A$2:$A$1295,0))="","",INDEX(Hierarchy!$F$2:$F$1295,MATCH($D1060,Hierarchy!$A$2:$A$1295,0))),"NODE NOT FOUND"))</f>
        <v>India</v>
      </c>
      <c r="J1060" s="7" t="str">
        <f aca="false">IF($D1060="","",IFERROR(IF(INDEX(Hierarchy!$G$2:$G$1295,MATCH($D1060,Hierarchy!$A$2:$A$1295,0))="","",INDEX(Hierarchy!$G$2:$G$1295,MATCH($D1060,Hierarchy!$A$2:$A$1295,0))),"NODE NOT FOUND"))</f>
        <v>IND</v>
      </c>
      <c r="K1060" s="7" t="str">
        <f aca="false">IF($D1060="","",IFERROR(IF(INDEX(Hierarchy!$H$2:$H$1295,MATCH($D1060,Hierarchy!$A$2:$A$1295,0))="","",INDEX(Hierarchy!$H$2:$H$1295,MATCH($D1060,Hierarchy!$A$2:$A$1295,0))),"NODE NOT FOUND"))</f>
        <v>Mizoram</v>
      </c>
      <c r="L1060" s="7" t="str">
        <f aca="false">IF($D1060="","",IFERROR(IF(INDEX(Hierarchy!$I$2:$I$1295,MATCH($D1060,Hierarchy!$A$2:$A$1295,0))="","",INDEX(Hierarchy!$I$2:$I$1295,MATCH($D1060,Hierarchy!$A$2:$A$1295,0))),"NODE NOT FOUND"))</f>
        <v/>
      </c>
      <c r="M1060" s="17" t="str">
        <f aca="false">IF(B1060="Pre-seeded","Pre-seeded",IF(B1060="Review 2026-09-16","Added from review",IF(C1060="","New",IF(C1060=D1060,"","Changed"))))</f>
        <v>Pre-seeded</v>
      </c>
      <c r="N1060" s="7" t="str">
        <f aca="false">TRIM(SUBSTITUTE(SUBSTITUTE(SUBSTITUTE(" "&amp;TRIM(SUBSTITUTE(SUBSTITUTE(SUBSTITUTE(SUBSTITUTE(SUBSTITUTE(SUBSTITUTE(SUBSTITUTE(SUBSTITUTE(SUBSTITUTE(SUBSTITUTE(SUBSTITUTE(SUBSTITUTE(SUBSTITUTE(SUBSTITUTE(SUBSTITUTE(UPPER(TRIM(A1060)),"[MEMBER]",""),"{MEMBER}",""),"[MEMBER}",""),"MEMBER]",""),"(A)",""),"""",""),"“",""),"”",""),".",""),":",""),",",""),"–"," "),"-"," "),"/"," "),"&amp;"," AND "))&amp;" "," THE "," ")," TOTAL "," ")," OPERATIONS "," "))</f>
        <v>MIZORAM</v>
      </c>
      <c r="O1060" s="17" t="str">
        <f aca="false">IF(COUNTIFS($N$2:$N$2000,N1060,$D$2:$D$2000,"&lt;&gt;"&amp;D1060)&gt;0,"CONFLICT","")</f>
        <v/>
      </c>
      <c r="P1060" s="7"/>
    </row>
    <row r="1061" customFormat="false" ht="15" hidden="false" customHeight="false" outlineLevel="0" collapsed="false">
      <c r="A1061" s="7" t="s">
        <v>876</v>
      </c>
      <c r="B1061" s="7" t="s">
        <v>1879</v>
      </c>
      <c r="C1061" s="7"/>
      <c r="D1061" s="6" t="s">
        <v>876</v>
      </c>
      <c r="E1061" s="6" t="s">
        <v>1880</v>
      </c>
      <c r="F1061" s="7" t="str">
        <f aca="false">IF($D1061="","",IFERROR(IF(INDEX(Hierarchy!$B$2:$B$1295,MATCH($D1061,Hierarchy!$A$2:$A$1295,0))="","",INDEX(Hierarchy!$B$2:$B$1295,MATCH($D1061,Hierarchy!$A$2:$A$1295,0))),"NODE NOT FOUND"))</f>
        <v>Country</v>
      </c>
      <c r="G1061" s="7" t="str">
        <f aca="false">IF($D1061="","",IFERROR(IF(INDEX(Hierarchy!$D$2:$D$1295,MATCH($D1061,Hierarchy!$A$2:$A$1295,0))="","",INDEX(Hierarchy!$D$2:$D$1295,MATCH($D1061,Hierarchy!$A$2:$A$1295,0))),"NODE NOT FOUND"))</f>
        <v>EMEA</v>
      </c>
      <c r="H1061" s="7" t="str">
        <f aca="false">IF($D1061="","",IFERROR(IF(INDEX(Hierarchy!$E$2:$E$1295,MATCH($D1061,Hierarchy!$A$2:$A$1295,0))="","",INDEX(Hierarchy!$E$2:$E$1295,MATCH($D1061,Hierarchy!$A$2:$A$1295,0))),"NODE NOT FOUND"))</f>
        <v>Europe</v>
      </c>
      <c r="I1061" s="7" t="str">
        <f aca="false">IF($D1061="","",IFERROR(IF(INDEX(Hierarchy!$F$2:$F$1295,MATCH($D1061,Hierarchy!$A$2:$A$1295,0))="","",INDEX(Hierarchy!$F$2:$F$1295,MATCH($D1061,Hierarchy!$A$2:$A$1295,0))),"NODE NOT FOUND"))</f>
        <v>Moldova</v>
      </c>
      <c r="J1061" s="7" t="str">
        <f aca="false">IF($D1061="","",IFERROR(IF(INDEX(Hierarchy!$G$2:$G$1295,MATCH($D1061,Hierarchy!$A$2:$A$1295,0))="","",INDEX(Hierarchy!$G$2:$G$1295,MATCH($D1061,Hierarchy!$A$2:$A$1295,0))),"NODE NOT FOUND"))</f>
        <v>MDA</v>
      </c>
      <c r="K1061" s="7" t="str">
        <f aca="false">IF($D1061="","",IFERROR(IF(INDEX(Hierarchy!$H$2:$H$1295,MATCH($D1061,Hierarchy!$A$2:$A$1295,0))="","",INDEX(Hierarchy!$H$2:$H$1295,MATCH($D1061,Hierarchy!$A$2:$A$1295,0))),"NODE NOT FOUND"))</f>
        <v/>
      </c>
      <c r="L1061" s="7" t="str">
        <f aca="false">IF($D1061="","",IFERROR(IF(INDEX(Hierarchy!$I$2:$I$1295,MATCH($D1061,Hierarchy!$A$2:$A$1295,0))="","",INDEX(Hierarchy!$I$2:$I$1295,MATCH($D1061,Hierarchy!$A$2:$A$1295,0))),"NODE NOT FOUND"))</f>
        <v/>
      </c>
      <c r="M1061" s="17" t="str">
        <f aca="false">IF(B1061="Pre-seeded","Pre-seeded",IF(B1061="Review 2026-09-16","Added from review",IF(C1061="","New",IF(C1061=D1061,"","Changed"))))</f>
        <v>Pre-seeded</v>
      </c>
      <c r="N1061" s="7" t="str">
        <f aca="false">TRIM(SUBSTITUTE(SUBSTITUTE(SUBSTITUTE(" "&amp;TRIM(SUBSTITUTE(SUBSTITUTE(SUBSTITUTE(SUBSTITUTE(SUBSTITUTE(SUBSTITUTE(SUBSTITUTE(SUBSTITUTE(SUBSTITUTE(SUBSTITUTE(SUBSTITUTE(SUBSTITUTE(SUBSTITUTE(SUBSTITUTE(SUBSTITUTE(UPPER(TRIM(A1061)),"[MEMBER]",""),"{MEMBER}",""),"[MEMBER}",""),"MEMBER]",""),"(A)",""),"""",""),"“",""),"”",""),".",""),":",""),",",""),"–"," "),"-"," "),"/"," "),"&amp;"," AND "))&amp;" "," THE "," ")," TOTAL "," ")," OPERATIONS "," "))</f>
        <v>MOLDOVA</v>
      </c>
      <c r="O1061" s="17" t="str">
        <f aca="false">IF(COUNTIFS($N$2:$N$2000,N1061,$D$2:$D$2000,"&lt;&gt;"&amp;D1061)&gt;0,"CONFLICT","")</f>
        <v/>
      </c>
      <c r="P1061" s="7"/>
    </row>
    <row r="1062" customFormat="false" ht="15" hidden="false" customHeight="false" outlineLevel="0" collapsed="false">
      <c r="A1062" s="7" t="s">
        <v>2413</v>
      </c>
      <c r="B1062" s="7" t="s">
        <v>1879</v>
      </c>
      <c r="C1062" s="7"/>
      <c r="D1062" s="6" t="s">
        <v>876</v>
      </c>
      <c r="E1062" s="6" t="s">
        <v>1880</v>
      </c>
      <c r="F1062" s="7" t="str">
        <f aca="false">IF($D1062="","",IFERROR(IF(INDEX(Hierarchy!$B$2:$B$1295,MATCH($D1062,Hierarchy!$A$2:$A$1295,0))="","",INDEX(Hierarchy!$B$2:$B$1295,MATCH($D1062,Hierarchy!$A$2:$A$1295,0))),"NODE NOT FOUND"))</f>
        <v>Country</v>
      </c>
      <c r="G1062" s="7" t="str">
        <f aca="false">IF($D1062="","",IFERROR(IF(INDEX(Hierarchy!$D$2:$D$1295,MATCH($D1062,Hierarchy!$A$2:$A$1295,0))="","",INDEX(Hierarchy!$D$2:$D$1295,MATCH($D1062,Hierarchy!$A$2:$A$1295,0))),"NODE NOT FOUND"))</f>
        <v>EMEA</v>
      </c>
      <c r="H1062" s="7" t="str">
        <f aca="false">IF($D1062="","",IFERROR(IF(INDEX(Hierarchy!$E$2:$E$1295,MATCH($D1062,Hierarchy!$A$2:$A$1295,0))="","",INDEX(Hierarchy!$E$2:$E$1295,MATCH($D1062,Hierarchy!$A$2:$A$1295,0))),"NODE NOT FOUND"))</f>
        <v>Europe</v>
      </c>
      <c r="I1062" s="7" t="str">
        <f aca="false">IF($D1062="","",IFERROR(IF(INDEX(Hierarchy!$F$2:$F$1295,MATCH($D1062,Hierarchy!$A$2:$A$1295,0))="","",INDEX(Hierarchy!$F$2:$F$1295,MATCH($D1062,Hierarchy!$A$2:$A$1295,0))),"NODE NOT FOUND"))</f>
        <v>Moldova</v>
      </c>
      <c r="J1062" s="7" t="str">
        <f aca="false">IF($D1062="","",IFERROR(IF(INDEX(Hierarchy!$G$2:$G$1295,MATCH($D1062,Hierarchy!$A$2:$A$1295,0))="","",INDEX(Hierarchy!$G$2:$G$1295,MATCH($D1062,Hierarchy!$A$2:$A$1295,0))),"NODE NOT FOUND"))</f>
        <v>MDA</v>
      </c>
      <c r="K1062" s="7" t="str">
        <f aca="false">IF($D1062="","",IFERROR(IF(INDEX(Hierarchy!$H$2:$H$1295,MATCH($D1062,Hierarchy!$A$2:$A$1295,0))="","",INDEX(Hierarchy!$H$2:$H$1295,MATCH($D1062,Hierarchy!$A$2:$A$1295,0))),"NODE NOT FOUND"))</f>
        <v/>
      </c>
      <c r="L1062" s="7" t="str">
        <f aca="false">IF($D1062="","",IFERROR(IF(INDEX(Hierarchy!$I$2:$I$1295,MATCH($D1062,Hierarchy!$A$2:$A$1295,0))="","",INDEX(Hierarchy!$I$2:$I$1295,MATCH($D1062,Hierarchy!$A$2:$A$1295,0))),"NODE NOT FOUND"))</f>
        <v/>
      </c>
      <c r="M1062" s="17" t="str">
        <f aca="false">IF(B1062="Pre-seeded","Pre-seeded",IF(B1062="Review 2026-09-16","Added from review",IF(C1062="","New",IF(C1062=D1062,"","Changed"))))</f>
        <v>Pre-seeded</v>
      </c>
      <c r="N1062" s="7" t="str">
        <f aca="false">TRIM(SUBSTITUTE(SUBSTITUTE(SUBSTITUTE(" "&amp;TRIM(SUBSTITUTE(SUBSTITUTE(SUBSTITUTE(SUBSTITUTE(SUBSTITUTE(SUBSTITUTE(SUBSTITUTE(SUBSTITUTE(SUBSTITUTE(SUBSTITUTE(SUBSTITUTE(SUBSTITUTE(SUBSTITUTE(SUBSTITUTE(SUBSTITUTE(UPPER(TRIM(A1062)),"[MEMBER]",""),"{MEMBER}",""),"[MEMBER}",""),"MEMBER]",""),"(A)",""),"""",""),"“",""),"”",""),".",""),":",""),",",""),"–"," "),"-"," "),"/"," "),"&amp;"," AND "))&amp;" "," THE "," ")," TOTAL "," ")," OPERATIONS "," "))</f>
        <v>MOLDOVA REPUBLIC OF</v>
      </c>
      <c r="O1062" s="17" t="str">
        <f aca="false">IF(COUNTIFS($N$2:$N$2000,N1062,$D$2:$D$2000,"&lt;&gt;"&amp;D1062)&gt;0,"CONFLICT","")</f>
        <v/>
      </c>
      <c r="P1062" s="7" t="s">
        <v>1936</v>
      </c>
    </row>
    <row r="1063" customFormat="false" ht="15" hidden="false" customHeight="false" outlineLevel="0" collapsed="false">
      <c r="A1063" s="7" t="s">
        <v>844</v>
      </c>
      <c r="B1063" s="7" t="s">
        <v>1879</v>
      </c>
      <c r="C1063" s="7"/>
      <c r="D1063" s="6" t="s">
        <v>844</v>
      </c>
      <c r="E1063" s="6" t="s">
        <v>1880</v>
      </c>
      <c r="F1063" s="7" t="str">
        <f aca="false">IF($D1063="","",IFERROR(IF(INDEX(Hierarchy!$B$2:$B$1295,MATCH($D1063,Hierarchy!$A$2:$A$1295,0))="","",INDEX(Hierarchy!$B$2:$B$1295,MATCH($D1063,Hierarchy!$A$2:$A$1295,0))),"NODE NOT FOUND"))</f>
        <v>State/Province</v>
      </c>
      <c r="G1063" s="7" t="str">
        <f aca="false">IF($D1063="","",IFERROR(IF(INDEX(Hierarchy!$D$2:$D$1295,MATCH($D1063,Hierarchy!$A$2:$A$1295,0))="","",INDEX(Hierarchy!$D$2:$D$1295,MATCH($D1063,Hierarchy!$A$2:$A$1295,0))),"NODE NOT FOUND"))</f>
        <v>EMEA</v>
      </c>
      <c r="H1063" s="7" t="str">
        <f aca="false">IF($D1063="","",IFERROR(IF(INDEX(Hierarchy!$E$2:$E$1295,MATCH($D1063,Hierarchy!$A$2:$A$1295,0))="","",INDEX(Hierarchy!$E$2:$E$1295,MATCH($D1063,Hierarchy!$A$2:$A$1295,0))),"NODE NOT FOUND"))</f>
        <v>Europe</v>
      </c>
      <c r="I1063" s="7" t="str">
        <f aca="false">IF($D1063="","",IFERROR(IF(INDEX(Hierarchy!$F$2:$F$1295,MATCH($D1063,Hierarchy!$A$2:$A$1295,0))="","",INDEX(Hierarchy!$F$2:$F$1295,MATCH($D1063,Hierarchy!$A$2:$A$1295,0))),"NODE NOT FOUND"))</f>
        <v>Italy</v>
      </c>
      <c r="J1063" s="7" t="str">
        <f aca="false">IF($D1063="","",IFERROR(IF(INDEX(Hierarchy!$G$2:$G$1295,MATCH($D1063,Hierarchy!$A$2:$A$1295,0))="","",INDEX(Hierarchy!$G$2:$G$1295,MATCH($D1063,Hierarchy!$A$2:$A$1295,0))),"NODE NOT FOUND"))</f>
        <v>ITA</v>
      </c>
      <c r="K1063" s="7" t="str">
        <f aca="false">IF($D1063="","",IFERROR(IF(INDEX(Hierarchy!$H$2:$H$1295,MATCH($D1063,Hierarchy!$A$2:$A$1295,0))="","",INDEX(Hierarchy!$H$2:$H$1295,MATCH($D1063,Hierarchy!$A$2:$A$1295,0))),"NODE NOT FOUND"))</f>
        <v>Molise</v>
      </c>
      <c r="L1063" s="7" t="str">
        <f aca="false">IF($D1063="","",IFERROR(IF(INDEX(Hierarchy!$I$2:$I$1295,MATCH($D1063,Hierarchy!$A$2:$A$1295,0))="","",INDEX(Hierarchy!$I$2:$I$1295,MATCH($D1063,Hierarchy!$A$2:$A$1295,0))),"NODE NOT FOUND"))</f>
        <v/>
      </c>
      <c r="M1063" s="17" t="str">
        <f aca="false">IF(B1063="Pre-seeded","Pre-seeded",IF(B1063="Review 2026-09-16","Added from review",IF(C1063="","New",IF(C1063=D1063,"","Changed"))))</f>
        <v>Pre-seeded</v>
      </c>
      <c r="N1063" s="7" t="str">
        <f aca="false">TRIM(SUBSTITUTE(SUBSTITUTE(SUBSTITUTE(" "&amp;TRIM(SUBSTITUTE(SUBSTITUTE(SUBSTITUTE(SUBSTITUTE(SUBSTITUTE(SUBSTITUTE(SUBSTITUTE(SUBSTITUTE(SUBSTITUTE(SUBSTITUTE(SUBSTITUTE(SUBSTITUTE(SUBSTITUTE(SUBSTITUTE(SUBSTITUTE(UPPER(TRIM(A1063)),"[MEMBER]",""),"{MEMBER}",""),"[MEMBER}",""),"MEMBER]",""),"(A)",""),"""",""),"“",""),"”",""),".",""),":",""),",",""),"–"," "),"-"," "),"/"," "),"&amp;"," AND "))&amp;" "," THE "," ")," TOTAL "," ")," OPERATIONS "," "))</f>
        <v>MOLISE</v>
      </c>
      <c r="O1063" s="17" t="str">
        <f aca="false">IF(COUNTIFS($N$2:$N$2000,N1063,$D$2:$D$2000,"&lt;&gt;"&amp;D1063)&gt;0,"CONFLICT","")</f>
        <v/>
      </c>
      <c r="P1063" s="7"/>
    </row>
    <row r="1064" customFormat="false" ht="15" hidden="false" customHeight="false" outlineLevel="0" collapsed="false">
      <c r="A1064" s="7" t="s">
        <v>879</v>
      </c>
      <c r="B1064" s="7" t="s">
        <v>1879</v>
      </c>
      <c r="C1064" s="7"/>
      <c r="D1064" s="6" t="s">
        <v>879</v>
      </c>
      <c r="E1064" s="6" t="s">
        <v>1880</v>
      </c>
      <c r="F1064" s="7" t="str">
        <f aca="false">IF($D1064="","",IFERROR(IF(INDEX(Hierarchy!$B$2:$B$1295,MATCH($D1064,Hierarchy!$A$2:$A$1295,0))="","",INDEX(Hierarchy!$B$2:$B$1295,MATCH($D1064,Hierarchy!$A$2:$A$1295,0))),"NODE NOT FOUND"))</f>
        <v>Country</v>
      </c>
      <c r="G1064" s="7" t="str">
        <f aca="false">IF($D1064="","",IFERROR(IF(INDEX(Hierarchy!$D$2:$D$1295,MATCH($D1064,Hierarchy!$A$2:$A$1295,0))="","",INDEX(Hierarchy!$D$2:$D$1295,MATCH($D1064,Hierarchy!$A$2:$A$1295,0))),"NODE NOT FOUND"))</f>
        <v>EMEA</v>
      </c>
      <c r="H1064" s="7" t="str">
        <f aca="false">IF($D1064="","",IFERROR(IF(INDEX(Hierarchy!$E$2:$E$1295,MATCH($D1064,Hierarchy!$A$2:$A$1295,0))="","",INDEX(Hierarchy!$E$2:$E$1295,MATCH($D1064,Hierarchy!$A$2:$A$1295,0))),"NODE NOT FOUND"))</f>
        <v>Europe</v>
      </c>
      <c r="I1064" s="7" t="str">
        <f aca="false">IF($D1064="","",IFERROR(IF(INDEX(Hierarchy!$F$2:$F$1295,MATCH($D1064,Hierarchy!$A$2:$A$1295,0))="","",INDEX(Hierarchy!$F$2:$F$1295,MATCH($D1064,Hierarchy!$A$2:$A$1295,0))),"NODE NOT FOUND"))</f>
        <v>Monaco</v>
      </c>
      <c r="J1064" s="7" t="str">
        <f aca="false">IF($D1064="","",IFERROR(IF(INDEX(Hierarchy!$G$2:$G$1295,MATCH($D1064,Hierarchy!$A$2:$A$1295,0))="","",INDEX(Hierarchy!$G$2:$G$1295,MATCH($D1064,Hierarchy!$A$2:$A$1295,0))),"NODE NOT FOUND"))</f>
        <v>MCO</v>
      </c>
      <c r="K1064" s="7" t="str">
        <f aca="false">IF($D1064="","",IFERROR(IF(INDEX(Hierarchy!$H$2:$H$1295,MATCH($D1064,Hierarchy!$A$2:$A$1295,0))="","",INDEX(Hierarchy!$H$2:$H$1295,MATCH($D1064,Hierarchy!$A$2:$A$1295,0))),"NODE NOT FOUND"))</f>
        <v/>
      </c>
      <c r="L1064" s="7" t="str">
        <f aca="false">IF($D1064="","",IFERROR(IF(INDEX(Hierarchy!$I$2:$I$1295,MATCH($D1064,Hierarchy!$A$2:$A$1295,0))="","",INDEX(Hierarchy!$I$2:$I$1295,MATCH($D1064,Hierarchy!$A$2:$A$1295,0))),"NODE NOT FOUND"))</f>
        <v/>
      </c>
      <c r="M1064" s="17" t="str">
        <f aca="false">IF(B1064="Pre-seeded","Pre-seeded",IF(B1064="Review 2026-09-16","Added from review",IF(C1064="","New",IF(C1064=D1064,"","Changed"))))</f>
        <v>Pre-seeded</v>
      </c>
      <c r="N1064" s="7" t="str">
        <f aca="false">TRIM(SUBSTITUTE(SUBSTITUTE(SUBSTITUTE(" "&amp;TRIM(SUBSTITUTE(SUBSTITUTE(SUBSTITUTE(SUBSTITUTE(SUBSTITUTE(SUBSTITUTE(SUBSTITUTE(SUBSTITUTE(SUBSTITUTE(SUBSTITUTE(SUBSTITUTE(SUBSTITUTE(SUBSTITUTE(SUBSTITUTE(SUBSTITUTE(UPPER(TRIM(A1064)),"[MEMBER]",""),"{MEMBER}",""),"[MEMBER}",""),"MEMBER]",""),"(A)",""),"""",""),"“",""),"”",""),".",""),":",""),",",""),"–"," "),"-"," "),"/"," "),"&amp;"," AND "))&amp;" "," THE "," ")," TOTAL "," ")," OPERATIONS "," "))</f>
        <v>MONACO</v>
      </c>
      <c r="O1064" s="17" t="str">
        <f aca="false">IF(COUNTIFS($N$2:$N$2000,N1064,$D$2:$D$2000,"&lt;&gt;"&amp;D1064)&gt;0,"CONFLICT","")</f>
        <v/>
      </c>
      <c r="P1064" s="7"/>
    </row>
    <row r="1065" customFormat="false" ht="15" hidden="false" customHeight="false" outlineLevel="0" collapsed="false">
      <c r="A1065" s="7" t="s">
        <v>1554</v>
      </c>
      <c r="B1065" s="7" t="s">
        <v>1879</v>
      </c>
      <c r="C1065" s="7"/>
      <c r="D1065" s="6" t="s">
        <v>1554</v>
      </c>
      <c r="E1065" s="6" t="s">
        <v>1880</v>
      </c>
      <c r="F1065" s="7" t="str">
        <f aca="false">IF($D1065="","",IFERROR(IF(INDEX(Hierarchy!$B$2:$B$1295,MATCH($D1065,Hierarchy!$A$2:$A$1295,0))="","",INDEX(Hierarchy!$B$2:$B$1295,MATCH($D1065,Hierarchy!$A$2:$A$1295,0))),"NODE NOT FOUND"))</f>
        <v>Country</v>
      </c>
      <c r="G1065" s="7" t="str">
        <f aca="false">IF($D1065="","",IFERROR(IF(INDEX(Hierarchy!$D$2:$D$1295,MATCH($D1065,Hierarchy!$A$2:$A$1295,0))="","",INDEX(Hierarchy!$D$2:$D$1295,MATCH($D1065,Hierarchy!$A$2:$A$1295,0))),"NODE NOT FOUND"))</f>
        <v>APAC</v>
      </c>
      <c r="H1065" s="7" t="str">
        <f aca="false">IF($D1065="","",IFERROR(IF(INDEX(Hierarchy!$E$2:$E$1295,MATCH($D1065,Hierarchy!$A$2:$A$1295,0))="","",INDEX(Hierarchy!$E$2:$E$1295,MATCH($D1065,Hierarchy!$A$2:$A$1295,0))),"NODE NOT FOUND"))</f>
        <v>East Asia</v>
      </c>
      <c r="I1065" s="7" t="str">
        <f aca="false">IF($D1065="","",IFERROR(IF(INDEX(Hierarchy!$F$2:$F$1295,MATCH($D1065,Hierarchy!$A$2:$A$1295,0))="","",INDEX(Hierarchy!$F$2:$F$1295,MATCH($D1065,Hierarchy!$A$2:$A$1295,0))),"NODE NOT FOUND"))</f>
        <v>Mongolia</v>
      </c>
      <c r="J1065" s="7" t="str">
        <f aca="false">IF($D1065="","",IFERROR(IF(INDEX(Hierarchy!$G$2:$G$1295,MATCH($D1065,Hierarchy!$A$2:$A$1295,0))="","",INDEX(Hierarchy!$G$2:$G$1295,MATCH($D1065,Hierarchy!$A$2:$A$1295,0))),"NODE NOT FOUND"))</f>
        <v>MNG</v>
      </c>
      <c r="K1065" s="7" t="str">
        <f aca="false">IF($D1065="","",IFERROR(IF(INDEX(Hierarchy!$H$2:$H$1295,MATCH($D1065,Hierarchy!$A$2:$A$1295,0))="","",INDEX(Hierarchy!$H$2:$H$1295,MATCH($D1065,Hierarchy!$A$2:$A$1295,0))),"NODE NOT FOUND"))</f>
        <v/>
      </c>
      <c r="L1065" s="7" t="str">
        <f aca="false">IF($D1065="","",IFERROR(IF(INDEX(Hierarchy!$I$2:$I$1295,MATCH($D1065,Hierarchy!$A$2:$A$1295,0))="","",INDEX(Hierarchy!$I$2:$I$1295,MATCH($D1065,Hierarchy!$A$2:$A$1295,0))),"NODE NOT FOUND"))</f>
        <v/>
      </c>
      <c r="M1065" s="17" t="str">
        <f aca="false">IF(B1065="Pre-seeded","Pre-seeded",IF(B1065="Review 2026-09-16","Added from review",IF(C1065="","New",IF(C1065=D1065,"","Changed"))))</f>
        <v>Pre-seeded</v>
      </c>
      <c r="N1065" s="7" t="str">
        <f aca="false">TRIM(SUBSTITUTE(SUBSTITUTE(SUBSTITUTE(" "&amp;TRIM(SUBSTITUTE(SUBSTITUTE(SUBSTITUTE(SUBSTITUTE(SUBSTITUTE(SUBSTITUTE(SUBSTITUTE(SUBSTITUTE(SUBSTITUTE(SUBSTITUTE(SUBSTITUTE(SUBSTITUTE(SUBSTITUTE(SUBSTITUTE(SUBSTITUTE(UPPER(TRIM(A1065)),"[MEMBER]",""),"{MEMBER}",""),"[MEMBER}",""),"MEMBER]",""),"(A)",""),"""",""),"“",""),"”",""),".",""),":",""),",",""),"–"," "),"-"," "),"/"," "),"&amp;"," AND "))&amp;" "," THE "," ")," TOTAL "," ")," OPERATIONS "," "))</f>
        <v>MONGOLIA</v>
      </c>
      <c r="O1065" s="17" t="str">
        <f aca="false">IF(COUNTIFS($N$2:$N$2000,N1065,$D$2:$D$2000,"&lt;&gt;"&amp;D1065)&gt;0,"CONFLICT","")</f>
        <v/>
      </c>
      <c r="P1065" s="7"/>
    </row>
    <row r="1066" customFormat="false" ht="15" hidden="false" customHeight="false" outlineLevel="0" collapsed="false">
      <c r="A1066" s="7" t="s">
        <v>2414</v>
      </c>
      <c r="B1066" s="7" t="s">
        <v>1882</v>
      </c>
      <c r="C1066" s="7" t="s">
        <v>205</v>
      </c>
      <c r="D1066" s="6" t="s">
        <v>205</v>
      </c>
      <c r="E1066" s="6" t="s">
        <v>1880</v>
      </c>
      <c r="F1066" s="7" t="str">
        <f aca="false">IF($D1066="","",IFERROR(IF(INDEX(Hierarchy!$B$2:$B$1295,MATCH($D1066,Hierarchy!$A$2:$A$1295,0))="","",INDEX(Hierarchy!$B$2:$B$1295,MATCH($D1066,Hierarchy!$A$2:$A$1295,0))),"NODE NOT FOUND"))</f>
        <v>State/Province</v>
      </c>
      <c r="G1066" s="7" t="str">
        <f aca="false">IF($D1066="","",IFERROR(IF(INDEX(Hierarchy!$D$2:$D$1295,MATCH($D1066,Hierarchy!$A$2:$A$1295,0))="","",INDEX(Hierarchy!$D$2:$D$1295,MATCH($D1066,Hierarchy!$A$2:$A$1295,0))),"NODE NOT FOUND"))</f>
        <v>AMER</v>
      </c>
      <c r="H1066" s="7" t="str">
        <f aca="false">IF($D1066="","",IFERROR(IF(INDEX(Hierarchy!$E$2:$E$1295,MATCH($D1066,Hierarchy!$A$2:$A$1295,0))="","",INDEX(Hierarchy!$E$2:$E$1295,MATCH($D1066,Hierarchy!$A$2:$A$1295,0))),"NODE NOT FOUND"))</f>
        <v>North America (NORAM)</v>
      </c>
      <c r="I1066" s="7" t="str">
        <f aca="false">IF($D1066="","",IFERROR(IF(INDEX(Hierarchy!$F$2:$F$1295,MATCH($D1066,Hierarchy!$A$2:$A$1295,0))="","",INDEX(Hierarchy!$F$2:$F$1295,MATCH($D1066,Hierarchy!$A$2:$A$1295,0))),"NODE NOT FOUND"))</f>
        <v>United States</v>
      </c>
      <c r="J1066" s="7" t="str">
        <f aca="false">IF($D1066="","",IFERROR(IF(INDEX(Hierarchy!$G$2:$G$1295,MATCH($D1066,Hierarchy!$A$2:$A$1295,0))="","",INDEX(Hierarchy!$G$2:$G$1295,MATCH($D1066,Hierarchy!$A$2:$A$1295,0))),"NODE NOT FOUND"))</f>
        <v>USA</v>
      </c>
      <c r="K1066" s="7" t="str">
        <f aca="false">IF($D1066="","",IFERROR(IF(INDEX(Hierarchy!$H$2:$H$1295,MATCH($D1066,Hierarchy!$A$2:$A$1295,0))="","",INDEX(Hierarchy!$H$2:$H$1295,MATCH($D1066,Hierarchy!$A$2:$A$1295,0))),"NODE NOT FOUND"))</f>
        <v>Montana</v>
      </c>
      <c r="L1066" s="7" t="str">
        <f aca="false">IF($D1066="","",IFERROR(IF(INDEX(Hierarchy!$I$2:$I$1295,MATCH($D1066,Hierarchy!$A$2:$A$1295,0))="","",INDEX(Hierarchy!$I$2:$I$1295,MATCH($D1066,Hierarchy!$A$2:$A$1295,0))),"NODE NOT FOUND"))</f>
        <v/>
      </c>
      <c r="M1066" s="17" t="str">
        <f aca="false">IF(B1066="Pre-seeded","Pre-seeded",IF(B1066="Review 2026-09-16","Added from review",IF(C1066="","New",IF(C1066=D1066,"","Changed"))))</f>
        <v/>
      </c>
      <c r="N1066" s="7" t="str">
        <f aca="false">TRIM(SUBSTITUTE(SUBSTITUTE(SUBSTITUTE(" "&amp;TRIM(SUBSTITUTE(SUBSTITUTE(SUBSTITUTE(SUBSTITUTE(SUBSTITUTE(SUBSTITUTE(SUBSTITUTE(SUBSTITUTE(SUBSTITUTE(SUBSTITUTE(SUBSTITUTE(SUBSTITUTE(SUBSTITUTE(SUBSTITUTE(SUBSTITUTE(UPPER(TRIM(A1066)),"[MEMBER]",""),"{MEMBER}",""),"[MEMBER}",""),"MEMBER]",""),"(A)",""),"""",""),"“",""),"”",""),".",""),":",""),",",""),"–"," "),"-"," "),"/"," "),"&amp;"," AND "))&amp;" "," THE "," ")," TOTAL "," ")," OPERATIONS "," "))</f>
        <v>MONTANA</v>
      </c>
      <c r="O1066" s="17" t="str">
        <f aca="false">IF(COUNTIFS($N$2:$N$2000,N1066,$D$2:$D$2000,"&lt;&gt;"&amp;D1066)&gt;0,"CONFLICT","")</f>
        <v/>
      </c>
      <c r="P1066" s="7"/>
    </row>
    <row r="1067" customFormat="false" ht="15" hidden="false" customHeight="false" outlineLevel="0" collapsed="false">
      <c r="A1067" s="7" t="s">
        <v>205</v>
      </c>
      <c r="B1067" s="7" t="s">
        <v>1882</v>
      </c>
      <c r="C1067" s="7" t="s">
        <v>205</v>
      </c>
      <c r="D1067" s="6" t="s">
        <v>205</v>
      </c>
      <c r="E1067" s="6" t="s">
        <v>1880</v>
      </c>
      <c r="F1067" s="7" t="str">
        <f aca="false">IF($D1067="","",IFERROR(IF(INDEX(Hierarchy!$B$2:$B$1295,MATCH($D1067,Hierarchy!$A$2:$A$1295,0))="","",INDEX(Hierarchy!$B$2:$B$1295,MATCH($D1067,Hierarchy!$A$2:$A$1295,0))),"NODE NOT FOUND"))</f>
        <v>State/Province</v>
      </c>
      <c r="G1067" s="7" t="str">
        <f aca="false">IF($D1067="","",IFERROR(IF(INDEX(Hierarchy!$D$2:$D$1295,MATCH($D1067,Hierarchy!$A$2:$A$1295,0))="","",INDEX(Hierarchy!$D$2:$D$1295,MATCH($D1067,Hierarchy!$A$2:$A$1295,0))),"NODE NOT FOUND"))</f>
        <v>AMER</v>
      </c>
      <c r="H1067" s="7" t="str">
        <f aca="false">IF($D1067="","",IFERROR(IF(INDEX(Hierarchy!$E$2:$E$1295,MATCH($D1067,Hierarchy!$A$2:$A$1295,0))="","",INDEX(Hierarchy!$E$2:$E$1295,MATCH($D1067,Hierarchy!$A$2:$A$1295,0))),"NODE NOT FOUND"))</f>
        <v>North America (NORAM)</v>
      </c>
      <c r="I1067" s="7" t="str">
        <f aca="false">IF($D1067="","",IFERROR(IF(INDEX(Hierarchy!$F$2:$F$1295,MATCH($D1067,Hierarchy!$A$2:$A$1295,0))="","",INDEX(Hierarchy!$F$2:$F$1295,MATCH($D1067,Hierarchy!$A$2:$A$1295,0))),"NODE NOT FOUND"))</f>
        <v>United States</v>
      </c>
      <c r="J1067" s="7" t="str">
        <f aca="false">IF($D1067="","",IFERROR(IF(INDEX(Hierarchy!$G$2:$G$1295,MATCH($D1067,Hierarchy!$A$2:$A$1295,0))="","",INDEX(Hierarchy!$G$2:$G$1295,MATCH($D1067,Hierarchy!$A$2:$A$1295,0))),"NODE NOT FOUND"))</f>
        <v>USA</v>
      </c>
      <c r="K1067" s="7" t="str">
        <f aca="false">IF($D1067="","",IFERROR(IF(INDEX(Hierarchy!$H$2:$H$1295,MATCH($D1067,Hierarchy!$A$2:$A$1295,0))="","",INDEX(Hierarchy!$H$2:$H$1295,MATCH($D1067,Hierarchy!$A$2:$A$1295,0))),"NODE NOT FOUND"))</f>
        <v>Montana</v>
      </c>
      <c r="L1067" s="7" t="str">
        <f aca="false">IF($D1067="","",IFERROR(IF(INDEX(Hierarchy!$I$2:$I$1295,MATCH($D1067,Hierarchy!$A$2:$A$1295,0))="","",INDEX(Hierarchy!$I$2:$I$1295,MATCH($D1067,Hierarchy!$A$2:$A$1295,0))),"NODE NOT FOUND"))</f>
        <v/>
      </c>
      <c r="M1067" s="17" t="str">
        <f aca="false">IF(B1067="Pre-seeded","Pre-seeded",IF(B1067="Review 2026-09-16","Added from review",IF(C1067="","New",IF(C1067=D1067,"","Changed"))))</f>
        <v/>
      </c>
      <c r="N1067" s="7" t="str">
        <f aca="false">TRIM(SUBSTITUTE(SUBSTITUTE(SUBSTITUTE(" "&amp;TRIM(SUBSTITUTE(SUBSTITUTE(SUBSTITUTE(SUBSTITUTE(SUBSTITUTE(SUBSTITUTE(SUBSTITUTE(SUBSTITUTE(SUBSTITUTE(SUBSTITUTE(SUBSTITUTE(SUBSTITUTE(SUBSTITUTE(SUBSTITUTE(SUBSTITUTE(UPPER(TRIM(A1067)),"[MEMBER]",""),"{MEMBER}",""),"[MEMBER}",""),"MEMBER]",""),"(A)",""),"""",""),"“",""),"”",""),".",""),":",""),",",""),"–"," "),"-"," "),"/"," "),"&amp;"," AND "))&amp;" "," THE "," ")," TOTAL "," ")," OPERATIONS "," "))</f>
        <v>MONTANA</v>
      </c>
      <c r="O1067" s="17" t="str">
        <f aca="false">IF(COUNTIFS($N$2:$N$2000,N1067,$D$2:$D$2000,"&lt;&gt;"&amp;D1067)&gt;0,"CONFLICT","")</f>
        <v/>
      </c>
      <c r="P1067" s="7"/>
    </row>
    <row r="1068" customFormat="false" ht="15" hidden="false" customHeight="false" outlineLevel="0" collapsed="false">
      <c r="A1068" s="7" t="s">
        <v>2415</v>
      </c>
      <c r="B1068" s="7" t="s">
        <v>1882</v>
      </c>
      <c r="C1068" s="7" t="s">
        <v>881</v>
      </c>
      <c r="D1068" s="6" t="s">
        <v>881</v>
      </c>
      <c r="E1068" s="6" t="s">
        <v>1880</v>
      </c>
      <c r="F1068" s="7" t="str">
        <f aca="false">IF($D1068="","",IFERROR(IF(INDEX(Hierarchy!$B$2:$B$1295,MATCH($D1068,Hierarchy!$A$2:$A$1295,0))="","",INDEX(Hierarchy!$B$2:$B$1295,MATCH($D1068,Hierarchy!$A$2:$A$1295,0))),"NODE NOT FOUND"))</f>
        <v>Country</v>
      </c>
      <c r="G1068" s="7" t="str">
        <f aca="false">IF($D1068="","",IFERROR(IF(INDEX(Hierarchy!$D$2:$D$1295,MATCH($D1068,Hierarchy!$A$2:$A$1295,0))="","",INDEX(Hierarchy!$D$2:$D$1295,MATCH($D1068,Hierarchy!$A$2:$A$1295,0))),"NODE NOT FOUND"))</f>
        <v>EMEA</v>
      </c>
      <c r="H1068" s="7" t="str">
        <f aca="false">IF($D1068="","",IFERROR(IF(INDEX(Hierarchy!$E$2:$E$1295,MATCH($D1068,Hierarchy!$A$2:$A$1295,0))="","",INDEX(Hierarchy!$E$2:$E$1295,MATCH($D1068,Hierarchy!$A$2:$A$1295,0))),"NODE NOT FOUND"))</f>
        <v>Europe</v>
      </c>
      <c r="I1068" s="7" t="str">
        <f aca="false">IF($D1068="","",IFERROR(IF(INDEX(Hierarchy!$F$2:$F$1295,MATCH($D1068,Hierarchy!$A$2:$A$1295,0))="","",INDEX(Hierarchy!$F$2:$F$1295,MATCH($D1068,Hierarchy!$A$2:$A$1295,0))),"NODE NOT FOUND"))</f>
        <v>Montenegro</v>
      </c>
      <c r="J1068" s="7" t="str">
        <f aca="false">IF($D1068="","",IFERROR(IF(INDEX(Hierarchy!$G$2:$G$1295,MATCH($D1068,Hierarchy!$A$2:$A$1295,0))="","",INDEX(Hierarchy!$G$2:$G$1295,MATCH($D1068,Hierarchy!$A$2:$A$1295,0))),"NODE NOT FOUND"))</f>
        <v>MNE</v>
      </c>
      <c r="K1068" s="7" t="str">
        <f aca="false">IF($D1068="","",IFERROR(IF(INDEX(Hierarchy!$H$2:$H$1295,MATCH($D1068,Hierarchy!$A$2:$A$1295,0))="","",INDEX(Hierarchy!$H$2:$H$1295,MATCH($D1068,Hierarchy!$A$2:$A$1295,0))),"NODE NOT FOUND"))</f>
        <v/>
      </c>
      <c r="L1068" s="7" t="str">
        <f aca="false">IF($D1068="","",IFERROR(IF(INDEX(Hierarchy!$I$2:$I$1295,MATCH($D1068,Hierarchy!$A$2:$A$1295,0))="","",INDEX(Hierarchy!$I$2:$I$1295,MATCH($D1068,Hierarchy!$A$2:$A$1295,0))),"NODE NOT FOUND"))</f>
        <v/>
      </c>
      <c r="M1068" s="17" t="str">
        <f aca="false">IF(B1068="Pre-seeded","Pre-seeded",IF(B1068="Review 2026-09-16","Added from review",IF(C1068="","New",IF(C1068=D1068,"","Changed"))))</f>
        <v/>
      </c>
      <c r="N1068" s="7" t="str">
        <f aca="false">TRIM(SUBSTITUTE(SUBSTITUTE(SUBSTITUTE(" "&amp;TRIM(SUBSTITUTE(SUBSTITUTE(SUBSTITUTE(SUBSTITUTE(SUBSTITUTE(SUBSTITUTE(SUBSTITUTE(SUBSTITUTE(SUBSTITUTE(SUBSTITUTE(SUBSTITUTE(SUBSTITUTE(SUBSTITUTE(SUBSTITUTE(SUBSTITUTE(UPPER(TRIM(A1068)),"[MEMBER]",""),"{MEMBER}",""),"[MEMBER}",""),"MEMBER]",""),"(A)",""),"""",""),"“",""),"”",""),".",""),":",""),",",""),"–"," "),"-"," "),"/"," "),"&amp;"," AND "))&amp;" "," THE "," ")," TOTAL "," ")," OPERATIONS "," "))</f>
        <v>MONTENEGRO</v>
      </c>
      <c r="O1068" s="17" t="str">
        <f aca="false">IF(COUNTIFS($N$2:$N$2000,N1068,$D$2:$D$2000,"&lt;&gt;"&amp;D1068)&gt;0,"CONFLICT","")</f>
        <v/>
      </c>
      <c r="P1068" s="7"/>
    </row>
    <row r="1069" customFormat="false" ht="15" hidden="false" customHeight="false" outlineLevel="0" collapsed="false">
      <c r="A1069" s="7" t="s">
        <v>2416</v>
      </c>
      <c r="B1069" s="7" t="s">
        <v>1905</v>
      </c>
      <c r="C1069" s="7" t="s">
        <v>1906</v>
      </c>
      <c r="D1069" s="6" t="s">
        <v>299</v>
      </c>
      <c r="E1069" s="6" t="s">
        <v>1880</v>
      </c>
      <c r="F1069" s="7" t="str">
        <f aca="false">IF($D1069="","",IFERROR(IF(INDEX(Hierarchy!$B$2:$B$1295,MATCH($D1069,Hierarchy!$A$2:$A$1295,0))="","",INDEX(Hierarchy!$B$2:$B$1295,MATCH($D1069,Hierarchy!$A$2:$A$1295,0))),"NODE NOT FOUND"))</f>
        <v>City</v>
      </c>
      <c r="G1069" s="7" t="str">
        <f aca="false">IF($D1069="","",IFERROR(IF(INDEX(Hierarchy!$D$2:$D$1295,MATCH($D1069,Hierarchy!$A$2:$A$1295,0))="","",INDEX(Hierarchy!$D$2:$D$1295,MATCH($D1069,Hierarchy!$A$2:$A$1295,0))),"NODE NOT FOUND"))</f>
        <v>AMER</v>
      </c>
      <c r="H1069" s="7" t="str">
        <f aca="false">IF($D1069="","",IFERROR(IF(INDEX(Hierarchy!$E$2:$E$1295,MATCH($D1069,Hierarchy!$A$2:$A$1295,0))="","",INDEX(Hierarchy!$E$2:$E$1295,MATCH($D1069,Hierarchy!$A$2:$A$1295,0))),"NODE NOT FOUND"))</f>
        <v>North America (NORAM)</v>
      </c>
      <c r="I1069" s="7" t="str">
        <f aca="false">IF($D1069="","",IFERROR(IF(INDEX(Hierarchy!$F$2:$F$1295,MATCH($D1069,Hierarchy!$A$2:$A$1295,0))="","",INDEX(Hierarchy!$F$2:$F$1295,MATCH($D1069,Hierarchy!$A$2:$A$1295,0))),"NODE NOT FOUND"))</f>
        <v>Canada</v>
      </c>
      <c r="J1069" s="7" t="str">
        <f aca="false">IF($D1069="","",IFERROR(IF(INDEX(Hierarchy!$G$2:$G$1295,MATCH($D1069,Hierarchy!$A$2:$A$1295,0))="","",INDEX(Hierarchy!$G$2:$G$1295,MATCH($D1069,Hierarchy!$A$2:$A$1295,0))),"NODE NOT FOUND"))</f>
        <v>CAN</v>
      </c>
      <c r="K1069" s="7" t="str">
        <f aca="false">IF($D1069="","",IFERROR(IF(INDEX(Hierarchy!$H$2:$H$1295,MATCH($D1069,Hierarchy!$A$2:$A$1295,0))="","",INDEX(Hierarchy!$H$2:$H$1295,MATCH($D1069,Hierarchy!$A$2:$A$1295,0))),"NODE NOT FOUND"))</f>
        <v>Quebec</v>
      </c>
      <c r="L1069" s="7" t="str">
        <f aca="false">IF($D1069="","",IFERROR(IF(INDEX(Hierarchy!$I$2:$I$1295,MATCH($D1069,Hierarchy!$A$2:$A$1295,0))="","",INDEX(Hierarchy!$I$2:$I$1295,MATCH($D1069,Hierarchy!$A$2:$A$1295,0))),"NODE NOT FOUND"))</f>
        <v>Montreal</v>
      </c>
      <c r="M1069" s="17" t="str">
        <f aca="false">IF(B1069="Pre-seeded","Pre-seeded",IF(B1069="Review 2026-09-16","Added from review",IF(C1069="","New",IF(C1069=D1069,"","Changed"))))</f>
        <v>Changed</v>
      </c>
      <c r="N1069" s="7" t="str">
        <f aca="false">TRIM(SUBSTITUTE(SUBSTITUTE(SUBSTITUTE(" "&amp;TRIM(SUBSTITUTE(SUBSTITUTE(SUBSTITUTE(SUBSTITUTE(SUBSTITUTE(SUBSTITUTE(SUBSTITUTE(SUBSTITUTE(SUBSTITUTE(SUBSTITUTE(SUBSTITUTE(SUBSTITUTE(SUBSTITUTE(SUBSTITUTE(SUBSTITUTE(UPPER(TRIM(A1069)),"[MEMBER]",""),"{MEMBER}",""),"[MEMBER}",""),"MEMBER]",""),"(A)",""),"""",""),"“",""),"”",""),".",""),":",""),",",""),"–"," "),"-"," "),"/"," "),"&amp;"," AND "))&amp;" "," THE "," ")," TOTAL "," ")," OPERATIONS "," "))</f>
        <v>MONTREAL BREWERY</v>
      </c>
      <c r="O1069" s="17" t="str">
        <f aca="false">IF(COUNTIFS($N$2:$N$2000,N1069,$D$2:$D$2000,"&lt;&gt;"&amp;D1069)&gt;0,"CONFLICT","")</f>
        <v/>
      </c>
      <c r="P1069" s="7" t="s">
        <v>2287</v>
      </c>
    </row>
    <row r="1070" customFormat="false" ht="15" hidden="false" customHeight="false" outlineLevel="0" collapsed="false">
      <c r="A1070" s="7" t="s">
        <v>577</v>
      </c>
      <c r="B1070" s="7" t="s">
        <v>1879</v>
      </c>
      <c r="C1070" s="7"/>
      <c r="D1070" s="6" t="s">
        <v>577</v>
      </c>
      <c r="E1070" s="6" t="s">
        <v>1880</v>
      </c>
      <c r="F1070" s="7" t="str">
        <f aca="false">IF($D1070="","",IFERROR(IF(INDEX(Hierarchy!$B$2:$B$1295,MATCH($D1070,Hierarchy!$A$2:$A$1295,0))="","",INDEX(Hierarchy!$B$2:$B$1295,MATCH($D1070,Hierarchy!$A$2:$A$1295,0))),"NODE NOT FOUND"))</f>
        <v>Country</v>
      </c>
      <c r="G1070" s="7" t="str">
        <f aca="false">IF($D1070="","",IFERROR(IF(INDEX(Hierarchy!$D$2:$D$1295,MATCH($D1070,Hierarchy!$A$2:$A$1295,0))="","",INDEX(Hierarchy!$D$2:$D$1295,MATCH($D1070,Hierarchy!$A$2:$A$1295,0))),"NODE NOT FOUND"))</f>
        <v>AMER</v>
      </c>
      <c r="H1070" s="7" t="str">
        <f aca="false">IF($D1070="","",IFERROR(IF(INDEX(Hierarchy!$E$2:$E$1295,MATCH($D1070,Hierarchy!$A$2:$A$1295,0))="","",INDEX(Hierarchy!$E$2:$E$1295,MATCH($D1070,Hierarchy!$A$2:$A$1295,0))),"NODE NOT FOUND"))</f>
        <v>Latin America (LATAM)</v>
      </c>
      <c r="I1070" s="7" t="str">
        <f aca="false">IF($D1070="","",IFERROR(IF(INDEX(Hierarchy!$F$2:$F$1295,MATCH($D1070,Hierarchy!$A$2:$A$1295,0))="","",INDEX(Hierarchy!$F$2:$F$1295,MATCH($D1070,Hierarchy!$A$2:$A$1295,0))),"NODE NOT FOUND"))</f>
        <v>Montserrat</v>
      </c>
      <c r="J1070" s="7" t="str">
        <f aca="false">IF($D1070="","",IFERROR(IF(INDEX(Hierarchy!$G$2:$G$1295,MATCH($D1070,Hierarchy!$A$2:$A$1295,0))="","",INDEX(Hierarchy!$G$2:$G$1295,MATCH($D1070,Hierarchy!$A$2:$A$1295,0))),"NODE NOT FOUND"))</f>
        <v>MSR</v>
      </c>
      <c r="K1070" s="7" t="str">
        <f aca="false">IF($D1070="","",IFERROR(IF(INDEX(Hierarchy!$H$2:$H$1295,MATCH($D1070,Hierarchy!$A$2:$A$1295,0))="","",INDEX(Hierarchy!$H$2:$H$1295,MATCH($D1070,Hierarchy!$A$2:$A$1295,0))),"NODE NOT FOUND"))</f>
        <v/>
      </c>
      <c r="L1070" s="7" t="str">
        <f aca="false">IF($D1070="","",IFERROR(IF(INDEX(Hierarchy!$I$2:$I$1295,MATCH($D1070,Hierarchy!$A$2:$A$1295,0))="","",INDEX(Hierarchy!$I$2:$I$1295,MATCH($D1070,Hierarchy!$A$2:$A$1295,0))),"NODE NOT FOUND"))</f>
        <v/>
      </c>
      <c r="M1070" s="17" t="str">
        <f aca="false">IF(B1070="Pre-seeded","Pre-seeded",IF(B1070="Review 2026-09-16","Added from review",IF(C1070="","New",IF(C1070=D1070,"","Changed"))))</f>
        <v>Pre-seeded</v>
      </c>
      <c r="N1070" s="7" t="str">
        <f aca="false">TRIM(SUBSTITUTE(SUBSTITUTE(SUBSTITUTE(" "&amp;TRIM(SUBSTITUTE(SUBSTITUTE(SUBSTITUTE(SUBSTITUTE(SUBSTITUTE(SUBSTITUTE(SUBSTITUTE(SUBSTITUTE(SUBSTITUTE(SUBSTITUTE(SUBSTITUTE(SUBSTITUTE(SUBSTITUTE(SUBSTITUTE(SUBSTITUTE(UPPER(TRIM(A1070)),"[MEMBER]",""),"{MEMBER}",""),"[MEMBER}",""),"MEMBER]",""),"(A)",""),"""",""),"“",""),"”",""),".",""),":",""),",",""),"–"," "),"-"," "),"/"," "),"&amp;"," AND "))&amp;" "," THE "," ")," TOTAL "," ")," OPERATIONS "," "))</f>
        <v>MONTSERRAT</v>
      </c>
      <c r="O1070" s="17" t="str">
        <f aca="false">IF(COUNTIFS($N$2:$N$2000,N1070,$D$2:$D$2000,"&lt;&gt;"&amp;D1070)&gt;0,"CONFLICT","")</f>
        <v/>
      </c>
      <c r="P1070" s="7"/>
    </row>
    <row r="1071" customFormat="false" ht="15" hidden="false" customHeight="false" outlineLevel="0" collapsed="false">
      <c r="A1071" s="7" t="s">
        <v>401</v>
      </c>
      <c r="B1071" s="7" t="s">
        <v>1879</v>
      </c>
      <c r="C1071" s="7"/>
      <c r="D1071" s="6" t="s">
        <v>401</v>
      </c>
      <c r="E1071" s="6" t="s">
        <v>1880</v>
      </c>
      <c r="F1071" s="7" t="str">
        <f aca="false">IF($D1071="","",IFERROR(IF(INDEX(Hierarchy!$B$2:$B$1295,MATCH($D1071,Hierarchy!$A$2:$A$1295,0))="","",INDEX(Hierarchy!$B$2:$B$1295,MATCH($D1071,Hierarchy!$A$2:$A$1295,0))),"NODE NOT FOUND"))</f>
        <v>State/Province</v>
      </c>
      <c r="G1071" s="7" t="str">
        <f aca="false">IF($D1071="","",IFERROR(IF(INDEX(Hierarchy!$D$2:$D$1295,MATCH($D1071,Hierarchy!$A$2:$A$1295,0))="","",INDEX(Hierarchy!$D$2:$D$1295,MATCH($D1071,Hierarchy!$A$2:$A$1295,0))),"NODE NOT FOUND"))</f>
        <v>AMER</v>
      </c>
      <c r="H1071" s="7" t="str">
        <f aca="false">IF($D1071="","",IFERROR(IF(INDEX(Hierarchy!$E$2:$E$1295,MATCH($D1071,Hierarchy!$A$2:$A$1295,0))="","",INDEX(Hierarchy!$E$2:$E$1295,MATCH($D1071,Hierarchy!$A$2:$A$1295,0))),"NODE NOT FOUND"))</f>
        <v>Latin America (LATAM)</v>
      </c>
      <c r="I1071" s="7" t="str">
        <f aca="false">IF($D1071="","",IFERROR(IF(INDEX(Hierarchy!$F$2:$F$1295,MATCH($D1071,Hierarchy!$A$2:$A$1295,0))="","",INDEX(Hierarchy!$F$2:$F$1295,MATCH($D1071,Hierarchy!$A$2:$A$1295,0))),"NODE NOT FOUND"))</f>
        <v>Mexico</v>
      </c>
      <c r="J1071" s="7" t="str">
        <f aca="false">IF($D1071="","",IFERROR(IF(INDEX(Hierarchy!$G$2:$G$1295,MATCH($D1071,Hierarchy!$A$2:$A$1295,0))="","",INDEX(Hierarchy!$G$2:$G$1295,MATCH($D1071,Hierarchy!$A$2:$A$1295,0))),"NODE NOT FOUND"))</f>
        <v>MEX</v>
      </c>
      <c r="K1071" s="7" t="str">
        <f aca="false">IF($D1071="","",IFERROR(IF(INDEX(Hierarchy!$H$2:$H$1295,MATCH($D1071,Hierarchy!$A$2:$A$1295,0))="","",INDEX(Hierarchy!$H$2:$H$1295,MATCH($D1071,Hierarchy!$A$2:$A$1295,0))),"NODE NOT FOUND"))</f>
        <v>Morelos</v>
      </c>
      <c r="L1071" s="7" t="str">
        <f aca="false">IF($D1071="","",IFERROR(IF(INDEX(Hierarchy!$I$2:$I$1295,MATCH($D1071,Hierarchy!$A$2:$A$1295,0))="","",INDEX(Hierarchy!$I$2:$I$1295,MATCH($D1071,Hierarchy!$A$2:$A$1295,0))),"NODE NOT FOUND"))</f>
        <v/>
      </c>
      <c r="M1071" s="17" t="str">
        <f aca="false">IF(B1071="Pre-seeded","Pre-seeded",IF(B1071="Review 2026-09-16","Added from review",IF(C1071="","New",IF(C1071=D1071,"","Changed"))))</f>
        <v>Pre-seeded</v>
      </c>
      <c r="N1071" s="7" t="str">
        <f aca="false">TRIM(SUBSTITUTE(SUBSTITUTE(SUBSTITUTE(" "&amp;TRIM(SUBSTITUTE(SUBSTITUTE(SUBSTITUTE(SUBSTITUTE(SUBSTITUTE(SUBSTITUTE(SUBSTITUTE(SUBSTITUTE(SUBSTITUTE(SUBSTITUTE(SUBSTITUTE(SUBSTITUTE(SUBSTITUTE(SUBSTITUTE(SUBSTITUTE(UPPER(TRIM(A1071)),"[MEMBER]",""),"{MEMBER}",""),"[MEMBER}",""),"MEMBER]",""),"(A)",""),"""",""),"“",""),"”",""),".",""),":",""),",",""),"–"," "),"-"," "),"/"," "),"&amp;"," AND "))&amp;" "," THE "," ")," TOTAL "," ")," OPERATIONS "," "))</f>
        <v>MORELOS</v>
      </c>
      <c r="O1071" s="17" t="str">
        <f aca="false">IF(COUNTIFS($N$2:$N$2000,N1071,$D$2:$D$2000,"&lt;&gt;"&amp;D1071)&gt;0,"CONFLICT","")</f>
        <v/>
      </c>
      <c r="P1071" s="7"/>
    </row>
    <row r="1072" customFormat="false" ht="15" hidden="false" customHeight="false" outlineLevel="0" collapsed="false">
      <c r="A1072" s="7" t="s">
        <v>1262</v>
      </c>
      <c r="B1072" s="7" t="s">
        <v>1882</v>
      </c>
      <c r="C1072" s="7" t="s">
        <v>1262</v>
      </c>
      <c r="D1072" s="6" t="s">
        <v>1262</v>
      </c>
      <c r="E1072" s="6" t="s">
        <v>1880</v>
      </c>
      <c r="F1072" s="7" t="str">
        <f aca="false">IF($D1072="","",IFERROR(IF(INDEX(Hierarchy!$B$2:$B$1295,MATCH($D1072,Hierarchy!$A$2:$A$1295,0))="","",INDEX(Hierarchy!$B$2:$B$1295,MATCH($D1072,Hierarchy!$A$2:$A$1295,0))),"NODE NOT FOUND"))</f>
        <v>Country</v>
      </c>
      <c r="G1072" s="7" t="str">
        <f aca="false">IF($D1072="","",IFERROR(IF(INDEX(Hierarchy!$D$2:$D$1295,MATCH($D1072,Hierarchy!$A$2:$A$1295,0))="","",INDEX(Hierarchy!$D$2:$D$1295,MATCH($D1072,Hierarchy!$A$2:$A$1295,0))),"NODE NOT FOUND"))</f>
        <v>EMEA</v>
      </c>
      <c r="H1072" s="7" t="str">
        <f aca="false">IF($D1072="","",IFERROR(IF(INDEX(Hierarchy!$E$2:$E$1295,MATCH($D1072,Hierarchy!$A$2:$A$1295,0))="","",INDEX(Hierarchy!$E$2:$E$1295,MATCH($D1072,Hierarchy!$A$2:$A$1295,0))),"NODE NOT FOUND"))</f>
        <v>Africa</v>
      </c>
      <c r="I1072" s="7" t="str">
        <f aca="false">IF($D1072="","",IFERROR(IF(INDEX(Hierarchy!$F$2:$F$1295,MATCH($D1072,Hierarchy!$A$2:$A$1295,0))="","",INDEX(Hierarchy!$F$2:$F$1295,MATCH($D1072,Hierarchy!$A$2:$A$1295,0))),"NODE NOT FOUND"))</f>
        <v>Morocco</v>
      </c>
      <c r="J1072" s="7" t="str">
        <f aca="false">IF($D1072="","",IFERROR(IF(INDEX(Hierarchy!$G$2:$G$1295,MATCH($D1072,Hierarchy!$A$2:$A$1295,0))="","",INDEX(Hierarchy!$G$2:$G$1295,MATCH($D1072,Hierarchy!$A$2:$A$1295,0))),"NODE NOT FOUND"))</f>
        <v>MAR</v>
      </c>
      <c r="K1072" s="7" t="str">
        <f aca="false">IF($D1072="","",IFERROR(IF(INDEX(Hierarchy!$H$2:$H$1295,MATCH($D1072,Hierarchy!$A$2:$A$1295,0))="","",INDEX(Hierarchy!$H$2:$H$1295,MATCH($D1072,Hierarchy!$A$2:$A$1295,0))),"NODE NOT FOUND"))</f>
        <v/>
      </c>
      <c r="L1072" s="7" t="str">
        <f aca="false">IF($D1072="","",IFERROR(IF(INDEX(Hierarchy!$I$2:$I$1295,MATCH($D1072,Hierarchy!$A$2:$A$1295,0))="","",INDEX(Hierarchy!$I$2:$I$1295,MATCH($D1072,Hierarchy!$A$2:$A$1295,0))),"NODE NOT FOUND"))</f>
        <v/>
      </c>
      <c r="M1072" s="17" t="str">
        <f aca="false">IF(B1072="Pre-seeded","Pre-seeded",IF(B1072="Review 2026-09-16","Added from review",IF(C1072="","New",IF(C1072=D1072,"","Changed"))))</f>
        <v/>
      </c>
      <c r="N1072" s="7" t="str">
        <f aca="false">TRIM(SUBSTITUTE(SUBSTITUTE(SUBSTITUTE(" "&amp;TRIM(SUBSTITUTE(SUBSTITUTE(SUBSTITUTE(SUBSTITUTE(SUBSTITUTE(SUBSTITUTE(SUBSTITUTE(SUBSTITUTE(SUBSTITUTE(SUBSTITUTE(SUBSTITUTE(SUBSTITUTE(SUBSTITUTE(SUBSTITUTE(SUBSTITUTE(UPPER(TRIM(A1072)),"[MEMBER]",""),"{MEMBER}",""),"[MEMBER}",""),"MEMBER]",""),"(A)",""),"""",""),"“",""),"”",""),".",""),":",""),",",""),"–"," "),"-"," "),"/"," "),"&amp;"," AND "))&amp;" "," THE "," ")," TOTAL "," ")," OPERATIONS "," "))</f>
        <v>MOROCCO</v>
      </c>
      <c r="O1072" s="17" t="str">
        <f aca="false">IF(COUNTIFS($N$2:$N$2000,N1072,$D$2:$D$2000,"&lt;&gt;"&amp;D1072)&gt;0,"CONFLICT","")</f>
        <v/>
      </c>
      <c r="P1072" s="7"/>
    </row>
    <row r="1073" customFormat="false" ht="15" hidden="false" customHeight="false" outlineLevel="0" collapsed="false">
      <c r="A1073" s="7" t="s">
        <v>2417</v>
      </c>
      <c r="B1073" s="7" t="s">
        <v>1885</v>
      </c>
      <c r="C1073" s="7" t="s">
        <v>205</v>
      </c>
      <c r="D1073" s="6" t="s">
        <v>101</v>
      </c>
      <c r="E1073" s="6" t="s">
        <v>1880</v>
      </c>
      <c r="F1073" s="7" t="str">
        <f aca="false">IF($D1073="","",IFERROR(IF(INDEX(Hierarchy!$B$2:$B$1295,MATCH($D1073,Hierarchy!$A$2:$A$1295,0))="","",INDEX(Hierarchy!$B$2:$B$1295,MATCH($D1073,Hierarchy!$A$2:$A$1295,0))),"NODE NOT FOUND"))</f>
        <v>Sub-national region</v>
      </c>
      <c r="G1073" s="7" t="str">
        <f aca="false">IF($D1073="","",IFERROR(IF(INDEX(Hierarchy!$D$2:$D$1295,MATCH($D1073,Hierarchy!$A$2:$A$1295,0))="","",INDEX(Hierarchy!$D$2:$D$1295,MATCH($D1073,Hierarchy!$A$2:$A$1295,0))),"NODE NOT FOUND"))</f>
        <v>AMER</v>
      </c>
      <c r="H1073" s="7" t="str">
        <f aca="false">IF($D1073="","",IFERROR(IF(INDEX(Hierarchy!$E$2:$E$1295,MATCH($D1073,Hierarchy!$A$2:$A$1295,0))="","",INDEX(Hierarchy!$E$2:$E$1295,MATCH($D1073,Hierarchy!$A$2:$A$1295,0))),"NODE NOT FOUND"))</f>
        <v>North America (NORAM)</v>
      </c>
      <c r="I1073" s="7" t="str">
        <f aca="false">IF($D1073="","",IFERROR(IF(INDEX(Hierarchy!$F$2:$F$1295,MATCH($D1073,Hierarchy!$A$2:$A$1295,0))="","",INDEX(Hierarchy!$F$2:$F$1295,MATCH($D1073,Hierarchy!$A$2:$A$1295,0))),"NODE NOT FOUND"))</f>
        <v>United States</v>
      </c>
      <c r="J1073" s="7" t="str">
        <f aca="false">IF($D1073="","",IFERROR(IF(INDEX(Hierarchy!$G$2:$G$1295,MATCH($D1073,Hierarchy!$A$2:$A$1295,0))="","",INDEX(Hierarchy!$G$2:$G$1295,MATCH($D1073,Hierarchy!$A$2:$A$1295,0))),"NODE NOT FOUND"))</f>
        <v>USA</v>
      </c>
      <c r="K1073" s="7" t="str">
        <f aca="false">IF($D1073="","",IFERROR(IF(INDEX(Hierarchy!$H$2:$H$1295,MATCH($D1073,Hierarchy!$A$2:$A$1295,0))="","",INDEX(Hierarchy!$H$2:$H$1295,MATCH($D1073,Hierarchy!$A$2:$A$1295,0))),"NODE NOT FOUND"))</f>
        <v/>
      </c>
      <c r="L1073" s="7" t="str">
        <f aca="false">IF($D1073="","",IFERROR(IF(INDEX(Hierarchy!$I$2:$I$1295,MATCH($D1073,Hierarchy!$A$2:$A$1295,0))="","",INDEX(Hierarchy!$I$2:$I$1295,MATCH($D1073,Hierarchy!$A$2:$A$1295,0))),"NODE NOT FOUND"))</f>
        <v/>
      </c>
      <c r="M1073" s="17" t="str">
        <f aca="false">IF(B1073="Pre-seeded","Pre-seeded",IF(B1073="Review 2026-09-16","Added from review",IF(C1073="","New",IF(C1073=D1073,"","Changed"))))</f>
        <v>Changed</v>
      </c>
      <c r="N1073" s="7" t="str">
        <f aca="false">TRIM(SUBSTITUTE(SUBSTITUTE(SUBSTITUTE(" "&amp;TRIM(SUBSTITUTE(SUBSTITUTE(SUBSTITUTE(SUBSTITUTE(SUBSTITUTE(SUBSTITUTE(SUBSTITUTE(SUBSTITUTE(SUBSTITUTE(SUBSTITUTE(SUBSTITUTE(SUBSTITUTE(SUBSTITUTE(SUBSTITUTE(SUBSTITUTE(UPPER(TRIM(A1073)),"[MEMBER]",""),"{MEMBER}",""),"[MEMBER}",""),"MEMBER]",""),"(A)",""),"""",""),"“",""),"”",""),".",""),":",""),",",""),"–"," "),"-"," "),"/"," "),"&amp;"," AND "))&amp;" "," THE "," ")," TOTAL "," ")," OPERATIONS "," "))</f>
        <v>MOUNTAIN</v>
      </c>
      <c r="O1073" s="17" t="str">
        <f aca="false">IF(COUNTIFS($N$2:$N$2000,N1073,$D$2:$D$2000,"&lt;&gt;"&amp;D1073)&gt;0,"CONFLICT","")</f>
        <v/>
      </c>
      <c r="P1073" s="7" t="s">
        <v>2418</v>
      </c>
    </row>
    <row r="1074" customFormat="false" ht="15" hidden="false" customHeight="false" outlineLevel="0" collapsed="false">
      <c r="A1074" s="7" t="s">
        <v>2419</v>
      </c>
      <c r="B1074" s="7" t="s">
        <v>1879</v>
      </c>
      <c r="C1074" s="7"/>
      <c r="D1074" s="6" t="s">
        <v>101</v>
      </c>
      <c r="E1074" s="6" t="s">
        <v>1880</v>
      </c>
      <c r="F1074" s="7" t="str">
        <f aca="false">IF($D1074="","",IFERROR(IF(INDEX(Hierarchy!$B$2:$B$1295,MATCH($D1074,Hierarchy!$A$2:$A$1295,0))="","",INDEX(Hierarchy!$B$2:$B$1295,MATCH($D1074,Hierarchy!$A$2:$A$1295,0))),"NODE NOT FOUND"))</f>
        <v>Sub-national region</v>
      </c>
      <c r="G1074" s="7" t="str">
        <f aca="false">IF($D1074="","",IFERROR(IF(INDEX(Hierarchy!$D$2:$D$1295,MATCH($D1074,Hierarchy!$A$2:$A$1295,0))="","",INDEX(Hierarchy!$D$2:$D$1295,MATCH($D1074,Hierarchy!$A$2:$A$1295,0))),"NODE NOT FOUND"))</f>
        <v>AMER</v>
      </c>
      <c r="H1074" s="7" t="str">
        <f aca="false">IF($D1074="","",IFERROR(IF(INDEX(Hierarchy!$E$2:$E$1295,MATCH($D1074,Hierarchy!$A$2:$A$1295,0))="","",INDEX(Hierarchy!$E$2:$E$1295,MATCH($D1074,Hierarchy!$A$2:$A$1295,0))),"NODE NOT FOUND"))</f>
        <v>North America (NORAM)</v>
      </c>
      <c r="I1074" s="7" t="str">
        <f aca="false">IF($D1074="","",IFERROR(IF(INDEX(Hierarchy!$F$2:$F$1295,MATCH($D1074,Hierarchy!$A$2:$A$1295,0))="","",INDEX(Hierarchy!$F$2:$F$1295,MATCH($D1074,Hierarchy!$A$2:$A$1295,0))),"NODE NOT FOUND"))</f>
        <v>United States</v>
      </c>
      <c r="J1074" s="7" t="str">
        <f aca="false">IF($D1074="","",IFERROR(IF(INDEX(Hierarchy!$G$2:$G$1295,MATCH($D1074,Hierarchy!$A$2:$A$1295,0))="","",INDEX(Hierarchy!$G$2:$G$1295,MATCH($D1074,Hierarchy!$A$2:$A$1295,0))),"NODE NOT FOUND"))</f>
        <v>USA</v>
      </c>
      <c r="K1074" s="7" t="str">
        <f aca="false">IF($D1074="","",IFERROR(IF(INDEX(Hierarchy!$H$2:$H$1295,MATCH($D1074,Hierarchy!$A$2:$A$1295,0))="","",INDEX(Hierarchy!$H$2:$H$1295,MATCH($D1074,Hierarchy!$A$2:$A$1295,0))),"NODE NOT FOUND"))</f>
        <v/>
      </c>
      <c r="L1074" s="7" t="str">
        <f aca="false">IF($D1074="","",IFERROR(IF(INDEX(Hierarchy!$I$2:$I$1295,MATCH($D1074,Hierarchy!$A$2:$A$1295,0))="","",INDEX(Hierarchy!$I$2:$I$1295,MATCH($D1074,Hierarchy!$A$2:$A$1295,0))),"NODE NOT FOUND"))</f>
        <v/>
      </c>
      <c r="M1074" s="17" t="str">
        <f aca="false">IF(B1074="Pre-seeded","Pre-seeded",IF(B1074="Review 2026-09-16","Added from review",IF(C1074="","New",IF(C1074=D1074,"","Changed"))))</f>
        <v>Pre-seeded</v>
      </c>
      <c r="N1074" s="7" t="str">
        <f aca="false">TRIM(SUBSTITUTE(SUBSTITUTE(SUBSTITUTE(" "&amp;TRIM(SUBSTITUTE(SUBSTITUTE(SUBSTITUTE(SUBSTITUTE(SUBSTITUTE(SUBSTITUTE(SUBSTITUTE(SUBSTITUTE(SUBSTITUTE(SUBSTITUTE(SUBSTITUTE(SUBSTITUTE(SUBSTITUTE(SUBSTITUTE(SUBSTITUTE(UPPER(TRIM(A1074)),"[MEMBER]",""),"{MEMBER}",""),"[MEMBER}",""),"MEMBER]",""),"(A)",""),"""",""),"“",""),"”",""),".",""),":",""),",",""),"–"," "),"-"," "),"/"," "),"&amp;"," AND "))&amp;" "," THE "," ")," TOTAL "," ")," OPERATIONS "," "))</f>
        <v>MOUNTAIN WEST</v>
      </c>
      <c r="O1074" s="17" t="str">
        <f aca="false">IF(COUNTIFS($N$2:$N$2000,N1074,$D$2:$D$2000,"&lt;&gt;"&amp;D1074)&gt;0,"CONFLICT","")</f>
        <v/>
      </c>
      <c r="P1074" s="7"/>
    </row>
    <row r="1075" customFormat="false" ht="15" hidden="false" customHeight="false" outlineLevel="0" collapsed="false">
      <c r="A1075" s="7" t="s">
        <v>1265</v>
      </c>
      <c r="B1075" s="7" t="s">
        <v>1882</v>
      </c>
      <c r="C1075" s="7" t="s">
        <v>1265</v>
      </c>
      <c r="D1075" s="6" t="s">
        <v>1265</v>
      </c>
      <c r="E1075" s="6" t="s">
        <v>1880</v>
      </c>
      <c r="F1075" s="7" t="str">
        <f aca="false">IF($D1075="","",IFERROR(IF(INDEX(Hierarchy!$B$2:$B$1295,MATCH($D1075,Hierarchy!$A$2:$A$1295,0))="","",INDEX(Hierarchy!$B$2:$B$1295,MATCH($D1075,Hierarchy!$A$2:$A$1295,0))),"NODE NOT FOUND"))</f>
        <v>Country</v>
      </c>
      <c r="G1075" s="7" t="str">
        <f aca="false">IF($D1075="","",IFERROR(IF(INDEX(Hierarchy!$D$2:$D$1295,MATCH($D1075,Hierarchy!$A$2:$A$1295,0))="","",INDEX(Hierarchy!$D$2:$D$1295,MATCH($D1075,Hierarchy!$A$2:$A$1295,0))),"NODE NOT FOUND"))</f>
        <v>EMEA</v>
      </c>
      <c r="H1075" s="7" t="str">
        <f aca="false">IF($D1075="","",IFERROR(IF(INDEX(Hierarchy!$E$2:$E$1295,MATCH($D1075,Hierarchy!$A$2:$A$1295,0))="","",INDEX(Hierarchy!$E$2:$E$1295,MATCH($D1075,Hierarchy!$A$2:$A$1295,0))),"NODE NOT FOUND"))</f>
        <v>Africa</v>
      </c>
      <c r="I1075" s="7" t="str">
        <f aca="false">IF($D1075="","",IFERROR(IF(INDEX(Hierarchy!$F$2:$F$1295,MATCH($D1075,Hierarchy!$A$2:$A$1295,0))="","",INDEX(Hierarchy!$F$2:$F$1295,MATCH($D1075,Hierarchy!$A$2:$A$1295,0))),"NODE NOT FOUND"))</f>
        <v>Mozambique</v>
      </c>
      <c r="J1075" s="7" t="str">
        <f aca="false">IF($D1075="","",IFERROR(IF(INDEX(Hierarchy!$G$2:$G$1295,MATCH($D1075,Hierarchy!$A$2:$A$1295,0))="","",INDEX(Hierarchy!$G$2:$G$1295,MATCH($D1075,Hierarchy!$A$2:$A$1295,0))),"NODE NOT FOUND"))</f>
        <v>MOZ</v>
      </c>
      <c r="K1075" s="7" t="str">
        <f aca="false">IF($D1075="","",IFERROR(IF(INDEX(Hierarchy!$H$2:$H$1295,MATCH($D1075,Hierarchy!$A$2:$A$1295,0))="","",INDEX(Hierarchy!$H$2:$H$1295,MATCH($D1075,Hierarchy!$A$2:$A$1295,0))),"NODE NOT FOUND"))</f>
        <v/>
      </c>
      <c r="L1075" s="7" t="str">
        <f aca="false">IF($D1075="","",IFERROR(IF(INDEX(Hierarchy!$I$2:$I$1295,MATCH($D1075,Hierarchy!$A$2:$A$1295,0))="","",INDEX(Hierarchy!$I$2:$I$1295,MATCH($D1075,Hierarchy!$A$2:$A$1295,0))),"NODE NOT FOUND"))</f>
        <v/>
      </c>
      <c r="M1075" s="17" t="str">
        <f aca="false">IF(B1075="Pre-seeded","Pre-seeded",IF(B1075="Review 2026-09-16","Added from review",IF(C1075="","New",IF(C1075=D1075,"","Changed"))))</f>
        <v/>
      </c>
      <c r="N1075" s="7" t="str">
        <f aca="false">TRIM(SUBSTITUTE(SUBSTITUTE(SUBSTITUTE(" "&amp;TRIM(SUBSTITUTE(SUBSTITUTE(SUBSTITUTE(SUBSTITUTE(SUBSTITUTE(SUBSTITUTE(SUBSTITUTE(SUBSTITUTE(SUBSTITUTE(SUBSTITUTE(SUBSTITUTE(SUBSTITUTE(SUBSTITUTE(SUBSTITUTE(SUBSTITUTE(UPPER(TRIM(A1075)),"[MEMBER]",""),"{MEMBER}",""),"[MEMBER}",""),"MEMBER]",""),"(A)",""),"""",""),"“",""),"”",""),".",""),":",""),",",""),"–"," "),"-"," "),"/"," "),"&amp;"," AND "))&amp;" "," THE "," ")," TOTAL "," ")," OPERATIONS "," "))</f>
        <v>MOZAMBIQUE</v>
      </c>
      <c r="O1075" s="17" t="str">
        <f aca="false">IF(COUNTIFS($N$2:$N$2000,N1075,$D$2:$D$2000,"&lt;&gt;"&amp;D1075)&gt;0,"CONFLICT","")</f>
        <v/>
      </c>
      <c r="P1075" s="7"/>
    </row>
    <row r="1076" customFormat="false" ht="15" hidden="false" customHeight="false" outlineLevel="0" collapsed="false">
      <c r="A1076" s="7" t="s">
        <v>1123</v>
      </c>
      <c r="B1076" s="7" t="s">
        <v>1879</v>
      </c>
      <c r="C1076" s="7"/>
      <c r="D1076" s="6" t="s">
        <v>1123</v>
      </c>
      <c r="E1076" s="6" t="s">
        <v>1880</v>
      </c>
      <c r="F1076" s="7" t="str">
        <f aca="false">IF($D1076="","",IFERROR(IF(INDEX(Hierarchy!$B$2:$B$1295,MATCH($D1076,Hierarchy!$A$2:$A$1295,0))="","",INDEX(Hierarchy!$B$2:$B$1295,MATCH($D1076,Hierarchy!$A$2:$A$1295,0))),"NODE NOT FOUND"))</f>
        <v>State/Province</v>
      </c>
      <c r="G1076" s="7" t="str">
        <f aca="false">IF($D1076="","",IFERROR(IF(INDEX(Hierarchy!$D$2:$D$1295,MATCH($D1076,Hierarchy!$A$2:$A$1295,0))="","",INDEX(Hierarchy!$D$2:$D$1295,MATCH($D1076,Hierarchy!$A$2:$A$1295,0))),"NODE NOT FOUND"))</f>
        <v>EMEA</v>
      </c>
      <c r="H1076" s="7" t="str">
        <f aca="false">IF($D1076="","",IFERROR(IF(INDEX(Hierarchy!$E$2:$E$1295,MATCH($D1076,Hierarchy!$A$2:$A$1295,0))="","",INDEX(Hierarchy!$E$2:$E$1295,MATCH($D1076,Hierarchy!$A$2:$A$1295,0))),"NODE NOT FOUND"))</f>
        <v>Africa</v>
      </c>
      <c r="I1076" s="7" t="str">
        <f aca="false">IF($D1076="","",IFERROR(IF(INDEX(Hierarchy!$F$2:$F$1295,MATCH($D1076,Hierarchy!$A$2:$A$1295,0))="","",INDEX(Hierarchy!$F$2:$F$1295,MATCH($D1076,Hierarchy!$A$2:$A$1295,0))),"NODE NOT FOUND"))</f>
        <v>South Africa</v>
      </c>
      <c r="J1076" s="7" t="str">
        <f aca="false">IF($D1076="","",IFERROR(IF(INDEX(Hierarchy!$G$2:$G$1295,MATCH($D1076,Hierarchy!$A$2:$A$1295,0))="","",INDEX(Hierarchy!$G$2:$G$1295,MATCH($D1076,Hierarchy!$A$2:$A$1295,0))),"NODE NOT FOUND"))</f>
        <v>ZAF</v>
      </c>
      <c r="K1076" s="7" t="str">
        <f aca="false">IF($D1076="","",IFERROR(IF(INDEX(Hierarchy!$H$2:$H$1295,MATCH($D1076,Hierarchy!$A$2:$A$1295,0))="","",INDEX(Hierarchy!$H$2:$H$1295,MATCH($D1076,Hierarchy!$A$2:$A$1295,0))),"NODE NOT FOUND"))</f>
        <v>Mpumalanga</v>
      </c>
      <c r="L1076" s="7" t="str">
        <f aca="false">IF($D1076="","",IFERROR(IF(INDEX(Hierarchy!$I$2:$I$1295,MATCH($D1076,Hierarchy!$A$2:$A$1295,0))="","",INDEX(Hierarchy!$I$2:$I$1295,MATCH($D1076,Hierarchy!$A$2:$A$1295,0))),"NODE NOT FOUND"))</f>
        <v/>
      </c>
      <c r="M1076" s="17" t="str">
        <f aca="false">IF(B1076="Pre-seeded","Pre-seeded",IF(B1076="Review 2026-09-16","Added from review",IF(C1076="","New",IF(C1076=D1076,"","Changed"))))</f>
        <v>Pre-seeded</v>
      </c>
      <c r="N1076" s="7" t="str">
        <f aca="false">TRIM(SUBSTITUTE(SUBSTITUTE(SUBSTITUTE(" "&amp;TRIM(SUBSTITUTE(SUBSTITUTE(SUBSTITUTE(SUBSTITUTE(SUBSTITUTE(SUBSTITUTE(SUBSTITUTE(SUBSTITUTE(SUBSTITUTE(SUBSTITUTE(SUBSTITUTE(SUBSTITUTE(SUBSTITUTE(SUBSTITUTE(SUBSTITUTE(UPPER(TRIM(A1076)),"[MEMBER]",""),"{MEMBER}",""),"[MEMBER}",""),"MEMBER]",""),"(A)",""),"""",""),"“",""),"”",""),".",""),":",""),",",""),"–"," "),"-"," "),"/"," "),"&amp;"," AND "))&amp;" "," THE "," ")," TOTAL "," ")," OPERATIONS "," "))</f>
        <v>MPUMALANGA</v>
      </c>
      <c r="O1076" s="17" t="str">
        <f aca="false">IF(COUNTIFS($N$2:$N$2000,N1076,$D$2:$D$2000,"&lt;&gt;"&amp;D1076)&gt;0,"CONFLICT","")</f>
        <v/>
      </c>
      <c r="P1076" s="7"/>
    </row>
    <row r="1077" customFormat="false" ht="15" hidden="false" customHeight="false" outlineLevel="0" collapsed="false">
      <c r="A1077" s="7" t="s">
        <v>1803</v>
      </c>
      <c r="B1077" s="7" t="s">
        <v>1879</v>
      </c>
      <c r="C1077" s="7"/>
      <c r="D1077" s="6" t="s">
        <v>1803</v>
      </c>
      <c r="E1077" s="6" t="s">
        <v>1880</v>
      </c>
      <c r="F1077" s="7" t="str">
        <f aca="false">IF($D1077="","",IFERROR(IF(INDEX(Hierarchy!$B$2:$B$1295,MATCH($D1077,Hierarchy!$A$2:$A$1295,0))="","",INDEX(Hierarchy!$B$2:$B$1295,MATCH($D1077,Hierarchy!$A$2:$A$1295,0))),"NODE NOT FOUND"))</f>
        <v>Multi-region</v>
      </c>
      <c r="G1077" s="7" t="str">
        <f aca="false">IF($D1077="","",IFERROR(IF(INDEX(Hierarchy!$D$2:$D$1295,MATCH($D1077,Hierarchy!$A$2:$A$1295,0))="","",INDEX(Hierarchy!$D$2:$D$1295,MATCH($D1077,Hierarchy!$A$2:$A$1295,0))),"NODE NOT FOUND"))</f>
        <v>Multi-region</v>
      </c>
      <c r="H1077" s="7" t="str">
        <f aca="false">IF($D1077="","",IFERROR(IF(INDEX(Hierarchy!$E$2:$E$1295,MATCH($D1077,Hierarchy!$A$2:$A$1295,0))="","",INDEX(Hierarchy!$E$2:$E$1295,MATCH($D1077,Hierarchy!$A$2:$A$1295,0))),"NODE NOT FOUND"))</f>
        <v/>
      </c>
      <c r="I1077" s="7" t="str">
        <f aca="false">IF($D1077="","",IFERROR(IF(INDEX(Hierarchy!$F$2:$F$1295,MATCH($D1077,Hierarchy!$A$2:$A$1295,0))="","",INDEX(Hierarchy!$F$2:$F$1295,MATCH($D1077,Hierarchy!$A$2:$A$1295,0))),"NODE NOT FOUND"))</f>
        <v/>
      </c>
      <c r="J1077" s="7" t="str">
        <f aca="false">IF($D1077="","",IFERROR(IF(INDEX(Hierarchy!$G$2:$G$1295,MATCH($D1077,Hierarchy!$A$2:$A$1295,0))="","",INDEX(Hierarchy!$G$2:$G$1295,MATCH($D1077,Hierarchy!$A$2:$A$1295,0))),"NODE NOT FOUND"))</f>
        <v/>
      </c>
      <c r="K1077" s="7" t="str">
        <f aca="false">IF($D1077="","",IFERROR(IF(INDEX(Hierarchy!$H$2:$H$1295,MATCH($D1077,Hierarchy!$A$2:$A$1295,0))="","",INDEX(Hierarchy!$H$2:$H$1295,MATCH($D1077,Hierarchy!$A$2:$A$1295,0))),"NODE NOT FOUND"))</f>
        <v/>
      </c>
      <c r="L1077" s="7" t="str">
        <f aca="false">IF($D1077="","",IFERROR(IF(INDEX(Hierarchy!$I$2:$I$1295,MATCH($D1077,Hierarchy!$A$2:$A$1295,0))="","",INDEX(Hierarchy!$I$2:$I$1295,MATCH($D1077,Hierarchy!$A$2:$A$1295,0))),"NODE NOT FOUND"))</f>
        <v/>
      </c>
      <c r="M1077" s="17" t="str">
        <f aca="false">IF(B1077="Pre-seeded","Pre-seeded",IF(B1077="Review 2026-09-16","Added from review",IF(C1077="","New",IF(C1077=D1077,"","Changed"))))</f>
        <v>Pre-seeded</v>
      </c>
      <c r="N1077" s="7" t="str">
        <f aca="false">TRIM(SUBSTITUTE(SUBSTITUTE(SUBSTITUTE(" "&amp;TRIM(SUBSTITUTE(SUBSTITUTE(SUBSTITUTE(SUBSTITUTE(SUBSTITUTE(SUBSTITUTE(SUBSTITUTE(SUBSTITUTE(SUBSTITUTE(SUBSTITUTE(SUBSTITUTE(SUBSTITUTE(SUBSTITUTE(SUBSTITUTE(SUBSTITUTE(UPPER(TRIM(A1077)),"[MEMBER]",""),"{MEMBER}",""),"[MEMBER}",""),"MEMBER]",""),"(A)",""),"""",""),"“",""),"”",""),".",""),":",""),",",""),"–"," "),"-"," "),"/"," "),"&amp;"," AND "))&amp;" "," THE "," ")," TOTAL "," ")," OPERATIONS "," "))</f>
        <v>MULTI REGION (OTHER)</v>
      </c>
      <c r="O1077" s="17" t="str">
        <f aca="false">IF(COUNTIFS($N$2:$N$2000,N1077,$D$2:$D$2000,"&lt;&gt;"&amp;D1077)&gt;0,"CONFLICT","")</f>
        <v/>
      </c>
      <c r="P1077" s="7"/>
    </row>
    <row r="1078" customFormat="false" ht="15" hidden="false" customHeight="false" outlineLevel="0" collapsed="false">
      <c r="A1078" s="7" t="s">
        <v>2420</v>
      </c>
      <c r="B1078" s="7" t="s">
        <v>1879</v>
      </c>
      <c r="C1078" s="7"/>
      <c r="D1078" s="6" t="s">
        <v>696</v>
      </c>
      <c r="E1078" s="6" t="s">
        <v>1880</v>
      </c>
      <c r="F1078" s="7" t="str">
        <f aca="false">IF($D1078="","",IFERROR(IF(INDEX(Hierarchy!$B$2:$B$1295,MATCH($D1078,Hierarchy!$A$2:$A$1295,0))="","",INDEX(Hierarchy!$B$2:$B$1295,MATCH($D1078,Hierarchy!$A$2:$A$1295,0))),"NODE NOT FOUND"))</f>
        <v>City</v>
      </c>
      <c r="G1078" s="7" t="str">
        <f aca="false">IF($D1078="","",IFERROR(IF(INDEX(Hierarchy!$D$2:$D$1295,MATCH($D1078,Hierarchy!$A$2:$A$1295,0))="","",INDEX(Hierarchy!$D$2:$D$1295,MATCH($D1078,Hierarchy!$A$2:$A$1295,0))),"NODE NOT FOUND"))</f>
        <v>EMEA</v>
      </c>
      <c r="H1078" s="7" t="str">
        <f aca="false">IF($D1078="","",IFERROR(IF(INDEX(Hierarchy!$E$2:$E$1295,MATCH($D1078,Hierarchy!$A$2:$A$1295,0))="","",INDEX(Hierarchy!$E$2:$E$1295,MATCH($D1078,Hierarchy!$A$2:$A$1295,0))),"NODE NOT FOUND"))</f>
        <v>Europe</v>
      </c>
      <c r="I1078" s="7" t="str">
        <f aca="false">IF($D1078="","",IFERROR(IF(INDEX(Hierarchy!$F$2:$F$1295,MATCH($D1078,Hierarchy!$A$2:$A$1295,0))="","",INDEX(Hierarchy!$F$2:$F$1295,MATCH($D1078,Hierarchy!$A$2:$A$1295,0))),"NODE NOT FOUND"))</f>
        <v>Germany</v>
      </c>
      <c r="J1078" s="7" t="str">
        <f aca="false">IF($D1078="","",IFERROR(IF(INDEX(Hierarchy!$G$2:$G$1295,MATCH($D1078,Hierarchy!$A$2:$A$1295,0))="","",INDEX(Hierarchy!$G$2:$G$1295,MATCH($D1078,Hierarchy!$A$2:$A$1295,0))),"NODE NOT FOUND"))</f>
        <v>DEU</v>
      </c>
      <c r="K1078" s="7" t="str">
        <f aca="false">IF($D1078="","",IFERROR(IF(INDEX(Hierarchy!$H$2:$H$1295,MATCH($D1078,Hierarchy!$A$2:$A$1295,0))="","",INDEX(Hierarchy!$H$2:$H$1295,MATCH($D1078,Hierarchy!$A$2:$A$1295,0))),"NODE NOT FOUND"))</f>
        <v>Bavaria</v>
      </c>
      <c r="L1078" s="7" t="str">
        <f aca="false">IF($D1078="","",IFERROR(IF(INDEX(Hierarchy!$I$2:$I$1295,MATCH($D1078,Hierarchy!$A$2:$A$1295,0))="","",INDEX(Hierarchy!$I$2:$I$1295,MATCH($D1078,Hierarchy!$A$2:$A$1295,0))),"NODE NOT FOUND"))</f>
        <v>Munich</v>
      </c>
      <c r="M1078" s="17" t="str">
        <f aca="false">IF(B1078="Pre-seeded","Pre-seeded",IF(B1078="Review 2026-09-16","Added from review",IF(C1078="","New",IF(C1078=D1078,"","Changed"))))</f>
        <v>Pre-seeded</v>
      </c>
      <c r="N1078" s="7" t="str">
        <f aca="false">TRIM(SUBSTITUTE(SUBSTITUTE(SUBSTITUTE(" "&amp;TRIM(SUBSTITUTE(SUBSTITUTE(SUBSTITUTE(SUBSTITUTE(SUBSTITUTE(SUBSTITUTE(SUBSTITUTE(SUBSTITUTE(SUBSTITUTE(SUBSTITUTE(SUBSTITUTE(SUBSTITUTE(SUBSTITUTE(SUBSTITUTE(SUBSTITUTE(UPPER(TRIM(A1078)),"[MEMBER]",""),"{MEMBER}",""),"[MEMBER}",""),"MEMBER]",""),"(A)",""),"""",""),"“",""),"”",""),".",""),":",""),",",""),"–"," "),"-"," "),"/"," "),"&amp;"," AND "))&amp;" "," THE "," ")," TOTAL "," ")," OPERATIONS "," "))</f>
        <v>MUNCHEN</v>
      </c>
      <c r="O1078" s="17" t="str">
        <f aca="false">IF(COUNTIFS($N$2:$N$2000,N1078,$D$2:$D$2000,"&lt;&gt;"&amp;D1078)&gt;0,"CONFLICT","")</f>
        <v/>
      </c>
      <c r="P1078" s="7"/>
    </row>
    <row r="1079" customFormat="false" ht="15" hidden="false" customHeight="false" outlineLevel="0" collapsed="false">
      <c r="A1079" s="7" t="s">
        <v>824</v>
      </c>
      <c r="B1079" s="7" t="s">
        <v>1879</v>
      </c>
      <c r="C1079" s="7"/>
      <c r="D1079" s="6" t="s">
        <v>824</v>
      </c>
      <c r="E1079" s="6" t="s">
        <v>1880</v>
      </c>
      <c r="F1079" s="7" t="str">
        <f aca="false">IF($D1079="","",IFERROR(IF(INDEX(Hierarchy!$B$2:$B$1295,MATCH($D1079,Hierarchy!$A$2:$A$1295,0))="","",INDEX(Hierarchy!$B$2:$B$1295,MATCH($D1079,Hierarchy!$A$2:$A$1295,0))),"NODE NOT FOUND"))</f>
        <v>State/Province</v>
      </c>
      <c r="G1079" s="7" t="str">
        <f aca="false">IF($D1079="","",IFERROR(IF(INDEX(Hierarchy!$D$2:$D$1295,MATCH($D1079,Hierarchy!$A$2:$A$1295,0))="","",INDEX(Hierarchy!$D$2:$D$1295,MATCH($D1079,Hierarchy!$A$2:$A$1295,0))),"NODE NOT FOUND"))</f>
        <v>EMEA</v>
      </c>
      <c r="H1079" s="7" t="str">
        <f aca="false">IF($D1079="","",IFERROR(IF(INDEX(Hierarchy!$E$2:$E$1295,MATCH($D1079,Hierarchy!$A$2:$A$1295,0))="","",INDEX(Hierarchy!$E$2:$E$1295,MATCH($D1079,Hierarchy!$A$2:$A$1295,0))),"NODE NOT FOUND"))</f>
        <v>Europe</v>
      </c>
      <c r="I1079" s="7" t="str">
        <f aca="false">IF($D1079="","",IFERROR(IF(INDEX(Hierarchy!$F$2:$F$1295,MATCH($D1079,Hierarchy!$A$2:$A$1295,0))="","",INDEX(Hierarchy!$F$2:$F$1295,MATCH($D1079,Hierarchy!$A$2:$A$1295,0))),"NODE NOT FOUND"))</f>
        <v>Ireland</v>
      </c>
      <c r="J1079" s="7" t="str">
        <f aca="false">IF($D1079="","",IFERROR(IF(INDEX(Hierarchy!$G$2:$G$1295,MATCH($D1079,Hierarchy!$A$2:$A$1295,0))="","",INDEX(Hierarchy!$G$2:$G$1295,MATCH($D1079,Hierarchy!$A$2:$A$1295,0))),"NODE NOT FOUND"))</f>
        <v>IRL</v>
      </c>
      <c r="K1079" s="7" t="str">
        <f aca="false">IF($D1079="","",IFERROR(IF(INDEX(Hierarchy!$H$2:$H$1295,MATCH($D1079,Hierarchy!$A$2:$A$1295,0))="","",INDEX(Hierarchy!$H$2:$H$1295,MATCH($D1079,Hierarchy!$A$2:$A$1295,0))),"NODE NOT FOUND"))</f>
        <v>Munster</v>
      </c>
      <c r="L1079" s="7" t="str">
        <f aca="false">IF($D1079="","",IFERROR(IF(INDEX(Hierarchy!$I$2:$I$1295,MATCH($D1079,Hierarchy!$A$2:$A$1295,0))="","",INDEX(Hierarchy!$I$2:$I$1295,MATCH($D1079,Hierarchy!$A$2:$A$1295,0))),"NODE NOT FOUND"))</f>
        <v/>
      </c>
      <c r="M1079" s="17" t="str">
        <f aca="false">IF(B1079="Pre-seeded","Pre-seeded",IF(B1079="Review 2026-09-16","Added from review",IF(C1079="","New",IF(C1079=D1079,"","Changed"))))</f>
        <v>Pre-seeded</v>
      </c>
      <c r="N1079" s="7" t="str">
        <f aca="false">TRIM(SUBSTITUTE(SUBSTITUTE(SUBSTITUTE(" "&amp;TRIM(SUBSTITUTE(SUBSTITUTE(SUBSTITUTE(SUBSTITUTE(SUBSTITUTE(SUBSTITUTE(SUBSTITUTE(SUBSTITUTE(SUBSTITUTE(SUBSTITUTE(SUBSTITUTE(SUBSTITUTE(SUBSTITUTE(SUBSTITUTE(SUBSTITUTE(UPPER(TRIM(A1079)),"[MEMBER]",""),"{MEMBER}",""),"[MEMBER}",""),"MEMBER]",""),"(A)",""),"""",""),"“",""),"”",""),".",""),":",""),",",""),"–"," "),"-"," "),"/"," "),"&amp;"," AND "))&amp;" "," THE "," ")," TOTAL "," ")," OPERATIONS "," "))</f>
        <v>MUNSTER</v>
      </c>
      <c r="O1079" s="17" t="str">
        <f aca="false">IF(COUNTIFS($N$2:$N$2000,N1079,$D$2:$D$2000,"&lt;&gt;"&amp;D1079)&gt;0,"CONFLICT","")</f>
        <v/>
      </c>
      <c r="P1079" s="7"/>
    </row>
    <row r="1080" customFormat="false" ht="15" hidden="false" customHeight="false" outlineLevel="0" collapsed="false">
      <c r="A1080" s="7" t="s">
        <v>1659</v>
      </c>
      <c r="B1080" s="7" t="s">
        <v>1879</v>
      </c>
      <c r="C1080" s="7"/>
      <c r="D1080" s="6" t="s">
        <v>1659</v>
      </c>
      <c r="E1080" s="6" t="s">
        <v>1880</v>
      </c>
      <c r="F1080" s="7" t="str">
        <f aca="false">IF($D1080="","",IFERROR(IF(INDEX(Hierarchy!$B$2:$B$1295,MATCH($D1080,Hierarchy!$A$2:$A$1295,0))="","",INDEX(Hierarchy!$B$2:$B$1295,MATCH($D1080,Hierarchy!$A$2:$A$1295,0))),"NODE NOT FOUND"))</f>
        <v>Country</v>
      </c>
      <c r="G1080" s="7" t="str">
        <f aca="false">IF($D1080="","",IFERROR(IF(INDEX(Hierarchy!$D$2:$D$1295,MATCH($D1080,Hierarchy!$A$2:$A$1295,0))="","",INDEX(Hierarchy!$D$2:$D$1295,MATCH($D1080,Hierarchy!$A$2:$A$1295,0))),"NODE NOT FOUND"))</f>
        <v>APAC</v>
      </c>
      <c r="H1080" s="7" t="str">
        <f aca="false">IF($D1080="","",IFERROR(IF(INDEX(Hierarchy!$E$2:$E$1295,MATCH($D1080,Hierarchy!$A$2:$A$1295,0))="","",INDEX(Hierarchy!$E$2:$E$1295,MATCH($D1080,Hierarchy!$A$2:$A$1295,0))),"NODE NOT FOUND"))</f>
        <v>Southeast Asia (ASEAN)</v>
      </c>
      <c r="I1080" s="7" t="str">
        <f aca="false">IF($D1080="","",IFERROR(IF(INDEX(Hierarchy!$F$2:$F$1295,MATCH($D1080,Hierarchy!$A$2:$A$1295,0))="","",INDEX(Hierarchy!$F$2:$F$1295,MATCH($D1080,Hierarchy!$A$2:$A$1295,0))),"NODE NOT FOUND"))</f>
        <v>Myanmar</v>
      </c>
      <c r="J1080" s="7" t="str">
        <f aca="false">IF($D1080="","",IFERROR(IF(INDEX(Hierarchy!$G$2:$G$1295,MATCH($D1080,Hierarchy!$A$2:$A$1295,0))="","",INDEX(Hierarchy!$G$2:$G$1295,MATCH($D1080,Hierarchy!$A$2:$A$1295,0))),"NODE NOT FOUND"))</f>
        <v>MMR</v>
      </c>
      <c r="K1080" s="7" t="str">
        <f aca="false">IF($D1080="","",IFERROR(IF(INDEX(Hierarchy!$H$2:$H$1295,MATCH($D1080,Hierarchy!$A$2:$A$1295,0))="","",INDEX(Hierarchy!$H$2:$H$1295,MATCH($D1080,Hierarchy!$A$2:$A$1295,0))),"NODE NOT FOUND"))</f>
        <v/>
      </c>
      <c r="L1080" s="7" t="str">
        <f aca="false">IF($D1080="","",IFERROR(IF(INDEX(Hierarchy!$I$2:$I$1295,MATCH($D1080,Hierarchy!$A$2:$A$1295,0))="","",INDEX(Hierarchy!$I$2:$I$1295,MATCH($D1080,Hierarchy!$A$2:$A$1295,0))),"NODE NOT FOUND"))</f>
        <v/>
      </c>
      <c r="M1080" s="17" t="str">
        <f aca="false">IF(B1080="Pre-seeded","Pre-seeded",IF(B1080="Review 2026-09-16","Added from review",IF(C1080="","New",IF(C1080=D1080,"","Changed"))))</f>
        <v>Pre-seeded</v>
      </c>
      <c r="N1080" s="7" t="str">
        <f aca="false">TRIM(SUBSTITUTE(SUBSTITUTE(SUBSTITUTE(" "&amp;TRIM(SUBSTITUTE(SUBSTITUTE(SUBSTITUTE(SUBSTITUTE(SUBSTITUTE(SUBSTITUTE(SUBSTITUTE(SUBSTITUTE(SUBSTITUTE(SUBSTITUTE(SUBSTITUTE(SUBSTITUTE(SUBSTITUTE(SUBSTITUTE(SUBSTITUTE(UPPER(TRIM(A1080)),"[MEMBER]",""),"{MEMBER}",""),"[MEMBER}",""),"MEMBER]",""),"(A)",""),"""",""),"“",""),"”",""),".",""),":",""),",",""),"–"," "),"-"," "),"/"," "),"&amp;"," AND "))&amp;" "," THE "," ")," TOTAL "," ")," OPERATIONS "," "))</f>
        <v>MYANMAR</v>
      </c>
      <c r="O1080" s="17" t="str">
        <f aca="false">IF(COUNTIFS($N$2:$N$2000,N1080,$D$2:$D$2000,"&lt;&gt;"&amp;D1080)&gt;0,"CONFLICT","")</f>
        <v/>
      </c>
      <c r="P1080" s="7"/>
    </row>
    <row r="1081" customFormat="false" ht="15" hidden="false" customHeight="false" outlineLevel="0" collapsed="false">
      <c r="A1081" s="7" t="s">
        <v>1382</v>
      </c>
      <c r="B1081" s="7" t="s">
        <v>1879</v>
      </c>
      <c r="C1081" s="7"/>
      <c r="D1081" s="6" t="s">
        <v>1382</v>
      </c>
      <c r="E1081" s="6" t="s">
        <v>1880</v>
      </c>
      <c r="F1081" s="7" t="str">
        <f aca="false">IF($D1081="","",IFERROR(IF(INDEX(Hierarchy!$B$2:$B$1295,MATCH($D1081,Hierarchy!$A$2:$A$1295,0))="","",INDEX(Hierarchy!$B$2:$B$1295,MATCH($D1081,Hierarchy!$A$2:$A$1295,0))),"NODE NOT FOUND"))</f>
        <v>State/Province</v>
      </c>
      <c r="G1081" s="7" t="str">
        <f aca="false">IF($D1081="","",IFERROR(IF(INDEX(Hierarchy!$D$2:$D$1295,MATCH($D1081,Hierarchy!$A$2:$A$1295,0))="","",INDEX(Hierarchy!$D$2:$D$1295,MATCH($D1081,Hierarchy!$A$2:$A$1295,0))),"NODE NOT FOUND"))</f>
        <v>APAC</v>
      </c>
      <c r="H1081" s="7" t="str">
        <f aca="false">IF($D1081="","",IFERROR(IF(INDEX(Hierarchy!$E$2:$E$1295,MATCH($D1081,Hierarchy!$A$2:$A$1295,0))="","",INDEX(Hierarchy!$E$2:$E$1295,MATCH($D1081,Hierarchy!$A$2:$A$1295,0))),"NODE NOT FOUND"))</f>
        <v>South Asia</v>
      </c>
      <c r="I1081" s="7" t="str">
        <f aca="false">IF($D1081="","",IFERROR(IF(INDEX(Hierarchy!$F$2:$F$1295,MATCH($D1081,Hierarchy!$A$2:$A$1295,0))="","",INDEX(Hierarchy!$F$2:$F$1295,MATCH($D1081,Hierarchy!$A$2:$A$1295,0))),"NODE NOT FOUND"))</f>
        <v>Bangladesh</v>
      </c>
      <c r="J1081" s="7" t="str">
        <f aca="false">IF($D1081="","",IFERROR(IF(INDEX(Hierarchy!$G$2:$G$1295,MATCH($D1081,Hierarchy!$A$2:$A$1295,0))="","",INDEX(Hierarchy!$G$2:$G$1295,MATCH($D1081,Hierarchy!$A$2:$A$1295,0))),"NODE NOT FOUND"))</f>
        <v>BGD</v>
      </c>
      <c r="K1081" s="7" t="str">
        <f aca="false">IF($D1081="","",IFERROR(IF(INDEX(Hierarchy!$H$2:$H$1295,MATCH($D1081,Hierarchy!$A$2:$A$1295,0))="","",INDEX(Hierarchy!$H$2:$H$1295,MATCH($D1081,Hierarchy!$A$2:$A$1295,0))),"NODE NOT FOUND"))</f>
        <v>Mymensingh</v>
      </c>
      <c r="L1081" s="7" t="str">
        <f aca="false">IF($D1081="","",IFERROR(IF(INDEX(Hierarchy!$I$2:$I$1295,MATCH($D1081,Hierarchy!$A$2:$A$1295,0))="","",INDEX(Hierarchy!$I$2:$I$1295,MATCH($D1081,Hierarchy!$A$2:$A$1295,0))),"NODE NOT FOUND"))</f>
        <v/>
      </c>
      <c r="M1081" s="17" t="str">
        <f aca="false">IF(B1081="Pre-seeded","Pre-seeded",IF(B1081="Review 2026-09-16","Added from review",IF(C1081="","New",IF(C1081=D1081,"","Changed"))))</f>
        <v>Pre-seeded</v>
      </c>
      <c r="N1081" s="7" t="str">
        <f aca="false">TRIM(SUBSTITUTE(SUBSTITUTE(SUBSTITUTE(" "&amp;TRIM(SUBSTITUTE(SUBSTITUTE(SUBSTITUTE(SUBSTITUTE(SUBSTITUTE(SUBSTITUTE(SUBSTITUTE(SUBSTITUTE(SUBSTITUTE(SUBSTITUTE(SUBSTITUTE(SUBSTITUTE(SUBSTITUTE(SUBSTITUTE(SUBSTITUTE(UPPER(TRIM(A1081)),"[MEMBER]",""),"{MEMBER}",""),"[MEMBER}",""),"MEMBER]",""),"(A)",""),"""",""),"“",""),"”",""),".",""),":",""),",",""),"–"," "),"-"," "),"/"," "),"&amp;"," AND "))&amp;" "," THE "," ")," TOTAL "," ")," OPERATIONS "," "))</f>
        <v>MYMENSINGH</v>
      </c>
      <c r="O1081" s="17" t="str">
        <f aca="false">IF(COUNTIFS($N$2:$N$2000,N1081,$D$2:$D$2000,"&lt;&gt;"&amp;D1081)&gt;0,"CONFLICT","")</f>
        <v/>
      </c>
      <c r="P1081" s="7"/>
    </row>
    <row r="1082" customFormat="false" ht="15" hidden="false" customHeight="false" outlineLevel="0" collapsed="false">
      <c r="A1082" s="7" t="s">
        <v>2421</v>
      </c>
      <c r="B1082" s="7" t="s">
        <v>1879</v>
      </c>
      <c r="C1082" s="7"/>
      <c r="D1082" s="6" t="s">
        <v>696</v>
      </c>
      <c r="E1082" s="6" t="s">
        <v>1880</v>
      </c>
      <c r="F1082" s="7" t="str">
        <f aca="false">IF($D1082="","",IFERROR(IF(INDEX(Hierarchy!$B$2:$B$1295,MATCH($D1082,Hierarchy!$A$2:$A$1295,0))="","",INDEX(Hierarchy!$B$2:$B$1295,MATCH($D1082,Hierarchy!$A$2:$A$1295,0))),"NODE NOT FOUND"))</f>
        <v>City</v>
      </c>
      <c r="G1082" s="7" t="str">
        <f aca="false">IF($D1082="","",IFERROR(IF(INDEX(Hierarchy!$D$2:$D$1295,MATCH($D1082,Hierarchy!$A$2:$A$1295,0))="","",INDEX(Hierarchy!$D$2:$D$1295,MATCH($D1082,Hierarchy!$A$2:$A$1295,0))),"NODE NOT FOUND"))</f>
        <v>EMEA</v>
      </c>
      <c r="H1082" s="7" t="str">
        <f aca="false">IF($D1082="","",IFERROR(IF(INDEX(Hierarchy!$E$2:$E$1295,MATCH($D1082,Hierarchy!$A$2:$A$1295,0))="","",INDEX(Hierarchy!$E$2:$E$1295,MATCH($D1082,Hierarchy!$A$2:$A$1295,0))),"NODE NOT FOUND"))</f>
        <v>Europe</v>
      </c>
      <c r="I1082" s="7" t="str">
        <f aca="false">IF($D1082="","",IFERROR(IF(INDEX(Hierarchy!$F$2:$F$1295,MATCH($D1082,Hierarchy!$A$2:$A$1295,0))="","",INDEX(Hierarchy!$F$2:$F$1295,MATCH($D1082,Hierarchy!$A$2:$A$1295,0))),"NODE NOT FOUND"))</f>
        <v>Germany</v>
      </c>
      <c r="J1082" s="7" t="str">
        <f aca="false">IF($D1082="","",IFERROR(IF(INDEX(Hierarchy!$G$2:$G$1295,MATCH($D1082,Hierarchy!$A$2:$A$1295,0))="","",INDEX(Hierarchy!$G$2:$G$1295,MATCH($D1082,Hierarchy!$A$2:$A$1295,0))),"NODE NOT FOUND"))</f>
        <v>DEU</v>
      </c>
      <c r="K1082" s="7" t="str">
        <f aca="false">IF($D1082="","",IFERROR(IF(INDEX(Hierarchy!$H$2:$H$1295,MATCH($D1082,Hierarchy!$A$2:$A$1295,0))="","",INDEX(Hierarchy!$H$2:$H$1295,MATCH($D1082,Hierarchy!$A$2:$A$1295,0))),"NODE NOT FOUND"))</f>
        <v>Bavaria</v>
      </c>
      <c r="L1082" s="7" t="str">
        <f aca="false">IF($D1082="","",IFERROR(IF(INDEX(Hierarchy!$I$2:$I$1295,MATCH($D1082,Hierarchy!$A$2:$A$1295,0))="","",INDEX(Hierarchy!$I$2:$I$1295,MATCH($D1082,Hierarchy!$A$2:$A$1295,0))),"NODE NOT FOUND"))</f>
        <v>Munich</v>
      </c>
      <c r="M1082" s="17" t="str">
        <f aca="false">IF(B1082="Pre-seeded","Pre-seeded",IF(B1082="Review 2026-09-16","Added from review",IF(C1082="","New",IF(C1082=D1082,"","Changed"))))</f>
        <v>Pre-seeded</v>
      </c>
      <c r="N1082" s="7" t="str">
        <f aca="false">TRIM(SUBSTITUTE(SUBSTITUTE(SUBSTITUTE(" "&amp;TRIM(SUBSTITUTE(SUBSTITUTE(SUBSTITUTE(SUBSTITUTE(SUBSTITUTE(SUBSTITUTE(SUBSTITUTE(SUBSTITUTE(SUBSTITUTE(SUBSTITUTE(SUBSTITUTE(SUBSTITUTE(SUBSTITUTE(SUBSTITUTE(SUBSTITUTE(UPPER(TRIM(A1082)),"[MEMBER]",""),"{MEMBER}",""),"[MEMBER}",""),"MEMBER]",""),"(A)",""),"""",""),"“",""),"”",""),".",""),":",""),",",""),"–"," "),"-"," "),"/"," "),"&amp;"," AND "))&amp;" "," THE "," ")," TOTAL "," ")," OPERATIONS "," "))</f>
        <v>MÜNCHEN</v>
      </c>
      <c r="O1082" s="17" t="str">
        <f aca="false">IF(COUNTIFS($N$2:$N$2000,N1082,$D$2:$D$2000,"&lt;&gt;"&amp;D1082)&gt;0,"CONFLICT","")</f>
        <v/>
      </c>
      <c r="P1082" s="7"/>
    </row>
    <row r="1083" customFormat="false" ht="15" hidden="false" customHeight="false" outlineLevel="0" collapsed="false">
      <c r="A1083" s="7" t="s">
        <v>2422</v>
      </c>
      <c r="B1083" s="7" t="s">
        <v>1879</v>
      </c>
      <c r="C1083" s="7"/>
      <c r="D1083" s="6" t="s">
        <v>77</v>
      </c>
      <c r="E1083" s="6" t="s">
        <v>1880</v>
      </c>
      <c r="F1083" s="7" t="str">
        <f aca="false">IF($D1083="","",IFERROR(IF(INDEX(Hierarchy!$B$2:$B$1295,MATCH($D1083,Hierarchy!$A$2:$A$1295,0))="","",INDEX(Hierarchy!$B$2:$B$1295,MATCH($D1083,Hierarchy!$A$2:$A$1295,0))),"NODE NOT FOUND"))</f>
        <v>Sub-region group</v>
      </c>
      <c r="G1083" s="7" t="str">
        <f aca="false">IF($D1083="","",IFERROR(IF(INDEX(Hierarchy!$D$2:$D$1295,MATCH($D1083,Hierarchy!$A$2:$A$1295,0))="","",INDEX(Hierarchy!$D$2:$D$1295,MATCH($D1083,Hierarchy!$A$2:$A$1295,0))),"NODE NOT FOUND"))</f>
        <v>AMER</v>
      </c>
      <c r="H1083" s="7" t="str">
        <f aca="false">IF($D1083="","",IFERROR(IF(INDEX(Hierarchy!$E$2:$E$1295,MATCH($D1083,Hierarchy!$A$2:$A$1295,0))="","",INDEX(Hierarchy!$E$2:$E$1295,MATCH($D1083,Hierarchy!$A$2:$A$1295,0))),"NODE NOT FOUND"))</f>
        <v/>
      </c>
      <c r="I1083" s="7" t="str">
        <f aca="false">IF($D1083="","",IFERROR(IF(INDEX(Hierarchy!$F$2:$F$1295,MATCH($D1083,Hierarchy!$A$2:$A$1295,0))="","",INDEX(Hierarchy!$F$2:$F$1295,MATCH($D1083,Hierarchy!$A$2:$A$1295,0))),"NODE NOT FOUND"))</f>
        <v/>
      </c>
      <c r="J1083" s="7" t="str">
        <f aca="false">IF($D1083="","",IFERROR(IF(INDEX(Hierarchy!$G$2:$G$1295,MATCH($D1083,Hierarchy!$A$2:$A$1295,0))="","",INDEX(Hierarchy!$G$2:$G$1295,MATCH($D1083,Hierarchy!$A$2:$A$1295,0))),"NODE NOT FOUND"))</f>
        <v/>
      </c>
      <c r="K1083" s="7" t="str">
        <f aca="false">IF($D1083="","",IFERROR(IF(INDEX(Hierarchy!$H$2:$H$1295,MATCH($D1083,Hierarchy!$A$2:$A$1295,0))="","",INDEX(Hierarchy!$H$2:$H$1295,MATCH($D1083,Hierarchy!$A$2:$A$1295,0))),"NODE NOT FOUND"))</f>
        <v/>
      </c>
      <c r="L1083" s="7" t="str">
        <f aca="false">IF($D1083="","",IFERROR(IF(INDEX(Hierarchy!$I$2:$I$1295,MATCH($D1083,Hierarchy!$A$2:$A$1295,0))="","",INDEX(Hierarchy!$I$2:$I$1295,MATCH($D1083,Hierarchy!$A$2:$A$1295,0))),"NODE NOT FOUND"))</f>
        <v/>
      </c>
      <c r="M1083" s="17" t="str">
        <f aca="false">IF(B1083="Pre-seeded","Pre-seeded",IF(B1083="Review 2026-09-16","Added from review",IF(C1083="","New",IF(C1083=D1083,"","Changed"))))</f>
        <v>Pre-seeded</v>
      </c>
      <c r="N1083" s="7" t="str">
        <f aca="false">TRIM(SUBSTITUTE(SUBSTITUTE(SUBSTITUTE(" "&amp;TRIM(SUBSTITUTE(SUBSTITUTE(SUBSTITUTE(SUBSTITUTE(SUBSTITUTE(SUBSTITUTE(SUBSTITUTE(SUBSTITUTE(SUBSTITUTE(SUBSTITUTE(SUBSTITUTE(SUBSTITUTE(SUBSTITUTE(SUBSTITUTE(SUBSTITUTE(UPPER(TRIM(A1083)),"[MEMBER]",""),"{MEMBER}",""),"[MEMBER}",""),"MEMBER]",""),"(A)",""),"""",""),"“",""),"”",""),".",""),":",""),",",""),"–"," "),"-"," "),"/"," "),"&amp;"," AND "))&amp;" "," THE "," ")," TOTAL "," ")," OPERATIONS "," "))</f>
        <v>NAFTA</v>
      </c>
      <c r="O1083" s="17" t="str">
        <f aca="false">IF(COUNTIFS($N$2:$N$2000,N1083,$D$2:$D$2000,"&lt;&gt;"&amp;D1083)&gt;0,"CONFLICT","")</f>
        <v/>
      </c>
      <c r="P1083" s="7"/>
    </row>
    <row r="1084" customFormat="false" ht="15" hidden="false" customHeight="false" outlineLevel="0" collapsed="false">
      <c r="A1084" s="7" t="s">
        <v>77</v>
      </c>
      <c r="B1084" s="7" t="s">
        <v>1879</v>
      </c>
      <c r="C1084" s="7"/>
      <c r="D1084" s="6" t="s">
        <v>77</v>
      </c>
      <c r="E1084" s="6" t="s">
        <v>1880</v>
      </c>
      <c r="F1084" s="7" t="str">
        <f aca="false">IF($D1084="","",IFERROR(IF(INDEX(Hierarchy!$B$2:$B$1295,MATCH($D1084,Hierarchy!$A$2:$A$1295,0))="","",INDEX(Hierarchy!$B$2:$B$1295,MATCH($D1084,Hierarchy!$A$2:$A$1295,0))),"NODE NOT FOUND"))</f>
        <v>Sub-region group</v>
      </c>
      <c r="G1084" s="7" t="str">
        <f aca="false">IF($D1084="","",IFERROR(IF(INDEX(Hierarchy!$D$2:$D$1295,MATCH($D1084,Hierarchy!$A$2:$A$1295,0))="","",INDEX(Hierarchy!$D$2:$D$1295,MATCH($D1084,Hierarchy!$A$2:$A$1295,0))),"NODE NOT FOUND"))</f>
        <v>AMER</v>
      </c>
      <c r="H1084" s="7" t="str">
        <f aca="false">IF($D1084="","",IFERROR(IF(INDEX(Hierarchy!$E$2:$E$1295,MATCH($D1084,Hierarchy!$A$2:$A$1295,0))="","",INDEX(Hierarchy!$E$2:$E$1295,MATCH($D1084,Hierarchy!$A$2:$A$1295,0))),"NODE NOT FOUND"))</f>
        <v/>
      </c>
      <c r="I1084" s="7" t="str">
        <f aca="false">IF($D1084="","",IFERROR(IF(INDEX(Hierarchy!$F$2:$F$1295,MATCH($D1084,Hierarchy!$A$2:$A$1295,0))="","",INDEX(Hierarchy!$F$2:$F$1295,MATCH($D1084,Hierarchy!$A$2:$A$1295,0))),"NODE NOT FOUND"))</f>
        <v/>
      </c>
      <c r="J1084" s="7" t="str">
        <f aca="false">IF($D1084="","",IFERROR(IF(INDEX(Hierarchy!$G$2:$G$1295,MATCH($D1084,Hierarchy!$A$2:$A$1295,0))="","",INDEX(Hierarchy!$G$2:$G$1295,MATCH($D1084,Hierarchy!$A$2:$A$1295,0))),"NODE NOT FOUND"))</f>
        <v/>
      </c>
      <c r="K1084" s="7" t="str">
        <f aca="false">IF($D1084="","",IFERROR(IF(INDEX(Hierarchy!$H$2:$H$1295,MATCH($D1084,Hierarchy!$A$2:$A$1295,0))="","",INDEX(Hierarchy!$H$2:$H$1295,MATCH($D1084,Hierarchy!$A$2:$A$1295,0))),"NODE NOT FOUND"))</f>
        <v/>
      </c>
      <c r="L1084" s="7" t="str">
        <f aca="false">IF($D1084="","",IFERROR(IF(INDEX(Hierarchy!$I$2:$I$1295,MATCH($D1084,Hierarchy!$A$2:$A$1295,0))="","",INDEX(Hierarchy!$I$2:$I$1295,MATCH($D1084,Hierarchy!$A$2:$A$1295,0))),"NODE NOT FOUND"))</f>
        <v/>
      </c>
      <c r="M1084" s="17" t="str">
        <f aca="false">IF(B1084="Pre-seeded","Pre-seeded",IF(B1084="Review 2026-09-16","Added from review",IF(C1084="","New",IF(C1084=D1084,"","Changed"))))</f>
        <v>Pre-seeded</v>
      </c>
      <c r="N1084" s="7" t="str">
        <f aca="false">TRIM(SUBSTITUTE(SUBSTITUTE(SUBSTITUTE(" "&amp;TRIM(SUBSTITUTE(SUBSTITUTE(SUBSTITUTE(SUBSTITUTE(SUBSTITUTE(SUBSTITUTE(SUBSTITUTE(SUBSTITUTE(SUBSTITUTE(SUBSTITUTE(SUBSTITUTE(SUBSTITUTE(SUBSTITUTE(SUBSTITUTE(SUBSTITUTE(UPPER(TRIM(A1084)),"[MEMBER]",""),"{MEMBER}",""),"[MEMBER}",""),"MEMBER]",""),"(A)",""),"""",""),"“",""),"”",""),".",""),":",""),",",""),"–"," "),"-"," "),"/"," "),"&amp;"," AND "))&amp;" "," THE "," ")," TOTAL "," ")," OPERATIONS "," "))</f>
        <v>NAFTA USMCA</v>
      </c>
      <c r="O1084" s="17" t="str">
        <f aca="false">IF(COUNTIFS($N$2:$N$2000,N1084,$D$2:$D$2000,"&lt;&gt;"&amp;D1084)&gt;0,"CONFLICT","")</f>
        <v/>
      </c>
      <c r="P1084" s="7"/>
    </row>
    <row r="1085" customFormat="false" ht="15" hidden="false" customHeight="false" outlineLevel="0" collapsed="false">
      <c r="A1085" s="7" t="s">
        <v>1356</v>
      </c>
      <c r="B1085" s="7" t="s">
        <v>1879</v>
      </c>
      <c r="C1085" s="7"/>
      <c r="D1085" s="6" t="s">
        <v>1356</v>
      </c>
      <c r="E1085" s="6" t="s">
        <v>1880</v>
      </c>
      <c r="F1085" s="7" t="str">
        <f aca="false">IF($D1085="","",IFERROR(IF(INDEX(Hierarchy!$B$2:$B$1295,MATCH($D1085,Hierarchy!$A$2:$A$1295,0))="","",INDEX(Hierarchy!$B$2:$B$1295,MATCH($D1085,Hierarchy!$A$2:$A$1295,0))),"NODE NOT FOUND"))</f>
        <v>State/Province</v>
      </c>
      <c r="G1085" s="7" t="str">
        <f aca="false">IF($D1085="","",IFERROR(IF(INDEX(Hierarchy!$D$2:$D$1295,MATCH($D1085,Hierarchy!$A$2:$A$1295,0))="","",INDEX(Hierarchy!$D$2:$D$1295,MATCH($D1085,Hierarchy!$A$2:$A$1295,0))),"NODE NOT FOUND"))</f>
        <v>APAC</v>
      </c>
      <c r="H1085" s="7" t="str">
        <f aca="false">IF($D1085="","",IFERROR(IF(INDEX(Hierarchy!$E$2:$E$1295,MATCH($D1085,Hierarchy!$A$2:$A$1295,0))="","",INDEX(Hierarchy!$E$2:$E$1295,MATCH($D1085,Hierarchy!$A$2:$A$1295,0))),"NODE NOT FOUND"))</f>
        <v>South Asia</v>
      </c>
      <c r="I1085" s="7" t="str">
        <f aca="false">IF($D1085="","",IFERROR(IF(INDEX(Hierarchy!$F$2:$F$1295,MATCH($D1085,Hierarchy!$A$2:$A$1295,0))="","",INDEX(Hierarchy!$F$2:$F$1295,MATCH($D1085,Hierarchy!$A$2:$A$1295,0))),"NODE NOT FOUND"))</f>
        <v>India</v>
      </c>
      <c r="J1085" s="7" t="str">
        <f aca="false">IF($D1085="","",IFERROR(IF(INDEX(Hierarchy!$G$2:$G$1295,MATCH($D1085,Hierarchy!$A$2:$A$1295,0))="","",INDEX(Hierarchy!$G$2:$G$1295,MATCH($D1085,Hierarchy!$A$2:$A$1295,0))),"NODE NOT FOUND"))</f>
        <v>IND</v>
      </c>
      <c r="K1085" s="7" t="str">
        <f aca="false">IF($D1085="","",IFERROR(IF(INDEX(Hierarchy!$H$2:$H$1295,MATCH($D1085,Hierarchy!$A$2:$A$1295,0))="","",INDEX(Hierarchy!$H$2:$H$1295,MATCH($D1085,Hierarchy!$A$2:$A$1295,0))),"NODE NOT FOUND"))</f>
        <v>Nagaland</v>
      </c>
      <c r="L1085" s="7" t="str">
        <f aca="false">IF($D1085="","",IFERROR(IF(INDEX(Hierarchy!$I$2:$I$1295,MATCH($D1085,Hierarchy!$A$2:$A$1295,0))="","",INDEX(Hierarchy!$I$2:$I$1295,MATCH($D1085,Hierarchy!$A$2:$A$1295,0))),"NODE NOT FOUND"))</f>
        <v/>
      </c>
      <c r="M1085" s="17" t="str">
        <f aca="false">IF(B1085="Pre-seeded","Pre-seeded",IF(B1085="Review 2026-09-16","Added from review",IF(C1085="","New",IF(C1085=D1085,"","Changed"))))</f>
        <v>Pre-seeded</v>
      </c>
      <c r="N1085" s="7" t="str">
        <f aca="false">TRIM(SUBSTITUTE(SUBSTITUTE(SUBSTITUTE(" "&amp;TRIM(SUBSTITUTE(SUBSTITUTE(SUBSTITUTE(SUBSTITUTE(SUBSTITUTE(SUBSTITUTE(SUBSTITUTE(SUBSTITUTE(SUBSTITUTE(SUBSTITUTE(SUBSTITUTE(SUBSTITUTE(SUBSTITUTE(SUBSTITUTE(SUBSTITUTE(UPPER(TRIM(A1085)),"[MEMBER]",""),"{MEMBER}",""),"[MEMBER}",""),"MEMBER]",""),"(A)",""),"""",""),"“",""),"”",""),".",""),":",""),",",""),"–"," "),"-"," "),"/"," "),"&amp;"," AND "))&amp;" "," THE "," ")," TOTAL "," ")," OPERATIONS "," "))</f>
        <v>NAGALAND</v>
      </c>
      <c r="O1085" s="17" t="str">
        <f aca="false">IF(COUNTIFS($N$2:$N$2000,N1085,$D$2:$D$2000,"&lt;&gt;"&amp;D1085)&gt;0,"CONFLICT","")</f>
        <v/>
      </c>
      <c r="P1085" s="7"/>
    </row>
    <row r="1086" customFormat="false" ht="15" hidden="false" customHeight="false" outlineLevel="0" collapsed="false">
      <c r="A1086" s="7" t="s">
        <v>1466</v>
      </c>
      <c r="B1086" s="7" t="s">
        <v>1879</v>
      </c>
      <c r="C1086" s="7"/>
      <c r="D1086" s="6" t="s">
        <v>1466</v>
      </c>
      <c r="E1086" s="6" t="s">
        <v>1880</v>
      </c>
      <c r="F1086" s="7" t="str">
        <f aca="false">IF($D1086="","",IFERROR(IF(INDEX(Hierarchy!$B$2:$B$1295,MATCH($D1086,Hierarchy!$A$2:$A$1295,0))="","",INDEX(Hierarchy!$B$2:$B$1295,MATCH($D1086,Hierarchy!$A$2:$A$1295,0))),"NODE NOT FOUND"))</f>
        <v>State/Province</v>
      </c>
      <c r="G1086" s="7" t="str">
        <f aca="false">IF($D1086="","",IFERROR(IF(INDEX(Hierarchy!$D$2:$D$1295,MATCH($D1086,Hierarchy!$A$2:$A$1295,0))="","",INDEX(Hierarchy!$D$2:$D$1295,MATCH($D1086,Hierarchy!$A$2:$A$1295,0))),"NODE NOT FOUND"))</f>
        <v>APAC</v>
      </c>
      <c r="H1086" s="7" t="str">
        <f aca="false">IF($D1086="","",IFERROR(IF(INDEX(Hierarchy!$E$2:$E$1295,MATCH($D1086,Hierarchy!$A$2:$A$1295,0))="","",INDEX(Hierarchy!$E$2:$E$1295,MATCH($D1086,Hierarchy!$A$2:$A$1295,0))),"NODE NOT FOUND"))</f>
        <v>East Asia</v>
      </c>
      <c r="I1086" s="7" t="str">
        <f aca="false">IF($D1086="","",IFERROR(IF(INDEX(Hierarchy!$F$2:$F$1295,MATCH($D1086,Hierarchy!$A$2:$A$1295,0))="","",INDEX(Hierarchy!$F$2:$F$1295,MATCH($D1086,Hierarchy!$A$2:$A$1295,0))),"NODE NOT FOUND"))</f>
        <v>Japan</v>
      </c>
      <c r="J1086" s="7" t="str">
        <f aca="false">IF($D1086="","",IFERROR(IF(INDEX(Hierarchy!$G$2:$G$1295,MATCH($D1086,Hierarchy!$A$2:$A$1295,0))="","",INDEX(Hierarchy!$G$2:$G$1295,MATCH($D1086,Hierarchy!$A$2:$A$1295,0))),"NODE NOT FOUND"))</f>
        <v>JPN</v>
      </c>
      <c r="K1086" s="7" t="str">
        <f aca="false">IF($D1086="","",IFERROR(IF(INDEX(Hierarchy!$H$2:$H$1295,MATCH($D1086,Hierarchy!$A$2:$A$1295,0))="","",INDEX(Hierarchy!$H$2:$H$1295,MATCH($D1086,Hierarchy!$A$2:$A$1295,0))),"NODE NOT FOUND"))</f>
        <v>Nagano</v>
      </c>
      <c r="L1086" s="7" t="str">
        <f aca="false">IF($D1086="","",IFERROR(IF(INDEX(Hierarchy!$I$2:$I$1295,MATCH($D1086,Hierarchy!$A$2:$A$1295,0))="","",INDEX(Hierarchy!$I$2:$I$1295,MATCH($D1086,Hierarchy!$A$2:$A$1295,0))),"NODE NOT FOUND"))</f>
        <v/>
      </c>
      <c r="M1086" s="17" t="str">
        <f aca="false">IF(B1086="Pre-seeded","Pre-seeded",IF(B1086="Review 2026-09-16","Added from review",IF(C1086="","New",IF(C1086=D1086,"","Changed"))))</f>
        <v>Pre-seeded</v>
      </c>
      <c r="N1086" s="7" t="str">
        <f aca="false">TRIM(SUBSTITUTE(SUBSTITUTE(SUBSTITUTE(" "&amp;TRIM(SUBSTITUTE(SUBSTITUTE(SUBSTITUTE(SUBSTITUTE(SUBSTITUTE(SUBSTITUTE(SUBSTITUTE(SUBSTITUTE(SUBSTITUTE(SUBSTITUTE(SUBSTITUTE(SUBSTITUTE(SUBSTITUTE(SUBSTITUTE(SUBSTITUTE(UPPER(TRIM(A1086)),"[MEMBER]",""),"{MEMBER}",""),"[MEMBER}",""),"MEMBER]",""),"(A)",""),"""",""),"“",""),"”",""),".",""),":",""),",",""),"–"," "),"-"," "),"/"," "),"&amp;"," AND "))&amp;" "," THE "," ")," TOTAL "," ")," OPERATIONS "," "))</f>
        <v>NAGANO</v>
      </c>
      <c r="O1086" s="17" t="str">
        <f aca="false">IF(COUNTIFS($N$2:$N$2000,N1086,$D$2:$D$2000,"&lt;&gt;"&amp;D1086)&gt;0,"CONFLICT","")</f>
        <v/>
      </c>
      <c r="P1086" s="7"/>
    </row>
    <row r="1087" customFormat="false" ht="15" hidden="false" customHeight="false" outlineLevel="0" collapsed="false">
      <c r="A1087" s="7" t="s">
        <v>1467</v>
      </c>
      <c r="B1087" s="7" t="s">
        <v>1879</v>
      </c>
      <c r="C1087" s="7"/>
      <c r="D1087" s="6" t="s">
        <v>1467</v>
      </c>
      <c r="E1087" s="6" t="s">
        <v>1880</v>
      </c>
      <c r="F1087" s="7" t="str">
        <f aca="false">IF($D1087="","",IFERROR(IF(INDEX(Hierarchy!$B$2:$B$1295,MATCH($D1087,Hierarchy!$A$2:$A$1295,0))="","",INDEX(Hierarchy!$B$2:$B$1295,MATCH($D1087,Hierarchy!$A$2:$A$1295,0))),"NODE NOT FOUND"))</f>
        <v>State/Province</v>
      </c>
      <c r="G1087" s="7" t="str">
        <f aca="false">IF($D1087="","",IFERROR(IF(INDEX(Hierarchy!$D$2:$D$1295,MATCH($D1087,Hierarchy!$A$2:$A$1295,0))="","",INDEX(Hierarchy!$D$2:$D$1295,MATCH($D1087,Hierarchy!$A$2:$A$1295,0))),"NODE NOT FOUND"))</f>
        <v>APAC</v>
      </c>
      <c r="H1087" s="7" t="str">
        <f aca="false">IF($D1087="","",IFERROR(IF(INDEX(Hierarchy!$E$2:$E$1295,MATCH($D1087,Hierarchy!$A$2:$A$1295,0))="","",INDEX(Hierarchy!$E$2:$E$1295,MATCH($D1087,Hierarchy!$A$2:$A$1295,0))),"NODE NOT FOUND"))</f>
        <v>East Asia</v>
      </c>
      <c r="I1087" s="7" t="str">
        <f aca="false">IF($D1087="","",IFERROR(IF(INDEX(Hierarchy!$F$2:$F$1295,MATCH($D1087,Hierarchy!$A$2:$A$1295,0))="","",INDEX(Hierarchy!$F$2:$F$1295,MATCH($D1087,Hierarchy!$A$2:$A$1295,0))),"NODE NOT FOUND"))</f>
        <v>Japan</v>
      </c>
      <c r="J1087" s="7" t="str">
        <f aca="false">IF($D1087="","",IFERROR(IF(INDEX(Hierarchy!$G$2:$G$1295,MATCH($D1087,Hierarchy!$A$2:$A$1295,0))="","",INDEX(Hierarchy!$G$2:$G$1295,MATCH($D1087,Hierarchy!$A$2:$A$1295,0))),"NODE NOT FOUND"))</f>
        <v>JPN</v>
      </c>
      <c r="K1087" s="7" t="str">
        <f aca="false">IF($D1087="","",IFERROR(IF(INDEX(Hierarchy!$H$2:$H$1295,MATCH($D1087,Hierarchy!$A$2:$A$1295,0))="","",INDEX(Hierarchy!$H$2:$H$1295,MATCH($D1087,Hierarchy!$A$2:$A$1295,0))),"NODE NOT FOUND"))</f>
        <v>Nagasaki</v>
      </c>
      <c r="L1087" s="7" t="str">
        <f aca="false">IF($D1087="","",IFERROR(IF(INDEX(Hierarchy!$I$2:$I$1295,MATCH($D1087,Hierarchy!$A$2:$A$1295,0))="","",INDEX(Hierarchy!$I$2:$I$1295,MATCH($D1087,Hierarchy!$A$2:$A$1295,0))),"NODE NOT FOUND"))</f>
        <v/>
      </c>
      <c r="M1087" s="17" t="str">
        <f aca="false">IF(B1087="Pre-seeded","Pre-seeded",IF(B1087="Review 2026-09-16","Added from review",IF(C1087="","New",IF(C1087=D1087,"","Changed"))))</f>
        <v>Pre-seeded</v>
      </c>
      <c r="N1087" s="7" t="str">
        <f aca="false">TRIM(SUBSTITUTE(SUBSTITUTE(SUBSTITUTE(" "&amp;TRIM(SUBSTITUTE(SUBSTITUTE(SUBSTITUTE(SUBSTITUTE(SUBSTITUTE(SUBSTITUTE(SUBSTITUTE(SUBSTITUTE(SUBSTITUTE(SUBSTITUTE(SUBSTITUTE(SUBSTITUTE(SUBSTITUTE(SUBSTITUTE(SUBSTITUTE(UPPER(TRIM(A1087)),"[MEMBER]",""),"{MEMBER}",""),"[MEMBER}",""),"MEMBER]",""),"(A)",""),"""",""),"“",""),"”",""),".",""),":",""),",",""),"–"," "),"-"," "),"/"," "),"&amp;"," AND "))&amp;" "," THE "," ")," TOTAL "," ")," OPERATIONS "," "))</f>
        <v>NAGASAKI</v>
      </c>
      <c r="O1087" s="17" t="str">
        <f aca="false">IF(COUNTIFS($N$2:$N$2000,N1087,$D$2:$D$2000,"&lt;&gt;"&amp;D1087)&gt;0,"CONFLICT","")</f>
        <v/>
      </c>
      <c r="P1087" s="7"/>
    </row>
    <row r="1088" customFormat="false" ht="15" hidden="false" customHeight="false" outlineLevel="0" collapsed="false">
      <c r="A1088" s="7" t="s">
        <v>1058</v>
      </c>
      <c r="B1088" s="7" t="s">
        <v>1879</v>
      </c>
      <c r="C1088" s="7"/>
      <c r="D1088" s="6" t="s">
        <v>1058</v>
      </c>
      <c r="E1088" s="6" t="s">
        <v>1880</v>
      </c>
      <c r="F1088" s="7" t="str">
        <f aca="false">IF($D1088="","",IFERROR(IF(INDEX(Hierarchy!$B$2:$B$1295,MATCH($D1088,Hierarchy!$A$2:$A$1295,0))="","",INDEX(Hierarchy!$B$2:$B$1295,MATCH($D1088,Hierarchy!$A$2:$A$1295,0))),"NODE NOT FOUND"))</f>
        <v>State/Province</v>
      </c>
      <c r="G1088" s="7" t="str">
        <f aca="false">IF($D1088="","",IFERROR(IF(INDEX(Hierarchy!$D$2:$D$1295,MATCH($D1088,Hierarchy!$A$2:$A$1295,0))="","",INDEX(Hierarchy!$D$2:$D$1295,MATCH($D1088,Hierarchy!$A$2:$A$1295,0))),"NODE NOT FOUND"))</f>
        <v>EMEA</v>
      </c>
      <c r="H1088" s="7" t="str">
        <f aca="false">IF($D1088="","",IFERROR(IF(INDEX(Hierarchy!$E$2:$E$1295,MATCH($D1088,Hierarchy!$A$2:$A$1295,0))="","",INDEX(Hierarchy!$E$2:$E$1295,MATCH($D1088,Hierarchy!$A$2:$A$1295,0))),"NODE NOT FOUND"))</f>
        <v>Middle East</v>
      </c>
      <c r="I1088" s="7" t="str">
        <f aca="false">IF($D1088="","",IFERROR(IF(INDEX(Hierarchy!$F$2:$F$1295,MATCH($D1088,Hierarchy!$A$2:$A$1295,0))="","",INDEX(Hierarchy!$F$2:$F$1295,MATCH($D1088,Hierarchy!$A$2:$A$1295,0))),"NODE NOT FOUND"))</f>
        <v>Saudi Arabia</v>
      </c>
      <c r="J1088" s="7" t="str">
        <f aca="false">IF($D1088="","",IFERROR(IF(INDEX(Hierarchy!$G$2:$G$1295,MATCH($D1088,Hierarchy!$A$2:$A$1295,0))="","",INDEX(Hierarchy!$G$2:$G$1295,MATCH($D1088,Hierarchy!$A$2:$A$1295,0))),"NODE NOT FOUND"))</f>
        <v>SAU</v>
      </c>
      <c r="K1088" s="7" t="str">
        <f aca="false">IF($D1088="","",IFERROR(IF(INDEX(Hierarchy!$H$2:$H$1295,MATCH($D1088,Hierarchy!$A$2:$A$1295,0))="","",INDEX(Hierarchy!$H$2:$H$1295,MATCH($D1088,Hierarchy!$A$2:$A$1295,0))),"NODE NOT FOUND"))</f>
        <v>Najran Province</v>
      </c>
      <c r="L1088" s="7" t="str">
        <f aca="false">IF($D1088="","",IFERROR(IF(INDEX(Hierarchy!$I$2:$I$1295,MATCH($D1088,Hierarchy!$A$2:$A$1295,0))="","",INDEX(Hierarchy!$I$2:$I$1295,MATCH($D1088,Hierarchy!$A$2:$A$1295,0))),"NODE NOT FOUND"))</f>
        <v/>
      </c>
      <c r="M1088" s="17" t="str">
        <f aca="false">IF(B1088="Pre-seeded","Pre-seeded",IF(B1088="Review 2026-09-16","Added from review",IF(C1088="","New",IF(C1088=D1088,"","Changed"))))</f>
        <v>Pre-seeded</v>
      </c>
      <c r="N1088" s="7" t="str">
        <f aca="false">TRIM(SUBSTITUTE(SUBSTITUTE(SUBSTITUTE(" "&amp;TRIM(SUBSTITUTE(SUBSTITUTE(SUBSTITUTE(SUBSTITUTE(SUBSTITUTE(SUBSTITUTE(SUBSTITUTE(SUBSTITUTE(SUBSTITUTE(SUBSTITUTE(SUBSTITUTE(SUBSTITUTE(SUBSTITUTE(SUBSTITUTE(SUBSTITUTE(UPPER(TRIM(A1088)),"[MEMBER]",""),"{MEMBER}",""),"[MEMBER}",""),"MEMBER]",""),"(A)",""),"""",""),"“",""),"”",""),".",""),":",""),",",""),"–"," "),"-"," "),"/"," "),"&amp;"," AND "))&amp;" "," THE "," ")," TOTAL "," ")," OPERATIONS "," "))</f>
        <v>NAJRAN PROVINCE</v>
      </c>
      <c r="O1088" s="17" t="str">
        <f aca="false">IF(COUNTIFS($N$2:$N$2000,N1088,$D$2:$D$2000,"&lt;&gt;"&amp;D1088)&gt;0,"CONFLICT","")</f>
        <v/>
      </c>
      <c r="P1088" s="7"/>
    </row>
    <row r="1089" customFormat="false" ht="15" hidden="false" customHeight="false" outlineLevel="0" collapsed="false">
      <c r="A1089" s="7" t="s">
        <v>1267</v>
      </c>
      <c r="B1089" s="7" t="s">
        <v>1879</v>
      </c>
      <c r="C1089" s="7"/>
      <c r="D1089" s="6" t="s">
        <v>1267</v>
      </c>
      <c r="E1089" s="6" t="s">
        <v>1880</v>
      </c>
      <c r="F1089" s="7" t="str">
        <f aca="false">IF($D1089="","",IFERROR(IF(INDEX(Hierarchy!$B$2:$B$1295,MATCH($D1089,Hierarchy!$A$2:$A$1295,0))="","",INDEX(Hierarchy!$B$2:$B$1295,MATCH($D1089,Hierarchy!$A$2:$A$1295,0))),"NODE NOT FOUND"))</f>
        <v>Country</v>
      </c>
      <c r="G1089" s="7" t="str">
        <f aca="false">IF($D1089="","",IFERROR(IF(INDEX(Hierarchy!$D$2:$D$1295,MATCH($D1089,Hierarchy!$A$2:$A$1295,0))="","",INDEX(Hierarchy!$D$2:$D$1295,MATCH($D1089,Hierarchy!$A$2:$A$1295,0))),"NODE NOT FOUND"))</f>
        <v>EMEA</v>
      </c>
      <c r="H1089" s="7" t="str">
        <f aca="false">IF($D1089="","",IFERROR(IF(INDEX(Hierarchy!$E$2:$E$1295,MATCH($D1089,Hierarchy!$A$2:$A$1295,0))="","",INDEX(Hierarchy!$E$2:$E$1295,MATCH($D1089,Hierarchy!$A$2:$A$1295,0))),"NODE NOT FOUND"))</f>
        <v>Africa</v>
      </c>
      <c r="I1089" s="7" t="str">
        <f aca="false">IF($D1089="","",IFERROR(IF(INDEX(Hierarchy!$F$2:$F$1295,MATCH($D1089,Hierarchy!$A$2:$A$1295,0))="","",INDEX(Hierarchy!$F$2:$F$1295,MATCH($D1089,Hierarchy!$A$2:$A$1295,0))),"NODE NOT FOUND"))</f>
        <v>Namibia</v>
      </c>
      <c r="J1089" s="7" t="str">
        <f aca="false">IF($D1089="","",IFERROR(IF(INDEX(Hierarchy!$G$2:$G$1295,MATCH($D1089,Hierarchy!$A$2:$A$1295,0))="","",INDEX(Hierarchy!$G$2:$G$1295,MATCH($D1089,Hierarchy!$A$2:$A$1295,0))),"NODE NOT FOUND"))</f>
        <v>NAM</v>
      </c>
      <c r="K1089" s="7" t="str">
        <f aca="false">IF($D1089="","",IFERROR(IF(INDEX(Hierarchy!$H$2:$H$1295,MATCH($D1089,Hierarchy!$A$2:$A$1295,0))="","",INDEX(Hierarchy!$H$2:$H$1295,MATCH($D1089,Hierarchy!$A$2:$A$1295,0))),"NODE NOT FOUND"))</f>
        <v/>
      </c>
      <c r="L1089" s="7" t="str">
        <f aca="false">IF($D1089="","",IFERROR(IF(INDEX(Hierarchy!$I$2:$I$1295,MATCH($D1089,Hierarchy!$A$2:$A$1295,0))="","",INDEX(Hierarchy!$I$2:$I$1295,MATCH($D1089,Hierarchy!$A$2:$A$1295,0))),"NODE NOT FOUND"))</f>
        <v/>
      </c>
      <c r="M1089" s="17" t="str">
        <f aca="false">IF(B1089="Pre-seeded","Pre-seeded",IF(B1089="Review 2026-09-16","Added from review",IF(C1089="","New",IF(C1089=D1089,"","Changed"))))</f>
        <v>Pre-seeded</v>
      </c>
      <c r="N1089" s="7" t="str">
        <f aca="false">TRIM(SUBSTITUTE(SUBSTITUTE(SUBSTITUTE(" "&amp;TRIM(SUBSTITUTE(SUBSTITUTE(SUBSTITUTE(SUBSTITUTE(SUBSTITUTE(SUBSTITUTE(SUBSTITUTE(SUBSTITUTE(SUBSTITUTE(SUBSTITUTE(SUBSTITUTE(SUBSTITUTE(SUBSTITUTE(SUBSTITUTE(SUBSTITUTE(UPPER(TRIM(A1089)),"[MEMBER]",""),"{MEMBER}",""),"[MEMBER}",""),"MEMBER]",""),"(A)",""),"""",""),"“",""),"”",""),".",""),":",""),",",""),"–"," "),"-"," "),"/"," "),"&amp;"," AND "))&amp;" "," THE "," ")," TOTAL "," ")," OPERATIONS "," "))</f>
        <v>NAMIBIA</v>
      </c>
      <c r="O1089" s="17" t="str">
        <f aca="false">IF(COUNTIFS($N$2:$N$2000,N1089,$D$2:$D$2000,"&lt;&gt;"&amp;D1089)&gt;0,"CONFLICT","")</f>
        <v/>
      </c>
      <c r="P1089" s="7"/>
    </row>
    <row r="1090" customFormat="false" ht="15" hidden="false" customHeight="false" outlineLevel="0" collapsed="false">
      <c r="A1090" s="7" t="s">
        <v>1468</v>
      </c>
      <c r="B1090" s="7" t="s">
        <v>1879</v>
      </c>
      <c r="C1090" s="7"/>
      <c r="D1090" s="6" t="s">
        <v>1468</v>
      </c>
      <c r="E1090" s="6" t="s">
        <v>1880</v>
      </c>
      <c r="F1090" s="7" t="str">
        <f aca="false">IF($D1090="","",IFERROR(IF(INDEX(Hierarchy!$B$2:$B$1295,MATCH($D1090,Hierarchy!$A$2:$A$1295,0))="","",INDEX(Hierarchy!$B$2:$B$1295,MATCH($D1090,Hierarchy!$A$2:$A$1295,0))),"NODE NOT FOUND"))</f>
        <v>State/Province</v>
      </c>
      <c r="G1090" s="7" t="str">
        <f aca="false">IF($D1090="","",IFERROR(IF(INDEX(Hierarchy!$D$2:$D$1295,MATCH($D1090,Hierarchy!$A$2:$A$1295,0))="","",INDEX(Hierarchy!$D$2:$D$1295,MATCH($D1090,Hierarchy!$A$2:$A$1295,0))),"NODE NOT FOUND"))</f>
        <v>APAC</v>
      </c>
      <c r="H1090" s="7" t="str">
        <f aca="false">IF($D1090="","",IFERROR(IF(INDEX(Hierarchy!$E$2:$E$1295,MATCH($D1090,Hierarchy!$A$2:$A$1295,0))="","",INDEX(Hierarchy!$E$2:$E$1295,MATCH($D1090,Hierarchy!$A$2:$A$1295,0))),"NODE NOT FOUND"))</f>
        <v>East Asia</v>
      </c>
      <c r="I1090" s="7" t="str">
        <f aca="false">IF($D1090="","",IFERROR(IF(INDEX(Hierarchy!$F$2:$F$1295,MATCH($D1090,Hierarchy!$A$2:$A$1295,0))="","",INDEX(Hierarchy!$F$2:$F$1295,MATCH($D1090,Hierarchy!$A$2:$A$1295,0))),"NODE NOT FOUND"))</f>
        <v>Japan</v>
      </c>
      <c r="J1090" s="7" t="str">
        <f aca="false">IF($D1090="","",IFERROR(IF(INDEX(Hierarchy!$G$2:$G$1295,MATCH($D1090,Hierarchy!$A$2:$A$1295,0))="","",INDEX(Hierarchy!$G$2:$G$1295,MATCH($D1090,Hierarchy!$A$2:$A$1295,0))),"NODE NOT FOUND"))</f>
        <v>JPN</v>
      </c>
      <c r="K1090" s="7" t="str">
        <f aca="false">IF($D1090="","",IFERROR(IF(INDEX(Hierarchy!$H$2:$H$1295,MATCH($D1090,Hierarchy!$A$2:$A$1295,0))="","",INDEX(Hierarchy!$H$2:$H$1295,MATCH($D1090,Hierarchy!$A$2:$A$1295,0))),"NODE NOT FOUND"))</f>
        <v>Nara</v>
      </c>
      <c r="L1090" s="7" t="str">
        <f aca="false">IF($D1090="","",IFERROR(IF(INDEX(Hierarchy!$I$2:$I$1295,MATCH($D1090,Hierarchy!$A$2:$A$1295,0))="","",INDEX(Hierarchy!$I$2:$I$1295,MATCH($D1090,Hierarchy!$A$2:$A$1295,0))),"NODE NOT FOUND"))</f>
        <v/>
      </c>
      <c r="M1090" s="17" t="str">
        <f aca="false">IF(B1090="Pre-seeded","Pre-seeded",IF(B1090="Review 2026-09-16","Added from review",IF(C1090="","New",IF(C1090=D1090,"","Changed"))))</f>
        <v>Pre-seeded</v>
      </c>
      <c r="N1090" s="7" t="str">
        <f aca="false">TRIM(SUBSTITUTE(SUBSTITUTE(SUBSTITUTE(" "&amp;TRIM(SUBSTITUTE(SUBSTITUTE(SUBSTITUTE(SUBSTITUTE(SUBSTITUTE(SUBSTITUTE(SUBSTITUTE(SUBSTITUTE(SUBSTITUTE(SUBSTITUTE(SUBSTITUTE(SUBSTITUTE(SUBSTITUTE(SUBSTITUTE(SUBSTITUTE(UPPER(TRIM(A1090)),"[MEMBER]",""),"{MEMBER}",""),"[MEMBER}",""),"MEMBER]",""),"(A)",""),"""",""),"“",""),"”",""),".",""),":",""),",",""),"–"," "),"-"," "),"/"," "),"&amp;"," AND "))&amp;" "," THE "," ")," TOTAL "," ")," OPERATIONS "," "))</f>
        <v>NARA</v>
      </c>
      <c r="O1090" s="17" t="str">
        <f aca="false">IF(COUNTIFS($N$2:$N$2000,N1090,$D$2:$D$2000,"&lt;&gt;"&amp;D1090)&gt;0,"CONFLICT","")</f>
        <v/>
      </c>
      <c r="P1090" s="7"/>
    </row>
    <row r="1091" customFormat="false" ht="15" hidden="false" customHeight="false" outlineLevel="0" collapsed="false">
      <c r="A1091" s="7" t="s">
        <v>522</v>
      </c>
      <c r="B1091" s="7" t="s">
        <v>1879</v>
      </c>
      <c r="C1091" s="7"/>
      <c r="D1091" s="6" t="s">
        <v>522</v>
      </c>
      <c r="E1091" s="6" t="s">
        <v>1880</v>
      </c>
      <c r="F1091" s="7" t="str">
        <f aca="false">IF($D1091="","",IFERROR(IF(INDEX(Hierarchy!$B$2:$B$1295,MATCH($D1091,Hierarchy!$A$2:$A$1295,0))="","",INDEX(Hierarchy!$B$2:$B$1295,MATCH($D1091,Hierarchy!$A$2:$A$1295,0))),"NODE NOT FOUND"))</f>
        <v>State/Province</v>
      </c>
      <c r="G1091" s="7" t="str">
        <f aca="false">IF($D1091="","",IFERROR(IF(INDEX(Hierarchy!$D$2:$D$1295,MATCH($D1091,Hierarchy!$A$2:$A$1295,0))="","",INDEX(Hierarchy!$D$2:$D$1295,MATCH($D1091,Hierarchy!$A$2:$A$1295,0))),"NODE NOT FOUND"))</f>
        <v>AMER</v>
      </c>
      <c r="H1091" s="7" t="str">
        <f aca="false">IF($D1091="","",IFERROR(IF(INDEX(Hierarchy!$E$2:$E$1295,MATCH($D1091,Hierarchy!$A$2:$A$1295,0))="","",INDEX(Hierarchy!$E$2:$E$1295,MATCH($D1091,Hierarchy!$A$2:$A$1295,0))),"NODE NOT FOUND"))</f>
        <v>Latin America (LATAM)</v>
      </c>
      <c r="I1091" s="7" t="str">
        <f aca="false">IF($D1091="","",IFERROR(IF(INDEX(Hierarchy!$F$2:$F$1295,MATCH($D1091,Hierarchy!$A$2:$A$1295,0))="","",INDEX(Hierarchy!$F$2:$F$1295,MATCH($D1091,Hierarchy!$A$2:$A$1295,0))),"NODE NOT FOUND"))</f>
        <v>Colombia</v>
      </c>
      <c r="J1091" s="7" t="str">
        <f aca="false">IF($D1091="","",IFERROR(IF(INDEX(Hierarchy!$G$2:$G$1295,MATCH($D1091,Hierarchy!$A$2:$A$1295,0))="","",INDEX(Hierarchy!$G$2:$G$1295,MATCH($D1091,Hierarchy!$A$2:$A$1295,0))),"NODE NOT FOUND"))</f>
        <v>COL</v>
      </c>
      <c r="K1091" s="7" t="str">
        <f aca="false">IF($D1091="","",IFERROR(IF(INDEX(Hierarchy!$H$2:$H$1295,MATCH($D1091,Hierarchy!$A$2:$A$1295,0))="","",INDEX(Hierarchy!$H$2:$H$1295,MATCH($D1091,Hierarchy!$A$2:$A$1295,0))),"NODE NOT FOUND"))</f>
        <v>Nariño</v>
      </c>
      <c r="L1091" s="7" t="str">
        <f aca="false">IF($D1091="","",IFERROR(IF(INDEX(Hierarchy!$I$2:$I$1295,MATCH($D1091,Hierarchy!$A$2:$A$1295,0))="","",INDEX(Hierarchy!$I$2:$I$1295,MATCH($D1091,Hierarchy!$A$2:$A$1295,0))),"NODE NOT FOUND"))</f>
        <v/>
      </c>
      <c r="M1091" s="17" t="str">
        <f aca="false">IF(B1091="Pre-seeded","Pre-seeded",IF(B1091="Review 2026-09-16","Added from review",IF(C1091="","New",IF(C1091=D1091,"","Changed"))))</f>
        <v>Pre-seeded</v>
      </c>
      <c r="N1091" s="7" t="str">
        <f aca="false">TRIM(SUBSTITUTE(SUBSTITUTE(SUBSTITUTE(" "&amp;TRIM(SUBSTITUTE(SUBSTITUTE(SUBSTITUTE(SUBSTITUTE(SUBSTITUTE(SUBSTITUTE(SUBSTITUTE(SUBSTITUTE(SUBSTITUTE(SUBSTITUTE(SUBSTITUTE(SUBSTITUTE(SUBSTITUTE(SUBSTITUTE(SUBSTITUTE(UPPER(TRIM(A1091)),"[MEMBER]",""),"{MEMBER}",""),"[MEMBER}",""),"MEMBER]",""),"(A)",""),"""",""),"“",""),"”",""),".",""),":",""),",",""),"–"," "),"-"," "),"/"," "),"&amp;"," AND "))&amp;" "," THE "," ")," TOTAL "," ")," OPERATIONS "," "))</f>
        <v>NARIÑO</v>
      </c>
      <c r="O1091" s="17" t="str">
        <f aca="false">IF(COUNTIFS($N$2:$N$2000,N1091,$D$2:$D$2000,"&lt;&gt;"&amp;D1091)&gt;0,"CONFLICT","")</f>
        <v/>
      </c>
      <c r="P1091" s="7"/>
    </row>
    <row r="1092" customFormat="false" ht="15" hidden="false" customHeight="false" outlineLevel="0" collapsed="false">
      <c r="A1092" s="7" t="s">
        <v>1158</v>
      </c>
      <c r="B1092" s="7" t="s">
        <v>1879</v>
      </c>
      <c r="C1092" s="7"/>
      <c r="D1092" s="6" t="s">
        <v>1158</v>
      </c>
      <c r="E1092" s="6" t="s">
        <v>1880</v>
      </c>
      <c r="F1092" s="7" t="str">
        <f aca="false">IF($D1092="","",IFERROR(IF(INDEX(Hierarchy!$B$2:$B$1295,MATCH($D1092,Hierarchy!$A$2:$A$1295,0))="","",INDEX(Hierarchy!$B$2:$B$1295,MATCH($D1092,Hierarchy!$A$2:$A$1295,0))),"NODE NOT FOUND"))</f>
        <v>State/Province</v>
      </c>
      <c r="G1092" s="7" t="str">
        <f aca="false">IF($D1092="","",IFERROR(IF(INDEX(Hierarchy!$D$2:$D$1295,MATCH($D1092,Hierarchy!$A$2:$A$1295,0))="","",INDEX(Hierarchy!$D$2:$D$1295,MATCH($D1092,Hierarchy!$A$2:$A$1295,0))),"NODE NOT FOUND"))</f>
        <v>EMEA</v>
      </c>
      <c r="H1092" s="7" t="str">
        <f aca="false">IF($D1092="","",IFERROR(IF(INDEX(Hierarchy!$E$2:$E$1295,MATCH($D1092,Hierarchy!$A$2:$A$1295,0))="","",INDEX(Hierarchy!$E$2:$E$1295,MATCH($D1092,Hierarchy!$A$2:$A$1295,0))),"NODE NOT FOUND"))</f>
        <v>Africa</v>
      </c>
      <c r="I1092" s="7" t="str">
        <f aca="false">IF($D1092="","",IFERROR(IF(INDEX(Hierarchy!$F$2:$F$1295,MATCH($D1092,Hierarchy!$A$2:$A$1295,0))="","",INDEX(Hierarchy!$F$2:$F$1295,MATCH($D1092,Hierarchy!$A$2:$A$1295,0))),"NODE NOT FOUND"))</f>
        <v>Nigeria</v>
      </c>
      <c r="J1092" s="7" t="str">
        <f aca="false">IF($D1092="","",IFERROR(IF(INDEX(Hierarchy!$G$2:$G$1295,MATCH($D1092,Hierarchy!$A$2:$A$1295,0))="","",INDEX(Hierarchy!$G$2:$G$1295,MATCH($D1092,Hierarchy!$A$2:$A$1295,0))),"NODE NOT FOUND"))</f>
        <v>NGA</v>
      </c>
      <c r="K1092" s="7" t="str">
        <f aca="false">IF($D1092="","",IFERROR(IF(INDEX(Hierarchy!$H$2:$H$1295,MATCH($D1092,Hierarchy!$A$2:$A$1295,0))="","",INDEX(Hierarchy!$H$2:$H$1295,MATCH($D1092,Hierarchy!$A$2:$A$1295,0))),"NODE NOT FOUND"))</f>
        <v>Nasarawa</v>
      </c>
      <c r="L1092" s="7" t="str">
        <f aca="false">IF($D1092="","",IFERROR(IF(INDEX(Hierarchy!$I$2:$I$1295,MATCH($D1092,Hierarchy!$A$2:$A$1295,0))="","",INDEX(Hierarchy!$I$2:$I$1295,MATCH($D1092,Hierarchy!$A$2:$A$1295,0))),"NODE NOT FOUND"))</f>
        <v/>
      </c>
      <c r="M1092" s="17" t="str">
        <f aca="false">IF(B1092="Pre-seeded","Pre-seeded",IF(B1092="Review 2026-09-16","Added from review",IF(C1092="","New",IF(C1092=D1092,"","Changed"))))</f>
        <v>Pre-seeded</v>
      </c>
      <c r="N1092" s="7" t="str">
        <f aca="false">TRIM(SUBSTITUTE(SUBSTITUTE(SUBSTITUTE(" "&amp;TRIM(SUBSTITUTE(SUBSTITUTE(SUBSTITUTE(SUBSTITUTE(SUBSTITUTE(SUBSTITUTE(SUBSTITUTE(SUBSTITUTE(SUBSTITUTE(SUBSTITUTE(SUBSTITUTE(SUBSTITUTE(SUBSTITUTE(SUBSTITUTE(SUBSTITUTE(UPPER(TRIM(A1092)),"[MEMBER]",""),"{MEMBER}",""),"[MEMBER}",""),"MEMBER]",""),"(A)",""),"""",""),"“",""),"”",""),".",""),":",""),",",""),"–"," "),"-"," "),"/"," "),"&amp;"," AND "))&amp;" "," THE "," ")," TOTAL "," ")," OPERATIONS "," "))</f>
        <v>NASARAWA</v>
      </c>
      <c r="O1092" s="17" t="str">
        <f aca="false">IF(COUNTIFS($N$2:$N$2000,N1092,$D$2:$D$2000,"&lt;&gt;"&amp;D1092)&gt;0,"CONFLICT","")</f>
        <v/>
      </c>
      <c r="P1092" s="7"/>
    </row>
    <row r="1093" customFormat="false" ht="15" hidden="false" customHeight="false" outlineLevel="0" collapsed="false">
      <c r="A1093" s="7" t="s">
        <v>1675</v>
      </c>
      <c r="B1093" s="7" t="s">
        <v>1879</v>
      </c>
      <c r="C1093" s="7"/>
      <c r="D1093" s="6" t="s">
        <v>1675</v>
      </c>
      <c r="E1093" s="6" t="s">
        <v>1880</v>
      </c>
      <c r="F1093" s="7" t="str">
        <f aca="false">IF($D1093="","",IFERROR(IF(INDEX(Hierarchy!$B$2:$B$1295,MATCH($D1093,Hierarchy!$A$2:$A$1295,0))="","",INDEX(Hierarchy!$B$2:$B$1295,MATCH($D1093,Hierarchy!$A$2:$A$1295,0))),"NODE NOT FOUND"))</f>
        <v>State/Province</v>
      </c>
      <c r="G1093" s="7" t="str">
        <f aca="false">IF($D1093="","",IFERROR(IF(INDEX(Hierarchy!$D$2:$D$1295,MATCH($D1093,Hierarchy!$A$2:$A$1295,0))="","",INDEX(Hierarchy!$D$2:$D$1295,MATCH($D1093,Hierarchy!$A$2:$A$1295,0))),"NODE NOT FOUND"))</f>
        <v>APAC</v>
      </c>
      <c r="H1093" s="7" t="str">
        <f aca="false">IF($D1093="","",IFERROR(IF(INDEX(Hierarchy!$E$2:$E$1295,MATCH($D1093,Hierarchy!$A$2:$A$1295,0))="","",INDEX(Hierarchy!$E$2:$E$1295,MATCH($D1093,Hierarchy!$A$2:$A$1295,0))),"NODE NOT FOUND"))</f>
        <v>Southeast Asia (ASEAN)</v>
      </c>
      <c r="I1093" s="7" t="str">
        <f aca="false">IF($D1093="","",IFERROR(IF(INDEX(Hierarchy!$F$2:$F$1295,MATCH($D1093,Hierarchy!$A$2:$A$1295,0))="","",INDEX(Hierarchy!$F$2:$F$1295,MATCH($D1093,Hierarchy!$A$2:$A$1295,0))),"NODE NOT FOUND"))</f>
        <v>Philippines</v>
      </c>
      <c r="J1093" s="7" t="str">
        <f aca="false">IF($D1093="","",IFERROR(IF(INDEX(Hierarchy!$G$2:$G$1295,MATCH($D1093,Hierarchy!$A$2:$A$1295,0))="","",INDEX(Hierarchy!$G$2:$G$1295,MATCH($D1093,Hierarchy!$A$2:$A$1295,0))),"NODE NOT FOUND"))</f>
        <v>PHL</v>
      </c>
      <c r="K1093" s="7" t="str">
        <f aca="false">IF($D1093="","",IFERROR(IF(INDEX(Hierarchy!$H$2:$H$1295,MATCH($D1093,Hierarchy!$A$2:$A$1295,0))="","",INDEX(Hierarchy!$H$2:$H$1295,MATCH($D1093,Hierarchy!$A$2:$A$1295,0))),"NODE NOT FOUND"))</f>
        <v>National Capital Region (Metro Manila)</v>
      </c>
      <c r="L1093" s="7" t="str">
        <f aca="false">IF($D1093="","",IFERROR(IF(INDEX(Hierarchy!$I$2:$I$1295,MATCH($D1093,Hierarchy!$A$2:$A$1295,0))="","",INDEX(Hierarchy!$I$2:$I$1295,MATCH($D1093,Hierarchy!$A$2:$A$1295,0))),"NODE NOT FOUND"))</f>
        <v/>
      </c>
      <c r="M1093" s="17" t="str">
        <f aca="false">IF(B1093="Pre-seeded","Pre-seeded",IF(B1093="Review 2026-09-16","Added from review",IF(C1093="","New",IF(C1093=D1093,"","Changed"))))</f>
        <v>Pre-seeded</v>
      </c>
      <c r="N1093" s="7" t="str">
        <f aca="false">TRIM(SUBSTITUTE(SUBSTITUTE(SUBSTITUTE(" "&amp;TRIM(SUBSTITUTE(SUBSTITUTE(SUBSTITUTE(SUBSTITUTE(SUBSTITUTE(SUBSTITUTE(SUBSTITUTE(SUBSTITUTE(SUBSTITUTE(SUBSTITUTE(SUBSTITUTE(SUBSTITUTE(SUBSTITUTE(SUBSTITUTE(SUBSTITUTE(UPPER(TRIM(A1093)),"[MEMBER]",""),"{MEMBER}",""),"[MEMBER}",""),"MEMBER]",""),"(A)",""),"""",""),"“",""),"”",""),".",""),":",""),",",""),"–"," "),"-"," "),"/"," "),"&amp;"," AND "))&amp;" "," THE "," ")," TOTAL "," ")," OPERATIONS "," "))</f>
        <v>NATIONAL CAPITAL REGION (METRO MANILA)</v>
      </c>
      <c r="O1093" s="17" t="str">
        <f aca="false">IF(COUNTIFS($N$2:$N$2000,N1093,$D$2:$D$2000,"&lt;&gt;"&amp;D1093)&gt;0,"CONFLICT","")</f>
        <v/>
      </c>
      <c r="P1093" s="7"/>
    </row>
    <row r="1094" customFormat="false" ht="15" hidden="false" customHeight="false" outlineLevel="0" collapsed="false">
      <c r="A1094" s="7" t="s">
        <v>1756</v>
      </c>
      <c r="B1094" s="7" t="s">
        <v>1879</v>
      </c>
      <c r="C1094" s="7"/>
      <c r="D1094" s="6" t="s">
        <v>1756</v>
      </c>
      <c r="E1094" s="6" t="s">
        <v>1880</v>
      </c>
      <c r="F1094" s="7" t="str">
        <f aca="false">IF($D1094="","",IFERROR(IF(INDEX(Hierarchy!$B$2:$B$1295,MATCH($D1094,Hierarchy!$A$2:$A$1295,0))="","",INDEX(Hierarchy!$B$2:$B$1295,MATCH($D1094,Hierarchy!$A$2:$A$1295,0))),"NODE NOT FOUND"))</f>
        <v>Country</v>
      </c>
      <c r="G1094" s="7" t="str">
        <f aca="false">IF($D1094="","",IFERROR(IF(INDEX(Hierarchy!$D$2:$D$1295,MATCH($D1094,Hierarchy!$A$2:$A$1295,0))="","",INDEX(Hierarchy!$D$2:$D$1295,MATCH($D1094,Hierarchy!$A$2:$A$1295,0))),"NODE NOT FOUND"))</f>
        <v>APAC</v>
      </c>
      <c r="H1094" s="7" t="str">
        <f aca="false">IF($D1094="","",IFERROR(IF(INDEX(Hierarchy!$E$2:$E$1295,MATCH($D1094,Hierarchy!$A$2:$A$1295,0))="","",INDEX(Hierarchy!$E$2:$E$1295,MATCH($D1094,Hierarchy!$A$2:$A$1295,0))),"NODE NOT FOUND"))</f>
        <v>Oceania (ANZ)</v>
      </c>
      <c r="I1094" s="7" t="str">
        <f aca="false">IF($D1094="","",IFERROR(IF(INDEX(Hierarchy!$F$2:$F$1295,MATCH($D1094,Hierarchy!$A$2:$A$1295,0))="","",INDEX(Hierarchy!$F$2:$F$1295,MATCH($D1094,Hierarchy!$A$2:$A$1295,0))),"NODE NOT FOUND"))</f>
        <v>Nauru</v>
      </c>
      <c r="J1094" s="7" t="str">
        <f aca="false">IF($D1094="","",IFERROR(IF(INDEX(Hierarchy!$G$2:$G$1295,MATCH($D1094,Hierarchy!$A$2:$A$1295,0))="","",INDEX(Hierarchy!$G$2:$G$1295,MATCH($D1094,Hierarchy!$A$2:$A$1295,0))),"NODE NOT FOUND"))</f>
        <v>NRU</v>
      </c>
      <c r="K1094" s="7" t="str">
        <f aca="false">IF($D1094="","",IFERROR(IF(INDEX(Hierarchy!$H$2:$H$1295,MATCH($D1094,Hierarchy!$A$2:$A$1295,0))="","",INDEX(Hierarchy!$H$2:$H$1295,MATCH($D1094,Hierarchy!$A$2:$A$1295,0))),"NODE NOT FOUND"))</f>
        <v/>
      </c>
      <c r="L1094" s="7" t="str">
        <f aca="false">IF($D1094="","",IFERROR(IF(INDEX(Hierarchy!$I$2:$I$1295,MATCH($D1094,Hierarchy!$A$2:$A$1295,0))="","",INDEX(Hierarchy!$I$2:$I$1295,MATCH($D1094,Hierarchy!$A$2:$A$1295,0))),"NODE NOT FOUND"))</f>
        <v/>
      </c>
      <c r="M1094" s="17" t="str">
        <f aca="false">IF(B1094="Pre-seeded","Pre-seeded",IF(B1094="Review 2026-09-16","Added from review",IF(C1094="","New",IF(C1094=D1094,"","Changed"))))</f>
        <v>Pre-seeded</v>
      </c>
      <c r="N1094" s="7" t="str">
        <f aca="false">TRIM(SUBSTITUTE(SUBSTITUTE(SUBSTITUTE(" "&amp;TRIM(SUBSTITUTE(SUBSTITUTE(SUBSTITUTE(SUBSTITUTE(SUBSTITUTE(SUBSTITUTE(SUBSTITUTE(SUBSTITUTE(SUBSTITUTE(SUBSTITUTE(SUBSTITUTE(SUBSTITUTE(SUBSTITUTE(SUBSTITUTE(SUBSTITUTE(UPPER(TRIM(A1094)),"[MEMBER]",""),"{MEMBER}",""),"[MEMBER}",""),"MEMBER]",""),"(A)",""),"""",""),"“",""),"”",""),".",""),":",""),",",""),"–"," "),"-"," "),"/"," "),"&amp;"," AND "))&amp;" "," THE "," ")," TOTAL "," ")," OPERATIONS "," "))</f>
        <v>NAURU</v>
      </c>
      <c r="O1094" s="17" t="str">
        <f aca="false">IF(COUNTIFS($N$2:$N$2000,N1094,$D$2:$D$2000,"&lt;&gt;"&amp;D1094)&gt;0,"CONFLICT","")</f>
        <v/>
      </c>
      <c r="P1094" s="7"/>
    </row>
    <row r="1095" customFormat="false" ht="15" hidden="false" customHeight="false" outlineLevel="0" collapsed="false">
      <c r="A1095" s="7" t="s">
        <v>968</v>
      </c>
      <c r="B1095" s="7" t="s">
        <v>1879</v>
      </c>
      <c r="C1095" s="7"/>
      <c r="D1095" s="6" t="s">
        <v>968</v>
      </c>
      <c r="E1095" s="6" t="s">
        <v>1880</v>
      </c>
      <c r="F1095" s="7" t="str">
        <f aca="false">IF($D1095="","",IFERROR(IF(INDEX(Hierarchy!$B$2:$B$1295,MATCH($D1095,Hierarchy!$A$2:$A$1295,0))="","",INDEX(Hierarchy!$B$2:$B$1295,MATCH($D1095,Hierarchy!$A$2:$A$1295,0))),"NODE NOT FOUND"))</f>
        <v>State/Province</v>
      </c>
      <c r="G1095" s="7" t="str">
        <f aca="false">IF($D1095="","",IFERROR(IF(INDEX(Hierarchy!$D$2:$D$1295,MATCH($D1095,Hierarchy!$A$2:$A$1295,0))="","",INDEX(Hierarchy!$D$2:$D$1295,MATCH($D1095,Hierarchy!$A$2:$A$1295,0))),"NODE NOT FOUND"))</f>
        <v>EMEA</v>
      </c>
      <c r="H1095" s="7" t="str">
        <f aca="false">IF($D1095="","",IFERROR(IF(INDEX(Hierarchy!$E$2:$E$1295,MATCH($D1095,Hierarchy!$A$2:$A$1295,0))="","",INDEX(Hierarchy!$E$2:$E$1295,MATCH($D1095,Hierarchy!$A$2:$A$1295,0))),"NODE NOT FOUND"))</f>
        <v>Europe</v>
      </c>
      <c r="I1095" s="7" t="str">
        <f aca="false">IF($D1095="","",IFERROR(IF(INDEX(Hierarchy!$F$2:$F$1295,MATCH($D1095,Hierarchy!$A$2:$A$1295,0))="","",INDEX(Hierarchy!$F$2:$F$1295,MATCH($D1095,Hierarchy!$A$2:$A$1295,0))),"NODE NOT FOUND"))</f>
        <v>Spain</v>
      </c>
      <c r="J1095" s="7" t="str">
        <f aca="false">IF($D1095="","",IFERROR(IF(INDEX(Hierarchy!$G$2:$G$1295,MATCH($D1095,Hierarchy!$A$2:$A$1295,0))="","",INDEX(Hierarchy!$G$2:$G$1295,MATCH($D1095,Hierarchy!$A$2:$A$1295,0))),"NODE NOT FOUND"))</f>
        <v>ESP</v>
      </c>
      <c r="K1095" s="7" t="str">
        <f aca="false">IF($D1095="","",IFERROR(IF(INDEX(Hierarchy!$H$2:$H$1295,MATCH($D1095,Hierarchy!$A$2:$A$1295,0))="","",INDEX(Hierarchy!$H$2:$H$1295,MATCH($D1095,Hierarchy!$A$2:$A$1295,0))),"NODE NOT FOUND"))</f>
        <v>Navarre</v>
      </c>
      <c r="L1095" s="7" t="str">
        <f aca="false">IF($D1095="","",IFERROR(IF(INDEX(Hierarchy!$I$2:$I$1295,MATCH($D1095,Hierarchy!$A$2:$A$1295,0))="","",INDEX(Hierarchy!$I$2:$I$1295,MATCH($D1095,Hierarchy!$A$2:$A$1295,0))),"NODE NOT FOUND"))</f>
        <v/>
      </c>
      <c r="M1095" s="17" t="str">
        <f aca="false">IF(B1095="Pre-seeded","Pre-seeded",IF(B1095="Review 2026-09-16","Added from review",IF(C1095="","New",IF(C1095=D1095,"","Changed"))))</f>
        <v>Pre-seeded</v>
      </c>
      <c r="N1095" s="7" t="str">
        <f aca="false">TRIM(SUBSTITUTE(SUBSTITUTE(SUBSTITUTE(" "&amp;TRIM(SUBSTITUTE(SUBSTITUTE(SUBSTITUTE(SUBSTITUTE(SUBSTITUTE(SUBSTITUTE(SUBSTITUTE(SUBSTITUTE(SUBSTITUTE(SUBSTITUTE(SUBSTITUTE(SUBSTITUTE(SUBSTITUTE(SUBSTITUTE(SUBSTITUTE(UPPER(TRIM(A1095)),"[MEMBER]",""),"{MEMBER}",""),"[MEMBER}",""),"MEMBER]",""),"(A)",""),"""",""),"“",""),"”",""),".",""),":",""),",",""),"–"," "),"-"," "),"/"," "),"&amp;"," AND "))&amp;" "," THE "," ")," TOTAL "," ")," OPERATIONS "," "))</f>
        <v>NAVARRE</v>
      </c>
      <c r="O1095" s="17" t="str">
        <f aca="false">IF(COUNTIFS($N$2:$N$2000,N1095,$D$2:$D$2000,"&lt;&gt;"&amp;D1095)&gt;0,"CONFLICT","")</f>
        <v/>
      </c>
      <c r="P1095" s="7"/>
    </row>
    <row r="1096" customFormat="false" ht="15" hidden="false" customHeight="false" outlineLevel="0" collapsed="false">
      <c r="A1096" s="7" t="s">
        <v>402</v>
      </c>
      <c r="B1096" s="7" t="s">
        <v>1879</v>
      </c>
      <c r="C1096" s="7"/>
      <c r="D1096" s="6" t="s">
        <v>402</v>
      </c>
      <c r="E1096" s="6" t="s">
        <v>1880</v>
      </c>
      <c r="F1096" s="7" t="str">
        <f aca="false">IF($D1096="","",IFERROR(IF(INDEX(Hierarchy!$B$2:$B$1295,MATCH($D1096,Hierarchy!$A$2:$A$1295,0))="","",INDEX(Hierarchy!$B$2:$B$1295,MATCH($D1096,Hierarchy!$A$2:$A$1295,0))),"NODE NOT FOUND"))</f>
        <v>State/Province</v>
      </c>
      <c r="G1096" s="7" t="str">
        <f aca="false">IF($D1096="","",IFERROR(IF(INDEX(Hierarchy!$D$2:$D$1295,MATCH($D1096,Hierarchy!$A$2:$A$1295,0))="","",INDEX(Hierarchy!$D$2:$D$1295,MATCH($D1096,Hierarchy!$A$2:$A$1295,0))),"NODE NOT FOUND"))</f>
        <v>AMER</v>
      </c>
      <c r="H1096" s="7" t="str">
        <f aca="false">IF($D1096="","",IFERROR(IF(INDEX(Hierarchy!$E$2:$E$1295,MATCH($D1096,Hierarchy!$A$2:$A$1295,0))="","",INDEX(Hierarchy!$E$2:$E$1295,MATCH($D1096,Hierarchy!$A$2:$A$1295,0))),"NODE NOT FOUND"))</f>
        <v>Latin America (LATAM)</v>
      </c>
      <c r="I1096" s="7" t="str">
        <f aca="false">IF($D1096="","",IFERROR(IF(INDEX(Hierarchy!$F$2:$F$1295,MATCH($D1096,Hierarchy!$A$2:$A$1295,0))="","",INDEX(Hierarchy!$F$2:$F$1295,MATCH($D1096,Hierarchy!$A$2:$A$1295,0))),"NODE NOT FOUND"))</f>
        <v>Mexico</v>
      </c>
      <c r="J1096" s="7" t="str">
        <f aca="false">IF($D1096="","",IFERROR(IF(INDEX(Hierarchy!$G$2:$G$1295,MATCH($D1096,Hierarchy!$A$2:$A$1295,0))="","",INDEX(Hierarchy!$G$2:$G$1295,MATCH($D1096,Hierarchy!$A$2:$A$1295,0))),"NODE NOT FOUND"))</f>
        <v>MEX</v>
      </c>
      <c r="K1096" s="7" t="str">
        <f aca="false">IF($D1096="","",IFERROR(IF(INDEX(Hierarchy!$H$2:$H$1295,MATCH($D1096,Hierarchy!$A$2:$A$1295,0))="","",INDEX(Hierarchy!$H$2:$H$1295,MATCH($D1096,Hierarchy!$A$2:$A$1295,0))),"NODE NOT FOUND"))</f>
        <v>Nayarit</v>
      </c>
      <c r="L1096" s="7" t="str">
        <f aca="false">IF($D1096="","",IFERROR(IF(INDEX(Hierarchy!$I$2:$I$1295,MATCH($D1096,Hierarchy!$A$2:$A$1295,0))="","",INDEX(Hierarchy!$I$2:$I$1295,MATCH($D1096,Hierarchy!$A$2:$A$1295,0))),"NODE NOT FOUND"))</f>
        <v/>
      </c>
      <c r="M1096" s="17" t="str">
        <f aca="false">IF(B1096="Pre-seeded","Pre-seeded",IF(B1096="Review 2026-09-16","Added from review",IF(C1096="","New",IF(C1096=D1096,"","Changed"))))</f>
        <v>Pre-seeded</v>
      </c>
      <c r="N1096" s="7" t="str">
        <f aca="false">TRIM(SUBSTITUTE(SUBSTITUTE(SUBSTITUTE(" "&amp;TRIM(SUBSTITUTE(SUBSTITUTE(SUBSTITUTE(SUBSTITUTE(SUBSTITUTE(SUBSTITUTE(SUBSTITUTE(SUBSTITUTE(SUBSTITUTE(SUBSTITUTE(SUBSTITUTE(SUBSTITUTE(SUBSTITUTE(SUBSTITUTE(SUBSTITUTE(UPPER(TRIM(A1096)),"[MEMBER]",""),"{MEMBER}",""),"[MEMBER}",""),"MEMBER]",""),"(A)",""),"""",""),"“",""),"”",""),".",""),":",""),",",""),"–"," "),"-"," "),"/"," "),"&amp;"," AND "))&amp;" "," THE "," ")," TOTAL "," ")," OPERATIONS "," "))</f>
        <v>NAYARIT</v>
      </c>
      <c r="O1096" s="17" t="str">
        <f aca="false">IF(COUNTIFS($N$2:$N$2000,N1096,$D$2:$D$2000,"&lt;&gt;"&amp;D1096)&gt;0,"CONFLICT","")</f>
        <v/>
      </c>
      <c r="P1096" s="7"/>
    </row>
    <row r="1097" customFormat="false" ht="15" hidden="false" customHeight="false" outlineLevel="0" collapsed="false">
      <c r="A1097" s="7" t="s">
        <v>2423</v>
      </c>
      <c r="B1097" s="7" t="s">
        <v>1879</v>
      </c>
      <c r="C1097" s="7"/>
      <c r="D1097" s="6" t="s">
        <v>1334</v>
      </c>
      <c r="E1097" s="6" t="s">
        <v>1880</v>
      </c>
      <c r="F1097" s="7" t="str">
        <f aca="false">IF($D1097="","",IFERROR(IF(INDEX(Hierarchy!$B$2:$B$1295,MATCH($D1097,Hierarchy!$A$2:$A$1295,0))="","",INDEX(Hierarchy!$B$2:$B$1295,MATCH($D1097,Hierarchy!$A$2:$A$1295,0))),"NODE NOT FOUND"))</f>
        <v>State/Province</v>
      </c>
      <c r="G1097" s="7" t="str">
        <f aca="false">IF($D1097="","",IFERROR(IF(INDEX(Hierarchy!$D$2:$D$1295,MATCH($D1097,Hierarchy!$A$2:$A$1295,0))="","",INDEX(Hierarchy!$D$2:$D$1295,MATCH($D1097,Hierarchy!$A$2:$A$1295,0))),"NODE NOT FOUND"))</f>
        <v>APAC</v>
      </c>
      <c r="H1097" s="7" t="str">
        <f aca="false">IF($D1097="","",IFERROR(IF(INDEX(Hierarchy!$E$2:$E$1295,MATCH($D1097,Hierarchy!$A$2:$A$1295,0))="","",INDEX(Hierarchy!$E$2:$E$1295,MATCH($D1097,Hierarchy!$A$2:$A$1295,0))),"NODE NOT FOUND"))</f>
        <v>South Asia</v>
      </c>
      <c r="I1097" s="7" t="str">
        <f aca="false">IF($D1097="","",IFERROR(IF(INDEX(Hierarchy!$F$2:$F$1295,MATCH($D1097,Hierarchy!$A$2:$A$1295,0))="","",INDEX(Hierarchy!$F$2:$F$1295,MATCH($D1097,Hierarchy!$A$2:$A$1295,0))),"NODE NOT FOUND"))</f>
        <v>India</v>
      </c>
      <c r="J1097" s="7" t="str">
        <f aca="false">IF($D1097="","",IFERROR(IF(INDEX(Hierarchy!$G$2:$G$1295,MATCH($D1097,Hierarchy!$A$2:$A$1295,0))="","",INDEX(Hierarchy!$G$2:$G$1295,MATCH($D1097,Hierarchy!$A$2:$A$1295,0))),"NODE NOT FOUND"))</f>
        <v>IND</v>
      </c>
      <c r="K1097" s="7" t="str">
        <f aca="false">IF($D1097="","",IFERROR(IF(INDEX(Hierarchy!$H$2:$H$1295,MATCH($D1097,Hierarchy!$A$2:$A$1295,0))="","",INDEX(Hierarchy!$H$2:$H$1295,MATCH($D1097,Hierarchy!$A$2:$A$1295,0))),"NODE NOT FOUND"))</f>
        <v>Delhi</v>
      </c>
      <c r="L1097" s="7" t="str">
        <f aca="false">IF($D1097="","",IFERROR(IF(INDEX(Hierarchy!$I$2:$I$1295,MATCH($D1097,Hierarchy!$A$2:$A$1295,0))="","",INDEX(Hierarchy!$I$2:$I$1295,MATCH($D1097,Hierarchy!$A$2:$A$1295,0))),"NODE NOT FOUND"))</f>
        <v/>
      </c>
      <c r="M1097" s="17" t="str">
        <f aca="false">IF(B1097="Pre-seeded","Pre-seeded",IF(B1097="Review 2026-09-16","Added from review",IF(C1097="","New",IF(C1097=D1097,"","Changed"))))</f>
        <v>Pre-seeded</v>
      </c>
      <c r="N1097" s="7" t="str">
        <f aca="false">TRIM(SUBSTITUTE(SUBSTITUTE(SUBSTITUTE(" "&amp;TRIM(SUBSTITUTE(SUBSTITUTE(SUBSTITUTE(SUBSTITUTE(SUBSTITUTE(SUBSTITUTE(SUBSTITUTE(SUBSTITUTE(SUBSTITUTE(SUBSTITUTE(SUBSTITUTE(SUBSTITUTE(SUBSTITUTE(SUBSTITUTE(SUBSTITUTE(UPPER(TRIM(A1097)),"[MEMBER]",""),"{MEMBER}",""),"[MEMBER}",""),"MEMBER]",""),"(A)",""),"""",""),"“",""),"”",""),".",""),":",""),",",""),"–"," "),"-"," "),"/"," "),"&amp;"," AND "))&amp;" "," THE "," ")," TOTAL "," ")," OPERATIONS "," "))</f>
        <v>NCR DELHI</v>
      </c>
      <c r="O1097" s="17" t="str">
        <f aca="false">IF(COUNTIFS($N$2:$N$2000,N1097,$D$2:$D$2000,"&lt;&gt;"&amp;D1097)&gt;0,"CONFLICT","")</f>
        <v/>
      </c>
      <c r="P1097" s="7"/>
    </row>
    <row r="1098" customFormat="false" ht="15" hidden="false" customHeight="false" outlineLevel="0" collapsed="false">
      <c r="A1098" s="7" t="s">
        <v>2424</v>
      </c>
      <c r="B1098" s="7" t="s">
        <v>1879</v>
      </c>
      <c r="C1098" s="7"/>
      <c r="D1098" s="6" t="s">
        <v>1030</v>
      </c>
      <c r="E1098" s="6" t="s">
        <v>1880</v>
      </c>
      <c r="F1098" s="7" t="str">
        <f aca="false">IF($D1098="","",IFERROR(IF(INDEX(Hierarchy!$B$2:$B$1295,MATCH($D1098,Hierarchy!$A$2:$A$1295,0))="","",INDEX(Hierarchy!$B$2:$B$1295,MATCH($D1098,Hierarchy!$A$2:$A$1295,0))),"NODE NOT FOUND"))</f>
        <v>Sub-region</v>
      </c>
      <c r="G1098" s="7" t="str">
        <f aca="false">IF($D1098="","",IFERROR(IF(INDEX(Hierarchy!$D$2:$D$1295,MATCH($D1098,Hierarchy!$A$2:$A$1295,0))="","",INDEX(Hierarchy!$D$2:$D$1295,MATCH($D1098,Hierarchy!$A$2:$A$1295,0))),"NODE NOT FOUND"))</f>
        <v>EMEA</v>
      </c>
      <c r="H1098" s="7" t="str">
        <f aca="false">IF($D1098="","",IFERROR(IF(INDEX(Hierarchy!$E$2:$E$1295,MATCH($D1098,Hierarchy!$A$2:$A$1295,0))="","",INDEX(Hierarchy!$E$2:$E$1295,MATCH($D1098,Hierarchy!$A$2:$A$1295,0))),"NODE NOT FOUND"))</f>
        <v>Middle East</v>
      </c>
      <c r="I1098" s="7" t="str">
        <f aca="false">IF($D1098="","",IFERROR(IF(INDEX(Hierarchy!$F$2:$F$1295,MATCH($D1098,Hierarchy!$A$2:$A$1295,0))="","",INDEX(Hierarchy!$F$2:$F$1295,MATCH($D1098,Hierarchy!$A$2:$A$1295,0))),"NODE NOT FOUND"))</f>
        <v/>
      </c>
      <c r="J1098" s="7" t="str">
        <f aca="false">IF($D1098="","",IFERROR(IF(INDEX(Hierarchy!$G$2:$G$1295,MATCH($D1098,Hierarchy!$A$2:$A$1295,0))="","",INDEX(Hierarchy!$G$2:$G$1295,MATCH($D1098,Hierarchy!$A$2:$A$1295,0))),"NODE NOT FOUND"))</f>
        <v/>
      </c>
      <c r="K1098" s="7" t="str">
        <f aca="false">IF($D1098="","",IFERROR(IF(INDEX(Hierarchy!$H$2:$H$1295,MATCH($D1098,Hierarchy!$A$2:$A$1295,0))="","",INDEX(Hierarchy!$H$2:$H$1295,MATCH($D1098,Hierarchy!$A$2:$A$1295,0))),"NODE NOT FOUND"))</f>
        <v/>
      </c>
      <c r="L1098" s="7" t="str">
        <f aca="false">IF($D1098="","",IFERROR(IF(INDEX(Hierarchy!$I$2:$I$1295,MATCH($D1098,Hierarchy!$A$2:$A$1295,0))="","",INDEX(Hierarchy!$I$2:$I$1295,MATCH($D1098,Hierarchy!$A$2:$A$1295,0))),"NODE NOT FOUND"))</f>
        <v/>
      </c>
      <c r="M1098" s="17" t="str">
        <f aca="false">IF(B1098="Pre-seeded","Pre-seeded",IF(B1098="Review 2026-09-16","Added from review",IF(C1098="","New",IF(C1098=D1098,"","Changed"))))</f>
        <v>Pre-seeded</v>
      </c>
      <c r="N1098" s="7" t="str">
        <f aca="false">TRIM(SUBSTITUTE(SUBSTITUTE(SUBSTITUTE(" "&amp;TRIM(SUBSTITUTE(SUBSTITUTE(SUBSTITUTE(SUBSTITUTE(SUBSTITUTE(SUBSTITUTE(SUBSTITUTE(SUBSTITUTE(SUBSTITUTE(SUBSTITUTE(SUBSTITUTE(SUBSTITUTE(SUBSTITUTE(SUBSTITUTE(SUBSTITUTE(UPPER(TRIM(A1098)),"[MEMBER]",""),"{MEMBER}",""),"[MEMBER}",""),"MEMBER]",""),"(A)",""),"""",""),"“",""),"”",""),".",""),":",""),",",""),"–"," "),"-"," "),"/"," "),"&amp;"," AND "))&amp;" "," THE "," ")," TOTAL "," ")," OPERATIONS "," "))</f>
        <v>NEAR EAST</v>
      </c>
      <c r="O1098" s="17" t="str">
        <f aca="false">IF(COUNTIFS($N$2:$N$2000,N1098,$D$2:$D$2000,"&lt;&gt;"&amp;D1098)&gt;0,"CONFLICT","")</f>
        <v/>
      </c>
      <c r="P1098" s="7"/>
    </row>
    <row r="1099" customFormat="false" ht="15" hidden="false" customHeight="false" outlineLevel="0" collapsed="false">
      <c r="A1099" s="7" t="s">
        <v>206</v>
      </c>
      <c r="B1099" s="7" t="s">
        <v>1882</v>
      </c>
      <c r="C1099" s="7" t="s">
        <v>206</v>
      </c>
      <c r="D1099" s="6" t="s">
        <v>206</v>
      </c>
      <c r="E1099" s="6" t="s">
        <v>1880</v>
      </c>
      <c r="F1099" s="7" t="str">
        <f aca="false">IF($D1099="","",IFERROR(IF(INDEX(Hierarchy!$B$2:$B$1295,MATCH($D1099,Hierarchy!$A$2:$A$1295,0))="","",INDEX(Hierarchy!$B$2:$B$1295,MATCH($D1099,Hierarchy!$A$2:$A$1295,0))),"NODE NOT FOUND"))</f>
        <v>State/Province</v>
      </c>
      <c r="G1099" s="7" t="str">
        <f aca="false">IF($D1099="","",IFERROR(IF(INDEX(Hierarchy!$D$2:$D$1295,MATCH($D1099,Hierarchy!$A$2:$A$1295,0))="","",INDEX(Hierarchy!$D$2:$D$1295,MATCH($D1099,Hierarchy!$A$2:$A$1295,0))),"NODE NOT FOUND"))</f>
        <v>AMER</v>
      </c>
      <c r="H1099" s="7" t="str">
        <f aca="false">IF($D1099="","",IFERROR(IF(INDEX(Hierarchy!$E$2:$E$1295,MATCH($D1099,Hierarchy!$A$2:$A$1295,0))="","",INDEX(Hierarchy!$E$2:$E$1295,MATCH($D1099,Hierarchy!$A$2:$A$1295,0))),"NODE NOT FOUND"))</f>
        <v>North America (NORAM)</v>
      </c>
      <c r="I1099" s="7" t="str">
        <f aca="false">IF($D1099="","",IFERROR(IF(INDEX(Hierarchy!$F$2:$F$1295,MATCH($D1099,Hierarchy!$A$2:$A$1295,0))="","",INDEX(Hierarchy!$F$2:$F$1295,MATCH($D1099,Hierarchy!$A$2:$A$1295,0))),"NODE NOT FOUND"))</f>
        <v>United States</v>
      </c>
      <c r="J1099" s="7" t="str">
        <f aca="false">IF($D1099="","",IFERROR(IF(INDEX(Hierarchy!$G$2:$G$1295,MATCH($D1099,Hierarchy!$A$2:$A$1295,0))="","",INDEX(Hierarchy!$G$2:$G$1295,MATCH($D1099,Hierarchy!$A$2:$A$1295,0))),"NODE NOT FOUND"))</f>
        <v>USA</v>
      </c>
      <c r="K1099" s="7" t="str">
        <f aca="false">IF($D1099="","",IFERROR(IF(INDEX(Hierarchy!$H$2:$H$1295,MATCH($D1099,Hierarchy!$A$2:$A$1295,0))="","",INDEX(Hierarchy!$H$2:$H$1295,MATCH($D1099,Hierarchy!$A$2:$A$1295,0))),"NODE NOT FOUND"))</f>
        <v>Nebraska</v>
      </c>
      <c r="L1099" s="7" t="str">
        <f aca="false">IF($D1099="","",IFERROR(IF(INDEX(Hierarchy!$I$2:$I$1295,MATCH($D1099,Hierarchy!$A$2:$A$1295,0))="","",INDEX(Hierarchy!$I$2:$I$1295,MATCH($D1099,Hierarchy!$A$2:$A$1295,0))),"NODE NOT FOUND"))</f>
        <v/>
      </c>
      <c r="M1099" s="17" t="str">
        <f aca="false">IF(B1099="Pre-seeded","Pre-seeded",IF(B1099="Review 2026-09-16","Added from review",IF(C1099="","New",IF(C1099=D1099,"","Changed"))))</f>
        <v/>
      </c>
      <c r="N1099" s="7" t="str">
        <f aca="false">TRIM(SUBSTITUTE(SUBSTITUTE(SUBSTITUTE(" "&amp;TRIM(SUBSTITUTE(SUBSTITUTE(SUBSTITUTE(SUBSTITUTE(SUBSTITUTE(SUBSTITUTE(SUBSTITUTE(SUBSTITUTE(SUBSTITUTE(SUBSTITUTE(SUBSTITUTE(SUBSTITUTE(SUBSTITUTE(SUBSTITUTE(SUBSTITUTE(UPPER(TRIM(A1099)),"[MEMBER]",""),"{MEMBER}",""),"[MEMBER}",""),"MEMBER]",""),"(A)",""),"""",""),"“",""),"”",""),".",""),":",""),",",""),"–"," "),"-"," "),"/"," "),"&amp;"," AND "))&amp;" "," THE "," ")," TOTAL "," ")," OPERATIONS "," "))</f>
        <v>NEBRASKA</v>
      </c>
      <c r="O1099" s="17" t="str">
        <f aca="false">IF(COUNTIFS($N$2:$N$2000,N1099,$D$2:$D$2000,"&lt;&gt;"&amp;D1099)&gt;0,"CONFLICT","")</f>
        <v/>
      </c>
      <c r="P1099" s="7"/>
    </row>
    <row r="1100" customFormat="false" ht="15" hidden="false" customHeight="false" outlineLevel="0" collapsed="false">
      <c r="A1100" s="7" t="s">
        <v>1641</v>
      </c>
      <c r="B1100" s="7" t="s">
        <v>1879</v>
      </c>
      <c r="C1100" s="7"/>
      <c r="D1100" s="6" t="s">
        <v>1641</v>
      </c>
      <c r="E1100" s="6" t="s">
        <v>1880</v>
      </c>
      <c r="F1100" s="7" t="str">
        <f aca="false">IF($D1100="","",IFERROR(IF(INDEX(Hierarchy!$B$2:$B$1295,MATCH($D1100,Hierarchy!$A$2:$A$1295,0))="","",INDEX(Hierarchy!$B$2:$B$1295,MATCH($D1100,Hierarchy!$A$2:$A$1295,0))),"NODE NOT FOUND"))</f>
        <v>State/Province</v>
      </c>
      <c r="G1100" s="7" t="str">
        <f aca="false">IF($D1100="","",IFERROR(IF(INDEX(Hierarchy!$D$2:$D$1295,MATCH($D1100,Hierarchy!$A$2:$A$1295,0))="","",INDEX(Hierarchy!$D$2:$D$1295,MATCH($D1100,Hierarchy!$A$2:$A$1295,0))),"NODE NOT FOUND"))</f>
        <v>APAC</v>
      </c>
      <c r="H1100" s="7" t="str">
        <f aca="false">IF($D1100="","",IFERROR(IF(INDEX(Hierarchy!$E$2:$E$1295,MATCH($D1100,Hierarchy!$A$2:$A$1295,0))="","",INDEX(Hierarchy!$E$2:$E$1295,MATCH($D1100,Hierarchy!$A$2:$A$1295,0))),"NODE NOT FOUND"))</f>
        <v>Southeast Asia (ASEAN)</v>
      </c>
      <c r="I1100" s="7" t="str">
        <f aca="false">IF($D1100="","",IFERROR(IF(INDEX(Hierarchy!$F$2:$F$1295,MATCH($D1100,Hierarchy!$A$2:$A$1295,0))="","",INDEX(Hierarchy!$F$2:$F$1295,MATCH($D1100,Hierarchy!$A$2:$A$1295,0))),"NODE NOT FOUND"))</f>
        <v>Malaysia</v>
      </c>
      <c r="J1100" s="7" t="str">
        <f aca="false">IF($D1100="","",IFERROR(IF(INDEX(Hierarchy!$G$2:$G$1295,MATCH($D1100,Hierarchy!$A$2:$A$1295,0))="","",INDEX(Hierarchy!$G$2:$G$1295,MATCH($D1100,Hierarchy!$A$2:$A$1295,0))),"NODE NOT FOUND"))</f>
        <v>MYS</v>
      </c>
      <c r="K1100" s="7" t="str">
        <f aca="false">IF($D1100="","",IFERROR(IF(INDEX(Hierarchy!$H$2:$H$1295,MATCH($D1100,Hierarchy!$A$2:$A$1295,0))="","",INDEX(Hierarchy!$H$2:$H$1295,MATCH($D1100,Hierarchy!$A$2:$A$1295,0))),"NODE NOT FOUND"))</f>
        <v>Negeri Sembilan</v>
      </c>
      <c r="L1100" s="7" t="str">
        <f aca="false">IF($D1100="","",IFERROR(IF(INDEX(Hierarchy!$I$2:$I$1295,MATCH($D1100,Hierarchy!$A$2:$A$1295,0))="","",INDEX(Hierarchy!$I$2:$I$1295,MATCH($D1100,Hierarchy!$A$2:$A$1295,0))),"NODE NOT FOUND"))</f>
        <v/>
      </c>
      <c r="M1100" s="17" t="str">
        <f aca="false">IF(B1100="Pre-seeded","Pre-seeded",IF(B1100="Review 2026-09-16","Added from review",IF(C1100="","New",IF(C1100=D1100,"","Changed"))))</f>
        <v>Pre-seeded</v>
      </c>
      <c r="N1100" s="7" t="str">
        <f aca="false">TRIM(SUBSTITUTE(SUBSTITUTE(SUBSTITUTE(" "&amp;TRIM(SUBSTITUTE(SUBSTITUTE(SUBSTITUTE(SUBSTITUTE(SUBSTITUTE(SUBSTITUTE(SUBSTITUTE(SUBSTITUTE(SUBSTITUTE(SUBSTITUTE(SUBSTITUTE(SUBSTITUTE(SUBSTITUTE(SUBSTITUTE(SUBSTITUTE(UPPER(TRIM(A1100)),"[MEMBER]",""),"{MEMBER}",""),"[MEMBER}",""),"MEMBER]",""),"(A)",""),"""",""),"“",""),"”",""),".",""),":",""),",",""),"–"," "),"-"," "),"/"," "),"&amp;"," AND "))&amp;" "," THE "," ")," TOTAL "," ")," OPERATIONS "," "))</f>
        <v>NEGERI SEMBILAN</v>
      </c>
      <c r="O1100" s="17" t="str">
        <f aca="false">IF(COUNTIFS($N$2:$N$2000,N1100,$D$2:$D$2000,"&lt;&gt;"&amp;D1100)&gt;0,"CONFLICT","")</f>
        <v/>
      </c>
      <c r="P1100" s="7"/>
    </row>
    <row r="1101" customFormat="false" ht="15" hidden="false" customHeight="false" outlineLevel="0" collapsed="false">
      <c r="A1101" s="7" t="s">
        <v>1676</v>
      </c>
      <c r="B1101" s="7" t="s">
        <v>1879</v>
      </c>
      <c r="C1101" s="7"/>
      <c r="D1101" s="6" t="s">
        <v>1676</v>
      </c>
      <c r="E1101" s="6" t="s">
        <v>1880</v>
      </c>
      <c r="F1101" s="7" t="str">
        <f aca="false">IF($D1101="","",IFERROR(IF(INDEX(Hierarchy!$B$2:$B$1295,MATCH($D1101,Hierarchy!$A$2:$A$1295,0))="","",INDEX(Hierarchy!$B$2:$B$1295,MATCH($D1101,Hierarchy!$A$2:$A$1295,0))),"NODE NOT FOUND"))</f>
        <v>State/Province</v>
      </c>
      <c r="G1101" s="7" t="str">
        <f aca="false">IF($D1101="","",IFERROR(IF(INDEX(Hierarchy!$D$2:$D$1295,MATCH($D1101,Hierarchy!$A$2:$A$1295,0))="","",INDEX(Hierarchy!$D$2:$D$1295,MATCH($D1101,Hierarchy!$A$2:$A$1295,0))),"NODE NOT FOUND"))</f>
        <v>APAC</v>
      </c>
      <c r="H1101" s="7" t="str">
        <f aca="false">IF($D1101="","",IFERROR(IF(INDEX(Hierarchy!$E$2:$E$1295,MATCH($D1101,Hierarchy!$A$2:$A$1295,0))="","",INDEX(Hierarchy!$E$2:$E$1295,MATCH($D1101,Hierarchy!$A$2:$A$1295,0))),"NODE NOT FOUND"))</f>
        <v>Southeast Asia (ASEAN)</v>
      </c>
      <c r="I1101" s="7" t="str">
        <f aca="false">IF($D1101="","",IFERROR(IF(INDEX(Hierarchy!$F$2:$F$1295,MATCH($D1101,Hierarchy!$A$2:$A$1295,0))="","",INDEX(Hierarchy!$F$2:$F$1295,MATCH($D1101,Hierarchy!$A$2:$A$1295,0))),"NODE NOT FOUND"))</f>
        <v>Philippines</v>
      </c>
      <c r="J1101" s="7" t="str">
        <f aca="false">IF($D1101="","",IFERROR(IF(INDEX(Hierarchy!$G$2:$G$1295,MATCH($D1101,Hierarchy!$A$2:$A$1295,0))="","",INDEX(Hierarchy!$G$2:$G$1295,MATCH($D1101,Hierarchy!$A$2:$A$1295,0))),"NODE NOT FOUND"))</f>
        <v>PHL</v>
      </c>
      <c r="K1101" s="7" t="str">
        <f aca="false">IF($D1101="","",IFERROR(IF(INDEX(Hierarchy!$H$2:$H$1295,MATCH($D1101,Hierarchy!$A$2:$A$1295,0))="","",INDEX(Hierarchy!$H$2:$H$1295,MATCH($D1101,Hierarchy!$A$2:$A$1295,0))),"NODE NOT FOUND"))</f>
        <v>Negros Island Region</v>
      </c>
      <c r="L1101" s="7" t="str">
        <f aca="false">IF($D1101="","",IFERROR(IF(INDEX(Hierarchy!$I$2:$I$1295,MATCH($D1101,Hierarchy!$A$2:$A$1295,0))="","",INDEX(Hierarchy!$I$2:$I$1295,MATCH($D1101,Hierarchy!$A$2:$A$1295,0))),"NODE NOT FOUND"))</f>
        <v/>
      </c>
      <c r="M1101" s="17" t="str">
        <f aca="false">IF(B1101="Pre-seeded","Pre-seeded",IF(B1101="Review 2026-09-16","Added from review",IF(C1101="","New",IF(C1101=D1101,"","Changed"))))</f>
        <v>Pre-seeded</v>
      </c>
      <c r="N1101" s="7" t="str">
        <f aca="false">TRIM(SUBSTITUTE(SUBSTITUTE(SUBSTITUTE(" "&amp;TRIM(SUBSTITUTE(SUBSTITUTE(SUBSTITUTE(SUBSTITUTE(SUBSTITUTE(SUBSTITUTE(SUBSTITUTE(SUBSTITUTE(SUBSTITUTE(SUBSTITUTE(SUBSTITUTE(SUBSTITUTE(SUBSTITUTE(SUBSTITUTE(SUBSTITUTE(UPPER(TRIM(A1101)),"[MEMBER]",""),"{MEMBER}",""),"[MEMBER}",""),"MEMBER]",""),"(A)",""),"""",""),"“",""),"”",""),".",""),":",""),",",""),"–"," "),"-"," "),"/"," "),"&amp;"," AND "))&amp;" "," THE "," ")," TOTAL "," ")," OPERATIONS "," "))</f>
        <v>NEGROS ISLAND REGION</v>
      </c>
      <c r="O1101" s="17" t="str">
        <f aca="false">IF(COUNTIFS($N$2:$N$2000,N1101,$D$2:$D$2000,"&lt;&gt;"&amp;D1101)&gt;0,"CONFLICT","")</f>
        <v/>
      </c>
      <c r="P1101" s="7"/>
    </row>
    <row r="1102" customFormat="false" ht="15" hidden="false" customHeight="false" outlineLevel="0" collapsed="false">
      <c r="A1102" s="7" t="s">
        <v>1727</v>
      </c>
      <c r="B1102" s="7" t="s">
        <v>1879</v>
      </c>
      <c r="C1102" s="7"/>
      <c r="D1102" s="6" t="s">
        <v>1727</v>
      </c>
      <c r="E1102" s="6" t="s">
        <v>1880</v>
      </c>
      <c r="F1102" s="7" t="str">
        <f aca="false">IF($D1102="","",IFERROR(IF(INDEX(Hierarchy!$B$2:$B$1295,MATCH($D1102,Hierarchy!$A$2:$A$1295,0))="","",INDEX(Hierarchy!$B$2:$B$1295,MATCH($D1102,Hierarchy!$A$2:$A$1295,0))),"NODE NOT FOUND"))</f>
        <v>State/Province</v>
      </c>
      <c r="G1102" s="7" t="str">
        <f aca="false">IF($D1102="","",IFERROR(IF(INDEX(Hierarchy!$D$2:$D$1295,MATCH($D1102,Hierarchy!$A$2:$A$1295,0))="","",INDEX(Hierarchy!$D$2:$D$1295,MATCH($D1102,Hierarchy!$A$2:$A$1295,0))),"NODE NOT FOUND"))</f>
        <v>APAC</v>
      </c>
      <c r="H1102" s="7" t="str">
        <f aca="false">IF($D1102="","",IFERROR(IF(INDEX(Hierarchy!$E$2:$E$1295,MATCH($D1102,Hierarchy!$A$2:$A$1295,0))="","",INDEX(Hierarchy!$E$2:$E$1295,MATCH($D1102,Hierarchy!$A$2:$A$1295,0))),"NODE NOT FOUND"))</f>
        <v>Oceania (ANZ)</v>
      </c>
      <c r="I1102" s="7" t="str">
        <f aca="false">IF($D1102="","",IFERROR(IF(INDEX(Hierarchy!$F$2:$F$1295,MATCH($D1102,Hierarchy!$A$2:$A$1295,0))="","",INDEX(Hierarchy!$F$2:$F$1295,MATCH($D1102,Hierarchy!$A$2:$A$1295,0))),"NODE NOT FOUND"))</f>
        <v>New Zealand</v>
      </c>
      <c r="J1102" s="7" t="str">
        <f aca="false">IF($D1102="","",IFERROR(IF(INDEX(Hierarchy!$G$2:$G$1295,MATCH($D1102,Hierarchy!$A$2:$A$1295,0))="","",INDEX(Hierarchy!$G$2:$G$1295,MATCH($D1102,Hierarchy!$A$2:$A$1295,0))),"NODE NOT FOUND"))</f>
        <v>NZL</v>
      </c>
      <c r="K1102" s="7" t="str">
        <f aca="false">IF($D1102="","",IFERROR(IF(INDEX(Hierarchy!$H$2:$H$1295,MATCH($D1102,Hierarchy!$A$2:$A$1295,0))="","",INDEX(Hierarchy!$H$2:$H$1295,MATCH($D1102,Hierarchy!$A$2:$A$1295,0))),"NODE NOT FOUND"))</f>
        <v>Nelson</v>
      </c>
      <c r="L1102" s="7" t="str">
        <f aca="false">IF($D1102="","",IFERROR(IF(INDEX(Hierarchy!$I$2:$I$1295,MATCH($D1102,Hierarchy!$A$2:$A$1295,0))="","",INDEX(Hierarchy!$I$2:$I$1295,MATCH($D1102,Hierarchy!$A$2:$A$1295,0))),"NODE NOT FOUND"))</f>
        <v/>
      </c>
      <c r="M1102" s="17" t="str">
        <f aca="false">IF(B1102="Pre-seeded","Pre-seeded",IF(B1102="Review 2026-09-16","Added from review",IF(C1102="","New",IF(C1102=D1102,"","Changed"))))</f>
        <v>Pre-seeded</v>
      </c>
      <c r="N1102" s="7" t="str">
        <f aca="false">TRIM(SUBSTITUTE(SUBSTITUTE(SUBSTITUTE(" "&amp;TRIM(SUBSTITUTE(SUBSTITUTE(SUBSTITUTE(SUBSTITUTE(SUBSTITUTE(SUBSTITUTE(SUBSTITUTE(SUBSTITUTE(SUBSTITUTE(SUBSTITUTE(SUBSTITUTE(SUBSTITUTE(SUBSTITUTE(SUBSTITUTE(SUBSTITUTE(UPPER(TRIM(A1102)),"[MEMBER]",""),"{MEMBER}",""),"[MEMBER}",""),"MEMBER]",""),"(A)",""),"""",""),"“",""),"”",""),".",""),":",""),",",""),"–"," "),"-"," "),"/"," "),"&amp;"," AND "))&amp;" "," THE "," ")," TOTAL "," ")," OPERATIONS "," "))</f>
        <v>NELSON</v>
      </c>
      <c r="O1102" s="17" t="str">
        <f aca="false">IF(COUNTIFS($N$2:$N$2000,N1102,$D$2:$D$2000,"&lt;&gt;"&amp;D1102)&gt;0,"CONFLICT","")</f>
        <v/>
      </c>
      <c r="P1102" s="7"/>
    </row>
    <row r="1103" customFormat="false" ht="15" hidden="false" customHeight="false" outlineLevel="0" collapsed="false">
      <c r="A1103" s="7" t="s">
        <v>1393</v>
      </c>
      <c r="B1103" s="7" t="s">
        <v>1879</v>
      </c>
      <c r="C1103" s="7"/>
      <c r="D1103" s="6" t="s">
        <v>1393</v>
      </c>
      <c r="E1103" s="6" t="s">
        <v>1880</v>
      </c>
      <c r="F1103" s="7" t="str">
        <f aca="false">IF($D1103="","",IFERROR(IF(INDEX(Hierarchy!$B$2:$B$1295,MATCH($D1103,Hierarchy!$A$2:$A$1295,0))="","",INDEX(Hierarchy!$B$2:$B$1295,MATCH($D1103,Hierarchy!$A$2:$A$1295,0))),"NODE NOT FOUND"))</f>
        <v>Country</v>
      </c>
      <c r="G1103" s="7" t="str">
        <f aca="false">IF($D1103="","",IFERROR(IF(INDEX(Hierarchy!$D$2:$D$1295,MATCH($D1103,Hierarchy!$A$2:$A$1295,0))="","",INDEX(Hierarchy!$D$2:$D$1295,MATCH($D1103,Hierarchy!$A$2:$A$1295,0))),"NODE NOT FOUND"))</f>
        <v>APAC</v>
      </c>
      <c r="H1103" s="7" t="str">
        <f aca="false">IF($D1103="","",IFERROR(IF(INDEX(Hierarchy!$E$2:$E$1295,MATCH($D1103,Hierarchy!$A$2:$A$1295,0))="","",INDEX(Hierarchy!$E$2:$E$1295,MATCH($D1103,Hierarchy!$A$2:$A$1295,0))),"NODE NOT FOUND"))</f>
        <v>South Asia</v>
      </c>
      <c r="I1103" s="7" t="str">
        <f aca="false">IF($D1103="","",IFERROR(IF(INDEX(Hierarchy!$F$2:$F$1295,MATCH($D1103,Hierarchy!$A$2:$A$1295,0))="","",INDEX(Hierarchy!$F$2:$F$1295,MATCH($D1103,Hierarchy!$A$2:$A$1295,0))),"NODE NOT FOUND"))</f>
        <v>Nepal</v>
      </c>
      <c r="J1103" s="7" t="str">
        <f aca="false">IF($D1103="","",IFERROR(IF(INDEX(Hierarchy!$G$2:$G$1295,MATCH($D1103,Hierarchy!$A$2:$A$1295,0))="","",INDEX(Hierarchy!$G$2:$G$1295,MATCH($D1103,Hierarchy!$A$2:$A$1295,0))),"NODE NOT FOUND"))</f>
        <v>NPL</v>
      </c>
      <c r="K1103" s="7" t="str">
        <f aca="false">IF($D1103="","",IFERROR(IF(INDEX(Hierarchy!$H$2:$H$1295,MATCH($D1103,Hierarchy!$A$2:$A$1295,0))="","",INDEX(Hierarchy!$H$2:$H$1295,MATCH($D1103,Hierarchy!$A$2:$A$1295,0))),"NODE NOT FOUND"))</f>
        <v/>
      </c>
      <c r="L1103" s="7" t="str">
        <f aca="false">IF($D1103="","",IFERROR(IF(INDEX(Hierarchy!$I$2:$I$1295,MATCH($D1103,Hierarchy!$A$2:$A$1295,0))="","",INDEX(Hierarchy!$I$2:$I$1295,MATCH($D1103,Hierarchy!$A$2:$A$1295,0))),"NODE NOT FOUND"))</f>
        <v/>
      </c>
      <c r="M1103" s="17" t="str">
        <f aca="false">IF(B1103="Pre-seeded","Pre-seeded",IF(B1103="Review 2026-09-16","Added from review",IF(C1103="","New",IF(C1103=D1103,"","Changed"))))</f>
        <v>Pre-seeded</v>
      </c>
      <c r="N1103" s="7" t="str">
        <f aca="false">TRIM(SUBSTITUTE(SUBSTITUTE(SUBSTITUTE(" "&amp;TRIM(SUBSTITUTE(SUBSTITUTE(SUBSTITUTE(SUBSTITUTE(SUBSTITUTE(SUBSTITUTE(SUBSTITUTE(SUBSTITUTE(SUBSTITUTE(SUBSTITUTE(SUBSTITUTE(SUBSTITUTE(SUBSTITUTE(SUBSTITUTE(SUBSTITUTE(UPPER(TRIM(A1103)),"[MEMBER]",""),"{MEMBER}",""),"[MEMBER}",""),"MEMBER]",""),"(A)",""),"""",""),"“",""),"”",""),".",""),":",""),",",""),"–"," "),"-"," "),"/"," "),"&amp;"," AND "))&amp;" "," THE "," ")," TOTAL "," ")," OPERATIONS "," "))</f>
        <v>NEPAL</v>
      </c>
      <c r="O1103" s="17" t="str">
        <f aca="false">IF(COUNTIFS($N$2:$N$2000,N1103,$D$2:$D$2000,"&lt;&gt;"&amp;D1103)&gt;0,"CONFLICT","")</f>
        <v/>
      </c>
      <c r="P1103" s="7"/>
    </row>
    <row r="1104" customFormat="false" ht="15" hidden="false" customHeight="false" outlineLevel="0" collapsed="false">
      <c r="A1104" s="7" t="s">
        <v>2425</v>
      </c>
      <c r="B1104" s="7" t="s">
        <v>1882</v>
      </c>
      <c r="C1104" s="7" t="s">
        <v>883</v>
      </c>
      <c r="D1104" s="6" t="s">
        <v>883</v>
      </c>
      <c r="E1104" s="6" t="s">
        <v>1880</v>
      </c>
      <c r="F1104" s="7" t="str">
        <f aca="false">IF($D1104="","",IFERROR(IF(INDEX(Hierarchy!$B$2:$B$1295,MATCH($D1104,Hierarchy!$A$2:$A$1295,0))="","",INDEX(Hierarchy!$B$2:$B$1295,MATCH($D1104,Hierarchy!$A$2:$A$1295,0))),"NODE NOT FOUND"))</f>
        <v>Country</v>
      </c>
      <c r="G1104" s="7" t="str">
        <f aca="false">IF($D1104="","",IFERROR(IF(INDEX(Hierarchy!$D$2:$D$1295,MATCH($D1104,Hierarchy!$A$2:$A$1295,0))="","",INDEX(Hierarchy!$D$2:$D$1295,MATCH($D1104,Hierarchy!$A$2:$A$1295,0))),"NODE NOT FOUND"))</f>
        <v>EMEA</v>
      </c>
      <c r="H1104" s="7" t="str">
        <f aca="false">IF($D1104="","",IFERROR(IF(INDEX(Hierarchy!$E$2:$E$1295,MATCH($D1104,Hierarchy!$A$2:$A$1295,0))="","",INDEX(Hierarchy!$E$2:$E$1295,MATCH($D1104,Hierarchy!$A$2:$A$1295,0))),"NODE NOT FOUND"))</f>
        <v>Europe</v>
      </c>
      <c r="I1104" s="7" t="str">
        <f aca="false">IF($D1104="","",IFERROR(IF(INDEX(Hierarchy!$F$2:$F$1295,MATCH($D1104,Hierarchy!$A$2:$A$1295,0))="","",INDEX(Hierarchy!$F$2:$F$1295,MATCH($D1104,Hierarchy!$A$2:$A$1295,0))),"NODE NOT FOUND"))</f>
        <v>Netherlands</v>
      </c>
      <c r="J1104" s="7" t="str">
        <f aca="false">IF($D1104="","",IFERROR(IF(INDEX(Hierarchy!$G$2:$G$1295,MATCH($D1104,Hierarchy!$A$2:$A$1295,0))="","",INDEX(Hierarchy!$G$2:$G$1295,MATCH($D1104,Hierarchy!$A$2:$A$1295,0))),"NODE NOT FOUND"))</f>
        <v>NLD</v>
      </c>
      <c r="K1104" s="7" t="str">
        <f aca="false">IF($D1104="","",IFERROR(IF(INDEX(Hierarchy!$H$2:$H$1295,MATCH($D1104,Hierarchy!$A$2:$A$1295,0))="","",INDEX(Hierarchy!$H$2:$H$1295,MATCH($D1104,Hierarchy!$A$2:$A$1295,0))),"NODE NOT FOUND"))</f>
        <v/>
      </c>
      <c r="L1104" s="7" t="str">
        <f aca="false">IF($D1104="","",IFERROR(IF(INDEX(Hierarchy!$I$2:$I$1295,MATCH($D1104,Hierarchy!$A$2:$A$1295,0))="","",INDEX(Hierarchy!$I$2:$I$1295,MATCH($D1104,Hierarchy!$A$2:$A$1295,0))),"NODE NOT FOUND"))</f>
        <v/>
      </c>
      <c r="M1104" s="17" t="str">
        <f aca="false">IF(B1104="Pre-seeded","Pre-seeded",IF(B1104="Review 2026-09-16","Added from review",IF(C1104="","New",IF(C1104=D1104,"","Changed"))))</f>
        <v/>
      </c>
      <c r="N1104" s="7" t="str">
        <f aca="false">TRIM(SUBSTITUTE(SUBSTITUTE(SUBSTITUTE(" "&amp;TRIM(SUBSTITUTE(SUBSTITUTE(SUBSTITUTE(SUBSTITUTE(SUBSTITUTE(SUBSTITUTE(SUBSTITUTE(SUBSTITUTE(SUBSTITUTE(SUBSTITUTE(SUBSTITUTE(SUBSTITUTE(SUBSTITUTE(SUBSTITUTE(SUBSTITUTE(UPPER(TRIM(A1104)),"[MEMBER]",""),"{MEMBER}",""),"[MEMBER}",""),"MEMBER]",""),"(A)",""),"""",""),"“",""),"”",""),".",""),":",""),",",""),"–"," "),"-"," "),"/"," "),"&amp;"," AND "))&amp;" "," THE "," ")," TOTAL "," ")," OPERATIONS "," "))</f>
        <v>NETHERLAND</v>
      </c>
      <c r="O1104" s="17" t="str">
        <f aca="false">IF(COUNTIFS($N$2:$N$2000,N1104,$D$2:$D$2000,"&lt;&gt;"&amp;D1104)&gt;0,"CONFLICT","")</f>
        <v/>
      </c>
      <c r="P1104" s="7"/>
    </row>
    <row r="1105" customFormat="false" ht="15" hidden="false" customHeight="false" outlineLevel="0" collapsed="false">
      <c r="A1105" s="7" t="s">
        <v>883</v>
      </c>
      <c r="B1105" s="7" t="s">
        <v>1882</v>
      </c>
      <c r="C1105" s="7" t="s">
        <v>883</v>
      </c>
      <c r="D1105" s="6" t="s">
        <v>883</v>
      </c>
      <c r="E1105" s="6" t="s">
        <v>1880</v>
      </c>
      <c r="F1105" s="7" t="str">
        <f aca="false">IF($D1105="","",IFERROR(IF(INDEX(Hierarchy!$B$2:$B$1295,MATCH($D1105,Hierarchy!$A$2:$A$1295,0))="","",INDEX(Hierarchy!$B$2:$B$1295,MATCH($D1105,Hierarchy!$A$2:$A$1295,0))),"NODE NOT FOUND"))</f>
        <v>Country</v>
      </c>
      <c r="G1105" s="7" t="str">
        <f aca="false">IF($D1105="","",IFERROR(IF(INDEX(Hierarchy!$D$2:$D$1295,MATCH($D1105,Hierarchy!$A$2:$A$1295,0))="","",INDEX(Hierarchy!$D$2:$D$1295,MATCH($D1105,Hierarchy!$A$2:$A$1295,0))),"NODE NOT FOUND"))</f>
        <v>EMEA</v>
      </c>
      <c r="H1105" s="7" t="str">
        <f aca="false">IF($D1105="","",IFERROR(IF(INDEX(Hierarchy!$E$2:$E$1295,MATCH($D1105,Hierarchy!$A$2:$A$1295,0))="","",INDEX(Hierarchy!$E$2:$E$1295,MATCH($D1105,Hierarchy!$A$2:$A$1295,0))),"NODE NOT FOUND"))</f>
        <v>Europe</v>
      </c>
      <c r="I1105" s="7" t="str">
        <f aca="false">IF($D1105="","",IFERROR(IF(INDEX(Hierarchy!$F$2:$F$1295,MATCH($D1105,Hierarchy!$A$2:$A$1295,0))="","",INDEX(Hierarchy!$F$2:$F$1295,MATCH($D1105,Hierarchy!$A$2:$A$1295,0))),"NODE NOT FOUND"))</f>
        <v>Netherlands</v>
      </c>
      <c r="J1105" s="7" t="str">
        <f aca="false">IF($D1105="","",IFERROR(IF(INDEX(Hierarchy!$G$2:$G$1295,MATCH($D1105,Hierarchy!$A$2:$A$1295,0))="","",INDEX(Hierarchy!$G$2:$G$1295,MATCH($D1105,Hierarchy!$A$2:$A$1295,0))),"NODE NOT FOUND"))</f>
        <v>NLD</v>
      </c>
      <c r="K1105" s="7" t="str">
        <f aca="false">IF($D1105="","",IFERROR(IF(INDEX(Hierarchy!$H$2:$H$1295,MATCH($D1105,Hierarchy!$A$2:$A$1295,0))="","",INDEX(Hierarchy!$H$2:$H$1295,MATCH($D1105,Hierarchy!$A$2:$A$1295,0))),"NODE NOT FOUND"))</f>
        <v/>
      </c>
      <c r="L1105" s="7" t="str">
        <f aca="false">IF($D1105="","",IFERROR(IF(INDEX(Hierarchy!$I$2:$I$1295,MATCH($D1105,Hierarchy!$A$2:$A$1295,0))="","",INDEX(Hierarchy!$I$2:$I$1295,MATCH($D1105,Hierarchy!$A$2:$A$1295,0))),"NODE NOT FOUND"))</f>
        <v/>
      </c>
      <c r="M1105" s="17" t="str">
        <f aca="false">IF(B1105="Pre-seeded","Pre-seeded",IF(B1105="Review 2026-09-16","Added from review",IF(C1105="","New",IF(C1105=D1105,"","Changed"))))</f>
        <v/>
      </c>
      <c r="N1105" s="7" t="str">
        <f aca="false">TRIM(SUBSTITUTE(SUBSTITUTE(SUBSTITUTE(" "&amp;TRIM(SUBSTITUTE(SUBSTITUTE(SUBSTITUTE(SUBSTITUTE(SUBSTITUTE(SUBSTITUTE(SUBSTITUTE(SUBSTITUTE(SUBSTITUTE(SUBSTITUTE(SUBSTITUTE(SUBSTITUTE(SUBSTITUTE(SUBSTITUTE(SUBSTITUTE(UPPER(TRIM(A1105)),"[MEMBER]",""),"{MEMBER}",""),"[MEMBER}",""),"MEMBER]",""),"(A)",""),"""",""),"“",""),"”",""),".",""),":",""),",",""),"–"," "),"-"," "),"/"," "),"&amp;"," AND "))&amp;" "," THE "," ")," TOTAL "," ")," OPERATIONS "," "))</f>
        <v>NETHERLANDS</v>
      </c>
      <c r="O1105" s="17" t="str">
        <f aca="false">IF(COUNTIFS($N$2:$N$2000,N1105,$D$2:$D$2000,"&lt;&gt;"&amp;D1105)&gt;0,"CONFLICT","")</f>
        <v/>
      </c>
      <c r="P1105" s="7"/>
    </row>
    <row r="1106" customFormat="false" ht="15" hidden="false" customHeight="false" outlineLevel="0" collapsed="false">
      <c r="A1106" s="7" t="s">
        <v>2426</v>
      </c>
      <c r="B1106" s="7" t="s">
        <v>1882</v>
      </c>
      <c r="C1106" s="7" t="s">
        <v>883</v>
      </c>
      <c r="D1106" s="6" t="s">
        <v>883</v>
      </c>
      <c r="E1106" s="6" t="s">
        <v>1880</v>
      </c>
      <c r="F1106" s="7" t="str">
        <f aca="false">IF($D1106="","",IFERROR(IF(INDEX(Hierarchy!$B$2:$B$1295,MATCH($D1106,Hierarchy!$A$2:$A$1295,0))="","",INDEX(Hierarchy!$B$2:$B$1295,MATCH($D1106,Hierarchy!$A$2:$A$1295,0))),"NODE NOT FOUND"))</f>
        <v>Country</v>
      </c>
      <c r="G1106" s="7" t="str">
        <f aca="false">IF($D1106="","",IFERROR(IF(INDEX(Hierarchy!$D$2:$D$1295,MATCH($D1106,Hierarchy!$A$2:$A$1295,0))="","",INDEX(Hierarchy!$D$2:$D$1295,MATCH($D1106,Hierarchy!$A$2:$A$1295,0))),"NODE NOT FOUND"))</f>
        <v>EMEA</v>
      </c>
      <c r="H1106" s="7" t="str">
        <f aca="false">IF($D1106="","",IFERROR(IF(INDEX(Hierarchy!$E$2:$E$1295,MATCH($D1106,Hierarchy!$A$2:$A$1295,0))="","",INDEX(Hierarchy!$E$2:$E$1295,MATCH($D1106,Hierarchy!$A$2:$A$1295,0))),"NODE NOT FOUND"))</f>
        <v>Europe</v>
      </c>
      <c r="I1106" s="7" t="str">
        <f aca="false">IF($D1106="","",IFERROR(IF(INDEX(Hierarchy!$F$2:$F$1295,MATCH($D1106,Hierarchy!$A$2:$A$1295,0))="","",INDEX(Hierarchy!$F$2:$F$1295,MATCH($D1106,Hierarchy!$A$2:$A$1295,0))),"NODE NOT FOUND"))</f>
        <v>Netherlands</v>
      </c>
      <c r="J1106" s="7" t="str">
        <f aca="false">IF($D1106="","",IFERROR(IF(INDEX(Hierarchy!$G$2:$G$1295,MATCH($D1106,Hierarchy!$A$2:$A$1295,0))="","",INDEX(Hierarchy!$G$2:$G$1295,MATCH($D1106,Hierarchy!$A$2:$A$1295,0))),"NODE NOT FOUND"))</f>
        <v>NLD</v>
      </c>
      <c r="K1106" s="7" t="str">
        <f aca="false">IF($D1106="","",IFERROR(IF(INDEX(Hierarchy!$H$2:$H$1295,MATCH($D1106,Hierarchy!$A$2:$A$1295,0))="","",INDEX(Hierarchy!$H$2:$H$1295,MATCH($D1106,Hierarchy!$A$2:$A$1295,0))),"NODE NOT FOUND"))</f>
        <v/>
      </c>
      <c r="L1106" s="7" t="str">
        <f aca="false">IF($D1106="","",IFERROR(IF(INDEX(Hierarchy!$I$2:$I$1295,MATCH($D1106,Hierarchy!$A$2:$A$1295,0))="","",INDEX(Hierarchy!$I$2:$I$1295,MATCH($D1106,Hierarchy!$A$2:$A$1295,0))),"NODE NOT FOUND"))</f>
        <v/>
      </c>
      <c r="M1106" s="17" t="str">
        <f aca="false">IF(B1106="Pre-seeded","Pre-seeded",IF(B1106="Review 2026-09-16","Added from review",IF(C1106="","New",IF(C1106=D1106,"","Changed"))))</f>
        <v/>
      </c>
      <c r="N1106" s="7" t="str">
        <f aca="false">TRIM(SUBSTITUTE(SUBSTITUTE(SUBSTITUTE(" "&amp;TRIM(SUBSTITUTE(SUBSTITUTE(SUBSTITUTE(SUBSTITUTE(SUBSTITUTE(SUBSTITUTE(SUBSTITUTE(SUBSTITUTE(SUBSTITUTE(SUBSTITUTE(SUBSTITUTE(SUBSTITUTE(SUBSTITUTE(SUBSTITUTE(SUBSTITUTE(UPPER(TRIM(A1106)),"[MEMBER]",""),"{MEMBER}",""),"[MEMBER}",""),"MEMBER]",""),"(A)",""),"""",""),"“",""),"”",""),".",""),":",""),",",""),"–"," "),"-"," "),"/"," "),"&amp;"," AND "))&amp;" "," THE "," ")," TOTAL "," ")," OPERATIONS "," "))</f>
        <v>NETHERLANDS</v>
      </c>
      <c r="O1106" s="17" t="str">
        <f aca="false">IF(COUNTIFS($N$2:$N$2000,N1106,$D$2:$D$2000,"&lt;&gt;"&amp;D1106)&gt;0,"CONFLICT","")</f>
        <v/>
      </c>
      <c r="P1106" s="7"/>
    </row>
    <row r="1107" customFormat="false" ht="15" hidden="false" customHeight="false" outlineLevel="0" collapsed="false">
      <c r="A1107" s="7" t="s">
        <v>994</v>
      </c>
      <c r="B1107" s="7" t="s">
        <v>1879</v>
      </c>
      <c r="C1107" s="7"/>
      <c r="D1107" s="6" t="s">
        <v>994</v>
      </c>
      <c r="E1107" s="6" t="s">
        <v>1880</v>
      </c>
      <c r="F1107" s="7" t="str">
        <f aca="false">IF($D1107="","",IFERROR(IF(INDEX(Hierarchy!$B$2:$B$1295,MATCH($D1107,Hierarchy!$A$2:$A$1295,0))="","",INDEX(Hierarchy!$B$2:$B$1295,MATCH($D1107,Hierarchy!$A$2:$A$1295,0))),"NODE NOT FOUND"))</f>
        <v>State/Province</v>
      </c>
      <c r="G1107" s="7" t="str">
        <f aca="false">IF($D1107="","",IFERROR(IF(INDEX(Hierarchy!$D$2:$D$1295,MATCH($D1107,Hierarchy!$A$2:$A$1295,0))="","",INDEX(Hierarchy!$D$2:$D$1295,MATCH($D1107,Hierarchy!$A$2:$A$1295,0))),"NODE NOT FOUND"))</f>
        <v>EMEA</v>
      </c>
      <c r="H1107" s="7" t="str">
        <f aca="false">IF($D1107="","",IFERROR(IF(INDEX(Hierarchy!$E$2:$E$1295,MATCH($D1107,Hierarchy!$A$2:$A$1295,0))="","",INDEX(Hierarchy!$E$2:$E$1295,MATCH($D1107,Hierarchy!$A$2:$A$1295,0))),"NODE NOT FOUND"))</f>
        <v>Europe</v>
      </c>
      <c r="I1107" s="7" t="str">
        <f aca="false">IF($D1107="","",IFERROR(IF(INDEX(Hierarchy!$F$2:$F$1295,MATCH($D1107,Hierarchy!$A$2:$A$1295,0))="","",INDEX(Hierarchy!$F$2:$F$1295,MATCH($D1107,Hierarchy!$A$2:$A$1295,0))),"NODE NOT FOUND"))</f>
        <v>Switzerland</v>
      </c>
      <c r="J1107" s="7" t="str">
        <f aca="false">IF($D1107="","",IFERROR(IF(INDEX(Hierarchy!$G$2:$G$1295,MATCH($D1107,Hierarchy!$A$2:$A$1295,0))="","",INDEX(Hierarchy!$G$2:$G$1295,MATCH($D1107,Hierarchy!$A$2:$A$1295,0))),"NODE NOT FOUND"))</f>
        <v>CHE</v>
      </c>
      <c r="K1107" s="7" t="str">
        <f aca="false">IF($D1107="","",IFERROR(IF(INDEX(Hierarchy!$H$2:$H$1295,MATCH($D1107,Hierarchy!$A$2:$A$1295,0))="","",INDEX(Hierarchy!$H$2:$H$1295,MATCH($D1107,Hierarchy!$A$2:$A$1295,0))),"NODE NOT FOUND"))</f>
        <v>Neuchâtel</v>
      </c>
      <c r="L1107" s="7" t="str">
        <f aca="false">IF($D1107="","",IFERROR(IF(INDEX(Hierarchy!$I$2:$I$1295,MATCH($D1107,Hierarchy!$A$2:$A$1295,0))="","",INDEX(Hierarchy!$I$2:$I$1295,MATCH($D1107,Hierarchy!$A$2:$A$1295,0))),"NODE NOT FOUND"))</f>
        <v/>
      </c>
      <c r="M1107" s="17" t="str">
        <f aca="false">IF(B1107="Pre-seeded","Pre-seeded",IF(B1107="Review 2026-09-16","Added from review",IF(C1107="","New",IF(C1107=D1107,"","Changed"))))</f>
        <v>Pre-seeded</v>
      </c>
      <c r="N1107" s="7" t="str">
        <f aca="false">TRIM(SUBSTITUTE(SUBSTITUTE(SUBSTITUTE(" "&amp;TRIM(SUBSTITUTE(SUBSTITUTE(SUBSTITUTE(SUBSTITUTE(SUBSTITUTE(SUBSTITUTE(SUBSTITUTE(SUBSTITUTE(SUBSTITUTE(SUBSTITUTE(SUBSTITUTE(SUBSTITUTE(SUBSTITUTE(SUBSTITUTE(SUBSTITUTE(UPPER(TRIM(A1107)),"[MEMBER]",""),"{MEMBER}",""),"[MEMBER}",""),"MEMBER]",""),"(A)",""),"""",""),"“",""),"”",""),".",""),":",""),",",""),"–"," "),"-"," "),"/"," "),"&amp;"," AND "))&amp;" "," THE "," ")," TOTAL "," ")," OPERATIONS "," "))</f>
        <v>NEUCHÂTEL</v>
      </c>
      <c r="O1107" s="17" t="str">
        <f aca="false">IF(COUNTIFS($N$2:$N$2000,N1107,$D$2:$D$2000,"&lt;&gt;"&amp;D1107)&gt;0,"CONFLICT","")</f>
        <v/>
      </c>
      <c r="P1107" s="7"/>
    </row>
    <row r="1108" customFormat="false" ht="15" hidden="false" customHeight="false" outlineLevel="0" collapsed="false">
      <c r="A1108" s="7" t="s">
        <v>443</v>
      </c>
      <c r="B1108" s="7" t="s">
        <v>1879</v>
      </c>
      <c r="C1108" s="7"/>
      <c r="D1108" s="6" t="s">
        <v>443</v>
      </c>
      <c r="E1108" s="6" t="s">
        <v>1880</v>
      </c>
      <c r="F1108" s="7" t="str">
        <f aca="false">IF($D1108="","",IFERROR(IF(INDEX(Hierarchy!$B$2:$B$1295,MATCH($D1108,Hierarchy!$A$2:$A$1295,0))="","",INDEX(Hierarchy!$B$2:$B$1295,MATCH($D1108,Hierarchy!$A$2:$A$1295,0))),"NODE NOT FOUND"))</f>
        <v>State/Province</v>
      </c>
      <c r="G1108" s="7" t="str">
        <f aca="false">IF($D1108="","",IFERROR(IF(INDEX(Hierarchy!$D$2:$D$1295,MATCH($D1108,Hierarchy!$A$2:$A$1295,0))="","",INDEX(Hierarchy!$D$2:$D$1295,MATCH($D1108,Hierarchy!$A$2:$A$1295,0))),"NODE NOT FOUND"))</f>
        <v>AMER</v>
      </c>
      <c r="H1108" s="7" t="str">
        <f aca="false">IF($D1108="","",IFERROR(IF(INDEX(Hierarchy!$E$2:$E$1295,MATCH($D1108,Hierarchy!$A$2:$A$1295,0))="","",INDEX(Hierarchy!$E$2:$E$1295,MATCH($D1108,Hierarchy!$A$2:$A$1295,0))),"NODE NOT FOUND"))</f>
        <v>Latin America (LATAM)</v>
      </c>
      <c r="I1108" s="7" t="str">
        <f aca="false">IF($D1108="","",IFERROR(IF(INDEX(Hierarchy!$F$2:$F$1295,MATCH($D1108,Hierarchy!$A$2:$A$1295,0))="","",INDEX(Hierarchy!$F$2:$F$1295,MATCH($D1108,Hierarchy!$A$2:$A$1295,0))),"NODE NOT FOUND"))</f>
        <v>Argentina</v>
      </c>
      <c r="J1108" s="7" t="str">
        <f aca="false">IF($D1108="","",IFERROR(IF(INDEX(Hierarchy!$G$2:$G$1295,MATCH($D1108,Hierarchy!$A$2:$A$1295,0))="","",INDEX(Hierarchy!$G$2:$G$1295,MATCH($D1108,Hierarchy!$A$2:$A$1295,0))),"NODE NOT FOUND"))</f>
        <v>ARG</v>
      </c>
      <c r="K1108" s="7" t="str">
        <f aca="false">IF($D1108="","",IFERROR(IF(INDEX(Hierarchy!$H$2:$H$1295,MATCH($D1108,Hierarchy!$A$2:$A$1295,0))="","",INDEX(Hierarchy!$H$2:$H$1295,MATCH($D1108,Hierarchy!$A$2:$A$1295,0))),"NODE NOT FOUND"))</f>
        <v>Neuquén</v>
      </c>
      <c r="L1108" s="7" t="str">
        <f aca="false">IF($D1108="","",IFERROR(IF(INDEX(Hierarchy!$I$2:$I$1295,MATCH($D1108,Hierarchy!$A$2:$A$1295,0))="","",INDEX(Hierarchy!$I$2:$I$1295,MATCH($D1108,Hierarchy!$A$2:$A$1295,0))),"NODE NOT FOUND"))</f>
        <v/>
      </c>
      <c r="M1108" s="17" t="str">
        <f aca="false">IF(B1108="Pre-seeded","Pre-seeded",IF(B1108="Review 2026-09-16","Added from review",IF(C1108="","New",IF(C1108=D1108,"","Changed"))))</f>
        <v>Pre-seeded</v>
      </c>
      <c r="N1108" s="7" t="str">
        <f aca="false">TRIM(SUBSTITUTE(SUBSTITUTE(SUBSTITUTE(" "&amp;TRIM(SUBSTITUTE(SUBSTITUTE(SUBSTITUTE(SUBSTITUTE(SUBSTITUTE(SUBSTITUTE(SUBSTITUTE(SUBSTITUTE(SUBSTITUTE(SUBSTITUTE(SUBSTITUTE(SUBSTITUTE(SUBSTITUTE(SUBSTITUTE(SUBSTITUTE(UPPER(TRIM(A1108)),"[MEMBER]",""),"{MEMBER}",""),"[MEMBER}",""),"MEMBER]",""),"(A)",""),"""",""),"“",""),"”",""),".",""),":",""),",",""),"–"," "),"-"," "),"/"," "),"&amp;"," AND "))&amp;" "," THE "," ")," TOTAL "," ")," OPERATIONS "," "))</f>
        <v>NEUQUÉN</v>
      </c>
      <c r="O1108" s="17" t="str">
        <f aca="false">IF(COUNTIFS($N$2:$N$2000,N1108,$D$2:$D$2000,"&lt;&gt;"&amp;D1108)&gt;0,"CONFLICT","")</f>
        <v/>
      </c>
      <c r="P1108" s="7"/>
    </row>
    <row r="1109" customFormat="false" ht="15" hidden="false" customHeight="false" outlineLevel="0" collapsed="false">
      <c r="A1109" s="7" t="s">
        <v>207</v>
      </c>
      <c r="B1109" s="7" t="s">
        <v>1882</v>
      </c>
      <c r="C1109" s="7" t="s">
        <v>207</v>
      </c>
      <c r="D1109" s="6" t="s">
        <v>207</v>
      </c>
      <c r="E1109" s="6" t="s">
        <v>1880</v>
      </c>
      <c r="F1109" s="7" t="str">
        <f aca="false">IF($D1109="","",IFERROR(IF(INDEX(Hierarchy!$B$2:$B$1295,MATCH($D1109,Hierarchy!$A$2:$A$1295,0))="","",INDEX(Hierarchy!$B$2:$B$1295,MATCH($D1109,Hierarchy!$A$2:$A$1295,0))),"NODE NOT FOUND"))</f>
        <v>State/Province</v>
      </c>
      <c r="G1109" s="7" t="str">
        <f aca="false">IF($D1109="","",IFERROR(IF(INDEX(Hierarchy!$D$2:$D$1295,MATCH($D1109,Hierarchy!$A$2:$A$1295,0))="","",INDEX(Hierarchy!$D$2:$D$1295,MATCH($D1109,Hierarchy!$A$2:$A$1295,0))),"NODE NOT FOUND"))</f>
        <v>AMER</v>
      </c>
      <c r="H1109" s="7" t="str">
        <f aca="false">IF($D1109="","",IFERROR(IF(INDEX(Hierarchy!$E$2:$E$1295,MATCH($D1109,Hierarchy!$A$2:$A$1295,0))="","",INDEX(Hierarchy!$E$2:$E$1295,MATCH($D1109,Hierarchy!$A$2:$A$1295,0))),"NODE NOT FOUND"))</f>
        <v>North America (NORAM)</v>
      </c>
      <c r="I1109" s="7" t="str">
        <f aca="false">IF($D1109="","",IFERROR(IF(INDEX(Hierarchy!$F$2:$F$1295,MATCH($D1109,Hierarchy!$A$2:$A$1295,0))="","",INDEX(Hierarchy!$F$2:$F$1295,MATCH($D1109,Hierarchy!$A$2:$A$1295,0))),"NODE NOT FOUND"))</f>
        <v>United States</v>
      </c>
      <c r="J1109" s="7" t="str">
        <f aca="false">IF($D1109="","",IFERROR(IF(INDEX(Hierarchy!$G$2:$G$1295,MATCH($D1109,Hierarchy!$A$2:$A$1295,0))="","",INDEX(Hierarchy!$G$2:$G$1295,MATCH($D1109,Hierarchy!$A$2:$A$1295,0))),"NODE NOT FOUND"))</f>
        <v>USA</v>
      </c>
      <c r="K1109" s="7" t="str">
        <f aca="false">IF($D1109="","",IFERROR(IF(INDEX(Hierarchy!$H$2:$H$1295,MATCH($D1109,Hierarchy!$A$2:$A$1295,0))="","",INDEX(Hierarchy!$H$2:$H$1295,MATCH($D1109,Hierarchy!$A$2:$A$1295,0))),"NODE NOT FOUND"))</f>
        <v>Nevada</v>
      </c>
      <c r="L1109" s="7" t="str">
        <f aca="false">IF($D1109="","",IFERROR(IF(INDEX(Hierarchy!$I$2:$I$1295,MATCH($D1109,Hierarchy!$A$2:$A$1295,0))="","",INDEX(Hierarchy!$I$2:$I$1295,MATCH($D1109,Hierarchy!$A$2:$A$1295,0))),"NODE NOT FOUND"))</f>
        <v/>
      </c>
      <c r="M1109" s="17" t="str">
        <f aca="false">IF(B1109="Pre-seeded","Pre-seeded",IF(B1109="Review 2026-09-16","Added from review",IF(C1109="","New",IF(C1109=D1109,"","Changed"))))</f>
        <v/>
      </c>
      <c r="N1109" s="7" t="str">
        <f aca="false">TRIM(SUBSTITUTE(SUBSTITUTE(SUBSTITUTE(" "&amp;TRIM(SUBSTITUTE(SUBSTITUTE(SUBSTITUTE(SUBSTITUTE(SUBSTITUTE(SUBSTITUTE(SUBSTITUTE(SUBSTITUTE(SUBSTITUTE(SUBSTITUTE(SUBSTITUTE(SUBSTITUTE(SUBSTITUTE(SUBSTITUTE(SUBSTITUTE(UPPER(TRIM(A1109)),"[MEMBER]",""),"{MEMBER}",""),"[MEMBER}",""),"MEMBER]",""),"(A)",""),"""",""),"“",""),"”",""),".",""),":",""),",",""),"–"," "),"-"," "),"/"," "),"&amp;"," AND "))&amp;" "," THE "," ")," TOTAL "," ")," OPERATIONS "," "))</f>
        <v>NEVADA</v>
      </c>
      <c r="O1109" s="17" t="str">
        <f aca="false">IF(COUNTIFS($N$2:$N$2000,N1109,$D$2:$D$2000,"&lt;&gt;"&amp;D1109)&gt;0,"CONFLICT","")</f>
        <v/>
      </c>
      <c r="P1109" s="7"/>
    </row>
    <row r="1110" customFormat="false" ht="15" hidden="false" customHeight="false" outlineLevel="0" collapsed="false">
      <c r="A1110" s="7" t="s">
        <v>2427</v>
      </c>
      <c r="B1110" s="7" t="s">
        <v>1882</v>
      </c>
      <c r="C1110" s="7" t="s">
        <v>207</v>
      </c>
      <c r="D1110" s="6" t="s">
        <v>207</v>
      </c>
      <c r="E1110" s="6" t="s">
        <v>1880</v>
      </c>
      <c r="F1110" s="7" t="str">
        <f aca="false">IF($D1110="","",IFERROR(IF(INDEX(Hierarchy!$B$2:$B$1295,MATCH($D1110,Hierarchy!$A$2:$A$1295,0))="","",INDEX(Hierarchy!$B$2:$B$1295,MATCH($D1110,Hierarchy!$A$2:$A$1295,0))),"NODE NOT FOUND"))</f>
        <v>State/Province</v>
      </c>
      <c r="G1110" s="7" t="str">
        <f aca="false">IF($D1110="","",IFERROR(IF(INDEX(Hierarchy!$D$2:$D$1295,MATCH($D1110,Hierarchy!$A$2:$A$1295,0))="","",INDEX(Hierarchy!$D$2:$D$1295,MATCH($D1110,Hierarchy!$A$2:$A$1295,0))),"NODE NOT FOUND"))</f>
        <v>AMER</v>
      </c>
      <c r="H1110" s="7" t="str">
        <f aca="false">IF($D1110="","",IFERROR(IF(INDEX(Hierarchy!$E$2:$E$1295,MATCH($D1110,Hierarchy!$A$2:$A$1295,0))="","",INDEX(Hierarchy!$E$2:$E$1295,MATCH($D1110,Hierarchy!$A$2:$A$1295,0))),"NODE NOT FOUND"))</f>
        <v>North America (NORAM)</v>
      </c>
      <c r="I1110" s="7" t="str">
        <f aca="false">IF($D1110="","",IFERROR(IF(INDEX(Hierarchy!$F$2:$F$1295,MATCH($D1110,Hierarchy!$A$2:$A$1295,0))="","",INDEX(Hierarchy!$F$2:$F$1295,MATCH($D1110,Hierarchy!$A$2:$A$1295,0))),"NODE NOT FOUND"))</f>
        <v>United States</v>
      </c>
      <c r="J1110" s="7" t="str">
        <f aca="false">IF($D1110="","",IFERROR(IF(INDEX(Hierarchy!$G$2:$G$1295,MATCH($D1110,Hierarchy!$A$2:$A$1295,0))="","",INDEX(Hierarchy!$G$2:$G$1295,MATCH($D1110,Hierarchy!$A$2:$A$1295,0))),"NODE NOT FOUND"))</f>
        <v>USA</v>
      </c>
      <c r="K1110" s="7" t="str">
        <f aca="false">IF($D1110="","",IFERROR(IF(INDEX(Hierarchy!$H$2:$H$1295,MATCH($D1110,Hierarchy!$A$2:$A$1295,0))="","",INDEX(Hierarchy!$H$2:$H$1295,MATCH($D1110,Hierarchy!$A$2:$A$1295,0))),"NODE NOT FOUND"))</f>
        <v>Nevada</v>
      </c>
      <c r="L1110" s="7" t="str">
        <f aca="false">IF($D1110="","",IFERROR(IF(INDEX(Hierarchy!$I$2:$I$1295,MATCH($D1110,Hierarchy!$A$2:$A$1295,0))="","",INDEX(Hierarchy!$I$2:$I$1295,MATCH($D1110,Hierarchy!$A$2:$A$1295,0))),"NODE NOT FOUND"))</f>
        <v/>
      </c>
      <c r="M1110" s="17" t="str">
        <f aca="false">IF(B1110="Pre-seeded","Pre-seeded",IF(B1110="Review 2026-09-16","Added from review",IF(C1110="","New",IF(C1110=D1110,"","Changed"))))</f>
        <v/>
      </c>
      <c r="N1110" s="7" t="str">
        <f aca="false">TRIM(SUBSTITUTE(SUBSTITUTE(SUBSTITUTE(" "&amp;TRIM(SUBSTITUTE(SUBSTITUTE(SUBSTITUTE(SUBSTITUTE(SUBSTITUTE(SUBSTITUTE(SUBSTITUTE(SUBSTITUTE(SUBSTITUTE(SUBSTITUTE(SUBSTITUTE(SUBSTITUTE(SUBSTITUTE(SUBSTITUTE(SUBSTITUTE(UPPER(TRIM(A1110)),"[MEMBER]",""),"{MEMBER}",""),"[MEMBER}",""),"MEMBER]",""),"(A)",""),"""",""),"“",""),"”",""),".",""),":",""),",",""),"–"," "),"-"," "),"/"," "),"&amp;"," AND "))&amp;" "," THE "," ")," TOTAL "," ")," OPERATIONS "," "))</f>
        <v>NEVADA</v>
      </c>
      <c r="O1110" s="17" t="str">
        <f aca="false">IF(COUNTIFS($N$2:$N$2000,N1110,$D$2:$D$2000,"&lt;&gt;"&amp;D1110)&gt;0,"CONFLICT","")</f>
        <v/>
      </c>
      <c r="P1110" s="7"/>
    </row>
    <row r="1111" customFormat="false" ht="15" hidden="false" customHeight="false" outlineLevel="0" collapsed="false">
      <c r="A1111" s="7" t="s">
        <v>287</v>
      </c>
      <c r="B1111" s="7" t="s">
        <v>1879</v>
      </c>
      <c r="C1111" s="7"/>
      <c r="D1111" s="6" t="s">
        <v>287</v>
      </c>
      <c r="E1111" s="6" t="s">
        <v>1880</v>
      </c>
      <c r="F1111" s="7" t="str">
        <f aca="false">IF($D1111="","",IFERROR(IF(INDEX(Hierarchy!$B$2:$B$1295,MATCH($D1111,Hierarchy!$A$2:$A$1295,0))="","",INDEX(Hierarchy!$B$2:$B$1295,MATCH($D1111,Hierarchy!$A$2:$A$1295,0))),"NODE NOT FOUND"))</f>
        <v>State/Province</v>
      </c>
      <c r="G1111" s="7" t="str">
        <f aca="false">IF($D1111="","",IFERROR(IF(INDEX(Hierarchy!$D$2:$D$1295,MATCH($D1111,Hierarchy!$A$2:$A$1295,0))="","",INDEX(Hierarchy!$D$2:$D$1295,MATCH($D1111,Hierarchy!$A$2:$A$1295,0))),"NODE NOT FOUND"))</f>
        <v>AMER</v>
      </c>
      <c r="H1111" s="7" t="str">
        <f aca="false">IF($D1111="","",IFERROR(IF(INDEX(Hierarchy!$E$2:$E$1295,MATCH($D1111,Hierarchy!$A$2:$A$1295,0))="","",INDEX(Hierarchy!$E$2:$E$1295,MATCH($D1111,Hierarchy!$A$2:$A$1295,0))),"NODE NOT FOUND"))</f>
        <v>North America (NORAM)</v>
      </c>
      <c r="I1111" s="7" t="str">
        <f aca="false">IF($D1111="","",IFERROR(IF(INDEX(Hierarchy!$F$2:$F$1295,MATCH($D1111,Hierarchy!$A$2:$A$1295,0))="","",INDEX(Hierarchy!$F$2:$F$1295,MATCH($D1111,Hierarchy!$A$2:$A$1295,0))),"NODE NOT FOUND"))</f>
        <v>Canada</v>
      </c>
      <c r="J1111" s="7" t="str">
        <f aca="false">IF($D1111="","",IFERROR(IF(INDEX(Hierarchy!$G$2:$G$1295,MATCH($D1111,Hierarchy!$A$2:$A$1295,0))="","",INDEX(Hierarchy!$G$2:$G$1295,MATCH($D1111,Hierarchy!$A$2:$A$1295,0))),"NODE NOT FOUND"))</f>
        <v>CAN</v>
      </c>
      <c r="K1111" s="7" t="str">
        <f aca="false">IF($D1111="","",IFERROR(IF(INDEX(Hierarchy!$H$2:$H$1295,MATCH($D1111,Hierarchy!$A$2:$A$1295,0))="","",INDEX(Hierarchy!$H$2:$H$1295,MATCH($D1111,Hierarchy!$A$2:$A$1295,0))),"NODE NOT FOUND"))</f>
        <v>New Brunswick</v>
      </c>
      <c r="L1111" s="7" t="str">
        <f aca="false">IF($D1111="","",IFERROR(IF(INDEX(Hierarchy!$I$2:$I$1295,MATCH($D1111,Hierarchy!$A$2:$A$1295,0))="","",INDEX(Hierarchy!$I$2:$I$1295,MATCH($D1111,Hierarchy!$A$2:$A$1295,0))),"NODE NOT FOUND"))</f>
        <v/>
      </c>
      <c r="M1111" s="17" t="str">
        <f aca="false">IF(B1111="Pre-seeded","Pre-seeded",IF(B1111="Review 2026-09-16","Added from review",IF(C1111="","New",IF(C1111=D1111,"","Changed"))))</f>
        <v>Pre-seeded</v>
      </c>
      <c r="N1111" s="7" t="str">
        <f aca="false">TRIM(SUBSTITUTE(SUBSTITUTE(SUBSTITUTE(" "&amp;TRIM(SUBSTITUTE(SUBSTITUTE(SUBSTITUTE(SUBSTITUTE(SUBSTITUTE(SUBSTITUTE(SUBSTITUTE(SUBSTITUTE(SUBSTITUTE(SUBSTITUTE(SUBSTITUTE(SUBSTITUTE(SUBSTITUTE(SUBSTITUTE(SUBSTITUTE(UPPER(TRIM(A1111)),"[MEMBER]",""),"{MEMBER}",""),"[MEMBER}",""),"MEMBER]",""),"(A)",""),"""",""),"“",""),"”",""),".",""),":",""),",",""),"–"," "),"-"," "),"/"," "),"&amp;"," AND "))&amp;" "," THE "," ")," TOTAL "," ")," OPERATIONS "," "))</f>
        <v>NEW BRUNSWICK</v>
      </c>
      <c r="O1111" s="17" t="str">
        <f aca="false">IF(COUNTIFS($N$2:$N$2000,N1111,$D$2:$D$2000,"&lt;&gt;"&amp;D1111)&gt;0,"CONFLICT","")</f>
        <v/>
      </c>
      <c r="P1111" s="7"/>
    </row>
    <row r="1112" customFormat="false" ht="15" hidden="false" customHeight="false" outlineLevel="0" collapsed="false">
      <c r="A1112" s="7" t="s">
        <v>1758</v>
      </c>
      <c r="B1112" s="7" t="s">
        <v>1879</v>
      </c>
      <c r="C1112" s="7"/>
      <c r="D1112" s="6" t="s">
        <v>1758</v>
      </c>
      <c r="E1112" s="6" t="s">
        <v>1880</v>
      </c>
      <c r="F1112" s="7" t="str">
        <f aca="false">IF($D1112="","",IFERROR(IF(INDEX(Hierarchy!$B$2:$B$1295,MATCH($D1112,Hierarchy!$A$2:$A$1295,0))="","",INDEX(Hierarchy!$B$2:$B$1295,MATCH($D1112,Hierarchy!$A$2:$A$1295,0))),"NODE NOT FOUND"))</f>
        <v>Country</v>
      </c>
      <c r="G1112" s="7" t="str">
        <f aca="false">IF($D1112="","",IFERROR(IF(INDEX(Hierarchy!$D$2:$D$1295,MATCH($D1112,Hierarchy!$A$2:$A$1295,0))="","",INDEX(Hierarchy!$D$2:$D$1295,MATCH($D1112,Hierarchy!$A$2:$A$1295,0))),"NODE NOT FOUND"))</f>
        <v>APAC</v>
      </c>
      <c r="H1112" s="7" t="str">
        <f aca="false">IF($D1112="","",IFERROR(IF(INDEX(Hierarchy!$E$2:$E$1295,MATCH($D1112,Hierarchy!$A$2:$A$1295,0))="","",INDEX(Hierarchy!$E$2:$E$1295,MATCH($D1112,Hierarchy!$A$2:$A$1295,0))),"NODE NOT FOUND"))</f>
        <v>Oceania (ANZ)</v>
      </c>
      <c r="I1112" s="7" t="str">
        <f aca="false">IF($D1112="","",IFERROR(IF(INDEX(Hierarchy!$F$2:$F$1295,MATCH($D1112,Hierarchy!$A$2:$A$1295,0))="","",INDEX(Hierarchy!$F$2:$F$1295,MATCH($D1112,Hierarchy!$A$2:$A$1295,0))),"NODE NOT FOUND"))</f>
        <v>New Caledonia</v>
      </c>
      <c r="J1112" s="7" t="str">
        <f aca="false">IF($D1112="","",IFERROR(IF(INDEX(Hierarchy!$G$2:$G$1295,MATCH($D1112,Hierarchy!$A$2:$A$1295,0))="","",INDEX(Hierarchy!$G$2:$G$1295,MATCH($D1112,Hierarchy!$A$2:$A$1295,0))),"NODE NOT FOUND"))</f>
        <v>NCL</v>
      </c>
      <c r="K1112" s="7" t="str">
        <f aca="false">IF($D1112="","",IFERROR(IF(INDEX(Hierarchy!$H$2:$H$1295,MATCH($D1112,Hierarchy!$A$2:$A$1295,0))="","",INDEX(Hierarchy!$H$2:$H$1295,MATCH($D1112,Hierarchy!$A$2:$A$1295,0))),"NODE NOT FOUND"))</f>
        <v/>
      </c>
      <c r="L1112" s="7" t="str">
        <f aca="false">IF($D1112="","",IFERROR(IF(INDEX(Hierarchy!$I$2:$I$1295,MATCH($D1112,Hierarchy!$A$2:$A$1295,0))="","",INDEX(Hierarchy!$I$2:$I$1295,MATCH($D1112,Hierarchy!$A$2:$A$1295,0))),"NODE NOT FOUND"))</f>
        <v/>
      </c>
      <c r="M1112" s="17" t="str">
        <f aca="false">IF(B1112="Pre-seeded","Pre-seeded",IF(B1112="Review 2026-09-16","Added from review",IF(C1112="","New",IF(C1112=D1112,"","Changed"))))</f>
        <v>Pre-seeded</v>
      </c>
      <c r="N1112" s="7" t="str">
        <f aca="false">TRIM(SUBSTITUTE(SUBSTITUTE(SUBSTITUTE(" "&amp;TRIM(SUBSTITUTE(SUBSTITUTE(SUBSTITUTE(SUBSTITUTE(SUBSTITUTE(SUBSTITUTE(SUBSTITUTE(SUBSTITUTE(SUBSTITUTE(SUBSTITUTE(SUBSTITUTE(SUBSTITUTE(SUBSTITUTE(SUBSTITUTE(SUBSTITUTE(UPPER(TRIM(A1112)),"[MEMBER]",""),"{MEMBER}",""),"[MEMBER}",""),"MEMBER]",""),"(A)",""),"""",""),"“",""),"”",""),".",""),":",""),",",""),"–"," "),"-"," "),"/"," "),"&amp;"," AND "))&amp;" "," THE "," ")," TOTAL "," ")," OPERATIONS "," "))</f>
        <v>NEW CALEDONIA</v>
      </c>
      <c r="O1112" s="17" t="str">
        <f aca="false">IF(COUNTIFS($N$2:$N$2000,N1112,$D$2:$D$2000,"&lt;&gt;"&amp;D1112)&gt;0,"CONFLICT","")</f>
        <v/>
      </c>
      <c r="P1112" s="7"/>
    </row>
    <row r="1113" customFormat="false" ht="15" hidden="false" customHeight="false" outlineLevel="0" collapsed="false">
      <c r="A1113" s="7" t="s">
        <v>1335</v>
      </c>
      <c r="B1113" s="7" t="s">
        <v>1879</v>
      </c>
      <c r="C1113" s="7"/>
      <c r="D1113" s="6" t="s">
        <v>1334</v>
      </c>
      <c r="E1113" s="6" t="s">
        <v>1880</v>
      </c>
      <c r="F1113" s="7" t="str">
        <f aca="false">IF($D1113="","",IFERROR(IF(INDEX(Hierarchy!$B$2:$B$1295,MATCH($D1113,Hierarchy!$A$2:$A$1295,0))="","",INDEX(Hierarchy!$B$2:$B$1295,MATCH($D1113,Hierarchy!$A$2:$A$1295,0))),"NODE NOT FOUND"))</f>
        <v>State/Province</v>
      </c>
      <c r="G1113" s="7" t="str">
        <f aca="false">IF($D1113="","",IFERROR(IF(INDEX(Hierarchy!$D$2:$D$1295,MATCH($D1113,Hierarchy!$A$2:$A$1295,0))="","",INDEX(Hierarchy!$D$2:$D$1295,MATCH($D1113,Hierarchy!$A$2:$A$1295,0))),"NODE NOT FOUND"))</f>
        <v>APAC</v>
      </c>
      <c r="H1113" s="7" t="str">
        <f aca="false">IF($D1113="","",IFERROR(IF(INDEX(Hierarchy!$E$2:$E$1295,MATCH($D1113,Hierarchy!$A$2:$A$1295,0))="","",INDEX(Hierarchy!$E$2:$E$1295,MATCH($D1113,Hierarchy!$A$2:$A$1295,0))),"NODE NOT FOUND"))</f>
        <v>South Asia</v>
      </c>
      <c r="I1113" s="7" t="str">
        <f aca="false">IF($D1113="","",IFERROR(IF(INDEX(Hierarchy!$F$2:$F$1295,MATCH($D1113,Hierarchy!$A$2:$A$1295,0))="","",INDEX(Hierarchy!$F$2:$F$1295,MATCH($D1113,Hierarchy!$A$2:$A$1295,0))),"NODE NOT FOUND"))</f>
        <v>India</v>
      </c>
      <c r="J1113" s="7" t="str">
        <f aca="false">IF($D1113="","",IFERROR(IF(INDEX(Hierarchy!$G$2:$G$1295,MATCH($D1113,Hierarchy!$A$2:$A$1295,0))="","",INDEX(Hierarchy!$G$2:$G$1295,MATCH($D1113,Hierarchy!$A$2:$A$1295,0))),"NODE NOT FOUND"))</f>
        <v>IND</v>
      </c>
      <c r="K1113" s="7" t="str">
        <f aca="false">IF($D1113="","",IFERROR(IF(INDEX(Hierarchy!$H$2:$H$1295,MATCH($D1113,Hierarchy!$A$2:$A$1295,0))="","",INDEX(Hierarchy!$H$2:$H$1295,MATCH($D1113,Hierarchy!$A$2:$A$1295,0))),"NODE NOT FOUND"))</f>
        <v>Delhi</v>
      </c>
      <c r="L1113" s="7" t="str">
        <f aca="false">IF($D1113="","",IFERROR(IF(INDEX(Hierarchy!$I$2:$I$1295,MATCH($D1113,Hierarchy!$A$2:$A$1295,0))="","",INDEX(Hierarchy!$I$2:$I$1295,MATCH($D1113,Hierarchy!$A$2:$A$1295,0))),"NODE NOT FOUND"))</f>
        <v/>
      </c>
      <c r="M1113" s="17" t="str">
        <f aca="false">IF(B1113="Pre-seeded","Pre-seeded",IF(B1113="Review 2026-09-16","Added from review",IF(C1113="","New",IF(C1113=D1113,"","Changed"))))</f>
        <v>Pre-seeded</v>
      </c>
      <c r="N1113" s="7" t="str">
        <f aca="false">TRIM(SUBSTITUTE(SUBSTITUTE(SUBSTITUTE(" "&amp;TRIM(SUBSTITUTE(SUBSTITUTE(SUBSTITUTE(SUBSTITUTE(SUBSTITUTE(SUBSTITUTE(SUBSTITUTE(SUBSTITUTE(SUBSTITUTE(SUBSTITUTE(SUBSTITUTE(SUBSTITUTE(SUBSTITUTE(SUBSTITUTE(SUBSTITUTE(UPPER(TRIM(A1113)),"[MEMBER]",""),"{MEMBER}",""),"[MEMBER}",""),"MEMBER]",""),"(A)",""),"""",""),"“",""),"”",""),".",""),":",""),",",""),"–"," "),"-"," "),"/"," "),"&amp;"," AND "))&amp;" "," THE "," ")," TOTAL "," ")," OPERATIONS "," "))</f>
        <v>NEW DELHI</v>
      </c>
      <c r="O1113" s="17" t="str">
        <f aca="false">IF(COUNTIFS($N$2:$N$2000,N1113,$D$2:$D$2000,"&lt;&gt;"&amp;D1113)&gt;0,"CONFLICT","")</f>
        <v/>
      </c>
      <c r="P1113" s="7"/>
    </row>
    <row r="1114" customFormat="false" ht="15" hidden="false" customHeight="false" outlineLevel="0" collapsed="false">
      <c r="A1114" s="7" t="s">
        <v>2428</v>
      </c>
      <c r="B1114" s="7" t="s">
        <v>1879</v>
      </c>
      <c r="C1114" s="7"/>
      <c r="D1114" s="6" t="s">
        <v>102</v>
      </c>
      <c r="E1114" s="6" t="s">
        <v>1880</v>
      </c>
      <c r="F1114" s="7" t="str">
        <f aca="false">IF($D1114="","",IFERROR(IF(INDEX(Hierarchy!$B$2:$B$1295,MATCH($D1114,Hierarchy!$A$2:$A$1295,0))="","",INDEX(Hierarchy!$B$2:$B$1295,MATCH($D1114,Hierarchy!$A$2:$A$1295,0))),"NODE NOT FOUND"))</f>
        <v>Sub-national region</v>
      </c>
      <c r="G1114" s="7" t="str">
        <f aca="false">IF($D1114="","",IFERROR(IF(INDEX(Hierarchy!$D$2:$D$1295,MATCH($D1114,Hierarchy!$A$2:$A$1295,0))="","",INDEX(Hierarchy!$D$2:$D$1295,MATCH($D1114,Hierarchy!$A$2:$A$1295,0))),"NODE NOT FOUND"))</f>
        <v>AMER</v>
      </c>
      <c r="H1114" s="7" t="str">
        <f aca="false">IF($D1114="","",IFERROR(IF(INDEX(Hierarchy!$E$2:$E$1295,MATCH($D1114,Hierarchy!$A$2:$A$1295,0))="","",INDEX(Hierarchy!$E$2:$E$1295,MATCH($D1114,Hierarchy!$A$2:$A$1295,0))),"NODE NOT FOUND"))</f>
        <v>North America (NORAM)</v>
      </c>
      <c r="I1114" s="7" t="str">
        <f aca="false">IF($D1114="","",IFERROR(IF(INDEX(Hierarchy!$F$2:$F$1295,MATCH($D1114,Hierarchy!$A$2:$A$1295,0))="","",INDEX(Hierarchy!$F$2:$F$1295,MATCH($D1114,Hierarchy!$A$2:$A$1295,0))),"NODE NOT FOUND"))</f>
        <v>United States</v>
      </c>
      <c r="J1114" s="7" t="str">
        <f aca="false">IF($D1114="","",IFERROR(IF(INDEX(Hierarchy!$G$2:$G$1295,MATCH($D1114,Hierarchy!$A$2:$A$1295,0))="","",INDEX(Hierarchy!$G$2:$G$1295,MATCH($D1114,Hierarchy!$A$2:$A$1295,0))),"NODE NOT FOUND"))</f>
        <v>USA</v>
      </c>
      <c r="K1114" s="7" t="str">
        <f aca="false">IF($D1114="","",IFERROR(IF(INDEX(Hierarchy!$H$2:$H$1295,MATCH($D1114,Hierarchy!$A$2:$A$1295,0))="","",INDEX(Hierarchy!$H$2:$H$1295,MATCH($D1114,Hierarchy!$A$2:$A$1295,0))),"NODE NOT FOUND"))</f>
        <v/>
      </c>
      <c r="L1114" s="7" t="str">
        <f aca="false">IF($D1114="","",IFERROR(IF(INDEX(Hierarchy!$I$2:$I$1295,MATCH($D1114,Hierarchy!$A$2:$A$1295,0))="","",INDEX(Hierarchy!$I$2:$I$1295,MATCH($D1114,Hierarchy!$A$2:$A$1295,0))),"NODE NOT FOUND"))</f>
        <v/>
      </c>
      <c r="M1114" s="17" t="str">
        <f aca="false">IF(B1114="Pre-seeded","Pre-seeded",IF(B1114="Review 2026-09-16","Added from review",IF(C1114="","New",IF(C1114=D1114,"","Changed"))))</f>
        <v>Pre-seeded</v>
      </c>
      <c r="N1114" s="7" t="str">
        <f aca="false">TRIM(SUBSTITUTE(SUBSTITUTE(SUBSTITUTE(" "&amp;TRIM(SUBSTITUTE(SUBSTITUTE(SUBSTITUTE(SUBSTITUTE(SUBSTITUTE(SUBSTITUTE(SUBSTITUTE(SUBSTITUTE(SUBSTITUTE(SUBSTITUTE(SUBSTITUTE(SUBSTITUTE(SUBSTITUTE(SUBSTITUTE(SUBSTITUTE(UPPER(TRIM(A1114)),"[MEMBER]",""),"{MEMBER}",""),"[MEMBER}",""),"MEMBER]",""),"(A)",""),"""",""),"“",""),"”",""),".",""),":",""),",",""),"–"," "),"-"," "),"/"," "),"&amp;"," AND "))&amp;" "," THE "," ")," TOTAL "," ")," OPERATIONS "," "))</f>
        <v>NEW ENGLAND</v>
      </c>
      <c r="O1114" s="17" t="str">
        <f aca="false">IF(COUNTIFS($N$2:$N$2000,N1114,$D$2:$D$2000,"&lt;&gt;"&amp;D1114)&gt;0,"CONFLICT","")</f>
        <v/>
      </c>
      <c r="P1114" s="7"/>
    </row>
    <row r="1115" customFormat="false" ht="15" hidden="false" customHeight="false" outlineLevel="0" collapsed="false">
      <c r="A1115" s="7" t="s">
        <v>210</v>
      </c>
      <c r="B1115" s="7" t="s">
        <v>1882</v>
      </c>
      <c r="C1115" s="7" t="s">
        <v>210</v>
      </c>
      <c r="D1115" s="6" t="s">
        <v>210</v>
      </c>
      <c r="E1115" s="6" t="s">
        <v>1880</v>
      </c>
      <c r="F1115" s="7" t="str">
        <f aca="false">IF($D1115="","",IFERROR(IF(INDEX(Hierarchy!$B$2:$B$1295,MATCH($D1115,Hierarchy!$A$2:$A$1295,0))="","",INDEX(Hierarchy!$B$2:$B$1295,MATCH($D1115,Hierarchy!$A$2:$A$1295,0))),"NODE NOT FOUND"))</f>
        <v>State/Province</v>
      </c>
      <c r="G1115" s="7" t="str">
        <f aca="false">IF($D1115="","",IFERROR(IF(INDEX(Hierarchy!$D$2:$D$1295,MATCH($D1115,Hierarchy!$A$2:$A$1295,0))="","",INDEX(Hierarchy!$D$2:$D$1295,MATCH($D1115,Hierarchy!$A$2:$A$1295,0))),"NODE NOT FOUND"))</f>
        <v>AMER</v>
      </c>
      <c r="H1115" s="7" t="str">
        <f aca="false">IF($D1115="","",IFERROR(IF(INDEX(Hierarchy!$E$2:$E$1295,MATCH($D1115,Hierarchy!$A$2:$A$1295,0))="","",INDEX(Hierarchy!$E$2:$E$1295,MATCH($D1115,Hierarchy!$A$2:$A$1295,0))),"NODE NOT FOUND"))</f>
        <v>North America (NORAM)</v>
      </c>
      <c r="I1115" s="7" t="str">
        <f aca="false">IF($D1115="","",IFERROR(IF(INDEX(Hierarchy!$F$2:$F$1295,MATCH($D1115,Hierarchy!$A$2:$A$1295,0))="","",INDEX(Hierarchy!$F$2:$F$1295,MATCH($D1115,Hierarchy!$A$2:$A$1295,0))),"NODE NOT FOUND"))</f>
        <v>United States</v>
      </c>
      <c r="J1115" s="7" t="str">
        <f aca="false">IF($D1115="","",IFERROR(IF(INDEX(Hierarchy!$G$2:$G$1295,MATCH($D1115,Hierarchy!$A$2:$A$1295,0))="","",INDEX(Hierarchy!$G$2:$G$1295,MATCH($D1115,Hierarchy!$A$2:$A$1295,0))),"NODE NOT FOUND"))</f>
        <v>USA</v>
      </c>
      <c r="K1115" s="7" t="str">
        <f aca="false">IF($D1115="","",IFERROR(IF(INDEX(Hierarchy!$H$2:$H$1295,MATCH($D1115,Hierarchy!$A$2:$A$1295,0))="","",INDEX(Hierarchy!$H$2:$H$1295,MATCH($D1115,Hierarchy!$A$2:$A$1295,0))),"NODE NOT FOUND"))</f>
        <v>New Hampshire</v>
      </c>
      <c r="L1115" s="7" t="str">
        <f aca="false">IF($D1115="","",IFERROR(IF(INDEX(Hierarchy!$I$2:$I$1295,MATCH($D1115,Hierarchy!$A$2:$A$1295,0))="","",INDEX(Hierarchy!$I$2:$I$1295,MATCH($D1115,Hierarchy!$A$2:$A$1295,0))),"NODE NOT FOUND"))</f>
        <v/>
      </c>
      <c r="M1115" s="17" t="str">
        <f aca="false">IF(B1115="Pre-seeded","Pre-seeded",IF(B1115="Review 2026-09-16","Added from review",IF(C1115="","New",IF(C1115=D1115,"","Changed"))))</f>
        <v/>
      </c>
      <c r="N1115" s="7" t="str">
        <f aca="false">TRIM(SUBSTITUTE(SUBSTITUTE(SUBSTITUTE(" "&amp;TRIM(SUBSTITUTE(SUBSTITUTE(SUBSTITUTE(SUBSTITUTE(SUBSTITUTE(SUBSTITUTE(SUBSTITUTE(SUBSTITUTE(SUBSTITUTE(SUBSTITUTE(SUBSTITUTE(SUBSTITUTE(SUBSTITUTE(SUBSTITUTE(SUBSTITUTE(UPPER(TRIM(A1115)),"[MEMBER]",""),"{MEMBER}",""),"[MEMBER}",""),"MEMBER]",""),"(A)",""),"""",""),"“",""),"”",""),".",""),":",""),",",""),"–"," "),"-"," "),"/"," "),"&amp;"," AND "))&amp;" "," THE "," ")," TOTAL "," ")," OPERATIONS "," "))</f>
        <v>NEW HAMPSHIRE</v>
      </c>
      <c r="O1115" s="17" t="str">
        <f aca="false">IF(COUNTIFS($N$2:$N$2000,N1115,$D$2:$D$2000,"&lt;&gt;"&amp;D1115)&gt;0,"CONFLICT","")</f>
        <v/>
      </c>
      <c r="P1115" s="7"/>
    </row>
    <row r="1116" customFormat="false" ht="15" hidden="false" customHeight="false" outlineLevel="0" collapsed="false">
      <c r="A1116" s="7" t="s">
        <v>211</v>
      </c>
      <c r="B1116" s="7" t="s">
        <v>1882</v>
      </c>
      <c r="C1116" s="7" t="s">
        <v>211</v>
      </c>
      <c r="D1116" s="6" t="s">
        <v>211</v>
      </c>
      <c r="E1116" s="6" t="s">
        <v>1880</v>
      </c>
      <c r="F1116" s="7" t="str">
        <f aca="false">IF($D1116="","",IFERROR(IF(INDEX(Hierarchy!$B$2:$B$1295,MATCH($D1116,Hierarchy!$A$2:$A$1295,0))="","",INDEX(Hierarchy!$B$2:$B$1295,MATCH($D1116,Hierarchy!$A$2:$A$1295,0))),"NODE NOT FOUND"))</f>
        <v>State/Province</v>
      </c>
      <c r="G1116" s="7" t="str">
        <f aca="false">IF($D1116="","",IFERROR(IF(INDEX(Hierarchy!$D$2:$D$1295,MATCH($D1116,Hierarchy!$A$2:$A$1295,0))="","",INDEX(Hierarchy!$D$2:$D$1295,MATCH($D1116,Hierarchy!$A$2:$A$1295,0))),"NODE NOT FOUND"))</f>
        <v>AMER</v>
      </c>
      <c r="H1116" s="7" t="str">
        <f aca="false">IF($D1116="","",IFERROR(IF(INDEX(Hierarchy!$E$2:$E$1295,MATCH($D1116,Hierarchy!$A$2:$A$1295,0))="","",INDEX(Hierarchy!$E$2:$E$1295,MATCH($D1116,Hierarchy!$A$2:$A$1295,0))),"NODE NOT FOUND"))</f>
        <v>North America (NORAM)</v>
      </c>
      <c r="I1116" s="7" t="str">
        <f aca="false">IF($D1116="","",IFERROR(IF(INDEX(Hierarchy!$F$2:$F$1295,MATCH($D1116,Hierarchy!$A$2:$A$1295,0))="","",INDEX(Hierarchy!$F$2:$F$1295,MATCH($D1116,Hierarchy!$A$2:$A$1295,0))),"NODE NOT FOUND"))</f>
        <v>United States</v>
      </c>
      <c r="J1116" s="7" t="str">
        <f aca="false">IF($D1116="","",IFERROR(IF(INDEX(Hierarchy!$G$2:$G$1295,MATCH($D1116,Hierarchy!$A$2:$A$1295,0))="","",INDEX(Hierarchy!$G$2:$G$1295,MATCH($D1116,Hierarchy!$A$2:$A$1295,0))),"NODE NOT FOUND"))</f>
        <v>USA</v>
      </c>
      <c r="K1116" s="7" t="str">
        <f aca="false">IF($D1116="","",IFERROR(IF(INDEX(Hierarchy!$H$2:$H$1295,MATCH($D1116,Hierarchy!$A$2:$A$1295,0))="","",INDEX(Hierarchy!$H$2:$H$1295,MATCH($D1116,Hierarchy!$A$2:$A$1295,0))),"NODE NOT FOUND"))</f>
        <v>New Jersey</v>
      </c>
      <c r="L1116" s="7" t="str">
        <f aca="false">IF($D1116="","",IFERROR(IF(INDEX(Hierarchy!$I$2:$I$1295,MATCH($D1116,Hierarchy!$A$2:$A$1295,0))="","",INDEX(Hierarchy!$I$2:$I$1295,MATCH($D1116,Hierarchy!$A$2:$A$1295,0))),"NODE NOT FOUND"))</f>
        <v/>
      </c>
      <c r="M1116" s="17" t="str">
        <f aca="false">IF(B1116="Pre-seeded","Pre-seeded",IF(B1116="Review 2026-09-16","Added from review",IF(C1116="","New",IF(C1116=D1116,"","Changed"))))</f>
        <v/>
      </c>
      <c r="N1116" s="7" t="str">
        <f aca="false">TRIM(SUBSTITUTE(SUBSTITUTE(SUBSTITUTE(" "&amp;TRIM(SUBSTITUTE(SUBSTITUTE(SUBSTITUTE(SUBSTITUTE(SUBSTITUTE(SUBSTITUTE(SUBSTITUTE(SUBSTITUTE(SUBSTITUTE(SUBSTITUTE(SUBSTITUTE(SUBSTITUTE(SUBSTITUTE(SUBSTITUTE(SUBSTITUTE(UPPER(TRIM(A1116)),"[MEMBER]",""),"{MEMBER}",""),"[MEMBER}",""),"MEMBER]",""),"(A)",""),"""",""),"“",""),"”",""),".",""),":",""),",",""),"–"," "),"-"," "),"/"," "),"&amp;"," AND "))&amp;" "," THE "," ")," TOTAL "," ")," OPERATIONS "," "))</f>
        <v>NEW JERSEY</v>
      </c>
      <c r="O1116" s="17" t="str">
        <f aca="false">IF(COUNTIFS($N$2:$N$2000,N1116,$D$2:$D$2000,"&lt;&gt;"&amp;D1116)&gt;0,"CONFLICT","")</f>
        <v/>
      </c>
      <c r="P1116" s="7"/>
    </row>
    <row r="1117" customFormat="false" ht="15" hidden="false" customHeight="false" outlineLevel="0" collapsed="false">
      <c r="A1117" s="7" t="s">
        <v>2429</v>
      </c>
      <c r="B1117" s="7" t="s">
        <v>1882</v>
      </c>
      <c r="C1117" s="7" t="s">
        <v>211</v>
      </c>
      <c r="D1117" s="6" t="s">
        <v>211</v>
      </c>
      <c r="E1117" s="6" t="s">
        <v>1880</v>
      </c>
      <c r="F1117" s="7" t="str">
        <f aca="false">IF($D1117="","",IFERROR(IF(INDEX(Hierarchy!$B$2:$B$1295,MATCH($D1117,Hierarchy!$A$2:$A$1295,0))="","",INDEX(Hierarchy!$B$2:$B$1295,MATCH($D1117,Hierarchy!$A$2:$A$1295,0))),"NODE NOT FOUND"))</f>
        <v>State/Province</v>
      </c>
      <c r="G1117" s="7" t="str">
        <f aca="false">IF($D1117="","",IFERROR(IF(INDEX(Hierarchy!$D$2:$D$1295,MATCH($D1117,Hierarchy!$A$2:$A$1295,0))="","",INDEX(Hierarchy!$D$2:$D$1295,MATCH($D1117,Hierarchy!$A$2:$A$1295,0))),"NODE NOT FOUND"))</f>
        <v>AMER</v>
      </c>
      <c r="H1117" s="7" t="str">
        <f aca="false">IF($D1117="","",IFERROR(IF(INDEX(Hierarchy!$E$2:$E$1295,MATCH($D1117,Hierarchy!$A$2:$A$1295,0))="","",INDEX(Hierarchy!$E$2:$E$1295,MATCH($D1117,Hierarchy!$A$2:$A$1295,0))),"NODE NOT FOUND"))</f>
        <v>North America (NORAM)</v>
      </c>
      <c r="I1117" s="7" t="str">
        <f aca="false">IF($D1117="","",IFERROR(IF(INDEX(Hierarchy!$F$2:$F$1295,MATCH($D1117,Hierarchy!$A$2:$A$1295,0))="","",INDEX(Hierarchy!$F$2:$F$1295,MATCH($D1117,Hierarchy!$A$2:$A$1295,0))),"NODE NOT FOUND"))</f>
        <v>United States</v>
      </c>
      <c r="J1117" s="7" t="str">
        <f aca="false">IF($D1117="","",IFERROR(IF(INDEX(Hierarchy!$G$2:$G$1295,MATCH($D1117,Hierarchy!$A$2:$A$1295,0))="","",INDEX(Hierarchy!$G$2:$G$1295,MATCH($D1117,Hierarchy!$A$2:$A$1295,0))),"NODE NOT FOUND"))</f>
        <v>USA</v>
      </c>
      <c r="K1117" s="7" t="str">
        <f aca="false">IF($D1117="","",IFERROR(IF(INDEX(Hierarchy!$H$2:$H$1295,MATCH($D1117,Hierarchy!$A$2:$A$1295,0))="","",INDEX(Hierarchy!$H$2:$H$1295,MATCH($D1117,Hierarchy!$A$2:$A$1295,0))),"NODE NOT FOUND"))</f>
        <v>New Jersey</v>
      </c>
      <c r="L1117" s="7" t="str">
        <f aca="false">IF($D1117="","",IFERROR(IF(INDEX(Hierarchy!$I$2:$I$1295,MATCH($D1117,Hierarchy!$A$2:$A$1295,0))="","",INDEX(Hierarchy!$I$2:$I$1295,MATCH($D1117,Hierarchy!$A$2:$A$1295,0))),"NODE NOT FOUND"))</f>
        <v/>
      </c>
      <c r="M1117" s="17" t="str">
        <f aca="false">IF(B1117="Pre-seeded","Pre-seeded",IF(B1117="Review 2026-09-16","Added from review",IF(C1117="","New",IF(C1117=D1117,"","Changed"))))</f>
        <v/>
      </c>
      <c r="N1117" s="7" t="str">
        <f aca="false">TRIM(SUBSTITUTE(SUBSTITUTE(SUBSTITUTE(" "&amp;TRIM(SUBSTITUTE(SUBSTITUTE(SUBSTITUTE(SUBSTITUTE(SUBSTITUTE(SUBSTITUTE(SUBSTITUTE(SUBSTITUTE(SUBSTITUTE(SUBSTITUTE(SUBSTITUTE(SUBSTITUTE(SUBSTITUTE(SUBSTITUTE(SUBSTITUTE(UPPER(TRIM(A1117)),"[MEMBER]",""),"{MEMBER}",""),"[MEMBER}",""),"MEMBER]",""),"(A)",""),"""",""),"“",""),"”",""),".",""),":",""),",",""),"–"," "),"-"," "),"/"," "),"&amp;"," AND "))&amp;" "," THE "," ")," TOTAL "," ")," OPERATIONS "," "))</f>
        <v>NEW JERSEY</v>
      </c>
      <c r="O1117" s="17" t="str">
        <f aca="false">IF(COUNTIFS($N$2:$N$2000,N1117,$D$2:$D$2000,"&lt;&gt;"&amp;D1117)&gt;0,"CONFLICT","")</f>
        <v/>
      </c>
      <c r="P1117" s="7"/>
    </row>
    <row r="1118" customFormat="false" ht="15" hidden="false" customHeight="false" outlineLevel="0" collapsed="false">
      <c r="A1118" s="7" t="s">
        <v>212</v>
      </c>
      <c r="B1118" s="7" t="s">
        <v>1882</v>
      </c>
      <c r="C1118" s="7" t="s">
        <v>212</v>
      </c>
      <c r="D1118" s="6" t="s">
        <v>212</v>
      </c>
      <c r="E1118" s="6" t="s">
        <v>1880</v>
      </c>
      <c r="F1118" s="7" t="str">
        <f aca="false">IF($D1118="","",IFERROR(IF(INDEX(Hierarchy!$B$2:$B$1295,MATCH($D1118,Hierarchy!$A$2:$A$1295,0))="","",INDEX(Hierarchy!$B$2:$B$1295,MATCH($D1118,Hierarchy!$A$2:$A$1295,0))),"NODE NOT FOUND"))</f>
        <v>State/Province</v>
      </c>
      <c r="G1118" s="7" t="str">
        <f aca="false">IF($D1118="","",IFERROR(IF(INDEX(Hierarchy!$D$2:$D$1295,MATCH($D1118,Hierarchy!$A$2:$A$1295,0))="","",INDEX(Hierarchy!$D$2:$D$1295,MATCH($D1118,Hierarchy!$A$2:$A$1295,0))),"NODE NOT FOUND"))</f>
        <v>AMER</v>
      </c>
      <c r="H1118" s="7" t="str">
        <f aca="false">IF($D1118="","",IFERROR(IF(INDEX(Hierarchy!$E$2:$E$1295,MATCH($D1118,Hierarchy!$A$2:$A$1295,0))="","",INDEX(Hierarchy!$E$2:$E$1295,MATCH($D1118,Hierarchy!$A$2:$A$1295,0))),"NODE NOT FOUND"))</f>
        <v>North America (NORAM)</v>
      </c>
      <c r="I1118" s="7" t="str">
        <f aca="false">IF($D1118="","",IFERROR(IF(INDEX(Hierarchy!$F$2:$F$1295,MATCH($D1118,Hierarchy!$A$2:$A$1295,0))="","",INDEX(Hierarchy!$F$2:$F$1295,MATCH($D1118,Hierarchy!$A$2:$A$1295,0))),"NODE NOT FOUND"))</f>
        <v>United States</v>
      </c>
      <c r="J1118" s="7" t="str">
        <f aca="false">IF($D1118="","",IFERROR(IF(INDEX(Hierarchy!$G$2:$G$1295,MATCH($D1118,Hierarchy!$A$2:$A$1295,0))="","",INDEX(Hierarchy!$G$2:$G$1295,MATCH($D1118,Hierarchy!$A$2:$A$1295,0))),"NODE NOT FOUND"))</f>
        <v>USA</v>
      </c>
      <c r="K1118" s="7" t="str">
        <f aca="false">IF($D1118="","",IFERROR(IF(INDEX(Hierarchy!$H$2:$H$1295,MATCH($D1118,Hierarchy!$A$2:$A$1295,0))="","",INDEX(Hierarchy!$H$2:$H$1295,MATCH($D1118,Hierarchy!$A$2:$A$1295,0))),"NODE NOT FOUND"))</f>
        <v>New Mexico</v>
      </c>
      <c r="L1118" s="7" t="str">
        <f aca="false">IF($D1118="","",IFERROR(IF(INDEX(Hierarchy!$I$2:$I$1295,MATCH($D1118,Hierarchy!$A$2:$A$1295,0))="","",INDEX(Hierarchy!$I$2:$I$1295,MATCH($D1118,Hierarchy!$A$2:$A$1295,0))),"NODE NOT FOUND"))</f>
        <v/>
      </c>
      <c r="M1118" s="17" t="str">
        <f aca="false">IF(B1118="Pre-seeded","Pre-seeded",IF(B1118="Review 2026-09-16","Added from review",IF(C1118="","New",IF(C1118=D1118,"","Changed"))))</f>
        <v/>
      </c>
      <c r="N1118" s="7" t="str">
        <f aca="false">TRIM(SUBSTITUTE(SUBSTITUTE(SUBSTITUTE(" "&amp;TRIM(SUBSTITUTE(SUBSTITUTE(SUBSTITUTE(SUBSTITUTE(SUBSTITUTE(SUBSTITUTE(SUBSTITUTE(SUBSTITUTE(SUBSTITUTE(SUBSTITUTE(SUBSTITUTE(SUBSTITUTE(SUBSTITUTE(SUBSTITUTE(SUBSTITUTE(UPPER(TRIM(A1118)),"[MEMBER]",""),"{MEMBER}",""),"[MEMBER}",""),"MEMBER]",""),"(A)",""),"""",""),"“",""),"”",""),".",""),":",""),",",""),"–"," "),"-"," "),"/"," "),"&amp;"," AND "))&amp;" "," THE "," ")," TOTAL "," ")," OPERATIONS "," "))</f>
        <v>NEW MEXICO</v>
      </c>
      <c r="O1118" s="17" t="str">
        <f aca="false">IF(COUNTIFS($N$2:$N$2000,N1118,$D$2:$D$2000,"&lt;&gt;"&amp;D1118)&gt;0,"CONFLICT","")</f>
        <v/>
      </c>
      <c r="P1118" s="7"/>
    </row>
    <row r="1119" customFormat="false" ht="15" hidden="false" customHeight="false" outlineLevel="0" collapsed="false">
      <c r="A1119" s="7" t="s">
        <v>2430</v>
      </c>
      <c r="B1119" s="7" t="s">
        <v>1882</v>
      </c>
      <c r="C1119" s="7" t="s">
        <v>212</v>
      </c>
      <c r="D1119" s="6" t="s">
        <v>212</v>
      </c>
      <c r="E1119" s="6" t="s">
        <v>1880</v>
      </c>
      <c r="F1119" s="7" t="str">
        <f aca="false">IF($D1119="","",IFERROR(IF(INDEX(Hierarchy!$B$2:$B$1295,MATCH($D1119,Hierarchy!$A$2:$A$1295,0))="","",INDEX(Hierarchy!$B$2:$B$1295,MATCH($D1119,Hierarchy!$A$2:$A$1295,0))),"NODE NOT FOUND"))</f>
        <v>State/Province</v>
      </c>
      <c r="G1119" s="7" t="str">
        <f aca="false">IF($D1119="","",IFERROR(IF(INDEX(Hierarchy!$D$2:$D$1295,MATCH($D1119,Hierarchy!$A$2:$A$1295,0))="","",INDEX(Hierarchy!$D$2:$D$1295,MATCH($D1119,Hierarchy!$A$2:$A$1295,0))),"NODE NOT FOUND"))</f>
        <v>AMER</v>
      </c>
      <c r="H1119" s="7" t="str">
        <f aca="false">IF($D1119="","",IFERROR(IF(INDEX(Hierarchy!$E$2:$E$1295,MATCH($D1119,Hierarchy!$A$2:$A$1295,0))="","",INDEX(Hierarchy!$E$2:$E$1295,MATCH($D1119,Hierarchy!$A$2:$A$1295,0))),"NODE NOT FOUND"))</f>
        <v>North America (NORAM)</v>
      </c>
      <c r="I1119" s="7" t="str">
        <f aca="false">IF($D1119="","",IFERROR(IF(INDEX(Hierarchy!$F$2:$F$1295,MATCH($D1119,Hierarchy!$A$2:$A$1295,0))="","",INDEX(Hierarchy!$F$2:$F$1295,MATCH($D1119,Hierarchy!$A$2:$A$1295,0))),"NODE NOT FOUND"))</f>
        <v>United States</v>
      </c>
      <c r="J1119" s="7" t="str">
        <f aca="false">IF($D1119="","",IFERROR(IF(INDEX(Hierarchy!$G$2:$G$1295,MATCH($D1119,Hierarchy!$A$2:$A$1295,0))="","",INDEX(Hierarchy!$G$2:$G$1295,MATCH($D1119,Hierarchy!$A$2:$A$1295,0))),"NODE NOT FOUND"))</f>
        <v>USA</v>
      </c>
      <c r="K1119" s="7" t="str">
        <f aca="false">IF($D1119="","",IFERROR(IF(INDEX(Hierarchy!$H$2:$H$1295,MATCH($D1119,Hierarchy!$A$2:$A$1295,0))="","",INDEX(Hierarchy!$H$2:$H$1295,MATCH($D1119,Hierarchy!$A$2:$A$1295,0))),"NODE NOT FOUND"))</f>
        <v>New Mexico</v>
      </c>
      <c r="L1119" s="7" t="str">
        <f aca="false">IF($D1119="","",IFERROR(IF(INDEX(Hierarchy!$I$2:$I$1295,MATCH($D1119,Hierarchy!$A$2:$A$1295,0))="","",INDEX(Hierarchy!$I$2:$I$1295,MATCH($D1119,Hierarchy!$A$2:$A$1295,0))),"NODE NOT FOUND"))</f>
        <v/>
      </c>
      <c r="M1119" s="17" t="str">
        <f aca="false">IF(B1119="Pre-seeded","Pre-seeded",IF(B1119="Review 2026-09-16","Added from review",IF(C1119="","New",IF(C1119=D1119,"","Changed"))))</f>
        <v/>
      </c>
      <c r="N1119" s="7" t="str">
        <f aca="false">TRIM(SUBSTITUTE(SUBSTITUTE(SUBSTITUTE(" "&amp;TRIM(SUBSTITUTE(SUBSTITUTE(SUBSTITUTE(SUBSTITUTE(SUBSTITUTE(SUBSTITUTE(SUBSTITUTE(SUBSTITUTE(SUBSTITUTE(SUBSTITUTE(SUBSTITUTE(SUBSTITUTE(SUBSTITUTE(SUBSTITUTE(SUBSTITUTE(UPPER(TRIM(A1119)),"[MEMBER]",""),"{MEMBER}",""),"[MEMBER}",""),"MEMBER]",""),"(A)",""),"""",""),"“",""),"”",""),".",""),":",""),",",""),"–"," "),"-"," "),"/"," "),"&amp;"," AND "))&amp;" "," THE "," ")," TOTAL "," ")," OPERATIONS "," "))</f>
        <v>NEW MEXICO</v>
      </c>
      <c r="O1119" s="17" t="str">
        <f aca="false">IF(COUNTIFS($N$2:$N$2000,N1119,$D$2:$D$2000,"&lt;&gt;"&amp;D1119)&gt;0,"CONFLICT","")</f>
        <v/>
      </c>
      <c r="P1119" s="7"/>
    </row>
    <row r="1120" customFormat="false" ht="15" hidden="false" customHeight="false" outlineLevel="0" collapsed="false">
      <c r="A1120" s="7" t="s">
        <v>1703</v>
      </c>
      <c r="B1120" s="7" t="s">
        <v>1879</v>
      </c>
      <c r="C1120" s="7"/>
      <c r="D1120" s="6" t="s">
        <v>1703</v>
      </c>
      <c r="E1120" s="6" t="s">
        <v>1880</v>
      </c>
      <c r="F1120" s="7" t="str">
        <f aca="false">IF($D1120="","",IFERROR(IF(INDEX(Hierarchy!$B$2:$B$1295,MATCH($D1120,Hierarchy!$A$2:$A$1295,0))="","",INDEX(Hierarchy!$B$2:$B$1295,MATCH($D1120,Hierarchy!$A$2:$A$1295,0))),"NODE NOT FOUND"))</f>
        <v>State/Province</v>
      </c>
      <c r="G1120" s="7" t="str">
        <f aca="false">IF($D1120="","",IFERROR(IF(INDEX(Hierarchy!$D$2:$D$1295,MATCH($D1120,Hierarchy!$A$2:$A$1295,0))="","",INDEX(Hierarchy!$D$2:$D$1295,MATCH($D1120,Hierarchy!$A$2:$A$1295,0))),"NODE NOT FOUND"))</f>
        <v>APAC</v>
      </c>
      <c r="H1120" s="7" t="str">
        <f aca="false">IF($D1120="","",IFERROR(IF(INDEX(Hierarchy!$E$2:$E$1295,MATCH($D1120,Hierarchy!$A$2:$A$1295,0))="","",INDEX(Hierarchy!$E$2:$E$1295,MATCH($D1120,Hierarchy!$A$2:$A$1295,0))),"NODE NOT FOUND"))</f>
        <v>Oceania (ANZ)</v>
      </c>
      <c r="I1120" s="7" t="str">
        <f aca="false">IF($D1120="","",IFERROR(IF(INDEX(Hierarchy!$F$2:$F$1295,MATCH($D1120,Hierarchy!$A$2:$A$1295,0))="","",INDEX(Hierarchy!$F$2:$F$1295,MATCH($D1120,Hierarchy!$A$2:$A$1295,0))),"NODE NOT FOUND"))</f>
        <v>Australia</v>
      </c>
      <c r="J1120" s="7" t="str">
        <f aca="false">IF($D1120="","",IFERROR(IF(INDEX(Hierarchy!$G$2:$G$1295,MATCH($D1120,Hierarchy!$A$2:$A$1295,0))="","",INDEX(Hierarchy!$G$2:$G$1295,MATCH($D1120,Hierarchy!$A$2:$A$1295,0))),"NODE NOT FOUND"))</f>
        <v>AUS</v>
      </c>
      <c r="K1120" s="7" t="str">
        <f aca="false">IF($D1120="","",IFERROR(IF(INDEX(Hierarchy!$H$2:$H$1295,MATCH($D1120,Hierarchy!$A$2:$A$1295,0))="","",INDEX(Hierarchy!$H$2:$H$1295,MATCH($D1120,Hierarchy!$A$2:$A$1295,0))),"NODE NOT FOUND"))</f>
        <v>New South Wales</v>
      </c>
      <c r="L1120" s="7" t="str">
        <f aca="false">IF($D1120="","",IFERROR(IF(INDEX(Hierarchy!$I$2:$I$1295,MATCH($D1120,Hierarchy!$A$2:$A$1295,0))="","",INDEX(Hierarchy!$I$2:$I$1295,MATCH($D1120,Hierarchy!$A$2:$A$1295,0))),"NODE NOT FOUND"))</f>
        <v/>
      </c>
      <c r="M1120" s="17" t="str">
        <f aca="false">IF(B1120="Pre-seeded","Pre-seeded",IF(B1120="Review 2026-09-16","Added from review",IF(C1120="","New",IF(C1120=D1120,"","Changed"))))</f>
        <v>Pre-seeded</v>
      </c>
      <c r="N1120" s="7" t="str">
        <f aca="false">TRIM(SUBSTITUTE(SUBSTITUTE(SUBSTITUTE(" "&amp;TRIM(SUBSTITUTE(SUBSTITUTE(SUBSTITUTE(SUBSTITUTE(SUBSTITUTE(SUBSTITUTE(SUBSTITUTE(SUBSTITUTE(SUBSTITUTE(SUBSTITUTE(SUBSTITUTE(SUBSTITUTE(SUBSTITUTE(SUBSTITUTE(SUBSTITUTE(UPPER(TRIM(A1120)),"[MEMBER]",""),"{MEMBER}",""),"[MEMBER}",""),"MEMBER]",""),"(A)",""),"""",""),"“",""),"”",""),".",""),":",""),",",""),"–"," "),"-"," "),"/"," "),"&amp;"," AND "))&amp;" "," THE "," ")," TOTAL "," ")," OPERATIONS "," "))</f>
        <v>NEW SOUTH WALES</v>
      </c>
      <c r="O1120" s="17" t="str">
        <f aca="false">IF(COUNTIFS($N$2:$N$2000,N1120,$D$2:$D$2000,"&lt;&gt;"&amp;D1120)&gt;0,"CONFLICT","")</f>
        <v/>
      </c>
      <c r="P1120" s="7"/>
    </row>
    <row r="1121" customFormat="false" ht="15" hidden="false" customHeight="false" outlineLevel="0" collapsed="false">
      <c r="A1121" s="7" t="s">
        <v>214</v>
      </c>
      <c r="B1121" s="7" t="s">
        <v>1882</v>
      </c>
      <c r="C1121" s="7" t="s">
        <v>214</v>
      </c>
      <c r="D1121" s="6" t="s">
        <v>214</v>
      </c>
      <c r="E1121" s="6" t="s">
        <v>1880</v>
      </c>
      <c r="F1121" s="7" t="str">
        <f aca="false">IF($D1121="","",IFERROR(IF(INDEX(Hierarchy!$B$2:$B$1295,MATCH($D1121,Hierarchy!$A$2:$A$1295,0))="","",INDEX(Hierarchy!$B$2:$B$1295,MATCH($D1121,Hierarchy!$A$2:$A$1295,0))),"NODE NOT FOUND"))</f>
        <v>State/Province</v>
      </c>
      <c r="G1121" s="7" t="str">
        <f aca="false">IF($D1121="","",IFERROR(IF(INDEX(Hierarchy!$D$2:$D$1295,MATCH($D1121,Hierarchy!$A$2:$A$1295,0))="","",INDEX(Hierarchy!$D$2:$D$1295,MATCH($D1121,Hierarchy!$A$2:$A$1295,0))),"NODE NOT FOUND"))</f>
        <v>AMER</v>
      </c>
      <c r="H1121" s="7" t="str">
        <f aca="false">IF($D1121="","",IFERROR(IF(INDEX(Hierarchy!$E$2:$E$1295,MATCH($D1121,Hierarchy!$A$2:$A$1295,0))="","",INDEX(Hierarchy!$E$2:$E$1295,MATCH($D1121,Hierarchy!$A$2:$A$1295,0))),"NODE NOT FOUND"))</f>
        <v>North America (NORAM)</v>
      </c>
      <c r="I1121" s="7" t="str">
        <f aca="false">IF($D1121="","",IFERROR(IF(INDEX(Hierarchy!$F$2:$F$1295,MATCH($D1121,Hierarchy!$A$2:$A$1295,0))="","",INDEX(Hierarchy!$F$2:$F$1295,MATCH($D1121,Hierarchy!$A$2:$A$1295,0))),"NODE NOT FOUND"))</f>
        <v>United States</v>
      </c>
      <c r="J1121" s="7" t="str">
        <f aca="false">IF($D1121="","",IFERROR(IF(INDEX(Hierarchy!$G$2:$G$1295,MATCH($D1121,Hierarchy!$A$2:$A$1295,0))="","",INDEX(Hierarchy!$G$2:$G$1295,MATCH($D1121,Hierarchy!$A$2:$A$1295,0))),"NODE NOT FOUND"))</f>
        <v>USA</v>
      </c>
      <c r="K1121" s="7" t="str">
        <f aca="false">IF($D1121="","",IFERROR(IF(INDEX(Hierarchy!$H$2:$H$1295,MATCH($D1121,Hierarchy!$A$2:$A$1295,0))="","",INDEX(Hierarchy!$H$2:$H$1295,MATCH($D1121,Hierarchy!$A$2:$A$1295,0))),"NODE NOT FOUND"))</f>
        <v>New York</v>
      </c>
      <c r="L1121" s="7" t="str">
        <f aca="false">IF($D1121="","",IFERROR(IF(INDEX(Hierarchy!$I$2:$I$1295,MATCH($D1121,Hierarchy!$A$2:$A$1295,0))="","",INDEX(Hierarchy!$I$2:$I$1295,MATCH($D1121,Hierarchy!$A$2:$A$1295,0))),"NODE NOT FOUND"))</f>
        <v/>
      </c>
      <c r="M1121" s="17" t="str">
        <f aca="false">IF(B1121="Pre-seeded","Pre-seeded",IF(B1121="Review 2026-09-16","Added from review",IF(C1121="","New",IF(C1121=D1121,"","Changed"))))</f>
        <v/>
      </c>
      <c r="N1121" s="7" t="str">
        <f aca="false">TRIM(SUBSTITUTE(SUBSTITUTE(SUBSTITUTE(" "&amp;TRIM(SUBSTITUTE(SUBSTITUTE(SUBSTITUTE(SUBSTITUTE(SUBSTITUTE(SUBSTITUTE(SUBSTITUTE(SUBSTITUTE(SUBSTITUTE(SUBSTITUTE(SUBSTITUTE(SUBSTITUTE(SUBSTITUTE(SUBSTITUTE(SUBSTITUTE(UPPER(TRIM(A1121)),"[MEMBER]",""),"{MEMBER}",""),"[MEMBER}",""),"MEMBER]",""),"(A)",""),"""",""),"“",""),"”",""),".",""),":",""),",",""),"–"," "),"-"," "),"/"," "),"&amp;"," AND "))&amp;" "," THE "," ")," TOTAL "," ")," OPERATIONS "," "))</f>
        <v>NEW YORK</v>
      </c>
      <c r="O1121" s="17" t="str">
        <f aca="false">IF(COUNTIFS($N$2:$N$2000,N1121,$D$2:$D$2000,"&lt;&gt;"&amp;D1121)&gt;0,"CONFLICT","")</f>
        <v/>
      </c>
      <c r="P1121" s="7"/>
    </row>
    <row r="1122" customFormat="false" ht="15" hidden="false" customHeight="false" outlineLevel="0" collapsed="false">
      <c r="A1122" s="7" t="s">
        <v>2431</v>
      </c>
      <c r="B1122" s="7" t="s">
        <v>1882</v>
      </c>
      <c r="C1122" s="7" t="s">
        <v>214</v>
      </c>
      <c r="D1122" s="6" t="s">
        <v>214</v>
      </c>
      <c r="E1122" s="6" t="s">
        <v>1880</v>
      </c>
      <c r="F1122" s="7" t="str">
        <f aca="false">IF($D1122="","",IFERROR(IF(INDEX(Hierarchy!$B$2:$B$1295,MATCH($D1122,Hierarchy!$A$2:$A$1295,0))="","",INDEX(Hierarchy!$B$2:$B$1295,MATCH($D1122,Hierarchy!$A$2:$A$1295,0))),"NODE NOT FOUND"))</f>
        <v>State/Province</v>
      </c>
      <c r="G1122" s="7" t="str">
        <f aca="false">IF($D1122="","",IFERROR(IF(INDEX(Hierarchy!$D$2:$D$1295,MATCH($D1122,Hierarchy!$A$2:$A$1295,0))="","",INDEX(Hierarchy!$D$2:$D$1295,MATCH($D1122,Hierarchy!$A$2:$A$1295,0))),"NODE NOT FOUND"))</f>
        <v>AMER</v>
      </c>
      <c r="H1122" s="7" t="str">
        <f aca="false">IF($D1122="","",IFERROR(IF(INDEX(Hierarchy!$E$2:$E$1295,MATCH($D1122,Hierarchy!$A$2:$A$1295,0))="","",INDEX(Hierarchy!$E$2:$E$1295,MATCH($D1122,Hierarchy!$A$2:$A$1295,0))),"NODE NOT FOUND"))</f>
        <v>North America (NORAM)</v>
      </c>
      <c r="I1122" s="7" t="str">
        <f aca="false">IF($D1122="","",IFERROR(IF(INDEX(Hierarchy!$F$2:$F$1295,MATCH($D1122,Hierarchy!$A$2:$A$1295,0))="","",INDEX(Hierarchy!$F$2:$F$1295,MATCH($D1122,Hierarchy!$A$2:$A$1295,0))),"NODE NOT FOUND"))</f>
        <v>United States</v>
      </c>
      <c r="J1122" s="7" t="str">
        <f aca="false">IF($D1122="","",IFERROR(IF(INDEX(Hierarchy!$G$2:$G$1295,MATCH($D1122,Hierarchy!$A$2:$A$1295,0))="","",INDEX(Hierarchy!$G$2:$G$1295,MATCH($D1122,Hierarchy!$A$2:$A$1295,0))),"NODE NOT FOUND"))</f>
        <v>USA</v>
      </c>
      <c r="K1122" s="7" t="str">
        <f aca="false">IF($D1122="","",IFERROR(IF(INDEX(Hierarchy!$H$2:$H$1295,MATCH($D1122,Hierarchy!$A$2:$A$1295,0))="","",INDEX(Hierarchy!$H$2:$H$1295,MATCH($D1122,Hierarchy!$A$2:$A$1295,0))),"NODE NOT FOUND"))</f>
        <v>New York</v>
      </c>
      <c r="L1122" s="7" t="str">
        <f aca="false">IF($D1122="","",IFERROR(IF(INDEX(Hierarchy!$I$2:$I$1295,MATCH($D1122,Hierarchy!$A$2:$A$1295,0))="","",INDEX(Hierarchy!$I$2:$I$1295,MATCH($D1122,Hierarchy!$A$2:$A$1295,0))),"NODE NOT FOUND"))</f>
        <v/>
      </c>
      <c r="M1122" s="17" t="str">
        <f aca="false">IF(B1122="Pre-seeded","Pre-seeded",IF(B1122="Review 2026-09-16","Added from review",IF(C1122="","New",IF(C1122=D1122,"","Changed"))))</f>
        <v/>
      </c>
      <c r="N1122" s="7" t="str">
        <f aca="false">TRIM(SUBSTITUTE(SUBSTITUTE(SUBSTITUTE(" "&amp;TRIM(SUBSTITUTE(SUBSTITUTE(SUBSTITUTE(SUBSTITUTE(SUBSTITUTE(SUBSTITUTE(SUBSTITUTE(SUBSTITUTE(SUBSTITUTE(SUBSTITUTE(SUBSTITUTE(SUBSTITUTE(SUBSTITUTE(SUBSTITUTE(SUBSTITUTE(UPPER(TRIM(A1122)),"[MEMBER]",""),"{MEMBER}",""),"[MEMBER}",""),"MEMBER]",""),"(A)",""),"""",""),"“",""),"”",""),".",""),":",""),",",""),"–"," "),"-"," "),"/"," "),"&amp;"," AND "))&amp;" "," THE "," ")," TOTAL "," ")," OPERATIONS "," "))</f>
        <v>NEW YORK</v>
      </c>
      <c r="O1122" s="17" t="str">
        <f aca="false">IF(COUNTIFS($N$2:$N$2000,N1122,$D$2:$D$2000,"&lt;&gt;"&amp;D1122)&gt;0,"CONFLICT","")</f>
        <v/>
      </c>
      <c r="P1122" s="7"/>
    </row>
    <row r="1123" customFormat="false" ht="15" hidden="false" customHeight="false" outlineLevel="0" collapsed="false">
      <c r="A1123" s="7" t="s">
        <v>219</v>
      </c>
      <c r="B1123" s="7" t="s">
        <v>1882</v>
      </c>
      <c r="C1123" s="7" t="s">
        <v>219</v>
      </c>
      <c r="D1123" s="6" t="s">
        <v>219</v>
      </c>
      <c r="E1123" s="6" t="s">
        <v>1880</v>
      </c>
      <c r="F1123" s="7" t="str">
        <f aca="false">IF($D1123="","",IFERROR(IF(INDEX(Hierarchy!$B$2:$B$1295,MATCH($D1123,Hierarchy!$A$2:$A$1295,0))="","",INDEX(Hierarchy!$B$2:$B$1295,MATCH($D1123,Hierarchy!$A$2:$A$1295,0))),"NODE NOT FOUND"))</f>
        <v>City</v>
      </c>
      <c r="G1123" s="7" t="str">
        <f aca="false">IF($D1123="","",IFERROR(IF(INDEX(Hierarchy!$D$2:$D$1295,MATCH($D1123,Hierarchy!$A$2:$A$1295,0))="","",INDEX(Hierarchy!$D$2:$D$1295,MATCH($D1123,Hierarchy!$A$2:$A$1295,0))),"NODE NOT FOUND"))</f>
        <v>AMER</v>
      </c>
      <c r="H1123" s="7" t="str">
        <f aca="false">IF($D1123="","",IFERROR(IF(INDEX(Hierarchy!$E$2:$E$1295,MATCH($D1123,Hierarchy!$A$2:$A$1295,0))="","",INDEX(Hierarchy!$E$2:$E$1295,MATCH($D1123,Hierarchy!$A$2:$A$1295,0))),"NODE NOT FOUND"))</f>
        <v>North America (NORAM)</v>
      </c>
      <c r="I1123" s="7" t="str">
        <f aca="false">IF($D1123="","",IFERROR(IF(INDEX(Hierarchy!$F$2:$F$1295,MATCH($D1123,Hierarchy!$A$2:$A$1295,0))="","",INDEX(Hierarchy!$F$2:$F$1295,MATCH($D1123,Hierarchy!$A$2:$A$1295,0))),"NODE NOT FOUND"))</f>
        <v>United States</v>
      </c>
      <c r="J1123" s="7" t="str">
        <f aca="false">IF($D1123="","",IFERROR(IF(INDEX(Hierarchy!$G$2:$G$1295,MATCH($D1123,Hierarchy!$A$2:$A$1295,0))="","",INDEX(Hierarchy!$G$2:$G$1295,MATCH($D1123,Hierarchy!$A$2:$A$1295,0))),"NODE NOT FOUND"))</f>
        <v>USA</v>
      </c>
      <c r="K1123" s="7" t="str">
        <f aca="false">IF($D1123="","",IFERROR(IF(INDEX(Hierarchy!$H$2:$H$1295,MATCH($D1123,Hierarchy!$A$2:$A$1295,0))="","",INDEX(Hierarchy!$H$2:$H$1295,MATCH($D1123,Hierarchy!$A$2:$A$1295,0))),"NODE NOT FOUND"))</f>
        <v>New York</v>
      </c>
      <c r="L1123" s="7" t="str">
        <f aca="false">IF($D1123="","",IFERROR(IF(INDEX(Hierarchy!$I$2:$I$1295,MATCH($D1123,Hierarchy!$A$2:$A$1295,0))="","",INDEX(Hierarchy!$I$2:$I$1295,MATCH($D1123,Hierarchy!$A$2:$A$1295,0))),"NODE NOT FOUND"))</f>
        <v>New York City</v>
      </c>
      <c r="M1123" s="17" t="str">
        <f aca="false">IF(B1123="Pre-seeded","Pre-seeded",IF(B1123="Review 2026-09-16","Added from review",IF(C1123="","New",IF(C1123=D1123,"","Changed"))))</f>
        <v/>
      </c>
      <c r="N1123" s="7" t="str">
        <f aca="false">TRIM(SUBSTITUTE(SUBSTITUTE(SUBSTITUTE(" "&amp;TRIM(SUBSTITUTE(SUBSTITUTE(SUBSTITUTE(SUBSTITUTE(SUBSTITUTE(SUBSTITUTE(SUBSTITUTE(SUBSTITUTE(SUBSTITUTE(SUBSTITUTE(SUBSTITUTE(SUBSTITUTE(SUBSTITUTE(SUBSTITUTE(SUBSTITUTE(UPPER(TRIM(A1123)),"[MEMBER]",""),"{MEMBER}",""),"[MEMBER}",""),"MEMBER]",""),"(A)",""),"""",""),"“",""),"”",""),".",""),":",""),",",""),"–"," "),"-"," "),"/"," "),"&amp;"," AND "))&amp;" "," THE "," ")," TOTAL "," ")," OPERATIONS "," "))</f>
        <v>NEW YORK CITY</v>
      </c>
      <c r="O1123" s="17" t="str">
        <f aca="false">IF(COUNTIFS($N$2:$N$2000,N1123,$D$2:$D$2000,"&lt;&gt;"&amp;D1123)&gt;0,"CONFLICT","")</f>
        <v/>
      </c>
      <c r="P1123" s="7"/>
    </row>
    <row r="1124" customFormat="false" ht="15" hidden="false" customHeight="false" outlineLevel="0" collapsed="false">
      <c r="A1124" s="7" t="s">
        <v>2432</v>
      </c>
      <c r="B1124" s="7" t="s">
        <v>1882</v>
      </c>
      <c r="C1124" s="7" t="s">
        <v>1716</v>
      </c>
      <c r="D1124" s="6" t="s">
        <v>1716</v>
      </c>
      <c r="E1124" s="6" t="s">
        <v>1880</v>
      </c>
      <c r="F1124" s="7" t="str">
        <f aca="false">IF($D1124="","",IFERROR(IF(INDEX(Hierarchy!$B$2:$B$1295,MATCH($D1124,Hierarchy!$A$2:$A$1295,0))="","",INDEX(Hierarchy!$B$2:$B$1295,MATCH($D1124,Hierarchy!$A$2:$A$1295,0))),"NODE NOT FOUND"))</f>
        <v>Country</v>
      </c>
      <c r="G1124" s="7" t="str">
        <f aca="false">IF($D1124="","",IFERROR(IF(INDEX(Hierarchy!$D$2:$D$1295,MATCH($D1124,Hierarchy!$A$2:$A$1295,0))="","",INDEX(Hierarchy!$D$2:$D$1295,MATCH($D1124,Hierarchy!$A$2:$A$1295,0))),"NODE NOT FOUND"))</f>
        <v>APAC</v>
      </c>
      <c r="H1124" s="7" t="str">
        <f aca="false">IF($D1124="","",IFERROR(IF(INDEX(Hierarchy!$E$2:$E$1295,MATCH($D1124,Hierarchy!$A$2:$A$1295,0))="","",INDEX(Hierarchy!$E$2:$E$1295,MATCH($D1124,Hierarchy!$A$2:$A$1295,0))),"NODE NOT FOUND"))</f>
        <v>Oceania (ANZ)</v>
      </c>
      <c r="I1124" s="7" t="str">
        <f aca="false">IF($D1124="","",IFERROR(IF(INDEX(Hierarchy!$F$2:$F$1295,MATCH($D1124,Hierarchy!$A$2:$A$1295,0))="","",INDEX(Hierarchy!$F$2:$F$1295,MATCH($D1124,Hierarchy!$A$2:$A$1295,0))),"NODE NOT FOUND"))</f>
        <v>New Zealand</v>
      </c>
      <c r="J1124" s="7" t="str">
        <f aca="false">IF($D1124="","",IFERROR(IF(INDEX(Hierarchy!$G$2:$G$1295,MATCH($D1124,Hierarchy!$A$2:$A$1295,0))="","",INDEX(Hierarchy!$G$2:$G$1295,MATCH($D1124,Hierarchy!$A$2:$A$1295,0))),"NODE NOT FOUND"))</f>
        <v>NZL</v>
      </c>
      <c r="K1124" s="7" t="str">
        <f aca="false">IF($D1124="","",IFERROR(IF(INDEX(Hierarchy!$H$2:$H$1295,MATCH($D1124,Hierarchy!$A$2:$A$1295,0))="","",INDEX(Hierarchy!$H$2:$H$1295,MATCH($D1124,Hierarchy!$A$2:$A$1295,0))),"NODE NOT FOUND"))</f>
        <v/>
      </c>
      <c r="L1124" s="7" t="str">
        <f aca="false">IF($D1124="","",IFERROR(IF(INDEX(Hierarchy!$I$2:$I$1295,MATCH($D1124,Hierarchy!$A$2:$A$1295,0))="","",INDEX(Hierarchy!$I$2:$I$1295,MATCH($D1124,Hierarchy!$A$2:$A$1295,0))),"NODE NOT FOUND"))</f>
        <v/>
      </c>
      <c r="M1124" s="17" t="str">
        <f aca="false">IF(B1124="Pre-seeded","Pre-seeded",IF(B1124="Review 2026-09-16","Added from review",IF(C1124="","New",IF(C1124=D1124,"","Changed"))))</f>
        <v/>
      </c>
      <c r="N1124" s="7" t="str">
        <f aca="false">TRIM(SUBSTITUTE(SUBSTITUTE(SUBSTITUTE(" "&amp;TRIM(SUBSTITUTE(SUBSTITUTE(SUBSTITUTE(SUBSTITUTE(SUBSTITUTE(SUBSTITUTE(SUBSTITUTE(SUBSTITUTE(SUBSTITUTE(SUBSTITUTE(SUBSTITUTE(SUBSTITUTE(SUBSTITUTE(SUBSTITUTE(SUBSTITUTE(UPPER(TRIM(A1124)),"[MEMBER]",""),"{MEMBER}",""),"[MEMBER}",""),"MEMBER]",""),"(A)",""),"""",""),"“",""),"”",""),".",""),":",""),",",""),"–"," "),"-"," "),"/"," "),"&amp;"," AND "))&amp;" "," THE "," ")," TOTAL "," ")," OPERATIONS "," "))</f>
        <v>NEW ZEALAND</v>
      </c>
      <c r="O1124" s="17" t="str">
        <f aca="false">IF(COUNTIFS($N$2:$N$2000,N1124,$D$2:$D$2000,"&lt;&gt;"&amp;D1124)&gt;0,"CONFLICT","")</f>
        <v/>
      </c>
      <c r="P1124" s="7"/>
    </row>
    <row r="1125" customFormat="false" ht="15" hidden="false" customHeight="false" outlineLevel="0" collapsed="false">
      <c r="A1125" s="7" t="s">
        <v>1716</v>
      </c>
      <c r="B1125" s="7" t="s">
        <v>1882</v>
      </c>
      <c r="C1125" s="7" t="s">
        <v>1716</v>
      </c>
      <c r="D1125" s="6" t="s">
        <v>1716</v>
      </c>
      <c r="E1125" s="6" t="s">
        <v>1880</v>
      </c>
      <c r="F1125" s="7" t="str">
        <f aca="false">IF($D1125="","",IFERROR(IF(INDEX(Hierarchy!$B$2:$B$1295,MATCH($D1125,Hierarchy!$A$2:$A$1295,0))="","",INDEX(Hierarchy!$B$2:$B$1295,MATCH($D1125,Hierarchy!$A$2:$A$1295,0))),"NODE NOT FOUND"))</f>
        <v>Country</v>
      </c>
      <c r="G1125" s="7" t="str">
        <f aca="false">IF($D1125="","",IFERROR(IF(INDEX(Hierarchy!$D$2:$D$1295,MATCH($D1125,Hierarchy!$A$2:$A$1295,0))="","",INDEX(Hierarchy!$D$2:$D$1295,MATCH($D1125,Hierarchy!$A$2:$A$1295,0))),"NODE NOT FOUND"))</f>
        <v>APAC</v>
      </c>
      <c r="H1125" s="7" t="str">
        <f aca="false">IF($D1125="","",IFERROR(IF(INDEX(Hierarchy!$E$2:$E$1295,MATCH($D1125,Hierarchy!$A$2:$A$1295,0))="","",INDEX(Hierarchy!$E$2:$E$1295,MATCH($D1125,Hierarchy!$A$2:$A$1295,0))),"NODE NOT FOUND"))</f>
        <v>Oceania (ANZ)</v>
      </c>
      <c r="I1125" s="7" t="str">
        <f aca="false">IF($D1125="","",IFERROR(IF(INDEX(Hierarchy!$F$2:$F$1295,MATCH($D1125,Hierarchy!$A$2:$A$1295,0))="","",INDEX(Hierarchy!$F$2:$F$1295,MATCH($D1125,Hierarchy!$A$2:$A$1295,0))),"NODE NOT FOUND"))</f>
        <v>New Zealand</v>
      </c>
      <c r="J1125" s="7" t="str">
        <f aca="false">IF($D1125="","",IFERROR(IF(INDEX(Hierarchy!$G$2:$G$1295,MATCH($D1125,Hierarchy!$A$2:$A$1295,0))="","",INDEX(Hierarchy!$G$2:$G$1295,MATCH($D1125,Hierarchy!$A$2:$A$1295,0))),"NODE NOT FOUND"))</f>
        <v>NZL</v>
      </c>
      <c r="K1125" s="7" t="str">
        <f aca="false">IF($D1125="","",IFERROR(IF(INDEX(Hierarchy!$H$2:$H$1295,MATCH($D1125,Hierarchy!$A$2:$A$1295,0))="","",INDEX(Hierarchy!$H$2:$H$1295,MATCH($D1125,Hierarchy!$A$2:$A$1295,0))),"NODE NOT FOUND"))</f>
        <v/>
      </c>
      <c r="L1125" s="7" t="str">
        <f aca="false">IF($D1125="","",IFERROR(IF(INDEX(Hierarchy!$I$2:$I$1295,MATCH($D1125,Hierarchy!$A$2:$A$1295,0))="","",INDEX(Hierarchy!$I$2:$I$1295,MATCH($D1125,Hierarchy!$A$2:$A$1295,0))),"NODE NOT FOUND"))</f>
        <v/>
      </c>
      <c r="M1125" s="17" t="str">
        <f aca="false">IF(B1125="Pre-seeded","Pre-seeded",IF(B1125="Review 2026-09-16","Added from review",IF(C1125="","New",IF(C1125=D1125,"","Changed"))))</f>
        <v/>
      </c>
      <c r="N1125" s="7" t="str">
        <f aca="false">TRIM(SUBSTITUTE(SUBSTITUTE(SUBSTITUTE(" "&amp;TRIM(SUBSTITUTE(SUBSTITUTE(SUBSTITUTE(SUBSTITUTE(SUBSTITUTE(SUBSTITUTE(SUBSTITUTE(SUBSTITUTE(SUBSTITUTE(SUBSTITUTE(SUBSTITUTE(SUBSTITUTE(SUBSTITUTE(SUBSTITUTE(SUBSTITUTE(UPPER(TRIM(A1125)),"[MEMBER]",""),"{MEMBER}",""),"[MEMBER}",""),"MEMBER]",""),"(A)",""),"""",""),"“",""),"”",""),".",""),":",""),",",""),"–"," "),"-"," "),"/"," "),"&amp;"," AND "))&amp;" "," THE "," ")," TOTAL "," ")," OPERATIONS "," "))</f>
        <v>NEW ZEALAND</v>
      </c>
      <c r="O1125" s="17" t="str">
        <f aca="false">IF(COUNTIFS($N$2:$N$2000,N1125,$D$2:$D$2000,"&lt;&gt;"&amp;D1125)&gt;0,"CONFLICT","")</f>
        <v/>
      </c>
      <c r="P1125" s="7"/>
    </row>
    <row r="1126" customFormat="false" ht="15" hidden="false" customHeight="false" outlineLevel="0" collapsed="false">
      <c r="A1126" s="7" t="s">
        <v>288</v>
      </c>
      <c r="B1126" s="7" t="s">
        <v>1879</v>
      </c>
      <c r="C1126" s="7"/>
      <c r="D1126" s="6" t="s">
        <v>288</v>
      </c>
      <c r="E1126" s="6" t="s">
        <v>1880</v>
      </c>
      <c r="F1126" s="7" t="str">
        <f aca="false">IF($D1126="","",IFERROR(IF(INDEX(Hierarchy!$B$2:$B$1295,MATCH($D1126,Hierarchy!$A$2:$A$1295,0))="","",INDEX(Hierarchy!$B$2:$B$1295,MATCH($D1126,Hierarchy!$A$2:$A$1295,0))),"NODE NOT FOUND"))</f>
        <v>State/Province</v>
      </c>
      <c r="G1126" s="7" t="str">
        <f aca="false">IF($D1126="","",IFERROR(IF(INDEX(Hierarchy!$D$2:$D$1295,MATCH($D1126,Hierarchy!$A$2:$A$1295,0))="","",INDEX(Hierarchy!$D$2:$D$1295,MATCH($D1126,Hierarchy!$A$2:$A$1295,0))),"NODE NOT FOUND"))</f>
        <v>AMER</v>
      </c>
      <c r="H1126" s="7" t="str">
        <f aca="false">IF($D1126="","",IFERROR(IF(INDEX(Hierarchy!$E$2:$E$1295,MATCH($D1126,Hierarchy!$A$2:$A$1295,0))="","",INDEX(Hierarchy!$E$2:$E$1295,MATCH($D1126,Hierarchy!$A$2:$A$1295,0))),"NODE NOT FOUND"))</f>
        <v>North America (NORAM)</v>
      </c>
      <c r="I1126" s="7" t="str">
        <f aca="false">IF($D1126="","",IFERROR(IF(INDEX(Hierarchy!$F$2:$F$1295,MATCH($D1126,Hierarchy!$A$2:$A$1295,0))="","",INDEX(Hierarchy!$F$2:$F$1295,MATCH($D1126,Hierarchy!$A$2:$A$1295,0))),"NODE NOT FOUND"))</f>
        <v>Canada</v>
      </c>
      <c r="J1126" s="7" t="str">
        <f aca="false">IF($D1126="","",IFERROR(IF(INDEX(Hierarchy!$G$2:$G$1295,MATCH($D1126,Hierarchy!$A$2:$A$1295,0))="","",INDEX(Hierarchy!$G$2:$G$1295,MATCH($D1126,Hierarchy!$A$2:$A$1295,0))),"NODE NOT FOUND"))</f>
        <v>CAN</v>
      </c>
      <c r="K1126" s="7" t="str">
        <f aca="false">IF($D1126="","",IFERROR(IF(INDEX(Hierarchy!$H$2:$H$1295,MATCH($D1126,Hierarchy!$A$2:$A$1295,0))="","",INDEX(Hierarchy!$H$2:$H$1295,MATCH($D1126,Hierarchy!$A$2:$A$1295,0))),"NODE NOT FOUND"))</f>
        <v>Newfoundland and Labrador</v>
      </c>
      <c r="L1126" s="7" t="str">
        <f aca="false">IF($D1126="","",IFERROR(IF(INDEX(Hierarchy!$I$2:$I$1295,MATCH($D1126,Hierarchy!$A$2:$A$1295,0))="","",INDEX(Hierarchy!$I$2:$I$1295,MATCH($D1126,Hierarchy!$A$2:$A$1295,0))),"NODE NOT FOUND"))</f>
        <v/>
      </c>
      <c r="M1126" s="17" t="str">
        <f aca="false">IF(B1126="Pre-seeded","Pre-seeded",IF(B1126="Review 2026-09-16","Added from review",IF(C1126="","New",IF(C1126=D1126,"","Changed"))))</f>
        <v>Pre-seeded</v>
      </c>
      <c r="N1126" s="7" t="str">
        <f aca="false">TRIM(SUBSTITUTE(SUBSTITUTE(SUBSTITUTE(" "&amp;TRIM(SUBSTITUTE(SUBSTITUTE(SUBSTITUTE(SUBSTITUTE(SUBSTITUTE(SUBSTITUTE(SUBSTITUTE(SUBSTITUTE(SUBSTITUTE(SUBSTITUTE(SUBSTITUTE(SUBSTITUTE(SUBSTITUTE(SUBSTITUTE(SUBSTITUTE(UPPER(TRIM(A1126)),"[MEMBER]",""),"{MEMBER}",""),"[MEMBER}",""),"MEMBER]",""),"(A)",""),"""",""),"“",""),"”",""),".",""),":",""),",",""),"–"," "),"-"," "),"/"," "),"&amp;"," AND "))&amp;" "," THE "," ")," TOTAL "," ")," OPERATIONS "," "))</f>
        <v>NEWFOUNDLAND AND LABRADOR</v>
      </c>
      <c r="O1126" s="17" t="str">
        <f aca="false">IF(COUNTIFS($N$2:$N$2000,N1126,$D$2:$D$2000,"&lt;&gt;"&amp;D1126)&gt;0,"CONFLICT","")</f>
        <v/>
      </c>
      <c r="P1126" s="7"/>
    </row>
    <row r="1127" customFormat="false" ht="15" hidden="false" customHeight="false" outlineLevel="0" collapsed="false">
      <c r="A1127" s="7" t="s">
        <v>579</v>
      </c>
      <c r="B1127" s="7" t="s">
        <v>1882</v>
      </c>
      <c r="C1127" s="7" t="s">
        <v>579</v>
      </c>
      <c r="D1127" s="6" t="s">
        <v>579</v>
      </c>
      <c r="E1127" s="6" t="s">
        <v>1880</v>
      </c>
      <c r="F1127" s="7" t="str">
        <f aca="false">IF($D1127="","",IFERROR(IF(INDEX(Hierarchy!$B$2:$B$1295,MATCH($D1127,Hierarchy!$A$2:$A$1295,0))="","",INDEX(Hierarchy!$B$2:$B$1295,MATCH($D1127,Hierarchy!$A$2:$A$1295,0))),"NODE NOT FOUND"))</f>
        <v>Country</v>
      </c>
      <c r="G1127" s="7" t="str">
        <f aca="false">IF($D1127="","",IFERROR(IF(INDEX(Hierarchy!$D$2:$D$1295,MATCH($D1127,Hierarchy!$A$2:$A$1295,0))="","",INDEX(Hierarchy!$D$2:$D$1295,MATCH($D1127,Hierarchy!$A$2:$A$1295,0))),"NODE NOT FOUND"))</f>
        <v>AMER</v>
      </c>
      <c r="H1127" s="7" t="str">
        <f aca="false">IF($D1127="","",IFERROR(IF(INDEX(Hierarchy!$E$2:$E$1295,MATCH($D1127,Hierarchy!$A$2:$A$1295,0))="","",INDEX(Hierarchy!$E$2:$E$1295,MATCH($D1127,Hierarchy!$A$2:$A$1295,0))),"NODE NOT FOUND"))</f>
        <v>Latin America (LATAM)</v>
      </c>
      <c r="I1127" s="7" t="str">
        <f aca="false">IF($D1127="","",IFERROR(IF(INDEX(Hierarchy!$F$2:$F$1295,MATCH($D1127,Hierarchy!$A$2:$A$1295,0))="","",INDEX(Hierarchy!$F$2:$F$1295,MATCH($D1127,Hierarchy!$A$2:$A$1295,0))),"NODE NOT FOUND"))</f>
        <v>Nicaragua</v>
      </c>
      <c r="J1127" s="7" t="str">
        <f aca="false">IF($D1127="","",IFERROR(IF(INDEX(Hierarchy!$G$2:$G$1295,MATCH($D1127,Hierarchy!$A$2:$A$1295,0))="","",INDEX(Hierarchy!$G$2:$G$1295,MATCH($D1127,Hierarchy!$A$2:$A$1295,0))),"NODE NOT FOUND"))</f>
        <v>NIC</v>
      </c>
      <c r="K1127" s="7" t="str">
        <f aca="false">IF($D1127="","",IFERROR(IF(INDEX(Hierarchy!$H$2:$H$1295,MATCH($D1127,Hierarchy!$A$2:$A$1295,0))="","",INDEX(Hierarchy!$H$2:$H$1295,MATCH($D1127,Hierarchy!$A$2:$A$1295,0))),"NODE NOT FOUND"))</f>
        <v/>
      </c>
      <c r="L1127" s="7" t="str">
        <f aca="false">IF($D1127="","",IFERROR(IF(INDEX(Hierarchy!$I$2:$I$1295,MATCH($D1127,Hierarchy!$A$2:$A$1295,0))="","",INDEX(Hierarchy!$I$2:$I$1295,MATCH($D1127,Hierarchy!$A$2:$A$1295,0))),"NODE NOT FOUND"))</f>
        <v/>
      </c>
      <c r="M1127" s="17" t="str">
        <f aca="false">IF(B1127="Pre-seeded","Pre-seeded",IF(B1127="Review 2026-09-16","Added from review",IF(C1127="","New",IF(C1127=D1127,"","Changed"))))</f>
        <v/>
      </c>
      <c r="N1127" s="7" t="str">
        <f aca="false">TRIM(SUBSTITUTE(SUBSTITUTE(SUBSTITUTE(" "&amp;TRIM(SUBSTITUTE(SUBSTITUTE(SUBSTITUTE(SUBSTITUTE(SUBSTITUTE(SUBSTITUTE(SUBSTITUTE(SUBSTITUTE(SUBSTITUTE(SUBSTITUTE(SUBSTITUTE(SUBSTITUTE(SUBSTITUTE(SUBSTITUTE(SUBSTITUTE(UPPER(TRIM(A1127)),"[MEMBER]",""),"{MEMBER}",""),"[MEMBER}",""),"MEMBER]",""),"(A)",""),"""",""),"“",""),"”",""),".",""),":",""),",",""),"–"," "),"-"," "),"/"," "),"&amp;"," AND "))&amp;" "," THE "," ")," TOTAL "," ")," OPERATIONS "," "))</f>
        <v>NICARAGUA</v>
      </c>
      <c r="O1127" s="17" t="str">
        <f aca="false">IF(COUNTIFS($N$2:$N$2000,N1127,$D$2:$D$2000,"&lt;&gt;"&amp;D1127)&gt;0,"CONFLICT","")</f>
        <v/>
      </c>
      <c r="P1127" s="7"/>
    </row>
    <row r="1128" customFormat="false" ht="15" hidden="false" customHeight="false" outlineLevel="0" collapsed="false">
      <c r="A1128" s="7" t="s">
        <v>995</v>
      </c>
      <c r="B1128" s="7" t="s">
        <v>1879</v>
      </c>
      <c r="C1128" s="7"/>
      <c r="D1128" s="6" t="s">
        <v>995</v>
      </c>
      <c r="E1128" s="6" t="s">
        <v>1880</v>
      </c>
      <c r="F1128" s="7" t="str">
        <f aca="false">IF($D1128="","",IFERROR(IF(INDEX(Hierarchy!$B$2:$B$1295,MATCH($D1128,Hierarchy!$A$2:$A$1295,0))="","",INDEX(Hierarchy!$B$2:$B$1295,MATCH($D1128,Hierarchy!$A$2:$A$1295,0))),"NODE NOT FOUND"))</f>
        <v>State/Province</v>
      </c>
      <c r="G1128" s="7" t="str">
        <f aca="false">IF($D1128="","",IFERROR(IF(INDEX(Hierarchy!$D$2:$D$1295,MATCH($D1128,Hierarchy!$A$2:$A$1295,0))="","",INDEX(Hierarchy!$D$2:$D$1295,MATCH($D1128,Hierarchy!$A$2:$A$1295,0))),"NODE NOT FOUND"))</f>
        <v>EMEA</v>
      </c>
      <c r="H1128" s="7" t="str">
        <f aca="false">IF($D1128="","",IFERROR(IF(INDEX(Hierarchy!$E$2:$E$1295,MATCH($D1128,Hierarchy!$A$2:$A$1295,0))="","",INDEX(Hierarchy!$E$2:$E$1295,MATCH($D1128,Hierarchy!$A$2:$A$1295,0))),"NODE NOT FOUND"))</f>
        <v>Europe</v>
      </c>
      <c r="I1128" s="7" t="str">
        <f aca="false">IF($D1128="","",IFERROR(IF(INDEX(Hierarchy!$F$2:$F$1295,MATCH($D1128,Hierarchy!$A$2:$A$1295,0))="","",INDEX(Hierarchy!$F$2:$F$1295,MATCH($D1128,Hierarchy!$A$2:$A$1295,0))),"NODE NOT FOUND"))</f>
        <v>Switzerland</v>
      </c>
      <c r="J1128" s="7" t="str">
        <f aca="false">IF($D1128="","",IFERROR(IF(INDEX(Hierarchy!$G$2:$G$1295,MATCH($D1128,Hierarchy!$A$2:$A$1295,0))="","",INDEX(Hierarchy!$G$2:$G$1295,MATCH($D1128,Hierarchy!$A$2:$A$1295,0))),"NODE NOT FOUND"))</f>
        <v>CHE</v>
      </c>
      <c r="K1128" s="7" t="str">
        <f aca="false">IF($D1128="","",IFERROR(IF(INDEX(Hierarchy!$H$2:$H$1295,MATCH($D1128,Hierarchy!$A$2:$A$1295,0))="","",INDEX(Hierarchy!$H$2:$H$1295,MATCH($D1128,Hierarchy!$A$2:$A$1295,0))),"NODE NOT FOUND"))</f>
        <v>Nidwalden</v>
      </c>
      <c r="L1128" s="7" t="str">
        <f aca="false">IF($D1128="","",IFERROR(IF(INDEX(Hierarchy!$I$2:$I$1295,MATCH($D1128,Hierarchy!$A$2:$A$1295,0))="","",INDEX(Hierarchy!$I$2:$I$1295,MATCH($D1128,Hierarchy!$A$2:$A$1295,0))),"NODE NOT FOUND"))</f>
        <v/>
      </c>
      <c r="M1128" s="17" t="str">
        <f aca="false">IF(B1128="Pre-seeded","Pre-seeded",IF(B1128="Review 2026-09-16","Added from review",IF(C1128="","New",IF(C1128=D1128,"","Changed"))))</f>
        <v>Pre-seeded</v>
      </c>
      <c r="N1128" s="7" t="str">
        <f aca="false">TRIM(SUBSTITUTE(SUBSTITUTE(SUBSTITUTE(" "&amp;TRIM(SUBSTITUTE(SUBSTITUTE(SUBSTITUTE(SUBSTITUTE(SUBSTITUTE(SUBSTITUTE(SUBSTITUTE(SUBSTITUTE(SUBSTITUTE(SUBSTITUTE(SUBSTITUTE(SUBSTITUTE(SUBSTITUTE(SUBSTITUTE(SUBSTITUTE(UPPER(TRIM(A1128)),"[MEMBER]",""),"{MEMBER}",""),"[MEMBER}",""),"MEMBER]",""),"(A)",""),"""",""),"“",""),"”",""),".",""),":",""),",",""),"–"," "),"-"," "),"/"," "),"&amp;"," AND "))&amp;" "," THE "," ")," TOTAL "," ")," OPERATIONS "," "))</f>
        <v>NIDWALDEN</v>
      </c>
      <c r="O1128" s="17" t="str">
        <f aca="false">IF(COUNTIFS($N$2:$N$2000,N1128,$D$2:$D$2000,"&lt;&gt;"&amp;D1128)&gt;0,"CONFLICT","")</f>
        <v/>
      </c>
      <c r="P1128" s="7"/>
    </row>
    <row r="1129" customFormat="false" ht="15" hidden="false" customHeight="false" outlineLevel="0" collapsed="false">
      <c r="A1129" s="7" t="s">
        <v>2433</v>
      </c>
      <c r="B1129" s="7" t="s">
        <v>1879</v>
      </c>
      <c r="C1129" s="7"/>
      <c r="D1129" s="6" t="s">
        <v>703</v>
      </c>
      <c r="E1129" s="6" t="s">
        <v>1880</v>
      </c>
      <c r="F1129" s="7" t="str">
        <f aca="false">IF($D1129="","",IFERROR(IF(INDEX(Hierarchy!$B$2:$B$1295,MATCH($D1129,Hierarchy!$A$2:$A$1295,0))="","",INDEX(Hierarchy!$B$2:$B$1295,MATCH($D1129,Hierarchy!$A$2:$A$1295,0))),"NODE NOT FOUND"))</f>
        <v>State/Province</v>
      </c>
      <c r="G1129" s="7" t="str">
        <f aca="false">IF($D1129="","",IFERROR(IF(INDEX(Hierarchy!$D$2:$D$1295,MATCH($D1129,Hierarchy!$A$2:$A$1295,0))="","",INDEX(Hierarchy!$D$2:$D$1295,MATCH($D1129,Hierarchy!$A$2:$A$1295,0))),"NODE NOT FOUND"))</f>
        <v>EMEA</v>
      </c>
      <c r="H1129" s="7" t="str">
        <f aca="false">IF($D1129="","",IFERROR(IF(INDEX(Hierarchy!$E$2:$E$1295,MATCH($D1129,Hierarchy!$A$2:$A$1295,0))="","",INDEX(Hierarchy!$E$2:$E$1295,MATCH($D1129,Hierarchy!$A$2:$A$1295,0))),"NODE NOT FOUND"))</f>
        <v>Europe</v>
      </c>
      <c r="I1129" s="7" t="str">
        <f aca="false">IF($D1129="","",IFERROR(IF(INDEX(Hierarchy!$F$2:$F$1295,MATCH($D1129,Hierarchy!$A$2:$A$1295,0))="","",INDEX(Hierarchy!$F$2:$F$1295,MATCH($D1129,Hierarchy!$A$2:$A$1295,0))),"NODE NOT FOUND"))</f>
        <v>Germany</v>
      </c>
      <c r="J1129" s="7" t="str">
        <f aca="false">IF($D1129="","",IFERROR(IF(INDEX(Hierarchy!$G$2:$G$1295,MATCH($D1129,Hierarchy!$A$2:$A$1295,0))="","",INDEX(Hierarchy!$G$2:$G$1295,MATCH($D1129,Hierarchy!$A$2:$A$1295,0))),"NODE NOT FOUND"))</f>
        <v>DEU</v>
      </c>
      <c r="K1129" s="7" t="str">
        <f aca="false">IF($D1129="","",IFERROR(IF(INDEX(Hierarchy!$H$2:$H$1295,MATCH($D1129,Hierarchy!$A$2:$A$1295,0))="","",INDEX(Hierarchy!$H$2:$H$1295,MATCH($D1129,Hierarchy!$A$2:$A$1295,0))),"NODE NOT FOUND"))</f>
        <v>Lower Saxony</v>
      </c>
      <c r="L1129" s="7" t="str">
        <f aca="false">IF($D1129="","",IFERROR(IF(INDEX(Hierarchy!$I$2:$I$1295,MATCH($D1129,Hierarchy!$A$2:$A$1295,0))="","",INDEX(Hierarchy!$I$2:$I$1295,MATCH($D1129,Hierarchy!$A$2:$A$1295,0))),"NODE NOT FOUND"))</f>
        <v/>
      </c>
      <c r="M1129" s="17" t="str">
        <f aca="false">IF(B1129="Pre-seeded","Pre-seeded",IF(B1129="Review 2026-09-16","Added from review",IF(C1129="","New",IF(C1129=D1129,"","Changed"))))</f>
        <v>Pre-seeded</v>
      </c>
      <c r="N1129" s="7" t="str">
        <f aca="false">TRIM(SUBSTITUTE(SUBSTITUTE(SUBSTITUTE(" "&amp;TRIM(SUBSTITUTE(SUBSTITUTE(SUBSTITUTE(SUBSTITUTE(SUBSTITUTE(SUBSTITUTE(SUBSTITUTE(SUBSTITUTE(SUBSTITUTE(SUBSTITUTE(SUBSTITUTE(SUBSTITUTE(SUBSTITUTE(SUBSTITUTE(SUBSTITUTE(UPPER(TRIM(A1129)),"[MEMBER]",""),"{MEMBER}",""),"[MEMBER}",""),"MEMBER]",""),"(A)",""),"""",""),"“",""),"”",""),".",""),":",""),",",""),"–"," "),"-"," "),"/"," "),"&amp;"," AND "))&amp;" "," THE "," ")," TOTAL "," ")," OPERATIONS "," "))</f>
        <v>NIEDERSACHSEN</v>
      </c>
      <c r="O1129" s="17" t="str">
        <f aca="false">IF(COUNTIFS($N$2:$N$2000,N1129,$D$2:$D$2000,"&lt;&gt;"&amp;D1129)&gt;0,"CONFLICT","")</f>
        <v/>
      </c>
      <c r="P1129" s="7"/>
    </row>
    <row r="1130" customFormat="false" ht="15" hidden="false" customHeight="false" outlineLevel="0" collapsed="false">
      <c r="A1130" s="7" t="s">
        <v>1270</v>
      </c>
      <c r="B1130" s="7" t="s">
        <v>1879</v>
      </c>
      <c r="C1130" s="7"/>
      <c r="D1130" s="6" t="s">
        <v>1270</v>
      </c>
      <c r="E1130" s="6" t="s">
        <v>1880</v>
      </c>
      <c r="F1130" s="7" t="str">
        <f aca="false">IF($D1130="","",IFERROR(IF(INDEX(Hierarchy!$B$2:$B$1295,MATCH($D1130,Hierarchy!$A$2:$A$1295,0))="","",INDEX(Hierarchy!$B$2:$B$1295,MATCH($D1130,Hierarchy!$A$2:$A$1295,0))),"NODE NOT FOUND"))</f>
        <v>Country</v>
      </c>
      <c r="G1130" s="7" t="str">
        <f aca="false">IF($D1130="","",IFERROR(IF(INDEX(Hierarchy!$D$2:$D$1295,MATCH($D1130,Hierarchy!$A$2:$A$1295,0))="","",INDEX(Hierarchy!$D$2:$D$1295,MATCH($D1130,Hierarchy!$A$2:$A$1295,0))),"NODE NOT FOUND"))</f>
        <v>EMEA</v>
      </c>
      <c r="H1130" s="7" t="str">
        <f aca="false">IF($D1130="","",IFERROR(IF(INDEX(Hierarchy!$E$2:$E$1295,MATCH($D1130,Hierarchy!$A$2:$A$1295,0))="","",INDEX(Hierarchy!$E$2:$E$1295,MATCH($D1130,Hierarchy!$A$2:$A$1295,0))),"NODE NOT FOUND"))</f>
        <v>Africa</v>
      </c>
      <c r="I1130" s="7" t="str">
        <f aca="false">IF($D1130="","",IFERROR(IF(INDEX(Hierarchy!$F$2:$F$1295,MATCH($D1130,Hierarchy!$A$2:$A$1295,0))="","",INDEX(Hierarchy!$F$2:$F$1295,MATCH($D1130,Hierarchy!$A$2:$A$1295,0))),"NODE NOT FOUND"))</f>
        <v>Niger</v>
      </c>
      <c r="J1130" s="7" t="str">
        <f aca="false">IF($D1130="","",IFERROR(IF(INDEX(Hierarchy!$G$2:$G$1295,MATCH($D1130,Hierarchy!$A$2:$A$1295,0))="","",INDEX(Hierarchy!$G$2:$G$1295,MATCH($D1130,Hierarchy!$A$2:$A$1295,0))),"NODE NOT FOUND"))</f>
        <v>NER</v>
      </c>
      <c r="K1130" s="7" t="str">
        <f aca="false">IF($D1130="","",IFERROR(IF(INDEX(Hierarchy!$H$2:$H$1295,MATCH($D1130,Hierarchy!$A$2:$A$1295,0))="","",INDEX(Hierarchy!$H$2:$H$1295,MATCH($D1130,Hierarchy!$A$2:$A$1295,0))),"NODE NOT FOUND"))</f>
        <v/>
      </c>
      <c r="L1130" s="7" t="str">
        <f aca="false">IF($D1130="","",IFERROR(IF(INDEX(Hierarchy!$I$2:$I$1295,MATCH($D1130,Hierarchy!$A$2:$A$1295,0))="","",INDEX(Hierarchy!$I$2:$I$1295,MATCH($D1130,Hierarchy!$A$2:$A$1295,0))),"NODE NOT FOUND"))</f>
        <v/>
      </c>
      <c r="M1130" s="17" t="str">
        <f aca="false">IF(B1130="Pre-seeded","Pre-seeded",IF(B1130="Review 2026-09-16","Added from review",IF(C1130="","New",IF(C1130=D1130,"","Changed"))))</f>
        <v>Pre-seeded</v>
      </c>
      <c r="N1130" s="7" t="str">
        <f aca="false">TRIM(SUBSTITUTE(SUBSTITUTE(SUBSTITUTE(" "&amp;TRIM(SUBSTITUTE(SUBSTITUTE(SUBSTITUTE(SUBSTITUTE(SUBSTITUTE(SUBSTITUTE(SUBSTITUTE(SUBSTITUTE(SUBSTITUTE(SUBSTITUTE(SUBSTITUTE(SUBSTITUTE(SUBSTITUTE(SUBSTITUTE(SUBSTITUTE(UPPER(TRIM(A1130)),"[MEMBER]",""),"{MEMBER}",""),"[MEMBER}",""),"MEMBER]",""),"(A)",""),"""",""),"“",""),"”",""),".",""),":",""),",",""),"–"," "),"-"," "),"/"," "),"&amp;"," AND "))&amp;" "," THE "," ")," TOTAL "," ")," OPERATIONS "," "))</f>
        <v>NIGER</v>
      </c>
      <c r="O1130" s="17" t="str">
        <f aca="false">IF(COUNTIFS($N$2:$N$2000,N1130,$D$2:$D$2000,"&lt;&gt;"&amp;D1130)&gt;0,"CONFLICT","")</f>
        <v/>
      </c>
      <c r="P1130" s="7"/>
    </row>
    <row r="1131" customFormat="false" ht="15" hidden="false" customHeight="false" outlineLevel="0" collapsed="false">
      <c r="A1131" s="7" t="s">
        <v>1159</v>
      </c>
      <c r="B1131" s="7" t="s">
        <v>1879</v>
      </c>
      <c r="C1131" s="7"/>
      <c r="D1131" s="6" t="s">
        <v>1159</v>
      </c>
      <c r="E1131" s="6" t="s">
        <v>1880</v>
      </c>
      <c r="F1131" s="7" t="str">
        <f aca="false">IF($D1131="","",IFERROR(IF(INDEX(Hierarchy!$B$2:$B$1295,MATCH($D1131,Hierarchy!$A$2:$A$1295,0))="","",INDEX(Hierarchy!$B$2:$B$1295,MATCH($D1131,Hierarchy!$A$2:$A$1295,0))),"NODE NOT FOUND"))</f>
        <v>State/Province</v>
      </c>
      <c r="G1131" s="7" t="str">
        <f aca="false">IF($D1131="","",IFERROR(IF(INDEX(Hierarchy!$D$2:$D$1295,MATCH($D1131,Hierarchy!$A$2:$A$1295,0))="","",INDEX(Hierarchy!$D$2:$D$1295,MATCH($D1131,Hierarchy!$A$2:$A$1295,0))),"NODE NOT FOUND"))</f>
        <v>EMEA</v>
      </c>
      <c r="H1131" s="7" t="str">
        <f aca="false">IF($D1131="","",IFERROR(IF(INDEX(Hierarchy!$E$2:$E$1295,MATCH($D1131,Hierarchy!$A$2:$A$1295,0))="","",INDEX(Hierarchy!$E$2:$E$1295,MATCH($D1131,Hierarchy!$A$2:$A$1295,0))),"NODE NOT FOUND"))</f>
        <v>Africa</v>
      </c>
      <c r="I1131" s="7" t="str">
        <f aca="false">IF($D1131="","",IFERROR(IF(INDEX(Hierarchy!$F$2:$F$1295,MATCH($D1131,Hierarchy!$A$2:$A$1295,0))="","",INDEX(Hierarchy!$F$2:$F$1295,MATCH($D1131,Hierarchy!$A$2:$A$1295,0))),"NODE NOT FOUND"))</f>
        <v>Nigeria</v>
      </c>
      <c r="J1131" s="7" t="str">
        <f aca="false">IF($D1131="","",IFERROR(IF(INDEX(Hierarchy!$G$2:$G$1295,MATCH($D1131,Hierarchy!$A$2:$A$1295,0))="","",INDEX(Hierarchy!$G$2:$G$1295,MATCH($D1131,Hierarchy!$A$2:$A$1295,0))),"NODE NOT FOUND"))</f>
        <v>NGA</v>
      </c>
      <c r="K1131" s="7" t="str">
        <f aca="false">IF($D1131="","",IFERROR(IF(INDEX(Hierarchy!$H$2:$H$1295,MATCH($D1131,Hierarchy!$A$2:$A$1295,0))="","",INDEX(Hierarchy!$H$2:$H$1295,MATCH($D1131,Hierarchy!$A$2:$A$1295,0))),"NODE NOT FOUND"))</f>
        <v>Niger State</v>
      </c>
      <c r="L1131" s="7" t="str">
        <f aca="false">IF($D1131="","",IFERROR(IF(INDEX(Hierarchy!$I$2:$I$1295,MATCH($D1131,Hierarchy!$A$2:$A$1295,0))="","",INDEX(Hierarchy!$I$2:$I$1295,MATCH($D1131,Hierarchy!$A$2:$A$1295,0))),"NODE NOT FOUND"))</f>
        <v/>
      </c>
      <c r="M1131" s="17" t="str">
        <f aca="false">IF(B1131="Pre-seeded","Pre-seeded",IF(B1131="Review 2026-09-16","Added from review",IF(C1131="","New",IF(C1131=D1131,"","Changed"))))</f>
        <v>Pre-seeded</v>
      </c>
      <c r="N1131" s="7" t="str">
        <f aca="false">TRIM(SUBSTITUTE(SUBSTITUTE(SUBSTITUTE(" "&amp;TRIM(SUBSTITUTE(SUBSTITUTE(SUBSTITUTE(SUBSTITUTE(SUBSTITUTE(SUBSTITUTE(SUBSTITUTE(SUBSTITUTE(SUBSTITUTE(SUBSTITUTE(SUBSTITUTE(SUBSTITUTE(SUBSTITUTE(SUBSTITUTE(SUBSTITUTE(UPPER(TRIM(A1131)),"[MEMBER]",""),"{MEMBER}",""),"[MEMBER}",""),"MEMBER]",""),"(A)",""),"""",""),"“",""),"”",""),".",""),":",""),",",""),"–"," "),"-"," "),"/"," "),"&amp;"," AND "))&amp;" "," THE "," ")," TOTAL "," ")," OPERATIONS "," "))</f>
        <v>NIGER STATE</v>
      </c>
      <c r="O1131" s="17" t="str">
        <f aca="false">IF(COUNTIFS($N$2:$N$2000,N1131,$D$2:$D$2000,"&lt;&gt;"&amp;D1131)&gt;0,"CONFLICT","")</f>
        <v/>
      </c>
      <c r="P1131" s="7"/>
    </row>
    <row r="1132" customFormat="false" ht="15" hidden="false" customHeight="false" outlineLevel="0" collapsed="false">
      <c r="A1132" s="7" t="s">
        <v>1128</v>
      </c>
      <c r="B1132" s="7" t="s">
        <v>1882</v>
      </c>
      <c r="C1132" s="7" t="s">
        <v>1128</v>
      </c>
      <c r="D1132" s="6" t="s">
        <v>1128</v>
      </c>
      <c r="E1132" s="6" t="s">
        <v>1880</v>
      </c>
      <c r="F1132" s="7" t="str">
        <f aca="false">IF($D1132="","",IFERROR(IF(INDEX(Hierarchy!$B$2:$B$1295,MATCH($D1132,Hierarchy!$A$2:$A$1295,0))="","",INDEX(Hierarchy!$B$2:$B$1295,MATCH($D1132,Hierarchy!$A$2:$A$1295,0))),"NODE NOT FOUND"))</f>
        <v>Country</v>
      </c>
      <c r="G1132" s="7" t="str">
        <f aca="false">IF($D1132="","",IFERROR(IF(INDEX(Hierarchy!$D$2:$D$1295,MATCH($D1132,Hierarchy!$A$2:$A$1295,0))="","",INDEX(Hierarchy!$D$2:$D$1295,MATCH($D1132,Hierarchy!$A$2:$A$1295,0))),"NODE NOT FOUND"))</f>
        <v>EMEA</v>
      </c>
      <c r="H1132" s="7" t="str">
        <f aca="false">IF($D1132="","",IFERROR(IF(INDEX(Hierarchy!$E$2:$E$1295,MATCH($D1132,Hierarchy!$A$2:$A$1295,0))="","",INDEX(Hierarchy!$E$2:$E$1295,MATCH($D1132,Hierarchy!$A$2:$A$1295,0))),"NODE NOT FOUND"))</f>
        <v>Africa</v>
      </c>
      <c r="I1132" s="7" t="str">
        <f aca="false">IF($D1132="","",IFERROR(IF(INDEX(Hierarchy!$F$2:$F$1295,MATCH($D1132,Hierarchy!$A$2:$A$1295,0))="","",INDEX(Hierarchy!$F$2:$F$1295,MATCH($D1132,Hierarchy!$A$2:$A$1295,0))),"NODE NOT FOUND"))</f>
        <v>Nigeria</v>
      </c>
      <c r="J1132" s="7" t="str">
        <f aca="false">IF($D1132="","",IFERROR(IF(INDEX(Hierarchy!$G$2:$G$1295,MATCH($D1132,Hierarchy!$A$2:$A$1295,0))="","",INDEX(Hierarchy!$G$2:$G$1295,MATCH($D1132,Hierarchy!$A$2:$A$1295,0))),"NODE NOT FOUND"))</f>
        <v>NGA</v>
      </c>
      <c r="K1132" s="7" t="str">
        <f aca="false">IF($D1132="","",IFERROR(IF(INDEX(Hierarchy!$H$2:$H$1295,MATCH($D1132,Hierarchy!$A$2:$A$1295,0))="","",INDEX(Hierarchy!$H$2:$H$1295,MATCH($D1132,Hierarchy!$A$2:$A$1295,0))),"NODE NOT FOUND"))</f>
        <v/>
      </c>
      <c r="L1132" s="7" t="str">
        <f aca="false">IF($D1132="","",IFERROR(IF(INDEX(Hierarchy!$I$2:$I$1295,MATCH($D1132,Hierarchy!$A$2:$A$1295,0))="","",INDEX(Hierarchy!$I$2:$I$1295,MATCH($D1132,Hierarchy!$A$2:$A$1295,0))),"NODE NOT FOUND"))</f>
        <v/>
      </c>
      <c r="M1132" s="17" t="str">
        <f aca="false">IF(B1132="Pre-seeded","Pre-seeded",IF(B1132="Review 2026-09-16","Added from review",IF(C1132="","New",IF(C1132=D1132,"","Changed"))))</f>
        <v/>
      </c>
      <c r="N1132" s="7" t="str">
        <f aca="false">TRIM(SUBSTITUTE(SUBSTITUTE(SUBSTITUTE(" "&amp;TRIM(SUBSTITUTE(SUBSTITUTE(SUBSTITUTE(SUBSTITUTE(SUBSTITUTE(SUBSTITUTE(SUBSTITUTE(SUBSTITUTE(SUBSTITUTE(SUBSTITUTE(SUBSTITUTE(SUBSTITUTE(SUBSTITUTE(SUBSTITUTE(SUBSTITUTE(UPPER(TRIM(A1132)),"[MEMBER]",""),"{MEMBER}",""),"[MEMBER}",""),"MEMBER]",""),"(A)",""),"""",""),"“",""),"”",""),".",""),":",""),",",""),"–"," "),"-"," "),"/"," "),"&amp;"," AND "))&amp;" "," THE "," ")," TOTAL "," ")," OPERATIONS "," "))</f>
        <v>NIGERIA</v>
      </c>
      <c r="O1132" s="17" t="str">
        <f aca="false">IF(COUNTIFS($N$2:$N$2000,N1132,$D$2:$D$2000,"&lt;&gt;"&amp;D1132)&gt;0,"CONFLICT","")</f>
        <v/>
      </c>
      <c r="P1132" s="7"/>
    </row>
    <row r="1133" customFormat="false" ht="15" hidden="false" customHeight="false" outlineLevel="0" collapsed="false">
      <c r="A1133" s="7" t="s">
        <v>1469</v>
      </c>
      <c r="B1133" s="7" t="s">
        <v>1879</v>
      </c>
      <c r="C1133" s="7"/>
      <c r="D1133" s="6" t="s">
        <v>1469</v>
      </c>
      <c r="E1133" s="6" t="s">
        <v>1880</v>
      </c>
      <c r="F1133" s="7" t="str">
        <f aca="false">IF($D1133="","",IFERROR(IF(INDEX(Hierarchy!$B$2:$B$1295,MATCH($D1133,Hierarchy!$A$2:$A$1295,0))="","",INDEX(Hierarchy!$B$2:$B$1295,MATCH($D1133,Hierarchy!$A$2:$A$1295,0))),"NODE NOT FOUND"))</f>
        <v>State/Province</v>
      </c>
      <c r="G1133" s="7" t="str">
        <f aca="false">IF($D1133="","",IFERROR(IF(INDEX(Hierarchy!$D$2:$D$1295,MATCH($D1133,Hierarchy!$A$2:$A$1295,0))="","",INDEX(Hierarchy!$D$2:$D$1295,MATCH($D1133,Hierarchy!$A$2:$A$1295,0))),"NODE NOT FOUND"))</f>
        <v>APAC</v>
      </c>
      <c r="H1133" s="7" t="str">
        <f aca="false">IF($D1133="","",IFERROR(IF(INDEX(Hierarchy!$E$2:$E$1295,MATCH($D1133,Hierarchy!$A$2:$A$1295,0))="","",INDEX(Hierarchy!$E$2:$E$1295,MATCH($D1133,Hierarchy!$A$2:$A$1295,0))),"NODE NOT FOUND"))</f>
        <v>East Asia</v>
      </c>
      <c r="I1133" s="7" t="str">
        <f aca="false">IF($D1133="","",IFERROR(IF(INDEX(Hierarchy!$F$2:$F$1295,MATCH($D1133,Hierarchy!$A$2:$A$1295,0))="","",INDEX(Hierarchy!$F$2:$F$1295,MATCH($D1133,Hierarchy!$A$2:$A$1295,0))),"NODE NOT FOUND"))</f>
        <v>Japan</v>
      </c>
      <c r="J1133" s="7" t="str">
        <f aca="false">IF($D1133="","",IFERROR(IF(INDEX(Hierarchy!$G$2:$G$1295,MATCH($D1133,Hierarchy!$A$2:$A$1295,0))="","",INDEX(Hierarchy!$G$2:$G$1295,MATCH($D1133,Hierarchy!$A$2:$A$1295,0))),"NODE NOT FOUND"))</f>
        <v>JPN</v>
      </c>
      <c r="K1133" s="7" t="str">
        <f aca="false">IF($D1133="","",IFERROR(IF(INDEX(Hierarchy!$H$2:$H$1295,MATCH($D1133,Hierarchy!$A$2:$A$1295,0))="","",INDEX(Hierarchy!$H$2:$H$1295,MATCH($D1133,Hierarchy!$A$2:$A$1295,0))),"NODE NOT FOUND"))</f>
        <v>Niigata</v>
      </c>
      <c r="L1133" s="7" t="str">
        <f aca="false">IF($D1133="","",IFERROR(IF(INDEX(Hierarchy!$I$2:$I$1295,MATCH($D1133,Hierarchy!$A$2:$A$1295,0))="","",INDEX(Hierarchy!$I$2:$I$1295,MATCH($D1133,Hierarchy!$A$2:$A$1295,0))),"NODE NOT FOUND"))</f>
        <v/>
      </c>
      <c r="M1133" s="17" t="str">
        <f aca="false">IF(B1133="Pre-seeded","Pre-seeded",IF(B1133="Review 2026-09-16","Added from review",IF(C1133="","New",IF(C1133=D1133,"","Changed"))))</f>
        <v>Pre-seeded</v>
      </c>
      <c r="N1133" s="7" t="str">
        <f aca="false">TRIM(SUBSTITUTE(SUBSTITUTE(SUBSTITUTE(" "&amp;TRIM(SUBSTITUTE(SUBSTITUTE(SUBSTITUTE(SUBSTITUTE(SUBSTITUTE(SUBSTITUTE(SUBSTITUTE(SUBSTITUTE(SUBSTITUTE(SUBSTITUTE(SUBSTITUTE(SUBSTITUTE(SUBSTITUTE(SUBSTITUTE(SUBSTITUTE(UPPER(TRIM(A1133)),"[MEMBER]",""),"{MEMBER}",""),"[MEMBER}",""),"MEMBER]",""),"(A)",""),"""",""),"“",""),"”",""),".",""),":",""),",",""),"–"," "),"-"," "),"/"," "),"&amp;"," AND "))&amp;" "," THE "," ")," TOTAL "," ")," OPERATIONS "," "))</f>
        <v>NIIGATA</v>
      </c>
      <c r="O1133" s="17" t="str">
        <f aca="false">IF(COUNTIFS($N$2:$N$2000,N1133,$D$2:$D$2000,"&lt;&gt;"&amp;D1133)&gt;0,"CONFLICT","")</f>
        <v/>
      </c>
      <c r="P1133" s="7"/>
    </row>
    <row r="1134" customFormat="false" ht="15" hidden="false" customHeight="false" outlineLevel="0" collapsed="false">
      <c r="A1134" s="7" t="s">
        <v>1530</v>
      </c>
      <c r="B1134" s="7" t="s">
        <v>1879</v>
      </c>
      <c r="C1134" s="7"/>
      <c r="D1134" s="6" t="s">
        <v>1530</v>
      </c>
      <c r="E1134" s="6" t="s">
        <v>1880</v>
      </c>
      <c r="F1134" s="7" t="str">
        <f aca="false">IF($D1134="","",IFERROR(IF(INDEX(Hierarchy!$B$2:$B$1295,MATCH($D1134,Hierarchy!$A$2:$A$1295,0))="","",INDEX(Hierarchy!$B$2:$B$1295,MATCH($D1134,Hierarchy!$A$2:$A$1295,0))),"NODE NOT FOUND"))</f>
        <v>State/Province</v>
      </c>
      <c r="G1134" s="7" t="str">
        <f aca="false">IF($D1134="","",IFERROR(IF(INDEX(Hierarchy!$D$2:$D$1295,MATCH($D1134,Hierarchy!$A$2:$A$1295,0))="","",INDEX(Hierarchy!$D$2:$D$1295,MATCH($D1134,Hierarchy!$A$2:$A$1295,0))),"NODE NOT FOUND"))</f>
        <v>APAC</v>
      </c>
      <c r="H1134" s="7" t="str">
        <f aca="false">IF($D1134="","",IFERROR(IF(INDEX(Hierarchy!$E$2:$E$1295,MATCH($D1134,Hierarchy!$A$2:$A$1295,0))="","",INDEX(Hierarchy!$E$2:$E$1295,MATCH($D1134,Hierarchy!$A$2:$A$1295,0))),"NODE NOT FOUND"))</f>
        <v>East Asia</v>
      </c>
      <c r="I1134" s="7" t="str">
        <f aca="false">IF($D1134="","",IFERROR(IF(INDEX(Hierarchy!$F$2:$F$1295,MATCH($D1134,Hierarchy!$A$2:$A$1295,0))="","",INDEX(Hierarchy!$F$2:$F$1295,MATCH($D1134,Hierarchy!$A$2:$A$1295,0))),"NODE NOT FOUND"))</f>
        <v>China</v>
      </c>
      <c r="J1134" s="7" t="str">
        <f aca="false">IF($D1134="","",IFERROR(IF(INDEX(Hierarchy!$G$2:$G$1295,MATCH($D1134,Hierarchy!$A$2:$A$1295,0))="","",INDEX(Hierarchy!$G$2:$G$1295,MATCH($D1134,Hierarchy!$A$2:$A$1295,0))),"NODE NOT FOUND"))</f>
        <v>CHN</v>
      </c>
      <c r="K1134" s="7" t="str">
        <f aca="false">IF($D1134="","",IFERROR(IF(INDEX(Hierarchy!$H$2:$H$1295,MATCH($D1134,Hierarchy!$A$2:$A$1295,0))="","",INDEX(Hierarchy!$H$2:$H$1295,MATCH($D1134,Hierarchy!$A$2:$A$1295,0))),"NODE NOT FOUND"))</f>
        <v>Ningxia</v>
      </c>
      <c r="L1134" s="7" t="str">
        <f aca="false">IF($D1134="","",IFERROR(IF(INDEX(Hierarchy!$I$2:$I$1295,MATCH($D1134,Hierarchy!$A$2:$A$1295,0))="","",INDEX(Hierarchy!$I$2:$I$1295,MATCH($D1134,Hierarchy!$A$2:$A$1295,0))),"NODE NOT FOUND"))</f>
        <v/>
      </c>
      <c r="M1134" s="17" t="str">
        <f aca="false">IF(B1134="Pre-seeded","Pre-seeded",IF(B1134="Review 2026-09-16","Added from review",IF(C1134="","New",IF(C1134=D1134,"","Changed"))))</f>
        <v>Pre-seeded</v>
      </c>
      <c r="N1134" s="7" t="str">
        <f aca="false">TRIM(SUBSTITUTE(SUBSTITUTE(SUBSTITUTE(" "&amp;TRIM(SUBSTITUTE(SUBSTITUTE(SUBSTITUTE(SUBSTITUTE(SUBSTITUTE(SUBSTITUTE(SUBSTITUTE(SUBSTITUTE(SUBSTITUTE(SUBSTITUTE(SUBSTITUTE(SUBSTITUTE(SUBSTITUTE(SUBSTITUTE(SUBSTITUTE(UPPER(TRIM(A1134)),"[MEMBER]",""),"{MEMBER}",""),"[MEMBER}",""),"MEMBER]",""),"(A)",""),"""",""),"“",""),"”",""),".",""),":",""),",",""),"–"," "),"-"," "),"/"," "),"&amp;"," AND "))&amp;" "," THE "," ")," TOTAL "," ")," OPERATIONS "," "))</f>
        <v>NINGXIA</v>
      </c>
      <c r="O1134" s="17" t="str">
        <f aca="false">IF(COUNTIFS($N$2:$N$2000,N1134,$D$2:$D$2000,"&lt;&gt;"&amp;D1134)&gt;0,"CONFLICT","")</f>
        <v/>
      </c>
      <c r="P1134" s="7"/>
    </row>
    <row r="1135" customFormat="false" ht="15" hidden="false" customHeight="false" outlineLevel="0" collapsed="false">
      <c r="A1135" s="7" t="s">
        <v>1760</v>
      </c>
      <c r="B1135" s="7" t="s">
        <v>1879</v>
      </c>
      <c r="C1135" s="7"/>
      <c r="D1135" s="6" t="s">
        <v>1760</v>
      </c>
      <c r="E1135" s="6" t="s">
        <v>1880</v>
      </c>
      <c r="F1135" s="7" t="str">
        <f aca="false">IF($D1135="","",IFERROR(IF(INDEX(Hierarchy!$B$2:$B$1295,MATCH($D1135,Hierarchy!$A$2:$A$1295,0))="","",INDEX(Hierarchy!$B$2:$B$1295,MATCH($D1135,Hierarchy!$A$2:$A$1295,0))),"NODE NOT FOUND"))</f>
        <v>Country</v>
      </c>
      <c r="G1135" s="7" t="str">
        <f aca="false">IF($D1135="","",IFERROR(IF(INDEX(Hierarchy!$D$2:$D$1295,MATCH($D1135,Hierarchy!$A$2:$A$1295,0))="","",INDEX(Hierarchy!$D$2:$D$1295,MATCH($D1135,Hierarchy!$A$2:$A$1295,0))),"NODE NOT FOUND"))</f>
        <v>APAC</v>
      </c>
      <c r="H1135" s="7" t="str">
        <f aca="false">IF($D1135="","",IFERROR(IF(INDEX(Hierarchy!$E$2:$E$1295,MATCH($D1135,Hierarchy!$A$2:$A$1295,0))="","",INDEX(Hierarchy!$E$2:$E$1295,MATCH($D1135,Hierarchy!$A$2:$A$1295,0))),"NODE NOT FOUND"))</f>
        <v>Oceania (ANZ)</v>
      </c>
      <c r="I1135" s="7" t="str">
        <f aca="false">IF($D1135="","",IFERROR(IF(INDEX(Hierarchy!$F$2:$F$1295,MATCH($D1135,Hierarchy!$A$2:$A$1295,0))="","",INDEX(Hierarchy!$F$2:$F$1295,MATCH($D1135,Hierarchy!$A$2:$A$1295,0))),"NODE NOT FOUND"))</f>
        <v>Niue</v>
      </c>
      <c r="J1135" s="7" t="str">
        <f aca="false">IF($D1135="","",IFERROR(IF(INDEX(Hierarchy!$G$2:$G$1295,MATCH($D1135,Hierarchy!$A$2:$A$1295,0))="","",INDEX(Hierarchy!$G$2:$G$1295,MATCH($D1135,Hierarchy!$A$2:$A$1295,0))),"NODE NOT FOUND"))</f>
        <v>NIU</v>
      </c>
      <c r="K1135" s="7" t="str">
        <f aca="false">IF($D1135="","",IFERROR(IF(INDEX(Hierarchy!$H$2:$H$1295,MATCH($D1135,Hierarchy!$A$2:$A$1295,0))="","",INDEX(Hierarchy!$H$2:$H$1295,MATCH($D1135,Hierarchy!$A$2:$A$1295,0))),"NODE NOT FOUND"))</f>
        <v/>
      </c>
      <c r="L1135" s="7" t="str">
        <f aca="false">IF($D1135="","",IFERROR(IF(INDEX(Hierarchy!$I$2:$I$1295,MATCH($D1135,Hierarchy!$A$2:$A$1295,0))="","",INDEX(Hierarchy!$I$2:$I$1295,MATCH($D1135,Hierarchy!$A$2:$A$1295,0))),"NODE NOT FOUND"))</f>
        <v/>
      </c>
      <c r="M1135" s="17" t="str">
        <f aca="false">IF(B1135="Pre-seeded","Pre-seeded",IF(B1135="Review 2026-09-16","Added from review",IF(C1135="","New",IF(C1135=D1135,"","Changed"))))</f>
        <v>Pre-seeded</v>
      </c>
      <c r="N1135" s="7" t="str">
        <f aca="false">TRIM(SUBSTITUTE(SUBSTITUTE(SUBSTITUTE(" "&amp;TRIM(SUBSTITUTE(SUBSTITUTE(SUBSTITUTE(SUBSTITUTE(SUBSTITUTE(SUBSTITUTE(SUBSTITUTE(SUBSTITUTE(SUBSTITUTE(SUBSTITUTE(SUBSTITUTE(SUBSTITUTE(SUBSTITUTE(SUBSTITUTE(SUBSTITUTE(UPPER(TRIM(A1135)),"[MEMBER]",""),"{MEMBER}",""),"[MEMBER}",""),"MEMBER]",""),"(A)",""),"""",""),"“",""),"”",""),".",""),":",""),",",""),"–"," "),"-"," "),"/"," "),"&amp;"," AND "))&amp;" "," THE "," ")," TOTAL "," ")," OPERATIONS "," "))</f>
        <v>NIUE</v>
      </c>
      <c r="O1135" s="17" t="str">
        <f aca="false">IF(COUNTIFS($N$2:$N$2000,N1135,$D$2:$D$2000,"&lt;&gt;"&amp;D1135)&gt;0,"CONFLICT","")</f>
        <v/>
      </c>
      <c r="P1135" s="7"/>
    </row>
    <row r="1136" customFormat="false" ht="15" hidden="false" customHeight="false" outlineLevel="0" collapsed="false">
      <c r="A1136" s="7" t="s">
        <v>2434</v>
      </c>
      <c r="B1136" s="7" t="s">
        <v>1879</v>
      </c>
      <c r="C1136" s="7"/>
      <c r="D1136" s="6" t="s">
        <v>324</v>
      </c>
      <c r="E1136" s="6" t="s">
        <v>1880</v>
      </c>
      <c r="F1136" s="7" t="str">
        <f aca="false">IF($D1136="","",IFERROR(IF(INDEX(Hierarchy!$B$2:$B$1295,MATCH($D1136,Hierarchy!$A$2:$A$1295,0))="","",INDEX(Hierarchy!$B$2:$B$1295,MATCH($D1136,Hierarchy!$A$2:$A$1295,0))),"NODE NOT FOUND"))</f>
        <v>Sub-region component</v>
      </c>
      <c r="G1136" s="7" t="str">
        <f aca="false">IF($D1136="","",IFERROR(IF(INDEX(Hierarchy!$D$2:$D$1295,MATCH($D1136,Hierarchy!$A$2:$A$1295,0))="","",INDEX(Hierarchy!$D$2:$D$1295,MATCH($D1136,Hierarchy!$A$2:$A$1295,0))),"NODE NOT FOUND"))</f>
        <v>AMER</v>
      </c>
      <c r="H1136" s="7" t="str">
        <f aca="false">IF($D1136="","",IFERROR(IF(INDEX(Hierarchy!$E$2:$E$1295,MATCH($D1136,Hierarchy!$A$2:$A$1295,0))="","",INDEX(Hierarchy!$E$2:$E$1295,MATCH($D1136,Hierarchy!$A$2:$A$1295,0))),"NODE NOT FOUND"))</f>
        <v>Latin America (LATAM)</v>
      </c>
      <c r="I1136" s="7" t="str">
        <f aca="false">IF($D1136="","",IFERROR(IF(INDEX(Hierarchy!$F$2:$F$1295,MATCH($D1136,Hierarchy!$A$2:$A$1295,0))="","",INDEX(Hierarchy!$F$2:$F$1295,MATCH($D1136,Hierarchy!$A$2:$A$1295,0))),"NODE NOT FOUND"))</f>
        <v/>
      </c>
      <c r="J1136" s="7" t="str">
        <f aca="false">IF($D1136="","",IFERROR(IF(INDEX(Hierarchy!$G$2:$G$1295,MATCH($D1136,Hierarchy!$A$2:$A$1295,0))="","",INDEX(Hierarchy!$G$2:$G$1295,MATCH($D1136,Hierarchy!$A$2:$A$1295,0))),"NODE NOT FOUND"))</f>
        <v/>
      </c>
      <c r="K1136" s="7" t="str">
        <f aca="false">IF($D1136="","",IFERROR(IF(INDEX(Hierarchy!$H$2:$H$1295,MATCH($D1136,Hierarchy!$A$2:$A$1295,0))="","",INDEX(Hierarchy!$H$2:$H$1295,MATCH($D1136,Hierarchy!$A$2:$A$1295,0))),"NODE NOT FOUND"))</f>
        <v/>
      </c>
      <c r="L1136" s="7" t="str">
        <f aca="false">IF($D1136="","",IFERROR(IF(INDEX(Hierarchy!$I$2:$I$1295,MATCH($D1136,Hierarchy!$A$2:$A$1295,0))="","",INDEX(Hierarchy!$I$2:$I$1295,MATCH($D1136,Hierarchy!$A$2:$A$1295,0))),"NODE NOT FOUND"))</f>
        <v/>
      </c>
      <c r="M1136" s="17" t="str">
        <f aca="false">IF(B1136="Pre-seeded","Pre-seeded",IF(B1136="Review 2026-09-16","Added from review",IF(C1136="","New",IF(C1136=D1136,"","Changed"))))</f>
        <v>Pre-seeded</v>
      </c>
      <c r="N1136" s="7" t="str">
        <f aca="false">TRIM(SUBSTITUTE(SUBSTITUTE(SUBSTITUTE(" "&amp;TRIM(SUBSTITUTE(SUBSTITUTE(SUBSTITUTE(SUBSTITUTE(SUBSTITUTE(SUBSTITUTE(SUBSTITUTE(SUBSTITUTE(SUBSTITUTE(SUBSTITUTE(SUBSTITUTE(SUBSTITUTE(SUBSTITUTE(SUBSTITUTE(SUBSTITUTE(UPPER(TRIM(A1136)),"[MEMBER]",""),"{MEMBER}",""),"[MEMBER}",""),"MEMBER]",""),"(A)",""),"""",""),"“",""),"”",""),".",""),":",""),",",""),"–"," "),"-"," "),"/"," "),"&amp;"," AND "))&amp;" "," THE "," ")," TOTAL "," ")," OPERATIONS "," "))</f>
        <v>NOLA</v>
      </c>
      <c r="O1136" s="17" t="str">
        <f aca="false">IF(COUNTIFS($N$2:$N$2000,N1136,$D$2:$D$2000,"&lt;&gt;"&amp;D1136)&gt;0,"CONFLICT","")</f>
        <v/>
      </c>
      <c r="P1136" s="7"/>
    </row>
    <row r="1137" customFormat="false" ht="15" hidden="false" customHeight="false" outlineLevel="0" collapsed="false">
      <c r="A1137" s="7" t="s">
        <v>324</v>
      </c>
      <c r="B1137" s="7" t="s">
        <v>1879</v>
      </c>
      <c r="C1137" s="7"/>
      <c r="D1137" s="6" t="s">
        <v>324</v>
      </c>
      <c r="E1137" s="6" t="s">
        <v>1880</v>
      </c>
      <c r="F1137" s="7" t="str">
        <f aca="false">IF($D1137="","",IFERROR(IF(INDEX(Hierarchy!$B$2:$B$1295,MATCH($D1137,Hierarchy!$A$2:$A$1295,0))="","",INDEX(Hierarchy!$B$2:$B$1295,MATCH($D1137,Hierarchy!$A$2:$A$1295,0))),"NODE NOT FOUND"))</f>
        <v>Sub-region component</v>
      </c>
      <c r="G1137" s="7" t="str">
        <f aca="false">IF($D1137="","",IFERROR(IF(INDEX(Hierarchy!$D$2:$D$1295,MATCH($D1137,Hierarchy!$A$2:$A$1295,0))="","",INDEX(Hierarchy!$D$2:$D$1295,MATCH($D1137,Hierarchy!$A$2:$A$1295,0))),"NODE NOT FOUND"))</f>
        <v>AMER</v>
      </c>
      <c r="H1137" s="7" t="str">
        <f aca="false">IF($D1137="","",IFERROR(IF(INDEX(Hierarchy!$E$2:$E$1295,MATCH($D1137,Hierarchy!$A$2:$A$1295,0))="","",INDEX(Hierarchy!$E$2:$E$1295,MATCH($D1137,Hierarchy!$A$2:$A$1295,0))),"NODE NOT FOUND"))</f>
        <v>Latin America (LATAM)</v>
      </c>
      <c r="I1137" s="7" t="str">
        <f aca="false">IF($D1137="","",IFERROR(IF(INDEX(Hierarchy!$F$2:$F$1295,MATCH($D1137,Hierarchy!$A$2:$A$1295,0))="","",INDEX(Hierarchy!$F$2:$F$1295,MATCH($D1137,Hierarchy!$A$2:$A$1295,0))),"NODE NOT FOUND"))</f>
        <v/>
      </c>
      <c r="J1137" s="7" t="str">
        <f aca="false">IF($D1137="","",IFERROR(IF(INDEX(Hierarchy!$G$2:$G$1295,MATCH($D1137,Hierarchy!$A$2:$A$1295,0))="","",INDEX(Hierarchy!$G$2:$G$1295,MATCH($D1137,Hierarchy!$A$2:$A$1295,0))),"NODE NOT FOUND"))</f>
        <v/>
      </c>
      <c r="K1137" s="7" t="str">
        <f aca="false">IF($D1137="","",IFERROR(IF(INDEX(Hierarchy!$H$2:$H$1295,MATCH($D1137,Hierarchy!$A$2:$A$1295,0))="","",INDEX(Hierarchy!$H$2:$H$1295,MATCH($D1137,Hierarchy!$A$2:$A$1295,0))),"NODE NOT FOUND"))</f>
        <v/>
      </c>
      <c r="L1137" s="7" t="str">
        <f aca="false">IF($D1137="","",IFERROR(IF(INDEX(Hierarchy!$I$2:$I$1295,MATCH($D1137,Hierarchy!$A$2:$A$1295,0))="","",INDEX(Hierarchy!$I$2:$I$1295,MATCH($D1137,Hierarchy!$A$2:$A$1295,0))),"NODE NOT FOUND"))</f>
        <v/>
      </c>
      <c r="M1137" s="17" t="str">
        <f aca="false">IF(B1137="Pre-seeded","Pre-seeded",IF(B1137="Review 2026-09-16","Added from review",IF(C1137="","New",IF(C1137=D1137,"","Changed"))))</f>
        <v>Pre-seeded</v>
      </c>
      <c r="N1137" s="7" t="str">
        <f aca="false">TRIM(SUBSTITUTE(SUBSTITUTE(SUBSTITUTE(" "&amp;TRIM(SUBSTITUTE(SUBSTITUTE(SUBSTITUTE(SUBSTITUTE(SUBSTITUTE(SUBSTITUTE(SUBSTITUTE(SUBSTITUTE(SUBSTITUTE(SUBSTITUTE(SUBSTITUTE(SUBSTITUTE(SUBSTITUTE(SUBSTITUTE(SUBSTITUTE(UPPER(TRIM(A1137)),"[MEMBER]",""),"{MEMBER}",""),"[MEMBER}",""),"MEMBER]",""),"(A)",""),"""",""),"“",""),"”",""),".",""),":",""),",",""),"–"," "),"-"," "),"/"," "),"&amp;"," AND "))&amp;" "," THE "," ")," TOTAL "," ")," OPERATIONS "," "))</f>
        <v>NOLA (NORTHERN LATIN AMERICA)</v>
      </c>
      <c r="O1137" s="17" t="str">
        <f aca="false">IF(COUNTIFS($N$2:$N$2000,N1137,$D$2:$D$2000,"&lt;&gt;"&amp;D1137)&gt;0,"CONFLICT","")</f>
        <v/>
      </c>
      <c r="P1137" s="7"/>
    </row>
    <row r="1138" customFormat="false" ht="15" hidden="false" customHeight="false" outlineLevel="0" collapsed="false">
      <c r="A1138" s="7" t="s">
        <v>2435</v>
      </c>
      <c r="B1138" s="7" t="s">
        <v>1882</v>
      </c>
      <c r="C1138" s="7" t="s">
        <v>2207</v>
      </c>
      <c r="D1138" s="6" t="s">
        <v>1784</v>
      </c>
      <c r="E1138" s="6" t="s">
        <v>1880</v>
      </c>
      <c r="F1138" s="7" t="str">
        <f aca="false">IF($D1138="","",IFERROR(IF(INDEX(Hierarchy!$B$2:$B$1295,MATCH($D1138,Hierarchy!$A$2:$A$1295,0))="","",INDEX(Hierarchy!$B$2:$B$1295,MATCH($D1138,Hierarchy!$A$2:$A$1295,0))),"NODE NOT FOUND"))</f>
        <v>Bucket</v>
      </c>
      <c r="G1138" s="7" t="str">
        <f aca="false">IF($D1138="","",IFERROR(IF(INDEX(Hierarchy!$D$2:$D$1295,MATCH($D1138,Hierarchy!$A$2:$A$1295,0))="","",INDEX(Hierarchy!$D$2:$D$1295,MATCH($D1138,Hierarchy!$A$2:$A$1295,0))),"NODE NOT FOUND"))</f>
        <v>Non-regional</v>
      </c>
      <c r="H1138" s="7" t="str">
        <f aca="false">IF($D1138="","",IFERROR(IF(INDEX(Hierarchy!$E$2:$E$1295,MATCH($D1138,Hierarchy!$A$2:$A$1295,0))="","",INDEX(Hierarchy!$E$2:$E$1295,MATCH($D1138,Hierarchy!$A$2:$A$1295,0))),"NODE NOT FOUND"))</f>
        <v/>
      </c>
      <c r="I1138" s="7" t="str">
        <f aca="false">IF($D1138="","",IFERROR(IF(INDEX(Hierarchy!$F$2:$F$1295,MATCH($D1138,Hierarchy!$A$2:$A$1295,0))="","",INDEX(Hierarchy!$F$2:$F$1295,MATCH($D1138,Hierarchy!$A$2:$A$1295,0))),"NODE NOT FOUND"))</f>
        <v/>
      </c>
      <c r="J1138" s="7" t="str">
        <f aca="false">IF($D1138="","",IFERROR(IF(INDEX(Hierarchy!$G$2:$G$1295,MATCH($D1138,Hierarchy!$A$2:$A$1295,0))="","",INDEX(Hierarchy!$G$2:$G$1295,MATCH($D1138,Hierarchy!$A$2:$A$1295,0))),"NODE NOT FOUND"))</f>
        <v/>
      </c>
      <c r="K1138" s="7" t="str">
        <f aca="false">IF($D1138="","",IFERROR(IF(INDEX(Hierarchy!$H$2:$H$1295,MATCH($D1138,Hierarchy!$A$2:$A$1295,0))="","",INDEX(Hierarchy!$H$2:$H$1295,MATCH($D1138,Hierarchy!$A$2:$A$1295,0))),"NODE NOT FOUND"))</f>
        <v/>
      </c>
      <c r="L1138" s="7" t="str">
        <f aca="false">IF($D1138="","",IFERROR(IF(INDEX(Hierarchy!$I$2:$I$1295,MATCH($D1138,Hierarchy!$A$2:$A$1295,0))="","",INDEX(Hierarchy!$I$2:$I$1295,MATCH($D1138,Hierarchy!$A$2:$A$1295,0))),"NODE NOT FOUND"))</f>
        <v/>
      </c>
      <c r="M1138" s="17" t="str">
        <f aca="false">IF(B1138="Pre-seeded","Pre-seeded",IF(B1138="Review 2026-09-16","Added from review",IF(C1138="","New",IF(C1138=D1138,"","Changed"))))</f>
        <v>Changed</v>
      </c>
      <c r="N1138" s="7" t="str">
        <f aca="false">TRIM(SUBSTITUTE(SUBSTITUTE(SUBSTITUTE(" "&amp;TRIM(SUBSTITUTE(SUBSTITUTE(SUBSTITUTE(SUBSTITUTE(SUBSTITUTE(SUBSTITUTE(SUBSTITUTE(SUBSTITUTE(SUBSTITUTE(SUBSTITUTE(SUBSTITUTE(SUBSTITUTE(SUBSTITUTE(SUBSTITUTE(SUBSTITUTE(UPPER(TRIM(A1138)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38" s="17" t="str">
        <f aca="false">IF(COUNTIFS($N$2:$N$2000,N1138,$D$2:$D$2000,"&lt;&gt;"&amp;D1138)&gt;0,"CONFLICT","")</f>
        <v/>
      </c>
      <c r="P1138" s="7" t="s">
        <v>2208</v>
      </c>
    </row>
    <row r="1139" customFormat="false" ht="15" hidden="false" customHeight="false" outlineLevel="0" collapsed="false">
      <c r="A1139" s="7" t="s">
        <v>2436</v>
      </c>
      <c r="B1139" s="7" t="s">
        <v>1882</v>
      </c>
      <c r="C1139" s="7" t="s">
        <v>2207</v>
      </c>
      <c r="D1139" s="6" t="s">
        <v>1784</v>
      </c>
      <c r="E1139" s="6" t="s">
        <v>1880</v>
      </c>
      <c r="F1139" s="7" t="str">
        <f aca="false">IF($D1139="","",IFERROR(IF(INDEX(Hierarchy!$B$2:$B$1295,MATCH($D1139,Hierarchy!$A$2:$A$1295,0))="","",INDEX(Hierarchy!$B$2:$B$1295,MATCH($D1139,Hierarchy!$A$2:$A$1295,0))),"NODE NOT FOUND"))</f>
        <v>Bucket</v>
      </c>
      <c r="G1139" s="7" t="str">
        <f aca="false">IF($D1139="","",IFERROR(IF(INDEX(Hierarchy!$D$2:$D$1295,MATCH($D1139,Hierarchy!$A$2:$A$1295,0))="","",INDEX(Hierarchy!$D$2:$D$1295,MATCH($D1139,Hierarchy!$A$2:$A$1295,0))),"NODE NOT FOUND"))</f>
        <v>Non-regional</v>
      </c>
      <c r="H1139" s="7" t="str">
        <f aca="false">IF($D1139="","",IFERROR(IF(INDEX(Hierarchy!$E$2:$E$1295,MATCH($D1139,Hierarchy!$A$2:$A$1295,0))="","",INDEX(Hierarchy!$E$2:$E$1295,MATCH($D1139,Hierarchy!$A$2:$A$1295,0))),"NODE NOT FOUND"))</f>
        <v/>
      </c>
      <c r="I1139" s="7" t="str">
        <f aca="false">IF($D1139="","",IFERROR(IF(INDEX(Hierarchy!$F$2:$F$1295,MATCH($D1139,Hierarchy!$A$2:$A$1295,0))="","",INDEX(Hierarchy!$F$2:$F$1295,MATCH($D1139,Hierarchy!$A$2:$A$1295,0))),"NODE NOT FOUND"))</f>
        <v/>
      </c>
      <c r="J1139" s="7" t="str">
        <f aca="false">IF($D1139="","",IFERROR(IF(INDEX(Hierarchy!$G$2:$G$1295,MATCH($D1139,Hierarchy!$A$2:$A$1295,0))="","",INDEX(Hierarchy!$G$2:$G$1295,MATCH($D1139,Hierarchy!$A$2:$A$1295,0))),"NODE NOT FOUND"))</f>
        <v/>
      </c>
      <c r="K1139" s="7" t="str">
        <f aca="false">IF($D1139="","",IFERROR(IF(INDEX(Hierarchy!$H$2:$H$1295,MATCH($D1139,Hierarchy!$A$2:$A$1295,0))="","",INDEX(Hierarchy!$H$2:$H$1295,MATCH($D1139,Hierarchy!$A$2:$A$1295,0))),"NODE NOT FOUND"))</f>
        <v/>
      </c>
      <c r="L1139" s="7" t="str">
        <f aca="false">IF($D1139="","",IFERROR(IF(INDEX(Hierarchy!$I$2:$I$1295,MATCH($D1139,Hierarchy!$A$2:$A$1295,0))="","",INDEX(Hierarchy!$I$2:$I$1295,MATCH($D1139,Hierarchy!$A$2:$A$1295,0))),"NODE NOT FOUND"))</f>
        <v/>
      </c>
      <c r="M1139" s="17" t="str">
        <f aca="false">IF(B1139="Pre-seeded","Pre-seeded",IF(B1139="Review 2026-09-16","Added from review",IF(C1139="","New",IF(C1139=D1139,"","Changed"))))</f>
        <v>Changed</v>
      </c>
      <c r="N1139" s="7" t="str">
        <f aca="false">TRIM(SUBSTITUTE(SUBSTITUTE(SUBSTITUTE(" "&amp;TRIM(SUBSTITUTE(SUBSTITUTE(SUBSTITUTE(SUBSTITUTE(SUBSTITUTE(SUBSTITUTE(SUBSTITUTE(SUBSTITUTE(SUBSTITUTE(SUBSTITUTE(SUBSTITUTE(SUBSTITUTE(SUBSTITUTE(SUBSTITUTE(SUBSTITUTE(UPPER(TRIM(A1139)),"[MEMBER]",""),"{MEMBER}",""),"[MEMBER}",""),"MEMBER]",""),"(A)",""),"""",""),"“",""),"”",""),".",""),":",""),",",""),"–"," "),"-"," "),"/"," "),"&amp;"," AND "))&amp;" "," THE "," ")," TOTAL "," ")," OPERATIONS "," "))</f>
        <v>NON UNITED STATES</v>
      </c>
      <c r="O1139" s="17" t="str">
        <f aca="false">IF(COUNTIFS($N$2:$N$2000,N1139,$D$2:$D$2000,"&lt;&gt;"&amp;D1139)&gt;0,"CONFLICT","")</f>
        <v/>
      </c>
      <c r="P1139" s="7" t="s">
        <v>2208</v>
      </c>
    </row>
    <row r="1140" customFormat="false" ht="15" hidden="false" customHeight="false" outlineLevel="0" collapsed="false">
      <c r="A1140" s="7" t="s">
        <v>2437</v>
      </c>
      <c r="B1140" s="7" t="s">
        <v>1882</v>
      </c>
      <c r="C1140" s="7" t="s">
        <v>2207</v>
      </c>
      <c r="D1140" s="6" t="s">
        <v>1784</v>
      </c>
      <c r="E1140" s="6" t="s">
        <v>1880</v>
      </c>
      <c r="F1140" s="7" t="str">
        <f aca="false">IF($D1140="","",IFERROR(IF(INDEX(Hierarchy!$B$2:$B$1295,MATCH($D1140,Hierarchy!$A$2:$A$1295,0))="","",INDEX(Hierarchy!$B$2:$B$1295,MATCH($D1140,Hierarchy!$A$2:$A$1295,0))),"NODE NOT FOUND"))</f>
        <v>Bucket</v>
      </c>
      <c r="G1140" s="7" t="str">
        <f aca="false">IF($D1140="","",IFERROR(IF(INDEX(Hierarchy!$D$2:$D$1295,MATCH($D1140,Hierarchy!$A$2:$A$1295,0))="","",INDEX(Hierarchy!$D$2:$D$1295,MATCH($D1140,Hierarchy!$A$2:$A$1295,0))),"NODE NOT FOUND"))</f>
        <v>Non-regional</v>
      </c>
      <c r="H1140" s="7" t="str">
        <f aca="false">IF($D1140="","",IFERROR(IF(INDEX(Hierarchy!$E$2:$E$1295,MATCH($D1140,Hierarchy!$A$2:$A$1295,0))="","",INDEX(Hierarchy!$E$2:$E$1295,MATCH($D1140,Hierarchy!$A$2:$A$1295,0))),"NODE NOT FOUND"))</f>
        <v/>
      </c>
      <c r="I1140" s="7" t="str">
        <f aca="false">IF($D1140="","",IFERROR(IF(INDEX(Hierarchy!$F$2:$F$1295,MATCH($D1140,Hierarchy!$A$2:$A$1295,0))="","",INDEX(Hierarchy!$F$2:$F$1295,MATCH($D1140,Hierarchy!$A$2:$A$1295,0))),"NODE NOT FOUND"))</f>
        <v/>
      </c>
      <c r="J1140" s="7" t="str">
        <f aca="false">IF($D1140="","",IFERROR(IF(INDEX(Hierarchy!$G$2:$G$1295,MATCH($D1140,Hierarchy!$A$2:$A$1295,0))="","",INDEX(Hierarchy!$G$2:$G$1295,MATCH($D1140,Hierarchy!$A$2:$A$1295,0))),"NODE NOT FOUND"))</f>
        <v/>
      </c>
      <c r="K1140" s="7" t="str">
        <f aca="false">IF($D1140="","",IFERROR(IF(INDEX(Hierarchy!$H$2:$H$1295,MATCH($D1140,Hierarchy!$A$2:$A$1295,0))="","",INDEX(Hierarchy!$H$2:$H$1295,MATCH($D1140,Hierarchy!$A$2:$A$1295,0))),"NODE NOT FOUND"))</f>
        <v/>
      </c>
      <c r="L1140" s="7" t="str">
        <f aca="false">IF($D1140="","",IFERROR(IF(INDEX(Hierarchy!$I$2:$I$1295,MATCH($D1140,Hierarchy!$A$2:$A$1295,0))="","",INDEX(Hierarchy!$I$2:$I$1295,MATCH($D1140,Hierarchy!$A$2:$A$1295,0))),"NODE NOT FOUND"))</f>
        <v/>
      </c>
      <c r="M1140" s="17" t="str">
        <f aca="false">IF(B1140="Pre-seeded","Pre-seeded",IF(B1140="Review 2026-09-16","Added from review",IF(C1140="","New",IF(C1140=D1140,"","Changed"))))</f>
        <v>Changed</v>
      </c>
      <c r="N1140" s="7" t="str">
        <f aca="false">TRIM(SUBSTITUTE(SUBSTITUTE(SUBSTITUTE(" "&amp;TRIM(SUBSTITUTE(SUBSTITUTE(SUBSTITUTE(SUBSTITUTE(SUBSTITUTE(SUBSTITUTE(SUBSTITUTE(SUBSTITUTE(SUBSTITUTE(SUBSTITUTE(SUBSTITUTE(SUBSTITUTE(SUBSTITUTE(SUBSTITUTE(SUBSTITUTE(UPPER(TRIM(A1140)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40" s="17" t="str">
        <f aca="false">IF(COUNTIFS($N$2:$N$2000,N1140,$D$2:$D$2000,"&lt;&gt;"&amp;D1140)&gt;0,"CONFLICT","")</f>
        <v/>
      </c>
      <c r="P1140" s="7" t="s">
        <v>2208</v>
      </c>
    </row>
    <row r="1141" customFormat="false" ht="15" hidden="false" customHeight="false" outlineLevel="0" collapsed="false">
      <c r="A1141" s="7" t="s">
        <v>2438</v>
      </c>
      <c r="B1141" s="7" t="s">
        <v>1882</v>
      </c>
      <c r="C1141" s="7" t="s">
        <v>2207</v>
      </c>
      <c r="D1141" s="6" t="s">
        <v>1784</v>
      </c>
      <c r="E1141" s="6" t="s">
        <v>1880</v>
      </c>
      <c r="F1141" s="7" t="str">
        <f aca="false">IF($D1141="","",IFERROR(IF(INDEX(Hierarchy!$B$2:$B$1295,MATCH($D1141,Hierarchy!$A$2:$A$1295,0))="","",INDEX(Hierarchy!$B$2:$B$1295,MATCH($D1141,Hierarchy!$A$2:$A$1295,0))),"NODE NOT FOUND"))</f>
        <v>Bucket</v>
      </c>
      <c r="G1141" s="7" t="str">
        <f aca="false">IF($D1141="","",IFERROR(IF(INDEX(Hierarchy!$D$2:$D$1295,MATCH($D1141,Hierarchy!$A$2:$A$1295,0))="","",INDEX(Hierarchy!$D$2:$D$1295,MATCH($D1141,Hierarchy!$A$2:$A$1295,0))),"NODE NOT FOUND"))</f>
        <v>Non-regional</v>
      </c>
      <c r="H1141" s="7" t="str">
        <f aca="false">IF($D1141="","",IFERROR(IF(INDEX(Hierarchy!$E$2:$E$1295,MATCH($D1141,Hierarchy!$A$2:$A$1295,0))="","",INDEX(Hierarchy!$E$2:$E$1295,MATCH($D1141,Hierarchy!$A$2:$A$1295,0))),"NODE NOT FOUND"))</f>
        <v/>
      </c>
      <c r="I1141" s="7" t="str">
        <f aca="false">IF($D1141="","",IFERROR(IF(INDEX(Hierarchy!$F$2:$F$1295,MATCH($D1141,Hierarchy!$A$2:$A$1295,0))="","",INDEX(Hierarchy!$F$2:$F$1295,MATCH($D1141,Hierarchy!$A$2:$A$1295,0))),"NODE NOT FOUND"))</f>
        <v/>
      </c>
      <c r="J1141" s="7" t="str">
        <f aca="false">IF($D1141="","",IFERROR(IF(INDEX(Hierarchy!$G$2:$G$1295,MATCH($D1141,Hierarchy!$A$2:$A$1295,0))="","",INDEX(Hierarchy!$G$2:$G$1295,MATCH($D1141,Hierarchy!$A$2:$A$1295,0))),"NODE NOT FOUND"))</f>
        <v/>
      </c>
      <c r="K1141" s="7" t="str">
        <f aca="false">IF($D1141="","",IFERROR(IF(INDEX(Hierarchy!$H$2:$H$1295,MATCH($D1141,Hierarchy!$A$2:$A$1295,0))="","",INDEX(Hierarchy!$H$2:$H$1295,MATCH($D1141,Hierarchy!$A$2:$A$1295,0))),"NODE NOT FOUND"))</f>
        <v/>
      </c>
      <c r="L1141" s="7" t="str">
        <f aca="false">IF($D1141="","",IFERROR(IF(INDEX(Hierarchy!$I$2:$I$1295,MATCH($D1141,Hierarchy!$A$2:$A$1295,0))="","",INDEX(Hierarchy!$I$2:$I$1295,MATCH($D1141,Hierarchy!$A$2:$A$1295,0))),"NODE NOT FOUND"))</f>
        <v/>
      </c>
      <c r="M1141" s="17" t="str">
        <f aca="false">IF(B1141="Pre-seeded","Pre-seeded",IF(B1141="Review 2026-09-16","Added from review",IF(C1141="","New",IF(C1141=D1141,"","Changed"))))</f>
        <v>Changed</v>
      </c>
      <c r="N1141" s="7" t="str">
        <f aca="false">TRIM(SUBSTITUTE(SUBSTITUTE(SUBSTITUTE(" "&amp;TRIM(SUBSTITUTE(SUBSTITUTE(SUBSTITUTE(SUBSTITUTE(SUBSTITUTE(SUBSTITUTE(SUBSTITUTE(SUBSTITUTE(SUBSTITUTE(SUBSTITUTE(SUBSTITUTE(SUBSTITUTE(SUBSTITUTE(SUBSTITUTE(SUBSTITUTE(UPPER(TRIM(A1141)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41" s="17" t="str">
        <f aca="false">IF(COUNTIFS($N$2:$N$2000,N1141,$D$2:$D$2000,"&lt;&gt;"&amp;D1141)&gt;0,"CONFLICT","")</f>
        <v/>
      </c>
      <c r="P1141" s="7" t="s">
        <v>2208</v>
      </c>
    </row>
    <row r="1142" customFormat="false" ht="15" hidden="false" customHeight="false" outlineLevel="0" collapsed="false">
      <c r="A1142" s="7" t="s">
        <v>2439</v>
      </c>
      <c r="B1142" s="7" t="s">
        <v>1882</v>
      </c>
      <c r="C1142" s="7" t="s">
        <v>2207</v>
      </c>
      <c r="D1142" s="6" t="s">
        <v>1784</v>
      </c>
      <c r="E1142" s="6" t="s">
        <v>1880</v>
      </c>
      <c r="F1142" s="7" t="str">
        <f aca="false">IF($D1142="","",IFERROR(IF(INDEX(Hierarchy!$B$2:$B$1295,MATCH($D1142,Hierarchy!$A$2:$A$1295,0))="","",INDEX(Hierarchy!$B$2:$B$1295,MATCH($D1142,Hierarchy!$A$2:$A$1295,0))),"NODE NOT FOUND"))</f>
        <v>Bucket</v>
      </c>
      <c r="G1142" s="7" t="str">
        <f aca="false">IF($D1142="","",IFERROR(IF(INDEX(Hierarchy!$D$2:$D$1295,MATCH($D1142,Hierarchy!$A$2:$A$1295,0))="","",INDEX(Hierarchy!$D$2:$D$1295,MATCH($D1142,Hierarchy!$A$2:$A$1295,0))),"NODE NOT FOUND"))</f>
        <v>Non-regional</v>
      </c>
      <c r="H1142" s="7" t="str">
        <f aca="false">IF($D1142="","",IFERROR(IF(INDEX(Hierarchy!$E$2:$E$1295,MATCH($D1142,Hierarchy!$A$2:$A$1295,0))="","",INDEX(Hierarchy!$E$2:$E$1295,MATCH($D1142,Hierarchy!$A$2:$A$1295,0))),"NODE NOT FOUND"))</f>
        <v/>
      </c>
      <c r="I1142" s="7" t="str">
        <f aca="false">IF($D1142="","",IFERROR(IF(INDEX(Hierarchy!$F$2:$F$1295,MATCH($D1142,Hierarchy!$A$2:$A$1295,0))="","",INDEX(Hierarchy!$F$2:$F$1295,MATCH($D1142,Hierarchy!$A$2:$A$1295,0))),"NODE NOT FOUND"))</f>
        <v/>
      </c>
      <c r="J1142" s="7" t="str">
        <f aca="false">IF($D1142="","",IFERROR(IF(INDEX(Hierarchy!$G$2:$G$1295,MATCH($D1142,Hierarchy!$A$2:$A$1295,0))="","",INDEX(Hierarchy!$G$2:$G$1295,MATCH($D1142,Hierarchy!$A$2:$A$1295,0))),"NODE NOT FOUND"))</f>
        <v/>
      </c>
      <c r="K1142" s="7" t="str">
        <f aca="false">IF($D1142="","",IFERROR(IF(INDEX(Hierarchy!$H$2:$H$1295,MATCH($D1142,Hierarchy!$A$2:$A$1295,0))="","",INDEX(Hierarchy!$H$2:$H$1295,MATCH($D1142,Hierarchy!$A$2:$A$1295,0))),"NODE NOT FOUND"))</f>
        <v/>
      </c>
      <c r="L1142" s="7" t="str">
        <f aca="false">IF($D1142="","",IFERROR(IF(INDEX(Hierarchy!$I$2:$I$1295,MATCH($D1142,Hierarchy!$A$2:$A$1295,0))="","",INDEX(Hierarchy!$I$2:$I$1295,MATCH($D1142,Hierarchy!$A$2:$A$1295,0))),"NODE NOT FOUND"))</f>
        <v/>
      </c>
      <c r="M1142" s="17" t="str">
        <f aca="false">IF(B1142="Pre-seeded","Pre-seeded",IF(B1142="Review 2026-09-16","Added from review",IF(C1142="","New",IF(C1142=D1142,"","Changed"))))</f>
        <v>Changed</v>
      </c>
      <c r="N1142" s="7" t="str">
        <f aca="false">TRIM(SUBSTITUTE(SUBSTITUTE(SUBSTITUTE(" "&amp;TRIM(SUBSTITUTE(SUBSTITUTE(SUBSTITUTE(SUBSTITUTE(SUBSTITUTE(SUBSTITUTE(SUBSTITUTE(SUBSTITUTE(SUBSTITUTE(SUBSTITUTE(SUBSTITUTE(SUBSTITUTE(SUBSTITUTE(SUBSTITUTE(SUBSTITUTE(UPPER(TRIM(A1142)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42" s="17" t="str">
        <f aca="false">IF(COUNTIFS($N$2:$N$2000,N1142,$D$2:$D$2000,"&lt;&gt;"&amp;D1142)&gt;0,"CONFLICT","")</f>
        <v/>
      </c>
      <c r="P1142" s="7" t="s">
        <v>2208</v>
      </c>
    </row>
    <row r="1143" customFormat="false" ht="15" hidden="false" customHeight="false" outlineLevel="0" collapsed="false">
      <c r="A1143" s="7" t="s">
        <v>2440</v>
      </c>
      <c r="B1143" s="7" t="s">
        <v>1885</v>
      </c>
      <c r="C1143" s="7" t="s">
        <v>84</v>
      </c>
      <c r="D1143" s="6" t="s">
        <v>1784</v>
      </c>
      <c r="E1143" s="6" t="s">
        <v>1880</v>
      </c>
      <c r="F1143" s="7" t="str">
        <f aca="false">IF($D1143="","",IFERROR(IF(INDEX(Hierarchy!$B$2:$B$1295,MATCH($D1143,Hierarchy!$A$2:$A$1295,0))="","",INDEX(Hierarchy!$B$2:$B$1295,MATCH($D1143,Hierarchy!$A$2:$A$1295,0))),"NODE NOT FOUND"))</f>
        <v>Bucket</v>
      </c>
      <c r="G1143" s="7" t="str">
        <f aca="false">IF($D1143="","",IFERROR(IF(INDEX(Hierarchy!$D$2:$D$1295,MATCH($D1143,Hierarchy!$A$2:$A$1295,0))="","",INDEX(Hierarchy!$D$2:$D$1295,MATCH($D1143,Hierarchy!$A$2:$A$1295,0))),"NODE NOT FOUND"))</f>
        <v>Non-regional</v>
      </c>
      <c r="H1143" s="7" t="str">
        <f aca="false">IF($D1143="","",IFERROR(IF(INDEX(Hierarchy!$E$2:$E$1295,MATCH($D1143,Hierarchy!$A$2:$A$1295,0))="","",INDEX(Hierarchy!$E$2:$E$1295,MATCH($D1143,Hierarchy!$A$2:$A$1295,0))),"NODE NOT FOUND"))</f>
        <v/>
      </c>
      <c r="I1143" s="7" t="str">
        <f aca="false">IF($D1143="","",IFERROR(IF(INDEX(Hierarchy!$F$2:$F$1295,MATCH($D1143,Hierarchy!$A$2:$A$1295,0))="","",INDEX(Hierarchy!$F$2:$F$1295,MATCH($D1143,Hierarchy!$A$2:$A$1295,0))),"NODE NOT FOUND"))</f>
        <v/>
      </c>
      <c r="J1143" s="7" t="str">
        <f aca="false">IF($D1143="","",IFERROR(IF(INDEX(Hierarchy!$G$2:$G$1295,MATCH($D1143,Hierarchy!$A$2:$A$1295,0))="","",INDEX(Hierarchy!$G$2:$G$1295,MATCH($D1143,Hierarchy!$A$2:$A$1295,0))),"NODE NOT FOUND"))</f>
        <v/>
      </c>
      <c r="K1143" s="7" t="str">
        <f aca="false">IF($D1143="","",IFERROR(IF(INDEX(Hierarchy!$H$2:$H$1295,MATCH($D1143,Hierarchy!$A$2:$A$1295,0))="","",INDEX(Hierarchy!$H$2:$H$1295,MATCH($D1143,Hierarchy!$A$2:$A$1295,0))),"NODE NOT FOUND"))</f>
        <v/>
      </c>
      <c r="L1143" s="7" t="str">
        <f aca="false">IF($D1143="","",IFERROR(IF(INDEX(Hierarchy!$I$2:$I$1295,MATCH($D1143,Hierarchy!$A$2:$A$1295,0))="","",INDEX(Hierarchy!$I$2:$I$1295,MATCH($D1143,Hierarchy!$A$2:$A$1295,0))),"NODE NOT FOUND"))</f>
        <v/>
      </c>
      <c r="M1143" s="17" t="str">
        <f aca="false">IF(B1143="Pre-seeded","Pre-seeded",IF(B1143="Review 2026-09-16","Added from review",IF(C1143="","New",IF(C1143=D1143,"","Changed"))))</f>
        <v>Changed</v>
      </c>
      <c r="N1143" s="7" t="str">
        <f aca="false">TRIM(SUBSTITUTE(SUBSTITUTE(SUBSTITUTE(" "&amp;TRIM(SUBSTITUTE(SUBSTITUTE(SUBSTITUTE(SUBSTITUTE(SUBSTITUTE(SUBSTITUTE(SUBSTITUTE(SUBSTITUTE(SUBSTITUTE(SUBSTITUTE(SUBSTITUTE(SUBSTITUTE(SUBSTITUTE(SUBSTITUTE(SUBSTITUTE(UPPER(TRIM(A1143)),"[MEMBER]",""),"{MEMBER}",""),"[MEMBER}",""),"MEMBER]",""),"(A)",""),"""",""),"“",""),"”",""),".",""),":",""),",",""),"–"," "),"-"," "),"/"," "),"&amp;"," AND "))&amp;" "," THE "," ")," TOTAL "," ")," OPERATIONS "," "))</f>
        <v>NON DOMESTIC</v>
      </c>
      <c r="O1143" s="17" t="str">
        <f aca="false">IF(COUNTIFS($N$2:$N$2000,N1143,$D$2:$D$2000,"&lt;&gt;"&amp;D1143)&gt;0,"CONFLICT","")</f>
        <v/>
      </c>
      <c r="P1143" s="7" t="s">
        <v>2441</v>
      </c>
    </row>
    <row r="1144" customFormat="false" ht="15" hidden="false" customHeight="false" outlineLevel="0" collapsed="false">
      <c r="A1144" s="7" t="s">
        <v>2442</v>
      </c>
      <c r="B1144" s="7" t="s">
        <v>1879</v>
      </c>
      <c r="C1144" s="7"/>
      <c r="D1144" s="6" t="s">
        <v>1784</v>
      </c>
      <c r="E1144" s="6" t="s">
        <v>1891</v>
      </c>
      <c r="F1144" s="7" t="str">
        <f aca="false">IF($D1144="","",IFERROR(IF(INDEX(Hierarchy!$B$2:$B$1295,MATCH($D1144,Hierarchy!$A$2:$A$1295,0))="","",INDEX(Hierarchy!$B$2:$B$1295,MATCH($D1144,Hierarchy!$A$2:$A$1295,0))),"NODE NOT FOUND"))</f>
        <v>Bucket</v>
      </c>
      <c r="G1144" s="7" t="str">
        <f aca="false">IF($D1144="","",IFERROR(IF(INDEX(Hierarchy!$D$2:$D$1295,MATCH($D1144,Hierarchy!$A$2:$A$1295,0))="","",INDEX(Hierarchy!$D$2:$D$1295,MATCH($D1144,Hierarchy!$A$2:$A$1295,0))),"NODE NOT FOUND"))</f>
        <v>Non-regional</v>
      </c>
      <c r="H1144" s="7" t="str">
        <f aca="false">IF($D1144="","",IFERROR(IF(INDEX(Hierarchy!$E$2:$E$1295,MATCH($D1144,Hierarchy!$A$2:$A$1295,0))="","",INDEX(Hierarchy!$E$2:$E$1295,MATCH($D1144,Hierarchy!$A$2:$A$1295,0))),"NODE NOT FOUND"))</f>
        <v/>
      </c>
      <c r="I1144" s="7" t="str">
        <f aca="false">IF($D1144="","",IFERROR(IF(INDEX(Hierarchy!$F$2:$F$1295,MATCH($D1144,Hierarchy!$A$2:$A$1295,0))="","",INDEX(Hierarchy!$F$2:$F$1295,MATCH($D1144,Hierarchy!$A$2:$A$1295,0))),"NODE NOT FOUND"))</f>
        <v/>
      </c>
      <c r="J1144" s="7" t="str">
        <f aca="false">IF($D1144="","",IFERROR(IF(INDEX(Hierarchy!$G$2:$G$1295,MATCH($D1144,Hierarchy!$A$2:$A$1295,0))="","",INDEX(Hierarchy!$G$2:$G$1295,MATCH($D1144,Hierarchy!$A$2:$A$1295,0))),"NODE NOT FOUND"))</f>
        <v/>
      </c>
      <c r="K1144" s="7" t="str">
        <f aca="false">IF($D1144="","",IFERROR(IF(INDEX(Hierarchy!$H$2:$H$1295,MATCH($D1144,Hierarchy!$A$2:$A$1295,0))="","",INDEX(Hierarchy!$H$2:$H$1295,MATCH($D1144,Hierarchy!$A$2:$A$1295,0))),"NODE NOT FOUND"))</f>
        <v/>
      </c>
      <c r="L1144" s="7" t="str">
        <f aca="false">IF($D1144="","",IFERROR(IF(INDEX(Hierarchy!$I$2:$I$1295,MATCH($D1144,Hierarchy!$A$2:$A$1295,0))="","",INDEX(Hierarchy!$I$2:$I$1295,MATCH($D1144,Hierarchy!$A$2:$A$1295,0))),"NODE NOT FOUND"))</f>
        <v/>
      </c>
      <c r="M1144" s="17" t="str">
        <f aca="false">IF(B1144="Pre-seeded","Pre-seeded",IF(B1144="Review 2026-09-16","Added from review",IF(C1144="","New",IF(C1144=D1144,"","Changed"))))</f>
        <v>Pre-seeded</v>
      </c>
      <c r="N1144" s="7" t="str">
        <f aca="false">TRIM(SUBSTITUTE(SUBSTITUTE(SUBSTITUTE(" "&amp;TRIM(SUBSTITUTE(SUBSTITUTE(SUBSTITUTE(SUBSTITUTE(SUBSTITUTE(SUBSTITUTE(SUBSTITUTE(SUBSTITUTE(SUBSTITUTE(SUBSTITUTE(SUBSTITUTE(SUBSTITUTE(SUBSTITUTE(SUBSTITUTE(SUBSTITUTE(UPPER(TRIM(A1144)),"[MEMBER]",""),"{MEMBER}",""),"[MEMBER}",""),"MEMBER]",""),"(A)",""),"""",""),"“",""),"”",""),".",""),":",""),",",""),"–"," "),"-"," "),"/"," "),"&amp;"," AND "))&amp;" "," THE "," ")," TOTAL "," ")," OPERATIONS "," "))</f>
        <v>NON NORTH AMERICA</v>
      </c>
      <c r="O1144" s="17" t="str">
        <f aca="false">IF(COUNTIFS($N$2:$N$2000,N1144,$D$2:$D$2000,"&lt;&gt;"&amp;D1144)&gt;0,"CONFLICT","")</f>
        <v/>
      </c>
      <c r="P1144" s="7"/>
    </row>
    <row r="1145" customFormat="false" ht="15" hidden="false" customHeight="false" outlineLevel="0" collapsed="false">
      <c r="A1145" s="7" t="s">
        <v>2443</v>
      </c>
      <c r="B1145" s="7" t="s">
        <v>1882</v>
      </c>
      <c r="C1145" s="7" t="s">
        <v>2207</v>
      </c>
      <c r="D1145" s="6" t="s">
        <v>1784</v>
      </c>
      <c r="E1145" s="6" t="s">
        <v>1880</v>
      </c>
      <c r="F1145" s="7" t="str">
        <f aca="false">IF($D1145="","",IFERROR(IF(INDEX(Hierarchy!$B$2:$B$1295,MATCH($D1145,Hierarchy!$A$2:$A$1295,0))="","",INDEX(Hierarchy!$B$2:$B$1295,MATCH($D1145,Hierarchy!$A$2:$A$1295,0))),"NODE NOT FOUND"))</f>
        <v>Bucket</v>
      </c>
      <c r="G1145" s="7" t="str">
        <f aca="false">IF($D1145="","",IFERROR(IF(INDEX(Hierarchy!$D$2:$D$1295,MATCH($D1145,Hierarchy!$A$2:$A$1295,0))="","",INDEX(Hierarchy!$D$2:$D$1295,MATCH($D1145,Hierarchy!$A$2:$A$1295,0))),"NODE NOT FOUND"))</f>
        <v>Non-regional</v>
      </c>
      <c r="H1145" s="7" t="str">
        <f aca="false">IF($D1145="","",IFERROR(IF(INDEX(Hierarchy!$E$2:$E$1295,MATCH($D1145,Hierarchy!$A$2:$A$1295,0))="","",INDEX(Hierarchy!$E$2:$E$1295,MATCH($D1145,Hierarchy!$A$2:$A$1295,0))),"NODE NOT FOUND"))</f>
        <v/>
      </c>
      <c r="I1145" s="7" t="str">
        <f aca="false">IF($D1145="","",IFERROR(IF(INDEX(Hierarchy!$F$2:$F$1295,MATCH($D1145,Hierarchy!$A$2:$A$1295,0))="","",INDEX(Hierarchy!$F$2:$F$1295,MATCH($D1145,Hierarchy!$A$2:$A$1295,0))),"NODE NOT FOUND"))</f>
        <v/>
      </c>
      <c r="J1145" s="7" t="str">
        <f aca="false">IF($D1145="","",IFERROR(IF(INDEX(Hierarchy!$G$2:$G$1295,MATCH($D1145,Hierarchy!$A$2:$A$1295,0))="","",INDEX(Hierarchy!$G$2:$G$1295,MATCH($D1145,Hierarchy!$A$2:$A$1295,0))),"NODE NOT FOUND"))</f>
        <v/>
      </c>
      <c r="K1145" s="7" t="str">
        <f aca="false">IF($D1145="","",IFERROR(IF(INDEX(Hierarchy!$H$2:$H$1295,MATCH($D1145,Hierarchy!$A$2:$A$1295,0))="","",INDEX(Hierarchy!$H$2:$H$1295,MATCH($D1145,Hierarchy!$A$2:$A$1295,0))),"NODE NOT FOUND"))</f>
        <v/>
      </c>
      <c r="L1145" s="7" t="str">
        <f aca="false">IF($D1145="","",IFERROR(IF(INDEX(Hierarchy!$I$2:$I$1295,MATCH($D1145,Hierarchy!$A$2:$A$1295,0))="","",INDEX(Hierarchy!$I$2:$I$1295,MATCH($D1145,Hierarchy!$A$2:$A$1295,0))),"NODE NOT FOUND"))</f>
        <v/>
      </c>
      <c r="M1145" s="17" t="str">
        <f aca="false">IF(B1145="Pre-seeded","Pre-seeded",IF(B1145="Review 2026-09-16","Added from review",IF(C1145="","New",IF(C1145=D1145,"","Changed"))))</f>
        <v>Changed</v>
      </c>
      <c r="N1145" s="7" t="str">
        <f aca="false">TRIM(SUBSTITUTE(SUBSTITUTE(SUBSTITUTE(" "&amp;TRIM(SUBSTITUTE(SUBSTITUTE(SUBSTITUTE(SUBSTITUTE(SUBSTITUTE(SUBSTITUTE(SUBSTITUTE(SUBSTITUTE(SUBSTITUTE(SUBSTITUTE(SUBSTITUTE(SUBSTITUTE(SUBSTITUTE(SUBSTITUTE(SUBSTITUTE(UPPER(TRIM(A1145)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45" s="17" t="str">
        <f aca="false">IF(COUNTIFS($N$2:$N$2000,N1145,$D$2:$D$2000,"&lt;&gt;"&amp;D1145)&gt;0,"CONFLICT","")</f>
        <v/>
      </c>
      <c r="P1145" s="7" t="s">
        <v>2208</v>
      </c>
    </row>
    <row r="1146" customFormat="false" ht="15" hidden="false" customHeight="false" outlineLevel="0" collapsed="false">
      <c r="A1146" s="7" t="s">
        <v>2444</v>
      </c>
      <c r="B1146" s="7" t="s">
        <v>1882</v>
      </c>
      <c r="C1146" s="7" t="s">
        <v>2207</v>
      </c>
      <c r="D1146" s="6" t="s">
        <v>1784</v>
      </c>
      <c r="E1146" s="6" t="s">
        <v>1880</v>
      </c>
      <c r="F1146" s="7" t="str">
        <f aca="false">IF($D1146="","",IFERROR(IF(INDEX(Hierarchy!$B$2:$B$1295,MATCH($D1146,Hierarchy!$A$2:$A$1295,0))="","",INDEX(Hierarchy!$B$2:$B$1295,MATCH($D1146,Hierarchy!$A$2:$A$1295,0))),"NODE NOT FOUND"))</f>
        <v>Bucket</v>
      </c>
      <c r="G1146" s="7" t="str">
        <f aca="false">IF($D1146="","",IFERROR(IF(INDEX(Hierarchy!$D$2:$D$1295,MATCH($D1146,Hierarchy!$A$2:$A$1295,0))="","",INDEX(Hierarchy!$D$2:$D$1295,MATCH($D1146,Hierarchy!$A$2:$A$1295,0))),"NODE NOT FOUND"))</f>
        <v>Non-regional</v>
      </c>
      <c r="H1146" s="7" t="str">
        <f aca="false">IF($D1146="","",IFERROR(IF(INDEX(Hierarchy!$E$2:$E$1295,MATCH($D1146,Hierarchy!$A$2:$A$1295,0))="","",INDEX(Hierarchy!$E$2:$E$1295,MATCH($D1146,Hierarchy!$A$2:$A$1295,0))),"NODE NOT FOUND"))</f>
        <v/>
      </c>
      <c r="I1146" s="7" t="str">
        <f aca="false">IF($D1146="","",IFERROR(IF(INDEX(Hierarchy!$F$2:$F$1295,MATCH($D1146,Hierarchy!$A$2:$A$1295,0))="","",INDEX(Hierarchy!$F$2:$F$1295,MATCH($D1146,Hierarchy!$A$2:$A$1295,0))),"NODE NOT FOUND"))</f>
        <v/>
      </c>
      <c r="J1146" s="7" t="str">
        <f aca="false">IF($D1146="","",IFERROR(IF(INDEX(Hierarchy!$G$2:$G$1295,MATCH($D1146,Hierarchy!$A$2:$A$1295,0))="","",INDEX(Hierarchy!$G$2:$G$1295,MATCH($D1146,Hierarchy!$A$2:$A$1295,0))),"NODE NOT FOUND"))</f>
        <v/>
      </c>
      <c r="K1146" s="7" t="str">
        <f aca="false">IF($D1146="","",IFERROR(IF(INDEX(Hierarchy!$H$2:$H$1295,MATCH($D1146,Hierarchy!$A$2:$A$1295,0))="","",INDEX(Hierarchy!$H$2:$H$1295,MATCH($D1146,Hierarchy!$A$2:$A$1295,0))),"NODE NOT FOUND"))</f>
        <v/>
      </c>
      <c r="L1146" s="7" t="str">
        <f aca="false">IF($D1146="","",IFERROR(IF(INDEX(Hierarchy!$I$2:$I$1295,MATCH($D1146,Hierarchy!$A$2:$A$1295,0))="","",INDEX(Hierarchy!$I$2:$I$1295,MATCH($D1146,Hierarchy!$A$2:$A$1295,0))),"NODE NOT FOUND"))</f>
        <v/>
      </c>
      <c r="M1146" s="17" t="str">
        <f aca="false">IF(B1146="Pre-seeded","Pre-seeded",IF(B1146="Review 2026-09-16","Added from review",IF(C1146="","New",IF(C1146=D1146,"","Changed"))))</f>
        <v>Changed</v>
      </c>
      <c r="N1146" s="7" t="str">
        <f aca="false">TRIM(SUBSTITUTE(SUBSTITUTE(SUBSTITUTE(" "&amp;TRIM(SUBSTITUTE(SUBSTITUTE(SUBSTITUTE(SUBSTITUTE(SUBSTITUTE(SUBSTITUTE(SUBSTITUTE(SUBSTITUTE(SUBSTITUTE(SUBSTITUTE(SUBSTITUTE(SUBSTITUTE(SUBSTITUTE(SUBSTITUTE(SUBSTITUTE(UPPER(TRIM(A1146)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46" s="17" t="str">
        <f aca="false">IF(COUNTIFS($N$2:$N$2000,N1146,$D$2:$D$2000,"&lt;&gt;"&amp;D1146)&gt;0,"CONFLICT","")</f>
        <v/>
      </c>
      <c r="P1146" s="7" t="s">
        <v>2208</v>
      </c>
    </row>
    <row r="1147" customFormat="false" ht="15" hidden="false" customHeight="false" outlineLevel="0" collapsed="false">
      <c r="A1147" s="7" t="s">
        <v>2445</v>
      </c>
      <c r="B1147" s="7" t="s">
        <v>1882</v>
      </c>
      <c r="C1147" s="7" t="s">
        <v>2207</v>
      </c>
      <c r="D1147" s="6" t="s">
        <v>1784</v>
      </c>
      <c r="E1147" s="6" t="s">
        <v>1880</v>
      </c>
      <c r="F1147" s="7" t="str">
        <f aca="false">IF($D1147="","",IFERROR(IF(INDEX(Hierarchy!$B$2:$B$1295,MATCH($D1147,Hierarchy!$A$2:$A$1295,0))="","",INDEX(Hierarchy!$B$2:$B$1295,MATCH($D1147,Hierarchy!$A$2:$A$1295,0))),"NODE NOT FOUND"))</f>
        <v>Bucket</v>
      </c>
      <c r="G1147" s="7" t="str">
        <f aca="false">IF($D1147="","",IFERROR(IF(INDEX(Hierarchy!$D$2:$D$1295,MATCH($D1147,Hierarchy!$A$2:$A$1295,0))="","",INDEX(Hierarchy!$D$2:$D$1295,MATCH($D1147,Hierarchy!$A$2:$A$1295,0))),"NODE NOT FOUND"))</f>
        <v>Non-regional</v>
      </c>
      <c r="H1147" s="7" t="str">
        <f aca="false">IF($D1147="","",IFERROR(IF(INDEX(Hierarchy!$E$2:$E$1295,MATCH($D1147,Hierarchy!$A$2:$A$1295,0))="","",INDEX(Hierarchy!$E$2:$E$1295,MATCH($D1147,Hierarchy!$A$2:$A$1295,0))),"NODE NOT FOUND"))</f>
        <v/>
      </c>
      <c r="I1147" s="7" t="str">
        <f aca="false">IF($D1147="","",IFERROR(IF(INDEX(Hierarchy!$F$2:$F$1295,MATCH($D1147,Hierarchy!$A$2:$A$1295,0))="","",INDEX(Hierarchy!$F$2:$F$1295,MATCH($D1147,Hierarchy!$A$2:$A$1295,0))),"NODE NOT FOUND"))</f>
        <v/>
      </c>
      <c r="J1147" s="7" t="str">
        <f aca="false">IF($D1147="","",IFERROR(IF(INDEX(Hierarchy!$G$2:$G$1295,MATCH($D1147,Hierarchy!$A$2:$A$1295,0))="","",INDEX(Hierarchy!$G$2:$G$1295,MATCH($D1147,Hierarchy!$A$2:$A$1295,0))),"NODE NOT FOUND"))</f>
        <v/>
      </c>
      <c r="K1147" s="7" t="str">
        <f aca="false">IF($D1147="","",IFERROR(IF(INDEX(Hierarchy!$H$2:$H$1295,MATCH($D1147,Hierarchy!$A$2:$A$1295,0))="","",INDEX(Hierarchy!$H$2:$H$1295,MATCH($D1147,Hierarchy!$A$2:$A$1295,0))),"NODE NOT FOUND"))</f>
        <v/>
      </c>
      <c r="L1147" s="7" t="str">
        <f aca="false">IF($D1147="","",IFERROR(IF(INDEX(Hierarchy!$I$2:$I$1295,MATCH($D1147,Hierarchy!$A$2:$A$1295,0))="","",INDEX(Hierarchy!$I$2:$I$1295,MATCH($D1147,Hierarchy!$A$2:$A$1295,0))),"NODE NOT FOUND"))</f>
        <v/>
      </c>
      <c r="M1147" s="17" t="str">
        <f aca="false">IF(B1147="Pre-seeded","Pre-seeded",IF(B1147="Review 2026-09-16","Added from review",IF(C1147="","New",IF(C1147=D1147,"","Changed"))))</f>
        <v>Changed</v>
      </c>
      <c r="N1147" s="7" t="str">
        <f aca="false">TRIM(SUBSTITUTE(SUBSTITUTE(SUBSTITUTE(" "&amp;TRIM(SUBSTITUTE(SUBSTITUTE(SUBSTITUTE(SUBSTITUTE(SUBSTITUTE(SUBSTITUTE(SUBSTITUTE(SUBSTITUTE(SUBSTITUTE(SUBSTITUTE(SUBSTITUTE(SUBSTITUTE(SUBSTITUTE(SUBSTITUTE(SUBSTITUTE(UPPER(TRIM(A1147)),"[MEMBER]",""),"{MEMBER}",""),"[MEMBER}",""),"MEMBER]",""),"(A)",""),"""",""),"“",""),"”",""),".",""),":",""),",",""),"–"," "),"-"," "),"/"," "),"&amp;"," AND "))&amp;" "," THE "," ")," TOTAL "," ")," OPERATIONS "," "))</f>
        <v>NON UNITED STATES</v>
      </c>
      <c r="O1147" s="17" t="str">
        <f aca="false">IF(COUNTIFS($N$2:$N$2000,N1147,$D$2:$D$2000,"&lt;&gt;"&amp;D1147)&gt;0,"CONFLICT","")</f>
        <v/>
      </c>
      <c r="P1147" s="7" t="s">
        <v>2208</v>
      </c>
    </row>
    <row r="1148" customFormat="false" ht="15" hidden="false" customHeight="false" outlineLevel="0" collapsed="false">
      <c r="A1148" s="7" t="s">
        <v>2207</v>
      </c>
      <c r="B1148" s="7" t="s">
        <v>1882</v>
      </c>
      <c r="C1148" s="7" t="s">
        <v>2207</v>
      </c>
      <c r="D1148" s="6" t="s">
        <v>1784</v>
      </c>
      <c r="E1148" s="6" t="s">
        <v>1880</v>
      </c>
      <c r="F1148" s="7" t="str">
        <f aca="false">IF($D1148="","",IFERROR(IF(INDEX(Hierarchy!$B$2:$B$1295,MATCH($D1148,Hierarchy!$A$2:$A$1295,0))="","",INDEX(Hierarchy!$B$2:$B$1295,MATCH($D1148,Hierarchy!$A$2:$A$1295,0))),"NODE NOT FOUND"))</f>
        <v>Bucket</v>
      </c>
      <c r="G1148" s="7" t="str">
        <f aca="false">IF($D1148="","",IFERROR(IF(INDEX(Hierarchy!$D$2:$D$1295,MATCH($D1148,Hierarchy!$A$2:$A$1295,0))="","",INDEX(Hierarchy!$D$2:$D$1295,MATCH($D1148,Hierarchy!$A$2:$A$1295,0))),"NODE NOT FOUND"))</f>
        <v>Non-regional</v>
      </c>
      <c r="H1148" s="7" t="str">
        <f aca="false">IF($D1148="","",IFERROR(IF(INDEX(Hierarchy!$E$2:$E$1295,MATCH($D1148,Hierarchy!$A$2:$A$1295,0))="","",INDEX(Hierarchy!$E$2:$E$1295,MATCH($D1148,Hierarchy!$A$2:$A$1295,0))),"NODE NOT FOUND"))</f>
        <v/>
      </c>
      <c r="I1148" s="7" t="str">
        <f aca="false">IF($D1148="","",IFERROR(IF(INDEX(Hierarchy!$F$2:$F$1295,MATCH($D1148,Hierarchy!$A$2:$A$1295,0))="","",INDEX(Hierarchy!$F$2:$F$1295,MATCH($D1148,Hierarchy!$A$2:$A$1295,0))),"NODE NOT FOUND"))</f>
        <v/>
      </c>
      <c r="J1148" s="7" t="str">
        <f aca="false">IF($D1148="","",IFERROR(IF(INDEX(Hierarchy!$G$2:$G$1295,MATCH($D1148,Hierarchy!$A$2:$A$1295,0))="","",INDEX(Hierarchy!$G$2:$G$1295,MATCH($D1148,Hierarchy!$A$2:$A$1295,0))),"NODE NOT FOUND"))</f>
        <v/>
      </c>
      <c r="K1148" s="7" t="str">
        <f aca="false">IF($D1148="","",IFERROR(IF(INDEX(Hierarchy!$H$2:$H$1295,MATCH($D1148,Hierarchy!$A$2:$A$1295,0))="","",INDEX(Hierarchy!$H$2:$H$1295,MATCH($D1148,Hierarchy!$A$2:$A$1295,0))),"NODE NOT FOUND"))</f>
        <v/>
      </c>
      <c r="L1148" s="7" t="str">
        <f aca="false">IF($D1148="","",IFERROR(IF(INDEX(Hierarchy!$I$2:$I$1295,MATCH($D1148,Hierarchy!$A$2:$A$1295,0))="","",INDEX(Hierarchy!$I$2:$I$1295,MATCH($D1148,Hierarchy!$A$2:$A$1295,0))),"NODE NOT FOUND"))</f>
        <v/>
      </c>
      <c r="M1148" s="17" t="str">
        <f aca="false">IF(B1148="Pre-seeded","Pre-seeded",IF(B1148="Review 2026-09-16","Added from review",IF(C1148="","New",IF(C1148=D1148,"","Changed"))))</f>
        <v>Changed</v>
      </c>
      <c r="N1148" s="7" t="str">
        <f aca="false">TRIM(SUBSTITUTE(SUBSTITUTE(SUBSTITUTE(" "&amp;TRIM(SUBSTITUTE(SUBSTITUTE(SUBSTITUTE(SUBSTITUTE(SUBSTITUTE(SUBSTITUTE(SUBSTITUTE(SUBSTITUTE(SUBSTITUTE(SUBSTITUTE(SUBSTITUTE(SUBSTITUTE(SUBSTITUTE(SUBSTITUTE(SUBSTITUTE(UPPER(TRIM(A1148)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148" s="17" t="str">
        <f aca="false">IF(COUNTIFS($N$2:$N$2000,N1148,$D$2:$D$2000,"&lt;&gt;"&amp;D1148)&gt;0,"CONFLICT","")</f>
        <v/>
      </c>
      <c r="P1148" s="7" t="s">
        <v>2208</v>
      </c>
    </row>
    <row r="1149" customFormat="false" ht="15" hidden="false" customHeight="false" outlineLevel="0" collapsed="false">
      <c r="A1149" s="7" t="s">
        <v>2446</v>
      </c>
      <c r="B1149" s="7" t="s">
        <v>1879</v>
      </c>
      <c r="C1149" s="7"/>
      <c r="D1149" s="6" t="s">
        <v>892</v>
      </c>
      <c r="E1149" s="6" t="s">
        <v>1880</v>
      </c>
      <c r="F1149" s="7" t="str">
        <f aca="false">IF($D1149="","",IFERROR(IF(INDEX(Hierarchy!$B$2:$B$1295,MATCH($D1149,Hierarchy!$A$2:$A$1295,0))="","",INDEX(Hierarchy!$B$2:$B$1295,MATCH($D1149,Hierarchy!$A$2:$A$1295,0))),"NODE NOT FOUND"))</f>
        <v>State/Province</v>
      </c>
      <c r="G1149" s="7" t="str">
        <f aca="false">IF($D1149="","",IFERROR(IF(INDEX(Hierarchy!$D$2:$D$1295,MATCH($D1149,Hierarchy!$A$2:$A$1295,0))="","",INDEX(Hierarchy!$D$2:$D$1295,MATCH($D1149,Hierarchy!$A$2:$A$1295,0))),"NODE NOT FOUND"))</f>
        <v>EMEA</v>
      </c>
      <c r="H1149" s="7" t="str">
        <f aca="false">IF($D1149="","",IFERROR(IF(INDEX(Hierarchy!$E$2:$E$1295,MATCH($D1149,Hierarchy!$A$2:$A$1295,0))="","",INDEX(Hierarchy!$E$2:$E$1295,MATCH($D1149,Hierarchy!$A$2:$A$1295,0))),"NODE NOT FOUND"))</f>
        <v>Europe</v>
      </c>
      <c r="I1149" s="7" t="str">
        <f aca="false">IF($D1149="","",IFERROR(IF(INDEX(Hierarchy!$F$2:$F$1295,MATCH($D1149,Hierarchy!$A$2:$A$1295,0))="","",INDEX(Hierarchy!$F$2:$F$1295,MATCH($D1149,Hierarchy!$A$2:$A$1295,0))),"NODE NOT FOUND"))</f>
        <v>Netherlands</v>
      </c>
      <c r="J1149" s="7" t="str">
        <f aca="false">IF($D1149="","",IFERROR(IF(INDEX(Hierarchy!$G$2:$G$1295,MATCH($D1149,Hierarchy!$A$2:$A$1295,0))="","",INDEX(Hierarchy!$G$2:$G$1295,MATCH($D1149,Hierarchy!$A$2:$A$1295,0))),"NODE NOT FOUND"))</f>
        <v>NLD</v>
      </c>
      <c r="K1149" s="7" t="str">
        <f aca="false">IF($D1149="","",IFERROR(IF(INDEX(Hierarchy!$H$2:$H$1295,MATCH($D1149,Hierarchy!$A$2:$A$1295,0))="","",INDEX(Hierarchy!$H$2:$H$1295,MATCH($D1149,Hierarchy!$A$2:$A$1295,0))),"NODE NOT FOUND"))</f>
        <v>North Holland</v>
      </c>
      <c r="L1149" s="7" t="str">
        <f aca="false">IF($D1149="","",IFERROR(IF(INDEX(Hierarchy!$I$2:$I$1295,MATCH($D1149,Hierarchy!$A$2:$A$1295,0))="","",INDEX(Hierarchy!$I$2:$I$1295,MATCH($D1149,Hierarchy!$A$2:$A$1295,0))),"NODE NOT FOUND"))</f>
        <v/>
      </c>
      <c r="M1149" s="17" t="str">
        <f aca="false">IF(B1149="Pre-seeded","Pre-seeded",IF(B1149="Review 2026-09-16","Added from review",IF(C1149="","New",IF(C1149=D1149,"","Changed"))))</f>
        <v>Pre-seeded</v>
      </c>
      <c r="N1149" s="7" t="str">
        <f aca="false">TRIM(SUBSTITUTE(SUBSTITUTE(SUBSTITUTE(" "&amp;TRIM(SUBSTITUTE(SUBSTITUTE(SUBSTITUTE(SUBSTITUTE(SUBSTITUTE(SUBSTITUTE(SUBSTITUTE(SUBSTITUTE(SUBSTITUTE(SUBSTITUTE(SUBSTITUTE(SUBSTITUTE(SUBSTITUTE(SUBSTITUTE(SUBSTITUTE(UPPER(TRIM(A1149)),"[MEMBER]",""),"{MEMBER}",""),"[MEMBER}",""),"MEMBER]",""),"(A)",""),"""",""),"“",""),"”",""),".",""),":",""),",",""),"–"," "),"-"," "),"/"," "),"&amp;"," AND "))&amp;" "," THE "," ")," TOTAL "," ")," OPERATIONS "," "))</f>
        <v>NOORD HOLLAND</v>
      </c>
      <c r="O1149" s="17" t="str">
        <f aca="false">IF(COUNTIFS($N$2:$N$2000,N1149,$D$2:$D$2000,"&lt;&gt;"&amp;D1149)&gt;0,"CONFLICT","")</f>
        <v/>
      </c>
      <c r="P1149" s="7"/>
    </row>
    <row r="1150" customFormat="false" ht="15" hidden="false" customHeight="false" outlineLevel="0" collapsed="false">
      <c r="A1150" s="7" t="s">
        <v>2447</v>
      </c>
      <c r="B1150" s="7" t="s">
        <v>1879</v>
      </c>
      <c r="C1150" s="7"/>
      <c r="D1150" s="6" t="s">
        <v>80</v>
      </c>
      <c r="E1150" s="6" t="s">
        <v>1880</v>
      </c>
      <c r="F1150" s="7" t="str">
        <f aca="false">IF($D1150="","",IFERROR(IF(INDEX(Hierarchy!$B$2:$B$1295,MATCH($D1150,Hierarchy!$A$2:$A$1295,0))="","",INDEX(Hierarchy!$B$2:$B$1295,MATCH($D1150,Hierarchy!$A$2:$A$1295,0))),"NODE NOT FOUND"))</f>
        <v>Sub-region</v>
      </c>
      <c r="G1150" s="7" t="str">
        <f aca="false">IF($D1150="","",IFERROR(IF(INDEX(Hierarchy!$D$2:$D$1295,MATCH($D1150,Hierarchy!$A$2:$A$1295,0))="","",INDEX(Hierarchy!$D$2:$D$1295,MATCH($D1150,Hierarchy!$A$2:$A$1295,0))),"NODE NOT FOUND"))</f>
        <v>AMER</v>
      </c>
      <c r="H1150" s="7" t="str">
        <f aca="false">IF($D1150="","",IFERROR(IF(INDEX(Hierarchy!$E$2:$E$1295,MATCH($D1150,Hierarchy!$A$2:$A$1295,0))="","",INDEX(Hierarchy!$E$2:$E$1295,MATCH($D1150,Hierarchy!$A$2:$A$1295,0))),"NODE NOT FOUND"))</f>
        <v>North America (NORAM)</v>
      </c>
      <c r="I1150" s="7" t="str">
        <f aca="false">IF($D1150="","",IFERROR(IF(INDEX(Hierarchy!$F$2:$F$1295,MATCH($D1150,Hierarchy!$A$2:$A$1295,0))="","",INDEX(Hierarchy!$F$2:$F$1295,MATCH($D1150,Hierarchy!$A$2:$A$1295,0))),"NODE NOT FOUND"))</f>
        <v/>
      </c>
      <c r="J1150" s="7" t="str">
        <f aca="false">IF($D1150="","",IFERROR(IF(INDEX(Hierarchy!$G$2:$G$1295,MATCH($D1150,Hierarchy!$A$2:$A$1295,0))="","",INDEX(Hierarchy!$G$2:$G$1295,MATCH($D1150,Hierarchy!$A$2:$A$1295,0))),"NODE NOT FOUND"))</f>
        <v/>
      </c>
      <c r="K1150" s="7" t="str">
        <f aca="false">IF($D1150="","",IFERROR(IF(INDEX(Hierarchy!$H$2:$H$1295,MATCH($D1150,Hierarchy!$A$2:$A$1295,0))="","",INDEX(Hierarchy!$H$2:$H$1295,MATCH($D1150,Hierarchy!$A$2:$A$1295,0))),"NODE NOT FOUND"))</f>
        <v/>
      </c>
      <c r="L1150" s="7" t="str">
        <f aca="false">IF($D1150="","",IFERROR(IF(INDEX(Hierarchy!$I$2:$I$1295,MATCH($D1150,Hierarchy!$A$2:$A$1295,0))="","",INDEX(Hierarchy!$I$2:$I$1295,MATCH($D1150,Hierarchy!$A$2:$A$1295,0))),"NODE NOT FOUND"))</f>
        <v/>
      </c>
      <c r="M1150" s="17" t="str">
        <f aca="false">IF(B1150="Pre-seeded","Pre-seeded",IF(B1150="Review 2026-09-16","Added from review",IF(C1150="","New",IF(C1150=D1150,"","Changed"))))</f>
        <v>Pre-seeded</v>
      </c>
      <c r="N1150" s="7" t="str">
        <f aca="false">TRIM(SUBSTITUTE(SUBSTITUTE(SUBSTITUTE(" "&amp;TRIM(SUBSTITUTE(SUBSTITUTE(SUBSTITUTE(SUBSTITUTE(SUBSTITUTE(SUBSTITUTE(SUBSTITUTE(SUBSTITUTE(SUBSTITUTE(SUBSTITUTE(SUBSTITUTE(SUBSTITUTE(SUBSTITUTE(SUBSTITUTE(SUBSTITUTE(UPPER(TRIM(A1150)),"[MEMBER]",""),"{MEMBER}",""),"[MEMBER}",""),"MEMBER]",""),"(A)",""),"""",""),"“",""),"”",""),".",""),":",""),",",""),"–"," "),"-"," "),"/"," "),"&amp;"," AND "))&amp;" "," THE "," ")," TOTAL "," ")," OPERATIONS "," "))</f>
        <v>NORAM</v>
      </c>
      <c r="O1150" s="17" t="str">
        <f aca="false">IF(COUNTIFS($N$2:$N$2000,N1150,$D$2:$D$2000,"&lt;&gt;"&amp;D1150)&gt;0,"CONFLICT","")</f>
        <v/>
      </c>
      <c r="P1150" s="7"/>
    </row>
    <row r="1151" customFormat="false" ht="15" hidden="false" customHeight="false" outlineLevel="0" collapsed="false">
      <c r="A1151" s="7" t="s">
        <v>2448</v>
      </c>
      <c r="B1151" s="7" t="s">
        <v>1879</v>
      </c>
      <c r="C1151" s="7"/>
      <c r="D1151" s="6" t="s">
        <v>648</v>
      </c>
      <c r="E1151" s="6" t="s">
        <v>1880</v>
      </c>
      <c r="F1151" s="7" t="str">
        <f aca="false">IF($D1151="","",IFERROR(IF(INDEX(Hierarchy!$B$2:$B$1295,MATCH($D1151,Hierarchy!$A$2:$A$1295,0))="","",INDEX(Hierarchy!$B$2:$B$1295,MATCH($D1151,Hierarchy!$A$2:$A$1295,0))),"NODE NOT FOUND"))</f>
        <v>Sub-region component</v>
      </c>
      <c r="G1151" s="7" t="str">
        <f aca="false">IF($D1151="","",IFERROR(IF(INDEX(Hierarchy!$D$2:$D$1295,MATCH($D1151,Hierarchy!$A$2:$A$1295,0))="","",INDEX(Hierarchy!$D$2:$D$1295,MATCH($D1151,Hierarchy!$A$2:$A$1295,0))),"NODE NOT FOUND"))</f>
        <v>EMEA</v>
      </c>
      <c r="H1151" s="7" t="str">
        <f aca="false">IF($D1151="","",IFERROR(IF(INDEX(Hierarchy!$E$2:$E$1295,MATCH($D1151,Hierarchy!$A$2:$A$1295,0))="","",INDEX(Hierarchy!$E$2:$E$1295,MATCH($D1151,Hierarchy!$A$2:$A$1295,0))),"NODE NOT FOUND"))</f>
        <v>Europe</v>
      </c>
      <c r="I1151" s="7" t="str">
        <f aca="false">IF($D1151="","",IFERROR(IF(INDEX(Hierarchy!$F$2:$F$1295,MATCH($D1151,Hierarchy!$A$2:$A$1295,0))="","",INDEX(Hierarchy!$F$2:$F$1295,MATCH($D1151,Hierarchy!$A$2:$A$1295,0))),"NODE NOT FOUND"))</f>
        <v/>
      </c>
      <c r="J1151" s="7" t="str">
        <f aca="false">IF($D1151="","",IFERROR(IF(INDEX(Hierarchy!$G$2:$G$1295,MATCH($D1151,Hierarchy!$A$2:$A$1295,0))="","",INDEX(Hierarchy!$G$2:$G$1295,MATCH($D1151,Hierarchy!$A$2:$A$1295,0))),"NODE NOT FOUND"))</f>
        <v/>
      </c>
      <c r="K1151" s="7" t="str">
        <f aca="false">IF($D1151="","",IFERROR(IF(INDEX(Hierarchy!$H$2:$H$1295,MATCH($D1151,Hierarchy!$A$2:$A$1295,0))="","",INDEX(Hierarchy!$H$2:$H$1295,MATCH($D1151,Hierarchy!$A$2:$A$1295,0))),"NODE NOT FOUND"))</f>
        <v/>
      </c>
      <c r="L1151" s="7" t="str">
        <f aca="false">IF($D1151="","",IFERROR(IF(INDEX(Hierarchy!$I$2:$I$1295,MATCH($D1151,Hierarchy!$A$2:$A$1295,0))="","",INDEX(Hierarchy!$I$2:$I$1295,MATCH($D1151,Hierarchy!$A$2:$A$1295,0))),"NODE NOT FOUND"))</f>
        <v/>
      </c>
      <c r="M1151" s="17" t="str">
        <f aca="false">IF(B1151="Pre-seeded","Pre-seeded",IF(B1151="Review 2026-09-16","Added from review",IF(C1151="","New",IF(C1151=D1151,"","Changed"))))</f>
        <v>Pre-seeded</v>
      </c>
      <c r="N1151" s="7" t="str">
        <f aca="false">TRIM(SUBSTITUTE(SUBSTITUTE(SUBSTITUTE(" "&amp;TRIM(SUBSTITUTE(SUBSTITUTE(SUBSTITUTE(SUBSTITUTE(SUBSTITUTE(SUBSTITUTE(SUBSTITUTE(SUBSTITUTE(SUBSTITUTE(SUBSTITUTE(SUBSTITUTE(SUBSTITUTE(SUBSTITUTE(SUBSTITUTE(SUBSTITUTE(UPPER(TRIM(A1151)),"[MEMBER]",""),"{MEMBER}",""),"[MEMBER}",""),"MEMBER]",""),"(A)",""),"""",""),"“",""),"”",""),".",""),":",""),",",""),"–"," "),"-"," "),"/"," "),"&amp;"," AND "))&amp;" "," THE "," ")," TOTAL "," ")," OPERATIONS "," "))</f>
        <v>NORDIC COUNTRIES</v>
      </c>
      <c r="O1151" s="17" t="str">
        <f aca="false">IF(COUNTIFS($N$2:$N$2000,N1151,$D$2:$D$2000,"&lt;&gt;"&amp;D1151)&gt;0,"CONFLICT","")</f>
        <v/>
      </c>
      <c r="P1151" s="7"/>
    </row>
    <row r="1152" customFormat="false" ht="15" hidden="false" customHeight="false" outlineLevel="0" collapsed="false">
      <c r="A1152" s="7" t="s">
        <v>2449</v>
      </c>
      <c r="B1152" s="7" t="s">
        <v>1879</v>
      </c>
      <c r="C1152" s="7"/>
      <c r="D1152" s="6" t="s">
        <v>648</v>
      </c>
      <c r="E1152" s="6" t="s">
        <v>1880</v>
      </c>
      <c r="F1152" s="7" t="str">
        <f aca="false">IF($D1152="","",IFERROR(IF(INDEX(Hierarchy!$B$2:$B$1295,MATCH($D1152,Hierarchy!$A$2:$A$1295,0))="","",INDEX(Hierarchy!$B$2:$B$1295,MATCH($D1152,Hierarchy!$A$2:$A$1295,0))),"NODE NOT FOUND"))</f>
        <v>Sub-region component</v>
      </c>
      <c r="G1152" s="7" t="str">
        <f aca="false">IF($D1152="","",IFERROR(IF(INDEX(Hierarchy!$D$2:$D$1295,MATCH($D1152,Hierarchy!$A$2:$A$1295,0))="","",INDEX(Hierarchy!$D$2:$D$1295,MATCH($D1152,Hierarchy!$A$2:$A$1295,0))),"NODE NOT FOUND"))</f>
        <v>EMEA</v>
      </c>
      <c r="H1152" s="7" t="str">
        <f aca="false">IF($D1152="","",IFERROR(IF(INDEX(Hierarchy!$E$2:$E$1295,MATCH($D1152,Hierarchy!$A$2:$A$1295,0))="","",INDEX(Hierarchy!$E$2:$E$1295,MATCH($D1152,Hierarchy!$A$2:$A$1295,0))),"NODE NOT FOUND"))</f>
        <v>Europe</v>
      </c>
      <c r="I1152" s="7" t="str">
        <f aca="false">IF($D1152="","",IFERROR(IF(INDEX(Hierarchy!$F$2:$F$1295,MATCH($D1152,Hierarchy!$A$2:$A$1295,0))="","",INDEX(Hierarchy!$F$2:$F$1295,MATCH($D1152,Hierarchy!$A$2:$A$1295,0))),"NODE NOT FOUND"))</f>
        <v/>
      </c>
      <c r="J1152" s="7" t="str">
        <f aca="false">IF($D1152="","",IFERROR(IF(INDEX(Hierarchy!$G$2:$G$1295,MATCH($D1152,Hierarchy!$A$2:$A$1295,0))="","",INDEX(Hierarchy!$G$2:$G$1295,MATCH($D1152,Hierarchy!$A$2:$A$1295,0))),"NODE NOT FOUND"))</f>
        <v/>
      </c>
      <c r="K1152" s="7" t="str">
        <f aca="false">IF($D1152="","",IFERROR(IF(INDEX(Hierarchy!$H$2:$H$1295,MATCH($D1152,Hierarchy!$A$2:$A$1295,0))="","",INDEX(Hierarchy!$H$2:$H$1295,MATCH($D1152,Hierarchy!$A$2:$A$1295,0))),"NODE NOT FOUND"))</f>
        <v/>
      </c>
      <c r="L1152" s="7" t="str">
        <f aca="false">IF($D1152="","",IFERROR(IF(INDEX(Hierarchy!$I$2:$I$1295,MATCH($D1152,Hierarchy!$A$2:$A$1295,0))="","",INDEX(Hierarchy!$I$2:$I$1295,MATCH($D1152,Hierarchy!$A$2:$A$1295,0))),"NODE NOT FOUND"))</f>
        <v/>
      </c>
      <c r="M1152" s="17" t="str">
        <f aca="false">IF(B1152="Pre-seeded","Pre-seeded",IF(B1152="Review 2026-09-16","Added from review",IF(C1152="","New",IF(C1152=D1152,"","Changed"))))</f>
        <v>Pre-seeded</v>
      </c>
      <c r="N1152" s="7" t="str">
        <f aca="false">TRIM(SUBSTITUTE(SUBSTITUTE(SUBSTITUTE(" "&amp;TRIM(SUBSTITUTE(SUBSTITUTE(SUBSTITUTE(SUBSTITUTE(SUBSTITUTE(SUBSTITUTE(SUBSTITUTE(SUBSTITUTE(SUBSTITUTE(SUBSTITUTE(SUBSTITUTE(SUBSTITUTE(SUBSTITUTE(SUBSTITUTE(SUBSTITUTE(UPPER(TRIM(A1152)),"[MEMBER]",""),"{MEMBER}",""),"[MEMBER}",""),"MEMBER]",""),"(A)",""),"""",""),"“",""),"”",""),".",""),":",""),",",""),"–"," "),"-"," "),"/"," "),"&amp;"," AND "))&amp;" "," THE "," ")," TOTAL "," ")," OPERATIONS "," "))</f>
        <v>NORDIC REGION</v>
      </c>
      <c r="O1152" s="17" t="str">
        <f aca="false">IF(COUNTIFS($N$2:$N$2000,N1152,$D$2:$D$2000,"&lt;&gt;"&amp;D1152)&gt;0,"CONFLICT","")</f>
        <v/>
      </c>
      <c r="P1152" s="7"/>
    </row>
    <row r="1153" customFormat="false" ht="15" hidden="false" customHeight="false" outlineLevel="0" collapsed="false">
      <c r="A1153" s="7" t="s">
        <v>648</v>
      </c>
      <c r="B1153" s="7" t="s">
        <v>1879</v>
      </c>
      <c r="C1153" s="7"/>
      <c r="D1153" s="6" t="s">
        <v>648</v>
      </c>
      <c r="E1153" s="6" t="s">
        <v>1880</v>
      </c>
      <c r="F1153" s="7" t="str">
        <f aca="false">IF($D1153="","",IFERROR(IF(INDEX(Hierarchy!$B$2:$B$1295,MATCH($D1153,Hierarchy!$A$2:$A$1295,0))="","",INDEX(Hierarchy!$B$2:$B$1295,MATCH($D1153,Hierarchy!$A$2:$A$1295,0))),"NODE NOT FOUND"))</f>
        <v>Sub-region component</v>
      </c>
      <c r="G1153" s="7" t="str">
        <f aca="false">IF($D1153="","",IFERROR(IF(INDEX(Hierarchy!$D$2:$D$1295,MATCH($D1153,Hierarchy!$A$2:$A$1295,0))="","",INDEX(Hierarchy!$D$2:$D$1295,MATCH($D1153,Hierarchy!$A$2:$A$1295,0))),"NODE NOT FOUND"))</f>
        <v>EMEA</v>
      </c>
      <c r="H1153" s="7" t="str">
        <f aca="false">IF($D1153="","",IFERROR(IF(INDEX(Hierarchy!$E$2:$E$1295,MATCH($D1153,Hierarchy!$A$2:$A$1295,0))="","",INDEX(Hierarchy!$E$2:$E$1295,MATCH($D1153,Hierarchy!$A$2:$A$1295,0))),"NODE NOT FOUND"))</f>
        <v>Europe</v>
      </c>
      <c r="I1153" s="7" t="str">
        <f aca="false">IF($D1153="","",IFERROR(IF(INDEX(Hierarchy!$F$2:$F$1295,MATCH($D1153,Hierarchy!$A$2:$A$1295,0))="","",INDEX(Hierarchy!$F$2:$F$1295,MATCH($D1153,Hierarchy!$A$2:$A$1295,0))),"NODE NOT FOUND"))</f>
        <v/>
      </c>
      <c r="J1153" s="7" t="str">
        <f aca="false">IF($D1153="","",IFERROR(IF(INDEX(Hierarchy!$G$2:$G$1295,MATCH($D1153,Hierarchy!$A$2:$A$1295,0))="","",INDEX(Hierarchy!$G$2:$G$1295,MATCH($D1153,Hierarchy!$A$2:$A$1295,0))),"NODE NOT FOUND"))</f>
        <v/>
      </c>
      <c r="K1153" s="7" t="str">
        <f aca="false">IF($D1153="","",IFERROR(IF(INDEX(Hierarchy!$H$2:$H$1295,MATCH($D1153,Hierarchy!$A$2:$A$1295,0))="","",INDEX(Hierarchy!$H$2:$H$1295,MATCH($D1153,Hierarchy!$A$2:$A$1295,0))),"NODE NOT FOUND"))</f>
        <v/>
      </c>
      <c r="L1153" s="7" t="str">
        <f aca="false">IF($D1153="","",IFERROR(IF(INDEX(Hierarchy!$I$2:$I$1295,MATCH($D1153,Hierarchy!$A$2:$A$1295,0))="","",INDEX(Hierarchy!$I$2:$I$1295,MATCH($D1153,Hierarchy!$A$2:$A$1295,0))),"NODE NOT FOUND"))</f>
        <v/>
      </c>
      <c r="M1153" s="17" t="str">
        <f aca="false">IF(B1153="Pre-seeded","Pre-seeded",IF(B1153="Review 2026-09-16","Added from review",IF(C1153="","New",IF(C1153=D1153,"","Changed"))))</f>
        <v>Pre-seeded</v>
      </c>
      <c r="N1153" s="7" t="str">
        <f aca="false">TRIM(SUBSTITUTE(SUBSTITUTE(SUBSTITUTE(" "&amp;TRIM(SUBSTITUTE(SUBSTITUTE(SUBSTITUTE(SUBSTITUTE(SUBSTITUTE(SUBSTITUTE(SUBSTITUTE(SUBSTITUTE(SUBSTITUTE(SUBSTITUTE(SUBSTITUTE(SUBSTITUTE(SUBSTITUTE(SUBSTITUTE(SUBSTITUTE(UPPER(TRIM(A1153)),"[MEMBER]",""),"{MEMBER}",""),"[MEMBER}",""),"MEMBER]",""),"(A)",""),"""",""),"“",""),"”",""),".",""),":",""),",",""),"–"," "),"-"," "),"/"," "),"&amp;"," AND "))&amp;" "," THE "," ")," TOTAL "," ")," OPERATIONS "," "))</f>
        <v>NORDICS</v>
      </c>
      <c r="O1153" s="17" t="str">
        <f aca="false">IF(COUNTIFS($N$2:$N$2000,N1153,$D$2:$D$2000,"&lt;&gt;"&amp;D1153)&gt;0,"CONFLICT","")</f>
        <v/>
      </c>
      <c r="P1153" s="7"/>
    </row>
    <row r="1154" customFormat="false" ht="15" hidden="false" customHeight="false" outlineLevel="0" collapsed="false">
      <c r="A1154" s="7" t="s">
        <v>2450</v>
      </c>
      <c r="B1154" s="7" t="s">
        <v>1879</v>
      </c>
      <c r="C1154" s="7"/>
      <c r="D1154" s="6" t="s">
        <v>705</v>
      </c>
      <c r="E1154" s="6" t="s">
        <v>1880</v>
      </c>
      <c r="F1154" s="7" t="str">
        <f aca="false">IF($D1154="","",IFERROR(IF(INDEX(Hierarchy!$B$2:$B$1295,MATCH($D1154,Hierarchy!$A$2:$A$1295,0))="","",INDEX(Hierarchy!$B$2:$B$1295,MATCH($D1154,Hierarchy!$A$2:$A$1295,0))),"NODE NOT FOUND"))</f>
        <v>State/Province</v>
      </c>
      <c r="G1154" s="7" t="str">
        <f aca="false">IF($D1154="","",IFERROR(IF(INDEX(Hierarchy!$D$2:$D$1295,MATCH($D1154,Hierarchy!$A$2:$A$1295,0))="","",INDEX(Hierarchy!$D$2:$D$1295,MATCH($D1154,Hierarchy!$A$2:$A$1295,0))),"NODE NOT FOUND"))</f>
        <v>EMEA</v>
      </c>
      <c r="H1154" s="7" t="str">
        <f aca="false">IF($D1154="","",IFERROR(IF(INDEX(Hierarchy!$E$2:$E$1295,MATCH($D1154,Hierarchy!$A$2:$A$1295,0))="","",INDEX(Hierarchy!$E$2:$E$1295,MATCH($D1154,Hierarchy!$A$2:$A$1295,0))),"NODE NOT FOUND"))</f>
        <v>Europe</v>
      </c>
      <c r="I1154" s="7" t="str">
        <f aca="false">IF($D1154="","",IFERROR(IF(INDEX(Hierarchy!$F$2:$F$1295,MATCH($D1154,Hierarchy!$A$2:$A$1295,0))="","",INDEX(Hierarchy!$F$2:$F$1295,MATCH($D1154,Hierarchy!$A$2:$A$1295,0))),"NODE NOT FOUND"))</f>
        <v>Germany</v>
      </c>
      <c r="J1154" s="7" t="str">
        <f aca="false">IF($D1154="","",IFERROR(IF(INDEX(Hierarchy!$G$2:$G$1295,MATCH($D1154,Hierarchy!$A$2:$A$1295,0))="","",INDEX(Hierarchy!$G$2:$G$1295,MATCH($D1154,Hierarchy!$A$2:$A$1295,0))),"NODE NOT FOUND"))</f>
        <v>DEU</v>
      </c>
      <c r="K1154" s="7" t="str">
        <f aca="false">IF($D1154="","",IFERROR(IF(INDEX(Hierarchy!$H$2:$H$1295,MATCH($D1154,Hierarchy!$A$2:$A$1295,0))="","",INDEX(Hierarchy!$H$2:$H$1295,MATCH($D1154,Hierarchy!$A$2:$A$1295,0))),"NODE NOT FOUND"))</f>
        <v>North Rhine-Westphalia</v>
      </c>
      <c r="L1154" s="7" t="str">
        <f aca="false">IF($D1154="","",IFERROR(IF(INDEX(Hierarchy!$I$2:$I$1295,MATCH($D1154,Hierarchy!$A$2:$A$1295,0))="","",INDEX(Hierarchy!$I$2:$I$1295,MATCH($D1154,Hierarchy!$A$2:$A$1295,0))),"NODE NOT FOUND"))</f>
        <v/>
      </c>
      <c r="M1154" s="17" t="str">
        <f aca="false">IF(B1154="Pre-seeded","Pre-seeded",IF(B1154="Review 2026-09-16","Added from review",IF(C1154="","New",IF(C1154=D1154,"","Changed"))))</f>
        <v>Pre-seeded</v>
      </c>
      <c r="N1154" s="7" t="str">
        <f aca="false">TRIM(SUBSTITUTE(SUBSTITUTE(SUBSTITUTE(" "&amp;TRIM(SUBSTITUTE(SUBSTITUTE(SUBSTITUTE(SUBSTITUTE(SUBSTITUTE(SUBSTITUTE(SUBSTITUTE(SUBSTITUTE(SUBSTITUTE(SUBSTITUTE(SUBSTITUTE(SUBSTITUTE(SUBSTITUTE(SUBSTITUTE(SUBSTITUTE(UPPER(TRIM(A1154)),"[MEMBER]",""),"{MEMBER}",""),"[MEMBER}",""),"MEMBER]",""),"(A)",""),"""",""),"“",""),"”",""),".",""),":",""),",",""),"–"," "),"-"," "),"/"," "),"&amp;"," AND "))&amp;" "," THE "," ")," TOTAL "," ")," OPERATIONS "," "))</f>
        <v>NORDRHEIN WESTFALEN</v>
      </c>
      <c r="O1154" s="17" t="str">
        <f aca="false">IF(COUNTIFS($N$2:$N$2000,N1154,$D$2:$D$2000,"&lt;&gt;"&amp;D1154)&gt;0,"CONFLICT","")</f>
        <v/>
      </c>
      <c r="P1154" s="7"/>
    </row>
    <row r="1155" customFormat="false" ht="15" hidden="false" customHeight="false" outlineLevel="0" collapsed="false">
      <c r="A1155" s="7" t="s">
        <v>1762</v>
      </c>
      <c r="B1155" s="7" t="s">
        <v>1879</v>
      </c>
      <c r="C1155" s="7"/>
      <c r="D1155" s="6" t="s">
        <v>1762</v>
      </c>
      <c r="E1155" s="6" t="s">
        <v>1880</v>
      </c>
      <c r="F1155" s="7" t="str">
        <f aca="false">IF($D1155="","",IFERROR(IF(INDEX(Hierarchy!$B$2:$B$1295,MATCH($D1155,Hierarchy!$A$2:$A$1295,0))="","",INDEX(Hierarchy!$B$2:$B$1295,MATCH($D1155,Hierarchy!$A$2:$A$1295,0))),"NODE NOT FOUND"))</f>
        <v>Country</v>
      </c>
      <c r="G1155" s="7" t="str">
        <f aca="false">IF($D1155="","",IFERROR(IF(INDEX(Hierarchy!$D$2:$D$1295,MATCH($D1155,Hierarchy!$A$2:$A$1295,0))="","",INDEX(Hierarchy!$D$2:$D$1295,MATCH($D1155,Hierarchy!$A$2:$A$1295,0))),"NODE NOT FOUND"))</f>
        <v>APAC</v>
      </c>
      <c r="H1155" s="7" t="str">
        <f aca="false">IF($D1155="","",IFERROR(IF(INDEX(Hierarchy!$E$2:$E$1295,MATCH($D1155,Hierarchy!$A$2:$A$1295,0))="","",INDEX(Hierarchy!$E$2:$E$1295,MATCH($D1155,Hierarchy!$A$2:$A$1295,0))),"NODE NOT FOUND"))</f>
        <v>Oceania (ANZ)</v>
      </c>
      <c r="I1155" s="7" t="str">
        <f aca="false">IF($D1155="","",IFERROR(IF(INDEX(Hierarchy!$F$2:$F$1295,MATCH($D1155,Hierarchy!$A$2:$A$1295,0))="","",INDEX(Hierarchy!$F$2:$F$1295,MATCH($D1155,Hierarchy!$A$2:$A$1295,0))),"NODE NOT FOUND"))</f>
        <v>Norfolk Island</v>
      </c>
      <c r="J1155" s="7" t="str">
        <f aca="false">IF($D1155="","",IFERROR(IF(INDEX(Hierarchy!$G$2:$G$1295,MATCH($D1155,Hierarchy!$A$2:$A$1295,0))="","",INDEX(Hierarchy!$G$2:$G$1295,MATCH($D1155,Hierarchy!$A$2:$A$1295,0))),"NODE NOT FOUND"))</f>
        <v>NFK</v>
      </c>
      <c r="K1155" s="7" t="str">
        <f aca="false">IF($D1155="","",IFERROR(IF(INDEX(Hierarchy!$H$2:$H$1295,MATCH($D1155,Hierarchy!$A$2:$A$1295,0))="","",INDEX(Hierarchy!$H$2:$H$1295,MATCH($D1155,Hierarchy!$A$2:$A$1295,0))),"NODE NOT FOUND"))</f>
        <v/>
      </c>
      <c r="L1155" s="7" t="str">
        <f aca="false">IF($D1155="","",IFERROR(IF(INDEX(Hierarchy!$I$2:$I$1295,MATCH($D1155,Hierarchy!$A$2:$A$1295,0))="","",INDEX(Hierarchy!$I$2:$I$1295,MATCH($D1155,Hierarchy!$A$2:$A$1295,0))),"NODE NOT FOUND"))</f>
        <v/>
      </c>
      <c r="M1155" s="17" t="str">
        <f aca="false">IF(B1155="Pre-seeded","Pre-seeded",IF(B1155="Review 2026-09-16","Added from review",IF(C1155="","New",IF(C1155=D1155,"","Changed"))))</f>
        <v>Pre-seeded</v>
      </c>
      <c r="N1155" s="7" t="str">
        <f aca="false">TRIM(SUBSTITUTE(SUBSTITUTE(SUBSTITUTE(" "&amp;TRIM(SUBSTITUTE(SUBSTITUTE(SUBSTITUTE(SUBSTITUTE(SUBSTITUTE(SUBSTITUTE(SUBSTITUTE(SUBSTITUTE(SUBSTITUTE(SUBSTITUTE(SUBSTITUTE(SUBSTITUTE(SUBSTITUTE(SUBSTITUTE(SUBSTITUTE(UPPER(TRIM(A1155)),"[MEMBER]",""),"{MEMBER}",""),"[MEMBER}",""),"MEMBER]",""),"(A)",""),"""",""),"“",""),"”",""),".",""),":",""),",",""),"–"," "),"-"," "),"/"," "),"&amp;"," AND "))&amp;" "," THE "," ")," TOTAL "," ")," OPERATIONS "," "))</f>
        <v>NORFOLK ISLAND</v>
      </c>
      <c r="O1155" s="17" t="str">
        <f aca="false">IF(COUNTIFS($N$2:$N$2000,N1155,$D$2:$D$2000,"&lt;&gt;"&amp;D1155)&gt;0,"CONFLICT","")</f>
        <v/>
      </c>
      <c r="P1155" s="7"/>
    </row>
    <row r="1156" customFormat="false" ht="15" hidden="false" customHeight="false" outlineLevel="0" collapsed="false">
      <c r="A1156" s="7" t="s">
        <v>2451</v>
      </c>
      <c r="B1156" s="7" t="s">
        <v>1879</v>
      </c>
      <c r="C1156" s="7"/>
      <c r="D1156" s="6" t="s">
        <v>726</v>
      </c>
      <c r="E1156" s="6" t="s">
        <v>1880</v>
      </c>
      <c r="F1156" s="7" t="str">
        <f aca="false">IF($D1156="","",IFERROR(IF(INDEX(Hierarchy!$B$2:$B$1295,MATCH($D1156,Hierarchy!$A$2:$A$1295,0))="","",INDEX(Hierarchy!$B$2:$B$1295,MATCH($D1156,Hierarchy!$A$2:$A$1295,0))),"NODE NOT FOUND"))</f>
        <v>State/Province</v>
      </c>
      <c r="G1156" s="7" t="str">
        <f aca="false">IF($D1156="","",IFERROR(IF(INDEX(Hierarchy!$D$2:$D$1295,MATCH($D1156,Hierarchy!$A$2:$A$1295,0))="","",INDEX(Hierarchy!$D$2:$D$1295,MATCH($D1156,Hierarchy!$A$2:$A$1295,0))),"NODE NOT FOUND"))</f>
        <v>EMEA</v>
      </c>
      <c r="H1156" s="7" t="str">
        <f aca="false">IF($D1156="","",IFERROR(IF(INDEX(Hierarchy!$E$2:$E$1295,MATCH($D1156,Hierarchy!$A$2:$A$1295,0))="","",INDEX(Hierarchy!$E$2:$E$1295,MATCH($D1156,Hierarchy!$A$2:$A$1295,0))),"NODE NOT FOUND"))</f>
        <v>Europe</v>
      </c>
      <c r="I1156" s="7" t="str">
        <f aca="false">IF($D1156="","",IFERROR(IF(INDEX(Hierarchy!$F$2:$F$1295,MATCH($D1156,Hierarchy!$A$2:$A$1295,0))="","",INDEX(Hierarchy!$F$2:$F$1295,MATCH($D1156,Hierarchy!$A$2:$A$1295,0))),"NODE NOT FOUND"))</f>
        <v>France</v>
      </c>
      <c r="J1156" s="7" t="str">
        <f aca="false">IF($D1156="","",IFERROR(IF(INDEX(Hierarchy!$G$2:$G$1295,MATCH($D1156,Hierarchy!$A$2:$A$1295,0))="","",INDEX(Hierarchy!$G$2:$G$1295,MATCH($D1156,Hierarchy!$A$2:$A$1295,0))),"NODE NOT FOUND"))</f>
        <v>FRA</v>
      </c>
      <c r="K1156" s="7" t="str">
        <f aca="false">IF($D1156="","",IFERROR(IF(INDEX(Hierarchy!$H$2:$H$1295,MATCH($D1156,Hierarchy!$A$2:$A$1295,0))="","",INDEX(Hierarchy!$H$2:$H$1295,MATCH($D1156,Hierarchy!$A$2:$A$1295,0))),"NODE NOT FOUND"))</f>
        <v>Normandy</v>
      </c>
      <c r="L1156" s="7" t="str">
        <f aca="false">IF($D1156="","",IFERROR(IF(INDEX(Hierarchy!$I$2:$I$1295,MATCH($D1156,Hierarchy!$A$2:$A$1295,0))="","",INDEX(Hierarchy!$I$2:$I$1295,MATCH($D1156,Hierarchy!$A$2:$A$1295,0))),"NODE NOT FOUND"))</f>
        <v/>
      </c>
      <c r="M1156" s="17" t="str">
        <f aca="false">IF(B1156="Pre-seeded","Pre-seeded",IF(B1156="Review 2026-09-16","Added from review",IF(C1156="","New",IF(C1156=D1156,"","Changed"))))</f>
        <v>Pre-seeded</v>
      </c>
      <c r="N1156" s="7" t="str">
        <f aca="false">TRIM(SUBSTITUTE(SUBSTITUTE(SUBSTITUTE(" "&amp;TRIM(SUBSTITUTE(SUBSTITUTE(SUBSTITUTE(SUBSTITUTE(SUBSTITUTE(SUBSTITUTE(SUBSTITUTE(SUBSTITUTE(SUBSTITUTE(SUBSTITUTE(SUBSTITUTE(SUBSTITUTE(SUBSTITUTE(SUBSTITUTE(SUBSTITUTE(UPPER(TRIM(A1156)),"[MEMBER]",""),"{MEMBER}",""),"[MEMBER}",""),"MEMBER]",""),"(A)",""),"""",""),"“",""),"”",""),".",""),":",""),",",""),"–"," "),"-"," "),"/"," "),"&amp;"," AND "))&amp;" "," THE "," ")," TOTAL "," ")," OPERATIONS "," "))</f>
        <v>NORMANDIE</v>
      </c>
      <c r="O1156" s="17" t="str">
        <f aca="false">IF(COUNTIFS($N$2:$N$2000,N1156,$D$2:$D$2000,"&lt;&gt;"&amp;D1156)&gt;0,"CONFLICT","")</f>
        <v/>
      </c>
      <c r="P1156" s="7"/>
    </row>
    <row r="1157" customFormat="false" ht="15" hidden="false" customHeight="false" outlineLevel="0" collapsed="false">
      <c r="A1157" s="7" t="s">
        <v>726</v>
      </c>
      <c r="B1157" s="7" t="s">
        <v>1879</v>
      </c>
      <c r="C1157" s="7"/>
      <c r="D1157" s="6" t="s">
        <v>726</v>
      </c>
      <c r="E1157" s="6" t="s">
        <v>1880</v>
      </c>
      <c r="F1157" s="7" t="str">
        <f aca="false">IF($D1157="","",IFERROR(IF(INDEX(Hierarchy!$B$2:$B$1295,MATCH($D1157,Hierarchy!$A$2:$A$1295,0))="","",INDEX(Hierarchy!$B$2:$B$1295,MATCH($D1157,Hierarchy!$A$2:$A$1295,0))),"NODE NOT FOUND"))</f>
        <v>State/Province</v>
      </c>
      <c r="G1157" s="7" t="str">
        <f aca="false">IF($D1157="","",IFERROR(IF(INDEX(Hierarchy!$D$2:$D$1295,MATCH($D1157,Hierarchy!$A$2:$A$1295,0))="","",INDEX(Hierarchy!$D$2:$D$1295,MATCH($D1157,Hierarchy!$A$2:$A$1295,0))),"NODE NOT FOUND"))</f>
        <v>EMEA</v>
      </c>
      <c r="H1157" s="7" t="str">
        <f aca="false">IF($D1157="","",IFERROR(IF(INDEX(Hierarchy!$E$2:$E$1295,MATCH($D1157,Hierarchy!$A$2:$A$1295,0))="","",INDEX(Hierarchy!$E$2:$E$1295,MATCH($D1157,Hierarchy!$A$2:$A$1295,0))),"NODE NOT FOUND"))</f>
        <v>Europe</v>
      </c>
      <c r="I1157" s="7" t="str">
        <f aca="false">IF($D1157="","",IFERROR(IF(INDEX(Hierarchy!$F$2:$F$1295,MATCH($D1157,Hierarchy!$A$2:$A$1295,0))="","",INDEX(Hierarchy!$F$2:$F$1295,MATCH($D1157,Hierarchy!$A$2:$A$1295,0))),"NODE NOT FOUND"))</f>
        <v>France</v>
      </c>
      <c r="J1157" s="7" t="str">
        <f aca="false">IF($D1157="","",IFERROR(IF(INDEX(Hierarchy!$G$2:$G$1295,MATCH($D1157,Hierarchy!$A$2:$A$1295,0))="","",INDEX(Hierarchy!$G$2:$G$1295,MATCH($D1157,Hierarchy!$A$2:$A$1295,0))),"NODE NOT FOUND"))</f>
        <v>FRA</v>
      </c>
      <c r="K1157" s="7" t="str">
        <f aca="false">IF($D1157="","",IFERROR(IF(INDEX(Hierarchy!$H$2:$H$1295,MATCH($D1157,Hierarchy!$A$2:$A$1295,0))="","",INDEX(Hierarchy!$H$2:$H$1295,MATCH($D1157,Hierarchy!$A$2:$A$1295,0))),"NODE NOT FOUND"))</f>
        <v>Normandy</v>
      </c>
      <c r="L1157" s="7" t="str">
        <f aca="false">IF($D1157="","",IFERROR(IF(INDEX(Hierarchy!$I$2:$I$1295,MATCH($D1157,Hierarchy!$A$2:$A$1295,0))="","",INDEX(Hierarchy!$I$2:$I$1295,MATCH($D1157,Hierarchy!$A$2:$A$1295,0))),"NODE NOT FOUND"))</f>
        <v/>
      </c>
      <c r="M1157" s="17" t="str">
        <f aca="false">IF(B1157="Pre-seeded","Pre-seeded",IF(B1157="Review 2026-09-16","Added from review",IF(C1157="","New",IF(C1157=D1157,"","Changed"))))</f>
        <v>Pre-seeded</v>
      </c>
      <c r="N1157" s="7" t="str">
        <f aca="false">TRIM(SUBSTITUTE(SUBSTITUTE(SUBSTITUTE(" "&amp;TRIM(SUBSTITUTE(SUBSTITUTE(SUBSTITUTE(SUBSTITUTE(SUBSTITUTE(SUBSTITUTE(SUBSTITUTE(SUBSTITUTE(SUBSTITUTE(SUBSTITUTE(SUBSTITUTE(SUBSTITUTE(SUBSTITUTE(SUBSTITUTE(SUBSTITUTE(UPPER(TRIM(A1157)),"[MEMBER]",""),"{MEMBER}",""),"[MEMBER}",""),"MEMBER]",""),"(A)",""),"""",""),"“",""),"”",""),".",""),":",""),",",""),"–"," "),"-"," "),"/"," "),"&amp;"," AND "))&amp;" "," THE "," ")," TOTAL "," ")," OPERATIONS "," "))</f>
        <v>NORMANDY</v>
      </c>
      <c r="O1157" s="17" t="str">
        <f aca="false">IF(COUNTIFS($N$2:$N$2000,N1157,$D$2:$D$2000,"&lt;&gt;"&amp;D1157)&gt;0,"CONFLICT","")</f>
        <v/>
      </c>
      <c r="P1157" s="7"/>
    </row>
    <row r="1158" customFormat="false" ht="15" hidden="false" customHeight="false" outlineLevel="0" collapsed="false">
      <c r="A1158" s="7" t="s">
        <v>523</v>
      </c>
      <c r="B1158" s="7" t="s">
        <v>1879</v>
      </c>
      <c r="C1158" s="7"/>
      <c r="D1158" s="6" t="s">
        <v>523</v>
      </c>
      <c r="E1158" s="6" t="s">
        <v>1880</v>
      </c>
      <c r="F1158" s="7" t="str">
        <f aca="false">IF($D1158="","",IFERROR(IF(INDEX(Hierarchy!$B$2:$B$1295,MATCH($D1158,Hierarchy!$A$2:$A$1295,0))="","",INDEX(Hierarchy!$B$2:$B$1295,MATCH($D1158,Hierarchy!$A$2:$A$1295,0))),"NODE NOT FOUND"))</f>
        <v>State/Province</v>
      </c>
      <c r="G1158" s="7" t="str">
        <f aca="false">IF($D1158="","",IFERROR(IF(INDEX(Hierarchy!$D$2:$D$1295,MATCH($D1158,Hierarchy!$A$2:$A$1295,0))="","",INDEX(Hierarchy!$D$2:$D$1295,MATCH($D1158,Hierarchy!$A$2:$A$1295,0))),"NODE NOT FOUND"))</f>
        <v>AMER</v>
      </c>
      <c r="H1158" s="7" t="str">
        <f aca="false">IF($D1158="","",IFERROR(IF(INDEX(Hierarchy!$E$2:$E$1295,MATCH($D1158,Hierarchy!$A$2:$A$1295,0))="","",INDEX(Hierarchy!$E$2:$E$1295,MATCH($D1158,Hierarchy!$A$2:$A$1295,0))),"NODE NOT FOUND"))</f>
        <v>Latin America (LATAM)</v>
      </c>
      <c r="I1158" s="7" t="str">
        <f aca="false">IF($D1158="","",IFERROR(IF(INDEX(Hierarchy!$F$2:$F$1295,MATCH($D1158,Hierarchy!$A$2:$A$1295,0))="","",INDEX(Hierarchy!$F$2:$F$1295,MATCH($D1158,Hierarchy!$A$2:$A$1295,0))),"NODE NOT FOUND"))</f>
        <v>Colombia</v>
      </c>
      <c r="J1158" s="7" t="str">
        <f aca="false">IF($D1158="","",IFERROR(IF(INDEX(Hierarchy!$G$2:$G$1295,MATCH($D1158,Hierarchy!$A$2:$A$1295,0))="","",INDEX(Hierarchy!$G$2:$G$1295,MATCH($D1158,Hierarchy!$A$2:$A$1295,0))),"NODE NOT FOUND"))</f>
        <v>COL</v>
      </c>
      <c r="K1158" s="7" t="str">
        <f aca="false">IF($D1158="","",IFERROR(IF(INDEX(Hierarchy!$H$2:$H$1295,MATCH($D1158,Hierarchy!$A$2:$A$1295,0))="","",INDEX(Hierarchy!$H$2:$H$1295,MATCH($D1158,Hierarchy!$A$2:$A$1295,0))),"NODE NOT FOUND"))</f>
        <v>Norte de Santander</v>
      </c>
      <c r="L1158" s="7" t="str">
        <f aca="false">IF($D1158="","",IFERROR(IF(INDEX(Hierarchy!$I$2:$I$1295,MATCH($D1158,Hierarchy!$A$2:$A$1295,0))="","",INDEX(Hierarchy!$I$2:$I$1295,MATCH($D1158,Hierarchy!$A$2:$A$1295,0))),"NODE NOT FOUND"))</f>
        <v/>
      </c>
      <c r="M1158" s="17" t="str">
        <f aca="false">IF(B1158="Pre-seeded","Pre-seeded",IF(B1158="Review 2026-09-16","Added from review",IF(C1158="","New",IF(C1158=D1158,"","Changed"))))</f>
        <v>Pre-seeded</v>
      </c>
      <c r="N1158" s="7" t="str">
        <f aca="false">TRIM(SUBSTITUTE(SUBSTITUTE(SUBSTITUTE(" "&amp;TRIM(SUBSTITUTE(SUBSTITUTE(SUBSTITUTE(SUBSTITUTE(SUBSTITUTE(SUBSTITUTE(SUBSTITUTE(SUBSTITUTE(SUBSTITUTE(SUBSTITUTE(SUBSTITUTE(SUBSTITUTE(SUBSTITUTE(SUBSTITUTE(SUBSTITUTE(UPPER(TRIM(A1158)),"[MEMBER]",""),"{MEMBER}",""),"[MEMBER}",""),"MEMBER]",""),"(A)",""),"""",""),"“",""),"”",""),".",""),":",""),",",""),"–"," "),"-"," "),"/"," "),"&amp;"," AND "))&amp;" "," THE "," ")," TOTAL "," ")," OPERATIONS "," "))</f>
        <v>NORTE DE SANTANDER</v>
      </c>
      <c r="O1158" s="17" t="str">
        <f aca="false">IF(COUNTIFS($N$2:$N$2000,N1158,$D$2:$D$2000,"&lt;&gt;"&amp;D1158)&gt;0,"CONFLICT","")</f>
        <v/>
      </c>
      <c r="P1158" s="7"/>
    </row>
    <row r="1159" customFormat="false" ht="15" hidden="false" customHeight="false" outlineLevel="0" collapsed="false">
      <c r="A1159" s="7" t="s">
        <v>2452</v>
      </c>
      <c r="B1159" s="7" t="s">
        <v>1882</v>
      </c>
      <c r="C1159" s="7" t="s">
        <v>2452</v>
      </c>
      <c r="D1159" s="6" t="s">
        <v>103</v>
      </c>
      <c r="E1159" s="6" t="s">
        <v>1880</v>
      </c>
      <c r="F1159" s="7" t="str">
        <f aca="false">IF($D1159="","",IFERROR(IF(INDEX(Hierarchy!$B$2:$B$1295,MATCH($D1159,Hierarchy!$A$2:$A$1295,0))="","",INDEX(Hierarchy!$B$2:$B$1295,MATCH($D1159,Hierarchy!$A$2:$A$1295,0))),"NODE NOT FOUND"))</f>
        <v>Sub-national region</v>
      </c>
      <c r="G1159" s="7" t="str">
        <f aca="false">IF($D1159="","",IFERROR(IF(INDEX(Hierarchy!$D$2:$D$1295,MATCH($D1159,Hierarchy!$A$2:$A$1295,0))="","",INDEX(Hierarchy!$D$2:$D$1295,MATCH($D1159,Hierarchy!$A$2:$A$1295,0))),"NODE NOT FOUND"))</f>
        <v>AMER</v>
      </c>
      <c r="H1159" s="7" t="str">
        <f aca="false">IF($D1159="","",IFERROR(IF(INDEX(Hierarchy!$E$2:$E$1295,MATCH($D1159,Hierarchy!$A$2:$A$1295,0))="","",INDEX(Hierarchy!$E$2:$E$1295,MATCH($D1159,Hierarchy!$A$2:$A$1295,0))),"NODE NOT FOUND"))</f>
        <v>North America (NORAM)</v>
      </c>
      <c r="I1159" s="7" t="str">
        <f aca="false">IF($D1159="","",IFERROR(IF(INDEX(Hierarchy!$F$2:$F$1295,MATCH($D1159,Hierarchy!$A$2:$A$1295,0))="","",INDEX(Hierarchy!$F$2:$F$1295,MATCH($D1159,Hierarchy!$A$2:$A$1295,0))),"NODE NOT FOUND"))</f>
        <v>United States</v>
      </c>
      <c r="J1159" s="7" t="str">
        <f aca="false">IF($D1159="","",IFERROR(IF(INDEX(Hierarchy!$G$2:$G$1295,MATCH($D1159,Hierarchy!$A$2:$A$1295,0))="","",INDEX(Hierarchy!$G$2:$G$1295,MATCH($D1159,Hierarchy!$A$2:$A$1295,0))),"NODE NOT FOUND"))</f>
        <v>USA</v>
      </c>
      <c r="K1159" s="7" t="str">
        <f aca="false">IF($D1159="","",IFERROR(IF(INDEX(Hierarchy!$H$2:$H$1295,MATCH($D1159,Hierarchy!$A$2:$A$1295,0))="","",INDEX(Hierarchy!$H$2:$H$1295,MATCH($D1159,Hierarchy!$A$2:$A$1295,0))),"NODE NOT FOUND"))</f>
        <v/>
      </c>
      <c r="L1159" s="7" t="str">
        <f aca="false">IF($D1159="","",IFERROR(IF(INDEX(Hierarchy!$I$2:$I$1295,MATCH($D1159,Hierarchy!$A$2:$A$1295,0))="","",INDEX(Hierarchy!$I$2:$I$1295,MATCH($D1159,Hierarchy!$A$2:$A$1295,0))),"NODE NOT FOUND"))</f>
        <v/>
      </c>
      <c r="M1159" s="17" t="str">
        <f aca="false">IF(B1159="Pre-seeded","Pre-seeded",IF(B1159="Review 2026-09-16","Added from review",IF(C1159="","New",IF(C1159=D1159,"","Changed"))))</f>
        <v>Changed</v>
      </c>
      <c r="N1159" s="7" t="str">
        <f aca="false">TRIM(SUBSTITUTE(SUBSTITUTE(SUBSTITUTE(" "&amp;TRIM(SUBSTITUTE(SUBSTITUTE(SUBSTITUTE(SUBSTITUTE(SUBSTITUTE(SUBSTITUTE(SUBSTITUTE(SUBSTITUTE(SUBSTITUTE(SUBSTITUTE(SUBSTITUTE(SUBSTITUTE(SUBSTITUTE(SUBSTITUTE(SUBSTITUTE(UPPER(TRIM(A1159)),"[MEMBER]",""),"{MEMBER}",""),"[MEMBER}",""),"MEMBER]",""),"(A)",""),"""",""),"“",""),"”",""),".",""),":",""),",",""),"–"," "),"-"," "),"/"," "),"&amp;"," AND "))&amp;" "," THE "," ")," TOTAL "," ")," OPERATIONS "," "))</f>
        <v>NORTH</v>
      </c>
      <c r="O1159" s="17" t="str">
        <f aca="false">IF(COUNTIFS($N$2:$N$2000,N1159,$D$2:$D$2000,"&lt;&gt;"&amp;D1159)&gt;0,"CONFLICT","")</f>
        <v/>
      </c>
      <c r="P1159" s="7" t="s">
        <v>2453</v>
      </c>
    </row>
    <row r="1160" customFormat="false" ht="15" hidden="false" customHeight="false" outlineLevel="0" collapsed="false">
      <c r="A1160" s="7" t="s">
        <v>1103</v>
      </c>
      <c r="B1160" s="7" t="s">
        <v>1879</v>
      </c>
      <c r="C1160" s="7"/>
      <c r="D1160" s="6" t="s">
        <v>1103</v>
      </c>
      <c r="E1160" s="6" t="s">
        <v>1880</v>
      </c>
      <c r="F1160" s="7" t="str">
        <f aca="false">IF($D1160="","",IFERROR(IF(INDEX(Hierarchy!$B$2:$B$1295,MATCH($D1160,Hierarchy!$A$2:$A$1295,0))="","",INDEX(Hierarchy!$B$2:$B$1295,MATCH($D1160,Hierarchy!$A$2:$A$1295,0))),"NODE NOT FOUND"))</f>
        <v>Sub-region component</v>
      </c>
      <c r="G1160" s="7" t="str">
        <f aca="false">IF($D1160="","",IFERROR(IF(INDEX(Hierarchy!$D$2:$D$1295,MATCH($D1160,Hierarchy!$A$2:$A$1295,0))="","",INDEX(Hierarchy!$D$2:$D$1295,MATCH($D1160,Hierarchy!$A$2:$A$1295,0))),"NODE NOT FOUND"))</f>
        <v>EMEA</v>
      </c>
      <c r="H1160" s="7" t="str">
        <f aca="false">IF($D1160="","",IFERROR(IF(INDEX(Hierarchy!$E$2:$E$1295,MATCH($D1160,Hierarchy!$A$2:$A$1295,0))="","",INDEX(Hierarchy!$E$2:$E$1295,MATCH($D1160,Hierarchy!$A$2:$A$1295,0))),"NODE NOT FOUND"))</f>
        <v>Africa</v>
      </c>
      <c r="I1160" s="7" t="str">
        <f aca="false">IF($D1160="","",IFERROR(IF(INDEX(Hierarchy!$F$2:$F$1295,MATCH($D1160,Hierarchy!$A$2:$A$1295,0))="","",INDEX(Hierarchy!$F$2:$F$1295,MATCH($D1160,Hierarchy!$A$2:$A$1295,0))),"NODE NOT FOUND"))</f>
        <v/>
      </c>
      <c r="J1160" s="7" t="str">
        <f aca="false">IF($D1160="","",IFERROR(IF(INDEX(Hierarchy!$G$2:$G$1295,MATCH($D1160,Hierarchy!$A$2:$A$1295,0))="","",INDEX(Hierarchy!$G$2:$G$1295,MATCH($D1160,Hierarchy!$A$2:$A$1295,0))),"NODE NOT FOUND"))</f>
        <v/>
      </c>
      <c r="K1160" s="7" t="str">
        <f aca="false">IF($D1160="","",IFERROR(IF(INDEX(Hierarchy!$H$2:$H$1295,MATCH($D1160,Hierarchy!$A$2:$A$1295,0))="","",INDEX(Hierarchy!$H$2:$H$1295,MATCH($D1160,Hierarchy!$A$2:$A$1295,0))),"NODE NOT FOUND"))</f>
        <v/>
      </c>
      <c r="L1160" s="7" t="str">
        <f aca="false">IF($D1160="","",IFERROR(IF(INDEX(Hierarchy!$I$2:$I$1295,MATCH($D1160,Hierarchy!$A$2:$A$1295,0))="","",INDEX(Hierarchy!$I$2:$I$1295,MATCH($D1160,Hierarchy!$A$2:$A$1295,0))),"NODE NOT FOUND"))</f>
        <v/>
      </c>
      <c r="M1160" s="17" t="str">
        <f aca="false">IF(B1160="Pre-seeded","Pre-seeded",IF(B1160="Review 2026-09-16","Added from review",IF(C1160="","New",IF(C1160=D1160,"","Changed"))))</f>
        <v>Pre-seeded</v>
      </c>
      <c r="N1160" s="7" t="str">
        <f aca="false">TRIM(SUBSTITUTE(SUBSTITUTE(SUBSTITUTE(" "&amp;TRIM(SUBSTITUTE(SUBSTITUTE(SUBSTITUTE(SUBSTITUTE(SUBSTITUTE(SUBSTITUTE(SUBSTITUTE(SUBSTITUTE(SUBSTITUTE(SUBSTITUTE(SUBSTITUTE(SUBSTITUTE(SUBSTITUTE(SUBSTITUTE(SUBSTITUTE(UPPER(TRIM(A1160)),"[MEMBER]",""),"{MEMBER}",""),"[MEMBER}",""),"MEMBER]",""),"(A)",""),"""",""),"“",""),"”",""),".",""),":",""),",",""),"–"," "),"-"," "),"/"," "),"&amp;"," AND "))&amp;" "," THE "," ")," TOTAL "," ")," OPERATIONS "," "))</f>
        <v>NORTH AFRICA</v>
      </c>
      <c r="O1160" s="17" t="str">
        <f aca="false">IF(COUNTIFS($N$2:$N$2000,N1160,$D$2:$D$2000,"&lt;&gt;"&amp;D1160)&gt;0,"CONFLICT","")</f>
        <v/>
      </c>
      <c r="P1160" s="7"/>
    </row>
    <row r="1161" customFormat="false" ht="15" hidden="false" customHeight="false" outlineLevel="0" collapsed="false">
      <c r="A1161" s="7" t="s">
        <v>86</v>
      </c>
      <c r="B1161" s="7" t="s">
        <v>1882</v>
      </c>
      <c r="C1161" s="7" t="s">
        <v>86</v>
      </c>
      <c r="D1161" s="6" t="s">
        <v>80</v>
      </c>
      <c r="E1161" s="6" t="s">
        <v>1880</v>
      </c>
      <c r="F1161" s="7" t="str">
        <f aca="false">IF($D1161="","",IFERROR(IF(INDEX(Hierarchy!$B$2:$B$1295,MATCH($D1161,Hierarchy!$A$2:$A$1295,0))="","",INDEX(Hierarchy!$B$2:$B$1295,MATCH($D1161,Hierarchy!$A$2:$A$1295,0))),"NODE NOT FOUND"))</f>
        <v>Sub-region</v>
      </c>
      <c r="G1161" s="7" t="str">
        <f aca="false">IF($D1161="","",IFERROR(IF(INDEX(Hierarchy!$D$2:$D$1295,MATCH($D1161,Hierarchy!$A$2:$A$1295,0))="","",INDEX(Hierarchy!$D$2:$D$1295,MATCH($D1161,Hierarchy!$A$2:$A$1295,0))),"NODE NOT FOUND"))</f>
        <v>AMER</v>
      </c>
      <c r="H1161" s="7" t="str">
        <f aca="false">IF($D1161="","",IFERROR(IF(INDEX(Hierarchy!$E$2:$E$1295,MATCH($D1161,Hierarchy!$A$2:$A$1295,0))="","",INDEX(Hierarchy!$E$2:$E$1295,MATCH($D1161,Hierarchy!$A$2:$A$1295,0))),"NODE NOT FOUND"))</f>
        <v>North America (NORAM)</v>
      </c>
      <c r="I1161" s="7" t="str">
        <f aca="false">IF($D1161="","",IFERROR(IF(INDEX(Hierarchy!$F$2:$F$1295,MATCH($D1161,Hierarchy!$A$2:$A$1295,0))="","",INDEX(Hierarchy!$F$2:$F$1295,MATCH($D1161,Hierarchy!$A$2:$A$1295,0))),"NODE NOT FOUND"))</f>
        <v/>
      </c>
      <c r="J1161" s="7" t="str">
        <f aca="false">IF($D1161="","",IFERROR(IF(INDEX(Hierarchy!$G$2:$G$1295,MATCH($D1161,Hierarchy!$A$2:$A$1295,0))="","",INDEX(Hierarchy!$G$2:$G$1295,MATCH($D1161,Hierarchy!$A$2:$A$1295,0))),"NODE NOT FOUND"))</f>
        <v/>
      </c>
      <c r="K1161" s="7" t="str">
        <f aca="false">IF($D1161="","",IFERROR(IF(INDEX(Hierarchy!$H$2:$H$1295,MATCH($D1161,Hierarchy!$A$2:$A$1295,0))="","",INDEX(Hierarchy!$H$2:$H$1295,MATCH($D1161,Hierarchy!$A$2:$A$1295,0))),"NODE NOT FOUND"))</f>
        <v/>
      </c>
      <c r="L1161" s="7" t="str">
        <f aca="false">IF($D1161="","",IFERROR(IF(INDEX(Hierarchy!$I$2:$I$1295,MATCH($D1161,Hierarchy!$A$2:$A$1295,0))="","",INDEX(Hierarchy!$I$2:$I$1295,MATCH($D1161,Hierarchy!$A$2:$A$1295,0))),"NODE NOT FOUND"))</f>
        <v/>
      </c>
      <c r="M1161" s="17" t="str">
        <f aca="false">IF(B1161="Pre-seeded","Pre-seeded",IF(B1161="Review 2026-09-16","Added from review",IF(C1161="","New",IF(C1161=D1161,"","Changed"))))</f>
        <v>Changed</v>
      </c>
      <c r="N1161" s="7" t="str">
        <f aca="false">TRIM(SUBSTITUTE(SUBSTITUTE(SUBSTITUTE(" "&amp;TRIM(SUBSTITUTE(SUBSTITUTE(SUBSTITUTE(SUBSTITUTE(SUBSTITUTE(SUBSTITUTE(SUBSTITUTE(SUBSTITUTE(SUBSTITUTE(SUBSTITUTE(SUBSTITUTE(SUBSTITUTE(SUBSTITUTE(SUBSTITUTE(SUBSTITUTE(UPPER(TRIM(A1161)),"[MEMBER]",""),"{MEMBER}",""),"[MEMBER}",""),"MEMBER]",""),"(A)",""),"""",""),"“",""),"”",""),".",""),":",""),",",""),"–"," "),"-"," "),"/"," "),"&amp;"," AND "))&amp;" "," THE "," ")," TOTAL "," ")," OPERATIONS "," "))</f>
        <v>NORTH AMERICA</v>
      </c>
      <c r="O1161" s="17" t="str">
        <f aca="false">IF(COUNTIFS($N$2:$N$2000,N1161,$D$2:$D$2000,"&lt;&gt;"&amp;D1161)&gt;0,"CONFLICT","")</f>
        <v/>
      </c>
      <c r="P1161" s="7"/>
    </row>
    <row r="1162" customFormat="false" ht="15" hidden="false" customHeight="false" outlineLevel="0" collapsed="false">
      <c r="A1162" s="7" t="s">
        <v>2454</v>
      </c>
      <c r="B1162" s="7" t="s">
        <v>1882</v>
      </c>
      <c r="C1162" s="7" t="s">
        <v>86</v>
      </c>
      <c r="D1162" s="6" t="s">
        <v>80</v>
      </c>
      <c r="E1162" s="6" t="s">
        <v>1880</v>
      </c>
      <c r="F1162" s="7" t="str">
        <f aca="false">IF($D1162="","",IFERROR(IF(INDEX(Hierarchy!$B$2:$B$1295,MATCH($D1162,Hierarchy!$A$2:$A$1295,0))="","",INDEX(Hierarchy!$B$2:$B$1295,MATCH($D1162,Hierarchy!$A$2:$A$1295,0))),"NODE NOT FOUND"))</f>
        <v>Sub-region</v>
      </c>
      <c r="G1162" s="7" t="str">
        <f aca="false">IF($D1162="","",IFERROR(IF(INDEX(Hierarchy!$D$2:$D$1295,MATCH($D1162,Hierarchy!$A$2:$A$1295,0))="","",INDEX(Hierarchy!$D$2:$D$1295,MATCH($D1162,Hierarchy!$A$2:$A$1295,0))),"NODE NOT FOUND"))</f>
        <v>AMER</v>
      </c>
      <c r="H1162" s="7" t="str">
        <f aca="false">IF($D1162="","",IFERROR(IF(INDEX(Hierarchy!$E$2:$E$1295,MATCH($D1162,Hierarchy!$A$2:$A$1295,0))="","",INDEX(Hierarchy!$E$2:$E$1295,MATCH($D1162,Hierarchy!$A$2:$A$1295,0))),"NODE NOT FOUND"))</f>
        <v>North America (NORAM)</v>
      </c>
      <c r="I1162" s="7" t="str">
        <f aca="false">IF($D1162="","",IFERROR(IF(INDEX(Hierarchy!$F$2:$F$1295,MATCH($D1162,Hierarchy!$A$2:$A$1295,0))="","",INDEX(Hierarchy!$F$2:$F$1295,MATCH($D1162,Hierarchy!$A$2:$A$1295,0))),"NODE NOT FOUND"))</f>
        <v/>
      </c>
      <c r="J1162" s="7" t="str">
        <f aca="false">IF($D1162="","",IFERROR(IF(INDEX(Hierarchy!$G$2:$G$1295,MATCH($D1162,Hierarchy!$A$2:$A$1295,0))="","",INDEX(Hierarchy!$G$2:$G$1295,MATCH($D1162,Hierarchy!$A$2:$A$1295,0))),"NODE NOT FOUND"))</f>
        <v/>
      </c>
      <c r="K1162" s="7" t="str">
        <f aca="false">IF($D1162="","",IFERROR(IF(INDEX(Hierarchy!$H$2:$H$1295,MATCH($D1162,Hierarchy!$A$2:$A$1295,0))="","",INDEX(Hierarchy!$H$2:$H$1295,MATCH($D1162,Hierarchy!$A$2:$A$1295,0))),"NODE NOT FOUND"))</f>
        <v/>
      </c>
      <c r="L1162" s="7" t="str">
        <f aca="false">IF($D1162="","",IFERROR(IF(INDEX(Hierarchy!$I$2:$I$1295,MATCH($D1162,Hierarchy!$A$2:$A$1295,0))="","",INDEX(Hierarchy!$I$2:$I$1295,MATCH($D1162,Hierarchy!$A$2:$A$1295,0))),"NODE NOT FOUND"))</f>
        <v/>
      </c>
      <c r="M1162" s="17" t="str">
        <f aca="false">IF(B1162="Pre-seeded","Pre-seeded",IF(B1162="Review 2026-09-16","Added from review",IF(C1162="","New",IF(C1162=D1162,"","Changed"))))</f>
        <v>Changed</v>
      </c>
      <c r="N1162" s="7" t="str">
        <f aca="false">TRIM(SUBSTITUTE(SUBSTITUTE(SUBSTITUTE(" "&amp;TRIM(SUBSTITUTE(SUBSTITUTE(SUBSTITUTE(SUBSTITUTE(SUBSTITUTE(SUBSTITUTE(SUBSTITUTE(SUBSTITUTE(SUBSTITUTE(SUBSTITUTE(SUBSTITUTE(SUBSTITUTE(SUBSTITUTE(SUBSTITUTE(SUBSTITUTE(UPPER(TRIM(A1162)),"[MEMBER]",""),"{MEMBER}",""),"[MEMBER}",""),"MEMBER]",""),"(A)",""),"""",""),"“",""),"”",""),".",""),":",""),",",""),"–"," "),"-"," "),"/"," "),"&amp;"," AND "))&amp;" "," THE "," ")," TOTAL "," ")," OPERATIONS "," "))</f>
        <v>NORTH AMERICA</v>
      </c>
      <c r="O1162" s="17" t="str">
        <f aca="false">IF(COUNTIFS($N$2:$N$2000,N1162,$D$2:$D$2000,"&lt;&gt;"&amp;D1162)&gt;0,"CONFLICT","")</f>
        <v/>
      </c>
      <c r="P1162" s="7"/>
    </row>
    <row r="1163" customFormat="false" ht="15" hidden="false" customHeight="false" outlineLevel="0" collapsed="false">
      <c r="A1163" s="7" t="s">
        <v>80</v>
      </c>
      <c r="B1163" s="7" t="s">
        <v>1879</v>
      </c>
      <c r="C1163" s="7"/>
      <c r="D1163" s="6" t="s">
        <v>80</v>
      </c>
      <c r="E1163" s="6" t="s">
        <v>1880</v>
      </c>
      <c r="F1163" s="7" t="str">
        <f aca="false">IF($D1163="","",IFERROR(IF(INDEX(Hierarchy!$B$2:$B$1295,MATCH($D1163,Hierarchy!$A$2:$A$1295,0))="","",INDEX(Hierarchy!$B$2:$B$1295,MATCH($D1163,Hierarchy!$A$2:$A$1295,0))),"NODE NOT FOUND"))</f>
        <v>Sub-region</v>
      </c>
      <c r="G1163" s="7" t="str">
        <f aca="false">IF($D1163="","",IFERROR(IF(INDEX(Hierarchy!$D$2:$D$1295,MATCH($D1163,Hierarchy!$A$2:$A$1295,0))="","",INDEX(Hierarchy!$D$2:$D$1295,MATCH($D1163,Hierarchy!$A$2:$A$1295,0))),"NODE NOT FOUND"))</f>
        <v>AMER</v>
      </c>
      <c r="H1163" s="7" t="str">
        <f aca="false">IF($D1163="","",IFERROR(IF(INDEX(Hierarchy!$E$2:$E$1295,MATCH($D1163,Hierarchy!$A$2:$A$1295,0))="","",INDEX(Hierarchy!$E$2:$E$1295,MATCH($D1163,Hierarchy!$A$2:$A$1295,0))),"NODE NOT FOUND"))</f>
        <v>North America (NORAM)</v>
      </c>
      <c r="I1163" s="7" t="str">
        <f aca="false">IF($D1163="","",IFERROR(IF(INDEX(Hierarchy!$F$2:$F$1295,MATCH($D1163,Hierarchy!$A$2:$A$1295,0))="","",INDEX(Hierarchy!$F$2:$F$1295,MATCH($D1163,Hierarchy!$A$2:$A$1295,0))),"NODE NOT FOUND"))</f>
        <v/>
      </c>
      <c r="J1163" s="7" t="str">
        <f aca="false">IF($D1163="","",IFERROR(IF(INDEX(Hierarchy!$G$2:$G$1295,MATCH($D1163,Hierarchy!$A$2:$A$1295,0))="","",INDEX(Hierarchy!$G$2:$G$1295,MATCH($D1163,Hierarchy!$A$2:$A$1295,0))),"NODE NOT FOUND"))</f>
        <v/>
      </c>
      <c r="K1163" s="7" t="str">
        <f aca="false">IF($D1163="","",IFERROR(IF(INDEX(Hierarchy!$H$2:$H$1295,MATCH($D1163,Hierarchy!$A$2:$A$1295,0))="","",INDEX(Hierarchy!$H$2:$H$1295,MATCH($D1163,Hierarchy!$A$2:$A$1295,0))),"NODE NOT FOUND"))</f>
        <v/>
      </c>
      <c r="L1163" s="7" t="str">
        <f aca="false">IF($D1163="","",IFERROR(IF(INDEX(Hierarchy!$I$2:$I$1295,MATCH($D1163,Hierarchy!$A$2:$A$1295,0))="","",INDEX(Hierarchy!$I$2:$I$1295,MATCH($D1163,Hierarchy!$A$2:$A$1295,0))),"NODE NOT FOUND"))</f>
        <v/>
      </c>
      <c r="M1163" s="17" t="str">
        <f aca="false">IF(B1163="Pre-seeded","Pre-seeded",IF(B1163="Review 2026-09-16","Added from review",IF(C1163="","New",IF(C1163=D1163,"","Changed"))))</f>
        <v>Pre-seeded</v>
      </c>
      <c r="N1163" s="7" t="str">
        <f aca="false">TRIM(SUBSTITUTE(SUBSTITUTE(SUBSTITUTE(" "&amp;TRIM(SUBSTITUTE(SUBSTITUTE(SUBSTITUTE(SUBSTITUTE(SUBSTITUTE(SUBSTITUTE(SUBSTITUTE(SUBSTITUTE(SUBSTITUTE(SUBSTITUTE(SUBSTITUTE(SUBSTITUTE(SUBSTITUTE(SUBSTITUTE(SUBSTITUTE(UPPER(TRIM(A1163)),"[MEMBER]",""),"{MEMBER}",""),"[MEMBER}",""),"MEMBER]",""),"(A)",""),"""",""),"“",""),"”",""),".",""),":",""),",",""),"–"," "),"-"," "),"/"," "),"&amp;"," AND "))&amp;" "," THE "," ")," TOTAL "," ")," OPERATIONS "," "))</f>
        <v>NORTH AMERICA (NORAM)</v>
      </c>
      <c r="O1163" s="17" t="str">
        <f aca="false">IF(COUNTIFS($N$2:$N$2000,N1163,$D$2:$D$2000,"&lt;&gt;"&amp;D1163)&gt;0,"CONFLICT","")</f>
        <v/>
      </c>
      <c r="P1163" s="7"/>
    </row>
    <row r="1164" customFormat="false" ht="15" hidden="false" customHeight="false" outlineLevel="0" collapsed="false">
      <c r="A1164" s="7" t="s">
        <v>2455</v>
      </c>
      <c r="B1164" s="7" t="s">
        <v>1885</v>
      </c>
      <c r="C1164" s="7" t="s">
        <v>271</v>
      </c>
      <c r="D1164" s="6" t="s">
        <v>74</v>
      </c>
      <c r="E1164" s="6" t="s">
        <v>1880</v>
      </c>
      <c r="F1164" s="7" t="str">
        <f aca="false">IF($D1164="","",IFERROR(IF(INDEX(Hierarchy!$B$2:$B$1295,MATCH($D1164,Hierarchy!$A$2:$A$1295,0))="","",INDEX(Hierarchy!$B$2:$B$1295,MATCH($D1164,Hierarchy!$A$2:$A$1295,0))),"NODE NOT FOUND"))</f>
        <v>Region</v>
      </c>
      <c r="G1164" s="7" t="str">
        <f aca="false">IF($D1164="","",IFERROR(IF(INDEX(Hierarchy!$D$2:$D$1295,MATCH($D1164,Hierarchy!$A$2:$A$1295,0))="","",INDEX(Hierarchy!$D$2:$D$1295,MATCH($D1164,Hierarchy!$A$2:$A$1295,0))),"NODE NOT FOUND"))</f>
        <v>AMER</v>
      </c>
      <c r="H1164" s="7" t="str">
        <f aca="false">IF($D1164="","",IFERROR(IF(INDEX(Hierarchy!$E$2:$E$1295,MATCH($D1164,Hierarchy!$A$2:$A$1295,0))="","",INDEX(Hierarchy!$E$2:$E$1295,MATCH($D1164,Hierarchy!$A$2:$A$1295,0))),"NODE NOT FOUND"))</f>
        <v/>
      </c>
      <c r="I1164" s="7" t="str">
        <f aca="false">IF($D1164="","",IFERROR(IF(INDEX(Hierarchy!$F$2:$F$1295,MATCH($D1164,Hierarchy!$A$2:$A$1295,0))="","",INDEX(Hierarchy!$F$2:$F$1295,MATCH($D1164,Hierarchy!$A$2:$A$1295,0))),"NODE NOT FOUND"))</f>
        <v/>
      </c>
      <c r="J1164" s="7" t="str">
        <f aca="false">IF($D1164="","",IFERROR(IF(INDEX(Hierarchy!$G$2:$G$1295,MATCH($D1164,Hierarchy!$A$2:$A$1295,0))="","",INDEX(Hierarchy!$G$2:$G$1295,MATCH($D1164,Hierarchy!$A$2:$A$1295,0))),"NODE NOT FOUND"))</f>
        <v/>
      </c>
      <c r="K1164" s="7" t="str">
        <f aca="false">IF($D1164="","",IFERROR(IF(INDEX(Hierarchy!$H$2:$H$1295,MATCH($D1164,Hierarchy!$A$2:$A$1295,0))="","",INDEX(Hierarchy!$H$2:$H$1295,MATCH($D1164,Hierarchy!$A$2:$A$1295,0))),"NODE NOT FOUND"))</f>
        <v/>
      </c>
      <c r="L1164" s="7" t="str">
        <f aca="false">IF($D1164="","",IFERROR(IF(INDEX(Hierarchy!$I$2:$I$1295,MATCH($D1164,Hierarchy!$A$2:$A$1295,0))="","",INDEX(Hierarchy!$I$2:$I$1295,MATCH($D1164,Hierarchy!$A$2:$A$1295,0))),"NODE NOT FOUND"))</f>
        <v/>
      </c>
      <c r="M1164" s="17" t="str">
        <f aca="false">IF(B1164="Pre-seeded","Pre-seeded",IF(B1164="Review 2026-09-16","Added from review",IF(C1164="","New",IF(C1164=D1164,"","Changed"))))</f>
        <v>Changed</v>
      </c>
      <c r="N1164" s="7" t="str">
        <f aca="false">TRIM(SUBSTITUTE(SUBSTITUTE(SUBSTITUTE(" "&amp;TRIM(SUBSTITUTE(SUBSTITUTE(SUBSTITUTE(SUBSTITUTE(SUBSTITUTE(SUBSTITUTE(SUBSTITUTE(SUBSTITUTE(SUBSTITUTE(SUBSTITUTE(SUBSTITUTE(SUBSTITUTE(SUBSTITUTE(SUBSTITUTE(SUBSTITUTE(UPPER(TRIM(A1164)),"[MEMBER]",""),"{MEMBER}",""),"[MEMBER}",""),"MEMBER]",""),"(A)",""),"""",""),"“",""),"”",""),".",""),":",""),",",""),"–"," "),"-"," "),"/"," "),"&amp;"," AND "))&amp;" "," THE "," ")," TOTAL "," ")," OPERATIONS "," "))</f>
        <v>NORTH AMERICA (US CANADA AND LATIN AMERICA)</v>
      </c>
      <c r="O1164" s="17" t="str">
        <f aca="false">IF(COUNTIFS($N$2:$N$2000,N1164,$D$2:$D$2000,"&lt;&gt;"&amp;D1164)&gt;0,"CONFLICT","")</f>
        <v/>
      </c>
      <c r="P1164" s="7" t="s">
        <v>2456</v>
      </c>
    </row>
    <row r="1165" customFormat="false" ht="15" hidden="false" customHeight="false" outlineLevel="0" collapsed="false">
      <c r="A1165" s="7" t="s">
        <v>1845</v>
      </c>
      <c r="B1165" s="7" t="s">
        <v>1879</v>
      </c>
      <c r="C1165" s="7"/>
      <c r="D1165" s="6" t="s">
        <v>1845</v>
      </c>
      <c r="E1165" s="6" t="s">
        <v>1880</v>
      </c>
      <c r="F1165" s="7" t="str">
        <f aca="false">IF($D1165="","",IFERROR(IF(INDEX(Hierarchy!$B$2:$B$1295,MATCH($D1165,Hierarchy!$A$2:$A$1295,0))="","",INDEX(Hierarchy!$B$2:$B$1295,MATCH($D1165,Hierarchy!$A$2:$A$1295,0))),"NODE NOT FOUND"))</f>
        <v>Reference grouping</v>
      </c>
      <c r="G1165" s="7" t="str">
        <f aca="false">IF($D1165="","",IFERROR(IF(INDEX(Hierarchy!$D$2:$D$1295,MATCH($D1165,Hierarchy!$A$2:$A$1295,0))="","",INDEX(Hierarchy!$D$2:$D$1295,MATCH($D1165,Hierarchy!$A$2:$A$1295,0))),"NODE NOT FOUND"))</f>
        <v>Reference (UN / World Bank)</v>
      </c>
      <c r="H1165" s="7" t="str">
        <f aca="false">IF($D1165="","",IFERROR(IF(INDEX(Hierarchy!$E$2:$E$1295,MATCH($D1165,Hierarchy!$A$2:$A$1295,0))="","",INDEX(Hierarchy!$E$2:$E$1295,MATCH($D1165,Hierarchy!$A$2:$A$1295,0))),"NODE NOT FOUND"))</f>
        <v/>
      </c>
      <c r="I1165" s="7" t="str">
        <f aca="false">IF($D1165="","",IFERROR(IF(INDEX(Hierarchy!$F$2:$F$1295,MATCH($D1165,Hierarchy!$A$2:$A$1295,0))="","",INDEX(Hierarchy!$F$2:$F$1295,MATCH($D1165,Hierarchy!$A$2:$A$1295,0))),"NODE NOT FOUND"))</f>
        <v/>
      </c>
      <c r="J1165" s="7" t="str">
        <f aca="false">IF($D1165="","",IFERROR(IF(INDEX(Hierarchy!$G$2:$G$1295,MATCH($D1165,Hierarchy!$A$2:$A$1295,0))="","",INDEX(Hierarchy!$G$2:$G$1295,MATCH($D1165,Hierarchy!$A$2:$A$1295,0))),"NODE NOT FOUND"))</f>
        <v/>
      </c>
      <c r="K1165" s="7" t="str">
        <f aca="false">IF($D1165="","",IFERROR(IF(INDEX(Hierarchy!$H$2:$H$1295,MATCH($D1165,Hierarchy!$A$2:$A$1295,0))="","",INDEX(Hierarchy!$H$2:$H$1295,MATCH($D1165,Hierarchy!$A$2:$A$1295,0))),"NODE NOT FOUND"))</f>
        <v/>
      </c>
      <c r="L1165" s="7" t="str">
        <f aca="false">IF($D1165="","",IFERROR(IF(INDEX(Hierarchy!$I$2:$I$1295,MATCH($D1165,Hierarchy!$A$2:$A$1295,0))="","",INDEX(Hierarchy!$I$2:$I$1295,MATCH($D1165,Hierarchy!$A$2:$A$1295,0))),"NODE NOT FOUND"))</f>
        <v/>
      </c>
      <c r="M1165" s="17" t="str">
        <f aca="false">IF(B1165="Pre-seeded","Pre-seeded",IF(B1165="Review 2026-09-16","Added from review",IF(C1165="","New",IF(C1165=D1165,"","Changed"))))</f>
        <v>Pre-seeded</v>
      </c>
      <c r="N1165" s="7" t="str">
        <f aca="false">TRIM(SUBSTITUTE(SUBSTITUTE(SUBSTITUTE(" "&amp;TRIM(SUBSTITUTE(SUBSTITUTE(SUBSTITUTE(SUBSTITUTE(SUBSTITUTE(SUBSTITUTE(SUBSTITUTE(SUBSTITUTE(SUBSTITUTE(SUBSTITUTE(SUBSTITUTE(SUBSTITUTE(SUBSTITUTE(SUBSTITUTE(SUBSTITUTE(UPPER(TRIM(A1165)),"[MEMBER]",""),"{MEMBER}",""),"[MEMBER}",""),"MEMBER]",""),"(A)",""),"""",""),"“",""),"”",""),".",""),":",""),",",""),"–"," "),"-"," "),"/"," "),"&amp;"," AND "))&amp;" "," THE "," ")," TOTAL "," ")," OPERATIONS "," "))</f>
        <v>NORTH AMERICA (WORLD BANK)</v>
      </c>
      <c r="O1165" s="17" t="str">
        <f aca="false">IF(COUNTIFS($N$2:$N$2000,N1165,$D$2:$D$2000,"&lt;&gt;"&amp;D1165)&gt;0,"CONFLICT","")</f>
        <v/>
      </c>
      <c r="P1165" s="7"/>
    </row>
    <row r="1166" customFormat="false" ht="15" hidden="false" customHeight="false" outlineLevel="0" collapsed="false">
      <c r="A1166" s="7" t="s">
        <v>2457</v>
      </c>
      <c r="B1166" s="7" t="s">
        <v>1885</v>
      </c>
      <c r="C1166" s="7" t="s">
        <v>86</v>
      </c>
      <c r="D1166" s="6" t="s">
        <v>80</v>
      </c>
      <c r="E1166" s="6" t="s">
        <v>1880</v>
      </c>
      <c r="F1166" s="7" t="str">
        <f aca="false">IF($D1166="","",IFERROR(IF(INDEX(Hierarchy!$B$2:$B$1295,MATCH($D1166,Hierarchy!$A$2:$A$1295,0))="","",INDEX(Hierarchy!$B$2:$B$1295,MATCH($D1166,Hierarchy!$A$2:$A$1295,0))),"NODE NOT FOUND"))</f>
        <v>Sub-region</v>
      </c>
      <c r="G1166" s="7" t="str">
        <f aca="false">IF($D1166="","",IFERROR(IF(INDEX(Hierarchy!$D$2:$D$1295,MATCH($D1166,Hierarchy!$A$2:$A$1295,0))="","",INDEX(Hierarchy!$D$2:$D$1295,MATCH($D1166,Hierarchy!$A$2:$A$1295,0))),"NODE NOT FOUND"))</f>
        <v>AMER</v>
      </c>
      <c r="H1166" s="7" t="str">
        <f aca="false">IF($D1166="","",IFERROR(IF(INDEX(Hierarchy!$E$2:$E$1295,MATCH($D1166,Hierarchy!$A$2:$A$1295,0))="","",INDEX(Hierarchy!$E$2:$E$1295,MATCH($D1166,Hierarchy!$A$2:$A$1295,0))),"NODE NOT FOUND"))</f>
        <v>North America (NORAM)</v>
      </c>
      <c r="I1166" s="7" t="str">
        <f aca="false">IF($D1166="","",IFERROR(IF(INDEX(Hierarchy!$F$2:$F$1295,MATCH($D1166,Hierarchy!$A$2:$A$1295,0))="","",INDEX(Hierarchy!$F$2:$F$1295,MATCH($D1166,Hierarchy!$A$2:$A$1295,0))),"NODE NOT FOUND"))</f>
        <v/>
      </c>
      <c r="J1166" s="7" t="str">
        <f aca="false">IF($D1166="","",IFERROR(IF(INDEX(Hierarchy!$G$2:$G$1295,MATCH($D1166,Hierarchy!$A$2:$A$1295,0))="","",INDEX(Hierarchy!$G$2:$G$1295,MATCH($D1166,Hierarchy!$A$2:$A$1295,0))),"NODE NOT FOUND"))</f>
        <v/>
      </c>
      <c r="K1166" s="7" t="str">
        <f aca="false">IF($D1166="","",IFERROR(IF(INDEX(Hierarchy!$H$2:$H$1295,MATCH($D1166,Hierarchy!$A$2:$A$1295,0))="","",INDEX(Hierarchy!$H$2:$H$1295,MATCH($D1166,Hierarchy!$A$2:$A$1295,0))),"NODE NOT FOUND"))</f>
        <v/>
      </c>
      <c r="L1166" s="7" t="str">
        <f aca="false">IF($D1166="","",IFERROR(IF(INDEX(Hierarchy!$I$2:$I$1295,MATCH($D1166,Hierarchy!$A$2:$A$1295,0))="","",INDEX(Hierarchy!$I$2:$I$1295,MATCH($D1166,Hierarchy!$A$2:$A$1295,0))),"NODE NOT FOUND"))</f>
        <v/>
      </c>
      <c r="M1166" s="17" t="str">
        <f aca="false">IF(B1166="Pre-seeded","Pre-seeded",IF(B1166="Review 2026-09-16","Added from review",IF(C1166="","New",IF(C1166=D1166,"","Changed"))))</f>
        <v>Changed</v>
      </c>
      <c r="N1166" s="7" t="str">
        <f aca="false">TRIM(SUBSTITUTE(SUBSTITUTE(SUBSTITUTE(" "&amp;TRIM(SUBSTITUTE(SUBSTITUTE(SUBSTITUTE(SUBSTITUTE(SUBSTITUTE(SUBSTITUTE(SUBSTITUTE(SUBSTITUTE(SUBSTITUTE(SUBSTITUTE(SUBSTITUTE(SUBSTITUTE(SUBSTITUTE(SUBSTITUTE(SUBSTITUTE(UPPER(TRIM(A1166)),"[MEMBER]",""),"{MEMBER}",""),"[MEMBER}",""),"MEMBER]",""),"(A)",""),"""",""),"“",""),"”",""),".",""),":",""),",",""),"–"," "),"-"," "),"/"," "),"&amp;"," AND "))&amp;" "," THE "," ")," TOTAL "," ")," OPERATIONS "," "))</f>
        <v>NORTH AMERICAN MARKETS</v>
      </c>
      <c r="O1166" s="17" t="str">
        <f aca="false">IF(COUNTIFS($N$2:$N$2000,N1166,$D$2:$D$2000,"&lt;&gt;"&amp;D1166)&gt;0,"CONFLICT","")</f>
        <v/>
      </c>
      <c r="P1166" s="7"/>
    </row>
    <row r="1167" customFormat="false" ht="15" hidden="false" customHeight="false" outlineLevel="0" collapsed="false">
      <c r="A1167" s="7" t="s">
        <v>2458</v>
      </c>
      <c r="B1167" s="7" t="s">
        <v>1882</v>
      </c>
      <c r="C1167" s="7" t="s">
        <v>86</v>
      </c>
      <c r="D1167" s="6" t="s">
        <v>80</v>
      </c>
      <c r="E1167" s="6" t="s">
        <v>1880</v>
      </c>
      <c r="F1167" s="7" t="str">
        <f aca="false">IF($D1167="","",IFERROR(IF(INDEX(Hierarchy!$B$2:$B$1295,MATCH($D1167,Hierarchy!$A$2:$A$1295,0))="","",INDEX(Hierarchy!$B$2:$B$1295,MATCH($D1167,Hierarchy!$A$2:$A$1295,0))),"NODE NOT FOUND"))</f>
        <v>Sub-region</v>
      </c>
      <c r="G1167" s="7" t="str">
        <f aca="false">IF($D1167="","",IFERROR(IF(INDEX(Hierarchy!$D$2:$D$1295,MATCH($D1167,Hierarchy!$A$2:$A$1295,0))="","",INDEX(Hierarchy!$D$2:$D$1295,MATCH($D1167,Hierarchy!$A$2:$A$1295,0))),"NODE NOT FOUND"))</f>
        <v>AMER</v>
      </c>
      <c r="H1167" s="7" t="str">
        <f aca="false">IF($D1167="","",IFERROR(IF(INDEX(Hierarchy!$E$2:$E$1295,MATCH($D1167,Hierarchy!$A$2:$A$1295,0))="","",INDEX(Hierarchy!$E$2:$E$1295,MATCH($D1167,Hierarchy!$A$2:$A$1295,0))),"NODE NOT FOUND"))</f>
        <v>North America (NORAM)</v>
      </c>
      <c r="I1167" s="7" t="str">
        <f aca="false">IF($D1167="","",IFERROR(IF(INDEX(Hierarchy!$F$2:$F$1295,MATCH($D1167,Hierarchy!$A$2:$A$1295,0))="","",INDEX(Hierarchy!$F$2:$F$1295,MATCH($D1167,Hierarchy!$A$2:$A$1295,0))),"NODE NOT FOUND"))</f>
        <v/>
      </c>
      <c r="J1167" s="7" t="str">
        <f aca="false">IF($D1167="","",IFERROR(IF(INDEX(Hierarchy!$G$2:$G$1295,MATCH($D1167,Hierarchy!$A$2:$A$1295,0))="","",INDEX(Hierarchy!$G$2:$G$1295,MATCH($D1167,Hierarchy!$A$2:$A$1295,0))),"NODE NOT FOUND"))</f>
        <v/>
      </c>
      <c r="K1167" s="7" t="str">
        <f aca="false">IF($D1167="","",IFERROR(IF(INDEX(Hierarchy!$H$2:$H$1295,MATCH($D1167,Hierarchy!$A$2:$A$1295,0))="","",INDEX(Hierarchy!$H$2:$H$1295,MATCH($D1167,Hierarchy!$A$2:$A$1295,0))),"NODE NOT FOUND"))</f>
        <v/>
      </c>
      <c r="L1167" s="7" t="str">
        <f aca="false">IF($D1167="","",IFERROR(IF(INDEX(Hierarchy!$I$2:$I$1295,MATCH($D1167,Hierarchy!$A$2:$A$1295,0))="","",INDEX(Hierarchy!$I$2:$I$1295,MATCH($D1167,Hierarchy!$A$2:$A$1295,0))),"NODE NOT FOUND"))</f>
        <v/>
      </c>
      <c r="M1167" s="17" t="str">
        <f aca="false">IF(B1167="Pre-seeded","Pre-seeded",IF(B1167="Review 2026-09-16","Added from review",IF(C1167="","New",IF(C1167=D1167,"","Changed"))))</f>
        <v>Changed</v>
      </c>
      <c r="N1167" s="7" t="str">
        <f aca="false">TRIM(SUBSTITUTE(SUBSTITUTE(SUBSTITUTE(" "&amp;TRIM(SUBSTITUTE(SUBSTITUTE(SUBSTITUTE(SUBSTITUTE(SUBSTITUTE(SUBSTITUTE(SUBSTITUTE(SUBSTITUTE(SUBSTITUTE(SUBSTITUTE(SUBSTITUTE(SUBSTITUTE(SUBSTITUTE(SUBSTITUTE(SUBSTITUTE(UPPER(TRIM(A1167)),"[MEMBER]",""),"{MEMBER}",""),"[MEMBER}",""),"MEMBER]",""),"(A)",""),"""",""),"“",""),"”",""),".",""),":",""),",",""),"–"," "),"-"," "),"/"," "),"&amp;"," AND "))&amp;" "," THE "," ")," TOTAL "," ")," OPERATIONS "," "))</f>
        <v>NORTH AMERICAN REGION</v>
      </c>
      <c r="O1167" s="17" t="str">
        <f aca="false">IF(COUNTIFS($N$2:$N$2000,N1167,$D$2:$D$2000,"&lt;&gt;"&amp;D1167)&gt;0,"CONFLICT","")</f>
        <v/>
      </c>
      <c r="P1167" s="7"/>
    </row>
    <row r="1168" customFormat="false" ht="15" hidden="false" customHeight="false" outlineLevel="0" collapsed="false">
      <c r="A1168" s="7" t="s">
        <v>2459</v>
      </c>
      <c r="B1168" s="7" t="s">
        <v>1879</v>
      </c>
      <c r="C1168" s="7"/>
      <c r="D1168" s="6" t="s">
        <v>1419</v>
      </c>
      <c r="E1168" s="6" t="s">
        <v>1880</v>
      </c>
      <c r="F1168" s="7" t="str">
        <f aca="false">IF($D1168="","",IFERROR(IF(INDEX(Hierarchy!$B$2:$B$1295,MATCH($D1168,Hierarchy!$A$2:$A$1295,0))="","",INDEX(Hierarchy!$B$2:$B$1295,MATCH($D1168,Hierarchy!$A$2:$A$1295,0))),"NODE NOT FOUND"))</f>
        <v>Sub-region</v>
      </c>
      <c r="G1168" s="7" t="str">
        <f aca="false">IF($D1168="","",IFERROR(IF(INDEX(Hierarchy!$D$2:$D$1295,MATCH($D1168,Hierarchy!$A$2:$A$1295,0))="","",INDEX(Hierarchy!$D$2:$D$1295,MATCH($D1168,Hierarchy!$A$2:$A$1295,0))),"NODE NOT FOUND"))</f>
        <v>APAC</v>
      </c>
      <c r="H1168" s="7" t="str">
        <f aca="false">IF($D1168="","",IFERROR(IF(INDEX(Hierarchy!$E$2:$E$1295,MATCH($D1168,Hierarchy!$A$2:$A$1295,0))="","",INDEX(Hierarchy!$E$2:$E$1295,MATCH($D1168,Hierarchy!$A$2:$A$1295,0))),"NODE NOT FOUND"))</f>
        <v>East Asia</v>
      </c>
      <c r="I1168" s="7" t="str">
        <f aca="false">IF($D1168="","",IFERROR(IF(INDEX(Hierarchy!$F$2:$F$1295,MATCH($D1168,Hierarchy!$A$2:$A$1295,0))="","",INDEX(Hierarchy!$F$2:$F$1295,MATCH($D1168,Hierarchy!$A$2:$A$1295,0))),"NODE NOT FOUND"))</f>
        <v/>
      </c>
      <c r="J1168" s="7" t="str">
        <f aca="false">IF($D1168="","",IFERROR(IF(INDEX(Hierarchy!$G$2:$G$1295,MATCH($D1168,Hierarchy!$A$2:$A$1295,0))="","",INDEX(Hierarchy!$G$2:$G$1295,MATCH($D1168,Hierarchy!$A$2:$A$1295,0))),"NODE NOT FOUND"))</f>
        <v/>
      </c>
      <c r="K1168" s="7" t="str">
        <f aca="false">IF($D1168="","",IFERROR(IF(INDEX(Hierarchy!$H$2:$H$1295,MATCH($D1168,Hierarchy!$A$2:$A$1295,0))="","",INDEX(Hierarchy!$H$2:$H$1295,MATCH($D1168,Hierarchy!$A$2:$A$1295,0))),"NODE NOT FOUND"))</f>
        <v/>
      </c>
      <c r="L1168" s="7" t="str">
        <f aca="false">IF($D1168="","",IFERROR(IF(INDEX(Hierarchy!$I$2:$I$1295,MATCH($D1168,Hierarchy!$A$2:$A$1295,0))="","",INDEX(Hierarchy!$I$2:$I$1295,MATCH($D1168,Hierarchy!$A$2:$A$1295,0))),"NODE NOT FOUND"))</f>
        <v/>
      </c>
      <c r="M1168" s="17" t="str">
        <f aca="false">IF(B1168="Pre-seeded","Pre-seeded",IF(B1168="Review 2026-09-16","Added from review",IF(C1168="","New",IF(C1168=D1168,"","Changed"))))</f>
        <v>Pre-seeded</v>
      </c>
      <c r="N1168" s="7" t="str">
        <f aca="false">TRIM(SUBSTITUTE(SUBSTITUTE(SUBSTITUTE(" "&amp;TRIM(SUBSTITUTE(SUBSTITUTE(SUBSTITUTE(SUBSTITUTE(SUBSTITUTE(SUBSTITUTE(SUBSTITUTE(SUBSTITUTE(SUBSTITUTE(SUBSTITUTE(SUBSTITUTE(SUBSTITUTE(SUBSTITUTE(SUBSTITUTE(SUBSTITUTE(UPPER(TRIM(A1168)),"[MEMBER]",""),"{MEMBER}",""),"[MEMBER}",""),"MEMBER]",""),"(A)",""),"""",""),"“",""),"”",""),".",""),":",""),",",""),"–"," "),"-"," "),"/"," "),"&amp;"," AND "))&amp;" "," THE "," ")," TOTAL "," ")," OPERATIONS "," "))</f>
        <v>NORTH ASIA</v>
      </c>
      <c r="O1168" s="17" t="str">
        <f aca="false">IF(COUNTIFS($N$2:$N$2000,N1168,$D$2:$D$2000,"&lt;&gt;"&amp;D1168)&gt;0,"CONFLICT","")</f>
        <v/>
      </c>
      <c r="P1168" s="7"/>
    </row>
    <row r="1169" customFormat="false" ht="15" hidden="false" customHeight="false" outlineLevel="0" collapsed="false">
      <c r="A1169" s="7" t="s">
        <v>891</v>
      </c>
      <c r="B1169" s="7" t="s">
        <v>1879</v>
      </c>
      <c r="C1169" s="7"/>
      <c r="D1169" s="6" t="s">
        <v>891</v>
      </c>
      <c r="E1169" s="6" t="s">
        <v>1880</v>
      </c>
      <c r="F1169" s="7" t="str">
        <f aca="false">IF($D1169="","",IFERROR(IF(INDEX(Hierarchy!$B$2:$B$1295,MATCH($D1169,Hierarchy!$A$2:$A$1295,0))="","",INDEX(Hierarchy!$B$2:$B$1295,MATCH($D1169,Hierarchy!$A$2:$A$1295,0))),"NODE NOT FOUND"))</f>
        <v>State/Province</v>
      </c>
      <c r="G1169" s="7" t="str">
        <f aca="false">IF($D1169="","",IFERROR(IF(INDEX(Hierarchy!$D$2:$D$1295,MATCH($D1169,Hierarchy!$A$2:$A$1295,0))="","",INDEX(Hierarchy!$D$2:$D$1295,MATCH($D1169,Hierarchy!$A$2:$A$1295,0))),"NODE NOT FOUND"))</f>
        <v>EMEA</v>
      </c>
      <c r="H1169" s="7" t="str">
        <f aca="false">IF($D1169="","",IFERROR(IF(INDEX(Hierarchy!$E$2:$E$1295,MATCH($D1169,Hierarchy!$A$2:$A$1295,0))="","",INDEX(Hierarchy!$E$2:$E$1295,MATCH($D1169,Hierarchy!$A$2:$A$1295,0))),"NODE NOT FOUND"))</f>
        <v>Europe</v>
      </c>
      <c r="I1169" s="7" t="str">
        <f aca="false">IF($D1169="","",IFERROR(IF(INDEX(Hierarchy!$F$2:$F$1295,MATCH($D1169,Hierarchy!$A$2:$A$1295,0))="","",INDEX(Hierarchy!$F$2:$F$1295,MATCH($D1169,Hierarchy!$A$2:$A$1295,0))),"NODE NOT FOUND"))</f>
        <v>Netherlands</v>
      </c>
      <c r="J1169" s="7" t="str">
        <f aca="false">IF($D1169="","",IFERROR(IF(INDEX(Hierarchy!$G$2:$G$1295,MATCH($D1169,Hierarchy!$A$2:$A$1295,0))="","",INDEX(Hierarchy!$G$2:$G$1295,MATCH($D1169,Hierarchy!$A$2:$A$1295,0))),"NODE NOT FOUND"))</f>
        <v>NLD</v>
      </c>
      <c r="K1169" s="7" t="str">
        <f aca="false">IF($D1169="","",IFERROR(IF(INDEX(Hierarchy!$H$2:$H$1295,MATCH($D1169,Hierarchy!$A$2:$A$1295,0))="","",INDEX(Hierarchy!$H$2:$H$1295,MATCH($D1169,Hierarchy!$A$2:$A$1295,0))),"NODE NOT FOUND"))</f>
        <v>North Brabant</v>
      </c>
      <c r="L1169" s="7" t="str">
        <f aca="false">IF($D1169="","",IFERROR(IF(INDEX(Hierarchy!$I$2:$I$1295,MATCH($D1169,Hierarchy!$A$2:$A$1295,0))="","",INDEX(Hierarchy!$I$2:$I$1295,MATCH($D1169,Hierarchy!$A$2:$A$1295,0))),"NODE NOT FOUND"))</f>
        <v/>
      </c>
      <c r="M1169" s="17" t="str">
        <f aca="false">IF(B1169="Pre-seeded","Pre-seeded",IF(B1169="Review 2026-09-16","Added from review",IF(C1169="","New",IF(C1169=D1169,"","Changed"))))</f>
        <v>Pre-seeded</v>
      </c>
      <c r="N1169" s="7" t="str">
        <f aca="false">TRIM(SUBSTITUTE(SUBSTITUTE(SUBSTITUTE(" "&amp;TRIM(SUBSTITUTE(SUBSTITUTE(SUBSTITUTE(SUBSTITUTE(SUBSTITUTE(SUBSTITUTE(SUBSTITUTE(SUBSTITUTE(SUBSTITUTE(SUBSTITUTE(SUBSTITUTE(SUBSTITUTE(SUBSTITUTE(SUBSTITUTE(SUBSTITUTE(UPPER(TRIM(A1169)),"[MEMBER]",""),"{MEMBER}",""),"[MEMBER}",""),"MEMBER]",""),"(A)",""),"""",""),"“",""),"”",""),".",""),":",""),",",""),"–"," "),"-"," "),"/"," "),"&amp;"," AND "))&amp;" "," THE "," ")," TOTAL "," ")," OPERATIONS "," "))</f>
        <v>NORTH BRABANT</v>
      </c>
      <c r="O1169" s="17" t="str">
        <f aca="false">IF(COUNTIFS($N$2:$N$2000,N1169,$D$2:$D$2000,"&lt;&gt;"&amp;D1169)&gt;0,"CONFLICT","")</f>
        <v/>
      </c>
      <c r="P1169" s="7"/>
    </row>
    <row r="1170" customFormat="false" ht="15" hidden="false" customHeight="false" outlineLevel="0" collapsed="false">
      <c r="A1170" s="7" t="s">
        <v>2460</v>
      </c>
      <c r="B1170" s="7" t="s">
        <v>1882</v>
      </c>
      <c r="C1170" s="7" t="s">
        <v>220</v>
      </c>
      <c r="D1170" s="6" t="s">
        <v>220</v>
      </c>
      <c r="E1170" s="6" t="s">
        <v>1880</v>
      </c>
      <c r="F1170" s="7" t="str">
        <f aca="false">IF($D1170="","",IFERROR(IF(INDEX(Hierarchy!$B$2:$B$1295,MATCH($D1170,Hierarchy!$A$2:$A$1295,0))="","",INDEX(Hierarchy!$B$2:$B$1295,MATCH($D1170,Hierarchy!$A$2:$A$1295,0))),"NODE NOT FOUND"))</f>
        <v>State/Province</v>
      </c>
      <c r="G1170" s="7" t="str">
        <f aca="false">IF($D1170="","",IFERROR(IF(INDEX(Hierarchy!$D$2:$D$1295,MATCH($D1170,Hierarchy!$A$2:$A$1295,0))="","",INDEX(Hierarchy!$D$2:$D$1295,MATCH($D1170,Hierarchy!$A$2:$A$1295,0))),"NODE NOT FOUND"))</f>
        <v>AMER</v>
      </c>
      <c r="H1170" s="7" t="str">
        <f aca="false">IF($D1170="","",IFERROR(IF(INDEX(Hierarchy!$E$2:$E$1295,MATCH($D1170,Hierarchy!$A$2:$A$1295,0))="","",INDEX(Hierarchy!$E$2:$E$1295,MATCH($D1170,Hierarchy!$A$2:$A$1295,0))),"NODE NOT FOUND"))</f>
        <v>North America (NORAM)</v>
      </c>
      <c r="I1170" s="7" t="str">
        <f aca="false">IF($D1170="","",IFERROR(IF(INDEX(Hierarchy!$F$2:$F$1295,MATCH($D1170,Hierarchy!$A$2:$A$1295,0))="","",INDEX(Hierarchy!$F$2:$F$1295,MATCH($D1170,Hierarchy!$A$2:$A$1295,0))),"NODE NOT FOUND"))</f>
        <v>United States</v>
      </c>
      <c r="J1170" s="7" t="str">
        <f aca="false">IF($D1170="","",IFERROR(IF(INDEX(Hierarchy!$G$2:$G$1295,MATCH($D1170,Hierarchy!$A$2:$A$1295,0))="","",INDEX(Hierarchy!$G$2:$G$1295,MATCH($D1170,Hierarchy!$A$2:$A$1295,0))),"NODE NOT FOUND"))</f>
        <v>USA</v>
      </c>
      <c r="K1170" s="7" t="str">
        <f aca="false">IF($D1170="","",IFERROR(IF(INDEX(Hierarchy!$H$2:$H$1295,MATCH($D1170,Hierarchy!$A$2:$A$1295,0))="","",INDEX(Hierarchy!$H$2:$H$1295,MATCH($D1170,Hierarchy!$A$2:$A$1295,0))),"NODE NOT FOUND"))</f>
        <v>North Carolina</v>
      </c>
      <c r="L1170" s="7" t="str">
        <f aca="false">IF($D1170="","",IFERROR(IF(INDEX(Hierarchy!$I$2:$I$1295,MATCH($D1170,Hierarchy!$A$2:$A$1295,0))="","",INDEX(Hierarchy!$I$2:$I$1295,MATCH($D1170,Hierarchy!$A$2:$A$1295,0))),"NODE NOT FOUND"))</f>
        <v/>
      </c>
      <c r="M1170" s="17" t="str">
        <f aca="false">IF(B1170="Pre-seeded","Pre-seeded",IF(B1170="Review 2026-09-16","Added from review",IF(C1170="","New",IF(C1170=D1170,"","Changed"))))</f>
        <v/>
      </c>
      <c r="N1170" s="7" t="str">
        <f aca="false">TRIM(SUBSTITUTE(SUBSTITUTE(SUBSTITUTE(" "&amp;TRIM(SUBSTITUTE(SUBSTITUTE(SUBSTITUTE(SUBSTITUTE(SUBSTITUTE(SUBSTITUTE(SUBSTITUTE(SUBSTITUTE(SUBSTITUTE(SUBSTITUTE(SUBSTITUTE(SUBSTITUTE(SUBSTITUTE(SUBSTITUTE(SUBSTITUTE(UPPER(TRIM(A1170)),"[MEMBER]",""),"{MEMBER}",""),"[MEMBER}",""),"MEMBER]",""),"(A)",""),"""",""),"“",""),"”",""),".",""),":",""),",",""),"–"," "),"-"," "),"/"," "),"&amp;"," AND "))&amp;" "," THE "," ")," TOTAL "," ")," OPERATIONS "," "))</f>
        <v>NORTH CAROLINA</v>
      </c>
      <c r="O1170" s="17" t="str">
        <f aca="false">IF(COUNTIFS($N$2:$N$2000,N1170,$D$2:$D$2000,"&lt;&gt;"&amp;D1170)&gt;0,"CONFLICT","")</f>
        <v/>
      </c>
      <c r="P1170" s="7"/>
    </row>
    <row r="1171" customFormat="false" ht="15" hidden="false" customHeight="false" outlineLevel="0" collapsed="false">
      <c r="A1171" s="7" t="s">
        <v>220</v>
      </c>
      <c r="B1171" s="7" t="s">
        <v>1882</v>
      </c>
      <c r="C1171" s="7" t="s">
        <v>220</v>
      </c>
      <c r="D1171" s="6" t="s">
        <v>220</v>
      </c>
      <c r="E1171" s="6" t="s">
        <v>1880</v>
      </c>
      <c r="F1171" s="7" t="str">
        <f aca="false">IF($D1171="","",IFERROR(IF(INDEX(Hierarchy!$B$2:$B$1295,MATCH($D1171,Hierarchy!$A$2:$A$1295,0))="","",INDEX(Hierarchy!$B$2:$B$1295,MATCH($D1171,Hierarchy!$A$2:$A$1295,0))),"NODE NOT FOUND"))</f>
        <v>State/Province</v>
      </c>
      <c r="G1171" s="7" t="str">
        <f aca="false">IF($D1171="","",IFERROR(IF(INDEX(Hierarchy!$D$2:$D$1295,MATCH($D1171,Hierarchy!$A$2:$A$1295,0))="","",INDEX(Hierarchy!$D$2:$D$1295,MATCH($D1171,Hierarchy!$A$2:$A$1295,0))),"NODE NOT FOUND"))</f>
        <v>AMER</v>
      </c>
      <c r="H1171" s="7" t="str">
        <f aca="false">IF($D1171="","",IFERROR(IF(INDEX(Hierarchy!$E$2:$E$1295,MATCH($D1171,Hierarchy!$A$2:$A$1295,0))="","",INDEX(Hierarchy!$E$2:$E$1295,MATCH($D1171,Hierarchy!$A$2:$A$1295,0))),"NODE NOT FOUND"))</f>
        <v>North America (NORAM)</v>
      </c>
      <c r="I1171" s="7" t="str">
        <f aca="false">IF($D1171="","",IFERROR(IF(INDEX(Hierarchy!$F$2:$F$1295,MATCH($D1171,Hierarchy!$A$2:$A$1295,0))="","",INDEX(Hierarchy!$F$2:$F$1295,MATCH($D1171,Hierarchy!$A$2:$A$1295,0))),"NODE NOT FOUND"))</f>
        <v>United States</v>
      </c>
      <c r="J1171" s="7" t="str">
        <f aca="false">IF($D1171="","",IFERROR(IF(INDEX(Hierarchy!$G$2:$G$1295,MATCH($D1171,Hierarchy!$A$2:$A$1295,0))="","",INDEX(Hierarchy!$G$2:$G$1295,MATCH($D1171,Hierarchy!$A$2:$A$1295,0))),"NODE NOT FOUND"))</f>
        <v>USA</v>
      </c>
      <c r="K1171" s="7" t="str">
        <f aca="false">IF($D1171="","",IFERROR(IF(INDEX(Hierarchy!$H$2:$H$1295,MATCH($D1171,Hierarchy!$A$2:$A$1295,0))="","",INDEX(Hierarchy!$H$2:$H$1295,MATCH($D1171,Hierarchy!$A$2:$A$1295,0))),"NODE NOT FOUND"))</f>
        <v>North Carolina</v>
      </c>
      <c r="L1171" s="7" t="str">
        <f aca="false">IF($D1171="","",IFERROR(IF(INDEX(Hierarchy!$I$2:$I$1295,MATCH($D1171,Hierarchy!$A$2:$A$1295,0))="","",INDEX(Hierarchy!$I$2:$I$1295,MATCH($D1171,Hierarchy!$A$2:$A$1295,0))),"NODE NOT FOUND"))</f>
        <v/>
      </c>
      <c r="M1171" s="17" t="str">
        <f aca="false">IF(B1171="Pre-seeded","Pre-seeded",IF(B1171="Review 2026-09-16","Added from review",IF(C1171="","New",IF(C1171=D1171,"","Changed"))))</f>
        <v/>
      </c>
      <c r="N1171" s="7" t="str">
        <f aca="false">TRIM(SUBSTITUTE(SUBSTITUTE(SUBSTITUTE(" "&amp;TRIM(SUBSTITUTE(SUBSTITUTE(SUBSTITUTE(SUBSTITUTE(SUBSTITUTE(SUBSTITUTE(SUBSTITUTE(SUBSTITUTE(SUBSTITUTE(SUBSTITUTE(SUBSTITUTE(SUBSTITUTE(SUBSTITUTE(SUBSTITUTE(SUBSTITUTE(UPPER(TRIM(A1171)),"[MEMBER]",""),"{MEMBER}",""),"[MEMBER}",""),"MEMBER]",""),"(A)",""),"""",""),"“",""),"”",""),".",""),":",""),",",""),"–"," "),"-"," "),"/"," "),"&amp;"," AND "))&amp;" "," THE "," ")," TOTAL "," ")," OPERATIONS "," "))</f>
        <v>NORTH CAROLINA</v>
      </c>
      <c r="O1171" s="17" t="str">
        <f aca="false">IF(COUNTIFS($N$2:$N$2000,N1171,$D$2:$D$2000,"&lt;&gt;"&amp;D1171)&gt;0,"CONFLICT","")</f>
        <v/>
      </c>
      <c r="P1171" s="7"/>
    </row>
    <row r="1172" customFormat="false" ht="15" hidden="false" customHeight="false" outlineLevel="0" collapsed="false">
      <c r="A1172" s="7" t="s">
        <v>1411</v>
      </c>
      <c r="B1172" s="7" t="s">
        <v>1879</v>
      </c>
      <c r="C1172" s="7"/>
      <c r="D1172" s="6" t="s">
        <v>1411</v>
      </c>
      <c r="E1172" s="6" t="s">
        <v>1880</v>
      </c>
      <c r="F1172" s="7" t="str">
        <f aca="false">IF($D1172="","",IFERROR(IF(INDEX(Hierarchy!$B$2:$B$1295,MATCH($D1172,Hierarchy!$A$2:$A$1295,0))="","",INDEX(Hierarchy!$B$2:$B$1295,MATCH($D1172,Hierarchy!$A$2:$A$1295,0))),"NODE NOT FOUND"))</f>
        <v>State/Province</v>
      </c>
      <c r="G1172" s="7" t="str">
        <f aca="false">IF($D1172="","",IFERROR(IF(INDEX(Hierarchy!$D$2:$D$1295,MATCH($D1172,Hierarchy!$A$2:$A$1295,0))="","",INDEX(Hierarchy!$D$2:$D$1295,MATCH($D1172,Hierarchy!$A$2:$A$1295,0))),"NODE NOT FOUND"))</f>
        <v>APAC</v>
      </c>
      <c r="H1172" s="7" t="str">
        <f aca="false">IF($D1172="","",IFERROR(IF(INDEX(Hierarchy!$E$2:$E$1295,MATCH($D1172,Hierarchy!$A$2:$A$1295,0))="","",INDEX(Hierarchy!$E$2:$E$1295,MATCH($D1172,Hierarchy!$A$2:$A$1295,0))),"NODE NOT FOUND"))</f>
        <v>South Asia</v>
      </c>
      <c r="I1172" s="7" t="str">
        <f aca="false">IF($D1172="","",IFERROR(IF(INDEX(Hierarchy!$F$2:$F$1295,MATCH($D1172,Hierarchy!$A$2:$A$1295,0))="","",INDEX(Hierarchy!$F$2:$F$1295,MATCH($D1172,Hierarchy!$A$2:$A$1295,0))),"NODE NOT FOUND"))</f>
        <v>Sri Lanka</v>
      </c>
      <c r="J1172" s="7" t="str">
        <f aca="false">IF($D1172="","",IFERROR(IF(INDEX(Hierarchy!$G$2:$G$1295,MATCH($D1172,Hierarchy!$A$2:$A$1295,0))="","",INDEX(Hierarchy!$G$2:$G$1295,MATCH($D1172,Hierarchy!$A$2:$A$1295,0))),"NODE NOT FOUND"))</f>
        <v>LKA</v>
      </c>
      <c r="K1172" s="7" t="str">
        <f aca="false">IF($D1172="","",IFERROR(IF(INDEX(Hierarchy!$H$2:$H$1295,MATCH($D1172,Hierarchy!$A$2:$A$1295,0))="","",INDEX(Hierarchy!$H$2:$H$1295,MATCH($D1172,Hierarchy!$A$2:$A$1295,0))),"NODE NOT FOUND"))</f>
        <v>North Central Province (Sri Lanka)</v>
      </c>
      <c r="L1172" s="7" t="str">
        <f aca="false">IF($D1172="","",IFERROR(IF(INDEX(Hierarchy!$I$2:$I$1295,MATCH($D1172,Hierarchy!$A$2:$A$1295,0))="","",INDEX(Hierarchy!$I$2:$I$1295,MATCH($D1172,Hierarchy!$A$2:$A$1295,0))),"NODE NOT FOUND"))</f>
        <v/>
      </c>
      <c r="M1172" s="17" t="str">
        <f aca="false">IF(B1172="Pre-seeded","Pre-seeded",IF(B1172="Review 2026-09-16","Added from review",IF(C1172="","New",IF(C1172=D1172,"","Changed"))))</f>
        <v>Pre-seeded</v>
      </c>
      <c r="N1172" s="7" t="str">
        <f aca="false">TRIM(SUBSTITUTE(SUBSTITUTE(SUBSTITUTE(" "&amp;TRIM(SUBSTITUTE(SUBSTITUTE(SUBSTITUTE(SUBSTITUTE(SUBSTITUTE(SUBSTITUTE(SUBSTITUTE(SUBSTITUTE(SUBSTITUTE(SUBSTITUTE(SUBSTITUTE(SUBSTITUTE(SUBSTITUTE(SUBSTITUTE(SUBSTITUTE(UPPER(TRIM(A1172)),"[MEMBER]",""),"{MEMBER}",""),"[MEMBER}",""),"MEMBER]",""),"(A)",""),"""",""),"“",""),"”",""),".",""),":",""),",",""),"–"," "),"-"," "),"/"," "),"&amp;"," AND "))&amp;" "," THE "," ")," TOTAL "," ")," OPERATIONS "," "))</f>
        <v>NORTH CENTRAL PROVINCE (SRI LANKA)</v>
      </c>
      <c r="O1172" s="17" t="str">
        <f aca="false">IF(COUNTIFS($N$2:$N$2000,N1172,$D$2:$D$2000,"&lt;&gt;"&amp;D1172)&gt;0,"CONFLICT","")</f>
        <v/>
      </c>
      <c r="P1172" s="7"/>
    </row>
    <row r="1173" customFormat="false" ht="15" hidden="false" customHeight="false" outlineLevel="0" collapsed="false">
      <c r="A1173" s="7" t="s">
        <v>1495</v>
      </c>
      <c r="B1173" s="7" t="s">
        <v>1879</v>
      </c>
      <c r="C1173" s="7"/>
      <c r="D1173" s="6" t="s">
        <v>1495</v>
      </c>
      <c r="E1173" s="6" t="s">
        <v>1880</v>
      </c>
      <c r="F1173" s="7" t="str">
        <f aca="false">IF($D1173="","",IFERROR(IF(INDEX(Hierarchy!$B$2:$B$1295,MATCH($D1173,Hierarchy!$A$2:$A$1295,0))="","",INDEX(Hierarchy!$B$2:$B$1295,MATCH($D1173,Hierarchy!$A$2:$A$1295,0))),"NODE NOT FOUND"))</f>
        <v>Sub-national region</v>
      </c>
      <c r="G1173" s="7" t="str">
        <f aca="false">IF($D1173="","",IFERROR(IF(INDEX(Hierarchy!$D$2:$D$1295,MATCH($D1173,Hierarchy!$A$2:$A$1295,0))="","",INDEX(Hierarchy!$D$2:$D$1295,MATCH($D1173,Hierarchy!$A$2:$A$1295,0))),"NODE NOT FOUND"))</f>
        <v>APAC</v>
      </c>
      <c r="H1173" s="7" t="str">
        <f aca="false">IF($D1173="","",IFERROR(IF(INDEX(Hierarchy!$E$2:$E$1295,MATCH($D1173,Hierarchy!$A$2:$A$1295,0))="","",INDEX(Hierarchy!$E$2:$E$1295,MATCH($D1173,Hierarchy!$A$2:$A$1295,0))),"NODE NOT FOUND"))</f>
        <v>East Asia</v>
      </c>
      <c r="I1173" s="7" t="str">
        <f aca="false">IF($D1173="","",IFERROR(IF(INDEX(Hierarchy!$F$2:$F$1295,MATCH($D1173,Hierarchy!$A$2:$A$1295,0))="","",INDEX(Hierarchy!$F$2:$F$1295,MATCH($D1173,Hierarchy!$A$2:$A$1295,0))),"NODE NOT FOUND"))</f>
        <v>China</v>
      </c>
      <c r="J1173" s="7" t="str">
        <f aca="false">IF($D1173="","",IFERROR(IF(INDEX(Hierarchy!$G$2:$G$1295,MATCH($D1173,Hierarchy!$A$2:$A$1295,0))="","",INDEX(Hierarchy!$G$2:$G$1295,MATCH($D1173,Hierarchy!$A$2:$A$1295,0))),"NODE NOT FOUND"))</f>
        <v>CHN</v>
      </c>
      <c r="K1173" s="7" t="str">
        <f aca="false">IF($D1173="","",IFERROR(IF(INDEX(Hierarchy!$H$2:$H$1295,MATCH($D1173,Hierarchy!$A$2:$A$1295,0))="","",INDEX(Hierarchy!$H$2:$H$1295,MATCH($D1173,Hierarchy!$A$2:$A$1295,0))),"NODE NOT FOUND"))</f>
        <v/>
      </c>
      <c r="L1173" s="7" t="str">
        <f aca="false">IF($D1173="","",IFERROR(IF(INDEX(Hierarchy!$I$2:$I$1295,MATCH($D1173,Hierarchy!$A$2:$A$1295,0))="","",INDEX(Hierarchy!$I$2:$I$1295,MATCH($D1173,Hierarchy!$A$2:$A$1295,0))),"NODE NOT FOUND"))</f>
        <v/>
      </c>
      <c r="M1173" s="17" t="str">
        <f aca="false">IF(B1173="Pre-seeded","Pre-seeded",IF(B1173="Review 2026-09-16","Added from review",IF(C1173="","New",IF(C1173=D1173,"","Changed"))))</f>
        <v>Pre-seeded</v>
      </c>
      <c r="N1173" s="7" t="str">
        <f aca="false">TRIM(SUBSTITUTE(SUBSTITUTE(SUBSTITUTE(" "&amp;TRIM(SUBSTITUTE(SUBSTITUTE(SUBSTITUTE(SUBSTITUTE(SUBSTITUTE(SUBSTITUTE(SUBSTITUTE(SUBSTITUTE(SUBSTITUTE(SUBSTITUTE(SUBSTITUTE(SUBSTITUTE(SUBSTITUTE(SUBSTITUTE(SUBSTITUTE(UPPER(TRIM(A1173)),"[MEMBER]",""),"{MEMBER}",""),"[MEMBER}",""),"MEMBER]",""),"(A)",""),"""",""),"“",""),"”",""),".",""),":",""),",",""),"–"," "),"-"," "),"/"," "),"&amp;"," AND "))&amp;" "," THE "," ")," TOTAL "," ")," OPERATIONS "," "))</f>
        <v>NORTH CHINA</v>
      </c>
      <c r="O1173" s="17" t="str">
        <f aca="false">IF(COUNTIFS($N$2:$N$2000,N1173,$D$2:$D$2000,"&lt;&gt;"&amp;D1173)&gt;0,"CONFLICT","")</f>
        <v/>
      </c>
      <c r="P1173" s="7"/>
    </row>
    <row r="1174" customFormat="false" ht="15" hidden="false" customHeight="false" outlineLevel="0" collapsed="false">
      <c r="A1174" s="7" t="s">
        <v>1571</v>
      </c>
      <c r="B1174" s="7" t="s">
        <v>1879</v>
      </c>
      <c r="C1174" s="7"/>
      <c r="D1174" s="6" t="s">
        <v>1571</v>
      </c>
      <c r="E1174" s="6" t="s">
        <v>1880</v>
      </c>
      <c r="F1174" s="7" t="str">
        <f aca="false">IF($D1174="","",IFERROR(IF(INDEX(Hierarchy!$B$2:$B$1295,MATCH($D1174,Hierarchy!$A$2:$A$1295,0))="","",INDEX(Hierarchy!$B$2:$B$1295,MATCH($D1174,Hierarchy!$A$2:$A$1295,0))),"NODE NOT FOUND"))</f>
        <v>State/Province</v>
      </c>
      <c r="G1174" s="7" t="str">
        <f aca="false">IF($D1174="","",IFERROR(IF(INDEX(Hierarchy!$D$2:$D$1295,MATCH($D1174,Hierarchy!$A$2:$A$1295,0))="","",INDEX(Hierarchy!$D$2:$D$1295,MATCH($D1174,Hierarchy!$A$2:$A$1295,0))),"NODE NOT FOUND"))</f>
        <v>APAC</v>
      </c>
      <c r="H1174" s="7" t="str">
        <f aca="false">IF($D1174="","",IFERROR(IF(INDEX(Hierarchy!$E$2:$E$1295,MATCH($D1174,Hierarchy!$A$2:$A$1295,0))="","",INDEX(Hierarchy!$E$2:$E$1295,MATCH($D1174,Hierarchy!$A$2:$A$1295,0))),"NODE NOT FOUND"))</f>
        <v>East Asia</v>
      </c>
      <c r="I1174" s="7" t="str">
        <f aca="false">IF($D1174="","",IFERROR(IF(INDEX(Hierarchy!$F$2:$F$1295,MATCH($D1174,Hierarchy!$A$2:$A$1295,0))="","",INDEX(Hierarchy!$F$2:$F$1295,MATCH($D1174,Hierarchy!$A$2:$A$1295,0))),"NODE NOT FOUND"))</f>
        <v>South Korea</v>
      </c>
      <c r="J1174" s="7" t="str">
        <f aca="false">IF($D1174="","",IFERROR(IF(INDEX(Hierarchy!$G$2:$G$1295,MATCH($D1174,Hierarchy!$A$2:$A$1295,0))="","",INDEX(Hierarchy!$G$2:$G$1295,MATCH($D1174,Hierarchy!$A$2:$A$1295,0))),"NODE NOT FOUND"))</f>
        <v>KOR</v>
      </c>
      <c r="K1174" s="7" t="str">
        <f aca="false">IF($D1174="","",IFERROR(IF(INDEX(Hierarchy!$H$2:$H$1295,MATCH($D1174,Hierarchy!$A$2:$A$1295,0))="","",INDEX(Hierarchy!$H$2:$H$1295,MATCH($D1174,Hierarchy!$A$2:$A$1295,0))),"NODE NOT FOUND"))</f>
        <v>North Chungcheong</v>
      </c>
      <c r="L1174" s="7" t="str">
        <f aca="false">IF($D1174="","",IFERROR(IF(INDEX(Hierarchy!$I$2:$I$1295,MATCH($D1174,Hierarchy!$A$2:$A$1295,0))="","",INDEX(Hierarchy!$I$2:$I$1295,MATCH($D1174,Hierarchy!$A$2:$A$1295,0))),"NODE NOT FOUND"))</f>
        <v/>
      </c>
      <c r="M1174" s="17" t="str">
        <f aca="false">IF(B1174="Pre-seeded","Pre-seeded",IF(B1174="Review 2026-09-16","Added from review",IF(C1174="","New",IF(C1174=D1174,"","Changed"))))</f>
        <v>Pre-seeded</v>
      </c>
      <c r="N1174" s="7" t="str">
        <f aca="false">TRIM(SUBSTITUTE(SUBSTITUTE(SUBSTITUTE(" "&amp;TRIM(SUBSTITUTE(SUBSTITUTE(SUBSTITUTE(SUBSTITUTE(SUBSTITUTE(SUBSTITUTE(SUBSTITUTE(SUBSTITUTE(SUBSTITUTE(SUBSTITUTE(SUBSTITUTE(SUBSTITUTE(SUBSTITUTE(SUBSTITUTE(SUBSTITUTE(UPPER(TRIM(A1174)),"[MEMBER]",""),"{MEMBER}",""),"[MEMBER}",""),"MEMBER]",""),"(A)",""),"""",""),"“",""),"”",""),".",""),":",""),",",""),"–"," "),"-"," "),"/"," "),"&amp;"," AND "))&amp;" "," THE "," ")," TOTAL "," ")," OPERATIONS "," "))</f>
        <v>NORTH CHUNGCHEONG</v>
      </c>
      <c r="O1174" s="17" t="str">
        <f aca="false">IF(COUNTIFS($N$2:$N$2000,N1174,$D$2:$D$2000,"&lt;&gt;"&amp;D1174)&gt;0,"CONFLICT","")</f>
        <v/>
      </c>
      <c r="P1174" s="7"/>
    </row>
    <row r="1175" customFormat="false" ht="15" hidden="false" customHeight="false" outlineLevel="0" collapsed="false">
      <c r="A1175" s="7" t="s">
        <v>223</v>
      </c>
      <c r="B1175" s="7" t="s">
        <v>1882</v>
      </c>
      <c r="C1175" s="7" t="s">
        <v>223</v>
      </c>
      <c r="D1175" s="6" t="s">
        <v>223</v>
      </c>
      <c r="E1175" s="6" t="s">
        <v>1880</v>
      </c>
      <c r="F1175" s="7" t="str">
        <f aca="false">IF($D1175="","",IFERROR(IF(INDEX(Hierarchy!$B$2:$B$1295,MATCH($D1175,Hierarchy!$A$2:$A$1295,0))="","",INDEX(Hierarchy!$B$2:$B$1295,MATCH($D1175,Hierarchy!$A$2:$A$1295,0))),"NODE NOT FOUND"))</f>
        <v>State/Province</v>
      </c>
      <c r="G1175" s="7" t="str">
        <f aca="false">IF($D1175="","",IFERROR(IF(INDEX(Hierarchy!$D$2:$D$1295,MATCH($D1175,Hierarchy!$A$2:$A$1295,0))="","",INDEX(Hierarchy!$D$2:$D$1295,MATCH($D1175,Hierarchy!$A$2:$A$1295,0))),"NODE NOT FOUND"))</f>
        <v>AMER</v>
      </c>
      <c r="H1175" s="7" t="str">
        <f aca="false">IF($D1175="","",IFERROR(IF(INDEX(Hierarchy!$E$2:$E$1295,MATCH($D1175,Hierarchy!$A$2:$A$1295,0))="","",INDEX(Hierarchy!$E$2:$E$1295,MATCH($D1175,Hierarchy!$A$2:$A$1295,0))),"NODE NOT FOUND"))</f>
        <v>North America (NORAM)</v>
      </c>
      <c r="I1175" s="7" t="str">
        <f aca="false">IF($D1175="","",IFERROR(IF(INDEX(Hierarchy!$F$2:$F$1295,MATCH($D1175,Hierarchy!$A$2:$A$1295,0))="","",INDEX(Hierarchy!$F$2:$F$1295,MATCH($D1175,Hierarchy!$A$2:$A$1295,0))),"NODE NOT FOUND"))</f>
        <v>United States</v>
      </c>
      <c r="J1175" s="7" t="str">
        <f aca="false">IF($D1175="","",IFERROR(IF(INDEX(Hierarchy!$G$2:$G$1295,MATCH($D1175,Hierarchy!$A$2:$A$1295,0))="","",INDEX(Hierarchy!$G$2:$G$1295,MATCH($D1175,Hierarchy!$A$2:$A$1295,0))),"NODE NOT FOUND"))</f>
        <v>USA</v>
      </c>
      <c r="K1175" s="7" t="str">
        <f aca="false">IF($D1175="","",IFERROR(IF(INDEX(Hierarchy!$H$2:$H$1295,MATCH($D1175,Hierarchy!$A$2:$A$1295,0))="","",INDEX(Hierarchy!$H$2:$H$1295,MATCH($D1175,Hierarchy!$A$2:$A$1295,0))),"NODE NOT FOUND"))</f>
        <v>North Dakota</v>
      </c>
      <c r="L1175" s="7" t="str">
        <f aca="false">IF($D1175="","",IFERROR(IF(INDEX(Hierarchy!$I$2:$I$1295,MATCH($D1175,Hierarchy!$A$2:$A$1295,0))="","",INDEX(Hierarchy!$I$2:$I$1295,MATCH($D1175,Hierarchy!$A$2:$A$1295,0))),"NODE NOT FOUND"))</f>
        <v/>
      </c>
      <c r="M1175" s="17" t="str">
        <f aca="false">IF(B1175="Pre-seeded","Pre-seeded",IF(B1175="Review 2026-09-16","Added from review",IF(C1175="","New",IF(C1175=D1175,"","Changed"))))</f>
        <v/>
      </c>
      <c r="N1175" s="7" t="str">
        <f aca="false">TRIM(SUBSTITUTE(SUBSTITUTE(SUBSTITUTE(" "&amp;TRIM(SUBSTITUTE(SUBSTITUTE(SUBSTITUTE(SUBSTITUTE(SUBSTITUTE(SUBSTITUTE(SUBSTITUTE(SUBSTITUTE(SUBSTITUTE(SUBSTITUTE(SUBSTITUTE(SUBSTITUTE(SUBSTITUTE(SUBSTITUTE(SUBSTITUTE(UPPER(TRIM(A1175)),"[MEMBER]",""),"{MEMBER}",""),"[MEMBER}",""),"MEMBER]",""),"(A)",""),"""",""),"“",""),"”",""),".",""),":",""),",",""),"–"," "),"-"," "),"/"," "),"&amp;"," AND "))&amp;" "," THE "," ")," TOTAL "," ")," OPERATIONS "," "))</f>
        <v>NORTH DAKOTA</v>
      </c>
      <c r="O1175" s="17" t="str">
        <f aca="false">IF(COUNTIFS($N$2:$N$2000,N1175,$D$2:$D$2000,"&lt;&gt;"&amp;D1175)&gt;0,"CONFLICT","")</f>
        <v/>
      </c>
      <c r="P1175" s="7"/>
    </row>
    <row r="1176" customFormat="false" ht="15" hidden="false" customHeight="false" outlineLevel="0" collapsed="false">
      <c r="A1176" s="7" t="s">
        <v>2461</v>
      </c>
      <c r="B1176" s="7" t="s">
        <v>1882</v>
      </c>
      <c r="C1176" s="7" t="s">
        <v>2461</v>
      </c>
      <c r="D1176" s="6" t="s">
        <v>104</v>
      </c>
      <c r="E1176" s="6" t="s">
        <v>1880</v>
      </c>
      <c r="F1176" s="7" t="str">
        <f aca="false">IF($D1176="","",IFERROR(IF(INDEX(Hierarchy!$B$2:$B$1295,MATCH($D1176,Hierarchy!$A$2:$A$1295,0))="","",INDEX(Hierarchy!$B$2:$B$1295,MATCH($D1176,Hierarchy!$A$2:$A$1295,0))),"NODE NOT FOUND"))</f>
        <v>Sub-national region</v>
      </c>
      <c r="G1176" s="7" t="str">
        <f aca="false">IF($D1176="","",IFERROR(IF(INDEX(Hierarchy!$D$2:$D$1295,MATCH($D1176,Hierarchy!$A$2:$A$1295,0))="","",INDEX(Hierarchy!$D$2:$D$1295,MATCH($D1176,Hierarchy!$A$2:$A$1295,0))),"NODE NOT FOUND"))</f>
        <v>AMER</v>
      </c>
      <c r="H1176" s="7" t="str">
        <f aca="false">IF($D1176="","",IFERROR(IF(INDEX(Hierarchy!$E$2:$E$1295,MATCH($D1176,Hierarchy!$A$2:$A$1295,0))="","",INDEX(Hierarchy!$E$2:$E$1295,MATCH($D1176,Hierarchy!$A$2:$A$1295,0))),"NODE NOT FOUND"))</f>
        <v>North America (NORAM)</v>
      </c>
      <c r="I1176" s="7" t="str">
        <f aca="false">IF($D1176="","",IFERROR(IF(INDEX(Hierarchy!$F$2:$F$1295,MATCH($D1176,Hierarchy!$A$2:$A$1295,0))="","",INDEX(Hierarchy!$F$2:$F$1295,MATCH($D1176,Hierarchy!$A$2:$A$1295,0))),"NODE NOT FOUND"))</f>
        <v>United States</v>
      </c>
      <c r="J1176" s="7" t="str">
        <f aca="false">IF($D1176="","",IFERROR(IF(INDEX(Hierarchy!$G$2:$G$1295,MATCH($D1176,Hierarchy!$A$2:$A$1295,0))="","",INDEX(Hierarchy!$G$2:$G$1295,MATCH($D1176,Hierarchy!$A$2:$A$1295,0))),"NODE NOT FOUND"))</f>
        <v>USA</v>
      </c>
      <c r="K1176" s="7" t="str">
        <f aca="false">IF($D1176="","",IFERROR(IF(INDEX(Hierarchy!$H$2:$H$1295,MATCH($D1176,Hierarchy!$A$2:$A$1295,0))="","",INDEX(Hierarchy!$H$2:$H$1295,MATCH($D1176,Hierarchy!$A$2:$A$1295,0))),"NODE NOT FOUND"))</f>
        <v/>
      </c>
      <c r="L1176" s="7" t="str">
        <f aca="false">IF($D1176="","",IFERROR(IF(INDEX(Hierarchy!$I$2:$I$1295,MATCH($D1176,Hierarchy!$A$2:$A$1295,0))="","",INDEX(Hierarchy!$I$2:$I$1295,MATCH($D1176,Hierarchy!$A$2:$A$1295,0))),"NODE NOT FOUND"))</f>
        <v/>
      </c>
      <c r="M1176" s="17" t="str">
        <f aca="false">IF(B1176="Pre-seeded","Pre-seeded",IF(B1176="Review 2026-09-16","Added from review",IF(C1176="","New",IF(C1176=D1176,"","Changed"))))</f>
        <v>Changed</v>
      </c>
      <c r="N1176" s="7" t="str">
        <f aca="false">TRIM(SUBSTITUTE(SUBSTITUTE(SUBSTITUTE(" "&amp;TRIM(SUBSTITUTE(SUBSTITUTE(SUBSTITUTE(SUBSTITUTE(SUBSTITUTE(SUBSTITUTE(SUBSTITUTE(SUBSTITUTE(SUBSTITUTE(SUBSTITUTE(SUBSTITUTE(SUBSTITUTE(SUBSTITUTE(SUBSTITUTE(SUBSTITUTE(UPPER(TRIM(A1176)),"[MEMBER]",""),"{MEMBER}",""),"[MEMBER}",""),"MEMBER]",""),"(A)",""),"""",""),"“",""),"”",""),".",""),":",""),",",""),"–"," "),"-"," "),"/"," "),"&amp;"," AND "))&amp;" "," THE "," ")," TOTAL "," ")," OPERATIONS "," "))</f>
        <v>NORTH EAST</v>
      </c>
      <c r="O1176" s="17" t="str">
        <f aca="false">IF(COUNTIFS($N$2:$N$2000,N1176,$D$2:$D$2000,"&lt;&gt;"&amp;D1176)&gt;0,"CONFLICT","")</f>
        <v/>
      </c>
      <c r="P1176" s="7"/>
    </row>
    <row r="1177" customFormat="false" ht="15" hidden="false" customHeight="false" outlineLevel="0" collapsed="false">
      <c r="A1177" s="7" t="s">
        <v>670</v>
      </c>
      <c r="B1177" s="7" t="s">
        <v>1879</v>
      </c>
      <c r="C1177" s="7"/>
      <c r="D1177" s="6" t="s">
        <v>670</v>
      </c>
      <c r="E1177" s="6" t="s">
        <v>1880</v>
      </c>
      <c r="F1177" s="7" t="str">
        <f aca="false">IF($D1177="","",IFERROR(IF(INDEX(Hierarchy!$B$2:$B$1295,MATCH($D1177,Hierarchy!$A$2:$A$1295,0))="","",INDEX(Hierarchy!$B$2:$B$1295,MATCH($D1177,Hierarchy!$A$2:$A$1295,0))),"NODE NOT FOUND"))</f>
        <v>Sub-national region</v>
      </c>
      <c r="G1177" s="7" t="str">
        <f aca="false">IF($D1177="","",IFERROR(IF(INDEX(Hierarchy!$D$2:$D$1295,MATCH($D1177,Hierarchy!$A$2:$A$1295,0))="","",INDEX(Hierarchy!$D$2:$D$1295,MATCH($D1177,Hierarchy!$A$2:$A$1295,0))),"NODE NOT FOUND"))</f>
        <v>EMEA</v>
      </c>
      <c r="H1177" s="7" t="str">
        <f aca="false">IF($D1177="","",IFERROR(IF(INDEX(Hierarchy!$E$2:$E$1295,MATCH($D1177,Hierarchy!$A$2:$A$1295,0))="","",INDEX(Hierarchy!$E$2:$E$1295,MATCH($D1177,Hierarchy!$A$2:$A$1295,0))),"NODE NOT FOUND"))</f>
        <v>Europe</v>
      </c>
      <c r="I1177" s="7" t="str">
        <f aca="false">IF($D1177="","",IFERROR(IF(INDEX(Hierarchy!$F$2:$F$1295,MATCH($D1177,Hierarchy!$A$2:$A$1295,0))="","",INDEX(Hierarchy!$F$2:$F$1295,MATCH($D1177,Hierarchy!$A$2:$A$1295,0))),"NODE NOT FOUND"))</f>
        <v>United Kingdom</v>
      </c>
      <c r="J1177" s="7" t="str">
        <f aca="false">IF($D1177="","",IFERROR(IF(INDEX(Hierarchy!$G$2:$G$1295,MATCH($D1177,Hierarchy!$A$2:$A$1295,0))="","",INDEX(Hierarchy!$G$2:$G$1295,MATCH($D1177,Hierarchy!$A$2:$A$1295,0))),"NODE NOT FOUND"))</f>
        <v>GBR</v>
      </c>
      <c r="K1177" s="7" t="str">
        <f aca="false">IF($D1177="","",IFERROR(IF(INDEX(Hierarchy!$H$2:$H$1295,MATCH($D1177,Hierarchy!$A$2:$A$1295,0))="","",INDEX(Hierarchy!$H$2:$H$1295,MATCH($D1177,Hierarchy!$A$2:$A$1295,0))),"NODE NOT FOUND"))</f>
        <v>England</v>
      </c>
      <c r="L1177" s="7" t="str">
        <f aca="false">IF($D1177="","",IFERROR(IF(INDEX(Hierarchy!$I$2:$I$1295,MATCH($D1177,Hierarchy!$A$2:$A$1295,0))="","",INDEX(Hierarchy!$I$2:$I$1295,MATCH($D1177,Hierarchy!$A$2:$A$1295,0))),"NODE NOT FOUND"))</f>
        <v/>
      </c>
      <c r="M1177" s="17" t="str">
        <f aca="false">IF(B1177="Pre-seeded","Pre-seeded",IF(B1177="Review 2026-09-16","Added from review",IF(C1177="","New",IF(C1177=D1177,"","Changed"))))</f>
        <v>Pre-seeded</v>
      </c>
      <c r="N1177" s="7" t="str">
        <f aca="false">TRIM(SUBSTITUTE(SUBSTITUTE(SUBSTITUTE(" "&amp;TRIM(SUBSTITUTE(SUBSTITUTE(SUBSTITUTE(SUBSTITUTE(SUBSTITUTE(SUBSTITUTE(SUBSTITUTE(SUBSTITUTE(SUBSTITUTE(SUBSTITUTE(SUBSTITUTE(SUBSTITUTE(SUBSTITUTE(SUBSTITUTE(SUBSTITUTE(UPPER(TRIM(A1177)),"[MEMBER]",""),"{MEMBER}",""),"[MEMBER}",""),"MEMBER]",""),"(A)",""),"""",""),"“",""),"”",""),".",""),":",""),",",""),"–"," "),"-"," "),"/"," "),"&amp;"," AND "))&amp;" "," THE "," ")," TOTAL "," ")," OPERATIONS "," "))</f>
        <v>NORTH EAST ENGLAND</v>
      </c>
      <c r="O1177" s="17" t="str">
        <f aca="false">IF(COUNTIFS($N$2:$N$2000,N1177,$D$2:$D$2000,"&lt;&gt;"&amp;D1177)&gt;0,"CONFLICT","")</f>
        <v/>
      </c>
      <c r="P1177" s="7"/>
    </row>
    <row r="1178" customFormat="false" ht="15" hidden="false" customHeight="false" outlineLevel="0" collapsed="false">
      <c r="A1178" s="7" t="s">
        <v>1572</v>
      </c>
      <c r="B1178" s="7" t="s">
        <v>1879</v>
      </c>
      <c r="C1178" s="7"/>
      <c r="D1178" s="6" t="s">
        <v>1572</v>
      </c>
      <c r="E1178" s="6" t="s">
        <v>1880</v>
      </c>
      <c r="F1178" s="7" t="str">
        <f aca="false">IF($D1178="","",IFERROR(IF(INDEX(Hierarchy!$B$2:$B$1295,MATCH($D1178,Hierarchy!$A$2:$A$1295,0))="","",INDEX(Hierarchy!$B$2:$B$1295,MATCH($D1178,Hierarchy!$A$2:$A$1295,0))),"NODE NOT FOUND"))</f>
        <v>State/Province</v>
      </c>
      <c r="G1178" s="7" t="str">
        <f aca="false">IF($D1178="","",IFERROR(IF(INDEX(Hierarchy!$D$2:$D$1295,MATCH($D1178,Hierarchy!$A$2:$A$1295,0))="","",INDEX(Hierarchy!$D$2:$D$1295,MATCH($D1178,Hierarchy!$A$2:$A$1295,0))),"NODE NOT FOUND"))</f>
        <v>APAC</v>
      </c>
      <c r="H1178" s="7" t="str">
        <f aca="false">IF($D1178="","",IFERROR(IF(INDEX(Hierarchy!$E$2:$E$1295,MATCH($D1178,Hierarchy!$A$2:$A$1295,0))="","",INDEX(Hierarchy!$E$2:$E$1295,MATCH($D1178,Hierarchy!$A$2:$A$1295,0))),"NODE NOT FOUND"))</f>
        <v>East Asia</v>
      </c>
      <c r="I1178" s="7" t="str">
        <f aca="false">IF($D1178="","",IFERROR(IF(INDEX(Hierarchy!$F$2:$F$1295,MATCH($D1178,Hierarchy!$A$2:$A$1295,0))="","",INDEX(Hierarchy!$F$2:$F$1295,MATCH($D1178,Hierarchy!$A$2:$A$1295,0))),"NODE NOT FOUND"))</f>
        <v>South Korea</v>
      </c>
      <c r="J1178" s="7" t="str">
        <f aca="false">IF($D1178="","",IFERROR(IF(INDEX(Hierarchy!$G$2:$G$1295,MATCH($D1178,Hierarchy!$A$2:$A$1295,0))="","",INDEX(Hierarchy!$G$2:$G$1295,MATCH($D1178,Hierarchy!$A$2:$A$1295,0))),"NODE NOT FOUND"))</f>
        <v>KOR</v>
      </c>
      <c r="K1178" s="7" t="str">
        <f aca="false">IF($D1178="","",IFERROR(IF(INDEX(Hierarchy!$H$2:$H$1295,MATCH($D1178,Hierarchy!$A$2:$A$1295,0))="","",INDEX(Hierarchy!$H$2:$H$1295,MATCH($D1178,Hierarchy!$A$2:$A$1295,0))),"NODE NOT FOUND"))</f>
        <v>North Gyeongsang</v>
      </c>
      <c r="L1178" s="7" t="str">
        <f aca="false">IF($D1178="","",IFERROR(IF(INDEX(Hierarchy!$I$2:$I$1295,MATCH($D1178,Hierarchy!$A$2:$A$1295,0))="","",INDEX(Hierarchy!$I$2:$I$1295,MATCH($D1178,Hierarchy!$A$2:$A$1295,0))),"NODE NOT FOUND"))</f>
        <v/>
      </c>
      <c r="M1178" s="17" t="str">
        <f aca="false">IF(B1178="Pre-seeded","Pre-seeded",IF(B1178="Review 2026-09-16","Added from review",IF(C1178="","New",IF(C1178=D1178,"","Changed"))))</f>
        <v>Pre-seeded</v>
      </c>
      <c r="N1178" s="7" t="str">
        <f aca="false">TRIM(SUBSTITUTE(SUBSTITUTE(SUBSTITUTE(" "&amp;TRIM(SUBSTITUTE(SUBSTITUTE(SUBSTITUTE(SUBSTITUTE(SUBSTITUTE(SUBSTITUTE(SUBSTITUTE(SUBSTITUTE(SUBSTITUTE(SUBSTITUTE(SUBSTITUTE(SUBSTITUTE(SUBSTITUTE(SUBSTITUTE(SUBSTITUTE(UPPER(TRIM(A1178)),"[MEMBER]",""),"{MEMBER}",""),"[MEMBER}",""),"MEMBER]",""),"(A)",""),"""",""),"“",""),"”",""),".",""),":",""),",",""),"–"," "),"-"," "),"/"," "),"&amp;"," AND "))&amp;" "," THE "," ")," TOTAL "," ")," OPERATIONS "," "))</f>
        <v>NORTH GYEONGSANG</v>
      </c>
      <c r="O1178" s="17" t="str">
        <f aca="false">IF(COUNTIFS($N$2:$N$2000,N1178,$D$2:$D$2000,"&lt;&gt;"&amp;D1178)&gt;0,"CONFLICT","")</f>
        <v/>
      </c>
      <c r="P1178" s="7"/>
    </row>
    <row r="1179" customFormat="false" ht="15" hidden="false" customHeight="false" outlineLevel="0" collapsed="false">
      <c r="A1179" s="7" t="s">
        <v>892</v>
      </c>
      <c r="B1179" s="7" t="s">
        <v>1879</v>
      </c>
      <c r="C1179" s="7"/>
      <c r="D1179" s="6" t="s">
        <v>892</v>
      </c>
      <c r="E1179" s="6" t="s">
        <v>1880</v>
      </c>
      <c r="F1179" s="7" t="str">
        <f aca="false">IF($D1179="","",IFERROR(IF(INDEX(Hierarchy!$B$2:$B$1295,MATCH($D1179,Hierarchy!$A$2:$A$1295,0))="","",INDEX(Hierarchy!$B$2:$B$1295,MATCH($D1179,Hierarchy!$A$2:$A$1295,0))),"NODE NOT FOUND"))</f>
        <v>State/Province</v>
      </c>
      <c r="G1179" s="7" t="str">
        <f aca="false">IF($D1179="","",IFERROR(IF(INDEX(Hierarchy!$D$2:$D$1295,MATCH($D1179,Hierarchy!$A$2:$A$1295,0))="","",INDEX(Hierarchy!$D$2:$D$1295,MATCH($D1179,Hierarchy!$A$2:$A$1295,0))),"NODE NOT FOUND"))</f>
        <v>EMEA</v>
      </c>
      <c r="H1179" s="7" t="str">
        <f aca="false">IF($D1179="","",IFERROR(IF(INDEX(Hierarchy!$E$2:$E$1295,MATCH($D1179,Hierarchy!$A$2:$A$1295,0))="","",INDEX(Hierarchy!$E$2:$E$1295,MATCH($D1179,Hierarchy!$A$2:$A$1295,0))),"NODE NOT FOUND"))</f>
        <v>Europe</v>
      </c>
      <c r="I1179" s="7" t="str">
        <f aca="false">IF($D1179="","",IFERROR(IF(INDEX(Hierarchy!$F$2:$F$1295,MATCH($D1179,Hierarchy!$A$2:$A$1295,0))="","",INDEX(Hierarchy!$F$2:$F$1295,MATCH($D1179,Hierarchy!$A$2:$A$1295,0))),"NODE NOT FOUND"))</f>
        <v>Netherlands</v>
      </c>
      <c r="J1179" s="7" t="str">
        <f aca="false">IF($D1179="","",IFERROR(IF(INDEX(Hierarchy!$G$2:$G$1295,MATCH($D1179,Hierarchy!$A$2:$A$1295,0))="","",INDEX(Hierarchy!$G$2:$G$1295,MATCH($D1179,Hierarchy!$A$2:$A$1295,0))),"NODE NOT FOUND"))</f>
        <v>NLD</v>
      </c>
      <c r="K1179" s="7" t="str">
        <f aca="false">IF($D1179="","",IFERROR(IF(INDEX(Hierarchy!$H$2:$H$1295,MATCH($D1179,Hierarchy!$A$2:$A$1295,0))="","",INDEX(Hierarchy!$H$2:$H$1295,MATCH($D1179,Hierarchy!$A$2:$A$1295,0))),"NODE NOT FOUND"))</f>
        <v>North Holland</v>
      </c>
      <c r="L1179" s="7" t="str">
        <f aca="false">IF($D1179="","",IFERROR(IF(INDEX(Hierarchy!$I$2:$I$1295,MATCH($D1179,Hierarchy!$A$2:$A$1295,0))="","",INDEX(Hierarchy!$I$2:$I$1295,MATCH($D1179,Hierarchy!$A$2:$A$1295,0))),"NODE NOT FOUND"))</f>
        <v/>
      </c>
      <c r="M1179" s="17" t="str">
        <f aca="false">IF(B1179="Pre-seeded","Pre-seeded",IF(B1179="Review 2026-09-16","Added from review",IF(C1179="","New",IF(C1179=D1179,"","Changed"))))</f>
        <v>Pre-seeded</v>
      </c>
      <c r="N1179" s="7" t="str">
        <f aca="false">TRIM(SUBSTITUTE(SUBSTITUTE(SUBSTITUTE(" "&amp;TRIM(SUBSTITUTE(SUBSTITUTE(SUBSTITUTE(SUBSTITUTE(SUBSTITUTE(SUBSTITUTE(SUBSTITUTE(SUBSTITUTE(SUBSTITUTE(SUBSTITUTE(SUBSTITUTE(SUBSTITUTE(SUBSTITUTE(SUBSTITUTE(SUBSTITUTE(UPPER(TRIM(A1179)),"[MEMBER]",""),"{MEMBER}",""),"[MEMBER}",""),"MEMBER]",""),"(A)",""),"""",""),"“",""),"”",""),".",""),":",""),",",""),"–"," "),"-"," "),"/"," "),"&amp;"," AND "))&amp;" "," THE "," ")," TOTAL "," ")," OPERATIONS "," "))</f>
        <v>NORTH HOLLAND</v>
      </c>
      <c r="O1179" s="17" t="str">
        <f aca="false">IF(COUNTIFS($N$2:$N$2000,N1179,$D$2:$D$2000,"&lt;&gt;"&amp;D1179)&gt;0,"CONFLICT","")</f>
        <v/>
      </c>
      <c r="P1179" s="7"/>
    </row>
    <row r="1180" customFormat="false" ht="15" hidden="false" customHeight="false" outlineLevel="0" collapsed="false">
      <c r="A1180" s="7" t="s">
        <v>1321</v>
      </c>
      <c r="B1180" s="7" t="s">
        <v>1879</v>
      </c>
      <c r="C1180" s="7"/>
      <c r="D1180" s="6" t="s">
        <v>1321</v>
      </c>
      <c r="E1180" s="6" t="s">
        <v>1880</v>
      </c>
      <c r="F1180" s="7" t="str">
        <f aca="false">IF($D1180="","",IFERROR(IF(INDEX(Hierarchy!$B$2:$B$1295,MATCH($D1180,Hierarchy!$A$2:$A$1295,0))="","",INDEX(Hierarchy!$B$2:$B$1295,MATCH($D1180,Hierarchy!$A$2:$A$1295,0))),"NODE NOT FOUND"))</f>
        <v>Sub-national region</v>
      </c>
      <c r="G1180" s="7" t="str">
        <f aca="false">IF($D1180="","",IFERROR(IF(INDEX(Hierarchy!$D$2:$D$1295,MATCH($D1180,Hierarchy!$A$2:$A$1295,0))="","",INDEX(Hierarchy!$D$2:$D$1295,MATCH($D1180,Hierarchy!$A$2:$A$1295,0))),"NODE NOT FOUND"))</f>
        <v>APAC</v>
      </c>
      <c r="H1180" s="7" t="str">
        <f aca="false">IF($D1180="","",IFERROR(IF(INDEX(Hierarchy!$E$2:$E$1295,MATCH($D1180,Hierarchy!$A$2:$A$1295,0))="","",INDEX(Hierarchy!$E$2:$E$1295,MATCH($D1180,Hierarchy!$A$2:$A$1295,0))),"NODE NOT FOUND"))</f>
        <v>South Asia</v>
      </c>
      <c r="I1180" s="7" t="str">
        <f aca="false">IF($D1180="","",IFERROR(IF(INDEX(Hierarchy!$F$2:$F$1295,MATCH($D1180,Hierarchy!$A$2:$A$1295,0))="","",INDEX(Hierarchy!$F$2:$F$1295,MATCH($D1180,Hierarchy!$A$2:$A$1295,0))),"NODE NOT FOUND"))</f>
        <v>India</v>
      </c>
      <c r="J1180" s="7" t="str">
        <f aca="false">IF($D1180="","",IFERROR(IF(INDEX(Hierarchy!$G$2:$G$1295,MATCH($D1180,Hierarchy!$A$2:$A$1295,0))="","",INDEX(Hierarchy!$G$2:$G$1295,MATCH($D1180,Hierarchy!$A$2:$A$1295,0))),"NODE NOT FOUND"))</f>
        <v>IND</v>
      </c>
      <c r="K1180" s="7" t="str">
        <f aca="false">IF($D1180="","",IFERROR(IF(INDEX(Hierarchy!$H$2:$H$1295,MATCH($D1180,Hierarchy!$A$2:$A$1295,0))="","",INDEX(Hierarchy!$H$2:$H$1295,MATCH($D1180,Hierarchy!$A$2:$A$1295,0))),"NODE NOT FOUND"))</f>
        <v/>
      </c>
      <c r="L1180" s="7" t="str">
        <f aca="false">IF($D1180="","",IFERROR(IF(INDEX(Hierarchy!$I$2:$I$1295,MATCH($D1180,Hierarchy!$A$2:$A$1295,0))="","",INDEX(Hierarchy!$I$2:$I$1295,MATCH($D1180,Hierarchy!$A$2:$A$1295,0))),"NODE NOT FOUND"))</f>
        <v/>
      </c>
      <c r="M1180" s="17" t="str">
        <f aca="false">IF(B1180="Pre-seeded","Pre-seeded",IF(B1180="Review 2026-09-16","Added from review",IF(C1180="","New",IF(C1180=D1180,"","Changed"))))</f>
        <v>Pre-seeded</v>
      </c>
      <c r="N1180" s="7" t="str">
        <f aca="false">TRIM(SUBSTITUTE(SUBSTITUTE(SUBSTITUTE(" "&amp;TRIM(SUBSTITUTE(SUBSTITUTE(SUBSTITUTE(SUBSTITUTE(SUBSTITUTE(SUBSTITUTE(SUBSTITUTE(SUBSTITUTE(SUBSTITUTE(SUBSTITUTE(SUBSTITUTE(SUBSTITUTE(SUBSTITUTE(SUBSTITUTE(SUBSTITUTE(UPPER(TRIM(A1180)),"[MEMBER]",""),"{MEMBER}",""),"[MEMBER}",""),"MEMBER]",""),"(A)",""),"""",""),"“",""),"”",""),".",""),":",""),",",""),"–"," "),"-"," "),"/"," "),"&amp;"," AND "))&amp;" "," THE "," ")," TOTAL "," ")," OPERATIONS "," "))</f>
        <v>NORTH INDIA</v>
      </c>
      <c r="O1180" s="17" t="str">
        <f aca="false">IF(COUNTIFS($N$2:$N$2000,N1180,$D$2:$D$2000,"&lt;&gt;"&amp;D1180)&gt;0,"CONFLICT","")</f>
        <v/>
      </c>
      <c r="P1180" s="7"/>
    </row>
    <row r="1181" customFormat="false" ht="15" hidden="false" customHeight="false" outlineLevel="0" collapsed="false">
      <c r="A1181" s="7" t="s">
        <v>1573</v>
      </c>
      <c r="B1181" s="7" t="s">
        <v>1879</v>
      </c>
      <c r="C1181" s="7"/>
      <c r="D1181" s="6" t="s">
        <v>1573</v>
      </c>
      <c r="E1181" s="6" t="s">
        <v>1880</v>
      </c>
      <c r="F1181" s="7" t="str">
        <f aca="false">IF($D1181="","",IFERROR(IF(INDEX(Hierarchy!$B$2:$B$1295,MATCH($D1181,Hierarchy!$A$2:$A$1295,0))="","",INDEX(Hierarchy!$B$2:$B$1295,MATCH($D1181,Hierarchy!$A$2:$A$1295,0))),"NODE NOT FOUND"))</f>
        <v>State/Province</v>
      </c>
      <c r="G1181" s="7" t="str">
        <f aca="false">IF($D1181="","",IFERROR(IF(INDEX(Hierarchy!$D$2:$D$1295,MATCH($D1181,Hierarchy!$A$2:$A$1295,0))="","",INDEX(Hierarchy!$D$2:$D$1295,MATCH($D1181,Hierarchy!$A$2:$A$1295,0))),"NODE NOT FOUND"))</f>
        <v>APAC</v>
      </c>
      <c r="H1181" s="7" t="str">
        <f aca="false">IF($D1181="","",IFERROR(IF(INDEX(Hierarchy!$E$2:$E$1295,MATCH($D1181,Hierarchy!$A$2:$A$1295,0))="","",INDEX(Hierarchy!$E$2:$E$1295,MATCH($D1181,Hierarchy!$A$2:$A$1295,0))),"NODE NOT FOUND"))</f>
        <v>East Asia</v>
      </c>
      <c r="I1181" s="7" t="str">
        <f aca="false">IF($D1181="","",IFERROR(IF(INDEX(Hierarchy!$F$2:$F$1295,MATCH($D1181,Hierarchy!$A$2:$A$1295,0))="","",INDEX(Hierarchy!$F$2:$F$1295,MATCH($D1181,Hierarchy!$A$2:$A$1295,0))),"NODE NOT FOUND"))</f>
        <v>South Korea</v>
      </c>
      <c r="J1181" s="7" t="str">
        <f aca="false">IF($D1181="","",IFERROR(IF(INDEX(Hierarchy!$G$2:$G$1295,MATCH($D1181,Hierarchy!$A$2:$A$1295,0))="","",INDEX(Hierarchy!$G$2:$G$1295,MATCH($D1181,Hierarchy!$A$2:$A$1295,0))),"NODE NOT FOUND"))</f>
        <v>KOR</v>
      </c>
      <c r="K1181" s="7" t="str">
        <f aca="false">IF($D1181="","",IFERROR(IF(INDEX(Hierarchy!$H$2:$H$1295,MATCH($D1181,Hierarchy!$A$2:$A$1295,0))="","",INDEX(Hierarchy!$H$2:$H$1295,MATCH($D1181,Hierarchy!$A$2:$A$1295,0))),"NODE NOT FOUND"))</f>
        <v>North Jeolla</v>
      </c>
      <c r="L1181" s="7" t="str">
        <f aca="false">IF($D1181="","",IFERROR(IF(INDEX(Hierarchy!$I$2:$I$1295,MATCH($D1181,Hierarchy!$A$2:$A$1295,0))="","",INDEX(Hierarchy!$I$2:$I$1295,MATCH($D1181,Hierarchy!$A$2:$A$1295,0))),"NODE NOT FOUND"))</f>
        <v/>
      </c>
      <c r="M1181" s="17" t="str">
        <f aca="false">IF(B1181="Pre-seeded","Pre-seeded",IF(B1181="Review 2026-09-16","Added from review",IF(C1181="","New",IF(C1181=D1181,"","Changed"))))</f>
        <v>Pre-seeded</v>
      </c>
      <c r="N1181" s="7" t="str">
        <f aca="false">TRIM(SUBSTITUTE(SUBSTITUTE(SUBSTITUTE(" "&amp;TRIM(SUBSTITUTE(SUBSTITUTE(SUBSTITUTE(SUBSTITUTE(SUBSTITUTE(SUBSTITUTE(SUBSTITUTE(SUBSTITUTE(SUBSTITUTE(SUBSTITUTE(SUBSTITUTE(SUBSTITUTE(SUBSTITUTE(SUBSTITUTE(SUBSTITUTE(UPPER(TRIM(A1181)),"[MEMBER]",""),"{MEMBER}",""),"[MEMBER}",""),"MEMBER]",""),"(A)",""),"""",""),"“",""),"”",""),".",""),":",""),",",""),"–"," "),"-"," "),"/"," "),"&amp;"," AND "))&amp;" "," THE "," ")," TOTAL "," ")," OPERATIONS "," "))</f>
        <v>NORTH JEOLLA</v>
      </c>
      <c r="O1181" s="17" t="str">
        <f aca="false">IF(COUNTIFS($N$2:$N$2000,N1181,$D$2:$D$2000,"&lt;&gt;"&amp;D1181)&gt;0,"CONFLICT","")</f>
        <v/>
      </c>
      <c r="P1181" s="7"/>
    </row>
    <row r="1182" customFormat="false" ht="15" hidden="false" customHeight="false" outlineLevel="0" collapsed="false">
      <c r="A1182" s="7" t="s">
        <v>1610</v>
      </c>
      <c r="B1182" s="7" t="s">
        <v>1879</v>
      </c>
      <c r="C1182" s="7"/>
      <c r="D1182" s="6" t="s">
        <v>1610</v>
      </c>
      <c r="E1182" s="6" t="s">
        <v>1880</v>
      </c>
      <c r="F1182" s="7" t="str">
        <f aca="false">IF($D1182="","",IFERROR(IF(INDEX(Hierarchy!$B$2:$B$1295,MATCH($D1182,Hierarchy!$A$2:$A$1295,0))="","",INDEX(Hierarchy!$B$2:$B$1295,MATCH($D1182,Hierarchy!$A$2:$A$1295,0))),"NODE NOT FOUND"))</f>
        <v>State/Province</v>
      </c>
      <c r="G1182" s="7" t="str">
        <f aca="false">IF($D1182="","",IFERROR(IF(INDEX(Hierarchy!$D$2:$D$1295,MATCH($D1182,Hierarchy!$A$2:$A$1295,0))="","",INDEX(Hierarchy!$D$2:$D$1295,MATCH($D1182,Hierarchy!$A$2:$A$1295,0))),"NODE NOT FOUND"))</f>
        <v>APAC</v>
      </c>
      <c r="H1182" s="7" t="str">
        <f aca="false">IF($D1182="","",IFERROR(IF(INDEX(Hierarchy!$E$2:$E$1295,MATCH($D1182,Hierarchy!$A$2:$A$1295,0))="","",INDEX(Hierarchy!$E$2:$E$1295,MATCH($D1182,Hierarchy!$A$2:$A$1295,0))),"NODE NOT FOUND"))</f>
        <v>Southeast Asia (ASEAN)</v>
      </c>
      <c r="I1182" s="7" t="str">
        <f aca="false">IF($D1182="","",IFERROR(IF(INDEX(Hierarchy!$F$2:$F$1295,MATCH($D1182,Hierarchy!$A$2:$A$1295,0))="","",INDEX(Hierarchy!$F$2:$F$1295,MATCH($D1182,Hierarchy!$A$2:$A$1295,0))),"NODE NOT FOUND"))</f>
        <v>Indonesia</v>
      </c>
      <c r="J1182" s="7" t="str">
        <f aca="false">IF($D1182="","",IFERROR(IF(INDEX(Hierarchy!$G$2:$G$1295,MATCH($D1182,Hierarchy!$A$2:$A$1295,0))="","",INDEX(Hierarchy!$G$2:$G$1295,MATCH($D1182,Hierarchy!$A$2:$A$1295,0))),"NODE NOT FOUND"))</f>
        <v>IDN</v>
      </c>
      <c r="K1182" s="7" t="str">
        <f aca="false">IF($D1182="","",IFERROR(IF(INDEX(Hierarchy!$H$2:$H$1295,MATCH($D1182,Hierarchy!$A$2:$A$1295,0))="","",INDEX(Hierarchy!$H$2:$H$1295,MATCH($D1182,Hierarchy!$A$2:$A$1295,0))),"NODE NOT FOUND"))</f>
        <v>North Kalimantan</v>
      </c>
      <c r="L1182" s="7" t="str">
        <f aca="false">IF($D1182="","",IFERROR(IF(INDEX(Hierarchy!$I$2:$I$1295,MATCH($D1182,Hierarchy!$A$2:$A$1295,0))="","",INDEX(Hierarchy!$I$2:$I$1295,MATCH($D1182,Hierarchy!$A$2:$A$1295,0))),"NODE NOT FOUND"))</f>
        <v/>
      </c>
      <c r="M1182" s="17" t="str">
        <f aca="false">IF(B1182="Pre-seeded","Pre-seeded",IF(B1182="Review 2026-09-16","Added from review",IF(C1182="","New",IF(C1182=D1182,"","Changed"))))</f>
        <v>Pre-seeded</v>
      </c>
      <c r="N1182" s="7" t="str">
        <f aca="false">TRIM(SUBSTITUTE(SUBSTITUTE(SUBSTITUTE(" "&amp;TRIM(SUBSTITUTE(SUBSTITUTE(SUBSTITUTE(SUBSTITUTE(SUBSTITUTE(SUBSTITUTE(SUBSTITUTE(SUBSTITUTE(SUBSTITUTE(SUBSTITUTE(SUBSTITUTE(SUBSTITUTE(SUBSTITUTE(SUBSTITUTE(SUBSTITUTE(UPPER(TRIM(A1182)),"[MEMBER]",""),"{MEMBER}",""),"[MEMBER}",""),"MEMBER]",""),"(A)",""),"""",""),"“",""),"”",""),".",""),":",""),",",""),"–"," "),"-"," "),"/"," "),"&amp;"," AND "))&amp;" "," THE "," ")," TOTAL "," ")," OPERATIONS "," "))</f>
        <v>NORTH KALIMANTAN</v>
      </c>
      <c r="O1182" s="17" t="str">
        <f aca="false">IF(COUNTIFS($N$2:$N$2000,N1182,$D$2:$D$2000,"&lt;&gt;"&amp;D1182)&gt;0,"CONFLICT","")</f>
        <v/>
      </c>
      <c r="P1182" s="7"/>
    </row>
    <row r="1183" customFormat="false" ht="15" hidden="false" customHeight="false" outlineLevel="0" collapsed="false">
      <c r="A1183" s="7" t="s">
        <v>1557</v>
      </c>
      <c r="B1183" s="7" t="s">
        <v>1879</v>
      </c>
      <c r="C1183" s="7"/>
      <c r="D1183" s="6" t="s">
        <v>1557</v>
      </c>
      <c r="E1183" s="6" t="s">
        <v>1880</v>
      </c>
      <c r="F1183" s="7" t="str">
        <f aca="false">IF($D1183="","",IFERROR(IF(INDEX(Hierarchy!$B$2:$B$1295,MATCH($D1183,Hierarchy!$A$2:$A$1295,0))="","",INDEX(Hierarchy!$B$2:$B$1295,MATCH($D1183,Hierarchy!$A$2:$A$1295,0))),"NODE NOT FOUND"))</f>
        <v>Country</v>
      </c>
      <c r="G1183" s="7" t="str">
        <f aca="false">IF($D1183="","",IFERROR(IF(INDEX(Hierarchy!$D$2:$D$1295,MATCH($D1183,Hierarchy!$A$2:$A$1295,0))="","",INDEX(Hierarchy!$D$2:$D$1295,MATCH($D1183,Hierarchy!$A$2:$A$1295,0))),"NODE NOT FOUND"))</f>
        <v>APAC</v>
      </c>
      <c r="H1183" s="7" t="str">
        <f aca="false">IF($D1183="","",IFERROR(IF(INDEX(Hierarchy!$E$2:$E$1295,MATCH($D1183,Hierarchy!$A$2:$A$1295,0))="","",INDEX(Hierarchy!$E$2:$E$1295,MATCH($D1183,Hierarchy!$A$2:$A$1295,0))),"NODE NOT FOUND"))</f>
        <v>East Asia</v>
      </c>
      <c r="I1183" s="7" t="str">
        <f aca="false">IF($D1183="","",IFERROR(IF(INDEX(Hierarchy!$F$2:$F$1295,MATCH($D1183,Hierarchy!$A$2:$A$1295,0))="","",INDEX(Hierarchy!$F$2:$F$1295,MATCH($D1183,Hierarchy!$A$2:$A$1295,0))),"NODE NOT FOUND"))</f>
        <v>North Korea</v>
      </c>
      <c r="J1183" s="7" t="str">
        <f aca="false">IF($D1183="","",IFERROR(IF(INDEX(Hierarchy!$G$2:$G$1295,MATCH($D1183,Hierarchy!$A$2:$A$1295,0))="","",INDEX(Hierarchy!$G$2:$G$1295,MATCH($D1183,Hierarchy!$A$2:$A$1295,0))),"NODE NOT FOUND"))</f>
        <v>PRK</v>
      </c>
      <c r="K1183" s="7" t="str">
        <f aca="false">IF($D1183="","",IFERROR(IF(INDEX(Hierarchy!$H$2:$H$1295,MATCH($D1183,Hierarchy!$A$2:$A$1295,0))="","",INDEX(Hierarchy!$H$2:$H$1295,MATCH($D1183,Hierarchy!$A$2:$A$1295,0))),"NODE NOT FOUND"))</f>
        <v/>
      </c>
      <c r="L1183" s="7" t="str">
        <f aca="false">IF($D1183="","",IFERROR(IF(INDEX(Hierarchy!$I$2:$I$1295,MATCH($D1183,Hierarchy!$A$2:$A$1295,0))="","",INDEX(Hierarchy!$I$2:$I$1295,MATCH($D1183,Hierarchy!$A$2:$A$1295,0))),"NODE NOT FOUND"))</f>
        <v/>
      </c>
      <c r="M1183" s="17" t="str">
        <f aca="false">IF(B1183="Pre-seeded","Pre-seeded",IF(B1183="Review 2026-09-16","Added from review",IF(C1183="","New",IF(C1183=D1183,"","Changed"))))</f>
        <v>Pre-seeded</v>
      </c>
      <c r="N1183" s="7" t="str">
        <f aca="false">TRIM(SUBSTITUTE(SUBSTITUTE(SUBSTITUTE(" "&amp;TRIM(SUBSTITUTE(SUBSTITUTE(SUBSTITUTE(SUBSTITUTE(SUBSTITUTE(SUBSTITUTE(SUBSTITUTE(SUBSTITUTE(SUBSTITUTE(SUBSTITUTE(SUBSTITUTE(SUBSTITUTE(SUBSTITUTE(SUBSTITUTE(SUBSTITUTE(UPPER(TRIM(A1183)),"[MEMBER]",""),"{MEMBER}",""),"[MEMBER}",""),"MEMBER]",""),"(A)",""),"""",""),"“",""),"”",""),".",""),":",""),",",""),"–"," "),"-"," "),"/"," "),"&amp;"," AND "))&amp;" "," THE "," ")," TOTAL "," ")," OPERATIONS "," "))</f>
        <v>NORTH KOREA</v>
      </c>
      <c r="O1183" s="17" t="str">
        <f aca="false">IF(COUNTIFS($N$2:$N$2000,N1183,$D$2:$D$2000,"&lt;&gt;"&amp;D1183)&gt;0,"CONFLICT","")</f>
        <v/>
      </c>
      <c r="P1183" s="7"/>
    </row>
    <row r="1184" customFormat="false" ht="15" hidden="false" customHeight="false" outlineLevel="0" collapsed="false">
      <c r="A1184" s="7" t="s">
        <v>2462</v>
      </c>
      <c r="B1184" s="7" t="s">
        <v>1879</v>
      </c>
      <c r="C1184" s="7"/>
      <c r="D1184" s="6" t="s">
        <v>324</v>
      </c>
      <c r="E1184" s="6" t="s">
        <v>1880</v>
      </c>
      <c r="F1184" s="7" t="str">
        <f aca="false">IF($D1184="","",IFERROR(IF(INDEX(Hierarchy!$B$2:$B$1295,MATCH($D1184,Hierarchy!$A$2:$A$1295,0))="","",INDEX(Hierarchy!$B$2:$B$1295,MATCH($D1184,Hierarchy!$A$2:$A$1295,0))),"NODE NOT FOUND"))</f>
        <v>Sub-region component</v>
      </c>
      <c r="G1184" s="7" t="str">
        <f aca="false">IF($D1184="","",IFERROR(IF(INDEX(Hierarchy!$D$2:$D$1295,MATCH($D1184,Hierarchy!$A$2:$A$1295,0))="","",INDEX(Hierarchy!$D$2:$D$1295,MATCH($D1184,Hierarchy!$A$2:$A$1295,0))),"NODE NOT FOUND"))</f>
        <v>AMER</v>
      </c>
      <c r="H1184" s="7" t="str">
        <f aca="false">IF($D1184="","",IFERROR(IF(INDEX(Hierarchy!$E$2:$E$1295,MATCH($D1184,Hierarchy!$A$2:$A$1295,0))="","",INDEX(Hierarchy!$E$2:$E$1295,MATCH($D1184,Hierarchy!$A$2:$A$1295,0))),"NODE NOT FOUND"))</f>
        <v>Latin America (LATAM)</v>
      </c>
      <c r="I1184" s="7" t="str">
        <f aca="false">IF($D1184="","",IFERROR(IF(INDEX(Hierarchy!$F$2:$F$1295,MATCH($D1184,Hierarchy!$A$2:$A$1295,0))="","",INDEX(Hierarchy!$F$2:$F$1295,MATCH($D1184,Hierarchy!$A$2:$A$1295,0))),"NODE NOT FOUND"))</f>
        <v/>
      </c>
      <c r="J1184" s="7" t="str">
        <f aca="false">IF($D1184="","",IFERROR(IF(INDEX(Hierarchy!$G$2:$G$1295,MATCH($D1184,Hierarchy!$A$2:$A$1295,0))="","",INDEX(Hierarchy!$G$2:$G$1295,MATCH($D1184,Hierarchy!$A$2:$A$1295,0))),"NODE NOT FOUND"))</f>
        <v/>
      </c>
      <c r="K1184" s="7" t="str">
        <f aca="false">IF($D1184="","",IFERROR(IF(INDEX(Hierarchy!$H$2:$H$1295,MATCH($D1184,Hierarchy!$A$2:$A$1295,0))="","",INDEX(Hierarchy!$H$2:$H$1295,MATCH($D1184,Hierarchy!$A$2:$A$1295,0))),"NODE NOT FOUND"))</f>
        <v/>
      </c>
      <c r="L1184" s="7" t="str">
        <f aca="false">IF($D1184="","",IFERROR(IF(INDEX(Hierarchy!$I$2:$I$1295,MATCH($D1184,Hierarchy!$A$2:$A$1295,0))="","",INDEX(Hierarchy!$I$2:$I$1295,MATCH($D1184,Hierarchy!$A$2:$A$1295,0))),"NODE NOT FOUND"))</f>
        <v/>
      </c>
      <c r="M1184" s="17" t="str">
        <f aca="false">IF(B1184="Pre-seeded","Pre-seeded",IF(B1184="Review 2026-09-16","Added from review",IF(C1184="","New",IF(C1184=D1184,"","Changed"))))</f>
        <v>Pre-seeded</v>
      </c>
      <c r="N1184" s="7" t="str">
        <f aca="false">TRIM(SUBSTITUTE(SUBSTITUTE(SUBSTITUTE(" "&amp;TRIM(SUBSTITUTE(SUBSTITUTE(SUBSTITUTE(SUBSTITUTE(SUBSTITUTE(SUBSTITUTE(SUBSTITUTE(SUBSTITUTE(SUBSTITUTE(SUBSTITUTE(SUBSTITUTE(SUBSTITUTE(SUBSTITUTE(SUBSTITUTE(SUBSTITUTE(UPPER(TRIM(A1184)),"[MEMBER]",""),"{MEMBER}",""),"[MEMBER}",""),"MEMBER]",""),"(A)",""),"""",""),"“",""),"”",""),".",""),":",""),",",""),"–"," "),"-"," "),"/"," "),"&amp;"," AND "))&amp;" "," THE "," ")," TOTAL "," ")," OPERATIONS "," "))</f>
        <v>NORTH LATIN AMERICA</v>
      </c>
      <c r="O1184" s="17" t="str">
        <f aca="false">IF(COUNTIFS($N$2:$N$2000,N1184,$D$2:$D$2000,"&lt;&gt;"&amp;D1184)&gt;0,"CONFLICT","")</f>
        <v/>
      </c>
      <c r="P1184" s="7"/>
    </row>
    <row r="1185" customFormat="false" ht="15" hidden="false" customHeight="false" outlineLevel="0" collapsed="false">
      <c r="A1185" s="7" t="s">
        <v>899</v>
      </c>
      <c r="B1185" s="7" t="s">
        <v>1879</v>
      </c>
      <c r="C1185" s="7"/>
      <c r="D1185" s="6" t="s">
        <v>899</v>
      </c>
      <c r="E1185" s="6" t="s">
        <v>1880</v>
      </c>
      <c r="F1185" s="7" t="str">
        <f aca="false">IF($D1185="","",IFERROR(IF(INDEX(Hierarchy!$B$2:$B$1295,MATCH($D1185,Hierarchy!$A$2:$A$1295,0))="","",INDEX(Hierarchy!$B$2:$B$1295,MATCH($D1185,Hierarchy!$A$2:$A$1295,0))),"NODE NOT FOUND"))</f>
        <v>Country</v>
      </c>
      <c r="G1185" s="7" t="str">
        <f aca="false">IF($D1185="","",IFERROR(IF(INDEX(Hierarchy!$D$2:$D$1295,MATCH($D1185,Hierarchy!$A$2:$A$1295,0))="","",INDEX(Hierarchy!$D$2:$D$1295,MATCH($D1185,Hierarchy!$A$2:$A$1295,0))),"NODE NOT FOUND"))</f>
        <v>EMEA</v>
      </c>
      <c r="H1185" s="7" t="str">
        <f aca="false">IF($D1185="","",IFERROR(IF(INDEX(Hierarchy!$E$2:$E$1295,MATCH($D1185,Hierarchy!$A$2:$A$1295,0))="","",INDEX(Hierarchy!$E$2:$E$1295,MATCH($D1185,Hierarchy!$A$2:$A$1295,0))),"NODE NOT FOUND"))</f>
        <v>Europe</v>
      </c>
      <c r="I1185" s="7" t="str">
        <f aca="false">IF($D1185="","",IFERROR(IF(INDEX(Hierarchy!$F$2:$F$1295,MATCH($D1185,Hierarchy!$A$2:$A$1295,0))="","",INDEX(Hierarchy!$F$2:$F$1295,MATCH($D1185,Hierarchy!$A$2:$A$1295,0))),"NODE NOT FOUND"))</f>
        <v>North Macedonia</v>
      </c>
      <c r="J1185" s="7" t="str">
        <f aca="false">IF($D1185="","",IFERROR(IF(INDEX(Hierarchy!$G$2:$G$1295,MATCH($D1185,Hierarchy!$A$2:$A$1295,0))="","",INDEX(Hierarchy!$G$2:$G$1295,MATCH($D1185,Hierarchy!$A$2:$A$1295,0))),"NODE NOT FOUND"))</f>
        <v>MKD</v>
      </c>
      <c r="K1185" s="7" t="str">
        <f aca="false">IF($D1185="","",IFERROR(IF(INDEX(Hierarchy!$H$2:$H$1295,MATCH($D1185,Hierarchy!$A$2:$A$1295,0))="","",INDEX(Hierarchy!$H$2:$H$1295,MATCH($D1185,Hierarchy!$A$2:$A$1295,0))),"NODE NOT FOUND"))</f>
        <v/>
      </c>
      <c r="L1185" s="7" t="str">
        <f aca="false">IF($D1185="","",IFERROR(IF(INDEX(Hierarchy!$I$2:$I$1295,MATCH($D1185,Hierarchy!$A$2:$A$1295,0))="","",INDEX(Hierarchy!$I$2:$I$1295,MATCH($D1185,Hierarchy!$A$2:$A$1295,0))),"NODE NOT FOUND"))</f>
        <v/>
      </c>
      <c r="M1185" s="17" t="str">
        <f aca="false">IF(B1185="Pre-seeded","Pre-seeded",IF(B1185="Review 2026-09-16","Added from review",IF(C1185="","New",IF(C1185=D1185,"","Changed"))))</f>
        <v>Pre-seeded</v>
      </c>
      <c r="N1185" s="7" t="str">
        <f aca="false">TRIM(SUBSTITUTE(SUBSTITUTE(SUBSTITUTE(" "&amp;TRIM(SUBSTITUTE(SUBSTITUTE(SUBSTITUTE(SUBSTITUTE(SUBSTITUTE(SUBSTITUTE(SUBSTITUTE(SUBSTITUTE(SUBSTITUTE(SUBSTITUTE(SUBSTITUTE(SUBSTITUTE(SUBSTITUTE(SUBSTITUTE(SUBSTITUTE(UPPER(TRIM(A1185)),"[MEMBER]",""),"{MEMBER}",""),"[MEMBER}",""),"MEMBER]",""),"(A)",""),"""",""),"“",""),"”",""),".",""),":",""),",",""),"–"," "),"-"," "),"/"," "),"&amp;"," AND "))&amp;" "," THE "," ")," TOTAL "," ")," OPERATIONS "," "))</f>
        <v>NORTH MACEDONIA</v>
      </c>
      <c r="O1185" s="17" t="str">
        <f aca="false">IF(COUNTIFS($N$2:$N$2000,N1185,$D$2:$D$2000,"&lt;&gt;"&amp;D1185)&gt;0,"CONFLICT","")</f>
        <v/>
      </c>
      <c r="P1185" s="7"/>
    </row>
    <row r="1186" customFormat="false" ht="15" hidden="false" customHeight="false" outlineLevel="0" collapsed="false">
      <c r="A1186" s="7" t="s">
        <v>1611</v>
      </c>
      <c r="B1186" s="7" t="s">
        <v>1879</v>
      </c>
      <c r="C1186" s="7"/>
      <c r="D1186" s="6" t="s">
        <v>1611</v>
      </c>
      <c r="E1186" s="6" t="s">
        <v>1880</v>
      </c>
      <c r="F1186" s="7" t="str">
        <f aca="false">IF($D1186="","",IFERROR(IF(INDEX(Hierarchy!$B$2:$B$1295,MATCH($D1186,Hierarchy!$A$2:$A$1295,0))="","",INDEX(Hierarchy!$B$2:$B$1295,MATCH($D1186,Hierarchy!$A$2:$A$1295,0))),"NODE NOT FOUND"))</f>
        <v>State/Province</v>
      </c>
      <c r="G1186" s="7" t="str">
        <f aca="false">IF($D1186="","",IFERROR(IF(INDEX(Hierarchy!$D$2:$D$1295,MATCH($D1186,Hierarchy!$A$2:$A$1295,0))="","",INDEX(Hierarchy!$D$2:$D$1295,MATCH($D1186,Hierarchy!$A$2:$A$1295,0))),"NODE NOT FOUND"))</f>
        <v>APAC</v>
      </c>
      <c r="H1186" s="7" t="str">
        <f aca="false">IF($D1186="","",IFERROR(IF(INDEX(Hierarchy!$E$2:$E$1295,MATCH($D1186,Hierarchy!$A$2:$A$1295,0))="","",INDEX(Hierarchy!$E$2:$E$1295,MATCH($D1186,Hierarchy!$A$2:$A$1295,0))),"NODE NOT FOUND"))</f>
        <v>Southeast Asia (ASEAN)</v>
      </c>
      <c r="I1186" s="7" t="str">
        <f aca="false">IF($D1186="","",IFERROR(IF(INDEX(Hierarchy!$F$2:$F$1295,MATCH($D1186,Hierarchy!$A$2:$A$1295,0))="","",INDEX(Hierarchy!$F$2:$F$1295,MATCH($D1186,Hierarchy!$A$2:$A$1295,0))),"NODE NOT FOUND"))</f>
        <v>Indonesia</v>
      </c>
      <c r="J1186" s="7" t="str">
        <f aca="false">IF($D1186="","",IFERROR(IF(INDEX(Hierarchy!$G$2:$G$1295,MATCH($D1186,Hierarchy!$A$2:$A$1295,0))="","",INDEX(Hierarchy!$G$2:$G$1295,MATCH($D1186,Hierarchy!$A$2:$A$1295,0))),"NODE NOT FOUND"))</f>
        <v>IDN</v>
      </c>
      <c r="K1186" s="7" t="str">
        <f aca="false">IF($D1186="","",IFERROR(IF(INDEX(Hierarchy!$H$2:$H$1295,MATCH($D1186,Hierarchy!$A$2:$A$1295,0))="","",INDEX(Hierarchy!$H$2:$H$1295,MATCH($D1186,Hierarchy!$A$2:$A$1295,0))),"NODE NOT FOUND"))</f>
        <v>North Maluku</v>
      </c>
      <c r="L1186" s="7" t="str">
        <f aca="false">IF($D1186="","",IFERROR(IF(INDEX(Hierarchy!$I$2:$I$1295,MATCH($D1186,Hierarchy!$A$2:$A$1295,0))="","",INDEX(Hierarchy!$I$2:$I$1295,MATCH($D1186,Hierarchy!$A$2:$A$1295,0))),"NODE NOT FOUND"))</f>
        <v/>
      </c>
      <c r="M1186" s="17" t="str">
        <f aca="false">IF(B1186="Pre-seeded","Pre-seeded",IF(B1186="Review 2026-09-16","Added from review",IF(C1186="","New",IF(C1186=D1186,"","Changed"))))</f>
        <v>Pre-seeded</v>
      </c>
      <c r="N1186" s="7" t="str">
        <f aca="false">TRIM(SUBSTITUTE(SUBSTITUTE(SUBSTITUTE(" "&amp;TRIM(SUBSTITUTE(SUBSTITUTE(SUBSTITUTE(SUBSTITUTE(SUBSTITUTE(SUBSTITUTE(SUBSTITUTE(SUBSTITUTE(SUBSTITUTE(SUBSTITUTE(SUBSTITUTE(SUBSTITUTE(SUBSTITUTE(SUBSTITUTE(SUBSTITUTE(UPPER(TRIM(A1186)),"[MEMBER]",""),"{MEMBER}",""),"[MEMBER}",""),"MEMBER]",""),"(A)",""),"""",""),"“",""),"”",""),".",""),":",""),",",""),"–"," "),"-"," "),"/"," "),"&amp;"," AND "))&amp;" "," THE "," ")," TOTAL "," ")," OPERATIONS "," "))</f>
        <v>NORTH MALUKU</v>
      </c>
      <c r="O1186" s="17" t="str">
        <f aca="false">IF(COUNTIFS($N$2:$N$2000,N1186,$D$2:$D$2000,"&lt;&gt;"&amp;D1186)&gt;0,"CONFLICT","")</f>
        <v/>
      </c>
      <c r="P1186" s="7"/>
    </row>
    <row r="1187" customFormat="false" ht="15" hidden="false" customHeight="false" outlineLevel="0" collapsed="false">
      <c r="A1187" s="7" t="s">
        <v>340</v>
      </c>
      <c r="B1187" s="7" t="s">
        <v>1879</v>
      </c>
      <c r="C1187" s="7"/>
      <c r="D1187" s="6" t="s">
        <v>340</v>
      </c>
      <c r="E1187" s="6" t="s">
        <v>1880</v>
      </c>
      <c r="F1187" s="7" t="str">
        <f aca="false">IF($D1187="","",IFERROR(IF(INDEX(Hierarchy!$B$2:$B$1295,MATCH($D1187,Hierarchy!$A$2:$A$1295,0))="","",INDEX(Hierarchy!$B$2:$B$1295,MATCH($D1187,Hierarchy!$A$2:$A$1295,0))),"NODE NOT FOUND"))</f>
        <v>Sub-national region</v>
      </c>
      <c r="G1187" s="7" t="str">
        <f aca="false">IF($D1187="","",IFERROR(IF(INDEX(Hierarchy!$D$2:$D$1295,MATCH($D1187,Hierarchy!$A$2:$A$1295,0))="","",INDEX(Hierarchy!$D$2:$D$1295,MATCH($D1187,Hierarchy!$A$2:$A$1295,0))),"NODE NOT FOUND"))</f>
        <v>AMER</v>
      </c>
      <c r="H1187" s="7" t="str">
        <f aca="false">IF($D1187="","",IFERROR(IF(INDEX(Hierarchy!$E$2:$E$1295,MATCH($D1187,Hierarchy!$A$2:$A$1295,0))="","",INDEX(Hierarchy!$E$2:$E$1295,MATCH($D1187,Hierarchy!$A$2:$A$1295,0))),"NODE NOT FOUND"))</f>
        <v>Latin America (LATAM)</v>
      </c>
      <c r="I1187" s="7" t="str">
        <f aca="false">IF($D1187="","",IFERROR(IF(INDEX(Hierarchy!$F$2:$F$1295,MATCH($D1187,Hierarchy!$A$2:$A$1295,0))="","",INDEX(Hierarchy!$F$2:$F$1295,MATCH($D1187,Hierarchy!$A$2:$A$1295,0))),"NODE NOT FOUND"))</f>
        <v>Brazil</v>
      </c>
      <c r="J1187" s="7" t="str">
        <f aca="false">IF($D1187="","",IFERROR(IF(INDEX(Hierarchy!$G$2:$G$1295,MATCH($D1187,Hierarchy!$A$2:$A$1295,0))="","",INDEX(Hierarchy!$G$2:$G$1295,MATCH($D1187,Hierarchy!$A$2:$A$1295,0))),"NODE NOT FOUND"))</f>
        <v>BRA</v>
      </c>
      <c r="K1187" s="7" t="str">
        <f aca="false">IF($D1187="","",IFERROR(IF(INDEX(Hierarchy!$H$2:$H$1295,MATCH($D1187,Hierarchy!$A$2:$A$1295,0))="","",INDEX(Hierarchy!$H$2:$H$1295,MATCH($D1187,Hierarchy!$A$2:$A$1295,0))),"NODE NOT FOUND"))</f>
        <v/>
      </c>
      <c r="L1187" s="7" t="str">
        <f aca="false">IF($D1187="","",IFERROR(IF(INDEX(Hierarchy!$I$2:$I$1295,MATCH($D1187,Hierarchy!$A$2:$A$1295,0))="","",INDEX(Hierarchy!$I$2:$I$1295,MATCH($D1187,Hierarchy!$A$2:$A$1295,0))),"NODE NOT FOUND"))</f>
        <v/>
      </c>
      <c r="M1187" s="17" t="str">
        <f aca="false">IF(B1187="Pre-seeded","Pre-seeded",IF(B1187="Review 2026-09-16","Added from review",IF(C1187="","New",IF(C1187=D1187,"","Changed"))))</f>
        <v>Pre-seeded</v>
      </c>
      <c r="N1187" s="7" t="str">
        <f aca="false">TRIM(SUBSTITUTE(SUBSTITUTE(SUBSTITUTE(" "&amp;TRIM(SUBSTITUTE(SUBSTITUTE(SUBSTITUTE(SUBSTITUTE(SUBSTITUTE(SUBSTITUTE(SUBSTITUTE(SUBSTITUTE(SUBSTITUTE(SUBSTITUTE(SUBSTITUTE(SUBSTITUTE(SUBSTITUTE(SUBSTITUTE(SUBSTITUTE(UPPER(TRIM(A1187)),"[MEMBER]",""),"{MEMBER}",""),"[MEMBER}",""),"MEMBER]",""),"(A)",""),"""",""),"“",""),"”",""),".",""),":",""),",",""),"–"," "),"-"," "),"/"," "),"&amp;"," AND "))&amp;" "," THE "," ")," TOTAL "," ")," OPERATIONS "," "))</f>
        <v>NORTH REGION (BRAZIL)</v>
      </c>
      <c r="O1187" s="17" t="str">
        <f aca="false">IF(COUNTIFS($N$2:$N$2000,N1187,$D$2:$D$2000,"&lt;&gt;"&amp;D1187)&gt;0,"CONFLICT","")</f>
        <v/>
      </c>
      <c r="P1187" s="7"/>
    </row>
    <row r="1188" customFormat="false" ht="15" hidden="false" customHeight="false" outlineLevel="0" collapsed="false">
      <c r="A1188" s="7" t="s">
        <v>705</v>
      </c>
      <c r="B1188" s="7" t="s">
        <v>1879</v>
      </c>
      <c r="C1188" s="7"/>
      <c r="D1188" s="6" t="s">
        <v>705</v>
      </c>
      <c r="E1188" s="6" t="s">
        <v>1880</v>
      </c>
      <c r="F1188" s="7" t="str">
        <f aca="false">IF($D1188="","",IFERROR(IF(INDEX(Hierarchy!$B$2:$B$1295,MATCH($D1188,Hierarchy!$A$2:$A$1295,0))="","",INDEX(Hierarchy!$B$2:$B$1295,MATCH($D1188,Hierarchy!$A$2:$A$1295,0))),"NODE NOT FOUND"))</f>
        <v>State/Province</v>
      </c>
      <c r="G1188" s="7" t="str">
        <f aca="false">IF($D1188="","",IFERROR(IF(INDEX(Hierarchy!$D$2:$D$1295,MATCH($D1188,Hierarchy!$A$2:$A$1295,0))="","",INDEX(Hierarchy!$D$2:$D$1295,MATCH($D1188,Hierarchy!$A$2:$A$1295,0))),"NODE NOT FOUND"))</f>
        <v>EMEA</v>
      </c>
      <c r="H1188" s="7" t="str">
        <f aca="false">IF($D1188="","",IFERROR(IF(INDEX(Hierarchy!$E$2:$E$1295,MATCH($D1188,Hierarchy!$A$2:$A$1295,0))="","",INDEX(Hierarchy!$E$2:$E$1295,MATCH($D1188,Hierarchy!$A$2:$A$1295,0))),"NODE NOT FOUND"))</f>
        <v>Europe</v>
      </c>
      <c r="I1188" s="7" t="str">
        <f aca="false">IF($D1188="","",IFERROR(IF(INDEX(Hierarchy!$F$2:$F$1295,MATCH($D1188,Hierarchy!$A$2:$A$1295,0))="","",INDEX(Hierarchy!$F$2:$F$1295,MATCH($D1188,Hierarchy!$A$2:$A$1295,0))),"NODE NOT FOUND"))</f>
        <v>Germany</v>
      </c>
      <c r="J1188" s="7" t="str">
        <f aca="false">IF($D1188="","",IFERROR(IF(INDEX(Hierarchy!$G$2:$G$1295,MATCH($D1188,Hierarchy!$A$2:$A$1295,0))="","",INDEX(Hierarchy!$G$2:$G$1295,MATCH($D1188,Hierarchy!$A$2:$A$1295,0))),"NODE NOT FOUND"))</f>
        <v>DEU</v>
      </c>
      <c r="K1188" s="7" t="str">
        <f aca="false">IF($D1188="","",IFERROR(IF(INDEX(Hierarchy!$H$2:$H$1295,MATCH($D1188,Hierarchy!$A$2:$A$1295,0))="","",INDEX(Hierarchy!$H$2:$H$1295,MATCH($D1188,Hierarchy!$A$2:$A$1295,0))),"NODE NOT FOUND"))</f>
        <v>North Rhine-Westphalia</v>
      </c>
      <c r="L1188" s="7" t="str">
        <f aca="false">IF($D1188="","",IFERROR(IF(INDEX(Hierarchy!$I$2:$I$1295,MATCH($D1188,Hierarchy!$A$2:$A$1295,0))="","",INDEX(Hierarchy!$I$2:$I$1295,MATCH($D1188,Hierarchy!$A$2:$A$1295,0))),"NODE NOT FOUND"))</f>
        <v/>
      </c>
      <c r="M1188" s="17" t="str">
        <f aca="false">IF(B1188="Pre-seeded","Pre-seeded",IF(B1188="Review 2026-09-16","Added from review",IF(C1188="","New",IF(C1188=D1188,"","Changed"))))</f>
        <v>Pre-seeded</v>
      </c>
      <c r="N1188" s="7" t="str">
        <f aca="false">TRIM(SUBSTITUTE(SUBSTITUTE(SUBSTITUTE(" "&amp;TRIM(SUBSTITUTE(SUBSTITUTE(SUBSTITUTE(SUBSTITUTE(SUBSTITUTE(SUBSTITUTE(SUBSTITUTE(SUBSTITUTE(SUBSTITUTE(SUBSTITUTE(SUBSTITUTE(SUBSTITUTE(SUBSTITUTE(SUBSTITUTE(SUBSTITUTE(UPPER(TRIM(A1188)),"[MEMBER]",""),"{MEMBER}",""),"[MEMBER}",""),"MEMBER]",""),"(A)",""),"""",""),"“",""),"”",""),".",""),":",""),",",""),"–"," "),"-"," "),"/"," "),"&amp;"," AND "))&amp;" "," THE "," ")," TOTAL "," ")," OPERATIONS "," "))</f>
        <v>NORTH RHINE WESTPHALIA</v>
      </c>
      <c r="O1188" s="17" t="str">
        <f aca="false">IF(COUNTIFS($N$2:$N$2000,N1188,$D$2:$D$2000,"&lt;&gt;"&amp;D1188)&gt;0,"CONFLICT","")</f>
        <v/>
      </c>
      <c r="P1188" s="7"/>
    </row>
    <row r="1189" customFormat="false" ht="15" hidden="false" customHeight="false" outlineLevel="0" collapsed="false">
      <c r="A1189" s="7" t="s">
        <v>1612</v>
      </c>
      <c r="B1189" s="7" t="s">
        <v>1879</v>
      </c>
      <c r="C1189" s="7"/>
      <c r="D1189" s="6" t="s">
        <v>1612</v>
      </c>
      <c r="E1189" s="6" t="s">
        <v>1880</v>
      </c>
      <c r="F1189" s="7" t="str">
        <f aca="false">IF($D1189="","",IFERROR(IF(INDEX(Hierarchy!$B$2:$B$1295,MATCH($D1189,Hierarchy!$A$2:$A$1295,0))="","",INDEX(Hierarchy!$B$2:$B$1295,MATCH($D1189,Hierarchy!$A$2:$A$1295,0))),"NODE NOT FOUND"))</f>
        <v>State/Province</v>
      </c>
      <c r="G1189" s="7" t="str">
        <f aca="false">IF($D1189="","",IFERROR(IF(INDEX(Hierarchy!$D$2:$D$1295,MATCH($D1189,Hierarchy!$A$2:$A$1295,0))="","",INDEX(Hierarchy!$D$2:$D$1295,MATCH($D1189,Hierarchy!$A$2:$A$1295,0))),"NODE NOT FOUND"))</f>
        <v>APAC</v>
      </c>
      <c r="H1189" s="7" t="str">
        <f aca="false">IF($D1189="","",IFERROR(IF(INDEX(Hierarchy!$E$2:$E$1295,MATCH($D1189,Hierarchy!$A$2:$A$1295,0))="","",INDEX(Hierarchy!$E$2:$E$1295,MATCH($D1189,Hierarchy!$A$2:$A$1295,0))),"NODE NOT FOUND"))</f>
        <v>Southeast Asia (ASEAN)</v>
      </c>
      <c r="I1189" s="7" t="str">
        <f aca="false">IF($D1189="","",IFERROR(IF(INDEX(Hierarchy!$F$2:$F$1295,MATCH($D1189,Hierarchy!$A$2:$A$1295,0))="","",INDEX(Hierarchy!$F$2:$F$1295,MATCH($D1189,Hierarchy!$A$2:$A$1295,0))),"NODE NOT FOUND"))</f>
        <v>Indonesia</v>
      </c>
      <c r="J1189" s="7" t="str">
        <f aca="false">IF($D1189="","",IFERROR(IF(INDEX(Hierarchy!$G$2:$G$1295,MATCH($D1189,Hierarchy!$A$2:$A$1295,0))="","",INDEX(Hierarchy!$G$2:$G$1295,MATCH($D1189,Hierarchy!$A$2:$A$1295,0))),"NODE NOT FOUND"))</f>
        <v>IDN</v>
      </c>
      <c r="K1189" s="7" t="str">
        <f aca="false">IF($D1189="","",IFERROR(IF(INDEX(Hierarchy!$H$2:$H$1295,MATCH($D1189,Hierarchy!$A$2:$A$1295,0))="","",INDEX(Hierarchy!$H$2:$H$1295,MATCH($D1189,Hierarchy!$A$2:$A$1295,0))),"NODE NOT FOUND"))</f>
        <v>North Sulawesi</v>
      </c>
      <c r="L1189" s="7" t="str">
        <f aca="false">IF($D1189="","",IFERROR(IF(INDEX(Hierarchy!$I$2:$I$1295,MATCH($D1189,Hierarchy!$A$2:$A$1295,0))="","",INDEX(Hierarchy!$I$2:$I$1295,MATCH($D1189,Hierarchy!$A$2:$A$1295,0))),"NODE NOT FOUND"))</f>
        <v/>
      </c>
      <c r="M1189" s="17" t="str">
        <f aca="false">IF(B1189="Pre-seeded","Pre-seeded",IF(B1189="Review 2026-09-16","Added from review",IF(C1189="","New",IF(C1189=D1189,"","Changed"))))</f>
        <v>Pre-seeded</v>
      </c>
      <c r="N1189" s="7" t="str">
        <f aca="false">TRIM(SUBSTITUTE(SUBSTITUTE(SUBSTITUTE(" "&amp;TRIM(SUBSTITUTE(SUBSTITUTE(SUBSTITUTE(SUBSTITUTE(SUBSTITUTE(SUBSTITUTE(SUBSTITUTE(SUBSTITUTE(SUBSTITUTE(SUBSTITUTE(SUBSTITUTE(SUBSTITUTE(SUBSTITUTE(SUBSTITUTE(SUBSTITUTE(UPPER(TRIM(A1189)),"[MEMBER]",""),"{MEMBER}",""),"[MEMBER}",""),"MEMBER]",""),"(A)",""),"""",""),"“",""),"”",""),".",""),":",""),",",""),"–"," "),"-"," "),"/"," "),"&amp;"," AND "))&amp;" "," THE "," ")," TOTAL "," ")," OPERATIONS "," "))</f>
        <v>NORTH SULAWESI</v>
      </c>
      <c r="O1189" s="17" t="str">
        <f aca="false">IF(COUNTIFS($N$2:$N$2000,N1189,$D$2:$D$2000,"&lt;&gt;"&amp;D1189)&gt;0,"CONFLICT","")</f>
        <v/>
      </c>
      <c r="P1189" s="7"/>
    </row>
    <row r="1190" customFormat="false" ht="15" hidden="false" customHeight="false" outlineLevel="0" collapsed="false">
      <c r="A1190" s="7" t="s">
        <v>1613</v>
      </c>
      <c r="B1190" s="7" t="s">
        <v>1879</v>
      </c>
      <c r="C1190" s="7"/>
      <c r="D1190" s="6" t="s">
        <v>1613</v>
      </c>
      <c r="E1190" s="6" t="s">
        <v>1880</v>
      </c>
      <c r="F1190" s="7" t="str">
        <f aca="false">IF($D1190="","",IFERROR(IF(INDEX(Hierarchy!$B$2:$B$1295,MATCH($D1190,Hierarchy!$A$2:$A$1295,0))="","",INDEX(Hierarchy!$B$2:$B$1295,MATCH($D1190,Hierarchy!$A$2:$A$1295,0))),"NODE NOT FOUND"))</f>
        <v>State/Province</v>
      </c>
      <c r="G1190" s="7" t="str">
        <f aca="false">IF($D1190="","",IFERROR(IF(INDEX(Hierarchy!$D$2:$D$1295,MATCH($D1190,Hierarchy!$A$2:$A$1295,0))="","",INDEX(Hierarchy!$D$2:$D$1295,MATCH($D1190,Hierarchy!$A$2:$A$1295,0))),"NODE NOT FOUND"))</f>
        <v>APAC</v>
      </c>
      <c r="H1190" s="7" t="str">
        <f aca="false">IF($D1190="","",IFERROR(IF(INDEX(Hierarchy!$E$2:$E$1295,MATCH($D1190,Hierarchy!$A$2:$A$1295,0))="","",INDEX(Hierarchy!$E$2:$E$1295,MATCH($D1190,Hierarchy!$A$2:$A$1295,0))),"NODE NOT FOUND"))</f>
        <v>Southeast Asia (ASEAN)</v>
      </c>
      <c r="I1190" s="7" t="str">
        <f aca="false">IF($D1190="","",IFERROR(IF(INDEX(Hierarchy!$F$2:$F$1295,MATCH($D1190,Hierarchy!$A$2:$A$1295,0))="","",INDEX(Hierarchy!$F$2:$F$1295,MATCH($D1190,Hierarchy!$A$2:$A$1295,0))),"NODE NOT FOUND"))</f>
        <v>Indonesia</v>
      </c>
      <c r="J1190" s="7" t="str">
        <f aca="false">IF($D1190="","",IFERROR(IF(INDEX(Hierarchy!$G$2:$G$1295,MATCH($D1190,Hierarchy!$A$2:$A$1295,0))="","",INDEX(Hierarchy!$G$2:$G$1295,MATCH($D1190,Hierarchy!$A$2:$A$1295,0))),"NODE NOT FOUND"))</f>
        <v>IDN</v>
      </c>
      <c r="K1190" s="7" t="str">
        <f aca="false">IF($D1190="","",IFERROR(IF(INDEX(Hierarchy!$H$2:$H$1295,MATCH($D1190,Hierarchy!$A$2:$A$1295,0))="","",INDEX(Hierarchy!$H$2:$H$1295,MATCH($D1190,Hierarchy!$A$2:$A$1295,0))),"NODE NOT FOUND"))</f>
        <v>North Sumatra</v>
      </c>
      <c r="L1190" s="7" t="str">
        <f aca="false">IF($D1190="","",IFERROR(IF(INDEX(Hierarchy!$I$2:$I$1295,MATCH($D1190,Hierarchy!$A$2:$A$1295,0))="","",INDEX(Hierarchy!$I$2:$I$1295,MATCH($D1190,Hierarchy!$A$2:$A$1295,0))),"NODE NOT FOUND"))</f>
        <v/>
      </c>
      <c r="M1190" s="17" t="str">
        <f aca="false">IF(B1190="Pre-seeded","Pre-seeded",IF(B1190="Review 2026-09-16","Added from review",IF(C1190="","New",IF(C1190=D1190,"","Changed"))))</f>
        <v>Pre-seeded</v>
      </c>
      <c r="N1190" s="7" t="str">
        <f aca="false">TRIM(SUBSTITUTE(SUBSTITUTE(SUBSTITUTE(" "&amp;TRIM(SUBSTITUTE(SUBSTITUTE(SUBSTITUTE(SUBSTITUTE(SUBSTITUTE(SUBSTITUTE(SUBSTITUTE(SUBSTITUTE(SUBSTITUTE(SUBSTITUTE(SUBSTITUTE(SUBSTITUTE(SUBSTITUTE(SUBSTITUTE(SUBSTITUTE(UPPER(TRIM(A1190)),"[MEMBER]",""),"{MEMBER}",""),"[MEMBER}",""),"MEMBER]",""),"(A)",""),"""",""),"“",""),"”",""),".",""),":",""),",",""),"–"," "),"-"," "),"/"," "),"&amp;"," AND "))&amp;" "," THE "," ")," TOTAL "," ")," OPERATIONS "," "))</f>
        <v>NORTH SUMATRA</v>
      </c>
      <c r="O1190" s="17" t="str">
        <f aca="false">IF(COUNTIFS($N$2:$N$2000,N1190,$D$2:$D$2000,"&lt;&gt;"&amp;D1190)&gt;0,"CONFLICT","")</f>
        <v/>
      </c>
      <c r="P1190" s="7"/>
    </row>
    <row r="1191" customFormat="false" ht="15" hidden="false" customHeight="false" outlineLevel="0" collapsed="false">
      <c r="A1191" s="7" t="s">
        <v>1124</v>
      </c>
      <c r="B1191" s="7" t="s">
        <v>1879</v>
      </c>
      <c r="C1191" s="7"/>
      <c r="D1191" s="6" t="s">
        <v>1124</v>
      </c>
      <c r="E1191" s="6" t="s">
        <v>1880</v>
      </c>
      <c r="F1191" s="7" t="str">
        <f aca="false">IF($D1191="","",IFERROR(IF(INDEX(Hierarchy!$B$2:$B$1295,MATCH($D1191,Hierarchy!$A$2:$A$1295,0))="","",INDEX(Hierarchy!$B$2:$B$1295,MATCH($D1191,Hierarchy!$A$2:$A$1295,0))),"NODE NOT FOUND"))</f>
        <v>State/Province</v>
      </c>
      <c r="G1191" s="7" t="str">
        <f aca="false">IF($D1191="","",IFERROR(IF(INDEX(Hierarchy!$D$2:$D$1295,MATCH($D1191,Hierarchy!$A$2:$A$1295,0))="","",INDEX(Hierarchy!$D$2:$D$1295,MATCH($D1191,Hierarchy!$A$2:$A$1295,0))),"NODE NOT FOUND"))</f>
        <v>EMEA</v>
      </c>
      <c r="H1191" s="7" t="str">
        <f aca="false">IF($D1191="","",IFERROR(IF(INDEX(Hierarchy!$E$2:$E$1295,MATCH($D1191,Hierarchy!$A$2:$A$1295,0))="","",INDEX(Hierarchy!$E$2:$E$1295,MATCH($D1191,Hierarchy!$A$2:$A$1295,0))),"NODE NOT FOUND"))</f>
        <v>Africa</v>
      </c>
      <c r="I1191" s="7" t="str">
        <f aca="false">IF($D1191="","",IFERROR(IF(INDEX(Hierarchy!$F$2:$F$1295,MATCH($D1191,Hierarchy!$A$2:$A$1295,0))="","",INDEX(Hierarchy!$F$2:$F$1295,MATCH($D1191,Hierarchy!$A$2:$A$1295,0))),"NODE NOT FOUND"))</f>
        <v>South Africa</v>
      </c>
      <c r="J1191" s="7" t="str">
        <f aca="false">IF($D1191="","",IFERROR(IF(INDEX(Hierarchy!$G$2:$G$1295,MATCH($D1191,Hierarchy!$A$2:$A$1295,0))="","",INDEX(Hierarchy!$G$2:$G$1295,MATCH($D1191,Hierarchy!$A$2:$A$1295,0))),"NODE NOT FOUND"))</f>
        <v>ZAF</v>
      </c>
      <c r="K1191" s="7" t="str">
        <f aca="false">IF($D1191="","",IFERROR(IF(INDEX(Hierarchy!$H$2:$H$1295,MATCH($D1191,Hierarchy!$A$2:$A$1295,0))="","",INDEX(Hierarchy!$H$2:$H$1295,MATCH($D1191,Hierarchy!$A$2:$A$1295,0))),"NODE NOT FOUND"))</f>
        <v>North West</v>
      </c>
      <c r="L1191" s="7" t="str">
        <f aca="false">IF($D1191="","",IFERROR(IF(INDEX(Hierarchy!$I$2:$I$1295,MATCH($D1191,Hierarchy!$A$2:$A$1295,0))="","",INDEX(Hierarchy!$I$2:$I$1295,MATCH($D1191,Hierarchy!$A$2:$A$1295,0))),"NODE NOT FOUND"))</f>
        <v/>
      </c>
      <c r="M1191" s="17" t="str">
        <f aca="false">IF(B1191="Pre-seeded","Pre-seeded",IF(B1191="Review 2026-09-16","Added from review",IF(C1191="","New",IF(C1191=D1191,"","Changed"))))</f>
        <v>Pre-seeded</v>
      </c>
      <c r="N1191" s="7" t="str">
        <f aca="false">TRIM(SUBSTITUTE(SUBSTITUTE(SUBSTITUTE(" "&amp;TRIM(SUBSTITUTE(SUBSTITUTE(SUBSTITUTE(SUBSTITUTE(SUBSTITUTE(SUBSTITUTE(SUBSTITUTE(SUBSTITUTE(SUBSTITUTE(SUBSTITUTE(SUBSTITUTE(SUBSTITUTE(SUBSTITUTE(SUBSTITUTE(SUBSTITUTE(UPPER(TRIM(A1191)),"[MEMBER]",""),"{MEMBER}",""),"[MEMBER}",""),"MEMBER]",""),"(A)",""),"""",""),"“",""),"”",""),".",""),":",""),",",""),"–"," "),"-"," "),"/"," "),"&amp;"," AND "))&amp;" "," THE "," ")," TOTAL "," ")," OPERATIONS "," "))</f>
        <v>NORTH WEST</v>
      </c>
      <c r="O1191" s="17" t="str">
        <f aca="false">IF(COUNTIFS($N$2:$N$2000,N1191,$D$2:$D$2000,"&lt;&gt;"&amp;D1191)&gt;0,"CONFLICT","")</f>
        <v/>
      </c>
      <c r="P1191" s="7"/>
    </row>
    <row r="1192" customFormat="false" ht="15" hidden="false" customHeight="false" outlineLevel="0" collapsed="false">
      <c r="A1192" s="7" t="s">
        <v>671</v>
      </c>
      <c r="B1192" s="7" t="s">
        <v>1879</v>
      </c>
      <c r="C1192" s="7"/>
      <c r="D1192" s="6" t="s">
        <v>671</v>
      </c>
      <c r="E1192" s="6" t="s">
        <v>1880</v>
      </c>
      <c r="F1192" s="7" t="str">
        <f aca="false">IF($D1192="","",IFERROR(IF(INDEX(Hierarchy!$B$2:$B$1295,MATCH($D1192,Hierarchy!$A$2:$A$1295,0))="","",INDEX(Hierarchy!$B$2:$B$1295,MATCH($D1192,Hierarchy!$A$2:$A$1295,0))),"NODE NOT FOUND"))</f>
        <v>Sub-national region</v>
      </c>
      <c r="G1192" s="7" t="str">
        <f aca="false">IF($D1192="","",IFERROR(IF(INDEX(Hierarchy!$D$2:$D$1295,MATCH($D1192,Hierarchy!$A$2:$A$1295,0))="","",INDEX(Hierarchy!$D$2:$D$1295,MATCH($D1192,Hierarchy!$A$2:$A$1295,0))),"NODE NOT FOUND"))</f>
        <v>EMEA</v>
      </c>
      <c r="H1192" s="7" t="str">
        <f aca="false">IF($D1192="","",IFERROR(IF(INDEX(Hierarchy!$E$2:$E$1295,MATCH($D1192,Hierarchy!$A$2:$A$1295,0))="","",INDEX(Hierarchy!$E$2:$E$1295,MATCH($D1192,Hierarchy!$A$2:$A$1295,0))),"NODE NOT FOUND"))</f>
        <v>Europe</v>
      </c>
      <c r="I1192" s="7" t="str">
        <f aca="false">IF($D1192="","",IFERROR(IF(INDEX(Hierarchy!$F$2:$F$1295,MATCH($D1192,Hierarchy!$A$2:$A$1295,0))="","",INDEX(Hierarchy!$F$2:$F$1295,MATCH($D1192,Hierarchy!$A$2:$A$1295,0))),"NODE NOT FOUND"))</f>
        <v>United Kingdom</v>
      </c>
      <c r="J1192" s="7" t="str">
        <f aca="false">IF($D1192="","",IFERROR(IF(INDEX(Hierarchy!$G$2:$G$1295,MATCH($D1192,Hierarchy!$A$2:$A$1295,0))="","",INDEX(Hierarchy!$G$2:$G$1295,MATCH($D1192,Hierarchy!$A$2:$A$1295,0))),"NODE NOT FOUND"))</f>
        <v>GBR</v>
      </c>
      <c r="K1192" s="7" t="str">
        <f aca="false">IF($D1192="","",IFERROR(IF(INDEX(Hierarchy!$H$2:$H$1295,MATCH($D1192,Hierarchy!$A$2:$A$1295,0))="","",INDEX(Hierarchy!$H$2:$H$1295,MATCH($D1192,Hierarchy!$A$2:$A$1295,0))),"NODE NOT FOUND"))</f>
        <v>England</v>
      </c>
      <c r="L1192" s="7" t="str">
        <f aca="false">IF($D1192="","",IFERROR(IF(INDEX(Hierarchy!$I$2:$I$1295,MATCH($D1192,Hierarchy!$A$2:$A$1295,0))="","",INDEX(Hierarchy!$I$2:$I$1295,MATCH($D1192,Hierarchy!$A$2:$A$1295,0))),"NODE NOT FOUND"))</f>
        <v/>
      </c>
      <c r="M1192" s="17" t="str">
        <f aca="false">IF(B1192="Pre-seeded","Pre-seeded",IF(B1192="Review 2026-09-16","Added from review",IF(C1192="","New",IF(C1192=D1192,"","Changed"))))</f>
        <v>Pre-seeded</v>
      </c>
      <c r="N1192" s="7" t="str">
        <f aca="false">TRIM(SUBSTITUTE(SUBSTITUTE(SUBSTITUTE(" "&amp;TRIM(SUBSTITUTE(SUBSTITUTE(SUBSTITUTE(SUBSTITUTE(SUBSTITUTE(SUBSTITUTE(SUBSTITUTE(SUBSTITUTE(SUBSTITUTE(SUBSTITUTE(SUBSTITUTE(SUBSTITUTE(SUBSTITUTE(SUBSTITUTE(SUBSTITUTE(UPPER(TRIM(A1192)),"[MEMBER]",""),"{MEMBER}",""),"[MEMBER}",""),"MEMBER]",""),"(A)",""),"""",""),"“",""),"”",""),".",""),":",""),",",""),"–"," "),"-"," "),"/"," "),"&amp;"," AND "))&amp;" "," THE "," ")," TOTAL "," ")," OPERATIONS "," "))</f>
        <v>NORTH WEST ENGLAND</v>
      </c>
      <c r="O1192" s="17" t="str">
        <f aca="false">IF(COUNTIFS($N$2:$N$2000,N1192,$D$2:$D$2000,"&lt;&gt;"&amp;D1192)&gt;0,"CONFLICT","")</f>
        <v/>
      </c>
      <c r="P1192" s="7"/>
    </row>
    <row r="1193" customFormat="false" ht="15" hidden="false" customHeight="false" outlineLevel="0" collapsed="false">
      <c r="A1193" s="7" t="s">
        <v>1412</v>
      </c>
      <c r="B1193" s="7" t="s">
        <v>1879</v>
      </c>
      <c r="C1193" s="7"/>
      <c r="D1193" s="6" t="s">
        <v>1412</v>
      </c>
      <c r="E1193" s="6" t="s">
        <v>1880</v>
      </c>
      <c r="F1193" s="7" t="str">
        <f aca="false">IF($D1193="","",IFERROR(IF(INDEX(Hierarchy!$B$2:$B$1295,MATCH($D1193,Hierarchy!$A$2:$A$1295,0))="","",INDEX(Hierarchy!$B$2:$B$1295,MATCH($D1193,Hierarchy!$A$2:$A$1295,0))),"NODE NOT FOUND"))</f>
        <v>State/Province</v>
      </c>
      <c r="G1193" s="7" t="str">
        <f aca="false">IF($D1193="","",IFERROR(IF(INDEX(Hierarchy!$D$2:$D$1295,MATCH($D1193,Hierarchy!$A$2:$A$1295,0))="","",INDEX(Hierarchy!$D$2:$D$1295,MATCH($D1193,Hierarchy!$A$2:$A$1295,0))),"NODE NOT FOUND"))</f>
        <v>APAC</v>
      </c>
      <c r="H1193" s="7" t="str">
        <f aca="false">IF($D1193="","",IFERROR(IF(INDEX(Hierarchy!$E$2:$E$1295,MATCH($D1193,Hierarchy!$A$2:$A$1295,0))="","",INDEX(Hierarchy!$E$2:$E$1295,MATCH($D1193,Hierarchy!$A$2:$A$1295,0))),"NODE NOT FOUND"))</f>
        <v>South Asia</v>
      </c>
      <c r="I1193" s="7" t="str">
        <f aca="false">IF($D1193="","",IFERROR(IF(INDEX(Hierarchy!$F$2:$F$1295,MATCH($D1193,Hierarchy!$A$2:$A$1295,0))="","",INDEX(Hierarchy!$F$2:$F$1295,MATCH($D1193,Hierarchy!$A$2:$A$1295,0))),"NODE NOT FOUND"))</f>
        <v>Sri Lanka</v>
      </c>
      <c r="J1193" s="7" t="str">
        <f aca="false">IF($D1193="","",IFERROR(IF(INDEX(Hierarchy!$G$2:$G$1295,MATCH($D1193,Hierarchy!$A$2:$A$1295,0))="","",INDEX(Hierarchy!$G$2:$G$1295,MATCH($D1193,Hierarchy!$A$2:$A$1295,0))),"NODE NOT FOUND"))</f>
        <v>LKA</v>
      </c>
      <c r="K1193" s="7" t="str">
        <f aca="false">IF($D1193="","",IFERROR(IF(INDEX(Hierarchy!$H$2:$H$1295,MATCH($D1193,Hierarchy!$A$2:$A$1295,0))="","",INDEX(Hierarchy!$H$2:$H$1295,MATCH($D1193,Hierarchy!$A$2:$A$1295,0))),"NODE NOT FOUND"))</f>
        <v>North Western Province (Sri Lanka)</v>
      </c>
      <c r="L1193" s="7" t="str">
        <f aca="false">IF($D1193="","",IFERROR(IF(INDEX(Hierarchy!$I$2:$I$1295,MATCH($D1193,Hierarchy!$A$2:$A$1295,0))="","",INDEX(Hierarchy!$I$2:$I$1295,MATCH($D1193,Hierarchy!$A$2:$A$1295,0))),"NODE NOT FOUND"))</f>
        <v/>
      </c>
      <c r="M1193" s="17" t="str">
        <f aca="false">IF(B1193="Pre-seeded","Pre-seeded",IF(B1193="Review 2026-09-16","Added from review",IF(C1193="","New",IF(C1193=D1193,"","Changed"))))</f>
        <v>Pre-seeded</v>
      </c>
      <c r="N1193" s="7" t="str">
        <f aca="false">TRIM(SUBSTITUTE(SUBSTITUTE(SUBSTITUTE(" "&amp;TRIM(SUBSTITUTE(SUBSTITUTE(SUBSTITUTE(SUBSTITUTE(SUBSTITUTE(SUBSTITUTE(SUBSTITUTE(SUBSTITUTE(SUBSTITUTE(SUBSTITUTE(SUBSTITUTE(SUBSTITUTE(SUBSTITUTE(SUBSTITUTE(SUBSTITUTE(UPPER(TRIM(A1193)),"[MEMBER]",""),"{MEMBER}",""),"[MEMBER}",""),"MEMBER]",""),"(A)",""),"""",""),"“",""),"”",""),".",""),":",""),",",""),"–"," "),"-"," "),"/"," "),"&amp;"," AND "))&amp;" "," THE "," ")," TOTAL "," ")," OPERATIONS "," "))</f>
        <v>NORTH WESTERN PROVINCE (SRI LANKA)</v>
      </c>
      <c r="O1193" s="17" t="str">
        <f aca="false">IF(COUNTIFS($N$2:$N$2000,N1193,$D$2:$D$2000,"&lt;&gt;"&amp;D1193)&gt;0,"CONFLICT","")</f>
        <v/>
      </c>
      <c r="P1193" s="7"/>
    </row>
    <row r="1194" customFormat="false" ht="15" hidden="false" customHeight="false" outlineLevel="0" collapsed="false">
      <c r="A1194" s="7" t="s">
        <v>2463</v>
      </c>
      <c r="B1194" s="7" t="s">
        <v>1885</v>
      </c>
      <c r="C1194" s="7" t="s">
        <v>2461</v>
      </c>
      <c r="D1194" s="6" t="s">
        <v>104</v>
      </c>
      <c r="E1194" s="6" t="s">
        <v>1880</v>
      </c>
      <c r="F1194" s="7" t="str">
        <f aca="false">IF($D1194="","",IFERROR(IF(INDEX(Hierarchy!$B$2:$B$1295,MATCH($D1194,Hierarchy!$A$2:$A$1295,0))="","",INDEX(Hierarchy!$B$2:$B$1295,MATCH($D1194,Hierarchy!$A$2:$A$1295,0))),"NODE NOT FOUND"))</f>
        <v>Sub-national region</v>
      </c>
      <c r="G1194" s="7" t="str">
        <f aca="false">IF($D1194="","",IFERROR(IF(INDEX(Hierarchy!$D$2:$D$1295,MATCH($D1194,Hierarchy!$A$2:$A$1295,0))="","",INDEX(Hierarchy!$D$2:$D$1295,MATCH($D1194,Hierarchy!$A$2:$A$1295,0))),"NODE NOT FOUND"))</f>
        <v>AMER</v>
      </c>
      <c r="H1194" s="7" t="str">
        <f aca="false">IF($D1194="","",IFERROR(IF(INDEX(Hierarchy!$E$2:$E$1295,MATCH($D1194,Hierarchy!$A$2:$A$1295,0))="","",INDEX(Hierarchy!$E$2:$E$1295,MATCH($D1194,Hierarchy!$A$2:$A$1295,0))),"NODE NOT FOUND"))</f>
        <v>North America (NORAM)</v>
      </c>
      <c r="I1194" s="7" t="str">
        <f aca="false">IF($D1194="","",IFERROR(IF(INDEX(Hierarchy!$F$2:$F$1295,MATCH($D1194,Hierarchy!$A$2:$A$1295,0))="","",INDEX(Hierarchy!$F$2:$F$1295,MATCH($D1194,Hierarchy!$A$2:$A$1295,0))),"NODE NOT FOUND"))</f>
        <v>United States</v>
      </c>
      <c r="J1194" s="7" t="str">
        <f aca="false">IF($D1194="","",IFERROR(IF(INDEX(Hierarchy!$G$2:$G$1295,MATCH($D1194,Hierarchy!$A$2:$A$1295,0))="","",INDEX(Hierarchy!$G$2:$G$1295,MATCH($D1194,Hierarchy!$A$2:$A$1295,0))),"NODE NOT FOUND"))</f>
        <v>USA</v>
      </c>
      <c r="K1194" s="7" t="str">
        <f aca="false">IF($D1194="","",IFERROR(IF(INDEX(Hierarchy!$H$2:$H$1295,MATCH($D1194,Hierarchy!$A$2:$A$1295,0))="","",INDEX(Hierarchy!$H$2:$H$1295,MATCH($D1194,Hierarchy!$A$2:$A$1295,0))),"NODE NOT FOUND"))</f>
        <v/>
      </c>
      <c r="L1194" s="7" t="str">
        <f aca="false">IF($D1194="","",IFERROR(IF(INDEX(Hierarchy!$I$2:$I$1295,MATCH($D1194,Hierarchy!$A$2:$A$1295,0))="","",INDEX(Hierarchy!$I$2:$I$1295,MATCH($D1194,Hierarchy!$A$2:$A$1295,0))),"NODE NOT FOUND"))</f>
        <v/>
      </c>
      <c r="M1194" s="17" t="str">
        <f aca="false">IF(B1194="Pre-seeded","Pre-seeded",IF(B1194="Review 2026-09-16","Added from review",IF(C1194="","New",IF(C1194=D1194,"","Changed"))))</f>
        <v>Changed</v>
      </c>
      <c r="N1194" s="7" t="str">
        <f aca="false">TRIM(SUBSTITUTE(SUBSTITUTE(SUBSTITUTE(" "&amp;TRIM(SUBSTITUTE(SUBSTITUTE(SUBSTITUTE(SUBSTITUTE(SUBSTITUTE(SUBSTITUTE(SUBSTITUTE(SUBSTITUTE(SUBSTITUTE(SUBSTITUTE(SUBSTITUTE(SUBSTITUTE(SUBSTITUTE(SUBSTITUTE(SUBSTITUTE(UPPER(TRIM(A1194)),"[MEMBER]",""),"{MEMBER}",""),"[MEMBER}",""),"MEMBER]",""),"(A)",""),"""",""),"“",""),"”",""),".",""),":",""),",",""),"–"," "),"-"," "),"/"," "),"&amp;"," AND "))&amp;" "," THE "," ")," TOTAL "," ")," OPERATIONS "," "))</f>
        <v>NORTHEAST</v>
      </c>
      <c r="O1194" s="17" t="str">
        <f aca="false">IF(COUNTIFS($N$2:$N$2000,N1194,$D$2:$D$2000,"&lt;&gt;"&amp;D1194)&gt;0,"CONFLICT","")</f>
        <v/>
      </c>
      <c r="P1194" s="7"/>
    </row>
    <row r="1195" customFormat="false" ht="15" hidden="false" customHeight="false" outlineLevel="0" collapsed="false">
      <c r="A1195" s="7" t="s">
        <v>1422</v>
      </c>
      <c r="B1195" s="7" t="s">
        <v>1879</v>
      </c>
      <c r="C1195" s="7"/>
      <c r="D1195" s="6" t="s">
        <v>1422</v>
      </c>
      <c r="E1195" s="6" t="s">
        <v>1880</v>
      </c>
      <c r="F1195" s="7" t="str">
        <f aca="false">IF($D1195="","",IFERROR(IF(INDEX(Hierarchy!$B$2:$B$1295,MATCH($D1195,Hierarchy!$A$2:$A$1295,0))="","",INDEX(Hierarchy!$B$2:$B$1295,MATCH($D1195,Hierarchy!$A$2:$A$1295,0))),"NODE NOT FOUND"))</f>
        <v>Sub-region component</v>
      </c>
      <c r="G1195" s="7" t="str">
        <f aca="false">IF($D1195="","",IFERROR(IF(INDEX(Hierarchy!$D$2:$D$1295,MATCH($D1195,Hierarchy!$A$2:$A$1295,0))="","",INDEX(Hierarchy!$D$2:$D$1295,MATCH($D1195,Hierarchy!$A$2:$A$1295,0))),"NODE NOT FOUND"))</f>
        <v>APAC</v>
      </c>
      <c r="H1195" s="7" t="str">
        <f aca="false">IF($D1195="","",IFERROR(IF(INDEX(Hierarchy!$E$2:$E$1295,MATCH($D1195,Hierarchy!$A$2:$A$1295,0))="","",INDEX(Hierarchy!$E$2:$E$1295,MATCH($D1195,Hierarchy!$A$2:$A$1295,0))),"NODE NOT FOUND"))</f>
        <v>East Asia</v>
      </c>
      <c r="I1195" s="7" t="str">
        <f aca="false">IF($D1195="","",IFERROR(IF(INDEX(Hierarchy!$F$2:$F$1295,MATCH($D1195,Hierarchy!$A$2:$A$1295,0))="","",INDEX(Hierarchy!$F$2:$F$1295,MATCH($D1195,Hierarchy!$A$2:$A$1295,0))),"NODE NOT FOUND"))</f>
        <v/>
      </c>
      <c r="J1195" s="7" t="str">
        <f aca="false">IF($D1195="","",IFERROR(IF(INDEX(Hierarchy!$G$2:$G$1295,MATCH($D1195,Hierarchy!$A$2:$A$1295,0))="","",INDEX(Hierarchy!$G$2:$G$1295,MATCH($D1195,Hierarchy!$A$2:$A$1295,0))),"NODE NOT FOUND"))</f>
        <v/>
      </c>
      <c r="K1195" s="7" t="str">
        <f aca="false">IF($D1195="","",IFERROR(IF(INDEX(Hierarchy!$H$2:$H$1295,MATCH($D1195,Hierarchy!$A$2:$A$1295,0))="","",INDEX(Hierarchy!$H$2:$H$1295,MATCH($D1195,Hierarchy!$A$2:$A$1295,0))),"NODE NOT FOUND"))</f>
        <v/>
      </c>
      <c r="L1195" s="7" t="str">
        <f aca="false">IF($D1195="","",IFERROR(IF(INDEX(Hierarchy!$I$2:$I$1295,MATCH($D1195,Hierarchy!$A$2:$A$1295,0))="","",INDEX(Hierarchy!$I$2:$I$1295,MATCH($D1195,Hierarchy!$A$2:$A$1295,0))),"NODE NOT FOUND"))</f>
        <v/>
      </c>
      <c r="M1195" s="17" t="str">
        <f aca="false">IF(B1195="Pre-seeded","Pre-seeded",IF(B1195="Review 2026-09-16","Added from review",IF(C1195="","New",IF(C1195=D1195,"","Changed"))))</f>
        <v>Pre-seeded</v>
      </c>
      <c r="N1195" s="7" t="str">
        <f aca="false">TRIM(SUBSTITUTE(SUBSTITUTE(SUBSTITUTE(" "&amp;TRIM(SUBSTITUTE(SUBSTITUTE(SUBSTITUTE(SUBSTITUTE(SUBSTITUTE(SUBSTITUTE(SUBSTITUTE(SUBSTITUTE(SUBSTITUTE(SUBSTITUTE(SUBSTITUTE(SUBSTITUTE(SUBSTITUTE(SUBSTITUTE(SUBSTITUTE(UPPER(TRIM(A1195)),"[MEMBER]",""),"{MEMBER}",""),"[MEMBER}",""),"MEMBER]",""),"(A)",""),"""",""),"“",""),"”",""),".",""),":",""),",",""),"–"," "),"-"," "),"/"," "),"&amp;"," AND "))&amp;" "," THE "," ")," TOTAL "," ")," OPERATIONS "," "))</f>
        <v>NORTHEAST ASIA</v>
      </c>
      <c r="O1195" s="17" t="str">
        <f aca="false">IF(COUNTIFS($N$2:$N$2000,N1195,$D$2:$D$2000,"&lt;&gt;"&amp;D1195)&gt;0,"CONFLICT","")</f>
        <v/>
      </c>
      <c r="P1195" s="7"/>
    </row>
    <row r="1196" customFormat="false" ht="15" hidden="false" customHeight="false" outlineLevel="0" collapsed="false">
      <c r="A1196" s="7" t="s">
        <v>1496</v>
      </c>
      <c r="B1196" s="7" t="s">
        <v>1879</v>
      </c>
      <c r="C1196" s="7"/>
      <c r="D1196" s="6" t="s">
        <v>1496</v>
      </c>
      <c r="E1196" s="6" t="s">
        <v>1880</v>
      </c>
      <c r="F1196" s="7" t="str">
        <f aca="false">IF($D1196="","",IFERROR(IF(INDEX(Hierarchy!$B$2:$B$1295,MATCH($D1196,Hierarchy!$A$2:$A$1295,0))="","",INDEX(Hierarchy!$B$2:$B$1295,MATCH($D1196,Hierarchy!$A$2:$A$1295,0))),"NODE NOT FOUND"))</f>
        <v>Sub-national region</v>
      </c>
      <c r="G1196" s="7" t="str">
        <f aca="false">IF($D1196="","",IFERROR(IF(INDEX(Hierarchy!$D$2:$D$1295,MATCH($D1196,Hierarchy!$A$2:$A$1295,0))="","",INDEX(Hierarchy!$D$2:$D$1295,MATCH($D1196,Hierarchy!$A$2:$A$1295,0))),"NODE NOT FOUND"))</f>
        <v>APAC</v>
      </c>
      <c r="H1196" s="7" t="str">
        <f aca="false">IF($D1196="","",IFERROR(IF(INDEX(Hierarchy!$E$2:$E$1295,MATCH($D1196,Hierarchy!$A$2:$A$1295,0))="","",INDEX(Hierarchy!$E$2:$E$1295,MATCH($D1196,Hierarchy!$A$2:$A$1295,0))),"NODE NOT FOUND"))</f>
        <v>East Asia</v>
      </c>
      <c r="I1196" s="7" t="str">
        <f aca="false">IF($D1196="","",IFERROR(IF(INDEX(Hierarchy!$F$2:$F$1295,MATCH($D1196,Hierarchy!$A$2:$A$1295,0))="","",INDEX(Hierarchy!$F$2:$F$1295,MATCH($D1196,Hierarchy!$A$2:$A$1295,0))),"NODE NOT FOUND"))</f>
        <v>China</v>
      </c>
      <c r="J1196" s="7" t="str">
        <f aca="false">IF($D1196="","",IFERROR(IF(INDEX(Hierarchy!$G$2:$G$1295,MATCH($D1196,Hierarchy!$A$2:$A$1295,0))="","",INDEX(Hierarchy!$G$2:$G$1295,MATCH($D1196,Hierarchy!$A$2:$A$1295,0))),"NODE NOT FOUND"))</f>
        <v>CHN</v>
      </c>
      <c r="K1196" s="7" t="str">
        <f aca="false">IF($D1196="","",IFERROR(IF(INDEX(Hierarchy!$H$2:$H$1295,MATCH($D1196,Hierarchy!$A$2:$A$1295,0))="","",INDEX(Hierarchy!$H$2:$H$1295,MATCH($D1196,Hierarchy!$A$2:$A$1295,0))),"NODE NOT FOUND"))</f>
        <v/>
      </c>
      <c r="L1196" s="7" t="str">
        <f aca="false">IF($D1196="","",IFERROR(IF(INDEX(Hierarchy!$I$2:$I$1295,MATCH($D1196,Hierarchy!$A$2:$A$1295,0))="","",INDEX(Hierarchy!$I$2:$I$1295,MATCH($D1196,Hierarchy!$A$2:$A$1295,0))),"NODE NOT FOUND"))</f>
        <v/>
      </c>
      <c r="M1196" s="17" t="str">
        <f aca="false">IF(B1196="Pre-seeded","Pre-seeded",IF(B1196="Review 2026-09-16","Added from review",IF(C1196="","New",IF(C1196=D1196,"","Changed"))))</f>
        <v>Pre-seeded</v>
      </c>
      <c r="N1196" s="7" t="str">
        <f aca="false">TRIM(SUBSTITUTE(SUBSTITUTE(SUBSTITUTE(" "&amp;TRIM(SUBSTITUTE(SUBSTITUTE(SUBSTITUTE(SUBSTITUTE(SUBSTITUTE(SUBSTITUTE(SUBSTITUTE(SUBSTITUTE(SUBSTITUTE(SUBSTITUTE(SUBSTITUTE(SUBSTITUTE(SUBSTITUTE(SUBSTITUTE(SUBSTITUTE(UPPER(TRIM(A1196)),"[MEMBER]",""),"{MEMBER}",""),"[MEMBER}",""),"MEMBER]",""),"(A)",""),"""",""),"“",""),"”",""),".",""),":",""),",",""),"–"," "),"-"," "),"/"," "),"&amp;"," AND "))&amp;" "," THE "," ")," TOTAL "," ")," OPERATIONS "," "))</f>
        <v>NORTHEAST CHINA</v>
      </c>
      <c r="O1196" s="17" t="str">
        <f aca="false">IF(COUNTIFS($N$2:$N$2000,N1196,$D$2:$D$2000,"&lt;&gt;"&amp;D1196)&gt;0,"CONFLICT","")</f>
        <v/>
      </c>
      <c r="P1196" s="7"/>
    </row>
    <row r="1197" customFormat="false" ht="15" hidden="false" customHeight="false" outlineLevel="0" collapsed="false">
      <c r="A1197" s="7" t="s">
        <v>1322</v>
      </c>
      <c r="B1197" s="7" t="s">
        <v>1879</v>
      </c>
      <c r="C1197" s="7"/>
      <c r="D1197" s="6" t="s">
        <v>1322</v>
      </c>
      <c r="E1197" s="6" t="s">
        <v>1880</v>
      </c>
      <c r="F1197" s="7" t="str">
        <f aca="false">IF($D1197="","",IFERROR(IF(INDEX(Hierarchy!$B$2:$B$1295,MATCH($D1197,Hierarchy!$A$2:$A$1295,0))="","",INDEX(Hierarchy!$B$2:$B$1295,MATCH($D1197,Hierarchy!$A$2:$A$1295,0))),"NODE NOT FOUND"))</f>
        <v>Sub-national region</v>
      </c>
      <c r="G1197" s="7" t="str">
        <f aca="false">IF($D1197="","",IFERROR(IF(INDEX(Hierarchy!$D$2:$D$1295,MATCH($D1197,Hierarchy!$A$2:$A$1295,0))="","",INDEX(Hierarchy!$D$2:$D$1295,MATCH($D1197,Hierarchy!$A$2:$A$1295,0))),"NODE NOT FOUND"))</f>
        <v>APAC</v>
      </c>
      <c r="H1197" s="7" t="str">
        <f aca="false">IF($D1197="","",IFERROR(IF(INDEX(Hierarchy!$E$2:$E$1295,MATCH($D1197,Hierarchy!$A$2:$A$1295,0))="","",INDEX(Hierarchy!$E$2:$E$1295,MATCH($D1197,Hierarchy!$A$2:$A$1295,0))),"NODE NOT FOUND"))</f>
        <v>South Asia</v>
      </c>
      <c r="I1197" s="7" t="str">
        <f aca="false">IF($D1197="","",IFERROR(IF(INDEX(Hierarchy!$F$2:$F$1295,MATCH($D1197,Hierarchy!$A$2:$A$1295,0))="","",INDEX(Hierarchy!$F$2:$F$1295,MATCH($D1197,Hierarchy!$A$2:$A$1295,0))),"NODE NOT FOUND"))</f>
        <v>India</v>
      </c>
      <c r="J1197" s="7" t="str">
        <f aca="false">IF($D1197="","",IFERROR(IF(INDEX(Hierarchy!$G$2:$G$1295,MATCH($D1197,Hierarchy!$A$2:$A$1295,0))="","",INDEX(Hierarchy!$G$2:$G$1295,MATCH($D1197,Hierarchy!$A$2:$A$1295,0))),"NODE NOT FOUND"))</f>
        <v>IND</v>
      </c>
      <c r="K1197" s="7" t="str">
        <f aca="false">IF($D1197="","",IFERROR(IF(INDEX(Hierarchy!$H$2:$H$1295,MATCH($D1197,Hierarchy!$A$2:$A$1295,0))="","",INDEX(Hierarchy!$H$2:$H$1295,MATCH($D1197,Hierarchy!$A$2:$A$1295,0))),"NODE NOT FOUND"))</f>
        <v/>
      </c>
      <c r="L1197" s="7" t="str">
        <f aca="false">IF($D1197="","",IFERROR(IF(INDEX(Hierarchy!$I$2:$I$1295,MATCH($D1197,Hierarchy!$A$2:$A$1295,0))="","",INDEX(Hierarchy!$I$2:$I$1295,MATCH($D1197,Hierarchy!$A$2:$A$1295,0))),"NODE NOT FOUND"))</f>
        <v/>
      </c>
      <c r="M1197" s="17" t="str">
        <f aca="false">IF(B1197="Pre-seeded","Pre-seeded",IF(B1197="Review 2026-09-16","Added from review",IF(C1197="","New",IF(C1197=D1197,"","Changed"))))</f>
        <v>Pre-seeded</v>
      </c>
      <c r="N1197" s="7" t="str">
        <f aca="false">TRIM(SUBSTITUTE(SUBSTITUTE(SUBSTITUTE(" "&amp;TRIM(SUBSTITUTE(SUBSTITUTE(SUBSTITUTE(SUBSTITUTE(SUBSTITUTE(SUBSTITUTE(SUBSTITUTE(SUBSTITUTE(SUBSTITUTE(SUBSTITUTE(SUBSTITUTE(SUBSTITUTE(SUBSTITUTE(SUBSTITUTE(SUBSTITUTE(UPPER(TRIM(A1197)),"[MEMBER]",""),"{MEMBER}",""),"[MEMBER}",""),"MEMBER]",""),"(A)",""),"""",""),"“",""),"”",""),".",""),":",""),",",""),"–"," "),"-"," "),"/"," "),"&amp;"," AND "))&amp;" "," THE "," ")," TOTAL "," ")," OPERATIONS "," "))</f>
        <v>NORTHEAST INDIA</v>
      </c>
      <c r="O1197" s="17" t="str">
        <f aca="false">IF(COUNTIFS($N$2:$N$2000,N1197,$D$2:$D$2000,"&lt;&gt;"&amp;D1197)&gt;0,"CONFLICT","")</f>
        <v/>
      </c>
      <c r="P1197" s="7"/>
    </row>
    <row r="1198" customFormat="false" ht="15" hidden="false" customHeight="false" outlineLevel="0" collapsed="false">
      <c r="A1198" s="7" t="s">
        <v>341</v>
      </c>
      <c r="B1198" s="7" t="s">
        <v>1879</v>
      </c>
      <c r="C1198" s="7"/>
      <c r="D1198" s="6" t="s">
        <v>341</v>
      </c>
      <c r="E1198" s="6" t="s">
        <v>1880</v>
      </c>
      <c r="F1198" s="7" t="str">
        <f aca="false">IF($D1198="","",IFERROR(IF(INDEX(Hierarchy!$B$2:$B$1295,MATCH($D1198,Hierarchy!$A$2:$A$1295,0))="","",INDEX(Hierarchy!$B$2:$B$1295,MATCH($D1198,Hierarchy!$A$2:$A$1295,0))),"NODE NOT FOUND"))</f>
        <v>Sub-national region</v>
      </c>
      <c r="G1198" s="7" t="str">
        <f aca="false">IF($D1198="","",IFERROR(IF(INDEX(Hierarchy!$D$2:$D$1295,MATCH($D1198,Hierarchy!$A$2:$A$1295,0))="","",INDEX(Hierarchy!$D$2:$D$1295,MATCH($D1198,Hierarchy!$A$2:$A$1295,0))),"NODE NOT FOUND"))</f>
        <v>AMER</v>
      </c>
      <c r="H1198" s="7" t="str">
        <f aca="false">IF($D1198="","",IFERROR(IF(INDEX(Hierarchy!$E$2:$E$1295,MATCH($D1198,Hierarchy!$A$2:$A$1295,0))="","",INDEX(Hierarchy!$E$2:$E$1295,MATCH($D1198,Hierarchy!$A$2:$A$1295,0))),"NODE NOT FOUND"))</f>
        <v>Latin America (LATAM)</v>
      </c>
      <c r="I1198" s="7" t="str">
        <f aca="false">IF($D1198="","",IFERROR(IF(INDEX(Hierarchy!$F$2:$F$1295,MATCH($D1198,Hierarchy!$A$2:$A$1295,0))="","",INDEX(Hierarchy!$F$2:$F$1295,MATCH($D1198,Hierarchy!$A$2:$A$1295,0))),"NODE NOT FOUND"))</f>
        <v>Brazil</v>
      </c>
      <c r="J1198" s="7" t="str">
        <f aca="false">IF($D1198="","",IFERROR(IF(INDEX(Hierarchy!$G$2:$G$1295,MATCH($D1198,Hierarchy!$A$2:$A$1295,0))="","",INDEX(Hierarchy!$G$2:$G$1295,MATCH($D1198,Hierarchy!$A$2:$A$1295,0))),"NODE NOT FOUND"))</f>
        <v>BRA</v>
      </c>
      <c r="K1198" s="7" t="str">
        <f aca="false">IF($D1198="","",IFERROR(IF(INDEX(Hierarchy!$H$2:$H$1295,MATCH($D1198,Hierarchy!$A$2:$A$1295,0))="","",INDEX(Hierarchy!$H$2:$H$1295,MATCH($D1198,Hierarchy!$A$2:$A$1295,0))),"NODE NOT FOUND"))</f>
        <v/>
      </c>
      <c r="L1198" s="7" t="str">
        <f aca="false">IF($D1198="","",IFERROR(IF(INDEX(Hierarchy!$I$2:$I$1295,MATCH($D1198,Hierarchy!$A$2:$A$1295,0))="","",INDEX(Hierarchy!$I$2:$I$1295,MATCH($D1198,Hierarchy!$A$2:$A$1295,0))),"NODE NOT FOUND"))</f>
        <v/>
      </c>
      <c r="M1198" s="17" t="str">
        <f aca="false">IF(B1198="Pre-seeded","Pre-seeded",IF(B1198="Review 2026-09-16","Added from review",IF(C1198="","New",IF(C1198=D1198,"","Changed"))))</f>
        <v>Pre-seeded</v>
      </c>
      <c r="N1198" s="7" t="str">
        <f aca="false">TRIM(SUBSTITUTE(SUBSTITUTE(SUBSTITUTE(" "&amp;TRIM(SUBSTITUTE(SUBSTITUTE(SUBSTITUTE(SUBSTITUTE(SUBSTITUTE(SUBSTITUTE(SUBSTITUTE(SUBSTITUTE(SUBSTITUTE(SUBSTITUTE(SUBSTITUTE(SUBSTITUTE(SUBSTITUTE(SUBSTITUTE(SUBSTITUTE(UPPER(TRIM(A1198)),"[MEMBER]",""),"{MEMBER}",""),"[MEMBER}",""),"MEMBER]",""),"(A)",""),"""",""),"“",""),"”",""),".",""),":",""),",",""),"–"," "),"-"," "),"/"," "),"&amp;"," AND "))&amp;" "," THE "," ")," TOTAL "," ")," OPERATIONS "," "))</f>
        <v>NORTHEAST REGION (BRAZIL)</v>
      </c>
      <c r="O1198" s="17" t="str">
        <f aca="false">IF(COUNTIFS($N$2:$N$2000,N1198,$D$2:$D$2000,"&lt;&gt;"&amp;D1198)&gt;0,"CONFLICT","")</f>
        <v/>
      </c>
      <c r="P1198" s="7"/>
    </row>
    <row r="1199" customFormat="false" ht="15" hidden="false" customHeight="false" outlineLevel="0" collapsed="false">
      <c r="A1199" s="7" t="s">
        <v>1173</v>
      </c>
      <c r="B1199" s="7" t="s">
        <v>1879</v>
      </c>
      <c r="C1199" s="7"/>
      <c r="D1199" s="6" t="s">
        <v>1103</v>
      </c>
      <c r="E1199" s="6" t="s">
        <v>1880</v>
      </c>
      <c r="F1199" s="7" t="str">
        <f aca="false">IF($D1199="","",IFERROR(IF(INDEX(Hierarchy!$B$2:$B$1295,MATCH($D1199,Hierarchy!$A$2:$A$1295,0))="","",INDEX(Hierarchy!$B$2:$B$1295,MATCH($D1199,Hierarchy!$A$2:$A$1295,0))),"NODE NOT FOUND"))</f>
        <v>Sub-region component</v>
      </c>
      <c r="G1199" s="7" t="str">
        <f aca="false">IF($D1199="","",IFERROR(IF(INDEX(Hierarchy!$D$2:$D$1295,MATCH($D1199,Hierarchy!$A$2:$A$1295,0))="","",INDEX(Hierarchy!$D$2:$D$1295,MATCH($D1199,Hierarchy!$A$2:$A$1295,0))),"NODE NOT FOUND"))</f>
        <v>EMEA</v>
      </c>
      <c r="H1199" s="7" t="str">
        <f aca="false">IF($D1199="","",IFERROR(IF(INDEX(Hierarchy!$E$2:$E$1295,MATCH($D1199,Hierarchy!$A$2:$A$1295,0))="","",INDEX(Hierarchy!$E$2:$E$1295,MATCH($D1199,Hierarchy!$A$2:$A$1295,0))),"NODE NOT FOUND"))</f>
        <v>Africa</v>
      </c>
      <c r="I1199" s="7" t="str">
        <f aca="false">IF($D1199="","",IFERROR(IF(INDEX(Hierarchy!$F$2:$F$1295,MATCH($D1199,Hierarchy!$A$2:$A$1295,0))="","",INDEX(Hierarchy!$F$2:$F$1295,MATCH($D1199,Hierarchy!$A$2:$A$1295,0))),"NODE NOT FOUND"))</f>
        <v/>
      </c>
      <c r="J1199" s="7" t="str">
        <f aca="false">IF($D1199="","",IFERROR(IF(INDEX(Hierarchy!$G$2:$G$1295,MATCH($D1199,Hierarchy!$A$2:$A$1295,0))="","",INDEX(Hierarchy!$G$2:$G$1295,MATCH($D1199,Hierarchy!$A$2:$A$1295,0))),"NODE NOT FOUND"))</f>
        <v/>
      </c>
      <c r="K1199" s="7" t="str">
        <f aca="false">IF($D1199="","",IFERROR(IF(INDEX(Hierarchy!$H$2:$H$1295,MATCH($D1199,Hierarchy!$A$2:$A$1295,0))="","",INDEX(Hierarchy!$H$2:$H$1295,MATCH($D1199,Hierarchy!$A$2:$A$1295,0))),"NODE NOT FOUND"))</f>
        <v/>
      </c>
      <c r="L1199" s="7" t="str">
        <f aca="false">IF($D1199="","",IFERROR(IF(INDEX(Hierarchy!$I$2:$I$1295,MATCH($D1199,Hierarchy!$A$2:$A$1295,0))="","",INDEX(Hierarchy!$I$2:$I$1295,MATCH($D1199,Hierarchy!$A$2:$A$1295,0))),"NODE NOT FOUND"))</f>
        <v/>
      </c>
      <c r="M1199" s="17" t="str">
        <f aca="false">IF(B1199="Pre-seeded","Pre-seeded",IF(B1199="Review 2026-09-16","Added from review",IF(C1199="","New",IF(C1199=D1199,"","Changed"))))</f>
        <v>Pre-seeded</v>
      </c>
      <c r="N1199" s="7" t="str">
        <f aca="false">TRIM(SUBSTITUTE(SUBSTITUTE(SUBSTITUTE(" "&amp;TRIM(SUBSTITUTE(SUBSTITUTE(SUBSTITUTE(SUBSTITUTE(SUBSTITUTE(SUBSTITUTE(SUBSTITUTE(SUBSTITUTE(SUBSTITUTE(SUBSTITUTE(SUBSTITUTE(SUBSTITUTE(SUBSTITUTE(SUBSTITUTE(SUBSTITUTE(UPPER(TRIM(A1199)),"[MEMBER]",""),"{MEMBER}",""),"[MEMBER}",""),"MEMBER]",""),"(A)",""),"""",""),"“",""),"”",""),".",""),":",""),",",""),"–"," "),"-"," "),"/"," "),"&amp;"," AND "))&amp;" "," THE "," ")," TOTAL "," ")," OPERATIONS "," "))</f>
        <v>NORTHERN AFRICA</v>
      </c>
      <c r="O1199" s="17" t="str">
        <f aca="false">IF(COUNTIFS($N$2:$N$2000,N1199,$D$2:$D$2000,"&lt;&gt;"&amp;D1199)&gt;0,"CONFLICT","")</f>
        <v/>
      </c>
      <c r="P1199" s="7"/>
    </row>
    <row r="1200" customFormat="false" ht="15" hidden="false" customHeight="false" outlineLevel="0" collapsed="false">
      <c r="A1200" s="7" t="s">
        <v>85</v>
      </c>
      <c r="B1200" s="7" t="s">
        <v>1879</v>
      </c>
      <c r="C1200" s="7"/>
      <c r="D1200" s="6" t="s">
        <v>80</v>
      </c>
      <c r="E1200" s="6" t="s">
        <v>1880</v>
      </c>
      <c r="F1200" s="7" t="str">
        <f aca="false">IF($D1200="","",IFERROR(IF(INDEX(Hierarchy!$B$2:$B$1295,MATCH($D1200,Hierarchy!$A$2:$A$1295,0))="","",INDEX(Hierarchy!$B$2:$B$1295,MATCH($D1200,Hierarchy!$A$2:$A$1295,0))),"NODE NOT FOUND"))</f>
        <v>Sub-region</v>
      </c>
      <c r="G1200" s="7" t="str">
        <f aca="false">IF($D1200="","",IFERROR(IF(INDEX(Hierarchy!$D$2:$D$1295,MATCH($D1200,Hierarchy!$A$2:$A$1295,0))="","",INDEX(Hierarchy!$D$2:$D$1295,MATCH($D1200,Hierarchy!$A$2:$A$1295,0))),"NODE NOT FOUND"))</f>
        <v>AMER</v>
      </c>
      <c r="H1200" s="7" t="str">
        <f aca="false">IF($D1200="","",IFERROR(IF(INDEX(Hierarchy!$E$2:$E$1295,MATCH($D1200,Hierarchy!$A$2:$A$1295,0))="","",INDEX(Hierarchy!$E$2:$E$1295,MATCH($D1200,Hierarchy!$A$2:$A$1295,0))),"NODE NOT FOUND"))</f>
        <v>North America (NORAM)</v>
      </c>
      <c r="I1200" s="7" t="str">
        <f aca="false">IF($D1200="","",IFERROR(IF(INDEX(Hierarchy!$F$2:$F$1295,MATCH($D1200,Hierarchy!$A$2:$A$1295,0))="","",INDEX(Hierarchy!$F$2:$F$1295,MATCH($D1200,Hierarchy!$A$2:$A$1295,0))),"NODE NOT FOUND"))</f>
        <v/>
      </c>
      <c r="J1200" s="7" t="str">
        <f aca="false">IF($D1200="","",IFERROR(IF(INDEX(Hierarchy!$G$2:$G$1295,MATCH($D1200,Hierarchy!$A$2:$A$1295,0))="","",INDEX(Hierarchy!$G$2:$G$1295,MATCH($D1200,Hierarchy!$A$2:$A$1295,0))),"NODE NOT FOUND"))</f>
        <v/>
      </c>
      <c r="K1200" s="7" t="str">
        <f aca="false">IF($D1200="","",IFERROR(IF(INDEX(Hierarchy!$H$2:$H$1295,MATCH($D1200,Hierarchy!$A$2:$A$1295,0))="","",INDEX(Hierarchy!$H$2:$H$1295,MATCH($D1200,Hierarchy!$A$2:$A$1295,0))),"NODE NOT FOUND"))</f>
        <v/>
      </c>
      <c r="L1200" s="7" t="str">
        <f aca="false">IF($D1200="","",IFERROR(IF(INDEX(Hierarchy!$I$2:$I$1295,MATCH($D1200,Hierarchy!$A$2:$A$1295,0))="","",INDEX(Hierarchy!$I$2:$I$1295,MATCH($D1200,Hierarchy!$A$2:$A$1295,0))),"NODE NOT FOUND"))</f>
        <v/>
      </c>
      <c r="M1200" s="17" t="str">
        <f aca="false">IF(B1200="Pre-seeded","Pre-seeded",IF(B1200="Review 2026-09-16","Added from review",IF(C1200="","New",IF(C1200=D1200,"","Changed"))))</f>
        <v>Pre-seeded</v>
      </c>
      <c r="N1200" s="7" t="str">
        <f aca="false">TRIM(SUBSTITUTE(SUBSTITUTE(SUBSTITUTE(" "&amp;TRIM(SUBSTITUTE(SUBSTITUTE(SUBSTITUTE(SUBSTITUTE(SUBSTITUTE(SUBSTITUTE(SUBSTITUTE(SUBSTITUTE(SUBSTITUTE(SUBSTITUTE(SUBSTITUTE(SUBSTITUTE(SUBSTITUTE(SUBSTITUTE(SUBSTITUTE(UPPER(TRIM(A1200)),"[MEMBER]",""),"{MEMBER}",""),"[MEMBER}",""),"MEMBER]",""),"(A)",""),"""",""),"“",""),"”",""),".",""),":",""),",",""),"–"," "),"-"," "),"/"," "),"&amp;"," AND "))&amp;" "," THE "," ")," TOTAL "," ")," OPERATIONS "," "))</f>
        <v>NORTHERN AMERICA</v>
      </c>
      <c r="O1200" s="17" t="str">
        <f aca="false">IF(COUNTIFS($N$2:$N$2000,N1200,$D$2:$D$2000,"&lt;&gt;"&amp;D1200)&gt;0,"CONFLICT","")</f>
        <v/>
      </c>
      <c r="P1200" s="7"/>
    </row>
    <row r="1201" customFormat="false" ht="15" hidden="false" customHeight="false" outlineLevel="0" collapsed="false">
      <c r="A1201" s="7" t="s">
        <v>1059</v>
      </c>
      <c r="B1201" s="7" t="s">
        <v>1879</v>
      </c>
      <c r="C1201" s="7"/>
      <c r="D1201" s="6" t="s">
        <v>1059</v>
      </c>
      <c r="E1201" s="6" t="s">
        <v>1880</v>
      </c>
      <c r="F1201" s="7" t="str">
        <f aca="false">IF($D1201="","",IFERROR(IF(INDEX(Hierarchy!$B$2:$B$1295,MATCH($D1201,Hierarchy!$A$2:$A$1295,0))="","",INDEX(Hierarchy!$B$2:$B$1295,MATCH($D1201,Hierarchy!$A$2:$A$1295,0))),"NODE NOT FOUND"))</f>
        <v>State/Province</v>
      </c>
      <c r="G1201" s="7" t="str">
        <f aca="false">IF($D1201="","",IFERROR(IF(INDEX(Hierarchy!$D$2:$D$1295,MATCH($D1201,Hierarchy!$A$2:$A$1295,0))="","",INDEX(Hierarchy!$D$2:$D$1295,MATCH($D1201,Hierarchy!$A$2:$A$1295,0))),"NODE NOT FOUND"))</f>
        <v>EMEA</v>
      </c>
      <c r="H1201" s="7" t="str">
        <f aca="false">IF($D1201="","",IFERROR(IF(INDEX(Hierarchy!$E$2:$E$1295,MATCH($D1201,Hierarchy!$A$2:$A$1295,0))="","",INDEX(Hierarchy!$E$2:$E$1295,MATCH($D1201,Hierarchy!$A$2:$A$1295,0))),"NODE NOT FOUND"))</f>
        <v>Middle East</v>
      </c>
      <c r="I1201" s="7" t="str">
        <f aca="false">IF($D1201="","",IFERROR(IF(INDEX(Hierarchy!$F$2:$F$1295,MATCH($D1201,Hierarchy!$A$2:$A$1295,0))="","",INDEX(Hierarchy!$F$2:$F$1295,MATCH($D1201,Hierarchy!$A$2:$A$1295,0))),"NODE NOT FOUND"))</f>
        <v>Saudi Arabia</v>
      </c>
      <c r="J1201" s="7" t="str">
        <f aca="false">IF($D1201="","",IFERROR(IF(INDEX(Hierarchy!$G$2:$G$1295,MATCH($D1201,Hierarchy!$A$2:$A$1295,0))="","",INDEX(Hierarchy!$G$2:$G$1295,MATCH($D1201,Hierarchy!$A$2:$A$1295,0))),"NODE NOT FOUND"))</f>
        <v>SAU</v>
      </c>
      <c r="K1201" s="7" t="str">
        <f aca="false">IF($D1201="","",IFERROR(IF(INDEX(Hierarchy!$H$2:$H$1295,MATCH($D1201,Hierarchy!$A$2:$A$1295,0))="","",INDEX(Hierarchy!$H$2:$H$1295,MATCH($D1201,Hierarchy!$A$2:$A$1295,0))),"NODE NOT FOUND"))</f>
        <v>Northern Borders Province</v>
      </c>
      <c r="L1201" s="7" t="str">
        <f aca="false">IF($D1201="","",IFERROR(IF(INDEX(Hierarchy!$I$2:$I$1295,MATCH($D1201,Hierarchy!$A$2:$A$1295,0))="","",INDEX(Hierarchy!$I$2:$I$1295,MATCH($D1201,Hierarchy!$A$2:$A$1295,0))),"NODE NOT FOUND"))</f>
        <v/>
      </c>
      <c r="M1201" s="17" t="str">
        <f aca="false">IF(B1201="Pre-seeded","Pre-seeded",IF(B1201="Review 2026-09-16","Added from review",IF(C1201="","New",IF(C1201=D1201,"","Changed"))))</f>
        <v>Pre-seeded</v>
      </c>
      <c r="N1201" s="7" t="str">
        <f aca="false">TRIM(SUBSTITUTE(SUBSTITUTE(SUBSTITUTE(" "&amp;TRIM(SUBSTITUTE(SUBSTITUTE(SUBSTITUTE(SUBSTITUTE(SUBSTITUTE(SUBSTITUTE(SUBSTITUTE(SUBSTITUTE(SUBSTITUTE(SUBSTITUTE(SUBSTITUTE(SUBSTITUTE(SUBSTITUTE(SUBSTITUTE(SUBSTITUTE(UPPER(TRIM(A1201)),"[MEMBER]",""),"{MEMBER}",""),"[MEMBER}",""),"MEMBER]",""),"(A)",""),"""",""),"“",""),"”",""),".",""),":",""),",",""),"–"," "),"-"," "),"/"," "),"&amp;"," AND "))&amp;" "," THE "," ")," TOTAL "," ")," OPERATIONS "," "))</f>
        <v>NORTHERN BORDERS PROVINCE</v>
      </c>
      <c r="O1201" s="17" t="str">
        <f aca="false">IF(COUNTIFS($N$2:$N$2000,N1201,$D$2:$D$2000,"&lt;&gt;"&amp;D1201)&gt;0,"CONFLICT","")</f>
        <v/>
      </c>
      <c r="P1201" s="7"/>
    </row>
    <row r="1202" customFormat="false" ht="15" hidden="false" customHeight="false" outlineLevel="0" collapsed="false">
      <c r="A1202" s="7" t="s">
        <v>2464</v>
      </c>
      <c r="B1202" s="7" t="s">
        <v>1879</v>
      </c>
      <c r="C1202" s="7"/>
      <c r="D1202" s="6" t="s">
        <v>138</v>
      </c>
      <c r="E1202" s="6" t="s">
        <v>1891</v>
      </c>
      <c r="F1202" s="7" t="str">
        <f aca="false">IF($D1202="","",IFERROR(IF(INDEX(Hierarchy!$B$2:$B$1295,MATCH($D1202,Hierarchy!$A$2:$A$1295,0))="","",INDEX(Hierarchy!$B$2:$B$1295,MATCH($D1202,Hierarchy!$A$2:$A$1295,0))),"NODE NOT FOUND"))</f>
        <v>State/Province</v>
      </c>
      <c r="G1202" s="7" t="str">
        <f aca="false">IF($D1202="","",IFERROR(IF(INDEX(Hierarchy!$D$2:$D$1295,MATCH($D1202,Hierarchy!$A$2:$A$1295,0))="","",INDEX(Hierarchy!$D$2:$D$1295,MATCH($D1202,Hierarchy!$A$2:$A$1295,0))),"NODE NOT FOUND"))</f>
        <v>AMER</v>
      </c>
      <c r="H1202" s="7" t="str">
        <f aca="false">IF($D1202="","",IFERROR(IF(INDEX(Hierarchy!$E$2:$E$1295,MATCH($D1202,Hierarchy!$A$2:$A$1295,0))="","",INDEX(Hierarchy!$E$2:$E$1295,MATCH($D1202,Hierarchy!$A$2:$A$1295,0))),"NODE NOT FOUND"))</f>
        <v>North America (NORAM)</v>
      </c>
      <c r="I1202" s="7" t="str">
        <f aca="false">IF($D1202="","",IFERROR(IF(INDEX(Hierarchy!$F$2:$F$1295,MATCH($D1202,Hierarchy!$A$2:$A$1295,0))="","",INDEX(Hierarchy!$F$2:$F$1295,MATCH($D1202,Hierarchy!$A$2:$A$1295,0))),"NODE NOT FOUND"))</f>
        <v>United States</v>
      </c>
      <c r="J1202" s="7" t="str">
        <f aca="false">IF($D1202="","",IFERROR(IF(INDEX(Hierarchy!$G$2:$G$1295,MATCH($D1202,Hierarchy!$A$2:$A$1295,0))="","",INDEX(Hierarchy!$G$2:$G$1295,MATCH($D1202,Hierarchy!$A$2:$A$1295,0))),"NODE NOT FOUND"))</f>
        <v>USA</v>
      </c>
      <c r="K1202" s="7" t="str">
        <f aca="false">IF($D1202="","",IFERROR(IF(INDEX(Hierarchy!$H$2:$H$1295,MATCH($D1202,Hierarchy!$A$2:$A$1295,0))="","",INDEX(Hierarchy!$H$2:$H$1295,MATCH($D1202,Hierarchy!$A$2:$A$1295,0))),"NODE NOT FOUND"))</f>
        <v>California</v>
      </c>
      <c r="L1202" s="7" t="str">
        <f aca="false">IF($D1202="","",IFERROR(IF(INDEX(Hierarchy!$I$2:$I$1295,MATCH($D1202,Hierarchy!$A$2:$A$1295,0))="","",INDEX(Hierarchy!$I$2:$I$1295,MATCH($D1202,Hierarchy!$A$2:$A$1295,0))),"NODE NOT FOUND"))</f>
        <v/>
      </c>
      <c r="M1202" s="17" t="str">
        <f aca="false">IF(B1202="Pre-seeded","Pre-seeded",IF(B1202="Review 2026-09-16","Added from review",IF(C1202="","New",IF(C1202=D1202,"","Changed"))))</f>
        <v>Pre-seeded</v>
      </c>
      <c r="N1202" s="7" t="str">
        <f aca="false">TRIM(SUBSTITUTE(SUBSTITUTE(SUBSTITUTE(" "&amp;TRIM(SUBSTITUTE(SUBSTITUTE(SUBSTITUTE(SUBSTITUTE(SUBSTITUTE(SUBSTITUTE(SUBSTITUTE(SUBSTITUTE(SUBSTITUTE(SUBSTITUTE(SUBSTITUTE(SUBSTITUTE(SUBSTITUTE(SUBSTITUTE(SUBSTITUTE(UPPER(TRIM(A1202)),"[MEMBER]",""),"{MEMBER}",""),"[MEMBER}",""),"MEMBER]",""),"(A)",""),"""",""),"“",""),"”",""),".",""),":",""),",",""),"–"," "),"-"," "),"/"," "),"&amp;"," AND "))&amp;" "," THE "," ")," TOTAL "," ")," OPERATIONS "," "))</f>
        <v>NORTHERN CALIFORNIA</v>
      </c>
      <c r="O1202" s="17" t="str">
        <f aca="false">IF(COUNTIFS($N$2:$N$2000,N1202,$D$2:$D$2000,"&lt;&gt;"&amp;D1202)&gt;0,"CONFLICT","")</f>
        <v/>
      </c>
      <c r="P1202" s="7"/>
    </row>
    <row r="1203" customFormat="false" ht="15" hidden="false" customHeight="false" outlineLevel="0" collapsed="false">
      <c r="A1203" s="7" t="s">
        <v>276</v>
      </c>
      <c r="B1203" s="7" t="s">
        <v>1879</v>
      </c>
      <c r="C1203" s="7"/>
      <c r="D1203" s="6" t="s">
        <v>276</v>
      </c>
      <c r="E1203" s="6" t="s">
        <v>1880</v>
      </c>
      <c r="F1203" s="7" t="str">
        <f aca="false">IF($D1203="","",IFERROR(IF(INDEX(Hierarchy!$B$2:$B$1295,MATCH($D1203,Hierarchy!$A$2:$A$1295,0))="","",INDEX(Hierarchy!$B$2:$B$1295,MATCH($D1203,Hierarchy!$A$2:$A$1295,0))),"NODE NOT FOUND"))</f>
        <v>Sub-national region</v>
      </c>
      <c r="G1203" s="7" t="str">
        <f aca="false">IF($D1203="","",IFERROR(IF(INDEX(Hierarchy!$D$2:$D$1295,MATCH($D1203,Hierarchy!$A$2:$A$1295,0))="","",INDEX(Hierarchy!$D$2:$D$1295,MATCH($D1203,Hierarchy!$A$2:$A$1295,0))),"NODE NOT FOUND"))</f>
        <v>AMER</v>
      </c>
      <c r="H1203" s="7" t="str">
        <f aca="false">IF($D1203="","",IFERROR(IF(INDEX(Hierarchy!$E$2:$E$1295,MATCH($D1203,Hierarchy!$A$2:$A$1295,0))="","",INDEX(Hierarchy!$E$2:$E$1295,MATCH($D1203,Hierarchy!$A$2:$A$1295,0))),"NODE NOT FOUND"))</f>
        <v>North America (NORAM)</v>
      </c>
      <c r="I1203" s="7" t="str">
        <f aca="false">IF($D1203="","",IFERROR(IF(INDEX(Hierarchy!$F$2:$F$1295,MATCH($D1203,Hierarchy!$A$2:$A$1295,0))="","",INDEX(Hierarchy!$F$2:$F$1295,MATCH($D1203,Hierarchy!$A$2:$A$1295,0))),"NODE NOT FOUND"))</f>
        <v>Canada</v>
      </c>
      <c r="J1203" s="7" t="str">
        <f aca="false">IF($D1203="","",IFERROR(IF(INDEX(Hierarchy!$G$2:$G$1295,MATCH($D1203,Hierarchy!$A$2:$A$1295,0))="","",INDEX(Hierarchy!$G$2:$G$1295,MATCH($D1203,Hierarchy!$A$2:$A$1295,0))),"NODE NOT FOUND"))</f>
        <v>CAN</v>
      </c>
      <c r="K1203" s="7" t="str">
        <f aca="false">IF($D1203="","",IFERROR(IF(INDEX(Hierarchy!$H$2:$H$1295,MATCH($D1203,Hierarchy!$A$2:$A$1295,0))="","",INDEX(Hierarchy!$H$2:$H$1295,MATCH($D1203,Hierarchy!$A$2:$A$1295,0))),"NODE NOT FOUND"))</f>
        <v/>
      </c>
      <c r="L1203" s="7" t="str">
        <f aca="false">IF($D1203="","",IFERROR(IF(INDEX(Hierarchy!$I$2:$I$1295,MATCH($D1203,Hierarchy!$A$2:$A$1295,0))="","",INDEX(Hierarchy!$I$2:$I$1295,MATCH($D1203,Hierarchy!$A$2:$A$1295,0))),"NODE NOT FOUND"))</f>
        <v/>
      </c>
      <c r="M1203" s="17" t="str">
        <f aca="false">IF(B1203="Pre-seeded","Pre-seeded",IF(B1203="Review 2026-09-16","Added from review",IF(C1203="","New",IF(C1203=D1203,"","Changed"))))</f>
        <v>Pre-seeded</v>
      </c>
      <c r="N1203" s="7" t="str">
        <f aca="false">TRIM(SUBSTITUTE(SUBSTITUTE(SUBSTITUTE(" "&amp;TRIM(SUBSTITUTE(SUBSTITUTE(SUBSTITUTE(SUBSTITUTE(SUBSTITUTE(SUBSTITUTE(SUBSTITUTE(SUBSTITUTE(SUBSTITUTE(SUBSTITUTE(SUBSTITUTE(SUBSTITUTE(SUBSTITUTE(SUBSTITUTE(SUBSTITUTE(UPPER(TRIM(A1203)),"[MEMBER]",""),"{MEMBER}",""),"[MEMBER}",""),"MEMBER]",""),"(A)",""),"""",""),"“",""),"”",""),".",""),":",""),",",""),"–"," "),"-"," "),"/"," "),"&amp;"," AND "))&amp;" "," THE "," ")," TOTAL "," ")," OPERATIONS "," "))</f>
        <v>NORTHERN CANADA</v>
      </c>
      <c r="O1203" s="17" t="str">
        <f aca="false">IF(COUNTIFS($N$2:$N$2000,N1203,$D$2:$D$2000,"&lt;&gt;"&amp;D1203)&gt;0,"CONFLICT","")</f>
        <v/>
      </c>
      <c r="P1203" s="7"/>
    </row>
    <row r="1204" customFormat="false" ht="15" hidden="false" customHeight="false" outlineLevel="0" collapsed="false">
      <c r="A1204" s="7" t="s">
        <v>1125</v>
      </c>
      <c r="B1204" s="7" t="s">
        <v>1879</v>
      </c>
      <c r="C1204" s="7"/>
      <c r="D1204" s="6" t="s">
        <v>1125</v>
      </c>
      <c r="E1204" s="6" t="s">
        <v>1880</v>
      </c>
      <c r="F1204" s="7" t="str">
        <f aca="false">IF($D1204="","",IFERROR(IF(INDEX(Hierarchy!$B$2:$B$1295,MATCH($D1204,Hierarchy!$A$2:$A$1295,0))="","",INDEX(Hierarchy!$B$2:$B$1295,MATCH($D1204,Hierarchy!$A$2:$A$1295,0))),"NODE NOT FOUND"))</f>
        <v>State/Province</v>
      </c>
      <c r="G1204" s="7" t="str">
        <f aca="false">IF($D1204="","",IFERROR(IF(INDEX(Hierarchy!$D$2:$D$1295,MATCH($D1204,Hierarchy!$A$2:$A$1295,0))="","",INDEX(Hierarchy!$D$2:$D$1295,MATCH($D1204,Hierarchy!$A$2:$A$1295,0))),"NODE NOT FOUND"))</f>
        <v>EMEA</v>
      </c>
      <c r="H1204" s="7" t="str">
        <f aca="false">IF($D1204="","",IFERROR(IF(INDEX(Hierarchy!$E$2:$E$1295,MATCH($D1204,Hierarchy!$A$2:$A$1295,0))="","",INDEX(Hierarchy!$E$2:$E$1295,MATCH($D1204,Hierarchy!$A$2:$A$1295,0))),"NODE NOT FOUND"))</f>
        <v>Africa</v>
      </c>
      <c r="I1204" s="7" t="str">
        <f aca="false">IF($D1204="","",IFERROR(IF(INDEX(Hierarchy!$F$2:$F$1295,MATCH($D1204,Hierarchy!$A$2:$A$1295,0))="","",INDEX(Hierarchy!$F$2:$F$1295,MATCH($D1204,Hierarchy!$A$2:$A$1295,0))),"NODE NOT FOUND"))</f>
        <v>South Africa</v>
      </c>
      <c r="J1204" s="7" t="str">
        <f aca="false">IF($D1204="","",IFERROR(IF(INDEX(Hierarchy!$G$2:$G$1295,MATCH($D1204,Hierarchy!$A$2:$A$1295,0))="","",INDEX(Hierarchy!$G$2:$G$1295,MATCH($D1204,Hierarchy!$A$2:$A$1295,0))),"NODE NOT FOUND"))</f>
        <v>ZAF</v>
      </c>
      <c r="K1204" s="7" t="str">
        <f aca="false">IF($D1204="","",IFERROR(IF(INDEX(Hierarchy!$H$2:$H$1295,MATCH($D1204,Hierarchy!$A$2:$A$1295,0))="","",INDEX(Hierarchy!$H$2:$H$1295,MATCH($D1204,Hierarchy!$A$2:$A$1295,0))),"NODE NOT FOUND"))</f>
        <v>Northern Cape</v>
      </c>
      <c r="L1204" s="7" t="str">
        <f aca="false">IF($D1204="","",IFERROR(IF(INDEX(Hierarchy!$I$2:$I$1295,MATCH($D1204,Hierarchy!$A$2:$A$1295,0))="","",INDEX(Hierarchy!$I$2:$I$1295,MATCH($D1204,Hierarchy!$A$2:$A$1295,0))),"NODE NOT FOUND"))</f>
        <v/>
      </c>
      <c r="M1204" s="17" t="str">
        <f aca="false">IF(B1204="Pre-seeded","Pre-seeded",IF(B1204="Review 2026-09-16","Added from review",IF(C1204="","New",IF(C1204=D1204,"","Changed"))))</f>
        <v>Pre-seeded</v>
      </c>
      <c r="N1204" s="7" t="str">
        <f aca="false">TRIM(SUBSTITUTE(SUBSTITUTE(SUBSTITUTE(" "&amp;TRIM(SUBSTITUTE(SUBSTITUTE(SUBSTITUTE(SUBSTITUTE(SUBSTITUTE(SUBSTITUTE(SUBSTITUTE(SUBSTITUTE(SUBSTITUTE(SUBSTITUTE(SUBSTITUTE(SUBSTITUTE(SUBSTITUTE(SUBSTITUTE(SUBSTITUTE(UPPER(TRIM(A1204)),"[MEMBER]",""),"{MEMBER}",""),"[MEMBER}",""),"MEMBER]",""),"(A)",""),"""",""),"“",""),"”",""),".",""),":",""),",",""),"–"," "),"-"," "),"/"," "),"&amp;"," AND "))&amp;" "," THE "," ")," TOTAL "," ")," OPERATIONS "," "))</f>
        <v>NORTHERN CAPE</v>
      </c>
      <c r="O1204" s="17" t="str">
        <f aca="false">IF(COUNTIFS($N$2:$N$2000,N1204,$D$2:$D$2000,"&lt;&gt;"&amp;D1204)&gt;0,"CONFLICT","")</f>
        <v/>
      </c>
      <c r="P1204" s="7"/>
    </row>
    <row r="1205" customFormat="false" ht="15" hidden="false" customHeight="false" outlineLevel="0" collapsed="false">
      <c r="A1205" s="7" t="s">
        <v>650</v>
      </c>
      <c r="B1205" s="7" t="s">
        <v>1879</v>
      </c>
      <c r="C1205" s="7"/>
      <c r="D1205" s="6" t="s">
        <v>650</v>
      </c>
      <c r="E1205" s="6" t="s">
        <v>1880</v>
      </c>
      <c r="F1205" s="7" t="str">
        <f aca="false">IF($D1205="","",IFERROR(IF(INDEX(Hierarchy!$B$2:$B$1295,MATCH($D1205,Hierarchy!$A$2:$A$1295,0))="","",INDEX(Hierarchy!$B$2:$B$1295,MATCH($D1205,Hierarchy!$A$2:$A$1295,0))),"NODE NOT FOUND"))</f>
        <v>Sub-region component</v>
      </c>
      <c r="G1205" s="7" t="str">
        <f aca="false">IF($D1205="","",IFERROR(IF(INDEX(Hierarchy!$D$2:$D$1295,MATCH($D1205,Hierarchy!$A$2:$A$1295,0))="","",INDEX(Hierarchy!$D$2:$D$1295,MATCH($D1205,Hierarchy!$A$2:$A$1295,0))),"NODE NOT FOUND"))</f>
        <v>EMEA</v>
      </c>
      <c r="H1205" s="7" t="str">
        <f aca="false">IF($D1205="","",IFERROR(IF(INDEX(Hierarchy!$E$2:$E$1295,MATCH($D1205,Hierarchy!$A$2:$A$1295,0))="","",INDEX(Hierarchy!$E$2:$E$1295,MATCH($D1205,Hierarchy!$A$2:$A$1295,0))),"NODE NOT FOUND"))</f>
        <v>Europe</v>
      </c>
      <c r="I1205" s="7" t="str">
        <f aca="false">IF($D1205="","",IFERROR(IF(INDEX(Hierarchy!$F$2:$F$1295,MATCH($D1205,Hierarchy!$A$2:$A$1295,0))="","",INDEX(Hierarchy!$F$2:$F$1295,MATCH($D1205,Hierarchy!$A$2:$A$1295,0))),"NODE NOT FOUND"))</f>
        <v/>
      </c>
      <c r="J1205" s="7" t="str">
        <f aca="false">IF($D1205="","",IFERROR(IF(INDEX(Hierarchy!$G$2:$G$1295,MATCH($D1205,Hierarchy!$A$2:$A$1295,0))="","",INDEX(Hierarchy!$G$2:$G$1295,MATCH($D1205,Hierarchy!$A$2:$A$1295,0))),"NODE NOT FOUND"))</f>
        <v/>
      </c>
      <c r="K1205" s="7" t="str">
        <f aca="false">IF($D1205="","",IFERROR(IF(INDEX(Hierarchy!$H$2:$H$1295,MATCH($D1205,Hierarchy!$A$2:$A$1295,0))="","",INDEX(Hierarchy!$H$2:$H$1295,MATCH($D1205,Hierarchy!$A$2:$A$1295,0))),"NODE NOT FOUND"))</f>
        <v/>
      </c>
      <c r="L1205" s="7" t="str">
        <f aca="false">IF($D1205="","",IFERROR(IF(INDEX(Hierarchy!$I$2:$I$1295,MATCH($D1205,Hierarchy!$A$2:$A$1295,0))="","",INDEX(Hierarchy!$I$2:$I$1295,MATCH($D1205,Hierarchy!$A$2:$A$1295,0))),"NODE NOT FOUND"))</f>
        <v/>
      </c>
      <c r="M1205" s="17" t="str">
        <f aca="false">IF(B1205="Pre-seeded","Pre-seeded",IF(B1205="Review 2026-09-16","Added from review",IF(C1205="","New",IF(C1205=D1205,"","Changed"))))</f>
        <v>Pre-seeded</v>
      </c>
      <c r="N1205" s="7" t="str">
        <f aca="false">TRIM(SUBSTITUTE(SUBSTITUTE(SUBSTITUTE(" "&amp;TRIM(SUBSTITUTE(SUBSTITUTE(SUBSTITUTE(SUBSTITUTE(SUBSTITUTE(SUBSTITUTE(SUBSTITUTE(SUBSTITUTE(SUBSTITUTE(SUBSTITUTE(SUBSTITUTE(SUBSTITUTE(SUBSTITUTE(SUBSTITUTE(SUBSTITUTE(UPPER(TRIM(A1205)),"[MEMBER]",""),"{MEMBER}",""),"[MEMBER}",""),"MEMBER]",""),"(A)",""),"""",""),"“",""),"”",""),".",""),":",""),",",""),"–"," "),"-"," "),"/"," "),"&amp;"," AND "))&amp;" "," THE "," ")," TOTAL "," ")," OPERATIONS "," "))</f>
        <v>NORTHERN EUROPE</v>
      </c>
      <c r="O1205" s="17" t="str">
        <f aca="false">IF(COUNTIFS($N$2:$N$2000,N1205,$D$2:$D$2000,"&lt;&gt;"&amp;D1205)&gt;0,"CONFLICT","")</f>
        <v/>
      </c>
      <c r="P1205" s="7"/>
    </row>
    <row r="1206" customFormat="false" ht="15" hidden="false" customHeight="false" outlineLevel="0" collapsed="false">
      <c r="A1206" s="7" t="s">
        <v>1847</v>
      </c>
      <c r="B1206" s="7" t="s">
        <v>1879</v>
      </c>
      <c r="C1206" s="7"/>
      <c r="D1206" s="6" t="s">
        <v>1847</v>
      </c>
      <c r="E1206" s="6" t="s">
        <v>1880</v>
      </c>
      <c r="F1206" s="7" t="str">
        <f aca="false">IF($D1206="","",IFERROR(IF(INDEX(Hierarchy!$B$2:$B$1295,MATCH($D1206,Hierarchy!$A$2:$A$1295,0))="","",INDEX(Hierarchy!$B$2:$B$1295,MATCH($D1206,Hierarchy!$A$2:$A$1295,0))),"NODE NOT FOUND"))</f>
        <v>Reference grouping</v>
      </c>
      <c r="G1206" s="7" t="str">
        <f aca="false">IF($D1206="","",IFERROR(IF(INDEX(Hierarchy!$D$2:$D$1295,MATCH($D1206,Hierarchy!$A$2:$A$1295,0))="","",INDEX(Hierarchy!$D$2:$D$1295,MATCH($D1206,Hierarchy!$A$2:$A$1295,0))),"NODE NOT FOUND"))</f>
        <v>Reference (UN / World Bank)</v>
      </c>
      <c r="H1206" s="7" t="str">
        <f aca="false">IF($D1206="","",IFERROR(IF(INDEX(Hierarchy!$E$2:$E$1295,MATCH($D1206,Hierarchy!$A$2:$A$1295,0))="","",INDEX(Hierarchy!$E$2:$E$1295,MATCH($D1206,Hierarchy!$A$2:$A$1295,0))),"NODE NOT FOUND"))</f>
        <v/>
      </c>
      <c r="I1206" s="7" t="str">
        <f aca="false">IF($D1206="","",IFERROR(IF(INDEX(Hierarchy!$F$2:$F$1295,MATCH($D1206,Hierarchy!$A$2:$A$1295,0))="","",INDEX(Hierarchy!$F$2:$F$1295,MATCH($D1206,Hierarchy!$A$2:$A$1295,0))),"NODE NOT FOUND"))</f>
        <v/>
      </c>
      <c r="J1206" s="7" t="str">
        <f aca="false">IF($D1206="","",IFERROR(IF(INDEX(Hierarchy!$G$2:$G$1295,MATCH($D1206,Hierarchy!$A$2:$A$1295,0))="","",INDEX(Hierarchy!$G$2:$G$1295,MATCH($D1206,Hierarchy!$A$2:$A$1295,0))),"NODE NOT FOUND"))</f>
        <v/>
      </c>
      <c r="K1206" s="7" t="str">
        <f aca="false">IF($D1206="","",IFERROR(IF(INDEX(Hierarchy!$H$2:$H$1295,MATCH($D1206,Hierarchy!$A$2:$A$1295,0))="","",INDEX(Hierarchy!$H$2:$H$1295,MATCH($D1206,Hierarchy!$A$2:$A$1295,0))),"NODE NOT FOUND"))</f>
        <v/>
      </c>
      <c r="L1206" s="7" t="str">
        <f aca="false">IF($D1206="","",IFERROR(IF(INDEX(Hierarchy!$I$2:$I$1295,MATCH($D1206,Hierarchy!$A$2:$A$1295,0))="","",INDEX(Hierarchy!$I$2:$I$1295,MATCH($D1206,Hierarchy!$A$2:$A$1295,0))),"NODE NOT FOUND"))</f>
        <v/>
      </c>
      <c r="M1206" s="17" t="str">
        <f aca="false">IF(B1206="Pre-seeded","Pre-seeded",IF(B1206="Review 2026-09-16","Added from review",IF(C1206="","New",IF(C1206=D1206,"","Changed"))))</f>
        <v>Pre-seeded</v>
      </c>
      <c r="N1206" s="7" t="str">
        <f aca="false">TRIM(SUBSTITUTE(SUBSTITUTE(SUBSTITUTE(" "&amp;TRIM(SUBSTITUTE(SUBSTITUTE(SUBSTITUTE(SUBSTITUTE(SUBSTITUTE(SUBSTITUTE(SUBSTITUTE(SUBSTITUTE(SUBSTITUTE(SUBSTITUTE(SUBSTITUTE(SUBSTITUTE(SUBSTITUTE(SUBSTITUTE(SUBSTITUTE(UPPER(TRIM(A1206)),"[MEMBER]",""),"{MEMBER}",""),"[MEMBER}",""),"MEMBER]",""),"(A)",""),"""",""),"“",""),"”",""),".",""),":",""),",",""),"–"," "),"-"," "),"/"," "),"&amp;"," AND "))&amp;" "," THE "," ")," TOTAL "," ")," OPERATIONS "," "))</f>
        <v>NORTHERN EUROPE (UN M49)</v>
      </c>
      <c r="O1206" s="17" t="str">
        <f aca="false">IF(COUNTIFS($N$2:$N$2000,N1206,$D$2:$D$2000,"&lt;&gt;"&amp;D1206)&gt;0,"CONFLICT","")</f>
        <v/>
      </c>
      <c r="P1206" s="7"/>
    </row>
    <row r="1207" customFormat="false" ht="15" hidden="false" customHeight="false" outlineLevel="0" collapsed="false">
      <c r="A1207" s="7" t="s">
        <v>682</v>
      </c>
      <c r="B1207" s="7" t="s">
        <v>1879</v>
      </c>
      <c r="C1207" s="7"/>
      <c r="D1207" s="6" t="s">
        <v>682</v>
      </c>
      <c r="E1207" s="6" t="s">
        <v>1880</v>
      </c>
      <c r="F1207" s="7" t="str">
        <f aca="false">IF($D1207="","",IFERROR(IF(INDEX(Hierarchy!$B$2:$B$1295,MATCH($D1207,Hierarchy!$A$2:$A$1295,0))="","",INDEX(Hierarchy!$B$2:$B$1295,MATCH($D1207,Hierarchy!$A$2:$A$1295,0))),"NODE NOT FOUND"))</f>
        <v>State/Province</v>
      </c>
      <c r="G1207" s="7" t="str">
        <f aca="false">IF($D1207="","",IFERROR(IF(INDEX(Hierarchy!$D$2:$D$1295,MATCH($D1207,Hierarchy!$A$2:$A$1295,0))="","",INDEX(Hierarchy!$D$2:$D$1295,MATCH($D1207,Hierarchy!$A$2:$A$1295,0))),"NODE NOT FOUND"))</f>
        <v>EMEA</v>
      </c>
      <c r="H1207" s="7" t="str">
        <f aca="false">IF($D1207="","",IFERROR(IF(INDEX(Hierarchy!$E$2:$E$1295,MATCH($D1207,Hierarchy!$A$2:$A$1295,0))="","",INDEX(Hierarchy!$E$2:$E$1295,MATCH($D1207,Hierarchy!$A$2:$A$1295,0))),"NODE NOT FOUND"))</f>
        <v>Europe</v>
      </c>
      <c r="I1207" s="7" t="str">
        <f aca="false">IF($D1207="","",IFERROR(IF(INDEX(Hierarchy!$F$2:$F$1295,MATCH($D1207,Hierarchy!$A$2:$A$1295,0))="","",INDEX(Hierarchy!$F$2:$F$1295,MATCH($D1207,Hierarchy!$A$2:$A$1295,0))),"NODE NOT FOUND"))</f>
        <v>United Kingdom</v>
      </c>
      <c r="J1207" s="7" t="str">
        <f aca="false">IF($D1207="","",IFERROR(IF(INDEX(Hierarchy!$G$2:$G$1295,MATCH($D1207,Hierarchy!$A$2:$A$1295,0))="","",INDEX(Hierarchy!$G$2:$G$1295,MATCH($D1207,Hierarchy!$A$2:$A$1295,0))),"NODE NOT FOUND"))</f>
        <v>GBR</v>
      </c>
      <c r="K1207" s="7" t="str">
        <f aca="false">IF($D1207="","",IFERROR(IF(INDEX(Hierarchy!$H$2:$H$1295,MATCH($D1207,Hierarchy!$A$2:$A$1295,0))="","",INDEX(Hierarchy!$H$2:$H$1295,MATCH($D1207,Hierarchy!$A$2:$A$1295,0))),"NODE NOT FOUND"))</f>
        <v>Northern Ireland</v>
      </c>
      <c r="L1207" s="7" t="str">
        <f aca="false">IF($D1207="","",IFERROR(IF(INDEX(Hierarchy!$I$2:$I$1295,MATCH($D1207,Hierarchy!$A$2:$A$1295,0))="","",INDEX(Hierarchy!$I$2:$I$1295,MATCH($D1207,Hierarchy!$A$2:$A$1295,0))),"NODE NOT FOUND"))</f>
        <v/>
      </c>
      <c r="M1207" s="17" t="str">
        <f aca="false">IF(B1207="Pre-seeded","Pre-seeded",IF(B1207="Review 2026-09-16","Added from review",IF(C1207="","New",IF(C1207=D1207,"","Changed"))))</f>
        <v>Pre-seeded</v>
      </c>
      <c r="N1207" s="7" t="str">
        <f aca="false">TRIM(SUBSTITUTE(SUBSTITUTE(SUBSTITUTE(" "&amp;TRIM(SUBSTITUTE(SUBSTITUTE(SUBSTITUTE(SUBSTITUTE(SUBSTITUTE(SUBSTITUTE(SUBSTITUTE(SUBSTITUTE(SUBSTITUTE(SUBSTITUTE(SUBSTITUTE(SUBSTITUTE(SUBSTITUTE(SUBSTITUTE(SUBSTITUTE(UPPER(TRIM(A1207)),"[MEMBER]",""),"{MEMBER}",""),"[MEMBER}",""),"MEMBER]",""),"(A)",""),"""",""),"“",""),"”",""),".",""),":",""),",",""),"–"," "),"-"," "),"/"," "),"&amp;"," AND "))&amp;" "," THE "," ")," TOTAL "," ")," OPERATIONS "," "))</f>
        <v>NORTHERN IRELAND</v>
      </c>
      <c r="O1207" s="17" t="str">
        <f aca="false">IF(COUNTIFS($N$2:$N$2000,N1207,$D$2:$D$2000,"&lt;&gt;"&amp;D1207)&gt;0,"CONFLICT","")</f>
        <v/>
      </c>
      <c r="P1207" s="7"/>
    </row>
    <row r="1208" customFormat="false" ht="15" hidden="false" customHeight="false" outlineLevel="0" collapsed="false">
      <c r="A1208" s="7" t="s">
        <v>224</v>
      </c>
      <c r="B1208" s="7" t="s">
        <v>1879</v>
      </c>
      <c r="C1208" s="7"/>
      <c r="D1208" s="6" t="s">
        <v>224</v>
      </c>
      <c r="E1208" s="6" t="s">
        <v>1880</v>
      </c>
      <c r="F1208" s="7" t="str">
        <f aca="false">IF($D1208="","",IFERROR(IF(INDEX(Hierarchy!$B$2:$B$1295,MATCH($D1208,Hierarchy!$A$2:$A$1295,0))="","",INDEX(Hierarchy!$B$2:$B$1295,MATCH($D1208,Hierarchy!$A$2:$A$1295,0))),"NODE NOT FOUND"))</f>
        <v>State/Province</v>
      </c>
      <c r="G1208" s="7" t="str">
        <f aca="false">IF($D1208="","",IFERROR(IF(INDEX(Hierarchy!$D$2:$D$1295,MATCH($D1208,Hierarchy!$A$2:$A$1295,0))="","",INDEX(Hierarchy!$D$2:$D$1295,MATCH($D1208,Hierarchy!$A$2:$A$1295,0))),"NODE NOT FOUND"))</f>
        <v>AMER</v>
      </c>
      <c r="H1208" s="7" t="str">
        <f aca="false">IF($D1208="","",IFERROR(IF(INDEX(Hierarchy!$E$2:$E$1295,MATCH($D1208,Hierarchy!$A$2:$A$1295,0))="","",INDEX(Hierarchy!$E$2:$E$1295,MATCH($D1208,Hierarchy!$A$2:$A$1295,0))),"NODE NOT FOUND"))</f>
        <v>North America (NORAM)</v>
      </c>
      <c r="I1208" s="7" t="str">
        <f aca="false">IF($D1208="","",IFERROR(IF(INDEX(Hierarchy!$F$2:$F$1295,MATCH($D1208,Hierarchy!$A$2:$A$1295,0))="","",INDEX(Hierarchy!$F$2:$F$1295,MATCH($D1208,Hierarchy!$A$2:$A$1295,0))),"NODE NOT FOUND"))</f>
        <v>United States</v>
      </c>
      <c r="J1208" s="7" t="str">
        <f aca="false">IF($D1208="","",IFERROR(IF(INDEX(Hierarchy!$G$2:$G$1295,MATCH($D1208,Hierarchy!$A$2:$A$1295,0))="","",INDEX(Hierarchy!$G$2:$G$1295,MATCH($D1208,Hierarchy!$A$2:$A$1295,0))),"NODE NOT FOUND"))</f>
        <v>USA</v>
      </c>
      <c r="K1208" s="7" t="str">
        <f aca="false">IF($D1208="","",IFERROR(IF(INDEX(Hierarchy!$H$2:$H$1295,MATCH($D1208,Hierarchy!$A$2:$A$1295,0))="","",INDEX(Hierarchy!$H$2:$H$1295,MATCH($D1208,Hierarchy!$A$2:$A$1295,0))),"NODE NOT FOUND"))</f>
        <v>Northern Mariana Islands</v>
      </c>
      <c r="L1208" s="7" t="str">
        <f aca="false">IF($D1208="","",IFERROR(IF(INDEX(Hierarchy!$I$2:$I$1295,MATCH($D1208,Hierarchy!$A$2:$A$1295,0))="","",INDEX(Hierarchy!$I$2:$I$1295,MATCH($D1208,Hierarchy!$A$2:$A$1295,0))),"NODE NOT FOUND"))</f>
        <v/>
      </c>
      <c r="M1208" s="17" t="str">
        <f aca="false">IF(B1208="Pre-seeded","Pre-seeded",IF(B1208="Review 2026-09-16","Added from review",IF(C1208="","New",IF(C1208=D1208,"","Changed"))))</f>
        <v>Pre-seeded</v>
      </c>
      <c r="N1208" s="7" t="str">
        <f aca="false">TRIM(SUBSTITUTE(SUBSTITUTE(SUBSTITUTE(" "&amp;TRIM(SUBSTITUTE(SUBSTITUTE(SUBSTITUTE(SUBSTITUTE(SUBSTITUTE(SUBSTITUTE(SUBSTITUTE(SUBSTITUTE(SUBSTITUTE(SUBSTITUTE(SUBSTITUTE(SUBSTITUTE(SUBSTITUTE(SUBSTITUTE(SUBSTITUTE(UPPER(TRIM(A1208)),"[MEMBER]",""),"{MEMBER}",""),"[MEMBER}",""),"MEMBER]",""),"(A)",""),"""",""),"“",""),"”",""),".",""),":",""),",",""),"–"," "),"-"," "),"/"," "),"&amp;"," AND "))&amp;" "," THE "," ")," TOTAL "," ")," OPERATIONS "," "))</f>
        <v>NORTHERN MARIANA ISLANDS</v>
      </c>
      <c r="O1208" s="17" t="str">
        <f aca="false">IF(COUNTIFS($N$2:$N$2000,N1208,$D$2:$D$2000,"&lt;&gt;"&amp;D1208)&gt;0,"CONFLICT","")</f>
        <v/>
      </c>
      <c r="P1208" s="7"/>
    </row>
    <row r="1209" customFormat="false" ht="15" hidden="false" customHeight="false" outlineLevel="0" collapsed="false">
      <c r="A1209" s="7" t="s">
        <v>2465</v>
      </c>
      <c r="B1209" s="7" t="s">
        <v>1879</v>
      </c>
      <c r="C1209" s="7"/>
      <c r="D1209" s="6" t="s">
        <v>224</v>
      </c>
      <c r="E1209" s="6" t="s">
        <v>1880</v>
      </c>
      <c r="F1209" s="7" t="str">
        <f aca="false">IF($D1209="","",IFERROR(IF(INDEX(Hierarchy!$B$2:$B$1295,MATCH($D1209,Hierarchy!$A$2:$A$1295,0))="","",INDEX(Hierarchy!$B$2:$B$1295,MATCH($D1209,Hierarchy!$A$2:$A$1295,0))),"NODE NOT FOUND"))</f>
        <v>State/Province</v>
      </c>
      <c r="G1209" s="7" t="str">
        <f aca="false">IF($D1209="","",IFERROR(IF(INDEX(Hierarchy!$D$2:$D$1295,MATCH($D1209,Hierarchy!$A$2:$A$1295,0))="","",INDEX(Hierarchy!$D$2:$D$1295,MATCH($D1209,Hierarchy!$A$2:$A$1295,0))),"NODE NOT FOUND"))</f>
        <v>AMER</v>
      </c>
      <c r="H1209" s="7" t="str">
        <f aca="false">IF($D1209="","",IFERROR(IF(INDEX(Hierarchy!$E$2:$E$1295,MATCH($D1209,Hierarchy!$A$2:$A$1295,0))="","",INDEX(Hierarchy!$E$2:$E$1295,MATCH($D1209,Hierarchy!$A$2:$A$1295,0))),"NODE NOT FOUND"))</f>
        <v>North America (NORAM)</v>
      </c>
      <c r="I1209" s="7" t="str">
        <f aca="false">IF($D1209="","",IFERROR(IF(INDEX(Hierarchy!$F$2:$F$1295,MATCH($D1209,Hierarchy!$A$2:$A$1295,0))="","",INDEX(Hierarchy!$F$2:$F$1295,MATCH($D1209,Hierarchy!$A$2:$A$1295,0))),"NODE NOT FOUND"))</f>
        <v>United States</v>
      </c>
      <c r="J1209" s="7" t="str">
        <f aca="false">IF($D1209="","",IFERROR(IF(INDEX(Hierarchy!$G$2:$G$1295,MATCH($D1209,Hierarchy!$A$2:$A$1295,0))="","",INDEX(Hierarchy!$G$2:$G$1295,MATCH($D1209,Hierarchy!$A$2:$A$1295,0))),"NODE NOT FOUND"))</f>
        <v>USA</v>
      </c>
      <c r="K1209" s="7" t="str">
        <f aca="false">IF($D1209="","",IFERROR(IF(INDEX(Hierarchy!$H$2:$H$1295,MATCH($D1209,Hierarchy!$A$2:$A$1295,0))="","",INDEX(Hierarchy!$H$2:$H$1295,MATCH($D1209,Hierarchy!$A$2:$A$1295,0))),"NODE NOT FOUND"))</f>
        <v>Northern Mariana Islands</v>
      </c>
      <c r="L1209" s="7" t="str">
        <f aca="false">IF($D1209="","",IFERROR(IF(INDEX(Hierarchy!$I$2:$I$1295,MATCH($D1209,Hierarchy!$A$2:$A$1295,0))="","",INDEX(Hierarchy!$I$2:$I$1295,MATCH($D1209,Hierarchy!$A$2:$A$1295,0))),"NODE NOT FOUND"))</f>
        <v/>
      </c>
      <c r="M1209" s="17" t="str">
        <f aca="false">IF(B1209="Pre-seeded","Pre-seeded",IF(B1209="Review 2026-09-16","Added from review",IF(C1209="","New",IF(C1209=D1209,"","Changed"))))</f>
        <v>Pre-seeded</v>
      </c>
      <c r="N1209" s="7" t="str">
        <f aca="false">TRIM(SUBSTITUTE(SUBSTITUTE(SUBSTITUTE(" "&amp;TRIM(SUBSTITUTE(SUBSTITUTE(SUBSTITUTE(SUBSTITUTE(SUBSTITUTE(SUBSTITUTE(SUBSTITUTE(SUBSTITUTE(SUBSTITUTE(SUBSTITUTE(SUBSTITUTE(SUBSTITUTE(SUBSTITUTE(SUBSTITUTE(SUBSTITUTE(UPPER(TRIM(A1209)),"[MEMBER]",""),"{MEMBER}",""),"[MEMBER}",""),"MEMBER]",""),"(A)",""),"""",""),"“",""),"”",""),".",""),":",""),",",""),"–"," "),"-"," "),"/"," "),"&amp;"," AND "))&amp;" "," THE "," ")," TOTAL "," ")," OPERATIONS "," "))</f>
        <v>NORTHERN MARIANAS</v>
      </c>
      <c r="O1209" s="17" t="str">
        <f aca="false">IF(COUNTIFS($N$2:$N$2000,N1209,$D$2:$D$2000,"&lt;&gt;"&amp;D1209)&gt;0,"CONFLICT","")</f>
        <v/>
      </c>
      <c r="P1209" s="7"/>
    </row>
    <row r="1210" customFormat="false" ht="15" hidden="false" customHeight="false" outlineLevel="0" collapsed="false">
      <c r="A1210" s="7" t="s">
        <v>381</v>
      </c>
      <c r="B1210" s="7" t="s">
        <v>1879</v>
      </c>
      <c r="C1210" s="7"/>
      <c r="D1210" s="6" t="s">
        <v>381</v>
      </c>
      <c r="E1210" s="6" t="s">
        <v>1880</v>
      </c>
      <c r="F1210" s="7" t="str">
        <f aca="false">IF($D1210="","",IFERROR(IF(INDEX(Hierarchy!$B$2:$B$1295,MATCH($D1210,Hierarchy!$A$2:$A$1295,0))="","",INDEX(Hierarchy!$B$2:$B$1295,MATCH($D1210,Hierarchy!$A$2:$A$1295,0))),"NODE NOT FOUND"))</f>
        <v>Sub-national region</v>
      </c>
      <c r="G1210" s="7" t="str">
        <f aca="false">IF($D1210="","",IFERROR(IF(INDEX(Hierarchy!$D$2:$D$1295,MATCH($D1210,Hierarchy!$A$2:$A$1295,0))="","",INDEX(Hierarchy!$D$2:$D$1295,MATCH($D1210,Hierarchy!$A$2:$A$1295,0))),"NODE NOT FOUND"))</f>
        <v>AMER</v>
      </c>
      <c r="H1210" s="7" t="str">
        <f aca="false">IF($D1210="","",IFERROR(IF(INDEX(Hierarchy!$E$2:$E$1295,MATCH($D1210,Hierarchy!$A$2:$A$1295,0))="","",INDEX(Hierarchy!$E$2:$E$1295,MATCH($D1210,Hierarchy!$A$2:$A$1295,0))),"NODE NOT FOUND"))</f>
        <v>Latin America (LATAM)</v>
      </c>
      <c r="I1210" s="7" t="str">
        <f aca="false">IF($D1210="","",IFERROR(IF(INDEX(Hierarchy!$F$2:$F$1295,MATCH($D1210,Hierarchy!$A$2:$A$1295,0))="","",INDEX(Hierarchy!$F$2:$F$1295,MATCH($D1210,Hierarchy!$A$2:$A$1295,0))),"NODE NOT FOUND"))</f>
        <v>Mexico</v>
      </c>
      <c r="J1210" s="7" t="str">
        <f aca="false">IF($D1210="","",IFERROR(IF(INDEX(Hierarchy!$G$2:$G$1295,MATCH($D1210,Hierarchy!$A$2:$A$1295,0))="","",INDEX(Hierarchy!$G$2:$G$1295,MATCH($D1210,Hierarchy!$A$2:$A$1295,0))),"NODE NOT FOUND"))</f>
        <v>MEX</v>
      </c>
      <c r="K1210" s="7" t="str">
        <f aca="false">IF($D1210="","",IFERROR(IF(INDEX(Hierarchy!$H$2:$H$1295,MATCH($D1210,Hierarchy!$A$2:$A$1295,0))="","",INDEX(Hierarchy!$H$2:$H$1295,MATCH($D1210,Hierarchy!$A$2:$A$1295,0))),"NODE NOT FOUND"))</f>
        <v/>
      </c>
      <c r="L1210" s="7" t="str">
        <f aca="false">IF($D1210="","",IFERROR(IF(INDEX(Hierarchy!$I$2:$I$1295,MATCH($D1210,Hierarchy!$A$2:$A$1295,0))="","",INDEX(Hierarchy!$I$2:$I$1295,MATCH($D1210,Hierarchy!$A$2:$A$1295,0))),"NODE NOT FOUND"))</f>
        <v/>
      </c>
      <c r="M1210" s="17" t="str">
        <f aca="false">IF(B1210="Pre-seeded","Pre-seeded",IF(B1210="Review 2026-09-16","Added from review",IF(C1210="","New",IF(C1210=D1210,"","Changed"))))</f>
        <v>Pre-seeded</v>
      </c>
      <c r="N1210" s="7" t="str">
        <f aca="false">TRIM(SUBSTITUTE(SUBSTITUTE(SUBSTITUTE(" "&amp;TRIM(SUBSTITUTE(SUBSTITUTE(SUBSTITUTE(SUBSTITUTE(SUBSTITUTE(SUBSTITUTE(SUBSTITUTE(SUBSTITUTE(SUBSTITUTE(SUBSTITUTE(SUBSTITUTE(SUBSTITUTE(SUBSTITUTE(SUBSTITUTE(SUBSTITUTE(UPPER(TRIM(A1210)),"[MEMBER]",""),"{MEMBER}",""),"[MEMBER}",""),"MEMBER]",""),"(A)",""),"""",""),"“",""),"”",""),".",""),":",""),",",""),"–"," "),"-"," "),"/"," "),"&amp;"," AND "))&amp;" "," THE "," ")," TOTAL "," ")," OPERATIONS "," "))</f>
        <v>NORTHERN MEXICO</v>
      </c>
      <c r="O1210" s="17" t="str">
        <f aca="false">IF(COUNTIFS($N$2:$N$2000,N1210,$D$2:$D$2000,"&lt;&gt;"&amp;D1210)&gt;0,"CONFLICT","")</f>
        <v/>
      </c>
      <c r="P1210" s="7"/>
    </row>
    <row r="1211" customFormat="false" ht="15" hidden="false" customHeight="false" outlineLevel="0" collapsed="false">
      <c r="A1211" s="7" t="s">
        <v>1677</v>
      </c>
      <c r="B1211" s="7" t="s">
        <v>1879</v>
      </c>
      <c r="C1211" s="7"/>
      <c r="D1211" s="6" t="s">
        <v>1677</v>
      </c>
      <c r="E1211" s="6" t="s">
        <v>1880</v>
      </c>
      <c r="F1211" s="7" t="str">
        <f aca="false">IF($D1211="","",IFERROR(IF(INDEX(Hierarchy!$B$2:$B$1295,MATCH($D1211,Hierarchy!$A$2:$A$1295,0))="","",INDEX(Hierarchy!$B$2:$B$1295,MATCH($D1211,Hierarchy!$A$2:$A$1295,0))),"NODE NOT FOUND"))</f>
        <v>State/Province</v>
      </c>
      <c r="G1211" s="7" t="str">
        <f aca="false">IF($D1211="","",IFERROR(IF(INDEX(Hierarchy!$D$2:$D$1295,MATCH($D1211,Hierarchy!$A$2:$A$1295,0))="","",INDEX(Hierarchy!$D$2:$D$1295,MATCH($D1211,Hierarchy!$A$2:$A$1295,0))),"NODE NOT FOUND"))</f>
        <v>APAC</v>
      </c>
      <c r="H1211" s="7" t="str">
        <f aca="false">IF($D1211="","",IFERROR(IF(INDEX(Hierarchy!$E$2:$E$1295,MATCH($D1211,Hierarchy!$A$2:$A$1295,0))="","",INDEX(Hierarchy!$E$2:$E$1295,MATCH($D1211,Hierarchy!$A$2:$A$1295,0))),"NODE NOT FOUND"))</f>
        <v>Southeast Asia (ASEAN)</v>
      </c>
      <c r="I1211" s="7" t="str">
        <f aca="false">IF($D1211="","",IFERROR(IF(INDEX(Hierarchy!$F$2:$F$1295,MATCH($D1211,Hierarchy!$A$2:$A$1295,0))="","",INDEX(Hierarchy!$F$2:$F$1295,MATCH($D1211,Hierarchy!$A$2:$A$1295,0))),"NODE NOT FOUND"))</f>
        <v>Philippines</v>
      </c>
      <c r="J1211" s="7" t="str">
        <f aca="false">IF($D1211="","",IFERROR(IF(INDEX(Hierarchy!$G$2:$G$1295,MATCH($D1211,Hierarchy!$A$2:$A$1295,0))="","",INDEX(Hierarchy!$G$2:$G$1295,MATCH($D1211,Hierarchy!$A$2:$A$1295,0))),"NODE NOT FOUND"))</f>
        <v>PHL</v>
      </c>
      <c r="K1211" s="7" t="str">
        <f aca="false">IF($D1211="","",IFERROR(IF(INDEX(Hierarchy!$H$2:$H$1295,MATCH($D1211,Hierarchy!$A$2:$A$1295,0))="","",INDEX(Hierarchy!$H$2:$H$1295,MATCH($D1211,Hierarchy!$A$2:$A$1295,0))),"NODE NOT FOUND"))</f>
        <v>Northern Mindanao</v>
      </c>
      <c r="L1211" s="7" t="str">
        <f aca="false">IF($D1211="","",IFERROR(IF(INDEX(Hierarchy!$I$2:$I$1295,MATCH($D1211,Hierarchy!$A$2:$A$1295,0))="","",INDEX(Hierarchy!$I$2:$I$1295,MATCH($D1211,Hierarchy!$A$2:$A$1295,0))),"NODE NOT FOUND"))</f>
        <v/>
      </c>
      <c r="M1211" s="17" t="str">
        <f aca="false">IF(B1211="Pre-seeded","Pre-seeded",IF(B1211="Review 2026-09-16","Added from review",IF(C1211="","New",IF(C1211=D1211,"","Changed"))))</f>
        <v>Pre-seeded</v>
      </c>
      <c r="N1211" s="7" t="str">
        <f aca="false">TRIM(SUBSTITUTE(SUBSTITUTE(SUBSTITUTE(" "&amp;TRIM(SUBSTITUTE(SUBSTITUTE(SUBSTITUTE(SUBSTITUTE(SUBSTITUTE(SUBSTITUTE(SUBSTITUTE(SUBSTITUTE(SUBSTITUTE(SUBSTITUTE(SUBSTITUTE(SUBSTITUTE(SUBSTITUTE(SUBSTITUTE(SUBSTITUTE(UPPER(TRIM(A1211)),"[MEMBER]",""),"{MEMBER}",""),"[MEMBER}",""),"MEMBER]",""),"(A)",""),"""",""),"“",""),"”",""),".",""),":",""),",",""),"–"," "),"-"," "),"/"," "),"&amp;"," AND "))&amp;" "," THE "," ")," TOTAL "," ")," OPERATIONS "," "))</f>
        <v>NORTHERN MINDANAO</v>
      </c>
      <c r="O1211" s="17" t="str">
        <f aca="false">IF(COUNTIFS($N$2:$N$2000,N1211,$D$2:$D$2000,"&lt;&gt;"&amp;D1211)&gt;0,"CONFLICT","")</f>
        <v/>
      </c>
      <c r="P1211" s="7"/>
    </row>
    <row r="1212" customFormat="false" ht="15" hidden="false" customHeight="false" outlineLevel="0" collapsed="false">
      <c r="A1212" s="7" t="s">
        <v>1413</v>
      </c>
      <c r="B1212" s="7" t="s">
        <v>1879</v>
      </c>
      <c r="C1212" s="7"/>
      <c r="D1212" s="6" t="s">
        <v>1413</v>
      </c>
      <c r="E1212" s="6" t="s">
        <v>1880</v>
      </c>
      <c r="F1212" s="7" t="str">
        <f aca="false">IF($D1212="","",IFERROR(IF(INDEX(Hierarchy!$B$2:$B$1295,MATCH($D1212,Hierarchy!$A$2:$A$1295,0))="","",INDEX(Hierarchy!$B$2:$B$1295,MATCH($D1212,Hierarchy!$A$2:$A$1295,0))),"NODE NOT FOUND"))</f>
        <v>State/Province</v>
      </c>
      <c r="G1212" s="7" t="str">
        <f aca="false">IF($D1212="","",IFERROR(IF(INDEX(Hierarchy!$D$2:$D$1295,MATCH($D1212,Hierarchy!$A$2:$A$1295,0))="","",INDEX(Hierarchy!$D$2:$D$1295,MATCH($D1212,Hierarchy!$A$2:$A$1295,0))),"NODE NOT FOUND"))</f>
        <v>APAC</v>
      </c>
      <c r="H1212" s="7" t="str">
        <f aca="false">IF($D1212="","",IFERROR(IF(INDEX(Hierarchy!$E$2:$E$1295,MATCH($D1212,Hierarchy!$A$2:$A$1295,0))="","",INDEX(Hierarchy!$E$2:$E$1295,MATCH($D1212,Hierarchy!$A$2:$A$1295,0))),"NODE NOT FOUND"))</f>
        <v>South Asia</v>
      </c>
      <c r="I1212" s="7" t="str">
        <f aca="false">IF($D1212="","",IFERROR(IF(INDEX(Hierarchy!$F$2:$F$1295,MATCH($D1212,Hierarchy!$A$2:$A$1295,0))="","",INDEX(Hierarchy!$F$2:$F$1295,MATCH($D1212,Hierarchy!$A$2:$A$1295,0))),"NODE NOT FOUND"))</f>
        <v>Sri Lanka</v>
      </c>
      <c r="J1212" s="7" t="str">
        <f aca="false">IF($D1212="","",IFERROR(IF(INDEX(Hierarchy!$G$2:$G$1295,MATCH($D1212,Hierarchy!$A$2:$A$1295,0))="","",INDEX(Hierarchy!$G$2:$G$1295,MATCH($D1212,Hierarchy!$A$2:$A$1295,0))),"NODE NOT FOUND"))</f>
        <v>LKA</v>
      </c>
      <c r="K1212" s="7" t="str">
        <f aca="false">IF($D1212="","",IFERROR(IF(INDEX(Hierarchy!$H$2:$H$1295,MATCH($D1212,Hierarchy!$A$2:$A$1295,0))="","",INDEX(Hierarchy!$H$2:$H$1295,MATCH($D1212,Hierarchy!$A$2:$A$1295,0))),"NODE NOT FOUND"))</f>
        <v>Northern Province (Sri Lanka)</v>
      </c>
      <c r="L1212" s="7" t="str">
        <f aca="false">IF($D1212="","",IFERROR(IF(INDEX(Hierarchy!$I$2:$I$1295,MATCH($D1212,Hierarchy!$A$2:$A$1295,0))="","",INDEX(Hierarchy!$I$2:$I$1295,MATCH($D1212,Hierarchy!$A$2:$A$1295,0))),"NODE NOT FOUND"))</f>
        <v/>
      </c>
      <c r="M1212" s="17" t="str">
        <f aca="false">IF(B1212="Pre-seeded","Pre-seeded",IF(B1212="Review 2026-09-16","Added from review",IF(C1212="","New",IF(C1212=D1212,"","Changed"))))</f>
        <v>Pre-seeded</v>
      </c>
      <c r="N1212" s="7" t="str">
        <f aca="false">TRIM(SUBSTITUTE(SUBSTITUTE(SUBSTITUTE(" "&amp;TRIM(SUBSTITUTE(SUBSTITUTE(SUBSTITUTE(SUBSTITUTE(SUBSTITUTE(SUBSTITUTE(SUBSTITUTE(SUBSTITUTE(SUBSTITUTE(SUBSTITUTE(SUBSTITUTE(SUBSTITUTE(SUBSTITUTE(SUBSTITUTE(SUBSTITUTE(UPPER(TRIM(A1212)),"[MEMBER]",""),"{MEMBER}",""),"[MEMBER}",""),"MEMBER]",""),"(A)",""),"""",""),"“",""),"”",""),".",""),":",""),",",""),"–"," "),"-"," "),"/"," "),"&amp;"," AND "))&amp;" "," THE "," ")," TOTAL "," ")," OPERATIONS "," "))</f>
        <v>NORTHERN PROVINCE (SRI LANKA)</v>
      </c>
      <c r="O1212" s="17" t="str">
        <f aca="false">IF(COUNTIFS($N$2:$N$2000,N1212,$D$2:$D$2000,"&lt;&gt;"&amp;D1212)&gt;0,"CONFLICT","")</f>
        <v/>
      </c>
      <c r="P1212" s="7"/>
    </row>
    <row r="1213" customFormat="false" ht="15" hidden="false" customHeight="false" outlineLevel="0" collapsed="false">
      <c r="A1213" s="7" t="s">
        <v>1705</v>
      </c>
      <c r="B1213" s="7" t="s">
        <v>1879</v>
      </c>
      <c r="C1213" s="7"/>
      <c r="D1213" s="6" t="s">
        <v>1705</v>
      </c>
      <c r="E1213" s="6" t="s">
        <v>1880</v>
      </c>
      <c r="F1213" s="7" t="str">
        <f aca="false">IF($D1213="","",IFERROR(IF(INDEX(Hierarchy!$B$2:$B$1295,MATCH($D1213,Hierarchy!$A$2:$A$1295,0))="","",INDEX(Hierarchy!$B$2:$B$1295,MATCH($D1213,Hierarchy!$A$2:$A$1295,0))),"NODE NOT FOUND"))</f>
        <v>State/Province</v>
      </c>
      <c r="G1213" s="7" t="str">
        <f aca="false">IF($D1213="","",IFERROR(IF(INDEX(Hierarchy!$D$2:$D$1295,MATCH($D1213,Hierarchy!$A$2:$A$1295,0))="","",INDEX(Hierarchy!$D$2:$D$1295,MATCH($D1213,Hierarchy!$A$2:$A$1295,0))),"NODE NOT FOUND"))</f>
        <v>APAC</v>
      </c>
      <c r="H1213" s="7" t="str">
        <f aca="false">IF($D1213="","",IFERROR(IF(INDEX(Hierarchy!$E$2:$E$1295,MATCH($D1213,Hierarchy!$A$2:$A$1295,0))="","",INDEX(Hierarchy!$E$2:$E$1295,MATCH($D1213,Hierarchy!$A$2:$A$1295,0))),"NODE NOT FOUND"))</f>
        <v>Oceania (ANZ)</v>
      </c>
      <c r="I1213" s="7" t="str">
        <f aca="false">IF($D1213="","",IFERROR(IF(INDEX(Hierarchy!$F$2:$F$1295,MATCH($D1213,Hierarchy!$A$2:$A$1295,0))="","",INDEX(Hierarchy!$F$2:$F$1295,MATCH($D1213,Hierarchy!$A$2:$A$1295,0))),"NODE NOT FOUND"))</f>
        <v>Australia</v>
      </c>
      <c r="J1213" s="7" t="str">
        <f aca="false">IF($D1213="","",IFERROR(IF(INDEX(Hierarchy!$G$2:$G$1295,MATCH($D1213,Hierarchy!$A$2:$A$1295,0))="","",INDEX(Hierarchy!$G$2:$G$1295,MATCH($D1213,Hierarchy!$A$2:$A$1295,0))),"NODE NOT FOUND"))</f>
        <v>AUS</v>
      </c>
      <c r="K1213" s="7" t="str">
        <f aca="false">IF($D1213="","",IFERROR(IF(INDEX(Hierarchy!$H$2:$H$1295,MATCH($D1213,Hierarchy!$A$2:$A$1295,0))="","",INDEX(Hierarchy!$H$2:$H$1295,MATCH($D1213,Hierarchy!$A$2:$A$1295,0))),"NODE NOT FOUND"))</f>
        <v>Northern Territory</v>
      </c>
      <c r="L1213" s="7" t="str">
        <f aca="false">IF($D1213="","",IFERROR(IF(INDEX(Hierarchy!$I$2:$I$1295,MATCH($D1213,Hierarchy!$A$2:$A$1295,0))="","",INDEX(Hierarchy!$I$2:$I$1295,MATCH($D1213,Hierarchy!$A$2:$A$1295,0))),"NODE NOT FOUND"))</f>
        <v/>
      </c>
      <c r="M1213" s="17" t="str">
        <f aca="false">IF(B1213="Pre-seeded","Pre-seeded",IF(B1213="Review 2026-09-16","Added from review",IF(C1213="","New",IF(C1213=D1213,"","Changed"))))</f>
        <v>Pre-seeded</v>
      </c>
      <c r="N1213" s="7" t="str">
        <f aca="false">TRIM(SUBSTITUTE(SUBSTITUTE(SUBSTITUTE(" "&amp;TRIM(SUBSTITUTE(SUBSTITUTE(SUBSTITUTE(SUBSTITUTE(SUBSTITUTE(SUBSTITUTE(SUBSTITUTE(SUBSTITUTE(SUBSTITUTE(SUBSTITUTE(SUBSTITUTE(SUBSTITUTE(SUBSTITUTE(SUBSTITUTE(SUBSTITUTE(UPPER(TRIM(A1213)),"[MEMBER]",""),"{MEMBER}",""),"[MEMBER}",""),"MEMBER]",""),"(A)",""),"""",""),"“",""),"”",""),".",""),":",""),",",""),"–"," "),"-"," "),"/"," "),"&amp;"," AND "))&amp;" "," THE "," ")," TOTAL "," ")," OPERATIONS "," "))</f>
        <v>NORTHERN TERRITORY</v>
      </c>
      <c r="O1213" s="17" t="str">
        <f aca="false">IF(COUNTIFS($N$2:$N$2000,N1213,$D$2:$D$2000,"&lt;&gt;"&amp;D1213)&gt;0,"CONFLICT","")</f>
        <v/>
      </c>
      <c r="P1213" s="7"/>
    </row>
    <row r="1214" customFormat="false" ht="15" hidden="false" customHeight="false" outlineLevel="0" collapsed="false">
      <c r="A1214" s="7" t="s">
        <v>1728</v>
      </c>
      <c r="B1214" s="7" t="s">
        <v>1879</v>
      </c>
      <c r="C1214" s="7"/>
      <c r="D1214" s="6" t="s">
        <v>1728</v>
      </c>
      <c r="E1214" s="6" t="s">
        <v>1880</v>
      </c>
      <c r="F1214" s="7" t="str">
        <f aca="false">IF($D1214="","",IFERROR(IF(INDEX(Hierarchy!$B$2:$B$1295,MATCH($D1214,Hierarchy!$A$2:$A$1295,0))="","",INDEX(Hierarchy!$B$2:$B$1295,MATCH($D1214,Hierarchy!$A$2:$A$1295,0))),"NODE NOT FOUND"))</f>
        <v>State/Province</v>
      </c>
      <c r="G1214" s="7" t="str">
        <f aca="false">IF($D1214="","",IFERROR(IF(INDEX(Hierarchy!$D$2:$D$1295,MATCH($D1214,Hierarchy!$A$2:$A$1295,0))="","",INDEX(Hierarchy!$D$2:$D$1295,MATCH($D1214,Hierarchy!$A$2:$A$1295,0))),"NODE NOT FOUND"))</f>
        <v>APAC</v>
      </c>
      <c r="H1214" s="7" t="str">
        <f aca="false">IF($D1214="","",IFERROR(IF(INDEX(Hierarchy!$E$2:$E$1295,MATCH($D1214,Hierarchy!$A$2:$A$1295,0))="","",INDEX(Hierarchy!$E$2:$E$1295,MATCH($D1214,Hierarchy!$A$2:$A$1295,0))),"NODE NOT FOUND"))</f>
        <v>Oceania (ANZ)</v>
      </c>
      <c r="I1214" s="7" t="str">
        <f aca="false">IF($D1214="","",IFERROR(IF(INDEX(Hierarchy!$F$2:$F$1295,MATCH($D1214,Hierarchy!$A$2:$A$1295,0))="","",INDEX(Hierarchy!$F$2:$F$1295,MATCH($D1214,Hierarchy!$A$2:$A$1295,0))),"NODE NOT FOUND"))</f>
        <v>New Zealand</v>
      </c>
      <c r="J1214" s="7" t="str">
        <f aca="false">IF($D1214="","",IFERROR(IF(INDEX(Hierarchy!$G$2:$G$1295,MATCH($D1214,Hierarchy!$A$2:$A$1295,0))="","",INDEX(Hierarchy!$G$2:$G$1295,MATCH($D1214,Hierarchy!$A$2:$A$1295,0))),"NODE NOT FOUND"))</f>
        <v>NZL</v>
      </c>
      <c r="K1214" s="7" t="str">
        <f aca="false">IF($D1214="","",IFERROR(IF(INDEX(Hierarchy!$H$2:$H$1295,MATCH($D1214,Hierarchy!$A$2:$A$1295,0))="","",INDEX(Hierarchy!$H$2:$H$1295,MATCH($D1214,Hierarchy!$A$2:$A$1295,0))),"NODE NOT FOUND"))</f>
        <v>Northland</v>
      </c>
      <c r="L1214" s="7" t="str">
        <f aca="false">IF($D1214="","",IFERROR(IF(INDEX(Hierarchy!$I$2:$I$1295,MATCH($D1214,Hierarchy!$A$2:$A$1295,0))="","",INDEX(Hierarchy!$I$2:$I$1295,MATCH($D1214,Hierarchy!$A$2:$A$1295,0))),"NODE NOT FOUND"))</f>
        <v/>
      </c>
      <c r="M1214" s="17" t="str">
        <f aca="false">IF(B1214="Pre-seeded","Pre-seeded",IF(B1214="Review 2026-09-16","Added from review",IF(C1214="","New",IF(C1214=D1214,"","Changed"))))</f>
        <v>Pre-seeded</v>
      </c>
      <c r="N1214" s="7" t="str">
        <f aca="false">TRIM(SUBSTITUTE(SUBSTITUTE(SUBSTITUTE(" "&amp;TRIM(SUBSTITUTE(SUBSTITUTE(SUBSTITUTE(SUBSTITUTE(SUBSTITUTE(SUBSTITUTE(SUBSTITUTE(SUBSTITUTE(SUBSTITUTE(SUBSTITUTE(SUBSTITUTE(SUBSTITUTE(SUBSTITUTE(SUBSTITUTE(SUBSTITUTE(UPPER(TRIM(A1214)),"[MEMBER]",""),"{MEMBER}",""),"[MEMBER}",""),"MEMBER]",""),"(A)",""),"""",""),"“",""),"”",""),".",""),":",""),",",""),"–"," "),"-"," "),"/"," "),"&amp;"," AND "))&amp;" "," THE "," ")," TOTAL "," ")," OPERATIONS "," "))</f>
        <v>NORTHLAND</v>
      </c>
      <c r="O1214" s="17" t="str">
        <f aca="false">IF(COUNTIFS($N$2:$N$2000,N1214,$D$2:$D$2000,"&lt;&gt;"&amp;D1214)&gt;0,"CONFLICT","")</f>
        <v/>
      </c>
      <c r="P1214" s="7"/>
    </row>
    <row r="1215" customFormat="false" ht="15" hidden="false" customHeight="false" outlineLevel="0" collapsed="false">
      <c r="A1215" s="7" t="s">
        <v>2466</v>
      </c>
      <c r="B1215" s="7" t="s">
        <v>1885</v>
      </c>
      <c r="C1215" s="7" t="s">
        <v>86</v>
      </c>
      <c r="D1215" s="6" t="s">
        <v>107</v>
      </c>
      <c r="E1215" s="6" t="s">
        <v>1880</v>
      </c>
      <c r="F1215" s="7" t="str">
        <f aca="false">IF($D1215="","",IFERROR(IF(INDEX(Hierarchy!$B$2:$B$1295,MATCH($D1215,Hierarchy!$A$2:$A$1295,0))="","",INDEX(Hierarchy!$B$2:$B$1295,MATCH($D1215,Hierarchy!$A$2:$A$1295,0))),"NODE NOT FOUND"))</f>
        <v>Sub-national region</v>
      </c>
      <c r="G1215" s="7" t="str">
        <f aca="false">IF($D1215="","",IFERROR(IF(INDEX(Hierarchy!$D$2:$D$1295,MATCH($D1215,Hierarchy!$A$2:$A$1295,0))="","",INDEX(Hierarchy!$D$2:$D$1295,MATCH($D1215,Hierarchy!$A$2:$A$1295,0))),"NODE NOT FOUND"))</f>
        <v>AMER</v>
      </c>
      <c r="H1215" s="7" t="str">
        <f aca="false">IF($D1215="","",IFERROR(IF(INDEX(Hierarchy!$E$2:$E$1295,MATCH($D1215,Hierarchy!$A$2:$A$1295,0))="","",INDEX(Hierarchy!$E$2:$E$1295,MATCH($D1215,Hierarchy!$A$2:$A$1295,0))),"NODE NOT FOUND"))</f>
        <v>North America (NORAM)</v>
      </c>
      <c r="I1215" s="7" t="str">
        <f aca="false">IF($D1215="","",IFERROR(IF(INDEX(Hierarchy!$F$2:$F$1295,MATCH($D1215,Hierarchy!$A$2:$A$1295,0))="","",INDEX(Hierarchy!$F$2:$F$1295,MATCH($D1215,Hierarchy!$A$2:$A$1295,0))),"NODE NOT FOUND"))</f>
        <v>United States</v>
      </c>
      <c r="J1215" s="7" t="str">
        <f aca="false">IF($D1215="","",IFERROR(IF(INDEX(Hierarchy!$G$2:$G$1295,MATCH($D1215,Hierarchy!$A$2:$A$1295,0))="","",INDEX(Hierarchy!$G$2:$G$1295,MATCH($D1215,Hierarchy!$A$2:$A$1295,0))),"NODE NOT FOUND"))</f>
        <v>USA</v>
      </c>
      <c r="K1215" s="7" t="str">
        <f aca="false">IF($D1215="","",IFERROR(IF(INDEX(Hierarchy!$H$2:$H$1295,MATCH($D1215,Hierarchy!$A$2:$A$1295,0))="","",INDEX(Hierarchy!$H$2:$H$1295,MATCH($D1215,Hierarchy!$A$2:$A$1295,0))),"NODE NOT FOUND"))</f>
        <v/>
      </c>
      <c r="L1215" s="7" t="str">
        <f aca="false">IF($D1215="","",IFERROR(IF(INDEX(Hierarchy!$I$2:$I$1295,MATCH($D1215,Hierarchy!$A$2:$A$1295,0))="","",INDEX(Hierarchy!$I$2:$I$1295,MATCH($D1215,Hierarchy!$A$2:$A$1295,0))),"NODE NOT FOUND"))</f>
        <v/>
      </c>
      <c r="M1215" s="17" t="str">
        <f aca="false">IF(B1215="Pre-seeded","Pre-seeded",IF(B1215="Review 2026-09-16","Added from review",IF(C1215="","New",IF(C1215=D1215,"","Changed"))))</f>
        <v>Changed</v>
      </c>
      <c r="N1215" s="7" t="str">
        <f aca="false">TRIM(SUBSTITUTE(SUBSTITUTE(SUBSTITUTE(" "&amp;TRIM(SUBSTITUTE(SUBSTITUTE(SUBSTITUTE(SUBSTITUTE(SUBSTITUTE(SUBSTITUTE(SUBSTITUTE(SUBSTITUTE(SUBSTITUTE(SUBSTITUTE(SUBSTITUTE(SUBSTITUTE(SUBSTITUTE(SUBSTITUTE(SUBSTITUTE(UPPER(TRIM(A1215)),"[MEMBER]",""),"{MEMBER}",""),"[MEMBER}",""),"MEMBER]",""),"(A)",""),"""",""),"“",""),"”",""),".",""),":",""),",",""),"–"," "),"-"," "),"/"," "),"&amp;"," AND "))&amp;" "," THE "," ")," TOTAL "," ")," OPERATIONS "," "))</f>
        <v>NORTHWEST</v>
      </c>
      <c r="O1215" s="17" t="str">
        <f aca="false">IF(COUNTIFS($N$2:$N$2000,N1215,$D$2:$D$2000,"&lt;&gt;"&amp;D1215)&gt;0,"CONFLICT","")</f>
        <v/>
      </c>
      <c r="P1215" s="7" t="s">
        <v>2467</v>
      </c>
    </row>
    <row r="1216" customFormat="false" ht="15" hidden="false" customHeight="false" outlineLevel="0" collapsed="false">
      <c r="A1216" s="7" t="s">
        <v>1497</v>
      </c>
      <c r="B1216" s="7" t="s">
        <v>1879</v>
      </c>
      <c r="C1216" s="7"/>
      <c r="D1216" s="6" t="s">
        <v>1497</v>
      </c>
      <c r="E1216" s="6" t="s">
        <v>1880</v>
      </c>
      <c r="F1216" s="7" t="str">
        <f aca="false">IF($D1216="","",IFERROR(IF(INDEX(Hierarchy!$B$2:$B$1295,MATCH($D1216,Hierarchy!$A$2:$A$1295,0))="","",INDEX(Hierarchy!$B$2:$B$1295,MATCH($D1216,Hierarchy!$A$2:$A$1295,0))),"NODE NOT FOUND"))</f>
        <v>Sub-national region</v>
      </c>
      <c r="G1216" s="7" t="str">
        <f aca="false">IF($D1216="","",IFERROR(IF(INDEX(Hierarchy!$D$2:$D$1295,MATCH($D1216,Hierarchy!$A$2:$A$1295,0))="","",INDEX(Hierarchy!$D$2:$D$1295,MATCH($D1216,Hierarchy!$A$2:$A$1295,0))),"NODE NOT FOUND"))</f>
        <v>APAC</v>
      </c>
      <c r="H1216" s="7" t="str">
        <f aca="false">IF($D1216="","",IFERROR(IF(INDEX(Hierarchy!$E$2:$E$1295,MATCH($D1216,Hierarchy!$A$2:$A$1295,0))="","",INDEX(Hierarchy!$E$2:$E$1295,MATCH($D1216,Hierarchy!$A$2:$A$1295,0))),"NODE NOT FOUND"))</f>
        <v>East Asia</v>
      </c>
      <c r="I1216" s="7" t="str">
        <f aca="false">IF($D1216="","",IFERROR(IF(INDEX(Hierarchy!$F$2:$F$1295,MATCH($D1216,Hierarchy!$A$2:$A$1295,0))="","",INDEX(Hierarchy!$F$2:$F$1295,MATCH($D1216,Hierarchy!$A$2:$A$1295,0))),"NODE NOT FOUND"))</f>
        <v>China</v>
      </c>
      <c r="J1216" s="7" t="str">
        <f aca="false">IF($D1216="","",IFERROR(IF(INDEX(Hierarchy!$G$2:$G$1295,MATCH($D1216,Hierarchy!$A$2:$A$1295,0))="","",INDEX(Hierarchy!$G$2:$G$1295,MATCH($D1216,Hierarchy!$A$2:$A$1295,0))),"NODE NOT FOUND"))</f>
        <v>CHN</v>
      </c>
      <c r="K1216" s="7" t="str">
        <f aca="false">IF($D1216="","",IFERROR(IF(INDEX(Hierarchy!$H$2:$H$1295,MATCH($D1216,Hierarchy!$A$2:$A$1295,0))="","",INDEX(Hierarchy!$H$2:$H$1295,MATCH($D1216,Hierarchy!$A$2:$A$1295,0))),"NODE NOT FOUND"))</f>
        <v/>
      </c>
      <c r="L1216" s="7" t="str">
        <f aca="false">IF($D1216="","",IFERROR(IF(INDEX(Hierarchy!$I$2:$I$1295,MATCH($D1216,Hierarchy!$A$2:$A$1295,0))="","",INDEX(Hierarchy!$I$2:$I$1295,MATCH($D1216,Hierarchy!$A$2:$A$1295,0))),"NODE NOT FOUND"))</f>
        <v/>
      </c>
      <c r="M1216" s="17" t="str">
        <f aca="false">IF(B1216="Pre-seeded","Pre-seeded",IF(B1216="Review 2026-09-16","Added from review",IF(C1216="","New",IF(C1216=D1216,"","Changed"))))</f>
        <v>Pre-seeded</v>
      </c>
      <c r="N1216" s="7" t="str">
        <f aca="false">TRIM(SUBSTITUTE(SUBSTITUTE(SUBSTITUTE(" "&amp;TRIM(SUBSTITUTE(SUBSTITUTE(SUBSTITUTE(SUBSTITUTE(SUBSTITUTE(SUBSTITUTE(SUBSTITUTE(SUBSTITUTE(SUBSTITUTE(SUBSTITUTE(SUBSTITUTE(SUBSTITUTE(SUBSTITUTE(SUBSTITUTE(SUBSTITUTE(UPPER(TRIM(A1216)),"[MEMBER]",""),"{MEMBER}",""),"[MEMBER}",""),"MEMBER]",""),"(A)",""),"""",""),"“",""),"”",""),".",""),":",""),",",""),"–"," "),"-"," "),"/"," "),"&amp;"," AND "))&amp;" "," THE "," ")," TOTAL "," ")," OPERATIONS "," "))</f>
        <v>NORTHWEST CHINA</v>
      </c>
      <c r="O1216" s="17" t="str">
        <f aca="false">IF(COUNTIFS($N$2:$N$2000,N1216,$D$2:$D$2000,"&lt;&gt;"&amp;D1216)&gt;0,"CONFLICT","")</f>
        <v/>
      </c>
      <c r="P1216" s="7"/>
    </row>
    <row r="1217" customFormat="false" ht="15" hidden="false" customHeight="false" outlineLevel="0" collapsed="false">
      <c r="A1217" s="7" t="s">
        <v>289</v>
      </c>
      <c r="B1217" s="7" t="s">
        <v>1879</v>
      </c>
      <c r="C1217" s="7"/>
      <c r="D1217" s="6" t="s">
        <v>289</v>
      </c>
      <c r="E1217" s="6" t="s">
        <v>1880</v>
      </c>
      <c r="F1217" s="7" t="str">
        <f aca="false">IF($D1217="","",IFERROR(IF(INDEX(Hierarchy!$B$2:$B$1295,MATCH($D1217,Hierarchy!$A$2:$A$1295,0))="","",INDEX(Hierarchy!$B$2:$B$1295,MATCH($D1217,Hierarchy!$A$2:$A$1295,0))),"NODE NOT FOUND"))</f>
        <v>State/Province</v>
      </c>
      <c r="G1217" s="7" t="str">
        <f aca="false">IF($D1217="","",IFERROR(IF(INDEX(Hierarchy!$D$2:$D$1295,MATCH($D1217,Hierarchy!$A$2:$A$1295,0))="","",INDEX(Hierarchy!$D$2:$D$1295,MATCH($D1217,Hierarchy!$A$2:$A$1295,0))),"NODE NOT FOUND"))</f>
        <v>AMER</v>
      </c>
      <c r="H1217" s="7" t="str">
        <f aca="false">IF($D1217="","",IFERROR(IF(INDEX(Hierarchy!$E$2:$E$1295,MATCH($D1217,Hierarchy!$A$2:$A$1295,0))="","",INDEX(Hierarchy!$E$2:$E$1295,MATCH($D1217,Hierarchy!$A$2:$A$1295,0))),"NODE NOT FOUND"))</f>
        <v>North America (NORAM)</v>
      </c>
      <c r="I1217" s="7" t="str">
        <f aca="false">IF($D1217="","",IFERROR(IF(INDEX(Hierarchy!$F$2:$F$1295,MATCH($D1217,Hierarchy!$A$2:$A$1295,0))="","",INDEX(Hierarchy!$F$2:$F$1295,MATCH($D1217,Hierarchy!$A$2:$A$1295,0))),"NODE NOT FOUND"))</f>
        <v>Canada</v>
      </c>
      <c r="J1217" s="7" t="str">
        <f aca="false">IF($D1217="","",IFERROR(IF(INDEX(Hierarchy!$G$2:$G$1295,MATCH($D1217,Hierarchy!$A$2:$A$1295,0))="","",INDEX(Hierarchy!$G$2:$G$1295,MATCH($D1217,Hierarchy!$A$2:$A$1295,0))),"NODE NOT FOUND"))</f>
        <v>CAN</v>
      </c>
      <c r="K1217" s="7" t="str">
        <f aca="false">IF($D1217="","",IFERROR(IF(INDEX(Hierarchy!$H$2:$H$1295,MATCH($D1217,Hierarchy!$A$2:$A$1295,0))="","",INDEX(Hierarchy!$H$2:$H$1295,MATCH($D1217,Hierarchy!$A$2:$A$1295,0))),"NODE NOT FOUND"))</f>
        <v>Northwest Territories</v>
      </c>
      <c r="L1217" s="7" t="str">
        <f aca="false">IF($D1217="","",IFERROR(IF(INDEX(Hierarchy!$I$2:$I$1295,MATCH($D1217,Hierarchy!$A$2:$A$1295,0))="","",INDEX(Hierarchy!$I$2:$I$1295,MATCH($D1217,Hierarchy!$A$2:$A$1295,0))),"NODE NOT FOUND"))</f>
        <v/>
      </c>
      <c r="M1217" s="17" t="str">
        <f aca="false">IF(B1217="Pre-seeded","Pre-seeded",IF(B1217="Review 2026-09-16","Added from review",IF(C1217="","New",IF(C1217=D1217,"","Changed"))))</f>
        <v>Pre-seeded</v>
      </c>
      <c r="N1217" s="7" t="str">
        <f aca="false">TRIM(SUBSTITUTE(SUBSTITUTE(SUBSTITUTE(" "&amp;TRIM(SUBSTITUTE(SUBSTITUTE(SUBSTITUTE(SUBSTITUTE(SUBSTITUTE(SUBSTITUTE(SUBSTITUTE(SUBSTITUTE(SUBSTITUTE(SUBSTITUTE(SUBSTITUTE(SUBSTITUTE(SUBSTITUTE(SUBSTITUTE(SUBSTITUTE(UPPER(TRIM(A1217)),"[MEMBER]",""),"{MEMBER}",""),"[MEMBER}",""),"MEMBER]",""),"(A)",""),"""",""),"“",""),"”",""),".",""),":",""),",",""),"–"," "),"-"," "),"/"," "),"&amp;"," AND "))&amp;" "," THE "," ")," TOTAL "," ")," OPERATIONS "," "))</f>
        <v>NORTHWEST TERRITORIES</v>
      </c>
      <c r="O1217" s="17" t="str">
        <f aca="false">IF(COUNTIFS($N$2:$N$2000,N1217,$D$2:$D$2000,"&lt;&gt;"&amp;D1217)&gt;0,"CONFLICT","")</f>
        <v/>
      </c>
      <c r="P1217" s="7"/>
    </row>
    <row r="1218" customFormat="false" ht="15" hidden="false" customHeight="false" outlineLevel="0" collapsed="false">
      <c r="A1218" s="7" t="s">
        <v>2468</v>
      </c>
      <c r="B1218" s="7" t="s">
        <v>1882</v>
      </c>
      <c r="C1218" s="7" t="s">
        <v>86</v>
      </c>
      <c r="D1218" s="6" t="s">
        <v>80</v>
      </c>
      <c r="E1218" s="6" t="s">
        <v>1880</v>
      </c>
      <c r="F1218" s="7" t="str">
        <f aca="false">IF($D1218="","",IFERROR(IF(INDEX(Hierarchy!$B$2:$B$1295,MATCH($D1218,Hierarchy!$A$2:$A$1295,0))="","",INDEX(Hierarchy!$B$2:$B$1295,MATCH($D1218,Hierarchy!$A$2:$A$1295,0))),"NODE NOT FOUND"))</f>
        <v>Sub-region</v>
      </c>
      <c r="G1218" s="7" t="str">
        <f aca="false">IF($D1218="","",IFERROR(IF(INDEX(Hierarchy!$D$2:$D$1295,MATCH($D1218,Hierarchy!$A$2:$A$1295,0))="","",INDEX(Hierarchy!$D$2:$D$1295,MATCH($D1218,Hierarchy!$A$2:$A$1295,0))),"NODE NOT FOUND"))</f>
        <v>AMER</v>
      </c>
      <c r="H1218" s="7" t="str">
        <f aca="false">IF($D1218="","",IFERROR(IF(INDEX(Hierarchy!$E$2:$E$1295,MATCH($D1218,Hierarchy!$A$2:$A$1295,0))="","",INDEX(Hierarchy!$E$2:$E$1295,MATCH($D1218,Hierarchy!$A$2:$A$1295,0))),"NODE NOT FOUND"))</f>
        <v>North America (NORAM)</v>
      </c>
      <c r="I1218" s="7" t="str">
        <f aca="false">IF($D1218="","",IFERROR(IF(INDEX(Hierarchy!$F$2:$F$1295,MATCH($D1218,Hierarchy!$A$2:$A$1295,0))="","",INDEX(Hierarchy!$F$2:$F$1295,MATCH($D1218,Hierarchy!$A$2:$A$1295,0))),"NODE NOT FOUND"))</f>
        <v/>
      </c>
      <c r="J1218" s="7" t="str">
        <f aca="false">IF($D1218="","",IFERROR(IF(INDEX(Hierarchy!$G$2:$G$1295,MATCH($D1218,Hierarchy!$A$2:$A$1295,0))="","",INDEX(Hierarchy!$G$2:$G$1295,MATCH($D1218,Hierarchy!$A$2:$A$1295,0))),"NODE NOT FOUND"))</f>
        <v/>
      </c>
      <c r="K1218" s="7" t="str">
        <f aca="false">IF($D1218="","",IFERROR(IF(INDEX(Hierarchy!$H$2:$H$1295,MATCH($D1218,Hierarchy!$A$2:$A$1295,0))="","",INDEX(Hierarchy!$H$2:$H$1295,MATCH($D1218,Hierarchy!$A$2:$A$1295,0))),"NODE NOT FOUND"))</f>
        <v/>
      </c>
      <c r="L1218" s="7" t="str">
        <f aca="false">IF($D1218="","",IFERROR(IF(INDEX(Hierarchy!$I$2:$I$1295,MATCH($D1218,Hierarchy!$A$2:$A$1295,0))="","",INDEX(Hierarchy!$I$2:$I$1295,MATCH($D1218,Hierarchy!$A$2:$A$1295,0))),"NODE NOT FOUND"))</f>
        <v/>
      </c>
      <c r="M1218" s="17" t="str">
        <f aca="false">IF(B1218="Pre-seeded","Pre-seeded",IF(B1218="Review 2026-09-16","Added from review",IF(C1218="","New",IF(C1218=D1218,"","Changed"))))</f>
        <v>Changed</v>
      </c>
      <c r="N1218" s="7" t="str">
        <f aca="false">TRIM(SUBSTITUTE(SUBSTITUTE(SUBSTITUTE(" "&amp;TRIM(SUBSTITUTE(SUBSTITUTE(SUBSTITUTE(SUBSTITUTE(SUBSTITUTE(SUBSTITUTE(SUBSTITUTE(SUBSTITUTE(SUBSTITUTE(SUBSTITUTE(SUBSTITUTE(SUBSTITUTE(SUBSTITUTE(SUBSTITUTE(SUBSTITUTE(UPPER(TRIM(A1218)),"[MEMBER]",""),"{MEMBER}",""),"[MEMBER}",""),"MEMBER]",""),"(A)",""),"""",""),"“",""),"”",""),".",""),":",""),",",""),"–"," "),"-"," "),"/"," "),"&amp;"," AND "))&amp;" "," THE "," ")," TOTAL "," ")," OPERATIONS "," "))</f>
        <v>NORTH  AMERICA</v>
      </c>
      <c r="O1218" s="17" t="str">
        <f aca="false">IF(COUNTIFS($N$2:$N$2000,N1218,$D$2:$D$2000,"&lt;&gt;"&amp;D1218)&gt;0,"CONFLICT","")</f>
        <v/>
      </c>
      <c r="P1218" s="7"/>
    </row>
    <row r="1219" customFormat="false" ht="15" hidden="false" customHeight="false" outlineLevel="0" collapsed="false">
      <c r="A1219" s="7" t="s">
        <v>902</v>
      </c>
      <c r="B1219" s="7" t="s">
        <v>1882</v>
      </c>
      <c r="C1219" s="7" t="s">
        <v>902</v>
      </c>
      <c r="D1219" s="6" t="s">
        <v>902</v>
      </c>
      <c r="E1219" s="6" t="s">
        <v>1880</v>
      </c>
      <c r="F1219" s="7" t="str">
        <f aca="false">IF($D1219="","",IFERROR(IF(INDEX(Hierarchy!$B$2:$B$1295,MATCH($D1219,Hierarchy!$A$2:$A$1295,0))="","",INDEX(Hierarchy!$B$2:$B$1295,MATCH($D1219,Hierarchy!$A$2:$A$1295,0))),"NODE NOT FOUND"))</f>
        <v>Country</v>
      </c>
      <c r="G1219" s="7" t="str">
        <f aca="false">IF($D1219="","",IFERROR(IF(INDEX(Hierarchy!$D$2:$D$1295,MATCH($D1219,Hierarchy!$A$2:$A$1295,0))="","",INDEX(Hierarchy!$D$2:$D$1295,MATCH($D1219,Hierarchy!$A$2:$A$1295,0))),"NODE NOT FOUND"))</f>
        <v>EMEA</v>
      </c>
      <c r="H1219" s="7" t="str">
        <f aca="false">IF($D1219="","",IFERROR(IF(INDEX(Hierarchy!$E$2:$E$1295,MATCH($D1219,Hierarchy!$A$2:$A$1295,0))="","",INDEX(Hierarchy!$E$2:$E$1295,MATCH($D1219,Hierarchy!$A$2:$A$1295,0))),"NODE NOT FOUND"))</f>
        <v>Europe</v>
      </c>
      <c r="I1219" s="7" t="str">
        <f aca="false">IF($D1219="","",IFERROR(IF(INDEX(Hierarchy!$F$2:$F$1295,MATCH($D1219,Hierarchy!$A$2:$A$1295,0))="","",INDEX(Hierarchy!$F$2:$F$1295,MATCH($D1219,Hierarchy!$A$2:$A$1295,0))),"NODE NOT FOUND"))</f>
        <v>Norway</v>
      </c>
      <c r="J1219" s="7" t="str">
        <f aca="false">IF($D1219="","",IFERROR(IF(INDEX(Hierarchy!$G$2:$G$1295,MATCH($D1219,Hierarchy!$A$2:$A$1295,0))="","",INDEX(Hierarchy!$G$2:$G$1295,MATCH($D1219,Hierarchy!$A$2:$A$1295,0))),"NODE NOT FOUND"))</f>
        <v>NOR</v>
      </c>
      <c r="K1219" s="7" t="str">
        <f aca="false">IF($D1219="","",IFERROR(IF(INDEX(Hierarchy!$H$2:$H$1295,MATCH($D1219,Hierarchy!$A$2:$A$1295,0))="","",INDEX(Hierarchy!$H$2:$H$1295,MATCH($D1219,Hierarchy!$A$2:$A$1295,0))),"NODE NOT FOUND"))</f>
        <v/>
      </c>
      <c r="L1219" s="7" t="str">
        <f aca="false">IF($D1219="","",IFERROR(IF(INDEX(Hierarchy!$I$2:$I$1295,MATCH($D1219,Hierarchy!$A$2:$A$1295,0))="","",INDEX(Hierarchy!$I$2:$I$1295,MATCH($D1219,Hierarchy!$A$2:$A$1295,0))),"NODE NOT FOUND"))</f>
        <v/>
      </c>
      <c r="M1219" s="17" t="str">
        <f aca="false">IF(B1219="Pre-seeded","Pre-seeded",IF(B1219="Review 2026-09-16","Added from review",IF(C1219="","New",IF(C1219=D1219,"","Changed"))))</f>
        <v/>
      </c>
      <c r="N1219" s="7" t="str">
        <f aca="false">TRIM(SUBSTITUTE(SUBSTITUTE(SUBSTITUTE(" "&amp;TRIM(SUBSTITUTE(SUBSTITUTE(SUBSTITUTE(SUBSTITUTE(SUBSTITUTE(SUBSTITUTE(SUBSTITUTE(SUBSTITUTE(SUBSTITUTE(SUBSTITUTE(SUBSTITUTE(SUBSTITUTE(SUBSTITUTE(SUBSTITUTE(SUBSTITUTE(UPPER(TRIM(A1219)),"[MEMBER]",""),"{MEMBER}",""),"[MEMBER}",""),"MEMBER]",""),"(A)",""),"""",""),"“",""),"”",""),".",""),":",""),",",""),"–"," "),"-"," "),"/"," "),"&amp;"," AND "))&amp;" "," THE "," ")," TOTAL "," ")," OPERATIONS "," "))</f>
        <v>NORWAY</v>
      </c>
      <c r="O1219" s="17" t="str">
        <f aca="false">IF(COUNTIFS($N$2:$N$2000,N1219,$D$2:$D$2000,"&lt;&gt;"&amp;D1219)&gt;0,"CONFLICT","")</f>
        <v/>
      </c>
      <c r="P1219" s="7"/>
    </row>
    <row r="1220" customFormat="false" ht="15" hidden="false" customHeight="false" outlineLevel="0" collapsed="false">
      <c r="A1220" s="7" t="s">
        <v>727</v>
      </c>
      <c r="B1220" s="7" t="s">
        <v>1879</v>
      </c>
      <c r="C1220" s="7"/>
      <c r="D1220" s="6" t="s">
        <v>727</v>
      </c>
      <c r="E1220" s="6" t="s">
        <v>1880</v>
      </c>
      <c r="F1220" s="7" t="str">
        <f aca="false">IF($D1220="","",IFERROR(IF(INDEX(Hierarchy!$B$2:$B$1295,MATCH($D1220,Hierarchy!$A$2:$A$1295,0))="","",INDEX(Hierarchy!$B$2:$B$1295,MATCH($D1220,Hierarchy!$A$2:$A$1295,0))),"NODE NOT FOUND"))</f>
        <v>State/Province</v>
      </c>
      <c r="G1220" s="7" t="str">
        <f aca="false">IF($D1220="","",IFERROR(IF(INDEX(Hierarchy!$D$2:$D$1295,MATCH($D1220,Hierarchy!$A$2:$A$1295,0))="","",INDEX(Hierarchy!$D$2:$D$1295,MATCH($D1220,Hierarchy!$A$2:$A$1295,0))),"NODE NOT FOUND"))</f>
        <v>EMEA</v>
      </c>
      <c r="H1220" s="7" t="str">
        <f aca="false">IF($D1220="","",IFERROR(IF(INDEX(Hierarchy!$E$2:$E$1295,MATCH($D1220,Hierarchy!$A$2:$A$1295,0))="","",INDEX(Hierarchy!$E$2:$E$1295,MATCH($D1220,Hierarchy!$A$2:$A$1295,0))),"NODE NOT FOUND"))</f>
        <v>Europe</v>
      </c>
      <c r="I1220" s="7" t="str">
        <f aca="false">IF($D1220="","",IFERROR(IF(INDEX(Hierarchy!$F$2:$F$1295,MATCH($D1220,Hierarchy!$A$2:$A$1295,0))="","",INDEX(Hierarchy!$F$2:$F$1295,MATCH($D1220,Hierarchy!$A$2:$A$1295,0))),"NODE NOT FOUND"))</f>
        <v>France</v>
      </c>
      <c r="J1220" s="7" t="str">
        <f aca="false">IF($D1220="","",IFERROR(IF(INDEX(Hierarchy!$G$2:$G$1295,MATCH($D1220,Hierarchy!$A$2:$A$1295,0))="","",INDEX(Hierarchy!$G$2:$G$1295,MATCH($D1220,Hierarchy!$A$2:$A$1295,0))),"NODE NOT FOUND"))</f>
        <v>FRA</v>
      </c>
      <c r="K1220" s="7" t="str">
        <f aca="false">IF($D1220="","",IFERROR(IF(INDEX(Hierarchy!$H$2:$H$1295,MATCH($D1220,Hierarchy!$A$2:$A$1295,0))="","",INDEX(Hierarchy!$H$2:$H$1295,MATCH($D1220,Hierarchy!$A$2:$A$1295,0))),"NODE NOT FOUND"))</f>
        <v>Nouvelle-Aquitaine</v>
      </c>
      <c r="L1220" s="7" t="str">
        <f aca="false">IF($D1220="","",IFERROR(IF(INDEX(Hierarchy!$I$2:$I$1295,MATCH($D1220,Hierarchy!$A$2:$A$1295,0))="","",INDEX(Hierarchy!$I$2:$I$1295,MATCH($D1220,Hierarchy!$A$2:$A$1295,0))),"NODE NOT FOUND"))</f>
        <v/>
      </c>
      <c r="M1220" s="17" t="str">
        <f aca="false">IF(B1220="Pre-seeded","Pre-seeded",IF(B1220="Review 2026-09-16","Added from review",IF(C1220="","New",IF(C1220=D1220,"","Changed"))))</f>
        <v>Pre-seeded</v>
      </c>
      <c r="N1220" s="7" t="str">
        <f aca="false">TRIM(SUBSTITUTE(SUBSTITUTE(SUBSTITUTE(" "&amp;TRIM(SUBSTITUTE(SUBSTITUTE(SUBSTITUTE(SUBSTITUTE(SUBSTITUTE(SUBSTITUTE(SUBSTITUTE(SUBSTITUTE(SUBSTITUTE(SUBSTITUTE(SUBSTITUTE(SUBSTITUTE(SUBSTITUTE(SUBSTITUTE(SUBSTITUTE(UPPER(TRIM(A1220)),"[MEMBER]",""),"{MEMBER}",""),"[MEMBER}",""),"MEMBER]",""),"(A)",""),"""",""),"“",""),"”",""),".",""),":",""),",",""),"–"," "),"-"," "),"/"," "),"&amp;"," AND "))&amp;" "," THE "," ")," TOTAL "," ")," OPERATIONS "," "))</f>
        <v>NOUVELLE AQUITAINE</v>
      </c>
      <c r="O1220" s="17" t="str">
        <f aca="false">IF(COUNTIFS($N$2:$N$2000,N1220,$D$2:$D$2000,"&lt;&gt;"&amp;D1220)&gt;0,"CONFLICT","")</f>
        <v/>
      </c>
      <c r="P1220" s="7"/>
    </row>
    <row r="1221" customFormat="false" ht="15" hidden="false" customHeight="false" outlineLevel="0" collapsed="false">
      <c r="A1221" s="7" t="s">
        <v>291</v>
      </c>
      <c r="B1221" s="7" t="s">
        <v>1879</v>
      </c>
      <c r="C1221" s="7"/>
      <c r="D1221" s="6" t="s">
        <v>291</v>
      </c>
      <c r="E1221" s="6" t="s">
        <v>1880</v>
      </c>
      <c r="F1221" s="7" t="str">
        <f aca="false">IF($D1221="","",IFERROR(IF(INDEX(Hierarchy!$B$2:$B$1295,MATCH($D1221,Hierarchy!$A$2:$A$1295,0))="","",INDEX(Hierarchy!$B$2:$B$1295,MATCH($D1221,Hierarchy!$A$2:$A$1295,0))),"NODE NOT FOUND"))</f>
        <v>State/Province</v>
      </c>
      <c r="G1221" s="7" t="str">
        <f aca="false">IF($D1221="","",IFERROR(IF(INDEX(Hierarchy!$D$2:$D$1295,MATCH($D1221,Hierarchy!$A$2:$A$1295,0))="","",INDEX(Hierarchy!$D$2:$D$1295,MATCH($D1221,Hierarchy!$A$2:$A$1295,0))),"NODE NOT FOUND"))</f>
        <v>AMER</v>
      </c>
      <c r="H1221" s="7" t="str">
        <f aca="false">IF($D1221="","",IFERROR(IF(INDEX(Hierarchy!$E$2:$E$1295,MATCH($D1221,Hierarchy!$A$2:$A$1295,0))="","",INDEX(Hierarchy!$E$2:$E$1295,MATCH($D1221,Hierarchy!$A$2:$A$1295,0))),"NODE NOT FOUND"))</f>
        <v>North America (NORAM)</v>
      </c>
      <c r="I1221" s="7" t="str">
        <f aca="false">IF($D1221="","",IFERROR(IF(INDEX(Hierarchy!$F$2:$F$1295,MATCH($D1221,Hierarchy!$A$2:$A$1295,0))="","",INDEX(Hierarchy!$F$2:$F$1295,MATCH($D1221,Hierarchy!$A$2:$A$1295,0))),"NODE NOT FOUND"))</f>
        <v>Canada</v>
      </c>
      <c r="J1221" s="7" t="str">
        <f aca="false">IF($D1221="","",IFERROR(IF(INDEX(Hierarchy!$G$2:$G$1295,MATCH($D1221,Hierarchy!$A$2:$A$1295,0))="","",INDEX(Hierarchy!$G$2:$G$1295,MATCH($D1221,Hierarchy!$A$2:$A$1295,0))),"NODE NOT FOUND"))</f>
        <v>CAN</v>
      </c>
      <c r="K1221" s="7" t="str">
        <f aca="false">IF($D1221="","",IFERROR(IF(INDEX(Hierarchy!$H$2:$H$1295,MATCH($D1221,Hierarchy!$A$2:$A$1295,0))="","",INDEX(Hierarchy!$H$2:$H$1295,MATCH($D1221,Hierarchy!$A$2:$A$1295,0))),"NODE NOT FOUND"))</f>
        <v>Nova Scotia</v>
      </c>
      <c r="L1221" s="7" t="str">
        <f aca="false">IF($D1221="","",IFERROR(IF(INDEX(Hierarchy!$I$2:$I$1295,MATCH($D1221,Hierarchy!$A$2:$A$1295,0))="","",INDEX(Hierarchy!$I$2:$I$1295,MATCH($D1221,Hierarchy!$A$2:$A$1295,0))),"NODE NOT FOUND"))</f>
        <v/>
      </c>
      <c r="M1221" s="17" t="str">
        <f aca="false">IF(B1221="Pre-seeded","Pre-seeded",IF(B1221="Review 2026-09-16","Added from review",IF(C1221="","New",IF(C1221=D1221,"","Changed"))))</f>
        <v>Pre-seeded</v>
      </c>
      <c r="N1221" s="7" t="str">
        <f aca="false">TRIM(SUBSTITUTE(SUBSTITUTE(SUBSTITUTE(" "&amp;TRIM(SUBSTITUTE(SUBSTITUTE(SUBSTITUTE(SUBSTITUTE(SUBSTITUTE(SUBSTITUTE(SUBSTITUTE(SUBSTITUTE(SUBSTITUTE(SUBSTITUTE(SUBSTITUTE(SUBSTITUTE(SUBSTITUTE(SUBSTITUTE(SUBSTITUTE(UPPER(TRIM(A1221)),"[MEMBER]",""),"{MEMBER}",""),"[MEMBER}",""),"MEMBER]",""),"(A)",""),"""",""),"“",""),"”",""),".",""),":",""),",",""),"–"," "),"-"," "),"/"," "),"&amp;"," AND "))&amp;" "," THE "," ")," TOTAL "," ")," OPERATIONS "," "))</f>
        <v>NOVA SCOTIA</v>
      </c>
      <c r="O1221" s="17" t="str">
        <f aca="false">IF(COUNTIFS($N$2:$N$2000,N1221,$D$2:$D$2000,"&lt;&gt;"&amp;D1221)&gt;0,"CONFLICT","")</f>
        <v/>
      </c>
      <c r="P1221" s="7"/>
    </row>
    <row r="1222" customFormat="false" ht="15" hidden="false" customHeight="false" outlineLevel="0" collapsed="false">
      <c r="A1222" s="7" t="s">
        <v>2469</v>
      </c>
      <c r="B1222" s="7" t="s">
        <v>1879</v>
      </c>
      <c r="C1222" s="7"/>
      <c r="D1222" s="6" t="s">
        <v>1703</v>
      </c>
      <c r="E1222" s="6" t="s">
        <v>1880</v>
      </c>
      <c r="F1222" s="7" t="str">
        <f aca="false">IF($D1222="","",IFERROR(IF(INDEX(Hierarchy!$B$2:$B$1295,MATCH($D1222,Hierarchy!$A$2:$A$1295,0))="","",INDEX(Hierarchy!$B$2:$B$1295,MATCH($D1222,Hierarchy!$A$2:$A$1295,0))),"NODE NOT FOUND"))</f>
        <v>State/Province</v>
      </c>
      <c r="G1222" s="7" t="str">
        <f aca="false">IF($D1222="","",IFERROR(IF(INDEX(Hierarchy!$D$2:$D$1295,MATCH($D1222,Hierarchy!$A$2:$A$1295,0))="","",INDEX(Hierarchy!$D$2:$D$1295,MATCH($D1222,Hierarchy!$A$2:$A$1295,0))),"NODE NOT FOUND"))</f>
        <v>APAC</v>
      </c>
      <c r="H1222" s="7" t="str">
        <f aca="false">IF($D1222="","",IFERROR(IF(INDEX(Hierarchy!$E$2:$E$1295,MATCH($D1222,Hierarchy!$A$2:$A$1295,0))="","",INDEX(Hierarchy!$E$2:$E$1295,MATCH($D1222,Hierarchy!$A$2:$A$1295,0))),"NODE NOT FOUND"))</f>
        <v>Oceania (ANZ)</v>
      </c>
      <c r="I1222" s="7" t="str">
        <f aca="false">IF($D1222="","",IFERROR(IF(INDEX(Hierarchy!$F$2:$F$1295,MATCH($D1222,Hierarchy!$A$2:$A$1295,0))="","",INDEX(Hierarchy!$F$2:$F$1295,MATCH($D1222,Hierarchy!$A$2:$A$1295,0))),"NODE NOT FOUND"))</f>
        <v>Australia</v>
      </c>
      <c r="J1222" s="7" t="str">
        <f aca="false">IF($D1222="","",IFERROR(IF(INDEX(Hierarchy!$G$2:$G$1295,MATCH($D1222,Hierarchy!$A$2:$A$1295,0))="","",INDEX(Hierarchy!$G$2:$G$1295,MATCH($D1222,Hierarchy!$A$2:$A$1295,0))),"NODE NOT FOUND"))</f>
        <v>AUS</v>
      </c>
      <c r="K1222" s="7" t="str">
        <f aca="false">IF($D1222="","",IFERROR(IF(INDEX(Hierarchy!$H$2:$H$1295,MATCH($D1222,Hierarchy!$A$2:$A$1295,0))="","",INDEX(Hierarchy!$H$2:$H$1295,MATCH($D1222,Hierarchy!$A$2:$A$1295,0))),"NODE NOT FOUND"))</f>
        <v>New South Wales</v>
      </c>
      <c r="L1222" s="7" t="str">
        <f aca="false">IF($D1222="","",IFERROR(IF(INDEX(Hierarchy!$I$2:$I$1295,MATCH($D1222,Hierarchy!$A$2:$A$1295,0))="","",INDEX(Hierarchy!$I$2:$I$1295,MATCH($D1222,Hierarchy!$A$2:$A$1295,0))),"NODE NOT FOUND"))</f>
        <v/>
      </c>
      <c r="M1222" s="17" t="str">
        <f aca="false">IF(B1222="Pre-seeded","Pre-seeded",IF(B1222="Review 2026-09-16","Added from review",IF(C1222="","New",IF(C1222=D1222,"","Changed"))))</f>
        <v>Pre-seeded</v>
      </c>
      <c r="N1222" s="7" t="str">
        <f aca="false">TRIM(SUBSTITUTE(SUBSTITUTE(SUBSTITUTE(" "&amp;TRIM(SUBSTITUTE(SUBSTITUTE(SUBSTITUTE(SUBSTITUTE(SUBSTITUTE(SUBSTITUTE(SUBSTITUTE(SUBSTITUTE(SUBSTITUTE(SUBSTITUTE(SUBSTITUTE(SUBSTITUTE(SUBSTITUTE(SUBSTITUTE(SUBSTITUTE(UPPER(TRIM(A1222)),"[MEMBER]",""),"{MEMBER}",""),"[MEMBER}",""),"MEMBER]",""),"(A)",""),"""",""),"“",""),"”",""),".",""),":",""),",",""),"–"," "),"-"," "),"/"," "),"&amp;"," AND "))&amp;" "," THE "," ")," TOTAL "," ")," OPERATIONS "," "))</f>
        <v>NSW</v>
      </c>
      <c r="O1222" s="17" t="str">
        <f aca="false">IF(COUNTIFS($N$2:$N$2000,N1222,$D$2:$D$2000,"&lt;&gt;"&amp;D1222)&gt;0,"CONFLICT","")</f>
        <v/>
      </c>
      <c r="P1222" s="7"/>
    </row>
    <row r="1223" customFormat="false" ht="15" hidden="false" customHeight="false" outlineLevel="0" collapsed="false">
      <c r="A1223" s="7" t="s">
        <v>2470</v>
      </c>
      <c r="B1223" s="7" t="s">
        <v>1879</v>
      </c>
      <c r="C1223" s="7"/>
      <c r="D1223" s="6" t="s">
        <v>403</v>
      </c>
      <c r="E1223" s="6" t="s">
        <v>1880</v>
      </c>
      <c r="F1223" s="7" t="str">
        <f aca="false">IF($D1223="","",IFERROR(IF(INDEX(Hierarchy!$B$2:$B$1295,MATCH($D1223,Hierarchy!$A$2:$A$1295,0))="","",INDEX(Hierarchy!$B$2:$B$1295,MATCH($D1223,Hierarchy!$A$2:$A$1295,0))),"NODE NOT FOUND"))</f>
        <v>State/Province</v>
      </c>
      <c r="G1223" s="7" t="str">
        <f aca="false">IF($D1223="","",IFERROR(IF(INDEX(Hierarchy!$D$2:$D$1295,MATCH($D1223,Hierarchy!$A$2:$A$1295,0))="","",INDEX(Hierarchy!$D$2:$D$1295,MATCH($D1223,Hierarchy!$A$2:$A$1295,0))),"NODE NOT FOUND"))</f>
        <v>AMER</v>
      </c>
      <c r="H1223" s="7" t="str">
        <f aca="false">IF($D1223="","",IFERROR(IF(INDEX(Hierarchy!$E$2:$E$1295,MATCH($D1223,Hierarchy!$A$2:$A$1295,0))="","",INDEX(Hierarchy!$E$2:$E$1295,MATCH($D1223,Hierarchy!$A$2:$A$1295,0))),"NODE NOT FOUND"))</f>
        <v>Latin America (LATAM)</v>
      </c>
      <c r="I1223" s="7" t="str">
        <f aca="false">IF($D1223="","",IFERROR(IF(INDEX(Hierarchy!$F$2:$F$1295,MATCH($D1223,Hierarchy!$A$2:$A$1295,0))="","",INDEX(Hierarchy!$F$2:$F$1295,MATCH($D1223,Hierarchy!$A$2:$A$1295,0))),"NODE NOT FOUND"))</f>
        <v>Mexico</v>
      </c>
      <c r="J1223" s="7" t="str">
        <f aca="false">IF($D1223="","",IFERROR(IF(INDEX(Hierarchy!$G$2:$G$1295,MATCH($D1223,Hierarchy!$A$2:$A$1295,0))="","",INDEX(Hierarchy!$G$2:$G$1295,MATCH($D1223,Hierarchy!$A$2:$A$1295,0))),"NODE NOT FOUND"))</f>
        <v>MEX</v>
      </c>
      <c r="K1223" s="7" t="str">
        <f aca="false">IF($D1223="","",IFERROR(IF(INDEX(Hierarchy!$H$2:$H$1295,MATCH($D1223,Hierarchy!$A$2:$A$1295,0))="","",INDEX(Hierarchy!$H$2:$H$1295,MATCH($D1223,Hierarchy!$A$2:$A$1295,0))),"NODE NOT FOUND"))</f>
        <v>Nuevo León</v>
      </c>
      <c r="L1223" s="7" t="str">
        <f aca="false">IF($D1223="","",IFERROR(IF(INDEX(Hierarchy!$I$2:$I$1295,MATCH($D1223,Hierarchy!$A$2:$A$1295,0))="","",INDEX(Hierarchy!$I$2:$I$1295,MATCH($D1223,Hierarchy!$A$2:$A$1295,0))),"NODE NOT FOUND"))</f>
        <v/>
      </c>
      <c r="M1223" s="17" t="str">
        <f aca="false">IF(B1223="Pre-seeded","Pre-seeded",IF(B1223="Review 2026-09-16","Added from review",IF(C1223="","New",IF(C1223=D1223,"","Changed"))))</f>
        <v>Pre-seeded</v>
      </c>
      <c r="N1223" s="7" t="str">
        <f aca="false">TRIM(SUBSTITUTE(SUBSTITUTE(SUBSTITUTE(" "&amp;TRIM(SUBSTITUTE(SUBSTITUTE(SUBSTITUTE(SUBSTITUTE(SUBSTITUTE(SUBSTITUTE(SUBSTITUTE(SUBSTITUTE(SUBSTITUTE(SUBSTITUTE(SUBSTITUTE(SUBSTITUTE(SUBSTITUTE(SUBSTITUTE(SUBSTITUTE(UPPER(TRIM(A1223)),"[MEMBER]",""),"{MEMBER}",""),"[MEMBER}",""),"MEMBER]",""),"(A)",""),"""",""),"“",""),"”",""),".",""),":",""),",",""),"–"," "),"-"," "),"/"," "),"&amp;"," AND "))&amp;" "," THE "," ")," TOTAL "," ")," OPERATIONS "," "))</f>
        <v>NUEVO LEON</v>
      </c>
      <c r="O1223" s="17" t="str">
        <f aca="false">IF(COUNTIFS($N$2:$N$2000,N1223,$D$2:$D$2000,"&lt;&gt;"&amp;D1223)&gt;0,"CONFLICT","")</f>
        <v/>
      </c>
      <c r="P1223" s="7"/>
    </row>
    <row r="1224" customFormat="false" ht="15" hidden="false" customHeight="false" outlineLevel="0" collapsed="false">
      <c r="A1224" s="7" t="s">
        <v>403</v>
      </c>
      <c r="B1224" s="7" t="s">
        <v>1879</v>
      </c>
      <c r="C1224" s="7"/>
      <c r="D1224" s="6" t="s">
        <v>403</v>
      </c>
      <c r="E1224" s="6" t="s">
        <v>1880</v>
      </c>
      <c r="F1224" s="7" t="str">
        <f aca="false">IF($D1224="","",IFERROR(IF(INDEX(Hierarchy!$B$2:$B$1295,MATCH($D1224,Hierarchy!$A$2:$A$1295,0))="","",INDEX(Hierarchy!$B$2:$B$1295,MATCH($D1224,Hierarchy!$A$2:$A$1295,0))),"NODE NOT FOUND"))</f>
        <v>State/Province</v>
      </c>
      <c r="G1224" s="7" t="str">
        <f aca="false">IF($D1224="","",IFERROR(IF(INDEX(Hierarchy!$D$2:$D$1295,MATCH($D1224,Hierarchy!$A$2:$A$1295,0))="","",INDEX(Hierarchy!$D$2:$D$1295,MATCH($D1224,Hierarchy!$A$2:$A$1295,0))),"NODE NOT FOUND"))</f>
        <v>AMER</v>
      </c>
      <c r="H1224" s="7" t="str">
        <f aca="false">IF($D1224="","",IFERROR(IF(INDEX(Hierarchy!$E$2:$E$1295,MATCH($D1224,Hierarchy!$A$2:$A$1295,0))="","",INDEX(Hierarchy!$E$2:$E$1295,MATCH($D1224,Hierarchy!$A$2:$A$1295,0))),"NODE NOT FOUND"))</f>
        <v>Latin America (LATAM)</v>
      </c>
      <c r="I1224" s="7" t="str">
        <f aca="false">IF($D1224="","",IFERROR(IF(INDEX(Hierarchy!$F$2:$F$1295,MATCH($D1224,Hierarchy!$A$2:$A$1295,0))="","",INDEX(Hierarchy!$F$2:$F$1295,MATCH($D1224,Hierarchy!$A$2:$A$1295,0))),"NODE NOT FOUND"))</f>
        <v>Mexico</v>
      </c>
      <c r="J1224" s="7" t="str">
        <f aca="false">IF($D1224="","",IFERROR(IF(INDEX(Hierarchy!$G$2:$G$1295,MATCH($D1224,Hierarchy!$A$2:$A$1295,0))="","",INDEX(Hierarchy!$G$2:$G$1295,MATCH($D1224,Hierarchy!$A$2:$A$1295,0))),"NODE NOT FOUND"))</f>
        <v>MEX</v>
      </c>
      <c r="K1224" s="7" t="str">
        <f aca="false">IF($D1224="","",IFERROR(IF(INDEX(Hierarchy!$H$2:$H$1295,MATCH($D1224,Hierarchy!$A$2:$A$1295,0))="","",INDEX(Hierarchy!$H$2:$H$1295,MATCH($D1224,Hierarchy!$A$2:$A$1295,0))),"NODE NOT FOUND"))</f>
        <v>Nuevo León</v>
      </c>
      <c r="L1224" s="7" t="str">
        <f aca="false">IF($D1224="","",IFERROR(IF(INDEX(Hierarchy!$I$2:$I$1295,MATCH($D1224,Hierarchy!$A$2:$A$1295,0))="","",INDEX(Hierarchy!$I$2:$I$1295,MATCH($D1224,Hierarchy!$A$2:$A$1295,0))),"NODE NOT FOUND"))</f>
        <v/>
      </c>
      <c r="M1224" s="17" t="str">
        <f aca="false">IF(B1224="Pre-seeded","Pre-seeded",IF(B1224="Review 2026-09-16","Added from review",IF(C1224="","New",IF(C1224=D1224,"","Changed"))))</f>
        <v>Pre-seeded</v>
      </c>
      <c r="N1224" s="7" t="str">
        <f aca="false">TRIM(SUBSTITUTE(SUBSTITUTE(SUBSTITUTE(" "&amp;TRIM(SUBSTITUTE(SUBSTITUTE(SUBSTITUTE(SUBSTITUTE(SUBSTITUTE(SUBSTITUTE(SUBSTITUTE(SUBSTITUTE(SUBSTITUTE(SUBSTITUTE(SUBSTITUTE(SUBSTITUTE(SUBSTITUTE(SUBSTITUTE(SUBSTITUTE(UPPER(TRIM(A1224)),"[MEMBER]",""),"{MEMBER}",""),"[MEMBER}",""),"MEMBER]",""),"(A)",""),"""",""),"“",""),"”",""),".",""),":",""),",",""),"–"," "),"-"," "),"/"," "),"&amp;"," AND "))&amp;" "," THE "," ")," TOTAL "," ")," OPERATIONS "," "))</f>
        <v>NUEVO LEÓN</v>
      </c>
      <c r="O1224" s="17" t="str">
        <f aca="false">IF(COUNTIFS($N$2:$N$2000,N1224,$D$2:$D$2000,"&lt;&gt;"&amp;D1224)&gt;0,"CONFLICT","")</f>
        <v/>
      </c>
      <c r="P1224" s="7"/>
    </row>
    <row r="1225" customFormat="false" ht="15" hidden="false" customHeight="false" outlineLevel="0" collapsed="false">
      <c r="A1225" s="7" t="s">
        <v>292</v>
      </c>
      <c r="B1225" s="7" t="s">
        <v>1879</v>
      </c>
      <c r="C1225" s="7"/>
      <c r="D1225" s="6" t="s">
        <v>292</v>
      </c>
      <c r="E1225" s="6" t="s">
        <v>1880</v>
      </c>
      <c r="F1225" s="7" t="str">
        <f aca="false">IF($D1225="","",IFERROR(IF(INDEX(Hierarchy!$B$2:$B$1295,MATCH($D1225,Hierarchy!$A$2:$A$1295,0))="","",INDEX(Hierarchy!$B$2:$B$1295,MATCH($D1225,Hierarchy!$A$2:$A$1295,0))),"NODE NOT FOUND"))</f>
        <v>State/Province</v>
      </c>
      <c r="G1225" s="7" t="str">
        <f aca="false">IF($D1225="","",IFERROR(IF(INDEX(Hierarchy!$D$2:$D$1295,MATCH($D1225,Hierarchy!$A$2:$A$1295,0))="","",INDEX(Hierarchy!$D$2:$D$1295,MATCH($D1225,Hierarchy!$A$2:$A$1295,0))),"NODE NOT FOUND"))</f>
        <v>AMER</v>
      </c>
      <c r="H1225" s="7" t="str">
        <f aca="false">IF($D1225="","",IFERROR(IF(INDEX(Hierarchy!$E$2:$E$1295,MATCH($D1225,Hierarchy!$A$2:$A$1295,0))="","",INDEX(Hierarchy!$E$2:$E$1295,MATCH($D1225,Hierarchy!$A$2:$A$1295,0))),"NODE NOT FOUND"))</f>
        <v>North America (NORAM)</v>
      </c>
      <c r="I1225" s="7" t="str">
        <f aca="false">IF($D1225="","",IFERROR(IF(INDEX(Hierarchy!$F$2:$F$1295,MATCH($D1225,Hierarchy!$A$2:$A$1295,0))="","",INDEX(Hierarchy!$F$2:$F$1295,MATCH($D1225,Hierarchy!$A$2:$A$1295,0))),"NODE NOT FOUND"))</f>
        <v>Canada</v>
      </c>
      <c r="J1225" s="7" t="str">
        <f aca="false">IF($D1225="","",IFERROR(IF(INDEX(Hierarchy!$G$2:$G$1295,MATCH($D1225,Hierarchy!$A$2:$A$1295,0))="","",INDEX(Hierarchy!$G$2:$G$1295,MATCH($D1225,Hierarchy!$A$2:$A$1295,0))),"NODE NOT FOUND"))</f>
        <v>CAN</v>
      </c>
      <c r="K1225" s="7" t="str">
        <f aca="false">IF($D1225="","",IFERROR(IF(INDEX(Hierarchy!$H$2:$H$1295,MATCH($D1225,Hierarchy!$A$2:$A$1295,0))="","",INDEX(Hierarchy!$H$2:$H$1295,MATCH($D1225,Hierarchy!$A$2:$A$1295,0))),"NODE NOT FOUND"))</f>
        <v>Nunavut</v>
      </c>
      <c r="L1225" s="7" t="str">
        <f aca="false">IF($D1225="","",IFERROR(IF(INDEX(Hierarchy!$I$2:$I$1295,MATCH($D1225,Hierarchy!$A$2:$A$1295,0))="","",INDEX(Hierarchy!$I$2:$I$1295,MATCH($D1225,Hierarchy!$A$2:$A$1295,0))),"NODE NOT FOUND"))</f>
        <v/>
      </c>
      <c r="M1225" s="17" t="str">
        <f aca="false">IF(B1225="Pre-seeded","Pre-seeded",IF(B1225="Review 2026-09-16","Added from review",IF(C1225="","New",IF(C1225=D1225,"","Changed"))))</f>
        <v>Pre-seeded</v>
      </c>
      <c r="N1225" s="7" t="str">
        <f aca="false">TRIM(SUBSTITUTE(SUBSTITUTE(SUBSTITUTE(" "&amp;TRIM(SUBSTITUTE(SUBSTITUTE(SUBSTITUTE(SUBSTITUTE(SUBSTITUTE(SUBSTITUTE(SUBSTITUTE(SUBSTITUTE(SUBSTITUTE(SUBSTITUTE(SUBSTITUTE(SUBSTITUTE(SUBSTITUTE(SUBSTITUTE(SUBSTITUTE(UPPER(TRIM(A1225)),"[MEMBER]",""),"{MEMBER}",""),"[MEMBER}",""),"MEMBER]",""),"(A)",""),"""",""),"“",""),"”",""),".",""),":",""),",",""),"–"," "),"-"," "),"/"," "),"&amp;"," AND "))&amp;" "," THE "," ")," TOTAL "," ")," OPERATIONS "," "))</f>
        <v>NUNAVUT</v>
      </c>
      <c r="O1225" s="17" t="str">
        <f aca="false">IF(COUNTIFS($N$2:$N$2000,N1225,$D$2:$D$2000,"&lt;&gt;"&amp;D1225)&gt;0,"CONFLICT","")</f>
        <v/>
      </c>
      <c r="P1225" s="7"/>
    </row>
    <row r="1226" customFormat="false" ht="15" hidden="false" customHeight="false" outlineLevel="0" collapsed="false">
      <c r="A1226" s="7" t="s">
        <v>2471</v>
      </c>
      <c r="B1226" s="7" t="s">
        <v>1882</v>
      </c>
      <c r="C1226" s="7" t="s">
        <v>214</v>
      </c>
      <c r="D1226" s="6" t="s">
        <v>214</v>
      </c>
      <c r="E1226" s="6" t="s">
        <v>1880</v>
      </c>
      <c r="F1226" s="7" t="str">
        <f aca="false">IF($D1226="","",IFERROR(IF(INDEX(Hierarchy!$B$2:$B$1295,MATCH($D1226,Hierarchy!$A$2:$A$1295,0))="","",INDEX(Hierarchy!$B$2:$B$1295,MATCH($D1226,Hierarchy!$A$2:$A$1295,0))),"NODE NOT FOUND"))</f>
        <v>State/Province</v>
      </c>
      <c r="G1226" s="7" t="str">
        <f aca="false">IF($D1226="","",IFERROR(IF(INDEX(Hierarchy!$D$2:$D$1295,MATCH($D1226,Hierarchy!$A$2:$A$1295,0))="","",INDEX(Hierarchy!$D$2:$D$1295,MATCH($D1226,Hierarchy!$A$2:$A$1295,0))),"NODE NOT FOUND"))</f>
        <v>AMER</v>
      </c>
      <c r="H1226" s="7" t="str">
        <f aca="false">IF($D1226="","",IFERROR(IF(INDEX(Hierarchy!$E$2:$E$1295,MATCH($D1226,Hierarchy!$A$2:$A$1295,0))="","",INDEX(Hierarchy!$E$2:$E$1295,MATCH($D1226,Hierarchy!$A$2:$A$1295,0))),"NODE NOT FOUND"))</f>
        <v>North America (NORAM)</v>
      </c>
      <c r="I1226" s="7" t="str">
        <f aca="false">IF($D1226="","",IFERROR(IF(INDEX(Hierarchy!$F$2:$F$1295,MATCH($D1226,Hierarchy!$A$2:$A$1295,0))="","",INDEX(Hierarchy!$F$2:$F$1295,MATCH($D1226,Hierarchy!$A$2:$A$1295,0))),"NODE NOT FOUND"))</f>
        <v>United States</v>
      </c>
      <c r="J1226" s="7" t="str">
        <f aca="false">IF($D1226="","",IFERROR(IF(INDEX(Hierarchy!$G$2:$G$1295,MATCH($D1226,Hierarchy!$A$2:$A$1295,0))="","",INDEX(Hierarchy!$G$2:$G$1295,MATCH($D1226,Hierarchy!$A$2:$A$1295,0))),"NODE NOT FOUND"))</f>
        <v>USA</v>
      </c>
      <c r="K1226" s="7" t="str">
        <f aca="false">IF($D1226="","",IFERROR(IF(INDEX(Hierarchy!$H$2:$H$1295,MATCH($D1226,Hierarchy!$A$2:$A$1295,0))="","",INDEX(Hierarchy!$H$2:$H$1295,MATCH($D1226,Hierarchy!$A$2:$A$1295,0))),"NODE NOT FOUND"))</f>
        <v>New York</v>
      </c>
      <c r="L1226" s="7" t="str">
        <f aca="false">IF($D1226="","",IFERROR(IF(INDEX(Hierarchy!$I$2:$I$1295,MATCH($D1226,Hierarchy!$A$2:$A$1295,0))="","",INDEX(Hierarchy!$I$2:$I$1295,MATCH($D1226,Hierarchy!$A$2:$A$1295,0))),"NODE NOT FOUND"))</f>
        <v/>
      </c>
      <c r="M1226" s="17" t="str">
        <f aca="false">IF(B1226="Pre-seeded","Pre-seeded",IF(B1226="Review 2026-09-16","Added from review",IF(C1226="","New",IF(C1226=D1226,"","Changed"))))</f>
        <v/>
      </c>
      <c r="N1226" s="7" t="str">
        <f aca="false">TRIM(SUBSTITUTE(SUBSTITUTE(SUBSTITUTE(" "&amp;TRIM(SUBSTITUTE(SUBSTITUTE(SUBSTITUTE(SUBSTITUTE(SUBSTITUTE(SUBSTITUTE(SUBSTITUTE(SUBSTITUTE(SUBSTITUTE(SUBSTITUTE(SUBSTITUTE(SUBSTITUTE(SUBSTITUTE(SUBSTITUTE(SUBSTITUTE(UPPER(TRIM(A1226)),"[MEMBER]",""),"{MEMBER}",""),"[MEMBER}",""),"MEMBER]",""),"(A)",""),"""",""),"“",""),"”",""),".",""),":",""),",",""),"–"," "),"-"," "),"/"," "),"&amp;"," AND "))&amp;" "," THE "," ")," TOTAL "," ")," OPERATIONS "," "))</f>
        <v>NY</v>
      </c>
      <c r="O1226" s="17" t="str">
        <f aca="false">IF(COUNTIFS($N$2:$N$2000,N1226,$D$2:$D$2000,"&lt;&gt;"&amp;D1226)&gt;0,"CONFLICT","")</f>
        <v/>
      </c>
      <c r="P1226" s="7"/>
    </row>
    <row r="1227" customFormat="false" ht="15" hidden="false" customHeight="false" outlineLevel="0" collapsed="false">
      <c r="A1227" s="7" t="s">
        <v>2472</v>
      </c>
      <c r="B1227" s="7" t="s">
        <v>1879</v>
      </c>
      <c r="C1227" s="7"/>
      <c r="D1227" s="6" t="s">
        <v>219</v>
      </c>
      <c r="E1227" s="6" t="s">
        <v>1880</v>
      </c>
      <c r="F1227" s="7" t="str">
        <f aca="false">IF($D1227="","",IFERROR(IF(INDEX(Hierarchy!$B$2:$B$1295,MATCH($D1227,Hierarchy!$A$2:$A$1295,0))="","",INDEX(Hierarchy!$B$2:$B$1295,MATCH($D1227,Hierarchy!$A$2:$A$1295,0))),"NODE NOT FOUND"))</f>
        <v>City</v>
      </c>
      <c r="G1227" s="7" t="str">
        <f aca="false">IF($D1227="","",IFERROR(IF(INDEX(Hierarchy!$D$2:$D$1295,MATCH($D1227,Hierarchy!$A$2:$A$1295,0))="","",INDEX(Hierarchy!$D$2:$D$1295,MATCH($D1227,Hierarchy!$A$2:$A$1295,0))),"NODE NOT FOUND"))</f>
        <v>AMER</v>
      </c>
      <c r="H1227" s="7" t="str">
        <f aca="false">IF($D1227="","",IFERROR(IF(INDEX(Hierarchy!$E$2:$E$1295,MATCH($D1227,Hierarchy!$A$2:$A$1295,0))="","",INDEX(Hierarchy!$E$2:$E$1295,MATCH($D1227,Hierarchy!$A$2:$A$1295,0))),"NODE NOT FOUND"))</f>
        <v>North America (NORAM)</v>
      </c>
      <c r="I1227" s="7" t="str">
        <f aca="false">IF($D1227="","",IFERROR(IF(INDEX(Hierarchy!$F$2:$F$1295,MATCH($D1227,Hierarchy!$A$2:$A$1295,0))="","",INDEX(Hierarchy!$F$2:$F$1295,MATCH($D1227,Hierarchy!$A$2:$A$1295,0))),"NODE NOT FOUND"))</f>
        <v>United States</v>
      </c>
      <c r="J1227" s="7" t="str">
        <f aca="false">IF($D1227="","",IFERROR(IF(INDEX(Hierarchy!$G$2:$G$1295,MATCH($D1227,Hierarchy!$A$2:$A$1295,0))="","",INDEX(Hierarchy!$G$2:$G$1295,MATCH($D1227,Hierarchy!$A$2:$A$1295,0))),"NODE NOT FOUND"))</f>
        <v>USA</v>
      </c>
      <c r="K1227" s="7" t="str">
        <f aca="false">IF($D1227="","",IFERROR(IF(INDEX(Hierarchy!$H$2:$H$1295,MATCH($D1227,Hierarchy!$A$2:$A$1295,0))="","",INDEX(Hierarchy!$H$2:$H$1295,MATCH($D1227,Hierarchy!$A$2:$A$1295,0))),"NODE NOT FOUND"))</f>
        <v>New York</v>
      </c>
      <c r="L1227" s="7" t="str">
        <f aca="false">IF($D1227="","",IFERROR(IF(INDEX(Hierarchy!$I$2:$I$1295,MATCH($D1227,Hierarchy!$A$2:$A$1295,0))="","",INDEX(Hierarchy!$I$2:$I$1295,MATCH($D1227,Hierarchy!$A$2:$A$1295,0))),"NODE NOT FOUND"))</f>
        <v>New York City</v>
      </c>
      <c r="M1227" s="17" t="str">
        <f aca="false">IF(B1227="Pre-seeded","Pre-seeded",IF(B1227="Review 2026-09-16","Added from review",IF(C1227="","New",IF(C1227=D1227,"","Changed"))))</f>
        <v>Pre-seeded</v>
      </c>
      <c r="N1227" s="7" t="str">
        <f aca="false">TRIM(SUBSTITUTE(SUBSTITUTE(SUBSTITUTE(" "&amp;TRIM(SUBSTITUTE(SUBSTITUTE(SUBSTITUTE(SUBSTITUTE(SUBSTITUTE(SUBSTITUTE(SUBSTITUTE(SUBSTITUTE(SUBSTITUTE(SUBSTITUTE(SUBSTITUTE(SUBSTITUTE(SUBSTITUTE(SUBSTITUTE(SUBSTITUTE(UPPER(TRIM(A1227)),"[MEMBER]",""),"{MEMBER}",""),"[MEMBER}",""),"MEMBER]",""),"(A)",""),"""",""),"“",""),"”",""),".",""),":",""),",",""),"–"," "),"-"," "),"/"," "),"&amp;"," AND "))&amp;" "," THE "," ")," TOTAL "," ")," OPERATIONS "," "))</f>
        <v>NYC</v>
      </c>
      <c r="O1227" s="17" t="str">
        <f aca="false">IF(COUNTIFS($N$2:$N$2000,N1227,$D$2:$D$2000,"&lt;&gt;"&amp;D1227)&gt;0,"CONFLICT","")</f>
        <v/>
      </c>
      <c r="P1227" s="7"/>
    </row>
    <row r="1228" customFormat="false" ht="15" hidden="false" customHeight="false" outlineLevel="0" collapsed="false">
      <c r="A1228" s="7" t="s">
        <v>490</v>
      </c>
      <c r="B1228" s="7" t="s">
        <v>1879</v>
      </c>
      <c r="C1228" s="7"/>
      <c r="D1228" s="6" t="s">
        <v>490</v>
      </c>
      <c r="E1228" s="6" t="s">
        <v>1880</v>
      </c>
      <c r="F1228" s="7" t="str">
        <f aca="false">IF($D1228="","",IFERROR(IF(INDEX(Hierarchy!$B$2:$B$1295,MATCH($D1228,Hierarchy!$A$2:$A$1295,0))="","",INDEX(Hierarchy!$B$2:$B$1295,MATCH($D1228,Hierarchy!$A$2:$A$1295,0))),"NODE NOT FOUND"))</f>
        <v>State/Province</v>
      </c>
      <c r="G1228" s="7" t="str">
        <f aca="false">IF($D1228="","",IFERROR(IF(INDEX(Hierarchy!$D$2:$D$1295,MATCH($D1228,Hierarchy!$A$2:$A$1295,0))="","",INDEX(Hierarchy!$D$2:$D$1295,MATCH($D1228,Hierarchy!$A$2:$A$1295,0))),"NODE NOT FOUND"))</f>
        <v>AMER</v>
      </c>
      <c r="H1228" s="7" t="str">
        <f aca="false">IF($D1228="","",IFERROR(IF(INDEX(Hierarchy!$E$2:$E$1295,MATCH($D1228,Hierarchy!$A$2:$A$1295,0))="","",INDEX(Hierarchy!$E$2:$E$1295,MATCH($D1228,Hierarchy!$A$2:$A$1295,0))),"NODE NOT FOUND"))</f>
        <v>Latin America (LATAM)</v>
      </c>
      <c r="I1228" s="7" t="str">
        <f aca="false">IF($D1228="","",IFERROR(IF(INDEX(Hierarchy!$F$2:$F$1295,MATCH($D1228,Hierarchy!$A$2:$A$1295,0))="","",INDEX(Hierarchy!$F$2:$F$1295,MATCH($D1228,Hierarchy!$A$2:$A$1295,0))),"NODE NOT FOUND"))</f>
        <v>Chile</v>
      </c>
      <c r="J1228" s="7" t="str">
        <f aca="false">IF($D1228="","",IFERROR(IF(INDEX(Hierarchy!$G$2:$G$1295,MATCH($D1228,Hierarchy!$A$2:$A$1295,0))="","",INDEX(Hierarchy!$G$2:$G$1295,MATCH($D1228,Hierarchy!$A$2:$A$1295,0))),"NODE NOT FOUND"))</f>
        <v>CHL</v>
      </c>
      <c r="K1228" s="7" t="str">
        <f aca="false">IF($D1228="","",IFERROR(IF(INDEX(Hierarchy!$H$2:$H$1295,MATCH($D1228,Hierarchy!$A$2:$A$1295,0))="","",INDEX(Hierarchy!$H$2:$H$1295,MATCH($D1228,Hierarchy!$A$2:$A$1295,0))),"NODE NOT FOUND"))</f>
        <v>O'Higgins</v>
      </c>
      <c r="L1228" s="7" t="str">
        <f aca="false">IF($D1228="","",IFERROR(IF(INDEX(Hierarchy!$I$2:$I$1295,MATCH($D1228,Hierarchy!$A$2:$A$1295,0))="","",INDEX(Hierarchy!$I$2:$I$1295,MATCH($D1228,Hierarchy!$A$2:$A$1295,0))),"NODE NOT FOUND"))</f>
        <v/>
      </c>
      <c r="M1228" s="17" t="str">
        <f aca="false">IF(B1228="Pre-seeded","Pre-seeded",IF(B1228="Review 2026-09-16","Added from review",IF(C1228="","New",IF(C1228=D1228,"","Changed"))))</f>
        <v>Pre-seeded</v>
      </c>
      <c r="N1228" s="7" t="str">
        <f aca="false">TRIM(SUBSTITUTE(SUBSTITUTE(SUBSTITUTE(" "&amp;TRIM(SUBSTITUTE(SUBSTITUTE(SUBSTITUTE(SUBSTITUTE(SUBSTITUTE(SUBSTITUTE(SUBSTITUTE(SUBSTITUTE(SUBSTITUTE(SUBSTITUTE(SUBSTITUTE(SUBSTITUTE(SUBSTITUTE(SUBSTITUTE(SUBSTITUTE(UPPER(TRIM(A1228)),"[MEMBER]",""),"{MEMBER}",""),"[MEMBER}",""),"MEMBER]",""),"(A)",""),"""",""),"“",""),"”",""),".",""),":",""),",",""),"–"," "),"-"," "),"/"," "),"&amp;"," AND "))&amp;" "," THE "," ")," TOTAL "," ")," OPERATIONS "," "))</f>
        <v>O'HIGGINS</v>
      </c>
      <c r="O1228" s="17" t="str">
        <f aca="false">IF(COUNTIFS($N$2:$N$2000,N1228,$D$2:$D$2000,"&lt;&gt;"&amp;D1228)&gt;0,"CONFLICT","")</f>
        <v/>
      </c>
      <c r="P1228" s="7"/>
    </row>
    <row r="1229" customFormat="false" ht="15" hidden="false" customHeight="false" outlineLevel="0" collapsed="false">
      <c r="A1229" s="7" t="s">
        <v>405</v>
      </c>
      <c r="B1229" s="7" t="s">
        <v>1879</v>
      </c>
      <c r="C1229" s="7"/>
      <c r="D1229" s="6" t="s">
        <v>405</v>
      </c>
      <c r="E1229" s="6" t="s">
        <v>1880</v>
      </c>
      <c r="F1229" s="7" t="str">
        <f aca="false">IF($D1229="","",IFERROR(IF(INDEX(Hierarchy!$B$2:$B$1295,MATCH($D1229,Hierarchy!$A$2:$A$1295,0))="","",INDEX(Hierarchy!$B$2:$B$1295,MATCH($D1229,Hierarchy!$A$2:$A$1295,0))),"NODE NOT FOUND"))</f>
        <v>State/Province</v>
      </c>
      <c r="G1229" s="7" t="str">
        <f aca="false">IF($D1229="","",IFERROR(IF(INDEX(Hierarchy!$D$2:$D$1295,MATCH($D1229,Hierarchy!$A$2:$A$1295,0))="","",INDEX(Hierarchy!$D$2:$D$1295,MATCH($D1229,Hierarchy!$A$2:$A$1295,0))),"NODE NOT FOUND"))</f>
        <v>AMER</v>
      </c>
      <c r="H1229" s="7" t="str">
        <f aca="false">IF($D1229="","",IFERROR(IF(INDEX(Hierarchy!$E$2:$E$1295,MATCH($D1229,Hierarchy!$A$2:$A$1295,0))="","",INDEX(Hierarchy!$E$2:$E$1295,MATCH($D1229,Hierarchy!$A$2:$A$1295,0))),"NODE NOT FOUND"))</f>
        <v>Latin America (LATAM)</v>
      </c>
      <c r="I1229" s="7" t="str">
        <f aca="false">IF($D1229="","",IFERROR(IF(INDEX(Hierarchy!$F$2:$F$1295,MATCH($D1229,Hierarchy!$A$2:$A$1295,0))="","",INDEX(Hierarchy!$F$2:$F$1295,MATCH($D1229,Hierarchy!$A$2:$A$1295,0))),"NODE NOT FOUND"))</f>
        <v>Mexico</v>
      </c>
      <c r="J1229" s="7" t="str">
        <f aca="false">IF($D1229="","",IFERROR(IF(INDEX(Hierarchy!$G$2:$G$1295,MATCH($D1229,Hierarchy!$A$2:$A$1295,0))="","",INDEX(Hierarchy!$G$2:$G$1295,MATCH($D1229,Hierarchy!$A$2:$A$1295,0))),"NODE NOT FOUND"))</f>
        <v>MEX</v>
      </c>
      <c r="K1229" s="7" t="str">
        <f aca="false">IF($D1229="","",IFERROR(IF(INDEX(Hierarchy!$H$2:$H$1295,MATCH($D1229,Hierarchy!$A$2:$A$1295,0))="","",INDEX(Hierarchy!$H$2:$H$1295,MATCH($D1229,Hierarchy!$A$2:$A$1295,0))),"NODE NOT FOUND"))</f>
        <v>Oaxaca</v>
      </c>
      <c r="L1229" s="7" t="str">
        <f aca="false">IF($D1229="","",IFERROR(IF(INDEX(Hierarchy!$I$2:$I$1295,MATCH($D1229,Hierarchy!$A$2:$A$1295,0))="","",INDEX(Hierarchy!$I$2:$I$1295,MATCH($D1229,Hierarchy!$A$2:$A$1295,0))),"NODE NOT FOUND"))</f>
        <v/>
      </c>
      <c r="M1229" s="17" t="str">
        <f aca="false">IF(B1229="Pre-seeded","Pre-seeded",IF(B1229="Review 2026-09-16","Added from review",IF(C1229="","New",IF(C1229=D1229,"","Changed"))))</f>
        <v>Pre-seeded</v>
      </c>
      <c r="N1229" s="7" t="str">
        <f aca="false">TRIM(SUBSTITUTE(SUBSTITUTE(SUBSTITUTE(" "&amp;TRIM(SUBSTITUTE(SUBSTITUTE(SUBSTITUTE(SUBSTITUTE(SUBSTITUTE(SUBSTITUTE(SUBSTITUTE(SUBSTITUTE(SUBSTITUTE(SUBSTITUTE(SUBSTITUTE(SUBSTITUTE(SUBSTITUTE(SUBSTITUTE(SUBSTITUTE(UPPER(TRIM(A1229)),"[MEMBER]",""),"{MEMBER}",""),"[MEMBER}",""),"MEMBER]",""),"(A)",""),"""",""),"“",""),"”",""),".",""),":",""),",",""),"–"," "),"-"," "),"/"," "),"&amp;"," AND "))&amp;" "," THE "," ")," TOTAL "," ")," OPERATIONS "," "))</f>
        <v>OAXACA</v>
      </c>
      <c r="O1229" s="17" t="str">
        <f aca="false">IF(COUNTIFS($N$2:$N$2000,N1229,$D$2:$D$2000,"&lt;&gt;"&amp;D1229)&gt;0,"CONFLICT","")</f>
        <v/>
      </c>
      <c r="P1229" s="7"/>
    </row>
    <row r="1230" customFormat="false" ht="15" hidden="false" customHeight="false" outlineLevel="0" collapsed="false">
      <c r="A1230" s="7" t="s">
        <v>996</v>
      </c>
      <c r="B1230" s="7" t="s">
        <v>1879</v>
      </c>
      <c r="C1230" s="7"/>
      <c r="D1230" s="6" t="s">
        <v>996</v>
      </c>
      <c r="E1230" s="6" t="s">
        <v>1880</v>
      </c>
      <c r="F1230" s="7" t="str">
        <f aca="false">IF($D1230="","",IFERROR(IF(INDEX(Hierarchy!$B$2:$B$1295,MATCH($D1230,Hierarchy!$A$2:$A$1295,0))="","",INDEX(Hierarchy!$B$2:$B$1295,MATCH($D1230,Hierarchy!$A$2:$A$1295,0))),"NODE NOT FOUND"))</f>
        <v>State/Province</v>
      </c>
      <c r="G1230" s="7" t="str">
        <f aca="false">IF($D1230="","",IFERROR(IF(INDEX(Hierarchy!$D$2:$D$1295,MATCH($D1230,Hierarchy!$A$2:$A$1295,0))="","",INDEX(Hierarchy!$D$2:$D$1295,MATCH($D1230,Hierarchy!$A$2:$A$1295,0))),"NODE NOT FOUND"))</f>
        <v>EMEA</v>
      </c>
      <c r="H1230" s="7" t="str">
        <f aca="false">IF($D1230="","",IFERROR(IF(INDEX(Hierarchy!$E$2:$E$1295,MATCH($D1230,Hierarchy!$A$2:$A$1295,0))="","",INDEX(Hierarchy!$E$2:$E$1295,MATCH($D1230,Hierarchy!$A$2:$A$1295,0))),"NODE NOT FOUND"))</f>
        <v>Europe</v>
      </c>
      <c r="I1230" s="7" t="str">
        <f aca="false">IF($D1230="","",IFERROR(IF(INDEX(Hierarchy!$F$2:$F$1295,MATCH($D1230,Hierarchy!$A$2:$A$1295,0))="","",INDEX(Hierarchy!$F$2:$F$1295,MATCH($D1230,Hierarchy!$A$2:$A$1295,0))),"NODE NOT FOUND"))</f>
        <v>Switzerland</v>
      </c>
      <c r="J1230" s="7" t="str">
        <f aca="false">IF($D1230="","",IFERROR(IF(INDEX(Hierarchy!$G$2:$G$1295,MATCH($D1230,Hierarchy!$A$2:$A$1295,0))="","",INDEX(Hierarchy!$G$2:$G$1295,MATCH($D1230,Hierarchy!$A$2:$A$1295,0))),"NODE NOT FOUND"))</f>
        <v>CHE</v>
      </c>
      <c r="K1230" s="7" t="str">
        <f aca="false">IF($D1230="","",IFERROR(IF(INDEX(Hierarchy!$H$2:$H$1295,MATCH($D1230,Hierarchy!$A$2:$A$1295,0))="","",INDEX(Hierarchy!$H$2:$H$1295,MATCH($D1230,Hierarchy!$A$2:$A$1295,0))),"NODE NOT FOUND"))</f>
        <v>Obwalden</v>
      </c>
      <c r="L1230" s="7" t="str">
        <f aca="false">IF($D1230="","",IFERROR(IF(INDEX(Hierarchy!$I$2:$I$1295,MATCH($D1230,Hierarchy!$A$2:$A$1295,0))="","",INDEX(Hierarchy!$I$2:$I$1295,MATCH($D1230,Hierarchy!$A$2:$A$1295,0))),"NODE NOT FOUND"))</f>
        <v/>
      </c>
      <c r="M1230" s="17" t="str">
        <f aca="false">IF(B1230="Pre-seeded","Pre-seeded",IF(B1230="Review 2026-09-16","Added from review",IF(C1230="","New",IF(C1230=D1230,"","Changed"))))</f>
        <v>Pre-seeded</v>
      </c>
      <c r="N1230" s="7" t="str">
        <f aca="false">TRIM(SUBSTITUTE(SUBSTITUTE(SUBSTITUTE(" "&amp;TRIM(SUBSTITUTE(SUBSTITUTE(SUBSTITUTE(SUBSTITUTE(SUBSTITUTE(SUBSTITUTE(SUBSTITUTE(SUBSTITUTE(SUBSTITUTE(SUBSTITUTE(SUBSTITUTE(SUBSTITUTE(SUBSTITUTE(SUBSTITUTE(SUBSTITUTE(UPPER(TRIM(A1230)),"[MEMBER]",""),"{MEMBER}",""),"[MEMBER}",""),"MEMBER]",""),"(A)",""),"""",""),"“",""),"”",""),".",""),":",""),",",""),"–"," "),"-"," "),"/"," "),"&amp;"," AND "))&amp;" "," THE "," ")," TOTAL "," ")," OPERATIONS "," "))</f>
        <v>OBWALDEN</v>
      </c>
      <c r="O1230" s="17" t="str">
        <f aca="false">IF(COUNTIFS($N$2:$N$2000,N1230,$D$2:$D$2000,"&lt;&gt;"&amp;D1230)&gt;0,"CONFLICT","")</f>
        <v/>
      </c>
      <c r="P1230" s="7"/>
    </row>
    <row r="1231" customFormat="false" ht="15" hidden="false" customHeight="false" outlineLevel="0" collapsed="false">
      <c r="A1231" s="7" t="s">
        <v>728</v>
      </c>
      <c r="B1231" s="7" t="s">
        <v>1879</v>
      </c>
      <c r="C1231" s="7"/>
      <c r="D1231" s="6" t="s">
        <v>728</v>
      </c>
      <c r="E1231" s="6" t="s">
        <v>1880</v>
      </c>
      <c r="F1231" s="7" t="str">
        <f aca="false">IF($D1231="","",IFERROR(IF(INDEX(Hierarchy!$B$2:$B$1295,MATCH($D1231,Hierarchy!$A$2:$A$1295,0))="","",INDEX(Hierarchy!$B$2:$B$1295,MATCH($D1231,Hierarchy!$A$2:$A$1295,0))),"NODE NOT FOUND"))</f>
        <v>State/Province</v>
      </c>
      <c r="G1231" s="7" t="str">
        <f aca="false">IF($D1231="","",IFERROR(IF(INDEX(Hierarchy!$D$2:$D$1295,MATCH($D1231,Hierarchy!$A$2:$A$1295,0))="","",INDEX(Hierarchy!$D$2:$D$1295,MATCH($D1231,Hierarchy!$A$2:$A$1295,0))),"NODE NOT FOUND"))</f>
        <v>EMEA</v>
      </c>
      <c r="H1231" s="7" t="str">
        <f aca="false">IF($D1231="","",IFERROR(IF(INDEX(Hierarchy!$E$2:$E$1295,MATCH($D1231,Hierarchy!$A$2:$A$1295,0))="","",INDEX(Hierarchy!$E$2:$E$1295,MATCH($D1231,Hierarchy!$A$2:$A$1295,0))),"NODE NOT FOUND"))</f>
        <v>Europe</v>
      </c>
      <c r="I1231" s="7" t="str">
        <f aca="false">IF($D1231="","",IFERROR(IF(INDEX(Hierarchy!$F$2:$F$1295,MATCH($D1231,Hierarchy!$A$2:$A$1295,0))="","",INDEX(Hierarchy!$F$2:$F$1295,MATCH($D1231,Hierarchy!$A$2:$A$1295,0))),"NODE NOT FOUND"))</f>
        <v>France</v>
      </c>
      <c r="J1231" s="7" t="str">
        <f aca="false">IF($D1231="","",IFERROR(IF(INDEX(Hierarchy!$G$2:$G$1295,MATCH($D1231,Hierarchy!$A$2:$A$1295,0))="","",INDEX(Hierarchy!$G$2:$G$1295,MATCH($D1231,Hierarchy!$A$2:$A$1295,0))),"NODE NOT FOUND"))</f>
        <v>FRA</v>
      </c>
      <c r="K1231" s="7" t="str">
        <f aca="false">IF($D1231="","",IFERROR(IF(INDEX(Hierarchy!$H$2:$H$1295,MATCH($D1231,Hierarchy!$A$2:$A$1295,0))="","",INDEX(Hierarchy!$H$2:$H$1295,MATCH($D1231,Hierarchy!$A$2:$A$1295,0))),"NODE NOT FOUND"))</f>
        <v>Occitanie</v>
      </c>
      <c r="L1231" s="7" t="str">
        <f aca="false">IF($D1231="","",IFERROR(IF(INDEX(Hierarchy!$I$2:$I$1295,MATCH($D1231,Hierarchy!$A$2:$A$1295,0))="","",INDEX(Hierarchy!$I$2:$I$1295,MATCH($D1231,Hierarchy!$A$2:$A$1295,0))),"NODE NOT FOUND"))</f>
        <v/>
      </c>
      <c r="M1231" s="17" t="str">
        <f aca="false">IF(B1231="Pre-seeded","Pre-seeded",IF(B1231="Review 2026-09-16","Added from review",IF(C1231="","New",IF(C1231=D1231,"","Changed"))))</f>
        <v>Pre-seeded</v>
      </c>
      <c r="N1231" s="7" t="str">
        <f aca="false">TRIM(SUBSTITUTE(SUBSTITUTE(SUBSTITUTE(" "&amp;TRIM(SUBSTITUTE(SUBSTITUTE(SUBSTITUTE(SUBSTITUTE(SUBSTITUTE(SUBSTITUTE(SUBSTITUTE(SUBSTITUTE(SUBSTITUTE(SUBSTITUTE(SUBSTITUTE(SUBSTITUTE(SUBSTITUTE(SUBSTITUTE(SUBSTITUTE(UPPER(TRIM(A1231)),"[MEMBER]",""),"{MEMBER}",""),"[MEMBER}",""),"MEMBER]",""),"(A)",""),"""",""),"“",""),"”",""),".",""),":",""),",",""),"–"," "),"-"," "),"/"," "),"&amp;"," AND "))&amp;" "," THE "," ")," TOTAL "," ")," OPERATIONS "," "))</f>
        <v>OCCITANIE</v>
      </c>
      <c r="O1231" s="17" t="str">
        <f aca="false">IF(COUNTIFS($N$2:$N$2000,N1231,$D$2:$D$2000,"&lt;&gt;"&amp;D1231)&gt;0,"CONFLICT","")</f>
        <v/>
      </c>
      <c r="P1231" s="7"/>
    </row>
    <row r="1232" customFormat="false" ht="15" hidden="false" customHeight="false" outlineLevel="0" collapsed="false">
      <c r="A1232" s="7" t="s">
        <v>1700</v>
      </c>
      <c r="B1232" s="7" t="s">
        <v>1879</v>
      </c>
      <c r="C1232" s="7"/>
      <c r="D1232" s="6" t="s">
        <v>1694</v>
      </c>
      <c r="E1232" s="6" t="s">
        <v>1880</v>
      </c>
      <c r="F1232" s="7" t="str">
        <f aca="false">IF($D1232="","",IFERROR(IF(INDEX(Hierarchy!$B$2:$B$1295,MATCH($D1232,Hierarchy!$A$2:$A$1295,0))="","",INDEX(Hierarchy!$B$2:$B$1295,MATCH($D1232,Hierarchy!$A$2:$A$1295,0))),"NODE NOT FOUND"))</f>
        <v>Sub-region</v>
      </c>
      <c r="G1232" s="7" t="str">
        <f aca="false">IF($D1232="","",IFERROR(IF(INDEX(Hierarchy!$D$2:$D$1295,MATCH($D1232,Hierarchy!$A$2:$A$1295,0))="","",INDEX(Hierarchy!$D$2:$D$1295,MATCH($D1232,Hierarchy!$A$2:$A$1295,0))),"NODE NOT FOUND"))</f>
        <v>APAC</v>
      </c>
      <c r="H1232" s="7" t="str">
        <f aca="false">IF($D1232="","",IFERROR(IF(INDEX(Hierarchy!$E$2:$E$1295,MATCH($D1232,Hierarchy!$A$2:$A$1295,0))="","",INDEX(Hierarchy!$E$2:$E$1295,MATCH($D1232,Hierarchy!$A$2:$A$1295,0))),"NODE NOT FOUND"))</f>
        <v>Oceania (ANZ)</v>
      </c>
      <c r="I1232" s="7" t="str">
        <f aca="false">IF($D1232="","",IFERROR(IF(INDEX(Hierarchy!$F$2:$F$1295,MATCH($D1232,Hierarchy!$A$2:$A$1295,0))="","",INDEX(Hierarchy!$F$2:$F$1295,MATCH($D1232,Hierarchy!$A$2:$A$1295,0))),"NODE NOT FOUND"))</f>
        <v/>
      </c>
      <c r="J1232" s="7" t="str">
        <f aca="false">IF($D1232="","",IFERROR(IF(INDEX(Hierarchy!$G$2:$G$1295,MATCH($D1232,Hierarchy!$A$2:$A$1295,0))="","",INDEX(Hierarchy!$G$2:$G$1295,MATCH($D1232,Hierarchy!$A$2:$A$1295,0))),"NODE NOT FOUND"))</f>
        <v/>
      </c>
      <c r="K1232" s="7" t="str">
        <f aca="false">IF($D1232="","",IFERROR(IF(INDEX(Hierarchy!$H$2:$H$1295,MATCH($D1232,Hierarchy!$A$2:$A$1295,0))="","",INDEX(Hierarchy!$H$2:$H$1295,MATCH($D1232,Hierarchy!$A$2:$A$1295,0))),"NODE NOT FOUND"))</f>
        <v/>
      </c>
      <c r="L1232" s="7" t="str">
        <f aca="false">IF($D1232="","",IFERROR(IF(INDEX(Hierarchy!$I$2:$I$1295,MATCH($D1232,Hierarchy!$A$2:$A$1295,0))="","",INDEX(Hierarchy!$I$2:$I$1295,MATCH($D1232,Hierarchy!$A$2:$A$1295,0))),"NODE NOT FOUND"))</f>
        <v/>
      </c>
      <c r="M1232" s="17" t="str">
        <f aca="false">IF(B1232="Pre-seeded","Pre-seeded",IF(B1232="Review 2026-09-16","Added from review",IF(C1232="","New",IF(C1232=D1232,"","Changed"))))</f>
        <v>Pre-seeded</v>
      </c>
      <c r="N1232" s="7" t="str">
        <f aca="false">TRIM(SUBSTITUTE(SUBSTITUTE(SUBSTITUTE(" "&amp;TRIM(SUBSTITUTE(SUBSTITUTE(SUBSTITUTE(SUBSTITUTE(SUBSTITUTE(SUBSTITUTE(SUBSTITUTE(SUBSTITUTE(SUBSTITUTE(SUBSTITUTE(SUBSTITUTE(SUBSTITUTE(SUBSTITUTE(SUBSTITUTE(SUBSTITUTE(UPPER(TRIM(A1232)),"[MEMBER]",""),"{MEMBER}",""),"[MEMBER}",""),"MEMBER]",""),"(A)",""),"""",""),"“",""),"”",""),".",""),":",""),",",""),"–"," "),"-"," "),"/"," "),"&amp;"," AND "))&amp;" "," THE "," ")," TOTAL "," ")," OPERATIONS "," "))</f>
        <v>OCEANIA</v>
      </c>
      <c r="O1232" s="17" t="str">
        <f aca="false">IF(COUNTIFS($N$2:$N$2000,N1232,$D$2:$D$2000,"&lt;&gt;"&amp;D1232)&gt;0,"CONFLICT","")</f>
        <v/>
      </c>
      <c r="P1232" s="7"/>
    </row>
    <row r="1233" customFormat="false" ht="15" hidden="false" customHeight="false" outlineLevel="0" collapsed="false">
      <c r="A1233" s="7" t="s">
        <v>1694</v>
      </c>
      <c r="B1233" s="7" t="s">
        <v>1879</v>
      </c>
      <c r="C1233" s="7"/>
      <c r="D1233" s="6" t="s">
        <v>1694</v>
      </c>
      <c r="E1233" s="6" t="s">
        <v>1880</v>
      </c>
      <c r="F1233" s="7" t="str">
        <f aca="false">IF($D1233="","",IFERROR(IF(INDEX(Hierarchy!$B$2:$B$1295,MATCH($D1233,Hierarchy!$A$2:$A$1295,0))="","",INDEX(Hierarchy!$B$2:$B$1295,MATCH($D1233,Hierarchy!$A$2:$A$1295,0))),"NODE NOT FOUND"))</f>
        <v>Sub-region</v>
      </c>
      <c r="G1233" s="7" t="str">
        <f aca="false">IF($D1233="","",IFERROR(IF(INDEX(Hierarchy!$D$2:$D$1295,MATCH($D1233,Hierarchy!$A$2:$A$1295,0))="","",INDEX(Hierarchy!$D$2:$D$1295,MATCH($D1233,Hierarchy!$A$2:$A$1295,0))),"NODE NOT FOUND"))</f>
        <v>APAC</v>
      </c>
      <c r="H1233" s="7" t="str">
        <f aca="false">IF($D1233="","",IFERROR(IF(INDEX(Hierarchy!$E$2:$E$1295,MATCH($D1233,Hierarchy!$A$2:$A$1295,0))="","",INDEX(Hierarchy!$E$2:$E$1295,MATCH($D1233,Hierarchy!$A$2:$A$1295,0))),"NODE NOT FOUND"))</f>
        <v>Oceania (ANZ)</v>
      </c>
      <c r="I1233" s="7" t="str">
        <f aca="false">IF($D1233="","",IFERROR(IF(INDEX(Hierarchy!$F$2:$F$1295,MATCH($D1233,Hierarchy!$A$2:$A$1295,0))="","",INDEX(Hierarchy!$F$2:$F$1295,MATCH($D1233,Hierarchy!$A$2:$A$1295,0))),"NODE NOT FOUND"))</f>
        <v/>
      </c>
      <c r="J1233" s="7" t="str">
        <f aca="false">IF($D1233="","",IFERROR(IF(INDEX(Hierarchy!$G$2:$G$1295,MATCH($D1233,Hierarchy!$A$2:$A$1295,0))="","",INDEX(Hierarchy!$G$2:$G$1295,MATCH($D1233,Hierarchy!$A$2:$A$1295,0))),"NODE NOT FOUND"))</f>
        <v/>
      </c>
      <c r="K1233" s="7" t="str">
        <f aca="false">IF($D1233="","",IFERROR(IF(INDEX(Hierarchy!$H$2:$H$1295,MATCH($D1233,Hierarchy!$A$2:$A$1295,0))="","",INDEX(Hierarchy!$H$2:$H$1295,MATCH($D1233,Hierarchy!$A$2:$A$1295,0))),"NODE NOT FOUND"))</f>
        <v/>
      </c>
      <c r="L1233" s="7" t="str">
        <f aca="false">IF($D1233="","",IFERROR(IF(INDEX(Hierarchy!$I$2:$I$1295,MATCH($D1233,Hierarchy!$A$2:$A$1295,0))="","",INDEX(Hierarchy!$I$2:$I$1295,MATCH($D1233,Hierarchy!$A$2:$A$1295,0))),"NODE NOT FOUND"))</f>
        <v/>
      </c>
      <c r="M1233" s="17" t="str">
        <f aca="false">IF(B1233="Pre-seeded","Pre-seeded",IF(B1233="Review 2026-09-16","Added from review",IF(C1233="","New",IF(C1233=D1233,"","Changed"))))</f>
        <v>Pre-seeded</v>
      </c>
      <c r="N1233" s="7" t="str">
        <f aca="false">TRIM(SUBSTITUTE(SUBSTITUTE(SUBSTITUTE(" "&amp;TRIM(SUBSTITUTE(SUBSTITUTE(SUBSTITUTE(SUBSTITUTE(SUBSTITUTE(SUBSTITUTE(SUBSTITUTE(SUBSTITUTE(SUBSTITUTE(SUBSTITUTE(SUBSTITUTE(SUBSTITUTE(SUBSTITUTE(SUBSTITUTE(SUBSTITUTE(UPPER(TRIM(A1233)),"[MEMBER]",""),"{MEMBER}",""),"[MEMBER}",""),"MEMBER]",""),"(A)",""),"""",""),"“",""),"”",""),".",""),":",""),",",""),"–"," "),"-"," "),"/"," "),"&amp;"," AND "))&amp;" "," THE "," ")," TOTAL "," ")," OPERATIONS "," "))</f>
        <v>OCEANIA (ANZ)</v>
      </c>
      <c r="O1233" s="17" t="str">
        <f aca="false">IF(COUNTIFS($N$2:$N$2000,N1233,$D$2:$D$2000,"&lt;&gt;"&amp;D1233)&gt;0,"CONFLICT","")</f>
        <v/>
      </c>
      <c r="P1233" s="7"/>
    </row>
    <row r="1234" customFormat="false" ht="15" hidden="false" customHeight="false" outlineLevel="0" collapsed="false">
      <c r="A1234" s="7" t="s">
        <v>143</v>
      </c>
      <c r="B1234" s="7" t="s">
        <v>1882</v>
      </c>
      <c r="C1234" s="7" t="s">
        <v>143</v>
      </c>
      <c r="D1234" s="6" t="s">
        <v>143</v>
      </c>
      <c r="E1234" s="6" t="s">
        <v>1880</v>
      </c>
      <c r="F1234" s="7" t="str">
        <f aca="false">IF($D1234="","",IFERROR(IF(INDEX(Hierarchy!$B$2:$B$1295,MATCH($D1234,Hierarchy!$A$2:$A$1295,0))="","",INDEX(Hierarchy!$B$2:$B$1295,MATCH($D1234,Hierarchy!$A$2:$A$1295,0))),"NODE NOT FOUND"))</f>
        <v>City</v>
      </c>
      <c r="G1234" s="7" t="str">
        <f aca="false">IF($D1234="","",IFERROR(IF(INDEX(Hierarchy!$D$2:$D$1295,MATCH($D1234,Hierarchy!$A$2:$A$1295,0))="","",INDEX(Hierarchy!$D$2:$D$1295,MATCH($D1234,Hierarchy!$A$2:$A$1295,0))),"NODE NOT FOUND"))</f>
        <v>AMER</v>
      </c>
      <c r="H1234" s="7" t="str">
        <f aca="false">IF($D1234="","",IFERROR(IF(INDEX(Hierarchy!$E$2:$E$1295,MATCH($D1234,Hierarchy!$A$2:$A$1295,0))="","",INDEX(Hierarchy!$E$2:$E$1295,MATCH($D1234,Hierarchy!$A$2:$A$1295,0))),"NODE NOT FOUND"))</f>
        <v>North America (NORAM)</v>
      </c>
      <c r="I1234" s="7" t="str">
        <f aca="false">IF($D1234="","",IFERROR(IF(INDEX(Hierarchy!$F$2:$F$1295,MATCH($D1234,Hierarchy!$A$2:$A$1295,0))="","",INDEX(Hierarchy!$F$2:$F$1295,MATCH($D1234,Hierarchy!$A$2:$A$1295,0))),"NODE NOT FOUND"))</f>
        <v>United States</v>
      </c>
      <c r="J1234" s="7" t="str">
        <f aca="false">IF($D1234="","",IFERROR(IF(INDEX(Hierarchy!$G$2:$G$1295,MATCH($D1234,Hierarchy!$A$2:$A$1295,0))="","",INDEX(Hierarchy!$G$2:$G$1295,MATCH($D1234,Hierarchy!$A$2:$A$1295,0))),"NODE NOT FOUND"))</f>
        <v>USA</v>
      </c>
      <c r="K1234" s="7" t="str">
        <f aca="false">IF($D1234="","",IFERROR(IF(INDEX(Hierarchy!$H$2:$H$1295,MATCH($D1234,Hierarchy!$A$2:$A$1295,0))="","",INDEX(Hierarchy!$H$2:$H$1295,MATCH($D1234,Hierarchy!$A$2:$A$1295,0))),"NODE NOT FOUND"))</f>
        <v>California</v>
      </c>
      <c r="L1234" s="7" t="str">
        <f aca="false">IF($D1234="","",IFERROR(IF(INDEX(Hierarchy!$I$2:$I$1295,MATCH($D1234,Hierarchy!$A$2:$A$1295,0))="","",INDEX(Hierarchy!$I$2:$I$1295,MATCH($D1234,Hierarchy!$A$2:$A$1295,0))),"NODE NOT FOUND"))</f>
        <v>Oceanside</v>
      </c>
      <c r="M1234" s="17" t="str">
        <f aca="false">IF(B1234="Pre-seeded","Pre-seeded",IF(B1234="Review 2026-09-16","Added from review",IF(C1234="","New",IF(C1234=D1234,"","Changed"))))</f>
        <v/>
      </c>
      <c r="N1234" s="7" t="str">
        <f aca="false">TRIM(SUBSTITUTE(SUBSTITUTE(SUBSTITUTE(" "&amp;TRIM(SUBSTITUTE(SUBSTITUTE(SUBSTITUTE(SUBSTITUTE(SUBSTITUTE(SUBSTITUTE(SUBSTITUTE(SUBSTITUTE(SUBSTITUTE(SUBSTITUTE(SUBSTITUTE(SUBSTITUTE(SUBSTITUTE(SUBSTITUTE(SUBSTITUTE(UPPER(TRIM(A1234)),"[MEMBER]",""),"{MEMBER}",""),"[MEMBER}",""),"MEMBER]",""),"(A)",""),"""",""),"“",""),"”",""),".",""),":",""),",",""),"–"," "),"-"," "),"/"," "),"&amp;"," AND "))&amp;" "," THE "," ")," TOTAL "," ")," OPERATIONS "," "))</f>
        <v>OCEANSIDE</v>
      </c>
      <c r="O1234" s="17" t="str">
        <f aca="false">IF(COUNTIFS($N$2:$N$2000,N1234,$D$2:$D$2000,"&lt;&gt;"&amp;D1234)&gt;0,"CONFLICT","")</f>
        <v/>
      </c>
      <c r="P1234" s="7"/>
    </row>
    <row r="1235" customFormat="false" ht="15" hidden="false" customHeight="false" outlineLevel="0" collapsed="false">
      <c r="A1235" s="7" t="s">
        <v>1357</v>
      </c>
      <c r="B1235" s="7" t="s">
        <v>1879</v>
      </c>
      <c r="C1235" s="7"/>
      <c r="D1235" s="6" t="s">
        <v>1357</v>
      </c>
      <c r="E1235" s="6" t="s">
        <v>1880</v>
      </c>
      <c r="F1235" s="7" t="str">
        <f aca="false">IF($D1235="","",IFERROR(IF(INDEX(Hierarchy!$B$2:$B$1295,MATCH($D1235,Hierarchy!$A$2:$A$1295,0))="","",INDEX(Hierarchy!$B$2:$B$1295,MATCH($D1235,Hierarchy!$A$2:$A$1295,0))),"NODE NOT FOUND"))</f>
        <v>State/Province</v>
      </c>
      <c r="G1235" s="7" t="str">
        <f aca="false">IF($D1235="","",IFERROR(IF(INDEX(Hierarchy!$D$2:$D$1295,MATCH($D1235,Hierarchy!$A$2:$A$1295,0))="","",INDEX(Hierarchy!$D$2:$D$1295,MATCH($D1235,Hierarchy!$A$2:$A$1295,0))),"NODE NOT FOUND"))</f>
        <v>APAC</v>
      </c>
      <c r="H1235" s="7" t="str">
        <f aca="false">IF($D1235="","",IFERROR(IF(INDEX(Hierarchy!$E$2:$E$1295,MATCH($D1235,Hierarchy!$A$2:$A$1295,0))="","",INDEX(Hierarchy!$E$2:$E$1295,MATCH($D1235,Hierarchy!$A$2:$A$1295,0))),"NODE NOT FOUND"))</f>
        <v>South Asia</v>
      </c>
      <c r="I1235" s="7" t="str">
        <f aca="false">IF($D1235="","",IFERROR(IF(INDEX(Hierarchy!$F$2:$F$1295,MATCH($D1235,Hierarchy!$A$2:$A$1295,0))="","",INDEX(Hierarchy!$F$2:$F$1295,MATCH($D1235,Hierarchy!$A$2:$A$1295,0))),"NODE NOT FOUND"))</f>
        <v>India</v>
      </c>
      <c r="J1235" s="7" t="str">
        <f aca="false">IF($D1235="","",IFERROR(IF(INDEX(Hierarchy!$G$2:$G$1295,MATCH($D1235,Hierarchy!$A$2:$A$1295,0))="","",INDEX(Hierarchy!$G$2:$G$1295,MATCH($D1235,Hierarchy!$A$2:$A$1295,0))),"NODE NOT FOUND"))</f>
        <v>IND</v>
      </c>
      <c r="K1235" s="7" t="str">
        <f aca="false">IF($D1235="","",IFERROR(IF(INDEX(Hierarchy!$H$2:$H$1295,MATCH($D1235,Hierarchy!$A$2:$A$1295,0))="","",INDEX(Hierarchy!$H$2:$H$1295,MATCH($D1235,Hierarchy!$A$2:$A$1295,0))),"NODE NOT FOUND"))</f>
        <v>Odisha</v>
      </c>
      <c r="L1235" s="7" t="str">
        <f aca="false">IF($D1235="","",IFERROR(IF(INDEX(Hierarchy!$I$2:$I$1295,MATCH($D1235,Hierarchy!$A$2:$A$1295,0))="","",INDEX(Hierarchy!$I$2:$I$1295,MATCH($D1235,Hierarchy!$A$2:$A$1295,0))),"NODE NOT FOUND"))</f>
        <v/>
      </c>
      <c r="M1235" s="17" t="str">
        <f aca="false">IF(B1235="Pre-seeded","Pre-seeded",IF(B1235="Review 2026-09-16","Added from review",IF(C1235="","New",IF(C1235=D1235,"","Changed"))))</f>
        <v>Pre-seeded</v>
      </c>
      <c r="N1235" s="7" t="str">
        <f aca="false">TRIM(SUBSTITUTE(SUBSTITUTE(SUBSTITUTE(" "&amp;TRIM(SUBSTITUTE(SUBSTITUTE(SUBSTITUTE(SUBSTITUTE(SUBSTITUTE(SUBSTITUTE(SUBSTITUTE(SUBSTITUTE(SUBSTITUTE(SUBSTITUTE(SUBSTITUTE(SUBSTITUTE(SUBSTITUTE(SUBSTITUTE(SUBSTITUTE(UPPER(TRIM(A1235)),"[MEMBER]",""),"{MEMBER}",""),"[MEMBER}",""),"MEMBER]",""),"(A)",""),"""",""),"“",""),"”",""),".",""),":",""),",",""),"–"," "),"-"," "),"/"," "),"&amp;"," AND "))&amp;" "," THE "," ")," TOTAL "," ")," OPERATIONS "," "))</f>
        <v>ODISHA</v>
      </c>
      <c r="O1235" s="17" t="str">
        <f aca="false">IF(COUNTIFS($N$2:$N$2000,N1235,$D$2:$D$2000,"&lt;&gt;"&amp;D1235)&gt;0,"CONFLICT","")</f>
        <v/>
      </c>
      <c r="P1235" s="7"/>
    </row>
    <row r="1236" customFormat="false" ht="15" hidden="false" customHeight="false" outlineLevel="0" collapsed="false">
      <c r="A1236" s="7" t="s">
        <v>2473</v>
      </c>
      <c r="B1236" s="7" t="s">
        <v>1885</v>
      </c>
      <c r="C1236" s="7" t="s">
        <v>714</v>
      </c>
      <c r="D1236" s="6" t="s">
        <v>714</v>
      </c>
      <c r="E1236" s="6" t="s">
        <v>1880</v>
      </c>
      <c r="F1236" s="7" t="str">
        <f aca="false">IF($D1236="","",IFERROR(IF(INDEX(Hierarchy!$B$2:$B$1295,MATCH($D1236,Hierarchy!$A$2:$A$1295,0))="","",INDEX(Hierarchy!$B$2:$B$1295,MATCH($D1236,Hierarchy!$A$2:$A$1295,0))),"NODE NOT FOUND"))</f>
        <v>Country</v>
      </c>
      <c r="G1236" s="7" t="str">
        <f aca="false">IF($D1236="","",IFERROR(IF(INDEX(Hierarchy!$D$2:$D$1295,MATCH($D1236,Hierarchy!$A$2:$A$1295,0))="","",INDEX(Hierarchy!$D$2:$D$1295,MATCH($D1236,Hierarchy!$A$2:$A$1295,0))),"NODE NOT FOUND"))</f>
        <v>EMEA</v>
      </c>
      <c r="H1236" s="7" t="str">
        <f aca="false">IF($D1236="","",IFERROR(IF(INDEX(Hierarchy!$E$2:$E$1295,MATCH($D1236,Hierarchy!$A$2:$A$1295,0))="","",INDEX(Hierarchy!$E$2:$E$1295,MATCH($D1236,Hierarchy!$A$2:$A$1295,0))),"NODE NOT FOUND"))</f>
        <v>Europe</v>
      </c>
      <c r="I1236" s="7" t="str">
        <f aca="false">IF($D1236="","",IFERROR(IF(INDEX(Hierarchy!$F$2:$F$1295,MATCH($D1236,Hierarchy!$A$2:$A$1295,0))="","",INDEX(Hierarchy!$F$2:$F$1295,MATCH($D1236,Hierarchy!$A$2:$A$1295,0))),"NODE NOT FOUND"))</f>
        <v>France</v>
      </c>
      <c r="J1236" s="7" t="str">
        <f aca="false">IF($D1236="","",IFERROR(IF(INDEX(Hierarchy!$G$2:$G$1295,MATCH($D1236,Hierarchy!$A$2:$A$1295,0))="","",INDEX(Hierarchy!$G$2:$G$1295,MATCH($D1236,Hierarchy!$A$2:$A$1295,0))),"NODE NOT FOUND"))</f>
        <v>FRA</v>
      </c>
      <c r="K1236" s="7" t="str">
        <f aca="false">IF($D1236="","",IFERROR(IF(INDEX(Hierarchy!$H$2:$H$1295,MATCH($D1236,Hierarchy!$A$2:$A$1295,0))="","",INDEX(Hierarchy!$H$2:$H$1295,MATCH($D1236,Hierarchy!$A$2:$A$1295,0))),"NODE NOT FOUND"))</f>
        <v/>
      </c>
      <c r="L1236" s="7" t="str">
        <f aca="false">IF($D1236="","",IFERROR(IF(INDEX(Hierarchy!$I$2:$I$1295,MATCH($D1236,Hierarchy!$A$2:$A$1295,0))="","",INDEX(Hierarchy!$I$2:$I$1295,MATCH($D1236,Hierarchy!$A$2:$A$1295,0))),"NODE NOT FOUND"))</f>
        <v/>
      </c>
      <c r="M1236" s="17" t="str">
        <f aca="false">IF(B1236="Pre-seeded","Pre-seeded",IF(B1236="Review 2026-09-16","Added from review",IF(C1236="","New",IF(C1236=D1236,"","Changed"))))</f>
        <v/>
      </c>
      <c r="N1236" s="7" t="str">
        <f aca="false">TRIM(SUBSTITUTE(SUBSTITUTE(SUBSTITUTE(" "&amp;TRIM(SUBSTITUTE(SUBSTITUTE(SUBSTITUTE(SUBSTITUTE(SUBSTITUTE(SUBSTITUTE(SUBSTITUTE(SUBSTITUTE(SUBSTITUTE(SUBSTITUTE(SUBSTITUTE(SUBSTITUTE(SUBSTITUTE(SUBSTITUTE(SUBSTITUTE(UPPER(TRIM(A1236)),"[MEMBER]",""),"{MEMBER}",""),"[MEMBER}",""),"MEMBER]",""),"(A)",""),"""",""),"“",""),"”",""),".",""),":",""),",",""),"–"," "),"-"," "),"/"," "),"&amp;"," AND "))&amp;" "," THE "," ")," TOTAL "," ")," OPERATIONS "," "))</f>
        <v>OF WHICH FRANCE</v>
      </c>
      <c r="O1236" s="17" t="str">
        <f aca="false">IF(COUNTIFS($N$2:$N$2000,N1236,$D$2:$D$2000,"&lt;&gt;"&amp;D1236)&gt;0,"CONFLICT","")</f>
        <v/>
      </c>
      <c r="P1236" s="7"/>
    </row>
    <row r="1237" customFormat="false" ht="15" hidden="false" customHeight="false" outlineLevel="0" collapsed="false">
      <c r="A1237" s="7" t="s">
        <v>2474</v>
      </c>
      <c r="B1237" s="7" t="s">
        <v>1885</v>
      </c>
      <c r="C1237" s="7" t="s">
        <v>689</v>
      </c>
      <c r="D1237" s="6" t="s">
        <v>689</v>
      </c>
      <c r="E1237" s="6" t="s">
        <v>1880</v>
      </c>
      <c r="F1237" s="7" t="str">
        <f aca="false">IF($D1237="","",IFERROR(IF(INDEX(Hierarchy!$B$2:$B$1295,MATCH($D1237,Hierarchy!$A$2:$A$1295,0))="","",INDEX(Hierarchy!$B$2:$B$1295,MATCH($D1237,Hierarchy!$A$2:$A$1295,0))),"NODE NOT FOUND"))</f>
        <v>Country</v>
      </c>
      <c r="G1237" s="7" t="str">
        <f aca="false">IF($D1237="","",IFERROR(IF(INDEX(Hierarchy!$D$2:$D$1295,MATCH($D1237,Hierarchy!$A$2:$A$1295,0))="","",INDEX(Hierarchy!$D$2:$D$1295,MATCH($D1237,Hierarchy!$A$2:$A$1295,0))),"NODE NOT FOUND"))</f>
        <v>EMEA</v>
      </c>
      <c r="H1237" s="7" t="str">
        <f aca="false">IF($D1237="","",IFERROR(IF(INDEX(Hierarchy!$E$2:$E$1295,MATCH($D1237,Hierarchy!$A$2:$A$1295,0))="","",INDEX(Hierarchy!$E$2:$E$1295,MATCH($D1237,Hierarchy!$A$2:$A$1295,0))),"NODE NOT FOUND"))</f>
        <v>Europe</v>
      </c>
      <c r="I1237" s="7" t="str">
        <f aca="false">IF($D1237="","",IFERROR(IF(INDEX(Hierarchy!$F$2:$F$1295,MATCH($D1237,Hierarchy!$A$2:$A$1295,0))="","",INDEX(Hierarchy!$F$2:$F$1295,MATCH($D1237,Hierarchy!$A$2:$A$1295,0))),"NODE NOT FOUND"))</f>
        <v>Germany</v>
      </c>
      <c r="J1237" s="7" t="str">
        <f aca="false">IF($D1237="","",IFERROR(IF(INDEX(Hierarchy!$G$2:$G$1295,MATCH($D1237,Hierarchy!$A$2:$A$1295,0))="","",INDEX(Hierarchy!$G$2:$G$1295,MATCH($D1237,Hierarchy!$A$2:$A$1295,0))),"NODE NOT FOUND"))</f>
        <v>DEU</v>
      </c>
      <c r="K1237" s="7" t="str">
        <f aca="false">IF($D1237="","",IFERROR(IF(INDEX(Hierarchy!$H$2:$H$1295,MATCH($D1237,Hierarchy!$A$2:$A$1295,0))="","",INDEX(Hierarchy!$H$2:$H$1295,MATCH($D1237,Hierarchy!$A$2:$A$1295,0))),"NODE NOT FOUND"))</f>
        <v/>
      </c>
      <c r="L1237" s="7" t="str">
        <f aca="false">IF($D1237="","",IFERROR(IF(INDEX(Hierarchy!$I$2:$I$1295,MATCH($D1237,Hierarchy!$A$2:$A$1295,0))="","",INDEX(Hierarchy!$I$2:$I$1295,MATCH($D1237,Hierarchy!$A$2:$A$1295,0))),"NODE NOT FOUND"))</f>
        <v/>
      </c>
      <c r="M1237" s="17" t="str">
        <f aca="false">IF(B1237="Pre-seeded","Pre-seeded",IF(B1237="Review 2026-09-16","Added from review",IF(C1237="","New",IF(C1237=D1237,"","Changed"))))</f>
        <v/>
      </c>
      <c r="N1237" s="7" t="str">
        <f aca="false">TRIM(SUBSTITUTE(SUBSTITUTE(SUBSTITUTE(" "&amp;TRIM(SUBSTITUTE(SUBSTITUTE(SUBSTITUTE(SUBSTITUTE(SUBSTITUTE(SUBSTITUTE(SUBSTITUTE(SUBSTITUTE(SUBSTITUTE(SUBSTITUTE(SUBSTITUTE(SUBSTITUTE(SUBSTITUTE(SUBSTITUTE(SUBSTITUTE(UPPER(TRIM(A1237)),"[MEMBER]",""),"{MEMBER}",""),"[MEMBER}",""),"MEMBER]",""),"(A)",""),"""",""),"“",""),"”",""),".",""),":",""),",",""),"–"," "),"-"," "),"/"," "),"&amp;"," AND "))&amp;" "," THE "," ")," TOTAL "," ")," OPERATIONS "," "))</f>
        <v>OF WHICH GERMANY</v>
      </c>
      <c r="O1237" s="17" t="str">
        <f aca="false">IF(COUNTIFS($N$2:$N$2000,N1237,$D$2:$D$2000,"&lt;&gt;"&amp;D1237)&gt;0,"CONFLICT","")</f>
        <v/>
      </c>
      <c r="P1237" s="7"/>
    </row>
    <row r="1238" customFormat="false" ht="15" hidden="false" customHeight="false" outlineLevel="0" collapsed="false">
      <c r="A1238" s="7" t="s">
        <v>2475</v>
      </c>
      <c r="B1238" s="7" t="s">
        <v>1885</v>
      </c>
      <c r="C1238" s="7" t="s">
        <v>1424</v>
      </c>
      <c r="D1238" s="6" t="s">
        <v>1424</v>
      </c>
      <c r="E1238" s="6" t="s">
        <v>1880</v>
      </c>
      <c r="F1238" s="7" t="str">
        <f aca="false">IF($D1238="","",IFERROR(IF(INDEX(Hierarchy!$B$2:$B$1295,MATCH($D1238,Hierarchy!$A$2:$A$1295,0))="","",INDEX(Hierarchy!$B$2:$B$1295,MATCH($D1238,Hierarchy!$A$2:$A$1295,0))),"NODE NOT FOUND"))</f>
        <v>Country</v>
      </c>
      <c r="G1238" s="7" t="str">
        <f aca="false">IF($D1238="","",IFERROR(IF(INDEX(Hierarchy!$D$2:$D$1295,MATCH($D1238,Hierarchy!$A$2:$A$1295,0))="","",INDEX(Hierarchy!$D$2:$D$1295,MATCH($D1238,Hierarchy!$A$2:$A$1295,0))),"NODE NOT FOUND"))</f>
        <v>APAC</v>
      </c>
      <c r="H1238" s="7" t="str">
        <f aca="false">IF($D1238="","",IFERROR(IF(INDEX(Hierarchy!$E$2:$E$1295,MATCH($D1238,Hierarchy!$A$2:$A$1295,0))="","",INDEX(Hierarchy!$E$2:$E$1295,MATCH($D1238,Hierarchy!$A$2:$A$1295,0))),"NODE NOT FOUND"))</f>
        <v>East Asia</v>
      </c>
      <c r="I1238" s="7" t="str">
        <f aca="false">IF($D1238="","",IFERROR(IF(INDEX(Hierarchy!$F$2:$F$1295,MATCH($D1238,Hierarchy!$A$2:$A$1295,0))="","",INDEX(Hierarchy!$F$2:$F$1295,MATCH($D1238,Hierarchy!$A$2:$A$1295,0))),"NODE NOT FOUND"))</f>
        <v>Japan</v>
      </c>
      <c r="J1238" s="7" t="str">
        <f aca="false">IF($D1238="","",IFERROR(IF(INDEX(Hierarchy!$G$2:$G$1295,MATCH($D1238,Hierarchy!$A$2:$A$1295,0))="","",INDEX(Hierarchy!$G$2:$G$1295,MATCH($D1238,Hierarchy!$A$2:$A$1295,0))),"NODE NOT FOUND"))</f>
        <v>JPN</v>
      </c>
      <c r="K1238" s="7" t="str">
        <f aca="false">IF($D1238="","",IFERROR(IF(INDEX(Hierarchy!$H$2:$H$1295,MATCH($D1238,Hierarchy!$A$2:$A$1295,0))="","",INDEX(Hierarchy!$H$2:$H$1295,MATCH($D1238,Hierarchy!$A$2:$A$1295,0))),"NODE NOT FOUND"))</f>
        <v/>
      </c>
      <c r="L1238" s="7" t="str">
        <f aca="false">IF($D1238="","",IFERROR(IF(INDEX(Hierarchy!$I$2:$I$1295,MATCH($D1238,Hierarchy!$A$2:$A$1295,0))="","",INDEX(Hierarchy!$I$2:$I$1295,MATCH($D1238,Hierarchy!$A$2:$A$1295,0))),"NODE NOT FOUND"))</f>
        <v/>
      </c>
      <c r="M1238" s="17" t="str">
        <f aca="false">IF(B1238="Pre-seeded","Pre-seeded",IF(B1238="Review 2026-09-16","Added from review",IF(C1238="","New",IF(C1238=D1238,"","Changed"))))</f>
        <v/>
      </c>
      <c r="N1238" s="7" t="str">
        <f aca="false">TRIM(SUBSTITUTE(SUBSTITUTE(SUBSTITUTE(" "&amp;TRIM(SUBSTITUTE(SUBSTITUTE(SUBSTITUTE(SUBSTITUTE(SUBSTITUTE(SUBSTITUTE(SUBSTITUTE(SUBSTITUTE(SUBSTITUTE(SUBSTITUTE(SUBSTITUTE(SUBSTITUTE(SUBSTITUTE(SUBSTITUTE(SUBSTITUTE(UPPER(TRIM(A1238)),"[MEMBER]",""),"{MEMBER}",""),"[MEMBER}",""),"MEMBER]",""),"(A)",""),"""",""),"“",""),"”",""),".",""),":",""),",",""),"–"," "),"-"," "),"/"," "),"&amp;"," AND "))&amp;" "," THE "," ")," TOTAL "," ")," OPERATIONS "," "))</f>
        <v>OF WHICH JAPAN</v>
      </c>
      <c r="O1238" s="17" t="str">
        <f aca="false">IF(COUNTIFS($N$2:$N$2000,N1238,$D$2:$D$2000,"&lt;&gt;"&amp;D1238)&gt;0,"CONFLICT","")</f>
        <v/>
      </c>
      <c r="P1238" s="7"/>
    </row>
    <row r="1239" customFormat="false" ht="15" hidden="false" customHeight="false" outlineLevel="0" collapsed="false">
      <c r="A1239" s="7" t="s">
        <v>2476</v>
      </c>
      <c r="B1239" s="7" t="s">
        <v>1885</v>
      </c>
      <c r="C1239" s="7" t="s">
        <v>81</v>
      </c>
      <c r="D1239" s="6" t="s">
        <v>81</v>
      </c>
      <c r="E1239" s="6" t="s">
        <v>1880</v>
      </c>
      <c r="F1239" s="7" t="str">
        <f aca="false">IF($D1239="","",IFERROR(IF(INDEX(Hierarchy!$B$2:$B$1295,MATCH($D1239,Hierarchy!$A$2:$A$1295,0))="","",INDEX(Hierarchy!$B$2:$B$1295,MATCH($D1239,Hierarchy!$A$2:$A$1295,0))),"NODE NOT FOUND"))</f>
        <v>Country</v>
      </c>
      <c r="G1239" s="7" t="str">
        <f aca="false">IF($D1239="","",IFERROR(IF(INDEX(Hierarchy!$D$2:$D$1295,MATCH($D1239,Hierarchy!$A$2:$A$1295,0))="","",INDEX(Hierarchy!$D$2:$D$1295,MATCH($D1239,Hierarchy!$A$2:$A$1295,0))),"NODE NOT FOUND"))</f>
        <v>AMER</v>
      </c>
      <c r="H1239" s="7" t="str">
        <f aca="false">IF($D1239="","",IFERROR(IF(INDEX(Hierarchy!$E$2:$E$1295,MATCH($D1239,Hierarchy!$A$2:$A$1295,0))="","",INDEX(Hierarchy!$E$2:$E$1295,MATCH($D1239,Hierarchy!$A$2:$A$1295,0))),"NODE NOT FOUND"))</f>
        <v>North America (NORAM)</v>
      </c>
      <c r="I1239" s="7" t="str">
        <f aca="false">IF($D1239="","",IFERROR(IF(INDEX(Hierarchy!$F$2:$F$1295,MATCH($D1239,Hierarchy!$A$2:$A$1295,0))="","",INDEX(Hierarchy!$F$2:$F$1295,MATCH($D1239,Hierarchy!$A$2:$A$1295,0))),"NODE NOT FOUND"))</f>
        <v>United States</v>
      </c>
      <c r="J1239" s="7" t="str">
        <f aca="false">IF($D1239="","",IFERROR(IF(INDEX(Hierarchy!$G$2:$G$1295,MATCH($D1239,Hierarchy!$A$2:$A$1295,0))="","",INDEX(Hierarchy!$G$2:$G$1295,MATCH($D1239,Hierarchy!$A$2:$A$1295,0))),"NODE NOT FOUND"))</f>
        <v>USA</v>
      </c>
      <c r="K1239" s="7" t="str">
        <f aca="false">IF($D1239="","",IFERROR(IF(INDEX(Hierarchy!$H$2:$H$1295,MATCH($D1239,Hierarchy!$A$2:$A$1295,0))="","",INDEX(Hierarchy!$H$2:$H$1295,MATCH($D1239,Hierarchy!$A$2:$A$1295,0))),"NODE NOT FOUND"))</f>
        <v/>
      </c>
      <c r="L1239" s="7" t="str">
        <f aca="false">IF($D1239="","",IFERROR(IF(INDEX(Hierarchy!$I$2:$I$1295,MATCH($D1239,Hierarchy!$A$2:$A$1295,0))="","",INDEX(Hierarchy!$I$2:$I$1295,MATCH($D1239,Hierarchy!$A$2:$A$1295,0))),"NODE NOT FOUND"))</f>
        <v/>
      </c>
      <c r="M1239" s="17" t="str">
        <f aca="false">IF(B1239="Pre-seeded","Pre-seeded",IF(B1239="Review 2026-09-16","Added from review",IF(C1239="","New",IF(C1239=D1239,"","Changed"))))</f>
        <v/>
      </c>
      <c r="N1239" s="7" t="str">
        <f aca="false">TRIM(SUBSTITUTE(SUBSTITUTE(SUBSTITUTE(" "&amp;TRIM(SUBSTITUTE(SUBSTITUTE(SUBSTITUTE(SUBSTITUTE(SUBSTITUTE(SUBSTITUTE(SUBSTITUTE(SUBSTITUTE(SUBSTITUTE(SUBSTITUTE(SUBSTITUTE(SUBSTITUTE(SUBSTITUTE(SUBSTITUTE(SUBSTITUTE(UPPER(TRIM(A1239)),"[MEMBER]",""),"{MEMBER}",""),"[MEMBER}",""),"MEMBER]",""),"(A)",""),"""",""),"“",""),"”",""),".",""),":",""),",",""),"–"," "),"-"," "),"/"," "),"&amp;"," AND "))&amp;" "," THE "," ")," TOTAL "," ")," OPERATIONS "," "))</f>
        <v>OF WHICH UNITED STATES</v>
      </c>
      <c r="O1239" s="17" t="str">
        <f aca="false">IF(COUNTIFS($N$2:$N$2000,N1239,$D$2:$D$2000,"&lt;&gt;"&amp;D1239)&gt;0,"CONFLICT","")</f>
        <v/>
      </c>
      <c r="P1239" s="7"/>
    </row>
    <row r="1240" customFormat="false" ht="15" hidden="false" customHeight="false" outlineLevel="0" collapsed="false">
      <c r="A1240" s="7" t="s">
        <v>1160</v>
      </c>
      <c r="B1240" s="7" t="s">
        <v>1879</v>
      </c>
      <c r="C1240" s="7"/>
      <c r="D1240" s="6" t="s">
        <v>1160</v>
      </c>
      <c r="E1240" s="6" t="s">
        <v>1880</v>
      </c>
      <c r="F1240" s="7" t="str">
        <f aca="false">IF($D1240="","",IFERROR(IF(INDEX(Hierarchy!$B$2:$B$1295,MATCH($D1240,Hierarchy!$A$2:$A$1295,0))="","",INDEX(Hierarchy!$B$2:$B$1295,MATCH($D1240,Hierarchy!$A$2:$A$1295,0))),"NODE NOT FOUND"))</f>
        <v>State/Province</v>
      </c>
      <c r="G1240" s="7" t="str">
        <f aca="false">IF($D1240="","",IFERROR(IF(INDEX(Hierarchy!$D$2:$D$1295,MATCH($D1240,Hierarchy!$A$2:$A$1295,0))="","",INDEX(Hierarchy!$D$2:$D$1295,MATCH($D1240,Hierarchy!$A$2:$A$1295,0))),"NODE NOT FOUND"))</f>
        <v>EMEA</v>
      </c>
      <c r="H1240" s="7" t="str">
        <f aca="false">IF($D1240="","",IFERROR(IF(INDEX(Hierarchy!$E$2:$E$1295,MATCH($D1240,Hierarchy!$A$2:$A$1295,0))="","",INDEX(Hierarchy!$E$2:$E$1295,MATCH($D1240,Hierarchy!$A$2:$A$1295,0))),"NODE NOT FOUND"))</f>
        <v>Africa</v>
      </c>
      <c r="I1240" s="7" t="str">
        <f aca="false">IF($D1240="","",IFERROR(IF(INDEX(Hierarchy!$F$2:$F$1295,MATCH($D1240,Hierarchy!$A$2:$A$1295,0))="","",INDEX(Hierarchy!$F$2:$F$1295,MATCH($D1240,Hierarchy!$A$2:$A$1295,0))),"NODE NOT FOUND"))</f>
        <v>Nigeria</v>
      </c>
      <c r="J1240" s="7" t="str">
        <f aca="false">IF($D1240="","",IFERROR(IF(INDEX(Hierarchy!$G$2:$G$1295,MATCH($D1240,Hierarchy!$A$2:$A$1295,0))="","",INDEX(Hierarchy!$G$2:$G$1295,MATCH($D1240,Hierarchy!$A$2:$A$1295,0))),"NODE NOT FOUND"))</f>
        <v>NGA</v>
      </c>
      <c r="K1240" s="7" t="str">
        <f aca="false">IF($D1240="","",IFERROR(IF(INDEX(Hierarchy!$H$2:$H$1295,MATCH($D1240,Hierarchy!$A$2:$A$1295,0))="","",INDEX(Hierarchy!$H$2:$H$1295,MATCH($D1240,Hierarchy!$A$2:$A$1295,0))),"NODE NOT FOUND"))</f>
        <v>Ogun</v>
      </c>
      <c r="L1240" s="7" t="str">
        <f aca="false">IF($D1240="","",IFERROR(IF(INDEX(Hierarchy!$I$2:$I$1295,MATCH($D1240,Hierarchy!$A$2:$A$1295,0))="","",INDEX(Hierarchy!$I$2:$I$1295,MATCH($D1240,Hierarchy!$A$2:$A$1295,0))),"NODE NOT FOUND"))</f>
        <v/>
      </c>
      <c r="M1240" s="17" t="str">
        <f aca="false">IF(B1240="Pre-seeded","Pre-seeded",IF(B1240="Review 2026-09-16","Added from review",IF(C1240="","New",IF(C1240=D1240,"","Changed"))))</f>
        <v>Pre-seeded</v>
      </c>
      <c r="N1240" s="7" t="str">
        <f aca="false">TRIM(SUBSTITUTE(SUBSTITUTE(SUBSTITUTE(" "&amp;TRIM(SUBSTITUTE(SUBSTITUTE(SUBSTITUTE(SUBSTITUTE(SUBSTITUTE(SUBSTITUTE(SUBSTITUTE(SUBSTITUTE(SUBSTITUTE(SUBSTITUTE(SUBSTITUTE(SUBSTITUTE(SUBSTITUTE(SUBSTITUTE(SUBSTITUTE(UPPER(TRIM(A1240)),"[MEMBER]",""),"{MEMBER}",""),"[MEMBER}",""),"MEMBER]",""),"(A)",""),"""",""),"“",""),"”",""),".",""),":",""),",",""),"–"," "),"-"," "),"/"," "),"&amp;"," AND "))&amp;" "," THE "," ")," TOTAL "," ")," OPERATIONS "," "))</f>
        <v>OGUN</v>
      </c>
      <c r="O1240" s="17" t="str">
        <f aca="false">IF(COUNTIFS($N$2:$N$2000,N1240,$D$2:$D$2000,"&lt;&gt;"&amp;D1240)&gt;0,"CONFLICT","")</f>
        <v/>
      </c>
      <c r="P1240" s="7"/>
    </row>
    <row r="1241" customFormat="false" ht="15" hidden="false" customHeight="false" outlineLevel="0" collapsed="false">
      <c r="A1241" s="7" t="s">
        <v>2477</v>
      </c>
      <c r="B1241" s="7" t="s">
        <v>1882</v>
      </c>
      <c r="C1241" s="7" t="s">
        <v>225</v>
      </c>
      <c r="D1241" s="6" t="s">
        <v>225</v>
      </c>
      <c r="E1241" s="6" t="s">
        <v>1880</v>
      </c>
      <c r="F1241" s="7" t="str">
        <f aca="false">IF($D1241="","",IFERROR(IF(INDEX(Hierarchy!$B$2:$B$1295,MATCH($D1241,Hierarchy!$A$2:$A$1295,0))="","",INDEX(Hierarchy!$B$2:$B$1295,MATCH($D1241,Hierarchy!$A$2:$A$1295,0))),"NODE NOT FOUND"))</f>
        <v>State/Province</v>
      </c>
      <c r="G1241" s="7" t="str">
        <f aca="false">IF($D1241="","",IFERROR(IF(INDEX(Hierarchy!$D$2:$D$1295,MATCH($D1241,Hierarchy!$A$2:$A$1295,0))="","",INDEX(Hierarchy!$D$2:$D$1295,MATCH($D1241,Hierarchy!$A$2:$A$1295,0))),"NODE NOT FOUND"))</f>
        <v>AMER</v>
      </c>
      <c r="H1241" s="7" t="str">
        <f aca="false">IF($D1241="","",IFERROR(IF(INDEX(Hierarchy!$E$2:$E$1295,MATCH($D1241,Hierarchy!$A$2:$A$1295,0))="","",INDEX(Hierarchy!$E$2:$E$1295,MATCH($D1241,Hierarchy!$A$2:$A$1295,0))),"NODE NOT FOUND"))</f>
        <v>North America (NORAM)</v>
      </c>
      <c r="I1241" s="7" t="str">
        <f aca="false">IF($D1241="","",IFERROR(IF(INDEX(Hierarchy!$F$2:$F$1295,MATCH($D1241,Hierarchy!$A$2:$A$1295,0))="","",INDEX(Hierarchy!$F$2:$F$1295,MATCH($D1241,Hierarchy!$A$2:$A$1295,0))),"NODE NOT FOUND"))</f>
        <v>United States</v>
      </c>
      <c r="J1241" s="7" t="str">
        <f aca="false">IF($D1241="","",IFERROR(IF(INDEX(Hierarchy!$G$2:$G$1295,MATCH($D1241,Hierarchy!$A$2:$A$1295,0))="","",INDEX(Hierarchy!$G$2:$G$1295,MATCH($D1241,Hierarchy!$A$2:$A$1295,0))),"NODE NOT FOUND"))</f>
        <v>USA</v>
      </c>
      <c r="K1241" s="7" t="str">
        <f aca="false">IF($D1241="","",IFERROR(IF(INDEX(Hierarchy!$H$2:$H$1295,MATCH($D1241,Hierarchy!$A$2:$A$1295,0))="","",INDEX(Hierarchy!$H$2:$H$1295,MATCH($D1241,Hierarchy!$A$2:$A$1295,0))),"NODE NOT FOUND"))</f>
        <v>Ohio</v>
      </c>
      <c r="L1241" s="7" t="str">
        <f aca="false">IF($D1241="","",IFERROR(IF(INDEX(Hierarchy!$I$2:$I$1295,MATCH($D1241,Hierarchy!$A$2:$A$1295,0))="","",INDEX(Hierarchy!$I$2:$I$1295,MATCH($D1241,Hierarchy!$A$2:$A$1295,0))),"NODE NOT FOUND"))</f>
        <v/>
      </c>
      <c r="M1241" s="17" t="str">
        <f aca="false">IF(B1241="Pre-seeded","Pre-seeded",IF(B1241="Review 2026-09-16","Added from review",IF(C1241="","New",IF(C1241=D1241,"","Changed"))))</f>
        <v/>
      </c>
      <c r="N1241" s="7" t="str">
        <f aca="false">TRIM(SUBSTITUTE(SUBSTITUTE(SUBSTITUTE(" "&amp;TRIM(SUBSTITUTE(SUBSTITUTE(SUBSTITUTE(SUBSTITUTE(SUBSTITUTE(SUBSTITUTE(SUBSTITUTE(SUBSTITUTE(SUBSTITUTE(SUBSTITUTE(SUBSTITUTE(SUBSTITUTE(SUBSTITUTE(SUBSTITUTE(SUBSTITUTE(UPPER(TRIM(A1241)),"[MEMBER]",""),"{MEMBER}",""),"[MEMBER}",""),"MEMBER]",""),"(A)",""),"""",""),"“",""),"”",""),".",""),":",""),",",""),"–"," "),"-"," "),"/"," "),"&amp;"," AND "))&amp;" "," THE "," ")," TOTAL "," ")," OPERATIONS "," "))</f>
        <v>OHIO</v>
      </c>
      <c r="O1241" s="17" t="str">
        <f aca="false">IF(COUNTIFS($N$2:$N$2000,N1241,$D$2:$D$2000,"&lt;&gt;"&amp;D1241)&gt;0,"CONFLICT","")</f>
        <v/>
      </c>
      <c r="P1241" s="7"/>
    </row>
    <row r="1242" customFormat="false" ht="15" hidden="false" customHeight="false" outlineLevel="0" collapsed="false">
      <c r="A1242" s="7" t="s">
        <v>225</v>
      </c>
      <c r="B1242" s="7" t="s">
        <v>1882</v>
      </c>
      <c r="C1242" s="7" t="s">
        <v>225</v>
      </c>
      <c r="D1242" s="6" t="s">
        <v>225</v>
      </c>
      <c r="E1242" s="6" t="s">
        <v>1880</v>
      </c>
      <c r="F1242" s="7" t="str">
        <f aca="false">IF($D1242="","",IFERROR(IF(INDEX(Hierarchy!$B$2:$B$1295,MATCH($D1242,Hierarchy!$A$2:$A$1295,0))="","",INDEX(Hierarchy!$B$2:$B$1295,MATCH($D1242,Hierarchy!$A$2:$A$1295,0))),"NODE NOT FOUND"))</f>
        <v>State/Province</v>
      </c>
      <c r="G1242" s="7" t="str">
        <f aca="false">IF($D1242="","",IFERROR(IF(INDEX(Hierarchy!$D$2:$D$1295,MATCH($D1242,Hierarchy!$A$2:$A$1295,0))="","",INDEX(Hierarchy!$D$2:$D$1295,MATCH($D1242,Hierarchy!$A$2:$A$1295,0))),"NODE NOT FOUND"))</f>
        <v>AMER</v>
      </c>
      <c r="H1242" s="7" t="str">
        <f aca="false">IF($D1242="","",IFERROR(IF(INDEX(Hierarchy!$E$2:$E$1295,MATCH($D1242,Hierarchy!$A$2:$A$1295,0))="","",INDEX(Hierarchy!$E$2:$E$1295,MATCH($D1242,Hierarchy!$A$2:$A$1295,0))),"NODE NOT FOUND"))</f>
        <v>North America (NORAM)</v>
      </c>
      <c r="I1242" s="7" t="str">
        <f aca="false">IF($D1242="","",IFERROR(IF(INDEX(Hierarchy!$F$2:$F$1295,MATCH($D1242,Hierarchy!$A$2:$A$1295,0))="","",INDEX(Hierarchy!$F$2:$F$1295,MATCH($D1242,Hierarchy!$A$2:$A$1295,0))),"NODE NOT FOUND"))</f>
        <v>United States</v>
      </c>
      <c r="J1242" s="7" t="str">
        <f aca="false">IF($D1242="","",IFERROR(IF(INDEX(Hierarchy!$G$2:$G$1295,MATCH($D1242,Hierarchy!$A$2:$A$1295,0))="","",INDEX(Hierarchy!$G$2:$G$1295,MATCH($D1242,Hierarchy!$A$2:$A$1295,0))),"NODE NOT FOUND"))</f>
        <v>USA</v>
      </c>
      <c r="K1242" s="7" t="str">
        <f aca="false">IF($D1242="","",IFERROR(IF(INDEX(Hierarchy!$H$2:$H$1295,MATCH($D1242,Hierarchy!$A$2:$A$1295,0))="","",INDEX(Hierarchy!$H$2:$H$1295,MATCH($D1242,Hierarchy!$A$2:$A$1295,0))),"NODE NOT FOUND"))</f>
        <v>Ohio</v>
      </c>
      <c r="L1242" s="7" t="str">
        <f aca="false">IF($D1242="","",IFERROR(IF(INDEX(Hierarchy!$I$2:$I$1295,MATCH($D1242,Hierarchy!$A$2:$A$1295,0))="","",INDEX(Hierarchy!$I$2:$I$1295,MATCH($D1242,Hierarchy!$A$2:$A$1295,0))),"NODE NOT FOUND"))</f>
        <v/>
      </c>
      <c r="M1242" s="17" t="str">
        <f aca="false">IF(B1242="Pre-seeded","Pre-seeded",IF(B1242="Review 2026-09-16","Added from review",IF(C1242="","New",IF(C1242=D1242,"","Changed"))))</f>
        <v/>
      </c>
      <c r="N1242" s="7" t="str">
        <f aca="false">TRIM(SUBSTITUTE(SUBSTITUTE(SUBSTITUTE(" "&amp;TRIM(SUBSTITUTE(SUBSTITUTE(SUBSTITUTE(SUBSTITUTE(SUBSTITUTE(SUBSTITUTE(SUBSTITUTE(SUBSTITUTE(SUBSTITUTE(SUBSTITUTE(SUBSTITUTE(SUBSTITUTE(SUBSTITUTE(SUBSTITUTE(SUBSTITUTE(UPPER(TRIM(A1242)),"[MEMBER]",""),"{MEMBER}",""),"[MEMBER}",""),"MEMBER]",""),"(A)",""),"""",""),"“",""),"”",""),".",""),":",""),",",""),"–"," "),"-"," "),"/"," "),"&amp;"," AND "))&amp;" "," THE "," ")," TOTAL "," ")," OPERATIONS "," "))</f>
        <v>OHIO</v>
      </c>
      <c r="O1242" s="17" t="str">
        <f aca="false">IF(COUNTIFS($N$2:$N$2000,N1242,$D$2:$D$2000,"&lt;&gt;"&amp;D1242)&gt;0,"CONFLICT","")</f>
        <v/>
      </c>
      <c r="P1242" s="7"/>
    </row>
    <row r="1243" customFormat="false" ht="15" hidden="false" customHeight="false" outlineLevel="0" collapsed="false">
      <c r="A1243" s="7" t="s">
        <v>1470</v>
      </c>
      <c r="B1243" s="7" t="s">
        <v>1879</v>
      </c>
      <c r="C1243" s="7"/>
      <c r="D1243" s="6" t="s">
        <v>1470</v>
      </c>
      <c r="E1243" s="6" t="s">
        <v>1880</v>
      </c>
      <c r="F1243" s="7" t="str">
        <f aca="false">IF($D1243="","",IFERROR(IF(INDEX(Hierarchy!$B$2:$B$1295,MATCH($D1243,Hierarchy!$A$2:$A$1295,0))="","",INDEX(Hierarchy!$B$2:$B$1295,MATCH($D1243,Hierarchy!$A$2:$A$1295,0))),"NODE NOT FOUND"))</f>
        <v>State/Province</v>
      </c>
      <c r="G1243" s="7" t="str">
        <f aca="false">IF($D1243="","",IFERROR(IF(INDEX(Hierarchy!$D$2:$D$1295,MATCH($D1243,Hierarchy!$A$2:$A$1295,0))="","",INDEX(Hierarchy!$D$2:$D$1295,MATCH($D1243,Hierarchy!$A$2:$A$1295,0))),"NODE NOT FOUND"))</f>
        <v>APAC</v>
      </c>
      <c r="H1243" s="7" t="str">
        <f aca="false">IF($D1243="","",IFERROR(IF(INDEX(Hierarchy!$E$2:$E$1295,MATCH($D1243,Hierarchy!$A$2:$A$1295,0))="","",INDEX(Hierarchy!$E$2:$E$1295,MATCH($D1243,Hierarchy!$A$2:$A$1295,0))),"NODE NOT FOUND"))</f>
        <v>East Asia</v>
      </c>
      <c r="I1243" s="7" t="str">
        <f aca="false">IF($D1243="","",IFERROR(IF(INDEX(Hierarchy!$F$2:$F$1295,MATCH($D1243,Hierarchy!$A$2:$A$1295,0))="","",INDEX(Hierarchy!$F$2:$F$1295,MATCH($D1243,Hierarchy!$A$2:$A$1295,0))),"NODE NOT FOUND"))</f>
        <v>Japan</v>
      </c>
      <c r="J1243" s="7" t="str">
        <f aca="false">IF($D1243="","",IFERROR(IF(INDEX(Hierarchy!$G$2:$G$1295,MATCH($D1243,Hierarchy!$A$2:$A$1295,0))="","",INDEX(Hierarchy!$G$2:$G$1295,MATCH($D1243,Hierarchy!$A$2:$A$1295,0))),"NODE NOT FOUND"))</f>
        <v>JPN</v>
      </c>
      <c r="K1243" s="7" t="str">
        <f aca="false">IF($D1243="","",IFERROR(IF(INDEX(Hierarchy!$H$2:$H$1295,MATCH($D1243,Hierarchy!$A$2:$A$1295,0))="","",INDEX(Hierarchy!$H$2:$H$1295,MATCH($D1243,Hierarchy!$A$2:$A$1295,0))),"NODE NOT FOUND"))</f>
        <v>Oita</v>
      </c>
      <c r="L1243" s="7" t="str">
        <f aca="false">IF($D1243="","",IFERROR(IF(INDEX(Hierarchy!$I$2:$I$1295,MATCH($D1243,Hierarchy!$A$2:$A$1295,0))="","",INDEX(Hierarchy!$I$2:$I$1295,MATCH($D1243,Hierarchy!$A$2:$A$1295,0))),"NODE NOT FOUND"))</f>
        <v/>
      </c>
      <c r="M1243" s="17" t="str">
        <f aca="false">IF(B1243="Pre-seeded","Pre-seeded",IF(B1243="Review 2026-09-16","Added from review",IF(C1243="","New",IF(C1243=D1243,"","Changed"))))</f>
        <v>Pre-seeded</v>
      </c>
      <c r="N1243" s="7" t="str">
        <f aca="false">TRIM(SUBSTITUTE(SUBSTITUTE(SUBSTITUTE(" "&amp;TRIM(SUBSTITUTE(SUBSTITUTE(SUBSTITUTE(SUBSTITUTE(SUBSTITUTE(SUBSTITUTE(SUBSTITUTE(SUBSTITUTE(SUBSTITUTE(SUBSTITUTE(SUBSTITUTE(SUBSTITUTE(SUBSTITUTE(SUBSTITUTE(SUBSTITUTE(UPPER(TRIM(A1243)),"[MEMBER]",""),"{MEMBER}",""),"[MEMBER}",""),"MEMBER]",""),"(A)",""),"""",""),"“",""),"”",""),".",""),":",""),",",""),"–"," "),"-"," "),"/"," "),"&amp;"," AND "))&amp;" "," THE "," ")," TOTAL "," ")," OPERATIONS "," "))</f>
        <v>OITA</v>
      </c>
      <c r="O1243" s="17" t="str">
        <f aca="false">IF(COUNTIFS($N$2:$N$2000,N1243,$D$2:$D$2000,"&lt;&gt;"&amp;D1243)&gt;0,"CONFLICT","")</f>
        <v/>
      </c>
      <c r="P1243" s="7"/>
    </row>
    <row r="1244" customFormat="false" ht="15" hidden="false" customHeight="false" outlineLevel="0" collapsed="false">
      <c r="A1244" s="7" t="s">
        <v>1471</v>
      </c>
      <c r="B1244" s="7" t="s">
        <v>1879</v>
      </c>
      <c r="C1244" s="7"/>
      <c r="D1244" s="6" t="s">
        <v>1471</v>
      </c>
      <c r="E1244" s="6" t="s">
        <v>1880</v>
      </c>
      <c r="F1244" s="7" t="str">
        <f aca="false">IF($D1244="","",IFERROR(IF(INDEX(Hierarchy!$B$2:$B$1295,MATCH($D1244,Hierarchy!$A$2:$A$1295,0))="","",INDEX(Hierarchy!$B$2:$B$1295,MATCH($D1244,Hierarchy!$A$2:$A$1295,0))),"NODE NOT FOUND"))</f>
        <v>State/Province</v>
      </c>
      <c r="G1244" s="7" t="str">
        <f aca="false">IF($D1244="","",IFERROR(IF(INDEX(Hierarchy!$D$2:$D$1295,MATCH($D1244,Hierarchy!$A$2:$A$1295,0))="","",INDEX(Hierarchy!$D$2:$D$1295,MATCH($D1244,Hierarchy!$A$2:$A$1295,0))),"NODE NOT FOUND"))</f>
        <v>APAC</v>
      </c>
      <c r="H1244" s="7" t="str">
        <f aca="false">IF($D1244="","",IFERROR(IF(INDEX(Hierarchy!$E$2:$E$1295,MATCH($D1244,Hierarchy!$A$2:$A$1295,0))="","",INDEX(Hierarchy!$E$2:$E$1295,MATCH($D1244,Hierarchy!$A$2:$A$1295,0))),"NODE NOT FOUND"))</f>
        <v>East Asia</v>
      </c>
      <c r="I1244" s="7" t="str">
        <f aca="false">IF($D1244="","",IFERROR(IF(INDEX(Hierarchy!$F$2:$F$1295,MATCH($D1244,Hierarchy!$A$2:$A$1295,0))="","",INDEX(Hierarchy!$F$2:$F$1295,MATCH($D1244,Hierarchy!$A$2:$A$1295,0))),"NODE NOT FOUND"))</f>
        <v>Japan</v>
      </c>
      <c r="J1244" s="7" t="str">
        <f aca="false">IF($D1244="","",IFERROR(IF(INDEX(Hierarchy!$G$2:$G$1295,MATCH($D1244,Hierarchy!$A$2:$A$1295,0))="","",INDEX(Hierarchy!$G$2:$G$1295,MATCH($D1244,Hierarchy!$A$2:$A$1295,0))),"NODE NOT FOUND"))</f>
        <v>JPN</v>
      </c>
      <c r="K1244" s="7" t="str">
        <f aca="false">IF($D1244="","",IFERROR(IF(INDEX(Hierarchy!$H$2:$H$1295,MATCH($D1244,Hierarchy!$A$2:$A$1295,0))="","",INDEX(Hierarchy!$H$2:$H$1295,MATCH($D1244,Hierarchy!$A$2:$A$1295,0))),"NODE NOT FOUND"))</f>
        <v>Okayama</v>
      </c>
      <c r="L1244" s="7" t="str">
        <f aca="false">IF($D1244="","",IFERROR(IF(INDEX(Hierarchy!$I$2:$I$1295,MATCH($D1244,Hierarchy!$A$2:$A$1295,0))="","",INDEX(Hierarchy!$I$2:$I$1295,MATCH($D1244,Hierarchy!$A$2:$A$1295,0))),"NODE NOT FOUND"))</f>
        <v/>
      </c>
      <c r="M1244" s="17" t="str">
        <f aca="false">IF(B1244="Pre-seeded","Pre-seeded",IF(B1244="Review 2026-09-16","Added from review",IF(C1244="","New",IF(C1244=D1244,"","Changed"))))</f>
        <v>Pre-seeded</v>
      </c>
      <c r="N1244" s="7" t="str">
        <f aca="false">TRIM(SUBSTITUTE(SUBSTITUTE(SUBSTITUTE(" "&amp;TRIM(SUBSTITUTE(SUBSTITUTE(SUBSTITUTE(SUBSTITUTE(SUBSTITUTE(SUBSTITUTE(SUBSTITUTE(SUBSTITUTE(SUBSTITUTE(SUBSTITUTE(SUBSTITUTE(SUBSTITUTE(SUBSTITUTE(SUBSTITUTE(SUBSTITUTE(UPPER(TRIM(A1244)),"[MEMBER]",""),"{MEMBER}",""),"[MEMBER}",""),"MEMBER]",""),"(A)",""),"""",""),"“",""),"”",""),".",""),":",""),",",""),"–"," "),"-"," "),"/"," "),"&amp;"," AND "))&amp;" "," THE "," ")," TOTAL "," ")," OPERATIONS "," "))</f>
        <v>OKAYAMA</v>
      </c>
      <c r="O1244" s="17" t="str">
        <f aca="false">IF(COUNTIFS($N$2:$N$2000,N1244,$D$2:$D$2000,"&lt;&gt;"&amp;D1244)&gt;0,"CONFLICT","")</f>
        <v/>
      </c>
      <c r="P1244" s="7"/>
    </row>
    <row r="1245" customFormat="false" ht="15" hidden="false" customHeight="false" outlineLevel="0" collapsed="false">
      <c r="A1245" s="7" t="s">
        <v>1472</v>
      </c>
      <c r="B1245" s="7" t="s">
        <v>1879</v>
      </c>
      <c r="C1245" s="7"/>
      <c r="D1245" s="6" t="s">
        <v>1472</v>
      </c>
      <c r="E1245" s="6" t="s">
        <v>1880</v>
      </c>
      <c r="F1245" s="7" t="str">
        <f aca="false">IF($D1245="","",IFERROR(IF(INDEX(Hierarchy!$B$2:$B$1295,MATCH($D1245,Hierarchy!$A$2:$A$1295,0))="","",INDEX(Hierarchy!$B$2:$B$1295,MATCH($D1245,Hierarchy!$A$2:$A$1295,0))),"NODE NOT FOUND"))</f>
        <v>State/Province</v>
      </c>
      <c r="G1245" s="7" t="str">
        <f aca="false">IF($D1245="","",IFERROR(IF(INDEX(Hierarchy!$D$2:$D$1295,MATCH($D1245,Hierarchy!$A$2:$A$1295,0))="","",INDEX(Hierarchy!$D$2:$D$1295,MATCH($D1245,Hierarchy!$A$2:$A$1295,0))),"NODE NOT FOUND"))</f>
        <v>APAC</v>
      </c>
      <c r="H1245" s="7" t="str">
        <f aca="false">IF($D1245="","",IFERROR(IF(INDEX(Hierarchy!$E$2:$E$1295,MATCH($D1245,Hierarchy!$A$2:$A$1295,0))="","",INDEX(Hierarchy!$E$2:$E$1295,MATCH($D1245,Hierarchy!$A$2:$A$1295,0))),"NODE NOT FOUND"))</f>
        <v>East Asia</v>
      </c>
      <c r="I1245" s="7" t="str">
        <f aca="false">IF($D1245="","",IFERROR(IF(INDEX(Hierarchy!$F$2:$F$1295,MATCH($D1245,Hierarchy!$A$2:$A$1295,0))="","",INDEX(Hierarchy!$F$2:$F$1295,MATCH($D1245,Hierarchy!$A$2:$A$1295,0))),"NODE NOT FOUND"))</f>
        <v>Japan</v>
      </c>
      <c r="J1245" s="7" t="str">
        <f aca="false">IF($D1245="","",IFERROR(IF(INDEX(Hierarchy!$G$2:$G$1295,MATCH($D1245,Hierarchy!$A$2:$A$1295,0))="","",INDEX(Hierarchy!$G$2:$G$1295,MATCH($D1245,Hierarchy!$A$2:$A$1295,0))),"NODE NOT FOUND"))</f>
        <v>JPN</v>
      </c>
      <c r="K1245" s="7" t="str">
        <f aca="false">IF($D1245="","",IFERROR(IF(INDEX(Hierarchy!$H$2:$H$1295,MATCH($D1245,Hierarchy!$A$2:$A$1295,0))="","",INDEX(Hierarchy!$H$2:$H$1295,MATCH($D1245,Hierarchy!$A$2:$A$1295,0))),"NODE NOT FOUND"))</f>
        <v>Okinawa</v>
      </c>
      <c r="L1245" s="7" t="str">
        <f aca="false">IF($D1245="","",IFERROR(IF(INDEX(Hierarchy!$I$2:$I$1295,MATCH($D1245,Hierarchy!$A$2:$A$1295,0))="","",INDEX(Hierarchy!$I$2:$I$1295,MATCH($D1245,Hierarchy!$A$2:$A$1295,0))),"NODE NOT FOUND"))</f>
        <v/>
      </c>
      <c r="M1245" s="17" t="str">
        <f aca="false">IF(B1245="Pre-seeded","Pre-seeded",IF(B1245="Review 2026-09-16","Added from review",IF(C1245="","New",IF(C1245=D1245,"","Changed"))))</f>
        <v>Pre-seeded</v>
      </c>
      <c r="N1245" s="7" t="str">
        <f aca="false">TRIM(SUBSTITUTE(SUBSTITUTE(SUBSTITUTE(" "&amp;TRIM(SUBSTITUTE(SUBSTITUTE(SUBSTITUTE(SUBSTITUTE(SUBSTITUTE(SUBSTITUTE(SUBSTITUTE(SUBSTITUTE(SUBSTITUTE(SUBSTITUTE(SUBSTITUTE(SUBSTITUTE(SUBSTITUTE(SUBSTITUTE(SUBSTITUTE(UPPER(TRIM(A1245)),"[MEMBER]",""),"{MEMBER}",""),"[MEMBER}",""),"MEMBER]",""),"(A)",""),"""",""),"“",""),"”",""),".",""),":",""),",",""),"–"," "),"-"," "),"/"," "),"&amp;"," AND "))&amp;" "," THE "," ")," TOTAL "," ")," OPERATIONS "," "))</f>
        <v>OKINAWA</v>
      </c>
      <c r="O1245" s="17" t="str">
        <f aca="false">IF(COUNTIFS($N$2:$N$2000,N1245,$D$2:$D$2000,"&lt;&gt;"&amp;D1245)&gt;0,"CONFLICT","")</f>
        <v/>
      </c>
      <c r="P1245" s="7"/>
    </row>
    <row r="1246" customFormat="false" ht="15" hidden="false" customHeight="false" outlineLevel="0" collapsed="false">
      <c r="A1246" s="7" t="s">
        <v>229</v>
      </c>
      <c r="B1246" s="7" t="s">
        <v>1882</v>
      </c>
      <c r="C1246" s="7" t="s">
        <v>229</v>
      </c>
      <c r="D1246" s="6" t="s">
        <v>229</v>
      </c>
      <c r="E1246" s="6" t="s">
        <v>1880</v>
      </c>
      <c r="F1246" s="7" t="str">
        <f aca="false">IF($D1246="","",IFERROR(IF(INDEX(Hierarchy!$B$2:$B$1295,MATCH($D1246,Hierarchy!$A$2:$A$1295,0))="","",INDEX(Hierarchy!$B$2:$B$1295,MATCH($D1246,Hierarchy!$A$2:$A$1295,0))),"NODE NOT FOUND"))</f>
        <v>State/Province</v>
      </c>
      <c r="G1246" s="7" t="str">
        <f aca="false">IF($D1246="","",IFERROR(IF(INDEX(Hierarchy!$D$2:$D$1295,MATCH($D1246,Hierarchy!$A$2:$A$1295,0))="","",INDEX(Hierarchy!$D$2:$D$1295,MATCH($D1246,Hierarchy!$A$2:$A$1295,0))),"NODE NOT FOUND"))</f>
        <v>AMER</v>
      </c>
      <c r="H1246" s="7" t="str">
        <f aca="false">IF($D1246="","",IFERROR(IF(INDEX(Hierarchy!$E$2:$E$1295,MATCH($D1246,Hierarchy!$A$2:$A$1295,0))="","",INDEX(Hierarchy!$E$2:$E$1295,MATCH($D1246,Hierarchy!$A$2:$A$1295,0))),"NODE NOT FOUND"))</f>
        <v>North America (NORAM)</v>
      </c>
      <c r="I1246" s="7" t="str">
        <f aca="false">IF($D1246="","",IFERROR(IF(INDEX(Hierarchy!$F$2:$F$1295,MATCH($D1246,Hierarchy!$A$2:$A$1295,0))="","",INDEX(Hierarchy!$F$2:$F$1295,MATCH($D1246,Hierarchy!$A$2:$A$1295,0))),"NODE NOT FOUND"))</f>
        <v>United States</v>
      </c>
      <c r="J1246" s="7" t="str">
        <f aca="false">IF($D1246="","",IFERROR(IF(INDEX(Hierarchy!$G$2:$G$1295,MATCH($D1246,Hierarchy!$A$2:$A$1295,0))="","",INDEX(Hierarchy!$G$2:$G$1295,MATCH($D1246,Hierarchy!$A$2:$A$1295,0))),"NODE NOT FOUND"))</f>
        <v>USA</v>
      </c>
      <c r="K1246" s="7" t="str">
        <f aca="false">IF($D1246="","",IFERROR(IF(INDEX(Hierarchy!$H$2:$H$1295,MATCH($D1246,Hierarchy!$A$2:$A$1295,0))="","",INDEX(Hierarchy!$H$2:$H$1295,MATCH($D1246,Hierarchy!$A$2:$A$1295,0))),"NODE NOT FOUND"))</f>
        <v>Oklahoma</v>
      </c>
      <c r="L1246" s="7" t="str">
        <f aca="false">IF($D1246="","",IFERROR(IF(INDEX(Hierarchy!$I$2:$I$1295,MATCH($D1246,Hierarchy!$A$2:$A$1295,0))="","",INDEX(Hierarchy!$I$2:$I$1295,MATCH($D1246,Hierarchy!$A$2:$A$1295,0))),"NODE NOT FOUND"))</f>
        <v/>
      </c>
      <c r="M1246" s="17" t="str">
        <f aca="false">IF(B1246="Pre-seeded","Pre-seeded",IF(B1246="Review 2026-09-16","Added from review",IF(C1246="","New",IF(C1246=D1246,"","Changed"))))</f>
        <v/>
      </c>
      <c r="N1246" s="7" t="str">
        <f aca="false">TRIM(SUBSTITUTE(SUBSTITUTE(SUBSTITUTE(" "&amp;TRIM(SUBSTITUTE(SUBSTITUTE(SUBSTITUTE(SUBSTITUTE(SUBSTITUTE(SUBSTITUTE(SUBSTITUTE(SUBSTITUTE(SUBSTITUTE(SUBSTITUTE(SUBSTITUTE(SUBSTITUTE(SUBSTITUTE(SUBSTITUTE(SUBSTITUTE(UPPER(TRIM(A1246)),"[MEMBER]",""),"{MEMBER}",""),"[MEMBER}",""),"MEMBER]",""),"(A)",""),"""",""),"“",""),"”",""),".",""),":",""),",",""),"–"," "),"-"," "),"/"," "),"&amp;"," AND "))&amp;" "," THE "," ")," TOTAL "," ")," OPERATIONS "," "))</f>
        <v>OKLAHOMA</v>
      </c>
      <c r="O1246" s="17" t="str">
        <f aca="false">IF(COUNTIFS($N$2:$N$2000,N1246,$D$2:$D$2000,"&lt;&gt;"&amp;D1246)&gt;0,"CONFLICT","")</f>
        <v/>
      </c>
      <c r="P1246" s="7"/>
    </row>
    <row r="1247" customFormat="false" ht="15" hidden="false" customHeight="false" outlineLevel="0" collapsed="false">
      <c r="A1247" s="7" t="s">
        <v>1083</v>
      </c>
      <c r="B1247" s="7" t="s">
        <v>1879</v>
      </c>
      <c r="C1247" s="7"/>
      <c r="D1247" s="6" t="s">
        <v>1083</v>
      </c>
      <c r="E1247" s="6" t="s">
        <v>1880</v>
      </c>
      <c r="F1247" s="7" t="str">
        <f aca="false">IF($D1247="","",IFERROR(IF(INDEX(Hierarchy!$B$2:$B$1295,MATCH($D1247,Hierarchy!$A$2:$A$1295,0))="","",INDEX(Hierarchy!$B$2:$B$1295,MATCH($D1247,Hierarchy!$A$2:$A$1295,0))),"NODE NOT FOUND"))</f>
        <v>Country</v>
      </c>
      <c r="G1247" s="7" t="str">
        <f aca="false">IF($D1247="","",IFERROR(IF(INDEX(Hierarchy!$D$2:$D$1295,MATCH($D1247,Hierarchy!$A$2:$A$1295,0))="","",INDEX(Hierarchy!$D$2:$D$1295,MATCH($D1247,Hierarchy!$A$2:$A$1295,0))),"NODE NOT FOUND"))</f>
        <v>EMEA</v>
      </c>
      <c r="H1247" s="7" t="str">
        <f aca="false">IF($D1247="","",IFERROR(IF(INDEX(Hierarchy!$E$2:$E$1295,MATCH($D1247,Hierarchy!$A$2:$A$1295,0))="","",INDEX(Hierarchy!$E$2:$E$1295,MATCH($D1247,Hierarchy!$A$2:$A$1295,0))),"NODE NOT FOUND"))</f>
        <v>Middle East</v>
      </c>
      <c r="I1247" s="7" t="str">
        <f aca="false">IF($D1247="","",IFERROR(IF(INDEX(Hierarchy!$F$2:$F$1295,MATCH($D1247,Hierarchy!$A$2:$A$1295,0))="","",INDEX(Hierarchy!$F$2:$F$1295,MATCH($D1247,Hierarchy!$A$2:$A$1295,0))),"NODE NOT FOUND"))</f>
        <v>Oman</v>
      </c>
      <c r="J1247" s="7" t="str">
        <f aca="false">IF($D1247="","",IFERROR(IF(INDEX(Hierarchy!$G$2:$G$1295,MATCH($D1247,Hierarchy!$A$2:$A$1295,0))="","",INDEX(Hierarchy!$G$2:$G$1295,MATCH($D1247,Hierarchy!$A$2:$A$1295,0))),"NODE NOT FOUND"))</f>
        <v>OMN</v>
      </c>
      <c r="K1247" s="7" t="str">
        <f aca="false">IF($D1247="","",IFERROR(IF(INDEX(Hierarchy!$H$2:$H$1295,MATCH($D1247,Hierarchy!$A$2:$A$1295,0))="","",INDEX(Hierarchy!$H$2:$H$1295,MATCH($D1247,Hierarchy!$A$2:$A$1295,0))),"NODE NOT FOUND"))</f>
        <v/>
      </c>
      <c r="L1247" s="7" t="str">
        <f aca="false">IF($D1247="","",IFERROR(IF(INDEX(Hierarchy!$I$2:$I$1295,MATCH($D1247,Hierarchy!$A$2:$A$1295,0))="","",INDEX(Hierarchy!$I$2:$I$1295,MATCH($D1247,Hierarchy!$A$2:$A$1295,0))),"NODE NOT FOUND"))</f>
        <v/>
      </c>
      <c r="M1247" s="17" t="str">
        <f aca="false">IF(B1247="Pre-seeded","Pre-seeded",IF(B1247="Review 2026-09-16","Added from review",IF(C1247="","New",IF(C1247=D1247,"","Changed"))))</f>
        <v>Pre-seeded</v>
      </c>
      <c r="N1247" s="7" t="str">
        <f aca="false">TRIM(SUBSTITUTE(SUBSTITUTE(SUBSTITUTE(" "&amp;TRIM(SUBSTITUTE(SUBSTITUTE(SUBSTITUTE(SUBSTITUTE(SUBSTITUTE(SUBSTITUTE(SUBSTITUTE(SUBSTITUTE(SUBSTITUTE(SUBSTITUTE(SUBSTITUTE(SUBSTITUTE(SUBSTITUTE(SUBSTITUTE(SUBSTITUTE(UPPER(TRIM(A1247)),"[MEMBER]",""),"{MEMBER}",""),"[MEMBER}",""),"MEMBER]",""),"(A)",""),"""",""),"“",""),"”",""),".",""),":",""),",",""),"–"," "),"-"," "),"/"," "),"&amp;"," AND "))&amp;" "," THE "," ")," TOTAL "," ")," OPERATIONS "," "))</f>
        <v>OMAN</v>
      </c>
      <c r="O1247" s="17" t="str">
        <f aca="false">IF(COUNTIFS($N$2:$N$2000,N1247,$D$2:$D$2000,"&lt;&gt;"&amp;D1247)&gt;0,"CONFLICT","")</f>
        <v/>
      </c>
      <c r="P1247" s="7"/>
    </row>
    <row r="1248" customFormat="false" ht="15" hidden="false" customHeight="false" outlineLevel="0" collapsed="false">
      <c r="A1248" s="7" t="s">
        <v>1161</v>
      </c>
      <c r="B1248" s="7" t="s">
        <v>1879</v>
      </c>
      <c r="C1248" s="7"/>
      <c r="D1248" s="6" t="s">
        <v>1161</v>
      </c>
      <c r="E1248" s="6" t="s">
        <v>1880</v>
      </c>
      <c r="F1248" s="7" t="str">
        <f aca="false">IF($D1248="","",IFERROR(IF(INDEX(Hierarchy!$B$2:$B$1295,MATCH($D1248,Hierarchy!$A$2:$A$1295,0))="","",INDEX(Hierarchy!$B$2:$B$1295,MATCH($D1248,Hierarchy!$A$2:$A$1295,0))),"NODE NOT FOUND"))</f>
        <v>State/Province</v>
      </c>
      <c r="G1248" s="7" t="str">
        <f aca="false">IF($D1248="","",IFERROR(IF(INDEX(Hierarchy!$D$2:$D$1295,MATCH($D1248,Hierarchy!$A$2:$A$1295,0))="","",INDEX(Hierarchy!$D$2:$D$1295,MATCH($D1248,Hierarchy!$A$2:$A$1295,0))),"NODE NOT FOUND"))</f>
        <v>EMEA</v>
      </c>
      <c r="H1248" s="7" t="str">
        <f aca="false">IF($D1248="","",IFERROR(IF(INDEX(Hierarchy!$E$2:$E$1295,MATCH($D1248,Hierarchy!$A$2:$A$1295,0))="","",INDEX(Hierarchy!$E$2:$E$1295,MATCH($D1248,Hierarchy!$A$2:$A$1295,0))),"NODE NOT FOUND"))</f>
        <v>Africa</v>
      </c>
      <c r="I1248" s="7" t="str">
        <f aca="false">IF($D1248="","",IFERROR(IF(INDEX(Hierarchy!$F$2:$F$1295,MATCH($D1248,Hierarchy!$A$2:$A$1295,0))="","",INDEX(Hierarchy!$F$2:$F$1295,MATCH($D1248,Hierarchy!$A$2:$A$1295,0))),"NODE NOT FOUND"))</f>
        <v>Nigeria</v>
      </c>
      <c r="J1248" s="7" t="str">
        <f aca="false">IF($D1248="","",IFERROR(IF(INDEX(Hierarchy!$G$2:$G$1295,MATCH($D1248,Hierarchy!$A$2:$A$1295,0))="","",INDEX(Hierarchy!$G$2:$G$1295,MATCH($D1248,Hierarchy!$A$2:$A$1295,0))),"NODE NOT FOUND"))</f>
        <v>NGA</v>
      </c>
      <c r="K1248" s="7" t="str">
        <f aca="false">IF($D1248="","",IFERROR(IF(INDEX(Hierarchy!$H$2:$H$1295,MATCH($D1248,Hierarchy!$A$2:$A$1295,0))="","",INDEX(Hierarchy!$H$2:$H$1295,MATCH($D1248,Hierarchy!$A$2:$A$1295,0))),"NODE NOT FOUND"))</f>
        <v>Ondo</v>
      </c>
      <c r="L1248" s="7" t="str">
        <f aca="false">IF($D1248="","",IFERROR(IF(INDEX(Hierarchy!$I$2:$I$1295,MATCH($D1248,Hierarchy!$A$2:$A$1295,0))="","",INDEX(Hierarchy!$I$2:$I$1295,MATCH($D1248,Hierarchy!$A$2:$A$1295,0))),"NODE NOT FOUND"))</f>
        <v/>
      </c>
      <c r="M1248" s="17" t="str">
        <f aca="false">IF(B1248="Pre-seeded","Pre-seeded",IF(B1248="Review 2026-09-16","Added from review",IF(C1248="","New",IF(C1248=D1248,"","Changed"))))</f>
        <v>Pre-seeded</v>
      </c>
      <c r="N1248" s="7" t="str">
        <f aca="false">TRIM(SUBSTITUTE(SUBSTITUTE(SUBSTITUTE(" "&amp;TRIM(SUBSTITUTE(SUBSTITUTE(SUBSTITUTE(SUBSTITUTE(SUBSTITUTE(SUBSTITUTE(SUBSTITUTE(SUBSTITUTE(SUBSTITUTE(SUBSTITUTE(SUBSTITUTE(SUBSTITUTE(SUBSTITUTE(SUBSTITUTE(SUBSTITUTE(UPPER(TRIM(A1248)),"[MEMBER]",""),"{MEMBER}",""),"[MEMBER}",""),"MEMBER]",""),"(A)",""),"""",""),"“",""),"”",""),".",""),":",""),",",""),"–"," "),"-"," "),"/"," "),"&amp;"," AND "))&amp;" "," THE "," ")," TOTAL "," ")," OPERATIONS "," "))</f>
        <v>ONDO</v>
      </c>
      <c r="O1248" s="17" t="str">
        <f aca="false">IF(COUNTIFS($N$2:$N$2000,N1248,$D$2:$D$2000,"&lt;&gt;"&amp;D1248)&gt;0,"CONFLICT","")</f>
        <v/>
      </c>
      <c r="P1248" s="7"/>
    </row>
    <row r="1249" customFormat="false" ht="15" hidden="false" customHeight="false" outlineLevel="0" collapsed="false">
      <c r="A1249" s="7" t="s">
        <v>2478</v>
      </c>
      <c r="B1249" s="7" t="s">
        <v>1882</v>
      </c>
      <c r="C1249" s="7" t="s">
        <v>2478</v>
      </c>
      <c r="D1249" s="6" t="s">
        <v>293</v>
      </c>
      <c r="E1249" s="6" t="s">
        <v>1880</v>
      </c>
      <c r="F1249" s="7" t="str">
        <f aca="false">IF($D1249="","",IFERROR(IF(INDEX(Hierarchy!$B$2:$B$1295,MATCH($D1249,Hierarchy!$A$2:$A$1295,0))="","",INDEX(Hierarchy!$B$2:$B$1295,MATCH($D1249,Hierarchy!$A$2:$A$1295,0))),"NODE NOT FOUND"))</f>
        <v>State/Province</v>
      </c>
      <c r="G1249" s="7" t="str">
        <f aca="false">IF($D1249="","",IFERROR(IF(INDEX(Hierarchy!$D$2:$D$1295,MATCH($D1249,Hierarchy!$A$2:$A$1295,0))="","",INDEX(Hierarchy!$D$2:$D$1295,MATCH($D1249,Hierarchy!$A$2:$A$1295,0))),"NODE NOT FOUND"))</f>
        <v>AMER</v>
      </c>
      <c r="H1249" s="7" t="str">
        <f aca="false">IF($D1249="","",IFERROR(IF(INDEX(Hierarchy!$E$2:$E$1295,MATCH($D1249,Hierarchy!$A$2:$A$1295,0))="","",INDEX(Hierarchy!$E$2:$E$1295,MATCH($D1249,Hierarchy!$A$2:$A$1295,0))),"NODE NOT FOUND"))</f>
        <v>North America (NORAM)</v>
      </c>
      <c r="I1249" s="7" t="str">
        <f aca="false">IF($D1249="","",IFERROR(IF(INDEX(Hierarchy!$F$2:$F$1295,MATCH($D1249,Hierarchy!$A$2:$A$1295,0))="","",INDEX(Hierarchy!$F$2:$F$1295,MATCH($D1249,Hierarchy!$A$2:$A$1295,0))),"NODE NOT FOUND"))</f>
        <v>Canada</v>
      </c>
      <c r="J1249" s="7" t="str">
        <f aca="false">IF($D1249="","",IFERROR(IF(INDEX(Hierarchy!$G$2:$G$1295,MATCH($D1249,Hierarchy!$A$2:$A$1295,0))="","",INDEX(Hierarchy!$G$2:$G$1295,MATCH($D1249,Hierarchy!$A$2:$A$1295,0))),"NODE NOT FOUND"))</f>
        <v>CAN</v>
      </c>
      <c r="K1249" s="7" t="str">
        <f aca="false">IF($D1249="","",IFERROR(IF(INDEX(Hierarchy!$H$2:$H$1295,MATCH($D1249,Hierarchy!$A$2:$A$1295,0))="","",INDEX(Hierarchy!$H$2:$H$1295,MATCH($D1249,Hierarchy!$A$2:$A$1295,0))),"NODE NOT FOUND"))</f>
        <v>Ontario</v>
      </c>
      <c r="L1249" s="7" t="str">
        <f aca="false">IF($D1249="","",IFERROR(IF(INDEX(Hierarchy!$I$2:$I$1295,MATCH($D1249,Hierarchy!$A$2:$A$1295,0))="","",INDEX(Hierarchy!$I$2:$I$1295,MATCH($D1249,Hierarchy!$A$2:$A$1295,0))),"NODE NOT FOUND"))</f>
        <v/>
      </c>
      <c r="M1249" s="17" t="str">
        <f aca="false">IF(B1249="Pre-seeded","Pre-seeded",IF(B1249="Review 2026-09-16","Added from review",IF(C1249="","New",IF(C1249=D1249,"","Changed"))))</f>
        <v/>
      </c>
      <c r="N1249" s="7" t="str">
        <f aca="false">TRIM(SUBSTITUTE(SUBSTITUTE(SUBSTITUTE(" "&amp;TRIM(SUBSTITUTE(SUBSTITUTE(SUBSTITUTE(SUBSTITUTE(SUBSTITUTE(SUBSTITUTE(SUBSTITUTE(SUBSTITUTE(SUBSTITUTE(SUBSTITUTE(SUBSTITUTE(SUBSTITUTE(SUBSTITUTE(SUBSTITUTE(SUBSTITUTE(UPPER(TRIM(A1249)),"[MEMBER]",""),"{MEMBER}",""),"[MEMBER}",""),"MEMBER]",""),"(A)",""),"""",""),"“",""),"”",""),".",""),":",""),",",""),"–"," "),"-"," "),"/"," "),"&amp;"," AND "))&amp;" "," THE "," ")," TOTAL "," ")," OPERATIONS "," "))</f>
        <v>ONTARIO</v>
      </c>
      <c r="O1249" s="17" t="str">
        <f aca="false">IF(COUNTIFS($N$2:$N$2000,N1249,$D$2:$D$2000,"&lt;&gt;"&amp;D1249)&gt;0,"CONFLICT","")</f>
        <v/>
      </c>
      <c r="P1249" s="7"/>
    </row>
    <row r="1250" customFormat="false" ht="15" hidden="false" customHeight="false" outlineLevel="0" collapsed="false">
      <c r="A1250" s="7" t="s">
        <v>917</v>
      </c>
      <c r="B1250" s="7" t="s">
        <v>1879</v>
      </c>
      <c r="C1250" s="7"/>
      <c r="D1250" s="6" t="s">
        <v>917</v>
      </c>
      <c r="E1250" s="6" t="s">
        <v>1880</v>
      </c>
      <c r="F1250" s="7" t="str">
        <f aca="false">IF($D1250="","",IFERROR(IF(INDEX(Hierarchy!$B$2:$B$1295,MATCH($D1250,Hierarchy!$A$2:$A$1295,0))="","",INDEX(Hierarchy!$B$2:$B$1295,MATCH($D1250,Hierarchy!$A$2:$A$1295,0))),"NODE NOT FOUND"))</f>
        <v>State/Province</v>
      </c>
      <c r="G1250" s="7" t="str">
        <f aca="false">IF($D1250="","",IFERROR(IF(INDEX(Hierarchy!$D$2:$D$1295,MATCH($D1250,Hierarchy!$A$2:$A$1295,0))="","",INDEX(Hierarchy!$D$2:$D$1295,MATCH($D1250,Hierarchy!$A$2:$A$1295,0))),"NODE NOT FOUND"))</f>
        <v>EMEA</v>
      </c>
      <c r="H1250" s="7" t="str">
        <f aca="false">IF($D1250="","",IFERROR(IF(INDEX(Hierarchy!$E$2:$E$1295,MATCH($D1250,Hierarchy!$A$2:$A$1295,0))="","",INDEX(Hierarchy!$E$2:$E$1295,MATCH($D1250,Hierarchy!$A$2:$A$1295,0))),"NODE NOT FOUND"))</f>
        <v>Europe</v>
      </c>
      <c r="I1250" s="7" t="str">
        <f aca="false">IF($D1250="","",IFERROR(IF(INDEX(Hierarchy!$F$2:$F$1295,MATCH($D1250,Hierarchy!$A$2:$A$1295,0))="","",INDEX(Hierarchy!$F$2:$F$1295,MATCH($D1250,Hierarchy!$A$2:$A$1295,0))),"NODE NOT FOUND"))</f>
        <v>Poland</v>
      </c>
      <c r="J1250" s="7" t="str">
        <f aca="false">IF($D1250="","",IFERROR(IF(INDEX(Hierarchy!$G$2:$G$1295,MATCH($D1250,Hierarchy!$A$2:$A$1295,0))="","",INDEX(Hierarchy!$G$2:$G$1295,MATCH($D1250,Hierarchy!$A$2:$A$1295,0))),"NODE NOT FOUND"))</f>
        <v>POL</v>
      </c>
      <c r="K1250" s="7" t="str">
        <f aca="false">IF($D1250="","",IFERROR(IF(INDEX(Hierarchy!$H$2:$H$1295,MATCH($D1250,Hierarchy!$A$2:$A$1295,0))="","",INDEX(Hierarchy!$H$2:$H$1295,MATCH($D1250,Hierarchy!$A$2:$A$1295,0))),"NODE NOT FOUND"))</f>
        <v>Opole</v>
      </c>
      <c r="L1250" s="7" t="str">
        <f aca="false">IF($D1250="","",IFERROR(IF(INDEX(Hierarchy!$I$2:$I$1295,MATCH($D1250,Hierarchy!$A$2:$A$1295,0))="","",INDEX(Hierarchy!$I$2:$I$1295,MATCH($D1250,Hierarchy!$A$2:$A$1295,0))),"NODE NOT FOUND"))</f>
        <v/>
      </c>
      <c r="M1250" s="17" t="str">
        <f aca="false">IF(B1250="Pre-seeded","Pre-seeded",IF(B1250="Review 2026-09-16","Added from review",IF(C1250="","New",IF(C1250=D1250,"","Changed"))))</f>
        <v>Pre-seeded</v>
      </c>
      <c r="N1250" s="7" t="str">
        <f aca="false">TRIM(SUBSTITUTE(SUBSTITUTE(SUBSTITUTE(" "&amp;TRIM(SUBSTITUTE(SUBSTITUTE(SUBSTITUTE(SUBSTITUTE(SUBSTITUTE(SUBSTITUTE(SUBSTITUTE(SUBSTITUTE(SUBSTITUTE(SUBSTITUTE(SUBSTITUTE(SUBSTITUTE(SUBSTITUTE(SUBSTITUTE(SUBSTITUTE(UPPER(TRIM(A1250)),"[MEMBER]",""),"{MEMBER}",""),"[MEMBER}",""),"MEMBER]",""),"(A)",""),"""",""),"“",""),"”",""),".",""),":",""),",",""),"–"," "),"-"," "),"/"," "),"&amp;"," AND "))&amp;" "," THE "," ")," TOTAL "," ")," OPERATIONS "," "))</f>
        <v>OPOLE</v>
      </c>
      <c r="O1250" s="17" t="str">
        <f aca="false">IF(COUNTIFS($N$2:$N$2000,N1250,$D$2:$D$2000,"&lt;&gt;"&amp;D1250)&gt;0,"CONFLICT","")</f>
        <v/>
      </c>
      <c r="P1250" s="7"/>
    </row>
    <row r="1251" customFormat="false" ht="15" hidden="false" customHeight="false" outlineLevel="0" collapsed="false">
      <c r="A1251" s="7" t="s">
        <v>2479</v>
      </c>
      <c r="B1251" s="7" t="s">
        <v>1882</v>
      </c>
      <c r="C1251" s="7" t="s">
        <v>230</v>
      </c>
      <c r="D1251" s="6" t="s">
        <v>230</v>
      </c>
      <c r="E1251" s="6" t="s">
        <v>1880</v>
      </c>
      <c r="F1251" s="7" t="str">
        <f aca="false">IF($D1251="","",IFERROR(IF(INDEX(Hierarchy!$B$2:$B$1295,MATCH($D1251,Hierarchy!$A$2:$A$1295,0))="","",INDEX(Hierarchy!$B$2:$B$1295,MATCH($D1251,Hierarchy!$A$2:$A$1295,0))),"NODE NOT FOUND"))</f>
        <v>State/Province</v>
      </c>
      <c r="G1251" s="7" t="str">
        <f aca="false">IF($D1251="","",IFERROR(IF(INDEX(Hierarchy!$D$2:$D$1295,MATCH($D1251,Hierarchy!$A$2:$A$1295,0))="","",INDEX(Hierarchy!$D$2:$D$1295,MATCH($D1251,Hierarchy!$A$2:$A$1295,0))),"NODE NOT FOUND"))</f>
        <v>AMER</v>
      </c>
      <c r="H1251" s="7" t="str">
        <f aca="false">IF($D1251="","",IFERROR(IF(INDEX(Hierarchy!$E$2:$E$1295,MATCH($D1251,Hierarchy!$A$2:$A$1295,0))="","",INDEX(Hierarchy!$E$2:$E$1295,MATCH($D1251,Hierarchy!$A$2:$A$1295,0))),"NODE NOT FOUND"))</f>
        <v>North America (NORAM)</v>
      </c>
      <c r="I1251" s="7" t="str">
        <f aca="false">IF($D1251="","",IFERROR(IF(INDEX(Hierarchy!$F$2:$F$1295,MATCH($D1251,Hierarchy!$A$2:$A$1295,0))="","",INDEX(Hierarchy!$F$2:$F$1295,MATCH($D1251,Hierarchy!$A$2:$A$1295,0))),"NODE NOT FOUND"))</f>
        <v>United States</v>
      </c>
      <c r="J1251" s="7" t="str">
        <f aca="false">IF($D1251="","",IFERROR(IF(INDEX(Hierarchy!$G$2:$G$1295,MATCH($D1251,Hierarchy!$A$2:$A$1295,0))="","",INDEX(Hierarchy!$G$2:$G$1295,MATCH($D1251,Hierarchy!$A$2:$A$1295,0))),"NODE NOT FOUND"))</f>
        <v>USA</v>
      </c>
      <c r="K1251" s="7" t="str">
        <f aca="false">IF($D1251="","",IFERROR(IF(INDEX(Hierarchy!$H$2:$H$1295,MATCH($D1251,Hierarchy!$A$2:$A$1295,0))="","",INDEX(Hierarchy!$H$2:$H$1295,MATCH($D1251,Hierarchy!$A$2:$A$1295,0))),"NODE NOT FOUND"))</f>
        <v>Oregon</v>
      </c>
      <c r="L1251" s="7" t="str">
        <f aca="false">IF($D1251="","",IFERROR(IF(INDEX(Hierarchy!$I$2:$I$1295,MATCH($D1251,Hierarchy!$A$2:$A$1295,0))="","",INDEX(Hierarchy!$I$2:$I$1295,MATCH($D1251,Hierarchy!$A$2:$A$1295,0))),"NODE NOT FOUND"))</f>
        <v/>
      </c>
      <c r="M1251" s="17" t="str">
        <f aca="false">IF(B1251="Pre-seeded","Pre-seeded",IF(B1251="Review 2026-09-16","Added from review",IF(C1251="","New",IF(C1251=D1251,"","Changed"))))</f>
        <v/>
      </c>
      <c r="N1251" s="7" t="str">
        <f aca="false">TRIM(SUBSTITUTE(SUBSTITUTE(SUBSTITUTE(" "&amp;TRIM(SUBSTITUTE(SUBSTITUTE(SUBSTITUTE(SUBSTITUTE(SUBSTITUTE(SUBSTITUTE(SUBSTITUTE(SUBSTITUTE(SUBSTITUTE(SUBSTITUTE(SUBSTITUTE(SUBSTITUTE(SUBSTITUTE(SUBSTITUTE(SUBSTITUTE(UPPER(TRIM(A1251)),"[MEMBER]",""),"{MEMBER}",""),"[MEMBER}",""),"MEMBER]",""),"(A)",""),"""",""),"“",""),"”",""),".",""),":",""),",",""),"–"," "),"-"," "),"/"," "),"&amp;"," AND "))&amp;" "," THE "," ")," TOTAL "," ")," OPERATIONS "," "))</f>
        <v>OREGON</v>
      </c>
      <c r="O1251" s="17" t="str">
        <f aca="false">IF(COUNTIFS($N$2:$N$2000,N1251,$D$2:$D$2000,"&lt;&gt;"&amp;D1251)&gt;0,"CONFLICT","")</f>
        <v/>
      </c>
      <c r="P1251" s="7"/>
    </row>
    <row r="1252" customFormat="false" ht="15" hidden="false" customHeight="false" outlineLevel="0" collapsed="false">
      <c r="A1252" s="7" t="s">
        <v>230</v>
      </c>
      <c r="B1252" s="7" t="s">
        <v>1882</v>
      </c>
      <c r="C1252" s="7" t="s">
        <v>230</v>
      </c>
      <c r="D1252" s="6" t="s">
        <v>230</v>
      </c>
      <c r="E1252" s="6" t="s">
        <v>1880</v>
      </c>
      <c r="F1252" s="7" t="str">
        <f aca="false">IF($D1252="","",IFERROR(IF(INDEX(Hierarchy!$B$2:$B$1295,MATCH($D1252,Hierarchy!$A$2:$A$1295,0))="","",INDEX(Hierarchy!$B$2:$B$1295,MATCH($D1252,Hierarchy!$A$2:$A$1295,0))),"NODE NOT FOUND"))</f>
        <v>State/Province</v>
      </c>
      <c r="G1252" s="7" t="str">
        <f aca="false">IF($D1252="","",IFERROR(IF(INDEX(Hierarchy!$D$2:$D$1295,MATCH($D1252,Hierarchy!$A$2:$A$1295,0))="","",INDEX(Hierarchy!$D$2:$D$1295,MATCH($D1252,Hierarchy!$A$2:$A$1295,0))),"NODE NOT FOUND"))</f>
        <v>AMER</v>
      </c>
      <c r="H1252" s="7" t="str">
        <f aca="false">IF($D1252="","",IFERROR(IF(INDEX(Hierarchy!$E$2:$E$1295,MATCH($D1252,Hierarchy!$A$2:$A$1295,0))="","",INDEX(Hierarchy!$E$2:$E$1295,MATCH($D1252,Hierarchy!$A$2:$A$1295,0))),"NODE NOT FOUND"))</f>
        <v>North America (NORAM)</v>
      </c>
      <c r="I1252" s="7" t="str">
        <f aca="false">IF($D1252="","",IFERROR(IF(INDEX(Hierarchy!$F$2:$F$1295,MATCH($D1252,Hierarchy!$A$2:$A$1295,0))="","",INDEX(Hierarchy!$F$2:$F$1295,MATCH($D1252,Hierarchy!$A$2:$A$1295,0))),"NODE NOT FOUND"))</f>
        <v>United States</v>
      </c>
      <c r="J1252" s="7" t="str">
        <f aca="false">IF($D1252="","",IFERROR(IF(INDEX(Hierarchy!$G$2:$G$1295,MATCH($D1252,Hierarchy!$A$2:$A$1295,0))="","",INDEX(Hierarchy!$G$2:$G$1295,MATCH($D1252,Hierarchy!$A$2:$A$1295,0))),"NODE NOT FOUND"))</f>
        <v>USA</v>
      </c>
      <c r="K1252" s="7" t="str">
        <f aca="false">IF($D1252="","",IFERROR(IF(INDEX(Hierarchy!$H$2:$H$1295,MATCH($D1252,Hierarchy!$A$2:$A$1295,0))="","",INDEX(Hierarchy!$H$2:$H$1295,MATCH($D1252,Hierarchy!$A$2:$A$1295,0))),"NODE NOT FOUND"))</f>
        <v>Oregon</v>
      </c>
      <c r="L1252" s="7" t="str">
        <f aca="false">IF($D1252="","",IFERROR(IF(INDEX(Hierarchy!$I$2:$I$1295,MATCH($D1252,Hierarchy!$A$2:$A$1295,0))="","",INDEX(Hierarchy!$I$2:$I$1295,MATCH($D1252,Hierarchy!$A$2:$A$1295,0))),"NODE NOT FOUND"))</f>
        <v/>
      </c>
      <c r="M1252" s="17" t="str">
        <f aca="false">IF(B1252="Pre-seeded","Pre-seeded",IF(B1252="Review 2026-09-16","Added from review",IF(C1252="","New",IF(C1252=D1252,"","Changed"))))</f>
        <v/>
      </c>
      <c r="N1252" s="7" t="str">
        <f aca="false">TRIM(SUBSTITUTE(SUBSTITUTE(SUBSTITUTE(" "&amp;TRIM(SUBSTITUTE(SUBSTITUTE(SUBSTITUTE(SUBSTITUTE(SUBSTITUTE(SUBSTITUTE(SUBSTITUTE(SUBSTITUTE(SUBSTITUTE(SUBSTITUTE(SUBSTITUTE(SUBSTITUTE(SUBSTITUTE(SUBSTITUTE(SUBSTITUTE(UPPER(TRIM(A1252)),"[MEMBER]",""),"{MEMBER}",""),"[MEMBER}",""),"MEMBER]",""),"(A)",""),"""",""),"“",""),"”",""),".",""),":",""),",",""),"–"," "),"-"," "),"/"," "),"&amp;"," AND "))&amp;" "," THE "," ")," TOTAL "," ")," OPERATIONS "," "))</f>
        <v>OREGON</v>
      </c>
      <c r="O1252" s="17" t="str">
        <f aca="false">IF(COUNTIFS($N$2:$N$2000,N1252,$D$2:$D$2000,"&lt;&gt;"&amp;D1252)&gt;0,"CONFLICT","")</f>
        <v/>
      </c>
      <c r="P1252" s="7"/>
    </row>
    <row r="1253" customFormat="false" ht="15" hidden="false" customHeight="false" outlineLevel="0" collapsed="false">
      <c r="A1253" s="7" t="s">
        <v>1473</v>
      </c>
      <c r="B1253" s="7" t="s">
        <v>1879</v>
      </c>
      <c r="C1253" s="7"/>
      <c r="D1253" s="6" t="s">
        <v>1473</v>
      </c>
      <c r="E1253" s="6" t="s">
        <v>1880</v>
      </c>
      <c r="F1253" s="7" t="str">
        <f aca="false">IF($D1253="","",IFERROR(IF(INDEX(Hierarchy!$B$2:$B$1295,MATCH($D1253,Hierarchy!$A$2:$A$1295,0))="","",INDEX(Hierarchy!$B$2:$B$1295,MATCH($D1253,Hierarchy!$A$2:$A$1295,0))),"NODE NOT FOUND"))</f>
        <v>State/Province</v>
      </c>
      <c r="G1253" s="7" t="str">
        <f aca="false">IF($D1253="","",IFERROR(IF(INDEX(Hierarchy!$D$2:$D$1295,MATCH($D1253,Hierarchy!$A$2:$A$1295,0))="","",INDEX(Hierarchy!$D$2:$D$1295,MATCH($D1253,Hierarchy!$A$2:$A$1295,0))),"NODE NOT FOUND"))</f>
        <v>APAC</v>
      </c>
      <c r="H1253" s="7" t="str">
        <f aca="false">IF($D1253="","",IFERROR(IF(INDEX(Hierarchy!$E$2:$E$1295,MATCH($D1253,Hierarchy!$A$2:$A$1295,0))="","",INDEX(Hierarchy!$E$2:$E$1295,MATCH($D1253,Hierarchy!$A$2:$A$1295,0))),"NODE NOT FOUND"))</f>
        <v>East Asia</v>
      </c>
      <c r="I1253" s="7" t="str">
        <f aca="false">IF($D1253="","",IFERROR(IF(INDEX(Hierarchy!$F$2:$F$1295,MATCH($D1253,Hierarchy!$A$2:$A$1295,0))="","",INDEX(Hierarchy!$F$2:$F$1295,MATCH($D1253,Hierarchy!$A$2:$A$1295,0))),"NODE NOT FOUND"))</f>
        <v>Japan</v>
      </c>
      <c r="J1253" s="7" t="str">
        <f aca="false">IF($D1253="","",IFERROR(IF(INDEX(Hierarchy!$G$2:$G$1295,MATCH($D1253,Hierarchy!$A$2:$A$1295,0))="","",INDEX(Hierarchy!$G$2:$G$1295,MATCH($D1253,Hierarchy!$A$2:$A$1295,0))),"NODE NOT FOUND"))</f>
        <v>JPN</v>
      </c>
      <c r="K1253" s="7" t="str">
        <f aca="false">IF($D1253="","",IFERROR(IF(INDEX(Hierarchy!$H$2:$H$1295,MATCH($D1253,Hierarchy!$A$2:$A$1295,0))="","",INDEX(Hierarchy!$H$2:$H$1295,MATCH($D1253,Hierarchy!$A$2:$A$1295,0))),"NODE NOT FOUND"))</f>
        <v>Osaka</v>
      </c>
      <c r="L1253" s="7" t="str">
        <f aca="false">IF($D1253="","",IFERROR(IF(INDEX(Hierarchy!$I$2:$I$1295,MATCH($D1253,Hierarchy!$A$2:$A$1295,0))="","",INDEX(Hierarchy!$I$2:$I$1295,MATCH($D1253,Hierarchy!$A$2:$A$1295,0))),"NODE NOT FOUND"))</f>
        <v/>
      </c>
      <c r="M1253" s="17" t="str">
        <f aca="false">IF(B1253="Pre-seeded","Pre-seeded",IF(B1253="Review 2026-09-16","Added from review",IF(C1253="","New",IF(C1253=D1253,"","Changed"))))</f>
        <v>Pre-seeded</v>
      </c>
      <c r="N1253" s="7" t="str">
        <f aca="false">TRIM(SUBSTITUTE(SUBSTITUTE(SUBSTITUTE(" "&amp;TRIM(SUBSTITUTE(SUBSTITUTE(SUBSTITUTE(SUBSTITUTE(SUBSTITUTE(SUBSTITUTE(SUBSTITUTE(SUBSTITUTE(SUBSTITUTE(SUBSTITUTE(SUBSTITUTE(SUBSTITUTE(SUBSTITUTE(SUBSTITUTE(SUBSTITUTE(UPPER(TRIM(A1253)),"[MEMBER]",""),"{MEMBER}",""),"[MEMBER}",""),"MEMBER]",""),"(A)",""),"""",""),"“",""),"”",""),".",""),":",""),",",""),"–"," "),"-"," "),"/"," "),"&amp;"," AND "))&amp;" "," THE "," ")," TOTAL "," ")," OPERATIONS "," "))</f>
        <v>OSAKA</v>
      </c>
      <c r="O1253" s="17" t="str">
        <f aca="false">IF(COUNTIFS($N$2:$N$2000,N1253,$D$2:$D$2000,"&lt;&gt;"&amp;D1253)&gt;0,"CONFLICT","")</f>
        <v/>
      </c>
      <c r="P1253" s="7"/>
    </row>
    <row r="1254" customFormat="false" ht="15" hidden="false" customHeight="false" outlineLevel="0" collapsed="false">
      <c r="A1254" s="7" t="s">
        <v>1162</v>
      </c>
      <c r="B1254" s="7" t="s">
        <v>1879</v>
      </c>
      <c r="C1254" s="7"/>
      <c r="D1254" s="6" t="s">
        <v>1162</v>
      </c>
      <c r="E1254" s="6" t="s">
        <v>1880</v>
      </c>
      <c r="F1254" s="7" t="str">
        <f aca="false">IF($D1254="","",IFERROR(IF(INDEX(Hierarchy!$B$2:$B$1295,MATCH($D1254,Hierarchy!$A$2:$A$1295,0))="","",INDEX(Hierarchy!$B$2:$B$1295,MATCH($D1254,Hierarchy!$A$2:$A$1295,0))),"NODE NOT FOUND"))</f>
        <v>State/Province</v>
      </c>
      <c r="G1254" s="7" t="str">
        <f aca="false">IF($D1254="","",IFERROR(IF(INDEX(Hierarchy!$D$2:$D$1295,MATCH($D1254,Hierarchy!$A$2:$A$1295,0))="","",INDEX(Hierarchy!$D$2:$D$1295,MATCH($D1254,Hierarchy!$A$2:$A$1295,0))),"NODE NOT FOUND"))</f>
        <v>EMEA</v>
      </c>
      <c r="H1254" s="7" t="str">
        <f aca="false">IF($D1254="","",IFERROR(IF(INDEX(Hierarchy!$E$2:$E$1295,MATCH($D1254,Hierarchy!$A$2:$A$1295,0))="","",INDEX(Hierarchy!$E$2:$E$1295,MATCH($D1254,Hierarchy!$A$2:$A$1295,0))),"NODE NOT FOUND"))</f>
        <v>Africa</v>
      </c>
      <c r="I1254" s="7" t="str">
        <f aca="false">IF($D1254="","",IFERROR(IF(INDEX(Hierarchy!$F$2:$F$1295,MATCH($D1254,Hierarchy!$A$2:$A$1295,0))="","",INDEX(Hierarchy!$F$2:$F$1295,MATCH($D1254,Hierarchy!$A$2:$A$1295,0))),"NODE NOT FOUND"))</f>
        <v>Nigeria</v>
      </c>
      <c r="J1254" s="7" t="str">
        <f aca="false">IF($D1254="","",IFERROR(IF(INDEX(Hierarchy!$G$2:$G$1295,MATCH($D1254,Hierarchy!$A$2:$A$1295,0))="","",INDEX(Hierarchy!$G$2:$G$1295,MATCH($D1254,Hierarchy!$A$2:$A$1295,0))),"NODE NOT FOUND"))</f>
        <v>NGA</v>
      </c>
      <c r="K1254" s="7" t="str">
        <f aca="false">IF($D1254="","",IFERROR(IF(INDEX(Hierarchy!$H$2:$H$1295,MATCH($D1254,Hierarchy!$A$2:$A$1295,0))="","",INDEX(Hierarchy!$H$2:$H$1295,MATCH($D1254,Hierarchy!$A$2:$A$1295,0))),"NODE NOT FOUND"))</f>
        <v>Osun</v>
      </c>
      <c r="L1254" s="7" t="str">
        <f aca="false">IF($D1254="","",IFERROR(IF(INDEX(Hierarchy!$I$2:$I$1295,MATCH($D1254,Hierarchy!$A$2:$A$1295,0))="","",INDEX(Hierarchy!$I$2:$I$1295,MATCH($D1254,Hierarchy!$A$2:$A$1295,0))),"NODE NOT FOUND"))</f>
        <v/>
      </c>
      <c r="M1254" s="17" t="str">
        <f aca="false">IF(B1254="Pre-seeded","Pre-seeded",IF(B1254="Review 2026-09-16","Added from review",IF(C1254="","New",IF(C1254=D1254,"","Changed"))))</f>
        <v>Pre-seeded</v>
      </c>
      <c r="N1254" s="7" t="str">
        <f aca="false">TRIM(SUBSTITUTE(SUBSTITUTE(SUBSTITUTE(" "&amp;TRIM(SUBSTITUTE(SUBSTITUTE(SUBSTITUTE(SUBSTITUTE(SUBSTITUTE(SUBSTITUTE(SUBSTITUTE(SUBSTITUTE(SUBSTITUTE(SUBSTITUTE(SUBSTITUTE(SUBSTITUTE(SUBSTITUTE(SUBSTITUTE(SUBSTITUTE(UPPER(TRIM(A1254)),"[MEMBER]",""),"{MEMBER}",""),"[MEMBER}",""),"MEMBER]",""),"(A)",""),"""",""),"“",""),"”",""),".",""),":",""),",",""),"–"," "),"-"," "),"/"," "),"&amp;"," AND "))&amp;" "," THE "," ")," TOTAL "," ")," OPERATIONS "," "))</f>
        <v>OSUN</v>
      </c>
      <c r="O1254" s="17" t="str">
        <f aca="false">IF(COUNTIFS($N$2:$N$2000,N1254,$D$2:$D$2000,"&lt;&gt;"&amp;D1254)&gt;0,"CONFLICT","")</f>
        <v/>
      </c>
      <c r="P1254" s="7"/>
    </row>
    <row r="1255" customFormat="false" ht="15" hidden="false" customHeight="false" outlineLevel="0" collapsed="false">
      <c r="A1255" s="7" t="s">
        <v>1729</v>
      </c>
      <c r="B1255" s="7" t="s">
        <v>1879</v>
      </c>
      <c r="C1255" s="7"/>
      <c r="D1255" s="6" t="s">
        <v>1729</v>
      </c>
      <c r="E1255" s="6" t="s">
        <v>1880</v>
      </c>
      <c r="F1255" s="7" t="str">
        <f aca="false">IF($D1255="","",IFERROR(IF(INDEX(Hierarchy!$B$2:$B$1295,MATCH($D1255,Hierarchy!$A$2:$A$1295,0))="","",INDEX(Hierarchy!$B$2:$B$1295,MATCH($D1255,Hierarchy!$A$2:$A$1295,0))),"NODE NOT FOUND"))</f>
        <v>State/Province</v>
      </c>
      <c r="G1255" s="7" t="str">
        <f aca="false">IF($D1255="","",IFERROR(IF(INDEX(Hierarchy!$D$2:$D$1295,MATCH($D1255,Hierarchy!$A$2:$A$1295,0))="","",INDEX(Hierarchy!$D$2:$D$1295,MATCH($D1255,Hierarchy!$A$2:$A$1295,0))),"NODE NOT FOUND"))</f>
        <v>APAC</v>
      </c>
      <c r="H1255" s="7" t="str">
        <f aca="false">IF($D1255="","",IFERROR(IF(INDEX(Hierarchy!$E$2:$E$1295,MATCH($D1255,Hierarchy!$A$2:$A$1295,0))="","",INDEX(Hierarchy!$E$2:$E$1295,MATCH($D1255,Hierarchy!$A$2:$A$1295,0))),"NODE NOT FOUND"))</f>
        <v>Oceania (ANZ)</v>
      </c>
      <c r="I1255" s="7" t="str">
        <f aca="false">IF($D1255="","",IFERROR(IF(INDEX(Hierarchy!$F$2:$F$1295,MATCH($D1255,Hierarchy!$A$2:$A$1295,0))="","",INDEX(Hierarchy!$F$2:$F$1295,MATCH($D1255,Hierarchy!$A$2:$A$1295,0))),"NODE NOT FOUND"))</f>
        <v>New Zealand</v>
      </c>
      <c r="J1255" s="7" t="str">
        <f aca="false">IF($D1255="","",IFERROR(IF(INDEX(Hierarchy!$G$2:$G$1295,MATCH($D1255,Hierarchy!$A$2:$A$1295,0))="","",INDEX(Hierarchy!$G$2:$G$1295,MATCH($D1255,Hierarchy!$A$2:$A$1295,0))),"NODE NOT FOUND"))</f>
        <v>NZL</v>
      </c>
      <c r="K1255" s="7" t="str">
        <f aca="false">IF($D1255="","",IFERROR(IF(INDEX(Hierarchy!$H$2:$H$1295,MATCH($D1255,Hierarchy!$A$2:$A$1295,0))="","",INDEX(Hierarchy!$H$2:$H$1295,MATCH($D1255,Hierarchy!$A$2:$A$1295,0))),"NODE NOT FOUND"))</f>
        <v>Otago</v>
      </c>
      <c r="L1255" s="7" t="str">
        <f aca="false">IF($D1255="","",IFERROR(IF(INDEX(Hierarchy!$I$2:$I$1295,MATCH($D1255,Hierarchy!$A$2:$A$1295,0))="","",INDEX(Hierarchy!$I$2:$I$1295,MATCH($D1255,Hierarchy!$A$2:$A$1295,0))),"NODE NOT FOUND"))</f>
        <v/>
      </c>
      <c r="M1255" s="17" t="str">
        <f aca="false">IF(B1255="Pre-seeded","Pre-seeded",IF(B1255="Review 2026-09-16","Added from review",IF(C1255="","New",IF(C1255=D1255,"","Changed"))))</f>
        <v>Pre-seeded</v>
      </c>
      <c r="N1255" s="7" t="str">
        <f aca="false">TRIM(SUBSTITUTE(SUBSTITUTE(SUBSTITUTE(" "&amp;TRIM(SUBSTITUTE(SUBSTITUTE(SUBSTITUTE(SUBSTITUTE(SUBSTITUTE(SUBSTITUTE(SUBSTITUTE(SUBSTITUTE(SUBSTITUTE(SUBSTITUTE(SUBSTITUTE(SUBSTITUTE(SUBSTITUTE(SUBSTITUTE(SUBSTITUTE(UPPER(TRIM(A1255)),"[MEMBER]",""),"{MEMBER}",""),"[MEMBER}",""),"MEMBER]",""),"(A)",""),"""",""),"“",""),"”",""),".",""),":",""),",",""),"–"," "),"-"," "),"/"," "),"&amp;"," AND "))&amp;" "," THE "," ")," TOTAL "," ")," OPERATIONS "," "))</f>
        <v>OTAGO</v>
      </c>
      <c r="O1255" s="17" t="str">
        <f aca="false">IF(COUNTIFS($N$2:$N$2000,N1255,$D$2:$D$2000,"&lt;&gt;"&amp;D1255)&gt;0,"CONFLICT","")</f>
        <v/>
      </c>
      <c r="P1255" s="7"/>
    </row>
    <row r="1256" customFormat="false" ht="15" hidden="false" customHeight="false" outlineLevel="0" collapsed="false">
      <c r="A1256" s="7" t="s">
        <v>1791</v>
      </c>
      <c r="B1256" s="7" t="s">
        <v>1882</v>
      </c>
      <c r="C1256" s="7" t="s">
        <v>1791</v>
      </c>
      <c r="D1256" s="6" t="s">
        <v>1791</v>
      </c>
      <c r="E1256" s="6" t="s">
        <v>1880</v>
      </c>
      <c r="F1256" s="7" t="str">
        <f aca="false">IF($D1256="","",IFERROR(IF(INDEX(Hierarchy!$B$2:$B$1295,MATCH($D1256,Hierarchy!$A$2:$A$1295,0))="","",INDEX(Hierarchy!$B$2:$B$1295,MATCH($D1256,Hierarchy!$A$2:$A$1295,0))),"NODE NOT FOUND"))</f>
        <v>Bucket</v>
      </c>
      <c r="G1256" s="7" t="str">
        <f aca="false">IF($D1256="","",IFERROR(IF(INDEX(Hierarchy!$D$2:$D$1295,MATCH($D1256,Hierarchy!$A$2:$A$1295,0))="","",INDEX(Hierarchy!$D$2:$D$1295,MATCH($D1256,Hierarchy!$A$2:$A$1295,0))),"NODE NOT FOUND"))</f>
        <v>Non-regional</v>
      </c>
      <c r="H1256" s="7" t="str">
        <f aca="false">IF($D1256="","",IFERROR(IF(INDEX(Hierarchy!$E$2:$E$1295,MATCH($D1256,Hierarchy!$A$2:$A$1295,0))="","",INDEX(Hierarchy!$E$2:$E$1295,MATCH($D1256,Hierarchy!$A$2:$A$1295,0))),"NODE NOT FOUND"))</f>
        <v/>
      </c>
      <c r="I1256" s="7" t="str">
        <f aca="false">IF($D1256="","",IFERROR(IF(INDEX(Hierarchy!$F$2:$F$1295,MATCH($D1256,Hierarchy!$A$2:$A$1295,0))="","",INDEX(Hierarchy!$F$2:$F$1295,MATCH($D1256,Hierarchy!$A$2:$A$1295,0))),"NODE NOT FOUND"))</f>
        <v/>
      </c>
      <c r="J1256" s="7" t="str">
        <f aca="false">IF($D1256="","",IFERROR(IF(INDEX(Hierarchy!$G$2:$G$1295,MATCH($D1256,Hierarchy!$A$2:$A$1295,0))="","",INDEX(Hierarchy!$G$2:$G$1295,MATCH($D1256,Hierarchy!$A$2:$A$1295,0))),"NODE NOT FOUND"))</f>
        <v/>
      </c>
      <c r="K1256" s="7" t="str">
        <f aca="false">IF($D1256="","",IFERROR(IF(INDEX(Hierarchy!$H$2:$H$1295,MATCH($D1256,Hierarchy!$A$2:$A$1295,0))="","",INDEX(Hierarchy!$H$2:$H$1295,MATCH($D1256,Hierarchy!$A$2:$A$1295,0))),"NODE NOT FOUND"))</f>
        <v/>
      </c>
      <c r="L1256" s="7" t="str">
        <f aca="false">IF($D1256="","",IFERROR(IF(INDEX(Hierarchy!$I$2:$I$1295,MATCH($D1256,Hierarchy!$A$2:$A$1295,0))="","",INDEX(Hierarchy!$I$2:$I$1295,MATCH($D1256,Hierarchy!$A$2:$A$1295,0))),"NODE NOT FOUND"))</f>
        <v/>
      </c>
      <c r="M1256" s="17" t="str">
        <f aca="false">IF(B1256="Pre-seeded","Pre-seeded",IF(B1256="Review 2026-09-16","Added from review",IF(C1256="","New",IF(C1256=D1256,"","Changed"))))</f>
        <v/>
      </c>
      <c r="N1256" s="7" t="str">
        <f aca="false">TRIM(SUBSTITUTE(SUBSTITUTE(SUBSTITUTE(" "&amp;TRIM(SUBSTITUTE(SUBSTITUTE(SUBSTITUTE(SUBSTITUTE(SUBSTITUTE(SUBSTITUTE(SUBSTITUTE(SUBSTITUTE(SUBSTITUTE(SUBSTITUTE(SUBSTITUTE(SUBSTITUTE(SUBSTITUTE(SUBSTITUTE(SUBSTITUTE(UPPER(TRIM(A1256)),"[MEMBER]",""),"{MEMBER}",""),"[MEMBER}",""),"MEMBER]",""),"(A)",""),"""",""),"“",""),"”",""),".",""),":",""),",",""),"–"," "),"-"," "),"/"," "),"&amp;"," AND "))&amp;" "," THE "," ")," TOTAL "," ")," OPERATIONS "," "))</f>
        <v>OTHER</v>
      </c>
      <c r="O1256" s="17" t="str">
        <f aca="false">IF(COUNTIFS($N$2:$N$2000,N1256,$D$2:$D$2000,"&lt;&gt;"&amp;D1256)&gt;0,"CONFLICT","")</f>
        <v/>
      </c>
      <c r="P1256" s="7"/>
    </row>
    <row r="1257" customFormat="false" ht="15" hidden="false" customHeight="false" outlineLevel="0" collapsed="false">
      <c r="A1257" s="7" t="s">
        <v>2480</v>
      </c>
      <c r="B1257" s="7" t="s">
        <v>1954</v>
      </c>
      <c r="C1257" s="7"/>
      <c r="D1257" s="6" t="s">
        <v>1784</v>
      </c>
      <c r="E1257" s="6" t="s">
        <v>1898</v>
      </c>
      <c r="F1257" s="7" t="str">
        <f aca="false">IF($D1257="","",IFERROR(IF(INDEX(Hierarchy!$B$2:$B$1295,MATCH($D1257,Hierarchy!$A$2:$A$1295,0))="","",INDEX(Hierarchy!$B$2:$B$1295,MATCH($D1257,Hierarchy!$A$2:$A$1295,0))),"NODE NOT FOUND"))</f>
        <v>Bucket</v>
      </c>
      <c r="G1257" s="7" t="str">
        <f aca="false">IF($D1257="","",IFERROR(IF(INDEX(Hierarchy!$D$2:$D$1295,MATCH($D1257,Hierarchy!$A$2:$A$1295,0))="","",INDEX(Hierarchy!$D$2:$D$1295,MATCH($D1257,Hierarchy!$A$2:$A$1295,0))),"NODE NOT FOUND"))</f>
        <v>Non-regional</v>
      </c>
      <c r="H1257" s="7" t="str">
        <f aca="false">IF($D1257="","",IFERROR(IF(INDEX(Hierarchy!$E$2:$E$1295,MATCH($D1257,Hierarchy!$A$2:$A$1295,0))="","",INDEX(Hierarchy!$E$2:$E$1295,MATCH($D1257,Hierarchy!$A$2:$A$1295,0))),"NODE NOT FOUND"))</f>
        <v/>
      </c>
      <c r="I1257" s="7" t="str">
        <f aca="false">IF($D1257="","",IFERROR(IF(INDEX(Hierarchy!$F$2:$F$1295,MATCH($D1257,Hierarchy!$A$2:$A$1295,0))="","",INDEX(Hierarchy!$F$2:$F$1295,MATCH($D1257,Hierarchy!$A$2:$A$1295,0))),"NODE NOT FOUND"))</f>
        <v/>
      </c>
      <c r="J1257" s="7" t="str">
        <f aca="false">IF($D1257="","",IFERROR(IF(INDEX(Hierarchy!$G$2:$G$1295,MATCH($D1257,Hierarchy!$A$2:$A$1295,0))="","",INDEX(Hierarchy!$G$2:$G$1295,MATCH($D1257,Hierarchy!$A$2:$A$1295,0))),"NODE NOT FOUND"))</f>
        <v/>
      </c>
      <c r="K1257" s="7" t="str">
        <f aca="false">IF($D1257="","",IFERROR(IF(INDEX(Hierarchy!$H$2:$H$1295,MATCH($D1257,Hierarchy!$A$2:$A$1295,0))="","",INDEX(Hierarchy!$H$2:$H$1295,MATCH($D1257,Hierarchy!$A$2:$A$1295,0))),"NODE NOT FOUND"))</f>
        <v/>
      </c>
      <c r="L1257" s="7" t="str">
        <f aca="false">IF($D1257="","",IFERROR(IF(INDEX(Hierarchy!$I$2:$I$1295,MATCH($D1257,Hierarchy!$A$2:$A$1295,0))="","",INDEX(Hierarchy!$I$2:$I$1295,MATCH($D1257,Hierarchy!$A$2:$A$1295,0))),"NODE NOT FOUND"))</f>
        <v/>
      </c>
      <c r="M1257" s="17" t="str">
        <f aca="false">IF(B1257="Pre-seeded","Pre-seeded",IF(B1257="Review 2026-09-16","Added from review",IF(C1257="","New",IF(C1257=D1257,"","Changed"))))</f>
        <v>Added from review</v>
      </c>
      <c r="N1257" s="7" t="str">
        <f aca="false">TRIM(SUBSTITUTE(SUBSTITUTE(SUBSTITUTE(" "&amp;TRIM(SUBSTITUTE(SUBSTITUTE(SUBSTITUTE(SUBSTITUTE(SUBSTITUTE(SUBSTITUTE(SUBSTITUTE(SUBSTITUTE(SUBSTITUTE(SUBSTITUTE(SUBSTITUTE(SUBSTITUTE(SUBSTITUTE(SUBSTITUTE(SUBSTITUTE(UPPER(TRIM(A1257)),"[MEMBER]",""),"{MEMBER}",""),"[MEMBER}",""),"MEMBER]",""),"(A)",""),"""",""),"“",""),"”",""),".",""),":",""),",",""),"–"," "),"-"," "),"/"," "),"&amp;"," AND "))&amp;" "," THE "," ")," TOTAL "," ")," OPERATIONS "," "))</f>
        <v>OTHER INTERNATIONAL</v>
      </c>
      <c r="O1257" s="17" t="str">
        <f aca="false">IF(COUNTIFS($N$2:$N$2000,N1257,$D$2:$D$2000,"&lt;&gt;"&amp;D1257)&gt;0,"CONFLICT","")</f>
        <v/>
      </c>
      <c r="P1257" s="7" t="s">
        <v>1955</v>
      </c>
    </row>
    <row r="1258" customFormat="false" ht="15" hidden="false" customHeight="false" outlineLevel="0" collapsed="false">
      <c r="A1258" s="7" t="s">
        <v>2481</v>
      </c>
      <c r="B1258" s="7" t="s">
        <v>1882</v>
      </c>
      <c r="C1258" s="7" t="s">
        <v>1791</v>
      </c>
      <c r="D1258" s="6" t="s">
        <v>1791</v>
      </c>
      <c r="E1258" s="6" t="s">
        <v>1880</v>
      </c>
      <c r="F1258" s="7" t="str">
        <f aca="false">IF($D1258="","",IFERROR(IF(INDEX(Hierarchy!$B$2:$B$1295,MATCH($D1258,Hierarchy!$A$2:$A$1295,0))="","",INDEX(Hierarchy!$B$2:$B$1295,MATCH($D1258,Hierarchy!$A$2:$A$1295,0))),"NODE NOT FOUND"))</f>
        <v>Bucket</v>
      </c>
      <c r="G1258" s="7" t="str">
        <f aca="false">IF($D1258="","",IFERROR(IF(INDEX(Hierarchy!$D$2:$D$1295,MATCH($D1258,Hierarchy!$A$2:$A$1295,0))="","",INDEX(Hierarchy!$D$2:$D$1295,MATCH($D1258,Hierarchy!$A$2:$A$1295,0))),"NODE NOT FOUND"))</f>
        <v>Non-regional</v>
      </c>
      <c r="H1258" s="7" t="str">
        <f aca="false">IF($D1258="","",IFERROR(IF(INDEX(Hierarchy!$E$2:$E$1295,MATCH($D1258,Hierarchy!$A$2:$A$1295,0))="","",INDEX(Hierarchy!$E$2:$E$1295,MATCH($D1258,Hierarchy!$A$2:$A$1295,0))),"NODE NOT FOUND"))</f>
        <v/>
      </c>
      <c r="I1258" s="7" t="str">
        <f aca="false">IF($D1258="","",IFERROR(IF(INDEX(Hierarchy!$F$2:$F$1295,MATCH($D1258,Hierarchy!$A$2:$A$1295,0))="","",INDEX(Hierarchy!$F$2:$F$1295,MATCH($D1258,Hierarchy!$A$2:$A$1295,0))),"NODE NOT FOUND"))</f>
        <v/>
      </c>
      <c r="J1258" s="7" t="str">
        <f aca="false">IF($D1258="","",IFERROR(IF(INDEX(Hierarchy!$G$2:$G$1295,MATCH($D1258,Hierarchy!$A$2:$A$1295,0))="","",INDEX(Hierarchy!$G$2:$G$1295,MATCH($D1258,Hierarchy!$A$2:$A$1295,0))),"NODE NOT FOUND"))</f>
        <v/>
      </c>
      <c r="K1258" s="7" t="str">
        <f aca="false">IF($D1258="","",IFERROR(IF(INDEX(Hierarchy!$H$2:$H$1295,MATCH($D1258,Hierarchy!$A$2:$A$1295,0))="","",INDEX(Hierarchy!$H$2:$H$1295,MATCH($D1258,Hierarchy!$A$2:$A$1295,0))),"NODE NOT FOUND"))</f>
        <v/>
      </c>
      <c r="L1258" s="7" t="str">
        <f aca="false">IF($D1258="","",IFERROR(IF(INDEX(Hierarchy!$I$2:$I$1295,MATCH($D1258,Hierarchy!$A$2:$A$1295,0))="","",INDEX(Hierarchy!$I$2:$I$1295,MATCH($D1258,Hierarchy!$A$2:$A$1295,0))),"NODE NOT FOUND"))</f>
        <v/>
      </c>
      <c r="M1258" s="17" t="str">
        <f aca="false">IF(B1258="Pre-seeded","Pre-seeded",IF(B1258="Review 2026-09-16","Added from review",IF(C1258="","New",IF(C1258=D1258,"","Changed"))))</f>
        <v/>
      </c>
      <c r="N1258" s="7" t="str">
        <f aca="false">TRIM(SUBSTITUTE(SUBSTITUTE(SUBSTITUTE(" "&amp;TRIM(SUBSTITUTE(SUBSTITUTE(SUBSTITUTE(SUBSTITUTE(SUBSTITUTE(SUBSTITUTE(SUBSTITUTE(SUBSTITUTE(SUBSTITUTE(SUBSTITUTE(SUBSTITUTE(SUBSTITUTE(SUBSTITUTE(SUBSTITUTE(SUBSTITUTE(UPPER(TRIM(A1258)),"[MEMBER]",""),"{MEMBER}",""),"[MEMBER}",""),"MEMBER]",""),"(A)",""),"""",""),"“",""),"”",""),".",""),":",""),",",""),"–"," "),"-"," "),"/"," "),"&amp;"," AND "))&amp;" "," THE "," ")," TOTAL "," ")," OPERATIONS "," "))</f>
        <v>OTHER</v>
      </c>
      <c r="O1258" s="17" t="str">
        <f aca="false">IF(COUNTIFS($N$2:$N$2000,N1258,$D$2:$D$2000,"&lt;&gt;"&amp;D1258)&gt;0,"CONFLICT","")</f>
        <v/>
      </c>
      <c r="P1258" s="7"/>
    </row>
    <row r="1259" customFormat="false" ht="15" hidden="false" customHeight="false" outlineLevel="0" collapsed="false">
      <c r="A1259" s="7" t="s">
        <v>2482</v>
      </c>
      <c r="B1259" s="7" t="s">
        <v>1885</v>
      </c>
      <c r="C1259" s="7" t="s">
        <v>315</v>
      </c>
      <c r="D1259" s="6" t="s">
        <v>74</v>
      </c>
      <c r="E1259" s="6" t="s">
        <v>1898</v>
      </c>
      <c r="F1259" s="7" t="str">
        <f aca="false">IF($D1259="","",IFERROR(IF(INDEX(Hierarchy!$B$2:$B$1295,MATCH($D1259,Hierarchy!$A$2:$A$1295,0))="","",INDEX(Hierarchy!$B$2:$B$1295,MATCH($D1259,Hierarchy!$A$2:$A$1295,0))),"NODE NOT FOUND"))</f>
        <v>Region</v>
      </c>
      <c r="G1259" s="7" t="str">
        <f aca="false">IF($D1259="","",IFERROR(IF(INDEX(Hierarchy!$D$2:$D$1295,MATCH($D1259,Hierarchy!$A$2:$A$1295,0))="","",INDEX(Hierarchy!$D$2:$D$1295,MATCH($D1259,Hierarchy!$A$2:$A$1295,0))),"NODE NOT FOUND"))</f>
        <v>AMER</v>
      </c>
      <c r="H1259" s="7" t="str">
        <f aca="false">IF($D1259="","",IFERROR(IF(INDEX(Hierarchy!$E$2:$E$1295,MATCH($D1259,Hierarchy!$A$2:$A$1295,0))="","",INDEX(Hierarchy!$E$2:$E$1295,MATCH($D1259,Hierarchy!$A$2:$A$1295,0))),"NODE NOT FOUND"))</f>
        <v/>
      </c>
      <c r="I1259" s="7" t="str">
        <f aca="false">IF($D1259="","",IFERROR(IF(INDEX(Hierarchy!$F$2:$F$1295,MATCH($D1259,Hierarchy!$A$2:$A$1295,0))="","",INDEX(Hierarchy!$F$2:$F$1295,MATCH($D1259,Hierarchy!$A$2:$A$1295,0))),"NODE NOT FOUND"))</f>
        <v/>
      </c>
      <c r="J1259" s="7" t="str">
        <f aca="false">IF($D1259="","",IFERROR(IF(INDEX(Hierarchy!$G$2:$G$1295,MATCH($D1259,Hierarchy!$A$2:$A$1295,0))="","",INDEX(Hierarchy!$G$2:$G$1295,MATCH($D1259,Hierarchy!$A$2:$A$1295,0))),"NODE NOT FOUND"))</f>
        <v/>
      </c>
      <c r="K1259" s="7" t="str">
        <f aca="false">IF($D1259="","",IFERROR(IF(INDEX(Hierarchy!$H$2:$H$1295,MATCH($D1259,Hierarchy!$A$2:$A$1295,0))="","",INDEX(Hierarchy!$H$2:$H$1295,MATCH($D1259,Hierarchy!$A$2:$A$1295,0))),"NODE NOT FOUND"))</f>
        <v/>
      </c>
      <c r="L1259" s="7" t="str">
        <f aca="false">IF($D1259="","",IFERROR(IF(INDEX(Hierarchy!$I$2:$I$1295,MATCH($D1259,Hierarchy!$A$2:$A$1295,0))="","",INDEX(Hierarchy!$I$2:$I$1295,MATCH($D1259,Hierarchy!$A$2:$A$1295,0))),"NODE NOT FOUND"))</f>
        <v/>
      </c>
      <c r="M1259" s="17" t="str">
        <f aca="false">IF(B1259="Pre-seeded","Pre-seeded",IF(B1259="Review 2026-09-16","Added from review",IF(C1259="","New",IF(C1259=D1259,"","Changed"))))</f>
        <v>Changed</v>
      </c>
      <c r="N1259" s="7" t="str">
        <f aca="false">TRIM(SUBSTITUTE(SUBSTITUTE(SUBSTITUTE(" "&amp;TRIM(SUBSTITUTE(SUBSTITUTE(SUBSTITUTE(SUBSTITUTE(SUBSTITUTE(SUBSTITUTE(SUBSTITUTE(SUBSTITUTE(SUBSTITUTE(SUBSTITUTE(SUBSTITUTE(SUBSTITUTE(SUBSTITUTE(SUBSTITUTE(SUBSTITUTE(UPPER(TRIM(A1259)),"[MEMBER]",""),"{MEMBER}",""),"[MEMBER}",""),"MEMBER]",""),"(A)",""),"""",""),"“",""),"”",""),".",""),":",""),",",""),"–"," "),"-"," "),"/"," "),"&amp;"," AND "))&amp;" "," THE "," ")," TOTAL "," ")," OPERATIONS "," "))</f>
        <v>OTHER AMERICAS</v>
      </c>
      <c r="O1259" s="17" t="str">
        <f aca="false">IF(COUNTIFS($N$2:$N$2000,N1259,$D$2:$D$2000,"&lt;&gt;"&amp;D1259)&gt;0,"CONFLICT","")</f>
        <v/>
      </c>
      <c r="P1259" s="7" t="s">
        <v>2483</v>
      </c>
    </row>
    <row r="1260" customFormat="false" ht="15" hidden="false" customHeight="false" outlineLevel="0" collapsed="false">
      <c r="A1260" s="7" t="s">
        <v>2484</v>
      </c>
      <c r="B1260" s="7" t="s">
        <v>1885</v>
      </c>
      <c r="C1260" s="7" t="s">
        <v>1791</v>
      </c>
      <c r="D1260" s="6" t="s">
        <v>1311</v>
      </c>
      <c r="E1260" s="6" t="s">
        <v>1898</v>
      </c>
      <c r="F1260" s="7" t="str">
        <f aca="false">IF($D1260="","",IFERROR(IF(INDEX(Hierarchy!$B$2:$B$1295,MATCH($D1260,Hierarchy!$A$2:$A$1295,0))="","",INDEX(Hierarchy!$B$2:$B$1295,MATCH($D1260,Hierarchy!$A$2:$A$1295,0))),"NODE NOT FOUND"))</f>
        <v>Region</v>
      </c>
      <c r="G1260" s="7" t="str">
        <f aca="false">IF($D1260="","",IFERROR(IF(INDEX(Hierarchy!$D$2:$D$1295,MATCH($D1260,Hierarchy!$A$2:$A$1295,0))="","",INDEX(Hierarchy!$D$2:$D$1295,MATCH($D1260,Hierarchy!$A$2:$A$1295,0))),"NODE NOT FOUND"))</f>
        <v>APAC</v>
      </c>
      <c r="H1260" s="7" t="str">
        <f aca="false">IF($D1260="","",IFERROR(IF(INDEX(Hierarchy!$E$2:$E$1295,MATCH($D1260,Hierarchy!$A$2:$A$1295,0))="","",INDEX(Hierarchy!$E$2:$E$1295,MATCH($D1260,Hierarchy!$A$2:$A$1295,0))),"NODE NOT FOUND"))</f>
        <v/>
      </c>
      <c r="I1260" s="7" t="str">
        <f aca="false">IF($D1260="","",IFERROR(IF(INDEX(Hierarchy!$F$2:$F$1295,MATCH($D1260,Hierarchy!$A$2:$A$1295,0))="","",INDEX(Hierarchy!$F$2:$F$1295,MATCH($D1260,Hierarchy!$A$2:$A$1295,0))),"NODE NOT FOUND"))</f>
        <v/>
      </c>
      <c r="J1260" s="7" t="str">
        <f aca="false">IF($D1260="","",IFERROR(IF(INDEX(Hierarchy!$G$2:$G$1295,MATCH($D1260,Hierarchy!$A$2:$A$1295,0))="","",INDEX(Hierarchy!$G$2:$G$1295,MATCH($D1260,Hierarchy!$A$2:$A$1295,0))),"NODE NOT FOUND"))</f>
        <v/>
      </c>
      <c r="K1260" s="7" t="str">
        <f aca="false">IF($D1260="","",IFERROR(IF(INDEX(Hierarchy!$H$2:$H$1295,MATCH($D1260,Hierarchy!$A$2:$A$1295,0))="","",INDEX(Hierarchy!$H$2:$H$1295,MATCH($D1260,Hierarchy!$A$2:$A$1295,0))),"NODE NOT FOUND"))</f>
        <v/>
      </c>
      <c r="L1260" s="7" t="str">
        <f aca="false">IF($D1260="","",IFERROR(IF(INDEX(Hierarchy!$I$2:$I$1295,MATCH($D1260,Hierarchy!$A$2:$A$1295,0))="","",INDEX(Hierarchy!$I$2:$I$1295,MATCH($D1260,Hierarchy!$A$2:$A$1295,0))),"NODE NOT FOUND"))</f>
        <v/>
      </c>
      <c r="M1260" s="17" t="str">
        <f aca="false">IF(B1260="Pre-seeded","Pre-seeded",IF(B1260="Review 2026-09-16","Added from review",IF(C1260="","New",IF(C1260=D1260,"","Changed"))))</f>
        <v>Changed</v>
      </c>
      <c r="N1260" s="7" t="str">
        <f aca="false">TRIM(SUBSTITUTE(SUBSTITUTE(SUBSTITUTE(" "&amp;TRIM(SUBSTITUTE(SUBSTITUTE(SUBSTITUTE(SUBSTITUTE(SUBSTITUTE(SUBSTITUTE(SUBSTITUTE(SUBSTITUTE(SUBSTITUTE(SUBSTITUTE(SUBSTITUTE(SUBSTITUTE(SUBSTITUTE(SUBSTITUTE(SUBSTITUTE(UPPER(TRIM(A1260)),"[MEMBER]",""),"{MEMBER}",""),"[MEMBER}",""),"MEMBER]",""),"(A)",""),"""",""),"“",""),"”",""),".",""),":",""),",",""),"–"," "),"-"," "),"/"," "),"&amp;"," AND "))&amp;" "," THE "," ")," TOTAL "," ")," OPERATIONS "," "))</f>
        <v>OTHER AP</v>
      </c>
      <c r="O1260" s="17" t="str">
        <f aca="false">IF(COUNTIFS($N$2:$N$2000,N1260,$D$2:$D$2000,"&lt;&gt;"&amp;D1260)&gt;0,"CONFLICT","")</f>
        <v/>
      </c>
      <c r="P1260" s="7" t="s">
        <v>2485</v>
      </c>
    </row>
    <row r="1261" customFormat="false" ht="15" hidden="false" customHeight="false" outlineLevel="0" collapsed="false">
      <c r="A1261" s="7" t="s">
        <v>2486</v>
      </c>
      <c r="B1261" s="7" t="s">
        <v>1885</v>
      </c>
      <c r="C1261" s="7" t="s">
        <v>1926</v>
      </c>
      <c r="D1261" s="6" t="s">
        <v>1311</v>
      </c>
      <c r="E1261" s="6" t="s">
        <v>1898</v>
      </c>
      <c r="F1261" s="7" t="str">
        <f aca="false">IF($D1261="","",IFERROR(IF(INDEX(Hierarchy!$B$2:$B$1295,MATCH($D1261,Hierarchy!$A$2:$A$1295,0))="","",INDEX(Hierarchy!$B$2:$B$1295,MATCH($D1261,Hierarchy!$A$2:$A$1295,0))),"NODE NOT FOUND"))</f>
        <v>Region</v>
      </c>
      <c r="G1261" s="7" t="str">
        <f aca="false">IF($D1261="","",IFERROR(IF(INDEX(Hierarchy!$D$2:$D$1295,MATCH($D1261,Hierarchy!$A$2:$A$1295,0))="","",INDEX(Hierarchy!$D$2:$D$1295,MATCH($D1261,Hierarchy!$A$2:$A$1295,0))),"NODE NOT FOUND"))</f>
        <v>APAC</v>
      </c>
      <c r="H1261" s="7" t="str">
        <f aca="false">IF($D1261="","",IFERROR(IF(INDEX(Hierarchy!$E$2:$E$1295,MATCH($D1261,Hierarchy!$A$2:$A$1295,0))="","",INDEX(Hierarchy!$E$2:$E$1295,MATCH($D1261,Hierarchy!$A$2:$A$1295,0))),"NODE NOT FOUND"))</f>
        <v/>
      </c>
      <c r="I1261" s="7" t="str">
        <f aca="false">IF($D1261="","",IFERROR(IF(INDEX(Hierarchy!$F$2:$F$1295,MATCH($D1261,Hierarchy!$A$2:$A$1295,0))="","",INDEX(Hierarchy!$F$2:$F$1295,MATCH($D1261,Hierarchy!$A$2:$A$1295,0))),"NODE NOT FOUND"))</f>
        <v/>
      </c>
      <c r="J1261" s="7" t="str">
        <f aca="false">IF($D1261="","",IFERROR(IF(INDEX(Hierarchy!$G$2:$G$1295,MATCH($D1261,Hierarchy!$A$2:$A$1295,0))="","",INDEX(Hierarchy!$G$2:$G$1295,MATCH($D1261,Hierarchy!$A$2:$A$1295,0))),"NODE NOT FOUND"))</f>
        <v/>
      </c>
      <c r="K1261" s="7" t="str">
        <f aca="false">IF($D1261="","",IFERROR(IF(INDEX(Hierarchy!$H$2:$H$1295,MATCH($D1261,Hierarchy!$A$2:$A$1295,0))="","",INDEX(Hierarchy!$H$2:$H$1295,MATCH($D1261,Hierarchy!$A$2:$A$1295,0))),"NODE NOT FOUND"))</f>
        <v/>
      </c>
      <c r="L1261" s="7" t="str">
        <f aca="false">IF($D1261="","",IFERROR(IF(INDEX(Hierarchy!$I$2:$I$1295,MATCH($D1261,Hierarchy!$A$2:$A$1295,0))="","",INDEX(Hierarchy!$I$2:$I$1295,MATCH($D1261,Hierarchy!$A$2:$A$1295,0))),"NODE NOT FOUND"))</f>
        <v/>
      </c>
      <c r="M1261" s="17" t="str">
        <f aca="false">IF(B1261="Pre-seeded","Pre-seeded",IF(B1261="Review 2026-09-16","Added from review",IF(C1261="","New",IF(C1261=D1261,"","Changed"))))</f>
        <v>Changed</v>
      </c>
      <c r="N1261" s="7" t="str">
        <f aca="false">TRIM(SUBSTITUTE(SUBSTITUTE(SUBSTITUTE(" "&amp;TRIM(SUBSTITUTE(SUBSTITUTE(SUBSTITUTE(SUBSTITUTE(SUBSTITUTE(SUBSTITUTE(SUBSTITUTE(SUBSTITUTE(SUBSTITUTE(SUBSTITUTE(SUBSTITUTE(SUBSTITUTE(SUBSTITUTE(SUBSTITUTE(SUBSTITUTE(UPPER(TRIM(A1261)),"[MEMBER]",""),"{MEMBER}",""),"[MEMBER}",""),"MEMBER]",""),"(A)",""),"""",""),"“",""),"”",""),".",""),":",""),",",""),"–"," "),"-"," "),"/"," "),"&amp;"," AND "))&amp;" "," THE "," ")," TOTAL "," ")," OPERATIONS "," "))</f>
        <v>OTHER APAC</v>
      </c>
      <c r="O1261" s="17" t="str">
        <f aca="false">IF(COUNTIFS($N$2:$N$2000,N1261,$D$2:$D$2000,"&lt;&gt;"&amp;D1261)&gt;0,"CONFLICT","")</f>
        <v/>
      </c>
      <c r="P1261" s="7"/>
    </row>
    <row r="1262" customFormat="false" ht="15" hidden="false" customHeight="false" outlineLevel="0" collapsed="false">
      <c r="A1262" s="7" t="s">
        <v>2487</v>
      </c>
      <c r="B1262" s="7" t="s">
        <v>1882</v>
      </c>
      <c r="C1262" s="7" t="s">
        <v>1791</v>
      </c>
      <c r="D1262" s="6" t="s">
        <v>1791</v>
      </c>
      <c r="E1262" s="6" t="s">
        <v>1880</v>
      </c>
      <c r="F1262" s="7" t="str">
        <f aca="false">IF($D1262="","",IFERROR(IF(INDEX(Hierarchy!$B$2:$B$1295,MATCH($D1262,Hierarchy!$A$2:$A$1295,0))="","",INDEX(Hierarchy!$B$2:$B$1295,MATCH($D1262,Hierarchy!$A$2:$A$1295,0))),"NODE NOT FOUND"))</f>
        <v>Bucket</v>
      </c>
      <c r="G1262" s="7" t="str">
        <f aca="false">IF($D1262="","",IFERROR(IF(INDEX(Hierarchy!$D$2:$D$1295,MATCH($D1262,Hierarchy!$A$2:$A$1295,0))="","",INDEX(Hierarchy!$D$2:$D$1295,MATCH($D1262,Hierarchy!$A$2:$A$1295,0))),"NODE NOT FOUND"))</f>
        <v>Non-regional</v>
      </c>
      <c r="H1262" s="7" t="str">
        <f aca="false">IF($D1262="","",IFERROR(IF(INDEX(Hierarchy!$E$2:$E$1295,MATCH($D1262,Hierarchy!$A$2:$A$1295,0))="","",INDEX(Hierarchy!$E$2:$E$1295,MATCH($D1262,Hierarchy!$A$2:$A$1295,0))),"NODE NOT FOUND"))</f>
        <v/>
      </c>
      <c r="I1262" s="7" t="str">
        <f aca="false">IF($D1262="","",IFERROR(IF(INDEX(Hierarchy!$F$2:$F$1295,MATCH($D1262,Hierarchy!$A$2:$A$1295,0))="","",INDEX(Hierarchy!$F$2:$F$1295,MATCH($D1262,Hierarchy!$A$2:$A$1295,0))),"NODE NOT FOUND"))</f>
        <v/>
      </c>
      <c r="J1262" s="7" t="str">
        <f aca="false">IF($D1262="","",IFERROR(IF(INDEX(Hierarchy!$G$2:$G$1295,MATCH($D1262,Hierarchy!$A$2:$A$1295,0))="","",INDEX(Hierarchy!$G$2:$G$1295,MATCH($D1262,Hierarchy!$A$2:$A$1295,0))),"NODE NOT FOUND"))</f>
        <v/>
      </c>
      <c r="K1262" s="7" t="str">
        <f aca="false">IF($D1262="","",IFERROR(IF(INDEX(Hierarchy!$H$2:$H$1295,MATCH($D1262,Hierarchy!$A$2:$A$1295,0))="","",INDEX(Hierarchy!$H$2:$H$1295,MATCH($D1262,Hierarchy!$A$2:$A$1295,0))),"NODE NOT FOUND"))</f>
        <v/>
      </c>
      <c r="L1262" s="7" t="str">
        <f aca="false">IF($D1262="","",IFERROR(IF(INDEX(Hierarchy!$I$2:$I$1295,MATCH($D1262,Hierarchy!$A$2:$A$1295,0))="","",INDEX(Hierarchy!$I$2:$I$1295,MATCH($D1262,Hierarchy!$A$2:$A$1295,0))),"NODE NOT FOUND"))</f>
        <v/>
      </c>
      <c r="M1262" s="17" t="str">
        <f aca="false">IF(B1262="Pre-seeded","Pre-seeded",IF(B1262="Review 2026-09-16","Added from review",IF(C1262="","New",IF(C1262=D1262,"","Changed"))))</f>
        <v/>
      </c>
      <c r="N1262" s="7" t="str">
        <f aca="false">TRIM(SUBSTITUTE(SUBSTITUTE(SUBSTITUTE(" "&amp;TRIM(SUBSTITUTE(SUBSTITUTE(SUBSTITUTE(SUBSTITUTE(SUBSTITUTE(SUBSTITUTE(SUBSTITUTE(SUBSTITUTE(SUBSTITUTE(SUBSTITUTE(SUBSTITUTE(SUBSTITUTE(SUBSTITUTE(SUBSTITUTE(SUBSTITUTE(UPPER(TRIM(A1262)),"[MEMBER]",""),"{MEMBER}",""),"[MEMBER}",""),"MEMBER]",""),"(A)",""),"""",""),"“",""),"”",""),".",""),":",""),",",""),"–"," "),"-"," "),"/"," "),"&amp;"," AND "))&amp;" "," THE "," ")," TOTAL "," ")," OPERATIONS "," "))</f>
        <v>OTHER AREAS</v>
      </c>
      <c r="O1262" s="17" t="str">
        <f aca="false">IF(COUNTIFS($N$2:$N$2000,N1262,$D$2:$D$2000,"&lt;&gt;"&amp;D1262)&gt;0,"CONFLICT","")</f>
        <v/>
      </c>
      <c r="P1262" s="7"/>
    </row>
    <row r="1263" customFormat="false" ht="15" hidden="false" customHeight="false" outlineLevel="0" collapsed="false">
      <c r="A1263" s="7" t="s">
        <v>2488</v>
      </c>
      <c r="B1263" s="7" t="s">
        <v>1885</v>
      </c>
      <c r="C1263" s="7" t="s">
        <v>744</v>
      </c>
      <c r="D1263" s="6" t="s">
        <v>744</v>
      </c>
      <c r="E1263" s="6" t="s">
        <v>1898</v>
      </c>
      <c r="F1263" s="7" t="str">
        <f aca="false">IF($D1263="","",IFERROR(IF(INDEX(Hierarchy!$B$2:$B$1295,MATCH($D1263,Hierarchy!$A$2:$A$1295,0))="","",INDEX(Hierarchy!$B$2:$B$1295,MATCH($D1263,Hierarchy!$A$2:$A$1295,0))),"NODE NOT FOUND"))</f>
        <v>Sub-region group</v>
      </c>
      <c r="G1263" s="7" t="str">
        <f aca="false">IF($D1263="","",IFERROR(IF(INDEX(Hierarchy!$D$2:$D$1295,MATCH($D1263,Hierarchy!$A$2:$A$1295,0))="","",INDEX(Hierarchy!$D$2:$D$1295,MATCH($D1263,Hierarchy!$A$2:$A$1295,0))),"NODE NOT FOUND"))</f>
        <v>APAC</v>
      </c>
      <c r="H1263" s="7" t="str">
        <f aca="false">IF($D1263="","",IFERROR(IF(INDEX(Hierarchy!$E$2:$E$1295,MATCH($D1263,Hierarchy!$A$2:$A$1295,0))="","",INDEX(Hierarchy!$E$2:$E$1295,MATCH($D1263,Hierarchy!$A$2:$A$1295,0))),"NODE NOT FOUND"))</f>
        <v/>
      </c>
      <c r="I1263" s="7" t="str">
        <f aca="false">IF($D1263="","",IFERROR(IF(INDEX(Hierarchy!$F$2:$F$1295,MATCH($D1263,Hierarchy!$A$2:$A$1295,0))="","",INDEX(Hierarchy!$F$2:$F$1295,MATCH($D1263,Hierarchy!$A$2:$A$1295,0))),"NODE NOT FOUND"))</f>
        <v/>
      </c>
      <c r="J1263" s="7" t="str">
        <f aca="false">IF($D1263="","",IFERROR(IF(INDEX(Hierarchy!$G$2:$G$1295,MATCH($D1263,Hierarchy!$A$2:$A$1295,0))="","",INDEX(Hierarchy!$G$2:$G$1295,MATCH($D1263,Hierarchy!$A$2:$A$1295,0))),"NODE NOT FOUND"))</f>
        <v/>
      </c>
      <c r="K1263" s="7" t="str">
        <f aca="false">IF($D1263="","",IFERROR(IF(INDEX(Hierarchy!$H$2:$H$1295,MATCH($D1263,Hierarchy!$A$2:$A$1295,0))="","",INDEX(Hierarchy!$H$2:$H$1295,MATCH($D1263,Hierarchy!$A$2:$A$1295,0))),"NODE NOT FOUND"))</f>
        <v/>
      </c>
      <c r="L1263" s="7" t="str">
        <f aca="false">IF($D1263="","",IFERROR(IF(INDEX(Hierarchy!$I$2:$I$1295,MATCH($D1263,Hierarchy!$A$2:$A$1295,0))="","",INDEX(Hierarchy!$I$2:$I$1295,MATCH($D1263,Hierarchy!$A$2:$A$1295,0))),"NODE NOT FOUND"))</f>
        <v/>
      </c>
      <c r="M1263" s="17" t="str">
        <f aca="false">IF(B1263="Pre-seeded","Pre-seeded",IF(B1263="Review 2026-09-16","Added from review",IF(C1263="","New",IF(C1263=D1263,"","Changed"))))</f>
        <v/>
      </c>
      <c r="N1263" s="7" t="str">
        <f aca="false">TRIM(SUBSTITUTE(SUBSTITUTE(SUBSTITUTE(" "&amp;TRIM(SUBSTITUTE(SUBSTITUTE(SUBSTITUTE(SUBSTITUTE(SUBSTITUTE(SUBSTITUTE(SUBSTITUTE(SUBSTITUTE(SUBSTITUTE(SUBSTITUTE(SUBSTITUTE(SUBSTITUTE(SUBSTITUTE(SUBSTITUTE(SUBSTITUTE(UPPER(TRIM(A1263)),"[MEMBER]",""),"{MEMBER}",""),"[MEMBER}",""),"MEMBER]",""),"(A)",""),"""",""),"“",""),"”",""),".",""),":",""),",",""),"–"," "),"-"," "),"/"," "),"&amp;"," AND "))&amp;" "," THE "," ")," TOTAL "," ")," OPERATIONS "," "))</f>
        <v>OTHER ASIA</v>
      </c>
      <c r="O1263" s="17" t="str">
        <f aca="false">IF(COUNTIFS($N$2:$N$2000,N1263,$D$2:$D$2000,"&lt;&gt;"&amp;D1263)&gt;0,"CONFLICT","")</f>
        <v/>
      </c>
      <c r="P1263" s="7"/>
    </row>
    <row r="1264" customFormat="false" ht="15" hidden="false" customHeight="false" outlineLevel="0" collapsed="false">
      <c r="A1264" s="7" t="s">
        <v>2489</v>
      </c>
      <c r="B1264" s="7" t="s">
        <v>1885</v>
      </c>
      <c r="C1264" s="7" t="s">
        <v>744</v>
      </c>
      <c r="D1264" s="6" t="s">
        <v>1311</v>
      </c>
      <c r="E1264" s="6" t="s">
        <v>1898</v>
      </c>
      <c r="F1264" s="7" t="str">
        <f aca="false">IF($D1264="","",IFERROR(IF(INDEX(Hierarchy!$B$2:$B$1295,MATCH($D1264,Hierarchy!$A$2:$A$1295,0))="","",INDEX(Hierarchy!$B$2:$B$1295,MATCH($D1264,Hierarchy!$A$2:$A$1295,0))),"NODE NOT FOUND"))</f>
        <v>Region</v>
      </c>
      <c r="G1264" s="7" t="str">
        <f aca="false">IF($D1264="","",IFERROR(IF(INDEX(Hierarchy!$D$2:$D$1295,MATCH($D1264,Hierarchy!$A$2:$A$1295,0))="","",INDEX(Hierarchy!$D$2:$D$1295,MATCH($D1264,Hierarchy!$A$2:$A$1295,0))),"NODE NOT FOUND"))</f>
        <v>APAC</v>
      </c>
      <c r="H1264" s="7" t="str">
        <f aca="false">IF($D1264="","",IFERROR(IF(INDEX(Hierarchy!$E$2:$E$1295,MATCH($D1264,Hierarchy!$A$2:$A$1295,0))="","",INDEX(Hierarchy!$E$2:$E$1295,MATCH($D1264,Hierarchy!$A$2:$A$1295,0))),"NODE NOT FOUND"))</f>
        <v/>
      </c>
      <c r="I1264" s="7" t="str">
        <f aca="false">IF($D1264="","",IFERROR(IF(INDEX(Hierarchy!$F$2:$F$1295,MATCH($D1264,Hierarchy!$A$2:$A$1295,0))="","",INDEX(Hierarchy!$F$2:$F$1295,MATCH($D1264,Hierarchy!$A$2:$A$1295,0))),"NODE NOT FOUND"))</f>
        <v/>
      </c>
      <c r="J1264" s="7" t="str">
        <f aca="false">IF($D1264="","",IFERROR(IF(INDEX(Hierarchy!$G$2:$G$1295,MATCH($D1264,Hierarchy!$A$2:$A$1295,0))="","",INDEX(Hierarchy!$G$2:$G$1295,MATCH($D1264,Hierarchy!$A$2:$A$1295,0))),"NODE NOT FOUND"))</f>
        <v/>
      </c>
      <c r="K1264" s="7" t="str">
        <f aca="false">IF($D1264="","",IFERROR(IF(INDEX(Hierarchy!$H$2:$H$1295,MATCH($D1264,Hierarchy!$A$2:$A$1295,0))="","",INDEX(Hierarchy!$H$2:$H$1295,MATCH($D1264,Hierarchy!$A$2:$A$1295,0))),"NODE NOT FOUND"))</f>
        <v/>
      </c>
      <c r="L1264" s="7" t="str">
        <f aca="false">IF($D1264="","",IFERROR(IF(INDEX(Hierarchy!$I$2:$I$1295,MATCH($D1264,Hierarchy!$A$2:$A$1295,0))="","",INDEX(Hierarchy!$I$2:$I$1295,MATCH($D1264,Hierarchy!$A$2:$A$1295,0))),"NODE NOT FOUND"))</f>
        <v/>
      </c>
      <c r="M1264" s="17" t="str">
        <f aca="false">IF(B1264="Pre-seeded","Pre-seeded",IF(B1264="Review 2026-09-16","Added from review",IF(C1264="","New",IF(C1264=D1264,"","Changed"))))</f>
        <v>Changed</v>
      </c>
      <c r="N1264" s="7" t="str">
        <f aca="false">TRIM(SUBSTITUTE(SUBSTITUTE(SUBSTITUTE(" "&amp;TRIM(SUBSTITUTE(SUBSTITUTE(SUBSTITUTE(SUBSTITUTE(SUBSTITUTE(SUBSTITUTE(SUBSTITUTE(SUBSTITUTE(SUBSTITUTE(SUBSTITUTE(SUBSTITUTE(SUBSTITUTE(SUBSTITUTE(SUBSTITUTE(SUBSTITUTE(UPPER(TRIM(A1264)),"[MEMBER]",""),"{MEMBER}",""),"[MEMBER}",""),"MEMBER]",""),"(A)",""),"""",""),"“",""),"”",""),".",""),":",""),",",""),"–"," "),"-"," "),"/"," "),"&amp;"," AND "))&amp;" "," THE "," ")," TOTAL "," ")," OPERATIONS "," "))</f>
        <v>OTHER ASIA PACIFIC</v>
      </c>
      <c r="O1264" s="17" t="str">
        <f aca="false">IF(COUNTIFS($N$2:$N$2000,N1264,$D$2:$D$2000,"&lt;&gt;"&amp;D1264)&gt;0,"CONFLICT","")</f>
        <v/>
      </c>
      <c r="P1264" s="7"/>
    </row>
    <row r="1265" customFormat="false" ht="15" hidden="false" customHeight="false" outlineLevel="0" collapsed="false">
      <c r="A1265" s="7" t="s">
        <v>2490</v>
      </c>
      <c r="B1265" s="7" t="s">
        <v>1885</v>
      </c>
      <c r="C1265" s="7" t="s">
        <v>1791</v>
      </c>
      <c r="D1265" s="6" t="s">
        <v>1791</v>
      </c>
      <c r="E1265" s="6" t="s">
        <v>1898</v>
      </c>
      <c r="F1265" s="7" t="str">
        <f aca="false">IF($D1265="","",IFERROR(IF(INDEX(Hierarchy!$B$2:$B$1295,MATCH($D1265,Hierarchy!$A$2:$A$1295,0))="","",INDEX(Hierarchy!$B$2:$B$1295,MATCH($D1265,Hierarchy!$A$2:$A$1295,0))),"NODE NOT FOUND"))</f>
        <v>Bucket</v>
      </c>
      <c r="G1265" s="7" t="str">
        <f aca="false">IF($D1265="","",IFERROR(IF(INDEX(Hierarchy!$D$2:$D$1295,MATCH($D1265,Hierarchy!$A$2:$A$1295,0))="","",INDEX(Hierarchy!$D$2:$D$1295,MATCH($D1265,Hierarchy!$A$2:$A$1295,0))),"NODE NOT FOUND"))</f>
        <v>Non-regional</v>
      </c>
      <c r="H1265" s="7" t="str">
        <f aca="false">IF($D1265="","",IFERROR(IF(INDEX(Hierarchy!$E$2:$E$1295,MATCH($D1265,Hierarchy!$A$2:$A$1295,0))="","",INDEX(Hierarchy!$E$2:$E$1295,MATCH($D1265,Hierarchy!$A$2:$A$1295,0))),"NODE NOT FOUND"))</f>
        <v/>
      </c>
      <c r="I1265" s="7" t="str">
        <f aca="false">IF($D1265="","",IFERROR(IF(INDEX(Hierarchy!$F$2:$F$1295,MATCH($D1265,Hierarchy!$A$2:$A$1295,0))="","",INDEX(Hierarchy!$F$2:$F$1295,MATCH($D1265,Hierarchy!$A$2:$A$1295,0))),"NODE NOT FOUND"))</f>
        <v/>
      </c>
      <c r="J1265" s="7" t="str">
        <f aca="false">IF($D1265="","",IFERROR(IF(INDEX(Hierarchy!$G$2:$G$1295,MATCH($D1265,Hierarchy!$A$2:$A$1295,0))="","",INDEX(Hierarchy!$G$2:$G$1295,MATCH($D1265,Hierarchy!$A$2:$A$1295,0))),"NODE NOT FOUND"))</f>
        <v/>
      </c>
      <c r="K1265" s="7" t="str">
        <f aca="false">IF($D1265="","",IFERROR(IF(INDEX(Hierarchy!$H$2:$H$1295,MATCH($D1265,Hierarchy!$A$2:$A$1295,0))="","",INDEX(Hierarchy!$H$2:$H$1295,MATCH($D1265,Hierarchy!$A$2:$A$1295,0))),"NODE NOT FOUND"))</f>
        <v/>
      </c>
      <c r="L1265" s="7" t="str">
        <f aca="false">IF($D1265="","",IFERROR(IF(INDEX(Hierarchy!$I$2:$I$1295,MATCH($D1265,Hierarchy!$A$2:$A$1295,0))="","",INDEX(Hierarchy!$I$2:$I$1295,MATCH($D1265,Hierarchy!$A$2:$A$1295,0))),"NODE NOT FOUND"))</f>
        <v/>
      </c>
      <c r="M1265" s="17" t="str">
        <f aca="false">IF(B1265="Pre-seeded","Pre-seeded",IF(B1265="Review 2026-09-16","Added from review",IF(C1265="","New",IF(C1265=D1265,"","Changed"))))</f>
        <v/>
      </c>
      <c r="N1265" s="7" t="str">
        <f aca="false">TRIM(SUBSTITUTE(SUBSTITUTE(SUBSTITUTE(" "&amp;TRIM(SUBSTITUTE(SUBSTITUTE(SUBSTITUTE(SUBSTITUTE(SUBSTITUTE(SUBSTITUTE(SUBSTITUTE(SUBSTITUTE(SUBSTITUTE(SUBSTITUTE(SUBSTITUTE(SUBSTITUTE(SUBSTITUTE(SUBSTITUTE(SUBSTITUTE(UPPER(TRIM(A1265)),"[MEMBER]",""),"{MEMBER}",""),"[MEMBER}",""),"MEMBER]",""),"(A)",""),"""",""),"“",""),"”",""),".",""),":",""),",",""),"–"," "),"-"," "),"/"," "),"&amp;"," AND "))&amp;" "," THE "," ")," TOTAL "," ")," OPERATIONS "," "))</f>
        <v>OTHER COUNTRIES</v>
      </c>
      <c r="O1265" s="17" t="str">
        <f aca="false">IF(COUNTIFS($N$2:$N$2000,N1265,$D$2:$D$2000,"&lt;&gt;"&amp;D1265)&gt;0,"CONFLICT","")</f>
        <v/>
      </c>
      <c r="P1265" s="7"/>
    </row>
    <row r="1266" customFormat="false" ht="15" hidden="false" customHeight="false" outlineLevel="0" collapsed="false">
      <c r="A1266" s="7" t="s">
        <v>2491</v>
      </c>
      <c r="B1266" s="7" t="s">
        <v>1885</v>
      </c>
      <c r="C1266" s="7" t="s">
        <v>1424</v>
      </c>
      <c r="D1266" s="6" t="s">
        <v>1784</v>
      </c>
      <c r="E1266" s="6" t="s">
        <v>1891</v>
      </c>
      <c r="F1266" s="7" t="str">
        <f aca="false">IF($D1266="","",IFERROR(IF(INDEX(Hierarchy!$B$2:$B$1295,MATCH($D1266,Hierarchy!$A$2:$A$1295,0))="","",INDEX(Hierarchy!$B$2:$B$1295,MATCH($D1266,Hierarchy!$A$2:$A$1295,0))),"NODE NOT FOUND"))</f>
        <v>Bucket</v>
      </c>
      <c r="G1266" s="7" t="str">
        <f aca="false">IF($D1266="","",IFERROR(IF(INDEX(Hierarchy!$D$2:$D$1295,MATCH($D1266,Hierarchy!$A$2:$A$1295,0))="","",INDEX(Hierarchy!$D$2:$D$1295,MATCH($D1266,Hierarchy!$A$2:$A$1295,0))),"NODE NOT FOUND"))</f>
        <v>Non-regional</v>
      </c>
      <c r="H1266" s="7" t="str">
        <f aca="false">IF($D1266="","",IFERROR(IF(INDEX(Hierarchy!$E$2:$E$1295,MATCH($D1266,Hierarchy!$A$2:$A$1295,0))="","",INDEX(Hierarchy!$E$2:$E$1295,MATCH($D1266,Hierarchy!$A$2:$A$1295,0))),"NODE NOT FOUND"))</f>
        <v/>
      </c>
      <c r="I1266" s="7" t="str">
        <f aca="false">IF($D1266="","",IFERROR(IF(INDEX(Hierarchy!$F$2:$F$1295,MATCH($D1266,Hierarchy!$A$2:$A$1295,0))="","",INDEX(Hierarchy!$F$2:$F$1295,MATCH($D1266,Hierarchy!$A$2:$A$1295,0))),"NODE NOT FOUND"))</f>
        <v/>
      </c>
      <c r="J1266" s="7" t="str">
        <f aca="false">IF($D1266="","",IFERROR(IF(INDEX(Hierarchy!$G$2:$G$1295,MATCH($D1266,Hierarchy!$A$2:$A$1295,0))="","",INDEX(Hierarchy!$G$2:$G$1295,MATCH($D1266,Hierarchy!$A$2:$A$1295,0))),"NODE NOT FOUND"))</f>
        <v/>
      </c>
      <c r="K1266" s="7" t="str">
        <f aca="false">IF($D1266="","",IFERROR(IF(INDEX(Hierarchy!$H$2:$H$1295,MATCH($D1266,Hierarchy!$A$2:$A$1295,0))="","",INDEX(Hierarchy!$H$2:$H$1295,MATCH($D1266,Hierarchy!$A$2:$A$1295,0))),"NODE NOT FOUND"))</f>
        <v/>
      </c>
      <c r="L1266" s="7" t="str">
        <f aca="false">IF($D1266="","",IFERROR(IF(INDEX(Hierarchy!$I$2:$I$1295,MATCH($D1266,Hierarchy!$A$2:$A$1295,0))="","",INDEX(Hierarchy!$I$2:$I$1295,MATCH($D1266,Hierarchy!$A$2:$A$1295,0))),"NODE NOT FOUND"))</f>
        <v/>
      </c>
      <c r="M1266" s="17" t="str">
        <f aca="false">IF(B1266="Pre-seeded","Pre-seeded",IF(B1266="Review 2026-09-16","Added from review",IF(C1266="","New",IF(C1266=D1266,"","Changed"))))</f>
        <v>Changed</v>
      </c>
      <c r="N1266" s="7" t="str">
        <f aca="false">TRIM(SUBSTITUTE(SUBSTITUTE(SUBSTITUTE(" "&amp;TRIM(SUBSTITUTE(SUBSTITUTE(SUBSTITUTE(SUBSTITUTE(SUBSTITUTE(SUBSTITUTE(SUBSTITUTE(SUBSTITUTE(SUBSTITUTE(SUBSTITUTE(SUBSTITUTE(SUBSTITUTE(SUBSTITUTE(SUBSTITUTE(SUBSTITUTE(UPPER(TRIM(A1266)),"[MEMBER]",""),"{MEMBER}",""),"[MEMBER}",""),"MEMBER]",""),"(A)",""),"""",""),"“",""),"”",""),".",""),":",""),",",""),"–"," "),"-"," "),"/"," "),"&amp;"," AND "))&amp;" "," THE "," ")," TOTAL "," ")," OPERATIONS "," "))</f>
        <v>OTHER COUNTRIES EXCLUDING UNITED STATES AND JAPAN</v>
      </c>
      <c r="O1266" s="17" t="str">
        <f aca="false">IF(COUNTIFS($N$2:$N$2000,N1266,$D$2:$D$2000,"&lt;&gt;"&amp;D1266)&gt;0,"CONFLICT","")</f>
        <v/>
      </c>
      <c r="P1266" s="7" t="s">
        <v>2492</v>
      </c>
    </row>
    <row r="1267" customFormat="false" ht="15" hidden="false" customHeight="false" outlineLevel="0" collapsed="false">
      <c r="A1267" s="7" t="s">
        <v>2493</v>
      </c>
      <c r="B1267" s="7" t="s">
        <v>1885</v>
      </c>
      <c r="C1267" s="7" t="s">
        <v>1973</v>
      </c>
      <c r="D1267" s="6" t="s">
        <v>613</v>
      </c>
      <c r="E1267" s="6" t="s">
        <v>1898</v>
      </c>
      <c r="F1267" s="7" t="str">
        <f aca="false">IF($D1267="","",IFERROR(IF(INDEX(Hierarchy!$B$2:$B$1295,MATCH($D1267,Hierarchy!$A$2:$A$1295,0))="","",INDEX(Hierarchy!$B$2:$B$1295,MATCH($D1267,Hierarchy!$A$2:$A$1295,0))),"NODE NOT FOUND"))</f>
        <v>Region</v>
      </c>
      <c r="G1267" s="7" t="str">
        <f aca="false">IF($D1267="","",IFERROR(IF(INDEX(Hierarchy!$D$2:$D$1295,MATCH($D1267,Hierarchy!$A$2:$A$1295,0))="","",INDEX(Hierarchy!$D$2:$D$1295,MATCH($D1267,Hierarchy!$A$2:$A$1295,0))),"NODE NOT FOUND"))</f>
        <v>EMEA</v>
      </c>
      <c r="H1267" s="7" t="str">
        <f aca="false">IF($D1267="","",IFERROR(IF(INDEX(Hierarchy!$E$2:$E$1295,MATCH($D1267,Hierarchy!$A$2:$A$1295,0))="","",INDEX(Hierarchy!$E$2:$E$1295,MATCH($D1267,Hierarchy!$A$2:$A$1295,0))),"NODE NOT FOUND"))</f>
        <v/>
      </c>
      <c r="I1267" s="7" t="str">
        <f aca="false">IF($D1267="","",IFERROR(IF(INDEX(Hierarchy!$F$2:$F$1295,MATCH($D1267,Hierarchy!$A$2:$A$1295,0))="","",INDEX(Hierarchy!$F$2:$F$1295,MATCH($D1267,Hierarchy!$A$2:$A$1295,0))),"NODE NOT FOUND"))</f>
        <v/>
      </c>
      <c r="J1267" s="7" t="str">
        <f aca="false">IF($D1267="","",IFERROR(IF(INDEX(Hierarchy!$G$2:$G$1295,MATCH($D1267,Hierarchy!$A$2:$A$1295,0))="","",INDEX(Hierarchy!$G$2:$G$1295,MATCH($D1267,Hierarchy!$A$2:$A$1295,0))),"NODE NOT FOUND"))</f>
        <v/>
      </c>
      <c r="K1267" s="7" t="str">
        <f aca="false">IF($D1267="","",IFERROR(IF(INDEX(Hierarchy!$H$2:$H$1295,MATCH($D1267,Hierarchy!$A$2:$A$1295,0))="","",INDEX(Hierarchy!$H$2:$H$1295,MATCH($D1267,Hierarchy!$A$2:$A$1295,0))),"NODE NOT FOUND"))</f>
        <v/>
      </c>
      <c r="L1267" s="7" t="str">
        <f aca="false">IF($D1267="","",IFERROR(IF(INDEX(Hierarchy!$I$2:$I$1295,MATCH($D1267,Hierarchy!$A$2:$A$1295,0))="","",INDEX(Hierarchy!$I$2:$I$1295,MATCH($D1267,Hierarchy!$A$2:$A$1295,0))),"NODE NOT FOUND"))</f>
        <v/>
      </c>
      <c r="M1267" s="17" t="str">
        <f aca="false">IF(B1267="Pre-seeded","Pre-seeded",IF(B1267="Review 2026-09-16","Added from review",IF(C1267="","New",IF(C1267=D1267,"","Changed"))))</f>
        <v>Changed</v>
      </c>
      <c r="N1267" s="7" t="str">
        <f aca="false">TRIM(SUBSTITUTE(SUBSTITUTE(SUBSTITUTE(" "&amp;TRIM(SUBSTITUTE(SUBSTITUTE(SUBSTITUTE(SUBSTITUTE(SUBSTITUTE(SUBSTITUTE(SUBSTITUTE(SUBSTITUTE(SUBSTITUTE(SUBSTITUTE(SUBSTITUTE(SUBSTITUTE(SUBSTITUTE(SUBSTITUTE(SUBSTITUTE(UPPER(TRIM(A1267)),"[MEMBER]",""),"{MEMBER}",""),"[MEMBER}",""),"MEMBER]",""),"(A)",""),"""",""),"“",""),"”",""),".",""),":",""),",",""),"–"," "),"-"," "),"/"," "),"&amp;"," AND "))&amp;" "," THE "," ")," TOTAL "," ")," OPERATIONS "," "))</f>
        <v>OTHER EMEA</v>
      </c>
      <c r="O1267" s="17" t="str">
        <f aca="false">IF(COUNTIFS($N$2:$N$2000,N1267,$D$2:$D$2000,"&lt;&gt;"&amp;D1267)&gt;0,"CONFLICT","")</f>
        <v/>
      </c>
      <c r="P1267" s="7"/>
    </row>
    <row r="1268" customFormat="false" ht="15" hidden="false" customHeight="false" outlineLevel="0" collapsed="false">
      <c r="A1268" s="7" t="s">
        <v>2494</v>
      </c>
      <c r="B1268" s="7" t="s">
        <v>1885</v>
      </c>
      <c r="C1268" s="7" t="s">
        <v>629</v>
      </c>
      <c r="D1268" s="6" t="s">
        <v>622</v>
      </c>
      <c r="E1268" s="6" t="s">
        <v>1898</v>
      </c>
      <c r="F1268" s="7" t="str">
        <f aca="false">IF($D1268="","",IFERROR(IF(INDEX(Hierarchy!$B$2:$B$1295,MATCH($D1268,Hierarchy!$A$2:$A$1295,0))="","",INDEX(Hierarchy!$B$2:$B$1295,MATCH($D1268,Hierarchy!$A$2:$A$1295,0))),"NODE NOT FOUND"))</f>
        <v>Sub-region</v>
      </c>
      <c r="G1268" s="7" t="str">
        <f aca="false">IF($D1268="","",IFERROR(IF(INDEX(Hierarchy!$D$2:$D$1295,MATCH($D1268,Hierarchy!$A$2:$A$1295,0))="","",INDEX(Hierarchy!$D$2:$D$1295,MATCH($D1268,Hierarchy!$A$2:$A$1295,0))),"NODE NOT FOUND"))</f>
        <v>EMEA</v>
      </c>
      <c r="H1268" s="7" t="str">
        <f aca="false">IF($D1268="","",IFERROR(IF(INDEX(Hierarchy!$E$2:$E$1295,MATCH($D1268,Hierarchy!$A$2:$A$1295,0))="","",INDEX(Hierarchy!$E$2:$E$1295,MATCH($D1268,Hierarchy!$A$2:$A$1295,0))),"NODE NOT FOUND"))</f>
        <v>Europe</v>
      </c>
      <c r="I1268" s="7" t="str">
        <f aca="false">IF($D1268="","",IFERROR(IF(INDEX(Hierarchy!$F$2:$F$1295,MATCH($D1268,Hierarchy!$A$2:$A$1295,0))="","",INDEX(Hierarchy!$F$2:$F$1295,MATCH($D1268,Hierarchy!$A$2:$A$1295,0))),"NODE NOT FOUND"))</f>
        <v/>
      </c>
      <c r="J1268" s="7" t="str">
        <f aca="false">IF($D1268="","",IFERROR(IF(INDEX(Hierarchy!$G$2:$G$1295,MATCH($D1268,Hierarchy!$A$2:$A$1295,0))="","",INDEX(Hierarchy!$G$2:$G$1295,MATCH($D1268,Hierarchy!$A$2:$A$1295,0))),"NODE NOT FOUND"))</f>
        <v/>
      </c>
      <c r="K1268" s="7" t="str">
        <f aca="false">IF($D1268="","",IFERROR(IF(INDEX(Hierarchy!$H$2:$H$1295,MATCH($D1268,Hierarchy!$A$2:$A$1295,0))="","",INDEX(Hierarchy!$H$2:$H$1295,MATCH($D1268,Hierarchy!$A$2:$A$1295,0))),"NODE NOT FOUND"))</f>
        <v/>
      </c>
      <c r="L1268" s="7" t="str">
        <f aca="false">IF($D1268="","",IFERROR(IF(INDEX(Hierarchy!$I$2:$I$1295,MATCH($D1268,Hierarchy!$A$2:$A$1295,0))="","",INDEX(Hierarchy!$I$2:$I$1295,MATCH($D1268,Hierarchy!$A$2:$A$1295,0))),"NODE NOT FOUND"))</f>
        <v/>
      </c>
      <c r="M1268" s="17" t="str">
        <f aca="false">IF(B1268="Pre-seeded","Pre-seeded",IF(B1268="Review 2026-09-16","Added from review",IF(C1268="","New",IF(C1268=D1268,"","Changed"))))</f>
        <v>Changed</v>
      </c>
      <c r="N1268" s="7" t="str">
        <f aca="false">TRIM(SUBSTITUTE(SUBSTITUTE(SUBSTITUTE(" "&amp;TRIM(SUBSTITUTE(SUBSTITUTE(SUBSTITUTE(SUBSTITUTE(SUBSTITUTE(SUBSTITUTE(SUBSTITUTE(SUBSTITUTE(SUBSTITUTE(SUBSTITUTE(SUBSTITUTE(SUBSTITUTE(SUBSTITUTE(SUBSTITUTE(SUBSTITUTE(UPPER(TRIM(A1268)),"[MEMBER]",""),"{MEMBER}",""),"[MEMBER}",""),"MEMBER]",""),"(A)",""),"""",""),"“",""),"”",""),".",""),":",""),",",""),"–"," "),"-"," "),"/"," "),"&amp;"," AND "))&amp;" "," THE "," ")," TOTAL "," ")," OPERATIONS "," "))</f>
        <v>OTHER EUROPE</v>
      </c>
      <c r="O1268" s="17" t="str">
        <f aca="false">IF(COUNTIFS($N$2:$N$2000,N1268,$D$2:$D$2000,"&lt;&gt;"&amp;D1268)&gt;0,"CONFLICT","")</f>
        <v/>
      </c>
      <c r="P1268" s="7" t="s">
        <v>2495</v>
      </c>
    </row>
    <row r="1269" customFormat="false" ht="15" hidden="false" customHeight="false" outlineLevel="0" collapsed="false">
      <c r="A1269" s="7" t="s">
        <v>2496</v>
      </c>
      <c r="B1269" s="7" t="s">
        <v>1885</v>
      </c>
      <c r="C1269" s="7" t="s">
        <v>622</v>
      </c>
      <c r="D1269" s="6" t="s">
        <v>622</v>
      </c>
      <c r="E1269" s="6" t="s">
        <v>1898</v>
      </c>
      <c r="F1269" s="7" t="str">
        <f aca="false">IF($D1269="","",IFERROR(IF(INDEX(Hierarchy!$B$2:$B$1295,MATCH($D1269,Hierarchy!$A$2:$A$1295,0))="","",INDEX(Hierarchy!$B$2:$B$1295,MATCH($D1269,Hierarchy!$A$2:$A$1295,0))),"NODE NOT FOUND"))</f>
        <v>Sub-region</v>
      </c>
      <c r="G1269" s="7" t="str">
        <f aca="false">IF($D1269="","",IFERROR(IF(INDEX(Hierarchy!$D$2:$D$1295,MATCH($D1269,Hierarchy!$A$2:$A$1295,0))="","",INDEX(Hierarchy!$D$2:$D$1295,MATCH($D1269,Hierarchy!$A$2:$A$1295,0))),"NODE NOT FOUND"))</f>
        <v>EMEA</v>
      </c>
      <c r="H1269" s="7" t="str">
        <f aca="false">IF($D1269="","",IFERROR(IF(INDEX(Hierarchy!$E$2:$E$1295,MATCH($D1269,Hierarchy!$A$2:$A$1295,0))="","",INDEX(Hierarchy!$E$2:$E$1295,MATCH($D1269,Hierarchy!$A$2:$A$1295,0))),"NODE NOT FOUND"))</f>
        <v>Europe</v>
      </c>
      <c r="I1269" s="7" t="str">
        <f aca="false">IF($D1269="","",IFERROR(IF(INDEX(Hierarchy!$F$2:$F$1295,MATCH($D1269,Hierarchy!$A$2:$A$1295,0))="","",INDEX(Hierarchy!$F$2:$F$1295,MATCH($D1269,Hierarchy!$A$2:$A$1295,0))),"NODE NOT FOUND"))</f>
        <v/>
      </c>
      <c r="J1269" s="7" t="str">
        <f aca="false">IF($D1269="","",IFERROR(IF(INDEX(Hierarchy!$G$2:$G$1295,MATCH($D1269,Hierarchy!$A$2:$A$1295,0))="","",INDEX(Hierarchy!$G$2:$G$1295,MATCH($D1269,Hierarchy!$A$2:$A$1295,0))),"NODE NOT FOUND"))</f>
        <v/>
      </c>
      <c r="K1269" s="7" t="str">
        <f aca="false">IF($D1269="","",IFERROR(IF(INDEX(Hierarchy!$H$2:$H$1295,MATCH($D1269,Hierarchy!$A$2:$A$1295,0))="","",INDEX(Hierarchy!$H$2:$H$1295,MATCH($D1269,Hierarchy!$A$2:$A$1295,0))),"NODE NOT FOUND"))</f>
        <v/>
      </c>
      <c r="L1269" s="7" t="str">
        <f aca="false">IF($D1269="","",IFERROR(IF(INDEX(Hierarchy!$I$2:$I$1295,MATCH($D1269,Hierarchy!$A$2:$A$1295,0))="","",INDEX(Hierarchy!$I$2:$I$1295,MATCH($D1269,Hierarchy!$A$2:$A$1295,0))),"NODE NOT FOUND"))</f>
        <v/>
      </c>
      <c r="M1269" s="17" t="str">
        <f aca="false">IF(B1269="Pre-seeded","Pre-seeded",IF(B1269="Review 2026-09-16","Added from review",IF(C1269="","New",IF(C1269=D1269,"","Changed"))))</f>
        <v/>
      </c>
      <c r="N1269" s="7" t="str">
        <f aca="false">TRIM(SUBSTITUTE(SUBSTITUTE(SUBSTITUTE(" "&amp;TRIM(SUBSTITUTE(SUBSTITUTE(SUBSTITUTE(SUBSTITUTE(SUBSTITUTE(SUBSTITUTE(SUBSTITUTE(SUBSTITUTE(SUBSTITUTE(SUBSTITUTE(SUBSTITUTE(SUBSTITUTE(SUBSTITUTE(SUBSTITUTE(SUBSTITUTE(UPPER(TRIM(A1269)),"[MEMBER]",""),"{MEMBER}",""),"[MEMBER}",""),"MEMBER]",""),"(A)",""),"""",""),"“",""),"”",""),".",""),":",""),",",""),"–"," "),"-"," "),"/"," "),"&amp;"," AND "))&amp;" "," THE "," ")," TOTAL "," ")," OPERATIONS "," "))</f>
        <v>OTHER EUROPEAN COUNTRIES</v>
      </c>
      <c r="O1269" s="17" t="str">
        <f aca="false">IF(COUNTIFS($N$2:$N$2000,N1269,$D$2:$D$2000,"&lt;&gt;"&amp;D1269)&gt;0,"CONFLICT","")</f>
        <v/>
      </c>
      <c r="P1269" s="7"/>
    </row>
    <row r="1270" customFormat="false" ht="15" hidden="false" customHeight="false" outlineLevel="0" collapsed="false">
      <c r="A1270" s="7" t="s">
        <v>2497</v>
      </c>
      <c r="B1270" s="7" t="s">
        <v>1885</v>
      </c>
      <c r="C1270" s="7" t="s">
        <v>1791</v>
      </c>
      <c r="D1270" s="6" t="s">
        <v>1784</v>
      </c>
      <c r="E1270" s="6" t="s">
        <v>1898</v>
      </c>
      <c r="F1270" s="7" t="str">
        <f aca="false">IF($D1270="","",IFERROR(IF(INDEX(Hierarchy!$B$2:$B$1295,MATCH($D1270,Hierarchy!$A$2:$A$1295,0))="","",INDEX(Hierarchy!$B$2:$B$1295,MATCH($D1270,Hierarchy!$A$2:$A$1295,0))),"NODE NOT FOUND"))</f>
        <v>Bucket</v>
      </c>
      <c r="G1270" s="7" t="str">
        <f aca="false">IF($D1270="","",IFERROR(IF(INDEX(Hierarchy!$D$2:$D$1295,MATCH($D1270,Hierarchy!$A$2:$A$1295,0))="","",INDEX(Hierarchy!$D$2:$D$1295,MATCH($D1270,Hierarchy!$A$2:$A$1295,0))),"NODE NOT FOUND"))</f>
        <v>Non-regional</v>
      </c>
      <c r="H1270" s="7" t="str">
        <f aca="false">IF($D1270="","",IFERROR(IF(INDEX(Hierarchy!$E$2:$E$1295,MATCH($D1270,Hierarchy!$A$2:$A$1295,0))="","",INDEX(Hierarchy!$E$2:$E$1295,MATCH($D1270,Hierarchy!$A$2:$A$1295,0))),"NODE NOT FOUND"))</f>
        <v/>
      </c>
      <c r="I1270" s="7" t="str">
        <f aca="false">IF($D1270="","",IFERROR(IF(INDEX(Hierarchy!$F$2:$F$1295,MATCH($D1270,Hierarchy!$A$2:$A$1295,0))="","",INDEX(Hierarchy!$F$2:$F$1295,MATCH($D1270,Hierarchy!$A$2:$A$1295,0))),"NODE NOT FOUND"))</f>
        <v/>
      </c>
      <c r="J1270" s="7" t="str">
        <f aca="false">IF($D1270="","",IFERROR(IF(INDEX(Hierarchy!$G$2:$G$1295,MATCH($D1270,Hierarchy!$A$2:$A$1295,0))="","",INDEX(Hierarchy!$G$2:$G$1295,MATCH($D1270,Hierarchy!$A$2:$A$1295,0))),"NODE NOT FOUND"))</f>
        <v/>
      </c>
      <c r="K1270" s="7" t="str">
        <f aca="false">IF($D1270="","",IFERROR(IF(INDEX(Hierarchy!$H$2:$H$1295,MATCH($D1270,Hierarchy!$A$2:$A$1295,0))="","",INDEX(Hierarchy!$H$2:$H$1295,MATCH($D1270,Hierarchy!$A$2:$A$1295,0))),"NODE NOT FOUND"))</f>
        <v/>
      </c>
      <c r="L1270" s="7" t="str">
        <f aca="false">IF($D1270="","",IFERROR(IF(INDEX(Hierarchy!$I$2:$I$1295,MATCH($D1270,Hierarchy!$A$2:$A$1295,0))="","",INDEX(Hierarchy!$I$2:$I$1295,MATCH($D1270,Hierarchy!$A$2:$A$1295,0))),"NODE NOT FOUND"))</f>
        <v/>
      </c>
      <c r="M1270" s="17" t="str">
        <f aca="false">IF(B1270="Pre-seeded","Pre-seeded",IF(B1270="Review 2026-09-16","Added from review",IF(C1270="","New",IF(C1270=D1270,"","Changed"))))</f>
        <v>Changed</v>
      </c>
      <c r="N1270" s="7" t="str">
        <f aca="false">TRIM(SUBSTITUTE(SUBSTITUTE(SUBSTITUTE(" "&amp;TRIM(SUBSTITUTE(SUBSTITUTE(SUBSTITUTE(SUBSTITUTE(SUBSTITUTE(SUBSTITUTE(SUBSTITUTE(SUBSTITUTE(SUBSTITUTE(SUBSTITUTE(SUBSTITUTE(SUBSTITUTE(SUBSTITUTE(SUBSTITUTE(SUBSTITUTE(UPPER(TRIM(A1270)),"[MEMBER]",""),"{MEMBER}",""),"[MEMBER}",""),"MEMBER]",""),"(A)",""),"""",""),"“",""),"”",""),".",""),":",""),",",""),"–"," "),"-"," "),"/"," "),"&amp;"," AND "))&amp;" "," THE "," ")," TOTAL "," ")," OPERATIONS "," "))</f>
        <v>OTHER FOREIGN</v>
      </c>
      <c r="O1270" s="17" t="str">
        <f aca="false">IF(COUNTIFS($N$2:$N$2000,N1270,$D$2:$D$2000,"&lt;&gt;"&amp;D1270)&gt;0,"CONFLICT","")</f>
        <v/>
      </c>
      <c r="P1270" s="7" t="s">
        <v>2498</v>
      </c>
    </row>
    <row r="1271" customFormat="false" ht="15" hidden="false" customHeight="false" outlineLevel="0" collapsed="false">
      <c r="A1271" s="7" t="s">
        <v>2499</v>
      </c>
      <c r="B1271" s="7" t="s">
        <v>1954</v>
      </c>
      <c r="C1271" s="7"/>
      <c r="D1271" s="6" t="s">
        <v>1784</v>
      </c>
      <c r="E1271" s="6" t="s">
        <v>1898</v>
      </c>
      <c r="F1271" s="7" t="str">
        <f aca="false">IF($D1271="","",IFERROR(IF(INDEX(Hierarchy!$B$2:$B$1295,MATCH($D1271,Hierarchy!$A$2:$A$1295,0))="","",INDEX(Hierarchy!$B$2:$B$1295,MATCH($D1271,Hierarchy!$A$2:$A$1295,0))),"NODE NOT FOUND"))</f>
        <v>Bucket</v>
      </c>
      <c r="G1271" s="7" t="str">
        <f aca="false">IF($D1271="","",IFERROR(IF(INDEX(Hierarchy!$D$2:$D$1295,MATCH($D1271,Hierarchy!$A$2:$A$1295,0))="","",INDEX(Hierarchy!$D$2:$D$1295,MATCH($D1271,Hierarchy!$A$2:$A$1295,0))),"NODE NOT FOUND"))</f>
        <v>Non-regional</v>
      </c>
      <c r="H1271" s="7" t="str">
        <f aca="false">IF($D1271="","",IFERROR(IF(INDEX(Hierarchy!$E$2:$E$1295,MATCH($D1271,Hierarchy!$A$2:$A$1295,0))="","",INDEX(Hierarchy!$E$2:$E$1295,MATCH($D1271,Hierarchy!$A$2:$A$1295,0))),"NODE NOT FOUND"))</f>
        <v/>
      </c>
      <c r="I1271" s="7" t="str">
        <f aca="false">IF($D1271="","",IFERROR(IF(INDEX(Hierarchy!$F$2:$F$1295,MATCH($D1271,Hierarchy!$A$2:$A$1295,0))="","",INDEX(Hierarchy!$F$2:$F$1295,MATCH($D1271,Hierarchy!$A$2:$A$1295,0))),"NODE NOT FOUND"))</f>
        <v/>
      </c>
      <c r="J1271" s="7" t="str">
        <f aca="false">IF($D1271="","",IFERROR(IF(INDEX(Hierarchy!$G$2:$G$1295,MATCH($D1271,Hierarchy!$A$2:$A$1295,0))="","",INDEX(Hierarchy!$G$2:$G$1295,MATCH($D1271,Hierarchy!$A$2:$A$1295,0))),"NODE NOT FOUND"))</f>
        <v/>
      </c>
      <c r="K1271" s="7" t="str">
        <f aca="false">IF($D1271="","",IFERROR(IF(INDEX(Hierarchy!$H$2:$H$1295,MATCH($D1271,Hierarchy!$A$2:$A$1295,0))="","",INDEX(Hierarchy!$H$2:$H$1295,MATCH($D1271,Hierarchy!$A$2:$A$1295,0))),"NODE NOT FOUND"))</f>
        <v/>
      </c>
      <c r="L1271" s="7" t="str">
        <f aca="false">IF($D1271="","",IFERROR(IF(INDEX(Hierarchy!$I$2:$I$1295,MATCH($D1271,Hierarchy!$A$2:$A$1295,0))="","",INDEX(Hierarchy!$I$2:$I$1295,MATCH($D1271,Hierarchy!$A$2:$A$1295,0))),"NODE NOT FOUND"))</f>
        <v/>
      </c>
      <c r="M1271" s="17" t="str">
        <f aca="false">IF(B1271="Pre-seeded","Pre-seeded",IF(B1271="Review 2026-09-16","Added from review",IF(C1271="","New",IF(C1271=D1271,"","Changed"))))</f>
        <v>Added from review</v>
      </c>
      <c r="N1271" s="7" t="str">
        <f aca="false">TRIM(SUBSTITUTE(SUBSTITUTE(SUBSTITUTE(" "&amp;TRIM(SUBSTITUTE(SUBSTITUTE(SUBSTITUTE(SUBSTITUTE(SUBSTITUTE(SUBSTITUTE(SUBSTITUTE(SUBSTITUTE(SUBSTITUTE(SUBSTITUTE(SUBSTITUTE(SUBSTITUTE(SUBSTITUTE(SUBSTITUTE(SUBSTITUTE(UPPER(TRIM(A1271)),"[MEMBER]",""),"{MEMBER}",""),"[MEMBER}",""),"MEMBER]",""),"(A)",""),"""",""),"“",""),"”",""),".",""),":",""),",",""),"–"," "),"-"," "),"/"," "),"&amp;"," AND "))&amp;" "," THE "," ")," TOTAL "," ")," OPERATIONS "," "))</f>
        <v>OTHER FOREIGN (1)</v>
      </c>
      <c r="O1271" s="17" t="str">
        <f aca="false">IF(COUNTIFS($N$2:$N$2000,N1271,$D$2:$D$2000,"&lt;&gt;"&amp;D1271)&gt;0,"CONFLICT","")</f>
        <v/>
      </c>
      <c r="P1271" s="7" t="s">
        <v>1968</v>
      </c>
    </row>
    <row r="1272" customFormat="false" ht="15" hidden="false" customHeight="false" outlineLevel="0" collapsed="false">
      <c r="A1272" s="7" t="s">
        <v>2500</v>
      </c>
      <c r="B1272" s="7" t="s">
        <v>1885</v>
      </c>
      <c r="C1272" s="7" t="s">
        <v>1894</v>
      </c>
      <c r="D1272" s="6" t="s">
        <v>1784</v>
      </c>
      <c r="E1272" s="6" t="s">
        <v>1898</v>
      </c>
      <c r="F1272" s="7" t="str">
        <f aca="false">IF($D1272="","",IFERROR(IF(INDEX(Hierarchy!$B$2:$B$1295,MATCH($D1272,Hierarchy!$A$2:$A$1295,0))="","",INDEX(Hierarchy!$B$2:$B$1295,MATCH($D1272,Hierarchy!$A$2:$A$1295,0))),"NODE NOT FOUND"))</f>
        <v>Bucket</v>
      </c>
      <c r="G1272" s="7" t="str">
        <f aca="false">IF($D1272="","",IFERROR(IF(INDEX(Hierarchy!$D$2:$D$1295,MATCH($D1272,Hierarchy!$A$2:$A$1295,0))="","",INDEX(Hierarchy!$D$2:$D$1295,MATCH($D1272,Hierarchy!$A$2:$A$1295,0))),"NODE NOT FOUND"))</f>
        <v>Non-regional</v>
      </c>
      <c r="H1272" s="7" t="str">
        <f aca="false">IF($D1272="","",IFERROR(IF(INDEX(Hierarchy!$E$2:$E$1295,MATCH($D1272,Hierarchy!$A$2:$A$1295,0))="","",INDEX(Hierarchy!$E$2:$E$1295,MATCH($D1272,Hierarchy!$A$2:$A$1295,0))),"NODE NOT FOUND"))</f>
        <v/>
      </c>
      <c r="I1272" s="7" t="str">
        <f aca="false">IF($D1272="","",IFERROR(IF(INDEX(Hierarchy!$F$2:$F$1295,MATCH($D1272,Hierarchy!$A$2:$A$1295,0))="","",INDEX(Hierarchy!$F$2:$F$1295,MATCH($D1272,Hierarchy!$A$2:$A$1295,0))),"NODE NOT FOUND"))</f>
        <v/>
      </c>
      <c r="J1272" s="7" t="str">
        <f aca="false">IF($D1272="","",IFERROR(IF(INDEX(Hierarchy!$G$2:$G$1295,MATCH($D1272,Hierarchy!$A$2:$A$1295,0))="","",INDEX(Hierarchy!$G$2:$G$1295,MATCH($D1272,Hierarchy!$A$2:$A$1295,0))),"NODE NOT FOUND"))</f>
        <v/>
      </c>
      <c r="K1272" s="7" t="str">
        <f aca="false">IF($D1272="","",IFERROR(IF(INDEX(Hierarchy!$H$2:$H$1295,MATCH($D1272,Hierarchy!$A$2:$A$1295,0))="","",INDEX(Hierarchy!$H$2:$H$1295,MATCH($D1272,Hierarchy!$A$2:$A$1295,0))),"NODE NOT FOUND"))</f>
        <v/>
      </c>
      <c r="L1272" s="7" t="str">
        <f aca="false">IF($D1272="","",IFERROR(IF(INDEX(Hierarchy!$I$2:$I$1295,MATCH($D1272,Hierarchy!$A$2:$A$1295,0))="","",INDEX(Hierarchy!$I$2:$I$1295,MATCH($D1272,Hierarchy!$A$2:$A$1295,0))),"NODE NOT FOUND"))</f>
        <v/>
      </c>
      <c r="M1272" s="17" t="str">
        <f aca="false">IF(B1272="Pre-seeded","Pre-seeded",IF(B1272="Review 2026-09-16","Added from review",IF(C1272="","New",IF(C1272=D1272,"","Changed"))))</f>
        <v>Changed</v>
      </c>
      <c r="N1272" s="7" t="str">
        <f aca="false">TRIM(SUBSTITUTE(SUBSTITUTE(SUBSTITUTE(" "&amp;TRIM(SUBSTITUTE(SUBSTITUTE(SUBSTITUTE(SUBSTITUTE(SUBSTITUTE(SUBSTITUTE(SUBSTITUTE(SUBSTITUTE(SUBSTITUTE(SUBSTITUTE(SUBSTITUTE(SUBSTITUTE(SUBSTITUTE(SUBSTITUTE(SUBSTITUTE(UPPER(TRIM(A1272)),"[MEMBER]",""),"{MEMBER}",""),"[MEMBER}",""),"MEMBER]",""),"(A)",""),"""",""),"“",""),"”",""),".",""),":",""),",",""),"–"," "),"-"," "),"/"," "),"&amp;"," AND "))&amp;" "," THE "," ")," TOTAL "," ")," OPERATIONS "," "))</f>
        <v>OTHER FOREIGN COUNTRIES</v>
      </c>
      <c r="O1272" s="17" t="str">
        <f aca="false">IF(COUNTIFS($N$2:$N$2000,N1272,$D$2:$D$2000,"&lt;&gt;"&amp;D1272)&gt;0,"CONFLICT","")</f>
        <v/>
      </c>
      <c r="P1272" s="7" t="s">
        <v>1895</v>
      </c>
    </row>
    <row r="1273" customFormat="false" ht="15" hidden="false" customHeight="false" outlineLevel="0" collapsed="false">
      <c r="A1273" s="7" t="s">
        <v>2501</v>
      </c>
      <c r="B1273" s="7" t="s">
        <v>1885</v>
      </c>
      <c r="C1273" s="7" t="s">
        <v>1894</v>
      </c>
      <c r="D1273" s="6" t="s">
        <v>1784</v>
      </c>
      <c r="E1273" s="6" t="s">
        <v>1898</v>
      </c>
      <c r="F1273" s="7" t="str">
        <f aca="false">IF($D1273="","",IFERROR(IF(INDEX(Hierarchy!$B$2:$B$1295,MATCH($D1273,Hierarchy!$A$2:$A$1295,0))="","",INDEX(Hierarchy!$B$2:$B$1295,MATCH($D1273,Hierarchy!$A$2:$A$1295,0))),"NODE NOT FOUND"))</f>
        <v>Bucket</v>
      </c>
      <c r="G1273" s="7" t="str">
        <f aca="false">IF($D1273="","",IFERROR(IF(INDEX(Hierarchy!$D$2:$D$1295,MATCH($D1273,Hierarchy!$A$2:$A$1295,0))="","",INDEX(Hierarchy!$D$2:$D$1295,MATCH($D1273,Hierarchy!$A$2:$A$1295,0))),"NODE NOT FOUND"))</f>
        <v>Non-regional</v>
      </c>
      <c r="H1273" s="7" t="str">
        <f aca="false">IF($D1273="","",IFERROR(IF(INDEX(Hierarchy!$E$2:$E$1295,MATCH($D1273,Hierarchy!$A$2:$A$1295,0))="","",INDEX(Hierarchy!$E$2:$E$1295,MATCH($D1273,Hierarchy!$A$2:$A$1295,0))),"NODE NOT FOUND"))</f>
        <v/>
      </c>
      <c r="I1273" s="7" t="str">
        <f aca="false">IF($D1273="","",IFERROR(IF(INDEX(Hierarchy!$F$2:$F$1295,MATCH($D1273,Hierarchy!$A$2:$A$1295,0))="","",INDEX(Hierarchy!$F$2:$F$1295,MATCH($D1273,Hierarchy!$A$2:$A$1295,0))),"NODE NOT FOUND"))</f>
        <v/>
      </c>
      <c r="J1273" s="7" t="str">
        <f aca="false">IF($D1273="","",IFERROR(IF(INDEX(Hierarchy!$G$2:$G$1295,MATCH($D1273,Hierarchy!$A$2:$A$1295,0))="","",INDEX(Hierarchy!$G$2:$G$1295,MATCH($D1273,Hierarchy!$A$2:$A$1295,0))),"NODE NOT FOUND"))</f>
        <v/>
      </c>
      <c r="K1273" s="7" t="str">
        <f aca="false">IF($D1273="","",IFERROR(IF(INDEX(Hierarchy!$H$2:$H$1295,MATCH($D1273,Hierarchy!$A$2:$A$1295,0))="","",INDEX(Hierarchy!$H$2:$H$1295,MATCH($D1273,Hierarchy!$A$2:$A$1295,0))),"NODE NOT FOUND"))</f>
        <v/>
      </c>
      <c r="L1273" s="7" t="str">
        <f aca="false">IF($D1273="","",IFERROR(IF(INDEX(Hierarchy!$I$2:$I$1295,MATCH($D1273,Hierarchy!$A$2:$A$1295,0))="","",INDEX(Hierarchy!$I$2:$I$1295,MATCH($D1273,Hierarchy!$A$2:$A$1295,0))),"NODE NOT FOUND"))</f>
        <v/>
      </c>
      <c r="M1273" s="17" t="str">
        <f aca="false">IF(B1273="Pre-seeded","Pre-seeded",IF(B1273="Review 2026-09-16","Added from review",IF(C1273="","New",IF(C1273=D1273,"","Changed"))))</f>
        <v>Changed</v>
      </c>
      <c r="N1273" s="7" t="str">
        <f aca="false">TRIM(SUBSTITUTE(SUBSTITUTE(SUBSTITUTE(" "&amp;TRIM(SUBSTITUTE(SUBSTITUTE(SUBSTITUTE(SUBSTITUTE(SUBSTITUTE(SUBSTITUTE(SUBSTITUTE(SUBSTITUTE(SUBSTITUTE(SUBSTITUTE(SUBSTITUTE(SUBSTITUTE(SUBSTITUTE(SUBSTITUTE(SUBSTITUTE(UPPER(TRIM(A1273)),"[MEMBER]",""),"{MEMBER}",""),"[MEMBER}",""),"MEMBER]",""),"(A)",""),"""",""),"“",""),"”",""),".",""),":",""),",",""),"–"," "),"-"," "),"/"," "),"&amp;"," AND "))&amp;" "," THE "," ")," TOTAL "," ")," OPERATIONS "," "))</f>
        <v>OTHER FOREIGN LOCATIONS</v>
      </c>
      <c r="O1273" s="17" t="str">
        <f aca="false">IF(COUNTIFS($N$2:$N$2000,N1273,$D$2:$D$2000,"&lt;&gt;"&amp;D1273)&gt;0,"CONFLICT","")</f>
        <v/>
      </c>
      <c r="P1273" s="7" t="s">
        <v>1895</v>
      </c>
    </row>
    <row r="1274" customFormat="false" ht="15" hidden="false" customHeight="false" outlineLevel="0" collapsed="false">
      <c r="A1274" s="7" t="s">
        <v>2502</v>
      </c>
      <c r="B1274" s="7" t="s">
        <v>1882</v>
      </c>
      <c r="C1274" s="7" t="s">
        <v>1791</v>
      </c>
      <c r="D1274" s="6" t="s">
        <v>1791</v>
      </c>
      <c r="E1274" s="6" t="s">
        <v>1880</v>
      </c>
      <c r="F1274" s="7" t="str">
        <f aca="false">IF($D1274="","",IFERROR(IF(INDEX(Hierarchy!$B$2:$B$1295,MATCH($D1274,Hierarchy!$A$2:$A$1295,0))="","",INDEX(Hierarchy!$B$2:$B$1295,MATCH($D1274,Hierarchy!$A$2:$A$1295,0))),"NODE NOT FOUND"))</f>
        <v>Bucket</v>
      </c>
      <c r="G1274" s="7" t="str">
        <f aca="false">IF($D1274="","",IFERROR(IF(INDEX(Hierarchy!$D$2:$D$1295,MATCH($D1274,Hierarchy!$A$2:$A$1295,0))="","",INDEX(Hierarchy!$D$2:$D$1295,MATCH($D1274,Hierarchy!$A$2:$A$1295,0))),"NODE NOT FOUND"))</f>
        <v>Non-regional</v>
      </c>
      <c r="H1274" s="7" t="str">
        <f aca="false">IF($D1274="","",IFERROR(IF(INDEX(Hierarchy!$E$2:$E$1295,MATCH($D1274,Hierarchy!$A$2:$A$1295,0))="","",INDEX(Hierarchy!$E$2:$E$1295,MATCH($D1274,Hierarchy!$A$2:$A$1295,0))),"NODE NOT FOUND"))</f>
        <v/>
      </c>
      <c r="I1274" s="7" t="str">
        <f aca="false">IF($D1274="","",IFERROR(IF(INDEX(Hierarchy!$F$2:$F$1295,MATCH($D1274,Hierarchy!$A$2:$A$1295,0))="","",INDEX(Hierarchy!$F$2:$F$1295,MATCH($D1274,Hierarchy!$A$2:$A$1295,0))),"NODE NOT FOUND"))</f>
        <v/>
      </c>
      <c r="J1274" s="7" t="str">
        <f aca="false">IF($D1274="","",IFERROR(IF(INDEX(Hierarchy!$G$2:$G$1295,MATCH($D1274,Hierarchy!$A$2:$A$1295,0))="","",INDEX(Hierarchy!$G$2:$G$1295,MATCH($D1274,Hierarchy!$A$2:$A$1295,0))),"NODE NOT FOUND"))</f>
        <v/>
      </c>
      <c r="K1274" s="7" t="str">
        <f aca="false">IF($D1274="","",IFERROR(IF(INDEX(Hierarchy!$H$2:$H$1295,MATCH($D1274,Hierarchy!$A$2:$A$1295,0))="","",INDEX(Hierarchy!$H$2:$H$1295,MATCH($D1274,Hierarchy!$A$2:$A$1295,0))),"NODE NOT FOUND"))</f>
        <v/>
      </c>
      <c r="L1274" s="7" t="str">
        <f aca="false">IF($D1274="","",IFERROR(IF(INDEX(Hierarchy!$I$2:$I$1295,MATCH($D1274,Hierarchy!$A$2:$A$1295,0))="","",INDEX(Hierarchy!$I$2:$I$1295,MATCH($D1274,Hierarchy!$A$2:$A$1295,0))),"NODE NOT FOUND"))</f>
        <v/>
      </c>
      <c r="M1274" s="17" t="str">
        <f aca="false">IF(B1274="Pre-seeded","Pre-seeded",IF(B1274="Review 2026-09-16","Added from review",IF(C1274="","New",IF(C1274=D1274,"","Changed"))))</f>
        <v/>
      </c>
      <c r="N1274" s="7" t="str">
        <f aca="false">TRIM(SUBSTITUTE(SUBSTITUTE(SUBSTITUTE(" "&amp;TRIM(SUBSTITUTE(SUBSTITUTE(SUBSTITUTE(SUBSTITUTE(SUBSTITUTE(SUBSTITUTE(SUBSTITUTE(SUBSTITUTE(SUBSTITUTE(SUBSTITUTE(SUBSTITUTE(SUBSTITUTE(SUBSTITUTE(SUBSTITUTE(SUBSTITUTE(UPPER(TRIM(A1274)),"[MEMBER]",""),"{MEMBER}",""),"[MEMBER}",""),"MEMBER]",""),"(A)",""),"""",""),"“",""),"”",""),".",""),":",""),",",""),"–"," "),"-"," "),"/"," "),"&amp;"," AND "))&amp;" "," THE "," ")," TOTAL "," ")," OPERATIONS "," "))</f>
        <v>OTHER GEOGRAPHIC AREAS</v>
      </c>
      <c r="O1274" s="17" t="str">
        <f aca="false">IF(COUNTIFS($N$2:$N$2000,N1274,$D$2:$D$2000,"&lt;&gt;"&amp;D1274)&gt;0,"CONFLICT","")</f>
        <v/>
      </c>
      <c r="P1274" s="7"/>
    </row>
    <row r="1275" customFormat="false" ht="15" hidden="false" customHeight="false" outlineLevel="0" collapsed="false">
      <c r="A1275" s="7" t="s">
        <v>2503</v>
      </c>
      <c r="B1275" s="7" t="s">
        <v>1882</v>
      </c>
      <c r="C1275" s="7" t="s">
        <v>1791</v>
      </c>
      <c r="D1275" s="6" t="s">
        <v>1791</v>
      </c>
      <c r="E1275" s="6" t="s">
        <v>1880</v>
      </c>
      <c r="F1275" s="7" t="str">
        <f aca="false">IF($D1275="","",IFERROR(IF(INDEX(Hierarchy!$B$2:$B$1295,MATCH($D1275,Hierarchy!$A$2:$A$1295,0))="","",INDEX(Hierarchy!$B$2:$B$1295,MATCH($D1275,Hierarchy!$A$2:$A$1295,0))),"NODE NOT FOUND"))</f>
        <v>Bucket</v>
      </c>
      <c r="G1275" s="7" t="str">
        <f aca="false">IF($D1275="","",IFERROR(IF(INDEX(Hierarchy!$D$2:$D$1295,MATCH($D1275,Hierarchy!$A$2:$A$1295,0))="","",INDEX(Hierarchy!$D$2:$D$1295,MATCH($D1275,Hierarchy!$A$2:$A$1295,0))),"NODE NOT FOUND"))</f>
        <v>Non-regional</v>
      </c>
      <c r="H1275" s="7" t="str">
        <f aca="false">IF($D1275="","",IFERROR(IF(INDEX(Hierarchy!$E$2:$E$1295,MATCH($D1275,Hierarchy!$A$2:$A$1295,0))="","",INDEX(Hierarchy!$E$2:$E$1295,MATCH($D1275,Hierarchy!$A$2:$A$1295,0))),"NODE NOT FOUND"))</f>
        <v/>
      </c>
      <c r="I1275" s="7" t="str">
        <f aca="false">IF($D1275="","",IFERROR(IF(INDEX(Hierarchy!$F$2:$F$1295,MATCH($D1275,Hierarchy!$A$2:$A$1295,0))="","",INDEX(Hierarchy!$F$2:$F$1295,MATCH($D1275,Hierarchy!$A$2:$A$1295,0))),"NODE NOT FOUND"))</f>
        <v/>
      </c>
      <c r="J1275" s="7" t="str">
        <f aca="false">IF($D1275="","",IFERROR(IF(INDEX(Hierarchy!$G$2:$G$1295,MATCH($D1275,Hierarchy!$A$2:$A$1295,0))="","",INDEX(Hierarchy!$G$2:$G$1295,MATCH($D1275,Hierarchy!$A$2:$A$1295,0))),"NODE NOT FOUND"))</f>
        <v/>
      </c>
      <c r="K1275" s="7" t="str">
        <f aca="false">IF($D1275="","",IFERROR(IF(INDEX(Hierarchy!$H$2:$H$1295,MATCH($D1275,Hierarchy!$A$2:$A$1295,0))="","",INDEX(Hierarchy!$H$2:$H$1295,MATCH($D1275,Hierarchy!$A$2:$A$1295,0))),"NODE NOT FOUND"))</f>
        <v/>
      </c>
      <c r="L1275" s="7" t="str">
        <f aca="false">IF($D1275="","",IFERROR(IF(INDEX(Hierarchy!$I$2:$I$1295,MATCH($D1275,Hierarchy!$A$2:$A$1295,0))="","",INDEX(Hierarchy!$I$2:$I$1295,MATCH($D1275,Hierarchy!$A$2:$A$1295,0))),"NODE NOT FOUND"))</f>
        <v/>
      </c>
      <c r="M1275" s="17" t="str">
        <f aca="false">IF(B1275="Pre-seeded","Pre-seeded",IF(B1275="Review 2026-09-16","Added from review",IF(C1275="","New",IF(C1275=D1275,"","Changed"))))</f>
        <v/>
      </c>
      <c r="N1275" s="7" t="str">
        <f aca="false">TRIM(SUBSTITUTE(SUBSTITUTE(SUBSTITUTE(" "&amp;TRIM(SUBSTITUTE(SUBSTITUTE(SUBSTITUTE(SUBSTITUTE(SUBSTITUTE(SUBSTITUTE(SUBSTITUTE(SUBSTITUTE(SUBSTITUTE(SUBSTITUTE(SUBSTITUTE(SUBSTITUTE(SUBSTITUTE(SUBSTITUTE(SUBSTITUTE(UPPER(TRIM(A1275)),"[MEMBER]",""),"{MEMBER}",""),"[MEMBER}",""),"MEMBER]",""),"(A)",""),"""",""),"“",""),"”",""),".",""),":",""),",",""),"–"," "),"-"," "),"/"," "),"&amp;"," AND "))&amp;" "," THE "," ")," TOTAL "," ")," OPERATIONS "," "))</f>
        <v>OTHER GEOGRAPHIC AREAS</v>
      </c>
      <c r="O1275" s="17" t="str">
        <f aca="false">IF(COUNTIFS($N$2:$N$2000,N1275,$D$2:$D$2000,"&lt;&gt;"&amp;D1275)&gt;0,"CONFLICT","")</f>
        <v/>
      </c>
      <c r="P1275" s="7"/>
    </row>
    <row r="1276" customFormat="false" ht="15" hidden="false" customHeight="false" outlineLevel="0" collapsed="false">
      <c r="A1276" s="7" t="s">
        <v>2504</v>
      </c>
      <c r="B1276" s="7" t="s">
        <v>1882</v>
      </c>
      <c r="C1276" s="7" t="s">
        <v>1791</v>
      </c>
      <c r="D1276" s="6" t="s">
        <v>1791</v>
      </c>
      <c r="E1276" s="6" t="s">
        <v>1880</v>
      </c>
      <c r="F1276" s="7" t="str">
        <f aca="false">IF($D1276="","",IFERROR(IF(INDEX(Hierarchy!$B$2:$B$1295,MATCH($D1276,Hierarchy!$A$2:$A$1295,0))="","",INDEX(Hierarchy!$B$2:$B$1295,MATCH($D1276,Hierarchy!$A$2:$A$1295,0))),"NODE NOT FOUND"))</f>
        <v>Bucket</v>
      </c>
      <c r="G1276" s="7" t="str">
        <f aca="false">IF($D1276="","",IFERROR(IF(INDEX(Hierarchy!$D$2:$D$1295,MATCH($D1276,Hierarchy!$A$2:$A$1295,0))="","",INDEX(Hierarchy!$D$2:$D$1295,MATCH($D1276,Hierarchy!$A$2:$A$1295,0))),"NODE NOT FOUND"))</f>
        <v>Non-regional</v>
      </c>
      <c r="H1276" s="7" t="str">
        <f aca="false">IF($D1276="","",IFERROR(IF(INDEX(Hierarchy!$E$2:$E$1295,MATCH($D1276,Hierarchy!$A$2:$A$1295,0))="","",INDEX(Hierarchy!$E$2:$E$1295,MATCH($D1276,Hierarchy!$A$2:$A$1295,0))),"NODE NOT FOUND"))</f>
        <v/>
      </c>
      <c r="I1276" s="7" t="str">
        <f aca="false">IF($D1276="","",IFERROR(IF(INDEX(Hierarchy!$F$2:$F$1295,MATCH($D1276,Hierarchy!$A$2:$A$1295,0))="","",INDEX(Hierarchy!$F$2:$F$1295,MATCH($D1276,Hierarchy!$A$2:$A$1295,0))),"NODE NOT FOUND"))</f>
        <v/>
      </c>
      <c r="J1276" s="7" t="str">
        <f aca="false">IF($D1276="","",IFERROR(IF(INDEX(Hierarchy!$G$2:$G$1295,MATCH($D1276,Hierarchy!$A$2:$A$1295,0))="","",INDEX(Hierarchy!$G$2:$G$1295,MATCH($D1276,Hierarchy!$A$2:$A$1295,0))),"NODE NOT FOUND"))</f>
        <v/>
      </c>
      <c r="K1276" s="7" t="str">
        <f aca="false">IF($D1276="","",IFERROR(IF(INDEX(Hierarchy!$H$2:$H$1295,MATCH($D1276,Hierarchy!$A$2:$A$1295,0))="","",INDEX(Hierarchy!$H$2:$H$1295,MATCH($D1276,Hierarchy!$A$2:$A$1295,0))),"NODE NOT FOUND"))</f>
        <v/>
      </c>
      <c r="L1276" s="7" t="str">
        <f aca="false">IF($D1276="","",IFERROR(IF(INDEX(Hierarchy!$I$2:$I$1295,MATCH($D1276,Hierarchy!$A$2:$A$1295,0))="","",INDEX(Hierarchy!$I$2:$I$1295,MATCH($D1276,Hierarchy!$A$2:$A$1295,0))),"NODE NOT FOUND"))</f>
        <v/>
      </c>
      <c r="M1276" s="17" t="str">
        <f aca="false">IF(B1276="Pre-seeded","Pre-seeded",IF(B1276="Review 2026-09-16","Added from review",IF(C1276="","New",IF(C1276=D1276,"","Changed"))))</f>
        <v/>
      </c>
      <c r="N1276" s="7" t="str">
        <f aca="false">TRIM(SUBSTITUTE(SUBSTITUTE(SUBSTITUTE(" "&amp;TRIM(SUBSTITUTE(SUBSTITUTE(SUBSTITUTE(SUBSTITUTE(SUBSTITUTE(SUBSTITUTE(SUBSTITUTE(SUBSTITUTE(SUBSTITUTE(SUBSTITUTE(SUBSTITUTE(SUBSTITUTE(SUBSTITUTE(SUBSTITUTE(SUBSTITUTE(UPPER(TRIM(A1276)),"[MEMBER]",""),"{MEMBER}",""),"[MEMBER}",""),"MEMBER]",""),"(A)",""),"""",""),"“",""),"”",""),".",""),":",""),",",""),"–"," "),"-"," "),"/"," "),"&amp;"," AND "))&amp;" "," THE "," ")," TOTAL "," ")," OPERATIONS "," "))</f>
        <v>OTHER GEOGRAPHIC REGION</v>
      </c>
      <c r="O1276" s="17" t="str">
        <f aca="false">IF(COUNTIFS($N$2:$N$2000,N1276,$D$2:$D$2000,"&lt;&gt;"&amp;D1276)&gt;0,"CONFLICT","")</f>
        <v/>
      </c>
      <c r="P1276" s="7"/>
    </row>
    <row r="1277" customFormat="false" ht="15" hidden="false" customHeight="false" outlineLevel="0" collapsed="false">
      <c r="A1277" s="7" t="s">
        <v>2505</v>
      </c>
      <c r="B1277" s="7" t="s">
        <v>1882</v>
      </c>
      <c r="C1277" s="7" t="s">
        <v>1791</v>
      </c>
      <c r="D1277" s="6" t="s">
        <v>1791</v>
      </c>
      <c r="E1277" s="6" t="s">
        <v>1880</v>
      </c>
      <c r="F1277" s="7" t="str">
        <f aca="false">IF($D1277="","",IFERROR(IF(INDEX(Hierarchy!$B$2:$B$1295,MATCH($D1277,Hierarchy!$A$2:$A$1295,0))="","",INDEX(Hierarchy!$B$2:$B$1295,MATCH($D1277,Hierarchy!$A$2:$A$1295,0))),"NODE NOT FOUND"))</f>
        <v>Bucket</v>
      </c>
      <c r="G1277" s="7" t="str">
        <f aca="false">IF($D1277="","",IFERROR(IF(INDEX(Hierarchy!$D$2:$D$1295,MATCH($D1277,Hierarchy!$A$2:$A$1295,0))="","",INDEX(Hierarchy!$D$2:$D$1295,MATCH($D1277,Hierarchy!$A$2:$A$1295,0))),"NODE NOT FOUND"))</f>
        <v>Non-regional</v>
      </c>
      <c r="H1277" s="7" t="str">
        <f aca="false">IF($D1277="","",IFERROR(IF(INDEX(Hierarchy!$E$2:$E$1295,MATCH($D1277,Hierarchy!$A$2:$A$1295,0))="","",INDEX(Hierarchy!$E$2:$E$1295,MATCH($D1277,Hierarchy!$A$2:$A$1295,0))),"NODE NOT FOUND"))</f>
        <v/>
      </c>
      <c r="I1277" s="7" t="str">
        <f aca="false">IF($D1277="","",IFERROR(IF(INDEX(Hierarchy!$F$2:$F$1295,MATCH($D1277,Hierarchy!$A$2:$A$1295,0))="","",INDEX(Hierarchy!$F$2:$F$1295,MATCH($D1277,Hierarchy!$A$2:$A$1295,0))),"NODE NOT FOUND"))</f>
        <v/>
      </c>
      <c r="J1277" s="7" t="str">
        <f aca="false">IF($D1277="","",IFERROR(IF(INDEX(Hierarchy!$G$2:$G$1295,MATCH($D1277,Hierarchy!$A$2:$A$1295,0))="","",INDEX(Hierarchy!$G$2:$G$1295,MATCH($D1277,Hierarchy!$A$2:$A$1295,0))),"NODE NOT FOUND"))</f>
        <v/>
      </c>
      <c r="K1277" s="7" t="str">
        <f aca="false">IF($D1277="","",IFERROR(IF(INDEX(Hierarchy!$H$2:$H$1295,MATCH($D1277,Hierarchy!$A$2:$A$1295,0))="","",INDEX(Hierarchy!$H$2:$H$1295,MATCH($D1277,Hierarchy!$A$2:$A$1295,0))),"NODE NOT FOUND"))</f>
        <v/>
      </c>
      <c r="L1277" s="7" t="str">
        <f aca="false">IF($D1277="","",IFERROR(IF(INDEX(Hierarchy!$I$2:$I$1295,MATCH($D1277,Hierarchy!$A$2:$A$1295,0))="","",INDEX(Hierarchy!$I$2:$I$1295,MATCH($D1277,Hierarchy!$A$2:$A$1295,0))),"NODE NOT FOUND"))</f>
        <v/>
      </c>
      <c r="M1277" s="17" t="str">
        <f aca="false">IF(B1277="Pre-seeded","Pre-seeded",IF(B1277="Review 2026-09-16","Added from review",IF(C1277="","New",IF(C1277=D1277,"","Changed"))))</f>
        <v/>
      </c>
      <c r="N1277" s="7" t="str">
        <f aca="false">TRIM(SUBSTITUTE(SUBSTITUTE(SUBSTITUTE(" "&amp;TRIM(SUBSTITUTE(SUBSTITUTE(SUBSTITUTE(SUBSTITUTE(SUBSTITUTE(SUBSTITUTE(SUBSTITUTE(SUBSTITUTE(SUBSTITUTE(SUBSTITUTE(SUBSTITUTE(SUBSTITUTE(SUBSTITUTE(SUBSTITUTE(SUBSTITUTE(UPPER(TRIM(A1277)),"[MEMBER]",""),"{MEMBER}",""),"[MEMBER}",""),"MEMBER]",""),"(A)",""),"""",""),"“",""),"”",""),".",""),":",""),",",""),"–"," "),"-"," "),"/"," "),"&amp;"," AND "))&amp;" "," THE "," ")," TOTAL "," ")," OPERATIONS "," "))</f>
        <v>OTHER GEOGRAPHICAL AREA</v>
      </c>
      <c r="O1277" s="17" t="str">
        <f aca="false">IF(COUNTIFS($N$2:$N$2000,N1277,$D$2:$D$2000,"&lt;&gt;"&amp;D1277)&gt;0,"CONFLICT","")</f>
        <v/>
      </c>
      <c r="P1277" s="7"/>
    </row>
    <row r="1278" customFormat="false" ht="15" hidden="false" customHeight="false" outlineLevel="0" collapsed="false">
      <c r="A1278" s="7" t="s">
        <v>2506</v>
      </c>
      <c r="B1278" s="7" t="s">
        <v>1882</v>
      </c>
      <c r="C1278" s="7" t="s">
        <v>1791</v>
      </c>
      <c r="D1278" s="6" t="s">
        <v>1791</v>
      </c>
      <c r="E1278" s="6" t="s">
        <v>1880</v>
      </c>
      <c r="F1278" s="7" t="str">
        <f aca="false">IF($D1278="","",IFERROR(IF(INDEX(Hierarchy!$B$2:$B$1295,MATCH($D1278,Hierarchy!$A$2:$A$1295,0))="","",INDEX(Hierarchy!$B$2:$B$1295,MATCH($D1278,Hierarchy!$A$2:$A$1295,0))),"NODE NOT FOUND"))</f>
        <v>Bucket</v>
      </c>
      <c r="G1278" s="7" t="str">
        <f aca="false">IF($D1278="","",IFERROR(IF(INDEX(Hierarchy!$D$2:$D$1295,MATCH($D1278,Hierarchy!$A$2:$A$1295,0))="","",INDEX(Hierarchy!$D$2:$D$1295,MATCH($D1278,Hierarchy!$A$2:$A$1295,0))),"NODE NOT FOUND"))</f>
        <v>Non-regional</v>
      </c>
      <c r="H1278" s="7" t="str">
        <f aca="false">IF($D1278="","",IFERROR(IF(INDEX(Hierarchy!$E$2:$E$1295,MATCH($D1278,Hierarchy!$A$2:$A$1295,0))="","",INDEX(Hierarchy!$E$2:$E$1295,MATCH($D1278,Hierarchy!$A$2:$A$1295,0))),"NODE NOT FOUND"))</f>
        <v/>
      </c>
      <c r="I1278" s="7" t="str">
        <f aca="false">IF($D1278="","",IFERROR(IF(INDEX(Hierarchy!$F$2:$F$1295,MATCH($D1278,Hierarchy!$A$2:$A$1295,0))="","",INDEX(Hierarchy!$F$2:$F$1295,MATCH($D1278,Hierarchy!$A$2:$A$1295,0))),"NODE NOT FOUND"))</f>
        <v/>
      </c>
      <c r="J1278" s="7" t="str">
        <f aca="false">IF($D1278="","",IFERROR(IF(INDEX(Hierarchy!$G$2:$G$1295,MATCH($D1278,Hierarchy!$A$2:$A$1295,0))="","",INDEX(Hierarchy!$G$2:$G$1295,MATCH($D1278,Hierarchy!$A$2:$A$1295,0))),"NODE NOT FOUND"))</f>
        <v/>
      </c>
      <c r="K1278" s="7" t="str">
        <f aca="false">IF($D1278="","",IFERROR(IF(INDEX(Hierarchy!$H$2:$H$1295,MATCH($D1278,Hierarchy!$A$2:$A$1295,0))="","",INDEX(Hierarchy!$H$2:$H$1295,MATCH($D1278,Hierarchy!$A$2:$A$1295,0))),"NODE NOT FOUND"))</f>
        <v/>
      </c>
      <c r="L1278" s="7" t="str">
        <f aca="false">IF($D1278="","",IFERROR(IF(INDEX(Hierarchy!$I$2:$I$1295,MATCH($D1278,Hierarchy!$A$2:$A$1295,0))="","",INDEX(Hierarchy!$I$2:$I$1295,MATCH($D1278,Hierarchy!$A$2:$A$1295,0))),"NODE NOT FOUND"))</f>
        <v/>
      </c>
      <c r="M1278" s="17" t="str">
        <f aca="false">IF(B1278="Pre-seeded","Pre-seeded",IF(B1278="Review 2026-09-16","Added from review",IF(C1278="","New",IF(C1278=D1278,"","Changed"))))</f>
        <v/>
      </c>
      <c r="N1278" s="7" t="str">
        <f aca="false">TRIM(SUBSTITUTE(SUBSTITUTE(SUBSTITUTE(" "&amp;TRIM(SUBSTITUTE(SUBSTITUTE(SUBSTITUTE(SUBSTITUTE(SUBSTITUTE(SUBSTITUTE(SUBSTITUTE(SUBSTITUTE(SUBSTITUTE(SUBSTITUTE(SUBSTITUTE(SUBSTITUTE(SUBSTITUTE(SUBSTITUTE(SUBSTITUTE(UPPER(TRIM(A1278)),"[MEMBER]",""),"{MEMBER}",""),"[MEMBER}",""),"MEMBER]",""),"(A)",""),"""",""),"“",""),"”",""),".",""),":",""),",",""),"–"," "),"-"," "),"/"," "),"&amp;"," AND "))&amp;" "," THE "," ")," TOTAL "," ")," OPERATIONS "," "))</f>
        <v>OTHER GEOGRAPHICAL AREAS</v>
      </c>
      <c r="O1278" s="17" t="str">
        <f aca="false">IF(COUNTIFS($N$2:$N$2000,N1278,$D$2:$D$2000,"&lt;&gt;"&amp;D1278)&gt;0,"CONFLICT","")</f>
        <v/>
      </c>
      <c r="P1278" s="7"/>
    </row>
    <row r="1279" customFormat="false" ht="15" hidden="false" customHeight="false" outlineLevel="0" collapsed="false">
      <c r="A1279" s="7" t="s">
        <v>2507</v>
      </c>
      <c r="B1279" s="7" t="s">
        <v>1885</v>
      </c>
      <c r="C1279" s="7" t="s">
        <v>1791</v>
      </c>
      <c r="D1279" s="6" t="s">
        <v>1784</v>
      </c>
      <c r="E1279" s="6" t="s">
        <v>1898</v>
      </c>
      <c r="F1279" s="7" t="str">
        <f aca="false">IF($D1279="","",IFERROR(IF(INDEX(Hierarchy!$B$2:$B$1295,MATCH($D1279,Hierarchy!$A$2:$A$1295,0))="","",INDEX(Hierarchy!$B$2:$B$1295,MATCH($D1279,Hierarchy!$A$2:$A$1295,0))),"NODE NOT FOUND"))</f>
        <v>Bucket</v>
      </c>
      <c r="G1279" s="7" t="str">
        <f aca="false">IF($D1279="","",IFERROR(IF(INDEX(Hierarchy!$D$2:$D$1295,MATCH($D1279,Hierarchy!$A$2:$A$1295,0))="","",INDEX(Hierarchy!$D$2:$D$1295,MATCH($D1279,Hierarchy!$A$2:$A$1295,0))),"NODE NOT FOUND"))</f>
        <v>Non-regional</v>
      </c>
      <c r="H1279" s="7" t="str">
        <f aca="false">IF($D1279="","",IFERROR(IF(INDEX(Hierarchy!$E$2:$E$1295,MATCH($D1279,Hierarchy!$A$2:$A$1295,0))="","",INDEX(Hierarchy!$E$2:$E$1295,MATCH($D1279,Hierarchy!$A$2:$A$1295,0))),"NODE NOT FOUND"))</f>
        <v/>
      </c>
      <c r="I1279" s="7" t="str">
        <f aca="false">IF($D1279="","",IFERROR(IF(INDEX(Hierarchy!$F$2:$F$1295,MATCH($D1279,Hierarchy!$A$2:$A$1295,0))="","",INDEX(Hierarchy!$F$2:$F$1295,MATCH($D1279,Hierarchy!$A$2:$A$1295,0))),"NODE NOT FOUND"))</f>
        <v/>
      </c>
      <c r="J1279" s="7" t="str">
        <f aca="false">IF($D1279="","",IFERROR(IF(INDEX(Hierarchy!$G$2:$G$1295,MATCH($D1279,Hierarchy!$A$2:$A$1295,0))="","",INDEX(Hierarchy!$G$2:$G$1295,MATCH($D1279,Hierarchy!$A$2:$A$1295,0))),"NODE NOT FOUND"))</f>
        <v/>
      </c>
      <c r="K1279" s="7" t="str">
        <f aca="false">IF($D1279="","",IFERROR(IF(INDEX(Hierarchy!$H$2:$H$1295,MATCH($D1279,Hierarchy!$A$2:$A$1295,0))="","",INDEX(Hierarchy!$H$2:$H$1295,MATCH($D1279,Hierarchy!$A$2:$A$1295,0))),"NODE NOT FOUND"))</f>
        <v/>
      </c>
      <c r="L1279" s="7" t="str">
        <f aca="false">IF($D1279="","",IFERROR(IF(INDEX(Hierarchy!$I$2:$I$1295,MATCH($D1279,Hierarchy!$A$2:$A$1295,0))="","",INDEX(Hierarchy!$I$2:$I$1295,MATCH($D1279,Hierarchy!$A$2:$A$1295,0))),"NODE NOT FOUND"))</f>
        <v/>
      </c>
      <c r="M1279" s="17" t="str">
        <f aca="false">IF(B1279="Pre-seeded","Pre-seeded",IF(B1279="Review 2026-09-16","Added from review",IF(C1279="","New",IF(C1279=D1279,"","Changed"))))</f>
        <v>Changed</v>
      </c>
      <c r="N1279" s="7" t="str">
        <f aca="false">TRIM(SUBSTITUTE(SUBSTITUTE(SUBSTITUTE(" "&amp;TRIM(SUBSTITUTE(SUBSTITUTE(SUBSTITUTE(SUBSTITUTE(SUBSTITUTE(SUBSTITUTE(SUBSTITUTE(SUBSTITUTE(SUBSTITUTE(SUBSTITUTE(SUBSTITUTE(SUBSTITUTE(SUBSTITUTE(SUBSTITUTE(SUBSTITUTE(UPPER(TRIM(A1279)),"[MEMBER]",""),"{MEMBER}",""),"[MEMBER}",""),"MEMBER]",""),"(A)",""),"""",""),"“",""),"”",""),".",""),":",""),",",""),"–"," "),"-"," "),"/"," "),"&amp;"," AND "))&amp;" "," THE "," ")," TOTAL "," ")," OPERATIONS "," "))</f>
        <v>OTHER INTERNATIONAL</v>
      </c>
      <c r="O1279" s="17" t="str">
        <f aca="false">IF(COUNTIFS($N$2:$N$2000,N1279,$D$2:$D$2000,"&lt;&gt;"&amp;D1279)&gt;0,"CONFLICT","")</f>
        <v/>
      </c>
      <c r="P1279" s="7" t="s">
        <v>2498</v>
      </c>
    </row>
    <row r="1280" customFormat="false" ht="15" hidden="false" customHeight="false" outlineLevel="0" collapsed="false">
      <c r="A1280" s="7" t="s">
        <v>2508</v>
      </c>
      <c r="B1280" s="7" t="s">
        <v>1885</v>
      </c>
      <c r="C1280" s="7" t="s">
        <v>1784</v>
      </c>
      <c r="D1280" s="6" t="s">
        <v>1784</v>
      </c>
      <c r="E1280" s="6" t="s">
        <v>1898</v>
      </c>
      <c r="F1280" s="7" t="str">
        <f aca="false">IF($D1280="","",IFERROR(IF(INDEX(Hierarchy!$B$2:$B$1295,MATCH($D1280,Hierarchy!$A$2:$A$1295,0))="","",INDEX(Hierarchy!$B$2:$B$1295,MATCH($D1280,Hierarchy!$A$2:$A$1295,0))),"NODE NOT FOUND"))</f>
        <v>Bucket</v>
      </c>
      <c r="G1280" s="7" t="str">
        <f aca="false">IF($D1280="","",IFERROR(IF(INDEX(Hierarchy!$D$2:$D$1295,MATCH($D1280,Hierarchy!$A$2:$A$1295,0))="","",INDEX(Hierarchy!$D$2:$D$1295,MATCH($D1280,Hierarchy!$A$2:$A$1295,0))),"NODE NOT FOUND"))</f>
        <v>Non-regional</v>
      </c>
      <c r="H1280" s="7" t="str">
        <f aca="false">IF($D1280="","",IFERROR(IF(INDEX(Hierarchy!$E$2:$E$1295,MATCH($D1280,Hierarchy!$A$2:$A$1295,0))="","",INDEX(Hierarchy!$E$2:$E$1295,MATCH($D1280,Hierarchy!$A$2:$A$1295,0))),"NODE NOT FOUND"))</f>
        <v/>
      </c>
      <c r="I1280" s="7" t="str">
        <f aca="false">IF($D1280="","",IFERROR(IF(INDEX(Hierarchy!$F$2:$F$1295,MATCH($D1280,Hierarchy!$A$2:$A$1295,0))="","",INDEX(Hierarchy!$F$2:$F$1295,MATCH($D1280,Hierarchy!$A$2:$A$1295,0))),"NODE NOT FOUND"))</f>
        <v/>
      </c>
      <c r="J1280" s="7" t="str">
        <f aca="false">IF($D1280="","",IFERROR(IF(INDEX(Hierarchy!$G$2:$G$1295,MATCH($D1280,Hierarchy!$A$2:$A$1295,0))="","",INDEX(Hierarchy!$G$2:$G$1295,MATCH($D1280,Hierarchy!$A$2:$A$1295,0))),"NODE NOT FOUND"))</f>
        <v/>
      </c>
      <c r="K1280" s="7" t="str">
        <f aca="false">IF($D1280="","",IFERROR(IF(INDEX(Hierarchy!$H$2:$H$1295,MATCH($D1280,Hierarchy!$A$2:$A$1295,0))="","",INDEX(Hierarchy!$H$2:$H$1295,MATCH($D1280,Hierarchy!$A$2:$A$1295,0))),"NODE NOT FOUND"))</f>
        <v/>
      </c>
      <c r="L1280" s="7" t="str">
        <f aca="false">IF($D1280="","",IFERROR(IF(INDEX(Hierarchy!$I$2:$I$1295,MATCH($D1280,Hierarchy!$A$2:$A$1295,0))="","",INDEX(Hierarchy!$I$2:$I$1295,MATCH($D1280,Hierarchy!$A$2:$A$1295,0))),"NODE NOT FOUND"))</f>
        <v/>
      </c>
      <c r="M1280" s="17" t="str">
        <f aca="false">IF(B1280="Pre-seeded","Pre-seeded",IF(B1280="Review 2026-09-16","Added from review",IF(C1280="","New",IF(C1280=D1280,"","Changed"))))</f>
        <v/>
      </c>
      <c r="N1280" s="7" t="str">
        <f aca="false">TRIM(SUBSTITUTE(SUBSTITUTE(SUBSTITUTE(" "&amp;TRIM(SUBSTITUTE(SUBSTITUTE(SUBSTITUTE(SUBSTITUTE(SUBSTITUTE(SUBSTITUTE(SUBSTITUTE(SUBSTITUTE(SUBSTITUTE(SUBSTITUTE(SUBSTITUTE(SUBSTITUTE(SUBSTITUTE(SUBSTITUTE(SUBSTITUTE(UPPER(TRIM(A1280)),"[MEMBER]",""),"{MEMBER}",""),"[MEMBER}",""),"MEMBER]",""),"(A)",""),"""",""),"“",""),"”",""),".",""),":",""),",",""),"–"," "),"-"," "),"/"," "),"&amp;"," AND "))&amp;" "," THE "," ")," TOTAL "," ")," OPERATIONS "," "))</f>
        <v>OTHER INTERNATIONAL LOCATIONS</v>
      </c>
      <c r="O1280" s="17" t="str">
        <f aca="false">IF(COUNTIFS($N$2:$N$2000,N1280,$D$2:$D$2000,"&lt;&gt;"&amp;D1280)&gt;0,"CONFLICT","")</f>
        <v/>
      </c>
      <c r="P1280" s="7"/>
    </row>
    <row r="1281" customFormat="false" ht="15" hidden="false" customHeight="false" outlineLevel="0" collapsed="false">
      <c r="A1281" s="7" t="s">
        <v>2509</v>
      </c>
      <c r="B1281" s="7" t="s">
        <v>1885</v>
      </c>
      <c r="C1281" s="7" t="s">
        <v>1784</v>
      </c>
      <c r="D1281" s="6" t="s">
        <v>1784</v>
      </c>
      <c r="E1281" s="6" t="s">
        <v>1898</v>
      </c>
      <c r="F1281" s="7" t="str">
        <f aca="false">IF($D1281="","",IFERROR(IF(INDEX(Hierarchy!$B$2:$B$1295,MATCH($D1281,Hierarchy!$A$2:$A$1295,0))="","",INDEX(Hierarchy!$B$2:$B$1295,MATCH($D1281,Hierarchy!$A$2:$A$1295,0))),"NODE NOT FOUND"))</f>
        <v>Bucket</v>
      </c>
      <c r="G1281" s="7" t="str">
        <f aca="false">IF($D1281="","",IFERROR(IF(INDEX(Hierarchy!$D$2:$D$1295,MATCH($D1281,Hierarchy!$A$2:$A$1295,0))="","",INDEX(Hierarchy!$D$2:$D$1295,MATCH($D1281,Hierarchy!$A$2:$A$1295,0))),"NODE NOT FOUND"))</f>
        <v>Non-regional</v>
      </c>
      <c r="H1281" s="7" t="str">
        <f aca="false">IF($D1281="","",IFERROR(IF(INDEX(Hierarchy!$E$2:$E$1295,MATCH($D1281,Hierarchy!$A$2:$A$1295,0))="","",INDEX(Hierarchy!$E$2:$E$1295,MATCH($D1281,Hierarchy!$A$2:$A$1295,0))),"NODE NOT FOUND"))</f>
        <v/>
      </c>
      <c r="I1281" s="7" t="str">
        <f aca="false">IF($D1281="","",IFERROR(IF(INDEX(Hierarchy!$F$2:$F$1295,MATCH($D1281,Hierarchy!$A$2:$A$1295,0))="","",INDEX(Hierarchy!$F$2:$F$1295,MATCH($D1281,Hierarchy!$A$2:$A$1295,0))),"NODE NOT FOUND"))</f>
        <v/>
      </c>
      <c r="J1281" s="7" t="str">
        <f aca="false">IF($D1281="","",IFERROR(IF(INDEX(Hierarchy!$G$2:$G$1295,MATCH($D1281,Hierarchy!$A$2:$A$1295,0))="","",INDEX(Hierarchy!$G$2:$G$1295,MATCH($D1281,Hierarchy!$A$2:$A$1295,0))),"NODE NOT FOUND"))</f>
        <v/>
      </c>
      <c r="K1281" s="7" t="str">
        <f aca="false">IF($D1281="","",IFERROR(IF(INDEX(Hierarchy!$H$2:$H$1295,MATCH($D1281,Hierarchy!$A$2:$A$1295,0))="","",INDEX(Hierarchy!$H$2:$H$1295,MATCH($D1281,Hierarchy!$A$2:$A$1295,0))),"NODE NOT FOUND"))</f>
        <v/>
      </c>
      <c r="L1281" s="7" t="str">
        <f aca="false">IF($D1281="","",IFERROR(IF(INDEX(Hierarchy!$I$2:$I$1295,MATCH($D1281,Hierarchy!$A$2:$A$1295,0))="","",INDEX(Hierarchy!$I$2:$I$1295,MATCH($D1281,Hierarchy!$A$2:$A$1295,0))),"NODE NOT FOUND"))</f>
        <v/>
      </c>
      <c r="M1281" s="17" t="str">
        <f aca="false">IF(B1281="Pre-seeded","Pre-seeded",IF(B1281="Review 2026-09-16","Added from review",IF(C1281="","New",IF(C1281=D1281,"","Changed"))))</f>
        <v/>
      </c>
      <c r="N1281" s="7" t="str">
        <f aca="false">TRIM(SUBSTITUTE(SUBSTITUTE(SUBSTITUTE(" "&amp;TRIM(SUBSTITUTE(SUBSTITUTE(SUBSTITUTE(SUBSTITUTE(SUBSTITUTE(SUBSTITUTE(SUBSTITUTE(SUBSTITUTE(SUBSTITUTE(SUBSTITUTE(SUBSTITUTE(SUBSTITUTE(SUBSTITUTE(SUBSTITUTE(SUBSTITUTE(UPPER(TRIM(A1281)),"[MEMBER]",""),"{MEMBER}",""),"[MEMBER}",""),"MEMBER]",""),"(A)",""),"""",""),"“",""),"”",""),".",""),":",""),",",""),"–"," "),"-"," "),"/"," "),"&amp;"," AND "))&amp;" "," THE "," ")," TOTAL "," ")," OPERATIONS "," "))</f>
        <v>OTHER INTERNATIONAL</v>
      </c>
      <c r="O1281" s="17" t="str">
        <f aca="false">IF(COUNTIFS($N$2:$N$2000,N1281,$D$2:$D$2000,"&lt;&gt;"&amp;D1281)&gt;0,"CONFLICT","")</f>
        <v/>
      </c>
      <c r="P1281" s="7"/>
    </row>
    <row r="1282" customFormat="false" ht="15" hidden="false" customHeight="false" outlineLevel="0" collapsed="false">
      <c r="A1282" s="7" t="s">
        <v>2510</v>
      </c>
      <c r="B1282" s="7" t="s">
        <v>1885</v>
      </c>
      <c r="C1282" s="7" t="s">
        <v>2339</v>
      </c>
      <c r="D1282" s="6" t="s">
        <v>312</v>
      </c>
      <c r="E1282" s="6" t="s">
        <v>1898</v>
      </c>
      <c r="F1282" s="7" t="str">
        <f aca="false">IF($D1282="","",IFERROR(IF(INDEX(Hierarchy!$B$2:$B$1295,MATCH($D1282,Hierarchy!$A$2:$A$1295,0))="","",INDEX(Hierarchy!$B$2:$B$1295,MATCH($D1282,Hierarchy!$A$2:$A$1295,0))),"NODE NOT FOUND"))</f>
        <v>Sub-region</v>
      </c>
      <c r="G1282" s="7" t="str">
        <f aca="false">IF($D1282="","",IFERROR(IF(INDEX(Hierarchy!$D$2:$D$1295,MATCH($D1282,Hierarchy!$A$2:$A$1295,0))="","",INDEX(Hierarchy!$D$2:$D$1295,MATCH($D1282,Hierarchy!$A$2:$A$1295,0))),"NODE NOT FOUND"))</f>
        <v>AMER</v>
      </c>
      <c r="H1282" s="7" t="str">
        <f aca="false">IF($D1282="","",IFERROR(IF(INDEX(Hierarchy!$E$2:$E$1295,MATCH($D1282,Hierarchy!$A$2:$A$1295,0))="","",INDEX(Hierarchy!$E$2:$E$1295,MATCH($D1282,Hierarchy!$A$2:$A$1295,0))),"NODE NOT FOUND"))</f>
        <v>Latin America (LATAM)</v>
      </c>
      <c r="I1282" s="7" t="str">
        <f aca="false">IF($D1282="","",IFERROR(IF(INDEX(Hierarchy!$F$2:$F$1295,MATCH($D1282,Hierarchy!$A$2:$A$1295,0))="","",INDEX(Hierarchy!$F$2:$F$1295,MATCH($D1282,Hierarchy!$A$2:$A$1295,0))),"NODE NOT FOUND"))</f>
        <v/>
      </c>
      <c r="J1282" s="7" t="str">
        <f aca="false">IF($D1282="","",IFERROR(IF(INDEX(Hierarchy!$G$2:$G$1295,MATCH($D1282,Hierarchy!$A$2:$A$1295,0))="","",INDEX(Hierarchy!$G$2:$G$1295,MATCH($D1282,Hierarchy!$A$2:$A$1295,0))),"NODE NOT FOUND"))</f>
        <v/>
      </c>
      <c r="K1282" s="7" t="str">
        <f aca="false">IF($D1282="","",IFERROR(IF(INDEX(Hierarchy!$H$2:$H$1295,MATCH($D1282,Hierarchy!$A$2:$A$1295,0))="","",INDEX(Hierarchy!$H$2:$H$1295,MATCH($D1282,Hierarchy!$A$2:$A$1295,0))),"NODE NOT FOUND"))</f>
        <v/>
      </c>
      <c r="L1282" s="7" t="str">
        <f aca="false">IF($D1282="","",IFERROR(IF(INDEX(Hierarchy!$I$2:$I$1295,MATCH($D1282,Hierarchy!$A$2:$A$1295,0))="","",INDEX(Hierarchy!$I$2:$I$1295,MATCH($D1282,Hierarchy!$A$2:$A$1295,0))),"NODE NOT FOUND"))</f>
        <v/>
      </c>
      <c r="M1282" s="17" t="str">
        <f aca="false">IF(B1282="Pre-seeded","Pre-seeded",IF(B1282="Review 2026-09-16","Added from review",IF(C1282="","New",IF(C1282=D1282,"","Changed"))))</f>
        <v>Changed</v>
      </c>
      <c r="N1282" s="7" t="str">
        <f aca="false">TRIM(SUBSTITUTE(SUBSTITUTE(SUBSTITUTE(" "&amp;TRIM(SUBSTITUTE(SUBSTITUTE(SUBSTITUTE(SUBSTITUTE(SUBSTITUTE(SUBSTITUTE(SUBSTITUTE(SUBSTITUTE(SUBSTITUTE(SUBSTITUTE(SUBSTITUTE(SUBSTITUTE(SUBSTITUTE(SUBSTITUTE(SUBSTITUTE(UPPER(TRIM(A1282)),"[MEMBER]",""),"{MEMBER}",""),"[MEMBER}",""),"MEMBER]",""),"(A)",""),"""",""),"“",""),"”",""),".",""),":",""),",",""),"–"," "),"-"," "),"/"," "),"&amp;"," AND "))&amp;" "," THE "," ")," TOTAL "," ")," OPERATIONS "," "))</f>
        <v>OTHER LATIN AMERICA</v>
      </c>
      <c r="O1282" s="17" t="str">
        <f aca="false">IF(COUNTIFS($N$2:$N$2000,N1282,$D$2:$D$2000,"&lt;&gt;"&amp;D1282)&gt;0,"CONFLICT","")</f>
        <v/>
      </c>
      <c r="P1282" s="7"/>
    </row>
    <row r="1283" customFormat="false" ht="15" hidden="false" customHeight="false" outlineLevel="0" collapsed="false">
      <c r="A1283" s="7" t="s">
        <v>2511</v>
      </c>
      <c r="B1283" s="7" t="s">
        <v>1885</v>
      </c>
      <c r="C1283" s="7" t="s">
        <v>1791</v>
      </c>
      <c r="D1283" s="6" t="s">
        <v>1791</v>
      </c>
      <c r="E1283" s="6" t="s">
        <v>1898</v>
      </c>
      <c r="F1283" s="7" t="str">
        <f aca="false">IF($D1283="","",IFERROR(IF(INDEX(Hierarchy!$B$2:$B$1295,MATCH($D1283,Hierarchy!$A$2:$A$1295,0))="","",INDEX(Hierarchy!$B$2:$B$1295,MATCH($D1283,Hierarchy!$A$2:$A$1295,0))),"NODE NOT FOUND"))</f>
        <v>Bucket</v>
      </c>
      <c r="G1283" s="7" t="str">
        <f aca="false">IF($D1283="","",IFERROR(IF(INDEX(Hierarchy!$D$2:$D$1295,MATCH($D1283,Hierarchy!$A$2:$A$1295,0))="","",INDEX(Hierarchy!$D$2:$D$1295,MATCH($D1283,Hierarchy!$A$2:$A$1295,0))),"NODE NOT FOUND"))</f>
        <v>Non-regional</v>
      </c>
      <c r="H1283" s="7" t="str">
        <f aca="false">IF($D1283="","",IFERROR(IF(INDEX(Hierarchy!$E$2:$E$1295,MATCH($D1283,Hierarchy!$A$2:$A$1295,0))="","",INDEX(Hierarchy!$E$2:$E$1295,MATCH($D1283,Hierarchy!$A$2:$A$1295,0))),"NODE NOT FOUND"))</f>
        <v/>
      </c>
      <c r="I1283" s="7" t="str">
        <f aca="false">IF($D1283="","",IFERROR(IF(INDEX(Hierarchy!$F$2:$F$1295,MATCH($D1283,Hierarchy!$A$2:$A$1295,0))="","",INDEX(Hierarchy!$F$2:$F$1295,MATCH($D1283,Hierarchy!$A$2:$A$1295,0))),"NODE NOT FOUND"))</f>
        <v/>
      </c>
      <c r="J1283" s="7" t="str">
        <f aca="false">IF($D1283="","",IFERROR(IF(INDEX(Hierarchy!$G$2:$G$1295,MATCH($D1283,Hierarchy!$A$2:$A$1295,0))="","",INDEX(Hierarchy!$G$2:$G$1295,MATCH($D1283,Hierarchy!$A$2:$A$1295,0))),"NODE NOT FOUND"))</f>
        <v/>
      </c>
      <c r="K1283" s="7" t="str">
        <f aca="false">IF($D1283="","",IFERROR(IF(INDEX(Hierarchy!$H$2:$H$1295,MATCH($D1283,Hierarchy!$A$2:$A$1295,0))="","",INDEX(Hierarchy!$H$2:$H$1295,MATCH($D1283,Hierarchy!$A$2:$A$1295,0))),"NODE NOT FOUND"))</f>
        <v/>
      </c>
      <c r="L1283" s="7" t="str">
        <f aca="false">IF($D1283="","",IFERROR(IF(INDEX(Hierarchy!$I$2:$I$1295,MATCH($D1283,Hierarchy!$A$2:$A$1295,0))="","",INDEX(Hierarchy!$I$2:$I$1295,MATCH($D1283,Hierarchy!$A$2:$A$1295,0))),"NODE NOT FOUND"))</f>
        <v/>
      </c>
      <c r="M1283" s="17" t="str">
        <f aca="false">IF(B1283="Pre-seeded","Pre-seeded",IF(B1283="Review 2026-09-16","Added from review",IF(C1283="","New",IF(C1283=D1283,"","Changed"))))</f>
        <v/>
      </c>
      <c r="N1283" s="7" t="str">
        <f aca="false">TRIM(SUBSTITUTE(SUBSTITUTE(SUBSTITUTE(" "&amp;TRIM(SUBSTITUTE(SUBSTITUTE(SUBSTITUTE(SUBSTITUTE(SUBSTITUTE(SUBSTITUTE(SUBSTITUTE(SUBSTITUTE(SUBSTITUTE(SUBSTITUTE(SUBSTITUTE(SUBSTITUTE(SUBSTITUTE(SUBSTITUTE(SUBSTITUTE(UPPER(TRIM(A1283)),"[MEMBER]",""),"{MEMBER}",""),"[MEMBER}",""),"MEMBER]",""),"(A)",""),"""",""),"“",""),"”",""),".",""),":",""),",",""),"–"," "),"-"," "),"/"," "),"&amp;"," AND "))&amp;" "," THE "," ")," TOTAL "," ")," OPERATIONS "," "))</f>
        <v>OTHER LOCATIONS</v>
      </c>
      <c r="O1283" s="17" t="str">
        <f aca="false">IF(COUNTIFS($N$2:$N$2000,N1283,$D$2:$D$2000,"&lt;&gt;"&amp;D1283)&gt;0,"CONFLICT","")</f>
        <v/>
      </c>
      <c r="P1283" s="7"/>
    </row>
    <row r="1284" customFormat="false" ht="15" hidden="false" customHeight="false" outlineLevel="0" collapsed="false">
      <c r="A1284" s="7" t="s">
        <v>2512</v>
      </c>
      <c r="B1284" s="7" t="s">
        <v>1882</v>
      </c>
      <c r="C1284" s="7" t="s">
        <v>2207</v>
      </c>
      <c r="D1284" s="6" t="s">
        <v>1784</v>
      </c>
      <c r="E1284" s="6" t="s">
        <v>1898</v>
      </c>
      <c r="F1284" s="7" t="str">
        <f aca="false">IF($D1284="","",IFERROR(IF(INDEX(Hierarchy!$B$2:$B$1295,MATCH($D1284,Hierarchy!$A$2:$A$1295,0))="","",INDEX(Hierarchy!$B$2:$B$1295,MATCH($D1284,Hierarchy!$A$2:$A$1295,0))),"NODE NOT FOUND"))</f>
        <v>Bucket</v>
      </c>
      <c r="G1284" s="7" t="str">
        <f aca="false">IF($D1284="","",IFERROR(IF(INDEX(Hierarchy!$D$2:$D$1295,MATCH($D1284,Hierarchy!$A$2:$A$1295,0))="","",INDEX(Hierarchy!$D$2:$D$1295,MATCH($D1284,Hierarchy!$A$2:$A$1295,0))),"NODE NOT FOUND"))</f>
        <v>Non-regional</v>
      </c>
      <c r="H1284" s="7" t="str">
        <f aca="false">IF($D1284="","",IFERROR(IF(INDEX(Hierarchy!$E$2:$E$1295,MATCH($D1284,Hierarchy!$A$2:$A$1295,0))="","",INDEX(Hierarchy!$E$2:$E$1295,MATCH($D1284,Hierarchy!$A$2:$A$1295,0))),"NODE NOT FOUND"))</f>
        <v/>
      </c>
      <c r="I1284" s="7" t="str">
        <f aca="false">IF($D1284="","",IFERROR(IF(INDEX(Hierarchy!$F$2:$F$1295,MATCH($D1284,Hierarchy!$A$2:$A$1295,0))="","",INDEX(Hierarchy!$F$2:$F$1295,MATCH($D1284,Hierarchy!$A$2:$A$1295,0))),"NODE NOT FOUND"))</f>
        <v/>
      </c>
      <c r="J1284" s="7" t="str">
        <f aca="false">IF($D1284="","",IFERROR(IF(INDEX(Hierarchy!$G$2:$G$1295,MATCH($D1284,Hierarchy!$A$2:$A$1295,0))="","",INDEX(Hierarchy!$G$2:$G$1295,MATCH($D1284,Hierarchy!$A$2:$A$1295,0))),"NODE NOT FOUND"))</f>
        <v/>
      </c>
      <c r="K1284" s="7" t="str">
        <f aca="false">IF($D1284="","",IFERROR(IF(INDEX(Hierarchy!$H$2:$H$1295,MATCH($D1284,Hierarchy!$A$2:$A$1295,0))="","",INDEX(Hierarchy!$H$2:$H$1295,MATCH($D1284,Hierarchy!$A$2:$A$1295,0))),"NODE NOT FOUND"))</f>
        <v/>
      </c>
      <c r="L1284" s="7" t="str">
        <f aca="false">IF($D1284="","",IFERROR(IF(INDEX(Hierarchy!$I$2:$I$1295,MATCH($D1284,Hierarchy!$A$2:$A$1295,0))="","",INDEX(Hierarchy!$I$2:$I$1295,MATCH($D1284,Hierarchy!$A$2:$A$1295,0))),"NODE NOT FOUND"))</f>
        <v/>
      </c>
      <c r="M1284" s="17" t="str">
        <f aca="false">IF(B1284="Pre-seeded","Pre-seeded",IF(B1284="Review 2026-09-16","Added from review",IF(C1284="","New",IF(C1284=D1284,"","Changed"))))</f>
        <v>Changed</v>
      </c>
      <c r="N1284" s="7" t="str">
        <f aca="false">TRIM(SUBSTITUTE(SUBSTITUTE(SUBSTITUTE(" "&amp;TRIM(SUBSTITUTE(SUBSTITUTE(SUBSTITUTE(SUBSTITUTE(SUBSTITUTE(SUBSTITUTE(SUBSTITUTE(SUBSTITUTE(SUBSTITUTE(SUBSTITUTE(SUBSTITUTE(SUBSTITUTE(SUBSTITUTE(SUBSTITUTE(SUBSTITUTE(UPPER(TRIM(A1284)),"[MEMBER]",""),"{MEMBER}",""),"[MEMBER}",""),"MEMBER]",""),"(A)",""),"""",""),"“",""),"”",""),".",""),":",""),",",""),"–"," "),"-"," "),"/"," "),"&amp;"," AND "))&amp;" "," THE "," ")," TOTAL "," ")," OPERATIONS "," "))</f>
        <v>OTHER NON US</v>
      </c>
      <c r="O1284" s="17" t="str">
        <f aca="false">IF(COUNTIFS($N$2:$N$2000,N1284,$D$2:$D$2000,"&lt;&gt;"&amp;D1284)&gt;0,"CONFLICT","")</f>
        <v/>
      </c>
      <c r="P1284" s="7" t="s">
        <v>2208</v>
      </c>
    </row>
    <row r="1285" customFormat="false" ht="15" hidden="false" customHeight="false" outlineLevel="0" collapsed="false">
      <c r="A1285" s="7" t="s">
        <v>2513</v>
      </c>
      <c r="B1285" s="7" t="s">
        <v>1882</v>
      </c>
      <c r="C1285" s="7" t="s">
        <v>2207</v>
      </c>
      <c r="D1285" s="6" t="s">
        <v>1784</v>
      </c>
      <c r="E1285" s="6" t="s">
        <v>1898</v>
      </c>
      <c r="F1285" s="7" t="str">
        <f aca="false">IF($D1285="","",IFERROR(IF(INDEX(Hierarchy!$B$2:$B$1295,MATCH($D1285,Hierarchy!$A$2:$A$1295,0))="","",INDEX(Hierarchy!$B$2:$B$1295,MATCH($D1285,Hierarchy!$A$2:$A$1295,0))),"NODE NOT FOUND"))</f>
        <v>Bucket</v>
      </c>
      <c r="G1285" s="7" t="str">
        <f aca="false">IF($D1285="","",IFERROR(IF(INDEX(Hierarchy!$D$2:$D$1295,MATCH($D1285,Hierarchy!$A$2:$A$1295,0))="","",INDEX(Hierarchy!$D$2:$D$1295,MATCH($D1285,Hierarchy!$A$2:$A$1295,0))),"NODE NOT FOUND"))</f>
        <v>Non-regional</v>
      </c>
      <c r="H1285" s="7" t="str">
        <f aca="false">IF($D1285="","",IFERROR(IF(INDEX(Hierarchy!$E$2:$E$1295,MATCH($D1285,Hierarchy!$A$2:$A$1295,0))="","",INDEX(Hierarchy!$E$2:$E$1295,MATCH($D1285,Hierarchy!$A$2:$A$1295,0))),"NODE NOT FOUND"))</f>
        <v/>
      </c>
      <c r="I1285" s="7" t="str">
        <f aca="false">IF($D1285="","",IFERROR(IF(INDEX(Hierarchy!$F$2:$F$1295,MATCH($D1285,Hierarchy!$A$2:$A$1295,0))="","",INDEX(Hierarchy!$F$2:$F$1295,MATCH($D1285,Hierarchy!$A$2:$A$1295,0))),"NODE NOT FOUND"))</f>
        <v/>
      </c>
      <c r="J1285" s="7" t="str">
        <f aca="false">IF($D1285="","",IFERROR(IF(INDEX(Hierarchy!$G$2:$G$1295,MATCH($D1285,Hierarchy!$A$2:$A$1295,0))="","",INDEX(Hierarchy!$G$2:$G$1295,MATCH($D1285,Hierarchy!$A$2:$A$1295,0))),"NODE NOT FOUND"))</f>
        <v/>
      </c>
      <c r="K1285" s="7" t="str">
        <f aca="false">IF($D1285="","",IFERROR(IF(INDEX(Hierarchy!$H$2:$H$1295,MATCH($D1285,Hierarchy!$A$2:$A$1295,0))="","",INDEX(Hierarchy!$H$2:$H$1295,MATCH($D1285,Hierarchy!$A$2:$A$1295,0))),"NODE NOT FOUND"))</f>
        <v/>
      </c>
      <c r="L1285" s="7" t="str">
        <f aca="false">IF($D1285="","",IFERROR(IF(INDEX(Hierarchy!$I$2:$I$1295,MATCH($D1285,Hierarchy!$A$2:$A$1295,0))="","",INDEX(Hierarchy!$I$2:$I$1295,MATCH($D1285,Hierarchy!$A$2:$A$1295,0))),"NODE NOT FOUND"))</f>
        <v/>
      </c>
      <c r="M1285" s="17" t="str">
        <f aca="false">IF(B1285="Pre-seeded","Pre-seeded",IF(B1285="Review 2026-09-16","Added from review",IF(C1285="","New",IF(C1285=D1285,"","Changed"))))</f>
        <v>Changed</v>
      </c>
      <c r="N1285" s="7" t="str">
        <f aca="false">TRIM(SUBSTITUTE(SUBSTITUTE(SUBSTITUTE(" "&amp;TRIM(SUBSTITUTE(SUBSTITUTE(SUBSTITUTE(SUBSTITUTE(SUBSTITUTE(SUBSTITUTE(SUBSTITUTE(SUBSTITUTE(SUBSTITUTE(SUBSTITUTE(SUBSTITUTE(SUBSTITUTE(SUBSTITUTE(SUBSTITUTE(SUBSTITUTE(UPPER(TRIM(A1285)),"[MEMBER]",""),"{MEMBER}",""),"[MEMBER}",""),"MEMBER]",""),"(A)",""),"""",""),"“",""),"”",""),".",""),":",""),",",""),"–"," "),"-"," "),"/"," "),"&amp;"," AND "))&amp;" "," THE "," ")," TOTAL "," ")," OPERATIONS "," "))</f>
        <v>OTHER NON US</v>
      </c>
      <c r="O1285" s="17" t="str">
        <f aca="false">IF(COUNTIFS($N$2:$N$2000,N1285,$D$2:$D$2000,"&lt;&gt;"&amp;D1285)&gt;0,"CONFLICT","")</f>
        <v/>
      </c>
      <c r="P1285" s="7" t="s">
        <v>2208</v>
      </c>
    </row>
    <row r="1286" customFormat="false" ht="15" hidden="false" customHeight="false" outlineLevel="0" collapsed="false">
      <c r="A1286" s="7" t="s">
        <v>2514</v>
      </c>
      <c r="B1286" s="7" t="s">
        <v>1882</v>
      </c>
      <c r="C1286" s="7" t="s">
        <v>2207</v>
      </c>
      <c r="D1286" s="6" t="s">
        <v>1784</v>
      </c>
      <c r="E1286" s="6" t="s">
        <v>1898</v>
      </c>
      <c r="F1286" s="7" t="str">
        <f aca="false">IF($D1286="","",IFERROR(IF(INDEX(Hierarchy!$B$2:$B$1295,MATCH($D1286,Hierarchy!$A$2:$A$1295,0))="","",INDEX(Hierarchy!$B$2:$B$1295,MATCH($D1286,Hierarchy!$A$2:$A$1295,0))),"NODE NOT FOUND"))</f>
        <v>Bucket</v>
      </c>
      <c r="G1286" s="7" t="str">
        <f aca="false">IF($D1286="","",IFERROR(IF(INDEX(Hierarchy!$D$2:$D$1295,MATCH($D1286,Hierarchy!$A$2:$A$1295,0))="","",INDEX(Hierarchy!$D$2:$D$1295,MATCH($D1286,Hierarchy!$A$2:$A$1295,0))),"NODE NOT FOUND"))</f>
        <v>Non-regional</v>
      </c>
      <c r="H1286" s="7" t="str">
        <f aca="false">IF($D1286="","",IFERROR(IF(INDEX(Hierarchy!$E$2:$E$1295,MATCH($D1286,Hierarchy!$A$2:$A$1295,0))="","",INDEX(Hierarchy!$E$2:$E$1295,MATCH($D1286,Hierarchy!$A$2:$A$1295,0))),"NODE NOT FOUND"))</f>
        <v/>
      </c>
      <c r="I1286" s="7" t="str">
        <f aca="false">IF($D1286="","",IFERROR(IF(INDEX(Hierarchy!$F$2:$F$1295,MATCH($D1286,Hierarchy!$A$2:$A$1295,0))="","",INDEX(Hierarchy!$F$2:$F$1295,MATCH($D1286,Hierarchy!$A$2:$A$1295,0))),"NODE NOT FOUND"))</f>
        <v/>
      </c>
      <c r="J1286" s="7" t="str">
        <f aca="false">IF($D1286="","",IFERROR(IF(INDEX(Hierarchy!$G$2:$G$1295,MATCH($D1286,Hierarchy!$A$2:$A$1295,0))="","",INDEX(Hierarchy!$G$2:$G$1295,MATCH($D1286,Hierarchy!$A$2:$A$1295,0))),"NODE NOT FOUND"))</f>
        <v/>
      </c>
      <c r="K1286" s="7" t="str">
        <f aca="false">IF($D1286="","",IFERROR(IF(INDEX(Hierarchy!$H$2:$H$1295,MATCH($D1286,Hierarchy!$A$2:$A$1295,0))="","",INDEX(Hierarchy!$H$2:$H$1295,MATCH($D1286,Hierarchy!$A$2:$A$1295,0))),"NODE NOT FOUND"))</f>
        <v/>
      </c>
      <c r="L1286" s="7" t="str">
        <f aca="false">IF($D1286="","",IFERROR(IF(INDEX(Hierarchy!$I$2:$I$1295,MATCH($D1286,Hierarchy!$A$2:$A$1295,0))="","",INDEX(Hierarchy!$I$2:$I$1295,MATCH($D1286,Hierarchy!$A$2:$A$1295,0))),"NODE NOT FOUND"))</f>
        <v/>
      </c>
      <c r="M1286" s="17" t="str">
        <f aca="false">IF(B1286="Pre-seeded","Pre-seeded",IF(B1286="Review 2026-09-16","Added from review",IF(C1286="","New",IF(C1286=D1286,"","Changed"))))</f>
        <v>Changed</v>
      </c>
      <c r="N1286" s="7" t="str">
        <f aca="false">TRIM(SUBSTITUTE(SUBSTITUTE(SUBSTITUTE(" "&amp;TRIM(SUBSTITUTE(SUBSTITUTE(SUBSTITUTE(SUBSTITUTE(SUBSTITUTE(SUBSTITUTE(SUBSTITUTE(SUBSTITUTE(SUBSTITUTE(SUBSTITUTE(SUBSTITUTE(SUBSTITUTE(SUBSTITUTE(SUBSTITUTE(SUBSTITUTE(UPPER(TRIM(A1286)),"[MEMBER]",""),"{MEMBER}",""),"[MEMBER}",""),"MEMBER]",""),"(A)",""),"""",""),"“",""),"”",""),".",""),":",""),",",""),"–"," "),"-"," "),"/"," "),"&amp;"," AND "))&amp;" "," THE "," ")," TOTAL "," ")," OPERATIONS "," "))</f>
        <v>OTHER NON UNITED STATES</v>
      </c>
      <c r="O1286" s="17" t="str">
        <f aca="false">IF(COUNTIFS($N$2:$N$2000,N1286,$D$2:$D$2000,"&lt;&gt;"&amp;D1286)&gt;0,"CONFLICT","")</f>
        <v/>
      </c>
      <c r="P1286" s="7" t="s">
        <v>2208</v>
      </c>
    </row>
    <row r="1287" customFormat="false" ht="15" hidden="false" customHeight="false" outlineLevel="0" collapsed="false">
      <c r="A1287" s="7" t="s">
        <v>2515</v>
      </c>
      <c r="B1287" s="7" t="s">
        <v>1882</v>
      </c>
      <c r="C1287" s="7" t="s">
        <v>1791</v>
      </c>
      <c r="D1287" s="6" t="s">
        <v>1791</v>
      </c>
      <c r="E1287" s="6" t="s">
        <v>1880</v>
      </c>
      <c r="F1287" s="7" t="str">
        <f aca="false">IF($D1287="","",IFERROR(IF(INDEX(Hierarchy!$B$2:$B$1295,MATCH($D1287,Hierarchy!$A$2:$A$1295,0))="","",INDEX(Hierarchy!$B$2:$B$1295,MATCH($D1287,Hierarchy!$A$2:$A$1295,0))),"NODE NOT FOUND"))</f>
        <v>Bucket</v>
      </c>
      <c r="G1287" s="7" t="str">
        <f aca="false">IF($D1287="","",IFERROR(IF(INDEX(Hierarchy!$D$2:$D$1295,MATCH($D1287,Hierarchy!$A$2:$A$1295,0))="","",INDEX(Hierarchy!$D$2:$D$1295,MATCH($D1287,Hierarchy!$A$2:$A$1295,0))),"NODE NOT FOUND"))</f>
        <v>Non-regional</v>
      </c>
      <c r="H1287" s="7" t="str">
        <f aca="false">IF($D1287="","",IFERROR(IF(INDEX(Hierarchy!$E$2:$E$1295,MATCH($D1287,Hierarchy!$A$2:$A$1295,0))="","",INDEX(Hierarchy!$E$2:$E$1295,MATCH($D1287,Hierarchy!$A$2:$A$1295,0))),"NODE NOT FOUND"))</f>
        <v/>
      </c>
      <c r="I1287" s="7" t="str">
        <f aca="false">IF($D1287="","",IFERROR(IF(INDEX(Hierarchy!$F$2:$F$1295,MATCH($D1287,Hierarchy!$A$2:$A$1295,0))="","",INDEX(Hierarchy!$F$2:$F$1295,MATCH($D1287,Hierarchy!$A$2:$A$1295,0))),"NODE NOT FOUND"))</f>
        <v/>
      </c>
      <c r="J1287" s="7" t="str">
        <f aca="false">IF($D1287="","",IFERROR(IF(INDEX(Hierarchy!$G$2:$G$1295,MATCH($D1287,Hierarchy!$A$2:$A$1295,0))="","",INDEX(Hierarchy!$G$2:$G$1295,MATCH($D1287,Hierarchy!$A$2:$A$1295,0))),"NODE NOT FOUND"))</f>
        <v/>
      </c>
      <c r="K1287" s="7" t="str">
        <f aca="false">IF($D1287="","",IFERROR(IF(INDEX(Hierarchy!$H$2:$H$1295,MATCH($D1287,Hierarchy!$A$2:$A$1295,0))="","",INDEX(Hierarchy!$H$2:$H$1295,MATCH($D1287,Hierarchy!$A$2:$A$1295,0))),"NODE NOT FOUND"))</f>
        <v/>
      </c>
      <c r="L1287" s="7" t="str">
        <f aca="false">IF($D1287="","",IFERROR(IF(INDEX(Hierarchy!$I$2:$I$1295,MATCH($D1287,Hierarchy!$A$2:$A$1295,0))="","",INDEX(Hierarchy!$I$2:$I$1295,MATCH($D1287,Hierarchy!$A$2:$A$1295,0))),"NODE NOT FOUND"))</f>
        <v/>
      </c>
      <c r="M1287" s="17" t="str">
        <f aca="false">IF(B1287="Pre-seeded","Pre-seeded",IF(B1287="Review 2026-09-16","Added from review",IF(C1287="","New",IF(C1287=D1287,"","Changed"))))</f>
        <v/>
      </c>
      <c r="N1287" s="7" t="str">
        <f aca="false">TRIM(SUBSTITUTE(SUBSTITUTE(SUBSTITUTE(" "&amp;TRIM(SUBSTITUTE(SUBSTITUTE(SUBSTITUTE(SUBSTITUTE(SUBSTITUTE(SUBSTITUTE(SUBSTITUTE(SUBSTITUTE(SUBSTITUTE(SUBSTITUTE(SUBSTITUTE(SUBSTITUTE(SUBSTITUTE(SUBSTITUTE(SUBSTITUTE(UPPER(TRIM(A1287)),"[MEMBER]",""),"{MEMBER}",""),"[MEMBER}",""),"MEMBER]",""),"(A)",""),"""",""),"“",""),"”",""),".",""),":",""),",",""),"–"," "),"-"," "),"/"," "),"&amp;"," AND "))&amp;" "," THE "," ")," TOTAL "," ")," OPERATIONS "," "))</f>
        <v>OTHER REGIONS</v>
      </c>
      <c r="O1287" s="17" t="str">
        <f aca="false">IF(COUNTIFS($N$2:$N$2000,N1287,$D$2:$D$2000,"&lt;&gt;"&amp;D1287)&gt;0,"CONFLICT","")</f>
        <v/>
      </c>
      <c r="P1287" s="7"/>
    </row>
    <row r="1288" customFormat="false" ht="15" hidden="false" customHeight="false" outlineLevel="0" collapsed="false">
      <c r="A1288" s="7" t="s">
        <v>2516</v>
      </c>
      <c r="B1288" s="7" t="s">
        <v>1882</v>
      </c>
      <c r="C1288" s="7" t="s">
        <v>1791</v>
      </c>
      <c r="D1288" s="6" t="s">
        <v>1791</v>
      </c>
      <c r="E1288" s="6" t="s">
        <v>1880</v>
      </c>
      <c r="F1288" s="7" t="str">
        <f aca="false">IF($D1288="","",IFERROR(IF(INDEX(Hierarchy!$B$2:$B$1295,MATCH($D1288,Hierarchy!$A$2:$A$1295,0))="","",INDEX(Hierarchy!$B$2:$B$1295,MATCH($D1288,Hierarchy!$A$2:$A$1295,0))),"NODE NOT FOUND"))</f>
        <v>Bucket</v>
      </c>
      <c r="G1288" s="7" t="str">
        <f aca="false">IF($D1288="","",IFERROR(IF(INDEX(Hierarchy!$D$2:$D$1295,MATCH($D1288,Hierarchy!$A$2:$A$1295,0))="","",INDEX(Hierarchy!$D$2:$D$1295,MATCH($D1288,Hierarchy!$A$2:$A$1295,0))),"NODE NOT FOUND"))</f>
        <v>Non-regional</v>
      </c>
      <c r="H1288" s="7" t="str">
        <f aca="false">IF($D1288="","",IFERROR(IF(INDEX(Hierarchy!$E$2:$E$1295,MATCH($D1288,Hierarchy!$A$2:$A$1295,0))="","",INDEX(Hierarchy!$E$2:$E$1295,MATCH($D1288,Hierarchy!$A$2:$A$1295,0))),"NODE NOT FOUND"))</f>
        <v/>
      </c>
      <c r="I1288" s="7" t="str">
        <f aca="false">IF($D1288="","",IFERROR(IF(INDEX(Hierarchy!$F$2:$F$1295,MATCH($D1288,Hierarchy!$A$2:$A$1295,0))="","",INDEX(Hierarchy!$F$2:$F$1295,MATCH($D1288,Hierarchy!$A$2:$A$1295,0))),"NODE NOT FOUND"))</f>
        <v/>
      </c>
      <c r="J1288" s="7" t="str">
        <f aca="false">IF($D1288="","",IFERROR(IF(INDEX(Hierarchy!$G$2:$G$1295,MATCH($D1288,Hierarchy!$A$2:$A$1295,0))="","",INDEX(Hierarchy!$G$2:$G$1295,MATCH($D1288,Hierarchy!$A$2:$A$1295,0))),"NODE NOT FOUND"))</f>
        <v/>
      </c>
      <c r="K1288" s="7" t="str">
        <f aca="false">IF($D1288="","",IFERROR(IF(INDEX(Hierarchy!$H$2:$H$1295,MATCH($D1288,Hierarchy!$A$2:$A$1295,0))="","",INDEX(Hierarchy!$H$2:$H$1295,MATCH($D1288,Hierarchy!$A$2:$A$1295,0))),"NODE NOT FOUND"))</f>
        <v/>
      </c>
      <c r="L1288" s="7" t="str">
        <f aca="false">IF($D1288="","",IFERROR(IF(INDEX(Hierarchy!$I$2:$I$1295,MATCH($D1288,Hierarchy!$A$2:$A$1295,0))="","",INDEX(Hierarchy!$I$2:$I$1295,MATCH($D1288,Hierarchy!$A$2:$A$1295,0))),"NODE NOT FOUND"))</f>
        <v/>
      </c>
      <c r="M1288" s="17" t="str">
        <f aca="false">IF(B1288="Pre-seeded","Pre-seeded",IF(B1288="Review 2026-09-16","Added from review",IF(C1288="","New",IF(C1288=D1288,"","Changed"))))</f>
        <v/>
      </c>
      <c r="N1288" s="7" t="str">
        <f aca="false">TRIM(SUBSTITUTE(SUBSTITUTE(SUBSTITUTE(" "&amp;TRIM(SUBSTITUTE(SUBSTITUTE(SUBSTITUTE(SUBSTITUTE(SUBSTITUTE(SUBSTITUTE(SUBSTITUTE(SUBSTITUTE(SUBSTITUTE(SUBSTITUTE(SUBSTITUTE(SUBSTITUTE(SUBSTITUTE(SUBSTITUTE(SUBSTITUTE(UPPER(TRIM(A1288)),"[MEMBER]",""),"{MEMBER}",""),"[MEMBER}",""),"MEMBER]",""),"(A)",""),"""",""),"“",""),"”",""),".",""),":",""),",",""),"–"," "),"-"," "),"/"," "),"&amp;"," AND "))&amp;" "," THE "," ")," TOTAL "," ")," OPERATIONS "," "))</f>
        <v>OTHER REGIONS</v>
      </c>
      <c r="O1288" s="17" t="str">
        <f aca="false">IF(COUNTIFS($N$2:$N$2000,N1288,$D$2:$D$2000,"&lt;&gt;"&amp;D1288)&gt;0,"CONFLICT","")</f>
        <v/>
      </c>
      <c r="P1288" s="7"/>
    </row>
    <row r="1289" customFormat="false" ht="15" hidden="false" customHeight="false" outlineLevel="0" collapsed="false">
      <c r="A1289" s="7" t="s">
        <v>2517</v>
      </c>
      <c r="B1289" s="7" t="s">
        <v>1882</v>
      </c>
      <c r="C1289" s="7" t="s">
        <v>1791</v>
      </c>
      <c r="D1289" s="6" t="s">
        <v>1791</v>
      </c>
      <c r="E1289" s="6" t="s">
        <v>1880</v>
      </c>
      <c r="F1289" s="7" t="str">
        <f aca="false">IF($D1289="","",IFERROR(IF(INDEX(Hierarchy!$B$2:$B$1295,MATCH($D1289,Hierarchy!$A$2:$A$1295,0))="","",INDEX(Hierarchy!$B$2:$B$1295,MATCH($D1289,Hierarchy!$A$2:$A$1295,0))),"NODE NOT FOUND"))</f>
        <v>Bucket</v>
      </c>
      <c r="G1289" s="7" t="str">
        <f aca="false">IF($D1289="","",IFERROR(IF(INDEX(Hierarchy!$D$2:$D$1295,MATCH($D1289,Hierarchy!$A$2:$A$1295,0))="","",INDEX(Hierarchy!$D$2:$D$1295,MATCH($D1289,Hierarchy!$A$2:$A$1295,0))),"NODE NOT FOUND"))</f>
        <v>Non-regional</v>
      </c>
      <c r="H1289" s="7" t="str">
        <f aca="false">IF($D1289="","",IFERROR(IF(INDEX(Hierarchy!$E$2:$E$1295,MATCH($D1289,Hierarchy!$A$2:$A$1295,0))="","",INDEX(Hierarchy!$E$2:$E$1295,MATCH($D1289,Hierarchy!$A$2:$A$1295,0))),"NODE NOT FOUND"))</f>
        <v/>
      </c>
      <c r="I1289" s="7" t="str">
        <f aca="false">IF($D1289="","",IFERROR(IF(INDEX(Hierarchy!$F$2:$F$1295,MATCH($D1289,Hierarchy!$A$2:$A$1295,0))="","",INDEX(Hierarchy!$F$2:$F$1295,MATCH($D1289,Hierarchy!$A$2:$A$1295,0))),"NODE NOT FOUND"))</f>
        <v/>
      </c>
      <c r="J1289" s="7" t="str">
        <f aca="false">IF($D1289="","",IFERROR(IF(INDEX(Hierarchy!$G$2:$G$1295,MATCH($D1289,Hierarchy!$A$2:$A$1295,0))="","",INDEX(Hierarchy!$G$2:$G$1295,MATCH($D1289,Hierarchy!$A$2:$A$1295,0))),"NODE NOT FOUND"))</f>
        <v/>
      </c>
      <c r="K1289" s="7" t="str">
        <f aca="false">IF($D1289="","",IFERROR(IF(INDEX(Hierarchy!$H$2:$H$1295,MATCH($D1289,Hierarchy!$A$2:$A$1295,0))="","",INDEX(Hierarchy!$H$2:$H$1295,MATCH($D1289,Hierarchy!$A$2:$A$1295,0))),"NODE NOT FOUND"))</f>
        <v/>
      </c>
      <c r="L1289" s="7" t="str">
        <f aca="false">IF($D1289="","",IFERROR(IF(INDEX(Hierarchy!$I$2:$I$1295,MATCH($D1289,Hierarchy!$A$2:$A$1295,0))="","",INDEX(Hierarchy!$I$2:$I$1295,MATCH($D1289,Hierarchy!$A$2:$A$1295,0))),"NODE NOT FOUND"))</f>
        <v/>
      </c>
      <c r="M1289" s="17" t="str">
        <f aca="false">IF(B1289="Pre-seeded","Pre-seeded",IF(B1289="Review 2026-09-16","Added from review",IF(C1289="","New",IF(C1289=D1289,"","Changed"))))</f>
        <v/>
      </c>
      <c r="N1289" s="7" t="str">
        <f aca="false">TRIM(SUBSTITUTE(SUBSTITUTE(SUBSTITUTE(" "&amp;TRIM(SUBSTITUTE(SUBSTITUTE(SUBSTITUTE(SUBSTITUTE(SUBSTITUTE(SUBSTITUTE(SUBSTITUTE(SUBSTITUTE(SUBSTITUTE(SUBSTITUTE(SUBSTITUTE(SUBSTITUTE(SUBSTITUTE(SUBSTITUTE(SUBSTITUTE(UPPER(TRIM(A1289)),"[MEMBER]",""),"{MEMBER}",""),"[MEMBER}",""),"MEMBER]",""),"(A)",""),"""",""),"“",""),"”",""),".",""),":",""),",",""),"–"," "),"-"," "),"/"," "),"&amp;"," AND "))&amp;" "," THE "," ")," TOTAL "," ")," OPERATIONS "," "))</f>
        <v>OTHER</v>
      </c>
      <c r="O1289" s="17" t="str">
        <f aca="false">IF(COUNTIFS($N$2:$N$2000,N1289,$D$2:$D$2000,"&lt;&gt;"&amp;D1289)&gt;0,"CONFLICT","")</f>
        <v/>
      </c>
      <c r="P1289" s="7"/>
    </row>
    <row r="1290" customFormat="false" ht="15" hidden="false" customHeight="false" outlineLevel="0" collapsed="false">
      <c r="A1290" s="7" t="s">
        <v>2518</v>
      </c>
      <c r="B1290" s="7" t="s">
        <v>1954</v>
      </c>
      <c r="C1290" s="7"/>
      <c r="D1290" s="6" t="s">
        <v>744</v>
      </c>
      <c r="E1290" s="6" t="s">
        <v>1898</v>
      </c>
      <c r="F1290" s="7" t="str">
        <f aca="false">IF($D1290="","",IFERROR(IF(INDEX(Hierarchy!$B$2:$B$1295,MATCH($D1290,Hierarchy!$A$2:$A$1295,0))="","",INDEX(Hierarchy!$B$2:$B$1295,MATCH($D1290,Hierarchy!$A$2:$A$1295,0))),"NODE NOT FOUND"))</f>
        <v>Sub-region group</v>
      </c>
      <c r="G1290" s="7" t="str">
        <f aca="false">IF($D1290="","",IFERROR(IF(INDEX(Hierarchy!$D$2:$D$1295,MATCH($D1290,Hierarchy!$A$2:$A$1295,0))="","",INDEX(Hierarchy!$D$2:$D$1295,MATCH($D1290,Hierarchy!$A$2:$A$1295,0))),"NODE NOT FOUND"))</f>
        <v>APAC</v>
      </c>
      <c r="H1290" s="7" t="str">
        <f aca="false">IF($D1290="","",IFERROR(IF(INDEX(Hierarchy!$E$2:$E$1295,MATCH($D1290,Hierarchy!$A$2:$A$1295,0))="","",INDEX(Hierarchy!$E$2:$E$1295,MATCH($D1290,Hierarchy!$A$2:$A$1295,0))),"NODE NOT FOUND"))</f>
        <v/>
      </c>
      <c r="I1290" s="7" t="str">
        <f aca="false">IF($D1290="","",IFERROR(IF(INDEX(Hierarchy!$F$2:$F$1295,MATCH($D1290,Hierarchy!$A$2:$A$1295,0))="","",INDEX(Hierarchy!$F$2:$F$1295,MATCH($D1290,Hierarchy!$A$2:$A$1295,0))),"NODE NOT FOUND"))</f>
        <v/>
      </c>
      <c r="J1290" s="7" t="str">
        <f aca="false">IF($D1290="","",IFERROR(IF(INDEX(Hierarchy!$G$2:$G$1295,MATCH($D1290,Hierarchy!$A$2:$A$1295,0))="","",INDEX(Hierarchy!$G$2:$G$1295,MATCH($D1290,Hierarchy!$A$2:$A$1295,0))),"NODE NOT FOUND"))</f>
        <v/>
      </c>
      <c r="K1290" s="7" t="str">
        <f aca="false">IF($D1290="","",IFERROR(IF(INDEX(Hierarchy!$H$2:$H$1295,MATCH($D1290,Hierarchy!$A$2:$A$1295,0))="","",INDEX(Hierarchy!$H$2:$H$1295,MATCH($D1290,Hierarchy!$A$2:$A$1295,0))),"NODE NOT FOUND"))</f>
        <v/>
      </c>
      <c r="L1290" s="7" t="str">
        <f aca="false">IF($D1290="","",IFERROR(IF(INDEX(Hierarchy!$I$2:$I$1295,MATCH($D1290,Hierarchy!$A$2:$A$1295,0))="","",INDEX(Hierarchy!$I$2:$I$1295,MATCH($D1290,Hierarchy!$A$2:$A$1295,0))),"NODE NOT FOUND"))</f>
        <v/>
      </c>
      <c r="M1290" s="17" t="str">
        <f aca="false">IF(B1290="Pre-seeded","Pre-seeded",IF(B1290="Review 2026-09-16","Added from review",IF(C1290="","New",IF(C1290=D1290,"","Changed"))))</f>
        <v>Added from review</v>
      </c>
      <c r="N1290" s="7" t="str">
        <f aca="false">TRIM(SUBSTITUTE(SUBSTITUTE(SUBSTITUTE(" "&amp;TRIM(SUBSTITUTE(SUBSTITUTE(SUBSTITUTE(SUBSTITUTE(SUBSTITUTE(SUBSTITUTE(SUBSTITUTE(SUBSTITUTE(SUBSTITUTE(SUBSTITUTE(SUBSTITUTE(SUBSTITUTE(SUBSTITUTE(SUBSTITUTE(SUBSTITUTE(UPPER(TRIM(A1290)),"[MEMBER]",""),"{MEMBER}",""),"[MEMBER}",""),"MEMBER]",""),"(A)",""),"""",""),"“",""),"”",""),".",""),":",""),",",""),"–"," "),"-"," "),"/"," "),"&amp;"," AND "))&amp;" "," THE "," ")," TOTAL "," ")," OPERATIONS "," "))</f>
        <v>OTHER ASIA</v>
      </c>
      <c r="O1290" s="17" t="str">
        <f aca="false">IF(COUNTIFS($N$2:$N$2000,N1290,$D$2:$D$2000,"&lt;&gt;"&amp;D1290)&gt;0,"CONFLICT","")</f>
        <v/>
      </c>
      <c r="P1290" s="7" t="s">
        <v>1955</v>
      </c>
    </row>
    <row r="1291" customFormat="false" ht="15" hidden="false" customHeight="false" outlineLevel="0" collapsed="false">
      <c r="A1291" s="7" t="s">
        <v>2519</v>
      </c>
      <c r="B1291" s="7" t="s">
        <v>1882</v>
      </c>
      <c r="C1291" s="7" t="s">
        <v>1791</v>
      </c>
      <c r="D1291" s="6" t="s">
        <v>1791</v>
      </c>
      <c r="E1291" s="6" t="s">
        <v>1880</v>
      </c>
      <c r="F1291" s="7" t="str">
        <f aca="false">IF($D1291="","",IFERROR(IF(INDEX(Hierarchy!$B$2:$B$1295,MATCH($D1291,Hierarchy!$A$2:$A$1295,0))="","",INDEX(Hierarchy!$B$2:$B$1295,MATCH($D1291,Hierarchy!$A$2:$A$1295,0))),"NODE NOT FOUND"))</f>
        <v>Bucket</v>
      </c>
      <c r="G1291" s="7" t="str">
        <f aca="false">IF($D1291="","",IFERROR(IF(INDEX(Hierarchy!$D$2:$D$1295,MATCH($D1291,Hierarchy!$A$2:$A$1295,0))="","",INDEX(Hierarchy!$D$2:$D$1295,MATCH($D1291,Hierarchy!$A$2:$A$1295,0))),"NODE NOT FOUND"))</f>
        <v>Non-regional</v>
      </c>
      <c r="H1291" s="7" t="str">
        <f aca="false">IF($D1291="","",IFERROR(IF(INDEX(Hierarchy!$E$2:$E$1295,MATCH($D1291,Hierarchy!$A$2:$A$1295,0))="","",INDEX(Hierarchy!$E$2:$E$1295,MATCH($D1291,Hierarchy!$A$2:$A$1295,0))),"NODE NOT FOUND"))</f>
        <v/>
      </c>
      <c r="I1291" s="7" t="str">
        <f aca="false">IF($D1291="","",IFERROR(IF(INDEX(Hierarchy!$F$2:$F$1295,MATCH($D1291,Hierarchy!$A$2:$A$1295,0))="","",INDEX(Hierarchy!$F$2:$F$1295,MATCH($D1291,Hierarchy!$A$2:$A$1295,0))),"NODE NOT FOUND"))</f>
        <v/>
      </c>
      <c r="J1291" s="7" t="str">
        <f aca="false">IF($D1291="","",IFERROR(IF(INDEX(Hierarchy!$G$2:$G$1295,MATCH($D1291,Hierarchy!$A$2:$A$1295,0))="","",INDEX(Hierarchy!$G$2:$G$1295,MATCH($D1291,Hierarchy!$A$2:$A$1295,0))),"NODE NOT FOUND"))</f>
        <v/>
      </c>
      <c r="K1291" s="7" t="str">
        <f aca="false">IF($D1291="","",IFERROR(IF(INDEX(Hierarchy!$H$2:$H$1295,MATCH($D1291,Hierarchy!$A$2:$A$1295,0))="","",INDEX(Hierarchy!$H$2:$H$1295,MATCH($D1291,Hierarchy!$A$2:$A$1295,0))),"NODE NOT FOUND"))</f>
        <v/>
      </c>
      <c r="L1291" s="7" t="str">
        <f aca="false">IF($D1291="","",IFERROR(IF(INDEX(Hierarchy!$I$2:$I$1295,MATCH($D1291,Hierarchy!$A$2:$A$1295,0))="","",INDEX(Hierarchy!$I$2:$I$1295,MATCH($D1291,Hierarchy!$A$2:$A$1295,0))),"NODE NOT FOUND"))</f>
        <v/>
      </c>
      <c r="M1291" s="17" t="str">
        <f aca="false">IF(B1291="Pre-seeded","Pre-seeded",IF(B1291="Review 2026-09-16","Added from review",IF(C1291="","New",IF(C1291=D1291,"","Changed"))))</f>
        <v/>
      </c>
      <c r="N1291" s="7" t="str">
        <f aca="false">TRIM(SUBSTITUTE(SUBSTITUTE(SUBSTITUTE(" "&amp;TRIM(SUBSTITUTE(SUBSTITUTE(SUBSTITUTE(SUBSTITUTE(SUBSTITUTE(SUBSTITUTE(SUBSTITUTE(SUBSTITUTE(SUBSTITUTE(SUBSTITUTE(SUBSTITUTE(SUBSTITUTE(SUBSTITUTE(SUBSTITUTE(SUBSTITUTE(UPPER(TRIM(A1291)),"[MEMBER]",""),"{MEMBER}",""),"[MEMBER}",""),"MEMBER]",""),"(A)",""),"""",""),"“",""),"”",""),".",""),":",""),",",""),"–"," "),"-"," "),"/"," "),"&amp;"," AND "))&amp;" "," THE "," ")," TOTAL "," ")," OPERATIONS "," "))</f>
        <v>OTHER</v>
      </c>
      <c r="O1291" s="17" t="str">
        <f aca="false">IF(COUNTIFS($N$2:$N$2000,N1291,$D$2:$D$2000,"&lt;&gt;"&amp;D1291)&gt;0,"CONFLICT","")</f>
        <v/>
      </c>
      <c r="P1291" s="7"/>
    </row>
    <row r="1292" customFormat="false" ht="15" hidden="false" customHeight="false" outlineLevel="0" collapsed="false">
      <c r="A1292" s="7" t="s">
        <v>2520</v>
      </c>
      <c r="B1292" s="7" t="s">
        <v>1882</v>
      </c>
      <c r="C1292" s="7" t="s">
        <v>1791</v>
      </c>
      <c r="D1292" s="6" t="s">
        <v>1791</v>
      </c>
      <c r="E1292" s="6" t="s">
        <v>1880</v>
      </c>
      <c r="F1292" s="7" t="str">
        <f aca="false">IF($D1292="","",IFERROR(IF(INDEX(Hierarchy!$B$2:$B$1295,MATCH($D1292,Hierarchy!$A$2:$A$1295,0))="","",INDEX(Hierarchy!$B$2:$B$1295,MATCH($D1292,Hierarchy!$A$2:$A$1295,0))),"NODE NOT FOUND"))</f>
        <v>Bucket</v>
      </c>
      <c r="G1292" s="7" t="str">
        <f aca="false">IF($D1292="","",IFERROR(IF(INDEX(Hierarchy!$D$2:$D$1295,MATCH($D1292,Hierarchy!$A$2:$A$1295,0))="","",INDEX(Hierarchy!$D$2:$D$1295,MATCH($D1292,Hierarchy!$A$2:$A$1295,0))),"NODE NOT FOUND"))</f>
        <v>Non-regional</v>
      </c>
      <c r="H1292" s="7" t="str">
        <f aca="false">IF($D1292="","",IFERROR(IF(INDEX(Hierarchy!$E$2:$E$1295,MATCH($D1292,Hierarchy!$A$2:$A$1295,0))="","",INDEX(Hierarchy!$E$2:$E$1295,MATCH($D1292,Hierarchy!$A$2:$A$1295,0))),"NODE NOT FOUND"))</f>
        <v/>
      </c>
      <c r="I1292" s="7" t="str">
        <f aca="false">IF($D1292="","",IFERROR(IF(INDEX(Hierarchy!$F$2:$F$1295,MATCH($D1292,Hierarchy!$A$2:$A$1295,0))="","",INDEX(Hierarchy!$F$2:$F$1295,MATCH($D1292,Hierarchy!$A$2:$A$1295,0))),"NODE NOT FOUND"))</f>
        <v/>
      </c>
      <c r="J1292" s="7" t="str">
        <f aca="false">IF($D1292="","",IFERROR(IF(INDEX(Hierarchy!$G$2:$G$1295,MATCH($D1292,Hierarchy!$A$2:$A$1295,0))="","",INDEX(Hierarchy!$G$2:$G$1295,MATCH($D1292,Hierarchy!$A$2:$A$1295,0))),"NODE NOT FOUND"))</f>
        <v/>
      </c>
      <c r="K1292" s="7" t="str">
        <f aca="false">IF($D1292="","",IFERROR(IF(INDEX(Hierarchy!$H$2:$H$1295,MATCH($D1292,Hierarchy!$A$2:$A$1295,0))="","",INDEX(Hierarchy!$H$2:$H$1295,MATCH($D1292,Hierarchy!$A$2:$A$1295,0))),"NODE NOT FOUND"))</f>
        <v/>
      </c>
      <c r="L1292" s="7" t="str">
        <f aca="false">IF($D1292="","",IFERROR(IF(INDEX(Hierarchy!$I$2:$I$1295,MATCH($D1292,Hierarchy!$A$2:$A$1295,0))="","",INDEX(Hierarchy!$I$2:$I$1295,MATCH($D1292,Hierarchy!$A$2:$A$1295,0))),"NODE NOT FOUND"))</f>
        <v/>
      </c>
      <c r="M1292" s="17" t="str">
        <f aca="false">IF(B1292="Pre-seeded","Pre-seeded",IF(B1292="Review 2026-09-16","Added from review",IF(C1292="","New",IF(C1292=D1292,"","Changed"))))</f>
        <v/>
      </c>
      <c r="N1292" s="7" t="str">
        <f aca="false">TRIM(SUBSTITUTE(SUBSTITUTE(SUBSTITUTE(" "&amp;TRIM(SUBSTITUTE(SUBSTITUTE(SUBSTITUTE(SUBSTITUTE(SUBSTITUTE(SUBSTITUTE(SUBSTITUTE(SUBSTITUTE(SUBSTITUTE(SUBSTITUTE(SUBSTITUTE(SUBSTITUTE(SUBSTITUTE(SUBSTITUTE(SUBSTITUTE(UPPER(TRIM(A1292)),"[MEMBER]",""),"{MEMBER}",""),"[MEMBER}",""),"MEMBER]",""),"(A)",""),"""",""),"“",""),"”",""),".",""),":",""),",",""),"–"," "),"-"," "),"/"," "),"&amp;"," AND "))&amp;" "," THE "," ")," TOTAL "," ")," OPERATIONS "," "))</f>
        <v>OTHER</v>
      </c>
      <c r="O1292" s="17" t="str">
        <f aca="false">IF(COUNTIFS($N$2:$N$2000,N1292,$D$2:$D$2000,"&lt;&gt;"&amp;D1292)&gt;0,"CONFLICT","")</f>
        <v/>
      </c>
      <c r="P1292" s="7"/>
    </row>
    <row r="1293" customFormat="false" ht="15" hidden="false" customHeight="false" outlineLevel="0" collapsed="false">
      <c r="A1293" s="7" t="s">
        <v>2521</v>
      </c>
      <c r="B1293" s="7" t="s">
        <v>1885</v>
      </c>
      <c r="C1293" s="7" t="s">
        <v>1791</v>
      </c>
      <c r="D1293" s="6" t="s">
        <v>1791</v>
      </c>
      <c r="E1293" s="6" t="s">
        <v>1898</v>
      </c>
      <c r="F1293" s="7" t="str">
        <f aca="false">IF($D1293="","",IFERROR(IF(INDEX(Hierarchy!$B$2:$B$1295,MATCH($D1293,Hierarchy!$A$2:$A$1295,0))="","",INDEX(Hierarchy!$B$2:$B$1295,MATCH($D1293,Hierarchy!$A$2:$A$1295,0))),"NODE NOT FOUND"))</f>
        <v>Bucket</v>
      </c>
      <c r="G1293" s="7" t="str">
        <f aca="false">IF($D1293="","",IFERROR(IF(INDEX(Hierarchy!$D$2:$D$1295,MATCH($D1293,Hierarchy!$A$2:$A$1295,0))="","",INDEX(Hierarchy!$D$2:$D$1295,MATCH($D1293,Hierarchy!$A$2:$A$1295,0))),"NODE NOT FOUND"))</f>
        <v>Non-regional</v>
      </c>
      <c r="H1293" s="7" t="str">
        <f aca="false">IF($D1293="","",IFERROR(IF(INDEX(Hierarchy!$E$2:$E$1295,MATCH($D1293,Hierarchy!$A$2:$A$1295,0))="","",INDEX(Hierarchy!$E$2:$E$1295,MATCH($D1293,Hierarchy!$A$2:$A$1295,0))),"NODE NOT FOUND"))</f>
        <v/>
      </c>
      <c r="I1293" s="7" t="str">
        <f aca="false">IF($D1293="","",IFERROR(IF(INDEX(Hierarchy!$F$2:$F$1295,MATCH($D1293,Hierarchy!$A$2:$A$1295,0))="","",INDEX(Hierarchy!$F$2:$F$1295,MATCH($D1293,Hierarchy!$A$2:$A$1295,0))),"NODE NOT FOUND"))</f>
        <v/>
      </c>
      <c r="J1293" s="7" t="str">
        <f aca="false">IF($D1293="","",IFERROR(IF(INDEX(Hierarchy!$G$2:$G$1295,MATCH($D1293,Hierarchy!$A$2:$A$1295,0))="","",INDEX(Hierarchy!$G$2:$G$1295,MATCH($D1293,Hierarchy!$A$2:$A$1295,0))),"NODE NOT FOUND"))</f>
        <v/>
      </c>
      <c r="K1293" s="7" t="str">
        <f aca="false">IF($D1293="","",IFERROR(IF(INDEX(Hierarchy!$H$2:$H$1295,MATCH($D1293,Hierarchy!$A$2:$A$1295,0))="","",INDEX(Hierarchy!$H$2:$H$1295,MATCH($D1293,Hierarchy!$A$2:$A$1295,0))),"NODE NOT FOUND"))</f>
        <v/>
      </c>
      <c r="L1293" s="7" t="str">
        <f aca="false">IF($D1293="","",IFERROR(IF(INDEX(Hierarchy!$I$2:$I$1295,MATCH($D1293,Hierarchy!$A$2:$A$1295,0))="","",INDEX(Hierarchy!$I$2:$I$1295,MATCH($D1293,Hierarchy!$A$2:$A$1295,0))),"NODE NOT FOUND"))</f>
        <v/>
      </c>
      <c r="M1293" s="17" t="str">
        <f aca="false">IF(B1293="Pre-seeded","Pre-seeded",IF(B1293="Review 2026-09-16","Added from review",IF(C1293="","New",IF(C1293=D1293,"","Changed"))))</f>
        <v/>
      </c>
      <c r="N1293" s="7" t="str">
        <f aca="false">TRIM(SUBSTITUTE(SUBSTITUTE(SUBSTITUTE(" "&amp;TRIM(SUBSTITUTE(SUBSTITUTE(SUBSTITUTE(SUBSTITUTE(SUBSTITUTE(SUBSTITUTE(SUBSTITUTE(SUBSTITUTE(SUBSTITUTE(SUBSTITUTE(SUBSTITUTE(SUBSTITUTE(SUBSTITUTE(SUBSTITUTE(SUBSTITUTE(UPPER(TRIM(A1293)),"[MEMBER]",""),"{MEMBER}",""),"[MEMBER}",""),"MEMBER]",""),"(A)",""),"""",""),"“",""),"”",""),".",""),":",""),",",""),"–"," "),"-"," "),"/"," "),"&amp;"," AND "))&amp;" "," THE "," ")," TOTAL "," ")," OPERATIONS "," "))</f>
        <v>OTHERS</v>
      </c>
      <c r="O1293" s="17" t="str">
        <f aca="false">IF(COUNTIFS($N$2:$N$2000,N1293,$D$2:$D$2000,"&lt;&gt;"&amp;D1293)&gt;0,"CONFLICT","")</f>
        <v/>
      </c>
      <c r="P1293" s="7"/>
    </row>
    <row r="1294" customFormat="false" ht="15" hidden="false" customHeight="false" outlineLevel="0" collapsed="false">
      <c r="A1294" s="7" t="s">
        <v>2522</v>
      </c>
      <c r="B1294" s="7" t="s">
        <v>1885</v>
      </c>
      <c r="C1294" s="7" t="s">
        <v>271</v>
      </c>
      <c r="D1294" s="6" t="s">
        <v>1784</v>
      </c>
      <c r="E1294" s="6" t="s">
        <v>1880</v>
      </c>
      <c r="F1294" s="7" t="str">
        <f aca="false">IF($D1294="","",IFERROR(IF(INDEX(Hierarchy!$B$2:$B$1295,MATCH($D1294,Hierarchy!$A$2:$A$1295,0))="","",INDEX(Hierarchy!$B$2:$B$1295,MATCH($D1294,Hierarchy!$A$2:$A$1295,0))),"NODE NOT FOUND"))</f>
        <v>Bucket</v>
      </c>
      <c r="G1294" s="7" t="str">
        <f aca="false">IF($D1294="","",IFERROR(IF(INDEX(Hierarchy!$D$2:$D$1295,MATCH($D1294,Hierarchy!$A$2:$A$1295,0))="","",INDEX(Hierarchy!$D$2:$D$1295,MATCH($D1294,Hierarchy!$A$2:$A$1295,0))),"NODE NOT FOUND"))</f>
        <v>Non-regional</v>
      </c>
      <c r="H1294" s="7" t="str">
        <f aca="false">IF($D1294="","",IFERROR(IF(INDEX(Hierarchy!$E$2:$E$1295,MATCH($D1294,Hierarchy!$A$2:$A$1295,0))="","",INDEX(Hierarchy!$E$2:$E$1295,MATCH($D1294,Hierarchy!$A$2:$A$1295,0))),"NODE NOT FOUND"))</f>
        <v/>
      </c>
      <c r="I1294" s="7" t="str">
        <f aca="false">IF($D1294="","",IFERROR(IF(INDEX(Hierarchy!$F$2:$F$1295,MATCH($D1294,Hierarchy!$A$2:$A$1295,0))="","",INDEX(Hierarchy!$F$2:$F$1295,MATCH($D1294,Hierarchy!$A$2:$A$1295,0))),"NODE NOT FOUND"))</f>
        <v/>
      </c>
      <c r="J1294" s="7" t="str">
        <f aca="false">IF($D1294="","",IFERROR(IF(INDEX(Hierarchy!$G$2:$G$1295,MATCH($D1294,Hierarchy!$A$2:$A$1295,0))="","",INDEX(Hierarchy!$G$2:$G$1295,MATCH($D1294,Hierarchy!$A$2:$A$1295,0))),"NODE NOT FOUND"))</f>
        <v/>
      </c>
      <c r="K1294" s="7" t="str">
        <f aca="false">IF($D1294="","",IFERROR(IF(INDEX(Hierarchy!$H$2:$H$1295,MATCH($D1294,Hierarchy!$A$2:$A$1295,0))="","",INDEX(Hierarchy!$H$2:$H$1295,MATCH($D1294,Hierarchy!$A$2:$A$1295,0))),"NODE NOT FOUND"))</f>
        <v/>
      </c>
      <c r="L1294" s="7" t="str">
        <f aca="false">IF($D1294="","",IFERROR(IF(INDEX(Hierarchy!$I$2:$I$1295,MATCH($D1294,Hierarchy!$A$2:$A$1295,0))="","",INDEX(Hierarchy!$I$2:$I$1295,MATCH($D1294,Hierarchy!$A$2:$A$1295,0))),"NODE NOT FOUND"))</f>
        <v/>
      </c>
      <c r="M1294" s="17" t="str">
        <f aca="false">IF(B1294="Pre-seeded","Pre-seeded",IF(B1294="Review 2026-09-16","Added from review",IF(C1294="","New",IF(C1294=D1294,"","Changed"))))</f>
        <v>Changed</v>
      </c>
      <c r="N1294" s="7" t="str">
        <f aca="false">TRIM(SUBSTITUTE(SUBSTITUTE(SUBSTITUTE(" "&amp;TRIM(SUBSTITUTE(SUBSTITUTE(SUBSTITUTE(SUBSTITUTE(SUBSTITUTE(SUBSTITUTE(SUBSTITUTE(SUBSTITUTE(SUBSTITUTE(SUBSTITUTE(SUBSTITUTE(SUBSTITUTE(SUBSTITUTE(SUBSTITUTE(SUBSTITUTE(UPPER(TRIM(A1294)),"[MEMBER]",""),"{MEMBER}",""),"[MEMBER}",""),"MEMBER]",""),"(A)",""),"""",""),"“",""),"”",""),".",""),":",""),",",""),"–"," "),"-"," "),"/"," "),"&amp;"," AND "))&amp;" "," THE "," ")," TOTAL "," ")," OPERATIONS "," "))</f>
        <v>OUTSIDE CANADA</v>
      </c>
      <c r="O1294" s="17" t="str">
        <f aca="false">IF(COUNTIFS($N$2:$N$2000,N1294,$D$2:$D$2000,"&lt;&gt;"&amp;D1294)&gt;0,"CONFLICT","")</f>
        <v/>
      </c>
      <c r="P1294" s="7" t="s">
        <v>2523</v>
      </c>
    </row>
    <row r="1295" customFormat="false" ht="15" hidden="false" customHeight="false" outlineLevel="0" collapsed="false">
      <c r="A1295" s="7" t="s">
        <v>2524</v>
      </c>
      <c r="B1295" s="7" t="s">
        <v>1885</v>
      </c>
      <c r="C1295" s="7" t="s">
        <v>86</v>
      </c>
      <c r="D1295" s="6" t="s">
        <v>1784</v>
      </c>
      <c r="E1295" s="6" t="s">
        <v>1891</v>
      </c>
      <c r="F1295" s="7" t="str">
        <f aca="false">IF($D1295="","",IFERROR(IF(INDEX(Hierarchy!$B$2:$B$1295,MATCH($D1295,Hierarchy!$A$2:$A$1295,0))="","",INDEX(Hierarchy!$B$2:$B$1295,MATCH($D1295,Hierarchy!$A$2:$A$1295,0))),"NODE NOT FOUND"))</f>
        <v>Bucket</v>
      </c>
      <c r="G1295" s="7" t="str">
        <f aca="false">IF($D1295="","",IFERROR(IF(INDEX(Hierarchy!$D$2:$D$1295,MATCH($D1295,Hierarchy!$A$2:$A$1295,0))="","",INDEX(Hierarchy!$D$2:$D$1295,MATCH($D1295,Hierarchy!$A$2:$A$1295,0))),"NODE NOT FOUND"))</f>
        <v>Non-regional</v>
      </c>
      <c r="H1295" s="7" t="str">
        <f aca="false">IF($D1295="","",IFERROR(IF(INDEX(Hierarchy!$E$2:$E$1295,MATCH($D1295,Hierarchy!$A$2:$A$1295,0))="","",INDEX(Hierarchy!$E$2:$E$1295,MATCH($D1295,Hierarchy!$A$2:$A$1295,0))),"NODE NOT FOUND"))</f>
        <v/>
      </c>
      <c r="I1295" s="7" t="str">
        <f aca="false">IF($D1295="","",IFERROR(IF(INDEX(Hierarchy!$F$2:$F$1295,MATCH($D1295,Hierarchy!$A$2:$A$1295,0))="","",INDEX(Hierarchy!$F$2:$F$1295,MATCH($D1295,Hierarchy!$A$2:$A$1295,0))),"NODE NOT FOUND"))</f>
        <v/>
      </c>
      <c r="J1295" s="7" t="str">
        <f aca="false">IF($D1295="","",IFERROR(IF(INDEX(Hierarchy!$G$2:$G$1295,MATCH($D1295,Hierarchy!$A$2:$A$1295,0))="","",INDEX(Hierarchy!$G$2:$G$1295,MATCH($D1295,Hierarchy!$A$2:$A$1295,0))),"NODE NOT FOUND"))</f>
        <v/>
      </c>
      <c r="K1295" s="7" t="str">
        <f aca="false">IF($D1295="","",IFERROR(IF(INDEX(Hierarchy!$H$2:$H$1295,MATCH($D1295,Hierarchy!$A$2:$A$1295,0))="","",INDEX(Hierarchy!$H$2:$H$1295,MATCH($D1295,Hierarchy!$A$2:$A$1295,0))),"NODE NOT FOUND"))</f>
        <v/>
      </c>
      <c r="L1295" s="7" t="str">
        <f aca="false">IF($D1295="","",IFERROR(IF(INDEX(Hierarchy!$I$2:$I$1295,MATCH($D1295,Hierarchy!$A$2:$A$1295,0))="","",INDEX(Hierarchy!$I$2:$I$1295,MATCH($D1295,Hierarchy!$A$2:$A$1295,0))),"NODE NOT FOUND"))</f>
        <v/>
      </c>
      <c r="M1295" s="17" t="str">
        <f aca="false">IF(B1295="Pre-seeded","Pre-seeded",IF(B1295="Review 2026-09-16","Added from review",IF(C1295="","New",IF(C1295=D1295,"","Changed"))))</f>
        <v>Changed</v>
      </c>
      <c r="N1295" s="7" t="str">
        <f aca="false">TRIM(SUBSTITUTE(SUBSTITUTE(SUBSTITUTE(" "&amp;TRIM(SUBSTITUTE(SUBSTITUTE(SUBSTITUTE(SUBSTITUTE(SUBSTITUTE(SUBSTITUTE(SUBSTITUTE(SUBSTITUTE(SUBSTITUTE(SUBSTITUTE(SUBSTITUTE(SUBSTITUTE(SUBSTITUTE(SUBSTITUTE(SUBSTITUTE(UPPER(TRIM(A1295)),"[MEMBER]",""),"{MEMBER}",""),"[MEMBER}",""),"MEMBER]",""),"(A)",""),"""",""),"“",""),"”",""),".",""),":",""),",",""),"–"," "),"-"," "),"/"," "),"&amp;"," AND "))&amp;" "," THE "," ")," TOTAL "," ")," OPERATIONS "," "))</f>
        <v>OUTSIDE OF NORTH AMERICA</v>
      </c>
      <c r="O1295" s="17" t="str">
        <f aca="false">IF(COUNTIFS($N$2:$N$2000,N1295,$D$2:$D$2000,"&lt;&gt;"&amp;D1295)&gt;0,"CONFLICT","")</f>
        <v/>
      </c>
      <c r="P1295" s="7" t="s">
        <v>2195</v>
      </c>
    </row>
    <row r="1296" customFormat="false" ht="15" hidden="false" customHeight="false" outlineLevel="0" collapsed="false">
      <c r="A1296" s="7" t="s">
        <v>2525</v>
      </c>
      <c r="B1296" s="7" t="s">
        <v>1882</v>
      </c>
      <c r="C1296" s="7" t="s">
        <v>2207</v>
      </c>
      <c r="D1296" s="6" t="s">
        <v>1784</v>
      </c>
      <c r="E1296" s="6" t="s">
        <v>1880</v>
      </c>
      <c r="F1296" s="7" t="str">
        <f aca="false">IF($D1296="","",IFERROR(IF(INDEX(Hierarchy!$B$2:$B$1295,MATCH($D1296,Hierarchy!$A$2:$A$1295,0))="","",INDEX(Hierarchy!$B$2:$B$1295,MATCH($D1296,Hierarchy!$A$2:$A$1295,0))),"NODE NOT FOUND"))</f>
        <v>Bucket</v>
      </c>
      <c r="G1296" s="7" t="str">
        <f aca="false">IF($D1296="","",IFERROR(IF(INDEX(Hierarchy!$D$2:$D$1295,MATCH($D1296,Hierarchy!$A$2:$A$1295,0))="","",INDEX(Hierarchy!$D$2:$D$1295,MATCH($D1296,Hierarchy!$A$2:$A$1295,0))),"NODE NOT FOUND"))</f>
        <v>Non-regional</v>
      </c>
      <c r="H1296" s="7" t="str">
        <f aca="false">IF($D1296="","",IFERROR(IF(INDEX(Hierarchy!$E$2:$E$1295,MATCH($D1296,Hierarchy!$A$2:$A$1295,0))="","",INDEX(Hierarchy!$E$2:$E$1295,MATCH($D1296,Hierarchy!$A$2:$A$1295,0))),"NODE NOT FOUND"))</f>
        <v/>
      </c>
      <c r="I1296" s="7" t="str">
        <f aca="false">IF($D1296="","",IFERROR(IF(INDEX(Hierarchy!$F$2:$F$1295,MATCH($D1296,Hierarchy!$A$2:$A$1295,0))="","",INDEX(Hierarchy!$F$2:$F$1295,MATCH($D1296,Hierarchy!$A$2:$A$1295,0))),"NODE NOT FOUND"))</f>
        <v/>
      </c>
      <c r="J1296" s="7" t="str">
        <f aca="false">IF($D1296="","",IFERROR(IF(INDEX(Hierarchy!$G$2:$G$1295,MATCH($D1296,Hierarchy!$A$2:$A$1295,0))="","",INDEX(Hierarchy!$G$2:$G$1295,MATCH($D1296,Hierarchy!$A$2:$A$1295,0))),"NODE NOT FOUND"))</f>
        <v/>
      </c>
      <c r="K1296" s="7" t="str">
        <f aca="false">IF($D1296="","",IFERROR(IF(INDEX(Hierarchy!$H$2:$H$1295,MATCH($D1296,Hierarchy!$A$2:$A$1295,0))="","",INDEX(Hierarchy!$H$2:$H$1295,MATCH($D1296,Hierarchy!$A$2:$A$1295,0))),"NODE NOT FOUND"))</f>
        <v/>
      </c>
      <c r="L1296" s="7" t="str">
        <f aca="false">IF($D1296="","",IFERROR(IF(INDEX(Hierarchy!$I$2:$I$1295,MATCH($D1296,Hierarchy!$A$2:$A$1295,0))="","",INDEX(Hierarchy!$I$2:$I$1295,MATCH($D1296,Hierarchy!$A$2:$A$1295,0))),"NODE NOT FOUND"))</f>
        <v/>
      </c>
      <c r="M1296" s="17" t="str">
        <f aca="false">IF(B1296="Pre-seeded","Pre-seeded",IF(B1296="Review 2026-09-16","Added from review",IF(C1296="","New",IF(C1296=D1296,"","Changed"))))</f>
        <v>Changed</v>
      </c>
      <c r="N1296" s="7" t="str">
        <f aca="false">TRIM(SUBSTITUTE(SUBSTITUTE(SUBSTITUTE(" "&amp;TRIM(SUBSTITUTE(SUBSTITUTE(SUBSTITUTE(SUBSTITUTE(SUBSTITUTE(SUBSTITUTE(SUBSTITUTE(SUBSTITUTE(SUBSTITUTE(SUBSTITUTE(SUBSTITUTE(SUBSTITUTE(SUBSTITUTE(SUBSTITUTE(SUBSTITUTE(UPPER(TRIM(A1296)),"[MEMBER]",""),"{MEMBER}",""),"[MEMBER}",""),"MEMBER]",""),"(A)",""),"""",""),"“",""),"”",""),".",""),":",""),",",""),"–"," "),"-"," "),"/"," "),"&amp;"," AND "))&amp;" "," THE "," ")," TOTAL "," ")," OPERATIONS "," "))</f>
        <v>OUTSIDE OF US</v>
      </c>
      <c r="O1296" s="17" t="str">
        <f aca="false">IF(COUNTIFS($N$2:$N$2000,N1296,$D$2:$D$2000,"&lt;&gt;"&amp;D1296)&gt;0,"CONFLICT","")</f>
        <v/>
      </c>
      <c r="P1296" s="7" t="s">
        <v>2208</v>
      </c>
    </row>
    <row r="1297" customFormat="false" ht="15" hidden="false" customHeight="false" outlineLevel="0" collapsed="false">
      <c r="A1297" s="7" t="s">
        <v>2526</v>
      </c>
      <c r="B1297" s="7" t="s">
        <v>1882</v>
      </c>
      <c r="C1297" s="7" t="s">
        <v>2207</v>
      </c>
      <c r="D1297" s="6" t="s">
        <v>1784</v>
      </c>
      <c r="E1297" s="6" t="s">
        <v>1880</v>
      </c>
      <c r="F1297" s="7" t="str">
        <f aca="false">IF($D1297="","",IFERROR(IF(INDEX(Hierarchy!$B$2:$B$1295,MATCH($D1297,Hierarchy!$A$2:$A$1295,0))="","",INDEX(Hierarchy!$B$2:$B$1295,MATCH($D1297,Hierarchy!$A$2:$A$1295,0))),"NODE NOT FOUND"))</f>
        <v>Bucket</v>
      </c>
      <c r="G1297" s="7" t="str">
        <f aca="false">IF($D1297="","",IFERROR(IF(INDEX(Hierarchy!$D$2:$D$1295,MATCH($D1297,Hierarchy!$A$2:$A$1295,0))="","",INDEX(Hierarchy!$D$2:$D$1295,MATCH($D1297,Hierarchy!$A$2:$A$1295,0))),"NODE NOT FOUND"))</f>
        <v>Non-regional</v>
      </c>
      <c r="H1297" s="7" t="str">
        <f aca="false">IF($D1297="","",IFERROR(IF(INDEX(Hierarchy!$E$2:$E$1295,MATCH($D1297,Hierarchy!$A$2:$A$1295,0))="","",INDEX(Hierarchy!$E$2:$E$1295,MATCH($D1297,Hierarchy!$A$2:$A$1295,0))),"NODE NOT FOUND"))</f>
        <v/>
      </c>
      <c r="I1297" s="7" t="str">
        <f aca="false">IF($D1297="","",IFERROR(IF(INDEX(Hierarchy!$F$2:$F$1295,MATCH($D1297,Hierarchy!$A$2:$A$1295,0))="","",INDEX(Hierarchy!$F$2:$F$1295,MATCH($D1297,Hierarchy!$A$2:$A$1295,0))),"NODE NOT FOUND"))</f>
        <v/>
      </c>
      <c r="J1297" s="7" t="str">
        <f aca="false">IF($D1297="","",IFERROR(IF(INDEX(Hierarchy!$G$2:$G$1295,MATCH($D1297,Hierarchy!$A$2:$A$1295,0))="","",INDEX(Hierarchy!$G$2:$G$1295,MATCH($D1297,Hierarchy!$A$2:$A$1295,0))),"NODE NOT FOUND"))</f>
        <v/>
      </c>
      <c r="K1297" s="7" t="str">
        <f aca="false">IF($D1297="","",IFERROR(IF(INDEX(Hierarchy!$H$2:$H$1295,MATCH($D1297,Hierarchy!$A$2:$A$1295,0))="","",INDEX(Hierarchy!$H$2:$H$1295,MATCH($D1297,Hierarchy!$A$2:$A$1295,0))),"NODE NOT FOUND"))</f>
        <v/>
      </c>
      <c r="L1297" s="7" t="str">
        <f aca="false">IF($D1297="","",IFERROR(IF(INDEX(Hierarchy!$I$2:$I$1295,MATCH($D1297,Hierarchy!$A$2:$A$1295,0))="","",INDEX(Hierarchy!$I$2:$I$1295,MATCH($D1297,Hierarchy!$A$2:$A$1295,0))),"NODE NOT FOUND"))</f>
        <v/>
      </c>
      <c r="M1297" s="17" t="str">
        <f aca="false">IF(B1297="Pre-seeded","Pre-seeded",IF(B1297="Review 2026-09-16","Added from review",IF(C1297="","New",IF(C1297=D1297,"","Changed"))))</f>
        <v>Changed</v>
      </c>
      <c r="N1297" s="7" t="str">
        <f aca="false">TRIM(SUBSTITUTE(SUBSTITUTE(SUBSTITUTE(" "&amp;TRIM(SUBSTITUTE(SUBSTITUTE(SUBSTITUTE(SUBSTITUTE(SUBSTITUTE(SUBSTITUTE(SUBSTITUTE(SUBSTITUTE(SUBSTITUTE(SUBSTITUTE(SUBSTITUTE(SUBSTITUTE(SUBSTITUTE(SUBSTITUTE(SUBSTITUTE(UPPER(TRIM(A1297)),"[MEMBER]",""),"{MEMBER}",""),"[MEMBER}",""),"MEMBER]",""),"(A)",""),"""",""),"“",""),"”",""),".",""),":",""),",",""),"–"," "),"-"," "),"/"," "),"&amp;"," AND "))&amp;" "," THE "," ")," TOTAL "," ")," OPERATIONS "," "))</f>
        <v>OUTSIDE OF UNITED STATES</v>
      </c>
      <c r="O1297" s="17" t="str">
        <f aca="false">IF(COUNTIFS($N$2:$N$2000,N1297,$D$2:$D$2000,"&lt;&gt;"&amp;D1297)&gt;0,"CONFLICT","")</f>
        <v/>
      </c>
      <c r="P1297" s="7" t="s">
        <v>2208</v>
      </c>
    </row>
    <row r="1298" customFormat="false" ht="15" hidden="false" customHeight="false" outlineLevel="0" collapsed="false">
      <c r="A1298" s="7" t="s">
        <v>2527</v>
      </c>
      <c r="B1298" s="7" t="s">
        <v>1885</v>
      </c>
      <c r="C1298" s="7" t="s">
        <v>1316</v>
      </c>
      <c r="D1298" s="6" t="s">
        <v>1784</v>
      </c>
      <c r="E1298" s="6" t="s">
        <v>1891</v>
      </c>
      <c r="F1298" s="7" t="str">
        <f aca="false">IF($D1298="","",IFERROR(IF(INDEX(Hierarchy!$B$2:$B$1295,MATCH($D1298,Hierarchy!$A$2:$A$1295,0))="","",INDEX(Hierarchy!$B$2:$B$1295,MATCH($D1298,Hierarchy!$A$2:$A$1295,0))),"NODE NOT FOUND"))</f>
        <v>Bucket</v>
      </c>
      <c r="G1298" s="7" t="str">
        <f aca="false">IF($D1298="","",IFERROR(IF(INDEX(Hierarchy!$D$2:$D$1295,MATCH($D1298,Hierarchy!$A$2:$A$1295,0))="","",INDEX(Hierarchy!$D$2:$D$1295,MATCH($D1298,Hierarchy!$A$2:$A$1295,0))),"NODE NOT FOUND"))</f>
        <v>Non-regional</v>
      </c>
      <c r="H1298" s="7" t="str">
        <f aca="false">IF($D1298="","",IFERROR(IF(INDEX(Hierarchy!$E$2:$E$1295,MATCH($D1298,Hierarchy!$A$2:$A$1295,0))="","",INDEX(Hierarchy!$E$2:$E$1295,MATCH($D1298,Hierarchy!$A$2:$A$1295,0))),"NODE NOT FOUND"))</f>
        <v/>
      </c>
      <c r="I1298" s="7" t="str">
        <f aca="false">IF($D1298="","",IFERROR(IF(INDEX(Hierarchy!$F$2:$F$1295,MATCH($D1298,Hierarchy!$A$2:$A$1295,0))="","",INDEX(Hierarchy!$F$2:$F$1295,MATCH($D1298,Hierarchy!$A$2:$A$1295,0))),"NODE NOT FOUND"))</f>
        <v/>
      </c>
      <c r="J1298" s="7" t="str">
        <f aca="false">IF($D1298="","",IFERROR(IF(INDEX(Hierarchy!$G$2:$G$1295,MATCH($D1298,Hierarchy!$A$2:$A$1295,0))="","",INDEX(Hierarchy!$G$2:$G$1295,MATCH($D1298,Hierarchy!$A$2:$A$1295,0))),"NODE NOT FOUND"))</f>
        <v/>
      </c>
      <c r="K1298" s="7" t="str">
        <f aca="false">IF($D1298="","",IFERROR(IF(INDEX(Hierarchy!$H$2:$H$1295,MATCH($D1298,Hierarchy!$A$2:$A$1295,0))="","",INDEX(Hierarchy!$H$2:$H$1295,MATCH($D1298,Hierarchy!$A$2:$A$1295,0))),"NODE NOT FOUND"))</f>
        <v/>
      </c>
      <c r="L1298" s="7" t="str">
        <f aca="false">IF($D1298="","",IFERROR(IF(INDEX(Hierarchy!$I$2:$I$1295,MATCH($D1298,Hierarchy!$A$2:$A$1295,0))="","",INDEX(Hierarchy!$I$2:$I$1295,MATCH($D1298,Hierarchy!$A$2:$A$1295,0))),"NODE NOT FOUND"))</f>
        <v/>
      </c>
      <c r="M1298" s="17" t="str">
        <f aca="false">IF(B1298="Pre-seeded","Pre-seeded",IF(B1298="Review 2026-09-16","Added from review",IF(C1298="","New",IF(C1298=D1298,"","Changed"))))</f>
        <v>Changed</v>
      </c>
      <c r="N1298" s="7" t="str">
        <f aca="false">TRIM(SUBSTITUTE(SUBSTITUTE(SUBSTITUTE(" "&amp;TRIM(SUBSTITUTE(SUBSTITUTE(SUBSTITUTE(SUBSTITUTE(SUBSTITUTE(SUBSTITUTE(SUBSTITUTE(SUBSTITUTE(SUBSTITUTE(SUBSTITUTE(SUBSTITUTE(SUBSTITUTE(SUBSTITUTE(SUBSTITUTE(SUBSTITUTE(UPPER(TRIM(A1298)),"[MEMBER]",""),"{MEMBER}",""),"[MEMBER}",""),"MEMBER]",""),"(A)",""),"""",""),"“",""),"”",""),".",""),":",""),",",""),"–"," "),"-"," "),"/"," "),"&amp;"," AND "))&amp;" "," THE "," ")," TOTAL "," ")," OPERATIONS "," "))</f>
        <v>OUTSIDE OF UNITED STATES AND INDIA</v>
      </c>
      <c r="O1298" s="17" t="str">
        <f aca="false">IF(COUNTIFS($N$2:$N$2000,N1298,$D$2:$D$2000,"&lt;&gt;"&amp;D1298)&gt;0,"CONFLICT","")</f>
        <v/>
      </c>
      <c r="P1298" s="7" t="s">
        <v>2528</v>
      </c>
    </row>
    <row r="1299" customFormat="false" ht="15" hidden="false" customHeight="false" outlineLevel="0" collapsed="false">
      <c r="A1299" s="7" t="s">
        <v>2529</v>
      </c>
      <c r="B1299" s="7" t="s">
        <v>1885</v>
      </c>
      <c r="C1299" s="7" t="s">
        <v>1488</v>
      </c>
      <c r="D1299" s="6" t="s">
        <v>1784</v>
      </c>
      <c r="E1299" s="6" t="s">
        <v>1891</v>
      </c>
      <c r="F1299" s="7" t="str">
        <f aca="false">IF($D1299="","",IFERROR(IF(INDEX(Hierarchy!$B$2:$B$1295,MATCH($D1299,Hierarchy!$A$2:$A$1295,0))="","",INDEX(Hierarchy!$B$2:$B$1295,MATCH($D1299,Hierarchy!$A$2:$A$1295,0))),"NODE NOT FOUND"))</f>
        <v>Bucket</v>
      </c>
      <c r="G1299" s="7" t="str">
        <f aca="false">IF($D1299="","",IFERROR(IF(INDEX(Hierarchy!$D$2:$D$1295,MATCH($D1299,Hierarchy!$A$2:$A$1295,0))="","",INDEX(Hierarchy!$D$2:$D$1295,MATCH($D1299,Hierarchy!$A$2:$A$1295,0))),"NODE NOT FOUND"))</f>
        <v>Non-regional</v>
      </c>
      <c r="H1299" s="7" t="str">
        <f aca="false">IF($D1299="","",IFERROR(IF(INDEX(Hierarchy!$E$2:$E$1295,MATCH($D1299,Hierarchy!$A$2:$A$1295,0))="","",INDEX(Hierarchy!$E$2:$E$1295,MATCH($D1299,Hierarchy!$A$2:$A$1295,0))),"NODE NOT FOUND"))</f>
        <v/>
      </c>
      <c r="I1299" s="7" t="str">
        <f aca="false">IF($D1299="","",IFERROR(IF(INDEX(Hierarchy!$F$2:$F$1295,MATCH($D1299,Hierarchy!$A$2:$A$1295,0))="","",INDEX(Hierarchy!$F$2:$F$1295,MATCH($D1299,Hierarchy!$A$2:$A$1295,0))),"NODE NOT FOUND"))</f>
        <v/>
      </c>
      <c r="J1299" s="7" t="str">
        <f aca="false">IF($D1299="","",IFERROR(IF(INDEX(Hierarchy!$G$2:$G$1295,MATCH($D1299,Hierarchy!$A$2:$A$1295,0))="","",INDEX(Hierarchy!$G$2:$G$1295,MATCH($D1299,Hierarchy!$A$2:$A$1295,0))),"NODE NOT FOUND"))</f>
        <v/>
      </c>
      <c r="K1299" s="7" t="str">
        <f aca="false">IF($D1299="","",IFERROR(IF(INDEX(Hierarchy!$H$2:$H$1295,MATCH($D1299,Hierarchy!$A$2:$A$1295,0))="","",INDEX(Hierarchy!$H$2:$H$1295,MATCH($D1299,Hierarchy!$A$2:$A$1295,0))),"NODE NOT FOUND"))</f>
        <v/>
      </c>
      <c r="L1299" s="7" t="str">
        <f aca="false">IF($D1299="","",IFERROR(IF(INDEX(Hierarchy!$I$2:$I$1295,MATCH($D1299,Hierarchy!$A$2:$A$1295,0))="","",INDEX(Hierarchy!$I$2:$I$1295,MATCH($D1299,Hierarchy!$A$2:$A$1295,0))),"NODE NOT FOUND"))</f>
        <v/>
      </c>
      <c r="M1299" s="17" t="str">
        <f aca="false">IF(B1299="Pre-seeded","Pre-seeded",IF(B1299="Review 2026-09-16","Added from review",IF(C1299="","New",IF(C1299=D1299,"","Changed"))))</f>
        <v>Changed</v>
      </c>
      <c r="N1299" s="7" t="str">
        <f aca="false">TRIM(SUBSTITUTE(SUBSTITUTE(SUBSTITUTE(" "&amp;TRIM(SUBSTITUTE(SUBSTITUTE(SUBSTITUTE(SUBSTITUTE(SUBSTITUTE(SUBSTITUTE(SUBSTITUTE(SUBSTITUTE(SUBSTITUTE(SUBSTITUTE(SUBSTITUTE(SUBSTITUTE(SUBSTITUTE(SUBSTITUTE(SUBSTITUTE(UPPER(TRIM(A1299)),"[MEMBER]",""),"{MEMBER}",""),"[MEMBER}",""),"MEMBER]",""),"(A)",""),"""",""),"“",""),"”",""),".",""),":",""),",",""),"–"," "),"-"," "),"/"," "),"&amp;"," AND "))&amp;" "," THE "," ")," TOTAL "," ")," OPERATIONS "," "))</f>
        <v>OUTSIDE OF UNITED STATES CHINA AND INDIA</v>
      </c>
      <c r="O1299" s="17" t="str">
        <f aca="false">IF(COUNTIFS($N$2:$N$2000,N1299,$D$2:$D$2000,"&lt;&gt;"&amp;D1299)&gt;0,"CONFLICT","")</f>
        <v/>
      </c>
      <c r="P1299" s="7" t="s">
        <v>2530</v>
      </c>
    </row>
    <row r="1300" customFormat="false" ht="15" hidden="false" customHeight="false" outlineLevel="0" collapsed="false">
      <c r="A1300" s="7" t="s">
        <v>2531</v>
      </c>
      <c r="B1300" s="7" t="s">
        <v>1882</v>
      </c>
      <c r="C1300" s="7" t="s">
        <v>2207</v>
      </c>
      <c r="D1300" s="6" t="s">
        <v>1784</v>
      </c>
      <c r="E1300" s="6" t="s">
        <v>1880</v>
      </c>
      <c r="F1300" s="7" t="str">
        <f aca="false">IF($D1300="","",IFERROR(IF(INDEX(Hierarchy!$B$2:$B$1295,MATCH($D1300,Hierarchy!$A$2:$A$1295,0))="","",INDEX(Hierarchy!$B$2:$B$1295,MATCH($D1300,Hierarchy!$A$2:$A$1295,0))),"NODE NOT FOUND"))</f>
        <v>Bucket</v>
      </c>
      <c r="G1300" s="7" t="str">
        <f aca="false">IF($D1300="","",IFERROR(IF(INDEX(Hierarchy!$D$2:$D$1295,MATCH($D1300,Hierarchy!$A$2:$A$1295,0))="","",INDEX(Hierarchy!$D$2:$D$1295,MATCH($D1300,Hierarchy!$A$2:$A$1295,0))),"NODE NOT FOUND"))</f>
        <v>Non-regional</v>
      </c>
      <c r="H1300" s="7" t="str">
        <f aca="false">IF($D1300="","",IFERROR(IF(INDEX(Hierarchy!$E$2:$E$1295,MATCH($D1300,Hierarchy!$A$2:$A$1295,0))="","",INDEX(Hierarchy!$E$2:$E$1295,MATCH($D1300,Hierarchy!$A$2:$A$1295,0))),"NODE NOT FOUND"))</f>
        <v/>
      </c>
      <c r="I1300" s="7" t="str">
        <f aca="false">IF($D1300="","",IFERROR(IF(INDEX(Hierarchy!$F$2:$F$1295,MATCH($D1300,Hierarchy!$A$2:$A$1295,0))="","",INDEX(Hierarchy!$F$2:$F$1295,MATCH($D1300,Hierarchy!$A$2:$A$1295,0))),"NODE NOT FOUND"))</f>
        <v/>
      </c>
      <c r="J1300" s="7" t="str">
        <f aca="false">IF($D1300="","",IFERROR(IF(INDEX(Hierarchy!$G$2:$G$1295,MATCH($D1300,Hierarchy!$A$2:$A$1295,0))="","",INDEX(Hierarchy!$G$2:$G$1295,MATCH($D1300,Hierarchy!$A$2:$A$1295,0))),"NODE NOT FOUND"))</f>
        <v/>
      </c>
      <c r="K1300" s="7" t="str">
        <f aca="false">IF($D1300="","",IFERROR(IF(INDEX(Hierarchy!$H$2:$H$1295,MATCH($D1300,Hierarchy!$A$2:$A$1295,0))="","",INDEX(Hierarchy!$H$2:$H$1295,MATCH($D1300,Hierarchy!$A$2:$A$1295,0))),"NODE NOT FOUND"))</f>
        <v/>
      </c>
      <c r="L1300" s="7" t="str">
        <f aca="false">IF($D1300="","",IFERROR(IF(INDEX(Hierarchy!$I$2:$I$1295,MATCH($D1300,Hierarchy!$A$2:$A$1295,0))="","",INDEX(Hierarchy!$I$2:$I$1295,MATCH($D1300,Hierarchy!$A$2:$A$1295,0))),"NODE NOT FOUND"))</f>
        <v/>
      </c>
      <c r="M1300" s="17" t="str">
        <f aca="false">IF(B1300="Pre-seeded","Pre-seeded",IF(B1300="Review 2026-09-16","Added from review",IF(C1300="","New",IF(C1300=D1300,"","Changed"))))</f>
        <v>Changed</v>
      </c>
      <c r="N1300" s="7" t="str">
        <f aca="false">TRIM(SUBSTITUTE(SUBSTITUTE(SUBSTITUTE(" "&amp;TRIM(SUBSTITUTE(SUBSTITUTE(SUBSTITUTE(SUBSTITUTE(SUBSTITUTE(SUBSTITUTE(SUBSTITUTE(SUBSTITUTE(SUBSTITUTE(SUBSTITUTE(SUBSTITUTE(SUBSTITUTE(SUBSTITUTE(SUBSTITUTE(SUBSTITUTE(UPPER(TRIM(A1300)),"[MEMBER]",""),"{MEMBER}",""),"[MEMBER}",""),"MEMBER]",""),"(A)",""),"""",""),"“",""),"”",""),".",""),":",""),",",""),"–"," "),"-"," "),"/"," "),"&amp;"," AND "))&amp;" "," THE "," ")," TOTAL "," ")," OPERATIONS "," "))</f>
        <v>OUTSIDE OF US</v>
      </c>
      <c r="O1300" s="17" t="str">
        <f aca="false">IF(COUNTIFS($N$2:$N$2000,N1300,$D$2:$D$2000,"&lt;&gt;"&amp;D1300)&gt;0,"CONFLICT","")</f>
        <v/>
      </c>
      <c r="P1300" s="7" t="s">
        <v>2208</v>
      </c>
    </row>
    <row r="1301" customFormat="false" ht="15" hidden="false" customHeight="false" outlineLevel="0" collapsed="false">
      <c r="A1301" s="7" t="s">
        <v>2532</v>
      </c>
      <c r="B1301" s="7" t="s">
        <v>1882</v>
      </c>
      <c r="C1301" s="7" t="s">
        <v>2207</v>
      </c>
      <c r="D1301" s="6" t="s">
        <v>1784</v>
      </c>
      <c r="E1301" s="6" t="s">
        <v>1880</v>
      </c>
      <c r="F1301" s="7" t="str">
        <f aca="false">IF($D1301="","",IFERROR(IF(INDEX(Hierarchy!$B$2:$B$1295,MATCH($D1301,Hierarchy!$A$2:$A$1295,0))="","",INDEX(Hierarchy!$B$2:$B$1295,MATCH($D1301,Hierarchy!$A$2:$A$1295,0))),"NODE NOT FOUND"))</f>
        <v>Bucket</v>
      </c>
      <c r="G1301" s="7" t="str">
        <f aca="false">IF($D1301="","",IFERROR(IF(INDEX(Hierarchy!$D$2:$D$1295,MATCH($D1301,Hierarchy!$A$2:$A$1295,0))="","",INDEX(Hierarchy!$D$2:$D$1295,MATCH($D1301,Hierarchy!$A$2:$A$1295,0))),"NODE NOT FOUND"))</f>
        <v>Non-regional</v>
      </c>
      <c r="H1301" s="7" t="str">
        <f aca="false">IF($D1301="","",IFERROR(IF(INDEX(Hierarchy!$E$2:$E$1295,MATCH($D1301,Hierarchy!$A$2:$A$1295,0))="","",INDEX(Hierarchy!$E$2:$E$1295,MATCH($D1301,Hierarchy!$A$2:$A$1295,0))),"NODE NOT FOUND"))</f>
        <v/>
      </c>
      <c r="I1301" s="7" t="str">
        <f aca="false">IF($D1301="","",IFERROR(IF(INDEX(Hierarchy!$F$2:$F$1295,MATCH($D1301,Hierarchy!$A$2:$A$1295,0))="","",INDEX(Hierarchy!$F$2:$F$1295,MATCH($D1301,Hierarchy!$A$2:$A$1295,0))),"NODE NOT FOUND"))</f>
        <v/>
      </c>
      <c r="J1301" s="7" t="str">
        <f aca="false">IF($D1301="","",IFERROR(IF(INDEX(Hierarchy!$G$2:$G$1295,MATCH($D1301,Hierarchy!$A$2:$A$1295,0))="","",INDEX(Hierarchy!$G$2:$G$1295,MATCH($D1301,Hierarchy!$A$2:$A$1295,0))),"NODE NOT FOUND"))</f>
        <v/>
      </c>
      <c r="K1301" s="7" t="str">
        <f aca="false">IF($D1301="","",IFERROR(IF(INDEX(Hierarchy!$H$2:$H$1295,MATCH($D1301,Hierarchy!$A$2:$A$1295,0))="","",INDEX(Hierarchy!$H$2:$H$1295,MATCH($D1301,Hierarchy!$A$2:$A$1295,0))),"NODE NOT FOUND"))</f>
        <v/>
      </c>
      <c r="L1301" s="7" t="str">
        <f aca="false">IF($D1301="","",IFERROR(IF(INDEX(Hierarchy!$I$2:$I$1295,MATCH($D1301,Hierarchy!$A$2:$A$1295,0))="","",INDEX(Hierarchy!$I$2:$I$1295,MATCH($D1301,Hierarchy!$A$2:$A$1295,0))),"NODE NOT FOUND"))</f>
        <v/>
      </c>
      <c r="M1301" s="17" t="str">
        <f aca="false">IF(B1301="Pre-seeded","Pre-seeded",IF(B1301="Review 2026-09-16","Added from review",IF(C1301="","New",IF(C1301=D1301,"","Changed"))))</f>
        <v>Changed</v>
      </c>
      <c r="N1301" s="7" t="str">
        <f aca="false">TRIM(SUBSTITUTE(SUBSTITUTE(SUBSTITUTE(" "&amp;TRIM(SUBSTITUTE(SUBSTITUTE(SUBSTITUTE(SUBSTITUTE(SUBSTITUTE(SUBSTITUTE(SUBSTITUTE(SUBSTITUTE(SUBSTITUTE(SUBSTITUTE(SUBSTITUTE(SUBSTITUTE(SUBSTITUTE(SUBSTITUTE(SUBSTITUTE(UPPER(TRIM(A1301)),"[MEMBER]",""),"{MEMBER}",""),"[MEMBER}",""),"MEMBER]",""),"(A)",""),"""",""),"“",""),"”",""),".",""),":",""),",",""),"–"," "),"-"," "),"/"," "),"&amp;"," AND "))&amp;" "," THE "," ")," TOTAL "," ")," OPERATIONS "," "))</f>
        <v>OUTSIDE OF US</v>
      </c>
      <c r="O1301" s="17" t="str">
        <f aca="false">IF(COUNTIFS($N$2:$N$2000,N1301,$D$2:$D$2000,"&lt;&gt;"&amp;D1301)&gt;0,"CONFLICT","")</f>
        <v/>
      </c>
      <c r="P1301" s="7" t="s">
        <v>2208</v>
      </c>
    </row>
    <row r="1302" customFormat="false" ht="15" hidden="false" customHeight="false" outlineLevel="0" collapsed="false">
      <c r="A1302" s="7" t="s">
        <v>2533</v>
      </c>
      <c r="B1302" s="7" t="s">
        <v>1882</v>
      </c>
      <c r="C1302" s="7" t="s">
        <v>2207</v>
      </c>
      <c r="D1302" s="6" t="s">
        <v>1784</v>
      </c>
      <c r="E1302" s="6" t="s">
        <v>1880</v>
      </c>
      <c r="F1302" s="7" t="str">
        <f aca="false">IF($D1302="","",IFERROR(IF(INDEX(Hierarchy!$B$2:$B$1295,MATCH($D1302,Hierarchy!$A$2:$A$1295,0))="","",INDEX(Hierarchy!$B$2:$B$1295,MATCH($D1302,Hierarchy!$A$2:$A$1295,0))),"NODE NOT FOUND"))</f>
        <v>Bucket</v>
      </c>
      <c r="G1302" s="7" t="str">
        <f aca="false">IF($D1302="","",IFERROR(IF(INDEX(Hierarchy!$D$2:$D$1295,MATCH($D1302,Hierarchy!$A$2:$A$1295,0))="","",INDEX(Hierarchy!$D$2:$D$1295,MATCH($D1302,Hierarchy!$A$2:$A$1295,0))),"NODE NOT FOUND"))</f>
        <v>Non-regional</v>
      </c>
      <c r="H1302" s="7" t="str">
        <f aca="false">IF($D1302="","",IFERROR(IF(INDEX(Hierarchy!$E$2:$E$1295,MATCH($D1302,Hierarchy!$A$2:$A$1295,0))="","",INDEX(Hierarchy!$E$2:$E$1295,MATCH($D1302,Hierarchy!$A$2:$A$1295,0))),"NODE NOT FOUND"))</f>
        <v/>
      </c>
      <c r="I1302" s="7" t="str">
        <f aca="false">IF($D1302="","",IFERROR(IF(INDEX(Hierarchy!$F$2:$F$1295,MATCH($D1302,Hierarchy!$A$2:$A$1295,0))="","",INDEX(Hierarchy!$F$2:$F$1295,MATCH($D1302,Hierarchy!$A$2:$A$1295,0))),"NODE NOT FOUND"))</f>
        <v/>
      </c>
      <c r="J1302" s="7" t="str">
        <f aca="false">IF($D1302="","",IFERROR(IF(INDEX(Hierarchy!$G$2:$G$1295,MATCH($D1302,Hierarchy!$A$2:$A$1295,0))="","",INDEX(Hierarchy!$G$2:$G$1295,MATCH($D1302,Hierarchy!$A$2:$A$1295,0))),"NODE NOT FOUND"))</f>
        <v/>
      </c>
      <c r="K1302" s="7" t="str">
        <f aca="false">IF($D1302="","",IFERROR(IF(INDEX(Hierarchy!$H$2:$H$1295,MATCH($D1302,Hierarchy!$A$2:$A$1295,0))="","",INDEX(Hierarchy!$H$2:$H$1295,MATCH($D1302,Hierarchy!$A$2:$A$1295,0))),"NODE NOT FOUND"))</f>
        <v/>
      </c>
      <c r="L1302" s="7" t="str">
        <f aca="false">IF($D1302="","",IFERROR(IF(INDEX(Hierarchy!$I$2:$I$1295,MATCH($D1302,Hierarchy!$A$2:$A$1295,0))="","",INDEX(Hierarchy!$I$2:$I$1295,MATCH($D1302,Hierarchy!$A$2:$A$1295,0))),"NODE NOT FOUND"))</f>
        <v/>
      </c>
      <c r="M1302" s="17" t="str">
        <f aca="false">IF(B1302="Pre-seeded","Pre-seeded",IF(B1302="Review 2026-09-16","Added from review",IF(C1302="","New",IF(C1302=D1302,"","Changed"))))</f>
        <v>Changed</v>
      </c>
      <c r="N1302" s="7" t="str">
        <f aca="false">TRIM(SUBSTITUTE(SUBSTITUTE(SUBSTITUTE(" "&amp;TRIM(SUBSTITUTE(SUBSTITUTE(SUBSTITUTE(SUBSTITUTE(SUBSTITUTE(SUBSTITUTE(SUBSTITUTE(SUBSTITUTE(SUBSTITUTE(SUBSTITUTE(SUBSTITUTE(SUBSTITUTE(SUBSTITUTE(SUBSTITUTE(SUBSTITUTE(UPPER(TRIM(A1302)),"[MEMBER]",""),"{MEMBER}",""),"[MEMBER}",""),"MEMBER]",""),"(A)",""),"""",""),"“",""),"”",""),".",""),":",""),",",""),"–"," "),"-"," "),"/"," "),"&amp;"," AND "))&amp;" "," THE "," ")," TOTAL "," ")," OPERATIONS "," "))</f>
        <v>OUTSIDE OF UNITED STATES</v>
      </c>
      <c r="O1302" s="17" t="str">
        <f aca="false">IF(COUNTIFS($N$2:$N$2000,N1302,$D$2:$D$2000,"&lt;&gt;"&amp;D1302)&gt;0,"CONFLICT","")</f>
        <v/>
      </c>
      <c r="P1302" s="7" t="s">
        <v>2208</v>
      </c>
    </row>
    <row r="1303" customFormat="false" ht="15" hidden="false" customHeight="false" outlineLevel="0" collapsed="false">
      <c r="A1303" s="7" t="s">
        <v>2534</v>
      </c>
      <c r="B1303" s="7" t="s">
        <v>1882</v>
      </c>
      <c r="C1303" s="7" t="s">
        <v>2207</v>
      </c>
      <c r="D1303" s="6" t="s">
        <v>1784</v>
      </c>
      <c r="E1303" s="6" t="s">
        <v>1880</v>
      </c>
      <c r="F1303" s="7" t="str">
        <f aca="false">IF($D1303="","",IFERROR(IF(INDEX(Hierarchy!$B$2:$B$1295,MATCH($D1303,Hierarchy!$A$2:$A$1295,0))="","",INDEX(Hierarchy!$B$2:$B$1295,MATCH($D1303,Hierarchy!$A$2:$A$1295,0))),"NODE NOT FOUND"))</f>
        <v>Bucket</v>
      </c>
      <c r="G1303" s="7" t="str">
        <f aca="false">IF($D1303="","",IFERROR(IF(INDEX(Hierarchy!$D$2:$D$1295,MATCH($D1303,Hierarchy!$A$2:$A$1295,0))="","",INDEX(Hierarchy!$D$2:$D$1295,MATCH($D1303,Hierarchy!$A$2:$A$1295,0))),"NODE NOT FOUND"))</f>
        <v>Non-regional</v>
      </c>
      <c r="H1303" s="7" t="str">
        <f aca="false">IF($D1303="","",IFERROR(IF(INDEX(Hierarchy!$E$2:$E$1295,MATCH($D1303,Hierarchy!$A$2:$A$1295,0))="","",INDEX(Hierarchy!$E$2:$E$1295,MATCH($D1303,Hierarchy!$A$2:$A$1295,0))),"NODE NOT FOUND"))</f>
        <v/>
      </c>
      <c r="I1303" s="7" t="str">
        <f aca="false">IF($D1303="","",IFERROR(IF(INDEX(Hierarchy!$F$2:$F$1295,MATCH($D1303,Hierarchy!$A$2:$A$1295,0))="","",INDEX(Hierarchy!$F$2:$F$1295,MATCH($D1303,Hierarchy!$A$2:$A$1295,0))),"NODE NOT FOUND"))</f>
        <v/>
      </c>
      <c r="J1303" s="7" t="str">
        <f aca="false">IF($D1303="","",IFERROR(IF(INDEX(Hierarchy!$G$2:$G$1295,MATCH($D1303,Hierarchy!$A$2:$A$1295,0))="","",INDEX(Hierarchy!$G$2:$G$1295,MATCH($D1303,Hierarchy!$A$2:$A$1295,0))),"NODE NOT FOUND"))</f>
        <v/>
      </c>
      <c r="K1303" s="7" t="str">
        <f aca="false">IF($D1303="","",IFERROR(IF(INDEX(Hierarchy!$H$2:$H$1295,MATCH($D1303,Hierarchy!$A$2:$A$1295,0))="","",INDEX(Hierarchy!$H$2:$H$1295,MATCH($D1303,Hierarchy!$A$2:$A$1295,0))),"NODE NOT FOUND"))</f>
        <v/>
      </c>
      <c r="L1303" s="7" t="str">
        <f aca="false">IF($D1303="","",IFERROR(IF(INDEX(Hierarchy!$I$2:$I$1295,MATCH($D1303,Hierarchy!$A$2:$A$1295,0))="","",INDEX(Hierarchy!$I$2:$I$1295,MATCH($D1303,Hierarchy!$A$2:$A$1295,0))),"NODE NOT FOUND"))</f>
        <v/>
      </c>
      <c r="M1303" s="17" t="str">
        <f aca="false">IF(B1303="Pre-seeded","Pre-seeded",IF(B1303="Review 2026-09-16","Added from review",IF(C1303="","New",IF(C1303=D1303,"","Changed"))))</f>
        <v>Changed</v>
      </c>
      <c r="N1303" s="7" t="str">
        <f aca="false">TRIM(SUBSTITUTE(SUBSTITUTE(SUBSTITUTE(" "&amp;TRIM(SUBSTITUTE(SUBSTITUTE(SUBSTITUTE(SUBSTITUTE(SUBSTITUTE(SUBSTITUTE(SUBSTITUTE(SUBSTITUTE(SUBSTITUTE(SUBSTITUTE(SUBSTITUTE(SUBSTITUTE(SUBSTITUTE(SUBSTITUTE(SUBSTITUTE(UPPER(TRIM(A1303)),"[MEMBER]",""),"{MEMBER}",""),"[MEMBER}",""),"MEMBER]",""),"(A)",""),"""",""),"“",""),"”",""),".",""),":",""),",",""),"–"," "),"-"," "),"/"," "),"&amp;"," AND "))&amp;" "," THE "," ")," TOTAL "," ")," OPERATIONS "," "))</f>
        <v>OUTSIDE OF UNITED STATES</v>
      </c>
      <c r="O1303" s="17" t="str">
        <f aca="false">IF(COUNTIFS($N$2:$N$2000,N1303,$D$2:$D$2000,"&lt;&gt;"&amp;D1303)&gt;0,"CONFLICT","")</f>
        <v/>
      </c>
      <c r="P1303" s="7" t="s">
        <v>2208</v>
      </c>
    </row>
    <row r="1304" customFormat="false" ht="15" hidden="false" customHeight="false" outlineLevel="0" collapsed="false">
      <c r="A1304" s="7" t="s">
        <v>2535</v>
      </c>
      <c r="B1304" s="7" t="s">
        <v>1882</v>
      </c>
      <c r="C1304" s="7" t="s">
        <v>2207</v>
      </c>
      <c r="D1304" s="6" t="s">
        <v>1784</v>
      </c>
      <c r="E1304" s="6" t="s">
        <v>1880</v>
      </c>
      <c r="F1304" s="7" t="str">
        <f aca="false">IF($D1304="","",IFERROR(IF(INDEX(Hierarchy!$B$2:$B$1295,MATCH($D1304,Hierarchy!$A$2:$A$1295,0))="","",INDEX(Hierarchy!$B$2:$B$1295,MATCH($D1304,Hierarchy!$A$2:$A$1295,0))),"NODE NOT FOUND"))</f>
        <v>Bucket</v>
      </c>
      <c r="G1304" s="7" t="str">
        <f aca="false">IF($D1304="","",IFERROR(IF(INDEX(Hierarchy!$D$2:$D$1295,MATCH($D1304,Hierarchy!$A$2:$A$1295,0))="","",INDEX(Hierarchy!$D$2:$D$1295,MATCH($D1304,Hierarchy!$A$2:$A$1295,0))),"NODE NOT FOUND"))</f>
        <v>Non-regional</v>
      </c>
      <c r="H1304" s="7" t="str">
        <f aca="false">IF($D1304="","",IFERROR(IF(INDEX(Hierarchy!$E$2:$E$1295,MATCH($D1304,Hierarchy!$A$2:$A$1295,0))="","",INDEX(Hierarchy!$E$2:$E$1295,MATCH($D1304,Hierarchy!$A$2:$A$1295,0))),"NODE NOT FOUND"))</f>
        <v/>
      </c>
      <c r="I1304" s="7" t="str">
        <f aca="false">IF($D1304="","",IFERROR(IF(INDEX(Hierarchy!$F$2:$F$1295,MATCH($D1304,Hierarchy!$A$2:$A$1295,0))="","",INDEX(Hierarchy!$F$2:$F$1295,MATCH($D1304,Hierarchy!$A$2:$A$1295,0))),"NODE NOT FOUND"))</f>
        <v/>
      </c>
      <c r="J1304" s="7" t="str">
        <f aca="false">IF($D1304="","",IFERROR(IF(INDEX(Hierarchy!$G$2:$G$1295,MATCH($D1304,Hierarchy!$A$2:$A$1295,0))="","",INDEX(Hierarchy!$G$2:$G$1295,MATCH($D1304,Hierarchy!$A$2:$A$1295,0))),"NODE NOT FOUND"))</f>
        <v/>
      </c>
      <c r="K1304" s="7" t="str">
        <f aca="false">IF($D1304="","",IFERROR(IF(INDEX(Hierarchy!$H$2:$H$1295,MATCH($D1304,Hierarchy!$A$2:$A$1295,0))="","",INDEX(Hierarchy!$H$2:$H$1295,MATCH($D1304,Hierarchy!$A$2:$A$1295,0))),"NODE NOT FOUND"))</f>
        <v/>
      </c>
      <c r="L1304" s="7" t="str">
        <f aca="false">IF($D1304="","",IFERROR(IF(INDEX(Hierarchy!$I$2:$I$1295,MATCH($D1304,Hierarchy!$A$2:$A$1295,0))="","",INDEX(Hierarchy!$I$2:$I$1295,MATCH($D1304,Hierarchy!$A$2:$A$1295,0))),"NODE NOT FOUND"))</f>
        <v/>
      </c>
      <c r="M1304" s="17" t="str">
        <f aca="false">IF(B1304="Pre-seeded","Pre-seeded",IF(B1304="Review 2026-09-16","Added from review",IF(C1304="","New",IF(C1304=D1304,"","Changed"))))</f>
        <v>Changed</v>
      </c>
      <c r="N1304" s="7" t="str">
        <f aca="false">TRIM(SUBSTITUTE(SUBSTITUTE(SUBSTITUTE(" "&amp;TRIM(SUBSTITUTE(SUBSTITUTE(SUBSTITUTE(SUBSTITUTE(SUBSTITUTE(SUBSTITUTE(SUBSTITUTE(SUBSTITUTE(SUBSTITUTE(SUBSTITUTE(SUBSTITUTE(SUBSTITUTE(SUBSTITUTE(SUBSTITUTE(SUBSTITUTE(UPPER(TRIM(A1304)),"[MEMBER]",""),"{MEMBER}",""),"[MEMBER}",""),"MEMBER]",""),"(A)",""),"""",""),"“",""),"”",""),".",""),":",""),",",""),"–"," "),"-"," "),"/"," "),"&amp;"," AND "))&amp;" "," THE "," ")," TOTAL "," ")," OPERATIONS "," "))</f>
        <v>OUTSIDE US</v>
      </c>
      <c r="O1304" s="17" t="str">
        <f aca="false">IF(COUNTIFS($N$2:$N$2000,N1304,$D$2:$D$2000,"&lt;&gt;"&amp;D1304)&gt;0,"CONFLICT","")</f>
        <v/>
      </c>
      <c r="P1304" s="7" t="s">
        <v>2208</v>
      </c>
    </row>
    <row r="1305" customFormat="false" ht="15" hidden="false" customHeight="false" outlineLevel="0" collapsed="false">
      <c r="A1305" s="7" t="s">
        <v>2536</v>
      </c>
      <c r="B1305" s="7" t="s">
        <v>1882</v>
      </c>
      <c r="C1305" s="7" t="s">
        <v>2207</v>
      </c>
      <c r="D1305" s="6" t="s">
        <v>1784</v>
      </c>
      <c r="E1305" s="6" t="s">
        <v>1880</v>
      </c>
      <c r="F1305" s="7" t="str">
        <f aca="false">IF($D1305="","",IFERROR(IF(INDEX(Hierarchy!$B$2:$B$1295,MATCH($D1305,Hierarchy!$A$2:$A$1295,0))="","",INDEX(Hierarchy!$B$2:$B$1295,MATCH($D1305,Hierarchy!$A$2:$A$1295,0))),"NODE NOT FOUND"))</f>
        <v>Bucket</v>
      </c>
      <c r="G1305" s="7" t="str">
        <f aca="false">IF($D1305="","",IFERROR(IF(INDEX(Hierarchy!$D$2:$D$1295,MATCH($D1305,Hierarchy!$A$2:$A$1295,0))="","",INDEX(Hierarchy!$D$2:$D$1295,MATCH($D1305,Hierarchy!$A$2:$A$1295,0))),"NODE NOT FOUND"))</f>
        <v>Non-regional</v>
      </c>
      <c r="H1305" s="7" t="str">
        <f aca="false">IF($D1305="","",IFERROR(IF(INDEX(Hierarchy!$E$2:$E$1295,MATCH($D1305,Hierarchy!$A$2:$A$1295,0))="","",INDEX(Hierarchy!$E$2:$E$1295,MATCH($D1305,Hierarchy!$A$2:$A$1295,0))),"NODE NOT FOUND"))</f>
        <v/>
      </c>
      <c r="I1305" s="7" t="str">
        <f aca="false">IF($D1305="","",IFERROR(IF(INDEX(Hierarchy!$F$2:$F$1295,MATCH($D1305,Hierarchy!$A$2:$A$1295,0))="","",INDEX(Hierarchy!$F$2:$F$1295,MATCH($D1305,Hierarchy!$A$2:$A$1295,0))),"NODE NOT FOUND"))</f>
        <v/>
      </c>
      <c r="J1305" s="7" t="str">
        <f aca="false">IF($D1305="","",IFERROR(IF(INDEX(Hierarchy!$G$2:$G$1295,MATCH($D1305,Hierarchy!$A$2:$A$1295,0))="","",INDEX(Hierarchy!$G$2:$G$1295,MATCH($D1305,Hierarchy!$A$2:$A$1295,0))),"NODE NOT FOUND"))</f>
        <v/>
      </c>
      <c r="K1305" s="7" t="str">
        <f aca="false">IF($D1305="","",IFERROR(IF(INDEX(Hierarchy!$H$2:$H$1295,MATCH($D1305,Hierarchy!$A$2:$A$1295,0))="","",INDEX(Hierarchy!$H$2:$H$1295,MATCH($D1305,Hierarchy!$A$2:$A$1295,0))),"NODE NOT FOUND"))</f>
        <v/>
      </c>
      <c r="L1305" s="7" t="str">
        <f aca="false">IF($D1305="","",IFERROR(IF(INDEX(Hierarchy!$I$2:$I$1295,MATCH($D1305,Hierarchy!$A$2:$A$1295,0))="","",INDEX(Hierarchy!$I$2:$I$1295,MATCH($D1305,Hierarchy!$A$2:$A$1295,0))),"NODE NOT FOUND"))</f>
        <v/>
      </c>
      <c r="M1305" s="17" t="str">
        <f aca="false">IF(B1305="Pre-seeded","Pre-seeded",IF(B1305="Review 2026-09-16","Added from review",IF(C1305="","New",IF(C1305=D1305,"","Changed"))))</f>
        <v>Changed</v>
      </c>
      <c r="N1305" s="7" t="str">
        <f aca="false">TRIM(SUBSTITUTE(SUBSTITUTE(SUBSTITUTE(" "&amp;TRIM(SUBSTITUTE(SUBSTITUTE(SUBSTITUTE(SUBSTITUTE(SUBSTITUTE(SUBSTITUTE(SUBSTITUTE(SUBSTITUTE(SUBSTITUTE(SUBSTITUTE(SUBSTITUTE(SUBSTITUTE(SUBSTITUTE(SUBSTITUTE(SUBSTITUTE(UPPER(TRIM(A1305)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305" s="17" t="str">
        <f aca="false">IF(COUNTIFS($N$2:$N$2000,N1305,$D$2:$D$2000,"&lt;&gt;"&amp;D1305)&gt;0,"CONFLICT","")</f>
        <v/>
      </c>
      <c r="P1305" s="7" t="s">
        <v>2208</v>
      </c>
    </row>
    <row r="1306" customFormat="false" ht="15" hidden="false" customHeight="false" outlineLevel="0" collapsed="false">
      <c r="A1306" s="7" t="s">
        <v>2537</v>
      </c>
      <c r="B1306" s="7" t="s">
        <v>1882</v>
      </c>
      <c r="C1306" s="7" t="s">
        <v>2207</v>
      </c>
      <c r="D1306" s="6" t="s">
        <v>1784</v>
      </c>
      <c r="E1306" s="6" t="s">
        <v>1880</v>
      </c>
      <c r="F1306" s="7" t="str">
        <f aca="false">IF($D1306="","",IFERROR(IF(INDEX(Hierarchy!$B$2:$B$1295,MATCH($D1306,Hierarchy!$A$2:$A$1295,0))="","",INDEX(Hierarchy!$B$2:$B$1295,MATCH($D1306,Hierarchy!$A$2:$A$1295,0))),"NODE NOT FOUND"))</f>
        <v>Bucket</v>
      </c>
      <c r="G1306" s="7" t="str">
        <f aca="false">IF($D1306="","",IFERROR(IF(INDEX(Hierarchy!$D$2:$D$1295,MATCH($D1306,Hierarchy!$A$2:$A$1295,0))="","",INDEX(Hierarchy!$D$2:$D$1295,MATCH($D1306,Hierarchy!$A$2:$A$1295,0))),"NODE NOT FOUND"))</f>
        <v>Non-regional</v>
      </c>
      <c r="H1306" s="7" t="str">
        <f aca="false">IF($D1306="","",IFERROR(IF(INDEX(Hierarchy!$E$2:$E$1295,MATCH($D1306,Hierarchy!$A$2:$A$1295,0))="","",INDEX(Hierarchy!$E$2:$E$1295,MATCH($D1306,Hierarchy!$A$2:$A$1295,0))),"NODE NOT FOUND"))</f>
        <v/>
      </c>
      <c r="I1306" s="7" t="str">
        <f aca="false">IF($D1306="","",IFERROR(IF(INDEX(Hierarchy!$F$2:$F$1295,MATCH($D1306,Hierarchy!$A$2:$A$1295,0))="","",INDEX(Hierarchy!$F$2:$F$1295,MATCH($D1306,Hierarchy!$A$2:$A$1295,0))),"NODE NOT FOUND"))</f>
        <v/>
      </c>
      <c r="J1306" s="7" t="str">
        <f aca="false">IF($D1306="","",IFERROR(IF(INDEX(Hierarchy!$G$2:$G$1295,MATCH($D1306,Hierarchy!$A$2:$A$1295,0))="","",INDEX(Hierarchy!$G$2:$G$1295,MATCH($D1306,Hierarchy!$A$2:$A$1295,0))),"NODE NOT FOUND"))</f>
        <v/>
      </c>
      <c r="K1306" s="7" t="str">
        <f aca="false">IF($D1306="","",IFERROR(IF(INDEX(Hierarchy!$H$2:$H$1295,MATCH($D1306,Hierarchy!$A$2:$A$1295,0))="","",INDEX(Hierarchy!$H$2:$H$1295,MATCH($D1306,Hierarchy!$A$2:$A$1295,0))),"NODE NOT FOUND"))</f>
        <v/>
      </c>
      <c r="L1306" s="7" t="str">
        <f aca="false">IF($D1306="","",IFERROR(IF(INDEX(Hierarchy!$I$2:$I$1295,MATCH($D1306,Hierarchy!$A$2:$A$1295,0))="","",INDEX(Hierarchy!$I$2:$I$1295,MATCH($D1306,Hierarchy!$A$2:$A$1295,0))),"NODE NOT FOUND"))</f>
        <v/>
      </c>
      <c r="M1306" s="17" t="str">
        <f aca="false">IF(B1306="Pre-seeded","Pre-seeded",IF(B1306="Review 2026-09-16","Added from review",IF(C1306="","New",IF(C1306=D1306,"","Changed"))))</f>
        <v>Changed</v>
      </c>
      <c r="N1306" s="7" t="str">
        <f aca="false">TRIM(SUBSTITUTE(SUBSTITUTE(SUBSTITUTE(" "&amp;TRIM(SUBSTITUTE(SUBSTITUTE(SUBSTITUTE(SUBSTITUTE(SUBSTITUTE(SUBSTITUTE(SUBSTITUTE(SUBSTITUTE(SUBSTITUTE(SUBSTITUTE(SUBSTITUTE(SUBSTITUTE(SUBSTITUTE(SUBSTITUTE(SUBSTITUTE(UPPER(TRIM(A1306)),"[MEMBER]",""),"{MEMBER}",""),"[MEMBER}",""),"MEMBER]",""),"(A)",""),"""",""),"“",""),"”",""),".",""),":",""),",",""),"–"," "),"-"," "),"/"," "),"&amp;"," AND "))&amp;" "," THE "," ")," TOTAL "," ")," OPERATIONS "," "))</f>
        <v>OUTSIDE US</v>
      </c>
      <c r="O1306" s="17" t="str">
        <f aca="false">IF(COUNTIFS($N$2:$N$2000,N1306,$D$2:$D$2000,"&lt;&gt;"&amp;D1306)&gt;0,"CONFLICT","")</f>
        <v/>
      </c>
      <c r="P1306" s="7" t="s">
        <v>2208</v>
      </c>
    </row>
    <row r="1307" customFormat="false" ht="15" hidden="false" customHeight="false" outlineLevel="0" collapsed="false">
      <c r="A1307" s="7" t="s">
        <v>2538</v>
      </c>
      <c r="B1307" s="7" t="s">
        <v>1882</v>
      </c>
      <c r="C1307" s="7" t="s">
        <v>2207</v>
      </c>
      <c r="D1307" s="6" t="s">
        <v>1784</v>
      </c>
      <c r="E1307" s="6" t="s">
        <v>1880</v>
      </c>
      <c r="F1307" s="7" t="str">
        <f aca="false">IF($D1307="","",IFERROR(IF(INDEX(Hierarchy!$B$2:$B$1295,MATCH($D1307,Hierarchy!$A$2:$A$1295,0))="","",INDEX(Hierarchy!$B$2:$B$1295,MATCH($D1307,Hierarchy!$A$2:$A$1295,0))),"NODE NOT FOUND"))</f>
        <v>Bucket</v>
      </c>
      <c r="G1307" s="7" t="str">
        <f aca="false">IF($D1307="","",IFERROR(IF(INDEX(Hierarchy!$D$2:$D$1295,MATCH($D1307,Hierarchy!$A$2:$A$1295,0))="","",INDEX(Hierarchy!$D$2:$D$1295,MATCH($D1307,Hierarchy!$A$2:$A$1295,0))),"NODE NOT FOUND"))</f>
        <v>Non-regional</v>
      </c>
      <c r="H1307" s="7" t="str">
        <f aca="false">IF($D1307="","",IFERROR(IF(INDEX(Hierarchy!$E$2:$E$1295,MATCH($D1307,Hierarchy!$A$2:$A$1295,0))="","",INDEX(Hierarchy!$E$2:$E$1295,MATCH($D1307,Hierarchy!$A$2:$A$1295,0))),"NODE NOT FOUND"))</f>
        <v/>
      </c>
      <c r="I1307" s="7" t="str">
        <f aca="false">IF($D1307="","",IFERROR(IF(INDEX(Hierarchy!$F$2:$F$1295,MATCH($D1307,Hierarchy!$A$2:$A$1295,0))="","",INDEX(Hierarchy!$F$2:$F$1295,MATCH($D1307,Hierarchy!$A$2:$A$1295,0))),"NODE NOT FOUND"))</f>
        <v/>
      </c>
      <c r="J1307" s="7" t="str">
        <f aca="false">IF($D1307="","",IFERROR(IF(INDEX(Hierarchy!$G$2:$G$1295,MATCH($D1307,Hierarchy!$A$2:$A$1295,0))="","",INDEX(Hierarchy!$G$2:$G$1295,MATCH($D1307,Hierarchy!$A$2:$A$1295,0))),"NODE NOT FOUND"))</f>
        <v/>
      </c>
      <c r="K1307" s="7" t="str">
        <f aca="false">IF($D1307="","",IFERROR(IF(INDEX(Hierarchy!$H$2:$H$1295,MATCH($D1307,Hierarchy!$A$2:$A$1295,0))="","",INDEX(Hierarchy!$H$2:$H$1295,MATCH($D1307,Hierarchy!$A$2:$A$1295,0))),"NODE NOT FOUND"))</f>
        <v/>
      </c>
      <c r="L1307" s="7" t="str">
        <f aca="false">IF($D1307="","",IFERROR(IF(INDEX(Hierarchy!$I$2:$I$1295,MATCH($D1307,Hierarchy!$A$2:$A$1295,0))="","",INDEX(Hierarchy!$I$2:$I$1295,MATCH($D1307,Hierarchy!$A$2:$A$1295,0))),"NODE NOT FOUND"))</f>
        <v/>
      </c>
      <c r="M1307" s="17" t="str">
        <f aca="false">IF(B1307="Pre-seeded","Pre-seeded",IF(B1307="Review 2026-09-16","Added from review",IF(C1307="","New",IF(C1307=D1307,"","Changed"))))</f>
        <v>Changed</v>
      </c>
      <c r="N1307" s="7" t="str">
        <f aca="false">TRIM(SUBSTITUTE(SUBSTITUTE(SUBSTITUTE(" "&amp;TRIM(SUBSTITUTE(SUBSTITUTE(SUBSTITUTE(SUBSTITUTE(SUBSTITUTE(SUBSTITUTE(SUBSTITUTE(SUBSTITUTE(SUBSTITUTE(SUBSTITUTE(SUBSTITUTE(SUBSTITUTE(SUBSTITUTE(SUBSTITUTE(SUBSTITUTE(UPPER(TRIM(A1307)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307" s="17" t="str">
        <f aca="false">IF(COUNTIFS($N$2:$N$2000,N1307,$D$2:$D$2000,"&lt;&gt;"&amp;D1307)&gt;0,"CONFLICT","")</f>
        <v/>
      </c>
      <c r="P1307" s="7" t="s">
        <v>2208</v>
      </c>
    </row>
    <row r="1308" customFormat="false" ht="15" hidden="false" customHeight="false" outlineLevel="0" collapsed="false">
      <c r="A1308" s="7" t="s">
        <v>2539</v>
      </c>
      <c r="B1308" s="7" t="s">
        <v>1882</v>
      </c>
      <c r="C1308" s="7" t="s">
        <v>2207</v>
      </c>
      <c r="D1308" s="6" t="s">
        <v>1784</v>
      </c>
      <c r="E1308" s="6" t="s">
        <v>1880</v>
      </c>
      <c r="F1308" s="7" t="str">
        <f aca="false">IF($D1308="","",IFERROR(IF(INDEX(Hierarchy!$B$2:$B$1295,MATCH($D1308,Hierarchy!$A$2:$A$1295,0))="","",INDEX(Hierarchy!$B$2:$B$1295,MATCH($D1308,Hierarchy!$A$2:$A$1295,0))),"NODE NOT FOUND"))</f>
        <v>Bucket</v>
      </c>
      <c r="G1308" s="7" t="str">
        <f aca="false">IF($D1308="","",IFERROR(IF(INDEX(Hierarchy!$D$2:$D$1295,MATCH($D1308,Hierarchy!$A$2:$A$1295,0))="","",INDEX(Hierarchy!$D$2:$D$1295,MATCH($D1308,Hierarchy!$A$2:$A$1295,0))),"NODE NOT FOUND"))</f>
        <v>Non-regional</v>
      </c>
      <c r="H1308" s="7" t="str">
        <f aca="false">IF($D1308="","",IFERROR(IF(INDEX(Hierarchy!$E$2:$E$1295,MATCH($D1308,Hierarchy!$A$2:$A$1295,0))="","",INDEX(Hierarchy!$E$2:$E$1295,MATCH($D1308,Hierarchy!$A$2:$A$1295,0))),"NODE NOT FOUND"))</f>
        <v/>
      </c>
      <c r="I1308" s="7" t="str">
        <f aca="false">IF($D1308="","",IFERROR(IF(INDEX(Hierarchy!$F$2:$F$1295,MATCH($D1308,Hierarchy!$A$2:$A$1295,0))="","",INDEX(Hierarchy!$F$2:$F$1295,MATCH($D1308,Hierarchy!$A$2:$A$1295,0))),"NODE NOT FOUND"))</f>
        <v/>
      </c>
      <c r="J1308" s="7" t="str">
        <f aca="false">IF($D1308="","",IFERROR(IF(INDEX(Hierarchy!$G$2:$G$1295,MATCH($D1308,Hierarchy!$A$2:$A$1295,0))="","",INDEX(Hierarchy!$G$2:$G$1295,MATCH($D1308,Hierarchy!$A$2:$A$1295,0))),"NODE NOT FOUND"))</f>
        <v/>
      </c>
      <c r="K1308" s="7" t="str">
        <f aca="false">IF($D1308="","",IFERROR(IF(INDEX(Hierarchy!$H$2:$H$1295,MATCH($D1308,Hierarchy!$A$2:$A$1295,0))="","",INDEX(Hierarchy!$H$2:$H$1295,MATCH($D1308,Hierarchy!$A$2:$A$1295,0))),"NODE NOT FOUND"))</f>
        <v/>
      </c>
      <c r="L1308" s="7" t="str">
        <f aca="false">IF($D1308="","",IFERROR(IF(INDEX(Hierarchy!$I$2:$I$1295,MATCH($D1308,Hierarchy!$A$2:$A$1295,0))="","",INDEX(Hierarchy!$I$2:$I$1295,MATCH($D1308,Hierarchy!$A$2:$A$1295,0))),"NODE NOT FOUND"))</f>
        <v/>
      </c>
      <c r="M1308" s="17" t="str">
        <f aca="false">IF(B1308="Pre-seeded","Pre-seeded",IF(B1308="Review 2026-09-16","Added from review",IF(C1308="","New",IF(C1308=D1308,"","Changed"))))</f>
        <v>Changed</v>
      </c>
      <c r="N1308" s="7" t="str">
        <f aca="false">TRIM(SUBSTITUTE(SUBSTITUTE(SUBSTITUTE(" "&amp;TRIM(SUBSTITUTE(SUBSTITUTE(SUBSTITUTE(SUBSTITUTE(SUBSTITUTE(SUBSTITUTE(SUBSTITUTE(SUBSTITUTE(SUBSTITUTE(SUBSTITUTE(SUBSTITUTE(SUBSTITUTE(SUBSTITUTE(SUBSTITUTE(SUBSTITUTE(UPPER(TRIM(A1308)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308" s="17" t="str">
        <f aca="false">IF(COUNTIFS($N$2:$N$2000,N1308,$D$2:$D$2000,"&lt;&gt;"&amp;D1308)&gt;0,"CONFLICT","")</f>
        <v/>
      </c>
      <c r="P1308" s="7" t="s">
        <v>2208</v>
      </c>
    </row>
    <row r="1309" customFormat="false" ht="15" hidden="false" customHeight="false" outlineLevel="0" collapsed="false">
      <c r="A1309" s="7" t="s">
        <v>2540</v>
      </c>
      <c r="B1309" s="7" t="s">
        <v>1882</v>
      </c>
      <c r="C1309" s="7" t="s">
        <v>2207</v>
      </c>
      <c r="D1309" s="6" t="s">
        <v>1784</v>
      </c>
      <c r="E1309" s="6" t="s">
        <v>1880</v>
      </c>
      <c r="F1309" s="7" t="str">
        <f aca="false">IF($D1309="","",IFERROR(IF(INDEX(Hierarchy!$B$2:$B$1295,MATCH($D1309,Hierarchy!$A$2:$A$1295,0))="","",INDEX(Hierarchy!$B$2:$B$1295,MATCH($D1309,Hierarchy!$A$2:$A$1295,0))),"NODE NOT FOUND"))</f>
        <v>Bucket</v>
      </c>
      <c r="G1309" s="7" t="str">
        <f aca="false">IF($D1309="","",IFERROR(IF(INDEX(Hierarchy!$D$2:$D$1295,MATCH($D1309,Hierarchy!$A$2:$A$1295,0))="","",INDEX(Hierarchy!$D$2:$D$1295,MATCH($D1309,Hierarchy!$A$2:$A$1295,0))),"NODE NOT FOUND"))</f>
        <v>Non-regional</v>
      </c>
      <c r="H1309" s="7" t="str">
        <f aca="false">IF($D1309="","",IFERROR(IF(INDEX(Hierarchy!$E$2:$E$1295,MATCH($D1309,Hierarchy!$A$2:$A$1295,0))="","",INDEX(Hierarchy!$E$2:$E$1295,MATCH($D1309,Hierarchy!$A$2:$A$1295,0))),"NODE NOT FOUND"))</f>
        <v/>
      </c>
      <c r="I1309" s="7" t="str">
        <f aca="false">IF($D1309="","",IFERROR(IF(INDEX(Hierarchy!$F$2:$F$1295,MATCH($D1309,Hierarchy!$A$2:$A$1295,0))="","",INDEX(Hierarchy!$F$2:$F$1295,MATCH($D1309,Hierarchy!$A$2:$A$1295,0))),"NODE NOT FOUND"))</f>
        <v/>
      </c>
      <c r="J1309" s="7" t="str">
        <f aca="false">IF($D1309="","",IFERROR(IF(INDEX(Hierarchy!$G$2:$G$1295,MATCH($D1309,Hierarchy!$A$2:$A$1295,0))="","",INDEX(Hierarchy!$G$2:$G$1295,MATCH($D1309,Hierarchy!$A$2:$A$1295,0))),"NODE NOT FOUND"))</f>
        <v/>
      </c>
      <c r="K1309" s="7" t="str">
        <f aca="false">IF($D1309="","",IFERROR(IF(INDEX(Hierarchy!$H$2:$H$1295,MATCH($D1309,Hierarchy!$A$2:$A$1295,0))="","",INDEX(Hierarchy!$H$2:$H$1295,MATCH($D1309,Hierarchy!$A$2:$A$1295,0))),"NODE NOT FOUND"))</f>
        <v/>
      </c>
      <c r="L1309" s="7" t="str">
        <f aca="false">IF($D1309="","",IFERROR(IF(INDEX(Hierarchy!$I$2:$I$1295,MATCH($D1309,Hierarchy!$A$2:$A$1295,0))="","",INDEX(Hierarchy!$I$2:$I$1295,MATCH($D1309,Hierarchy!$A$2:$A$1295,0))),"NODE NOT FOUND"))</f>
        <v/>
      </c>
      <c r="M1309" s="17" t="str">
        <f aca="false">IF(B1309="Pre-seeded","Pre-seeded",IF(B1309="Review 2026-09-16","Added from review",IF(C1309="","New",IF(C1309=D1309,"","Changed"))))</f>
        <v>Changed</v>
      </c>
      <c r="N1309" s="7" t="str">
        <f aca="false">TRIM(SUBSTITUTE(SUBSTITUTE(SUBSTITUTE(" "&amp;TRIM(SUBSTITUTE(SUBSTITUTE(SUBSTITUTE(SUBSTITUTE(SUBSTITUTE(SUBSTITUTE(SUBSTITUTE(SUBSTITUTE(SUBSTITUTE(SUBSTITUTE(SUBSTITUTE(SUBSTITUTE(SUBSTITUTE(SUBSTITUTE(SUBSTITUTE(UPPER(TRIM(A1309)),"[MEMBER]",""),"{MEMBER}",""),"[MEMBER}",""),"MEMBER]",""),"(A)",""),"""",""),"“",""),"”",""),".",""),":",""),",",""),"–"," "),"-"," "),"/"," "),"&amp;"," AND "))&amp;" "," THE "," ")," TOTAL "," ")," OPERATIONS "," "))</f>
        <v>OUTSIDE US</v>
      </c>
      <c r="O1309" s="17" t="str">
        <f aca="false">IF(COUNTIFS($N$2:$N$2000,N1309,$D$2:$D$2000,"&lt;&gt;"&amp;D1309)&gt;0,"CONFLICT","")</f>
        <v/>
      </c>
      <c r="P1309" s="7" t="s">
        <v>2208</v>
      </c>
    </row>
    <row r="1310" customFormat="false" ht="15" hidden="false" customHeight="false" outlineLevel="0" collapsed="false">
      <c r="A1310" s="7" t="s">
        <v>893</v>
      </c>
      <c r="B1310" s="7" t="s">
        <v>1879</v>
      </c>
      <c r="C1310" s="7"/>
      <c r="D1310" s="6" t="s">
        <v>893</v>
      </c>
      <c r="E1310" s="6" t="s">
        <v>1880</v>
      </c>
      <c r="F1310" s="7" t="str">
        <f aca="false">IF($D1310="","",IFERROR(IF(INDEX(Hierarchy!$B$2:$B$1295,MATCH($D1310,Hierarchy!$A$2:$A$1295,0))="","",INDEX(Hierarchy!$B$2:$B$1295,MATCH($D1310,Hierarchy!$A$2:$A$1295,0))),"NODE NOT FOUND"))</f>
        <v>State/Province</v>
      </c>
      <c r="G1310" s="7" t="str">
        <f aca="false">IF($D1310="","",IFERROR(IF(INDEX(Hierarchy!$D$2:$D$1295,MATCH($D1310,Hierarchy!$A$2:$A$1295,0))="","",INDEX(Hierarchy!$D$2:$D$1295,MATCH($D1310,Hierarchy!$A$2:$A$1295,0))),"NODE NOT FOUND"))</f>
        <v>EMEA</v>
      </c>
      <c r="H1310" s="7" t="str">
        <f aca="false">IF($D1310="","",IFERROR(IF(INDEX(Hierarchy!$E$2:$E$1295,MATCH($D1310,Hierarchy!$A$2:$A$1295,0))="","",INDEX(Hierarchy!$E$2:$E$1295,MATCH($D1310,Hierarchy!$A$2:$A$1295,0))),"NODE NOT FOUND"))</f>
        <v>Europe</v>
      </c>
      <c r="I1310" s="7" t="str">
        <f aca="false">IF($D1310="","",IFERROR(IF(INDEX(Hierarchy!$F$2:$F$1295,MATCH($D1310,Hierarchy!$A$2:$A$1295,0))="","",INDEX(Hierarchy!$F$2:$F$1295,MATCH($D1310,Hierarchy!$A$2:$A$1295,0))),"NODE NOT FOUND"))</f>
        <v>Netherlands</v>
      </c>
      <c r="J1310" s="7" t="str">
        <f aca="false">IF($D1310="","",IFERROR(IF(INDEX(Hierarchy!$G$2:$G$1295,MATCH($D1310,Hierarchy!$A$2:$A$1295,0))="","",INDEX(Hierarchy!$G$2:$G$1295,MATCH($D1310,Hierarchy!$A$2:$A$1295,0))),"NODE NOT FOUND"))</f>
        <v>NLD</v>
      </c>
      <c r="K1310" s="7" t="str">
        <f aca="false">IF($D1310="","",IFERROR(IF(INDEX(Hierarchy!$H$2:$H$1295,MATCH($D1310,Hierarchy!$A$2:$A$1295,0))="","",INDEX(Hierarchy!$H$2:$H$1295,MATCH($D1310,Hierarchy!$A$2:$A$1295,0))),"NODE NOT FOUND"))</f>
        <v>Overijssel</v>
      </c>
      <c r="L1310" s="7" t="str">
        <f aca="false">IF($D1310="","",IFERROR(IF(INDEX(Hierarchy!$I$2:$I$1295,MATCH($D1310,Hierarchy!$A$2:$A$1295,0))="","",INDEX(Hierarchy!$I$2:$I$1295,MATCH($D1310,Hierarchy!$A$2:$A$1295,0))),"NODE NOT FOUND"))</f>
        <v/>
      </c>
      <c r="M1310" s="17" t="str">
        <f aca="false">IF(B1310="Pre-seeded","Pre-seeded",IF(B1310="Review 2026-09-16","Added from review",IF(C1310="","New",IF(C1310=D1310,"","Changed"))))</f>
        <v>Pre-seeded</v>
      </c>
      <c r="N1310" s="7" t="str">
        <f aca="false">TRIM(SUBSTITUTE(SUBSTITUTE(SUBSTITUTE(" "&amp;TRIM(SUBSTITUTE(SUBSTITUTE(SUBSTITUTE(SUBSTITUTE(SUBSTITUTE(SUBSTITUTE(SUBSTITUTE(SUBSTITUTE(SUBSTITUTE(SUBSTITUTE(SUBSTITUTE(SUBSTITUTE(SUBSTITUTE(SUBSTITUTE(SUBSTITUTE(UPPER(TRIM(A1310)),"[MEMBER]",""),"{MEMBER}",""),"[MEMBER}",""),"MEMBER]",""),"(A)",""),"""",""),"“",""),"”",""),".",""),":",""),",",""),"–"," "),"-"," "),"/"," "),"&amp;"," AND "))&amp;" "," THE "," ")," TOTAL "," ")," OPERATIONS "," "))</f>
        <v>OVERIJSSEL</v>
      </c>
      <c r="O1310" s="17" t="str">
        <f aca="false">IF(COUNTIFS($N$2:$N$2000,N1310,$D$2:$D$2000,"&lt;&gt;"&amp;D1310)&gt;0,"CONFLICT","")</f>
        <v/>
      </c>
      <c r="P1310" s="7"/>
    </row>
    <row r="1311" customFormat="false" ht="15" hidden="false" customHeight="false" outlineLevel="0" collapsed="false">
      <c r="A1311" s="7" t="s">
        <v>2541</v>
      </c>
      <c r="B1311" s="7" t="s">
        <v>1879</v>
      </c>
      <c r="C1311" s="7"/>
      <c r="D1311" s="6" t="s">
        <v>1784</v>
      </c>
      <c r="E1311" s="6" t="s">
        <v>1880</v>
      </c>
      <c r="F1311" s="7" t="str">
        <f aca="false">IF($D1311="","",IFERROR(IF(INDEX(Hierarchy!$B$2:$B$1295,MATCH($D1311,Hierarchy!$A$2:$A$1295,0))="","",INDEX(Hierarchy!$B$2:$B$1295,MATCH($D1311,Hierarchy!$A$2:$A$1295,0))),"NODE NOT FOUND"))</f>
        <v>Bucket</v>
      </c>
      <c r="G1311" s="7" t="str">
        <f aca="false">IF($D1311="","",IFERROR(IF(INDEX(Hierarchy!$D$2:$D$1295,MATCH($D1311,Hierarchy!$A$2:$A$1295,0))="","",INDEX(Hierarchy!$D$2:$D$1295,MATCH($D1311,Hierarchy!$A$2:$A$1295,0))),"NODE NOT FOUND"))</f>
        <v>Non-regional</v>
      </c>
      <c r="H1311" s="7" t="str">
        <f aca="false">IF($D1311="","",IFERROR(IF(INDEX(Hierarchy!$E$2:$E$1295,MATCH($D1311,Hierarchy!$A$2:$A$1295,0))="","",INDEX(Hierarchy!$E$2:$E$1295,MATCH($D1311,Hierarchy!$A$2:$A$1295,0))),"NODE NOT FOUND"))</f>
        <v/>
      </c>
      <c r="I1311" s="7" t="str">
        <f aca="false">IF($D1311="","",IFERROR(IF(INDEX(Hierarchy!$F$2:$F$1295,MATCH($D1311,Hierarchy!$A$2:$A$1295,0))="","",INDEX(Hierarchy!$F$2:$F$1295,MATCH($D1311,Hierarchy!$A$2:$A$1295,0))),"NODE NOT FOUND"))</f>
        <v/>
      </c>
      <c r="J1311" s="7" t="str">
        <f aca="false">IF($D1311="","",IFERROR(IF(INDEX(Hierarchy!$G$2:$G$1295,MATCH($D1311,Hierarchy!$A$2:$A$1295,0))="","",INDEX(Hierarchy!$G$2:$G$1295,MATCH($D1311,Hierarchy!$A$2:$A$1295,0))),"NODE NOT FOUND"))</f>
        <v/>
      </c>
      <c r="K1311" s="7" t="str">
        <f aca="false">IF($D1311="","",IFERROR(IF(INDEX(Hierarchy!$H$2:$H$1295,MATCH($D1311,Hierarchy!$A$2:$A$1295,0))="","",INDEX(Hierarchy!$H$2:$H$1295,MATCH($D1311,Hierarchy!$A$2:$A$1295,0))),"NODE NOT FOUND"))</f>
        <v/>
      </c>
      <c r="L1311" s="7" t="str">
        <f aca="false">IF($D1311="","",IFERROR(IF(INDEX(Hierarchy!$I$2:$I$1295,MATCH($D1311,Hierarchy!$A$2:$A$1295,0))="","",INDEX(Hierarchy!$I$2:$I$1295,MATCH($D1311,Hierarchy!$A$2:$A$1295,0))),"NODE NOT FOUND"))</f>
        <v/>
      </c>
      <c r="M1311" s="17" t="str">
        <f aca="false">IF(B1311="Pre-seeded","Pre-seeded",IF(B1311="Review 2026-09-16","Added from review",IF(C1311="","New",IF(C1311=D1311,"","Changed"))))</f>
        <v>Pre-seeded</v>
      </c>
      <c r="N1311" s="7" t="str">
        <f aca="false">TRIM(SUBSTITUTE(SUBSTITUTE(SUBSTITUTE(" "&amp;TRIM(SUBSTITUTE(SUBSTITUTE(SUBSTITUTE(SUBSTITUTE(SUBSTITUTE(SUBSTITUTE(SUBSTITUTE(SUBSTITUTE(SUBSTITUTE(SUBSTITUTE(SUBSTITUTE(SUBSTITUTE(SUBSTITUTE(SUBSTITUTE(SUBSTITUTE(UPPER(TRIM(A1311)),"[MEMBER]",""),"{MEMBER}",""),"[MEMBER}",""),"MEMBER]",""),"(A)",""),"""",""),"“",""),"”",""),".",""),":",""),",",""),"–"," "),"-"," "),"/"," "),"&amp;"," AND "))&amp;" "," THE "," ")," TOTAL "," ")," OPERATIONS "," "))</f>
        <v>OVERSEAS</v>
      </c>
      <c r="O1311" s="17" t="str">
        <f aca="false">IF(COUNTIFS($N$2:$N$2000,N1311,$D$2:$D$2000,"&lt;&gt;"&amp;D1311)&gt;0,"CONFLICT","")</f>
        <v/>
      </c>
      <c r="P1311" s="7"/>
    </row>
    <row r="1312" customFormat="false" ht="15" hidden="false" customHeight="false" outlineLevel="0" collapsed="false">
      <c r="A1312" s="7" t="s">
        <v>1163</v>
      </c>
      <c r="B1312" s="7" t="s">
        <v>1879</v>
      </c>
      <c r="C1312" s="7"/>
      <c r="D1312" s="6" t="s">
        <v>1163</v>
      </c>
      <c r="E1312" s="6" t="s">
        <v>1880</v>
      </c>
      <c r="F1312" s="7" t="str">
        <f aca="false">IF($D1312="","",IFERROR(IF(INDEX(Hierarchy!$B$2:$B$1295,MATCH($D1312,Hierarchy!$A$2:$A$1295,0))="","",INDEX(Hierarchy!$B$2:$B$1295,MATCH($D1312,Hierarchy!$A$2:$A$1295,0))),"NODE NOT FOUND"))</f>
        <v>State/Province</v>
      </c>
      <c r="G1312" s="7" t="str">
        <f aca="false">IF($D1312="","",IFERROR(IF(INDEX(Hierarchy!$D$2:$D$1295,MATCH($D1312,Hierarchy!$A$2:$A$1295,0))="","",INDEX(Hierarchy!$D$2:$D$1295,MATCH($D1312,Hierarchy!$A$2:$A$1295,0))),"NODE NOT FOUND"))</f>
        <v>EMEA</v>
      </c>
      <c r="H1312" s="7" t="str">
        <f aca="false">IF($D1312="","",IFERROR(IF(INDEX(Hierarchy!$E$2:$E$1295,MATCH($D1312,Hierarchy!$A$2:$A$1295,0))="","",INDEX(Hierarchy!$E$2:$E$1295,MATCH($D1312,Hierarchy!$A$2:$A$1295,0))),"NODE NOT FOUND"))</f>
        <v>Africa</v>
      </c>
      <c r="I1312" s="7" t="str">
        <f aca="false">IF($D1312="","",IFERROR(IF(INDEX(Hierarchy!$F$2:$F$1295,MATCH($D1312,Hierarchy!$A$2:$A$1295,0))="","",INDEX(Hierarchy!$F$2:$F$1295,MATCH($D1312,Hierarchy!$A$2:$A$1295,0))),"NODE NOT FOUND"))</f>
        <v>Nigeria</v>
      </c>
      <c r="J1312" s="7" t="str">
        <f aca="false">IF($D1312="","",IFERROR(IF(INDEX(Hierarchy!$G$2:$G$1295,MATCH($D1312,Hierarchy!$A$2:$A$1295,0))="","",INDEX(Hierarchy!$G$2:$G$1295,MATCH($D1312,Hierarchy!$A$2:$A$1295,0))),"NODE NOT FOUND"))</f>
        <v>NGA</v>
      </c>
      <c r="K1312" s="7" t="str">
        <f aca="false">IF($D1312="","",IFERROR(IF(INDEX(Hierarchy!$H$2:$H$1295,MATCH($D1312,Hierarchy!$A$2:$A$1295,0))="","",INDEX(Hierarchy!$H$2:$H$1295,MATCH($D1312,Hierarchy!$A$2:$A$1295,0))),"NODE NOT FOUND"))</f>
        <v>Oyo</v>
      </c>
      <c r="L1312" s="7" t="str">
        <f aca="false">IF($D1312="","",IFERROR(IF(INDEX(Hierarchy!$I$2:$I$1295,MATCH($D1312,Hierarchy!$A$2:$A$1295,0))="","",INDEX(Hierarchy!$I$2:$I$1295,MATCH($D1312,Hierarchy!$A$2:$A$1295,0))),"NODE NOT FOUND"))</f>
        <v/>
      </c>
      <c r="M1312" s="17" t="str">
        <f aca="false">IF(B1312="Pre-seeded","Pre-seeded",IF(B1312="Review 2026-09-16","Added from review",IF(C1312="","New",IF(C1312=D1312,"","Changed"))))</f>
        <v>Pre-seeded</v>
      </c>
      <c r="N1312" s="7" t="str">
        <f aca="false">TRIM(SUBSTITUTE(SUBSTITUTE(SUBSTITUTE(" "&amp;TRIM(SUBSTITUTE(SUBSTITUTE(SUBSTITUTE(SUBSTITUTE(SUBSTITUTE(SUBSTITUTE(SUBSTITUTE(SUBSTITUTE(SUBSTITUTE(SUBSTITUTE(SUBSTITUTE(SUBSTITUTE(SUBSTITUTE(SUBSTITUTE(SUBSTITUTE(UPPER(TRIM(A1312)),"[MEMBER]",""),"{MEMBER}",""),"[MEMBER}",""),"MEMBER]",""),"(A)",""),"""",""),"“",""),"”",""),".",""),":",""),",",""),"–"," "),"-"," "),"/"," "),"&amp;"," AND "))&amp;" "," THE "," ")," TOTAL "," ")," OPERATIONS "," "))</f>
        <v>OYO</v>
      </c>
      <c r="O1312" s="17" t="str">
        <f aca="false">IF(COUNTIFS($N$2:$N$2000,N1312,$D$2:$D$2000,"&lt;&gt;"&amp;D1312)&gt;0,"CONFLICT","")</f>
        <v/>
      </c>
      <c r="P1312" s="7"/>
    </row>
    <row r="1313" customFormat="false" ht="15" hidden="false" customHeight="false" outlineLevel="0" collapsed="false">
      <c r="A1313" s="7" t="s">
        <v>2542</v>
      </c>
      <c r="B1313" s="7" t="s">
        <v>1885</v>
      </c>
      <c r="C1313" s="7" t="s">
        <v>1926</v>
      </c>
      <c r="D1313" s="6" t="s">
        <v>1311</v>
      </c>
      <c r="E1313" s="6" t="s">
        <v>1880</v>
      </c>
      <c r="F1313" s="7" t="str">
        <f aca="false">IF($D1313="","",IFERROR(IF(INDEX(Hierarchy!$B$2:$B$1295,MATCH($D1313,Hierarchy!$A$2:$A$1295,0))="","",INDEX(Hierarchy!$B$2:$B$1295,MATCH($D1313,Hierarchy!$A$2:$A$1295,0))),"NODE NOT FOUND"))</f>
        <v>Region</v>
      </c>
      <c r="G1313" s="7" t="str">
        <f aca="false">IF($D1313="","",IFERROR(IF(INDEX(Hierarchy!$D$2:$D$1295,MATCH($D1313,Hierarchy!$A$2:$A$1295,0))="","",INDEX(Hierarchy!$D$2:$D$1295,MATCH($D1313,Hierarchy!$A$2:$A$1295,0))),"NODE NOT FOUND"))</f>
        <v>APAC</v>
      </c>
      <c r="H1313" s="7" t="str">
        <f aca="false">IF($D1313="","",IFERROR(IF(INDEX(Hierarchy!$E$2:$E$1295,MATCH($D1313,Hierarchy!$A$2:$A$1295,0))="","",INDEX(Hierarchy!$E$2:$E$1295,MATCH($D1313,Hierarchy!$A$2:$A$1295,0))),"NODE NOT FOUND"))</f>
        <v/>
      </c>
      <c r="I1313" s="7" t="str">
        <f aca="false">IF($D1313="","",IFERROR(IF(INDEX(Hierarchy!$F$2:$F$1295,MATCH($D1313,Hierarchy!$A$2:$A$1295,0))="","",INDEX(Hierarchy!$F$2:$F$1295,MATCH($D1313,Hierarchy!$A$2:$A$1295,0))),"NODE NOT FOUND"))</f>
        <v/>
      </c>
      <c r="J1313" s="7" t="str">
        <f aca="false">IF($D1313="","",IFERROR(IF(INDEX(Hierarchy!$G$2:$G$1295,MATCH($D1313,Hierarchy!$A$2:$A$1295,0))="","",INDEX(Hierarchy!$G$2:$G$1295,MATCH($D1313,Hierarchy!$A$2:$A$1295,0))),"NODE NOT FOUND"))</f>
        <v/>
      </c>
      <c r="K1313" s="7" t="str">
        <f aca="false">IF($D1313="","",IFERROR(IF(INDEX(Hierarchy!$H$2:$H$1295,MATCH($D1313,Hierarchy!$A$2:$A$1295,0))="","",INDEX(Hierarchy!$H$2:$H$1295,MATCH($D1313,Hierarchy!$A$2:$A$1295,0))),"NODE NOT FOUND"))</f>
        <v/>
      </c>
      <c r="L1313" s="7" t="str">
        <f aca="false">IF($D1313="","",IFERROR(IF(INDEX(Hierarchy!$I$2:$I$1295,MATCH($D1313,Hierarchy!$A$2:$A$1295,0))="","",INDEX(Hierarchy!$I$2:$I$1295,MATCH($D1313,Hierarchy!$A$2:$A$1295,0))),"NODE NOT FOUND"))</f>
        <v/>
      </c>
      <c r="M1313" s="17" t="str">
        <f aca="false">IF(B1313="Pre-seeded","Pre-seeded",IF(B1313="Review 2026-09-16","Added from review",IF(C1313="","New",IF(C1313=D1313,"","Changed"))))</f>
        <v>Changed</v>
      </c>
      <c r="N1313" s="7" t="str">
        <f aca="false">TRIM(SUBSTITUTE(SUBSTITUTE(SUBSTITUTE(" "&amp;TRIM(SUBSTITUTE(SUBSTITUTE(SUBSTITUTE(SUBSTITUTE(SUBSTITUTE(SUBSTITUTE(SUBSTITUTE(SUBSTITUTE(SUBSTITUTE(SUBSTITUTE(SUBSTITUTE(SUBSTITUTE(SUBSTITUTE(SUBSTITUTE(SUBSTITUTE(UPPER(TRIM(A1313)),"[MEMBER]",""),"{MEMBER}",""),"[MEMBER}",""),"MEMBER]",""),"(A)",""),"""",""),"“",""),"”",""),".",""),":",""),",",""),"–"," "),"-"," "),"/"," "),"&amp;"," AND "))&amp;" "," THE "," ")," TOTAL "," ")," OPERATIONS "," "))</f>
        <v>PACIFIC</v>
      </c>
      <c r="O1313" s="17" t="str">
        <f aca="false">IF(COUNTIFS($N$2:$N$2000,N1313,$D$2:$D$2000,"&lt;&gt;"&amp;D1313)&gt;0,"CONFLICT","")</f>
        <v/>
      </c>
      <c r="P1313" s="7"/>
    </row>
    <row r="1314" customFormat="false" ht="15" hidden="false" customHeight="false" outlineLevel="0" collapsed="false">
      <c r="A1314" s="7" t="s">
        <v>326</v>
      </c>
      <c r="B1314" s="7" t="s">
        <v>1879</v>
      </c>
      <c r="C1314" s="7"/>
      <c r="D1314" s="6" t="s">
        <v>326</v>
      </c>
      <c r="E1314" s="6" t="s">
        <v>1880</v>
      </c>
      <c r="F1314" s="7" t="str">
        <f aca="false">IF($D1314="","",IFERROR(IF(INDEX(Hierarchy!$B$2:$B$1295,MATCH($D1314,Hierarchy!$A$2:$A$1295,0))="","",INDEX(Hierarchy!$B$2:$B$1295,MATCH($D1314,Hierarchy!$A$2:$A$1295,0))),"NODE NOT FOUND"))</f>
        <v>Sub-region component</v>
      </c>
      <c r="G1314" s="7" t="str">
        <f aca="false">IF($D1314="","",IFERROR(IF(INDEX(Hierarchy!$D$2:$D$1295,MATCH($D1314,Hierarchy!$A$2:$A$1295,0))="","",INDEX(Hierarchy!$D$2:$D$1295,MATCH($D1314,Hierarchy!$A$2:$A$1295,0))),"NODE NOT FOUND"))</f>
        <v>AMER</v>
      </c>
      <c r="H1314" s="7" t="str">
        <f aca="false">IF($D1314="","",IFERROR(IF(INDEX(Hierarchy!$E$2:$E$1295,MATCH($D1314,Hierarchy!$A$2:$A$1295,0))="","",INDEX(Hierarchy!$E$2:$E$1295,MATCH($D1314,Hierarchy!$A$2:$A$1295,0))),"NODE NOT FOUND"))</f>
        <v>Latin America (LATAM)</v>
      </c>
      <c r="I1314" s="7" t="str">
        <f aca="false">IF($D1314="","",IFERROR(IF(INDEX(Hierarchy!$F$2:$F$1295,MATCH($D1314,Hierarchy!$A$2:$A$1295,0))="","",INDEX(Hierarchy!$F$2:$F$1295,MATCH($D1314,Hierarchy!$A$2:$A$1295,0))),"NODE NOT FOUND"))</f>
        <v/>
      </c>
      <c r="J1314" s="7" t="str">
        <f aca="false">IF($D1314="","",IFERROR(IF(INDEX(Hierarchy!$G$2:$G$1295,MATCH($D1314,Hierarchy!$A$2:$A$1295,0))="","",INDEX(Hierarchy!$G$2:$G$1295,MATCH($D1314,Hierarchy!$A$2:$A$1295,0))),"NODE NOT FOUND"))</f>
        <v/>
      </c>
      <c r="K1314" s="7" t="str">
        <f aca="false">IF($D1314="","",IFERROR(IF(INDEX(Hierarchy!$H$2:$H$1295,MATCH($D1314,Hierarchy!$A$2:$A$1295,0))="","",INDEX(Hierarchy!$H$2:$H$1295,MATCH($D1314,Hierarchy!$A$2:$A$1295,0))),"NODE NOT FOUND"))</f>
        <v/>
      </c>
      <c r="L1314" s="7" t="str">
        <f aca="false">IF($D1314="","",IFERROR(IF(INDEX(Hierarchy!$I$2:$I$1295,MATCH($D1314,Hierarchy!$A$2:$A$1295,0))="","",INDEX(Hierarchy!$I$2:$I$1295,MATCH($D1314,Hierarchy!$A$2:$A$1295,0))),"NODE NOT FOUND"))</f>
        <v/>
      </c>
      <c r="M1314" s="17" t="str">
        <f aca="false">IF(B1314="Pre-seeded","Pre-seeded",IF(B1314="Review 2026-09-16","Added from review",IF(C1314="","New",IF(C1314=D1314,"","Changed"))))</f>
        <v>Pre-seeded</v>
      </c>
      <c r="N1314" s="7" t="str">
        <f aca="false">TRIM(SUBSTITUTE(SUBSTITUTE(SUBSTITUTE(" "&amp;TRIM(SUBSTITUTE(SUBSTITUTE(SUBSTITUTE(SUBSTITUTE(SUBSTITUTE(SUBSTITUTE(SUBSTITUTE(SUBSTITUTE(SUBSTITUTE(SUBSTITUTE(SUBSTITUTE(SUBSTITUTE(SUBSTITUTE(SUBSTITUTE(SUBSTITUTE(UPPER(TRIM(A1314)),"[MEMBER]",""),"{MEMBER}",""),"[MEMBER}",""),"MEMBER]",""),"(A)",""),"""",""),"“",""),"”",""),".",""),":",""),",",""),"–"," "),"-"," "),"/"," "),"&amp;"," AND "))&amp;" "," THE "," ")," TOTAL "," ")," OPERATIONS "," "))</f>
        <v>PACIFIC ALLIANCE</v>
      </c>
      <c r="O1314" s="17" t="str">
        <f aca="false">IF(COUNTIFS($N$2:$N$2000,N1314,$D$2:$D$2000,"&lt;&gt;"&amp;D1314)&gt;0,"CONFLICT","")</f>
        <v/>
      </c>
      <c r="P1314" s="7"/>
    </row>
    <row r="1315" customFormat="false" ht="15" hidden="false" customHeight="false" outlineLevel="0" collapsed="false">
      <c r="A1315" s="7" t="s">
        <v>2543</v>
      </c>
      <c r="B1315" s="7" t="s">
        <v>1885</v>
      </c>
      <c r="C1315" s="7" t="s">
        <v>2107</v>
      </c>
      <c r="D1315" s="6" t="s">
        <v>1311</v>
      </c>
      <c r="E1315" s="6" t="s">
        <v>1880</v>
      </c>
      <c r="F1315" s="7" t="str">
        <f aca="false">IF($D1315="","",IFERROR(IF(INDEX(Hierarchy!$B$2:$B$1295,MATCH($D1315,Hierarchy!$A$2:$A$1295,0))="","",INDEX(Hierarchy!$B$2:$B$1295,MATCH($D1315,Hierarchy!$A$2:$A$1295,0))),"NODE NOT FOUND"))</f>
        <v>Region</v>
      </c>
      <c r="G1315" s="7" t="str">
        <f aca="false">IF($D1315="","",IFERROR(IF(INDEX(Hierarchy!$D$2:$D$1295,MATCH($D1315,Hierarchy!$A$2:$A$1295,0))="","",INDEX(Hierarchy!$D$2:$D$1295,MATCH($D1315,Hierarchy!$A$2:$A$1295,0))),"NODE NOT FOUND"))</f>
        <v>APAC</v>
      </c>
      <c r="H1315" s="7" t="str">
        <f aca="false">IF($D1315="","",IFERROR(IF(INDEX(Hierarchy!$E$2:$E$1295,MATCH($D1315,Hierarchy!$A$2:$A$1295,0))="","",INDEX(Hierarchy!$E$2:$E$1295,MATCH($D1315,Hierarchy!$A$2:$A$1295,0))),"NODE NOT FOUND"))</f>
        <v/>
      </c>
      <c r="I1315" s="7" t="str">
        <f aca="false">IF($D1315="","",IFERROR(IF(INDEX(Hierarchy!$F$2:$F$1295,MATCH($D1315,Hierarchy!$A$2:$A$1295,0))="","",INDEX(Hierarchy!$F$2:$F$1295,MATCH($D1315,Hierarchy!$A$2:$A$1295,0))),"NODE NOT FOUND"))</f>
        <v/>
      </c>
      <c r="J1315" s="7" t="str">
        <f aca="false">IF($D1315="","",IFERROR(IF(INDEX(Hierarchy!$G$2:$G$1295,MATCH($D1315,Hierarchy!$A$2:$A$1295,0))="","",INDEX(Hierarchy!$G$2:$G$1295,MATCH($D1315,Hierarchy!$A$2:$A$1295,0))),"NODE NOT FOUND"))</f>
        <v/>
      </c>
      <c r="K1315" s="7" t="str">
        <f aca="false">IF($D1315="","",IFERROR(IF(INDEX(Hierarchy!$H$2:$H$1295,MATCH($D1315,Hierarchy!$A$2:$A$1295,0))="","",INDEX(Hierarchy!$H$2:$H$1295,MATCH($D1315,Hierarchy!$A$2:$A$1295,0))),"NODE NOT FOUND"))</f>
        <v/>
      </c>
      <c r="L1315" s="7" t="str">
        <f aca="false">IF($D1315="","",IFERROR(IF(INDEX(Hierarchy!$I$2:$I$1295,MATCH($D1315,Hierarchy!$A$2:$A$1295,0))="","",INDEX(Hierarchy!$I$2:$I$1295,MATCH($D1315,Hierarchy!$A$2:$A$1295,0))),"NODE NOT FOUND"))</f>
        <v/>
      </c>
      <c r="M1315" s="17" t="str">
        <f aca="false">IF(B1315="Pre-seeded","Pre-seeded",IF(B1315="Review 2026-09-16","Added from review",IF(C1315="","New",IF(C1315=D1315,"","Changed"))))</f>
        <v>Changed</v>
      </c>
      <c r="N1315" s="7" t="str">
        <f aca="false">TRIM(SUBSTITUTE(SUBSTITUTE(SUBSTITUTE(" "&amp;TRIM(SUBSTITUTE(SUBSTITUTE(SUBSTITUTE(SUBSTITUTE(SUBSTITUTE(SUBSTITUTE(SUBSTITUTE(SUBSTITUTE(SUBSTITUTE(SUBSTITUTE(SUBSTITUTE(SUBSTITUTE(SUBSTITUTE(SUBSTITUTE(SUBSTITUTE(UPPER(TRIM(A1315)),"[MEMBER]",""),"{MEMBER}",""),"[MEMBER}",""),"MEMBER]",""),"(A)",""),"""",""),"“",""),"”",""),".",""),":",""),",",""),"–"," "),"-"," "),"/"," "),"&amp;"," AND "))&amp;" "," THE "," ")," TOTAL "," ")," OPERATIONS "," "))</f>
        <v>PACIFIC BASIN AND FAR EAST</v>
      </c>
      <c r="O1315" s="17" t="str">
        <f aca="false">IF(COUNTIFS($N$2:$N$2000,N1315,$D$2:$D$2000,"&lt;&gt;"&amp;D1315)&gt;0,"CONFLICT","")</f>
        <v/>
      </c>
      <c r="P1315" s="7"/>
    </row>
    <row r="1316" customFormat="false" ht="15" hidden="false" customHeight="false" outlineLevel="0" collapsed="false">
      <c r="A1316" s="7" t="s">
        <v>1695</v>
      </c>
      <c r="B1316" s="7" t="s">
        <v>1879</v>
      </c>
      <c r="C1316" s="7"/>
      <c r="D1316" s="6" t="s">
        <v>1695</v>
      </c>
      <c r="E1316" s="6" t="s">
        <v>1880</v>
      </c>
      <c r="F1316" s="7" t="str">
        <f aca="false">IF($D1316="","",IFERROR(IF(INDEX(Hierarchy!$B$2:$B$1295,MATCH($D1316,Hierarchy!$A$2:$A$1295,0))="","",INDEX(Hierarchy!$B$2:$B$1295,MATCH($D1316,Hierarchy!$A$2:$A$1295,0))),"NODE NOT FOUND"))</f>
        <v>Sub-region component</v>
      </c>
      <c r="G1316" s="7" t="str">
        <f aca="false">IF($D1316="","",IFERROR(IF(INDEX(Hierarchy!$D$2:$D$1295,MATCH($D1316,Hierarchy!$A$2:$A$1295,0))="","",INDEX(Hierarchy!$D$2:$D$1295,MATCH($D1316,Hierarchy!$A$2:$A$1295,0))),"NODE NOT FOUND"))</f>
        <v>APAC</v>
      </c>
      <c r="H1316" s="7" t="str">
        <f aca="false">IF($D1316="","",IFERROR(IF(INDEX(Hierarchy!$E$2:$E$1295,MATCH($D1316,Hierarchy!$A$2:$A$1295,0))="","",INDEX(Hierarchy!$E$2:$E$1295,MATCH($D1316,Hierarchy!$A$2:$A$1295,0))),"NODE NOT FOUND"))</f>
        <v>Oceania (ANZ)</v>
      </c>
      <c r="I1316" s="7" t="str">
        <f aca="false">IF($D1316="","",IFERROR(IF(INDEX(Hierarchy!$F$2:$F$1295,MATCH($D1316,Hierarchy!$A$2:$A$1295,0))="","",INDEX(Hierarchy!$F$2:$F$1295,MATCH($D1316,Hierarchy!$A$2:$A$1295,0))),"NODE NOT FOUND"))</f>
        <v/>
      </c>
      <c r="J1316" s="7" t="str">
        <f aca="false">IF($D1316="","",IFERROR(IF(INDEX(Hierarchy!$G$2:$G$1295,MATCH($D1316,Hierarchy!$A$2:$A$1295,0))="","",INDEX(Hierarchy!$G$2:$G$1295,MATCH($D1316,Hierarchy!$A$2:$A$1295,0))),"NODE NOT FOUND"))</f>
        <v/>
      </c>
      <c r="K1316" s="7" t="str">
        <f aca="false">IF($D1316="","",IFERROR(IF(INDEX(Hierarchy!$H$2:$H$1295,MATCH($D1316,Hierarchy!$A$2:$A$1295,0))="","",INDEX(Hierarchy!$H$2:$H$1295,MATCH($D1316,Hierarchy!$A$2:$A$1295,0))),"NODE NOT FOUND"))</f>
        <v/>
      </c>
      <c r="L1316" s="7" t="str">
        <f aca="false">IF($D1316="","",IFERROR(IF(INDEX(Hierarchy!$I$2:$I$1295,MATCH($D1316,Hierarchy!$A$2:$A$1295,0))="","",INDEX(Hierarchy!$I$2:$I$1295,MATCH($D1316,Hierarchy!$A$2:$A$1295,0))),"NODE NOT FOUND"))</f>
        <v/>
      </c>
      <c r="M1316" s="17" t="str">
        <f aca="false">IF(B1316="Pre-seeded","Pre-seeded",IF(B1316="Review 2026-09-16","Added from review",IF(C1316="","New",IF(C1316=D1316,"","Changed"))))</f>
        <v>Pre-seeded</v>
      </c>
      <c r="N1316" s="7" t="str">
        <f aca="false">TRIM(SUBSTITUTE(SUBSTITUTE(SUBSTITUTE(" "&amp;TRIM(SUBSTITUTE(SUBSTITUTE(SUBSTITUTE(SUBSTITUTE(SUBSTITUTE(SUBSTITUTE(SUBSTITUTE(SUBSTITUTE(SUBSTITUTE(SUBSTITUTE(SUBSTITUTE(SUBSTITUTE(SUBSTITUTE(SUBSTITUTE(SUBSTITUTE(UPPER(TRIM(A1316)),"[MEMBER]",""),"{MEMBER}",""),"[MEMBER}",""),"MEMBER]",""),"(A)",""),"""",""),"“",""),"”",""),".",""),":",""),",",""),"–"," "),"-"," "),"/"," "),"&amp;"," AND "))&amp;" "," THE "," ")," TOTAL "," ")," OPERATIONS "," "))</f>
        <v>PACIFIC ISLANDS</v>
      </c>
      <c r="O1316" s="17" t="str">
        <f aca="false">IF(COUNTIFS($N$2:$N$2000,N1316,$D$2:$D$2000,"&lt;&gt;"&amp;D1316)&gt;0,"CONFLICT","")</f>
        <v/>
      </c>
      <c r="P1316" s="7"/>
    </row>
    <row r="1317" customFormat="false" ht="15" hidden="false" customHeight="false" outlineLevel="0" collapsed="false">
      <c r="A1317" s="7" t="s">
        <v>2544</v>
      </c>
      <c r="B1317" s="7" t="s">
        <v>1879</v>
      </c>
      <c r="C1317" s="7"/>
      <c r="D1317" s="6" t="s">
        <v>110</v>
      </c>
      <c r="E1317" s="6" t="s">
        <v>1880</v>
      </c>
      <c r="F1317" s="7" t="str">
        <f aca="false">IF($D1317="","",IFERROR(IF(INDEX(Hierarchy!$B$2:$B$1295,MATCH($D1317,Hierarchy!$A$2:$A$1295,0))="","",INDEX(Hierarchy!$B$2:$B$1295,MATCH($D1317,Hierarchy!$A$2:$A$1295,0))),"NODE NOT FOUND"))</f>
        <v>Sub-national region</v>
      </c>
      <c r="G1317" s="7" t="str">
        <f aca="false">IF($D1317="","",IFERROR(IF(INDEX(Hierarchy!$D$2:$D$1295,MATCH($D1317,Hierarchy!$A$2:$A$1295,0))="","",INDEX(Hierarchy!$D$2:$D$1295,MATCH($D1317,Hierarchy!$A$2:$A$1295,0))),"NODE NOT FOUND"))</f>
        <v>AMER</v>
      </c>
      <c r="H1317" s="7" t="str">
        <f aca="false">IF($D1317="","",IFERROR(IF(INDEX(Hierarchy!$E$2:$E$1295,MATCH($D1317,Hierarchy!$A$2:$A$1295,0))="","",INDEX(Hierarchy!$E$2:$E$1295,MATCH($D1317,Hierarchy!$A$2:$A$1295,0))),"NODE NOT FOUND"))</f>
        <v>North America (NORAM)</v>
      </c>
      <c r="I1317" s="7" t="str">
        <f aca="false">IF($D1317="","",IFERROR(IF(INDEX(Hierarchy!$F$2:$F$1295,MATCH($D1317,Hierarchy!$A$2:$A$1295,0))="","",INDEX(Hierarchy!$F$2:$F$1295,MATCH($D1317,Hierarchy!$A$2:$A$1295,0))),"NODE NOT FOUND"))</f>
        <v>United States</v>
      </c>
      <c r="J1317" s="7" t="str">
        <f aca="false">IF($D1317="","",IFERROR(IF(INDEX(Hierarchy!$G$2:$G$1295,MATCH($D1317,Hierarchy!$A$2:$A$1295,0))="","",INDEX(Hierarchy!$G$2:$G$1295,MATCH($D1317,Hierarchy!$A$2:$A$1295,0))),"NODE NOT FOUND"))</f>
        <v>USA</v>
      </c>
      <c r="K1317" s="7" t="str">
        <f aca="false">IF($D1317="","",IFERROR(IF(INDEX(Hierarchy!$H$2:$H$1295,MATCH($D1317,Hierarchy!$A$2:$A$1295,0))="","",INDEX(Hierarchy!$H$2:$H$1295,MATCH($D1317,Hierarchy!$A$2:$A$1295,0))),"NODE NOT FOUND"))</f>
        <v/>
      </c>
      <c r="L1317" s="7" t="str">
        <f aca="false">IF($D1317="","",IFERROR(IF(INDEX(Hierarchy!$I$2:$I$1295,MATCH($D1317,Hierarchy!$A$2:$A$1295,0))="","",INDEX(Hierarchy!$I$2:$I$1295,MATCH($D1317,Hierarchy!$A$2:$A$1295,0))),"NODE NOT FOUND"))</f>
        <v/>
      </c>
      <c r="M1317" s="17" t="str">
        <f aca="false">IF(B1317="Pre-seeded","Pre-seeded",IF(B1317="Review 2026-09-16","Added from review",IF(C1317="","New",IF(C1317=D1317,"","Changed"))))</f>
        <v>Pre-seeded</v>
      </c>
      <c r="N1317" s="7" t="str">
        <f aca="false">TRIM(SUBSTITUTE(SUBSTITUTE(SUBSTITUTE(" "&amp;TRIM(SUBSTITUTE(SUBSTITUTE(SUBSTITUTE(SUBSTITUTE(SUBSTITUTE(SUBSTITUTE(SUBSTITUTE(SUBSTITUTE(SUBSTITUTE(SUBSTITUTE(SUBSTITUTE(SUBSTITUTE(SUBSTITUTE(SUBSTITUTE(SUBSTITUTE(UPPER(TRIM(A1317)),"[MEMBER]",""),"{MEMBER}",""),"[MEMBER}",""),"MEMBER]",""),"(A)",""),"""",""),"“",""),"”",""),".",""),":",""),",",""),"–"," "),"-"," "),"/"," "),"&amp;"," AND "))&amp;" "," THE "," ")," TOTAL "," ")," OPERATIONS "," "))</f>
        <v>PACIFIC NORTHWEST</v>
      </c>
      <c r="O1317" s="17" t="str">
        <f aca="false">IF(COUNTIFS($N$2:$N$2000,N1317,$D$2:$D$2000,"&lt;&gt;"&amp;D1317)&gt;0,"CONFLICT","")</f>
        <v/>
      </c>
      <c r="P1317" s="7"/>
    </row>
    <row r="1318" customFormat="false" ht="15" hidden="false" customHeight="false" outlineLevel="0" collapsed="false">
      <c r="A1318" s="7" t="s">
        <v>2545</v>
      </c>
      <c r="B1318" s="7" t="s">
        <v>1879</v>
      </c>
      <c r="C1318" s="7"/>
      <c r="D1318" s="6" t="s">
        <v>1803</v>
      </c>
      <c r="E1318" s="6" t="s">
        <v>1886</v>
      </c>
      <c r="F1318" s="7" t="str">
        <f aca="false">IF($D1318="","",IFERROR(IF(INDEX(Hierarchy!$B$2:$B$1295,MATCH($D1318,Hierarchy!$A$2:$A$1295,0))="","",INDEX(Hierarchy!$B$2:$B$1295,MATCH($D1318,Hierarchy!$A$2:$A$1295,0))),"NODE NOT FOUND"))</f>
        <v>Multi-region</v>
      </c>
      <c r="G1318" s="7" t="str">
        <f aca="false">IF($D1318="","",IFERROR(IF(INDEX(Hierarchy!$D$2:$D$1295,MATCH($D1318,Hierarchy!$A$2:$A$1295,0))="","",INDEX(Hierarchy!$D$2:$D$1295,MATCH($D1318,Hierarchy!$A$2:$A$1295,0))),"NODE NOT FOUND"))</f>
        <v>Multi-region</v>
      </c>
      <c r="H1318" s="7" t="str">
        <f aca="false">IF($D1318="","",IFERROR(IF(INDEX(Hierarchy!$E$2:$E$1295,MATCH($D1318,Hierarchy!$A$2:$A$1295,0))="","",INDEX(Hierarchy!$E$2:$E$1295,MATCH($D1318,Hierarchy!$A$2:$A$1295,0))),"NODE NOT FOUND"))</f>
        <v/>
      </c>
      <c r="I1318" s="7" t="str">
        <f aca="false">IF($D1318="","",IFERROR(IF(INDEX(Hierarchy!$F$2:$F$1295,MATCH($D1318,Hierarchy!$A$2:$A$1295,0))="","",INDEX(Hierarchy!$F$2:$F$1295,MATCH($D1318,Hierarchy!$A$2:$A$1295,0))),"NODE NOT FOUND"))</f>
        <v/>
      </c>
      <c r="J1318" s="7" t="str">
        <f aca="false">IF($D1318="","",IFERROR(IF(INDEX(Hierarchy!$G$2:$G$1295,MATCH($D1318,Hierarchy!$A$2:$A$1295,0))="","",INDEX(Hierarchy!$G$2:$G$1295,MATCH($D1318,Hierarchy!$A$2:$A$1295,0))),"NODE NOT FOUND"))</f>
        <v/>
      </c>
      <c r="K1318" s="7" t="str">
        <f aca="false">IF($D1318="","",IFERROR(IF(INDEX(Hierarchy!$H$2:$H$1295,MATCH($D1318,Hierarchy!$A$2:$A$1295,0))="","",INDEX(Hierarchy!$H$2:$H$1295,MATCH($D1318,Hierarchy!$A$2:$A$1295,0))),"NODE NOT FOUND"))</f>
        <v/>
      </c>
      <c r="L1318" s="7" t="str">
        <f aca="false">IF($D1318="","",IFERROR(IF(INDEX(Hierarchy!$I$2:$I$1295,MATCH($D1318,Hierarchy!$A$2:$A$1295,0))="","",INDEX(Hierarchy!$I$2:$I$1295,MATCH($D1318,Hierarchy!$A$2:$A$1295,0))),"NODE NOT FOUND"))</f>
        <v/>
      </c>
      <c r="M1318" s="17" t="str">
        <f aca="false">IF(B1318="Pre-seeded","Pre-seeded",IF(B1318="Review 2026-09-16","Added from review",IF(C1318="","New",IF(C1318=D1318,"","Changed"))))</f>
        <v>Pre-seeded</v>
      </c>
      <c r="N1318" s="7" t="str">
        <f aca="false">TRIM(SUBSTITUTE(SUBSTITUTE(SUBSTITUTE(" "&amp;TRIM(SUBSTITUTE(SUBSTITUTE(SUBSTITUTE(SUBSTITUTE(SUBSTITUTE(SUBSTITUTE(SUBSTITUTE(SUBSTITUTE(SUBSTITUTE(SUBSTITUTE(SUBSTITUTE(SUBSTITUTE(SUBSTITUTE(SUBSTITUTE(SUBSTITUTE(UPPER(TRIM(A1318)),"[MEMBER]",""),"{MEMBER}",""),"[MEMBER}",""),"MEMBER]",""),"(A)",""),"""",""),"“",""),"”",""),".",""),":",""),",",""),"–"," "),"-"," "),"/"," "),"&amp;"," AND "))&amp;" "," THE "," ")," TOTAL "," ")," OPERATIONS "," "))</f>
        <v>PACIFIC RIM</v>
      </c>
      <c r="O1318" s="17" t="str">
        <f aca="false">IF(COUNTIFS($N$2:$N$2000,N1318,$D$2:$D$2000,"&lt;&gt;"&amp;D1318)&gt;0,"CONFLICT","")</f>
        <v/>
      </c>
      <c r="P1318" s="7"/>
    </row>
    <row r="1319" customFormat="false" ht="15" hidden="false" customHeight="false" outlineLevel="0" collapsed="false">
      <c r="A1319" s="7" t="s">
        <v>1642</v>
      </c>
      <c r="B1319" s="7" t="s">
        <v>1879</v>
      </c>
      <c r="C1319" s="7"/>
      <c r="D1319" s="6" t="s">
        <v>1642</v>
      </c>
      <c r="E1319" s="6" t="s">
        <v>1880</v>
      </c>
      <c r="F1319" s="7" t="str">
        <f aca="false">IF($D1319="","",IFERROR(IF(INDEX(Hierarchy!$B$2:$B$1295,MATCH($D1319,Hierarchy!$A$2:$A$1295,0))="","",INDEX(Hierarchy!$B$2:$B$1295,MATCH($D1319,Hierarchy!$A$2:$A$1295,0))),"NODE NOT FOUND"))</f>
        <v>State/Province</v>
      </c>
      <c r="G1319" s="7" t="str">
        <f aca="false">IF($D1319="","",IFERROR(IF(INDEX(Hierarchy!$D$2:$D$1295,MATCH($D1319,Hierarchy!$A$2:$A$1295,0))="","",INDEX(Hierarchy!$D$2:$D$1295,MATCH($D1319,Hierarchy!$A$2:$A$1295,0))),"NODE NOT FOUND"))</f>
        <v>APAC</v>
      </c>
      <c r="H1319" s="7" t="str">
        <f aca="false">IF($D1319="","",IFERROR(IF(INDEX(Hierarchy!$E$2:$E$1295,MATCH($D1319,Hierarchy!$A$2:$A$1295,0))="","",INDEX(Hierarchy!$E$2:$E$1295,MATCH($D1319,Hierarchy!$A$2:$A$1295,0))),"NODE NOT FOUND"))</f>
        <v>Southeast Asia (ASEAN)</v>
      </c>
      <c r="I1319" s="7" t="str">
        <f aca="false">IF($D1319="","",IFERROR(IF(INDEX(Hierarchy!$F$2:$F$1295,MATCH($D1319,Hierarchy!$A$2:$A$1295,0))="","",INDEX(Hierarchy!$F$2:$F$1295,MATCH($D1319,Hierarchy!$A$2:$A$1295,0))),"NODE NOT FOUND"))</f>
        <v>Malaysia</v>
      </c>
      <c r="J1319" s="7" t="str">
        <f aca="false">IF($D1319="","",IFERROR(IF(INDEX(Hierarchy!$G$2:$G$1295,MATCH($D1319,Hierarchy!$A$2:$A$1295,0))="","",INDEX(Hierarchy!$G$2:$G$1295,MATCH($D1319,Hierarchy!$A$2:$A$1295,0))),"NODE NOT FOUND"))</f>
        <v>MYS</v>
      </c>
      <c r="K1319" s="7" t="str">
        <f aca="false">IF($D1319="","",IFERROR(IF(INDEX(Hierarchy!$H$2:$H$1295,MATCH($D1319,Hierarchy!$A$2:$A$1295,0))="","",INDEX(Hierarchy!$H$2:$H$1295,MATCH($D1319,Hierarchy!$A$2:$A$1295,0))),"NODE NOT FOUND"))</f>
        <v>Pahang</v>
      </c>
      <c r="L1319" s="7" t="str">
        <f aca="false">IF($D1319="","",IFERROR(IF(INDEX(Hierarchy!$I$2:$I$1295,MATCH($D1319,Hierarchy!$A$2:$A$1295,0))="","",INDEX(Hierarchy!$I$2:$I$1295,MATCH($D1319,Hierarchy!$A$2:$A$1295,0))),"NODE NOT FOUND"))</f>
        <v/>
      </c>
      <c r="M1319" s="17" t="str">
        <f aca="false">IF(B1319="Pre-seeded","Pre-seeded",IF(B1319="Review 2026-09-16","Added from review",IF(C1319="","New",IF(C1319=D1319,"","Changed"))))</f>
        <v>Pre-seeded</v>
      </c>
      <c r="N1319" s="7" t="str">
        <f aca="false">TRIM(SUBSTITUTE(SUBSTITUTE(SUBSTITUTE(" "&amp;TRIM(SUBSTITUTE(SUBSTITUTE(SUBSTITUTE(SUBSTITUTE(SUBSTITUTE(SUBSTITUTE(SUBSTITUTE(SUBSTITUTE(SUBSTITUTE(SUBSTITUTE(SUBSTITUTE(SUBSTITUTE(SUBSTITUTE(SUBSTITUTE(SUBSTITUTE(UPPER(TRIM(A1319)),"[MEMBER]",""),"{MEMBER}",""),"[MEMBER}",""),"MEMBER]",""),"(A)",""),"""",""),"“",""),"”",""),".",""),":",""),",",""),"–"," "),"-"," "),"/"," "),"&amp;"," AND "))&amp;" "," THE "," ")," TOTAL "," ")," OPERATIONS "," "))</f>
        <v>PAHANG</v>
      </c>
      <c r="O1319" s="17" t="str">
        <f aca="false">IF(COUNTIFS($N$2:$N$2000,N1319,$D$2:$D$2000,"&lt;&gt;"&amp;D1319)&gt;0,"CONFLICT","")</f>
        <v/>
      </c>
      <c r="P1319" s="7"/>
    </row>
    <row r="1320" customFormat="false" ht="15" hidden="false" customHeight="false" outlineLevel="0" collapsed="false">
      <c r="A1320" s="7" t="s">
        <v>1395</v>
      </c>
      <c r="B1320" s="7" t="s">
        <v>1882</v>
      </c>
      <c r="C1320" s="7" t="s">
        <v>1395</v>
      </c>
      <c r="D1320" s="6" t="s">
        <v>1395</v>
      </c>
      <c r="E1320" s="6" t="s">
        <v>1880</v>
      </c>
      <c r="F1320" s="7" t="str">
        <f aca="false">IF($D1320="","",IFERROR(IF(INDEX(Hierarchy!$B$2:$B$1295,MATCH($D1320,Hierarchy!$A$2:$A$1295,0))="","",INDEX(Hierarchy!$B$2:$B$1295,MATCH($D1320,Hierarchy!$A$2:$A$1295,0))),"NODE NOT FOUND"))</f>
        <v>Country</v>
      </c>
      <c r="G1320" s="7" t="str">
        <f aca="false">IF($D1320="","",IFERROR(IF(INDEX(Hierarchy!$D$2:$D$1295,MATCH($D1320,Hierarchy!$A$2:$A$1295,0))="","",INDEX(Hierarchy!$D$2:$D$1295,MATCH($D1320,Hierarchy!$A$2:$A$1295,0))),"NODE NOT FOUND"))</f>
        <v>APAC</v>
      </c>
      <c r="H1320" s="7" t="str">
        <f aca="false">IF($D1320="","",IFERROR(IF(INDEX(Hierarchy!$E$2:$E$1295,MATCH($D1320,Hierarchy!$A$2:$A$1295,0))="","",INDEX(Hierarchy!$E$2:$E$1295,MATCH($D1320,Hierarchy!$A$2:$A$1295,0))),"NODE NOT FOUND"))</f>
        <v>South Asia</v>
      </c>
      <c r="I1320" s="7" t="str">
        <f aca="false">IF($D1320="","",IFERROR(IF(INDEX(Hierarchy!$F$2:$F$1295,MATCH($D1320,Hierarchy!$A$2:$A$1295,0))="","",INDEX(Hierarchy!$F$2:$F$1295,MATCH($D1320,Hierarchy!$A$2:$A$1295,0))),"NODE NOT FOUND"))</f>
        <v>Pakistan</v>
      </c>
      <c r="J1320" s="7" t="str">
        <f aca="false">IF($D1320="","",IFERROR(IF(INDEX(Hierarchy!$G$2:$G$1295,MATCH($D1320,Hierarchy!$A$2:$A$1295,0))="","",INDEX(Hierarchy!$G$2:$G$1295,MATCH($D1320,Hierarchy!$A$2:$A$1295,0))),"NODE NOT FOUND"))</f>
        <v>PAK</v>
      </c>
      <c r="K1320" s="7" t="str">
        <f aca="false">IF($D1320="","",IFERROR(IF(INDEX(Hierarchy!$H$2:$H$1295,MATCH($D1320,Hierarchy!$A$2:$A$1295,0))="","",INDEX(Hierarchy!$H$2:$H$1295,MATCH($D1320,Hierarchy!$A$2:$A$1295,0))),"NODE NOT FOUND"))</f>
        <v/>
      </c>
      <c r="L1320" s="7" t="str">
        <f aca="false">IF($D1320="","",IFERROR(IF(INDEX(Hierarchy!$I$2:$I$1295,MATCH($D1320,Hierarchy!$A$2:$A$1295,0))="","",INDEX(Hierarchy!$I$2:$I$1295,MATCH($D1320,Hierarchy!$A$2:$A$1295,0))),"NODE NOT FOUND"))</f>
        <v/>
      </c>
      <c r="M1320" s="17" t="str">
        <f aca="false">IF(B1320="Pre-seeded","Pre-seeded",IF(B1320="Review 2026-09-16","Added from review",IF(C1320="","New",IF(C1320=D1320,"","Changed"))))</f>
        <v/>
      </c>
      <c r="N1320" s="7" t="str">
        <f aca="false">TRIM(SUBSTITUTE(SUBSTITUTE(SUBSTITUTE(" "&amp;TRIM(SUBSTITUTE(SUBSTITUTE(SUBSTITUTE(SUBSTITUTE(SUBSTITUTE(SUBSTITUTE(SUBSTITUTE(SUBSTITUTE(SUBSTITUTE(SUBSTITUTE(SUBSTITUTE(SUBSTITUTE(SUBSTITUTE(SUBSTITUTE(SUBSTITUTE(UPPER(TRIM(A1320)),"[MEMBER]",""),"{MEMBER}",""),"[MEMBER}",""),"MEMBER]",""),"(A)",""),"""",""),"“",""),"”",""),".",""),":",""),",",""),"–"," "),"-"," "),"/"," "),"&amp;"," AND "))&amp;" "," THE "," ")," TOTAL "," ")," OPERATIONS "," "))</f>
        <v>PAKISTAN</v>
      </c>
      <c r="O1320" s="17" t="str">
        <f aca="false">IF(COUNTIFS($N$2:$N$2000,N1320,$D$2:$D$2000,"&lt;&gt;"&amp;D1320)&gt;0,"CONFLICT","")</f>
        <v/>
      </c>
      <c r="P1320" s="7"/>
    </row>
    <row r="1321" customFormat="false" ht="15" hidden="false" customHeight="false" outlineLevel="0" collapsed="false">
      <c r="A1321" s="7" t="s">
        <v>2546</v>
      </c>
      <c r="B1321" s="7" t="s">
        <v>1882</v>
      </c>
      <c r="C1321" s="7" t="s">
        <v>1395</v>
      </c>
      <c r="D1321" s="6" t="s">
        <v>1395</v>
      </c>
      <c r="E1321" s="6" t="s">
        <v>1880</v>
      </c>
      <c r="F1321" s="7" t="str">
        <f aca="false">IF($D1321="","",IFERROR(IF(INDEX(Hierarchy!$B$2:$B$1295,MATCH($D1321,Hierarchy!$A$2:$A$1295,0))="","",INDEX(Hierarchy!$B$2:$B$1295,MATCH($D1321,Hierarchy!$A$2:$A$1295,0))),"NODE NOT FOUND"))</f>
        <v>Country</v>
      </c>
      <c r="G1321" s="7" t="str">
        <f aca="false">IF($D1321="","",IFERROR(IF(INDEX(Hierarchy!$D$2:$D$1295,MATCH($D1321,Hierarchy!$A$2:$A$1295,0))="","",INDEX(Hierarchy!$D$2:$D$1295,MATCH($D1321,Hierarchy!$A$2:$A$1295,0))),"NODE NOT FOUND"))</f>
        <v>APAC</v>
      </c>
      <c r="H1321" s="7" t="str">
        <f aca="false">IF($D1321="","",IFERROR(IF(INDEX(Hierarchy!$E$2:$E$1295,MATCH($D1321,Hierarchy!$A$2:$A$1295,0))="","",INDEX(Hierarchy!$E$2:$E$1295,MATCH($D1321,Hierarchy!$A$2:$A$1295,0))),"NODE NOT FOUND"))</f>
        <v>South Asia</v>
      </c>
      <c r="I1321" s="7" t="str">
        <f aca="false">IF($D1321="","",IFERROR(IF(INDEX(Hierarchy!$F$2:$F$1295,MATCH($D1321,Hierarchy!$A$2:$A$1295,0))="","",INDEX(Hierarchy!$F$2:$F$1295,MATCH($D1321,Hierarchy!$A$2:$A$1295,0))),"NODE NOT FOUND"))</f>
        <v>Pakistan</v>
      </c>
      <c r="J1321" s="7" t="str">
        <f aca="false">IF($D1321="","",IFERROR(IF(INDEX(Hierarchy!$G$2:$G$1295,MATCH($D1321,Hierarchy!$A$2:$A$1295,0))="","",INDEX(Hierarchy!$G$2:$G$1295,MATCH($D1321,Hierarchy!$A$2:$A$1295,0))),"NODE NOT FOUND"))</f>
        <v>PAK</v>
      </c>
      <c r="K1321" s="7" t="str">
        <f aca="false">IF($D1321="","",IFERROR(IF(INDEX(Hierarchy!$H$2:$H$1295,MATCH($D1321,Hierarchy!$A$2:$A$1295,0))="","",INDEX(Hierarchy!$H$2:$H$1295,MATCH($D1321,Hierarchy!$A$2:$A$1295,0))),"NODE NOT FOUND"))</f>
        <v/>
      </c>
      <c r="L1321" s="7" t="str">
        <f aca="false">IF($D1321="","",IFERROR(IF(INDEX(Hierarchy!$I$2:$I$1295,MATCH($D1321,Hierarchy!$A$2:$A$1295,0))="","",INDEX(Hierarchy!$I$2:$I$1295,MATCH($D1321,Hierarchy!$A$2:$A$1295,0))),"NODE NOT FOUND"))</f>
        <v/>
      </c>
      <c r="M1321" s="17" t="str">
        <f aca="false">IF(B1321="Pre-seeded","Pre-seeded",IF(B1321="Review 2026-09-16","Added from review",IF(C1321="","New",IF(C1321=D1321,"","Changed"))))</f>
        <v/>
      </c>
      <c r="N1321" s="7" t="str">
        <f aca="false">TRIM(SUBSTITUTE(SUBSTITUTE(SUBSTITUTE(" "&amp;TRIM(SUBSTITUTE(SUBSTITUTE(SUBSTITUTE(SUBSTITUTE(SUBSTITUTE(SUBSTITUTE(SUBSTITUTE(SUBSTITUTE(SUBSTITUTE(SUBSTITUTE(SUBSTITUTE(SUBSTITUTE(SUBSTITUTE(SUBSTITUTE(SUBSTITUTE(UPPER(TRIM(A1321)),"[MEMBER]",""),"{MEMBER}",""),"[MEMBER}",""),"MEMBER]",""),"(A)",""),"""",""),"“",""),"”",""),".",""),":",""),",",""),"–"," "),"-"," "),"/"," "),"&amp;"," AND "))&amp;" "," THE "," ")," TOTAL "," ")," OPERATIONS "," "))</f>
        <v>PAKISTAN</v>
      </c>
      <c r="O1321" s="17" t="str">
        <f aca="false">IF(COUNTIFS($N$2:$N$2000,N1321,$D$2:$D$2000,"&lt;&gt;"&amp;D1321)&gt;0,"CONFLICT","")</f>
        <v/>
      </c>
      <c r="P1321" s="7"/>
    </row>
    <row r="1322" customFormat="false" ht="15" hidden="false" customHeight="false" outlineLevel="0" collapsed="false">
      <c r="A1322" s="7" t="s">
        <v>1764</v>
      </c>
      <c r="B1322" s="7" t="s">
        <v>1879</v>
      </c>
      <c r="C1322" s="7"/>
      <c r="D1322" s="6" t="s">
        <v>1764</v>
      </c>
      <c r="E1322" s="6" t="s">
        <v>1880</v>
      </c>
      <c r="F1322" s="7" t="str">
        <f aca="false">IF($D1322="","",IFERROR(IF(INDEX(Hierarchy!$B$2:$B$1295,MATCH($D1322,Hierarchy!$A$2:$A$1295,0))="","",INDEX(Hierarchy!$B$2:$B$1295,MATCH($D1322,Hierarchy!$A$2:$A$1295,0))),"NODE NOT FOUND"))</f>
        <v>Country</v>
      </c>
      <c r="G1322" s="7" t="str">
        <f aca="false">IF($D1322="","",IFERROR(IF(INDEX(Hierarchy!$D$2:$D$1295,MATCH($D1322,Hierarchy!$A$2:$A$1295,0))="","",INDEX(Hierarchy!$D$2:$D$1295,MATCH($D1322,Hierarchy!$A$2:$A$1295,0))),"NODE NOT FOUND"))</f>
        <v>APAC</v>
      </c>
      <c r="H1322" s="7" t="str">
        <f aca="false">IF($D1322="","",IFERROR(IF(INDEX(Hierarchy!$E$2:$E$1295,MATCH($D1322,Hierarchy!$A$2:$A$1295,0))="","",INDEX(Hierarchy!$E$2:$E$1295,MATCH($D1322,Hierarchy!$A$2:$A$1295,0))),"NODE NOT FOUND"))</f>
        <v>Oceania (ANZ)</v>
      </c>
      <c r="I1322" s="7" t="str">
        <f aca="false">IF($D1322="","",IFERROR(IF(INDEX(Hierarchy!$F$2:$F$1295,MATCH($D1322,Hierarchy!$A$2:$A$1295,0))="","",INDEX(Hierarchy!$F$2:$F$1295,MATCH($D1322,Hierarchy!$A$2:$A$1295,0))),"NODE NOT FOUND"))</f>
        <v>Palau</v>
      </c>
      <c r="J1322" s="7" t="str">
        <f aca="false">IF($D1322="","",IFERROR(IF(INDEX(Hierarchy!$G$2:$G$1295,MATCH($D1322,Hierarchy!$A$2:$A$1295,0))="","",INDEX(Hierarchy!$G$2:$G$1295,MATCH($D1322,Hierarchy!$A$2:$A$1295,0))),"NODE NOT FOUND"))</f>
        <v>PLW</v>
      </c>
      <c r="K1322" s="7" t="str">
        <f aca="false">IF($D1322="","",IFERROR(IF(INDEX(Hierarchy!$H$2:$H$1295,MATCH($D1322,Hierarchy!$A$2:$A$1295,0))="","",INDEX(Hierarchy!$H$2:$H$1295,MATCH($D1322,Hierarchy!$A$2:$A$1295,0))),"NODE NOT FOUND"))</f>
        <v/>
      </c>
      <c r="L1322" s="7" t="str">
        <f aca="false">IF($D1322="","",IFERROR(IF(INDEX(Hierarchy!$I$2:$I$1295,MATCH($D1322,Hierarchy!$A$2:$A$1295,0))="","",INDEX(Hierarchy!$I$2:$I$1295,MATCH($D1322,Hierarchy!$A$2:$A$1295,0))),"NODE NOT FOUND"))</f>
        <v/>
      </c>
      <c r="M1322" s="17" t="str">
        <f aca="false">IF(B1322="Pre-seeded","Pre-seeded",IF(B1322="Review 2026-09-16","Added from review",IF(C1322="","New",IF(C1322=D1322,"","Changed"))))</f>
        <v>Pre-seeded</v>
      </c>
      <c r="N1322" s="7" t="str">
        <f aca="false">TRIM(SUBSTITUTE(SUBSTITUTE(SUBSTITUTE(" "&amp;TRIM(SUBSTITUTE(SUBSTITUTE(SUBSTITUTE(SUBSTITUTE(SUBSTITUTE(SUBSTITUTE(SUBSTITUTE(SUBSTITUTE(SUBSTITUTE(SUBSTITUTE(SUBSTITUTE(SUBSTITUTE(SUBSTITUTE(SUBSTITUTE(SUBSTITUTE(UPPER(TRIM(A1322)),"[MEMBER]",""),"{MEMBER}",""),"[MEMBER}",""),"MEMBER]",""),"(A)",""),"""",""),"“",""),"”",""),".",""),":",""),",",""),"–"," "),"-"," "),"/"," "),"&amp;"," AND "))&amp;" "," THE "," ")," TOTAL "," ")," OPERATIONS "," "))</f>
        <v>PALAU</v>
      </c>
      <c r="O1322" s="17" t="str">
        <f aca="false">IF(COUNTIFS($N$2:$N$2000,N1322,$D$2:$D$2000,"&lt;&gt;"&amp;D1322)&gt;0,"CONFLICT","")</f>
        <v/>
      </c>
      <c r="P1322" s="7"/>
    </row>
    <row r="1323" customFormat="false" ht="15" hidden="false" customHeight="false" outlineLevel="0" collapsed="false">
      <c r="A1323" s="7" t="s">
        <v>1085</v>
      </c>
      <c r="B1323" s="7" t="s">
        <v>1879</v>
      </c>
      <c r="C1323" s="7"/>
      <c r="D1323" s="6" t="s">
        <v>1085</v>
      </c>
      <c r="E1323" s="6" t="s">
        <v>1880</v>
      </c>
      <c r="F1323" s="7" t="str">
        <f aca="false">IF($D1323="","",IFERROR(IF(INDEX(Hierarchy!$B$2:$B$1295,MATCH($D1323,Hierarchy!$A$2:$A$1295,0))="","",INDEX(Hierarchy!$B$2:$B$1295,MATCH($D1323,Hierarchy!$A$2:$A$1295,0))),"NODE NOT FOUND"))</f>
        <v>Country</v>
      </c>
      <c r="G1323" s="7" t="str">
        <f aca="false">IF($D1323="","",IFERROR(IF(INDEX(Hierarchy!$D$2:$D$1295,MATCH($D1323,Hierarchy!$A$2:$A$1295,0))="","",INDEX(Hierarchy!$D$2:$D$1295,MATCH($D1323,Hierarchy!$A$2:$A$1295,0))),"NODE NOT FOUND"))</f>
        <v>EMEA</v>
      </c>
      <c r="H1323" s="7" t="str">
        <f aca="false">IF($D1323="","",IFERROR(IF(INDEX(Hierarchy!$E$2:$E$1295,MATCH($D1323,Hierarchy!$A$2:$A$1295,0))="","",INDEX(Hierarchy!$E$2:$E$1295,MATCH($D1323,Hierarchy!$A$2:$A$1295,0))),"NODE NOT FOUND"))</f>
        <v>Middle East</v>
      </c>
      <c r="I1323" s="7" t="str">
        <f aca="false">IF($D1323="","",IFERROR(IF(INDEX(Hierarchy!$F$2:$F$1295,MATCH($D1323,Hierarchy!$A$2:$A$1295,0))="","",INDEX(Hierarchy!$F$2:$F$1295,MATCH($D1323,Hierarchy!$A$2:$A$1295,0))),"NODE NOT FOUND"))</f>
        <v>Palestine</v>
      </c>
      <c r="J1323" s="7" t="str">
        <f aca="false">IF($D1323="","",IFERROR(IF(INDEX(Hierarchy!$G$2:$G$1295,MATCH($D1323,Hierarchy!$A$2:$A$1295,0))="","",INDEX(Hierarchy!$G$2:$G$1295,MATCH($D1323,Hierarchy!$A$2:$A$1295,0))),"NODE NOT FOUND"))</f>
        <v>PSE</v>
      </c>
      <c r="K1323" s="7" t="str">
        <f aca="false">IF($D1323="","",IFERROR(IF(INDEX(Hierarchy!$H$2:$H$1295,MATCH($D1323,Hierarchy!$A$2:$A$1295,0))="","",INDEX(Hierarchy!$H$2:$H$1295,MATCH($D1323,Hierarchy!$A$2:$A$1295,0))),"NODE NOT FOUND"))</f>
        <v/>
      </c>
      <c r="L1323" s="7" t="str">
        <f aca="false">IF($D1323="","",IFERROR(IF(INDEX(Hierarchy!$I$2:$I$1295,MATCH($D1323,Hierarchy!$A$2:$A$1295,0))="","",INDEX(Hierarchy!$I$2:$I$1295,MATCH($D1323,Hierarchy!$A$2:$A$1295,0))),"NODE NOT FOUND"))</f>
        <v/>
      </c>
      <c r="M1323" s="17" t="str">
        <f aca="false">IF(B1323="Pre-seeded","Pre-seeded",IF(B1323="Review 2026-09-16","Added from review",IF(C1323="","New",IF(C1323=D1323,"","Changed"))))</f>
        <v>Pre-seeded</v>
      </c>
      <c r="N1323" s="7" t="str">
        <f aca="false">TRIM(SUBSTITUTE(SUBSTITUTE(SUBSTITUTE(" "&amp;TRIM(SUBSTITUTE(SUBSTITUTE(SUBSTITUTE(SUBSTITUTE(SUBSTITUTE(SUBSTITUTE(SUBSTITUTE(SUBSTITUTE(SUBSTITUTE(SUBSTITUTE(SUBSTITUTE(SUBSTITUTE(SUBSTITUTE(SUBSTITUTE(SUBSTITUTE(UPPER(TRIM(A1323)),"[MEMBER]",""),"{MEMBER}",""),"[MEMBER}",""),"MEMBER]",""),"(A)",""),"""",""),"“",""),"”",""),".",""),":",""),",",""),"–"," "),"-"," "),"/"," "),"&amp;"," AND "))&amp;" "," THE "," ")," TOTAL "," ")," OPERATIONS "," "))</f>
        <v>PALESTINE</v>
      </c>
      <c r="O1323" s="17" t="str">
        <f aca="false">IF(COUNTIFS($N$2:$N$2000,N1323,$D$2:$D$2000,"&lt;&gt;"&amp;D1323)&gt;0,"CONFLICT","")</f>
        <v/>
      </c>
      <c r="P1323" s="7"/>
    </row>
    <row r="1324" customFormat="false" ht="15" hidden="false" customHeight="false" outlineLevel="0" collapsed="false">
      <c r="A1324" s="7" t="s">
        <v>2547</v>
      </c>
      <c r="B1324" s="7" t="s">
        <v>1879</v>
      </c>
      <c r="C1324" s="7"/>
      <c r="D1324" s="6" t="s">
        <v>1085</v>
      </c>
      <c r="E1324" s="6" t="s">
        <v>1880</v>
      </c>
      <c r="F1324" s="7" t="str">
        <f aca="false">IF($D1324="","",IFERROR(IF(INDEX(Hierarchy!$B$2:$B$1295,MATCH($D1324,Hierarchy!$A$2:$A$1295,0))="","",INDEX(Hierarchy!$B$2:$B$1295,MATCH($D1324,Hierarchy!$A$2:$A$1295,0))),"NODE NOT FOUND"))</f>
        <v>Country</v>
      </c>
      <c r="G1324" s="7" t="str">
        <f aca="false">IF($D1324="","",IFERROR(IF(INDEX(Hierarchy!$D$2:$D$1295,MATCH($D1324,Hierarchy!$A$2:$A$1295,0))="","",INDEX(Hierarchy!$D$2:$D$1295,MATCH($D1324,Hierarchy!$A$2:$A$1295,0))),"NODE NOT FOUND"))</f>
        <v>EMEA</v>
      </c>
      <c r="H1324" s="7" t="str">
        <f aca="false">IF($D1324="","",IFERROR(IF(INDEX(Hierarchy!$E$2:$E$1295,MATCH($D1324,Hierarchy!$A$2:$A$1295,0))="","",INDEX(Hierarchy!$E$2:$E$1295,MATCH($D1324,Hierarchy!$A$2:$A$1295,0))),"NODE NOT FOUND"))</f>
        <v>Middle East</v>
      </c>
      <c r="I1324" s="7" t="str">
        <f aca="false">IF($D1324="","",IFERROR(IF(INDEX(Hierarchy!$F$2:$F$1295,MATCH($D1324,Hierarchy!$A$2:$A$1295,0))="","",INDEX(Hierarchy!$F$2:$F$1295,MATCH($D1324,Hierarchy!$A$2:$A$1295,0))),"NODE NOT FOUND"))</f>
        <v>Palestine</v>
      </c>
      <c r="J1324" s="7" t="str">
        <f aca="false">IF($D1324="","",IFERROR(IF(INDEX(Hierarchy!$G$2:$G$1295,MATCH($D1324,Hierarchy!$A$2:$A$1295,0))="","",INDEX(Hierarchy!$G$2:$G$1295,MATCH($D1324,Hierarchy!$A$2:$A$1295,0))),"NODE NOT FOUND"))</f>
        <v>PSE</v>
      </c>
      <c r="K1324" s="7" t="str">
        <f aca="false">IF($D1324="","",IFERROR(IF(INDEX(Hierarchy!$H$2:$H$1295,MATCH($D1324,Hierarchy!$A$2:$A$1295,0))="","",INDEX(Hierarchy!$H$2:$H$1295,MATCH($D1324,Hierarchy!$A$2:$A$1295,0))),"NODE NOT FOUND"))</f>
        <v/>
      </c>
      <c r="L1324" s="7" t="str">
        <f aca="false">IF($D1324="","",IFERROR(IF(INDEX(Hierarchy!$I$2:$I$1295,MATCH($D1324,Hierarchy!$A$2:$A$1295,0))="","",INDEX(Hierarchy!$I$2:$I$1295,MATCH($D1324,Hierarchy!$A$2:$A$1295,0))),"NODE NOT FOUND"))</f>
        <v/>
      </c>
      <c r="M1324" s="17" t="str">
        <f aca="false">IF(B1324="Pre-seeded","Pre-seeded",IF(B1324="Review 2026-09-16","Added from review",IF(C1324="","New",IF(C1324=D1324,"","Changed"))))</f>
        <v>Pre-seeded</v>
      </c>
      <c r="N1324" s="7" t="str">
        <f aca="false">TRIM(SUBSTITUTE(SUBSTITUTE(SUBSTITUTE(" "&amp;TRIM(SUBSTITUTE(SUBSTITUTE(SUBSTITUTE(SUBSTITUTE(SUBSTITUTE(SUBSTITUTE(SUBSTITUTE(SUBSTITUTE(SUBSTITUTE(SUBSTITUTE(SUBSTITUTE(SUBSTITUTE(SUBSTITUTE(SUBSTITUTE(SUBSTITUTE(UPPER(TRIM(A1324)),"[MEMBER]",""),"{MEMBER}",""),"[MEMBER}",""),"MEMBER]",""),"(A)",""),"""",""),"“",""),"”",""),".",""),":",""),",",""),"–"," "),"-"," "),"/"," "),"&amp;"," AND "))&amp;" "," THE "," ")," TOTAL "," ")," OPERATIONS "," "))</f>
        <v>PALESTINE STATE OF</v>
      </c>
      <c r="O1324" s="17" t="str">
        <f aca="false">IF(COUNTIFS($N$2:$N$2000,N1324,$D$2:$D$2000,"&lt;&gt;"&amp;D1324)&gt;0,"CONFLICT","")</f>
        <v/>
      </c>
      <c r="P1324" s="7" t="s">
        <v>1936</v>
      </c>
    </row>
    <row r="1325" customFormat="false" ht="15" hidden="false" customHeight="false" outlineLevel="0" collapsed="false">
      <c r="A1325" s="7" t="s">
        <v>2548</v>
      </c>
      <c r="B1325" s="7" t="s">
        <v>1879</v>
      </c>
      <c r="C1325" s="7"/>
      <c r="D1325" s="6" t="s">
        <v>1085</v>
      </c>
      <c r="E1325" s="6" t="s">
        <v>1880</v>
      </c>
      <c r="F1325" s="7" t="str">
        <f aca="false">IF($D1325="","",IFERROR(IF(INDEX(Hierarchy!$B$2:$B$1295,MATCH($D1325,Hierarchy!$A$2:$A$1295,0))="","",INDEX(Hierarchy!$B$2:$B$1295,MATCH($D1325,Hierarchy!$A$2:$A$1295,0))),"NODE NOT FOUND"))</f>
        <v>Country</v>
      </c>
      <c r="G1325" s="7" t="str">
        <f aca="false">IF($D1325="","",IFERROR(IF(INDEX(Hierarchy!$D$2:$D$1295,MATCH($D1325,Hierarchy!$A$2:$A$1295,0))="","",INDEX(Hierarchy!$D$2:$D$1295,MATCH($D1325,Hierarchy!$A$2:$A$1295,0))),"NODE NOT FOUND"))</f>
        <v>EMEA</v>
      </c>
      <c r="H1325" s="7" t="str">
        <f aca="false">IF($D1325="","",IFERROR(IF(INDEX(Hierarchy!$E$2:$E$1295,MATCH($D1325,Hierarchy!$A$2:$A$1295,0))="","",INDEX(Hierarchy!$E$2:$E$1295,MATCH($D1325,Hierarchy!$A$2:$A$1295,0))),"NODE NOT FOUND"))</f>
        <v>Middle East</v>
      </c>
      <c r="I1325" s="7" t="str">
        <f aca="false">IF($D1325="","",IFERROR(IF(INDEX(Hierarchy!$F$2:$F$1295,MATCH($D1325,Hierarchy!$A$2:$A$1295,0))="","",INDEX(Hierarchy!$F$2:$F$1295,MATCH($D1325,Hierarchy!$A$2:$A$1295,0))),"NODE NOT FOUND"))</f>
        <v>Palestine</v>
      </c>
      <c r="J1325" s="7" t="str">
        <f aca="false">IF($D1325="","",IFERROR(IF(INDEX(Hierarchy!$G$2:$G$1295,MATCH($D1325,Hierarchy!$A$2:$A$1295,0))="","",INDEX(Hierarchy!$G$2:$G$1295,MATCH($D1325,Hierarchy!$A$2:$A$1295,0))),"NODE NOT FOUND"))</f>
        <v>PSE</v>
      </c>
      <c r="K1325" s="7" t="str">
        <f aca="false">IF($D1325="","",IFERROR(IF(INDEX(Hierarchy!$H$2:$H$1295,MATCH($D1325,Hierarchy!$A$2:$A$1295,0))="","",INDEX(Hierarchy!$H$2:$H$1295,MATCH($D1325,Hierarchy!$A$2:$A$1295,0))),"NODE NOT FOUND"))</f>
        <v/>
      </c>
      <c r="L1325" s="7" t="str">
        <f aca="false">IF($D1325="","",IFERROR(IF(INDEX(Hierarchy!$I$2:$I$1295,MATCH($D1325,Hierarchy!$A$2:$A$1295,0))="","",INDEX(Hierarchy!$I$2:$I$1295,MATCH($D1325,Hierarchy!$A$2:$A$1295,0))),"NODE NOT FOUND"))</f>
        <v/>
      </c>
      <c r="M1325" s="17" t="str">
        <f aca="false">IF(B1325="Pre-seeded","Pre-seeded",IF(B1325="Review 2026-09-16","Added from review",IF(C1325="","New",IF(C1325=D1325,"","Changed"))))</f>
        <v>Pre-seeded</v>
      </c>
      <c r="N1325" s="7" t="str">
        <f aca="false">TRIM(SUBSTITUTE(SUBSTITUTE(SUBSTITUTE(" "&amp;TRIM(SUBSTITUTE(SUBSTITUTE(SUBSTITUTE(SUBSTITUTE(SUBSTITUTE(SUBSTITUTE(SUBSTITUTE(SUBSTITUTE(SUBSTITUTE(SUBSTITUTE(SUBSTITUTE(SUBSTITUTE(SUBSTITUTE(SUBSTITUTE(SUBSTITUTE(UPPER(TRIM(A1325)),"[MEMBER]",""),"{MEMBER}",""),"[MEMBER}",""),"MEMBER]",""),"(A)",""),"""",""),"“",""),"”",""),".",""),":",""),",",""),"–"," "),"-"," "),"/"," "),"&amp;"," AND "))&amp;" "," THE "," ")," TOTAL "," ")," OPERATIONS "," "))</f>
        <v>PALESTINIAN TERRITORIES</v>
      </c>
      <c r="O1325" s="17" t="str">
        <f aca="false">IF(COUNTIFS($N$2:$N$2000,N1325,$D$2:$D$2000,"&lt;&gt;"&amp;D1325)&gt;0,"CONFLICT","")</f>
        <v/>
      </c>
      <c r="P1325" s="7"/>
    </row>
    <row r="1326" customFormat="false" ht="15" hidden="false" customHeight="false" outlineLevel="0" collapsed="false">
      <c r="A1326" s="7" t="s">
        <v>581</v>
      </c>
      <c r="B1326" s="7" t="s">
        <v>1882</v>
      </c>
      <c r="C1326" s="7" t="s">
        <v>581</v>
      </c>
      <c r="D1326" s="6" t="s">
        <v>581</v>
      </c>
      <c r="E1326" s="6" t="s">
        <v>1880</v>
      </c>
      <c r="F1326" s="7" t="str">
        <f aca="false">IF($D1326="","",IFERROR(IF(INDEX(Hierarchy!$B$2:$B$1295,MATCH($D1326,Hierarchy!$A$2:$A$1295,0))="","",INDEX(Hierarchy!$B$2:$B$1295,MATCH($D1326,Hierarchy!$A$2:$A$1295,0))),"NODE NOT FOUND"))</f>
        <v>Country</v>
      </c>
      <c r="G1326" s="7" t="str">
        <f aca="false">IF($D1326="","",IFERROR(IF(INDEX(Hierarchy!$D$2:$D$1295,MATCH($D1326,Hierarchy!$A$2:$A$1295,0))="","",INDEX(Hierarchy!$D$2:$D$1295,MATCH($D1326,Hierarchy!$A$2:$A$1295,0))),"NODE NOT FOUND"))</f>
        <v>AMER</v>
      </c>
      <c r="H1326" s="7" t="str">
        <f aca="false">IF($D1326="","",IFERROR(IF(INDEX(Hierarchy!$E$2:$E$1295,MATCH($D1326,Hierarchy!$A$2:$A$1295,0))="","",INDEX(Hierarchy!$E$2:$E$1295,MATCH($D1326,Hierarchy!$A$2:$A$1295,0))),"NODE NOT FOUND"))</f>
        <v>Latin America (LATAM)</v>
      </c>
      <c r="I1326" s="7" t="str">
        <f aca="false">IF($D1326="","",IFERROR(IF(INDEX(Hierarchy!$F$2:$F$1295,MATCH($D1326,Hierarchy!$A$2:$A$1295,0))="","",INDEX(Hierarchy!$F$2:$F$1295,MATCH($D1326,Hierarchy!$A$2:$A$1295,0))),"NODE NOT FOUND"))</f>
        <v>Panama</v>
      </c>
      <c r="J1326" s="7" t="str">
        <f aca="false">IF($D1326="","",IFERROR(IF(INDEX(Hierarchy!$G$2:$G$1295,MATCH($D1326,Hierarchy!$A$2:$A$1295,0))="","",INDEX(Hierarchy!$G$2:$G$1295,MATCH($D1326,Hierarchy!$A$2:$A$1295,0))),"NODE NOT FOUND"))</f>
        <v>PAN</v>
      </c>
      <c r="K1326" s="7" t="str">
        <f aca="false">IF($D1326="","",IFERROR(IF(INDEX(Hierarchy!$H$2:$H$1295,MATCH($D1326,Hierarchy!$A$2:$A$1295,0))="","",INDEX(Hierarchy!$H$2:$H$1295,MATCH($D1326,Hierarchy!$A$2:$A$1295,0))),"NODE NOT FOUND"))</f>
        <v/>
      </c>
      <c r="L1326" s="7" t="str">
        <f aca="false">IF($D1326="","",IFERROR(IF(INDEX(Hierarchy!$I$2:$I$1295,MATCH($D1326,Hierarchy!$A$2:$A$1295,0))="","",INDEX(Hierarchy!$I$2:$I$1295,MATCH($D1326,Hierarchy!$A$2:$A$1295,0))),"NODE NOT FOUND"))</f>
        <v/>
      </c>
      <c r="M1326" s="17" t="str">
        <f aca="false">IF(B1326="Pre-seeded","Pre-seeded",IF(B1326="Review 2026-09-16","Added from review",IF(C1326="","New",IF(C1326=D1326,"","Changed"))))</f>
        <v/>
      </c>
      <c r="N1326" s="7" t="str">
        <f aca="false">TRIM(SUBSTITUTE(SUBSTITUTE(SUBSTITUTE(" "&amp;TRIM(SUBSTITUTE(SUBSTITUTE(SUBSTITUTE(SUBSTITUTE(SUBSTITUTE(SUBSTITUTE(SUBSTITUTE(SUBSTITUTE(SUBSTITUTE(SUBSTITUTE(SUBSTITUTE(SUBSTITUTE(SUBSTITUTE(SUBSTITUTE(SUBSTITUTE(UPPER(TRIM(A1326)),"[MEMBER]",""),"{MEMBER}",""),"[MEMBER}",""),"MEMBER]",""),"(A)",""),"""",""),"“",""),"”",""),".",""),":",""),",",""),"–"," "),"-"," "),"/"," "),"&amp;"," AND "))&amp;" "," THE "," ")," TOTAL "," ")," OPERATIONS "," "))</f>
        <v>PANAMA</v>
      </c>
      <c r="O1326" s="17" t="str">
        <f aca="false">IF(COUNTIFS($N$2:$N$2000,N1326,$D$2:$D$2000,"&lt;&gt;"&amp;D1326)&gt;0,"CONFLICT","")</f>
        <v/>
      </c>
      <c r="P1326" s="7"/>
    </row>
    <row r="1327" customFormat="false" ht="15" hidden="false" customHeight="false" outlineLevel="0" collapsed="false">
      <c r="A1327" s="7" t="s">
        <v>1614</v>
      </c>
      <c r="B1327" s="7" t="s">
        <v>1879</v>
      </c>
      <c r="C1327" s="7"/>
      <c r="D1327" s="6" t="s">
        <v>1614</v>
      </c>
      <c r="E1327" s="6" t="s">
        <v>1880</v>
      </c>
      <c r="F1327" s="7" t="str">
        <f aca="false">IF($D1327="","",IFERROR(IF(INDEX(Hierarchy!$B$2:$B$1295,MATCH($D1327,Hierarchy!$A$2:$A$1295,0))="","",INDEX(Hierarchy!$B$2:$B$1295,MATCH($D1327,Hierarchy!$A$2:$A$1295,0))),"NODE NOT FOUND"))</f>
        <v>State/Province</v>
      </c>
      <c r="G1327" s="7" t="str">
        <f aca="false">IF($D1327="","",IFERROR(IF(INDEX(Hierarchy!$D$2:$D$1295,MATCH($D1327,Hierarchy!$A$2:$A$1295,0))="","",INDEX(Hierarchy!$D$2:$D$1295,MATCH($D1327,Hierarchy!$A$2:$A$1295,0))),"NODE NOT FOUND"))</f>
        <v>APAC</v>
      </c>
      <c r="H1327" s="7" t="str">
        <f aca="false">IF($D1327="","",IFERROR(IF(INDEX(Hierarchy!$E$2:$E$1295,MATCH($D1327,Hierarchy!$A$2:$A$1295,0))="","",INDEX(Hierarchy!$E$2:$E$1295,MATCH($D1327,Hierarchy!$A$2:$A$1295,0))),"NODE NOT FOUND"))</f>
        <v>Southeast Asia (ASEAN)</v>
      </c>
      <c r="I1327" s="7" t="str">
        <f aca="false">IF($D1327="","",IFERROR(IF(INDEX(Hierarchy!$F$2:$F$1295,MATCH($D1327,Hierarchy!$A$2:$A$1295,0))="","",INDEX(Hierarchy!$F$2:$F$1295,MATCH($D1327,Hierarchy!$A$2:$A$1295,0))),"NODE NOT FOUND"))</f>
        <v>Indonesia</v>
      </c>
      <c r="J1327" s="7" t="str">
        <f aca="false">IF($D1327="","",IFERROR(IF(INDEX(Hierarchy!$G$2:$G$1295,MATCH($D1327,Hierarchy!$A$2:$A$1295,0))="","",INDEX(Hierarchy!$G$2:$G$1295,MATCH($D1327,Hierarchy!$A$2:$A$1295,0))),"NODE NOT FOUND"))</f>
        <v>IDN</v>
      </c>
      <c r="K1327" s="7" t="str">
        <f aca="false">IF($D1327="","",IFERROR(IF(INDEX(Hierarchy!$H$2:$H$1295,MATCH($D1327,Hierarchy!$A$2:$A$1295,0))="","",INDEX(Hierarchy!$H$2:$H$1295,MATCH($D1327,Hierarchy!$A$2:$A$1295,0))),"NODE NOT FOUND"))</f>
        <v>Papua</v>
      </c>
      <c r="L1327" s="7" t="str">
        <f aca="false">IF($D1327="","",IFERROR(IF(INDEX(Hierarchy!$I$2:$I$1295,MATCH($D1327,Hierarchy!$A$2:$A$1295,0))="","",INDEX(Hierarchy!$I$2:$I$1295,MATCH($D1327,Hierarchy!$A$2:$A$1295,0))),"NODE NOT FOUND"))</f>
        <v/>
      </c>
      <c r="M1327" s="17" t="str">
        <f aca="false">IF(B1327="Pre-seeded","Pre-seeded",IF(B1327="Review 2026-09-16","Added from review",IF(C1327="","New",IF(C1327=D1327,"","Changed"))))</f>
        <v>Pre-seeded</v>
      </c>
      <c r="N1327" s="7" t="str">
        <f aca="false">TRIM(SUBSTITUTE(SUBSTITUTE(SUBSTITUTE(" "&amp;TRIM(SUBSTITUTE(SUBSTITUTE(SUBSTITUTE(SUBSTITUTE(SUBSTITUTE(SUBSTITUTE(SUBSTITUTE(SUBSTITUTE(SUBSTITUTE(SUBSTITUTE(SUBSTITUTE(SUBSTITUTE(SUBSTITUTE(SUBSTITUTE(SUBSTITUTE(UPPER(TRIM(A1327)),"[MEMBER]",""),"{MEMBER}",""),"[MEMBER}",""),"MEMBER]",""),"(A)",""),"""",""),"“",""),"”",""),".",""),":",""),",",""),"–"," "),"-"," "),"/"," "),"&amp;"," AND "))&amp;" "," THE "," ")," TOTAL "," ")," OPERATIONS "," "))</f>
        <v>PAPUA</v>
      </c>
      <c r="O1327" s="17" t="str">
        <f aca="false">IF(COUNTIFS($N$2:$N$2000,N1327,$D$2:$D$2000,"&lt;&gt;"&amp;D1327)&gt;0,"CONFLICT","")</f>
        <v/>
      </c>
      <c r="P1327" s="7"/>
    </row>
    <row r="1328" customFormat="false" ht="15" hidden="false" customHeight="false" outlineLevel="0" collapsed="false">
      <c r="A1328" s="7" t="s">
        <v>1766</v>
      </c>
      <c r="B1328" s="7" t="s">
        <v>1882</v>
      </c>
      <c r="C1328" s="7" t="s">
        <v>1766</v>
      </c>
      <c r="D1328" s="6" t="s">
        <v>1766</v>
      </c>
      <c r="E1328" s="6" t="s">
        <v>1880</v>
      </c>
      <c r="F1328" s="7" t="str">
        <f aca="false">IF($D1328="","",IFERROR(IF(INDEX(Hierarchy!$B$2:$B$1295,MATCH($D1328,Hierarchy!$A$2:$A$1295,0))="","",INDEX(Hierarchy!$B$2:$B$1295,MATCH($D1328,Hierarchy!$A$2:$A$1295,0))),"NODE NOT FOUND"))</f>
        <v>Country</v>
      </c>
      <c r="G1328" s="7" t="str">
        <f aca="false">IF($D1328="","",IFERROR(IF(INDEX(Hierarchy!$D$2:$D$1295,MATCH($D1328,Hierarchy!$A$2:$A$1295,0))="","",INDEX(Hierarchy!$D$2:$D$1295,MATCH($D1328,Hierarchy!$A$2:$A$1295,0))),"NODE NOT FOUND"))</f>
        <v>APAC</v>
      </c>
      <c r="H1328" s="7" t="str">
        <f aca="false">IF($D1328="","",IFERROR(IF(INDEX(Hierarchy!$E$2:$E$1295,MATCH($D1328,Hierarchy!$A$2:$A$1295,0))="","",INDEX(Hierarchy!$E$2:$E$1295,MATCH($D1328,Hierarchy!$A$2:$A$1295,0))),"NODE NOT FOUND"))</f>
        <v>Oceania (ANZ)</v>
      </c>
      <c r="I1328" s="7" t="str">
        <f aca="false">IF($D1328="","",IFERROR(IF(INDEX(Hierarchy!$F$2:$F$1295,MATCH($D1328,Hierarchy!$A$2:$A$1295,0))="","",INDEX(Hierarchy!$F$2:$F$1295,MATCH($D1328,Hierarchy!$A$2:$A$1295,0))),"NODE NOT FOUND"))</f>
        <v>Papua New Guinea</v>
      </c>
      <c r="J1328" s="7" t="str">
        <f aca="false">IF($D1328="","",IFERROR(IF(INDEX(Hierarchy!$G$2:$G$1295,MATCH($D1328,Hierarchy!$A$2:$A$1295,0))="","",INDEX(Hierarchy!$G$2:$G$1295,MATCH($D1328,Hierarchy!$A$2:$A$1295,0))),"NODE NOT FOUND"))</f>
        <v>PNG</v>
      </c>
      <c r="K1328" s="7" t="str">
        <f aca="false">IF($D1328="","",IFERROR(IF(INDEX(Hierarchy!$H$2:$H$1295,MATCH($D1328,Hierarchy!$A$2:$A$1295,0))="","",INDEX(Hierarchy!$H$2:$H$1295,MATCH($D1328,Hierarchy!$A$2:$A$1295,0))),"NODE NOT FOUND"))</f>
        <v/>
      </c>
      <c r="L1328" s="7" t="str">
        <f aca="false">IF($D1328="","",IFERROR(IF(INDEX(Hierarchy!$I$2:$I$1295,MATCH($D1328,Hierarchy!$A$2:$A$1295,0))="","",INDEX(Hierarchy!$I$2:$I$1295,MATCH($D1328,Hierarchy!$A$2:$A$1295,0))),"NODE NOT FOUND"))</f>
        <v/>
      </c>
      <c r="M1328" s="17" t="str">
        <f aca="false">IF(B1328="Pre-seeded","Pre-seeded",IF(B1328="Review 2026-09-16","Added from review",IF(C1328="","New",IF(C1328=D1328,"","Changed"))))</f>
        <v/>
      </c>
      <c r="N1328" s="7" t="str">
        <f aca="false">TRIM(SUBSTITUTE(SUBSTITUTE(SUBSTITUTE(" "&amp;TRIM(SUBSTITUTE(SUBSTITUTE(SUBSTITUTE(SUBSTITUTE(SUBSTITUTE(SUBSTITUTE(SUBSTITUTE(SUBSTITUTE(SUBSTITUTE(SUBSTITUTE(SUBSTITUTE(SUBSTITUTE(SUBSTITUTE(SUBSTITUTE(SUBSTITUTE(UPPER(TRIM(A1328)),"[MEMBER]",""),"{MEMBER}",""),"[MEMBER}",""),"MEMBER]",""),"(A)",""),"""",""),"“",""),"”",""),".",""),":",""),",",""),"–"," "),"-"," "),"/"," "),"&amp;"," AND "))&amp;" "," THE "," ")," TOTAL "," ")," OPERATIONS "," "))</f>
        <v>PAPUA NEW GUINEA</v>
      </c>
      <c r="O1328" s="17" t="str">
        <f aca="false">IF(COUNTIFS($N$2:$N$2000,N1328,$D$2:$D$2000,"&lt;&gt;"&amp;D1328)&gt;0,"CONFLICT","")</f>
        <v/>
      </c>
      <c r="P1328" s="7"/>
    </row>
    <row r="1329" customFormat="false" ht="15" hidden="false" customHeight="false" outlineLevel="0" collapsed="false">
      <c r="A1329" s="7" t="s">
        <v>584</v>
      </c>
      <c r="B1329" s="7" t="s">
        <v>1879</v>
      </c>
      <c r="C1329" s="7"/>
      <c r="D1329" s="6" t="s">
        <v>584</v>
      </c>
      <c r="E1329" s="6" t="s">
        <v>1880</v>
      </c>
      <c r="F1329" s="7" t="str">
        <f aca="false">IF($D1329="","",IFERROR(IF(INDEX(Hierarchy!$B$2:$B$1295,MATCH($D1329,Hierarchy!$A$2:$A$1295,0))="","",INDEX(Hierarchy!$B$2:$B$1295,MATCH($D1329,Hierarchy!$A$2:$A$1295,0))),"NODE NOT FOUND"))</f>
        <v>Country</v>
      </c>
      <c r="G1329" s="7" t="str">
        <f aca="false">IF($D1329="","",IFERROR(IF(INDEX(Hierarchy!$D$2:$D$1295,MATCH($D1329,Hierarchy!$A$2:$A$1295,0))="","",INDEX(Hierarchy!$D$2:$D$1295,MATCH($D1329,Hierarchy!$A$2:$A$1295,0))),"NODE NOT FOUND"))</f>
        <v>AMER</v>
      </c>
      <c r="H1329" s="7" t="str">
        <f aca="false">IF($D1329="","",IFERROR(IF(INDEX(Hierarchy!$E$2:$E$1295,MATCH($D1329,Hierarchy!$A$2:$A$1295,0))="","",INDEX(Hierarchy!$E$2:$E$1295,MATCH($D1329,Hierarchy!$A$2:$A$1295,0))),"NODE NOT FOUND"))</f>
        <v>Latin America (LATAM)</v>
      </c>
      <c r="I1329" s="7" t="str">
        <f aca="false">IF($D1329="","",IFERROR(IF(INDEX(Hierarchy!$F$2:$F$1295,MATCH($D1329,Hierarchy!$A$2:$A$1295,0))="","",INDEX(Hierarchy!$F$2:$F$1295,MATCH($D1329,Hierarchy!$A$2:$A$1295,0))),"NODE NOT FOUND"))</f>
        <v>Paraguay</v>
      </c>
      <c r="J1329" s="7" t="str">
        <f aca="false">IF($D1329="","",IFERROR(IF(INDEX(Hierarchy!$G$2:$G$1295,MATCH($D1329,Hierarchy!$A$2:$A$1295,0))="","",INDEX(Hierarchy!$G$2:$G$1295,MATCH($D1329,Hierarchy!$A$2:$A$1295,0))),"NODE NOT FOUND"))</f>
        <v>PRY</v>
      </c>
      <c r="K1329" s="7" t="str">
        <f aca="false">IF($D1329="","",IFERROR(IF(INDEX(Hierarchy!$H$2:$H$1295,MATCH($D1329,Hierarchy!$A$2:$A$1295,0))="","",INDEX(Hierarchy!$H$2:$H$1295,MATCH($D1329,Hierarchy!$A$2:$A$1295,0))),"NODE NOT FOUND"))</f>
        <v/>
      </c>
      <c r="L1329" s="7" t="str">
        <f aca="false">IF($D1329="","",IFERROR(IF(INDEX(Hierarchy!$I$2:$I$1295,MATCH($D1329,Hierarchy!$A$2:$A$1295,0))="","",INDEX(Hierarchy!$I$2:$I$1295,MATCH($D1329,Hierarchy!$A$2:$A$1295,0))),"NODE NOT FOUND"))</f>
        <v/>
      </c>
      <c r="M1329" s="17" t="str">
        <f aca="false">IF(B1329="Pre-seeded","Pre-seeded",IF(B1329="Review 2026-09-16","Added from review",IF(C1329="","New",IF(C1329=D1329,"","Changed"))))</f>
        <v>Pre-seeded</v>
      </c>
      <c r="N1329" s="7" t="str">
        <f aca="false">TRIM(SUBSTITUTE(SUBSTITUTE(SUBSTITUTE(" "&amp;TRIM(SUBSTITUTE(SUBSTITUTE(SUBSTITUTE(SUBSTITUTE(SUBSTITUTE(SUBSTITUTE(SUBSTITUTE(SUBSTITUTE(SUBSTITUTE(SUBSTITUTE(SUBSTITUTE(SUBSTITUTE(SUBSTITUTE(SUBSTITUTE(SUBSTITUTE(UPPER(TRIM(A1329)),"[MEMBER]",""),"{MEMBER}",""),"[MEMBER}",""),"MEMBER]",""),"(A)",""),"""",""),"“",""),"”",""),".",""),":",""),",",""),"–"," "),"-"," "),"/"," "),"&amp;"," AND "))&amp;" "," THE "," ")," TOTAL "," ")," OPERATIONS "," "))</f>
        <v>PARAGUAY</v>
      </c>
      <c r="O1329" s="17" t="str">
        <f aca="false">IF(COUNTIFS($N$2:$N$2000,N1329,$D$2:$D$2000,"&lt;&gt;"&amp;D1329)&gt;0,"CONFLICT","")</f>
        <v/>
      </c>
      <c r="P1329" s="7"/>
    </row>
    <row r="1330" customFormat="false" ht="15" hidden="false" customHeight="false" outlineLevel="0" collapsed="false">
      <c r="A1330" s="7" t="s">
        <v>360</v>
      </c>
      <c r="B1330" s="7" t="s">
        <v>1879</v>
      </c>
      <c r="C1330" s="7"/>
      <c r="D1330" s="6" t="s">
        <v>360</v>
      </c>
      <c r="E1330" s="6" t="s">
        <v>1880</v>
      </c>
      <c r="F1330" s="7" t="str">
        <f aca="false">IF($D1330="","",IFERROR(IF(INDEX(Hierarchy!$B$2:$B$1295,MATCH($D1330,Hierarchy!$A$2:$A$1295,0))="","",INDEX(Hierarchy!$B$2:$B$1295,MATCH($D1330,Hierarchy!$A$2:$A$1295,0))),"NODE NOT FOUND"))</f>
        <v>State/Province</v>
      </c>
      <c r="G1330" s="7" t="str">
        <f aca="false">IF($D1330="","",IFERROR(IF(INDEX(Hierarchy!$D$2:$D$1295,MATCH($D1330,Hierarchy!$A$2:$A$1295,0))="","",INDEX(Hierarchy!$D$2:$D$1295,MATCH($D1330,Hierarchy!$A$2:$A$1295,0))),"NODE NOT FOUND"))</f>
        <v>AMER</v>
      </c>
      <c r="H1330" s="7" t="str">
        <f aca="false">IF($D1330="","",IFERROR(IF(INDEX(Hierarchy!$E$2:$E$1295,MATCH($D1330,Hierarchy!$A$2:$A$1295,0))="","",INDEX(Hierarchy!$E$2:$E$1295,MATCH($D1330,Hierarchy!$A$2:$A$1295,0))),"NODE NOT FOUND"))</f>
        <v>Latin America (LATAM)</v>
      </c>
      <c r="I1330" s="7" t="str">
        <f aca="false">IF($D1330="","",IFERROR(IF(INDEX(Hierarchy!$F$2:$F$1295,MATCH($D1330,Hierarchy!$A$2:$A$1295,0))="","",INDEX(Hierarchy!$F$2:$F$1295,MATCH($D1330,Hierarchy!$A$2:$A$1295,0))),"NODE NOT FOUND"))</f>
        <v>Brazil</v>
      </c>
      <c r="J1330" s="7" t="str">
        <f aca="false">IF($D1330="","",IFERROR(IF(INDEX(Hierarchy!$G$2:$G$1295,MATCH($D1330,Hierarchy!$A$2:$A$1295,0))="","",INDEX(Hierarchy!$G$2:$G$1295,MATCH($D1330,Hierarchy!$A$2:$A$1295,0))),"NODE NOT FOUND"))</f>
        <v>BRA</v>
      </c>
      <c r="K1330" s="7" t="str">
        <f aca="false">IF($D1330="","",IFERROR(IF(INDEX(Hierarchy!$H$2:$H$1295,MATCH($D1330,Hierarchy!$A$2:$A$1295,0))="","",INDEX(Hierarchy!$H$2:$H$1295,MATCH($D1330,Hierarchy!$A$2:$A$1295,0))),"NODE NOT FOUND"))</f>
        <v>Paraná</v>
      </c>
      <c r="L1330" s="7" t="str">
        <f aca="false">IF($D1330="","",IFERROR(IF(INDEX(Hierarchy!$I$2:$I$1295,MATCH($D1330,Hierarchy!$A$2:$A$1295,0))="","",INDEX(Hierarchy!$I$2:$I$1295,MATCH($D1330,Hierarchy!$A$2:$A$1295,0))),"NODE NOT FOUND"))</f>
        <v/>
      </c>
      <c r="M1330" s="17" t="str">
        <f aca="false">IF(B1330="Pre-seeded","Pre-seeded",IF(B1330="Review 2026-09-16","Added from review",IF(C1330="","New",IF(C1330=D1330,"","Changed"))))</f>
        <v>Pre-seeded</v>
      </c>
      <c r="N1330" s="7" t="str">
        <f aca="false">TRIM(SUBSTITUTE(SUBSTITUTE(SUBSTITUTE(" "&amp;TRIM(SUBSTITUTE(SUBSTITUTE(SUBSTITUTE(SUBSTITUTE(SUBSTITUTE(SUBSTITUTE(SUBSTITUTE(SUBSTITUTE(SUBSTITUTE(SUBSTITUTE(SUBSTITUTE(SUBSTITUTE(SUBSTITUTE(SUBSTITUTE(SUBSTITUTE(UPPER(TRIM(A1330)),"[MEMBER]",""),"{MEMBER}",""),"[MEMBER}",""),"MEMBER]",""),"(A)",""),"""",""),"“",""),"”",""),".",""),":",""),",",""),"–"," "),"-"," "),"/"," "),"&amp;"," AND "))&amp;" "," THE "," ")," TOTAL "," ")," OPERATIONS "," "))</f>
        <v>PARANÁ</v>
      </c>
      <c r="O1330" s="17" t="str">
        <f aca="false">IF(COUNTIFS($N$2:$N$2000,N1330,$D$2:$D$2000,"&lt;&gt;"&amp;D1330)&gt;0,"CONFLICT","")</f>
        <v/>
      </c>
      <c r="P1330" s="7"/>
    </row>
    <row r="1331" customFormat="false" ht="15" hidden="false" customHeight="false" outlineLevel="0" collapsed="false">
      <c r="A1331" s="7" t="s">
        <v>361</v>
      </c>
      <c r="B1331" s="7" t="s">
        <v>1879</v>
      </c>
      <c r="C1331" s="7"/>
      <c r="D1331" s="6" t="s">
        <v>361</v>
      </c>
      <c r="E1331" s="6" t="s">
        <v>1880</v>
      </c>
      <c r="F1331" s="7" t="str">
        <f aca="false">IF($D1331="","",IFERROR(IF(INDEX(Hierarchy!$B$2:$B$1295,MATCH($D1331,Hierarchy!$A$2:$A$1295,0))="","",INDEX(Hierarchy!$B$2:$B$1295,MATCH($D1331,Hierarchy!$A$2:$A$1295,0))),"NODE NOT FOUND"))</f>
        <v>State/Province</v>
      </c>
      <c r="G1331" s="7" t="str">
        <f aca="false">IF($D1331="","",IFERROR(IF(INDEX(Hierarchy!$D$2:$D$1295,MATCH($D1331,Hierarchy!$A$2:$A$1295,0))="","",INDEX(Hierarchy!$D$2:$D$1295,MATCH($D1331,Hierarchy!$A$2:$A$1295,0))),"NODE NOT FOUND"))</f>
        <v>AMER</v>
      </c>
      <c r="H1331" s="7" t="str">
        <f aca="false">IF($D1331="","",IFERROR(IF(INDEX(Hierarchy!$E$2:$E$1295,MATCH($D1331,Hierarchy!$A$2:$A$1295,0))="","",INDEX(Hierarchy!$E$2:$E$1295,MATCH($D1331,Hierarchy!$A$2:$A$1295,0))),"NODE NOT FOUND"))</f>
        <v>Latin America (LATAM)</v>
      </c>
      <c r="I1331" s="7" t="str">
        <f aca="false">IF($D1331="","",IFERROR(IF(INDEX(Hierarchy!$F$2:$F$1295,MATCH($D1331,Hierarchy!$A$2:$A$1295,0))="","",INDEX(Hierarchy!$F$2:$F$1295,MATCH($D1331,Hierarchy!$A$2:$A$1295,0))),"NODE NOT FOUND"))</f>
        <v>Brazil</v>
      </c>
      <c r="J1331" s="7" t="str">
        <f aca="false">IF($D1331="","",IFERROR(IF(INDEX(Hierarchy!$G$2:$G$1295,MATCH($D1331,Hierarchy!$A$2:$A$1295,0))="","",INDEX(Hierarchy!$G$2:$G$1295,MATCH($D1331,Hierarchy!$A$2:$A$1295,0))),"NODE NOT FOUND"))</f>
        <v>BRA</v>
      </c>
      <c r="K1331" s="7" t="str">
        <f aca="false">IF($D1331="","",IFERROR(IF(INDEX(Hierarchy!$H$2:$H$1295,MATCH($D1331,Hierarchy!$A$2:$A$1295,0))="","",INDEX(Hierarchy!$H$2:$H$1295,MATCH($D1331,Hierarchy!$A$2:$A$1295,0))),"NODE NOT FOUND"))</f>
        <v>Paraíba</v>
      </c>
      <c r="L1331" s="7" t="str">
        <f aca="false">IF($D1331="","",IFERROR(IF(INDEX(Hierarchy!$I$2:$I$1295,MATCH($D1331,Hierarchy!$A$2:$A$1295,0))="","",INDEX(Hierarchy!$I$2:$I$1295,MATCH($D1331,Hierarchy!$A$2:$A$1295,0))),"NODE NOT FOUND"))</f>
        <v/>
      </c>
      <c r="M1331" s="17" t="str">
        <f aca="false">IF(B1331="Pre-seeded","Pre-seeded",IF(B1331="Review 2026-09-16","Added from review",IF(C1331="","New",IF(C1331=D1331,"","Changed"))))</f>
        <v>Pre-seeded</v>
      </c>
      <c r="N1331" s="7" t="str">
        <f aca="false">TRIM(SUBSTITUTE(SUBSTITUTE(SUBSTITUTE(" "&amp;TRIM(SUBSTITUTE(SUBSTITUTE(SUBSTITUTE(SUBSTITUTE(SUBSTITUTE(SUBSTITUTE(SUBSTITUTE(SUBSTITUTE(SUBSTITUTE(SUBSTITUTE(SUBSTITUTE(SUBSTITUTE(SUBSTITUTE(SUBSTITUTE(SUBSTITUTE(UPPER(TRIM(A1331)),"[MEMBER]",""),"{MEMBER}",""),"[MEMBER}",""),"MEMBER]",""),"(A)",""),"""",""),"“",""),"”",""),".",""),":",""),",",""),"–"," "),"-"," "),"/"," "),"&amp;"," AND "))&amp;" "," THE "," ")," TOTAL "," ")," OPERATIONS "," "))</f>
        <v>PARAÍBA</v>
      </c>
      <c r="O1331" s="17" t="str">
        <f aca="false">IF(COUNTIFS($N$2:$N$2000,N1331,$D$2:$D$2000,"&lt;&gt;"&amp;D1331)&gt;0,"CONFLICT","")</f>
        <v/>
      </c>
      <c r="P1331" s="7"/>
    </row>
    <row r="1332" customFormat="false" ht="15" hidden="false" customHeight="false" outlineLevel="0" collapsed="false">
      <c r="A1332" s="7" t="s">
        <v>2549</v>
      </c>
      <c r="B1332" s="7" t="s">
        <v>1879</v>
      </c>
      <c r="C1332" s="7"/>
      <c r="D1332" s="6" t="s">
        <v>733</v>
      </c>
      <c r="E1332" s="6" t="s">
        <v>1880</v>
      </c>
      <c r="F1332" s="7" t="str">
        <f aca="false">IF($D1332="","",IFERROR(IF(INDEX(Hierarchy!$B$2:$B$1295,MATCH($D1332,Hierarchy!$A$2:$A$1295,0))="","",INDEX(Hierarchy!$B$2:$B$1295,MATCH($D1332,Hierarchy!$A$2:$A$1295,0))),"NODE NOT FOUND"))</f>
        <v>State/Province</v>
      </c>
      <c r="G1332" s="7" t="str">
        <f aca="false">IF($D1332="","",IFERROR(IF(INDEX(Hierarchy!$D$2:$D$1295,MATCH($D1332,Hierarchy!$A$2:$A$1295,0))="","",INDEX(Hierarchy!$D$2:$D$1295,MATCH($D1332,Hierarchy!$A$2:$A$1295,0))),"NODE NOT FOUND"))</f>
        <v>EMEA</v>
      </c>
      <c r="H1332" s="7" t="str">
        <f aca="false">IF($D1332="","",IFERROR(IF(INDEX(Hierarchy!$E$2:$E$1295,MATCH($D1332,Hierarchy!$A$2:$A$1295,0))="","",INDEX(Hierarchy!$E$2:$E$1295,MATCH($D1332,Hierarchy!$A$2:$A$1295,0))),"NODE NOT FOUND"))</f>
        <v>Europe</v>
      </c>
      <c r="I1332" s="7" t="str">
        <f aca="false">IF($D1332="","",IFERROR(IF(INDEX(Hierarchy!$F$2:$F$1295,MATCH($D1332,Hierarchy!$A$2:$A$1295,0))="","",INDEX(Hierarchy!$F$2:$F$1295,MATCH($D1332,Hierarchy!$A$2:$A$1295,0))),"NODE NOT FOUND"))</f>
        <v>France</v>
      </c>
      <c r="J1332" s="7" t="str">
        <f aca="false">IF($D1332="","",IFERROR(IF(INDEX(Hierarchy!$G$2:$G$1295,MATCH($D1332,Hierarchy!$A$2:$A$1295,0))="","",INDEX(Hierarchy!$G$2:$G$1295,MATCH($D1332,Hierarchy!$A$2:$A$1295,0))),"NODE NOT FOUND"))</f>
        <v>FRA</v>
      </c>
      <c r="K1332" s="7" t="str">
        <f aca="false">IF($D1332="","",IFERROR(IF(INDEX(Hierarchy!$H$2:$H$1295,MATCH($D1332,Hierarchy!$A$2:$A$1295,0))="","",INDEX(Hierarchy!$H$2:$H$1295,MATCH($D1332,Hierarchy!$A$2:$A$1295,0))),"NODE NOT FOUND"))</f>
        <v>Île-de-France</v>
      </c>
      <c r="L1332" s="7" t="str">
        <f aca="false">IF($D1332="","",IFERROR(IF(INDEX(Hierarchy!$I$2:$I$1295,MATCH($D1332,Hierarchy!$A$2:$A$1295,0))="","",INDEX(Hierarchy!$I$2:$I$1295,MATCH($D1332,Hierarchy!$A$2:$A$1295,0))),"NODE NOT FOUND"))</f>
        <v/>
      </c>
      <c r="M1332" s="17" t="str">
        <f aca="false">IF(B1332="Pre-seeded","Pre-seeded",IF(B1332="Review 2026-09-16","Added from review",IF(C1332="","New",IF(C1332=D1332,"","Changed"))))</f>
        <v>Pre-seeded</v>
      </c>
      <c r="N1332" s="7" t="str">
        <f aca="false">TRIM(SUBSTITUTE(SUBSTITUTE(SUBSTITUTE(" "&amp;TRIM(SUBSTITUTE(SUBSTITUTE(SUBSTITUTE(SUBSTITUTE(SUBSTITUTE(SUBSTITUTE(SUBSTITUTE(SUBSTITUTE(SUBSTITUTE(SUBSTITUTE(SUBSTITUTE(SUBSTITUTE(SUBSTITUTE(SUBSTITUTE(SUBSTITUTE(UPPER(TRIM(A1332)),"[MEMBER]",""),"{MEMBER}",""),"[MEMBER}",""),"MEMBER]",""),"(A)",""),"""",""),"“",""),"”",""),".",""),":",""),",",""),"–"," "),"-"," "),"/"," "),"&amp;"," AND "))&amp;" "," THE "," ")," TOTAL "," ")," OPERATIONS "," "))</f>
        <v>PARIS REGION</v>
      </c>
      <c r="O1332" s="17" t="str">
        <f aca="false">IF(COUNTIFS($N$2:$N$2000,N1332,$D$2:$D$2000,"&lt;&gt;"&amp;D1332)&gt;0,"CONFLICT","")</f>
        <v/>
      </c>
      <c r="P1332" s="7"/>
    </row>
    <row r="1333" customFormat="false" ht="15" hidden="false" customHeight="false" outlineLevel="0" collapsed="false">
      <c r="A1333" s="7" t="s">
        <v>362</v>
      </c>
      <c r="B1333" s="7" t="s">
        <v>1879</v>
      </c>
      <c r="C1333" s="7"/>
      <c r="D1333" s="6" t="s">
        <v>362</v>
      </c>
      <c r="E1333" s="6" t="s">
        <v>1880</v>
      </c>
      <c r="F1333" s="7" t="str">
        <f aca="false">IF($D1333="","",IFERROR(IF(INDEX(Hierarchy!$B$2:$B$1295,MATCH($D1333,Hierarchy!$A$2:$A$1295,0))="","",INDEX(Hierarchy!$B$2:$B$1295,MATCH($D1333,Hierarchy!$A$2:$A$1295,0))),"NODE NOT FOUND"))</f>
        <v>State/Province</v>
      </c>
      <c r="G1333" s="7" t="str">
        <f aca="false">IF($D1333="","",IFERROR(IF(INDEX(Hierarchy!$D$2:$D$1295,MATCH($D1333,Hierarchy!$A$2:$A$1295,0))="","",INDEX(Hierarchy!$D$2:$D$1295,MATCH($D1333,Hierarchy!$A$2:$A$1295,0))),"NODE NOT FOUND"))</f>
        <v>AMER</v>
      </c>
      <c r="H1333" s="7" t="str">
        <f aca="false">IF($D1333="","",IFERROR(IF(INDEX(Hierarchy!$E$2:$E$1295,MATCH($D1333,Hierarchy!$A$2:$A$1295,0))="","",INDEX(Hierarchy!$E$2:$E$1295,MATCH($D1333,Hierarchy!$A$2:$A$1295,0))),"NODE NOT FOUND"))</f>
        <v>Latin America (LATAM)</v>
      </c>
      <c r="I1333" s="7" t="str">
        <f aca="false">IF($D1333="","",IFERROR(IF(INDEX(Hierarchy!$F$2:$F$1295,MATCH($D1333,Hierarchy!$A$2:$A$1295,0))="","",INDEX(Hierarchy!$F$2:$F$1295,MATCH($D1333,Hierarchy!$A$2:$A$1295,0))),"NODE NOT FOUND"))</f>
        <v>Brazil</v>
      </c>
      <c r="J1333" s="7" t="str">
        <f aca="false">IF($D1333="","",IFERROR(IF(INDEX(Hierarchy!$G$2:$G$1295,MATCH($D1333,Hierarchy!$A$2:$A$1295,0))="","",INDEX(Hierarchy!$G$2:$G$1295,MATCH($D1333,Hierarchy!$A$2:$A$1295,0))),"NODE NOT FOUND"))</f>
        <v>BRA</v>
      </c>
      <c r="K1333" s="7" t="str">
        <f aca="false">IF($D1333="","",IFERROR(IF(INDEX(Hierarchy!$H$2:$H$1295,MATCH($D1333,Hierarchy!$A$2:$A$1295,0))="","",INDEX(Hierarchy!$H$2:$H$1295,MATCH($D1333,Hierarchy!$A$2:$A$1295,0))),"NODE NOT FOUND"))</f>
        <v>Pará</v>
      </c>
      <c r="L1333" s="7" t="str">
        <f aca="false">IF($D1333="","",IFERROR(IF(INDEX(Hierarchy!$I$2:$I$1295,MATCH($D1333,Hierarchy!$A$2:$A$1295,0))="","",INDEX(Hierarchy!$I$2:$I$1295,MATCH($D1333,Hierarchy!$A$2:$A$1295,0))),"NODE NOT FOUND"))</f>
        <v/>
      </c>
      <c r="M1333" s="17" t="str">
        <f aca="false">IF(B1333="Pre-seeded","Pre-seeded",IF(B1333="Review 2026-09-16","Added from review",IF(C1333="","New",IF(C1333=D1333,"","Changed"))))</f>
        <v>Pre-seeded</v>
      </c>
      <c r="N1333" s="7" t="str">
        <f aca="false">TRIM(SUBSTITUTE(SUBSTITUTE(SUBSTITUTE(" "&amp;TRIM(SUBSTITUTE(SUBSTITUTE(SUBSTITUTE(SUBSTITUTE(SUBSTITUTE(SUBSTITUTE(SUBSTITUTE(SUBSTITUTE(SUBSTITUTE(SUBSTITUTE(SUBSTITUTE(SUBSTITUTE(SUBSTITUTE(SUBSTITUTE(SUBSTITUTE(UPPER(TRIM(A1333)),"[MEMBER]",""),"{MEMBER}",""),"[MEMBER}",""),"MEMBER]",""),"(A)",""),"""",""),"“",""),"”",""),".",""),":",""),",",""),"–"," "),"-"," "),"/"," "),"&amp;"," AND "))&amp;" "," THE "," ")," TOTAL "," ")," OPERATIONS "," "))</f>
        <v>PARÁ</v>
      </c>
      <c r="O1333" s="17" t="str">
        <f aca="false">IF(COUNTIFS($N$2:$N$2000,N1333,$D$2:$D$2000,"&lt;&gt;"&amp;D1333)&gt;0,"CONFLICT","")</f>
        <v/>
      </c>
      <c r="P1333" s="7"/>
    </row>
    <row r="1334" customFormat="false" ht="15" hidden="false" customHeight="false" outlineLevel="0" collapsed="false">
      <c r="A1334" s="7" t="s">
        <v>729</v>
      </c>
      <c r="B1334" s="7" t="s">
        <v>1879</v>
      </c>
      <c r="C1334" s="7"/>
      <c r="D1334" s="6" t="s">
        <v>729</v>
      </c>
      <c r="E1334" s="6" t="s">
        <v>1880</v>
      </c>
      <c r="F1334" s="7" t="str">
        <f aca="false">IF($D1334="","",IFERROR(IF(INDEX(Hierarchy!$B$2:$B$1295,MATCH($D1334,Hierarchy!$A$2:$A$1295,0))="","",INDEX(Hierarchy!$B$2:$B$1295,MATCH($D1334,Hierarchy!$A$2:$A$1295,0))),"NODE NOT FOUND"))</f>
        <v>State/Province</v>
      </c>
      <c r="G1334" s="7" t="str">
        <f aca="false">IF($D1334="","",IFERROR(IF(INDEX(Hierarchy!$D$2:$D$1295,MATCH($D1334,Hierarchy!$A$2:$A$1295,0))="","",INDEX(Hierarchy!$D$2:$D$1295,MATCH($D1334,Hierarchy!$A$2:$A$1295,0))),"NODE NOT FOUND"))</f>
        <v>EMEA</v>
      </c>
      <c r="H1334" s="7" t="str">
        <f aca="false">IF($D1334="","",IFERROR(IF(INDEX(Hierarchy!$E$2:$E$1295,MATCH($D1334,Hierarchy!$A$2:$A$1295,0))="","",INDEX(Hierarchy!$E$2:$E$1295,MATCH($D1334,Hierarchy!$A$2:$A$1295,0))),"NODE NOT FOUND"))</f>
        <v>Europe</v>
      </c>
      <c r="I1334" s="7" t="str">
        <f aca="false">IF($D1334="","",IFERROR(IF(INDEX(Hierarchy!$F$2:$F$1295,MATCH($D1334,Hierarchy!$A$2:$A$1295,0))="","",INDEX(Hierarchy!$F$2:$F$1295,MATCH($D1334,Hierarchy!$A$2:$A$1295,0))),"NODE NOT FOUND"))</f>
        <v>France</v>
      </c>
      <c r="J1334" s="7" t="str">
        <f aca="false">IF($D1334="","",IFERROR(IF(INDEX(Hierarchy!$G$2:$G$1295,MATCH($D1334,Hierarchy!$A$2:$A$1295,0))="","",INDEX(Hierarchy!$G$2:$G$1295,MATCH($D1334,Hierarchy!$A$2:$A$1295,0))),"NODE NOT FOUND"))</f>
        <v>FRA</v>
      </c>
      <c r="K1334" s="7" t="str">
        <f aca="false">IF($D1334="","",IFERROR(IF(INDEX(Hierarchy!$H$2:$H$1295,MATCH($D1334,Hierarchy!$A$2:$A$1295,0))="","",INDEX(Hierarchy!$H$2:$H$1295,MATCH($D1334,Hierarchy!$A$2:$A$1295,0))),"NODE NOT FOUND"))</f>
        <v>Pays de la Loire</v>
      </c>
      <c r="L1334" s="7" t="str">
        <f aca="false">IF($D1334="","",IFERROR(IF(INDEX(Hierarchy!$I$2:$I$1295,MATCH($D1334,Hierarchy!$A$2:$A$1295,0))="","",INDEX(Hierarchy!$I$2:$I$1295,MATCH($D1334,Hierarchy!$A$2:$A$1295,0))),"NODE NOT FOUND"))</f>
        <v/>
      </c>
      <c r="M1334" s="17" t="str">
        <f aca="false">IF(B1334="Pre-seeded","Pre-seeded",IF(B1334="Review 2026-09-16","Added from review",IF(C1334="","New",IF(C1334=D1334,"","Changed"))))</f>
        <v>Pre-seeded</v>
      </c>
      <c r="N1334" s="7" t="str">
        <f aca="false">TRIM(SUBSTITUTE(SUBSTITUTE(SUBSTITUTE(" "&amp;TRIM(SUBSTITUTE(SUBSTITUTE(SUBSTITUTE(SUBSTITUTE(SUBSTITUTE(SUBSTITUTE(SUBSTITUTE(SUBSTITUTE(SUBSTITUTE(SUBSTITUTE(SUBSTITUTE(SUBSTITUTE(SUBSTITUTE(SUBSTITUTE(SUBSTITUTE(UPPER(TRIM(A1334)),"[MEMBER]",""),"{MEMBER}",""),"[MEMBER}",""),"MEMBER]",""),"(A)",""),"""",""),"“",""),"”",""),".",""),":",""),",",""),"–"," "),"-"," "),"/"," "),"&amp;"," AND "))&amp;" "," THE "," ")," TOTAL "," ")," OPERATIONS "," "))</f>
        <v>PAYS DE LA LOIRE</v>
      </c>
      <c r="O1334" s="17" t="str">
        <f aca="false">IF(COUNTIFS($N$2:$N$2000,N1334,$D$2:$D$2000,"&lt;&gt;"&amp;D1334)&gt;0,"CONFLICT","")</f>
        <v/>
      </c>
      <c r="P1334" s="7"/>
    </row>
    <row r="1335" customFormat="false" ht="15" hidden="false" customHeight="false" outlineLevel="0" collapsed="false">
      <c r="A1335" s="7" t="s">
        <v>1643</v>
      </c>
      <c r="B1335" s="7" t="s">
        <v>1879</v>
      </c>
      <c r="C1335" s="7"/>
      <c r="D1335" s="6" t="s">
        <v>1643</v>
      </c>
      <c r="E1335" s="6" t="s">
        <v>1880</v>
      </c>
      <c r="F1335" s="7" t="str">
        <f aca="false">IF($D1335="","",IFERROR(IF(INDEX(Hierarchy!$B$2:$B$1295,MATCH($D1335,Hierarchy!$A$2:$A$1295,0))="","",INDEX(Hierarchy!$B$2:$B$1295,MATCH($D1335,Hierarchy!$A$2:$A$1295,0))),"NODE NOT FOUND"))</f>
        <v>State/Province</v>
      </c>
      <c r="G1335" s="7" t="str">
        <f aca="false">IF($D1335="","",IFERROR(IF(INDEX(Hierarchy!$D$2:$D$1295,MATCH($D1335,Hierarchy!$A$2:$A$1295,0))="","",INDEX(Hierarchy!$D$2:$D$1295,MATCH($D1335,Hierarchy!$A$2:$A$1295,0))),"NODE NOT FOUND"))</f>
        <v>APAC</v>
      </c>
      <c r="H1335" s="7" t="str">
        <f aca="false">IF($D1335="","",IFERROR(IF(INDEX(Hierarchy!$E$2:$E$1295,MATCH($D1335,Hierarchy!$A$2:$A$1295,0))="","",INDEX(Hierarchy!$E$2:$E$1295,MATCH($D1335,Hierarchy!$A$2:$A$1295,0))),"NODE NOT FOUND"))</f>
        <v>Southeast Asia (ASEAN)</v>
      </c>
      <c r="I1335" s="7" t="str">
        <f aca="false">IF($D1335="","",IFERROR(IF(INDEX(Hierarchy!$F$2:$F$1295,MATCH($D1335,Hierarchy!$A$2:$A$1295,0))="","",INDEX(Hierarchy!$F$2:$F$1295,MATCH($D1335,Hierarchy!$A$2:$A$1295,0))),"NODE NOT FOUND"))</f>
        <v>Malaysia</v>
      </c>
      <c r="J1335" s="7" t="str">
        <f aca="false">IF($D1335="","",IFERROR(IF(INDEX(Hierarchy!$G$2:$G$1295,MATCH($D1335,Hierarchy!$A$2:$A$1295,0))="","",INDEX(Hierarchy!$G$2:$G$1295,MATCH($D1335,Hierarchy!$A$2:$A$1295,0))),"NODE NOT FOUND"))</f>
        <v>MYS</v>
      </c>
      <c r="K1335" s="7" t="str">
        <f aca="false">IF($D1335="","",IFERROR(IF(INDEX(Hierarchy!$H$2:$H$1295,MATCH($D1335,Hierarchy!$A$2:$A$1295,0))="","",INDEX(Hierarchy!$H$2:$H$1295,MATCH($D1335,Hierarchy!$A$2:$A$1295,0))),"NODE NOT FOUND"))</f>
        <v>Penang</v>
      </c>
      <c r="L1335" s="7" t="str">
        <f aca="false">IF($D1335="","",IFERROR(IF(INDEX(Hierarchy!$I$2:$I$1295,MATCH($D1335,Hierarchy!$A$2:$A$1295,0))="","",INDEX(Hierarchy!$I$2:$I$1295,MATCH($D1335,Hierarchy!$A$2:$A$1295,0))),"NODE NOT FOUND"))</f>
        <v/>
      </c>
      <c r="M1335" s="17" t="str">
        <f aca="false">IF(B1335="Pre-seeded","Pre-seeded",IF(B1335="Review 2026-09-16","Added from review",IF(C1335="","New",IF(C1335=D1335,"","Changed"))))</f>
        <v>Pre-seeded</v>
      </c>
      <c r="N1335" s="7" t="str">
        <f aca="false">TRIM(SUBSTITUTE(SUBSTITUTE(SUBSTITUTE(" "&amp;TRIM(SUBSTITUTE(SUBSTITUTE(SUBSTITUTE(SUBSTITUTE(SUBSTITUTE(SUBSTITUTE(SUBSTITUTE(SUBSTITUTE(SUBSTITUTE(SUBSTITUTE(SUBSTITUTE(SUBSTITUTE(SUBSTITUTE(SUBSTITUTE(SUBSTITUTE(UPPER(TRIM(A1335)),"[MEMBER]",""),"{MEMBER}",""),"[MEMBER}",""),"MEMBER]",""),"(A)",""),"""",""),"“",""),"”",""),".",""),":",""),",",""),"–"," "),"-"," "),"/"," "),"&amp;"," AND "))&amp;" "," THE "," ")," TOTAL "," ")," OPERATIONS "," "))</f>
        <v>PENANG</v>
      </c>
      <c r="O1335" s="17" t="str">
        <f aca="false">IF(COUNTIFS($N$2:$N$2000,N1335,$D$2:$D$2000,"&lt;&gt;"&amp;D1335)&gt;0,"CONFLICT","")</f>
        <v/>
      </c>
      <c r="P1335" s="7"/>
    </row>
    <row r="1336" customFormat="false" ht="15" hidden="false" customHeight="false" outlineLevel="0" collapsed="false">
      <c r="A1336" s="7" t="s">
        <v>233</v>
      </c>
      <c r="B1336" s="7" t="s">
        <v>1882</v>
      </c>
      <c r="C1336" s="7" t="s">
        <v>233</v>
      </c>
      <c r="D1336" s="6" t="s">
        <v>233</v>
      </c>
      <c r="E1336" s="6" t="s">
        <v>1880</v>
      </c>
      <c r="F1336" s="7" t="str">
        <f aca="false">IF($D1336="","",IFERROR(IF(INDEX(Hierarchy!$B$2:$B$1295,MATCH($D1336,Hierarchy!$A$2:$A$1295,0))="","",INDEX(Hierarchy!$B$2:$B$1295,MATCH($D1336,Hierarchy!$A$2:$A$1295,0))),"NODE NOT FOUND"))</f>
        <v>State/Province</v>
      </c>
      <c r="G1336" s="7" t="str">
        <f aca="false">IF($D1336="","",IFERROR(IF(INDEX(Hierarchy!$D$2:$D$1295,MATCH($D1336,Hierarchy!$A$2:$A$1295,0))="","",INDEX(Hierarchy!$D$2:$D$1295,MATCH($D1336,Hierarchy!$A$2:$A$1295,0))),"NODE NOT FOUND"))</f>
        <v>AMER</v>
      </c>
      <c r="H1336" s="7" t="str">
        <f aca="false">IF($D1336="","",IFERROR(IF(INDEX(Hierarchy!$E$2:$E$1295,MATCH($D1336,Hierarchy!$A$2:$A$1295,0))="","",INDEX(Hierarchy!$E$2:$E$1295,MATCH($D1336,Hierarchy!$A$2:$A$1295,0))),"NODE NOT FOUND"))</f>
        <v>North America (NORAM)</v>
      </c>
      <c r="I1336" s="7" t="str">
        <f aca="false">IF($D1336="","",IFERROR(IF(INDEX(Hierarchy!$F$2:$F$1295,MATCH($D1336,Hierarchy!$A$2:$A$1295,0))="","",INDEX(Hierarchy!$F$2:$F$1295,MATCH($D1336,Hierarchy!$A$2:$A$1295,0))),"NODE NOT FOUND"))</f>
        <v>United States</v>
      </c>
      <c r="J1336" s="7" t="str">
        <f aca="false">IF($D1336="","",IFERROR(IF(INDEX(Hierarchy!$G$2:$G$1295,MATCH($D1336,Hierarchy!$A$2:$A$1295,0))="","",INDEX(Hierarchy!$G$2:$G$1295,MATCH($D1336,Hierarchy!$A$2:$A$1295,0))),"NODE NOT FOUND"))</f>
        <v>USA</v>
      </c>
      <c r="K1336" s="7" t="str">
        <f aca="false">IF($D1336="","",IFERROR(IF(INDEX(Hierarchy!$H$2:$H$1295,MATCH($D1336,Hierarchy!$A$2:$A$1295,0))="","",INDEX(Hierarchy!$H$2:$H$1295,MATCH($D1336,Hierarchy!$A$2:$A$1295,0))),"NODE NOT FOUND"))</f>
        <v>Pennsylvania</v>
      </c>
      <c r="L1336" s="7" t="str">
        <f aca="false">IF($D1336="","",IFERROR(IF(INDEX(Hierarchy!$I$2:$I$1295,MATCH($D1336,Hierarchy!$A$2:$A$1295,0))="","",INDEX(Hierarchy!$I$2:$I$1295,MATCH($D1336,Hierarchy!$A$2:$A$1295,0))),"NODE NOT FOUND"))</f>
        <v/>
      </c>
      <c r="M1336" s="17" t="str">
        <f aca="false">IF(B1336="Pre-seeded","Pre-seeded",IF(B1336="Review 2026-09-16","Added from review",IF(C1336="","New",IF(C1336=D1336,"","Changed"))))</f>
        <v/>
      </c>
      <c r="N1336" s="7" t="str">
        <f aca="false">TRIM(SUBSTITUTE(SUBSTITUTE(SUBSTITUTE(" "&amp;TRIM(SUBSTITUTE(SUBSTITUTE(SUBSTITUTE(SUBSTITUTE(SUBSTITUTE(SUBSTITUTE(SUBSTITUTE(SUBSTITUTE(SUBSTITUTE(SUBSTITUTE(SUBSTITUTE(SUBSTITUTE(SUBSTITUTE(SUBSTITUTE(SUBSTITUTE(UPPER(TRIM(A1336)),"[MEMBER]",""),"{MEMBER}",""),"[MEMBER}",""),"MEMBER]",""),"(A)",""),"""",""),"“",""),"”",""),".",""),":",""),",",""),"–"," "),"-"," "),"/"," "),"&amp;"," AND "))&amp;" "," THE "," ")," TOTAL "," ")," OPERATIONS "," "))</f>
        <v>PENNSYLVANIA</v>
      </c>
      <c r="O1336" s="17" t="str">
        <f aca="false">IF(COUNTIFS($N$2:$N$2000,N1336,$D$2:$D$2000,"&lt;&gt;"&amp;D1336)&gt;0,"CONFLICT","")</f>
        <v/>
      </c>
      <c r="P1336" s="7"/>
    </row>
    <row r="1337" customFormat="false" ht="15" hidden="false" customHeight="false" outlineLevel="0" collapsed="false">
      <c r="A1337" s="7" t="s">
        <v>2550</v>
      </c>
      <c r="B1337" s="7" t="s">
        <v>1882</v>
      </c>
      <c r="C1337" s="7" t="s">
        <v>233</v>
      </c>
      <c r="D1337" s="6" t="s">
        <v>233</v>
      </c>
      <c r="E1337" s="6" t="s">
        <v>1880</v>
      </c>
      <c r="F1337" s="7" t="str">
        <f aca="false">IF($D1337="","",IFERROR(IF(INDEX(Hierarchy!$B$2:$B$1295,MATCH($D1337,Hierarchy!$A$2:$A$1295,0))="","",INDEX(Hierarchy!$B$2:$B$1295,MATCH($D1337,Hierarchy!$A$2:$A$1295,0))),"NODE NOT FOUND"))</f>
        <v>State/Province</v>
      </c>
      <c r="G1337" s="7" t="str">
        <f aca="false">IF($D1337="","",IFERROR(IF(INDEX(Hierarchy!$D$2:$D$1295,MATCH($D1337,Hierarchy!$A$2:$A$1295,0))="","",INDEX(Hierarchy!$D$2:$D$1295,MATCH($D1337,Hierarchy!$A$2:$A$1295,0))),"NODE NOT FOUND"))</f>
        <v>AMER</v>
      </c>
      <c r="H1337" s="7" t="str">
        <f aca="false">IF($D1337="","",IFERROR(IF(INDEX(Hierarchy!$E$2:$E$1295,MATCH($D1337,Hierarchy!$A$2:$A$1295,0))="","",INDEX(Hierarchy!$E$2:$E$1295,MATCH($D1337,Hierarchy!$A$2:$A$1295,0))),"NODE NOT FOUND"))</f>
        <v>North America (NORAM)</v>
      </c>
      <c r="I1337" s="7" t="str">
        <f aca="false">IF($D1337="","",IFERROR(IF(INDEX(Hierarchy!$F$2:$F$1295,MATCH($D1337,Hierarchy!$A$2:$A$1295,0))="","",INDEX(Hierarchy!$F$2:$F$1295,MATCH($D1337,Hierarchy!$A$2:$A$1295,0))),"NODE NOT FOUND"))</f>
        <v>United States</v>
      </c>
      <c r="J1337" s="7" t="str">
        <f aca="false">IF($D1337="","",IFERROR(IF(INDEX(Hierarchy!$G$2:$G$1295,MATCH($D1337,Hierarchy!$A$2:$A$1295,0))="","",INDEX(Hierarchy!$G$2:$G$1295,MATCH($D1337,Hierarchy!$A$2:$A$1295,0))),"NODE NOT FOUND"))</f>
        <v>USA</v>
      </c>
      <c r="K1337" s="7" t="str">
        <f aca="false">IF($D1337="","",IFERROR(IF(INDEX(Hierarchy!$H$2:$H$1295,MATCH($D1337,Hierarchy!$A$2:$A$1295,0))="","",INDEX(Hierarchy!$H$2:$H$1295,MATCH($D1337,Hierarchy!$A$2:$A$1295,0))),"NODE NOT FOUND"))</f>
        <v>Pennsylvania</v>
      </c>
      <c r="L1337" s="7" t="str">
        <f aca="false">IF($D1337="","",IFERROR(IF(INDEX(Hierarchy!$I$2:$I$1295,MATCH($D1337,Hierarchy!$A$2:$A$1295,0))="","",INDEX(Hierarchy!$I$2:$I$1295,MATCH($D1337,Hierarchy!$A$2:$A$1295,0))),"NODE NOT FOUND"))</f>
        <v/>
      </c>
      <c r="M1337" s="17" t="str">
        <f aca="false">IF(B1337="Pre-seeded","Pre-seeded",IF(B1337="Review 2026-09-16","Added from review",IF(C1337="","New",IF(C1337=D1337,"","Changed"))))</f>
        <v/>
      </c>
      <c r="N1337" s="7" t="str">
        <f aca="false">TRIM(SUBSTITUTE(SUBSTITUTE(SUBSTITUTE(" "&amp;TRIM(SUBSTITUTE(SUBSTITUTE(SUBSTITUTE(SUBSTITUTE(SUBSTITUTE(SUBSTITUTE(SUBSTITUTE(SUBSTITUTE(SUBSTITUTE(SUBSTITUTE(SUBSTITUTE(SUBSTITUTE(SUBSTITUTE(SUBSTITUTE(SUBSTITUTE(UPPER(TRIM(A1337)),"[MEMBER]",""),"{MEMBER}",""),"[MEMBER}",""),"MEMBER]",""),"(A)",""),"""",""),"“",""),"”",""),".",""),":",""),",",""),"–"," "),"-"," "),"/"," "),"&amp;"," AND "))&amp;" "," THE "," ")," TOTAL "," ")," OPERATIONS "," "))</f>
        <v>PENNSYLVANIA</v>
      </c>
      <c r="O1337" s="17" t="str">
        <f aca="false">IF(COUNTIFS($N$2:$N$2000,N1337,$D$2:$D$2000,"&lt;&gt;"&amp;D1337)&gt;0,"CONFLICT","")</f>
        <v/>
      </c>
      <c r="P1337" s="7"/>
    </row>
    <row r="1338" customFormat="false" ht="15" hidden="false" customHeight="false" outlineLevel="0" collapsed="false">
      <c r="A1338" s="7" t="s">
        <v>2551</v>
      </c>
      <c r="B1338" s="7" t="s">
        <v>1954</v>
      </c>
      <c r="C1338" s="7"/>
      <c r="D1338" s="6" t="s">
        <v>81</v>
      </c>
      <c r="E1338" s="6" t="s">
        <v>1880</v>
      </c>
      <c r="F1338" s="7" t="str">
        <f aca="false">IF($D1338="","",IFERROR(IF(INDEX(Hierarchy!$B$2:$B$1295,MATCH($D1338,Hierarchy!$A$2:$A$1295,0))="","",INDEX(Hierarchy!$B$2:$B$1295,MATCH($D1338,Hierarchy!$A$2:$A$1295,0))),"NODE NOT FOUND"))</f>
        <v>Country</v>
      </c>
      <c r="G1338" s="7" t="str">
        <f aca="false">IF($D1338="","",IFERROR(IF(INDEX(Hierarchy!$D$2:$D$1295,MATCH($D1338,Hierarchy!$A$2:$A$1295,0))="","",INDEX(Hierarchy!$D$2:$D$1295,MATCH($D1338,Hierarchy!$A$2:$A$1295,0))),"NODE NOT FOUND"))</f>
        <v>AMER</v>
      </c>
      <c r="H1338" s="7" t="str">
        <f aca="false">IF($D1338="","",IFERROR(IF(INDEX(Hierarchy!$E$2:$E$1295,MATCH($D1338,Hierarchy!$A$2:$A$1295,0))="","",INDEX(Hierarchy!$E$2:$E$1295,MATCH($D1338,Hierarchy!$A$2:$A$1295,0))),"NODE NOT FOUND"))</f>
        <v>North America (NORAM)</v>
      </c>
      <c r="I1338" s="7" t="str">
        <f aca="false">IF($D1338="","",IFERROR(IF(INDEX(Hierarchy!$F$2:$F$1295,MATCH($D1338,Hierarchy!$A$2:$A$1295,0))="","",INDEX(Hierarchy!$F$2:$F$1295,MATCH($D1338,Hierarchy!$A$2:$A$1295,0))),"NODE NOT FOUND"))</f>
        <v>United States</v>
      </c>
      <c r="J1338" s="7" t="str">
        <f aca="false">IF($D1338="","",IFERROR(IF(INDEX(Hierarchy!$G$2:$G$1295,MATCH($D1338,Hierarchy!$A$2:$A$1295,0))="","",INDEX(Hierarchy!$G$2:$G$1295,MATCH($D1338,Hierarchy!$A$2:$A$1295,0))),"NODE NOT FOUND"))</f>
        <v>USA</v>
      </c>
      <c r="K1338" s="7" t="str">
        <f aca="false">IF($D1338="","",IFERROR(IF(INDEX(Hierarchy!$H$2:$H$1295,MATCH($D1338,Hierarchy!$A$2:$A$1295,0))="","",INDEX(Hierarchy!$H$2:$H$1295,MATCH($D1338,Hierarchy!$A$2:$A$1295,0))),"NODE NOT FOUND"))</f>
        <v/>
      </c>
      <c r="L1338" s="7" t="str">
        <f aca="false">IF($D1338="","",IFERROR(IF(INDEX(Hierarchy!$I$2:$I$1295,MATCH($D1338,Hierarchy!$A$2:$A$1295,0))="","",INDEX(Hierarchy!$I$2:$I$1295,MATCH($D1338,Hierarchy!$A$2:$A$1295,0))),"NODE NOT FOUND"))</f>
        <v/>
      </c>
      <c r="M1338" s="17" t="str">
        <f aca="false">IF(B1338="Pre-seeded","Pre-seeded",IF(B1338="Review 2026-09-16","Added from review",IF(C1338="","New",IF(C1338=D1338,"","Changed"))))</f>
        <v>Added from review</v>
      </c>
      <c r="N1338" s="7" t="str">
        <f aca="false">TRIM(SUBSTITUTE(SUBSTITUTE(SUBSTITUTE(" "&amp;TRIM(SUBSTITUTE(SUBSTITUTE(SUBSTITUTE(SUBSTITUTE(SUBSTITUTE(SUBSTITUTE(SUBSTITUTE(SUBSTITUTE(SUBSTITUTE(SUBSTITUTE(SUBSTITUTE(SUBSTITUTE(SUBSTITUTE(SUBSTITUTE(SUBSTITUTE(UPPER(TRIM(A1338)),"[MEMBER]",""),"{MEMBER}",""),"[MEMBER}",""),"MEMBER]",""),"(A)",""),"""",""),"“",""),"”",""),".",""),":",""),",",""),"–"," "),"-"," "),"/"," "),"&amp;"," AND "))&amp;" "," THE "," ")," TOTAL "," ")," OPERATIONS "," "))</f>
        <v>PENSION BENEFITS US</v>
      </c>
      <c r="O1338" s="17" t="str">
        <f aca="false">IF(COUNTIFS($N$2:$N$2000,N1338,$D$2:$D$2000,"&lt;&gt;"&amp;D1338)&gt;0,"CONFLICT","")</f>
        <v/>
      </c>
      <c r="P1338" s="7" t="s">
        <v>2178</v>
      </c>
    </row>
    <row r="1339" customFormat="false" ht="15" hidden="false" customHeight="false" outlineLevel="0" collapsed="false">
      <c r="A1339" s="7" t="s">
        <v>2552</v>
      </c>
      <c r="B1339" s="7" t="s">
        <v>1879</v>
      </c>
      <c r="C1339" s="7"/>
      <c r="D1339" s="6" t="s">
        <v>1170</v>
      </c>
      <c r="E1339" s="6" t="s">
        <v>1880</v>
      </c>
      <c r="F1339" s="7" t="str">
        <f aca="false">IF($D1339="","",IFERROR(IF(INDEX(Hierarchy!$B$2:$B$1295,MATCH($D1339,Hierarchy!$A$2:$A$1295,0))="","",INDEX(Hierarchy!$B$2:$B$1295,MATCH($D1339,Hierarchy!$A$2:$A$1295,0))),"NODE NOT FOUND"))</f>
        <v>Country</v>
      </c>
      <c r="G1339" s="7" t="str">
        <f aca="false">IF($D1339="","",IFERROR(IF(INDEX(Hierarchy!$D$2:$D$1295,MATCH($D1339,Hierarchy!$A$2:$A$1295,0))="","",INDEX(Hierarchy!$D$2:$D$1295,MATCH($D1339,Hierarchy!$A$2:$A$1295,0))),"NODE NOT FOUND"))</f>
        <v>EMEA</v>
      </c>
      <c r="H1339" s="7" t="str">
        <f aca="false">IF($D1339="","",IFERROR(IF(INDEX(Hierarchy!$E$2:$E$1295,MATCH($D1339,Hierarchy!$A$2:$A$1295,0))="","",INDEX(Hierarchy!$E$2:$E$1295,MATCH($D1339,Hierarchy!$A$2:$A$1295,0))),"NODE NOT FOUND"))</f>
        <v>Africa</v>
      </c>
      <c r="I1339" s="7" t="str">
        <f aca="false">IF($D1339="","",IFERROR(IF(INDEX(Hierarchy!$F$2:$F$1295,MATCH($D1339,Hierarchy!$A$2:$A$1295,0))="","",INDEX(Hierarchy!$F$2:$F$1295,MATCH($D1339,Hierarchy!$A$2:$A$1295,0))),"NODE NOT FOUND"))</f>
        <v>Algeria</v>
      </c>
      <c r="J1339" s="7" t="str">
        <f aca="false">IF($D1339="","",IFERROR(IF(INDEX(Hierarchy!$G$2:$G$1295,MATCH($D1339,Hierarchy!$A$2:$A$1295,0))="","",INDEX(Hierarchy!$G$2:$G$1295,MATCH($D1339,Hierarchy!$A$2:$A$1295,0))),"NODE NOT FOUND"))</f>
        <v>DZA</v>
      </c>
      <c r="K1339" s="7" t="str">
        <f aca="false">IF($D1339="","",IFERROR(IF(INDEX(Hierarchy!$H$2:$H$1295,MATCH($D1339,Hierarchy!$A$2:$A$1295,0))="","",INDEX(Hierarchy!$H$2:$H$1295,MATCH($D1339,Hierarchy!$A$2:$A$1295,0))),"NODE NOT FOUND"))</f>
        <v/>
      </c>
      <c r="L1339" s="7" t="str">
        <f aca="false">IF($D1339="","",IFERROR(IF(INDEX(Hierarchy!$I$2:$I$1295,MATCH($D1339,Hierarchy!$A$2:$A$1295,0))="","",INDEX(Hierarchy!$I$2:$I$1295,MATCH($D1339,Hierarchy!$A$2:$A$1295,0))),"NODE NOT FOUND"))</f>
        <v/>
      </c>
      <c r="M1339" s="17" t="str">
        <f aca="false">IF(B1339="Pre-seeded","Pre-seeded",IF(B1339="Review 2026-09-16","Added from review",IF(C1339="","New",IF(C1339=D1339,"","Changed"))))</f>
        <v>Pre-seeded</v>
      </c>
      <c r="N1339" s="7" t="str">
        <f aca="false">TRIM(SUBSTITUTE(SUBSTITUTE(SUBSTITUTE(" "&amp;TRIM(SUBSTITUTE(SUBSTITUTE(SUBSTITUTE(SUBSTITUTE(SUBSTITUTE(SUBSTITUTE(SUBSTITUTE(SUBSTITUTE(SUBSTITUTE(SUBSTITUTE(SUBSTITUTE(SUBSTITUTE(SUBSTITUTE(SUBSTITUTE(SUBSTITUTE(UPPER(TRIM(A1339)),"[MEMBER]",""),"{MEMBER}",""),"[MEMBER}",""),"MEMBER]",""),"(A)",""),"""",""),"“",""),"”",""),".",""),":",""),",",""),"–"," "),"-"," "),"/"," "),"&amp;"," AND "))&amp;" "," THE "," ")," TOTAL "," ")," OPERATIONS "," "))</f>
        <v>PEOPLE'S DEMOCRATIC REPUBLIC OF ALGERIA</v>
      </c>
      <c r="O1339" s="17" t="str">
        <f aca="false">IF(COUNTIFS($N$2:$N$2000,N1339,$D$2:$D$2000,"&lt;&gt;"&amp;D1339)&gt;0,"CONFLICT","")</f>
        <v/>
      </c>
      <c r="P1339" s="7" t="s">
        <v>1936</v>
      </c>
    </row>
    <row r="1340" customFormat="false" ht="15" hidden="false" customHeight="false" outlineLevel="0" collapsed="false">
      <c r="A1340" s="7" t="s">
        <v>2553</v>
      </c>
      <c r="B1340" s="7" t="s">
        <v>1879</v>
      </c>
      <c r="C1340" s="7"/>
      <c r="D1340" s="6" t="s">
        <v>1375</v>
      </c>
      <c r="E1340" s="6" t="s">
        <v>1880</v>
      </c>
      <c r="F1340" s="7" t="str">
        <f aca="false">IF($D1340="","",IFERROR(IF(INDEX(Hierarchy!$B$2:$B$1295,MATCH($D1340,Hierarchy!$A$2:$A$1295,0))="","",INDEX(Hierarchy!$B$2:$B$1295,MATCH($D1340,Hierarchy!$A$2:$A$1295,0))),"NODE NOT FOUND"))</f>
        <v>Country</v>
      </c>
      <c r="G1340" s="7" t="str">
        <f aca="false">IF($D1340="","",IFERROR(IF(INDEX(Hierarchy!$D$2:$D$1295,MATCH($D1340,Hierarchy!$A$2:$A$1295,0))="","",INDEX(Hierarchy!$D$2:$D$1295,MATCH($D1340,Hierarchy!$A$2:$A$1295,0))),"NODE NOT FOUND"))</f>
        <v>APAC</v>
      </c>
      <c r="H1340" s="7" t="str">
        <f aca="false">IF($D1340="","",IFERROR(IF(INDEX(Hierarchy!$E$2:$E$1295,MATCH($D1340,Hierarchy!$A$2:$A$1295,0))="","",INDEX(Hierarchy!$E$2:$E$1295,MATCH($D1340,Hierarchy!$A$2:$A$1295,0))),"NODE NOT FOUND"))</f>
        <v>South Asia</v>
      </c>
      <c r="I1340" s="7" t="str">
        <f aca="false">IF($D1340="","",IFERROR(IF(INDEX(Hierarchy!$F$2:$F$1295,MATCH($D1340,Hierarchy!$A$2:$A$1295,0))="","",INDEX(Hierarchy!$F$2:$F$1295,MATCH($D1340,Hierarchy!$A$2:$A$1295,0))),"NODE NOT FOUND"))</f>
        <v>Bangladesh</v>
      </c>
      <c r="J1340" s="7" t="str">
        <f aca="false">IF($D1340="","",IFERROR(IF(INDEX(Hierarchy!$G$2:$G$1295,MATCH($D1340,Hierarchy!$A$2:$A$1295,0))="","",INDEX(Hierarchy!$G$2:$G$1295,MATCH($D1340,Hierarchy!$A$2:$A$1295,0))),"NODE NOT FOUND"))</f>
        <v>BGD</v>
      </c>
      <c r="K1340" s="7" t="str">
        <f aca="false">IF($D1340="","",IFERROR(IF(INDEX(Hierarchy!$H$2:$H$1295,MATCH($D1340,Hierarchy!$A$2:$A$1295,0))="","",INDEX(Hierarchy!$H$2:$H$1295,MATCH($D1340,Hierarchy!$A$2:$A$1295,0))),"NODE NOT FOUND"))</f>
        <v/>
      </c>
      <c r="L1340" s="7" t="str">
        <f aca="false">IF($D1340="","",IFERROR(IF(INDEX(Hierarchy!$I$2:$I$1295,MATCH($D1340,Hierarchy!$A$2:$A$1295,0))="","",INDEX(Hierarchy!$I$2:$I$1295,MATCH($D1340,Hierarchy!$A$2:$A$1295,0))),"NODE NOT FOUND"))</f>
        <v/>
      </c>
      <c r="M1340" s="17" t="str">
        <f aca="false">IF(B1340="Pre-seeded","Pre-seeded",IF(B1340="Review 2026-09-16","Added from review",IF(C1340="","New",IF(C1340=D1340,"","Changed"))))</f>
        <v>Pre-seeded</v>
      </c>
      <c r="N1340" s="7" t="str">
        <f aca="false">TRIM(SUBSTITUTE(SUBSTITUTE(SUBSTITUTE(" "&amp;TRIM(SUBSTITUTE(SUBSTITUTE(SUBSTITUTE(SUBSTITUTE(SUBSTITUTE(SUBSTITUTE(SUBSTITUTE(SUBSTITUTE(SUBSTITUTE(SUBSTITUTE(SUBSTITUTE(SUBSTITUTE(SUBSTITUTE(SUBSTITUTE(SUBSTITUTE(UPPER(TRIM(A1340)),"[MEMBER]",""),"{MEMBER}",""),"[MEMBER}",""),"MEMBER]",""),"(A)",""),"""",""),"“",""),"”",""),".",""),":",""),",",""),"–"," "),"-"," "),"/"," "),"&amp;"," AND "))&amp;" "," THE "," ")," TOTAL "," ")," OPERATIONS "," "))</f>
        <v>PEOPLE'S REPUBLIC OF BANGLADESH</v>
      </c>
      <c r="O1340" s="17" t="str">
        <f aca="false">IF(COUNTIFS($N$2:$N$2000,N1340,$D$2:$D$2000,"&lt;&gt;"&amp;D1340)&gt;0,"CONFLICT","")</f>
        <v/>
      </c>
      <c r="P1340" s="7" t="s">
        <v>1936</v>
      </c>
    </row>
    <row r="1341" customFormat="false" ht="15" hidden="false" customHeight="false" outlineLevel="0" collapsed="false">
      <c r="A1341" s="7" t="s">
        <v>2554</v>
      </c>
      <c r="B1341" s="7" t="s">
        <v>1882</v>
      </c>
      <c r="C1341" s="7" t="s">
        <v>1488</v>
      </c>
      <c r="D1341" s="6" t="s">
        <v>1488</v>
      </c>
      <c r="E1341" s="6" t="s">
        <v>1880</v>
      </c>
      <c r="F1341" s="7" t="str">
        <f aca="false">IF($D1341="","",IFERROR(IF(INDEX(Hierarchy!$B$2:$B$1295,MATCH($D1341,Hierarchy!$A$2:$A$1295,0))="","",INDEX(Hierarchy!$B$2:$B$1295,MATCH($D1341,Hierarchy!$A$2:$A$1295,0))),"NODE NOT FOUND"))</f>
        <v>Country</v>
      </c>
      <c r="G1341" s="7" t="str">
        <f aca="false">IF($D1341="","",IFERROR(IF(INDEX(Hierarchy!$D$2:$D$1295,MATCH($D1341,Hierarchy!$A$2:$A$1295,0))="","",INDEX(Hierarchy!$D$2:$D$1295,MATCH($D1341,Hierarchy!$A$2:$A$1295,0))),"NODE NOT FOUND"))</f>
        <v>APAC</v>
      </c>
      <c r="H1341" s="7" t="str">
        <f aca="false">IF($D1341="","",IFERROR(IF(INDEX(Hierarchy!$E$2:$E$1295,MATCH($D1341,Hierarchy!$A$2:$A$1295,0))="","",INDEX(Hierarchy!$E$2:$E$1295,MATCH($D1341,Hierarchy!$A$2:$A$1295,0))),"NODE NOT FOUND"))</f>
        <v>East Asia</v>
      </c>
      <c r="I1341" s="7" t="str">
        <f aca="false">IF($D1341="","",IFERROR(IF(INDEX(Hierarchy!$F$2:$F$1295,MATCH($D1341,Hierarchy!$A$2:$A$1295,0))="","",INDEX(Hierarchy!$F$2:$F$1295,MATCH($D1341,Hierarchy!$A$2:$A$1295,0))),"NODE NOT FOUND"))</f>
        <v>China</v>
      </c>
      <c r="J1341" s="7" t="str">
        <f aca="false">IF($D1341="","",IFERROR(IF(INDEX(Hierarchy!$G$2:$G$1295,MATCH($D1341,Hierarchy!$A$2:$A$1295,0))="","",INDEX(Hierarchy!$G$2:$G$1295,MATCH($D1341,Hierarchy!$A$2:$A$1295,0))),"NODE NOT FOUND"))</f>
        <v>CHN</v>
      </c>
      <c r="K1341" s="7" t="str">
        <f aca="false">IF($D1341="","",IFERROR(IF(INDEX(Hierarchy!$H$2:$H$1295,MATCH($D1341,Hierarchy!$A$2:$A$1295,0))="","",INDEX(Hierarchy!$H$2:$H$1295,MATCH($D1341,Hierarchy!$A$2:$A$1295,0))),"NODE NOT FOUND"))</f>
        <v/>
      </c>
      <c r="L1341" s="7" t="str">
        <f aca="false">IF($D1341="","",IFERROR(IF(INDEX(Hierarchy!$I$2:$I$1295,MATCH($D1341,Hierarchy!$A$2:$A$1295,0))="","",INDEX(Hierarchy!$I$2:$I$1295,MATCH($D1341,Hierarchy!$A$2:$A$1295,0))),"NODE NOT FOUND"))</f>
        <v/>
      </c>
      <c r="M1341" s="17" t="str">
        <f aca="false">IF(B1341="Pre-seeded","Pre-seeded",IF(B1341="Review 2026-09-16","Added from review",IF(C1341="","New",IF(C1341=D1341,"","Changed"))))</f>
        <v/>
      </c>
      <c r="N1341" s="7" t="str">
        <f aca="false">TRIM(SUBSTITUTE(SUBSTITUTE(SUBSTITUTE(" "&amp;TRIM(SUBSTITUTE(SUBSTITUTE(SUBSTITUTE(SUBSTITUTE(SUBSTITUTE(SUBSTITUTE(SUBSTITUTE(SUBSTITUTE(SUBSTITUTE(SUBSTITUTE(SUBSTITUTE(SUBSTITUTE(SUBSTITUTE(SUBSTITUTE(SUBSTITUTE(UPPER(TRIM(A1341)),"[MEMBER]",""),"{MEMBER}",""),"[MEMBER}",""),"MEMBER]",""),"(A)",""),"""",""),"“",""),"”",""),".",""),":",""),",",""),"–"," "),"-"," "),"/"," "),"&amp;"," AND "))&amp;" "," THE "," ")," TOTAL "," ")," OPERATIONS "," "))</f>
        <v>PEOPLE'S REPUBLIC OF CHINA</v>
      </c>
      <c r="O1341" s="17" t="str">
        <f aca="false">IF(COUNTIFS($N$2:$N$2000,N1341,$D$2:$D$2000,"&lt;&gt;"&amp;D1341)&gt;0,"CONFLICT","")</f>
        <v/>
      </c>
      <c r="P1341" s="7"/>
    </row>
    <row r="1342" customFormat="false" ht="15" hidden="false" customHeight="false" outlineLevel="0" collapsed="false">
      <c r="A1342" s="7" t="s">
        <v>1644</v>
      </c>
      <c r="B1342" s="7" t="s">
        <v>1879</v>
      </c>
      <c r="C1342" s="7"/>
      <c r="D1342" s="6" t="s">
        <v>1644</v>
      </c>
      <c r="E1342" s="6" t="s">
        <v>1880</v>
      </c>
      <c r="F1342" s="7" t="str">
        <f aca="false">IF($D1342="","",IFERROR(IF(INDEX(Hierarchy!$B$2:$B$1295,MATCH($D1342,Hierarchy!$A$2:$A$1295,0))="","",INDEX(Hierarchy!$B$2:$B$1295,MATCH($D1342,Hierarchy!$A$2:$A$1295,0))),"NODE NOT FOUND"))</f>
        <v>State/Province</v>
      </c>
      <c r="G1342" s="7" t="str">
        <f aca="false">IF($D1342="","",IFERROR(IF(INDEX(Hierarchy!$D$2:$D$1295,MATCH($D1342,Hierarchy!$A$2:$A$1295,0))="","",INDEX(Hierarchy!$D$2:$D$1295,MATCH($D1342,Hierarchy!$A$2:$A$1295,0))),"NODE NOT FOUND"))</f>
        <v>APAC</v>
      </c>
      <c r="H1342" s="7" t="str">
        <f aca="false">IF($D1342="","",IFERROR(IF(INDEX(Hierarchy!$E$2:$E$1295,MATCH($D1342,Hierarchy!$A$2:$A$1295,0))="","",INDEX(Hierarchy!$E$2:$E$1295,MATCH($D1342,Hierarchy!$A$2:$A$1295,0))),"NODE NOT FOUND"))</f>
        <v>Southeast Asia (ASEAN)</v>
      </c>
      <c r="I1342" s="7" t="str">
        <f aca="false">IF($D1342="","",IFERROR(IF(INDEX(Hierarchy!$F$2:$F$1295,MATCH($D1342,Hierarchy!$A$2:$A$1295,0))="","",INDEX(Hierarchy!$F$2:$F$1295,MATCH($D1342,Hierarchy!$A$2:$A$1295,0))),"NODE NOT FOUND"))</f>
        <v>Malaysia</v>
      </c>
      <c r="J1342" s="7" t="str">
        <f aca="false">IF($D1342="","",IFERROR(IF(INDEX(Hierarchy!$G$2:$G$1295,MATCH($D1342,Hierarchy!$A$2:$A$1295,0))="","",INDEX(Hierarchy!$G$2:$G$1295,MATCH($D1342,Hierarchy!$A$2:$A$1295,0))),"NODE NOT FOUND"))</f>
        <v>MYS</v>
      </c>
      <c r="K1342" s="7" t="str">
        <f aca="false">IF($D1342="","",IFERROR(IF(INDEX(Hierarchy!$H$2:$H$1295,MATCH($D1342,Hierarchy!$A$2:$A$1295,0))="","",INDEX(Hierarchy!$H$2:$H$1295,MATCH($D1342,Hierarchy!$A$2:$A$1295,0))),"NODE NOT FOUND"))</f>
        <v>Perak</v>
      </c>
      <c r="L1342" s="7" t="str">
        <f aca="false">IF($D1342="","",IFERROR(IF(INDEX(Hierarchy!$I$2:$I$1295,MATCH($D1342,Hierarchy!$A$2:$A$1295,0))="","",INDEX(Hierarchy!$I$2:$I$1295,MATCH($D1342,Hierarchy!$A$2:$A$1295,0))),"NODE NOT FOUND"))</f>
        <v/>
      </c>
      <c r="M1342" s="17" t="str">
        <f aca="false">IF(B1342="Pre-seeded","Pre-seeded",IF(B1342="Review 2026-09-16","Added from review",IF(C1342="","New",IF(C1342=D1342,"","Changed"))))</f>
        <v>Pre-seeded</v>
      </c>
      <c r="N1342" s="7" t="str">
        <f aca="false">TRIM(SUBSTITUTE(SUBSTITUTE(SUBSTITUTE(" "&amp;TRIM(SUBSTITUTE(SUBSTITUTE(SUBSTITUTE(SUBSTITUTE(SUBSTITUTE(SUBSTITUTE(SUBSTITUTE(SUBSTITUTE(SUBSTITUTE(SUBSTITUTE(SUBSTITUTE(SUBSTITUTE(SUBSTITUTE(SUBSTITUTE(SUBSTITUTE(UPPER(TRIM(A1342)),"[MEMBER]",""),"{MEMBER}",""),"[MEMBER}",""),"MEMBER]",""),"(A)",""),"""",""),"“",""),"”",""),".",""),":",""),",",""),"–"," "),"-"," "),"/"," "),"&amp;"," AND "))&amp;" "," THE "," ")," TOTAL "," ")," OPERATIONS "," "))</f>
        <v>PERAK</v>
      </c>
      <c r="O1342" s="17" t="str">
        <f aca="false">IF(COUNTIFS($N$2:$N$2000,N1342,$D$2:$D$2000,"&lt;&gt;"&amp;D1342)&gt;0,"CONFLICT","")</f>
        <v/>
      </c>
      <c r="P1342" s="7"/>
    </row>
    <row r="1343" customFormat="false" ht="15" hidden="false" customHeight="false" outlineLevel="0" collapsed="false">
      <c r="A1343" s="7" t="s">
        <v>1645</v>
      </c>
      <c r="B1343" s="7" t="s">
        <v>1879</v>
      </c>
      <c r="C1343" s="7"/>
      <c r="D1343" s="6" t="s">
        <v>1645</v>
      </c>
      <c r="E1343" s="6" t="s">
        <v>1880</v>
      </c>
      <c r="F1343" s="7" t="str">
        <f aca="false">IF($D1343="","",IFERROR(IF(INDEX(Hierarchy!$B$2:$B$1295,MATCH($D1343,Hierarchy!$A$2:$A$1295,0))="","",INDEX(Hierarchy!$B$2:$B$1295,MATCH($D1343,Hierarchy!$A$2:$A$1295,0))),"NODE NOT FOUND"))</f>
        <v>State/Province</v>
      </c>
      <c r="G1343" s="7" t="str">
        <f aca="false">IF($D1343="","",IFERROR(IF(INDEX(Hierarchy!$D$2:$D$1295,MATCH($D1343,Hierarchy!$A$2:$A$1295,0))="","",INDEX(Hierarchy!$D$2:$D$1295,MATCH($D1343,Hierarchy!$A$2:$A$1295,0))),"NODE NOT FOUND"))</f>
        <v>APAC</v>
      </c>
      <c r="H1343" s="7" t="str">
        <f aca="false">IF($D1343="","",IFERROR(IF(INDEX(Hierarchy!$E$2:$E$1295,MATCH($D1343,Hierarchy!$A$2:$A$1295,0))="","",INDEX(Hierarchy!$E$2:$E$1295,MATCH($D1343,Hierarchy!$A$2:$A$1295,0))),"NODE NOT FOUND"))</f>
        <v>Southeast Asia (ASEAN)</v>
      </c>
      <c r="I1343" s="7" t="str">
        <f aca="false">IF($D1343="","",IFERROR(IF(INDEX(Hierarchy!$F$2:$F$1295,MATCH($D1343,Hierarchy!$A$2:$A$1295,0))="","",INDEX(Hierarchy!$F$2:$F$1295,MATCH($D1343,Hierarchy!$A$2:$A$1295,0))),"NODE NOT FOUND"))</f>
        <v>Malaysia</v>
      </c>
      <c r="J1343" s="7" t="str">
        <f aca="false">IF($D1343="","",IFERROR(IF(INDEX(Hierarchy!$G$2:$G$1295,MATCH($D1343,Hierarchy!$A$2:$A$1295,0))="","",INDEX(Hierarchy!$G$2:$G$1295,MATCH($D1343,Hierarchy!$A$2:$A$1295,0))),"NODE NOT FOUND"))</f>
        <v>MYS</v>
      </c>
      <c r="K1343" s="7" t="str">
        <f aca="false">IF($D1343="","",IFERROR(IF(INDEX(Hierarchy!$H$2:$H$1295,MATCH($D1343,Hierarchy!$A$2:$A$1295,0))="","",INDEX(Hierarchy!$H$2:$H$1295,MATCH($D1343,Hierarchy!$A$2:$A$1295,0))),"NODE NOT FOUND"))</f>
        <v>Perlis</v>
      </c>
      <c r="L1343" s="7" t="str">
        <f aca="false">IF($D1343="","",IFERROR(IF(INDEX(Hierarchy!$I$2:$I$1295,MATCH($D1343,Hierarchy!$A$2:$A$1295,0))="","",INDEX(Hierarchy!$I$2:$I$1295,MATCH($D1343,Hierarchy!$A$2:$A$1295,0))),"NODE NOT FOUND"))</f>
        <v/>
      </c>
      <c r="M1343" s="17" t="str">
        <f aca="false">IF(B1343="Pre-seeded","Pre-seeded",IF(B1343="Review 2026-09-16","Added from review",IF(C1343="","New",IF(C1343=D1343,"","Changed"))))</f>
        <v>Pre-seeded</v>
      </c>
      <c r="N1343" s="7" t="str">
        <f aca="false">TRIM(SUBSTITUTE(SUBSTITUTE(SUBSTITUTE(" "&amp;TRIM(SUBSTITUTE(SUBSTITUTE(SUBSTITUTE(SUBSTITUTE(SUBSTITUTE(SUBSTITUTE(SUBSTITUTE(SUBSTITUTE(SUBSTITUTE(SUBSTITUTE(SUBSTITUTE(SUBSTITUTE(SUBSTITUTE(SUBSTITUTE(SUBSTITUTE(UPPER(TRIM(A1343)),"[MEMBER]",""),"{MEMBER}",""),"[MEMBER}",""),"MEMBER]",""),"(A)",""),"""",""),"“",""),"”",""),".",""),":",""),",",""),"–"," "),"-"," "),"/"," "),"&amp;"," AND "))&amp;" "," THE "," ")," TOTAL "," ")," OPERATIONS "," "))</f>
        <v>PERLIS</v>
      </c>
      <c r="O1343" s="17" t="str">
        <f aca="false">IF(COUNTIFS($N$2:$N$2000,N1343,$D$2:$D$2000,"&lt;&gt;"&amp;D1343)&gt;0,"CONFLICT","")</f>
        <v/>
      </c>
      <c r="P1343" s="7"/>
    </row>
    <row r="1344" customFormat="false" ht="15" hidden="false" customHeight="false" outlineLevel="0" collapsed="false">
      <c r="A1344" s="7" t="s">
        <v>363</v>
      </c>
      <c r="B1344" s="7" t="s">
        <v>1879</v>
      </c>
      <c r="C1344" s="7"/>
      <c r="D1344" s="6" t="s">
        <v>363</v>
      </c>
      <c r="E1344" s="6" t="s">
        <v>1880</v>
      </c>
      <c r="F1344" s="7" t="str">
        <f aca="false">IF($D1344="","",IFERROR(IF(INDEX(Hierarchy!$B$2:$B$1295,MATCH($D1344,Hierarchy!$A$2:$A$1295,0))="","",INDEX(Hierarchy!$B$2:$B$1295,MATCH($D1344,Hierarchy!$A$2:$A$1295,0))),"NODE NOT FOUND"))</f>
        <v>State/Province</v>
      </c>
      <c r="G1344" s="7" t="str">
        <f aca="false">IF($D1344="","",IFERROR(IF(INDEX(Hierarchy!$D$2:$D$1295,MATCH($D1344,Hierarchy!$A$2:$A$1295,0))="","",INDEX(Hierarchy!$D$2:$D$1295,MATCH($D1344,Hierarchy!$A$2:$A$1295,0))),"NODE NOT FOUND"))</f>
        <v>AMER</v>
      </c>
      <c r="H1344" s="7" t="str">
        <f aca="false">IF($D1344="","",IFERROR(IF(INDEX(Hierarchy!$E$2:$E$1295,MATCH($D1344,Hierarchy!$A$2:$A$1295,0))="","",INDEX(Hierarchy!$E$2:$E$1295,MATCH($D1344,Hierarchy!$A$2:$A$1295,0))),"NODE NOT FOUND"))</f>
        <v>Latin America (LATAM)</v>
      </c>
      <c r="I1344" s="7" t="str">
        <f aca="false">IF($D1344="","",IFERROR(IF(INDEX(Hierarchy!$F$2:$F$1295,MATCH($D1344,Hierarchy!$A$2:$A$1295,0))="","",INDEX(Hierarchy!$F$2:$F$1295,MATCH($D1344,Hierarchy!$A$2:$A$1295,0))),"NODE NOT FOUND"))</f>
        <v>Brazil</v>
      </c>
      <c r="J1344" s="7" t="str">
        <f aca="false">IF($D1344="","",IFERROR(IF(INDEX(Hierarchy!$G$2:$G$1295,MATCH($D1344,Hierarchy!$A$2:$A$1295,0))="","",INDEX(Hierarchy!$G$2:$G$1295,MATCH($D1344,Hierarchy!$A$2:$A$1295,0))),"NODE NOT FOUND"))</f>
        <v>BRA</v>
      </c>
      <c r="K1344" s="7" t="str">
        <f aca="false">IF($D1344="","",IFERROR(IF(INDEX(Hierarchy!$H$2:$H$1295,MATCH($D1344,Hierarchy!$A$2:$A$1295,0))="","",INDEX(Hierarchy!$H$2:$H$1295,MATCH($D1344,Hierarchy!$A$2:$A$1295,0))),"NODE NOT FOUND"))</f>
        <v>Pernambuco</v>
      </c>
      <c r="L1344" s="7" t="str">
        <f aca="false">IF($D1344="","",IFERROR(IF(INDEX(Hierarchy!$I$2:$I$1295,MATCH($D1344,Hierarchy!$A$2:$A$1295,0))="","",INDEX(Hierarchy!$I$2:$I$1295,MATCH($D1344,Hierarchy!$A$2:$A$1295,0))),"NODE NOT FOUND"))</f>
        <v/>
      </c>
      <c r="M1344" s="17" t="str">
        <f aca="false">IF(B1344="Pre-seeded","Pre-seeded",IF(B1344="Review 2026-09-16","Added from review",IF(C1344="","New",IF(C1344=D1344,"","Changed"))))</f>
        <v>Pre-seeded</v>
      </c>
      <c r="N1344" s="7" t="str">
        <f aca="false">TRIM(SUBSTITUTE(SUBSTITUTE(SUBSTITUTE(" "&amp;TRIM(SUBSTITUTE(SUBSTITUTE(SUBSTITUTE(SUBSTITUTE(SUBSTITUTE(SUBSTITUTE(SUBSTITUTE(SUBSTITUTE(SUBSTITUTE(SUBSTITUTE(SUBSTITUTE(SUBSTITUTE(SUBSTITUTE(SUBSTITUTE(SUBSTITUTE(UPPER(TRIM(A1344)),"[MEMBER]",""),"{MEMBER}",""),"[MEMBER}",""),"MEMBER]",""),"(A)",""),"""",""),"“",""),"”",""),".",""),":",""),",",""),"–"," "),"-"," "),"/"," "),"&amp;"," AND "))&amp;" "," THE "," ")," TOTAL "," ")," OPERATIONS "," "))</f>
        <v>PERNAMBUCO</v>
      </c>
      <c r="O1344" s="17" t="str">
        <f aca="false">IF(COUNTIFS($N$2:$N$2000,N1344,$D$2:$D$2000,"&lt;&gt;"&amp;D1344)&gt;0,"CONFLICT","")</f>
        <v/>
      </c>
      <c r="P1344" s="7"/>
    </row>
    <row r="1345" customFormat="false" ht="15" hidden="false" customHeight="false" outlineLevel="0" collapsed="false">
      <c r="A1345" s="7" t="s">
        <v>587</v>
      </c>
      <c r="B1345" s="7" t="s">
        <v>1882</v>
      </c>
      <c r="C1345" s="7" t="s">
        <v>587</v>
      </c>
      <c r="D1345" s="6" t="s">
        <v>587</v>
      </c>
      <c r="E1345" s="6" t="s">
        <v>1880</v>
      </c>
      <c r="F1345" s="7" t="str">
        <f aca="false">IF($D1345="","",IFERROR(IF(INDEX(Hierarchy!$B$2:$B$1295,MATCH($D1345,Hierarchy!$A$2:$A$1295,0))="","",INDEX(Hierarchy!$B$2:$B$1295,MATCH($D1345,Hierarchy!$A$2:$A$1295,0))),"NODE NOT FOUND"))</f>
        <v>Country</v>
      </c>
      <c r="G1345" s="7" t="str">
        <f aca="false">IF($D1345="","",IFERROR(IF(INDEX(Hierarchy!$D$2:$D$1295,MATCH($D1345,Hierarchy!$A$2:$A$1295,0))="","",INDEX(Hierarchy!$D$2:$D$1295,MATCH($D1345,Hierarchy!$A$2:$A$1295,0))),"NODE NOT FOUND"))</f>
        <v>AMER</v>
      </c>
      <c r="H1345" s="7" t="str">
        <f aca="false">IF($D1345="","",IFERROR(IF(INDEX(Hierarchy!$E$2:$E$1295,MATCH($D1345,Hierarchy!$A$2:$A$1295,0))="","",INDEX(Hierarchy!$E$2:$E$1295,MATCH($D1345,Hierarchy!$A$2:$A$1295,0))),"NODE NOT FOUND"))</f>
        <v>Latin America (LATAM)</v>
      </c>
      <c r="I1345" s="7" t="str">
        <f aca="false">IF($D1345="","",IFERROR(IF(INDEX(Hierarchy!$F$2:$F$1295,MATCH($D1345,Hierarchy!$A$2:$A$1295,0))="","",INDEX(Hierarchy!$F$2:$F$1295,MATCH($D1345,Hierarchy!$A$2:$A$1295,0))),"NODE NOT FOUND"))</f>
        <v>Peru</v>
      </c>
      <c r="J1345" s="7" t="str">
        <f aca="false">IF($D1345="","",IFERROR(IF(INDEX(Hierarchy!$G$2:$G$1295,MATCH($D1345,Hierarchy!$A$2:$A$1295,0))="","",INDEX(Hierarchy!$G$2:$G$1295,MATCH($D1345,Hierarchy!$A$2:$A$1295,0))),"NODE NOT FOUND"))</f>
        <v>PER</v>
      </c>
      <c r="K1345" s="7" t="str">
        <f aca="false">IF($D1345="","",IFERROR(IF(INDEX(Hierarchy!$H$2:$H$1295,MATCH($D1345,Hierarchy!$A$2:$A$1295,0))="","",INDEX(Hierarchy!$H$2:$H$1295,MATCH($D1345,Hierarchy!$A$2:$A$1295,0))),"NODE NOT FOUND"))</f>
        <v/>
      </c>
      <c r="L1345" s="7" t="str">
        <f aca="false">IF($D1345="","",IFERROR(IF(INDEX(Hierarchy!$I$2:$I$1295,MATCH($D1345,Hierarchy!$A$2:$A$1295,0))="","",INDEX(Hierarchy!$I$2:$I$1295,MATCH($D1345,Hierarchy!$A$2:$A$1295,0))),"NODE NOT FOUND"))</f>
        <v/>
      </c>
      <c r="M1345" s="17" t="str">
        <f aca="false">IF(B1345="Pre-seeded","Pre-seeded",IF(B1345="Review 2026-09-16","Added from review",IF(C1345="","New",IF(C1345=D1345,"","Changed"))))</f>
        <v/>
      </c>
      <c r="N1345" s="7" t="str">
        <f aca="false">TRIM(SUBSTITUTE(SUBSTITUTE(SUBSTITUTE(" "&amp;TRIM(SUBSTITUTE(SUBSTITUTE(SUBSTITUTE(SUBSTITUTE(SUBSTITUTE(SUBSTITUTE(SUBSTITUTE(SUBSTITUTE(SUBSTITUTE(SUBSTITUTE(SUBSTITUTE(SUBSTITUTE(SUBSTITUTE(SUBSTITUTE(SUBSTITUTE(UPPER(TRIM(A1345)),"[MEMBER]",""),"{MEMBER}",""),"[MEMBER}",""),"MEMBER]",""),"(A)",""),"""",""),"“",""),"”",""),".",""),":",""),",",""),"–"," "),"-"," "),"/"," "),"&amp;"," AND "))&amp;" "," THE "," ")," TOTAL "," ")," OPERATIONS "," "))</f>
        <v>PERU</v>
      </c>
      <c r="O1345" s="17" t="str">
        <f aca="false">IF(COUNTIFS($N$2:$N$2000,N1345,$D$2:$D$2000,"&lt;&gt;"&amp;D1345)&gt;0,"CONFLICT","")</f>
        <v/>
      </c>
      <c r="P1345" s="7"/>
    </row>
    <row r="1346" customFormat="false" ht="15" hidden="false" customHeight="false" outlineLevel="0" collapsed="false">
      <c r="A1346" s="7" t="s">
        <v>2555</v>
      </c>
      <c r="B1346" s="7" t="s">
        <v>1954</v>
      </c>
      <c r="C1346" s="7"/>
      <c r="D1346" s="6" t="s">
        <v>271</v>
      </c>
      <c r="E1346" s="6" t="s">
        <v>1880</v>
      </c>
      <c r="F1346" s="7" t="str">
        <f aca="false">IF($D1346="","",IFERROR(IF(INDEX(Hierarchy!$B$2:$B$1295,MATCH($D1346,Hierarchy!$A$2:$A$1295,0))="","",INDEX(Hierarchy!$B$2:$B$1295,MATCH($D1346,Hierarchy!$A$2:$A$1295,0))),"NODE NOT FOUND"))</f>
        <v>Country</v>
      </c>
      <c r="G1346" s="7" t="str">
        <f aca="false">IF($D1346="","",IFERROR(IF(INDEX(Hierarchy!$D$2:$D$1295,MATCH($D1346,Hierarchy!$A$2:$A$1295,0))="","",INDEX(Hierarchy!$D$2:$D$1295,MATCH($D1346,Hierarchy!$A$2:$A$1295,0))),"NODE NOT FOUND"))</f>
        <v>AMER</v>
      </c>
      <c r="H1346" s="7" t="str">
        <f aca="false">IF($D1346="","",IFERROR(IF(INDEX(Hierarchy!$E$2:$E$1295,MATCH($D1346,Hierarchy!$A$2:$A$1295,0))="","",INDEX(Hierarchy!$E$2:$E$1295,MATCH($D1346,Hierarchy!$A$2:$A$1295,0))),"NODE NOT FOUND"))</f>
        <v>North America (NORAM)</v>
      </c>
      <c r="I1346" s="7" t="str">
        <f aca="false">IF($D1346="","",IFERROR(IF(INDEX(Hierarchy!$F$2:$F$1295,MATCH($D1346,Hierarchy!$A$2:$A$1295,0))="","",INDEX(Hierarchy!$F$2:$F$1295,MATCH($D1346,Hierarchy!$A$2:$A$1295,0))),"NODE NOT FOUND"))</f>
        <v>Canada</v>
      </c>
      <c r="J1346" s="7" t="str">
        <f aca="false">IF($D1346="","",IFERROR(IF(INDEX(Hierarchy!$G$2:$G$1295,MATCH($D1346,Hierarchy!$A$2:$A$1295,0))="","",INDEX(Hierarchy!$G$2:$G$1295,MATCH($D1346,Hierarchy!$A$2:$A$1295,0))),"NODE NOT FOUND"))</f>
        <v>CAN</v>
      </c>
      <c r="K1346" s="7" t="str">
        <f aca="false">IF($D1346="","",IFERROR(IF(INDEX(Hierarchy!$H$2:$H$1295,MATCH($D1346,Hierarchy!$A$2:$A$1295,0))="","",INDEX(Hierarchy!$H$2:$H$1295,MATCH($D1346,Hierarchy!$A$2:$A$1295,0))),"NODE NOT FOUND"))</f>
        <v/>
      </c>
      <c r="L1346" s="7" t="str">
        <f aca="false">IF($D1346="","",IFERROR(IF(INDEX(Hierarchy!$I$2:$I$1295,MATCH($D1346,Hierarchy!$A$2:$A$1295,0))="","",INDEX(Hierarchy!$I$2:$I$1295,MATCH($D1346,Hierarchy!$A$2:$A$1295,0))),"NODE NOT FOUND"))</f>
        <v/>
      </c>
      <c r="M1346" s="17" t="str">
        <f aca="false">IF(B1346="Pre-seeded","Pre-seeded",IF(B1346="Review 2026-09-16","Added from review",IF(C1346="","New",IF(C1346=D1346,"","Changed"))))</f>
        <v>Added from review</v>
      </c>
      <c r="N1346" s="7" t="str">
        <f aca="false">TRIM(SUBSTITUTE(SUBSTITUTE(SUBSTITUTE(" "&amp;TRIM(SUBSTITUTE(SUBSTITUTE(SUBSTITUTE(SUBSTITUTE(SUBSTITUTE(SUBSTITUTE(SUBSTITUTE(SUBSTITUTE(SUBSTITUTE(SUBSTITUTE(SUBSTITUTE(SUBSTITUTE(SUBSTITUTE(SUBSTITUTE(SUBSTITUTE(UPPER(TRIM(A1346)),"[MEMBER]",""),"{MEMBER}",""),"[MEMBER}",""),"MEMBER]",""),"(A)",""),"""",""),"“",""),"”",""),".",""),":",""),",",""),"–"," "),"-"," "),"/"," "),"&amp;"," AND "))&amp;" "," THE "," ")," TOTAL "," ")," OPERATIONS "," "))</f>
        <v>PF0CA</v>
      </c>
      <c r="O1346" s="17" t="str">
        <f aca="false">IF(COUNTIFS($N$2:$N$2000,N1346,$D$2:$D$2000,"&lt;&gt;"&amp;D1346)&gt;0,"CONFLICT","")</f>
        <v/>
      </c>
      <c r="P1346" s="7" t="s">
        <v>1968</v>
      </c>
    </row>
    <row r="1347" customFormat="false" ht="15" hidden="false" customHeight="false" outlineLevel="0" collapsed="false">
      <c r="A1347" s="7" t="s">
        <v>2556</v>
      </c>
      <c r="B1347" s="7" t="s">
        <v>1882</v>
      </c>
      <c r="C1347" s="7" t="s">
        <v>81</v>
      </c>
      <c r="D1347" s="6" t="s">
        <v>81</v>
      </c>
      <c r="E1347" s="6" t="s">
        <v>1880</v>
      </c>
      <c r="F1347" s="7" t="str">
        <f aca="false">IF($D1347="","",IFERROR(IF(INDEX(Hierarchy!$B$2:$B$1295,MATCH($D1347,Hierarchy!$A$2:$A$1295,0))="","",INDEX(Hierarchy!$B$2:$B$1295,MATCH($D1347,Hierarchy!$A$2:$A$1295,0))),"NODE NOT FOUND"))</f>
        <v>Country</v>
      </c>
      <c r="G1347" s="7" t="str">
        <f aca="false">IF($D1347="","",IFERROR(IF(INDEX(Hierarchy!$D$2:$D$1295,MATCH($D1347,Hierarchy!$A$2:$A$1295,0))="","",INDEX(Hierarchy!$D$2:$D$1295,MATCH($D1347,Hierarchy!$A$2:$A$1295,0))),"NODE NOT FOUND"))</f>
        <v>AMER</v>
      </c>
      <c r="H1347" s="7" t="str">
        <f aca="false">IF($D1347="","",IFERROR(IF(INDEX(Hierarchy!$E$2:$E$1295,MATCH($D1347,Hierarchy!$A$2:$A$1295,0))="","",INDEX(Hierarchy!$E$2:$E$1295,MATCH($D1347,Hierarchy!$A$2:$A$1295,0))),"NODE NOT FOUND"))</f>
        <v>North America (NORAM)</v>
      </c>
      <c r="I1347" s="7" t="str">
        <f aca="false">IF($D1347="","",IFERROR(IF(INDEX(Hierarchy!$F$2:$F$1295,MATCH($D1347,Hierarchy!$A$2:$A$1295,0))="","",INDEX(Hierarchy!$F$2:$F$1295,MATCH($D1347,Hierarchy!$A$2:$A$1295,0))),"NODE NOT FOUND"))</f>
        <v>United States</v>
      </c>
      <c r="J1347" s="7" t="str">
        <f aca="false">IF($D1347="","",IFERROR(IF(INDEX(Hierarchy!$G$2:$G$1295,MATCH($D1347,Hierarchy!$A$2:$A$1295,0))="","",INDEX(Hierarchy!$G$2:$G$1295,MATCH($D1347,Hierarchy!$A$2:$A$1295,0))),"NODE NOT FOUND"))</f>
        <v>USA</v>
      </c>
      <c r="K1347" s="7" t="str">
        <f aca="false">IF($D1347="","",IFERROR(IF(INDEX(Hierarchy!$H$2:$H$1295,MATCH($D1347,Hierarchy!$A$2:$A$1295,0))="","",INDEX(Hierarchy!$H$2:$H$1295,MATCH($D1347,Hierarchy!$A$2:$A$1295,0))),"NODE NOT FOUND"))</f>
        <v/>
      </c>
      <c r="L1347" s="7" t="str">
        <f aca="false">IF($D1347="","",IFERROR(IF(INDEX(Hierarchy!$I$2:$I$1295,MATCH($D1347,Hierarchy!$A$2:$A$1295,0))="","",INDEX(Hierarchy!$I$2:$I$1295,MATCH($D1347,Hierarchy!$A$2:$A$1295,0))),"NODE NOT FOUND"))</f>
        <v/>
      </c>
      <c r="M1347" s="17" t="str">
        <f aca="false">IF(B1347="Pre-seeded","Pre-seeded",IF(B1347="Review 2026-09-16","Added from review",IF(C1347="","New",IF(C1347=D1347,"","Changed"))))</f>
        <v/>
      </c>
      <c r="N1347" s="7" t="str">
        <f aca="false">TRIM(SUBSTITUTE(SUBSTITUTE(SUBSTITUTE(" "&amp;TRIM(SUBSTITUTE(SUBSTITUTE(SUBSTITUTE(SUBSTITUTE(SUBSTITUTE(SUBSTITUTE(SUBSTITUTE(SUBSTITUTE(SUBSTITUTE(SUBSTITUTE(SUBSTITUTE(SUBSTITUTE(SUBSTITUTE(SUBSTITUTE(SUBSTITUTE(UPPER(TRIM(A1347)),"[MEMBER]",""),"{MEMBER}",""),"[MEMBER}",""),"MEMBER]",""),"(A)",""),"""",""),"“",""),"”",""),".",""),":",""),",",""),"–"," "),"-"," "),"/"," "),"&amp;"," AND "))&amp;" "," THE "," ")," TOTAL "," ")," OPERATIONS "," "))</f>
        <v>PF0US</v>
      </c>
      <c r="O1347" s="17" t="str">
        <f aca="false">IF(COUNTIFS($N$2:$N$2000,N1347,$D$2:$D$2000,"&lt;&gt;"&amp;D1347)&gt;0,"CONFLICT","")</f>
        <v/>
      </c>
      <c r="P1347" s="7"/>
    </row>
    <row r="1348" customFormat="false" ht="15" hidden="false" customHeight="false" outlineLevel="0" collapsed="false">
      <c r="A1348" s="7" t="s">
        <v>1661</v>
      </c>
      <c r="B1348" s="7" t="s">
        <v>1882</v>
      </c>
      <c r="C1348" s="7" t="s">
        <v>1661</v>
      </c>
      <c r="D1348" s="6" t="s">
        <v>1661</v>
      </c>
      <c r="E1348" s="6" t="s">
        <v>1880</v>
      </c>
      <c r="F1348" s="7" t="str">
        <f aca="false">IF($D1348="","",IFERROR(IF(INDEX(Hierarchy!$B$2:$B$1295,MATCH($D1348,Hierarchy!$A$2:$A$1295,0))="","",INDEX(Hierarchy!$B$2:$B$1295,MATCH($D1348,Hierarchy!$A$2:$A$1295,0))),"NODE NOT FOUND"))</f>
        <v>Country</v>
      </c>
      <c r="G1348" s="7" t="str">
        <f aca="false">IF($D1348="","",IFERROR(IF(INDEX(Hierarchy!$D$2:$D$1295,MATCH($D1348,Hierarchy!$A$2:$A$1295,0))="","",INDEX(Hierarchy!$D$2:$D$1295,MATCH($D1348,Hierarchy!$A$2:$A$1295,0))),"NODE NOT FOUND"))</f>
        <v>APAC</v>
      </c>
      <c r="H1348" s="7" t="str">
        <f aca="false">IF($D1348="","",IFERROR(IF(INDEX(Hierarchy!$E$2:$E$1295,MATCH($D1348,Hierarchy!$A$2:$A$1295,0))="","",INDEX(Hierarchy!$E$2:$E$1295,MATCH($D1348,Hierarchy!$A$2:$A$1295,0))),"NODE NOT FOUND"))</f>
        <v>Southeast Asia (ASEAN)</v>
      </c>
      <c r="I1348" s="7" t="str">
        <f aca="false">IF($D1348="","",IFERROR(IF(INDEX(Hierarchy!$F$2:$F$1295,MATCH($D1348,Hierarchy!$A$2:$A$1295,0))="","",INDEX(Hierarchy!$F$2:$F$1295,MATCH($D1348,Hierarchy!$A$2:$A$1295,0))),"NODE NOT FOUND"))</f>
        <v>Philippines</v>
      </c>
      <c r="J1348" s="7" t="str">
        <f aca="false">IF($D1348="","",IFERROR(IF(INDEX(Hierarchy!$G$2:$G$1295,MATCH($D1348,Hierarchy!$A$2:$A$1295,0))="","",INDEX(Hierarchy!$G$2:$G$1295,MATCH($D1348,Hierarchy!$A$2:$A$1295,0))),"NODE NOT FOUND"))</f>
        <v>PHL</v>
      </c>
      <c r="K1348" s="7" t="str">
        <f aca="false">IF($D1348="","",IFERROR(IF(INDEX(Hierarchy!$H$2:$H$1295,MATCH($D1348,Hierarchy!$A$2:$A$1295,0))="","",INDEX(Hierarchy!$H$2:$H$1295,MATCH($D1348,Hierarchy!$A$2:$A$1295,0))),"NODE NOT FOUND"))</f>
        <v/>
      </c>
      <c r="L1348" s="7" t="str">
        <f aca="false">IF($D1348="","",IFERROR(IF(INDEX(Hierarchy!$I$2:$I$1295,MATCH($D1348,Hierarchy!$A$2:$A$1295,0))="","",INDEX(Hierarchy!$I$2:$I$1295,MATCH($D1348,Hierarchy!$A$2:$A$1295,0))),"NODE NOT FOUND"))</f>
        <v/>
      </c>
      <c r="M1348" s="17" t="str">
        <f aca="false">IF(B1348="Pre-seeded","Pre-seeded",IF(B1348="Review 2026-09-16","Added from review",IF(C1348="","New",IF(C1348=D1348,"","Changed"))))</f>
        <v/>
      </c>
      <c r="N1348" s="7" t="str">
        <f aca="false">TRIM(SUBSTITUTE(SUBSTITUTE(SUBSTITUTE(" "&amp;TRIM(SUBSTITUTE(SUBSTITUTE(SUBSTITUTE(SUBSTITUTE(SUBSTITUTE(SUBSTITUTE(SUBSTITUTE(SUBSTITUTE(SUBSTITUTE(SUBSTITUTE(SUBSTITUTE(SUBSTITUTE(SUBSTITUTE(SUBSTITUTE(SUBSTITUTE(UPPER(TRIM(A1348)),"[MEMBER]",""),"{MEMBER}",""),"[MEMBER}",""),"MEMBER]",""),"(A)",""),"""",""),"“",""),"”",""),".",""),":",""),",",""),"–"," "),"-"," "),"/"," "),"&amp;"," AND "))&amp;" "," THE "," ")," TOTAL "," ")," OPERATIONS "," "))</f>
        <v>PHILIPPINES</v>
      </c>
      <c r="O1348" s="17" t="str">
        <f aca="false">IF(COUNTIFS($N$2:$N$2000,N1348,$D$2:$D$2000,"&lt;&gt;"&amp;D1348)&gt;0,"CONFLICT","")</f>
        <v/>
      </c>
      <c r="P1348" s="7"/>
    </row>
    <row r="1349" customFormat="false" ht="15" hidden="false" customHeight="false" outlineLevel="0" collapsed="false">
      <c r="A1349" s="7" t="s">
        <v>2557</v>
      </c>
      <c r="B1349" s="7" t="s">
        <v>1882</v>
      </c>
      <c r="C1349" s="7" t="s">
        <v>1661</v>
      </c>
      <c r="D1349" s="6" t="s">
        <v>1661</v>
      </c>
      <c r="E1349" s="6" t="s">
        <v>1880</v>
      </c>
      <c r="F1349" s="7" t="str">
        <f aca="false">IF($D1349="","",IFERROR(IF(INDEX(Hierarchy!$B$2:$B$1295,MATCH($D1349,Hierarchy!$A$2:$A$1295,0))="","",INDEX(Hierarchy!$B$2:$B$1295,MATCH($D1349,Hierarchy!$A$2:$A$1295,0))),"NODE NOT FOUND"))</f>
        <v>Country</v>
      </c>
      <c r="G1349" s="7" t="str">
        <f aca="false">IF($D1349="","",IFERROR(IF(INDEX(Hierarchy!$D$2:$D$1295,MATCH($D1349,Hierarchy!$A$2:$A$1295,0))="","",INDEX(Hierarchy!$D$2:$D$1295,MATCH($D1349,Hierarchy!$A$2:$A$1295,0))),"NODE NOT FOUND"))</f>
        <v>APAC</v>
      </c>
      <c r="H1349" s="7" t="str">
        <f aca="false">IF($D1349="","",IFERROR(IF(INDEX(Hierarchy!$E$2:$E$1295,MATCH($D1349,Hierarchy!$A$2:$A$1295,0))="","",INDEX(Hierarchy!$E$2:$E$1295,MATCH($D1349,Hierarchy!$A$2:$A$1295,0))),"NODE NOT FOUND"))</f>
        <v>Southeast Asia (ASEAN)</v>
      </c>
      <c r="I1349" s="7" t="str">
        <f aca="false">IF($D1349="","",IFERROR(IF(INDEX(Hierarchy!$F$2:$F$1295,MATCH($D1349,Hierarchy!$A$2:$A$1295,0))="","",INDEX(Hierarchy!$F$2:$F$1295,MATCH($D1349,Hierarchy!$A$2:$A$1295,0))),"NODE NOT FOUND"))</f>
        <v>Philippines</v>
      </c>
      <c r="J1349" s="7" t="str">
        <f aca="false">IF($D1349="","",IFERROR(IF(INDEX(Hierarchy!$G$2:$G$1295,MATCH($D1349,Hierarchy!$A$2:$A$1295,0))="","",INDEX(Hierarchy!$G$2:$G$1295,MATCH($D1349,Hierarchy!$A$2:$A$1295,0))),"NODE NOT FOUND"))</f>
        <v>PHL</v>
      </c>
      <c r="K1349" s="7" t="str">
        <f aca="false">IF($D1349="","",IFERROR(IF(INDEX(Hierarchy!$H$2:$H$1295,MATCH($D1349,Hierarchy!$A$2:$A$1295,0))="","",INDEX(Hierarchy!$H$2:$H$1295,MATCH($D1349,Hierarchy!$A$2:$A$1295,0))),"NODE NOT FOUND"))</f>
        <v/>
      </c>
      <c r="L1349" s="7" t="str">
        <f aca="false">IF($D1349="","",IFERROR(IF(INDEX(Hierarchy!$I$2:$I$1295,MATCH($D1349,Hierarchy!$A$2:$A$1295,0))="","",INDEX(Hierarchy!$I$2:$I$1295,MATCH($D1349,Hierarchy!$A$2:$A$1295,0))),"NODE NOT FOUND"))</f>
        <v/>
      </c>
      <c r="M1349" s="17" t="str">
        <f aca="false">IF(B1349="Pre-seeded","Pre-seeded",IF(B1349="Review 2026-09-16","Added from review",IF(C1349="","New",IF(C1349=D1349,"","Changed"))))</f>
        <v/>
      </c>
      <c r="N1349" s="7" t="str">
        <f aca="false">TRIM(SUBSTITUTE(SUBSTITUTE(SUBSTITUTE(" "&amp;TRIM(SUBSTITUTE(SUBSTITUTE(SUBSTITUTE(SUBSTITUTE(SUBSTITUTE(SUBSTITUTE(SUBSTITUTE(SUBSTITUTE(SUBSTITUTE(SUBSTITUTE(SUBSTITUTE(SUBSTITUTE(SUBSTITUTE(SUBSTITUTE(SUBSTITUTE(UPPER(TRIM(A1349)),"[MEMBER]",""),"{MEMBER}",""),"[MEMBER}",""),"MEMBER]",""),"(A)",""),"""",""),"“",""),"”",""),".",""),":",""),",",""),"–"," "),"-"," "),"/"," "),"&amp;"," AND "))&amp;" "," THE "," ")," TOTAL "," ")," OPERATIONS "," "))</f>
        <v>PHILIPPINES</v>
      </c>
      <c r="O1349" s="17" t="str">
        <f aca="false">IF(COUNTIFS($N$2:$N$2000,N1349,$D$2:$D$2000,"&lt;&gt;"&amp;D1349)&gt;0,"CONFLICT","")</f>
        <v/>
      </c>
      <c r="P1349" s="7"/>
    </row>
    <row r="1350" customFormat="false" ht="15" hidden="false" customHeight="false" outlineLevel="0" collapsed="false">
      <c r="A1350" s="7" t="s">
        <v>133</v>
      </c>
      <c r="B1350" s="7" t="s">
        <v>1882</v>
      </c>
      <c r="C1350" s="7" t="s">
        <v>133</v>
      </c>
      <c r="D1350" s="6" t="s">
        <v>133</v>
      </c>
      <c r="E1350" s="6" t="s">
        <v>1880</v>
      </c>
      <c r="F1350" s="7" t="str">
        <f aca="false">IF($D1350="","",IFERROR(IF(INDEX(Hierarchy!$B$2:$B$1295,MATCH($D1350,Hierarchy!$A$2:$A$1295,0))="","",INDEX(Hierarchy!$B$2:$B$1295,MATCH($D1350,Hierarchy!$A$2:$A$1295,0))),"NODE NOT FOUND"))</f>
        <v>City</v>
      </c>
      <c r="G1350" s="7" t="str">
        <f aca="false">IF($D1350="","",IFERROR(IF(INDEX(Hierarchy!$D$2:$D$1295,MATCH($D1350,Hierarchy!$A$2:$A$1295,0))="","",INDEX(Hierarchy!$D$2:$D$1295,MATCH($D1350,Hierarchy!$A$2:$A$1295,0))),"NODE NOT FOUND"))</f>
        <v>AMER</v>
      </c>
      <c r="H1350" s="7" t="str">
        <f aca="false">IF($D1350="","",IFERROR(IF(INDEX(Hierarchy!$E$2:$E$1295,MATCH($D1350,Hierarchy!$A$2:$A$1295,0))="","",INDEX(Hierarchy!$E$2:$E$1295,MATCH($D1350,Hierarchy!$A$2:$A$1295,0))),"NODE NOT FOUND"))</f>
        <v>North America (NORAM)</v>
      </c>
      <c r="I1350" s="7" t="str">
        <f aca="false">IF($D1350="","",IFERROR(IF(INDEX(Hierarchy!$F$2:$F$1295,MATCH($D1350,Hierarchy!$A$2:$A$1295,0))="","",INDEX(Hierarchy!$F$2:$F$1295,MATCH($D1350,Hierarchy!$A$2:$A$1295,0))),"NODE NOT FOUND"))</f>
        <v>United States</v>
      </c>
      <c r="J1350" s="7" t="str">
        <f aca="false">IF($D1350="","",IFERROR(IF(INDEX(Hierarchy!$G$2:$G$1295,MATCH($D1350,Hierarchy!$A$2:$A$1295,0))="","",INDEX(Hierarchy!$G$2:$G$1295,MATCH($D1350,Hierarchy!$A$2:$A$1295,0))),"NODE NOT FOUND"))</f>
        <v>USA</v>
      </c>
      <c r="K1350" s="7" t="str">
        <f aca="false">IF($D1350="","",IFERROR(IF(INDEX(Hierarchy!$H$2:$H$1295,MATCH($D1350,Hierarchy!$A$2:$A$1295,0))="","",INDEX(Hierarchy!$H$2:$H$1295,MATCH($D1350,Hierarchy!$A$2:$A$1295,0))),"NODE NOT FOUND"))</f>
        <v>Arizona</v>
      </c>
      <c r="L1350" s="7" t="str">
        <f aca="false">IF($D1350="","",IFERROR(IF(INDEX(Hierarchy!$I$2:$I$1295,MATCH($D1350,Hierarchy!$A$2:$A$1295,0))="","",INDEX(Hierarchy!$I$2:$I$1295,MATCH($D1350,Hierarchy!$A$2:$A$1295,0))),"NODE NOT FOUND"))</f>
        <v>Phoenix</v>
      </c>
      <c r="M1350" s="17" t="str">
        <f aca="false">IF(B1350="Pre-seeded","Pre-seeded",IF(B1350="Review 2026-09-16","Added from review",IF(C1350="","New",IF(C1350=D1350,"","Changed"))))</f>
        <v/>
      </c>
      <c r="N1350" s="7" t="str">
        <f aca="false">TRIM(SUBSTITUTE(SUBSTITUTE(SUBSTITUTE(" "&amp;TRIM(SUBSTITUTE(SUBSTITUTE(SUBSTITUTE(SUBSTITUTE(SUBSTITUTE(SUBSTITUTE(SUBSTITUTE(SUBSTITUTE(SUBSTITUTE(SUBSTITUTE(SUBSTITUTE(SUBSTITUTE(SUBSTITUTE(SUBSTITUTE(SUBSTITUTE(UPPER(TRIM(A1350)),"[MEMBER]",""),"{MEMBER}",""),"[MEMBER}",""),"MEMBER]",""),"(A)",""),"""",""),"“",""),"”",""),".",""),":",""),",",""),"–"," "),"-"," "),"/"," "),"&amp;"," AND "))&amp;" "," THE "," ")," TOTAL "," ")," OPERATIONS "," "))</f>
        <v>PHOENIX</v>
      </c>
      <c r="O1350" s="17" t="str">
        <f aca="false">IF(COUNTIFS($N$2:$N$2000,N1350,$D$2:$D$2000,"&lt;&gt;"&amp;D1350)&gt;0,"CONFLICT","")</f>
        <v/>
      </c>
      <c r="P1350" s="7"/>
    </row>
    <row r="1351" customFormat="false" ht="15" hidden="false" customHeight="false" outlineLevel="0" collapsed="false">
      <c r="A1351" s="7" t="s">
        <v>364</v>
      </c>
      <c r="B1351" s="7" t="s">
        <v>1879</v>
      </c>
      <c r="C1351" s="7"/>
      <c r="D1351" s="6" t="s">
        <v>364</v>
      </c>
      <c r="E1351" s="6" t="s">
        <v>1880</v>
      </c>
      <c r="F1351" s="7" t="str">
        <f aca="false">IF($D1351="","",IFERROR(IF(INDEX(Hierarchy!$B$2:$B$1295,MATCH($D1351,Hierarchy!$A$2:$A$1295,0))="","",INDEX(Hierarchy!$B$2:$B$1295,MATCH($D1351,Hierarchy!$A$2:$A$1295,0))),"NODE NOT FOUND"))</f>
        <v>State/Province</v>
      </c>
      <c r="G1351" s="7" t="str">
        <f aca="false">IF($D1351="","",IFERROR(IF(INDEX(Hierarchy!$D$2:$D$1295,MATCH($D1351,Hierarchy!$A$2:$A$1295,0))="","",INDEX(Hierarchy!$D$2:$D$1295,MATCH($D1351,Hierarchy!$A$2:$A$1295,0))),"NODE NOT FOUND"))</f>
        <v>AMER</v>
      </c>
      <c r="H1351" s="7" t="str">
        <f aca="false">IF($D1351="","",IFERROR(IF(INDEX(Hierarchy!$E$2:$E$1295,MATCH($D1351,Hierarchy!$A$2:$A$1295,0))="","",INDEX(Hierarchy!$E$2:$E$1295,MATCH($D1351,Hierarchy!$A$2:$A$1295,0))),"NODE NOT FOUND"))</f>
        <v>Latin America (LATAM)</v>
      </c>
      <c r="I1351" s="7" t="str">
        <f aca="false">IF($D1351="","",IFERROR(IF(INDEX(Hierarchy!$F$2:$F$1295,MATCH($D1351,Hierarchy!$A$2:$A$1295,0))="","",INDEX(Hierarchy!$F$2:$F$1295,MATCH($D1351,Hierarchy!$A$2:$A$1295,0))),"NODE NOT FOUND"))</f>
        <v>Brazil</v>
      </c>
      <c r="J1351" s="7" t="str">
        <f aca="false">IF($D1351="","",IFERROR(IF(INDEX(Hierarchy!$G$2:$G$1295,MATCH($D1351,Hierarchy!$A$2:$A$1295,0))="","",INDEX(Hierarchy!$G$2:$G$1295,MATCH($D1351,Hierarchy!$A$2:$A$1295,0))),"NODE NOT FOUND"))</f>
        <v>BRA</v>
      </c>
      <c r="K1351" s="7" t="str">
        <f aca="false">IF($D1351="","",IFERROR(IF(INDEX(Hierarchy!$H$2:$H$1295,MATCH($D1351,Hierarchy!$A$2:$A$1295,0))="","",INDEX(Hierarchy!$H$2:$H$1295,MATCH($D1351,Hierarchy!$A$2:$A$1295,0))),"NODE NOT FOUND"))</f>
        <v>Piauí</v>
      </c>
      <c r="L1351" s="7" t="str">
        <f aca="false">IF($D1351="","",IFERROR(IF(INDEX(Hierarchy!$I$2:$I$1295,MATCH($D1351,Hierarchy!$A$2:$A$1295,0))="","",INDEX(Hierarchy!$I$2:$I$1295,MATCH($D1351,Hierarchy!$A$2:$A$1295,0))),"NODE NOT FOUND"))</f>
        <v/>
      </c>
      <c r="M1351" s="17" t="str">
        <f aca="false">IF(B1351="Pre-seeded","Pre-seeded",IF(B1351="Review 2026-09-16","Added from review",IF(C1351="","New",IF(C1351=D1351,"","Changed"))))</f>
        <v>Pre-seeded</v>
      </c>
      <c r="N1351" s="7" t="str">
        <f aca="false">TRIM(SUBSTITUTE(SUBSTITUTE(SUBSTITUTE(" "&amp;TRIM(SUBSTITUTE(SUBSTITUTE(SUBSTITUTE(SUBSTITUTE(SUBSTITUTE(SUBSTITUTE(SUBSTITUTE(SUBSTITUTE(SUBSTITUTE(SUBSTITUTE(SUBSTITUTE(SUBSTITUTE(SUBSTITUTE(SUBSTITUTE(SUBSTITUTE(UPPER(TRIM(A1351)),"[MEMBER]",""),"{MEMBER}",""),"[MEMBER}",""),"MEMBER]",""),"(A)",""),"""",""),"“",""),"”",""),".",""),":",""),",",""),"–"," "),"-"," "),"/"," "),"&amp;"," AND "))&amp;" "," THE "," ")," TOTAL "," ")," OPERATIONS "," "))</f>
        <v>PIAUÍ</v>
      </c>
      <c r="O1351" s="17" t="str">
        <f aca="false">IF(COUNTIFS($N$2:$N$2000,N1351,$D$2:$D$2000,"&lt;&gt;"&amp;D1351)&gt;0,"CONFLICT","")</f>
        <v/>
      </c>
      <c r="P1351" s="7"/>
    </row>
    <row r="1352" customFormat="false" ht="15" hidden="false" customHeight="false" outlineLevel="0" collapsed="false">
      <c r="A1352" s="7" t="s">
        <v>845</v>
      </c>
      <c r="B1352" s="7" t="s">
        <v>1879</v>
      </c>
      <c r="C1352" s="7"/>
      <c r="D1352" s="6" t="s">
        <v>845</v>
      </c>
      <c r="E1352" s="6" t="s">
        <v>1880</v>
      </c>
      <c r="F1352" s="7" t="str">
        <f aca="false">IF($D1352="","",IFERROR(IF(INDEX(Hierarchy!$B$2:$B$1295,MATCH($D1352,Hierarchy!$A$2:$A$1295,0))="","",INDEX(Hierarchy!$B$2:$B$1295,MATCH($D1352,Hierarchy!$A$2:$A$1295,0))),"NODE NOT FOUND"))</f>
        <v>State/Province</v>
      </c>
      <c r="G1352" s="7" t="str">
        <f aca="false">IF($D1352="","",IFERROR(IF(INDEX(Hierarchy!$D$2:$D$1295,MATCH($D1352,Hierarchy!$A$2:$A$1295,0))="","",INDEX(Hierarchy!$D$2:$D$1295,MATCH($D1352,Hierarchy!$A$2:$A$1295,0))),"NODE NOT FOUND"))</f>
        <v>EMEA</v>
      </c>
      <c r="H1352" s="7" t="str">
        <f aca="false">IF($D1352="","",IFERROR(IF(INDEX(Hierarchy!$E$2:$E$1295,MATCH($D1352,Hierarchy!$A$2:$A$1295,0))="","",INDEX(Hierarchy!$E$2:$E$1295,MATCH($D1352,Hierarchy!$A$2:$A$1295,0))),"NODE NOT FOUND"))</f>
        <v>Europe</v>
      </c>
      <c r="I1352" s="7" t="str">
        <f aca="false">IF($D1352="","",IFERROR(IF(INDEX(Hierarchy!$F$2:$F$1295,MATCH($D1352,Hierarchy!$A$2:$A$1295,0))="","",INDEX(Hierarchy!$F$2:$F$1295,MATCH($D1352,Hierarchy!$A$2:$A$1295,0))),"NODE NOT FOUND"))</f>
        <v>Italy</v>
      </c>
      <c r="J1352" s="7" t="str">
        <f aca="false">IF($D1352="","",IFERROR(IF(INDEX(Hierarchy!$G$2:$G$1295,MATCH($D1352,Hierarchy!$A$2:$A$1295,0))="","",INDEX(Hierarchy!$G$2:$G$1295,MATCH($D1352,Hierarchy!$A$2:$A$1295,0))),"NODE NOT FOUND"))</f>
        <v>ITA</v>
      </c>
      <c r="K1352" s="7" t="str">
        <f aca="false">IF($D1352="","",IFERROR(IF(INDEX(Hierarchy!$H$2:$H$1295,MATCH($D1352,Hierarchy!$A$2:$A$1295,0))="","",INDEX(Hierarchy!$H$2:$H$1295,MATCH($D1352,Hierarchy!$A$2:$A$1295,0))),"NODE NOT FOUND"))</f>
        <v>Piedmont</v>
      </c>
      <c r="L1352" s="7" t="str">
        <f aca="false">IF($D1352="","",IFERROR(IF(INDEX(Hierarchy!$I$2:$I$1295,MATCH($D1352,Hierarchy!$A$2:$A$1295,0))="","",INDEX(Hierarchy!$I$2:$I$1295,MATCH($D1352,Hierarchy!$A$2:$A$1295,0))),"NODE NOT FOUND"))</f>
        <v/>
      </c>
      <c r="M1352" s="17" t="str">
        <f aca="false">IF(B1352="Pre-seeded","Pre-seeded",IF(B1352="Review 2026-09-16","Added from review",IF(C1352="","New",IF(C1352=D1352,"","Changed"))))</f>
        <v>Pre-seeded</v>
      </c>
      <c r="N1352" s="7" t="str">
        <f aca="false">TRIM(SUBSTITUTE(SUBSTITUTE(SUBSTITUTE(" "&amp;TRIM(SUBSTITUTE(SUBSTITUTE(SUBSTITUTE(SUBSTITUTE(SUBSTITUTE(SUBSTITUTE(SUBSTITUTE(SUBSTITUTE(SUBSTITUTE(SUBSTITUTE(SUBSTITUTE(SUBSTITUTE(SUBSTITUTE(SUBSTITUTE(SUBSTITUTE(UPPER(TRIM(A1352)),"[MEMBER]",""),"{MEMBER}",""),"[MEMBER}",""),"MEMBER]",""),"(A)",""),"""",""),"“",""),"”",""),".",""),":",""),",",""),"–"," "),"-"," "),"/"," "),"&amp;"," AND "))&amp;" "," THE "," ")," TOTAL "," ")," OPERATIONS "," "))</f>
        <v>PIEDMONT</v>
      </c>
      <c r="O1352" s="17" t="str">
        <f aca="false">IF(COUNTIFS($N$2:$N$2000,N1352,$D$2:$D$2000,"&lt;&gt;"&amp;D1352)&gt;0,"CONFLICT","")</f>
        <v/>
      </c>
      <c r="P1352" s="7"/>
    </row>
    <row r="1353" customFormat="false" ht="15" hidden="false" customHeight="false" outlineLevel="0" collapsed="false">
      <c r="A1353" s="7" t="s">
        <v>2558</v>
      </c>
      <c r="B1353" s="7" t="s">
        <v>1879</v>
      </c>
      <c r="C1353" s="7"/>
      <c r="D1353" s="6" t="s">
        <v>845</v>
      </c>
      <c r="E1353" s="6" t="s">
        <v>1880</v>
      </c>
      <c r="F1353" s="7" t="str">
        <f aca="false">IF($D1353="","",IFERROR(IF(INDEX(Hierarchy!$B$2:$B$1295,MATCH($D1353,Hierarchy!$A$2:$A$1295,0))="","",INDEX(Hierarchy!$B$2:$B$1295,MATCH($D1353,Hierarchy!$A$2:$A$1295,0))),"NODE NOT FOUND"))</f>
        <v>State/Province</v>
      </c>
      <c r="G1353" s="7" t="str">
        <f aca="false">IF($D1353="","",IFERROR(IF(INDEX(Hierarchy!$D$2:$D$1295,MATCH($D1353,Hierarchy!$A$2:$A$1295,0))="","",INDEX(Hierarchy!$D$2:$D$1295,MATCH($D1353,Hierarchy!$A$2:$A$1295,0))),"NODE NOT FOUND"))</f>
        <v>EMEA</v>
      </c>
      <c r="H1353" s="7" t="str">
        <f aca="false">IF($D1353="","",IFERROR(IF(INDEX(Hierarchy!$E$2:$E$1295,MATCH($D1353,Hierarchy!$A$2:$A$1295,0))="","",INDEX(Hierarchy!$E$2:$E$1295,MATCH($D1353,Hierarchy!$A$2:$A$1295,0))),"NODE NOT FOUND"))</f>
        <v>Europe</v>
      </c>
      <c r="I1353" s="7" t="str">
        <f aca="false">IF($D1353="","",IFERROR(IF(INDEX(Hierarchy!$F$2:$F$1295,MATCH($D1353,Hierarchy!$A$2:$A$1295,0))="","",INDEX(Hierarchy!$F$2:$F$1295,MATCH($D1353,Hierarchy!$A$2:$A$1295,0))),"NODE NOT FOUND"))</f>
        <v>Italy</v>
      </c>
      <c r="J1353" s="7" t="str">
        <f aca="false">IF($D1353="","",IFERROR(IF(INDEX(Hierarchy!$G$2:$G$1295,MATCH($D1353,Hierarchy!$A$2:$A$1295,0))="","",INDEX(Hierarchy!$G$2:$G$1295,MATCH($D1353,Hierarchy!$A$2:$A$1295,0))),"NODE NOT FOUND"))</f>
        <v>ITA</v>
      </c>
      <c r="K1353" s="7" t="str">
        <f aca="false">IF($D1353="","",IFERROR(IF(INDEX(Hierarchy!$H$2:$H$1295,MATCH($D1353,Hierarchy!$A$2:$A$1295,0))="","",INDEX(Hierarchy!$H$2:$H$1295,MATCH($D1353,Hierarchy!$A$2:$A$1295,0))),"NODE NOT FOUND"))</f>
        <v>Piedmont</v>
      </c>
      <c r="L1353" s="7" t="str">
        <f aca="false">IF($D1353="","",IFERROR(IF(INDEX(Hierarchy!$I$2:$I$1295,MATCH($D1353,Hierarchy!$A$2:$A$1295,0))="","",INDEX(Hierarchy!$I$2:$I$1295,MATCH($D1353,Hierarchy!$A$2:$A$1295,0))),"NODE NOT FOUND"))</f>
        <v/>
      </c>
      <c r="M1353" s="17" t="str">
        <f aca="false">IF(B1353="Pre-seeded","Pre-seeded",IF(B1353="Review 2026-09-16","Added from review",IF(C1353="","New",IF(C1353=D1353,"","Changed"))))</f>
        <v>Pre-seeded</v>
      </c>
      <c r="N1353" s="7" t="str">
        <f aca="false">TRIM(SUBSTITUTE(SUBSTITUTE(SUBSTITUTE(" "&amp;TRIM(SUBSTITUTE(SUBSTITUTE(SUBSTITUTE(SUBSTITUTE(SUBSTITUTE(SUBSTITUTE(SUBSTITUTE(SUBSTITUTE(SUBSTITUTE(SUBSTITUTE(SUBSTITUTE(SUBSTITUTE(SUBSTITUTE(SUBSTITUTE(SUBSTITUTE(UPPER(TRIM(A1353)),"[MEMBER]",""),"{MEMBER}",""),"[MEMBER}",""),"MEMBER]",""),"(A)",""),"""",""),"“",""),"”",""),".",""),":",""),",",""),"–"," "),"-"," "),"/"," "),"&amp;"," AND "))&amp;" "," THE "," ")," TOTAL "," ")," OPERATIONS "," "))</f>
        <v>PIEMONTE</v>
      </c>
      <c r="O1353" s="17" t="str">
        <f aca="false">IF(COUNTIFS($N$2:$N$2000,N1353,$D$2:$D$2000,"&lt;&gt;"&amp;D1353)&gt;0,"CONFLICT","")</f>
        <v/>
      </c>
      <c r="P1353" s="7"/>
    </row>
    <row r="1354" customFormat="false" ht="15" hidden="false" customHeight="false" outlineLevel="0" collapsed="false">
      <c r="A1354" s="7" t="s">
        <v>1768</v>
      </c>
      <c r="B1354" s="7" t="s">
        <v>1879</v>
      </c>
      <c r="C1354" s="7"/>
      <c r="D1354" s="6" t="s">
        <v>1768</v>
      </c>
      <c r="E1354" s="6" t="s">
        <v>1880</v>
      </c>
      <c r="F1354" s="7" t="str">
        <f aca="false">IF($D1354="","",IFERROR(IF(INDEX(Hierarchy!$B$2:$B$1295,MATCH($D1354,Hierarchy!$A$2:$A$1295,0))="","",INDEX(Hierarchy!$B$2:$B$1295,MATCH($D1354,Hierarchy!$A$2:$A$1295,0))),"NODE NOT FOUND"))</f>
        <v>Country</v>
      </c>
      <c r="G1354" s="7" t="str">
        <f aca="false">IF($D1354="","",IFERROR(IF(INDEX(Hierarchy!$D$2:$D$1295,MATCH($D1354,Hierarchy!$A$2:$A$1295,0))="","",INDEX(Hierarchy!$D$2:$D$1295,MATCH($D1354,Hierarchy!$A$2:$A$1295,0))),"NODE NOT FOUND"))</f>
        <v>APAC</v>
      </c>
      <c r="H1354" s="7" t="str">
        <f aca="false">IF($D1354="","",IFERROR(IF(INDEX(Hierarchy!$E$2:$E$1295,MATCH($D1354,Hierarchy!$A$2:$A$1295,0))="","",INDEX(Hierarchy!$E$2:$E$1295,MATCH($D1354,Hierarchy!$A$2:$A$1295,0))),"NODE NOT FOUND"))</f>
        <v>Oceania (ANZ)</v>
      </c>
      <c r="I1354" s="7" t="str">
        <f aca="false">IF($D1354="","",IFERROR(IF(INDEX(Hierarchy!$F$2:$F$1295,MATCH($D1354,Hierarchy!$A$2:$A$1295,0))="","",INDEX(Hierarchy!$F$2:$F$1295,MATCH($D1354,Hierarchy!$A$2:$A$1295,0))),"NODE NOT FOUND"))</f>
        <v>Pitcairn</v>
      </c>
      <c r="J1354" s="7" t="str">
        <f aca="false">IF($D1354="","",IFERROR(IF(INDEX(Hierarchy!$G$2:$G$1295,MATCH($D1354,Hierarchy!$A$2:$A$1295,0))="","",INDEX(Hierarchy!$G$2:$G$1295,MATCH($D1354,Hierarchy!$A$2:$A$1295,0))),"NODE NOT FOUND"))</f>
        <v>PCN</v>
      </c>
      <c r="K1354" s="7" t="str">
        <f aca="false">IF($D1354="","",IFERROR(IF(INDEX(Hierarchy!$H$2:$H$1295,MATCH($D1354,Hierarchy!$A$2:$A$1295,0))="","",INDEX(Hierarchy!$H$2:$H$1295,MATCH($D1354,Hierarchy!$A$2:$A$1295,0))),"NODE NOT FOUND"))</f>
        <v/>
      </c>
      <c r="L1354" s="7" t="str">
        <f aca="false">IF($D1354="","",IFERROR(IF(INDEX(Hierarchy!$I$2:$I$1295,MATCH($D1354,Hierarchy!$A$2:$A$1295,0))="","",INDEX(Hierarchy!$I$2:$I$1295,MATCH($D1354,Hierarchy!$A$2:$A$1295,0))),"NODE NOT FOUND"))</f>
        <v/>
      </c>
      <c r="M1354" s="17" t="str">
        <f aca="false">IF(B1354="Pre-seeded","Pre-seeded",IF(B1354="Review 2026-09-16","Added from review",IF(C1354="","New",IF(C1354=D1354,"","Changed"))))</f>
        <v>Pre-seeded</v>
      </c>
      <c r="N1354" s="7" t="str">
        <f aca="false">TRIM(SUBSTITUTE(SUBSTITUTE(SUBSTITUTE(" "&amp;TRIM(SUBSTITUTE(SUBSTITUTE(SUBSTITUTE(SUBSTITUTE(SUBSTITUTE(SUBSTITUTE(SUBSTITUTE(SUBSTITUTE(SUBSTITUTE(SUBSTITUTE(SUBSTITUTE(SUBSTITUTE(SUBSTITUTE(SUBSTITUTE(SUBSTITUTE(UPPER(TRIM(A1354)),"[MEMBER]",""),"{MEMBER}",""),"[MEMBER}",""),"MEMBER]",""),"(A)",""),"""",""),"“",""),"”",""),".",""),":",""),",",""),"–"," "),"-"," "),"/"," "),"&amp;"," AND "))&amp;" "," THE "," ")," TOTAL "," ")," OPERATIONS "," "))</f>
        <v>PITCAIRN</v>
      </c>
      <c r="O1354" s="17" t="str">
        <f aca="false">IF(COUNTIFS($N$2:$N$2000,N1354,$D$2:$D$2000,"&lt;&gt;"&amp;D1354)&gt;0,"CONFLICT","")</f>
        <v/>
      </c>
      <c r="P1354" s="7"/>
    </row>
    <row r="1355" customFormat="false" ht="15" hidden="false" customHeight="false" outlineLevel="0" collapsed="false">
      <c r="A1355" s="7" t="s">
        <v>1164</v>
      </c>
      <c r="B1355" s="7" t="s">
        <v>1879</v>
      </c>
      <c r="C1355" s="7"/>
      <c r="D1355" s="6" t="s">
        <v>1164</v>
      </c>
      <c r="E1355" s="6" t="s">
        <v>1880</v>
      </c>
      <c r="F1355" s="7" t="str">
        <f aca="false">IF($D1355="","",IFERROR(IF(INDEX(Hierarchy!$B$2:$B$1295,MATCH($D1355,Hierarchy!$A$2:$A$1295,0))="","",INDEX(Hierarchy!$B$2:$B$1295,MATCH($D1355,Hierarchy!$A$2:$A$1295,0))),"NODE NOT FOUND"))</f>
        <v>State/Province</v>
      </c>
      <c r="G1355" s="7" t="str">
        <f aca="false">IF($D1355="","",IFERROR(IF(INDEX(Hierarchy!$D$2:$D$1295,MATCH($D1355,Hierarchy!$A$2:$A$1295,0))="","",INDEX(Hierarchy!$D$2:$D$1295,MATCH($D1355,Hierarchy!$A$2:$A$1295,0))),"NODE NOT FOUND"))</f>
        <v>EMEA</v>
      </c>
      <c r="H1355" s="7" t="str">
        <f aca="false">IF($D1355="","",IFERROR(IF(INDEX(Hierarchy!$E$2:$E$1295,MATCH($D1355,Hierarchy!$A$2:$A$1295,0))="","",INDEX(Hierarchy!$E$2:$E$1295,MATCH($D1355,Hierarchy!$A$2:$A$1295,0))),"NODE NOT FOUND"))</f>
        <v>Africa</v>
      </c>
      <c r="I1355" s="7" t="str">
        <f aca="false">IF($D1355="","",IFERROR(IF(INDEX(Hierarchy!$F$2:$F$1295,MATCH($D1355,Hierarchy!$A$2:$A$1295,0))="","",INDEX(Hierarchy!$F$2:$F$1295,MATCH($D1355,Hierarchy!$A$2:$A$1295,0))),"NODE NOT FOUND"))</f>
        <v>Nigeria</v>
      </c>
      <c r="J1355" s="7" t="str">
        <f aca="false">IF($D1355="","",IFERROR(IF(INDEX(Hierarchy!$G$2:$G$1295,MATCH($D1355,Hierarchy!$A$2:$A$1295,0))="","",INDEX(Hierarchy!$G$2:$G$1295,MATCH($D1355,Hierarchy!$A$2:$A$1295,0))),"NODE NOT FOUND"))</f>
        <v>NGA</v>
      </c>
      <c r="K1355" s="7" t="str">
        <f aca="false">IF($D1355="","",IFERROR(IF(INDEX(Hierarchy!$H$2:$H$1295,MATCH($D1355,Hierarchy!$A$2:$A$1295,0))="","",INDEX(Hierarchy!$H$2:$H$1295,MATCH($D1355,Hierarchy!$A$2:$A$1295,0))),"NODE NOT FOUND"))</f>
        <v>Plateau</v>
      </c>
      <c r="L1355" s="7" t="str">
        <f aca="false">IF($D1355="","",IFERROR(IF(INDEX(Hierarchy!$I$2:$I$1295,MATCH($D1355,Hierarchy!$A$2:$A$1295,0))="","",INDEX(Hierarchy!$I$2:$I$1295,MATCH($D1355,Hierarchy!$A$2:$A$1295,0))),"NODE NOT FOUND"))</f>
        <v/>
      </c>
      <c r="M1355" s="17" t="str">
        <f aca="false">IF(B1355="Pre-seeded","Pre-seeded",IF(B1355="Review 2026-09-16","Added from review",IF(C1355="","New",IF(C1355=D1355,"","Changed"))))</f>
        <v>Pre-seeded</v>
      </c>
      <c r="N1355" s="7" t="str">
        <f aca="false">TRIM(SUBSTITUTE(SUBSTITUTE(SUBSTITUTE(" "&amp;TRIM(SUBSTITUTE(SUBSTITUTE(SUBSTITUTE(SUBSTITUTE(SUBSTITUTE(SUBSTITUTE(SUBSTITUTE(SUBSTITUTE(SUBSTITUTE(SUBSTITUTE(SUBSTITUTE(SUBSTITUTE(SUBSTITUTE(SUBSTITUTE(SUBSTITUTE(UPPER(TRIM(A1355)),"[MEMBER]",""),"{MEMBER}",""),"[MEMBER}",""),"MEMBER]",""),"(A)",""),"""",""),"“",""),"”",""),".",""),":",""),",",""),"–"," "),"-"," "),"/"," "),"&amp;"," AND "))&amp;" "," THE "," ")," TOTAL "," ")," OPERATIONS "," "))</f>
        <v>PLATEAU</v>
      </c>
      <c r="O1355" s="17" t="str">
        <f aca="false">IF(COUNTIFS($N$2:$N$2000,N1355,$D$2:$D$2000,"&lt;&gt;"&amp;D1355)&gt;0,"CONFLICT","")</f>
        <v/>
      </c>
      <c r="P1355" s="7"/>
    </row>
    <row r="1356" customFormat="false" ht="15" hidden="false" customHeight="false" outlineLevel="0" collapsed="false">
      <c r="A1356" s="7" t="s">
        <v>2559</v>
      </c>
      <c r="B1356" s="7" t="s">
        <v>1879</v>
      </c>
      <c r="C1356" s="7"/>
      <c r="D1356" s="6" t="s">
        <v>465</v>
      </c>
      <c r="E1356" s="6" t="s">
        <v>1880</v>
      </c>
      <c r="F1356" s="7" t="str">
        <f aca="false">IF($D1356="","",IFERROR(IF(INDEX(Hierarchy!$B$2:$B$1295,MATCH($D1356,Hierarchy!$A$2:$A$1295,0))="","",INDEX(Hierarchy!$B$2:$B$1295,MATCH($D1356,Hierarchy!$A$2:$A$1295,0))),"NODE NOT FOUND"))</f>
        <v>Country</v>
      </c>
      <c r="G1356" s="7" t="str">
        <f aca="false">IF($D1356="","",IFERROR(IF(INDEX(Hierarchy!$D$2:$D$1295,MATCH($D1356,Hierarchy!$A$2:$A$1295,0))="","",INDEX(Hierarchy!$D$2:$D$1295,MATCH($D1356,Hierarchy!$A$2:$A$1295,0))),"NODE NOT FOUND"))</f>
        <v>AMER</v>
      </c>
      <c r="H1356" s="7" t="str">
        <f aca="false">IF($D1356="","",IFERROR(IF(INDEX(Hierarchy!$E$2:$E$1295,MATCH($D1356,Hierarchy!$A$2:$A$1295,0))="","",INDEX(Hierarchy!$E$2:$E$1295,MATCH($D1356,Hierarchy!$A$2:$A$1295,0))),"NODE NOT FOUND"))</f>
        <v>Latin America (LATAM)</v>
      </c>
      <c r="I1356" s="7" t="str">
        <f aca="false">IF($D1356="","",IFERROR(IF(INDEX(Hierarchy!$F$2:$F$1295,MATCH($D1356,Hierarchy!$A$2:$A$1295,0))="","",INDEX(Hierarchy!$F$2:$F$1295,MATCH($D1356,Hierarchy!$A$2:$A$1295,0))),"NODE NOT FOUND"))</f>
        <v>Bolivia</v>
      </c>
      <c r="J1356" s="7" t="str">
        <f aca="false">IF($D1356="","",IFERROR(IF(INDEX(Hierarchy!$G$2:$G$1295,MATCH($D1356,Hierarchy!$A$2:$A$1295,0))="","",INDEX(Hierarchy!$G$2:$G$1295,MATCH($D1356,Hierarchy!$A$2:$A$1295,0))),"NODE NOT FOUND"))</f>
        <v>BOL</v>
      </c>
      <c r="K1356" s="7" t="str">
        <f aca="false">IF($D1356="","",IFERROR(IF(INDEX(Hierarchy!$H$2:$H$1295,MATCH($D1356,Hierarchy!$A$2:$A$1295,0))="","",INDEX(Hierarchy!$H$2:$H$1295,MATCH($D1356,Hierarchy!$A$2:$A$1295,0))),"NODE NOT FOUND"))</f>
        <v/>
      </c>
      <c r="L1356" s="7" t="str">
        <f aca="false">IF($D1356="","",IFERROR(IF(INDEX(Hierarchy!$I$2:$I$1295,MATCH($D1356,Hierarchy!$A$2:$A$1295,0))="","",INDEX(Hierarchy!$I$2:$I$1295,MATCH($D1356,Hierarchy!$A$2:$A$1295,0))),"NODE NOT FOUND"))</f>
        <v/>
      </c>
      <c r="M1356" s="17" t="str">
        <f aca="false">IF(B1356="Pre-seeded","Pre-seeded",IF(B1356="Review 2026-09-16","Added from review",IF(C1356="","New",IF(C1356=D1356,"","Changed"))))</f>
        <v>Pre-seeded</v>
      </c>
      <c r="N1356" s="7" t="str">
        <f aca="false">TRIM(SUBSTITUTE(SUBSTITUTE(SUBSTITUTE(" "&amp;TRIM(SUBSTITUTE(SUBSTITUTE(SUBSTITUTE(SUBSTITUTE(SUBSTITUTE(SUBSTITUTE(SUBSTITUTE(SUBSTITUTE(SUBSTITUTE(SUBSTITUTE(SUBSTITUTE(SUBSTITUTE(SUBSTITUTE(SUBSTITUTE(SUBSTITUTE(UPPER(TRIM(A1356)),"[MEMBER]",""),"{MEMBER}",""),"[MEMBER}",""),"MEMBER]",""),"(A)",""),"""",""),"“",""),"”",""),".",""),":",""),",",""),"–"," "),"-"," "),"/"," "),"&amp;"," AND "))&amp;" "," THE "," ")," TOTAL "," ")," OPERATIONS "," "))</f>
        <v>PLURINATIONAL STATE OF BOLIVIA</v>
      </c>
      <c r="O1356" s="17" t="str">
        <f aca="false">IF(COUNTIFS($N$2:$N$2000,N1356,$D$2:$D$2000,"&lt;&gt;"&amp;D1356)&gt;0,"CONFLICT","")</f>
        <v/>
      </c>
      <c r="P1356" s="7" t="s">
        <v>1936</v>
      </c>
    </row>
    <row r="1357" customFormat="false" ht="15" hidden="false" customHeight="false" outlineLevel="0" collapsed="false">
      <c r="A1357" s="7" t="s">
        <v>918</v>
      </c>
      <c r="B1357" s="7" t="s">
        <v>1879</v>
      </c>
      <c r="C1357" s="7"/>
      <c r="D1357" s="6" t="s">
        <v>918</v>
      </c>
      <c r="E1357" s="6" t="s">
        <v>1880</v>
      </c>
      <c r="F1357" s="7" t="str">
        <f aca="false">IF($D1357="","",IFERROR(IF(INDEX(Hierarchy!$B$2:$B$1295,MATCH($D1357,Hierarchy!$A$2:$A$1295,0))="","",INDEX(Hierarchy!$B$2:$B$1295,MATCH($D1357,Hierarchy!$A$2:$A$1295,0))),"NODE NOT FOUND"))</f>
        <v>State/Province</v>
      </c>
      <c r="G1357" s="7" t="str">
        <f aca="false">IF($D1357="","",IFERROR(IF(INDEX(Hierarchy!$D$2:$D$1295,MATCH($D1357,Hierarchy!$A$2:$A$1295,0))="","",INDEX(Hierarchy!$D$2:$D$1295,MATCH($D1357,Hierarchy!$A$2:$A$1295,0))),"NODE NOT FOUND"))</f>
        <v>EMEA</v>
      </c>
      <c r="H1357" s="7" t="str">
        <f aca="false">IF($D1357="","",IFERROR(IF(INDEX(Hierarchy!$E$2:$E$1295,MATCH($D1357,Hierarchy!$A$2:$A$1295,0))="","",INDEX(Hierarchy!$E$2:$E$1295,MATCH($D1357,Hierarchy!$A$2:$A$1295,0))),"NODE NOT FOUND"))</f>
        <v>Europe</v>
      </c>
      <c r="I1357" s="7" t="str">
        <f aca="false">IF($D1357="","",IFERROR(IF(INDEX(Hierarchy!$F$2:$F$1295,MATCH($D1357,Hierarchy!$A$2:$A$1295,0))="","",INDEX(Hierarchy!$F$2:$F$1295,MATCH($D1357,Hierarchy!$A$2:$A$1295,0))),"NODE NOT FOUND"))</f>
        <v>Poland</v>
      </c>
      <c r="J1357" s="7" t="str">
        <f aca="false">IF($D1357="","",IFERROR(IF(INDEX(Hierarchy!$G$2:$G$1295,MATCH($D1357,Hierarchy!$A$2:$A$1295,0))="","",INDEX(Hierarchy!$G$2:$G$1295,MATCH($D1357,Hierarchy!$A$2:$A$1295,0))),"NODE NOT FOUND"))</f>
        <v>POL</v>
      </c>
      <c r="K1357" s="7" t="str">
        <f aca="false">IF($D1357="","",IFERROR(IF(INDEX(Hierarchy!$H$2:$H$1295,MATCH($D1357,Hierarchy!$A$2:$A$1295,0))="","",INDEX(Hierarchy!$H$2:$H$1295,MATCH($D1357,Hierarchy!$A$2:$A$1295,0))),"NODE NOT FOUND"))</f>
        <v>Podlaskie</v>
      </c>
      <c r="L1357" s="7" t="str">
        <f aca="false">IF($D1357="","",IFERROR(IF(INDEX(Hierarchy!$I$2:$I$1295,MATCH($D1357,Hierarchy!$A$2:$A$1295,0))="","",INDEX(Hierarchy!$I$2:$I$1295,MATCH($D1357,Hierarchy!$A$2:$A$1295,0))),"NODE NOT FOUND"))</f>
        <v/>
      </c>
      <c r="M1357" s="17" t="str">
        <f aca="false">IF(B1357="Pre-seeded","Pre-seeded",IF(B1357="Review 2026-09-16","Added from review",IF(C1357="","New",IF(C1357=D1357,"","Changed"))))</f>
        <v>Pre-seeded</v>
      </c>
      <c r="N1357" s="7" t="str">
        <f aca="false">TRIM(SUBSTITUTE(SUBSTITUTE(SUBSTITUTE(" "&amp;TRIM(SUBSTITUTE(SUBSTITUTE(SUBSTITUTE(SUBSTITUTE(SUBSTITUTE(SUBSTITUTE(SUBSTITUTE(SUBSTITUTE(SUBSTITUTE(SUBSTITUTE(SUBSTITUTE(SUBSTITUTE(SUBSTITUTE(SUBSTITUTE(SUBSTITUTE(UPPER(TRIM(A1357)),"[MEMBER]",""),"{MEMBER}",""),"[MEMBER}",""),"MEMBER]",""),"(A)",""),"""",""),"“",""),"”",""),".",""),":",""),",",""),"–"," "),"-"," "),"/"," "),"&amp;"," AND "))&amp;" "," THE "," ")," TOTAL "," ")," OPERATIONS "," "))</f>
        <v>PODLASKIE</v>
      </c>
      <c r="O1357" s="17" t="str">
        <f aca="false">IF(COUNTIFS($N$2:$N$2000,N1357,$D$2:$D$2000,"&lt;&gt;"&amp;D1357)&gt;0,"CONFLICT","")</f>
        <v/>
      </c>
      <c r="P1357" s="7"/>
    </row>
    <row r="1358" customFormat="false" ht="15" hidden="false" customHeight="false" outlineLevel="0" collapsed="false">
      <c r="A1358" s="7" t="s">
        <v>906</v>
      </c>
      <c r="B1358" s="7" t="s">
        <v>1882</v>
      </c>
      <c r="C1358" s="7" t="s">
        <v>906</v>
      </c>
      <c r="D1358" s="6" t="s">
        <v>906</v>
      </c>
      <c r="E1358" s="6" t="s">
        <v>1880</v>
      </c>
      <c r="F1358" s="7" t="str">
        <f aca="false">IF($D1358="","",IFERROR(IF(INDEX(Hierarchy!$B$2:$B$1295,MATCH($D1358,Hierarchy!$A$2:$A$1295,0))="","",INDEX(Hierarchy!$B$2:$B$1295,MATCH($D1358,Hierarchy!$A$2:$A$1295,0))),"NODE NOT FOUND"))</f>
        <v>Country</v>
      </c>
      <c r="G1358" s="7" t="str">
        <f aca="false">IF($D1358="","",IFERROR(IF(INDEX(Hierarchy!$D$2:$D$1295,MATCH($D1358,Hierarchy!$A$2:$A$1295,0))="","",INDEX(Hierarchy!$D$2:$D$1295,MATCH($D1358,Hierarchy!$A$2:$A$1295,0))),"NODE NOT FOUND"))</f>
        <v>EMEA</v>
      </c>
      <c r="H1358" s="7" t="str">
        <f aca="false">IF($D1358="","",IFERROR(IF(INDEX(Hierarchy!$E$2:$E$1295,MATCH($D1358,Hierarchy!$A$2:$A$1295,0))="","",INDEX(Hierarchy!$E$2:$E$1295,MATCH($D1358,Hierarchy!$A$2:$A$1295,0))),"NODE NOT FOUND"))</f>
        <v>Europe</v>
      </c>
      <c r="I1358" s="7" t="str">
        <f aca="false">IF($D1358="","",IFERROR(IF(INDEX(Hierarchy!$F$2:$F$1295,MATCH($D1358,Hierarchy!$A$2:$A$1295,0))="","",INDEX(Hierarchy!$F$2:$F$1295,MATCH($D1358,Hierarchy!$A$2:$A$1295,0))),"NODE NOT FOUND"))</f>
        <v>Poland</v>
      </c>
      <c r="J1358" s="7" t="str">
        <f aca="false">IF($D1358="","",IFERROR(IF(INDEX(Hierarchy!$G$2:$G$1295,MATCH($D1358,Hierarchy!$A$2:$A$1295,0))="","",INDEX(Hierarchy!$G$2:$G$1295,MATCH($D1358,Hierarchy!$A$2:$A$1295,0))),"NODE NOT FOUND"))</f>
        <v>POL</v>
      </c>
      <c r="K1358" s="7" t="str">
        <f aca="false">IF($D1358="","",IFERROR(IF(INDEX(Hierarchy!$H$2:$H$1295,MATCH($D1358,Hierarchy!$A$2:$A$1295,0))="","",INDEX(Hierarchy!$H$2:$H$1295,MATCH($D1358,Hierarchy!$A$2:$A$1295,0))),"NODE NOT FOUND"))</f>
        <v/>
      </c>
      <c r="L1358" s="7" t="str">
        <f aca="false">IF($D1358="","",IFERROR(IF(INDEX(Hierarchy!$I$2:$I$1295,MATCH($D1358,Hierarchy!$A$2:$A$1295,0))="","",INDEX(Hierarchy!$I$2:$I$1295,MATCH($D1358,Hierarchy!$A$2:$A$1295,0))),"NODE NOT FOUND"))</f>
        <v/>
      </c>
      <c r="M1358" s="17" t="str">
        <f aca="false">IF(B1358="Pre-seeded","Pre-seeded",IF(B1358="Review 2026-09-16","Added from review",IF(C1358="","New",IF(C1358=D1358,"","Changed"))))</f>
        <v/>
      </c>
      <c r="N1358" s="7" t="str">
        <f aca="false">TRIM(SUBSTITUTE(SUBSTITUTE(SUBSTITUTE(" "&amp;TRIM(SUBSTITUTE(SUBSTITUTE(SUBSTITUTE(SUBSTITUTE(SUBSTITUTE(SUBSTITUTE(SUBSTITUTE(SUBSTITUTE(SUBSTITUTE(SUBSTITUTE(SUBSTITUTE(SUBSTITUTE(SUBSTITUTE(SUBSTITUTE(SUBSTITUTE(UPPER(TRIM(A1358)),"[MEMBER]",""),"{MEMBER}",""),"[MEMBER}",""),"MEMBER]",""),"(A)",""),"""",""),"“",""),"”",""),".",""),":",""),",",""),"–"," "),"-"," "),"/"," "),"&amp;"," AND "))&amp;" "," THE "," ")," TOTAL "," ")," OPERATIONS "," "))</f>
        <v>POLAND</v>
      </c>
      <c r="O1358" s="17" t="str">
        <f aca="false">IF(COUNTIFS($N$2:$N$2000,N1358,$D$2:$D$2000,"&lt;&gt;"&amp;D1358)&gt;0,"CONFLICT","")</f>
        <v/>
      </c>
      <c r="P1358" s="7"/>
    </row>
    <row r="1359" customFormat="false" ht="15" hidden="false" customHeight="false" outlineLevel="0" collapsed="false">
      <c r="A1359" s="7" t="s">
        <v>2560</v>
      </c>
      <c r="B1359" s="7" t="s">
        <v>1882</v>
      </c>
      <c r="C1359" s="7" t="s">
        <v>906</v>
      </c>
      <c r="D1359" s="6" t="s">
        <v>906</v>
      </c>
      <c r="E1359" s="6" t="s">
        <v>1880</v>
      </c>
      <c r="F1359" s="7" t="str">
        <f aca="false">IF($D1359="","",IFERROR(IF(INDEX(Hierarchy!$B$2:$B$1295,MATCH($D1359,Hierarchy!$A$2:$A$1295,0))="","",INDEX(Hierarchy!$B$2:$B$1295,MATCH($D1359,Hierarchy!$A$2:$A$1295,0))),"NODE NOT FOUND"))</f>
        <v>Country</v>
      </c>
      <c r="G1359" s="7" t="str">
        <f aca="false">IF($D1359="","",IFERROR(IF(INDEX(Hierarchy!$D$2:$D$1295,MATCH($D1359,Hierarchy!$A$2:$A$1295,0))="","",INDEX(Hierarchy!$D$2:$D$1295,MATCH($D1359,Hierarchy!$A$2:$A$1295,0))),"NODE NOT FOUND"))</f>
        <v>EMEA</v>
      </c>
      <c r="H1359" s="7" t="str">
        <f aca="false">IF($D1359="","",IFERROR(IF(INDEX(Hierarchy!$E$2:$E$1295,MATCH($D1359,Hierarchy!$A$2:$A$1295,0))="","",INDEX(Hierarchy!$E$2:$E$1295,MATCH($D1359,Hierarchy!$A$2:$A$1295,0))),"NODE NOT FOUND"))</f>
        <v>Europe</v>
      </c>
      <c r="I1359" s="7" t="str">
        <f aca="false">IF($D1359="","",IFERROR(IF(INDEX(Hierarchy!$F$2:$F$1295,MATCH($D1359,Hierarchy!$A$2:$A$1295,0))="","",INDEX(Hierarchy!$F$2:$F$1295,MATCH($D1359,Hierarchy!$A$2:$A$1295,0))),"NODE NOT FOUND"))</f>
        <v>Poland</v>
      </c>
      <c r="J1359" s="7" t="str">
        <f aca="false">IF($D1359="","",IFERROR(IF(INDEX(Hierarchy!$G$2:$G$1295,MATCH($D1359,Hierarchy!$A$2:$A$1295,0))="","",INDEX(Hierarchy!$G$2:$G$1295,MATCH($D1359,Hierarchy!$A$2:$A$1295,0))),"NODE NOT FOUND"))</f>
        <v>POL</v>
      </c>
      <c r="K1359" s="7" t="str">
        <f aca="false">IF($D1359="","",IFERROR(IF(INDEX(Hierarchy!$H$2:$H$1295,MATCH($D1359,Hierarchy!$A$2:$A$1295,0))="","",INDEX(Hierarchy!$H$2:$H$1295,MATCH($D1359,Hierarchy!$A$2:$A$1295,0))),"NODE NOT FOUND"))</f>
        <v/>
      </c>
      <c r="L1359" s="7" t="str">
        <f aca="false">IF($D1359="","",IFERROR(IF(INDEX(Hierarchy!$I$2:$I$1295,MATCH($D1359,Hierarchy!$A$2:$A$1295,0))="","",INDEX(Hierarchy!$I$2:$I$1295,MATCH($D1359,Hierarchy!$A$2:$A$1295,0))),"NODE NOT FOUND"))</f>
        <v/>
      </c>
      <c r="M1359" s="17" t="str">
        <f aca="false">IF(B1359="Pre-seeded","Pre-seeded",IF(B1359="Review 2026-09-16","Added from review",IF(C1359="","New",IF(C1359=D1359,"","Changed"))))</f>
        <v/>
      </c>
      <c r="N1359" s="7" t="str">
        <f aca="false">TRIM(SUBSTITUTE(SUBSTITUTE(SUBSTITUTE(" "&amp;TRIM(SUBSTITUTE(SUBSTITUTE(SUBSTITUTE(SUBSTITUTE(SUBSTITUTE(SUBSTITUTE(SUBSTITUTE(SUBSTITUTE(SUBSTITUTE(SUBSTITUTE(SUBSTITUTE(SUBSTITUTE(SUBSTITUTE(SUBSTITUTE(SUBSTITUTE(UPPER(TRIM(A1359)),"[MEMBER]",""),"{MEMBER}",""),"[MEMBER}",""),"MEMBER]",""),"(A)",""),"""",""),"“",""),"”",""),".",""),":",""),",",""),"–"," "),"-"," "),"/"," "),"&amp;"," AND "))&amp;" "," THE "," ")," TOTAL "," ")," OPERATIONS "," "))</f>
        <v>POLAND</v>
      </c>
      <c r="O1359" s="17" t="str">
        <f aca="false">IF(COUNTIFS($N$2:$N$2000,N1359,$D$2:$D$2000,"&lt;&gt;"&amp;D1359)&gt;0,"CONFLICT","")</f>
        <v/>
      </c>
      <c r="P1359" s="7"/>
    </row>
    <row r="1360" customFormat="false" ht="15" hidden="false" customHeight="false" outlineLevel="0" collapsed="false">
      <c r="A1360" s="7" t="s">
        <v>1743</v>
      </c>
      <c r="B1360" s="7" t="s">
        <v>1879</v>
      </c>
      <c r="C1360" s="7"/>
      <c r="D1360" s="6" t="s">
        <v>1849</v>
      </c>
      <c r="E1360" s="6" t="s">
        <v>1880</v>
      </c>
      <c r="F1360" s="7" t="str">
        <f aca="false">IF($D1360="","",IFERROR(IF(INDEX(Hierarchy!$B$2:$B$1295,MATCH($D1360,Hierarchy!$A$2:$A$1295,0))="","",INDEX(Hierarchy!$B$2:$B$1295,MATCH($D1360,Hierarchy!$A$2:$A$1295,0))),"NODE NOT FOUND"))</f>
        <v>Reference grouping</v>
      </c>
      <c r="G1360" s="7" t="str">
        <f aca="false">IF($D1360="","",IFERROR(IF(INDEX(Hierarchy!$D$2:$D$1295,MATCH($D1360,Hierarchy!$A$2:$A$1295,0))="","",INDEX(Hierarchy!$D$2:$D$1295,MATCH($D1360,Hierarchy!$A$2:$A$1295,0))),"NODE NOT FOUND"))</f>
        <v>Reference (UN / World Bank)</v>
      </c>
      <c r="H1360" s="7" t="str">
        <f aca="false">IF($D1360="","",IFERROR(IF(INDEX(Hierarchy!$E$2:$E$1295,MATCH($D1360,Hierarchy!$A$2:$A$1295,0))="","",INDEX(Hierarchy!$E$2:$E$1295,MATCH($D1360,Hierarchy!$A$2:$A$1295,0))),"NODE NOT FOUND"))</f>
        <v/>
      </c>
      <c r="I1360" s="7" t="str">
        <f aca="false">IF($D1360="","",IFERROR(IF(INDEX(Hierarchy!$F$2:$F$1295,MATCH($D1360,Hierarchy!$A$2:$A$1295,0))="","",INDEX(Hierarchy!$F$2:$F$1295,MATCH($D1360,Hierarchy!$A$2:$A$1295,0))),"NODE NOT FOUND"))</f>
        <v/>
      </c>
      <c r="J1360" s="7" t="str">
        <f aca="false">IF($D1360="","",IFERROR(IF(INDEX(Hierarchy!$G$2:$G$1295,MATCH($D1360,Hierarchy!$A$2:$A$1295,0))="","",INDEX(Hierarchy!$G$2:$G$1295,MATCH($D1360,Hierarchy!$A$2:$A$1295,0))),"NODE NOT FOUND"))</f>
        <v/>
      </c>
      <c r="K1360" s="7" t="str">
        <f aca="false">IF($D1360="","",IFERROR(IF(INDEX(Hierarchy!$H$2:$H$1295,MATCH($D1360,Hierarchy!$A$2:$A$1295,0))="","",INDEX(Hierarchy!$H$2:$H$1295,MATCH($D1360,Hierarchy!$A$2:$A$1295,0))),"NODE NOT FOUND"))</f>
        <v/>
      </c>
      <c r="L1360" s="7" t="str">
        <f aca="false">IF($D1360="","",IFERROR(IF(INDEX(Hierarchy!$I$2:$I$1295,MATCH($D1360,Hierarchy!$A$2:$A$1295,0))="","",INDEX(Hierarchy!$I$2:$I$1295,MATCH($D1360,Hierarchy!$A$2:$A$1295,0))),"NODE NOT FOUND"))</f>
        <v/>
      </c>
      <c r="M1360" s="17" t="str">
        <f aca="false">IF(B1360="Pre-seeded","Pre-seeded",IF(B1360="Review 2026-09-16","Added from review",IF(C1360="","New",IF(C1360=D1360,"","Changed"))))</f>
        <v>Pre-seeded</v>
      </c>
      <c r="N1360" s="7" t="str">
        <f aca="false">TRIM(SUBSTITUTE(SUBSTITUTE(SUBSTITUTE(" "&amp;TRIM(SUBSTITUTE(SUBSTITUTE(SUBSTITUTE(SUBSTITUTE(SUBSTITUTE(SUBSTITUTE(SUBSTITUTE(SUBSTITUTE(SUBSTITUTE(SUBSTITUTE(SUBSTITUTE(SUBSTITUTE(SUBSTITUTE(SUBSTITUTE(SUBSTITUTE(UPPER(TRIM(A1360)),"[MEMBER]",""),"{MEMBER}",""),"[MEMBER}",""),"MEMBER]",""),"(A)",""),"""",""),"“",""),"”",""),".",""),":",""),",",""),"–"," "),"-"," "),"/"," "),"&amp;"," AND "))&amp;" "," THE "," ")," TOTAL "," ")," OPERATIONS "," "))</f>
        <v>POLYNESIA</v>
      </c>
      <c r="O1360" s="17" t="str">
        <f aca="false">IF(COUNTIFS($N$2:$N$2000,N1360,$D$2:$D$2000,"&lt;&gt;"&amp;D1360)&gt;0,"CONFLICT","")</f>
        <v/>
      </c>
      <c r="P1360" s="7"/>
    </row>
    <row r="1361" customFormat="false" ht="15" hidden="false" customHeight="false" outlineLevel="0" collapsed="false">
      <c r="A1361" s="7" t="s">
        <v>1849</v>
      </c>
      <c r="B1361" s="7" t="s">
        <v>1879</v>
      </c>
      <c r="C1361" s="7"/>
      <c r="D1361" s="6" t="s">
        <v>1849</v>
      </c>
      <c r="E1361" s="6" t="s">
        <v>1880</v>
      </c>
      <c r="F1361" s="7" t="str">
        <f aca="false">IF($D1361="","",IFERROR(IF(INDEX(Hierarchy!$B$2:$B$1295,MATCH($D1361,Hierarchy!$A$2:$A$1295,0))="","",INDEX(Hierarchy!$B$2:$B$1295,MATCH($D1361,Hierarchy!$A$2:$A$1295,0))),"NODE NOT FOUND"))</f>
        <v>Reference grouping</v>
      </c>
      <c r="G1361" s="7" t="str">
        <f aca="false">IF($D1361="","",IFERROR(IF(INDEX(Hierarchy!$D$2:$D$1295,MATCH($D1361,Hierarchy!$A$2:$A$1295,0))="","",INDEX(Hierarchy!$D$2:$D$1295,MATCH($D1361,Hierarchy!$A$2:$A$1295,0))),"NODE NOT FOUND"))</f>
        <v>Reference (UN / World Bank)</v>
      </c>
      <c r="H1361" s="7" t="str">
        <f aca="false">IF($D1361="","",IFERROR(IF(INDEX(Hierarchy!$E$2:$E$1295,MATCH($D1361,Hierarchy!$A$2:$A$1295,0))="","",INDEX(Hierarchy!$E$2:$E$1295,MATCH($D1361,Hierarchy!$A$2:$A$1295,0))),"NODE NOT FOUND"))</f>
        <v/>
      </c>
      <c r="I1361" s="7" t="str">
        <f aca="false">IF($D1361="","",IFERROR(IF(INDEX(Hierarchy!$F$2:$F$1295,MATCH($D1361,Hierarchy!$A$2:$A$1295,0))="","",INDEX(Hierarchy!$F$2:$F$1295,MATCH($D1361,Hierarchy!$A$2:$A$1295,0))),"NODE NOT FOUND"))</f>
        <v/>
      </c>
      <c r="J1361" s="7" t="str">
        <f aca="false">IF($D1361="","",IFERROR(IF(INDEX(Hierarchy!$G$2:$G$1295,MATCH($D1361,Hierarchy!$A$2:$A$1295,0))="","",INDEX(Hierarchy!$G$2:$G$1295,MATCH($D1361,Hierarchy!$A$2:$A$1295,0))),"NODE NOT FOUND"))</f>
        <v/>
      </c>
      <c r="K1361" s="7" t="str">
        <f aca="false">IF($D1361="","",IFERROR(IF(INDEX(Hierarchy!$H$2:$H$1295,MATCH($D1361,Hierarchy!$A$2:$A$1295,0))="","",INDEX(Hierarchy!$H$2:$H$1295,MATCH($D1361,Hierarchy!$A$2:$A$1295,0))),"NODE NOT FOUND"))</f>
        <v/>
      </c>
      <c r="L1361" s="7" t="str">
        <f aca="false">IF($D1361="","",IFERROR(IF(INDEX(Hierarchy!$I$2:$I$1295,MATCH($D1361,Hierarchy!$A$2:$A$1295,0))="","",INDEX(Hierarchy!$I$2:$I$1295,MATCH($D1361,Hierarchy!$A$2:$A$1295,0))),"NODE NOT FOUND"))</f>
        <v/>
      </c>
      <c r="M1361" s="17" t="str">
        <f aca="false">IF(B1361="Pre-seeded","Pre-seeded",IF(B1361="Review 2026-09-16","Added from review",IF(C1361="","New",IF(C1361=D1361,"","Changed"))))</f>
        <v>Pre-seeded</v>
      </c>
      <c r="N1361" s="7" t="str">
        <f aca="false">TRIM(SUBSTITUTE(SUBSTITUTE(SUBSTITUTE(" "&amp;TRIM(SUBSTITUTE(SUBSTITUTE(SUBSTITUTE(SUBSTITUTE(SUBSTITUTE(SUBSTITUTE(SUBSTITUTE(SUBSTITUTE(SUBSTITUTE(SUBSTITUTE(SUBSTITUTE(SUBSTITUTE(SUBSTITUTE(SUBSTITUTE(SUBSTITUTE(UPPER(TRIM(A1361)),"[MEMBER]",""),"{MEMBER}",""),"[MEMBER}",""),"MEMBER]",""),"(A)",""),"""",""),"“",""),"”",""),".",""),":",""),",",""),"–"," "),"-"," "),"/"," "),"&amp;"," AND "))&amp;" "," THE "," ")," TOTAL "," ")," OPERATIONS "," "))</f>
        <v>POLYNESIA (UN M49)</v>
      </c>
      <c r="O1361" s="17" t="str">
        <f aca="false">IF(COUNTIFS($N$2:$N$2000,N1361,$D$2:$D$2000,"&lt;&gt;"&amp;D1361)&gt;0,"CONFLICT","")</f>
        <v/>
      </c>
      <c r="P1361" s="7"/>
    </row>
    <row r="1362" customFormat="false" ht="15" hidden="false" customHeight="false" outlineLevel="0" collapsed="false">
      <c r="A1362" s="7" t="s">
        <v>919</v>
      </c>
      <c r="B1362" s="7" t="s">
        <v>1879</v>
      </c>
      <c r="C1362" s="7"/>
      <c r="D1362" s="6" t="s">
        <v>919</v>
      </c>
      <c r="E1362" s="6" t="s">
        <v>1880</v>
      </c>
      <c r="F1362" s="7" t="str">
        <f aca="false">IF($D1362="","",IFERROR(IF(INDEX(Hierarchy!$B$2:$B$1295,MATCH($D1362,Hierarchy!$A$2:$A$1295,0))="","",INDEX(Hierarchy!$B$2:$B$1295,MATCH($D1362,Hierarchy!$A$2:$A$1295,0))),"NODE NOT FOUND"))</f>
        <v>State/Province</v>
      </c>
      <c r="G1362" s="7" t="str">
        <f aca="false">IF($D1362="","",IFERROR(IF(INDEX(Hierarchy!$D$2:$D$1295,MATCH($D1362,Hierarchy!$A$2:$A$1295,0))="","",INDEX(Hierarchy!$D$2:$D$1295,MATCH($D1362,Hierarchy!$A$2:$A$1295,0))),"NODE NOT FOUND"))</f>
        <v>EMEA</v>
      </c>
      <c r="H1362" s="7" t="str">
        <f aca="false">IF($D1362="","",IFERROR(IF(INDEX(Hierarchy!$E$2:$E$1295,MATCH($D1362,Hierarchy!$A$2:$A$1295,0))="","",INDEX(Hierarchy!$E$2:$E$1295,MATCH($D1362,Hierarchy!$A$2:$A$1295,0))),"NODE NOT FOUND"))</f>
        <v>Europe</v>
      </c>
      <c r="I1362" s="7" t="str">
        <f aca="false">IF($D1362="","",IFERROR(IF(INDEX(Hierarchy!$F$2:$F$1295,MATCH($D1362,Hierarchy!$A$2:$A$1295,0))="","",INDEX(Hierarchy!$F$2:$F$1295,MATCH($D1362,Hierarchy!$A$2:$A$1295,0))),"NODE NOT FOUND"))</f>
        <v>Poland</v>
      </c>
      <c r="J1362" s="7" t="str">
        <f aca="false">IF($D1362="","",IFERROR(IF(INDEX(Hierarchy!$G$2:$G$1295,MATCH($D1362,Hierarchy!$A$2:$A$1295,0))="","",INDEX(Hierarchy!$G$2:$G$1295,MATCH($D1362,Hierarchy!$A$2:$A$1295,0))),"NODE NOT FOUND"))</f>
        <v>POL</v>
      </c>
      <c r="K1362" s="7" t="str">
        <f aca="false">IF($D1362="","",IFERROR(IF(INDEX(Hierarchy!$H$2:$H$1295,MATCH($D1362,Hierarchy!$A$2:$A$1295,0))="","",INDEX(Hierarchy!$H$2:$H$1295,MATCH($D1362,Hierarchy!$A$2:$A$1295,0))),"NODE NOT FOUND"))</f>
        <v>Pomeranian</v>
      </c>
      <c r="L1362" s="7" t="str">
        <f aca="false">IF($D1362="","",IFERROR(IF(INDEX(Hierarchy!$I$2:$I$1295,MATCH($D1362,Hierarchy!$A$2:$A$1295,0))="","",INDEX(Hierarchy!$I$2:$I$1295,MATCH($D1362,Hierarchy!$A$2:$A$1295,0))),"NODE NOT FOUND"))</f>
        <v/>
      </c>
      <c r="M1362" s="17" t="str">
        <f aca="false">IF(B1362="Pre-seeded","Pre-seeded",IF(B1362="Review 2026-09-16","Added from review",IF(C1362="","New",IF(C1362=D1362,"","Changed"))))</f>
        <v>Pre-seeded</v>
      </c>
      <c r="N1362" s="7" t="str">
        <f aca="false">TRIM(SUBSTITUTE(SUBSTITUTE(SUBSTITUTE(" "&amp;TRIM(SUBSTITUTE(SUBSTITUTE(SUBSTITUTE(SUBSTITUTE(SUBSTITUTE(SUBSTITUTE(SUBSTITUTE(SUBSTITUTE(SUBSTITUTE(SUBSTITUTE(SUBSTITUTE(SUBSTITUTE(SUBSTITUTE(SUBSTITUTE(SUBSTITUTE(UPPER(TRIM(A1362)),"[MEMBER]",""),"{MEMBER}",""),"[MEMBER}",""),"MEMBER]",""),"(A)",""),"""",""),"“",""),"”",""),".",""),":",""),",",""),"–"," "),"-"," "),"/"," "),"&amp;"," AND "))&amp;" "," THE "," ")," TOTAL "," ")," OPERATIONS "," "))</f>
        <v>POMERANIAN</v>
      </c>
      <c r="O1362" s="17" t="str">
        <f aca="false">IF(COUNTIFS($N$2:$N$2000,N1362,$D$2:$D$2000,"&lt;&gt;"&amp;D1362)&gt;0,"CONFLICT","")</f>
        <v/>
      </c>
      <c r="P1362" s="7"/>
    </row>
    <row r="1363" customFormat="false" ht="15" hidden="false" customHeight="false" outlineLevel="0" collapsed="false">
      <c r="A1363" s="7" t="s">
        <v>2561</v>
      </c>
      <c r="B1363" s="7" t="s">
        <v>1882</v>
      </c>
      <c r="C1363" s="7" t="s">
        <v>926</v>
      </c>
      <c r="D1363" s="6" t="s">
        <v>926</v>
      </c>
      <c r="E1363" s="6" t="s">
        <v>1880</v>
      </c>
      <c r="F1363" s="7" t="str">
        <f aca="false">IF($D1363="","",IFERROR(IF(INDEX(Hierarchy!$B$2:$B$1295,MATCH($D1363,Hierarchy!$A$2:$A$1295,0))="","",INDEX(Hierarchy!$B$2:$B$1295,MATCH($D1363,Hierarchy!$A$2:$A$1295,0))),"NODE NOT FOUND"))</f>
        <v>Country</v>
      </c>
      <c r="G1363" s="7" t="str">
        <f aca="false">IF($D1363="","",IFERROR(IF(INDEX(Hierarchy!$D$2:$D$1295,MATCH($D1363,Hierarchy!$A$2:$A$1295,0))="","",INDEX(Hierarchy!$D$2:$D$1295,MATCH($D1363,Hierarchy!$A$2:$A$1295,0))),"NODE NOT FOUND"))</f>
        <v>EMEA</v>
      </c>
      <c r="H1363" s="7" t="str">
        <f aca="false">IF($D1363="","",IFERROR(IF(INDEX(Hierarchy!$E$2:$E$1295,MATCH($D1363,Hierarchy!$A$2:$A$1295,0))="","",INDEX(Hierarchy!$E$2:$E$1295,MATCH($D1363,Hierarchy!$A$2:$A$1295,0))),"NODE NOT FOUND"))</f>
        <v>Europe</v>
      </c>
      <c r="I1363" s="7" t="str">
        <f aca="false">IF($D1363="","",IFERROR(IF(INDEX(Hierarchy!$F$2:$F$1295,MATCH($D1363,Hierarchy!$A$2:$A$1295,0))="","",INDEX(Hierarchy!$F$2:$F$1295,MATCH($D1363,Hierarchy!$A$2:$A$1295,0))),"NODE NOT FOUND"))</f>
        <v>Portugal</v>
      </c>
      <c r="J1363" s="7" t="str">
        <f aca="false">IF($D1363="","",IFERROR(IF(INDEX(Hierarchy!$G$2:$G$1295,MATCH($D1363,Hierarchy!$A$2:$A$1295,0))="","",INDEX(Hierarchy!$G$2:$G$1295,MATCH($D1363,Hierarchy!$A$2:$A$1295,0))),"NODE NOT FOUND"))</f>
        <v>PRT</v>
      </c>
      <c r="K1363" s="7" t="str">
        <f aca="false">IF($D1363="","",IFERROR(IF(INDEX(Hierarchy!$H$2:$H$1295,MATCH($D1363,Hierarchy!$A$2:$A$1295,0))="","",INDEX(Hierarchy!$H$2:$H$1295,MATCH($D1363,Hierarchy!$A$2:$A$1295,0))),"NODE NOT FOUND"))</f>
        <v/>
      </c>
      <c r="L1363" s="7" t="str">
        <f aca="false">IF($D1363="","",IFERROR(IF(INDEX(Hierarchy!$I$2:$I$1295,MATCH($D1363,Hierarchy!$A$2:$A$1295,0))="","",INDEX(Hierarchy!$I$2:$I$1295,MATCH($D1363,Hierarchy!$A$2:$A$1295,0))),"NODE NOT FOUND"))</f>
        <v/>
      </c>
      <c r="M1363" s="17" t="str">
        <f aca="false">IF(B1363="Pre-seeded","Pre-seeded",IF(B1363="Review 2026-09-16","Added from review",IF(C1363="","New",IF(C1363=D1363,"","Changed"))))</f>
        <v/>
      </c>
      <c r="N1363" s="7" t="str">
        <f aca="false">TRIM(SUBSTITUTE(SUBSTITUTE(SUBSTITUTE(" "&amp;TRIM(SUBSTITUTE(SUBSTITUTE(SUBSTITUTE(SUBSTITUTE(SUBSTITUTE(SUBSTITUTE(SUBSTITUTE(SUBSTITUTE(SUBSTITUTE(SUBSTITUTE(SUBSTITUTE(SUBSTITUTE(SUBSTITUTE(SUBSTITUTE(SUBSTITUTE(UPPER(TRIM(A1363)),"[MEMBER]",""),"{MEMBER}",""),"[MEMBER}",""),"MEMBER]",""),"(A)",""),"""",""),"“",""),"”",""),".",""),":",""),",",""),"–"," "),"-"," "),"/"," "),"&amp;"," AND "))&amp;" "," THE "," ")," TOTAL "," ")," OPERATIONS "," "))</f>
        <v>PORTUGAL</v>
      </c>
      <c r="O1363" s="17" t="str">
        <f aca="false">IF(COUNTIFS($N$2:$N$2000,N1363,$D$2:$D$2000,"&lt;&gt;"&amp;D1363)&gt;0,"CONFLICT","")</f>
        <v/>
      </c>
      <c r="P1363" s="7"/>
    </row>
    <row r="1364" customFormat="false" ht="15" hidden="false" customHeight="false" outlineLevel="0" collapsed="false">
      <c r="A1364" s="7" t="s">
        <v>926</v>
      </c>
      <c r="B1364" s="7" t="s">
        <v>1882</v>
      </c>
      <c r="C1364" s="7" t="s">
        <v>926</v>
      </c>
      <c r="D1364" s="6" t="s">
        <v>926</v>
      </c>
      <c r="E1364" s="6" t="s">
        <v>1880</v>
      </c>
      <c r="F1364" s="7" t="str">
        <f aca="false">IF($D1364="","",IFERROR(IF(INDEX(Hierarchy!$B$2:$B$1295,MATCH($D1364,Hierarchy!$A$2:$A$1295,0))="","",INDEX(Hierarchy!$B$2:$B$1295,MATCH($D1364,Hierarchy!$A$2:$A$1295,0))),"NODE NOT FOUND"))</f>
        <v>Country</v>
      </c>
      <c r="G1364" s="7" t="str">
        <f aca="false">IF($D1364="","",IFERROR(IF(INDEX(Hierarchy!$D$2:$D$1295,MATCH($D1364,Hierarchy!$A$2:$A$1295,0))="","",INDEX(Hierarchy!$D$2:$D$1295,MATCH($D1364,Hierarchy!$A$2:$A$1295,0))),"NODE NOT FOUND"))</f>
        <v>EMEA</v>
      </c>
      <c r="H1364" s="7" t="str">
        <f aca="false">IF($D1364="","",IFERROR(IF(INDEX(Hierarchy!$E$2:$E$1295,MATCH($D1364,Hierarchy!$A$2:$A$1295,0))="","",INDEX(Hierarchy!$E$2:$E$1295,MATCH($D1364,Hierarchy!$A$2:$A$1295,0))),"NODE NOT FOUND"))</f>
        <v>Europe</v>
      </c>
      <c r="I1364" s="7" t="str">
        <f aca="false">IF($D1364="","",IFERROR(IF(INDEX(Hierarchy!$F$2:$F$1295,MATCH($D1364,Hierarchy!$A$2:$A$1295,0))="","",INDEX(Hierarchy!$F$2:$F$1295,MATCH($D1364,Hierarchy!$A$2:$A$1295,0))),"NODE NOT FOUND"))</f>
        <v>Portugal</v>
      </c>
      <c r="J1364" s="7" t="str">
        <f aca="false">IF($D1364="","",IFERROR(IF(INDEX(Hierarchy!$G$2:$G$1295,MATCH($D1364,Hierarchy!$A$2:$A$1295,0))="","",INDEX(Hierarchy!$G$2:$G$1295,MATCH($D1364,Hierarchy!$A$2:$A$1295,0))),"NODE NOT FOUND"))</f>
        <v>PRT</v>
      </c>
      <c r="K1364" s="7" t="str">
        <f aca="false">IF($D1364="","",IFERROR(IF(INDEX(Hierarchy!$H$2:$H$1295,MATCH($D1364,Hierarchy!$A$2:$A$1295,0))="","",INDEX(Hierarchy!$H$2:$H$1295,MATCH($D1364,Hierarchy!$A$2:$A$1295,0))),"NODE NOT FOUND"))</f>
        <v/>
      </c>
      <c r="L1364" s="7" t="str">
        <f aca="false">IF($D1364="","",IFERROR(IF(INDEX(Hierarchy!$I$2:$I$1295,MATCH($D1364,Hierarchy!$A$2:$A$1295,0))="","",INDEX(Hierarchy!$I$2:$I$1295,MATCH($D1364,Hierarchy!$A$2:$A$1295,0))),"NODE NOT FOUND"))</f>
        <v/>
      </c>
      <c r="M1364" s="17" t="str">
        <f aca="false">IF(B1364="Pre-seeded","Pre-seeded",IF(B1364="Review 2026-09-16","Added from review",IF(C1364="","New",IF(C1364=D1364,"","Changed"))))</f>
        <v/>
      </c>
      <c r="N1364" s="7" t="str">
        <f aca="false">TRIM(SUBSTITUTE(SUBSTITUTE(SUBSTITUTE(" "&amp;TRIM(SUBSTITUTE(SUBSTITUTE(SUBSTITUTE(SUBSTITUTE(SUBSTITUTE(SUBSTITUTE(SUBSTITUTE(SUBSTITUTE(SUBSTITUTE(SUBSTITUTE(SUBSTITUTE(SUBSTITUTE(SUBSTITUTE(SUBSTITUTE(SUBSTITUTE(UPPER(TRIM(A1364)),"[MEMBER]",""),"{MEMBER}",""),"[MEMBER}",""),"MEMBER]",""),"(A)",""),"""",""),"“",""),"”",""),".",""),":",""),",",""),"–"," "),"-"," "),"/"," "),"&amp;"," AND "))&amp;" "," THE "," ")," TOTAL "," ")," OPERATIONS "," "))</f>
        <v>PORTUGAL</v>
      </c>
      <c r="O1364" s="17" t="str">
        <f aca="false">IF(COUNTIFS($N$2:$N$2000,N1364,$D$2:$D$2000,"&lt;&gt;"&amp;D1364)&gt;0,"CONFLICT","")</f>
        <v/>
      </c>
      <c r="P1364" s="7"/>
    </row>
    <row r="1365" customFormat="false" ht="15" hidden="false" customHeight="false" outlineLevel="0" collapsed="false">
      <c r="A1365" s="7" t="s">
        <v>2562</v>
      </c>
      <c r="B1365" s="7" t="s">
        <v>1879</v>
      </c>
      <c r="C1365" s="7"/>
      <c r="D1365" s="6" t="s">
        <v>926</v>
      </c>
      <c r="E1365" s="6" t="s">
        <v>1880</v>
      </c>
      <c r="F1365" s="7" t="str">
        <f aca="false">IF($D1365="","",IFERROR(IF(INDEX(Hierarchy!$B$2:$B$1295,MATCH($D1365,Hierarchy!$A$2:$A$1295,0))="","",INDEX(Hierarchy!$B$2:$B$1295,MATCH($D1365,Hierarchy!$A$2:$A$1295,0))),"NODE NOT FOUND"))</f>
        <v>Country</v>
      </c>
      <c r="G1365" s="7" t="str">
        <f aca="false">IF($D1365="","",IFERROR(IF(INDEX(Hierarchy!$D$2:$D$1295,MATCH($D1365,Hierarchy!$A$2:$A$1295,0))="","",INDEX(Hierarchy!$D$2:$D$1295,MATCH($D1365,Hierarchy!$A$2:$A$1295,0))),"NODE NOT FOUND"))</f>
        <v>EMEA</v>
      </c>
      <c r="H1365" s="7" t="str">
        <f aca="false">IF($D1365="","",IFERROR(IF(INDEX(Hierarchy!$E$2:$E$1295,MATCH($D1365,Hierarchy!$A$2:$A$1295,0))="","",INDEX(Hierarchy!$E$2:$E$1295,MATCH($D1365,Hierarchy!$A$2:$A$1295,0))),"NODE NOT FOUND"))</f>
        <v>Europe</v>
      </c>
      <c r="I1365" s="7" t="str">
        <f aca="false">IF($D1365="","",IFERROR(IF(INDEX(Hierarchy!$F$2:$F$1295,MATCH($D1365,Hierarchy!$A$2:$A$1295,0))="","",INDEX(Hierarchy!$F$2:$F$1295,MATCH($D1365,Hierarchy!$A$2:$A$1295,0))),"NODE NOT FOUND"))</f>
        <v>Portugal</v>
      </c>
      <c r="J1365" s="7" t="str">
        <f aca="false">IF($D1365="","",IFERROR(IF(INDEX(Hierarchy!$G$2:$G$1295,MATCH($D1365,Hierarchy!$A$2:$A$1295,0))="","",INDEX(Hierarchy!$G$2:$G$1295,MATCH($D1365,Hierarchy!$A$2:$A$1295,0))),"NODE NOT FOUND"))</f>
        <v>PRT</v>
      </c>
      <c r="K1365" s="7" t="str">
        <f aca="false">IF($D1365="","",IFERROR(IF(INDEX(Hierarchy!$H$2:$H$1295,MATCH($D1365,Hierarchy!$A$2:$A$1295,0))="","",INDEX(Hierarchy!$H$2:$H$1295,MATCH($D1365,Hierarchy!$A$2:$A$1295,0))),"NODE NOT FOUND"))</f>
        <v/>
      </c>
      <c r="L1365" s="7" t="str">
        <f aca="false">IF($D1365="","",IFERROR(IF(INDEX(Hierarchy!$I$2:$I$1295,MATCH($D1365,Hierarchy!$A$2:$A$1295,0))="","",INDEX(Hierarchy!$I$2:$I$1295,MATCH($D1365,Hierarchy!$A$2:$A$1295,0))),"NODE NOT FOUND"))</f>
        <v/>
      </c>
      <c r="M1365" s="17" t="str">
        <f aca="false">IF(B1365="Pre-seeded","Pre-seeded",IF(B1365="Review 2026-09-16","Added from review",IF(C1365="","New",IF(C1365=D1365,"","Changed"))))</f>
        <v>Pre-seeded</v>
      </c>
      <c r="N1365" s="7" t="str">
        <f aca="false">TRIM(SUBSTITUTE(SUBSTITUTE(SUBSTITUTE(" "&amp;TRIM(SUBSTITUTE(SUBSTITUTE(SUBSTITUTE(SUBSTITUTE(SUBSTITUTE(SUBSTITUTE(SUBSTITUTE(SUBSTITUTE(SUBSTITUTE(SUBSTITUTE(SUBSTITUTE(SUBSTITUTE(SUBSTITUTE(SUBSTITUTE(SUBSTITUTE(UPPER(TRIM(A1365)),"[MEMBER]",""),"{MEMBER}",""),"[MEMBER}",""),"MEMBER]",""),"(A)",""),"""",""),"“",""),"”",""),".",""),":",""),",",""),"–"," "),"-"," "),"/"," "),"&amp;"," AND "))&amp;" "," THE "," ")," TOTAL "," ")," OPERATIONS "," "))</f>
        <v>PORTUGUESE REPUBLIC</v>
      </c>
      <c r="O1365" s="17" t="str">
        <f aca="false">IF(COUNTIFS($N$2:$N$2000,N1365,$D$2:$D$2000,"&lt;&gt;"&amp;D1365)&gt;0,"CONFLICT","")</f>
        <v/>
      </c>
      <c r="P1365" s="7" t="s">
        <v>1936</v>
      </c>
    </row>
    <row r="1366" customFormat="false" ht="15" hidden="false" customHeight="false" outlineLevel="0" collapsed="false">
      <c r="A1366" s="7" t="s">
        <v>277</v>
      </c>
      <c r="B1366" s="7" t="s">
        <v>1879</v>
      </c>
      <c r="C1366" s="7"/>
      <c r="D1366" s="6" t="s">
        <v>277</v>
      </c>
      <c r="E1366" s="6" t="s">
        <v>1880</v>
      </c>
      <c r="F1366" s="7" t="str">
        <f aca="false">IF($D1366="","",IFERROR(IF(INDEX(Hierarchy!$B$2:$B$1295,MATCH($D1366,Hierarchy!$A$2:$A$1295,0))="","",INDEX(Hierarchy!$B$2:$B$1295,MATCH($D1366,Hierarchy!$A$2:$A$1295,0))),"NODE NOT FOUND"))</f>
        <v>Sub-national region</v>
      </c>
      <c r="G1366" s="7" t="str">
        <f aca="false">IF($D1366="","",IFERROR(IF(INDEX(Hierarchy!$D$2:$D$1295,MATCH($D1366,Hierarchy!$A$2:$A$1295,0))="","",INDEX(Hierarchy!$D$2:$D$1295,MATCH($D1366,Hierarchy!$A$2:$A$1295,0))),"NODE NOT FOUND"))</f>
        <v>AMER</v>
      </c>
      <c r="H1366" s="7" t="str">
        <f aca="false">IF($D1366="","",IFERROR(IF(INDEX(Hierarchy!$E$2:$E$1295,MATCH($D1366,Hierarchy!$A$2:$A$1295,0))="","",INDEX(Hierarchy!$E$2:$E$1295,MATCH($D1366,Hierarchy!$A$2:$A$1295,0))),"NODE NOT FOUND"))</f>
        <v>North America (NORAM)</v>
      </c>
      <c r="I1366" s="7" t="str">
        <f aca="false">IF($D1366="","",IFERROR(IF(INDEX(Hierarchy!$F$2:$F$1295,MATCH($D1366,Hierarchy!$A$2:$A$1295,0))="","",INDEX(Hierarchy!$F$2:$F$1295,MATCH($D1366,Hierarchy!$A$2:$A$1295,0))),"NODE NOT FOUND"))</f>
        <v>Canada</v>
      </c>
      <c r="J1366" s="7" t="str">
        <f aca="false">IF($D1366="","",IFERROR(IF(INDEX(Hierarchy!$G$2:$G$1295,MATCH($D1366,Hierarchy!$A$2:$A$1295,0))="","",INDEX(Hierarchy!$G$2:$G$1295,MATCH($D1366,Hierarchy!$A$2:$A$1295,0))),"NODE NOT FOUND"))</f>
        <v>CAN</v>
      </c>
      <c r="K1366" s="7" t="str">
        <f aca="false">IF($D1366="","",IFERROR(IF(INDEX(Hierarchy!$H$2:$H$1295,MATCH($D1366,Hierarchy!$A$2:$A$1295,0))="","",INDEX(Hierarchy!$H$2:$H$1295,MATCH($D1366,Hierarchy!$A$2:$A$1295,0))),"NODE NOT FOUND"))</f>
        <v/>
      </c>
      <c r="L1366" s="7" t="str">
        <f aca="false">IF($D1366="","",IFERROR(IF(INDEX(Hierarchy!$I$2:$I$1295,MATCH($D1366,Hierarchy!$A$2:$A$1295,0))="","",INDEX(Hierarchy!$I$2:$I$1295,MATCH($D1366,Hierarchy!$A$2:$A$1295,0))),"NODE NOT FOUND"))</f>
        <v/>
      </c>
      <c r="M1366" s="17" t="str">
        <f aca="false">IF(B1366="Pre-seeded","Pre-seeded",IF(B1366="Review 2026-09-16","Added from review",IF(C1366="","New",IF(C1366=D1366,"","Changed"))))</f>
        <v>Pre-seeded</v>
      </c>
      <c r="N1366" s="7" t="str">
        <f aca="false">TRIM(SUBSTITUTE(SUBSTITUTE(SUBSTITUTE(" "&amp;TRIM(SUBSTITUTE(SUBSTITUTE(SUBSTITUTE(SUBSTITUTE(SUBSTITUTE(SUBSTITUTE(SUBSTITUTE(SUBSTITUTE(SUBSTITUTE(SUBSTITUTE(SUBSTITUTE(SUBSTITUTE(SUBSTITUTE(SUBSTITUTE(SUBSTITUTE(UPPER(TRIM(A1366)),"[MEMBER]",""),"{MEMBER}",""),"[MEMBER}",""),"MEMBER]",""),"(A)",""),"""",""),"“",""),"”",""),".",""),":",""),",",""),"–"," "),"-"," "),"/"," "),"&amp;"," AND "))&amp;" "," THE "," ")," TOTAL "," ")," OPERATIONS "," "))</f>
        <v>PRAIRIES</v>
      </c>
      <c r="O1366" s="17" t="str">
        <f aca="false">IF(COUNTIFS($N$2:$N$2000,N1366,$D$2:$D$2000,"&lt;&gt;"&amp;D1366)&gt;0,"CONFLICT","")</f>
        <v/>
      </c>
      <c r="P1366" s="7"/>
    </row>
    <row r="1367" customFormat="false" ht="15" hidden="false" customHeight="false" outlineLevel="0" collapsed="false">
      <c r="A1367" s="7" t="s">
        <v>2563</v>
      </c>
      <c r="B1367" s="7" t="s">
        <v>1882</v>
      </c>
      <c r="C1367" s="7" t="s">
        <v>1488</v>
      </c>
      <c r="D1367" s="6" t="s">
        <v>1488</v>
      </c>
      <c r="E1367" s="6" t="s">
        <v>1880</v>
      </c>
      <c r="F1367" s="7" t="str">
        <f aca="false">IF($D1367="","",IFERROR(IF(INDEX(Hierarchy!$B$2:$B$1295,MATCH($D1367,Hierarchy!$A$2:$A$1295,0))="","",INDEX(Hierarchy!$B$2:$B$1295,MATCH($D1367,Hierarchy!$A$2:$A$1295,0))),"NODE NOT FOUND"))</f>
        <v>Country</v>
      </c>
      <c r="G1367" s="7" t="str">
        <f aca="false">IF($D1367="","",IFERROR(IF(INDEX(Hierarchy!$D$2:$D$1295,MATCH($D1367,Hierarchy!$A$2:$A$1295,0))="","",INDEX(Hierarchy!$D$2:$D$1295,MATCH($D1367,Hierarchy!$A$2:$A$1295,0))),"NODE NOT FOUND"))</f>
        <v>APAC</v>
      </c>
      <c r="H1367" s="7" t="str">
        <f aca="false">IF($D1367="","",IFERROR(IF(INDEX(Hierarchy!$E$2:$E$1295,MATCH($D1367,Hierarchy!$A$2:$A$1295,0))="","",INDEX(Hierarchy!$E$2:$E$1295,MATCH($D1367,Hierarchy!$A$2:$A$1295,0))),"NODE NOT FOUND"))</f>
        <v>East Asia</v>
      </c>
      <c r="I1367" s="7" t="str">
        <f aca="false">IF($D1367="","",IFERROR(IF(INDEX(Hierarchy!$F$2:$F$1295,MATCH($D1367,Hierarchy!$A$2:$A$1295,0))="","",INDEX(Hierarchy!$F$2:$F$1295,MATCH($D1367,Hierarchy!$A$2:$A$1295,0))),"NODE NOT FOUND"))</f>
        <v>China</v>
      </c>
      <c r="J1367" s="7" t="str">
        <f aca="false">IF($D1367="","",IFERROR(IF(INDEX(Hierarchy!$G$2:$G$1295,MATCH($D1367,Hierarchy!$A$2:$A$1295,0))="","",INDEX(Hierarchy!$G$2:$G$1295,MATCH($D1367,Hierarchy!$A$2:$A$1295,0))),"NODE NOT FOUND"))</f>
        <v>CHN</v>
      </c>
      <c r="K1367" s="7" t="str">
        <f aca="false">IF($D1367="","",IFERROR(IF(INDEX(Hierarchy!$H$2:$H$1295,MATCH($D1367,Hierarchy!$A$2:$A$1295,0))="","",INDEX(Hierarchy!$H$2:$H$1295,MATCH($D1367,Hierarchy!$A$2:$A$1295,0))),"NODE NOT FOUND"))</f>
        <v/>
      </c>
      <c r="L1367" s="7" t="str">
        <f aca="false">IF($D1367="","",IFERROR(IF(INDEX(Hierarchy!$I$2:$I$1295,MATCH($D1367,Hierarchy!$A$2:$A$1295,0))="","",INDEX(Hierarchy!$I$2:$I$1295,MATCH($D1367,Hierarchy!$A$2:$A$1295,0))),"NODE NOT FOUND"))</f>
        <v/>
      </c>
      <c r="M1367" s="17" t="str">
        <f aca="false">IF(B1367="Pre-seeded","Pre-seeded",IF(B1367="Review 2026-09-16","Added from review",IF(C1367="","New",IF(C1367=D1367,"","Changed"))))</f>
        <v/>
      </c>
      <c r="N1367" s="7" t="str">
        <f aca="false">TRIM(SUBSTITUTE(SUBSTITUTE(SUBSTITUTE(" "&amp;TRIM(SUBSTITUTE(SUBSTITUTE(SUBSTITUTE(SUBSTITUTE(SUBSTITUTE(SUBSTITUTE(SUBSTITUTE(SUBSTITUTE(SUBSTITUTE(SUBSTITUTE(SUBSTITUTE(SUBSTITUTE(SUBSTITUTE(SUBSTITUTE(SUBSTITUTE(UPPER(TRIM(A1367)),"[MEMBER]",""),"{MEMBER}",""),"[MEMBER}",""),"MEMBER]",""),"(A)",""),"""",""),"“",""),"”",""),".",""),":",""),",",""),"–"," "),"-"," "),"/"," "),"&amp;"," AND "))&amp;" "," THE "," ")," TOTAL "," ")," OPERATIONS "," "))</f>
        <v>PRC</v>
      </c>
      <c r="O1367" s="17" t="str">
        <f aca="false">IF(COUNTIFS($N$2:$N$2000,N1367,$D$2:$D$2000,"&lt;&gt;"&amp;D1367)&gt;0,"CONFLICT","")</f>
        <v/>
      </c>
      <c r="P1367" s="7"/>
    </row>
    <row r="1368" customFormat="false" ht="15" hidden="false" customHeight="false" outlineLevel="0" collapsed="false">
      <c r="A1368" s="7" t="s">
        <v>297</v>
      </c>
      <c r="B1368" s="7" t="s">
        <v>1879</v>
      </c>
      <c r="C1368" s="7"/>
      <c r="D1368" s="6" t="s">
        <v>297</v>
      </c>
      <c r="E1368" s="6" t="s">
        <v>1880</v>
      </c>
      <c r="F1368" s="7" t="str">
        <f aca="false">IF($D1368="","",IFERROR(IF(INDEX(Hierarchy!$B$2:$B$1295,MATCH($D1368,Hierarchy!$A$2:$A$1295,0))="","",INDEX(Hierarchy!$B$2:$B$1295,MATCH($D1368,Hierarchy!$A$2:$A$1295,0))),"NODE NOT FOUND"))</f>
        <v>State/Province</v>
      </c>
      <c r="G1368" s="7" t="str">
        <f aca="false">IF($D1368="","",IFERROR(IF(INDEX(Hierarchy!$D$2:$D$1295,MATCH($D1368,Hierarchy!$A$2:$A$1295,0))="","",INDEX(Hierarchy!$D$2:$D$1295,MATCH($D1368,Hierarchy!$A$2:$A$1295,0))),"NODE NOT FOUND"))</f>
        <v>AMER</v>
      </c>
      <c r="H1368" s="7" t="str">
        <f aca="false">IF($D1368="","",IFERROR(IF(INDEX(Hierarchy!$E$2:$E$1295,MATCH($D1368,Hierarchy!$A$2:$A$1295,0))="","",INDEX(Hierarchy!$E$2:$E$1295,MATCH($D1368,Hierarchy!$A$2:$A$1295,0))),"NODE NOT FOUND"))</f>
        <v>North America (NORAM)</v>
      </c>
      <c r="I1368" s="7" t="str">
        <f aca="false">IF($D1368="","",IFERROR(IF(INDEX(Hierarchy!$F$2:$F$1295,MATCH($D1368,Hierarchy!$A$2:$A$1295,0))="","",INDEX(Hierarchy!$F$2:$F$1295,MATCH($D1368,Hierarchy!$A$2:$A$1295,0))),"NODE NOT FOUND"))</f>
        <v>Canada</v>
      </c>
      <c r="J1368" s="7" t="str">
        <f aca="false">IF($D1368="","",IFERROR(IF(INDEX(Hierarchy!$G$2:$G$1295,MATCH($D1368,Hierarchy!$A$2:$A$1295,0))="","",INDEX(Hierarchy!$G$2:$G$1295,MATCH($D1368,Hierarchy!$A$2:$A$1295,0))),"NODE NOT FOUND"))</f>
        <v>CAN</v>
      </c>
      <c r="K1368" s="7" t="str">
        <f aca="false">IF($D1368="","",IFERROR(IF(INDEX(Hierarchy!$H$2:$H$1295,MATCH($D1368,Hierarchy!$A$2:$A$1295,0))="","",INDEX(Hierarchy!$H$2:$H$1295,MATCH($D1368,Hierarchy!$A$2:$A$1295,0))),"NODE NOT FOUND"))</f>
        <v>Prince Edward Island</v>
      </c>
      <c r="L1368" s="7" t="str">
        <f aca="false">IF($D1368="","",IFERROR(IF(INDEX(Hierarchy!$I$2:$I$1295,MATCH($D1368,Hierarchy!$A$2:$A$1295,0))="","",INDEX(Hierarchy!$I$2:$I$1295,MATCH($D1368,Hierarchy!$A$2:$A$1295,0))),"NODE NOT FOUND"))</f>
        <v/>
      </c>
      <c r="M1368" s="17" t="str">
        <f aca="false">IF(B1368="Pre-seeded","Pre-seeded",IF(B1368="Review 2026-09-16","Added from review",IF(C1368="","New",IF(C1368=D1368,"","Changed"))))</f>
        <v>Pre-seeded</v>
      </c>
      <c r="N1368" s="7" t="str">
        <f aca="false">TRIM(SUBSTITUTE(SUBSTITUTE(SUBSTITUTE(" "&amp;TRIM(SUBSTITUTE(SUBSTITUTE(SUBSTITUTE(SUBSTITUTE(SUBSTITUTE(SUBSTITUTE(SUBSTITUTE(SUBSTITUTE(SUBSTITUTE(SUBSTITUTE(SUBSTITUTE(SUBSTITUTE(SUBSTITUTE(SUBSTITUTE(SUBSTITUTE(UPPER(TRIM(A1368)),"[MEMBER]",""),"{MEMBER}",""),"[MEMBER}",""),"MEMBER]",""),"(A)",""),"""",""),"“",""),"”",""),".",""),":",""),",",""),"–"," "),"-"," "),"/"," "),"&amp;"," AND "))&amp;" "," THE "," ")," TOTAL "," ")," OPERATIONS "," "))</f>
        <v>PRINCE EDWARD ISLAND</v>
      </c>
      <c r="O1368" s="17" t="str">
        <f aca="false">IF(COUNTIFS($N$2:$N$2000,N1368,$D$2:$D$2000,"&lt;&gt;"&amp;D1368)&gt;0,"CONFLICT","")</f>
        <v/>
      </c>
      <c r="P1368" s="7"/>
    </row>
    <row r="1369" customFormat="false" ht="15" hidden="false" customHeight="false" outlineLevel="0" collapsed="false">
      <c r="A1369" s="7" t="s">
        <v>2564</v>
      </c>
      <c r="B1369" s="7" t="s">
        <v>1879</v>
      </c>
      <c r="C1369" s="7"/>
      <c r="D1369" s="6" t="s">
        <v>738</v>
      </c>
      <c r="E1369" s="6" t="s">
        <v>1880</v>
      </c>
      <c r="F1369" s="7" t="str">
        <f aca="false">IF($D1369="","",IFERROR(IF(INDEX(Hierarchy!$B$2:$B$1295,MATCH($D1369,Hierarchy!$A$2:$A$1295,0))="","",INDEX(Hierarchy!$B$2:$B$1295,MATCH($D1369,Hierarchy!$A$2:$A$1295,0))),"NODE NOT FOUND"))</f>
        <v>Country</v>
      </c>
      <c r="G1369" s="7" t="str">
        <f aca="false">IF($D1369="","",IFERROR(IF(INDEX(Hierarchy!$D$2:$D$1295,MATCH($D1369,Hierarchy!$A$2:$A$1295,0))="","",INDEX(Hierarchy!$D$2:$D$1295,MATCH($D1369,Hierarchy!$A$2:$A$1295,0))),"NODE NOT FOUND"))</f>
        <v>EMEA</v>
      </c>
      <c r="H1369" s="7" t="str">
        <f aca="false">IF($D1369="","",IFERROR(IF(INDEX(Hierarchy!$E$2:$E$1295,MATCH($D1369,Hierarchy!$A$2:$A$1295,0))="","",INDEX(Hierarchy!$E$2:$E$1295,MATCH($D1369,Hierarchy!$A$2:$A$1295,0))),"NODE NOT FOUND"))</f>
        <v>Europe</v>
      </c>
      <c r="I1369" s="7" t="str">
        <f aca="false">IF($D1369="","",IFERROR(IF(INDEX(Hierarchy!$F$2:$F$1295,MATCH($D1369,Hierarchy!$A$2:$A$1295,0))="","",INDEX(Hierarchy!$F$2:$F$1295,MATCH($D1369,Hierarchy!$A$2:$A$1295,0))),"NODE NOT FOUND"))</f>
        <v>Andorra</v>
      </c>
      <c r="J1369" s="7" t="str">
        <f aca="false">IF($D1369="","",IFERROR(IF(INDEX(Hierarchy!$G$2:$G$1295,MATCH($D1369,Hierarchy!$A$2:$A$1295,0))="","",INDEX(Hierarchy!$G$2:$G$1295,MATCH($D1369,Hierarchy!$A$2:$A$1295,0))),"NODE NOT FOUND"))</f>
        <v>AND</v>
      </c>
      <c r="K1369" s="7" t="str">
        <f aca="false">IF($D1369="","",IFERROR(IF(INDEX(Hierarchy!$H$2:$H$1295,MATCH($D1369,Hierarchy!$A$2:$A$1295,0))="","",INDEX(Hierarchy!$H$2:$H$1295,MATCH($D1369,Hierarchy!$A$2:$A$1295,0))),"NODE NOT FOUND"))</f>
        <v/>
      </c>
      <c r="L1369" s="7" t="str">
        <f aca="false">IF($D1369="","",IFERROR(IF(INDEX(Hierarchy!$I$2:$I$1295,MATCH($D1369,Hierarchy!$A$2:$A$1295,0))="","",INDEX(Hierarchy!$I$2:$I$1295,MATCH($D1369,Hierarchy!$A$2:$A$1295,0))),"NODE NOT FOUND"))</f>
        <v/>
      </c>
      <c r="M1369" s="17" t="str">
        <f aca="false">IF(B1369="Pre-seeded","Pre-seeded",IF(B1369="Review 2026-09-16","Added from review",IF(C1369="","New",IF(C1369=D1369,"","Changed"))))</f>
        <v>Pre-seeded</v>
      </c>
      <c r="N1369" s="7" t="str">
        <f aca="false">TRIM(SUBSTITUTE(SUBSTITUTE(SUBSTITUTE(" "&amp;TRIM(SUBSTITUTE(SUBSTITUTE(SUBSTITUTE(SUBSTITUTE(SUBSTITUTE(SUBSTITUTE(SUBSTITUTE(SUBSTITUTE(SUBSTITUTE(SUBSTITUTE(SUBSTITUTE(SUBSTITUTE(SUBSTITUTE(SUBSTITUTE(SUBSTITUTE(UPPER(TRIM(A1369)),"[MEMBER]",""),"{MEMBER}",""),"[MEMBER}",""),"MEMBER]",""),"(A)",""),"""",""),"“",""),"”",""),".",""),":",""),",",""),"–"," "),"-"," "),"/"," "),"&amp;"," AND "))&amp;" "," THE "," ")," TOTAL "," ")," OPERATIONS "," "))</f>
        <v>PRINCIPALITY OF ANDORRA</v>
      </c>
      <c r="O1369" s="17" t="str">
        <f aca="false">IF(COUNTIFS($N$2:$N$2000,N1369,$D$2:$D$2000,"&lt;&gt;"&amp;D1369)&gt;0,"CONFLICT","")</f>
        <v/>
      </c>
      <c r="P1369" s="7" t="s">
        <v>1936</v>
      </c>
    </row>
    <row r="1370" customFormat="false" ht="15" hidden="false" customHeight="false" outlineLevel="0" collapsed="false">
      <c r="A1370" s="7" t="s">
        <v>2565</v>
      </c>
      <c r="B1370" s="7" t="s">
        <v>1879</v>
      </c>
      <c r="C1370" s="7"/>
      <c r="D1370" s="6" t="s">
        <v>865</v>
      </c>
      <c r="E1370" s="6" t="s">
        <v>1880</v>
      </c>
      <c r="F1370" s="7" t="str">
        <f aca="false">IF($D1370="","",IFERROR(IF(INDEX(Hierarchy!$B$2:$B$1295,MATCH($D1370,Hierarchy!$A$2:$A$1295,0))="","",INDEX(Hierarchy!$B$2:$B$1295,MATCH($D1370,Hierarchy!$A$2:$A$1295,0))),"NODE NOT FOUND"))</f>
        <v>Country</v>
      </c>
      <c r="G1370" s="7" t="str">
        <f aca="false">IF($D1370="","",IFERROR(IF(INDEX(Hierarchy!$D$2:$D$1295,MATCH($D1370,Hierarchy!$A$2:$A$1295,0))="","",INDEX(Hierarchy!$D$2:$D$1295,MATCH($D1370,Hierarchy!$A$2:$A$1295,0))),"NODE NOT FOUND"))</f>
        <v>EMEA</v>
      </c>
      <c r="H1370" s="7" t="str">
        <f aca="false">IF($D1370="","",IFERROR(IF(INDEX(Hierarchy!$E$2:$E$1295,MATCH($D1370,Hierarchy!$A$2:$A$1295,0))="","",INDEX(Hierarchy!$E$2:$E$1295,MATCH($D1370,Hierarchy!$A$2:$A$1295,0))),"NODE NOT FOUND"))</f>
        <v>Europe</v>
      </c>
      <c r="I1370" s="7" t="str">
        <f aca="false">IF($D1370="","",IFERROR(IF(INDEX(Hierarchy!$F$2:$F$1295,MATCH($D1370,Hierarchy!$A$2:$A$1295,0))="","",INDEX(Hierarchy!$F$2:$F$1295,MATCH($D1370,Hierarchy!$A$2:$A$1295,0))),"NODE NOT FOUND"))</f>
        <v>Liechtenstein</v>
      </c>
      <c r="J1370" s="7" t="str">
        <f aca="false">IF($D1370="","",IFERROR(IF(INDEX(Hierarchy!$G$2:$G$1295,MATCH($D1370,Hierarchy!$A$2:$A$1295,0))="","",INDEX(Hierarchy!$G$2:$G$1295,MATCH($D1370,Hierarchy!$A$2:$A$1295,0))),"NODE NOT FOUND"))</f>
        <v>LIE</v>
      </c>
      <c r="K1370" s="7" t="str">
        <f aca="false">IF($D1370="","",IFERROR(IF(INDEX(Hierarchy!$H$2:$H$1295,MATCH($D1370,Hierarchy!$A$2:$A$1295,0))="","",INDEX(Hierarchy!$H$2:$H$1295,MATCH($D1370,Hierarchy!$A$2:$A$1295,0))),"NODE NOT FOUND"))</f>
        <v/>
      </c>
      <c r="L1370" s="7" t="str">
        <f aca="false">IF($D1370="","",IFERROR(IF(INDEX(Hierarchy!$I$2:$I$1295,MATCH($D1370,Hierarchy!$A$2:$A$1295,0))="","",INDEX(Hierarchy!$I$2:$I$1295,MATCH($D1370,Hierarchy!$A$2:$A$1295,0))),"NODE NOT FOUND"))</f>
        <v/>
      </c>
      <c r="M1370" s="17" t="str">
        <f aca="false">IF(B1370="Pre-seeded","Pre-seeded",IF(B1370="Review 2026-09-16","Added from review",IF(C1370="","New",IF(C1370=D1370,"","Changed"))))</f>
        <v>Pre-seeded</v>
      </c>
      <c r="N1370" s="7" t="str">
        <f aca="false">TRIM(SUBSTITUTE(SUBSTITUTE(SUBSTITUTE(" "&amp;TRIM(SUBSTITUTE(SUBSTITUTE(SUBSTITUTE(SUBSTITUTE(SUBSTITUTE(SUBSTITUTE(SUBSTITUTE(SUBSTITUTE(SUBSTITUTE(SUBSTITUTE(SUBSTITUTE(SUBSTITUTE(SUBSTITUTE(SUBSTITUTE(SUBSTITUTE(UPPER(TRIM(A1370)),"[MEMBER]",""),"{MEMBER}",""),"[MEMBER}",""),"MEMBER]",""),"(A)",""),"""",""),"“",""),"”",""),".",""),":",""),",",""),"–"," "),"-"," "),"/"," "),"&amp;"," AND "))&amp;" "," THE "," ")," TOTAL "," ")," OPERATIONS "," "))</f>
        <v>PRINCIPALITY OF LIECHTENSTEIN</v>
      </c>
      <c r="O1370" s="17" t="str">
        <f aca="false">IF(COUNTIFS($N$2:$N$2000,N1370,$D$2:$D$2000,"&lt;&gt;"&amp;D1370)&gt;0,"CONFLICT","")</f>
        <v/>
      </c>
      <c r="P1370" s="7" t="s">
        <v>1936</v>
      </c>
    </row>
    <row r="1371" customFormat="false" ht="15" hidden="false" customHeight="false" outlineLevel="0" collapsed="false">
      <c r="A1371" s="7" t="s">
        <v>2566</v>
      </c>
      <c r="B1371" s="7" t="s">
        <v>1879</v>
      </c>
      <c r="C1371" s="7"/>
      <c r="D1371" s="6" t="s">
        <v>879</v>
      </c>
      <c r="E1371" s="6" t="s">
        <v>1880</v>
      </c>
      <c r="F1371" s="7" t="str">
        <f aca="false">IF($D1371="","",IFERROR(IF(INDEX(Hierarchy!$B$2:$B$1295,MATCH($D1371,Hierarchy!$A$2:$A$1295,0))="","",INDEX(Hierarchy!$B$2:$B$1295,MATCH($D1371,Hierarchy!$A$2:$A$1295,0))),"NODE NOT FOUND"))</f>
        <v>Country</v>
      </c>
      <c r="G1371" s="7" t="str">
        <f aca="false">IF($D1371="","",IFERROR(IF(INDEX(Hierarchy!$D$2:$D$1295,MATCH($D1371,Hierarchy!$A$2:$A$1295,0))="","",INDEX(Hierarchy!$D$2:$D$1295,MATCH($D1371,Hierarchy!$A$2:$A$1295,0))),"NODE NOT FOUND"))</f>
        <v>EMEA</v>
      </c>
      <c r="H1371" s="7" t="str">
        <f aca="false">IF($D1371="","",IFERROR(IF(INDEX(Hierarchy!$E$2:$E$1295,MATCH($D1371,Hierarchy!$A$2:$A$1295,0))="","",INDEX(Hierarchy!$E$2:$E$1295,MATCH($D1371,Hierarchy!$A$2:$A$1295,0))),"NODE NOT FOUND"))</f>
        <v>Europe</v>
      </c>
      <c r="I1371" s="7" t="str">
        <f aca="false">IF($D1371="","",IFERROR(IF(INDEX(Hierarchy!$F$2:$F$1295,MATCH($D1371,Hierarchy!$A$2:$A$1295,0))="","",INDEX(Hierarchy!$F$2:$F$1295,MATCH($D1371,Hierarchy!$A$2:$A$1295,0))),"NODE NOT FOUND"))</f>
        <v>Monaco</v>
      </c>
      <c r="J1371" s="7" t="str">
        <f aca="false">IF($D1371="","",IFERROR(IF(INDEX(Hierarchy!$G$2:$G$1295,MATCH($D1371,Hierarchy!$A$2:$A$1295,0))="","",INDEX(Hierarchy!$G$2:$G$1295,MATCH($D1371,Hierarchy!$A$2:$A$1295,0))),"NODE NOT FOUND"))</f>
        <v>MCO</v>
      </c>
      <c r="K1371" s="7" t="str">
        <f aca="false">IF($D1371="","",IFERROR(IF(INDEX(Hierarchy!$H$2:$H$1295,MATCH($D1371,Hierarchy!$A$2:$A$1295,0))="","",INDEX(Hierarchy!$H$2:$H$1295,MATCH($D1371,Hierarchy!$A$2:$A$1295,0))),"NODE NOT FOUND"))</f>
        <v/>
      </c>
      <c r="L1371" s="7" t="str">
        <f aca="false">IF($D1371="","",IFERROR(IF(INDEX(Hierarchy!$I$2:$I$1295,MATCH($D1371,Hierarchy!$A$2:$A$1295,0))="","",INDEX(Hierarchy!$I$2:$I$1295,MATCH($D1371,Hierarchy!$A$2:$A$1295,0))),"NODE NOT FOUND"))</f>
        <v/>
      </c>
      <c r="M1371" s="17" t="str">
        <f aca="false">IF(B1371="Pre-seeded","Pre-seeded",IF(B1371="Review 2026-09-16","Added from review",IF(C1371="","New",IF(C1371=D1371,"","Changed"))))</f>
        <v>Pre-seeded</v>
      </c>
      <c r="N1371" s="7" t="str">
        <f aca="false">TRIM(SUBSTITUTE(SUBSTITUTE(SUBSTITUTE(" "&amp;TRIM(SUBSTITUTE(SUBSTITUTE(SUBSTITUTE(SUBSTITUTE(SUBSTITUTE(SUBSTITUTE(SUBSTITUTE(SUBSTITUTE(SUBSTITUTE(SUBSTITUTE(SUBSTITUTE(SUBSTITUTE(SUBSTITUTE(SUBSTITUTE(SUBSTITUTE(UPPER(TRIM(A1371)),"[MEMBER]",""),"{MEMBER}",""),"[MEMBER}",""),"MEMBER]",""),"(A)",""),"""",""),"“",""),"”",""),".",""),":",""),",",""),"–"," "),"-"," "),"/"," "),"&amp;"," AND "))&amp;" "," THE "," ")," TOTAL "," ")," OPERATIONS "," "))</f>
        <v>PRINCIPALITY OF MONACO</v>
      </c>
      <c r="O1371" s="17" t="str">
        <f aca="false">IF(COUNTIFS($N$2:$N$2000,N1371,$D$2:$D$2000,"&lt;&gt;"&amp;D1371)&gt;0,"CONFLICT","")</f>
        <v/>
      </c>
      <c r="P1371" s="7" t="s">
        <v>1936</v>
      </c>
    </row>
    <row r="1372" customFormat="false" ht="15" hidden="false" customHeight="false" outlineLevel="0" collapsed="false">
      <c r="A1372" s="7" t="s">
        <v>730</v>
      </c>
      <c r="B1372" s="7" t="s">
        <v>1879</v>
      </c>
      <c r="C1372" s="7"/>
      <c r="D1372" s="6" t="s">
        <v>730</v>
      </c>
      <c r="E1372" s="6" t="s">
        <v>1880</v>
      </c>
      <c r="F1372" s="7" t="str">
        <f aca="false">IF($D1372="","",IFERROR(IF(INDEX(Hierarchy!$B$2:$B$1295,MATCH($D1372,Hierarchy!$A$2:$A$1295,0))="","",INDEX(Hierarchy!$B$2:$B$1295,MATCH($D1372,Hierarchy!$A$2:$A$1295,0))),"NODE NOT FOUND"))</f>
        <v>State/Province</v>
      </c>
      <c r="G1372" s="7" t="str">
        <f aca="false">IF($D1372="","",IFERROR(IF(INDEX(Hierarchy!$D$2:$D$1295,MATCH($D1372,Hierarchy!$A$2:$A$1295,0))="","",INDEX(Hierarchy!$D$2:$D$1295,MATCH($D1372,Hierarchy!$A$2:$A$1295,0))),"NODE NOT FOUND"))</f>
        <v>EMEA</v>
      </c>
      <c r="H1372" s="7" t="str">
        <f aca="false">IF($D1372="","",IFERROR(IF(INDEX(Hierarchy!$E$2:$E$1295,MATCH($D1372,Hierarchy!$A$2:$A$1295,0))="","",INDEX(Hierarchy!$E$2:$E$1295,MATCH($D1372,Hierarchy!$A$2:$A$1295,0))),"NODE NOT FOUND"))</f>
        <v>Europe</v>
      </c>
      <c r="I1372" s="7" t="str">
        <f aca="false">IF($D1372="","",IFERROR(IF(INDEX(Hierarchy!$F$2:$F$1295,MATCH($D1372,Hierarchy!$A$2:$A$1295,0))="","",INDEX(Hierarchy!$F$2:$F$1295,MATCH($D1372,Hierarchy!$A$2:$A$1295,0))),"NODE NOT FOUND"))</f>
        <v>France</v>
      </c>
      <c r="J1372" s="7" t="str">
        <f aca="false">IF($D1372="","",IFERROR(IF(INDEX(Hierarchy!$G$2:$G$1295,MATCH($D1372,Hierarchy!$A$2:$A$1295,0))="","",INDEX(Hierarchy!$G$2:$G$1295,MATCH($D1372,Hierarchy!$A$2:$A$1295,0))),"NODE NOT FOUND"))</f>
        <v>FRA</v>
      </c>
      <c r="K1372" s="7" t="str">
        <f aca="false">IF($D1372="","",IFERROR(IF(INDEX(Hierarchy!$H$2:$H$1295,MATCH($D1372,Hierarchy!$A$2:$A$1295,0))="","",INDEX(Hierarchy!$H$2:$H$1295,MATCH($D1372,Hierarchy!$A$2:$A$1295,0))),"NODE NOT FOUND"))</f>
        <v>Provence-Alpes-Côte d'Azur</v>
      </c>
      <c r="L1372" s="7" t="str">
        <f aca="false">IF($D1372="","",IFERROR(IF(INDEX(Hierarchy!$I$2:$I$1295,MATCH($D1372,Hierarchy!$A$2:$A$1295,0))="","",INDEX(Hierarchy!$I$2:$I$1295,MATCH($D1372,Hierarchy!$A$2:$A$1295,0))),"NODE NOT FOUND"))</f>
        <v/>
      </c>
      <c r="M1372" s="17" t="str">
        <f aca="false">IF(B1372="Pre-seeded","Pre-seeded",IF(B1372="Review 2026-09-16","Added from review",IF(C1372="","New",IF(C1372=D1372,"","Changed"))))</f>
        <v>Pre-seeded</v>
      </c>
      <c r="N1372" s="7" t="str">
        <f aca="false">TRIM(SUBSTITUTE(SUBSTITUTE(SUBSTITUTE(" "&amp;TRIM(SUBSTITUTE(SUBSTITUTE(SUBSTITUTE(SUBSTITUTE(SUBSTITUTE(SUBSTITUTE(SUBSTITUTE(SUBSTITUTE(SUBSTITUTE(SUBSTITUTE(SUBSTITUTE(SUBSTITUTE(SUBSTITUTE(SUBSTITUTE(SUBSTITUTE(UPPER(TRIM(A1372)),"[MEMBER]",""),"{MEMBER}",""),"[MEMBER}",""),"MEMBER]",""),"(A)",""),"""",""),"“",""),"”",""),".",""),":",""),",",""),"–"," "),"-"," "),"/"," "),"&amp;"," AND "))&amp;" "," THE "," ")," TOTAL "," ")," OPERATIONS "," "))</f>
        <v>PROVENCE ALPES CÔTE D'AZUR</v>
      </c>
      <c r="O1372" s="17" t="str">
        <f aca="false">IF(COUNTIFS($N$2:$N$2000,N1372,$D$2:$D$2000,"&lt;&gt;"&amp;D1372)&gt;0,"CONFLICT","")</f>
        <v/>
      </c>
      <c r="P1372" s="7"/>
    </row>
    <row r="1373" customFormat="false" ht="15" hidden="false" customHeight="false" outlineLevel="0" collapsed="false">
      <c r="A1373" s="7" t="s">
        <v>1358</v>
      </c>
      <c r="B1373" s="7" t="s">
        <v>1879</v>
      </c>
      <c r="C1373" s="7"/>
      <c r="D1373" s="6" t="s">
        <v>1358</v>
      </c>
      <c r="E1373" s="6" t="s">
        <v>1880</v>
      </c>
      <c r="F1373" s="7" t="str">
        <f aca="false">IF($D1373="","",IFERROR(IF(INDEX(Hierarchy!$B$2:$B$1295,MATCH($D1373,Hierarchy!$A$2:$A$1295,0))="","",INDEX(Hierarchy!$B$2:$B$1295,MATCH($D1373,Hierarchy!$A$2:$A$1295,0))),"NODE NOT FOUND"))</f>
        <v>State/Province</v>
      </c>
      <c r="G1373" s="7" t="str">
        <f aca="false">IF($D1373="","",IFERROR(IF(INDEX(Hierarchy!$D$2:$D$1295,MATCH($D1373,Hierarchy!$A$2:$A$1295,0))="","",INDEX(Hierarchy!$D$2:$D$1295,MATCH($D1373,Hierarchy!$A$2:$A$1295,0))),"NODE NOT FOUND"))</f>
        <v>APAC</v>
      </c>
      <c r="H1373" s="7" t="str">
        <f aca="false">IF($D1373="","",IFERROR(IF(INDEX(Hierarchy!$E$2:$E$1295,MATCH($D1373,Hierarchy!$A$2:$A$1295,0))="","",INDEX(Hierarchy!$E$2:$E$1295,MATCH($D1373,Hierarchy!$A$2:$A$1295,0))),"NODE NOT FOUND"))</f>
        <v>South Asia</v>
      </c>
      <c r="I1373" s="7" t="str">
        <f aca="false">IF($D1373="","",IFERROR(IF(INDEX(Hierarchy!$F$2:$F$1295,MATCH($D1373,Hierarchy!$A$2:$A$1295,0))="","",INDEX(Hierarchy!$F$2:$F$1295,MATCH($D1373,Hierarchy!$A$2:$A$1295,0))),"NODE NOT FOUND"))</f>
        <v>India</v>
      </c>
      <c r="J1373" s="7" t="str">
        <f aca="false">IF($D1373="","",IFERROR(IF(INDEX(Hierarchy!$G$2:$G$1295,MATCH($D1373,Hierarchy!$A$2:$A$1295,0))="","",INDEX(Hierarchy!$G$2:$G$1295,MATCH($D1373,Hierarchy!$A$2:$A$1295,0))),"NODE NOT FOUND"))</f>
        <v>IND</v>
      </c>
      <c r="K1373" s="7" t="str">
        <f aca="false">IF($D1373="","",IFERROR(IF(INDEX(Hierarchy!$H$2:$H$1295,MATCH($D1373,Hierarchy!$A$2:$A$1295,0))="","",INDEX(Hierarchy!$H$2:$H$1295,MATCH($D1373,Hierarchy!$A$2:$A$1295,0))),"NODE NOT FOUND"))</f>
        <v>Puducherry</v>
      </c>
      <c r="L1373" s="7" t="str">
        <f aca="false">IF($D1373="","",IFERROR(IF(INDEX(Hierarchy!$I$2:$I$1295,MATCH($D1373,Hierarchy!$A$2:$A$1295,0))="","",INDEX(Hierarchy!$I$2:$I$1295,MATCH($D1373,Hierarchy!$A$2:$A$1295,0))),"NODE NOT FOUND"))</f>
        <v/>
      </c>
      <c r="M1373" s="17" t="str">
        <f aca="false">IF(B1373="Pre-seeded","Pre-seeded",IF(B1373="Review 2026-09-16","Added from review",IF(C1373="","New",IF(C1373=D1373,"","Changed"))))</f>
        <v>Pre-seeded</v>
      </c>
      <c r="N1373" s="7" t="str">
        <f aca="false">TRIM(SUBSTITUTE(SUBSTITUTE(SUBSTITUTE(" "&amp;TRIM(SUBSTITUTE(SUBSTITUTE(SUBSTITUTE(SUBSTITUTE(SUBSTITUTE(SUBSTITUTE(SUBSTITUTE(SUBSTITUTE(SUBSTITUTE(SUBSTITUTE(SUBSTITUTE(SUBSTITUTE(SUBSTITUTE(SUBSTITUTE(SUBSTITUTE(UPPER(TRIM(A1373)),"[MEMBER]",""),"{MEMBER}",""),"[MEMBER}",""),"MEMBER]",""),"(A)",""),"""",""),"“",""),"”",""),".",""),":",""),",",""),"–"," "),"-"," "),"/"," "),"&amp;"," AND "))&amp;" "," THE "," ")," TOTAL "," ")," OPERATIONS "," "))</f>
        <v>PUDUCHERRY</v>
      </c>
      <c r="O1373" s="17" t="str">
        <f aca="false">IF(COUNTIFS($N$2:$N$2000,N1373,$D$2:$D$2000,"&lt;&gt;"&amp;D1373)&gt;0,"CONFLICT","")</f>
        <v/>
      </c>
      <c r="P1373" s="7"/>
    </row>
    <row r="1374" customFormat="false" ht="15" hidden="false" customHeight="false" outlineLevel="0" collapsed="false">
      <c r="A1374" s="7" t="s">
        <v>406</v>
      </c>
      <c r="B1374" s="7" t="s">
        <v>1879</v>
      </c>
      <c r="C1374" s="7"/>
      <c r="D1374" s="6" t="s">
        <v>406</v>
      </c>
      <c r="E1374" s="6" t="s">
        <v>1880</v>
      </c>
      <c r="F1374" s="7" t="str">
        <f aca="false">IF($D1374="","",IFERROR(IF(INDEX(Hierarchy!$B$2:$B$1295,MATCH($D1374,Hierarchy!$A$2:$A$1295,0))="","",INDEX(Hierarchy!$B$2:$B$1295,MATCH($D1374,Hierarchy!$A$2:$A$1295,0))),"NODE NOT FOUND"))</f>
        <v>State/Province</v>
      </c>
      <c r="G1374" s="7" t="str">
        <f aca="false">IF($D1374="","",IFERROR(IF(INDEX(Hierarchy!$D$2:$D$1295,MATCH($D1374,Hierarchy!$A$2:$A$1295,0))="","",INDEX(Hierarchy!$D$2:$D$1295,MATCH($D1374,Hierarchy!$A$2:$A$1295,0))),"NODE NOT FOUND"))</f>
        <v>AMER</v>
      </c>
      <c r="H1374" s="7" t="str">
        <f aca="false">IF($D1374="","",IFERROR(IF(INDEX(Hierarchy!$E$2:$E$1295,MATCH($D1374,Hierarchy!$A$2:$A$1295,0))="","",INDEX(Hierarchy!$E$2:$E$1295,MATCH($D1374,Hierarchy!$A$2:$A$1295,0))),"NODE NOT FOUND"))</f>
        <v>Latin America (LATAM)</v>
      </c>
      <c r="I1374" s="7" t="str">
        <f aca="false">IF($D1374="","",IFERROR(IF(INDEX(Hierarchy!$F$2:$F$1295,MATCH($D1374,Hierarchy!$A$2:$A$1295,0))="","",INDEX(Hierarchy!$F$2:$F$1295,MATCH($D1374,Hierarchy!$A$2:$A$1295,0))),"NODE NOT FOUND"))</f>
        <v>Mexico</v>
      </c>
      <c r="J1374" s="7" t="str">
        <f aca="false">IF($D1374="","",IFERROR(IF(INDEX(Hierarchy!$G$2:$G$1295,MATCH($D1374,Hierarchy!$A$2:$A$1295,0))="","",INDEX(Hierarchy!$G$2:$G$1295,MATCH($D1374,Hierarchy!$A$2:$A$1295,0))),"NODE NOT FOUND"))</f>
        <v>MEX</v>
      </c>
      <c r="K1374" s="7" t="str">
        <f aca="false">IF($D1374="","",IFERROR(IF(INDEX(Hierarchy!$H$2:$H$1295,MATCH($D1374,Hierarchy!$A$2:$A$1295,0))="","",INDEX(Hierarchy!$H$2:$H$1295,MATCH($D1374,Hierarchy!$A$2:$A$1295,0))),"NODE NOT FOUND"))</f>
        <v>Puebla</v>
      </c>
      <c r="L1374" s="7" t="str">
        <f aca="false">IF($D1374="","",IFERROR(IF(INDEX(Hierarchy!$I$2:$I$1295,MATCH($D1374,Hierarchy!$A$2:$A$1295,0))="","",INDEX(Hierarchy!$I$2:$I$1295,MATCH($D1374,Hierarchy!$A$2:$A$1295,0))),"NODE NOT FOUND"))</f>
        <v/>
      </c>
      <c r="M1374" s="17" t="str">
        <f aca="false">IF(B1374="Pre-seeded","Pre-seeded",IF(B1374="Review 2026-09-16","Added from review",IF(C1374="","New",IF(C1374=D1374,"","Changed"))))</f>
        <v>Pre-seeded</v>
      </c>
      <c r="N1374" s="7" t="str">
        <f aca="false">TRIM(SUBSTITUTE(SUBSTITUTE(SUBSTITUTE(" "&amp;TRIM(SUBSTITUTE(SUBSTITUTE(SUBSTITUTE(SUBSTITUTE(SUBSTITUTE(SUBSTITUTE(SUBSTITUTE(SUBSTITUTE(SUBSTITUTE(SUBSTITUTE(SUBSTITUTE(SUBSTITUTE(SUBSTITUTE(SUBSTITUTE(SUBSTITUTE(UPPER(TRIM(A1374)),"[MEMBER]",""),"{MEMBER}",""),"[MEMBER}",""),"MEMBER]",""),"(A)",""),"""",""),"“",""),"”",""),".",""),":",""),",",""),"–"," "),"-"," "),"/"," "),"&amp;"," AND "))&amp;" "," THE "," ")," TOTAL "," ")," OPERATIONS "," "))</f>
        <v>PUEBLA</v>
      </c>
      <c r="O1374" s="17" t="str">
        <f aca="false">IF(COUNTIFS($N$2:$N$2000,N1374,$D$2:$D$2000,"&lt;&gt;"&amp;D1374)&gt;0,"CONFLICT","")</f>
        <v/>
      </c>
      <c r="P1374" s="7"/>
    </row>
    <row r="1375" customFormat="false" ht="15" hidden="false" customHeight="false" outlineLevel="0" collapsed="false">
      <c r="A1375" s="7" t="s">
        <v>2567</v>
      </c>
      <c r="B1375" s="7" t="s">
        <v>1882</v>
      </c>
      <c r="C1375" s="7" t="s">
        <v>81</v>
      </c>
      <c r="D1375" s="6" t="s">
        <v>237</v>
      </c>
      <c r="E1375" s="6" t="s">
        <v>1880</v>
      </c>
      <c r="F1375" s="7" t="str">
        <f aca="false">IF($D1375="","",IFERROR(IF(INDEX(Hierarchy!$B$2:$B$1295,MATCH($D1375,Hierarchy!$A$2:$A$1295,0))="","",INDEX(Hierarchy!$B$2:$B$1295,MATCH($D1375,Hierarchy!$A$2:$A$1295,0))),"NODE NOT FOUND"))</f>
        <v>State/Province</v>
      </c>
      <c r="G1375" s="7" t="str">
        <f aca="false">IF($D1375="","",IFERROR(IF(INDEX(Hierarchy!$D$2:$D$1295,MATCH($D1375,Hierarchy!$A$2:$A$1295,0))="","",INDEX(Hierarchy!$D$2:$D$1295,MATCH($D1375,Hierarchy!$A$2:$A$1295,0))),"NODE NOT FOUND"))</f>
        <v>AMER</v>
      </c>
      <c r="H1375" s="7" t="str">
        <f aca="false">IF($D1375="","",IFERROR(IF(INDEX(Hierarchy!$E$2:$E$1295,MATCH($D1375,Hierarchy!$A$2:$A$1295,0))="","",INDEX(Hierarchy!$E$2:$E$1295,MATCH($D1375,Hierarchy!$A$2:$A$1295,0))),"NODE NOT FOUND"))</f>
        <v>North America (NORAM)</v>
      </c>
      <c r="I1375" s="7" t="str">
        <f aca="false">IF($D1375="","",IFERROR(IF(INDEX(Hierarchy!$F$2:$F$1295,MATCH($D1375,Hierarchy!$A$2:$A$1295,0))="","",INDEX(Hierarchy!$F$2:$F$1295,MATCH($D1375,Hierarchy!$A$2:$A$1295,0))),"NODE NOT FOUND"))</f>
        <v>United States</v>
      </c>
      <c r="J1375" s="7" t="str">
        <f aca="false">IF($D1375="","",IFERROR(IF(INDEX(Hierarchy!$G$2:$G$1295,MATCH($D1375,Hierarchy!$A$2:$A$1295,0))="","",INDEX(Hierarchy!$G$2:$G$1295,MATCH($D1375,Hierarchy!$A$2:$A$1295,0))),"NODE NOT FOUND"))</f>
        <v>USA</v>
      </c>
      <c r="K1375" s="7" t="str">
        <f aca="false">IF($D1375="","",IFERROR(IF(INDEX(Hierarchy!$H$2:$H$1295,MATCH($D1375,Hierarchy!$A$2:$A$1295,0))="","",INDEX(Hierarchy!$H$2:$H$1295,MATCH($D1375,Hierarchy!$A$2:$A$1295,0))),"NODE NOT FOUND"))</f>
        <v>Puerto Rico</v>
      </c>
      <c r="L1375" s="7" t="str">
        <f aca="false">IF($D1375="","",IFERROR(IF(INDEX(Hierarchy!$I$2:$I$1295,MATCH($D1375,Hierarchy!$A$2:$A$1295,0))="","",INDEX(Hierarchy!$I$2:$I$1295,MATCH($D1375,Hierarchy!$A$2:$A$1295,0))),"NODE NOT FOUND"))</f>
        <v/>
      </c>
      <c r="M1375" s="17" t="str">
        <f aca="false">IF(B1375="Pre-seeded","Pre-seeded",IF(B1375="Review 2026-09-16","Added from review",IF(C1375="","New",IF(C1375=D1375,"","Changed"))))</f>
        <v>Changed</v>
      </c>
      <c r="N1375" s="7" t="str">
        <f aca="false">TRIM(SUBSTITUTE(SUBSTITUTE(SUBSTITUTE(" "&amp;TRIM(SUBSTITUTE(SUBSTITUTE(SUBSTITUTE(SUBSTITUTE(SUBSTITUTE(SUBSTITUTE(SUBSTITUTE(SUBSTITUTE(SUBSTITUTE(SUBSTITUTE(SUBSTITUTE(SUBSTITUTE(SUBSTITUTE(SUBSTITUTE(SUBSTITUTE(UPPER(TRIM(A1375)),"[MEMBER]",""),"{MEMBER}",""),"[MEMBER}",""),"MEMBER]",""),"(A)",""),"""",""),"“",""),"”",""),".",""),":",""),",",""),"–"," "),"-"," "),"/"," "),"&amp;"," AND "))&amp;" "," THE "," ")," TOTAL "," ")," OPERATIONS "," "))</f>
        <v>PUERTO RICO</v>
      </c>
      <c r="O1375" s="17" t="str">
        <f aca="false">IF(COUNTIFS($N$2:$N$2000,N1375,$D$2:$D$2000,"&lt;&gt;"&amp;D1375)&gt;0,"CONFLICT","")</f>
        <v/>
      </c>
      <c r="P1375" s="7"/>
    </row>
    <row r="1376" customFormat="false" ht="15" hidden="false" customHeight="false" outlineLevel="0" collapsed="false">
      <c r="A1376" s="7" t="s">
        <v>237</v>
      </c>
      <c r="B1376" s="7" t="s">
        <v>1882</v>
      </c>
      <c r="C1376" s="7" t="s">
        <v>81</v>
      </c>
      <c r="D1376" s="6" t="s">
        <v>237</v>
      </c>
      <c r="E1376" s="6" t="s">
        <v>1880</v>
      </c>
      <c r="F1376" s="7" t="str">
        <f aca="false">IF($D1376="","",IFERROR(IF(INDEX(Hierarchy!$B$2:$B$1295,MATCH($D1376,Hierarchy!$A$2:$A$1295,0))="","",INDEX(Hierarchy!$B$2:$B$1295,MATCH($D1376,Hierarchy!$A$2:$A$1295,0))),"NODE NOT FOUND"))</f>
        <v>State/Province</v>
      </c>
      <c r="G1376" s="7" t="str">
        <f aca="false">IF($D1376="","",IFERROR(IF(INDEX(Hierarchy!$D$2:$D$1295,MATCH($D1376,Hierarchy!$A$2:$A$1295,0))="","",INDEX(Hierarchy!$D$2:$D$1295,MATCH($D1376,Hierarchy!$A$2:$A$1295,0))),"NODE NOT FOUND"))</f>
        <v>AMER</v>
      </c>
      <c r="H1376" s="7" t="str">
        <f aca="false">IF($D1376="","",IFERROR(IF(INDEX(Hierarchy!$E$2:$E$1295,MATCH($D1376,Hierarchy!$A$2:$A$1295,0))="","",INDEX(Hierarchy!$E$2:$E$1295,MATCH($D1376,Hierarchy!$A$2:$A$1295,0))),"NODE NOT FOUND"))</f>
        <v>North America (NORAM)</v>
      </c>
      <c r="I1376" s="7" t="str">
        <f aca="false">IF($D1376="","",IFERROR(IF(INDEX(Hierarchy!$F$2:$F$1295,MATCH($D1376,Hierarchy!$A$2:$A$1295,0))="","",INDEX(Hierarchy!$F$2:$F$1295,MATCH($D1376,Hierarchy!$A$2:$A$1295,0))),"NODE NOT FOUND"))</f>
        <v>United States</v>
      </c>
      <c r="J1376" s="7" t="str">
        <f aca="false">IF($D1376="","",IFERROR(IF(INDEX(Hierarchy!$G$2:$G$1295,MATCH($D1376,Hierarchy!$A$2:$A$1295,0))="","",INDEX(Hierarchy!$G$2:$G$1295,MATCH($D1376,Hierarchy!$A$2:$A$1295,0))),"NODE NOT FOUND"))</f>
        <v>USA</v>
      </c>
      <c r="K1376" s="7" t="str">
        <f aca="false">IF($D1376="","",IFERROR(IF(INDEX(Hierarchy!$H$2:$H$1295,MATCH($D1376,Hierarchy!$A$2:$A$1295,0))="","",INDEX(Hierarchy!$H$2:$H$1295,MATCH($D1376,Hierarchy!$A$2:$A$1295,0))),"NODE NOT FOUND"))</f>
        <v>Puerto Rico</v>
      </c>
      <c r="L1376" s="7" t="str">
        <f aca="false">IF($D1376="","",IFERROR(IF(INDEX(Hierarchy!$I$2:$I$1295,MATCH($D1376,Hierarchy!$A$2:$A$1295,0))="","",INDEX(Hierarchy!$I$2:$I$1295,MATCH($D1376,Hierarchy!$A$2:$A$1295,0))),"NODE NOT FOUND"))</f>
        <v/>
      </c>
      <c r="M1376" s="17" t="str">
        <f aca="false">IF(B1376="Pre-seeded","Pre-seeded",IF(B1376="Review 2026-09-16","Added from review",IF(C1376="","New",IF(C1376=D1376,"","Changed"))))</f>
        <v>Changed</v>
      </c>
      <c r="N1376" s="7" t="str">
        <f aca="false">TRIM(SUBSTITUTE(SUBSTITUTE(SUBSTITUTE(" "&amp;TRIM(SUBSTITUTE(SUBSTITUTE(SUBSTITUTE(SUBSTITUTE(SUBSTITUTE(SUBSTITUTE(SUBSTITUTE(SUBSTITUTE(SUBSTITUTE(SUBSTITUTE(SUBSTITUTE(SUBSTITUTE(SUBSTITUTE(SUBSTITUTE(SUBSTITUTE(UPPER(TRIM(A1376)),"[MEMBER]",""),"{MEMBER}",""),"[MEMBER}",""),"MEMBER]",""),"(A)",""),"""",""),"“",""),"”",""),".",""),":",""),",",""),"–"," "),"-"," "),"/"," "),"&amp;"," AND "))&amp;" "," THE "," ")," TOTAL "," ")," OPERATIONS "," "))</f>
        <v>PUERTO RICO</v>
      </c>
      <c r="O1376" s="17" t="str">
        <f aca="false">IF(COUNTIFS($N$2:$N$2000,N1376,$D$2:$D$2000,"&lt;&gt;"&amp;D1376)&gt;0,"CONFLICT","")</f>
        <v/>
      </c>
      <c r="P1376" s="7"/>
    </row>
    <row r="1377" customFormat="false" ht="15" hidden="false" customHeight="false" outlineLevel="0" collapsed="false">
      <c r="A1377" s="7" t="s">
        <v>2568</v>
      </c>
      <c r="B1377" s="7" t="s">
        <v>1879</v>
      </c>
      <c r="C1377" s="7"/>
      <c r="D1377" s="6" t="s">
        <v>1643</v>
      </c>
      <c r="E1377" s="6" t="s">
        <v>1880</v>
      </c>
      <c r="F1377" s="7" t="str">
        <f aca="false">IF($D1377="","",IFERROR(IF(INDEX(Hierarchy!$B$2:$B$1295,MATCH($D1377,Hierarchy!$A$2:$A$1295,0))="","",INDEX(Hierarchy!$B$2:$B$1295,MATCH($D1377,Hierarchy!$A$2:$A$1295,0))),"NODE NOT FOUND"))</f>
        <v>State/Province</v>
      </c>
      <c r="G1377" s="7" t="str">
        <f aca="false">IF($D1377="","",IFERROR(IF(INDEX(Hierarchy!$D$2:$D$1295,MATCH($D1377,Hierarchy!$A$2:$A$1295,0))="","",INDEX(Hierarchy!$D$2:$D$1295,MATCH($D1377,Hierarchy!$A$2:$A$1295,0))),"NODE NOT FOUND"))</f>
        <v>APAC</v>
      </c>
      <c r="H1377" s="7" t="str">
        <f aca="false">IF($D1377="","",IFERROR(IF(INDEX(Hierarchy!$E$2:$E$1295,MATCH($D1377,Hierarchy!$A$2:$A$1295,0))="","",INDEX(Hierarchy!$E$2:$E$1295,MATCH($D1377,Hierarchy!$A$2:$A$1295,0))),"NODE NOT FOUND"))</f>
        <v>Southeast Asia (ASEAN)</v>
      </c>
      <c r="I1377" s="7" t="str">
        <f aca="false">IF($D1377="","",IFERROR(IF(INDEX(Hierarchy!$F$2:$F$1295,MATCH($D1377,Hierarchy!$A$2:$A$1295,0))="","",INDEX(Hierarchy!$F$2:$F$1295,MATCH($D1377,Hierarchy!$A$2:$A$1295,0))),"NODE NOT FOUND"))</f>
        <v>Malaysia</v>
      </c>
      <c r="J1377" s="7" t="str">
        <f aca="false">IF($D1377="","",IFERROR(IF(INDEX(Hierarchy!$G$2:$G$1295,MATCH($D1377,Hierarchy!$A$2:$A$1295,0))="","",INDEX(Hierarchy!$G$2:$G$1295,MATCH($D1377,Hierarchy!$A$2:$A$1295,0))),"NODE NOT FOUND"))</f>
        <v>MYS</v>
      </c>
      <c r="K1377" s="7" t="str">
        <f aca="false">IF($D1377="","",IFERROR(IF(INDEX(Hierarchy!$H$2:$H$1295,MATCH($D1377,Hierarchy!$A$2:$A$1295,0))="","",INDEX(Hierarchy!$H$2:$H$1295,MATCH($D1377,Hierarchy!$A$2:$A$1295,0))),"NODE NOT FOUND"))</f>
        <v>Penang</v>
      </c>
      <c r="L1377" s="7" t="str">
        <f aca="false">IF($D1377="","",IFERROR(IF(INDEX(Hierarchy!$I$2:$I$1295,MATCH($D1377,Hierarchy!$A$2:$A$1295,0))="","",INDEX(Hierarchy!$I$2:$I$1295,MATCH($D1377,Hierarchy!$A$2:$A$1295,0))),"NODE NOT FOUND"))</f>
        <v/>
      </c>
      <c r="M1377" s="17" t="str">
        <f aca="false">IF(B1377="Pre-seeded","Pre-seeded",IF(B1377="Review 2026-09-16","Added from review",IF(C1377="","New",IF(C1377=D1377,"","Changed"))))</f>
        <v>Pre-seeded</v>
      </c>
      <c r="N1377" s="7" t="str">
        <f aca="false">TRIM(SUBSTITUTE(SUBSTITUTE(SUBSTITUTE(" "&amp;TRIM(SUBSTITUTE(SUBSTITUTE(SUBSTITUTE(SUBSTITUTE(SUBSTITUTE(SUBSTITUTE(SUBSTITUTE(SUBSTITUTE(SUBSTITUTE(SUBSTITUTE(SUBSTITUTE(SUBSTITUTE(SUBSTITUTE(SUBSTITUTE(SUBSTITUTE(UPPER(TRIM(A1377)),"[MEMBER]",""),"{MEMBER}",""),"[MEMBER}",""),"MEMBER]",""),"(A)",""),"""",""),"“",""),"”",""),".",""),":",""),",",""),"–"," "),"-"," "),"/"," "),"&amp;"," AND "))&amp;" "," THE "," ")," TOTAL "," ")," OPERATIONS "," "))</f>
        <v>PULAU PINANG</v>
      </c>
      <c r="O1377" s="17" t="str">
        <f aca="false">IF(COUNTIFS($N$2:$N$2000,N1377,$D$2:$D$2000,"&lt;&gt;"&amp;D1377)&gt;0,"CONFLICT","")</f>
        <v/>
      </c>
      <c r="P1377" s="7"/>
    </row>
    <row r="1378" customFormat="false" ht="15" hidden="false" customHeight="false" outlineLevel="0" collapsed="false">
      <c r="A1378" s="7" t="s">
        <v>1359</v>
      </c>
      <c r="B1378" s="7" t="s">
        <v>1879</v>
      </c>
      <c r="C1378" s="7"/>
      <c r="D1378" s="6" t="s">
        <v>1359</v>
      </c>
      <c r="E1378" s="6" t="s">
        <v>1880</v>
      </c>
      <c r="F1378" s="7" t="str">
        <f aca="false">IF($D1378="","",IFERROR(IF(INDEX(Hierarchy!$B$2:$B$1295,MATCH($D1378,Hierarchy!$A$2:$A$1295,0))="","",INDEX(Hierarchy!$B$2:$B$1295,MATCH($D1378,Hierarchy!$A$2:$A$1295,0))),"NODE NOT FOUND"))</f>
        <v>State/Province</v>
      </c>
      <c r="G1378" s="7" t="str">
        <f aca="false">IF($D1378="","",IFERROR(IF(INDEX(Hierarchy!$D$2:$D$1295,MATCH($D1378,Hierarchy!$A$2:$A$1295,0))="","",INDEX(Hierarchy!$D$2:$D$1295,MATCH($D1378,Hierarchy!$A$2:$A$1295,0))),"NODE NOT FOUND"))</f>
        <v>APAC</v>
      </c>
      <c r="H1378" s="7" t="str">
        <f aca="false">IF($D1378="","",IFERROR(IF(INDEX(Hierarchy!$E$2:$E$1295,MATCH($D1378,Hierarchy!$A$2:$A$1295,0))="","",INDEX(Hierarchy!$E$2:$E$1295,MATCH($D1378,Hierarchy!$A$2:$A$1295,0))),"NODE NOT FOUND"))</f>
        <v>South Asia</v>
      </c>
      <c r="I1378" s="7" t="str">
        <f aca="false">IF($D1378="","",IFERROR(IF(INDEX(Hierarchy!$F$2:$F$1295,MATCH($D1378,Hierarchy!$A$2:$A$1295,0))="","",INDEX(Hierarchy!$F$2:$F$1295,MATCH($D1378,Hierarchy!$A$2:$A$1295,0))),"NODE NOT FOUND"))</f>
        <v>India</v>
      </c>
      <c r="J1378" s="7" t="str">
        <f aca="false">IF($D1378="","",IFERROR(IF(INDEX(Hierarchy!$G$2:$G$1295,MATCH($D1378,Hierarchy!$A$2:$A$1295,0))="","",INDEX(Hierarchy!$G$2:$G$1295,MATCH($D1378,Hierarchy!$A$2:$A$1295,0))),"NODE NOT FOUND"))</f>
        <v>IND</v>
      </c>
      <c r="K1378" s="7" t="str">
        <f aca="false">IF($D1378="","",IFERROR(IF(INDEX(Hierarchy!$H$2:$H$1295,MATCH($D1378,Hierarchy!$A$2:$A$1295,0))="","",INDEX(Hierarchy!$H$2:$H$1295,MATCH($D1378,Hierarchy!$A$2:$A$1295,0))),"NODE NOT FOUND"))</f>
        <v>Punjab</v>
      </c>
      <c r="L1378" s="7" t="str">
        <f aca="false">IF($D1378="","",IFERROR(IF(INDEX(Hierarchy!$I$2:$I$1295,MATCH($D1378,Hierarchy!$A$2:$A$1295,0))="","",INDEX(Hierarchy!$I$2:$I$1295,MATCH($D1378,Hierarchy!$A$2:$A$1295,0))),"NODE NOT FOUND"))</f>
        <v/>
      </c>
      <c r="M1378" s="17" t="str">
        <f aca="false">IF(B1378="Pre-seeded","Pre-seeded",IF(B1378="Review 2026-09-16","Added from review",IF(C1378="","New",IF(C1378=D1378,"","Changed"))))</f>
        <v>Pre-seeded</v>
      </c>
      <c r="N1378" s="7" t="str">
        <f aca="false">TRIM(SUBSTITUTE(SUBSTITUTE(SUBSTITUTE(" "&amp;TRIM(SUBSTITUTE(SUBSTITUTE(SUBSTITUTE(SUBSTITUTE(SUBSTITUTE(SUBSTITUTE(SUBSTITUTE(SUBSTITUTE(SUBSTITUTE(SUBSTITUTE(SUBSTITUTE(SUBSTITUTE(SUBSTITUTE(SUBSTITUTE(SUBSTITUTE(UPPER(TRIM(A1378)),"[MEMBER]",""),"{MEMBER}",""),"[MEMBER}",""),"MEMBER]",""),"(A)",""),"""",""),"“",""),"”",""),".",""),":",""),",",""),"–"," "),"-"," "),"/"," "),"&amp;"," AND "))&amp;" "," THE "," ")," TOTAL "," ")," OPERATIONS "," "))</f>
        <v>PUNJAB</v>
      </c>
      <c r="O1378" s="17" t="str">
        <f aca="false">IF(COUNTIFS($N$2:$N$2000,N1378,$D$2:$D$2000,"&lt;&gt;"&amp;D1378)&gt;0,"CONFLICT","")</f>
        <v/>
      </c>
      <c r="P1378" s="7"/>
    </row>
    <row r="1379" customFormat="false" ht="15" hidden="false" customHeight="false" outlineLevel="0" collapsed="false">
      <c r="A1379" s="7" t="s">
        <v>1403</v>
      </c>
      <c r="B1379" s="7" t="s">
        <v>1879</v>
      </c>
      <c r="C1379" s="7"/>
      <c r="D1379" s="6" t="s">
        <v>1403</v>
      </c>
      <c r="E1379" s="6" t="s">
        <v>1880</v>
      </c>
      <c r="F1379" s="7" t="str">
        <f aca="false">IF($D1379="","",IFERROR(IF(INDEX(Hierarchy!$B$2:$B$1295,MATCH($D1379,Hierarchy!$A$2:$A$1295,0))="","",INDEX(Hierarchy!$B$2:$B$1295,MATCH($D1379,Hierarchy!$A$2:$A$1295,0))),"NODE NOT FOUND"))</f>
        <v>State/Province</v>
      </c>
      <c r="G1379" s="7" t="str">
        <f aca="false">IF($D1379="","",IFERROR(IF(INDEX(Hierarchy!$D$2:$D$1295,MATCH($D1379,Hierarchy!$A$2:$A$1295,0))="","",INDEX(Hierarchy!$D$2:$D$1295,MATCH($D1379,Hierarchy!$A$2:$A$1295,0))),"NODE NOT FOUND"))</f>
        <v>APAC</v>
      </c>
      <c r="H1379" s="7" t="str">
        <f aca="false">IF($D1379="","",IFERROR(IF(INDEX(Hierarchy!$E$2:$E$1295,MATCH($D1379,Hierarchy!$A$2:$A$1295,0))="","",INDEX(Hierarchy!$E$2:$E$1295,MATCH($D1379,Hierarchy!$A$2:$A$1295,0))),"NODE NOT FOUND"))</f>
        <v>South Asia</v>
      </c>
      <c r="I1379" s="7" t="str">
        <f aca="false">IF($D1379="","",IFERROR(IF(INDEX(Hierarchy!$F$2:$F$1295,MATCH($D1379,Hierarchy!$A$2:$A$1295,0))="","",INDEX(Hierarchy!$F$2:$F$1295,MATCH($D1379,Hierarchy!$A$2:$A$1295,0))),"NODE NOT FOUND"))</f>
        <v>Pakistan</v>
      </c>
      <c r="J1379" s="7" t="str">
        <f aca="false">IF($D1379="","",IFERROR(IF(INDEX(Hierarchy!$G$2:$G$1295,MATCH($D1379,Hierarchy!$A$2:$A$1295,0))="","",INDEX(Hierarchy!$G$2:$G$1295,MATCH($D1379,Hierarchy!$A$2:$A$1295,0))),"NODE NOT FOUND"))</f>
        <v>PAK</v>
      </c>
      <c r="K1379" s="7" t="str">
        <f aca="false">IF($D1379="","",IFERROR(IF(INDEX(Hierarchy!$H$2:$H$1295,MATCH($D1379,Hierarchy!$A$2:$A$1295,0))="","",INDEX(Hierarchy!$H$2:$H$1295,MATCH($D1379,Hierarchy!$A$2:$A$1295,0))),"NODE NOT FOUND"))</f>
        <v>Punjab (Pakistan)</v>
      </c>
      <c r="L1379" s="7" t="str">
        <f aca="false">IF($D1379="","",IFERROR(IF(INDEX(Hierarchy!$I$2:$I$1295,MATCH($D1379,Hierarchy!$A$2:$A$1295,0))="","",INDEX(Hierarchy!$I$2:$I$1295,MATCH($D1379,Hierarchy!$A$2:$A$1295,0))),"NODE NOT FOUND"))</f>
        <v/>
      </c>
      <c r="M1379" s="17" t="str">
        <f aca="false">IF(B1379="Pre-seeded","Pre-seeded",IF(B1379="Review 2026-09-16","Added from review",IF(C1379="","New",IF(C1379=D1379,"","Changed"))))</f>
        <v>Pre-seeded</v>
      </c>
      <c r="N1379" s="7" t="str">
        <f aca="false">TRIM(SUBSTITUTE(SUBSTITUTE(SUBSTITUTE(" "&amp;TRIM(SUBSTITUTE(SUBSTITUTE(SUBSTITUTE(SUBSTITUTE(SUBSTITUTE(SUBSTITUTE(SUBSTITUTE(SUBSTITUTE(SUBSTITUTE(SUBSTITUTE(SUBSTITUTE(SUBSTITUTE(SUBSTITUTE(SUBSTITUTE(SUBSTITUTE(UPPER(TRIM(A1379)),"[MEMBER]",""),"{MEMBER}",""),"[MEMBER}",""),"MEMBER]",""),"(A)",""),"""",""),"“",""),"”",""),".",""),":",""),",",""),"–"," "),"-"," "),"/"," "),"&amp;"," AND "))&amp;" "," THE "," ")," TOTAL "," ")," OPERATIONS "," "))</f>
        <v>PUNJAB (PAKISTAN)</v>
      </c>
      <c r="O1379" s="17" t="str">
        <f aca="false">IF(COUNTIFS($N$2:$N$2000,N1379,$D$2:$D$2000,"&lt;&gt;"&amp;D1379)&gt;0,"CONFLICT","")</f>
        <v/>
      </c>
      <c r="P1379" s="7"/>
    </row>
    <row r="1380" customFormat="false" ht="15" hidden="false" customHeight="false" outlineLevel="0" collapsed="false">
      <c r="A1380" s="7" t="s">
        <v>1646</v>
      </c>
      <c r="B1380" s="7" t="s">
        <v>1879</v>
      </c>
      <c r="C1380" s="7"/>
      <c r="D1380" s="6" t="s">
        <v>1646</v>
      </c>
      <c r="E1380" s="6" t="s">
        <v>1880</v>
      </c>
      <c r="F1380" s="7" t="str">
        <f aca="false">IF($D1380="","",IFERROR(IF(INDEX(Hierarchy!$B$2:$B$1295,MATCH($D1380,Hierarchy!$A$2:$A$1295,0))="","",INDEX(Hierarchy!$B$2:$B$1295,MATCH($D1380,Hierarchy!$A$2:$A$1295,0))),"NODE NOT FOUND"))</f>
        <v>State/Province</v>
      </c>
      <c r="G1380" s="7" t="str">
        <f aca="false">IF($D1380="","",IFERROR(IF(INDEX(Hierarchy!$D$2:$D$1295,MATCH($D1380,Hierarchy!$A$2:$A$1295,0))="","",INDEX(Hierarchy!$D$2:$D$1295,MATCH($D1380,Hierarchy!$A$2:$A$1295,0))),"NODE NOT FOUND"))</f>
        <v>APAC</v>
      </c>
      <c r="H1380" s="7" t="str">
        <f aca="false">IF($D1380="","",IFERROR(IF(INDEX(Hierarchy!$E$2:$E$1295,MATCH($D1380,Hierarchy!$A$2:$A$1295,0))="","",INDEX(Hierarchy!$E$2:$E$1295,MATCH($D1380,Hierarchy!$A$2:$A$1295,0))),"NODE NOT FOUND"))</f>
        <v>Southeast Asia (ASEAN)</v>
      </c>
      <c r="I1380" s="7" t="str">
        <f aca="false">IF($D1380="","",IFERROR(IF(INDEX(Hierarchy!$F$2:$F$1295,MATCH($D1380,Hierarchy!$A$2:$A$1295,0))="","",INDEX(Hierarchy!$F$2:$F$1295,MATCH($D1380,Hierarchy!$A$2:$A$1295,0))),"NODE NOT FOUND"))</f>
        <v>Malaysia</v>
      </c>
      <c r="J1380" s="7" t="str">
        <f aca="false">IF($D1380="","",IFERROR(IF(INDEX(Hierarchy!$G$2:$G$1295,MATCH($D1380,Hierarchy!$A$2:$A$1295,0))="","",INDEX(Hierarchy!$G$2:$G$1295,MATCH($D1380,Hierarchy!$A$2:$A$1295,0))),"NODE NOT FOUND"))</f>
        <v>MYS</v>
      </c>
      <c r="K1380" s="7" t="str">
        <f aca="false">IF($D1380="","",IFERROR(IF(INDEX(Hierarchy!$H$2:$H$1295,MATCH($D1380,Hierarchy!$A$2:$A$1295,0))="","",INDEX(Hierarchy!$H$2:$H$1295,MATCH($D1380,Hierarchy!$A$2:$A$1295,0))),"NODE NOT FOUND"))</f>
        <v>Putrajaya</v>
      </c>
      <c r="L1380" s="7" t="str">
        <f aca="false">IF($D1380="","",IFERROR(IF(INDEX(Hierarchy!$I$2:$I$1295,MATCH($D1380,Hierarchy!$A$2:$A$1295,0))="","",INDEX(Hierarchy!$I$2:$I$1295,MATCH($D1380,Hierarchy!$A$2:$A$1295,0))),"NODE NOT FOUND"))</f>
        <v/>
      </c>
      <c r="M1380" s="17" t="str">
        <f aca="false">IF(B1380="Pre-seeded","Pre-seeded",IF(B1380="Review 2026-09-16","Added from review",IF(C1380="","New",IF(C1380=D1380,"","Changed"))))</f>
        <v>Pre-seeded</v>
      </c>
      <c r="N1380" s="7" t="str">
        <f aca="false">TRIM(SUBSTITUTE(SUBSTITUTE(SUBSTITUTE(" "&amp;TRIM(SUBSTITUTE(SUBSTITUTE(SUBSTITUTE(SUBSTITUTE(SUBSTITUTE(SUBSTITUTE(SUBSTITUTE(SUBSTITUTE(SUBSTITUTE(SUBSTITUTE(SUBSTITUTE(SUBSTITUTE(SUBSTITUTE(SUBSTITUTE(SUBSTITUTE(UPPER(TRIM(A1380)),"[MEMBER]",""),"{MEMBER}",""),"[MEMBER}",""),"MEMBER]",""),"(A)",""),"""",""),"“",""),"”",""),".",""),":",""),",",""),"–"," "),"-"," "),"/"," "),"&amp;"," AND "))&amp;" "," THE "," ")," TOTAL "," ")," OPERATIONS "," "))</f>
        <v>PUTRAJAYA</v>
      </c>
      <c r="O1380" s="17" t="str">
        <f aca="false">IF(COUNTIFS($N$2:$N$2000,N1380,$D$2:$D$2000,"&lt;&gt;"&amp;D1380)&gt;0,"CONFLICT","")</f>
        <v/>
      </c>
      <c r="P1380" s="7"/>
    </row>
    <row r="1381" customFormat="false" ht="15" hidden="false" customHeight="false" outlineLevel="0" collapsed="false">
      <c r="A1381" s="7" t="s">
        <v>524</v>
      </c>
      <c r="B1381" s="7" t="s">
        <v>1879</v>
      </c>
      <c r="C1381" s="7"/>
      <c r="D1381" s="6" t="s">
        <v>524</v>
      </c>
      <c r="E1381" s="6" t="s">
        <v>1880</v>
      </c>
      <c r="F1381" s="7" t="str">
        <f aca="false">IF($D1381="","",IFERROR(IF(INDEX(Hierarchy!$B$2:$B$1295,MATCH($D1381,Hierarchy!$A$2:$A$1295,0))="","",INDEX(Hierarchy!$B$2:$B$1295,MATCH($D1381,Hierarchy!$A$2:$A$1295,0))),"NODE NOT FOUND"))</f>
        <v>State/Province</v>
      </c>
      <c r="G1381" s="7" t="str">
        <f aca="false">IF($D1381="","",IFERROR(IF(INDEX(Hierarchy!$D$2:$D$1295,MATCH($D1381,Hierarchy!$A$2:$A$1295,0))="","",INDEX(Hierarchy!$D$2:$D$1295,MATCH($D1381,Hierarchy!$A$2:$A$1295,0))),"NODE NOT FOUND"))</f>
        <v>AMER</v>
      </c>
      <c r="H1381" s="7" t="str">
        <f aca="false">IF($D1381="","",IFERROR(IF(INDEX(Hierarchy!$E$2:$E$1295,MATCH($D1381,Hierarchy!$A$2:$A$1295,0))="","",INDEX(Hierarchy!$E$2:$E$1295,MATCH($D1381,Hierarchy!$A$2:$A$1295,0))),"NODE NOT FOUND"))</f>
        <v>Latin America (LATAM)</v>
      </c>
      <c r="I1381" s="7" t="str">
        <f aca="false">IF($D1381="","",IFERROR(IF(INDEX(Hierarchy!$F$2:$F$1295,MATCH($D1381,Hierarchy!$A$2:$A$1295,0))="","",INDEX(Hierarchy!$F$2:$F$1295,MATCH($D1381,Hierarchy!$A$2:$A$1295,0))),"NODE NOT FOUND"))</f>
        <v>Colombia</v>
      </c>
      <c r="J1381" s="7" t="str">
        <f aca="false">IF($D1381="","",IFERROR(IF(INDEX(Hierarchy!$G$2:$G$1295,MATCH($D1381,Hierarchy!$A$2:$A$1295,0))="","",INDEX(Hierarchy!$G$2:$G$1295,MATCH($D1381,Hierarchy!$A$2:$A$1295,0))),"NODE NOT FOUND"))</f>
        <v>COL</v>
      </c>
      <c r="K1381" s="7" t="str">
        <f aca="false">IF($D1381="","",IFERROR(IF(INDEX(Hierarchy!$H$2:$H$1295,MATCH($D1381,Hierarchy!$A$2:$A$1295,0))="","",INDEX(Hierarchy!$H$2:$H$1295,MATCH($D1381,Hierarchy!$A$2:$A$1295,0))),"NODE NOT FOUND"))</f>
        <v>Putumayo</v>
      </c>
      <c r="L1381" s="7" t="str">
        <f aca="false">IF($D1381="","",IFERROR(IF(INDEX(Hierarchy!$I$2:$I$1295,MATCH($D1381,Hierarchy!$A$2:$A$1295,0))="","",INDEX(Hierarchy!$I$2:$I$1295,MATCH($D1381,Hierarchy!$A$2:$A$1295,0))),"NODE NOT FOUND"))</f>
        <v/>
      </c>
      <c r="M1381" s="17" t="str">
        <f aca="false">IF(B1381="Pre-seeded","Pre-seeded",IF(B1381="Review 2026-09-16","Added from review",IF(C1381="","New",IF(C1381=D1381,"","Changed"))))</f>
        <v>Pre-seeded</v>
      </c>
      <c r="N1381" s="7" t="str">
        <f aca="false">TRIM(SUBSTITUTE(SUBSTITUTE(SUBSTITUTE(" "&amp;TRIM(SUBSTITUTE(SUBSTITUTE(SUBSTITUTE(SUBSTITUTE(SUBSTITUTE(SUBSTITUTE(SUBSTITUTE(SUBSTITUTE(SUBSTITUTE(SUBSTITUTE(SUBSTITUTE(SUBSTITUTE(SUBSTITUTE(SUBSTITUTE(SUBSTITUTE(UPPER(TRIM(A1381)),"[MEMBER]",""),"{MEMBER}",""),"[MEMBER}",""),"MEMBER]",""),"(A)",""),"""",""),"“",""),"”",""),".",""),":",""),",",""),"–"," "),"-"," "),"/"," "),"&amp;"," AND "))&amp;" "," THE "," ")," TOTAL "," ")," OPERATIONS "," "))</f>
        <v>PUTUMAYO</v>
      </c>
      <c r="O1381" s="17" t="str">
        <f aca="false">IF(COUNTIFS($N$2:$N$2000,N1381,$D$2:$D$2000,"&lt;&gt;"&amp;D1381)&gt;0,"CONFLICT","")</f>
        <v/>
      </c>
      <c r="P1381" s="7"/>
    </row>
    <row r="1382" customFormat="false" ht="15" hidden="false" customHeight="false" outlineLevel="0" collapsed="false">
      <c r="A1382" s="7" t="s">
        <v>1060</v>
      </c>
      <c r="B1382" s="7" t="s">
        <v>1879</v>
      </c>
      <c r="C1382" s="7"/>
      <c r="D1382" s="6" t="s">
        <v>1060</v>
      </c>
      <c r="E1382" s="6" t="s">
        <v>1880</v>
      </c>
      <c r="F1382" s="7" t="str">
        <f aca="false">IF($D1382="","",IFERROR(IF(INDEX(Hierarchy!$B$2:$B$1295,MATCH($D1382,Hierarchy!$A$2:$A$1295,0))="","",INDEX(Hierarchy!$B$2:$B$1295,MATCH($D1382,Hierarchy!$A$2:$A$1295,0))),"NODE NOT FOUND"))</f>
        <v>State/Province</v>
      </c>
      <c r="G1382" s="7" t="str">
        <f aca="false">IF($D1382="","",IFERROR(IF(INDEX(Hierarchy!$D$2:$D$1295,MATCH($D1382,Hierarchy!$A$2:$A$1295,0))="","",INDEX(Hierarchy!$D$2:$D$1295,MATCH($D1382,Hierarchy!$A$2:$A$1295,0))),"NODE NOT FOUND"))</f>
        <v>EMEA</v>
      </c>
      <c r="H1382" s="7" t="str">
        <f aca="false">IF($D1382="","",IFERROR(IF(INDEX(Hierarchy!$E$2:$E$1295,MATCH($D1382,Hierarchy!$A$2:$A$1295,0))="","",INDEX(Hierarchy!$E$2:$E$1295,MATCH($D1382,Hierarchy!$A$2:$A$1295,0))),"NODE NOT FOUND"))</f>
        <v>Middle East</v>
      </c>
      <c r="I1382" s="7" t="str">
        <f aca="false">IF($D1382="","",IFERROR(IF(INDEX(Hierarchy!$F$2:$F$1295,MATCH($D1382,Hierarchy!$A$2:$A$1295,0))="","",INDEX(Hierarchy!$F$2:$F$1295,MATCH($D1382,Hierarchy!$A$2:$A$1295,0))),"NODE NOT FOUND"))</f>
        <v>Saudi Arabia</v>
      </c>
      <c r="J1382" s="7" t="str">
        <f aca="false">IF($D1382="","",IFERROR(IF(INDEX(Hierarchy!$G$2:$G$1295,MATCH($D1382,Hierarchy!$A$2:$A$1295,0))="","",INDEX(Hierarchy!$G$2:$G$1295,MATCH($D1382,Hierarchy!$A$2:$A$1295,0))),"NODE NOT FOUND"))</f>
        <v>SAU</v>
      </c>
      <c r="K1382" s="7" t="str">
        <f aca="false">IF($D1382="","",IFERROR(IF(INDEX(Hierarchy!$H$2:$H$1295,MATCH($D1382,Hierarchy!$A$2:$A$1295,0))="","",INDEX(Hierarchy!$H$2:$H$1295,MATCH($D1382,Hierarchy!$A$2:$A$1295,0))),"NODE NOT FOUND"))</f>
        <v>Qassim Province</v>
      </c>
      <c r="L1382" s="7" t="str">
        <f aca="false">IF($D1382="","",IFERROR(IF(INDEX(Hierarchy!$I$2:$I$1295,MATCH($D1382,Hierarchy!$A$2:$A$1295,0))="","",INDEX(Hierarchy!$I$2:$I$1295,MATCH($D1382,Hierarchy!$A$2:$A$1295,0))),"NODE NOT FOUND"))</f>
        <v/>
      </c>
      <c r="M1382" s="17" t="str">
        <f aca="false">IF(B1382="Pre-seeded","Pre-seeded",IF(B1382="Review 2026-09-16","Added from review",IF(C1382="","New",IF(C1382=D1382,"","Changed"))))</f>
        <v>Pre-seeded</v>
      </c>
      <c r="N1382" s="7" t="str">
        <f aca="false">TRIM(SUBSTITUTE(SUBSTITUTE(SUBSTITUTE(" "&amp;TRIM(SUBSTITUTE(SUBSTITUTE(SUBSTITUTE(SUBSTITUTE(SUBSTITUTE(SUBSTITUTE(SUBSTITUTE(SUBSTITUTE(SUBSTITUTE(SUBSTITUTE(SUBSTITUTE(SUBSTITUTE(SUBSTITUTE(SUBSTITUTE(SUBSTITUTE(UPPER(TRIM(A1382)),"[MEMBER]",""),"{MEMBER}",""),"[MEMBER}",""),"MEMBER]",""),"(A)",""),"""",""),"“",""),"”",""),".",""),":",""),",",""),"–"," "),"-"," "),"/"," "),"&amp;"," AND "))&amp;" "," THE "," ")," TOTAL "," ")," OPERATIONS "," "))</f>
        <v>QASSIM PROVINCE</v>
      </c>
      <c r="O1382" s="17" t="str">
        <f aca="false">IF(COUNTIFS($N$2:$N$2000,N1382,$D$2:$D$2000,"&lt;&gt;"&amp;D1382)&gt;0,"CONFLICT","")</f>
        <v/>
      </c>
      <c r="P1382" s="7"/>
    </row>
    <row r="1383" customFormat="false" ht="15" hidden="false" customHeight="false" outlineLevel="0" collapsed="false">
      <c r="A1383" s="7" t="s">
        <v>1087</v>
      </c>
      <c r="B1383" s="7" t="s">
        <v>1882</v>
      </c>
      <c r="C1383" s="7" t="s">
        <v>1087</v>
      </c>
      <c r="D1383" s="6" t="s">
        <v>1087</v>
      </c>
      <c r="E1383" s="6" t="s">
        <v>1880</v>
      </c>
      <c r="F1383" s="7" t="str">
        <f aca="false">IF($D1383="","",IFERROR(IF(INDEX(Hierarchy!$B$2:$B$1295,MATCH($D1383,Hierarchy!$A$2:$A$1295,0))="","",INDEX(Hierarchy!$B$2:$B$1295,MATCH($D1383,Hierarchy!$A$2:$A$1295,0))),"NODE NOT FOUND"))</f>
        <v>Country</v>
      </c>
      <c r="G1383" s="7" t="str">
        <f aca="false">IF($D1383="","",IFERROR(IF(INDEX(Hierarchy!$D$2:$D$1295,MATCH($D1383,Hierarchy!$A$2:$A$1295,0))="","",INDEX(Hierarchy!$D$2:$D$1295,MATCH($D1383,Hierarchy!$A$2:$A$1295,0))),"NODE NOT FOUND"))</f>
        <v>EMEA</v>
      </c>
      <c r="H1383" s="7" t="str">
        <f aca="false">IF($D1383="","",IFERROR(IF(INDEX(Hierarchy!$E$2:$E$1295,MATCH($D1383,Hierarchy!$A$2:$A$1295,0))="","",INDEX(Hierarchy!$E$2:$E$1295,MATCH($D1383,Hierarchy!$A$2:$A$1295,0))),"NODE NOT FOUND"))</f>
        <v>Middle East</v>
      </c>
      <c r="I1383" s="7" t="str">
        <f aca="false">IF($D1383="","",IFERROR(IF(INDEX(Hierarchy!$F$2:$F$1295,MATCH($D1383,Hierarchy!$A$2:$A$1295,0))="","",INDEX(Hierarchy!$F$2:$F$1295,MATCH($D1383,Hierarchy!$A$2:$A$1295,0))),"NODE NOT FOUND"))</f>
        <v>Qatar</v>
      </c>
      <c r="J1383" s="7" t="str">
        <f aca="false">IF($D1383="","",IFERROR(IF(INDEX(Hierarchy!$G$2:$G$1295,MATCH($D1383,Hierarchy!$A$2:$A$1295,0))="","",INDEX(Hierarchy!$G$2:$G$1295,MATCH($D1383,Hierarchy!$A$2:$A$1295,0))),"NODE NOT FOUND"))</f>
        <v>QAT</v>
      </c>
      <c r="K1383" s="7" t="str">
        <f aca="false">IF($D1383="","",IFERROR(IF(INDEX(Hierarchy!$H$2:$H$1295,MATCH($D1383,Hierarchy!$A$2:$A$1295,0))="","",INDEX(Hierarchy!$H$2:$H$1295,MATCH($D1383,Hierarchy!$A$2:$A$1295,0))),"NODE NOT FOUND"))</f>
        <v/>
      </c>
      <c r="L1383" s="7" t="str">
        <f aca="false">IF($D1383="","",IFERROR(IF(INDEX(Hierarchy!$I$2:$I$1295,MATCH($D1383,Hierarchy!$A$2:$A$1295,0))="","",INDEX(Hierarchy!$I$2:$I$1295,MATCH($D1383,Hierarchy!$A$2:$A$1295,0))),"NODE NOT FOUND"))</f>
        <v/>
      </c>
      <c r="M1383" s="17" t="str">
        <f aca="false">IF(B1383="Pre-seeded","Pre-seeded",IF(B1383="Review 2026-09-16","Added from review",IF(C1383="","New",IF(C1383=D1383,"","Changed"))))</f>
        <v/>
      </c>
      <c r="N1383" s="7" t="str">
        <f aca="false">TRIM(SUBSTITUTE(SUBSTITUTE(SUBSTITUTE(" "&amp;TRIM(SUBSTITUTE(SUBSTITUTE(SUBSTITUTE(SUBSTITUTE(SUBSTITUTE(SUBSTITUTE(SUBSTITUTE(SUBSTITUTE(SUBSTITUTE(SUBSTITUTE(SUBSTITUTE(SUBSTITUTE(SUBSTITUTE(SUBSTITUTE(SUBSTITUTE(UPPER(TRIM(A1383)),"[MEMBER]",""),"{MEMBER}",""),"[MEMBER}",""),"MEMBER]",""),"(A)",""),"""",""),"“",""),"”",""),".",""),":",""),",",""),"–"," "),"-"," "),"/"," "),"&amp;"," AND "))&amp;" "," THE "," ")," TOTAL "," ")," OPERATIONS "," "))</f>
        <v>QATAR</v>
      </c>
      <c r="O1383" s="17" t="str">
        <f aca="false">IF(COUNTIFS($N$2:$N$2000,N1383,$D$2:$D$2000,"&lt;&gt;"&amp;D1383)&gt;0,"CONFLICT","")</f>
        <v/>
      </c>
      <c r="P1383" s="7"/>
    </row>
    <row r="1384" customFormat="false" ht="15" hidden="false" customHeight="false" outlineLevel="0" collapsed="false">
      <c r="A1384" s="7" t="s">
        <v>1531</v>
      </c>
      <c r="B1384" s="7" t="s">
        <v>1879</v>
      </c>
      <c r="C1384" s="7"/>
      <c r="D1384" s="6" t="s">
        <v>1531</v>
      </c>
      <c r="E1384" s="6" t="s">
        <v>1880</v>
      </c>
      <c r="F1384" s="7" t="str">
        <f aca="false">IF($D1384="","",IFERROR(IF(INDEX(Hierarchy!$B$2:$B$1295,MATCH($D1384,Hierarchy!$A$2:$A$1295,0))="","",INDEX(Hierarchy!$B$2:$B$1295,MATCH($D1384,Hierarchy!$A$2:$A$1295,0))),"NODE NOT FOUND"))</f>
        <v>State/Province</v>
      </c>
      <c r="G1384" s="7" t="str">
        <f aca="false">IF($D1384="","",IFERROR(IF(INDEX(Hierarchy!$D$2:$D$1295,MATCH($D1384,Hierarchy!$A$2:$A$1295,0))="","",INDEX(Hierarchy!$D$2:$D$1295,MATCH($D1384,Hierarchy!$A$2:$A$1295,0))),"NODE NOT FOUND"))</f>
        <v>APAC</v>
      </c>
      <c r="H1384" s="7" t="str">
        <f aca="false">IF($D1384="","",IFERROR(IF(INDEX(Hierarchy!$E$2:$E$1295,MATCH($D1384,Hierarchy!$A$2:$A$1295,0))="","",INDEX(Hierarchy!$E$2:$E$1295,MATCH($D1384,Hierarchy!$A$2:$A$1295,0))),"NODE NOT FOUND"))</f>
        <v>East Asia</v>
      </c>
      <c r="I1384" s="7" t="str">
        <f aca="false">IF($D1384="","",IFERROR(IF(INDEX(Hierarchy!$F$2:$F$1295,MATCH($D1384,Hierarchy!$A$2:$A$1295,0))="","",INDEX(Hierarchy!$F$2:$F$1295,MATCH($D1384,Hierarchy!$A$2:$A$1295,0))),"NODE NOT FOUND"))</f>
        <v>China</v>
      </c>
      <c r="J1384" s="7" t="str">
        <f aca="false">IF($D1384="","",IFERROR(IF(INDEX(Hierarchy!$G$2:$G$1295,MATCH($D1384,Hierarchy!$A$2:$A$1295,0))="","",INDEX(Hierarchy!$G$2:$G$1295,MATCH($D1384,Hierarchy!$A$2:$A$1295,0))),"NODE NOT FOUND"))</f>
        <v>CHN</v>
      </c>
      <c r="K1384" s="7" t="str">
        <f aca="false">IF($D1384="","",IFERROR(IF(INDEX(Hierarchy!$H$2:$H$1295,MATCH($D1384,Hierarchy!$A$2:$A$1295,0))="","",INDEX(Hierarchy!$H$2:$H$1295,MATCH($D1384,Hierarchy!$A$2:$A$1295,0))),"NODE NOT FOUND"))</f>
        <v>Qinghai</v>
      </c>
      <c r="L1384" s="7" t="str">
        <f aca="false">IF($D1384="","",IFERROR(IF(INDEX(Hierarchy!$I$2:$I$1295,MATCH($D1384,Hierarchy!$A$2:$A$1295,0))="","",INDEX(Hierarchy!$I$2:$I$1295,MATCH($D1384,Hierarchy!$A$2:$A$1295,0))),"NODE NOT FOUND"))</f>
        <v/>
      </c>
      <c r="M1384" s="17" t="str">
        <f aca="false">IF(B1384="Pre-seeded","Pre-seeded",IF(B1384="Review 2026-09-16","Added from review",IF(C1384="","New",IF(C1384=D1384,"","Changed"))))</f>
        <v>Pre-seeded</v>
      </c>
      <c r="N1384" s="7" t="str">
        <f aca="false">TRIM(SUBSTITUTE(SUBSTITUTE(SUBSTITUTE(" "&amp;TRIM(SUBSTITUTE(SUBSTITUTE(SUBSTITUTE(SUBSTITUTE(SUBSTITUTE(SUBSTITUTE(SUBSTITUTE(SUBSTITUTE(SUBSTITUTE(SUBSTITUTE(SUBSTITUTE(SUBSTITUTE(SUBSTITUTE(SUBSTITUTE(SUBSTITUTE(UPPER(TRIM(A1384)),"[MEMBER]",""),"{MEMBER}",""),"[MEMBER}",""),"MEMBER]",""),"(A)",""),"""",""),"“",""),"”",""),".",""),":",""),",",""),"–"," "),"-"," "),"/"," "),"&amp;"," AND "))&amp;" "," THE "," ")," TOTAL "," ")," OPERATIONS "," "))</f>
        <v>QINGHAI</v>
      </c>
      <c r="O1384" s="17" t="str">
        <f aca="false">IF(COUNTIFS($N$2:$N$2000,N1384,$D$2:$D$2000,"&lt;&gt;"&amp;D1384)&gt;0,"CONFLICT","")</f>
        <v/>
      </c>
      <c r="P1384" s="7"/>
    </row>
    <row r="1385" customFormat="false" ht="15" hidden="false" customHeight="false" outlineLevel="0" collapsed="false">
      <c r="A1385" s="7" t="s">
        <v>298</v>
      </c>
      <c r="B1385" s="7" t="s">
        <v>1879</v>
      </c>
      <c r="C1385" s="7"/>
      <c r="D1385" s="6" t="s">
        <v>298</v>
      </c>
      <c r="E1385" s="6" t="s">
        <v>1880</v>
      </c>
      <c r="F1385" s="7" t="str">
        <f aca="false">IF($D1385="","",IFERROR(IF(INDEX(Hierarchy!$B$2:$B$1295,MATCH($D1385,Hierarchy!$A$2:$A$1295,0))="","",INDEX(Hierarchy!$B$2:$B$1295,MATCH($D1385,Hierarchy!$A$2:$A$1295,0))),"NODE NOT FOUND"))</f>
        <v>State/Province</v>
      </c>
      <c r="G1385" s="7" t="str">
        <f aca="false">IF($D1385="","",IFERROR(IF(INDEX(Hierarchy!$D$2:$D$1295,MATCH($D1385,Hierarchy!$A$2:$A$1295,0))="","",INDEX(Hierarchy!$D$2:$D$1295,MATCH($D1385,Hierarchy!$A$2:$A$1295,0))),"NODE NOT FOUND"))</f>
        <v>AMER</v>
      </c>
      <c r="H1385" s="7" t="str">
        <f aca="false">IF($D1385="","",IFERROR(IF(INDEX(Hierarchy!$E$2:$E$1295,MATCH($D1385,Hierarchy!$A$2:$A$1295,0))="","",INDEX(Hierarchy!$E$2:$E$1295,MATCH($D1385,Hierarchy!$A$2:$A$1295,0))),"NODE NOT FOUND"))</f>
        <v>North America (NORAM)</v>
      </c>
      <c r="I1385" s="7" t="str">
        <f aca="false">IF($D1385="","",IFERROR(IF(INDEX(Hierarchy!$F$2:$F$1295,MATCH($D1385,Hierarchy!$A$2:$A$1295,0))="","",INDEX(Hierarchy!$F$2:$F$1295,MATCH($D1385,Hierarchy!$A$2:$A$1295,0))),"NODE NOT FOUND"))</f>
        <v>Canada</v>
      </c>
      <c r="J1385" s="7" t="str">
        <f aca="false">IF($D1385="","",IFERROR(IF(INDEX(Hierarchy!$G$2:$G$1295,MATCH($D1385,Hierarchy!$A$2:$A$1295,0))="","",INDEX(Hierarchy!$G$2:$G$1295,MATCH($D1385,Hierarchy!$A$2:$A$1295,0))),"NODE NOT FOUND"))</f>
        <v>CAN</v>
      </c>
      <c r="K1385" s="7" t="str">
        <f aca="false">IF($D1385="","",IFERROR(IF(INDEX(Hierarchy!$H$2:$H$1295,MATCH($D1385,Hierarchy!$A$2:$A$1295,0))="","",INDEX(Hierarchy!$H$2:$H$1295,MATCH($D1385,Hierarchy!$A$2:$A$1295,0))),"NODE NOT FOUND"))</f>
        <v>Quebec</v>
      </c>
      <c r="L1385" s="7" t="str">
        <f aca="false">IF($D1385="","",IFERROR(IF(INDEX(Hierarchy!$I$2:$I$1295,MATCH($D1385,Hierarchy!$A$2:$A$1295,0))="","",INDEX(Hierarchy!$I$2:$I$1295,MATCH($D1385,Hierarchy!$A$2:$A$1295,0))),"NODE NOT FOUND"))</f>
        <v/>
      </c>
      <c r="M1385" s="17" t="str">
        <f aca="false">IF(B1385="Pre-seeded","Pre-seeded",IF(B1385="Review 2026-09-16","Added from review",IF(C1385="","New",IF(C1385=D1385,"","Changed"))))</f>
        <v>Pre-seeded</v>
      </c>
      <c r="N1385" s="7" t="str">
        <f aca="false">TRIM(SUBSTITUTE(SUBSTITUTE(SUBSTITUTE(" "&amp;TRIM(SUBSTITUTE(SUBSTITUTE(SUBSTITUTE(SUBSTITUTE(SUBSTITUTE(SUBSTITUTE(SUBSTITUTE(SUBSTITUTE(SUBSTITUTE(SUBSTITUTE(SUBSTITUTE(SUBSTITUTE(SUBSTITUTE(SUBSTITUTE(SUBSTITUTE(UPPER(TRIM(A1385)),"[MEMBER]",""),"{MEMBER}",""),"[MEMBER}",""),"MEMBER]",""),"(A)",""),"""",""),"“",""),"”",""),".",""),":",""),",",""),"–"," "),"-"," "),"/"," "),"&amp;"," AND "))&amp;" "," THE "," ")," TOTAL "," ")," OPERATIONS "," "))</f>
        <v>QUEBEC</v>
      </c>
      <c r="O1385" s="17" t="str">
        <f aca="false">IF(COUNTIFS($N$2:$N$2000,N1385,$D$2:$D$2000,"&lt;&gt;"&amp;D1385)&gt;0,"CONFLICT","")</f>
        <v/>
      </c>
      <c r="P1385" s="7"/>
    </row>
    <row r="1386" customFormat="false" ht="15" hidden="false" customHeight="false" outlineLevel="0" collapsed="false">
      <c r="A1386" s="7" t="s">
        <v>1706</v>
      </c>
      <c r="B1386" s="7" t="s">
        <v>1879</v>
      </c>
      <c r="C1386" s="7"/>
      <c r="D1386" s="6" t="s">
        <v>1706</v>
      </c>
      <c r="E1386" s="6" t="s">
        <v>1880</v>
      </c>
      <c r="F1386" s="7" t="str">
        <f aca="false">IF($D1386="","",IFERROR(IF(INDEX(Hierarchy!$B$2:$B$1295,MATCH($D1386,Hierarchy!$A$2:$A$1295,0))="","",INDEX(Hierarchy!$B$2:$B$1295,MATCH($D1386,Hierarchy!$A$2:$A$1295,0))),"NODE NOT FOUND"))</f>
        <v>State/Province</v>
      </c>
      <c r="G1386" s="7" t="str">
        <f aca="false">IF($D1386="","",IFERROR(IF(INDEX(Hierarchy!$D$2:$D$1295,MATCH($D1386,Hierarchy!$A$2:$A$1295,0))="","",INDEX(Hierarchy!$D$2:$D$1295,MATCH($D1386,Hierarchy!$A$2:$A$1295,0))),"NODE NOT FOUND"))</f>
        <v>APAC</v>
      </c>
      <c r="H1386" s="7" t="str">
        <f aca="false">IF($D1386="","",IFERROR(IF(INDEX(Hierarchy!$E$2:$E$1295,MATCH($D1386,Hierarchy!$A$2:$A$1295,0))="","",INDEX(Hierarchy!$E$2:$E$1295,MATCH($D1386,Hierarchy!$A$2:$A$1295,0))),"NODE NOT FOUND"))</f>
        <v>Oceania (ANZ)</v>
      </c>
      <c r="I1386" s="7" t="str">
        <f aca="false">IF($D1386="","",IFERROR(IF(INDEX(Hierarchy!$F$2:$F$1295,MATCH($D1386,Hierarchy!$A$2:$A$1295,0))="","",INDEX(Hierarchy!$F$2:$F$1295,MATCH($D1386,Hierarchy!$A$2:$A$1295,0))),"NODE NOT FOUND"))</f>
        <v>Australia</v>
      </c>
      <c r="J1386" s="7" t="str">
        <f aca="false">IF($D1386="","",IFERROR(IF(INDEX(Hierarchy!$G$2:$G$1295,MATCH($D1386,Hierarchy!$A$2:$A$1295,0))="","",INDEX(Hierarchy!$G$2:$G$1295,MATCH($D1386,Hierarchy!$A$2:$A$1295,0))),"NODE NOT FOUND"))</f>
        <v>AUS</v>
      </c>
      <c r="K1386" s="7" t="str">
        <f aca="false">IF($D1386="","",IFERROR(IF(INDEX(Hierarchy!$H$2:$H$1295,MATCH($D1386,Hierarchy!$A$2:$A$1295,0))="","",INDEX(Hierarchy!$H$2:$H$1295,MATCH($D1386,Hierarchy!$A$2:$A$1295,0))),"NODE NOT FOUND"))</f>
        <v>Queensland</v>
      </c>
      <c r="L1386" s="7" t="str">
        <f aca="false">IF($D1386="","",IFERROR(IF(INDEX(Hierarchy!$I$2:$I$1295,MATCH($D1386,Hierarchy!$A$2:$A$1295,0))="","",INDEX(Hierarchy!$I$2:$I$1295,MATCH($D1386,Hierarchy!$A$2:$A$1295,0))),"NODE NOT FOUND"))</f>
        <v/>
      </c>
      <c r="M1386" s="17" t="str">
        <f aca="false">IF(B1386="Pre-seeded","Pre-seeded",IF(B1386="Review 2026-09-16","Added from review",IF(C1386="","New",IF(C1386=D1386,"","Changed"))))</f>
        <v>Pre-seeded</v>
      </c>
      <c r="N1386" s="7" t="str">
        <f aca="false">TRIM(SUBSTITUTE(SUBSTITUTE(SUBSTITUTE(" "&amp;TRIM(SUBSTITUTE(SUBSTITUTE(SUBSTITUTE(SUBSTITUTE(SUBSTITUTE(SUBSTITUTE(SUBSTITUTE(SUBSTITUTE(SUBSTITUTE(SUBSTITUTE(SUBSTITUTE(SUBSTITUTE(SUBSTITUTE(SUBSTITUTE(SUBSTITUTE(UPPER(TRIM(A1386)),"[MEMBER]",""),"{MEMBER}",""),"[MEMBER}",""),"MEMBER]",""),"(A)",""),"""",""),"“",""),"”",""),".",""),":",""),",",""),"–"," "),"-"," "),"/"," "),"&amp;"," AND "))&amp;" "," THE "," ")," TOTAL "," ")," OPERATIONS "," "))</f>
        <v>QUEENSLAND</v>
      </c>
      <c r="O1386" s="17" t="str">
        <f aca="false">IF(COUNTIFS($N$2:$N$2000,N1386,$D$2:$D$2000,"&lt;&gt;"&amp;D1386)&gt;0,"CONFLICT","")</f>
        <v/>
      </c>
      <c r="P1386" s="7"/>
    </row>
    <row r="1387" customFormat="false" ht="15" hidden="false" customHeight="false" outlineLevel="0" collapsed="false">
      <c r="A1387" s="7" t="s">
        <v>407</v>
      </c>
      <c r="B1387" s="7" t="s">
        <v>1879</v>
      </c>
      <c r="C1387" s="7"/>
      <c r="D1387" s="6" t="s">
        <v>407</v>
      </c>
      <c r="E1387" s="6" t="s">
        <v>1880</v>
      </c>
      <c r="F1387" s="7" t="str">
        <f aca="false">IF($D1387="","",IFERROR(IF(INDEX(Hierarchy!$B$2:$B$1295,MATCH($D1387,Hierarchy!$A$2:$A$1295,0))="","",INDEX(Hierarchy!$B$2:$B$1295,MATCH($D1387,Hierarchy!$A$2:$A$1295,0))),"NODE NOT FOUND"))</f>
        <v>State/Province</v>
      </c>
      <c r="G1387" s="7" t="str">
        <f aca="false">IF($D1387="","",IFERROR(IF(INDEX(Hierarchy!$D$2:$D$1295,MATCH($D1387,Hierarchy!$A$2:$A$1295,0))="","",INDEX(Hierarchy!$D$2:$D$1295,MATCH($D1387,Hierarchy!$A$2:$A$1295,0))),"NODE NOT FOUND"))</f>
        <v>AMER</v>
      </c>
      <c r="H1387" s="7" t="str">
        <f aca="false">IF($D1387="","",IFERROR(IF(INDEX(Hierarchy!$E$2:$E$1295,MATCH($D1387,Hierarchy!$A$2:$A$1295,0))="","",INDEX(Hierarchy!$E$2:$E$1295,MATCH($D1387,Hierarchy!$A$2:$A$1295,0))),"NODE NOT FOUND"))</f>
        <v>Latin America (LATAM)</v>
      </c>
      <c r="I1387" s="7" t="str">
        <f aca="false">IF($D1387="","",IFERROR(IF(INDEX(Hierarchy!$F$2:$F$1295,MATCH($D1387,Hierarchy!$A$2:$A$1295,0))="","",INDEX(Hierarchy!$F$2:$F$1295,MATCH($D1387,Hierarchy!$A$2:$A$1295,0))),"NODE NOT FOUND"))</f>
        <v>Mexico</v>
      </c>
      <c r="J1387" s="7" t="str">
        <f aca="false">IF($D1387="","",IFERROR(IF(INDEX(Hierarchy!$G$2:$G$1295,MATCH($D1387,Hierarchy!$A$2:$A$1295,0))="","",INDEX(Hierarchy!$G$2:$G$1295,MATCH($D1387,Hierarchy!$A$2:$A$1295,0))),"NODE NOT FOUND"))</f>
        <v>MEX</v>
      </c>
      <c r="K1387" s="7" t="str">
        <f aca="false">IF($D1387="","",IFERROR(IF(INDEX(Hierarchy!$H$2:$H$1295,MATCH($D1387,Hierarchy!$A$2:$A$1295,0))="","",INDEX(Hierarchy!$H$2:$H$1295,MATCH($D1387,Hierarchy!$A$2:$A$1295,0))),"NODE NOT FOUND"))</f>
        <v>Querétaro</v>
      </c>
      <c r="L1387" s="7" t="str">
        <f aca="false">IF($D1387="","",IFERROR(IF(INDEX(Hierarchy!$I$2:$I$1295,MATCH($D1387,Hierarchy!$A$2:$A$1295,0))="","",INDEX(Hierarchy!$I$2:$I$1295,MATCH($D1387,Hierarchy!$A$2:$A$1295,0))),"NODE NOT FOUND"))</f>
        <v/>
      </c>
      <c r="M1387" s="17" t="str">
        <f aca="false">IF(B1387="Pre-seeded","Pre-seeded",IF(B1387="Review 2026-09-16","Added from review",IF(C1387="","New",IF(C1387=D1387,"","Changed"))))</f>
        <v>Pre-seeded</v>
      </c>
      <c r="N1387" s="7" t="str">
        <f aca="false">TRIM(SUBSTITUTE(SUBSTITUTE(SUBSTITUTE(" "&amp;TRIM(SUBSTITUTE(SUBSTITUTE(SUBSTITUTE(SUBSTITUTE(SUBSTITUTE(SUBSTITUTE(SUBSTITUTE(SUBSTITUTE(SUBSTITUTE(SUBSTITUTE(SUBSTITUTE(SUBSTITUTE(SUBSTITUTE(SUBSTITUTE(SUBSTITUTE(UPPER(TRIM(A1387)),"[MEMBER]",""),"{MEMBER}",""),"[MEMBER}",""),"MEMBER]",""),"(A)",""),"""",""),"“",""),"”",""),".",""),":",""),",",""),"–"," "),"-"," "),"/"," "),"&amp;"," AND "))&amp;" "," THE "," ")," TOTAL "," ")," OPERATIONS "," "))</f>
        <v>QUERÉTARO</v>
      </c>
      <c r="O1387" s="17" t="str">
        <f aca="false">IF(COUNTIFS($N$2:$N$2000,N1387,$D$2:$D$2000,"&lt;&gt;"&amp;D1387)&gt;0,"CONFLICT","")</f>
        <v/>
      </c>
      <c r="P1387" s="7"/>
    </row>
    <row r="1388" customFormat="false" ht="15" hidden="false" customHeight="false" outlineLevel="0" collapsed="false">
      <c r="A1388" s="7" t="s">
        <v>525</v>
      </c>
      <c r="B1388" s="7" t="s">
        <v>1879</v>
      </c>
      <c r="C1388" s="7"/>
      <c r="D1388" s="6" t="s">
        <v>525</v>
      </c>
      <c r="E1388" s="6" t="s">
        <v>1880</v>
      </c>
      <c r="F1388" s="7" t="str">
        <f aca="false">IF($D1388="","",IFERROR(IF(INDEX(Hierarchy!$B$2:$B$1295,MATCH($D1388,Hierarchy!$A$2:$A$1295,0))="","",INDEX(Hierarchy!$B$2:$B$1295,MATCH($D1388,Hierarchy!$A$2:$A$1295,0))),"NODE NOT FOUND"))</f>
        <v>State/Province</v>
      </c>
      <c r="G1388" s="7" t="str">
        <f aca="false">IF($D1388="","",IFERROR(IF(INDEX(Hierarchy!$D$2:$D$1295,MATCH($D1388,Hierarchy!$A$2:$A$1295,0))="","",INDEX(Hierarchy!$D$2:$D$1295,MATCH($D1388,Hierarchy!$A$2:$A$1295,0))),"NODE NOT FOUND"))</f>
        <v>AMER</v>
      </c>
      <c r="H1388" s="7" t="str">
        <f aca="false">IF($D1388="","",IFERROR(IF(INDEX(Hierarchy!$E$2:$E$1295,MATCH($D1388,Hierarchy!$A$2:$A$1295,0))="","",INDEX(Hierarchy!$E$2:$E$1295,MATCH($D1388,Hierarchy!$A$2:$A$1295,0))),"NODE NOT FOUND"))</f>
        <v>Latin America (LATAM)</v>
      </c>
      <c r="I1388" s="7" t="str">
        <f aca="false">IF($D1388="","",IFERROR(IF(INDEX(Hierarchy!$F$2:$F$1295,MATCH($D1388,Hierarchy!$A$2:$A$1295,0))="","",INDEX(Hierarchy!$F$2:$F$1295,MATCH($D1388,Hierarchy!$A$2:$A$1295,0))),"NODE NOT FOUND"))</f>
        <v>Colombia</v>
      </c>
      <c r="J1388" s="7" t="str">
        <f aca="false">IF($D1388="","",IFERROR(IF(INDEX(Hierarchy!$G$2:$G$1295,MATCH($D1388,Hierarchy!$A$2:$A$1295,0))="","",INDEX(Hierarchy!$G$2:$G$1295,MATCH($D1388,Hierarchy!$A$2:$A$1295,0))),"NODE NOT FOUND"))</f>
        <v>COL</v>
      </c>
      <c r="K1388" s="7" t="str">
        <f aca="false">IF($D1388="","",IFERROR(IF(INDEX(Hierarchy!$H$2:$H$1295,MATCH($D1388,Hierarchy!$A$2:$A$1295,0))="","",INDEX(Hierarchy!$H$2:$H$1295,MATCH($D1388,Hierarchy!$A$2:$A$1295,0))),"NODE NOT FOUND"))</f>
        <v>Quindío</v>
      </c>
      <c r="L1388" s="7" t="str">
        <f aca="false">IF($D1388="","",IFERROR(IF(INDEX(Hierarchy!$I$2:$I$1295,MATCH($D1388,Hierarchy!$A$2:$A$1295,0))="","",INDEX(Hierarchy!$I$2:$I$1295,MATCH($D1388,Hierarchy!$A$2:$A$1295,0))),"NODE NOT FOUND"))</f>
        <v/>
      </c>
      <c r="M1388" s="17" t="str">
        <f aca="false">IF(B1388="Pre-seeded","Pre-seeded",IF(B1388="Review 2026-09-16","Added from review",IF(C1388="","New",IF(C1388=D1388,"","Changed"))))</f>
        <v>Pre-seeded</v>
      </c>
      <c r="N1388" s="7" t="str">
        <f aca="false">TRIM(SUBSTITUTE(SUBSTITUTE(SUBSTITUTE(" "&amp;TRIM(SUBSTITUTE(SUBSTITUTE(SUBSTITUTE(SUBSTITUTE(SUBSTITUTE(SUBSTITUTE(SUBSTITUTE(SUBSTITUTE(SUBSTITUTE(SUBSTITUTE(SUBSTITUTE(SUBSTITUTE(SUBSTITUTE(SUBSTITUTE(SUBSTITUTE(UPPER(TRIM(A1388)),"[MEMBER]",""),"{MEMBER}",""),"[MEMBER}",""),"MEMBER]",""),"(A)",""),"""",""),"“",""),"”",""),".",""),":",""),",",""),"–"," "),"-"," "),"/"," "),"&amp;"," AND "))&amp;" "," THE "," ")," TOTAL "," ")," OPERATIONS "," "))</f>
        <v>QUINDÍO</v>
      </c>
      <c r="O1388" s="17" t="str">
        <f aca="false">IF(COUNTIFS($N$2:$N$2000,N1388,$D$2:$D$2000,"&lt;&gt;"&amp;D1388)&gt;0,"CONFLICT","")</f>
        <v/>
      </c>
      <c r="P1388" s="7"/>
    </row>
    <row r="1389" customFormat="false" ht="15" hidden="false" customHeight="false" outlineLevel="0" collapsed="false">
      <c r="A1389" s="7" t="s">
        <v>408</v>
      </c>
      <c r="B1389" s="7" t="s">
        <v>1879</v>
      </c>
      <c r="C1389" s="7"/>
      <c r="D1389" s="6" t="s">
        <v>408</v>
      </c>
      <c r="E1389" s="6" t="s">
        <v>1880</v>
      </c>
      <c r="F1389" s="7" t="str">
        <f aca="false">IF($D1389="","",IFERROR(IF(INDEX(Hierarchy!$B$2:$B$1295,MATCH($D1389,Hierarchy!$A$2:$A$1295,0))="","",INDEX(Hierarchy!$B$2:$B$1295,MATCH($D1389,Hierarchy!$A$2:$A$1295,0))),"NODE NOT FOUND"))</f>
        <v>State/Province</v>
      </c>
      <c r="G1389" s="7" t="str">
        <f aca="false">IF($D1389="","",IFERROR(IF(INDEX(Hierarchy!$D$2:$D$1295,MATCH($D1389,Hierarchy!$A$2:$A$1295,0))="","",INDEX(Hierarchy!$D$2:$D$1295,MATCH($D1389,Hierarchy!$A$2:$A$1295,0))),"NODE NOT FOUND"))</f>
        <v>AMER</v>
      </c>
      <c r="H1389" s="7" t="str">
        <f aca="false">IF($D1389="","",IFERROR(IF(INDEX(Hierarchy!$E$2:$E$1295,MATCH($D1389,Hierarchy!$A$2:$A$1295,0))="","",INDEX(Hierarchy!$E$2:$E$1295,MATCH($D1389,Hierarchy!$A$2:$A$1295,0))),"NODE NOT FOUND"))</f>
        <v>Latin America (LATAM)</v>
      </c>
      <c r="I1389" s="7" t="str">
        <f aca="false">IF($D1389="","",IFERROR(IF(INDEX(Hierarchy!$F$2:$F$1295,MATCH($D1389,Hierarchy!$A$2:$A$1295,0))="","",INDEX(Hierarchy!$F$2:$F$1295,MATCH($D1389,Hierarchy!$A$2:$A$1295,0))),"NODE NOT FOUND"))</f>
        <v>Mexico</v>
      </c>
      <c r="J1389" s="7" t="str">
        <f aca="false">IF($D1389="","",IFERROR(IF(INDEX(Hierarchy!$G$2:$G$1295,MATCH($D1389,Hierarchy!$A$2:$A$1295,0))="","",INDEX(Hierarchy!$G$2:$G$1295,MATCH($D1389,Hierarchy!$A$2:$A$1295,0))),"NODE NOT FOUND"))</f>
        <v>MEX</v>
      </c>
      <c r="K1389" s="7" t="str">
        <f aca="false">IF($D1389="","",IFERROR(IF(INDEX(Hierarchy!$H$2:$H$1295,MATCH($D1389,Hierarchy!$A$2:$A$1295,0))="","",INDEX(Hierarchy!$H$2:$H$1295,MATCH($D1389,Hierarchy!$A$2:$A$1295,0))),"NODE NOT FOUND"))</f>
        <v>Quintana Roo</v>
      </c>
      <c r="L1389" s="7" t="str">
        <f aca="false">IF($D1389="","",IFERROR(IF(INDEX(Hierarchy!$I$2:$I$1295,MATCH($D1389,Hierarchy!$A$2:$A$1295,0))="","",INDEX(Hierarchy!$I$2:$I$1295,MATCH($D1389,Hierarchy!$A$2:$A$1295,0))),"NODE NOT FOUND"))</f>
        <v/>
      </c>
      <c r="M1389" s="17" t="str">
        <f aca="false">IF(B1389="Pre-seeded","Pre-seeded",IF(B1389="Review 2026-09-16","Added from review",IF(C1389="","New",IF(C1389=D1389,"","Changed"))))</f>
        <v>Pre-seeded</v>
      </c>
      <c r="N1389" s="7" t="str">
        <f aca="false">TRIM(SUBSTITUTE(SUBSTITUTE(SUBSTITUTE(" "&amp;TRIM(SUBSTITUTE(SUBSTITUTE(SUBSTITUTE(SUBSTITUTE(SUBSTITUTE(SUBSTITUTE(SUBSTITUTE(SUBSTITUTE(SUBSTITUTE(SUBSTITUTE(SUBSTITUTE(SUBSTITUTE(SUBSTITUTE(SUBSTITUTE(SUBSTITUTE(UPPER(TRIM(A1389)),"[MEMBER]",""),"{MEMBER}",""),"[MEMBER}",""),"MEMBER]",""),"(A)",""),"""",""),"“",""),"”",""),".",""),":",""),",",""),"–"," "),"-"," "),"/"," "),"&amp;"," AND "))&amp;" "," THE "," ")," TOTAL "," ")," OPERATIONS "," "))</f>
        <v>QUINTANA ROO</v>
      </c>
      <c r="O1389" s="17" t="str">
        <f aca="false">IF(COUNTIFS($N$2:$N$2000,N1389,$D$2:$D$2000,"&lt;&gt;"&amp;D1389)&gt;0,"CONFLICT","")</f>
        <v/>
      </c>
      <c r="P1389" s="7"/>
    </row>
    <row r="1390" customFormat="false" ht="15" hidden="false" customHeight="false" outlineLevel="0" collapsed="false">
      <c r="A1390" s="7" t="s">
        <v>2569</v>
      </c>
      <c r="B1390" s="7" t="s">
        <v>1879</v>
      </c>
      <c r="C1390" s="7"/>
      <c r="D1390" s="6" t="s">
        <v>298</v>
      </c>
      <c r="E1390" s="6" t="s">
        <v>1880</v>
      </c>
      <c r="F1390" s="7" t="str">
        <f aca="false">IF($D1390="","",IFERROR(IF(INDEX(Hierarchy!$B$2:$B$1295,MATCH($D1390,Hierarchy!$A$2:$A$1295,0))="","",INDEX(Hierarchy!$B$2:$B$1295,MATCH($D1390,Hierarchy!$A$2:$A$1295,0))),"NODE NOT FOUND"))</f>
        <v>State/Province</v>
      </c>
      <c r="G1390" s="7" t="str">
        <f aca="false">IF($D1390="","",IFERROR(IF(INDEX(Hierarchy!$D$2:$D$1295,MATCH($D1390,Hierarchy!$A$2:$A$1295,0))="","",INDEX(Hierarchy!$D$2:$D$1295,MATCH($D1390,Hierarchy!$A$2:$A$1295,0))),"NODE NOT FOUND"))</f>
        <v>AMER</v>
      </c>
      <c r="H1390" s="7" t="str">
        <f aca="false">IF($D1390="","",IFERROR(IF(INDEX(Hierarchy!$E$2:$E$1295,MATCH($D1390,Hierarchy!$A$2:$A$1295,0))="","",INDEX(Hierarchy!$E$2:$E$1295,MATCH($D1390,Hierarchy!$A$2:$A$1295,0))),"NODE NOT FOUND"))</f>
        <v>North America (NORAM)</v>
      </c>
      <c r="I1390" s="7" t="str">
        <f aca="false">IF($D1390="","",IFERROR(IF(INDEX(Hierarchy!$F$2:$F$1295,MATCH($D1390,Hierarchy!$A$2:$A$1295,0))="","",INDEX(Hierarchy!$F$2:$F$1295,MATCH($D1390,Hierarchy!$A$2:$A$1295,0))),"NODE NOT FOUND"))</f>
        <v>Canada</v>
      </c>
      <c r="J1390" s="7" t="str">
        <f aca="false">IF($D1390="","",IFERROR(IF(INDEX(Hierarchy!$G$2:$G$1295,MATCH($D1390,Hierarchy!$A$2:$A$1295,0))="","",INDEX(Hierarchy!$G$2:$G$1295,MATCH($D1390,Hierarchy!$A$2:$A$1295,0))),"NODE NOT FOUND"))</f>
        <v>CAN</v>
      </c>
      <c r="K1390" s="7" t="str">
        <f aca="false">IF($D1390="","",IFERROR(IF(INDEX(Hierarchy!$H$2:$H$1295,MATCH($D1390,Hierarchy!$A$2:$A$1295,0))="","",INDEX(Hierarchy!$H$2:$H$1295,MATCH($D1390,Hierarchy!$A$2:$A$1295,0))),"NODE NOT FOUND"))</f>
        <v>Quebec</v>
      </c>
      <c r="L1390" s="7" t="str">
        <f aca="false">IF($D1390="","",IFERROR(IF(INDEX(Hierarchy!$I$2:$I$1295,MATCH($D1390,Hierarchy!$A$2:$A$1295,0))="","",INDEX(Hierarchy!$I$2:$I$1295,MATCH($D1390,Hierarchy!$A$2:$A$1295,0))),"NODE NOT FOUND"))</f>
        <v/>
      </c>
      <c r="M1390" s="17" t="str">
        <f aca="false">IF(B1390="Pre-seeded","Pre-seeded",IF(B1390="Review 2026-09-16","Added from review",IF(C1390="","New",IF(C1390=D1390,"","Changed"))))</f>
        <v>Pre-seeded</v>
      </c>
      <c r="N1390" s="7" t="str">
        <f aca="false">TRIM(SUBSTITUTE(SUBSTITUTE(SUBSTITUTE(" "&amp;TRIM(SUBSTITUTE(SUBSTITUTE(SUBSTITUTE(SUBSTITUTE(SUBSTITUTE(SUBSTITUTE(SUBSTITUTE(SUBSTITUTE(SUBSTITUTE(SUBSTITUTE(SUBSTITUTE(SUBSTITUTE(SUBSTITUTE(SUBSTITUTE(SUBSTITUTE(UPPER(TRIM(A1390)),"[MEMBER]",""),"{MEMBER}",""),"[MEMBER}",""),"MEMBER]",""),"(A)",""),"""",""),"“",""),"”",""),".",""),":",""),",",""),"–"," "),"-"," "),"/"," "),"&amp;"," AND "))&amp;" "," THE "," ")," TOTAL "," ")," OPERATIONS "," "))</f>
        <v>QUÉBEC</v>
      </c>
      <c r="O1390" s="17" t="str">
        <f aca="false">IF(COUNTIFS($N$2:$N$2000,N1390,$D$2:$D$2000,"&lt;&gt;"&amp;D1390)&gt;0,"CONFLICT","")</f>
        <v/>
      </c>
      <c r="P1390" s="7"/>
    </row>
    <row r="1391" customFormat="false" ht="15" hidden="false" customHeight="false" outlineLevel="0" collapsed="false">
      <c r="A1391" s="7" t="s">
        <v>1360</v>
      </c>
      <c r="B1391" s="7" t="s">
        <v>1879</v>
      </c>
      <c r="C1391" s="7"/>
      <c r="D1391" s="6" t="s">
        <v>1360</v>
      </c>
      <c r="E1391" s="6" t="s">
        <v>1880</v>
      </c>
      <c r="F1391" s="7" t="str">
        <f aca="false">IF($D1391="","",IFERROR(IF(INDEX(Hierarchy!$B$2:$B$1295,MATCH($D1391,Hierarchy!$A$2:$A$1295,0))="","",INDEX(Hierarchy!$B$2:$B$1295,MATCH($D1391,Hierarchy!$A$2:$A$1295,0))),"NODE NOT FOUND"))</f>
        <v>State/Province</v>
      </c>
      <c r="G1391" s="7" t="str">
        <f aca="false">IF($D1391="","",IFERROR(IF(INDEX(Hierarchy!$D$2:$D$1295,MATCH($D1391,Hierarchy!$A$2:$A$1295,0))="","",INDEX(Hierarchy!$D$2:$D$1295,MATCH($D1391,Hierarchy!$A$2:$A$1295,0))),"NODE NOT FOUND"))</f>
        <v>APAC</v>
      </c>
      <c r="H1391" s="7" t="str">
        <f aca="false">IF($D1391="","",IFERROR(IF(INDEX(Hierarchy!$E$2:$E$1295,MATCH($D1391,Hierarchy!$A$2:$A$1295,0))="","",INDEX(Hierarchy!$E$2:$E$1295,MATCH($D1391,Hierarchy!$A$2:$A$1295,0))),"NODE NOT FOUND"))</f>
        <v>South Asia</v>
      </c>
      <c r="I1391" s="7" t="str">
        <f aca="false">IF($D1391="","",IFERROR(IF(INDEX(Hierarchy!$F$2:$F$1295,MATCH($D1391,Hierarchy!$A$2:$A$1295,0))="","",INDEX(Hierarchy!$F$2:$F$1295,MATCH($D1391,Hierarchy!$A$2:$A$1295,0))),"NODE NOT FOUND"))</f>
        <v>India</v>
      </c>
      <c r="J1391" s="7" t="str">
        <f aca="false">IF($D1391="","",IFERROR(IF(INDEX(Hierarchy!$G$2:$G$1295,MATCH($D1391,Hierarchy!$A$2:$A$1295,0))="","",INDEX(Hierarchy!$G$2:$G$1295,MATCH($D1391,Hierarchy!$A$2:$A$1295,0))),"NODE NOT FOUND"))</f>
        <v>IND</v>
      </c>
      <c r="K1391" s="7" t="str">
        <f aca="false">IF($D1391="","",IFERROR(IF(INDEX(Hierarchy!$H$2:$H$1295,MATCH($D1391,Hierarchy!$A$2:$A$1295,0))="","",INDEX(Hierarchy!$H$2:$H$1295,MATCH($D1391,Hierarchy!$A$2:$A$1295,0))),"NODE NOT FOUND"))</f>
        <v>Rajasthan</v>
      </c>
      <c r="L1391" s="7" t="str">
        <f aca="false">IF($D1391="","",IFERROR(IF(INDEX(Hierarchy!$I$2:$I$1295,MATCH($D1391,Hierarchy!$A$2:$A$1295,0))="","",INDEX(Hierarchy!$I$2:$I$1295,MATCH($D1391,Hierarchy!$A$2:$A$1295,0))),"NODE NOT FOUND"))</f>
        <v/>
      </c>
      <c r="M1391" s="17" t="str">
        <f aca="false">IF(B1391="Pre-seeded","Pre-seeded",IF(B1391="Review 2026-09-16","Added from review",IF(C1391="","New",IF(C1391=D1391,"","Changed"))))</f>
        <v>Pre-seeded</v>
      </c>
      <c r="N1391" s="7" t="str">
        <f aca="false">TRIM(SUBSTITUTE(SUBSTITUTE(SUBSTITUTE(" "&amp;TRIM(SUBSTITUTE(SUBSTITUTE(SUBSTITUTE(SUBSTITUTE(SUBSTITUTE(SUBSTITUTE(SUBSTITUTE(SUBSTITUTE(SUBSTITUTE(SUBSTITUTE(SUBSTITUTE(SUBSTITUTE(SUBSTITUTE(SUBSTITUTE(SUBSTITUTE(UPPER(TRIM(A1391)),"[MEMBER]",""),"{MEMBER}",""),"[MEMBER}",""),"MEMBER]",""),"(A)",""),"""",""),"“",""),"”",""),".",""),":",""),",",""),"–"," "),"-"," "),"/"," "),"&amp;"," AND "))&amp;" "," THE "," ")," TOTAL "," ")," OPERATIONS "," "))</f>
        <v>RAJASTHAN</v>
      </c>
      <c r="O1391" s="17" t="str">
        <f aca="false">IF(COUNTIFS($N$2:$N$2000,N1391,$D$2:$D$2000,"&lt;&gt;"&amp;D1391)&gt;0,"CONFLICT","")</f>
        <v/>
      </c>
      <c r="P1391" s="7"/>
    </row>
    <row r="1392" customFormat="false" ht="15" hidden="false" customHeight="false" outlineLevel="0" collapsed="false">
      <c r="A1392" s="7" t="s">
        <v>1383</v>
      </c>
      <c r="B1392" s="7" t="s">
        <v>1879</v>
      </c>
      <c r="C1392" s="7"/>
      <c r="D1392" s="6" t="s">
        <v>1383</v>
      </c>
      <c r="E1392" s="6" t="s">
        <v>1880</v>
      </c>
      <c r="F1392" s="7" t="str">
        <f aca="false">IF($D1392="","",IFERROR(IF(INDEX(Hierarchy!$B$2:$B$1295,MATCH($D1392,Hierarchy!$A$2:$A$1295,0))="","",INDEX(Hierarchy!$B$2:$B$1295,MATCH($D1392,Hierarchy!$A$2:$A$1295,0))),"NODE NOT FOUND"))</f>
        <v>State/Province</v>
      </c>
      <c r="G1392" s="7" t="str">
        <f aca="false">IF($D1392="","",IFERROR(IF(INDEX(Hierarchy!$D$2:$D$1295,MATCH($D1392,Hierarchy!$A$2:$A$1295,0))="","",INDEX(Hierarchy!$D$2:$D$1295,MATCH($D1392,Hierarchy!$A$2:$A$1295,0))),"NODE NOT FOUND"))</f>
        <v>APAC</v>
      </c>
      <c r="H1392" s="7" t="str">
        <f aca="false">IF($D1392="","",IFERROR(IF(INDEX(Hierarchy!$E$2:$E$1295,MATCH($D1392,Hierarchy!$A$2:$A$1295,0))="","",INDEX(Hierarchy!$E$2:$E$1295,MATCH($D1392,Hierarchy!$A$2:$A$1295,0))),"NODE NOT FOUND"))</f>
        <v>South Asia</v>
      </c>
      <c r="I1392" s="7" t="str">
        <f aca="false">IF($D1392="","",IFERROR(IF(INDEX(Hierarchy!$F$2:$F$1295,MATCH($D1392,Hierarchy!$A$2:$A$1295,0))="","",INDEX(Hierarchy!$F$2:$F$1295,MATCH($D1392,Hierarchy!$A$2:$A$1295,0))),"NODE NOT FOUND"))</f>
        <v>Bangladesh</v>
      </c>
      <c r="J1392" s="7" t="str">
        <f aca="false">IF($D1392="","",IFERROR(IF(INDEX(Hierarchy!$G$2:$G$1295,MATCH($D1392,Hierarchy!$A$2:$A$1295,0))="","",INDEX(Hierarchy!$G$2:$G$1295,MATCH($D1392,Hierarchy!$A$2:$A$1295,0))),"NODE NOT FOUND"))</f>
        <v>BGD</v>
      </c>
      <c r="K1392" s="7" t="str">
        <f aca="false">IF($D1392="","",IFERROR(IF(INDEX(Hierarchy!$H$2:$H$1295,MATCH($D1392,Hierarchy!$A$2:$A$1295,0))="","",INDEX(Hierarchy!$H$2:$H$1295,MATCH($D1392,Hierarchy!$A$2:$A$1295,0))),"NODE NOT FOUND"))</f>
        <v>Rajshahi</v>
      </c>
      <c r="L1392" s="7" t="str">
        <f aca="false">IF($D1392="","",IFERROR(IF(INDEX(Hierarchy!$I$2:$I$1295,MATCH($D1392,Hierarchy!$A$2:$A$1295,0))="","",INDEX(Hierarchy!$I$2:$I$1295,MATCH($D1392,Hierarchy!$A$2:$A$1295,0))),"NODE NOT FOUND"))</f>
        <v/>
      </c>
      <c r="M1392" s="17" t="str">
        <f aca="false">IF(B1392="Pre-seeded","Pre-seeded",IF(B1392="Review 2026-09-16","Added from review",IF(C1392="","New",IF(C1392=D1392,"","Changed"))))</f>
        <v>Pre-seeded</v>
      </c>
      <c r="N1392" s="7" t="str">
        <f aca="false">TRIM(SUBSTITUTE(SUBSTITUTE(SUBSTITUTE(" "&amp;TRIM(SUBSTITUTE(SUBSTITUTE(SUBSTITUTE(SUBSTITUTE(SUBSTITUTE(SUBSTITUTE(SUBSTITUTE(SUBSTITUTE(SUBSTITUTE(SUBSTITUTE(SUBSTITUTE(SUBSTITUTE(SUBSTITUTE(SUBSTITUTE(SUBSTITUTE(UPPER(TRIM(A1392)),"[MEMBER]",""),"{MEMBER}",""),"[MEMBER}",""),"MEMBER]",""),"(A)",""),"""",""),"“",""),"”",""),".",""),":",""),",",""),"–"," "),"-"," "),"/"," "),"&amp;"," AND "))&amp;" "," THE "," ")," TOTAL "," ")," OPERATIONS "," "))</f>
        <v>RAJSHAHI</v>
      </c>
      <c r="O1392" s="17" t="str">
        <f aca="false">IF(COUNTIFS($N$2:$N$2000,N1392,$D$2:$D$2000,"&lt;&gt;"&amp;D1392)&gt;0,"CONFLICT","")</f>
        <v/>
      </c>
      <c r="P1392" s="7"/>
    </row>
    <row r="1393" customFormat="false" ht="15" hidden="false" customHeight="false" outlineLevel="0" collapsed="false">
      <c r="A1393" s="7" t="s">
        <v>1384</v>
      </c>
      <c r="B1393" s="7" t="s">
        <v>1879</v>
      </c>
      <c r="C1393" s="7"/>
      <c r="D1393" s="6" t="s">
        <v>1384</v>
      </c>
      <c r="E1393" s="6" t="s">
        <v>1880</v>
      </c>
      <c r="F1393" s="7" t="str">
        <f aca="false">IF($D1393="","",IFERROR(IF(INDEX(Hierarchy!$B$2:$B$1295,MATCH($D1393,Hierarchy!$A$2:$A$1295,0))="","",INDEX(Hierarchy!$B$2:$B$1295,MATCH($D1393,Hierarchy!$A$2:$A$1295,0))),"NODE NOT FOUND"))</f>
        <v>State/Province</v>
      </c>
      <c r="G1393" s="7" t="str">
        <f aca="false">IF($D1393="","",IFERROR(IF(INDEX(Hierarchy!$D$2:$D$1295,MATCH($D1393,Hierarchy!$A$2:$A$1295,0))="","",INDEX(Hierarchy!$D$2:$D$1295,MATCH($D1393,Hierarchy!$A$2:$A$1295,0))),"NODE NOT FOUND"))</f>
        <v>APAC</v>
      </c>
      <c r="H1393" s="7" t="str">
        <f aca="false">IF($D1393="","",IFERROR(IF(INDEX(Hierarchy!$E$2:$E$1295,MATCH($D1393,Hierarchy!$A$2:$A$1295,0))="","",INDEX(Hierarchy!$E$2:$E$1295,MATCH($D1393,Hierarchy!$A$2:$A$1295,0))),"NODE NOT FOUND"))</f>
        <v>South Asia</v>
      </c>
      <c r="I1393" s="7" t="str">
        <f aca="false">IF($D1393="","",IFERROR(IF(INDEX(Hierarchy!$F$2:$F$1295,MATCH($D1393,Hierarchy!$A$2:$A$1295,0))="","",INDEX(Hierarchy!$F$2:$F$1295,MATCH($D1393,Hierarchy!$A$2:$A$1295,0))),"NODE NOT FOUND"))</f>
        <v>Bangladesh</v>
      </c>
      <c r="J1393" s="7" t="str">
        <f aca="false">IF($D1393="","",IFERROR(IF(INDEX(Hierarchy!$G$2:$G$1295,MATCH($D1393,Hierarchy!$A$2:$A$1295,0))="","",INDEX(Hierarchy!$G$2:$G$1295,MATCH($D1393,Hierarchy!$A$2:$A$1295,0))),"NODE NOT FOUND"))</f>
        <v>BGD</v>
      </c>
      <c r="K1393" s="7" t="str">
        <f aca="false">IF($D1393="","",IFERROR(IF(INDEX(Hierarchy!$H$2:$H$1295,MATCH($D1393,Hierarchy!$A$2:$A$1295,0))="","",INDEX(Hierarchy!$H$2:$H$1295,MATCH($D1393,Hierarchy!$A$2:$A$1295,0))),"NODE NOT FOUND"))</f>
        <v>Rangpur</v>
      </c>
      <c r="L1393" s="7" t="str">
        <f aca="false">IF($D1393="","",IFERROR(IF(INDEX(Hierarchy!$I$2:$I$1295,MATCH($D1393,Hierarchy!$A$2:$A$1295,0))="","",INDEX(Hierarchy!$I$2:$I$1295,MATCH($D1393,Hierarchy!$A$2:$A$1295,0))),"NODE NOT FOUND"))</f>
        <v/>
      </c>
      <c r="M1393" s="17" t="str">
        <f aca="false">IF(B1393="Pre-seeded","Pre-seeded",IF(B1393="Review 2026-09-16","Added from review",IF(C1393="","New",IF(C1393=D1393,"","Changed"))))</f>
        <v>Pre-seeded</v>
      </c>
      <c r="N1393" s="7" t="str">
        <f aca="false">TRIM(SUBSTITUTE(SUBSTITUTE(SUBSTITUTE(" "&amp;TRIM(SUBSTITUTE(SUBSTITUTE(SUBSTITUTE(SUBSTITUTE(SUBSTITUTE(SUBSTITUTE(SUBSTITUTE(SUBSTITUTE(SUBSTITUTE(SUBSTITUTE(SUBSTITUTE(SUBSTITUTE(SUBSTITUTE(SUBSTITUTE(SUBSTITUTE(UPPER(TRIM(A1393)),"[MEMBER]",""),"{MEMBER}",""),"[MEMBER}",""),"MEMBER]",""),"(A)",""),"""",""),"“",""),"”",""),".",""),":",""),",",""),"–"," "),"-"," "),"/"," "),"&amp;"," AND "))&amp;" "," THE "," ")," TOTAL "," ")," OPERATIONS "," "))</f>
        <v>RANGPUR</v>
      </c>
      <c r="O1393" s="17" t="str">
        <f aca="false">IF(COUNTIFS($N$2:$N$2000,N1393,$D$2:$D$2000,"&lt;&gt;"&amp;D1393)&gt;0,"CONFLICT","")</f>
        <v/>
      </c>
      <c r="P1393" s="7"/>
    </row>
    <row r="1394" customFormat="false" ht="15" hidden="false" customHeight="false" outlineLevel="0" collapsed="false">
      <c r="A1394" s="7" t="s">
        <v>1043</v>
      </c>
      <c r="B1394" s="7" t="s">
        <v>1879</v>
      </c>
      <c r="C1394" s="7"/>
      <c r="D1394" s="6" t="s">
        <v>1043</v>
      </c>
      <c r="E1394" s="6" t="s">
        <v>1880</v>
      </c>
      <c r="F1394" s="7" t="str">
        <f aca="false">IF($D1394="","",IFERROR(IF(INDEX(Hierarchy!$B$2:$B$1295,MATCH($D1394,Hierarchy!$A$2:$A$1295,0))="","",INDEX(Hierarchy!$B$2:$B$1295,MATCH($D1394,Hierarchy!$A$2:$A$1295,0))),"NODE NOT FOUND"))</f>
        <v>State/Province</v>
      </c>
      <c r="G1394" s="7" t="str">
        <f aca="false">IF($D1394="","",IFERROR(IF(INDEX(Hierarchy!$D$2:$D$1295,MATCH($D1394,Hierarchy!$A$2:$A$1295,0))="","",INDEX(Hierarchy!$D$2:$D$1295,MATCH($D1394,Hierarchy!$A$2:$A$1295,0))),"NODE NOT FOUND"))</f>
        <v>EMEA</v>
      </c>
      <c r="H1394" s="7" t="str">
        <f aca="false">IF($D1394="","",IFERROR(IF(INDEX(Hierarchy!$E$2:$E$1295,MATCH($D1394,Hierarchy!$A$2:$A$1295,0))="","",INDEX(Hierarchy!$E$2:$E$1295,MATCH($D1394,Hierarchy!$A$2:$A$1295,0))),"NODE NOT FOUND"))</f>
        <v>Middle East</v>
      </c>
      <c r="I1394" s="7" t="str">
        <f aca="false">IF($D1394="","",IFERROR(IF(INDEX(Hierarchy!$F$2:$F$1295,MATCH($D1394,Hierarchy!$A$2:$A$1295,0))="","",INDEX(Hierarchy!$F$2:$F$1295,MATCH($D1394,Hierarchy!$A$2:$A$1295,0))),"NODE NOT FOUND"))</f>
        <v>United Arab Emirates</v>
      </c>
      <c r="J1394" s="7" t="str">
        <f aca="false">IF($D1394="","",IFERROR(IF(INDEX(Hierarchy!$G$2:$G$1295,MATCH($D1394,Hierarchy!$A$2:$A$1295,0))="","",INDEX(Hierarchy!$G$2:$G$1295,MATCH($D1394,Hierarchy!$A$2:$A$1295,0))),"NODE NOT FOUND"))</f>
        <v>ARE</v>
      </c>
      <c r="K1394" s="7" t="str">
        <f aca="false">IF($D1394="","",IFERROR(IF(INDEX(Hierarchy!$H$2:$H$1295,MATCH($D1394,Hierarchy!$A$2:$A$1295,0))="","",INDEX(Hierarchy!$H$2:$H$1295,MATCH($D1394,Hierarchy!$A$2:$A$1295,0))),"NODE NOT FOUND"))</f>
        <v>Ras Al Khaimah</v>
      </c>
      <c r="L1394" s="7" t="str">
        <f aca="false">IF($D1394="","",IFERROR(IF(INDEX(Hierarchy!$I$2:$I$1295,MATCH($D1394,Hierarchy!$A$2:$A$1295,0))="","",INDEX(Hierarchy!$I$2:$I$1295,MATCH($D1394,Hierarchy!$A$2:$A$1295,0))),"NODE NOT FOUND"))</f>
        <v/>
      </c>
      <c r="M1394" s="17" t="str">
        <f aca="false">IF(B1394="Pre-seeded","Pre-seeded",IF(B1394="Review 2026-09-16","Added from review",IF(C1394="","New",IF(C1394=D1394,"","Changed"))))</f>
        <v>Pre-seeded</v>
      </c>
      <c r="N1394" s="7" t="str">
        <f aca="false">TRIM(SUBSTITUTE(SUBSTITUTE(SUBSTITUTE(" "&amp;TRIM(SUBSTITUTE(SUBSTITUTE(SUBSTITUTE(SUBSTITUTE(SUBSTITUTE(SUBSTITUTE(SUBSTITUTE(SUBSTITUTE(SUBSTITUTE(SUBSTITUTE(SUBSTITUTE(SUBSTITUTE(SUBSTITUTE(SUBSTITUTE(SUBSTITUTE(UPPER(TRIM(A1394)),"[MEMBER]",""),"{MEMBER}",""),"[MEMBER}",""),"MEMBER]",""),"(A)",""),"""",""),"“",""),"”",""),".",""),":",""),",",""),"–"," "),"-"," "),"/"," "),"&amp;"," AND "))&amp;" "," THE "," ")," TOTAL "," ")," OPERATIONS "," "))</f>
        <v>RAS AL KHAIMAH</v>
      </c>
      <c r="O1394" s="17" t="str">
        <f aca="false">IF(COUNTIFS($N$2:$N$2000,N1394,$D$2:$D$2000,"&lt;&gt;"&amp;D1394)&gt;0,"CONFLICT","")</f>
        <v/>
      </c>
      <c r="P1394" s="7"/>
    </row>
    <row r="1395" customFormat="false" ht="15" hidden="false" customHeight="false" outlineLevel="0" collapsed="false">
      <c r="A1395" s="7" t="s">
        <v>2570</v>
      </c>
      <c r="B1395" s="7" t="s">
        <v>1905</v>
      </c>
      <c r="C1395" s="7" t="s">
        <v>1906</v>
      </c>
      <c r="D1395" s="6" t="s">
        <v>154</v>
      </c>
      <c r="E1395" s="6" t="s">
        <v>1880</v>
      </c>
      <c r="F1395" s="7" t="str">
        <f aca="false">IF($D1395="","",IFERROR(IF(INDEX(Hierarchy!$B$2:$B$1295,MATCH($D1395,Hierarchy!$A$2:$A$1295,0))="","",INDEX(Hierarchy!$B$2:$B$1295,MATCH($D1395,Hierarchy!$A$2:$A$1295,0))),"NODE NOT FOUND"))</f>
        <v>City</v>
      </c>
      <c r="G1395" s="7" t="str">
        <f aca="false">IF($D1395="","",IFERROR(IF(INDEX(Hierarchy!$D$2:$D$1295,MATCH($D1395,Hierarchy!$A$2:$A$1295,0))="","",INDEX(Hierarchy!$D$2:$D$1295,MATCH($D1395,Hierarchy!$A$2:$A$1295,0))),"NODE NOT FOUND"))</f>
        <v>AMER</v>
      </c>
      <c r="H1395" s="7" t="str">
        <f aca="false">IF($D1395="","",IFERROR(IF(INDEX(Hierarchy!$E$2:$E$1295,MATCH($D1395,Hierarchy!$A$2:$A$1295,0))="","",INDEX(Hierarchy!$E$2:$E$1295,MATCH($D1395,Hierarchy!$A$2:$A$1295,0))),"NODE NOT FOUND"))</f>
        <v>North America (NORAM)</v>
      </c>
      <c r="I1395" s="7" t="str">
        <f aca="false">IF($D1395="","",IFERROR(IF(INDEX(Hierarchy!$F$2:$F$1295,MATCH($D1395,Hierarchy!$A$2:$A$1295,0))="","",INDEX(Hierarchy!$F$2:$F$1295,MATCH($D1395,Hierarchy!$A$2:$A$1295,0))),"NODE NOT FOUND"))</f>
        <v>United States</v>
      </c>
      <c r="J1395" s="7" t="str">
        <f aca="false">IF($D1395="","",IFERROR(IF(INDEX(Hierarchy!$G$2:$G$1295,MATCH($D1395,Hierarchy!$A$2:$A$1295,0))="","",INDEX(Hierarchy!$G$2:$G$1295,MATCH($D1395,Hierarchy!$A$2:$A$1295,0))),"NODE NOT FOUND"))</f>
        <v>USA</v>
      </c>
      <c r="K1395" s="7" t="str">
        <f aca="false">IF($D1395="","",IFERROR(IF(INDEX(Hierarchy!$H$2:$H$1295,MATCH($D1395,Hierarchy!$A$2:$A$1295,0))="","",INDEX(Hierarchy!$H$2:$H$1295,MATCH($D1395,Hierarchy!$A$2:$A$1295,0))),"NODE NOT FOUND"))</f>
        <v>California</v>
      </c>
      <c r="L1395" s="7" t="str">
        <f aca="false">IF($D1395="","",IFERROR(IF(INDEX(Hierarchy!$I$2:$I$1295,MATCH($D1395,Hierarchy!$A$2:$A$1295,0))="","",INDEX(Hierarchy!$I$2:$I$1295,MATCH($D1395,Hierarchy!$A$2:$A$1295,0))),"NODE NOT FOUND"))</f>
        <v>Santa Clara</v>
      </c>
      <c r="M1395" s="17" t="str">
        <f aca="false">IF(B1395="Pre-seeded","Pre-seeded",IF(B1395="Review 2026-09-16","Added from review",IF(C1395="","New",IF(C1395=D1395,"","Changed"))))</f>
        <v>Changed</v>
      </c>
      <c r="N1395" s="7" t="str">
        <f aca="false">TRIM(SUBSTITUTE(SUBSTITUTE(SUBSTITUTE(" "&amp;TRIM(SUBSTITUTE(SUBSTITUTE(SUBSTITUTE(SUBSTITUTE(SUBSTITUTE(SUBSTITUTE(SUBSTITUTE(SUBSTITUTE(SUBSTITUTE(SUBSTITUTE(SUBSTITUTE(SUBSTITUTE(SUBSTITUTE(SUBSTITUTE(SUBSTITUTE(UPPER(TRIM(A1395)),"[MEMBER]",""),"{MEMBER}",""),"[MEMBER}",""),"MEMBER]",""),"(A)",""),"""",""),"“",""),"”",""),".",""),":",""),",",""),"–"," "),"-"," "),"/"," "),"&amp;"," AND "))&amp;" "," THE "," ")," TOTAL "," ")," OPERATIONS "," "))</f>
        <v>REAL ESTATE IN SANTA CLARA CALIFORNIA</v>
      </c>
      <c r="O1395" s="17" t="str">
        <f aca="false">IF(COUNTIFS($N$2:$N$2000,N1395,$D$2:$D$2000,"&lt;&gt;"&amp;D1395)&gt;0,"CONFLICT","")</f>
        <v/>
      </c>
      <c r="P1395" s="7" t="s">
        <v>2378</v>
      </c>
    </row>
    <row r="1396" customFormat="false" ht="15" hidden="false" customHeight="false" outlineLevel="0" collapsed="false">
      <c r="A1396" s="7" t="s">
        <v>969</v>
      </c>
      <c r="B1396" s="7" t="s">
        <v>1879</v>
      </c>
      <c r="C1396" s="7"/>
      <c r="D1396" s="6" t="s">
        <v>969</v>
      </c>
      <c r="E1396" s="6" t="s">
        <v>1880</v>
      </c>
      <c r="F1396" s="7" t="str">
        <f aca="false">IF($D1396="","",IFERROR(IF(INDEX(Hierarchy!$B$2:$B$1295,MATCH($D1396,Hierarchy!$A$2:$A$1295,0))="","",INDEX(Hierarchy!$B$2:$B$1295,MATCH($D1396,Hierarchy!$A$2:$A$1295,0))),"NODE NOT FOUND"))</f>
        <v>State/Province</v>
      </c>
      <c r="G1396" s="7" t="str">
        <f aca="false">IF($D1396="","",IFERROR(IF(INDEX(Hierarchy!$D$2:$D$1295,MATCH($D1396,Hierarchy!$A$2:$A$1295,0))="","",INDEX(Hierarchy!$D$2:$D$1295,MATCH($D1396,Hierarchy!$A$2:$A$1295,0))),"NODE NOT FOUND"))</f>
        <v>EMEA</v>
      </c>
      <c r="H1396" s="7" t="str">
        <f aca="false">IF($D1396="","",IFERROR(IF(INDEX(Hierarchy!$E$2:$E$1295,MATCH($D1396,Hierarchy!$A$2:$A$1295,0))="","",INDEX(Hierarchy!$E$2:$E$1295,MATCH($D1396,Hierarchy!$A$2:$A$1295,0))),"NODE NOT FOUND"))</f>
        <v>Europe</v>
      </c>
      <c r="I1396" s="7" t="str">
        <f aca="false">IF($D1396="","",IFERROR(IF(INDEX(Hierarchy!$F$2:$F$1295,MATCH($D1396,Hierarchy!$A$2:$A$1295,0))="","",INDEX(Hierarchy!$F$2:$F$1295,MATCH($D1396,Hierarchy!$A$2:$A$1295,0))),"NODE NOT FOUND"))</f>
        <v>Spain</v>
      </c>
      <c r="J1396" s="7" t="str">
        <f aca="false">IF($D1396="","",IFERROR(IF(INDEX(Hierarchy!$G$2:$G$1295,MATCH($D1396,Hierarchy!$A$2:$A$1295,0))="","",INDEX(Hierarchy!$G$2:$G$1295,MATCH($D1396,Hierarchy!$A$2:$A$1295,0))),"NODE NOT FOUND"))</f>
        <v>ESP</v>
      </c>
      <c r="K1396" s="7" t="str">
        <f aca="false">IF($D1396="","",IFERROR(IF(INDEX(Hierarchy!$H$2:$H$1295,MATCH($D1396,Hierarchy!$A$2:$A$1295,0))="","",INDEX(Hierarchy!$H$2:$H$1295,MATCH($D1396,Hierarchy!$A$2:$A$1295,0))),"NODE NOT FOUND"))</f>
        <v>Region of Murcia</v>
      </c>
      <c r="L1396" s="7" t="str">
        <f aca="false">IF($D1396="","",IFERROR(IF(INDEX(Hierarchy!$I$2:$I$1295,MATCH($D1396,Hierarchy!$A$2:$A$1295,0))="","",INDEX(Hierarchy!$I$2:$I$1295,MATCH($D1396,Hierarchy!$A$2:$A$1295,0))),"NODE NOT FOUND"))</f>
        <v/>
      </c>
      <c r="M1396" s="17" t="str">
        <f aca="false">IF(B1396="Pre-seeded","Pre-seeded",IF(B1396="Review 2026-09-16","Added from review",IF(C1396="","New",IF(C1396=D1396,"","Changed"))))</f>
        <v>Pre-seeded</v>
      </c>
      <c r="N1396" s="7" t="str">
        <f aca="false">TRIM(SUBSTITUTE(SUBSTITUTE(SUBSTITUTE(" "&amp;TRIM(SUBSTITUTE(SUBSTITUTE(SUBSTITUTE(SUBSTITUTE(SUBSTITUTE(SUBSTITUTE(SUBSTITUTE(SUBSTITUTE(SUBSTITUTE(SUBSTITUTE(SUBSTITUTE(SUBSTITUTE(SUBSTITUTE(SUBSTITUTE(SUBSTITUTE(UPPER(TRIM(A1396)),"[MEMBER]",""),"{MEMBER}",""),"[MEMBER}",""),"MEMBER]",""),"(A)",""),"""",""),"“",""),"”",""),".",""),":",""),",",""),"–"," "),"-"," "),"/"," "),"&amp;"," AND "))&amp;" "," THE "," ")," TOTAL "," ")," OPERATIONS "," "))</f>
        <v>REGION OF MURCIA</v>
      </c>
      <c r="O1396" s="17" t="str">
        <f aca="false">IF(COUNTIFS($N$2:$N$2000,N1396,$D$2:$D$2000,"&lt;&gt;"&amp;D1396)&gt;0,"CONFLICT","")</f>
        <v/>
      </c>
      <c r="P1396" s="7"/>
    </row>
    <row r="1397" customFormat="false" ht="15" hidden="false" customHeight="false" outlineLevel="0" collapsed="false">
      <c r="A1397" s="7" t="s">
        <v>2571</v>
      </c>
      <c r="B1397" s="7" t="s">
        <v>1885</v>
      </c>
      <c r="C1397" s="7" t="s">
        <v>86</v>
      </c>
      <c r="D1397" s="6" t="s">
        <v>1784</v>
      </c>
      <c r="E1397" s="6" t="s">
        <v>1891</v>
      </c>
      <c r="F1397" s="7" t="str">
        <f aca="false">IF($D1397="","",IFERROR(IF(INDEX(Hierarchy!$B$2:$B$1295,MATCH($D1397,Hierarchy!$A$2:$A$1295,0))="","",INDEX(Hierarchy!$B$2:$B$1295,MATCH($D1397,Hierarchy!$A$2:$A$1295,0))),"NODE NOT FOUND"))</f>
        <v>Bucket</v>
      </c>
      <c r="G1397" s="7" t="str">
        <f aca="false">IF($D1397="","",IFERROR(IF(INDEX(Hierarchy!$D$2:$D$1295,MATCH($D1397,Hierarchy!$A$2:$A$1295,0))="","",INDEX(Hierarchy!$D$2:$D$1295,MATCH($D1397,Hierarchy!$A$2:$A$1295,0))),"NODE NOT FOUND"))</f>
        <v>Non-regional</v>
      </c>
      <c r="H1397" s="7" t="str">
        <f aca="false">IF($D1397="","",IFERROR(IF(INDEX(Hierarchy!$E$2:$E$1295,MATCH($D1397,Hierarchy!$A$2:$A$1295,0))="","",INDEX(Hierarchy!$E$2:$E$1295,MATCH($D1397,Hierarchy!$A$2:$A$1295,0))),"NODE NOT FOUND"))</f>
        <v/>
      </c>
      <c r="I1397" s="7" t="str">
        <f aca="false">IF($D1397="","",IFERROR(IF(INDEX(Hierarchy!$F$2:$F$1295,MATCH($D1397,Hierarchy!$A$2:$A$1295,0))="","",INDEX(Hierarchy!$F$2:$F$1295,MATCH($D1397,Hierarchy!$A$2:$A$1295,0))),"NODE NOT FOUND"))</f>
        <v/>
      </c>
      <c r="J1397" s="7" t="str">
        <f aca="false">IF($D1397="","",IFERROR(IF(INDEX(Hierarchy!$G$2:$G$1295,MATCH($D1397,Hierarchy!$A$2:$A$1295,0))="","",INDEX(Hierarchy!$G$2:$G$1295,MATCH($D1397,Hierarchy!$A$2:$A$1295,0))),"NODE NOT FOUND"))</f>
        <v/>
      </c>
      <c r="K1397" s="7" t="str">
        <f aca="false">IF($D1397="","",IFERROR(IF(INDEX(Hierarchy!$H$2:$H$1295,MATCH($D1397,Hierarchy!$A$2:$A$1295,0))="","",INDEX(Hierarchy!$H$2:$H$1295,MATCH($D1397,Hierarchy!$A$2:$A$1295,0))),"NODE NOT FOUND"))</f>
        <v/>
      </c>
      <c r="L1397" s="7" t="str">
        <f aca="false">IF($D1397="","",IFERROR(IF(INDEX(Hierarchy!$I$2:$I$1295,MATCH($D1397,Hierarchy!$A$2:$A$1295,0))="","",INDEX(Hierarchy!$I$2:$I$1295,MATCH($D1397,Hierarchy!$A$2:$A$1295,0))),"NODE NOT FOUND"))</f>
        <v/>
      </c>
      <c r="M1397" s="17" t="str">
        <f aca="false">IF(B1397="Pre-seeded","Pre-seeded",IF(B1397="Review 2026-09-16","Added from review",IF(C1397="","New",IF(C1397=D1397,"","Changed"))))</f>
        <v>Changed</v>
      </c>
      <c r="N1397" s="7" t="str">
        <f aca="false">TRIM(SUBSTITUTE(SUBSTITUTE(SUBSTITUTE(" "&amp;TRIM(SUBSTITUTE(SUBSTITUTE(SUBSTITUTE(SUBSTITUTE(SUBSTITUTE(SUBSTITUTE(SUBSTITUTE(SUBSTITUTE(SUBSTITUTE(SUBSTITUTE(SUBSTITUTE(SUBSTITUTE(SUBSTITUTE(SUBSTITUTE(SUBSTITUTE(UPPER(TRIM(A1397)),"[MEMBER]",""),"{MEMBER}",""),"[MEMBER}",""),"MEMBER]",""),"(A)",""),"""",""),"“",""),"”",""),".",""),":",""),",",""),"–"," "),"-"," "),"/"," "),"&amp;"," AND "))&amp;" "," THE "," ")," TOTAL "," ")," OPERATIONS "," "))</f>
        <v>REGIONS EXCLUDING NORTH AMERICA</v>
      </c>
      <c r="O1397" s="17" t="str">
        <f aca="false">IF(COUNTIFS($N$2:$N$2000,N1397,$D$2:$D$2000,"&lt;&gt;"&amp;D1397)&gt;0,"CONFLICT","")</f>
        <v/>
      </c>
      <c r="P1397" s="7" t="s">
        <v>2195</v>
      </c>
    </row>
    <row r="1398" customFormat="false" ht="15" hidden="false" customHeight="false" outlineLevel="0" collapsed="false">
      <c r="A1398" s="7" t="s">
        <v>2572</v>
      </c>
      <c r="B1398" s="7" t="s">
        <v>1882</v>
      </c>
      <c r="C1398" s="7" t="s">
        <v>2207</v>
      </c>
      <c r="D1398" s="6" t="s">
        <v>1784</v>
      </c>
      <c r="E1398" s="6" t="s">
        <v>1880</v>
      </c>
      <c r="F1398" s="7" t="str">
        <f aca="false">IF($D1398="","",IFERROR(IF(INDEX(Hierarchy!$B$2:$B$1295,MATCH($D1398,Hierarchy!$A$2:$A$1295,0))="","",INDEX(Hierarchy!$B$2:$B$1295,MATCH($D1398,Hierarchy!$A$2:$A$1295,0))),"NODE NOT FOUND"))</f>
        <v>Bucket</v>
      </c>
      <c r="G1398" s="7" t="str">
        <f aca="false">IF($D1398="","",IFERROR(IF(INDEX(Hierarchy!$D$2:$D$1295,MATCH($D1398,Hierarchy!$A$2:$A$1295,0))="","",INDEX(Hierarchy!$D$2:$D$1295,MATCH($D1398,Hierarchy!$A$2:$A$1295,0))),"NODE NOT FOUND"))</f>
        <v>Non-regional</v>
      </c>
      <c r="H1398" s="7" t="str">
        <f aca="false">IF($D1398="","",IFERROR(IF(INDEX(Hierarchy!$E$2:$E$1295,MATCH($D1398,Hierarchy!$A$2:$A$1295,0))="","",INDEX(Hierarchy!$E$2:$E$1295,MATCH($D1398,Hierarchy!$A$2:$A$1295,0))),"NODE NOT FOUND"))</f>
        <v/>
      </c>
      <c r="I1398" s="7" t="str">
        <f aca="false">IF($D1398="","",IFERROR(IF(INDEX(Hierarchy!$F$2:$F$1295,MATCH($D1398,Hierarchy!$A$2:$A$1295,0))="","",INDEX(Hierarchy!$F$2:$F$1295,MATCH($D1398,Hierarchy!$A$2:$A$1295,0))),"NODE NOT FOUND"))</f>
        <v/>
      </c>
      <c r="J1398" s="7" t="str">
        <f aca="false">IF($D1398="","",IFERROR(IF(INDEX(Hierarchy!$G$2:$G$1295,MATCH($D1398,Hierarchy!$A$2:$A$1295,0))="","",INDEX(Hierarchy!$G$2:$G$1295,MATCH($D1398,Hierarchy!$A$2:$A$1295,0))),"NODE NOT FOUND"))</f>
        <v/>
      </c>
      <c r="K1398" s="7" t="str">
        <f aca="false">IF($D1398="","",IFERROR(IF(INDEX(Hierarchy!$H$2:$H$1295,MATCH($D1398,Hierarchy!$A$2:$A$1295,0))="","",INDEX(Hierarchy!$H$2:$H$1295,MATCH($D1398,Hierarchy!$A$2:$A$1295,0))),"NODE NOT FOUND"))</f>
        <v/>
      </c>
      <c r="L1398" s="7" t="str">
        <f aca="false">IF($D1398="","",IFERROR(IF(INDEX(Hierarchy!$I$2:$I$1295,MATCH($D1398,Hierarchy!$A$2:$A$1295,0))="","",INDEX(Hierarchy!$I$2:$I$1295,MATCH($D1398,Hierarchy!$A$2:$A$1295,0))),"NODE NOT FOUND"))</f>
        <v/>
      </c>
      <c r="M1398" s="17" t="str">
        <f aca="false">IF(B1398="Pre-seeded","Pre-seeded",IF(B1398="Review 2026-09-16","Added from review",IF(C1398="","New",IF(C1398=D1398,"","Changed"))))</f>
        <v>Changed</v>
      </c>
      <c r="N1398" s="7" t="str">
        <f aca="false">TRIM(SUBSTITUTE(SUBSTITUTE(SUBSTITUTE(" "&amp;TRIM(SUBSTITUTE(SUBSTITUTE(SUBSTITUTE(SUBSTITUTE(SUBSTITUTE(SUBSTITUTE(SUBSTITUTE(SUBSTITUTE(SUBSTITUTE(SUBSTITUTE(SUBSTITUTE(SUBSTITUTE(SUBSTITUTE(SUBSTITUTE(SUBSTITUTE(UPPER(TRIM(A1398)),"[MEMBER]",""),"{MEMBER}",""),"[MEMBER}",""),"MEMBER]",""),"(A)",""),"""",""),"“",""),"”",""),".",""),":",""),",",""),"–"," "),"-"," "),"/"," "),"&amp;"," AND "))&amp;" "," THE "," ")," TOTAL "," ")," OPERATIONS "," "))</f>
        <v>REGIONS OUTSIDE US</v>
      </c>
      <c r="O1398" s="17" t="str">
        <f aca="false">IF(COUNTIFS($N$2:$N$2000,N1398,$D$2:$D$2000,"&lt;&gt;"&amp;D1398)&gt;0,"CONFLICT","")</f>
        <v/>
      </c>
      <c r="P1398" s="7" t="s">
        <v>2208</v>
      </c>
    </row>
    <row r="1399" customFormat="false" ht="15" hidden="false" customHeight="false" outlineLevel="0" collapsed="false">
      <c r="A1399" s="7" t="s">
        <v>2573</v>
      </c>
      <c r="B1399" s="7" t="s">
        <v>1879</v>
      </c>
      <c r="C1399" s="7"/>
      <c r="D1399" s="6" t="s">
        <v>735</v>
      </c>
      <c r="E1399" s="6" t="s">
        <v>1880</v>
      </c>
      <c r="F1399" s="7" t="str">
        <f aca="false">IF($D1399="","",IFERROR(IF(INDEX(Hierarchy!$B$2:$B$1295,MATCH($D1399,Hierarchy!$A$2:$A$1295,0))="","",INDEX(Hierarchy!$B$2:$B$1295,MATCH($D1399,Hierarchy!$A$2:$A$1295,0))),"NODE NOT FOUND"))</f>
        <v>Country</v>
      </c>
      <c r="G1399" s="7" t="str">
        <f aca="false">IF($D1399="","",IFERROR(IF(INDEX(Hierarchy!$D$2:$D$1295,MATCH($D1399,Hierarchy!$A$2:$A$1295,0))="","",INDEX(Hierarchy!$D$2:$D$1295,MATCH($D1399,Hierarchy!$A$2:$A$1295,0))),"NODE NOT FOUND"))</f>
        <v>EMEA</v>
      </c>
      <c r="H1399" s="7" t="str">
        <f aca="false">IF($D1399="","",IFERROR(IF(INDEX(Hierarchy!$E$2:$E$1295,MATCH($D1399,Hierarchy!$A$2:$A$1295,0))="","",INDEX(Hierarchy!$E$2:$E$1295,MATCH($D1399,Hierarchy!$A$2:$A$1295,0))),"NODE NOT FOUND"))</f>
        <v>Europe</v>
      </c>
      <c r="I1399" s="7" t="str">
        <f aca="false">IF($D1399="","",IFERROR(IF(INDEX(Hierarchy!$F$2:$F$1295,MATCH($D1399,Hierarchy!$A$2:$A$1295,0))="","",INDEX(Hierarchy!$F$2:$F$1295,MATCH($D1399,Hierarchy!$A$2:$A$1295,0))),"NODE NOT FOUND"))</f>
        <v>Albania</v>
      </c>
      <c r="J1399" s="7" t="str">
        <f aca="false">IF($D1399="","",IFERROR(IF(INDEX(Hierarchy!$G$2:$G$1295,MATCH($D1399,Hierarchy!$A$2:$A$1295,0))="","",INDEX(Hierarchy!$G$2:$G$1295,MATCH($D1399,Hierarchy!$A$2:$A$1295,0))),"NODE NOT FOUND"))</f>
        <v>ALB</v>
      </c>
      <c r="K1399" s="7" t="str">
        <f aca="false">IF($D1399="","",IFERROR(IF(INDEX(Hierarchy!$H$2:$H$1295,MATCH($D1399,Hierarchy!$A$2:$A$1295,0))="","",INDEX(Hierarchy!$H$2:$H$1295,MATCH($D1399,Hierarchy!$A$2:$A$1295,0))),"NODE NOT FOUND"))</f>
        <v/>
      </c>
      <c r="L1399" s="7" t="str">
        <f aca="false">IF($D1399="","",IFERROR(IF(INDEX(Hierarchy!$I$2:$I$1295,MATCH($D1399,Hierarchy!$A$2:$A$1295,0))="","",INDEX(Hierarchy!$I$2:$I$1295,MATCH($D1399,Hierarchy!$A$2:$A$1295,0))),"NODE NOT FOUND"))</f>
        <v/>
      </c>
      <c r="M1399" s="17" t="str">
        <f aca="false">IF(B1399="Pre-seeded","Pre-seeded",IF(B1399="Review 2026-09-16","Added from review",IF(C1399="","New",IF(C1399=D1399,"","Changed"))))</f>
        <v>Pre-seeded</v>
      </c>
      <c r="N1399" s="7" t="str">
        <f aca="false">TRIM(SUBSTITUTE(SUBSTITUTE(SUBSTITUTE(" "&amp;TRIM(SUBSTITUTE(SUBSTITUTE(SUBSTITUTE(SUBSTITUTE(SUBSTITUTE(SUBSTITUTE(SUBSTITUTE(SUBSTITUTE(SUBSTITUTE(SUBSTITUTE(SUBSTITUTE(SUBSTITUTE(SUBSTITUTE(SUBSTITUTE(SUBSTITUTE(UPPER(TRIM(A1399)),"[MEMBER]",""),"{MEMBER}",""),"[MEMBER}",""),"MEMBER]",""),"(A)",""),"""",""),"“",""),"”",""),".",""),":",""),",",""),"–"," "),"-"," "),"/"," "),"&amp;"," AND "))&amp;" "," THE "," ")," TOTAL "," ")," OPERATIONS "," "))</f>
        <v>REPUBLIC OF ALBANIA</v>
      </c>
      <c r="O1399" s="17" t="str">
        <f aca="false">IF(COUNTIFS($N$2:$N$2000,N1399,$D$2:$D$2000,"&lt;&gt;"&amp;D1399)&gt;0,"CONFLICT","")</f>
        <v/>
      </c>
      <c r="P1399" s="7" t="s">
        <v>1936</v>
      </c>
    </row>
    <row r="1400" customFormat="false" ht="15" hidden="false" customHeight="false" outlineLevel="0" collapsed="false">
      <c r="A1400" s="7" t="s">
        <v>2574</v>
      </c>
      <c r="B1400" s="7" t="s">
        <v>1879</v>
      </c>
      <c r="C1400" s="7"/>
      <c r="D1400" s="6" t="s">
        <v>1174</v>
      </c>
      <c r="E1400" s="6" t="s">
        <v>1880</v>
      </c>
      <c r="F1400" s="7" t="str">
        <f aca="false">IF($D1400="","",IFERROR(IF(INDEX(Hierarchy!$B$2:$B$1295,MATCH($D1400,Hierarchy!$A$2:$A$1295,0))="","",INDEX(Hierarchy!$B$2:$B$1295,MATCH($D1400,Hierarchy!$A$2:$A$1295,0))),"NODE NOT FOUND"))</f>
        <v>Country</v>
      </c>
      <c r="G1400" s="7" t="str">
        <f aca="false">IF($D1400="","",IFERROR(IF(INDEX(Hierarchy!$D$2:$D$1295,MATCH($D1400,Hierarchy!$A$2:$A$1295,0))="","",INDEX(Hierarchy!$D$2:$D$1295,MATCH($D1400,Hierarchy!$A$2:$A$1295,0))),"NODE NOT FOUND"))</f>
        <v>EMEA</v>
      </c>
      <c r="H1400" s="7" t="str">
        <f aca="false">IF($D1400="","",IFERROR(IF(INDEX(Hierarchy!$E$2:$E$1295,MATCH($D1400,Hierarchy!$A$2:$A$1295,0))="","",INDEX(Hierarchy!$E$2:$E$1295,MATCH($D1400,Hierarchy!$A$2:$A$1295,0))),"NODE NOT FOUND"))</f>
        <v>Africa</v>
      </c>
      <c r="I1400" s="7" t="str">
        <f aca="false">IF($D1400="","",IFERROR(IF(INDEX(Hierarchy!$F$2:$F$1295,MATCH($D1400,Hierarchy!$A$2:$A$1295,0))="","",INDEX(Hierarchy!$F$2:$F$1295,MATCH($D1400,Hierarchy!$A$2:$A$1295,0))),"NODE NOT FOUND"))</f>
        <v>Angola</v>
      </c>
      <c r="J1400" s="7" t="str">
        <f aca="false">IF($D1400="","",IFERROR(IF(INDEX(Hierarchy!$G$2:$G$1295,MATCH($D1400,Hierarchy!$A$2:$A$1295,0))="","",INDEX(Hierarchy!$G$2:$G$1295,MATCH($D1400,Hierarchy!$A$2:$A$1295,0))),"NODE NOT FOUND"))</f>
        <v>AGO</v>
      </c>
      <c r="K1400" s="7" t="str">
        <f aca="false">IF($D1400="","",IFERROR(IF(INDEX(Hierarchy!$H$2:$H$1295,MATCH($D1400,Hierarchy!$A$2:$A$1295,0))="","",INDEX(Hierarchy!$H$2:$H$1295,MATCH($D1400,Hierarchy!$A$2:$A$1295,0))),"NODE NOT FOUND"))</f>
        <v/>
      </c>
      <c r="L1400" s="7" t="str">
        <f aca="false">IF($D1400="","",IFERROR(IF(INDEX(Hierarchy!$I$2:$I$1295,MATCH($D1400,Hierarchy!$A$2:$A$1295,0))="","",INDEX(Hierarchy!$I$2:$I$1295,MATCH($D1400,Hierarchy!$A$2:$A$1295,0))),"NODE NOT FOUND"))</f>
        <v/>
      </c>
      <c r="M1400" s="17" t="str">
        <f aca="false">IF(B1400="Pre-seeded","Pre-seeded",IF(B1400="Review 2026-09-16","Added from review",IF(C1400="","New",IF(C1400=D1400,"","Changed"))))</f>
        <v>Pre-seeded</v>
      </c>
      <c r="N1400" s="7" t="str">
        <f aca="false">TRIM(SUBSTITUTE(SUBSTITUTE(SUBSTITUTE(" "&amp;TRIM(SUBSTITUTE(SUBSTITUTE(SUBSTITUTE(SUBSTITUTE(SUBSTITUTE(SUBSTITUTE(SUBSTITUTE(SUBSTITUTE(SUBSTITUTE(SUBSTITUTE(SUBSTITUTE(SUBSTITUTE(SUBSTITUTE(SUBSTITUTE(SUBSTITUTE(UPPER(TRIM(A1400)),"[MEMBER]",""),"{MEMBER}",""),"[MEMBER}",""),"MEMBER]",""),"(A)",""),"""",""),"“",""),"”",""),".",""),":",""),",",""),"–"," "),"-"," "),"/"," "),"&amp;"," AND "))&amp;" "," THE "," ")," TOTAL "," ")," OPERATIONS "," "))</f>
        <v>REPUBLIC OF ANGOLA</v>
      </c>
      <c r="O1400" s="17" t="str">
        <f aca="false">IF(COUNTIFS($N$2:$N$2000,N1400,$D$2:$D$2000,"&lt;&gt;"&amp;D1400)&gt;0,"CONFLICT","")</f>
        <v/>
      </c>
      <c r="P1400" s="7" t="s">
        <v>1936</v>
      </c>
    </row>
    <row r="1401" customFormat="false" ht="15" hidden="false" customHeight="false" outlineLevel="0" collapsed="false">
      <c r="A1401" s="7" t="s">
        <v>2575</v>
      </c>
      <c r="B1401" s="7" t="s">
        <v>1879</v>
      </c>
      <c r="C1401" s="7"/>
      <c r="D1401" s="6" t="s">
        <v>741</v>
      </c>
      <c r="E1401" s="6" t="s">
        <v>1880</v>
      </c>
      <c r="F1401" s="7" t="str">
        <f aca="false">IF($D1401="","",IFERROR(IF(INDEX(Hierarchy!$B$2:$B$1295,MATCH($D1401,Hierarchy!$A$2:$A$1295,0))="","",INDEX(Hierarchy!$B$2:$B$1295,MATCH($D1401,Hierarchy!$A$2:$A$1295,0))),"NODE NOT FOUND"))</f>
        <v>Country</v>
      </c>
      <c r="G1401" s="7" t="str">
        <f aca="false">IF($D1401="","",IFERROR(IF(INDEX(Hierarchy!$D$2:$D$1295,MATCH($D1401,Hierarchy!$A$2:$A$1295,0))="","",INDEX(Hierarchy!$D$2:$D$1295,MATCH($D1401,Hierarchy!$A$2:$A$1295,0))),"NODE NOT FOUND"))</f>
        <v>EMEA</v>
      </c>
      <c r="H1401" s="7" t="str">
        <f aca="false">IF($D1401="","",IFERROR(IF(INDEX(Hierarchy!$E$2:$E$1295,MATCH($D1401,Hierarchy!$A$2:$A$1295,0))="","",INDEX(Hierarchy!$E$2:$E$1295,MATCH($D1401,Hierarchy!$A$2:$A$1295,0))),"NODE NOT FOUND"))</f>
        <v>Europe</v>
      </c>
      <c r="I1401" s="7" t="str">
        <f aca="false">IF($D1401="","",IFERROR(IF(INDEX(Hierarchy!$F$2:$F$1295,MATCH($D1401,Hierarchy!$A$2:$A$1295,0))="","",INDEX(Hierarchy!$F$2:$F$1295,MATCH($D1401,Hierarchy!$A$2:$A$1295,0))),"NODE NOT FOUND"))</f>
        <v>Armenia</v>
      </c>
      <c r="J1401" s="7" t="str">
        <f aca="false">IF($D1401="","",IFERROR(IF(INDEX(Hierarchy!$G$2:$G$1295,MATCH($D1401,Hierarchy!$A$2:$A$1295,0))="","",INDEX(Hierarchy!$G$2:$G$1295,MATCH($D1401,Hierarchy!$A$2:$A$1295,0))),"NODE NOT FOUND"))</f>
        <v>ARM</v>
      </c>
      <c r="K1401" s="7" t="str">
        <f aca="false">IF($D1401="","",IFERROR(IF(INDEX(Hierarchy!$H$2:$H$1295,MATCH($D1401,Hierarchy!$A$2:$A$1295,0))="","",INDEX(Hierarchy!$H$2:$H$1295,MATCH($D1401,Hierarchy!$A$2:$A$1295,0))),"NODE NOT FOUND"))</f>
        <v/>
      </c>
      <c r="L1401" s="7" t="str">
        <f aca="false">IF($D1401="","",IFERROR(IF(INDEX(Hierarchy!$I$2:$I$1295,MATCH($D1401,Hierarchy!$A$2:$A$1295,0))="","",INDEX(Hierarchy!$I$2:$I$1295,MATCH($D1401,Hierarchy!$A$2:$A$1295,0))),"NODE NOT FOUND"))</f>
        <v/>
      </c>
      <c r="M1401" s="17" t="str">
        <f aca="false">IF(B1401="Pre-seeded","Pre-seeded",IF(B1401="Review 2026-09-16","Added from review",IF(C1401="","New",IF(C1401=D1401,"","Changed"))))</f>
        <v>Pre-seeded</v>
      </c>
      <c r="N1401" s="7" t="str">
        <f aca="false">TRIM(SUBSTITUTE(SUBSTITUTE(SUBSTITUTE(" "&amp;TRIM(SUBSTITUTE(SUBSTITUTE(SUBSTITUTE(SUBSTITUTE(SUBSTITUTE(SUBSTITUTE(SUBSTITUTE(SUBSTITUTE(SUBSTITUTE(SUBSTITUTE(SUBSTITUTE(SUBSTITUTE(SUBSTITUTE(SUBSTITUTE(SUBSTITUTE(UPPER(TRIM(A1401)),"[MEMBER]",""),"{MEMBER}",""),"[MEMBER}",""),"MEMBER]",""),"(A)",""),"""",""),"“",""),"”",""),".",""),":",""),",",""),"–"," "),"-"," "),"/"," "),"&amp;"," AND "))&amp;" "," THE "," ")," TOTAL "," ")," OPERATIONS "," "))</f>
        <v>REPUBLIC OF ARMENIA</v>
      </c>
      <c r="O1401" s="17" t="str">
        <f aca="false">IF(COUNTIFS($N$2:$N$2000,N1401,$D$2:$D$2000,"&lt;&gt;"&amp;D1401)&gt;0,"CONFLICT","")</f>
        <v/>
      </c>
      <c r="P1401" s="7" t="s">
        <v>1936</v>
      </c>
    </row>
    <row r="1402" customFormat="false" ht="15" hidden="false" customHeight="false" outlineLevel="0" collapsed="false">
      <c r="A1402" s="7" t="s">
        <v>2576</v>
      </c>
      <c r="B1402" s="7" t="s">
        <v>1879</v>
      </c>
      <c r="C1402" s="7"/>
      <c r="D1402" s="6" t="s">
        <v>746</v>
      </c>
      <c r="E1402" s="6" t="s">
        <v>1880</v>
      </c>
      <c r="F1402" s="7" t="str">
        <f aca="false">IF($D1402="","",IFERROR(IF(INDEX(Hierarchy!$B$2:$B$1295,MATCH($D1402,Hierarchy!$A$2:$A$1295,0))="","",INDEX(Hierarchy!$B$2:$B$1295,MATCH($D1402,Hierarchy!$A$2:$A$1295,0))),"NODE NOT FOUND"))</f>
        <v>Country</v>
      </c>
      <c r="G1402" s="7" t="str">
        <f aca="false">IF($D1402="","",IFERROR(IF(INDEX(Hierarchy!$D$2:$D$1295,MATCH($D1402,Hierarchy!$A$2:$A$1295,0))="","",INDEX(Hierarchy!$D$2:$D$1295,MATCH($D1402,Hierarchy!$A$2:$A$1295,0))),"NODE NOT FOUND"))</f>
        <v>EMEA</v>
      </c>
      <c r="H1402" s="7" t="str">
        <f aca="false">IF($D1402="","",IFERROR(IF(INDEX(Hierarchy!$E$2:$E$1295,MATCH($D1402,Hierarchy!$A$2:$A$1295,0))="","",INDEX(Hierarchy!$E$2:$E$1295,MATCH($D1402,Hierarchy!$A$2:$A$1295,0))),"NODE NOT FOUND"))</f>
        <v>Europe</v>
      </c>
      <c r="I1402" s="7" t="str">
        <f aca="false">IF($D1402="","",IFERROR(IF(INDEX(Hierarchy!$F$2:$F$1295,MATCH($D1402,Hierarchy!$A$2:$A$1295,0))="","",INDEX(Hierarchy!$F$2:$F$1295,MATCH($D1402,Hierarchy!$A$2:$A$1295,0))),"NODE NOT FOUND"))</f>
        <v>Austria</v>
      </c>
      <c r="J1402" s="7" t="str">
        <f aca="false">IF($D1402="","",IFERROR(IF(INDEX(Hierarchy!$G$2:$G$1295,MATCH($D1402,Hierarchy!$A$2:$A$1295,0))="","",INDEX(Hierarchy!$G$2:$G$1295,MATCH($D1402,Hierarchy!$A$2:$A$1295,0))),"NODE NOT FOUND"))</f>
        <v>AUT</v>
      </c>
      <c r="K1402" s="7" t="str">
        <f aca="false">IF($D1402="","",IFERROR(IF(INDEX(Hierarchy!$H$2:$H$1295,MATCH($D1402,Hierarchy!$A$2:$A$1295,0))="","",INDEX(Hierarchy!$H$2:$H$1295,MATCH($D1402,Hierarchy!$A$2:$A$1295,0))),"NODE NOT FOUND"))</f>
        <v/>
      </c>
      <c r="L1402" s="7" t="str">
        <f aca="false">IF($D1402="","",IFERROR(IF(INDEX(Hierarchy!$I$2:$I$1295,MATCH($D1402,Hierarchy!$A$2:$A$1295,0))="","",INDEX(Hierarchy!$I$2:$I$1295,MATCH($D1402,Hierarchy!$A$2:$A$1295,0))),"NODE NOT FOUND"))</f>
        <v/>
      </c>
      <c r="M1402" s="17" t="str">
        <f aca="false">IF(B1402="Pre-seeded","Pre-seeded",IF(B1402="Review 2026-09-16","Added from review",IF(C1402="","New",IF(C1402=D1402,"","Changed"))))</f>
        <v>Pre-seeded</v>
      </c>
      <c r="N1402" s="7" t="str">
        <f aca="false">TRIM(SUBSTITUTE(SUBSTITUTE(SUBSTITUTE(" "&amp;TRIM(SUBSTITUTE(SUBSTITUTE(SUBSTITUTE(SUBSTITUTE(SUBSTITUTE(SUBSTITUTE(SUBSTITUTE(SUBSTITUTE(SUBSTITUTE(SUBSTITUTE(SUBSTITUTE(SUBSTITUTE(SUBSTITUTE(SUBSTITUTE(SUBSTITUTE(UPPER(TRIM(A1402)),"[MEMBER]",""),"{MEMBER}",""),"[MEMBER}",""),"MEMBER]",""),"(A)",""),"""",""),"“",""),"”",""),".",""),":",""),",",""),"–"," "),"-"," "),"/"," "),"&amp;"," AND "))&amp;" "," THE "," ")," TOTAL "," ")," OPERATIONS "," "))</f>
        <v>REPUBLIC OF AUSTRIA</v>
      </c>
      <c r="O1402" s="17" t="str">
        <f aca="false">IF(COUNTIFS($N$2:$N$2000,N1402,$D$2:$D$2000,"&lt;&gt;"&amp;D1402)&gt;0,"CONFLICT","")</f>
        <v/>
      </c>
      <c r="P1402" s="7" t="s">
        <v>1936</v>
      </c>
    </row>
    <row r="1403" customFormat="false" ht="15" hidden="false" customHeight="false" outlineLevel="0" collapsed="false">
      <c r="A1403" s="7" t="s">
        <v>2577</v>
      </c>
      <c r="B1403" s="7" t="s">
        <v>1879</v>
      </c>
      <c r="C1403" s="7"/>
      <c r="D1403" s="6" t="s">
        <v>759</v>
      </c>
      <c r="E1403" s="6" t="s">
        <v>1880</v>
      </c>
      <c r="F1403" s="7" t="str">
        <f aca="false">IF($D1403="","",IFERROR(IF(INDEX(Hierarchy!$B$2:$B$1295,MATCH($D1403,Hierarchy!$A$2:$A$1295,0))="","",INDEX(Hierarchy!$B$2:$B$1295,MATCH($D1403,Hierarchy!$A$2:$A$1295,0))),"NODE NOT FOUND"))</f>
        <v>Country</v>
      </c>
      <c r="G1403" s="7" t="str">
        <f aca="false">IF($D1403="","",IFERROR(IF(INDEX(Hierarchy!$D$2:$D$1295,MATCH($D1403,Hierarchy!$A$2:$A$1295,0))="","",INDEX(Hierarchy!$D$2:$D$1295,MATCH($D1403,Hierarchy!$A$2:$A$1295,0))),"NODE NOT FOUND"))</f>
        <v>EMEA</v>
      </c>
      <c r="H1403" s="7" t="str">
        <f aca="false">IF($D1403="","",IFERROR(IF(INDEX(Hierarchy!$E$2:$E$1295,MATCH($D1403,Hierarchy!$A$2:$A$1295,0))="","",INDEX(Hierarchy!$E$2:$E$1295,MATCH($D1403,Hierarchy!$A$2:$A$1295,0))),"NODE NOT FOUND"))</f>
        <v>Europe</v>
      </c>
      <c r="I1403" s="7" t="str">
        <f aca="false">IF($D1403="","",IFERROR(IF(INDEX(Hierarchy!$F$2:$F$1295,MATCH($D1403,Hierarchy!$A$2:$A$1295,0))="","",INDEX(Hierarchy!$F$2:$F$1295,MATCH($D1403,Hierarchy!$A$2:$A$1295,0))),"NODE NOT FOUND"))</f>
        <v>Azerbaijan</v>
      </c>
      <c r="J1403" s="7" t="str">
        <f aca="false">IF($D1403="","",IFERROR(IF(INDEX(Hierarchy!$G$2:$G$1295,MATCH($D1403,Hierarchy!$A$2:$A$1295,0))="","",INDEX(Hierarchy!$G$2:$G$1295,MATCH($D1403,Hierarchy!$A$2:$A$1295,0))),"NODE NOT FOUND"))</f>
        <v>AZE</v>
      </c>
      <c r="K1403" s="7" t="str">
        <f aca="false">IF($D1403="","",IFERROR(IF(INDEX(Hierarchy!$H$2:$H$1295,MATCH($D1403,Hierarchy!$A$2:$A$1295,0))="","",INDEX(Hierarchy!$H$2:$H$1295,MATCH($D1403,Hierarchy!$A$2:$A$1295,0))),"NODE NOT FOUND"))</f>
        <v/>
      </c>
      <c r="L1403" s="7" t="str">
        <f aca="false">IF($D1403="","",IFERROR(IF(INDEX(Hierarchy!$I$2:$I$1295,MATCH($D1403,Hierarchy!$A$2:$A$1295,0))="","",INDEX(Hierarchy!$I$2:$I$1295,MATCH($D1403,Hierarchy!$A$2:$A$1295,0))),"NODE NOT FOUND"))</f>
        <v/>
      </c>
      <c r="M1403" s="17" t="str">
        <f aca="false">IF(B1403="Pre-seeded","Pre-seeded",IF(B1403="Review 2026-09-16","Added from review",IF(C1403="","New",IF(C1403=D1403,"","Changed"))))</f>
        <v>Pre-seeded</v>
      </c>
      <c r="N1403" s="7" t="str">
        <f aca="false">TRIM(SUBSTITUTE(SUBSTITUTE(SUBSTITUTE(" "&amp;TRIM(SUBSTITUTE(SUBSTITUTE(SUBSTITUTE(SUBSTITUTE(SUBSTITUTE(SUBSTITUTE(SUBSTITUTE(SUBSTITUTE(SUBSTITUTE(SUBSTITUTE(SUBSTITUTE(SUBSTITUTE(SUBSTITUTE(SUBSTITUTE(SUBSTITUTE(UPPER(TRIM(A1403)),"[MEMBER]",""),"{MEMBER}",""),"[MEMBER}",""),"MEMBER]",""),"(A)",""),"""",""),"“",""),"”",""),".",""),":",""),",",""),"–"," "),"-"," "),"/"," "),"&amp;"," AND "))&amp;" "," THE "," ")," TOTAL "," ")," OPERATIONS "," "))</f>
        <v>REPUBLIC OF AZERBAIJAN</v>
      </c>
      <c r="O1403" s="17" t="str">
        <f aca="false">IF(COUNTIFS($N$2:$N$2000,N1403,$D$2:$D$2000,"&lt;&gt;"&amp;D1403)&gt;0,"CONFLICT","")</f>
        <v/>
      </c>
      <c r="P1403" s="7" t="s">
        <v>1936</v>
      </c>
    </row>
    <row r="1404" customFormat="false" ht="15" hidden="false" customHeight="false" outlineLevel="0" collapsed="false">
      <c r="A1404" s="7" t="s">
        <v>2578</v>
      </c>
      <c r="B1404" s="7" t="s">
        <v>1879</v>
      </c>
      <c r="C1404" s="7"/>
      <c r="D1404" s="6" t="s">
        <v>761</v>
      </c>
      <c r="E1404" s="6" t="s">
        <v>1880</v>
      </c>
      <c r="F1404" s="7" t="str">
        <f aca="false">IF($D1404="","",IFERROR(IF(INDEX(Hierarchy!$B$2:$B$1295,MATCH($D1404,Hierarchy!$A$2:$A$1295,0))="","",INDEX(Hierarchy!$B$2:$B$1295,MATCH($D1404,Hierarchy!$A$2:$A$1295,0))),"NODE NOT FOUND"))</f>
        <v>Country</v>
      </c>
      <c r="G1404" s="7" t="str">
        <f aca="false">IF($D1404="","",IFERROR(IF(INDEX(Hierarchy!$D$2:$D$1295,MATCH($D1404,Hierarchy!$A$2:$A$1295,0))="","",INDEX(Hierarchy!$D$2:$D$1295,MATCH($D1404,Hierarchy!$A$2:$A$1295,0))),"NODE NOT FOUND"))</f>
        <v>EMEA</v>
      </c>
      <c r="H1404" s="7" t="str">
        <f aca="false">IF($D1404="","",IFERROR(IF(INDEX(Hierarchy!$E$2:$E$1295,MATCH($D1404,Hierarchy!$A$2:$A$1295,0))="","",INDEX(Hierarchy!$E$2:$E$1295,MATCH($D1404,Hierarchy!$A$2:$A$1295,0))),"NODE NOT FOUND"))</f>
        <v>Europe</v>
      </c>
      <c r="I1404" s="7" t="str">
        <f aca="false">IF($D1404="","",IFERROR(IF(INDEX(Hierarchy!$F$2:$F$1295,MATCH($D1404,Hierarchy!$A$2:$A$1295,0))="","",INDEX(Hierarchy!$F$2:$F$1295,MATCH($D1404,Hierarchy!$A$2:$A$1295,0))),"NODE NOT FOUND"))</f>
        <v>Belarus</v>
      </c>
      <c r="J1404" s="7" t="str">
        <f aca="false">IF($D1404="","",IFERROR(IF(INDEX(Hierarchy!$G$2:$G$1295,MATCH($D1404,Hierarchy!$A$2:$A$1295,0))="","",INDEX(Hierarchy!$G$2:$G$1295,MATCH($D1404,Hierarchy!$A$2:$A$1295,0))),"NODE NOT FOUND"))</f>
        <v>BLR</v>
      </c>
      <c r="K1404" s="7" t="str">
        <f aca="false">IF($D1404="","",IFERROR(IF(INDEX(Hierarchy!$H$2:$H$1295,MATCH($D1404,Hierarchy!$A$2:$A$1295,0))="","",INDEX(Hierarchy!$H$2:$H$1295,MATCH($D1404,Hierarchy!$A$2:$A$1295,0))),"NODE NOT FOUND"))</f>
        <v/>
      </c>
      <c r="L1404" s="7" t="str">
        <f aca="false">IF($D1404="","",IFERROR(IF(INDEX(Hierarchy!$I$2:$I$1295,MATCH($D1404,Hierarchy!$A$2:$A$1295,0))="","",INDEX(Hierarchy!$I$2:$I$1295,MATCH($D1404,Hierarchy!$A$2:$A$1295,0))),"NODE NOT FOUND"))</f>
        <v/>
      </c>
      <c r="M1404" s="17" t="str">
        <f aca="false">IF(B1404="Pre-seeded","Pre-seeded",IF(B1404="Review 2026-09-16","Added from review",IF(C1404="","New",IF(C1404=D1404,"","Changed"))))</f>
        <v>Pre-seeded</v>
      </c>
      <c r="N1404" s="7" t="str">
        <f aca="false">TRIM(SUBSTITUTE(SUBSTITUTE(SUBSTITUTE(" "&amp;TRIM(SUBSTITUTE(SUBSTITUTE(SUBSTITUTE(SUBSTITUTE(SUBSTITUTE(SUBSTITUTE(SUBSTITUTE(SUBSTITUTE(SUBSTITUTE(SUBSTITUTE(SUBSTITUTE(SUBSTITUTE(SUBSTITUTE(SUBSTITUTE(SUBSTITUTE(UPPER(TRIM(A1404)),"[MEMBER]",""),"{MEMBER}",""),"[MEMBER}",""),"MEMBER]",""),"(A)",""),"""",""),"“",""),"”",""),".",""),":",""),",",""),"–"," "),"-"," "),"/"," "),"&amp;"," AND "))&amp;" "," THE "," ")," TOTAL "," ")," OPERATIONS "," "))</f>
        <v>REPUBLIC OF BELARUS</v>
      </c>
      <c r="O1404" s="17" t="str">
        <f aca="false">IF(COUNTIFS($N$2:$N$2000,N1404,$D$2:$D$2000,"&lt;&gt;"&amp;D1404)&gt;0,"CONFLICT","")</f>
        <v/>
      </c>
      <c r="P1404" s="7" t="s">
        <v>1936</v>
      </c>
    </row>
    <row r="1405" customFormat="false" ht="15" hidden="false" customHeight="false" outlineLevel="0" collapsed="false">
      <c r="A1405" s="7" t="s">
        <v>2579</v>
      </c>
      <c r="B1405" s="7" t="s">
        <v>1879</v>
      </c>
      <c r="C1405" s="7"/>
      <c r="D1405" s="6" t="s">
        <v>1178</v>
      </c>
      <c r="E1405" s="6" t="s">
        <v>1880</v>
      </c>
      <c r="F1405" s="7" t="str">
        <f aca="false">IF($D1405="","",IFERROR(IF(INDEX(Hierarchy!$B$2:$B$1295,MATCH($D1405,Hierarchy!$A$2:$A$1295,0))="","",INDEX(Hierarchy!$B$2:$B$1295,MATCH($D1405,Hierarchy!$A$2:$A$1295,0))),"NODE NOT FOUND"))</f>
        <v>Country</v>
      </c>
      <c r="G1405" s="7" t="str">
        <f aca="false">IF($D1405="","",IFERROR(IF(INDEX(Hierarchy!$D$2:$D$1295,MATCH($D1405,Hierarchy!$A$2:$A$1295,0))="","",INDEX(Hierarchy!$D$2:$D$1295,MATCH($D1405,Hierarchy!$A$2:$A$1295,0))),"NODE NOT FOUND"))</f>
        <v>EMEA</v>
      </c>
      <c r="H1405" s="7" t="str">
        <f aca="false">IF($D1405="","",IFERROR(IF(INDEX(Hierarchy!$E$2:$E$1295,MATCH($D1405,Hierarchy!$A$2:$A$1295,0))="","",INDEX(Hierarchy!$E$2:$E$1295,MATCH($D1405,Hierarchy!$A$2:$A$1295,0))),"NODE NOT FOUND"))</f>
        <v>Africa</v>
      </c>
      <c r="I1405" s="7" t="str">
        <f aca="false">IF($D1405="","",IFERROR(IF(INDEX(Hierarchy!$F$2:$F$1295,MATCH($D1405,Hierarchy!$A$2:$A$1295,0))="","",INDEX(Hierarchy!$F$2:$F$1295,MATCH($D1405,Hierarchy!$A$2:$A$1295,0))),"NODE NOT FOUND"))</f>
        <v>Benin</v>
      </c>
      <c r="J1405" s="7" t="str">
        <f aca="false">IF($D1405="","",IFERROR(IF(INDEX(Hierarchy!$G$2:$G$1295,MATCH($D1405,Hierarchy!$A$2:$A$1295,0))="","",INDEX(Hierarchy!$G$2:$G$1295,MATCH($D1405,Hierarchy!$A$2:$A$1295,0))),"NODE NOT FOUND"))</f>
        <v>BEN</v>
      </c>
      <c r="K1405" s="7" t="str">
        <f aca="false">IF($D1405="","",IFERROR(IF(INDEX(Hierarchy!$H$2:$H$1295,MATCH($D1405,Hierarchy!$A$2:$A$1295,0))="","",INDEX(Hierarchy!$H$2:$H$1295,MATCH($D1405,Hierarchy!$A$2:$A$1295,0))),"NODE NOT FOUND"))</f>
        <v/>
      </c>
      <c r="L1405" s="7" t="str">
        <f aca="false">IF($D1405="","",IFERROR(IF(INDEX(Hierarchy!$I$2:$I$1295,MATCH($D1405,Hierarchy!$A$2:$A$1295,0))="","",INDEX(Hierarchy!$I$2:$I$1295,MATCH($D1405,Hierarchy!$A$2:$A$1295,0))),"NODE NOT FOUND"))</f>
        <v/>
      </c>
      <c r="M1405" s="17" t="str">
        <f aca="false">IF(B1405="Pre-seeded","Pre-seeded",IF(B1405="Review 2026-09-16","Added from review",IF(C1405="","New",IF(C1405=D1405,"","Changed"))))</f>
        <v>Pre-seeded</v>
      </c>
      <c r="N1405" s="7" t="str">
        <f aca="false">TRIM(SUBSTITUTE(SUBSTITUTE(SUBSTITUTE(" "&amp;TRIM(SUBSTITUTE(SUBSTITUTE(SUBSTITUTE(SUBSTITUTE(SUBSTITUTE(SUBSTITUTE(SUBSTITUTE(SUBSTITUTE(SUBSTITUTE(SUBSTITUTE(SUBSTITUTE(SUBSTITUTE(SUBSTITUTE(SUBSTITUTE(SUBSTITUTE(UPPER(TRIM(A1405)),"[MEMBER]",""),"{MEMBER}",""),"[MEMBER}",""),"MEMBER]",""),"(A)",""),"""",""),"“",""),"”",""),".",""),":",""),",",""),"–"," "),"-"," "),"/"," "),"&amp;"," AND "))&amp;" "," THE "," ")," TOTAL "," ")," OPERATIONS "," "))</f>
        <v>REPUBLIC OF BENIN</v>
      </c>
      <c r="O1405" s="17" t="str">
        <f aca="false">IF(COUNTIFS($N$2:$N$2000,N1405,$D$2:$D$2000,"&lt;&gt;"&amp;D1405)&gt;0,"CONFLICT","")</f>
        <v/>
      </c>
      <c r="P1405" s="7" t="s">
        <v>1936</v>
      </c>
    </row>
    <row r="1406" customFormat="false" ht="15" hidden="false" customHeight="false" outlineLevel="0" collapsed="false">
      <c r="A1406" s="7" t="s">
        <v>2580</v>
      </c>
      <c r="B1406" s="7" t="s">
        <v>1879</v>
      </c>
      <c r="C1406" s="7"/>
      <c r="D1406" s="6" t="s">
        <v>772</v>
      </c>
      <c r="E1406" s="6" t="s">
        <v>1880</v>
      </c>
      <c r="F1406" s="7" t="str">
        <f aca="false">IF($D1406="","",IFERROR(IF(INDEX(Hierarchy!$B$2:$B$1295,MATCH($D1406,Hierarchy!$A$2:$A$1295,0))="","",INDEX(Hierarchy!$B$2:$B$1295,MATCH($D1406,Hierarchy!$A$2:$A$1295,0))),"NODE NOT FOUND"))</f>
        <v>Country</v>
      </c>
      <c r="G1406" s="7" t="str">
        <f aca="false">IF($D1406="","",IFERROR(IF(INDEX(Hierarchy!$D$2:$D$1295,MATCH($D1406,Hierarchy!$A$2:$A$1295,0))="","",INDEX(Hierarchy!$D$2:$D$1295,MATCH($D1406,Hierarchy!$A$2:$A$1295,0))),"NODE NOT FOUND"))</f>
        <v>EMEA</v>
      </c>
      <c r="H1406" s="7" t="str">
        <f aca="false">IF($D1406="","",IFERROR(IF(INDEX(Hierarchy!$E$2:$E$1295,MATCH($D1406,Hierarchy!$A$2:$A$1295,0))="","",INDEX(Hierarchy!$E$2:$E$1295,MATCH($D1406,Hierarchy!$A$2:$A$1295,0))),"NODE NOT FOUND"))</f>
        <v>Europe</v>
      </c>
      <c r="I1406" s="7" t="str">
        <f aca="false">IF($D1406="","",IFERROR(IF(INDEX(Hierarchy!$F$2:$F$1295,MATCH($D1406,Hierarchy!$A$2:$A$1295,0))="","",INDEX(Hierarchy!$F$2:$F$1295,MATCH($D1406,Hierarchy!$A$2:$A$1295,0))),"NODE NOT FOUND"))</f>
        <v>Bosnia and Herzegovina</v>
      </c>
      <c r="J1406" s="7" t="str">
        <f aca="false">IF($D1406="","",IFERROR(IF(INDEX(Hierarchy!$G$2:$G$1295,MATCH($D1406,Hierarchy!$A$2:$A$1295,0))="","",INDEX(Hierarchy!$G$2:$G$1295,MATCH($D1406,Hierarchy!$A$2:$A$1295,0))),"NODE NOT FOUND"))</f>
        <v>BIH</v>
      </c>
      <c r="K1406" s="7" t="str">
        <f aca="false">IF($D1406="","",IFERROR(IF(INDEX(Hierarchy!$H$2:$H$1295,MATCH($D1406,Hierarchy!$A$2:$A$1295,0))="","",INDEX(Hierarchy!$H$2:$H$1295,MATCH($D1406,Hierarchy!$A$2:$A$1295,0))),"NODE NOT FOUND"))</f>
        <v/>
      </c>
      <c r="L1406" s="7" t="str">
        <f aca="false">IF($D1406="","",IFERROR(IF(INDEX(Hierarchy!$I$2:$I$1295,MATCH($D1406,Hierarchy!$A$2:$A$1295,0))="","",INDEX(Hierarchy!$I$2:$I$1295,MATCH($D1406,Hierarchy!$A$2:$A$1295,0))),"NODE NOT FOUND"))</f>
        <v/>
      </c>
      <c r="M1406" s="17" t="str">
        <f aca="false">IF(B1406="Pre-seeded","Pre-seeded",IF(B1406="Review 2026-09-16","Added from review",IF(C1406="","New",IF(C1406=D1406,"","Changed"))))</f>
        <v>Pre-seeded</v>
      </c>
      <c r="N1406" s="7" t="str">
        <f aca="false">TRIM(SUBSTITUTE(SUBSTITUTE(SUBSTITUTE(" "&amp;TRIM(SUBSTITUTE(SUBSTITUTE(SUBSTITUTE(SUBSTITUTE(SUBSTITUTE(SUBSTITUTE(SUBSTITUTE(SUBSTITUTE(SUBSTITUTE(SUBSTITUTE(SUBSTITUTE(SUBSTITUTE(SUBSTITUTE(SUBSTITUTE(SUBSTITUTE(UPPER(TRIM(A1406)),"[MEMBER]",""),"{MEMBER}",""),"[MEMBER}",""),"MEMBER]",""),"(A)",""),"""",""),"“",""),"”",""),".",""),":",""),",",""),"–"," "),"-"," "),"/"," "),"&amp;"," AND "))&amp;" "," THE "," ")," TOTAL "," ")," OPERATIONS "," "))</f>
        <v>REPUBLIC OF BOSNIA AND HERZEGOVINA</v>
      </c>
      <c r="O1406" s="17" t="str">
        <f aca="false">IF(COUNTIFS($N$2:$N$2000,N1406,$D$2:$D$2000,"&lt;&gt;"&amp;D1406)&gt;0,"CONFLICT","")</f>
        <v/>
      </c>
      <c r="P1406" s="7" t="s">
        <v>1936</v>
      </c>
    </row>
    <row r="1407" customFormat="false" ht="15" hidden="false" customHeight="false" outlineLevel="0" collapsed="false">
      <c r="A1407" s="7" t="s">
        <v>2581</v>
      </c>
      <c r="B1407" s="7" t="s">
        <v>1879</v>
      </c>
      <c r="C1407" s="7"/>
      <c r="D1407" s="6" t="s">
        <v>1181</v>
      </c>
      <c r="E1407" s="6" t="s">
        <v>1880</v>
      </c>
      <c r="F1407" s="7" t="str">
        <f aca="false">IF($D1407="","",IFERROR(IF(INDEX(Hierarchy!$B$2:$B$1295,MATCH($D1407,Hierarchy!$A$2:$A$1295,0))="","",INDEX(Hierarchy!$B$2:$B$1295,MATCH($D1407,Hierarchy!$A$2:$A$1295,0))),"NODE NOT FOUND"))</f>
        <v>Country</v>
      </c>
      <c r="G1407" s="7" t="str">
        <f aca="false">IF($D1407="","",IFERROR(IF(INDEX(Hierarchy!$D$2:$D$1295,MATCH($D1407,Hierarchy!$A$2:$A$1295,0))="","",INDEX(Hierarchy!$D$2:$D$1295,MATCH($D1407,Hierarchy!$A$2:$A$1295,0))),"NODE NOT FOUND"))</f>
        <v>EMEA</v>
      </c>
      <c r="H1407" s="7" t="str">
        <f aca="false">IF($D1407="","",IFERROR(IF(INDEX(Hierarchy!$E$2:$E$1295,MATCH($D1407,Hierarchy!$A$2:$A$1295,0))="","",INDEX(Hierarchy!$E$2:$E$1295,MATCH($D1407,Hierarchy!$A$2:$A$1295,0))),"NODE NOT FOUND"))</f>
        <v>Africa</v>
      </c>
      <c r="I1407" s="7" t="str">
        <f aca="false">IF($D1407="","",IFERROR(IF(INDEX(Hierarchy!$F$2:$F$1295,MATCH($D1407,Hierarchy!$A$2:$A$1295,0))="","",INDEX(Hierarchy!$F$2:$F$1295,MATCH($D1407,Hierarchy!$A$2:$A$1295,0))),"NODE NOT FOUND"))</f>
        <v>Botswana</v>
      </c>
      <c r="J1407" s="7" t="str">
        <f aca="false">IF($D1407="","",IFERROR(IF(INDEX(Hierarchy!$G$2:$G$1295,MATCH($D1407,Hierarchy!$A$2:$A$1295,0))="","",INDEX(Hierarchy!$G$2:$G$1295,MATCH($D1407,Hierarchy!$A$2:$A$1295,0))),"NODE NOT FOUND"))</f>
        <v>BWA</v>
      </c>
      <c r="K1407" s="7" t="str">
        <f aca="false">IF($D1407="","",IFERROR(IF(INDEX(Hierarchy!$H$2:$H$1295,MATCH($D1407,Hierarchy!$A$2:$A$1295,0))="","",INDEX(Hierarchy!$H$2:$H$1295,MATCH($D1407,Hierarchy!$A$2:$A$1295,0))),"NODE NOT FOUND"))</f>
        <v/>
      </c>
      <c r="L1407" s="7" t="str">
        <f aca="false">IF($D1407="","",IFERROR(IF(INDEX(Hierarchy!$I$2:$I$1295,MATCH($D1407,Hierarchy!$A$2:$A$1295,0))="","",INDEX(Hierarchy!$I$2:$I$1295,MATCH($D1407,Hierarchy!$A$2:$A$1295,0))),"NODE NOT FOUND"))</f>
        <v/>
      </c>
      <c r="M1407" s="17" t="str">
        <f aca="false">IF(B1407="Pre-seeded","Pre-seeded",IF(B1407="Review 2026-09-16","Added from review",IF(C1407="","New",IF(C1407=D1407,"","Changed"))))</f>
        <v>Pre-seeded</v>
      </c>
      <c r="N1407" s="7" t="str">
        <f aca="false">TRIM(SUBSTITUTE(SUBSTITUTE(SUBSTITUTE(" "&amp;TRIM(SUBSTITUTE(SUBSTITUTE(SUBSTITUTE(SUBSTITUTE(SUBSTITUTE(SUBSTITUTE(SUBSTITUTE(SUBSTITUTE(SUBSTITUTE(SUBSTITUTE(SUBSTITUTE(SUBSTITUTE(SUBSTITUTE(SUBSTITUTE(SUBSTITUTE(UPPER(TRIM(A1407)),"[MEMBER]",""),"{MEMBER}",""),"[MEMBER}",""),"MEMBER]",""),"(A)",""),"""",""),"“",""),"”",""),".",""),":",""),",",""),"–"," "),"-"," "),"/"," "),"&amp;"," AND "))&amp;" "," THE "," ")," TOTAL "," ")," OPERATIONS "," "))</f>
        <v>REPUBLIC OF BOTSWANA</v>
      </c>
      <c r="O1407" s="17" t="str">
        <f aca="false">IF(COUNTIFS($N$2:$N$2000,N1407,$D$2:$D$2000,"&lt;&gt;"&amp;D1407)&gt;0,"CONFLICT","")</f>
        <v/>
      </c>
      <c r="P1407" s="7" t="s">
        <v>1936</v>
      </c>
    </row>
    <row r="1408" customFormat="false" ht="15" hidden="false" customHeight="false" outlineLevel="0" collapsed="false">
      <c r="A1408" s="7" t="s">
        <v>2582</v>
      </c>
      <c r="B1408" s="7" t="s">
        <v>1879</v>
      </c>
      <c r="C1408" s="7"/>
      <c r="D1408" s="6" t="s">
        <v>774</v>
      </c>
      <c r="E1408" s="6" t="s">
        <v>1880</v>
      </c>
      <c r="F1408" s="7" t="str">
        <f aca="false">IF($D1408="","",IFERROR(IF(INDEX(Hierarchy!$B$2:$B$1295,MATCH($D1408,Hierarchy!$A$2:$A$1295,0))="","",INDEX(Hierarchy!$B$2:$B$1295,MATCH($D1408,Hierarchy!$A$2:$A$1295,0))),"NODE NOT FOUND"))</f>
        <v>Country</v>
      </c>
      <c r="G1408" s="7" t="str">
        <f aca="false">IF($D1408="","",IFERROR(IF(INDEX(Hierarchy!$D$2:$D$1295,MATCH($D1408,Hierarchy!$A$2:$A$1295,0))="","",INDEX(Hierarchy!$D$2:$D$1295,MATCH($D1408,Hierarchy!$A$2:$A$1295,0))),"NODE NOT FOUND"))</f>
        <v>EMEA</v>
      </c>
      <c r="H1408" s="7" t="str">
        <f aca="false">IF($D1408="","",IFERROR(IF(INDEX(Hierarchy!$E$2:$E$1295,MATCH($D1408,Hierarchy!$A$2:$A$1295,0))="","",INDEX(Hierarchy!$E$2:$E$1295,MATCH($D1408,Hierarchy!$A$2:$A$1295,0))),"NODE NOT FOUND"))</f>
        <v>Europe</v>
      </c>
      <c r="I1408" s="7" t="str">
        <f aca="false">IF($D1408="","",IFERROR(IF(INDEX(Hierarchy!$F$2:$F$1295,MATCH($D1408,Hierarchy!$A$2:$A$1295,0))="","",INDEX(Hierarchy!$F$2:$F$1295,MATCH($D1408,Hierarchy!$A$2:$A$1295,0))),"NODE NOT FOUND"))</f>
        <v>Bulgaria</v>
      </c>
      <c r="J1408" s="7" t="str">
        <f aca="false">IF($D1408="","",IFERROR(IF(INDEX(Hierarchy!$G$2:$G$1295,MATCH($D1408,Hierarchy!$A$2:$A$1295,0))="","",INDEX(Hierarchy!$G$2:$G$1295,MATCH($D1408,Hierarchy!$A$2:$A$1295,0))),"NODE NOT FOUND"))</f>
        <v>BGR</v>
      </c>
      <c r="K1408" s="7" t="str">
        <f aca="false">IF($D1408="","",IFERROR(IF(INDEX(Hierarchy!$H$2:$H$1295,MATCH($D1408,Hierarchy!$A$2:$A$1295,0))="","",INDEX(Hierarchy!$H$2:$H$1295,MATCH($D1408,Hierarchy!$A$2:$A$1295,0))),"NODE NOT FOUND"))</f>
        <v/>
      </c>
      <c r="L1408" s="7" t="str">
        <f aca="false">IF($D1408="","",IFERROR(IF(INDEX(Hierarchy!$I$2:$I$1295,MATCH($D1408,Hierarchy!$A$2:$A$1295,0))="","",INDEX(Hierarchy!$I$2:$I$1295,MATCH($D1408,Hierarchy!$A$2:$A$1295,0))),"NODE NOT FOUND"))</f>
        <v/>
      </c>
      <c r="M1408" s="17" t="str">
        <f aca="false">IF(B1408="Pre-seeded","Pre-seeded",IF(B1408="Review 2026-09-16","Added from review",IF(C1408="","New",IF(C1408=D1408,"","Changed"))))</f>
        <v>Pre-seeded</v>
      </c>
      <c r="N1408" s="7" t="str">
        <f aca="false">TRIM(SUBSTITUTE(SUBSTITUTE(SUBSTITUTE(" "&amp;TRIM(SUBSTITUTE(SUBSTITUTE(SUBSTITUTE(SUBSTITUTE(SUBSTITUTE(SUBSTITUTE(SUBSTITUTE(SUBSTITUTE(SUBSTITUTE(SUBSTITUTE(SUBSTITUTE(SUBSTITUTE(SUBSTITUTE(SUBSTITUTE(SUBSTITUTE(UPPER(TRIM(A1408)),"[MEMBER]",""),"{MEMBER}",""),"[MEMBER}",""),"MEMBER]",""),"(A)",""),"""",""),"“",""),"”",""),".",""),":",""),",",""),"–"," "),"-"," "),"/"," "),"&amp;"," AND "))&amp;" "," THE "," ")," TOTAL "," ")," OPERATIONS "," "))</f>
        <v>REPUBLIC OF BULGARIA</v>
      </c>
      <c r="O1408" s="17" t="str">
        <f aca="false">IF(COUNTIFS($N$2:$N$2000,N1408,$D$2:$D$2000,"&lt;&gt;"&amp;D1408)&gt;0,"CONFLICT","")</f>
        <v/>
      </c>
      <c r="P1408" s="7" t="s">
        <v>1936</v>
      </c>
    </row>
    <row r="1409" customFormat="false" ht="15" hidden="false" customHeight="false" outlineLevel="0" collapsed="false">
      <c r="A1409" s="7" t="s">
        <v>2583</v>
      </c>
      <c r="B1409" s="7" t="s">
        <v>1879</v>
      </c>
      <c r="C1409" s="7"/>
      <c r="D1409" s="6" t="s">
        <v>1187</v>
      </c>
      <c r="E1409" s="6" t="s">
        <v>1880</v>
      </c>
      <c r="F1409" s="7" t="str">
        <f aca="false">IF($D1409="","",IFERROR(IF(INDEX(Hierarchy!$B$2:$B$1295,MATCH($D1409,Hierarchy!$A$2:$A$1295,0))="","",INDEX(Hierarchy!$B$2:$B$1295,MATCH($D1409,Hierarchy!$A$2:$A$1295,0))),"NODE NOT FOUND"))</f>
        <v>Country</v>
      </c>
      <c r="G1409" s="7" t="str">
        <f aca="false">IF($D1409="","",IFERROR(IF(INDEX(Hierarchy!$D$2:$D$1295,MATCH($D1409,Hierarchy!$A$2:$A$1295,0))="","",INDEX(Hierarchy!$D$2:$D$1295,MATCH($D1409,Hierarchy!$A$2:$A$1295,0))),"NODE NOT FOUND"))</f>
        <v>EMEA</v>
      </c>
      <c r="H1409" s="7" t="str">
        <f aca="false">IF($D1409="","",IFERROR(IF(INDEX(Hierarchy!$E$2:$E$1295,MATCH($D1409,Hierarchy!$A$2:$A$1295,0))="","",INDEX(Hierarchy!$E$2:$E$1295,MATCH($D1409,Hierarchy!$A$2:$A$1295,0))),"NODE NOT FOUND"))</f>
        <v>Africa</v>
      </c>
      <c r="I1409" s="7" t="str">
        <f aca="false">IF($D1409="","",IFERROR(IF(INDEX(Hierarchy!$F$2:$F$1295,MATCH($D1409,Hierarchy!$A$2:$A$1295,0))="","",INDEX(Hierarchy!$F$2:$F$1295,MATCH($D1409,Hierarchy!$A$2:$A$1295,0))),"NODE NOT FOUND"))</f>
        <v>Burundi</v>
      </c>
      <c r="J1409" s="7" t="str">
        <f aca="false">IF($D1409="","",IFERROR(IF(INDEX(Hierarchy!$G$2:$G$1295,MATCH($D1409,Hierarchy!$A$2:$A$1295,0))="","",INDEX(Hierarchy!$G$2:$G$1295,MATCH($D1409,Hierarchy!$A$2:$A$1295,0))),"NODE NOT FOUND"))</f>
        <v>BDI</v>
      </c>
      <c r="K1409" s="7" t="str">
        <f aca="false">IF($D1409="","",IFERROR(IF(INDEX(Hierarchy!$H$2:$H$1295,MATCH($D1409,Hierarchy!$A$2:$A$1295,0))="","",INDEX(Hierarchy!$H$2:$H$1295,MATCH($D1409,Hierarchy!$A$2:$A$1295,0))),"NODE NOT FOUND"))</f>
        <v/>
      </c>
      <c r="L1409" s="7" t="str">
        <f aca="false">IF($D1409="","",IFERROR(IF(INDEX(Hierarchy!$I$2:$I$1295,MATCH($D1409,Hierarchy!$A$2:$A$1295,0))="","",INDEX(Hierarchy!$I$2:$I$1295,MATCH($D1409,Hierarchy!$A$2:$A$1295,0))),"NODE NOT FOUND"))</f>
        <v/>
      </c>
      <c r="M1409" s="17" t="str">
        <f aca="false">IF(B1409="Pre-seeded","Pre-seeded",IF(B1409="Review 2026-09-16","Added from review",IF(C1409="","New",IF(C1409=D1409,"","Changed"))))</f>
        <v>Pre-seeded</v>
      </c>
      <c r="N1409" s="7" t="str">
        <f aca="false">TRIM(SUBSTITUTE(SUBSTITUTE(SUBSTITUTE(" "&amp;TRIM(SUBSTITUTE(SUBSTITUTE(SUBSTITUTE(SUBSTITUTE(SUBSTITUTE(SUBSTITUTE(SUBSTITUTE(SUBSTITUTE(SUBSTITUTE(SUBSTITUTE(SUBSTITUTE(SUBSTITUTE(SUBSTITUTE(SUBSTITUTE(SUBSTITUTE(UPPER(TRIM(A1409)),"[MEMBER]",""),"{MEMBER}",""),"[MEMBER}",""),"MEMBER]",""),"(A)",""),"""",""),"“",""),"”",""),".",""),":",""),",",""),"–"," "),"-"," "),"/"," "),"&amp;"," AND "))&amp;" "," THE "," ")," TOTAL "," ")," OPERATIONS "," "))</f>
        <v>REPUBLIC OF BURUNDI</v>
      </c>
      <c r="O1409" s="17" t="str">
        <f aca="false">IF(COUNTIFS($N$2:$N$2000,N1409,$D$2:$D$2000,"&lt;&gt;"&amp;D1409)&gt;0,"CONFLICT","")</f>
        <v/>
      </c>
      <c r="P1409" s="7" t="s">
        <v>1936</v>
      </c>
    </row>
    <row r="1410" customFormat="false" ht="15" hidden="false" customHeight="false" outlineLevel="0" collapsed="false">
      <c r="A1410" s="7" t="s">
        <v>2584</v>
      </c>
      <c r="B1410" s="7" t="s">
        <v>1879</v>
      </c>
      <c r="C1410" s="7"/>
      <c r="D1410" s="6" t="s">
        <v>1191</v>
      </c>
      <c r="E1410" s="6" t="s">
        <v>1880</v>
      </c>
      <c r="F1410" s="7" t="str">
        <f aca="false">IF($D1410="","",IFERROR(IF(INDEX(Hierarchy!$B$2:$B$1295,MATCH($D1410,Hierarchy!$A$2:$A$1295,0))="","",INDEX(Hierarchy!$B$2:$B$1295,MATCH($D1410,Hierarchy!$A$2:$A$1295,0))),"NODE NOT FOUND"))</f>
        <v>Country</v>
      </c>
      <c r="G1410" s="7" t="str">
        <f aca="false">IF($D1410="","",IFERROR(IF(INDEX(Hierarchy!$D$2:$D$1295,MATCH($D1410,Hierarchy!$A$2:$A$1295,0))="","",INDEX(Hierarchy!$D$2:$D$1295,MATCH($D1410,Hierarchy!$A$2:$A$1295,0))),"NODE NOT FOUND"))</f>
        <v>EMEA</v>
      </c>
      <c r="H1410" s="7" t="str">
        <f aca="false">IF($D1410="","",IFERROR(IF(INDEX(Hierarchy!$E$2:$E$1295,MATCH($D1410,Hierarchy!$A$2:$A$1295,0))="","",INDEX(Hierarchy!$E$2:$E$1295,MATCH($D1410,Hierarchy!$A$2:$A$1295,0))),"NODE NOT FOUND"))</f>
        <v>Africa</v>
      </c>
      <c r="I1410" s="7" t="str">
        <f aca="false">IF($D1410="","",IFERROR(IF(INDEX(Hierarchy!$F$2:$F$1295,MATCH($D1410,Hierarchy!$A$2:$A$1295,0))="","",INDEX(Hierarchy!$F$2:$F$1295,MATCH($D1410,Hierarchy!$A$2:$A$1295,0))),"NODE NOT FOUND"))</f>
        <v>Cabo Verde</v>
      </c>
      <c r="J1410" s="7" t="str">
        <f aca="false">IF($D1410="","",IFERROR(IF(INDEX(Hierarchy!$G$2:$G$1295,MATCH($D1410,Hierarchy!$A$2:$A$1295,0))="","",INDEX(Hierarchy!$G$2:$G$1295,MATCH($D1410,Hierarchy!$A$2:$A$1295,0))),"NODE NOT FOUND"))</f>
        <v>CPV</v>
      </c>
      <c r="K1410" s="7" t="str">
        <f aca="false">IF($D1410="","",IFERROR(IF(INDEX(Hierarchy!$H$2:$H$1295,MATCH($D1410,Hierarchy!$A$2:$A$1295,0))="","",INDEX(Hierarchy!$H$2:$H$1295,MATCH($D1410,Hierarchy!$A$2:$A$1295,0))),"NODE NOT FOUND"))</f>
        <v/>
      </c>
      <c r="L1410" s="7" t="str">
        <f aca="false">IF($D1410="","",IFERROR(IF(INDEX(Hierarchy!$I$2:$I$1295,MATCH($D1410,Hierarchy!$A$2:$A$1295,0))="","",INDEX(Hierarchy!$I$2:$I$1295,MATCH($D1410,Hierarchy!$A$2:$A$1295,0))),"NODE NOT FOUND"))</f>
        <v/>
      </c>
      <c r="M1410" s="17" t="str">
        <f aca="false">IF(B1410="Pre-seeded","Pre-seeded",IF(B1410="Review 2026-09-16","Added from review",IF(C1410="","New",IF(C1410=D1410,"","Changed"))))</f>
        <v>Pre-seeded</v>
      </c>
      <c r="N1410" s="7" t="str">
        <f aca="false">TRIM(SUBSTITUTE(SUBSTITUTE(SUBSTITUTE(" "&amp;TRIM(SUBSTITUTE(SUBSTITUTE(SUBSTITUTE(SUBSTITUTE(SUBSTITUTE(SUBSTITUTE(SUBSTITUTE(SUBSTITUTE(SUBSTITUTE(SUBSTITUTE(SUBSTITUTE(SUBSTITUTE(SUBSTITUTE(SUBSTITUTE(SUBSTITUTE(UPPER(TRIM(A1410)),"[MEMBER]",""),"{MEMBER}",""),"[MEMBER}",""),"MEMBER]",""),"(A)",""),"""",""),"“",""),"”",""),".",""),":",""),",",""),"–"," "),"-"," "),"/"," "),"&amp;"," AND "))&amp;" "," THE "," ")," TOTAL "," ")," OPERATIONS "," "))</f>
        <v>REPUBLIC OF CABO VERDE</v>
      </c>
      <c r="O1410" s="17" t="str">
        <f aca="false">IF(COUNTIFS($N$2:$N$2000,N1410,$D$2:$D$2000,"&lt;&gt;"&amp;D1410)&gt;0,"CONFLICT","")</f>
        <v/>
      </c>
      <c r="P1410" s="7" t="s">
        <v>1936</v>
      </c>
    </row>
    <row r="1411" customFormat="false" ht="15" hidden="false" customHeight="false" outlineLevel="0" collapsed="false">
      <c r="A1411" s="7" t="s">
        <v>2585</v>
      </c>
      <c r="B1411" s="7" t="s">
        <v>1879</v>
      </c>
      <c r="C1411" s="7"/>
      <c r="D1411" s="6" t="s">
        <v>1194</v>
      </c>
      <c r="E1411" s="6" t="s">
        <v>1880</v>
      </c>
      <c r="F1411" s="7" t="str">
        <f aca="false">IF($D1411="","",IFERROR(IF(INDEX(Hierarchy!$B$2:$B$1295,MATCH($D1411,Hierarchy!$A$2:$A$1295,0))="","",INDEX(Hierarchy!$B$2:$B$1295,MATCH($D1411,Hierarchy!$A$2:$A$1295,0))),"NODE NOT FOUND"))</f>
        <v>Country</v>
      </c>
      <c r="G1411" s="7" t="str">
        <f aca="false">IF($D1411="","",IFERROR(IF(INDEX(Hierarchy!$D$2:$D$1295,MATCH($D1411,Hierarchy!$A$2:$A$1295,0))="","",INDEX(Hierarchy!$D$2:$D$1295,MATCH($D1411,Hierarchy!$A$2:$A$1295,0))),"NODE NOT FOUND"))</f>
        <v>EMEA</v>
      </c>
      <c r="H1411" s="7" t="str">
        <f aca="false">IF($D1411="","",IFERROR(IF(INDEX(Hierarchy!$E$2:$E$1295,MATCH($D1411,Hierarchy!$A$2:$A$1295,0))="","",INDEX(Hierarchy!$E$2:$E$1295,MATCH($D1411,Hierarchy!$A$2:$A$1295,0))),"NODE NOT FOUND"))</f>
        <v>Africa</v>
      </c>
      <c r="I1411" s="7" t="str">
        <f aca="false">IF($D1411="","",IFERROR(IF(INDEX(Hierarchy!$F$2:$F$1295,MATCH($D1411,Hierarchy!$A$2:$A$1295,0))="","",INDEX(Hierarchy!$F$2:$F$1295,MATCH($D1411,Hierarchy!$A$2:$A$1295,0))),"NODE NOT FOUND"))</f>
        <v>Cameroon</v>
      </c>
      <c r="J1411" s="7" t="str">
        <f aca="false">IF($D1411="","",IFERROR(IF(INDEX(Hierarchy!$G$2:$G$1295,MATCH($D1411,Hierarchy!$A$2:$A$1295,0))="","",INDEX(Hierarchy!$G$2:$G$1295,MATCH($D1411,Hierarchy!$A$2:$A$1295,0))),"NODE NOT FOUND"))</f>
        <v>CMR</v>
      </c>
      <c r="K1411" s="7" t="str">
        <f aca="false">IF($D1411="","",IFERROR(IF(INDEX(Hierarchy!$H$2:$H$1295,MATCH($D1411,Hierarchy!$A$2:$A$1295,0))="","",INDEX(Hierarchy!$H$2:$H$1295,MATCH($D1411,Hierarchy!$A$2:$A$1295,0))),"NODE NOT FOUND"))</f>
        <v/>
      </c>
      <c r="L1411" s="7" t="str">
        <f aca="false">IF($D1411="","",IFERROR(IF(INDEX(Hierarchy!$I$2:$I$1295,MATCH($D1411,Hierarchy!$A$2:$A$1295,0))="","",INDEX(Hierarchy!$I$2:$I$1295,MATCH($D1411,Hierarchy!$A$2:$A$1295,0))),"NODE NOT FOUND"))</f>
        <v/>
      </c>
      <c r="M1411" s="17" t="str">
        <f aca="false">IF(B1411="Pre-seeded","Pre-seeded",IF(B1411="Review 2026-09-16","Added from review",IF(C1411="","New",IF(C1411=D1411,"","Changed"))))</f>
        <v>Pre-seeded</v>
      </c>
      <c r="N1411" s="7" t="str">
        <f aca="false">TRIM(SUBSTITUTE(SUBSTITUTE(SUBSTITUTE(" "&amp;TRIM(SUBSTITUTE(SUBSTITUTE(SUBSTITUTE(SUBSTITUTE(SUBSTITUTE(SUBSTITUTE(SUBSTITUTE(SUBSTITUTE(SUBSTITUTE(SUBSTITUTE(SUBSTITUTE(SUBSTITUTE(SUBSTITUTE(SUBSTITUTE(SUBSTITUTE(UPPER(TRIM(A1411)),"[MEMBER]",""),"{MEMBER}",""),"[MEMBER}",""),"MEMBER]",""),"(A)",""),"""",""),"“",""),"”",""),".",""),":",""),",",""),"–"," "),"-"," "),"/"," "),"&amp;"," AND "))&amp;" "," THE "," ")," TOTAL "," ")," OPERATIONS "," "))</f>
        <v>REPUBLIC OF CAMEROON</v>
      </c>
      <c r="O1411" s="17" t="str">
        <f aca="false">IF(COUNTIFS($N$2:$N$2000,N1411,$D$2:$D$2000,"&lt;&gt;"&amp;D1411)&gt;0,"CONFLICT","")</f>
        <v/>
      </c>
      <c r="P1411" s="7" t="s">
        <v>1936</v>
      </c>
    </row>
    <row r="1412" customFormat="false" ht="15" hidden="false" customHeight="false" outlineLevel="0" collapsed="false">
      <c r="A1412" s="7" t="s">
        <v>2586</v>
      </c>
      <c r="B1412" s="7" t="s">
        <v>1879</v>
      </c>
      <c r="C1412" s="7"/>
      <c r="D1412" s="6" t="s">
        <v>1200</v>
      </c>
      <c r="E1412" s="6" t="s">
        <v>1880</v>
      </c>
      <c r="F1412" s="7" t="str">
        <f aca="false">IF($D1412="","",IFERROR(IF(INDEX(Hierarchy!$B$2:$B$1295,MATCH($D1412,Hierarchy!$A$2:$A$1295,0))="","",INDEX(Hierarchy!$B$2:$B$1295,MATCH($D1412,Hierarchy!$A$2:$A$1295,0))),"NODE NOT FOUND"))</f>
        <v>Country</v>
      </c>
      <c r="G1412" s="7" t="str">
        <f aca="false">IF($D1412="","",IFERROR(IF(INDEX(Hierarchy!$D$2:$D$1295,MATCH($D1412,Hierarchy!$A$2:$A$1295,0))="","",INDEX(Hierarchy!$D$2:$D$1295,MATCH($D1412,Hierarchy!$A$2:$A$1295,0))),"NODE NOT FOUND"))</f>
        <v>EMEA</v>
      </c>
      <c r="H1412" s="7" t="str">
        <f aca="false">IF($D1412="","",IFERROR(IF(INDEX(Hierarchy!$E$2:$E$1295,MATCH($D1412,Hierarchy!$A$2:$A$1295,0))="","",INDEX(Hierarchy!$E$2:$E$1295,MATCH($D1412,Hierarchy!$A$2:$A$1295,0))),"NODE NOT FOUND"))</f>
        <v>Africa</v>
      </c>
      <c r="I1412" s="7" t="str">
        <f aca="false">IF($D1412="","",IFERROR(IF(INDEX(Hierarchy!$F$2:$F$1295,MATCH($D1412,Hierarchy!$A$2:$A$1295,0))="","",INDEX(Hierarchy!$F$2:$F$1295,MATCH($D1412,Hierarchy!$A$2:$A$1295,0))),"NODE NOT FOUND"))</f>
        <v>Chad</v>
      </c>
      <c r="J1412" s="7" t="str">
        <f aca="false">IF($D1412="","",IFERROR(IF(INDEX(Hierarchy!$G$2:$G$1295,MATCH($D1412,Hierarchy!$A$2:$A$1295,0))="","",INDEX(Hierarchy!$G$2:$G$1295,MATCH($D1412,Hierarchy!$A$2:$A$1295,0))),"NODE NOT FOUND"))</f>
        <v>TCD</v>
      </c>
      <c r="K1412" s="7" t="str">
        <f aca="false">IF($D1412="","",IFERROR(IF(INDEX(Hierarchy!$H$2:$H$1295,MATCH($D1412,Hierarchy!$A$2:$A$1295,0))="","",INDEX(Hierarchy!$H$2:$H$1295,MATCH($D1412,Hierarchy!$A$2:$A$1295,0))),"NODE NOT FOUND"))</f>
        <v/>
      </c>
      <c r="L1412" s="7" t="str">
        <f aca="false">IF($D1412="","",IFERROR(IF(INDEX(Hierarchy!$I$2:$I$1295,MATCH($D1412,Hierarchy!$A$2:$A$1295,0))="","",INDEX(Hierarchy!$I$2:$I$1295,MATCH($D1412,Hierarchy!$A$2:$A$1295,0))),"NODE NOT FOUND"))</f>
        <v/>
      </c>
      <c r="M1412" s="17" t="str">
        <f aca="false">IF(B1412="Pre-seeded","Pre-seeded",IF(B1412="Review 2026-09-16","Added from review",IF(C1412="","New",IF(C1412=D1412,"","Changed"))))</f>
        <v>Pre-seeded</v>
      </c>
      <c r="N1412" s="7" t="str">
        <f aca="false">TRIM(SUBSTITUTE(SUBSTITUTE(SUBSTITUTE(" "&amp;TRIM(SUBSTITUTE(SUBSTITUTE(SUBSTITUTE(SUBSTITUTE(SUBSTITUTE(SUBSTITUTE(SUBSTITUTE(SUBSTITUTE(SUBSTITUTE(SUBSTITUTE(SUBSTITUTE(SUBSTITUTE(SUBSTITUTE(SUBSTITUTE(SUBSTITUTE(UPPER(TRIM(A1412)),"[MEMBER]",""),"{MEMBER}",""),"[MEMBER}",""),"MEMBER]",""),"(A)",""),"""",""),"“",""),"”",""),".",""),":",""),",",""),"–"," "),"-"," "),"/"," "),"&amp;"," AND "))&amp;" "," THE "," ")," TOTAL "," ")," OPERATIONS "," "))</f>
        <v>REPUBLIC OF CHAD</v>
      </c>
      <c r="O1412" s="17" t="str">
        <f aca="false">IF(COUNTIFS($N$2:$N$2000,N1412,$D$2:$D$2000,"&lt;&gt;"&amp;D1412)&gt;0,"CONFLICT","")</f>
        <v/>
      </c>
      <c r="P1412" s="7" t="s">
        <v>1936</v>
      </c>
    </row>
    <row r="1413" customFormat="false" ht="15" hidden="false" customHeight="false" outlineLevel="0" collapsed="false">
      <c r="A1413" s="7" t="s">
        <v>2587</v>
      </c>
      <c r="B1413" s="7" t="s">
        <v>1879</v>
      </c>
      <c r="C1413" s="7"/>
      <c r="D1413" s="6" t="s">
        <v>476</v>
      </c>
      <c r="E1413" s="6" t="s">
        <v>1880</v>
      </c>
      <c r="F1413" s="7" t="str">
        <f aca="false">IF($D1413="","",IFERROR(IF(INDEX(Hierarchy!$B$2:$B$1295,MATCH($D1413,Hierarchy!$A$2:$A$1295,0))="","",INDEX(Hierarchy!$B$2:$B$1295,MATCH($D1413,Hierarchy!$A$2:$A$1295,0))),"NODE NOT FOUND"))</f>
        <v>Country</v>
      </c>
      <c r="G1413" s="7" t="str">
        <f aca="false">IF($D1413="","",IFERROR(IF(INDEX(Hierarchy!$D$2:$D$1295,MATCH($D1413,Hierarchy!$A$2:$A$1295,0))="","",INDEX(Hierarchy!$D$2:$D$1295,MATCH($D1413,Hierarchy!$A$2:$A$1295,0))),"NODE NOT FOUND"))</f>
        <v>AMER</v>
      </c>
      <c r="H1413" s="7" t="str">
        <f aca="false">IF($D1413="","",IFERROR(IF(INDEX(Hierarchy!$E$2:$E$1295,MATCH($D1413,Hierarchy!$A$2:$A$1295,0))="","",INDEX(Hierarchy!$E$2:$E$1295,MATCH($D1413,Hierarchy!$A$2:$A$1295,0))),"NODE NOT FOUND"))</f>
        <v>Latin America (LATAM)</v>
      </c>
      <c r="I1413" s="7" t="str">
        <f aca="false">IF($D1413="","",IFERROR(IF(INDEX(Hierarchy!$F$2:$F$1295,MATCH($D1413,Hierarchy!$A$2:$A$1295,0))="","",INDEX(Hierarchy!$F$2:$F$1295,MATCH($D1413,Hierarchy!$A$2:$A$1295,0))),"NODE NOT FOUND"))</f>
        <v>Chile</v>
      </c>
      <c r="J1413" s="7" t="str">
        <f aca="false">IF($D1413="","",IFERROR(IF(INDEX(Hierarchy!$G$2:$G$1295,MATCH($D1413,Hierarchy!$A$2:$A$1295,0))="","",INDEX(Hierarchy!$G$2:$G$1295,MATCH($D1413,Hierarchy!$A$2:$A$1295,0))),"NODE NOT FOUND"))</f>
        <v>CHL</v>
      </c>
      <c r="K1413" s="7" t="str">
        <f aca="false">IF($D1413="","",IFERROR(IF(INDEX(Hierarchy!$H$2:$H$1295,MATCH($D1413,Hierarchy!$A$2:$A$1295,0))="","",INDEX(Hierarchy!$H$2:$H$1295,MATCH($D1413,Hierarchy!$A$2:$A$1295,0))),"NODE NOT FOUND"))</f>
        <v/>
      </c>
      <c r="L1413" s="7" t="str">
        <f aca="false">IF($D1413="","",IFERROR(IF(INDEX(Hierarchy!$I$2:$I$1295,MATCH($D1413,Hierarchy!$A$2:$A$1295,0))="","",INDEX(Hierarchy!$I$2:$I$1295,MATCH($D1413,Hierarchy!$A$2:$A$1295,0))),"NODE NOT FOUND"))</f>
        <v/>
      </c>
      <c r="M1413" s="17" t="str">
        <f aca="false">IF(B1413="Pre-seeded","Pre-seeded",IF(B1413="Review 2026-09-16","Added from review",IF(C1413="","New",IF(C1413=D1413,"","Changed"))))</f>
        <v>Pre-seeded</v>
      </c>
      <c r="N1413" s="7" t="str">
        <f aca="false">TRIM(SUBSTITUTE(SUBSTITUTE(SUBSTITUTE(" "&amp;TRIM(SUBSTITUTE(SUBSTITUTE(SUBSTITUTE(SUBSTITUTE(SUBSTITUTE(SUBSTITUTE(SUBSTITUTE(SUBSTITUTE(SUBSTITUTE(SUBSTITUTE(SUBSTITUTE(SUBSTITUTE(SUBSTITUTE(SUBSTITUTE(SUBSTITUTE(UPPER(TRIM(A1413)),"[MEMBER]",""),"{MEMBER}",""),"[MEMBER}",""),"MEMBER]",""),"(A)",""),"""",""),"“",""),"”",""),".",""),":",""),",",""),"–"," "),"-"," "),"/"," "),"&amp;"," AND "))&amp;" "," THE "," ")," TOTAL "," ")," OPERATIONS "," "))</f>
        <v>REPUBLIC OF CHILE</v>
      </c>
      <c r="O1413" s="17" t="str">
        <f aca="false">IF(COUNTIFS($N$2:$N$2000,N1413,$D$2:$D$2000,"&lt;&gt;"&amp;D1413)&gt;0,"CONFLICT","")</f>
        <v/>
      </c>
      <c r="P1413" s="7" t="s">
        <v>1936</v>
      </c>
    </row>
    <row r="1414" customFormat="false" ht="15" hidden="false" customHeight="false" outlineLevel="0" collapsed="false">
      <c r="A1414" s="7" t="s">
        <v>2588</v>
      </c>
      <c r="B1414" s="7" t="s">
        <v>1879</v>
      </c>
      <c r="C1414" s="7"/>
      <c r="D1414" s="6" t="s">
        <v>496</v>
      </c>
      <c r="E1414" s="6" t="s">
        <v>1880</v>
      </c>
      <c r="F1414" s="7" t="str">
        <f aca="false">IF($D1414="","",IFERROR(IF(INDEX(Hierarchy!$B$2:$B$1295,MATCH($D1414,Hierarchy!$A$2:$A$1295,0))="","",INDEX(Hierarchy!$B$2:$B$1295,MATCH($D1414,Hierarchy!$A$2:$A$1295,0))),"NODE NOT FOUND"))</f>
        <v>Country</v>
      </c>
      <c r="G1414" s="7" t="str">
        <f aca="false">IF($D1414="","",IFERROR(IF(INDEX(Hierarchy!$D$2:$D$1295,MATCH($D1414,Hierarchy!$A$2:$A$1295,0))="","",INDEX(Hierarchy!$D$2:$D$1295,MATCH($D1414,Hierarchy!$A$2:$A$1295,0))),"NODE NOT FOUND"))</f>
        <v>AMER</v>
      </c>
      <c r="H1414" s="7" t="str">
        <f aca="false">IF($D1414="","",IFERROR(IF(INDEX(Hierarchy!$E$2:$E$1295,MATCH($D1414,Hierarchy!$A$2:$A$1295,0))="","",INDEX(Hierarchy!$E$2:$E$1295,MATCH($D1414,Hierarchy!$A$2:$A$1295,0))),"NODE NOT FOUND"))</f>
        <v>Latin America (LATAM)</v>
      </c>
      <c r="I1414" s="7" t="str">
        <f aca="false">IF($D1414="","",IFERROR(IF(INDEX(Hierarchy!$F$2:$F$1295,MATCH($D1414,Hierarchy!$A$2:$A$1295,0))="","",INDEX(Hierarchy!$F$2:$F$1295,MATCH($D1414,Hierarchy!$A$2:$A$1295,0))),"NODE NOT FOUND"))</f>
        <v>Colombia</v>
      </c>
      <c r="J1414" s="7" t="str">
        <f aca="false">IF($D1414="","",IFERROR(IF(INDEX(Hierarchy!$G$2:$G$1295,MATCH($D1414,Hierarchy!$A$2:$A$1295,0))="","",INDEX(Hierarchy!$G$2:$G$1295,MATCH($D1414,Hierarchy!$A$2:$A$1295,0))),"NODE NOT FOUND"))</f>
        <v>COL</v>
      </c>
      <c r="K1414" s="7" t="str">
        <f aca="false">IF($D1414="","",IFERROR(IF(INDEX(Hierarchy!$H$2:$H$1295,MATCH($D1414,Hierarchy!$A$2:$A$1295,0))="","",INDEX(Hierarchy!$H$2:$H$1295,MATCH($D1414,Hierarchy!$A$2:$A$1295,0))),"NODE NOT FOUND"))</f>
        <v/>
      </c>
      <c r="L1414" s="7" t="str">
        <f aca="false">IF($D1414="","",IFERROR(IF(INDEX(Hierarchy!$I$2:$I$1295,MATCH($D1414,Hierarchy!$A$2:$A$1295,0))="","",INDEX(Hierarchy!$I$2:$I$1295,MATCH($D1414,Hierarchy!$A$2:$A$1295,0))),"NODE NOT FOUND"))</f>
        <v/>
      </c>
      <c r="M1414" s="17" t="str">
        <f aca="false">IF(B1414="Pre-seeded","Pre-seeded",IF(B1414="Review 2026-09-16","Added from review",IF(C1414="","New",IF(C1414=D1414,"","Changed"))))</f>
        <v>Pre-seeded</v>
      </c>
      <c r="N1414" s="7" t="str">
        <f aca="false">TRIM(SUBSTITUTE(SUBSTITUTE(SUBSTITUTE(" "&amp;TRIM(SUBSTITUTE(SUBSTITUTE(SUBSTITUTE(SUBSTITUTE(SUBSTITUTE(SUBSTITUTE(SUBSTITUTE(SUBSTITUTE(SUBSTITUTE(SUBSTITUTE(SUBSTITUTE(SUBSTITUTE(SUBSTITUTE(SUBSTITUTE(SUBSTITUTE(UPPER(TRIM(A1414)),"[MEMBER]",""),"{MEMBER}",""),"[MEMBER}",""),"MEMBER]",""),"(A)",""),"""",""),"“",""),"”",""),".",""),":",""),",",""),"–"," "),"-"," "),"/"," "),"&amp;"," AND "))&amp;" "," THE "," ")," TOTAL "," ")," OPERATIONS "," "))</f>
        <v>REPUBLIC OF COLOMBIA</v>
      </c>
      <c r="O1414" s="17" t="str">
        <f aca="false">IF(COUNTIFS($N$2:$N$2000,N1414,$D$2:$D$2000,"&lt;&gt;"&amp;D1414)&gt;0,"CONFLICT","")</f>
        <v/>
      </c>
      <c r="P1414" s="7" t="s">
        <v>1936</v>
      </c>
    </row>
    <row r="1415" customFormat="false" ht="15" hidden="false" customHeight="false" outlineLevel="0" collapsed="false">
      <c r="A1415" s="7" t="s">
        <v>2589</v>
      </c>
      <c r="B1415" s="7" t="s">
        <v>1882</v>
      </c>
      <c r="C1415" s="7" t="s">
        <v>1272</v>
      </c>
      <c r="D1415" s="6" t="s">
        <v>1272</v>
      </c>
      <c r="E1415" s="6" t="s">
        <v>1880</v>
      </c>
      <c r="F1415" s="7" t="str">
        <f aca="false">IF($D1415="","",IFERROR(IF(INDEX(Hierarchy!$B$2:$B$1295,MATCH($D1415,Hierarchy!$A$2:$A$1295,0))="","",INDEX(Hierarchy!$B$2:$B$1295,MATCH($D1415,Hierarchy!$A$2:$A$1295,0))),"NODE NOT FOUND"))</f>
        <v>Country</v>
      </c>
      <c r="G1415" s="7" t="str">
        <f aca="false">IF($D1415="","",IFERROR(IF(INDEX(Hierarchy!$D$2:$D$1295,MATCH($D1415,Hierarchy!$A$2:$A$1295,0))="","",INDEX(Hierarchy!$D$2:$D$1295,MATCH($D1415,Hierarchy!$A$2:$A$1295,0))),"NODE NOT FOUND"))</f>
        <v>EMEA</v>
      </c>
      <c r="H1415" s="7" t="str">
        <f aca="false">IF($D1415="","",IFERROR(IF(INDEX(Hierarchy!$E$2:$E$1295,MATCH($D1415,Hierarchy!$A$2:$A$1295,0))="","",INDEX(Hierarchy!$E$2:$E$1295,MATCH($D1415,Hierarchy!$A$2:$A$1295,0))),"NODE NOT FOUND"))</f>
        <v>Africa</v>
      </c>
      <c r="I1415" s="7" t="str">
        <f aca="false">IF($D1415="","",IFERROR(IF(INDEX(Hierarchy!$F$2:$F$1295,MATCH($D1415,Hierarchy!$A$2:$A$1295,0))="","",INDEX(Hierarchy!$F$2:$F$1295,MATCH($D1415,Hierarchy!$A$2:$A$1295,0))),"NODE NOT FOUND"))</f>
        <v>Republic of the Congo</v>
      </c>
      <c r="J1415" s="7" t="str">
        <f aca="false">IF($D1415="","",IFERROR(IF(INDEX(Hierarchy!$G$2:$G$1295,MATCH($D1415,Hierarchy!$A$2:$A$1295,0))="","",INDEX(Hierarchy!$G$2:$G$1295,MATCH($D1415,Hierarchy!$A$2:$A$1295,0))),"NODE NOT FOUND"))</f>
        <v>COG</v>
      </c>
      <c r="K1415" s="7" t="str">
        <f aca="false">IF($D1415="","",IFERROR(IF(INDEX(Hierarchy!$H$2:$H$1295,MATCH($D1415,Hierarchy!$A$2:$A$1295,0))="","",INDEX(Hierarchy!$H$2:$H$1295,MATCH($D1415,Hierarchy!$A$2:$A$1295,0))),"NODE NOT FOUND"))</f>
        <v/>
      </c>
      <c r="L1415" s="7" t="str">
        <f aca="false">IF($D1415="","",IFERROR(IF(INDEX(Hierarchy!$I$2:$I$1295,MATCH($D1415,Hierarchy!$A$2:$A$1295,0))="","",INDEX(Hierarchy!$I$2:$I$1295,MATCH($D1415,Hierarchy!$A$2:$A$1295,0))),"NODE NOT FOUND"))</f>
        <v/>
      </c>
      <c r="M1415" s="17" t="str">
        <f aca="false">IF(B1415="Pre-seeded","Pre-seeded",IF(B1415="Review 2026-09-16","Added from review",IF(C1415="","New",IF(C1415=D1415,"","Changed"))))</f>
        <v/>
      </c>
      <c r="N1415" s="7" t="str">
        <f aca="false">TRIM(SUBSTITUTE(SUBSTITUTE(SUBSTITUTE(" "&amp;TRIM(SUBSTITUTE(SUBSTITUTE(SUBSTITUTE(SUBSTITUTE(SUBSTITUTE(SUBSTITUTE(SUBSTITUTE(SUBSTITUTE(SUBSTITUTE(SUBSTITUTE(SUBSTITUTE(SUBSTITUTE(SUBSTITUTE(SUBSTITUTE(SUBSTITUTE(UPPER(TRIM(A1415)),"[MEMBER]",""),"{MEMBER}",""),"[MEMBER}",""),"MEMBER]",""),"(A)",""),"""",""),"“",""),"”",""),".",""),":",""),",",""),"–"," "),"-"," "),"/"," "),"&amp;"," AND "))&amp;" "," THE "," ")," TOTAL "," ")," OPERATIONS "," "))</f>
        <v>REPUBLIC OF CONGO</v>
      </c>
      <c r="O1415" s="17" t="str">
        <f aca="false">IF(COUNTIFS($N$2:$N$2000,N1415,$D$2:$D$2000,"&lt;&gt;"&amp;D1415)&gt;0,"CONFLICT","")</f>
        <v/>
      </c>
      <c r="P1415" s="7"/>
    </row>
    <row r="1416" customFormat="false" ht="15" hidden="false" customHeight="false" outlineLevel="0" collapsed="false">
      <c r="A1416" s="7" t="s">
        <v>2590</v>
      </c>
      <c r="B1416" s="7" t="s">
        <v>1879</v>
      </c>
      <c r="C1416" s="7"/>
      <c r="D1416" s="6" t="s">
        <v>536</v>
      </c>
      <c r="E1416" s="6" t="s">
        <v>1880</v>
      </c>
      <c r="F1416" s="7" t="str">
        <f aca="false">IF($D1416="","",IFERROR(IF(INDEX(Hierarchy!$B$2:$B$1295,MATCH($D1416,Hierarchy!$A$2:$A$1295,0))="","",INDEX(Hierarchy!$B$2:$B$1295,MATCH($D1416,Hierarchy!$A$2:$A$1295,0))),"NODE NOT FOUND"))</f>
        <v>Country</v>
      </c>
      <c r="G1416" s="7" t="str">
        <f aca="false">IF($D1416="","",IFERROR(IF(INDEX(Hierarchy!$D$2:$D$1295,MATCH($D1416,Hierarchy!$A$2:$A$1295,0))="","",INDEX(Hierarchy!$D$2:$D$1295,MATCH($D1416,Hierarchy!$A$2:$A$1295,0))),"NODE NOT FOUND"))</f>
        <v>AMER</v>
      </c>
      <c r="H1416" s="7" t="str">
        <f aca="false">IF($D1416="","",IFERROR(IF(INDEX(Hierarchy!$E$2:$E$1295,MATCH($D1416,Hierarchy!$A$2:$A$1295,0))="","",INDEX(Hierarchy!$E$2:$E$1295,MATCH($D1416,Hierarchy!$A$2:$A$1295,0))),"NODE NOT FOUND"))</f>
        <v>Latin America (LATAM)</v>
      </c>
      <c r="I1416" s="7" t="str">
        <f aca="false">IF($D1416="","",IFERROR(IF(INDEX(Hierarchy!$F$2:$F$1295,MATCH($D1416,Hierarchy!$A$2:$A$1295,0))="","",INDEX(Hierarchy!$F$2:$F$1295,MATCH($D1416,Hierarchy!$A$2:$A$1295,0))),"NODE NOT FOUND"))</f>
        <v>Costa Rica</v>
      </c>
      <c r="J1416" s="7" t="str">
        <f aca="false">IF($D1416="","",IFERROR(IF(INDEX(Hierarchy!$G$2:$G$1295,MATCH($D1416,Hierarchy!$A$2:$A$1295,0))="","",INDEX(Hierarchy!$G$2:$G$1295,MATCH($D1416,Hierarchy!$A$2:$A$1295,0))),"NODE NOT FOUND"))</f>
        <v>CRI</v>
      </c>
      <c r="K1416" s="7" t="str">
        <f aca="false">IF($D1416="","",IFERROR(IF(INDEX(Hierarchy!$H$2:$H$1295,MATCH($D1416,Hierarchy!$A$2:$A$1295,0))="","",INDEX(Hierarchy!$H$2:$H$1295,MATCH($D1416,Hierarchy!$A$2:$A$1295,0))),"NODE NOT FOUND"))</f>
        <v/>
      </c>
      <c r="L1416" s="7" t="str">
        <f aca="false">IF($D1416="","",IFERROR(IF(INDEX(Hierarchy!$I$2:$I$1295,MATCH($D1416,Hierarchy!$A$2:$A$1295,0))="","",INDEX(Hierarchy!$I$2:$I$1295,MATCH($D1416,Hierarchy!$A$2:$A$1295,0))),"NODE NOT FOUND"))</f>
        <v/>
      </c>
      <c r="M1416" s="17" t="str">
        <f aca="false">IF(B1416="Pre-seeded","Pre-seeded",IF(B1416="Review 2026-09-16","Added from review",IF(C1416="","New",IF(C1416=D1416,"","Changed"))))</f>
        <v>Pre-seeded</v>
      </c>
      <c r="N1416" s="7" t="str">
        <f aca="false">TRIM(SUBSTITUTE(SUBSTITUTE(SUBSTITUTE(" "&amp;TRIM(SUBSTITUTE(SUBSTITUTE(SUBSTITUTE(SUBSTITUTE(SUBSTITUTE(SUBSTITUTE(SUBSTITUTE(SUBSTITUTE(SUBSTITUTE(SUBSTITUTE(SUBSTITUTE(SUBSTITUTE(SUBSTITUTE(SUBSTITUTE(SUBSTITUTE(UPPER(TRIM(A1416)),"[MEMBER]",""),"{MEMBER}",""),"[MEMBER}",""),"MEMBER]",""),"(A)",""),"""",""),"“",""),"”",""),".",""),":",""),",",""),"–"," "),"-"," "),"/"," "),"&amp;"," AND "))&amp;" "," THE "," ")," TOTAL "," ")," OPERATIONS "," "))</f>
        <v>REPUBLIC OF COSTA RICA</v>
      </c>
      <c r="O1416" s="17" t="str">
        <f aca="false">IF(COUNTIFS($N$2:$N$2000,N1416,$D$2:$D$2000,"&lt;&gt;"&amp;D1416)&gt;0,"CONFLICT","")</f>
        <v/>
      </c>
      <c r="P1416" s="7" t="s">
        <v>1936</v>
      </c>
    </row>
    <row r="1417" customFormat="false" ht="15" hidden="false" customHeight="false" outlineLevel="0" collapsed="false">
      <c r="A1417" s="7" t="s">
        <v>2591</v>
      </c>
      <c r="B1417" s="7" t="s">
        <v>1879</v>
      </c>
      <c r="C1417" s="7"/>
      <c r="D1417" s="6" t="s">
        <v>777</v>
      </c>
      <c r="E1417" s="6" t="s">
        <v>1880</v>
      </c>
      <c r="F1417" s="7" t="str">
        <f aca="false">IF($D1417="","",IFERROR(IF(INDEX(Hierarchy!$B$2:$B$1295,MATCH($D1417,Hierarchy!$A$2:$A$1295,0))="","",INDEX(Hierarchy!$B$2:$B$1295,MATCH($D1417,Hierarchy!$A$2:$A$1295,0))),"NODE NOT FOUND"))</f>
        <v>Country</v>
      </c>
      <c r="G1417" s="7" t="str">
        <f aca="false">IF($D1417="","",IFERROR(IF(INDEX(Hierarchy!$D$2:$D$1295,MATCH($D1417,Hierarchy!$A$2:$A$1295,0))="","",INDEX(Hierarchy!$D$2:$D$1295,MATCH($D1417,Hierarchy!$A$2:$A$1295,0))),"NODE NOT FOUND"))</f>
        <v>EMEA</v>
      </c>
      <c r="H1417" s="7" t="str">
        <f aca="false">IF($D1417="","",IFERROR(IF(INDEX(Hierarchy!$E$2:$E$1295,MATCH($D1417,Hierarchy!$A$2:$A$1295,0))="","",INDEX(Hierarchy!$E$2:$E$1295,MATCH($D1417,Hierarchy!$A$2:$A$1295,0))),"NODE NOT FOUND"))</f>
        <v>Europe</v>
      </c>
      <c r="I1417" s="7" t="str">
        <f aca="false">IF($D1417="","",IFERROR(IF(INDEX(Hierarchy!$F$2:$F$1295,MATCH($D1417,Hierarchy!$A$2:$A$1295,0))="","",INDEX(Hierarchy!$F$2:$F$1295,MATCH($D1417,Hierarchy!$A$2:$A$1295,0))),"NODE NOT FOUND"))</f>
        <v>Croatia</v>
      </c>
      <c r="J1417" s="7" t="str">
        <f aca="false">IF($D1417="","",IFERROR(IF(INDEX(Hierarchy!$G$2:$G$1295,MATCH($D1417,Hierarchy!$A$2:$A$1295,0))="","",INDEX(Hierarchy!$G$2:$G$1295,MATCH($D1417,Hierarchy!$A$2:$A$1295,0))),"NODE NOT FOUND"))</f>
        <v>HRV</v>
      </c>
      <c r="K1417" s="7" t="str">
        <f aca="false">IF($D1417="","",IFERROR(IF(INDEX(Hierarchy!$H$2:$H$1295,MATCH($D1417,Hierarchy!$A$2:$A$1295,0))="","",INDEX(Hierarchy!$H$2:$H$1295,MATCH($D1417,Hierarchy!$A$2:$A$1295,0))),"NODE NOT FOUND"))</f>
        <v/>
      </c>
      <c r="L1417" s="7" t="str">
        <f aca="false">IF($D1417="","",IFERROR(IF(INDEX(Hierarchy!$I$2:$I$1295,MATCH($D1417,Hierarchy!$A$2:$A$1295,0))="","",INDEX(Hierarchy!$I$2:$I$1295,MATCH($D1417,Hierarchy!$A$2:$A$1295,0))),"NODE NOT FOUND"))</f>
        <v/>
      </c>
      <c r="M1417" s="17" t="str">
        <f aca="false">IF(B1417="Pre-seeded","Pre-seeded",IF(B1417="Review 2026-09-16","Added from review",IF(C1417="","New",IF(C1417=D1417,"","Changed"))))</f>
        <v>Pre-seeded</v>
      </c>
      <c r="N1417" s="7" t="str">
        <f aca="false">TRIM(SUBSTITUTE(SUBSTITUTE(SUBSTITUTE(" "&amp;TRIM(SUBSTITUTE(SUBSTITUTE(SUBSTITUTE(SUBSTITUTE(SUBSTITUTE(SUBSTITUTE(SUBSTITUTE(SUBSTITUTE(SUBSTITUTE(SUBSTITUTE(SUBSTITUTE(SUBSTITUTE(SUBSTITUTE(SUBSTITUTE(SUBSTITUTE(UPPER(TRIM(A1417)),"[MEMBER]",""),"{MEMBER}",""),"[MEMBER}",""),"MEMBER]",""),"(A)",""),"""",""),"“",""),"”",""),".",""),":",""),",",""),"–"," "),"-"," "),"/"," "),"&amp;"," AND "))&amp;" "," THE "," ")," TOTAL "," ")," OPERATIONS "," "))</f>
        <v>REPUBLIC OF CROATIA</v>
      </c>
      <c r="O1417" s="17" t="str">
        <f aca="false">IF(COUNTIFS($N$2:$N$2000,N1417,$D$2:$D$2000,"&lt;&gt;"&amp;D1417)&gt;0,"CONFLICT","")</f>
        <v/>
      </c>
      <c r="P1417" s="7" t="s">
        <v>1936</v>
      </c>
    </row>
    <row r="1418" customFormat="false" ht="15" hidden="false" customHeight="false" outlineLevel="0" collapsed="false">
      <c r="A1418" s="7" t="s">
        <v>2592</v>
      </c>
      <c r="B1418" s="7" t="s">
        <v>1879</v>
      </c>
      <c r="C1418" s="7"/>
      <c r="D1418" s="6" t="s">
        <v>540</v>
      </c>
      <c r="E1418" s="6" t="s">
        <v>1880</v>
      </c>
      <c r="F1418" s="7" t="str">
        <f aca="false">IF($D1418="","",IFERROR(IF(INDEX(Hierarchy!$B$2:$B$1295,MATCH($D1418,Hierarchy!$A$2:$A$1295,0))="","",INDEX(Hierarchy!$B$2:$B$1295,MATCH($D1418,Hierarchy!$A$2:$A$1295,0))),"NODE NOT FOUND"))</f>
        <v>Country</v>
      </c>
      <c r="G1418" s="7" t="str">
        <f aca="false">IF($D1418="","",IFERROR(IF(INDEX(Hierarchy!$D$2:$D$1295,MATCH($D1418,Hierarchy!$A$2:$A$1295,0))="","",INDEX(Hierarchy!$D$2:$D$1295,MATCH($D1418,Hierarchy!$A$2:$A$1295,0))),"NODE NOT FOUND"))</f>
        <v>AMER</v>
      </c>
      <c r="H1418" s="7" t="str">
        <f aca="false">IF($D1418="","",IFERROR(IF(INDEX(Hierarchy!$E$2:$E$1295,MATCH($D1418,Hierarchy!$A$2:$A$1295,0))="","",INDEX(Hierarchy!$E$2:$E$1295,MATCH($D1418,Hierarchy!$A$2:$A$1295,0))),"NODE NOT FOUND"))</f>
        <v>Latin America (LATAM)</v>
      </c>
      <c r="I1418" s="7" t="str">
        <f aca="false">IF($D1418="","",IFERROR(IF(INDEX(Hierarchy!$F$2:$F$1295,MATCH($D1418,Hierarchy!$A$2:$A$1295,0))="","",INDEX(Hierarchy!$F$2:$F$1295,MATCH($D1418,Hierarchy!$A$2:$A$1295,0))),"NODE NOT FOUND"))</f>
        <v>Cuba</v>
      </c>
      <c r="J1418" s="7" t="str">
        <f aca="false">IF($D1418="","",IFERROR(IF(INDEX(Hierarchy!$G$2:$G$1295,MATCH($D1418,Hierarchy!$A$2:$A$1295,0))="","",INDEX(Hierarchy!$G$2:$G$1295,MATCH($D1418,Hierarchy!$A$2:$A$1295,0))),"NODE NOT FOUND"))</f>
        <v>CUB</v>
      </c>
      <c r="K1418" s="7" t="str">
        <f aca="false">IF($D1418="","",IFERROR(IF(INDEX(Hierarchy!$H$2:$H$1295,MATCH($D1418,Hierarchy!$A$2:$A$1295,0))="","",INDEX(Hierarchy!$H$2:$H$1295,MATCH($D1418,Hierarchy!$A$2:$A$1295,0))),"NODE NOT FOUND"))</f>
        <v/>
      </c>
      <c r="L1418" s="7" t="str">
        <f aca="false">IF($D1418="","",IFERROR(IF(INDEX(Hierarchy!$I$2:$I$1295,MATCH($D1418,Hierarchy!$A$2:$A$1295,0))="","",INDEX(Hierarchy!$I$2:$I$1295,MATCH($D1418,Hierarchy!$A$2:$A$1295,0))),"NODE NOT FOUND"))</f>
        <v/>
      </c>
      <c r="M1418" s="17" t="str">
        <f aca="false">IF(B1418="Pre-seeded","Pre-seeded",IF(B1418="Review 2026-09-16","Added from review",IF(C1418="","New",IF(C1418=D1418,"","Changed"))))</f>
        <v>Pre-seeded</v>
      </c>
      <c r="N1418" s="7" t="str">
        <f aca="false">TRIM(SUBSTITUTE(SUBSTITUTE(SUBSTITUTE(" "&amp;TRIM(SUBSTITUTE(SUBSTITUTE(SUBSTITUTE(SUBSTITUTE(SUBSTITUTE(SUBSTITUTE(SUBSTITUTE(SUBSTITUTE(SUBSTITUTE(SUBSTITUTE(SUBSTITUTE(SUBSTITUTE(SUBSTITUTE(SUBSTITUTE(SUBSTITUTE(UPPER(TRIM(A1418)),"[MEMBER]",""),"{MEMBER}",""),"[MEMBER}",""),"MEMBER]",""),"(A)",""),"""",""),"“",""),"”",""),".",""),":",""),",",""),"–"," "),"-"," "),"/"," "),"&amp;"," AND "))&amp;" "," THE "," ")," TOTAL "," ")," OPERATIONS "," "))</f>
        <v>REPUBLIC OF CUBA</v>
      </c>
      <c r="O1418" s="17" t="str">
        <f aca="false">IF(COUNTIFS($N$2:$N$2000,N1418,$D$2:$D$2000,"&lt;&gt;"&amp;D1418)&gt;0,"CONFLICT","")</f>
        <v/>
      </c>
      <c r="P1418" s="7" t="s">
        <v>1936</v>
      </c>
    </row>
    <row r="1419" customFormat="false" ht="15" hidden="false" customHeight="false" outlineLevel="0" collapsed="false">
      <c r="A1419" s="7" t="s">
        <v>2593</v>
      </c>
      <c r="B1419" s="7" t="s">
        <v>1879</v>
      </c>
      <c r="C1419" s="7"/>
      <c r="D1419" s="6" t="s">
        <v>780</v>
      </c>
      <c r="E1419" s="6" t="s">
        <v>1880</v>
      </c>
      <c r="F1419" s="7" t="str">
        <f aca="false">IF($D1419="","",IFERROR(IF(INDEX(Hierarchy!$B$2:$B$1295,MATCH($D1419,Hierarchy!$A$2:$A$1295,0))="","",INDEX(Hierarchy!$B$2:$B$1295,MATCH($D1419,Hierarchy!$A$2:$A$1295,0))),"NODE NOT FOUND"))</f>
        <v>Country</v>
      </c>
      <c r="G1419" s="7" t="str">
        <f aca="false">IF($D1419="","",IFERROR(IF(INDEX(Hierarchy!$D$2:$D$1295,MATCH($D1419,Hierarchy!$A$2:$A$1295,0))="","",INDEX(Hierarchy!$D$2:$D$1295,MATCH($D1419,Hierarchy!$A$2:$A$1295,0))),"NODE NOT FOUND"))</f>
        <v>EMEA</v>
      </c>
      <c r="H1419" s="7" t="str">
        <f aca="false">IF($D1419="","",IFERROR(IF(INDEX(Hierarchy!$E$2:$E$1295,MATCH($D1419,Hierarchy!$A$2:$A$1295,0))="","",INDEX(Hierarchy!$E$2:$E$1295,MATCH($D1419,Hierarchy!$A$2:$A$1295,0))),"NODE NOT FOUND"))</f>
        <v>Europe</v>
      </c>
      <c r="I1419" s="7" t="str">
        <f aca="false">IF($D1419="","",IFERROR(IF(INDEX(Hierarchy!$F$2:$F$1295,MATCH($D1419,Hierarchy!$A$2:$A$1295,0))="","",INDEX(Hierarchy!$F$2:$F$1295,MATCH($D1419,Hierarchy!$A$2:$A$1295,0))),"NODE NOT FOUND"))</f>
        <v>Cyprus</v>
      </c>
      <c r="J1419" s="7" t="str">
        <f aca="false">IF($D1419="","",IFERROR(IF(INDEX(Hierarchy!$G$2:$G$1295,MATCH($D1419,Hierarchy!$A$2:$A$1295,0))="","",INDEX(Hierarchy!$G$2:$G$1295,MATCH($D1419,Hierarchy!$A$2:$A$1295,0))),"NODE NOT FOUND"))</f>
        <v>CYP</v>
      </c>
      <c r="K1419" s="7" t="str">
        <f aca="false">IF($D1419="","",IFERROR(IF(INDEX(Hierarchy!$H$2:$H$1295,MATCH($D1419,Hierarchy!$A$2:$A$1295,0))="","",INDEX(Hierarchy!$H$2:$H$1295,MATCH($D1419,Hierarchy!$A$2:$A$1295,0))),"NODE NOT FOUND"))</f>
        <v/>
      </c>
      <c r="L1419" s="7" t="str">
        <f aca="false">IF($D1419="","",IFERROR(IF(INDEX(Hierarchy!$I$2:$I$1295,MATCH($D1419,Hierarchy!$A$2:$A$1295,0))="","",INDEX(Hierarchy!$I$2:$I$1295,MATCH($D1419,Hierarchy!$A$2:$A$1295,0))),"NODE NOT FOUND"))</f>
        <v/>
      </c>
      <c r="M1419" s="17" t="str">
        <f aca="false">IF(B1419="Pre-seeded","Pre-seeded",IF(B1419="Review 2026-09-16","Added from review",IF(C1419="","New",IF(C1419=D1419,"","Changed"))))</f>
        <v>Pre-seeded</v>
      </c>
      <c r="N1419" s="7" t="str">
        <f aca="false">TRIM(SUBSTITUTE(SUBSTITUTE(SUBSTITUTE(" "&amp;TRIM(SUBSTITUTE(SUBSTITUTE(SUBSTITUTE(SUBSTITUTE(SUBSTITUTE(SUBSTITUTE(SUBSTITUTE(SUBSTITUTE(SUBSTITUTE(SUBSTITUTE(SUBSTITUTE(SUBSTITUTE(SUBSTITUTE(SUBSTITUTE(SUBSTITUTE(UPPER(TRIM(A1419)),"[MEMBER]",""),"{MEMBER}",""),"[MEMBER}",""),"MEMBER]",""),"(A)",""),"""",""),"“",""),"”",""),".",""),":",""),",",""),"–"," "),"-"," "),"/"," "),"&amp;"," AND "))&amp;" "," THE "," ")," TOTAL "," ")," OPERATIONS "," "))</f>
        <v>REPUBLIC OF CYPRUS</v>
      </c>
      <c r="O1419" s="17" t="str">
        <f aca="false">IF(COUNTIFS($N$2:$N$2000,N1419,$D$2:$D$2000,"&lt;&gt;"&amp;D1419)&gt;0,"CONFLICT","")</f>
        <v/>
      </c>
      <c r="P1419" s="7" t="s">
        <v>1936</v>
      </c>
    </row>
    <row r="1420" customFormat="false" ht="15" hidden="false" customHeight="false" outlineLevel="0" collapsed="false">
      <c r="A1420" s="7" t="s">
        <v>2594</v>
      </c>
      <c r="B1420" s="7" t="s">
        <v>1879</v>
      </c>
      <c r="C1420" s="7"/>
      <c r="D1420" s="6" t="s">
        <v>1205</v>
      </c>
      <c r="E1420" s="6" t="s">
        <v>1880</v>
      </c>
      <c r="F1420" s="7" t="str">
        <f aca="false">IF($D1420="","",IFERROR(IF(INDEX(Hierarchy!$B$2:$B$1295,MATCH($D1420,Hierarchy!$A$2:$A$1295,0))="","",INDEX(Hierarchy!$B$2:$B$1295,MATCH($D1420,Hierarchy!$A$2:$A$1295,0))),"NODE NOT FOUND"))</f>
        <v>Country</v>
      </c>
      <c r="G1420" s="7" t="str">
        <f aca="false">IF($D1420="","",IFERROR(IF(INDEX(Hierarchy!$D$2:$D$1295,MATCH($D1420,Hierarchy!$A$2:$A$1295,0))="","",INDEX(Hierarchy!$D$2:$D$1295,MATCH($D1420,Hierarchy!$A$2:$A$1295,0))),"NODE NOT FOUND"))</f>
        <v>EMEA</v>
      </c>
      <c r="H1420" s="7" t="str">
        <f aca="false">IF($D1420="","",IFERROR(IF(INDEX(Hierarchy!$E$2:$E$1295,MATCH($D1420,Hierarchy!$A$2:$A$1295,0))="","",INDEX(Hierarchy!$E$2:$E$1295,MATCH($D1420,Hierarchy!$A$2:$A$1295,0))),"NODE NOT FOUND"))</f>
        <v>Africa</v>
      </c>
      <c r="I1420" s="7" t="str">
        <f aca="false">IF($D1420="","",IFERROR(IF(INDEX(Hierarchy!$F$2:$F$1295,MATCH($D1420,Hierarchy!$A$2:$A$1295,0))="","",INDEX(Hierarchy!$F$2:$F$1295,MATCH($D1420,Hierarchy!$A$2:$A$1295,0))),"NODE NOT FOUND"))</f>
        <v>Côte d'Ivoire (Ivory Coast)</v>
      </c>
      <c r="J1420" s="7" t="str">
        <f aca="false">IF($D1420="","",IFERROR(IF(INDEX(Hierarchy!$G$2:$G$1295,MATCH($D1420,Hierarchy!$A$2:$A$1295,0))="","",INDEX(Hierarchy!$G$2:$G$1295,MATCH($D1420,Hierarchy!$A$2:$A$1295,0))),"NODE NOT FOUND"))</f>
        <v>CIV</v>
      </c>
      <c r="K1420" s="7" t="str">
        <f aca="false">IF($D1420="","",IFERROR(IF(INDEX(Hierarchy!$H$2:$H$1295,MATCH($D1420,Hierarchy!$A$2:$A$1295,0))="","",INDEX(Hierarchy!$H$2:$H$1295,MATCH($D1420,Hierarchy!$A$2:$A$1295,0))),"NODE NOT FOUND"))</f>
        <v/>
      </c>
      <c r="L1420" s="7" t="str">
        <f aca="false">IF($D1420="","",IFERROR(IF(INDEX(Hierarchy!$I$2:$I$1295,MATCH($D1420,Hierarchy!$A$2:$A$1295,0))="","",INDEX(Hierarchy!$I$2:$I$1295,MATCH($D1420,Hierarchy!$A$2:$A$1295,0))),"NODE NOT FOUND"))</f>
        <v/>
      </c>
      <c r="M1420" s="17" t="str">
        <f aca="false">IF(B1420="Pre-seeded","Pre-seeded",IF(B1420="Review 2026-09-16","Added from review",IF(C1420="","New",IF(C1420=D1420,"","Changed"))))</f>
        <v>Pre-seeded</v>
      </c>
      <c r="N1420" s="7" t="str">
        <f aca="false">TRIM(SUBSTITUTE(SUBSTITUTE(SUBSTITUTE(" "&amp;TRIM(SUBSTITUTE(SUBSTITUTE(SUBSTITUTE(SUBSTITUTE(SUBSTITUTE(SUBSTITUTE(SUBSTITUTE(SUBSTITUTE(SUBSTITUTE(SUBSTITUTE(SUBSTITUTE(SUBSTITUTE(SUBSTITUTE(SUBSTITUTE(SUBSTITUTE(UPPER(TRIM(A1420)),"[MEMBER]",""),"{MEMBER}",""),"[MEMBER}",""),"MEMBER]",""),"(A)",""),"""",""),"“",""),"”",""),".",""),":",""),",",""),"–"," "),"-"," "),"/"," "),"&amp;"," AND "))&amp;" "," THE "," ")," TOTAL "," ")," OPERATIONS "," "))</f>
        <v>REPUBLIC OF CÔTE D'IVOIRE</v>
      </c>
      <c r="O1420" s="17" t="str">
        <f aca="false">IF(COUNTIFS($N$2:$N$2000,N1420,$D$2:$D$2000,"&lt;&gt;"&amp;D1420)&gt;0,"CONFLICT","")</f>
        <v/>
      </c>
      <c r="P1420" s="7" t="s">
        <v>1936</v>
      </c>
    </row>
    <row r="1421" customFormat="false" ht="15" hidden="false" customHeight="false" outlineLevel="0" collapsed="false">
      <c r="A1421" s="7" t="s">
        <v>2595</v>
      </c>
      <c r="B1421" s="7" t="s">
        <v>1879</v>
      </c>
      <c r="C1421" s="7"/>
      <c r="D1421" s="6" t="s">
        <v>1209</v>
      </c>
      <c r="E1421" s="6" t="s">
        <v>1880</v>
      </c>
      <c r="F1421" s="7" t="str">
        <f aca="false">IF($D1421="","",IFERROR(IF(INDEX(Hierarchy!$B$2:$B$1295,MATCH($D1421,Hierarchy!$A$2:$A$1295,0))="","",INDEX(Hierarchy!$B$2:$B$1295,MATCH($D1421,Hierarchy!$A$2:$A$1295,0))),"NODE NOT FOUND"))</f>
        <v>Country</v>
      </c>
      <c r="G1421" s="7" t="str">
        <f aca="false">IF($D1421="","",IFERROR(IF(INDEX(Hierarchy!$D$2:$D$1295,MATCH($D1421,Hierarchy!$A$2:$A$1295,0))="","",INDEX(Hierarchy!$D$2:$D$1295,MATCH($D1421,Hierarchy!$A$2:$A$1295,0))),"NODE NOT FOUND"))</f>
        <v>EMEA</v>
      </c>
      <c r="H1421" s="7" t="str">
        <f aca="false">IF($D1421="","",IFERROR(IF(INDEX(Hierarchy!$E$2:$E$1295,MATCH($D1421,Hierarchy!$A$2:$A$1295,0))="","",INDEX(Hierarchy!$E$2:$E$1295,MATCH($D1421,Hierarchy!$A$2:$A$1295,0))),"NODE NOT FOUND"))</f>
        <v>Africa</v>
      </c>
      <c r="I1421" s="7" t="str">
        <f aca="false">IF($D1421="","",IFERROR(IF(INDEX(Hierarchy!$F$2:$F$1295,MATCH($D1421,Hierarchy!$A$2:$A$1295,0))="","",INDEX(Hierarchy!$F$2:$F$1295,MATCH($D1421,Hierarchy!$A$2:$A$1295,0))),"NODE NOT FOUND"))</f>
        <v>Djibouti</v>
      </c>
      <c r="J1421" s="7" t="str">
        <f aca="false">IF($D1421="","",IFERROR(IF(INDEX(Hierarchy!$G$2:$G$1295,MATCH($D1421,Hierarchy!$A$2:$A$1295,0))="","",INDEX(Hierarchy!$G$2:$G$1295,MATCH($D1421,Hierarchy!$A$2:$A$1295,0))),"NODE NOT FOUND"))</f>
        <v>DJI</v>
      </c>
      <c r="K1421" s="7" t="str">
        <f aca="false">IF($D1421="","",IFERROR(IF(INDEX(Hierarchy!$H$2:$H$1295,MATCH($D1421,Hierarchy!$A$2:$A$1295,0))="","",INDEX(Hierarchy!$H$2:$H$1295,MATCH($D1421,Hierarchy!$A$2:$A$1295,0))),"NODE NOT FOUND"))</f>
        <v/>
      </c>
      <c r="L1421" s="7" t="str">
        <f aca="false">IF($D1421="","",IFERROR(IF(INDEX(Hierarchy!$I$2:$I$1295,MATCH($D1421,Hierarchy!$A$2:$A$1295,0))="","",INDEX(Hierarchy!$I$2:$I$1295,MATCH($D1421,Hierarchy!$A$2:$A$1295,0))),"NODE NOT FOUND"))</f>
        <v/>
      </c>
      <c r="M1421" s="17" t="str">
        <f aca="false">IF(B1421="Pre-seeded","Pre-seeded",IF(B1421="Review 2026-09-16","Added from review",IF(C1421="","New",IF(C1421=D1421,"","Changed"))))</f>
        <v>Pre-seeded</v>
      </c>
      <c r="N1421" s="7" t="str">
        <f aca="false">TRIM(SUBSTITUTE(SUBSTITUTE(SUBSTITUTE(" "&amp;TRIM(SUBSTITUTE(SUBSTITUTE(SUBSTITUTE(SUBSTITUTE(SUBSTITUTE(SUBSTITUTE(SUBSTITUTE(SUBSTITUTE(SUBSTITUTE(SUBSTITUTE(SUBSTITUTE(SUBSTITUTE(SUBSTITUTE(SUBSTITUTE(SUBSTITUTE(UPPER(TRIM(A1421)),"[MEMBER]",""),"{MEMBER}",""),"[MEMBER}",""),"MEMBER]",""),"(A)",""),"""",""),"“",""),"”",""),".",""),":",""),",",""),"–"," "),"-"," "),"/"," "),"&amp;"," AND "))&amp;" "," THE "," ")," TOTAL "," ")," OPERATIONS "," "))</f>
        <v>REPUBLIC OF DJIBOUTI</v>
      </c>
      <c r="O1421" s="17" t="str">
        <f aca="false">IF(COUNTIFS($N$2:$N$2000,N1421,$D$2:$D$2000,"&lt;&gt;"&amp;D1421)&gt;0,"CONFLICT","")</f>
        <v/>
      </c>
      <c r="P1421" s="7" t="s">
        <v>1936</v>
      </c>
    </row>
    <row r="1422" customFormat="false" ht="15" hidden="false" customHeight="false" outlineLevel="0" collapsed="false">
      <c r="A1422" s="7" t="s">
        <v>2596</v>
      </c>
      <c r="B1422" s="7" t="s">
        <v>1879</v>
      </c>
      <c r="C1422" s="7"/>
      <c r="D1422" s="6" t="s">
        <v>549</v>
      </c>
      <c r="E1422" s="6" t="s">
        <v>1880</v>
      </c>
      <c r="F1422" s="7" t="str">
        <f aca="false">IF($D1422="","",IFERROR(IF(INDEX(Hierarchy!$B$2:$B$1295,MATCH($D1422,Hierarchy!$A$2:$A$1295,0))="","",INDEX(Hierarchy!$B$2:$B$1295,MATCH($D1422,Hierarchy!$A$2:$A$1295,0))),"NODE NOT FOUND"))</f>
        <v>Country</v>
      </c>
      <c r="G1422" s="7" t="str">
        <f aca="false">IF($D1422="","",IFERROR(IF(INDEX(Hierarchy!$D$2:$D$1295,MATCH($D1422,Hierarchy!$A$2:$A$1295,0))="","",INDEX(Hierarchy!$D$2:$D$1295,MATCH($D1422,Hierarchy!$A$2:$A$1295,0))),"NODE NOT FOUND"))</f>
        <v>AMER</v>
      </c>
      <c r="H1422" s="7" t="str">
        <f aca="false">IF($D1422="","",IFERROR(IF(INDEX(Hierarchy!$E$2:$E$1295,MATCH($D1422,Hierarchy!$A$2:$A$1295,0))="","",INDEX(Hierarchy!$E$2:$E$1295,MATCH($D1422,Hierarchy!$A$2:$A$1295,0))),"NODE NOT FOUND"))</f>
        <v>Latin America (LATAM)</v>
      </c>
      <c r="I1422" s="7" t="str">
        <f aca="false">IF($D1422="","",IFERROR(IF(INDEX(Hierarchy!$F$2:$F$1295,MATCH($D1422,Hierarchy!$A$2:$A$1295,0))="","",INDEX(Hierarchy!$F$2:$F$1295,MATCH($D1422,Hierarchy!$A$2:$A$1295,0))),"NODE NOT FOUND"))</f>
        <v>Ecuador</v>
      </c>
      <c r="J1422" s="7" t="str">
        <f aca="false">IF($D1422="","",IFERROR(IF(INDEX(Hierarchy!$G$2:$G$1295,MATCH($D1422,Hierarchy!$A$2:$A$1295,0))="","",INDEX(Hierarchy!$G$2:$G$1295,MATCH($D1422,Hierarchy!$A$2:$A$1295,0))),"NODE NOT FOUND"))</f>
        <v>ECU</v>
      </c>
      <c r="K1422" s="7" t="str">
        <f aca="false">IF($D1422="","",IFERROR(IF(INDEX(Hierarchy!$H$2:$H$1295,MATCH($D1422,Hierarchy!$A$2:$A$1295,0))="","",INDEX(Hierarchy!$H$2:$H$1295,MATCH($D1422,Hierarchy!$A$2:$A$1295,0))),"NODE NOT FOUND"))</f>
        <v/>
      </c>
      <c r="L1422" s="7" t="str">
        <f aca="false">IF($D1422="","",IFERROR(IF(INDEX(Hierarchy!$I$2:$I$1295,MATCH($D1422,Hierarchy!$A$2:$A$1295,0))="","",INDEX(Hierarchy!$I$2:$I$1295,MATCH($D1422,Hierarchy!$A$2:$A$1295,0))),"NODE NOT FOUND"))</f>
        <v/>
      </c>
      <c r="M1422" s="17" t="str">
        <f aca="false">IF(B1422="Pre-seeded","Pre-seeded",IF(B1422="Review 2026-09-16","Added from review",IF(C1422="","New",IF(C1422=D1422,"","Changed"))))</f>
        <v>Pre-seeded</v>
      </c>
      <c r="N1422" s="7" t="str">
        <f aca="false">TRIM(SUBSTITUTE(SUBSTITUTE(SUBSTITUTE(" "&amp;TRIM(SUBSTITUTE(SUBSTITUTE(SUBSTITUTE(SUBSTITUTE(SUBSTITUTE(SUBSTITUTE(SUBSTITUTE(SUBSTITUTE(SUBSTITUTE(SUBSTITUTE(SUBSTITUTE(SUBSTITUTE(SUBSTITUTE(SUBSTITUTE(SUBSTITUTE(UPPER(TRIM(A1422)),"[MEMBER]",""),"{MEMBER}",""),"[MEMBER}",""),"MEMBER]",""),"(A)",""),"""",""),"“",""),"”",""),".",""),":",""),",",""),"–"," "),"-"," "),"/"," "),"&amp;"," AND "))&amp;" "," THE "," ")," TOTAL "," ")," OPERATIONS "," "))</f>
        <v>REPUBLIC OF ECUADOR</v>
      </c>
      <c r="O1422" s="17" t="str">
        <f aca="false">IF(COUNTIFS($N$2:$N$2000,N1422,$D$2:$D$2000,"&lt;&gt;"&amp;D1422)&gt;0,"CONFLICT","")</f>
        <v/>
      </c>
      <c r="P1422" s="7" t="s">
        <v>1936</v>
      </c>
    </row>
    <row r="1423" customFormat="false" ht="15" hidden="false" customHeight="false" outlineLevel="0" collapsed="false">
      <c r="A1423" s="7" t="s">
        <v>2597</v>
      </c>
      <c r="B1423" s="7" t="s">
        <v>1879</v>
      </c>
      <c r="C1423" s="7"/>
      <c r="D1423" s="6" t="s">
        <v>552</v>
      </c>
      <c r="E1423" s="6" t="s">
        <v>1880</v>
      </c>
      <c r="F1423" s="7" t="str">
        <f aca="false">IF($D1423="","",IFERROR(IF(INDEX(Hierarchy!$B$2:$B$1295,MATCH($D1423,Hierarchy!$A$2:$A$1295,0))="","",INDEX(Hierarchy!$B$2:$B$1295,MATCH($D1423,Hierarchy!$A$2:$A$1295,0))),"NODE NOT FOUND"))</f>
        <v>Country</v>
      </c>
      <c r="G1423" s="7" t="str">
        <f aca="false">IF($D1423="","",IFERROR(IF(INDEX(Hierarchy!$D$2:$D$1295,MATCH($D1423,Hierarchy!$A$2:$A$1295,0))="","",INDEX(Hierarchy!$D$2:$D$1295,MATCH($D1423,Hierarchy!$A$2:$A$1295,0))),"NODE NOT FOUND"))</f>
        <v>AMER</v>
      </c>
      <c r="H1423" s="7" t="str">
        <f aca="false">IF($D1423="","",IFERROR(IF(INDEX(Hierarchy!$E$2:$E$1295,MATCH($D1423,Hierarchy!$A$2:$A$1295,0))="","",INDEX(Hierarchy!$E$2:$E$1295,MATCH($D1423,Hierarchy!$A$2:$A$1295,0))),"NODE NOT FOUND"))</f>
        <v>Latin America (LATAM)</v>
      </c>
      <c r="I1423" s="7" t="str">
        <f aca="false">IF($D1423="","",IFERROR(IF(INDEX(Hierarchy!$F$2:$F$1295,MATCH($D1423,Hierarchy!$A$2:$A$1295,0))="","",INDEX(Hierarchy!$F$2:$F$1295,MATCH($D1423,Hierarchy!$A$2:$A$1295,0))),"NODE NOT FOUND"))</f>
        <v>El Salvador</v>
      </c>
      <c r="J1423" s="7" t="str">
        <f aca="false">IF($D1423="","",IFERROR(IF(INDEX(Hierarchy!$G$2:$G$1295,MATCH($D1423,Hierarchy!$A$2:$A$1295,0))="","",INDEX(Hierarchy!$G$2:$G$1295,MATCH($D1423,Hierarchy!$A$2:$A$1295,0))),"NODE NOT FOUND"))</f>
        <v>SLV</v>
      </c>
      <c r="K1423" s="7" t="str">
        <f aca="false">IF($D1423="","",IFERROR(IF(INDEX(Hierarchy!$H$2:$H$1295,MATCH($D1423,Hierarchy!$A$2:$A$1295,0))="","",INDEX(Hierarchy!$H$2:$H$1295,MATCH($D1423,Hierarchy!$A$2:$A$1295,0))),"NODE NOT FOUND"))</f>
        <v/>
      </c>
      <c r="L1423" s="7" t="str">
        <f aca="false">IF($D1423="","",IFERROR(IF(INDEX(Hierarchy!$I$2:$I$1295,MATCH($D1423,Hierarchy!$A$2:$A$1295,0))="","",INDEX(Hierarchy!$I$2:$I$1295,MATCH($D1423,Hierarchy!$A$2:$A$1295,0))),"NODE NOT FOUND"))</f>
        <v/>
      </c>
      <c r="M1423" s="17" t="str">
        <f aca="false">IF(B1423="Pre-seeded","Pre-seeded",IF(B1423="Review 2026-09-16","Added from review",IF(C1423="","New",IF(C1423=D1423,"","Changed"))))</f>
        <v>Pre-seeded</v>
      </c>
      <c r="N1423" s="7" t="str">
        <f aca="false">TRIM(SUBSTITUTE(SUBSTITUTE(SUBSTITUTE(" "&amp;TRIM(SUBSTITUTE(SUBSTITUTE(SUBSTITUTE(SUBSTITUTE(SUBSTITUTE(SUBSTITUTE(SUBSTITUTE(SUBSTITUTE(SUBSTITUTE(SUBSTITUTE(SUBSTITUTE(SUBSTITUTE(SUBSTITUTE(SUBSTITUTE(SUBSTITUTE(UPPER(TRIM(A1423)),"[MEMBER]",""),"{MEMBER}",""),"[MEMBER}",""),"MEMBER]",""),"(A)",""),"""",""),"“",""),"”",""),".",""),":",""),",",""),"–"," "),"-"," "),"/"," "),"&amp;"," AND "))&amp;" "," THE "," ")," TOTAL "," ")," OPERATIONS "," "))</f>
        <v>REPUBLIC OF EL SALVADOR</v>
      </c>
      <c r="O1423" s="17" t="str">
        <f aca="false">IF(COUNTIFS($N$2:$N$2000,N1423,$D$2:$D$2000,"&lt;&gt;"&amp;D1423)&gt;0,"CONFLICT","")</f>
        <v/>
      </c>
      <c r="P1423" s="7" t="s">
        <v>1936</v>
      </c>
    </row>
    <row r="1424" customFormat="false" ht="15" hidden="false" customHeight="false" outlineLevel="0" collapsed="false">
      <c r="A1424" s="7" t="s">
        <v>2598</v>
      </c>
      <c r="B1424" s="7" t="s">
        <v>1879</v>
      </c>
      <c r="C1424" s="7"/>
      <c r="D1424" s="6" t="s">
        <v>1216</v>
      </c>
      <c r="E1424" s="6" t="s">
        <v>1880</v>
      </c>
      <c r="F1424" s="7" t="str">
        <f aca="false">IF($D1424="","",IFERROR(IF(INDEX(Hierarchy!$B$2:$B$1295,MATCH($D1424,Hierarchy!$A$2:$A$1295,0))="","",INDEX(Hierarchy!$B$2:$B$1295,MATCH($D1424,Hierarchy!$A$2:$A$1295,0))),"NODE NOT FOUND"))</f>
        <v>Country</v>
      </c>
      <c r="G1424" s="7" t="str">
        <f aca="false">IF($D1424="","",IFERROR(IF(INDEX(Hierarchy!$D$2:$D$1295,MATCH($D1424,Hierarchy!$A$2:$A$1295,0))="","",INDEX(Hierarchy!$D$2:$D$1295,MATCH($D1424,Hierarchy!$A$2:$A$1295,0))),"NODE NOT FOUND"))</f>
        <v>EMEA</v>
      </c>
      <c r="H1424" s="7" t="str">
        <f aca="false">IF($D1424="","",IFERROR(IF(INDEX(Hierarchy!$E$2:$E$1295,MATCH($D1424,Hierarchy!$A$2:$A$1295,0))="","",INDEX(Hierarchy!$E$2:$E$1295,MATCH($D1424,Hierarchy!$A$2:$A$1295,0))),"NODE NOT FOUND"))</f>
        <v>Africa</v>
      </c>
      <c r="I1424" s="7" t="str">
        <f aca="false">IF($D1424="","",IFERROR(IF(INDEX(Hierarchy!$F$2:$F$1295,MATCH($D1424,Hierarchy!$A$2:$A$1295,0))="","",INDEX(Hierarchy!$F$2:$F$1295,MATCH($D1424,Hierarchy!$A$2:$A$1295,0))),"NODE NOT FOUND"))</f>
        <v>Equatorial Guinea</v>
      </c>
      <c r="J1424" s="7" t="str">
        <f aca="false">IF($D1424="","",IFERROR(IF(INDEX(Hierarchy!$G$2:$G$1295,MATCH($D1424,Hierarchy!$A$2:$A$1295,0))="","",INDEX(Hierarchy!$G$2:$G$1295,MATCH($D1424,Hierarchy!$A$2:$A$1295,0))),"NODE NOT FOUND"))</f>
        <v>GNQ</v>
      </c>
      <c r="K1424" s="7" t="str">
        <f aca="false">IF($D1424="","",IFERROR(IF(INDEX(Hierarchy!$H$2:$H$1295,MATCH($D1424,Hierarchy!$A$2:$A$1295,0))="","",INDEX(Hierarchy!$H$2:$H$1295,MATCH($D1424,Hierarchy!$A$2:$A$1295,0))),"NODE NOT FOUND"))</f>
        <v/>
      </c>
      <c r="L1424" s="7" t="str">
        <f aca="false">IF($D1424="","",IFERROR(IF(INDEX(Hierarchy!$I$2:$I$1295,MATCH($D1424,Hierarchy!$A$2:$A$1295,0))="","",INDEX(Hierarchy!$I$2:$I$1295,MATCH($D1424,Hierarchy!$A$2:$A$1295,0))),"NODE NOT FOUND"))</f>
        <v/>
      </c>
      <c r="M1424" s="17" t="str">
        <f aca="false">IF(B1424="Pre-seeded","Pre-seeded",IF(B1424="Review 2026-09-16","Added from review",IF(C1424="","New",IF(C1424=D1424,"","Changed"))))</f>
        <v>Pre-seeded</v>
      </c>
      <c r="N1424" s="7" t="str">
        <f aca="false">TRIM(SUBSTITUTE(SUBSTITUTE(SUBSTITUTE(" "&amp;TRIM(SUBSTITUTE(SUBSTITUTE(SUBSTITUTE(SUBSTITUTE(SUBSTITUTE(SUBSTITUTE(SUBSTITUTE(SUBSTITUTE(SUBSTITUTE(SUBSTITUTE(SUBSTITUTE(SUBSTITUTE(SUBSTITUTE(SUBSTITUTE(SUBSTITUTE(UPPER(TRIM(A1424)),"[MEMBER]",""),"{MEMBER}",""),"[MEMBER}",""),"MEMBER]",""),"(A)",""),"""",""),"“",""),"”",""),".",""),":",""),",",""),"–"," "),"-"," "),"/"," "),"&amp;"," AND "))&amp;" "," THE "," ")," TOTAL "," ")," OPERATIONS "," "))</f>
        <v>REPUBLIC OF EQUATORIAL GUINEA</v>
      </c>
      <c r="O1424" s="17" t="str">
        <f aca="false">IF(COUNTIFS($N$2:$N$2000,N1424,$D$2:$D$2000,"&lt;&gt;"&amp;D1424)&gt;0,"CONFLICT","")</f>
        <v/>
      </c>
      <c r="P1424" s="7" t="s">
        <v>1936</v>
      </c>
    </row>
    <row r="1425" customFormat="false" ht="15" hidden="false" customHeight="false" outlineLevel="0" collapsed="false">
      <c r="A1425" s="7" t="s">
        <v>2599</v>
      </c>
      <c r="B1425" s="7" t="s">
        <v>1879</v>
      </c>
      <c r="C1425" s="7"/>
      <c r="D1425" s="6" t="s">
        <v>791</v>
      </c>
      <c r="E1425" s="6" t="s">
        <v>1880</v>
      </c>
      <c r="F1425" s="7" t="str">
        <f aca="false">IF($D1425="","",IFERROR(IF(INDEX(Hierarchy!$B$2:$B$1295,MATCH($D1425,Hierarchy!$A$2:$A$1295,0))="","",INDEX(Hierarchy!$B$2:$B$1295,MATCH($D1425,Hierarchy!$A$2:$A$1295,0))),"NODE NOT FOUND"))</f>
        <v>Country</v>
      </c>
      <c r="G1425" s="7" t="str">
        <f aca="false">IF($D1425="","",IFERROR(IF(INDEX(Hierarchy!$D$2:$D$1295,MATCH($D1425,Hierarchy!$A$2:$A$1295,0))="","",INDEX(Hierarchy!$D$2:$D$1295,MATCH($D1425,Hierarchy!$A$2:$A$1295,0))),"NODE NOT FOUND"))</f>
        <v>EMEA</v>
      </c>
      <c r="H1425" s="7" t="str">
        <f aca="false">IF($D1425="","",IFERROR(IF(INDEX(Hierarchy!$E$2:$E$1295,MATCH($D1425,Hierarchy!$A$2:$A$1295,0))="","",INDEX(Hierarchy!$E$2:$E$1295,MATCH($D1425,Hierarchy!$A$2:$A$1295,0))),"NODE NOT FOUND"))</f>
        <v>Europe</v>
      </c>
      <c r="I1425" s="7" t="str">
        <f aca="false">IF($D1425="","",IFERROR(IF(INDEX(Hierarchy!$F$2:$F$1295,MATCH($D1425,Hierarchy!$A$2:$A$1295,0))="","",INDEX(Hierarchy!$F$2:$F$1295,MATCH($D1425,Hierarchy!$A$2:$A$1295,0))),"NODE NOT FOUND"))</f>
        <v>Estonia</v>
      </c>
      <c r="J1425" s="7" t="str">
        <f aca="false">IF($D1425="","",IFERROR(IF(INDEX(Hierarchy!$G$2:$G$1295,MATCH($D1425,Hierarchy!$A$2:$A$1295,0))="","",INDEX(Hierarchy!$G$2:$G$1295,MATCH($D1425,Hierarchy!$A$2:$A$1295,0))),"NODE NOT FOUND"))</f>
        <v>EST</v>
      </c>
      <c r="K1425" s="7" t="str">
        <f aca="false">IF($D1425="","",IFERROR(IF(INDEX(Hierarchy!$H$2:$H$1295,MATCH($D1425,Hierarchy!$A$2:$A$1295,0))="","",INDEX(Hierarchy!$H$2:$H$1295,MATCH($D1425,Hierarchy!$A$2:$A$1295,0))),"NODE NOT FOUND"))</f>
        <v/>
      </c>
      <c r="L1425" s="7" t="str">
        <f aca="false">IF($D1425="","",IFERROR(IF(INDEX(Hierarchy!$I$2:$I$1295,MATCH($D1425,Hierarchy!$A$2:$A$1295,0))="","",INDEX(Hierarchy!$I$2:$I$1295,MATCH($D1425,Hierarchy!$A$2:$A$1295,0))),"NODE NOT FOUND"))</f>
        <v/>
      </c>
      <c r="M1425" s="17" t="str">
        <f aca="false">IF(B1425="Pre-seeded","Pre-seeded",IF(B1425="Review 2026-09-16","Added from review",IF(C1425="","New",IF(C1425=D1425,"","Changed"))))</f>
        <v>Pre-seeded</v>
      </c>
      <c r="N1425" s="7" t="str">
        <f aca="false">TRIM(SUBSTITUTE(SUBSTITUTE(SUBSTITUTE(" "&amp;TRIM(SUBSTITUTE(SUBSTITUTE(SUBSTITUTE(SUBSTITUTE(SUBSTITUTE(SUBSTITUTE(SUBSTITUTE(SUBSTITUTE(SUBSTITUTE(SUBSTITUTE(SUBSTITUTE(SUBSTITUTE(SUBSTITUTE(SUBSTITUTE(SUBSTITUTE(UPPER(TRIM(A1425)),"[MEMBER]",""),"{MEMBER}",""),"[MEMBER}",""),"MEMBER]",""),"(A)",""),"""",""),"“",""),"”",""),".",""),":",""),",",""),"–"," "),"-"," "),"/"," "),"&amp;"," AND "))&amp;" "," THE "," ")," TOTAL "," ")," OPERATIONS "," "))</f>
        <v>REPUBLIC OF ESTONIA</v>
      </c>
      <c r="O1425" s="17" t="str">
        <f aca="false">IF(COUNTIFS($N$2:$N$2000,N1425,$D$2:$D$2000,"&lt;&gt;"&amp;D1425)&gt;0,"CONFLICT","")</f>
        <v/>
      </c>
      <c r="P1425" s="7" t="s">
        <v>1936</v>
      </c>
    </row>
    <row r="1426" customFormat="false" ht="15" hidden="false" customHeight="false" outlineLevel="0" collapsed="false">
      <c r="A1426" s="7" t="s">
        <v>2600</v>
      </c>
      <c r="B1426" s="7" t="s">
        <v>1879</v>
      </c>
      <c r="C1426" s="7"/>
      <c r="D1426" s="6" t="s">
        <v>1744</v>
      </c>
      <c r="E1426" s="6" t="s">
        <v>1880</v>
      </c>
      <c r="F1426" s="7" t="str">
        <f aca="false">IF($D1426="","",IFERROR(IF(INDEX(Hierarchy!$B$2:$B$1295,MATCH($D1426,Hierarchy!$A$2:$A$1295,0))="","",INDEX(Hierarchy!$B$2:$B$1295,MATCH($D1426,Hierarchy!$A$2:$A$1295,0))),"NODE NOT FOUND"))</f>
        <v>Country</v>
      </c>
      <c r="G1426" s="7" t="str">
        <f aca="false">IF($D1426="","",IFERROR(IF(INDEX(Hierarchy!$D$2:$D$1295,MATCH($D1426,Hierarchy!$A$2:$A$1295,0))="","",INDEX(Hierarchy!$D$2:$D$1295,MATCH($D1426,Hierarchy!$A$2:$A$1295,0))),"NODE NOT FOUND"))</f>
        <v>APAC</v>
      </c>
      <c r="H1426" s="7" t="str">
        <f aca="false">IF($D1426="","",IFERROR(IF(INDEX(Hierarchy!$E$2:$E$1295,MATCH($D1426,Hierarchy!$A$2:$A$1295,0))="","",INDEX(Hierarchy!$E$2:$E$1295,MATCH($D1426,Hierarchy!$A$2:$A$1295,0))),"NODE NOT FOUND"))</f>
        <v>Oceania (ANZ)</v>
      </c>
      <c r="I1426" s="7" t="str">
        <f aca="false">IF($D1426="","",IFERROR(IF(INDEX(Hierarchy!$F$2:$F$1295,MATCH($D1426,Hierarchy!$A$2:$A$1295,0))="","",INDEX(Hierarchy!$F$2:$F$1295,MATCH($D1426,Hierarchy!$A$2:$A$1295,0))),"NODE NOT FOUND"))</f>
        <v>Fiji</v>
      </c>
      <c r="J1426" s="7" t="str">
        <f aca="false">IF($D1426="","",IFERROR(IF(INDEX(Hierarchy!$G$2:$G$1295,MATCH($D1426,Hierarchy!$A$2:$A$1295,0))="","",INDEX(Hierarchy!$G$2:$G$1295,MATCH($D1426,Hierarchy!$A$2:$A$1295,0))),"NODE NOT FOUND"))</f>
        <v>FJI</v>
      </c>
      <c r="K1426" s="7" t="str">
        <f aca="false">IF($D1426="","",IFERROR(IF(INDEX(Hierarchy!$H$2:$H$1295,MATCH($D1426,Hierarchy!$A$2:$A$1295,0))="","",INDEX(Hierarchy!$H$2:$H$1295,MATCH($D1426,Hierarchy!$A$2:$A$1295,0))),"NODE NOT FOUND"))</f>
        <v/>
      </c>
      <c r="L1426" s="7" t="str">
        <f aca="false">IF($D1426="","",IFERROR(IF(INDEX(Hierarchy!$I$2:$I$1295,MATCH($D1426,Hierarchy!$A$2:$A$1295,0))="","",INDEX(Hierarchy!$I$2:$I$1295,MATCH($D1426,Hierarchy!$A$2:$A$1295,0))),"NODE NOT FOUND"))</f>
        <v/>
      </c>
      <c r="M1426" s="17" t="str">
        <f aca="false">IF(B1426="Pre-seeded","Pre-seeded",IF(B1426="Review 2026-09-16","Added from review",IF(C1426="","New",IF(C1426=D1426,"","Changed"))))</f>
        <v>Pre-seeded</v>
      </c>
      <c r="N1426" s="7" t="str">
        <f aca="false">TRIM(SUBSTITUTE(SUBSTITUTE(SUBSTITUTE(" "&amp;TRIM(SUBSTITUTE(SUBSTITUTE(SUBSTITUTE(SUBSTITUTE(SUBSTITUTE(SUBSTITUTE(SUBSTITUTE(SUBSTITUTE(SUBSTITUTE(SUBSTITUTE(SUBSTITUTE(SUBSTITUTE(SUBSTITUTE(SUBSTITUTE(SUBSTITUTE(UPPER(TRIM(A1426)),"[MEMBER]",""),"{MEMBER}",""),"[MEMBER}",""),"MEMBER]",""),"(A)",""),"""",""),"“",""),"”",""),".",""),":",""),",",""),"–"," "),"-"," "),"/"," "),"&amp;"," AND "))&amp;" "," THE "," ")," TOTAL "," ")," OPERATIONS "," "))</f>
        <v>REPUBLIC OF FIJI</v>
      </c>
      <c r="O1426" s="17" t="str">
        <f aca="false">IF(COUNTIFS($N$2:$N$2000,N1426,$D$2:$D$2000,"&lt;&gt;"&amp;D1426)&gt;0,"CONFLICT","")</f>
        <v/>
      </c>
      <c r="P1426" s="7" t="s">
        <v>1936</v>
      </c>
    </row>
    <row r="1427" customFormat="false" ht="15" hidden="false" customHeight="false" outlineLevel="0" collapsed="false">
      <c r="A1427" s="7" t="s">
        <v>2601</v>
      </c>
      <c r="B1427" s="7" t="s">
        <v>1879</v>
      </c>
      <c r="C1427" s="7"/>
      <c r="D1427" s="6" t="s">
        <v>796</v>
      </c>
      <c r="E1427" s="6" t="s">
        <v>1880</v>
      </c>
      <c r="F1427" s="7" t="str">
        <f aca="false">IF($D1427="","",IFERROR(IF(INDEX(Hierarchy!$B$2:$B$1295,MATCH($D1427,Hierarchy!$A$2:$A$1295,0))="","",INDEX(Hierarchy!$B$2:$B$1295,MATCH($D1427,Hierarchy!$A$2:$A$1295,0))),"NODE NOT FOUND"))</f>
        <v>Country</v>
      </c>
      <c r="G1427" s="7" t="str">
        <f aca="false">IF($D1427="","",IFERROR(IF(INDEX(Hierarchy!$D$2:$D$1295,MATCH($D1427,Hierarchy!$A$2:$A$1295,0))="","",INDEX(Hierarchy!$D$2:$D$1295,MATCH($D1427,Hierarchy!$A$2:$A$1295,0))),"NODE NOT FOUND"))</f>
        <v>EMEA</v>
      </c>
      <c r="H1427" s="7" t="str">
        <f aca="false">IF($D1427="","",IFERROR(IF(INDEX(Hierarchy!$E$2:$E$1295,MATCH($D1427,Hierarchy!$A$2:$A$1295,0))="","",INDEX(Hierarchy!$E$2:$E$1295,MATCH($D1427,Hierarchy!$A$2:$A$1295,0))),"NODE NOT FOUND"))</f>
        <v>Europe</v>
      </c>
      <c r="I1427" s="7" t="str">
        <f aca="false">IF($D1427="","",IFERROR(IF(INDEX(Hierarchy!$F$2:$F$1295,MATCH($D1427,Hierarchy!$A$2:$A$1295,0))="","",INDEX(Hierarchy!$F$2:$F$1295,MATCH($D1427,Hierarchy!$A$2:$A$1295,0))),"NODE NOT FOUND"))</f>
        <v>Finland</v>
      </c>
      <c r="J1427" s="7" t="str">
        <f aca="false">IF($D1427="","",IFERROR(IF(INDEX(Hierarchy!$G$2:$G$1295,MATCH($D1427,Hierarchy!$A$2:$A$1295,0))="","",INDEX(Hierarchy!$G$2:$G$1295,MATCH($D1427,Hierarchy!$A$2:$A$1295,0))),"NODE NOT FOUND"))</f>
        <v>FIN</v>
      </c>
      <c r="K1427" s="7" t="str">
        <f aca="false">IF($D1427="","",IFERROR(IF(INDEX(Hierarchy!$H$2:$H$1295,MATCH($D1427,Hierarchy!$A$2:$A$1295,0))="","",INDEX(Hierarchy!$H$2:$H$1295,MATCH($D1427,Hierarchy!$A$2:$A$1295,0))),"NODE NOT FOUND"))</f>
        <v/>
      </c>
      <c r="L1427" s="7" t="str">
        <f aca="false">IF($D1427="","",IFERROR(IF(INDEX(Hierarchy!$I$2:$I$1295,MATCH($D1427,Hierarchy!$A$2:$A$1295,0))="","",INDEX(Hierarchy!$I$2:$I$1295,MATCH($D1427,Hierarchy!$A$2:$A$1295,0))),"NODE NOT FOUND"))</f>
        <v/>
      </c>
      <c r="M1427" s="17" t="str">
        <f aca="false">IF(B1427="Pre-seeded","Pre-seeded",IF(B1427="Review 2026-09-16","Added from review",IF(C1427="","New",IF(C1427=D1427,"","Changed"))))</f>
        <v>Pre-seeded</v>
      </c>
      <c r="N1427" s="7" t="str">
        <f aca="false">TRIM(SUBSTITUTE(SUBSTITUTE(SUBSTITUTE(" "&amp;TRIM(SUBSTITUTE(SUBSTITUTE(SUBSTITUTE(SUBSTITUTE(SUBSTITUTE(SUBSTITUTE(SUBSTITUTE(SUBSTITUTE(SUBSTITUTE(SUBSTITUTE(SUBSTITUTE(SUBSTITUTE(SUBSTITUTE(SUBSTITUTE(SUBSTITUTE(UPPER(TRIM(A1427)),"[MEMBER]",""),"{MEMBER}",""),"[MEMBER}",""),"MEMBER]",""),"(A)",""),"""",""),"“",""),"”",""),".",""),":",""),",",""),"–"," "),"-"," "),"/"," "),"&amp;"," AND "))&amp;" "," THE "," ")," TOTAL "," ")," OPERATIONS "," "))</f>
        <v>REPUBLIC OF FINLAND</v>
      </c>
      <c r="O1427" s="17" t="str">
        <f aca="false">IF(COUNTIFS($N$2:$N$2000,N1427,$D$2:$D$2000,"&lt;&gt;"&amp;D1427)&gt;0,"CONFLICT","")</f>
        <v/>
      </c>
      <c r="P1427" s="7" t="s">
        <v>1936</v>
      </c>
    </row>
    <row r="1428" customFormat="false" ht="15" hidden="false" customHeight="false" outlineLevel="0" collapsed="false">
      <c r="A1428" s="7" t="s">
        <v>2602</v>
      </c>
      <c r="B1428" s="7" t="s">
        <v>1879</v>
      </c>
      <c r="C1428" s="7"/>
      <c r="D1428" s="6" t="s">
        <v>1229</v>
      </c>
      <c r="E1428" s="6" t="s">
        <v>1880</v>
      </c>
      <c r="F1428" s="7" t="str">
        <f aca="false">IF($D1428="","",IFERROR(IF(INDEX(Hierarchy!$B$2:$B$1295,MATCH($D1428,Hierarchy!$A$2:$A$1295,0))="","",INDEX(Hierarchy!$B$2:$B$1295,MATCH($D1428,Hierarchy!$A$2:$A$1295,0))),"NODE NOT FOUND"))</f>
        <v>Country</v>
      </c>
      <c r="G1428" s="7" t="str">
        <f aca="false">IF($D1428="","",IFERROR(IF(INDEX(Hierarchy!$D$2:$D$1295,MATCH($D1428,Hierarchy!$A$2:$A$1295,0))="","",INDEX(Hierarchy!$D$2:$D$1295,MATCH($D1428,Hierarchy!$A$2:$A$1295,0))),"NODE NOT FOUND"))</f>
        <v>EMEA</v>
      </c>
      <c r="H1428" s="7" t="str">
        <f aca="false">IF($D1428="","",IFERROR(IF(INDEX(Hierarchy!$E$2:$E$1295,MATCH($D1428,Hierarchy!$A$2:$A$1295,0))="","",INDEX(Hierarchy!$E$2:$E$1295,MATCH($D1428,Hierarchy!$A$2:$A$1295,0))),"NODE NOT FOUND"))</f>
        <v>Africa</v>
      </c>
      <c r="I1428" s="7" t="str">
        <f aca="false">IF($D1428="","",IFERROR(IF(INDEX(Hierarchy!$F$2:$F$1295,MATCH($D1428,Hierarchy!$A$2:$A$1295,0))="","",INDEX(Hierarchy!$F$2:$F$1295,MATCH($D1428,Hierarchy!$A$2:$A$1295,0))),"NODE NOT FOUND"))</f>
        <v>Ghana</v>
      </c>
      <c r="J1428" s="7" t="str">
        <f aca="false">IF($D1428="","",IFERROR(IF(INDEX(Hierarchy!$G$2:$G$1295,MATCH($D1428,Hierarchy!$A$2:$A$1295,0))="","",INDEX(Hierarchy!$G$2:$G$1295,MATCH($D1428,Hierarchy!$A$2:$A$1295,0))),"NODE NOT FOUND"))</f>
        <v>GHA</v>
      </c>
      <c r="K1428" s="7" t="str">
        <f aca="false">IF($D1428="","",IFERROR(IF(INDEX(Hierarchy!$H$2:$H$1295,MATCH($D1428,Hierarchy!$A$2:$A$1295,0))="","",INDEX(Hierarchy!$H$2:$H$1295,MATCH($D1428,Hierarchy!$A$2:$A$1295,0))),"NODE NOT FOUND"))</f>
        <v/>
      </c>
      <c r="L1428" s="7" t="str">
        <f aca="false">IF($D1428="","",IFERROR(IF(INDEX(Hierarchy!$I$2:$I$1295,MATCH($D1428,Hierarchy!$A$2:$A$1295,0))="","",INDEX(Hierarchy!$I$2:$I$1295,MATCH($D1428,Hierarchy!$A$2:$A$1295,0))),"NODE NOT FOUND"))</f>
        <v/>
      </c>
      <c r="M1428" s="17" t="str">
        <f aca="false">IF(B1428="Pre-seeded","Pre-seeded",IF(B1428="Review 2026-09-16","Added from review",IF(C1428="","New",IF(C1428=D1428,"","Changed"))))</f>
        <v>Pre-seeded</v>
      </c>
      <c r="N1428" s="7" t="str">
        <f aca="false">TRIM(SUBSTITUTE(SUBSTITUTE(SUBSTITUTE(" "&amp;TRIM(SUBSTITUTE(SUBSTITUTE(SUBSTITUTE(SUBSTITUTE(SUBSTITUTE(SUBSTITUTE(SUBSTITUTE(SUBSTITUTE(SUBSTITUTE(SUBSTITUTE(SUBSTITUTE(SUBSTITUTE(SUBSTITUTE(SUBSTITUTE(SUBSTITUTE(UPPER(TRIM(A1428)),"[MEMBER]",""),"{MEMBER}",""),"[MEMBER}",""),"MEMBER]",""),"(A)",""),"""",""),"“",""),"”",""),".",""),":",""),",",""),"–"," "),"-"," "),"/"," "),"&amp;"," AND "))&amp;" "," THE "," ")," TOTAL "," ")," OPERATIONS "," "))</f>
        <v>REPUBLIC OF GHANA</v>
      </c>
      <c r="O1428" s="17" t="str">
        <f aca="false">IF(COUNTIFS($N$2:$N$2000,N1428,$D$2:$D$2000,"&lt;&gt;"&amp;D1428)&gt;0,"CONFLICT","")</f>
        <v/>
      </c>
      <c r="P1428" s="7" t="s">
        <v>1936</v>
      </c>
    </row>
    <row r="1429" customFormat="false" ht="15" hidden="false" customHeight="false" outlineLevel="0" collapsed="false">
      <c r="A1429" s="7" t="s">
        <v>2603</v>
      </c>
      <c r="B1429" s="7" t="s">
        <v>1879</v>
      </c>
      <c r="C1429" s="7"/>
      <c r="D1429" s="6" t="s">
        <v>563</v>
      </c>
      <c r="E1429" s="6" t="s">
        <v>1880</v>
      </c>
      <c r="F1429" s="7" t="str">
        <f aca="false">IF($D1429="","",IFERROR(IF(INDEX(Hierarchy!$B$2:$B$1295,MATCH($D1429,Hierarchy!$A$2:$A$1295,0))="","",INDEX(Hierarchy!$B$2:$B$1295,MATCH($D1429,Hierarchy!$A$2:$A$1295,0))),"NODE NOT FOUND"))</f>
        <v>Country</v>
      </c>
      <c r="G1429" s="7" t="str">
        <f aca="false">IF($D1429="","",IFERROR(IF(INDEX(Hierarchy!$D$2:$D$1295,MATCH($D1429,Hierarchy!$A$2:$A$1295,0))="","",INDEX(Hierarchy!$D$2:$D$1295,MATCH($D1429,Hierarchy!$A$2:$A$1295,0))),"NODE NOT FOUND"))</f>
        <v>AMER</v>
      </c>
      <c r="H1429" s="7" t="str">
        <f aca="false">IF($D1429="","",IFERROR(IF(INDEX(Hierarchy!$E$2:$E$1295,MATCH($D1429,Hierarchy!$A$2:$A$1295,0))="","",INDEX(Hierarchy!$E$2:$E$1295,MATCH($D1429,Hierarchy!$A$2:$A$1295,0))),"NODE NOT FOUND"))</f>
        <v>Latin America (LATAM)</v>
      </c>
      <c r="I1429" s="7" t="str">
        <f aca="false">IF($D1429="","",IFERROR(IF(INDEX(Hierarchy!$F$2:$F$1295,MATCH($D1429,Hierarchy!$A$2:$A$1295,0))="","",INDEX(Hierarchy!$F$2:$F$1295,MATCH($D1429,Hierarchy!$A$2:$A$1295,0))),"NODE NOT FOUND"))</f>
        <v>Guatemala</v>
      </c>
      <c r="J1429" s="7" t="str">
        <f aca="false">IF($D1429="","",IFERROR(IF(INDEX(Hierarchy!$G$2:$G$1295,MATCH($D1429,Hierarchy!$A$2:$A$1295,0))="","",INDEX(Hierarchy!$G$2:$G$1295,MATCH($D1429,Hierarchy!$A$2:$A$1295,0))),"NODE NOT FOUND"))</f>
        <v>GTM</v>
      </c>
      <c r="K1429" s="7" t="str">
        <f aca="false">IF($D1429="","",IFERROR(IF(INDEX(Hierarchy!$H$2:$H$1295,MATCH($D1429,Hierarchy!$A$2:$A$1295,0))="","",INDEX(Hierarchy!$H$2:$H$1295,MATCH($D1429,Hierarchy!$A$2:$A$1295,0))),"NODE NOT FOUND"))</f>
        <v/>
      </c>
      <c r="L1429" s="7" t="str">
        <f aca="false">IF($D1429="","",IFERROR(IF(INDEX(Hierarchy!$I$2:$I$1295,MATCH($D1429,Hierarchy!$A$2:$A$1295,0))="","",INDEX(Hierarchy!$I$2:$I$1295,MATCH($D1429,Hierarchy!$A$2:$A$1295,0))),"NODE NOT FOUND"))</f>
        <v/>
      </c>
      <c r="M1429" s="17" t="str">
        <f aca="false">IF(B1429="Pre-seeded","Pre-seeded",IF(B1429="Review 2026-09-16","Added from review",IF(C1429="","New",IF(C1429=D1429,"","Changed"))))</f>
        <v>Pre-seeded</v>
      </c>
      <c r="N1429" s="7" t="str">
        <f aca="false">TRIM(SUBSTITUTE(SUBSTITUTE(SUBSTITUTE(" "&amp;TRIM(SUBSTITUTE(SUBSTITUTE(SUBSTITUTE(SUBSTITUTE(SUBSTITUTE(SUBSTITUTE(SUBSTITUTE(SUBSTITUTE(SUBSTITUTE(SUBSTITUTE(SUBSTITUTE(SUBSTITUTE(SUBSTITUTE(SUBSTITUTE(SUBSTITUTE(UPPER(TRIM(A1429)),"[MEMBER]",""),"{MEMBER}",""),"[MEMBER}",""),"MEMBER]",""),"(A)",""),"""",""),"“",""),"”",""),".",""),":",""),",",""),"–"," "),"-"," "),"/"," "),"&amp;"," AND "))&amp;" "," THE "," ")," TOTAL "," ")," OPERATIONS "," "))</f>
        <v>REPUBLIC OF GUATEMALA</v>
      </c>
      <c r="O1429" s="17" t="str">
        <f aca="false">IF(COUNTIFS($N$2:$N$2000,N1429,$D$2:$D$2000,"&lt;&gt;"&amp;D1429)&gt;0,"CONFLICT","")</f>
        <v/>
      </c>
      <c r="P1429" s="7" t="s">
        <v>1936</v>
      </c>
    </row>
    <row r="1430" customFormat="false" ht="15" hidden="false" customHeight="false" outlineLevel="0" collapsed="false">
      <c r="A1430" s="7" t="s">
        <v>2604</v>
      </c>
      <c r="B1430" s="7" t="s">
        <v>1879</v>
      </c>
      <c r="C1430" s="7"/>
      <c r="D1430" s="6" t="s">
        <v>1232</v>
      </c>
      <c r="E1430" s="6" t="s">
        <v>1880</v>
      </c>
      <c r="F1430" s="7" t="str">
        <f aca="false">IF($D1430="","",IFERROR(IF(INDEX(Hierarchy!$B$2:$B$1295,MATCH($D1430,Hierarchy!$A$2:$A$1295,0))="","",INDEX(Hierarchy!$B$2:$B$1295,MATCH($D1430,Hierarchy!$A$2:$A$1295,0))),"NODE NOT FOUND"))</f>
        <v>Country</v>
      </c>
      <c r="G1430" s="7" t="str">
        <f aca="false">IF($D1430="","",IFERROR(IF(INDEX(Hierarchy!$D$2:$D$1295,MATCH($D1430,Hierarchy!$A$2:$A$1295,0))="","",INDEX(Hierarchy!$D$2:$D$1295,MATCH($D1430,Hierarchy!$A$2:$A$1295,0))),"NODE NOT FOUND"))</f>
        <v>EMEA</v>
      </c>
      <c r="H1430" s="7" t="str">
        <f aca="false">IF($D1430="","",IFERROR(IF(INDEX(Hierarchy!$E$2:$E$1295,MATCH($D1430,Hierarchy!$A$2:$A$1295,0))="","",INDEX(Hierarchy!$E$2:$E$1295,MATCH($D1430,Hierarchy!$A$2:$A$1295,0))),"NODE NOT FOUND"))</f>
        <v>Africa</v>
      </c>
      <c r="I1430" s="7" t="str">
        <f aca="false">IF($D1430="","",IFERROR(IF(INDEX(Hierarchy!$F$2:$F$1295,MATCH($D1430,Hierarchy!$A$2:$A$1295,0))="","",INDEX(Hierarchy!$F$2:$F$1295,MATCH($D1430,Hierarchy!$A$2:$A$1295,0))),"NODE NOT FOUND"))</f>
        <v>Guinea</v>
      </c>
      <c r="J1430" s="7" t="str">
        <f aca="false">IF($D1430="","",IFERROR(IF(INDEX(Hierarchy!$G$2:$G$1295,MATCH($D1430,Hierarchy!$A$2:$A$1295,0))="","",INDEX(Hierarchy!$G$2:$G$1295,MATCH($D1430,Hierarchy!$A$2:$A$1295,0))),"NODE NOT FOUND"))</f>
        <v>GIN</v>
      </c>
      <c r="K1430" s="7" t="str">
        <f aca="false">IF($D1430="","",IFERROR(IF(INDEX(Hierarchy!$H$2:$H$1295,MATCH($D1430,Hierarchy!$A$2:$A$1295,0))="","",INDEX(Hierarchy!$H$2:$H$1295,MATCH($D1430,Hierarchy!$A$2:$A$1295,0))),"NODE NOT FOUND"))</f>
        <v/>
      </c>
      <c r="L1430" s="7" t="str">
        <f aca="false">IF($D1430="","",IFERROR(IF(INDEX(Hierarchy!$I$2:$I$1295,MATCH($D1430,Hierarchy!$A$2:$A$1295,0))="","",INDEX(Hierarchy!$I$2:$I$1295,MATCH($D1430,Hierarchy!$A$2:$A$1295,0))),"NODE NOT FOUND"))</f>
        <v/>
      </c>
      <c r="M1430" s="17" t="str">
        <f aca="false">IF(B1430="Pre-seeded","Pre-seeded",IF(B1430="Review 2026-09-16","Added from review",IF(C1430="","New",IF(C1430=D1430,"","Changed"))))</f>
        <v>Pre-seeded</v>
      </c>
      <c r="N1430" s="7" t="str">
        <f aca="false">TRIM(SUBSTITUTE(SUBSTITUTE(SUBSTITUTE(" "&amp;TRIM(SUBSTITUTE(SUBSTITUTE(SUBSTITUTE(SUBSTITUTE(SUBSTITUTE(SUBSTITUTE(SUBSTITUTE(SUBSTITUTE(SUBSTITUTE(SUBSTITUTE(SUBSTITUTE(SUBSTITUTE(SUBSTITUTE(SUBSTITUTE(SUBSTITUTE(UPPER(TRIM(A1430)),"[MEMBER]",""),"{MEMBER}",""),"[MEMBER}",""),"MEMBER]",""),"(A)",""),"""",""),"“",""),"”",""),".",""),":",""),",",""),"–"," "),"-"," "),"/"," "),"&amp;"," AND "))&amp;" "," THE "," ")," TOTAL "," ")," OPERATIONS "," "))</f>
        <v>REPUBLIC OF GUINEA</v>
      </c>
      <c r="O1430" s="17" t="str">
        <f aca="false">IF(COUNTIFS($N$2:$N$2000,N1430,$D$2:$D$2000,"&lt;&gt;"&amp;D1430)&gt;0,"CONFLICT","")</f>
        <v/>
      </c>
      <c r="P1430" s="7" t="s">
        <v>1936</v>
      </c>
    </row>
    <row r="1431" customFormat="false" ht="15" hidden="false" customHeight="false" outlineLevel="0" collapsed="false">
      <c r="A1431" s="7" t="s">
        <v>2605</v>
      </c>
      <c r="B1431" s="7" t="s">
        <v>1879</v>
      </c>
      <c r="C1431" s="7"/>
      <c r="D1431" s="6" t="s">
        <v>1234</v>
      </c>
      <c r="E1431" s="6" t="s">
        <v>1880</v>
      </c>
      <c r="F1431" s="7" t="str">
        <f aca="false">IF($D1431="","",IFERROR(IF(INDEX(Hierarchy!$B$2:$B$1295,MATCH($D1431,Hierarchy!$A$2:$A$1295,0))="","",INDEX(Hierarchy!$B$2:$B$1295,MATCH($D1431,Hierarchy!$A$2:$A$1295,0))),"NODE NOT FOUND"))</f>
        <v>Country</v>
      </c>
      <c r="G1431" s="7" t="str">
        <f aca="false">IF($D1431="","",IFERROR(IF(INDEX(Hierarchy!$D$2:$D$1295,MATCH($D1431,Hierarchy!$A$2:$A$1295,0))="","",INDEX(Hierarchy!$D$2:$D$1295,MATCH($D1431,Hierarchy!$A$2:$A$1295,0))),"NODE NOT FOUND"))</f>
        <v>EMEA</v>
      </c>
      <c r="H1431" s="7" t="str">
        <f aca="false">IF($D1431="","",IFERROR(IF(INDEX(Hierarchy!$E$2:$E$1295,MATCH($D1431,Hierarchy!$A$2:$A$1295,0))="","",INDEX(Hierarchy!$E$2:$E$1295,MATCH($D1431,Hierarchy!$A$2:$A$1295,0))),"NODE NOT FOUND"))</f>
        <v>Africa</v>
      </c>
      <c r="I1431" s="7" t="str">
        <f aca="false">IF($D1431="","",IFERROR(IF(INDEX(Hierarchy!$F$2:$F$1295,MATCH($D1431,Hierarchy!$A$2:$A$1295,0))="","",INDEX(Hierarchy!$F$2:$F$1295,MATCH($D1431,Hierarchy!$A$2:$A$1295,0))),"NODE NOT FOUND"))</f>
        <v>Guinea-Bissau</v>
      </c>
      <c r="J1431" s="7" t="str">
        <f aca="false">IF($D1431="","",IFERROR(IF(INDEX(Hierarchy!$G$2:$G$1295,MATCH($D1431,Hierarchy!$A$2:$A$1295,0))="","",INDEX(Hierarchy!$G$2:$G$1295,MATCH($D1431,Hierarchy!$A$2:$A$1295,0))),"NODE NOT FOUND"))</f>
        <v>GNB</v>
      </c>
      <c r="K1431" s="7" t="str">
        <f aca="false">IF($D1431="","",IFERROR(IF(INDEX(Hierarchy!$H$2:$H$1295,MATCH($D1431,Hierarchy!$A$2:$A$1295,0))="","",INDEX(Hierarchy!$H$2:$H$1295,MATCH($D1431,Hierarchy!$A$2:$A$1295,0))),"NODE NOT FOUND"))</f>
        <v/>
      </c>
      <c r="L1431" s="7" t="str">
        <f aca="false">IF($D1431="","",IFERROR(IF(INDEX(Hierarchy!$I$2:$I$1295,MATCH($D1431,Hierarchy!$A$2:$A$1295,0))="","",INDEX(Hierarchy!$I$2:$I$1295,MATCH($D1431,Hierarchy!$A$2:$A$1295,0))),"NODE NOT FOUND"))</f>
        <v/>
      </c>
      <c r="M1431" s="17" t="str">
        <f aca="false">IF(B1431="Pre-seeded","Pre-seeded",IF(B1431="Review 2026-09-16","Added from review",IF(C1431="","New",IF(C1431=D1431,"","Changed"))))</f>
        <v>Pre-seeded</v>
      </c>
      <c r="N1431" s="7" t="str">
        <f aca="false">TRIM(SUBSTITUTE(SUBSTITUTE(SUBSTITUTE(" "&amp;TRIM(SUBSTITUTE(SUBSTITUTE(SUBSTITUTE(SUBSTITUTE(SUBSTITUTE(SUBSTITUTE(SUBSTITUTE(SUBSTITUTE(SUBSTITUTE(SUBSTITUTE(SUBSTITUTE(SUBSTITUTE(SUBSTITUTE(SUBSTITUTE(SUBSTITUTE(UPPER(TRIM(A1431)),"[MEMBER]",""),"{MEMBER}",""),"[MEMBER}",""),"MEMBER]",""),"(A)",""),"""",""),"“",""),"”",""),".",""),":",""),",",""),"–"," "),"-"," "),"/"," "),"&amp;"," AND "))&amp;" "," THE "," ")," TOTAL "," ")," OPERATIONS "," "))</f>
        <v>REPUBLIC OF GUINEA BISSAU</v>
      </c>
      <c r="O1431" s="17" t="str">
        <f aca="false">IF(COUNTIFS($N$2:$N$2000,N1431,$D$2:$D$2000,"&lt;&gt;"&amp;D1431)&gt;0,"CONFLICT","")</f>
        <v/>
      </c>
      <c r="P1431" s="7" t="s">
        <v>1936</v>
      </c>
    </row>
    <row r="1432" customFormat="false" ht="15" hidden="false" customHeight="false" outlineLevel="0" collapsed="false">
      <c r="A1432" s="7" t="s">
        <v>2606</v>
      </c>
      <c r="B1432" s="7" t="s">
        <v>1879</v>
      </c>
      <c r="C1432" s="7"/>
      <c r="D1432" s="6" t="s">
        <v>565</v>
      </c>
      <c r="E1432" s="6" t="s">
        <v>1880</v>
      </c>
      <c r="F1432" s="7" t="str">
        <f aca="false">IF($D1432="","",IFERROR(IF(INDEX(Hierarchy!$B$2:$B$1295,MATCH($D1432,Hierarchy!$A$2:$A$1295,0))="","",INDEX(Hierarchy!$B$2:$B$1295,MATCH($D1432,Hierarchy!$A$2:$A$1295,0))),"NODE NOT FOUND"))</f>
        <v>Country</v>
      </c>
      <c r="G1432" s="7" t="str">
        <f aca="false">IF($D1432="","",IFERROR(IF(INDEX(Hierarchy!$D$2:$D$1295,MATCH($D1432,Hierarchy!$A$2:$A$1295,0))="","",INDEX(Hierarchy!$D$2:$D$1295,MATCH($D1432,Hierarchy!$A$2:$A$1295,0))),"NODE NOT FOUND"))</f>
        <v>AMER</v>
      </c>
      <c r="H1432" s="7" t="str">
        <f aca="false">IF($D1432="","",IFERROR(IF(INDEX(Hierarchy!$E$2:$E$1295,MATCH($D1432,Hierarchy!$A$2:$A$1295,0))="","",INDEX(Hierarchy!$E$2:$E$1295,MATCH($D1432,Hierarchy!$A$2:$A$1295,0))),"NODE NOT FOUND"))</f>
        <v>Latin America (LATAM)</v>
      </c>
      <c r="I1432" s="7" t="str">
        <f aca="false">IF($D1432="","",IFERROR(IF(INDEX(Hierarchy!$F$2:$F$1295,MATCH($D1432,Hierarchy!$A$2:$A$1295,0))="","",INDEX(Hierarchy!$F$2:$F$1295,MATCH($D1432,Hierarchy!$A$2:$A$1295,0))),"NODE NOT FOUND"))</f>
        <v>Guyana</v>
      </c>
      <c r="J1432" s="7" t="str">
        <f aca="false">IF($D1432="","",IFERROR(IF(INDEX(Hierarchy!$G$2:$G$1295,MATCH($D1432,Hierarchy!$A$2:$A$1295,0))="","",INDEX(Hierarchy!$G$2:$G$1295,MATCH($D1432,Hierarchy!$A$2:$A$1295,0))),"NODE NOT FOUND"))</f>
        <v>GUY</v>
      </c>
      <c r="K1432" s="7" t="str">
        <f aca="false">IF($D1432="","",IFERROR(IF(INDEX(Hierarchy!$H$2:$H$1295,MATCH($D1432,Hierarchy!$A$2:$A$1295,0))="","",INDEX(Hierarchy!$H$2:$H$1295,MATCH($D1432,Hierarchy!$A$2:$A$1295,0))),"NODE NOT FOUND"))</f>
        <v/>
      </c>
      <c r="L1432" s="7" t="str">
        <f aca="false">IF($D1432="","",IFERROR(IF(INDEX(Hierarchy!$I$2:$I$1295,MATCH($D1432,Hierarchy!$A$2:$A$1295,0))="","",INDEX(Hierarchy!$I$2:$I$1295,MATCH($D1432,Hierarchy!$A$2:$A$1295,0))),"NODE NOT FOUND"))</f>
        <v/>
      </c>
      <c r="M1432" s="17" t="str">
        <f aca="false">IF(B1432="Pre-seeded","Pre-seeded",IF(B1432="Review 2026-09-16","Added from review",IF(C1432="","New",IF(C1432=D1432,"","Changed"))))</f>
        <v>Pre-seeded</v>
      </c>
      <c r="N1432" s="7" t="str">
        <f aca="false">TRIM(SUBSTITUTE(SUBSTITUTE(SUBSTITUTE(" "&amp;TRIM(SUBSTITUTE(SUBSTITUTE(SUBSTITUTE(SUBSTITUTE(SUBSTITUTE(SUBSTITUTE(SUBSTITUTE(SUBSTITUTE(SUBSTITUTE(SUBSTITUTE(SUBSTITUTE(SUBSTITUTE(SUBSTITUTE(SUBSTITUTE(SUBSTITUTE(UPPER(TRIM(A1432)),"[MEMBER]",""),"{MEMBER}",""),"[MEMBER}",""),"MEMBER]",""),"(A)",""),"""",""),"“",""),"”",""),".",""),":",""),",",""),"–"," "),"-"," "),"/"," "),"&amp;"," AND "))&amp;" "," THE "," ")," TOTAL "," ")," OPERATIONS "," "))</f>
        <v>REPUBLIC OF GUYANA</v>
      </c>
      <c r="O1432" s="17" t="str">
        <f aca="false">IF(COUNTIFS($N$2:$N$2000,N1432,$D$2:$D$2000,"&lt;&gt;"&amp;D1432)&gt;0,"CONFLICT","")</f>
        <v/>
      </c>
      <c r="P1432" s="7" t="s">
        <v>1936</v>
      </c>
    </row>
    <row r="1433" customFormat="false" ht="15" hidden="false" customHeight="false" outlineLevel="0" collapsed="false">
      <c r="A1433" s="7" t="s">
        <v>2607</v>
      </c>
      <c r="B1433" s="7" t="s">
        <v>1879</v>
      </c>
      <c r="C1433" s="7"/>
      <c r="D1433" s="6" t="s">
        <v>568</v>
      </c>
      <c r="E1433" s="6" t="s">
        <v>1880</v>
      </c>
      <c r="F1433" s="7" t="str">
        <f aca="false">IF($D1433="","",IFERROR(IF(INDEX(Hierarchy!$B$2:$B$1295,MATCH($D1433,Hierarchy!$A$2:$A$1295,0))="","",INDEX(Hierarchy!$B$2:$B$1295,MATCH($D1433,Hierarchy!$A$2:$A$1295,0))),"NODE NOT FOUND"))</f>
        <v>Country</v>
      </c>
      <c r="G1433" s="7" t="str">
        <f aca="false">IF($D1433="","",IFERROR(IF(INDEX(Hierarchy!$D$2:$D$1295,MATCH($D1433,Hierarchy!$A$2:$A$1295,0))="","",INDEX(Hierarchy!$D$2:$D$1295,MATCH($D1433,Hierarchy!$A$2:$A$1295,0))),"NODE NOT FOUND"))</f>
        <v>AMER</v>
      </c>
      <c r="H1433" s="7" t="str">
        <f aca="false">IF($D1433="","",IFERROR(IF(INDEX(Hierarchy!$E$2:$E$1295,MATCH($D1433,Hierarchy!$A$2:$A$1295,0))="","",INDEX(Hierarchy!$E$2:$E$1295,MATCH($D1433,Hierarchy!$A$2:$A$1295,0))),"NODE NOT FOUND"))</f>
        <v>Latin America (LATAM)</v>
      </c>
      <c r="I1433" s="7" t="str">
        <f aca="false">IF($D1433="","",IFERROR(IF(INDEX(Hierarchy!$F$2:$F$1295,MATCH($D1433,Hierarchy!$A$2:$A$1295,0))="","",INDEX(Hierarchy!$F$2:$F$1295,MATCH($D1433,Hierarchy!$A$2:$A$1295,0))),"NODE NOT FOUND"))</f>
        <v>Haiti</v>
      </c>
      <c r="J1433" s="7" t="str">
        <f aca="false">IF($D1433="","",IFERROR(IF(INDEX(Hierarchy!$G$2:$G$1295,MATCH($D1433,Hierarchy!$A$2:$A$1295,0))="","",INDEX(Hierarchy!$G$2:$G$1295,MATCH($D1433,Hierarchy!$A$2:$A$1295,0))),"NODE NOT FOUND"))</f>
        <v>HTI</v>
      </c>
      <c r="K1433" s="7" t="str">
        <f aca="false">IF($D1433="","",IFERROR(IF(INDEX(Hierarchy!$H$2:$H$1295,MATCH($D1433,Hierarchy!$A$2:$A$1295,0))="","",INDEX(Hierarchy!$H$2:$H$1295,MATCH($D1433,Hierarchy!$A$2:$A$1295,0))),"NODE NOT FOUND"))</f>
        <v/>
      </c>
      <c r="L1433" s="7" t="str">
        <f aca="false">IF($D1433="","",IFERROR(IF(INDEX(Hierarchy!$I$2:$I$1295,MATCH($D1433,Hierarchy!$A$2:$A$1295,0))="","",INDEX(Hierarchy!$I$2:$I$1295,MATCH($D1433,Hierarchy!$A$2:$A$1295,0))),"NODE NOT FOUND"))</f>
        <v/>
      </c>
      <c r="M1433" s="17" t="str">
        <f aca="false">IF(B1433="Pre-seeded","Pre-seeded",IF(B1433="Review 2026-09-16","Added from review",IF(C1433="","New",IF(C1433=D1433,"","Changed"))))</f>
        <v>Pre-seeded</v>
      </c>
      <c r="N1433" s="7" t="str">
        <f aca="false">TRIM(SUBSTITUTE(SUBSTITUTE(SUBSTITUTE(" "&amp;TRIM(SUBSTITUTE(SUBSTITUTE(SUBSTITUTE(SUBSTITUTE(SUBSTITUTE(SUBSTITUTE(SUBSTITUTE(SUBSTITUTE(SUBSTITUTE(SUBSTITUTE(SUBSTITUTE(SUBSTITUTE(SUBSTITUTE(SUBSTITUTE(SUBSTITUTE(UPPER(TRIM(A1433)),"[MEMBER]",""),"{MEMBER}",""),"[MEMBER}",""),"MEMBER]",""),"(A)",""),"""",""),"“",""),"”",""),".",""),":",""),",",""),"–"," "),"-"," "),"/"," "),"&amp;"," AND "))&amp;" "," THE "," ")," TOTAL "," ")," OPERATIONS "," "))</f>
        <v>REPUBLIC OF HAITI</v>
      </c>
      <c r="O1433" s="17" t="str">
        <f aca="false">IF(COUNTIFS($N$2:$N$2000,N1433,$D$2:$D$2000,"&lt;&gt;"&amp;D1433)&gt;0,"CONFLICT","")</f>
        <v/>
      </c>
      <c r="P1433" s="7" t="s">
        <v>1936</v>
      </c>
    </row>
    <row r="1434" customFormat="false" ht="15" hidden="false" customHeight="false" outlineLevel="0" collapsed="false">
      <c r="A1434" s="7" t="s">
        <v>2608</v>
      </c>
      <c r="B1434" s="7" t="s">
        <v>1879</v>
      </c>
      <c r="C1434" s="7"/>
      <c r="D1434" s="6" t="s">
        <v>571</v>
      </c>
      <c r="E1434" s="6" t="s">
        <v>1880</v>
      </c>
      <c r="F1434" s="7" t="str">
        <f aca="false">IF($D1434="","",IFERROR(IF(INDEX(Hierarchy!$B$2:$B$1295,MATCH($D1434,Hierarchy!$A$2:$A$1295,0))="","",INDEX(Hierarchy!$B$2:$B$1295,MATCH($D1434,Hierarchy!$A$2:$A$1295,0))),"NODE NOT FOUND"))</f>
        <v>Country</v>
      </c>
      <c r="G1434" s="7" t="str">
        <f aca="false">IF($D1434="","",IFERROR(IF(INDEX(Hierarchy!$D$2:$D$1295,MATCH($D1434,Hierarchy!$A$2:$A$1295,0))="","",INDEX(Hierarchy!$D$2:$D$1295,MATCH($D1434,Hierarchy!$A$2:$A$1295,0))),"NODE NOT FOUND"))</f>
        <v>AMER</v>
      </c>
      <c r="H1434" s="7" t="str">
        <f aca="false">IF($D1434="","",IFERROR(IF(INDEX(Hierarchy!$E$2:$E$1295,MATCH($D1434,Hierarchy!$A$2:$A$1295,0))="","",INDEX(Hierarchy!$E$2:$E$1295,MATCH($D1434,Hierarchy!$A$2:$A$1295,0))),"NODE NOT FOUND"))</f>
        <v>Latin America (LATAM)</v>
      </c>
      <c r="I1434" s="7" t="str">
        <f aca="false">IF($D1434="","",IFERROR(IF(INDEX(Hierarchy!$F$2:$F$1295,MATCH($D1434,Hierarchy!$A$2:$A$1295,0))="","",INDEX(Hierarchy!$F$2:$F$1295,MATCH($D1434,Hierarchy!$A$2:$A$1295,0))),"NODE NOT FOUND"))</f>
        <v>Honduras</v>
      </c>
      <c r="J1434" s="7" t="str">
        <f aca="false">IF($D1434="","",IFERROR(IF(INDEX(Hierarchy!$G$2:$G$1295,MATCH($D1434,Hierarchy!$A$2:$A$1295,0))="","",INDEX(Hierarchy!$G$2:$G$1295,MATCH($D1434,Hierarchy!$A$2:$A$1295,0))),"NODE NOT FOUND"))</f>
        <v>HND</v>
      </c>
      <c r="K1434" s="7" t="str">
        <f aca="false">IF($D1434="","",IFERROR(IF(INDEX(Hierarchy!$H$2:$H$1295,MATCH($D1434,Hierarchy!$A$2:$A$1295,0))="","",INDEX(Hierarchy!$H$2:$H$1295,MATCH($D1434,Hierarchy!$A$2:$A$1295,0))),"NODE NOT FOUND"))</f>
        <v/>
      </c>
      <c r="L1434" s="7" t="str">
        <f aca="false">IF($D1434="","",IFERROR(IF(INDEX(Hierarchy!$I$2:$I$1295,MATCH($D1434,Hierarchy!$A$2:$A$1295,0))="","",INDEX(Hierarchy!$I$2:$I$1295,MATCH($D1434,Hierarchy!$A$2:$A$1295,0))),"NODE NOT FOUND"))</f>
        <v/>
      </c>
      <c r="M1434" s="17" t="str">
        <f aca="false">IF(B1434="Pre-seeded","Pre-seeded",IF(B1434="Review 2026-09-16","Added from review",IF(C1434="","New",IF(C1434=D1434,"","Changed"))))</f>
        <v>Pre-seeded</v>
      </c>
      <c r="N1434" s="7" t="str">
        <f aca="false">TRIM(SUBSTITUTE(SUBSTITUTE(SUBSTITUTE(" "&amp;TRIM(SUBSTITUTE(SUBSTITUTE(SUBSTITUTE(SUBSTITUTE(SUBSTITUTE(SUBSTITUTE(SUBSTITUTE(SUBSTITUTE(SUBSTITUTE(SUBSTITUTE(SUBSTITUTE(SUBSTITUTE(SUBSTITUTE(SUBSTITUTE(SUBSTITUTE(UPPER(TRIM(A1434)),"[MEMBER]",""),"{MEMBER}",""),"[MEMBER}",""),"MEMBER]",""),"(A)",""),"""",""),"“",""),"”",""),".",""),":",""),",",""),"–"," "),"-"," "),"/"," "),"&amp;"," AND "))&amp;" "," THE "," ")," TOTAL "," ")," OPERATIONS "," "))</f>
        <v>REPUBLIC OF HONDURAS</v>
      </c>
      <c r="O1434" s="17" t="str">
        <f aca="false">IF(COUNTIFS($N$2:$N$2000,N1434,$D$2:$D$2000,"&lt;&gt;"&amp;D1434)&gt;0,"CONFLICT","")</f>
        <v/>
      </c>
      <c r="P1434" s="7" t="s">
        <v>1936</v>
      </c>
    </row>
    <row r="1435" customFormat="false" ht="15" hidden="false" customHeight="false" outlineLevel="0" collapsed="false">
      <c r="A1435" s="7" t="s">
        <v>2609</v>
      </c>
      <c r="B1435" s="7" t="s">
        <v>1879</v>
      </c>
      <c r="C1435" s="7"/>
      <c r="D1435" s="6" t="s">
        <v>816</v>
      </c>
      <c r="E1435" s="6" t="s">
        <v>1880</v>
      </c>
      <c r="F1435" s="7" t="str">
        <f aca="false">IF($D1435="","",IFERROR(IF(INDEX(Hierarchy!$B$2:$B$1295,MATCH($D1435,Hierarchy!$A$2:$A$1295,0))="","",INDEX(Hierarchy!$B$2:$B$1295,MATCH($D1435,Hierarchy!$A$2:$A$1295,0))),"NODE NOT FOUND"))</f>
        <v>Country</v>
      </c>
      <c r="G1435" s="7" t="str">
        <f aca="false">IF($D1435="","",IFERROR(IF(INDEX(Hierarchy!$D$2:$D$1295,MATCH($D1435,Hierarchy!$A$2:$A$1295,0))="","",INDEX(Hierarchy!$D$2:$D$1295,MATCH($D1435,Hierarchy!$A$2:$A$1295,0))),"NODE NOT FOUND"))</f>
        <v>EMEA</v>
      </c>
      <c r="H1435" s="7" t="str">
        <f aca="false">IF($D1435="","",IFERROR(IF(INDEX(Hierarchy!$E$2:$E$1295,MATCH($D1435,Hierarchy!$A$2:$A$1295,0))="","",INDEX(Hierarchy!$E$2:$E$1295,MATCH($D1435,Hierarchy!$A$2:$A$1295,0))),"NODE NOT FOUND"))</f>
        <v>Europe</v>
      </c>
      <c r="I1435" s="7" t="str">
        <f aca="false">IF($D1435="","",IFERROR(IF(INDEX(Hierarchy!$F$2:$F$1295,MATCH($D1435,Hierarchy!$A$2:$A$1295,0))="","",INDEX(Hierarchy!$F$2:$F$1295,MATCH($D1435,Hierarchy!$A$2:$A$1295,0))),"NODE NOT FOUND"))</f>
        <v>Iceland</v>
      </c>
      <c r="J1435" s="7" t="str">
        <f aca="false">IF($D1435="","",IFERROR(IF(INDEX(Hierarchy!$G$2:$G$1295,MATCH($D1435,Hierarchy!$A$2:$A$1295,0))="","",INDEX(Hierarchy!$G$2:$G$1295,MATCH($D1435,Hierarchy!$A$2:$A$1295,0))),"NODE NOT FOUND"))</f>
        <v>ISL</v>
      </c>
      <c r="K1435" s="7" t="str">
        <f aca="false">IF($D1435="","",IFERROR(IF(INDEX(Hierarchy!$H$2:$H$1295,MATCH($D1435,Hierarchy!$A$2:$A$1295,0))="","",INDEX(Hierarchy!$H$2:$H$1295,MATCH($D1435,Hierarchy!$A$2:$A$1295,0))),"NODE NOT FOUND"))</f>
        <v/>
      </c>
      <c r="L1435" s="7" t="str">
        <f aca="false">IF($D1435="","",IFERROR(IF(INDEX(Hierarchy!$I$2:$I$1295,MATCH($D1435,Hierarchy!$A$2:$A$1295,0))="","",INDEX(Hierarchy!$I$2:$I$1295,MATCH($D1435,Hierarchy!$A$2:$A$1295,0))),"NODE NOT FOUND"))</f>
        <v/>
      </c>
      <c r="M1435" s="17" t="str">
        <f aca="false">IF(B1435="Pre-seeded","Pre-seeded",IF(B1435="Review 2026-09-16","Added from review",IF(C1435="","New",IF(C1435=D1435,"","Changed"))))</f>
        <v>Pre-seeded</v>
      </c>
      <c r="N1435" s="7" t="str">
        <f aca="false">TRIM(SUBSTITUTE(SUBSTITUTE(SUBSTITUTE(" "&amp;TRIM(SUBSTITUTE(SUBSTITUTE(SUBSTITUTE(SUBSTITUTE(SUBSTITUTE(SUBSTITUTE(SUBSTITUTE(SUBSTITUTE(SUBSTITUTE(SUBSTITUTE(SUBSTITUTE(SUBSTITUTE(SUBSTITUTE(SUBSTITUTE(SUBSTITUTE(UPPER(TRIM(A1435)),"[MEMBER]",""),"{MEMBER}",""),"[MEMBER}",""),"MEMBER]",""),"(A)",""),"""",""),"“",""),"”",""),".",""),":",""),",",""),"–"," "),"-"," "),"/"," "),"&amp;"," AND "))&amp;" "," THE "," ")," TOTAL "," ")," OPERATIONS "," "))</f>
        <v>REPUBLIC OF ICELAND</v>
      </c>
      <c r="O1435" s="17" t="str">
        <f aca="false">IF(COUNTIFS($N$2:$N$2000,N1435,$D$2:$D$2000,"&lt;&gt;"&amp;D1435)&gt;0,"CONFLICT","")</f>
        <v/>
      </c>
      <c r="P1435" s="7" t="s">
        <v>1936</v>
      </c>
    </row>
    <row r="1436" customFormat="false" ht="15" hidden="false" customHeight="false" outlineLevel="0" collapsed="false">
      <c r="A1436" s="7" t="s">
        <v>2610</v>
      </c>
      <c r="B1436" s="7" t="s">
        <v>1879</v>
      </c>
      <c r="C1436" s="7"/>
      <c r="D1436" s="6" t="s">
        <v>1316</v>
      </c>
      <c r="E1436" s="6" t="s">
        <v>1880</v>
      </c>
      <c r="F1436" s="7" t="str">
        <f aca="false">IF($D1436="","",IFERROR(IF(INDEX(Hierarchy!$B$2:$B$1295,MATCH($D1436,Hierarchy!$A$2:$A$1295,0))="","",INDEX(Hierarchy!$B$2:$B$1295,MATCH($D1436,Hierarchy!$A$2:$A$1295,0))),"NODE NOT FOUND"))</f>
        <v>Country</v>
      </c>
      <c r="G1436" s="7" t="str">
        <f aca="false">IF($D1436="","",IFERROR(IF(INDEX(Hierarchy!$D$2:$D$1295,MATCH($D1436,Hierarchy!$A$2:$A$1295,0))="","",INDEX(Hierarchy!$D$2:$D$1295,MATCH($D1436,Hierarchy!$A$2:$A$1295,0))),"NODE NOT FOUND"))</f>
        <v>APAC</v>
      </c>
      <c r="H1436" s="7" t="str">
        <f aca="false">IF($D1436="","",IFERROR(IF(INDEX(Hierarchy!$E$2:$E$1295,MATCH($D1436,Hierarchy!$A$2:$A$1295,0))="","",INDEX(Hierarchy!$E$2:$E$1295,MATCH($D1436,Hierarchy!$A$2:$A$1295,0))),"NODE NOT FOUND"))</f>
        <v>South Asia</v>
      </c>
      <c r="I1436" s="7" t="str">
        <f aca="false">IF($D1436="","",IFERROR(IF(INDEX(Hierarchy!$F$2:$F$1295,MATCH($D1436,Hierarchy!$A$2:$A$1295,0))="","",INDEX(Hierarchy!$F$2:$F$1295,MATCH($D1436,Hierarchy!$A$2:$A$1295,0))),"NODE NOT FOUND"))</f>
        <v>India</v>
      </c>
      <c r="J1436" s="7" t="str">
        <f aca="false">IF($D1436="","",IFERROR(IF(INDEX(Hierarchy!$G$2:$G$1295,MATCH($D1436,Hierarchy!$A$2:$A$1295,0))="","",INDEX(Hierarchy!$G$2:$G$1295,MATCH($D1436,Hierarchy!$A$2:$A$1295,0))),"NODE NOT FOUND"))</f>
        <v>IND</v>
      </c>
      <c r="K1436" s="7" t="str">
        <f aca="false">IF($D1436="","",IFERROR(IF(INDEX(Hierarchy!$H$2:$H$1295,MATCH($D1436,Hierarchy!$A$2:$A$1295,0))="","",INDEX(Hierarchy!$H$2:$H$1295,MATCH($D1436,Hierarchy!$A$2:$A$1295,0))),"NODE NOT FOUND"))</f>
        <v/>
      </c>
      <c r="L1436" s="7" t="str">
        <f aca="false">IF($D1436="","",IFERROR(IF(INDEX(Hierarchy!$I$2:$I$1295,MATCH($D1436,Hierarchy!$A$2:$A$1295,0))="","",INDEX(Hierarchy!$I$2:$I$1295,MATCH($D1436,Hierarchy!$A$2:$A$1295,0))),"NODE NOT FOUND"))</f>
        <v/>
      </c>
      <c r="M1436" s="17" t="str">
        <f aca="false">IF(B1436="Pre-seeded","Pre-seeded",IF(B1436="Review 2026-09-16","Added from review",IF(C1436="","New",IF(C1436=D1436,"","Changed"))))</f>
        <v>Pre-seeded</v>
      </c>
      <c r="N1436" s="7" t="str">
        <f aca="false">TRIM(SUBSTITUTE(SUBSTITUTE(SUBSTITUTE(" "&amp;TRIM(SUBSTITUTE(SUBSTITUTE(SUBSTITUTE(SUBSTITUTE(SUBSTITUTE(SUBSTITUTE(SUBSTITUTE(SUBSTITUTE(SUBSTITUTE(SUBSTITUTE(SUBSTITUTE(SUBSTITUTE(SUBSTITUTE(SUBSTITUTE(SUBSTITUTE(UPPER(TRIM(A1436)),"[MEMBER]",""),"{MEMBER}",""),"[MEMBER}",""),"MEMBER]",""),"(A)",""),"""",""),"“",""),"”",""),".",""),":",""),",",""),"–"," "),"-"," "),"/"," "),"&amp;"," AND "))&amp;" "," THE "," ")," TOTAL "," ")," OPERATIONS "," "))</f>
        <v>REPUBLIC OF INDIA</v>
      </c>
      <c r="O1436" s="17" t="str">
        <f aca="false">IF(COUNTIFS($N$2:$N$2000,N1436,$D$2:$D$2000,"&lt;&gt;"&amp;D1436)&gt;0,"CONFLICT","")</f>
        <v/>
      </c>
      <c r="P1436" s="7" t="s">
        <v>1936</v>
      </c>
    </row>
    <row r="1437" customFormat="false" ht="15" hidden="false" customHeight="false" outlineLevel="0" collapsed="false">
      <c r="A1437" s="7" t="s">
        <v>2611</v>
      </c>
      <c r="B1437" s="7" t="s">
        <v>1879</v>
      </c>
      <c r="C1437" s="7"/>
      <c r="D1437" s="6" t="s">
        <v>1588</v>
      </c>
      <c r="E1437" s="6" t="s">
        <v>1880</v>
      </c>
      <c r="F1437" s="7" t="str">
        <f aca="false">IF($D1437="","",IFERROR(IF(INDEX(Hierarchy!$B$2:$B$1295,MATCH($D1437,Hierarchy!$A$2:$A$1295,0))="","",INDEX(Hierarchy!$B$2:$B$1295,MATCH($D1437,Hierarchy!$A$2:$A$1295,0))),"NODE NOT FOUND"))</f>
        <v>Country</v>
      </c>
      <c r="G1437" s="7" t="str">
        <f aca="false">IF($D1437="","",IFERROR(IF(INDEX(Hierarchy!$D$2:$D$1295,MATCH($D1437,Hierarchy!$A$2:$A$1295,0))="","",INDEX(Hierarchy!$D$2:$D$1295,MATCH($D1437,Hierarchy!$A$2:$A$1295,0))),"NODE NOT FOUND"))</f>
        <v>APAC</v>
      </c>
      <c r="H1437" s="7" t="str">
        <f aca="false">IF($D1437="","",IFERROR(IF(INDEX(Hierarchy!$E$2:$E$1295,MATCH($D1437,Hierarchy!$A$2:$A$1295,0))="","",INDEX(Hierarchy!$E$2:$E$1295,MATCH($D1437,Hierarchy!$A$2:$A$1295,0))),"NODE NOT FOUND"))</f>
        <v>Southeast Asia (ASEAN)</v>
      </c>
      <c r="I1437" s="7" t="str">
        <f aca="false">IF($D1437="","",IFERROR(IF(INDEX(Hierarchy!$F$2:$F$1295,MATCH($D1437,Hierarchy!$A$2:$A$1295,0))="","",INDEX(Hierarchy!$F$2:$F$1295,MATCH($D1437,Hierarchy!$A$2:$A$1295,0))),"NODE NOT FOUND"))</f>
        <v>Indonesia</v>
      </c>
      <c r="J1437" s="7" t="str">
        <f aca="false">IF($D1437="","",IFERROR(IF(INDEX(Hierarchy!$G$2:$G$1295,MATCH($D1437,Hierarchy!$A$2:$A$1295,0))="","",INDEX(Hierarchy!$G$2:$G$1295,MATCH($D1437,Hierarchy!$A$2:$A$1295,0))),"NODE NOT FOUND"))</f>
        <v>IDN</v>
      </c>
      <c r="K1437" s="7" t="str">
        <f aca="false">IF($D1437="","",IFERROR(IF(INDEX(Hierarchy!$H$2:$H$1295,MATCH($D1437,Hierarchy!$A$2:$A$1295,0))="","",INDEX(Hierarchy!$H$2:$H$1295,MATCH($D1437,Hierarchy!$A$2:$A$1295,0))),"NODE NOT FOUND"))</f>
        <v/>
      </c>
      <c r="L1437" s="7" t="str">
        <f aca="false">IF($D1437="","",IFERROR(IF(INDEX(Hierarchy!$I$2:$I$1295,MATCH($D1437,Hierarchy!$A$2:$A$1295,0))="","",INDEX(Hierarchy!$I$2:$I$1295,MATCH($D1437,Hierarchy!$A$2:$A$1295,0))),"NODE NOT FOUND"))</f>
        <v/>
      </c>
      <c r="M1437" s="17" t="str">
        <f aca="false">IF(B1437="Pre-seeded","Pre-seeded",IF(B1437="Review 2026-09-16","Added from review",IF(C1437="","New",IF(C1437=D1437,"","Changed"))))</f>
        <v>Pre-seeded</v>
      </c>
      <c r="N1437" s="7" t="str">
        <f aca="false">TRIM(SUBSTITUTE(SUBSTITUTE(SUBSTITUTE(" "&amp;TRIM(SUBSTITUTE(SUBSTITUTE(SUBSTITUTE(SUBSTITUTE(SUBSTITUTE(SUBSTITUTE(SUBSTITUTE(SUBSTITUTE(SUBSTITUTE(SUBSTITUTE(SUBSTITUTE(SUBSTITUTE(SUBSTITUTE(SUBSTITUTE(SUBSTITUTE(UPPER(TRIM(A1437)),"[MEMBER]",""),"{MEMBER}",""),"[MEMBER}",""),"MEMBER]",""),"(A)",""),"""",""),"“",""),"”",""),".",""),":",""),",",""),"–"," "),"-"," "),"/"," "),"&amp;"," AND "))&amp;" "," THE "," ")," TOTAL "," ")," OPERATIONS "," "))</f>
        <v>REPUBLIC OF INDONESIA</v>
      </c>
      <c r="O1437" s="17" t="str">
        <f aca="false">IF(COUNTIFS($N$2:$N$2000,N1437,$D$2:$D$2000,"&lt;&gt;"&amp;D1437)&gt;0,"CONFLICT","")</f>
        <v/>
      </c>
      <c r="P1437" s="7" t="s">
        <v>1936</v>
      </c>
    </row>
    <row r="1438" customFormat="false" ht="15" hidden="false" customHeight="false" outlineLevel="0" collapsed="false">
      <c r="A1438" s="7" t="s">
        <v>2612</v>
      </c>
      <c r="B1438" s="7" t="s">
        <v>1879</v>
      </c>
      <c r="C1438" s="7"/>
      <c r="D1438" s="6" t="s">
        <v>1069</v>
      </c>
      <c r="E1438" s="6" t="s">
        <v>1880</v>
      </c>
      <c r="F1438" s="7" t="str">
        <f aca="false">IF($D1438="","",IFERROR(IF(INDEX(Hierarchy!$B$2:$B$1295,MATCH($D1438,Hierarchy!$A$2:$A$1295,0))="","",INDEX(Hierarchy!$B$2:$B$1295,MATCH($D1438,Hierarchy!$A$2:$A$1295,0))),"NODE NOT FOUND"))</f>
        <v>Country</v>
      </c>
      <c r="G1438" s="7" t="str">
        <f aca="false">IF($D1438="","",IFERROR(IF(INDEX(Hierarchy!$D$2:$D$1295,MATCH($D1438,Hierarchy!$A$2:$A$1295,0))="","",INDEX(Hierarchy!$D$2:$D$1295,MATCH($D1438,Hierarchy!$A$2:$A$1295,0))),"NODE NOT FOUND"))</f>
        <v>EMEA</v>
      </c>
      <c r="H1438" s="7" t="str">
        <f aca="false">IF($D1438="","",IFERROR(IF(INDEX(Hierarchy!$E$2:$E$1295,MATCH($D1438,Hierarchy!$A$2:$A$1295,0))="","",INDEX(Hierarchy!$E$2:$E$1295,MATCH($D1438,Hierarchy!$A$2:$A$1295,0))),"NODE NOT FOUND"))</f>
        <v>Middle East</v>
      </c>
      <c r="I1438" s="7" t="str">
        <f aca="false">IF($D1438="","",IFERROR(IF(INDEX(Hierarchy!$F$2:$F$1295,MATCH($D1438,Hierarchy!$A$2:$A$1295,0))="","",INDEX(Hierarchy!$F$2:$F$1295,MATCH($D1438,Hierarchy!$A$2:$A$1295,0))),"NODE NOT FOUND"))</f>
        <v>Iraq</v>
      </c>
      <c r="J1438" s="7" t="str">
        <f aca="false">IF($D1438="","",IFERROR(IF(INDEX(Hierarchy!$G$2:$G$1295,MATCH($D1438,Hierarchy!$A$2:$A$1295,0))="","",INDEX(Hierarchy!$G$2:$G$1295,MATCH($D1438,Hierarchy!$A$2:$A$1295,0))),"NODE NOT FOUND"))</f>
        <v>IRQ</v>
      </c>
      <c r="K1438" s="7" t="str">
        <f aca="false">IF($D1438="","",IFERROR(IF(INDEX(Hierarchy!$H$2:$H$1295,MATCH($D1438,Hierarchy!$A$2:$A$1295,0))="","",INDEX(Hierarchy!$H$2:$H$1295,MATCH($D1438,Hierarchy!$A$2:$A$1295,0))),"NODE NOT FOUND"))</f>
        <v/>
      </c>
      <c r="L1438" s="7" t="str">
        <f aca="false">IF($D1438="","",IFERROR(IF(INDEX(Hierarchy!$I$2:$I$1295,MATCH($D1438,Hierarchy!$A$2:$A$1295,0))="","",INDEX(Hierarchy!$I$2:$I$1295,MATCH($D1438,Hierarchy!$A$2:$A$1295,0))),"NODE NOT FOUND"))</f>
        <v/>
      </c>
      <c r="M1438" s="17" t="str">
        <f aca="false">IF(B1438="Pre-seeded","Pre-seeded",IF(B1438="Review 2026-09-16","Added from review",IF(C1438="","New",IF(C1438=D1438,"","Changed"))))</f>
        <v>Pre-seeded</v>
      </c>
      <c r="N1438" s="7" t="str">
        <f aca="false">TRIM(SUBSTITUTE(SUBSTITUTE(SUBSTITUTE(" "&amp;TRIM(SUBSTITUTE(SUBSTITUTE(SUBSTITUTE(SUBSTITUTE(SUBSTITUTE(SUBSTITUTE(SUBSTITUTE(SUBSTITUTE(SUBSTITUTE(SUBSTITUTE(SUBSTITUTE(SUBSTITUTE(SUBSTITUTE(SUBSTITUTE(SUBSTITUTE(UPPER(TRIM(A1438)),"[MEMBER]",""),"{MEMBER}",""),"[MEMBER}",""),"MEMBER]",""),"(A)",""),"""",""),"“",""),"”",""),".",""),":",""),",",""),"–"," "),"-"," "),"/"," "),"&amp;"," AND "))&amp;" "," THE "," ")," TOTAL "," ")," OPERATIONS "," "))</f>
        <v>REPUBLIC OF IRAQ</v>
      </c>
      <c r="O1438" s="17" t="str">
        <f aca="false">IF(COUNTIFS($N$2:$N$2000,N1438,$D$2:$D$2000,"&lt;&gt;"&amp;D1438)&gt;0,"CONFLICT","")</f>
        <v/>
      </c>
      <c r="P1438" s="7" t="s">
        <v>1936</v>
      </c>
    </row>
    <row r="1439" customFormat="false" ht="15" hidden="false" customHeight="false" outlineLevel="0" collapsed="false">
      <c r="A1439" s="7" t="s">
        <v>2613</v>
      </c>
      <c r="B1439" s="7" t="s">
        <v>1879</v>
      </c>
      <c r="C1439" s="7"/>
      <c r="D1439" s="6" t="s">
        <v>819</v>
      </c>
      <c r="E1439" s="6" t="s">
        <v>1880</v>
      </c>
      <c r="F1439" s="7" t="str">
        <f aca="false">IF($D1439="","",IFERROR(IF(INDEX(Hierarchy!$B$2:$B$1295,MATCH($D1439,Hierarchy!$A$2:$A$1295,0))="","",INDEX(Hierarchy!$B$2:$B$1295,MATCH($D1439,Hierarchy!$A$2:$A$1295,0))),"NODE NOT FOUND"))</f>
        <v>Country</v>
      </c>
      <c r="G1439" s="7" t="str">
        <f aca="false">IF($D1439="","",IFERROR(IF(INDEX(Hierarchy!$D$2:$D$1295,MATCH($D1439,Hierarchy!$A$2:$A$1295,0))="","",INDEX(Hierarchy!$D$2:$D$1295,MATCH($D1439,Hierarchy!$A$2:$A$1295,0))),"NODE NOT FOUND"))</f>
        <v>EMEA</v>
      </c>
      <c r="H1439" s="7" t="str">
        <f aca="false">IF($D1439="","",IFERROR(IF(INDEX(Hierarchy!$E$2:$E$1295,MATCH($D1439,Hierarchy!$A$2:$A$1295,0))="","",INDEX(Hierarchy!$E$2:$E$1295,MATCH($D1439,Hierarchy!$A$2:$A$1295,0))),"NODE NOT FOUND"))</f>
        <v>Europe</v>
      </c>
      <c r="I1439" s="7" t="str">
        <f aca="false">IF($D1439="","",IFERROR(IF(INDEX(Hierarchy!$F$2:$F$1295,MATCH($D1439,Hierarchy!$A$2:$A$1295,0))="","",INDEX(Hierarchy!$F$2:$F$1295,MATCH($D1439,Hierarchy!$A$2:$A$1295,0))),"NODE NOT FOUND"))</f>
        <v>Ireland</v>
      </c>
      <c r="J1439" s="7" t="str">
        <f aca="false">IF($D1439="","",IFERROR(IF(INDEX(Hierarchy!$G$2:$G$1295,MATCH($D1439,Hierarchy!$A$2:$A$1295,0))="","",INDEX(Hierarchy!$G$2:$G$1295,MATCH($D1439,Hierarchy!$A$2:$A$1295,0))),"NODE NOT FOUND"))</f>
        <v>IRL</v>
      </c>
      <c r="K1439" s="7" t="str">
        <f aca="false">IF($D1439="","",IFERROR(IF(INDEX(Hierarchy!$H$2:$H$1295,MATCH($D1439,Hierarchy!$A$2:$A$1295,0))="","",INDEX(Hierarchy!$H$2:$H$1295,MATCH($D1439,Hierarchy!$A$2:$A$1295,0))),"NODE NOT FOUND"))</f>
        <v/>
      </c>
      <c r="L1439" s="7" t="str">
        <f aca="false">IF($D1439="","",IFERROR(IF(INDEX(Hierarchy!$I$2:$I$1295,MATCH($D1439,Hierarchy!$A$2:$A$1295,0))="","",INDEX(Hierarchy!$I$2:$I$1295,MATCH($D1439,Hierarchy!$A$2:$A$1295,0))),"NODE NOT FOUND"))</f>
        <v/>
      </c>
      <c r="M1439" s="17" t="str">
        <f aca="false">IF(B1439="Pre-seeded","Pre-seeded",IF(B1439="Review 2026-09-16","Added from review",IF(C1439="","New",IF(C1439=D1439,"","Changed"))))</f>
        <v>Pre-seeded</v>
      </c>
      <c r="N1439" s="7" t="str">
        <f aca="false">TRIM(SUBSTITUTE(SUBSTITUTE(SUBSTITUTE(" "&amp;TRIM(SUBSTITUTE(SUBSTITUTE(SUBSTITUTE(SUBSTITUTE(SUBSTITUTE(SUBSTITUTE(SUBSTITUTE(SUBSTITUTE(SUBSTITUTE(SUBSTITUTE(SUBSTITUTE(SUBSTITUTE(SUBSTITUTE(SUBSTITUTE(SUBSTITUTE(UPPER(TRIM(A1439)),"[MEMBER]",""),"{MEMBER}",""),"[MEMBER}",""),"MEMBER]",""),"(A)",""),"""",""),"“",""),"”",""),".",""),":",""),",",""),"–"," "),"-"," "),"/"," "),"&amp;"," AND "))&amp;" "," THE "," ")," TOTAL "," ")," OPERATIONS "," "))</f>
        <v>REPUBLIC OF IRELAND</v>
      </c>
      <c r="O1439" s="17" t="str">
        <f aca="false">IF(COUNTIFS($N$2:$N$2000,N1439,$D$2:$D$2000,"&lt;&gt;"&amp;D1439)&gt;0,"CONFLICT","")</f>
        <v/>
      </c>
      <c r="P1439" s="7"/>
    </row>
    <row r="1440" customFormat="false" ht="15" hidden="false" customHeight="false" outlineLevel="0" collapsed="false">
      <c r="A1440" s="7" t="s">
        <v>2614</v>
      </c>
      <c r="B1440" s="7" t="s">
        <v>1879</v>
      </c>
      <c r="C1440" s="7"/>
      <c r="D1440" s="6" t="s">
        <v>856</v>
      </c>
      <c r="E1440" s="6" t="s">
        <v>1880</v>
      </c>
      <c r="F1440" s="7" t="str">
        <f aca="false">IF($D1440="","",IFERROR(IF(INDEX(Hierarchy!$B$2:$B$1295,MATCH($D1440,Hierarchy!$A$2:$A$1295,0))="","",INDEX(Hierarchy!$B$2:$B$1295,MATCH($D1440,Hierarchy!$A$2:$A$1295,0))),"NODE NOT FOUND"))</f>
        <v>Country</v>
      </c>
      <c r="G1440" s="7" t="str">
        <f aca="false">IF($D1440="","",IFERROR(IF(INDEX(Hierarchy!$D$2:$D$1295,MATCH($D1440,Hierarchy!$A$2:$A$1295,0))="","",INDEX(Hierarchy!$D$2:$D$1295,MATCH($D1440,Hierarchy!$A$2:$A$1295,0))),"NODE NOT FOUND"))</f>
        <v>EMEA</v>
      </c>
      <c r="H1440" s="7" t="str">
        <f aca="false">IF($D1440="","",IFERROR(IF(INDEX(Hierarchy!$E$2:$E$1295,MATCH($D1440,Hierarchy!$A$2:$A$1295,0))="","",INDEX(Hierarchy!$E$2:$E$1295,MATCH($D1440,Hierarchy!$A$2:$A$1295,0))),"NODE NOT FOUND"))</f>
        <v>Europe</v>
      </c>
      <c r="I1440" s="7" t="str">
        <f aca="false">IF($D1440="","",IFERROR(IF(INDEX(Hierarchy!$F$2:$F$1295,MATCH($D1440,Hierarchy!$A$2:$A$1295,0))="","",INDEX(Hierarchy!$F$2:$F$1295,MATCH($D1440,Hierarchy!$A$2:$A$1295,0))),"NODE NOT FOUND"))</f>
        <v>Kazakhstan</v>
      </c>
      <c r="J1440" s="7" t="str">
        <f aca="false">IF($D1440="","",IFERROR(IF(INDEX(Hierarchy!$G$2:$G$1295,MATCH($D1440,Hierarchy!$A$2:$A$1295,0))="","",INDEX(Hierarchy!$G$2:$G$1295,MATCH($D1440,Hierarchy!$A$2:$A$1295,0))),"NODE NOT FOUND"))</f>
        <v>KAZ</v>
      </c>
      <c r="K1440" s="7" t="str">
        <f aca="false">IF($D1440="","",IFERROR(IF(INDEX(Hierarchy!$H$2:$H$1295,MATCH($D1440,Hierarchy!$A$2:$A$1295,0))="","",INDEX(Hierarchy!$H$2:$H$1295,MATCH($D1440,Hierarchy!$A$2:$A$1295,0))),"NODE NOT FOUND"))</f>
        <v/>
      </c>
      <c r="L1440" s="7" t="str">
        <f aca="false">IF($D1440="","",IFERROR(IF(INDEX(Hierarchy!$I$2:$I$1295,MATCH($D1440,Hierarchy!$A$2:$A$1295,0))="","",INDEX(Hierarchy!$I$2:$I$1295,MATCH($D1440,Hierarchy!$A$2:$A$1295,0))),"NODE NOT FOUND"))</f>
        <v/>
      </c>
      <c r="M1440" s="17" t="str">
        <f aca="false">IF(B1440="Pre-seeded","Pre-seeded",IF(B1440="Review 2026-09-16","Added from review",IF(C1440="","New",IF(C1440=D1440,"","Changed"))))</f>
        <v>Pre-seeded</v>
      </c>
      <c r="N1440" s="7" t="str">
        <f aca="false">TRIM(SUBSTITUTE(SUBSTITUTE(SUBSTITUTE(" "&amp;TRIM(SUBSTITUTE(SUBSTITUTE(SUBSTITUTE(SUBSTITUTE(SUBSTITUTE(SUBSTITUTE(SUBSTITUTE(SUBSTITUTE(SUBSTITUTE(SUBSTITUTE(SUBSTITUTE(SUBSTITUTE(SUBSTITUTE(SUBSTITUTE(SUBSTITUTE(UPPER(TRIM(A1440)),"[MEMBER]",""),"{MEMBER}",""),"[MEMBER}",""),"MEMBER]",""),"(A)",""),"""",""),"“",""),"”",""),".",""),":",""),",",""),"–"," "),"-"," "),"/"," "),"&amp;"," AND "))&amp;" "," THE "," ")," TOTAL "," ")," OPERATIONS "," "))</f>
        <v>REPUBLIC OF KAZAKHSTAN</v>
      </c>
      <c r="O1440" s="17" t="str">
        <f aca="false">IF(COUNTIFS($N$2:$N$2000,N1440,$D$2:$D$2000,"&lt;&gt;"&amp;D1440)&gt;0,"CONFLICT","")</f>
        <v/>
      </c>
      <c r="P1440" s="7" t="s">
        <v>1936</v>
      </c>
    </row>
    <row r="1441" customFormat="false" ht="15" hidden="false" customHeight="false" outlineLevel="0" collapsed="false">
      <c r="A1441" s="7" t="s">
        <v>2615</v>
      </c>
      <c r="B1441" s="7" t="s">
        <v>1879</v>
      </c>
      <c r="C1441" s="7"/>
      <c r="D1441" s="6" t="s">
        <v>1237</v>
      </c>
      <c r="E1441" s="6" t="s">
        <v>1880</v>
      </c>
      <c r="F1441" s="7" t="str">
        <f aca="false">IF($D1441="","",IFERROR(IF(INDEX(Hierarchy!$B$2:$B$1295,MATCH($D1441,Hierarchy!$A$2:$A$1295,0))="","",INDEX(Hierarchy!$B$2:$B$1295,MATCH($D1441,Hierarchy!$A$2:$A$1295,0))),"NODE NOT FOUND"))</f>
        <v>Country</v>
      </c>
      <c r="G1441" s="7" t="str">
        <f aca="false">IF($D1441="","",IFERROR(IF(INDEX(Hierarchy!$D$2:$D$1295,MATCH($D1441,Hierarchy!$A$2:$A$1295,0))="","",INDEX(Hierarchy!$D$2:$D$1295,MATCH($D1441,Hierarchy!$A$2:$A$1295,0))),"NODE NOT FOUND"))</f>
        <v>EMEA</v>
      </c>
      <c r="H1441" s="7" t="str">
        <f aca="false">IF($D1441="","",IFERROR(IF(INDEX(Hierarchy!$E$2:$E$1295,MATCH($D1441,Hierarchy!$A$2:$A$1295,0))="","",INDEX(Hierarchy!$E$2:$E$1295,MATCH($D1441,Hierarchy!$A$2:$A$1295,0))),"NODE NOT FOUND"))</f>
        <v>Africa</v>
      </c>
      <c r="I1441" s="7" t="str">
        <f aca="false">IF($D1441="","",IFERROR(IF(INDEX(Hierarchy!$F$2:$F$1295,MATCH($D1441,Hierarchy!$A$2:$A$1295,0))="","",INDEX(Hierarchy!$F$2:$F$1295,MATCH($D1441,Hierarchy!$A$2:$A$1295,0))),"NODE NOT FOUND"))</f>
        <v>Kenya</v>
      </c>
      <c r="J1441" s="7" t="str">
        <f aca="false">IF($D1441="","",IFERROR(IF(INDEX(Hierarchy!$G$2:$G$1295,MATCH($D1441,Hierarchy!$A$2:$A$1295,0))="","",INDEX(Hierarchy!$G$2:$G$1295,MATCH($D1441,Hierarchy!$A$2:$A$1295,0))),"NODE NOT FOUND"))</f>
        <v>KEN</v>
      </c>
      <c r="K1441" s="7" t="str">
        <f aca="false">IF($D1441="","",IFERROR(IF(INDEX(Hierarchy!$H$2:$H$1295,MATCH($D1441,Hierarchy!$A$2:$A$1295,0))="","",INDEX(Hierarchy!$H$2:$H$1295,MATCH($D1441,Hierarchy!$A$2:$A$1295,0))),"NODE NOT FOUND"))</f>
        <v/>
      </c>
      <c r="L1441" s="7" t="str">
        <f aca="false">IF($D1441="","",IFERROR(IF(INDEX(Hierarchy!$I$2:$I$1295,MATCH($D1441,Hierarchy!$A$2:$A$1295,0))="","",INDEX(Hierarchy!$I$2:$I$1295,MATCH($D1441,Hierarchy!$A$2:$A$1295,0))),"NODE NOT FOUND"))</f>
        <v/>
      </c>
      <c r="M1441" s="17" t="str">
        <f aca="false">IF(B1441="Pre-seeded","Pre-seeded",IF(B1441="Review 2026-09-16","Added from review",IF(C1441="","New",IF(C1441=D1441,"","Changed"))))</f>
        <v>Pre-seeded</v>
      </c>
      <c r="N1441" s="7" t="str">
        <f aca="false">TRIM(SUBSTITUTE(SUBSTITUTE(SUBSTITUTE(" "&amp;TRIM(SUBSTITUTE(SUBSTITUTE(SUBSTITUTE(SUBSTITUTE(SUBSTITUTE(SUBSTITUTE(SUBSTITUTE(SUBSTITUTE(SUBSTITUTE(SUBSTITUTE(SUBSTITUTE(SUBSTITUTE(SUBSTITUTE(SUBSTITUTE(SUBSTITUTE(UPPER(TRIM(A1441)),"[MEMBER]",""),"{MEMBER}",""),"[MEMBER}",""),"MEMBER]",""),"(A)",""),"""",""),"“",""),"”",""),".",""),":",""),",",""),"–"," "),"-"," "),"/"," "),"&amp;"," AND "))&amp;" "," THE "," ")," TOTAL "," ")," OPERATIONS "," "))</f>
        <v>REPUBLIC OF KENYA</v>
      </c>
      <c r="O1441" s="17" t="str">
        <f aca="false">IF(COUNTIFS($N$2:$N$2000,N1441,$D$2:$D$2000,"&lt;&gt;"&amp;D1441)&gt;0,"CONFLICT","")</f>
        <v/>
      </c>
      <c r="P1441" s="7" t="s">
        <v>1936</v>
      </c>
    </row>
    <row r="1442" customFormat="false" ht="15" hidden="false" customHeight="false" outlineLevel="0" collapsed="false">
      <c r="A1442" s="7" t="s">
        <v>2616</v>
      </c>
      <c r="B1442" s="7" t="s">
        <v>1879</v>
      </c>
      <c r="C1442" s="7"/>
      <c r="D1442" s="6" t="s">
        <v>1749</v>
      </c>
      <c r="E1442" s="6" t="s">
        <v>1880</v>
      </c>
      <c r="F1442" s="7" t="str">
        <f aca="false">IF($D1442="","",IFERROR(IF(INDEX(Hierarchy!$B$2:$B$1295,MATCH($D1442,Hierarchy!$A$2:$A$1295,0))="","",INDEX(Hierarchy!$B$2:$B$1295,MATCH($D1442,Hierarchy!$A$2:$A$1295,0))),"NODE NOT FOUND"))</f>
        <v>Country</v>
      </c>
      <c r="G1442" s="7" t="str">
        <f aca="false">IF($D1442="","",IFERROR(IF(INDEX(Hierarchy!$D$2:$D$1295,MATCH($D1442,Hierarchy!$A$2:$A$1295,0))="","",INDEX(Hierarchy!$D$2:$D$1295,MATCH($D1442,Hierarchy!$A$2:$A$1295,0))),"NODE NOT FOUND"))</f>
        <v>APAC</v>
      </c>
      <c r="H1442" s="7" t="str">
        <f aca="false">IF($D1442="","",IFERROR(IF(INDEX(Hierarchy!$E$2:$E$1295,MATCH($D1442,Hierarchy!$A$2:$A$1295,0))="","",INDEX(Hierarchy!$E$2:$E$1295,MATCH($D1442,Hierarchy!$A$2:$A$1295,0))),"NODE NOT FOUND"))</f>
        <v>Oceania (ANZ)</v>
      </c>
      <c r="I1442" s="7" t="str">
        <f aca="false">IF($D1442="","",IFERROR(IF(INDEX(Hierarchy!$F$2:$F$1295,MATCH($D1442,Hierarchy!$A$2:$A$1295,0))="","",INDEX(Hierarchy!$F$2:$F$1295,MATCH($D1442,Hierarchy!$A$2:$A$1295,0))),"NODE NOT FOUND"))</f>
        <v>Kiribati</v>
      </c>
      <c r="J1442" s="7" t="str">
        <f aca="false">IF($D1442="","",IFERROR(IF(INDEX(Hierarchy!$G$2:$G$1295,MATCH($D1442,Hierarchy!$A$2:$A$1295,0))="","",INDEX(Hierarchy!$G$2:$G$1295,MATCH($D1442,Hierarchy!$A$2:$A$1295,0))),"NODE NOT FOUND"))</f>
        <v>KIR</v>
      </c>
      <c r="K1442" s="7" t="str">
        <f aca="false">IF($D1442="","",IFERROR(IF(INDEX(Hierarchy!$H$2:$H$1295,MATCH($D1442,Hierarchy!$A$2:$A$1295,0))="","",INDEX(Hierarchy!$H$2:$H$1295,MATCH($D1442,Hierarchy!$A$2:$A$1295,0))),"NODE NOT FOUND"))</f>
        <v/>
      </c>
      <c r="L1442" s="7" t="str">
        <f aca="false">IF($D1442="","",IFERROR(IF(INDEX(Hierarchy!$I$2:$I$1295,MATCH($D1442,Hierarchy!$A$2:$A$1295,0))="","",INDEX(Hierarchy!$I$2:$I$1295,MATCH($D1442,Hierarchy!$A$2:$A$1295,0))),"NODE NOT FOUND"))</f>
        <v/>
      </c>
      <c r="M1442" s="17" t="str">
        <f aca="false">IF(B1442="Pre-seeded","Pre-seeded",IF(B1442="Review 2026-09-16","Added from review",IF(C1442="","New",IF(C1442=D1442,"","Changed"))))</f>
        <v>Pre-seeded</v>
      </c>
      <c r="N1442" s="7" t="str">
        <f aca="false">TRIM(SUBSTITUTE(SUBSTITUTE(SUBSTITUTE(" "&amp;TRIM(SUBSTITUTE(SUBSTITUTE(SUBSTITUTE(SUBSTITUTE(SUBSTITUTE(SUBSTITUTE(SUBSTITUTE(SUBSTITUTE(SUBSTITUTE(SUBSTITUTE(SUBSTITUTE(SUBSTITUTE(SUBSTITUTE(SUBSTITUTE(SUBSTITUTE(UPPER(TRIM(A1442)),"[MEMBER]",""),"{MEMBER}",""),"[MEMBER}",""),"MEMBER]",""),"(A)",""),"""",""),"“",""),"”",""),".",""),":",""),",",""),"–"," "),"-"," "),"/"," "),"&amp;"," AND "))&amp;" "," THE "," ")," TOTAL "," ")," OPERATIONS "," "))</f>
        <v>REPUBLIC OF KIRIBATI</v>
      </c>
      <c r="O1442" s="17" t="str">
        <f aca="false">IF(COUNTIFS($N$2:$N$2000,N1442,$D$2:$D$2000,"&lt;&gt;"&amp;D1442)&gt;0,"CONFLICT","")</f>
        <v/>
      </c>
      <c r="P1442" s="7" t="s">
        <v>1936</v>
      </c>
    </row>
    <row r="1443" customFormat="false" ht="15" hidden="false" customHeight="false" outlineLevel="0" collapsed="false">
      <c r="A1443" s="7" t="s">
        <v>2617</v>
      </c>
      <c r="B1443" s="7" t="s">
        <v>1882</v>
      </c>
      <c r="C1443" s="7" t="s">
        <v>1559</v>
      </c>
      <c r="D1443" s="6" t="s">
        <v>1559</v>
      </c>
      <c r="E1443" s="6" t="s">
        <v>1880</v>
      </c>
      <c r="F1443" s="7" t="str">
        <f aca="false">IF($D1443="","",IFERROR(IF(INDEX(Hierarchy!$B$2:$B$1295,MATCH($D1443,Hierarchy!$A$2:$A$1295,0))="","",INDEX(Hierarchy!$B$2:$B$1295,MATCH($D1443,Hierarchy!$A$2:$A$1295,0))),"NODE NOT FOUND"))</f>
        <v>Country</v>
      </c>
      <c r="G1443" s="7" t="str">
        <f aca="false">IF($D1443="","",IFERROR(IF(INDEX(Hierarchy!$D$2:$D$1295,MATCH($D1443,Hierarchy!$A$2:$A$1295,0))="","",INDEX(Hierarchy!$D$2:$D$1295,MATCH($D1443,Hierarchy!$A$2:$A$1295,0))),"NODE NOT FOUND"))</f>
        <v>APAC</v>
      </c>
      <c r="H1443" s="7" t="str">
        <f aca="false">IF($D1443="","",IFERROR(IF(INDEX(Hierarchy!$E$2:$E$1295,MATCH($D1443,Hierarchy!$A$2:$A$1295,0))="","",INDEX(Hierarchy!$E$2:$E$1295,MATCH($D1443,Hierarchy!$A$2:$A$1295,0))),"NODE NOT FOUND"))</f>
        <v>East Asia</v>
      </c>
      <c r="I1443" s="7" t="str">
        <f aca="false">IF($D1443="","",IFERROR(IF(INDEX(Hierarchy!$F$2:$F$1295,MATCH($D1443,Hierarchy!$A$2:$A$1295,0))="","",INDEX(Hierarchy!$F$2:$F$1295,MATCH($D1443,Hierarchy!$A$2:$A$1295,0))),"NODE NOT FOUND"))</f>
        <v>South Korea</v>
      </c>
      <c r="J1443" s="7" t="str">
        <f aca="false">IF($D1443="","",IFERROR(IF(INDEX(Hierarchy!$G$2:$G$1295,MATCH($D1443,Hierarchy!$A$2:$A$1295,0))="","",INDEX(Hierarchy!$G$2:$G$1295,MATCH($D1443,Hierarchy!$A$2:$A$1295,0))),"NODE NOT FOUND"))</f>
        <v>KOR</v>
      </c>
      <c r="K1443" s="7" t="str">
        <f aca="false">IF($D1443="","",IFERROR(IF(INDEX(Hierarchy!$H$2:$H$1295,MATCH($D1443,Hierarchy!$A$2:$A$1295,0))="","",INDEX(Hierarchy!$H$2:$H$1295,MATCH($D1443,Hierarchy!$A$2:$A$1295,0))),"NODE NOT FOUND"))</f>
        <v/>
      </c>
      <c r="L1443" s="7" t="str">
        <f aca="false">IF($D1443="","",IFERROR(IF(INDEX(Hierarchy!$I$2:$I$1295,MATCH($D1443,Hierarchy!$A$2:$A$1295,0))="","",INDEX(Hierarchy!$I$2:$I$1295,MATCH($D1443,Hierarchy!$A$2:$A$1295,0))),"NODE NOT FOUND"))</f>
        <v/>
      </c>
      <c r="M1443" s="17" t="str">
        <f aca="false">IF(B1443="Pre-seeded","Pre-seeded",IF(B1443="Review 2026-09-16","Added from review",IF(C1443="","New",IF(C1443=D1443,"","Changed"))))</f>
        <v/>
      </c>
      <c r="N1443" s="7" t="str">
        <f aca="false">TRIM(SUBSTITUTE(SUBSTITUTE(SUBSTITUTE(" "&amp;TRIM(SUBSTITUTE(SUBSTITUTE(SUBSTITUTE(SUBSTITUTE(SUBSTITUTE(SUBSTITUTE(SUBSTITUTE(SUBSTITUTE(SUBSTITUTE(SUBSTITUTE(SUBSTITUTE(SUBSTITUTE(SUBSTITUTE(SUBSTITUTE(SUBSTITUTE(UPPER(TRIM(A1443)),"[MEMBER]",""),"{MEMBER}",""),"[MEMBER}",""),"MEMBER]",""),"(A)",""),"""",""),"“",""),"”",""),".",""),":",""),",",""),"–"," "),"-"," "),"/"," "),"&amp;"," AND "))&amp;" "," THE "," ")," TOTAL "," ")," OPERATIONS "," "))</f>
        <v>REPUBLIC OF KOREA</v>
      </c>
      <c r="O1443" s="17" t="str">
        <f aca="false">IF(COUNTIFS($N$2:$N$2000,N1443,$D$2:$D$2000,"&lt;&gt;"&amp;D1443)&gt;0,"CONFLICT","")</f>
        <v/>
      </c>
      <c r="P1443" s="7"/>
    </row>
    <row r="1444" customFormat="false" ht="15" hidden="false" customHeight="false" outlineLevel="0" collapsed="false">
      <c r="A1444" s="7" t="s">
        <v>2618</v>
      </c>
      <c r="B1444" s="7" t="s">
        <v>1879</v>
      </c>
      <c r="C1444" s="7"/>
      <c r="D1444" s="6" t="s">
        <v>863</v>
      </c>
      <c r="E1444" s="6" t="s">
        <v>1880</v>
      </c>
      <c r="F1444" s="7" t="str">
        <f aca="false">IF($D1444="","",IFERROR(IF(INDEX(Hierarchy!$B$2:$B$1295,MATCH($D1444,Hierarchy!$A$2:$A$1295,0))="","",INDEX(Hierarchy!$B$2:$B$1295,MATCH($D1444,Hierarchy!$A$2:$A$1295,0))),"NODE NOT FOUND"))</f>
        <v>Country</v>
      </c>
      <c r="G1444" s="7" t="str">
        <f aca="false">IF($D1444="","",IFERROR(IF(INDEX(Hierarchy!$D$2:$D$1295,MATCH($D1444,Hierarchy!$A$2:$A$1295,0))="","",INDEX(Hierarchy!$D$2:$D$1295,MATCH($D1444,Hierarchy!$A$2:$A$1295,0))),"NODE NOT FOUND"))</f>
        <v>EMEA</v>
      </c>
      <c r="H1444" s="7" t="str">
        <f aca="false">IF($D1444="","",IFERROR(IF(INDEX(Hierarchy!$E$2:$E$1295,MATCH($D1444,Hierarchy!$A$2:$A$1295,0))="","",INDEX(Hierarchy!$E$2:$E$1295,MATCH($D1444,Hierarchy!$A$2:$A$1295,0))),"NODE NOT FOUND"))</f>
        <v>Europe</v>
      </c>
      <c r="I1444" s="7" t="str">
        <f aca="false">IF($D1444="","",IFERROR(IF(INDEX(Hierarchy!$F$2:$F$1295,MATCH($D1444,Hierarchy!$A$2:$A$1295,0))="","",INDEX(Hierarchy!$F$2:$F$1295,MATCH($D1444,Hierarchy!$A$2:$A$1295,0))),"NODE NOT FOUND"))</f>
        <v>Latvia</v>
      </c>
      <c r="J1444" s="7" t="str">
        <f aca="false">IF($D1444="","",IFERROR(IF(INDEX(Hierarchy!$G$2:$G$1295,MATCH($D1444,Hierarchy!$A$2:$A$1295,0))="","",INDEX(Hierarchy!$G$2:$G$1295,MATCH($D1444,Hierarchy!$A$2:$A$1295,0))),"NODE NOT FOUND"))</f>
        <v>LVA</v>
      </c>
      <c r="K1444" s="7" t="str">
        <f aca="false">IF($D1444="","",IFERROR(IF(INDEX(Hierarchy!$H$2:$H$1295,MATCH($D1444,Hierarchy!$A$2:$A$1295,0))="","",INDEX(Hierarchy!$H$2:$H$1295,MATCH($D1444,Hierarchy!$A$2:$A$1295,0))),"NODE NOT FOUND"))</f>
        <v/>
      </c>
      <c r="L1444" s="7" t="str">
        <f aca="false">IF($D1444="","",IFERROR(IF(INDEX(Hierarchy!$I$2:$I$1295,MATCH($D1444,Hierarchy!$A$2:$A$1295,0))="","",INDEX(Hierarchy!$I$2:$I$1295,MATCH($D1444,Hierarchy!$A$2:$A$1295,0))),"NODE NOT FOUND"))</f>
        <v/>
      </c>
      <c r="M1444" s="17" t="str">
        <f aca="false">IF(B1444="Pre-seeded","Pre-seeded",IF(B1444="Review 2026-09-16","Added from review",IF(C1444="","New",IF(C1444=D1444,"","Changed"))))</f>
        <v>Pre-seeded</v>
      </c>
      <c r="N1444" s="7" t="str">
        <f aca="false">TRIM(SUBSTITUTE(SUBSTITUTE(SUBSTITUTE(" "&amp;TRIM(SUBSTITUTE(SUBSTITUTE(SUBSTITUTE(SUBSTITUTE(SUBSTITUTE(SUBSTITUTE(SUBSTITUTE(SUBSTITUTE(SUBSTITUTE(SUBSTITUTE(SUBSTITUTE(SUBSTITUTE(SUBSTITUTE(SUBSTITUTE(SUBSTITUTE(UPPER(TRIM(A1444)),"[MEMBER]",""),"{MEMBER}",""),"[MEMBER}",""),"MEMBER]",""),"(A)",""),"""",""),"“",""),"”",""),".",""),":",""),",",""),"–"," "),"-"," "),"/"," "),"&amp;"," AND "))&amp;" "," THE "," ")," TOTAL "," ")," OPERATIONS "," "))</f>
        <v>REPUBLIC OF LATVIA</v>
      </c>
      <c r="O1444" s="17" t="str">
        <f aca="false">IF(COUNTIFS($N$2:$N$2000,N1444,$D$2:$D$2000,"&lt;&gt;"&amp;D1444)&gt;0,"CONFLICT","")</f>
        <v/>
      </c>
      <c r="P1444" s="7" t="s">
        <v>1936</v>
      </c>
    </row>
    <row r="1445" customFormat="false" ht="15" hidden="false" customHeight="false" outlineLevel="0" collapsed="false">
      <c r="A1445" s="7" t="s">
        <v>2619</v>
      </c>
      <c r="B1445" s="7" t="s">
        <v>1879</v>
      </c>
      <c r="C1445" s="7"/>
      <c r="D1445" s="6" t="s">
        <v>1244</v>
      </c>
      <c r="E1445" s="6" t="s">
        <v>1880</v>
      </c>
      <c r="F1445" s="7" t="str">
        <f aca="false">IF($D1445="","",IFERROR(IF(INDEX(Hierarchy!$B$2:$B$1295,MATCH($D1445,Hierarchy!$A$2:$A$1295,0))="","",INDEX(Hierarchy!$B$2:$B$1295,MATCH($D1445,Hierarchy!$A$2:$A$1295,0))),"NODE NOT FOUND"))</f>
        <v>Country</v>
      </c>
      <c r="G1445" s="7" t="str">
        <f aca="false">IF($D1445="","",IFERROR(IF(INDEX(Hierarchy!$D$2:$D$1295,MATCH($D1445,Hierarchy!$A$2:$A$1295,0))="","",INDEX(Hierarchy!$D$2:$D$1295,MATCH($D1445,Hierarchy!$A$2:$A$1295,0))),"NODE NOT FOUND"))</f>
        <v>EMEA</v>
      </c>
      <c r="H1445" s="7" t="str">
        <f aca="false">IF($D1445="","",IFERROR(IF(INDEX(Hierarchy!$E$2:$E$1295,MATCH($D1445,Hierarchy!$A$2:$A$1295,0))="","",INDEX(Hierarchy!$E$2:$E$1295,MATCH($D1445,Hierarchy!$A$2:$A$1295,0))),"NODE NOT FOUND"))</f>
        <v>Africa</v>
      </c>
      <c r="I1445" s="7" t="str">
        <f aca="false">IF($D1445="","",IFERROR(IF(INDEX(Hierarchy!$F$2:$F$1295,MATCH($D1445,Hierarchy!$A$2:$A$1295,0))="","",INDEX(Hierarchy!$F$2:$F$1295,MATCH($D1445,Hierarchy!$A$2:$A$1295,0))),"NODE NOT FOUND"))</f>
        <v>Liberia</v>
      </c>
      <c r="J1445" s="7" t="str">
        <f aca="false">IF($D1445="","",IFERROR(IF(INDEX(Hierarchy!$G$2:$G$1295,MATCH($D1445,Hierarchy!$A$2:$A$1295,0))="","",INDEX(Hierarchy!$G$2:$G$1295,MATCH($D1445,Hierarchy!$A$2:$A$1295,0))),"NODE NOT FOUND"))</f>
        <v>LBR</v>
      </c>
      <c r="K1445" s="7" t="str">
        <f aca="false">IF($D1445="","",IFERROR(IF(INDEX(Hierarchy!$H$2:$H$1295,MATCH($D1445,Hierarchy!$A$2:$A$1295,0))="","",INDEX(Hierarchy!$H$2:$H$1295,MATCH($D1445,Hierarchy!$A$2:$A$1295,0))),"NODE NOT FOUND"))</f>
        <v/>
      </c>
      <c r="L1445" s="7" t="str">
        <f aca="false">IF($D1445="","",IFERROR(IF(INDEX(Hierarchy!$I$2:$I$1295,MATCH($D1445,Hierarchy!$A$2:$A$1295,0))="","",INDEX(Hierarchy!$I$2:$I$1295,MATCH($D1445,Hierarchy!$A$2:$A$1295,0))),"NODE NOT FOUND"))</f>
        <v/>
      </c>
      <c r="M1445" s="17" t="str">
        <f aca="false">IF(B1445="Pre-seeded","Pre-seeded",IF(B1445="Review 2026-09-16","Added from review",IF(C1445="","New",IF(C1445=D1445,"","Changed"))))</f>
        <v>Pre-seeded</v>
      </c>
      <c r="N1445" s="7" t="str">
        <f aca="false">TRIM(SUBSTITUTE(SUBSTITUTE(SUBSTITUTE(" "&amp;TRIM(SUBSTITUTE(SUBSTITUTE(SUBSTITUTE(SUBSTITUTE(SUBSTITUTE(SUBSTITUTE(SUBSTITUTE(SUBSTITUTE(SUBSTITUTE(SUBSTITUTE(SUBSTITUTE(SUBSTITUTE(SUBSTITUTE(SUBSTITUTE(SUBSTITUTE(UPPER(TRIM(A1445)),"[MEMBER]",""),"{MEMBER}",""),"[MEMBER}",""),"MEMBER]",""),"(A)",""),"""",""),"“",""),"”",""),".",""),":",""),",",""),"–"," "),"-"," "),"/"," "),"&amp;"," AND "))&amp;" "," THE "," ")," TOTAL "," ")," OPERATIONS "," "))</f>
        <v>REPUBLIC OF LIBERIA</v>
      </c>
      <c r="O1445" s="17" t="str">
        <f aca="false">IF(COUNTIFS($N$2:$N$2000,N1445,$D$2:$D$2000,"&lt;&gt;"&amp;D1445)&gt;0,"CONFLICT","")</f>
        <v/>
      </c>
      <c r="P1445" s="7" t="s">
        <v>1936</v>
      </c>
    </row>
    <row r="1446" customFormat="false" ht="15" hidden="false" customHeight="false" outlineLevel="0" collapsed="false">
      <c r="A1446" s="7" t="s">
        <v>2620</v>
      </c>
      <c r="B1446" s="7" t="s">
        <v>1879</v>
      </c>
      <c r="C1446" s="7"/>
      <c r="D1446" s="6" t="s">
        <v>868</v>
      </c>
      <c r="E1446" s="6" t="s">
        <v>1880</v>
      </c>
      <c r="F1446" s="7" t="str">
        <f aca="false">IF($D1446="","",IFERROR(IF(INDEX(Hierarchy!$B$2:$B$1295,MATCH($D1446,Hierarchy!$A$2:$A$1295,0))="","",INDEX(Hierarchy!$B$2:$B$1295,MATCH($D1446,Hierarchy!$A$2:$A$1295,0))),"NODE NOT FOUND"))</f>
        <v>Country</v>
      </c>
      <c r="G1446" s="7" t="str">
        <f aca="false">IF($D1446="","",IFERROR(IF(INDEX(Hierarchy!$D$2:$D$1295,MATCH($D1446,Hierarchy!$A$2:$A$1295,0))="","",INDEX(Hierarchy!$D$2:$D$1295,MATCH($D1446,Hierarchy!$A$2:$A$1295,0))),"NODE NOT FOUND"))</f>
        <v>EMEA</v>
      </c>
      <c r="H1446" s="7" t="str">
        <f aca="false">IF($D1446="","",IFERROR(IF(INDEX(Hierarchy!$E$2:$E$1295,MATCH($D1446,Hierarchy!$A$2:$A$1295,0))="","",INDEX(Hierarchy!$E$2:$E$1295,MATCH($D1446,Hierarchy!$A$2:$A$1295,0))),"NODE NOT FOUND"))</f>
        <v>Europe</v>
      </c>
      <c r="I1446" s="7" t="str">
        <f aca="false">IF($D1446="","",IFERROR(IF(INDEX(Hierarchy!$F$2:$F$1295,MATCH($D1446,Hierarchy!$A$2:$A$1295,0))="","",INDEX(Hierarchy!$F$2:$F$1295,MATCH($D1446,Hierarchy!$A$2:$A$1295,0))),"NODE NOT FOUND"))</f>
        <v>Lithuania</v>
      </c>
      <c r="J1446" s="7" t="str">
        <f aca="false">IF($D1446="","",IFERROR(IF(INDEX(Hierarchy!$G$2:$G$1295,MATCH($D1446,Hierarchy!$A$2:$A$1295,0))="","",INDEX(Hierarchy!$G$2:$G$1295,MATCH($D1446,Hierarchy!$A$2:$A$1295,0))),"NODE NOT FOUND"))</f>
        <v>LTU</v>
      </c>
      <c r="K1446" s="7" t="str">
        <f aca="false">IF($D1446="","",IFERROR(IF(INDEX(Hierarchy!$H$2:$H$1295,MATCH($D1446,Hierarchy!$A$2:$A$1295,0))="","",INDEX(Hierarchy!$H$2:$H$1295,MATCH($D1446,Hierarchy!$A$2:$A$1295,0))),"NODE NOT FOUND"))</f>
        <v/>
      </c>
      <c r="L1446" s="7" t="str">
        <f aca="false">IF($D1446="","",IFERROR(IF(INDEX(Hierarchy!$I$2:$I$1295,MATCH($D1446,Hierarchy!$A$2:$A$1295,0))="","",INDEX(Hierarchy!$I$2:$I$1295,MATCH($D1446,Hierarchy!$A$2:$A$1295,0))),"NODE NOT FOUND"))</f>
        <v/>
      </c>
      <c r="M1446" s="17" t="str">
        <f aca="false">IF(B1446="Pre-seeded","Pre-seeded",IF(B1446="Review 2026-09-16","Added from review",IF(C1446="","New",IF(C1446=D1446,"","Changed"))))</f>
        <v>Pre-seeded</v>
      </c>
      <c r="N1446" s="7" t="str">
        <f aca="false">TRIM(SUBSTITUTE(SUBSTITUTE(SUBSTITUTE(" "&amp;TRIM(SUBSTITUTE(SUBSTITUTE(SUBSTITUTE(SUBSTITUTE(SUBSTITUTE(SUBSTITUTE(SUBSTITUTE(SUBSTITUTE(SUBSTITUTE(SUBSTITUTE(SUBSTITUTE(SUBSTITUTE(SUBSTITUTE(SUBSTITUTE(SUBSTITUTE(UPPER(TRIM(A1446)),"[MEMBER]",""),"{MEMBER}",""),"[MEMBER}",""),"MEMBER]",""),"(A)",""),"""",""),"“",""),"”",""),".",""),":",""),",",""),"–"," "),"-"," "),"/"," "),"&amp;"," AND "))&amp;" "," THE "," ")," TOTAL "," ")," OPERATIONS "," "))</f>
        <v>REPUBLIC OF LITHUANIA</v>
      </c>
      <c r="O1446" s="17" t="str">
        <f aca="false">IF(COUNTIFS($N$2:$N$2000,N1446,$D$2:$D$2000,"&lt;&gt;"&amp;D1446)&gt;0,"CONFLICT","")</f>
        <v/>
      </c>
      <c r="P1446" s="7" t="s">
        <v>1936</v>
      </c>
    </row>
    <row r="1447" customFormat="false" ht="15" hidden="false" customHeight="false" outlineLevel="0" collapsed="false">
      <c r="A1447" s="7" t="s">
        <v>2621</v>
      </c>
      <c r="B1447" s="7" t="s">
        <v>1879</v>
      </c>
      <c r="C1447" s="7"/>
      <c r="D1447" s="6" t="s">
        <v>1248</v>
      </c>
      <c r="E1447" s="6" t="s">
        <v>1880</v>
      </c>
      <c r="F1447" s="7" t="str">
        <f aca="false">IF($D1447="","",IFERROR(IF(INDEX(Hierarchy!$B$2:$B$1295,MATCH($D1447,Hierarchy!$A$2:$A$1295,0))="","",INDEX(Hierarchy!$B$2:$B$1295,MATCH($D1447,Hierarchy!$A$2:$A$1295,0))),"NODE NOT FOUND"))</f>
        <v>Country</v>
      </c>
      <c r="G1447" s="7" t="str">
        <f aca="false">IF($D1447="","",IFERROR(IF(INDEX(Hierarchy!$D$2:$D$1295,MATCH($D1447,Hierarchy!$A$2:$A$1295,0))="","",INDEX(Hierarchy!$D$2:$D$1295,MATCH($D1447,Hierarchy!$A$2:$A$1295,0))),"NODE NOT FOUND"))</f>
        <v>EMEA</v>
      </c>
      <c r="H1447" s="7" t="str">
        <f aca="false">IF($D1447="","",IFERROR(IF(INDEX(Hierarchy!$E$2:$E$1295,MATCH($D1447,Hierarchy!$A$2:$A$1295,0))="","",INDEX(Hierarchy!$E$2:$E$1295,MATCH($D1447,Hierarchy!$A$2:$A$1295,0))),"NODE NOT FOUND"))</f>
        <v>Africa</v>
      </c>
      <c r="I1447" s="7" t="str">
        <f aca="false">IF($D1447="","",IFERROR(IF(INDEX(Hierarchy!$F$2:$F$1295,MATCH($D1447,Hierarchy!$A$2:$A$1295,0))="","",INDEX(Hierarchy!$F$2:$F$1295,MATCH($D1447,Hierarchy!$A$2:$A$1295,0))),"NODE NOT FOUND"))</f>
        <v>Madagascar</v>
      </c>
      <c r="J1447" s="7" t="str">
        <f aca="false">IF($D1447="","",IFERROR(IF(INDEX(Hierarchy!$G$2:$G$1295,MATCH($D1447,Hierarchy!$A$2:$A$1295,0))="","",INDEX(Hierarchy!$G$2:$G$1295,MATCH($D1447,Hierarchy!$A$2:$A$1295,0))),"NODE NOT FOUND"))</f>
        <v>MDG</v>
      </c>
      <c r="K1447" s="7" t="str">
        <f aca="false">IF($D1447="","",IFERROR(IF(INDEX(Hierarchy!$H$2:$H$1295,MATCH($D1447,Hierarchy!$A$2:$A$1295,0))="","",INDEX(Hierarchy!$H$2:$H$1295,MATCH($D1447,Hierarchy!$A$2:$A$1295,0))),"NODE NOT FOUND"))</f>
        <v/>
      </c>
      <c r="L1447" s="7" t="str">
        <f aca="false">IF($D1447="","",IFERROR(IF(INDEX(Hierarchy!$I$2:$I$1295,MATCH($D1447,Hierarchy!$A$2:$A$1295,0))="","",INDEX(Hierarchy!$I$2:$I$1295,MATCH($D1447,Hierarchy!$A$2:$A$1295,0))),"NODE NOT FOUND"))</f>
        <v/>
      </c>
      <c r="M1447" s="17" t="str">
        <f aca="false">IF(B1447="Pre-seeded","Pre-seeded",IF(B1447="Review 2026-09-16","Added from review",IF(C1447="","New",IF(C1447=D1447,"","Changed"))))</f>
        <v>Pre-seeded</v>
      </c>
      <c r="N1447" s="7" t="str">
        <f aca="false">TRIM(SUBSTITUTE(SUBSTITUTE(SUBSTITUTE(" "&amp;TRIM(SUBSTITUTE(SUBSTITUTE(SUBSTITUTE(SUBSTITUTE(SUBSTITUTE(SUBSTITUTE(SUBSTITUTE(SUBSTITUTE(SUBSTITUTE(SUBSTITUTE(SUBSTITUTE(SUBSTITUTE(SUBSTITUTE(SUBSTITUTE(SUBSTITUTE(UPPER(TRIM(A1447)),"[MEMBER]",""),"{MEMBER}",""),"[MEMBER}",""),"MEMBER]",""),"(A)",""),"""",""),"“",""),"”",""),".",""),":",""),",",""),"–"," "),"-"," "),"/"," "),"&amp;"," AND "))&amp;" "," THE "," ")," TOTAL "," ")," OPERATIONS "," "))</f>
        <v>REPUBLIC OF MADAGASCAR</v>
      </c>
      <c r="O1447" s="17" t="str">
        <f aca="false">IF(COUNTIFS($N$2:$N$2000,N1447,$D$2:$D$2000,"&lt;&gt;"&amp;D1447)&gt;0,"CONFLICT","")</f>
        <v/>
      </c>
      <c r="P1447" s="7" t="s">
        <v>1936</v>
      </c>
    </row>
    <row r="1448" customFormat="false" ht="15" hidden="false" customHeight="false" outlineLevel="0" collapsed="false">
      <c r="A1448" s="7" t="s">
        <v>2622</v>
      </c>
      <c r="B1448" s="7" t="s">
        <v>1879</v>
      </c>
      <c r="C1448" s="7"/>
      <c r="D1448" s="6" t="s">
        <v>1250</v>
      </c>
      <c r="E1448" s="6" t="s">
        <v>1880</v>
      </c>
      <c r="F1448" s="7" t="str">
        <f aca="false">IF($D1448="","",IFERROR(IF(INDEX(Hierarchy!$B$2:$B$1295,MATCH($D1448,Hierarchy!$A$2:$A$1295,0))="","",INDEX(Hierarchy!$B$2:$B$1295,MATCH($D1448,Hierarchy!$A$2:$A$1295,0))),"NODE NOT FOUND"))</f>
        <v>Country</v>
      </c>
      <c r="G1448" s="7" t="str">
        <f aca="false">IF($D1448="","",IFERROR(IF(INDEX(Hierarchy!$D$2:$D$1295,MATCH($D1448,Hierarchy!$A$2:$A$1295,0))="","",INDEX(Hierarchy!$D$2:$D$1295,MATCH($D1448,Hierarchy!$A$2:$A$1295,0))),"NODE NOT FOUND"))</f>
        <v>EMEA</v>
      </c>
      <c r="H1448" s="7" t="str">
        <f aca="false">IF($D1448="","",IFERROR(IF(INDEX(Hierarchy!$E$2:$E$1295,MATCH($D1448,Hierarchy!$A$2:$A$1295,0))="","",INDEX(Hierarchy!$E$2:$E$1295,MATCH($D1448,Hierarchy!$A$2:$A$1295,0))),"NODE NOT FOUND"))</f>
        <v>Africa</v>
      </c>
      <c r="I1448" s="7" t="str">
        <f aca="false">IF($D1448="","",IFERROR(IF(INDEX(Hierarchy!$F$2:$F$1295,MATCH($D1448,Hierarchy!$A$2:$A$1295,0))="","",INDEX(Hierarchy!$F$2:$F$1295,MATCH($D1448,Hierarchy!$A$2:$A$1295,0))),"NODE NOT FOUND"))</f>
        <v>Malawi</v>
      </c>
      <c r="J1448" s="7" t="str">
        <f aca="false">IF($D1448="","",IFERROR(IF(INDEX(Hierarchy!$G$2:$G$1295,MATCH($D1448,Hierarchy!$A$2:$A$1295,0))="","",INDEX(Hierarchy!$G$2:$G$1295,MATCH($D1448,Hierarchy!$A$2:$A$1295,0))),"NODE NOT FOUND"))</f>
        <v>MWI</v>
      </c>
      <c r="K1448" s="7" t="str">
        <f aca="false">IF($D1448="","",IFERROR(IF(INDEX(Hierarchy!$H$2:$H$1295,MATCH($D1448,Hierarchy!$A$2:$A$1295,0))="","",INDEX(Hierarchy!$H$2:$H$1295,MATCH($D1448,Hierarchy!$A$2:$A$1295,0))),"NODE NOT FOUND"))</f>
        <v/>
      </c>
      <c r="L1448" s="7" t="str">
        <f aca="false">IF($D1448="","",IFERROR(IF(INDEX(Hierarchy!$I$2:$I$1295,MATCH($D1448,Hierarchy!$A$2:$A$1295,0))="","",INDEX(Hierarchy!$I$2:$I$1295,MATCH($D1448,Hierarchy!$A$2:$A$1295,0))),"NODE NOT FOUND"))</f>
        <v/>
      </c>
      <c r="M1448" s="17" t="str">
        <f aca="false">IF(B1448="Pre-seeded","Pre-seeded",IF(B1448="Review 2026-09-16","Added from review",IF(C1448="","New",IF(C1448=D1448,"","Changed"))))</f>
        <v>Pre-seeded</v>
      </c>
      <c r="N1448" s="7" t="str">
        <f aca="false">TRIM(SUBSTITUTE(SUBSTITUTE(SUBSTITUTE(" "&amp;TRIM(SUBSTITUTE(SUBSTITUTE(SUBSTITUTE(SUBSTITUTE(SUBSTITUTE(SUBSTITUTE(SUBSTITUTE(SUBSTITUTE(SUBSTITUTE(SUBSTITUTE(SUBSTITUTE(SUBSTITUTE(SUBSTITUTE(SUBSTITUTE(SUBSTITUTE(UPPER(TRIM(A1448)),"[MEMBER]",""),"{MEMBER}",""),"[MEMBER}",""),"MEMBER]",""),"(A)",""),"""",""),"“",""),"”",""),".",""),":",""),",",""),"–"," "),"-"," "),"/"," "),"&amp;"," AND "))&amp;" "," THE "," ")," TOTAL "," ")," OPERATIONS "," "))</f>
        <v>REPUBLIC OF MALAWI</v>
      </c>
      <c r="O1448" s="17" t="str">
        <f aca="false">IF(COUNTIFS($N$2:$N$2000,N1448,$D$2:$D$2000,"&lt;&gt;"&amp;D1448)&gt;0,"CONFLICT","")</f>
        <v/>
      </c>
      <c r="P1448" s="7" t="s">
        <v>1936</v>
      </c>
    </row>
    <row r="1449" customFormat="false" ht="15" hidden="false" customHeight="false" outlineLevel="0" collapsed="false">
      <c r="A1449" s="7" t="s">
        <v>2623</v>
      </c>
      <c r="B1449" s="7" t="s">
        <v>1879</v>
      </c>
      <c r="C1449" s="7"/>
      <c r="D1449" s="6" t="s">
        <v>1390</v>
      </c>
      <c r="E1449" s="6" t="s">
        <v>1880</v>
      </c>
      <c r="F1449" s="7" t="str">
        <f aca="false">IF($D1449="","",IFERROR(IF(INDEX(Hierarchy!$B$2:$B$1295,MATCH($D1449,Hierarchy!$A$2:$A$1295,0))="","",INDEX(Hierarchy!$B$2:$B$1295,MATCH($D1449,Hierarchy!$A$2:$A$1295,0))),"NODE NOT FOUND"))</f>
        <v>Country</v>
      </c>
      <c r="G1449" s="7" t="str">
        <f aca="false">IF($D1449="","",IFERROR(IF(INDEX(Hierarchy!$D$2:$D$1295,MATCH($D1449,Hierarchy!$A$2:$A$1295,0))="","",INDEX(Hierarchy!$D$2:$D$1295,MATCH($D1449,Hierarchy!$A$2:$A$1295,0))),"NODE NOT FOUND"))</f>
        <v>APAC</v>
      </c>
      <c r="H1449" s="7" t="str">
        <f aca="false">IF($D1449="","",IFERROR(IF(INDEX(Hierarchy!$E$2:$E$1295,MATCH($D1449,Hierarchy!$A$2:$A$1295,0))="","",INDEX(Hierarchy!$E$2:$E$1295,MATCH($D1449,Hierarchy!$A$2:$A$1295,0))),"NODE NOT FOUND"))</f>
        <v>South Asia</v>
      </c>
      <c r="I1449" s="7" t="str">
        <f aca="false">IF($D1449="","",IFERROR(IF(INDEX(Hierarchy!$F$2:$F$1295,MATCH($D1449,Hierarchy!$A$2:$A$1295,0))="","",INDEX(Hierarchy!$F$2:$F$1295,MATCH($D1449,Hierarchy!$A$2:$A$1295,0))),"NODE NOT FOUND"))</f>
        <v>Maldives</v>
      </c>
      <c r="J1449" s="7" t="str">
        <f aca="false">IF($D1449="","",IFERROR(IF(INDEX(Hierarchy!$G$2:$G$1295,MATCH($D1449,Hierarchy!$A$2:$A$1295,0))="","",INDEX(Hierarchy!$G$2:$G$1295,MATCH($D1449,Hierarchy!$A$2:$A$1295,0))),"NODE NOT FOUND"))</f>
        <v>MDV</v>
      </c>
      <c r="K1449" s="7" t="str">
        <f aca="false">IF($D1449="","",IFERROR(IF(INDEX(Hierarchy!$H$2:$H$1295,MATCH($D1449,Hierarchy!$A$2:$A$1295,0))="","",INDEX(Hierarchy!$H$2:$H$1295,MATCH($D1449,Hierarchy!$A$2:$A$1295,0))),"NODE NOT FOUND"))</f>
        <v/>
      </c>
      <c r="L1449" s="7" t="str">
        <f aca="false">IF($D1449="","",IFERROR(IF(INDEX(Hierarchy!$I$2:$I$1295,MATCH($D1449,Hierarchy!$A$2:$A$1295,0))="","",INDEX(Hierarchy!$I$2:$I$1295,MATCH($D1449,Hierarchy!$A$2:$A$1295,0))),"NODE NOT FOUND"))</f>
        <v/>
      </c>
      <c r="M1449" s="17" t="str">
        <f aca="false">IF(B1449="Pre-seeded","Pre-seeded",IF(B1449="Review 2026-09-16","Added from review",IF(C1449="","New",IF(C1449=D1449,"","Changed"))))</f>
        <v>Pre-seeded</v>
      </c>
      <c r="N1449" s="7" t="str">
        <f aca="false">TRIM(SUBSTITUTE(SUBSTITUTE(SUBSTITUTE(" "&amp;TRIM(SUBSTITUTE(SUBSTITUTE(SUBSTITUTE(SUBSTITUTE(SUBSTITUTE(SUBSTITUTE(SUBSTITUTE(SUBSTITUTE(SUBSTITUTE(SUBSTITUTE(SUBSTITUTE(SUBSTITUTE(SUBSTITUTE(SUBSTITUTE(SUBSTITUTE(UPPER(TRIM(A1449)),"[MEMBER]",""),"{MEMBER}",""),"[MEMBER}",""),"MEMBER]",""),"(A)",""),"""",""),"“",""),"”",""),".",""),":",""),",",""),"–"," "),"-"," "),"/"," "),"&amp;"," AND "))&amp;" "," THE "," ")," TOTAL "," ")," OPERATIONS "," "))</f>
        <v>REPUBLIC OF MALDIVES</v>
      </c>
      <c r="O1449" s="17" t="str">
        <f aca="false">IF(COUNTIFS($N$2:$N$2000,N1449,$D$2:$D$2000,"&lt;&gt;"&amp;D1449)&gt;0,"CONFLICT","")</f>
        <v/>
      </c>
      <c r="P1449" s="7" t="s">
        <v>1936</v>
      </c>
    </row>
    <row r="1450" customFormat="false" ht="15" hidden="false" customHeight="false" outlineLevel="0" collapsed="false">
      <c r="A1450" s="7" t="s">
        <v>2624</v>
      </c>
      <c r="B1450" s="7" t="s">
        <v>1879</v>
      </c>
      <c r="C1450" s="7"/>
      <c r="D1450" s="6" t="s">
        <v>1252</v>
      </c>
      <c r="E1450" s="6" t="s">
        <v>1880</v>
      </c>
      <c r="F1450" s="7" t="str">
        <f aca="false">IF($D1450="","",IFERROR(IF(INDEX(Hierarchy!$B$2:$B$1295,MATCH($D1450,Hierarchy!$A$2:$A$1295,0))="","",INDEX(Hierarchy!$B$2:$B$1295,MATCH($D1450,Hierarchy!$A$2:$A$1295,0))),"NODE NOT FOUND"))</f>
        <v>Country</v>
      </c>
      <c r="G1450" s="7" t="str">
        <f aca="false">IF($D1450="","",IFERROR(IF(INDEX(Hierarchy!$D$2:$D$1295,MATCH($D1450,Hierarchy!$A$2:$A$1295,0))="","",INDEX(Hierarchy!$D$2:$D$1295,MATCH($D1450,Hierarchy!$A$2:$A$1295,0))),"NODE NOT FOUND"))</f>
        <v>EMEA</v>
      </c>
      <c r="H1450" s="7" t="str">
        <f aca="false">IF($D1450="","",IFERROR(IF(INDEX(Hierarchy!$E$2:$E$1295,MATCH($D1450,Hierarchy!$A$2:$A$1295,0))="","",INDEX(Hierarchy!$E$2:$E$1295,MATCH($D1450,Hierarchy!$A$2:$A$1295,0))),"NODE NOT FOUND"))</f>
        <v>Africa</v>
      </c>
      <c r="I1450" s="7" t="str">
        <f aca="false">IF($D1450="","",IFERROR(IF(INDEX(Hierarchy!$F$2:$F$1295,MATCH($D1450,Hierarchy!$A$2:$A$1295,0))="","",INDEX(Hierarchy!$F$2:$F$1295,MATCH($D1450,Hierarchy!$A$2:$A$1295,0))),"NODE NOT FOUND"))</f>
        <v>Mali</v>
      </c>
      <c r="J1450" s="7" t="str">
        <f aca="false">IF($D1450="","",IFERROR(IF(INDEX(Hierarchy!$G$2:$G$1295,MATCH($D1450,Hierarchy!$A$2:$A$1295,0))="","",INDEX(Hierarchy!$G$2:$G$1295,MATCH($D1450,Hierarchy!$A$2:$A$1295,0))),"NODE NOT FOUND"))</f>
        <v>MLI</v>
      </c>
      <c r="K1450" s="7" t="str">
        <f aca="false">IF($D1450="","",IFERROR(IF(INDEX(Hierarchy!$H$2:$H$1295,MATCH($D1450,Hierarchy!$A$2:$A$1295,0))="","",INDEX(Hierarchy!$H$2:$H$1295,MATCH($D1450,Hierarchy!$A$2:$A$1295,0))),"NODE NOT FOUND"))</f>
        <v/>
      </c>
      <c r="L1450" s="7" t="str">
        <f aca="false">IF($D1450="","",IFERROR(IF(INDEX(Hierarchy!$I$2:$I$1295,MATCH($D1450,Hierarchy!$A$2:$A$1295,0))="","",INDEX(Hierarchy!$I$2:$I$1295,MATCH($D1450,Hierarchy!$A$2:$A$1295,0))),"NODE NOT FOUND"))</f>
        <v/>
      </c>
      <c r="M1450" s="17" t="str">
        <f aca="false">IF(B1450="Pre-seeded","Pre-seeded",IF(B1450="Review 2026-09-16","Added from review",IF(C1450="","New",IF(C1450=D1450,"","Changed"))))</f>
        <v>Pre-seeded</v>
      </c>
      <c r="N1450" s="7" t="str">
        <f aca="false">TRIM(SUBSTITUTE(SUBSTITUTE(SUBSTITUTE(" "&amp;TRIM(SUBSTITUTE(SUBSTITUTE(SUBSTITUTE(SUBSTITUTE(SUBSTITUTE(SUBSTITUTE(SUBSTITUTE(SUBSTITUTE(SUBSTITUTE(SUBSTITUTE(SUBSTITUTE(SUBSTITUTE(SUBSTITUTE(SUBSTITUTE(SUBSTITUTE(UPPER(TRIM(A1450)),"[MEMBER]",""),"{MEMBER}",""),"[MEMBER}",""),"MEMBER]",""),"(A)",""),"""",""),"“",""),"”",""),".",""),":",""),",",""),"–"," "),"-"," "),"/"," "),"&amp;"," AND "))&amp;" "," THE "," ")," TOTAL "," ")," OPERATIONS "," "))</f>
        <v>REPUBLIC OF MALI</v>
      </c>
      <c r="O1450" s="17" t="str">
        <f aca="false">IF(COUNTIFS($N$2:$N$2000,N1450,$D$2:$D$2000,"&lt;&gt;"&amp;D1450)&gt;0,"CONFLICT","")</f>
        <v/>
      </c>
      <c r="P1450" s="7" t="s">
        <v>1936</v>
      </c>
    </row>
    <row r="1451" customFormat="false" ht="15" hidden="false" customHeight="false" outlineLevel="0" collapsed="false">
      <c r="A1451" s="7" t="s">
        <v>2625</v>
      </c>
      <c r="B1451" s="7" t="s">
        <v>1879</v>
      </c>
      <c r="C1451" s="7"/>
      <c r="D1451" s="6" t="s">
        <v>873</v>
      </c>
      <c r="E1451" s="6" t="s">
        <v>1880</v>
      </c>
      <c r="F1451" s="7" t="str">
        <f aca="false">IF($D1451="","",IFERROR(IF(INDEX(Hierarchy!$B$2:$B$1295,MATCH($D1451,Hierarchy!$A$2:$A$1295,0))="","",INDEX(Hierarchy!$B$2:$B$1295,MATCH($D1451,Hierarchy!$A$2:$A$1295,0))),"NODE NOT FOUND"))</f>
        <v>Country</v>
      </c>
      <c r="G1451" s="7" t="str">
        <f aca="false">IF($D1451="","",IFERROR(IF(INDEX(Hierarchy!$D$2:$D$1295,MATCH($D1451,Hierarchy!$A$2:$A$1295,0))="","",INDEX(Hierarchy!$D$2:$D$1295,MATCH($D1451,Hierarchy!$A$2:$A$1295,0))),"NODE NOT FOUND"))</f>
        <v>EMEA</v>
      </c>
      <c r="H1451" s="7" t="str">
        <f aca="false">IF($D1451="","",IFERROR(IF(INDEX(Hierarchy!$E$2:$E$1295,MATCH($D1451,Hierarchy!$A$2:$A$1295,0))="","",INDEX(Hierarchy!$E$2:$E$1295,MATCH($D1451,Hierarchy!$A$2:$A$1295,0))),"NODE NOT FOUND"))</f>
        <v>Europe</v>
      </c>
      <c r="I1451" s="7" t="str">
        <f aca="false">IF($D1451="","",IFERROR(IF(INDEX(Hierarchy!$F$2:$F$1295,MATCH($D1451,Hierarchy!$A$2:$A$1295,0))="","",INDEX(Hierarchy!$F$2:$F$1295,MATCH($D1451,Hierarchy!$A$2:$A$1295,0))),"NODE NOT FOUND"))</f>
        <v>Malta</v>
      </c>
      <c r="J1451" s="7" t="str">
        <f aca="false">IF($D1451="","",IFERROR(IF(INDEX(Hierarchy!$G$2:$G$1295,MATCH($D1451,Hierarchy!$A$2:$A$1295,0))="","",INDEX(Hierarchy!$G$2:$G$1295,MATCH($D1451,Hierarchy!$A$2:$A$1295,0))),"NODE NOT FOUND"))</f>
        <v>MLT</v>
      </c>
      <c r="K1451" s="7" t="str">
        <f aca="false">IF($D1451="","",IFERROR(IF(INDEX(Hierarchy!$H$2:$H$1295,MATCH($D1451,Hierarchy!$A$2:$A$1295,0))="","",INDEX(Hierarchy!$H$2:$H$1295,MATCH($D1451,Hierarchy!$A$2:$A$1295,0))),"NODE NOT FOUND"))</f>
        <v/>
      </c>
      <c r="L1451" s="7" t="str">
        <f aca="false">IF($D1451="","",IFERROR(IF(INDEX(Hierarchy!$I$2:$I$1295,MATCH($D1451,Hierarchy!$A$2:$A$1295,0))="","",INDEX(Hierarchy!$I$2:$I$1295,MATCH($D1451,Hierarchy!$A$2:$A$1295,0))),"NODE NOT FOUND"))</f>
        <v/>
      </c>
      <c r="M1451" s="17" t="str">
        <f aca="false">IF(B1451="Pre-seeded","Pre-seeded",IF(B1451="Review 2026-09-16","Added from review",IF(C1451="","New",IF(C1451=D1451,"","Changed"))))</f>
        <v>Pre-seeded</v>
      </c>
      <c r="N1451" s="7" t="str">
        <f aca="false">TRIM(SUBSTITUTE(SUBSTITUTE(SUBSTITUTE(" "&amp;TRIM(SUBSTITUTE(SUBSTITUTE(SUBSTITUTE(SUBSTITUTE(SUBSTITUTE(SUBSTITUTE(SUBSTITUTE(SUBSTITUTE(SUBSTITUTE(SUBSTITUTE(SUBSTITUTE(SUBSTITUTE(SUBSTITUTE(SUBSTITUTE(SUBSTITUTE(UPPER(TRIM(A1451)),"[MEMBER]",""),"{MEMBER}",""),"[MEMBER}",""),"MEMBER]",""),"(A)",""),"""",""),"“",""),"”",""),".",""),":",""),",",""),"–"," "),"-"," "),"/"," "),"&amp;"," AND "))&amp;" "," THE "," ")," TOTAL "," ")," OPERATIONS "," "))</f>
        <v>REPUBLIC OF MALTA</v>
      </c>
      <c r="O1451" s="17" t="str">
        <f aca="false">IF(COUNTIFS($N$2:$N$2000,N1451,$D$2:$D$2000,"&lt;&gt;"&amp;D1451)&gt;0,"CONFLICT","")</f>
        <v/>
      </c>
      <c r="P1451" s="7" t="s">
        <v>1936</v>
      </c>
    </row>
    <row r="1452" customFormat="false" ht="15" hidden="false" customHeight="false" outlineLevel="0" collapsed="false">
      <c r="A1452" s="7" t="s">
        <v>2626</v>
      </c>
      <c r="B1452" s="7" t="s">
        <v>1879</v>
      </c>
      <c r="C1452" s="7"/>
      <c r="D1452" s="6" t="s">
        <v>1257</v>
      </c>
      <c r="E1452" s="6" t="s">
        <v>1880</v>
      </c>
      <c r="F1452" s="7" t="str">
        <f aca="false">IF($D1452="","",IFERROR(IF(INDEX(Hierarchy!$B$2:$B$1295,MATCH($D1452,Hierarchy!$A$2:$A$1295,0))="","",INDEX(Hierarchy!$B$2:$B$1295,MATCH($D1452,Hierarchy!$A$2:$A$1295,0))),"NODE NOT FOUND"))</f>
        <v>Country</v>
      </c>
      <c r="G1452" s="7" t="str">
        <f aca="false">IF($D1452="","",IFERROR(IF(INDEX(Hierarchy!$D$2:$D$1295,MATCH($D1452,Hierarchy!$A$2:$A$1295,0))="","",INDEX(Hierarchy!$D$2:$D$1295,MATCH($D1452,Hierarchy!$A$2:$A$1295,0))),"NODE NOT FOUND"))</f>
        <v>EMEA</v>
      </c>
      <c r="H1452" s="7" t="str">
        <f aca="false">IF($D1452="","",IFERROR(IF(INDEX(Hierarchy!$E$2:$E$1295,MATCH($D1452,Hierarchy!$A$2:$A$1295,0))="","",INDEX(Hierarchy!$E$2:$E$1295,MATCH($D1452,Hierarchy!$A$2:$A$1295,0))),"NODE NOT FOUND"))</f>
        <v>Africa</v>
      </c>
      <c r="I1452" s="7" t="str">
        <f aca="false">IF($D1452="","",IFERROR(IF(INDEX(Hierarchy!$F$2:$F$1295,MATCH($D1452,Hierarchy!$A$2:$A$1295,0))="","",INDEX(Hierarchy!$F$2:$F$1295,MATCH($D1452,Hierarchy!$A$2:$A$1295,0))),"NODE NOT FOUND"))</f>
        <v>Mauritius</v>
      </c>
      <c r="J1452" s="7" t="str">
        <f aca="false">IF($D1452="","",IFERROR(IF(INDEX(Hierarchy!$G$2:$G$1295,MATCH($D1452,Hierarchy!$A$2:$A$1295,0))="","",INDEX(Hierarchy!$G$2:$G$1295,MATCH($D1452,Hierarchy!$A$2:$A$1295,0))),"NODE NOT FOUND"))</f>
        <v>MUS</v>
      </c>
      <c r="K1452" s="7" t="str">
        <f aca="false">IF($D1452="","",IFERROR(IF(INDEX(Hierarchy!$H$2:$H$1295,MATCH($D1452,Hierarchy!$A$2:$A$1295,0))="","",INDEX(Hierarchy!$H$2:$H$1295,MATCH($D1452,Hierarchy!$A$2:$A$1295,0))),"NODE NOT FOUND"))</f>
        <v/>
      </c>
      <c r="L1452" s="7" t="str">
        <f aca="false">IF($D1452="","",IFERROR(IF(INDEX(Hierarchy!$I$2:$I$1295,MATCH($D1452,Hierarchy!$A$2:$A$1295,0))="","",INDEX(Hierarchy!$I$2:$I$1295,MATCH($D1452,Hierarchy!$A$2:$A$1295,0))),"NODE NOT FOUND"))</f>
        <v/>
      </c>
      <c r="M1452" s="17" t="str">
        <f aca="false">IF(B1452="Pre-seeded","Pre-seeded",IF(B1452="Review 2026-09-16","Added from review",IF(C1452="","New",IF(C1452=D1452,"","Changed"))))</f>
        <v>Pre-seeded</v>
      </c>
      <c r="N1452" s="7" t="str">
        <f aca="false">TRIM(SUBSTITUTE(SUBSTITUTE(SUBSTITUTE(" "&amp;TRIM(SUBSTITUTE(SUBSTITUTE(SUBSTITUTE(SUBSTITUTE(SUBSTITUTE(SUBSTITUTE(SUBSTITUTE(SUBSTITUTE(SUBSTITUTE(SUBSTITUTE(SUBSTITUTE(SUBSTITUTE(SUBSTITUTE(SUBSTITUTE(SUBSTITUTE(UPPER(TRIM(A1452)),"[MEMBER]",""),"{MEMBER}",""),"[MEMBER}",""),"MEMBER]",""),"(A)",""),"""",""),"“",""),"”",""),".",""),":",""),",",""),"–"," "),"-"," "),"/"," "),"&amp;"," AND "))&amp;" "," THE "," ")," TOTAL "," ")," OPERATIONS "," "))</f>
        <v>REPUBLIC OF MAURITIUS</v>
      </c>
      <c r="O1452" s="17" t="str">
        <f aca="false">IF(COUNTIFS($N$2:$N$2000,N1452,$D$2:$D$2000,"&lt;&gt;"&amp;D1452)&gt;0,"CONFLICT","")</f>
        <v/>
      </c>
      <c r="P1452" s="7" t="s">
        <v>1936</v>
      </c>
    </row>
    <row r="1453" customFormat="false" ht="15" hidden="false" customHeight="false" outlineLevel="0" collapsed="false">
      <c r="A1453" s="7" t="s">
        <v>2627</v>
      </c>
      <c r="B1453" s="7" t="s">
        <v>1879</v>
      </c>
      <c r="C1453" s="7"/>
      <c r="D1453" s="6" t="s">
        <v>876</v>
      </c>
      <c r="E1453" s="6" t="s">
        <v>1880</v>
      </c>
      <c r="F1453" s="7" t="str">
        <f aca="false">IF($D1453="","",IFERROR(IF(INDEX(Hierarchy!$B$2:$B$1295,MATCH($D1453,Hierarchy!$A$2:$A$1295,0))="","",INDEX(Hierarchy!$B$2:$B$1295,MATCH($D1453,Hierarchy!$A$2:$A$1295,0))),"NODE NOT FOUND"))</f>
        <v>Country</v>
      </c>
      <c r="G1453" s="7" t="str">
        <f aca="false">IF($D1453="","",IFERROR(IF(INDEX(Hierarchy!$D$2:$D$1295,MATCH($D1453,Hierarchy!$A$2:$A$1295,0))="","",INDEX(Hierarchy!$D$2:$D$1295,MATCH($D1453,Hierarchy!$A$2:$A$1295,0))),"NODE NOT FOUND"))</f>
        <v>EMEA</v>
      </c>
      <c r="H1453" s="7" t="str">
        <f aca="false">IF($D1453="","",IFERROR(IF(INDEX(Hierarchy!$E$2:$E$1295,MATCH($D1453,Hierarchy!$A$2:$A$1295,0))="","",INDEX(Hierarchy!$E$2:$E$1295,MATCH($D1453,Hierarchy!$A$2:$A$1295,0))),"NODE NOT FOUND"))</f>
        <v>Europe</v>
      </c>
      <c r="I1453" s="7" t="str">
        <f aca="false">IF($D1453="","",IFERROR(IF(INDEX(Hierarchy!$F$2:$F$1295,MATCH($D1453,Hierarchy!$A$2:$A$1295,0))="","",INDEX(Hierarchy!$F$2:$F$1295,MATCH($D1453,Hierarchy!$A$2:$A$1295,0))),"NODE NOT FOUND"))</f>
        <v>Moldova</v>
      </c>
      <c r="J1453" s="7" t="str">
        <f aca="false">IF($D1453="","",IFERROR(IF(INDEX(Hierarchy!$G$2:$G$1295,MATCH($D1453,Hierarchy!$A$2:$A$1295,0))="","",INDEX(Hierarchy!$G$2:$G$1295,MATCH($D1453,Hierarchy!$A$2:$A$1295,0))),"NODE NOT FOUND"))</f>
        <v>MDA</v>
      </c>
      <c r="K1453" s="7" t="str">
        <f aca="false">IF($D1453="","",IFERROR(IF(INDEX(Hierarchy!$H$2:$H$1295,MATCH($D1453,Hierarchy!$A$2:$A$1295,0))="","",INDEX(Hierarchy!$H$2:$H$1295,MATCH($D1453,Hierarchy!$A$2:$A$1295,0))),"NODE NOT FOUND"))</f>
        <v/>
      </c>
      <c r="L1453" s="7" t="str">
        <f aca="false">IF($D1453="","",IFERROR(IF(INDEX(Hierarchy!$I$2:$I$1295,MATCH($D1453,Hierarchy!$A$2:$A$1295,0))="","",INDEX(Hierarchy!$I$2:$I$1295,MATCH($D1453,Hierarchy!$A$2:$A$1295,0))),"NODE NOT FOUND"))</f>
        <v/>
      </c>
      <c r="M1453" s="17" t="str">
        <f aca="false">IF(B1453="Pre-seeded","Pre-seeded",IF(B1453="Review 2026-09-16","Added from review",IF(C1453="","New",IF(C1453=D1453,"","Changed"))))</f>
        <v>Pre-seeded</v>
      </c>
      <c r="N1453" s="7" t="str">
        <f aca="false">TRIM(SUBSTITUTE(SUBSTITUTE(SUBSTITUTE(" "&amp;TRIM(SUBSTITUTE(SUBSTITUTE(SUBSTITUTE(SUBSTITUTE(SUBSTITUTE(SUBSTITUTE(SUBSTITUTE(SUBSTITUTE(SUBSTITUTE(SUBSTITUTE(SUBSTITUTE(SUBSTITUTE(SUBSTITUTE(SUBSTITUTE(SUBSTITUTE(UPPER(TRIM(A1453)),"[MEMBER]",""),"{MEMBER}",""),"[MEMBER}",""),"MEMBER]",""),"(A)",""),"""",""),"“",""),"”",""),".",""),":",""),",",""),"–"," "),"-"," "),"/"," "),"&amp;"," AND "))&amp;" "," THE "," ")," TOTAL "," ")," OPERATIONS "," "))</f>
        <v>REPUBLIC OF MOLDOVA</v>
      </c>
      <c r="O1453" s="17" t="str">
        <f aca="false">IF(COUNTIFS($N$2:$N$2000,N1453,$D$2:$D$2000,"&lt;&gt;"&amp;D1453)&gt;0,"CONFLICT","")</f>
        <v/>
      </c>
      <c r="P1453" s="7" t="s">
        <v>1936</v>
      </c>
    </row>
    <row r="1454" customFormat="false" ht="15" hidden="false" customHeight="false" outlineLevel="0" collapsed="false">
      <c r="A1454" s="7" t="s">
        <v>2628</v>
      </c>
      <c r="B1454" s="7" t="s">
        <v>1879</v>
      </c>
      <c r="C1454" s="7"/>
      <c r="D1454" s="6" t="s">
        <v>1265</v>
      </c>
      <c r="E1454" s="6" t="s">
        <v>1880</v>
      </c>
      <c r="F1454" s="7" t="str">
        <f aca="false">IF($D1454="","",IFERROR(IF(INDEX(Hierarchy!$B$2:$B$1295,MATCH($D1454,Hierarchy!$A$2:$A$1295,0))="","",INDEX(Hierarchy!$B$2:$B$1295,MATCH($D1454,Hierarchy!$A$2:$A$1295,0))),"NODE NOT FOUND"))</f>
        <v>Country</v>
      </c>
      <c r="G1454" s="7" t="str">
        <f aca="false">IF($D1454="","",IFERROR(IF(INDEX(Hierarchy!$D$2:$D$1295,MATCH($D1454,Hierarchy!$A$2:$A$1295,0))="","",INDEX(Hierarchy!$D$2:$D$1295,MATCH($D1454,Hierarchy!$A$2:$A$1295,0))),"NODE NOT FOUND"))</f>
        <v>EMEA</v>
      </c>
      <c r="H1454" s="7" t="str">
        <f aca="false">IF($D1454="","",IFERROR(IF(INDEX(Hierarchy!$E$2:$E$1295,MATCH($D1454,Hierarchy!$A$2:$A$1295,0))="","",INDEX(Hierarchy!$E$2:$E$1295,MATCH($D1454,Hierarchy!$A$2:$A$1295,0))),"NODE NOT FOUND"))</f>
        <v>Africa</v>
      </c>
      <c r="I1454" s="7" t="str">
        <f aca="false">IF($D1454="","",IFERROR(IF(INDEX(Hierarchy!$F$2:$F$1295,MATCH($D1454,Hierarchy!$A$2:$A$1295,0))="","",INDEX(Hierarchy!$F$2:$F$1295,MATCH($D1454,Hierarchy!$A$2:$A$1295,0))),"NODE NOT FOUND"))</f>
        <v>Mozambique</v>
      </c>
      <c r="J1454" s="7" t="str">
        <f aca="false">IF($D1454="","",IFERROR(IF(INDEX(Hierarchy!$G$2:$G$1295,MATCH($D1454,Hierarchy!$A$2:$A$1295,0))="","",INDEX(Hierarchy!$G$2:$G$1295,MATCH($D1454,Hierarchy!$A$2:$A$1295,0))),"NODE NOT FOUND"))</f>
        <v>MOZ</v>
      </c>
      <c r="K1454" s="7" t="str">
        <f aca="false">IF($D1454="","",IFERROR(IF(INDEX(Hierarchy!$H$2:$H$1295,MATCH($D1454,Hierarchy!$A$2:$A$1295,0))="","",INDEX(Hierarchy!$H$2:$H$1295,MATCH($D1454,Hierarchy!$A$2:$A$1295,0))),"NODE NOT FOUND"))</f>
        <v/>
      </c>
      <c r="L1454" s="7" t="str">
        <f aca="false">IF($D1454="","",IFERROR(IF(INDEX(Hierarchy!$I$2:$I$1295,MATCH($D1454,Hierarchy!$A$2:$A$1295,0))="","",INDEX(Hierarchy!$I$2:$I$1295,MATCH($D1454,Hierarchy!$A$2:$A$1295,0))),"NODE NOT FOUND"))</f>
        <v/>
      </c>
      <c r="M1454" s="17" t="str">
        <f aca="false">IF(B1454="Pre-seeded","Pre-seeded",IF(B1454="Review 2026-09-16","Added from review",IF(C1454="","New",IF(C1454=D1454,"","Changed"))))</f>
        <v>Pre-seeded</v>
      </c>
      <c r="N1454" s="7" t="str">
        <f aca="false">TRIM(SUBSTITUTE(SUBSTITUTE(SUBSTITUTE(" "&amp;TRIM(SUBSTITUTE(SUBSTITUTE(SUBSTITUTE(SUBSTITUTE(SUBSTITUTE(SUBSTITUTE(SUBSTITUTE(SUBSTITUTE(SUBSTITUTE(SUBSTITUTE(SUBSTITUTE(SUBSTITUTE(SUBSTITUTE(SUBSTITUTE(SUBSTITUTE(UPPER(TRIM(A1454)),"[MEMBER]",""),"{MEMBER}",""),"[MEMBER}",""),"MEMBER]",""),"(A)",""),"""",""),"“",""),"”",""),".",""),":",""),",",""),"–"," "),"-"," "),"/"," "),"&amp;"," AND "))&amp;" "," THE "," ")," TOTAL "," ")," OPERATIONS "," "))</f>
        <v>REPUBLIC OF MOZAMBIQUE</v>
      </c>
      <c r="O1454" s="17" t="str">
        <f aca="false">IF(COUNTIFS($N$2:$N$2000,N1454,$D$2:$D$2000,"&lt;&gt;"&amp;D1454)&gt;0,"CONFLICT","")</f>
        <v/>
      </c>
      <c r="P1454" s="7" t="s">
        <v>1936</v>
      </c>
    </row>
    <row r="1455" customFormat="false" ht="15" hidden="false" customHeight="false" outlineLevel="0" collapsed="false">
      <c r="A1455" s="7" t="s">
        <v>2629</v>
      </c>
      <c r="B1455" s="7" t="s">
        <v>1879</v>
      </c>
      <c r="C1455" s="7"/>
      <c r="D1455" s="6" t="s">
        <v>1659</v>
      </c>
      <c r="E1455" s="6" t="s">
        <v>1880</v>
      </c>
      <c r="F1455" s="7" t="str">
        <f aca="false">IF($D1455="","",IFERROR(IF(INDEX(Hierarchy!$B$2:$B$1295,MATCH($D1455,Hierarchy!$A$2:$A$1295,0))="","",INDEX(Hierarchy!$B$2:$B$1295,MATCH($D1455,Hierarchy!$A$2:$A$1295,0))),"NODE NOT FOUND"))</f>
        <v>Country</v>
      </c>
      <c r="G1455" s="7" t="str">
        <f aca="false">IF($D1455="","",IFERROR(IF(INDEX(Hierarchy!$D$2:$D$1295,MATCH($D1455,Hierarchy!$A$2:$A$1295,0))="","",INDEX(Hierarchy!$D$2:$D$1295,MATCH($D1455,Hierarchy!$A$2:$A$1295,0))),"NODE NOT FOUND"))</f>
        <v>APAC</v>
      </c>
      <c r="H1455" s="7" t="str">
        <f aca="false">IF($D1455="","",IFERROR(IF(INDEX(Hierarchy!$E$2:$E$1295,MATCH($D1455,Hierarchy!$A$2:$A$1295,0))="","",INDEX(Hierarchy!$E$2:$E$1295,MATCH($D1455,Hierarchy!$A$2:$A$1295,0))),"NODE NOT FOUND"))</f>
        <v>Southeast Asia (ASEAN)</v>
      </c>
      <c r="I1455" s="7" t="str">
        <f aca="false">IF($D1455="","",IFERROR(IF(INDEX(Hierarchy!$F$2:$F$1295,MATCH($D1455,Hierarchy!$A$2:$A$1295,0))="","",INDEX(Hierarchy!$F$2:$F$1295,MATCH($D1455,Hierarchy!$A$2:$A$1295,0))),"NODE NOT FOUND"))</f>
        <v>Myanmar</v>
      </c>
      <c r="J1455" s="7" t="str">
        <f aca="false">IF($D1455="","",IFERROR(IF(INDEX(Hierarchy!$G$2:$G$1295,MATCH($D1455,Hierarchy!$A$2:$A$1295,0))="","",INDEX(Hierarchy!$G$2:$G$1295,MATCH($D1455,Hierarchy!$A$2:$A$1295,0))),"NODE NOT FOUND"))</f>
        <v>MMR</v>
      </c>
      <c r="K1455" s="7" t="str">
        <f aca="false">IF($D1455="","",IFERROR(IF(INDEX(Hierarchy!$H$2:$H$1295,MATCH($D1455,Hierarchy!$A$2:$A$1295,0))="","",INDEX(Hierarchy!$H$2:$H$1295,MATCH($D1455,Hierarchy!$A$2:$A$1295,0))),"NODE NOT FOUND"))</f>
        <v/>
      </c>
      <c r="L1455" s="7" t="str">
        <f aca="false">IF($D1455="","",IFERROR(IF(INDEX(Hierarchy!$I$2:$I$1295,MATCH($D1455,Hierarchy!$A$2:$A$1295,0))="","",INDEX(Hierarchy!$I$2:$I$1295,MATCH($D1455,Hierarchy!$A$2:$A$1295,0))),"NODE NOT FOUND"))</f>
        <v/>
      </c>
      <c r="M1455" s="17" t="str">
        <f aca="false">IF(B1455="Pre-seeded","Pre-seeded",IF(B1455="Review 2026-09-16","Added from review",IF(C1455="","New",IF(C1455=D1455,"","Changed"))))</f>
        <v>Pre-seeded</v>
      </c>
      <c r="N1455" s="7" t="str">
        <f aca="false">TRIM(SUBSTITUTE(SUBSTITUTE(SUBSTITUTE(" "&amp;TRIM(SUBSTITUTE(SUBSTITUTE(SUBSTITUTE(SUBSTITUTE(SUBSTITUTE(SUBSTITUTE(SUBSTITUTE(SUBSTITUTE(SUBSTITUTE(SUBSTITUTE(SUBSTITUTE(SUBSTITUTE(SUBSTITUTE(SUBSTITUTE(SUBSTITUTE(UPPER(TRIM(A1455)),"[MEMBER]",""),"{MEMBER}",""),"[MEMBER}",""),"MEMBER]",""),"(A)",""),"""",""),"“",""),"”",""),".",""),":",""),",",""),"–"," "),"-"," "),"/"," "),"&amp;"," AND "))&amp;" "," THE "," ")," TOTAL "," ")," OPERATIONS "," "))</f>
        <v>REPUBLIC OF MYANMAR</v>
      </c>
      <c r="O1455" s="17" t="str">
        <f aca="false">IF(COUNTIFS($N$2:$N$2000,N1455,$D$2:$D$2000,"&lt;&gt;"&amp;D1455)&gt;0,"CONFLICT","")</f>
        <v/>
      </c>
      <c r="P1455" s="7" t="s">
        <v>1936</v>
      </c>
    </row>
    <row r="1456" customFormat="false" ht="15" hidden="false" customHeight="false" outlineLevel="0" collapsed="false">
      <c r="A1456" s="7" t="s">
        <v>2630</v>
      </c>
      <c r="B1456" s="7" t="s">
        <v>1879</v>
      </c>
      <c r="C1456" s="7"/>
      <c r="D1456" s="6" t="s">
        <v>1267</v>
      </c>
      <c r="E1456" s="6" t="s">
        <v>1880</v>
      </c>
      <c r="F1456" s="7" t="str">
        <f aca="false">IF($D1456="","",IFERROR(IF(INDEX(Hierarchy!$B$2:$B$1295,MATCH($D1456,Hierarchy!$A$2:$A$1295,0))="","",INDEX(Hierarchy!$B$2:$B$1295,MATCH($D1456,Hierarchy!$A$2:$A$1295,0))),"NODE NOT FOUND"))</f>
        <v>Country</v>
      </c>
      <c r="G1456" s="7" t="str">
        <f aca="false">IF($D1456="","",IFERROR(IF(INDEX(Hierarchy!$D$2:$D$1295,MATCH($D1456,Hierarchy!$A$2:$A$1295,0))="","",INDEX(Hierarchy!$D$2:$D$1295,MATCH($D1456,Hierarchy!$A$2:$A$1295,0))),"NODE NOT FOUND"))</f>
        <v>EMEA</v>
      </c>
      <c r="H1456" s="7" t="str">
        <f aca="false">IF($D1456="","",IFERROR(IF(INDEX(Hierarchy!$E$2:$E$1295,MATCH($D1456,Hierarchy!$A$2:$A$1295,0))="","",INDEX(Hierarchy!$E$2:$E$1295,MATCH($D1456,Hierarchy!$A$2:$A$1295,0))),"NODE NOT FOUND"))</f>
        <v>Africa</v>
      </c>
      <c r="I1456" s="7" t="str">
        <f aca="false">IF($D1456="","",IFERROR(IF(INDEX(Hierarchy!$F$2:$F$1295,MATCH($D1456,Hierarchy!$A$2:$A$1295,0))="","",INDEX(Hierarchy!$F$2:$F$1295,MATCH($D1456,Hierarchy!$A$2:$A$1295,0))),"NODE NOT FOUND"))</f>
        <v>Namibia</v>
      </c>
      <c r="J1456" s="7" t="str">
        <f aca="false">IF($D1456="","",IFERROR(IF(INDEX(Hierarchy!$G$2:$G$1295,MATCH($D1456,Hierarchy!$A$2:$A$1295,0))="","",INDEX(Hierarchy!$G$2:$G$1295,MATCH($D1456,Hierarchy!$A$2:$A$1295,0))),"NODE NOT FOUND"))</f>
        <v>NAM</v>
      </c>
      <c r="K1456" s="7" t="str">
        <f aca="false">IF($D1456="","",IFERROR(IF(INDEX(Hierarchy!$H$2:$H$1295,MATCH($D1456,Hierarchy!$A$2:$A$1295,0))="","",INDEX(Hierarchy!$H$2:$H$1295,MATCH($D1456,Hierarchy!$A$2:$A$1295,0))),"NODE NOT FOUND"))</f>
        <v/>
      </c>
      <c r="L1456" s="7" t="str">
        <f aca="false">IF($D1456="","",IFERROR(IF(INDEX(Hierarchy!$I$2:$I$1295,MATCH($D1456,Hierarchy!$A$2:$A$1295,0))="","",INDEX(Hierarchy!$I$2:$I$1295,MATCH($D1456,Hierarchy!$A$2:$A$1295,0))),"NODE NOT FOUND"))</f>
        <v/>
      </c>
      <c r="M1456" s="17" t="str">
        <f aca="false">IF(B1456="Pre-seeded","Pre-seeded",IF(B1456="Review 2026-09-16","Added from review",IF(C1456="","New",IF(C1456=D1456,"","Changed"))))</f>
        <v>Pre-seeded</v>
      </c>
      <c r="N1456" s="7" t="str">
        <f aca="false">TRIM(SUBSTITUTE(SUBSTITUTE(SUBSTITUTE(" "&amp;TRIM(SUBSTITUTE(SUBSTITUTE(SUBSTITUTE(SUBSTITUTE(SUBSTITUTE(SUBSTITUTE(SUBSTITUTE(SUBSTITUTE(SUBSTITUTE(SUBSTITUTE(SUBSTITUTE(SUBSTITUTE(SUBSTITUTE(SUBSTITUTE(SUBSTITUTE(UPPER(TRIM(A1456)),"[MEMBER]",""),"{MEMBER}",""),"[MEMBER}",""),"MEMBER]",""),"(A)",""),"""",""),"“",""),"”",""),".",""),":",""),",",""),"–"," "),"-"," "),"/"," "),"&amp;"," AND "))&amp;" "," THE "," ")," TOTAL "," ")," OPERATIONS "," "))</f>
        <v>REPUBLIC OF NAMIBIA</v>
      </c>
      <c r="O1456" s="17" t="str">
        <f aca="false">IF(COUNTIFS($N$2:$N$2000,N1456,$D$2:$D$2000,"&lt;&gt;"&amp;D1456)&gt;0,"CONFLICT","")</f>
        <v/>
      </c>
      <c r="P1456" s="7" t="s">
        <v>1936</v>
      </c>
    </row>
    <row r="1457" customFormat="false" ht="15" hidden="false" customHeight="false" outlineLevel="0" collapsed="false">
      <c r="A1457" s="7" t="s">
        <v>2631</v>
      </c>
      <c r="B1457" s="7" t="s">
        <v>1879</v>
      </c>
      <c r="C1457" s="7"/>
      <c r="D1457" s="6" t="s">
        <v>1756</v>
      </c>
      <c r="E1457" s="6" t="s">
        <v>1880</v>
      </c>
      <c r="F1457" s="7" t="str">
        <f aca="false">IF($D1457="","",IFERROR(IF(INDEX(Hierarchy!$B$2:$B$1295,MATCH($D1457,Hierarchy!$A$2:$A$1295,0))="","",INDEX(Hierarchy!$B$2:$B$1295,MATCH($D1457,Hierarchy!$A$2:$A$1295,0))),"NODE NOT FOUND"))</f>
        <v>Country</v>
      </c>
      <c r="G1457" s="7" t="str">
        <f aca="false">IF($D1457="","",IFERROR(IF(INDEX(Hierarchy!$D$2:$D$1295,MATCH($D1457,Hierarchy!$A$2:$A$1295,0))="","",INDEX(Hierarchy!$D$2:$D$1295,MATCH($D1457,Hierarchy!$A$2:$A$1295,0))),"NODE NOT FOUND"))</f>
        <v>APAC</v>
      </c>
      <c r="H1457" s="7" t="str">
        <f aca="false">IF($D1457="","",IFERROR(IF(INDEX(Hierarchy!$E$2:$E$1295,MATCH($D1457,Hierarchy!$A$2:$A$1295,0))="","",INDEX(Hierarchy!$E$2:$E$1295,MATCH($D1457,Hierarchy!$A$2:$A$1295,0))),"NODE NOT FOUND"))</f>
        <v>Oceania (ANZ)</v>
      </c>
      <c r="I1457" s="7" t="str">
        <f aca="false">IF($D1457="","",IFERROR(IF(INDEX(Hierarchy!$F$2:$F$1295,MATCH($D1457,Hierarchy!$A$2:$A$1295,0))="","",INDEX(Hierarchy!$F$2:$F$1295,MATCH($D1457,Hierarchy!$A$2:$A$1295,0))),"NODE NOT FOUND"))</f>
        <v>Nauru</v>
      </c>
      <c r="J1457" s="7" t="str">
        <f aca="false">IF($D1457="","",IFERROR(IF(INDEX(Hierarchy!$G$2:$G$1295,MATCH($D1457,Hierarchy!$A$2:$A$1295,0))="","",INDEX(Hierarchy!$G$2:$G$1295,MATCH($D1457,Hierarchy!$A$2:$A$1295,0))),"NODE NOT FOUND"))</f>
        <v>NRU</v>
      </c>
      <c r="K1457" s="7" t="str">
        <f aca="false">IF($D1457="","",IFERROR(IF(INDEX(Hierarchy!$H$2:$H$1295,MATCH($D1457,Hierarchy!$A$2:$A$1295,0))="","",INDEX(Hierarchy!$H$2:$H$1295,MATCH($D1457,Hierarchy!$A$2:$A$1295,0))),"NODE NOT FOUND"))</f>
        <v/>
      </c>
      <c r="L1457" s="7" t="str">
        <f aca="false">IF($D1457="","",IFERROR(IF(INDEX(Hierarchy!$I$2:$I$1295,MATCH($D1457,Hierarchy!$A$2:$A$1295,0))="","",INDEX(Hierarchy!$I$2:$I$1295,MATCH($D1457,Hierarchy!$A$2:$A$1295,0))),"NODE NOT FOUND"))</f>
        <v/>
      </c>
      <c r="M1457" s="17" t="str">
        <f aca="false">IF(B1457="Pre-seeded","Pre-seeded",IF(B1457="Review 2026-09-16","Added from review",IF(C1457="","New",IF(C1457=D1457,"","Changed"))))</f>
        <v>Pre-seeded</v>
      </c>
      <c r="N1457" s="7" t="str">
        <f aca="false">TRIM(SUBSTITUTE(SUBSTITUTE(SUBSTITUTE(" "&amp;TRIM(SUBSTITUTE(SUBSTITUTE(SUBSTITUTE(SUBSTITUTE(SUBSTITUTE(SUBSTITUTE(SUBSTITUTE(SUBSTITUTE(SUBSTITUTE(SUBSTITUTE(SUBSTITUTE(SUBSTITUTE(SUBSTITUTE(SUBSTITUTE(SUBSTITUTE(UPPER(TRIM(A1457)),"[MEMBER]",""),"{MEMBER}",""),"[MEMBER}",""),"MEMBER]",""),"(A)",""),"""",""),"“",""),"”",""),".",""),":",""),",",""),"–"," "),"-"," "),"/"," "),"&amp;"," AND "))&amp;" "," THE "," ")," TOTAL "," ")," OPERATIONS "," "))</f>
        <v>REPUBLIC OF NAURU</v>
      </c>
      <c r="O1457" s="17" t="str">
        <f aca="false">IF(COUNTIFS($N$2:$N$2000,N1457,$D$2:$D$2000,"&lt;&gt;"&amp;D1457)&gt;0,"CONFLICT","")</f>
        <v/>
      </c>
      <c r="P1457" s="7" t="s">
        <v>1936</v>
      </c>
    </row>
    <row r="1458" customFormat="false" ht="15" hidden="false" customHeight="false" outlineLevel="0" collapsed="false">
      <c r="A1458" s="7" t="s">
        <v>2632</v>
      </c>
      <c r="B1458" s="7" t="s">
        <v>1879</v>
      </c>
      <c r="C1458" s="7"/>
      <c r="D1458" s="6" t="s">
        <v>579</v>
      </c>
      <c r="E1458" s="6" t="s">
        <v>1880</v>
      </c>
      <c r="F1458" s="7" t="str">
        <f aca="false">IF($D1458="","",IFERROR(IF(INDEX(Hierarchy!$B$2:$B$1295,MATCH($D1458,Hierarchy!$A$2:$A$1295,0))="","",INDEX(Hierarchy!$B$2:$B$1295,MATCH($D1458,Hierarchy!$A$2:$A$1295,0))),"NODE NOT FOUND"))</f>
        <v>Country</v>
      </c>
      <c r="G1458" s="7" t="str">
        <f aca="false">IF($D1458="","",IFERROR(IF(INDEX(Hierarchy!$D$2:$D$1295,MATCH($D1458,Hierarchy!$A$2:$A$1295,0))="","",INDEX(Hierarchy!$D$2:$D$1295,MATCH($D1458,Hierarchy!$A$2:$A$1295,0))),"NODE NOT FOUND"))</f>
        <v>AMER</v>
      </c>
      <c r="H1458" s="7" t="str">
        <f aca="false">IF($D1458="","",IFERROR(IF(INDEX(Hierarchy!$E$2:$E$1295,MATCH($D1458,Hierarchy!$A$2:$A$1295,0))="","",INDEX(Hierarchy!$E$2:$E$1295,MATCH($D1458,Hierarchy!$A$2:$A$1295,0))),"NODE NOT FOUND"))</f>
        <v>Latin America (LATAM)</v>
      </c>
      <c r="I1458" s="7" t="str">
        <f aca="false">IF($D1458="","",IFERROR(IF(INDEX(Hierarchy!$F$2:$F$1295,MATCH($D1458,Hierarchy!$A$2:$A$1295,0))="","",INDEX(Hierarchy!$F$2:$F$1295,MATCH($D1458,Hierarchy!$A$2:$A$1295,0))),"NODE NOT FOUND"))</f>
        <v>Nicaragua</v>
      </c>
      <c r="J1458" s="7" t="str">
        <f aca="false">IF($D1458="","",IFERROR(IF(INDEX(Hierarchy!$G$2:$G$1295,MATCH($D1458,Hierarchy!$A$2:$A$1295,0))="","",INDEX(Hierarchy!$G$2:$G$1295,MATCH($D1458,Hierarchy!$A$2:$A$1295,0))),"NODE NOT FOUND"))</f>
        <v>NIC</v>
      </c>
      <c r="K1458" s="7" t="str">
        <f aca="false">IF($D1458="","",IFERROR(IF(INDEX(Hierarchy!$H$2:$H$1295,MATCH($D1458,Hierarchy!$A$2:$A$1295,0))="","",INDEX(Hierarchy!$H$2:$H$1295,MATCH($D1458,Hierarchy!$A$2:$A$1295,0))),"NODE NOT FOUND"))</f>
        <v/>
      </c>
      <c r="L1458" s="7" t="str">
        <f aca="false">IF($D1458="","",IFERROR(IF(INDEX(Hierarchy!$I$2:$I$1295,MATCH($D1458,Hierarchy!$A$2:$A$1295,0))="","",INDEX(Hierarchy!$I$2:$I$1295,MATCH($D1458,Hierarchy!$A$2:$A$1295,0))),"NODE NOT FOUND"))</f>
        <v/>
      </c>
      <c r="M1458" s="17" t="str">
        <f aca="false">IF(B1458="Pre-seeded","Pre-seeded",IF(B1458="Review 2026-09-16","Added from review",IF(C1458="","New",IF(C1458=D1458,"","Changed"))))</f>
        <v>Pre-seeded</v>
      </c>
      <c r="N1458" s="7" t="str">
        <f aca="false">TRIM(SUBSTITUTE(SUBSTITUTE(SUBSTITUTE(" "&amp;TRIM(SUBSTITUTE(SUBSTITUTE(SUBSTITUTE(SUBSTITUTE(SUBSTITUTE(SUBSTITUTE(SUBSTITUTE(SUBSTITUTE(SUBSTITUTE(SUBSTITUTE(SUBSTITUTE(SUBSTITUTE(SUBSTITUTE(SUBSTITUTE(SUBSTITUTE(UPPER(TRIM(A1458)),"[MEMBER]",""),"{MEMBER}",""),"[MEMBER}",""),"MEMBER]",""),"(A)",""),"""",""),"“",""),"”",""),".",""),":",""),",",""),"–"," "),"-"," "),"/"," "),"&amp;"," AND "))&amp;" "," THE "," ")," TOTAL "," ")," OPERATIONS "," "))</f>
        <v>REPUBLIC OF NICARAGUA</v>
      </c>
      <c r="O1458" s="17" t="str">
        <f aca="false">IF(COUNTIFS($N$2:$N$2000,N1458,$D$2:$D$2000,"&lt;&gt;"&amp;D1458)&gt;0,"CONFLICT","")</f>
        <v/>
      </c>
      <c r="P1458" s="7" t="s">
        <v>1936</v>
      </c>
    </row>
    <row r="1459" customFormat="false" ht="15" hidden="false" customHeight="false" outlineLevel="0" collapsed="false">
      <c r="A1459" s="7" t="s">
        <v>2633</v>
      </c>
      <c r="B1459" s="7" t="s">
        <v>1879</v>
      </c>
      <c r="C1459" s="7"/>
      <c r="D1459" s="6" t="s">
        <v>899</v>
      </c>
      <c r="E1459" s="6" t="s">
        <v>1880</v>
      </c>
      <c r="F1459" s="7" t="str">
        <f aca="false">IF($D1459="","",IFERROR(IF(INDEX(Hierarchy!$B$2:$B$1295,MATCH($D1459,Hierarchy!$A$2:$A$1295,0))="","",INDEX(Hierarchy!$B$2:$B$1295,MATCH($D1459,Hierarchy!$A$2:$A$1295,0))),"NODE NOT FOUND"))</f>
        <v>Country</v>
      </c>
      <c r="G1459" s="7" t="str">
        <f aca="false">IF($D1459="","",IFERROR(IF(INDEX(Hierarchy!$D$2:$D$1295,MATCH($D1459,Hierarchy!$A$2:$A$1295,0))="","",INDEX(Hierarchy!$D$2:$D$1295,MATCH($D1459,Hierarchy!$A$2:$A$1295,0))),"NODE NOT FOUND"))</f>
        <v>EMEA</v>
      </c>
      <c r="H1459" s="7" t="str">
        <f aca="false">IF($D1459="","",IFERROR(IF(INDEX(Hierarchy!$E$2:$E$1295,MATCH($D1459,Hierarchy!$A$2:$A$1295,0))="","",INDEX(Hierarchy!$E$2:$E$1295,MATCH($D1459,Hierarchy!$A$2:$A$1295,0))),"NODE NOT FOUND"))</f>
        <v>Europe</v>
      </c>
      <c r="I1459" s="7" t="str">
        <f aca="false">IF($D1459="","",IFERROR(IF(INDEX(Hierarchy!$F$2:$F$1295,MATCH($D1459,Hierarchy!$A$2:$A$1295,0))="","",INDEX(Hierarchy!$F$2:$F$1295,MATCH($D1459,Hierarchy!$A$2:$A$1295,0))),"NODE NOT FOUND"))</f>
        <v>North Macedonia</v>
      </c>
      <c r="J1459" s="7" t="str">
        <f aca="false">IF($D1459="","",IFERROR(IF(INDEX(Hierarchy!$G$2:$G$1295,MATCH($D1459,Hierarchy!$A$2:$A$1295,0))="","",INDEX(Hierarchy!$G$2:$G$1295,MATCH($D1459,Hierarchy!$A$2:$A$1295,0))),"NODE NOT FOUND"))</f>
        <v>MKD</v>
      </c>
      <c r="K1459" s="7" t="str">
        <f aca="false">IF($D1459="","",IFERROR(IF(INDEX(Hierarchy!$H$2:$H$1295,MATCH($D1459,Hierarchy!$A$2:$A$1295,0))="","",INDEX(Hierarchy!$H$2:$H$1295,MATCH($D1459,Hierarchy!$A$2:$A$1295,0))),"NODE NOT FOUND"))</f>
        <v/>
      </c>
      <c r="L1459" s="7" t="str">
        <f aca="false">IF($D1459="","",IFERROR(IF(INDEX(Hierarchy!$I$2:$I$1295,MATCH($D1459,Hierarchy!$A$2:$A$1295,0))="","",INDEX(Hierarchy!$I$2:$I$1295,MATCH($D1459,Hierarchy!$A$2:$A$1295,0))),"NODE NOT FOUND"))</f>
        <v/>
      </c>
      <c r="M1459" s="17" t="str">
        <f aca="false">IF(B1459="Pre-seeded","Pre-seeded",IF(B1459="Review 2026-09-16","Added from review",IF(C1459="","New",IF(C1459=D1459,"","Changed"))))</f>
        <v>Pre-seeded</v>
      </c>
      <c r="N1459" s="7" t="str">
        <f aca="false">TRIM(SUBSTITUTE(SUBSTITUTE(SUBSTITUTE(" "&amp;TRIM(SUBSTITUTE(SUBSTITUTE(SUBSTITUTE(SUBSTITUTE(SUBSTITUTE(SUBSTITUTE(SUBSTITUTE(SUBSTITUTE(SUBSTITUTE(SUBSTITUTE(SUBSTITUTE(SUBSTITUTE(SUBSTITUTE(SUBSTITUTE(SUBSTITUTE(UPPER(TRIM(A1459)),"[MEMBER]",""),"{MEMBER}",""),"[MEMBER}",""),"MEMBER]",""),"(A)",""),"""",""),"“",""),"”",""),".",""),":",""),",",""),"–"," "),"-"," "),"/"," "),"&amp;"," AND "))&amp;" "," THE "," ")," TOTAL "," ")," OPERATIONS "," "))</f>
        <v>REPUBLIC OF NORTH MACEDONIA</v>
      </c>
      <c r="O1459" s="17" t="str">
        <f aca="false">IF(COUNTIFS($N$2:$N$2000,N1459,$D$2:$D$2000,"&lt;&gt;"&amp;D1459)&gt;0,"CONFLICT","")</f>
        <v/>
      </c>
      <c r="P1459" s="7" t="s">
        <v>1936</v>
      </c>
    </row>
    <row r="1460" customFormat="false" ht="15" hidden="false" customHeight="false" outlineLevel="0" collapsed="false">
      <c r="A1460" s="7" t="s">
        <v>2634</v>
      </c>
      <c r="B1460" s="7" t="s">
        <v>1879</v>
      </c>
      <c r="C1460" s="7"/>
      <c r="D1460" s="6" t="s">
        <v>1764</v>
      </c>
      <c r="E1460" s="6" t="s">
        <v>1880</v>
      </c>
      <c r="F1460" s="7" t="str">
        <f aca="false">IF($D1460="","",IFERROR(IF(INDEX(Hierarchy!$B$2:$B$1295,MATCH($D1460,Hierarchy!$A$2:$A$1295,0))="","",INDEX(Hierarchy!$B$2:$B$1295,MATCH($D1460,Hierarchy!$A$2:$A$1295,0))),"NODE NOT FOUND"))</f>
        <v>Country</v>
      </c>
      <c r="G1460" s="7" t="str">
        <f aca="false">IF($D1460="","",IFERROR(IF(INDEX(Hierarchy!$D$2:$D$1295,MATCH($D1460,Hierarchy!$A$2:$A$1295,0))="","",INDEX(Hierarchy!$D$2:$D$1295,MATCH($D1460,Hierarchy!$A$2:$A$1295,0))),"NODE NOT FOUND"))</f>
        <v>APAC</v>
      </c>
      <c r="H1460" s="7" t="str">
        <f aca="false">IF($D1460="","",IFERROR(IF(INDEX(Hierarchy!$E$2:$E$1295,MATCH($D1460,Hierarchy!$A$2:$A$1295,0))="","",INDEX(Hierarchy!$E$2:$E$1295,MATCH($D1460,Hierarchy!$A$2:$A$1295,0))),"NODE NOT FOUND"))</f>
        <v>Oceania (ANZ)</v>
      </c>
      <c r="I1460" s="7" t="str">
        <f aca="false">IF($D1460="","",IFERROR(IF(INDEX(Hierarchy!$F$2:$F$1295,MATCH($D1460,Hierarchy!$A$2:$A$1295,0))="","",INDEX(Hierarchy!$F$2:$F$1295,MATCH($D1460,Hierarchy!$A$2:$A$1295,0))),"NODE NOT FOUND"))</f>
        <v>Palau</v>
      </c>
      <c r="J1460" s="7" t="str">
        <f aca="false">IF($D1460="","",IFERROR(IF(INDEX(Hierarchy!$G$2:$G$1295,MATCH($D1460,Hierarchy!$A$2:$A$1295,0))="","",INDEX(Hierarchy!$G$2:$G$1295,MATCH($D1460,Hierarchy!$A$2:$A$1295,0))),"NODE NOT FOUND"))</f>
        <v>PLW</v>
      </c>
      <c r="K1460" s="7" t="str">
        <f aca="false">IF($D1460="","",IFERROR(IF(INDEX(Hierarchy!$H$2:$H$1295,MATCH($D1460,Hierarchy!$A$2:$A$1295,0))="","",INDEX(Hierarchy!$H$2:$H$1295,MATCH($D1460,Hierarchy!$A$2:$A$1295,0))),"NODE NOT FOUND"))</f>
        <v/>
      </c>
      <c r="L1460" s="7" t="str">
        <f aca="false">IF($D1460="","",IFERROR(IF(INDEX(Hierarchy!$I$2:$I$1295,MATCH($D1460,Hierarchy!$A$2:$A$1295,0))="","",INDEX(Hierarchy!$I$2:$I$1295,MATCH($D1460,Hierarchy!$A$2:$A$1295,0))),"NODE NOT FOUND"))</f>
        <v/>
      </c>
      <c r="M1460" s="17" t="str">
        <f aca="false">IF(B1460="Pre-seeded","Pre-seeded",IF(B1460="Review 2026-09-16","Added from review",IF(C1460="","New",IF(C1460=D1460,"","Changed"))))</f>
        <v>Pre-seeded</v>
      </c>
      <c r="N1460" s="7" t="str">
        <f aca="false">TRIM(SUBSTITUTE(SUBSTITUTE(SUBSTITUTE(" "&amp;TRIM(SUBSTITUTE(SUBSTITUTE(SUBSTITUTE(SUBSTITUTE(SUBSTITUTE(SUBSTITUTE(SUBSTITUTE(SUBSTITUTE(SUBSTITUTE(SUBSTITUTE(SUBSTITUTE(SUBSTITUTE(SUBSTITUTE(SUBSTITUTE(SUBSTITUTE(UPPER(TRIM(A1460)),"[MEMBER]",""),"{MEMBER}",""),"[MEMBER}",""),"MEMBER]",""),"(A)",""),"""",""),"“",""),"”",""),".",""),":",""),",",""),"–"," "),"-"," "),"/"," "),"&amp;"," AND "))&amp;" "," THE "," ")," TOTAL "," ")," OPERATIONS "," "))</f>
        <v>REPUBLIC OF PALAU</v>
      </c>
      <c r="O1460" s="17" t="str">
        <f aca="false">IF(COUNTIFS($N$2:$N$2000,N1460,$D$2:$D$2000,"&lt;&gt;"&amp;D1460)&gt;0,"CONFLICT","")</f>
        <v/>
      </c>
      <c r="P1460" s="7" t="s">
        <v>1936</v>
      </c>
    </row>
    <row r="1461" customFormat="false" ht="15" hidden="false" customHeight="false" outlineLevel="0" collapsed="false">
      <c r="A1461" s="7" t="s">
        <v>2635</v>
      </c>
      <c r="B1461" s="7" t="s">
        <v>1879</v>
      </c>
      <c r="C1461" s="7"/>
      <c r="D1461" s="6" t="s">
        <v>581</v>
      </c>
      <c r="E1461" s="6" t="s">
        <v>1880</v>
      </c>
      <c r="F1461" s="7" t="str">
        <f aca="false">IF($D1461="","",IFERROR(IF(INDEX(Hierarchy!$B$2:$B$1295,MATCH($D1461,Hierarchy!$A$2:$A$1295,0))="","",INDEX(Hierarchy!$B$2:$B$1295,MATCH($D1461,Hierarchy!$A$2:$A$1295,0))),"NODE NOT FOUND"))</f>
        <v>Country</v>
      </c>
      <c r="G1461" s="7" t="str">
        <f aca="false">IF($D1461="","",IFERROR(IF(INDEX(Hierarchy!$D$2:$D$1295,MATCH($D1461,Hierarchy!$A$2:$A$1295,0))="","",INDEX(Hierarchy!$D$2:$D$1295,MATCH($D1461,Hierarchy!$A$2:$A$1295,0))),"NODE NOT FOUND"))</f>
        <v>AMER</v>
      </c>
      <c r="H1461" s="7" t="str">
        <f aca="false">IF($D1461="","",IFERROR(IF(INDEX(Hierarchy!$E$2:$E$1295,MATCH($D1461,Hierarchy!$A$2:$A$1295,0))="","",INDEX(Hierarchy!$E$2:$E$1295,MATCH($D1461,Hierarchy!$A$2:$A$1295,0))),"NODE NOT FOUND"))</f>
        <v>Latin America (LATAM)</v>
      </c>
      <c r="I1461" s="7" t="str">
        <f aca="false">IF($D1461="","",IFERROR(IF(INDEX(Hierarchy!$F$2:$F$1295,MATCH($D1461,Hierarchy!$A$2:$A$1295,0))="","",INDEX(Hierarchy!$F$2:$F$1295,MATCH($D1461,Hierarchy!$A$2:$A$1295,0))),"NODE NOT FOUND"))</f>
        <v>Panama</v>
      </c>
      <c r="J1461" s="7" t="str">
        <f aca="false">IF($D1461="","",IFERROR(IF(INDEX(Hierarchy!$G$2:$G$1295,MATCH($D1461,Hierarchy!$A$2:$A$1295,0))="","",INDEX(Hierarchy!$G$2:$G$1295,MATCH($D1461,Hierarchy!$A$2:$A$1295,0))),"NODE NOT FOUND"))</f>
        <v>PAN</v>
      </c>
      <c r="K1461" s="7" t="str">
        <f aca="false">IF($D1461="","",IFERROR(IF(INDEX(Hierarchy!$H$2:$H$1295,MATCH($D1461,Hierarchy!$A$2:$A$1295,0))="","",INDEX(Hierarchy!$H$2:$H$1295,MATCH($D1461,Hierarchy!$A$2:$A$1295,0))),"NODE NOT FOUND"))</f>
        <v/>
      </c>
      <c r="L1461" s="7" t="str">
        <f aca="false">IF($D1461="","",IFERROR(IF(INDEX(Hierarchy!$I$2:$I$1295,MATCH($D1461,Hierarchy!$A$2:$A$1295,0))="","",INDEX(Hierarchy!$I$2:$I$1295,MATCH($D1461,Hierarchy!$A$2:$A$1295,0))),"NODE NOT FOUND"))</f>
        <v/>
      </c>
      <c r="M1461" s="17" t="str">
        <f aca="false">IF(B1461="Pre-seeded","Pre-seeded",IF(B1461="Review 2026-09-16","Added from review",IF(C1461="","New",IF(C1461=D1461,"","Changed"))))</f>
        <v>Pre-seeded</v>
      </c>
      <c r="N1461" s="7" t="str">
        <f aca="false">TRIM(SUBSTITUTE(SUBSTITUTE(SUBSTITUTE(" "&amp;TRIM(SUBSTITUTE(SUBSTITUTE(SUBSTITUTE(SUBSTITUTE(SUBSTITUTE(SUBSTITUTE(SUBSTITUTE(SUBSTITUTE(SUBSTITUTE(SUBSTITUTE(SUBSTITUTE(SUBSTITUTE(SUBSTITUTE(SUBSTITUTE(SUBSTITUTE(UPPER(TRIM(A1461)),"[MEMBER]",""),"{MEMBER}",""),"[MEMBER}",""),"MEMBER]",""),"(A)",""),"""",""),"“",""),"”",""),".",""),":",""),",",""),"–"," "),"-"," "),"/"," "),"&amp;"," AND "))&amp;" "," THE "," ")," TOTAL "," ")," OPERATIONS "," "))</f>
        <v>REPUBLIC OF PANAMA</v>
      </c>
      <c r="O1461" s="17" t="str">
        <f aca="false">IF(COUNTIFS($N$2:$N$2000,N1461,$D$2:$D$2000,"&lt;&gt;"&amp;D1461)&gt;0,"CONFLICT","")</f>
        <v/>
      </c>
      <c r="P1461" s="7" t="s">
        <v>1936</v>
      </c>
    </row>
    <row r="1462" customFormat="false" ht="15" hidden="false" customHeight="false" outlineLevel="0" collapsed="false">
      <c r="A1462" s="7" t="s">
        <v>2636</v>
      </c>
      <c r="B1462" s="7" t="s">
        <v>1879</v>
      </c>
      <c r="C1462" s="7"/>
      <c r="D1462" s="6" t="s">
        <v>584</v>
      </c>
      <c r="E1462" s="6" t="s">
        <v>1880</v>
      </c>
      <c r="F1462" s="7" t="str">
        <f aca="false">IF($D1462="","",IFERROR(IF(INDEX(Hierarchy!$B$2:$B$1295,MATCH($D1462,Hierarchy!$A$2:$A$1295,0))="","",INDEX(Hierarchy!$B$2:$B$1295,MATCH($D1462,Hierarchy!$A$2:$A$1295,0))),"NODE NOT FOUND"))</f>
        <v>Country</v>
      </c>
      <c r="G1462" s="7" t="str">
        <f aca="false">IF($D1462="","",IFERROR(IF(INDEX(Hierarchy!$D$2:$D$1295,MATCH($D1462,Hierarchy!$A$2:$A$1295,0))="","",INDEX(Hierarchy!$D$2:$D$1295,MATCH($D1462,Hierarchy!$A$2:$A$1295,0))),"NODE NOT FOUND"))</f>
        <v>AMER</v>
      </c>
      <c r="H1462" s="7" t="str">
        <f aca="false">IF($D1462="","",IFERROR(IF(INDEX(Hierarchy!$E$2:$E$1295,MATCH($D1462,Hierarchy!$A$2:$A$1295,0))="","",INDEX(Hierarchy!$E$2:$E$1295,MATCH($D1462,Hierarchy!$A$2:$A$1295,0))),"NODE NOT FOUND"))</f>
        <v>Latin America (LATAM)</v>
      </c>
      <c r="I1462" s="7" t="str">
        <f aca="false">IF($D1462="","",IFERROR(IF(INDEX(Hierarchy!$F$2:$F$1295,MATCH($D1462,Hierarchy!$A$2:$A$1295,0))="","",INDEX(Hierarchy!$F$2:$F$1295,MATCH($D1462,Hierarchy!$A$2:$A$1295,0))),"NODE NOT FOUND"))</f>
        <v>Paraguay</v>
      </c>
      <c r="J1462" s="7" t="str">
        <f aca="false">IF($D1462="","",IFERROR(IF(INDEX(Hierarchy!$G$2:$G$1295,MATCH($D1462,Hierarchy!$A$2:$A$1295,0))="","",INDEX(Hierarchy!$G$2:$G$1295,MATCH($D1462,Hierarchy!$A$2:$A$1295,0))),"NODE NOT FOUND"))</f>
        <v>PRY</v>
      </c>
      <c r="K1462" s="7" t="str">
        <f aca="false">IF($D1462="","",IFERROR(IF(INDEX(Hierarchy!$H$2:$H$1295,MATCH($D1462,Hierarchy!$A$2:$A$1295,0))="","",INDEX(Hierarchy!$H$2:$H$1295,MATCH($D1462,Hierarchy!$A$2:$A$1295,0))),"NODE NOT FOUND"))</f>
        <v/>
      </c>
      <c r="L1462" s="7" t="str">
        <f aca="false">IF($D1462="","",IFERROR(IF(INDEX(Hierarchy!$I$2:$I$1295,MATCH($D1462,Hierarchy!$A$2:$A$1295,0))="","",INDEX(Hierarchy!$I$2:$I$1295,MATCH($D1462,Hierarchy!$A$2:$A$1295,0))),"NODE NOT FOUND"))</f>
        <v/>
      </c>
      <c r="M1462" s="17" t="str">
        <f aca="false">IF(B1462="Pre-seeded","Pre-seeded",IF(B1462="Review 2026-09-16","Added from review",IF(C1462="","New",IF(C1462=D1462,"","Changed"))))</f>
        <v>Pre-seeded</v>
      </c>
      <c r="N1462" s="7" t="str">
        <f aca="false">TRIM(SUBSTITUTE(SUBSTITUTE(SUBSTITUTE(" "&amp;TRIM(SUBSTITUTE(SUBSTITUTE(SUBSTITUTE(SUBSTITUTE(SUBSTITUTE(SUBSTITUTE(SUBSTITUTE(SUBSTITUTE(SUBSTITUTE(SUBSTITUTE(SUBSTITUTE(SUBSTITUTE(SUBSTITUTE(SUBSTITUTE(SUBSTITUTE(UPPER(TRIM(A1462)),"[MEMBER]",""),"{MEMBER}",""),"[MEMBER}",""),"MEMBER]",""),"(A)",""),"""",""),"“",""),"”",""),".",""),":",""),",",""),"–"," "),"-"," "),"/"," "),"&amp;"," AND "))&amp;" "," THE "," ")," TOTAL "," ")," OPERATIONS "," "))</f>
        <v>REPUBLIC OF PARAGUAY</v>
      </c>
      <c r="O1462" s="17" t="str">
        <f aca="false">IF(COUNTIFS($N$2:$N$2000,N1462,$D$2:$D$2000,"&lt;&gt;"&amp;D1462)&gt;0,"CONFLICT","")</f>
        <v/>
      </c>
      <c r="P1462" s="7" t="s">
        <v>1936</v>
      </c>
    </row>
    <row r="1463" customFormat="false" ht="15" hidden="false" customHeight="false" outlineLevel="0" collapsed="false">
      <c r="A1463" s="7" t="s">
        <v>2637</v>
      </c>
      <c r="B1463" s="7" t="s">
        <v>1879</v>
      </c>
      <c r="C1463" s="7"/>
      <c r="D1463" s="6" t="s">
        <v>587</v>
      </c>
      <c r="E1463" s="6" t="s">
        <v>1880</v>
      </c>
      <c r="F1463" s="7" t="str">
        <f aca="false">IF($D1463="","",IFERROR(IF(INDEX(Hierarchy!$B$2:$B$1295,MATCH($D1463,Hierarchy!$A$2:$A$1295,0))="","",INDEX(Hierarchy!$B$2:$B$1295,MATCH($D1463,Hierarchy!$A$2:$A$1295,0))),"NODE NOT FOUND"))</f>
        <v>Country</v>
      </c>
      <c r="G1463" s="7" t="str">
        <f aca="false">IF($D1463="","",IFERROR(IF(INDEX(Hierarchy!$D$2:$D$1295,MATCH($D1463,Hierarchy!$A$2:$A$1295,0))="","",INDEX(Hierarchy!$D$2:$D$1295,MATCH($D1463,Hierarchy!$A$2:$A$1295,0))),"NODE NOT FOUND"))</f>
        <v>AMER</v>
      </c>
      <c r="H1463" s="7" t="str">
        <f aca="false">IF($D1463="","",IFERROR(IF(INDEX(Hierarchy!$E$2:$E$1295,MATCH($D1463,Hierarchy!$A$2:$A$1295,0))="","",INDEX(Hierarchy!$E$2:$E$1295,MATCH($D1463,Hierarchy!$A$2:$A$1295,0))),"NODE NOT FOUND"))</f>
        <v>Latin America (LATAM)</v>
      </c>
      <c r="I1463" s="7" t="str">
        <f aca="false">IF($D1463="","",IFERROR(IF(INDEX(Hierarchy!$F$2:$F$1295,MATCH($D1463,Hierarchy!$A$2:$A$1295,0))="","",INDEX(Hierarchy!$F$2:$F$1295,MATCH($D1463,Hierarchy!$A$2:$A$1295,0))),"NODE NOT FOUND"))</f>
        <v>Peru</v>
      </c>
      <c r="J1463" s="7" t="str">
        <f aca="false">IF($D1463="","",IFERROR(IF(INDEX(Hierarchy!$G$2:$G$1295,MATCH($D1463,Hierarchy!$A$2:$A$1295,0))="","",INDEX(Hierarchy!$G$2:$G$1295,MATCH($D1463,Hierarchy!$A$2:$A$1295,0))),"NODE NOT FOUND"))</f>
        <v>PER</v>
      </c>
      <c r="K1463" s="7" t="str">
        <f aca="false">IF($D1463="","",IFERROR(IF(INDEX(Hierarchy!$H$2:$H$1295,MATCH($D1463,Hierarchy!$A$2:$A$1295,0))="","",INDEX(Hierarchy!$H$2:$H$1295,MATCH($D1463,Hierarchy!$A$2:$A$1295,0))),"NODE NOT FOUND"))</f>
        <v/>
      </c>
      <c r="L1463" s="7" t="str">
        <f aca="false">IF($D1463="","",IFERROR(IF(INDEX(Hierarchy!$I$2:$I$1295,MATCH($D1463,Hierarchy!$A$2:$A$1295,0))="","",INDEX(Hierarchy!$I$2:$I$1295,MATCH($D1463,Hierarchy!$A$2:$A$1295,0))),"NODE NOT FOUND"))</f>
        <v/>
      </c>
      <c r="M1463" s="17" t="str">
        <f aca="false">IF(B1463="Pre-seeded","Pre-seeded",IF(B1463="Review 2026-09-16","Added from review",IF(C1463="","New",IF(C1463=D1463,"","Changed"))))</f>
        <v>Pre-seeded</v>
      </c>
      <c r="N1463" s="7" t="str">
        <f aca="false">TRIM(SUBSTITUTE(SUBSTITUTE(SUBSTITUTE(" "&amp;TRIM(SUBSTITUTE(SUBSTITUTE(SUBSTITUTE(SUBSTITUTE(SUBSTITUTE(SUBSTITUTE(SUBSTITUTE(SUBSTITUTE(SUBSTITUTE(SUBSTITUTE(SUBSTITUTE(SUBSTITUTE(SUBSTITUTE(SUBSTITUTE(SUBSTITUTE(UPPER(TRIM(A1463)),"[MEMBER]",""),"{MEMBER}",""),"[MEMBER}",""),"MEMBER]",""),"(A)",""),"""",""),"“",""),"”",""),".",""),":",""),",",""),"–"," "),"-"," "),"/"," "),"&amp;"," AND "))&amp;" "," THE "," ")," TOTAL "," ")," OPERATIONS "," "))</f>
        <v>REPUBLIC OF PERU</v>
      </c>
      <c r="O1463" s="17" t="str">
        <f aca="false">IF(COUNTIFS($N$2:$N$2000,N1463,$D$2:$D$2000,"&lt;&gt;"&amp;D1463)&gt;0,"CONFLICT","")</f>
        <v/>
      </c>
      <c r="P1463" s="7" t="s">
        <v>1936</v>
      </c>
    </row>
    <row r="1464" customFormat="false" ht="15" hidden="false" customHeight="false" outlineLevel="0" collapsed="false">
      <c r="A1464" s="7" t="s">
        <v>2638</v>
      </c>
      <c r="B1464" s="7" t="s">
        <v>1879</v>
      </c>
      <c r="C1464" s="7"/>
      <c r="D1464" s="6" t="s">
        <v>906</v>
      </c>
      <c r="E1464" s="6" t="s">
        <v>1880</v>
      </c>
      <c r="F1464" s="7" t="str">
        <f aca="false">IF($D1464="","",IFERROR(IF(INDEX(Hierarchy!$B$2:$B$1295,MATCH($D1464,Hierarchy!$A$2:$A$1295,0))="","",INDEX(Hierarchy!$B$2:$B$1295,MATCH($D1464,Hierarchy!$A$2:$A$1295,0))),"NODE NOT FOUND"))</f>
        <v>Country</v>
      </c>
      <c r="G1464" s="7" t="str">
        <f aca="false">IF($D1464="","",IFERROR(IF(INDEX(Hierarchy!$D$2:$D$1295,MATCH($D1464,Hierarchy!$A$2:$A$1295,0))="","",INDEX(Hierarchy!$D$2:$D$1295,MATCH($D1464,Hierarchy!$A$2:$A$1295,0))),"NODE NOT FOUND"))</f>
        <v>EMEA</v>
      </c>
      <c r="H1464" s="7" t="str">
        <f aca="false">IF($D1464="","",IFERROR(IF(INDEX(Hierarchy!$E$2:$E$1295,MATCH($D1464,Hierarchy!$A$2:$A$1295,0))="","",INDEX(Hierarchy!$E$2:$E$1295,MATCH($D1464,Hierarchy!$A$2:$A$1295,0))),"NODE NOT FOUND"))</f>
        <v>Europe</v>
      </c>
      <c r="I1464" s="7" t="str">
        <f aca="false">IF($D1464="","",IFERROR(IF(INDEX(Hierarchy!$F$2:$F$1295,MATCH($D1464,Hierarchy!$A$2:$A$1295,0))="","",INDEX(Hierarchy!$F$2:$F$1295,MATCH($D1464,Hierarchy!$A$2:$A$1295,0))),"NODE NOT FOUND"))</f>
        <v>Poland</v>
      </c>
      <c r="J1464" s="7" t="str">
        <f aca="false">IF($D1464="","",IFERROR(IF(INDEX(Hierarchy!$G$2:$G$1295,MATCH($D1464,Hierarchy!$A$2:$A$1295,0))="","",INDEX(Hierarchy!$G$2:$G$1295,MATCH($D1464,Hierarchy!$A$2:$A$1295,0))),"NODE NOT FOUND"))</f>
        <v>POL</v>
      </c>
      <c r="K1464" s="7" t="str">
        <f aca="false">IF($D1464="","",IFERROR(IF(INDEX(Hierarchy!$H$2:$H$1295,MATCH($D1464,Hierarchy!$A$2:$A$1295,0))="","",INDEX(Hierarchy!$H$2:$H$1295,MATCH($D1464,Hierarchy!$A$2:$A$1295,0))),"NODE NOT FOUND"))</f>
        <v/>
      </c>
      <c r="L1464" s="7" t="str">
        <f aca="false">IF($D1464="","",IFERROR(IF(INDEX(Hierarchy!$I$2:$I$1295,MATCH($D1464,Hierarchy!$A$2:$A$1295,0))="","",INDEX(Hierarchy!$I$2:$I$1295,MATCH($D1464,Hierarchy!$A$2:$A$1295,0))),"NODE NOT FOUND"))</f>
        <v/>
      </c>
      <c r="M1464" s="17" t="str">
        <f aca="false">IF(B1464="Pre-seeded","Pre-seeded",IF(B1464="Review 2026-09-16","Added from review",IF(C1464="","New",IF(C1464=D1464,"","Changed"))))</f>
        <v>Pre-seeded</v>
      </c>
      <c r="N1464" s="7" t="str">
        <f aca="false">TRIM(SUBSTITUTE(SUBSTITUTE(SUBSTITUTE(" "&amp;TRIM(SUBSTITUTE(SUBSTITUTE(SUBSTITUTE(SUBSTITUTE(SUBSTITUTE(SUBSTITUTE(SUBSTITUTE(SUBSTITUTE(SUBSTITUTE(SUBSTITUTE(SUBSTITUTE(SUBSTITUTE(SUBSTITUTE(SUBSTITUTE(SUBSTITUTE(UPPER(TRIM(A1464)),"[MEMBER]",""),"{MEMBER}",""),"[MEMBER}",""),"MEMBER]",""),"(A)",""),"""",""),"“",""),"”",""),".",""),":",""),",",""),"–"," "),"-"," "),"/"," "),"&amp;"," AND "))&amp;" "," THE "," ")," TOTAL "," ")," OPERATIONS "," "))</f>
        <v>REPUBLIC OF POLAND</v>
      </c>
      <c r="O1464" s="17" t="str">
        <f aca="false">IF(COUNTIFS($N$2:$N$2000,N1464,$D$2:$D$2000,"&lt;&gt;"&amp;D1464)&gt;0,"CONFLICT","")</f>
        <v/>
      </c>
      <c r="P1464" s="7" t="s">
        <v>1936</v>
      </c>
    </row>
    <row r="1465" customFormat="false" ht="15" hidden="false" customHeight="false" outlineLevel="0" collapsed="false">
      <c r="A1465" s="7" t="s">
        <v>2639</v>
      </c>
      <c r="B1465" s="7" t="s">
        <v>1879</v>
      </c>
      <c r="C1465" s="7"/>
      <c r="D1465" s="6" t="s">
        <v>939</v>
      </c>
      <c r="E1465" s="6" t="s">
        <v>1880</v>
      </c>
      <c r="F1465" s="7" t="str">
        <f aca="false">IF($D1465="","",IFERROR(IF(INDEX(Hierarchy!$B$2:$B$1295,MATCH($D1465,Hierarchy!$A$2:$A$1295,0))="","",INDEX(Hierarchy!$B$2:$B$1295,MATCH($D1465,Hierarchy!$A$2:$A$1295,0))),"NODE NOT FOUND"))</f>
        <v>Country</v>
      </c>
      <c r="G1465" s="7" t="str">
        <f aca="false">IF($D1465="","",IFERROR(IF(INDEX(Hierarchy!$D$2:$D$1295,MATCH($D1465,Hierarchy!$A$2:$A$1295,0))="","",INDEX(Hierarchy!$D$2:$D$1295,MATCH($D1465,Hierarchy!$A$2:$A$1295,0))),"NODE NOT FOUND"))</f>
        <v>EMEA</v>
      </c>
      <c r="H1465" s="7" t="str">
        <f aca="false">IF($D1465="","",IFERROR(IF(INDEX(Hierarchy!$E$2:$E$1295,MATCH($D1465,Hierarchy!$A$2:$A$1295,0))="","",INDEX(Hierarchy!$E$2:$E$1295,MATCH($D1465,Hierarchy!$A$2:$A$1295,0))),"NODE NOT FOUND"))</f>
        <v>Europe</v>
      </c>
      <c r="I1465" s="7" t="str">
        <f aca="false">IF($D1465="","",IFERROR(IF(INDEX(Hierarchy!$F$2:$F$1295,MATCH($D1465,Hierarchy!$A$2:$A$1295,0))="","",INDEX(Hierarchy!$F$2:$F$1295,MATCH($D1465,Hierarchy!$A$2:$A$1295,0))),"NODE NOT FOUND"))</f>
        <v>San Marino</v>
      </c>
      <c r="J1465" s="7" t="str">
        <f aca="false">IF($D1465="","",IFERROR(IF(INDEX(Hierarchy!$G$2:$G$1295,MATCH($D1465,Hierarchy!$A$2:$A$1295,0))="","",INDEX(Hierarchy!$G$2:$G$1295,MATCH($D1465,Hierarchy!$A$2:$A$1295,0))),"NODE NOT FOUND"))</f>
        <v>SMR</v>
      </c>
      <c r="K1465" s="7" t="str">
        <f aca="false">IF($D1465="","",IFERROR(IF(INDEX(Hierarchy!$H$2:$H$1295,MATCH($D1465,Hierarchy!$A$2:$A$1295,0))="","",INDEX(Hierarchy!$H$2:$H$1295,MATCH($D1465,Hierarchy!$A$2:$A$1295,0))),"NODE NOT FOUND"))</f>
        <v/>
      </c>
      <c r="L1465" s="7" t="str">
        <f aca="false">IF($D1465="","",IFERROR(IF(INDEX(Hierarchy!$I$2:$I$1295,MATCH($D1465,Hierarchy!$A$2:$A$1295,0))="","",INDEX(Hierarchy!$I$2:$I$1295,MATCH($D1465,Hierarchy!$A$2:$A$1295,0))),"NODE NOT FOUND"))</f>
        <v/>
      </c>
      <c r="M1465" s="17" t="str">
        <f aca="false">IF(B1465="Pre-seeded","Pre-seeded",IF(B1465="Review 2026-09-16","Added from review",IF(C1465="","New",IF(C1465=D1465,"","Changed"))))</f>
        <v>Pre-seeded</v>
      </c>
      <c r="N1465" s="7" t="str">
        <f aca="false">TRIM(SUBSTITUTE(SUBSTITUTE(SUBSTITUTE(" "&amp;TRIM(SUBSTITUTE(SUBSTITUTE(SUBSTITUTE(SUBSTITUTE(SUBSTITUTE(SUBSTITUTE(SUBSTITUTE(SUBSTITUTE(SUBSTITUTE(SUBSTITUTE(SUBSTITUTE(SUBSTITUTE(SUBSTITUTE(SUBSTITUTE(SUBSTITUTE(UPPER(TRIM(A1465)),"[MEMBER]",""),"{MEMBER}",""),"[MEMBER}",""),"MEMBER]",""),"(A)",""),"""",""),"“",""),"”",""),".",""),":",""),",",""),"–"," "),"-"," "),"/"," "),"&amp;"," AND "))&amp;" "," THE "," ")," TOTAL "," ")," OPERATIONS "," "))</f>
        <v>REPUBLIC OF SAN MARINO</v>
      </c>
      <c r="O1465" s="17" t="str">
        <f aca="false">IF(COUNTIFS($N$2:$N$2000,N1465,$D$2:$D$2000,"&lt;&gt;"&amp;D1465)&gt;0,"CONFLICT","")</f>
        <v/>
      </c>
      <c r="P1465" s="7" t="s">
        <v>1936</v>
      </c>
    </row>
    <row r="1466" customFormat="false" ht="15" hidden="false" customHeight="false" outlineLevel="0" collapsed="false">
      <c r="A1466" s="7" t="s">
        <v>2640</v>
      </c>
      <c r="B1466" s="7" t="s">
        <v>1879</v>
      </c>
      <c r="C1466" s="7"/>
      <c r="D1466" s="6" t="s">
        <v>1283</v>
      </c>
      <c r="E1466" s="6" t="s">
        <v>1880</v>
      </c>
      <c r="F1466" s="7" t="str">
        <f aca="false">IF($D1466="","",IFERROR(IF(INDEX(Hierarchy!$B$2:$B$1295,MATCH($D1466,Hierarchy!$A$2:$A$1295,0))="","",INDEX(Hierarchy!$B$2:$B$1295,MATCH($D1466,Hierarchy!$A$2:$A$1295,0))),"NODE NOT FOUND"))</f>
        <v>Country</v>
      </c>
      <c r="G1466" s="7" t="str">
        <f aca="false">IF($D1466="","",IFERROR(IF(INDEX(Hierarchy!$D$2:$D$1295,MATCH($D1466,Hierarchy!$A$2:$A$1295,0))="","",INDEX(Hierarchy!$D$2:$D$1295,MATCH($D1466,Hierarchy!$A$2:$A$1295,0))),"NODE NOT FOUND"))</f>
        <v>EMEA</v>
      </c>
      <c r="H1466" s="7" t="str">
        <f aca="false">IF($D1466="","",IFERROR(IF(INDEX(Hierarchy!$E$2:$E$1295,MATCH($D1466,Hierarchy!$A$2:$A$1295,0))="","",INDEX(Hierarchy!$E$2:$E$1295,MATCH($D1466,Hierarchy!$A$2:$A$1295,0))),"NODE NOT FOUND"))</f>
        <v>Africa</v>
      </c>
      <c r="I1466" s="7" t="str">
        <f aca="false">IF($D1466="","",IFERROR(IF(INDEX(Hierarchy!$F$2:$F$1295,MATCH($D1466,Hierarchy!$A$2:$A$1295,0))="","",INDEX(Hierarchy!$F$2:$F$1295,MATCH($D1466,Hierarchy!$A$2:$A$1295,0))),"NODE NOT FOUND"))</f>
        <v>Senegal</v>
      </c>
      <c r="J1466" s="7" t="str">
        <f aca="false">IF($D1466="","",IFERROR(IF(INDEX(Hierarchy!$G$2:$G$1295,MATCH($D1466,Hierarchy!$A$2:$A$1295,0))="","",INDEX(Hierarchy!$G$2:$G$1295,MATCH($D1466,Hierarchy!$A$2:$A$1295,0))),"NODE NOT FOUND"))</f>
        <v>SEN</v>
      </c>
      <c r="K1466" s="7" t="str">
        <f aca="false">IF($D1466="","",IFERROR(IF(INDEX(Hierarchy!$H$2:$H$1295,MATCH($D1466,Hierarchy!$A$2:$A$1295,0))="","",INDEX(Hierarchy!$H$2:$H$1295,MATCH($D1466,Hierarchy!$A$2:$A$1295,0))),"NODE NOT FOUND"))</f>
        <v/>
      </c>
      <c r="L1466" s="7" t="str">
        <f aca="false">IF($D1466="","",IFERROR(IF(INDEX(Hierarchy!$I$2:$I$1295,MATCH($D1466,Hierarchy!$A$2:$A$1295,0))="","",INDEX(Hierarchy!$I$2:$I$1295,MATCH($D1466,Hierarchy!$A$2:$A$1295,0))),"NODE NOT FOUND"))</f>
        <v/>
      </c>
      <c r="M1466" s="17" t="str">
        <f aca="false">IF(B1466="Pre-seeded","Pre-seeded",IF(B1466="Review 2026-09-16","Added from review",IF(C1466="","New",IF(C1466=D1466,"","Changed"))))</f>
        <v>Pre-seeded</v>
      </c>
      <c r="N1466" s="7" t="str">
        <f aca="false">TRIM(SUBSTITUTE(SUBSTITUTE(SUBSTITUTE(" "&amp;TRIM(SUBSTITUTE(SUBSTITUTE(SUBSTITUTE(SUBSTITUTE(SUBSTITUTE(SUBSTITUTE(SUBSTITUTE(SUBSTITUTE(SUBSTITUTE(SUBSTITUTE(SUBSTITUTE(SUBSTITUTE(SUBSTITUTE(SUBSTITUTE(SUBSTITUTE(UPPER(TRIM(A1466)),"[MEMBER]",""),"{MEMBER}",""),"[MEMBER}",""),"MEMBER]",""),"(A)",""),"""",""),"“",""),"”",""),".",""),":",""),",",""),"–"," "),"-"," "),"/"," "),"&amp;"," AND "))&amp;" "," THE "," ")," TOTAL "," ")," OPERATIONS "," "))</f>
        <v>REPUBLIC OF SENEGAL</v>
      </c>
      <c r="O1466" s="17" t="str">
        <f aca="false">IF(COUNTIFS($N$2:$N$2000,N1466,$D$2:$D$2000,"&lt;&gt;"&amp;D1466)&gt;0,"CONFLICT","")</f>
        <v/>
      </c>
      <c r="P1466" s="7" t="s">
        <v>1936</v>
      </c>
    </row>
    <row r="1467" customFormat="false" ht="15" hidden="false" customHeight="false" outlineLevel="0" collapsed="false">
      <c r="A1467" s="7" t="s">
        <v>2641</v>
      </c>
      <c r="B1467" s="7" t="s">
        <v>1879</v>
      </c>
      <c r="C1467" s="7"/>
      <c r="D1467" s="6" t="s">
        <v>941</v>
      </c>
      <c r="E1467" s="6" t="s">
        <v>1880</v>
      </c>
      <c r="F1467" s="7" t="str">
        <f aca="false">IF($D1467="","",IFERROR(IF(INDEX(Hierarchy!$B$2:$B$1295,MATCH($D1467,Hierarchy!$A$2:$A$1295,0))="","",INDEX(Hierarchy!$B$2:$B$1295,MATCH($D1467,Hierarchy!$A$2:$A$1295,0))),"NODE NOT FOUND"))</f>
        <v>Country</v>
      </c>
      <c r="G1467" s="7" t="str">
        <f aca="false">IF($D1467="","",IFERROR(IF(INDEX(Hierarchy!$D$2:$D$1295,MATCH($D1467,Hierarchy!$A$2:$A$1295,0))="","",INDEX(Hierarchy!$D$2:$D$1295,MATCH($D1467,Hierarchy!$A$2:$A$1295,0))),"NODE NOT FOUND"))</f>
        <v>EMEA</v>
      </c>
      <c r="H1467" s="7" t="str">
        <f aca="false">IF($D1467="","",IFERROR(IF(INDEX(Hierarchy!$E$2:$E$1295,MATCH($D1467,Hierarchy!$A$2:$A$1295,0))="","",INDEX(Hierarchy!$E$2:$E$1295,MATCH($D1467,Hierarchy!$A$2:$A$1295,0))),"NODE NOT FOUND"))</f>
        <v>Europe</v>
      </c>
      <c r="I1467" s="7" t="str">
        <f aca="false">IF($D1467="","",IFERROR(IF(INDEX(Hierarchy!$F$2:$F$1295,MATCH($D1467,Hierarchy!$A$2:$A$1295,0))="","",INDEX(Hierarchy!$F$2:$F$1295,MATCH($D1467,Hierarchy!$A$2:$A$1295,0))),"NODE NOT FOUND"))</f>
        <v>Serbia</v>
      </c>
      <c r="J1467" s="7" t="str">
        <f aca="false">IF($D1467="","",IFERROR(IF(INDEX(Hierarchy!$G$2:$G$1295,MATCH($D1467,Hierarchy!$A$2:$A$1295,0))="","",INDEX(Hierarchy!$G$2:$G$1295,MATCH($D1467,Hierarchy!$A$2:$A$1295,0))),"NODE NOT FOUND"))</f>
        <v>SRB</v>
      </c>
      <c r="K1467" s="7" t="str">
        <f aca="false">IF($D1467="","",IFERROR(IF(INDEX(Hierarchy!$H$2:$H$1295,MATCH($D1467,Hierarchy!$A$2:$A$1295,0))="","",INDEX(Hierarchy!$H$2:$H$1295,MATCH($D1467,Hierarchy!$A$2:$A$1295,0))),"NODE NOT FOUND"))</f>
        <v/>
      </c>
      <c r="L1467" s="7" t="str">
        <f aca="false">IF($D1467="","",IFERROR(IF(INDEX(Hierarchy!$I$2:$I$1295,MATCH($D1467,Hierarchy!$A$2:$A$1295,0))="","",INDEX(Hierarchy!$I$2:$I$1295,MATCH($D1467,Hierarchy!$A$2:$A$1295,0))),"NODE NOT FOUND"))</f>
        <v/>
      </c>
      <c r="M1467" s="17" t="str">
        <f aca="false">IF(B1467="Pre-seeded","Pre-seeded",IF(B1467="Review 2026-09-16","Added from review",IF(C1467="","New",IF(C1467=D1467,"","Changed"))))</f>
        <v>Pre-seeded</v>
      </c>
      <c r="N1467" s="7" t="str">
        <f aca="false">TRIM(SUBSTITUTE(SUBSTITUTE(SUBSTITUTE(" "&amp;TRIM(SUBSTITUTE(SUBSTITUTE(SUBSTITUTE(SUBSTITUTE(SUBSTITUTE(SUBSTITUTE(SUBSTITUTE(SUBSTITUTE(SUBSTITUTE(SUBSTITUTE(SUBSTITUTE(SUBSTITUTE(SUBSTITUTE(SUBSTITUTE(SUBSTITUTE(UPPER(TRIM(A1467)),"[MEMBER]",""),"{MEMBER}",""),"[MEMBER}",""),"MEMBER]",""),"(A)",""),"""",""),"“",""),"”",""),".",""),":",""),",",""),"–"," "),"-"," "),"/"," "),"&amp;"," AND "))&amp;" "," THE "," ")," TOTAL "," ")," OPERATIONS "," "))</f>
        <v>REPUBLIC OF SERBIA</v>
      </c>
      <c r="O1467" s="17" t="str">
        <f aca="false">IF(COUNTIFS($N$2:$N$2000,N1467,$D$2:$D$2000,"&lt;&gt;"&amp;D1467)&gt;0,"CONFLICT","")</f>
        <v/>
      </c>
      <c r="P1467" s="7" t="s">
        <v>1936</v>
      </c>
    </row>
    <row r="1468" customFormat="false" ht="15" hidden="false" customHeight="false" outlineLevel="0" collapsed="false">
      <c r="A1468" s="7" t="s">
        <v>2642</v>
      </c>
      <c r="B1468" s="7" t="s">
        <v>1879</v>
      </c>
      <c r="C1468" s="7"/>
      <c r="D1468" s="6" t="s">
        <v>1285</v>
      </c>
      <c r="E1468" s="6" t="s">
        <v>1880</v>
      </c>
      <c r="F1468" s="7" t="str">
        <f aca="false">IF($D1468="","",IFERROR(IF(INDEX(Hierarchy!$B$2:$B$1295,MATCH($D1468,Hierarchy!$A$2:$A$1295,0))="","",INDEX(Hierarchy!$B$2:$B$1295,MATCH($D1468,Hierarchy!$A$2:$A$1295,0))),"NODE NOT FOUND"))</f>
        <v>Country</v>
      </c>
      <c r="G1468" s="7" t="str">
        <f aca="false">IF($D1468="","",IFERROR(IF(INDEX(Hierarchy!$D$2:$D$1295,MATCH($D1468,Hierarchy!$A$2:$A$1295,0))="","",INDEX(Hierarchy!$D$2:$D$1295,MATCH($D1468,Hierarchy!$A$2:$A$1295,0))),"NODE NOT FOUND"))</f>
        <v>EMEA</v>
      </c>
      <c r="H1468" s="7" t="str">
        <f aca="false">IF($D1468="","",IFERROR(IF(INDEX(Hierarchy!$E$2:$E$1295,MATCH($D1468,Hierarchy!$A$2:$A$1295,0))="","",INDEX(Hierarchy!$E$2:$E$1295,MATCH($D1468,Hierarchy!$A$2:$A$1295,0))),"NODE NOT FOUND"))</f>
        <v>Africa</v>
      </c>
      <c r="I1468" s="7" t="str">
        <f aca="false">IF($D1468="","",IFERROR(IF(INDEX(Hierarchy!$F$2:$F$1295,MATCH($D1468,Hierarchy!$A$2:$A$1295,0))="","",INDEX(Hierarchy!$F$2:$F$1295,MATCH($D1468,Hierarchy!$A$2:$A$1295,0))),"NODE NOT FOUND"))</f>
        <v>Seychelles</v>
      </c>
      <c r="J1468" s="7" t="str">
        <f aca="false">IF($D1468="","",IFERROR(IF(INDEX(Hierarchy!$G$2:$G$1295,MATCH($D1468,Hierarchy!$A$2:$A$1295,0))="","",INDEX(Hierarchy!$G$2:$G$1295,MATCH($D1468,Hierarchy!$A$2:$A$1295,0))),"NODE NOT FOUND"))</f>
        <v>SYC</v>
      </c>
      <c r="K1468" s="7" t="str">
        <f aca="false">IF($D1468="","",IFERROR(IF(INDEX(Hierarchy!$H$2:$H$1295,MATCH($D1468,Hierarchy!$A$2:$A$1295,0))="","",INDEX(Hierarchy!$H$2:$H$1295,MATCH($D1468,Hierarchy!$A$2:$A$1295,0))),"NODE NOT FOUND"))</f>
        <v/>
      </c>
      <c r="L1468" s="7" t="str">
        <f aca="false">IF($D1468="","",IFERROR(IF(INDEX(Hierarchy!$I$2:$I$1295,MATCH($D1468,Hierarchy!$A$2:$A$1295,0))="","",INDEX(Hierarchy!$I$2:$I$1295,MATCH($D1468,Hierarchy!$A$2:$A$1295,0))),"NODE NOT FOUND"))</f>
        <v/>
      </c>
      <c r="M1468" s="17" t="str">
        <f aca="false">IF(B1468="Pre-seeded","Pre-seeded",IF(B1468="Review 2026-09-16","Added from review",IF(C1468="","New",IF(C1468=D1468,"","Changed"))))</f>
        <v>Pre-seeded</v>
      </c>
      <c r="N1468" s="7" t="str">
        <f aca="false">TRIM(SUBSTITUTE(SUBSTITUTE(SUBSTITUTE(" "&amp;TRIM(SUBSTITUTE(SUBSTITUTE(SUBSTITUTE(SUBSTITUTE(SUBSTITUTE(SUBSTITUTE(SUBSTITUTE(SUBSTITUTE(SUBSTITUTE(SUBSTITUTE(SUBSTITUTE(SUBSTITUTE(SUBSTITUTE(SUBSTITUTE(SUBSTITUTE(UPPER(TRIM(A1468)),"[MEMBER]",""),"{MEMBER}",""),"[MEMBER}",""),"MEMBER]",""),"(A)",""),"""",""),"“",""),"”",""),".",""),":",""),",",""),"–"," "),"-"," "),"/"," "),"&amp;"," AND "))&amp;" "," THE "," ")," TOTAL "," ")," OPERATIONS "," "))</f>
        <v>REPUBLIC OF SEYCHELLES</v>
      </c>
      <c r="O1468" s="17" t="str">
        <f aca="false">IF(COUNTIFS($N$2:$N$2000,N1468,$D$2:$D$2000,"&lt;&gt;"&amp;D1468)&gt;0,"CONFLICT","")</f>
        <v/>
      </c>
      <c r="P1468" s="7" t="s">
        <v>1936</v>
      </c>
    </row>
    <row r="1469" customFormat="false" ht="15" hidden="false" customHeight="false" outlineLevel="0" collapsed="false">
      <c r="A1469" s="7" t="s">
        <v>2643</v>
      </c>
      <c r="B1469" s="7" t="s">
        <v>1879</v>
      </c>
      <c r="C1469" s="7"/>
      <c r="D1469" s="6" t="s">
        <v>1287</v>
      </c>
      <c r="E1469" s="6" t="s">
        <v>1880</v>
      </c>
      <c r="F1469" s="7" t="str">
        <f aca="false">IF($D1469="","",IFERROR(IF(INDEX(Hierarchy!$B$2:$B$1295,MATCH($D1469,Hierarchy!$A$2:$A$1295,0))="","",INDEX(Hierarchy!$B$2:$B$1295,MATCH($D1469,Hierarchy!$A$2:$A$1295,0))),"NODE NOT FOUND"))</f>
        <v>Country</v>
      </c>
      <c r="G1469" s="7" t="str">
        <f aca="false">IF($D1469="","",IFERROR(IF(INDEX(Hierarchy!$D$2:$D$1295,MATCH($D1469,Hierarchy!$A$2:$A$1295,0))="","",INDEX(Hierarchy!$D$2:$D$1295,MATCH($D1469,Hierarchy!$A$2:$A$1295,0))),"NODE NOT FOUND"))</f>
        <v>EMEA</v>
      </c>
      <c r="H1469" s="7" t="str">
        <f aca="false">IF($D1469="","",IFERROR(IF(INDEX(Hierarchy!$E$2:$E$1295,MATCH($D1469,Hierarchy!$A$2:$A$1295,0))="","",INDEX(Hierarchy!$E$2:$E$1295,MATCH($D1469,Hierarchy!$A$2:$A$1295,0))),"NODE NOT FOUND"))</f>
        <v>Africa</v>
      </c>
      <c r="I1469" s="7" t="str">
        <f aca="false">IF($D1469="","",IFERROR(IF(INDEX(Hierarchy!$F$2:$F$1295,MATCH($D1469,Hierarchy!$A$2:$A$1295,0))="","",INDEX(Hierarchy!$F$2:$F$1295,MATCH($D1469,Hierarchy!$A$2:$A$1295,0))),"NODE NOT FOUND"))</f>
        <v>Sierra Leone</v>
      </c>
      <c r="J1469" s="7" t="str">
        <f aca="false">IF($D1469="","",IFERROR(IF(INDEX(Hierarchy!$G$2:$G$1295,MATCH($D1469,Hierarchy!$A$2:$A$1295,0))="","",INDEX(Hierarchy!$G$2:$G$1295,MATCH($D1469,Hierarchy!$A$2:$A$1295,0))),"NODE NOT FOUND"))</f>
        <v>SLE</v>
      </c>
      <c r="K1469" s="7" t="str">
        <f aca="false">IF($D1469="","",IFERROR(IF(INDEX(Hierarchy!$H$2:$H$1295,MATCH($D1469,Hierarchy!$A$2:$A$1295,0))="","",INDEX(Hierarchy!$H$2:$H$1295,MATCH($D1469,Hierarchy!$A$2:$A$1295,0))),"NODE NOT FOUND"))</f>
        <v/>
      </c>
      <c r="L1469" s="7" t="str">
        <f aca="false">IF($D1469="","",IFERROR(IF(INDEX(Hierarchy!$I$2:$I$1295,MATCH($D1469,Hierarchy!$A$2:$A$1295,0))="","",INDEX(Hierarchy!$I$2:$I$1295,MATCH($D1469,Hierarchy!$A$2:$A$1295,0))),"NODE NOT FOUND"))</f>
        <v/>
      </c>
      <c r="M1469" s="17" t="str">
        <f aca="false">IF(B1469="Pre-seeded","Pre-seeded",IF(B1469="Review 2026-09-16","Added from review",IF(C1469="","New",IF(C1469=D1469,"","Changed"))))</f>
        <v>Pre-seeded</v>
      </c>
      <c r="N1469" s="7" t="str">
        <f aca="false">TRIM(SUBSTITUTE(SUBSTITUTE(SUBSTITUTE(" "&amp;TRIM(SUBSTITUTE(SUBSTITUTE(SUBSTITUTE(SUBSTITUTE(SUBSTITUTE(SUBSTITUTE(SUBSTITUTE(SUBSTITUTE(SUBSTITUTE(SUBSTITUTE(SUBSTITUTE(SUBSTITUTE(SUBSTITUTE(SUBSTITUTE(SUBSTITUTE(UPPER(TRIM(A1469)),"[MEMBER]",""),"{MEMBER}",""),"[MEMBER}",""),"MEMBER]",""),"(A)",""),"""",""),"“",""),"”",""),".",""),":",""),",",""),"–"," "),"-"," "),"/"," "),"&amp;"," AND "))&amp;" "," THE "," ")," TOTAL "," ")," OPERATIONS "," "))</f>
        <v>REPUBLIC OF SIERRA LEONE</v>
      </c>
      <c r="O1469" s="17" t="str">
        <f aca="false">IF(COUNTIFS($N$2:$N$2000,N1469,$D$2:$D$2000,"&lt;&gt;"&amp;D1469)&gt;0,"CONFLICT","")</f>
        <v/>
      </c>
      <c r="P1469" s="7" t="s">
        <v>1936</v>
      </c>
    </row>
    <row r="1470" customFormat="false" ht="15" hidden="false" customHeight="false" outlineLevel="0" collapsed="false">
      <c r="A1470" s="7" t="s">
        <v>2644</v>
      </c>
      <c r="B1470" s="7" t="s">
        <v>1879</v>
      </c>
      <c r="C1470" s="7"/>
      <c r="D1470" s="6" t="s">
        <v>1682</v>
      </c>
      <c r="E1470" s="6" t="s">
        <v>1880</v>
      </c>
      <c r="F1470" s="7" t="str">
        <f aca="false">IF($D1470="","",IFERROR(IF(INDEX(Hierarchy!$B$2:$B$1295,MATCH($D1470,Hierarchy!$A$2:$A$1295,0))="","",INDEX(Hierarchy!$B$2:$B$1295,MATCH($D1470,Hierarchy!$A$2:$A$1295,0))),"NODE NOT FOUND"))</f>
        <v>Country</v>
      </c>
      <c r="G1470" s="7" t="str">
        <f aca="false">IF($D1470="","",IFERROR(IF(INDEX(Hierarchy!$D$2:$D$1295,MATCH($D1470,Hierarchy!$A$2:$A$1295,0))="","",INDEX(Hierarchy!$D$2:$D$1295,MATCH($D1470,Hierarchy!$A$2:$A$1295,0))),"NODE NOT FOUND"))</f>
        <v>APAC</v>
      </c>
      <c r="H1470" s="7" t="str">
        <f aca="false">IF($D1470="","",IFERROR(IF(INDEX(Hierarchy!$E$2:$E$1295,MATCH($D1470,Hierarchy!$A$2:$A$1295,0))="","",INDEX(Hierarchy!$E$2:$E$1295,MATCH($D1470,Hierarchy!$A$2:$A$1295,0))),"NODE NOT FOUND"))</f>
        <v>Southeast Asia (ASEAN)</v>
      </c>
      <c r="I1470" s="7" t="str">
        <f aca="false">IF($D1470="","",IFERROR(IF(INDEX(Hierarchy!$F$2:$F$1295,MATCH($D1470,Hierarchy!$A$2:$A$1295,0))="","",INDEX(Hierarchy!$F$2:$F$1295,MATCH($D1470,Hierarchy!$A$2:$A$1295,0))),"NODE NOT FOUND"))</f>
        <v>Singapore</v>
      </c>
      <c r="J1470" s="7" t="str">
        <f aca="false">IF($D1470="","",IFERROR(IF(INDEX(Hierarchy!$G$2:$G$1295,MATCH($D1470,Hierarchy!$A$2:$A$1295,0))="","",INDEX(Hierarchy!$G$2:$G$1295,MATCH($D1470,Hierarchy!$A$2:$A$1295,0))),"NODE NOT FOUND"))</f>
        <v>SGP</v>
      </c>
      <c r="K1470" s="7" t="str">
        <f aca="false">IF($D1470="","",IFERROR(IF(INDEX(Hierarchy!$H$2:$H$1295,MATCH($D1470,Hierarchy!$A$2:$A$1295,0))="","",INDEX(Hierarchy!$H$2:$H$1295,MATCH($D1470,Hierarchy!$A$2:$A$1295,0))),"NODE NOT FOUND"))</f>
        <v/>
      </c>
      <c r="L1470" s="7" t="str">
        <f aca="false">IF($D1470="","",IFERROR(IF(INDEX(Hierarchy!$I$2:$I$1295,MATCH($D1470,Hierarchy!$A$2:$A$1295,0))="","",INDEX(Hierarchy!$I$2:$I$1295,MATCH($D1470,Hierarchy!$A$2:$A$1295,0))),"NODE NOT FOUND"))</f>
        <v/>
      </c>
      <c r="M1470" s="17" t="str">
        <f aca="false">IF(B1470="Pre-seeded","Pre-seeded",IF(B1470="Review 2026-09-16","Added from review",IF(C1470="","New",IF(C1470=D1470,"","Changed"))))</f>
        <v>Pre-seeded</v>
      </c>
      <c r="N1470" s="7" t="str">
        <f aca="false">TRIM(SUBSTITUTE(SUBSTITUTE(SUBSTITUTE(" "&amp;TRIM(SUBSTITUTE(SUBSTITUTE(SUBSTITUTE(SUBSTITUTE(SUBSTITUTE(SUBSTITUTE(SUBSTITUTE(SUBSTITUTE(SUBSTITUTE(SUBSTITUTE(SUBSTITUTE(SUBSTITUTE(SUBSTITUTE(SUBSTITUTE(SUBSTITUTE(UPPER(TRIM(A1470)),"[MEMBER]",""),"{MEMBER}",""),"[MEMBER}",""),"MEMBER]",""),"(A)",""),"""",""),"“",""),"”",""),".",""),":",""),",",""),"–"," "),"-"," "),"/"," "),"&amp;"," AND "))&amp;" "," THE "," ")," TOTAL "," ")," OPERATIONS "," "))</f>
        <v>REPUBLIC OF SINGAPORE</v>
      </c>
      <c r="O1470" s="17" t="str">
        <f aca="false">IF(COUNTIFS($N$2:$N$2000,N1470,$D$2:$D$2000,"&lt;&gt;"&amp;D1470)&gt;0,"CONFLICT","")</f>
        <v/>
      </c>
      <c r="P1470" s="7" t="s">
        <v>1936</v>
      </c>
    </row>
    <row r="1471" customFormat="false" ht="15" hidden="false" customHeight="false" outlineLevel="0" collapsed="false">
      <c r="A1471" s="7" t="s">
        <v>2645</v>
      </c>
      <c r="B1471" s="7" t="s">
        <v>1879</v>
      </c>
      <c r="C1471" s="7"/>
      <c r="D1471" s="6" t="s">
        <v>946</v>
      </c>
      <c r="E1471" s="6" t="s">
        <v>1880</v>
      </c>
      <c r="F1471" s="7" t="str">
        <f aca="false">IF($D1471="","",IFERROR(IF(INDEX(Hierarchy!$B$2:$B$1295,MATCH($D1471,Hierarchy!$A$2:$A$1295,0))="","",INDEX(Hierarchy!$B$2:$B$1295,MATCH($D1471,Hierarchy!$A$2:$A$1295,0))),"NODE NOT FOUND"))</f>
        <v>Country</v>
      </c>
      <c r="G1471" s="7" t="str">
        <f aca="false">IF($D1471="","",IFERROR(IF(INDEX(Hierarchy!$D$2:$D$1295,MATCH($D1471,Hierarchy!$A$2:$A$1295,0))="","",INDEX(Hierarchy!$D$2:$D$1295,MATCH($D1471,Hierarchy!$A$2:$A$1295,0))),"NODE NOT FOUND"))</f>
        <v>EMEA</v>
      </c>
      <c r="H1471" s="7" t="str">
        <f aca="false">IF($D1471="","",IFERROR(IF(INDEX(Hierarchy!$E$2:$E$1295,MATCH($D1471,Hierarchy!$A$2:$A$1295,0))="","",INDEX(Hierarchy!$E$2:$E$1295,MATCH($D1471,Hierarchy!$A$2:$A$1295,0))),"NODE NOT FOUND"))</f>
        <v>Europe</v>
      </c>
      <c r="I1471" s="7" t="str">
        <f aca="false">IF($D1471="","",IFERROR(IF(INDEX(Hierarchy!$F$2:$F$1295,MATCH($D1471,Hierarchy!$A$2:$A$1295,0))="","",INDEX(Hierarchy!$F$2:$F$1295,MATCH($D1471,Hierarchy!$A$2:$A$1295,0))),"NODE NOT FOUND"))</f>
        <v>Slovenia</v>
      </c>
      <c r="J1471" s="7" t="str">
        <f aca="false">IF($D1471="","",IFERROR(IF(INDEX(Hierarchy!$G$2:$G$1295,MATCH($D1471,Hierarchy!$A$2:$A$1295,0))="","",INDEX(Hierarchy!$G$2:$G$1295,MATCH($D1471,Hierarchy!$A$2:$A$1295,0))),"NODE NOT FOUND"))</f>
        <v>SVN</v>
      </c>
      <c r="K1471" s="7" t="str">
        <f aca="false">IF($D1471="","",IFERROR(IF(INDEX(Hierarchy!$H$2:$H$1295,MATCH($D1471,Hierarchy!$A$2:$A$1295,0))="","",INDEX(Hierarchy!$H$2:$H$1295,MATCH($D1471,Hierarchy!$A$2:$A$1295,0))),"NODE NOT FOUND"))</f>
        <v/>
      </c>
      <c r="L1471" s="7" t="str">
        <f aca="false">IF($D1471="","",IFERROR(IF(INDEX(Hierarchy!$I$2:$I$1295,MATCH($D1471,Hierarchy!$A$2:$A$1295,0))="","",INDEX(Hierarchy!$I$2:$I$1295,MATCH($D1471,Hierarchy!$A$2:$A$1295,0))),"NODE NOT FOUND"))</f>
        <v/>
      </c>
      <c r="M1471" s="17" t="str">
        <f aca="false">IF(B1471="Pre-seeded","Pre-seeded",IF(B1471="Review 2026-09-16","Added from review",IF(C1471="","New",IF(C1471=D1471,"","Changed"))))</f>
        <v>Pre-seeded</v>
      </c>
      <c r="N1471" s="7" t="str">
        <f aca="false">TRIM(SUBSTITUTE(SUBSTITUTE(SUBSTITUTE(" "&amp;TRIM(SUBSTITUTE(SUBSTITUTE(SUBSTITUTE(SUBSTITUTE(SUBSTITUTE(SUBSTITUTE(SUBSTITUTE(SUBSTITUTE(SUBSTITUTE(SUBSTITUTE(SUBSTITUTE(SUBSTITUTE(SUBSTITUTE(SUBSTITUTE(SUBSTITUTE(UPPER(TRIM(A1471)),"[MEMBER]",""),"{MEMBER}",""),"[MEMBER}",""),"MEMBER]",""),"(A)",""),"""",""),"“",""),"”",""),".",""),":",""),",",""),"–"," "),"-"," "),"/"," "),"&amp;"," AND "))&amp;" "," THE "," ")," TOTAL "," ")," OPERATIONS "," "))</f>
        <v>REPUBLIC OF SLOVENIA</v>
      </c>
      <c r="O1471" s="17" t="str">
        <f aca="false">IF(COUNTIFS($N$2:$N$2000,N1471,$D$2:$D$2000,"&lt;&gt;"&amp;D1471)&gt;0,"CONFLICT","")</f>
        <v/>
      </c>
      <c r="P1471" s="7" t="s">
        <v>1936</v>
      </c>
    </row>
    <row r="1472" customFormat="false" ht="15" hidden="false" customHeight="false" outlineLevel="0" collapsed="false">
      <c r="A1472" s="7" t="s">
        <v>2646</v>
      </c>
      <c r="B1472" s="7" t="s">
        <v>1879</v>
      </c>
      <c r="C1472" s="7"/>
      <c r="D1472" s="6" t="s">
        <v>1111</v>
      </c>
      <c r="E1472" s="6" t="s">
        <v>1880</v>
      </c>
      <c r="F1472" s="7" t="str">
        <f aca="false">IF($D1472="","",IFERROR(IF(INDEX(Hierarchy!$B$2:$B$1295,MATCH($D1472,Hierarchy!$A$2:$A$1295,0))="","",INDEX(Hierarchy!$B$2:$B$1295,MATCH($D1472,Hierarchy!$A$2:$A$1295,0))),"NODE NOT FOUND"))</f>
        <v>Country</v>
      </c>
      <c r="G1472" s="7" t="str">
        <f aca="false">IF($D1472="","",IFERROR(IF(INDEX(Hierarchy!$D$2:$D$1295,MATCH($D1472,Hierarchy!$A$2:$A$1295,0))="","",INDEX(Hierarchy!$D$2:$D$1295,MATCH($D1472,Hierarchy!$A$2:$A$1295,0))),"NODE NOT FOUND"))</f>
        <v>EMEA</v>
      </c>
      <c r="H1472" s="7" t="str">
        <f aca="false">IF($D1472="","",IFERROR(IF(INDEX(Hierarchy!$E$2:$E$1295,MATCH($D1472,Hierarchy!$A$2:$A$1295,0))="","",INDEX(Hierarchy!$E$2:$E$1295,MATCH($D1472,Hierarchy!$A$2:$A$1295,0))),"NODE NOT FOUND"))</f>
        <v>Africa</v>
      </c>
      <c r="I1472" s="7" t="str">
        <f aca="false">IF($D1472="","",IFERROR(IF(INDEX(Hierarchy!$F$2:$F$1295,MATCH($D1472,Hierarchy!$A$2:$A$1295,0))="","",INDEX(Hierarchy!$F$2:$F$1295,MATCH($D1472,Hierarchy!$A$2:$A$1295,0))),"NODE NOT FOUND"))</f>
        <v>South Africa</v>
      </c>
      <c r="J1472" s="7" t="str">
        <f aca="false">IF($D1472="","",IFERROR(IF(INDEX(Hierarchy!$G$2:$G$1295,MATCH($D1472,Hierarchy!$A$2:$A$1295,0))="","",INDEX(Hierarchy!$G$2:$G$1295,MATCH($D1472,Hierarchy!$A$2:$A$1295,0))),"NODE NOT FOUND"))</f>
        <v>ZAF</v>
      </c>
      <c r="K1472" s="7" t="str">
        <f aca="false">IF($D1472="","",IFERROR(IF(INDEX(Hierarchy!$H$2:$H$1295,MATCH($D1472,Hierarchy!$A$2:$A$1295,0))="","",INDEX(Hierarchy!$H$2:$H$1295,MATCH($D1472,Hierarchy!$A$2:$A$1295,0))),"NODE NOT FOUND"))</f>
        <v/>
      </c>
      <c r="L1472" s="7" t="str">
        <f aca="false">IF($D1472="","",IFERROR(IF(INDEX(Hierarchy!$I$2:$I$1295,MATCH($D1472,Hierarchy!$A$2:$A$1295,0))="","",INDEX(Hierarchy!$I$2:$I$1295,MATCH($D1472,Hierarchy!$A$2:$A$1295,0))),"NODE NOT FOUND"))</f>
        <v/>
      </c>
      <c r="M1472" s="17" t="str">
        <f aca="false">IF(B1472="Pre-seeded","Pre-seeded",IF(B1472="Review 2026-09-16","Added from review",IF(C1472="","New",IF(C1472=D1472,"","Changed"))))</f>
        <v>Pre-seeded</v>
      </c>
      <c r="N1472" s="7" t="str">
        <f aca="false">TRIM(SUBSTITUTE(SUBSTITUTE(SUBSTITUTE(" "&amp;TRIM(SUBSTITUTE(SUBSTITUTE(SUBSTITUTE(SUBSTITUTE(SUBSTITUTE(SUBSTITUTE(SUBSTITUTE(SUBSTITUTE(SUBSTITUTE(SUBSTITUTE(SUBSTITUTE(SUBSTITUTE(SUBSTITUTE(SUBSTITUTE(SUBSTITUTE(UPPER(TRIM(A1472)),"[MEMBER]",""),"{MEMBER}",""),"[MEMBER}",""),"MEMBER]",""),"(A)",""),"""",""),"“",""),"”",""),".",""),":",""),",",""),"–"," "),"-"," "),"/"," "),"&amp;"," AND "))&amp;" "," THE "," ")," TOTAL "," ")," OPERATIONS "," "))</f>
        <v>REPUBLIC OF SOUTH AFRICA</v>
      </c>
      <c r="O1472" s="17" t="str">
        <f aca="false">IF(COUNTIFS($N$2:$N$2000,N1472,$D$2:$D$2000,"&lt;&gt;"&amp;D1472)&gt;0,"CONFLICT","")</f>
        <v/>
      </c>
      <c r="P1472" s="7" t="s">
        <v>1936</v>
      </c>
    </row>
    <row r="1473" customFormat="false" ht="15" hidden="false" customHeight="false" outlineLevel="0" collapsed="false">
      <c r="A1473" s="7" t="s">
        <v>2647</v>
      </c>
      <c r="B1473" s="7" t="s">
        <v>1879</v>
      </c>
      <c r="C1473" s="7"/>
      <c r="D1473" s="6" t="s">
        <v>1291</v>
      </c>
      <c r="E1473" s="6" t="s">
        <v>1880</v>
      </c>
      <c r="F1473" s="7" t="str">
        <f aca="false">IF($D1473="","",IFERROR(IF(INDEX(Hierarchy!$B$2:$B$1295,MATCH($D1473,Hierarchy!$A$2:$A$1295,0))="","",INDEX(Hierarchy!$B$2:$B$1295,MATCH($D1473,Hierarchy!$A$2:$A$1295,0))),"NODE NOT FOUND"))</f>
        <v>Country</v>
      </c>
      <c r="G1473" s="7" t="str">
        <f aca="false">IF($D1473="","",IFERROR(IF(INDEX(Hierarchy!$D$2:$D$1295,MATCH($D1473,Hierarchy!$A$2:$A$1295,0))="","",INDEX(Hierarchy!$D$2:$D$1295,MATCH($D1473,Hierarchy!$A$2:$A$1295,0))),"NODE NOT FOUND"))</f>
        <v>EMEA</v>
      </c>
      <c r="H1473" s="7" t="str">
        <f aca="false">IF($D1473="","",IFERROR(IF(INDEX(Hierarchy!$E$2:$E$1295,MATCH($D1473,Hierarchy!$A$2:$A$1295,0))="","",INDEX(Hierarchy!$E$2:$E$1295,MATCH($D1473,Hierarchy!$A$2:$A$1295,0))),"NODE NOT FOUND"))</f>
        <v>Africa</v>
      </c>
      <c r="I1473" s="7" t="str">
        <f aca="false">IF($D1473="","",IFERROR(IF(INDEX(Hierarchy!$F$2:$F$1295,MATCH($D1473,Hierarchy!$A$2:$A$1295,0))="","",INDEX(Hierarchy!$F$2:$F$1295,MATCH($D1473,Hierarchy!$A$2:$A$1295,0))),"NODE NOT FOUND"))</f>
        <v>South Sudan</v>
      </c>
      <c r="J1473" s="7" t="str">
        <f aca="false">IF($D1473="","",IFERROR(IF(INDEX(Hierarchy!$G$2:$G$1295,MATCH($D1473,Hierarchy!$A$2:$A$1295,0))="","",INDEX(Hierarchy!$G$2:$G$1295,MATCH($D1473,Hierarchy!$A$2:$A$1295,0))),"NODE NOT FOUND"))</f>
        <v>SSD</v>
      </c>
      <c r="K1473" s="7" t="str">
        <f aca="false">IF($D1473="","",IFERROR(IF(INDEX(Hierarchy!$H$2:$H$1295,MATCH($D1473,Hierarchy!$A$2:$A$1295,0))="","",INDEX(Hierarchy!$H$2:$H$1295,MATCH($D1473,Hierarchy!$A$2:$A$1295,0))),"NODE NOT FOUND"))</f>
        <v/>
      </c>
      <c r="L1473" s="7" t="str">
        <f aca="false">IF($D1473="","",IFERROR(IF(INDEX(Hierarchy!$I$2:$I$1295,MATCH($D1473,Hierarchy!$A$2:$A$1295,0))="","",INDEX(Hierarchy!$I$2:$I$1295,MATCH($D1473,Hierarchy!$A$2:$A$1295,0))),"NODE NOT FOUND"))</f>
        <v/>
      </c>
      <c r="M1473" s="17" t="str">
        <f aca="false">IF(B1473="Pre-seeded","Pre-seeded",IF(B1473="Review 2026-09-16","Added from review",IF(C1473="","New",IF(C1473=D1473,"","Changed"))))</f>
        <v>Pre-seeded</v>
      </c>
      <c r="N1473" s="7" t="str">
        <f aca="false">TRIM(SUBSTITUTE(SUBSTITUTE(SUBSTITUTE(" "&amp;TRIM(SUBSTITUTE(SUBSTITUTE(SUBSTITUTE(SUBSTITUTE(SUBSTITUTE(SUBSTITUTE(SUBSTITUTE(SUBSTITUTE(SUBSTITUTE(SUBSTITUTE(SUBSTITUTE(SUBSTITUTE(SUBSTITUTE(SUBSTITUTE(SUBSTITUTE(UPPER(TRIM(A1473)),"[MEMBER]",""),"{MEMBER}",""),"[MEMBER}",""),"MEMBER]",""),"(A)",""),"""",""),"“",""),"”",""),".",""),":",""),",",""),"–"," "),"-"," "),"/"," "),"&amp;"," AND "))&amp;" "," THE "," ")," TOTAL "," ")," OPERATIONS "," "))</f>
        <v>REPUBLIC OF SOUTH SUDAN</v>
      </c>
      <c r="O1473" s="17" t="str">
        <f aca="false">IF(COUNTIFS($N$2:$N$2000,N1473,$D$2:$D$2000,"&lt;&gt;"&amp;D1473)&gt;0,"CONFLICT","")</f>
        <v/>
      </c>
      <c r="P1473" s="7" t="s">
        <v>1936</v>
      </c>
    </row>
    <row r="1474" customFormat="false" ht="15" hidden="false" customHeight="false" outlineLevel="0" collapsed="false">
      <c r="A1474" s="7" t="s">
        <v>2648</v>
      </c>
      <c r="B1474" s="7" t="s">
        <v>1879</v>
      </c>
      <c r="C1474" s="7"/>
      <c r="D1474" s="6" t="s">
        <v>603</v>
      </c>
      <c r="E1474" s="6" t="s">
        <v>1880</v>
      </c>
      <c r="F1474" s="7" t="str">
        <f aca="false">IF($D1474="","",IFERROR(IF(INDEX(Hierarchy!$B$2:$B$1295,MATCH($D1474,Hierarchy!$A$2:$A$1295,0))="","",INDEX(Hierarchy!$B$2:$B$1295,MATCH($D1474,Hierarchy!$A$2:$A$1295,0))),"NODE NOT FOUND"))</f>
        <v>Country</v>
      </c>
      <c r="G1474" s="7" t="str">
        <f aca="false">IF($D1474="","",IFERROR(IF(INDEX(Hierarchy!$D$2:$D$1295,MATCH($D1474,Hierarchy!$A$2:$A$1295,0))="","",INDEX(Hierarchy!$D$2:$D$1295,MATCH($D1474,Hierarchy!$A$2:$A$1295,0))),"NODE NOT FOUND"))</f>
        <v>AMER</v>
      </c>
      <c r="H1474" s="7" t="str">
        <f aca="false">IF($D1474="","",IFERROR(IF(INDEX(Hierarchy!$E$2:$E$1295,MATCH($D1474,Hierarchy!$A$2:$A$1295,0))="","",INDEX(Hierarchy!$E$2:$E$1295,MATCH($D1474,Hierarchy!$A$2:$A$1295,0))),"NODE NOT FOUND"))</f>
        <v>Latin America (LATAM)</v>
      </c>
      <c r="I1474" s="7" t="str">
        <f aca="false">IF($D1474="","",IFERROR(IF(INDEX(Hierarchy!$F$2:$F$1295,MATCH($D1474,Hierarchy!$A$2:$A$1295,0))="","",INDEX(Hierarchy!$F$2:$F$1295,MATCH($D1474,Hierarchy!$A$2:$A$1295,0))),"NODE NOT FOUND"))</f>
        <v>Suriname</v>
      </c>
      <c r="J1474" s="7" t="str">
        <f aca="false">IF($D1474="","",IFERROR(IF(INDEX(Hierarchy!$G$2:$G$1295,MATCH($D1474,Hierarchy!$A$2:$A$1295,0))="","",INDEX(Hierarchy!$G$2:$G$1295,MATCH($D1474,Hierarchy!$A$2:$A$1295,0))),"NODE NOT FOUND"))</f>
        <v>SUR</v>
      </c>
      <c r="K1474" s="7" t="str">
        <f aca="false">IF($D1474="","",IFERROR(IF(INDEX(Hierarchy!$H$2:$H$1295,MATCH($D1474,Hierarchy!$A$2:$A$1295,0))="","",INDEX(Hierarchy!$H$2:$H$1295,MATCH($D1474,Hierarchy!$A$2:$A$1295,0))),"NODE NOT FOUND"))</f>
        <v/>
      </c>
      <c r="L1474" s="7" t="str">
        <f aca="false">IF($D1474="","",IFERROR(IF(INDEX(Hierarchy!$I$2:$I$1295,MATCH($D1474,Hierarchy!$A$2:$A$1295,0))="","",INDEX(Hierarchy!$I$2:$I$1295,MATCH($D1474,Hierarchy!$A$2:$A$1295,0))),"NODE NOT FOUND"))</f>
        <v/>
      </c>
      <c r="M1474" s="17" t="str">
        <f aca="false">IF(B1474="Pre-seeded","Pre-seeded",IF(B1474="Review 2026-09-16","Added from review",IF(C1474="","New",IF(C1474=D1474,"","Changed"))))</f>
        <v>Pre-seeded</v>
      </c>
      <c r="N1474" s="7" t="str">
        <f aca="false">TRIM(SUBSTITUTE(SUBSTITUTE(SUBSTITUTE(" "&amp;TRIM(SUBSTITUTE(SUBSTITUTE(SUBSTITUTE(SUBSTITUTE(SUBSTITUTE(SUBSTITUTE(SUBSTITUTE(SUBSTITUTE(SUBSTITUTE(SUBSTITUTE(SUBSTITUTE(SUBSTITUTE(SUBSTITUTE(SUBSTITUTE(SUBSTITUTE(UPPER(TRIM(A1474)),"[MEMBER]",""),"{MEMBER}",""),"[MEMBER}",""),"MEMBER]",""),"(A)",""),"""",""),"“",""),"”",""),".",""),":",""),",",""),"–"," "),"-"," "),"/"," "),"&amp;"," AND "))&amp;" "," THE "," ")," TOTAL "," ")," OPERATIONS "," "))</f>
        <v>REPUBLIC OF SURINAME</v>
      </c>
      <c r="O1474" s="17" t="str">
        <f aca="false">IF(COUNTIFS($N$2:$N$2000,N1474,$D$2:$D$2000,"&lt;&gt;"&amp;D1474)&gt;0,"CONFLICT","")</f>
        <v/>
      </c>
      <c r="P1474" s="7" t="s">
        <v>1936</v>
      </c>
    </row>
    <row r="1475" customFormat="false" ht="15" hidden="false" customHeight="false" outlineLevel="0" collapsed="false">
      <c r="A1475" s="7" t="s">
        <v>2649</v>
      </c>
      <c r="B1475" s="7" t="s">
        <v>1879</v>
      </c>
      <c r="C1475" s="7"/>
      <c r="D1475" s="6" t="s">
        <v>1010</v>
      </c>
      <c r="E1475" s="6" t="s">
        <v>1880</v>
      </c>
      <c r="F1475" s="7" t="str">
        <f aca="false">IF($D1475="","",IFERROR(IF(INDEX(Hierarchy!$B$2:$B$1295,MATCH($D1475,Hierarchy!$A$2:$A$1295,0))="","",INDEX(Hierarchy!$B$2:$B$1295,MATCH($D1475,Hierarchy!$A$2:$A$1295,0))),"NODE NOT FOUND"))</f>
        <v>Country</v>
      </c>
      <c r="G1475" s="7" t="str">
        <f aca="false">IF($D1475="","",IFERROR(IF(INDEX(Hierarchy!$D$2:$D$1295,MATCH($D1475,Hierarchy!$A$2:$A$1295,0))="","",INDEX(Hierarchy!$D$2:$D$1295,MATCH($D1475,Hierarchy!$A$2:$A$1295,0))),"NODE NOT FOUND"))</f>
        <v>EMEA</v>
      </c>
      <c r="H1475" s="7" t="str">
        <f aca="false">IF($D1475="","",IFERROR(IF(INDEX(Hierarchy!$E$2:$E$1295,MATCH($D1475,Hierarchy!$A$2:$A$1295,0))="","",INDEX(Hierarchy!$E$2:$E$1295,MATCH($D1475,Hierarchy!$A$2:$A$1295,0))),"NODE NOT FOUND"))</f>
        <v>Europe</v>
      </c>
      <c r="I1475" s="7" t="str">
        <f aca="false">IF($D1475="","",IFERROR(IF(INDEX(Hierarchy!$F$2:$F$1295,MATCH($D1475,Hierarchy!$A$2:$A$1295,0))="","",INDEX(Hierarchy!$F$2:$F$1295,MATCH($D1475,Hierarchy!$A$2:$A$1295,0))),"NODE NOT FOUND"))</f>
        <v>Tajikistan</v>
      </c>
      <c r="J1475" s="7" t="str">
        <f aca="false">IF($D1475="","",IFERROR(IF(INDEX(Hierarchy!$G$2:$G$1295,MATCH($D1475,Hierarchy!$A$2:$A$1295,0))="","",INDEX(Hierarchy!$G$2:$G$1295,MATCH($D1475,Hierarchy!$A$2:$A$1295,0))),"NODE NOT FOUND"))</f>
        <v>TJK</v>
      </c>
      <c r="K1475" s="7" t="str">
        <f aca="false">IF($D1475="","",IFERROR(IF(INDEX(Hierarchy!$H$2:$H$1295,MATCH($D1475,Hierarchy!$A$2:$A$1295,0))="","",INDEX(Hierarchy!$H$2:$H$1295,MATCH($D1475,Hierarchy!$A$2:$A$1295,0))),"NODE NOT FOUND"))</f>
        <v/>
      </c>
      <c r="L1475" s="7" t="str">
        <f aca="false">IF($D1475="","",IFERROR(IF(INDEX(Hierarchy!$I$2:$I$1295,MATCH($D1475,Hierarchy!$A$2:$A$1295,0))="","",INDEX(Hierarchy!$I$2:$I$1295,MATCH($D1475,Hierarchy!$A$2:$A$1295,0))),"NODE NOT FOUND"))</f>
        <v/>
      </c>
      <c r="M1475" s="17" t="str">
        <f aca="false">IF(B1475="Pre-seeded","Pre-seeded",IF(B1475="Review 2026-09-16","Added from review",IF(C1475="","New",IF(C1475=D1475,"","Changed"))))</f>
        <v>Pre-seeded</v>
      </c>
      <c r="N1475" s="7" t="str">
        <f aca="false">TRIM(SUBSTITUTE(SUBSTITUTE(SUBSTITUTE(" "&amp;TRIM(SUBSTITUTE(SUBSTITUTE(SUBSTITUTE(SUBSTITUTE(SUBSTITUTE(SUBSTITUTE(SUBSTITUTE(SUBSTITUTE(SUBSTITUTE(SUBSTITUTE(SUBSTITUTE(SUBSTITUTE(SUBSTITUTE(SUBSTITUTE(SUBSTITUTE(UPPER(TRIM(A1475)),"[MEMBER]",""),"{MEMBER}",""),"[MEMBER}",""),"MEMBER]",""),"(A)",""),"""",""),"“",""),"”",""),".",""),":",""),",",""),"–"," "),"-"," "),"/"," "),"&amp;"," AND "))&amp;" "," THE "," ")," TOTAL "," ")," OPERATIONS "," "))</f>
        <v>REPUBLIC OF TAJIKISTAN</v>
      </c>
      <c r="O1475" s="17" t="str">
        <f aca="false">IF(COUNTIFS($N$2:$N$2000,N1475,$D$2:$D$2000,"&lt;&gt;"&amp;D1475)&gt;0,"CONFLICT","")</f>
        <v/>
      </c>
      <c r="P1475" s="7" t="s">
        <v>1936</v>
      </c>
    </row>
    <row r="1476" customFormat="false" ht="15" hidden="false" customHeight="false" outlineLevel="0" collapsed="false">
      <c r="A1476" s="7" t="s">
        <v>2650</v>
      </c>
      <c r="B1476" s="7" t="s">
        <v>1879</v>
      </c>
      <c r="C1476" s="7"/>
      <c r="D1476" s="6" t="s">
        <v>1227</v>
      </c>
      <c r="E1476" s="6" t="s">
        <v>1880</v>
      </c>
      <c r="F1476" s="7" t="str">
        <f aca="false">IF($D1476="","",IFERROR(IF(INDEX(Hierarchy!$B$2:$B$1295,MATCH($D1476,Hierarchy!$A$2:$A$1295,0))="","",INDEX(Hierarchy!$B$2:$B$1295,MATCH($D1476,Hierarchy!$A$2:$A$1295,0))),"NODE NOT FOUND"))</f>
        <v>Country</v>
      </c>
      <c r="G1476" s="7" t="str">
        <f aca="false">IF($D1476="","",IFERROR(IF(INDEX(Hierarchy!$D$2:$D$1295,MATCH($D1476,Hierarchy!$A$2:$A$1295,0))="","",INDEX(Hierarchy!$D$2:$D$1295,MATCH($D1476,Hierarchy!$A$2:$A$1295,0))),"NODE NOT FOUND"))</f>
        <v>EMEA</v>
      </c>
      <c r="H1476" s="7" t="str">
        <f aca="false">IF($D1476="","",IFERROR(IF(INDEX(Hierarchy!$E$2:$E$1295,MATCH($D1476,Hierarchy!$A$2:$A$1295,0))="","",INDEX(Hierarchy!$E$2:$E$1295,MATCH($D1476,Hierarchy!$A$2:$A$1295,0))),"NODE NOT FOUND"))</f>
        <v>Africa</v>
      </c>
      <c r="I1476" s="7" t="str">
        <f aca="false">IF($D1476="","",IFERROR(IF(INDEX(Hierarchy!$F$2:$F$1295,MATCH($D1476,Hierarchy!$A$2:$A$1295,0))="","",INDEX(Hierarchy!$F$2:$F$1295,MATCH($D1476,Hierarchy!$A$2:$A$1295,0))),"NODE NOT FOUND"))</f>
        <v>Gambia</v>
      </c>
      <c r="J1476" s="7" t="str">
        <f aca="false">IF($D1476="","",IFERROR(IF(INDEX(Hierarchy!$G$2:$G$1295,MATCH($D1476,Hierarchy!$A$2:$A$1295,0))="","",INDEX(Hierarchy!$G$2:$G$1295,MATCH($D1476,Hierarchy!$A$2:$A$1295,0))),"NODE NOT FOUND"))</f>
        <v>GMB</v>
      </c>
      <c r="K1476" s="7" t="str">
        <f aca="false">IF($D1476="","",IFERROR(IF(INDEX(Hierarchy!$H$2:$H$1295,MATCH($D1476,Hierarchy!$A$2:$A$1295,0))="","",INDEX(Hierarchy!$H$2:$H$1295,MATCH($D1476,Hierarchy!$A$2:$A$1295,0))),"NODE NOT FOUND"))</f>
        <v/>
      </c>
      <c r="L1476" s="7" t="str">
        <f aca="false">IF($D1476="","",IFERROR(IF(INDEX(Hierarchy!$I$2:$I$1295,MATCH($D1476,Hierarchy!$A$2:$A$1295,0))="","",INDEX(Hierarchy!$I$2:$I$1295,MATCH($D1476,Hierarchy!$A$2:$A$1295,0))),"NODE NOT FOUND"))</f>
        <v/>
      </c>
      <c r="M1476" s="17" t="str">
        <f aca="false">IF(B1476="Pre-seeded","Pre-seeded",IF(B1476="Review 2026-09-16","Added from review",IF(C1476="","New",IF(C1476=D1476,"","Changed"))))</f>
        <v>Pre-seeded</v>
      </c>
      <c r="N1476" s="7" t="str">
        <f aca="false">TRIM(SUBSTITUTE(SUBSTITUTE(SUBSTITUTE(" "&amp;TRIM(SUBSTITUTE(SUBSTITUTE(SUBSTITUTE(SUBSTITUTE(SUBSTITUTE(SUBSTITUTE(SUBSTITUTE(SUBSTITUTE(SUBSTITUTE(SUBSTITUTE(SUBSTITUTE(SUBSTITUTE(SUBSTITUTE(SUBSTITUTE(SUBSTITUTE(UPPER(TRIM(A1476)),"[MEMBER]",""),"{MEMBER}",""),"[MEMBER}",""),"MEMBER]",""),"(A)",""),"""",""),"“",""),"”",""),".",""),":",""),",",""),"–"," "),"-"," "),"/"," "),"&amp;"," AND "))&amp;" "," THE "," ")," TOTAL "," ")," OPERATIONS "," "))</f>
        <v>REPUBLIC OF GAMBIA</v>
      </c>
      <c r="O1476" s="17" t="str">
        <f aca="false">IF(COUNTIFS($N$2:$N$2000,N1476,$D$2:$D$2000,"&lt;&gt;"&amp;D1476)&gt;0,"CONFLICT","")</f>
        <v/>
      </c>
      <c r="P1476" s="7" t="s">
        <v>1936</v>
      </c>
    </row>
    <row r="1477" customFormat="false" ht="15" hidden="false" customHeight="false" outlineLevel="0" collapsed="false">
      <c r="A1477" s="7" t="s">
        <v>2651</v>
      </c>
      <c r="B1477" s="7" t="s">
        <v>1879</v>
      </c>
      <c r="C1477" s="7"/>
      <c r="D1477" s="6" t="s">
        <v>1753</v>
      </c>
      <c r="E1477" s="6" t="s">
        <v>1880</v>
      </c>
      <c r="F1477" s="7" t="str">
        <f aca="false">IF($D1477="","",IFERROR(IF(INDEX(Hierarchy!$B$2:$B$1295,MATCH($D1477,Hierarchy!$A$2:$A$1295,0))="","",INDEX(Hierarchy!$B$2:$B$1295,MATCH($D1477,Hierarchy!$A$2:$A$1295,0))),"NODE NOT FOUND"))</f>
        <v>Country</v>
      </c>
      <c r="G1477" s="7" t="str">
        <f aca="false">IF($D1477="","",IFERROR(IF(INDEX(Hierarchy!$D$2:$D$1295,MATCH($D1477,Hierarchy!$A$2:$A$1295,0))="","",INDEX(Hierarchy!$D$2:$D$1295,MATCH($D1477,Hierarchy!$A$2:$A$1295,0))),"NODE NOT FOUND"))</f>
        <v>APAC</v>
      </c>
      <c r="H1477" s="7" t="str">
        <f aca="false">IF($D1477="","",IFERROR(IF(INDEX(Hierarchy!$E$2:$E$1295,MATCH($D1477,Hierarchy!$A$2:$A$1295,0))="","",INDEX(Hierarchy!$E$2:$E$1295,MATCH($D1477,Hierarchy!$A$2:$A$1295,0))),"NODE NOT FOUND"))</f>
        <v>Oceania (ANZ)</v>
      </c>
      <c r="I1477" s="7" t="str">
        <f aca="false">IF($D1477="","",IFERROR(IF(INDEX(Hierarchy!$F$2:$F$1295,MATCH($D1477,Hierarchy!$A$2:$A$1295,0))="","",INDEX(Hierarchy!$F$2:$F$1295,MATCH($D1477,Hierarchy!$A$2:$A$1295,0))),"NODE NOT FOUND"))</f>
        <v>Marshall Islands</v>
      </c>
      <c r="J1477" s="7" t="str">
        <f aca="false">IF($D1477="","",IFERROR(IF(INDEX(Hierarchy!$G$2:$G$1295,MATCH($D1477,Hierarchy!$A$2:$A$1295,0))="","",INDEX(Hierarchy!$G$2:$G$1295,MATCH($D1477,Hierarchy!$A$2:$A$1295,0))),"NODE NOT FOUND"))</f>
        <v>MHL</v>
      </c>
      <c r="K1477" s="7" t="str">
        <f aca="false">IF($D1477="","",IFERROR(IF(INDEX(Hierarchy!$H$2:$H$1295,MATCH($D1477,Hierarchy!$A$2:$A$1295,0))="","",INDEX(Hierarchy!$H$2:$H$1295,MATCH($D1477,Hierarchy!$A$2:$A$1295,0))),"NODE NOT FOUND"))</f>
        <v/>
      </c>
      <c r="L1477" s="7" t="str">
        <f aca="false">IF($D1477="","",IFERROR(IF(INDEX(Hierarchy!$I$2:$I$1295,MATCH($D1477,Hierarchy!$A$2:$A$1295,0))="","",INDEX(Hierarchy!$I$2:$I$1295,MATCH($D1477,Hierarchy!$A$2:$A$1295,0))),"NODE NOT FOUND"))</f>
        <v/>
      </c>
      <c r="M1477" s="17" t="str">
        <f aca="false">IF(B1477="Pre-seeded","Pre-seeded",IF(B1477="Review 2026-09-16","Added from review",IF(C1477="","New",IF(C1477=D1477,"","Changed"))))</f>
        <v>Pre-seeded</v>
      </c>
      <c r="N1477" s="7" t="str">
        <f aca="false">TRIM(SUBSTITUTE(SUBSTITUTE(SUBSTITUTE(" "&amp;TRIM(SUBSTITUTE(SUBSTITUTE(SUBSTITUTE(SUBSTITUTE(SUBSTITUTE(SUBSTITUTE(SUBSTITUTE(SUBSTITUTE(SUBSTITUTE(SUBSTITUTE(SUBSTITUTE(SUBSTITUTE(SUBSTITUTE(SUBSTITUTE(SUBSTITUTE(UPPER(TRIM(A1477)),"[MEMBER]",""),"{MEMBER}",""),"[MEMBER}",""),"MEMBER]",""),"(A)",""),"""",""),"“",""),"”",""),".",""),":",""),",",""),"–"," "),"-"," "),"/"," "),"&amp;"," AND "))&amp;" "," THE "," ")," TOTAL "," ")," OPERATIONS "," "))</f>
        <v>REPUBLIC OF MARSHALL ISLANDS</v>
      </c>
      <c r="O1477" s="17" t="str">
        <f aca="false">IF(COUNTIFS($N$2:$N$2000,N1477,$D$2:$D$2000,"&lt;&gt;"&amp;D1477)&gt;0,"CONFLICT","")</f>
        <v/>
      </c>
      <c r="P1477" s="7" t="s">
        <v>1936</v>
      </c>
    </row>
    <row r="1478" customFormat="false" ht="15" hidden="false" customHeight="false" outlineLevel="0" collapsed="false">
      <c r="A1478" s="7" t="s">
        <v>2652</v>
      </c>
      <c r="B1478" s="7" t="s">
        <v>1879</v>
      </c>
      <c r="C1478" s="7"/>
      <c r="D1478" s="6" t="s">
        <v>1270</v>
      </c>
      <c r="E1478" s="6" t="s">
        <v>1880</v>
      </c>
      <c r="F1478" s="7" t="str">
        <f aca="false">IF($D1478="","",IFERROR(IF(INDEX(Hierarchy!$B$2:$B$1295,MATCH($D1478,Hierarchy!$A$2:$A$1295,0))="","",INDEX(Hierarchy!$B$2:$B$1295,MATCH($D1478,Hierarchy!$A$2:$A$1295,0))),"NODE NOT FOUND"))</f>
        <v>Country</v>
      </c>
      <c r="G1478" s="7" t="str">
        <f aca="false">IF($D1478="","",IFERROR(IF(INDEX(Hierarchy!$D$2:$D$1295,MATCH($D1478,Hierarchy!$A$2:$A$1295,0))="","",INDEX(Hierarchy!$D$2:$D$1295,MATCH($D1478,Hierarchy!$A$2:$A$1295,0))),"NODE NOT FOUND"))</f>
        <v>EMEA</v>
      </c>
      <c r="H1478" s="7" t="str">
        <f aca="false">IF($D1478="","",IFERROR(IF(INDEX(Hierarchy!$E$2:$E$1295,MATCH($D1478,Hierarchy!$A$2:$A$1295,0))="","",INDEX(Hierarchy!$E$2:$E$1295,MATCH($D1478,Hierarchy!$A$2:$A$1295,0))),"NODE NOT FOUND"))</f>
        <v>Africa</v>
      </c>
      <c r="I1478" s="7" t="str">
        <f aca="false">IF($D1478="","",IFERROR(IF(INDEX(Hierarchy!$F$2:$F$1295,MATCH($D1478,Hierarchy!$A$2:$A$1295,0))="","",INDEX(Hierarchy!$F$2:$F$1295,MATCH($D1478,Hierarchy!$A$2:$A$1295,0))),"NODE NOT FOUND"))</f>
        <v>Niger</v>
      </c>
      <c r="J1478" s="7" t="str">
        <f aca="false">IF($D1478="","",IFERROR(IF(INDEX(Hierarchy!$G$2:$G$1295,MATCH($D1478,Hierarchy!$A$2:$A$1295,0))="","",INDEX(Hierarchy!$G$2:$G$1295,MATCH($D1478,Hierarchy!$A$2:$A$1295,0))),"NODE NOT FOUND"))</f>
        <v>NER</v>
      </c>
      <c r="K1478" s="7" t="str">
        <f aca="false">IF($D1478="","",IFERROR(IF(INDEX(Hierarchy!$H$2:$H$1295,MATCH($D1478,Hierarchy!$A$2:$A$1295,0))="","",INDEX(Hierarchy!$H$2:$H$1295,MATCH($D1478,Hierarchy!$A$2:$A$1295,0))),"NODE NOT FOUND"))</f>
        <v/>
      </c>
      <c r="L1478" s="7" t="str">
        <f aca="false">IF($D1478="","",IFERROR(IF(INDEX(Hierarchy!$I$2:$I$1295,MATCH($D1478,Hierarchy!$A$2:$A$1295,0))="","",INDEX(Hierarchy!$I$2:$I$1295,MATCH($D1478,Hierarchy!$A$2:$A$1295,0))),"NODE NOT FOUND"))</f>
        <v/>
      </c>
      <c r="M1478" s="17" t="str">
        <f aca="false">IF(B1478="Pre-seeded","Pre-seeded",IF(B1478="Review 2026-09-16","Added from review",IF(C1478="","New",IF(C1478=D1478,"","Changed"))))</f>
        <v>Pre-seeded</v>
      </c>
      <c r="N1478" s="7" t="str">
        <f aca="false">TRIM(SUBSTITUTE(SUBSTITUTE(SUBSTITUTE(" "&amp;TRIM(SUBSTITUTE(SUBSTITUTE(SUBSTITUTE(SUBSTITUTE(SUBSTITUTE(SUBSTITUTE(SUBSTITUTE(SUBSTITUTE(SUBSTITUTE(SUBSTITUTE(SUBSTITUTE(SUBSTITUTE(SUBSTITUTE(SUBSTITUTE(SUBSTITUTE(UPPER(TRIM(A1478)),"[MEMBER]",""),"{MEMBER}",""),"[MEMBER}",""),"MEMBER]",""),"(A)",""),"""",""),"“",""),"”",""),".",""),":",""),",",""),"–"," "),"-"," "),"/"," "),"&amp;"," AND "))&amp;" "," THE "," ")," TOTAL "," ")," OPERATIONS "," "))</f>
        <v>REPUBLIC OF NIGER</v>
      </c>
      <c r="O1478" s="17" t="str">
        <f aca="false">IF(COUNTIFS($N$2:$N$2000,N1478,$D$2:$D$2000,"&lt;&gt;"&amp;D1478)&gt;0,"CONFLICT","")</f>
        <v/>
      </c>
      <c r="P1478" s="7" t="s">
        <v>1936</v>
      </c>
    </row>
    <row r="1479" customFormat="false" ht="15" hidden="false" customHeight="false" outlineLevel="0" collapsed="false">
      <c r="A1479" s="7" t="s">
        <v>2653</v>
      </c>
      <c r="B1479" s="7" t="s">
        <v>1879</v>
      </c>
      <c r="C1479" s="7"/>
      <c r="D1479" s="6" t="s">
        <v>1661</v>
      </c>
      <c r="E1479" s="6" t="s">
        <v>1880</v>
      </c>
      <c r="F1479" s="7" t="str">
        <f aca="false">IF($D1479="","",IFERROR(IF(INDEX(Hierarchy!$B$2:$B$1295,MATCH($D1479,Hierarchy!$A$2:$A$1295,0))="","",INDEX(Hierarchy!$B$2:$B$1295,MATCH($D1479,Hierarchy!$A$2:$A$1295,0))),"NODE NOT FOUND"))</f>
        <v>Country</v>
      </c>
      <c r="G1479" s="7" t="str">
        <f aca="false">IF($D1479="","",IFERROR(IF(INDEX(Hierarchy!$D$2:$D$1295,MATCH($D1479,Hierarchy!$A$2:$A$1295,0))="","",INDEX(Hierarchy!$D$2:$D$1295,MATCH($D1479,Hierarchy!$A$2:$A$1295,0))),"NODE NOT FOUND"))</f>
        <v>APAC</v>
      </c>
      <c r="H1479" s="7" t="str">
        <f aca="false">IF($D1479="","",IFERROR(IF(INDEX(Hierarchy!$E$2:$E$1295,MATCH($D1479,Hierarchy!$A$2:$A$1295,0))="","",INDEX(Hierarchy!$E$2:$E$1295,MATCH($D1479,Hierarchy!$A$2:$A$1295,0))),"NODE NOT FOUND"))</f>
        <v>Southeast Asia (ASEAN)</v>
      </c>
      <c r="I1479" s="7" t="str">
        <f aca="false">IF($D1479="","",IFERROR(IF(INDEX(Hierarchy!$F$2:$F$1295,MATCH($D1479,Hierarchy!$A$2:$A$1295,0))="","",INDEX(Hierarchy!$F$2:$F$1295,MATCH($D1479,Hierarchy!$A$2:$A$1295,0))),"NODE NOT FOUND"))</f>
        <v>Philippines</v>
      </c>
      <c r="J1479" s="7" t="str">
        <f aca="false">IF($D1479="","",IFERROR(IF(INDEX(Hierarchy!$G$2:$G$1295,MATCH($D1479,Hierarchy!$A$2:$A$1295,0))="","",INDEX(Hierarchy!$G$2:$G$1295,MATCH($D1479,Hierarchy!$A$2:$A$1295,0))),"NODE NOT FOUND"))</f>
        <v>PHL</v>
      </c>
      <c r="K1479" s="7" t="str">
        <f aca="false">IF($D1479="","",IFERROR(IF(INDEX(Hierarchy!$H$2:$H$1295,MATCH($D1479,Hierarchy!$A$2:$A$1295,0))="","",INDEX(Hierarchy!$H$2:$H$1295,MATCH($D1479,Hierarchy!$A$2:$A$1295,0))),"NODE NOT FOUND"))</f>
        <v/>
      </c>
      <c r="L1479" s="7" t="str">
        <f aca="false">IF($D1479="","",IFERROR(IF(INDEX(Hierarchy!$I$2:$I$1295,MATCH($D1479,Hierarchy!$A$2:$A$1295,0))="","",INDEX(Hierarchy!$I$2:$I$1295,MATCH($D1479,Hierarchy!$A$2:$A$1295,0))),"NODE NOT FOUND"))</f>
        <v/>
      </c>
      <c r="M1479" s="17" t="str">
        <f aca="false">IF(B1479="Pre-seeded","Pre-seeded",IF(B1479="Review 2026-09-16","Added from review",IF(C1479="","New",IF(C1479=D1479,"","Changed"))))</f>
        <v>Pre-seeded</v>
      </c>
      <c r="N1479" s="7" t="str">
        <f aca="false">TRIM(SUBSTITUTE(SUBSTITUTE(SUBSTITUTE(" "&amp;TRIM(SUBSTITUTE(SUBSTITUTE(SUBSTITUTE(SUBSTITUTE(SUBSTITUTE(SUBSTITUTE(SUBSTITUTE(SUBSTITUTE(SUBSTITUTE(SUBSTITUTE(SUBSTITUTE(SUBSTITUTE(SUBSTITUTE(SUBSTITUTE(SUBSTITUTE(UPPER(TRIM(A1479)),"[MEMBER]",""),"{MEMBER}",""),"[MEMBER}",""),"MEMBER]",""),"(A)",""),"""",""),"“",""),"”",""),".",""),":",""),",",""),"–"," "),"-"," "),"/"," "),"&amp;"," AND "))&amp;" "," THE "," ")," TOTAL "," ")," OPERATIONS "," "))</f>
        <v>REPUBLIC OF PHILIPPINES</v>
      </c>
      <c r="O1479" s="17" t="str">
        <f aca="false">IF(COUNTIFS($N$2:$N$2000,N1479,$D$2:$D$2000,"&lt;&gt;"&amp;D1479)&gt;0,"CONFLICT","")</f>
        <v/>
      </c>
      <c r="P1479" s="7" t="s">
        <v>1936</v>
      </c>
    </row>
    <row r="1480" customFormat="false" ht="15" hidden="false" customHeight="false" outlineLevel="0" collapsed="false">
      <c r="A1480" s="7" t="s">
        <v>2654</v>
      </c>
      <c r="B1480" s="7" t="s">
        <v>1879</v>
      </c>
      <c r="C1480" s="7"/>
      <c r="D1480" s="6" t="s">
        <v>1293</v>
      </c>
      <c r="E1480" s="6" t="s">
        <v>1880</v>
      </c>
      <c r="F1480" s="7" t="str">
        <f aca="false">IF($D1480="","",IFERROR(IF(INDEX(Hierarchy!$B$2:$B$1295,MATCH($D1480,Hierarchy!$A$2:$A$1295,0))="","",INDEX(Hierarchy!$B$2:$B$1295,MATCH($D1480,Hierarchy!$A$2:$A$1295,0))),"NODE NOT FOUND"))</f>
        <v>Country</v>
      </c>
      <c r="G1480" s="7" t="str">
        <f aca="false">IF($D1480="","",IFERROR(IF(INDEX(Hierarchy!$D$2:$D$1295,MATCH($D1480,Hierarchy!$A$2:$A$1295,0))="","",INDEX(Hierarchy!$D$2:$D$1295,MATCH($D1480,Hierarchy!$A$2:$A$1295,0))),"NODE NOT FOUND"))</f>
        <v>EMEA</v>
      </c>
      <c r="H1480" s="7" t="str">
        <f aca="false">IF($D1480="","",IFERROR(IF(INDEX(Hierarchy!$E$2:$E$1295,MATCH($D1480,Hierarchy!$A$2:$A$1295,0))="","",INDEX(Hierarchy!$E$2:$E$1295,MATCH($D1480,Hierarchy!$A$2:$A$1295,0))),"NODE NOT FOUND"))</f>
        <v>Africa</v>
      </c>
      <c r="I1480" s="7" t="str">
        <f aca="false">IF($D1480="","",IFERROR(IF(INDEX(Hierarchy!$F$2:$F$1295,MATCH($D1480,Hierarchy!$A$2:$A$1295,0))="","",INDEX(Hierarchy!$F$2:$F$1295,MATCH($D1480,Hierarchy!$A$2:$A$1295,0))),"NODE NOT FOUND"))</f>
        <v>Sudan</v>
      </c>
      <c r="J1480" s="7" t="str">
        <f aca="false">IF($D1480="","",IFERROR(IF(INDEX(Hierarchy!$G$2:$G$1295,MATCH($D1480,Hierarchy!$A$2:$A$1295,0))="","",INDEX(Hierarchy!$G$2:$G$1295,MATCH($D1480,Hierarchy!$A$2:$A$1295,0))),"NODE NOT FOUND"))</f>
        <v>SDN</v>
      </c>
      <c r="K1480" s="7" t="str">
        <f aca="false">IF($D1480="","",IFERROR(IF(INDEX(Hierarchy!$H$2:$H$1295,MATCH($D1480,Hierarchy!$A$2:$A$1295,0))="","",INDEX(Hierarchy!$H$2:$H$1295,MATCH($D1480,Hierarchy!$A$2:$A$1295,0))),"NODE NOT FOUND"))</f>
        <v/>
      </c>
      <c r="L1480" s="7" t="str">
        <f aca="false">IF($D1480="","",IFERROR(IF(INDEX(Hierarchy!$I$2:$I$1295,MATCH($D1480,Hierarchy!$A$2:$A$1295,0))="","",INDEX(Hierarchy!$I$2:$I$1295,MATCH($D1480,Hierarchy!$A$2:$A$1295,0))),"NODE NOT FOUND"))</f>
        <v/>
      </c>
      <c r="M1480" s="17" t="str">
        <f aca="false">IF(B1480="Pre-seeded","Pre-seeded",IF(B1480="Review 2026-09-16","Added from review",IF(C1480="","New",IF(C1480=D1480,"","Changed"))))</f>
        <v>Pre-seeded</v>
      </c>
      <c r="N1480" s="7" t="str">
        <f aca="false">TRIM(SUBSTITUTE(SUBSTITUTE(SUBSTITUTE(" "&amp;TRIM(SUBSTITUTE(SUBSTITUTE(SUBSTITUTE(SUBSTITUTE(SUBSTITUTE(SUBSTITUTE(SUBSTITUTE(SUBSTITUTE(SUBSTITUTE(SUBSTITUTE(SUBSTITUTE(SUBSTITUTE(SUBSTITUTE(SUBSTITUTE(SUBSTITUTE(UPPER(TRIM(A1480)),"[MEMBER]",""),"{MEMBER}",""),"[MEMBER}",""),"MEMBER]",""),"(A)",""),"""",""),"“",""),"”",""),".",""),":",""),",",""),"–"," "),"-"," "),"/"," "),"&amp;"," AND "))&amp;" "," THE "," ")," TOTAL "," ")," OPERATIONS "," "))</f>
        <v>REPUBLIC OF SUDAN</v>
      </c>
      <c r="O1480" s="17" t="str">
        <f aca="false">IF(COUNTIFS($N$2:$N$2000,N1480,$D$2:$D$2000,"&lt;&gt;"&amp;D1480)&gt;0,"CONFLICT","")</f>
        <v/>
      </c>
      <c r="P1480" s="7" t="s">
        <v>1936</v>
      </c>
    </row>
    <row r="1481" customFormat="false" ht="15" hidden="false" customHeight="false" outlineLevel="0" collapsed="false">
      <c r="A1481" s="7" t="s">
        <v>2655</v>
      </c>
      <c r="B1481" s="7" t="s">
        <v>1879</v>
      </c>
      <c r="C1481" s="7"/>
      <c r="D1481" s="6" t="s">
        <v>605</v>
      </c>
      <c r="E1481" s="6" t="s">
        <v>1880</v>
      </c>
      <c r="F1481" s="7" t="str">
        <f aca="false">IF($D1481="","",IFERROR(IF(INDEX(Hierarchy!$B$2:$B$1295,MATCH($D1481,Hierarchy!$A$2:$A$1295,0))="","",INDEX(Hierarchy!$B$2:$B$1295,MATCH($D1481,Hierarchy!$A$2:$A$1295,0))),"NODE NOT FOUND"))</f>
        <v>Country</v>
      </c>
      <c r="G1481" s="7" t="str">
        <f aca="false">IF($D1481="","",IFERROR(IF(INDEX(Hierarchy!$D$2:$D$1295,MATCH($D1481,Hierarchy!$A$2:$A$1295,0))="","",INDEX(Hierarchy!$D$2:$D$1295,MATCH($D1481,Hierarchy!$A$2:$A$1295,0))),"NODE NOT FOUND"))</f>
        <v>AMER</v>
      </c>
      <c r="H1481" s="7" t="str">
        <f aca="false">IF($D1481="","",IFERROR(IF(INDEX(Hierarchy!$E$2:$E$1295,MATCH($D1481,Hierarchy!$A$2:$A$1295,0))="","",INDEX(Hierarchy!$E$2:$E$1295,MATCH($D1481,Hierarchy!$A$2:$A$1295,0))),"NODE NOT FOUND"))</f>
        <v>Latin America (LATAM)</v>
      </c>
      <c r="I1481" s="7" t="str">
        <f aca="false">IF($D1481="","",IFERROR(IF(INDEX(Hierarchy!$F$2:$F$1295,MATCH($D1481,Hierarchy!$A$2:$A$1295,0))="","",INDEX(Hierarchy!$F$2:$F$1295,MATCH($D1481,Hierarchy!$A$2:$A$1295,0))),"NODE NOT FOUND"))</f>
        <v>Trinidad and Tobago</v>
      </c>
      <c r="J1481" s="7" t="str">
        <f aca="false">IF($D1481="","",IFERROR(IF(INDEX(Hierarchy!$G$2:$G$1295,MATCH($D1481,Hierarchy!$A$2:$A$1295,0))="","",INDEX(Hierarchy!$G$2:$G$1295,MATCH($D1481,Hierarchy!$A$2:$A$1295,0))),"NODE NOT FOUND"))</f>
        <v>TTO</v>
      </c>
      <c r="K1481" s="7" t="str">
        <f aca="false">IF($D1481="","",IFERROR(IF(INDEX(Hierarchy!$H$2:$H$1295,MATCH($D1481,Hierarchy!$A$2:$A$1295,0))="","",INDEX(Hierarchy!$H$2:$H$1295,MATCH($D1481,Hierarchy!$A$2:$A$1295,0))),"NODE NOT FOUND"))</f>
        <v/>
      </c>
      <c r="L1481" s="7" t="str">
        <f aca="false">IF($D1481="","",IFERROR(IF(INDEX(Hierarchy!$I$2:$I$1295,MATCH($D1481,Hierarchy!$A$2:$A$1295,0))="","",INDEX(Hierarchy!$I$2:$I$1295,MATCH($D1481,Hierarchy!$A$2:$A$1295,0))),"NODE NOT FOUND"))</f>
        <v/>
      </c>
      <c r="M1481" s="17" t="str">
        <f aca="false">IF(B1481="Pre-seeded","Pre-seeded",IF(B1481="Review 2026-09-16","Added from review",IF(C1481="","New",IF(C1481=D1481,"","Changed"))))</f>
        <v>Pre-seeded</v>
      </c>
      <c r="N1481" s="7" t="str">
        <f aca="false">TRIM(SUBSTITUTE(SUBSTITUTE(SUBSTITUTE(" "&amp;TRIM(SUBSTITUTE(SUBSTITUTE(SUBSTITUTE(SUBSTITUTE(SUBSTITUTE(SUBSTITUTE(SUBSTITUTE(SUBSTITUTE(SUBSTITUTE(SUBSTITUTE(SUBSTITUTE(SUBSTITUTE(SUBSTITUTE(SUBSTITUTE(SUBSTITUTE(UPPER(TRIM(A1481)),"[MEMBER]",""),"{MEMBER}",""),"[MEMBER}",""),"MEMBER]",""),"(A)",""),"""",""),"“",""),"”",""),".",""),":",""),",",""),"–"," "),"-"," "),"/"," "),"&amp;"," AND "))&amp;" "," THE "," ")," TOTAL "," ")," OPERATIONS "," "))</f>
        <v>REPUBLIC OF TRINIDAD AND TOBAGO</v>
      </c>
      <c r="O1481" s="17" t="str">
        <f aca="false">IF(COUNTIFS($N$2:$N$2000,N1481,$D$2:$D$2000,"&lt;&gt;"&amp;D1481)&gt;0,"CONFLICT","")</f>
        <v/>
      </c>
      <c r="P1481" s="7" t="s">
        <v>1936</v>
      </c>
    </row>
    <row r="1482" customFormat="false" ht="15" hidden="false" customHeight="false" outlineLevel="0" collapsed="false">
      <c r="A1482" s="7" t="s">
        <v>2656</v>
      </c>
      <c r="B1482" s="7" t="s">
        <v>1879</v>
      </c>
      <c r="C1482" s="7"/>
      <c r="D1482" s="6" t="s">
        <v>1300</v>
      </c>
      <c r="E1482" s="6" t="s">
        <v>1880</v>
      </c>
      <c r="F1482" s="7" t="str">
        <f aca="false">IF($D1482="","",IFERROR(IF(INDEX(Hierarchy!$B$2:$B$1295,MATCH($D1482,Hierarchy!$A$2:$A$1295,0))="","",INDEX(Hierarchy!$B$2:$B$1295,MATCH($D1482,Hierarchy!$A$2:$A$1295,0))),"NODE NOT FOUND"))</f>
        <v>Country</v>
      </c>
      <c r="G1482" s="7" t="str">
        <f aca="false">IF($D1482="","",IFERROR(IF(INDEX(Hierarchy!$D$2:$D$1295,MATCH($D1482,Hierarchy!$A$2:$A$1295,0))="","",INDEX(Hierarchy!$D$2:$D$1295,MATCH($D1482,Hierarchy!$A$2:$A$1295,0))),"NODE NOT FOUND"))</f>
        <v>EMEA</v>
      </c>
      <c r="H1482" s="7" t="str">
        <f aca="false">IF($D1482="","",IFERROR(IF(INDEX(Hierarchy!$E$2:$E$1295,MATCH($D1482,Hierarchy!$A$2:$A$1295,0))="","",INDEX(Hierarchy!$E$2:$E$1295,MATCH($D1482,Hierarchy!$A$2:$A$1295,0))),"NODE NOT FOUND"))</f>
        <v>Africa</v>
      </c>
      <c r="I1482" s="7" t="str">
        <f aca="false">IF($D1482="","",IFERROR(IF(INDEX(Hierarchy!$F$2:$F$1295,MATCH($D1482,Hierarchy!$A$2:$A$1295,0))="","",INDEX(Hierarchy!$F$2:$F$1295,MATCH($D1482,Hierarchy!$A$2:$A$1295,0))),"NODE NOT FOUND"))</f>
        <v>Tunisia</v>
      </c>
      <c r="J1482" s="7" t="str">
        <f aca="false">IF($D1482="","",IFERROR(IF(INDEX(Hierarchy!$G$2:$G$1295,MATCH($D1482,Hierarchy!$A$2:$A$1295,0))="","",INDEX(Hierarchy!$G$2:$G$1295,MATCH($D1482,Hierarchy!$A$2:$A$1295,0))),"NODE NOT FOUND"))</f>
        <v>TUN</v>
      </c>
      <c r="K1482" s="7" t="str">
        <f aca="false">IF($D1482="","",IFERROR(IF(INDEX(Hierarchy!$H$2:$H$1295,MATCH($D1482,Hierarchy!$A$2:$A$1295,0))="","",INDEX(Hierarchy!$H$2:$H$1295,MATCH($D1482,Hierarchy!$A$2:$A$1295,0))),"NODE NOT FOUND"))</f>
        <v/>
      </c>
      <c r="L1482" s="7" t="str">
        <f aca="false">IF($D1482="","",IFERROR(IF(INDEX(Hierarchy!$I$2:$I$1295,MATCH($D1482,Hierarchy!$A$2:$A$1295,0))="","",INDEX(Hierarchy!$I$2:$I$1295,MATCH($D1482,Hierarchy!$A$2:$A$1295,0))),"NODE NOT FOUND"))</f>
        <v/>
      </c>
      <c r="M1482" s="17" t="str">
        <f aca="false">IF(B1482="Pre-seeded","Pre-seeded",IF(B1482="Review 2026-09-16","Added from review",IF(C1482="","New",IF(C1482=D1482,"","Changed"))))</f>
        <v>Pre-seeded</v>
      </c>
      <c r="N1482" s="7" t="str">
        <f aca="false">TRIM(SUBSTITUTE(SUBSTITUTE(SUBSTITUTE(" "&amp;TRIM(SUBSTITUTE(SUBSTITUTE(SUBSTITUTE(SUBSTITUTE(SUBSTITUTE(SUBSTITUTE(SUBSTITUTE(SUBSTITUTE(SUBSTITUTE(SUBSTITUTE(SUBSTITUTE(SUBSTITUTE(SUBSTITUTE(SUBSTITUTE(SUBSTITUTE(UPPER(TRIM(A1482)),"[MEMBER]",""),"{MEMBER}",""),"[MEMBER}",""),"MEMBER]",""),"(A)",""),"""",""),"“",""),"”",""),".",""),":",""),",",""),"–"," "),"-"," "),"/"," "),"&amp;"," AND "))&amp;" "," THE "," ")," TOTAL "," ")," OPERATIONS "," "))</f>
        <v>REPUBLIC OF TUNISIA</v>
      </c>
      <c r="O1482" s="17" t="str">
        <f aca="false">IF(COUNTIFS($N$2:$N$2000,N1482,$D$2:$D$2000,"&lt;&gt;"&amp;D1482)&gt;0,"CONFLICT","")</f>
        <v/>
      </c>
      <c r="P1482" s="7" t="s">
        <v>1936</v>
      </c>
    </row>
    <row r="1483" customFormat="false" ht="15" hidden="false" customHeight="false" outlineLevel="0" collapsed="false">
      <c r="A1483" s="7" t="s">
        <v>2657</v>
      </c>
      <c r="B1483" s="7" t="s">
        <v>1879</v>
      </c>
      <c r="C1483" s="7"/>
      <c r="D1483" s="6" t="s">
        <v>1015</v>
      </c>
      <c r="E1483" s="6" t="s">
        <v>1880</v>
      </c>
      <c r="F1483" s="7" t="str">
        <f aca="false">IF($D1483="","",IFERROR(IF(INDEX(Hierarchy!$B$2:$B$1295,MATCH($D1483,Hierarchy!$A$2:$A$1295,0))="","",INDEX(Hierarchy!$B$2:$B$1295,MATCH($D1483,Hierarchy!$A$2:$A$1295,0))),"NODE NOT FOUND"))</f>
        <v>Country</v>
      </c>
      <c r="G1483" s="7" t="str">
        <f aca="false">IF($D1483="","",IFERROR(IF(INDEX(Hierarchy!$D$2:$D$1295,MATCH($D1483,Hierarchy!$A$2:$A$1295,0))="","",INDEX(Hierarchy!$D$2:$D$1295,MATCH($D1483,Hierarchy!$A$2:$A$1295,0))),"NODE NOT FOUND"))</f>
        <v>EMEA</v>
      </c>
      <c r="H1483" s="7" t="str">
        <f aca="false">IF($D1483="","",IFERROR(IF(INDEX(Hierarchy!$E$2:$E$1295,MATCH($D1483,Hierarchy!$A$2:$A$1295,0))="","",INDEX(Hierarchy!$E$2:$E$1295,MATCH($D1483,Hierarchy!$A$2:$A$1295,0))),"NODE NOT FOUND"))</f>
        <v>Europe</v>
      </c>
      <c r="I1483" s="7" t="str">
        <f aca="false">IF($D1483="","",IFERROR(IF(INDEX(Hierarchy!$F$2:$F$1295,MATCH($D1483,Hierarchy!$A$2:$A$1295,0))="","",INDEX(Hierarchy!$F$2:$F$1295,MATCH($D1483,Hierarchy!$A$2:$A$1295,0))),"NODE NOT FOUND"))</f>
        <v>Türkiye</v>
      </c>
      <c r="J1483" s="7" t="str">
        <f aca="false">IF($D1483="","",IFERROR(IF(INDEX(Hierarchy!$G$2:$G$1295,MATCH($D1483,Hierarchy!$A$2:$A$1295,0))="","",INDEX(Hierarchy!$G$2:$G$1295,MATCH($D1483,Hierarchy!$A$2:$A$1295,0))),"NODE NOT FOUND"))</f>
        <v>TUR</v>
      </c>
      <c r="K1483" s="7" t="str">
        <f aca="false">IF($D1483="","",IFERROR(IF(INDEX(Hierarchy!$H$2:$H$1295,MATCH($D1483,Hierarchy!$A$2:$A$1295,0))="","",INDEX(Hierarchy!$H$2:$H$1295,MATCH($D1483,Hierarchy!$A$2:$A$1295,0))),"NODE NOT FOUND"))</f>
        <v/>
      </c>
      <c r="L1483" s="7" t="str">
        <f aca="false">IF($D1483="","",IFERROR(IF(INDEX(Hierarchy!$I$2:$I$1295,MATCH($D1483,Hierarchy!$A$2:$A$1295,0))="","",INDEX(Hierarchy!$I$2:$I$1295,MATCH($D1483,Hierarchy!$A$2:$A$1295,0))),"NODE NOT FOUND"))</f>
        <v/>
      </c>
      <c r="M1483" s="17" t="str">
        <f aca="false">IF(B1483="Pre-seeded","Pre-seeded",IF(B1483="Review 2026-09-16","Added from review",IF(C1483="","New",IF(C1483=D1483,"","Changed"))))</f>
        <v>Pre-seeded</v>
      </c>
      <c r="N1483" s="7" t="str">
        <f aca="false">TRIM(SUBSTITUTE(SUBSTITUTE(SUBSTITUTE(" "&amp;TRIM(SUBSTITUTE(SUBSTITUTE(SUBSTITUTE(SUBSTITUTE(SUBSTITUTE(SUBSTITUTE(SUBSTITUTE(SUBSTITUTE(SUBSTITUTE(SUBSTITUTE(SUBSTITUTE(SUBSTITUTE(SUBSTITUTE(SUBSTITUTE(SUBSTITUTE(UPPER(TRIM(A1483)),"[MEMBER]",""),"{MEMBER}",""),"[MEMBER}",""),"MEMBER]",""),"(A)",""),"""",""),"“",""),"”",""),".",""),":",""),",",""),"–"," "),"-"," "),"/"," "),"&amp;"," AND "))&amp;" "," THE "," ")," TOTAL "," ")," OPERATIONS "," "))</f>
        <v>REPUBLIC OF TÜRKIYE</v>
      </c>
      <c r="O1483" s="17" t="str">
        <f aca="false">IF(COUNTIFS($N$2:$N$2000,N1483,$D$2:$D$2000,"&lt;&gt;"&amp;D1483)&gt;0,"CONFLICT","")</f>
        <v/>
      </c>
      <c r="P1483" s="7" t="s">
        <v>1936</v>
      </c>
    </row>
    <row r="1484" customFormat="false" ht="15" hidden="false" customHeight="false" outlineLevel="0" collapsed="false">
      <c r="A1484" s="7" t="s">
        <v>2658</v>
      </c>
      <c r="B1484" s="7" t="s">
        <v>1879</v>
      </c>
      <c r="C1484" s="7"/>
      <c r="D1484" s="6" t="s">
        <v>1302</v>
      </c>
      <c r="E1484" s="6" t="s">
        <v>1880</v>
      </c>
      <c r="F1484" s="7" t="str">
        <f aca="false">IF($D1484="","",IFERROR(IF(INDEX(Hierarchy!$B$2:$B$1295,MATCH($D1484,Hierarchy!$A$2:$A$1295,0))="","",INDEX(Hierarchy!$B$2:$B$1295,MATCH($D1484,Hierarchy!$A$2:$A$1295,0))),"NODE NOT FOUND"))</f>
        <v>Country</v>
      </c>
      <c r="G1484" s="7" t="str">
        <f aca="false">IF($D1484="","",IFERROR(IF(INDEX(Hierarchy!$D$2:$D$1295,MATCH($D1484,Hierarchy!$A$2:$A$1295,0))="","",INDEX(Hierarchy!$D$2:$D$1295,MATCH($D1484,Hierarchy!$A$2:$A$1295,0))),"NODE NOT FOUND"))</f>
        <v>EMEA</v>
      </c>
      <c r="H1484" s="7" t="str">
        <f aca="false">IF($D1484="","",IFERROR(IF(INDEX(Hierarchy!$E$2:$E$1295,MATCH($D1484,Hierarchy!$A$2:$A$1295,0))="","",INDEX(Hierarchy!$E$2:$E$1295,MATCH($D1484,Hierarchy!$A$2:$A$1295,0))),"NODE NOT FOUND"))</f>
        <v>Africa</v>
      </c>
      <c r="I1484" s="7" t="str">
        <f aca="false">IF($D1484="","",IFERROR(IF(INDEX(Hierarchy!$F$2:$F$1295,MATCH($D1484,Hierarchy!$A$2:$A$1295,0))="","",INDEX(Hierarchy!$F$2:$F$1295,MATCH($D1484,Hierarchy!$A$2:$A$1295,0))),"NODE NOT FOUND"))</f>
        <v>Uganda</v>
      </c>
      <c r="J1484" s="7" t="str">
        <f aca="false">IF($D1484="","",IFERROR(IF(INDEX(Hierarchy!$G$2:$G$1295,MATCH($D1484,Hierarchy!$A$2:$A$1295,0))="","",INDEX(Hierarchy!$G$2:$G$1295,MATCH($D1484,Hierarchy!$A$2:$A$1295,0))),"NODE NOT FOUND"))</f>
        <v>UGA</v>
      </c>
      <c r="K1484" s="7" t="str">
        <f aca="false">IF($D1484="","",IFERROR(IF(INDEX(Hierarchy!$H$2:$H$1295,MATCH($D1484,Hierarchy!$A$2:$A$1295,0))="","",INDEX(Hierarchy!$H$2:$H$1295,MATCH($D1484,Hierarchy!$A$2:$A$1295,0))),"NODE NOT FOUND"))</f>
        <v/>
      </c>
      <c r="L1484" s="7" t="str">
        <f aca="false">IF($D1484="","",IFERROR(IF(INDEX(Hierarchy!$I$2:$I$1295,MATCH($D1484,Hierarchy!$A$2:$A$1295,0))="","",INDEX(Hierarchy!$I$2:$I$1295,MATCH($D1484,Hierarchy!$A$2:$A$1295,0))),"NODE NOT FOUND"))</f>
        <v/>
      </c>
      <c r="M1484" s="17" t="str">
        <f aca="false">IF(B1484="Pre-seeded","Pre-seeded",IF(B1484="Review 2026-09-16","Added from review",IF(C1484="","New",IF(C1484=D1484,"","Changed"))))</f>
        <v>Pre-seeded</v>
      </c>
      <c r="N1484" s="7" t="str">
        <f aca="false">TRIM(SUBSTITUTE(SUBSTITUTE(SUBSTITUTE(" "&amp;TRIM(SUBSTITUTE(SUBSTITUTE(SUBSTITUTE(SUBSTITUTE(SUBSTITUTE(SUBSTITUTE(SUBSTITUTE(SUBSTITUTE(SUBSTITUTE(SUBSTITUTE(SUBSTITUTE(SUBSTITUTE(SUBSTITUTE(SUBSTITUTE(SUBSTITUTE(UPPER(TRIM(A1484)),"[MEMBER]",""),"{MEMBER}",""),"[MEMBER}",""),"MEMBER]",""),"(A)",""),"""",""),"“",""),"”",""),".",""),":",""),",",""),"–"," "),"-"," "),"/"," "),"&amp;"," AND "))&amp;" "," THE "," ")," TOTAL "," ")," OPERATIONS "," "))</f>
        <v>REPUBLIC OF UGANDA</v>
      </c>
      <c r="O1484" s="17" t="str">
        <f aca="false">IF(COUNTIFS($N$2:$N$2000,N1484,$D$2:$D$2000,"&lt;&gt;"&amp;D1484)&gt;0,"CONFLICT","")</f>
        <v/>
      </c>
      <c r="P1484" s="7" t="s">
        <v>1936</v>
      </c>
    </row>
    <row r="1485" customFormat="false" ht="15" hidden="false" customHeight="false" outlineLevel="0" collapsed="false">
      <c r="A1485" s="7" t="s">
        <v>2659</v>
      </c>
      <c r="B1485" s="7" t="s">
        <v>1879</v>
      </c>
      <c r="C1485" s="7"/>
      <c r="D1485" s="6" t="s">
        <v>1024</v>
      </c>
      <c r="E1485" s="6" t="s">
        <v>1880</v>
      </c>
      <c r="F1485" s="7" t="str">
        <f aca="false">IF($D1485="","",IFERROR(IF(INDEX(Hierarchy!$B$2:$B$1295,MATCH($D1485,Hierarchy!$A$2:$A$1295,0))="","",INDEX(Hierarchy!$B$2:$B$1295,MATCH($D1485,Hierarchy!$A$2:$A$1295,0))),"NODE NOT FOUND"))</f>
        <v>Country</v>
      </c>
      <c r="G1485" s="7" t="str">
        <f aca="false">IF($D1485="","",IFERROR(IF(INDEX(Hierarchy!$D$2:$D$1295,MATCH($D1485,Hierarchy!$A$2:$A$1295,0))="","",INDEX(Hierarchy!$D$2:$D$1295,MATCH($D1485,Hierarchy!$A$2:$A$1295,0))),"NODE NOT FOUND"))</f>
        <v>EMEA</v>
      </c>
      <c r="H1485" s="7" t="str">
        <f aca="false">IF($D1485="","",IFERROR(IF(INDEX(Hierarchy!$E$2:$E$1295,MATCH($D1485,Hierarchy!$A$2:$A$1295,0))="","",INDEX(Hierarchy!$E$2:$E$1295,MATCH($D1485,Hierarchy!$A$2:$A$1295,0))),"NODE NOT FOUND"))</f>
        <v>Europe</v>
      </c>
      <c r="I1485" s="7" t="str">
        <f aca="false">IF($D1485="","",IFERROR(IF(INDEX(Hierarchy!$F$2:$F$1295,MATCH($D1485,Hierarchy!$A$2:$A$1295,0))="","",INDEX(Hierarchy!$F$2:$F$1295,MATCH($D1485,Hierarchy!$A$2:$A$1295,0))),"NODE NOT FOUND"))</f>
        <v>Uzbekistan</v>
      </c>
      <c r="J1485" s="7" t="str">
        <f aca="false">IF($D1485="","",IFERROR(IF(INDEX(Hierarchy!$G$2:$G$1295,MATCH($D1485,Hierarchy!$A$2:$A$1295,0))="","",INDEX(Hierarchy!$G$2:$G$1295,MATCH($D1485,Hierarchy!$A$2:$A$1295,0))),"NODE NOT FOUND"))</f>
        <v>UZB</v>
      </c>
      <c r="K1485" s="7" t="str">
        <f aca="false">IF($D1485="","",IFERROR(IF(INDEX(Hierarchy!$H$2:$H$1295,MATCH($D1485,Hierarchy!$A$2:$A$1295,0))="","",INDEX(Hierarchy!$H$2:$H$1295,MATCH($D1485,Hierarchy!$A$2:$A$1295,0))),"NODE NOT FOUND"))</f>
        <v/>
      </c>
      <c r="L1485" s="7" t="str">
        <f aca="false">IF($D1485="","",IFERROR(IF(INDEX(Hierarchy!$I$2:$I$1295,MATCH($D1485,Hierarchy!$A$2:$A$1295,0))="","",INDEX(Hierarchy!$I$2:$I$1295,MATCH($D1485,Hierarchy!$A$2:$A$1295,0))),"NODE NOT FOUND"))</f>
        <v/>
      </c>
      <c r="M1485" s="17" t="str">
        <f aca="false">IF(B1485="Pre-seeded","Pre-seeded",IF(B1485="Review 2026-09-16","Added from review",IF(C1485="","New",IF(C1485=D1485,"","Changed"))))</f>
        <v>Pre-seeded</v>
      </c>
      <c r="N1485" s="7" t="str">
        <f aca="false">TRIM(SUBSTITUTE(SUBSTITUTE(SUBSTITUTE(" "&amp;TRIM(SUBSTITUTE(SUBSTITUTE(SUBSTITUTE(SUBSTITUTE(SUBSTITUTE(SUBSTITUTE(SUBSTITUTE(SUBSTITUTE(SUBSTITUTE(SUBSTITUTE(SUBSTITUTE(SUBSTITUTE(SUBSTITUTE(SUBSTITUTE(SUBSTITUTE(UPPER(TRIM(A1485)),"[MEMBER]",""),"{MEMBER}",""),"[MEMBER}",""),"MEMBER]",""),"(A)",""),"""",""),"“",""),"”",""),".",""),":",""),",",""),"–"," "),"-"," "),"/"," "),"&amp;"," AND "))&amp;" "," THE "," ")," TOTAL "," ")," OPERATIONS "," "))</f>
        <v>REPUBLIC OF UZBEKISTAN</v>
      </c>
      <c r="O1485" s="17" t="str">
        <f aca="false">IF(COUNTIFS($N$2:$N$2000,N1485,$D$2:$D$2000,"&lt;&gt;"&amp;D1485)&gt;0,"CONFLICT","")</f>
        <v/>
      </c>
      <c r="P1485" s="7" t="s">
        <v>1936</v>
      </c>
    </row>
    <row r="1486" customFormat="false" ht="15" hidden="false" customHeight="false" outlineLevel="0" collapsed="false">
      <c r="A1486" s="7" t="s">
        <v>2660</v>
      </c>
      <c r="B1486" s="7" t="s">
        <v>1879</v>
      </c>
      <c r="C1486" s="7"/>
      <c r="D1486" s="6" t="s">
        <v>1780</v>
      </c>
      <c r="E1486" s="6" t="s">
        <v>1880</v>
      </c>
      <c r="F1486" s="7" t="str">
        <f aca="false">IF($D1486="","",IFERROR(IF(INDEX(Hierarchy!$B$2:$B$1295,MATCH($D1486,Hierarchy!$A$2:$A$1295,0))="","",INDEX(Hierarchy!$B$2:$B$1295,MATCH($D1486,Hierarchy!$A$2:$A$1295,0))),"NODE NOT FOUND"))</f>
        <v>Country</v>
      </c>
      <c r="G1486" s="7" t="str">
        <f aca="false">IF($D1486="","",IFERROR(IF(INDEX(Hierarchy!$D$2:$D$1295,MATCH($D1486,Hierarchy!$A$2:$A$1295,0))="","",INDEX(Hierarchy!$D$2:$D$1295,MATCH($D1486,Hierarchy!$A$2:$A$1295,0))),"NODE NOT FOUND"))</f>
        <v>APAC</v>
      </c>
      <c r="H1486" s="7" t="str">
        <f aca="false">IF($D1486="","",IFERROR(IF(INDEX(Hierarchy!$E$2:$E$1295,MATCH($D1486,Hierarchy!$A$2:$A$1295,0))="","",INDEX(Hierarchy!$E$2:$E$1295,MATCH($D1486,Hierarchy!$A$2:$A$1295,0))),"NODE NOT FOUND"))</f>
        <v>Oceania (ANZ)</v>
      </c>
      <c r="I1486" s="7" t="str">
        <f aca="false">IF($D1486="","",IFERROR(IF(INDEX(Hierarchy!$F$2:$F$1295,MATCH($D1486,Hierarchy!$A$2:$A$1295,0))="","",INDEX(Hierarchy!$F$2:$F$1295,MATCH($D1486,Hierarchy!$A$2:$A$1295,0))),"NODE NOT FOUND"))</f>
        <v>Vanuatu</v>
      </c>
      <c r="J1486" s="7" t="str">
        <f aca="false">IF($D1486="","",IFERROR(IF(INDEX(Hierarchy!$G$2:$G$1295,MATCH($D1486,Hierarchy!$A$2:$A$1295,0))="","",INDEX(Hierarchy!$G$2:$G$1295,MATCH($D1486,Hierarchy!$A$2:$A$1295,0))),"NODE NOT FOUND"))</f>
        <v>VUT</v>
      </c>
      <c r="K1486" s="7" t="str">
        <f aca="false">IF($D1486="","",IFERROR(IF(INDEX(Hierarchy!$H$2:$H$1295,MATCH($D1486,Hierarchy!$A$2:$A$1295,0))="","",INDEX(Hierarchy!$H$2:$H$1295,MATCH($D1486,Hierarchy!$A$2:$A$1295,0))),"NODE NOT FOUND"))</f>
        <v/>
      </c>
      <c r="L1486" s="7" t="str">
        <f aca="false">IF($D1486="","",IFERROR(IF(INDEX(Hierarchy!$I$2:$I$1295,MATCH($D1486,Hierarchy!$A$2:$A$1295,0))="","",INDEX(Hierarchy!$I$2:$I$1295,MATCH($D1486,Hierarchy!$A$2:$A$1295,0))),"NODE NOT FOUND"))</f>
        <v/>
      </c>
      <c r="M1486" s="17" t="str">
        <f aca="false">IF(B1486="Pre-seeded","Pre-seeded",IF(B1486="Review 2026-09-16","Added from review",IF(C1486="","New",IF(C1486=D1486,"","Changed"))))</f>
        <v>Pre-seeded</v>
      </c>
      <c r="N1486" s="7" t="str">
        <f aca="false">TRIM(SUBSTITUTE(SUBSTITUTE(SUBSTITUTE(" "&amp;TRIM(SUBSTITUTE(SUBSTITUTE(SUBSTITUTE(SUBSTITUTE(SUBSTITUTE(SUBSTITUTE(SUBSTITUTE(SUBSTITUTE(SUBSTITUTE(SUBSTITUTE(SUBSTITUTE(SUBSTITUTE(SUBSTITUTE(SUBSTITUTE(SUBSTITUTE(UPPER(TRIM(A1486)),"[MEMBER]",""),"{MEMBER}",""),"[MEMBER}",""),"MEMBER]",""),"(A)",""),"""",""),"“",""),"”",""),".",""),":",""),",",""),"–"," "),"-"," "),"/"," "),"&amp;"," AND "))&amp;" "," THE "," ")," TOTAL "," ")," OPERATIONS "," "))</f>
        <v>REPUBLIC OF VANUATU</v>
      </c>
      <c r="O1486" s="17" t="str">
        <f aca="false">IF(COUNTIFS($N$2:$N$2000,N1486,$D$2:$D$2000,"&lt;&gt;"&amp;D1486)&gt;0,"CONFLICT","")</f>
        <v/>
      </c>
      <c r="P1486" s="7" t="s">
        <v>1936</v>
      </c>
    </row>
    <row r="1487" customFormat="false" ht="15" hidden="false" customHeight="false" outlineLevel="0" collapsed="false">
      <c r="A1487" s="7" t="s">
        <v>2661</v>
      </c>
      <c r="B1487" s="7" t="s">
        <v>1879</v>
      </c>
      <c r="C1487" s="7"/>
      <c r="D1487" s="6" t="s">
        <v>1093</v>
      </c>
      <c r="E1487" s="6" t="s">
        <v>1880</v>
      </c>
      <c r="F1487" s="7" t="str">
        <f aca="false">IF($D1487="","",IFERROR(IF(INDEX(Hierarchy!$B$2:$B$1295,MATCH($D1487,Hierarchy!$A$2:$A$1295,0))="","",INDEX(Hierarchy!$B$2:$B$1295,MATCH($D1487,Hierarchy!$A$2:$A$1295,0))),"NODE NOT FOUND"))</f>
        <v>Country</v>
      </c>
      <c r="G1487" s="7" t="str">
        <f aca="false">IF($D1487="","",IFERROR(IF(INDEX(Hierarchy!$D$2:$D$1295,MATCH($D1487,Hierarchy!$A$2:$A$1295,0))="","",INDEX(Hierarchy!$D$2:$D$1295,MATCH($D1487,Hierarchy!$A$2:$A$1295,0))),"NODE NOT FOUND"))</f>
        <v>EMEA</v>
      </c>
      <c r="H1487" s="7" t="str">
        <f aca="false">IF($D1487="","",IFERROR(IF(INDEX(Hierarchy!$E$2:$E$1295,MATCH($D1487,Hierarchy!$A$2:$A$1295,0))="","",INDEX(Hierarchy!$E$2:$E$1295,MATCH($D1487,Hierarchy!$A$2:$A$1295,0))),"NODE NOT FOUND"))</f>
        <v>Middle East</v>
      </c>
      <c r="I1487" s="7" t="str">
        <f aca="false">IF($D1487="","",IFERROR(IF(INDEX(Hierarchy!$F$2:$F$1295,MATCH($D1487,Hierarchy!$A$2:$A$1295,0))="","",INDEX(Hierarchy!$F$2:$F$1295,MATCH($D1487,Hierarchy!$A$2:$A$1295,0))),"NODE NOT FOUND"))</f>
        <v>Yemen</v>
      </c>
      <c r="J1487" s="7" t="str">
        <f aca="false">IF($D1487="","",IFERROR(IF(INDEX(Hierarchy!$G$2:$G$1295,MATCH($D1487,Hierarchy!$A$2:$A$1295,0))="","",INDEX(Hierarchy!$G$2:$G$1295,MATCH($D1487,Hierarchy!$A$2:$A$1295,0))),"NODE NOT FOUND"))</f>
        <v>YEM</v>
      </c>
      <c r="K1487" s="7" t="str">
        <f aca="false">IF($D1487="","",IFERROR(IF(INDEX(Hierarchy!$H$2:$H$1295,MATCH($D1487,Hierarchy!$A$2:$A$1295,0))="","",INDEX(Hierarchy!$H$2:$H$1295,MATCH($D1487,Hierarchy!$A$2:$A$1295,0))),"NODE NOT FOUND"))</f>
        <v/>
      </c>
      <c r="L1487" s="7" t="str">
        <f aca="false">IF($D1487="","",IFERROR(IF(INDEX(Hierarchy!$I$2:$I$1295,MATCH($D1487,Hierarchy!$A$2:$A$1295,0))="","",INDEX(Hierarchy!$I$2:$I$1295,MATCH($D1487,Hierarchy!$A$2:$A$1295,0))),"NODE NOT FOUND"))</f>
        <v/>
      </c>
      <c r="M1487" s="17" t="str">
        <f aca="false">IF(B1487="Pre-seeded","Pre-seeded",IF(B1487="Review 2026-09-16","Added from review",IF(C1487="","New",IF(C1487=D1487,"","Changed"))))</f>
        <v>Pre-seeded</v>
      </c>
      <c r="N1487" s="7" t="str">
        <f aca="false">TRIM(SUBSTITUTE(SUBSTITUTE(SUBSTITUTE(" "&amp;TRIM(SUBSTITUTE(SUBSTITUTE(SUBSTITUTE(SUBSTITUTE(SUBSTITUTE(SUBSTITUTE(SUBSTITUTE(SUBSTITUTE(SUBSTITUTE(SUBSTITUTE(SUBSTITUTE(SUBSTITUTE(SUBSTITUTE(SUBSTITUTE(SUBSTITUTE(UPPER(TRIM(A1487)),"[MEMBER]",""),"{MEMBER}",""),"[MEMBER}",""),"MEMBER]",""),"(A)",""),"""",""),"“",""),"”",""),".",""),":",""),",",""),"–"," "),"-"," "),"/"," "),"&amp;"," AND "))&amp;" "," THE "," ")," TOTAL "," ")," OPERATIONS "," "))</f>
        <v>REPUBLIC OF YEMEN</v>
      </c>
      <c r="O1487" s="17" t="str">
        <f aca="false">IF(COUNTIFS($N$2:$N$2000,N1487,$D$2:$D$2000,"&lt;&gt;"&amp;D1487)&gt;0,"CONFLICT","")</f>
        <v/>
      </c>
      <c r="P1487" s="7" t="s">
        <v>1936</v>
      </c>
    </row>
    <row r="1488" customFormat="false" ht="15" hidden="false" customHeight="false" outlineLevel="0" collapsed="false">
      <c r="A1488" s="7" t="s">
        <v>2662</v>
      </c>
      <c r="B1488" s="7" t="s">
        <v>1879</v>
      </c>
      <c r="C1488" s="7"/>
      <c r="D1488" s="6" t="s">
        <v>1306</v>
      </c>
      <c r="E1488" s="6" t="s">
        <v>1880</v>
      </c>
      <c r="F1488" s="7" t="str">
        <f aca="false">IF($D1488="","",IFERROR(IF(INDEX(Hierarchy!$B$2:$B$1295,MATCH($D1488,Hierarchy!$A$2:$A$1295,0))="","",INDEX(Hierarchy!$B$2:$B$1295,MATCH($D1488,Hierarchy!$A$2:$A$1295,0))),"NODE NOT FOUND"))</f>
        <v>Country</v>
      </c>
      <c r="G1488" s="7" t="str">
        <f aca="false">IF($D1488="","",IFERROR(IF(INDEX(Hierarchy!$D$2:$D$1295,MATCH($D1488,Hierarchy!$A$2:$A$1295,0))="","",INDEX(Hierarchy!$D$2:$D$1295,MATCH($D1488,Hierarchy!$A$2:$A$1295,0))),"NODE NOT FOUND"))</f>
        <v>EMEA</v>
      </c>
      <c r="H1488" s="7" t="str">
        <f aca="false">IF($D1488="","",IFERROR(IF(INDEX(Hierarchy!$E$2:$E$1295,MATCH($D1488,Hierarchy!$A$2:$A$1295,0))="","",INDEX(Hierarchy!$E$2:$E$1295,MATCH($D1488,Hierarchy!$A$2:$A$1295,0))),"NODE NOT FOUND"))</f>
        <v>Africa</v>
      </c>
      <c r="I1488" s="7" t="str">
        <f aca="false">IF($D1488="","",IFERROR(IF(INDEX(Hierarchy!$F$2:$F$1295,MATCH($D1488,Hierarchy!$A$2:$A$1295,0))="","",INDEX(Hierarchy!$F$2:$F$1295,MATCH($D1488,Hierarchy!$A$2:$A$1295,0))),"NODE NOT FOUND"))</f>
        <v>Zambia</v>
      </c>
      <c r="J1488" s="7" t="str">
        <f aca="false">IF($D1488="","",IFERROR(IF(INDEX(Hierarchy!$G$2:$G$1295,MATCH($D1488,Hierarchy!$A$2:$A$1295,0))="","",INDEX(Hierarchy!$G$2:$G$1295,MATCH($D1488,Hierarchy!$A$2:$A$1295,0))),"NODE NOT FOUND"))</f>
        <v>ZMB</v>
      </c>
      <c r="K1488" s="7" t="str">
        <f aca="false">IF($D1488="","",IFERROR(IF(INDEX(Hierarchy!$H$2:$H$1295,MATCH($D1488,Hierarchy!$A$2:$A$1295,0))="","",INDEX(Hierarchy!$H$2:$H$1295,MATCH($D1488,Hierarchy!$A$2:$A$1295,0))),"NODE NOT FOUND"))</f>
        <v/>
      </c>
      <c r="L1488" s="7" t="str">
        <f aca="false">IF($D1488="","",IFERROR(IF(INDEX(Hierarchy!$I$2:$I$1295,MATCH($D1488,Hierarchy!$A$2:$A$1295,0))="","",INDEX(Hierarchy!$I$2:$I$1295,MATCH($D1488,Hierarchy!$A$2:$A$1295,0))),"NODE NOT FOUND"))</f>
        <v/>
      </c>
      <c r="M1488" s="17" t="str">
        <f aca="false">IF(B1488="Pre-seeded","Pre-seeded",IF(B1488="Review 2026-09-16","Added from review",IF(C1488="","New",IF(C1488=D1488,"","Changed"))))</f>
        <v>Pre-seeded</v>
      </c>
      <c r="N1488" s="7" t="str">
        <f aca="false">TRIM(SUBSTITUTE(SUBSTITUTE(SUBSTITUTE(" "&amp;TRIM(SUBSTITUTE(SUBSTITUTE(SUBSTITUTE(SUBSTITUTE(SUBSTITUTE(SUBSTITUTE(SUBSTITUTE(SUBSTITUTE(SUBSTITUTE(SUBSTITUTE(SUBSTITUTE(SUBSTITUTE(SUBSTITUTE(SUBSTITUTE(SUBSTITUTE(UPPER(TRIM(A1488)),"[MEMBER]",""),"{MEMBER}",""),"[MEMBER}",""),"MEMBER]",""),"(A)",""),"""",""),"“",""),"”",""),".",""),":",""),",",""),"–"," "),"-"," "),"/"," "),"&amp;"," AND "))&amp;" "," THE "," ")," TOTAL "," ")," OPERATIONS "," "))</f>
        <v>REPUBLIC OF ZAMBIA</v>
      </c>
      <c r="O1488" s="17" t="str">
        <f aca="false">IF(COUNTIFS($N$2:$N$2000,N1488,$D$2:$D$2000,"&lt;&gt;"&amp;D1488)&gt;0,"CONFLICT","")</f>
        <v/>
      </c>
      <c r="P1488" s="7" t="s">
        <v>1936</v>
      </c>
    </row>
    <row r="1489" customFormat="false" ht="15" hidden="false" customHeight="false" outlineLevel="0" collapsed="false">
      <c r="A1489" s="7" t="s">
        <v>2663</v>
      </c>
      <c r="B1489" s="7" t="s">
        <v>1879</v>
      </c>
      <c r="C1489" s="7"/>
      <c r="D1489" s="6" t="s">
        <v>1308</v>
      </c>
      <c r="E1489" s="6" t="s">
        <v>1880</v>
      </c>
      <c r="F1489" s="7" t="str">
        <f aca="false">IF($D1489="","",IFERROR(IF(INDEX(Hierarchy!$B$2:$B$1295,MATCH($D1489,Hierarchy!$A$2:$A$1295,0))="","",INDEX(Hierarchy!$B$2:$B$1295,MATCH($D1489,Hierarchy!$A$2:$A$1295,0))),"NODE NOT FOUND"))</f>
        <v>Country</v>
      </c>
      <c r="G1489" s="7" t="str">
        <f aca="false">IF($D1489="","",IFERROR(IF(INDEX(Hierarchy!$D$2:$D$1295,MATCH($D1489,Hierarchy!$A$2:$A$1295,0))="","",INDEX(Hierarchy!$D$2:$D$1295,MATCH($D1489,Hierarchy!$A$2:$A$1295,0))),"NODE NOT FOUND"))</f>
        <v>EMEA</v>
      </c>
      <c r="H1489" s="7" t="str">
        <f aca="false">IF($D1489="","",IFERROR(IF(INDEX(Hierarchy!$E$2:$E$1295,MATCH($D1489,Hierarchy!$A$2:$A$1295,0))="","",INDEX(Hierarchy!$E$2:$E$1295,MATCH($D1489,Hierarchy!$A$2:$A$1295,0))),"NODE NOT FOUND"))</f>
        <v>Africa</v>
      </c>
      <c r="I1489" s="7" t="str">
        <f aca="false">IF($D1489="","",IFERROR(IF(INDEX(Hierarchy!$F$2:$F$1295,MATCH($D1489,Hierarchy!$A$2:$A$1295,0))="","",INDEX(Hierarchy!$F$2:$F$1295,MATCH($D1489,Hierarchy!$A$2:$A$1295,0))),"NODE NOT FOUND"))</f>
        <v>Zimbabwe</v>
      </c>
      <c r="J1489" s="7" t="str">
        <f aca="false">IF($D1489="","",IFERROR(IF(INDEX(Hierarchy!$G$2:$G$1295,MATCH($D1489,Hierarchy!$A$2:$A$1295,0))="","",INDEX(Hierarchy!$G$2:$G$1295,MATCH($D1489,Hierarchy!$A$2:$A$1295,0))),"NODE NOT FOUND"))</f>
        <v>ZWE</v>
      </c>
      <c r="K1489" s="7" t="str">
        <f aca="false">IF($D1489="","",IFERROR(IF(INDEX(Hierarchy!$H$2:$H$1295,MATCH($D1489,Hierarchy!$A$2:$A$1295,0))="","",INDEX(Hierarchy!$H$2:$H$1295,MATCH($D1489,Hierarchy!$A$2:$A$1295,0))),"NODE NOT FOUND"))</f>
        <v/>
      </c>
      <c r="L1489" s="7" t="str">
        <f aca="false">IF($D1489="","",IFERROR(IF(INDEX(Hierarchy!$I$2:$I$1295,MATCH($D1489,Hierarchy!$A$2:$A$1295,0))="","",INDEX(Hierarchy!$I$2:$I$1295,MATCH($D1489,Hierarchy!$A$2:$A$1295,0))),"NODE NOT FOUND"))</f>
        <v/>
      </c>
      <c r="M1489" s="17" t="str">
        <f aca="false">IF(B1489="Pre-seeded","Pre-seeded",IF(B1489="Review 2026-09-16","Added from review",IF(C1489="","New",IF(C1489=D1489,"","Changed"))))</f>
        <v>Pre-seeded</v>
      </c>
      <c r="N1489" s="7" t="str">
        <f aca="false">TRIM(SUBSTITUTE(SUBSTITUTE(SUBSTITUTE(" "&amp;TRIM(SUBSTITUTE(SUBSTITUTE(SUBSTITUTE(SUBSTITUTE(SUBSTITUTE(SUBSTITUTE(SUBSTITUTE(SUBSTITUTE(SUBSTITUTE(SUBSTITUTE(SUBSTITUTE(SUBSTITUTE(SUBSTITUTE(SUBSTITUTE(SUBSTITUTE(UPPER(TRIM(A1489)),"[MEMBER]",""),"{MEMBER}",""),"[MEMBER}",""),"MEMBER]",""),"(A)",""),"""",""),"“",""),"”",""),".",""),":",""),",",""),"–"," "),"-"," "),"/"," "),"&amp;"," AND "))&amp;" "," THE "," ")," TOTAL "," ")," OPERATIONS "," "))</f>
        <v>REPUBLIC OF ZIMBABWE</v>
      </c>
      <c r="O1489" s="17" t="str">
        <f aca="false">IF(COUNTIFS($N$2:$N$2000,N1489,$D$2:$D$2000,"&lt;&gt;"&amp;D1489)&gt;0,"CONFLICT","")</f>
        <v/>
      </c>
      <c r="P1489" s="7" t="s">
        <v>1936</v>
      </c>
    </row>
    <row r="1490" customFormat="false" ht="15" hidden="false" customHeight="false" outlineLevel="0" collapsed="false">
      <c r="A1490" s="7" t="s">
        <v>2664</v>
      </c>
      <c r="B1490" s="7" t="s">
        <v>1879</v>
      </c>
      <c r="C1490" s="7"/>
      <c r="D1490" s="6" t="s">
        <v>74</v>
      </c>
      <c r="E1490" s="6" t="s">
        <v>1898</v>
      </c>
      <c r="F1490" s="7" t="str">
        <f aca="false">IF($D1490="","",IFERROR(IF(INDEX(Hierarchy!$B$2:$B$1295,MATCH($D1490,Hierarchy!$A$2:$A$1295,0))="","",INDEX(Hierarchy!$B$2:$B$1295,MATCH($D1490,Hierarchy!$A$2:$A$1295,0))),"NODE NOT FOUND"))</f>
        <v>Region</v>
      </c>
      <c r="G1490" s="7" t="str">
        <f aca="false">IF($D1490="","",IFERROR(IF(INDEX(Hierarchy!$D$2:$D$1295,MATCH($D1490,Hierarchy!$A$2:$A$1295,0))="","",INDEX(Hierarchy!$D$2:$D$1295,MATCH($D1490,Hierarchy!$A$2:$A$1295,0))),"NODE NOT FOUND"))</f>
        <v>AMER</v>
      </c>
      <c r="H1490" s="7" t="str">
        <f aca="false">IF($D1490="","",IFERROR(IF(INDEX(Hierarchy!$E$2:$E$1295,MATCH($D1490,Hierarchy!$A$2:$A$1295,0))="","",INDEX(Hierarchy!$E$2:$E$1295,MATCH($D1490,Hierarchy!$A$2:$A$1295,0))),"NODE NOT FOUND"))</f>
        <v/>
      </c>
      <c r="I1490" s="7" t="str">
        <f aca="false">IF($D1490="","",IFERROR(IF(INDEX(Hierarchy!$F$2:$F$1295,MATCH($D1490,Hierarchy!$A$2:$A$1295,0))="","",INDEX(Hierarchy!$F$2:$F$1295,MATCH($D1490,Hierarchy!$A$2:$A$1295,0))),"NODE NOT FOUND"))</f>
        <v/>
      </c>
      <c r="J1490" s="7" t="str">
        <f aca="false">IF($D1490="","",IFERROR(IF(INDEX(Hierarchy!$G$2:$G$1295,MATCH($D1490,Hierarchy!$A$2:$A$1295,0))="","",INDEX(Hierarchy!$G$2:$G$1295,MATCH($D1490,Hierarchy!$A$2:$A$1295,0))),"NODE NOT FOUND"))</f>
        <v/>
      </c>
      <c r="K1490" s="7" t="str">
        <f aca="false">IF($D1490="","",IFERROR(IF(INDEX(Hierarchy!$H$2:$H$1295,MATCH($D1490,Hierarchy!$A$2:$A$1295,0))="","",INDEX(Hierarchy!$H$2:$H$1295,MATCH($D1490,Hierarchy!$A$2:$A$1295,0))),"NODE NOT FOUND"))</f>
        <v/>
      </c>
      <c r="L1490" s="7" t="str">
        <f aca="false">IF($D1490="","",IFERROR(IF(INDEX(Hierarchy!$I$2:$I$1295,MATCH($D1490,Hierarchy!$A$2:$A$1295,0))="","",INDEX(Hierarchy!$I$2:$I$1295,MATCH($D1490,Hierarchy!$A$2:$A$1295,0))),"NODE NOT FOUND"))</f>
        <v/>
      </c>
      <c r="M1490" s="17" t="str">
        <f aca="false">IF(B1490="Pre-seeded","Pre-seeded",IF(B1490="Review 2026-09-16","Added from review",IF(C1490="","New",IF(C1490=D1490,"","Changed"))))</f>
        <v>Pre-seeded</v>
      </c>
      <c r="N1490" s="7" t="str">
        <f aca="false">TRIM(SUBSTITUTE(SUBSTITUTE(SUBSTITUTE(" "&amp;TRIM(SUBSTITUTE(SUBSTITUTE(SUBSTITUTE(SUBSTITUTE(SUBSTITUTE(SUBSTITUTE(SUBSTITUTE(SUBSTITUTE(SUBSTITUTE(SUBSTITUTE(SUBSTITUTE(SUBSTITUTE(SUBSTITUTE(SUBSTITUTE(SUBSTITUTE(UPPER(TRIM(A1490)),"[MEMBER]",""),"{MEMBER}",""),"[MEMBER}",""),"MEMBER]",""),"(A)",""),"""",""),"“",""),"”",""),".",""),":",""),",",""),"–"," "),"-"," "),"/"," "),"&amp;"," AND "))&amp;" "," THE "," ")," TOTAL "," ")," OPERATIONS "," "))</f>
        <v>REST OF AMERICAS</v>
      </c>
      <c r="O1490" s="17" t="str">
        <f aca="false">IF(COUNTIFS($N$2:$N$2000,N1490,$D$2:$D$2000,"&lt;&gt;"&amp;D1490)&gt;0,"CONFLICT","")</f>
        <v/>
      </c>
      <c r="P1490" s="7"/>
    </row>
    <row r="1491" customFormat="false" ht="15" hidden="false" customHeight="false" outlineLevel="0" collapsed="false">
      <c r="A1491" s="7" t="s">
        <v>2665</v>
      </c>
      <c r="B1491" s="7" t="s">
        <v>1879</v>
      </c>
      <c r="C1491" s="7"/>
      <c r="D1491" s="6" t="s">
        <v>1311</v>
      </c>
      <c r="E1491" s="6" t="s">
        <v>1898</v>
      </c>
      <c r="F1491" s="7" t="str">
        <f aca="false">IF($D1491="","",IFERROR(IF(INDEX(Hierarchy!$B$2:$B$1295,MATCH($D1491,Hierarchy!$A$2:$A$1295,0))="","",INDEX(Hierarchy!$B$2:$B$1295,MATCH($D1491,Hierarchy!$A$2:$A$1295,0))),"NODE NOT FOUND"))</f>
        <v>Region</v>
      </c>
      <c r="G1491" s="7" t="str">
        <f aca="false">IF($D1491="","",IFERROR(IF(INDEX(Hierarchy!$D$2:$D$1295,MATCH($D1491,Hierarchy!$A$2:$A$1295,0))="","",INDEX(Hierarchy!$D$2:$D$1295,MATCH($D1491,Hierarchy!$A$2:$A$1295,0))),"NODE NOT FOUND"))</f>
        <v>APAC</v>
      </c>
      <c r="H1491" s="7" t="str">
        <f aca="false">IF($D1491="","",IFERROR(IF(INDEX(Hierarchy!$E$2:$E$1295,MATCH($D1491,Hierarchy!$A$2:$A$1295,0))="","",INDEX(Hierarchy!$E$2:$E$1295,MATCH($D1491,Hierarchy!$A$2:$A$1295,0))),"NODE NOT FOUND"))</f>
        <v/>
      </c>
      <c r="I1491" s="7" t="str">
        <f aca="false">IF($D1491="","",IFERROR(IF(INDEX(Hierarchy!$F$2:$F$1295,MATCH($D1491,Hierarchy!$A$2:$A$1295,0))="","",INDEX(Hierarchy!$F$2:$F$1295,MATCH($D1491,Hierarchy!$A$2:$A$1295,0))),"NODE NOT FOUND"))</f>
        <v/>
      </c>
      <c r="J1491" s="7" t="str">
        <f aca="false">IF($D1491="","",IFERROR(IF(INDEX(Hierarchy!$G$2:$G$1295,MATCH($D1491,Hierarchy!$A$2:$A$1295,0))="","",INDEX(Hierarchy!$G$2:$G$1295,MATCH($D1491,Hierarchy!$A$2:$A$1295,0))),"NODE NOT FOUND"))</f>
        <v/>
      </c>
      <c r="K1491" s="7" t="str">
        <f aca="false">IF($D1491="","",IFERROR(IF(INDEX(Hierarchy!$H$2:$H$1295,MATCH($D1491,Hierarchy!$A$2:$A$1295,0))="","",INDEX(Hierarchy!$H$2:$H$1295,MATCH($D1491,Hierarchy!$A$2:$A$1295,0))),"NODE NOT FOUND"))</f>
        <v/>
      </c>
      <c r="L1491" s="7" t="str">
        <f aca="false">IF($D1491="","",IFERROR(IF(INDEX(Hierarchy!$I$2:$I$1295,MATCH($D1491,Hierarchy!$A$2:$A$1295,0))="","",INDEX(Hierarchy!$I$2:$I$1295,MATCH($D1491,Hierarchy!$A$2:$A$1295,0))),"NODE NOT FOUND"))</f>
        <v/>
      </c>
      <c r="M1491" s="17" t="str">
        <f aca="false">IF(B1491="Pre-seeded","Pre-seeded",IF(B1491="Review 2026-09-16","Added from review",IF(C1491="","New",IF(C1491=D1491,"","Changed"))))</f>
        <v>Pre-seeded</v>
      </c>
      <c r="N1491" s="7" t="str">
        <f aca="false">TRIM(SUBSTITUTE(SUBSTITUTE(SUBSTITUTE(" "&amp;TRIM(SUBSTITUTE(SUBSTITUTE(SUBSTITUTE(SUBSTITUTE(SUBSTITUTE(SUBSTITUTE(SUBSTITUTE(SUBSTITUTE(SUBSTITUTE(SUBSTITUTE(SUBSTITUTE(SUBSTITUTE(SUBSTITUTE(SUBSTITUTE(SUBSTITUTE(UPPER(TRIM(A1491)),"[MEMBER]",""),"{MEMBER}",""),"[MEMBER}",""),"MEMBER]",""),"(A)",""),"""",""),"“",""),"”",""),".",""),":",""),",",""),"–"," "),"-"," "),"/"," "),"&amp;"," AND "))&amp;" "," THE "," ")," TOTAL "," ")," OPERATIONS "," "))</f>
        <v>REST OF APAC</v>
      </c>
      <c r="O1491" s="17" t="str">
        <f aca="false">IF(COUNTIFS($N$2:$N$2000,N1491,$D$2:$D$2000,"&lt;&gt;"&amp;D1491)&gt;0,"CONFLICT","")</f>
        <v/>
      </c>
      <c r="P1491" s="7"/>
    </row>
    <row r="1492" customFormat="false" ht="15" hidden="false" customHeight="false" outlineLevel="0" collapsed="false">
      <c r="A1492" s="7" t="s">
        <v>2666</v>
      </c>
      <c r="B1492" s="7" t="s">
        <v>1885</v>
      </c>
      <c r="C1492" s="7" t="s">
        <v>744</v>
      </c>
      <c r="D1492" s="6" t="s">
        <v>744</v>
      </c>
      <c r="E1492" s="6" t="s">
        <v>1898</v>
      </c>
      <c r="F1492" s="7" t="str">
        <f aca="false">IF($D1492="","",IFERROR(IF(INDEX(Hierarchy!$B$2:$B$1295,MATCH($D1492,Hierarchy!$A$2:$A$1295,0))="","",INDEX(Hierarchy!$B$2:$B$1295,MATCH($D1492,Hierarchy!$A$2:$A$1295,0))),"NODE NOT FOUND"))</f>
        <v>Sub-region group</v>
      </c>
      <c r="G1492" s="7" t="str">
        <f aca="false">IF($D1492="","",IFERROR(IF(INDEX(Hierarchy!$D$2:$D$1295,MATCH($D1492,Hierarchy!$A$2:$A$1295,0))="","",INDEX(Hierarchy!$D$2:$D$1295,MATCH($D1492,Hierarchy!$A$2:$A$1295,0))),"NODE NOT FOUND"))</f>
        <v>APAC</v>
      </c>
      <c r="H1492" s="7" t="str">
        <f aca="false">IF($D1492="","",IFERROR(IF(INDEX(Hierarchy!$E$2:$E$1295,MATCH($D1492,Hierarchy!$A$2:$A$1295,0))="","",INDEX(Hierarchy!$E$2:$E$1295,MATCH($D1492,Hierarchy!$A$2:$A$1295,0))),"NODE NOT FOUND"))</f>
        <v/>
      </c>
      <c r="I1492" s="7" t="str">
        <f aca="false">IF($D1492="","",IFERROR(IF(INDEX(Hierarchy!$F$2:$F$1295,MATCH($D1492,Hierarchy!$A$2:$A$1295,0))="","",INDEX(Hierarchy!$F$2:$F$1295,MATCH($D1492,Hierarchy!$A$2:$A$1295,0))),"NODE NOT FOUND"))</f>
        <v/>
      </c>
      <c r="J1492" s="7" t="str">
        <f aca="false">IF($D1492="","",IFERROR(IF(INDEX(Hierarchy!$G$2:$G$1295,MATCH($D1492,Hierarchy!$A$2:$A$1295,0))="","",INDEX(Hierarchy!$G$2:$G$1295,MATCH($D1492,Hierarchy!$A$2:$A$1295,0))),"NODE NOT FOUND"))</f>
        <v/>
      </c>
      <c r="K1492" s="7" t="str">
        <f aca="false">IF($D1492="","",IFERROR(IF(INDEX(Hierarchy!$H$2:$H$1295,MATCH($D1492,Hierarchy!$A$2:$A$1295,0))="","",INDEX(Hierarchy!$H$2:$H$1295,MATCH($D1492,Hierarchy!$A$2:$A$1295,0))),"NODE NOT FOUND"))</f>
        <v/>
      </c>
      <c r="L1492" s="7" t="str">
        <f aca="false">IF($D1492="","",IFERROR(IF(INDEX(Hierarchy!$I$2:$I$1295,MATCH($D1492,Hierarchy!$A$2:$A$1295,0))="","",INDEX(Hierarchy!$I$2:$I$1295,MATCH($D1492,Hierarchy!$A$2:$A$1295,0))),"NODE NOT FOUND"))</f>
        <v/>
      </c>
      <c r="M1492" s="17" t="str">
        <f aca="false">IF(B1492="Pre-seeded","Pre-seeded",IF(B1492="Review 2026-09-16","Added from review",IF(C1492="","New",IF(C1492=D1492,"","Changed"))))</f>
        <v/>
      </c>
      <c r="N1492" s="7" t="str">
        <f aca="false">TRIM(SUBSTITUTE(SUBSTITUTE(SUBSTITUTE(" "&amp;TRIM(SUBSTITUTE(SUBSTITUTE(SUBSTITUTE(SUBSTITUTE(SUBSTITUTE(SUBSTITUTE(SUBSTITUTE(SUBSTITUTE(SUBSTITUTE(SUBSTITUTE(SUBSTITUTE(SUBSTITUTE(SUBSTITUTE(SUBSTITUTE(SUBSTITUTE(UPPER(TRIM(A1492)),"[MEMBER]",""),"{MEMBER}",""),"[MEMBER}",""),"MEMBER]",""),"(A)",""),"""",""),"“",""),"”",""),".",""),":",""),",",""),"–"," "),"-"," "),"/"," "),"&amp;"," AND "))&amp;" "," THE "," ")," TOTAL "," ")," OPERATIONS "," "))</f>
        <v>REST OF ASIA</v>
      </c>
      <c r="O1492" s="17" t="str">
        <f aca="false">IF(COUNTIFS($N$2:$N$2000,N1492,$D$2:$D$2000,"&lt;&gt;"&amp;D1492)&gt;0,"CONFLICT","")</f>
        <v/>
      </c>
      <c r="P1492" s="7"/>
    </row>
    <row r="1493" customFormat="false" ht="15" hidden="false" customHeight="false" outlineLevel="0" collapsed="false">
      <c r="A1493" s="7" t="s">
        <v>2667</v>
      </c>
      <c r="B1493" s="7" t="s">
        <v>1879</v>
      </c>
      <c r="C1493" s="7"/>
      <c r="D1493" s="6" t="s">
        <v>1311</v>
      </c>
      <c r="E1493" s="6" t="s">
        <v>1898</v>
      </c>
      <c r="F1493" s="7" t="str">
        <f aca="false">IF($D1493="","",IFERROR(IF(INDEX(Hierarchy!$B$2:$B$1295,MATCH($D1493,Hierarchy!$A$2:$A$1295,0))="","",INDEX(Hierarchy!$B$2:$B$1295,MATCH($D1493,Hierarchy!$A$2:$A$1295,0))),"NODE NOT FOUND"))</f>
        <v>Region</v>
      </c>
      <c r="G1493" s="7" t="str">
        <f aca="false">IF($D1493="","",IFERROR(IF(INDEX(Hierarchy!$D$2:$D$1295,MATCH($D1493,Hierarchy!$A$2:$A$1295,0))="","",INDEX(Hierarchy!$D$2:$D$1295,MATCH($D1493,Hierarchy!$A$2:$A$1295,0))),"NODE NOT FOUND"))</f>
        <v>APAC</v>
      </c>
      <c r="H1493" s="7" t="str">
        <f aca="false">IF($D1493="","",IFERROR(IF(INDEX(Hierarchy!$E$2:$E$1295,MATCH($D1493,Hierarchy!$A$2:$A$1295,0))="","",INDEX(Hierarchy!$E$2:$E$1295,MATCH($D1493,Hierarchy!$A$2:$A$1295,0))),"NODE NOT FOUND"))</f>
        <v/>
      </c>
      <c r="I1493" s="7" t="str">
        <f aca="false">IF($D1493="","",IFERROR(IF(INDEX(Hierarchy!$F$2:$F$1295,MATCH($D1493,Hierarchy!$A$2:$A$1295,0))="","",INDEX(Hierarchy!$F$2:$F$1295,MATCH($D1493,Hierarchy!$A$2:$A$1295,0))),"NODE NOT FOUND"))</f>
        <v/>
      </c>
      <c r="J1493" s="7" t="str">
        <f aca="false">IF($D1493="","",IFERROR(IF(INDEX(Hierarchy!$G$2:$G$1295,MATCH($D1493,Hierarchy!$A$2:$A$1295,0))="","",INDEX(Hierarchy!$G$2:$G$1295,MATCH($D1493,Hierarchy!$A$2:$A$1295,0))),"NODE NOT FOUND"))</f>
        <v/>
      </c>
      <c r="K1493" s="7" t="str">
        <f aca="false">IF($D1493="","",IFERROR(IF(INDEX(Hierarchy!$H$2:$H$1295,MATCH($D1493,Hierarchy!$A$2:$A$1295,0))="","",INDEX(Hierarchy!$H$2:$H$1295,MATCH($D1493,Hierarchy!$A$2:$A$1295,0))),"NODE NOT FOUND"))</f>
        <v/>
      </c>
      <c r="L1493" s="7" t="str">
        <f aca="false">IF($D1493="","",IFERROR(IF(INDEX(Hierarchy!$I$2:$I$1295,MATCH($D1493,Hierarchy!$A$2:$A$1295,0))="","",INDEX(Hierarchy!$I$2:$I$1295,MATCH($D1493,Hierarchy!$A$2:$A$1295,0))),"NODE NOT FOUND"))</f>
        <v/>
      </c>
      <c r="M1493" s="17" t="str">
        <f aca="false">IF(B1493="Pre-seeded","Pre-seeded",IF(B1493="Review 2026-09-16","Added from review",IF(C1493="","New",IF(C1493=D1493,"","Changed"))))</f>
        <v>Pre-seeded</v>
      </c>
      <c r="N1493" s="7" t="str">
        <f aca="false">TRIM(SUBSTITUTE(SUBSTITUTE(SUBSTITUTE(" "&amp;TRIM(SUBSTITUTE(SUBSTITUTE(SUBSTITUTE(SUBSTITUTE(SUBSTITUTE(SUBSTITUTE(SUBSTITUTE(SUBSTITUTE(SUBSTITUTE(SUBSTITUTE(SUBSTITUTE(SUBSTITUTE(SUBSTITUTE(SUBSTITUTE(SUBSTITUTE(UPPER(TRIM(A1493)),"[MEMBER]",""),"{MEMBER}",""),"[MEMBER}",""),"MEMBER]",""),"(A)",""),"""",""),"“",""),"”",""),".",""),":",""),",",""),"–"," "),"-"," "),"/"," "),"&amp;"," AND "))&amp;" "," THE "," ")," TOTAL "," ")," OPERATIONS "," "))</f>
        <v>REST OF ASIA PACIFIC</v>
      </c>
      <c r="O1493" s="17" t="str">
        <f aca="false">IF(COUNTIFS($N$2:$N$2000,N1493,$D$2:$D$2000,"&lt;&gt;"&amp;D1493)&gt;0,"CONFLICT","")</f>
        <v/>
      </c>
      <c r="P1493" s="7"/>
    </row>
    <row r="1494" customFormat="false" ht="15" hidden="false" customHeight="false" outlineLevel="0" collapsed="false">
      <c r="A1494" s="7" t="s">
        <v>2668</v>
      </c>
      <c r="B1494" s="7" t="s">
        <v>1879</v>
      </c>
      <c r="C1494" s="7"/>
      <c r="D1494" s="6" t="s">
        <v>613</v>
      </c>
      <c r="E1494" s="6" t="s">
        <v>1898</v>
      </c>
      <c r="F1494" s="7" t="str">
        <f aca="false">IF($D1494="","",IFERROR(IF(INDEX(Hierarchy!$B$2:$B$1295,MATCH($D1494,Hierarchy!$A$2:$A$1295,0))="","",INDEX(Hierarchy!$B$2:$B$1295,MATCH($D1494,Hierarchy!$A$2:$A$1295,0))),"NODE NOT FOUND"))</f>
        <v>Region</v>
      </c>
      <c r="G1494" s="7" t="str">
        <f aca="false">IF($D1494="","",IFERROR(IF(INDEX(Hierarchy!$D$2:$D$1295,MATCH($D1494,Hierarchy!$A$2:$A$1295,0))="","",INDEX(Hierarchy!$D$2:$D$1295,MATCH($D1494,Hierarchy!$A$2:$A$1295,0))),"NODE NOT FOUND"))</f>
        <v>EMEA</v>
      </c>
      <c r="H1494" s="7" t="str">
        <f aca="false">IF($D1494="","",IFERROR(IF(INDEX(Hierarchy!$E$2:$E$1295,MATCH($D1494,Hierarchy!$A$2:$A$1295,0))="","",INDEX(Hierarchy!$E$2:$E$1295,MATCH($D1494,Hierarchy!$A$2:$A$1295,0))),"NODE NOT FOUND"))</f>
        <v/>
      </c>
      <c r="I1494" s="7" t="str">
        <f aca="false">IF($D1494="","",IFERROR(IF(INDEX(Hierarchy!$F$2:$F$1295,MATCH($D1494,Hierarchy!$A$2:$A$1295,0))="","",INDEX(Hierarchy!$F$2:$F$1295,MATCH($D1494,Hierarchy!$A$2:$A$1295,0))),"NODE NOT FOUND"))</f>
        <v/>
      </c>
      <c r="J1494" s="7" t="str">
        <f aca="false">IF($D1494="","",IFERROR(IF(INDEX(Hierarchy!$G$2:$G$1295,MATCH($D1494,Hierarchy!$A$2:$A$1295,0))="","",INDEX(Hierarchy!$G$2:$G$1295,MATCH($D1494,Hierarchy!$A$2:$A$1295,0))),"NODE NOT FOUND"))</f>
        <v/>
      </c>
      <c r="K1494" s="7" t="str">
        <f aca="false">IF($D1494="","",IFERROR(IF(INDEX(Hierarchy!$H$2:$H$1295,MATCH($D1494,Hierarchy!$A$2:$A$1295,0))="","",INDEX(Hierarchy!$H$2:$H$1295,MATCH($D1494,Hierarchy!$A$2:$A$1295,0))),"NODE NOT FOUND"))</f>
        <v/>
      </c>
      <c r="L1494" s="7" t="str">
        <f aca="false">IF($D1494="","",IFERROR(IF(INDEX(Hierarchy!$I$2:$I$1295,MATCH($D1494,Hierarchy!$A$2:$A$1295,0))="","",INDEX(Hierarchy!$I$2:$I$1295,MATCH($D1494,Hierarchy!$A$2:$A$1295,0))),"NODE NOT FOUND"))</f>
        <v/>
      </c>
      <c r="M1494" s="17" t="str">
        <f aca="false">IF(B1494="Pre-seeded","Pre-seeded",IF(B1494="Review 2026-09-16","Added from review",IF(C1494="","New",IF(C1494=D1494,"","Changed"))))</f>
        <v>Pre-seeded</v>
      </c>
      <c r="N1494" s="7" t="str">
        <f aca="false">TRIM(SUBSTITUTE(SUBSTITUTE(SUBSTITUTE(" "&amp;TRIM(SUBSTITUTE(SUBSTITUTE(SUBSTITUTE(SUBSTITUTE(SUBSTITUTE(SUBSTITUTE(SUBSTITUTE(SUBSTITUTE(SUBSTITUTE(SUBSTITUTE(SUBSTITUTE(SUBSTITUTE(SUBSTITUTE(SUBSTITUTE(SUBSTITUTE(UPPER(TRIM(A1494)),"[MEMBER]",""),"{MEMBER}",""),"[MEMBER}",""),"MEMBER]",""),"(A)",""),"""",""),"“",""),"”",""),".",""),":",""),",",""),"–"," "),"-"," "),"/"," "),"&amp;"," AND "))&amp;" "," THE "," ")," TOTAL "," ")," OPERATIONS "," "))</f>
        <v>REST OF EMEA</v>
      </c>
      <c r="O1494" s="17" t="str">
        <f aca="false">IF(COUNTIFS($N$2:$N$2000,N1494,$D$2:$D$2000,"&lt;&gt;"&amp;D1494)&gt;0,"CONFLICT","")</f>
        <v/>
      </c>
      <c r="P1494" s="7"/>
    </row>
    <row r="1495" customFormat="false" ht="15" hidden="false" customHeight="false" outlineLevel="0" collapsed="false">
      <c r="A1495" s="7" t="s">
        <v>2669</v>
      </c>
      <c r="B1495" s="7" t="s">
        <v>1879</v>
      </c>
      <c r="C1495" s="7"/>
      <c r="D1495" s="6" t="s">
        <v>622</v>
      </c>
      <c r="E1495" s="6" t="s">
        <v>1898</v>
      </c>
      <c r="F1495" s="7" t="str">
        <f aca="false">IF($D1495="","",IFERROR(IF(INDEX(Hierarchy!$B$2:$B$1295,MATCH($D1495,Hierarchy!$A$2:$A$1295,0))="","",INDEX(Hierarchy!$B$2:$B$1295,MATCH($D1495,Hierarchy!$A$2:$A$1295,0))),"NODE NOT FOUND"))</f>
        <v>Sub-region</v>
      </c>
      <c r="G1495" s="7" t="str">
        <f aca="false">IF($D1495="","",IFERROR(IF(INDEX(Hierarchy!$D$2:$D$1295,MATCH($D1495,Hierarchy!$A$2:$A$1295,0))="","",INDEX(Hierarchy!$D$2:$D$1295,MATCH($D1495,Hierarchy!$A$2:$A$1295,0))),"NODE NOT FOUND"))</f>
        <v>EMEA</v>
      </c>
      <c r="H1495" s="7" t="str">
        <f aca="false">IF($D1495="","",IFERROR(IF(INDEX(Hierarchy!$E$2:$E$1295,MATCH($D1495,Hierarchy!$A$2:$A$1295,0))="","",INDEX(Hierarchy!$E$2:$E$1295,MATCH($D1495,Hierarchy!$A$2:$A$1295,0))),"NODE NOT FOUND"))</f>
        <v>Europe</v>
      </c>
      <c r="I1495" s="7" t="str">
        <f aca="false">IF($D1495="","",IFERROR(IF(INDEX(Hierarchy!$F$2:$F$1295,MATCH($D1495,Hierarchy!$A$2:$A$1295,0))="","",INDEX(Hierarchy!$F$2:$F$1295,MATCH($D1495,Hierarchy!$A$2:$A$1295,0))),"NODE NOT FOUND"))</f>
        <v/>
      </c>
      <c r="J1495" s="7" t="str">
        <f aca="false">IF($D1495="","",IFERROR(IF(INDEX(Hierarchy!$G$2:$G$1295,MATCH($D1495,Hierarchy!$A$2:$A$1295,0))="","",INDEX(Hierarchy!$G$2:$G$1295,MATCH($D1495,Hierarchy!$A$2:$A$1295,0))),"NODE NOT FOUND"))</f>
        <v/>
      </c>
      <c r="K1495" s="7" t="str">
        <f aca="false">IF($D1495="","",IFERROR(IF(INDEX(Hierarchy!$H$2:$H$1295,MATCH($D1495,Hierarchy!$A$2:$A$1295,0))="","",INDEX(Hierarchy!$H$2:$H$1295,MATCH($D1495,Hierarchy!$A$2:$A$1295,0))),"NODE NOT FOUND"))</f>
        <v/>
      </c>
      <c r="L1495" s="7" t="str">
        <f aca="false">IF($D1495="","",IFERROR(IF(INDEX(Hierarchy!$I$2:$I$1295,MATCH($D1495,Hierarchy!$A$2:$A$1295,0))="","",INDEX(Hierarchy!$I$2:$I$1295,MATCH($D1495,Hierarchy!$A$2:$A$1295,0))),"NODE NOT FOUND"))</f>
        <v/>
      </c>
      <c r="M1495" s="17" t="str">
        <f aca="false">IF(B1495="Pre-seeded","Pre-seeded",IF(B1495="Review 2026-09-16","Added from review",IF(C1495="","New",IF(C1495=D1495,"","Changed"))))</f>
        <v>Pre-seeded</v>
      </c>
      <c r="N1495" s="7" t="str">
        <f aca="false">TRIM(SUBSTITUTE(SUBSTITUTE(SUBSTITUTE(" "&amp;TRIM(SUBSTITUTE(SUBSTITUTE(SUBSTITUTE(SUBSTITUTE(SUBSTITUTE(SUBSTITUTE(SUBSTITUTE(SUBSTITUTE(SUBSTITUTE(SUBSTITUTE(SUBSTITUTE(SUBSTITUTE(SUBSTITUTE(SUBSTITUTE(SUBSTITUTE(UPPER(TRIM(A1495)),"[MEMBER]",""),"{MEMBER}",""),"[MEMBER}",""),"MEMBER]",""),"(A)",""),"""",""),"“",""),"”",""),".",""),":",""),",",""),"–"," "),"-"," "),"/"," "),"&amp;"," AND "))&amp;" "," THE "," ")," TOTAL "," ")," OPERATIONS "," "))</f>
        <v>REST OF EUROPE</v>
      </c>
      <c r="O1495" s="17" t="str">
        <f aca="false">IF(COUNTIFS($N$2:$N$2000,N1495,$D$2:$D$2000,"&lt;&gt;"&amp;D1495)&gt;0,"CONFLICT","")</f>
        <v/>
      </c>
      <c r="P1495" s="7"/>
    </row>
    <row r="1496" customFormat="false" ht="15" hidden="false" customHeight="false" outlineLevel="0" collapsed="false">
      <c r="A1496" s="7" t="s">
        <v>2670</v>
      </c>
      <c r="B1496" s="7" t="s">
        <v>1879</v>
      </c>
      <c r="C1496" s="7"/>
      <c r="D1496" s="6" t="s">
        <v>312</v>
      </c>
      <c r="E1496" s="6" t="s">
        <v>1898</v>
      </c>
      <c r="F1496" s="7" t="str">
        <f aca="false">IF($D1496="","",IFERROR(IF(INDEX(Hierarchy!$B$2:$B$1295,MATCH($D1496,Hierarchy!$A$2:$A$1295,0))="","",INDEX(Hierarchy!$B$2:$B$1295,MATCH($D1496,Hierarchy!$A$2:$A$1295,0))),"NODE NOT FOUND"))</f>
        <v>Sub-region</v>
      </c>
      <c r="G1496" s="7" t="str">
        <f aca="false">IF($D1496="","",IFERROR(IF(INDEX(Hierarchy!$D$2:$D$1295,MATCH($D1496,Hierarchy!$A$2:$A$1295,0))="","",INDEX(Hierarchy!$D$2:$D$1295,MATCH($D1496,Hierarchy!$A$2:$A$1295,0))),"NODE NOT FOUND"))</f>
        <v>AMER</v>
      </c>
      <c r="H1496" s="7" t="str">
        <f aca="false">IF($D1496="","",IFERROR(IF(INDEX(Hierarchy!$E$2:$E$1295,MATCH($D1496,Hierarchy!$A$2:$A$1295,0))="","",INDEX(Hierarchy!$E$2:$E$1295,MATCH($D1496,Hierarchy!$A$2:$A$1295,0))),"NODE NOT FOUND"))</f>
        <v>Latin America (LATAM)</v>
      </c>
      <c r="I1496" s="7" t="str">
        <f aca="false">IF($D1496="","",IFERROR(IF(INDEX(Hierarchy!$F$2:$F$1295,MATCH($D1496,Hierarchy!$A$2:$A$1295,0))="","",INDEX(Hierarchy!$F$2:$F$1295,MATCH($D1496,Hierarchy!$A$2:$A$1295,0))),"NODE NOT FOUND"))</f>
        <v/>
      </c>
      <c r="J1496" s="7" t="str">
        <f aca="false">IF($D1496="","",IFERROR(IF(INDEX(Hierarchy!$G$2:$G$1295,MATCH($D1496,Hierarchy!$A$2:$A$1295,0))="","",INDEX(Hierarchy!$G$2:$G$1295,MATCH($D1496,Hierarchy!$A$2:$A$1295,0))),"NODE NOT FOUND"))</f>
        <v/>
      </c>
      <c r="K1496" s="7" t="str">
        <f aca="false">IF($D1496="","",IFERROR(IF(INDEX(Hierarchy!$H$2:$H$1295,MATCH($D1496,Hierarchy!$A$2:$A$1295,0))="","",INDEX(Hierarchy!$H$2:$H$1295,MATCH($D1496,Hierarchy!$A$2:$A$1295,0))),"NODE NOT FOUND"))</f>
        <v/>
      </c>
      <c r="L1496" s="7" t="str">
        <f aca="false">IF($D1496="","",IFERROR(IF(INDEX(Hierarchy!$I$2:$I$1295,MATCH($D1496,Hierarchy!$A$2:$A$1295,0))="","",INDEX(Hierarchy!$I$2:$I$1295,MATCH($D1496,Hierarchy!$A$2:$A$1295,0))),"NODE NOT FOUND"))</f>
        <v/>
      </c>
      <c r="M1496" s="17" t="str">
        <f aca="false">IF(B1496="Pre-seeded","Pre-seeded",IF(B1496="Review 2026-09-16","Added from review",IF(C1496="","New",IF(C1496=D1496,"","Changed"))))</f>
        <v>Pre-seeded</v>
      </c>
      <c r="N1496" s="7" t="str">
        <f aca="false">TRIM(SUBSTITUTE(SUBSTITUTE(SUBSTITUTE(" "&amp;TRIM(SUBSTITUTE(SUBSTITUTE(SUBSTITUTE(SUBSTITUTE(SUBSTITUTE(SUBSTITUTE(SUBSTITUTE(SUBSTITUTE(SUBSTITUTE(SUBSTITUTE(SUBSTITUTE(SUBSTITUTE(SUBSTITUTE(SUBSTITUTE(SUBSTITUTE(UPPER(TRIM(A1496)),"[MEMBER]",""),"{MEMBER}",""),"[MEMBER}",""),"MEMBER]",""),"(A)",""),"""",""),"“",""),"”",""),".",""),":",""),",",""),"–"," "),"-"," "),"/"," "),"&amp;"," AND "))&amp;" "," THE "," ")," TOTAL "," ")," OPERATIONS "," "))</f>
        <v>REST OF LATIN AMERICA</v>
      </c>
      <c r="O1496" s="17" t="str">
        <f aca="false">IF(COUNTIFS($N$2:$N$2000,N1496,$D$2:$D$2000,"&lt;&gt;"&amp;D1496)&gt;0,"CONFLICT","")</f>
        <v/>
      </c>
      <c r="P1496" s="7"/>
    </row>
    <row r="1497" customFormat="false" ht="15" hidden="false" customHeight="false" outlineLevel="0" collapsed="false">
      <c r="A1497" s="7" t="s">
        <v>2671</v>
      </c>
      <c r="B1497" s="7" t="s">
        <v>1885</v>
      </c>
      <c r="C1497" s="7" t="s">
        <v>86</v>
      </c>
      <c r="D1497" s="6" t="s">
        <v>74</v>
      </c>
      <c r="E1497" s="6" t="s">
        <v>1898</v>
      </c>
      <c r="F1497" s="7" t="str">
        <f aca="false">IF($D1497="","",IFERROR(IF(INDEX(Hierarchy!$B$2:$B$1295,MATCH($D1497,Hierarchy!$A$2:$A$1295,0))="","",INDEX(Hierarchy!$B$2:$B$1295,MATCH($D1497,Hierarchy!$A$2:$A$1295,0))),"NODE NOT FOUND"))</f>
        <v>Region</v>
      </c>
      <c r="G1497" s="7" t="str">
        <f aca="false">IF($D1497="","",IFERROR(IF(INDEX(Hierarchy!$D$2:$D$1295,MATCH($D1497,Hierarchy!$A$2:$A$1295,0))="","",INDEX(Hierarchy!$D$2:$D$1295,MATCH($D1497,Hierarchy!$A$2:$A$1295,0))),"NODE NOT FOUND"))</f>
        <v>AMER</v>
      </c>
      <c r="H1497" s="7" t="str">
        <f aca="false">IF($D1497="","",IFERROR(IF(INDEX(Hierarchy!$E$2:$E$1295,MATCH($D1497,Hierarchy!$A$2:$A$1295,0))="","",INDEX(Hierarchy!$E$2:$E$1295,MATCH($D1497,Hierarchy!$A$2:$A$1295,0))),"NODE NOT FOUND"))</f>
        <v/>
      </c>
      <c r="I1497" s="7" t="str">
        <f aca="false">IF($D1497="","",IFERROR(IF(INDEX(Hierarchy!$F$2:$F$1295,MATCH($D1497,Hierarchy!$A$2:$A$1295,0))="","",INDEX(Hierarchy!$F$2:$F$1295,MATCH($D1497,Hierarchy!$A$2:$A$1295,0))),"NODE NOT FOUND"))</f>
        <v/>
      </c>
      <c r="J1497" s="7" t="str">
        <f aca="false">IF($D1497="","",IFERROR(IF(INDEX(Hierarchy!$G$2:$G$1295,MATCH($D1497,Hierarchy!$A$2:$A$1295,0))="","",INDEX(Hierarchy!$G$2:$G$1295,MATCH($D1497,Hierarchy!$A$2:$A$1295,0))),"NODE NOT FOUND"))</f>
        <v/>
      </c>
      <c r="K1497" s="7" t="str">
        <f aca="false">IF($D1497="","",IFERROR(IF(INDEX(Hierarchy!$H$2:$H$1295,MATCH($D1497,Hierarchy!$A$2:$A$1295,0))="","",INDEX(Hierarchy!$H$2:$H$1295,MATCH($D1497,Hierarchy!$A$2:$A$1295,0))),"NODE NOT FOUND"))</f>
        <v/>
      </c>
      <c r="L1497" s="7" t="str">
        <f aca="false">IF($D1497="","",IFERROR(IF(INDEX(Hierarchy!$I$2:$I$1295,MATCH($D1497,Hierarchy!$A$2:$A$1295,0))="","",INDEX(Hierarchy!$I$2:$I$1295,MATCH($D1497,Hierarchy!$A$2:$A$1295,0))),"NODE NOT FOUND"))</f>
        <v/>
      </c>
      <c r="M1497" s="17" t="str">
        <f aca="false">IF(B1497="Pre-seeded","Pre-seeded",IF(B1497="Review 2026-09-16","Added from review",IF(C1497="","New",IF(C1497=D1497,"","Changed"))))</f>
        <v>Changed</v>
      </c>
      <c r="N1497" s="7" t="str">
        <f aca="false">TRIM(SUBSTITUTE(SUBSTITUTE(SUBSTITUTE(" "&amp;TRIM(SUBSTITUTE(SUBSTITUTE(SUBSTITUTE(SUBSTITUTE(SUBSTITUTE(SUBSTITUTE(SUBSTITUTE(SUBSTITUTE(SUBSTITUTE(SUBSTITUTE(SUBSTITUTE(SUBSTITUTE(SUBSTITUTE(SUBSTITUTE(SUBSTITUTE(UPPER(TRIM(A1497)),"[MEMBER]",""),"{MEMBER}",""),"[MEMBER}",""),"MEMBER]",""),"(A)",""),"""",""),"“",""),"”",""),".",""),":",""),",",""),"–"," "),"-"," "),"/"," "),"&amp;"," AND "))&amp;" "," THE "," ")," TOTAL "," ")," OPERATIONS "," "))</f>
        <v>REST OF NORTH AND SOUTH AMERICA</v>
      </c>
      <c r="O1497" s="17" t="str">
        <f aca="false">IF(COUNTIFS($N$2:$N$2000,N1497,$D$2:$D$2000,"&lt;&gt;"&amp;D1497)&gt;0,"CONFLICT","")</f>
        <v/>
      </c>
      <c r="P1497" s="7"/>
    </row>
    <row r="1498" customFormat="false" ht="15" hidden="false" customHeight="false" outlineLevel="0" collapsed="false">
      <c r="A1498" s="7" t="s">
        <v>2672</v>
      </c>
      <c r="B1498" s="7" t="s">
        <v>1882</v>
      </c>
      <c r="C1498" s="7" t="s">
        <v>1790</v>
      </c>
      <c r="D1498" s="6" t="s">
        <v>1790</v>
      </c>
      <c r="E1498" s="6" t="s">
        <v>1880</v>
      </c>
      <c r="F1498" s="7" t="str">
        <f aca="false">IF($D1498="","",IFERROR(IF(INDEX(Hierarchy!$B$2:$B$1295,MATCH($D1498,Hierarchy!$A$2:$A$1295,0))="","",INDEX(Hierarchy!$B$2:$B$1295,MATCH($D1498,Hierarchy!$A$2:$A$1295,0))),"NODE NOT FOUND"))</f>
        <v>Bucket</v>
      </c>
      <c r="G1498" s="7" t="str">
        <f aca="false">IF($D1498="","",IFERROR(IF(INDEX(Hierarchy!$D$2:$D$1295,MATCH($D1498,Hierarchy!$A$2:$A$1295,0))="","",INDEX(Hierarchy!$D$2:$D$1295,MATCH($D1498,Hierarchy!$A$2:$A$1295,0))),"NODE NOT FOUND"))</f>
        <v>Non-regional</v>
      </c>
      <c r="H1498" s="7" t="str">
        <f aca="false">IF($D1498="","",IFERROR(IF(INDEX(Hierarchy!$E$2:$E$1295,MATCH($D1498,Hierarchy!$A$2:$A$1295,0))="","",INDEX(Hierarchy!$E$2:$E$1295,MATCH($D1498,Hierarchy!$A$2:$A$1295,0))),"NODE NOT FOUND"))</f>
        <v/>
      </c>
      <c r="I1498" s="7" t="str">
        <f aca="false">IF($D1498="","",IFERROR(IF(INDEX(Hierarchy!$F$2:$F$1295,MATCH($D1498,Hierarchy!$A$2:$A$1295,0))="","",INDEX(Hierarchy!$F$2:$F$1295,MATCH($D1498,Hierarchy!$A$2:$A$1295,0))),"NODE NOT FOUND"))</f>
        <v/>
      </c>
      <c r="J1498" s="7" t="str">
        <f aca="false">IF($D1498="","",IFERROR(IF(INDEX(Hierarchy!$G$2:$G$1295,MATCH($D1498,Hierarchy!$A$2:$A$1295,0))="","",INDEX(Hierarchy!$G$2:$G$1295,MATCH($D1498,Hierarchy!$A$2:$A$1295,0))),"NODE NOT FOUND"))</f>
        <v/>
      </c>
      <c r="K1498" s="7" t="str">
        <f aca="false">IF($D1498="","",IFERROR(IF(INDEX(Hierarchy!$H$2:$H$1295,MATCH($D1498,Hierarchy!$A$2:$A$1295,0))="","",INDEX(Hierarchy!$H$2:$H$1295,MATCH($D1498,Hierarchy!$A$2:$A$1295,0))),"NODE NOT FOUND"))</f>
        <v/>
      </c>
      <c r="L1498" s="7" t="str">
        <f aca="false">IF($D1498="","",IFERROR(IF(INDEX(Hierarchy!$I$2:$I$1295,MATCH($D1498,Hierarchy!$A$2:$A$1295,0))="","",INDEX(Hierarchy!$I$2:$I$1295,MATCH($D1498,Hierarchy!$A$2:$A$1295,0))),"NODE NOT FOUND"))</f>
        <v/>
      </c>
      <c r="M1498" s="17" t="str">
        <f aca="false">IF(B1498="Pre-seeded","Pre-seeded",IF(B1498="Review 2026-09-16","Added from review",IF(C1498="","New",IF(C1498=D1498,"","Changed"))))</f>
        <v/>
      </c>
      <c r="N1498" s="7" t="str">
        <f aca="false">TRIM(SUBSTITUTE(SUBSTITUTE(SUBSTITUTE(" "&amp;TRIM(SUBSTITUTE(SUBSTITUTE(SUBSTITUTE(SUBSTITUTE(SUBSTITUTE(SUBSTITUTE(SUBSTITUTE(SUBSTITUTE(SUBSTITUTE(SUBSTITUTE(SUBSTITUTE(SUBSTITUTE(SUBSTITUTE(SUBSTITUTE(SUBSTITUTE(UPPER(TRIM(A1498)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498" s="17" t="str">
        <f aca="false">IF(COUNTIFS($N$2:$N$2000,N1498,$D$2:$D$2000,"&lt;&gt;"&amp;D1498)&gt;0,"CONFLICT","")</f>
        <v/>
      </c>
      <c r="P1498" s="7"/>
    </row>
    <row r="1499" customFormat="false" ht="15" hidden="false" customHeight="false" outlineLevel="0" collapsed="false">
      <c r="A1499" s="7" t="s">
        <v>2673</v>
      </c>
      <c r="B1499" s="7" t="s">
        <v>1882</v>
      </c>
      <c r="C1499" s="7" t="s">
        <v>1790</v>
      </c>
      <c r="D1499" s="6" t="s">
        <v>1790</v>
      </c>
      <c r="E1499" s="6" t="s">
        <v>1880</v>
      </c>
      <c r="F1499" s="7" t="str">
        <f aca="false">IF($D1499="","",IFERROR(IF(INDEX(Hierarchy!$B$2:$B$1295,MATCH($D1499,Hierarchy!$A$2:$A$1295,0))="","",INDEX(Hierarchy!$B$2:$B$1295,MATCH($D1499,Hierarchy!$A$2:$A$1295,0))),"NODE NOT FOUND"))</f>
        <v>Bucket</v>
      </c>
      <c r="G1499" s="7" t="str">
        <f aca="false">IF($D1499="","",IFERROR(IF(INDEX(Hierarchy!$D$2:$D$1295,MATCH($D1499,Hierarchy!$A$2:$A$1295,0))="","",INDEX(Hierarchy!$D$2:$D$1295,MATCH($D1499,Hierarchy!$A$2:$A$1295,0))),"NODE NOT FOUND"))</f>
        <v>Non-regional</v>
      </c>
      <c r="H1499" s="7" t="str">
        <f aca="false">IF($D1499="","",IFERROR(IF(INDEX(Hierarchy!$E$2:$E$1295,MATCH($D1499,Hierarchy!$A$2:$A$1295,0))="","",INDEX(Hierarchy!$E$2:$E$1295,MATCH($D1499,Hierarchy!$A$2:$A$1295,0))),"NODE NOT FOUND"))</f>
        <v/>
      </c>
      <c r="I1499" s="7" t="str">
        <f aca="false">IF($D1499="","",IFERROR(IF(INDEX(Hierarchy!$F$2:$F$1295,MATCH($D1499,Hierarchy!$A$2:$A$1295,0))="","",INDEX(Hierarchy!$F$2:$F$1295,MATCH($D1499,Hierarchy!$A$2:$A$1295,0))),"NODE NOT FOUND"))</f>
        <v/>
      </c>
      <c r="J1499" s="7" t="str">
        <f aca="false">IF($D1499="","",IFERROR(IF(INDEX(Hierarchy!$G$2:$G$1295,MATCH($D1499,Hierarchy!$A$2:$A$1295,0))="","",INDEX(Hierarchy!$G$2:$G$1295,MATCH($D1499,Hierarchy!$A$2:$A$1295,0))),"NODE NOT FOUND"))</f>
        <v/>
      </c>
      <c r="K1499" s="7" t="str">
        <f aca="false">IF($D1499="","",IFERROR(IF(INDEX(Hierarchy!$H$2:$H$1295,MATCH($D1499,Hierarchy!$A$2:$A$1295,0))="","",INDEX(Hierarchy!$H$2:$H$1295,MATCH($D1499,Hierarchy!$A$2:$A$1295,0))),"NODE NOT FOUND"))</f>
        <v/>
      </c>
      <c r="L1499" s="7" t="str">
        <f aca="false">IF($D1499="","",IFERROR(IF(INDEX(Hierarchy!$I$2:$I$1295,MATCH($D1499,Hierarchy!$A$2:$A$1295,0))="","",INDEX(Hierarchy!$I$2:$I$1295,MATCH($D1499,Hierarchy!$A$2:$A$1295,0))),"NODE NOT FOUND"))</f>
        <v/>
      </c>
      <c r="M1499" s="17" t="str">
        <f aca="false">IF(B1499="Pre-seeded","Pre-seeded",IF(B1499="Review 2026-09-16","Added from review",IF(C1499="","New",IF(C1499=D1499,"","Changed"))))</f>
        <v/>
      </c>
      <c r="N1499" s="7" t="str">
        <f aca="false">TRIM(SUBSTITUTE(SUBSTITUTE(SUBSTITUTE(" "&amp;TRIM(SUBSTITUTE(SUBSTITUTE(SUBSTITUTE(SUBSTITUTE(SUBSTITUTE(SUBSTITUTE(SUBSTITUTE(SUBSTITUTE(SUBSTITUTE(SUBSTITUTE(SUBSTITUTE(SUBSTITUTE(SUBSTITUTE(SUBSTITUTE(SUBSTITUTE(UPPER(TRIM(A1499)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499" s="17" t="str">
        <f aca="false">IF(COUNTIFS($N$2:$N$2000,N1499,$D$2:$D$2000,"&lt;&gt;"&amp;D1499)&gt;0,"CONFLICT","")</f>
        <v/>
      </c>
      <c r="P1499" s="7"/>
    </row>
    <row r="1500" customFormat="false" ht="15" hidden="false" customHeight="false" outlineLevel="0" collapsed="false">
      <c r="A1500" s="7" t="s">
        <v>2674</v>
      </c>
      <c r="B1500" s="7" t="s">
        <v>1882</v>
      </c>
      <c r="C1500" s="7" t="s">
        <v>1790</v>
      </c>
      <c r="D1500" s="6" t="s">
        <v>1790</v>
      </c>
      <c r="E1500" s="6" t="s">
        <v>1880</v>
      </c>
      <c r="F1500" s="7" t="str">
        <f aca="false">IF($D1500="","",IFERROR(IF(INDEX(Hierarchy!$B$2:$B$1295,MATCH($D1500,Hierarchy!$A$2:$A$1295,0))="","",INDEX(Hierarchy!$B$2:$B$1295,MATCH($D1500,Hierarchy!$A$2:$A$1295,0))),"NODE NOT FOUND"))</f>
        <v>Bucket</v>
      </c>
      <c r="G1500" s="7" t="str">
        <f aca="false">IF($D1500="","",IFERROR(IF(INDEX(Hierarchy!$D$2:$D$1295,MATCH($D1500,Hierarchy!$A$2:$A$1295,0))="","",INDEX(Hierarchy!$D$2:$D$1295,MATCH($D1500,Hierarchy!$A$2:$A$1295,0))),"NODE NOT FOUND"))</f>
        <v>Non-regional</v>
      </c>
      <c r="H1500" s="7" t="str">
        <f aca="false">IF($D1500="","",IFERROR(IF(INDEX(Hierarchy!$E$2:$E$1295,MATCH($D1500,Hierarchy!$A$2:$A$1295,0))="","",INDEX(Hierarchy!$E$2:$E$1295,MATCH($D1500,Hierarchy!$A$2:$A$1295,0))),"NODE NOT FOUND"))</f>
        <v/>
      </c>
      <c r="I1500" s="7" t="str">
        <f aca="false">IF($D1500="","",IFERROR(IF(INDEX(Hierarchy!$F$2:$F$1295,MATCH($D1500,Hierarchy!$A$2:$A$1295,0))="","",INDEX(Hierarchy!$F$2:$F$1295,MATCH($D1500,Hierarchy!$A$2:$A$1295,0))),"NODE NOT FOUND"))</f>
        <v/>
      </c>
      <c r="J1500" s="7" t="str">
        <f aca="false">IF($D1500="","",IFERROR(IF(INDEX(Hierarchy!$G$2:$G$1295,MATCH($D1500,Hierarchy!$A$2:$A$1295,0))="","",INDEX(Hierarchy!$G$2:$G$1295,MATCH($D1500,Hierarchy!$A$2:$A$1295,0))),"NODE NOT FOUND"))</f>
        <v/>
      </c>
      <c r="K1500" s="7" t="str">
        <f aca="false">IF($D1500="","",IFERROR(IF(INDEX(Hierarchy!$H$2:$H$1295,MATCH($D1500,Hierarchy!$A$2:$A$1295,0))="","",INDEX(Hierarchy!$H$2:$H$1295,MATCH($D1500,Hierarchy!$A$2:$A$1295,0))),"NODE NOT FOUND"))</f>
        <v/>
      </c>
      <c r="L1500" s="7" t="str">
        <f aca="false">IF($D1500="","",IFERROR(IF(INDEX(Hierarchy!$I$2:$I$1295,MATCH($D1500,Hierarchy!$A$2:$A$1295,0))="","",INDEX(Hierarchy!$I$2:$I$1295,MATCH($D1500,Hierarchy!$A$2:$A$1295,0))),"NODE NOT FOUND"))</f>
        <v/>
      </c>
      <c r="M1500" s="17" t="str">
        <f aca="false">IF(B1500="Pre-seeded","Pre-seeded",IF(B1500="Review 2026-09-16","Added from review",IF(C1500="","New",IF(C1500=D1500,"","Changed"))))</f>
        <v/>
      </c>
      <c r="N1500" s="7" t="str">
        <f aca="false">TRIM(SUBSTITUTE(SUBSTITUTE(SUBSTITUTE(" "&amp;TRIM(SUBSTITUTE(SUBSTITUTE(SUBSTITUTE(SUBSTITUTE(SUBSTITUTE(SUBSTITUTE(SUBSTITUTE(SUBSTITUTE(SUBSTITUTE(SUBSTITUTE(SUBSTITUTE(SUBSTITUTE(SUBSTITUTE(SUBSTITUTE(SUBSTITUTE(UPPER(TRIM(A1500)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500" s="17" t="str">
        <f aca="false">IF(COUNTIFS($N$2:$N$2000,N1500,$D$2:$D$2000,"&lt;&gt;"&amp;D1500)&gt;0,"CONFLICT","")</f>
        <v/>
      </c>
      <c r="P1500" s="7"/>
    </row>
    <row r="1501" customFormat="false" ht="15" hidden="false" customHeight="false" outlineLevel="0" collapsed="false">
      <c r="A1501" s="7" t="s">
        <v>2675</v>
      </c>
      <c r="B1501" s="7" t="s">
        <v>1882</v>
      </c>
      <c r="C1501" s="7" t="s">
        <v>1790</v>
      </c>
      <c r="D1501" s="6" t="s">
        <v>1790</v>
      </c>
      <c r="E1501" s="6" t="s">
        <v>1880</v>
      </c>
      <c r="F1501" s="7" t="str">
        <f aca="false">IF($D1501="","",IFERROR(IF(INDEX(Hierarchy!$B$2:$B$1295,MATCH($D1501,Hierarchy!$A$2:$A$1295,0))="","",INDEX(Hierarchy!$B$2:$B$1295,MATCH($D1501,Hierarchy!$A$2:$A$1295,0))),"NODE NOT FOUND"))</f>
        <v>Bucket</v>
      </c>
      <c r="G1501" s="7" t="str">
        <f aca="false">IF($D1501="","",IFERROR(IF(INDEX(Hierarchy!$D$2:$D$1295,MATCH($D1501,Hierarchy!$A$2:$A$1295,0))="","",INDEX(Hierarchy!$D$2:$D$1295,MATCH($D1501,Hierarchy!$A$2:$A$1295,0))),"NODE NOT FOUND"))</f>
        <v>Non-regional</v>
      </c>
      <c r="H1501" s="7" t="str">
        <f aca="false">IF($D1501="","",IFERROR(IF(INDEX(Hierarchy!$E$2:$E$1295,MATCH($D1501,Hierarchy!$A$2:$A$1295,0))="","",INDEX(Hierarchy!$E$2:$E$1295,MATCH($D1501,Hierarchy!$A$2:$A$1295,0))),"NODE NOT FOUND"))</f>
        <v/>
      </c>
      <c r="I1501" s="7" t="str">
        <f aca="false">IF($D1501="","",IFERROR(IF(INDEX(Hierarchy!$F$2:$F$1295,MATCH($D1501,Hierarchy!$A$2:$A$1295,0))="","",INDEX(Hierarchy!$F$2:$F$1295,MATCH($D1501,Hierarchy!$A$2:$A$1295,0))),"NODE NOT FOUND"))</f>
        <v/>
      </c>
      <c r="J1501" s="7" t="str">
        <f aca="false">IF($D1501="","",IFERROR(IF(INDEX(Hierarchy!$G$2:$G$1295,MATCH($D1501,Hierarchy!$A$2:$A$1295,0))="","",INDEX(Hierarchy!$G$2:$G$1295,MATCH($D1501,Hierarchy!$A$2:$A$1295,0))),"NODE NOT FOUND"))</f>
        <v/>
      </c>
      <c r="K1501" s="7" t="str">
        <f aca="false">IF($D1501="","",IFERROR(IF(INDEX(Hierarchy!$H$2:$H$1295,MATCH($D1501,Hierarchy!$A$2:$A$1295,0))="","",INDEX(Hierarchy!$H$2:$H$1295,MATCH($D1501,Hierarchy!$A$2:$A$1295,0))),"NODE NOT FOUND"))</f>
        <v/>
      </c>
      <c r="L1501" s="7" t="str">
        <f aca="false">IF($D1501="","",IFERROR(IF(INDEX(Hierarchy!$I$2:$I$1295,MATCH($D1501,Hierarchy!$A$2:$A$1295,0))="","",INDEX(Hierarchy!$I$2:$I$1295,MATCH($D1501,Hierarchy!$A$2:$A$1295,0))),"NODE NOT FOUND"))</f>
        <v/>
      </c>
      <c r="M1501" s="17" t="str">
        <f aca="false">IF(B1501="Pre-seeded","Pre-seeded",IF(B1501="Review 2026-09-16","Added from review",IF(C1501="","New",IF(C1501=D1501,"","Changed"))))</f>
        <v/>
      </c>
      <c r="N1501" s="7" t="str">
        <f aca="false">TRIM(SUBSTITUTE(SUBSTITUTE(SUBSTITUTE(" "&amp;TRIM(SUBSTITUTE(SUBSTITUTE(SUBSTITUTE(SUBSTITUTE(SUBSTITUTE(SUBSTITUTE(SUBSTITUTE(SUBSTITUTE(SUBSTITUTE(SUBSTITUTE(SUBSTITUTE(SUBSTITUTE(SUBSTITUTE(SUBSTITUTE(SUBSTITUTE(UPPER(TRIM(A1501)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501" s="17" t="str">
        <f aca="false">IF(COUNTIFS($N$2:$N$2000,N1501,$D$2:$D$2000,"&lt;&gt;"&amp;D1501)&gt;0,"CONFLICT","")</f>
        <v/>
      </c>
      <c r="P1501" s="7"/>
    </row>
    <row r="1502" customFormat="false" ht="15" hidden="false" customHeight="false" outlineLevel="0" collapsed="false">
      <c r="A1502" s="7" t="s">
        <v>2676</v>
      </c>
      <c r="B1502" s="7" t="s">
        <v>1882</v>
      </c>
      <c r="C1502" s="7" t="s">
        <v>1790</v>
      </c>
      <c r="D1502" s="6" t="s">
        <v>1790</v>
      </c>
      <c r="E1502" s="6" t="s">
        <v>1880</v>
      </c>
      <c r="F1502" s="7" t="str">
        <f aca="false">IF($D1502="","",IFERROR(IF(INDEX(Hierarchy!$B$2:$B$1295,MATCH($D1502,Hierarchy!$A$2:$A$1295,0))="","",INDEX(Hierarchy!$B$2:$B$1295,MATCH($D1502,Hierarchy!$A$2:$A$1295,0))),"NODE NOT FOUND"))</f>
        <v>Bucket</v>
      </c>
      <c r="G1502" s="7" t="str">
        <f aca="false">IF($D1502="","",IFERROR(IF(INDEX(Hierarchy!$D$2:$D$1295,MATCH($D1502,Hierarchy!$A$2:$A$1295,0))="","",INDEX(Hierarchy!$D$2:$D$1295,MATCH($D1502,Hierarchy!$A$2:$A$1295,0))),"NODE NOT FOUND"))</f>
        <v>Non-regional</v>
      </c>
      <c r="H1502" s="7" t="str">
        <f aca="false">IF($D1502="","",IFERROR(IF(INDEX(Hierarchy!$E$2:$E$1295,MATCH($D1502,Hierarchy!$A$2:$A$1295,0))="","",INDEX(Hierarchy!$E$2:$E$1295,MATCH($D1502,Hierarchy!$A$2:$A$1295,0))),"NODE NOT FOUND"))</f>
        <v/>
      </c>
      <c r="I1502" s="7" t="str">
        <f aca="false">IF($D1502="","",IFERROR(IF(INDEX(Hierarchy!$F$2:$F$1295,MATCH($D1502,Hierarchy!$A$2:$A$1295,0))="","",INDEX(Hierarchy!$F$2:$F$1295,MATCH($D1502,Hierarchy!$A$2:$A$1295,0))),"NODE NOT FOUND"))</f>
        <v/>
      </c>
      <c r="J1502" s="7" t="str">
        <f aca="false">IF($D1502="","",IFERROR(IF(INDEX(Hierarchy!$G$2:$G$1295,MATCH($D1502,Hierarchy!$A$2:$A$1295,0))="","",INDEX(Hierarchy!$G$2:$G$1295,MATCH($D1502,Hierarchy!$A$2:$A$1295,0))),"NODE NOT FOUND"))</f>
        <v/>
      </c>
      <c r="K1502" s="7" t="str">
        <f aca="false">IF($D1502="","",IFERROR(IF(INDEX(Hierarchy!$H$2:$H$1295,MATCH($D1502,Hierarchy!$A$2:$A$1295,0))="","",INDEX(Hierarchy!$H$2:$H$1295,MATCH($D1502,Hierarchy!$A$2:$A$1295,0))),"NODE NOT FOUND"))</f>
        <v/>
      </c>
      <c r="L1502" s="7" t="str">
        <f aca="false">IF($D1502="","",IFERROR(IF(INDEX(Hierarchy!$I$2:$I$1295,MATCH($D1502,Hierarchy!$A$2:$A$1295,0))="","",INDEX(Hierarchy!$I$2:$I$1295,MATCH($D1502,Hierarchy!$A$2:$A$1295,0))),"NODE NOT FOUND"))</f>
        <v/>
      </c>
      <c r="M1502" s="17" t="str">
        <f aca="false">IF(B1502="Pre-seeded","Pre-seeded",IF(B1502="Review 2026-09-16","Added from review",IF(C1502="","New",IF(C1502=D1502,"","Changed"))))</f>
        <v/>
      </c>
      <c r="N1502" s="7" t="str">
        <f aca="false">TRIM(SUBSTITUTE(SUBSTITUTE(SUBSTITUTE(" "&amp;TRIM(SUBSTITUTE(SUBSTITUTE(SUBSTITUTE(SUBSTITUTE(SUBSTITUTE(SUBSTITUTE(SUBSTITUTE(SUBSTITUTE(SUBSTITUTE(SUBSTITUTE(SUBSTITUTE(SUBSTITUTE(SUBSTITUTE(SUBSTITUTE(SUBSTITUTE(UPPER(TRIM(A1502)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502" s="17" t="str">
        <f aca="false">IF(COUNTIFS($N$2:$N$2000,N1502,$D$2:$D$2000,"&lt;&gt;"&amp;D1502)&gt;0,"CONFLICT","")</f>
        <v/>
      </c>
      <c r="P1502" s="7"/>
    </row>
    <row r="1503" customFormat="false" ht="15" hidden="false" customHeight="false" outlineLevel="0" collapsed="false">
      <c r="A1503" s="7" t="s">
        <v>2677</v>
      </c>
      <c r="B1503" s="7" t="s">
        <v>1882</v>
      </c>
      <c r="C1503" s="7" t="s">
        <v>1790</v>
      </c>
      <c r="D1503" s="6" t="s">
        <v>1790</v>
      </c>
      <c r="E1503" s="6" t="s">
        <v>1880</v>
      </c>
      <c r="F1503" s="7" t="str">
        <f aca="false">IF($D1503="","",IFERROR(IF(INDEX(Hierarchy!$B$2:$B$1295,MATCH($D1503,Hierarchy!$A$2:$A$1295,0))="","",INDEX(Hierarchy!$B$2:$B$1295,MATCH($D1503,Hierarchy!$A$2:$A$1295,0))),"NODE NOT FOUND"))</f>
        <v>Bucket</v>
      </c>
      <c r="G1503" s="7" t="str">
        <f aca="false">IF($D1503="","",IFERROR(IF(INDEX(Hierarchy!$D$2:$D$1295,MATCH($D1503,Hierarchy!$A$2:$A$1295,0))="","",INDEX(Hierarchy!$D$2:$D$1295,MATCH($D1503,Hierarchy!$A$2:$A$1295,0))),"NODE NOT FOUND"))</f>
        <v>Non-regional</v>
      </c>
      <c r="H1503" s="7" t="str">
        <f aca="false">IF($D1503="","",IFERROR(IF(INDEX(Hierarchy!$E$2:$E$1295,MATCH($D1503,Hierarchy!$A$2:$A$1295,0))="","",INDEX(Hierarchy!$E$2:$E$1295,MATCH($D1503,Hierarchy!$A$2:$A$1295,0))),"NODE NOT FOUND"))</f>
        <v/>
      </c>
      <c r="I1503" s="7" t="str">
        <f aca="false">IF($D1503="","",IFERROR(IF(INDEX(Hierarchy!$F$2:$F$1295,MATCH($D1503,Hierarchy!$A$2:$A$1295,0))="","",INDEX(Hierarchy!$F$2:$F$1295,MATCH($D1503,Hierarchy!$A$2:$A$1295,0))),"NODE NOT FOUND"))</f>
        <v/>
      </c>
      <c r="J1503" s="7" t="str">
        <f aca="false">IF($D1503="","",IFERROR(IF(INDEX(Hierarchy!$G$2:$G$1295,MATCH($D1503,Hierarchy!$A$2:$A$1295,0))="","",INDEX(Hierarchy!$G$2:$G$1295,MATCH($D1503,Hierarchy!$A$2:$A$1295,0))),"NODE NOT FOUND"))</f>
        <v/>
      </c>
      <c r="K1503" s="7" t="str">
        <f aca="false">IF($D1503="","",IFERROR(IF(INDEX(Hierarchy!$H$2:$H$1295,MATCH($D1503,Hierarchy!$A$2:$A$1295,0))="","",INDEX(Hierarchy!$H$2:$H$1295,MATCH($D1503,Hierarchy!$A$2:$A$1295,0))),"NODE NOT FOUND"))</f>
        <v/>
      </c>
      <c r="L1503" s="7" t="str">
        <f aca="false">IF($D1503="","",IFERROR(IF(INDEX(Hierarchy!$I$2:$I$1295,MATCH($D1503,Hierarchy!$A$2:$A$1295,0))="","",INDEX(Hierarchy!$I$2:$I$1295,MATCH($D1503,Hierarchy!$A$2:$A$1295,0))),"NODE NOT FOUND"))</f>
        <v/>
      </c>
      <c r="M1503" s="17" t="str">
        <f aca="false">IF(B1503="Pre-seeded","Pre-seeded",IF(B1503="Review 2026-09-16","Added from review",IF(C1503="","New",IF(C1503=D1503,"","Changed"))))</f>
        <v/>
      </c>
      <c r="N1503" s="7" t="str">
        <f aca="false">TRIM(SUBSTITUTE(SUBSTITUTE(SUBSTITUTE(" "&amp;TRIM(SUBSTITUTE(SUBSTITUTE(SUBSTITUTE(SUBSTITUTE(SUBSTITUTE(SUBSTITUTE(SUBSTITUTE(SUBSTITUTE(SUBSTITUTE(SUBSTITUTE(SUBSTITUTE(SUBSTITUTE(SUBSTITUTE(SUBSTITUTE(SUBSTITUTE(UPPER(TRIM(A1503)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503" s="17" t="str">
        <f aca="false">IF(COUNTIFS($N$2:$N$2000,N1503,$D$2:$D$2000,"&lt;&gt;"&amp;D1503)&gt;0,"CONFLICT","")</f>
        <v/>
      </c>
      <c r="P1503" s="7"/>
    </row>
    <row r="1504" customFormat="false" ht="15" hidden="false" customHeight="false" outlineLevel="0" collapsed="false">
      <c r="A1504" s="7" t="s">
        <v>1790</v>
      </c>
      <c r="B1504" s="7" t="s">
        <v>1954</v>
      </c>
      <c r="C1504" s="7"/>
      <c r="D1504" s="6" t="s">
        <v>1790</v>
      </c>
      <c r="E1504" s="6" t="s">
        <v>1880</v>
      </c>
      <c r="F1504" s="7" t="str">
        <f aca="false">IF($D1504="","",IFERROR(IF(INDEX(Hierarchy!$B$2:$B$1295,MATCH($D1504,Hierarchy!$A$2:$A$1295,0))="","",INDEX(Hierarchy!$B$2:$B$1295,MATCH($D1504,Hierarchy!$A$2:$A$1295,0))),"NODE NOT FOUND"))</f>
        <v>Bucket</v>
      </c>
      <c r="G1504" s="7" t="str">
        <f aca="false">IF($D1504="","",IFERROR(IF(INDEX(Hierarchy!$D$2:$D$1295,MATCH($D1504,Hierarchy!$A$2:$A$1295,0))="","",INDEX(Hierarchy!$D$2:$D$1295,MATCH($D1504,Hierarchy!$A$2:$A$1295,0))),"NODE NOT FOUND"))</f>
        <v>Non-regional</v>
      </c>
      <c r="H1504" s="7" t="str">
        <f aca="false">IF($D1504="","",IFERROR(IF(INDEX(Hierarchy!$E$2:$E$1295,MATCH($D1504,Hierarchy!$A$2:$A$1295,0))="","",INDEX(Hierarchy!$E$2:$E$1295,MATCH($D1504,Hierarchy!$A$2:$A$1295,0))),"NODE NOT FOUND"))</f>
        <v/>
      </c>
      <c r="I1504" s="7" t="str">
        <f aca="false">IF($D1504="","",IFERROR(IF(INDEX(Hierarchy!$F$2:$F$1295,MATCH($D1504,Hierarchy!$A$2:$A$1295,0))="","",INDEX(Hierarchy!$F$2:$F$1295,MATCH($D1504,Hierarchy!$A$2:$A$1295,0))),"NODE NOT FOUND"))</f>
        <v/>
      </c>
      <c r="J1504" s="7" t="str">
        <f aca="false">IF($D1504="","",IFERROR(IF(INDEX(Hierarchy!$G$2:$G$1295,MATCH($D1504,Hierarchy!$A$2:$A$1295,0))="","",INDEX(Hierarchy!$G$2:$G$1295,MATCH($D1504,Hierarchy!$A$2:$A$1295,0))),"NODE NOT FOUND"))</f>
        <v/>
      </c>
      <c r="K1504" s="7" t="str">
        <f aca="false">IF($D1504="","",IFERROR(IF(INDEX(Hierarchy!$H$2:$H$1295,MATCH($D1504,Hierarchy!$A$2:$A$1295,0))="","",INDEX(Hierarchy!$H$2:$H$1295,MATCH($D1504,Hierarchy!$A$2:$A$1295,0))),"NODE NOT FOUND"))</f>
        <v/>
      </c>
      <c r="L1504" s="7" t="str">
        <f aca="false">IF($D1504="","",IFERROR(IF(INDEX(Hierarchy!$I$2:$I$1295,MATCH($D1504,Hierarchy!$A$2:$A$1295,0))="","",INDEX(Hierarchy!$I$2:$I$1295,MATCH($D1504,Hierarchy!$A$2:$A$1295,0))),"NODE NOT FOUND"))</f>
        <v/>
      </c>
      <c r="M1504" s="17" t="str">
        <f aca="false">IF(B1504="Pre-seeded","Pre-seeded",IF(B1504="Review 2026-09-16","Added from review",IF(C1504="","New",IF(C1504=D1504,"","Changed"))))</f>
        <v>Added from review</v>
      </c>
      <c r="N1504" s="7" t="str">
        <f aca="false">TRIM(SUBSTITUTE(SUBSTITUTE(SUBSTITUTE(" "&amp;TRIM(SUBSTITUTE(SUBSTITUTE(SUBSTITUTE(SUBSTITUTE(SUBSTITUTE(SUBSTITUTE(SUBSTITUTE(SUBSTITUTE(SUBSTITUTE(SUBSTITUTE(SUBSTITUTE(SUBSTITUTE(SUBSTITUTE(SUBSTITUTE(SUBSTITUTE(UPPER(TRIM(A1504)),"[MEMBER]",""),"{MEMBER}",""),"[MEMBER}",""),"MEMBER]",""),"(A)",""),"""",""),"“",""),"”",""),".",""),":",""),",",""),"–"," "),"-"," "),"/"," "),"&amp;"," AND "))&amp;" "," THE "," ")," TOTAL "," ")," OPERATIONS "," "))</f>
        <v>REST OF WORLD (ROW)</v>
      </c>
      <c r="O1504" s="17" t="str">
        <f aca="false">IF(COUNTIFS($N$2:$N$2000,N1504,$D$2:$D$2000,"&lt;&gt;"&amp;D1504)&gt;0,"CONFLICT","")</f>
        <v/>
      </c>
      <c r="P1504" s="7" t="s">
        <v>1968</v>
      </c>
    </row>
    <row r="1505" customFormat="false" ht="15" hidden="false" customHeight="false" outlineLevel="0" collapsed="false">
      <c r="A1505" s="7" t="s">
        <v>2678</v>
      </c>
      <c r="B1505" s="7" t="s">
        <v>1882</v>
      </c>
      <c r="C1505" s="7" t="s">
        <v>1790</v>
      </c>
      <c r="D1505" s="6" t="s">
        <v>1790</v>
      </c>
      <c r="E1505" s="6" t="s">
        <v>1880</v>
      </c>
      <c r="F1505" s="7" t="str">
        <f aca="false">IF($D1505="","",IFERROR(IF(INDEX(Hierarchy!$B$2:$B$1295,MATCH($D1505,Hierarchy!$A$2:$A$1295,0))="","",INDEX(Hierarchy!$B$2:$B$1295,MATCH($D1505,Hierarchy!$A$2:$A$1295,0))),"NODE NOT FOUND"))</f>
        <v>Bucket</v>
      </c>
      <c r="G1505" s="7" t="str">
        <f aca="false">IF($D1505="","",IFERROR(IF(INDEX(Hierarchy!$D$2:$D$1295,MATCH($D1505,Hierarchy!$A$2:$A$1295,0))="","",INDEX(Hierarchy!$D$2:$D$1295,MATCH($D1505,Hierarchy!$A$2:$A$1295,0))),"NODE NOT FOUND"))</f>
        <v>Non-regional</v>
      </c>
      <c r="H1505" s="7" t="str">
        <f aca="false">IF($D1505="","",IFERROR(IF(INDEX(Hierarchy!$E$2:$E$1295,MATCH($D1505,Hierarchy!$A$2:$A$1295,0))="","",INDEX(Hierarchy!$E$2:$E$1295,MATCH($D1505,Hierarchy!$A$2:$A$1295,0))),"NODE NOT FOUND"))</f>
        <v/>
      </c>
      <c r="I1505" s="7" t="str">
        <f aca="false">IF($D1505="","",IFERROR(IF(INDEX(Hierarchy!$F$2:$F$1295,MATCH($D1505,Hierarchy!$A$2:$A$1295,0))="","",INDEX(Hierarchy!$F$2:$F$1295,MATCH($D1505,Hierarchy!$A$2:$A$1295,0))),"NODE NOT FOUND"))</f>
        <v/>
      </c>
      <c r="J1505" s="7" t="str">
        <f aca="false">IF($D1505="","",IFERROR(IF(INDEX(Hierarchy!$G$2:$G$1295,MATCH($D1505,Hierarchy!$A$2:$A$1295,0))="","",INDEX(Hierarchy!$G$2:$G$1295,MATCH($D1505,Hierarchy!$A$2:$A$1295,0))),"NODE NOT FOUND"))</f>
        <v/>
      </c>
      <c r="K1505" s="7" t="str">
        <f aca="false">IF($D1505="","",IFERROR(IF(INDEX(Hierarchy!$H$2:$H$1295,MATCH($D1505,Hierarchy!$A$2:$A$1295,0))="","",INDEX(Hierarchy!$H$2:$H$1295,MATCH($D1505,Hierarchy!$A$2:$A$1295,0))),"NODE NOT FOUND"))</f>
        <v/>
      </c>
      <c r="L1505" s="7" t="str">
        <f aca="false">IF($D1505="","",IFERROR(IF(INDEX(Hierarchy!$I$2:$I$1295,MATCH($D1505,Hierarchy!$A$2:$A$1295,0))="","",INDEX(Hierarchy!$I$2:$I$1295,MATCH($D1505,Hierarchy!$A$2:$A$1295,0))),"NODE NOT FOUND"))</f>
        <v/>
      </c>
      <c r="M1505" s="17" t="str">
        <f aca="false">IF(B1505="Pre-seeded","Pre-seeded",IF(B1505="Review 2026-09-16","Added from review",IF(C1505="","New",IF(C1505=D1505,"","Changed"))))</f>
        <v/>
      </c>
      <c r="N1505" s="7" t="str">
        <f aca="false">TRIM(SUBSTITUTE(SUBSTITUTE(SUBSTITUTE(" "&amp;TRIM(SUBSTITUTE(SUBSTITUTE(SUBSTITUTE(SUBSTITUTE(SUBSTITUTE(SUBSTITUTE(SUBSTITUTE(SUBSTITUTE(SUBSTITUTE(SUBSTITUTE(SUBSTITUTE(SUBSTITUTE(SUBSTITUTE(SUBSTITUTE(SUBSTITUTE(UPPER(TRIM(A1505)),"[MEMBER]",""),"{MEMBER}",""),"[MEMBER}",""),"MEMBER]",""),"(A)",""),"""",""),"“",""),"”",""),".",""),":",""),",",""),"–"," "),"-"," "),"/"," "),"&amp;"," AND "))&amp;" "," THE "," ")," TOTAL "," ")," OPERATIONS "," "))</f>
        <v>REST OF WORLD</v>
      </c>
      <c r="O1505" s="17" t="str">
        <f aca="false">IF(COUNTIFS($N$2:$N$2000,N1505,$D$2:$D$2000,"&lt;&gt;"&amp;D1505)&gt;0,"CONFLICT","")</f>
        <v/>
      </c>
      <c r="P1505" s="7"/>
    </row>
    <row r="1506" customFormat="false" ht="15" hidden="false" customHeight="false" outlineLevel="0" collapsed="false">
      <c r="A1506" s="7" t="s">
        <v>2679</v>
      </c>
      <c r="B1506" s="7" t="s">
        <v>1882</v>
      </c>
      <c r="C1506" s="7" t="s">
        <v>1790</v>
      </c>
      <c r="D1506" s="6" t="s">
        <v>1790</v>
      </c>
      <c r="E1506" s="6" t="s">
        <v>1880</v>
      </c>
      <c r="F1506" s="7" t="str">
        <f aca="false">IF($D1506="","",IFERROR(IF(INDEX(Hierarchy!$B$2:$B$1295,MATCH($D1506,Hierarchy!$A$2:$A$1295,0))="","",INDEX(Hierarchy!$B$2:$B$1295,MATCH($D1506,Hierarchy!$A$2:$A$1295,0))),"NODE NOT FOUND"))</f>
        <v>Bucket</v>
      </c>
      <c r="G1506" s="7" t="str">
        <f aca="false">IF($D1506="","",IFERROR(IF(INDEX(Hierarchy!$D$2:$D$1295,MATCH($D1506,Hierarchy!$A$2:$A$1295,0))="","",INDEX(Hierarchy!$D$2:$D$1295,MATCH($D1506,Hierarchy!$A$2:$A$1295,0))),"NODE NOT FOUND"))</f>
        <v>Non-regional</v>
      </c>
      <c r="H1506" s="7" t="str">
        <f aca="false">IF($D1506="","",IFERROR(IF(INDEX(Hierarchy!$E$2:$E$1295,MATCH($D1506,Hierarchy!$A$2:$A$1295,0))="","",INDEX(Hierarchy!$E$2:$E$1295,MATCH($D1506,Hierarchy!$A$2:$A$1295,0))),"NODE NOT FOUND"))</f>
        <v/>
      </c>
      <c r="I1506" s="7" t="str">
        <f aca="false">IF($D1506="","",IFERROR(IF(INDEX(Hierarchy!$F$2:$F$1295,MATCH($D1506,Hierarchy!$A$2:$A$1295,0))="","",INDEX(Hierarchy!$F$2:$F$1295,MATCH($D1506,Hierarchy!$A$2:$A$1295,0))),"NODE NOT FOUND"))</f>
        <v/>
      </c>
      <c r="J1506" s="7" t="str">
        <f aca="false">IF($D1506="","",IFERROR(IF(INDEX(Hierarchy!$G$2:$G$1295,MATCH($D1506,Hierarchy!$A$2:$A$1295,0))="","",INDEX(Hierarchy!$G$2:$G$1295,MATCH($D1506,Hierarchy!$A$2:$A$1295,0))),"NODE NOT FOUND"))</f>
        <v/>
      </c>
      <c r="K1506" s="7" t="str">
        <f aca="false">IF($D1506="","",IFERROR(IF(INDEX(Hierarchy!$H$2:$H$1295,MATCH($D1506,Hierarchy!$A$2:$A$1295,0))="","",INDEX(Hierarchy!$H$2:$H$1295,MATCH($D1506,Hierarchy!$A$2:$A$1295,0))),"NODE NOT FOUND"))</f>
        <v/>
      </c>
      <c r="L1506" s="7" t="str">
        <f aca="false">IF($D1506="","",IFERROR(IF(INDEX(Hierarchy!$I$2:$I$1295,MATCH($D1506,Hierarchy!$A$2:$A$1295,0))="","",INDEX(Hierarchy!$I$2:$I$1295,MATCH($D1506,Hierarchy!$A$2:$A$1295,0))),"NODE NOT FOUND"))</f>
        <v/>
      </c>
      <c r="M1506" s="17" t="str">
        <f aca="false">IF(B1506="Pre-seeded","Pre-seeded",IF(B1506="Review 2026-09-16","Added from review",IF(C1506="","New",IF(C1506=D1506,"","Changed"))))</f>
        <v/>
      </c>
      <c r="N1506" s="7" t="str">
        <f aca="false">TRIM(SUBSTITUTE(SUBSTITUTE(SUBSTITUTE(" "&amp;TRIM(SUBSTITUTE(SUBSTITUTE(SUBSTITUTE(SUBSTITUTE(SUBSTITUTE(SUBSTITUTE(SUBSTITUTE(SUBSTITUTE(SUBSTITUTE(SUBSTITUTE(SUBSTITUTE(SUBSTITUTE(SUBSTITUTE(SUBSTITUTE(SUBSTITUTE(UPPER(TRIM(A1506)),"[MEMBER]",""),"{MEMBER}",""),"[MEMBER}",""),"MEMBER]",""),"(A)",""),"""",""),"“",""),"”",""),".",""),":",""),",",""),"–"," "),"-"," "),"/"," "),"&amp;"," AND "))&amp;" "," THE "," ")," TOTAL "," ")," OPERATIONS "," "))</f>
        <v>REST OF WORLD</v>
      </c>
      <c r="O1506" s="17" t="str">
        <f aca="false">IF(COUNTIFS($N$2:$N$2000,N1506,$D$2:$D$2000,"&lt;&gt;"&amp;D1506)&gt;0,"CONFLICT","")</f>
        <v/>
      </c>
      <c r="P1506" s="7"/>
    </row>
    <row r="1507" customFormat="false" ht="15" hidden="false" customHeight="false" outlineLevel="0" collapsed="false">
      <c r="A1507" s="7" t="s">
        <v>2680</v>
      </c>
      <c r="B1507" s="7" t="s">
        <v>1879</v>
      </c>
      <c r="C1507" s="7"/>
      <c r="D1507" s="6" t="s">
        <v>1276</v>
      </c>
      <c r="E1507" s="6" t="s">
        <v>1880</v>
      </c>
      <c r="F1507" s="7" t="str">
        <f aca="false">IF($D1507="","",IFERROR(IF(INDEX(Hierarchy!$B$2:$B$1295,MATCH($D1507,Hierarchy!$A$2:$A$1295,0))="","",INDEX(Hierarchy!$B$2:$B$1295,MATCH($D1507,Hierarchy!$A$2:$A$1295,0))),"NODE NOT FOUND"))</f>
        <v>Country</v>
      </c>
      <c r="G1507" s="7" t="str">
        <f aca="false">IF($D1507="","",IFERROR(IF(INDEX(Hierarchy!$D$2:$D$1295,MATCH($D1507,Hierarchy!$A$2:$A$1295,0))="","",INDEX(Hierarchy!$D$2:$D$1295,MATCH($D1507,Hierarchy!$A$2:$A$1295,0))),"NODE NOT FOUND"))</f>
        <v>EMEA</v>
      </c>
      <c r="H1507" s="7" t="str">
        <f aca="false">IF($D1507="","",IFERROR(IF(INDEX(Hierarchy!$E$2:$E$1295,MATCH($D1507,Hierarchy!$A$2:$A$1295,0))="","",INDEX(Hierarchy!$E$2:$E$1295,MATCH($D1507,Hierarchy!$A$2:$A$1295,0))),"NODE NOT FOUND"))</f>
        <v>Africa</v>
      </c>
      <c r="I1507" s="7" t="str">
        <f aca="false">IF($D1507="","",IFERROR(IF(INDEX(Hierarchy!$F$2:$F$1295,MATCH($D1507,Hierarchy!$A$2:$A$1295,0))="","",INDEX(Hierarchy!$F$2:$F$1295,MATCH($D1507,Hierarchy!$A$2:$A$1295,0))),"NODE NOT FOUND"))</f>
        <v>Réunion</v>
      </c>
      <c r="J1507" s="7" t="str">
        <f aca="false">IF($D1507="","",IFERROR(IF(INDEX(Hierarchy!$G$2:$G$1295,MATCH($D1507,Hierarchy!$A$2:$A$1295,0))="","",INDEX(Hierarchy!$G$2:$G$1295,MATCH($D1507,Hierarchy!$A$2:$A$1295,0))),"NODE NOT FOUND"))</f>
        <v>REU</v>
      </c>
      <c r="K1507" s="7" t="str">
        <f aca="false">IF($D1507="","",IFERROR(IF(INDEX(Hierarchy!$H$2:$H$1295,MATCH($D1507,Hierarchy!$A$2:$A$1295,0))="","",INDEX(Hierarchy!$H$2:$H$1295,MATCH($D1507,Hierarchy!$A$2:$A$1295,0))),"NODE NOT FOUND"))</f>
        <v/>
      </c>
      <c r="L1507" s="7" t="str">
        <f aca="false">IF($D1507="","",IFERROR(IF(INDEX(Hierarchy!$I$2:$I$1295,MATCH($D1507,Hierarchy!$A$2:$A$1295,0))="","",INDEX(Hierarchy!$I$2:$I$1295,MATCH($D1507,Hierarchy!$A$2:$A$1295,0))),"NODE NOT FOUND"))</f>
        <v/>
      </c>
      <c r="M1507" s="17" t="str">
        <f aca="false">IF(B1507="Pre-seeded","Pre-seeded",IF(B1507="Review 2026-09-16","Added from review",IF(C1507="","New",IF(C1507=D1507,"","Changed"))))</f>
        <v>Pre-seeded</v>
      </c>
      <c r="N1507" s="7" t="str">
        <f aca="false">TRIM(SUBSTITUTE(SUBSTITUTE(SUBSTITUTE(" "&amp;TRIM(SUBSTITUTE(SUBSTITUTE(SUBSTITUTE(SUBSTITUTE(SUBSTITUTE(SUBSTITUTE(SUBSTITUTE(SUBSTITUTE(SUBSTITUTE(SUBSTITUTE(SUBSTITUTE(SUBSTITUTE(SUBSTITUTE(SUBSTITUTE(SUBSTITUTE(UPPER(TRIM(A1507)),"[MEMBER]",""),"{MEMBER}",""),"[MEMBER}",""),"MEMBER]",""),"(A)",""),"""",""),"“",""),"”",""),".",""),":",""),",",""),"–"," "),"-"," "),"/"," "),"&amp;"," AND "))&amp;" "," THE "," ")," TOTAL "," ")," OPERATIONS "," "))</f>
        <v>REUNION</v>
      </c>
      <c r="O1507" s="17" t="str">
        <f aca="false">IF(COUNTIFS($N$2:$N$2000,N1507,$D$2:$D$2000,"&lt;&gt;"&amp;D1507)&gt;0,"CONFLICT","")</f>
        <v/>
      </c>
      <c r="P1507" s="7"/>
    </row>
    <row r="1508" customFormat="false" ht="15" hidden="false" customHeight="false" outlineLevel="0" collapsed="false">
      <c r="A1508" s="7" t="s">
        <v>2681</v>
      </c>
      <c r="B1508" s="7" t="s">
        <v>1879</v>
      </c>
      <c r="C1508" s="7"/>
      <c r="D1508" s="6" t="s">
        <v>708</v>
      </c>
      <c r="E1508" s="6" t="s">
        <v>1880</v>
      </c>
      <c r="F1508" s="7" t="str">
        <f aca="false">IF($D1508="","",IFERROR(IF(INDEX(Hierarchy!$B$2:$B$1295,MATCH($D1508,Hierarchy!$A$2:$A$1295,0))="","",INDEX(Hierarchy!$B$2:$B$1295,MATCH($D1508,Hierarchy!$A$2:$A$1295,0))),"NODE NOT FOUND"))</f>
        <v>State/Province</v>
      </c>
      <c r="G1508" s="7" t="str">
        <f aca="false">IF($D1508="","",IFERROR(IF(INDEX(Hierarchy!$D$2:$D$1295,MATCH($D1508,Hierarchy!$A$2:$A$1295,0))="","",INDEX(Hierarchy!$D$2:$D$1295,MATCH($D1508,Hierarchy!$A$2:$A$1295,0))),"NODE NOT FOUND"))</f>
        <v>EMEA</v>
      </c>
      <c r="H1508" s="7" t="str">
        <f aca="false">IF($D1508="","",IFERROR(IF(INDEX(Hierarchy!$E$2:$E$1295,MATCH($D1508,Hierarchy!$A$2:$A$1295,0))="","",INDEX(Hierarchy!$E$2:$E$1295,MATCH($D1508,Hierarchy!$A$2:$A$1295,0))),"NODE NOT FOUND"))</f>
        <v>Europe</v>
      </c>
      <c r="I1508" s="7" t="str">
        <f aca="false">IF($D1508="","",IFERROR(IF(INDEX(Hierarchy!$F$2:$F$1295,MATCH($D1508,Hierarchy!$A$2:$A$1295,0))="","",INDEX(Hierarchy!$F$2:$F$1295,MATCH($D1508,Hierarchy!$A$2:$A$1295,0))),"NODE NOT FOUND"))</f>
        <v>Germany</v>
      </c>
      <c r="J1508" s="7" t="str">
        <f aca="false">IF($D1508="","",IFERROR(IF(INDEX(Hierarchy!$G$2:$G$1295,MATCH($D1508,Hierarchy!$A$2:$A$1295,0))="","",INDEX(Hierarchy!$G$2:$G$1295,MATCH($D1508,Hierarchy!$A$2:$A$1295,0))),"NODE NOT FOUND"))</f>
        <v>DEU</v>
      </c>
      <c r="K1508" s="7" t="str">
        <f aca="false">IF($D1508="","",IFERROR(IF(INDEX(Hierarchy!$H$2:$H$1295,MATCH($D1508,Hierarchy!$A$2:$A$1295,0))="","",INDEX(Hierarchy!$H$2:$H$1295,MATCH($D1508,Hierarchy!$A$2:$A$1295,0))),"NODE NOT FOUND"))</f>
        <v>Rhineland-Palatinate</v>
      </c>
      <c r="L1508" s="7" t="str">
        <f aca="false">IF($D1508="","",IFERROR(IF(INDEX(Hierarchy!$I$2:$I$1295,MATCH($D1508,Hierarchy!$A$2:$A$1295,0))="","",INDEX(Hierarchy!$I$2:$I$1295,MATCH($D1508,Hierarchy!$A$2:$A$1295,0))),"NODE NOT FOUND"))</f>
        <v/>
      </c>
      <c r="M1508" s="17" t="str">
        <f aca="false">IF(B1508="Pre-seeded","Pre-seeded",IF(B1508="Review 2026-09-16","Added from review",IF(C1508="","New",IF(C1508=D1508,"","Changed"))))</f>
        <v>Pre-seeded</v>
      </c>
      <c r="N1508" s="7" t="str">
        <f aca="false">TRIM(SUBSTITUTE(SUBSTITUTE(SUBSTITUTE(" "&amp;TRIM(SUBSTITUTE(SUBSTITUTE(SUBSTITUTE(SUBSTITUTE(SUBSTITUTE(SUBSTITUTE(SUBSTITUTE(SUBSTITUTE(SUBSTITUTE(SUBSTITUTE(SUBSTITUTE(SUBSTITUTE(SUBSTITUTE(SUBSTITUTE(SUBSTITUTE(UPPER(TRIM(A1508)),"[MEMBER]",""),"{MEMBER}",""),"[MEMBER}",""),"MEMBER]",""),"(A)",""),"""",""),"“",""),"”",""),".",""),":",""),",",""),"–"," "),"-"," "),"/"," "),"&amp;"," AND "))&amp;" "," THE "," ")," TOTAL "," ")," OPERATIONS "," "))</f>
        <v>RHEINLAND PFALZ</v>
      </c>
      <c r="O1508" s="17" t="str">
        <f aca="false">IF(COUNTIFS($N$2:$N$2000,N1508,$D$2:$D$2000,"&lt;&gt;"&amp;D1508)&gt;0,"CONFLICT","")</f>
        <v/>
      </c>
      <c r="P1508" s="7"/>
    </row>
    <row r="1509" customFormat="false" ht="15" hidden="false" customHeight="false" outlineLevel="0" collapsed="false">
      <c r="A1509" s="7" t="s">
        <v>708</v>
      </c>
      <c r="B1509" s="7" t="s">
        <v>1879</v>
      </c>
      <c r="C1509" s="7"/>
      <c r="D1509" s="6" t="s">
        <v>708</v>
      </c>
      <c r="E1509" s="6" t="s">
        <v>1880</v>
      </c>
      <c r="F1509" s="7" t="str">
        <f aca="false">IF($D1509="","",IFERROR(IF(INDEX(Hierarchy!$B$2:$B$1295,MATCH($D1509,Hierarchy!$A$2:$A$1295,0))="","",INDEX(Hierarchy!$B$2:$B$1295,MATCH($D1509,Hierarchy!$A$2:$A$1295,0))),"NODE NOT FOUND"))</f>
        <v>State/Province</v>
      </c>
      <c r="G1509" s="7" t="str">
        <f aca="false">IF($D1509="","",IFERROR(IF(INDEX(Hierarchy!$D$2:$D$1295,MATCH($D1509,Hierarchy!$A$2:$A$1295,0))="","",INDEX(Hierarchy!$D$2:$D$1295,MATCH($D1509,Hierarchy!$A$2:$A$1295,0))),"NODE NOT FOUND"))</f>
        <v>EMEA</v>
      </c>
      <c r="H1509" s="7" t="str">
        <f aca="false">IF($D1509="","",IFERROR(IF(INDEX(Hierarchy!$E$2:$E$1295,MATCH($D1509,Hierarchy!$A$2:$A$1295,0))="","",INDEX(Hierarchy!$E$2:$E$1295,MATCH($D1509,Hierarchy!$A$2:$A$1295,0))),"NODE NOT FOUND"))</f>
        <v>Europe</v>
      </c>
      <c r="I1509" s="7" t="str">
        <f aca="false">IF($D1509="","",IFERROR(IF(INDEX(Hierarchy!$F$2:$F$1295,MATCH($D1509,Hierarchy!$A$2:$A$1295,0))="","",INDEX(Hierarchy!$F$2:$F$1295,MATCH($D1509,Hierarchy!$A$2:$A$1295,0))),"NODE NOT FOUND"))</f>
        <v>Germany</v>
      </c>
      <c r="J1509" s="7" t="str">
        <f aca="false">IF($D1509="","",IFERROR(IF(INDEX(Hierarchy!$G$2:$G$1295,MATCH($D1509,Hierarchy!$A$2:$A$1295,0))="","",INDEX(Hierarchy!$G$2:$G$1295,MATCH($D1509,Hierarchy!$A$2:$A$1295,0))),"NODE NOT FOUND"))</f>
        <v>DEU</v>
      </c>
      <c r="K1509" s="7" t="str">
        <f aca="false">IF($D1509="","",IFERROR(IF(INDEX(Hierarchy!$H$2:$H$1295,MATCH($D1509,Hierarchy!$A$2:$A$1295,0))="","",INDEX(Hierarchy!$H$2:$H$1295,MATCH($D1509,Hierarchy!$A$2:$A$1295,0))),"NODE NOT FOUND"))</f>
        <v>Rhineland-Palatinate</v>
      </c>
      <c r="L1509" s="7" t="str">
        <f aca="false">IF($D1509="","",IFERROR(IF(INDEX(Hierarchy!$I$2:$I$1295,MATCH($D1509,Hierarchy!$A$2:$A$1295,0))="","",INDEX(Hierarchy!$I$2:$I$1295,MATCH($D1509,Hierarchy!$A$2:$A$1295,0))),"NODE NOT FOUND"))</f>
        <v/>
      </c>
      <c r="M1509" s="17" t="str">
        <f aca="false">IF(B1509="Pre-seeded","Pre-seeded",IF(B1509="Review 2026-09-16","Added from review",IF(C1509="","New",IF(C1509=D1509,"","Changed"))))</f>
        <v>Pre-seeded</v>
      </c>
      <c r="N1509" s="7" t="str">
        <f aca="false">TRIM(SUBSTITUTE(SUBSTITUTE(SUBSTITUTE(" "&amp;TRIM(SUBSTITUTE(SUBSTITUTE(SUBSTITUTE(SUBSTITUTE(SUBSTITUTE(SUBSTITUTE(SUBSTITUTE(SUBSTITUTE(SUBSTITUTE(SUBSTITUTE(SUBSTITUTE(SUBSTITUTE(SUBSTITUTE(SUBSTITUTE(SUBSTITUTE(UPPER(TRIM(A1509)),"[MEMBER]",""),"{MEMBER}",""),"[MEMBER}",""),"MEMBER]",""),"(A)",""),"""",""),"“",""),"”",""),".",""),":",""),",",""),"–"," "),"-"," "),"/"," "),"&amp;"," AND "))&amp;" "," THE "," ")," TOTAL "," ")," OPERATIONS "," "))</f>
        <v>RHINELAND PALATINATE</v>
      </c>
      <c r="O1509" s="17" t="str">
        <f aca="false">IF(COUNTIFS($N$2:$N$2000,N1509,$D$2:$D$2000,"&lt;&gt;"&amp;D1509)&gt;0,"CONFLICT","")</f>
        <v/>
      </c>
      <c r="P1509" s="7"/>
    </row>
    <row r="1510" customFormat="false" ht="15" hidden="false" customHeight="false" outlineLevel="0" collapsed="false">
      <c r="A1510" s="7" t="s">
        <v>239</v>
      </c>
      <c r="B1510" s="7" t="s">
        <v>1882</v>
      </c>
      <c r="C1510" s="7" t="s">
        <v>239</v>
      </c>
      <c r="D1510" s="6" t="s">
        <v>239</v>
      </c>
      <c r="E1510" s="6" t="s">
        <v>1880</v>
      </c>
      <c r="F1510" s="7" t="str">
        <f aca="false">IF($D1510="","",IFERROR(IF(INDEX(Hierarchy!$B$2:$B$1295,MATCH($D1510,Hierarchy!$A$2:$A$1295,0))="","",INDEX(Hierarchy!$B$2:$B$1295,MATCH($D1510,Hierarchy!$A$2:$A$1295,0))),"NODE NOT FOUND"))</f>
        <v>State/Province</v>
      </c>
      <c r="G1510" s="7" t="str">
        <f aca="false">IF($D1510="","",IFERROR(IF(INDEX(Hierarchy!$D$2:$D$1295,MATCH($D1510,Hierarchy!$A$2:$A$1295,0))="","",INDEX(Hierarchy!$D$2:$D$1295,MATCH($D1510,Hierarchy!$A$2:$A$1295,0))),"NODE NOT FOUND"))</f>
        <v>AMER</v>
      </c>
      <c r="H1510" s="7" t="str">
        <f aca="false">IF($D1510="","",IFERROR(IF(INDEX(Hierarchy!$E$2:$E$1295,MATCH($D1510,Hierarchy!$A$2:$A$1295,0))="","",INDEX(Hierarchy!$E$2:$E$1295,MATCH($D1510,Hierarchy!$A$2:$A$1295,0))),"NODE NOT FOUND"))</f>
        <v>North America (NORAM)</v>
      </c>
      <c r="I1510" s="7" t="str">
        <f aca="false">IF($D1510="","",IFERROR(IF(INDEX(Hierarchy!$F$2:$F$1295,MATCH($D1510,Hierarchy!$A$2:$A$1295,0))="","",INDEX(Hierarchy!$F$2:$F$1295,MATCH($D1510,Hierarchy!$A$2:$A$1295,0))),"NODE NOT FOUND"))</f>
        <v>United States</v>
      </c>
      <c r="J1510" s="7" t="str">
        <f aca="false">IF($D1510="","",IFERROR(IF(INDEX(Hierarchy!$G$2:$G$1295,MATCH($D1510,Hierarchy!$A$2:$A$1295,0))="","",INDEX(Hierarchy!$G$2:$G$1295,MATCH($D1510,Hierarchy!$A$2:$A$1295,0))),"NODE NOT FOUND"))</f>
        <v>USA</v>
      </c>
      <c r="K1510" s="7" t="str">
        <f aca="false">IF($D1510="","",IFERROR(IF(INDEX(Hierarchy!$H$2:$H$1295,MATCH($D1510,Hierarchy!$A$2:$A$1295,0))="","",INDEX(Hierarchy!$H$2:$H$1295,MATCH($D1510,Hierarchy!$A$2:$A$1295,0))),"NODE NOT FOUND"))</f>
        <v>Rhode Island</v>
      </c>
      <c r="L1510" s="7" t="str">
        <f aca="false">IF($D1510="","",IFERROR(IF(INDEX(Hierarchy!$I$2:$I$1295,MATCH($D1510,Hierarchy!$A$2:$A$1295,0))="","",INDEX(Hierarchy!$I$2:$I$1295,MATCH($D1510,Hierarchy!$A$2:$A$1295,0))),"NODE NOT FOUND"))</f>
        <v/>
      </c>
      <c r="M1510" s="17" t="str">
        <f aca="false">IF(B1510="Pre-seeded","Pre-seeded",IF(B1510="Review 2026-09-16","Added from review",IF(C1510="","New",IF(C1510=D1510,"","Changed"))))</f>
        <v/>
      </c>
      <c r="N1510" s="7" t="str">
        <f aca="false">TRIM(SUBSTITUTE(SUBSTITUTE(SUBSTITUTE(" "&amp;TRIM(SUBSTITUTE(SUBSTITUTE(SUBSTITUTE(SUBSTITUTE(SUBSTITUTE(SUBSTITUTE(SUBSTITUTE(SUBSTITUTE(SUBSTITUTE(SUBSTITUTE(SUBSTITUTE(SUBSTITUTE(SUBSTITUTE(SUBSTITUTE(SUBSTITUTE(UPPER(TRIM(A1510)),"[MEMBER]",""),"{MEMBER}",""),"[MEMBER}",""),"MEMBER]",""),"(A)",""),"""",""),"“",""),"”",""),".",""),":",""),",",""),"–"," "),"-"," "),"/"," "),"&amp;"," AND "))&amp;" "," THE "," ")," TOTAL "," ")," OPERATIONS "," "))</f>
        <v>RHODE ISLAND</v>
      </c>
      <c r="O1510" s="17" t="str">
        <f aca="false">IF(COUNTIFS($N$2:$N$2000,N1510,$D$2:$D$2000,"&lt;&gt;"&amp;D1510)&gt;0,"CONFLICT","")</f>
        <v/>
      </c>
      <c r="P1510" s="7"/>
    </row>
    <row r="1511" customFormat="false" ht="15" hidden="false" customHeight="false" outlineLevel="0" collapsed="false">
      <c r="A1511" s="7" t="s">
        <v>1615</v>
      </c>
      <c r="B1511" s="7" t="s">
        <v>1879</v>
      </c>
      <c r="C1511" s="7"/>
      <c r="D1511" s="6" t="s">
        <v>1615</v>
      </c>
      <c r="E1511" s="6" t="s">
        <v>1880</v>
      </c>
      <c r="F1511" s="7" t="str">
        <f aca="false">IF($D1511="","",IFERROR(IF(INDEX(Hierarchy!$B$2:$B$1295,MATCH($D1511,Hierarchy!$A$2:$A$1295,0))="","",INDEX(Hierarchy!$B$2:$B$1295,MATCH($D1511,Hierarchy!$A$2:$A$1295,0))),"NODE NOT FOUND"))</f>
        <v>State/Province</v>
      </c>
      <c r="G1511" s="7" t="str">
        <f aca="false">IF($D1511="","",IFERROR(IF(INDEX(Hierarchy!$D$2:$D$1295,MATCH($D1511,Hierarchy!$A$2:$A$1295,0))="","",INDEX(Hierarchy!$D$2:$D$1295,MATCH($D1511,Hierarchy!$A$2:$A$1295,0))),"NODE NOT FOUND"))</f>
        <v>APAC</v>
      </c>
      <c r="H1511" s="7" t="str">
        <f aca="false">IF($D1511="","",IFERROR(IF(INDEX(Hierarchy!$E$2:$E$1295,MATCH($D1511,Hierarchy!$A$2:$A$1295,0))="","",INDEX(Hierarchy!$E$2:$E$1295,MATCH($D1511,Hierarchy!$A$2:$A$1295,0))),"NODE NOT FOUND"))</f>
        <v>Southeast Asia (ASEAN)</v>
      </c>
      <c r="I1511" s="7" t="str">
        <f aca="false">IF($D1511="","",IFERROR(IF(INDEX(Hierarchy!$F$2:$F$1295,MATCH($D1511,Hierarchy!$A$2:$A$1295,0))="","",INDEX(Hierarchy!$F$2:$F$1295,MATCH($D1511,Hierarchy!$A$2:$A$1295,0))),"NODE NOT FOUND"))</f>
        <v>Indonesia</v>
      </c>
      <c r="J1511" s="7" t="str">
        <f aca="false">IF($D1511="","",IFERROR(IF(INDEX(Hierarchy!$G$2:$G$1295,MATCH($D1511,Hierarchy!$A$2:$A$1295,0))="","",INDEX(Hierarchy!$G$2:$G$1295,MATCH($D1511,Hierarchy!$A$2:$A$1295,0))),"NODE NOT FOUND"))</f>
        <v>IDN</v>
      </c>
      <c r="K1511" s="7" t="str">
        <f aca="false">IF($D1511="","",IFERROR(IF(INDEX(Hierarchy!$H$2:$H$1295,MATCH($D1511,Hierarchy!$A$2:$A$1295,0))="","",INDEX(Hierarchy!$H$2:$H$1295,MATCH($D1511,Hierarchy!$A$2:$A$1295,0))),"NODE NOT FOUND"))</f>
        <v>Riau</v>
      </c>
      <c r="L1511" s="7" t="str">
        <f aca="false">IF($D1511="","",IFERROR(IF(INDEX(Hierarchy!$I$2:$I$1295,MATCH($D1511,Hierarchy!$A$2:$A$1295,0))="","",INDEX(Hierarchy!$I$2:$I$1295,MATCH($D1511,Hierarchy!$A$2:$A$1295,0))),"NODE NOT FOUND"))</f>
        <v/>
      </c>
      <c r="M1511" s="17" t="str">
        <f aca="false">IF(B1511="Pre-seeded","Pre-seeded",IF(B1511="Review 2026-09-16","Added from review",IF(C1511="","New",IF(C1511=D1511,"","Changed"))))</f>
        <v>Pre-seeded</v>
      </c>
      <c r="N1511" s="7" t="str">
        <f aca="false">TRIM(SUBSTITUTE(SUBSTITUTE(SUBSTITUTE(" "&amp;TRIM(SUBSTITUTE(SUBSTITUTE(SUBSTITUTE(SUBSTITUTE(SUBSTITUTE(SUBSTITUTE(SUBSTITUTE(SUBSTITUTE(SUBSTITUTE(SUBSTITUTE(SUBSTITUTE(SUBSTITUTE(SUBSTITUTE(SUBSTITUTE(SUBSTITUTE(UPPER(TRIM(A1511)),"[MEMBER]",""),"{MEMBER}",""),"[MEMBER}",""),"MEMBER]",""),"(A)",""),"""",""),"“",""),"”",""),".",""),":",""),",",""),"–"," "),"-"," "),"/"," "),"&amp;"," AND "))&amp;" "," THE "," ")," TOTAL "," ")," OPERATIONS "," "))</f>
        <v>RIAU</v>
      </c>
      <c r="O1511" s="17" t="str">
        <f aca="false">IF(COUNTIFS($N$2:$N$2000,N1511,$D$2:$D$2000,"&lt;&gt;"&amp;D1511)&gt;0,"CONFLICT","")</f>
        <v/>
      </c>
      <c r="P1511" s="7"/>
    </row>
    <row r="1512" customFormat="false" ht="15" hidden="false" customHeight="false" outlineLevel="0" collapsed="false">
      <c r="A1512" s="7" t="s">
        <v>1616</v>
      </c>
      <c r="B1512" s="7" t="s">
        <v>1879</v>
      </c>
      <c r="C1512" s="7"/>
      <c r="D1512" s="6" t="s">
        <v>1616</v>
      </c>
      <c r="E1512" s="6" t="s">
        <v>1880</v>
      </c>
      <c r="F1512" s="7" t="str">
        <f aca="false">IF($D1512="","",IFERROR(IF(INDEX(Hierarchy!$B$2:$B$1295,MATCH($D1512,Hierarchy!$A$2:$A$1295,0))="","",INDEX(Hierarchy!$B$2:$B$1295,MATCH($D1512,Hierarchy!$A$2:$A$1295,0))),"NODE NOT FOUND"))</f>
        <v>State/Province</v>
      </c>
      <c r="G1512" s="7" t="str">
        <f aca="false">IF($D1512="","",IFERROR(IF(INDEX(Hierarchy!$D$2:$D$1295,MATCH($D1512,Hierarchy!$A$2:$A$1295,0))="","",INDEX(Hierarchy!$D$2:$D$1295,MATCH($D1512,Hierarchy!$A$2:$A$1295,0))),"NODE NOT FOUND"))</f>
        <v>APAC</v>
      </c>
      <c r="H1512" s="7" t="str">
        <f aca="false">IF($D1512="","",IFERROR(IF(INDEX(Hierarchy!$E$2:$E$1295,MATCH($D1512,Hierarchy!$A$2:$A$1295,0))="","",INDEX(Hierarchy!$E$2:$E$1295,MATCH($D1512,Hierarchy!$A$2:$A$1295,0))),"NODE NOT FOUND"))</f>
        <v>Southeast Asia (ASEAN)</v>
      </c>
      <c r="I1512" s="7" t="str">
        <f aca="false">IF($D1512="","",IFERROR(IF(INDEX(Hierarchy!$F$2:$F$1295,MATCH($D1512,Hierarchy!$A$2:$A$1295,0))="","",INDEX(Hierarchy!$F$2:$F$1295,MATCH($D1512,Hierarchy!$A$2:$A$1295,0))),"NODE NOT FOUND"))</f>
        <v>Indonesia</v>
      </c>
      <c r="J1512" s="7" t="str">
        <f aca="false">IF($D1512="","",IFERROR(IF(INDEX(Hierarchy!$G$2:$G$1295,MATCH($D1512,Hierarchy!$A$2:$A$1295,0))="","",INDEX(Hierarchy!$G$2:$G$1295,MATCH($D1512,Hierarchy!$A$2:$A$1295,0))),"NODE NOT FOUND"))</f>
        <v>IDN</v>
      </c>
      <c r="K1512" s="7" t="str">
        <f aca="false">IF($D1512="","",IFERROR(IF(INDEX(Hierarchy!$H$2:$H$1295,MATCH($D1512,Hierarchy!$A$2:$A$1295,0))="","",INDEX(Hierarchy!$H$2:$H$1295,MATCH($D1512,Hierarchy!$A$2:$A$1295,0))),"NODE NOT FOUND"))</f>
        <v>Riau Islands</v>
      </c>
      <c r="L1512" s="7" t="str">
        <f aca="false">IF($D1512="","",IFERROR(IF(INDEX(Hierarchy!$I$2:$I$1295,MATCH($D1512,Hierarchy!$A$2:$A$1295,0))="","",INDEX(Hierarchy!$I$2:$I$1295,MATCH($D1512,Hierarchy!$A$2:$A$1295,0))),"NODE NOT FOUND"))</f>
        <v/>
      </c>
      <c r="M1512" s="17" t="str">
        <f aca="false">IF(B1512="Pre-seeded","Pre-seeded",IF(B1512="Review 2026-09-16","Added from review",IF(C1512="","New",IF(C1512=D1512,"","Changed"))))</f>
        <v>Pre-seeded</v>
      </c>
      <c r="N1512" s="7" t="str">
        <f aca="false">TRIM(SUBSTITUTE(SUBSTITUTE(SUBSTITUTE(" "&amp;TRIM(SUBSTITUTE(SUBSTITUTE(SUBSTITUTE(SUBSTITUTE(SUBSTITUTE(SUBSTITUTE(SUBSTITUTE(SUBSTITUTE(SUBSTITUTE(SUBSTITUTE(SUBSTITUTE(SUBSTITUTE(SUBSTITUTE(SUBSTITUTE(SUBSTITUTE(UPPER(TRIM(A1512)),"[MEMBER]",""),"{MEMBER}",""),"[MEMBER}",""),"MEMBER]",""),"(A)",""),"""",""),"“",""),"”",""),".",""),":",""),",",""),"–"," "),"-"," "),"/"," "),"&amp;"," AND "))&amp;" "," THE "," ")," TOTAL "," ")," OPERATIONS "," "))</f>
        <v>RIAU ISLANDS</v>
      </c>
      <c r="O1512" s="17" t="str">
        <f aca="false">IF(COUNTIFS($N$2:$N$2000,N1512,$D$2:$D$2000,"&lt;&gt;"&amp;D1512)&gt;0,"CONFLICT","")</f>
        <v/>
      </c>
      <c r="P1512" s="7"/>
    </row>
    <row r="1513" customFormat="false" ht="15" hidden="false" customHeight="false" outlineLevel="0" collapsed="false">
      <c r="A1513" s="7" t="s">
        <v>367</v>
      </c>
      <c r="B1513" s="7" t="s">
        <v>1879</v>
      </c>
      <c r="C1513" s="7"/>
      <c r="D1513" s="6" t="s">
        <v>367</v>
      </c>
      <c r="E1513" s="6" t="s">
        <v>1880</v>
      </c>
      <c r="F1513" s="7" t="str">
        <f aca="false">IF($D1513="","",IFERROR(IF(INDEX(Hierarchy!$B$2:$B$1295,MATCH($D1513,Hierarchy!$A$2:$A$1295,0))="","",INDEX(Hierarchy!$B$2:$B$1295,MATCH($D1513,Hierarchy!$A$2:$A$1295,0))),"NODE NOT FOUND"))</f>
        <v>State/Province</v>
      </c>
      <c r="G1513" s="7" t="str">
        <f aca="false">IF($D1513="","",IFERROR(IF(INDEX(Hierarchy!$D$2:$D$1295,MATCH($D1513,Hierarchy!$A$2:$A$1295,0))="","",INDEX(Hierarchy!$D$2:$D$1295,MATCH($D1513,Hierarchy!$A$2:$A$1295,0))),"NODE NOT FOUND"))</f>
        <v>AMER</v>
      </c>
      <c r="H1513" s="7" t="str">
        <f aca="false">IF($D1513="","",IFERROR(IF(INDEX(Hierarchy!$E$2:$E$1295,MATCH($D1513,Hierarchy!$A$2:$A$1295,0))="","",INDEX(Hierarchy!$E$2:$E$1295,MATCH($D1513,Hierarchy!$A$2:$A$1295,0))),"NODE NOT FOUND"))</f>
        <v>Latin America (LATAM)</v>
      </c>
      <c r="I1513" s="7" t="str">
        <f aca="false">IF($D1513="","",IFERROR(IF(INDEX(Hierarchy!$F$2:$F$1295,MATCH($D1513,Hierarchy!$A$2:$A$1295,0))="","",INDEX(Hierarchy!$F$2:$F$1295,MATCH($D1513,Hierarchy!$A$2:$A$1295,0))),"NODE NOT FOUND"))</f>
        <v>Brazil</v>
      </c>
      <c r="J1513" s="7" t="str">
        <f aca="false">IF($D1513="","",IFERROR(IF(INDEX(Hierarchy!$G$2:$G$1295,MATCH($D1513,Hierarchy!$A$2:$A$1295,0))="","",INDEX(Hierarchy!$G$2:$G$1295,MATCH($D1513,Hierarchy!$A$2:$A$1295,0))),"NODE NOT FOUND"))</f>
        <v>BRA</v>
      </c>
      <c r="K1513" s="7" t="str">
        <f aca="false">IF($D1513="","",IFERROR(IF(INDEX(Hierarchy!$H$2:$H$1295,MATCH($D1513,Hierarchy!$A$2:$A$1295,0))="","",INDEX(Hierarchy!$H$2:$H$1295,MATCH($D1513,Hierarchy!$A$2:$A$1295,0))),"NODE NOT FOUND"))</f>
        <v>Rio de Janeiro</v>
      </c>
      <c r="L1513" s="7" t="str">
        <f aca="false">IF($D1513="","",IFERROR(IF(INDEX(Hierarchy!$I$2:$I$1295,MATCH($D1513,Hierarchy!$A$2:$A$1295,0))="","",INDEX(Hierarchy!$I$2:$I$1295,MATCH($D1513,Hierarchy!$A$2:$A$1295,0))),"NODE NOT FOUND"))</f>
        <v/>
      </c>
      <c r="M1513" s="17" t="str">
        <f aca="false">IF(B1513="Pre-seeded","Pre-seeded",IF(B1513="Review 2026-09-16","Added from review",IF(C1513="","New",IF(C1513=D1513,"","Changed"))))</f>
        <v>Pre-seeded</v>
      </c>
      <c r="N1513" s="7" t="str">
        <f aca="false">TRIM(SUBSTITUTE(SUBSTITUTE(SUBSTITUTE(" "&amp;TRIM(SUBSTITUTE(SUBSTITUTE(SUBSTITUTE(SUBSTITUTE(SUBSTITUTE(SUBSTITUTE(SUBSTITUTE(SUBSTITUTE(SUBSTITUTE(SUBSTITUTE(SUBSTITUTE(SUBSTITUTE(SUBSTITUTE(SUBSTITUTE(SUBSTITUTE(UPPER(TRIM(A1513)),"[MEMBER]",""),"{MEMBER}",""),"[MEMBER}",""),"MEMBER]",""),"(A)",""),"""",""),"“",""),"”",""),".",""),":",""),",",""),"–"," "),"-"," "),"/"," "),"&amp;"," AND "))&amp;" "," THE "," ")," TOTAL "," ")," OPERATIONS "," "))</f>
        <v>RIO DE JANEIRO</v>
      </c>
      <c r="O1513" s="17" t="str">
        <f aca="false">IF(COUNTIFS($N$2:$N$2000,N1513,$D$2:$D$2000,"&lt;&gt;"&amp;D1513)&gt;0,"CONFLICT","")</f>
        <v/>
      </c>
      <c r="P1513" s="7"/>
    </row>
    <row r="1514" customFormat="false" ht="15" hidden="false" customHeight="false" outlineLevel="0" collapsed="false">
      <c r="A1514" s="7" t="s">
        <v>365</v>
      </c>
      <c r="B1514" s="7" t="s">
        <v>1879</v>
      </c>
      <c r="C1514" s="7"/>
      <c r="D1514" s="6" t="s">
        <v>365</v>
      </c>
      <c r="E1514" s="6" t="s">
        <v>1880</v>
      </c>
      <c r="F1514" s="7" t="str">
        <f aca="false">IF($D1514="","",IFERROR(IF(INDEX(Hierarchy!$B$2:$B$1295,MATCH($D1514,Hierarchy!$A$2:$A$1295,0))="","",INDEX(Hierarchy!$B$2:$B$1295,MATCH($D1514,Hierarchy!$A$2:$A$1295,0))),"NODE NOT FOUND"))</f>
        <v>State/Province</v>
      </c>
      <c r="G1514" s="7" t="str">
        <f aca="false">IF($D1514="","",IFERROR(IF(INDEX(Hierarchy!$D$2:$D$1295,MATCH($D1514,Hierarchy!$A$2:$A$1295,0))="","",INDEX(Hierarchy!$D$2:$D$1295,MATCH($D1514,Hierarchy!$A$2:$A$1295,0))),"NODE NOT FOUND"))</f>
        <v>AMER</v>
      </c>
      <c r="H1514" s="7" t="str">
        <f aca="false">IF($D1514="","",IFERROR(IF(INDEX(Hierarchy!$E$2:$E$1295,MATCH($D1514,Hierarchy!$A$2:$A$1295,0))="","",INDEX(Hierarchy!$E$2:$E$1295,MATCH($D1514,Hierarchy!$A$2:$A$1295,0))),"NODE NOT FOUND"))</f>
        <v>Latin America (LATAM)</v>
      </c>
      <c r="I1514" s="7" t="str">
        <f aca="false">IF($D1514="","",IFERROR(IF(INDEX(Hierarchy!$F$2:$F$1295,MATCH($D1514,Hierarchy!$A$2:$A$1295,0))="","",INDEX(Hierarchy!$F$2:$F$1295,MATCH($D1514,Hierarchy!$A$2:$A$1295,0))),"NODE NOT FOUND"))</f>
        <v>Brazil</v>
      </c>
      <c r="J1514" s="7" t="str">
        <f aca="false">IF($D1514="","",IFERROR(IF(INDEX(Hierarchy!$G$2:$G$1295,MATCH($D1514,Hierarchy!$A$2:$A$1295,0))="","",INDEX(Hierarchy!$G$2:$G$1295,MATCH($D1514,Hierarchy!$A$2:$A$1295,0))),"NODE NOT FOUND"))</f>
        <v>BRA</v>
      </c>
      <c r="K1514" s="7" t="str">
        <f aca="false">IF($D1514="","",IFERROR(IF(INDEX(Hierarchy!$H$2:$H$1295,MATCH($D1514,Hierarchy!$A$2:$A$1295,0))="","",INDEX(Hierarchy!$H$2:$H$1295,MATCH($D1514,Hierarchy!$A$2:$A$1295,0))),"NODE NOT FOUND"))</f>
        <v>Rio Grande do Norte</v>
      </c>
      <c r="L1514" s="7" t="str">
        <f aca="false">IF($D1514="","",IFERROR(IF(INDEX(Hierarchy!$I$2:$I$1295,MATCH($D1514,Hierarchy!$A$2:$A$1295,0))="","",INDEX(Hierarchy!$I$2:$I$1295,MATCH($D1514,Hierarchy!$A$2:$A$1295,0))),"NODE NOT FOUND"))</f>
        <v/>
      </c>
      <c r="M1514" s="17" t="str">
        <f aca="false">IF(B1514="Pre-seeded","Pre-seeded",IF(B1514="Review 2026-09-16","Added from review",IF(C1514="","New",IF(C1514=D1514,"","Changed"))))</f>
        <v>Pre-seeded</v>
      </c>
      <c r="N1514" s="7" t="str">
        <f aca="false">TRIM(SUBSTITUTE(SUBSTITUTE(SUBSTITUTE(" "&amp;TRIM(SUBSTITUTE(SUBSTITUTE(SUBSTITUTE(SUBSTITUTE(SUBSTITUTE(SUBSTITUTE(SUBSTITUTE(SUBSTITUTE(SUBSTITUTE(SUBSTITUTE(SUBSTITUTE(SUBSTITUTE(SUBSTITUTE(SUBSTITUTE(SUBSTITUTE(UPPER(TRIM(A1514)),"[MEMBER]",""),"{MEMBER}",""),"[MEMBER}",""),"MEMBER]",""),"(A)",""),"""",""),"“",""),"”",""),".",""),":",""),",",""),"–"," "),"-"," "),"/"," "),"&amp;"," AND "))&amp;" "," THE "," ")," TOTAL "," ")," OPERATIONS "," "))</f>
        <v>RIO GRANDE DO NORTE</v>
      </c>
      <c r="O1514" s="17" t="str">
        <f aca="false">IF(COUNTIFS($N$2:$N$2000,N1514,$D$2:$D$2000,"&lt;&gt;"&amp;D1514)&gt;0,"CONFLICT","")</f>
        <v/>
      </c>
      <c r="P1514" s="7"/>
    </row>
    <row r="1515" customFormat="false" ht="15" hidden="false" customHeight="false" outlineLevel="0" collapsed="false">
      <c r="A1515" s="7" t="s">
        <v>366</v>
      </c>
      <c r="B1515" s="7" t="s">
        <v>1879</v>
      </c>
      <c r="C1515" s="7"/>
      <c r="D1515" s="6" t="s">
        <v>366</v>
      </c>
      <c r="E1515" s="6" t="s">
        <v>1880</v>
      </c>
      <c r="F1515" s="7" t="str">
        <f aca="false">IF($D1515="","",IFERROR(IF(INDEX(Hierarchy!$B$2:$B$1295,MATCH($D1515,Hierarchy!$A$2:$A$1295,0))="","",INDEX(Hierarchy!$B$2:$B$1295,MATCH($D1515,Hierarchy!$A$2:$A$1295,0))),"NODE NOT FOUND"))</f>
        <v>State/Province</v>
      </c>
      <c r="G1515" s="7" t="str">
        <f aca="false">IF($D1515="","",IFERROR(IF(INDEX(Hierarchy!$D$2:$D$1295,MATCH($D1515,Hierarchy!$A$2:$A$1295,0))="","",INDEX(Hierarchy!$D$2:$D$1295,MATCH($D1515,Hierarchy!$A$2:$A$1295,0))),"NODE NOT FOUND"))</f>
        <v>AMER</v>
      </c>
      <c r="H1515" s="7" t="str">
        <f aca="false">IF($D1515="","",IFERROR(IF(INDEX(Hierarchy!$E$2:$E$1295,MATCH($D1515,Hierarchy!$A$2:$A$1295,0))="","",INDEX(Hierarchy!$E$2:$E$1295,MATCH($D1515,Hierarchy!$A$2:$A$1295,0))),"NODE NOT FOUND"))</f>
        <v>Latin America (LATAM)</v>
      </c>
      <c r="I1515" s="7" t="str">
        <f aca="false">IF($D1515="","",IFERROR(IF(INDEX(Hierarchy!$F$2:$F$1295,MATCH($D1515,Hierarchy!$A$2:$A$1295,0))="","",INDEX(Hierarchy!$F$2:$F$1295,MATCH($D1515,Hierarchy!$A$2:$A$1295,0))),"NODE NOT FOUND"))</f>
        <v>Brazil</v>
      </c>
      <c r="J1515" s="7" t="str">
        <f aca="false">IF($D1515="","",IFERROR(IF(INDEX(Hierarchy!$G$2:$G$1295,MATCH($D1515,Hierarchy!$A$2:$A$1295,0))="","",INDEX(Hierarchy!$G$2:$G$1295,MATCH($D1515,Hierarchy!$A$2:$A$1295,0))),"NODE NOT FOUND"))</f>
        <v>BRA</v>
      </c>
      <c r="K1515" s="7" t="str">
        <f aca="false">IF($D1515="","",IFERROR(IF(INDEX(Hierarchy!$H$2:$H$1295,MATCH($D1515,Hierarchy!$A$2:$A$1295,0))="","",INDEX(Hierarchy!$H$2:$H$1295,MATCH($D1515,Hierarchy!$A$2:$A$1295,0))),"NODE NOT FOUND"))</f>
        <v>Rio Grande do Sul</v>
      </c>
      <c r="L1515" s="7" t="str">
        <f aca="false">IF($D1515="","",IFERROR(IF(INDEX(Hierarchy!$I$2:$I$1295,MATCH($D1515,Hierarchy!$A$2:$A$1295,0))="","",INDEX(Hierarchy!$I$2:$I$1295,MATCH($D1515,Hierarchy!$A$2:$A$1295,0))),"NODE NOT FOUND"))</f>
        <v/>
      </c>
      <c r="M1515" s="17" t="str">
        <f aca="false">IF(B1515="Pre-seeded","Pre-seeded",IF(B1515="Review 2026-09-16","Added from review",IF(C1515="","New",IF(C1515=D1515,"","Changed"))))</f>
        <v>Pre-seeded</v>
      </c>
      <c r="N1515" s="7" t="str">
        <f aca="false">TRIM(SUBSTITUTE(SUBSTITUTE(SUBSTITUTE(" "&amp;TRIM(SUBSTITUTE(SUBSTITUTE(SUBSTITUTE(SUBSTITUTE(SUBSTITUTE(SUBSTITUTE(SUBSTITUTE(SUBSTITUTE(SUBSTITUTE(SUBSTITUTE(SUBSTITUTE(SUBSTITUTE(SUBSTITUTE(SUBSTITUTE(SUBSTITUTE(UPPER(TRIM(A1515)),"[MEMBER]",""),"{MEMBER}",""),"[MEMBER}",""),"MEMBER]",""),"(A)",""),"""",""),"“",""),"”",""),".",""),":",""),",",""),"–"," "),"-"," "),"/"," "),"&amp;"," AND "))&amp;" "," THE "," ")," TOTAL "," ")," OPERATIONS "," "))</f>
        <v>RIO GRANDE DO SUL</v>
      </c>
      <c r="O1515" s="17" t="str">
        <f aca="false">IF(COUNTIFS($N$2:$N$2000,N1515,$D$2:$D$2000,"&lt;&gt;"&amp;D1515)&gt;0,"CONFLICT","")</f>
        <v/>
      </c>
      <c r="P1515" s="7"/>
    </row>
    <row r="1516" customFormat="false" ht="15" hidden="false" customHeight="false" outlineLevel="0" collapsed="false">
      <c r="A1516" s="7" t="s">
        <v>526</v>
      </c>
      <c r="B1516" s="7" t="s">
        <v>1879</v>
      </c>
      <c r="C1516" s="7"/>
      <c r="D1516" s="6" t="s">
        <v>526</v>
      </c>
      <c r="E1516" s="6" t="s">
        <v>1880</v>
      </c>
      <c r="F1516" s="7" t="str">
        <f aca="false">IF($D1516="","",IFERROR(IF(INDEX(Hierarchy!$B$2:$B$1295,MATCH($D1516,Hierarchy!$A$2:$A$1295,0))="","",INDEX(Hierarchy!$B$2:$B$1295,MATCH($D1516,Hierarchy!$A$2:$A$1295,0))),"NODE NOT FOUND"))</f>
        <v>State/Province</v>
      </c>
      <c r="G1516" s="7" t="str">
        <f aca="false">IF($D1516="","",IFERROR(IF(INDEX(Hierarchy!$D$2:$D$1295,MATCH($D1516,Hierarchy!$A$2:$A$1295,0))="","",INDEX(Hierarchy!$D$2:$D$1295,MATCH($D1516,Hierarchy!$A$2:$A$1295,0))),"NODE NOT FOUND"))</f>
        <v>AMER</v>
      </c>
      <c r="H1516" s="7" t="str">
        <f aca="false">IF($D1516="","",IFERROR(IF(INDEX(Hierarchy!$E$2:$E$1295,MATCH($D1516,Hierarchy!$A$2:$A$1295,0))="","",INDEX(Hierarchy!$E$2:$E$1295,MATCH($D1516,Hierarchy!$A$2:$A$1295,0))),"NODE NOT FOUND"))</f>
        <v>Latin America (LATAM)</v>
      </c>
      <c r="I1516" s="7" t="str">
        <f aca="false">IF($D1516="","",IFERROR(IF(INDEX(Hierarchy!$F$2:$F$1295,MATCH($D1516,Hierarchy!$A$2:$A$1295,0))="","",INDEX(Hierarchy!$F$2:$F$1295,MATCH($D1516,Hierarchy!$A$2:$A$1295,0))),"NODE NOT FOUND"))</f>
        <v>Colombia</v>
      </c>
      <c r="J1516" s="7" t="str">
        <f aca="false">IF($D1516="","",IFERROR(IF(INDEX(Hierarchy!$G$2:$G$1295,MATCH($D1516,Hierarchy!$A$2:$A$1295,0))="","",INDEX(Hierarchy!$G$2:$G$1295,MATCH($D1516,Hierarchy!$A$2:$A$1295,0))),"NODE NOT FOUND"))</f>
        <v>COL</v>
      </c>
      <c r="K1516" s="7" t="str">
        <f aca="false">IF($D1516="","",IFERROR(IF(INDEX(Hierarchy!$H$2:$H$1295,MATCH($D1516,Hierarchy!$A$2:$A$1295,0))="","",INDEX(Hierarchy!$H$2:$H$1295,MATCH($D1516,Hierarchy!$A$2:$A$1295,0))),"NODE NOT FOUND"))</f>
        <v>Risaralda</v>
      </c>
      <c r="L1516" s="7" t="str">
        <f aca="false">IF($D1516="","",IFERROR(IF(INDEX(Hierarchy!$I$2:$I$1295,MATCH($D1516,Hierarchy!$A$2:$A$1295,0))="","",INDEX(Hierarchy!$I$2:$I$1295,MATCH($D1516,Hierarchy!$A$2:$A$1295,0))),"NODE NOT FOUND"))</f>
        <v/>
      </c>
      <c r="M1516" s="17" t="str">
        <f aca="false">IF(B1516="Pre-seeded","Pre-seeded",IF(B1516="Review 2026-09-16","Added from review",IF(C1516="","New",IF(C1516=D1516,"","Changed"))))</f>
        <v>Pre-seeded</v>
      </c>
      <c r="N1516" s="7" t="str">
        <f aca="false">TRIM(SUBSTITUTE(SUBSTITUTE(SUBSTITUTE(" "&amp;TRIM(SUBSTITUTE(SUBSTITUTE(SUBSTITUTE(SUBSTITUTE(SUBSTITUTE(SUBSTITUTE(SUBSTITUTE(SUBSTITUTE(SUBSTITUTE(SUBSTITUTE(SUBSTITUTE(SUBSTITUTE(SUBSTITUTE(SUBSTITUTE(SUBSTITUTE(UPPER(TRIM(A1516)),"[MEMBER]",""),"{MEMBER}",""),"[MEMBER}",""),"MEMBER]",""),"(A)",""),"""",""),"“",""),"”",""),".",""),":",""),",",""),"–"," "),"-"," "),"/"," "),"&amp;"," AND "))&amp;" "," THE "," ")," TOTAL "," ")," OPERATIONS "," "))</f>
        <v>RISARALDA</v>
      </c>
      <c r="O1516" s="17" t="str">
        <f aca="false">IF(COUNTIFS($N$2:$N$2000,N1516,$D$2:$D$2000,"&lt;&gt;"&amp;D1516)&gt;0,"CONFLICT","")</f>
        <v/>
      </c>
      <c r="P1516" s="7"/>
    </row>
    <row r="1517" customFormat="false" ht="15" hidden="false" customHeight="false" outlineLevel="0" collapsed="false">
      <c r="A1517" s="7" t="s">
        <v>1165</v>
      </c>
      <c r="B1517" s="7" t="s">
        <v>1879</v>
      </c>
      <c r="C1517" s="7"/>
      <c r="D1517" s="6" t="s">
        <v>1165</v>
      </c>
      <c r="E1517" s="6" t="s">
        <v>1880</v>
      </c>
      <c r="F1517" s="7" t="str">
        <f aca="false">IF($D1517="","",IFERROR(IF(INDEX(Hierarchy!$B$2:$B$1295,MATCH($D1517,Hierarchy!$A$2:$A$1295,0))="","",INDEX(Hierarchy!$B$2:$B$1295,MATCH($D1517,Hierarchy!$A$2:$A$1295,0))),"NODE NOT FOUND"))</f>
        <v>State/Province</v>
      </c>
      <c r="G1517" s="7" t="str">
        <f aca="false">IF($D1517="","",IFERROR(IF(INDEX(Hierarchy!$D$2:$D$1295,MATCH($D1517,Hierarchy!$A$2:$A$1295,0))="","",INDEX(Hierarchy!$D$2:$D$1295,MATCH($D1517,Hierarchy!$A$2:$A$1295,0))),"NODE NOT FOUND"))</f>
        <v>EMEA</v>
      </c>
      <c r="H1517" s="7" t="str">
        <f aca="false">IF($D1517="","",IFERROR(IF(INDEX(Hierarchy!$E$2:$E$1295,MATCH($D1517,Hierarchy!$A$2:$A$1295,0))="","",INDEX(Hierarchy!$E$2:$E$1295,MATCH($D1517,Hierarchy!$A$2:$A$1295,0))),"NODE NOT FOUND"))</f>
        <v>Africa</v>
      </c>
      <c r="I1517" s="7" t="str">
        <f aca="false">IF($D1517="","",IFERROR(IF(INDEX(Hierarchy!$F$2:$F$1295,MATCH($D1517,Hierarchy!$A$2:$A$1295,0))="","",INDEX(Hierarchy!$F$2:$F$1295,MATCH($D1517,Hierarchy!$A$2:$A$1295,0))),"NODE NOT FOUND"))</f>
        <v>Nigeria</v>
      </c>
      <c r="J1517" s="7" t="str">
        <f aca="false">IF($D1517="","",IFERROR(IF(INDEX(Hierarchy!$G$2:$G$1295,MATCH($D1517,Hierarchy!$A$2:$A$1295,0))="","",INDEX(Hierarchy!$G$2:$G$1295,MATCH($D1517,Hierarchy!$A$2:$A$1295,0))),"NODE NOT FOUND"))</f>
        <v>NGA</v>
      </c>
      <c r="K1517" s="7" t="str">
        <f aca="false">IF($D1517="","",IFERROR(IF(INDEX(Hierarchy!$H$2:$H$1295,MATCH($D1517,Hierarchy!$A$2:$A$1295,0))="","",INDEX(Hierarchy!$H$2:$H$1295,MATCH($D1517,Hierarchy!$A$2:$A$1295,0))),"NODE NOT FOUND"))</f>
        <v>Rivers</v>
      </c>
      <c r="L1517" s="7" t="str">
        <f aca="false">IF($D1517="","",IFERROR(IF(INDEX(Hierarchy!$I$2:$I$1295,MATCH($D1517,Hierarchy!$A$2:$A$1295,0))="","",INDEX(Hierarchy!$I$2:$I$1295,MATCH($D1517,Hierarchy!$A$2:$A$1295,0))),"NODE NOT FOUND"))</f>
        <v/>
      </c>
      <c r="M1517" s="17" t="str">
        <f aca="false">IF(B1517="Pre-seeded","Pre-seeded",IF(B1517="Review 2026-09-16","Added from review",IF(C1517="","New",IF(C1517=D1517,"","Changed"))))</f>
        <v>Pre-seeded</v>
      </c>
      <c r="N1517" s="7" t="str">
        <f aca="false">TRIM(SUBSTITUTE(SUBSTITUTE(SUBSTITUTE(" "&amp;TRIM(SUBSTITUTE(SUBSTITUTE(SUBSTITUTE(SUBSTITUTE(SUBSTITUTE(SUBSTITUTE(SUBSTITUTE(SUBSTITUTE(SUBSTITUTE(SUBSTITUTE(SUBSTITUTE(SUBSTITUTE(SUBSTITUTE(SUBSTITUTE(SUBSTITUTE(UPPER(TRIM(A1517)),"[MEMBER]",""),"{MEMBER}",""),"[MEMBER}",""),"MEMBER]",""),"(A)",""),"""",""),"“",""),"”",""),".",""),":",""),",",""),"–"," "),"-"," "),"/"," "),"&amp;"," AND "))&amp;" "," THE "," ")," TOTAL "," ")," OPERATIONS "," "))</f>
        <v>RIVERS</v>
      </c>
      <c r="O1517" s="17" t="str">
        <f aca="false">IF(COUNTIFS($N$2:$N$2000,N1517,$D$2:$D$2000,"&lt;&gt;"&amp;D1517)&gt;0,"CONFLICT","")</f>
        <v/>
      </c>
      <c r="P1517" s="7"/>
    </row>
    <row r="1518" customFormat="false" ht="15" hidden="false" customHeight="false" outlineLevel="0" collapsed="false">
      <c r="A1518" s="7" t="s">
        <v>2682</v>
      </c>
      <c r="B1518" s="7" t="s">
        <v>1879</v>
      </c>
      <c r="C1518" s="7"/>
      <c r="D1518" s="6" t="s">
        <v>1061</v>
      </c>
      <c r="E1518" s="6" t="s">
        <v>1891</v>
      </c>
      <c r="F1518" s="7" t="str">
        <f aca="false">IF($D1518="","",IFERROR(IF(INDEX(Hierarchy!$B$2:$B$1295,MATCH($D1518,Hierarchy!$A$2:$A$1295,0))="","",INDEX(Hierarchy!$B$2:$B$1295,MATCH($D1518,Hierarchy!$A$2:$A$1295,0))),"NODE NOT FOUND"))</f>
        <v>State/Province</v>
      </c>
      <c r="G1518" s="7" t="str">
        <f aca="false">IF($D1518="","",IFERROR(IF(INDEX(Hierarchy!$D$2:$D$1295,MATCH($D1518,Hierarchy!$A$2:$A$1295,0))="","",INDEX(Hierarchy!$D$2:$D$1295,MATCH($D1518,Hierarchy!$A$2:$A$1295,0))),"NODE NOT FOUND"))</f>
        <v>EMEA</v>
      </c>
      <c r="H1518" s="7" t="str">
        <f aca="false">IF($D1518="","",IFERROR(IF(INDEX(Hierarchy!$E$2:$E$1295,MATCH($D1518,Hierarchy!$A$2:$A$1295,0))="","",INDEX(Hierarchy!$E$2:$E$1295,MATCH($D1518,Hierarchy!$A$2:$A$1295,0))),"NODE NOT FOUND"))</f>
        <v>Middle East</v>
      </c>
      <c r="I1518" s="7" t="str">
        <f aca="false">IF($D1518="","",IFERROR(IF(INDEX(Hierarchy!$F$2:$F$1295,MATCH($D1518,Hierarchy!$A$2:$A$1295,0))="","",INDEX(Hierarchy!$F$2:$F$1295,MATCH($D1518,Hierarchy!$A$2:$A$1295,0))),"NODE NOT FOUND"))</f>
        <v>Saudi Arabia</v>
      </c>
      <c r="J1518" s="7" t="str">
        <f aca="false">IF($D1518="","",IFERROR(IF(INDEX(Hierarchy!$G$2:$G$1295,MATCH($D1518,Hierarchy!$A$2:$A$1295,0))="","",INDEX(Hierarchy!$G$2:$G$1295,MATCH($D1518,Hierarchy!$A$2:$A$1295,0))),"NODE NOT FOUND"))</f>
        <v>SAU</v>
      </c>
      <c r="K1518" s="7" t="str">
        <f aca="false">IF($D1518="","",IFERROR(IF(INDEX(Hierarchy!$H$2:$H$1295,MATCH($D1518,Hierarchy!$A$2:$A$1295,0))="","",INDEX(Hierarchy!$H$2:$H$1295,MATCH($D1518,Hierarchy!$A$2:$A$1295,0))),"NODE NOT FOUND"))</f>
        <v>Riyadh Province</v>
      </c>
      <c r="L1518" s="7" t="str">
        <f aca="false">IF($D1518="","",IFERROR(IF(INDEX(Hierarchy!$I$2:$I$1295,MATCH($D1518,Hierarchy!$A$2:$A$1295,0))="","",INDEX(Hierarchy!$I$2:$I$1295,MATCH($D1518,Hierarchy!$A$2:$A$1295,0))),"NODE NOT FOUND"))</f>
        <v/>
      </c>
      <c r="M1518" s="17" t="str">
        <f aca="false">IF(B1518="Pre-seeded","Pre-seeded",IF(B1518="Review 2026-09-16","Added from review",IF(C1518="","New",IF(C1518=D1518,"","Changed"))))</f>
        <v>Pre-seeded</v>
      </c>
      <c r="N1518" s="7" t="str">
        <f aca="false">TRIM(SUBSTITUTE(SUBSTITUTE(SUBSTITUTE(" "&amp;TRIM(SUBSTITUTE(SUBSTITUTE(SUBSTITUTE(SUBSTITUTE(SUBSTITUTE(SUBSTITUTE(SUBSTITUTE(SUBSTITUTE(SUBSTITUTE(SUBSTITUTE(SUBSTITUTE(SUBSTITUTE(SUBSTITUTE(SUBSTITUTE(SUBSTITUTE(UPPER(TRIM(A1518)),"[MEMBER]",""),"{MEMBER}",""),"[MEMBER}",""),"MEMBER]",""),"(A)",""),"""",""),"“",""),"”",""),".",""),":",""),",",""),"–"," "),"-"," "),"/"," "),"&amp;"," AND "))&amp;" "," THE "," ")," TOTAL "," ")," OPERATIONS "," "))</f>
        <v>RIYADH</v>
      </c>
      <c r="O1518" s="17" t="str">
        <f aca="false">IF(COUNTIFS($N$2:$N$2000,N1518,$D$2:$D$2000,"&lt;&gt;"&amp;D1518)&gt;0,"CONFLICT","")</f>
        <v/>
      </c>
      <c r="P1518" s="7"/>
    </row>
    <row r="1519" customFormat="false" ht="15" hidden="false" customHeight="false" outlineLevel="0" collapsed="false">
      <c r="A1519" s="7" t="s">
        <v>1061</v>
      </c>
      <c r="B1519" s="7" t="s">
        <v>1879</v>
      </c>
      <c r="C1519" s="7"/>
      <c r="D1519" s="6" t="s">
        <v>1061</v>
      </c>
      <c r="E1519" s="6" t="s">
        <v>1880</v>
      </c>
      <c r="F1519" s="7" t="str">
        <f aca="false">IF($D1519="","",IFERROR(IF(INDEX(Hierarchy!$B$2:$B$1295,MATCH($D1519,Hierarchy!$A$2:$A$1295,0))="","",INDEX(Hierarchy!$B$2:$B$1295,MATCH($D1519,Hierarchy!$A$2:$A$1295,0))),"NODE NOT FOUND"))</f>
        <v>State/Province</v>
      </c>
      <c r="G1519" s="7" t="str">
        <f aca="false">IF($D1519="","",IFERROR(IF(INDEX(Hierarchy!$D$2:$D$1295,MATCH($D1519,Hierarchy!$A$2:$A$1295,0))="","",INDEX(Hierarchy!$D$2:$D$1295,MATCH($D1519,Hierarchy!$A$2:$A$1295,0))),"NODE NOT FOUND"))</f>
        <v>EMEA</v>
      </c>
      <c r="H1519" s="7" t="str">
        <f aca="false">IF($D1519="","",IFERROR(IF(INDEX(Hierarchy!$E$2:$E$1295,MATCH($D1519,Hierarchy!$A$2:$A$1295,0))="","",INDEX(Hierarchy!$E$2:$E$1295,MATCH($D1519,Hierarchy!$A$2:$A$1295,0))),"NODE NOT FOUND"))</f>
        <v>Middle East</v>
      </c>
      <c r="I1519" s="7" t="str">
        <f aca="false">IF($D1519="","",IFERROR(IF(INDEX(Hierarchy!$F$2:$F$1295,MATCH($D1519,Hierarchy!$A$2:$A$1295,0))="","",INDEX(Hierarchy!$F$2:$F$1295,MATCH($D1519,Hierarchy!$A$2:$A$1295,0))),"NODE NOT FOUND"))</f>
        <v>Saudi Arabia</v>
      </c>
      <c r="J1519" s="7" t="str">
        <f aca="false">IF($D1519="","",IFERROR(IF(INDEX(Hierarchy!$G$2:$G$1295,MATCH($D1519,Hierarchy!$A$2:$A$1295,0))="","",INDEX(Hierarchy!$G$2:$G$1295,MATCH($D1519,Hierarchy!$A$2:$A$1295,0))),"NODE NOT FOUND"))</f>
        <v>SAU</v>
      </c>
      <c r="K1519" s="7" t="str">
        <f aca="false">IF($D1519="","",IFERROR(IF(INDEX(Hierarchy!$H$2:$H$1295,MATCH($D1519,Hierarchy!$A$2:$A$1295,0))="","",INDEX(Hierarchy!$H$2:$H$1295,MATCH($D1519,Hierarchy!$A$2:$A$1295,0))),"NODE NOT FOUND"))</f>
        <v>Riyadh Province</v>
      </c>
      <c r="L1519" s="7" t="str">
        <f aca="false">IF($D1519="","",IFERROR(IF(INDEX(Hierarchy!$I$2:$I$1295,MATCH($D1519,Hierarchy!$A$2:$A$1295,0))="","",INDEX(Hierarchy!$I$2:$I$1295,MATCH($D1519,Hierarchy!$A$2:$A$1295,0))),"NODE NOT FOUND"))</f>
        <v/>
      </c>
      <c r="M1519" s="17" t="str">
        <f aca="false">IF(B1519="Pre-seeded","Pre-seeded",IF(B1519="Review 2026-09-16","Added from review",IF(C1519="","New",IF(C1519=D1519,"","Changed"))))</f>
        <v>Pre-seeded</v>
      </c>
      <c r="N1519" s="7" t="str">
        <f aca="false">TRIM(SUBSTITUTE(SUBSTITUTE(SUBSTITUTE(" "&amp;TRIM(SUBSTITUTE(SUBSTITUTE(SUBSTITUTE(SUBSTITUTE(SUBSTITUTE(SUBSTITUTE(SUBSTITUTE(SUBSTITUTE(SUBSTITUTE(SUBSTITUTE(SUBSTITUTE(SUBSTITUTE(SUBSTITUTE(SUBSTITUTE(SUBSTITUTE(UPPER(TRIM(A1519)),"[MEMBER]",""),"{MEMBER}",""),"[MEMBER}",""),"MEMBER]",""),"(A)",""),"""",""),"“",""),"”",""),".",""),":",""),",",""),"–"," "),"-"," "),"/"," "),"&amp;"," AND "))&amp;" "," THE "," ")," TOTAL "," ")," OPERATIONS "," "))</f>
        <v>RIYADH PROVINCE</v>
      </c>
      <c r="O1519" s="17" t="str">
        <f aca="false">IF(COUNTIFS($N$2:$N$2000,N1519,$D$2:$D$2000,"&lt;&gt;"&amp;D1519)&gt;0,"CONFLICT","")</f>
        <v/>
      </c>
      <c r="P1519" s="7"/>
    </row>
    <row r="1520" customFormat="false" ht="15" hidden="false" customHeight="false" outlineLevel="0" collapsed="false">
      <c r="A1520" s="7" t="s">
        <v>2683</v>
      </c>
      <c r="B1520" s="7" t="s">
        <v>1879</v>
      </c>
      <c r="C1520" s="7"/>
      <c r="D1520" s="6" t="s">
        <v>101</v>
      </c>
      <c r="E1520" s="6" t="s">
        <v>1880</v>
      </c>
      <c r="F1520" s="7" t="str">
        <f aca="false">IF($D1520="","",IFERROR(IF(INDEX(Hierarchy!$B$2:$B$1295,MATCH($D1520,Hierarchy!$A$2:$A$1295,0))="","",INDEX(Hierarchy!$B$2:$B$1295,MATCH($D1520,Hierarchy!$A$2:$A$1295,0))),"NODE NOT FOUND"))</f>
        <v>Sub-national region</v>
      </c>
      <c r="G1520" s="7" t="str">
        <f aca="false">IF($D1520="","",IFERROR(IF(INDEX(Hierarchy!$D$2:$D$1295,MATCH($D1520,Hierarchy!$A$2:$A$1295,0))="","",INDEX(Hierarchy!$D$2:$D$1295,MATCH($D1520,Hierarchy!$A$2:$A$1295,0))),"NODE NOT FOUND"))</f>
        <v>AMER</v>
      </c>
      <c r="H1520" s="7" t="str">
        <f aca="false">IF($D1520="","",IFERROR(IF(INDEX(Hierarchy!$E$2:$E$1295,MATCH($D1520,Hierarchy!$A$2:$A$1295,0))="","",INDEX(Hierarchy!$E$2:$E$1295,MATCH($D1520,Hierarchy!$A$2:$A$1295,0))),"NODE NOT FOUND"))</f>
        <v>North America (NORAM)</v>
      </c>
      <c r="I1520" s="7" t="str">
        <f aca="false">IF($D1520="","",IFERROR(IF(INDEX(Hierarchy!$F$2:$F$1295,MATCH($D1520,Hierarchy!$A$2:$A$1295,0))="","",INDEX(Hierarchy!$F$2:$F$1295,MATCH($D1520,Hierarchy!$A$2:$A$1295,0))),"NODE NOT FOUND"))</f>
        <v>United States</v>
      </c>
      <c r="J1520" s="7" t="str">
        <f aca="false">IF($D1520="","",IFERROR(IF(INDEX(Hierarchy!$G$2:$G$1295,MATCH($D1520,Hierarchy!$A$2:$A$1295,0))="","",INDEX(Hierarchy!$G$2:$G$1295,MATCH($D1520,Hierarchy!$A$2:$A$1295,0))),"NODE NOT FOUND"))</f>
        <v>USA</v>
      </c>
      <c r="K1520" s="7" t="str">
        <f aca="false">IF($D1520="","",IFERROR(IF(INDEX(Hierarchy!$H$2:$H$1295,MATCH($D1520,Hierarchy!$A$2:$A$1295,0))="","",INDEX(Hierarchy!$H$2:$H$1295,MATCH($D1520,Hierarchy!$A$2:$A$1295,0))),"NODE NOT FOUND"))</f>
        <v/>
      </c>
      <c r="L1520" s="7" t="str">
        <f aca="false">IF($D1520="","",IFERROR(IF(INDEX(Hierarchy!$I$2:$I$1295,MATCH($D1520,Hierarchy!$A$2:$A$1295,0))="","",INDEX(Hierarchy!$I$2:$I$1295,MATCH($D1520,Hierarchy!$A$2:$A$1295,0))),"NODE NOT FOUND"))</f>
        <v/>
      </c>
      <c r="M1520" s="17" t="str">
        <f aca="false">IF(B1520="Pre-seeded","Pre-seeded",IF(B1520="Review 2026-09-16","Added from review",IF(C1520="","New",IF(C1520=D1520,"","Changed"))))</f>
        <v>Pre-seeded</v>
      </c>
      <c r="N1520" s="7" t="str">
        <f aca="false">TRIM(SUBSTITUTE(SUBSTITUTE(SUBSTITUTE(" "&amp;TRIM(SUBSTITUTE(SUBSTITUTE(SUBSTITUTE(SUBSTITUTE(SUBSTITUTE(SUBSTITUTE(SUBSTITUTE(SUBSTITUTE(SUBSTITUTE(SUBSTITUTE(SUBSTITUTE(SUBSTITUTE(SUBSTITUTE(SUBSTITUTE(SUBSTITUTE(UPPER(TRIM(A1520)),"[MEMBER]",""),"{MEMBER}",""),"[MEMBER}",""),"MEMBER]",""),"(A)",""),"""",""),"“",""),"”",""),".",""),":",""),",",""),"–"," "),"-"," "),"/"," "),"&amp;"," AND "))&amp;" "," THE "," ")," TOTAL "," ")," OPERATIONS "," "))</f>
        <v>ROCKY MOUNTAIN</v>
      </c>
      <c r="O1520" s="17" t="str">
        <f aca="false">IF(COUNTIFS($N$2:$N$2000,N1520,$D$2:$D$2000,"&lt;&gt;"&amp;D1520)&gt;0,"CONFLICT","")</f>
        <v/>
      </c>
      <c r="P1520" s="7"/>
    </row>
    <row r="1521" customFormat="false" ht="15" hidden="false" customHeight="false" outlineLevel="0" collapsed="false">
      <c r="A1521" s="7" t="s">
        <v>930</v>
      </c>
      <c r="B1521" s="7" t="s">
        <v>1882</v>
      </c>
      <c r="C1521" s="7" t="s">
        <v>930</v>
      </c>
      <c r="D1521" s="6" t="s">
        <v>930</v>
      </c>
      <c r="E1521" s="6" t="s">
        <v>1880</v>
      </c>
      <c r="F1521" s="7" t="str">
        <f aca="false">IF($D1521="","",IFERROR(IF(INDEX(Hierarchy!$B$2:$B$1295,MATCH($D1521,Hierarchy!$A$2:$A$1295,0))="","",INDEX(Hierarchy!$B$2:$B$1295,MATCH($D1521,Hierarchy!$A$2:$A$1295,0))),"NODE NOT FOUND"))</f>
        <v>Country</v>
      </c>
      <c r="G1521" s="7" t="str">
        <f aca="false">IF($D1521="","",IFERROR(IF(INDEX(Hierarchy!$D$2:$D$1295,MATCH($D1521,Hierarchy!$A$2:$A$1295,0))="","",INDEX(Hierarchy!$D$2:$D$1295,MATCH($D1521,Hierarchy!$A$2:$A$1295,0))),"NODE NOT FOUND"))</f>
        <v>EMEA</v>
      </c>
      <c r="H1521" s="7" t="str">
        <f aca="false">IF($D1521="","",IFERROR(IF(INDEX(Hierarchy!$E$2:$E$1295,MATCH($D1521,Hierarchy!$A$2:$A$1295,0))="","",INDEX(Hierarchy!$E$2:$E$1295,MATCH($D1521,Hierarchy!$A$2:$A$1295,0))),"NODE NOT FOUND"))</f>
        <v>Europe</v>
      </c>
      <c r="I1521" s="7" t="str">
        <f aca="false">IF($D1521="","",IFERROR(IF(INDEX(Hierarchy!$F$2:$F$1295,MATCH($D1521,Hierarchy!$A$2:$A$1295,0))="","",INDEX(Hierarchy!$F$2:$F$1295,MATCH($D1521,Hierarchy!$A$2:$A$1295,0))),"NODE NOT FOUND"))</f>
        <v>Romania</v>
      </c>
      <c r="J1521" s="7" t="str">
        <f aca="false">IF($D1521="","",IFERROR(IF(INDEX(Hierarchy!$G$2:$G$1295,MATCH($D1521,Hierarchy!$A$2:$A$1295,0))="","",INDEX(Hierarchy!$G$2:$G$1295,MATCH($D1521,Hierarchy!$A$2:$A$1295,0))),"NODE NOT FOUND"))</f>
        <v>ROU</v>
      </c>
      <c r="K1521" s="7" t="str">
        <f aca="false">IF($D1521="","",IFERROR(IF(INDEX(Hierarchy!$H$2:$H$1295,MATCH($D1521,Hierarchy!$A$2:$A$1295,0))="","",INDEX(Hierarchy!$H$2:$H$1295,MATCH($D1521,Hierarchy!$A$2:$A$1295,0))),"NODE NOT FOUND"))</f>
        <v/>
      </c>
      <c r="L1521" s="7" t="str">
        <f aca="false">IF($D1521="","",IFERROR(IF(INDEX(Hierarchy!$I$2:$I$1295,MATCH($D1521,Hierarchy!$A$2:$A$1295,0))="","",INDEX(Hierarchy!$I$2:$I$1295,MATCH($D1521,Hierarchy!$A$2:$A$1295,0))),"NODE NOT FOUND"))</f>
        <v/>
      </c>
      <c r="M1521" s="17" t="str">
        <f aca="false">IF(B1521="Pre-seeded","Pre-seeded",IF(B1521="Review 2026-09-16","Added from review",IF(C1521="","New",IF(C1521=D1521,"","Changed"))))</f>
        <v/>
      </c>
      <c r="N1521" s="7" t="str">
        <f aca="false">TRIM(SUBSTITUTE(SUBSTITUTE(SUBSTITUTE(" "&amp;TRIM(SUBSTITUTE(SUBSTITUTE(SUBSTITUTE(SUBSTITUTE(SUBSTITUTE(SUBSTITUTE(SUBSTITUTE(SUBSTITUTE(SUBSTITUTE(SUBSTITUTE(SUBSTITUTE(SUBSTITUTE(SUBSTITUTE(SUBSTITUTE(SUBSTITUTE(UPPER(TRIM(A1521)),"[MEMBER]",""),"{MEMBER}",""),"[MEMBER}",""),"MEMBER]",""),"(A)",""),"""",""),"“",""),"”",""),".",""),":",""),",",""),"–"," "),"-"," "),"/"," "),"&amp;"," AND "))&amp;" "," THE "," ")," TOTAL "," ")," OPERATIONS "," "))</f>
        <v>ROMANIA</v>
      </c>
      <c r="O1521" s="17" t="str">
        <f aca="false">IF(COUNTIFS($N$2:$N$2000,N1521,$D$2:$D$2000,"&lt;&gt;"&amp;D1521)&gt;0,"CONFLICT","")</f>
        <v/>
      </c>
      <c r="P1521" s="7"/>
    </row>
    <row r="1522" customFormat="false" ht="15" hidden="false" customHeight="false" outlineLevel="0" collapsed="false">
      <c r="A1522" s="7" t="s">
        <v>369</v>
      </c>
      <c r="B1522" s="7" t="s">
        <v>1879</v>
      </c>
      <c r="C1522" s="7"/>
      <c r="D1522" s="6" t="s">
        <v>369</v>
      </c>
      <c r="E1522" s="6" t="s">
        <v>1880</v>
      </c>
      <c r="F1522" s="7" t="str">
        <f aca="false">IF($D1522="","",IFERROR(IF(INDEX(Hierarchy!$B$2:$B$1295,MATCH($D1522,Hierarchy!$A$2:$A$1295,0))="","",INDEX(Hierarchy!$B$2:$B$1295,MATCH($D1522,Hierarchy!$A$2:$A$1295,0))),"NODE NOT FOUND"))</f>
        <v>State/Province</v>
      </c>
      <c r="G1522" s="7" t="str">
        <f aca="false">IF($D1522="","",IFERROR(IF(INDEX(Hierarchy!$D$2:$D$1295,MATCH($D1522,Hierarchy!$A$2:$A$1295,0))="","",INDEX(Hierarchy!$D$2:$D$1295,MATCH($D1522,Hierarchy!$A$2:$A$1295,0))),"NODE NOT FOUND"))</f>
        <v>AMER</v>
      </c>
      <c r="H1522" s="7" t="str">
        <f aca="false">IF($D1522="","",IFERROR(IF(INDEX(Hierarchy!$E$2:$E$1295,MATCH($D1522,Hierarchy!$A$2:$A$1295,0))="","",INDEX(Hierarchy!$E$2:$E$1295,MATCH($D1522,Hierarchy!$A$2:$A$1295,0))),"NODE NOT FOUND"))</f>
        <v>Latin America (LATAM)</v>
      </c>
      <c r="I1522" s="7" t="str">
        <f aca="false">IF($D1522="","",IFERROR(IF(INDEX(Hierarchy!$F$2:$F$1295,MATCH($D1522,Hierarchy!$A$2:$A$1295,0))="","",INDEX(Hierarchy!$F$2:$F$1295,MATCH($D1522,Hierarchy!$A$2:$A$1295,0))),"NODE NOT FOUND"))</f>
        <v>Brazil</v>
      </c>
      <c r="J1522" s="7" t="str">
        <f aca="false">IF($D1522="","",IFERROR(IF(INDEX(Hierarchy!$G$2:$G$1295,MATCH($D1522,Hierarchy!$A$2:$A$1295,0))="","",INDEX(Hierarchy!$G$2:$G$1295,MATCH($D1522,Hierarchy!$A$2:$A$1295,0))),"NODE NOT FOUND"))</f>
        <v>BRA</v>
      </c>
      <c r="K1522" s="7" t="str">
        <f aca="false">IF($D1522="","",IFERROR(IF(INDEX(Hierarchy!$H$2:$H$1295,MATCH($D1522,Hierarchy!$A$2:$A$1295,0))="","",INDEX(Hierarchy!$H$2:$H$1295,MATCH($D1522,Hierarchy!$A$2:$A$1295,0))),"NODE NOT FOUND"))</f>
        <v>Rondônia</v>
      </c>
      <c r="L1522" s="7" t="str">
        <f aca="false">IF($D1522="","",IFERROR(IF(INDEX(Hierarchy!$I$2:$I$1295,MATCH($D1522,Hierarchy!$A$2:$A$1295,0))="","",INDEX(Hierarchy!$I$2:$I$1295,MATCH($D1522,Hierarchy!$A$2:$A$1295,0))),"NODE NOT FOUND"))</f>
        <v/>
      </c>
      <c r="M1522" s="17" t="str">
        <f aca="false">IF(B1522="Pre-seeded","Pre-seeded",IF(B1522="Review 2026-09-16","Added from review",IF(C1522="","New",IF(C1522=D1522,"","Changed"))))</f>
        <v>Pre-seeded</v>
      </c>
      <c r="N1522" s="7" t="str">
        <f aca="false">TRIM(SUBSTITUTE(SUBSTITUTE(SUBSTITUTE(" "&amp;TRIM(SUBSTITUTE(SUBSTITUTE(SUBSTITUTE(SUBSTITUTE(SUBSTITUTE(SUBSTITUTE(SUBSTITUTE(SUBSTITUTE(SUBSTITUTE(SUBSTITUTE(SUBSTITUTE(SUBSTITUTE(SUBSTITUTE(SUBSTITUTE(SUBSTITUTE(UPPER(TRIM(A1522)),"[MEMBER]",""),"{MEMBER}",""),"[MEMBER}",""),"MEMBER]",""),"(A)",""),"""",""),"“",""),"”",""),".",""),":",""),",",""),"–"," "),"-"," "),"/"," "),"&amp;"," AND "))&amp;" "," THE "," ")," TOTAL "," ")," OPERATIONS "," "))</f>
        <v>RONDÔNIA</v>
      </c>
      <c r="O1522" s="17" t="str">
        <f aca="false">IF(COUNTIFS($N$2:$N$2000,N1522,$D$2:$D$2000,"&lt;&gt;"&amp;D1522)&gt;0,"CONFLICT","")</f>
        <v/>
      </c>
      <c r="P1522" s="7"/>
    </row>
    <row r="1523" customFormat="false" ht="15" hidden="false" customHeight="false" outlineLevel="0" collapsed="false">
      <c r="A1523" s="7" t="s">
        <v>370</v>
      </c>
      <c r="B1523" s="7" t="s">
        <v>1879</v>
      </c>
      <c r="C1523" s="7"/>
      <c r="D1523" s="6" t="s">
        <v>370</v>
      </c>
      <c r="E1523" s="6" t="s">
        <v>1880</v>
      </c>
      <c r="F1523" s="7" t="str">
        <f aca="false">IF($D1523="","",IFERROR(IF(INDEX(Hierarchy!$B$2:$B$1295,MATCH($D1523,Hierarchy!$A$2:$A$1295,0))="","",INDEX(Hierarchy!$B$2:$B$1295,MATCH($D1523,Hierarchy!$A$2:$A$1295,0))),"NODE NOT FOUND"))</f>
        <v>State/Province</v>
      </c>
      <c r="G1523" s="7" t="str">
        <f aca="false">IF($D1523="","",IFERROR(IF(INDEX(Hierarchy!$D$2:$D$1295,MATCH($D1523,Hierarchy!$A$2:$A$1295,0))="","",INDEX(Hierarchy!$D$2:$D$1295,MATCH($D1523,Hierarchy!$A$2:$A$1295,0))),"NODE NOT FOUND"))</f>
        <v>AMER</v>
      </c>
      <c r="H1523" s="7" t="str">
        <f aca="false">IF($D1523="","",IFERROR(IF(INDEX(Hierarchy!$E$2:$E$1295,MATCH($D1523,Hierarchy!$A$2:$A$1295,0))="","",INDEX(Hierarchy!$E$2:$E$1295,MATCH($D1523,Hierarchy!$A$2:$A$1295,0))),"NODE NOT FOUND"))</f>
        <v>Latin America (LATAM)</v>
      </c>
      <c r="I1523" s="7" t="str">
        <f aca="false">IF($D1523="","",IFERROR(IF(INDEX(Hierarchy!$F$2:$F$1295,MATCH($D1523,Hierarchy!$A$2:$A$1295,0))="","",INDEX(Hierarchy!$F$2:$F$1295,MATCH($D1523,Hierarchy!$A$2:$A$1295,0))),"NODE NOT FOUND"))</f>
        <v>Brazil</v>
      </c>
      <c r="J1523" s="7" t="str">
        <f aca="false">IF($D1523="","",IFERROR(IF(INDEX(Hierarchy!$G$2:$G$1295,MATCH($D1523,Hierarchy!$A$2:$A$1295,0))="","",INDEX(Hierarchy!$G$2:$G$1295,MATCH($D1523,Hierarchy!$A$2:$A$1295,0))),"NODE NOT FOUND"))</f>
        <v>BRA</v>
      </c>
      <c r="K1523" s="7" t="str">
        <f aca="false">IF($D1523="","",IFERROR(IF(INDEX(Hierarchy!$H$2:$H$1295,MATCH($D1523,Hierarchy!$A$2:$A$1295,0))="","",INDEX(Hierarchy!$H$2:$H$1295,MATCH($D1523,Hierarchy!$A$2:$A$1295,0))),"NODE NOT FOUND"))</f>
        <v>Roraima</v>
      </c>
      <c r="L1523" s="7" t="str">
        <f aca="false">IF($D1523="","",IFERROR(IF(INDEX(Hierarchy!$I$2:$I$1295,MATCH($D1523,Hierarchy!$A$2:$A$1295,0))="","",INDEX(Hierarchy!$I$2:$I$1295,MATCH($D1523,Hierarchy!$A$2:$A$1295,0))),"NODE NOT FOUND"))</f>
        <v/>
      </c>
      <c r="M1523" s="17" t="str">
        <f aca="false">IF(B1523="Pre-seeded","Pre-seeded",IF(B1523="Review 2026-09-16","Added from review",IF(C1523="","New",IF(C1523=D1523,"","Changed"))))</f>
        <v>Pre-seeded</v>
      </c>
      <c r="N1523" s="7" t="str">
        <f aca="false">TRIM(SUBSTITUTE(SUBSTITUTE(SUBSTITUTE(" "&amp;TRIM(SUBSTITUTE(SUBSTITUTE(SUBSTITUTE(SUBSTITUTE(SUBSTITUTE(SUBSTITUTE(SUBSTITUTE(SUBSTITUTE(SUBSTITUTE(SUBSTITUTE(SUBSTITUTE(SUBSTITUTE(SUBSTITUTE(SUBSTITUTE(SUBSTITUTE(UPPER(TRIM(A1523)),"[MEMBER]",""),"{MEMBER}",""),"[MEMBER}",""),"MEMBER]",""),"(A)",""),"""",""),"“",""),"”",""),".",""),":",""),",",""),"–"," "),"-"," "),"/"," "),"&amp;"," AND "))&amp;" "," THE "," ")," TOTAL "," ")," OPERATIONS "," "))</f>
        <v>RORAIMA</v>
      </c>
      <c r="O1523" s="17" t="str">
        <f aca="false">IF(COUNTIFS($N$2:$N$2000,N1523,$D$2:$D$2000,"&lt;&gt;"&amp;D1523)&gt;0,"CONFLICT","")</f>
        <v/>
      </c>
      <c r="P1523" s="7"/>
    </row>
    <row r="1524" customFormat="false" ht="15" hidden="false" customHeight="false" outlineLevel="0" collapsed="false">
      <c r="A1524" s="7" t="s">
        <v>2684</v>
      </c>
      <c r="B1524" s="7" t="s">
        <v>1879</v>
      </c>
      <c r="C1524" s="7"/>
      <c r="D1524" s="6" t="s">
        <v>1790</v>
      </c>
      <c r="E1524" s="6" t="s">
        <v>1880</v>
      </c>
      <c r="F1524" s="7" t="str">
        <f aca="false">IF($D1524="","",IFERROR(IF(INDEX(Hierarchy!$B$2:$B$1295,MATCH($D1524,Hierarchy!$A$2:$A$1295,0))="","",INDEX(Hierarchy!$B$2:$B$1295,MATCH($D1524,Hierarchy!$A$2:$A$1295,0))),"NODE NOT FOUND"))</f>
        <v>Bucket</v>
      </c>
      <c r="G1524" s="7" t="str">
        <f aca="false">IF($D1524="","",IFERROR(IF(INDEX(Hierarchy!$D$2:$D$1295,MATCH($D1524,Hierarchy!$A$2:$A$1295,0))="","",INDEX(Hierarchy!$D$2:$D$1295,MATCH($D1524,Hierarchy!$A$2:$A$1295,0))),"NODE NOT FOUND"))</f>
        <v>Non-regional</v>
      </c>
      <c r="H1524" s="7" t="str">
        <f aca="false">IF($D1524="","",IFERROR(IF(INDEX(Hierarchy!$E$2:$E$1295,MATCH($D1524,Hierarchy!$A$2:$A$1295,0))="","",INDEX(Hierarchy!$E$2:$E$1295,MATCH($D1524,Hierarchy!$A$2:$A$1295,0))),"NODE NOT FOUND"))</f>
        <v/>
      </c>
      <c r="I1524" s="7" t="str">
        <f aca="false">IF($D1524="","",IFERROR(IF(INDEX(Hierarchy!$F$2:$F$1295,MATCH($D1524,Hierarchy!$A$2:$A$1295,0))="","",INDEX(Hierarchy!$F$2:$F$1295,MATCH($D1524,Hierarchy!$A$2:$A$1295,0))),"NODE NOT FOUND"))</f>
        <v/>
      </c>
      <c r="J1524" s="7" t="str">
        <f aca="false">IF($D1524="","",IFERROR(IF(INDEX(Hierarchy!$G$2:$G$1295,MATCH($D1524,Hierarchy!$A$2:$A$1295,0))="","",INDEX(Hierarchy!$G$2:$G$1295,MATCH($D1524,Hierarchy!$A$2:$A$1295,0))),"NODE NOT FOUND"))</f>
        <v/>
      </c>
      <c r="K1524" s="7" t="str">
        <f aca="false">IF($D1524="","",IFERROR(IF(INDEX(Hierarchy!$H$2:$H$1295,MATCH($D1524,Hierarchy!$A$2:$A$1295,0))="","",INDEX(Hierarchy!$H$2:$H$1295,MATCH($D1524,Hierarchy!$A$2:$A$1295,0))),"NODE NOT FOUND"))</f>
        <v/>
      </c>
      <c r="L1524" s="7" t="str">
        <f aca="false">IF($D1524="","",IFERROR(IF(INDEX(Hierarchy!$I$2:$I$1295,MATCH($D1524,Hierarchy!$A$2:$A$1295,0))="","",INDEX(Hierarchy!$I$2:$I$1295,MATCH($D1524,Hierarchy!$A$2:$A$1295,0))),"NODE NOT FOUND"))</f>
        <v/>
      </c>
      <c r="M1524" s="17" t="str">
        <f aca="false">IF(B1524="Pre-seeded","Pre-seeded",IF(B1524="Review 2026-09-16","Added from review",IF(C1524="","New",IF(C1524=D1524,"","Changed"))))</f>
        <v>Pre-seeded</v>
      </c>
      <c r="N1524" s="7" t="str">
        <f aca="false">TRIM(SUBSTITUTE(SUBSTITUTE(SUBSTITUTE(" "&amp;TRIM(SUBSTITUTE(SUBSTITUTE(SUBSTITUTE(SUBSTITUTE(SUBSTITUTE(SUBSTITUTE(SUBSTITUTE(SUBSTITUTE(SUBSTITUTE(SUBSTITUTE(SUBSTITUTE(SUBSTITUTE(SUBSTITUTE(SUBSTITUTE(SUBSTITUTE(UPPER(TRIM(A1524)),"[MEMBER]",""),"{MEMBER}",""),"[MEMBER}",""),"MEMBER]",""),"(A)",""),"""",""),"“",""),"”",""),".",""),":",""),",",""),"–"," "),"-"," "),"/"," "),"&amp;"," AND "))&amp;" "," THE "," ")," TOTAL "," ")," OPERATIONS "," "))</f>
        <v>ROW</v>
      </c>
      <c r="O1524" s="17" t="str">
        <f aca="false">IF(COUNTIFS($N$2:$N$2000,N1524,$D$2:$D$2000,"&lt;&gt;"&amp;D1524)&gt;0,"CONFLICT","")</f>
        <v/>
      </c>
      <c r="P1524" s="7"/>
    </row>
    <row r="1525" customFormat="false" ht="15" hidden="false" customHeight="false" outlineLevel="0" collapsed="false">
      <c r="A1525" s="7" t="s">
        <v>934</v>
      </c>
      <c r="B1525" s="7" t="s">
        <v>1882</v>
      </c>
      <c r="C1525" s="7" t="s">
        <v>934</v>
      </c>
      <c r="D1525" s="6" t="s">
        <v>934</v>
      </c>
      <c r="E1525" s="6" t="s">
        <v>1880</v>
      </c>
      <c r="F1525" s="7" t="str">
        <f aca="false">IF($D1525="","",IFERROR(IF(INDEX(Hierarchy!$B$2:$B$1295,MATCH($D1525,Hierarchy!$A$2:$A$1295,0))="","",INDEX(Hierarchy!$B$2:$B$1295,MATCH($D1525,Hierarchy!$A$2:$A$1295,0))),"NODE NOT FOUND"))</f>
        <v>Country</v>
      </c>
      <c r="G1525" s="7" t="str">
        <f aca="false">IF($D1525="","",IFERROR(IF(INDEX(Hierarchy!$D$2:$D$1295,MATCH($D1525,Hierarchy!$A$2:$A$1295,0))="","",INDEX(Hierarchy!$D$2:$D$1295,MATCH($D1525,Hierarchy!$A$2:$A$1295,0))),"NODE NOT FOUND"))</f>
        <v>EMEA</v>
      </c>
      <c r="H1525" s="7" t="str">
        <f aca="false">IF($D1525="","",IFERROR(IF(INDEX(Hierarchy!$E$2:$E$1295,MATCH($D1525,Hierarchy!$A$2:$A$1295,0))="","",INDEX(Hierarchy!$E$2:$E$1295,MATCH($D1525,Hierarchy!$A$2:$A$1295,0))),"NODE NOT FOUND"))</f>
        <v>Europe</v>
      </c>
      <c r="I1525" s="7" t="str">
        <f aca="false">IF($D1525="","",IFERROR(IF(INDEX(Hierarchy!$F$2:$F$1295,MATCH($D1525,Hierarchy!$A$2:$A$1295,0))="","",INDEX(Hierarchy!$F$2:$F$1295,MATCH($D1525,Hierarchy!$A$2:$A$1295,0))),"NODE NOT FOUND"))</f>
        <v>Russia</v>
      </c>
      <c r="J1525" s="7" t="str">
        <f aca="false">IF($D1525="","",IFERROR(IF(INDEX(Hierarchy!$G$2:$G$1295,MATCH($D1525,Hierarchy!$A$2:$A$1295,0))="","",INDEX(Hierarchy!$G$2:$G$1295,MATCH($D1525,Hierarchy!$A$2:$A$1295,0))),"NODE NOT FOUND"))</f>
        <v>RUS</v>
      </c>
      <c r="K1525" s="7" t="str">
        <f aca="false">IF($D1525="","",IFERROR(IF(INDEX(Hierarchy!$H$2:$H$1295,MATCH($D1525,Hierarchy!$A$2:$A$1295,0))="","",INDEX(Hierarchy!$H$2:$H$1295,MATCH($D1525,Hierarchy!$A$2:$A$1295,0))),"NODE NOT FOUND"))</f>
        <v/>
      </c>
      <c r="L1525" s="7" t="str">
        <f aca="false">IF($D1525="","",IFERROR(IF(INDEX(Hierarchy!$I$2:$I$1295,MATCH($D1525,Hierarchy!$A$2:$A$1295,0))="","",INDEX(Hierarchy!$I$2:$I$1295,MATCH($D1525,Hierarchy!$A$2:$A$1295,0))),"NODE NOT FOUND"))</f>
        <v/>
      </c>
      <c r="M1525" s="17" t="str">
        <f aca="false">IF(B1525="Pre-seeded","Pre-seeded",IF(B1525="Review 2026-09-16","Added from review",IF(C1525="","New",IF(C1525=D1525,"","Changed"))))</f>
        <v/>
      </c>
      <c r="N1525" s="7" t="str">
        <f aca="false">TRIM(SUBSTITUTE(SUBSTITUTE(SUBSTITUTE(" "&amp;TRIM(SUBSTITUTE(SUBSTITUTE(SUBSTITUTE(SUBSTITUTE(SUBSTITUTE(SUBSTITUTE(SUBSTITUTE(SUBSTITUTE(SUBSTITUTE(SUBSTITUTE(SUBSTITUTE(SUBSTITUTE(SUBSTITUTE(SUBSTITUTE(SUBSTITUTE(UPPER(TRIM(A1525)),"[MEMBER]",""),"{MEMBER}",""),"[MEMBER}",""),"MEMBER]",""),"(A)",""),"""",""),"“",""),"”",""),".",""),":",""),",",""),"–"," "),"-"," "),"/"," "),"&amp;"," AND "))&amp;" "," THE "," ")," TOTAL "," ")," OPERATIONS "," "))</f>
        <v>RUSSIA</v>
      </c>
      <c r="O1525" s="17" t="str">
        <f aca="false">IF(COUNTIFS($N$2:$N$2000,N1525,$D$2:$D$2000,"&lt;&gt;"&amp;D1525)&gt;0,"CONFLICT","")</f>
        <v/>
      </c>
      <c r="P1525" s="7"/>
    </row>
    <row r="1526" customFormat="false" ht="15" hidden="false" customHeight="false" outlineLevel="0" collapsed="false">
      <c r="A1526" s="7" t="s">
        <v>2685</v>
      </c>
      <c r="B1526" s="7" t="s">
        <v>1879</v>
      </c>
      <c r="C1526" s="7"/>
      <c r="D1526" s="6" t="s">
        <v>632</v>
      </c>
      <c r="E1526" s="6" t="s">
        <v>1886</v>
      </c>
      <c r="F1526" s="7" t="str">
        <f aca="false">IF($D1526="","",IFERROR(IF(INDEX(Hierarchy!$B$2:$B$1295,MATCH($D1526,Hierarchy!$A$2:$A$1295,0))="","",INDEX(Hierarchy!$B$2:$B$1295,MATCH($D1526,Hierarchy!$A$2:$A$1295,0))),"NODE NOT FOUND"))</f>
        <v>Sub-region component</v>
      </c>
      <c r="G1526" s="7" t="str">
        <f aca="false">IF($D1526="","",IFERROR(IF(INDEX(Hierarchy!$D$2:$D$1295,MATCH($D1526,Hierarchy!$A$2:$A$1295,0))="","",INDEX(Hierarchy!$D$2:$D$1295,MATCH($D1526,Hierarchy!$A$2:$A$1295,0))),"NODE NOT FOUND"))</f>
        <v>EMEA</v>
      </c>
      <c r="H1526" s="7" t="str">
        <f aca="false">IF($D1526="","",IFERROR(IF(INDEX(Hierarchy!$E$2:$E$1295,MATCH($D1526,Hierarchy!$A$2:$A$1295,0))="","",INDEX(Hierarchy!$E$2:$E$1295,MATCH($D1526,Hierarchy!$A$2:$A$1295,0))),"NODE NOT FOUND"))</f>
        <v>Europe</v>
      </c>
      <c r="I1526" s="7" t="str">
        <f aca="false">IF($D1526="","",IFERROR(IF(INDEX(Hierarchy!$F$2:$F$1295,MATCH($D1526,Hierarchy!$A$2:$A$1295,0))="","",INDEX(Hierarchy!$F$2:$F$1295,MATCH($D1526,Hierarchy!$A$2:$A$1295,0))),"NODE NOT FOUND"))</f>
        <v/>
      </c>
      <c r="J1526" s="7" t="str">
        <f aca="false">IF($D1526="","",IFERROR(IF(INDEX(Hierarchy!$G$2:$G$1295,MATCH($D1526,Hierarchy!$A$2:$A$1295,0))="","",INDEX(Hierarchy!$G$2:$G$1295,MATCH($D1526,Hierarchy!$A$2:$A$1295,0))),"NODE NOT FOUND"))</f>
        <v/>
      </c>
      <c r="K1526" s="7" t="str">
        <f aca="false">IF($D1526="","",IFERROR(IF(INDEX(Hierarchy!$H$2:$H$1295,MATCH($D1526,Hierarchy!$A$2:$A$1295,0))="","",INDEX(Hierarchy!$H$2:$H$1295,MATCH($D1526,Hierarchy!$A$2:$A$1295,0))),"NODE NOT FOUND"))</f>
        <v/>
      </c>
      <c r="L1526" s="7" t="str">
        <f aca="false">IF($D1526="","",IFERROR(IF(INDEX(Hierarchy!$I$2:$I$1295,MATCH($D1526,Hierarchy!$A$2:$A$1295,0))="","",INDEX(Hierarchy!$I$2:$I$1295,MATCH($D1526,Hierarchy!$A$2:$A$1295,0))),"NODE NOT FOUND"))</f>
        <v/>
      </c>
      <c r="M1526" s="17" t="str">
        <f aca="false">IF(B1526="Pre-seeded","Pre-seeded",IF(B1526="Review 2026-09-16","Added from review",IF(C1526="","New",IF(C1526=D1526,"","Changed"))))</f>
        <v>Pre-seeded</v>
      </c>
      <c r="N1526" s="7" t="str">
        <f aca="false">TRIM(SUBSTITUTE(SUBSTITUTE(SUBSTITUTE(" "&amp;TRIM(SUBSTITUTE(SUBSTITUTE(SUBSTITUTE(SUBSTITUTE(SUBSTITUTE(SUBSTITUTE(SUBSTITUTE(SUBSTITUTE(SUBSTITUTE(SUBSTITUTE(SUBSTITUTE(SUBSTITUTE(SUBSTITUTE(SUBSTITUTE(SUBSTITUTE(UPPER(TRIM(A1526)),"[MEMBER]",""),"{MEMBER}",""),"[MEMBER}",""),"MEMBER]",""),"(A)",""),"""",""),"“",""),"”",""),".",""),":",""),",",""),"–"," "),"-"," "),"/"," "),"&amp;"," AND "))&amp;" "," THE "," ")," TOTAL "," ")," OPERATIONS "," "))</f>
        <v>RUSSIA AND CIS</v>
      </c>
      <c r="O1526" s="17" t="str">
        <f aca="false">IF(COUNTIFS($N$2:$N$2000,N1526,$D$2:$D$2000,"&lt;&gt;"&amp;D1526)&gt;0,"CONFLICT","")</f>
        <v/>
      </c>
      <c r="P1526" s="7"/>
    </row>
    <row r="1527" customFormat="false" ht="15" hidden="false" customHeight="false" outlineLevel="0" collapsed="false">
      <c r="A1527" s="7" t="s">
        <v>2686</v>
      </c>
      <c r="B1527" s="7" t="s">
        <v>1882</v>
      </c>
      <c r="C1527" s="7" t="s">
        <v>934</v>
      </c>
      <c r="D1527" s="6" t="s">
        <v>934</v>
      </c>
      <c r="E1527" s="6" t="s">
        <v>1880</v>
      </c>
      <c r="F1527" s="7" t="str">
        <f aca="false">IF($D1527="","",IFERROR(IF(INDEX(Hierarchy!$B$2:$B$1295,MATCH($D1527,Hierarchy!$A$2:$A$1295,0))="","",INDEX(Hierarchy!$B$2:$B$1295,MATCH($D1527,Hierarchy!$A$2:$A$1295,0))),"NODE NOT FOUND"))</f>
        <v>Country</v>
      </c>
      <c r="G1527" s="7" t="str">
        <f aca="false">IF($D1527="","",IFERROR(IF(INDEX(Hierarchy!$D$2:$D$1295,MATCH($D1527,Hierarchy!$A$2:$A$1295,0))="","",INDEX(Hierarchy!$D$2:$D$1295,MATCH($D1527,Hierarchy!$A$2:$A$1295,0))),"NODE NOT FOUND"))</f>
        <v>EMEA</v>
      </c>
      <c r="H1527" s="7" t="str">
        <f aca="false">IF($D1527="","",IFERROR(IF(INDEX(Hierarchy!$E$2:$E$1295,MATCH($D1527,Hierarchy!$A$2:$A$1295,0))="","",INDEX(Hierarchy!$E$2:$E$1295,MATCH($D1527,Hierarchy!$A$2:$A$1295,0))),"NODE NOT FOUND"))</f>
        <v>Europe</v>
      </c>
      <c r="I1527" s="7" t="str">
        <f aca="false">IF($D1527="","",IFERROR(IF(INDEX(Hierarchy!$F$2:$F$1295,MATCH($D1527,Hierarchy!$A$2:$A$1295,0))="","",INDEX(Hierarchy!$F$2:$F$1295,MATCH($D1527,Hierarchy!$A$2:$A$1295,0))),"NODE NOT FOUND"))</f>
        <v>Russia</v>
      </c>
      <c r="J1527" s="7" t="str">
        <f aca="false">IF($D1527="","",IFERROR(IF(INDEX(Hierarchy!$G$2:$G$1295,MATCH($D1527,Hierarchy!$A$2:$A$1295,0))="","",INDEX(Hierarchy!$G$2:$G$1295,MATCH($D1527,Hierarchy!$A$2:$A$1295,0))),"NODE NOT FOUND"))</f>
        <v>RUS</v>
      </c>
      <c r="K1527" s="7" t="str">
        <f aca="false">IF($D1527="","",IFERROR(IF(INDEX(Hierarchy!$H$2:$H$1295,MATCH($D1527,Hierarchy!$A$2:$A$1295,0))="","",INDEX(Hierarchy!$H$2:$H$1295,MATCH($D1527,Hierarchy!$A$2:$A$1295,0))),"NODE NOT FOUND"))</f>
        <v/>
      </c>
      <c r="L1527" s="7" t="str">
        <f aca="false">IF($D1527="","",IFERROR(IF(INDEX(Hierarchy!$I$2:$I$1295,MATCH($D1527,Hierarchy!$A$2:$A$1295,0))="","",INDEX(Hierarchy!$I$2:$I$1295,MATCH($D1527,Hierarchy!$A$2:$A$1295,0))),"NODE NOT FOUND"))</f>
        <v/>
      </c>
      <c r="M1527" s="17" t="str">
        <f aca="false">IF(B1527="Pre-seeded","Pre-seeded",IF(B1527="Review 2026-09-16","Added from review",IF(C1527="","New",IF(C1527=D1527,"","Changed"))))</f>
        <v/>
      </c>
      <c r="N1527" s="7" t="str">
        <f aca="false">TRIM(SUBSTITUTE(SUBSTITUTE(SUBSTITUTE(" "&amp;TRIM(SUBSTITUTE(SUBSTITUTE(SUBSTITUTE(SUBSTITUTE(SUBSTITUTE(SUBSTITUTE(SUBSTITUTE(SUBSTITUTE(SUBSTITUTE(SUBSTITUTE(SUBSTITUTE(SUBSTITUTE(SUBSTITUTE(SUBSTITUTE(SUBSTITUTE(UPPER(TRIM(A1527)),"[MEMBER]",""),"{MEMBER}",""),"[MEMBER}",""),"MEMBER]",""),"(A)",""),"""",""),"“",""),"”",""),".",""),":",""),",",""),"–"," "),"-"," "),"/"," "),"&amp;"," AND "))&amp;" "," THE "," ")," TOTAL "," ")," OPERATIONS "," "))</f>
        <v>RUSSIA</v>
      </c>
      <c r="O1527" s="17" t="str">
        <f aca="false">IF(COUNTIFS($N$2:$N$2000,N1527,$D$2:$D$2000,"&lt;&gt;"&amp;D1527)&gt;0,"CONFLICT","")</f>
        <v/>
      </c>
      <c r="P1527" s="7"/>
    </row>
    <row r="1528" customFormat="false" ht="15" hidden="false" customHeight="false" outlineLevel="0" collapsed="false">
      <c r="A1528" s="7" t="s">
        <v>2687</v>
      </c>
      <c r="B1528" s="7" t="s">
        <v>1882</v>
      </c>
      <c r="C1528" s="7" t="s">
        <v>934</v>
      </c>
      <c r="D1528" s="6" t="s">
        <v>934</v>
      </c>
      <c r="E1528" s="6" t="s">
        <v>1880</v>
      </c>
      <c r="F1528" s="7" t="str">
        <f aca="false">IF($D1528="","",IFERROR(IF(INDEX(Hierarchy!$B$2:$B$1295,MATCH($D1528,Hierarchy!$A$2:$A$1295,0))="","",INDEX(Hierarchy!$B$2:$B$1295,MATCH($D1528,Hierarchy!$A$2:$A$1295,0))),"NODE NOT FOUND"))</f>
        <v>Country</v>
      </c>
      <c r="G1528" s="7" t="str">
        <f aca="false">IF($D1528="","",IFERROR(IF(INDEX(Hierarchy!$D$2:$D$1295,MATCH($D1528,Hierarchy!$A$2:$A$1295,0))="","",INDEX(Hierarchy!$D$2:$D$1295,MATCH($D1528,Hierarchy!$A$2:$A$1295,0))),"NODE NOT FOUND"))</f>
        <v>EMEA</v>
      </c>
      <c r="H1528" s="7" t="str">
        <f aca="false">IF($D1528="","",IFERROR(IF(INDEX(Hierarchy!$E$2:$E$1295,MATCH($D1528,Hierarchy!$A$2:$A$1295,0))="","",INDEX(Hierarchy!$E$2:$E$1295,MATCH($D1528,Hierarchy!$A$2:$A$1295,0))),"NODE NOT FOUND"))</f>
        <v>Europe</v>
      </c>
      <c r="I1528" s="7" t="str">
        <f aca="false">IF($D1528="","",IFERROR(IF(INDEX(Hierarchy!$F$2:$F$1295,MATCH($D1528,Hierarchy!$A$2:$A$1295,0))="","",INDEX(Hierarchy!$F$2:$F$1295,MATCH($D1528,Hierarchy!$A$2:$A$1295,0))),"NODE NOT FOUND"))</f>
        <v>Russia</v>
      </c>
      <c r="J1528" s="7" t="str">
        <f aca="false">IF($D1528="","",IFERROR(IF(INDEX(Hierarchy!$G$2:$G$1295,MATCH($D1528,Hierarchy!$A$2:$A$1295,0))="","",INDEX(Hierarchy!$G$2:$G$1295,MATCH($D1528,Hierarchy!$A$2:$A$1295,0))),"NODE NOT FOUND"))</f>
        <v>RUS</v>
      </c>
      <c r="K1528" s="7" t="str">
        <f aca="false">IF($D1528="","",IFERROR(IF(INDEX(Hierarchy!$H$2:$H$1295,MATCH($D1528,Hierarchy!$A$2:$A$1295,0))="","",INDEX(Hierarchy!$H$2:$H$1295,MATCH($D1528,Hierarchy!$A$2:$A$1295,0))),"NODE NOT FOUND"))</f>
        <v/>
      </c>
      <c r="L1528" s="7" t="str">
        <f aca="false">IF($D1528="","",IFERROR(IF(INDEX(Hierarchy!$I$2:$I$1295,MATCH($D1528,Hierarchy!$A$2:$A$1295,0))="","",INDEX(Hierarchy!$I$2:$I$1295,MATCH($D1528,Hierarchy!$A$2:$A$1295,0))),"NODE NOT FOUND"))</f>
        <v/>
      </c>
      <c r="M1528" s="17" t="str">
        <f aca="false">IF(B1528="Pre-seeded","Pre-seeded",IF(B1528="Review 2026-09-16","Added from review",IF(C1528="","New",IF(C1528=D1528,"","Changed"))))</f>
        <v/>
      </c>
      <c r="N1528" s="7" t="str">
        <f aca="false">TRIM(SUBSTITUTE(SUBSTITUTE(SUBSTITUTE(" "&amp;TRIM(SUBSTITUTE(SUBSTITUTE(SUBSTITUTE(SUBSTITUTE(SUBSTITUTE(SUBSTITUTE(SUBSTITUTE(SUBSTITUTE(SUBSTITUTE(SUBSTITUTE(SUBSTITUTE(SUBSTITUTE(SUBSTITUTE(SUBSTITUTE(SUBSTITUTE(UPPER(TRIM(A1528)),"[MEMBER]",""),"{MEMBER}",""),"[MEMBER}",""),"MEMBER]",""),"(A)",""),"""",""),"“",""),"”",""),".",""),":",""),",",""),"–"," "),"-"," "),"/"," "),"&amp;"," AND "))&amp;" "," THE "," ")," TOTAL "," ")," OPERATIONS "," "))</f>
        <v>RUSSIAN FEDERATION</v>
      </c>
      <c r="O1528" s="17" t="str">
        <f aca="false">IF(COUNTIFS($N$2:$N$2000,N1528,$D$2:$D$2000,"&lt;&gt;"&amp;D1528)&gt;0,"CONFLICT","")</f>
        <v/>
      </c>
      <c r="P1528" s="7"/>
    </row>
    <row r="1529" customFormat="false" ht="15" hidden="false" customHeight="false" outlineLevel="0" collapsed="false">
      <c r="A1529" s="7" t="s">
        <v>1274</v>
      </c>
      <c r="B1529" s="7" t="s">
        <v>1879</v>
      </c>
      <c r="C1529" s="7"/>
      <c r="D1529" s="6" t="s">
        <v>1274</v>
      </c>
      <c r="E1529" s="6" t="s">
        <v>1880</v>
      </c>
      <c r="F1529" s="7" t="str">
        <f aca="false">IF($D1529="","",IFERROR(IF(INDEX(Hierarchy!$B$2:$B$1295,MATCH($D1529,Hierarchy!$A$2:$A$1295,0))="","",INDEX(Hierarchy!$B$2:$B$1295,MATCH($D1529,Hierarchy!$A$2:$A$1295,0))),"NODE NOT FOUND"))</f>
        <v>Country</v>
      </c>
      <c r="G1529" s="7" t="str">
        <f aca="false">IF($D1529="","",IFERROR(IF(INDEX(Hierarchy!$D$2:$D$1295,MATCH($D1529,Hierarchy!$A$2:$A$1295,0))="","",INDEX(Hierarchy!$D$2:$D$1295,MATCH($D1529,Hierarchy!$A$2:$A$1295,0))),"NODE NOT FOUND"))</f>
        <v>EMEA</v>
      </c>
      <c r="H1529" s="7" t="str">
        <f aca="false">IF($D1529="","",IFERROR(IF(INDEX(Hierarchy!$E$2:$E$1295,MATCH($D1529,Hierarchy!$A$2:$A$1295,0))="","",INDEX(Hierarchy!$E$2:$E$1295,MATCH($D1529,Hierarchy!$A$2:$A$1295,0))),"NODE NOT FOUND"))</f>
        <v>Africa</v>
      </c>
      <c r="I1529" s="7" t="str">
        <f aca="false">IF($D1529="","",IFERROR(IF(INDEX(Hierarchy!$F$2:$F$1295,MATCH($D1529,Hierarchy!$A$2:$A$1295,0))="","",INDEX(Hierarchy!$F$2:$F$1295,MATCH($D1529,Hierarchy!$A$2:$A$1295,0))),"NODE NOT FOUND"))</f>
        <v>Rwanda</v>
      </c>
      <c r="J1529" s="7" t="str">
        <f aca="false">IF($D1529="","",IFERROR(IF(INDEX(Hierarchy!$G$2:$G$1295,MATCH($D1529,Hierarchy!$A$2:$A$1295,0))="","",INDEX(Hierarchy!$G$2:$G$1295,MATCH($D1529,Hierarchy!$A$2:$A$1295,0))),"NODE NOT FOUND"))</f>
        <v>RWA</v>
      </c>
      <c r="K1529" s="7" t="str">
        <f aca="false">IF($D1529="","",IFERROR(IF(INDEX(Hierarchy!$H$2:$H$1295,MATCH($D1529,Hierarchy!$A$2:$A$1295,0))="","",INDEX(Hierarchy!$H$2:$H$1295,MATCH($D1529,Hierarchy!$A$2:$A$1295,0))),"NODE NOT FOUND"))</f>
        <v/>
      </c>
      <c r="L1529" s="7" t="str">
        <f aca="false">IF($D1529="","",IFERROR(IF(INDEX(Hierarchy!$I$2:$I$1295,MATCH($D1529,Hierarchy!$A$2:$A$1295,0))="","",INDEX(Hierarchy!$I$2:$I$1295,MATCH($D1529,Hierarchy!$A$2:$A$1295,0))),"NODE NOT FOUND"))</f>
        <v/>
      </c>
      <c r="M1529" s="17" t="str">
        <f aca="false">IF(B1529="Pre-seeded","Pre-seeded",IF(B1529="Review 2026-09-16","Added from review",IF(C1529="","New",IF(C1529=D1529,"","Changed"))))</f>
        <v>Pre-seeded</v>
      </c>
      <c r="N1529" s="7" t="str">
        <f aca="false">TRIM(SUBSTITUTE(SUBSTITUTE(SUBSTITUTE(" "&amp;TRIM(SUBSTITUTE(SUBSTITUTE(SUBSTITUTE(SUBSTITUTE(SUBSTITUTE(SUBSTITUTE(SUBSTITUTE(SUBSTITUTE(SUBSTITUTE(SUBSTITUTE(SUBSTITUTE(SUBSTITUTE(SUBSTITUTE(SUBSTITUTE(SUBSTITUTE(UPPER(TRIM(A1529)),"[MEMBER]",""),"{MEMBER}",""),"[MEMBER}",""),"MEMBER]",""),"(A)",""),"""",""),"“",""),"”",""),".",""),":",""),",",""),"–"," "),"-"," "),"/"," "),"&amp;"," AND "))&amp;" "," THE "," ")," TOTAL "," ")," OPERATIONS "," "))</f>
        <v>RWANDA</v>
      </c>
      <c r="O1529" s="17" t="str">
        <f aca="false">IF(COUNTIFS($N$2:$N$2000,N1529,$D$2:$D$2000,"&lt;&gt;"&amp;D1529)&gt;0,"CONFLICT","")</f>
        <v/>
      </c>
      <c r="P1529" s="7"/>
    </row>
    <row r="1530" customFormat="false" ht="15" hidden="false" customHeight="false" outlineLevel="0" collapsed="false">
      <c r="A1530" s="7" t="s">
        <v>2688</v>
      </c>
      <c r="B1530" s="7" t="s">
        <v>1879</v>
      </c>
      <c r="C1530" s="7"/>
      <c r="D1530" s="6" t="s">
        <v>1274</v>
      </c>
      <c r="E1530" s="6" t="s">
        <v>1880</v>
      </c>
      <c r="F1530" s="7" t="str">
        <f aca="false">IF($D1530="","",IFERROR(IF(INDEX(Hierarchy!$B$2:$B$1295,MATCH($D1530,Hierarchy!$A$2:$A$1295,0))="","",INDEX(Hierarchy!$B$2:$B$1295,MATCH($D1530,Hierarchy!$A$2:$A$1295,0))),"NODE NOT FOUND"))</f>
        <v>Country</v>
      </c>
      <c r="G1530" s="7" t="str">
        <f aca="false">IF($D1530="","",IFERROR(IF(INDEX(Hierarchy!$D$2:$D$1295,MATCH($D1530,Hierarchy!$A$2:$A$1295,0))="","",INDEX(Hierarchy!$D$2:$D$1295,MATCH($D1530,Hierarchy!$A$2:$A$1295,0))),"NODE NOT FOUND"))</f>
        <v>EMEA</v>
      </c>
      <c r="H1530" s="7" t="str">
        <f aca="false">IF($D1530="","",IFERROR(IF(INDEX(Hierarchy!$E$2:$E$1295,MATCH($D1530,Hierarchy!$A$2:$A$1295,0))="","",INDEX(Hierarchy!$E$2:$E$1295,MATCH($D1530,Hierarchy!$A$2:$A$1295,0))),"NODE NOT FOUND"))</f>
        <v>Africa</v>
      </c>
      <c r="I1530" s="7" t="str">
        <f aca="false">IF($D1530="","",IFERROR(IF(INDEX(Hierarchy!$F$2:$F$1295,MATCH($D1530,Hierarchy!$A$2:$A$1295,0))="","",INDEX(Hierarchy!$F$2:$F$1295,MATCH($D1530,Hierarchy!$A$2:$A$1295,0))),"NODE NOT FOUND"))</f>
        <v>Rwanda</v>
      </c>
      <c r="J1530" s="7" t="str">
        <f aca="false">IF($D1530="","",IFERROR(IF(INDEX(Hierarchy!$G$2:$G$1295,MATCH($D1530,Hierarchy!$A$2:$A$1295,0))="","",INDEX(Hierarchy!$G$2:$G$1295,MATCH($D1530,Hierarchy!$A$2:$A$1295,0))),"NODE NOT FOUND"))</f>
        <v>RWA</v>
      </c>
      <c r="K1530" s="7" t="str">
        <f aca="false">IF($D1530="","",IFERROR(IF(INDEX(Hierarchy!$H$2:$H$1295,MATCH($D1530,Hierarchy!$A$2:$A$1295,0))="","",INDEX(Hierarchy!$H$2:$H$1295,MATCH($D1530,Hierarchy!$A$2:$A$1295,0))),"NODE NOT FOUND"))</f>
        <v/>
      </c>
      <c r="L1530" s="7" t="str">
        <f aca="false">IF($D1530="","",IFERROR(IF(INDEX(Hierarchy!$I$2:$I$1295,MATCH($D1530,Hierarchy!$A$2:$A$1295,0))="","",INDEX(Hierarchy!$I$2:$I$1295,MATCH($D1530,Hierarchy!$A$2:$A$1295,0))),"NODE NOT FOUND"))</f>
        <v/>
      </c>
      <c r="M1530" s="17" t="str">
        <f aca="false">IF(B1530="Pre-seeded","Pre-seeded",IF(B1530="Review 2026-09-16","Added from review",IF(C1530="","New",IF(C1530=D1530,"","Changed"))))</f>
        <v>Pre-seeded</v>
      </c>
      <c r="N1530" s="7" t="str">
        <f aca="false">TRIM(SUBSTITUTE(SUBSTITUTE(SUBSTITUTE(" "&amp;TRIM(SUBSTITUTE(SUBSTITUTE(SUBSTITUTE(SUBSTITUTE(SUBSTITUTE(SUBSTITUTE(SUBSTITUTE(SUBSTITUTE(SUBSTITUTE(SUBSTITUTE(SUBSTITUTE(SUBSTITUTE(SUBSTITUTE(SUBSTITUTE(SUBSTITUTE(UPPER(TRIM(A1530)),"[MEMBER]",""),"{MEMBER}",""),"[MEMBER}",""),"MEMBER]",""),"(A)",""),"""",""),"“",""),"”",""),".",""),":",""),",",""),"–"," "),"-"," "),"/"," "),"&amp;"," AND "))&amp;" "," THE "," ")," TOTAL "," ")," OPERATIONS "," "))</f>
        <v>RWANDESE REPUBLIC</v>
      </c>
      <c r="O1530" s="17" t="str">
        <f aca="false">IF(COUNTIFS($N$2:$N$2000,N1530,$D$2:$D$2000,"&lt;&gt;"&amp;D1530)&gt;0,"CONFLICT","")</f>
        <v/>
      </c>
      <c r="P1530" s="7" t="s">
        <v>1936</v>
      </c>
    </row>
    <row r="1531" customFormat="false" ht="15" hidden="false" customHeight="false" outlineLevel="0" collapsed="false">
      <c r="A1531" s="7" t="s">
        <v>1276</v>
      </c>
      <c r="B1531" s="7" t="s">
        <v>1879</v>
      </c>
      <c r="C1531" s="7"/>
      <c r="D1531" s="6" t="s">
        <v>1276</v>
      </c>
      <c r="E1531" s="6" t="s">
        <v>1880</v>
      </c>
      <c r="F1531" s="7" t="str">
        <f aca="false">IF($D1531="","",IFERROR(IF(INDEX(Hierarchy!$B$2:$B$1295,MATCH($D1531,Hierarchy!$A$2:$A$1295,0))="","",INDEX(Hierarchy!$B$2:$B$1295,MATCH($D1531,Hierarchy!$A$2:$A$1295,0))),"NODE NOT FOUND"))</f>
        <v>Country</v>
      </c>
      <c r="G1531" s="7" t="str">
        <f aca="false">IF($D1531="","",IFERROR(IF(INDEX(Hierarchy!$D$2:$D$1295,MATCH($D1531,Hierarchy!$A$2:$A$1295,0))="","",INDEX(Hierarchy!$D$2:$D$1295,MATCH($D1531,Hierarchy!$A$2:$A$1295,0))),"NODE NOT FOUND"))</f>
        <v>EMEA</v>
      </c>
      <c r="H1531" s="7" t="str">
        <f aca="false">IF($D1531="","",IFERROR(IF(INDEX(Hierarchy!$E$2:$E$1295,MATCH($D1531,Hierarchy!$A$2:$A$1295,0))="","",INDEX(Hierarchy!$E$2:$E$1295,MATCH($D1531,Hierarchy!$A$2:$A$1295,0))),"NODE NOT FOUND"))</f>
        <v>Africa</v>
      </c>
      <c r="I1531" s="7" t="str">
        <f aca="false">IF($D1531="","",IFERROR(IF(INDEX(Hierarchy!$F$2:$F$1295,MATCH($D1531,Hierarchy!$A$2:$A$1295,0))="","",INDEX(Hierarchy!$F$2:$F$1295,MATCH($D1531,Hierarchy!$A$2:$A$1295,0))),"NODE NOT FOUND"))</f>
        <v>Réunion</v>
      </c>
      <c r="J1531" s="7" t="str">
        <f aca="false">IF($D1531="","",IFERROR(IF(INDEX(Hierarchy!$G$2:$G$1295,MATCH($D1531,Hierarchy!$A$2:$A$1295,0))="","",INDEX(Hierarchy!$G$2:$G$1295,MATCH($D1531,Hierarchy!$A$2:$A$1295,0))),"NODE NOT FOUND"))</f>
        <v>REU</v>
      </c>
      <c r="K1531" s="7" t="str">
        <f aca="false">IF($D1531="","",IFERROR(IF(INDEX(Hierarchy!$H$2:$H$1295,MATCH($D1531,Hierarchy!$A$2:$A$1295,0))="","",INDEX(Hierarchy!$H$2:$H$1295,MATCH($D1531,Hierarchy!$A$2:$A$1295,0))),"NODE NOT FOUND"))</f>
        <v/>
      </c>
      <c r="L1531" s="7" t="str">
        <f aca="false">IF($D1531="","",IFERROR(IF(INDEX(Hierarchy!$I$2:$I$1295,MATCH($D1531,Hierarchy!$A$2:$A$1295,0))="","",INDEX(Hierarchy!$I$2:$I$1295,MATCH($D1531,Hierarchy!$A$2:$A$1295,0))),"NODE NOT FOUND"))</f>
        <v/>
      </c>
      <c r="M1531" s="17" t="str">
        <f aca="false">IF(B1531="Pre-seeded","Pre-seeded",IF(B1531="Review 2026-09-16","Added from review",IF(C1531="","New",IF(C1531=D1531,"","Changed"))))</f>
        <v>Pre-seeded</v>
      </c>
      <c r="N1531" s="7" t="str">
        <f aca="false">TRIM(SUBSTITUTE(SUBSTITUTE(SUBSTITUTE(" "&amp;TRIM(SUBSTITUTE(SUBSTITUTE(SUBSTITUTE(SUBSTITUTE(SUBSTITUTE(SUBSTITUTE(SUBSTITUTE(SUBSTITUTE(SUBSTITUTE(SUBSTITUTE(SUBSTITUTE(SUBSTITUTE(SUBSTITUTE(SUBSTITUTE(SUBSTITUTE(UPPER(TRIM(A1531)),"[MEMBER]",""),"{MEMBER}",""),"[MEMBER}",""),"MEMBER]",""),"(A)",""),"""",""),"“",""),"”",""),".",""),":",""),",",""),"–"," "),"-"," "),"/"," "),"&amp;"," AND "))&amp;" "," THE "," ")," TOTAL "," ")," OPERATIONS "," "))</f>
        <v>RÉUNION</v>
      </c>
      <c r="O1531" s="17" t="str">
        <f aca="false">IF(COUNTIFS($N$2:$N$2000,N1531,$D$2:$D$2000,"&lt;&gt;"&amp;D1531)&gt;0,"CONFLICT","")</f>
        <v/>
      </c>
      <c r="P1531" s="7"/>
    </row>
    <row r="1532" customFormat="false" ht="15" hidden="false" customHeight="false" outlineLevel="0" collapsed="false">
      <c r="A1532" s="7" t="s">
        <v>444</v>
      </c>
      <c r="B1532" s="7" t="s">
        <v>1879</v>
      </c>
      <c r="C1532" s="7"/>
      <c r="D1532" s="6" t="s">
        <v>444</v>
      </c>
      <c r="E1532" s="6" t="s">
        <v>1880</v>
      </c>
      <c r="F1532" s="7" t="str">
        <f aca="false">IF($D1532="","",IFERROR(IF(INDEX(Hierarchy!$B$2:$B$1295,MATCH($D1532,Hierarchy!$A$2:$A$1295,0))="","",INDEX(Hierarchy!$B$2:$B$1295,MATCH($D1532,Hierarchy!$A$2:$A$1295,0))),"NODE NOT FOUND"))</f>
        <v>State/Province</v>
      </c>
      <c r="G1532" s="7" t="str">
        <f aca="false">IF($D1532="","",IFERROR(IF(INDEX(Hierarchy!$D$2:$D$1295,MATCH($D1532,Hierarchy!$A$2:$A$1295,0))="","",INDEX(Hierarchy!$D$2:$D$1295,MATCH($D1532,Hierarchy!$A$2:$A$1295,0))),"NODE NOT FOUND"))</f>
        <v>AMER</v>
      </c>
      <c r="H1532" s="7" t="str">
        <f aca="false">IF($D1532="","",IFERROR(IF(INDEX(Hierarchy!$E$2:$E$1295,MATCH($D1532,Hierarchy!$A$2:$A$1295,0))="","",INDEX(Hierarchy!$E$2:$E$1295,MATCH($D1532,Hierarchy!$A$2:$A$1295,0))),"NODE NOT FOUND"))</f>
        <v>Latin America (LATAM)</v>
      </c>
      <c r="I1532" s="7" t="str">
        <f aca="false">IF($D1532="","",IFERROR(IF(INDEX(Hierarchy!$F$2:$F$1295,MATCH($D1532,Hierarchy!$A$2:$A$1295,0))="","",INDEX(Hierarchy!$F$2:$F$1295,MATCH($D1532,Hierarchy!$A$2:$A$1295,0))),"NODE NOT FOUND"))</f>
        <v>Argentina</v>
      </c>
      <c r="J1532" s="7" t="str">
        <f aca="false">IF($D1532="","",IFERROR(IF(INDEX(Hierarchy!$G$2:$G$1295,MATCH($D1532,Hierarchy!$A$2:$A$1295,0))="","",INDEX(Hierarchy!$G$2:$G$1295,MATCH($D1532,Hierarchy!$A$2:$A$1295,0))),"NODE NOT FOUND"))</f>
        <v>ARG</v>
      </c>
      <c r="K1532" s="7" t="str">
        <f aca="false">IF($D1532="","",IFERROR(IF(INDEX(Hierarchy!$H$2:$H$1295,MATCH($D1532,Hierarchy!$A$2:$A$1295,0))="","",INDEX(Hierarchy!$H$2:$H$1295,MATCH($D1532,Hierarchy!$A$2:$A$1295,0))),"NODE NOT FOUND"))</f>
        <v>Río Negro</v>
      </c>
      <c r="L1532" s="7" t="str">
        <f aca="false">IF($D1532="","",IFERROR(IF(INDEX(Hierarchy!$I$2:$I$1295,MATCH($D1532,Hierarchy!$A$2:$A$1295,0))="","",INDEX(Hierarchy!$I$2:$I$1295,MATCH($D1532,Hierarchy!$A$2:$A$1295,0))),"NODE NOT FOUND"))</f>
        <v/>
      </c>
      <c r="M1532" s="17" t="str">
        <f aca="false">IF(B1532="Pre-seeded","Pre-seeded",IF(B1532="Review 2026-09-16","Added from review",IF(C1532="","New",IF(C1532=D1532,"","Changed"))))</f>
        <v>Pre-seeded</v>
      </c>
      <c r="N1532" s="7" t="str">
        <f aca="false">TRIM(SUBSTITUTE(SUBSTITUTE(SUBSTITUTE(" "&amp;TRIM(SUBSTITUTE(SUBSTITUTE(SUBSTITUTE(SUBSTITUTE(SUBSTITUTE(SUBSTITUTE(SUBSTITUTE(SUBSTITUTE(SUBSTITUTE(SUBSTITUTE(SUBSTITUTE(SUBSTITUTE(SUBSTITUTE(SUBSTITUTE(SUBSTITUTE(UPPER(TRIM(A1532)),"[MEMBER]",""),"{MEMBER}",""),"[MEMBER}",""),"MEMBER]",""),"(A)",""),"""",""),"“",""),"”",""),".",""),":",""),",",""),"–"," "),"-"," "),"/"," "),"&amp;"," AND "))&amp;" "," THE "," ")," TOTAL "," ")," OPERATIONS "," "))</f>
        <v>RÍO NEGRO</v>
      </c>
      <c r="O1532" s="17" t="str">
        <f aca="false">IF(COUNTIFS($N$2:$N$2000,N1532,$D$2:$D$2000,"&lt;&gt;"&amp;D1532)&gt;0,"CONFLICT","")</f>
        <v/>
      </c>
      <c r="P1532" s="7"/>
    </row>
    <row r="1533" customFormat="false" ht="15" hidden="false" customHeight="false" outlineLevel="0" collapsed="false">
      <c r="A1533" s="7" t="s">
        <v>2689</v>
      </c>
      <c r="B1533" s="7" t="s">
        <v>1879</v>
      </c>
      <c r="C1533" s="7"/>
      <c r="D1533" s="6" t="s">
        <v>1315</v>
      </c>
      <c r="E1533" s="6" t="s">
        <v>1880</v>
      </c>
      <c r="F1533" s="7" t="str">
        <f aca="false">IF($D1533="","",IFERROR(IF(INDEX(Hierarchy!$B$2:$B$1295,MATCH($D1533,Hierarchy!$A$2:$A$1295,0))="","",INDEX(Hierarchy!$B$2:$B$1295,MATCH($D1533,Hierarchy!$A$2:$A$1295,0))),"NODE NOT FOUND"))</f>
        <v>Sub-region</v>
      </c>
      <c r="G1533" s="7" t="str">
        <f aca="false">IF($D1533="","",IFERROR(IF(INDEX(Hierarchy!$D$2:$D$1295,MATCH($D1533,Hierarchy!$A$2:$A$1295,0))="","",INDEX(Hierarchy!$D$2:$D$1295,MATCH($D1533,Hierarchy!$A$2:$A$1295,0))),"NODE NOT FOUND"))</f>
        <v>APAC</v>
      </c>
      <c r="H1533" s="7" t="str">
        <f aca="false">IF($D1533="","",IFERROR(IF(INDEX(Hierarchy!$E$2:$E$1295,MATCH($D1533,Hierarchy!$A$2:$A$1295,0))="","",INDEX(Hierarchy!$E$2:$E$1295,MATCH($D1533,Hierarchy!$A$2:$A$1295,0))),"NODE NOT FOUND"))</f>
        <v>South Asia</v>
      </c>
      <c r="I1533" s="7" t="str">
        <f aca="false">IF($D1533="","",IFERROR(IF(INDEX(Hierarchy!$F$2:$F$1295,MATCH($D1533,Hierarchy!$A$2:$A$1295,0))="","",INDEX(Hierarchy!$F$2:$F$1295,MATCH($D1533,Hierarchy!$A$2:$A$1295,0))),"NODE NOT FOUND"))</f>
        <v/>
      </c>
      <c r="J1533" s="7" t="str">
        <f aca="false">IF($D1533="","",IFERROR(IF(INDEX(Hierarchy!$G$2:$G$1295,MATCH($D1533,Hierarchy!$A$2:$A$1295,0))="","",INDEX(Hierarchy!$G$2:$G$1295,MATCH($D1533,Hierarchy!$A$2:$A$1295,0))),"NODE NOT FOUND"))</f>
        <v/>
      </c>
      <c r="K1533" s="7" t="str">
        <f aca="false">IF($D1533="","",IFERROR(IF(INDEX(Hierarchy!$H$2:$H$1295,MATCH($D1533,Hierarchy!$A$2:$A$1295,0))="","",INDEX(Hierarchy!$H$2:$H$1295,MATCH($D1533,Hierarchy!$A$2:$A$1295,0))),"NODE NOT FOUND"))</f>
        <v/>
      </c>
      <c r="L1533" s="7" t="str">
        <f aca="false">IF($D1533="","",IFERROR(IF(INDEX(Hierarchy!$I$2:$I$1295,MATCH($D1533,Hierarchy!$A$2:$A$1295,0))="","",INDEX(Hierarchy!$I$2:$I$1295,MATCH($D1533,Hierarchy!$A$2:$A$1295,0))),"NODE NOT FOUND"))</f>
        <v/>
      </c>
      <c r="M1533" s="17" t="str">
        <f aca="false">IF(B1533="Pre-seeded","Pre-seeded",IF(B1533="Review 2026-09-16","Added from review",IF(C1533="","New",IF(C1533=D1533,"","Changed"))))</f>
        <v>Pre-seeded</v>
      </c>
      <c r="N1533" s="7" t="str">
        <f aca="false">TRIM(SUBSTITUTE(SUBSTITUTE(SUBSTITUTE(" "&amp;TRIM(SUBSTITUTE(SUBSTITUTE(SUBSTITUTE(SUBSTITUTE(SUBSTITUTE(SUBSTITUTE(SUBSTITUTE(SUBSTITUTE(SUBSTITUTE(SUBSTITUTE(SUBSTITUTE(SUBSTITUTE(SUBSTITUTE(SUBSTITUTE(SUBSTITUTE(UPPER(TRIM(A1533)),"[MEMBER]",""),"{MEMBER}",""),"[MEMBER}",""),"MEMBER]",""),"(A)",""),"""",""),"“",""),"”",""),".",""),":",""),",",""),"–"," "),"-"," "),"/"," "),"&amp;"," AND "))&amp;" "," THE "," ")," TOTAL "," ")," OPERATIONS "," "))</f>
        <v>SAARC</v>
      </c>
      <c r="O1533" s="17" t="str">
        <f aca="false">IF(COUNTIFS($N$2:$N$2000,N1533,$D$2:$D$2000,"&lt;&gt;"&amp;D1533)&gt;0,"CONFLICT","")</f>
        <v/>
      </c>
      <c r="P1533" s="7"/>
    </row>
    <row r="1534" customFormat="false" ht="15" hidden="false" customHeight="false" outlineLevel="0" collapsed="false">
      <c r="A1534" s="7" t="s">
        <v>709</v>
      </c>
      <c r="B1534" s="7" t="s">
        <v>1879</v>
      </c>
      <c r="C1534" s="7"/>
      <c r="D1534" s="6" t="s">
        <v>709</v>
      </c>
      <c r="E1534" s="6" t="s">
        <v>1880</v>
      </c>
      <c r="F1534" s="7" t="str">
        <f aca="false">IF($D1534="","",IFERROR(IF(INDEX(Hierarchy!$B$2:$B$1295,MATCH($D1534,Hierarchy!$A$2:$A$1295,0))="","",INDEX(Hierarchy!$B$2:$B$1295,MATCH($D1534,Hierarchy!$A$2:$A$1295,0))),"NODE NOT FOUND"))</f>
        <v>State/Province</v>
      </c>
      <c r="G1534" s="7" t="str">
        <f aca="false">IF($D1534="","",IFERROR(IF(INDEX(Hierarchy!$D$2:$D$1295,MATCH($D1534,Hierarchy!$A$2:$A$1295,0))="","",INDEX(Hierarchy!$D$2:$D$1295,MATCH($D1534,Hierarchy!$A$2:$A$1295,0))),"NODE NOT FOUND"))</f>
        <v>EMEA</v>
      </c>
      <c r="H1534" s="7" t="str">
        <f aca="false">IF($D1534="","",IFERROR(IF(INDEX(Hierarchy!$E$2:$E$1295,MATCH($D1534,Hierarchy!$A$2:$A$1295,0))="","",INDEX(Hierarchy!$E$2:$E$1295,MATCH($D1534,Hierarchy!$A$2:$A$1295,0))),"NODE NOT FOUND"))</f>
        <v>Europe</v>
      </c>
      <c r="I1534" s="7" t="str">
        <f aca="false">IF($D1534="","",IFERROR(IF(INDEX(Hierarchy!$F$2:$F$1295,MATCH($D1534,Hierarchy!$A$2:$A$1295,0))="","",INDEX(Hierarchy!$F$2:$F$1295,MATCH($D1534,Hierarchy!$A$2:$A$1295,0))),"NODE NOT FOUND"))</f>
        <v>Germany</v>
      </c>
      <c r="J1534" s="7" t="str">
        <f aca="false">IF($D1534="","",IFERROR(IF(INDEX(Hierarchy!$G$2:$G$1295,MATCH($D1534,Hierarchy!$A$2:$A$1295,0))="","",INDEX(Hierarchy!$G$2:$G$1295,MATCH($D1534,Hierarchy!$A$2:$A$1295,0))),"NODE NOT FOUND"))</f>
        <v>DEU</v>
      </c>
      <c r="K1534" s="7" t="str">
        <f aca="false">IF($D1534="","",IFERROR(IF(INDEX(Hierarchy!$H$2:$H$1295,MATCH($D1534,Hierarchy!$A$2:$A$1295,0))="","",INDEX(Hierarchy!$H$2:$H$1295,MATCH($D1534,Hierarchy!$A$2:$A$1295,0))),"NODE NOT FOUND"))</f>
        <v>Saarland</v>
      </c>
      <c r="L1534" s="7" t="str">
        <f aca="false">IF($D1534="","",IFERROR(IF(INDEX(Hierarchy!$I$2:$I$1295,MATCH($D1534,Hierarchy!$A$2:$A$1295,0))="","",INDEX(Hierarchy!$I$2:$I$1295,MATCH($D1534,Hierarchy!$A$2:$A$1295,0))),"NODE NOT FOUND"))</f>
        <v/>
      </c>
      <c r="M1534" s="17" t="str">
        <f aca="false">IF(B1534="Pre-seeded","Pre-seeded",IF(B1534="Review 2026-09-16","Added from review",IF(C1534="","New",IF(C1534=D1534,"","Changed"))))</f>
        <v>Pre-seeded</v>
      </c>
      <c r="N1534" s="7" t="str">
        <f aca="false">TRIM(SUBSTITUTE(SUBSTITUTE(SUBSTITUTE(" "&amp;TRIM(SUBSTITUTE(SUBSTITUTE(SUBSTITUTE(SUBSTITUTE(SUBSTITUTE(SUBSTITUTE(SUBSTITUTE(SUBSTITUTE(SUBSTITUTE(SUBSTITUTE(SUBSTITUTE(SUBSTITUTE(SUBSTITUTE(SUBSTITUTE(SUBSTITUTE(UPPER(TRIM(A1534)),"[MEMBER]",""),"{MEMBER}",""),"[MEMBER}",""),"MEMBER]",""),"(A)",""),"""",""),"“",""),"”",""),".",""),":",""),",",""),"–"," "),"-"," "),"/"," "),"&amp;"," AND "))&amp;" "," THE "," ")," TOTAL "," ")," OPERATIONS "," "))</f>
        <v>SAARLAND</v>
      </c>
      <c r="O1534" s="17" t="str">
        <f aca="false">IF(COUNTIFS($N$2:$N$2000,N1534,$D$2:$D$2000,"&lt;&gt;"&amp;D1534)&gt;0,"CONFLICT","")</f>
        <v/>
      </c>
      <c r="P1534" s="7"/>
    </row>
    <row r="1535" customFormat="false" ht="15" hidden="false" customHeight="false" outlineLevel="0" collapsed="false">
      <c r="A1535" s="7" t="s">
        <v>1647</v>
      </c>
      <c r="B1535" s="7" t="s">
        <v>1879</v>
      </c>
      <c r="C1535" s="7"/>
      <c r="D1535" s="6" t="s">
        <v>1647</v>
      </c>
      <c r="E1535" s="6" t="s">
        <v>1880</v>
      </c>
      <c r="F1535" s="7" t="str">
        <f aca="false">IF($D1535="","",IFERROR(IF(INDEX(Hierarchy!$B$2:$B$1295,MATCH($D1535,Hierarchy!$A$2:$A$1295,0))="","",INDEX(Hierarchy!$B$2:$B$1295,MATCH($D1535,Hierarchy!$A$2:$A$1295,0))),"NODE NOT FOUND"))</f>
        <v>State/Province</v>
      </c>
      <c r="G1535" s="7" t="str">
        <f aca="false">IF($D1535="","",IFERROR(IF(INDEX(Hierarchy!$D$2:$D$1295,MATCH($D1535,Hierarchy!$A$2:$A$1295,0))="","",INDEX(Hierarchy!$D$2:$D$1295,MATCH($D1535,Hierarchy!$A$2:$A$1295,0))),"NODE NOT FOUND"))</f>
        <v>APAC</v>
      </c>
      <c r="H1535" s="7" t="str">
        <f aca="false">IF($D1535="","",IFERROR(IF(INDEX(Hierarchy!$E$2:$E$1295,MATCH($D1535,Hierarchy!$A$2:$A$1295,0))="","",INDEX(Hierarchy!$E$2:$E$1295,MATCH($D1535,Hierarchy!$A$2:$A$1295,0))),"NODE NOT FOUND"))</f>
        <v>Southeast Asia (ASEAN)</v>
      </c>
      <c r="I1535" s="7" t="str">
        <f aca="false">IF($D1535="","",IFERROR(IF(INDEX(Hierarchy!$F$2:$F$1295,MATCH($D1535,Hierarchy!$A$2:$A$1295,0))="","",INDEX(Hierarchy!$F$2:$F$1295,MATCH($D1535,Hierarchy!$A$2:$A$1295,0))),"NODE NOT FOUND"))</f>
        <v>Malaysia</v>
      </c>
      <c r="J1535" s="7" t="str">
        <f aca="false">IF($D1535="","",IFERROR(IF(INDEX(Hierarchy!$G$2:$G$1295,MATCH($D1535,Hierarchy!$A$2:$A$1295,0))="","",INDEX(Hierarchy!$G$2:$G$1295,MATCH($D1535,Hierarchy!$A$2:$A$1295,0))),"NODE NOT FOUND"))</f>
        <v>MYS</v>
      </c>
      <c r="K1535" s="7" t="str">
        <f aca="false">IF($D1535="","",IFERROR(IF(INDEX(Hierarchy!$H$2:$H$1295,MATCH($D1535,Hierarchy!$A$2:$A$1295,0))="","",INDEX(Hierarchy!$H$2:$H$1295,MATCH($D1535,Hierarchy!$A$2:$A$1295,0))),"NODE NOT FOUND"))</f>
        <v>Sabah</v>
      </c>
      <c r="L1535" s="7" t="str">
        <f aca="false">IF($D1535="","",IFERROR(IF(INDEX(Hierarchy!$I$2:$I$1295,MATCH($D1535,Hierarchy!$A$2:$A$1295,0))="","",INDEX(Hierarchy!$I$2:$I$1295,MATCH($D1535,Hierarchy!$A$2:$A$1295,0))),"NODE NOT FOUND"))</f>
        <v/>
      </c>
      <c r="M1535" s="17" t="str">
        <f aca="false">IF(B1535="Pre-seeded","Pre-seeded",IF(B1535="Review 2026-09-16","Added from review",IF(C1535="","New",IF(C1535=D1535,"","Changed"))))</f>
        <v>Pre-seeded</v>
      </c>
      <c r="N1535" s="7" t="str">
        <f aca="false">TRIM(SUBSTITUTE(SUBSTITUTE(SUBSTITUTE(" "&amp;TRIM(SUBSTITUTE(SUBSTITUTE(SUBSTITUTE(SUBSTITUTE(SUBSTITUTE(SUBSTITUTE(SUBSTITUTE(SUBSTITUTE(SUBSTITUTE(SUBSTITUTE(SUBSTITUTE(SUBSTITUTE(SUBSTITUTE(SUBSTITUTE(SUBSTITUTE(UPPER(TRIM(A1535)),"[MEMBER]",""),"{MEMBER}",""),"[MEMBER}",""),"MEMBER]",""),"(A)",""),"""",""),"“",""),"”",""),".",""),":",""),",",""),"–"," "),"-"," "),"/"," "),"&amp;"," AND "))&amp;" "," THE "," ")," TOTAL "," ")," OPERATIONS "," "))</f>
        <v>SABAH</v>
      </c>
      <c r="O1535" s="17" t="str">
        <f aca="false">IF(COUNTIFS($N$2:$N$2000,N1535,$D$2:$D$2000,"&lt;&gt;"&amp;D1535)&gt;0,"CONFLICT","")</f>
        <v/>
      </c>
      <c r="P1535" s="7"/>
    </row>
    <row r="1536" customFormat="false" ht="15" hidden="false" customHeight="false" outlineLevel="0" collapsed="false">
      <c r="A1536" s="7" t="s">
        <v>1414</v>
      </c>
      <c r="B1536" s="7" t="s">
        <v>1879</v>
      </c>
      <c r="C1536" s="7"/>
      <c r="D1536" s="6" t="s">
        <v>1414</v>
      </c>
      <c r="E1536" s="6" t="s">
        <v>1880</v>
      </c>
      <c r="F1536" s="7" t="str">
        <f aca="false">IF($D1536="","",IFERROR(IF(INDEX(Hierarchy!$B$2:$B$1295,MATCH($D1536,Hierarchy!$A$2:$A$1295,0))="","",INDEX(Hierarchy!$B$2:$B$1295,MATCH($D1536,Hierarchy!$A$2:$A$1295,0))),"NODE NOT FOUND"))</f>
        <v>State/Province</v>
      </c>
      <c r="G1536" s="7" t="str">
        <f aca="false">IF($D1536="","",IFERROR(IF(INDEX(Hierarchy!$D$2:$D$1295,MATCH($D1536,Hierarchy!$A$2:$A$1295,0))="","",INDEX(Hierarchy!$D$2:$D$1295,MATCH($D1536,Hierarchy!$A$2:$A$1295,0))),"NODE NOT FOUND"))</f>
        <v>APAC</v>
      </c>
      <c r="H1536" s="7" t="str">
        <f aca="false">IF($D1536="","",IFERROR(IF(INDEX(Hierarchy!$E$2:$E$1295,MATCH($D1536,Hierarchy!$A$2:$A$1295,0))="","",INDEX(Hierarchy!$E$2:$E$1295,MATCH($D1536,Hierarchy!$A$2:$A$1295,0))),"NODE NOT FOUND"))</f>
        <v>South Asia</v>
      </c>
      <c r="I1536" s="7" t="str">
        <f aca="false">IF($D1536="","",IFERROR(IF(INDEX(Hierarchy!$F$2:$F$1295,MATCH($D1536,Hierarchy!$A$2:$A$1295,0))="","",INDEX(Hierarchy!$F$2:$F$1295,MATCH($D1536,Hierarchy!$A$2:$A$1295,0))),"NODE NOT FOUND"))</f>
        <v>Sri Lanka</v>
      </c>
      <c r="J1536" s="7" t="str">
        <f aca="false">IF($D1536="","",IFERROR(IF(INDEX(Hierarchy!$G$2:$G$1295,MATCH($D1536,Hierarchy!$A$2:$A$1295,0))="","",INDEX(Hierarchy!$G$2:$G$1295,MATCH($D1536,Hierarchy!$A$2:$A$1295,0))),"NODE NOT FOUND"))</f>
        <v>LKA</v>
      </c>
      <c r="K1536" s="7" t="str">
        <f aca="false">IF($D1536="","",IFERROR(IF(INDEX(Hierarchy!$H$2:$H$1295,MATCH($D1536,Hierarchy!$A$2:$A$1295,0))="","",INDEX(Hierarchy!$H$2:$H$1295,MATCH($D1536,Hierarchy!$A$2:$A$1295,0))),"NODE NOT FOUND"))</f>
        <v>Sabaragamuwa Province (Sri Lanka)</v>
      </c>
      <c r="L1536" s="7" t="str">
        <f aca="false">IF($D1536="","",IFERROR(IF(INDEX(Hierarchy!$I$2:$I$1295,MATCH($D1536,Hierarchy!$A$2:$A$1295,0))="","",INDEX(Hierarchy!$I$2:$I$1295,MATCH($D1536,Hierarchy!$A$2:$A$1295,0))),"NODE NOT FOUND"))</f>
        <v/>
      </c>
      <c r="M1536" s="17" t="str">
        <f aca="false">IF(B1536="Pre-seeded","Pre-seeded",IF(B1536="Review 2026-09-16","Added from review",IF(C1536="","New",IF(C1536=D1536,"","Changed"))))</f>
        <v>Pre-seeded</v>
      </c>
      <c r="N1536" s="7" t="str">
        <f aca="false">TRIM(SUBSTITUTE(SUBSTITUTE(SUBSTITUTE(" "&amp;TRIM(SUBSTITUTE(SUBSTITUTE(SUBSTITUTE(SUBSTITUTE(SUBSTITUTE(SUBSTITUTE(SUBSTITUTE(SUBSTITUTE(SUBSTITUTE(SUBSTITUTE(SUBSTITUTE(SUBSTITUTE(SUBSTITUTE(SUBSTITUTE(SUBSTITUTE(UPPER(TRIM(A1536)),"[MEMBER]",""),"{MEMBER}",""),"[MEMBER}",""),"MEMBER]",""),"(A)",""),"""",""),"“",""),"”",""),".",""),":",""),",",""),"–"," "),"-"," "),"/"," "),"&amp;"," AND "))&amp;" "," THE "," ")," TOTAL "," ")," OPERATIONS "," "))</f>
        <v>SABARAGAMUWA PROVINCE (SRI LANKA)</v>
      </c>
      <c r="O1536" s="17" t="str">
        <f aca="false">IF(COUNTIFS($N$2:$N$2000,N1536,$D$2:$D$2000,"&lt;&gt;"&amp;D1536)&gt;0,"CONFLICT","")</f>
        <v/>
      </c>
      <c r="P1536" s="7"/>
    </row>
    <row r="1537" customFormat="false" ht="15" hidden="false" customHeight="false" outlineLevel="0" collapsed="false">
      <c r="A1537" s="7" t="s">
        <v>2690</v>
      </c>
      <c r="B1537" s="7" t="s">
        <v>1879</v>
      </c>
      <c r="C1537" s="7"/>
      <c r="D1537" s="6" t="s">
        <v>710</v>
      </c>
      <c r="E1537" s="6" t="s">
        <v>1880</v>
      </c>
      <c r="F1537" s="7" t="str">
        <f aca="false">IF($D1537="","",IFERROR(IF(INDEX(Hierarchy!$B$2:$B$1295,MATCH($D1537,Hierarchy!$A$2:$A$1295,0))="","",INDEX(Hierarchy!$B$2:$B$1295,MATCH($D1537,Hierarchy!$A$2:$A$1295,0))),"NODE NOT FOUND"))</f>
        <v>State/Province</v>
      </c>
      <c r="G1537" s="7" t="str">
        <f aca="false">IF($D1537="","",IFERROR(IF(INDEX(Hierarchy!$D$2:$D$1295,MATCH($D1537,Hierarchy!$A$2:$A$1295,0))="","",INDEX(Hierarchy!$D$2:$D$1295,MATCH($D1537,Hierarchy!$A$2:$A$1295,0))),"NODE NOT FOUND"))</f>
        <v>EMEA</v>
      </c>
      <c r="H1537" s="7" t="str">
        <f aca="false">IF($D1537="","",IFERROR(IF(INDEX(Hierarchy!$E$2:$E$1295,MATCH($D1537,Hierarchy!$A$2:$A$1295,0))="","",INDEX(Hierarchy!$E$2:$E$1295,MATCH($D1537,Hierarchy!$A$2:$A$1295,0))),"NODE NOT FOUND"))</f>
        <v>Europe</v>
      </c>
      <c r="I1537" s="7" t="str">
        <f aca="false">IF($D1537="","",IFERROR(IF(INDEX(Hierarchy!$F$2:$F$1295,MATCH($D1537,Hierarchy!$A$2:$A$1295,0))="","",INDEX(Hierarchy!$F$2:$F$1295,MATCH($D1537,Hierarchy!$A$2:$A$1295,0))),"NODE NOT FOUND"))</f>
        <v>Germany</v>
      </c>
      <c r="J1537" s="7" t="str">
        <f aca="false">IF($D1537="","",IFERROR(IF(INDEX(Hierarchy!$G$2:$G$1295,MATCH($D1537,Hierarchy!$A$2:$A$1295,0))="","",INDEX(Hierarchy!$G$2:$G$1295,MATCH($D1537,Hierarchy!$A$2:$A$1295,0))),"NODE NOT FOUND"))</f>
        <v>DEU</v>
      </c>
      <c r="K1537" s="7" t="str">
        <f aca="false">IF($D1537="","",IFERROR(IF(INDEX(Hierarchy!$H$2:$H$1295,MATCH($D1537,Hierarchy!$A$2:$A$1295,0))="","",INDEX(Hierarchy!$H$2:$H$1295,MATCH($D1537,Hierarchy!$A$2:$A$1295,0))),"NODE NOT FOUND"))</f>
        <v>Saxony</v>
      </c>
      <c r="L1537" s="7" t="str">
        <f aca="false">IF($D1537="","",IFERROR(IF(INDEX(Hierarchy!$I$2:$I$1295,MATCH($D1537,Hierarchy!$A$2:$A$1295,0))="","",INDEX(Hierarchy!$I$2:$I$1295,MATCH($D1537,Hierarchy!$A$2:$A$1295,0))),"NODE NOT FOUND"))</f>
        <v/>
      </c>
      <c r="M1537" s="17" t="str">
        <f aca="false">IF(B1537="Pre-seeded","Pre-seeded",IF(B1537="Review 2026-09-16","Added from review",IF(C1537="","New",IF(C1537=D1537,"","Changed"))))</f>
        <v>Pre-seeded</v>
      </c>
      <c r="N1537" s="7" t="str">
        <f aca="false">TRIM(SUBSTITUTE(SUBSTITUTE(SUBSTITUTE(" "&amp;TRIM(SUBSTITUTE(SUBSTITUTE(SUBSTITUTE(SUBSTITUTE(SUBSTITUTE(SUBSTITUTE(SUBSTITUTE(SUBSTITUTE(SUBSTITUTE(SUBSTITUTE(SUBSTITUTE(SUBSTITUTE(SUBSTITUTE(SUBSTITUTE(SUBSTITUTE(UPPER(TRIM(A1537)),"[MEMBER]",""),"{MEMBER}",""),"[MEMBER}",""),"MEMBER]",""),"(A)",""),"""",""),"“",""),"”",""),".",""),":",""),",",""),"–"," "),"-"," "),"/"," "),"&amp;"," AND "))&amp;" "," THE "," ")," TOTAL "," ")," OPERATIONS "," "))</f>
        <v>SACHSEN</v>
      </c>
      <c r="O1537" s="17" t="str">
        <f aca="false">IF(COUNTIFS($N$2:$N$2000,N1537,$D$2:$D$2000,"&lt;&gt;"&amp;D1537)&gt;0,"CONFLICT","")</f>
        <v/>
      </c>
      <c r="P1537" s="7"/>
    </row>
    <row r="1538" customFormat="false" ht="15" hidden="false" customHeight="false" outlineLevel="0" collapsed="false">
      <c r="A1538" s="7" t="s">
        <v>2691</v>
      </c>
      <c r="B1538" s="7" t="s">
        <v>1879</v>
      </c>
      <c r="C1538" s="7"/>
      <c r="D1538" s="6" t="s">
        <v>711</v>
      </c>
      <c r="E1538" s="6" t="s">
        <v>1880</v>
      </c>
      <c r="F1538" s="7" t="str">
        <f aca="false">IF($D1538="","",IFERROR(IF(INDEX(Hierarchy!$B$2:$B$1295,MATCH($D1538,Hierarchy!$A$2:$A$1295,0))="","",INDEX(Hierarchy!$B$2:$B$1295,MATCH($D1538,Hierarchy!$A$2:$A$1295,0))),"NODE NOT FOUND"))</f>
        <v>State/Province</v>
      </c>
      <c r="G1538" s="7" t="str">
        <f aca="false">IF($D1538="","",IFERROR(IF(INDEX(Hierarchy!$D$2:$D$1295,MATCH($D1538,Hierarchy!$A$2:$A$1295,0))="","",INDEX(Hierarchy!$D$2:$D$1295,MATCH($D1538,Hierarchy!$A$2:$A$1295,0))),"NODE NOT FOUND"))</f>
        <v>EMEA</v>
      </c>
      <c r="H1538" s="7" t="str">
        <f aca="false">IF($D1538="","",IFERROR(IF(INDEX(Hierarchy!$E$2:$E$1295,MATCH($D1538,Hierarchy!$A$2:$A$1295,0))="","",INDEX(Hierarchy!$E$2:$E$1295,MATCH($D1538,Hierarchy!$A$2:$A$1295,0))),"NODE NOT FOUND"))</f>
        <v>Europe</v>
      </c>
      <c r="I1538" s="7" t="str">
        <f aca="false">IF($D1538="","",IFERROR(IF(INDEX(Hierarchy!$F$2:$F$1295,MATCH($D1538,Hierarchy!$A$2:$A$1295,0))="","",INDEX(Hierarchy!$F$2:$F$1295,MATCH($D1538,Hierarchy!$A$2:$A$1295,0))),"NODE NOT FOUND"))</f>
        <v>Germany</v>
      </c>
      <c r="J1538" s="7" t="str">
        <f aca="false">IF($D1538="","",IFERROR(IF(INDEX(Hierarchy!$G$2:$G$1295,MATCH($D1538,Hierarchy!$A$2:$A$1295,0))="","",INDEX(Hierarchy!$G$2:$G$1295,MATCH($D1538,Hierarchy!$A$2:$A$1295,0))),"NODE NOT FOUND"))</f>
        <v>DEU</v>
      </c>
      <c r="K1538" s="7" t="str">
        <f aca="false">IF($D1538="","",IFERROR(IF(INDEX(Hierarchy!$H$2:$H$1295,MATCH($D1538,Hierarchy!$A$2:$A$1295,0))="","",INDEX(Hierarchy!$H$2:$H$1295,MATCH($D1538,Hierarchy!$A$2:$A$1295,0))),"NODE NOT FOUND"))</f>
        <v>Saxony-Anhalt</v>
      </c>
      <c r="L1538" s="7" t="str">
        <f aca="false">IF($D1538="","",IFERROR(IF(INDEX(Hierarchy!$I$2:$I$1295,MATCH($D1538,Hierarchy!$A$2:$A$1295,0))="","",INDEX(Hierarchy!$I$2:$I$1295,MATCH($D1538,Hierarchy!$A$2:$A$1295,0))),"NODE NOT FOUND"))</f>
        <v/>
      </c>
      <c r="M1538" s="17" t="str">
        <f aca="false">IF(B1538="Pre-seeded","Pre-seeded",IF(B1538="Review 2026-09-16","Added from review",IF(C1538="","New",IF(C1538=D1538,"","Changed"))))</f>
        <v>Pre-seeded</v>
      </c>
      <c r="N1538" s="7" t="str">
        <f aca="false">TRIM(SUBSTITUTE(SUBSTITUTE(SUBSTITUTE(" "&amp;TRIM(SUBSTITUTE(SUBSTITUTE(SUBSTITUTE(SUBSTITUTE(SUBSTITUTE(SUBSTITUTE(SUBSTITUTE(SUBSTITUTE(SUBSTITUTE(SUBSTITUTE(SUBSTITUTE(SUBSTITUTE(SUBSTITUTE(SUBSTITUTE(SUBSTITUTE(UPPER(TRIM(A1538)),"[MEMBER]",""),"{MEMBER}",""),"[MEMBER}",""),"MEMBER]",""),"(A)",""),"""",""),"“",""),"”",""),".",""),":",""),",",""),"–"," "),"-"," "),"/"," "),"&amp;"," AND "))&amp;" "," THE "," ")," TOTAL "," ")," OPERATIONS "," "))</f>
        <v>SACHSEN ANHALT</v>
      </c>
      <c r="O1538" s="17" t="str">
        <f aca="false">IF(COUNTIFS($N$2:$N$2000,N1538,$D$2:$D$2000,"&lt;&gt;"&amp;D1538)&gt;0,"CONFLICT","")</f>
        <v/>
      </c>
      <c r="P1538" s="7"/>
    </row>
    <row r="1539" customFormat="false" ht="15" hidden="false" customHeight="false" outlineLevel="0" collapsed="false">
      <c r="A1539" s="7" t="s">
        <v>146</v>
      </c>
      <c r="B1539" s="7" t="s">
        <v>1882</v>
      </c>
      <c r="C1539" s="7" t="s">
        <v>146</v>
      </c>
      <c r="D1539" s="6" t="s">
        <v>146</v>
      </c>
      <c r="E1539" s="6" t="s">
        <v>1880</v>
      </c>
      <c r="F1539" s="7" t="str">
        <f aca="false">IF($D1539="","",IFERROR(IF(INDEX(Hierarchy!$B$2:$B$1295,MATCH($D1539,Hierarchy!$A$2:$A$1295,0))="","",INDEX(Hierarchy!$B$2:$B$1295,MATCH($D1539,Hierarchy!$A$2:$A$1295,0))),"NODE NOT FOUND"))</f>
        <v>City</v>
      </c>
      <c r="G1539" s="7" t="str">
        <f aca="false">IF($D1539="","",IFERROR(IF(INDEX(Hierarchy!$D$2:$D$1295,MATCH($D1539,Hierarchy!$A$2:$A$1295,0))="","",INDEX(Hierarchy!$D$2:$D$1295,MATCH($D1539,Hierarchy!$A$2:$A$1295,0))),"NODE NOT FOUND"))</f>
        <v>AMER</v>
      </c>
      <c r="H1539" s="7" t="str">
        <f aca="false">IF($D1539="","",IFERROR(IF(INDEX(Hierarchy!$E$2:$E$1295,MATCH($D1539,Hierarchy!$A$2:$A$1295,0))="","",INDEX(Hierarchy!$E$2:$E$1295,MATCH($D1539,Hierarchy!$A$2:$A$1295,0))),"NODE NOT FOUND"))</f>
        <v>North America (NORAM)</v>
      </c>
      <c r="I1539" s="7" t="str">
        <f aca="false">IF($D1539="","",IFERROR(IF(INDEX(Hierarchy!$F$2:$F$1295,MATCH($D1539,Hierarchy!$A$2:$A$1295,0))="","",INDEX(Hierarchy!$F$2:$F$1295,MATCH($D1539,Hierarchy!$A$2:$A$1295,0))),"NODE NOT FOUND"))</f>
        <v>United States</v>
      </c>
      <c r="J1539" s="7" t="str">
        <f aca="false">IF($D1539="","",IFERROR(IF(INDEX(Hierarchy!$G$2:$G$1295,MATCH($D1539,Hierarchy!$A$2:$A$1295,0))="","",INDEX(Hierarchy!$G$2:$G$1295,MATCH($D1539,Hierarchy!$A$2:$A$1295,0))),"NODE NOT FOUND"))</f>
        <v>USA</v>
      </c>
      <c r="K1539" s="7" t="str">
        <f aca="false">IF($D1539="","",IFERROR(IF(INDEX(Hierarchy!$H$2:$H$1295,MATCH($D1539,Hierarchy!$A$2:$A$1295,0))="","",INDEX(Hierarchy!$H$2:$H$1295,MATCH($D1539,Hierarchy!$A$2:$A$1295,0))),"NODE NOT FOUND"))</f>
        <v>California</v>
      </c>
      <c r="L1539" s="7" t="str">
        <f aca="false">IF($D1539="","",IFERROR(IF(INDEX(Hierarchy!$I$2:$I$1295,MATCH($D1539,Hierarchy!$A$2:$A$1295,0))="","",INDEX(Hierarchy!$I$2:$I$1295,MATCH($D1539,Hierarchy!$A$2:$A$1295,0))),"NODE NOT FOUND"))</f>
        <v>Sacramento Area</v>
      </c>
      <c r="M1539" s="17" t="str">
        <f aca="false">IF(B1539="Pre-seeded","Pre-seeded",IF(B1539="Review 2026-09-16","Added from review",IF(C1539="","New",IF(C1539=D1539,"","Changed"))))</f>
        <v/>
      </c>
      <c r="N1539" s="7" t="str">
        <f aca="false">TRIM(SUBSTITUTE(SUBSTITUTE(SUBSTITUTE(" "&amp;TRIM(SUBSTITUTE(SUBSTITUTE(SUBSTITUTE(SUBSTITUTE(SUBSTITUTE(SUBSTITUTE(SUBSTITUTE(SUBSTITUTE(SUBSTITUTE(SUBSTITUTE(SUBSTITUTE(SUBSTITUTE(SUBSTITUTE(SUBSTITUTE(SUBSTITUTE(UPPER(TRIM(A1539)),"[MEMBER]",""),"{MEMBER}",""),"[MEMBER}",""),"MEMBER]",""),"(A)",""),"""",""),"“",""),"”",""),".",""),":",""),",",""),"–"," "),"-"," "),"/"," "),"&amp;"," AND "))&amp;" "," THE "," ")," TOTAL "," ")," OPERATIONS "," "))</f>
        <v>SACRAMENTO AREA</v>
      </c>
      <c r="O1539" s="17" t="str">
        <f aca="false">IF(COUNTIFS($N$2:$N$2000,N1539,$D$2:$D$2000,"&lt;&gt;"&amp;D1539)&gt;0,"CONFLICT","")</f>
        <v/>
      </c>
      <c r="P1539" s="7"/>
    </row>
    <row r="1540" customFormat="false" ht="15" hidden="false" customHeight="false" outlineLevel="0" collapsed="false">
      <c r="A1540" s="7" t="s">
        <v>1474</v>
      </c>
      <c r="B1540" s="7" t="s">
        <v>1879</v>
      </c>
      <c r="C1540" s="7"/>
      <c r="D1540" s="6" t="s">
        <v>1474</v>
      </c>
      <c r="E1540" s="6" t="s">
        <v>1880</v>
      </c>
      <c r="F1540" s="7" t="str">
        <f aca="false">IF($D1540="","",IFERROR(IF(INDEX(Hierarchy!$B$2:$B$1295,MATCH($D1540,Hierarchy!$A$2:$A$1295,0))="","",INDEX(Hierarchy!$B$2:$B$1295,MATCH($D1540,Hierarchy!$A$2:$A$1295,0))),"NODE NOT FOUND"))</f>
        <v>State/Province</v>
      </c>
      <c r="G1540" s="7" t="str">
        <f aca="false">IF($D1540="","",IFERROR(IF(INDEX(Hierarchy!$D$2:$D$1295,MATCH($D1540,Hierarchy!$A$2:$A$1295,0))="","",INDEX(Hierarchy!$D$2:$D$1295,MATCH($D1540,Hierarchy!$A$2:$A$1295,0))),"NODE NOT FOUND"))</f>
        <v>APAC</v>
      </c>
      <c r="H1540" s="7" t="str">
        <f aca="false">IF($D1540="","",IFERROR(IF(INDEX(Hierarchy!$E$2:$E$1295,MATCH($D1540,Hierarchy!$A$2:$A$1295,0))="","",INDEX(Hierarchy!$E$2:$E$1295,MATCH($D1540,Hierarchy!$A$2:$A$1295,0))),"NODE NOT FOUND"))</f>
        <v>East Asia</v>
      </c>
      <c r="I1540" s="7" t="str">
        <f aca="false">IF($D1540="","",IFERROR(IF(INDEX(Hierarchy!$F$2:$F$1295,MATCH($D1540,Hierarchy!$A$2:$A$1295,0))="","",INDEX(Hierarchy!$F$2:$F$1295,MATCH($D1540,Hierarchy!$A$2:$A$1295,0))),"NODE NOT FOUND"))</f>
        <v>Japan</v>
      </c>
      <c r="J1540" s="7" t="str">
        <f aca="false">IF($D1540="","",IFERROR(IF(INDEX(Hierarchy!$G$2:$G$1295,MATCH($D1540,Hierarchy!$A$2:$A$1295,0))="","",INDEX(Hierarchy!$G$2:$G$1295,MATCH($D1540,Hierarchy!$A$2:$A$1295,0))),"NODE NOT FOUND"))</f>
        <v>JPN</v>
      </c>
      <c r="K1540" s="7" t="str">
        <f aca="false">IF($D1540="","",IFERROR(IF(INDEX(Hierarchy!$H$2:$H$1295,MATCH($D1540,Hierarchy!$A$2:$A$1295,0))="","",INDEX(Hierarchy!$H$2:$H$1295,MATCH($D1540,Hierarchy!$A$2:$A$1295,0))),"NODE NOT FOUND"))</f>
        <v>Saga</v>
      </c>
      <c r="L1540" s="7" t="str">
        <f aca="false">IF($D1540="","",IFERROR(IF(INDEX(Hierarchy!$I$2:$I$1295,MATCH($D1540,Hierarchy!$A$2:$A$1295,0))="","",INDEX(Hierarchy!$I$2:$I$1295,MATCH($D1540,Hierarchy!$A$2:$A$1295,0))),"NODE NOT FOUND"))</f>
        <v/>
      </c>
      <c r="M1540" s="17" t="str">
        <f aca="false">IF(B1540="Pre-seeded","Pre-seeded",IF(B1540="Review 2026-09-16","Added from review",IF(C1540="","New",IF(C1540=D1540,"","Changed"))))</f>
        <v>Pre-seeded</v>
      </c>
      <c r="N1540" s="7" t="str">
        <f aca="false">TRIM(SUBSTITUTE(SUBSTITUTE(SUBSTITUTE(" "&amp;TRIM(SUBSTITUTE(SUBSTITUTE(SUBSTITUTE(SUBSTITUTE(SUBSTITUTE(SUBSTITUTE(SUBSTITUTE(SUBSTITUTE(SUBSTITUTE(SUBSTITUTE(SUBSTITUTE(SUBSTITUTE(SUBSTITUTE(SUBSTITUTE(SUBSTITUTE(UPPER(TRIM(A1540)),"[MEMBER]",""),"{MEMBER}",""),"[MEMBER}",""),"MEMBER]",""),"(A)",""),"""",""),"“",""),"”",""),".",""),":",""),",",""),"–"," "),"-"," "),"/"," "),"&amp;"," AND "))&amp;" "," THE "," ")," TOTAL "," ")," OPERATIONS "," "))</f>
        <v>SAGA</v>
      </c>
      <c r="O1540" s="17" t="str">
        <f aca="false">IF(COUNTIFS($N$2:$N$2000,N1540,$D$2:$D$2000,"&lt;&gt;"&amp;D1540)&gt;0,"CONFLICT","")</f>
        <v/>
      </c>
      <c r="P1540" s="7"/>
    </row>
    <row r="1541" customFormat="false" ht="15" hidden="false" customHeight="false" outlineLevel="0" collapsed="false">
      <c r="A1541" s="7" t="s">
        <v>2692</v>
      </c>
      <c r="B1541" s="7" t="s">
        <v>1879</v>
      </c>
      <c r="C1541" s="7"/>
      <c r="D1541" s="6" t="s">
        <v>1693</v>
      </c>
      <c r="E1541" s="6" t="s">
        <v>1880</v>
      </c>
      <c r="F1541" s="7" t="str">
        <f aca="false">IF($D1541="","",IFERROR(IF(INDEX(Hierarchy!$B$2:$B$1295,MATCH($D1541,Hierarchy!$A$2:$A$1295,0))="","",INDEX(Hierarchy!$B$2:$B$1295,MATCH($D1541,Hierarchy!$A$2:$A$1295,0))),"NODE NOT FOUND"))</f>
        <v>City</v>
      </c>
      <c r="G1541" s="7" t="str">
        <f aca="false">IF($D1541="","",IFERROR(IF(INDEX(Hierarchy!$D$2:$D$1295,MATCH($D1541,Hierarchy!$A$2:$A$1295,0))="","",INDEX(Hierarchy!$D$2:$D$1295,MATCH($D1541,Hierarchy!$A$2:$A$1295,0))),"NODE NOT FOUND"))</f>
        <v>APAC</v>
      </c>
      <c r="H1541" s="7" t="str">
        <f aca="false">IF($D1541="","",IFERROR(IF(INDEX(Hierarchy!$E$2:$E$1295,MATCH($D1541,Hierarchy!$A$2:$A$1295,0))="","",INDEX(Hierarchy!$E$2:$E$1295,MATCH($D1541,Hierarchy!$A$2:$A$1295,0))),"NODE NOT FOUND"))</f>
        <v>Southeast Asia (ASEAN)</v>
      </c>
      <c r="I1541" s="7" t="str">
        <f aca="false">IF($D1541="","",IFERROR(IF(INDEX(Hierarchy!$F$2:$F$1295,MATCH($D1541,Hierarchy!$A$2:$A$1295,0))="","",INDEX(Hierarchy!$F$2:$F$1295,MATCH($D1541,Hierarchy!$A$2:$A$1295,0))),"NODE NOT FOUND"))</f>
        <v>Vietnam</v>
      </c>
      <c r="J1541" s="7" t="str">
        <f aca="false">IF($D1541="","",IFERROR(IF(INDEX(Hierarchy!$G$2:$G$1295,MATCH($D1541,Hierarchy!$A$2:$A$1295,0))="","",INDEX(Hierarchy!$G$2:$G$1295,MATCH($D1541,Hierarchy!$A$2:$A$1295,0))),"NODE NOT FOUND"))</f>
        <v>VNM</v>
      </c>
      <c r="K1541" s="7" t="str">
        <f aca="false">IF($D1541="","",IFERROR(IF(INDEX(Hierarchy!$H$2:$H$1295,MATCH($D1541,Hierarchy!$A$2:$A$1295,0))="","",INDEX(Hierarchy!$H$2:$H$1295,MATCH($D1541,Hierarchy!$A$2:$A$1295,0))),"NODE NOT FOUND"))</f>
        <v/>
      </c>
      <c r="L1541" s="7" t="str">
        <f aca="false">IF($D1541="","",IFERROR(IF(INDEX(Hierarchy!$I$2:$I$1295,MATCH($D1541,Hierarchy!$A$2:$A$1295,0))="","",INDEX(Hierarchy!$I$2:$I$1295,MATCH($D1541,Hierarchy!$A$2:$A$1295,0))),"NODE NOT FOUND"))</f>
        <v>Ho Chi Minh City</v>
      </c>
      <c r="M1541" s="17" t="str">
        <f aca="false">IF(B1541="Pre-seeded","Pre-seeded",IF(B1541="Review 2026-09-16","Added from review",IF(C1541="","New",IF(C1541=D1541,"","Changed"))))</f>
        <v>Pre-seeded</v>
      </c>
      <c r="N1541" s="7" t="str">
        <f aca="false">TRIM(SUBSTITUTE(SUBSTITUTE(SUBSTITUTE(" "&amp;TRIM(SUBSTITUTE(SUBSTITUTE(SUBSTITUTE(SUBSTITUTE(SUBSTITUTE(SUBSTITUTE(SUBSTITUTE(SUBSTITUTE(SUBSTITUTE(SUBSTITUTE(SUBSTITUTE(SUBSTITUTE(SUBSTITUTE(SUBSTITUTE(SUBSTITUTE(UPPER(TRIM(A1541)),"[MEMBER]",""),"{MEMBER}",""),"[MEMBER}",""),"MEMBER]",""),"(A)",""),"""",""),"“",""),"”",""),".",""),":",""),",",""),"–"," "),"-"," "),"/"," "),"&amp;"," AND "))&amp;" "," THE "," ")," TOTAL "," ")," OPERATIONS "," "))</f>
        <v>SAIGON</v>
      </c>
      <c r="O1541" s="17" t="str">
        <f aca="false">IF(COUNTIFS($N$2:$N$2000,N1541,$D$2:$D$2000,"&lt;&gt;"&amp;D1541)&gt;0,"CONFLICT","")</f>
        <v/>
      </c>
      <c r="P1541" s="7"/>
    </row>
    <row r="1542" customFormat="false" ht="15" hidden="false" customHeight="false" outlineLevel="0" collapsed="false">
      <c r="A1542" s="7" t="s">
        <v>591</v>
      </c>
      <c r="B1542" s="7" t="s">
        <v>1879</v>
      </c>
      <c r="C1542" s="7"/>
      <c r="D1542" s="6" t="s">
        <v>591</v>
      </c>
      <c r="E1542" s="6" t="s">
        <v>1880</v>
      </c>
      <c r="F1542" s="7" t="str">
        <f aca="false">IF($D1542="","",IFERROR(IF(INDEX(Hierarchy!$B$2:$B$1295,MATCH($D1542,Hierarchy!$A$2:$A$1295,0))="","",INDEX(Hierarchy!$B$2:$B$1295,MATCH($D1542,Hierarchy!$A$2:$A$1295,0))),"NODE NOT FOUND"))</f>
        <v>Country</v>
      </c>
      <c r="G1542" s="7" t="str">
        <f aca="false">IF($D1542="","",IFERROR(IF(INDEX(Hierarchy!$D$2:$D$1295,MATCH($D1542,Hierarchy!$A$2:$A$1295,0))="","",INDEX(Hierarchy!$D$2:$D$1295,MATCH($D1542,Hierarchy!$A$2:$A$1295,0))),"NODE NOT FOUND"))</f>
        <v>AMER</v>
      </c>
      <c r="H1542" s="7" t="str">
        <f aca="false">IF($D1542="","",IFERROR(IF(INDEX(Hierarchy!$E$2:$E$1295,MATCH($D1542,Hierarchy!$A$2:$A$1295,0))="","",INDEX(Hierarchy!$E$2:$E$1295,MATCH($D1542,Hierarchy!$A$2:$A$1295,0))),"NODE NOT FOUND"))</f>
        <v>Latin America (LATAM)</v>
      </c>
      <c r="I1542" s="7" t="str">
        <f aca="false">IF($D1542="","",IFERROR(IF(INDEX(Hierarchy!$F$2:$F$1295,MATCH($D1542,Hierarchy!$A$2:$A$1295,0))="","",INDEX(Hierarchy!$F$2:$F$1295,MATCH($D1542,Hierarchy!$A$2:$A$1295,0))),"NODE NOT FOUND"))</f>
        <v>Saint Barthélemy</v>
      </c>
      <c r="J1542" s="7" t="str">
        <f aca="false">IF($D1542="","",IFERROR(IF(INDEX(Hierarchy!$G$2:$G$1295,MATCH($D1542,Hierarchy!$A$2:$A$1295,0))="","",INDEX(Hierarchy!$G$2:$G$1295,MATCH($D1542,Hierarchy!$A$2:$A$1295,0))),"NODE NOT FOUND"))</f>
        <v>BLM</v>
      </c>
      <c r="K1542" s="7" t="str">
        <f aca="false">IF($D1542="","",IFERROR(IF(INDEX(Hierarchy!$H$2:$H$1295,MATCH($D1542,Hierarchy!$A$2:$A$1295,0))="","",INDEX(Hierarchy!$H$2:$H$1295,MATCH($D1542,Hierarchy!$A$2:$A$1295,0))),"NODE NOT FOUND"))</f>
        <v/>
      </c>
      <c r="L1542" s="7" t="str">
        <f aca="false">IF($D1542="","",IFERROR(IF(INDEX(Hierarchy!$I$2:$I$1295,MATCH($D1542,Hierarchy!$A$2:$A$1295,0))="","",INDEX(Hierarchy!$I$2:$I$1295,MATCH($D1542,Hierarchy!$A$2:$A$1295,0))),"NODE NOT FOUND"))</f>
        <v/>
      </c>
      <c r="M1542" s="17" t="str">
        <f aca="false">IF(B1542="Pre-seeded","Pre-seeded",IF(B1542="Review 2026-09-16","Added from review",IF(C1542="","New",IF(C1542=D1542,"","Changed"))))</f>
        <v>Pre-seeded</v>
      </c>
      <c r="N1542" s="7" t="str">
        <f aca="false">TRIM(SUBSTITUTE(SUBSTITUTE(SUBSTITUTE(" "&amp;TRIM(SUBSTITUTE(SUBSTITUTE(SUBSTITUTE(SUBSTITUTE(SUBSTITUTE(SUBSTITUTE(SUBSTITUTE(SUBSTITUTE(SUBSTITUTE(SUBSTITUTE(SUBSTITUTE(SUBSTITUTE(SUBSTITUTE(SUBSTITUTE(SUBSTITUTE(UPPER(TRIM(A1542)),"[MEMBER]",""),"{MEMBER}",""),"[MEMBER}",""),"MEMBER]",""),"(A)",""),"""",""),"“",""),"”",""),".",""),":",""),",",""),"–"," "),"-"," "),"/"," "),"&amp;"," AND "))&amp;" "," THE "," ")," TOTAL "," ")," OPERATIONS "," "))</f>
        <v>SAINT BARTHÉLEMY</v>
      </c>
      <c r="O1542" s="17" t="str">
        <f aca="false">IF(COUNTIFS($N$2:$N$2000,N1542,$D$2:$D$2000,"&lt;&gt;"&amp;D1542)&gt;0,"CONFLICT","")</f>
        <v/>
      </c>
      <c r="P1542" s="7"/>
    </row>
    <row r="1543" customFormat="false" ht="15" hidden="false" customHeight="false" outlineLevel="0" collapsed="false">
      <c r="A1543" s="7" t="s">
        <v>1278</v>
      </c>
      <c r="B1543" s="7" t="s">
        <v>1879</v>
      </c>
      <c r="C1543" s="7"/>
      <c r="D1543" s="6" t="s">
        <v>1278</v>
      </c>
      <c r="E1543" s="6" t="s">
        <v>1880</v>
      </c>
      <c r="F1543" s="7" t="str">
        <f aca="false">IF($D1543="","",IFERROR(IF(INDEX(Hierarchy!$B$2:$B$1295,MATCH($D1543,Hierarchy!$A$2:$A$1295,0))="","",INDEX(Hierarchy!$B$2:$B$1295,MATCH($D1543,Hierarchy!$A$2:$A$1295,0))),"NODE NOT FOUND"))</f>
        <v>Country</v>
      </c>
      <c r="G1543" s="7" t="str">
        <f aca="false">IF($D1543="","",IFERROR(IF(INDEX(Hierarchy!$D$2:$D$1295,MATCH($D1543,Hierarchy!$A$2:$A$1295,0))="","",INDEX(Hierarchy!$D$2:$D$1295,MATCH($D1543,Hierarchy!$A$2:$A$1295,0))),"NODE NOT FOUND"))</f>
        <v>EMEA</v>
      </c>
      <c r="H1543" s="7" t="str">
        <f aca="false">IF($D1543="","",IFERROR(IF(INDEX(Hierarchy!$E$2:$E$1295,MATCH($D1543,Hierarchy!$A$2:$A$1295,0))="","",INDEX(Hierarchy!$E$2:$E$1295,MATCH($D1543,Hierarchy!$A$2:$A$1295,0))),"NODE NOT FOUND"))</f>
        <v>Africa</v>
      </c>
      <c r="I1543" s="7" t="str">
        <f aca="false">IF($D1543="","",IFERROR(IF(INDEX(Hierarchy!$F$2:$F$1295,MATCH($D1543,Hierarchy!$A$2:$A$1295,0))="","",INDEX(Hierarchy!$F$2:$F$1295,MATCH($D1543,Hierarchy!$A$2:$A$1295,0))),"NODE NOT FOUND"))</f>
        <v>Saint Helena, Ascension and Tristan da Cunha</v>
      </c>
      <c r="J1543" s="7" t="str">
        <f aca="false">IF($D1543="","",IFERROR(IF(INDEX(Hierarchy!$G$2:$G$1295,MATCH($D1543,Hierarchy!$A$2:$A$1295,0))="","",INDEX(Hierarchy!$G$2:$G$1295,MATCH($D1543,Hierarchy!$A$2:$A$1295,0))),"NODE NOT FOUND"))</f>
        <v>SHN</v>
      </c>
      <c r="K1543" s="7" t="str">
        <f aca="false">IF($D1543="","",IFERROR(IF(INDEX(Hierarchy!$H$2:$H$1295,MATCH($D1543,Hierarchy!$A$2:$A$1295,0))="","",INDEX(Hierarchy!$H$2:$H$1295,MATCH($D1543,Hierarchy!$A$2:$A$1295,0))),"NODE NOT FOUND"))</f>
        <v/>
      </c>
      <c r="L1543" s="7" t="str">
        <f aca="false">IF($D1543="","",IFERROR(IF(INDEX(Hierarchy!$I$2:$I$1295,MATCH($D1543,Hierarchy!$A$2:$A$1295,0))="","",INDEX(Hierarchy!$I$2:$I$1295,MATCH($D1543,Hierarchy!$A$2:$A$1295,0))),"NODE NOT FOUND"))</f>
        <v/>
      </c>
      <c r="M1543" s="17" t="str">
        <f aca="false">IF(B1543="Pre-seeded","Pre-seeded",IF(B1543="Review 2026-09-16","Added from review",IF(C1543="","New",IF(C1543=D1543,"","Changed"))))</f>
        <v>Pre-seeded</v>
      </c>
      <c r="N1543" s="7" t="str">
        <f aca="false">TRIM(SUBSTITUTE(SUBSTITUTE(SUBSTITUTE(" "&amp;TRIM(SUBSTITUTE(SUBSTITUTE(SUBSTITUTE(SUBSTITUTE(SUBSTITUTE(SUBSTITUTE(SUBSTITUTE(SUBSTITUTE(SUBSTITUTE(SUBSTITUTE(SUBSTITUTE(SUBSTITUTE(SUBSTITUTE(SUBSTITUTE(SUBSTITUTE(UPPER(TRIM(A1543)),"[MEMBER]",""),"{MEMBER}",""),"[MEMBER}",""),"MEMBER]",""),"(A)",""),"""",""),"“",""),"”",""),".",""),":",""),",",""),"–"," "),"-"," "),"/"," "),"&amp;"," AND "))&amp;" "," THE "," ")," TOTAL "," ")," OPERATIONS "," "))</f>
        <v>SAINT HELENA ASCENSION AND TRISTAN DA CUNHA</v>
      </c>
      <c r="O1543" s="17" t="str">
        <f aca="false">IF(COUNTIFS($N$2:$N$2000,N1543,$D$2:$D$2000,"&lt;&gt;"&amp;D1543)&gt;0,"CONFLICT","")</f>
        <v/>
      </c>
      <c r="P1543" s="7"/>
    </row>
    <row r="1544" customFormat="false" ht="15" hidden="false" customHeight="false" outlineLevel="0" collapsed="false">
      <c r="A1544" s="7" t="s">
        <v>593</v>
      </c>
      <c r="B1544" s="7" t="s">
        <v>1879</v>
      </c>
      <c r="C1544" s="7"/>
      <c r="D1544" s="6" t="s">
        <v>593</v>
      </c>
      <c r="E1544" s="6" t="s">
        <v>1880</v>
      </c>
      <c r="F1544" s="7" t="str">
        <f aca="false">IF($D1544="","",IFERROR(IF(INDEX(Hierarchy!$B$2:$B$1295,MATCH($D1544,Hierarchy!$A$2:$A$1295,0))="","",INDEX(Hierarchy!$B$2:$B$1295,MATCH($D1544,Hierarchy!$A$2:$A$1295,0))),"NODE NOT FOUND"))</f>
        <v>Country</v>
      </c>
      <c r="G1544" s="7" t="str">
        <f aca="false">IF($D1544="","",IFERROR(IF(INDEX(Hierarchy!$D$2:$D$1295,MATCH($D1544,Hierarchy!$A$2:$A$1295,0))="","",INDEX(Hierarchy!$D$2:$D$1295,MATCH($D1544,Hierarchy!$A$2:$A$1295,0))),"NODE NOT FOUND"))</f>
        <v>AMER</v>
      </c>
      <c r="H1544" s="7" t="str">
        <f aca="false">IF($D1544="","",IFERROR(IF(INDEX(Hierarchy!$E$2:$E$1295,MATCH($D1544,Hierarchy!$A$2:$A$1295,0))="","",INDEX(Hierarchy!$E$2:$E$1295,MATCH($D1544,Hierarchy!$A$2:$A$1295,0))),"NODE NOT FOUND"))</f>
        <v>Latin America (LATAM)</v>
      </c>
      <c r="I1544" s="7" t="str">
        <f aca="false">IF($D1544="","",IFERROR(IF(INDEX(Hierarchy!$F$2:$F$1295,MATCH($D1544,Hierarchy!$A$2:$A$1295,0))="","",INDEX(Hierarchy!$F$2:$F$1295,MATCH($D1544,Hierarchy!$A$2:$A$1295,0))),"NODE NOT FOUND"))</f>
        <v>Saint Kitts and Nevis</v>
      </c>
      <c r="J1544" s="7" t="str">
        <f aca="false">IF($D1544="","",IFERROR(IF(INDEX(Hierarchy!$G$2:$G$1295,MATCH($D1544,Hierarchy!$A$2:$A$1295,0))="","",INDEX(Hierarchy!$G$2:$G$1295,MATCH($D1544,Hierarchy!$A$2:$A$1295,0))),"NODE NOT FOUND"))</f>
        <v>KNA</v>
      </c>
      <c r="K1544" s="7" t="str">
        <f aca="false">IF($D1544="","",IFERROR(IF(INDEX(Hierarchy!$H$2:$H$1295,MATCH($D1544,Hierarchy!$A$2:$A$1295,0))="","",INDEX(Hierarchy!$H$2:$H$1295,MATCH($D1544,Hierarchy!$A$2:$A$1295,0))),"NODE NOT FOUND"))</f>
        <v/>
      </c>
      <c r="L1544" s="7" t="str">
        <f aca="false">IF($D1544="","",IFERROR(IF(INDEX(Hierarchy!$I$2:$I$1295,MATCH($D1544,Hierarchy!$A$2:$A$1295,0))="","",INDEX(Hierarchy!$I$2:$I$1295,MATCH($D1544,Hierarchy!$A$2:$A$1295,0))),"NODE NOT FOUND"))</f>
        <v/>
      </c>
      <c r="M1544" s="17" t="str">
        <f aca="false">IF(B1544="Pre-seeded","Pre-seeded",IF(B1544="Review 2026-09-16","Added from review",IF(C1544="","New",IF(C1544=D1544,"","Changed"))))</f>
        <v>Pre-seeded</v>
      </c>
      <c r="N1544" s="7" t="str">
        <f aca="false">TRIM(SUBSTITUTE(SUBSTITUTE(SUBSTITUTE(" "&amp;TRIM(SUBSTITUTE(SUBSTITUTE(SUBSTITUTE(SUBSTITUTE(SUBSTITUTE(SUBSTITUTE(SUBSTITUTE(SUBSTITUTE(SUBSTITUTE(SUBSTITUTE(SUBSTITUTE(SUBSTITUTE(SUBSTITUTE(SUBSTITUTE(SUBSTITUTE(UPPER(TRIM(A1544)),"[MEMBER]",""),"{MEMBER}",""),"[MEMBER}",""),"MEMBER]",""),"(A)",""),"""",""),"“",""),"”",""),".",""),":",""),",",""),"–"," "),"-"," "),"/"," "),"&amp;"," AND "))&amp;" "," THE "," ")," TOTAL "," ")," OPERATIONS "," "))</f>
        <v>SAINT KITTS AND NEVIS</v>
      </c>
      <c r="O1544" s="17" t="str">
        <f aca="false">IF(COUNTIFS($N$2:$N$2000,N1544,$D$2:$D$2000,"&lt;&gt;"&amp;D1544)&gt;0,"CONFLICT","")</f>
        <v/>
      </c>
      <c r="P1544" s="7"/>
    </row>
    <row r="1545" customFormat="false" ht="15" hidden="false" customHeight="false" outlineLevel="0" collapsed="false">
      <c r="A1545" s="7" t="s">
        <v>595</v>
      </c>
      <c r="B1545" s="7" t="s">
        <v>1879</v>
      </c>
      <c r="C1545" s="7"/>
      <c r="D1545" s="6" t="s">
        <v>595</v>
      </c>
      <c r="E1545" s="6" t="s">
        <v>1880</v>
      </c>
      <c r="F1545" s="7" t="str">
        <f aca="false">IF($D1545="","",IFERROR(IF(INDEX(Hierarchy!$B$2:$B$1295,MATCH($D1545,Hierarchy!$A$2:$A$1295,0))="","",INDEX(Hierarchy!$B$2:$B$1295,MATCH($D1545,Hierarchy!$A$2:$A$1295,0))),"NODE NOT FOUND"))</f>
        <v>Country</v>
      </c>
      <c r="G1545" s="7" t="str">
        <f aca="false">IF($D1545="","",IFERROR(IF(INDEX(Hierarchy!$D$2:$D$1295,MATCH($D1545,Hierarchy!$A$2:$A$1295,0))="","",INDEX(Hierarchy!$D$2:$D$1295,MATCH($D1545,Hierarchy!$A$2:$A$1295,0))),"NODE NOT FOUND"))</f>
        <v>AMER</v>
      </c>
      <c r="H1545" s="7" t="str">
        <f aca="false">IF($D1545="","",IFERROR(IF(INDEX(Hierarchy!$E$2:$E$1295,MATCH($D1545,Hierarchy!$A$2:$A$1295,0))="","",INDEX(Hierarchy!$E$2:$E$1295,MATCH($D1545,Hierarchy!$A$2:$A$1295,0))),"NODE NOT FOUND"))</f>
        <v>Latin America (LATAM)</v>
      </c>
      <c r="I1545" s="7" t="str">
        <f aca="false">IF($D1545="","",IFERROR(IF(INDEX(Hierarchy!$F$2:$F$1295,MATCH($D1545,Hierarchy!$A$2:$A$1295,0))="","",INDEX(Hierarchy!$F$2:$F$1295,MATCH($D1545,Hierarchy!$A$2:$A$1295,0))),"NODE NOT FOUND"))</f>
        <v>Saint Lucia</v>
      </c>
      <c r="J1545" s="7" t="str">
        <f aca="false">IF($D1545="","",IFERROR(IF(INDEX(Hierarchy!$G$2:$G$1295,MATCH($D1545,Hierarchy!$A$2:$A$1295,0))="","",INDEX(Hierarchy!$G$2:$G$1295,MATCH($D1545,Hierarchy!$A$2:$A$1295,0))),"NODE NOT FOUND"))</f>
        <v>LCA</v>
      </c>
      <c r="K1545" s="7" t="str">
        <f aca="false">IF($D1545="","",IFERROR(IF(INDEX(Hierarchy!$H$2:$H$1295,MATCH($D1545,Hierarchy!$A$2:$A$1295,0))="","",INDEX(Hierarchy!$H$2:$H$1295,MATCH($D1545,Hierarchy!$A$2:$A$1295,0))),"NODE NOT FOUND"))</f>
        <v/>
      </c>
      <c r="L1545" s="7" t="str">
        <f aca="false">IF($D1545="","",IFERROR(IF(INDEX(Hierarchy!$I$2:$I$1295,MATCH($D1545,Hierarchy!$A$2:$A$1295,0))="","",INDEX(Hierarchy!$I$2:$I$1295,MATCH($D1545,Hierarchy!$A$2:$A$1295,0))),"NODE NOT FOUND"))</f>
        <v/>
      </c>
      <c r="M1545" s="17" t="str">
        <f aca="false">IF(B1545="Pre-seeded","Pre-seeded",IF(B1545="Review 2026-09-16","Added from review",IF(C1545="","New",IF(C1545=D1545,"","Changed"))))</f>
        <v>Pre-seeded</v>
      </c>
      <c r="N1545" s="7" t="str">
        <f aca="false">TRIM(SUBSTITUTE(SUBSTITUTE(SUBSTITUTE(" "&amp;TRIM(SUBSTITUTE(SUBSTITUTE(SUBSTITUTE(SUBSTITUTE(SUBSTITUTE(SUBSTITUTE(SUBSTITUTE(SUBSTITUTE(SUBSTITUTE(SUBSTITUTE(SUBSTITUTE(SUBSTITUTE(SUBSTITUTE(SUBSTITUTE(SUBSTITUTE(UPPER(TRIM(A1545)),"[MEMBER]",""),"{MEMBER}",""),"[MEMBER}",""),"MEMBER]",""),"(A)",""),"""",""),"“",""),"”",""),".",""),":",""),",",""),"–"," "),"-"," "),"/"," "),"&amp;"," AND "))&amp;" "," THE "," ")," TOTAL "," ")," OPERATIONS "," "))</f>
        <v>SAINT LUCIA</v>
      </c>
      <c r="O1545" s="17" t="str">
        <f aca="false">IF(COUNTIFS($N$2:$N$2000,N1545,$D$2:$D$2000,"&lt;&gt;"&amp;D1545)&gt;0,"CONFLICT","")</f>
        <v/>
      </c>
      <c r="P1545" s="7"/>
    </row>
    <row r="1546" customFormat="false" ht="15" hidden="false" customHeight="false" outlineLevel="0" collapsed="false">
      <c r="A1546" s="7" t="s">
        <v>597</v>
      </c>
      <c r="B1546" s="7" t="s">
        <v>1879</v>
      </c>
      <c r="C1546" s="7"/>
      <c r="D1546" s="6" t="s">
        <v>597</v>
      </c>
      <c r="E1546" s="6" t="s">
        <v>1880</v>
      </c>
      <c r="F1546" s="7" t="str">
        <f aca="false">IF($D1546="","",IFERROR(IF(INDEX(Hierarchy!$B$2:$B$1295,MATCH($D1546,Hierarchy!$A$2:$A$1295,0))="","",INDEX(Hierarchy!$B$2:$B$1295,MATCH($D1546,Hierarchy!$A$2:$A$1295,0))),"NODE NOT FOUND"))</f>
        <v>Country</v>
      </c>
      <c r="G1546" s="7" t="str">
        <f aca="false">IF($D1546="","",IFERROR(IF(INDEX(Hierarchy!$D$2:$D$1295,MATCH($D1546,Hierarchy!$A$2:$A$1295,0))="","",INDEX(Hierarchy!$D$2:$D$1295,MATCH($D1546,Hierarchy!$A$2:$A$1295,0))),"NODE NOT FOUND"))</f>
        <v>AMER</v>
      </c>
      <c r="H1546" s="7" t="str">
        <f aca="false">IF($D1546="","",IFERROR(IF(INDEX(Hierarchy!$E$2:$E$1295,MATCH($D1546,Hierarchy!$A$2:$A$1295,0))="","",INDEX(Hierarchy!$E$2:$E$1295,MATCH($D1546,Hierarchy!$A$2:$A$1295,0))),"NODE NOT FOUND"))</f>
        <v>Latin America (LATAM)</v>
      </c>
      <c r="I1546" s="7" t="str">
        <f aca="false">IF($D1546="","",IFERROR(IF(INDEX(Hierarchy!$F$2:$F$1295,MATCH($D1546,Hierarchy!$A$2:$A$1295,0))="","",INDEX(Hierarchy!$F$2:$F$1295,MATCH($D1546,Hierarchy!$A$2:$A$1295,0))),"NODE NOT FOUND"))</f>
        <v>Saint Martin (French part)</v>
      </c>
      <c r="J1546" s="7" t="str">
        <f aca="false">IF($D1546="","",IFERROR(IF(INDEX(Hierarchy!$G$2:$G$1295,MATCH($D1546,Hierarchy!$A$2:$A$1295,0))="","",INDEX(Hierarchy!$G$2:$G$1295,MATCH($D1546,Hierarchy!$A$2:$A$1295,0))),"NODE NOT FOUND"))</f>
        <v>MAF</v>
      </c>
      <c r="K1546" s="7" t="str">
        <f aca="false">IF($D1546="","",IFERROR(IF(INDEX(Hierarchy!$H$2:$H$1295,MATCH($D1546,Hierarchy!$A$2:$A$1295,0))="","",INDEX(Hierarchy!$H$2:$H$1295,MATCH($D1546,Hierarchy!$A$2:$A$1295,0))),"NODE NOT FOUND"))</f>
        <v/>
      </c>
      <c r="L1546" s="7" t="str">
        <f aca="false">IF($D1546="","",IFERROR(IF(INDEX(Hierarchy!$I$2:$I$1295,MATCH($D1546,Hierarchy!$A$2:$A$1295,0))="","",INDEX(Hierarchy!$I$2:$I$1295,MATCH($D1546,Hierarchy!$A$2:$A$1295,0))),"NODE NOT FOUND"))</f>
        <v/>
      </c>
      <c r="M1546" s="17" t="str">
        <f aca="false">IF(B1546="Pre-seeded","Pre-seeded",IF(B1546="Review 2026-09-16","Added from review",IF(C1546="","New",IF(C1546=D1546,"","Changed"))))</f>
        <v>Pre-seeded</v>
      </c>
      <c r="N1546" s="7" t="str">
        <f aca="false">TRIM(SUBSTITUTE(SUBSTITUTE(SUBSTITUTE(" "&amp;TRIM(SUBSTITUTE(SUBSTITUTE(SUBSTITUTE(SUBSTITUTE(SUBSTITUTE(SUBSTITUTE(SUBSTITUTE(SUBSTITUTE(SUBSTITUTE(SUBSTITUTE(SUBSTITUTE(SUBSTITUTE(SUBSTITUTE(SUBSTITUTE(SUBSTITUTE(UPPER(TRIM(A1546)),"[MEMBER]",""),"{MEMBER}",""),"[MEMBER}",""),"MEMBER]",""),"(A)",""),"""",""),"“",""),"”",""),".",""),":",""),",",""),"–"," "),"-"," "),"/"," "),"&amp;"," AND "))&amp;" "," THE "," ")," TOTAL "," ")," OPERATIONS "," "))</f>
        <v>SAINT MARTIN (FRENCH PART)</v>
      </c>
      <c r="O1546" s="17" t="str">
        <f aca="false">IF(COUNTIFS($N$2:$N$2000,N1546,$D$2:$D$2000,"&lt;&gt;"&amp;D1546)&gt;0,"CONFLICT","")</f>
        <v/>
      </c>
      <c r="P1546" s="7"/>
    </row>
    <row r="1547" customFormat="false" ht="15" hidden="false" customHeight="false" outlineLevel="0" collapsed="false">
      <c r="A1547" s="7" t="s">
        <v>309</v>
      </c>
      <c r="B1547" s="7" t="s">
        <v>1879</v>
      </c>
      <c r="C1547" s="7"/>
      <c r="D1547" s="6" t="s">
        <v>309</v>
      </c>
      <c r="E1547" s="6" t="s">
        <v>1880</v>
      </c>
      <c r="F1547" s="7" t="str">
        <f aca="false">IF($D1547="","",IFERROR(IF(INDEX(Hierarchy!$B$2:$B$1295,MATCH($D1547,Hierarchy!$A$2:$A$1295,0))="","",INDEX(Hierarchy!$B$2:$B$1295,MATCH($D1547,Hierarchy!$A$2:$A$1295,0))),"NODE NOT FOUND"))</f>
        <v>Country</v>
      </c>
      <c r="G1547" s="7" t="str">
        <f aca="false">IF($D1547="","",IFERROR(IF(INDEX(Hierarchy!$D$2:$D$1295,MATCH($D1547,Hierarchy!$A$2:$A$1295,0))="","",INDEX(Hierarchy!$D$2:$D$1295,MATCH($D1547,Hierarchy!$A$2:$A$1295,0))),"NODE NOT FOUND"))</f>
        <v>AMER</v>
      </c>
      <c r="H1547" s="7" t="str">
        <f aca="false">IF($D1547="","",IFERROR(IF(INDEX(Hierarchy!$E$2:$E$1295,MATCH($D1547,Hierarchy!$A$2:$A$1295,0))="","",INDEX(Hierarchy!$E$2:$E$1295,MATCH($D1547,Hierarchy!$A$2:$A$1295,0))),"NODE NOT FOUND"))</f>
        <v>North America (NORAM)</v>
      </c>
      <c r="I1547" s="7" t="str">
        <f aca="false">IF($D1547="","",IFERROR(IF(INDEX(Hierarchy!$F$2:$F$1295,MATCH($D1547,Hierarchy!$A$2:$A$1295,0))="","",INDEX(Hierarchy!$F$2:$F$1295,MATCH($D1547,Hierarchy!$A$2:$A$1295,0))),"NODE NOT FOUND"))</f>
        <v>Saint Pierre and Miquelon</v>
      </c>
      <c r="J1547" s="7" t="str">
        <f aca="false">IF($D1547="","",IFERROR(IF(INDEX(Hierarchy!$G$2:$G$1295,MATCH($D1547,Hierarchy!$A$2:$A$1295,0))="","",INDEX(Hierarchy!$G$2:$G$1295,MATCH($D1547,Hierarchy!$A$2:$A$1295,0))),"NODE NOT FOUND"))</f>
        <v>SPM</v>
      </c>
      <c r="K1547" s="7" t="str">
        <f aca="false">IF($D1547="","",IFERROR(IF(INDEX(Hierarchy!$H$2:$H$1295,MATCH($D1547,Hierarchy!$A$2:$A$1295,0))="","",INDEX(Hierarchy!$H$2:$H$1295,MATCH($D1547,Hierarchy!$A$2:$A$1295,0))),"NODE NOT FOUND"))</f>
        <v/>
      </c>
      <c r="L1547" s="7" t="str">
        <f aca="false">IF($D1547="","",IFERROR(IF(INDEX(Hierarchy!$I$2:$I$1295,MATCH($D1547,Hierarchy!$A$2:$A$1295,0))="","",INDEX(Hierarchy!$I$2:$I$1295,MATCH($D1547,Hierarchy!$A$2:$A$1295,0))),"NODE NOT FOUND"))</f>
        <v/>
      </c>
      <c r="M1547" s="17" t="str">
        <f aca="false">IF(B1547="Pre-seeded","Pre-seeded",IF(B1547="Review 2026-09-16","Added from review",IF(C1547="","New",IF(C1547=D1547,"","Changed"))))</f>
        <v>Pre-seeded</v>
      </c>
      <c r="N1547" s="7" t="str">
        <f aca="false">TRIM(SUBSTITUTE(SUBSTITUTE(SUBSTITUTE(" "&amp;TRIM(SUBSTITUTE(SUBSTITUTE(SUBSTITUTE(SUBSTITUTE(SUBSTITUTE(SUBSTITUTE(SUBSTITUTE(SUBSTITUTE(SUBSTITUTE(SUBSTITUTE(SUBSTITUTE(SUBSTITUTE(SUBSTITUTE(SUBSTITUTE(SUBSTITUTE(UPPER(TRIM(A1547)),"[MEMBER]",""),"{MEMBER}",""),"[MEMBER}",""),"MEMBER]",""),"(A)",""),"""",""),"“",""),"”",""),".",""),":",""),",",""),"–"," "),"-"," "),"/"," "),"&amp;"," AND "))&amp;" "," THE "," ")," TOTAL "," ")," OPERATIONS "," "))</f>
        <v>SAINT PIERRE AND MIQUELON</v>
      </c>
      <c r="O1547" s="17" t="str">
        <f aca="false">IF(COUNTIFS($N$2:$N$2000,N1547,$D$2:$D$2000,"&lt;&gt;"&amp;D1547)&gt;0,"CONFLICT","")</f>
        <v/>
      </c>
      <c r="P1547" s="7"/>
    </row>
    <row r="1548" customFormat="false" ht="15" hidden="false" customHeight="false" outlineLevel="0" collapsed="false">
      <c r="A1548" s="7" t="s">
        <v>599</v>
      </c>
      <c r="B1548" s="7" t="s">
        <v>1879</v>
      </c>
      <c r="C1548" s="7"/>
      <c r="D1548" s="6" t="s">
        <v>599</v>
      </c>
      <c r="E1548" s="6" t="s">
        <v>1880</v>
      </c>
      <c r="F1548" s="7" t="str">
        <f aca="false">IF($D1548="","",IFERROR(IF(INDEX(Hierarchy!$B$2:$B$1295,MATCH($D1548,Hierarchy!$A$2:$A$1295,0))="","",INDEX(Hierarchy!$B$2:$B$1295,MATCH($D1548,Hierarchy!$A$2:$A$1295,0))),"NODE NOT FOUND"))</f>
        <v>Country</v>
      </c>
      <c r="G1548" s="7" t="str">
        <f aca="false">IF($D1548="","",IFERROR(IF(INDEX(Hierarchy!$D$2:$D$1295,MATCH($D1548,Hierarchy!$A$2:$A$1295,0))="","",INDEX(Hierarchy!$D$2:$D$1295,MATCH($D1548,Hierarchy!$A$2:$A$1295,0))),"NODE NOT FOUND"))</f>
        <v>AMER</v>
      </c>
      <c r="H1548" s="7" t="str">
        <f aca="false">IF($D1548="","",IFERROR(IF(INDEX(Hierarchy!$E$2:$E$1295,MATCH($D1548,Hierarchy!$A$2:$A$1295,0))="","",INDEX(Hierarchy!$E$2:$E$1295,MATCH($D1548,Hierarchy!$A$2:$A$1295,0))),"NODE NOT FOUND"))</f>
        <v>Latin America (LATAM)</v>
      </c>
      <c r="I1548" s="7" t="str">
        <f aca="false">IF($D1548="","",IFERROR(IF(INDEX(Hierarchy!$F$2:$F$1295,MATCH($D1548,Hierarchy!$A$2:$A$1295,0))="","",INDEX(Hierarchy!$F$2:$F$1295,MATCH($D1548,Hierarchy!$A$2:$A$1295,0))),"NODE NOT FOUND"))</f>
        <v>Saint Vincent and the Grenadines</v>
      </c>
      <c r="J1548" s="7" t="str">
        <f aca="false">IF($D1548="","",IFERROR(IF(INDEX(Hierarchy!$G$2:$G$1295,MATCH($D1548,Hierarchy!$A$2:$A$1295,0))="","",INDEX(Hierarchy!$G$2:$G$1295,MATCH($D1548,Hierarchy!$A$2:$A$1295,0))),"NODE NOT FOUND"))</f>
        <v>VCT</v>
      </c>
      <c r="K1548" s="7" t="str">
        <f aca="false">IF($D1548="","",IFERROR(IF(INDEX(Hierarchy!$H$2:$H$1295,MATCH($D1548,Hierarchy!$A$2:$A$1295,0))="","",INDEX(Hierarchy!$H$2:$H$1295,MATCH($D1548,Hierarchy!$A$2:$A$1295,0))),"NODE NOT FOUND"))</f>
        <v/>
      </c>
      <c r="L1548" s="7" t="str">
        <f aca="false">IF($D1548="","",IFERROR(IF(INDEX(Hierarchy!$I$2:$I$1295,MATCH($D1548,Hierarchy!$A$2:$A$1295,0))="","",INDEX(Hierarchy!$I$2:$I$1295,MATCH($D1548,Hierarchy!$A$2:$A$1295,0))),"NODE NOT FOUND"))</f>
        <v/>
      </c>
      <c r="M1548" s="17" t="str">
        <f aca="false">IF(B1548="Pre-seeded","Pre-seeded",IF(B1548="Review 2026-09-16","Added from review",IF(C1548="","New",IF(C1548=D1548,"","Changed"))))</f>
        <v>Pre-seeded</v>
      </c>
      <c r="N1548" s="7" t="str">
        <f aca="false">TRIM(SUBSTITUTE(SUBSTITUTE(SUBSTITUTE(" "&amp;TRIM(SUBSTITUTE(SUBSTITUTE(SUBSTITUTE(SUBSTITUTE(SUBSTITUTE(SUBSTITUTE(SUBSTITUTE(SUBSTITUTE(SUBSTITUTE(SUBSTITUTE(SUBSTITUTE(SUBSTITUTE(SUBSTITUTE(SUBSTITUTE(SUBSTITUTE(UPPER(TRIM(A1548)),"[MEMBER]",""),"{MEMBER}",""),"[MEMBER}",""),"MEMBER]",""),"(A)",""),"""",""),"“",""),"”",""),".",""),":",""),",",""),"–"," "),"-"," "),"/"," "),"&amp;"," AND "))&amp;" "," THE "," ")," TOTAL "," ")," OPERATIONS "," "))</f>
        <v>SAINT VINCENT AND GRENADINES</v>
      </c>
      <c r="O1548" s="17" t="str">
        <f aca="false">IF(COUNTIFS($N$2:$N$2000,N1548,$D$2:$D$2000,"&lt;&gt;"&amp;D1548)&gt;0,"CONFLICT","")</f>
        <v/>
      </c>
      <c r="P1548" s="7"/>
    </row>
    <row r="1549" customFormat="false" ht="15" hidden="false" customHeight="false" outlineLevel="0" collapsed="false">
      <c r="A1549" s="7" t="s">
        <v>1475</v>
      </c>
      <c r="B1549" s="7" t="s">
        <v>1879</v>
      </c>
      <c r="C1549" s="7"/>
      <c r="D1549" s="6" t="s">
        <v>1475</v>
      </c>
      <c r="E1549" s="6" t="s">
        <v>1880</v>
      </c>
      <c r="F1549" s="7" t="str">
        <f aca="false">IF($D1549="","",IFERROR(IF(INDEX(Hierarchy!$B$2:$B$1295,MATCH($D1549,Hierarchy!$A$2:$A$1295,0))="","",INDEX(Hierarchy!$B$2:$B$1295,MATCH($D1549,Hierarchy!$A$2:$A$1295,0))),"NODE NOT FOUND"))</f>
        <v>State/Province</v>
      </c>
      <c r="G1549" s="7" t="str">
        <f aca="false">IF($D1549="","",IFERROR(IF(INDEX(Hierarchy!$D$2:$D$1295,MATCH($D1549,Hierarchy!$A$2:$A$1295,0))="","",INDEX(Hierarchy!$D$2:$D$1295,MATCH($D1549,Hierarchy!$A$2:$A$1295,0))),"NODE NOT FOUND"))</f>
        <v>APAC</v>
      </c>
      <c r="H1549" s="7" t="str">
        <f aca="false">IF($D1549="","",IFERROR(IF(INDEX(Hierarchy!$E$2:$E$1295,MATCH($D1549,Hierarchy!$A$2:$A$1295,0))="","",INDEX(Hierarchy!$E$2:$E$1295,MATCH($D1549,Hierarchy!$A$2:$A$1295,0))),"NODE NOT FOUND"))</f>
        <v>East Asia</v>
      </c>
      <c r="I1549" s="7" t="str">
        <f aca="false">IF($D1549="","",IFERROR(IF(INDEX(Hierarchy!$F$2:$F$1295,MATCH($D1549,Hierarchy!$A$2:$A$1295,0))="","",INDEX(Hierarchy!$F$2:$F$1295,MATCH($D1549,Hierarchy!$A$2:$A$1295,0))),"NODE NOT FOUND"))</f>
        <v>Japan</v>
      </c>
      <c r="J1549" s="7" t="str">
        <f aca="false">IF($D1549="","",IFERROR(IF(INDEX(Hierarchy!$G$2:$G$1295,MATCH($D1549,Hierarchy!$A$2:$A$1295,0))="","",INDEX(Hierarchy!$G$2:$G$1295,MATCH($D1549,Hierarchy!$A$2:$A$1295,0))),"NODE NOT FOUND"))</f>
        <v>JPN</v>
      </c>
      <c r="K1549" s="7" t="str">
        <f aca="false">IF($D1549="","",IFERROR(IF(INDEX(Hierarchy!$H$2:$H$1295,MATCH($D1549,Hierarchy!$A$2:$A$1295,0))="","",INDEX(Hierarchy!$H$2:$H$1295,MATCH($D1549,Hierarchy!$A$2:$A$1295,0))),"NODE NOT FOUND"))</f>
        <v>Saitama</v>
      </c>
      <c r="L1549" s="7" t="str">
        <f aca="false">IF($D1549="","",IFERROR(IF(INDEX(Hierarchy!$I$2:$I$1295,MATCH($D1549,Hierarchy!$A$2:$A$1295,0))="","",INDEX(Hierarchy!$I$2:$I$1295,MATCH($D1549,Hierarchy!$A$2:$A$1295,0))),"NODE NOT FOUND"))</f>
        <v/>
      </c>
      <c r="M1549" s="17" t="str">
        <f aca="false">IF(B1549="Pre-seeded","Pre-seeded",IF(B1549="Review 2026-09-16","Added from review",IF(C1549="","New",IF(C1549=D1549,"","Changed"))))</f>
        <v>Pre-seeded</v>
      </c>
      <c r="N1549" s="7" t="str">
        <f aca="false">TRIM(SUBSTITUTE(SUBSTITUTE(SUBSTITUTE(" "&amp;TRIM(SUBSTITUTE(SUBSTITUTE(SUBSTITUTE(SUBSTITUTE(SUBSTITUTE(SUBSTITUTE(SUBSTITUTE(SUBSTITUTE(SUBSTITUTE(SUBSTITUTE(SUBSTITUTE(SUBSTITUTE(SUBSTITUTE(SUBSTITUTE(SUBSTITUTE(UPPER(TRIM(A1549)),"[MEMBER]",""),"{MEMBER}",""),"[MEMBER}",""),"MEMBER]",""),"(A)",""),"""",""),"“",""),"”",""),".",""),":",""),",",""),"–"," "),"-"," "),"/"," "),"&amp;"," AND "))&amp;" "," THE "," ")," TOTAL "," ")," OPERATIONS "," "))</f>
        <v>SAITAMA</v>
      </c>
      <c r="O1549" s="17" t="str">
        <f aca="false">IF(COUNTIFS($N$2:$N$2000,N1549,$D$2:$D$2000,"&lt;&gt;"&amp;D1549)&gt;0,"CONFLICT","")</f>
        <v/>
      </c>
      <c r="P1549" s="7"/>
    </row>
    <row r="1550" customFormat="false" ht="15" hidden="false" customHeight="false" outlineLevel="0" collapsed="false">
      <c r="A1550" s="7" t="s">
        <v>445</v>
      </c>
      <c r="B1550" s="7" t="s">
        <v>1879</v>
      </c>
      <c r="C1550" s="7"/>
      <c r="D1550" s="6" t="s">
        <v>445</v>
      </c>
      <c r="E1550" s="6" t="s">
        <v>1880</v>
      </c>
      <c r="F1550" s="7" t="str">
        <f aca="false">IF($D1550="","",IFERROR(IF(INDEX(Hierarchy!$B$2:$B$1295,MATCH($D1550,Hierarchy!$A$2:$A$1295,0))="","",INDEX(Hierarchy!$B$2:$B$1295,MATCH($D1550,Hierarchy!$A$2:$A$1295,0))),"NODE NOT FOUND"))</f>
        <v>State/Province</v>
      </c>
      <c r="G1550" s="7" t="str">
        <f aca="false">IF($D1550="","",IFERROR(IF(INDEX(Hierarchy!$D$2:$D$1295,MATCH($D1550,Hierarchy!$A$2:$A$1295,0))="","",INDEX(Hierarchy!$D$2:$D$1295,MATCH($D1550,Hierarchy!$A$2:$A$1295,0))),"NODE NOT FOUND"))</f>
        <v>AMER</v>
      </c>
      <c r="H1550" s="7" t="str">
        <f aca="false">IF($D1550="","",IFERROR(IF(INDEX(Hierarchy!$E$2:$E$1295,MATCH($D1550,Hierarchy!$A$2:$A$1295,0))="","",INDEX(Hierarchy!$E$2:$E$1295,MATCH($D1550,Hierarchy!$A$2:$A$1295,0))),"NODE NOT FOUND"))</f>
        <v>Latin America (LATAM)</v>
      </c>
      <c r="I1550" s="7" t="str">
        <f aca="false">IF($D1550="","",IFERROR(IF(INDEX(Hierarchy!$F$2:$F$1295,MATCH($D1550,Hierarchy!$A$2:$A$1295,0))="","",INDEX(Hierarchy!$F$2:$F$1295,MATCH($D1550,Hierarchy!$A$2:$A$1295,0))),"NODE NOT FOUND"))</f>
        <v>Argentina</v>
      </c>
      <c r="J1550" s="7" t="str">
        <f aca="false">IF($D1550="","",IFERROR(IF(INDEX(Hierarchy!$G$2:$G$1295,MATCH($D1550,Hierarchy!$A$2:$A$1295,0))="","",INDEX(Hierarchy!$G$2:$G$1295,MATCH($D1550,Hierarchy!$A$2:$A$1295,0))),"NODE NOT FOUND"))</f>
        <v>ARG</v>
      </c>
      <c r="K1550" s="7" t="str">
        <f aca="false">IF($D1550="","",IFERROR(IF(INDEX(Hierarchy!$H$2:$H$1295,MATCH($D1550,Hierarchy!$A$2:$A$1295,0))="","",INDEX(Hierarchy!$H$2:$H$1295,MATCH($D1550,Hierarchy!$A$2:$A$1295,0))),"NODE NOT FOUND"))</f>
        <v>Salta</v>
      </c>
      <c r="L1550" s="7" t="str">
        <f aca="false">IF($D1550="","",IFERROR(IF(INDEX(Hierarchy!$I$2:$I$1295,MATCH($D1550,Hierarchy!$A$2:$A$1295,0))="","",INDEX(Hierarchy!$I$2:$I$1295,MATCH($D1550,Hierarchy!$A$2:$A$1295,0))),"NODE NOT FOUND"))</f>
        <v/>
      </c>
      <c r="M1550" s="17" t="str">
        <f aca="false">IF(B1550="Pre-seeded","Pre-seeded",IF(B1550="Review 2026-09-16","Added from review",IF(C1550="","New",IF(C1550=D1550,"","Changed"))))</f>
        <v>Pre-seeded</v>
      </c>
      <c r="N1550" s="7" t="str">
        <f aca="false">TRIM(SUBSTITUTE(SUBSTITUTE(SUBSTITUTE(" "&amp;TRIM(SUBSTITUTE(SUBSTITUTE(SUBSTITUTE(SUBSTITUTE(SUBSTITUTE(SUBSTITUTE(SUBSTITUTE(SUBSTITUTE(SUBSTITUTE(SUBSTITUTE(SUBSTITUTE(SUBSTITUTE(SUBSTITUTE(SUBSTITUTE(SUBSTITUTE(UPPER(TRIM(A1550)),"[MEMBER]",""),"{MEMBER}",""),"[MEMBER}",""),"MEMBER]",""),"(A)",""),"""",""),"“",""),"”",""),".",""),":",""),",",""),"–"," "),"-"," "),"/"," "),"&amp;"," AND "))&amp;" "," THE "," ")," TOTAL "," ")," OPERATIONS "," "))</f>
        <v>SALTA</v>
      </c>
      <c r="O1550" s="17" t="str">
        <f aca="false">IF(COUNTIFS($N$2:$N$2000,N1550,$D$2:$D$2000,"&lt;&gt;"&amp;D1550)&gt;0,"CONFLICT","")</f>
        <v/>
      </c>
      <c r="P1550" s="7"/>
    </row>
    <row r="1551" customFormat="false" ht="15" hidden="false" customHeight="false" outlineLevel="0" collapsed="false">
      <c r="A1551" s="7" t="s">
        <v>752</v>
      </c>
      <c r="B1551" s="7" t="s">
        <v>1879</v>
      </c>
      <c r="C1551" s="7"/>
      <c r="D1551" s="6" t="s">
        <v>752</v>
      </c>
      <c r="E1551" s="6" t="s">
        <v>1880</v>
      </c>
      <c r="F1551" s="7" t="str">
        <f aca="false">IF($D1551="","",IFERROR(IF(INDEX(Hierarchy!$B$2:$B$1295,MATCH($D1551,Hierarchy!$A$2:$A$1295,0))="","",INDEX(Hierarchy!$B$2:$B$1295,MATCH($D1551,Hierarchy!$A$2:$A$1295,0))),"NODE NOT FOUND"))</f>
        <v>State/Province</v>
      </c>
      <c r="G1551" s="7" t="str">
        <f aca="false">IF($D1551="","",IFERROR(IF(INDEX(Hierarchy!$D$2:$D$1295,MATCH($D1551,Hierarchy!$A$2:$A$1295,0))="","",INDEX(Hierarchy!$D$2:$D$1295,MATCH($D1551,Hierarchy!$A$2:$A$1295,0))),"NODE NOT FOUND"))</f>
        <v>EMEA</v>
      </c>
      <c r="H1551" s="7" t="str">
        <f aca="false">IF($D1551="","",IFERROR(IF(INDEX(Hierarchy!$E$2:$E$1295,MATCH($D1551,Hierarchy!$A$2:$A$1295,0))="","",INDEX(Hierarchy!$E$2:$E$1295,MATCH($D1551,Hierarchy!$A$2:$A$1295,0))),"NODE NOT FOUND"))</f>
        <v>Europe</v>
      </c>
      <c r="I1551" s="7" t="str">
        <f aca="false">IF($D1551="","",IFERROR(IF(INDEX(Hierarchy!$F$2:$F$1295,MATCH($D1551,Hierarchy!$A$2:$A$1295,0))="","",INDEX(Hierarchy!$F$2:$F$1295,MATCH($D1551,Hierarchy!$A$2:$A$1295,0))),"NODE NOT FOUND"))</f>
        <v>Austria</v>
      </c>
      <c r="J1551" s="7" t="str">
        <f aca="false">IF($D1551="","",IFERROR(IF(INDEX(Hierarchy!$G$2:$G$1295,MATCH($D1551,Hierarchy!$A$2:$A$1295,0))="","",INDEX(Hierarchy!$G$2:$G$1295,MATCH($D1551,Hierarchy!$A$2:$A$1295,0))),"NODE NOT FOUND"))</f>
        <v>AUT</v>
      </c>
      <c r="K1551" s="7" t="str">
        <f aca="false">IF($D1551="","",IFERROR(IF(INDEX(Hierarchy!$H$2:$H$1295,MATCH($D1551,Hierarchy!$A$2:$A$1295,0))="","",INDEX(Hierarchy!$H$2:$H$1295,MATCH($D1551,Hierarchy!$A$2:$A$1295,0))),"NODE NOT FOUND"))</f>
        <v>Salzburg</v>
      </c>
      <c r="L1551" s="7" t="str">
        <f aca="false">IF($D1551="","",IFERROR(IF(INDEX(Hierarchy!$I$2:$I$1295,MATCH($D1551,Hierarchy!$A$2:$A$1295,0))="","",INDEX(Hierarchy!$I$2:$I$1295,MATCH($D1551,Hierarchy!$A$2:$A$1295,0))),"NODE NOT FOUND"))</f>
        <v/>
      </c>
      <c r="M1551" s="17" t="str">
        <f aca="false">IF(B1551="Pre-seeded","Pre-seeded",IF(B1551="Review 2026-09-16","Added from review",IF(C1551="","New",IF(C1551=D1551,"","Changed"))))</f>
        <v>Pre-seeded</v>
      </c>
      <c r="N1551" s="7" t="str">
        <f aca="false">TRIM(SUBSTITUTE(SUBSTITUTE(SUBSTITUTE(" "&amp;TRIM(SUBSTITUTE(SUBSTITUTE(SUBSTITUTE(SUBSTITUTE(SUBSTITUTE(SUBSTITUTE(SUBSTITUTE(SUBSTITUTE(SUBSTITUTE(SUBSTITUTE(SUBSTITUTE(SUBSTITUTE(SUBSTITUTE(SUBSTITUTE(SUBSTITUTE(UPPER(TRIM(A1551)),"[MEMBER]",""),"{MEMBER}",""),"[MEMBER}",""),"MEMBER]",""),"(A)",""),"""",""),"“",""),"”",""),".",""),":",""),",",""),"–"," "),"-"," "),"/"," "),"&amp;"," AND "))&amp;" "," THE "," ")," TOTAL "," ")," OPERATIONS "," "))</f>
        <v>SALZBURG</v>
      </c>
      <c r="O1551" s="17" t="str">
        <f aca="false">IF(COUNTIFS($N$2:$N$2000,N1551,$D$2:$D$2000,"&lt;&gt;"&amp;D1551)&gt;0,"CONFLICT","")</f>
        <v/>
      </c>
      <c r="P1551" s="7"/>
    </row>
    <row r="1552" customFormat="false" ht="15" hidden="false" customHeight="false" outlineLevel="0" collapsed="false">
      <c r="A1552" s="7" t="s">
        <v>1770</v>
      </c>
      <c r="B1552" s="7" t="s">
        <v>1879</v>
      </c>
      <c r="C1552" s="7"/>
      <c r="D1552" s="6" t="s">
        <v>1770</v>
      </c>
      <c r="E1552" s="6" t="s">
        <v>1880</v>
      </c>
      <c r="F1552" s="7" t="str">
        <f aca="false">IF($D1552="","",IFERROR(IF(INDEX(Hierarchy!$B$2:$B$1295,MATCH($D1552,Hierarchy!$A$2:$A$1295,0))="","",INDEX(Hierarchy!$B$2:$B$1295,MATCH($D1552,Hierarchy!$A$2:$A$1295,0))),"NODE NOT FOUND"))</f>
        <v>Country</v>
      </c>
      <c r="G1552" s="7" t="str">
        <f aca="false">IF($D1552="","",IFERROR(IF(INDEX(Hierarchy!$D$2:$D$1295,MATCH($D1552,Hierarchy!$A$2:$A$1295,0))="","",INDEX(Hierarchy!$D$2:$D$1295,MATCH($D1552,Hierarchy!$A$2:$A$1295,0))),"NODE NOT FOUND"))</f>
        <v>APAC</v>
      </c>
      <c r="H1552" s="7" t="str">
        <f aca="false">IF($D1552="","",IFERROR(IF(INDEX(Hierarchy!$E$2:$E$1295,MATCH($D1552,Hierarchy!$A$2:$A$1295,0))="","",INDEX(Hierarchy!$E$2:$E$1295,MATCH($D1552,Hierarchy!$A$2:$A$1295,0))),"NODE NOT FOUND"))</f>
        <v>Oceania (ANZ)</v>
      </c>
      <c r="I1552" s="7" t="str">
        <f aca="false">IF($D1552="","",IFERROR(IF(INDEX(Hierarchy!$F$2:$F$1295,MATCH($D1552,Hierarchy!$A$2:$A$1295,0))="","",INDEX(Hierarchy!$F$2:$F$1295,MATCH($D1552,Hierarchy!$A$2:$A$1295,0))),"NODE NOT FOUND"))</f>
        <v>Samoa</v>
      </c>
      <c r="J1552" s="7" t="str">
        <f aca="false">IF($D1552="","",IFERROR(IF(INDEX(Hierarchy!$G$2:$G$1295,MATCH($D1552,Hierarchy!$A$2:$A$1295,0))="","",INDEX(Hierarchy!$G$2:$G$1295,MATCH($D1552,Hierarchy!$A$2:$A$1295,0))),"NODE NOT FOUND"))</f>
        <v>WSM</v>
      </c>
      <c r="K1552" s="7" t="str">
        <f aca="false">IF($D1552="","",IFERROR(IF(INDEX(Hierarchy!$H$2:$H$1295,MATCH($D1552,Hierarchy!$A$2:$A$1295,0))="","",INDEX(Hierarchy!$H$2:$H$1295,MATCH($D1552,Hierarchy!$A$2:$A$1295,0))),"NODE NOT FOUND"))</f>
        <v/>
      </c>
      <c r="L1552" s="7" t="str">
        <f aca="false">IF($D1552="","",IFERROR(IF(INDEX(Hierarchy!$I$2:$I$1295,MATCH($D1552,Hierarchy!$A$2:$A$1295,0))="","",INDEX(Hierarchy!$I$2:$I$1295,MATCH($D1552,Hierarchy!$A$2:$A$1295,0))),"NODE NOT FOUND"))</f>
        <v/>
      </c>
      <c r="M1552" s="17" t="str">
        <f aca="false">IF(B1552="Pre-seeded","Pre-seeded",IF(B1552="Review 2026-09-16","Added from review",IF(C1552="","New",IF(C1552=D1552,"","Changed"))))</f>
        <v>Pre-seeded</v>
      </c>
      <c r="N1552" s="7" t="str">
        <f aca="false">TRIM(SUBSTITUTE(SUBSTITUTE(SUBSTITUTE(" "&amp;TRIM(SUBSTITUTE(SUBSTITUTE(SUBSTITUTE(SUBSTITUTE(SUBSTITUTE(SUBSTITUTE(SUBSTITUTE(SUBSTITUTE(SUBSTITUTE(SUBSTITUTE(SUBSTITUTE(SUBSTITUTE(SUBSTITUTE(SUBSTITUTE(SUBSTITUTE(UPPER(TRIM(A1552)),"[MEMBER]",""),"{MEMBER}",""),"[MEMBER}",""),"MEMBER]",""),"(A)",""),"""",""),"“",""),"”",""),".",""),":",""),",",""),"–"," "),"-"," "),"/"," "),"&amp;"," AND "))&amp;" "," THE "," ")," TOTAL "," ")," OPERATIONS "," "))</f>
        <v>SAMOA</v>
      </c>
      <c r="O1552" s="17" t="str">
        <f aca="false">IF(COUNTIFS($N$2:$N$2000,N1552,$D$2:$D$2000,"&lt;&gt;"&amp;D1552)&gt;0,"CONFLICT","")</f>
        <v/>
      </c>
      <c r="P1552" s="7"/>
    </row>
    <row r="1553" customFormat="false" ht="15" hidden="false" customHeight="false" outlineLevel="0" collapsed="false">
      <c r="A1553" s="7" t="s">
        <v>527</v>
      </c>
      <c r="B1553" s="7" t="s">
        <v>1879</v>
      </c>
      <c r="C1553" s="7"/>
      <c r="D1553" s="6" t="s">
        <v>527</v>
      </c>
      <c r="E1553" s="6" t="s">
        <v>1880</v>
      </c>
      <c r="F1553" s="7" t="str">
        <f aca="false">IF($D1553="","",IFERROR(IF(INDEX(Hierarchy!$B$2:$B$1295,MATCH($D1553,Hierarchy!$A$2:$A$1295,0))="","",INDEX(Hierarchy!$B$2:$B$1295,MATCH($D1553,Hierarchy!$A$2:$A$1295,0))),"NODE NOT FOUND"))</f>
        <v>State/Province</v>
      </c>
      <c r="G1553" s="7" t="str">
        <f aca="false">IF($D1553="","",IFERROR(IF(INDEX(Hierarchy!$D$2:$D$1295,MATCH($D1553,Hierarchy!$A$2:$A$1295,0))="","",INDEX(Hierarchy!$D$2:$D$1295,MATCH($D1553,Hierarchy!$A$2:$A$1295,0))),"NODE NOT FOUND"))</f>
        <v>AMER</v>
      </c>
      <c r="H1553" s="7" t="str">
        <f aca="false">IF($D1553="","",IFERROR(IF(INDEX(Hierarchy!$E$2:$E$1295,MATCH($D1553,Hierarchy!$A$2:$A$1295,0))="","",INDEX(Hierarchy!$E$2:$E$1295,MATCH($D1553,Hierarchy!$A$2:$A$1295,0))),"NODE NOT FOUND"))</f>
        <v>Latin America (LATAM)</v>
      </c>
      <c r="I1553" s="7" t="str">
        <f aca="false">IF($D1553="","",IFERROR(IF(INDEX(Hierarchy!$F$2:$F$1295,MATCH($D1553,Hierarchy!$A$2:$A$1295,0))="","",INDEX(Hierarchy!$F$2:$F$1295,MATCH($D1553,Hierarchy!$A$2:$A$1295,0))),"NODE NOT FOUND"))</f>
        <v>Colombia</v>
      </c>
      <c r="J1553" s="7" t="str">
        <f aca="false">IF($D1553="","",IFERROR(IF(INDEX(Hierarchy!$G$2:$G$1295,MATCH($D1553,Hierarchy!$A$2:$A$1295,0))="","",INDEX(Hierarchy!$G$2:$G$1295,MATCH($D1553,Hierarchy!$A$2:$A$1295,0))),"NODE NOT FOUND"))</f>
        <v>COL</v>
      </c>
      <c r="K1553" s="7" t="str">
        <f aca="false">IF($D1553="","",IFERROR(IF(INDEX(Hierarchy!$H$2:$H$1295,MATCH($D1553,Hierarchy!$A$2:$A$1295,0))="","",INDEX(Hierarchy!$H$2:$H$1295,MATCH($D1553,Hierarchy!$A$2:$A$1295,0))),"NODE NOT FOUND"))</f>
        <v>San Andrés and Providencia</v>
      </c>
      <c r="L1553" s="7" t="str">
        <f aca="false">IF($D1553="","",IFERROR(IF(INDEX(Hierarchy!$I$2:$I$1295,MATCH($D1553,Hierarchy!$A$2:$A$1295,0))="","",INDEX(Hierarchy!$I$2:$I$1295,MATCH($D1553,Hierarchy!$A$2:$A$1295,0))),"NODE NOT FOUND"))</f>
        <v/>
      </c>
      <c r="M1553" s="17" t="str">
        <f aca="false">IF(B1553="Pre-seeded","Pre-seeded",IF(B1553="Review 2026-09-16","Added from review",IF(C1553="","New",IF(C1553=D1553,"","Changed"))))</f>
        <v>Pre-seeded</v>
      </c>
      <c r="N1553" s="7" t="str">
        <f aca="false">TRIM(SUBSTITUTE(SUBSTITUTE(SUBSTITUTE(" "&amp;TRIM(SUBSTITUTE(SUBSTITUTE(SUBSTITUTE(SUBSTITUTE(SUBSTITUTE(SUBSTITUTE(SUBSTITUTE(SUBSTITUTE(SUBSTITUTE(SUBSTITUTE(SUBSTITUTE(SUBSTITUTE(SUBSTITUTE(SUBSTITUTE(SUBSTITUTE(UPPER(TRIM(A1553)),"[MEMBER]",""),"{MEMBER}",""),"[MEMBER}",""),"MEMBER]",""),"(A)",""),"""",""),"“",""),"”",""),".",""),":",""),",",""),"–"," "),"-"," "),"/"," "),"&amp;"," AND "))&amp;" "," THE "," ")," TOTAL "," ")," OPERATIONS "," "))</f>
        <v>SAN ANDRÉS AND PROVIDENCIA</v>
      </c>
      <c r="O1553" s="17" t="str">
        <f aca="false">IF(COUNTIFS($N$2:$N$2000,N1553,$D$2:$D$2000,"&lt;&gt;"&amp;D1553)&gt;0,"CONFLICT","")</f>
        <v/>
      </c>
      <c r="P1553" s="7"/>
    </row>
    <row r="1554" customFormat="false" ht="15" hidden="false" customHeight="false" outlineLevel="0" collapsed="false">
      <c r="A1554" s="7" t="s">
        <v>148</v>
      </c>
      <c r="B1554" s="7" t="s">
        <v>1882</v>
      </c>
      <c r="C1554" s="7" t="s">
        <v>148</v>
      </c>
      <c r="D1554" s="6" t="s">
        <v>148</v>
      </c>
      <c r="E1554" s="6" t="s">
        <v>1880</v>
      </c>
      <c r="F1554" s="7" t="str">
        <f aca="false">IF($D1554="","",IFERROR(IF(INDEX(Hierarchy!$B$2:$B$1295,MATCH($D1554,Hierarchy!$A$2:$A$1295,0))="","",INDEX(Hierarchy!$B$2:$B$1295,MATCH($D1554,Hierarchy!$A$2:$A$1295,0))),"NODE NOT FOUND"))</f>
        <v>City</v>
      </c>
      <c r="G1554" s="7" t="str">
        <f aca="false">IF($D1554="","",IFERROR(IF(INDEX(Hierarchy!$D$2:$D$1295,MATCH($D1554,Hierarchy!$A$2:$A$1295,0))="","",INDEX(Hierarchy!$D$2:$D$1295,MATCH($D1554,Hierarchy!$A$2:$A$1295,0))),"NODE NOT FOUND"))</f>
        <v>AMER</v>
      </c>
      <c r="H1554" s="7" t="str">
        <f aca="false">IF($D1554="","",IFERROR(IF(INDEX(Hierarchy!$E$2:$E$1295,MATCH($D1554,Hierarchy!$A$2:$A$1295,0))="","",INDEX(Hierarchy!$E$2:$E$1295,MATCH($D1554,Hierarchy!$A$2:$A$1295,0))),"NODE NOT FOUND"))</f>
        <v>North America (NORAM)</v>
      </c>
      <c r="I1554" s="7" t="str">
        <f aca="false">IF($D1554="","",IFERROR(IF(INDEX(Hierarchy!$F$2:$F$1295,MATCH($D1554,Hierarchy!$A$2:$A$1295,0))="","",INDEX(Hierarchy!$F$2:$F$1295,MATCH($D1554,Hierarchy!$A$2:$A$1295,0))),"NODE NOT FOUND"))</f>
        <v>United States</v>
      </c>
      <c r="J1554" s="7" t="str">
        <f aca="false">IF($D1554="","",IFERROR(IF(INDEX(Hierarchy!$G$2:$G$1295,MATCH($D1554,Hierarchy!$A$2:$A$1295,0))="","",INDEX(Hierarchy!$G$2:$G$1295,MATCH($D1554,Hierarchy!$A$2:$A$1295,0))),"NODE NOT FOUND"))</f>
        <v>USA</v>
      </c>
      <c r="K1554" s="7" t="str">
        <f aca="false">IF($D1554="","",IFERROR(IF(INDEX(Hierarchy!$H$2:$H$1295,MATCH($D1554,Hierarchy!$A$2:$A$1295,0))="","",INDEX(Hierarchy!$H$2:$H$1295,MATCH($D1554,Hierarchy!$A$2:$A$1295,0))),"NODE NOT FOUND"))</f>
        <v>California</v>
      </c>
      <c r="L1554" s="7" t="str">
        <f aca="false">IF($D1554="","",IFERROR(IF(INDEX(Hierarchy!$I$2:$I$1295,MATCH($D1554,Hierarchy!$A$2:$A$1295,0))="","",INDEX(Hierarchy!$I$2:$I$1295,MATCH($D1554,Hierarchy!$A$2:$A$1295,0))),"NODE NOT FOUND"))</f>
        <v>San Bernardino</v>
      </c>
      <c r="M1554" s="17" t="str">
        <f aca="false">IF(B1554="Pre-seeded","Pre-seeded",IF(B1554="Review 2026-09-16","Added from review",IF(C1554="","New",IF(C1554=D1554,"","Changed"))))</f>
        <v/>
      </c>
      <c r="N1554" s="7" t="str">
        <f aca="false">TRIM(SUBSTITUTE(SUBSTITUTE(SUBSTITUTE(" "&amp;TRIM(SUBSTITUTE(SUBSTITUTE(SUBSTITUTE(SUBSTITUTE(SUBSTITUTE(SUBSTITUTE(SUBSTITUTE(SUBSTITUTE(SUBSTITUTE(SUBSTITUTE(SUBSTITUTE(SUBSTITUTE(SUBSTITUTE(SUBSTITUTE(SUBSTITUTE(UPPER(TRIM(A1554)),"[MEMBER]",""),"{MEMBER}",""),"[MEMBER}",""),"MEMBER]",""),"(A)",""),"""",""),"“",""),"”",""),".",""),":",""),",",""),"–"," "),"-"," "),"/"," "),"&amp;"," AND "))&amp;" "," THE "," ")," TOTAL "," ")," OPERATIONS "," "))</f>
        <v>SAN BERNARDINO</v>
      </c>
      <c r="O1554" s="17" t="str">
        <f aca="false">IF(COUNTIFS($N$2:$N$2000,N1554,$D$2:$D$2000,"&lt;&gt;"&amp;D1554)&gt;0,"CONFLICT","")</f>
        <v/>
      </c>
      <c r="P1554" s="7"/>
    </row>
    <row r="1555" customFormat="false" ht="15" hidden="false" customHeight="false" outlineLevel="0" collapsed="false">
      <c r="A1555" s="7" t="s">
        <v>150</v>
      </c>
      <c r="B1555" s="7" t="s">
        <v>1882</v>
      </c>
      <c r="C1555" s="7" t="s">
        <v>150</v>
      </c>
      <c r="D1555" s="6" t="s">
        <v>150</v>
      </c>
      <c r="E1555" s="6" t="s">
        <v>1880</v>
      </c>
      <c r="F1555" s="7" t="str">
        <f aca="false">IF($D1555="","",IFERROR(IF(INDEX(Hierarchy!$B$2:$B$1295,MATCH($D1555,Hierarchy!$A$2:$A$1295,0))="","",INDEX(Hierarchy!$B$2:$B$1295,MATCH($D1555,Hierarchy!$A$2:$A$1295,0))),"NODE NOT FOUND"))</f>
        <v>City</v>
      </c>
      <c r="G1555" s="7" t="str">
        <f aca="false">IF($D1555="","",IFERROR(IF(INDEX(Hierarchy!$D$2:$D$1295,MATCH($D1555,Hierarchy!$A$2:$A$1295,0))="","",INDEX(Hierarchy!$D$2:$D$1295,MATCH($D1555,Hierarchy!$A$2:$A$1295,0))),"NODE NOT FOUND"))</f>
        <v>AMER</v>
      </c>
      <c r="H1555" s="7" t="str">
        <f aca="false">IF($D1555="","",IFERROR(IF(INDEX(Hierarchy!$E$2:$E$1295,MATCH($D1555,Hierarchy!$A$2:$A$1295,0))="","",INDEX(Hierarchy!$E$2:$E$1295,MATCH($D1555,Hierarchy!$A$2:$A$1295,0))),"NODE NOT FOUND"))</f>
        <v>North America (NORAM)</v>
      </c>
      <c r="I1555" s="7" t="str">
        <f aca="false">IF($D1555="","",IFERROR(IF(INDEX(Hierarchy!$F$2:$F$1295,MATCH($D1555,Hierarchy!$A$2:$A$1295,0))="","",INDEX(Hierarchy!$F$2:$F$1295,MATCH($D1555,Hierarchy!$A$2:$A$1295,0))),"NODE NOT FOUND"))</f>
        <v>United States</v>
      </c>
      <c r="J1555" s="7" t="str">
        <f aca="false">IF($D1555="","",IFERROR(IF(INDEX(Hierarchy!$G$2:$G$1295,MATCH($D1555,Hierarchy!$A$2:$A$1295,0))="","",INDEX(Hierarchy!$G$2:$G$1295,MATCH($D1555,Hierarchy!$A$2:$A$1295,0))),"NODE NOT FOUND"))</f>
        <v>USA</v>
      </c>
      <c r="K1555" s="7" t="str">
        <f aca="false">IF($D1555="","",IFERROR(IF(INDEX(Hierarchy!$H$2:$H$1295,MATCH($D1555,Hierarchy!$A$2:$A$1295,0))="","",INDEX(Hierarchy!$H$2:$H$1295,MATCH($D1555,Hierarchy!$A$2:$A$1295,0))),"NODE NOT FOUND"))</f>
        <v>California</v>
      </c>
      <c r="L1555" s="7" t="str">
        <f aca="false">IF($D1555="","",IFERROR(IF(INDEX(Hierarchy!$I$2:$I$1295,MATCH($D1555,Hierarchy!$A$2:$A$1295,0))="","",INDEX(Hierarchy!$I$2:$I$1295,MATCH($D1555,Hierarchy!$A$2:$A$1295,0))),"NODE NOT FOUND"))</f>
        <v>San Francisco</v>
      </c>
      <c r="M1555" s="17" t="str">
        <f aca="false">IF(B1555="Pre-seeded","Pre-seeded",IF(B1555="Review 2026-09-16","Added from review",IF(C1555="","New",IF(C1555=D1555,"","Changed"))))</f>
        <v/>
      </c>
      <c r="N1555" s="7" t="str">
        <f aca="false">TRIM(SUBSTITUTE(SUBSTITUTE(SUBSTITUTE(" "&amp;TRIM(SUBSTITUTE(SUBSTITUTE(SUBSTITUTE(SUBSTITUTE(SUBSTITUTE(SUBSTITUTE(SUBSTITUTE(SUBSTITUTE(SUBSTITUTE(SUBSTITUTE(SUBSTITUTE(SUBSTITUTE(SUBSTITUTE(SUBSTITUTE(SUBSTITUTE(UPPER(TRIM(A1555)),"[MEMBER]",""),"{MEMBER}",""),"[MEMBER}",""),"MEMBER]",""),"(A)",""),"""",""),"“",""),"”",""),".",""),":",""),",",""),"–"," "),"-"," "),"/"," "),"&amp;"," AND "))&amp;" "," THE "," ")," TOTAL "," ")," OPERATIONS "," "))</f>
        <v>SAN FRANCISCO</v>
      </c>
      <c r="O1555" s="17" t="str">
        <f aca="false">IF(COUNTIFS($N$2:$N$2000,N1555,$D$2:$D$2000,"&lt;&gt;"&amp;D1555)&gt;0,"CONFLICT","")</f>
        <v/>
      </c>
      <c r="P1555" s="7"/>
    </row>
    <row r="1556" customFormat="false" ht="15" hidden="false" customHeight="false" outlineLevel="0" collapsed="false">
      <c r="A1556" s="7" t="s">
        <v>446</v>
      </c>
      <c r="B1556" s="7" t="s">
        <v>1879</v>
      </c>
      <c r="C1556" s="7"/>
      <c r="D1556" s="6" t="s">
        <v>446</v>
      </c>
      <c r="E1556" s="6" t="s">
        <v>1880</v>
      </c>
      <c r="F1556" s="7" t="str">
        <f aca="false">IF($D1556="","",IFERROR(IF(INDEX(Hierarchy!$B$2:$B$1295,MATCH($D1556,Hierarchy!$A$2:$A$1295,0))="","",INDEX(Hierarchy!$B$2:$B$1295,MATCH($D1556,Hierarchy!$A$2:$A$1295,0))),"NODE NOT FOUND"))</f>
        <v>State/Province</v>
      </c>
      <c r="G1556" s="7" t="str">
        <f aca="false">IF($D1556="","",IFERROR(IF(INDEX(Hierarchy!$D$2:$D$1295,MATCH($D1556,Hierarchy!$A$2:$A$1295,0))="","",INDEX(Hierarchy!$D$2:$D$1295,MATCH($D1556,Hierarchy!$A$2:$A$1295,0))),"NODE NOT FOUND"))</f>
        <v>AMER</v>
      </c>
      <c r="H1556" s="7" t="str">
        <f aca="false">IF($D1556="","",IFERROR(IF(INDEX(Hierarchy!$E$2:$E$1295,MATCH($D1556,Hierarchy!$A$2:$A$1295,0))="","",INDEX(Hierarchy!$E$2:$E$1295,MATCH($D1556,Hierarchy!$A$2:$A$1295,0))),"NODE NOT FOUND"))</f>
        <v>Latin America (LATAM)</v>
      </c>
      <c r="I1556" s="7" t="str">
        <f aca="false">IF($D1556="","",IFERROR(IF(INDEX(Hierarchy!$F$2:$F$1295,MATCH($D1556,Hierarchy!$A$2:$A$1295,0))="","",INDEX(Hierarchy!$F$2:$F$1295,MATCH($D1556,Hierarchy!$A$2:$A$1295,0))),"NODE NOT FOUND"))</f>
        <v>Argentina</v>
      </c>
      <c r="J1556" s="7" t="str">
        <f aca="false">IF($D1556="","",IFERROR(IF(INDEX(Hierarchy!$G$2:$G$1295,MATCH($D1556,Hierarchy!$A$2:$A$1295,0))="","",INDEX(Hierarchy!$G$2:$G$1295,MATCH($D1556,Hierarchy!$A$2:$A$1295,0))),"NODE NOT FOUND"))</f>
        <v>ARG</v>
      </c>
      <c r="K1556" s="7" t="str">
        <f aca="false">IF($D1556="","",IFERROR(IF(INDEX(Hierarchy!$H$2:$H$1295,MATCH($D1556,Hierarchy!$A$2:$A$1295,0))="","",INDEX(Hierarchy!$H$2:$H$1295,MATCH($D1556,Hierarchy!$A$2:$A$1295,0))),"NODE NOT FOUND"))</f>
        <v>San Juan (Argentina)</v>
      </c>
      <c r="L1556" s="7" t="str">
        <f aca="false">IF($D1556="","",IFERROR(IF(INDEX(Hierarchy!$I$2:$I$1295,MATCH($D1556,Hierarchy!$A$2:$A$1295,0))="","",INDEX(Hierarchy!$I$2:$I$1295,MATCH($D1556,Hierarchy!$A$2:$A$1295,0))),"NODE NOT FOUND"))</f>
        <v/>
      </c>
      <c r="M1556" s="17" t="str">
        <f aca="false">IF(B1556="Pre-seeded","Pre-seeded",IF(B1556="Review 2026-09-16","Added from review",IF(C1556="","New",IF(C1556=D1556,"","Changed"))))</f>
        <v>Pre-seeded</v>
      </c>
      <c r="N1556" s="7" t="str">
        <f aca="false">TRIM(SUBSTITUTE(SUBSTITUTE(SUBSTITUTE(" "&amp;TRIM(SUBSTITUTE(SUBSTITUTE(SUBSTITUTE(SUBSTITUTE(SUBSTITUTE(SUBSTITUTE(SUBSTITUTE(SUBSTITUTE(SUBSTITUTE(SUBSTITUTE(SUBSTITUTE(SUBSTITUTE(SUBSTITUTE(SUBSTITUTE(SUBSTITUTE(UPPER(TRIM(A1556)),"[MEMBER]",""),"{MEMBER}",""),"[MEMBER}",""),"MEMBER]",""),"(A)",""),"""",""),"“",""),"”",""),".",""),":",""),",",""),"–"," "),"-"," "),"/"," "),"&amp;"," AND "))&amp;" "," THE "," ")," TOTAL "," ")," OPERATIONS "," "))</f>
        <v>SAN JUAN (ARGENTINA)</v>
      </c>
      <c r="O1556" s="17" t="str">
        <f aca="false">IF(COUNTIFS($N$2:$N$2000,N1556,$D$2:$D$2000,"&lt;&gt;"&amp;D1556)&gt;0,"CONFLICT","")</f>
        <v/>
      </c>
      <c r="P1556" s="7"/>
    </row>
    <row r="1557" customFormat="false" ht="15" hidden="false" customHeight="false" outlineLevel="0" collapsed="false">
      <c r="A1557" s="7" t="s">
        <v>447</v>
      </c>
      <c r="B1557" s="7" t="s">
        <v>1879</v>
      </c>
      <c r="C1557" s="7"/>
      <c r="D1557" s="6" t="s">
        <v>447</v>
      </c>
      <c r="E1557" s="6" t="s">
        <v>1880</v>
      </c>
      <c r="F1557" s="7" t="str">
        <f aca="false">IF($D1557="","",IFERROR(IF(INDEX(Hierarchy!$B$2:$B$1295,MATCH($D1557,Hierarchy!$A$2:$A$1295,0))="","",INDEX(Hierarchy!$B$2:$B$1295,MATCH($D1557,Hierarchy!$A$2:$A$1295,0))),"NODE NOT FOUND"))</f>
        <v>State/Province</v>
      </c>
      <c r="G1557" s="7" t="str">
        <f aca="false">IF($D1557="","",IFERROR(IF(INDEX(Hierarchy!$D$2:$D$1295,MATCH($D1557,Hierarchy!$A$2:$A$1295,0))="","",INDEX(Hierarchy!$D$2:$D$1295,MATCH($D1557,Hierarchy!$A$2:$A$1295,0))),"NODE NOT FOUND"))</f>
        <v>AMER</v>
      </c>
      <c r="H1557" s="7" t="str">
        <f aca="false">IF($D1557="","",IFERROR(IF(INDEX(Hierarchy!$E$2:$E$1295,MATCH($D1557,Hierarchy!$A$2:$A$1295,0))="","",INDEX(Hierarchy!$E$2:$E$1295,MATCH($D1557,Hierarchy!$A$2:$A$1295,0))),"NODE NOT FOUND"))</f>
        <v>Latin America (LATAM)</v>
      </c>
      <c r="I1557" s="7" t="str">
        <f aca="false">IF($D1557="","",IFERROR(IF(INDEX(Hierarchy!$F$2:$F$1295,MATCH($D1557,Hierarchy!$A$2:$A$1295,0))="","",INDEX(Hierarchy!$F$2:$F$1295,MATCH($D1557,Hierarchy!$A$2:$A$1295,0))),"NODE NOT FOUND"))</f>
        <v>Argentina</v>
      </c>
      <c r="J1557" s="7" t="str">
        <f aca="false">IF($D1557="","",IFERROR(IF(INDEX(Hierarchy!$G$2:$G$1295,MATCH($D1557,Hierarchy!$A$2:$A$1295,0))="","",INDEX(Hierarchy!$G$2:$G$1295,MATCH($D1557,Hierarchy!$A$2:$A$1295,0))),"NODE NOT FOUND"))</f>
        <v>ARG</v>
      </c>
      <c r="K1557" s="7" t="str">
        <f aca="false">IF($D1557="","",IFERROR(IF(INDEX(Hierarchy!$H$2:$H$1295,MATCH($D1557,Hierarchy!$A$2:$A$1295,0))="","",INDEX(Hierarchy!$H$2:$H$1295,MATCH($D1557,Hierarchy!$A$2:$A$1295,0))),"NODE NOT FOUND"))</f>
        <v>San Luis</v>
      </c>
      <c r="L1557" s="7" t="str">
        <f aca="false">IF($D1557="","",IFERROR(IF(INDEX(Hierarchy!$I$2:$I$1295,MATCH($D1557,Hierarchy!$A$2:$A$1295,0))="","",INDEX(Hierarchy!$I$2:$I$1295,MATCH($D1557,Hierarchy!$A$2:$A$1295,0))),"NODE NOT FOUND"))</f>
        <v/>
      </c>
      <c r="M1557" s="17" t="str">
        <f aca="false">IF(B1557="Pre-seeded","Pre-seeded",IF(B1557="Review 2026-09-16","Added from review",IF(C1557="","New",IF(C1557=D1557,"","Changed"))))</f>
        <v>Pre-seeded</v>
      </c>
      <c r="N1557" s="7" t="str">
        <f aca="false">TRIM(SUBSTITUTE(SUBSTITUTE(SUBSTITUTE(" "&amp;TRIM(SUBSTITUTE(SUBSTITUTE(SUBSTITUTE(SUBSTITUTE(SUBSTITUTE(SUBSTITUTE(SUBSTITUTE(SUBSTITUTE(SUBSTITUTE(SUBSTITUTE(SUBSTITUTE(SUBSTITUTE(SUBSTITUTE(SUBSTITUTE(SUBSTITUTE(UPPER(TRIM(A1557)),"[MEMBER]",""),"{MEMBER}",""),"[MEMBER}",""),"MEMBER]",""),"(A)",""),"""",""),"“",""),"”",""),".",""),":",""),",",""),"–"," "),"-"," "),"/"," "),"&amp;"," AND "))&amp;" "," THE "," ")," TOTAL "," ")," OPERATIONS "," "))</f>
        <v>SAN LUIS</v>
      </c>
      <c r="O1557" s="17" t="str">
        <f aca="false">IF(COUNTIFS($N$2:$N$2000,N1557,$D$2:$D$2000,"&lt;&gt;"&amp;D1557)&gt;0,"CONFLICT","")</f>
        <v/>
      </c>
      <c r="P1557" s="7"/>
    </row>
    <row r="1558" customFormat="false" ht="15" hidden="false" customHeight="false" outlineLevel="0" collapsed="false">
      <c r="A1558" s="7" t="s">
        <v>410</v>
      </c>
      <c r="B1558" s="7" t="s">
        <v>1879</v>
      </c>
      <c r="C1558" s="7"/>
      <c r="D1558" s="6" t="s">
        <v>410</v>
      </c>
      <c r="E1558" s="6" t="s">
        <v>1880</v>
      </c>
      <c r="F1558" s="7" t="str">
        <f aca="false">IF($D1558="","",IFERROR(IF(INDEX(Hierarchy!$B$2:$B$1295,MATCH($D1558,Hierarchy!$A$2:$A$1295,0))="","",INDEX(Hierarchy!$B$2:$B$1295,MATCH($D1558,Hierarchy!$A$2:$A$1295,0))),"NODE NOT FOUND"))</f>
        <v>State/Province</v>
      </c>
      <c r="G1558" s="7" t="str">
        <f aca="false">IF($D1558="","",IFERROR(IF(INDEX(Hierarchy!$D$2:$D$1295,MATCH($D1558,Hierarchy!$A$2:$A$1295,0))="","",INDEX(Hierarchy!$D$2:$D$1295,MATCH($D1558,Hierarchy!$A$2:$A$1295,0))),"NODE NOT FOUND"))</f>
        <v>AMER</v>
      </c>
      <c r="H1558" s="7" t="str">
        <f aca="false">IF($D1558="","",IFERROR(IF(INDEX(Hierarchy!$E$2:$E$1295,MATCH($D1558,Hierarchy!$A$2:$A$1295,0))="","",INDEX(Hierarchy!$E$2:$E$1295,MATCH($D1558,Hierarchy!$A$2:$A$1295,0))),"NODE NOT FOUND"))</f>
        <v>Latin America (LATAM)</v>
      </c>
      <c r="I1558" s="7" t="str">
        <f aca="false">IF($D1558="","",IFERROR(IF(INDEX(Hierarchy!$F$2:$F$1295,MATCH($D1558,Hierarchy!$A$2:$A$1295,0))="","",INDEX(Hierarchy!$F$2:$F$1295,MATCH($D1558,Hierarchy!$A$2:$A$1295,0))),"NODE NOT FOUND"))</f>
        <v>Mexico</v>
      </c>
      <c r="J1558" s="7" t="str">
        <f aca="false">IF($D1558="","",IFERROR(IF(INDEX(Hierarchy!$G$2:$G$1295,MATCH($D1558,Hierarchy!$A$2:$A$1295,0))="","",INDEX(Hierarchy!$G$2:$G$1295,MATCH($D1558,Hierarchy!$A$2:$A$1295,0))),"NODE NOT FOUND"))</f>
        <v>MEX</v>
      </c>
      <c r="K1558" s="7" t="str">
        <f aca="false">IF($D1558="","",IFERROR(IF(INDEX(Hierarchy!$H$2:$H$1295,MATCH($D1558,Hierarchy!$A$2:$A$1295,0))="","",INDEX(Hierarchy!$H$2:$H$1295,MATCH($D1558,Hierarchy!$A$2:$A$1295,0))),"NODE NOT FOUND"))</f>
        <v>San Luis Potosí</v>
      </c>
      <c r="L1558" s="7" t="str">
        <f aca="false">IF($D1558="","",IFERROR(IF(INDEX(Hierarchy!$I$2:$I$1295,MATCH($D1558,Hierarchy!$A$2:$A$1295,0))="","",INDEX(Hierarchy!$I$2:$I$1295,MATCH($D1558,Hierarchy!$A$2:$A$1295,0))),"NODE NOT FOUND"))</f>
        <v/>
      </c>
      <c r="M1558" s="17" t="str">
        <f aca="false">IF(B1558="Pre-seeded","Pre-seeded",IF(B1558="Review 2026-09-16","Added from review",IF(C1558="","New",IF(C1558=D1558,"","Changed"))))</f>
        <v>Pre-seeded</v>
      </c>
      <c r="N1558" s="7" t="str">
        <f aca="false">TRIM(SUBSTITUTE(SUBSTITUTE(SUBSTITUTE(" "&amp;TRIM(SUBSTITUTE(SUBSTITUTE(SUBSTITUTE(SUBSTITUTE(SUBSTITUTE(SUBSTITUTE(SUBSTITUTE(SUBSTITUTE(SUBSTITUTE(SUBSTITUTE(SUBSTITUTE(SUBSTITUTE(SUBSTITUTE(SUBSTITUTE(SUBSTITUTE(UPPER(TRIM(A1558)),"[MEMBER]",""),"{MEMBER}",""),"[MEMBER}",""),"MEMBER]",""),"(A)",""),"""",""),"“",""),"”",""),".",""),":",""),",",""),"–"," "),"-"," "),"/"," "),"&amp;"," AND "))&amp;" "," THE "," ")," TOTAL "," ")," OPERATIONS "," "))</f>
        <v>SAN LUIS POTOSÍ</v>
      </c>
      <c r="O1558" s="17" t="str">
        <f aca="false">IF(COUNTIFS($N$2:$N$2000,N1558,$D$2:$D$2000,"&lt;&gt;"&amp;D1558)&gt;0,"CONFLICT","")</f>
        <v/>
      </c>
      <c r="P1558" s="7"/>
    </row>
    <row r="1559" customFormat="false" ht="15" hidden="false" customHeight="false" outlineLevel="0" collapsed="false">
      <c r="A1559" s="7" t="s">
        <v>939</v>
      </c>
      <c r="B1559" s="7" t="s">
        <v>1879</v>
      </c>
      <c r="C1559" s="7"/>
      <c r="D1559" s="6" t="s">
        <v>939</v>
      </c>
      <c r="E1559" s="6" t="s">
        <v>1880</v>
      </c>
      <c r="F1559" s="7" t="str">
        <f aca="false">IF($D1559="","",IFERROR(IF(INDEX(Hierarchy!$B$2:$B$1295,MATCH($D1559,Hierarchy!$A$2:$A$1295,0))="","",INDEX(Hierarchy!$B$2:$B$1295,MATCH($D1559,Hierarchy!$A$2:$A$1295,0))),"NODE NOT FOUND"))</f>
        <v>Country</v>
      </c>
      <c r="G1559" s="7" t="str">
        <f aca="false">IF($D1559="","",IFERROR(IF(INDEX(Hierarchy!$D$2:$D$1295,MATCH($D1559,Hierarchy!$A$2:$A$1295,0))="","",INDEX(Hierarchy!$D$2:$D$1295,MATCH($D1559,Hierarchy!$A$2:$A$1295,0))),"NODE NOT FOUND"))</f>
        <v>EMEA</v>
      </c>
      <c r="H1559" s="7" t="str">
        <f aca="false">IF($D1559="","",IFERROR(IF(INDEX(Hierarchy!$E$2:$E$1295,MATCH($D1559,Hierarchy!$A$2:$A$1295,0))="","",INDEX(Hierarchy!$E$2:$E$1295,MATCH($D1559,Hierarchy!$A$2:$A$1295,0))),"NODE NOT FOUND"))</f>
        <v>Europe</v>
      </c>
      <c r="I1559" s="7" t="str">
        <f aca="false">IF($D1559="","",IFERROR(IF(INDEX(Hierarchy!$F$2:$F$1295,MATCH($D1559,Hierarchy!$A$2:$A$1295,0))="","",INDEX(Hierarchy!$F$2:$F$1295,MATCH($D1559,Hierarchy!$A$2:$A$1295,0))),"NODE NOT FOUND"))</f>
        <v>San Marino</v>
      </c>
      <c r="J1559" s="7" t="str">
        <f aca="false">IF($D1559="","",IFERROR(IF(INDEX(Hierarchy!$G$2:$G$1295,MATCH($D1559,Hierarchy!$A$2:$A$1295,0))="","",INDEX(Hierarchy!$G$2:$G$1295,MATCH($D1559,Hierarchy!$A$2:$A$1295,0))),"NODE NOT FOUND"))</f>
        <v>SMR</v>
      </c>
      <c r="K1559" s="7" t="str">
        <f aca="false">IF($D1559="","",IFERROR(IF(INDEX(Hierarchy!$H$2:$H$1295,MATCH($D1559,Hierarchy!$A$2:$A$1295,0))="","",INDEX(Hierarchy!$H$2:$H$1295,MATCH($D1559,Hierarchy!$A$2:$A$1295,0))),"NODE NOT FOUND"))</f>
        <v/>
      </c>
      <c r="L1559" s="7" t="str">
        <f aca="false">IF($D1559="","",IFERROR(IF(INDEX(Hierarchy!$I$2:$I$1295,MATCH($D1559,Hierarchy!$A$2:$A$1295,0))="","",INDEX(Hierarchy!$I$2:$I$1295,MATCH($D1559,Hierarchy!$A$2:$A$1295,0))),"NODE NOT FOUND"))</f>
        <v/>
      </c>
      <c r="M1559" s="17" t="str">
        <f aca="false">IF(B1559="Pre-seeded","Pre-seeded",IF(B1559="Review 2026-09-16","Added from review",IF(C1559="","New",IF(C1559=D1559,"","Changed"))))</f>
        <v>Pre-seeded</v>
      </c>
      <c r="N1559" s="7" t="str">
        <f aca="false">TRIM(SUBSTITUTE(SUBSTITUTE(SUBSTITUTE(" "&amp;TRIM(SUBSTITUTE(SUBSTITUTE(SUBSTITUTE(SUBSTITUTE(SUBSTITUTE(SUBSTITUTE(SUBSTITUTE(SUBSTITUTE(SUBSTITUTE(SUBSTITUTE(SUBSTITUTE(SUBSTITUTE(SUBSTITUTE(SUBSTITUTE(SUBSTITUTE(UPPER(TRIM(A1559)),"[MEMBER]",""),"{MEMBER}",""),"[MEMBER}",""),"MEMBER]",""),"(A)",""),"""",""),"“",""),"”",""),".",""),":",""),",",""),"–"," "),"-"," "),"/"," "),"&amp;"," AND "))&amp;" "," THE "," ")," TOTAL "," ")," OPERATIONS "," "))</f>
        <v>SAN MARINO</v>
      </c>
      <c r="O1559" s="17" t="str">
        <f aca="false">IF(COUNTIFS($N$2:$N$2000,N1559,$D$2:$D$2000,"&lt;&gt;"&amp;D1559)&gt;0,"CONFLICT","")</f>
        <v/>
      </c>
      <c r="P1559" s="7"/>
    </row>
    <row r="1560" customFormat="false" ht="15" hidden="false" customHeight="false" outlineLevel="0" collapsed="false">
      <c r="A1560" s="7" t="s">
        <v>1866</v>
      </c>
      <c r="B1560" s="7" t="s">
        <v>1882</v>
      </c>
      <c r="C1560" s="7" t="s">
        <v>1866</v>
      </c>
      <c r="D1560" s="6" t="s">
        <v>1866</v>
      </c>
      <c r="E1560" s="6" t="s">
        <v>1880</v>
      </c>
      <c r="F1560" s="7" t="str">
        <f aca="false">IF($D1560="","",IFERROR(IF(INDEX(Hierarchy!$B$2:$B$1295,MATCH($D1560,Hierarchy!$A$2:$A$1295,0))="","",INDEX(Hierarchy!$B$2:$B$1295,MATCH($D1560,Hierarchy!$A$2:$A$1295,0))),"NODE NOT FOUND"))</f>
        <v>City</v>
      </c>
      <c r="G1560" s="7" t="str">
        <f aca="false">IF($D1560="","",IFERROR(IF(INDEX(Hierarchy!$D$2:$D$1295,MATCH($D1560,Hierarchy!$A$2:$A$1295,0))="","",INDEX(Hierarchy!$D$2:$D$1295,MATCH($D1560,Hierarchy!$A$2:$A$1295,0))),"NODE NOT FOUND"))</f>
        <v>Unresolved</v>
      </c>
      <c r="H1560" s="7" t="str">
        <f aca="false">IF($D1560="","",IFERROR(IF(INDEX(Hierarchy!$E$2:$E$1295,MATCH($D1560,Hierarchy!$A$2:$A$1295,0))="","",INDEX(Hierarchy!$E$2:$E$1295,MATCH($D1560,Hierarchy!$A$2:$A$1295,0))),"NODE NOT FOUND"))</f>
        <v/>
      </c>
      <c r="I1560" s="7" t="str">
        <f aca="false">IF($D1560="","",IFERROR(IF(INDEX(Hierarchy!$F$2:$F$1295,MATCH($D1560,Hierarchy!$A$2:$A$1295,0))="","",INDEX(Hierarchy!$F$2:$F$1295,MATCH($D1560,Hierarchy!$A$2:$A$1295,0))),"NODE NOT FOUND"))</f>
        <v/>
      </c>
      <c r="J1560" s="7" t="str">
        <f aca="false">IF($D1560="","",IFERROR(IF(INDEX(Hierarchy!$G$2:$G$1295,MATCH($D1560,Hierarchy!$A$2:$A$1295,0))="","",INDEX(Hierarchy!$G$2:$G$1295,MATCH($D1560,Hierarchy!$A$2:$A$1295,0))),"NODE NOT FOUND"))</f>
        <v/>
      </c>
      <c r="K1560" s="7" t="str">
        <f aca="false">IF($D1560="","",IFERROR(IF(INDEX(Hierarchy!$H$2:$H$1295,MATCH($D1560,Hierarchy!$A$2:$A$1295,0))="","",INDEX(Hierarchy!$H$2:$H$1295,MATCH($D1560,Hierarchy!$A$2:$A$1295,0))),"NODE NOT FOUND"))</f>
        <v/>
      </c>
      <c r="L1560" s="7" t="str">
        <f aca="false">IF($D1560="","",IFERROR(IF(INDEX(Hierarchy!$I$2:$I$1295,MATCH($D1560,Hierarchy!$A$2:$A$1295,0))="","",INDEX(Hierarchy!$I$2:$I$1295,MATCH($D1560,Hierarchy!$A$2:$A$1295,0))),"NODE NOT FOUND"))</f>
        <v>San Miguel</v>
      </c>
      <c r="M1560" s="17" t="str">
        <f aca="false">IF(B1560="Pre-seeded","Pre-seeded",IF(B1560="Review 2026-09-16","Added from review",IF(C1560="","New",IF(C1560=D1560,"","Changed"))))</f>
        <v/>
      </c>
      <c r="N1560" s="7" t="str">
        <f aca="false">TRIM(SUBSTITUTE(SUBSTITUTE(SUBSTITUTE(" "&amp;TRIM(SUBSTITUTE(SUBSTITUTE(SUBSTITUTE(SUBSTITUTE(SUBSTITUTE(SUBSTITUTE(SUBSTITUTE(SUBSTITUTE(SUBSTITUTE(SUBSTITUTE(SUBSTITUTE(SUBSTITUTE(SUBSTITUTE(SUBSTITUTE(SUBSTITUTE(UPPER(TRIM(A1560)),"[MEMBER]",""),"{MEMBER}",""),"[MEMBER}",""),"MEMBER]",""),"(A)",""),"""",""),"“",""),"”",""),".",""),":",""),",",""),"–"," "),"-"," "),"/"," "),"&amp;"," AND "))&amp;" "," THE "," ")," TOTAL "," ")," OPERATIONS "," "))</f>
        <v>SAN MIGUEL</v>
      </c>
      <c r="O1560" s="17" t="str">
        <f aca="false">IF(COUNTIFS($N$2:$N$2000,N1560,$D$2:$D$2000,"&lt;&gt;"&amp;D1560)&gt;0,"CONFLICT","")</f>
        <v/>
      </c>
      <c r="P1560" s="7" t="s">
        <v>2693</v>
      </c>
    </row>
    <row r="1561" customFormat="false" ht="15" hidden="false" customHeight="false" outlineLevel="0" collapsed="false">
      <c r="A1561" s="7" t="s">
        <v>153</v>
      </c>
      <c r="B1561" s="7" t="s">
        <v>1882</v>
      </c>
      <c r="C1561" s="7" t="s">
        <v>153</v>
      </c>
      <c r="D1561" s="6" t="s">
        <v>153</v>
      </c>
      <c r="E1561" s="6" t="s">
        <v>1880</v>
      </c>
      <c r="F1561" s="7" t="str">
        <f aca="false">IF($D1561="","",IFERROR(IF(INDEX(Hierarchy!$B$2:$B$1295,MATCH($D1561,Hierarchy!$A$2:$A$1295,0))="","",INDEX(Hierarchy!$B$2:$B$1295,MATCH($D1561,Hierarchy!$A$2:$A$1295,0))),"NODE NOT FOUND"))</f>
        <v>City</v>
      </c>
      <c r="G1561" s="7" t="str">
        <f aca="false">IF($D1561="","",IFERROR(IF(INDEX(Hierarchy!$D$2:$D$1295,MATCH($D1561,Hierarchy!$A$2:$A$1295,0))="","",INDEX(Hierarchy!$D$2:$D$1295,MATCH($D1561,Hierarchy!$A$2:$A$1295,0))),"NODE NOT FOUND"))</f>
        <v>AMER</v>
      </c>
      <c r="H1561" s="7" t="str">
        <f aca="false">IF($D1561="","",IFERROR(IF(INDEX(Hierarchy!$E$2:$E$1295,MATCH($D1561,Hierarchy!$A$2:$A$1295,0))="","",INDEX(Hierarchy!$E$2:$E$1295,MATCH($D1561,Hierarchy!$A$2:$A$1295,0))),"NODE NOT FOUND"))</f>
        <v>North America (NORAM)</v>
      </c>
      <c r="I1561" s="7" t="str">
        <f aca="false">IF($D1561="","",IFERROR(IF(INDEX(Hierarchy!$F$2:$F$1295,MATCH($D1561,Hierarchy!$A$2:$A$1295,0))="","",INDEX(Hierarchy!$F$2:$F$1295,MATCH($D1561,Hierarchy!$A$2:$A$1295,0))),"NODE NOT FOUND"))</f>
        <v>United States</v>
      </c>
      <c r="J1561" s="7" t="str">
        <f aca="false">IF($D1561="","",IFERROR(IF(INDEX(Hierarchy!$G$2:$G$1295,MATCH($D1561,Hierarchy!$A$2:$A$1295,0))="","",INDEX(Hierarchy!$G$2:$G$1295,MATCH($D1561,Hierarchy!$A$2:$A$1295,0))),"NODE NOT FOUND"))</f>
        <v>USA</v>
      </c>
      <c r="K1561" s="7" t="str">
        <f aca="false">IF($D1561="","",IFERROR(IF(INDEX(Hierarchy!$H$2:$H$1295,MATCH($D1561,Hierarchy!$A$2:$A$1295,0))="","",INDEX(Hierarchy!$H$2:$H$1295,MATCH($D1561,Hierarchy!$A$2:$A$1295,0))),"NODE NOT FOUND"))</f>
        <v>California</v>
      </c>
      <c r="L1561" s="7" t="str">
        <f aca="false">IF($D1561="","",IFERROR(IF(INDEX(Hierarchy!$I$2:$I$1295,MATCH($D1561,Hierarchy!$A$2:$A$1295,0))="","",INDEX(Hierarchy!$I$2:$I$1295,MATCH($D1561,Hierarchy!$A$2:$A$1295,0))),"NODE NOT FOUND"))</f>
        <v>Santa Ana</v>
      </c>
      <c r="M1561" s="17" t="str">
        <f aca="false">IF(B1561="Pre-seeded","Pre-seeded",IF(B1561="Review 2026-09-16","Added from review",IF(C1561="","New",IF(C1561=D1561,"","Changed"))))</f>
        <v/>
      </c>
      <c r="N1561" s="7" t="str">
        <f aca="false">TRIM(SUBSTITUTE(SUBSTITUTE(SUBSTITUTE(" "&amp;TRIM(SUBSTITUTE(SUBSTITUTE(SUBSTITUTE(SUBSTITUTE(SUBSTITUTE(SUBSTITUTE(SUBSTITUTE(SUBSTITUTE(SUBSTITUTE(SUBSTITUTE(SUBSTITUTE(SUBSTITUTE(SUBSTITUTE(SUBSTITUTE(SUBSTITUTE(UPPER(TRIM(A1561)),"[MEMBER]",""),"{MEMBER}",""),"[MEMBER}",""),"MEMBER]",""),"(A)",""),"""",""),"“",""),"”",""),".",""),":",""),",",""),"–"," "),"-"," "),"/"," "),"&amp;"," AND "))&amp;" "," THE "," ")," TOTAL "," ")," OPERATIONS "," "))</f>
        <v>SANTA ANA</v>
      </c>
      <c r="O1561" s="17" t="str">
        <f aca="false">IF(COUNTIFS($N$2:$N$2000,N1561,$D$2:$D$2000,"&lt;&gt;"&amp;D1561)&gt;0,"CONFLICT","")</f>
        <v/>
      </c>
      <c r="P1561" s="7"/>
    </row>
    <row r="1562" customFormat="false" ht="15" hidden="false" customHeight="false" outlineLevel="0" collapsed="false">
      <c r="A1562" s="7" t="s">
        <v>371</v>
      </c>
      <c r="B1562" s="7" t="s">
        <v>1879</v>
      </c>
      <c r="C1562" s="7"/>
      <c r="D1562" s="6" t="s">
        <v>371</v>
      </c>
      <c r="E1562" s="6" t="s">
        <v>1880</v>
      </c>
      <c r="F1562" s="7" t="str">
        <f aca="false">IF($D1562="","",IFERROR(IF(INDEX(Hierarchy!$B$2:$B$1295,MATCH($D1562,Hierarchy!$A$2:$A$1295,0))="","",INDEX(Hierarchy!$B$2:$B$1295,MATCH($D1562,Hierarchy!$A$2:$A$1295,0))),"NODE NOT FOUND"))</f>
        <v>State/Province</v>
      </c>
      <c r="G1562" s="7" t="str">
        <f aca="false">IF($D1562="","",IFERROR(IF(INDEX(Hierarchy!$D$2:$D$1295,MATCH($D1562,Hierarchy!$A$2:$A$1295,0))="","",INDEX(Hierarchy!$D$2:$D$1295,MATCH($D1562,Hierarchy!$A$2:$A$1295,0))),"NODE NOT FOUND"))</f>
        <v>AMER</v>
      </c>
      <c r="H1562" s="7" t="str">
        <f aca="false">IF($D1562="","",IFERROR(IF(INDEX(Hierarchy!$E$2:$E$1295,MATCH($D1562,Hierarchy!$A$2:$A$1295,0))="","",INDEX(Hierarchy!$E$2:$E$1295,MATCH($D1562,Hierarchy!$A$2:$A$1295,0))),"NODE NOT FOUND"))</f>
        <v>Latin America (LATAM)</v>
      </c>
      <c r="I1562" s="7" t="str">
        <f aca="false">IF($D1562="","",IFERROR(IF(INDEX(Hierarchy!$F$2:$F$1295,MATCH($D1562,Hierarchy!$A$2:$A$1295,0))="","",INDEX(Hierarchy!$F$2:$F$1295,MATCH($D1562,Hierarchy!$A$2:$A$1295,0))),"NODE NOT FOUND"))</f>
        <v>Brazil</v>
      </c>
      <c r="J1562" s="7" t="str">
        <f aca="false">IF($D1562="","",IFERROR(IF(INDEX(Hierarchy!$G$2:$G$1295,MATCH($D1562,Hierarchy!$A$2:$A$1295,0))="","",INDEX(Hierarchy!$G$2:$G$1295,MATCH($D1562,Hierarchy!$A$2:$A$1295,0))),"NODE NOT FOUND"))</f>
        <v>BRA</v>
      </c>
      <c r="K1562" s="7" t="str">
        <f aca="false">IF($D1562="","",IFERROR(IF(INDEX(Hierarchy!$H$2:$H$1295,MATCH($D1562,Hierarchy!$A$2:$A$1295,0))="","",INDEX(Hierarchy!$H$2:$H$1295,MATCH($D1562,Hierarchy!$A$2:$A$1295,0))),"NODE NOT FOUND"))</f>
        <v>Santa Catarina</v>
      </c>
      <c r="L1562" s="7" t="str">
        <f aca="false">IF($D1562="","",IFERROR(IF(INDEX(Hierarchy!$I$2:$I$1295,MATCH($D1562,Hierarchy!$A$2:$A$1295,0))="","",INDEX(Hierarchy!$I$2:$I$1295,MATCH($D1562,Hierarchy!$A$2:$A$1295,0))),"NODE NOT FOUND"))</f>
        <v/>
      </c>
      <c r="M1562" s="17" t="str">
        <f aca="false">IF(B1562="Pre-seeded","Pre-seeded",IF(B1562="Review 2026-09-16","Added from review",IF(C1562="","New",IF(C1562=D1562,"","Changed"))))</f>
        <v>Pre-seeded</v>
      </c>
      <c r="N1562" s="7" t="str">
        <f aca="false">TRIM(SUBSTITUTE(SUBSTITUTE(SUBSTITUTE(" "&amp;TRIM(SUBSTITUTE(SUBSTITUTE(SUBSTITUTE(SUBSTITUTE(SUBSTITUTE(SUBSTITUTE(SUBSTITUTE(SUBSTITUTE(SUBSTITUTE(SUBSTITUTE(SUBSTITUTE(SUBSTITUTE(SUBSTITUTE(SUBSTITUTE(SUBSTITUTE(UPPER(TRIM(A1562)),"[MEMBER]",""),"{MEMBER}",""),"[MEMBER}",""),"MEMBER]",""),"(A)",""),"""",""),"“",""),"”",""),".",""),":",""),",",""),"–"," "),"-"," "),"/"," "),"&amp;"," AND "))&amp;" "," THE "," ")," TOTAL "," ")," OPERATIONS "," "))</f>
        <v>SANTA CATARINA</v>
      </c>
      <c r="O1562" s="17" t="str">
        <f aca="false">IF(COUNTIFS($N$2:$N$2000,N1562,$D$2:$D$2000,"&lt;&gt;"&amp;D1562)&gt;0,"CONFLICT","")</f>
        <v/>
      </c>
      <c r="P1562" s="7"/>
    </row>
    <row r="1563" customFormat="false" ht="15" hidden="false" customHeight="false" outlineLevel="0" collapsed="false">
      <c r="A1563" s="7" t="s">
        <v>448</v>
      </c>
      <c r="B1563" s="7" t="s">
        <v>1879</v>
      </c>
      <c r="C1563" s="7"/>
      <c r="D1563" s="6" t="s">
        <v>448</v>
      </c>
      <c r="E1563" s="6" t="s">
        <v>1880</v>
      </c>
      <c r="F1563" s="7" t="str">
        <f aca="false">IF($D1563="","",IFERROR(IF(INDEX(Hierarchy!$B$2:$B$1295,MATCH($D1563,Hierarchy!$A$2:$A$1295,0))="","",INDEX(Hierarchy!$B$2:$B$1295,MATCH($D1563,Hierarchy!$A$2:$A$1295,0))),"NODE NOT FOUND"))</f>
        <v>State/Province</v>
      </c>
      <c r="G1563" s="7" t="str">
        <f aca="false">IF($D1563="","",IFERROR(IF(INDEX(Hierarchy!$D$2:$D$1295,MATCH($D1563,Hierarchy!$A$2:$A$1295,0))="","",INDEX(Hierarchy!$D$2:$D$1295,MATCH($D1563,Hierarchy!$A$2:$A$1295,0))),"NODE NOT FOUND"))</f>
        <v>AMER</v>
      </c>
      <c r="H1563" s="7" t="str">
        <f aca="false">IF($D1563="","",IFERROR(IF(INDEX(Hierarchy!$E$2:$E$1295,MATCH($D1563,Hierarchy!$A$2:$A$1295,0))="","",INDEX(Hierarchy!$E$2:$E$1295,MATCH($D1563,Hierarchy!$A$2:$A$1295,0))),"NODE NOT FOUND"))</f>
        <v>Latin America (LATAM)</v>
      </c>
      <c r="I1563" s="7" t="str">
        <f aca="false">IF($D1563="","",IFERROR(IF(INDEX(Hierarchy!$F$2:$F$1295,MATCH($D1563,Hierarchy!$A$2:$A$1295,0))="","",INDEX(Hierarchy!$F$2:$F$1295,MATCH($D1563,Hierarchy!$A$2:$A$1295,0))),"NODE NOT FOUND"))</f>
        <v>Argentina</v>
      </c>
      <c r="J1563" s="7" t="str">
        <f aca="false">IF($D1563="","",IFERROR(IF(INDEX(Hierarchy!$G$2:$G$1295,MATCH($D1563,Hierarchy!$A$2:$A$1295,0))="","",INDEX(Hierarchy!$G$2:$G$1295,MATCH($D1563,Hierarchy!$A$2:$A$1295,0))),"NODE NOT FOUND"))</f>
        <v>ARG</v>
      </c>
      <c r="K1563" s="7" t="str">
        <f aca="false">IF($D1563="","",IFERROR(IF(INDEX(Hierarchy!$H$2:$H$1295,MATCH($D1563,Hierarchy!$A$2:$A$1295,0))="","",INDEX(Hierarchy!$H$2:$H$1295,MATCH($D1563,Hierarchy!$A$2:$A$1295,0))),"NODE NOT FOUND"))</f>
        <v>Santa Cruz (Argentina)</v>
      </c>
      <c r="L1563" s="7" t="str">
        <f aca="false">IF($D1563="","",IFERROR(IF(INDEX(Hierarchy!$I$2:$I$1295,MATCH($D1563,Hierarchy!$A$2:$A$1295,0))="","",INDEX(Hierarchy!$I$2:$I$1295,MATCH($D1563,Hierarchy!$A$2:$A$1295,0))),"NODE NOT FOUND"))</f>
        <v/>
      </c>
      <c r="M1563" s="17" t="str">
        <f aca="false">IF(B1563="Pre-seeded","Pre-seeded",IF(B1563="Review 2026-09-16","Added from review",IF(C1563="","New",IF(C1563=D1563,"","Changed"))))</f>
        <v>Pre-seeded</v>
      </c>
      <c r="N1563" s="7" t="str">
        <f aca="false">TRIM(SUBSTITUTE(SUBSTITUTE(SUBSTITUTE(" "&amp;TRIM(SUBSTITUTE(SUBSTITUTE(SUBSTITUTE(SUBSTITUTE(SUBSTITUTE(SUBSTITUTE(SUBSTITUTE(SUBSTITUTE(SUBSTITUTE(SUBSTITUTE(SUBSTITUTE(SUBSTITUTE(SUBSTITUTE(SUBSTITUTE(SUBSTITUTE(UPPER(TRIM(A1563)),"[MEMBER]",""),"{MEMBER}",""),"[MEMBER}",""),"MEMBER]",""),"(A)",""),"""",""),"“",""),"”",""),".",""),":",""),",",""),"–"," "),"-"," "),"/"," "),"&amp;"," AND "))&amp;" "," THE "," ")," TOTAL "," ")," OPERATIONS "," "))</f>
        <v>SANTA CRUZ (ARGENTINA)</v>
      </c>
      <c r="O1563" s="17" t="str">
        <f aca="false">IF(COUNTIFS($N$2:$N$2000,N1563,$D$2:$D$2000,"&lt;&gt;"&amp;D1563)&gt;0,"CONFLICT","")</f>
        <v/>
      </c>
      <c r="P1563" s="7"/>
    </row>
    <row r="1564" customFormat="false" ht="15" hidden="false" customHeight="false" outlineLevel="0" collapsed="false">
      <c r="A1564" s="7" t="s">
        <v>449</v>
      </c>
      <c r="B1564" s="7" t="s">
        <v>1879</v>
      </c>
      <c r="C1564" s="7"/>
      <c r="D1564" s="6" t="s">
        <v>449</v>
      </c>
      <c r="E1564" s="6" t="s">
        <v>1880</v>
      </c>
      <c r="F1564" s="7" t="str">
        <f aca="false">IF($D1564="","",IFERROR(IF(INDEX(Hierarchy!$B$2:$B$1295,MATCH($D1564,Hierarchy!$A$2:$A$1295,0))="","",INDEX(Hierarchy!$B$2:$B$1295,MATCH($D1564,Hierarchy!$A$2:$A$1295,0))),"NODE NOT FOUND"))</f>
        <v>State/Province</v>
      </c>
      <c r="G1564" s="7" t="str">
        <f aca="false">IF($D1564="","",IFERROR(IF(INDEX(Hierarchy!$D$2:$D$1295,MATCH($D1564,Hierarchy!$A$2:$A$1295,0))="","",INDEX(Hierarchy!$D$2:$D$1295,MATCH($D1564,Hierarchy!$A$2:$A$1295,0))),"NODE NOT FOUND"))</f>
        <v>AMER</v>
      </c>
      <c r="H1564" s="7" t="str">
        <f aca="false">IF($D1564="","",IFERROR(IF(INDEX(Hierarchy!$E$2:$E$1295,MATCH($D1564,Hierarchy!$A$2:$A$1295,0))="","",INDEX(Hierarchy!$E$2:$E$1295,MATCH($D1564,Hierarchy!$A$2:$A$1295,0))),"NODE NOT FOUND"))</f>
        <v>Latin America (LATAM)</v>
      </c>
      <c r="I1564" s="7" t="str">
        <f aca="false">IF($D1564="","",IFERROR(IF(INDEX(Hierarchy!$F$2:$F$1295,MATCH($D1564,Hierarchy!$A$2:$A$1295,0))="","",INDEX(Hierarchy!$F$2:$F$1295,MATCH($D1564,Hierarchy!$A$2:$A$1295,0))),"NODE NOT FOUND"))</f>
        <v>Argentina</v>
      </c>
      <c r="J1564" s="7" t="str">
        <f aca="false">IF($D1564="","",IFERROR(IF(INDEX(Hierarchy!$G$2:$G$1295,MATCH($D1564,Hierarchy!$A$2:$A$1295,0))="","",INDEX(Hierarchy!$G$2:$G$1295,MATCH($D1564,Hierarchy!$A$2:$A$1295,0))),"NODE NOT FOUND"))</f>
        <v>ARG</v>
      </c>
      <c r="K1564" s="7" t="str">
        <f aca="false">IF($D1564="","",IFERROR(IF(INDEX(Hierarchy!$H$2:$H$1295,MATCH($D1564,Hierarchy!$A$2:$A$1295,0))="","",INDEX(Hierarchy!$H$2:$H$1295,MATCH($D1564,Hierarchy!$A$2:$A$1295,0))),"NODE NOT FOUND"))</f>
        <v>Santa Fe</v>
      </c>
      <c r="L1564" s="7" t="str">
        <f aca="false">IF($D1564="","",IFERROR(IF(INDEX(Hierarchy!$I$2:$I$1295,MATCH($D1564,Hierarchy!$A$2:$A$1295,0))="","",INDEX(Hierarchy!$I$2:$I$1295,MATCH($D1564,Hierarchy!$A$2:$A$1295,0))),"NODE NOT FOUND"))</f>
        <v/>
      </c>
      <c r="M1564" s="17" t="str">
        <f aca="false">IF(B1564="Pre-seeded","Pre-seeded",IF(B1564="Review 2026-09-16","Added from review",IF(C1564="","New",IF(C1564=D1564,"","Changed"))))</f>
        <v>Pre-seeded</v>
      </c>
      <c r="N1564" s="7" t="str">
        <f aca="false">TRIM(SUBSTITUTE(SUBSTITUTE(SUBSTITUTE(" "&amp;TRIM(SUBSTITUTE(SUBSTITUTE(SUBSTITUTE(SUBSTITUTE(SUBSTITUTE(SUBSTITUTE(SUBSTITUTE(SUBSTITUTE(SUBSTITUTE(SUBSTITUTE(SUBSTITUTE(SUBSTITUTE(SUBSTITUTE(SUBSTITUTE(SUBSTITUTE(UPPER(TRIM(A1564)),"[MEMBER]",""),"{MEMBER}",""),"[MEMBER}",""),"MEMBER]",""),"(A)",""),"""",""),"“",""),"”",""),".",""),":",""),",",""),"–"," "),"-"," "),"/"," "),"&amp;"," AND "))&amp;" "," THE "," ")," TOTAL "," ")," OPERATIONS "," "))</f>
        <v>SANTA FE</v>
      </c>
      <c r="O1564" s="17" t="str">
        <f aca="false">IF(COUNTIFS($N$2:$N$2000,N1564,$D$2:$D$2000,"&lt;&gt;"&amp;D1564)&gt;0,"CONFLICT","")</f>
        <v/>
      </c>
      <c r="P1564" s="7"/>
    </row>
    <row r="1565" customFormat="false" ht="15" hidden="false" customHeight="false" outlineLevel="0" collapsed="false">
      <c r="A1565" s="7" t="s">
        <v>528</v>
      </c>
      <c r="B1565" s="7" t="s">
        <v>1879</v>
      </c>
      <c r="C1565" s="7"/>
      <c r="D1565" s="6" t="s">
        <v>528</v>
      </c>
      <c r="E1565" s="6" t="s">
        <v>1880</v>
      </c>
      <c r="F1565" s="7" t="str">
        <f aca="false">IF($D1565="","",IFERROR(IF(INDEX(Hierarchy!$B$2:$B$1295,MATCH($D1565,Hierarchy!$A$2:$A$1295,0))="","",INDEX(Hierarchy!$B$2:$B$1295,MATCH($D1565,Hierarchy!$A$2:$A$1295,0))),"NODE NOT FOUND"))</f>
        <v>State/Province</v>
      </c>
      <c r="G1565" s="7" t="str">
        <f aca="false">IF($D1565="","",IFERROR(IF(INDEX(Hierarchy!$D$2:$D$1295,MATCH($D1565,Hierarchy!$A$2:$A$1295,0))="","",INDEX(Hierarchy!$D$2:$D$1295,MATCH($D1565,Hierarchy!$A$2:$A$1295,0))),"NODE NOT FOUND"))</f>
        <v>AMER</v>
      </c>
      <c r="H1565" s="7" t="str">
        <f aca="false">IF($D1565="","",IFERROR(IF(INDEX(Hierarchy!$E$2:$E$1295,MATCH($D1565,Hierarchy!$A$2:$A$1295,0))="","",INDEX(Hierarchy!$E$2:$E$1295,MATCH($D1565,Hierarchy!$A$2:$A$1295,0))),"NODE NOT FOUND"))</f>
        <v>Latin America (LATAM)</v>
      </c>
      <c r="I1565" s="7" t="str">
        <f aca="false">IF($D1565="","",IFERROR(IF(INDEX(Hierarchy!$F$2:$F$1295,MATCH($D1565,Hierarchy!$A$2:$A$1295,0))="","",INDEX(Hierarchy!$F$2:$F$1295,MATCH($D1565,Hierarchy!$A$2:$A$1295,0))),"NODE NOT FOUND"))</f>
        <v>Colombia</v>
      </c>
      <c r="J1565" s="7" t="str">
        <f aca="false">IF($D1565="","",IFERROR(IF(INDEX(Hierarchy!$G$2:$G$1295,MATCH($D1565,Hierarchy!$A$2:$A$1295,0))="","",INDEX(Hierarchy!$G$2:$G$1295,MATCH($D1565,Hierarchy!$A$2:$A$1295,0))),"NODE NOT FOUND"))</f>
        <v>COL</v>
      </c>
      <c r="K1565" s="7" t="str">
        <f aca="false">IF($D1565="","",IFERROR(IF(INDEX(Hierarchy!$H$2:$H$1295,MATCH($D1565,Hierarchy!$A$2:$A$1295,0))="","",INDEX(Hierarchy!$H$2:$H$1295,MATCH($D1565,Hierarchy!$A$2:$A$1295,0))),"NODE NOT FOUND"))</f>
        <v>Santander</v>
      </c>
      <c r="L1565" s="7" t="str">
        <f aca="false">IF($D1565="","",IFERROR(IF(INDEX(Hierarchy!$I$2:$I$1295,MATCH($D1565,Hierarchy!$A$2:$A$1295,0))="","",INDEX(Hierarchy!$I$2:$I$1295,MATCH($D1565,Hierarchy!$A$2:$A$1295,0))),"NODE NOT FOUND"))</f>
        <v/>
      </c>
      <c r="M1565" s="17" t="str">
        <f aca="false">IF(B1565="Pre-seeded","Pre-seeded",IF(B1565="Review 2026-09-16","Added from review",IF(C1565="","New",IF(C1565=D1565,"","Changed"))))</f>
        <v>Pre-seeded</v>
      </c>
      <c r="N1565" s="7" t="str">
        <f aca="false">TRIM(SUBSTITUTE(SUBSTITUTE(SUBSTITUTE(" "&amp;TRIM(SUBSTITUTE(SUBSTITUTE(SUBSTITUTE(SUBSTITUTE(SUBSTITUTE(SUBSTITUTE(SUBSTITUTE(SUBSTITUTE(SUBSTITUTE(SUBSTITUTE(SUBSTITUTE(SUBSTITUTE(SUBSTITUTE(SUBSTITUTE(SUBSTITUTE(UPPER(TRIM(A1565)),"[MEMBER]",""),"{MEMBER}",""),"[MEMBER}",""),"MEMBER]",""),"(A)",""),"""",""),"“",""),"”",""),".",""),":",""),",",""),"–"," "),"-"," "),"/"," "),"&amp;"," AND "))&amp;" "," THE "," ")," TOTAL "," ")," OPERATIONS "," "))</f>
        <v>SANTANDER</v>
      </c>
      <c r="O1565" s="17" t="str">
        <f aca="false">IF(COUNTIFS($N$2:$N$2000,N1565,$D$2:$D$2000,"&lt;&gt;"&amp;D1565)&gt;0,"CONFLICT","")</f>
        <v/>
      </c>
      <c r="P1565" s="7"/>
    </row>
    <row r="1566" customFormat="false" ht="15" hidden="false" customHeight="false" outlineLevel="0" collapsed="false">
      <c r="A1566" s="7" t="s">
        <v>450</v>
      </c>
      <c r="B1566" s="7" t="s">
        <v>1879</v>
      </c>
      <c r="C1566" s="7"/>
      <c r="D1566" s="6" t="s">
        <v>450</v>
      </c>
      <c r="E1566" s="6" t="s">
        <v>1880</v>
      </c>
      <c r="F1566" s="7" t="str">
        <f aca="false">IF($D1566="","",IFERROR(IF(INDEX(Hierarchy!$B$2:$B$1295,MATCH($D1566,Hierarchy!$A$2:$A$1295,0))="","",INDEX(Hierarchy!$B$2:$B$1295,MATCH($D1566,Hierarchy!$A$2:$A$1295,0))),"NODE NOT FOUND"))</f>
        <v>State/Province</v>
      </c>
      <c r="G1566" s="7" t="str">
        <f aca="false">IF($D1566="","",IFERROR(IF(INDEX(Hierarchy!$D$2:$D$1295,MATCH($D1566,Hierarchy!$A$2:$A$1295,0))="","",INDEX(Hierarchy!$D$2:$D$1295,MATCH($D1566,Hierarchy!$A$2:$A$1295,0))),"NODE NOT FOUND"))</f>
        <v>AMER</v>
      </c>
      <c r="H1566" s="7" t="str">
        <f aca="false">IF($D1566="","",IFERROR(IF(INDEX(Hierarchy!$E$2:$E$1295,MATCH($D1566,Hierarchy!$A$2:$A$1295,0))="","",INDEX(Hierarchy!$E$2:$E$1295,MATCH($D1566,Hierarchy!$A$2:$A$1295,0))),"NODE NOT FOUND"))</f>
        <v>Latin America (LATAM)</v>
      </c>
      <c r="I1566" s="7" t="str">
        <f aca="false">IF($D1566="","",IFERROR(IF(INDEX(Hierarchy!$F$2:$F$1295,MATCH($D1566,Hierarchy!$A$2:$A$1295,0))="","",INDEX(Hierarchy!$F$2:$F$1295,MATCH($D1566,Hierarchy!$A$2:$A$1295,0))),"NODE NOT FOUND"))</f>
        <v>Argentina</v>
      </c>
      <c r="J1566" s="7" t="str">
        <f aca="false">IF($D1566="","",IFERROR(IF(INDEX(Hierarchy!$G$2:$G$1295,MATCH($D1566,Hierarchy!$A$2:$A$1295,0))="","",INDEX(Hierarchy!$G$2:$G$1295,MATCH($D1566,Hierarchy!$A$2:$A$1295,0))),"NODE NOT FOUND"))</f>
        <v>ARG</v>
      </c>
      <c r="K1566" s="7" t="str">
        <f aca="false">IF($D1566="","",IFERROR(IF(INDEX(Hierarchy!$H$2:$H$1295,MATCH($D1566,Hierarchy!$A$2:$A$1295,0))="","",INDEX(Hierarchy!$H$2:$H$1295,MATCH($D1566,Hierarchy!$A$2:$A$1295,0))),"NODE NOT FOUND"))</f>
        <v>Santiago del Estero</v>
      </c>
      <c r="L1566" s="7" t="str">
        <f aca="false">IF($D1566="","",IFERROR(IF(INDEX(Hierarchy!$I$2:$I$1295,MATCH($D1566,Hierarchy!$A$2:$A$1295,0))="","",INDEX(Hierarchy!$I$2:$I$1295,MATCH($D1566,Hierarchy!$A$2:$A$1295,0))),"NODE NOT FOUND"))</f>
        <v/>
      </c>
      <c r="M1566" s="17" t="str">
        <f aca="false">IF(B1566="Pre-seeded","Pre-seeded",IF(B1566="Review 2026-09-16","Added from review",IF(C1566="","New",IF(C1566=D1566,"","Changed"))))</f>
        <v>Pre-seeded</v>
      </c>
      <c r="N1566" s="7" t="str">
        <f aca="false">TRIM(SUBSTITUTE(SUBSTITUTE(SUBSTITUTE(" "&amp;TRIM(SUBSTITUTE(SUBSTITUTE(SUBSTITUTE(SUBSTITUTE(SUBSTITUTE(SUBSTITUTE(SUBSTITUTE(SUBSTITUTE(SUBSTITUTE(SUBSTITUTE(SUBSTITUTE(SUBSTITUTE(SUBSTITUTE(SUBSTITUTE(SUBSTITUTE(UPPER(TRIM(A1566)),"[MEMBER]",""),"{MEMBER}",""),"[MEMBER}",""),"MEMBER]",""),"(A)",""),"""",""),"“",""),"”",""),".",""),":",""),",",""),"–"," "),"-"," "),"/"," "),"&amp;"," AND "))&amp;" "," THE "," ")," TOTAL "," ")," OPERATIONS "," "))</f>
        <v>SANTIAGO DEL ESTERO</v>
      </c>
      <c r="O1566" s="17" t="str">
        <f aca="false">IF(COUNTIFS($N$2:$N$2000,N1566,$D$2:$D$2000,"&lt;&gt;"&amp;D1566)&gt;0,"CONFLICT","")</f>
        <v/>
      </c>
      <c r="P1566" s="7"/>
    </row>
    <row r="1567" customFormat="false" ht="15" hidden="false" customHeight="false" outlineLevel="0" collapsed="false">
      <c r="A1567" s="7" t="s">
        <v>491</v>
      </c>
      <c r="B1567" s="7" t="s">
        <v>1879</v>
      </c>
      <c r="C1567" s="7"/>
      <c r="D1567" s="6" t="s">
        <v>491</v>
      </c>
      <c r="E1567" s="6" t="s">
        <v>1880</v>
      </c>
      <c r="F1567" s="7" t="str">
        <f aca="false">IF($D1567="","",IFERROR(IF(INDEX(Hierarchy!$B$2:$B$1295,MATCH($D1567,Hierarchy!$A$2:$A$1295,0))="","",INDEX(Hierarchy!$B$2:$B$1295,MATCH($D1567,Hierarchy!$A$2:$A$1295,0))),"NODE NOT FOUND"))</f>
        <v>State/Province</v>
      </c>
      <c r="G1567" s="7" t="str">
        <f aca="false">IF($D1567="","",IFERROR(IF(INDEX(Hierarchy!$D$2:$D$1295,MATCH($D1567,Hierarchy!$A$2:$A$1295,0))="","",INDEX(Hierarchy!$D$2:$D$1295,MATCH($D1567,Hierarchy!$A$2:$A$1295,0))),"NODE NOT FOUND"))</f>
        <v>AMER</v>
      </c>
      <c r="H1567" s="7" t="str">
        <f aca="false">IF($D1567="","",IFERROR(IF(INDEX(Hierarchy!$E$2:$E$1295,MATCH($D1567,Hierarchy!$A$2:$A$1295,0))="","",INDEX(Hierarchy!$E$2:$E$1295,MATCH($D1567,Hierarchy!$A$2:$A$1295,0))),"NODE NOT FOUND"))</f>
        <v>Latin America (LATAM)</v>
      </c>
      <c r="I1567" s="7" t="str">
        <f aca="false">IF($D1567="","",IFERROR(IF(INDEX(Hierarchy!$F$2:$F$1295,MATCH($D1567,Hierarchy!$A$2:$A$1295,0))="","",INDEX(Hierarchy!$F$2:$F$1295,MATCH($D1567,Hierarchy!$A$2:$A$1295,0))),"NODE NOT FOUND"))</f>
        <v>Chile</v>
      </c>
      <c r="J1567" s="7" t="str">
        <f aca="false">IF($D1567="","",IFERROR(IF(INDEX(Hierarchy!$G$2:$G$1295,MATCH($D1567,Hierarchy!$A$2:$A$1295,0))="","",INDEX(Hierarchy!$G$2:$G$1295,MATCH($D1567,Hierarchy!$A$2:$A$1295,0))),"NODE NOT FOUND"))</f>
        <v>CHL</v>
      </c>
      <c r="K1567" s="7" t="str">
        <f aca="false">IF($D1567="","",IFERROR(IF(INDEX(Hierarchy!$H$2:$H$1295,MATCH($D1567,Hierarchy!$A$2:$A$1295,0))="","",INDEX(Hierarchy!$H$2:$H$1295,MATCH($D1567,Hierarchy!$A$2:$A$1295,0))),"NODE NOT FOUND"))</f>
        <v>Santiago Metropolitan Region</v>
      </c>
      <c r="L1567" s="7" t="str">
        <f aca="false">IF($D1567="","",IFERROR(IF(INDEX(Hierarchy!$I$2:$I$1295,MATCH($D1567,Hierarchy!$A$2:$A$1295,0))="","",INDEX(Hierarchy!$I$2:$I$1295,MATCH($D1567,Hierarchy!$A$2:$A$1295,0))),"NODE NOT FOUND"))</f>
        <v/>
      </c>
      <c r="M1567" s="17" t="str">
        <f aca="false">IF(B1567="Pre-seeded","Pre-seeded",IF(B1567="Review 2026-09-16","Added from review",IF(C1567="","New",IF(C1567=D1567,"","Changed"))))</f>
        <v>Pre-seeded</v>
      </c>
      <c r="N1567" s="7" t="str">
        <f aca="false">TRIM(SUBSTITUTE(SUBSTITUTE(SUBSTITUTE(" "&amp;TRIM(SUBSTITUTE(SUBSTITUTE(SUBSTITUTE(SUBSTITUTE(SUBSTITUTE(SUBSTITUTE(SUBSTITUTE(SUBSTITUTE(SUBSTITUTE(SUBSTITUTE(SUBSTITUTE(SUBSTITUTE(SUBSTITUTE(SUBSTITUTE(SUBSTITUTE(UPPER(TRIM(A1567)),"[MEMBER]",""),"{MEMBER}",""),"[MEMBER}",""),"MEMBER]",""),"(A)",""),"""",""),"“",""),"”",""),".",""),":",""),",",""),"–"," "),"-"," "),"/"," "),"&amp;"," AND "))&amp;" "," THE "," ")," TOTAL "," ")," OPERATIONS "," "))</f>
        <v>SANTIAGO METROPOLITAN REGION</v>
      </c>
      <c r="O1567" s="17" t="str">
        <f aca="false">IF(COUNTIFS($N$2:$N$2000,N1567,$D$2:$D$2000,"&lt;&gt;"&amp;D1567)&gt;0,"CONFLICT","")</f>
        <v/>
      </c>
      <c r="P1567" s="7"/>
    </row>
    <row r="1568" customFormat="false" ht="15" hidden="false" customHeight="false" outlineLevel="0" collapsed="false">
      <c r="A1568" s="7" t="s">
        <v>2694</v>
      </c>
      <c r="B1568" s="7" t="s">
        <v>1879</v>
      </c>
      <c r="C1568" s="7"/>
      <c r="D1568" s="6" t="s">
        <v>373</v>
      </c>
      <c r="E1568" s="6" t="s">
        <v>1880</v>
      </c>
      <c r="F1568" s="7" t="str">
        <f aca="false">IF($D1568="","",IFERROR(IF(INDEX(Hierarchy!$B$2:$B$1295,MATCH($D1568,Hierarchy!$A$2:$A$1295,0))="","",INDEX(Hierarchy!$B$2:$B$1295,MATCH($D1568,Hierarchy!$A$2:$A$1295,0))),"NODE NOT FOUND"))</f>
        <v>State/Province</v>
      </c>
      <c r="G1568" s="7" t="str">
        <f aca="false">IF($D1568="","",IFERROR(IF(INDEX(Hierarchy!$D$2:$D$1295,MATCH($D1568,Hierarchy!$A$2:$A$1295,0))="","",INDEX(Hierarchy!$D$2:$D$1295,MATCH($D1568,Hierarchy!$A$2:$A$1295,0))),"NODE NOT FOUND"))</f>
        <v>AMER</v>
      </c>
      <c r="H1568" s="7" t="str">
        <f aca="false">IF($D1568="","",IFERROR(IF(INDEX(Hierarchy!$E$2:$E$1295,MATCH($D1568,Hierarchy!$A$2:$A$1295,0))="","",INDEX(Hierarchy!$E$2:$E$1295,MATCH($D1568,Hierarchy!$A$2:$A$1295,0))),"NODE NOT FOUND"))</f>
        <v>Latin America (LATAM)</v>
      </c>
      <c r="I1568" s="7" t="str">
        <f aca="false">IF($D1568="","",IFERROR(IF(INDEX(Hierarchy!$F$2:$F$1295,MATCH($D1568,Hierarchy!$A$2:$A$1295,0))="","",INDEX(Hierarchy!$F$2:$F$1295,MATCH($D1568,Hierarchy!$A$2:$A$1295,0))),"NODE NOT FOUND"))</f>
        <v>Brazil</v>
      </c>
      <c r="J1568" s="7" t="str">
        <f aca="false">IF($D1568="","",IFERROR(IF(INDEX(Hierarchy!$G$2:$G$1295,MATCH($D1568,Hierarchy!$A$2:$A$1295,0))="","",INDEX(Hierarchy!$G$2:$G$1295,MATCH($D1568,Hierarchy!$A$2:$A$1295,0))),"NODE NOT FOUND"))</f>
        <v>BRA</v>
      </c>
      <c r="K1568" s="7" t="str">
        <f aca="false">IF($D1568="","",IFERROR(IF(INDEX(Hierarchy!$H$2:$H$1295,MATCH($D1568,Hierarchy!$A$2:$A$1295,0))="","",INDEX(Hierarchy!$H$2:$H$1295,MATCH($D1568,Hierarchy!$A$2:$A$1295,0))),"NODE NOT FOUND"))</f>
        <v>São Paulo</v>
      </c>
      <c r="L1568" s="7" t="str">
        <f aca="false">IF($D1568="","",IFERROR(IF(INDEX(Hierarchy!$I$2:$I$1295,MATCH($D1568,Hierarchy!$A$2:$A$1295,0))="","",INDEX(Hierarchy!$I$2:$I$1295,MATCH($D1568,Hierarchy!$A$2:$A$1295,0))),"NODE NOT FOUND"))</f>
        <v/>
      </c>
      <c r="M1568" s="17" t="str">
        <f aca="false">IF(B1568="Pre-seeded","Pre-seeded",IF(B1568="Review 2026-09-16","Added from review",IF(C1568="","New",IF(C1568=D1568,"","Changed"))))</f>
        <v>Pre-seeded</v>
      </c>
      <c r="N1568" s="7" t="str">
        <f aca="false">TRIM(SUBSTITUTE(SUBSTITUTE(SUBSTITUTE(" "&amp;TRIM(SUBSTITUTE(SUBSTITUTE(SUBSTITUTE(SUBSTITUTE(SUBSTITUTE(SUBSTITUTE(SUBSTITUTE(SUBSTITUTE(SUBSTITUTE(SUBSTITUTE(SUBSTITUTE(SUBSTITUTE(SUBSTITUTE(SUBSTITUTE(SUBSTITUTE(UPPER(TRIM(A1568)),"[MEMBER]",""),"{MEMBER}",""),"[MEMBER}",""),"MEMBER]",""),"(A)",""),"""",""),"“",""),"”",""),".",""),":",""),",",""),"–"," "),"-"," "),"/"," "),"&amp;"," AND "))&amp;" "," THE "," ")," TOTAL "," ")," OPERATIONS "," "))</f>
        <v>SAO PAULO</v>
      </c>
      <c r="O1568" s="17" t="str">
        <f aca="false">IF(COUNTIFS($N$2:$N$2000,N1568,$D$2:$D$2000,"&lt;&gt;"&amp;D1568)&gt;0,"CONFLICT","")</f>
        <v/>
      </c>
      <c r="P1568" s="7"/>
    </row>
    <row r="1569" customFormat="false" ht="15" hidden="false" customHeight="false" outlineLevel="0" collapsed="false">
      <c r="A1569" s="7" t="s">
        <v>1280</v>
      </c>
      <c r="B1569" s="7" t="s">
        <v>1879</v>
      </c>
      <c r="C1569" s="7"/>
      <c r="D1569" s="6" t="s">
        <v>1280</v>
      </c>
      <c r="E1569" s="6" t="s">
        <v>1880</v>
      </c>
      <c r="F1569" s="7" t="str">
        <f aca="false">IF($D1569="","",IFERROR(IF(INDEX(Hierarchy!$B$2:$B$1295,MATCH($D1569,Hierarchy!$A$2:$A$1295,0))="","",INDEX(Hierarchy!$B$2:$B$1295,MATCH($D1569,Hierarchy!$A$2:$A$1295,0))),"NODE NOT FOUND"))</f>
        <v>Country</v>
      </c>
      <c r="G1569" s="7" t="str">
        <f aca="false">IF($D1569="","",IFERROR(IF(INDEX(Hierarchy!$D$2:$D$1295,MATCH($D1569,Hierarchy!$A$2:$A$1295,0))="","",INDEX(Hierarchy!$D$2:$D$1295,MATCH($D1569,Hierarchy!$A$2:$A$1295,0))),"NODE NOT FOUND"))</f>
        <v>EMEA</v>
      </c>
      <c r="H1569" s="7" t="str">
        <f aca="false">IF($D1569="","",IFERROR(IF(INDEX(Hierarchy!$E$2:$E$1295,MATCH($D1569,Hierarchy!$A$2:$A$1295,0))="","",INDEX(Hierarchy!$E$2:$E$1295,MATCH($D1569,Hierarchy!$A$2:$A$1295,0))),"NODE NOT FOUND"))</f>
        <v>Africa</v>
      </c>
      <c r="I1569" s="7" t="str">
        <f aca="false">IF($D1569="","",IFERROR(IF(INDEX(Hierarchy!$F$2:$F$1295,MATCH($D1569,Hierarchy!$A$2:$A$1295,0))="","",INDEX(Hierarchy!$F$2:$F$1295,MATCH($D1569,Hierarchy!$A$2:$A$1295,0))),"NODE NOT FOUND"))</f>
        <v>Sao Tome and Principe</v>
      </c>
      <c r="J1569" s="7" t="str">
        <f aca="false">IF($D1569="","",IFERROR(IF(INDEX(Hierarchy!$G$2:$G$1295,MATCH($D1569,Hierarchy!$A$2:$A$1295,0))="","",INDEX(Hierarchy!$G$2:$G$1295,MATCH($D1569,Hierarchy!$A$2:$A$1295,0))),"NODE NOT FOUND"))</f>
        <v>STP</v>
      </c>
      <c r="K1569" s="7" t="str">
        <f aca="false">IF($D1569="","",IFERROR(IF(INDEX(Hierarchy!$H$2:$H$1295,MATCH($D1569,Hierarchy!$A$2:$A$1295,0))="","",INDEX(Hierarchy!$H$2:$H$1295,MATCH($D1569,Hierarchy!$A$2:$A$1295,0))),"NODE NOT FOUND"))</f>
        <v/>
      </c>
      <c r="L1569" s="7" t="str">
        <f aca="false">IF($D1569="","",IFERROR(IF(INDEX(Hierarchy!$I$2:$I$1295,MATCH($D1569,Hierarchy!$A$2:$A$1295,0))="","",INDEX(Hierarchy!$I$2:$I$1295,MATCH($D1569,Hierarchy!$A$2:$A$1295,0))),"NODE NOT FOUND"))</f>
        <v/>
      </c>
      <c r="M1569" s="17" t="str">
        <f aca="false">IF(B1569="Pre-seeded","Pre-seeded",IF(B1569="Review 2026-09-16","Added from review",IF(C1569="","New",IF(C1569=D1569,"","Changed"))))</f>
        <v>Pre-seeded</v>
      </c>
      <c r="N1569" s="7" t="str">
        <f aca="false">TRIM(SUBSTITUTE(SUBSTITUTE(SUBSTITUTE(" "&amp;TRIM(SUBSTITUTE(SUBSTITUTE(SUBSTITUTE(SUBSTITUTE(SUBSTITUTE(SUBSTITUTE(SUBSTITUTE(SUBSTITUTE(SUBSTITUTE(SUBSTITUTE(SUBSTITUTE(SUBSTITUTE(SUBSTITUTE(SUBSTITUTE(SUBSTITUTE(UPPER(TRIM(A1569)),"[MEMBER]",""),"{MEMBER}",""),"[MEMBER}",""),"MEMBER]",""),"(A)",""),"""",""),"“",""),"”",""),".",""),":",""),",",""),"–"," "),"-"," "),"/"," "),"&amp;"," AND "))&amp;" "," THE "," ")," TOTAL "," ")," OPERATIONS "," "))</f>
        <v>SAO TOME AND PRINCIPE</v>
      </c>
      <c r="O1569" s="17" t="str">
        <f aca="false">IF(COUNTIFS($N$2:$N$2000,N1569,$D$2:$D$2000,"&lt;&gt;"&amp;D1569)&gt;0,"CONFLICT","")</f>
        <v/>
      </c>
      <c r="P1569" s="7"/>
    </row>
    <row r="1570" customFormat="false" ht="15" hidden="false" customHeight="false" outlineLevel="0" collapsed="false">
      <c r="A1570" s="7" t="s">
        <v>1648</v>
      </c>
      <c r="B1570" s="7" t="s">
        <v>1879</v>
      </c>
      <c r="C1570" s="7"/>
      <c r="D1570" s="6" t="s">
        <v>1648</v>
      </c>
      <c r="E1570" s="6" t="s">
        <v>1880</v>
      </c>
      <c r="F1570" s="7" t="str">
        <f aca="false">IF($D1570="","",IFERROR(IF(INDEX(Hierarchy!$B$2:$B$1295,MATCH($D1570,Hierarchy!$A$2:$A$1295,0))="","",INDEX(Hierarchy!$B$2:$B$1295,MATCH($D1570,Hierarchy!$A$2:$A$1295,0))),"NODE NOT FOUND"))</f>
        <v>State/Province</v>
      </c>
      <c r="G1570" s="7" t="str">
        <f aca="false">IF($D1570="","",IFERROR(IF(INDEX(Hierarchy!$D$2:$D$1295,MATCH($D1570,Hierarchy!$A$2:$A$1295,0))="","",INDEX(Hierarchy!$D$2:$D$1295,MATCH($D1570,Hierarchy!$A$2:$A$1295,0))),"NODE NOT FOUND"))</f>
        <v>APAC</v>
      </c>
      <c r="H1570" s="7" t="str">
        <f aca="false">IF($D1570="","",IFERROR(IF(INDEX(Hierarchy!$E$2:$E$1295,MATCH($D1570,Hierarchy!$A$2:$A$1295,0))="","",INDEX(Hierarchy!$E$2:$E$1295,MATCH($D1570,Hierarchy!$A$2:$A$1295,0))),"NODE NOT FOUND"))</f>
        <v>Southeast Asia (ASEAN)</v>
      </c>
      <c r="I1570" s="7" t="str">
        <f aca="false">IF($D1570="","",IFERROR(IF(INDEX(Hierarchy!$F$2:$F$1295,MATCH($D1570,Hierarchy!$A$2:$A$1295,0))="","",INDEX(Hierarchy!$F$2:$F$1295,MATCH($D1570,Hierarchy!$A$2:$A$1295,0))),"NODE NOT FOUND"))</f>
        <v>Malaysia</v>
      </c>
      <c r="J1570" s="7" t="str">
        <f aca="false">IF($D1570="","",IFERROR(IF(INDEX(Hierarchy!$G$2:$G$1295,MATCH($D1570,Hierarchy!$A$2:$A$1295,0))="","",INDEX(Hierarchy!$G$2:$G$1295,MATCH($D1570,Hierarchy!$A$2:$A$1295,0))),"NODE NOT FOUND"))</f>
        <v>MYS</v>
      </c>
      <c r="K1570" s="7" t="str">
        <f aca="false">IF($D1570="","",IFERROR(IF(INDEX(Hierarchy!$H$2:$H$1295,MATCH($D1570,Hierarchy!$A$2:$A$1295,0))="","",INDEX(Hierarchy!$H$2:$H$1295,MATCH($D1570,Hierarchy!$A$2:$A$1295,0))),"NODE NOT FOUND"))</f>
        <v>Sarawak</v>
      </c>
      <c r="L1570" s="7" t="str">
        <f aca="false">IF($D1570="","",IFERROR(IF(INDEX(Hierarchy!$I$2:$I$1295,MATCH($D1570,Hierarchy!$A$2:$A$1295,0))="","",INDEX(Hierarchy!$I$2:$I$1295,MATCH($D1570,Hierarchy!$A$2:$A$1295,0))),"NODE NOT FOUND"))</f>
        <v/>
      </c>
      <c r="M1570" s="17" t="str">
        <f aca="false">IF(B1570="Pre-seeded","Pre-seeded",IF(B1570="Review 2026-09-16","Added from review",IF(C1570="","New",IF(C1570=D1570,"","Changed"))))</f>
        <v>Pre-seeded</v>
      </c>
      <c r="N1570" s="7" t="str">
        <f aca="false">TRIM(SUBSTITUTE(SUBSTITUTE(SUBSTITUTE(" "&amp;TRIM(SUBSTITUTE(SUBSTITUTE(SUBSTITUTE(SUBSTITUTE(SUBSTITUTE(SUBSTITUTE(SUBSTITUTE(SUBSTITUTE(SUBSTITUTE(SUBSTITUTE(SUBSTITUTE(SUBSTITUTE(SUBSTITUTE(SUBSTITUTE(SUBSTITUTE(UPPER(TRIM(A1570)),"[MEMBER]",""),"{MEMBER}",""),"[MEMBER}",""),"MEMBER]",""),"(A)",""),"""",""),"“",""),"”",""),".",""),":",""),",",""),"–"," "),"-"," "),"/"," "),"&amp;"," AND "))&amp;" "," THE "," ")," TOTAL "," ")," OPERATIONS "," "))</f>
        <v>SARAWAK</v>
      </c>
      <c r="O1570" s="17" t="str">
        <f aca="false">IF(COUNTIFS($N$2:$N$2000,N1570,$D$2:$D$2000,"&lt;&gt;"&amp;D1570)&gt;0,"CONFLICT","")</f>
        <v/>
      </c>
      <c r="P1570" s="7"/>
    </row>
    <row r="1571" customFormat="false" ht="15" hidden="false" customHeight="false" outlineLevel="0" collapsed="false">
      <c r="A1571" s="7" t="s">
        <v>846</v>
      </c>
      <c r="B1571" s="7" t="s">
        <v>1879</v>
      </c>
      <c r="C1571" s="7"/>
      <c r="D1571" s="6" t="s">
        <v>846</v>
      </c>
      <c r="E1571" s="6" t="s">
        <v>1880</v>
      </c>
      <c r="F1571" s="7" t="str">
        <f aca="false">IF($D1571="","",IFERROR(IF(INDEX(Hierarchy!$B$2:$B$1295,MATCH($D1571,Hierarchy!$A$2:$A$1295,0))="","",INDEX(Hierarchy!$B$2:$B$1295,MATCH($D1571,Hierarchy!$A$2:$A$1295,0))),"NODE NOT FOUND"))</f>
        <v>State/Province</v>
      </c>
      <c r="G1571" s="7" t="str">
        <f aca="false">IF($D1571="","",IFERROR(IF(INDEX(Hierarchy!$D$2:$D$1295,MATCH($D1571,Hierarchy!$A$2:$A$1295,0))="","",INDEX(Hierarchy!$D$2:$D$1295,MATCH($D1571,Hierarchy!$A$2:$A$1295,0))),"NODE NOT FOUND"))</f>
        <v>EMEA</v>
      </c>
      <c r="H1571" s="7" t="str">
        <f aca="false">IF($D1571="","",IFERROR(IF(INDEX(Hierarchy!$E$2:$E$1295,MATCH($D1571,Hierarchy!$A$2:$A$1295,0))="","",INDEX(Hierarchy!$E$2:$E$1295,MATCH($D1571,Hierarchy!$A$2:$A$1295,0))),"NODE NOT FOUND"))</f>
        <v>Europe</v>
      </c>
      <c r="I1571" s="7" t="str">
        <f aca="false">IF($D1571="","",IFERROR(IF(INDEX(Hierarchy!$F$2:$F$1295,MATCH($D1571,Hierarchy!$A$2:$A$1295,0))="","",INDEX(Hierarchy!$F$2:$F$1295,MATCH($D1571,Hierarchy!$A$2:$A$1295,0))),"NODE NOT FOUND"))</f>
        <v>Italy</v>
      </c>
      <c r="J1571" s="7" t="str">
        <f aca="false">IF($D1571="","",IFERROR(IF(INDEX(Hierarchy!$G$2:$G$1295,MATCH($D1571,Hierarchy!$A$2:$A$1295,0))="","",INDEX(Hierarchy!$G$2:$G$1295,MATCH($D1571,Hierarchy!$A$2:$A$1295,0))),"NODE NOT FOUND"))</f>
        <v>ITA</v>
      </c>
      <c r="K1571" s="7" t="str">
        <f aca="false">IF($D1571="","",IFERROR(IF(INDEX(Hierarchy!$H$2:$H$1295,MATCH($D1571,Hierarchy!$A$2:$A$1295,0))="","",INDEX(Hierarchy!$H$2:$H$1295,MATCH($D1571,Hierarchy!$A$2:$A$1295,0))),"NODE NOT FOUND"))</f>
        <v>Sardinia</v>
      </c>
      <c r="L1571" s="7" t="str">
        <f aca="false">IF($D1571="","",IFERROR(IF(INDEX(Hierarchy!$I$2:$I$1295,MATCH($D1571,Hierarchy!$A$2:$A$1295,0))="","",INDEX(Hierarchy!$I$2:$I$1295,MATCH($D1571,Hierarchy!$A$2:$A$1295,0))),"NODE NOT FOUND"))</f>
        <v/>
      </c>
      <c r="M1571" s="17" t="str">
        <f aca="false">IF(B1571="Pre-seeded","Pre-seeded",IF(B1571="Review 2026-09-16","Added from review",IF(C1571="","New",IF(C1571=D1571,"","Changed"))))</f>
        <v>Pre-seeded</v>
      </c>
      <c r="N1571" s="7" t="str">
        <f aca="false">TRIM(SUBSTITUTE(SUBSTITUTE(SUBSTITUTE(" "&amp;TRIM(SUBSTITUTE(SUBSTITUTE(SUBSTITUTE(SUBSTITUTE(SUBSTITUTE(SUBSTITUTE(SUBSTITUTE(SUBSTITUTE(SUBSTITUTE(SUBSTITUTE(SUBSTITUTE(SUBSTITUTE(SUBSTITUTE(SUBSTITUTE(SUBSTITUTE(UPPER(TRIM(A1571)),"[MEMBER]",""),"{MEMBER}",""),"[MEMBER}",""),"MEMBER]",""),"(A)",""),"""",""),"“",""),"”",""),".",""),":",""),",",""),"–"," "),"-"," "),"/"," "),"&amp;"," AND "))&amp;" "," THE "," ")," TOTAL "," ")," OPERATIONS "," "))</f>
        <v>SARDINIA</v>
      </c>
      <c r="O1571" s="17" t="str">
        <f aca="false">IF(COUNTIFS($N$2:$N$2000,N1571,$D$2:$D$2000,"&lt;&gt;"&amp;D1571)&gt;0,"CONFLICT","")</f>
        <v/>
      </c>
      <c r="P1571" s="7"/>
    </row>
    <row r="1572" customFormat="false" ht="15" hidden="false" customHeight="false" outlineLevel="0" collapsed="false">
      <c r="A1572" s="7" t="s">
        <v>301</v>
      </c>
      <c r="B1572" s="7" t="s">
        <v>1879</v>
      </c>
      <c r="C1572" s="7"/>
      <c r="D1572" s="6" t="s">
        <v>301</v>
      </c>
      <c r="E1572" s="6" t="s">
        <v>1880</v>
      </c>
      <c r="F1572" s="7" t="str">
        <f aca="false">IF($D1572="","",IFERROR(IF(INDEX(Hierarchy!$B$2:$B$1295,MATCH($D1572,Hierarchy!$A$2:$A$1295,0))="","",INDEX(Hierarchy!$B$2:$B$1295,MATCH($D1572,Hierarchy!$A$2:$A$1295,0))),"NODE NOT FOUND"))</f>
        <v>State/Province</v>
      </c>
      <c r="G1572" s="7" t="str">
        <f aca="false">IF($D1572="","",IFERROR(IF(INDEX(Hierarchy!$D$2:$D$1295,MATCH($D1572,Hierarchy!$A$2:$A$1295,0))="","",INDEX(Hierarchy!$D$2:$D$1295,MATCH($D1572,Hierarchy!$A$2:$A$1295,0))),"NODE NOT FOUND"))</f>
        <v>AMER</v>
      </c>
      <c r="H1572" s="7" t="str">
        <f aca="false">IF($D1572="","",IFERROR(IF(INDEX(Hierarchy!$E$2:$E$1295,MATCH($D1572,Hierarchy!$A$2:$A$1295,0))="","",INDEX(Hierarchy!$E$2:$E$1295,MATCH($D1572,Hierarchy!$A$2:$A$1295,0))),"NODE NOT FOUND"))</f>
        <v>North America (NORAM)</v>
      </c>
      <c r="I1572" s="7" t="str">
        <f aca="false">IF($D1572="","",IFERROR(IF(INDEX(Hierarchy!$F$2:$F$1295,MATCH($D1572,Hierarchy!$A$2:$A$1295,0))="","",INDEX(Hierarchy!$F$2:$F$1295,MATCH($D1572,Hierarchy!$A$2:$A$1295,0))),"NODE NOT FOUND"))</f>
        <v>Canada</v>
      </c>
      <c r="J1572" s="7" t="str">
        <f aca="false">IF($D1572="","",IFERROR(IF(INDEX(Hierarchy!$G$2:$G$1295,MATCH($D1572,Hierarchy!$A$2:$A$1295,0))="","",INDEX(Hierarchy!$G$2:$G$1295,MATCH($D1572,Hierarchy!$A$2:$A$1295,0))),"NODE NOT FOUND"))</f>
        <v>CAN</v>
      </c>
      <c r="K1572" s="7" t="str">
        <f aca="false">IF($D1572="","",IFERROR(IF(INDEX(Hierarchy!$H$2:$H$1295,MATCH($D1572,Hierarchy!$A$2:$A$1295,0))="","",INDEX(Hierarchy!$H$2:$H$1295,MATCH($D1572,Hierarchy!$A$2:$A$1295,0))),"NODE NOT FOUND"))</f>
        <v>Saskatchewan</v>
      </c>
      <c r="L1572" s="7" t="str">
        <f aca="false">IF($D1572="","",IFERROR(IF(INDEX(Hierarchy!$I$2:$I$1295,MATCH($D1572,Hierarchy!$A$2:$A$1295,0))="","",INDEX(Hierarchy!$I$2:$I$1295,MATCH($D1572,Hierarchy!$A$2:$A$1295,0))),"NODE NOT FOUND"))</f>
        <v/>
      </c>
      <c r="M1572" s="17" t="str">
        <f aca="false">IF(B1572="Pre-seeded","Pre-seeded",IF(B1572="Review 2026-09-16","Added from review",IF(C1572="","New",IF(C1572=D1572,"","Changed"))))</f>
        <v>Pre-seeded</v>
      </c>
      <c r="N1572" s="7" t="str">
        <f aca="false">TRIM(SUBSTITUTE(SUBSTITUTE(SUBSTITUTE(" "&amp;TRIM(SUBSTITUTE(SUBSTITUTE(SUBSTITUTE(SUBSTITUTE(SUBSTITUTE(SUBSTITUTE(SUBSTITUTE(SUBSTITUTE(SUBSTITUTE(SUBSTITUTE(SUBSTITUTE(SUBSTITUTE(SUBSTITUTE(SUBSTITUTE(SUBSTITUTE(UPPER(TRIM(A1572)),"[MEMBER]",""),"{MEMBER}",""),"[MEMBER}",""),"MEMBER]",""),"(A)",""),"""",""),"“",""),"”",""),".",""),":",""),",",""),"–"," "),"-"," "),"/"," "),"&amp;"," AND "))&amp;" "," THE "," ")," TOTAL "," ")," OPERATIONS "," "))</f>
        <v>SASKATCHEWAN</v>
      </c>
      <c r="O1572" s="17" t="str">
        <f aca="false">IF(COUNTIFS($N$2:$N$2000,N1572,$D$2:$D$2000,"&lt;&gt;"&amp;D1572)&gt;0,"CONFLICT","")</f>
        <v/>
      </c>
      <c r="P1572" s="7"/>
    </row>
    <row r="1573" customFormat="false" ht="15" hidden="false" customHeight="false" outlineLevel="0" collapsed="false">
      <c r="A1573" s="7" t="s">
        <v>1046</v>
      </c>
      <c r="B1573" s="7" t="s">
        <v>1882</v>
      </c>
      <c r="C1573" s="7" t="s">
        <v>1046</v>
      </c>
      <c r="D1573" s="6" t="s">
        <v>1046</v>
      </c>
      <c r="E1573" s="6" t="s">
        <v>1880</v>
      </c>
      <c r="F1573" s="7" t="str">
        <f aca="false">IF($D1573="","",IFERROR(IF(INDEX(Hierarchy!$B$2:$B$1295,MATCH($D1573,Hierarchy!$A$2:$A$1295,0))="","",INDEX(Hierarchy!$B$2:$B$1295,MATCH($D1573,Hierarchy!$A$2:$A$1295,0))),"NODE NOT FOUND"))</f>
        <v>Country</v>
      </c>
      <c r="G1573" s="7" t="str">
        <f aca="false">IF($D1573="","",IFERROR(IF(INDEX(Hierarchy!$D$2:$D$1295,MATCH($D1573,Hierarchy!$A$2:$A$1295,0))="","",INDEX(Hierarchy!$D$2:$D$1295,MATCH($D1573,Hierarchy!$A$2:$A$1295,0))),"NODE NOT FOUND"))</f>
        <v>EMEA</v>
      </c>
      <c r="H1573" s="7" t="str">
        <f aca="false">IF($D1573="","",IFERROR(IF(INDEX(Hierarchy!$E$2:$E$1295,MATCH($D1573,Hierarchy!$A$2:$A$1295,0))="","",INDEX(Hierarchy!$E$2:$E$1295,MATCH($D1573,Hierarchy!$A$2:$A$1295,0))),"NODE NOT FOUND"))</f>
        <v>Middle East</v>
      </c>
      <c r="I1573" s="7" t="str">
        <f aca="false">IF($D1573="","",IFERROR(IF(INDEX(Hierarchy!$F$2:$F$1295,MATCH($D1573,Hierarchy!$A$2:$A$1295,0))="","",INDEX(Hierarchy!$F$2:$F$1295,MATCH($D1573,Hierarchy!$A$2:$A$1295,0))),"NODE NOT FOUND"))</f>
        <v>Saudi Arabia</v>
      </c>
      <c r="J1573" s="7" t="str">
        <f aca="false">IF($D1573="","",IFERROR(IF(INDEX(Hierarchy!$G$2:$G$1295,MATCH($D1573,Hierarchy!$A$2:$A$1295,0))="","",INDEX(Hierarchy!$G$2:$G$1295,MATCH($D1573,Hierarchy!$A$2:$A$1295,0))),"NODE NOT FOUND"))</f>
        <v>SAU</v>
      </c>
      <c r="K1573" s="7" t="str">
        <f aca="false">IF($D1573="","",IFERROR(IF(INDEX(Hierarchy!$H$2:$H$1295,MATCH($D1573,Hierarchy!$A$2:$A$1295,0))="","",INDEX(Hierarchy!$H$2:$H$1295,MATCH($D1573,Hierarchy!$A$2:$A$1295,0))),"NODE NOT FOUND"))</f>
        <v/>
      </c>
      <c r="L1573" s="7" t="str">
        <f aca="false">IF($D1573="","",IFERROR(IF(INDEX(Hierarchy!$I$2:$I$1295,MATCH($D1573,Hierarchy!$A$2:$A$1295,0))="","",INDEX(Hierarchy!$I$2:$I$1295,MATCH($D1573,Hierarchy!$A$2:$A$1295,0))),"NODE NOT FOUND"))</f>
        <v/>
      </c>
      <c r="M1573" s="17" t="str">
        <f aca="false">IF(B1573="Pre-seeded","Pre-seeded",IF(B1573="Review 2026-09-16","Added from review",IF(C1573="","New",IF(C1573=D1573,"","Changed"))))</f>
        <v/>
      </c>
      <c r="N1573" s="7" t="str">
        <f aca="false">TRIM(SUBSTITUTE(SUBSTITUTE(SUBSTITUTE(" "&amp;TRIM(SUBSTITUTE(SUBSTITUTE(SUBSTITUTE(SUBSTITUTE(SUBSTITUTE(SUBSTITUTE(SUBSTITUTE(SUBSTITUTE(SUBSTITUTE(SUBSTITUTE(SUBSTITUTE(SUBSTITUTE(SUBSTITUTE(SUBSTITUTE(SUBSTITUTE(UPPER(TRIM(A1573)),"[MEMBER]",""),"{MEMBER}",""),"[MEMBER}",""),"MEMBER]",""),"(A)",""),"""",""),"“",""),"”",""),".",""),":",""),",",""),"–"," "),"-"," "),"/"," "),"&amp;"," AND "))&amp;" "," THE "," ")," TOTAL "," ")," OPERATIONS "," "))</f>
        <v>SAUDI ARABIA</v>
      </c>
      <c r="O1573" s="17" t="str">
        <f aca="false">IF(COUNTIFS($N$2:$N$2000,N1573,$D$2:$D$2000,"&lt;&gt;"&amp;D1573)&gt;0,"CONFLICT","")</f>
        <v/>
      </c>
      <c r="P1573" s="7"/>
    </row>
    <row r="1574" customFormat="false" ht="15" hidden="false" customHeight="false" outlineLevel="0" collapsed="false">
      <c r="A1574" s="7" t="s">
        <v>2695</v>
      </c>
      <c r="B1574" s="7" t="s">
        <v>1882</v>
      </c>
      <c r="C1574" s="7" t="s">
        <v>1046</v>
      </c>
      <c r="D1574" s="6" t="s">
        <v>1046</v>
      </c>
      <c r="E1574" s="6" t="s">
        <v>1880</v>
      </c>
      <c r="F1574" s="7" t="str">
        <f aca="false">IF($D1574="","",IFERROR(IF(INDEX(Hierarchy!$B$2:$B$1295,MATCH($D1574,Hierarchy!$A$2:$A$1295,0))="","",INDEX(Hierarchy!$B$2:$B$1295,MATCH($D1574,Hierarchy!$A$2:$A$1295,0))),"NODE NOT FOUND"))</f>
        <v>Country</v>
      </c>
      <c r="G1574" s="7" t="str">
        <f aca="false">IF($D1574="","",IFERROR(IF(INDEX(Hierarchy!$D$2:$D$1295,MATCH($D1574,Hierarchy!$A$2:$A$1295,0))="","",INDEX(Hierarchy!$D$2:$D$1295,MATCH($D1574,Hierarchy!$A$2:$A$1295,0))),"NODE NOT FOUND"))</f>
        <v>EMEA</v>
      </c>
      <c r="H1574" s="7" t="str">
        <f aca="false">IF($D1574="","",IFERROR(IF(INDEX(Hierarchy!$E$2:$E$1295,MATCH($D1574,Hierarchy!$A$2:$A$1295,0))="","",INDEX(Hierarchy!$E$2:$E$1295,MATCH($D1574,Hierarchy!$A$2:$A$1295,0))),"NODE NOT FOUND"))</f>
        <v>Middle East</v>
      </c>
      <c r="I1574" s="7" t="str">
        <f aca="false">IF($D1574="","",IFERROR(IF(INDEX(Hierarchy!$F$2:$F$1295,MATCH($D1574,Hierarchy!$A$2:$A$1295,0))="","",INDEX(Hierarchy!$F$2:$F$1295,MATCH($D1574,Hierarchy!$A$2:$A$1295,0))),"NODE NOT FOUND"))</f>
        <v>Saudi Arabia</v>
      </c>
      <c r="J1574" s="7" t="str">
        <f aca="false">IF($D1574="","",IFERROR(IF(INDEX(Hierarchy!$G$2:$G$1295,MATCH($D1574,Hierarchy!$A$2:$A$1295,0))="","",INDEX(Hierarchy!$G$2:$G$1295,MATCH($D1574,Hierarchy!$A$2:$A$1295,0))),"NODE NOT FOUND"))</f>
        <v>SAU</v>
      </c>
      <c r="K1574" s="7" t="str">
        <f aca="false">IF($D1574="","",IFERROR(IF(INDEX(Hierarchy!$H$2:$H$1295,MATCH($D1574,Hierarchy!$A$2:$A$1295,0))="","",INDEX(Hierarchy!$H$2:$H$1295,MATCH($D1574,Hierarchy!$A$2:$A$1295,0))),"NODE NOT FOUND"))</f>
        <v/>
      </c>
      <c r="L1574" s="7" t="str">
        <f aca="false">IF($D1574="","",IFERROR(IF(INDEX(Hierarchy!$I$2:$I$1295,MATCH($D1574,Hierarchy!$A$2:$A$1295,0))="","",INDEX(Hierarchy!$I$2:$I$1295,MATCH($D1574,Hierarchy!$A$2:$A$1295,0))),"NODE NOT FOUND"))</f>
        <v/>
      </c>
      <c r="M1574" s="17" t="str">
        <f aca="false">IF(B1574="Pre-seeded","Pre-seeded",IF(B1574="Review 2026-09-16","Added from review",IF(C1574="","New",IF(C1574=D1574,"","Changed"))))</f>
        <v/>
      </c>
      <c r="N1574" s="7" t="str">
        <f aca="false">TRIM(SUBSTITUTE(SUBSTITUTE(SUBSTITUTE(" "&amp;TRIM(SUBSTITUTE(SUBSTITUTE(SUBSTITUTE(SUBSTITUTE(SUBSTITUTE(SUBSTITUTE(SUBSTITUTE(SUBSTITUTE(SUBSTITUTE(SUBSTITUTE(SUBSTITUTE(SUBSTITUTE(SUBSTITUTE(SUBSTITUTE(SUBSTITUTE(UPPER(TRIM(A1574)),"[MEMBER]",""),"{MEMBER}",""),"[MEMBER}",""),"MEMBER]",""),"(A)",""),"""",""),"“",""),"”",""),".",""),":",""),",",""),"–"," "),"-"," "),"/"," "),"&amp;"," AND "))&amp;" "," THE "," ")," TOTAL "," ")," OPERATIONS "," "))</f>
        <v>SAUDI ARABIA</v>
      </c>
      <c r="O1574" s="17" t="str">
        <f aca="false">IF(COUNTIFS($N$2:$N$2000,N1574,$D$2:$D$2000,"&lt;&gt;"&amp;D1574)&gt;0,"CONFLICT","")</f>
        <v/>
      </c>
      <c r="P1574" s="7"/>
    </row>
    <row r="1575" customFormat="false" ht="15" hidden="false" customHeight="false" outlineLevel="0" collapsed="false">
      <c r="A1575" s="7" t="s">
        <v>710</v>
      </c>
      <c r="B1575" s="7" t="s">
        <v>1879</v>
      </c>
      <c r="C1575" s="7"/>
      <c r="D1575" s="6" t="s">
        <v>710</v>
      </c>
      <c r="E1575" s="6" t="s">
        <v>1880</v>
      </c>
      <c r="F1575" s="7" t="str">
        <f aca="false">IF($D1575="","",IFERROR(IF(INDEX(Hierarchy!$B$2:$B$1295,MATCH($D1575,Hierarchy!$A$2:$A$1295,0))="","",INDEX(Hierarchy!$B$2:$B$1295,MATCH($D1575,Hierarchy!$A$2:$A$1295,0))),"NODE NOT FOUND"))</f>
        <v>State/Province</v>
      </c>
      <c r="G1575" s="7" t="str">
        <f aca="false">IF($D1575="","",IFERROR(IF(INDEX(Hierarchy!$D$2:$D$1295,MATCH($D1575,Hierarchy!$A$2:$A$1295,0))="","",INDEX(Hierarchy!$D$2:$D$1295,MATCH($D1575,Hierarchy!$A$2:$A$1295,0))),"NODE NOT FOUND"))</f>
        <v>EMEA</v>
      </c>
      <c r="H1575" s="7" t="str">
        <f aca="false">IF($D1575="","",IFERROR(IF(INDEX(Hierarchy!$E$2:$E$1295,MATCH($D1575,Hierarchy!$A$2:$A$1295,0))="","",INDEX(Hierarchy!$E$2:$E$1295,MATCH($D1575,Hierarchy!$A$2:$A$1295,0))),"NODE NOT FOUND"))</f>
        <v>Europe</v>
      </c>
      <c r="I1575" s="7" t="str">
        <f aca="false">IF($D1575="","",IFERROR(IF(INDEX(Hierarchy!$F$2:$F$1295,MATCH($D1575,Hierarchy!$A$2:$A$1295,0))="","",INDEX(Hierarchy!$F$2:$F$1295,MATCH($D1575,Hierarchy!$A$2:$A$1295,0))),"NODE NOT FOUND"))</f>
        <v>Germany</v>
      </c>
      <c r="J1575" s="7" t="str">
        <f aca="false">IF($D1575="","",IFERROR(IF(INDEX(Hierarchy!$G$2:$G$1295,MATCH($D1575,Hierarchy!$A$2:$A$1295,0))="","",INDEX(Hierarchy!$G$2:$G$1295,MATCH($D1575,Hierarchy!$A$2:$A$1295,0))),"NODE NOT FOUND"))</f>
        <v>DEU</v>
      </c>
      <c r="K1575" s="7" t="str">
        <f aca="false">IF($D1575="","",IFERROR(IF(INDEX(Hierarchy!$H$2:$H$1295,MATCH($D1575,Hierarchy!$A$2:$A$1295,0))="","",INDEX(Hierarchy!$H$2:$H$1295,MATCH($D1575,Hierarchy!$A$2:$A$1295,0))),"NODE NOT FOUND"))</f>
        <v>Saxony</v>
      </c>
      <c r="L1575" s="7" t="str">
        <f aca="false">IF($D1575="","",IFERROR(IF(INDEX(Hierarchy!$I$2:$I$1295,MATCH($D1575,Hierarchy!$A$2:$A$1295,0))="","",INDEX(Hierarchy!$I$2:$I$1295,MATCH($D1575,Hierarchy!$A$2:$A$1295,0))),"NODE NOT FOUND"))</f>
        <v/>
      </c>
      <c r="M1575" s="17" t="str">
        <f aca="false">IF(B1575="Pre-seeded","Pre-seeded",IF(B1575="Review 2026-09-16","Added from review",IF(C1575="","New",IF(C1575=D1575,"","Changed"))))</f>
        <v>Pre-seeded</v>
      </c>
      <c r="N1575" s="7" t="str">
        <f aca="false">TRIM(SUBSTITUTE(SUBSTITUTE(SUBSTITUTE(" "&amp;TRIM(SUBSTITUTE(SUBSTITUTE(SUBSTITUTE(SUBSTITUTE(SUBSTITUTE(SUBSTITUTE(SUBSTITUTE(SUBSTITUTE(SUBSTITUTE(SUBSTITUTE(SUBSTITUTE(SUBSTITUTE(SUBSTITUTE(SUBSTITUTE(SUBSTITUTE(UPPER(TRIM(A1575)),"[MEMBER]",""),"{MEMBER}",""),"[MEMBER}",""),"MEMBER]",""),"(A)",""),"""",""),"“",""),"”",""),".",""),":",""),",",""),"–"," "),"-"," "),"/"," "),"&amp;"," AND "))&amp;" "," THE "," ")," TOTAL "," ")," OPERATIONS "," "))</f>
        <v>SAXONY</v>
      </c>
      <c r="O1575" s="17" t="str">
        <f aca="false">IF(COUNTIFS($N$2:$N$2000,N1575,$D$2:$D$2000,"&lt;&gt;"&amp;D1575)&gt;0,"CONFLICT","")</f>
        <v/>
      </c>
      <c r="P1575" s="7"/>
    </row>
    <row r="1576" customFormat="false" ht="15" hidden="false" customHeight="false" outlineLevel="0" collapsed="false">
      <c r="A1576" s="7" t="s">
        <v>711</v>
      </c>
      <c r="B1576" s="7" t="s">
        <v>1879</v>
      </c>
      <c r="C1576" s="7"/>
      <c r="D1576" s="6" t="s">
        <v>711</v>
      </c>
      <c r="E1576" s="6" t="s">
        <v>1880</v>
      </c>
      <c r="F1576" s="7" t="str">
        <f aca="false">IF($D1576="","",IFERROR(IF(INDEX(Hierarchy!$B$2:$B$1295,MATCH($D1576,Hierarchy!$A$2:$A$1295,0))="","",INDEX(Hierarchy!$B$2:$B$1295,MATCH($D1576,Hierarchy!$A$2:$A$1295,0))),"NODE NOT FOUND"))</f>
        <v>State/Province</v>
      </c>
      <c r="G1576" s="7" t="str">
        <f aca="false">IF($D1576="","",IFERROR(IF(INDEX(Hierarchy!$D$2:$D$1295,MATCH($D1576,Hierarchy!$A$2:$A$1295,0))="","",INDEX(Hierarchy!$D$2:$D$1295,MATCH($D1576,Hierarchy!$A$2:$A$1295,0))),"NODE NOT FOUND"))</f>
        <v>EMEA</v>
      </c>
      <c r="H1576" s="7" t="str">
        <f aca="false">IF($D1576="","",IFERROR(IF(INDEX(Hierarchy!$E$2:$E$1295,MATCH($D1576,Hierarchy!$A$2:$A$1295,0))="","",INDEX(Hierarchy!$E$2:$E$1295,MATCH($D1576,Hierarchy!$A$2:$A$1295,0))),"NODE NOT FOUND"))</f>
        <v>Europe</v>
      </c>
      <c r="I1576" s="7" t="str">
        <f aca="false">IF($D1576="","",IFERROR(IF(INDEX(Hierarchy!$F$2:$F$1295,MATCH($D1576,Hierarchy!$A$2:$A$1295,0))="","",INDEX(Hierarchy!$F$2:$F$1295,MATCH($D1576,Hierarchy!$A$2:$A$1295,0))),"NODE NOT FOUND"))</f>
        <v>Germany</v>
      </c>
      <c r="J1576" s="7" t="str">
        <f aca="false">IF($D1576="","",IFERROR(IF(INDEX(Hierarchy!$G$2:$G$1295,MATCH($D1576,Hierarchy!$A$2:$A$1295,0))="","",INDEX(Hierarchy!$G$2:$G$1295,MATCH($D1576,Hierarchy!$A$2:$A$1295,0))),"NODE NOT FOUND"))</f>
        <v>DEU</v>
      </c>
      <c r="K1576" s="7" t="str">
        <f aca="false">IF($D1576="","",IFERROR(IF(INDEX(Hierarchy!$H$2:$H$1295,MATCH($D1576,Hierarchy!$A$2:$A$1295,0))="","",INDEX(Hierarchy!$H$2:$H$1295,MATCH($D1576,Hierarchy!$A$2:$A$1295,0))),"NODE NOT FOUND"))</f>
        <v>Saxony-Anhalt</v>
      </c>
      <c r="L1576" s="7" t="str">
        <f aca="false">IF($D1576="","",IFERROR(IF(INDEX(Hierarchy!$I$2:$I$1295,MATCH($D1576,Hierarchy!$A$2:$A$1295,0))="","",INDEX(Hierarchy!$I$2:$I$1295,MATCH($D1576,Hierarchy!$A$2:$A$1295,0))),"NODE NOT FOUND"))</f>
        <v/>
      </c>
      <c r="M1576" s="17" t="str">
        <f aca="false">IF(B1576="Pre-seeded","Pre-seeded",IF(B1576="Review 2026-09-16","Added from review",IF(C1576="","New",IF(C1576=D1576,"","Changed"))))</f>
        <v>Pre-seeded</v>
      </c>
      <c r="N1576" s="7" t="str">
        <f aca="false">TRIM(SUBSTITUTE(SUBSTITUTE(SUBSTITUTE(" "&amp;TRIM(SUBSTITUTE(SUBSTITUTE(SUBSTITUTE(SUBSTITUTE(SUBSTITUTE(SUBSTITUTE(SUBSTITUTE(SUBSTITUTE(SUBSTITUTE(SUBSTITUTE(SUBSTITUTE(SUBSTITUTE(SUBSTITUTE(SUBSTITUTE(SUBSTITUTE(UPPER(TRIM(A1576)),"[MEMBER]",""),"{MEMBER}",""),"[MEMBER}",""),"MEMBER]",""),"(A)",""),"""",""),"“",""),"”",""),".",""),":",""),",",""),"–"," "),"-"," "),"/"," "),"&amp;"," AND "))&amp;" "," THE "," ")," TOTAL "," ")," OPERATIONS "," "))</f>
        <v>SAXONY ANHALT</v>
      </c>
      <c r="O1576" s="17" t="str">
        <f aca="false">IF(COUNTIFS($N$2:$N$2000,N1576,$D$2:$D$2000,"&lt;&gt;"&amp;D1576)&gt;0,"CONFLICT","")</f>
        <v/>
      </c>
      <c r="P1576" s="7"/>
    </row>
    <row r="1577" customFormat="false" ht="15" hidden="false" customHeight="false" outlineLevel="0" collapsed="false">
      <c r="A1577" s="7" t="s">
        <v>652</v>
      </c>
      <c r="B1577" s="7" t="s">
        <v>1879</v>
      </c>
      <c r="C1577" s="7"/>
      <c r="D1577" s="6" t="s">
        <v>652</v>
      </c>
      <c r="E1577" s="6" t="s">
        <v>1880</v>
      </c>
      <c r="F1577" s="7" t="str">
        <f aca="false">IF($D1577="","",IFERROR(IF(INDEX(Hierarchy!$B$2:$B$1295,MATCH($D1577,Hierarchy!$A$2:$A$1295,0))="","",INDEX(Hierarchy!$B$2:$B$1295,MATCH($D1577,Hierarchy!$A$2:$A$1295,0))),"NODE NOT FOUND"))</f>
        <v>Sub-region component</v>
      </c>
      <c r="G1577" s="7" t="str">
        <f aca="false">IF($D1577="","",IFERROR(IF(INDEX(Hierarchy!$D$2:$D$1295,MATCH($D1577,Hierarchy!$A$2:$A$1295,0))="","",INDEX(Hierarchy!$D$2:$D$1295,MATCH($D1577,Hierarchy!$A$2:$A$1295,0))),"NODE NOT FOUND"))</f>
        <v>EMEA</v>
      </c>
      <c r="H1577" s="7" t="str">
        <f aca="false">IF($D1577="","",IFERROR(IF(INDEX(Hierarchy!$E$2:$E$1295,MATCH($D1577,Hierarchy!$A$2:$A$1295,0))="","",INDEX(Hierarchy!$E$2:$E$1295,MATCH($D1577,Hierarchy!$A$2:$A$1295,0))),"NODE NOT FOUND"))</f>
        <v>Europe</v>
      </c>
      <c r="I1577" s="7" t="str">
        <f aca="false">IF($D1577="","",IFERROR(IF(INDEX(Hierarchy!$F$2:$F$1295,MATCH($D1577,Hierarchy!$A$2:$A$1295,0))="","",INDEX(Hierarchy!$F$2:$F$1295,MATCH($D1577,Hierarchy!$A$2:$A$1295,0))),"NODE NOT FOUND"))</f>
        <v/>
      </c>
      <c r="J1577" s="7" t="str">
        <f aca="false">IF($D1577="","",IFERROR(IF(INDEX(Hierarchy!$G$2:$G$1295,MATCH($D1577,Hierarchy!$A$2:$A$1295,0))="","",INDEX(Hierarchy!$G$2:$G$1295,MATCH($D1577,Hierarchy!$A$2:$A$1295,0))),"NODE NOT FOUND"))</f>
        <v/>
      </c>
      <c r="K1577" s="7" t="str">
        <f aca="false">IF($D1577="","",IFERROR(IF(INDEX(Hierarchy!$H$2:$H$1295,MATCH($D1577,Hierarchy!$A$2:$A$1295,0))="","",INDEX(Hierarchy!$H$2:$H$1295,MATCH($D1577,Hierarchy!$A$2:$A$1295,0))),"NODE NOT FOUND"))</f>
        <v/>
      </c>
      <c r="L1577" s="7" t="str">
        <f aca="false">IF($D1577="","",IFERROR(IF(INDEX(Hierarchy!$I$2:$I$1295,MATCH($D1577,Hierarchy!$A$2:$A$1295,0))="","",INDEX(Hierarchy!$I$2:$I$1295,MATCH($D1577,Hierarchy!$A$2:$A$1295,0))),"NODE NOT FOUND"))</f>
        <v/>
      </c>
      <c r="M1577" s="17" t="str">
        <f aca="false">IF(B1577="Pre-seeded","Pre-seeded",IF(B1577="Review 2026-09-16","Added from review",IF(C1577="","New",IF(C1577=D1577,"","Changed"))))</f>
        <v>Pre-seeded</v>
      </c>
      <c r="N1577" s="7" t="str">
        <f aca="false">TRIM(SUBSTITUTE(SUBSTITUTE(SUBSTITUTE(" "&amp;TRIM(SUBSTITUTE(SUBSTITUTE(SUBSTITUTE(SUBSTITUTE(SUBSTITUTE(SUBSTITUTE(SUBSTITUTE(SUBSTITUTE(SUBSTITUTE(SUBSTITUTE(SUBSTITUTE(SUBSTITUTE(SUBSTITUTE(SUBSTITUTE(SUBSTITUTE(UPPER(TRIM(A1577)),"[MEMBER]",""),"{MEMBER}",""),"[MEMBER}",""),"MEMBER]",""),"(A)",""),"""",""),"“",""),"”",""),".",""),":",""),",",""),"–"," "),"-"," "),"/"," "),"&amp;"," AND "))&amp;" "," THE "," ")," TOTAL "," ")," OPERATIONS "," "))</f>
        <v>SCANDINAVIA</v>
      </c>
      <c r="O1577" s="17" t="str">
        <f aca="false">IF(COUNTIFS($N$2:$N$2000,N1577,$D$2:$D$2000,"&lt;&gt;"&amp;D1577)&gt;0,"CONFLICT","")</f>
        <v/>
      </c>
      <c r="P1577" s="7"/>
    </row>
    <row r="1578" customFormat="false" ht="15" hidden="false" customHeight="false" outlineLevel="0" collapsed="false">
      <c r="A1578" s="7" t="s">
        <v>997</v>
      </c>
      <c r="B1578" s="7" t="s">
        <v>1879</v>
      </c>
      <c r="C1578" s="7"/>
      <c r="D1578" s="6" t="s">
        <v>997</v>
      </c>
      <c r="E1578" s="6" t="s">
        <v>1880</v>
      </c>
      <c r="F1578" s="7" t="str">
        <f aca="false">IF($D1578="","",IFERROR(IF(INDEX(Hierarchy!$B$2:$B$1295,MATCH($D1578,Hierarchy!$A$2:$A$1295,0))="","",INDEX(Hierarchy!$B$2:$B$1295,MATCH($D1578,Hierarchy!$A$2:$A$1295,0))),"NODE NOT FOUND"))</f>
        <v>State/Province</v>
      </c>
      <c r="G1578" s="7" t="str">
        <f aca="false">IF($D1578="","",IFERROR(IF(INDEX(Hierarchy!$D$2:$D$1295,MATCH($D1578,Hierarchy!$A$2:$A$1295,0))="","",INDEX(Hierarchy!$D$2:$D$1295,MATCH($D1578,Hierarchy!$A$2:$A$1295,0))),"NODE NOT FOUND"))</f>
        <v>EMEA</v>
      </c>
      <c r="H1578" s="7" t="str">
        <f aca="false">IF($D1578="","",IFERROR(IF(INDEX(Hierarchy!$E$2:$E$1295,MATCH($D1578,Hierarchy!$A$2:$A$1295,0))="","",INDEX(Hierarchy!$E$2:$E$1295,MATCH($D1578,Hierarchy!$A$2:$A$1295,0))),"NODE NOT FOUND"))</f>
        <v>Europe</v>
      </c>
      <c r="I1578" s="7" t="str">
        <f aca="false">IF($D1578="","",IFERROR(IF(INDEX(Hierarchy!$F$2:$F$1295,MATCH($D1578,Hierarchy!$A$2:$A$1295,0))="","",INDEX(Hierarchy!$F$2:$F$1295,MATCH($D1578,Hierarchy!$A$2:$A$1295,0))),"NODE NOT FOUND"))</f>
        <v>Switzerland</v>
      </c>
      <c r="J1578" s="7" t="str">
        <f aca="false">IF($D1578="","",IFERROR(IF(INDEX(Hierarchy!$G$2:$G$1295,MATCH($D1578,Hierarchy!$A$2:$A$1295,0))="","",INDEX(Hierarchy!$G$2:$G$1295,MATCH($D1578,Hierarchy!$A$2:$A$1295,0))),"NODE NOT FOUND"))</f>
        <v>CHE</v>
      </c>
      <c r="K1578" s="7" t="str">
        <f aca="false">IF($D1578="","",IFERROR(IF(INDEX(Hierarchy!$H$2:$H$1295,MATCH($D1578,Hierarchy!$A$2:$A$1295,0))="","",INDEX(Hierarchy!$H$2:$H$1295,MATCH($D1578,Hierarchy!$A$2:$A$1295,0))),"NODE NOT FOUND"))</f>
        <v>Schaffhausen</v>
      </c>
      <c r="L1578" s="7" t="str">
        <f aca="false">IF($D1578="","",IFERROR(IF(INDEX(Hierarchy!$I$2:$I$1295,MATCH($D1578,Hierarchy!$A$2:$A$1295,0))="","",INDEX(Hierarchy!$I$2:$I$1295,MATCH($D1578,Hierarchy!$A$2:$A$1295,0))),"NODE NOT FOUND"))</f>
        <v/>
      </c>
      <c r="M1578" s="17" t="str">
        <f aca="false">IF(B1578="Pre-seeded","Pre-seeded",IF(B1578="Review 2026-09-16","Added from review",IF(C1578="","New",IF(C1578=D1578,"","Changed"))))</f>
        <v>Pre-seeded</v>
      </c>
      <c r="N1578" s="7" t="str">
        <f aca="false">TRIM(SUBSTITUTE(SUBSTITUTE(SUBSTITUTE(" "&amp;TRIM(SUBSTITUTE(SUBSTITUTE(SUBSTITUTE(SUBSTITUTE(SUBSTITUTE(SUBSTITUTE(SUBSTITUTE(SUBSTITUTE(SUBSTITUTE(SUBSTITUTE(SUBSTITUTE(SUBSTITUTE(SUBSTITUTE(SUBSTITUTE(SUBSTITUTE(UPPER(TRIM(A1578)),"[MEMBER]",""),"{MEMBER}",""),"[MEMBER}",""),"MEMBER]",""),"(A)",""),"""",""),"“",""),"”",""),".",""),":",""),",",""),"–"," "),"-"," "),"/"," "),"&amp;"," AND "))&amp;" "," THE "," ")," TOTAL "," ")," OPERATIONS "," "))</f>
        <v>SCHAFFHAUSEN</v>
      </c>
      <c r="O1578" s="17" t="str">
        <f aca="false">IF(COUNTIFS($N$2:$N$2000,N1578,$D$2:$D$2000,"&lt;&gt;"&amp;D1578)&gt;0,"CONFLICT","")</f>
        <v/>
      </c>
      <c r="P1578" s="7"/>
    </row>
    <row r="1579" customFormat="false" ht="15" hidden="false" customHeight="false" outlineLevel="0" collapsed="false">
      <c r="A1579" s="7" t="s">
        <v>712</v>
      </c>
      <c r="B1579" s="7" t="s">
        <v>1879</v>
      </c>
      <c r="C1579" s="7"/>
      <c r="D1579" s="6" t="s">
        <v>712</v>
      </c>
      <c r="E1579" s="6" t="s">
        <v>1880</v>
      </c>
      <c r="F1579" s="7" t="str">
        <f aca="false">IF($D1579="","",IFERROR(IF(INDEX(Hierarchy!$B$2:$B$1295,MATCH($D1579,Hierarchy!$A$2:$A$1295,0))="","",INDEX(Hierarchy!$B$2:$B$1295,MATCH($D1579,Hierarchy!$A$2:$A$1295,0))),"NODE NOT FOUND"))</f>
        <v>State/Province</v>
      </c>
      <c r="G1579" s="7" t="str">
        <f aca="false">IF($D1579="","",IFERROR(IF(INDEX(Hierarchy!$D$2:$D$1295,MATCH($D1579,Hierarchy!$A$2:$A$1295,0))="","",INDEX(Hierarchy!$D$2:$D$1295,MATCH($D1579,Hierarchy!$A$2:$A$1295,0))),"NODE NOT FOUND"))</f>
        <v>EMEA</v>
      </c>
      <c r="H1579" s="7" t="str">
        <f aca="false">IF($D1579="","",IFERROR(IF(INDEX(Hierarchy!$E$2:$E$1295,MATCH($D1579,Hierarchy!$A$2:$A$1295,0))="","",INDEX(Hierarchy!$E$2:$E$1295,MATCH($D1579,Hierarchy!$A$2:$A$1295,0))),"NODE NOT FOUND"))</f>
        <v>Europe</v>
      </c>
      <c r="I1579" s="7" t="str">
        <f aca="false">IF($D1579="","",IFERROR(IF(INDEX(Hierarchy!$F$2:$F$1295,MATCH($D1579,Hierarchy!$A$2:$A$1295,0))="","",INDEX(Hierarchy!$F$2:$F$1295,MATCH($D1579,Hierarchy!$A$2:$A$1295,0))),"NODE NOT FOUND"))</f>
        <v>Germany</v>
      </c>
      <c r="J1579" s="7" t="str">
        <f aca="false">IF($D1579="","",IFERROR(IF(INDEX(Hierarchy!$G$2:$G$1295,MATCH($D1579,Hierarchy!$A$2:$A$1295,0))="","",INDEX(Hierarchy!$G$2:$G$1295,MATCH($D1579,Hierarchy!$A$2:$A$1295,0))),"NODE NOT FOUND"))</f>
        <v>DEU</v>
      </c>
      <c r="K1579" s="7" t="str">
        <f aca="false">IF($D1579="","",IFERROR(IF(INDEX(Hierarchy!$H$2:$H$1295,MATCH($D1579,Hierarchy!$A$2:$A$1295,0))="","",INDEX(Hierarchy!$H$2:$H$1295,MATCH($D1579,Hierarchy!$A$2:$A$1295,0))),"NODE NOT FOUND"))</f>
        <v>Schleswig-Holstein</v>
      </c>
      <c r="L1579" s="7" t="str">
        <f aca="false">IF($D1579="","",IFERROR(IF(INDEX(Hierarchy!$I$2:$I$1295,MATCH($D1579,Hierarchy!$A$2:$A$1295,0))="","",INDEX(Hierarchy!$I$2:$I$1295,MATCH($D1579,Hierarchy!$A$2:$A$1295,0))),"NODE NOT FOUND"))</f>
        <v/>
      </c>
      <c r="M1579" s="17" t="str">
        <f aca="false">IF(B1579="Pre-seeded","Pre-seeded",IF(B1579="Review 2026-09-16","Added from review",IF(C1579="","New",IF(C1579=D1579,"","Changed"))))</f>
        <v>Pre-seeded</v>
      </c>
      <c r="N1579" s="7" t="str">
        <f aca="false">TRIM(SUBSTITUTE(SUBSTITUTE(SUBSTITUTE(" "&amp;TRIM(SUBSTITUTE(SUBSTITUTE(SUBSTITUTE(SUBSTITUTE(SUBSTITUTE(SUBSTITUTE(SUBSTITUTE(SUBSTITUTE(SUBSTITUTE(SUBSTITUTE(SUBSTITUTE(SUBSTITUTE(SUBSTITUTE(SUBSTITUTE(SUBSTITUTE(UPPER(TRIM(A1579)),"[MEMBER]",""),"{MEMBER}",""),"[MEMBER}",""),"MEMBER]",""),"(A)",""),"""",""),"“",""),"”",""),".",""),":",""),",",""),"–"," "),"-"," "),"/"," "),"&amp;"," AND "))&amp;" "," THE "," ")," TOTAL "," ")," OPERATIONS "," "))</f>
        <v>SCHLESWIG HOLSTEIN</v>
      </c>
      <c r="O1579" s="17" t="str">
        <f aca="false">IF(COUNTIFS($N$2:$N$2000,N1579,$D$2:$D$2000,"&lt;&gt;"&amp;D1579)&gt;0,"CONFLICT","")</f>
        <v/>
      </c>
      <c r="P1579" s="7"/>
    </row>
    <row r="1580" customFormat="false" ht="15" hidden="false" customHeight="false" outlineLevel="0" collapsed="false">
      <c r="A1580" s="7" t="s">
        <v>998</v>
      </c>
      <c r="B1580" s="7" t="s">
        <v>1879</v>
      </c>
      <c r="C1580" s="7"/>
      <c r="D1580" s="6" t="s">
        <v>998</v>
      </c>
      <c r="E1580" s="6" t="s">
        <v>1880</v>
      </c>
      <c r="F1580" s="7" t="str">
        <f aca="false">IF($D1580="","",IFERROR(IF(INDEX(Hierarchy!$B$2:$B$1295,MATCH($D1580,Hierarchy!$A$2:$A$1295,0))="","",INDEX(Hierarchy!$B$2:$B$1295,MATCH($D1580,Hierarchy!$A$2:$A$1295,0))),"NODE NOT FOUND"))</f>
        <v>State/Province</v>
      </c>
      <c r="G1580" s="7" t="str">
        <f aca="false">IF($D1580="","",IFERROR(IF(INDEX(Hierarchy!$D$2:$D$1295,MATCH($D1580,Hierarchy!$A$2:$A$1295,0))="","",INDEX(Hierarchy!$D$2:$D$1295,MATCH($D1580,Hierarchy!$A$2:$A$1295,0))),"NODE NOT FOUND"))</f>
        <v>EMEA</v>
      </c>
      <c r="H1580" s="7" t="str">
        <f aca="false">IF($D1580="","",IFERROR(IF(INDEX(Hierarchy!$E$2:$E$1295,MATCH($D1580,Hierarchy!$A$2:$A$1295,0))="","",INDEX(Hierarchy!$E$2:$E$1295,MATCH($D1580,Hierarchy!$A$2:$A$1295,0))),"NODE NOT FOUND"))</f>
        <v>Europe</v>
      </c>
      <c r="I1580" s="7" t="str">
        <f aca="false">IF($D1580="","",IFERROR(IF(INDEX(Hierarchy!$F$2:$F$1295,MATCH($D1580,Hierarchy!$A$2:$A$1295,0))="","",INDEX(Hierarchy!$F$2:$F$1295,MATCH($D1580,Hierarchy!$A$2:$A$1295,0))),"NODE NOT FOUND"))</f>
        <v>Switzerland</v>
      </c>
      <c r="J1580" s="7" t="str">
        <f aca="false">IF($D1580="","",IFERROR(IF(INDEX(Hierarchy!$G$2:$G$1295,MATCH($D1580,Hierarchy!$A$2:$A$1295,0))="","",INDEX(Hierarchy!$G$2:$G$1295,MATCH($D1580,Hierarchy!$A$2:$A$1295,0))),"NODE NOT FOUND"))</f>
        <v>CHE</v>
      </c>
      <c r="K1580" s="7" t="str">
        <f aca="false">IF($D1580="","",IFERROR(IF(INDEX(Hierarchy!$H$2:$H$1295,MATCH($D1580,Hierarchy!$A$2:$A$1295,0))="","",INDEX(Hierarchy!$H$2:$H$1295,MATCH($D1580,Hierarchy!$A$2:$A$1295,0))),"NODE NOT FOUND"))</f>
        <v>Schwyz</v>
      </c>
      <c r="L1580" s="7" t="str">
        <f aca="false">IF($D1580="","",IFERROR(IF(INDEX(Hierarchy!$I$2:$I$1295,MATCH($D1580,Hierarchy!$A$2:$A$1295,0))="","",INDEX(Hierarchy!$I$2:$I$1295,MATCH($D1580,Hierarchy!$A$2:$A$1295,0))),"NODE NOT FOUND"))</f>
        <v/>
      </c>
      <c r="M1580" s="17" t="str">
        <f aca="false">IF(B1580="Pre-seeded","Pre-seeded",IF(B1580="Review 2026-09-16","Added from review",IF(C1580="","New",IF(C1580=D1580,"","Changed"))))</f>
        <v>Pre-seeded</v>
      </c>
      <c r="N1580" s="7" t="str">
        <f aca="false">TRIM(SUBSTITUTE(SUBSTITUTE(SUBSTITUTE(" "&amp;TRIM(SUBSTITUTE(SUBSTITUTE(SUBSTITUTE(SUBSTITUTE(SUBSTITUTE(SUBSTITUTE(SUBSTITUTE(SUBSTITUTE(SUBSTITUTE(SUBSTITUTE(SUBSTITUTE(SUBSTITUTE(SUBSTITUTE(SUBSTITUTE(SUBSTITUTE(UPPER(TRIM(A1580)),"[MEMBER]",""),"{MEMBER}",""),"[MEMBER}",""),"MEMBER]",""),"(A)",""),"""",""),"“",""),"”",""),".",""),":",""),",",""),"–"," "),"-"," "),"/"," "),"&amp;"," AND "))&amp;" "," THE "," ")," TOTAL "," ")," OPERATIONS "," "))</f>
        <v>SCHWYZ</v>
      </c>
      <c r="O1580" s="17" t="str">
        <f aca="false">IF(COUNTIFS($N$2:$N$2000,N1580,$D$2:$D$2000,"&lt;&gt;"&amp;D1580)&gt;0,"CONFLICT","")</f>
        <v/>
      </c>
      <c r="P1580" s="7"/>
    </row>
    <row r="1581" customFormat="false" ht="15" hidden="false" customHeight="false" outlineLevel="0" collapsed="false">
      <c r="A1581" s="7" t="s">
        <v>684</v>
      </c>
      <c r="B1581" s="7" t="s">
        <v>1879</v>
      </c>
      <c r="C1581" s="7"/>
      <c r="D1581" s="6" t="s">
        <v>684</v>
      </c>
      <c r="E1581" s="6" t="s">
        <v>1880</v>
      </c>
      <c r="F1581" s="7" t="str">
        <f aca="false">IF($D1581="","",IFERROR(IF(INDEX(Hierarchy!$B$2:$B$1295,MATCH($D1581,Hierarchy!$A$2:$A$1295,0))="","",INDEX(Hierarchy!$B$2:$B$1295,MATCH($D1581,Hierarchy!$A$2:$A$1295,0))),"NODE NOT FOUND"))</f>
        <v>State/Province</v>
      </c>
      <c r="G1581" s="7" t="str">
        <f aca="false">IF($D1581="","",IFERROR(IF(INDEX(Hierarchy!$D$2:$D$1295,MATCH($D1581,Hierarchy!$A$2:$A$1295,0))="","",INDEX(Hierarchy!$D$2:$D$1295,MATCH($D1581,Hierarchy!$A$2:$A$1295,0))),"NODE NOT FOUND"))</f>
        <v>EMEA</v>
      </c>
      <c r="H1581" s="7" t="str">
        <f aca="false">IF($D1581="","",IFERROR(IF(INDEX(Hierarchy!$E$2:$E$1295,MATCH($D1581,Hierarchy!$A$2:$A$1295,0))="","",INDEX(Hierarchy!$E$2:$E$1295,MATCH($D1581,Hierarchy!$A$2:$A$1295,0))),"NODE NOT FOUND"))</f>
        <v>Europe</v>
      </c>
      <c r="I1581" s="7" t="str">
        <f aca="false">IF($D1581="","",IFERROR(IF(INDEX(Hierarchy!$F$2:$F$1295,MATCH($D1581,Hierarchy!$A$2:$A$1295,0))="","",INDEX(Hierarchy!$F$2:$F$1295,MATCH($D1581,Hierarchy!$A$2:$A$1295,0))),"NODE NOT FOUND"))</f>
        <v>United Kingdom</v>
      </c>
      <c r="J1581" s="7" t="str">
        <f aca="false">IF($D1581="","",IFERROR(IF(INDEX(Hierarchy!$G$2:$G$1295,MATCH($D1581,Hierarchy!$A$2:$A$1295,0))="","",INDEX(Hierarchy!$G$2:$G$1295,MATCH($D1581,Hierarchy!$A$2:$A$1295,0))),"NODE NOT FOUND"))</f>
        <v>GBR</v>
      </c>
      <c r="K1581" s="7" t="str">
        <f aca="false">IF($D1581="","",IFERROR(IF(INDEX(Hierarchy!$H$2:$H$1295,MATCH($D1581,Hierarchy!$A$2:$A$1295,0))="","",INDEX(Hierarchy!$H$2:$H$1295,MATCH($D1581,Hierarchy!$A$2:$A$1295,0))),"NODE NOT FOUND"))</f>
        <v>Scotland</v>
      </c>
      <c r="L1581" s="7" t="str">
        <f aca="false">IF($D1581="","",IFERROR(IF(INDEX(Hierarchy!$I$2:$I$1295,MATCH($D1581,Hierarchy!$A$2:$A$1295,0))="","",INDEX(Hierarchy!$I$2:$I$1295,MATCH($D1581,Hierarchy!$A$2:$A$1295,0))),"NODE NOT FOUND"))</f>
        <v/>
      </c>
      <c r="M1581" s="17" t="str">
        <f aca="false">IF(B1581="Pre-seeded","Pre-seeded",IF(B1581="Review 2026-09-16","Added from review",IF(C1581="","New",IF(C1581=D1581,"","Changed"))))</f>
        <v>Pre-seeded</v>
      </c>
      <c r="N1581" s="7" t="str">
        <f aca="false">TRIM(SUBSTITUTE(SUBSTITUTE(SUBSTITUTE(" "&amp;TRIM(SUBSTITUTE(SUBSTITUTE(SUBSTITUTE(SUBSTITUTE(SUBSTITUTE(SUBSTITUTE(SUBSTITUTE(SUBSTITUTE(SUBSTITUTE(SUBSTITUTE(SUBSTITUTE(SUBSTITUTE(SUBSTITUTE(SUBSTITUTE(SUBSTITUTE(UPPER(TRIM(A1581)),"[MEMBER]",""),"{MEMBER}",""),"[MEMBER}",""),"MEMBER]",""),"(A)",""),"""",""),"“",""),"”",""),".",""),":",""),",",""),"–"," "),"-"," "),"/"," "),"&amp;"," AND "))&amp;" "," THE "," ")," TOTAL "," ")," OPERATIONS "," "))</f>
        <v>SCOTLAND</v>
      </c>
      <c r="O1581" s="17" t="str">
        <f aca="false">IF(COUNTIFS($N$2:$N$2000,N1581,$D$2:$D$2000,"&lt;&gt;"&amp;D1581)&gt;0,"CONFLICT","")</f>
        <v/>
      </c>
      <c r="P1581" s="7"/>
    </row>
    <row r="1582" customFormat="false" ht="15" hidden="false" customHeight="false" outlineLevel="0" collapsed="false">
      <c r="A1582" s="7" t="s">
        <v>262</v>
      </c>
      <c r="B1582" s="7" t="s">
        <v>1882</v>
      </c>
      <c r="C1582" s="7" t="s">
        <v>262</v>
      </c>
      <c r="D1582" s="6" t="s">
        <v>262</v>
      </c>
      <c r="E1582" s="6" t="s">
        <v>1880</v>
      </c>
      <c r="F1582" s="7" t="str">
        <f aca="false">IF($D1582="","",IFERROR(IF(INDEX(Hierarchy!$B$2:$B$1295,MATCH($D1582,Hierarchy!$A$2:$A$1295,0))="","",INDEX(Hierarchy!$B$2:$B$1295,MATCH($D1582,Hierarchy!$A$2:$A$1295,0))),"NODE NOT FOUND"))</f>
        <v>City</v>
      </c>
      <c r="G1582" s="7" t="str">
        <f aca="false">IF($D1582="","",IFERROR(IF(INDEX(Hierarchy!$D$2:$D$1295,MATCH($D1582,Hierarchy!$A$2:$A$1295,0))="","",INDEX(Hierarchy!$D$2:$D$1295,MATCH($D1582,Hierarchy!$A$2:$A$1295,0))),"NODE NOT FOUND"))</f>
        <v>AMER</v>
      </c>
      <c r="H1582" s="7" t="str">
        <f aca="false">IF($D1582="","",IFERROR(IF(INDEX(Hierarchy!$E$2:$E$1295,MATCH($D1582,Hierarchy!$A$2:$A$1295,0))="","",INDEX(Hierarchy!$E$2:$E$1295,MATCH($D1582,Hierarchy!$A$2:$A$1295,0))),"NODE NOT FOUND"))</f>
        <v>North America (NORAM)</v>
      </c>
      <c r="I1582" s="7" t="str">
        <f aca="false">IF($D1582="","",IFERROR(IF(INDEX(Hierarchy!$F$2:$F$1295,MATCH($D1582,Hierarchy!$A$2:$A$1295,0))="","",INDEX(Hierarchy!$F$2:$F$1295,MATCH($D1582,Hierarchy!$A$2:$A$1295,0))),"NODE NOT FOUND"))</f>
        <v>United States</v>
      </c>
      <c r="J1582" s="7" t="str">
        <f aca="false">IF($D1582="","",IFERROR(IF(INDEX(Hierarchy!$G$2:$G$1295,MATCH($D1582,Hierarchy!$A$2:$A$1295,0))="","",INDEX(Hierarchy!$G$2:$G$1295,MATCH($D1582,Hierarchy!$A$2:$A$1295,0))),"NODE NOT FOUND"))</f>
        <v>USA</v>
      </c>
      <c r="K1582" s="7" t="str">
        <f aca="false">IF($D1582="","",IFERROR(IF(INDEX(Hierarchy!$H$2:$H$1295,MATCH($D1582,Hierarchy!$A$2:$A$1295,0))="","",INDEX(Hierarchy!$H$2:$H$1295,MATCH($D1582,Hierarchy!$A$2:$A$1295,0))),"NODE NOT FOUND"))</f>
        <v>Washington</v>
      </c>
      <c r="L1582" s="7" t="str">
        <f aca="false">IF($D1582="","",IFERROR(IF(INDEX(Hierarchy!$I$2:$I$1295,MATCH($D1582,Hierarchy!$A$2:$A$1295,0))="","",INDEX(Hierarchy!$I$2:$I$1295,MATCH($D1582,Hierarchy!$A$2:$A$1295,0))),"NODE NOT FOUND"))</f>
        <v>Seattle</v>
      </c>
      <c r="M1582" s="17" t="str">
        <f aca="false">IF(B1582="Pre-seeded","Pre-seeded",IF(B1582="Review 2026-09-16","Added from review",IF(C1582="","New",IF(C1582=D1582,"","Changed"))))</f>
        <v/>
      </c>
      <c r="N1582" s="7" t="str">
        <f aca="false">TRIM(SUBSTITUTE(SUBSTITUTE(SUBSTITUTE(" "&amp;TRIM(SUBSTITUTE(SUBSTITUTE(SUBSTITUTE(SUBSTITUTE(SUBSTITUTE(SUBSTITUTE(SUBSTITUTE(SUBSTITUTE(SUBSTITUTE(SUBSTITUTE(SUBSTITUTE(SUBSTITUTE(SUBSTITUTE(SUBSTITUTE(SUBSTITUTE(UPPER(TRIM(A1582)),"[MEMBER]",""),"{MEMBER}",""),"[MEMBER}",""),"MEMBER]",""),"(A)",""),"""",""),"“",""),"”",""),".",""),":",""),",",""),"–"," "),"-"," "),"/"," "),"&amp;"," AND "))&amp;" "," THE "," ")," TOTAL "," ")," OPERATIONS "," "))</f>
        <v>SEATTLE</v>
      </c>
      <c r="O1582" s="17" t="str">
        <f aca="false">IF(COUNTIFS($N$2:$N$2000,N1582,$D$2:$D$2000,"&lt;&gt;"&amp;D1582)&gt;0,"CONFLICT","")</f>
        <v/>
      </c>
      <c r="P1582" s="7"/>
    </row>
    <row r="1583" customFormat="false" ht="15" hidden="false" customHeight="false" outlineLevel="0" collapsed="false">
      <c r="A1583" s="7" t="s">
        <v>2696</v>
      </c>
      <c r="B1583" s="7" t="s">
        <v>1879</v>
      </c>
      <c r="C1583" s="7"/>
      <c r="D1583" s="6" t="s">
        <v>654</v>
      </c>
      <c r="E1583" s="6" t="s">
        <v>1880</v>
      </c>
      <c r="F1583" s="7" t="str">
        <f aca="false">IF($D1583="","",IFERROR(IF(INDEX(Hierarchy!$B$2:$B$1295,MATCH($D1583,Hierarchy!$A$2:$A$1295,0))="","",INDEX(Hierarchy!$B$2:$B$1295,MATCH($D1583,Hierarchy!$A$2:$A$1295,0))),"NODE NOT FOUND"))</f>
        <v>Sub-region component</v>
      </c>
      <c r="G1583" s="7" t="str">
        <f aca="false">IF($D1583="","",IFERROR(IF(INDEX(Hierarchy!$D$2:$D$1295,MATCH($D1583,Hierarchy!$A$2:$A$1295,0))="","",INDEX(Hierarchy!$D$2:$D$1295,MATCH($D1583,Hierarchy!$A$2:$A$1295,0))),"NODE NOT FOUND"))</f>
        <v>EMEA</v>
      </c>
      <c r="H1583" s="7" t="str">
        <f aca="false">IF($D1583="","",IFERROR(IF(INDEX(Hierarchy!$E$2:$E$1295,MATCH($D1583,Hierarchy!$A$2:$A$1295,0))="","",INDEX(Hierarchy!$E$2:$E$1295,MATCH($D1583,Hierarchy!$A$2:$A$1295,0))),"NODE NOT FOUND"))</f>
        <v>Europe</v>
      </c>
      <c r="I1583" s="7" t="str">
        <f aca="false">IF($D1583="","",IFERROR(IF(INDEX(Hierarchy!$F$2:$F$1295,MATCH($D1583,Hierarchy!$A$2:$A$1295,0))="","",INDEX(Hierarchy!$F$2:$F$1295,MATCH($D1583,Hierarchy!$A$2:$A$1295,0))),"NODE NOT FOUND"))</f>
        <v/>
      </c>
      <c r="J1583" s="7" t="str">
        <f aca="false">IF($D1583="","",IFERROR(IF(INDEX(Hierarchy!$G$2:$G$1295,MATCH($D1583,Hierarchy!$A$2:$A$1295,0))="","",INDEX(Hierarchy!$G$2:$G$1295,MATCH($D1583,Hierarchy!$A$2:$A$1295,0))),"NODE NOT FOUND"))</f>
        <v/>
      </c>
      <c r="K1583" s="7" t="str">
        <f aca="false">IF($D1583="","",IFERROR(IF(INDEX(Hierarchy!$H$2:$H$1295,MATCH($D1583,Hierarchy!$A$2:$A$1295,0))="","",INDEX(Hierarchy!$H$2:$H$1295,MATCH($D1583,Hierarchy!$A$2:$A$1295,0))),"NODE NOT FOUND"))</f>
        <v/>
      </c>
      <c r="L1583" s="7" t="str">
        <f aca="false">IF($D1583="","",IFERROR(IF(INDEX(Hierarchy!$I$2:$I$1295,MATCH($D1583,Hierarchy!$A$2:$A$1295,0))="","",INDEX(Hierarchy!$I$2:$I$1295,MATCH($D1583,Hierarchy!$A$2:$A$1295,0))),"NODE NOT FOUND"))</f>
        <v/>
      </c>
      <c r="M1583" s="17" t="str">
        <f aca="false">IF(B1583="Pre-seeded","Pre-seeded",IF(B1583="Review 2026-09-16","Added from review",IF(C1583="","New",IF(C1583=D1583,"","Changed"))))</f>
        <v>Pre-seeded</v>
      </c>
      <c r="N1583" s="7" t="str">
        <f aca="false">TRIM(SUBSTITUTE(SUBSTITUTE(SUBSTITUTE(" "&amp;TRIM(SUBSTITUTE(SUBSTITUTE(SUBSTITUTE(SUBSTITUTE(SUBSTITUTE(SUBSTITUTE(SUBSTITUTE(SUBSTITUTE(SUBSTITUTE(SUBSTITUTE(SUBSTITUTE(SUBSTITUTE(SUBSTITUTE(SUBSTITUTE(SUBSTITUTE(UPPER(TRIM(A1583)),"[MEMBER]",""),"{MEMBER}",""),"[MEMBER}",""),"MEMBER]",""),"(A)",""),"""",""),"“",""),"”",""),".",""),":",""),",",""),"–"," "),"-"," "),"/"," "),"&amp;"," AND "))&amp;" "," THE "," ")," TOTAL "," ")," OPERATIONS "," "))</f>
        <v>SEE</v>
      </c>
      <c r="O1583" s="17" t="str">
        <f aca="false">IF(COUNTIFS($N$2:$N$2000,N1583,$D$2:$D$2000,"&lt;&gt;"&amp;D1583)&gt;0,"CONFLICT","")</f>
        <v/>
      </c>
      <c r="P1583" s="7"/>
    </row>
    <row r="1584" customFormat="false" ht="15" hidden="false" customHeight="false" outlineLevel="0" collapsed="false">
      <c r="A1584" s="7" t="s">
        <v>1574</v>
      </c>
      <c r="B1584" s="7" t="s">
        <v>1879</v>
      </c>
      <c r="C1584" s="7"/>
      <c r="D1584" s="6" t="s">
        <v>1574</v>
      </c>
      <c r="E1584" s="6" t="s">
        <v>1880</v>
      </c>
      <c r="F1584" s="7" t="str">
        <f aca="false">IF($D1584="","",IFERROR(IF(INDEX(Hierarchy!$B$2:$B$1295,MATCH($D1584,Hierarchy!$A$2:$A$1295,0))="","",INDEX(Hierarchy!$B$2:$B$1295,MATCH($D1584,Hierarchy!$A$2:$A$1295,0))),"NODE NOT FOUND"))</f>
        <v>State/Province</v>
      </c>
      <c r="G1584" s="7" t="str">
        <f aca="false">IF($D1584="","",IFERROR(IF(INDEX(Hierarchy!$D$2:$D$1295,MATCH($D1584,Hierarchy!$A$2:$A$1295,0))="","",INDEX(Hierarchy!$D$2:$D$1295,MATCH($D1584,Hierarchy!$A$2:$A$1295,0))),"NODE NOT FOUND"))</f>
        <v>APAC</v>
      </c>
      <c r="H1584" s="7" t="str">
        <f aca="false">IF($D1584="","",IFERROR(IF(INDEX(Hierarchy!$E$2:$E$1295,MATCH($D1584,Hierarchy!$A$2:$A$1295,0))="","",INDEX(Hierarchy!$E$2:$E$1295,MATCH($D1584,Hierarchy!$A$2:$A$1295,0))),"NODE NOT FOUND"))</f>
        <v>East Asia</v>
      </c>
      <c r="I1584" s="7" t="str">
        <f aca="false">IF($D1584="","",IFERROR(IF(INDEX(Hierarchy!$F$2:$F$1295,MATCH($D1584,Hierarchy!$A$2:$A$1295,0))="","",INDEX(Hierarchy!$F$2:$F$1295,MATCH($D1584,Hierarchy!$A$2:$A$1295,0))),"NODE NOT FOUND"))</f>
        <v>South Korea</v>
      </c>
      <c r="J1584" s="7" t="str">
        <f aca="false">IF($D1584="","",IFERROR(IF(INDEX(Hierarchy!$G$2:$G$1295,MATCH($D1584,Hierarchy!$A$2:$A$1295,0))="","",INDEX(Hierarchy!$G$2:$G$1295,MATCH($D1584,Hierarchy!$A$2:$A$1295,0))),"NODE NOT FOUND"))</f>
        <v>KOR</v>
      </c>
      <c r="K1584" s="7" t="str">
        <f aca="false">IF($D1584="","",IFERROR(IF(INDEX(Hierarchy!$H$2:$H$1295,MATCH($D1584,Hierarchy!$A$2:$A$1295,0))="","",INDEX(Hierarchy!$H$2:$H$1295,MATCH($D1584,Hierarchy!$A$2:$A$1295,0))),"NODE NOT FOUND"))</f>
        <v>Sejong</v>
      </c>
      <c r="L1584" s="7" t="str">
        <f aca="false">IF($D1584="","",IFERROR(IF(INDEX(Hierarchy!$I$2:$I$1295,MATCH($D1584,Hierarchy!$A$2:$A$1295,0))="","",INDEX(Hierarchy!$I$2:$I$1295,MATCH($D1584,Hierarchy!$A$2:$A$1295,0))),"NODE NOT FOUND"))</f>
        <v/>
      </c>
      <c r="M1584" s="17" t="str">
        <f aca="false">IF(B1584="Pre-seeded","Pre-seeded",IF(B1584="Review 2026-09-16","Added from review",IF(C1584="","New",IF(C1584=D1584,"","Changed"))))</f>
        <v>Pre-seeded</v>
      </c>
      <c r="N1584" s="7" t="str">
        <f aca="false">TRIM(SUBSTITUTE(SUBSTITUTE(SUBSTITUTE(" "&amp;TRIM(SUBSTITUTE(SUBSTITUTE(SUBSTITUTE(SUBSTITUTE(SUBSTITUTE(SUBSTITUTE(SUBSTITUTE(SUBSTITUTE(SUBSTITUTE(SUBSTITUTE(SUBSTITUTE(SUBSTITUTE(SUBSTITUTE(SUBSTITUTE(SUBSTITUTE(UPPER(TRIM(A1584)),"[MEMBER]",""),"{MEMBER}",""),"[MEMBER}",""),"MEMBER]",""),"(A)",""),"""",""),"“",""),"”",""),".",""),":",""),",",""),"–"," "),"-"," "),"/"," "),"&amp;"," AND "))&amp;" "," THE "," ")," TOTAL "," ")," OPERATIONS "," "))</f>
        <v>SEJONG</v>
      </c>
      <c r="O1584" s="17" t="str">
        <f aca="false">IF(COUNTIFS($N$2:$N$2000,N1584,$D$2:$D$2000,"&lt;&gt;"&amp;D1584)&gt;0,"CONFLICT","")</f>
        <v/>
      </c>
      <c r="P1584" s="7"/>
    </row>
    <row r="1585" customFormat="false" ht="15" hidden="false" customHeight="false" outlineLevel="0" collapsed="false">
      <c r="A1585" s="7" t="s">
        <v>1649</v>
      </c>
      <c r="B1585" s="7" t="s">
        <v>1879</v>
      </c>
      <c r="C1585" s="7"/>
      <c r="D1585" s="6" t="s">
        <v>1649</v>
      </c>
      <c r="E1585" s="6" t="s">
        <v>1880</v>
      </c>
      <c r="F1585" s="7" t="str">
        <f aca="false">IF($D1585="","",IFERROR(IF(INDEX(Hierarchy!$B$2:$B$1295,MATCH($D1585,Hierarchy!$A$2:$A$1295,0))="","",INDEX(Hierarchy!$B$2:$B$1295,MATCH($D1585,Hierarchy!$A$2:$A$1295,0))),"NODE NOT FOUND"))</f>
        <v>State/Province</v>
      </c>
      <c r="G1585" s="7" t="str">
        <f aca="false">IF($D1585="","",IFERROR(IF(INDEX(Hierarchy!$D$2:$D$1295,MATCH($D1585,Hierarchy!$A$2:$A$1295,0))="","",INDEX(Hierarchy!$D$2:$D$1295,MATCH($D1585,Hierarchy!$A$2:$A$1295,0))),"NODE NOT FOUND"))</f>
        <v>APAC</v>
      </c>
      <c r="H1585" s="7" t="str">
        <f aca="false">IF($D1585="","",IFERROR(IF(INDEX(Hierarchy!$E$2:$E$1295,MATCH($D1585,Hierarchy!$A$2:$A$1295,0))="","",INDEX(Hierarchy!$E$2:$E$1295,MATCH($D1585,Hierarchy!$A$2:$A$1295,0))),"NODE NOT FOUND"))</f>
        <v>Southeast Asia (ASEAN)</v>
      </c>
      <c r="I1585" s="7" t="str">
        <f aca="false">IF($D1585="","",IFERROR(IF(INDEX(Hierarchy!$F$2:$F$1295,MATCH($D1585,Hierarchy!$A$2:$A$1295,0))="","",INDEX(Hierarchy!$F$2:$F$1295,MATCH($D1585,Hierarchy!$A$2:$A$1295,0))),"NODE NOT FOUND"))</f>
        <v>Malaysia</v>
      </c>
      <c r="J1585" s="7" t="str">
        <f aca="false">IF($D1585="","",IFERROR(IF(INDEX(Hierarchy!$G$2:$G$1295,MATCH($D1585,Hierarchy!$A$2:$A$1295,0))="","",INDEX(Hierarchy!$G$2:$G$1295,MATCH($D1585,Hierarchy!$A$2:$A$1295,0))),"NODE NOT FOUND"))</f>
        <v>MYS</v>
      </c>
      <c r="K1585" s="7" t="str">
        <f aca="false">IF($D1585="","",IFERROR(IF(INDEX(Hierarchy!$H$2:$H$1295,MATCH($D1585,Hierarchy!$A$2:$A$1295,0))="","",INDEX(Hierarchy!$H$2:$H$1295,MATCH($D1585,Hierarchy!$A$2:$A$1295,0))),"NODE NOT FOUND"))</f>
        <v>Selangor</v>
      </c>
      <c r="L1585" s="7" t="str">
        <f aca="false">IF($D1585="","",IFERROR(IF(INDEX(Hierarchy!$I$2:$I$1295,MATCH($D1585,Hierarchy!$A$2:$A$1295,0))="","",INDEX(Hierarchy!$I$2:$I$1295,MATCH($D1585,Hierarchy!$A$2:$A$1295,0))),"NODE NOT FOUND"))</f>
        <v/>
      </c>
      <c r="M1585" s="17" t="str">
        <f aca="false">IF(B1585="Pre-seeded","Pre-seeded",IF(B1585="Review 2026-09-16","Added from review",IF(C1585="","New",IF(C1585=D1585,"","Changed"))))</f>
        <v>Pre-seeded</v>
      </c>
      <c r="N1585" s="7" t="str">
        <f aca="false">TRIM(SUBSTITUTE(SUBSTITUTE(SUBSTITUTE(" "&amp;TRIM(SUBSTITUTE(SUBSTITUTE(SUBSTITUTE(SUBSTITUTE(SUBSTITUTE(SUBSTITUTE(SUBSTITUTE(SUBSTITUTE(SUBSTITUTE(SUBSTITUTE(SUBSTITUTE(SUBSTITUTE(SUBSTITUTE(SUBSTITUTE(SUBSTITUTE(UPPER(TRIM(A1585)),"[MEMBER]",""),"{MEMBER}",""),"[MEMBER}",""),"MEMBER]",""),"(A)",""),"""",""),"“",""),"”",""),".",""),":",""),",",""),"–"," "),"-"," "),"/"," "),"&amp;"," AND "))&amp;" "," THE "," ")," TOTAL "," ")," OPERATIONS "," "))</f>
        <v>SELANGOR</v>
      </c>
      <c r="O1585" s="17" t="str">
        <f aca="false">IF(COUNTIFS($N$2:$N$2000,N1585,$D$2:$D$2000,"&lt;&gt;"&amp;D1585)&gt;0,"CONFLICT","")</f>
        <v/>
      </c>
      <c r="P1585" s="7"/>
    </row>
    <row r="1586" customFormat="false" ht="15" hidden="false" customHeight="false" outlineLevel="0" collapsed="false">
      <c r="A1586" s="7" t="s">
        <v>2697</v>
      </c>
      <c r="B1586" s="7" t="s">
        <v>1954</v>
      </c>
      <c r="C1586" s="7"/>
      <c r="D1586" s="6" t="s">
        <v>1797</v>
      </c>
      <c r="E1586" s="6" t="s">
        <v>1886</v>
      </c>
      <c r="F1586" s="7" t="str">
        <f aca="false">IF($D1586="","",IFERROR(IF(INDEX(Hierarchy!$B$2:$B$1295,MATCH($D1586,Hierarchy!$A$2:$A$1295,0))="","",INDEX(Hierarchy!$B$2:$B$1295,MATCH($D1586,Hierarchy!$A$2:$A$1295,0))),"NODE NOT FOUND"))</f>
        <v>Multi-region</v>
      </c>
      <c r="G1586" s="7" t="str">
        <f aca="false">IF($D1586="","",IFERROR(IF(INDEX(Hierarchy!$D$2:$D$1295,MATCH($D1586,Hierarchy!$A$2:$A$1295,0))="","",INDEX(Hierarchy!$D$2:$D$1295,MATCH($D1586,Hierarchy!$A$2:$A$1295,0))),"NODE NOT FOUND"))</f>
        <v>Multi-region</v>
      </c>
      <c r="H1586" s="7" t="str">
        <f aca="false">IF($D1586="","",IFERROR(IF(INDEX(Hierarchy!$E$2:$E$1295,MATCH($D1586,Hierarchy!$A$2:$A$1295,0))="","",INDEX(Hierarchy!$E$2:$E$1295,MATCH($D1586,Hierarchy!$A$2:$A$1295,0))),"NODE NOT FOUND"))</f>
        <v/>
      </c>
      <c r="I1586" s="7" t="str">
        <f aca="false">IF($D1586="","",IFERROR(IF(INDEX(Hierarchy!$F$2:$F$1295,MATCH($D1586,Hierarchy!$A$2:$A$1295,0))="","",INDEX(Hierarchy!$F$2:$F$1295,MATCH($D1586,Hierarchy!$A$2:$A$1295,0))),"NODE NOT FOUND"))</f>
        <v/>
      </c>
      <c r="J1586" s="7" t="str">
        <f aca="false">IF($D1586="","",IFERROR(IF(INDEX(Hierarchy!$G$2:$G$1295,MATCH($D1586,Hierarchy!$A$2:$A$1295,0))="","",INDEX(Hierarchy!$G$2:$G$1295,MATCH($D1586,Hierarchy!$A$2:$A$1295,0))),"NODE NOT FOUND"))</f>
        <v/>
      </c>
      <c r="K1586" s="7" t="str">
        <f aca="false">IF($D1586="","",IFERROR(IF(INDEX(Hierarchy!$H$2:$H$1295,MATCH($D1586,Hierarchy!$A$2:$A$1295,0))="","",INDEX(Hierarchy!$H$2:$H$1295,MATCH($D1586,Hierarchy!$A$2:$A$1295,0))),"NODE NOT FOUND"))</f>
        <v/>
      </c>
      <c r="L1586" s="7" t="str">
        <f aca="false">IF($D1586="","",IFERROR(IF(INDEX(Hierarchy!$I$2:$I$1295,MATCH($D1586,Hierarchy!$A$2:$A$1295,0))="","",INDEX(Hierarchy!$I$2:$I$1295,MATCH($D1586,Hierarchy!$A$2:$A$1295,0))),"NODE NOT FOUND"))</f>
        <v/>
      </c>
      <c r="M1586" s="17" t="str">
        <f aca="false">IF(B1586="Pre-seeded","Pre-seeded",IF(B1586="Review 2026-09-16","Added from review",IF(C1586="","New",IF(C1586=D1586,"","Changed"))))</f>
        <v>Added from review</v>
      </c>
      <c r="N1586" s="7" t="str">
        <f aca="false">TRIM(SUBSTITUTE(SUBSTITUTE(SUBSTITUTE(" "&amp;TRIM(SUBSTITUTE(SUBSTITUTE(SUBSTITUTE(SUBSTITUTE(SUBSTITUTE(SUBSTITUTE(SUBSTITUTE(SUBSTITUTE(SUBSTITUTE(SUBSTITUTE(SUBSTITUTE(SUBSTITUTE(SUBSTITUTE(SUBSTITUTE(SUBSTITUTE(UPPER(TRIM(A1586)),"[MEMBER]",""),"{MEMBER}",""),"[MEMBER}",""),"MEMBER]",""),"(A)",""),"""",""),"“",""),"”",""),".",""),":",""),",",""),"–"," "),"-"," "),"/"," "),"&amp;"," AND "))&amp;" "," THE "," ")," TOTAL "," ")," OPERATIONS "," "))</f>
        <v>SEMICONDUCTOR MANUFACTURING FACILITIES IN HIJI JAPAN AND HOUSTON TEXAS</v>
      </c>
      <c r="O1586" s="17" t="str">
        <f aca="false">IF(COUNTIFS($N$2:$N$2000,N1586,$D$2:$D$2000,"&lt;&gt;"&amp;D1586)&gt;0,"CONFLICT","")</f>
        <v/>
      </c>
      <c r="P1586" s="7" t="s">
        <v>2178</v>
      </c>
    </row>
    <row r="1587" customFormat="false" ht="15" hidden="false" customHeight="false" outlineLevel="0" collapsed="false">
      <c r="A1587" s="7" t="s">
        <v>2698</v>
      </c>
      <c r="B1587" s="7" t="s">
        <v>1905</v>
      </c>
      <c r="C1587" s="7" t="s">
        <v>1906</v>
      </c>
      <c r="D1587" s="6" t="s">
        <v>250</v>
      </c>
      <c r="E1587" s="6" t="s">
        <v>1880</v>
      </c>
      <c r="F1587" s="7" t="str">
        <f aca="false">IF($D1587="","",IFERROR(IF(INDEX(Hierarchy!$B$2:$B$1295,MATCH($D1587,Hierarchy!$A$2:$A$1295,0))="","",INDEX(Hierarchy!$B$2:$B$1295,MATCH($D1587,Hierarchy!$A$2:$A$1295,0))),"NODE NOT FOUND"))</f>
        <v>City</v>
      </c>
      <c r="G1587" s="7" t="str">
        <f aca="false">IF($D1587="","",IFERROR(IF(INDEX(Hierarchy!$D$2:$D$1295,MATCH($D1587,Hierarchy!$A$2:$A$1295,0))="","",INDEX(Hierarchy!$D$2:$D$1295,MATCH($D1587,Hierarchy!$A$2:$A$1295,0))),"NODE NOT FOUND"))</f>
        <v>AMER</v>
      </c>
      <c r="H1587" s="7" t="str">
        <f aca="false">IF($D1587="","",IFERROR(IF(INDEX(Hierarchy!$E$2:$E$1295,MATCH($D1587,Hierarchy!$A$2:$A$1295,0))="","",INDEX(Hierarchy!$E$2:$E$1295,MATCH($D1587,Hierarchy!$A$2:$A$1295,0))),"NODE NOT FOUND"))</f>
        <v>North America (NORAM)</v>
      </c>
      <c r="I1587" s="7" t="str">
        <f aca="false">IF($D1587="","",IFERROR(IF(INDEX(Hierarchy!$F$2:$F$1295,MATCH($D1587,Hierarchy!$A$2:$A$1295,0))="","",INDEX(Hierarchy!$F$2:$F$1295,MATCH($D1587,Hierarchy!$A$2:$A$1295,0))),"NODE NOT FOUND"))</f>
        <v>United States</v>
      </c>
      <c r="J1587" s="7" t="str">
        <f aca="false">IF($D1587="","",IFERROR(IF(INDEX(Hierarchy!$G$2:$G$1295,MATCH($D1587,Hierarchy!$A$2:$A$1295,0))="","",INDEX(Hierarchy!$G$2:$G$1295,MATCH($D1587,Hierarchy!$A$2:$A$1295,0))),"NODE NOT FOUND"))</f>
        <v>USA</v>
      </c>
      <c r="K1587" s="7" t="str">
        <f aca="false">IF($D1587="","",IFERROR(IF(INDEX(Hierarchy!$H$2:$H$1295,MATCH($D1587,Hierarchy!$A$2:$A$1295,0))="","",INDEX(Hierarchy!$H$2:$H$1295,MATCH($D1587,Hierarchy!$A$2:$A$1295,0))),"NODE NOT FOUND"))</f>
        <v>Texas</v>
      </c>
      <c r="L1587" s="7" t="str">
        <f aca="false">IF($D1587="","",IFERROR(IF(INDEX(Hierarchy!$I$2:$I$1295,MATCH($D1587,Hierarchy!$A$2:$A$1295,0))="","",INDEX(Hierarchy!$I$2:$I$1295,MATCH($D1587,Hierarchy!$A$2:$A$1295,0))),"NODE NOT FOUND"))</f>
        <v>Houston</v>
      </c>
      <c r="M1587" s="17" t="str">
        <f aca="false">IF(B1587="Pre-seeded","Pre-seeded",IF(B1587="Review 2026-09-16","Added from review",IF(C1587="","New",IF(C1587=D1587,"","Changed"))))</f>
        <v>Changed</v>
      </c>
      <c r="N1587" s="7" t="str">
        <f aca="false">TRIM(SUBSTITUTE(SUBSTITUTE(SUBSTITUTE(" "&amp;TRIM(SUBSTITUTE(SUBSTITUTE(SUBSTITUTE(SUBSTITUTE(SUBSTITUTE(SUBSTITUTE(SUBSTITUTE(SUBSTITUTE(SUBSTITUTE(SUBSTITUTE(SUBSTITUTE(SUBSTITUTE(SUBSTITUTE(SUBSTITUTE(SUBSTITUTE(UPPER(TRIM(A1587)),"[MEMBER]",""),"{MEMBER}",""),"[MEMBER}",""),"MEMBER]",""),"(A)",""),"""",""),"“",""),"”",""),".",""),":",""),",",""),"–"," "),"-"," "),"/"," "),"&amp;"," AND "))&amp;" "," THE "," ")," TOTAL "," ")," OPERATIONS "," "))</f>
        <v>SEMICONDUCTOR MANUFACTURING FACILITIES IN HOUSTON TEXAS</v>
      </c>
      <c r="O1587" s="17" t="str">
        <f aca="false">IF(COUNTIFS($N$2:$N$2000,N1587,$D$2:$D$2000,"&lt;&gt;"&amp;D1587)&gt;0,"CONFLICT","")</f>
        <v/>
      </c>
      <c r="P1587" s="7" t="s">
        <v>2378</v>
      </c>
    </row>
    <row r="1588" customFormat="false" ht="15" hidden="false" customHeight="false" outlineLevel="0" collapsed="false">
      <c r="A1588" s="7" t="s">
        <v>2699</v>
      </c>
      <c r="B1588" s="7" t="s">
        <v>1905</v>
      </c>
      <c r="C1588" s="7" t="s">
        <v>1906</v>
      </c>
      <c r="D1588" s="6" t="s">
        <v>251</v>
      </c>
      <c r="E1588" s="6" t="s">
        <v>1880</v>
      </c>
      <c r="F1588" s="7" t="str">
        <f aca="false">IF($D1588="","",IFERROR(IF(INDEX(Hierarchy!$B$2:$B$1295,MATCH($D1588,Hierarchy!$A$2:$A$1295,0))="","",INDEX(Hierarchy!$B$2:$B$1295,MATCH($D1588,Hierarchy!$A$2:$A$1295,0))),"NODE NOT FOUND"))</f>
        <v>City</v>
      </c>
      <c r="G1588" s="7" t="str">
        <f aca="false">IF($D1588="","",IFERROR(IF(INDEX(Hierarchy!$D$2:$D$1295,MATCH($D1588,Hierarchy!$A$2:$A$1295,0))="","",INDEX(Hierarchy!$D$2:$D$1295,MATCH($D1588,Hierarchy!$A$2:$A$1295,0))),"NODE NOT FOUND"))</f>
        <v>AMER</v>
      </c>
      <c r="H1588" s="7" t="str">
        <f aca="false">IF($D1588="","",IFERROR(IF(INDEX(Hierarchy!$E$2:$E$1295,MATCH($D1588,Hierarchy!$A$2:$A$1295,0))="","",INDEX(Hierarchy!$E$2:$E$1295,MATCH($D1588,Hierarchy!$A$2:$A$1295,0))),"NODE NOT FOUND"))</f>
        <v>North America (NORAM)</v>
      </c>
      <c r="I1588" s="7" t="str">
        <f aca="false">IF($D1588="","",IFERROR(IF(INDEX(Hierarchy!$F$2:$F$1295,MATCH($D1588,Hierarchy!$A$2:$A$1295,0))="","",INDEX(Hierarchy!$F$2:$F$1295,MATCH($D1588,Hierarchy!$A$2:$A$1295,0))),"NODE NOT FOUND"))</f>
        <v>United States</v>
      </c>
      <c r="J1588" s="7" t="str">
        <f aca="false">IF($D1588="","",IFERROR(IF(INDEX(Hierarchy!$G$2:$G$1295,MATCH($D1588,Hierarchy!$A$2:$A$1295,0))="","",INDEX(Hierarchy!$G$2:$G$1295,MATCH($D1588,Hierarchy!$A$2:$A$1295,0))),"NODE NOT FOUND"))</f>
        <v>USA</v>
      </c>
      <c r="K1588" s="7" t="str">
        <f aca="false">IF($D1588="","",IFERROR(IF(INDEX(Hierarchy!$H$2:$H$1295,MATCH($D1588,Hierarchy!$A$2:$A$1295,0))="","",INDEX(Hierarchy!$H$2:$H$1295,MATCH($D1588,Hierarchy!$A$2:$A$1295,0))),"NODE NOT FOUND"))</f>
        <v>Texas</v>
      </c>
      <c r="L1588" s="7" t="str">
        <f aca="false">IF($D1588="","",IFERROR(IF(INDEX(Hierarchy!$I$2:$I$1295,MATCH($D1588,Hierarchy!$A$2:$A$1295,0))="","",INDEX(Hierarchy!$I$2:$I$1295,MATCH($D1588,Hierarchy!$A$2:$A$1295,0))),"NODE NOT FOUND"))</f>
        <v>Plano</v>
      </c>
      <c r="M1588" s="17" t="str">
        <f aca="false">IF(B1588="Pre-seeded","Pre-seeded",IF(B1588="Review 2026-09-16","Added from review",IF(C1588="","New",IF(C1588=D1588,"","Changed"))))</f>
        <v>Changed</v>
      </c>
      <c r="N1588" s="7" t="str">
        <f aca="false">TRIM(SUBSTITUTE(SUBSTITUTE(SUBSTITUTE(" "&amp;TRIM(SUBSTITUTE(SUBSTITUTE(SUBSTITUTE(SUBSTITUTE(SUBSTITUTE(SUBSTITUTE(SUBSTITUTE(SUBSTITUTE(SUBSTITUTE(SUBSTITUTE(SUBSTITUTE(SUBSTITUTE(SUBSTITUTE(SUBSTITUTE(SUBSTITUTE(UPPER(TRIM(A1588)),"[MEMBER]",""),"{MEMBER}",""),"[MEMBER}",""),"MEMBER]",""),"(A)",""),"""",""),"“",""),"”",""),".",""),":",""),",",""),"–"," "),"-"," "),"/"," "),"&amp;"," AND "))&amp;" "," THE "," ")," TOTAL "," ")," OPERATIONS "," "))</f>
        <v>SEMICONDUCTOR MANUFACTURING FACILITIES IN PLANO TEXAS</v>
      </c>
      <c r="O1588" s="17" t="str">
        <f aca="false">IF(COUNTIFS($N$2:$N$2000,N1588,$D$2:$D$2000,"&lt;&gt;"&amp;D1588)&gt;0,"CONFLICT","")</f>
        <v/>
      </c>
      <c r="P1588" s="7" t="s">
        <v>2378</v>
      </c>
    </row>
    <row r="1589" customFormat="false" ht="15" hidden="false" customHeight="false" outlineLevel="0" collapsed="false">
      <c r="A1589" s="7" t="s">
        <v>2700</v>
      </c>
      <c r="B1589" s="7" t="s">
        <v>1954</v>
      </c>
      <c r="C1589" s="7"/>
      <c r="D1589" s="6" t="s">
        <v>732</v>
      </c>
      <c r="E1589" s="6" t="s">
        <v>1880</v>
      </c>
      <c r="F1589" s="7" t="str">
        <f aca="false">IF($D1589="","",IFERROR(IF(INDEX(Hierarchy!$B$2:$B$1295,MATCH($D1589,Hierarchy!$A$2:$A$1295,0))="","",INDEX(Hierarchy!$B$2:$B$1295,MATCH($D1589,Hierarchy!$A$2:$A$1295,0))),"NODE NOT FOUND"))</f>
        <v>City</v>
      </c>
      <c r="G1589" s="7" t="str">
        <f aca="false">IF($D1589="","",IFERROR(IF(INDEX(Hierarchy!$D$2:$D$1295,MATCH($D1589,Hierarchy!$A$2:$A$1295,0))="","",INDEX(Hierarchy!$D$2:$D$1295,MATCH($D1589,Hierarchy!$A$2:$A$1295,0))),"NODE NOT FOUND"))</f>
        <v>EMEA</v>
      </c>
      <c r="H1589" s="7" t="str">
        <f aca="false">IF($D1589="","",IFERROR(IF(INDEX(Hierarchy!$E$2:$E$1295,MATCH($D1589,Hierarchy!$A$2:$A$1295,0))="","",INDEX(Hierarchy!$E$2:$E$1295,MATCH($D1589,Hierarchy!$A$2:$A$1295,0))),"NODE NOT FOUND"))</f>
        <v>Europe</v>
      </c>
      <c r="I1589" s="7" t="str">
        <f aca="false">IF($D1589="","",IFERROR(IF(INDEX(Hierarchy!$F$2:$F$1295,MATCH($D1589,Hierarchy!$A$2:$A$1295,0))="","",INDEX(Hierarchy!$F$2:$F$1295,MATCH($D1589,Hierarchy!$A$2:$A$1295,0))),"NODE NOT FOUND"))</f>
        <v>France</v>
      </c>
      <c r="J1589" s="7" t="str">
        <f aca="false">IF($D1589="","",IFERROR(IF(INDEX(Hierarchy!$G$2:$G$1295,MATCH($D1589,Hierarchy!$A$2:$A$1295,0))="","",INDEX(Hierarchy!$G$2:$G$1295,MATCH($D1589,Hierarchy!$A$2:$A$1295,0))),"NODE NOT FOUND"))</f>
        <v>FRA</v>
      </c>
      <c r="K1589" s="7" t="str">
        <f aca="false">IF($D1589="","",IFERROR(IF(INDEX(Hierarchy!$H$2:$H$1295,MATCH($D1589,Hierarchy!$A$2:$A$1295,0))="","",INDEX(Hierarchy!$H$2:$H$1295,MATCH($D1589,Hierarchy!$A$2:$A$1295,0))),"NODE NOT FOUND"))</f>
        <v>Provence-Alpes-Côte d'Azur</v>
      </c>
      <c r="L1589" s="7" t="str">
        <f aca="false">IF($D1589="","",IFERROR(IF(INDEX(Hierarchy!$I$2:$I$1295,MATCH($D1589,Hierarchy!$A$2:$A$1295,0))="","",INDEX(Hierarchy!$I$2:$I$1295,MATCH($D1589,Hierarchy!$A$2:$A$1295,0))),"NODE NOT FOUND"))</f>
        <v>Nice</v>
      </c>
      <c r="M1589" s="17" t="str">
        <f aca="false">IF(B1589="Pre-seeded","Pre-seeded",IF(B1589="Review 2026-09-16","Added from review",IF(C1589="","New",IF(C1589=D1589,"","Changed"))))</f>
        <v>Added from review</v>
      </c>
      <c r="N1589" s="7" t="str">
        <f aca="false">TRIM(SUBSTITUTE(SUBSTITUTE(SUBSTITUTE(" "&amp;TRIM(SUBSTITUTE(SUBSTITUTE(SUBSTITUTE(SUBSTITUTE(SUBSTITUTE(SUBSTITUTE(SUBSTITUTE(SUBSTITUTE(SUBSTITUTE(SUBSTITUTE(SUBSTITUTE(SUBSTITUTE(SUBSTITUTE(SUBSTITUTE(SUBSTITUTE(UPPER(TRIM(A1589)),"[MEMBER]",""),"{MEMBER}",""),"[MEMBER}",""),"MEMBER]",""),"(A)",""),"""",""),"“",""),"”",""),".",""),":",""),",",""),"–"," "),"-"," "),"/"," "),"&amp;"," AND "))&amp;" "," THE "," ")," TOTAL "," ")," OPERATIONS "," "))</f>
        <v>SEMICONDUCTOR MANUFACTURING FACILITY IN NICE FRANCE</v>
      </c>
      <c r="O1589" s="17" t="str">
        <f aca="false">IF(COUNTIFS($N$2:$N$2000,N1589,$D$2:$D$2000,"&lt;&gt;"&amp;D1589)&gt;0,"CONFLICT","")</f>
        <v/>
      </c>
      <c r="P1589" s="7" t="s">
        <v>2178</v>
      </c>
    </row>
    <row r="1590" customFormat="false" ht="15" hidden="false" customHeight="false" outlineLevel="0" collapsed="false">
      <c r="A1590" s="7" t="s">
        <v>1283</v>
      </c>
      <c r="B1590" s="7" t="s">
        <v>1882</v>
      </c>
      <c r="C1590" s="7" t="s">
        <v>1283</v>
      </c>
      <c r="D1590" s="6" t="s">
        <v>1283</v>
      </c>
      <c r="E1590" s="6" t="s">
        <v>1880</v>
      </c>
      <c r="F1590" s="7" t="str">
        <f aca="false">IF($D1590="","",IFERROR(IF(INDEX(Hierarchy!$B$2:$B$1295,MATCH($D1590,Hierarchy!$A$2:$A$1295,0))="","",INDEX(Hierarchy!$B$2:$B$1295,MATCH($D1590,Hierarchy!$A$2:$A$1295,0))),"NODE NOT FOUND"))</f>
        <v>Country</v>
      </c>
      <c r="G1590" s="7" t="str">
        <f aca="false">IF($D1590="","",IFERROR(IF(INDEX(Hierarchy!$D$2:$D$1295,MATCH($D1590,Hierarchy!$A$2:$A$1295,0))="","",INDEX(Hierarchy!$D$2:$D$1295,MATCH($D1590,Hierarchy!$A$2:$A$1295,0))),"NODE NOT FOUND"))</f>
        <v>EMEA</v>
      </c>
      <c r="H1590" s="7" t="str">
        <f aca="false">IF($D1590="","",IFERROR(IF(INDEX(Hierarchy!$E$2:$E$1295,MATCH($D1590,Hierarchy!$A$2:$A$1295,0))="","",INDEX(Hierarchy!$E$2:$E$1295,MATCH($D1590,Hierarchy!$A$2:$A$1295,0))),"NODE NOT FOUND"))</f>
        <v>Africa</v>
      </c>
      <c r="I1590" s="7" t="str">
        <f aca="false">IF($D1590="","",IFERROR(IF(INDEX(Hierarchy!$F$2:$F$1295,MATCH($D1590,Hierarchy!$A$2:$A$1295,0))="","",INDEX(Hierarchy!$F$2:$F$1295,MATCH($D1590,Hierarchy!$A$2:$A$1295,0))),"NODE NOT FOUND"))</f>
        <v>Senegal</v>
      </c>
      <c r="J1590" s="7" t="str">
        <f aca="false">IF($D1590="","",IFERROR(IF(INDEX(Hierarchy!$G$2:$G$1295,MATCH($D1590,Hierarchy!$A$2:$A$1295,0))="","",INDEX(Hierarchy!$G$2:$G$1295,MATCH($D1590,Hierarchy!$A$2:$A$1295,0))),"NODE NOT FOUND"))</f>
        <v>SEN</v>
      </c>
      <c r="K1590" s="7" t="str">
        <f aca="false">IF($D1590="","",IFERROR(IF(INDEX(Hierarchy!$H$2:$H$1295,MATCH($D1590,Hierarchy!$A$2:$A$1295,0))="","",INDEX(Hierarchy!$H$2:$H$1295,MATCH($D1590,Hierarchy!$A$2:$A$1295,0))),"NODE NOT FOUND"))</f>
        <v/>
      </c>
      <c r="L1590" s="7" t="str">
        <f aca="false">IF($D1590="","",IFERROR(IF(INDEX(Hierarchy!$I$2:$I$1295,MATCH($D1590,Hierarchy!$A$2:$A$1295,0))="","",INDEX(Hierarchy!$I$2:$I$1295,MATCH($D1590,Hierarchy!$A$2:$A$1295,0))),"NODE NOT FOUND"))</f>
        <v/>
      </c>
      <c r="M1590" s="17" t="str">
        <f aca="false">IF(B1590="Pre-seeded","Pre-seeded",IF(B1590="Review 2026-09-16","Added from review",IF(C1590="","New",IF(C1590=D1590,"","Changed"))))</f>
        <v/>
      </c>
      <c r="N1590" s="7" t="str">
        <f aca="false">TRIM(SUBSTITUTE(SUBSTITUTE(SUBSTITUTE(" "&amp;TRIM(SUBSTITUTE(SUBSTITUTE(SUBSTITUTE(SUBSTITUTE(SUBSTITUTE(SUBSTITUTE(SUBSTITUTE(SUBSTITUTE(SUBSTITUTE(SUBSTITUTE(SUBSTITUTE(SUBSTITUTE(SUBSTITUTE(SUBSTITUTE(SUBSTITUTE(UPPER(TRIM(A1590)),"[MEMBER]",""),"{MEMBER}",""),"[MEMBER}",""),"MEMBER]",""),"(A)",""),"""",""),"“",""),"”",""),".",""),":",""),",",""),"–"," "),"-"," "),"/"," "),"&amp;"," AND "))&amp;" "," THE "," ")," TOTAL "," ")," OPERATIONS "," "))</f>
        <v>SENEGAL</v>
      </c>
      <c r="O1590" s="17" t="str">
        <f aca="false">IF(COUNTIFS($N$2:$N$2000,N1590,$D$2:$D$2000,"&lt;&gt;"&amp;D1590)&gt;0,"CONFLICT","")</f>
        <v/>
      </c>
      <c r="P1590" s="7"/>
    </row>
    <row r="1591" customFormat="false" ht="15" hidden="false" customHeight="false" outlineLevel="0" collapsed="false">
      <c r="A1591" s="7" t="s">
        <v>1575</v>
      </c>
      <c r="B1591" s="7" t="s">
        <v>1879</v>
      </c>
      <c r="C1591" s="7"/>
      <c r="D1591" s="6" t="s">
        <v>1575</v>
      </c>
      <c r="E1591" s="6" t="s">
        <v>1880</v>
      </c>
      <c r="F1591" s="7" t="str">
        <f aca="false">IF($D1591="","",IFERROR(IF(INDEX(Hierarchy!$B$2:$B$1295,MATCH($D1591,Hierarchy!$A$2:$A$1295,0))="","",INDEX(Hierarchy!$B$2:$B$1295,MATCH($D1591,Hierarchy!$A$2:$A$1295,0))),"NODE NOT FOUND"))</f>
        <v>State/Province</v>
      </c>
      <c r="G1591" s="7" t="str">
        <f aca="false">IF($D1591="","",IFERROR(IF(INDEX(Hierarchy!$D$2:$D$1295,MATCH($D1591,Hierarchy!$A$2:$A$1295,0))="","",INDEX(Hierarchy!$D$2:$D$1295,MATCH($D1591,Hierarchy!$A$2:$A$1295,0))),"NODE NOT FOUND"))</f>
        <v>APAC</v>
      </c>
      <c r="H1591" s="7" t="str">
        <f aca="false">IF($D1591="","",IFERROR(IF(INDEX(Hierarchy!$E$2:$E$1295,MATCH($D1591,Hierarchy!$A$2:$A$1295,0))="","",INDEX(Hierarchy!$E$2:$E$1295,MATCH($D1591,Hierarchy!$A$2:$A$1295,0))),"NODE NOT FOUND"))</f>
        <v>East Asia</v>
      </c>
      <c r="I1591" s="7" t="str">
        <f aca="false">IF($D1591="","",IFERROR(IF(INDEX(Hierarchy!$F$2:$F$1295,MATCH($D1591,Hierarchy!$A$2:$A$1295,0))="","",INDEX(Hierarchy!$F$2:$F$1295,MATCH($D1591,Hierarchy!$A$2:$A$1295,0))),"NODE NOT FOUND"))</f>
        <v>South Korea</v>
      </c>
      <c r="J1591" s="7" t="str">
        <f aca="false">IF($D1591="","",IFERROR(IF(INDEX(Hierarchy!$G$2:$G$1295,MATCH($D1591,Hierarchy!$A$2:$A$1295,0))="","",INDEX(Hierarchy!$G$2:$G$1295,MATCH($D1591,Hierarchy!$A$2:$A$1295,0))),"NODE NOT FOUND"))</f>
        <v>KOR</v>
      </c>
      <c r="K1591" s="7" t="str">
        <f aca="false">IF($D1591="","",IFERROR(IF(INDEX(Hierarchy!$H$2:$H$1295,MATCH($D1591,Hierarchy!$A$2:$A$1295,0))="","",INDEX(Hierarchy!$H$2:$H$1295,MATCH($D1591,Hierarchy!$A$2:$A$1295,0))),"NODE NOT FOUND"))</f>
        <v>Seoul Special City</v>
      </c>
      <c r="L1591" s="7" t="str">
        <f aca="false">IF($D1591="","",IFERROR(IF(INDEX(Hierarchy!$I$2:$I$1295,MATCH($D1591,Hierarchy!$A$2:$A$1295,0))="","",INDEX(Hierarchy!$I$2:$I$1295,MATCH($D1591,Hierarchy!$A$2:$A$1295,0))),"NODE NOT FOUND"))</f>
        <v/>
      </c>
      <c r="M1591" s="17" t="str">
        <f aca="false">IF(B1591="Pre-seeded","Pre-seeded",IF(B1591="Review 2026-09-16","Added from review",IF(C1591="","New",IF(C1591=D1591,"","Changed"))))</f>
        <v>Pre-seeded</v>
      </c>
      <c r="N1591" s="7" t="str">
        <f aca="false">TRIM(SUBSTITUTE(SUBSTITUTE(SUBSTITUTE(" "&amp;TRIM(SUBSTITUTE(SUBSTITUTE(SUBSTITUTE(SUBSTITUTE(SUBSTITUTE(SUBSTITUTE(SUBSTITUTE(SUBSTITUTE(SUBSTITUTE(SUBSTITUTE(SUBSTITUTE(SUBSTITUTE(SUBSTITUTE(SUBSTITUTE(SUBSTITUTE(UPPER(TRIM(A1591)),"[MEMBER]",""),"{MEMBER}",""),"[MEMBER}",""),"MEMBER]",""),"(A)",""),"""",""),"“",""),"”",""),".",""),":",""),",",""),"–"," "),"-"," "),"/"," "),"&amp;"," AND "))&amp;" "," THE "," ")," TOTAL "," ")," OPERATIONS "," "))</f>
        <v>SEOUL SPECIAL CITY</v>
      </c>
      <c r="O1591" s="17" t="str">
        <f aca="false">IF(COUNTIFS($N$2:$N$2000,N1591,$D$2:$D$2000,"&lt;&gt;"&amp;D1591)&gt;0,"CONFLICT","")</f>
        <v/>
      </c>
      <c r="P1591" s="7"/>
    </row>
    <row r="1592" customFormat="false" ht="15" hidden="false" customHeight="false" outlineLevel="0" collapsed="false">
      <c r="A1592" s="7" t="s">
        <v>941</v>
      </c>
      <c r="B1592" s="7" t="s">
        <v>1879</v>
      </c>
      <c r="C1592" s="7"/>
      <c r="D1592" s="6" t="s">
        <v>941</v>
      </c>
      <c r="E1592" s="6" t="s">
        <v>1880</v>
      </c>
      <c r="F1592" s="7" t="str">
        <f aca="false">IF($D1592="","",IFERROR(IF(INDEX(Hierarchy!$B$2:$B$1295,MATCH($D1592,Hierarchy!$A$2:$A$1295,0))="","",INDEX(Hierarchy!$B$2:$B$1295,MATCH($D1592,Hierarchy!$A$2:$A$1295,0))),"NODE NOT FOUND"))</f>
        <v>Country</v>
      </c>
      <c r="G1592" s="7" t="str">
        <f aca="false">IF($D1592="","",IFERROR(IF(INDEX(Hierarchy!$D$2:$D$1295,MATCH($D1592,Hierarchy!$A$2:$A$1295,0))="","",INDEX(Hierarchy!$D$2:$D$1295,MATCH($D1592,Hierarchy!$A$2:$A$1295,0))),"NODE NOT FOUND"))</f>
        <v>EMEA</v>
      </c>
      <c r="H1592" s="7" t="str">
        <f aca="false">IF($D1592="","",IFERROR(IF(INDEX(Hierarchy!$E$2:$E$1295,MATCH($D1592,Hierarchy!$A$2:$A$1295,0))="","",INDEX(Hierarchy!$E$2:$E$1295,MATCH($D1592,Hierarchy!$A$2:$A$1295,0))),"NODE NOT FOUND"))</f>
        <v>Europe</v>
      </c>
      <c r="I1592" s="7" t="str">
        <f aca="false">IF($D1592="","",IFERROR(IF(INDEX(Hierarchy!$F$2:$F$1295,MATCH($D1592,Hierarchy!$A$2:$A$1295,0))="","",INDEX(Hierarchy!$F$2:$F$1295,MATCH($D1592,Hierarchy!$A$2:$A$1295,0))),"NODE NOT FOUND"))</f>
        <v>Serbia</v>
      </c>
      <c r="J1592" s="7" t="str">
        <f aca="false">IF($D1592="","",IFERROR(IF(INDEX(Hierarchy!$G$2:$G$1295,MATCH($D1592,Hierarchy!$A$2:$A$1295,0))="","",INDEX(Hierarchy!$G$2:$G$1295,MATCH($D1592,Hierarchy!$A$2:$A$1295,0))),"NODE NOT FOUND"))</f>
        <v>SRB</v>
      </c>
      <c r="K1592" s="7" t="str">
        <f aca="false">IF($D1592="","",IFERROR(IF(INDEX(Hierarchy!$H$2:$H$1295,MATCH($D1592,Hierarchy!$A$2:$A$1295,0))="","",INDEX(Hierarchy!$H$2:$H$1295,MATCH($D1592,Hierarchy!$A$2:$A$1295,0))),"NODE NOT FOUND"))</f>
        <v/>
      </c>
      <c r="L1592" s="7" t="str">
        <f aca="false">IF($D1592="","",IFERROR(IF(INDEX(Hierarchy!$I$2:$I$1295,MATCH($D1592,Hierarchy!$A$2:$A$1295,0))="","",INDEX(Hierarchy!$I$2:$I$1295,MATCH($D1592,Hierarchy!$A$2:$A$1295,0))),"NODE NOT FOUND"))</f>
        <v/>
      </c>
      <c r="M1592" s="17" t="str">
        <f aca="false">IF(B1592="Pre-seeded","Pre-seeded",IF(B1592="Review 2026-09-16","Added from review",IF(C1592="","New",IF(C1592=D1592,"","Changed"))))</f>
        <v>Pre-seeded</v>
      </c>
      <c r="N1592" s="7" t="str">
        <f aca="false">TRIM(SUBSTITUTE(SUBSTITUTE(SUBSTITUTE(" "&amp;TRIM(SUBSTITUTE(SUBSTITUTE(SUBSTITUTE(SUBSTITUTE(SUBSTITUTE(SUBSTITUTE(SUBSTITUTE(SUBSTITUTE(SUBSTITUTE(SUBSTITUTE(SUBSTITUTE(SUBSTITUTE(SUBSTITUTE(SUBSTITUTE(SUBSTITUTE(UPPER(TRIM(A1592)),"[MEMBER]",""),"{MEMBER}",""),"[MEMBER}",""),"MEMBER]",""),"(A)",""),"""",""),"“",""),"”",""),".",""),":",""),",",""),"–"," "),"-"," "),"/"," "),"&amp;"," AND "))&amp;" "," THE "," ")," TOTAL "," ")," OPERATIONS "," "))</f>
        <v>SERBIA</v>
      </c>
      <c r="O1592" s="17" t="str">
        <f aca="false">IF(COUNTIFS($N$2:$N$2000,N1592,$D$2:$D$2000,"&lt;&gt;"&amp;D1592)&gt;0,"CONFLICT","")</f>
        <v/>
      </c>
      <c r="P1592" s="7"/>
    </row>
    <row r="1593" customFormat="false" ht="15" hidden="false" customHeight="false" outlineLevel="0" collapsed="false">
      <c r="A1593" s="7" t="s">
        <v>372</v>
      </c>
      <c r="B1593" s="7" t="s">
        <v>1879</v>
      </c>
      <c r="C1593" s="7"/>
      <c r="D1593" s="6" t="s">
        <v>372</v>
      </c>
      <c r="E1593" s="6" t="s">
        <v>1880</v>
      </c>
      <c r="F1593" s="7" t="str">
        <f aca="false">IF($D1593="","",IFERROR(IF(INDEX(Hierarchy!$B$2:$B$1295,MATCH($D1593,Hierarchy!$A$2:$A$1295,0))="","",INDEX(Hierarchy!$B$2:$B$1295,MATCH($D1593,Hierarchy!$A$2:$A$1295,0))),"NODE NOT FOUND"))</f>
        <v>State/Province</v>
      </c>
      <c r="G1593" s="7" t="str">
        <f aca="false">IF($D1593="","",IFERROR(IF(INDEX(Hierarchy!$D$2:$D$1295,MATCH($D1593,Hierarchy!$A$2:$A$1295,0))="","",INDEX(Hierarchy!$D$2:$D$1295,MATCH($D1593,Hierarchy!$A$2:$A$1295,0))),"NODE NOT FOUND"))</f>
        <v>AMER</v>
      </c>
      <c r="H1593" s="7" t="str">
        <f aca="false">IF($D1593="","",IFERROR(IF(INDEX(Hierarchy!$E$2:$E$1295,MATCH($D1593,Hierarchy!$A$2:$A$1295,0))="","",INDEX(Hierarchy!$E$2:$E$1295,MATCH($D1593,Hierarchy!$A$2:$A$1295,0))),"NODE NOT FOUND"))</f>
        <v>Latin America (LATAM)</v>
      </c>
      <c r="I1593" s="7" t="str">
        <f aca="false">IF($D1593="","",IFERROR(IF(INDEX(Hierarchy!$F$2:$F$1295,MATCH($D1593,Hierarchy!$A$2:$A$1295,0))="","",INDEX(Hierarchy!$F$2:$F$1295,MATCH($D1593,Hierarchy!$A$2:$A$1295,0))),"NODE NOT FOUND"))</f>
        <v>Brazil</v>
      </c>
      <c r="J1593" s="7" t="str">
        <f aca="false">IF($D1593="","",IFERROR(IF(INDEX(Hierarchy!$G$2:$G$1295,MATCH($D1593,Hierarchy!$A$2:$A$1295,0))="","",INDEX(Hierarchy!$G$2:$G$1295,MATCH($D1593,Hierarchy!$A$2:$A$1295,0))),"NODE NOT FOUND"))</f>
        <v>BRA</v>
      </c>
      <c r="K1593" s="7" t="str">
        <f aca="false">IF($D1593="","",IFERROR(IF(INDEX(Hierarchy!$H$2:$H$1295,MATCH($D1593,Hierarchy!$A$2:$A$1295,0))="","",INDEX(Hierarchy!$H$2:$H$1295,MATCH($D1593,Hierarchy!$A$2:$A$1295,0))),"NODE NOT FOUND"))</f>
        <v>Sergipe</v>
      </c>
      <c r="L1593" s="7" t="str">
        <f aca="false">IF($D1593="","",IFERROR(IF(INDEX(Hierarchy!$I$2:$I$1295,MATCH($D1593,Hierarchy!$A$2:$A$1295,0))="","",INDEX(Hierarchy!$I$2:$I$1295,MATCH($D1593,Hierarchy!$A$2:$A$1295,0))),"NODE NOT FOUND"))</f>
        <v/>
      </c>
      <c r="M1593" s="17" t="str">
        <f aca="false">IF(B1593="Pre-seeded","Pre-seeded",IF(B1593="Review 2026-09-16","Added from review",IF(C1593="","New",IF(C1593=D1593,"","Changed"))))</f>
        <v>Pre-seeded</v>
      </c>
      <c r="N1593" s="7" t="str">
        <f aca="false">TRIM(SUBSTITUTE(SUBSTITUTE(SUBSTITUTE(" "&amp;TRIM(SUBSTITUTE(SUBSTITUTE(SUBSTITUTE(SUBSTITUTE(SUBSTITUTE(SUBSTITUTE(SUBSTITUTE(SUBSTITUTE(SUBSTITUTE(SUBSTITUTE(SUBSTITUTE(SUBSTITUTE(SUBSTITUTE(SUBSTITUTE(SUBSTITUTE(UPPER(TRIM(A1593)),"[MEMBER]",""),"{MEMBER}",""),"[MEMBER}",""),"MEMBER]",""),"(A)",""),"""",""),"“",""),"”",""),".",""),":",""),",",""),"–"," "),"-"," "),"/"," "),"&amp;"," AND "))&amp;" "," THE "," ")," TOTAL "," ")," OPERATIONS "," "))</f>
        <v>SERGIPE</v>
      </c>
      <c r="O1593" s="17" t="str">
        <f aca="false">IF(COUNTIFS($N$2:$N$2000,N1593,$D$2:$D$2000,"&lt;&gt;"&amp;D1593)&gt;0,"CONFLICT","")</f>
        <v/>
      </c>
      <c r="P1593" s="7"/>
    </row>
    <row r="1594" customFormat="false" ht="15" hidden="false" customHeight="false" outlineLevel="0" collapsed="false">
      <c r="A1594" s="7" t="s">
        <v>1285</v>
      </c>
      <c r="B1594" s="7" t="s">
        <v>1879</v>
      </c>
      <c r="C1594" s="7"/>
      <c r="D1594" s="6" t="s">
        <v>1285</v>
      </c>
      <c r="E1594" s="6" t="s">
        <v>1880</v>
      </c>
      <c r="F1594" s="7" t="str">
        <f aca="false">IF($D1594="","",IFERROR(IF(INDEX(Hierarchy!$B$2:$B$1295,MATCH($D1594,Hierarchy!$A$2:$A$1295,0))="","",INDEX(Hierarchy!$B$2:$B$1295,MATCH($D1594,Hierarchy!$A$2:$A$1295,0))),"NODE NOT FOUND"))</f>
        <v>Country</v>
      </c>
      <c r="G1594" s="7" t="str">
        <f aca="false">IF($D1594="","",IFERROR(IF(INDEX(Hierarchy!$D$2:$D$1295,MATCH($D1594,Hierarchy!$A$2:$A$1295,0))="","",INDEX(Hierarchy!$D$2:$D$1295,MATCH($D1594,Hierarchy!$A$2:$A$1295,0))),"NODE NOT FOUND"))</f>
        <v>EMEA</v>
      </c>
      <c r="H1594" s="7" t="str">
        <f aca="false">IF($D1594="","",IFERROR(IF(INDEX(Hierarchy!$E$2:$E$1295,MATCH($D1594,Hierarchy!$A$2:$A$1295,0))="","",INDEX(Hierarchy!$E$2:$E$1295,MATCH($D1594,Hierarchy!$A$2:$A$1295,0))),"NODE NOT FOUND"))</f>
        <v>Africa</v>
      </c>
      <c r="I1594" s="7" t="str">
        <f aca="false">IF($D1594="","",IFERROR(IF(INDEX(Hierarchy!$F$2:$F$1295,MATCH($D1594,Hierarchy!$A$2:$A$1295,0))="","",INDEX(Hierarchy!$F$2:$F$1295,MATCH($D1594,Hierarchy!$A$2:$A$1295,0))),"NODE NOT FOUND"))</f>
        <v>Seychelles</v>
      </c>
      <c r="J1594" s="7" t="str">
        <f aca="false">IF($D1594="","",IFERROR(IF(INDEX(Hierarchy!$G$2:$G$1295,MATCH($D1594,Hierarchy!$A$2:$A$1295,0))="","",INDEX(Hierarchy!$G$2:$G$1295,MATCH($D1594,Hierarchy!$A$2:$A$1295,0))),"NODE NOT FOUND"))</f>
        <v>SYC</v>
      </c>
      <c r="K1594" s="7" t="str">
        <f aca="false">IF($D1594="","",IFERROR(IF(INDEX(Hierarchy!$H$2:$H$1295,MATCH($D1594,Hierarchy!$A$2:$A$1295,0))="","",INDEX(Hierarchy!$H$2:$H$1295,MATCH($D1594,Hierarchy!$A$2:$A$1295,0))),"NODE NOT FOUND"))</f>
        <v/>
      </c>
      <c r="L1594" s="7" t="str">
        <f aca="false">IF($D1594="","",IFERROR(IF(INDEX(Hierarchy!$I$2:$I$1295,MATCH($D1594,Hierarchy!$A$2:$A$1295,0))="","",INDEX(Hierarchy!$I$2:$I$1295,MATCH($D1594,Hierarchy!$A$2:$A$1295,0))),"NODE NOT FOUND"))</f>
        <v/>
      </c>
      <c r="M1594" s="17" t="str">
        <f aca="false">IF(B1594="Pre-seeded","Pre-seeded",IF(B1594="Review 2026-09-16","Added from review",IF(C1594="","New",IF(C1594=D1594,"","Changed"))))</f>
        <v>Pre-seeded</v>
      </c>
      <c r="N1594" s="7" t="str">
        <f aca="false">TRIM(SUBSTITUTE(SUBSTITUTE(SUBSTITUTE(" "&amp;TRIM(SUBSTITUTE(SUBSTITUTE(SUBSTITUTE(SUBSTITUTE(SUBSTITUTE(SUBSTITUTE(SUBSTITUTE(SUBSTITUTE(SUBSTITUTE(SUBSTITUTE(SUBSTITUTE(SUBSTITUTE(SUBSTITUTE(SUBSTITUTE(SUBSTITUTE(UPPER(TRIM(A1594)),"[MEMBER]",""),"{MEMBER}",""),"[MEMBER}",""),"MEMBER]",""),"(A)",""),"""",""),"“",""),"”",""),".",""),":",""),",",""),"–"," "),"-"," "),"/"," "),"&amp;"," AND "))&amp;" "," THE "," ")," TOTAL "," ")," OPERATIONS "," "))</f>
        <v>SEYCHELLES</v>
      </c>
      <c r="O1594" s="17" t="str">
        <f aca="false">IF(COUNTIFS($N$2:$N$2000,N1594,$D$2:$D$2000,"&lt;&gt;"&amp;D1594)&gt;0,"CONFLICT","")</f>
        <v/>
      </c>
      <c r="P1594" s="7"/>
    </row>
    <row r="1595" customFormat="false" ht="15" hidden="false" customHeight="false" outlineLevel="0" collapsed="false">
      <c r="A1595" s="7" t="s">
        <v>1532</v>
      </c>
      <c r="B1595" s="7" t="s">
        <v>1879</v>
      </c>
      <c r="C1595" s="7"/>
      <c r="D1595" s="6" t="s">
        <v>1532</v>
      </c>
      <c r="E1595" s="6" t="s">
        <v>1880</v>
      </c>
      <c r="F1595" s="7" t="str">
        <f aca="false">IF($D1595="","",IFERROR(IF(INDEX(Hierarchy!$B$2:$B$1295,MATCH($D1595,Hierarchy!$A$2:$A$1295,0))="","",INDEX(Hierarchy!$B$2:$B$1295,MATCH($D1595,Hierarchy!$A$2:$A$1295,0))),"NODE NOT FOUND"))</f>
        <v>State/Province</v>
      </c>
      <c r="G1595" s="7" t="str">
        <f aca="false">IF($D1595="","",IFERROR(IF(INDEX(Hierarchy!$D$2:$D$1295,MATCH($D1595,Hierarchy!$A$2:$A$1295,0))="","",INDEX(Hierarchy!$D$2:$D$1295,MATCH($D1595,Hierarchy!$A$2:$A$1295,0))),"NODE NOT FOUND"))</f>
        <v>APAC</v>
      </c>
      <c r="H1595" s="7" t="str">
        <f aca="false">IF($D1595="","",IFERROR(IF(INDEX(Hierarchy!$E$2:$E$1295,MATCH($D1595,Hierarchy!$A$2:$A$1295,0))="","",INDEX(Hierarchy!$E$2:$E$1295,MATCH($D1595,Hierarchy!$A$2:$A$1295,0))),"NODE NOT FOUND"))</f>
        <v>East Asia</v>
      </c>
      <c r="I1595" s="7" t="str">
        <f aca="false">IF($D1595="","",IFERROR(IF(INDEX(Hierarchy!$F$2:$F$1295,MATCH($D1595,Hierarchy!$A$2:$A$1295,0))="","",INDEX(Hierarchy!$F$2:$F$1295,MATCH($D1595,Hierarchy!$A$2:$A$1295,0))),"NODE NOT FOUND"))</f>
        <v>China</v>
      </c>
      <c r="J1595" s="7" t="str">
        <f aca="false">IF($D1595="","",IFERROR(IF(INDEX(Hierarchy!$G$2:$G$1295,MATCH($D1595,Hierarchy!$A$2:$A$1295,0))="","",INDEX(Hierarchy!$G$2:$G$1295,MATCH($D1595,Hierarchy!$A$2:$A$1295,0))),"NODE NOT FOUND"))</f>
        <v>CHN</v>
      </c>
      <c r="K1595" s="7" t="str">
        <f aca="false">IF($D1595="","",IFERROR(IF(INDEX(Hierarchy!$H$2:$H$1295,MATCH($D1595,Hierarchy!$A$2:$A$1295,0))="","",INDEX(Hierarchy!$H$2:$H$1295,MATCH($D1595,Hierarchy!$A$2:$A$1295,0))),"NODE NOT FOUND"))</f>
        <v>Shaanxi</v>
      </c>
      <c r="L1595" s="7" t="str">
        <f aca="false">IF($D1595="","",IFERROR(IF(INDEX(Hierarchy!$I$2:$I$1295,MATCH($D1595,Hierarchy!$A$2:$A$1295,0))="","",INDEX(Hierarchy!$I$2:$I$1295,MATCH($D1595,Hierarchy!$A$2:$A$1295,0))),"NODE NOT FOUND"))</f>
        <v/>
      </c>
      <c r="M1595" s="17" t="str">
        <f aca="false">IF(B1595="Pre-seeded","Pre-seeded",IF(B1595="Review 2026-09-16","Added from review",IF(C1595="","New",IF(C1595=D1595,"","Changed"))))</f>
        <v>Pre-seeded</v>
      </c>
      <c r="N1595" s="7" t="str">
        <f aca="false">TRIM(SUBSTITUTE(SUBSTITUTE(SUBSTITUTE(" "&amp;TRIM(SUBSTITUTE(SUBSTITUTE(SUBSTITUTE(SUBSTITUTE(SUBSTITUTE(SUBSTITUTE(SUBSTITUTE(SUBSTITUTE(SUBSTITUTE(SUBSTITUTE(SUBSTITUTE(SUBSTITUTE(SUBSTITUTE(SUBSTITUTE(SUBSTITUTE(UPPER(TRIM(A1595)),"[MEMBER]",""),"{MEMBER}",""),"[MEMBER}",""),"MEMBER]",""),"(A)",""),"""",""),"“",""),"”",""),".",""),":",""),",",""),"–"," "),"-"," "),"/"," "),"&amp;"," AND "))&amp;" "," THE "," ")," TOTAL "," ")," OPERATIONS "," "))</f>
        <v>SHAANXI</v>
      </c>
      <c r="O1595" s="17" t="str">
        <f aca="false">IF(COUNTIFS($N$2:$N$2000,N1595,$D$2:$D$2000,"&lt;&gt;"&amp;D1595)&gt;0,"CONFLICT","")</f>
        <v/>
      </c>
      <c r="P1595" s="7"/>
    </row>
    <row r="1596" customFormat="false" ht="15" hidden="false" customHeight="false" outlineLevel="0" collapsed="false">
      <c r="A1596" s="7" t="s">
        <v>1534</v>
      </c>
      <c r="B1596" s="7" t="s">
        <v>1879</v>
      </c>
      <c r="C1596" s="7"/>
      <c r="D1596" s="6" t="s">
        <v>1534</v>
      </c>
      <c r="E1596" s="6" t="s">
        <v>1880</v>
      </c>
      <c r="F1596" s="7" t="str">
        <f aca="false">IF($D1596="","",IFERROR(IF(INDEX(Hierarchy!$B$2:$B$1295,MATCH($D1596,Hierarchy!$A$2:$A$1295,0))="","",INDEX(Hierarchy!$B$2:$B$1295,MATCH($D1596,Hierarchy!$A$2:$A$1295,0))),"NODE NOT FOUND"))</f>
        <v>State/Province</v>
      </c>
      <c r="G1596" s="7" t="str">
        <f aca="false">IF($D1596="","",IFERROR(IF(INDEX(Hierarchy!$D$2:$D$1295,MATCH($D1596,Hierarchy!$A$2:$A$1295,0))="","",INDEX(Hierarchy!$D$2:$D$1295,MATCH($D1596,Hierarchy!$A$2:$A$1295,0))),"NODE NOT FOUND"))</f>
        <v>APAC</v>
      </c>
      <c r="H1596" s="7" t="str">
        <f aca="false">IF($D1596="","",IFERROR(IF(INDEX(Hierarchy!$E$2:$E$1295,MATCH($D1596,Hierarchy!$A$2:$A$1295,0))="","",INDEX(Hierarchy!$E$2:$E$1295,MATCH($D1596,Hierarchy!$A$2:$A$1295,0))),"NODE NOT FOUND"))</f>
        <v>East Asia</v>
      </c>
      <c r="I1596" s="7" t="str">
        <f aca="false">IF($D1596="","",IFERROR(IF(INDEX(Hierarchy!$F$2:$F$1295,MATCH($D1596,Hierarchy!$A$2:$A$1295,0))="","",INDEX(Hierarchy!$F$2:$F$1295,MATCH($D1596,Hierarchy!$A$2:$A$1295,0))),"NODE NOT FOUND"))</f>
        <v>China</v>
      </c>
      <c r="J1596" s="7" t="str">
        <f aca="false">IF($D1596="","",IFERROR(IF(INDEX(Hierarchy!$G$2:$G$1295,MATCH($D1596,Hierarchy!$A$2:$A$1295,0))="","",INDEX(Hierarchy!$G$2:$G$1295,MATCH($D1596,Hierarchy!$A$2:$A$1295,0))),"NODE NOT FOUND"))</f>
        <v>CHN</v>
      </c>
      <c r="K1596" s="7" t="str">
        <f aca="false">IF($D1596="","",IFERROR(IF(INDEX(Hierarchy!$H$2:$H$1295,MATCH($D1596,Hierarchy!$A$2:$A$1295,0))="","",INDEX(Hierarchy!$H$2:$H$1295,MATCH($D1596,Hierarchy!$A$2:$A$1295,0))),"NODE NOT FOUND"))</f>
        <v>Shandong</v>
      </c>
      <c r="L1596" s="7" t="str">
        <f aca="false">IF($D1596="","",IFERROR(IF(INDEX(Hierarchy!$I$2:$I$1295,MATCH($D1596,Hierarchy!$A$2:$A$1295,0))="","",INDEX(Hierarchy!$I$2:$I$1295,MATCH($D1596,Hierarchy!$A$2:$A$1295,0))),"NODE NOT FOUND"))</f>
        <v/>
      </c>
      <c r="M1596" s="17" t="str">
        <f aca="false">IF(B1596="Pre-seeded","Pre-seeded",IF(B1596="Review 2026-09-16","Added from review",IF(C1596="","New",IF(C1596=D1596,"","Changed"))))</f>
        <v>Pre-seeded</v>
      </c>
      <c r="N1596" s="7" t="str">
        <f aca="false">TRIM(SUBSTITUTE(SUBSTITUTE(SUBSTITUTE(" "&amp;TRIM(SUBSTITUTE(SUBSTITUTE(SUBSTITUTE(SUBSTITUTE(SUBSTITUTE(SUBSTITUTE(SUBSTITUTE(SUBSTITUTE(SUBSTITUTE(SUBSTITUTE(SUBSTITUTE(SUBSTITUTE(SUBSTITUTE(SUBSTITUTE(SUBSTITUTE(UPPER(TRIM(A1596)),"[MEMBER]",""),"{MEMBER}",""),"[MEMBER}",""),"MEMBER]",""),"(A)",""),"""",""),"“",""),"”",""),".",""),":",""),",",""),"–"," "),"-"," "),"/"," "),"&amp;"," AND "))&amp;" "," THE "," ")," TOTAL "," ")," OPERATIONS "," "))</f>
        <v>SHANDONG</v>
      </c>
      <c r="O1596" s="17" t="str">
        <f aca="false">IF(COUNTIFS($N$2:$N$2000,N1596,$D$2:$D$2000,"&lt;&gt;"&amp;D1596)&gt;0,"CONFLICT","")</f>
        <v/>
      </c>
      <c r="P1596" s="7"/>
    </row>
    <row r="1597" customFormat="false" ht="15" hidden="false" customHeight="false" outlineLevel="0" collapsed="false">
      <c r="A1597" s="7" t="s">
        <v>1548</v>
      </c>
      <c r="B1597" s="7" t="s">
        <v>1882</v>
      </c>
      <c r="C1597" s="7" t="s">
        <v>1548</v>
      </c>
      <c r="D1597" s="6" t="s">
        <v>1548</v>
      </c>
      <c r="E1597" s="6" t="s">
        <v>1880</v>
      </c>
      <c r="F1597" s="7" t="str">
        <f aca="false">IF($D1597="","",IFERROR(IF(INDEX(Hierarchy!$B$2:$B$1295,MATCH($D1597,Hierarchy!$A$2:$A$1295,0))="","",INDEX(Hierarchy!$B$2:$B$1295,MATCH($D1597,Hierarchy!$A$2:$A$1295,0))),"NODE NOT FOUND"))</f>
        <v>City</v>
      </c>
      <c r="G1597" s="7" t="str">
        <f aca="false">IF($D1597="","",IFERROR(IF(INDEX(Hierarchy!$D$2:$D$1295,MATCH($D1597,Hierarchy!$A$2:$A$1295,0))="","",INDEX(Hierarchy!$D$2:$D$1295,MATCH($D1597,Hierarchy!$A$2:$A$1295,0))),"NODE NOT FOUND"))</f>
        <v>APAC</v>
      </c>
      <c r="H1597" s="7" t="str">
        <f aca="false">IF($D1597="","",IFERROR(IF(INDEX(Hierarchy!$E$2:$E$1295,MATCH($D1597,Hierarchy!$A$2:$A$1295,0))="","",INDEX(Hierarchy!$E$2:$E$1295,MATCH($D1597,Hierarchy!$A$2:$A$1295,0))),"NODE NOT FOUND"))</f>
        <v>East Asia</v>
      </c>
      <c r="I1597" s="7" t="str">
        <f aca="false">IF($D1597="","",IFERROR(IF(INDEX(Hierarchy!$F$2:$F$1295,MATCH($D1597,Hierarchy!$A$2:$A$1295,0))="","",INDEX(Hierarchy!$F$2:$F$1295,MATCH($D1597,Hierarchy!$A$2:$A$1295,0))),"NODE NOT FOUND"))</f>
        <v>China</v>
      </c>
      <c r="J1597" s="7" t="str">
        <f aca="false">IF($D1597="","",IFERROR(IF(INDEX(Hierarchy!$G$2:$G$1295,MATCH($D1597,Hierarchy!$A$2:$A$1295,0))="","",INDEX(Hierarchy!$G$2:$G$1295,MATCH($D1597,Hierarchy!$A$2:$A$1295,0))),"NODE NOT FOUND"))</f>
        <v>CHN</v>
      </c>
      <c r="K1597" s="7" t="str">
        <f aca="false">IF($D1597="","",IFERROR(IF(INDEX(Hierarchy!$H$2:$H$1295,MATCH($D1597,Hierarchy!$A$2:$A$1295,0))="","",INDEX(Hierarchy!$H$2:$H$1295,MATCH($D1597,Hierarchy!$A$2:$A$1295,0))),"NODE NOT FOUND"))</f>
        <v>Shanghai</v>
      </c>
      <c r="L1597" s="7" t="str">
        <f aca="false">IF($D1597="","",IFERROR(IF(INDEX(Hierarchy!$I$2:$I$1295,MATCH($D1597,Hierarchy!$A$2:$A$1295,0))="","",INDEX(Hierarchy!$I$2:$I$1295,MATCH($D1597,Hierarchy!$A$2:$A$1295,0))),"NODE NOT FOUND"))</f>
        <v>Shanghai</v>
      </c>
      <c r="M1597" s="17" t="str">
        <f aca="false">IF(B1597="Pre-seeded","Pre-seeded",IF(B1597="Review 2026-09-16","Added from review",IF(C1597="","New",IF(C1597=D1597,"","Changed"))))</f>
        <v/>
      </c>
      <c r="N1597" s="7" t="str">
        <f aca="false">TRIM(SUBSTITUTE(SUBSTITUTE(SUBSTITUTE(" "&amp;TRIM(SUBSTITUTE(SUBSTITUTE(SUBSTITUTE(SUBSTITUTE(SUBSTITUTE(SUBSTITUTE(SUBSTITUTE(SUBSTITUTE(SUBSTITUTE(SUBSTITUTE(SUBSTITUTE(SUBSTITUTE(SUBSTITUTE(SUBSTITUTE(SUBSTITUTE(UPPER(TRIM(A1597)),"[MEMBER]",""),"{MEMBER}",""),"[MEMBER}",""),"MEMBER]",""),"(A)",""),"""",""),"“",""),"”",""),".",""),":",""),",",""),"–"," "),"-"," "),"/"," "),"&amp;"," AND "))&amp;" "," THE "," ")," TOTAL "," ")," OPERATIONS "," "))</f>
        <v>SHANGHAI</v>
      </c>
      <c r="O1597" s="17" t="str">
        <f aca="false">IF(COUNTIFS($N$2:$N$2000,N1597,$D$2:$D$2000,"&lt;&gt;"&amp;D1597)&gt;0,"CONFLICT","")</f>
        <v/>
      </c>
      <c r="P1597" s="7"/>
    </row>
    <row r="1598" customFormat="false" ht="15" hidden="false" customHeight="false" outlineLevel="0" collapsed="false">
      <c r="A1598" s="7" t="s">
        <v>1536</v>
      </c>
      <c r="B1598" s="7" t="s">
        <v>1879</v>
      </c>
      <c r="C1598" s="7"/>
      <c r="D1598" s="6" t="s">
        <v>1536</v>
      </c>
      <c r="E1598" s="6" t="s">
        <v>1880</v>
      </c>
      <c r="F1598" s="7" t="str">
        <f aca="false">IF($D1598="","",IFERROR(IF(INDEX(Hierarchy!$B$2:$B$1295,MATCH($D1598,Hierarchy!$A$2:$A$1295,0))="","",INDEX(Hierarchy!$B$2:$B$1295,MATCH($D1598,Hierarchy!$A$2:$A$1295,0))),"NODE NOT FOUND"))</f>
        <v>State/Province</v>
      </c>
      <c r="G1598" s="7" t="str">
        <f aca="false">IF($D1598="","",IFERROR(IF(INDEX(Hierarchy!$D$2:$D$1295,MATCH($D1598,Hierarchy!$A$2:$A$1295,0))="","",INDEX(Hierarchy!$D$2:$D$1295,MATCH($D1598,Hierarchy!$A$2:$A$1295,0))),"NODE NOT FOUND"))</f>
        <v>APAC</v>
      </c>
      <c r="H1598" s="7" t="str">
        <f aca="false">IF($D1598="","",IFERROR(IF(INDEX(Hierarchy!$E$2:$E$1295,MATCH($D1598,Hierarchy!$A$2:$A$1295,0))="","",INDEX(Hierarchy!$E$2:$E$1295,MATCH($D1598,Hierarchy!$A$2:$A$1295,0))),"NODE NOT FOUND"))</f>
        <v>East Asia</v>
      </c>
      <c r="I1598" s="7" t="str">
        <f aca="false">IF($D1598="","",IFERROR(IF(INDEX(Hierarchy!$F$2:$F$1295,MATCH($D1598,Hierarchy!$A$2:$A$1295,0))="","",INDEX(Hierarchy!$F$2:$F$1295,MATCH($D1598,Hierarchy!$A$2:$A$1295,0))),"NODE NOT FOUND"))</f>
        <v>China</v>
      </c>
      <c r="J1598" s="7" t="str">
        <f aca="false">IF($D1598="","",IFERROR(IF(INDEX(Hierarchy!$G$2:$G$1295,MATCH($D1598,Hierarchy!$A$2:$A$1295,0))="","",INDEX(Hierarchy!$G$2:$G$1295,MATCH($D1598,Hierarchy!$A$2:$A$1295,0))),"NODE NOT FOUND"))</f>
        <v>CHN</v>
      </c>
      <c r="K1598" s="7" t="str">
        <f aca="false">IF($D1598="","",IFERROR(IF(INDEX(Hierarchy!$H$2:$H$1295,MATCH($D1598,Hierarchy!$A$2:$A$1295,0))="","",INDEX(Hierarchy!$H$2:$H$1295,MATCH($D1598,Hierarchy!$A$2:$A$1295,0))),"NODE NOT FOUND"))</f>
        <v>Shanxi</v>
      </c>
      <c r="L1598" s="7" t="str">
        <f aca="false">IF($D1598="","",IFERROR(IF(INDEX(Hierarchy!$I$2:$I$1295,MATCH($D1598,Hierarchy!$A$2:$A$1295,0))="","",INDEX(Hierarchy!$I$2:$I$1295,MATCH($D1598,Hierarchy!$A$2:$A$1295,0))),"NODE NOT FOUND"))</f>
        <v/>
      </c>
      <c r="M1598" s="17" t="str">
        <f aca="false">IF(B1598="Pre-seeded","Pre-seeded",IF(B1598="Review 2026-09-16","Added from review",IF(C1598="","New",IF(C1598=D1598,"","Changed"))))</f>
        <v>Pre-seeded</v>
      </c>
      <c r="N1598" s="7" t="str">
        <f aca="false">TRIM(SUBSTITUTE(SUBSTITUTE(SUBSTITUTE(" "&amp;TRIM(SUBSTITUTE(SUBSTITUTE(SUBSTITUTE(SUBSTITUTE(SUBSTITUTE(SUBSTITUTE(SUBSTITUTE(SUBSTITUTE(SUBSTITUTE(SUBSTITUTE(SUBSTITUTE(SUBSTITUTE(SUBSTITUTE(SUBSTITUTE(SUBSTITUTE(UPPER(TRIM(A1598)),"[MEMBER]",""),"{MEMBER}",""),"[MEMBER}",""),"MEMBER]",""),"(A)",""),"""",""),"“",""),"”",""),".",""),":",""),",",""),"–"," "),"-"," "),"/"," "),"&amp;"," AND "))&amp;" "," THE "," ")," TOTAL "," ")," OPERATIONS "," "))</f>
        <v>SHANXI</v>
      </c>
      <c r="O1598" s="17" t="str">
        <f aca="false">IF(COUNTIFS($N$2:$N$2000,N1598,$D$2:$D$2000,"&lt;&gt;"&amp;D1598)&gt;0,"CONFLICT","")</f>
        <v/>
      </c>
      <c r="P1598" s="7"/>
    </row>
    <row r="1599" customFormat="false" ht="15" hidden="false" customHeight="false" outlineLevel="0" collapsed="false">
      <c r="A1599" s="7" t="s">
        <v>1044</v>
      </c>
      <c r="B1599" s="7" t="s">
        <v>1879</v>
      </c>
      <c r="C1599" s="7"/>
      <c r="D1599" s="6" t="s">
        <v>1044</v>
      </c>
      <c r="E1599" s="6" t="s">
        <v>1880</v>
      </c>
      <c r="F1599" s="7" t="str">
        <f aca="false">IF($D1599="","",IFERROR(IF(INDEX(Hierarchy!$B$2:$B$1295,MATCH($D1599,Hierarchy!$A$2:$A$1295,0))="","",INDEX(Hierarchy!$B$2:$B$1295,MATCH($D1599,Hierarchy!$A$2:$A$1295,0))),"NODE NOT FOUND"))</f>
        <v>State/Province</v>
      </c>
      <c r="G1599" s="7" t="str">
        <f aca="false">IF($D1599="","",IFERROR(IF(INDEX(Hierarchy!$D$2:$D$1295,MATCH($D1599,Hierarchy!$A$2:$A$1295,0))="","",INDEX(Hierarchy!$D$2:$D$1295,MATCH($D1599,Hierarchy!$A$2:$A$1295,0))),"NODE NOT FOUND"))</f>
        <v>EMEA</v>
      </c>
      <c r="H1599" s="7" t="str">
        <f aca="false">IF($D1599="","",IFERROR(IF(INDEX(Hierarchy!$E$2:$E$1295,MATCH($D1599,Hierarchy!$A$2:$A$1295,0))="","",INDEX(Hierarchy!$E$2:$E$1295,MATCH($D1599,Hierarchy!$A$2:$A$1295,0))),"NODE NOT FOUND"))</f>
        <v>Middle East</v>
      </c>
      <c r="I1599" s="7" t="str">
        <f aca="false">IF($D1599="","",IFERROR(IF(INDEX(Hierarchy!$F$2:$F$1295,MATCH($D1599,Hierarchy!$A$2:$A$1295,0))="","",INDEX(Hierarchy!$F$2:$F$1295,MATCH($D1599,Hierarchy!$A$2:$A$1295,0))),"NODE NOT FOUND"))</f>
        <v>United Arab Emirates</v>
      </c>
      <c r="J1599" s="7" t="str">
        <f aca="false">IF($D1599="","",IFERROR(IF(INDEX(Hierarchy!$G$2:$G$1295,MATCH($D1599,Hierarchy!$A$2:$A$1295,0))="","",INDEX(Hierarchy!$G$2:$G$1295,MATCH($D1599,Hierarchy!$A$2:$A$1295,0))),"NODE NOT FOUND"))</f>
        <v>ARE</v>
      </c>
      <c r="K1599" s="7" t="str">
        <f aca="false">IF($D1599="","",IFERROR(IF(INDEX(Hierarchy!$H$2:$H$1295,MATCH($D1599,Hierarchy!$A$2:$A$1295,0))="","",INDEX(Hierarchy!$H$2:$H$1295,MATCH($D1599,Hierarchy!$A$2:$A$1295,0))),"NODE NOT FOUND"))</f>
        <v>Sharjah</v>
      </c>
      <c r="L1599" s="7" t="str">
        <f aca="false">IF($D1599="","",IFERROR(IF(INDEX(Hierarchy!$I$2:$I$1295,MATCH($D1599,Hierarchy!$A$2:$A$1295,0))="","",INDEX(Hierarchy!$I$2:$I$1295,MATCH($D1599,Hierarchy!$A$2:$A$1295,0))),"NODE NOT FOUND"))</f>
        <v/>
      </c>
      <c r="M1599" s="17" t="str">
        <f aca="false">IF(B1599="Pre-seeded","Pre-seeded",IF(B1599="Review 2026-09-16","Added from review",IF(C1599="","New",IF(C1599=D1599,"","Changed"))))</f>
        <v>Pre-seeded</v>
      </c>
      <c r="N1599" s="7" t="str">
        <f aca="false">TRIM(SUBSTITUTE(SUBSTITUTE(SUBSTITUTE(" "&amp;TRIM(SUBSTITUTE(SUBSTITUTE(SUBSTITUTE(SUBSTITUTE(SUBSTITUTE(SUBSTITUTE(SUBSTITUTE(SUBSTITUTE(SUBSTITUTE(SUBSTITUTE(SUBSTITUTE(SUBSTITUTE(SUBSTITUTE(SUBSTITUTE(SUBSTITUTE(UPPER(TRIM(A1599)),"[MEMBER]",""),"{MEMBER}",""),"[MEMBER}",""),"MEMBER]",""),"(A)",""),"""",""),"“",""),"”",""),".",""),":",""),",",""),"–"," "),"-"," "),"/"," "),"&amp;"," AND "))&amp;" "," THE "," ")," TOTAL "," ")," OPERATIONS "," "))</f>
        <v>SHARJAH</v>
      </c>
      <c r="O1599" s="17" t="str">
        <f aca="false">IF(COUNTIFS($N$2:$N$2000,N1599,$D$2:$D$2000,"&lt;&gt;"&amp;D1599)&gt;0,"CONFLICT","")</f>
        <v/>
      </c>
      <c r="P1599" s="7"/>
    </row>
    <row r="1600" customFormat="false" ht="15" hidden="false" customHeight="false" outlineLevel="0" collapsed="false">
      <c r="A1600" s="7" t="s">
        <v>1476</v>
      </c>
      <c r="B1600" s="7" t="s">
        <v>1879</v>
      </c>
      <c r="C1600" s="7"/>
      <c r="D1600" s="6" t="s">
        <v>1476</v>
      </c>
      <c r="E1600" s="6" t="s">
        <v>1880</v>
      </c>
      <c r="F1600" s="7" t="str">
        <f aca="false">IF($D1600="","",IFERROR(IF(INDEX(Hierarchy!$B$2:$B$1295,MATCH($D1600,Hierarchy!$A$2:$A$1295,0))="","",INDEX(Hierarchy!$B$2:$B$1295,MATCH($D1600,Hierarchy!$A$2:$A$1295,0))),"NODE NOT FOUND"))</f>
        <v>State/Province</v>
      </c>
      <c r="G1600" s="7" t="str">
        <f aca="false">IF($D1600="","",IFERROR(IF(INDEX(Hierarchy!$D$2:$D$1295,MATCH($D1600,Hierarchy!$A$2:$A$1295,0))="","",INDEX(Hierarchy!$D$2:$D$1295,MATCH($D1600,Hierarchy!$A$2:$A$1295,0))),"NODE NOT FOUND"))</f>
        <v>APAC</v>
      </c>
      <c r="H1600" s="7" t="str">
        <f aca="false">IF($D1600="","",IFERROR(IF(INDEX(Hierarchy!$E$2:$E$1295,MATCH($D1600,Hierarchy!$A$2:$A$1295,0))="","",INDEX(Hierarchy!$E$2:$E$1295,MATCH($D1600,Hierarchy!$A$2:$A$1295,0))),"NODE NOT FOUND"))</f>
        <v>East Asia</v>
      </c>
      <c r="I1600" s="7" t="str">
        <f aca="false">IF($D1600="","",IFERROR(IF(INDEX(Hierarchy!$F$2:$F$1295,MATCH($D1600,Hierarchy!$A$2:$A$1295,0))="","",INDEX(Hierarchy!$F$2:$F$1295,MATCH($D1600,Hierarchy!$A$2:$A$1295,0))),"NODE NOT FOUND"))</f>
        <v>Japan</v>
      </c>
      <c r="J1600" s="7" t="str">
        <f aca="false">IF($D1600="","",IFERROR(IF(INDEX(Hierarchy!$G$2:$G$1295,MATCH($D1600,Hierarchy!$A$2:$A$1295,0))="","",INDEX(Hierarchy!$G$2:$G$1295,MATCH($D1600,Hierarchy!$A$2:$A$1295,0))),"NODE NOT FOUND"))</f>
        <v>JPN</v>
      </c>
      <c r="K1600" s="7" t="str">
        <f aca="false">IF($D1600="","",IFERROR(IF(INDEX(Hierarchy!$H$2:$H$1295,MATCH($D1600,Hierarchy!$A$2:$A$1295,0))="","",INDEX(Hierarchy!$H$2:$H$1295,MATCH($D1600,Hierarchy!$A$2:$A$1295,0))),"NODE NOT FOUND"))</f>
        <v>Shiga</v>
      </c>
      <c r="L1600" s="7" t="str">
        <f aca="false">IF($D1600="","",IFERROR(IF(INDEX(Hierarchy!$I$2:$I$1295,MATCH($D1600,Hierarchy!$A$2:$A$1295,0))="","",INDEX(Hierarchy!$I$2:$I$1295,MATCH($D1600,Hierarchy!$A$2:$A$1295,0))),"NODE NOT FOUND"))</f>
        <v/>
      </c>
      <c r="M1600" s="17" t="str">
        <f aca="false">IF(B1600="Pre-seeded","Pre-seeded",IF(B1600="Review 2026-09-16","Added from review",IF(C1600="","New",IF(C1600=D1600,"","Changed"))))</f>
        <v>Pre-seeded</v>
      </c>
      <c r="N1600" s="7" t="str">
        <f aca="false">TRIM(SUBSTITUTE(SUBSTITUTE(SUBSTITUTE(" "&amp;TRIM(SUBSTITUTE(SUBSTITUTE(SUBSTITUTE(SUBSTITUTE(SUBSTITUTE(SUBSTITUTE(SUBSTITUTE(SUBSTITUTE(SUBSTITUTE(SUBSTITUTE(SUBSTITUTE(SUBSTITUTE(SUBSTITUTE(SUBSTITUTE(SUBSTITUTE(UPPER(TRIM(A1600)),"[MEMBER]",""),"{MEMBER}",""),"[MEMBER}",""),"MEMBER]",""),"(A)",""),"""",""),"“",""),"”",""),".",""),":",""),",",""),"–"," "),"-"," "),"/"," "),"&amp;"," AND "))&amp;" "," THE "," ")," TOTAL "," ")," OPERATIONS "," "))</f>
        <v>SHIGA</v>
      </c>
      <c r="O1600" s="17" t="str">
        <f aca="false">IF(COUNTIFS($N$2:$N$2000,N1600,$D$2:$D$2000,"&lt;&gt;"&amp;D1600)&gt;0,"CONFLICT","")</f>
        <v/>
      </c>
      <c r="P1600" s="7"/>
    </row>
    <row r="1601" customFormat="false" ht="15" hidden="false" customHeight="false" outlineLevel="0" collapsed="false">
      <c r="A1601" s="7" t="s">
        <v>1435</v>
      </c>
      <c r="B1601" s="7" t="s">
        <v>1879</v>
      </c>
      <c r="C1601" s="7"/>
      <c r="D1601" s="6" t="s">
        <v>1435</v>
      </c>
      <c r="E1601" s="6" t="s">
        <v>1880</v>
      </c>
      <c r="F1601" s="7" t="str">
        <f aca="false">IF($D1601="","",IFERROR(IF(INDEX(Hierarchy!$B$2:$B$1295,MATCH($D1601,Hierarchy!$A$2:$A$1295,0))="","",INDEX(Hierarchy!$B$2:$B$1295,MATCH($D1601,Hierarchy!$A$2:$A$1295,0))),"NODE NOT FOUND"))</f>
        <v>Sub-national region</v>
      </c>
      <c r="G1601" s="7" t="str">
        <f aca="false">IF($D1601="","",IFERROR(IF(INDEX(Hierarchy!$D$2:$D$1295,MATCH($D1601,Hierarchy!$A$2:$A$1295,0))="","",INDEX(Hierarchy!$D$2:$D$1295,MATCH($D1601,Hierarchy!$A$2:$A$1295,0))),"NODE NOT FOUND"))</f>
        <v>APAC</v>
      </c>
      <c r="H1601" s="7" t="str">
        <f aca="false">IF($D1601="","",IFERROR(IF(INDEX(Hierarchy!$E$2:$E$1295,MATCH($D1601,Hierarchy!$A$2:$A$1295,0))="","",INDEX(Hierarchy!$E$2:$E$1295,MATCH($D1601,Hierarchy!$A$2:$A$1295,0))),"NODE NOT FOUND"))</f>
        <v>East Asia</v>
      </c>
      <c r="I1601" s="7" t="str">
        <f aca="false">IF($D1601="","",IFERROR(IF(INDEX(Hierarchy!$F$2:$F$1295,MATCH($D1601,Hierarchy!$A$2:$A$1295,0))="","",INDEX(Hierarchy!$F$2:$F$1295,MATCH($D1601,Hierarchy!$A$2:$A$1295,0))),"NODE NOT FOUND"))</f>
        <v>Japan</v>
      </c>
      <c r="J1601" s="7" t="str">
        <f aca="false">IF($D1601="","",IFERROR(IF(INDEX(Hierarchy!$G$2:$G$1295,MATCH($D1601,Hierarchy!$A$2:$A$1295,0))="","",INDEX(Hierarchy!$G$2:$G$1295,MATCH($D1601,Hierarchy!$A$2:$A$1295,0))),"NODE NOT FOUND"))</f>
        <v>JPN</v>
      </c>
      <c r="K1601" s="7" t="str">
        <f aca="false">IF($D1601="","",IFERROR(IF(INDEX(Hierarchy!$H$2:$H$1295,MATCH($D1601,Hierarchy!$A$2:$A$1295,0))="","",INDEX(Hierarchy!$H$2:$H$1295,MATCH($D1601,Hierarchy!$A$2:$A$1295,0))),"NODE NOT FOUND"))</f>
        <v/>
      </c>
      <c r="L1601" s="7" t="str">
        <f aca="false">IF($D1601="","",IFERROR(IF(INDEX(Hierarchy!$I$2:$I$1295,MATCH($D1601,Hierarchy!$A$2:$A$1295,0))="","",INDEX(Hierarchy!$I$2:$I$1295,MATCH($D1601,Hierarchy!$A$2:$A$1295,0))),"NODE NOT FOUND"))</f>
        <v/>
      </c>
      <c r="M1601" s="17" t="str">
        <f aca="false">IF(B1601="Pre-seeded","Pre-seeded",IF(B1601="Review 2026-09-16","Added from review",IF(C1601="","New",IF(C1601=D1601,"","Changed"))))</f>
        <v>Pre-seeded</v>
      </c>
      <c r="N1601" s="7" t="str">
        <f aca="false">TRIM(SUBSTITUTE(SUBSTITUTE(SUBSTITUTE(" "&amp;TRIM(SUBSTITUTE(SUBSTITUTE(SUBSTITUTE(SUBSTITUTE(SUBSTITUTE(SUBSTITUTE(SUBSTITUTE(SUBSTITUTE(SUBSTITUTE(SUBSTITUTE(SUBSTITUTE(SUBSTITUTE(SUBSTITUTE(SUBSTITUTE(SUBSTITUTE(UPPER(TRIM(A1601)),"[MEMBER]",""),"{MEMBER}",""),"[MEMBER}",""),"MEMBER]",""),"(A)",""),"""",""),"“",""),"”",""),".",""),":",""),",",""),"–"," "),"-"," "),"/"," "),"&amp;"," AND "))&amp;" "," THE "," ")," TOTAL "," ")," OPERATIONS "," "))</f>
        <v>SHIKOKU REGION</v>
      </c>
      <c r="O1601" s="17" t="str">
        <f aca="false">IF(COUNTIFS($N$2:$N$2000,N1601,$D$2:$D$2000,"&lt;&gt;"&amp;D1601)&gt;0,"CONFLICT","")</f>
        <v/>
      </c>
      <c r="P1601" s="7"/>
    </row>
    <row r="1602" customFormat="false" ht="15" hidden="false" customHeight="false" outlineLevel="0" collapsed="false">
      <c r="A1602" s="7" t="s">
        <v>1477</v>
      </c>
      <c r="B1602" s="7" t="s">
        <v>1879</v>
      </c>
      <c r="C1602" s="7"/>
      <c r="D1602" s="6" t="s">
        <v>1477</v>
      </c>
      <c r="E1602" s="6" t="s">
        <v>1880</v>
      </c>
      <c r="F1602" s="7" t="str">
        <f aca="false">IF($D1602="","",IFERROR(IF(INDEX(Hierarchy!$B$2:$B$1295,MATCH($D1602,Hierarchy!$A$2:$A$1295,0))="","",INDEX(Hierarchy!$B$2:$B$1295,MATCH($D1602,Hierarchy!$A$2:$A$1295,0))),"NODE NOT FOUND"))</f>
        <v>State/Province</v>
      </c>
      <c r="G1602" s="7" t="str">
        <f aca="false">IF($D1602="","",IFERROR(IF(INDEX(Hierarchy!$D$2:$D$1295,MATCH($D1602,Hierarchy!$A$2:$A$1295,0))="","",INDEX(Hierarchy!$D$2:$D$1295,MATCH($D1602,Hierarchy!$A$2:$A$1295,0))),"NODE NOT FOUND"))</f>
        <v>APAC</v>
      </c>
      <c r="H1602" s="7" t="str">
        <f aca="false">IF($D1602="","",IFERROR(IF(INDEX(Hierarchy!$E$2:$E$1295,MATCH($D1602,Hierarchy!$A$2:$A$1295,0))="","",INDEX(Hierarchy!$E$2:$E$1295,MATCH($D1602,Hierarchy!$A$2:$A$1295,0))),"NODE NOT FOUND"))</f>
        <v>East Asia</v>
      </c>
      <c r="I1602" s="7" t="str">
        <f aca="false">IF($D1602="","",IFERROR(IF(INDEX(Hierarchy!$F$2:$F$1295,MATCH($D1602,Hierarchy!$A$2:$A$1295,0))="","",INDEX(Hierarchy!$F$2:$F$1295,MATCH($D1602,Hierarchy!$A$2:$A$1295,0))),"NODE NOT FOUND"))</f>
        <v>Japan</v>
      </c>
      <c r="J1602" s="7" t="str">
        <f aca="false">IF($D1602="","",IFERROR(IF(INDEX(Hierarchy!$G$2:$G$1295,MATCH($D1602,Hierarchy!$A$2:$A$1295,0))="","",INDEX(Hierarchy!$G$2:$G$1295,MATCH($D1602,Hierarchy!$A$2:$A$1295,0))),"NODE NOT FOUND"))</f>
        <v>JPN</v>
      </c>
      <c r="K1602" s="7" t="str">
        <f aca="false">IF($D1602="","",IFERROR(IF(INDEX(Hierarchy!$H$2:$H$1295,MATCH($D1602,Hierarchy!$A$2:$A$1295,0))="","",INDEX(Hierarchy!$H$2:$H$1295,MATCH($D1602,Hierarchy!$A$2:$A$1295,0))),"NODE NOT FOUND"))</f>
        <v>Shimane</v>
      </c>
      <c r="L1602" s="7" t="str">
        <f aca="false">IF($D1602="","",IFERROR(IF(INDEX(Hierarchy!$I$2:$I$1295,MATCH($D1602,Hierarchy!$A$2:$A$1295,0))="","",INDEX(Hierarchy!$I$2:$I$1295,MATCH($D1602,Hierarchy!$A$2:$A$1295,0))),"NODE NOT FOUND"))</f>
        <v/>
      </c>
      <c r="M1602" s="17" t="str">
        <f aca="false">IF(B1602="Pre-seeded","Pre-seeded",IF(B1602="Review 2026-09-16","Added from review",IF(C1602="","New",IF(C1602=D1602,"","Changed"))))</f>
        <v>Pre-seeded</v>
      </c>
      <c r="N1602" s="7" t="str">
        <f aca="false">TRIM(SUBSTITUTE(SUBSTITUTE(SUBSTITUTE(" "&amp;TRIM(SUBSTITUTE(SUBSTITUTE(SUBSTITUTE(SUBSTITUTE(SUBSTITUTE(SUBSTITUTE(SUBSTITUTE(SUBSTITUTE(SUBSTITUTE(SUBSTITUTE(SUBSTITUTE(SUBSTITUTE(SUBSTITUTE(SUBSTITUTE(SUBSTITUTE(UPPER(TRIM(A1602)),"[MEMBER]",""),"{MEMBER}",""),"[MEMBER}",""),"MEMBER]",""),"(A)",""),"""",""),"“",""),"”",""),".",""),":",""),",",""),"–"," "),"-"," "),"/"," "),"&amp;"," AND "))&amp;" "," THE "," ")," TOTAL "," ")," OPERATIONS "," "))</f>
        <v>SHIMANE</v>
      </c>
      <c r="O1602" s="17" t="str">
        <f aca="false">IF(COUNTIFS($N$2:$N$2000,N1602,$D$2:$D$2000,"&lt;&gt;"&amp;D1602)&gt;0,"CONFLICT","")</f>
        <v/>
      </c>
      <c r="P1602" s="7"/>
    </row>
    <row r="1603" customFormat="false" ht="15" hidden="false" customHeight="false" outlineLevel="0" collapsed="false">
      <c r="A1603" s="7" t="s">
        <v>1478</v>
      </c>
      <c r="B1603" s="7" t="s">
        <v>1879</v>
      </c>
      <c r="C1603" s="7"/>
      <c r="D1603" s="6" t="s">
        <v>1478</v>
      </c>
      <c r="E1603" s="6" t="s">
        <v>1880</v>
      </c>
      <c r="F1603" s="7" t="str">
        <f aca="false">IF($D1603="","",IFERROR(IF(INDEX(Hierarchy!$B$2:$B$1295,MATCH($D1603,Hierarchy!$A$2:$A$1295,0))="","",INDEX(Hierarchy!$B$2:$B$1295,MATCH($D1603,Hierarchy!$A$2:$A$1295,0))),"NODE NOT FOUND"))</f>
        <v>State/Province</v>
      </c>
      <c r="G1603" s="7" t="str">
        <f aca="false">IF($D1603="","",IFERROR(IF(INDEX(Hierarchy!$D$2:$D$1295,MATCH($D1603,Hierarchy!$A$2:$A$1295,0))="","",INDEX(Hierarchy!$D$2:$D$1295,MATCH($D1603,Hierarchy!$A$2:$A$1295,0))),"NODE NOT FOUND"))</f>
        <v>APAC</v>
      </c>
      <c r="H1603" s="7" t="str">
        <f aca="false">IF($D1603="","",IFERROR(IF(INDEX(Hierarchy!$E$2:$E$1295,MATCH($D1603,Hierarchy!$A$2:$A$1295,0))="","",INDEX(Hierarchy!$E$2:$E$1295,MATCH($D1603,Hierarchy!$A$2:$A$1295,0))),"NODE NOT FOUND"))</f>
        <v>East Asia</v>
      </c>
      <c r="I1603" s="7" t="str">
        <f aca="false">IF($D1603="","",IFERROR(IF(INDEX(Hierarchy!$F$2:$F$1295,MATCH($D1603,Hierarchy!$A$2:$A$1295,0))="","",INDEX(Hierarchy!$F$2:$F$1295,MATCH($D1603,Hierarchy!$A$2:$A$1295,0))),"NODE NOT FOUND"))</f>
        <v>Japan</v>
      </c>
      <c r="J1603" s="7" t="str">
        <f aca="false">IF($D1603="","",IFERROR(IF(INDEX(Hierarchy!$G$2:$G$1295,MATCH($D1603,Hierarchy!$A$2:$A$1295,0))="","",INDEX(Hierarchy!$G$2:$G$1295,MATCH($D1603,Hierarchy!$A$2:$A$1295,0))),"NODE NOT FOUND"))</f>
        <v>JPN</v>
      </c>
      <c r="K1603" s="7" t="str">
        <f aca="false">IF($D1603="","",IFERROR(IF(INDEX(Hierarchy!$H$2:$H$1295,MATCH($D1603,Hierarchy!$A$2:$A$1295,0))="","",INDEX(Hierarchy!$H$2:$H$1295,MATCH($D1603,Hierarchy!$A$2:$A$1295,0))),"NODE NOT FOUND"))</f>
        <v>Shizuoka</v>
      </c>
      <c r="L1603" s="7" t="str">
        <f aca="false">IF($D1603="","",IFERROR(IF(INDEX(Hierarchy!$I$2:$I$1295,MATCH($D1603,Hierarchy!$A$2:$A$1295,0))="","",INDEX(Hierarchy!$I$2:$I$1295,MATCH($D1603,Hierarchy!$A$2:$A$1295,0))),"NODE NOT FOUND"))</f>
        <v/>
      </c>
      <c r="M1603" s="17" t="str">
        <f aca="false">IF(B1603="Pre-seeded","Pre-seeded",IF(B1603="Review 2026-09-16","Added from review",IF(C1603="","New",IF(C1603=D1603,"","Changed"))))</f>
        <v>Pre-seeded</v>
      </c>
      <c r="N1603" s="7" t="str">
        <f aca="false">TRIM(SUBSTITUTE(SUBSTITUTE(SUBSTITUTE(" "&amp;TRIM(SUBSTITUTE(SUBSTITUTE(SUBSTITUTE(SUBSTITUTE(SUBSTITUTE(SUBSTITUTE(SUBSTITUTE(SUBSTITUTE(SUBSTITUTE(SUBSTITUTE(SUBSTITUTE(SUBSTITUTE(SUBSTITUTE(SUBSTITUTE(SUBSTITUTE(UPPER(TRIM(A1603)),"[MEMBER]",""),"{MEMBER}",""),"[MEMBER}",""),"MEMBER]",""),"(A)",""),"""",""),"“",""),"”",""),".",""),":",""),",",""),"–"," "),"-"," "),"/"," "),"&amp;"," AND "))&amp;" "," THE "," ")," TOTAL "," ")," OPERATIONS "," "))</f>
        <v>SHIZUOKA</v>
      </c>
      <c r="O1603" s="17" t="str">
        <f aca="false">IF(COUNTIFS($N$2:$N$2000,N1603,$D$2:$D$2000,"&lt;&gt;"&amp;D1603)&gt;0,"CONFLICT","")</f>
        <v/>
      </c>
      <c r="P1603" s="7"/>
    </row>
    <row r="1604" customFormat="false" ht="15" hidden="false" customHeight="false" outlineLevel="0" collapsed="false">
      <c r="A1604" s="7" t="s">
        <v>1537</v>
      </c>
      <c r="B1604" s="7" t="s">
        <v>1879</v>
      </c>
      <c r="C1604" s="7"/>
      <c r="D1604" s="6" t="s">
        <v>1537</v>
      </c>
      <c r="E1604" s="6" t="s">
        <v>1880</v>
      </c>
      <c r="F1604" s="7" t="str">
        <f aca="false">IF($D1604="","",IFERROR(IF(INDEX(Hierarchy!$B$2:$B$1295,MATCH($D1604,Hierarchy!$A$2:$A$1295,0))="","",INDEX(Hierarchy!$B$2:$B$1295,MATCH($D1604,Hierarchy!$A$2:$A$1295,0))),"NODE NOT FOUND"))</f>
        <v>State/Province</v>
      </c>
      <c r="G1604" s="7" t="str">
        <f aca="false">IF($D1604="","",IFERROR(IF(INDEX(Hierarchy!$D$2:$D$1295,MATCH($D1604,Hierarchy!$A$2:$A$1295,0))="","",INDEX(Hierarchy!$D$2:$D$1295,MATCH($D1604,Hierarchy!$A$2:$A$1295,0))),"NODE NOT FOUND"))</f>
        <v>APAC</v>
      </c>
      <c r="H1604" s="7" t="str">
        <f aca="false">IF($D1604="","",IFERROR(IF(INDEX(Hierarchy!$E$2:$E$1295,MATCH($D1604,Hierarchy!$A$2:$A$1295,0))="","",INDEX(Hierarchy!$E$2:$E$1295,MATCH($D1604,Hierarchy!$A$2:$A$1295,0))),"NODE NOT FOUND"))</f>
        <v>East Asia</v>
      </c>
      <c r="I1604" s="7" t="str">
        <f aca="false">IF($D1604="","",IFERROR(IF(INDEX(Hierarchy!$F$2:$F$1295,MATCH($D1604,Hierarchy!$A$2:$A$1295,0))="","",INDEX(Hierarchy!$F$2:$F$1295,MATCH($D1604,Hierarchy!$A$2:$A$1295,0))),"NODE NOT FOUND"))</f>
        <v>China</v>
      </c>
      <c r="J1604" s="7" t="str">
        <f aca="false">IF($D1604="","",IFERROR(IF(INDEX(Hierarchy!$G$2:$G$1295,MATCH($D1604,Hierarchy!$A$2:$A$1295,0))="","",INDEX(Hierarchy!$G$2:$G$1295,MATCH($D1604,Hierarchy!$A$2:$A$1295,0))),"NODE NOT FOUND"))</f>
        <v>CHN</v>
      </c>
      <c r="K1604" s="7" t="str">
        <f aca="false">IF($D1604="","",IFERROR(IF(INDEX(Hierarchy!$H$2:$H$1295,MATCH($D1604,Hierarchy!$A$2:$A$1295,0))="","",INDEX(Hierarchy!$H$2:$H$1295,MATCH($D1604,Hierarchy!$A$2:$A$1295,0))),"NODE NOT FOUND"))</f>
        <v>Sichuan</v>
      </c>
      <c r="L1604" s="7" t="str">
        <f aca="false">IF($D1604="","",IFERROR(IF(INDEX(Hierarchy!$I$2:$I$1295,MATCH($D1604,Hierarchy!$A$2:$A$1295,0))="","",INDEX(Hierarchy!$I$2:$I$1295,MATCH($D1604,Hierarchy!$A$2:$A$1295,0))),"NODE NOT FOUND"))</f>
        <v/>
      </c>
      <c r="M1604" s="17" t="str">
        <f aca="false">IF(B1604="Pre-seeded","Pre-seeded",IF(B1604="Review 2026-09-16","Added from review",IF(C1604="","New",IF(C1604=D1604,"","Changed"))))</f>
        <v>Pre-seeded</v>
      </c>
      <c r="N1604" s="7" t="str">
        <f aca="false">TRIM(SUBSTITUTE(SUBSTITUTE(SUBSTITUTE(" "&amp;TRIM(SUBSTITUTE(SUBSTITUTE(SUBSTITUTE(SUBSTITUTE(SUBSTITUTE(SUBSTITUTE(SUBSTITUTE(SUBSTITUTE(SUBSTITUTE(SUBSTITUTE(SUBSTITUTE(SUBSTITUTE(SUBSTITUTE(SUBSTITUTE(SUBSTITUTE(UPPER(TRIM(A1604)),"[MEMBER]",""),"{MEMBER}",""),"[MEMBER}",""),"MEMBER]",""),"(A)",""),"""",""),"“",""),"”",""),".",""),":",""),",",""),"–"," "),"-"," "),"/"," "),"&amp;"," AND "))&amp;" "," THE "," ")," TOTAL "," ")," OPERATIONS "," "))</f>
        <v>SICHUAN</v>
      </c>
      <c r="O1604" s="17" t="str">
        <f aca="false">IF(COUNTIFS($N$2:$N$2000,N1604,$D$2:$D$2000,"&lt;&gt;"&amp;D1604)&gt;0,"CONFLICT","")</f>
        <v/>
      </c>
      <c r="P1604" s="7"/>
    </row>
    <row r="1605" customFormat="false" ht="15" hidden="false" customHeight="false" outlineLevel="0" collapsed="false">
      <c r="A1605" s="7" t="s">
        <v>2701</v>
      </c>
      <c r="B1605" s="7" t="s">
        <v>1879</v>
      </c>
      <c r="C1605" s="7"/>
      <c r="D1605" s="6" t="s">
        <v>847</v>
      </c>
      <c r="E1605" s="6" t="s">
        <v>1880</v>
      </c>
      <c r="F1605" s="7" t="str">
        <f aca="false">IF($D1605="","",IFERROR(IF(INDEX(Hierarchy!$B$2:$B$1295,MATCH($D1605,Hierarchy!$A$2:$A$1295,0))="","",INDEX(Hierarchy!$B$2:$B$1295,MATCH($D1605,Hierarchy!$A$2:$A$1295,0))),"NODE NOT FOUND"))</f>
        <v>State/Province</v>
      </c>
      <c r="G1605" s="7" t="str">
        <f aca="false">IF($D1605="","",IFERROR(IF(INDEX(Hierarchy!$D$2:$D$1295,MATCH($D1605,Hierarchy!$A$2:$A$1295,0))="","",INDEX(Hierarchy!$D$2:$D$1295,MATCH($D1605,Hierarchy!$A$2:$A$1295,0))),"NODE NOT FOUND"))</f>
        <v>EMEA</v>
      </c>
      <c r="H1605" s="7" t="str">
        <f aca="false">IF($D1605="","",IFERROR(IF(INDEX(Hierarchy!$E$2:$E$1295,MATCH($D1605,Hierarchy!$A$2:$A$1295,0))="","",INDEX(Hierarchy!$E$2:$E$1295,MATCH($D1605,Hierarchy!$A$2:$A$1295,0))),"NODE NOT FOUND"))</f>
        <v>Europe</v>
      </c>
      <c r="I1605" s="7" t="str">
        <f aca="false">IF($D1605="","",IFERROR(IF(INDEX(Hierarchy!$F$2:$F$1295,MATCH($D1605,Hierarchy!$A$2:$A$1295,0))="","",INDEX(Hierarchy!$F$2:$F$1295,MATCH($D1605,Hierarchy!$A$2:$A$1295,0))),"NODE NOT FOUND"))</f>
        <v>Italy</v>
      </c>
      <c r="J1605" s="7" t="str">
        <f aca="false">IF($D1605="","",IFERROR(IF(INDEX(Hierarchy!$G$2:$G$1295,MATCH($D1605,Hierarchy!$A$2:$A$1295,0))="","",INDEX(Hierarchy!$G$2:$G$1295,MATCH($D1605,Hierarchy!$A$2:$A$1295,0))),"NODE NOT FOUND"))</f>
        <v>ITA</v>
      </c>
      <c r="K1605" s="7" t="str">
        <f aca="false">IF($D1605="","",IFERROR(IF(INDEX(Hierarchy!$H$2:$H$1295,MATCH($D1605,Hierarchy!$A$2:$A$1295,0))="","",INDEX(Hierarchy!$H$2:$H$1295,MATCH($D1605,Hierarchy!$A$2:$A$1295,0))),"NODE NOT FOUND"))</f>
        <v>Sicily</v>
      </c>
      <c r="L1605" s="7" t="str">
        <f aca="false">IF($D1605="","",IFERROR(IF(INDEX(Hierarchy!$I$2:$I$1295,MATCH($D1605,Hierarchy!$A$2:$A$1295,0))="","",INDEX(Hierarchy!$I$2:$I$1295,MATCH($D1605,Hierarchy!$A$2:$A$1295,0))),"NODE NOT FOUND"))</f>
        <v/>
      </c>
      <c r="M1605" s="17" t="str">
        <f aca="false">IF(B1605="Pre-seeded","Pre-seeded",IF(B1605="Review 2026-09-16","Added from review",IF(C1605="","New",IF(C1605=D1605,"","Changed"))))</f>
        <v>Pre-seeded</v>
      </c>
      <c r="N1605" s="7" t="str">
        <f aca="false">TRIM(SUBSTITUTE(SUBSTITUTE(SUBSTITUTE(" "&amp;TRIM(SUBSTITUTE(SUBSTITUTE(SUBSTITUTE(SUBSTITUTE(SUBSTITUTE(SUBSTITUTE(SUBSTITUTE(SUBSTITUTE(SUBSTITUTE(SUBSTITUTE(SUBSTITUTE(SUBSTITUTE(SUBSTITUTE(SUBSTITUTE(SUBSTITUTE(UPPER(TRIM(A1605)),"[MEMBER]",""),"{MEMBER}",""),"[MEMBER}",""),"MEMBER]",""),"(A)",""),"""",""),"“",""),"”",""),".",""),":",""),",",""),"–"," "),"-"," "),"/"," "),"&amp;"," AND "))&amp;" "," THE "," ")," TOTAL "," ")," OPERATIONS "," "))</f>
        <v>SICILIA</v>
      </c>
      <c r="O1605" s="17" t="str">
        <f aca="false">IF(COUNTIFS($N$2:$N$2000,N1605,$D$2:$D$2000,"&lt;&gt;"&amp;D1605)&gt;0,"CONFLICT","")</f>
        <v/>
      </c>
      <c r="P1605" s="7"/>
    </row>
    <row r="1606" customFormat="false" ht="15" hidden="false" customHeight="false" outlineLevel="0" collapsed="false">
      <c r="A1606" s="7" t="s">
        <v>847</v>
      </c>
      <c r="B1606" s="7" t="s">
        <v>1879</v>
      </c>
      <c r="C1606" s="7"/>
      <c r="D1606" s="6" t="s">
        <v>847</v>
      </c>
      <c r="E1606" s="6" t="s">
        <v>1880</v>
      </c>
      <c r="F1606" s="7" t="str">
        <f aca="false">IF($D1606="","",IFERROR(IF(INDEX(Hierarchy!$B$2:$B$1295,MATCH($D1606,Hierarchy!$A$2:$A$1295,0))="","",INDEX(Hierarchy!$B$2:$B$1295,MATCH($D1606,Hierarchy!$A$2:$A$1295,0))),"NODE NOT FOUND"))</f>
        <v>State/Province</v>
      </c>
      <c r="G1606" s="7" t="str">
        <f aca="false">IF($D1606="","",IFERROR(IF(INDEX(Hierarchy!$D$2:$D$1295,MATCH($D1606,Hierarchy!$A$2:$A$1295,0))="","",INDEX(Hierarchy!$D$2:$D$1295,MATCH($D1606,Hierarchy!$A$2:$A$1295,0))),"NODE NOT FOUND"))</f>
        <v>EMEA</v>
      </c>
      <c r="H1606" s="7" t="str">
        <f aca="false">IF($D1606="","",IFERROR(IF(INDEX(Hierarchy!$E$2:$E$1295,MATCH($D1606,Hierarchy!$A$2:$A$1295,0))="","",INDEX(Hierarchy!$E$2:$E$1295,MATCH($D1606,Hierarchy!$A$2:$A$1295,0))),"NODE NOT FOUND"))</f>
        <v>Europe</v>
      </c>
      <c r="I1606" s="7" t="str">
        <f aca="false">IF($D1606="","",IFERROR(IF(INDEX(Hierarchy!$F$2:$F$1295,MATCH($D1606,Hierarchy!$A$2:$A$1295,0))="","",INDEX(Hierarchy!$F$2:$F$1295,MATCH($D1606,Hierarchy!$A$2:$A$1295,0))),"NODE NOT FOUND"))</f>
        <v>Italy</v>
      </c>
      <c r="J1606" s="7" t="str">
        <f aca="false">IF($D1606="","",IFERROR(IF(INDEX(Hierarchy!$G$2:$G$1295,MATCH($D1606,Hierarchy!$A$2:$A$1295,0))="","",INDEX(Hierarchy!$G$2:$G$1295,MATCH($D1606,Hierarchy!$A$2:$A$1295,0))),"NODE NOT FOUND"))</f>
        <v>ITA</v>
      </c>
      <c r="K1606" s="7" t="str">
        <f aca="false">IF($D1606="","",IFERROR(IF(INDEX(Hierarchy!$H$2:$H$1295,MATCH($D1606,Hierarchy!$A$2:$A$1295,0))="","",INDEX(Hierarchy!$H$2:$H$1295,MATCH($D1606,Hierarchy!$A$2:$A$1295,0))),"NODE NOT FOUND"))</f>
        <v>Sicily</v>
      </c>
      <c r="L1606" s="7" t="str">
        <f aca="false">IF($D1606="","",IFERROR(IF(INDEX(Hierarchy!$I$2:$I$1295,MATCH($D1606,Hierarchy!$A$2:$A$1295,0))="","",INDEX(Hierarchy!$I$2:$I$1295,MATCH($D1606,Hierarchy!$A$2:$A$1295,0))),"NODE NOT FOUND"))</f>
        <v/>
      </c>
      <c r="M1606" s="17" t="str">
        <f aca="false">IF(B1606="Pre-seeded","Pre-seeded",IF(B1606="Review 2026-09-16","Added from review",IF(C1606="","New",IF(C1606=D1606,"","Changed"))))</f>
        <v>Pre-seeded</v>
      </c>
      <c r="N1606" s="7" t="str">
        <f aca="false">TRIM(SUBSTITUTE(SUBSTITUTE(SUBSTITUTE(" "&amp;TRIM(SUBSTITUTE(SUBSTITUTE(SUBSTITUTE(SUBSTITUTE(SUBSTITUTE(SUBSTITUTE(SUBSTITUTE(SUBSTITUTE(SUBSTITUTE(SUBSTITUTE(SUBSTITUTE(SUBSTITUTE(SUBSTITUTE(SUBSTITUTE(SUBSTITUTE(UPPER(TRIM(A1606)),"[MEMBER]",""),"{MEMBER}",""),"[MEMBER}",""),"MEMBER]",""),"(A)",""),"""",""),"“",""),"”",""),".",""),":",""),",",""),"–"," "),"-"," "),"/"," "),"&amp;"," AND "))&amp;" "," THE "," ")," TOTAL "," ")," OPERATIONS "," "))</f>
        <v>SICILY</v>
      </c>
      <c r="O1606" s="17" t="str">
        <f aca="false">IF(COUNTIFS($N$2:$N$2000,N1606,$D$2:$D$2000,"&lt;&gt;"&amp;D1606)&gt;0,"CONFLICT","")</f>
        <v/>
      </c>
      <c r="P1606" s="7"/>
    </row>
    <row r="1607" customFormat="false" ht="15" hidden="false" customHeight="false" outlineLevel="0" collapsed="false">
      <c r="A1607" s="7" t="s">
        <v>2702</v>
      </c>
      <c r="B1607" s="7" t="s">
        <v>1879</v>
      </c>
      <c r="C1607" s="7"/>
      <c r="D1607" s="6" t="s">
        <v>1851</v>
      </c>
      <c r="E1607" s="6" t="s">
        <v>1880</v>
      </c>
      <c r="F1607" s="7" t="str">
        <f aca="false">IF($D1607="","",IFERROR(IF(INDEX(Hierarchy!$B$2:$B$1295,MATCH($D1607,Hierarchy!$A$2:$A$1295,0))="","",INDEX(Hierarchy!$B$2:$B$1295,MATCH($D1607,Hierarchy!$A$2:$A$1295,0))),"NODE NOT FOUND"))</f>
        <v>Reference grouping</v>
      </c>
      <c r="G1607" s="7" t="str">
        <f aca="false">IF($D1607="","",IFERROR(IF(INDEX(Hierarchy!$D$2:$D$1295,MATCH($D1607,Hierarchy!$A$2:$A$1295,0))="","",INDEX(Hierarchy!$D$2:$D$1295,MATCH($D1607,Hierarchy!$A$2:$A$1295,0))),"NODE NOT FOUND"))</f>
        <v>Reference (UN / World Bank)</v>
      </c>
      <c r="H1607" s="7" t="str">
        <f aca="false">IF($D1607="","",IFERROR(IF(INDEX(Hierarchy!$E$2:$E$1295,MATCH($D1607,Hierarchy!$A$2:$A$1295,0))="","",INDEX(Hierarchy!$E$2:$E$1295,MATCH($D1607,Hierarchy!$A$2:$A$1295,0))),"NODE NOT FOUND"))</f>
        <v/>
      </c>
      <c r="I1607" s="7" t="str">
        <f aca="false">IF($D1607="","",IFERROR(IF(INDEX(Hierarchy!$F$2:$F$1295,MATCH($D1607,Hierarchy!$A$2:$A$1295,0))="","",INDEX(Hierarchy!$F$2:$F$1295,MATCH($D1607,Hierarchy!$A$2:$A$1295,0))),"NODE NOT FOUND"))</f>
        <v/>
      </c>
      <c r="J1607" s="7" t="str">
        <f aca="false">IF($D1607="","",IFERROR(IF(INDEX(Hierarchy!$G$2:$G$1295,MATCH($D1607,Hierarchy!$A$2:$A$1295,0))="","",INDEX(Hierarchy!$G$2:$G$1295,MATCH($D1607,Hierarchy!$A$2:$A$1295,0))),"NODE NOT FOUND"))</f>
        <v/>
      </c>
      <c r="K1607" s="7" t="str">
        <f aca="false">IF($D1607="","",IFERROR(IF(INDEX(Hierarchy!$H$2:$H$1295,MATCH($D1607,Hierarchy!$A$2:$A$1295,0))="","",INDEX(Hierarchy!$H$2:$H$1295,MATCH($D1607,Hierarchy!$A$2:$A$1295,0))),"NODE NOT FOUND"))</f>
        <v/>
      </c>
      <c r="L1607" s="7" t="str">
        <f aca="false">IF($D1607="","",IFERROR(IF(INDEX(Hierarchy!$I$2:$I$1295,MATCH($D1607,Hierarchy!$A$2:$A$1295,0))="","",INDEX(Hierarchy!$I$2:$I$1295,MATCH($D1607,Hierarchy!$A$2:$A$1295,0))),"NODE NOT FOUND"))</f>
        <v/>
      </c>
      <c r="M1607" s="17" t="str">
        <f aca="false">IF(B1607="Pre-seeded","Pre-seeded",IF(B1607="Review 2026-09-16","Added from review",IF(C1607="","New",IF(C1607=D1607,"","Changed"))))</f>
        <v>Pre-seeded</v>
      </c>
      <c r="N1607" s="7" t="str">
        <f aca="false">TRIM(SUBSTITUTE(SUBSTITUTE(SUBSTITUTE(" "&amp;TRIM(SUBSTITUTE(SUBSTITUTE(SUBSTITUTE(SUBSTITUTE(SUBSTITUTE(SUBSTITUTE(SUBSTITUTE(SUBSTITUTE(SUBSTITUTE(SUBSTITUTE(SUBSTITUTE(SUBSTITUTE(SUBSTITUTE(SUBSTITUTE(SUBSTITUTE(UPPER(TRIM(A1607)),"[MEMBER]",""),"{MEMBER}",""),"[MEMBER}",""),"MEMBER]",""),"(A)",""),"""",""),"“",""),"”",""),".",""),":",""),",",""),"–"," "),"-"," "),"/"," "),"&amp;"," AND "))&amp;" "," THE "," ")," TOTAL "," ")," OPERATIONS "," "))</f>
        <v>SIDS</v>
      </c>
      <c r="O1607" s="17" t="str">
        <f aca="false">IF(COUNTIFS($N$2:$N$2000,N1607,$D$2:$D$2000,"&lt;&gt;"&amp;D1607)&gt;0,"CONFLICT","")</f>
        <v/>
      </c>
      <c r="P1607" s="7"/>
    </row>
    <row r="1608" customFormat="false" ht="15" hidden="false" customHeight="false" outlineLevel="0" collapsed="false">
      <c r="A1608" s="7" t="s">
        <v>1287</v>
      </c>
      <c r="B1608" s="7" t="s">
        <v>1879</v>
      </c>
      <c r="C1608" s="7"/>
      <c r="D1608" s="6" t="s">
        <v>1287</v>
      </c>
      <c r="E1608" s="6" t="s">
        <v>1880</v>
      </c>
      <c r="F1608" s="7" t="str">
        <f aca="false">IF($D1608="","",IFERROR(IF(INDEX(Hierarchy!$B$2:$B$1295,MATCH($D1608,Hierarchy!$A$2:$A$1295,0))="","",INDEX(Hierarchy!$B$2:$B$1295,MATCH($D1608,Hierarchy!$A$2:$A$1295,0))),"NODE NOT FOUND"))</f>
        <v>Country</v>
      </c>
      <c r="G1608" s="7" t="str">
        <f aca="false">IF($D1608="","",IFERROR(IF(INDEX(Hierarchy!$D$2:$D$1295,MATCH($D1608,Hierarchy!$A$2:$A$1295,0))="","",INDEX(Hierarchy!$D$2:$D$1295,MATCH($D1608,Hierarchy!$A$2:$A$1295,0))),"NODE NOT FOUND"))</f>
        <v>EMEA</v>
      </c>
      <c r="H1608" s="7" t="str">
        <f aca="false">IF($D1608="","",IFERROR(IF(INDEX(Hierarchy!$E$2:$E$1295,MATCH($D1608,Hierarchy!$A$2:$A$1295,0))="","",INDEX(Hierarchy!$E$2:$E$1295,MATCH($D1608,Hierarchy!$A$2:$A$1295,0))),"NODE NOT FOUND"))</f>
        <v>Africa</v>
      </c>
      <c r="I1608" s="7" t="str">
        <f aca="false">IF($D1608="","",IFERROR(IF(INDEX(Hierarchy!$F$2:$F$1295,MATCH($D1608,Hierarchy!$A$2:$A$1295,0))="","",INDEX(Hierarchy!$F$2:$F$1295,MATCH($D1608,Hierarchy!$A$2:$A$1295,0))),"NODE NOT FOUND"))</f>
        <v>Sierra Leone</v>
      </c>
      <c r="J1608" s="7" t="str">
        <f aca="false">IF($D1608="","",IFERROR(IF(INDEX(Hierarchy!$G$2:$G$1295,MATCH($D1608,Hierarchy!$A$2:$A$1295,0))="","",INDEX(Hierarchy!$G$2:$G$1295,MATCH($D1608,Hierarchy!$A$2:$A$1295,0))),"NODE NOT FOUND"))</f>
        <v>SLE</v>
      </c>
      <c r="K1608" s="7" t="str">
        <f aca="false">IF($D1608="","",IFERROR(IF(INDEX(Hierarchy!$H$2:$H$1295,MATCH($D1608,Hierarchy!$A$2:$A$1295,0))="","",INDEX(Hierarchy!$H$2:$H$1295,MATCH($D1608,Hierarchy!$A$2:$A$1295,0))),"NODE NOT FOUND"))</f>
        <v/>
      </c>
      <c r="L1608" s="7" t="str">
        <f aca="false">IF($D1608="","",IFERROR(IF(INDEX(Hierarchy!$I$2:$I$1295,MATCH($D1608,Hierarchy!$A$2:$A$1295,0))="","",INDEX(Hierarchy!$I$2:$I$1295,MATCH($D1608,Hierarchy!$A$2:$A$1295,0))),"NODE NOT FOUND"))</f>
        <v/>
      </c>
      <c r="M1608" s="17" t="str">
        <f aca="false">IF(B1608="Pre-seeded","Pre-seeded",IF(B1608="Review 2026-09-16","Added from review",IF(C1608="","New",IF(C1608=D1608,"","Changed"))))</f>
        <v>Pre-seeded</v>
      </c>
      <c r="N1608" s="7" t="str">
        <f aca="false">TRIM(SUBSTITUTE(SUBSTITUTE(SUBSTITUTE(" "&amp;TRIM(SUBSTITUTE(SUBSTITUTE(SUBSTITUTE(SUBSTITUTE(SUBSTITUTE(SUBSTITUTE(SUBSTITUTE(SUBSTITUTE(SUBSTITUTE(SUBSTITUTE(SUBSTITUTE(SUBSTITUTE(SUBSTITUTE(SUBSTITUTE(SUBSTITUTE(UPPER(TRIM(A1608)),"[MEMBER]",""),"{MEMBER}",""),"[MEMBER}",""),"MEMBER]",""),"(A)",""),"""",""),"“",""),"”",""),".",""),":",""),",",""),"–"," "),"-"," "),"/"," "),"&amp;"," AND "))&amp;" "," THE "," ")," TOTAL "," ")," OPERATIONS "," "))</f>
        <v>SIERRA LEONE</v>
      </c>
      <c r="O1608" s="17" t="str">
        <f aca="false">IF(COUNTIFS($N$2:$N$2000,N1608,$D$2:$D$2000,"&lt;&gt;"&amp;D1608)&gt;0,"CONFLICT","")</f>
        <v/>
      </c>
      <c r="P1608" s="7"/>
    </row>
    <row r="1609" customFormat="false" ht="15" hidden="false" customHeight="false" outlineLevel="0" collapsed="false">
      <c r="A1609" s="7" t="s">
        <v>1361</v>
      </c>
      <c r="B1609" s="7" t="s">
        <v>1879</v>
      </c>
      <c r="C1609" s="7"/>
      <c r="D1609" s="6" t="s">
        <v>1361</v>
      </c>
      <c r="E1609" s="6" t="s">
        <v>1880</v>
      </c>
      <c r="F1609" s="7" t="str">
        <f aca="false">IF($D1609="","",IFERROR(IF(INDEX(Hierarchy!$B$2:$B$1295,MATCH($D1609,Hierarchy!$A$2:$A$1295,0))="","",INDEX(Hierarchy!$B$2:$B$1295,MATCH($D1609,Hierarchy!$A$2:$A$1295,0))),"NODE NOT FOUND"))</f>
        <v>State/Province</v>
      </c>
      <c r="G1609" s="7" t="str">
        <f aca="false">IF($D1609="","",IFERROR(IF(INDEX(Hierarchy!$D$2:$D$1295,MATCH($D1609,Hierarchy!$A$2:$A$1295,0))="","",INDEX(Hierarchy!$D$2:$D$1295,MATCH($D1609,Hierarchy!$A$2:$A$1295,0))),"NODE NOT FOUND"))</f>
        <v>APAC</v>
      </c>
      <c r="H1609" s="7" t="str">
        <f aca="false">IF($D1609="","",IFERROR(IF(INDEX(Hierarchy!$E$2:$E$1295,MATCH($D1609,Hierarchy!$A$2:$A$1295,0))="","",INDEX(Hierarchy!$E$2:$E$1295,MATCH($D1609,Hierarchy!$A$2:$A$1295,0))),"NODE NOT FOUND"))</f>
        <v>South Asia</v>
      </c>
      <c r="I1609" s="7" t="str">
        <f aca="false">IF($D1609="","",IFERROR(IF(INDEX(Hierarchy!$F$2:$F$1295,MATCH($D1609,Hierarchy!$A$2:$A$1295,0))="","",INDEX(Hierarchy!$F$2:$F$1295,MATCH($D1609,Hierarchy!$A$2:$A$1295,0))),"NODE NOT FOUND"))</f>
        <v>India</v>
      </c>
      <c r="J1609" s="7" t="str">
        <f aca="false">IF($D1609="","",IFERROR(IF(INDEX(Hierarchy!$G$2:$G$1295,MATCH($D1609,Hierarchy!$A$2:$A$1295,0))="","",INDEX(Hierarchy!$G$2:$G$1295,MATCH($D1609,Hierarchy!$A$2:$A$1295,0))),"NODE NOT FOUND"))</f>
        <v>IND</v>
      </c>
      <c r="K1609" s="7" t="str">
        <f aca="false">IF($D1609="","",IFERROR(IF(INDEX(Hierarchy!$H$2:$H$1295,MATCH($D1609,Hierarchy!$A$2:$A$1295,0))="","",INDEX(Hierarchy!$H$2:$H$1295,MATCH($D1609,Hierarchy!$A$2:$A$1295,0))),"NODE NOT FOUND"))</f>
        <v>Sikkim</v>
      </c>
      <c r="L1609" s="7" t="str">
        <f aca="false">IF($D1609="","",IFERROR(IF(INDEX(Hierarchy!$I$2:$I$1295,MATCH($D1609,Hierarchy!$A$2:$A$1295,0))="","",INDEX(Hierarchy!$I$2:$I$1295,MATCH($D1609,Hierarchy!$A$2:$A$1295,0))),"NODE NOT FOUND"))</f>
        <v/>
      </c>
      <c r="M1609" s="17" t="str">
        <f aca="false">IF(B1609="Pre-seeded","Pre-seeded",IF(B1609="Review 2026-09-16","Added from review",IF(C1609="","New",IF(C1609=D1609,"","Changed"))))</f>
        <v>Pre-seeded</v>
      </c>
      <c r="N1609" s="7" t="str">
        <f aca="false">TRIM(SUBSTITUTE(SUBSTITUTE(SUBSTITUTE(" "&amp;TRIM(SUBSTITUTE(SUBSTITUTE(SUBSTITUTE(SUBSTITUTE(SUBSTITUTE(SUBSTITUTE(SUBSTITUTE(SUBSTITUTE(SUBSTITUTE(SUBSTITUTE(SUBSTITUTE(SUBSTITUTE(SUBSTITUTE(SUBSTITUTE(SUBSTITUTE(UPPER(TRIM(A1609)),"[MEMBER]",""),"{MEMBER}",""),"[MEMBER}",""),"MEMBER]",""),"(A)",""),"""",""),"“",""),"”",""),".",""),":",""),",",""),"–"," "),"-"," "),"/"," "),"&amp;"," AND "))&amp;" "," THE "," ")," TOTAL "," ")," OPERATIONS "," "))</f>
        <v>SIKKIM</v>
      </c>
      <c r="O1609" s="17" t="str">
        <f aca="false">IF(COUNTIFS($N$2:$N$2000,N1609,$D$2:$D$2000,"&lt;&gt;"&amp;D1609)&gt;0,"CONFLICT","")</f>
        <v/>
      </c>
      <c r="P1609" s="7"/>
    </row>
    <row r="1610" customFormat="false" ht="15" hidden="false" customHeight="false" outlineLevel="0" collapsed="false">
      <c r="A1610" s="7" t="s">
        <v>920</v>
      </c>
      <c r="B1610" s="7" t="s">
        <v>1879</v>
      </c>
      <c r="C1610" s="7"/>
      <c r="D1610" s="6" t="s">
        <v>920</v>
      </c>
      <c r="E1610" s="6" t="s">
        <v>1880</v>
      </c>
      <c r="F1610" s="7" t="str">
        <f aca="false">IF($D1610="","",IFERROR(IF(INDEX(Hierarchy!$B$2:$B$1295,MATCH($D1610,Hierarchy!$A$2:$A$1295,0))="","",INDEX(Hierarchy!$B$2:$B$1295,MATCH($D1610,Hierarchy!$A$2:$A$1295,0))),"NODE NOT FOUND"))</f>
        <v>State/Province</v>
      </c>
      <c r="G1610" s="7" t="str">
        <f aca="false">IF($D1610="","",IFERROR(IF(INDEX(Hierarchy!$D$2:$D$1295,MATCH($D1610,Hierarchy!$A$2:$A$1295,0))="","",INDEX(Hierarchy!$D$2:$D$1295,MATCH($D1610,Hierarchy!$A$2:$A$1295,0))),"NODE NOT FOUND"))</f>
        <v>EMEA</v>
      </c>
      <c r="H1610" s="7" t="str">
        <f aca="false">IF($D1610="","",IFERROR(IF(INDEX(Hierarchy!$E$2:$E$1295,MATCH($D1610,Hierarchy!$A$2:$A$1295,0))="","",INDEX(Hierarchy!$E$2:$E$1295,MATCH($D1610,Hierarchy!$A$2:$A$1295,0))),"NODE NOT FOUND"))</f>
        <v>Europe</v>
      </c>
      <c r="I1610" s="7" t="str">
        <f aca="false">IF($D1610="","",IFERROR(IF(INDEX(Hierarchy!$F$2:$F$1295,MATCH($D1610,Hierarchy!$A$2:$A$1295,0))="","",INDEX(Hierarchy!$F$2:$F$1295,MATCH($D1610,Hierarchy!$A$2:$A$1295,0))),"NODE NOT FOUND"))</f>
        <v>Poland</v>
      </c>
      <c r="J1610" s="7" t="str">
        <f aca="false">IF($D1610="","",IFERROR(IF(INDEX(Hierarchy!$G$2:$G$1295,MATCH($D1610,Hierarchy!$A$2:$A$1295,0))="","",INDEX(Hierarchy!$G$2:$G$1295,MATCH($D1610,Hierarchy!$A$2:$A$1295,0))),"NODE NOT FOUND"))</f>
        <v>POL</v>
      </c>
      <c r="K1610" s="7" t="str">
        <f aca="false">IF($D1610="","",IFERROR(IF(INDEX(Hierarchy!$H$2:$H$1295,MATCH($D1610,Hierarchy!$A$2:$A$1295,0))="","",INDEX(Hierarchy!$H$2:$H$1295,MATCH($D1610,Hierarchy!$A$2:$A$1295,0))),"NODE NOT FOUND"))</f>
        <v>Silesian</v>
      </c>
      <c r="L1610" s="7" t="str">
        <f aca="false">IF($D1610="","",IFERROR(IF(INDEX(Hierarchy!$I$2:$I$1295,MATCH($D1610,Hierarchy!$A$2:$A$1295,0))="","",INDEX(Hierarchy!$I$2:$I$1295,MATCH($D1610,Hierarchy!$A$2:$A$1295,0))),"NODE NOT FOUND"))</f>
        <v/>
      </c>
      <c r="M1610" s="17" t="str">
        <f aca="false">IF(B1610="Pre-seeded","Pre-seeded",IF(B1610="Review 2026-09-16","Added from review",IF(C1610="","New",IF(C1610=D1610,"","Changed"))))</f>
        <v>Pre-seeded</v>
      </c>
      <c r="N1610" s="7" t="str">
        <f aca="false">TRIM(SUBSTITUTE(SUBSTITUTE(SUBSTITUTE(" "&amp;TRIM(SUBSTITUTE(SUBSTITUTE(SUBSTITUTE(SUBSTITUTE(SUBSTITUTE(SUBSTITUTE(SUBSTITUTE(SUBSTITUTE(SUBSTITUTE(SUBSTITUTE(SUBSTITUTE(SUBSTITUTE(SUBSTITUTE(SUBSTITUTE(SUBSTITUTE(UPPER(TRIM(A1610)),"[MEMBER]",""),"{MEMBER}",""),"[MEMBER}",""),"MEMBER]",""),"(A)",""),"""",""),"“",""),"”",""),".",""),":",""),",",""),"–"," "),"-"," "),"/"," "),"&amp;"," AND "))&amp;" "," THE "," ")," TOTAL "," ")," OPERATIONS "," "))</f>
        <v>SILESIAN</v>
      </c>
      <c r="O1610" s="17" t="str">
        <f aca="false">IF(COUNTIFS($N$2:$N$2000,N1610,$D$2:$D$2000,"&lt;&gt;"&amp;D1610)&gt;0,"CONFLICT","")</f>
        <v/>
      </c>
      <c r="P1610" s="7"/>
    </row>
    <row r="1611" customFormat="false" ht="15" hidden="false" customHeight="false" outlineLevel="0" collapsed="false">
      <c r="A1611" s="7" t="s">
        <v>411</v>
      </c>
      <c r="B1611" s="7" t="s">
        <v>1879</v>
      </c>
      <c r="C1611" s="7"/>
      <c r="D1611" s="6" t="s">
        <v>411</v>
      </c>
      <c r="E1611" s="6" t="s">
        <v>1880</v>
      </c>
      <c r="F1611" s="7" t="str">
        <f aca="false">IF($D1611="","",IFERROR(IF(INDEX(Hierarchy!$B$2:$B$1295,MATCH($D1611,Hierarchy!$A$2:$A$1295,0))="","",INDEX(Hierarchy!$B$2:$B$1295,MATCH($D1611,Hierarchy!$A$2:$A$1295,0))),"NODE NOT FOUND"))</f>
        <v>State/Province</v>
      </c>
      <c r="G1611" s="7" t="str">
        <f aca="false">IF($D1611="","",IFERROR(IF(INDEX(Hierarchy!$D$2:$D$1295,MATCH($D1611,Hierarchy!$A$2:$A$1295,0))="","",INDEX(Hierarchy!$D$2:$D$1295,MATCH($D1611,Hierarchy!$A$2:$A$1295,0))),"NODE NOT FOUND"))</f>
        <v>AMER</v>
      </c>
      <c r="H1611" s="7" t="str">
        <f aca="false">IF($D1611="","",IFERROR(IF(INDEX(Hierarchy!$E$2:$E$1295,MATCH($D1611,Hierarchy!$A$2:$A$1295,0))="","",INDEX(Hierarchy!$E$2:$E$1295,MATCH($D1611,Hierarchy!$A$2:$A$1295,0))),"NODE NOT FOUND"))</f>
        <v>Latin America (LATAM)</v>
      </c>
      <c r="I1611" s="7" t="str">
        <f aca="false">IF($D1611="","",IFERROR(IF(INDEX(Hierarchy!$F$2:$F$1295,MATCH($D1611,Hierarchy!$A$2:$A$1295,0))="","",INDEX(Hierarchy!$F$2:$F$1295,MATCH($D1611,Hierarchy!$A$2:$A$1295,0))),"NODE NOT FOUND"))</f>
        <v>Mexico</v>
      </c>
      <c r="J1611" s="7" t="str">
        <f aca="false">IF($D1611="","",IFERROR(IF(INDEX(Hierarchy!$G$2:$G$1295,MATCH($D1611,Hierarchy!$A$2:$A$1295,0))="","",INDEX(Hierarchy!$G$2:$G$1295,MATCH($D1611,Hierarchy!$A$2:$A$1295,0))),"NODE NOT FOUND"))</f>
        <v>MEX</v>
      </c>
      <c r="K1611" s="7" t="str">
        <f aca="false">IF($D1611="","",IFERROR(IF(INDEX(Hierarchy!$H$2:$H$1295,MATCH($D1611,Hierarchy!$A$2:$A$1295,0))="","",INDEX(Hierarchy!$H$2:$H$1295,MATCH($D1611,Hierarchy!$A$2:$A$1295,0))),"NODE NOT FOUND"))</f>
        <v>Sinaloa</v>
      </c>
      <c r="L1611" s="7" t="str">
        <f aca="false">IF($D1611="","",IFERROR(IF(INDEX(Hierarchy!$I$2:$I$1295,MATCH($D1611,Hierarchy!$A$2:$A$1295,0))="","",INDEX(Hierarchy!$I$2:$I$1295,MATCH($D1611,Hierarchy!$A$2:$A$1295,0))),"NODE NOT FOUND"))</f>
        <v/>
      </c>
      <c r="M1611" s="17" t="str">
        <f aca="false">IF(B1611="Pre-seeded","Pre-seeded",IF(B1611="Review 2026-09-16","Added from review",IF(C1611="","New",IF(C1611=D1611,"","Changed"))))</f>
        <v>Pre-seeded</v>
      </c>
      <c r="N1611" s="7" t="str">
        <f aca="false">TRIM(SUBSTITUTE(SUBSTITUTE(SUBSTITUTE(" "&amp;TRIM(SUBSTITUTE(SUBSTITUTE(SUBSTITUTE(SUBSTITUTE(SUBSTITUTE(SUBSTITUTE(SUBSTITUTE(SUBSTITUTE(SUBSTITUTE(SUBSTITUTE(SUBSTITUTE(SUBSTITUTE(SUBSTITUTE(SUBSTITUTE(SUBSTITUTE(UPPER(TRIM(A1611)),"[MEMBER]",""),"{MEMBER}",""),"[MEMBER}",""),"MEMBER]",""),"(A)",""),"""",""),"“",""),"”",""),".",""),":",""),",",""),"–"," "),"-"," "),"/"," "),"&amp;"," AND "))&amp;" "," THE "," ")," TOTAL "," ")," OPERATIONS "," "))</f>
        <v>SINALOA</v>
      </c>
      <c r="O1611" s="17" t="str">
        <f aca="false">IF(COUNTIFS($N$2:$N$2000,N1611,$D$2:$D$2000,"&lt;&gt;"&amp;D1611)&gt;0,"CONFLICT","")</f>
        <v/>
      </c>
      <c r="P1611" s="7"/>
    </row>
    <row r="1612" customFormat="false" ht="15" hidden="false" customHeight="false" outlineLevel="0" collapsed="false">
      <c r="A1612" s="7" t="s">
        <v>1404</v>
      </c>
      <c r="B1612" s="7" t="s">
        <v>1879</v>
      </c>
      <c r="C1612" s="7"/>
      <c r="D1612" s="6" t="s">
        <v>1404</v>
      </c>
      <c r="E1612" s="6" t="s">
        <v>1880</v>
      </c>
      <c r="F1612" s="7" t="str">
        <f aca="false">IF($D1612="","",IFERROR(IF(INDEX(Hierarchy!$B$2:$B$1295,MATCH($D1612,Hierarchy!$A$2:$A$1295,0))="","",INDEX(Hierarchy!$B$2:$B$1295,MATCH($D1612,Hierarchy!$A$2:$A$1295,0))),"NODE NOT FOUND"))</f>
        <v>State/Province</v>
      </c>
      <c r="G1612" s="7" t="str">
        <f aca="false">IF($D1612="","",IFERROR(IF(INDEX(Hierarchy!$D$2:$D$1295,MATCH($D1612,Hierarchy!$A$2:$A$1295,0))="","",INDEX(Hierarchy!$D$2:$D$1295,MATCH($D1612,Hierarchy!$A$2:$A$1295,0))),"NODE NOT FOUND"))</f>
        <v>APAC</v>
      </c>
      <c r="H1612" s="7" t="str">
        <f aca="false">IF($D1612="","",IFERROR(IF(INDEX(Hierarchy!$E$2:$E$1295,MATCH($D1612,Hierarchy!$A$2:$A$1295,0))="","",INDEX(Hierarchy!$E$2:$E$1295,MATCH($D1612,Hierarchy!$A$2:$A$1295,0))),"NODE NOT FOUND"))</f>
        <v>South Asia</v>
      </c>
      <c r="I1612" s="7" t="str">
        <f aca="false">IF($D1612="","",IFERROR(IF(INDEX(Hierarchy!$F$2:$F$1295,MATCH($D1612,Hierarchy!$A$2:$A$1295,0))="","",INDEX(Hierarchy!$F$2:$F$1295,MATCH($D1612,Hierarchy!$A$2:$A$1295,0))),"NODE NOT FOUND"))</f>
        <v>Pakistan</v>
      </c>
      <c r="J1612" s="7" t="str">
        <f aca="false">IF($D1612="","",IFERROR(IF(INDEX(Hierarchy!$G$2:$G$1295,MATCH($D1612,Hierarchy!$A$2:$A$1295,0))="","",INDEX(Hierarchy!$G$2:$G$1295,MATCH($D1612,Hierarchy!$A$2:$A$1295,0))),"NODE NOT FOUND"))</f>
        <v>PAK</v>
      </c>
      <c r="K1612" s="7" t="str">
        <f aca="false">IF($D1612="","",IFERROR(IF(INDEX(Hierarchy!$H$2:$H$1295,MATCH($D1612,Hierarchy!$A$2:$A$1295,0))="","",INDEX(Hierarchy!$H$2:$H$1295,MATCH($D1612,Hierarchy!$A$2:$A$1295,0))),"NODE NOT FOUND"))</f>
        <v>Sindh</v>
      </c>
      <c r="L1612" s="7" t="str">
        <f aca="false">IF($D1612="","",IFERROR(IF(INDEX(Hierarchy!$I$2:$I$1295,MATCH($D1612,Hierarchy!$A$2:$A$1295,0))="","",INDEX(Hierarchy!$I$2:$I$1295,MATCH($D1612,Hierarchy!$A$2:$A$1295,0))),"NODE NOT FOUND"))</f>
        <v/>
      </c>
      <c r="M1612" s="17" t="str">
        <f aca="false">IF(B1612="Pre-seeded","Pre-seeded",IF(B1612="Review 2026-09-16","Added from review",IF(C1612="","New",IF(C1612=D1612,"","Changed"))))</f>
        <v>Pre-seeded</v>
      </c>
      <c r="N1612" s="7" t="str">
        <f aca="false">TRIM(SUBSTITUTE(SUBSTITUTE(SUBSTITUTE(" "&amp;TRIM(SUBSTITUTE(SUBSTITUTE(SUBSTITUTE(SUBSTITUTE(SUBSTITUTE(SUBSTITUTE(SUBSTITUTE(SUBSTITUTE(SUBSTITUTE(SUBSTITUTE(SUBSTITUTE(SUBSTITUTE(SUBSTITUTE(SUBSTITUTE(SUBSTITUTE(UPPER(TRIM(A1612)),"[MEMBER]",""),"{MEMBER}",""),"[MEMBER}",""),"MEMBER]",""),"(A)",""),"""",""),"“",""),"”",""),".",""),":",""),",",""),"–"," "),"-"," "),"/"," "),"&amp;"," AND "))&amp;" "," THE "," ")," TOTAL "," ")," OPERATIONS "," "))</f>
        <v>SINDH</v>
      </c>
      <c r="O1612" s="17" t="str">
        <f aca="false">IF(COUNTIFS($N$2:$N$2000,N1612,$D$2:$D$2000,"&lt;&gt;"&amp;D1612)&gt;0,"CONFLICT","")</f>
        <v/>
      </c>
      <c r="P1612" s="7"/>
    </row>
    <row r="1613" customFormat="false" ht="15" hidden="false" customHeight="false" outlineLevel="0" collapsed="false">
      <c r="A1613" s="7" t="s">
        <v>1682</v>
      </c>
      <c r="B1613" s="7" t="s">
        <v>1882</v>
      </c>
      <c r="C1613" s="7" t="s">
        <v>1682</v>
      </c>
      <c r="D1613" s="6" t="s">
        <v>1682</v>
      </c>
      <c r="E1613" s="6" t="s">
        <v>1880</v>
      </c>
      <c r="F1613" s="7" t="str">
        <f aca="false">IF($D1613="","",IFERROR(IF(INDEX(Hierarchy!$B$2:$B$1295,MATCH($D1613,Hierarchy!$A$2:$A$1295,0))="","",INDEX(Hierarchy!$B$2:$B$1295,MATCH($D1613,Hierarchy!$A$2:$A$1295,0))),"NODE NOT FOUND"))</f>
        <v>Country</v>
      </c>
      <c r="G1613" s="7" t="str">
        <f aca="false">IF($D1613="","",IFERROR(IF(INDEX(Hierarchy!$D$2:$D$1295,MATCH($D1613,Hierarchy!$A$2:$A$1295,0))="","",INDEX(Hierarchy!$D$2:$D$1295,MATCH($D1613,Hierarchy!$A$2:$A$1295,0))),"NODE NOT FOUND"))</f>
        <v>APAC</v>
      </c>
      <c r="H1613" s="7" t="str">
        <f aca="false">IF($D1613="","",IFERROR(IF(INDEX(Hierarchy!$E$2:$E$1295,MATCH($D1613,Hierarchy!$A$2:$A$1295,0))="","",INDEX(Hierarchy!$E$2:$E$1295,MATCH($D1613,Hierarchy!$A$2:$A$1295,0))),"NODE NOT FOUND"))</f>
        <v>Southeast Asia (ASEAN)</v>
      </c>
      <c r="I1613" s="7" t="str">
        <f aca="false">IF($D1613="","",IFERROR(IF(INDEX(Hierarchy!$F$2:$F$1295,MATCH($D1613,Hierarchy!$A$2:$A$1295,0))="","",INDEX(Hierarchy!$F$2:$F$1295,MATCH($D1613,Hierarchy!$A$2:$A$1295,0))),"NODE NOT FOUND"))</f>
        <v>Singapore</v>
      </c>
      <c r="J1613" s="7" t="str">
        <f aca="false">IF($D1613="","",IFERROR(IF(INDEX(Hierarchy!$G$2:$G$1295,MATCH($D1613,Hierarchy!$A$2:$A$1295,0))="","",INDEX(Hierarchy!$G$2:$G$1295,MATCH($D1613,Hierarchy!$A$2:$A$1295,0))),"NODE NOT FOUND"))</f>
        <v>SGP</v>
      </c>
      <c r="K1613" s="7" t="str">
        <f aca="false">IF($D1613="","",IFERROR(IF(INDEX(Hierarchy!$H$2:$H$1295,MATCH($D1613,Hierarchy!$A$2:$A$1295,0))="","",INDEX(Hierarchy!$H$2:$H$1295,MATCH($D1613,Hierarchy!$A$2:$A$1295,0))),"NODE NOT FOUND"))</f>
        <v/>
      </c>
      <c r="L1613" s="7" t="str">
        <f aca="false">IF($D1613="","",IFERROR(IF(INDEX(Hierarchy!$I$2:$I$1295,MATCH($D1613,Hierarchy!$A$2:$A$1295,0))="","",INDEX(Hierarchy!$I$2:$I$1295,MATCH($D1613,Hierarchy!$A$2:$A$1295,0))),"NODE NOT FOUND"))</f>
        <v/>
      </c>
      <c r="M1613" s="17" t="str">
        <f aca="false">IF(B1613="Pre-seeded","Pre-seeded",IF(B1613="Review 2026-09-16","Added from review",IF(C1613="","New",IF(C1613=D1613,"","Changed"))))</f>
        <v/>
      </c>
      <c r="N1613" s="7" t="str">
        <f aca="false">TRIM(SUBSTITUTE(SUBSTITUTE(SUBSTITUTE(" "&amp;TRIM(SUBSTITUTE(SUBSTITUTE(SUBSTITUTE(SUBSTITUTE(SUBSTITUTE(SUBSTITUTE(SUBSTITUTE(SUBSTITUTE(SUBSTITUTE(SUBSTITUTE(SUBSTITUTE(SUBSTITUTE(SUBSTITUTE(SUBSTITUTE(SUBSTITUTE(UPPER(TRIM(A1613)),"[MEMBER]",""),"{MEMBER}",""),"[MEMBER}",""),"MEMBER]",""),"(A)",""),"""",""),"“",""),"”",""),".",""),":",""),",",""),"–"," "),"-"," "),"/"," "),"&amp;"," AND "))&amp;" "," THE "," ")," TOTAL "," ")," OPERATIONS "," "))</f>
        <v>SINGAPORE</v>
      </c>
      <c r="O1613" s="17" t="str">
        <f aca="false">IF(COUNTIFS($N$2:$N$2000,N1613,$D$2:$D$2000,"&lt;&gt;"&amp;D1613)&gt;0,"CONFLICT","")</f>
        <v/>
      </c>
      <c r="P1613" s="7"/>
    </row>
    <row r="1614" customFormat="false" ht="15" hidden="false" customHeight="false" outlineLevel="0" collapsed="false">
      <c r="A1614" s="7" t="s">
        <v>2703</v>
      </c>
      <c r="B1614" s="7" t="s">
        <v>1882</v>
      </c>
      <c r="C1614" s="7" t="s">
        <v>1682</v>
      </c>
      <c r="D1614" s="6" t="s">
        <v>1682</v>
      </c>
      <c r="E1614" s="6" t="s">
        <v>1880</v>
      </c>
      <c r="F1614" s="7" t="str">
        <f aca="false">IF($D1614="","",IFERROR(IF(INDEX(Hierarchy!$B$2:$B$1295,MATCH($D1614,Hierarchy!$A$2:$A$1295,0))="","",INDEX(Hierarchy!$B$2:$B$1295,MATCH($D1614,Hierarchy!$A$2:$A$1295,0))),"NODE NOT FOUND"))</f>
        <v>Country</v>
      </c>
      <c r="G1614" s="7" t="str">
        <f aca="false">IF($D1614="","",IFERROR(IF(INDEX(Hierarchy!$D$2:$D$1295,MATCH($D1614,Hierarchy!$A$2:$A$1295,0))="","",INDEX(Hierarchy!$D$2:$D$1295,MATCH($D1614,Hierarchy!$A$2:$A$1295,0))),"NODE NOT FOUND"))</f>
        <v>APAC</v>
      </c>
      <c r="H1614" s="7" t="str">
        <f aca="false">IF($D1614="","",IFERROR(IF(INDEX(Hierarchy!$E$2:$E$1295,MATCH($D1614,Hierarchy!$A$2:$A$1295,0))="","",INDEX(Hierarchy!$E$2:$E$1295,MATCH($D1614,Hierarchy!$A$2:$A$1295,0))),"NODE NOT FOUND"))</f>
        <v>Southeast Asia (ASEAN)</v>
      </c>
      <c r="I1614" s="7" t="str">
        <f aca="false">IF($D1614="","",IFERROR(IF(INDEX(Hierarchy!$F$2:$F$1295,MATCH($D1614,Hierarchy!$A$2:$A$1295,0))="","",INDEX(Hierarchy!$F$2:$F$1295,MATCH($D1614,Hierarchy!$A$2:$A$1295,0))),"NODE NOT FOUND"))</f>
        <v>Singapore</v>
      </c>
      <c r="J1614" s="7" t="str">
        <f aca="false">IF($D1614="","",IFERROR(IF(INDEX(Hierarchy!$G$2:$G$1295,MATCH($D1614,Hierarchy!$A$2:$A$1295,0))="","",INDEX(Hierarchy!$G$2:$G$1295,MATCH($D1614,Hierarchy!$A$2:$A$1295,0))),"NODE NOT FOUND"))</f>
        <v>SGP</v>
      </c>
      <c r="K1614" s="7" t="str">
        <f aca="false">IF($D1614="","",IFERROR(IF(INDEX(Hierarchy!$H$2:$H$1295,MATCH($D1614,Hierarchy!$A$2:$A$1295,0))="","",INDEX(Hierarchy!$H$2:$H$1295,MATCH($D1614,Hierarchy!$A$2:$A$1295,0))),"NODE NOT FOUND"))</f>
        <v/>
      </c>
      <c r="L1614" s="7" t="str">
        <f aca="false">IF($D1614="","",IFERROR(IF(INDEX(Hierarchy!$I$2:$I$1295,MATCH($D1614,Hierarchy!$A$2:$A$1295,0))="","",INDEX(Hierarchy!$I$2:$I$1295,MATCH($D1614,Hierarchy!$A$2:$A$1295,0))),"NODE NOT FOUND"))</f>
        <v/>
      </c>
      <c r="M1614" s="17" t="str">
        <f aca="false">IF(B1614="Pre-seeded","Pre-seeded",IF(B1614="Review 2026-09-16","Added from review",IF(C1614="","New",IF(C1614=D1614,"","Changed"))))</f>
        <v/>
      </c>
      <c r="N1614" s="7" t="str">
        <f aca="false">TRIM(SUBSTITUTE(SUBSTITUTE(SUBSTITUTE(" "&amp;TRIM(SUBSTITUTE(SUBSTITUTE(SUBSTITUTE(SUBSTITUTE(SUBSTITUTE(SUBSTITUTE(SUBSTITUTE(SUBSTITUTE(SUBSTITUTE(SUBSTITUTE(SUBSTITUTE(SUBSTITUTE(SUBSTITUTE(SUBSTITUTE(SUBSTITUTE(UPPER(TRIM(A1614)),"[MEMBER]",""),"{MEMBER}",""),"[MEMBER}",""),"MEMBER]",""),"(A)",""),"""",""),"“",""),"”",""),".",""),":",""),",",""),"–"," "),"-"," "),"/"," "),"&amp;"," AND "))&amp;" "," THE "," ")," TOTAL "," ")," OPERATIONS "," "))</f>
        <v>SINGAPORE</v>
      </c>
      <c r="O1614" s="17" t="str">
        <f aca="false">IF(COUNTIFS($N$2:$N$2000,N1614,$D$2:$D$2000,"&lt;&gt;"&amp;D1614)&gt;0,"CONFLICT","")</f>
        <v/>
      </c>
      <c r="P1614" s="7"/>
    </row>
    <row r="1615" customFormat="false" ht="15" hidden="false" customHeight="false" outlineLevel="0" collapsed="false">
      <c r="A1615" s="7" t="s">
        <v>2704</v>
      </c>
      <c r="B1615" s="7" t="s">
        <v>1882</v>
      </c>
      <c r="C1615" s="7" t="s">
        <v>1682</v>
      </c>
      <c r="D1615" s="6" t="s">
        <v>1682</v>
      </c>
      <c r="E1615" s="6" t="s">
        <v>1880</v>
      </c>
      <c r="F1615" s="7" t="str">
        <f aca="false">IF($D1615="","",IFERROR(IF(INDEX(Hierarchy!$B$2:$B$1295,MATCH($D1615,Hierarchy!$A$2:$A$1295,0))="","",INDEX(Hierarchy!$B$2:$B$1295,MATCH($D1615,Hierarchy!$A$2:$A$1295,0))),"NODE NOT FOUND"))</f>
        <v>Country</v>
      </c>
      <c r="G1615" s="7" t="str">
        <f aca="false">IF($D1615="","",IFERROR(IF(INDEX(Hierarchy!$D$2:$D$1295,MATCH($D1615,Hierarchy!$A$2:$A$1295,0))="","",INDEX(Hierarchy!$D$2:$D$1295,MATCH($D1615,Hierarchy!$A$2:$A$1295,0))),"NODE NOT FOUND"))</f>
        <v>APAC</v>
      </c>
      <c r="H1615" s="7" t="str">
        <f aca="false">IF($D1615="","",IFERROR(IF(INDEX(Hierarchy!$E$2:$E$1295,MATCH($D1615,Hierarchy!$A$2:$A$1295,0))="","",INDEX(Hierarchy!$E$2:$E$1295,MATCH($D1615,Hierarchy!$A$2:$A$1295,0))),"NODE NOT FOUND"))</f>
        <v>Southeast Asia (ASEAN)</v>
      </c>
      <c r="I1615" s="7" t="str">
        <f aca="false">IF($D1615="","",IFERROR(IF(INDEX(Hierarchy!$F$2:$F$1295,MATCH($D1615,Hierarchy!$A$2:$A$1295,0))="","",INDEX(Hierarchy!$F$2:$F$1295,MATCH($D1615,Hierarchy!$A$2:$A$1295,0))),"NODE NOT FOUND"))</f>
        <v>Singapore</v>
      </c>
      <c r="J1615" s="7" t="str">
        <f aca="false">IF($D1615="","",IFERROR(IF(INDEX(Hierarchy!$G$2:$G$1295,MATCH($D1615,Hierarchy!$A$2:$A$1295,0))="","",INDEX(Hierarchy!$G$2:$G$1295,MATCH($D1615,Hierarchy!$A$2:$A$1295,0))),"NODE NOT FOUND"))</f>
        <v>SGP</v>
      </c>
      <c r="K1615" s="7" t="str">
        <f aca="false">IF($D1615="","",IFERROR(IF(INDEX(Hierarchy!$H$2:$H$1295,MATCH($D1615,Hierarchy!$A$2:$A$1295,0))="","",INDEX(Hierarchy!$H$2:$H$1295,MATCH($D1615,Hierarchy!$A$2:$A$1295,0))),"NODE NOT FOUND"))</f>
        <v/>
      </c>
      <c r="L1615" s="7" t="str">
        <f aca="false">IF($D1615="","",IFERROR(IF(INDEX(Hierarchy!$I$2:$I$1295,MATCH($D1615,Hierarchy!$A$2:$A$1295,0))="","",INDEX(Hierarchy!$I$2:$I$1295,MATCH($D1615,Hierarchy!$A$2:$A$1295,0))),"NODE NOT FOUND"))</f>
        <v/>
      </c>
      <c r="M1615" s="17" t="str">
        <f aca="false">IF(B1615="Pre-seeded","Pre-seeded",IF(B1615="Review 2026-09-16","Added from review",IF(C1615="","New",IF(C1615=D1615,"","Changed"))))</f>
        <v/>
      </c>
      <c r="N1615" s="7" t="str">
        <f aca="false">TRIM(SUBSTITUTE(SUBSTITUTE(SUBSTITUTE(" "&amp;TRIM(SUBSTITUTE(SUBSTITUTE(SUBSTITUTE(SUBSTITUTE(SUBSTITUTE(SUBSTITUTE(SUBSTITUTE(SUBSTITUTE(SUBSTITUTE(SUBSTITUTE(SUBSTITUTE(SUBSTITUTE(SUBSTITUTE(SUBSTITUTE(SUBSTITUTE(UPPER(TRIM(A1615)),"[MEMBER]",""),"{MEMBER}",""),"[MEMBER}",""),"MEMBER]",""),"(A)",""),"""",""),"“",""),"”",""),".",""),":",""),",",""),"–"," "),"-"," "),"/"," "),"&amp;"," AND "))&amp;" "," THE "," ")," TOTAL "," ")," OPERATIONS "," "))</f>
        <v>SINGAPORE</v>
      </c>
      <c r="O1615" s="17" t="str">
        <f aca="false">IF(COUNTIFS($N$2:$N$2000,N1615,$D$2:$D$2000,"&lt;&gt;"&amp;D1615)&gt;0,"CONFLICT","")</f>
        <v/>
      </c>
      <c r="P1615" s="7"/>
    </row>
    <row r="1616" customFormat="false" ht="15" hidden="false" customHeight="false" outlineLevel="0" collapsed="false">
      <c r="A1616" s="7" t="s">
        <v>601</v>
      </c>
      <c r="B1616" s="7" t="s">
        <v>1879</v>
      </c>
      <c r="C1616" s="7"/>
      <c r="D1616" s="6" t="s">
        <v>601</v>
      </c>
      <c r="E1616" s="6" t="s">
        <v>1880</v>
      </c>
      <c r="F1616" s="7" t="str">
        <f aca="false">IF($D1616="","",IFERROR(IF(INDEX(Hierarchy!$B$2:$B$1295,MATCH($D1616,Hierarchy!$A$2:$A$1295,0))="","",INDEX(Hierarchy!$B$2:$B$1295,MATCH($D1616,Hierarchy!$A$2:$A$1295,0))),"NODE NOT FOUND"))</f>
        <v>Country</v>
      </c>
      <c r="G1616" s="7" t="str">
        <f aca="false">IF($D1616="","",IFERROR(IF(INDEX(Hierarchy!$D$2:$D$1295,MATCH($D1616,Hierarchy!$A$2:$A$1295,0))="","",INDEX(Hierarchy!$D$2:$D$1295,MATCH($D1616,Hierarchy!$A$2:$A$1295,0))),"NODE NOT FOUND"))</f>
        <v>AMER</v>
      </c>
      <c r="H1616" s="7" t="str">
        <f aca="false">IF($D1616="","",IFERROR(IF(INDEX(Hierarchy!$E$2:$E$1295,MATCH($D1616,Hierarchy!$A$2:$A$1295,0))="","",INDEX(Hierarchy!$E$2:$E$1295,MATCH($D1616,Hierarchy!$A$2:$A$1295,0))),"NODE NOT FOUND"))</f>
        <v>Latin America (LATAM)</v>
      </c>
      <c r="I1616" s="7" t="str">
        <f aca="false">IF($D1616="","",IFERROR(IF(INDEX(Hierarchy!$F$2:$F$1295,MATCH($D1616,Hierarchy!$A$2:$A$1295,0))="","",INDEX(Hierarchy!$F$2:$F$1295,MATCH($D1616,Hierarchy!$A$2:$A$1295,0))),"NODE NOT FOUND"))</f>
        <v>Sint Maarten (Dutch part)</v>
      </c>
      <c r="J1616" s="7" t="str">
        <f aca="false">IF($D1616="","",IFERROR(IF(INDEX(Hierarchy!$G$2:$G$1295,MATCH($D1616,Hierarchy!$A$2:$A$1295,0))="","",INDEX(Hierarchy!$G$2:$G$1295,MATCH($D1616,Hierarchy!$A$2:$A$1295,0))),"NODE NOT FOUND"))</f>
        <v>SXM</v>
      </c>
      <c r="K1616" s="7" t="str">
        <f aca="false">IF($D1616="","",IFERROR(IF(INDEX(Hierarchy!$H$2:$H$1295,MATCH($D1616,Hierarchy!$A$2:$A$1295,0))="","",INDEX(Hierarchy!$H$2:$H$1295,MATCH($D1616,Hierarchy!$A$2:$A$1295,0))),"NODE NOT FOUND"))</f>
        <v/>
      </c>
      <c r="L1616" s="7" t="str">
        <f aca="false">IF($D1616="","",IFERROR(IF(INDEX(Hierarchy!$I$2:$I$1295,MATCH($D1616,Hierarchy!$A$2:$A$1295,0))="","",INDEX(Hierarchy!$I$2:$I$1295,MATCH($D1616,Hierarchy!$A$2:$A$1295,0))),"NODE NOT FOUND"))</f>
        <v/>
      </c>
      <c r="M1616" s="17" t="str">
        <f aca="false">IF(B1616="Pre-seeded","Pre-seeded",IF(B1616="Review 2026-09-16","Added from review",IF(C1616="","New",IF(C1616=D1616,"","Changed"))))</f>
        <v>Pre-seeded</v>
      </c>
      <c r="N1616" s="7" t="str">
        <f aca="false">TRIM(SUBSTITUTE(SUBSTITUTE(SUBSTITUTE(" "&amp;TRIM(SUBSTITUTE(SUBSTITUTE(SUBSTITUTE(SUBSTITUTE(SUBSTITUTE(SUBSTITUTE(SUBSTITUTE(SUBSTITUTE(SUBSTITUTE(SUBSTITUTE(SUBSTITUTE(SUBSTITUTE(SUBSTITUTE(SUBSTITUTE(SUBSTITUTE(UPPER(TRIM(A1616)),"[MEMBER]",""),"{MEMBER}",""),"[MEMBER}",""),"MEMBER]",""),"(A)",""),"""",""),"“",""),"”",""),".",""),":",""),",",""),"–"," "),"-"," "),"/"," "),"&amp;"," AND "))&amp;" "," THE "," ")," TOTAL "," ")," OPERATIONS "," "))</f>
        <v>SINT MAARTEN (DUTCH PART)</v>
      </c>
      <c r="O1616" s="17" t="str">
        <f aca="false">IF(COUNTIFS($N$2:$N$2000,N1616,$D$2:$D$2000,"&lt;&gt;"&amp;D1616)&gt;0,"CONFLICT","")</f>
        <v/>
      </c>
      <c r="P1616" s="7"/>
    </row>
    <row r="1617" customFormat="false" ht="15" hidden="false" customHeight="false" outlineLevel="0" collapsed="false">
      <c r="A1617" s="7" t="s">
        <v>2705</v>
      </c>
      <c r="B1617" s="7" t="s">
        <v>1954</v>
      </c>
      <c r="C1617" s="7"/>
      <c r="D1617" s="6" t="s">
        <v>732</v>
      </c>
      <c r="E1617" s="6" t="s">
        <v>1880</v>
      </c>
      <c r="F1617" s="7" t="str">
        <f aca="false">IF($D1617="","",IFERROR(IF(INDEX(Hierarchy!$B$2:$B$1295,MATCH($D1617,Hierarchy!$A$2:$A$1295,0))="","",INDEX(Hierarchy!$B$2:$B$1295,MATCH($D1617,Hierarchy!$A$2:$A$1295,0))),"NODE NOT FOUND"))</f>
        <v>City</v>
      </c>
      <c r="G1617" s="7" t="str">
        <f aca="false">IF($D1617="","",IFERROR(IF(INDEX(Hierarchy!$D$2:$D$1295,MATCH($D1617,Hierarchy!$A$2:$A$1295,0))="","",INDEX(Hierarchy!$D$2:$D$1295,MATCH($D1617,Hierarchy!$A$2:$A$1295,0))),"NODE NOT FOUND"))</f>
        <v>EMEA</v>
      </c>
      <c r="H1617" s="7" t="str">
        <f aca="false">IF($D1617="","",IFERROR(IF(INDEX(Hierarchy!$E$2:$E$1295,MATCH($D1617,Hierarchy!$A$2:$A$1295,0))="","",INDEX(Hierarchy!$E$2:$E$1295,MATCH($D1617,Hierarchy!$A$2:$A$1295,0))),"NODE NOT FOUND"))</f>
        <v>Europe</v>
      </c>
      <c r="I1617" s="7" t="str">
        <f aca="false">IF($D1617="","",IFERROR(IF(INDEX(Hierarchy!$F$2:$F$1295,MATCH($D1617,Hierarchy!$A$2:$A$1295,0))="","",INDEX(Hierarchy!$F$2:$F$1295,MATCH($D1617,Hierarchy!$A$2:$A$1295,0))),"NODE NOT FOUND"))</f>
        <v>France</v>
      </c>
      <c r="J1617" s="7" t="str">
        <f aca="false">IF($D1617="","",IFERROR(IF(INDEX(Hierarchy!$G$2:$G$1295,MATCH($D1617,Hierarchy!$A$2:$A$1295,0))="","",INDEX(Hierarchy!$G$2:$G$1295,MATCH($D1617,Hierarchy!$A$2:$A$1295,0))),"NODE NOT FOUND"))</f>
        <v>FRA</v>
      </c>
      <c r="K1617" s="7" t="str">
        <f aca="false">IF($D1617="","",IFERROR(IF(INDEX(Hierarchy!$H$2:$H$1295,MATCH($D1617,Hierarchy!$A$2:$A$1295,0))="","",INDEX(Hierarchy!$H$2:$H$1295,MATCH($D1617,Hierarchy!$A$2:$A$1295,0))),"NODE NOT FOUND"))</f>
        <v>Provence-Alpes-Côte d'Azur</v>
      </c>
      <c r="L1617" s="7" t="str">
        <f aca="false">IF($D1617="","",IFERROR(IF(INDEX(Hierarchy!$I$2:$I$1295,MATCH($D1617,Hierarchy!$A$2:$A$1295,0))="","",INDEX(Hierarchy!$I$2:$I$1295,MATCH($D1617,Hierarchy!$A$2:$A$1295,0))),"NODE NOT FOUND"))</f>
        <v>Nice</v>
      </c>
      <c r="M1617" s="17" t="str">
        <f aca="false">IF(B1617="Pre-seeded","Pre-seeded",IF(B1617="Review 2026-09-16","Added from review",IF(C1617="","New",IF(C1617=D1617,"","Changed"))))</f>
        <v>Added from review</v>
      </c>
      <c r="N1617" s="7" t="str">
        <f aca="false">TRIM(SUBSTITUTE(SUBSTITUTE(SUBSTITUTE(" "&amp;TRIM(SUBSTITUTE(SUBSTITUTE(SUBSTITUTE(SUBSTITUTE(SUBSTITUTE(SUBSTITUTE(SUBSTITUTE(SUBSTITUTE(SUBSTITUTE(SUBSTITUTE(SUBSTITUTE(SUBSTITUTE(SUBSTITUTE(SUBSTITUTE(SUBSTITUTE(UPPER(TRIM(A1617)),"[MEMBER]",""),"{MEMBER}",""),"[MEMBER}",""),"MEMBER]",""),"(A)",""),"""",""),"“",""),"”",""),".",""),":",""),",",""),"–"," "),"-"," "),"/"," "),"&amp;"," AND "))&amp;" "," THE "," ")," TOTAL "," ")," OPERATIONS "," "))</f>
        <v>SITE IN NICE FRANCE</v>
      </c>
      <c r="O1617" s="17" t="str">
        <f aca="false">IF(COUNTIFS($N$2:$N$2000,N1617,$D$2:$D$2000,"&lt;&gt;"&amp;D1617)&gt;0,"CONFLICT","")</f>
        <v/>
      </c>
      <c r="P1617" s="7" t="s">
        <v>2178</v>
      </c>
    </row>
    <row r="1618" customFormat="false" ht="15" hidden="false" customHeight="false" outlineLevel="0" collapsed="false">
      <c r="A1618" s="7" t="s">
        <v>2706</v>
      </c>
      <c r="B1618" s="7" t="s">
        <v>1905</v>
      </c>
      <c r="C1618" s="7" t="s">
        <v>1906</v>
      </c>
      <c r="D1618" s="6" t="s">
        <v>251</v>
      </c>
      <c r="E1618" s="6" t="s">
        <v>1880</v>
      </c>
      <c r="F1618" s="7" t="str">
        <f aca="false">IF($D1618="","",IFERROR(IF(INDEX(Hierarchy!$B$2:$B$1295,MATCH($D1618,Hierarchy!$A$2:$A$1295,0))="","",INDEX(Hierarchy!$B$2:$B$1295,MATCH($D1618,Hierarchy!$A$2:$A$1295,0))),"NODE NOT FOUND"))</f>
        <v>City</v>
      </c>
      <c r="G1618" s="7" t="str">
        <f aca="false">IF($D1618="","",IFERROR(IF(INDEX(Hierarchy!$D$2:$D$1295,MATCH($D1618,Hierarchy!$A$2:$A$1295,0))="","",INDEX(Hierarchy!$D$2:$D$1295,MATCH($D1618,Hierarchy!$A$2:$A$1295,0))),"NODE NOT FOUND"))</f>
        <v>AMER</v>
      </c>
      <c r="H1618" s="7" t="str">
        <f aca="false">IF($D1618="","",IFERROR(IF(INDEX(Hierarchy!$E$2:$E$1295,MATCH($D1618,Hierarchy!$A$2:$A$1295,0))="","",INDEX(Hierarchy!$E$2:$E$1295,MATCH($D1618,Hierarchy!$A$2:$A$1295,0))),"NODE NOT FOUND"))</f>
        <v>North America (NORAM)</v>
      </c>
      <c r="I1618" s="7" t="str">
        <f aca="false">IF($D1618="","",IFERROR(IF(INDEX(Hierarchy!$F$2:$F$1295,MATCH($D1618,Hierarchy!$A$2:$A$1295,0))="","",INDEX(Hierarchy!$F$2:$F$1295,MATCH($D1618,Hierarchy!$A$2:$A$1295,0))),"NODE NOT FOUND"))</f>
        <v>United States</v>
      </c>
      <c r="J1618" s="7" t="str">
        <f aca="false">IF($D1618="","",IFERROR(IF(INDEX(Hierarchy!$G$2:$G$1295,MATCH($D1618,Hierarchy!$A$2:$A$1295,0))="","",INDEX(Hierarchy!$G$2:$G$1295,MATCH($D1618,Hierarchy!$A$2:$A$1295,0))),"NODE NOT FOUND"))</f>
        <v>USA</v>
      </c>
      <c r="K1618" s="7" t="str">
        <f aca="false">IF($D1618="","",IFERROR(IF(INDEX(Hierarchy!$H$2:$H$1295,MATCH($D1618,Hierarchy!$A$2:$A$1295,0))="","",INDEX(Hierarchy!$H$2:$H$1295,MATCH($D1618,Hierarchy!$A$2:$A$1295,0))),"NODE NOT FOUND"))</f>
        <v>Texas</v>
      </c>
      <c r="L1618" s="7" t="str">
        <f aca="false">IF($D1618="","",IFERROR(IF(INDEX(Hierarchy!$I$2:$I$1295,MATCH($D1618,Hierarchy!$A$2:$A$1295,0))="","",INDEX(Hierarchy!$I$2:$I$1295,MATCH($D1618,Hierarchy!$A$2:$A$1295,0))),"NODE NOT FOUND"))</f>
        <v>Plano</v>
      </c>
      <c r="M1618" s="17" t="str">
        <f aca="false">IF(B1618="Pre-seeded","Pre-seeded",IF(B1618="Review 2026-09-16","Added from review",IF(C1618="","New",IF(C1618=D1618,"","Changed"))))</f>
        <v>Changed</v>
      </c>
      <c r="N1618" s="7" t="str">
        <f aca="false">TRIM(SUBSTITUTE(SUBSTITUTE(SUBSTITUTE(" "&amp;TRIM(SUBSTITUTE(SUBSTITUTE(SUBSTITUTE(SUBSTITUTE(SUBSTITUTE(SUBSTITUTE(SUBSTITUTE(SUBSTITUTE(SUBSTITUTE(SUBSTITUTE(SUBSTITUTE(SUBSTITUTE(SUBSTITUTE(SUBSTITUTE(SUBSTITUTE(UPPER(TRIM(A1618)),"[MEMBER]",""),"{MEMBER}",""),"[MEMBER}",""),"MEMBER]",""),"(A)",""),"""",""),"“",""),"”",""),".",""),":",""),",",""),"–"," "),"-"," "),"/"," "),"&amp;"," AND "))&amp;" "," THE "," ")," TOTAL "," ")," OPERATIONS "," "))</f>
        <v>SITE IN PLANO TEXAS</v>
      </c>
      <c r="O1618" s="17" t="str">
        <f aca="false">IF(COUNTIFS($N$2:$N$2000,N1618,$D$2:$D$2000,"&lt;&gt;"&amp;D1618)&gt;0,"CONFLICT","")</f>
        <v/>
      </c>
      <c r="P1618" s="7" t="s">
        <v>2378</v>
      </c>
    </row>
    <row r="1619" customFormat="false" ht="15" hidden="false" customHeight="false" outlineLevel="0" collapsed="false">
      <c r="A1619" s="7" t="s">
        <v>2707</v>
      </c>
      <c r="B1619" s="7" t="s">
        <v>1879</v>
      </c>
      <c r="C1619" s="7"/>
      <c r="D1619" s="6" t="s">
        <v>944</v>
      </c>
      <c r="E1619" s="6" t="s">
        <v>1880</v>
      </c>
      <c r="F1619" s="7" t="str">
        <f aca="false">IF($D1619="","",IFERROR(IF(INDEX(Hierarchy!$B$2:$B$1295,MATCH($D1619,Hierarchy!$A$2:$A$1295,0))="","",INDEX(Hierarchy!$B$2:$B$1295,MATCH($D1619,Hierarchy!$A$2:$A$1295,0))),"NODE NOT FOUND"))</f>
        <v>Country</v>
      </c>
      <c r="G1619" s="7" t="str">
        <f aca="false">IF($D1619="","",IFERROR(IF(INDEX(Hierarchy!$D$2:$D$1295,MATCH($D1619,Hierarchy!$A$2:$A$1295,0))="","",INDEX(Hierarchy!$D$2:$D$1295,MATCH($D1619,Hierarchy!$A$2:$A$1295,0))),"NODE NOT FOUND"))</f>
        <v>EMEA</v>
      </c>
      <c r="H1619" s="7" t="str">
        <f aca="false">IF($D1619="","",IFERROR(IF(INDEX(Hierarchy!$E$2:$E$1295,MATCH($D1619,Hierarchy!$A$2:$A$1295,0))="","",INDEX(Hierarchy!$E$2:$E$1295,MATCH($D1619,Hierarchy!$A$2:$A$1295,0))),"NODE NOT FOUND"))</f>
        <v>Europe</v>
      </c>
      <c r="I1619" s="7" t="str">
        <f aca="false">IF($D1619="","",IFERROR(IF(INDEX(Hierarchy!$F$2:$F$1295,MATCH($D1619,Hierarchy!$A$2:$A$1295,0))="","",INDEX(Hierarchy!$F$2:$F$1295,MATCH($D1619,Hierarchy!$A$2:$A$1295,0))),"NODE NOT FOUND"))</f>
        <v>Slovakia</v>
      </c>
      <c r="J1619" s="7" t="str">
        <f aca="false">IF($D1619="","",IFERROR(IF(INDEX(Hierarchy!$G$2:$G$1295,MATCH($D1619,Hierarchy!$A$2:$A$1295,0))="","",INDEX(Hierarchy!$G$2:$G$1295,MATCH($D1619,Hierarchy!$A$2:$A$1295,0))),"NODE NOT FOUND"))</f>
        <v>SVK</v>
      </c>
      <c r="K1619" s="7" t="str">
        <f aca="false">IF($D1619="","",IFERROR(IF(INDEX(Hierarchy!$H$2:$H$1295,MATCH($D1619,Hierarchy!$A$2:$A$1295,0))="","",INDEX(Hierarchy!$H$2:$H$1295,MATCH($D1619,Hierarchy!$A$2:$A$1295,0))),"NODE NOT FOUND"))</f>
        <v/>
      </c>
      <c r="L1619" s="7" t="str">
        <f aca="false">IF($D1619="","",IFERROR(IF(INDEX(Hierarchy!$I$2:$I$1295,MATCH($D1619,Hierarchy!$A$2:$A$1295,0))="","",INDEX(Hierarchy!$I$2:$I$1295,MATCH($D1619,Hierarchy!$A$2:$A$1295,0))),"NODE NOT FOUND"))</f>
        <v/>
      </c>
      <c r="M1619" s="17" t="str">
        <f aca="false">IF(B1619="Pre-seeded","Pre-seeded",IF(B1619="Review 2026-09-16","Added from review",IF(C1619="","New",IF(C1619=D1619,"","Changed"))))</f>
        <v>Pre-seeded</v>
      </c>
      <c r="N1619" s="7" t="str">
        <f aca="false">TRIM(SUBSTITUTE(SUBSTITUTE(SUBSTITUTE(" "&amp;TRIM(SUBSTITUTE(SUBSTITUTE(SUBSTITUTE(SUBSTITUTE(SUBSTITUTE(SUBSTITUTE(SUBSTITUTE(SUBSTITUTE(SUBSTITUTE(SUBSTITUTE(SUBSTITUTE(SUBSTITUTE(SUBSTITUTE(SUBSTITUTE(SUBSTITUTE(UPPER(TRIM(A1619)),"[MEMBER]",""),"{MEMBER}",""),"[MEMBER}",""),"MEMBER]",""),"(A)",""),"""",""),"“",""),"”",""),".",""),":",""),",",""),"–"," "),"-"," "),"/"," "),"&amp;"," AND "))&amp;" "," THE "," ")," TOTAL "," ")," OPERATIONS "," "))</f>
        <v>SLOVAK REPUBLIC</v>
      </c>
      <c r="O1619" s="17" t="str">
        <f aca="false">IF(COUNTIFS($N$2:$N$2000,N1619,$D$2:$D$2000,"&lt;&gt;"&amp;D1619)&gt;0,"CONFLICT","")</f>
        <v/>
      </c>
      <c r="P1619" s="7" t="s">
        <v>1936</v>
      </c>
    </row>
    <row r="1620" customFormat="false" ht="15" hidden="false" customHeight="false" outlineLevel="0" collapsed="false">
      <c r="A1620" s="7" t="s">
        <v>944</v>
      </c>
      <c r="B1620" s="7" t="s">
        <v>1879</v>
      </c>
      <c r="C1620" s="7"/>
      <c r="D1620" s="6" t="s">
        <v>944</v>
      </c>
      <c r="E1620" s="6" t="s">
        <v>1880</v>
      </c>
      <c r="F1620" s="7" t="str">
        <f aca="false">IF($D1620="","",IFERROR(IF(INDEX(Hierarchy!$B$2:$B$1295,MATCH($D1620,Hierarchy!$A$2:$A$1295,0))="","",INDEX(Hierarchy!$B$2:$B$1295,MATCH($D1620,Hierarchy!$A$2:$A$1295,0))),"NODE NOT FOUND"))</f>
        <v>Country</v>
      </c>
      <c r="G1620" s="7" t="str">
        <f aca="false">IF($D1620="","",IFERROR(IF(INDEX(Hierarchy!$D$2:$D$1295,MATCH($D1620,Hierarchy!$A$2:$A$1295,0))="","",INDEX(Hierarchy!$D$2:$D$1295,MATCH($D1620,Hierarchy!$A$2:$A$1295,0))),"NODE NOT FOUND"))</f>
        <v>EMEA</v>
      </c>
      <c r="H1620" s="7" t="str">
        <f aca="false">IF($D1620="","",IFERROR(IF(INDEX(Hierarchy!$E$2:$E$1295,MATCH($D1620,Hierarchy!$A$2:$A$1295,0))="","",INDEX(Hierarchy!$E$2:$E$1295,MATCH($D1620,Hierarchy!$A$2:$A$1295,0))),"NODE NOT FOUND"))</f>
        <v>Europe</v>
      </c>
      <c r="I1620" s="7" t="str">
        <f aca="false">IF($D1620="","",IFERROR(IF(INDEX(Hierarchy!$F$2:$F$1295,MATCH($D1620,Hierarchy!$A$2:$A$1295,0))="","",INDEX(Hierarchy!$F$2:$F$1295,MATCH($D1620,Hierarchy!$A$2:$A$1295,0))),"NODE NOT FOUND"))</f>
        <v>Slovakia</v>
      </c>
      <c r="J1620" s="7" t="str">
        <f aca="false">IF($D1620="","",IFERROR(IF(INDEX(Hierarchy!$G$2:$G$1295,MATCH($D1620,Hierarchy!$A$2:$A$1295,0))="","",INDEX(Hierarchy!$G$2:$G$1295,MATCH($D1620,Hierarchy!$A$2:$A$1295,0))),"NODE NOT FOUND"))</f>
        <v>SVK</v>
      </c>
      <c r="K1620" s="7" t="str">
        <f aca="false">IF($D1620="","",IFERROR(IF(INDEX(Hierarchy!$H$2:$H$1295,MATCH($D1620,Hierarchy!$A$2:$A$1295,0))="","",INDEX(Hierarchy!$H$2:$H$1295,MATCH($D1620,Hierarchy!$A$2:$A$1295,0))),"NODE NOT FOUND"))</f>
        <v/>
      </c>
      <c r="L1620" s="7" t="str">
        <f aca="false">IF($D1620="","",IFERROR(IF(INDEX(Hierarchy!$I$2:$I$1295,MATCH($D1620,Hierarchy!$A$2:$A$1295,0))="","",INDEX(Hierarchy!$I$2:$I$1295,MATCH($D1620,Hierarchy!$A$2:$A$1295,0))),"NODE NOT FOUND"))</f>
        <v/>
      </c>
      <c r="M1620" s="17" t="str">
        <f aca="false">IF(B1620="Pre-seeded","Pre-seeded",IF(B1620="Review 2026-09-16","Added from review",IF(C1620="","New",IF(C1620=D1620,"","Changed"))))</f>
        <v>Pre-seeded</v>
      </c>
      <c r="N1620" s="7" t="str">
        <f aca="false">TRIM(SUBSTITUTE(SUBSTITUTE(SUBSTITUTE(" "&amp;TRIM(SUBSTITUTE(SUBSTITUTE(SUBSTITUTE(SUBSTITUTE(SUBSTITUTE(SUBSTITUTE(SUBSTITUTE(SUBSTITUTE(SUBSTITUTE(SUBSTITUTE(SUBSTITUTE(SUBSTITUTE(SUBSTITUTE(SUBSTITUTE(SUBSTITUTE(UPPER(TRIM(A1620)),"[MEMBER]",""),"{MEMBER}",""),"[MEMBER}",""),"MEMBER]",""),"(A)",""),"""",""),"“",""),"”",""),".",""),":",""),",",""),"–"," "),"-"," "),"/"," "),"&amp;"," AND "))&amp;" "," THE "," ")," TOTAL "," ")," OPERATIONS "," "))</f>
        <v>SLOVAKIA</v>
      </c>
      <c r="O1620" s="17" t="str">
        <f aca="false">IF(COUNTIFS($N$2:$N$2000,N1620,$D$2:$D$2000,"&lt;&gt;"&amp;D1620)&gt;0,"CONFLICT","")</f>
        <v/>
      </c>
      <c r="P1620" s="7"/>
    </row>
    <row r="1621" customFormat="false" ht="15" hidden="false" customHeight="false" outlineLevel="0" collapsed="false">
      <c r="A1621" s="7" t="s">
        <v>946</v>
      </c>
      <c r="B1621" s="7" t="s">
        <v>1879</v>
      </c>
      <c r="C1621" s="7"/>
      <c r="D1621" s="6" t="s">
        <v>946</v>
      </c>
      <c r="E1621" s="6" t="s">
        <v>1880</v>
      </c>
      <c r="F1621" s="7" t="str">
        <f aca="false">IF($D1621="","",IFERROR(IF(INDEX(Hierarchy!$B$2:$B$1295,MATCH($D1621,Hierarchy!$A$2:$A$1295,0))="","",INDEX(Hierarchy!$B$2:$B$1295,MATCH($D1621,Hierarchy!$A$2:$A$1295,0))),"NODE NOT FOUND"))</f>
        <v>Country</v>
      </c>
      <c r="G1621" s="7" t="str">
        <f aca="false">IF($D1621="","",IFERROR(IF(INDEX(Hierarchy!$D$2:$D$1295,MATCH($D1621,Hierarchy!$A$2:$A$1295,0))="","",INDEX(Hierarchy!$D$2:$D$1295,MATCH($D1621,Hierarchy!$A$2:$A$1295,0))),"NODE NOT FOUND"))</f>
        <v>EMEA</v>
      </c>
      <c r="H1621" s="7" t="str">
        <f aca="false">IF($D1621="","",IFERROR(IF(INDEX(Hierarchy!$E$2:$E$1295,MATCH($D1621,Hierarchy!$A$2:$A$1295,0))="","",INDEX(Hierarchy!$E$2:$E$1295,MATCH($D1621,Hierarchy!$A$2:$A$1295,0))),"NODE NOT FOUND"))</f>
        <v>Europe</v>
      </c>
      <c r="I1621" s="7" t="str">
        <f aca="false">IF($D1621="","",IFERROR(IF(INDEX(Hierarchy!$F$2:$F$1295,MATCH($D1621,Hierarchy!$A$2:$A$1295,0))="","",INDEX(Hierarchy!$F$2:$F$1295,MATCH($D1621,Hierarchy!$A$2:$A$1295,0))),"NODE NOT FOUND"))</f>
        <v>Slovenia</v>
      </c>
      <c r="J1621" s="7" t="str">
        <f aca="false">IF($D1621="","",IFERROR(IF(INDEX(Hierarchy!$G$2:$G$1295,MATCH($D1621,Hierarchy!$A$2:$A$1295,0))="","",INDEX(Hierarchy!$G$2:$G$1295,MATCH($D1621,Hierarchy!$A$2:$A$1295,0))),"NODE NOT FOUND"))</f>
        <v>SVN</v>
      </c>
      <c r="K1621" s="7" t="str">
        <f aca="false">IF($D1621="","",IFERROR(IF(INDEX(Hierarchy!$H$2:$H$1295,MATCH($D1621,Hierarchy!$A$2:$A$1295,0))="","",INDEX(Hierarchy!$H$2:$H$1295,MATCH($D1621,Hierarchy!$A$2:$A$1295,0))),"NODE NOT FOUND"))</f>
        <v/>
      </c>
      <c r="L1621" s="7" t="str">
        <f aca="false">IF($D1621="","",IFERROR(IF(INDEX(Hierarchy!$I$2:$I$1295,MATCH($D1621,Hierarchy!$A$2:$A$1295,0))="","",INDEX(Hierarchy!$I$2:$I$1295,MATCH($D1621,Hierarchy!$A$2:$A$1295,0))),"NODE NOT FOUND"))</f>
        <v/>
      </c>
      <c r="M1621" s="17" t="str">
        <f aca="false">IF(B1621="Pre-seeded","Pre-seeded",IF(B1621="Review 2026-09-16","Added from review",IF(C1621="","New",IF(C1621=D1621,"","Changed"))))</f>
        <v>Pre-seeded</v>
      </c>
      <c r="N1621" s="7" t="str">
        <f aca="false">TRIM(SUBSTITUTE(SUBSTITUTE(SUBSTITUTE(" "&amp;TRIM(SUBSTITUTE(SUBSTITUTE(SUBSTITUTE(SUBSTITUTE(SUBSTITUTE(SUBSTITUTE(SUBSTITUTE(SUBSTITUTE(SUBSTITUTE(SUBSTITUTE(SUBSTITUTE(SUBSTITUTE(SUBSTITUTE(SUBSTITUTE(SUBSTITUTE(UPPER(TRIM(A1621)),"[MEMBER]",""),"{MEMBER}",""),"[MEMBER}",""),"MEMBER]",""),"(A)",""),"""",""),"“",""),"”",""),".",""),":",""),",",""),"–"," "),"-"," "),"/"," "),"&amp;"," AND "))&amp;" "," THE "," ")," TOTAL "," ")," OPERATIONS "," "))</f>
        <v>SLOVENIA</v>
      </c>
      <c r="O1621" s="17" t="str">
        <f aca="false">IF(COUNTIFS($N$2:$N$2000,N1621,$D$2:$D$2000,"&lt;&gt;"&amp;D1621)&gt;0,"CONFLICT","")</f>
        <v/>
      </c>
      <c r="P1621" s="7"/>
    </row>
    <row r="1622" customFormat="false" ht="15" hidden="false" customHeight="false" outlineLevel="0" collapsed="false">
      <c r="A1622" s="7" t="s">
        <v>2708</v>
      </c>
      <c r="B1622" s="7" t="s">
        <v>1879</v>
      </c>
      <c r="C1622" s="7"/>
      <c r="D1622" s="6" t="s">
        <v>1851</v>
      </c>
      <c r="E1622" s="6" t="s">
        <v>1880</v>
      </c>
      <c r="F1622" s="7" t="str">
        <f aca="false">IF($D1622="","",IFERROR(IF(INDEX(Hierarchy!$B$2:$B$1295,MATCH($D1622,Hierarchy!$A$2:$A$1295,0))="","",INDEX(Hierarchy!$B$2:$B$1295,MATCH($D1622,Hierarchy!$A$2:$A$1295,0))),"NODE NOT FOUND"))</f>
        <v>Reference grouping</v>
      </c>
      <c r="G1622" s="7" t="str">
        <f aca="false">IF($D1622="","",IFERROR(IF(INDEX(Hierarchy!$D$2:$D$1295,MATCH($D1622,Hierarchy!$A$2:$A$1295,0))="","",INDEX(Hierarchy!$D$2:$D$1295,MATCH($D1622,Hierarchy!$A$2:$A$1295,0))),"NODE NOT FOUND"))</f>
        <v>Reference (UN / World Bank)</v>
      </c>
      <c r="H1622" s="7" t="str">
        <f aca="false">IF($D1622="","",IFERROR(IF(INDEX(Hierarchy!$E$2:$E$1295,MATCH($D1622,Hierarchy!$A$2:$A$1295,0))="","",INDEX(Hierarchy!$E$2:$E$1295,MATCH($D1622,Hierarchy!$A$2:$A$1295,0))),"NODE NOT FOUND"))</f>
        <v/>
      </c>
      <c r="I1622" s="7" t="str">
        <f aca="false">IF($D1622="","",IFERROR(IF(INDEX(Hierarchy!$F$2:$F$1295,MATCH($D1622,Hierarchy!$A$2:$A$1295,0))="","",INDEX(Hierarchy!$F$2:$F$1295,MATCH($D1622,Hierarchy!$A$2:$A$1295,0))),"NODE NOT FOUND"))</f>
        <v/>
      </c>
      <c r="J1622" s="7" t="str">
        <f aca="false">IF($D1622="","",IFERROR(IF(INDEX(Hierarchy!$G$2:$G$1295,MATCH($D1622,Hierarchy!$A$2:$A$1295,0))="","",INDEX(Hierarchy!$G$2:$G$1295,MATCH($D1622,Hierarchy!$A$2:$A$1295,0))),"NODE NOT FOUND"))</f>
        <v/>
      </c>
      <c r="K1622" s="7" t="str">
        <f aca="false">IF($D1622="","",IFERROR(IF(INDEX(Hierarchy!$H$2:$H$1295,MATCH($D1622,Hierarchy!$A$2:$A$1295,0))="","",INDEX(Hierarchy!$H$2:$H$1295,MATCH($D1622,Hierarchy!$A$2:$A$1295,0))),"NODE NOT FOUND"))</f>
        <v/>
      </c>
      <c r="L1622" s="7" t="str">
        <f aca="false">IF($D1622="","",IFERROR(IF(INDEX(Hierarchy!$I$2:$I$1295,MATCH($D1622,Hierarchy!$A$2:$A$1295,0))="","",INDEX(Hierarchy!$I$2:$I$1295,MATCH($D1622,Hierarchy!$A$2:$A$1295,0))),"NODE NOT FOUND"))</f>
        <v/>
      </c>
      <c r="M1622" s="17" t="str">
        <f aca="false">IF(B1622="Pre-seeded","Pre-seeded",IF(B1622="Review 2026-09-16","Added from review",IF(C1622="","New",IF(C1622=D1622,"","Changed"))))</f>
        <v>Pre-seeded</v>
      </c>
      <c r="N1622" s="7" t="str">
        <f aca="false">TRIM(SUBSTITUTE(SUBSTITUTE(SUBSTITUTE(" "&amp;TRIM(SUBSTITUTE(SUBSTITUTE(SUBSTITUTE(SUBSTITUTE(SUBSTITUTE(SUBSTITUTE(SUBSTITUTE(SUBSTITUTE(SUBSTITUTE(SUBSTITUTE(SUBSTITUTE(SUBSTITUTE(SUBSTITUTE(SUBSTITUTE(SUBSTITUTE(UPPER(TRIM(A1622)),"[MEMBER]",""),"{MEMBER}",""),"[MEMBER}",""),"MEMBER]",""),"(A)",""),"""",""),"“",""),"”",""),".",""),":",""),",",""),"–"," "),"-"," "),"/"," "),"&amp;"," AND "))&amp;" "," THE "," ")," TOTAL "," ")," OPERATIONS "," "))</f>
        <v>SMALL ISLAND DEVELOPING STATES</v>
      </c>
      <c r="O1622" s="17" t="str">
        <f aca="false">IF(COUNTIFS($N$2:$N$2000,N1622,$D$2:$D$2000,"&lt;&gt;"&amp;D1622)&gt;0,"CONFLICT","")</f>
        <v/>
      </c>
      <c r="P1622" s="7"/>
    </row>
    <row r="1623" customFormat="false" ht="15" hidden="false" customHeight="false" outlineLevel="0" collapsed="false">
      <c r="A1623" s="7" t="s">
        <v>1851</v>
      </c>
      <c r="B1623" s="7" t="s">
        <v>1879</v>
      </c>
      <c r="C1623" s="7"/>
      <c r="D1623" s="6" t="s">
        <v>1851</v>
      </c>
      <c r="E1623" s="6" t="s">
        <v>1880</v>
      </c>
      <c r="F1623" s="7" t="str">
        <f aca="false">IF($D1623="","",IFERROR(IF(INDEX(Hierarchy!$B$2:$B$1295,MATCH($D1623,Hierarchy!$A$2:$A$1295,0))="","",INDEX(Hierarchy!$B$2:$B$1295,MATCH($D1623,Hierarchy!$A$2:$A$1295,0))),"NODE NOT FOUND"))</f>
        <v>Reference grouping</v>
      </c>
      <c r="G1623" s="7" t="str">
        <f aca="false">IF($D1623="","",IFERROR(IF(INDEX(Hierarchy!$D$2:$D$1295,MATCH($D1623,Hierarchy!$A$2:$A$1295,0))="","",INDEX(Hierarchy!$D$2:$D$1295,MATCH($D1623,Hierarchy!$A$2:$A$1295,0))),"NODE NOT FOUND"))</f>
        <v>Reference (UN / World Bank)</v>
      </c>
      <c r="H1623" s="7" t="str">
        <f aca="false">IF($D1623="","",IFERROR(IF(INDEX(Hierarchy!$E$2:$E$1295,MATCH($D1623,Hierarchy!$A$2:$A$1295,0))="","",INDEX(Hierarchy!$E$2:$E$1295,MATCH($D1623,Hierarchy!$A$2:$A$1295,0))),"NODE NOT FOUND"))</f>
        <v/>
      </c>
      <c r="I1623" s="7" t="str">
        <f aca="false">IF($D1623="","",IFERROR(IF(INDEX(Hierarchy!$F$2:$F$1295,MATCH($D1623,Hierarchy!$A$2:$A$1295,0))="","",INDEX(Hierarchy!$F$2:$F$1295,MATCH($D1623,Hierarchy!$A$2:$A$1295,0))),"NODE NOT FOUND"))</f>
        <v/>
      </c>
      <c r="J1623" s="7" t="str">
        <f aca="false">IF($D1623="","",IFERROR(IF(INDEX(Hierarchy!$G$2:$G$1295,MATCH($D1623,Hierarchy!$A$2:$A$1295,0))="","",INDEX(Hierarchy!$G$2:$G$1295,MATCH($D1623,Hierarchy!$A$2:$A$1295,0))),"NODE NOT FOUND"))</f>
        <v/>
      </c>
      <c r="K1623" s="7" t="str">
        <f aca="false">IF($D1623="","",IFERROR(IF(INDEX(Hierarchy!$H$2:$H$1295,MATCH($D1623,Hierarchy!$A$2:$A$1295,0))="","",INDEX(Hierarchy!$H$2:$H$1295,MATCH($D1623,Hierarchy!$A$2:$A$1295,0))),"NODE NOT FOUND"))</f>
        <v/>
      </c>
      <c r="L1623" s="7" t="str">
        <f aca="false">IF($D1623="","",IFERROR(IF(INDEX(Hierarchy!$I$2:$I$1295,MATCH($D1623,Hierarchy!$A$2:$A$1295,0))="","",INDEX(Hierarchy!$I$2:$I$1295,MATCH($D1623,Hierarchy!$A$2:$A$1295,0))),"NODE NOT FOUND"))</f>
        <v/>
      </c>
      <c r="M1623" s="17" t="str">
        <f aca="false">IF(B1623="Pre-seeded","Pre-seeded",IF(B1623="Review 2026-09-16","Added from review",IF(C1623="","New",IF(C1623=D1623,"","Changed"))))</f>
        <v>Pre-seeded</v>
      </c>
      <c r="N1623" s="7" t="str">
        <f aca="false">TRIM(SUBSTITUTE(SUBSTITUTE(SUBSTITUTE(" "&amp;TRIM(SUBSTITUTE(SUBSTITUTE(SUBSTITUTE(SUBSTITUTE(SUBSTITUTE(SUBSTITUTE(SUBSTITUTE(SUBSTITUTE(SUBSTITUTE(SUBSTITUTE(SUBSTITUTE(SUBSTITUTE(SUBSTITUTE(SUBSTITUTE(SUBSTITUTE(UPPER(TRIM(A1623)),"[MEMBER]",""),"{MEMBER}",""),"[MEMBER}",""),"MEMBER]",""),"(A)",""),"""",""),"“",""),"”",""),".",""),":",""),",",""),"–"," "),"-"," "),"/"," "),"&amp;"," AND "))&amp;" "," THE "," ")," TOTAL "," ")," OPERATIONS "," "))</f>
        <v>SMALL ISLAND DEVELOPING STATES (UN SIDS)</v>
      </c>
      <c r="O1623" s="17" t="str">
        <f aca="false">IF(COUNTIFS($N$2:$N$2000,N1623,$D$2:$D$2000,"&lt;&gt;"&amp;D1623)&gt;0,"CONFLICT","")</f>
        <v/>
      </c>
      <c r="P1623" s="7"/>
    </row>
    <row r="1624" customFormat="false" ht="15" hidden="false" customHeight="false" outlineLevel="0" collapsed="false">
      <c r="A1624" s="7" t="s">
        <v>1678</v>
      </c>
      <c r="B1624" s="7" t="s">
        <v>1879</v>
      </c>
      <c r="C1624" s="7"/>
      <c r="D1624" s="6" t="s">
        <v>1678</v>
      </c>
      <c r="E1624" s="6" t="s">
        <v>1880</v>
      </c>
      <c r="F1624" s="7" t="str">
        <f aca="false">IF($D1624="","",IFERROR(IF(INDEX(Hierarchy!$B$2:$B$1295,MATCH($D1624,Hierarchy!$A$2:$A$1295,0))="","",INDEX(Hierarchy!$B$2:$B$1295,MATCH($D1624,Hierarchy!$A$2:$A$1295,0))),"NODE NOT FOUND"))</f>
        <v>State/Province</v>
      </c>
      <c r="G1624" s="7" t="str">
        <f aca="false">IF($D1624="","",IFERROR(IF(INDEX(Hierarchy!$D$2:$D$1295,MATCH($D1624,Hierarchy!$A$2:$A$1295,0))="","",INDEX(Hierarchy!$D$2:$D$1295,MATCH($D1624,Hierarchy!$A$2:$A$1295,0))),"NODE NOT FOUND"))</f>
        <v>APAC</v>
      </c>
      <c r="H1624" s="7" t="str">
        <f aca="false">IF($D1624="","",IFERROR(IF(INDEX(Hierarchy!$E$2:$E$1295,MATCH($D1624,Hierarchy!$A$2:$A$1295,0))="","",INDEX(Hierarchy!$E$2:$E$1295,MATCH($D1624,Hierarchy!$A$2:$A$1295,0))),"NODE NOT FOUND"))</f>
        <v>Southeast Asia (ASEAN)</v>
      </c>
      <c r="I1624" s="7" t="str">
        <f aca="false">IF($D1624="","",IFERROR(IF(INDEX(Hierarchy!$F$2:$F$1295,MATCH($D1624,Hierarchy!$A$2:$A$1295,0))="","",INDEX(Hierarchy!$F$2:$F$1295,MATCH($D1624,Hierarchy!$A$2:$A$1295,0))),"NODE NOT FOUND"))</f>
        <v>Philippines</v>
      </c>
      <c r="J1624" s="7" t="str">
        <f aca="false">IF($D1624="","",IFERROR(IF(INDEX(Hierarchy!$G$2:$G$1295,MATCH($D1624,Hierarchy!$A$2:$A$1295,0))="","",INDEX(Hierarchy!$G$2:$G$1295,MATCH($D1624,Hierarchy!$A$2:$A$1295,0))),"NODE NOT FOUND"))</f>
        <v>PHL</v>
      </c>
      <c r="K1624" s="7" t="str">
        <f aca="false">IF($D1624="","",IFERROR(IF(INDEX(Hierarchy!$H$2:$H$1295,MATCH($D1624,Hierarchy!$A$2:$A$1295,0))="","",INDEX(Hierarchy!$H$2:$H$1295,MATCH($D1624,Hierarchy!$A$2:$A$1295,0))),"NODE NOT FOUND"))</f>
        <v>Soccsksargen</v>
      </c>
      <c r="L1624" s="7" t="str">
        <f aca="false">IF($D1624="","",IFERROR(IF(INDEX(Hierarchy!$I$2:$I$1295,MATCH($D1624,Hierarchy!$A$2:$A$1295,0))="","",INDEX(Hierarchy!$I$2:$I$1295,MATCH($D1624,Hierarchy!$A$2:$A$1295,0))),"NODE NOT FOUND"))</f>
        <v/>
      </c>
      <c r="M1624" s="17" t="str">
        <f aca="false">IF(B1624="Pre-seeded","Pre-seeded",IF(B1624="Review 2026-09-16","Added from review",IF(C1624="","New",IF(C1624=D1624,"","Changed"))))</f>
        <v>Pre-seeded</v>
      </c>
      <c r="N1624" s="7" t="str">
        <f aca="false">TRIM(SUBSTITUTE(SUBSTITUTE(SUBSTITUTE(" "&amp;TRIM(SUBSTITUTE(SUBSTITUTE(SUBSTITUTE(SUBSTITUTE(SUBSTITUTE(SUBSTITUTE(SUBSTITUTE(SUBSTITUTE(SUBSTITUTE(SUBSTITUTE(SUBSTITUTE(SUBSTITUTE(SUBSTITUTE(SUBSTITUTE(SUBSTITUTE(UPPER(TRIM(A1624)),"[MEMBER]",""),"{MEMBER}",""),"[MEMBER}",""),"MEMBER]",""),"(A)",""),"""",""),"“",""),"”",""),".",""),":",""),",",""),"–"," "),"-"," "),"/"," "),"&amp;"," AND "))&amp;" "," THE "," ")," TOTAL "," ")," OPERATIONS "," "))</f>
        <v>SOCCSKSARGEN</v>
      </c>
      <c r="O1624" s="17" t="str">
        <f aca="false">IF(COUNTIFS($N$2:$N$2000,N1624,$D$2:$D$2000,"&lt;&gt;"&amp;D1624)&gt;0,"CONFLICT","")</f>
        <v/>
      </c>
      <c r="P1624" s="7"/>
    </row>
    <row r="1625" customFormat="false" ht="15" hidden="false" customHeight="false" outlineLevel="0" collapsed="false">
      <c r="A1625" s="7" t="s">
        <v>2709</v>
      </c>
      <c r="B1625" s="7" t="s">
        <v>1879</v>
      </c>
      <c r="C1625" s="7"/>
      <c r="D1625" s="6" t="s">
        <v>1690</v>
      </c>
      <c r="E1625" s="6" t="s">
        <v>1880</v>
      </c>
      <c r="F1625" s="7" t="str">
        <f aca="false">IF($D1625="","",IFERROR(IF(INDEX(Hierarchy!$B$2:$B$1295,MATCH($D1625,Hierarchy!$A$2:$A$1295,0))="","",INDEX(Hierarchy!$B$2:$B$1295,MATCH($D1625,Hierarchy!$A$2:$A$1295,0))),"NODE NOT FOUND"))</f>
        <v>Country</v>
      </c>
      <c r="G1625" s="7" t="str">
        <f aca="false">IF($D1625="","",IFERROR(IF(INDEX(Hierarchy!$D$2:$D$1295,MATCH($D1625,Hierarchy!$A$2:$A$1295,0))="","",INDEX(Hierarchy!$D$2:$D$1295,MATCH($D1625,Hierarchy!$A$2:$A$1295,0))),"NODE NOT FOUND"))</f>
        <v>APAC</v>
      </c>
      <c r="H1625" s="7" t="str">
        <f aca="false">IF($D1625="","",IFERROR(IF(INDEX(Hierarchy!$E$2:$E$1295,MATCH($D1625,Hierarchy!$A$2:$A$1295,0))="","",INDEX(Hierarchy!$E$2:$E$1295,MATCH($D1625,Hierarchy!$A$2:$A$1295,0))),"NODE NOT FOUND"))</f>
        <v>Southeast Asia (ASEAN)</v>
      </c>
      <c r="I1625" s="7" t="str">
        <f aca="false">IF($D1625="","",IFERROR(IF(INDEX(Hierarchy!$F$2:$F$1295,MATCH($D1625,Hierarchy!$A$2:$A$1295,0))="","",INDEX(Hierarchy!$F$2:$F$1295,MATCH($D1625,Hierarchy!$A$2:$A$1295,0))),"NODE NOT FOUND"))</f>
        <v>Vietnam</v>
      </c>
      <c r="J1625" s="7" t="str">
        <f aca="false">IF($D1625="","",IFERROR(IF(INDEX(Hierarchy!$G$2:$G$1295,MATCH($D1625,Hierarchy!$A$2:$A$1295,0))="","",INDEX(Hierarchy!$G$2:$G$1295,MATCH($D1625,Hierarchy!$A$2:$A$1295,0))),"NODE NOT FOUND"))</f>
        <v>VNM</v>
      </c>
      <c r="K1625" s="7" t="str">
        <f aca="false">IF($D1625="","",IFERROR(IF(INDEX(Hierarchy!$H$2:$H$1295,MATCH($D1625,Hierarchy!$A$2:$A$1295,0))="","",INDEX(Hierarchy!$H$2:$H$1295,MATCH($D1625,Hierarchy!$A$2:$A$1295,0))),"NODE NOT FOUND"))</f>
        <v/>
      </c>
      <c r="L1625" s="7" t="str">
        <f aca="false">IF($D1625="","",IFERROR(IF(INDEX(Hierarchy!$I$2:$I$1295,MATCH($D1625,Hierarchy!$A$2:$A$1295,0))="","",INDEX(Hierarchy!$I$2:$I$1295,MATCH($D1625,Hierarchy!$A$2:$A$1295,0))),"NODE NOT FOUND"))</f>
        <v/>
      </c>
      <c r="M1625" s="17" t="str">
        <f aca="false">IF(B1625="Pre-seeded","Pre-seeded",IF(B1625="Review 2026-09-16","Added from review",IF(C1625="","New",IF(C1625=D1625,"","Changed"))))</f>
        <v>Pre-seeded</v>
      </c>
      <c r="N1625" s="7" t="str">
        <f aca="false">TRIM(SUBSTITUTE(SUBSTITUTE(SUBSTITUTE(" "&amp;TRIM(SUBSTITUTE(SUBSTITUTE(SUBSTITUTE(SUBSTITUTE(SUBSTITUTE(SUBSTITUTE(SUBSTITUTE(SUBSTITUTE(SUBSTITUTE(SUBSTITUTE(SUBSTITUTE(SUBSTITUTE(SUBSTITUTE(SUBSTITUTE(SUBSTITUTE(UPPER(TRIM(A1625)),"[MEMBER]",""),"{MEMBER}",""),"[MEMBER}",""),"MEMBER]",""),"(A)",""),"""",""),"“",""),"”",""),".",""),":",""),",",""),"–"," "),"-"," "),"/"," "),"&amp;"," AND "))&amp;" "," THE "," ")," TOTAL "," ")," OPERATIONS "," "))</f>
        <v>SOCIALIST REPUBLIC OF VIET NAM</v>
      </c>
      <c r="O1625" s="17" t="str">
        <f aca="false">IF(COUNTIFS($N$2:$N$2000,N1625,$D$2:$D$2000,"&lt;&gt;"&amp;D1625)&gt;0,"CONFLICT","")</f>
        <v/>
      </c>
      <c r="P1625" s="7" t="s">
        <v>1936</v>
      </c>
    </row>
    <row r="1626" customFormat="false" ht="15" hidden="false" customHeight="false" outlineLevel="0" collapsed="false">
      <c r="A1626" s="7" t="s">
        <v>1166</v>
      </c>
      <c r="B1626" s="7" t="s">
        <v>1879</v>
      </c>
      <c r="C1626" s="7"/>
      <c r="D1626" s="6" t="s">
        <v>1166</v>
      </c>
      <c r="E1626" s="6" t="s">
        <v>1880</v>
      </c>
      <c r="F1626" s="7" t="str">
        <f aca="false">IF($D1626="","",IFERROR(IF(INDEX(Hierarchy!$B$2:$B$1295,MATCH($D1626,Hierarchy!$A$2:$A$1295,0))="","",INDEX(Hierarchy!$B$2:$B$1295,MATCH($D1626,Hierarchy!$A$2:$A$1295,0))),"NODE NOT FOUND"))</f>
        <v>State/Province</v>
      </c>
      <c r="G1626" s="7" t="str">
        <f aca="false">IF($D1626="","",IFERROR(IF(INDEX(Hierarchy!$D$2:$D$1295,MATCH($D1626,Hierarchy!$A$2:$A$1295,0))="","",INDEX(Hierarchy!$D$2:$D$1295,MATCH($D1626,Hierarchy!$A$2:$A$1295,0))),"NODE NOT FOUND"))</f>
        <v>EMEA</v>
      </c>
      <c r="H1626" s="7" t="str">
        <f aca="false">IF($D1626="","",IFERROR(IF(INDEX(Hierarchy!$E$2:$E$1295,MATCH($D1626,Hierarchy!$A$2:$A$1295,0))="","",INDEX(Hierarchy!$E$2:$E$1295,MATCH($D1626,Hierarchy!$A$2:$A$1295,0))),"NODE NOT FOUND"))</f>
        <v>Africa</v>
      </c>
      <c r="I1626" s="7" t="str">
        <f aca="false">IF($D1626="","",IFERROR(IF(INDEX(Hierarchy!$F$2:$F$1295,MATCH($D1626,Hierarchy!$A$2:$A$1295,0))="","",INDEX(Hierarchy!$F$2:$F$1295,MATCH($D1626,Hierarchy!$A$2:$A$1295,0))),"NODE NOT FOUND"))</f>
        <v>Nigeria</v>
      </c>
      <c r="J1626" s="7" t="str">
        <f aca="false">IF($D1626="","",IFERROR(IF(INDEX(Hierarchy!$G$2:$G$1295,MATCH($D1626,Hierarchy!$A$2:$A$1295,0))="","",INDEX(Hierarchy!$G$2:$G$1295,MATCH($D1626,Hierarchy!$A$2:$A$1295,0))),"NODE NOT FOUND"))</f>
        <v>NGA</v>
      </c>
      <c r="K1626" s="7" t="str">
        <f aca="false">IF($D1626="","",IFERROR(IF(INDEX(Hierarchy!$H$2:$H$1295,MATCH($D1626,Hierarchy!$A$2:$A$1295,0))="","",INDEX(Hierarchy!$H$2:$H$1295,MATCH($D1626,Hierarchy!$A$2:$A$1295,0))),"NODE NOT FOUND"))</f>
        <v>Sokoto</v>
      </c>
      <c r="L1626" s="7" t="str">
        <f aca="false">IF($D1626="","",IFERROR(IF(INDEX(Hierarchy!$I$2:$I$1295,MATCH($D1626,Hierarchy!$A$2:$A$1295,0))="","",INDEX(Hierarchy!$I$2:$I$1295,MATCH($D1626,Hierarchy!$A$2:$A$1295,0))),"NODE NOT FOUND"))</f>
        <v/>
      </c>
      <c r="M1626" s="17" t="str">
        <f aca="false">IF(B1626="Pre-seeded","Pre-seeded",IF(B1626="Review 2026-09-16","Added from review",IF(C1626="","New",IF(C1626=D1626,"","Changed"))))</f>
        <v>Pre-seeded</v>
      </c>
      <c r="N1626" s="7" t="str">
        <f aca="false">TRIM(SUBSTITUTE(SUBSTITUTE(SUBSTITUTE(" "&amp;TRIM(SUBSTITUTE(SUBSTITUTE(SUBSTITUTE(SUBSTITUTE(SUBSTITUTE(SUBSTITUTE(SUBSTITUTE(SUBSTITUTE(SUBSTITUTE(SUBSTITUTE(SUBSTITUTE(SUBSTITUTE(SUBSTITUTE(SUBSTITUTE(SUBSTITUTE(UPPER(TRIM(A1626)),"[MEMBER]",""),"{MEMBER}",""),"[MEMBER}",""),"MEMBER]",""),"(A)",""),"""",""),"“",""),"”",""),".",""),":",""),",",""),"–"," "),"-"," "),"/"," "),"&amp;"," AND "))&amp;" "," THE "," ")," TOTAL "," ")," OPERATIONS "," "))</f>
        <v>SOKOTO</v>
      </c>
      <c r="O1626" s="17" t="str">
        <f aca="false">IF(COUNTIFS($N$2:$N$2000,N1626,$D$2:$D$2000,"&lt;&gt;"&amp;D1626)&gt;0,"CONFLICT","")</f>
        <v/>
      </c>
      <c r="P1626" s="7"/>
    </row>
    <row r="1627" customFormat="false" ht="15" hidden="false" customHeight="false" outlineLevel="0" collapsed="false">
      <c r="A1627" s="7" t="s">
        <v>2710</v>
      </c>
      <c r="B1627" s="7" t="s">
        <v>1879</v>
      </c>
      <c r="C1627" s="7"/>
      <c r="D1627" s="6" t="s">
        <v>328</v>
      </c>
      <c r="E1627" s="6" t="s">
        <v>1880</v>
      </c>
      <c r="F1627" s="7" t="str">
        <f aca="false">IF($D1627="","",IFERROR(IF(INDEX(Hierarchy!$B$2:$B$1295,MATCH($D1627,Hierarchy!$A$2:$A$1295,0))="","",INDEX(Hierarchy!$B$2:$B$1295,MATCH($D1627,Hierarchy!$A$2:$A$1295,0))),"NODE NOT FOUND"))</f>
        <v>Sub-region component</v>
      </c>
      <c r="G1627" s="7" t="str">
        <f aca="false">IF($D1627="","",IFERROR(IF(INDEX(Hierarchy!$D$2:$D$1295,MATCH($D1627,Hierarchy!$A$2:$A$1295,0))="","",INDEX(Hierarchy!$D$2:$D$1295,MATCH($D1627,Hierarchy!$A$2:$A$1295,0))),"NODE NOT FOUND"))</f>
        <v>AMER</v>
      </c>
      <c r="H1627" s="7" t="str">
        <f aca="false">IF($D1627="","",IFERROR(IF(INDEX(Hierarchy!$E$2:$E$1295,MATCH($D1627,Hierarchy!$A$2:$A$1295,0))="","",INDEX(Hierarchy!$E$2:$E$1295,MATCH($D1627,Hierarchy!$A$2:$A$1295,0))),"NODE NOT FOUND"))</f>
        <v>Latin America (LATAM)</v>
      </c>
      <c r="I1627" s="7" t="str">
        <f aca="false">IF($D1627="","",IFERROR(IF(INDEX(Hierarchy!$F$2:$F$1295,MATCH($D1627,Hierarchy!$A$2:$A$1295,0))="","",INDEX(Hierarchy!$F$2:$F$1295,MATCH($D1627,Hierarchy!$A$2:$A$1295,0))),"NODE NOT FOUND"))</f>
        <v/>
      </c>
      <c r="J1627" s="7" t="str">
        <f aca="false">IF($D1627="","",IFERROR(IF(INDEX(Hierarchy!$G$2:$G$1295,MATCH($D1627,Hierarchy!$A$2:$A$1295,0))="","",INDEX(Hierarchy!$G$2:$G$1295,MATCH($D1627,Hierarchy!$A$2:$A$1295,0))),"NODE NOT FOUND"))</f>
        <v/>
      </c>
      <c r="K1627" s="7" t="str">
        <f aca="false">IF($D1627="","",IFERROR(IF(INDEX(Hierarchy!$H$2:$H$1295,MATCH($D1627,Hierarchy!$A$2:$A$1295,0))="","",INDEX(Hierarchy!$H$2:$H$1295,MATCH($D1627,Hierarchy!$A$2:$A$1295,0))),"NODE NOT FOUND"))</f>
        <v/>
      </c>
      <c r="L1627" s="7" t="str">
        <f aca="false">IF($D1627="","",IFERROR(IF(INDEX(Hierarchy!$I$2:$I$1295,MATCH($D1627,Hierarchy!$A$2:$A$1295,0))="","",INDEX(Hierarchy!$I$2:$I$1295,MATCH($D1627,Hierarchy!$A$2:$A$1295,0))),"NODE NOT FOUND"))</f>
        <v/>
      </c>
      <c r="M1627" s="17" t="str">
        <f aca="false">IF(B1627="Pre-seeded","Pre-seeded",IF(B1627="Review 2026-09-16","Added from review",IF(C1627="","New",IF(C1627=D1627,"","Changed"))))</f>
        <v>Pre-seeded</v>
      </c>
      <c r="N1627" s="7" t="str">
        <f aca="false">TRIM(SUBSTITUTE(SUBSTITUTE(SUBSTITUTE(" "&amp;TRIM(SUBSTITUTE(SUBSTITUTE(SUBSTITUTE(SUBSTITUTE(SUBSTITUTE(SUBSTITUTE(SUBSTITUTE(SUBSTITUTE(SUBSTITUTE(SUBSTITUTE(SUBSTITUTE(SUBSTITUTE(SUBSTITUTE(SUBSTITUTE(SUBSTITUTE(UPPER(TRIM(A1627)),"[MEMBER]",""),"{MEMBER}",""),"[MEMBER}",""),"MEMBER]",""),"(A)",""),"""",""),"“",""),"”",""),".",""),":",""),",",""),"–"," "),"-"," "),"/"," "),"&amp;"," AND "))&amp;" "," THE "," ")," TOTAL "," ")," OPERATIONS "," "))</f>
        <v>SOLA</v>
      </c>
      <c r="O1627" s="17" t="str">
        <f aca="false">IF(COUNTIFS($N$2:$N$2000,N1627,$D$2:$D$2000,"&lt;&gt;"&amp;D1627)&gt;0,"CONFLICT","")</f>
        <v/>
      </c>
      <c r="P1627" s="7"/>
    </row>
    <row r="1628" customFormat="false" ht="15" hidden="false" customHeight="false" outlineLevel="0" collapsed="false">
      <c r="A1628" s="7" t="s">
        <v>328</v>
      </c>
      <c r="B1628" s="7" t="s">
        <v>1879</v>
      </c>
      <c r="C1628" s="7"/>
      <c r="D1628" s="6" t="s">
        <v>328</v>
      </c>
      <c r="E1628" s="6" t="s">
        <v>1880</v>
      </c>
      <c r="F1628" s="7" t="str">
        <f aca="false">IF($D1628="","",IFERROR(IF(INDEX(Hierarchy!$B$2:$B$1295,MATCH($D1628,Hierarchy!$A$2:$A$1295,0))="","",INDEX(Hierarchy!$B$2:$B$1295,MATCH($D1628,Hierarchy!$A$2:$A$1295,0))),"NODE NOT FOUND"))</f>
        <v>Sub-region component</v>
      </c>
      <c r="G1628" s="7" t="str">
        <f aca="false">IF($D1628="","",IFERROR(IF(INDEX(Hierarchy!$D$2:$D$1295,MATCH($D1628,Hierarchy!$A$2:$A$1295,0))="","",INDEX(Hierarchy!$D$2:$D$1295,MATCH($D1628,Hierarchy!$A$2:$A$1295,0))),"NODE NOT FOUND"))</f>
        <v>AMER</v>
      </c>
      <c r="H1628" s="7" t="str">
        <f aca="false">IF($D1628="","",IFERROR(IF(INDEX(Hierarchy!$E$2:$E$1295,MATCH($D1628,Hierarchy!$A$2:$A$1295,0))="","",INDEX(Hierarchy!$E$2:$E$1295,MATCH($D1628,Hierarchy!$A$2:$A$1295,0))),"NODE NOT FOUND"))</f>
        <v>Latin America (LATAM)</v>
      </c>
      <c r="I1628" s="7" t="str">
        <f aca="false">IF($D1628="","",IFERROR(IF(INDEX(Hierarchy!$F$2:$F$1295,MATCH($D1628,Hierarchy!$A$2:$A$1295,0))="","",INDEX(Hierarchy!$F$2:$F$1295,MATCH($D1628,Hierarchy!$A$2:$A$1295,0))),"NODE NOT FOUND"))</f>
        <v/>
      </c>
      <c r="J1628" s="7" t="str">
        <f aca="false">IF($D1628="","",IFERROR(IF(INDEX(Hierarchy!$G$2:$G$1295,MATCH($D1628,Hierarchy!$A$2:$A$1295,0))="","",INDEX(Hierarchy!$G$2:$G$1295,MATCH($D1628,Hierarchy!$A$2:$A$1295,0))),"NODE NOT FOUND"))</f>
        <v/>
      </c>
      <c r="K1628" s="7" t="str">
        <f aca="false">IF($D1628="","",IFERROR(IF(INDEX(Hierarchy!$H$2:$H$1295,MATCH($D1628,Hierarchy!$A$2:$A$1295,0))="","",INDEX(Hierarchy!$H$2:$H$1295,MATCH($D1628,Hierarchy!$A$2:$A$1295,0))),"NODE NOT FOUND"))</f>
        <v/>
      </c>
      <c r="L1628" s="7" t="str">
        <f aca="false">IF($D1628="","",IFERROR(IF(INDEX(Hierarchy!$I$2:$I$1295,MATCH($D1628,Hierarchy!$A$2:$A$1295,0))="","",INDEX(Hierarchy!$I$2:$I$1295,MATCH($D1628,Hierarchy!$A$2:$A$1295,0))),"NODE NOT FOUND"))</f>
        <v/>
      </c>
      <c r="M1628" s="17" t="str">
        <f aca="false">IF(B1628="Pre-seeded","Pre-seeded",IF(B1628="Review 2026-09-16","Added from review",IF(C1628="","New",IF(C1628=D1628,"","Changed"))))</f>
        <v>Pre-seeded</v>
      </c>
      <c r="N1628" s="7" t="str">
        <f aca="false">TRIM(SUBSTITUTE(SUBSTITUTE(SUBSTITUTE(" "&amp;TRIM(SUBSTITUTE(SUBSTITUTE(SUBSTITUTE(SUBSTITUTE(SUBSTITUTE(SUBSTITUTE(SUBSTITUTE(SUBSTITUTE(SUBSTITUTE(SUBSTITUTE(SUBSTITUTE(SUBSTITUTE(SUBSTITUTE(SUBSTITUTE(SUBSTITUTE(UPPER(TRIM(A1628)),"[MEMBER]",""),"{MEMBER}",""),"[MEMBER}",""),"MEMBER]",""),"(A)",""),"""",""),"“",""),"”",""),".",""),":",""),",",""),"–"," "),"-"," "),"/"," "),"&amp;"," AND "))&amp;" "," THE "," ")," TOTAL "," ")," OPERATIONS "," "))</f>
        <v>SOLA (SOUTHERN LATIN AMERICA)</v>
      </c>
      <c r="O1628" s="17" t="str">
        <f aca="false">IF(COUNTIFS($N$2:$N$2000,N1628,$D$2:$D$2000,"&lt;&gt;"&amp;D1628)&gt;0,"CONFLICT","")</f>
        <v/>
      </c>
      <c r="P1628" s="7"/>
    </row>
    <row r="1629" customFormat="false" ht="15" hidden="false" customHeight="false" outlineLevel="0" collapsed="false">
      <c r="A1629" s="7" t="s">
        <v>1772</v>
      </c>
      <c r="B1629" s="7" t="s">
        <v>1879</v>
      </c>
      <c r="C1629" s="7"/>
      <c r="D1629" s="6" t="s">
        <v>1772</v>
      </c>
      <c r="E1629" s="6" t="s">
        <v>1880</v>
      </c>
      <c r="F1629" s="7" t="str">
        <f aca="false">IF($D1629="","",IFERROR(IF(INDEX(Hierarchy!$B$2:$B$1295,MATCH($D1629,Hierarchy!$A$2:$A$1295,0))="","",INDEX(Hierarchy!$B$2:$B$1295,MATCH($D1629,Hierarchy!$A$2:$A$1295,0))),"NODE NOT FOUND"))</f>
        <v>Country</v>
      </c>
      <c r="G1629" s="7" t="str">
        <f aca="false">IF($D1629="","",IFERROR(IF(INDEX(Hierarchy!$D$2:$D$1295,MATCH($D1629,Hierarchy!$A$2:$A$1295,0))="","",INDEX(Hierarchy!$D$2:$D$1295,MATCH($D1629,Hierarchy!$A$2:$A$1295,0))),"NODE NOT FOUND"))</f>
        <v>APAC</v>
      </c>
      <c r="H1629" s="7" t="str">
        <f aca="false">IF($D1629="","",IFERROR(IF(INDEX(Hierarchy!$E$2:$E$1295,MATCH($D1629,Hierarchy!$A$2:$A$1295,0))="","",INDEX(Hierarchy!$E$2:$E$1295,MATCH($D1629,Hierarchy!$A$2:$A$1295,0))),"NODE NOT FOUND"))</f>
        <v>Oceania (ANZ)</v>
      </c>
      <c r="I1629" s="7" t="str">
        <f aca="false">IF($D1629="","",IFERROR(IF(INDEX(Hierarchy!$F$2:$F$1295,MATCH($D1629,Hierarchy!$A$2:$A$1295,0))="","",INDEX(Hierarchy!$F$2:$F$1295,MATCH($D1629,Hierarchy!$A$2:$A$1295,0))),"NODE NOT FOUND"))</f>
        <v>Solomon Islands</v>
      </c>
      <c r="J1629" s="7" t="str">
        <f aca="false">IF($D1629="","",IFERROR(IF(INDEX(Hierarchy!$G$2:$G$1295,MATCH($D1629,Hierarchy!$A$2:$A$1295,0))="","",INDEX(Hierarchy!$G$2:$G$1295,MATCH($D1629,Hierarchy!$A$2:$A$1295,0))),"NODE NOT FOUND"))</f>
        <v>SLB</v>
      </c>
      <c r="K1629" s="7" t="str">
        <f aca="false">IF($D1629="","",IFERROR(IF(INDEX(Hierarchy!$H$2:$H$1295,MATCH($D1629,Hierarchy!$A$2:$A$1295,0))="","",INDEX(Hierarchy!$H$2:$H$1295,MATCH($D1629,Hierarchy!$A$2:$A$1295,0))),"NODE NOT FOUND"))</f>
        <v/>
      </c>
      <c r="L1629" s="7" t="str">
        <f aca="false">IF($D1629="","",IFERROR(IF(INDEX(Hierarchy!$I$2:$I$1295,MATCH($D1629,Hierarchy!$A$2:$A$1295,0))="","",INDEX(Hierarchy!$I$2:$I$1295,MATCH($D1629,Hierarchy!$A$2:$A$1295,0))),"NODE NOT FOUND"))</f>
        <v/>
      </c>
      <c r="M1629" s="17" t="str">
        <f aca="false">IF(B1629="Pre-seeded","Pre-seeded",IF(B1629="Review 2026-09-16","Added from review",IF(C1629="","New",IF(C1629=D1629,"","Changed"))))</f>
        <v>Pre-seeded</v>
      </c>
      <c r="N1629" s="7" t="str">
        <f aca="false">TRIM(SUBSTITUTE(SUBSTITUTE(SUBSTITUTE(" "&amp;TRIM(SUBSTITUTE(SUBSTITUTE(SUBSTITUTE(SUBSTITUTE(SUBSTITUTE(SUBSTITUTE(SUBSTITUTE(SUBSTITUTE(SUBSTITUTE(SUBSTITUTE(SUBSTITUTE(SUBSTITUTE(SUBSTITUTE(SUBSTITUTE(SUBSTITUTE(UPPER(TRIM(A1629)),"[MEMBER]",""),"{MEMBER}",""),"[MEMBER}",""),"MEMBER]",""),"(A)",""),"""",""),"“",""),"”",""),".",""),":",""),",",""),"–"," "),"-"," "),"/"," "),"&amp;"," AND "))&amp;" "," THE "," ")," TOTAL "," ")," OPERATIONS "," "))</f>
        <v>SOLOMON ISLANDS</v>
      </c>
      <c r="O1629" s="17" t="str">
        <f aca="false">IF(COUNTIFS($N$2:$N$2000,N1629,$D$2:$D$2000,"&lt;&gt;"&amp;D1629)&gt;0,"CONFLICT","")</f>
        <v/>
      </c>
      <c r="P1629" s="7"/>
    </row>
    <row r="1630" customFormat="false" ht="15" hidden="false" customHeight="false" outlineLevel="0" collapsed="false">
      <c r="A1630" s="7" t="s">
        <v>999</v>
      </c>
      <c r="B1630" s="7" t="s">
        <v>1879</v>
      </c>
      <c r="C1630" s="7"/>
      <c r="D1630" s="6" t="s">
        <v>999</v>
      </c>
      <c r="E1630" s="6" t="s">
        <v>1880</v>
      </c>
      <c r="F1630" s="7" t="str">
        <f aca="false">IF($D1630="","",IFERROR(IF(INDEX(Hierarchy!$B$2:$B$1295,MATCH($D1630,Hierarchy!$A$2:$A$1295,0))="","",INDEX(Hierarchy!$B$2:$B$1295,MATCH($D1630,Hierarchy!$A$2:$A$1295,0))),"NODE NOT FOUND"))</f>
        <v>State/Province</v>
      </c>
      <c r="G1630" s="7" t="str">
        <f aca="false">IF($D1630="","",IFERROR(IF(INDEX(Hierarchy!$D$2:$D$1295,MATCH($D1630,Hierarchy!$A$2:$A$1295,0))="","",INDEX(Hierarchy!$D$2:$D$1295,MATCH($D1630,Hierarchy!$A$2:$A$1295,0))),"NODE NOT FOUND"))</f>
        <v>EMEA</v>
      </c>
      <c r="H1630" s="7" t="str">
        <f aca="false">IF($D1630="","",IFERROR(IF(INDEX(Hierarchy!$E$2:$E$1295,MATCH($D1630,Hierarchy!$A$2:$A$1295,0))="","",INDEX(Hierarchy!$E$2:$E$1295,MATCH($D1630,Hierarchy!$A$2:$A$1295,0))),"NODE NOT FOUND"))</f>
        <v>Europe</v>
      </c>
      <c r="I1630" s="7" t="str">
        <f aca="false">IF($D1630="","",IFERROR(IF(INDEX(Hierarchy!$F$2:$F$1295,MATCH($D1630,Hierarchy!$A$2:$A$1295,0))="","",INDEX(Hierarchy!$F$2:$F$1295,MATCH($D1630,Hierarchy!$A$2:$A$1295,0))),"NODE NOT FOUND"))</f>
        <v>Switzerland</v>
      </c>
      <c r="J1630" s="7" t="str">
        <f aca="false">IF($D1630="","",IFERROR(IF(INDEX(Hierarchy!$G$2:$G$1295,MATCH($D1630,Hierarchy!$A$2:$A$1295,0))="","",INDEX(Hierarchy!$G$2:$G$1295,MATCH($D1630,Hierarchy!$A$2:$A$1295,0))),"NODE NOT FOUND"))</f>
        <v>CHE</v>
      </c>
      <c r="K1630" s="7" t="str">
        <f aca="false">IF($D1630="","",IFERROR(IF(INDEX(Hierarchy!$H$2:$H$1295,MATCH($D1630,Hierarchy!$A$2:$A$1295,0))="","",INDEX(Hierarchy!$H$2:$H$1295,MATCH($D1630,Hierarchy!$A$2:$A$1295,0))),"NODE NOT FOUND"))</f>
        <v>Solothurn</v>
      </c>
      <c r="L1630" s="7" t="str">
        <f aca="false">IF($D1630="","",IFERROR(IF(INDEX(Hierarchy!$I$2:$I$1295,MATCH($D1630,Hierarchy!$A$2:$A$1295,0))="","",INDEX(Hierarchy!$I$2:$I$1295,MATCH($D1630,Hierarchy!$A$2:$A$1295,0))),"NODE NOT FOUND"))</f>
        <v/>
      </c>
      <c r="M1630" s="17" t="str">
        <f aca="false">IF(B1630="Pre-seeded","Pre-seeded",IF(B1630="Review 2026-09-16","Added from review",IF(C1630="","New",IF(C1630=D1630,"","Changed"))))</f>
        <v>Pre-seeded</v>
      </c>
      <c r="N1630" s="7" t="str">
        <f aca="false">TRIM(SUBSTITUTE(SUBSTITUTE(SUBSTITUTE(" "&amp;TRIM(SUBSTITUTE(SUBSTITUTE(SUBSTITUTE(SUBSTITUTE(SUBSTITUTE(SUBSTITUTE(SUBSTITUTE(SUBSTITUTE(SUBSTITUTE(SUBSTITUTE(SUBSTITUTE(SUBSTITUTE(SUBSTITUTE(SUBSTITUTE(SUBSTITUTE(UPPER(TRIM(A1630)),"[MEMBER]",""),"{MEMBER}",""),"[MEMBER}",""),"MEMBER]",""),"(A)",""),"""",""),"“",""),"”",""),".",""),":",""),",",""),"–"," "),"-"," "),"/"," "),"&amp;"," AND "))&amp;" "," THE "," ")," TOTAL "," ")," OPERATIONS "," "))</f>
        <v>SOLOTHURN</v>
      </c>
      <c r="O1630" s="17" t="str">
        <f aca="false">IF(COUNTIFS($N$2:$N$2000,N1630,$D$2:$D$2000,"&lt;&gt;"&amp;D1630)&gt;0,"CONFLICT","")</f>
        <v/>
      </c>
      <c r="P1630" s="7"/>
    </row>
    <row r="1631" customFormat="false" ht="15" hidden="false" customHeight="false" outlineLevel="0" collapsed="false">
      <c r="A1631" s="7" t="s">
        <v>1289</v>
      </c>
      <c r="B1631" s="7" t="s">
        <v>1879</v>
      </c>
      <c r="C1631" s="7"/>
      <c r="D1631" s="6" t="s">
        <v>1289</v>
      </c>
      <c r="E1631" s="6" t="s">
        <v>1880</v>
      </c>
      <c r="F1631" s="7" t="str">
        <f aca="false">IF($D1631="","",IFERROR(IF(INDEX(Hierarchy!$B$2:$B$1295,MATCH($D1631,Hierarchy!$A$2:$A$1295,0))="","",INDEX(Hierarchy!$B$2:$B$1295,MATCH($D1631,Hierarchy!$A$2:$A$1295,0))),"NODE NOT FOUND"))</f>
        <v>Country</v>
      </c>
      <c r="G1631" s="7" t="str">
        <f aca="false">IF($D1631="","",IFERROR(IF(INDEX(Hierarchy!$D$2:$D$1295,MATCH($D1631,Hierarchy!$A$2:$A$1295,0))="","",INDEX(Hierarchy!$D$2:$D$1295,MATCH($D1631,Hierarchy!$A$2:$A$1295,0))),"NODE NOT FOUND"))</f>
        <v>EMEA</v>
      </c>
      <c r="H1631" s="7" t="str">
        <f aca="false">IF($D1631="","",IFERROR(IF(INDEX(Hierarchy!$E$2:$E$1295,MATCH($D1631,Hierarchy!$A$2:$A$1295,0))="","",INDEX(Hierarchy!$E$2:$E$1295,MATCH($D1631,Hierarchy!$A$2:$A$1295,0))),"NODE NOT FOUND"))</f>
        <v>Africa</v>
      </c>
      <c r="I1631" s="7" t="str">
        <f aca="false">IF($D1631="","",IFERROR(IF(INDEX(Hierarchy!$F$2:$F$1295,MATCH($D1631,Hierarchy!$A$2:$A$1295,0))="","",INDEX(Hierarchy!$F$2:$F$1295,MATCH($D1631,Hierarchy!$A$2:$A$1295,0))),"NODE NOT FOUND"))</f>
        <v>Somalia</v>
      </c>
      <c r="J1631" s="7" t="str">
        <f aca="false">IF($D1631="","",IFERROR(IF(INDEX(Hierarchy!$G$2:$G$1295,MATCH($D1631,Hierarchy!$A$2:$A$1295,0))="","",INDEX(Hierarchy!$G$2:$G$1295,MATCH($D1631,Hierarchy!$A$2:$A$1295,0))),"NODE NOT FOUND"))</f>
        <v>SOM</v>
      </c>
      <c r="K1631" s="7" t="str">
        <f aca="false">IF($D1631="","",IFERROR(IF(INDEX(Hierarchy!$H$2:$H$1295,MATCH($D1631,Hierarchy!$A$2:$A$1295,0))="","",INDEX(Hierarchy!$H$2:$H$1295,MATCH($D1631,Hierarchy!$A$2:$A$1295,0))),"NODE NOT FOUND"))</f>
        <v/>
      </c>
      <c r="L1631" s="7" t="str">
        <f aca="false">IF($D1631="","",IFERROR(IF(INDEX(Hierarchy!$I$2:$I$1295,MATCH($D1631,Hierarchy!$A$2:$A$1295,0))="","",INDEX(Hierarchy!$I$2:$I$1295,MATCH($D1631,Hierarchy!$A$2:$A$1295,0))),"NODE NOT FOUND"))</f>
        <v/>
      </c>
      <c r="M1631" s="17" t="str">
        <f aca="false">IF(B1631="Pre-seeded","Pre-seeded",IF(B1631="Review 2026-09-16","Added from review",IF(C1631="","New",IF(C1631=D1631,"","Changed"))))</f>
        <v>Pre-seeded</v>
      </c>
      <c r="N1631" s="7" t="str">
        <f aca="false">TRIM(SUBSTITUTE(SUBSTITUTE(SUBSTITUTE(" "&amp;TRIM(SUBSTITUTE(SUBSTITUTE(SUBSTITUTE(SUBSTITUTE(SUBSTITUTE(SUBSTITUTE(SUBSTITUTE(SUBSTITUTE(SUBSTITUTE(SUBSTITUTE(SUBSTITUTE(SUBSTITUTE(SUBSTITUTE(SUBSTITUTE(SUBSTITUTE(UPPER(TRIM(A1631)),"[MEMBER]",""),"{MEMBER}",""),"[MEMBER}",""),"MEMBER]",""),"(A)",""),"""",""),"“",""),"”",""),".",""),":",""),",",""),"–"," "),"-"," "),"/"," "),"&amp;"," AND "))&amp;" "," THE "," ")," TOTAL "," ")," OPERATIONS "," "))</f>
        <v>SOMALIA</v>
      </c>
      <c r="O1631" s="17" t="str">
        <f aca="false">IF(COUNTIFS($N$2:$N$2000,N1631,$D$2:$D$2000,"&lt;&gt;"&amp;D1631)&gt;0,"CONFLICT","")</f>
        <v/>
      </c>
      <c r="P1631" s="7"/>
    </row>
    <row r="1632" customFormat="false" ht="15" hidden="false" customHeight="false" outlineLevel="0" collapsed="false">
      <c r="A1632" s="7" t="s">
        <v>412</v>
      </c>
      <c r="B1632" s="7" t="s">
        <v>1879</v>
      </c>
      <c r="C1632" s="7"/>
      <c r="D1632" s="6" t="s">
        <v>412</v>
      </c>
      <c r="E1632" s="6" t="s">
        <v>1880</v>
      </c>
      <c r="F1632" s="7" t="str">
        <f aca="false">IF($D1632="","",IFERROR(IF(INDEX(Hierarchy!$B$2:$B$1295,MATCH($D1632,Hierarchy!$A$2:$A$1295,0))="","",INDEX(Hierarchy!$B$2:$B$1295,MATCH($D1632,Hierarchy!$A$2:$A$1295,0))),"NODE NOT FOUND"))</f>
        <v>State/Province</v>
      </c>
      <c r="G1632" s="7" t="str">
        <f aca="false">IF($D1632="","",IFERROR(IF(INDEX(Hierarchy!$D$2:$D$1295,MATCH($D1632,Hierarchy!$A$2:$A$1295,0))="","",INDEX(Hierarchy!$D$2:$D$1295,MATCH($D1632,Hierarchy!$A$2:$A$1295,0))),"NODE NOT FOUND"))</f>
        <v>AMER</v>
      </c>
      <c r="H1632" s="7" t="str">
        <f aca="false">IF($D1632="","",IFERROR(IF(INDEX(Hierarchy!$E$2:$E$1295,MATCH($D1632,Hierarchy!$A$2:$A$1295,0))="","",INDEX(Hierarchy!$E$2:$E$1295,MATCH($D1632,Hierarchy!$A$2:$A$1295,0))),"NODE NOT FOUND"))</f>
        <v>Latin America (LATAM)</v>
      </c>
      <c r="I1632" s="7" t="str">
        <f aca="false">IF($D1632="","",IFERROR(IF(INDEX(Hierarchy!$F$2:$F$1295,MATCH($D1632,Hierarchy!$A$2:$A$1295,0))="","",INDEX(Hierarchy!$F$2:$F$1295,MATCH($D1632,Hierarchy!$A$2:$A$1295,0))),"NODE NOT FOUND"))</f>
        <v>Mexico</v>
      </c>
      <c r="J1632" s="7" t="str">
        <f aca="false">IF($D1632="","",IFERROR(IF(INDEX(Hierarchy!$G$2:$G$1295,MATCH($D1632,Hierarchy!$A$2:$A$1295,0))="","",INDEX(Hierarchy!$G$2:$G$1295,MATCH($D1632,Hierarchy!$A$2:$A$1295,0))),"NODE NOT FOUND"))</f>
        <v>MEX</v>
      </c>
      <c r="K1632" s="7" t="str">
        <f aca="false">IF($D1632="","",IFERROR(IF(INDEX(Hierarchy!$H$2:$H$1295,MATCH($D1632,Hierarchy!$A$2:$A$1295,0))="","",INDEX(Hierarchy!$H$2:$H$1295,MATCH($D1632,Hierarchy!$A$2:$A$1295,0))),"NODE NOT FOUND"))</f>
        <v>Sonora</v>
      </c>
      <c r="L1632" s="7" t="str">
        <f aca="false">IF($D1632="","",IFERROR(IF(INDEX(Hierarchy!$I$2:$I$1295,MATCH($D1632,Hierarchy!$A$2:$A$1295,0))="","",INDEX(Hierarchy!$I$2:$I$1295,MATCH($D1632,Hierarchy!$A$2:$A$1295,0))),"NODE NOT FOUND"))</f>
        <v/>
      </c>
      <c r="M1632" s="17" t="str">
        <f aca="false">IF(B1632="Pre-seeded","Pre-seeded",IF(B1632="Review 2026-09-16","Added from review",IF(C1632="","New",IF(C1632=D1632,"","Changed"))))</f>
        <v>Pre-seeded</v>
      </c>
      <c r="N1632" s="7" t="str">
        <f aca="false">TRIM(SUBSTITUTE(SUBSTITUTE(SUBSTITUTE(" "&amp;TRIM(SUBSTITUTE(SUBSTITUTE(SUBSTITUTE(SUBSTITUTE(SUBSTITUTE(SUBSTITUTE(SUBSTITUTE(SUBSTITUTE(SUBSTITUTE(SUBSTITUTE(SUBSTITUTE(SUBSTITUTE(SUBSTITUTE(SUBSTITUTE(SUBSTITUTE(UPPER(TRIM(A1632)),"[MEMBER]",""),"{MEMBER}",""),"[MEMBER}",""),"MEMBER]",""),"(A)",""),"""",""),"“",""),"”",""),".",""),":",""),",",""),"–"," "),"-"," "),"/"," "),"&amp;"," AND "))&amp;" "," THE "," ")," TOTAL "," ")," OPERATIONS "," "))</f>
        <v>SONORA</v>
      </c>
      <c r="O1632" s="17" t="str">
        <f aca="false">IF(COUNTIFS($N$2:$N$2000,N1632,$D$2:$D$2000,"&lt;&gt;"&amp;D1632)&gt;0,"CONFLICT","")</f>
        <v/>
      </c>
      <c r="P1632" s="7"/>
    </row>
    <row r="1633" customFormat="false" ht="15" hidden="false" customHeight="false" outlineLevel="0" collapsed="false">
      <c r="A1633" s="7" t="s">
        <v>2711</v>
      </c>
      <c r="B1633" s="7" t="s">
        <v>1882</v>
      </c>
      <c r="C1633" s="7" t="s">
        <v>2711</v>
      </c>
      <c r="D1633" s="6" t="s">
        <v>112</v>
      </c>
      <c r="E1633" s="6" t="s">
        <v>1880</v>
      </c>
      <c r="F1633" s="7" t="str">
        <f aca="false">IF($D1633="","",IFERROR(IF(INDEX(Hierarchy!$B$2:$B$1295,MATCH($D1633,Hierarchy!$A$2:$A$1295,0))="","",INDEX(Hierarchy!$B$2:$B$1295,MATCH($D1633,Hierarchy!$A$2:$A$1295,0))),"NODE NOT FOUND"))</f>
        <v>Sub-national region</v>
      </c>
      <c r="G1633" s="7" t="str">
        <f aca="false">IF($D1633="","",IFERROR(IF(INDEX(Hierarchy!$D$2:$D$1295,MATCH($D1633,Hierarchy!$A$2:$A$1295,0))="","",INDEX(Hierarchy!$D$2:$D$1295,MATCH($D1633,Hierarchy!$A$2:$A$1295,0))),"NODE NOT FOUND"))</f>
        <v>AMER</v>
      </c>
      <c r="H1633" s="7" t="str">
        <f aca="false">IF($D1633="","",IFERROR(IF(INDEX(Hierarchy!$E$2:$E$1295,MATCH($D1633,Hierarchy!$A$2:$A$1295,0))="","",INDEX(Hierarchy!$E$2:$E$1295,MATCH($D1633,Hierarchy!$A$2:$A$1295,0))),"NODE NOT FOUND"))</f>
        <v>North America (NORAM)</v>
      </c>
      <c r="I1633" s="7" t="str">
        <f aca="false">IF($D1633="","",IFERROR(IF(INDEX(Hierarchy!$F$2:$F$1295,MATCH($D1633,Hierarchy!$A$2:$A$1295,0))="","",INDEX(Hierarchy!$F$2:$F$1295,MATCH($D1633,Hierarchy!$A$2:$A$1295,0))),"NODE NOT FOUND"))</f>
        <v>United States</v>
      </c>
      <c r="J1633" s="7" t="str">
        <f aca="false">IF($D1633="","",IFERROR(IF(INDEX(Hierarchy!$G$2:$G$1295,MATCH($D1633,Hierarchy!$A$2:$A$1295,0))="","",INDEX(Hierarchy!$G$2:$G$1295,MATCH($D1633,Hierarchy!$A$2:$A$1295,0))),"NODE NOT FOUND"))</f>
        <v>USA</v>
      </c>
      <c r="K1633" s="7" t="str">
        <f aca="false">IF($D1633="","",IFERROR(IF(INDEX(Hierarchy!$H$2:$H$1295,MATCH($D1633,Hierarchy!$A$2:$A$1295,0))="","",INDEX(Hierarchy!$H$2:$H$1295,MATCH($D1633,Hierarchy!$A$2:$A$1295,0))),"NODE NOT FOUND"))</f>
        <v/>
      </c>
      <c r="L1633" s="7" t="str">
        <f aca="false">IF($D1633="","",IFERROR(IF(INDEX(Hierarchy!$I$2:$I$1295,MATCH($D1633,Hierarchy!$A$2:$A$1295,0))="","",INDEX(Hierarchy!$I$2:$I$1295,MATCH($D1633,Hierarchy!$A$2:$A$1295,0))),"NODE NOT FOUND"))</f>
        <v/>
      </c>
      <c r="M1633" s="17" t="str">
        <f aca="false">IF(B1633="Pre-seeded","Pre-seeded",IF(B1633="Review 2026-09-16","Added from review",IF(C1633="","New",IF(C1633=D1633,"","Changed"))))</f>
        <v>Changed</v>
      </c>
      <c r="N1633" s="7" t="str">
        <f aca="false">TRIM(SUBSTITUTE(SUBSTITUTE(SUBSTITUTE(" "&amp;TRIM(SUBSTITUTE(SUBSTITUTE(SUBSTITUTE(SUBSTITUTE(SUBSTITUTE(SUBSTITUTE(SUBSTITUTE(SUBSTITUTE(SUBSTITUTE(SUBSTITUTE(SUBSTITUTE(SUBSTITUTE(SUBSTITUTE(SUBSTITUTE(SUBSTITUTE(UPPER(TRIM(A1633)),"[MEMBER]",""),"{MEMBER}",""),"[MEMBER}",""),"MEMBER]",""),"(A)",""),"""",""),"“",""),"”",""),".",""),":",""),",",""),"–"," "),"-"," "),"/"," "),"&amp;"," AND "))&amp;" "," THE "," ")," TOTAL "," ")," OPERATIONS "," "))</f>
        <v>SOUTH</v>
      </c>
      <c r="O1633" s="17" t="str">
        <f aca="false">IF(COUNTIFS($N$2:$N$2000,N1633,$D$2:$D$2000,"&lt;&gt;"&amp;D1633)&gt;0,"CONFLICT","")</f>
        <v/>
      </c>
      <c r="P1633" s="7" t="s">
        <v>2712</v>
      </c>
    </row>
    <row r="1634" customFormat="false" ht="15" hidden="false" customHeight="false" outlineLevel="0" collapsed="false">
      <c r="A1634" s="7" t="s">
        <v>2713</v>
      </c>
      <c r="B1634" s="7" t="s">
        <v>1885</v>
      </c>
      <c r="C1634" s="7" t="s">
        <v>2109</v>
      </c>
      <c r="D1634" s="6" t="s">
        <v>744</v>
      </c>
      <c r="E1634" s="6" t="s">
        <v>1886</v>
      </c>
      <c r="F1634" s="7" t="str">
        <f aca="false">IF($D1634="","",IFERROR(IF(INDEX(Hierarchy!$B$2:$B$1295,MATCH($D1634,Hierarchy!$A$2:$A$1295,0))="","",INDEX(Hierarchy!$B$2:$B$1295,MATCH($D1634,Hierarchy!$A$2:$A$1295,0))),"NODE NOT FOUND"))</f>
        <v>Sub-region group</v>
      </c>
      <c r="G1634" s="7" t="str">
        <f aca="false">IF($D1634="","",IFERROR(IF(INDEX(Hierarchy!$D$2:$D$1295,MATCH($D1634,Hierarchy!$A$2:$A$1295,0))="","",INDEX(Hierarchy!$D$2:$D$1295,MATCH($D1634,Hierarchy!$A$2:$A$1295,0))),"NODE NOT FOUND"))</f>
        <v>APAC</v>
      </c>
      <c r="H1634" s="7" t="str">
        <f aca="false">IF($D1634="","",IFERROR(IF(INDEX(Hierarchy!$E$2:$E$1295,MATCH($D1634,Hierarchy!$A$2:$A$1295,0))="","",INDEX(Hierarchy!$E$2:$E$1295,MATCH($D1634,Hierarchy!$A$2:$A$1295,0))),"NODE NOT FOUND"))</f>
        <v/>
      </c>
      <c r="I1634" s="7" t="str">
        <f aca="false">IF($D1634="","",IFERROR(IF(INDEX(Hierarchy!$F$2:$F$1295,MATCH($D1634,Hierarchy!$A$2:$A$1295,0))="","",INDEX(Hierarchy!$F$2:$F$1295,MATCH($D1634,Hierarchy!$A$2:$A$1295,0))),"NODE NOT FOUND"))</f>
        <v/>
      </c>
      <c r="J1634" s="7" t="str">
        <f aca="false">IF($D1634="","",IFERROR(IF(INDEX(Hierarchy!$G$2:$G$1295,MATCH($D1634,Hierarchy!$A$2:$A$1295,0))="","",INDEX(Hierarchy!$G$2:$G$1295,MATCH($D1634,Hierarchy!$A$2:$A$1295,0))),"NODE NOT FOUND"))</f>
        <v/>
      </c>
      <c r="K1634" s="7" t="str">
        <f aca="false">IF($D1634="","",IFERROR(IF(INDEX(Hierarchy!$H$2:$H$1295,MATCH($D1634,Hierarchy!$A$2:$A$1295,0))="","",INDEX(Hierarchy!$H$2:$H$1295,MATCH($D1634,Hierarchy!$A$2:$A$1295,0))),"NODE NOT FOUND"))</f>
        <v/>
      </c>
      <c r="L1634" s="7" t="str">
        <f aca="false">IF($D1634="","",IFERROR(IF(INDEX(Hierarchy!$I$2:$I$1295,MATCH($D1634,Hierarchy!$A$2:$A$1295,0))="","",INDEX(Hierarchy!$I$2:$I$1295,MATCH($D1634,Hierarchy!$A$2:$A$1295,0))),"NODE NOT FOUND"))</f>
        <v/>
      </c>
      <c r="M1634" s="17" t="str">
        <f aca="false">IF(B1634="Pre-seeded","Pre-seeded",IF(B1634="Review 2026-09-16","Added from review",IF(C1634="","New",IF(C1634=D1634,"","Changed"))))</f>
        <v>Changed</v>
      </c>
      <c r="N1634" s="7" t="str">
        <f aca="false">TRIM(SUBSTITUTE(SUBSTITUTE(SUBSTITUTE(" "&amp;TRIM(SUBSTITUTE(SUBSTITUTE(SUBSTITUTE(SUBSTITUTE(SUBSTITUTE(SUBSTITUTE(SUBSTITUTE(SUBSTITUTE(SUBSTITUTE(SUBSTITUTE(SUBSTITUTE(SUBSTITUTE(SUBSTITUTE(SUBSTITUTE(SUBSTITUTE(UPPER(TRIM(A1634)),"[MEMBER]",""),"{MEMBER}",""),"[MEMBER}",""),"MEMBER]",""),"(A)",""),"""",""),"“",""),"”",""),".",""),":",""),",",""),"–"," "),"-"," "),"/"," "),"&amp;"," AND "))&amp;" "," THE "," ")," TOTAL "," ")," OPERATIONS "," "))</f>
        <v>SOUTH AND SOUTHEAST ASIA</v>
      </c>
      <c r="O1634" s="17" t="str">
        <f aca="false">IF(COUNTIFS($N$2:$N$2000,N1634,$D$2:$D$2000,"&lt;&gt;"&amp;D1634)&gt;0,"CONFLICT","")</f>
        <v/>
      </c>
      <c r="P1634" s="7" t="s">
        <v>2714</v>
      </c>
    </row>
    <row r="1635" customFormat="false" ht="15" hidden="false" customHeight="false" outlineLevel="0" collapsed="false">
      <c r="A1635" s="7" t="s">
        <v>2715</v>
      </c>
      <c r="B1635" s="7" t="s">
        <v>1882</v>
      </c>
      <c r="C1635" s="7" t="s">
        <v>1111</v>
      </c>
      <c r="D1635" s="6" t="s">
        <v>1111</v>
      </c>
      <c r="E1635" s="6" t="s">
        <v>1880</v>
      </c>
      <c r="F1635" s="7" t="str">
        <f aca="false">IF($D1635="","",IFERROR(IF(INDEX(Hierarchy!$B$2:$B$1295,MATCH($D1635,Hierarchy!$A$2:$A$1295,0))="","",INDEX(Hierarchy!$B$2:$B$1295,MATCH($D1635,Hierarchy!$A$2:$A$1295,0))),"NODE NOT FOUND"))</f>
        <v>Country</v>
      </c>
      <c r="G1635" s="7" t="str">
        <f aca="false">IF($D1635="","",IFERROR(IF(INDEX(Hierarchy!$D$2:$D$1295,MATCH($D1635,Hierarchy!$A$2:$A$1295,0))="","",INDEX(Hierarchy!$D$2:$D$1295,MATCH($D1635,Hierarchy!$A$2:$A$1295,0))),"NODE NOT FOUND"))</f>
        <v>EMEA</v>
      </c>
      <c r="H1635" s="7" t="str">
        <f aca="false">IF($D1635="","",IFERROR(IF(INDEX(Hierarchy!$E$2:$E$1295,MATCH($D1635,Hierarchy!$A$2:$A$1295,0))="","",INDEX(Hierarchy!$E$2:$E$1295,MATCH($D1635,Hierarchy!$A$2:$A$1295,0))),"NODE NOT FOUND"))</f>
        <v>Africa</v>
      </c>
      <c r="I1635" s="7" t="str">
        <f aca="false">IF($D1635="","",IFERROR(IF(INDEX(Hierarchy!$F$2:$F$1295,MATCH($D1635,Hierarchy!$A$2:$A$1295,0))="","",INDEX(Hierarchy!$F$2:$F$1295,MATCH($D1635,Hierarchy!$A$2:$A$1295,0))),"NODE NOT FOUND"))</f>
        <v>South Africa</v>
      </c>
      <c r="J1635" s="7" t="str">
        <f aca="false">IF($D1635="","",IFERROR(IF(INDEX(Hierarchy!$G$2:$G$1295,MATCH($D1635,Hierarchy!$A$2:$A$1295,0))="","",INDEX(Hierarchy!$G$2:$G$1295,MATCH($D1635,Hierarchy!$A$2:$A$1295,0))),"NODE NOT FOUND"))</f>
        <v>ZAF</v>
      </c>
      <c r="K1635" s="7" t="str">
        <f aca="false">IF($D1635="","",IFERROR(IF(INDEX(Hierarchy!$H$2:$H$1295,MATCH($D1635,Hierarchy!$A$2:$A$1295,0))="","",INDEX(Hierarchy!$H$2:$H$1295,MATCH($D1635,Hierarchy!$A$2:$A$1295,0))),"NODE NOT FOUND"))</f>
        <v/>
      </c>
      <c r="L1635" s="7" t="str">
        <f aca="false">IF($D1635="","",IFERROR(IF(INDEX(Hierarchy!$I$2:$I$1295,MATCH($D1635,Hierarchy!$A$2:$A$1295,0))="","",INDEX(Hierarchy!$I$2:$I$1295,MATCH($D1635,Hierarchy!$A$2:$A$1295,0))),"NODE NOT FOUND"))</f>
        <v/>
      </c>
      <c r="M1635" s="17" t="str">
        <f aca="false">IF(B1635="Pre-seeded","Pre-seeded",IF(B1635="Review 2026-09-16","Added from review",IF(C1635="","New",IF(C1635=D1635,"","Changed"))))</f>
        <v/>
      </c>
      <c r="N1635" s="7" t="str">
        <f aca="false">TRIM(SUBSTITUTE(SUBSTITUTE(SUBSTITUTE(" "&amp;TRIM(SUBSTITUTE(SUBSTITUTE(SUBSTITUTE(SUBSTITUTE(SUBSTITUTE(SUBSTITUTE(SUBSTITUTE(SUBSTITUTE(SUBSTITUTE(SUBSTITUTE(SUBSTITUTE(SUBSTITUTE(SUBSTITUTE(SUBSTITUTE(SUBSTITUTE(UPPER(TRIM(A1635)),"[MEMBER]",""),"{MEMBER}",""),"[MEMBER}",""),"MEMBER]",""),"(A)",""),"""",""),"“",""),"”",""),".",""),":",""),",",""),"–"," "),"-"," "),"/"," "),"&amp;"," AND "))&amp;" "," THE "," ")," TOTAL "," ")," OPERATIONS "," "))</f>
        <v>SOUTH AFRICA</v>
      </c>
      <c r="O1635" s="17" t="str">
        <f aca="false">IF(COUNTIFS($N$2:$N$2000,N1635,$D$2:$D$2000,"&lt;&gt;"&amp;D1635)&gt;0,"CONFLICT","")</f>
        <v/>
      </c>
      <c r="P1635" s="7"/>
    </row>
    <row r="1636" customFormat="false" ht="15" hidden="false" customHeight="false" outlineLevel="0" collapsed="false">
      <c r="A1636" s="7" t="s">
        <v>1111</v>
      </c>
      <c r="B1636" s="7" t="s">
        <v>1882</v>
      </c>
      <c r="C1636" s="7" t="s">
        <v>1111</v>
      </c>
      <c r="D1636" s="6" t="s">
        <v>1111</v>
      </c>
      <c r="E1636" s="6" t="s">
        <v>1880</v>
      </c>
      <c r="F1636" s="7" t="str">
        <f aca="false">IF($D1636="","",IFERROR(IF(INDEX(Hierarchy!$B$2:$B$1295,MATCH($D1636,Hierarchy!$A$2:$A$1295,0))="","",INDEX(Hierarchy!$B$2:$B$1295,MATCH($D1636,Hierarchy!$A$2:$A$1295,0))),"NODE NOT FOUND"))</f>
        <v>Country</v>
      </c>
      <c r="G1636" s="7" t="str">
        <f aca="false">IF($D1636="","",IFERROR(IF(INDEX(Hierarchy!$D$2:$D$1295,MATCH($D1636,Hierarchy!$A$2:$A$1295,0))="","",INDEX(Hierarchy!$D$2:$D$1295,MATCH($D1636,Hierarchy!$A$2:$A$1295,0))),"NODE NOT FOUND"))</f>
        <v>EMEA</v>
      </c>
      <c r="H1636" s="7" t="str">
        <f aca="false">IF($D1636="","",IFERROR(IF(INDEX(Hierarchy!$E$2:$E$1295,MATCH($D1636,Hierarchy!$A$2:$A$1295,0))="","",INDEX(Hierarchy!$E$2:$E$1295,MATCH($D1636,Hierarchy!$A$2:$A$1295,0))),"NODE NOT FOUND"))</f>
        <v>Africa</v>
      </c>
      <c r="I1636" s="7" t="str">
        <f aca="false">IF($D1636="","",IFERROR(IF(INDEX(Hierarchy!$F$2:$F$1295,MATCH($D1636,Hierarchy!$A$2:$A$1295,0))="","",INDEX(Hierarchy!$F$2:$F$1295,MATCH($D1636,Hierarchy!$A$2:$A$1295,0))),"NODE NOT FOUND"))</f>
        <v>South Africa</v>
      </c>
      <c r="J1636" s="7" t="str">
        <f aca="false">IF($D1636="","",IFERROR(IF(INDEX(Hierarchy!$G$2:$G$1295,MATCH($D1636,Hierarchy!$A$2:$A$1295,0))="","",INDEX(Hierarchy!$G$2:$G$1295,MATCH($D1636,Hierarchy!$A$2:$A$1295,0))),"NODE NOT FOUND"))</f>
        <v>ZAF</v>
      </c>
      <c r="K1636" s="7" t="str">
        <f aca="false">IF($D1636="","",IFERROR(IF(INDEX(Hierarchy!$H$2:$H$1295,MATCH($D1636,Hierarchy!$A$2:$A$1295,0))="","",INDEX(Hierarchy!$H$2:$H$1295,MATCH($D1636,Hierarchy!$A$2:$A$1295,0))),"NODE NOT FOUND"))</f>
        <v/>
      </c>
      <c r="L1636" s="7" t="str">
        <f aca="false">IF($D1636="","",IFERROR(IF(INDEX(Hierarchy!$I$2:$I$1295,MATCH($D1636,Hierarchy!$A$2:$A$1295,0))="","",INDEX(Hierarchy!$I$2:$I$1295,MATCH($D1636,Hierarchy!$A$2:$A$1295,0))),"NODE NOT FOUND"))</f>
        <v/>
      </c>
      <c r="M1636" s="17" t="str">
        <f aca="false">IF(B1636="Pre-seeded","Pre-seeded",IF(B1636="Review 2026-09-16","Added from review",IF(C1636="","New",IF(C1636=D1636,"","Changed"))))</f>
        <v/>
      </c>
      <c r="N1636" s="7" t="str">
        <f aca="false">TRIM(SUBSTITUTE(SUBSTITUTE(SUBSTITUTE(" "&amp;TRIM(SUBSTITUTE(SUBSTITUTE(SUBSTITUTE(SUBSTITUTE(SUBSTITUTE(SUBSTITUTE(SUBSTITUTE(SUBSTITUTE(SUBSTITUTE(SUBSTITUTE(SUBSTITUTE(SUBSTITUTE(SUBSTITUTE(SUBSTITUTE(SUBSTITUTE(UPPER(TRIM(A1636)),"[MEMBER]",""),"{MEMBER}",""),"[MEMBER}",""),"MEMBER]",""),"(A)",""),"""",""),"“",""),"”",""),".",""),":",""),",",""),"–"," "),"-"," "),"/"," "),"&amp;"," AND "))&amp;" "," THE "," ")," TOTAL "," ")," OPERATIONS "," "))</f>
        <v>SOUTH AFRICA</v>
      </c>
      <c r="O1636" s="17" t="str">
        <f aca="false">IF(COUNTIFS($N$2:$N$2000,N1636,$D$2:$D$2000,"&lt;&gt;"&amp;D1636)&gt;0,"CONFLICT","")</f>
        <v/>
      </c>
      <c r="P1636" s="7"/>
    </row>
    <row r="1637" customFormat="false" ht="15" hidden="false" customHeight="false" outlineLevel="0" collapsed="false">
      <c r="A1637" s="7" t="s">
        <v>315</v>
      </c>
      <c r="B1637" s="7" t="s">
        <v>1882</v>
      </c>
      <c r="C1637" s="7" t="s">
        <v>315</v>
      </c>
      <c r="D1637" s="6" t="s">
        <v>315</v>
      </c>
      <c r="E1637" s="6" t="s">
        <v>1880</v>
      </c>
      <c r="F1637" s="7" t="str">
        <f aca="false">IF($D1637="","",IFERROR(IF(INDEX(Hierarchy!$B$2:$B$1295,MATCH($D1637,Hierarchy!$A$2:$A$1295,0))="","",INDEX(Hierarchy!$B$2:$B$1295,MATCH($D1637,Hierarchy!$A$2:$A$1295,0))),"NODE NOT FOUND"))</f>
        <v>Sub-region component</v>
      </c>
      <c r="G1637" s="7" t="str">
        <f aca="false">IF($D1637="","",IFERROR(IF(INDEX(Hierarchy!$D$2:$D$1295,MATCH($D1637,Hierarchy!$A$2:$A$1295,0))="","",INDEX(Hierarchy!$D$2:$D$1295,MATCH($D1637,Hierarchy!$A$2:$A$1295,0))),"NODE NOT FOUND"))</f>
        <v>AMER</v>
      </c>
      <c r="H1637" s="7" t="str">
        <f aca="false">IF($D1637="","",IFERROR(IF(INDEX(Hierarchy!$E$2:$E$1295,MATCH($D1637,Hierarchy!$A$2:$A$1295,0))="","",INDEX(Hierarchy!$E$2:$E$1295,MATCH($D1637,Hierarchy!$A$2:$A$1295,0))),"NODE NOT FOUND"))</f>
        <v>Latin America (LATAM)</v>
      </c>
      <c r="I1637" s="7" t="str">
        <f aca="false">IF($D1637="","",IFERROR(IF(INDEX(Hierarchy!$F$2:$F$1295,MATCH($D1637,Hierarchy!$A$2:$A$1295,0))="","",INDEX(Hierarchy!$F$2:$F$1295,MATCH($D1637,Hierarchy!$A$2:$A$1295,0))),"NODE NOT FOUND"))</f>
        <v/>
      </c>
      <c r="J1637" s="7" t="str">
        <f aca="false">IF($D1637="","",IFERROR(IF(INDEX(Hierarchy!$G$2:$G$1295,MATCH($D1637,Hierarchy!$A$2:$A$1295,0))="","",INDEX(Hierarchy!$G$2:$G$1295,MATCH($D1637,Hierarchy!$A$2:$A$1295,0))),"NODE NOT FOUND"))</f>
        <v/>
      </c>
      <c r="K1637" s="7" t="str">
        <f aca="false">IF($D1637="","",IFERROR(IF(INDEX(Hierarchy!$H$2:$H$1295,MATCH($D1637,Hierarchy!$A$2:$A$1295,0))="","",INDEX(Hierarchy!$H$2:$H$1295,MATCH($D1637,Hierarchy!$A$2:$A$1295,0))),"NODE NOT FOUND"))</f>
        <v/>
      </c>
      <c r="L1637" s="7" t="str">
        <f aca="false">IF($D1637="","",IFERROR(IF(INDEX(Hierarchy!$I$2:$I$1295,MATCH($D1637,Hierarchy!$A$2:$A$1295,0))="","",INDEX(Hierarchy!$I$2:$I$1295,MATCH($D1637,Hierarchy!$A$2:$A$1295,0))),"NODE NOT FOUND"))</f>
        <v/>
      </c>
      <c r="M1637" s="17" t="str">
        <f aca="false">IF(B1637="Pre-seeded","Pre-seeded",IF(B1637="Review 2026-09-16","Added from review",IF(C1637="","New",IF(C1637=D1637,"","Changed"))))</f>
        <v/>
      </c>
      <c r="N1637" s="7" t="str">
        <f aca="false">TRIM(SUBSTITUTE(SUBSTITUTE(SUBSTITUTE(" "&amp;TRIM(SUBSTITUTE(SUBSTITUTE(SUBSTITUTE(SUBSTITUTE(SUBSTITUTE(SUBSTITUTE(SUBSTITUTE(SUBSTITUTE(SUBSTITUTE(SUBSTITUTE(SUBSTITUTE(SUBSTITUTE(SUBSTITUTE(SUBSTITUTE(SUBSTITUTE(UPPER(TRIM(A1637)),"[MEMBER]",""),"{MEMBER}",""),"[MEMBER}",""),"MEMBER]",""),"(A)",""),"""",""),"“",""),"”",""),".",""),":",""),",",""),"–"," "),"-"," "),"/"," "),"&amp;"," AND "))&amp;" "," THE "," ")," TOTAL "," ")," OPERATIONS "," "))</f>
        <v>SOUTH AMERICA</v>
      </c>
      <c r="O1637" s="17" t="str">
        <f aca="false">IF(COUNTIFS($N$2:$N$2000,N1637,$D$2:$D$2000,"&lt;&gt;"&amp;D1637)&gt;0,"CONFLICT","")</f>
        <v/>
      </c>
      <c r="P1637" s="7"/>
    </row>
    <row r="1638" customFormat="false" ht="15" hidden="false" customHeight="false" outlineLevel="0" collapsed="false">
      <c r="A1638" s="7" t="s">
        <v>2716</v>
      </c>
      <c r="B1638" s="7" t="s">
        <v>1879</v>
      </c>
      <c r="C1638" s="7"/>
      <c r="D1638" s="6" t="s">
        <v>312</v>
      </c>
      <c r="E1638" s="6" t="s">
        <v>1891</v>
      </c>
      <c r="F1638" s="7" t="str">
        <f aca="false">IF($D1638="","",IFERROR(IF(INDEX(Hierarchy!$B$2:$B$1295,MATCH($D1638,Hierarchy!$A$2:$A$1295,0))="","",INDEX(Hierarchy!$B$2:$B$1295,MATCH($D1638,Hierarchy!$A$2:$A$1295,0))),"NODE NOT FOUND"))</f>
        <v>Sub-region</v>
      </c>
      <c r="G1638" s="7" t="str">
        <f aca="false">IF($D1638="","",IFERROR(IF(INDEX(Hierarchy!$D$2:$D$1295,MATCH($D1638,Hierarchy!$A$2:$A$1295,0))="","",INDEX(Hierarchy!$D$2:$D$1295,MATCH($D1638,Hierarchy!$A$2:$A$1295,0))),"NODE NOT FOUND"))</f>
        <v>AMER</v>
      </c>
      <c r="H1638" s="7" t="str">
        <f aca="false">IF($D1638="","",IFERROR(IF(INDEX(Hierarchy!$E$2:$E$1295,MATCH($D1638,Hierarchy!$A$2:$A$1295,0))="","",INDEX(Hierarchy!$E$2:$E$1295,MATCH($D1638,Hierarchy!$A$2:$A$1295,0))),"NODE NOT FOUND"))</f>
        <v>Latin America (LATAM)</v>
      </c>
      <c r="I1638" s="7" t="str">
        <f aca="false">IF($D1638="","",IFERROR(IF(INDEX(Hierarchy!$F$2:$F$1295,MATCH($D1638,Hierarchy!$A$2:$A$1295,0))="","",INDEX(Hierarchy!$F$2:$F$1295,MATCH($D1638,Hierarchy!$A$2:$A$1295,0))),"NODE NOT FOUND"))</f>
        <v/>
      </c>
      <c r="J1638" s="7" t="str">
        <f aca="false">IF($D1638="","",IFERROR(IF(INDEX(Hierarchy!$G$2:$G$1295,MATCH($D1638,Hierarchy!$A$2:$A$1295,0))="","",INDEX(Hierarchy!$G$2:$G$1295,MATCH($D1638,Hierarchy!$A$2:$A$1295,0))),"NODE NOT FOUND"))</f>
        <v/>
      </c>
      <c r="K1638" s="7" t="str">
        <f aca="false">IF($D1638="","",IFERROR(IF(INDEX(Hierarchy!$H$2:$H$1295,MATCH($D1638,Hierarchy!$A$2:$A$1295,0))="","",INDEX(Hierarchy!$H$2:$H$1295,MATCH($D1638,Hierarchy!$A$2:$A$1295,0))),"NODE NOT FOUND"))</f>
        <v/>
      </c>
      <c r="L1638" s="7" t="str">
        <f aca="false">IF($D1638="","",IFERROR(IF(INDEX(Hierarchy!$I$2:$I$1295,MATCH($D1638,Hierarchy!$A$2:$A$1295,0))="","",INDEX(Hierarchy!$I$2:$I$1295,MATCH($D1638,Hierarchy!$A$2:$A$1295,0))),"NODE NOT FOUND"))</f>
        <v/>
      </c>
      <c r="M1638" s="17" t="str">
        <f aca="false">IF(B1638="Pre-seeded","Pre-seeded",IF(B1638="Review 2026-09-16","Added from review",IF(C1638="","New",IF(C1638=D1638,"","Changed"))))</f>
        <v>Pre-seeded</v>
      </c>
      <c r="N1638" s="7" t="str">
        <f aca="false">TRIM(SUBSTITUTE(SUBSTITUTE(SUBSTITUTE(" "&amp;TRIM(SUBSTITUTE(SUBSTITUTE(SUBSTITUTE(SUBSTITUTE(SUBSTITUTE(SUBSTITUTE(SUBSTITUTE(SUBSTITUTE(SUBSTITUTE(SUBSTITUTE(SUBSTITUTE(SUBSTITUTE(SUBSTITUTE(SUBSTITUTE(SUBSTITUTE(UPPER(TRIM(A1638)),"[MEMBER]",""),"{MEMBER}",""),"[MEMBER}",""),"MEMBER]",""),"(A)",""),"""",""),"“",""),"”",""),".",""),":",""),",",""),"–"," "),"-"," "),"/"," "),"&amp;"," AND "))&amp;" "," THE "," ")," TOTAL "," ")," OPERATIONS "," "))</f>
        <v>SOUTH AND CENTRAL AMERICA</v>
      </c>
      <c r="O1638" s="17" t="str">
        <f aca="false">IF(COUNTIFS($N$2:$N$2000,N1638,$D$2:$D$2000,"&lt;&gt;"&amp;D1638)&gt;0,"CONFLICT","")</f>
        <v/>
      </c>
      <c r="P1638" s="7"/>
    </row>
    <row r="1639" customFormat="false" ht="15" hidden="false" customHeight="false" outlineLevel="0" collapsed="false">
      <c r="A1639" s="7" t="s">
        <v>1315</v>
      </c>
      <c r="B1639" s="7" t="s">
        <v>1879</v>
      </c>
      <c r="C1639" s="7"/>
      <c r="D1639" s="6" t="s">
        <v>1315</v>
      </c>
      <c r="E1639" s="6" t="s">
        <v>1880</v>
      </c>
      <c r="F1639" s="7" t="str">
        <f aca="false">IF($D1639="","",IFERROR(IF(INDEX(Hierarchy!$B$2:$B$1295,MATCH($D1639,Hierarchy!$A$2:$A$1295,0))="","",INDEX(Hierarchy!$B$2:$B$1295,MATCH($D1639,Hierarchy!$A$2:$A$1295,0))),"NODE NOT FOUND"))</f>
        <v>Sub-region</v>
      </c>
      <c r="G1639" s="7" t="str">
        <f aca="false">IF($D1639="","",IFERROR(IF(INDEX(Hierarchy!$D$2:$D$1295,MATCH($D1639,Hierarchy!$A$2:$A$1295,0))="","",INDEX(Hierarchy!$D$2:$D$1295,MATCH($D1639,Hierarchy!$A$2:$A$1295,0))),"NODE NOT FOUND"))</f>
        <v>APAC</v>
      </c>
      <c r="H1639" s="7" t="str">
        <f aca="false">IF($D1639="","",IFERROR(IF(INDEX(Hierarchy!$E$2:$E$1295,MATCH($D1639,Hierarchy!$A$2:$A$1295,0))="","",INDEX(Hierarchy!$E$2:$E$1295,MATCH($D1639,Hierarchy!$A$2:$A$1295,0))),"NODE NOT FOUND"))</f>
        <v>South Asia</v>
      </c>
      <c r="I1639" s="7" t="str">
        <f aca="false">IF($D1639="","",IFERROR(IF(INDEX(Hierarchy!$F$2:$F$1295,MATCH($D1639,Hierarchy!$A$2:$A$1295,0))="","",INDEX(Hierarchy!$F$2:$F$1295,MATCH($D1639,Hierarchy!$A$2:$A$1295,0))),"NODE NOT FOUND"))</f>
        <v/>
      </c>
      <c r="J1639" s="7" t="str">
        <f aca="false">IF($D1639="","",IFERROR(IF(INDEX(Hierarchy!$G$2:$G$1295,MATCH($D1639,Hierarchy!$A$2:$A$1295,0))="","",INDEX(Hierarchy!$G$2:$G$1295,MATCH($D1639,Hierarchy!$A$2:$A$1295,0))),"NODE NOT FOUND"))</f>
        <v/>
      </c>
      <c r="K1639" s="7" t="str">
        <f aca="false">IF($D1639="","",IFERROR(IF(INDEX(Hierarchy!$H$2:$H$1295,MATCH($D1639,Hierarchy!$A$2:$A$1295,0))="","",INDEX(Hierarchy!$H$2:$H$1295,MATCH($D1639,Hierarchy!$A$2:$A$1295,0))),"NODE NOT FOUND"))</f>
        <v/>
      </c>
      <c r="L1639" s="7" t="str">
        <f aca="false">IF($D1639="","",IFERROR(IF(INDEX(Hierarchy!$I$2:$I$1295,MATCH($D1639,Hierarchy!$A$2:$A$1295,0))="","",INDEX(Hierarchy!$I$2:$I$1295,MATCH($D1639,Hierarchy!$A$2:$A$1295,0))),"NODE NOT FOUND"))</f>
        <v/>
      </c>
      <c r="M1639" s="17" t="str">
        <f aca="false">IF(B1639="Pre-seeded","Pre-seeded",IF(B1639="Review 2026-09-16","Added from review",IF(C1639="","New",IF(C1639=D1639,"","Changed"))))</f>
        <v>Pre-seeded</v>
      </c>
      <c r="N1639" s="7" t="str">
        <f aca="false">TRIM(SUBSTITUTE(SUBSTITUTE(SUBSTITUTE(" "&amp;TRIM(SUBSTITUTE(SUBSTITUTE(SUBSTITUTE(SUBSTITUTE(SUBSTITUTE(SUBSTITUTE(SUBSTITUTE(SUBSTITUTE(SUBSTITUTE(SUBSTITUTE(SUBSTITUTE(SUBSTITUTE(SUBSTITUTE(SUBSTITUTE(SUBSTITUTE(UPPER(TRIM(A1639)),"[MEMBER]",""),"{MEMBER}",""),"[MEMBER}",""),"MEMBER]",""),"(A)",""),"""",""),"“",""),"”",""),".",""),":",""),",",""),"–"," "),"-"," "),"/"," "),"&amp;"," AND "))&amp;" "," THE "," ")," TOTAL "," ")," OPERATIONS "," "))</f>
        <v>SOUTH ASIA</v>
      </c>
      <c r="O1639" s="17" t="str">
        <f aca="false">IF(COUNTIFS($N$2:$N$2000,N1639,$D$2:$D$2000,"&lt;&gt;"&amp;D1639)&gt;0,"CONFLICT","")</f>
        <v/>
      </c>
      <c r="P1639" s="7"/>
    </row>
    <row r="1640" customFormat="false" ht="15" hidden="false" customHeight="false" outlineLevel="0" collapsed="false">
      <c r="A1640" s="7" t="s">
        <v>1852</v>
      </c>
      <c r="B1640" s="7" t="s">
        <v>1879</v>
      </c>
      <c r="C1640" s="7"/>
      <c r="D1640" s="6" t="s">
        <v>1852</v>
      </c>
      <c r="E1640" s="6" t="s">
        <v>1880</v>
      </c>
      <c r="F1640" s="7" t="str">
        <f aca="false">IF($D1640="","",IFERROR(IF(INDEX(Hierarchy!$B$2:$B$1295,MATCH($D1640,Hierarchy!$A$2:$A$1295,0))="","",INDEX(Hierarchy!$B$2:$B$1295,MATCH($D1640,Hierarchy!$A$2:$A$1295,0))),"NODE NOT FOUND"))</f>
        <v>Reference grouping</v>
      </c>
      <c r="G1640" s="7" t="str">
        <f aca="false">IF($D1640="","",IFERROR(IF(INDEX(Hierarchy!$D$2:$D$1295,MATCH($D1640,Hierarchy!$A$2:$A$1295,0))="","",INDEX(Hierarchy!$D$2:$D$1295,MATCH($D1640,Hierarchy!$A$2:$A$1295,0))),"NODE NOT FOUND"))</f>
        <v>Reference (UN / World Bank)</v>
      </c>
      <c r="H1640" s="7" t="str">
        <f aca="false">IF($D1640="","",IFERROR(IF(INDEX(Hierarchy!$E$2:$E$1295,MATCH($D1640,Hierarchy!$A$2:$A$1295,0))="","",INDEX(Hierarchy!$E$2:$E$1295,MATCH($D1640,Hierarchy!$A$2:$A$1295,0))),"NODE NOT FOUND"))</f>
        <v/>
      </c>
      <c r="I1640" s="7" t="str">
        <f aca="false">IF($D1640="","",IFERROR(IF(INDEX(Hierarchy!$F$2:$F$1295,MATCH($D1640,Hierarchy!$A$2:$A$1295,0))="","",INDEX(Hierarchy!$F$2:$F$1295,MATCH($D1640,Hierarchy!$A$2:$A$1295,0))),"NODE NOT FOUND"))</f>
        <v/>
      </c>
      <c r="J1640" s="7" t="str">
        <f aca="false">IF($D1640="","",IFERROR(IF(INDEX(Hierarchy!$G$2:$G$1295,MATCH($D1640,Hierarchy!$A$2:$A$1295,0))="","",INDEX(Hierarchy!$G$2:$G$1295,MATCH($D1640,Hierarchy!$A$2:$A$1295,0))),"NODE NOT FOUND"))</f>
        <v/>
      </c>
      <c r="K1640" s="7" t="str">
        <f aca="false">IF($D1640="","",IFERROR(IF(INDEX(Hierarchy!$H$2:$H$1295,MATCH($D1640,Hierarchy!$A$2:$A$1295,0))="","",INDEX(Hierarchy!$H$2:$H$1295,MATCH($D1640,Hierarchy!$A$2:$A$1295,0))),"NODE NOT FOUND"))</f>
        <v/>
      </c>
      <c r="L1640" s="7" t="str">
        <f aca="false">IF($D1640="","",IFERROR(IF(INDEX(Hierarchy!$I$2:$I$1295,MATCH($D1640,Hierarchy!$A$2:$A$1295,0))="","",INDEX(Hierarchy!$I$2:$I$1295,MATCH($D1640,Hierarchy!$A$2:$A$1295,0))),"NODE NOT FOUND"))</f>
        <v/>
      </c>
      <c r="M1640" s="17" t="str">
        <f aca="false">IF(B1640="Pre-seeded","Pre-seeded",IF(B1640="Review 2026-09-16","Added from review",IF(C1640="","New",IF(C1640=D1640,"","Changed"))))</f>
        <v>Pre-seeded</v>
      </c>
      <c r="N1640" s="7" t="str">
        <f aca="false">TRIM(SUBSTITUTE(SUBSTITUTE(SUBSTITUTE(" "&amp;TRIM(SUBSTITUTE(SUBSTITUTE(SUBSTITUTE(SUBSTITUTE(SUBSTITUTE(SUBSTITUTE(SUBSTITUTE(SUBSTITUTE(SUBSTITUTE(SUBSTITUTE(SUBSTITUTE(SUBSTITUTE(SUBSTITUTE(SUBSTITUTE(SUBSTITUTE(UPPER(TRIM(A1640)),"[MEMBER]",""),"{MEMBER}",""),"[MEMBER}",""),"MEMBER]",""),"(A)",""),"""",""),"“",""),"”",""),".",""),":",""),",",""),"–"," "),"-"," "),"/"," "),"&amp;"," AND "))&amp;" "," THE "," ")," TOTAL "," ")," OPERATIONS "," "))</f>
        <v>SOUTH ASIA (WORLD BANK)</v>
      </c>
      <c r="O1640" s="17" t="str">
        <f aca="false">IF(COUNTIFS($N$2:$N$2000,N1640,$D$2:$D$2000,"&lt;&gt;"&amp;D1640)&gt;0,"CONFLICT","")</f>
        <v/>
      </c>
      <c r="P1640" s="7"/>
    </row>
    <row r="1641" customFormat="false" ht="15" hidden="false" customHeight="false" outlineLevel="0" collapsed="false">
      <c r="A1641" s="7" t="s">
        <v>2717</v>
      </c>
      <c r="B1641" s="7" t="s">
        <v>1879</v>
      </c>
      <c r="C1641" s="7"/>
      <c r="D1641" s="6" t="s">
        <v>113</v>
      </c>
      <c r="E1641" s="6" t="s">
        <v>1880</v>
      </c>
      <c r="F1641" s="7" t="str">
        <f aca="false">IF($D1641="","",IFERROR(IF(INDEX(Hierarchy!$B$2:$B$1295,MATCH($D1641,Hierarchy!$A$2:$A$1295,0))="","",INDEX(Hierarchy!$B$2:$B$1295,MATCH($D1641,Hierarchy!$A$2:$A$1295,0))),"NODE NOT FOUND"))</f>
        <v>Sub-national region</v>
      </c>
      <c r="G1641" s="7" t="str">
        <f aca="false">IF($D1641="","",IFERROR(IF(INDEX(Hierarchy!$D$2:$D$1295,MATCH($D1641,Hierarchy!$A$2:$A$1295,0))="","",INDEX(Hierarchy!$D$2:$D$1295,MATCH($D1641,Hierarchy!$A$2:$A$1295,0))),"NODE NOT FOUND"))</f>
        <v>AMER</v>
      </c>
      <c r="H1641" s="7" t="str">
        <f aca="false">IF($D1641="","",IFERROR(IF(INDEX(Hierarchy!$E$2:$E$1295,MATCH($D1641,Hierarchy!$A$2:$A$1295,0))="","",INDEX(Hierarchy!$E$2:$E$1295,MATCH($D1641,Hierarchy!$A$2:$A$1295,0))),"NODE NOT FOUND"))</f>
        <v>North America (NORAM)</v>
      </c>
      <c r="I1641" s="7" t="str">
        <f aca="false">IF($D1641="","",IFERROR(IF(INDEX(Hierarchy!$F$2:$F$1295,MATCH($D1641,Hierarchy!$A$2:$A$1295,0))="","",INDEX(Hierarchy!$F$2:$F$1295,MATCH($D1641,Hierarchy!$A$2:$A$1295,0))),"NODE NOT FOUND"))</f>
        <v>United States</v>
      </c>
      <c r="J1641" s="7" t="str">
        <f aca="false">IF($D1641="","",IFERROR(IF(INDEX(Hierarchy!$G$2:$G$1295,MATCH($D1641,Hierarchy!$A$2:$A$1295,0))="","",INDEX(Hierarchy!$G$2:$G$1295,MATCH($D1641,Hierarchy!$A$2:$A$1295,0))),"NODE NOT FOUND"))</f>
        <v>USA</v>
      </c>
      <c r="K1641" s="7" t="str">
        <f aca="false">IF($D1641="","",IFERROR(IF(INDEX(Hierarchy!$H$2:$H$1295,MATCH($D1641,Hierarchy!$A$2:$A$1295,0))="","",INDEX(Hierarchy!$H$2:$H$1295,MATCH($D1641,Hierarchy!$A$2:$A$1295,0))),"NODE NOT FOUND"))</f>
        <v/>
      </c>
      <c r="L1641" s="7" t="str">
        <f aca="false">IF($D1641="","",IFERROR(IF(INDEX(Hierarchy!$I$2:$I$1295,MATCH($D1641,Hierarchy!$A$2:$A$1295,0))="","",INDEX(Hierarchy!$I$2:$I$1295,MATCH($D1641,Hierarchy!$A$2:$A$1295,0))),"NODE NOT FOUND"))</f>
        <v/>
      </c>
      <c r="M1641" s="17" t="str">
        <f aca="false">IF(B1641="Pre-seeded","Pre-seeded",IF(B1641="Review 2026-09-16","Added from review",IF(C1641="","New",IF(C1641=D1641,"","Changed"))))</f>
        <v>Pre-seeded</v>
      </c>
      <c r="N1641" s="7" t="str">
        <f aca="false">TRIM(SUBSTITUTE(SUBSTITUTE(SUBSTITUTE(" "&amp;TRIM(SUBSTITUTE(SUBSTITUTE(SUBSTITUTE(SUBSTITUTE(SUBSTITUTE(SUBSTITUTE(SUBSTITUTE(SUBSTITUTE(SUBSTITUTE(SUBSTITUTE(SUBSTITUTE(SUBSTITUTE(SUBSTITUTE(SUBSTITUTE(SUBSTITUTE(UPPER(TRIM(A1641)),"[MEMBER]",""),"{MEMBER}",""),"[MEMBER}",""),"MEMBER]",""),"(A)",""),"""",""),"“",""),"”",""),".",""),":",""),",",""),"–"," "),"-"," "),"/"," "),"&amp;"," AND "))&amp;" "," THE "," ")," TOTAL "," ")," OPERATIONS "," "))</f>
        <v>SOUTH ATLANTIC</v>
      </c>
      <c r="O1641" s="17" t="str">
        <f aca="false">IF(COUNTIFS($N$2:$N$2000,N1641,$D$2:$D$2000,"&lt;&gt;"&amp;D1641)&gt;0,"CONFLICT","")</f>
        <v/>
      </c>
      <c r="P1641" s="7"/>
    </row>
    <row r="1642" customFormat="false" ht="15" hidden="false" customHeight="false" outlineLevel="0" collapsed="false">
      <c r="A1642" s="7" t="s">
        <v>1708</v>
      </c>
      <c r="B1642" s="7" t="s">
        <v>1879</v>
      </c>
      <c r="C1642" s="7"/>
      <c r="D1642" s="6" t="s">
        <v>1708</v>
      </c>
      <c r="E1642" s="6" t="s">
        <v>1880</v>
      </c>
      <c r="F1642" s="7" t="str">
        <f aca="false">IF($D1642="","",IFERROR(IF(INDEX(Hierarchy!$B$2:$B$1295,MATCH($D1642,Hierarchy!$A$2:$A$1295,0))="","",INDEX(Hierarchy!$B$2:$B$1295,MATCH($D1642,Hierarchy!$A$2:$A$1295,0))),"NODE NOT FOUND"))</f>
        <v>State/Province</v>
      </c>
      <c r="G1642" s="7" t="str">
        <f aca="false">IF($D1642="","",IFERROR(IF(INDEX(Hierarchy!$D$2:$D$1295,MATCH($D1642,Hierarchy!$A$2:$A$1295,0))="","",INDEX(Hierarchy!$D$2:$D$1295,MATCH($D1642,Hierarchy!$A$2:$A$1295,0))),"NODE NOT FOUND"))</f>
        <v>APAC</v>
      </c>
      <c r="H1642" s="7" t="str">
        <f aca="false">IF($D1642="","",IFERROR(IF(INDEX(Hierarchy!$E$2:$E$1295,MATCH($D1642,Hierarchy!$A$2:$A$1295,0))="","",INDEX(Hierarchy!$E$2:$E$1295,MATCH($D1642,Hierarchy!$A$2:$A$1295,0))),"NODE NOT FOUND"))</f>
        <v>Oceania (ANZ)</v>
      </c>
      <c r="I1642" s="7" t="str">
        <f aca="false">IF($D1642="","",IFERROR(IF(INDEX(Hierarchy!$F$2:$F$1295,MATCH($D1642,Hierarchy!$A$2:$A$1295,0))="","",INDEX(Hierarchy!$F$2:$F$1295,MATCH($D1642,Hierarchy!$A$2:$A$1295,0))),"NODE NOT FOUND"))</f>
        <v>Australia</v>
      </c>
      <c r="J1642" s="7" t="str">
        <f aca="false">IF($D1642="","",IFERROR(IF(INDEX(Hierarchy!$G$2:$G$1295,MATCH($D1642,Hierarchy!$A$2:$A$1295,0))="","",INDEX(Hierarchy!$G$2:$G$1295,MATCH($D1642,Hierarchy!$A$2:$A$1295,0))),"NODE NOT FOUND"))</f>
        <v>AUS</v>
      </c>
      <c r="K1642" s="7" t="str">
        <f aca="false">IF($D1642="","",IFERROR(IF(INDEX(Hierarchy!$H$2:$H$1295,MATCH($D1642,Hierarchy!$A$2:$A$1295,0))="","",INDEX(Hierarchy!$H$2:$H$1295,MATCH($D1642,Hierarchy!$A$2:$A$1295,0))),"NODE NOT FOUND"))</f>
        <v>South Australia</v>
      </c>
      <c r="L1642" s="7" t="str">
        <f aca="false">IF($D1642="","",IFERROR(IF(INDEX(Hierarchy!$I$2:$I$1295,MATCH($D1642,Hierarchy!$A$2:$A$1295,0))="","",INDEX(Hierarchy!$I$2:$I$1295,MATCH($D1642,Hierarchy!$A$2:$A$1295,0))),"NODE NOT FOUND"))</f>
        <v/>
      </c>
      <c r="M1642" s="17" t="str">
        <f aca="false">IF(B1642="Pre-seeded","Pre-seeded",IF(B1642="Review 2026-09-16","Added from review",IF(C1642="","New",IF(C1642=D1642,"","Changed"))))</f>
        <v>Pre-seeded</v>
      </c>
      <c r="N1642" s="7" t="str">
        <f aca="false">TRIM(SUBSTITUTE(SUBSTITUTE(SUBSTITUTE(" "&amp;TRIM(SUBSTITUTE(SUBSTITUTE(SUBSTITUTE(SUBSTITUTE(SUBSTITUTE(SUBSTITUTE(SUBSTITUTE(SUBSTITUTE(SUBSTITUTE(SUBSTITUTE(SUBSTITUTE(SUBSTITUTE(SUBSTITUTE(SUBSTITUTE(SUBSTITUTE(UPPER(TRIM(A1642)),"[MEMBER]",""),"{MEMBER}",""),"[MEMBER}",""),"MEMBER]",""),"(A)",""),"""",""),"“",""),"”",""),".",""),":",""),",",""),"–"," "),"-"," "),"/"," "),"&amp;"," AND "))&amp;" "," THE "," ")," TOTAL "," ")," OPERATIONS "," "))</f>
        <v>SOUTH AUSTRALIA</v>
      </c>
      <c r="O1642" s="17" t="str">
        <f aca="false">IF(COUNTIFS($N$2:$N$2000,N1642,$D$2:$D$2000,"&lt;&gt;"&amp;D1642)&gt;0,"CONFLICT","")</f>
        <v/>
      </c>
      <c r="P1642" s="7"/>
    </row>
    <row r="1643" customFormat="false" ht="15" hidden="false" customHeight="false" outlineLevel="0" collapsed="false">
      <c r="A1643" s="7" t="s">
        <v>240</v>
      </c>
      <c r="B1643" s="7" t="s">
        <v>1882</v>
      </c>
      <c r="C1643" s="7" t="s">
        <v>240</v>
      </c>
      <c r="D1643" s="6" t="s">
        <v>240</v>
      </c>
      <c r="E1643" s="6" t="s">
        <v>1880</v>
      </c>
      <c r="F1643" s="7" t="str">
        <f aca="false">IF($D1643="","",IFERROR(IF(INDEX(Hierarchy!$B$2:$B$1295,MATCH($D1643,Hierarchy!$A$2:$A$1295,0))="","",INDEX(Hierarchy!$B$2:$B$1295,MATCH($D1643,Hierarchy!$A$2:$A$1295,0))),"NODE NOT FOUND"))</f>
        <v>State/Province</v>
      </c>
      <c r="G1643" s="7" t="str">
        <f aca="false">IF($D1643="","",IFERROR(IF(INDEX(Hierarchy!$D$2:$D$1295,MATCH($D1643,Hierarchy!$A$2:$A$1295,0))="","",INDEX(Hierarchy!$D$2:$D$1295,MATCH($D1643,Hierarchy!$A$2:$A$1295,0))),"NODE NOT FOUND"))</f>
        <v>AMER</v>
      </c>
      <c r="H1643" s="7" t="str">
        <f aca="false">IF($D1643="","",IFERROR(IF(INDEX(Hierarchy!$E$2:$E$1295,MATCH($D1643,Hierarchy!$A$2:$A$1295,0))="","",INDEX(Hierarchy!$E$2:$E$1295,MATCH($D1643,Hierarchy!$A$2:$A$1295,0))),"NODE NOT FOUND"))</f>
        <v>North America (NORAM)</v>
      </c>
      <c r="I1643" s="7" t="str">
        <f aca="false">IF($D1643="","",IFERROR(IF(INDEX(Hierarchy!$F$2:$F$1295,MATCH($D1643,Hierarchy!$A$2:$A$1295,0))="","",INDEX(Hierarchy!$F$2:$F$1295,MATCH($D1643,Hierarchy!$A$2:$A$1295,0))),"NODE NOT FOUND"))</f>
        <v>United States</v>
      </c>
      <c r="J1643" s="7" t="str">
        <f aca="false">IF($D1643="","",IFERROR(IF(INDEX(Hierarchy!$G$2:$G$1295,MATCH($D1643,Hierarchy!$A$2:$A$1295,0))="","",INDEX(Hierarchy!$G$2:$G$1295,MATCH($D1643,Hierarchy!$A$2:$A$1295,0))),"NODE NOT FOUND"))</f>
        <v>USA</v>
      </c>
      <c r="K1643" s="7" t="str">
        <f aca="false">IF($D1643="","",IFERROR(IF(INDEX(Hierarchy!$H$2:$H$1295,MATCH($D1643,Hierarchy!$A$2:$A$1295,0))="","",INDEX(Hierarchy!$H$2:$H$1295,MATCH($D1643,Hierarchy!$A$2:$A$1295,0))),"NODE NOT FOUND"))</f>
        <v>South Carolina</v>
      </c>
      <c r="L1643" s="7" t="str">
        <f aca="false">IF($D1643="","",IFERROR(IF(INDEX(Hierarchy!$I$2:$I$1295,MATCH($D1643,Hierarchy!$A$2:$A$1295,0))="","",INDEX(Hierarchy!$I$2:$I$1295,MATCH($D1643,Hierarchy!$A$2:$A$1295,0))),"NODE NOT FOUND"))</f>
        <v/>
      </c>
      <c r="M1643" s="17" t="str">
        <f aca="false">IF(B1643="Pre-seeded","Pre-seeded",IF(B1643="Review 2026-09-16","Added from review",IF(C1643="","New",IF(C1643=D1643,"","Changed"))))</f>
        <v/>
      </c>
      <c r="N1643" s="7" t="str">
        <f aca="false">TRIM(SUBSTITUTE(SUBSTITUTE(SUBSTITUTE(" "&amp;TRIM(SUBSTITUTE(SUBSTITUTE(SUBSTITUTE(SUBSTITUTE(SUBSTITUTE(SUBSTITUTE(SUBSTITUTE(SUBSTITUTE(SUBSTITUTE(SUBSTITUTE(SUBSTITUTE(SUBSTITUTE(SUBSTITUTE(SUBSTITUTE(SUBSTITUTE(UPPER(TRIM(A1643)),"[MEMBER]",""),"{MEMBER}",""),"[MEMBER}",""),"MEMBER]",""),"(A)",""),"""",""),"“",""),"”",""),".",""),":",""),",",""),"–"," "),"-"," "),"/"," "),"&amp;"," AND "))&amp;" "," THE "," ")," TOTAL "," ")," OPERATIONS "," "))</f>
        <v>SOUTH CAROLINA</v>
      </c>
      <c r="O1643" s="17" t="str">
        <f aca="false">IF(COUNTIFS($N$2:$N$2000,N1643,$D$2:$D$2000,"&lt;&gt;"&amp;D1643)&gt;0,"CONFLICT","")</f>
        <v/>
      </c>
      <c r="P1643" s="7"/>
    </row>
    <row r="1644" customFormat="false" ht="15" hidden="false" customHeight="false" outlineLevel="0" collapsed="false">
      <c r="A1644" s="7" t="s">
        <v>2718</v>
      </c>
      <c r="B1644" s="7" t="s">
        <v>1882</v>
      </c>
      <c r="C1644" s="7" t="s">
        <v>240</v>
      </c>
      <c r="D1644" s="6" t="s">
        <v>240</v>
      </c>
      <c r="E1644" s="6" t="s">
        <v>1880</v>
      </c>
      <c r="F1644" s="7" t="str">
        <f aca="false">IF($D1644="","",IFERROR(IF(INDEX(Hierarchy!$B$2:$B$1295,MATCH($D1644,Hierarchy!$A$2:$A$1295,0))="","",INDEX(Hierarchy!$B$2:$B$1295,MATCH($D1644,Hierarchy!$A$2:$A$1295,0))),"NODE NOT FOUND"))</f>
        <v>State/Province</v>
      </c>
      <c r="G1644" s="7" t="str">
        <f aca="false">IF($D1644="","",IFERROR(IF(INDEX(Hierarchy!$D$2:$D$1295,MATCH($D1644,Hierarchy!$A$2:$A$1295,0))="","",INDEX(Hierarchy!$D$2:$D$1295,MATCH($D1644,Hierarchy!$A$2:$A$1295,0))),"NODE NOT FOUND"))</f>
        <v>AMER</v>
      </c>
      <c r="H1644" s="7" t="str">
        <f aca="false">IF($D1644="","",IFERROR(IF(INDEX(Hierarchy!$E$2:$E$1295,MATCH($D1644,Hierarchy!$A$2:$A$1295,0))="","",INDEX(Hierarchy!$E$2:$E$1295,MATCH($D1644,Hierarchy!$A$2:$A$1295,0))),"NODE NOT FOUND"))</f>
        <v>North America (NORAM)</v>
      </c>
      <c r="I1644" s="7" t="str">
        <f aca="false">IF($D1644="","",IFERROR(IF(INDEX(Hierarchy!$F$2:$F$1295,MATCH($D1644,Hierarchy!$A$2:$A$1295,0))="","",INDEX(Hierarchy!$F$2:$F$1295,MATCH($D1644,Hierarchy!$A$2:$A$1295,0))),"NODE NOT FOUND"))</f>
        <v>United States</v>
      </c>
      <c r="J1644" s="7" t="str">
        <f aca="false">IF($D1644="","",IFERROR(IF(INDEX(Hierarchy!$G$2:$G$1295,MATCH($D1644,Hierarchy!$A$2:$A$1295,0))="","",INDEX(Hierarchy!$G$2:$G$1295,MATCH($D1644,Hierarchy!$A$2:$A$1295,0))),"NODE NOT FOUND"))</f>
        <v>USA</v>
      </c>
      <c r="K1644" s="7" t="str">
        <f aca="false">IF($D1644="","",IFERROR(IF(INDEX(Hierarchy!$H$2:$H$1295,MATCH($D1644,Hierarchy!$A$2:$A$1295,0))="","",INDEX(Hierarchy!$H$2:$H$1295,MATCH($D1644,Hierarchy!$A$2:$A$1295,0))),"NODE NOT FOUND"))</f>
        <v>South Carolina</v>
      </c>
      <c r="L1644" s="7" t="str">
        <f aca="false">IF($D1644="","",IFERROR(IF(INDEX(Hierarchy!$I$2:$I$1295,MATCH($D1644,Hierarchy!$A$2:$A$1295,0))="","",INDEX(Hierarchy!$I$2:$I$1295,MATCH($D1644,Hierarchy!$A$2:$A$1295,0))),"NODE NOT FOUND"))</f>
        <v/>
      </c>
      <c r="M1644" s="17" t="str">
        <f aca="false">IF(B1644="Pre-seeded","Pre-seeded",IF(B1644="Review 2026-09-16","Added from review",IF(C1644="","New",IF(C1644=D1644,"","Changed"))))</f>
        <v/>
      </c>
      <c r="N1644" s="7" t="str">
        <f aca="false">TRIM(SUBSTITUTE(SUBSTITUTE(SUBSTITUTE(" "&amp;TRIM(SUBSTITUTE(SUBSTITUTE(SUBSTITUTE(SUBSTITUTE(SUBSTITUTE(SUBSTITUTE(SUBSTITUTE(SUBSTITUTE(SUBSTITUTE(SUBSTITUTE(SUBSTITUTE(SUBSTITUTE(SUBSTITUTE(SUBSTITUTE(SUBSTITUTE(UPPER(TRIM(A1644)),"[MEMBER]",""),"{MEMBER}",""),"[MEMBER}",""),"MEMBER]",""),"(A)",""),"""",""),"“",""),"”",""),".",""),":",""),",",""),"–"," "),"-"," "),"/"," "),"&amp;"," AND "))&amp;" "," THE "," ")," TOTAL "," ")," OPERATIONS "," "))</f>
        <v>SOUTH CAROLINA</v>
      </c>
      <c r="O1644" s="17" t="str">
        <f aca="false">IF(COUNTIFS($N$2:$N$2000,N1644,$D$2:$D$2000,"&lt;&gt;"&amp;D1644)&gt;0,"CONFLICT","")</f>
        <v/>
      </c>
      <c r="P1644" s="7"/>
    </row>
    <row r="1645" customFormat="false" ht="15" hidden="false" customHeight="false" outlineLevel="0" collapsed="false">
      <c r="A1645" s="7" t="s">
        <v>2719</v>
      </c>
      <c r="B1645" s="7" t="s">
        <v>1879</v>
      </c>
      <c r="C1645" s="7"/>
      <c r="D1645" s="6" t="s">
        <v>634</v>
      </c>
      <c r="E1645" s="6" t="s">
        <v>1880</v>
      </c>
      <c r="F1645" s="7" t="str">
        <f aca="false">IF($D1645="","",IFERROR(IF(INDEX(Hierarchy!$B$2:$B$1295,MATCH($D1645,Hierarchy!$A$2:$A$1295,0))="","",INDEX(Hierarchy!$B$2:$B$1295,MATCH($D1645,Hierarchy!$A$2:$A$1295,0))),"NODE NOT FOUND"))</f>
        <v>Sub-region component</v>
      </c>
      <c r="G1645" s="7" t="str">
        <f aca="false">IF($D1645="","",IFERROR(IF(INDEX(Hierarchy!$D$2:$D$1295,MATCH($D1645,Hierarchy!$A$2:$A$1295,0))="","",INDEX(Hierarchy!$D$2:$D$1295,MATCH($D1645,Hierarchy!$A$2:$A$1295,0))),"NODE NOT FOUND"))</f>
        <v>EMEA</v>
      </c>
      <c r="H1645" s="7" t="str">
        <f aca="false">IF($D1645="","",IFERROR(IF(INDEX(Hierarchy!$E$2:$E$1295,MATCH($D1645,Hierarchy!$A$2:$A$1295,0))="","",INDEX(Hierarchy!$E$2:$E$1295,MATCH($D1645,Hierarchy!$A$2:$A$1295,0))),"NODE NOT FOUND"))</f>
        <v>Europe</v>
      </c>
      <c r="I1645" s="7" t="str">
        <f aca="false">IF($D1645="","",IFERROR(IF(INDEX(Hierarchy!$F$2:$F$1295,MATCH($D1645,Hierarchy!$A$2:$A$1295,0))="","",INDEX(Hierarchy!$F$2:$F$1295,MATCH($D1645,Hierarchy!$A$2:$A$1295,0))),"NODE NOT FOUND"))</f>
        <v/>
      </c>
      <c r="J1645" s="7" t="str">
        <f aca="false">IF($D1645="","",IFERROR(IF(INDEX(Hierarchy!$G$2:$G$1295,MATCH($D1645,Hierarchy!$A$2:$A$1295,0))="","",INDEX(Hierarchy!$G$2:$G$1295,MATCH($D1645,Hierarchy!$A$2:$A$1295,0))),"NODE NOT FOUND"))</f>
        <v/>
      </c>
      <c r="K1645" s="7" t="str">
        <f aca="false">IF($D1645="","",IFERROR(IF(INDEX(Hierarchy!$H$2:$H$1295,MATCH($D1645,Hierarchy!$A$2:$A$1295,0))="","",INDEX(Hierarchy!$H$2:$H$1295,MATCH($D1645,Hierarchy!$A$2:$A$1295,0))),"NODE NOT FOUND"))</f>
        <v/>
      </c>
      <c r="L1645" s="7" t="str">
        <f aca="false">IF($D1645="","",IFERROR(IF(INDEX(Hierarchy!$I$2:$I$1295,MATCH($D1645,Hierarchy!$A$2:$A$1295,0))="","",INDEX(Hierarchy!$I$2:$I$1295,MATCH($D1645,Hierarchy!$A$2:$A$1295,0))),"NODE NOT FOUND"))</f>
        <v/>
      </c>
      <c r="M1645" s="17" t="str">
        <f aca="false">IF(B1645="Pre-seeded","Pre-seeded",IF(B1645="Review 2026-09-16","Added from review",IF(C1645="","New",IF(C1645=D1645,"","Changed"))))</f>
        <v>Pre-seeded</v>
      </c>
      <c r="N1645" s="7" t="str">
        <f aca="false">TRIM(SUBSTITUTE(SUBSTITUTE(SUBSTITUTE(" "&amp;TRIM(SUBSTITUTE(SUBSTITUTE(SUBSTITUTE(SUBSTITUTE(SUBSTITUTE(SUBSTITUTE(SUBSTITUTE(SUBSTITUTE(SUBSTITUTE(SUBSTITUTE(SUBSTITUTE(SUBSTITUTE(SUBSTITUTE(SUBSTITUTE(SUBSTITUTE(UPPER(TRIM(A1645)),"[MEMBER]",""),"{MEMBER}",""),"[MEMBER}",""),"MEMBER]",""),"(A)",""),"""",""),"“",""),"”",""),".",""),":",""),",",""),"–"," "),"-"," "),"/"," "),"&amp;"," AND "))&amp;" "," THE "," ")," TOTAL "," ")," OPERATIONS "," "))</f>
        <v>SOUTH CAUCASUS</v>
      </c>
      <c r="O1645" s="17" t="str">
        <f aca="false">IF(COUNTIFS($N$2:$N$2000,N1645,$D$2:$D$2000,"&lt;&gt;"&amp;D1645)&gt;0,"CONFLICT","")</f>
        <v/>
      </c>
      <c r="P1645" s="7"/>
    </row>
    <row r="1646" customFormat="false" ht="15" hidden="false" customHeight="false" outlineLevel="0" collapsed="false">
      <c r="A1646" s="7" t="s">
        <v>2720</v>
      </c>
      <c r="B1646" s="7" t="s">
        <v>1885</v>
      </c>
      <c r="C1646" s="7" t="s">
        <v>2034</v>
      </c>
      <c r="D1646" s="6" t="s">
        <v>114</v>
      </c>
      <c r="E1646" s="6" t="s">
        <v>1880</v>
      </c>
      <c r="F1646" s="7" t="str">
        <f aca="false">IF($D1646="","",IFERROR(IF(INDEX(Hierarchy!$B$2:$B$1295,MATCH($D1646,Hierarchy!$A$2:$A$1295,0))="","",INDEX(Hierarchy!$B$2:$B$1295,MATCH($D1646,Hierarchy!$A$2:$A$1295,0))),"NODE NOT FOUND"))</f>
        <v>Sub-national region</v>
      </c>
      <c r="G1646" s="7" t="str">
        <f aca="false">IF($D1646="","",IFERROR(IF(INDEX(Hierarchy!$D$2:$D$1295,MATCH($D1646,Hierarchy!$A$2:$A$1295,0))="","",INDEX(Hierarchy!$D$2:$D$1295,MATCH($D1646,Hierarchy!$A$2:$A$1295,0))),"NODE NOT FOUND"))</f>
        <v>AMER</v>
      </c>
      <c r="H1646" s="7" t="str">
        <f aca="false">IF($D1646="","",IFERROR(IF(INDEX(Hierarchy!$E$2:$E$1295,MATCH($D1646,Hierarchy!$A$2:$A$1295,0))="","",INDEX(Hierarchy!$E$2:$E$1295,MATCH($D1646,Hierarchy!$A$2:$A$1295,0))),"NODE NOT FOUND"))</f>
        <v>North America (NORAM)</v>
      </c>
      <c r="I1646" s="7" t="str">
        <f aca="false">IF($D1646="","",IFERROR(IF(INDEX(Hierarchy!$F$2:$F$1295,MATCH($D1646,Hierarchy!$A$2:$A$1295,0))="","",INDEX(Hierarchy!$F$2:$F$1295,MATCH($D1646,Hierarchy!$A$2:$A$1295,0))),"NODE NOT FOUND"))</f>
        <v>United States</v>
      </c>
      <c r="J1646" s="7" t="str">
        <f aca="false">IF($D1646="","",IFERROR(IF(INDEX(Hierarchy!$G$2:$G$1295,MATCH($D1646,Hierarchy!$A$2:$A$1295,0))="","",INDEX(Hierarchy!$G$2:$G$1295,MATCH($D1646,Hierarchy!$A$2:$A$1295,0))),"NODE NOT FOUND"))</f>
        <v>USA</v>
      </c>
      <c r="K1646" s="7" t="str">
        <f aca="false">IF($D1646="","",IFERROR(IF(INDEX(Hierarchy!$H$2:$H$1295,MATCH($D1646,Hierarchy!$A$2:$A$1295,0))="","",INDEX(Hierarchy!$H$2:$H$1295,MATCH($D1646,Hierarchy!$A$2:$A$1295,0))),"NODE NOT FOUND"))</f>
        <v/>
      </c>
      <c r="L1646" s="7" t="str">
        <f aca="false">IF($D1646="","",IFERROR(IF(INDEX(Hierarchy!$I$2:$I$1295,MATCH($D1646,Hierarchy!$A$2:$A$1295,0))="","",INDEX(Hierarchy!$I$2:$I$1295,MATCH($D1646,Hierarchy!$A$2:$A$1295,0))),"NODE NOT FOUND"))</f>
        <v/>
      </c>
      <c r="M1646" s="17" t="str">
        <f aca="false">IF(B1646="Pre-seeded","Pre-seeded",IF(B1646="Review 2026-09-16","Added from review",IF(C1646="","New",IF(C1646=D1646,"","Changed"))))</f>
        <v>Changed</v>
      </c>
      <c r="N1646" s="7" t="str">
        <f aca="false">TRIM(SUBSTITUTE(SUBSTITUTE(SUBSTITUTE(" "&amp;TRIM(SUBSTITUTE(SUBSTITUTE(SUBSTITUTE(SUBSTITUTE(SUBSTITUTE(SUBSTITUTE(SUBSTITUTE(SUBSTITUTE(SUBSTITUTE(SUBSTITUTE(SUBSTITUTE(SUBSTITUTE(SUBSTITUTE(SUBSTITUTE(SUBSTITUTE(UPPER(TRIM(A1646)),"[MEMBER]",""),"{MEMBER}",""),"[MEMBER}",""),"MEMBER]",""),"(A)",""),"""",""),"“",""),"”",""),".",""),":",""),",",""),"–"," "),"-"," "),"/"," "),"&amp;"," AND "))&amp;" "," THE "," ")," TOTAL "," ")," OPERATIONS "," "))</f>
        <v>SOUTH CENTRAL</v>
      </c>
      <c r="O1646" s="17" t="str">
        <f aca="false">IF(COUNTIFS($N$2:$N$2000,N1646,$D$2:$D$2000,"&lt;&gt;"&amp;D1646)&gt;0,"CONFLICT","")</f>
        <v/>
      </c>
      <c r="P1646" s="7" t="s">
        <v>115</v>
      </c>
    </row>
    <row r="1647" customFormat="false" ht="15" hidden="false" customHeight="false" outlineLevel="0" collapsed="false">
      <c r="A1647" s="7" t="s">
        <v>1498</v>
      </c>
      <c r="B1647" s="7" t="s">
        <v>1879</v>
      </c>
      <c r="C1647" s="7"/>
      <c r="D1647" s="6" t="s">
        <v>1498</v>
      </c>
      <c r="E1647" s="6" t="s">
        <v>1880</v>
      </c>
      <c r="F1647" s="7" t="str">
        <f aca="false">IF($D1647="","",IFERROR(IF(INDEX(Hierarchy!$B$2:$B$1295,MATCH($D1647,Hierarchy!$A$2:$A$1295,0))="","",INDEX(Hierarchy!$B$2:$B$1295,MATCH($D1647,Hierarchy!$A$2:$A$1295,0))),"NODE NOT FOUND"))</f>
        <v>Sub-national region</v>
      </c>
      <c r="G1647" s="7" t="str">
        <f aca="false">IF($D1647="","",IFERROR(IF(INDEX(Hierarchy!$D$2:$D$1295,MATCH($D1647,Hierarchy!$A$2:$A$1295,0))="","",INDEX(Hierarchy!$D$2:$D$1295,MATCH($D1647,Hierarchy!$A$2:$A$1295,0))),"NODE NOT FOUND"))</f>
        <v>APAC</v>
      </c>
      <c r="H1647" s="7" t="str">
        <f aca="false">IF($D1647="","",IFERROR(IF(INDEX(Hierarchy!$E$2:$E$1295,MATCH($D1647,Hierarchy!$A$2:$A$1295,0))="","",INDEX(Hierarchy!$E$2:$E$1295,MATCH($D1647,Hierarchy!$A$2:$A$1295,0))),"NODE NOT FOUND"))</f>
        <v>East Asia</v>
      </c>
      <c r="I1647" s="7" t="str">
        <f aca="false">IF($D1647="","",IFERROR(IF(INDEX(Hierarchy!$F$2:$F$1295,MATCH($D1647,Hierarchy!$A$2:$A$1295,0))="","",INDEX(Hierarchy!$F$2:$F$1295,MATCH($D1647,Hierarchy!$A$2:$A$1295,0))),"NODE NOT FOUND"))</f>
        <v>China</v>
      </c>
      <c r="J1647" s="7" t="str">
        <f aca="false">IF($D1647="","",IFERROR(IF(INDEX(Hierarchy!$G$2:$G$1295,MATCH($D1647,Hierarchy!$A$2:$A$1295,0))="","",INDEX(Hierarchy!$G$2:$G$1295,MATCH($D1647,Hierarchy!$A$2:$A$1295,0))),"NODE NOT FOUND"))</f>
        <v>CHN</v>
      </c>
      <c r="K1647" s="7" t="str">
        <f aca="false">IF($D1647="","",IFERROR(IF(INDEX(Hierarchy!$H$2:$H$1295,MATCH($D1647,Hierarchy!$A$2:$A$1295,0))="","",INDEX(Hierarchy!$H$2:$H$1295,MATCH($D1647,Hierarchy!$A$2:$A$1295,0))),"NODE NOT FOUND"))</f>
        <v/>
      </c>
      <c r="L1647" s="7" t="str">
        <f aca="false">IF($D1647="","",IFERROR(IF(INDEX(Hierarchy!$I$2:$I$1295,MATCH($D1647,Hierarchy!$A$2:$A$1295,0))="","",INDEX(Hierarchy!$I$2:$I$1295,MATCH($D1647,Hierarchy!$A$2:$A$1295,0))),"NODE NOT FOUND"))</f>
        <v/>
      </c>
      <c r="M1647" s="17" t="str">
        <f aca="false">IF(B1647="Pre-seeded","Pre-seeded",IF(B1647="Review 2026-09-16","Added from review",IF(C1647="","New",IF(C1647=D1647,"","Changed"))))</f>
        <v>Pre-seeded</v>
      </c>
      <c r="N1647" s="7" t="str">
        <f aca="false">TRIM(SUBSTITUTE(SUBSTITUTE(SUBSTITUTE(" "&amp;TRIM(SUBSTITUTE(SUBSTITUTE(SUBSTITUTE(SUBSTITUTE(SUBSTITUTE(SUBSTITUTE(SUBSTITUTE(SUBSTITUTE(SUBSTITUTE(SUBSTITUTE(SUBSTITUTE(SUBSTITUTE(SUBSTITUTE(SUBSTITUTE(SUBSTITUTE(UPPER(TRIM(A1647)),"[MEMBER]",""),"{MEMBER}",""),"[MEMBER}",""),"MEMBER]",""),"(A)",""),"""",""),"“",""),"”",""),".",""),":",""),",",""),"–"," "),"-"," "),"/"," "),"&amp;"," AND "))&amp;" "," THE "," ")," TOTAL "," ")," OPERATIONS "," "))</f>
        <v>SOUTH CHINA</v>
      </c>
      <c r="O1647" s="17" t="str">
        <f aca="false">IF(COUNTIFS($N$2:$N$2000,N1647,$D$2:$D$2000,"&lt;&gt;"&amp;D1647)&gt;0,"CONFLICT","")</f>
        <v/>
      </c>
      <c r="P1647" s="7"/>
    </row>
    <row r="1648" customFormat="false" ht="15" hidden="false" customHeight="false" outlineLevel="0" collapsed="false">
      <c r="A1648" s="7" t="s">
        <v>1576</v>
      </c>
      <c r="B1648" s="7" t="s">
        <v>1879</v>
      </c>
      <c r="C1648" s="7"/>
      <c r="D1648" s="6" t="s">
        <v>1576</v>
      </c>
      <c r="E1648" s="6" t="s">
        <v>1880</v>
      </c>
      <c r="F1648" s="7" t="str">
        <f aca="false">IF($D1648="","",IFERROR(IF(INDEX(Hierarchy!$B$2:$B$1295,MATCH($D1648,Hierarchy!$A$2:$A$1295,0))="","",INDEX(Hierarchy!$B$2:$B$1295,MATCH($D1648,Hierarchy!$A$2:$A$1295,0))),"NODE NOT FOUND"))</f>
        <v>State/Province</v>
      </c>
      <c r="G1648" s="7" t="str">
        <f aca="false">IF($D1648="","",IFERROR(IF(INDEX(Hierarchy!$D$2:$D$1295,MATCH($D1648,Hierarchy!$A$2:$A$1295,0))="","",INDEX(Hierarchy!$D$2:$D$1295,MATCH($D1648,Hierarchy!$A$2:$A$1295,0))),"NODE NOT FOUND"))</f>
        <v>APAC</v>
      </c>
      <c r="H1648" s="7" t="str">
        <f aca="false">IF($D1648="","",IFERROR(IF(INDEX(Hierarchy!$E$2:$E$1295,MATCH($D1648,Hierarchy!$A$2:$A$1295,0))="","",INDEX(Hierarchy!$E$2:$E$1295,MATCH($D1648,Hierarchy!$A$2:$A$1295,0))),"NODE NOT FOUND"))</f>
        <v>East Asia</v>
      </c>
      <c r="I1648" s="7" t="str">
        <f aca="false">IF($D1648="","",IFERROR(IF(INDEX(Hierarchy!$F$2:$F$1295,MATCH($D1648,Hierarchy!$A$2:$A$1295,0))="","",INDEX(Hierarchy!$F$2:$F$1295,MATCH($D1648,Hierarchy!$A$2:$A$1295,0))),"NODE NOT FOUND"))</f>
        <v>South Korea</v>
      </c>
      <c r="J1648" s="7" t="str">
        <f aca="false">IF($D1648="","",IFERROR(IF(INDEX(Hierarchy!$G$2:$G$1295,MATCH($D1648,Hierarchy!$A$2:$A$1295,0))="","",INDEX(Hierarchy!$G$2:$G$1295,MATCH($D1648,Hierarchy!$A$2:$A$1295,0))),"NODE NOT FOUND"))</f>
        <v>KOR</v>
      </c>
      <c r="K1648" s="7" t="str">
        <f aca="false">IF($D1648="","",IFERROR(IF(INDEX(Hierarchy!$H$2:$H$1295,MATCH($D1648,Hierarchy!$A$2:$A$1295,0))="","",INDEX(Hierarchy!$H$2:$H$1295,MATCH($D1648,Hierarchy!$A$2:$A$1295,0))),"NODE NOT FOUND"))</f>
        <v>South Chungcheong</v>
      </c>
      <c r="L1648" s="7" t="str">
        <f aca="false">IF($D1648="","",IFERROR(IF(INDEX(Hierarchy!$I$2:$I$1295,MATCH($D1648,Hierarchy!$A$2:$A$1295,0))="","",INDEX(Hierarchy!$I$2:$I$1295,MATCH($D1648,Hierarchy!$A$2:$A$1295,0))),"NODE NOT FOUND"))</f>
        <v/>
      </c>
      <c r="M1648" s="17" t="str">
        <f aca="false">IF(B1648="Pre-seeded","Pre-seeded",IF(B1648="Review 2026-09-16","Added from review",IF(C1648="","New",IF(C1648=D1648,"","Changed"))))</f>
        <v>Pre-seeded</v>
      </c>
      <c r="N1648" s="7" t="str">
        <f aca="false">TRIM(SUBSTITUTE(SUBSTITUTE(SUBSTITUTE(" "&amp;TRIM(SUBSTITUTE(SUBSTITUTE(SUBSTITUTE(SUBSTITUTE(SUBSTITUTE(SUBSTITUTE(SUBSTITUTE(SUBSTITUTE(SUBSTITUTE(SUBSTITUTE(SUBSTITUTE(SUBSTITUTE(SUBSTITUTE(SUBSTITUTE(SUBSTITUTE(UPPER(TRIM(A1648)),"[MEMBER]",""),"{MEMBER}",""),"[MEMBER}",""),"MEMBER]",""),"(A)",""),"""",""),"“",""),"”",""),".",""),":",""),",",""),"–"," "),"-"," "),"/"," "),"&amp;"," AND "))&amp;" "," THE "," ")," TOTAL "," ")," OPERATIONS "," "))</f>
        <v>SOUTH CHUNGCHEONG</v>
      </c>
      <c r="O1648" s="17" t="str">
        <f aca="false">IF(COUNTIFS($N$2:$N$2000,N1648,$D$2:$D$2000,"&lt;&gt;"&amp;D1648)&gt;0,"CONFLICT","")</f>
        <v/>
      </c>
      <c r="P1648" s="7"/>
    </row>
    <row r="1649" customFormat="false" ht="15" hidden="false" customHeight="false" outlineLevel="0" collapsed="false">
      <c r="A1649" s="7" t="s">
        <v>241</v>
      </c>
      <c r="B1649" s="7" t="s">
        <v>1882</v>
      </c>
      <c r="C1649" s="7" t="s">
        <v>241</v>
      </c>
      <c r="D1649" s="6" t="s">
        <v>241</v>
      </c>
      <c r="E1649" s="6" t="s">
        <v>1880</v>
      </c>
      <c r="F1649" s="7" t="str">
        <f aca="false">IF($D1649="","",IFERROR(IF(INDEX(Hierarchy!$B$2:$B$1295,MATCH($D1649,Hierarchy!$A$2:$A$1295,0))="","",INDEX(Hierarchy!$B$2:$B$1295,MATCH($D1649,Hierarchy!$A$2:$A$1295,0))),"NODE NOT FOUND"))</f>
        <v>State/Province</v>
      </c>
      <c r="G1649" s="7" t="str">
        <f aca="false">IF($D1649="","",IFERROR(IF(INDEX(Hierarchy!$D$2:$D$1295,MATCH($D1649,Hierarchy!$A$2:$A$1295,0))="","",INDEX(Hierarchy!$D$2:$D$1295,MATCH($D1649,Hierarchy!$A$2:$A$1295,0))),"NODE NOT FOUND"))</f>
        <v>AMER</v>
      </c>
      <c r="H1649" s="7" t="str">
        <f aca="false">IF($D1649="","",IFERROR(IF(INDEX(Hierarchy!$E$2:$E$1295,MATCH($D1649,Hierarchy!$A$2:$A$1295,0))="","",INDEX(Hierarchy!$E$2:$E$1295,MATCH($D1649,Hierarchy!$A$2:$A$1295,0))),"NODE NOT FOUND"))</f>
        <v>North America (NORAM)</v>
      </c>
      <c r="I1649" s="7" t="str">
        <f aca="false">IF($D1649="","",IFERROR(IF(INDEX(Hierarchy!$F$2:$F$1295,MATCH($D1649,Hierarchy!$A$2:$A$1295,0))="","",INDEX(Hierarchy!$F$2:$F$1295,MATCH($D1649,Hierarchy!$A$2:$A$1295,0))),"NODE NOT FOUND"))</f>
        <v>United States</v>
      </c>
      <c r="J1649" s="7" t="str">
        <f aca="false">IF($D1649="","",IFERROR(IF(INDEX(Hierarchy!$G$2:$G$1295,MATCH($D1649,Hierarchy!$A$2:$A$1295,0))="","",INDEX(Hierarchy!$G$2:$G$1295,MATCH($D1649,Hierarchy!$A$2:$A$1295,0))),"NODE NOT FOUND"))</f>
        <v>USA</v>
      </c>
      <c r="K1649" s="7" t="str">
        <f aca="false">IF($D1649="","",IFERROR(IF(INDEX(Hierarchy!$H$2:$H$1295,MATCH($D1649,Hierarchy!$A$2:$A$1295,0))="","",INDEX(Hierarchy!$H$2:$H$1295,MATCH($D1649,Hierarchy!$A$2:$A$1295,0))),"NODE NOT FOUND"))</f>
        <v>South Dakota</v>
      </c>
      <c r="L1649" s="7" t="str">
        <f aca="false">IF($D1649="","",IFERROR(IF(INDEX(Hierarchy!$I$2:$I$1295,MATCH($D1649,Hierarchy!$A$2:$A$1295,0))="","",INDEX(Hierarchy!$I$2:$I$1295,MATCH($D1649,Hierarchy!$A$2:$A$1295,0))),"NODE NOT FOUND"))</f>
        <v/>
      </c>
      <c r="M1649" s="17" t="str">
        <f aca="false">IF(B1649="Pre-seeded","Pre-seeded",IF(B1649="Review 2026-09-16","Added from review",IF(C1649="","New",IF(C1649=D1649,"","Changed"))))</f>
        <v/>
      </c>
      <c r="N1649" s="7" t="str">
        <f aca="false">TRIM(SUBSTITUTE(SUBSTITUTE(SUBSTITUTE(" "&amp;TRIM(SUBSTITUTE(SUBSTITUTE(SUBSTITUTE(SUBSTITUTE(SUBSTITUTE(SUBSTITUTE(SUBSTITUTE(SUBSTITUTE(SUBSTITUTE(SUBSTITUTE(SUBSTITUTE(SUBSTITUTE(SUBSTITUTE(SUBSTITUTE(SUBSTITUTE(UPPER(TRIM(A1649)),"[MEMBER]",""),"{MEMBER}",""),"[MEMBER}",""),"MEMBER]",""),"(A)",""),"""",""),"“",""),"”",""),".",""),":",""),",",""),"–"," "),"-"," "),"/"," "),"&amp;"," AND "))&amp;" "," THE "," ")," TOTAL "," ")," OPERATIONS "," "))</f>
        <v>SOUTH DAKOTA</v>
      </c>
      <c r="O1649" s="17" t="str">
        <f aca="false">IF(COUNTIFS($N$2:$N$2000,N1649,$D$2:$D$2000,"&lt;&gt;"&amp;D1649)&gt;0,"CONFLICT","")</f>
        <v/>
      </c>
      <c r="P1649" s="7"/>
    </row>
    <row r="1650" customFormat="false" ht="15" hidden="false" customHeight="false" outlineLevel="0" collapsed="false">
      <c r="A1650" s="7" t="s">
        <v>2721</v>
      </c>
      <c r="B1650" s="7" t="s">
        <v>1882</v>
      </c>
      <c r="C1650" s="7" t="s">
        <v>2721</v>
      </c>
      <c r="D1650" s="6" t="s">
        <v>116</v>
      </c>
      <c r="E1650" s="6" t="s">
        <v>1880</v>
      </c>
      <c r="F1650" s="7" t="str">
        <f aca="false">IF($D1650="","",IFERROR(IF(INDEX(Hierarchy!$B$2:$B$1295,MATCH($D1650,Hierarchy!$A$2:$A$1295,0))="","",INDEX(Hierarchy!$B$2:$B$1295,MATCH($D1650,Hierarchy!$A$2:$A$1295,0))),"NODE NOT FOUND"))</f>
        <v>Sub-national region</v>
      </c>
      <c r="G1650" s="7" t="str">
        <f aca="false">IF($D1650="","",IFERROR(IF(INDEX(Hierarchy!$D$2:$D$1295,MATCH($D1650,Hierarchy!$A$2:$A$1295,0))="","",INDEX(Hierarchy!$D$2:$D$1295,MATCH($D1650,Hierarchy!$A$2:$A$1295,0))),"NODE NOT FOUND"))</f>
        <v>AMER</v>
      </c>
      <c r="H1650" s="7" t="str">
        <f aca="false">IF($D1650="","",IFERROR(IF(INDEX(Hierarchy!$E$2:$E$1295,MATCH($D1650,Hierarchy!$A$2:$A$1295,0))="","",INDEX(Hierarchy!$E$2:$E$1295,MATCH($D1650,Hierarchy!$A$2:$A$1295,0))),"NODE NOT FOUND"))</f>
        <v>North America (NORAM)</v>
      </c>
      <c r="I1650" s="7" t="str">
        <f aca="false">IF($D1650="","",IFERROR(IF(INDEX(Hierarchy!$F$2:$F$1295,MATCH($D1650,Hierarchy!$A$2:$A$1295,0))="","",INDEX(Hierarchy!$F$2:$F$1295,MATCH($D1650,Hierarchy!$A$2:$A$1295,0))),"NODE NOT FOUND"))</f>
        <v>United States</v>
      </c>
      <c r="J1650" s="7" t="str">
        <f aca="false">IF($D1650="","",IFERROR(IF(INDEX(Hierarchy!$G$2:$G$1295,MATCH($D1650,Hierarchy!$A$2:$A$1295,0))="","",INDEX(Hierarchy!$G$2:$G$1295,MATCH($D1650,Hierarchy!$A$2:$A$1295,0))),"NODE NOT FOUND"))</f>
        <v>USA</v>
      </c>
      <c r="K1650" s="7" t="str">
        <f aca="false">IF($D1650="","",IFERROR(IF(INDEX(Hierarchy!$H$2:$H$1295,MATCH($D1650,Hierarchy!$A$2:$A$1295,0))="","",INDEX(Hierarchy!$H$2:$H$1295,MATCH($D1650,Hierarchy!$A$2:$A$1295,0))),"NODE NOT FOUND"))</f>
        <v/>
      </c>
      <c r="L1650" s="7" t="str">
        <f aca="false">IF($D1650="","",IFERROR(IF(INDEX(Hierarchy!$I$2:$I$1295,MATCH($D1650,Hierarchy!$A$2:$A$1295,0))="","",INDEX(Hierarchy!$I$2:$I$1295,MATCH($D1650,Hierarchy!$A$2:$A$1295,0))),"NODE NOT FOUND"))</f>
        <v/>
      </c>
      <c r="M1650" s="17" t="str">
        <f aca="false">IF(B1650="Pre-seeded","Pre-seeded",IF(B1650="Review 2026-09-16","Added from review",IF(C1650="","New",IF(C1650=D1650,"","Changed"))))</f>
        <v>Changed</v>
      </c>
      <c r="N1650" s="7" t="str">
        <f aca="false">TRIM(SUBSTITUTE(SUBSTITUTE(SUBSTITUTE(" "&amp;TRIM(SUBSTITUTE(SUBSTITUTE(SUBSTITUTE(SUBSTITUTE(SUBSTITUTE(SUBSTITUTE(SUBSTITUTE(SUBSTITUTE(SUBSTITUTE(SUBSTITUTE(SUBSTITUTE(SUBSTITUTE(SUBSTITUTE(SUBSTITUTE(SUBSTITUTE(UPPER(TRIM(A1650)),"[MEMBER]",""),"{MEMBER}",""),"[MEMBER}",""),"MEMBER]",""),"(A)",""),"""",""),"“",""),"”",""),".",""),":",""),",",""),"–"," "),"-"," "),"/"," "),"&amp;"," AND "))&amp;" "," THE "," ")," TOTAL "," ")," OPERATIONS "," "))</f>
        <v>SOUTH EAST</v>
      </c>
      <c r="O1650" s="17" t="str">
        <f aca="false">IF(COUNTIFS($N$2:$N$2000,N1650,$D$2:$D$2000,"&lt;&gt;"&amp;D1650)&gt;0,"CONFLICT","")</f>
        <v/>
      </c>
      <c r="P1650" s="7"/>
    </row>
    <row r="1651" customFormat="false" ht="15" hidden="false" customHeight="false" outlineLevel="0" collapsed="false">
      <c r="A1651" s="7" t="s">
        <v>672</v>
      </c>
      <c r="B1651" s="7" t="s">
        <v>1879</v>
      </c>
      <c r="C1651" s="7"/>
      <c r="D1651" s="6" t="s">
        <v>672</v>
      </c>
      <c r="E1651" s="6" t="s">
        <v>1880</v>
      </c>
      <c r="F1651" s="7" t="str">
        <f aca="false">IF($D1651="","",IFERROR(IF(INDEX(Hierarchy!$B$2:$B$1295,MATCH($D1651,Hierarchy!$A$2:$A$1295,0))="","",INDEX(Hierarchy!$B$2:$B$1295,MATCH($D1651,Hierarchy!$A$2:$A$1295,0))),"NODE NOT FOUND"))</f>
        <v>Sub-national region</v>
      </c>
      <c r="G1651" s="7" t="str">
        <f aca="false">IF($D1651="","",IFERROR(IF(INDEX(Hierarchy!$D$2:$D$1295,MATCH($D1651,Hierarchy!$A$2:$A$1295,0))="","",INDEX(Hierarchy!$D$2:$D$1295,MATCH($D1651,Hierarchy!$A$2:$A$1295,0))),"NODE NOT FOUND"))</f>
        <v>EMEA</v>
      </c>
      <c r="H1651" s="7" t="str">
        <f aca="false">IF($D1651="","",IFERROR(IF(INDEX(Hierarchy!$E$2:$E$1295,MATCH($D1651,Hierarchy!$A$2:$A$1295,0))="","",INDEX(Hierarchy!$E$2:$E$1295,MATCH($D1651,Hierarchy!$A$2:$A$1295,0))),"NODE NOT FOUND"))</f>
        <v>Europe</v>
      </c>
      <c r="I1651" s="7" t="str">
        <f aca="false">IF($D1651="","",IFERROR(IF(INDEX(Hierarchy!$F$2:$F$1295,MATCH($D1651,Hierarchy!$A$2:$A$1295,0))="","",INDEX(Hierarchy!$F$2:$F$1295,MATCH($D1651,Hierarchy!$A$2:$A$1295,0))),"NODE NOT FOUND"))</f>
        <v>United Kingdom</v>
      </c>
      <c r="J1651" s="7" t="str">
        <f aca="false">IF($D1651="","",IFERROR(IF(INDEX(Hierarchy!$G$2:$G$1295,MATCH($D1651,Hierarchy!$A$2:$A$1295,0))="","",INDEX(Hierarchy!$G$2:$G$1295,MATCH($D1651,Hierarchy!$A$2:$A$1295,0))),"NODE NOT FOUND"))</f>
        <v>GBR</v>
      </c>
      <c r="K1651" s="7" t="str">
        <f aca="false">IF($D1651="","",IFERROR(IF(INDEX(Hierarchy!$H$2:$H$1295,MATCH($D1651,Hierarchy!$A$2:$A$1295,0))="","",INDEX(Hierarchy!$H$2:$H$1295,MATCH($D1651,Hierarchy!$A$2:$A$1295,0))),"NODE NOT FOUND"))</f>
        <v>England</v>
      </c>
      <c r="L1651" s="7" t="str">
        <f aca="false">IF($D1651="","",IFERROR(IF(INDEX(Hierarchy!$I$2:$I$1295,MATCH($D1651,Hierarchy!$A$2:$A$1295,0))="","",INDEX(Hierarchy!$I$2:$I$1295,MATCH($D1651,Hierarchy!$A$2:$A$1295,0))),"NODE NOT FOUND"))</f>
        <v/>
      </c>
      <c r="M1651" s="17" t="str">
        <f aca="false">IF(B1651="Pre-seeded","Pre-seeded",IF(B1651="Review 2026-09-16","Added from review",IF(C1651="","New",IF(C1651=D1651,"","Changed"))))</f>
        <v>Pre-seeded</v>
      </c>
      <c r="N1651" s="7" t="str">
        <f aca="false">TRIM(SUBSTITUTE(SUBSTITUTE(SUBSTITUTE(" "&amp;TRIM(SUBSTITUTE(SUBSTITUTE(SUBSTITUTE(SUBSTITUTE(SUBSTITUTE(SUBSTITUTE(SUBSTITUTE(SUBSTITUTE(SUBSTITUTE(SUBSTITUTE(SUBSTITUTE(SUBSTITUTE(SUBSTITUTE(SUBSTITUTE(SUBSTITUTE(UPPER(TRIM(A1651)),"[MEMBER]",""),"{MEMBER}",""),"[MEMBER}",""),"MEMBER]",""),"(A)",""),"""",""),"“",""),"”",""),".",""),":",""),",",""),"–"," "),"-"," "),"/"," "),"&amp;"," AND "))&amp;" "," THE "," ")," TOTAL "," ")," OPERATIONS "," "))</f>
        <v>SOUTH EAST ENGLAND</v>
      </c>
      <c r="O1651" s="17" t="str">
        <f aca="false">IF(COUNTIFS($N$2:$N$2000,N1651,$D$2:$D$2000,"&lt;&gt;"&amp;D1651)&gt;0,"CONFLICT","")</f>
        <v/>
      </c>
      <c r="P1651" s="7"/>
    </row>
    <row r="1652" customFormat="false" ht="15" hidden="false" customHeight="false" outlineLevel="0" collapsed="false">
      <c r="A1652" s="7" t="s">
        <v>2722</v>
      </c>
      <c r="B1652" s="7" t="s">
        <v>1879</v>
      </c>
      <c r="C1652" s="7"/>
      <c r="D1652" s="6" t="s">
        <v>654</v>
      </c>
      <c r="E1652" s="6" t="s">
        <v>1880</v>
      </c>
      <c r="F1652" s="7" t="str">
        <f aca="false">IF($D1652="","",IFERROR(IF(INDEX(Hierarchy!$B$2:$B$1295,MATCH($D1652,Hierarchy!$A$2:$A$1295,0))="","",INDEX(Hierarchy!$B$2:$B$1295,MATCH($D1652,Hierarchy!$A$2:$A$1295,0))),"NODE NOT FOUND"))</f>
        <v>Sub-region component</v>
      </c>
      <c r="G1652" s="7" t="str">
        <f aca="false">IF($D1652="","",IFERROR(IF(INDEX(Hierarchy!$D$2:$D$1295,MATCH($D1652,Hierarchy!$A$2:$A$1295,0))="","",INDEX(Hierarchy!$D$2:$D$1295,MATCH($D1652,Hierarchy!$A$2:$A$1295,0))),"NODE NOT FOUND"))</f>
        <v>EMEA</v>
      </c>
      <c r="H1652" s="7" t="str">
        <f aca="false">IF($D1652="","",IFERROR(IF(INDEX(Hierarchy!$E$2:$E$1295,MATCH($D1652,Hierarchy!$A$2:$A$1295,0))="","",INDEX(Hierarchy!$E$2:$E$1295,MATCH($D1652,Hierarchy!$A$2:$A$1295,0))),"NODE NOT FOUND"))</f>
        <v>Europe</v>
      </c>
      <c r="I1652" s="7" t="str">
        <f aca="false">IF($D1652="","",IFERROR(IF(INDEX(Hierarchy!$F$2:$F$1295,MATCH($D1652,Hierarchy!$A$2:$A$1295,0))="","",INDEX(Hierarchy!$F$2:$F$1295,MATCH($D1652,Hierarchy!$A$2:$A$1295,0))),"NODE NOT FOUND"))</f>
        <v/>
      </c>
      <c r="J1652" s="7" t="str">
        <f aca="false">IF($D1652="","",IFERROR(IF(INDEX(Hierarchy!$G$2:$G$1295,MATCH($D1652,Hierarchy!$A$2:$A$1295,0))="","",INDEX(Hierarchy!$G$2:$G$1295,MATCH($D1652,Hierarchy!$A$2:$A$1295,0))),"NODE NOT FOUND"))</f>
        <v/>
      </c>
      <c r="K1652" s="7" t="str">
        <f aca="false">IF($D1652="","",IFERROR(IF(INDEX(Hierarchy!$H$2:$H$1295,MATCH($D1652,Hierarchy!$A$2:$A$1295,0))="","",INDEX(Hierarchy!$H$2:$H$1295,MATCH($D1652,Hierarchy!$A$2:$A$1295,0))),"NODE NOT FOUND"))</f>
        <v/>
      </c>
      <c r="L1652" s="7" t="str">
        <f aca="false">IF($D1652="","",IFERROR(IF(INDEX(Hierarchy!$I$2:$I$1295,MATCH($D1652,Hierarchy!$A$2:$A$1295,0))="","",INDEX(Hierarchy!$I$2:$I$1295,MATCH($D1652,Hierarchy!$A$2:$A$1295,0))),"NODE NOT FOUND"))</f>
        <v/>
      </c>
      <c r="M1652" s="17" t="str">
        <f aca="false">IF(B1652="Pre-seeded","Pre-seeded",IF(B1652="Review 2026-09-16","Added from review",IF(C1652="","New",IF(C1652=D1652,"","Changed"))))</f>
        <v>Pre-seeded</v>
      </c>
      <c r="N1652" s="7" t="str">
        <f aca="false">TRIM(SUBSTITUTE(SUBSTITUTE(SUBSTITUTE(" "&amp;TRIM(SUBSTITUTE(SUBSTITUTE(SUBSTITUTE(SUBSTITUTE(SUBSTITUTE(SUBSTITUTE(SUBSTITUTE(SUBSTITUTE(SUBSTITUTE(SUBSTITUTE(SUBSTITUTE(SUBSTITUTE(SUBSTITUTE(SUBSTITUTE(SUBSTITUTE(UPPER(TRIM(A1652)),"[MEMBER]",""),"{MEMBER}",""),"[MEMBER}",""),"MEMBER]",""),"(A)",""),"""",""),"“",""),"”",""),".",""),":",""),",",""),"–"," "),"-"," "),"/"," "),"&amp;"," AND "))&amp;" "," THE "," ")," TOTAL "," ")," OPERATIONS "," "))</f>
        <v>SOUTH EASTERN EUROPE</v>
      </c>
      <c r="O1652" s="17" t="str">
        <f aca="false">IF(COUNTIFS($N$2:$N$2000,N1652,$D$2:$D$2000,"&lt;&gt;"&amp;D1652)&gt;0,"CONFLICT","")</f>
        <v/>
      </c>
      <c r="P1652" s="7"/>
    </row>
    <row r="1653" customFormat="false" ht="15" hidden="false" customHeight="false" outlineLevel="0" collapsed="false">
      <c r="A1653" s="7" t="s">
        <v>1577</v>
      </c>
      <c r="B1653" s="7" t="s">
        <v>1879</v>
      </c>
      <c r="C1653" s="7"/>
      <c r="D1653" s="6" t="s">
        <v>1577</v>
      </c>
      <c r="E1653" s="6" t="s">
        <v>1880</v>
      </c>
      <c r="F1653" s="7" t="str">
        <f aca="false">IF($D1653="","",IFERROR(IF(INDEX(Hierarchy!$B$2:$B$1295,MATCH($D1653,Hierarchy!$A$2:$A$1295,0))="","",INDEX(Hierarchy!$B$2:$B$1295,MATCH($D1653,Hierarchy!$A$2:$A$1295,0))),"NODE NOT FOUND"))</f>
        <v>State/Province</v>
      </c>
      <c r="G1653" s="7" t="str">
        <f aca="false">IF($D1653="","",IFERROR(IF(INDEX(Hierarchy!$D$2:$D$1295,MATCH($D1653,Hierarchy!$A$2:$A$1295,0))="","",INDEX(Hierarchy!$D$2:$D$1295,MATCH($D1653,Hierarchy!$A$2:$A$1295,0))),"NODE NOT FOUND"))</f>
        <v>APAC</v>
      </c>
      <c r="H1653" s="7" t="str">
        <f aca="false">IF($D1653="","",IFERROR(IF(INDEX(Hierarchy!$E$2:$E$1295,MATCH($D1653,Hierarchy!$A$2:$A$1295,0))="","",INDEX(Hierarchy!$E$2:$E$1295,MATCH($D1653,Hierarchy!$A$2:$A$1295,0))),"NODE NOT FOUND"))</f>
        <v>East Asia</v>
      </c>
      <c r="I1653" s="7" t="str">
        <f aca="false">IF($D1653="","",IFERROR(IF(INDEX(Hierarchy!$F$2:$F$1295,MATCH($D1653,Hierarchy!$A$2:$A$1295,0))="","",INDEX(Hierarchy!$F$2:$F$1295,MATCH($D1653,Hierarchy!$A$2:$A$1295,0))),"NODE NOT FOUND"))</f>
        <v>South Korea</v>
      </c>
      <c r="J1653" s="7" t="str">
        <f aca="false">IF($D1653="","",IFERROR(IF(INDEX(Hierarchy!$G$2:$G$1295,MATCH($D1653,Hierarchy!$A$2:$A$1295,0))="","",INDEX(Hierarchy!$G$2:$G$1295,MATCH($D1653,Hierarchy!$A$2:$A$1295,0))),"NODE NOT FOUND"))</f>
        <v>KOR</v>
      </c>
      <c r="K1653" s="7" t="str">
        <f aca="false">IF($D1653="","",IFERROR(IF(INDEX(Hierarchy!$H$2:$H$1295,MATCH($D1653,Hierarchy!$A$2:$A$1295,0))="","",INDEX(Hierarchy!$H$2:$H$1295,MATCH($D1653,Hierarchy!$A$2:$A$1295,0))),"NODE NOT FOUND"))</f>
        <v>South Gyeongsang</v>
      </c>
      <c r="L1653" s="7" t="str">
        <f aca="false">IF($D1653="","",IFERROR(IF(INDEX(Hierarchy!$I$2:$I$1295,MATCH($D1653,Hierarchy!$A$2:$A$1295,0))="","",INDEX(Hierarchy!$I$2:$I$1295,MATCH($D1653,Hierarchy!$A$2:$A$1295,0))),"NODE NOT FOUND"))</f>
        <v/>
      </c>
      <c r="M1653" s="17" t="str">
        <f aca="false">IF(B1653="Pre-seeded","Pre-seeded",IF(B1653="Review 2026-09-16","Added from review",IF(C1653="","New",IF(C1653=D1653,"","Changed"))))</f>
        <v>Pre-seeded</v>
      </c>
      <c r="N1653" s="7" t="str">
        <f aca="false">TRIM(SUBSTITUTE(SUBSTITUTE(SUBSTITUTE(" "&amp;TRIM(SUBSTITUTE(SUBSTITUTE(SUBSTITUTE(SUBSTITUTE(SUBSTITUTE(SUBSTITUTE(SUBSTITUTE(SUBSTITUTE(SUBSTITUTE(SUBSTITUTE(SUBSTITUTE(SUBSTITUTE(SUBSTITUTE(SUBSTITUTE(SUBSTITUTE(UPPER(TRIM(A1653)),"[MEMBER]",""),"{MEMBER}",""),"[MEMBER}",""),"MEMBER]",""),"(A)",""),"""",""),"“",""),"”",""),".",""),":",""),",",""),"–"," "),"-"," "),"/"," "),"&amp;"," AND "))&amp;" "," THE "," ")," TOTAL "," ")," OPERATIONS "," "))</f>
        <v>SOUTH GYEONGSANG</v>
      </c>
      <c r="O1653" s="17" t="str">
        <f aca="false">IF(COUNTIFS($N$2:$N$2000,N1653,$D$2:$D$2000,"&lt;&gt;"&amp;D1653)&gt;0,"CONFLICT","")</f>
        <v/>
      </c>
      <c r="P1653" s="7"/>
    </row>
    <row r="1654" customFormat="false" ht="15" hidden="false" customHeight="false" outlineLevel="0" collapsed="false">
      <c r="A1654" s="7" t="s">
        <v>894</v>
      </c>
      <c r="B1654" s="7" t="s">
        <v>1879</v>
      </c>
      <c r="C1654" s="7"/>
      <c r="D1654" s="6" t="s">
        <v>894</v>
      </c>
      <c r="E1654" s="6" t="s">
        <v>1880</v>
      </c>
      <c r="F1654" s="7" t="str">
        <f aca="false">IF($D1654="","",IFERROR(IF(INDEX(Hierarchy!$B$2:$B$1295,MATCH($D1654,Hierarchy!$A$2:$A$1295,0))="","",INDEX(Hierarchy!$B$2:$B$1295,MATCH($D1654,Hierarchy!$A$2:$A$1295,0))),"NODE NOT FOUND"))</f>
        <v>State/Province</v>
      </c>
      <c r="G1654" s="7" t="str">
        <f aca="false">IF($D1654="","",IFERROR(IF(INDEX(Hierarchy!$D$2:$D$1295,MATCH($D1654,Hierarchy!$A$2:$A$1295,0))="","",INDEX(Hierarchy!$D$2:$D$1295,MATCH($D1654,Hierarchy!$A$2:$A$1295,0))),"NODE NOT FOUND"))</f>
        <v>EMEA</v>
      </c>
      <c r="H1654" s="7" t="str">
        <f aca="false">IF($D1654="","",IFERROR(IF(INDEX(Hierarchy!$E$2:$E$1295,MATCH($D1654,Hierarchy!$A$2:$A$1295,0))="","",INDEX(Hierarchy!$E$2:$E$1295,MATCH($D1654,Hierarchy!$A$2:$A$1295,0))),"NODE NOT FOUND"))</f>
        <v>Europe</v>
      </c>
      <c r="I1654" s="7" t="str">
        <f aca="false">IF($D1654="","",IFERROR(IF(INDEX(Hierarchy!$F$2:$F$1295,MATCH($D1654,Hierarchy!$A$2:$A$1295,0))="","",INDEX(Hierarchy!$F$2:$F$1295,MATCH($D1654,Hierarchy!$A$2:$A$1295,0))),"NODE NOT FOUND"))</f>
        <v>Netherlands</v>
      </c>
      <c r="J1654" s="7" t="str">
        <f aca="false">IF($D1654="","",IFERROR(IF(INDEX(Hierarchy!$G$2:$G$1295,MATCH($D1654,Hierarchy!$A$2:$A$1295,0))="","",INDEX(Hierarchy!$G$2:$G$1295,MATCH($D1654,Hierarchy!$A$2:$A$1295,0))),"NODE NOT FOUND"))</f>
        <v>NLD</v>
      </c>
      <c r="K1654" s="7" t="str">
        <f aca="false">IF($D1654="","",IFERROR(IF(INDEX(Hierarchy!$H$2:$H$1295,MATCH($D1654,Hierarchy!$A$2:$A$1295,0))="","",INDEX(Hierarchy!$H$2:$H$1295,MATCH($D1654,Hierarchy!$A$2:$A$1295,0))),"NODE NOT FOUND"))</f>
        <v>South Holland</v>
      </c>
      <c r="L1654" s="7" t="str">
        <f aca="false">IF($D1654="","",IFERROR(IF(INDEX(Hierarchy!$I$2:$I$1295,MATCH($D1654,Hierarchy!$A$2:$A$1295,0))="","",INDEX(Hierarchy!$I$2:$I$1295,MATCH($D1654,Hierarchy!$A$2:$A$1295,0))),"NODE NOT FOUND"))</f>
        <v/>
      </c>
      <c r="M1654" s="17" t="str">
        <f aca="false">IF(B1654="Pre-seeded","Pre-seeded",IF(B1654="Review 2026-09-16","Added from review",IF(C1654="","New",IF(C1654=D1654,"","Changed"))))</f>
        <v>Pre-seeded</v>
      </c>
      <c r="N1654" s="7" t="str">
        <f aca="false">TRIM(SUBSTITUTE(SUBSTITUTE(SUBSTITUTE(" "&amp;TRIM(SUBSTITUTE(SUBSTITUTE(SUBSTITUTE(SUBSTITUTE(SUBSTITUTE(SUBSTITUTE(SUBSTITUTE(SUBSTITUTE(SUBSTITUTE(SUBSTITUTE(SUBSTITUTE(SUBSTITUTE(SUBSTITUTE(SUBSTITUTE(SUBSTITUTE(UPPER(TRIM(A1654)),"[MEMBER]",""),"{MEMBER}",""),"[MEMBER}",""),"MEMBER]",""),"(A)",""),"""",""),"“",""),"”",""),".",""),":",""),",",""),"–"," "),"-"," "),"/"," "),"&amp;"," AND "))&amp;" "," THE "," ")," TOTAL "," ")," OPERATIONS "," "))</f>
        <v>SOUTH HOLLAND</v>
      </c>
      <c r="O1654" s="17" t="str">
        <f aca="false">IF(COUNTIFS($N$2:$N$2000,N1654,$D$2:$D$2000,"&lt;&gt;"&amp;D1654)&gt;0,"CONFLICT","")</f>
        <v/>
      </c>
      <c r="P1654" s="7"/>
    </row>
    <row r="1655" customFormat="false" ht="15" hidden="false" customHeight="false" outlineLevel="0" collapsed="false">
      <c r="A1655" s="7" t="s">
        <v>1323</v>
      </c>
      <c r="B1655" s="7" t="s">
        <v>1879</v>
      </c>
      <c r="C1655" s="7"/>
      <c r="D1655" s="6" t="s">
        <v>1323</v>
      </c>
      <c r="E1655" s="6" t="s">
        <v>1880</v>
      </c>
      <c r="F1655" s="7" t="str">
        <f aca="false">IF($D1655="","",IFERROR(IF(INDEX(Hierarchy!$B$2:$B$1295,MATCH($D1655,Hierarchy!$A$2:$A$1295,0))="","",INDEX(Hierarchy!$B$2:$B$1295,MATCH($D1655,Hierarchy!$A$2:$A$1295,0))),"NODE NOT FOUND"))</f>
        <v>Sub-national region</v>
      </c>
      <c r="G1655" s="7" t="str">
        <f aca="false">IF($D1655="","",IFERROR(IF(INDEX(Hierarchy!$D$2:$D$1295,MATCH($D1655,Hierarchy!$A$2:$A$1295,0))="","",INDEX(Hierarchy!$D$2:$D$1295,MATCH($D1655,Hierarchy!$A$2:$A$1295,0))),"NODE NOT FOUND"))</f>
        <v>APAC</v>
      </c>
      <c r="H1655" s="7" t="str">
        <f aca="false">IF($D1655="","",IFERROR(IF(INDEX(Hierarchy!$E$2:$E$1295,MATCH($D1655,Hierarchy!$A$2:$A$1295,0))="","",INDEX(Hierarchy!$E$2:$E$1295,MATCH($D1655,Hierarchy!$A$2:$A$1295,0))),"NODE NOT FOUND"))</f>
        <v>South Asia</v>
      </c>
      <c r="I1655" s="7" t="str">
        <f aca="false">IF($D1655="","",IFERROR(IF(INDEX(Hierarchy!$F$2:$F$1295,MATCH($D1655,Hierarchy!$A$2:$A$1295,0))="","",INDEX(Hierarchy!$F$2:$F$1295,MATCH($D1655,Hierarchy!$A$2:$A$1295,0))),"NODE NOT FOUND"))</f>
        <v>India</v>
      </c>
      <c r="J1655" s="7" t="str">
        <f aca="false">IF($D1655="","",IFERROR(IF(INDEX(Hierarchy!$G$2:$G$1295,MATCH($D1655,Hierarchy!$A$2:$A$1295,0))="","",INDEX(Hierarchy!$G$2:$G$1295,MATCH($D1655,Hierarchy!$A$2:$A$1295,0))),"NODE NOT FOUND"))</f>
        <v>IND</v>
      </c>
      <c r="K1655" s="7" t="str">
        <f aca="false">IF($D1655="","",IFERROR(IF(INDEX(Hierarchy!$H$2:$H$1295,MATCH($D1655,Hierarchy!$A$2:$A$1295,0))="","",INDEX(Hierarchy!$H$2:$H$1295,MATCH($D1655,Hierarchy!$A$2:$A$1295,0))),"NODE NOT FOUND"))</f>
        <v/>
      </c>
      <c r="L1655" s="7" t="str">
        <f aca="false">IF($D1655="","",IFERROR(IF(INDEX(Hierarchy!$I$2:$I$1295,MATCH($D1655,Hierarchy!$A$2:$A$1295,0))="","",INDEX(Hierarchy!$I$2:$I$1295,MATCH($D1655,Hierarchy!$A$2:$A$1295,0))),"NODE NOT FOUND"))</f>
        <v/>
      </c>
      <c r="M1655" s="17" t="str">
        <f aca="false">IF(B1655="Pre-seeded","Pre-seeded",IF(B1655="Review 2026-09-16","Added from review",IF(C1655="","New",IF(C1655=D1655,"","Changed"))))</f>
        <v>Pre-seeded</v>
      </c>
      <c r="N1655" s="7" t="str">
        <f aca="false">TRIM(SUBSTITUTE(SUBSTITUTE(SUBSTITUTE(" "&amp;TRIM(SUBSTITUTE(SUBSTITUTE(SUBSTITUTE(SUBSTITUTE(SUBSTITUTE(SUBSTITUTE(SUBSTITUTE(SUBSTITUTE(SUBSTITUTE(SUBSTITUTE(SUBSTITUTE(SUBSTITUTE(SUBSTITUTE(SUBSTITUTE(SUBSTITUTE(UPPER(TRIM(A1655)),"[MEMBER]",""),"{MEMBER}",""),"[MEMBER}",""),"MEMBER]",""),"(A)",""),"""",""),"“",""),"”",""),".",""),":",""),",",""),"–"," "),"-"," "),"/"," "),"&amp;"," AND "))&amp;" "," THE "," ")," TOTAL "," ")," OPERATIONS "," "))</f>
        <v>SOUTH INDIA</v>
      </c>
      <c r="O1655" s="17" t="str">
        <f aca="false">IF(COUNTIFS($N$2:$N$2000,N1655,$D$2:$D$2000,"&lt;&gt;"&amp;D1655)&gt;0,"CONFLICT","")</f>
        <v/>
      </c>
      <c r="P1655" s="7"/>
    </row>
    <row r="1656" customFormat="false" ht="15" hidden="false" customHeight="false" outlineLevel="0" collapsed="false">
      <c r="A1656" s="7" t="s">
        <v>1578</v>
      </c>
      <c r="B1656" s="7" t="s">
        <v>1879</v>
      </c>
      <c r="C1656" s="7"/>
      <c r="D1656" s="6" t="s">
        <v>1578</v>
      </c>
      <c r="E1656" s="6" t="s">
        <v>1880</v>
      </c>
      <c r="F1656" s="7" t="str">
        <f aca="false">IF($D1656="","",IFERROR(IF(INDEX(Hierarchy!$B$2:$B$1295,MATCH($D1656,Hierarchy!$A$2:$A$1295,0))="","",INDEX(Hierarchy!$B$2:$B$1295,MATCH($D1656,Hierarchy!$A$2:$A$1295,0))),"NODE NOT FOUND"))</f>
        <v>State/Province</v>
      </c>
      <c r="G1656" s="7" t="str">
        <f aca="false">IF($D1656="","",IFERROR(IF(INDEX(Hierarchy!$D$2:$D$1295,MATCH($D1656,Hierarchy!$A$2:$A$1295,0))="","",INDEX(Hierarchy!$D$2:$D$1295,MATCH($D1656,Hierarchy!$A$2:$A$1295,0))),"NODE NOT FOUND"))</f>
        <v>APAC</v>
      </c>
      <c r="H1656" s="7" t="str">
        <f aca="false">IF($D1656="","",IFERROR(IF(INDEX(Hierarchy!$E$2:$E$1295,MATCH($D1656,Hierarchy!$A$2:$A$1295,0))="","",INDEX(Hierarchy!$E$2:$E$1295,MATCH($D1656,Hierarchy!$A$2:$A$1295,0))),"NODE NOT FOUND"))</f>
        <v>East Asia</v>
      </c>
      <c r="I1656" s="7" t="str">
        <f aca="false">IF($D1656="","",IFERROR(IF(INDEX(Hierarchy!$F$2:$F$1295,MATCH($D1656,Hierarchy!$A$2:$A$1295,0))="","",INDEX(Hierarchy!$F$2:$F$1295,MATCH($D1656,Hierarchy!$A$2:$A$1295,0))),"NODE NOT FOUND"))</f>
        <v>South Korea</v>
      </c>
      <c r="J1656" s="7" t="str">
        <f aca="false">IF($D1656="","",IFERROR(IF(INDEX(Hierarchy!$G$2:$G$1295,MATCH($D1656,Hierarchy!$A$2:$A$1295,0))="","",INDEX(Hierarchy!$G$2:$G$1295,MATCH($D1656,Hierarchy!$A$2:$A$1295,0))),"NODE NOT FOUND"))</f>
        <v>KOR</v>
      </c>
      <c r="K1656" s="7" t="str">
        <f aca="false">IF($D1656="","",IFERROR(IF(INDEX(Hierarchy!$H$2:$H$1295,MATCH($D1656,Hierarchy!$A$2:$A$1295,0))="","",INDEX(Hierarchy!$H$2:$H$1295,MATCH($D1656,Hierarchy!$A$2:$A$1295,0))),"NODE NOT FOUND"))</f>
        <v>South Jeolla</v>
      </c>
      <c r="L1656" s="7" t="str">
        <f aca="false">IF($D1656="","",IFERROR(IF(INDEX(Hierarchy!$I$2:$I$1295,MATCH($D1656,Hierarchy!$A$2:$A$1295,0))="","",INDEX(Hierarchy!$I$2:$I$1295,MATCH($D1656,Hierarchy!$A$2:$A$1295,0))),"NODE NOT FOUND"))</f>
        <v/>
      </c>
      <c r="M1656" s="17" t="str">
        <f aca="false">IF(B1656="Pre-seeded","Pre-seeded",IF(B1656="Review 2026-09-16","Added from review",IF(C1656="","New",IF(C1656=D1656,"","Changed"))))</f>
        <v>Pre-seeded</v>
      </c>
      <c r="N1656" s="7" t="str">
        <f aca="false">TRIM(SUBSTITUTE(SUBSTITUTE(SUBSTITUTE(" "&amp;TRIM(SUBSTITUTE(SUBSTITUTE(SUBSTITUTE(SUBSTITUTE(SUBSTITUTE(SUBSTITUTE(SUBSTITUTE(SUBSTITUTE(SUBSTITUTE(SUBSTITUTE(SUBSTITUTE(SUBSTITUTE(SUBSTITUTE(SUBSTITUTE(SUBSTITUTE(UPPER(TRIM(A1656)),"[MEMBER]",""),"{MEMBER}",""),"[MEMBER}",""),"MEMBER]",""),"(A)",""),"""",""),"“",""),"”",""),".",""),":",""),",",""),"–"," "),"-"," "),"/"," "),"&amp;"," AND "))&amp;" "," THE "," ")," TOTAL "," ")," OPERATIONS "," "))</f>
        <v>SOUTH JEOLLA</v>
      </c>
      <c r="O1656" s="17" t="str">
        <f aca="false">IF(COUNTIFS($N$2:$N$2000,N1656,$D$2:$D$2000,"&lt;&gt;"&amp;D1656)&gt;0,"CONFLICT","")</f>
        <v/>
      </c>
      <c r="P1656" s="7"/>
    </row>
    <row r="1657" customFormat="false" ht="15" hidden="false" customHeight="false" outlineLevel="0" collapsed="false">
      <c r="A1657" s="7" t="s">
        <v>1617</v>
      </c>
      <c r="B1657" s="7" t="s">
        <v>1879</v>
      </c>
      <c r="C1657" s="7"/>
      <c r="D1657" s="6" t="s">
        <v>1617</v>
      </c>
      <c r="E1657" s="6" t="s">
        <v>1880</v>
      </c>
      <c r="F1657" s="7" t="str">
        <f aca="false">IF($D1657="","",IFERROR(IF(INDEX(Hierarchy!$B$2:$B$1295,MATCH($D1657,Hierarchy!$A$2:$A$1295,0))="","",INDEX(Hierarchy!$B$2:$B$1295,MATCH($D1657,Hierarchy!$A$2:$A$1295,0))),"NODE NOT FOUND"))</f>
        <v>State/Province</v>
      </c>
      <c r="G1657" s="7" t="str">
        <f aca="false">IF($D1657="","",IFERROR(IF(INDEX(Hierarchy!$D$2:$D$1295,MATCH($D1657,Hierarchy!$A$2:$A$1295,0))="","",INDEX(Hierarchy!$D$2:$D$1295,MATCH($D1657,Hierarchy!$A$2:$A$1295,0))),"NODE NOT FOUND"))</f>
        <v>APAC</v>
      </c>
      <c r="H1657" s="7" t="str">
        <f aca="false">IF($D1657="","",IFERROR(IF(INDEX(Hierarchy!$E$2:$E$1295,MATCH($D1657,Hierarchy!$A$2:$A$1295,0))="","",INDEX(Hierarchy!$E$2:$E$1295,MATCH($D1657,Hierarchy!$A$2:$A$1295,0))),"NODE NOT FOUND"))</f>
        <v>Southeast Asia (ASEAN)</v>
      </c>
      <c r="I1657" s="7" t="str">
        <f aca="false">IF($D1657="","",IFERROR(IF(INDEX(Hierarchy!$F$2:$F$1295,MATCH($D1657,Hierarchy!$A$2:$A$1295,0))="","",INDEX(Hierarchy!$F$2:$F$1295,MATCH($D1657,Hierarchy!$A$2:$A$1295,0))),"NODE NOT FOUND"))</f>
        <v>Indonesia</v>
      </c>
      <c r="J1657" s="7" t="str">
        <f aca="false">IF($D1657="","",IFERROR(IF(INDEX(Hierarchy!$G$2:$G$1295,MATCH($D1657,Hierarchy!$A$2:$A$1295,0))="","",INDEX(Hierarchy!$G$2:$G$1295,MATCH($D1657,Hierarchy!$A$2:$A$1295,0))),"NODE NOT FOUND"))</f>
        <v>IDN</v>
      </c>
      <c r="K1657" s="7" t="str">
        <f aca="false">IF($D1657="","",IFERROR(IF(INDEX(Hierarchy!$H$2:$H$1295,MATCH($D1657,Hierarchy!$A$2:$A$1295,0))="","",INDEX(Hierarchy!$H$2:$H$1295,MATCH($D1657,Hierarchy!$A$2:$A$1295,0))),"NODE NOT FOUND"))</f>
        <v>South Kalimantan</v>
      </c>
      <c r="L1657" s="7" t="str">
        <f aca="false">IF($D1657="","",IFERROR(IF(INDEX(Hierarchy!$I$2:$I$1295,MATCH($D1657,Hierarchy!$A$2:$A$1295,0))="","",INDEX(Hierarchy!$I$2:$I$1295,MATCH($D1657,Hierarchy!$A$2:$A$1295,0))),"NODE NOT FOUND"))</f>
        <v/>
      </c>
      <c r="M1657" s="17" t="str">
        <f aca="false">IF(B1657="Pre-seeded","Pre-seeded",IF(B1657="Review 2026-09-16","Added from review",IF(C1657="","New",IF(C1657=D1657,"","Changed"))))</f>
        <v>Pre-seeded</v>
      </c>
      <c r="N1657" s="7" t="str">
        <f aca="false">TRIM(SUBSTITUTE(SUBSTITUTE(SUBSTITUTE(" "&amp;TRIM(SUBSTITUTE(SUBSTITUTE(SUBSTITUTE(SUBSTITUTE(SUBSTITUTE(SUBSTITUTE(SUBSTITUTE(SUBSTITUTE(SUBSTITUTE(SUBSTITUTE(SUBSTITUTE(SUBSTITUTE(SUBSTITUTE(SUBSTITUTE(SUBSTITUTE(UPPER(TRIM(A1657)),"[MEMBER]",""),"{MEMBER}",""),"[MEMBER}",""),"MEMBER]",""),"(A)",""),"""",""),"“",""),"”",""),".",""),":",""),",",""),"–"," "),"-"," "),"/"," "),"&amp;"," AND "))&amp;" "," THE "," ")," TOTAL "," ")," OPERATIONS "," "))</f>
        <v>SOUTH KALIMANTAN</v>
      </c>
      <c r="O1657" s="17" t="str">
        <f aca="false">IF(COUNTIFS($N$2:$N$2000,N1657,$D$2:$D$2000,"&lt;&gt;"&amp;D1657)&gt;0,"CONFLICT","")</f>
        <v/>
      </c>
      <c r="P1657" s="7"/>
    </row>
    <row r="1658" customFormat="false" ht="15" hidden="false" customHeight="false" outlineLevel="0" collapsed="false">
      <c r="A1658" s="7" t="s">
        <v>1559</v>
      </c>
      <c r="B1658" s="7" t="s">
        <v>1882</v>
      </c>
      <c r="C1658" s="7" t="s">
        <v>1559</v>
      </c>
      <c r="D1658" s="6" t="s">
        <v>1559</v>
      </c>
      <c r="E1658" s="6" t="s">
        <v>1880</v>
      </c>
      <c r="F1658" s="7" t="str">
        <f aca="false">IF($D1658="","",IFERROR(IF(INDEX(Hierarchy!$B$2:$B$1295,MATCH($D1658,Hierarchy!$A$2:$A$1295,0))="","",INDEX(Hierarchy!$B$2:$B$1295,MATCH($D1658,Hierarchy!$A$2:$A$1295,0))),"NODE NOT FOUND"))</f>
        <v>Country</v>
      </c>
      <c r="G1658" s="7" t="str">
        <f aca="false">IF($D1658="","",IFERROR(IF(INDEX(Hierarchy!$D$2:$D$1295,MATCH($D1658,Hierarchy!$A$2:$A$1295,0))="","",INDEX(Hierarchy!$D$2:$D$1295,MATCH($D1658,Hierarchy!$A$2:$A$1295,0))),"NODE NOT FOUND"))</f>
        <v>APAC</v>
      </c>
      <c r="H1658" s="7" t="str">
        <f aca="false">IF($D1658="","",IFERROR(IF(INDEX(Hierarchy!$E$2:$E$1295,MATCH($D1658,Hierarchy!$A$2:$A$1295,0))="","",INDEX(Hierarchy!$E$2:$E$1295,MATCH($D1658,Hierarchy!$A$2:$A$1295,0))),"NODE NOT FOUND"))</f>
        <v>East Asia</v>
      </c>
      <c r="I1658" s="7" t="str">
        <f aca="false">IF($D1658="","",IFERROR(IF(INDEX(Hierarchy!$F$2:$F$1295,MATCH($D1658,Hierarchy!$A$2:$A$1295,0))="","",INDEX(Hierarchy!$F$2:$F$1295,MATCH($D1658,Hierarchy!$A$2:$A$1295,0))),"NODE NOT FOUND"))</f>
        <v>South Korea</v>
      </c>
      <c r="J1658" s="7" t="str">
        <f aca="false">IF($D1658="","",IFERROR(IF(INDEX(Hierarchy!$G$2:$G$1295,MATCH($D1658,Hierarchy!$A$2:$A$1295,0))="","",INDEX(Hierarchy!$G$2:$G$1295,MATCH($D1658,Hierarchy!$A$2:$A$1295,0))),"NODE NOT FOUND"))</f>
        <v>KOR</v>
      </c>
      <c r="K1658" s="7" t="str">
        <f aca="false">IF($D1658="","",IFERROR(IF(INDEX(Hierarchy!$H$2:$H$1295,MATCH($D1658,Hierarchy!$A$2:$A$1295,0))="","",INDEX(Hierarchy!$H$2:$H$1295,MATCH($D1658,Hierarchy!$A$2:$A$1295,0))),"NODE NOT FOUND"))</f>
        <v/>
      </c>
      <c r="L1658" s="7" t="str">
        <f aca="false">IF($D1658="","",IFERROR(IF(INDEX(Hierarchy!$I$2:$I$1295,MATCH($D1658,Hierarchy!$A$2:$A$1295,0))="","",INDEX(Hierarchy!$I$2:$I$1295,MATCH($D1658,Hierarchy!$A$2:$A$1295,0))),"NODE NOT FOUND"))</f>
        <v/>
      </c>
      <c r="M1658" s="17" t="str">
        <f aca="false">IF(B1658="Pre-seeded","Pre-seeded",IF(B1658="Review 2026-09-16","Added from review",IF(C1658="","New",IF(C1658=D1658,"","Changed"))))</f>
        <v/>
      </c>
      <c r="N1658" s="7" t="str">
        <f aca="false">TRIM(SUBSTITUTE(SUBSTITUTE(SUBSTITUTE(" "&amp;TRIM(SUBSTITUTE(SUBSTITUTE(SUBSTITUTE(SUBSTITUTE(SUBSTITUTE(SUBSTITUTE(SUBSTITUTE(SUBSTITUTE(SUBSTITUTE(SUBSTITUTE(SUBSTITUTE(SUBSTITUTE(SUBSTITUTE(SUBSTITUTE(SUBSTITUTE(UPPER(TRIM(A1658)),"[MEMBER]",""),"{MEMBER}",""),"[MEMBER}",""),"MEMBER]",""),"(A)",""),"""",""),"“",""),"”",""),".",""),":",""),",",""),"–"," "),"-"," "),"/"," "),"&amp;"," AND "))&amp;" "," THE "," ")," TOTAL "," ")," OPERATIONS "," "))</f>
        <v>SOUTH KOREA</v>
      </c>
      <c r="O1658" s="17" t="str">
        <f aca="false">IF(COUNTIFS($N$2:$N$2000,N1658,$D$2:$D$2000,"&lt;&gt;"&amp;D1658)&gt;0,"CONFLICT","")</f>
        <v/>
      </c>
      <c r="P1658" s="7"/>
    </row>
    <row r="1659" customFormat="false" ht="15" hidden="false" customHeight="false" outlineLevel="0" collapsed="false">
      <c r="A1659" s="7" t="s">
        <v>2723</v>
      </c>
      <c r="B1659" s="7" t="s">
        <v>1879</v>
      </c>
      <c r="C1659" s="7"/>
      <c r="D1659" s="6" t="s">
        <v>328</v>
      </c>
      <c r="E1659" s="6" t="s">
        <v>1880</v>
      </c>
      <c r="F1659" s="7" t="str">
        <f aca="false">IF($D1659="","",IFERROR(IF(INDEX(Hierarchy!$B$2:$B$1295,MATCH($D1659,Hierarchy!$A$2:$A$1295,0))="","",INDEX(Hierarchy!$B$2:$B$1295,MATCH($D1659,Hierarchy!$A$2:$A$1295,0))),"NODE NOT FOUND"))</f>
        <v>Sub-region component</v>
      </c>
      <c r="G1659" s="7" t="str">
        <f aca="false">IF($D1659="","",IFERROR(IF(INDEX(Hierarchy!$D$2:$D$1295,MATCH($D1659,Hierarchy!$A$2:$A$1295,0))="","",INDEX(Hierarchy!$D$2:$D$1295,MATCH($D1659,Hierarchy!$A$2:$A$1295,0))),"NODE NOT FOUND"))</f>
        <v>AMER</v>
      </c>
      <c r="H1659" s="7" t="str">
        <f aca="false">IF($D1659="","",IFERROR(IF(INDEX(Hierarchy!$E$2:$E$1295,MATCH($D1659,Hierarchy!$A$2:$A$1295,0))="","",INDEX(Hierarchy!$E$2:$E$1295,MATCH($D1659,Hierarchy!$A$2:$A$1295,0))),"NODE NOT FOUND"))</f>
        <v>Latin America (LATAM)</v>
      </c>
      <c r="I1659" s="7" t="str">
        <f aca="false">IF($D1659="","",IFERROR(IF(INDEX(Hierarchy!$F$2:$F$1295,MATCH($D1659,Hierarchy!$A$2:$A$1295,0))="","",INDEX(Hierarchy!$F$2:$F$1295,MATCH($D1659,Hierarchy!$A$2:$A$1295,0))),"NODE NOT FOUND"))</f>
        <v/>
      </c>
      <c r="J1659" s="7" t="str">
        <f aca="false">IF($D1659="","",IFERROR(IF(INDEX(Hierarchy!$G$2:$G$1295,MATCH($D1659,Hierarchy!$A$2:$A$1295,0))="","",INDEX(Hierarchy!$G$2:$G$1295,MATCH($D1659,Hierarchy!$A$2:$A$1295,0))),"NODE NOT FOUND"))</f>
        <v/>
      </c>
      <c r="K1659" s="7" t="str">
        <f aca="false">IF($D1659="","",IFERROR(IF(INDEX(Hierarchy!$H$2:$H$1295,MATCH($D1659,Hierarchy!$A$2:$A$1295,0))="","",INDEX(Hierarchy!$H$2:$H$1295,MATCH($D1659,Hierarchy!$A$2:$A$1295,0))),"NODE NOT FOUND"))</f>
        <v/>
      </c>
      <c r="L1659" s="7" t="str">
        <f aca="false">IF($D1659="","",IFERROR(IF(INDEX(Hierarchy!$I$2:$I$1295,MATCH($D1659,Hierarchy!$A$2:$A$1295,0))="","",INDEX(Hierarchy!$I$2:$I$1295,MATCH($D1659,Hierarchy!$A$2:$A$1295,0))),"NODE NOT FOUND"))</f>
        <v/>
      </c>
      <c r="M1659" s="17" t="str">
        <f aca="false">IF(B1659="Pre-seeded","Pre-seeded",IF(B1659="Review 2026-09-16","Added from review",IF(C1659="","New",IF(C1659=D1659,"","Changed"))))</f>
        <v>Pre-seeded</v>
      </c>
      <c r="N1659" s="7" t="str">
        <f aca="false">TRIM(SUBSTITUTE(SUBSTITUTE(SUBSTITUTE(" "&amp;TRIM(SUBSTITUTE(SUBSTITUTE(SUBSTITUTE(SUBSTITUTE(SUBSTITUTE(SUBSTITUTE(SUBSTITUTE(SUBSTITUTE(SUBSTITUTE(SUBSTITUTE(SUBSTITUTE(SUBSTITUTE(SUBSTITUTE(SUBSTITUTE(SUBSTITUTE(UPPER(TRIM(A1659)),"[MEMBER]",""),"{MEMBER}",""),"[MEMBER}",""),"MEMBER]",""),"(A)",""),"""",""),"“",""),"”",""),".",""),":",""),",",""),"–"," "),"-"," "),"/"," "),"&amp;"," AND "))&amp;" "," THE "," ")," TOTAL "," ")," OPERATIONS "," "))</f>
        <v>SOUTH LATIN AMERICA</v>
      </c>
      <c r="O1659" s="17" t="str">
        <f aca="false">IF(COUNTIFS($N$2:$N$2000,N1659,$D$2:$D$2000,"&lt;&gt;"&amp;D1659)&gt;0,"CONFLICT","")</f>
        <v/>
      </c>
      <c r="P1659" s="7"/>
    </row>
    <row r="1660" customFormat="false" ht="15" hidden="false" customHeight="false" outlineLevel="0" collapsed="false">
      <c r="A1660" s="7" t="s">
        <v>1618</v>
      </c>
      <c r="B1660" s="7" t="s">
        <v>1879</v>
      </c>
      <c r="C1660" s="7"/>
      <c r="D1660" s="6" t="s">
        <v>1618</v>
      </c>
      <c r="E1660" s="6" t="s">
        <v>1880</v>
      </c>
      <c r="F1660" s="7" t="str">
        <f aca="false">IF($D1660="","",IFERROR(IF(INDEX(Hierarchy!$B$2:$B$1295,MATCH($D1660,Hierarchy!$A$2:$A$1295,0))="","",INDEX(Hierarchy!$B$2:$B$1295,MATCH($D1660,Hierarchy!$A$2:$A$1295,0))),"NODE NOT FOUND"))</f>
        <v>State/Province</v>
      </c>
      <c r="G1660" s="7" t="str">
        <f aca="false">IF($D1660="","",IFERROR(IF(INDEX(Hierarchy!$D$2:$D$1295,MATCH($D1660,Hierarchy!$A$2:$A$1295,0))="","",INDEX(Hierarchy!$D$2:$D$1295,MATCH($D1660,Hierarchy!$A$2:$A$1295,0))),"NODE NOT FOUND"))</f>
        <v>APAC</v>
      </c>
      <c r="H1660" s="7" t="str">
        <f aca="false">IF($D1660="","",IFERROR(IF(INDEX(Hierarchy!$E$2:$E$1295,MATCH($D1660,Hierarchy!$A$2:$A$1295,0))="","",INDEX(Hierarchy!$E$2:$E$1295,MATCH($D1660,Hierarchy!$A$2:$A$1295,0))),"NODE NOT FOUND"))</f>
        <v>Southeast Asia (ASEAN)</v>
      </c>
      <c r="I1660" s="7" t="str">
        <f aca="false">IF($D1660="","",IFERROR(IF(INDEX(Hierarchy!$F$2:$F$1295,MATCH($D1660,Hierarchy!$A$2:$A$1295,0))="","",INDEX(Hierarchy!$F$2:$F$1295,MATCH($D1660,Hierarchy!$A$2:$A$1295,0))),"NODE NOT FOUND"))</f>
        <v>Indonesia</v>
      </c>
      <c r="J1660" s="7" t="str">
        <f aca="false">IF($D1660="","",IFERROR(IF(INDEX(Hierarchy!$G$2:$G$1295,MATCH($D1660,Hierarchy!$A$2:$A$1295,0))="","",INDEX(Hierarchy!$G$2:$G$1295,MATCH($D1660,Hierarchy!$A$2:$A$1295,0))),"NODE NOT FOUND"))</f>
        <v>IDN</v>
      </c>
      <c r="K1660" s="7" t="str">
        <f aca="false">IF($D1660="","",IFERROR(IF(INDEX(Hierarchy!$H$2:$H$1295,MATCH($D1660,Hierarchy!$A$2:$A$1295,0))="","",INDEX(Hierarchy!$H$2:$H$1295,MATCH($D1660,Hierarchy!$A$2:$A$1295,0))),"NODE NOT FOUND"))</f>
        <v>South Papua</v>
      </c>
      <c r="L1660" s="7" t="str">
        <f aca="false">IF($D1660="","",IFERROR(IF(INDEX(Hierarchy!$I$2:$I$1295,MATCH($D1660,Hierarchy!$A$2:$A$1295,0))="","",INDEX(Hierarchy!$I$2:$I$1295,MATCH($D1660,Hierarchy!$A$2:$A$1295,0))),"NODE NOT FOUND"))</f>
        <v/>
      </c>
      <c r="M1660" s="17" t="str">
        <f aca="false">IF(B1660="Pre-seeded","Pre-seeded",IF(B1660="Review 2026-09-16","Added from review",IF(C1660="","New",IF(C1660=D1660,"","Changed"))))</f>
        <v>Pre-seeded</v>
      </c>
      <c r="N1660" s="7" t="str">
        <f aca="false">TRIM(SUBSTITUTE(SUBSTITUTE(SUBSTITUTE(" "&amp;TRIM(SUBSTITUTE(SUBSTITUTE(SUBSTITUTE(SUBSTITUTE(SUBSTITUTE(SUBSTITUTE(SUBSTITUTE(SUBSTITUTE(SUBSTITUTE(SUBSTITUTE(SUBSTITUTE(SUBSTITUTE(SUBSTITUTE(SUBSTITUTE(SUBSTITUTE(UPPER(TRIM(A1660)),"[MEMBER]",""),"{MEMBER}",""),"[MEMBER}",""),"MEMBER]",""),"(A)",""),"""",""),"“",""),"”",""),".",""),":",""),",",""),"–"," "),"-"," "),"/"," "),"&amp;"," AND "))&amp;" "," THE "," ")," TOTAL "," ")," OPERATIONS "," "))</f>
        <v>SOUTH PAPUA</v>
      </c>
      <c r="O1660" s="17" t="str">
        <f aca="false">IF(COUNTIFS($N$2:$N$2000,N1660,$D$2:$D$2000,"&lt;&gt;"&amp;D1660)&gt;0,"CONFLICT","")</f>
        <v/>
      </c>
      <c r="P1660" s="7"/>
    </row>
    <row r="1661" customFormat="false" ht="15" hidden="false" customHeight="false" outlineLevel="0" collapsed="false">
      <c r="A1661" s="7" t="s">
        <v>342</v>
      </c>
      <c r="B1661" s="7" t="s">
        <v>1879</v>
      </c>
      <c r="C1661" s="7"/>
      <c r="D1661" s="6" t="s">
        <v>342</v>
      </c>
      <c r="E1661" s="6" t="s">
        <v>1880</v>
      </c>
      <c r="F1661" s="7" t="str">
        <f aca="false">IF($D1661="","",IFERROR(IF(INDEX(Hierarchy!$B$2:$B$1295,MATCH($D1661,Hierarchy!$A$2:$A$1295,0))="","",INDEX(Hierarchy!$B$2:$B$1295,MATCH($D1661,Hierarchy!$A$2:$A$1295,0))),"NODE NOT FOUND"))</f>
        <v>Sub-national region</v>
      </c>
      <c r="G1661" s="7" t="str">
        <f aca="false">IF($D1661="","",IFERROR(IF(INDEX(Hierarchy!$D$2:$D$1295,MATCH($D1661,Hierarchy!$A$2:$A$1295,0))="","",INDEX(Hierarchy!$D$2:$D$1295,MATCH($D1661,Hierarchy!$A$2:$A$1295,0))),"NODE NOT FOUND"))</f>
        <v>AMER</v>
      </c>
      <c r="H1661" s="7" t="str">
        <f aca="false">IF($D1661="","",IFERROR(IF(INDEX(Hierarchy!$E$2:$E$1295,MATCH($D1661,Hierarchy!$A$2:$A$1295,0))="","",INDEX(Hierarchy!$E$2:$E$1295,MATCH($D1661,Hierarchy!$A$2:$A$1295,0))),"NODE NOT FOUND"))</f>
        <v>Latin America (LATAM)</v>
      </c>
      <c r="I1661" s="7" t="str">
        <f aca="false">IF($D1661="","",IFERROR(IF(INDEX(Hierarchy!$F$2:$F$1295,MATCH($D1661,Hierarchy!$A$2:$A$1295,0))="","",INDEX(Hierarchy!$F$2:$F$1295,MATCH($D1661,Hierarchy!$A$2:$A$1295,0))),"NODE NOT FOUND"))</f>
        <v>Brazil</v>
      </c>
      <c r="J1661" s="7" t="str">
        <f aca="false">IF($D1661="","",IFERROR(IF(INDEX(Hierarchy!$G$2:$G$1295,MATCH($D1661,Hierarchy!$A$2:$A$1295,0))="","",INDEX(Hierarchy!$G$2:$G$1295,MATCH($D1661,Hierarchy!$A$2:$A$1295,0))),"NODE NOT FOUND"))</f>
        <v>BRA</v>
      </c>
      <c r="K1661" s="7" t="str">
        <f aca="false">IF($D1661="","",IFERROR(IF(INDEX(Hierarchy!$H$2:$H$1295,MATCH($D1661,Hierarchy!$A$2:$A$1295,0))="","",INDEX(Hierarchy!$H$2:$H$1295,MATCH($D1661,Hierarchy!$A$2:$A$1295,0))),"NODE NOT FOUND"))</f>
        <v/>
      </c>
      <c r="L1661" s="7" t="str">
        <f aca="false">IF($D1661="","",IFERROR(IF(INDEX(Hierarchy!$I$2:$I$1295,MATCH($D1661,Hierarchy!$A$2:$A$1295,0))="","",INDEX(Hierarchy!$I$2:$I$1295,MATCH($D1661,Hierarchy!$A$2:$A$1295,0))),"NODE NOT FOUND"))</f>
        <v/>
      </c>
      <c r="M1661" s="17" t="str">
        <f aca="false">IF(B1661="Pre-seeded","Pre-seeded",IF(B1661="Review 2026-09-16","Added from review",IF(C1661="","New",IF(C1661=D1661,"","Changed"))))</f>
        <v>Pre-seeded</v>
      </c>
      <c r="N1661" s="7" t="str">
        <f aca="false">TRIM(SUBSTITUTE(SUBSTITUTE(SUBSTITUTE(" "&amp;TRIM(SUBSTITUTE(SUBSTITUTE(SUBSTITUTE(SUBSTITUTE(SUBSTITUTE(SUBSTITUTE(SUBSTITUTE(SUBSTITUTE(SUBSTITUTE(SUBSTITUTE(SUBSTITUTE(SUBSTITUTE(SUBSTITUTE(SUBSTITUTE(SUBSTITUTE(UPPER(TRIM(A1661)),"[MEMBER]",""),"{MEMBER}",""),"[MEMBER}",""),"MEMBER]",""),"(A)",""),"""",""),"“",""),"”",""),".",""),":",""),",",""),"–"," "),"-"," "),"/"," "),"&amp;"," AND "))&amp;" "," THE "," ")," TOTAL "," ")," OPERATIONS "," "))</f>
        <v>SOUTH REGION (BRAZIL)</v>
      </c>
      <c r="O1661" s="17" t="str">
        <f aca="false">IF(COUNTIFS($N$2:$N$2000,N1661,$D$2:$D$2000,"&lt;&gt;"&amp;D1661)&gt;0,"CONFLICT","")</f>
        <v/>
      </c>
      <c r="P1661" s="7"/>
    </row>
    <row r="1662" customFormat="false" ht="15" hidden="false" customHeight="false" outlineLevel="0" collapsed="false">
      <c r="A1662" s="7" t="s">
        <v>1291</v>
      </c>
      <c r="B1662" s="7" t="s">
        <v>1879</v>
      </c>
      <c r="C1662" s="7"/>
      <c r="D1662" s="6" t="s">
        <v>1291</v>
      </c>
      <c r="E1662" s="6" t="s">
        <v>1880</v>
      </c>
      <c r="F1662" s="7" t="str">
        <f aca="false">IF($D1662="","",IFERROR(IF(INDEX(Hierarchy!$B$2:$B$1295,MATCH($D1662,Hierarchy!$A$2:$A$1295,0))="","",INDEX(Hierarchy!$B$2:$B$1295,MATCH($D1662,Hierarchy!$A$2:$A$1295,0))),"NODE NOT FOUND"))</f>
        <v>Country</v>
      </c>
      <c r="G1662" s="7" t="str">
        <f aca="false">IF($D1662="","",IFERROR(IF(INDEX(Hierarchy!$D$2:$D$1295,MATCH($D1662,Hierarchy!$A$2:$A$1295,0))="","",INDEX(Hierarchy!$D$2:$D$1295,MATCH($D1662,Hierarchy!$A$2:$A$1295,0))),"NODE NOT FOUND"))</f>
        <v>EMEA</v>
      </c>
      <c r="H1662" s="7" t="str">
        <f aca="false">IF($D1662="","",IFERROR(IF(INDEX(Hierarchy!$E$2:$E$1295,MATCH($D1662,Hierarchy!$A$2:$A$1295,0))="","",INDEX(Hierarchy!$E$2:$E$1295,MATCH($D1662,Hierarchy!$A$2:$A$1295,0))),"NODE NOT FOUND"))</f>
        <v>Africa</v>
      </c>
      <c r="I1662" s="7" t="str">
        <f aca="false">IF($D1662="","",IFERROR(IF(INDEX(Hierarchy!$F$2:$F$1295,MATCH($D1662,Hierarchy!$A$2:$A$1295,0))="","",INDEX(Hierarchy!$F$2:$F$1295,MATCH($D1662,Hierarchy!$A$2:$A$1295,0))),"NODE NOT FOUND"))</f>
        <v>South Sudan</v>
      </c>
      <c r="J1662" s="7" t="str">
        <f aca="false">IF($D1662="","",IFERROR(IF(INDEX(Hierarchy!$G$2:$G$1295,MATCH($D1662,Hierarchy!$A$2:$A$1295,0))="","",INDEX(Hierarchy!$G$2:$G$1295,MATCH($D1662,Hierarchy!$A$2:$A$1295,0))),"NODE NOT FOUND"))</f>
        <v>SSD</v>
      </c>
      <c r="K1662" s="7" t="str">
        <f aca="false">IF($D1662="","",IFERROR(IF(INDEX(Hierarchy!$H$2:$H$1295,MATCH($D1662,Hierarchy!$A$2:$A$1295,0))="","",INDEX(Hierarchy!$H$2:$H$1295,MATCH($D1662,Hierarchy!$A$2:$A$1295,0))),"NODE NOT FOUND"))</f>
        <v/>
      </c>
      <c r="L1662" s="7" t="str">
        <f aca="false">IF($D1662="","",IFERROR(IF(INDEX(Hierarchy!$I$2:$I$1295,MATCH($D1662,Hierarchy!$A$2:$A$1295,0))="","",INDEX(Hierarchy!$I$2:$I$1295,MATCH($D1662,Hierarchy!$A$2:$A$1295,0))),"NODE NOT FOUND"))</f>
        <v/>
      </c>
      <c r="M1662" s="17" t="str">
        <f aca="false">IF(B1662="Pre-seeded","Pre-seeded",IF(B1662="Review 2026-09-16","Added from review",IF(C1662="","New",IF(C1662=D1662,"","Changed"))))</f>
        <v>Pre-seeded</v>
      </c>
      <c r="N1662" s="7" t="str">
        <f aca="false">TRIM(SUBSTITUTE(SUBSTITUTE(SUBSTITUTE(" "&amp;TRIM(SUBSTITUTE(SUBSTITUTE(SUBSTITUTE(SUBSTITUTE(SUBSTITUTE(SUBSTITUTE(SUBSTITUTE(SUBSTITUTE(SUBSTITUTE(SUBSTITUTE(SUBSTITUTE(SUBSTITUTE(SUBSTITUTE(SUBSTITUTE(SUBSTITUTE(UPPER(TRIM(A1662)),"[MEMBER]",""),"{MEMBER}",""),"[MEMBER}",""),"MEMBER]",""),"(A)",""),"""",""),"“",""),"”",""),".",""),":",""),",",""),"–"," "),"-"," "),"/"," "),"&amp;"," AND "))&amp;" "," THE "," ")," TOTAL "," ")," OPERATIONS "," "))</f>
        <v>SOUTH SUDAN</v>
      </c>
      <c r="O1662" s="17" t="str">
        <f aca="false">IF(COUNTIFS($N$2:$N$2000,N1662,$D$2:$D$2000,"&lt;&gt;"&amp;D1662)&gt;0,"CONFLICT","")</f>
        <v/>
      </c>
      <c r="P1662" s="7"/>
    </row>
    <row r="1663" customFormat="false" ht="15" hidden="false" customHeight="false" outlineLevel="0" collapsed="false">
      <c r="A1663" s="7" t="s">
        <v>1619</v>
      </c>
      <c r="B1663" s="7" t="s">
        <v>1879</v>
      </c>
      <c r="C1663" s="7"/>
      <c r="D1663" s="6" t="s">
        <v>1619</v>
      </c>
      <c r="E1663" s="6" t="s">
        <v>1880</v>
      </c>
      <c r="F1663" s="7" t="str">
        <f aca="false">IF($D1663="","",IFERROR(IF(INDEX(Hierarchy!$B$2:$B$1295,MATCH($D1663,Hierarchy!$A$2:$A$1295,0))="","",INDEX(Hierarchy!$B$2:$B$1295,MATCH($D1663,Hierarchy!$A$2:$A$1295,0))),"NODE NOT FOUND"))</f>
        <v>State/Province</v>
      </c>
      <c r="G1663" s="7" t="str">
        <f aca="false">IF($D1663="","",IFERROR(IF(INDEX(Hierarchy!$D$2:$D$1295,MATCH($D1663,Hierarchy!$A$2:$A$1295,0))="","",INDEX(Hierarchy!$D$2:$D$1295,MATCH($D1663,Hierarchy!$A$2:$A$1295,0))),"NODE NOT FOUND"))</f>
        <v>APAC</v>
      </c>
      <c r="H1663" s="7" t="str">
        <f aca="false">IF($D1663="","",IFERROR(IF(INDEX(Hierarchy!$E$2:$E$1295,MATCH($D1663,Hierarchy!$A$2:$A$1295,0))="","",INDEX(Hierarchy!$E$2:$E$1295,MATCH($D1663,Hierarchy!$A$2:$A$1295,0))),"NODE NOT FOUND"))</f>
        <v>Southeast Asia (ASEAN)</v>
      </c>
      <c r="I1663" s="7" t="str">
        <f aca="false">IF($D1663="","",IFERROR(IF(INDEX(Hierarchy!$F$2:$F$1295,MATCH($D1663,Hierarchy!$A$2:$A$1295,0))="","",INDEX(Hierarchy!$F$2:$F$1295,MATCH($D1663,Hierarchy!$A$2:$A$1295,0))),"NODE NOT FOUND"))</f>
        <v>Indonesia</v>
      </c>
      <c r="J1663" s="7" t="str">
        <f aca="false">IF($D1663="","",IFERROR(IF(INDEX(Hierarchy!$G$2:$G$1295,MATCH($D1663,Hierarchy!$A$2:$A$1295,0))="","",INDEX(Hierarchy!$G$2:$G$1295,MATCH($D1663,Hierarchy!$A$2:$A$1295,0))),"NODE NOT FOUND"))</f>
        <v>IDN</v>
      </c>
      <c r="K1663" s="7" t="str">
        <f aca="false">IF($D1663="","",IFERROR(IF(INDEX(Hierarchy!$H$2:$H$1295,MATCH($D1663,Hierarchy!$A$2:$A$1295,0))="","",INDEX(Hierarchy!$H$2:$H$1295,MATCH($D1663,Hierarchy!$A$2:$A$1295,0))),"NODE NOT FOUND"))</f>
        <v>South Sulawesi</v>
      </c>
      <c r="L1663" s="7" t="str">
        <f aca="false">IF($D1663="","",IFERROR(IF(INDEX(Hierarchy!$I$2:$I$1295,MATCH($D1663,Hierarchy!$A$2:$A$1295,0))="","",INDEX(Hierarchy!$I$2:$I$1295,MATCH($D1663,Hierarchy!$A$2:$A$1295,0))),"NODE NOT FOUND"))</f>
        <v/>
      </c>
      <c r="M1663" s="17" t="str">
        <f aca="false">IF(B1663="Pre-seeded","Pre-seeded",IF(B1663="Review 2026-09-16","Added from review",IF(C1663="","New",IF(C1663=D1663,"","Changed"))))</f>
        <v>Pre-seeded</v>
      </c>
      <c r="N1663" s="7" t="str">
        <f aca="false">TRIM(SUBSTITUTE(SUBSTITUTE(SUBSTITUTE(" "&amp;TRIM(SUBSTITUTE(SUBSTITUTE(SUBSTITUTE(SUBSTITUTE(SUBSTITUTE(SUBSTITUTE(SUBSTITUTE(SUBSTITUTE(SUBSTITUTE(SUBSTITUTE(SUBSTITUTE(SUBSTITUTE(SUBSTITUTE(SUBSTITUTE(SUBSTITUTE(UPPER(TRIM(A1663)),"[MEMBER]",""),"{MEMBER}",""),"[MEMBER}",""),"MEMBER]",""),"(A)",""),"""",""),"“",""),"”",""),".",""),":",""),",",""),"–"," "),"-"," "),"/"," "),"&amp;"," AND "))&amp;" "," THE "," ")," TOTAL "," ")," OPERATIONS "," "))</f>
        <v>SOUTH SULAWESI</v>
      </c>
      <c r="O1663" s="17" t="str">
        <f aca="false">IF(COUNTIFS($N$2:$N$2000,N1663,$D$2:$D$2000,"&lt;&gt;"&amp;D1663)&gt;0,"CONFLICT","")</f>
        <v/>
      </c>
      <c r="P1663" s="7"/>
    </row>
    <row r="1664" customFormat="false" ht="15" hidden="false" customHeight="false" outlineLevel="0" collapsed="false">
      <c r="A1664" s="7" t="s">
        <v>1620</v>
      </c>
      <c r="B1664" s="7" t="s">
        <v>1879</v>
      </c>
      <c r="C1664" s="7"/>
      <c r="D1664" s="6" t="s">
        <v>1620</v>
      </c>
      <c r="E1664" s="6" t="s">
        <v>1880</v>
      </c>
      <c r="F1664" s="7" t="str">
        <f aca="false">IF($D1664="","",IFERROR(IF(INDEX(Hierarchy!$B$2:$B$1295,MATCH($D1664,Hierarchy!$A$2:$A$1295,0))="","",INDEX(Hierarchy!$B$2:$B$1295,MATCH($D1664,Hierarchy!$A$2:$A$1295,0))),"NODE NOT FOUND"))</f>
        <v>State/Province</v>
      </c>
      <c r="G1664" s="7" t="str">
        <f aca="false">IF($D1664="","",IFERROR(IF(INDEX(Hierarchy!$D$2:$D$1295,MATCH($D1664,Hierarchy!$A$2:$A$1295,0))="","",INDEX(Hierarchy!$D$2:$D$1295,MATCH($D1664,Hierarchy!$A$2:$A$1295,0))),"NODE NOT FOUND"))</f>
        <v>APAC</v>
      </c>
      <c r="H1664" s="7" t="str">
        <f aca="false">IF($D1664="","",IFERROR(IF(INDEX(Hierarchy!$E$2:$E$1295,MATCH($D1664,Hierarchy!$A$2:$A$1295,0))="","",INDEX(Hierarchy!$E$2:$E$1295,MATCH($D1664,Hierarchy!$A$2:$A$1295,0))),"NODE NOT FOUND"))</f>
        <v>Southeast Asia (ASEAN)</v>
      </c>
      <c r="I1664" s="7" t="str">
        <f aca="false">IF($D1664="","",IFERROR(IF(INDEX(Hierarchy!$F$2:$F$1295,MATCH($D1664,Hierarchy!$A$2:$A$1295,0))="","",INDEX(Hierarchy!$F$2:$F$1295,MATCH($D1664,Hierarchy!$A$2:$A$1295,0))),"NODE NOT FOUND"))</f>
        <v>Indonesia</v>
      </c>
      <c r="J1664" s="7" t="str">
        <f aca="false">IF($D1664="","",IFERROR(IF(INDEX(Hierarchy!$G$2:$G$1295,MATCH($D1664,Hierarchy!$A$2:$A$1295,0))="","",INDEX(Hierarchy!$G$2:$G$1295,MATCH($D1664,Hierarchy!$A$2:$A$1295,0))),"NODE NOT FOUND"))</f>
        <v>IDN</v>
      </c>
      <c r="K1664" s="7" t="str">
        <f aca="false">IF($D1664="","",IFERROR(IF(INDEX(Hierarchy!$H$2:$H$1295,MATCH($D1664,Hierarchy!$A$2:$A$1295,0))="","",INDEX(Hierarchy!$H$2:$H$1295,MATCH($D1664,Hierarchy!$A$2:$A$1295,0))),"NODE NOT FOUND"))</f>
        <v>South Sumatra</v>
      </c>
      <c r="L1664" s="7" t="str">
        <f aca="false">IF($D1664="","",IFERROR(IF(INDEX(Hierarchy!$I$2:$I$1295,MATCH($D1664,Hierarchy!$A$2:$A$1295,0))="","",INDEX(Hierarchy!$I$2:$I$1295,MATCH($D1664,Hierarchy!$A$2:$A$1295,0))),"NODE NOT FOUND"))</f>
        <v/>
      </c>
      <c r="M1664" s="17" t="str">
        <f aca="false">IF(B1664="Pre-seeded","Pre-seeded",IF(B1664="Review 2026-09-16","Added from review",IF(C1664="","New",IF(C1664=D1664,"","Changed"))))</f>
        <v>Pre-seeded</v>
      </c>
      <c r="N1664" s="7" t="str">
        <f aca="false">TRIM(SUBSTITUTE(SUBSTITUTE(SUBSTITUTE(" "&amp;TRIM(SUBSTITUTE(SUBSTITUTE(SUBSTITUTE(SUBSTITUTE(SUBSTITUTE(SUBSTITUTE(SUBSTITUTE(SUBSTITUTE(SUBSTITUTE(SUBSTITUTE(SUBSTITUTE(SUBSTITUTE(SUBSTITUTE(SUBSTITUTE(SUBSTITUTE(UPPER(TRIM(A1664)),"[MEMBER]",""),"{MEMBER}",""),"[MEMBER}",""),"MEMBER]",""),"(A)",""),"""",""),"“",""),"”",""),".",""),":",""),",",""),"–"," "),"-"," "),"/"," "),"&amp;"," AND "))&amp;" "," THE "," ")," TOTAL "," ")," OPERATIONS "," "))</f>
        <v>SOUTH SUMATRA</v>
      </c>
      <c r="O1664" s="17" t="str">
        <f aca="false">IF(COUNTIFS($N$2:$N$2000,N1664,$D$2:$D$2000,"&lt;&gt;"&amp;D1664)&gt;0,"CONFLICT","")</f>
        <v/>
      </c>
      <c r="P1664" s="7"/>
    </row>
    <row r="1665" customFormat="false" ht="15" hidden="false" customHeight="false" outlineLevel="0" collapsed="false">
      <c r="A1665" s="7" t="s">
        <v>673</v>
      </c>
      <c r="B1665" s="7" t="s">
        <v>1879</v>
      </c>
      <c r="C1665" s="7"/>
      <c r="D1665" s="6" t="s">
        <v>673</v>
      </c>
      <c r="E1665" s="6" t="s">
        <v>1880</v>
      </c>
      <c r="F1665" s="7" t="str">
        <f aca="false">IF($D1665="","",IFERROR(IF(INDEX(Hierarchy!$B$2:$B$1295,MATCH($D1665,Hierarchy!$A$2:$A$1295,0))="","",INDEX(Hierarchy!$B$2:$B$1295,MATCH($D1665,Hierarchy!$A$2:$A$1295,0))),"NODE NOT FOUND"))</f>
        <v>Sub-national region</v>
      </c>
      <c r="G1665" s="7" t="str">
        <f aca="false">IF($D1665="","",IFERROR(IF(INDEX(Hierarchy!$D$2:$D$1295,MATCH($D1665,Hierarchy!$A$2:$A$1295,0))="","",INDEX(Hierarchy!$D$2:$D$1295,MATCH($D1665,Hierarchy!$A$2:$A$1295,0))),"NODE NOT FOUND"))</f>
        <v>EMEA</v>
      </c>
      <c r="H1665" s="7" t="str">
        <f aca="false">IF($D1665="","",IFERROR(IF(INDEX(Hierarchy!$E$2:$E$1295,MATCH($D1665,Hierarchy!$A$2:$A$1295,0))="","",INDEX(Hierarchy!$E$2:$E$1295,MATCH($D1665,Hierarchy!$A$2:$A$1295,0))),"NODE NOT FOUND"))</f>
        <v>Europe</v>
      </c>
      <c r="I1665" s="7" t="str">
        <f aca="false">IF($D1665="","",IFERROR(IF(INDEX(Hierarchy!$F$2:$F$1295,MATCH($D1665,Hierarchy!$A$2:$A$1295,0))="","",INDEX(Hierarchy!$F$2:$F$1295,MATCH($D1665,Hierarchy!$A$2:$A$1295,0))),"NODE NOT FOUND"))</f>
        <v>United Kingdom</v>
      </c>
      <c r="J1665" s="7" t="str">
        <f aca="false">IF($D1665="","",IFERROR(IF(INDEX(Hierarchy!$G$2:$G$1295,MATCH($D1665,Hierarchy!$A$2:$A$1295,0))="","",INDEX(Hierarchy!$G$2:$G$1295,MATCH($D1665,Hierarchy!$A$2:$A$1295,0))),"NODE NOT FOUND"))</f>
        <v>GBR</v>
      </c>
      <c r="K1665" s="7" t="str">
        <f aca="false">IF($D1665="","",IFERROR(IF(INDEX(Hierarchy!$H$2:$H$1295,MATCH($D1665,Hierarchy!$A$2:$A$1295,0))="","",INDEX(Hierarchy!$H$2:$H$1295,MATCH($D1665,Hierarchy!$A$2:$A$1295,0))),"NODE NOT FOUND"))</f>
        <v>England</v>
      </c>
      <c r="L1665" s="7" t="str">
        <f aca="false">IF($D1665="","",IFERROR(IF(INDEX(Hierarchy!$I$2:$I$1295,MATCH($D1665,Hierarchy!$A$2:$A$1295,0))="","",INDEX(Hierarchy!$I$2:$I$1295,MATCH($D1665,Hierarchy!$A$2:$A$1295,0))),"NODE NOT FOUND"))</f>
        <v/>
      </c>
      <c r="M1665" s="17" t="str">
        <f aca="false">IF(B1665="Pre-seeded","Pre-seeded",IF(B1665="Review 2026-09-16","Added from review",IF(C1665="","New",IF(C1665=D1665,"","Changed"))))</f>
        <v>Pre-seeded</v>
      </c>
      <c r="N1665" s="7" t="str">
        <f aca="false">TRIM(SUBSTITUTE(SUBSTITUTE(SUBSTITUTE(" "&amp;TRIM(SUBSTITUTE(SUBSTITUTE(SUBSTITUTE(SUBSTITUTE(SUBSTITUTE(SUBSTITUTE(SUBSTITUTE(SUBSTITUTE(SUBSTITUTE(SUBSTITUTE(SUBSTITUTE(SUBSTITUTE(SUBSTITUTE(SUBSTITUTE(SUBSTITUTE(UPPER(TRIM(A1665)),"[MEMBER]",""),"{MEMBER}",""),"[MEMBER}",""),"MEMBER]",""),"(A)",""),"""",""),"“",""),"”",""),".",""),":",""),",",""),"–"," "),"-"," "),"/"," "),"&amp;"," AND "))&amp;" "," THE "," ")," TOTAL "," ")," OPERATIONS "," "))</f>
        <v>SOUTH WEST ENGLAND</v>
      </c>
      <c r="O1665" s="17" t="str">
        <f aca="false">IF(COUNTIFS($N$2:$N$2000,N1665,$D$2:$D$2000,"&lt;&gt;"&amp;D1665)&gt;0,"CONFLICT","")</f>
        <v/>
      </c>
      <c r="P1665" s="7"/>
    </row>
    <row r="1666" customFormat="false" ht="15" hidden="false" customHeight="false" outlineLevel="0" collapsed="false">
      <c r="A1666" s="7" t="s">
        <v>1590</v>
      </c>
      <c r="B1666" s="7" t="s">
        <v>1879</v>
      </c>
      <c r="C1666" s="7"/>
      <c r="D1666" s="6" t="s">
        <v>1585</v>
      </c>
      <c r="E1666" s="6" t="s">
        <v>1880</v>
      </c>
      <c r="F1666" s="7" t="str">
        <f aca="false">IF($D1666="","",IFERROR(IF(INDEX(Hierarchy!$B$2:$B$1295,MATCH($D1666,Hierarchy!$A$2:$A$1295,0))="","",INDEX(Hierarchy!$B$2:$B$1295,MATCH($D1666,Hierarchy!$A$2:$A$1295,0))),"NODE NOT FOUND"))</f>
        <v>Sub-region</v>
      </c>
      <c r="G1666" s="7" t="str">
        <f aca="false">IF($D1666="","",IFERROR(IF(INDEX(Hierarchy!$D$2:$D$1295,MATCH($D1666,Hierarchy!$A$2:$A$1295,0))="","",INDEX(Hierarchy!$D$2:$D$1295,MATCH($D1666,Hierarchy!$A$2:$A$1295,0))),"NODE NOT FOUND"))</f>
        <v>APAC</v>
      </c>
      <c r="H1666" s="7" t="str">
        <f aca="false">IF($D1666="","",IFERROR(IF(INDEX(Hierarchy!$E$2:$E$1295,MATCH($D1666,Hierarchy!$A$2:$A$1295,0))="","",INDEX(Hierarchy!$E$2:$E$1295,MATCH($D1666,Hierarchy!$A$2:$A$1295,0))),"NODE NOT FOUND"))</f>
        <v>Southeast Asia (ASEAN)</v>
      </c>
      <c r="I1666" s="7" t="str">
        <f aca="false">IF($D1666="","",IFERROR(IF(INDEX(Hierarchy!$F$2:$F$1295,MATCH($D1666,Hierarchy!$A$2:$A$1295,0))="","",INDEX(Hierarchy!$F$2:$F$1295,MATCH($D1666,Hierarchy!$A$2:$A$1295,0))),"NODE NOT FOUND"))</f>
        <v/>
      </c>
      <c r="J1666" s="7" t="str">
        <f aca="false">IF($D1666="","",IFERROR(IF(INDEX(Hierarchy!$G$2:$G$1295,MATCH($D1666,Hierarchy!$A$2:$A$1295,0))="","",INDEX(Hierarchy!$G$2:$G$1295,MATCH($D1666,Hierarchy!$A$2:$A$1295,0))),"NODE NOT FOUND"))</f>
        <v/>
      </c>
      <c r="K1666" s="7" t="str">
        <f aca="false">IF($D1666="","",IFERROR(IF(INDEX(Hierarchy!$H$2:$H$1295,MATCH($D1666,Hierarchy!$A$2:$A$1295,0))="","",INDEX(Hierarchy!$H$2:$H$1295,MATCH($D1666,Hierarchy!$A$2:$A$1295,0))),"NODE NOT FOUND"))</f>
        <v/>
      </c>
      <c r="L1666" s="7" t="str">
        <f aca="false">IF($D1666="","",IFERROR(IF(INDEX(Hierarchy!$I$2:$I$1295,MATCH($D1666,Hierarchy!$A$2:$A$1295,0))="","",INDEX(Hierarchy!$I$2:$I$1295,MATCH($D1666,Hierarchy!$A$2:$A$1295,0))),"NODE NOT FOUND"))</f>
        <v/>
      </c>
      <c r="M1666" s="17" t="str">
        <f aca="false">IF(B1666="Pre-seeded","Pre-seeded",IF(B1666="Review 2026-09-16","Added from review",IF(C1666="","New",IF(C1666=D1666,"","Changed"))))</f>
        <v>Pre-seeded</v>
      </c>
      <c r="N1666" s="7" t="str">
        <f aca="false">TRIM(SUBSTITUTE(SUBSTITUTE(SUBSTITUTE(" "&amp;TRIM(SUBSTITUTE(SUBSTITUTE(SUBSTITUTE(SUBSTITUTE(SUBSTITUTE(SUBSTITUTE(SUBSTITUTE(SUBSTITUTE(SUBSTITUTE(SUBSTITUTE(SUBSTITUTE(SUBSTITUTE(SUBSTITUTE(SUBSTITUTE(SUBSTITUTE(UPPER(TRIM(A1666)),"[MEMBER]",""),"{MEMBER}",""),"[MEMBER}",""),"MEMBER]",""),"(A)",""),"""",""),"“",""),"”",""),".",""),":",""),",",""),"–"," "),"-"," "),"/"," "),"&amp;"," AND "))&amp;" "," THE "," ")," TOTAL "," ")," OPERATIONS "," "))</f>
        <v>SOUTH EASTERN ASIA</v>
      </c>
      <c r="O1666" s="17" t="str">
        <f aca="false">IF(COUNTIFS($N$2:$N$2000,N1666,$D$2:$D$2000,"&lt;&gt;"&amp;D1666)&gt;0,"CONFLICT","")</f>
        <v/>
      </c>
      <c r="P1666" s="7"/>
    </row>
    <row r="1667" customFormat="false" ht="15" hidden="false" customHeight="false" outlineLevel="0" collapsed="false">
      <c r="A1667" s="7" t="s">
        <v>2724</v>
      </c>
      <c r="B1667" s="7" t="s">
        <v>1885</v>
      </c>
      <c r="C1667" s="7" t="s">
        <v>2721</v>
      </c>
      <c r="D1667" s="6" t="s">
        <v>116</v>
      </c>
      <c r="E1667" s="6" t="s">
        <v>1880</v>
      </c>
      <c r="F1667" s="7" t="str">
        <f aca="false">IF($D1667="","",IFERROR(IF(INDEX(Hierarchy!$B$2:$B$1295,MATCH($D1667,Hierarchy!$A$2:$A$1295,0))="","",INDEX(Hierarchy!$B$2:$B$1295,MATCH($D1667,Hierarchy!$A$2:$A$1295,0))),"NODE NOT FOUND"))</f>
        <v>Sub-national region</v>
      </c>
      <c r="G1667" s="7" t="str">
        <f aca="false">IF($D1667="","",IFERROR(IF(INDEX(Hierarchy!$D$2:$D$1295,MATCH($D1667,Hierarchy!$A$2:$A$1295,0))="","",INDEX(Hierarchy!$D$2:$D$1295,MATCH($D1667,Hierarchy!$A$2:$A$1295,0))),"NODE NOT FOUND"))</f>
        <v>AMER</v>
      </c>
      <c r="H1667" s="7" t="str">
        <f aca="false">IF($D1667="","",IFERROR(IF(INDEX(Hierarchy!$E$2:$E$1295,MATCH($D1667,Hierarchy!$A$2:$A$1295,0))="","",INDEX(Hierarchy!$E$2:$E$1295,MATCH($D1667,Hierarchy!$A$2:$A$1295,0))),"NODE NOT FOUND"))</f>
        <v>North America (NORAM)</v>
      </c>
      <c r="I1667" s="7" t="str">
        <f aca="false">IF($D1667="","",IFERROR(IF(INDEX(Hierarchy!$F$2:$F$1295,MATCH($D1667,Hierarchy!$A$2:$A$1295,0))="","",INDEX(Hierarchy!$F$2:$F$1295,MATCH($D1667,Hierarchy!$A$2:$A$1295,0))),"NODE NOT FOUND"))</f>
        <v>United States</v>
      </c>
      <c r="J1667" s="7" t="str">
        <f aca="false">IF($D1667="","",IFERROR(IF(INDEX(Hierarchy!$G$2:$G$1295,MATCH($D1667,Hierarchy!$A$2:$A$1295,0))="","",INDEX(Hierarchy!$G$2:$G$1295,MATCH($D1667,Hierarchy!$A$2:$A$1295,0))),"NODE NOT FOUND"))</f>
        <v>USA</v>
      </c>
      <c r="K1667" s="7" t="str">
        <f aca="false">IF($D1667="","",IFERROR(IF(INDEX(Hierarchy!$H$2:$H$1295,MATCH($D1667,Hierarchy!$A$2:$A$1295,0))="","",INDEX(Hierarchy!$H$2:$H$1295,MATCH($D1667,Hierarchy!$A$2:$A$1295,0))),"NODE NOT FOUND"))</f>
        <v/>
      </c>
      <c r="L1667" s="7" t="str">
        <f aca="false">IF($D1667="","",IFERROR(IF(INDEX(Hierarchy!$I$2:$I$1295,MATCH($D1667,Hierarchy!$A$2:$A$1295,0))="","",INDEX(Hierarchy!$I$2:$I$1295,MATCH($D1667,Hierarchy!$A$2:$A$1295,0))),"NODE NOT FOUND"))</f>
        <v/>
      </c>
      <c r="M1667" s="17" t="str">
        <f aca="false">IF(B1667="Pre-seeded","Pre-seeded",IF(B1667="Review 2026-09-16","Added from review",IF(C1667="","New",IF(C1667=D1667,"","Changed"))))</f>
        <v>Changed</v>
      </c>
      <c r="N1667" s="7" t="str">
        <f aca="false">TRIM(SUBSTITUTE(SUBSTITUTE(SUBSTITUTE(" "&amp;TRIM(SUBSTITUTE(SUBSTITUTE(SUBSTITUTE(SUBSTITUTE(SUBSTITUTE(SUBSTITUTE(SUBSTITUTE(SUBSTITUTE(SUBSTITUTE(SUBSTITUTE(SUBSTITUTE(SUBSTITUTE(SUBSTITUTE(SUBSTITUTE(SUBSTITUTE(UPPER(TRIM(A1667)),"[MEMBER]",""),"{MEMBER}",""),"[MEMBER}",""),"MEMBER]",""),"(A)",""),"""",""),"“",""),"”",""),".",""),":",""),",",""),"–"," "),"-"," "),"/"," "),"&amp;"," AND "))&amp;" "," THE "," ")," TOTAL "," ")," OPERATIONS "," "))</f>
        <v>SOUTHEAST</v>
      </c>
      <c r="O1667" s="17" t="str">
        <f aca="false">IF(COUNTIFS($N$2:$N$2000,N1667,$D$2:$D$2000,"&lt;&gt;"&amp;D1667)&gt;0,"CONFLICT","")</f>
        <v/>
      </c>
      <c r="P1667" s="7"/>
    </row>
    <row r="1668" customFormat="false" ht="15" hidden="false" customHeight="false" outlineLevel="0" collapsed="false">
      <c r="A1668" s="7" t="s">
        <v>2109</v>
      </c>
      <c r="B1668" s="7" t="s">
        <v>1882</v>
      </c>
      <c r="C1668" s="7" t="s">
        <v>2109</v>
      </c>
      <c r="D1668" s="6" t="s">
        <v>1585</v>
      </c>
      <c r="E1668" s="6" t="s">
        <v>1880</v>
      </c>
      <c r="F1668" s="7" t="str">
        <f aca="false">IF($D1668="","",IFERROR(IF(INDEX(Hierarchy!$B$2:$B$1295,MATCH($D1668,Hierarchy!$A$2:$A$1295,0))="","",INDEX(Hierarchy!$B$2:$B$1295,MATCH($D1668,Hierarchy!$A$2:$A$1295,0))),"NODE NOT FOUND"))</f>
        <v>Sub-region</v>
      </c>
      <c r="G1668" s="7" t="str">
        <f aca="false">IF($D1668="","",IFERROR(IF(INDEX(Hierarchy!$D$2:$D$1295,MATCH($D1668,Hierarchy!$A$2:$A$1295,0))="","",INDEX(Hierarchy!$D$2:$D$1295,MATCH($D1668,Hierarchy!$A$2:$A$1295,0))),"NODE NOT FOUND"))</f>
        <v>APAC</v>
      </c>
      <c r="H1668" s="7" t="str">
        <f aca="false">IF($D1668="","",IFERROR(IF(INDEX(Hierarchy!$E$2:$E$1295,MATCH($D1668,Hierarchy!$A$2:$A$1295,0))="","",INDEX(Hierarchy!$E$2:$E$1295,MATCH($D1668,Hierarchy!$A$2:$A$1295,0))),"NODE NOT FOUND"))</f>
        <v>Southeast Asia (ASEAN)</v>
      </c>
      <c r="I1668" s="7" t="str">
        <f aca="false">IF($D1668="","",IFERROR(IF(INDEX(Hierarchy!$F$2:$F$1295,MATCH($D1668,Hierarchy!$A$2:$A$1295,0))="","",INDEX(Hierarchy!$F$2:$F$1295,MATCH($D1668,Hierarchy!$A$2:$A$1295,0))),"NODE NOT FOUND"))</f>
        <v/>
      </c>
      <c r="J1668" s="7" t="str">
        <f aca="false">IF($D1668="","",IFERROR(IF(INDEX(Hierarchy!$G$2:$G$1295,MATCH($D1668,Hierarchy!$A$2:$A$1295,0))="","",INDEX(Hierarchy!$G$2:$G$1295,MATCH($D1668,Hierarchy!$A$2:$A$1295,0))),"NODE NOT FOUND"))</f>
        <v/>
      </c>
      <c r="K1668" s="7" t="str">
        <f aca="false">IF($D1668="","",IFERROR(IF(INDEX(Hierarchy!$H$2:$H$1295,MATCH($D1668,Hierarchy!$A$2:$A$1295,0))="","",INDEX(Hierarchy!$H$2:$H$1295,MATCH($D1668,Hierarchy!$A$2:$A$1295,0))),"NODE NOT FOUND"))</f>
        <v/>
      </c>
      <c r="L1668" s="7" t="str">
        <f aca="false">IF($D1668="","",IFERROR(IF(INDEX(Hierarchy!$I$2:$I$1295,MATCH($D1668,Hierarchy!$A$2:$A$1295,0))="","",INDEX(Hierarchy!$I$2:$I$1295,MATCH($D1668,Hierarchy!$A$2:$A$1295,0))),"NODE NOT FOUND"))</f>
        <v/>
      </c>
      <c r="M1668" s="17" t="str">
        <f aca="false">IF(B1668="Pre-seeded","Pre-seeded",IF(B1668="Review 2026-09-16","Added from review",IF(C1668="","New",IF(C1668=D1668,"","Changed"))))</f>
        <v>Changed</v>
      </c>
      <c r="N1668" s="7" t="str">
        <f aca="false">TRIM(SUBSTITUTE(SUBSTITUTE(SUBSTITUTE(" "&amp;TRIM(SUBSTITUTE(SUBSTITUTE(SUBSTITUTE(SUBSTITUTE(SUBSTITUTE(SUBSTITUTE(SUBSTITUTE(SUBSTITUTE(SUBSTITUTE(SUBSTITUTE(SUBSTITUTE(SUBSTITUTE(SUBSTITUTE(SUBSTITUTE(SUBSTITUTE(UPPER(TRIM(A1668)),"[MEMBER]",""),"{MEMBER}",""),"[MEMBER}",""),"MEMBER]",""),"(A)",""),"""",""),"“",""),"”",""),".",""),":",""),",",""),"–"," "),"-"," "),"/"," "),"&amp;"," AND "))&amp;" "," THE "," ")," TOTAL "," ")," OPERATIONS "," "))</f>
        <v>SOUTHEAST ASIA</v>
      </c>
      <c r="O1668" s="17" t="str">
        <f aca="false">IF(COUNTIFS($N$2:$N$2000,N1668,$D$2:$D$2000,"&lt;&gt;"&amp;D1668)&gt;0,"CONFLICT","")</f>
        <v/>
      </c>
      <c r="P1668" s="7"/>
    </row>
    <row r="1669" customFormat="false" ht="15" hidden="false" customHeight="false" outlineLevel="0" collapsed="false">
      <c r="A1669" s="7" t="s">
        <v>1585</v>
      </c>
      <c r="B1669" s="7" t="s">
        <v>1879</v>
      </c>
      <c r="C1669" s="7"/>
      <c r="D1669" s="6" t="s">
        <v>1585</v>
      </c>
      <c r="E1669" s="6" t="s">
        <v>1880</v>
      </c>
      <c r="F1669" s="7" t="str">
        <f aca="false">IF($D1669="","",IFERROR(IF(INDEX(Hierarchy!$B$2:$B$1295,MATCH($D1669,Hierarchy!$A$2:$A$1295,0))="","",INDEX(Hierarchy!$B$2:$B$1295,MATCH($D1669,Hierarchy!$A$2:$A$1295,0))),"NODE NOT FOUND"))</f>
        <v>Sub-region</v>
      </c>
      <c r="G1669" s="7" t="str">
        <f aca="false">IF($D1669="","",IFERROR(IF(INDEX(Hierarchy!$D$2:$D$1295,MATCH($D1669,Hierarchy!$A$2:$A$1295,0))="","",INDEX(Hierarchy!$D$2:$D$1295,MATCH($D1669,Hierarchy!$A$2:$A$1295,0))),"NODE NOT FOUND"))</f>
        <v>APAC</v>
      </c>
      <c r="H1669" s="7" t="str">
        <f aca="false">IF($D1669="","",IFERROR(IF(INDEX(Hierarchy!$E$2:$E$1295,MATCH($D1669,Hierarchy!$A$2:$A$1295,0))="","",INDEX(Hierarchy!$E$2:$E$1295,MATCH($D1669,Hierarchy!$A$2:$A$1295,0))),"NODE NOT FOUND"))</f>
        <v>Southeast Asia (ASEAN)</v>
      </c>
      <c r="I1669" s="7" t="str">
        <f aca="false">IF($D1669="","",IFERROR(IF(INDEX(Hierarchy!$F$2:$F$1295,MATCH($D1669,Hierarchy!$A$2:$A$1295,0))="","",INDEX(Hierarchy!$F$2:$F$1295,MATCH($D1669,Hierarchy!$A$2:$A$1295,0))),"NODE NOT FOUND"))</f>
        <v/>
      </c>
      <c r="J1669" s="7" t="str">
        <f aca="false">IF($D1669="","",IFERROR(IF(INDEX(Hierarchy!$G$2:$G$1295,MATCH($D1669,Hierarchy!$A$2:$A$1295,0))="","",INDEX(Hierarchy!$G$2:$G$1295,MATCH($D1669,Hierarchy!$A$2:$A$1295,0))),"NODE NOT FOUND"))</f>
        <v/>
      </c>
      <c r="K1669" s="7" t="str">
        <f aca="false">IF($D1669="","",IFERROR(IF(INDEX(Hierarchy!$H$2:$H$1295,MATCH($D1669,Hierarchy!$A$2:$A$1295,0))="","",INDEX(Hierarchy!$H$2:$H$1295,MATCH($D1669,Hierarchy!$A$2:$A$1295,0))),"NODE NOT FOUND"))</f>
        <v/>
      </c>
      <c r="L1669" s="7" t="str">
        <f aca="false">IF($D1669="","",IFERROR(IF(INDEX(Hierarchy!$I$2:$I$1295,MATCH($D1669,Hierarchy!$A$2:$A$1295,0))="","",INDEX(Hierarchy!$I$2:$I$1295,MATCH($D1669,Hierarchy!$A$2:$A$1295,0))),"NODE NOT FOUND"))</f>
        <v/>
      </c>
      <c r="M1669" s="17" t="str">
        <f aca="false">IF(B1669="Pre-seeded","Pre-seeded",IF(B1669="Review 2026-09-16","Added from review",IF(C1669="","New",IF(C1669=D1669,"","Changed"))))</f>
        <v>Pre-seeded</v>
      </c>
      <c r="N1669" s="7" t="str">
        <f aca="false">TRIM(SUBSTITUTE(SUBSTITUTE(SUBSTITUTE(" "&amp;TRIM(SUBSTITUTE(SUBSTITUTE(SUBSTITUTE(SUBSTITUTE(SUBSTITUTE(SUBSTITUTE(SUBSTITUTE(SUBSTITUTE(SUBSTITUTE(SUBSTITUTE(SUBSTITUTE(SUBSTITUTE(SUBSTITUTE(SUBSTITUTE(SUBSTITUTE(UPPER(TRIM(A1669)),"[MEMBER]",""),"{MEMBER}",""),"[MEMBER}",""),"MEMBER]",""),"(A)",""),"""",""),"“",""),"”",""),".",""),":",""),",",""),"–"," "),"-"," "),"/"," "),"&amp;"," AND "))&amp;" "," THE "," ")," TOTAL "," ")," OPERATIONS "," "))</f>
        <v>SOUTHEAST ASIA (ASEAN)</v>
      </c>
      <c r="O1669" s="17" t="str">
        <f aca="false">IF(COUNTIFS($N$2:$N$2000,N1669,$D$2:$D$2000,"&lt;&gt;"&amp;D1669)&gt;0,"CONFLICT","")</f>
        <v/>
      </c>
      <c r="P1669" s="7"/>
    </row>
    <row r="1670" customFormat="false" ht="15" hidden="false" customHeight="false" outlineLevel="0" collapsed="false">
      <c r="A1670" s="7" t="s">
        <v>654</v>
      </c>
      <c r="B1670" s="7" t="s">
        <v>1879</v>
      </c>
      <c r="C1670" s="7"/>
      <c r="D1670" s="6" t="s">
        <v>654</v>
      </c>
      <c r="E1670" s="6" t="s">
        <v>1880</v>
      </c>
      <c r="F1670" s="7" t="str">
        <f aca="false">IF($D1670="","",IFERROR(IF(INDEX(Hierarchy!$B$2:$B$1295,MATCH($D1670,Hierarchy!$A$2:$A$1295,0))="","",INDEX(Hierarchy!$B$2:$B$1295,MATCH($D1670,Hierarchy!$A$2:$A$1295,0))),"NODE NOT FOUND"))</f>
        <v>Sub-region component</v>
      </c>
      <c r="G1670" s="7" t="str">
        <f aca="false">IF($D1670="","",IFERROR(IF(INDEX(Hierarchy!$D$2:$D$1295,MATCH($D1670,Hierarchy!$A$2:$A$1295,0))="","",INDEX(Hierarchy!$D$2:$D$1295,MATCH($D1670,Hierarchy!$A$2:$A$1295,0))),"NODE NOT FOUND"))</f>
        <v>EMEA</v>
      </c>
      <c r="H1670" s="7" t="str">
        <f aca="false">IF($D1670="","",IFERROR(IF(INDEX(Hierarchy!$E$2:$E$1295,MATCH($D1670,Hierarchy!$A$2:$A$1295,0))="","",INDEX(Hierarchy!$E$2:$E$1295,MATCH($D1670,Hierarchy!$A$2:$A$1295,0))),"NODE NOT FOUND"))</f>
        <v>Europe</v>
      </c>
      <c r="I1670" s="7" t="str">
        <f aca="false">IF($D1670="","",IFERROR(IF(INDEX(Hierarchy!$F$2:$F$1295,MATCH($D1670,Hierarchy!$A$2:$A$1295,0))="","",INDEX(Hierarchy!$F$2:$F$1295,MATCH($D1670,Hierarchy!$A$2:$A$1295,0))),"NODE NOT FOUND"))</f>
        <v/>
      </c>
      <c r="J1670" s="7" t="str">
        <f aca="false">IF($D1670="","",IFERROR(IF(INDEX(Hierarchy!$G$2:$G$1295,MATCH($D1670,Hierarchy!$A$2:$A$1295,0))="","",INDEX(Hierarchy!$G$2:$G$1295,MATCH($D1670,Hierarchy!$A$2:$A$1295,0))),"NODE NOT FOUND"))</f>
        <v/>
      </c>
      <c r="K1670" s="7" t="str">
        <f aca="false">IF($D1670="","",IFERROR(IF(INDEX(Hierarchy!$H$2:$H$1295,MATCH($D1670,Hierarchy!$A$2:$A$1295,0))="","",INDEX(Hierarchy!$H$2:$H$1295,MATCH($D1670,Hierarchy!$A$2:$A$1295,0))),"NODE NOT FOUND"))</f>
        <v/>
      </c>
      <c r="L1670" s="7" t="str">
        <f aca="false">IF($D1670="","",IFERROR(IF(INDEX(Hierarchy!$I$2:$I$1295,MATCH($D1670,Hierarchy!$A$2:$A$1295,0))="","",INDEX(Hierarchy!$I$2:$I$1295,MATCH($D1670,Hierarchy!$A$2:$A$1295,0))),"NODE NOT FOUND"))</f>
        <v/>
      </c>
      <c r="M1670" s="17" t="str">
        <f aca="false">IF(B1670="Pre-seeded","Pre-seeded",IF(B1670="Review 2026-09-16","Added from review",IF(C1670="","New",IF(C1670=D1670,"","Changed"))))</f>
        <v>Pre-seeded</v>
      </c>
      <c r="N1670" s="7" t="str">
        <f aca="false">TRIM(SUBSTITUTE(SUBSTITUTE(SUBSTITUTE(" "&amp;TRIM(SUBSTITUTE(SUBSTITUTE(SUBSTITUTE(SUBSTITUTE(SUBSTITUTE(SUBSTITUTE(SUBSTITUTE(SUBSTITUTE(SUBSTITUTE(SUBSTITUTE(SUBSTITUTE(SUBSTITUTE(SUBSTITUTE(SUBSTITUTE(SUBSTITUTE(UPPER(TRIM(A1670)),"[MEMBER]",""),"{MEMBER}",""),"[MEMBER}",""),"MEMBER]",""),"(A)",""),"""",""),"“",""),"”",""),".",""),":",""),",",""),"–"," "),"-"," "),"/"," "),"&amp;"," AND "))&amp;" "," THE "," ")," TOTAL "," ")," OPERATIONS "," "))</f>
        <v>SOUTHEAST EUROPE</v>
      </c>
      <c r="O1670" s="17" t="str">
        <f aca="false">IF(COUNTIFS($N$2:$N$2000,N1670,$D$2:$D$2000,"&lt;&gt;"&amp;D1670)&gt;0,"CONFLICT","")</f>
        <v/>
      </c>
      <c r="P1670" s="7"/>
    </row>
    <row r="1671" customFormat="false" ht="15" hidden="false" customHeight="false" outlineLevel="0" collapsed="false">
      <c r="A1671" s="7" t="s">
        <v>343</v>
      </c>
      <c r="B1671" s="7" t="s">
        <v>1879</v>
      </c>
      <c r="C1671" s="7"/>
      <c r="D1671" s="6" t="s">
        <v>343</v>
      </c>
      <c r="E1671" s="6" t="s">
        <v>1880</v>
      </c>
      <c r="F1671" s="7" t="str">
        <f aca="false">IF($D1671="","",IFERROR(IF(INDEX(Hierarchy!$B$2:$B$1295,MATCH($D1671,Hierarchy!$A$2:$A$1295,0))="","",INDEX(Hierarchy!$B$2:$B$1295,MATCH($D1671,Hierarchy!$A$2:$A$1295,0))),"NODE NOT FOUND"))</f>
        <v>Sub-national region</v>
      </c>
      <c r="G1671" s="7" t="str">
        <f aca="false">IF($D1671="","",IFERROR(IF(INDEX(Hierarchy!$D$2:$D$1295,MATCH($D1671,Hierarchy!$A$2:$A$1295,0))="","",INDEX(Hierarchy!$D$2:$D$1295,MATCH($D1671,Hierarchy!$A$2:$A$1295,0))),"NODE NOT FOUND"))</f>
        <v>AMER</v>
      </c>
      <c r="H1671" s="7" t="str">
        <f aca="false">IF($D1671="","",IFERROR(IF(INDEX(Hierarchy!$E$2:$E$1295,MATCH($D1671,Hierarchy!$A$2:$A$1295,0))="","",INDEX(Hierarchy!$E$2:$E$1295,MATCH($D1671,Hierarchy!$A$2:$A$1295,0))),"NODE NOT FOUND"))</f>
        <v>Latin America (LATAM)</v>
      </c>
      <c r="I1671" s="7" t="str">
        <f aca="false">IF($D1671="","",IFERROR(IF(INDEX(Hierarchy!$F$2:$F$1295,MATCH($D1671,Hierarchy!$A$2:$A$1295,0))="","",INDEX(Hierarchy!$F$2:$F$1295,MATCH($D1671,Hierarchy!$A$2:$A$1295,0))),"NODE NOT FOUND"))</f>
        <v>Brazil</v>
      </c>
      <c r="J1671" s="7" t="str">
        <f aca="false">IF($D1671="","",IFERROR(IF(INDEX(Hierarchy!$G$2:$G$1295,MATCH($D1671,Hierarchy!$A$2:$A$1295,0))="","",INDEX(Hierarchy!$G$2:$G$1295,MATCH($D1671,Hierarchy!$A$2:$A$1295,0))),"NODE NOT FOUND"))</f>
        <v>BRA</v>
      </c>
      <c r="K1671" s="7" t="str">
        <f aca="false">IF($D1671="","",IFERROR(IF(INDEX(Hierarchy!$H$2:$H$1295,MATCH($D1671,Hierarchy!$A$2:$A$1295,0))="","",INDEX(Hierarchy!$H$2:$H$1295,MATCH($D1671,Hierarchy!$A$2:$A$1295,0))),"NODE NOT FOUND"))</f>
        <v/>
      </c>
      <c r="L1671" s="7" t="str">
        <f aca="false">IF($D1671="","",IFERROR(IF(INDEX(Hierarchy!$I$2:$I$1295,MATCH($D1671,Hierarchy!$A$2:$A$1295,0))="","",INDEX(Hierarchy!$I$2:$I$1295,MATCH($D1671,Hierarchy!$A$2:$A$1295,0))),"NODE NOT FOUND"))</f>
        <v/>
      </c>
      <c r="M1671" s="17" t="str">
        <f aca="false">IF(B1671="Pre-seeded","Pre-seeded",IF(B1671="Review 2026-09-16","Added from review",IF(C1671="","New",IF(C1671=D1671,"","Changed"))))</f>
        <v>Pre-seeded</v>
      </c>
      <c r="N1671" s="7" t="str">
        <f aca="false">TRIM(SUBSTITUTE(SUBSTITUTE(SUBSTITUTE(" "&amp;TRIM(SUBSTITUTE(SUBSTITUTE(SUBSTITUTE(SUBSTITUTE(SUBSTITUTE(SUBSTITUTE(SUBSTITUTE(SUBSTITUTE(SUBSTITUTE(SUBSTITUTE(SUBSTITUTE(SUBSTITUTE(SUBSTITUTE(SUBSTITUTE(SUBSTITUTE(UPPER(TRIM(A1671)),"[MEMBER]",""),"{MEMBER}",""),"[MEMBER}",""),"MEMBER]",""),"(A)",""),"""",""),"“",""),"”",""),".",""),":",""),",",""),"–"," "),"-"," "),"/"," "),"&amp;"," AND "))&amp;" "," THE "," ")," TOTAL "," ")," OPERATIONS "," "))</f>
        <v>SOUTHEAST REGION (BRAZIL)</v>
      </c>
      <c r="O1671" s="17" t="str">
        <f aca="false">IF(COUNTIFS($N$2:$N$2000,N1671,$D$2:$D$2000,"&lt;&gt;"&amp;D1671)&gt;0,"CONFLICT","")</f>
        <v/>
      </c>
      <c r="P1671" s="7"/>
    </row>
    <row r="1672" customFormat="false" ht="15" hidden="false" customHeight="false" outlineLevel="0" collapsed="false">
      <c r="A1672" s="7" t="s">
        <v>1621</v>
      </c>
      <c r="B1672" s="7" t="s">
        <v>1879</v>
      </c>
      <c r="C1672" s="7"/>
      <c r="D1672" s="6" t="s">
        <v>1621</v>
      </c>
      <c r="E1672" s="6" t="s">
        <v>1880</v>
      </c>
      <c r="F1672" s="7" t="str">
        <f aca="false">IF($D1672="","",IFERROR(IF(INDEX(Hierarchy!$B$2:$B$1295,MATCH($D1672,Hierarchy!$A$2:$A$1295,0))="","",INDEX(Hierarchy!$B$2:$B$1295,MATCH($D1672,Hierarchy!$A$2:$A$1295,0))),"NODE NOT FOUND"))</f>
        <v>State/Province</v>
      </c>
      <c r="G1672" s="7" t="str">
        <f aca="false">IF($D1672="","",IFERROR(IF(INDEX(Hierarchy!$D$2:$D$1295,MATCH($D1672,Hierarchy!$A$2:$A$1295,0))="","",INDEX(Hierarchy!$D$2:$D$1295,MATCH($D1672,Hierarchy!$A$2:$A$1295,0))),"NODE NOT FOUND"))</f>
        <v>APAC</v>
      </c>
      <c r="H1672" s="7" t="str">
        <f aca="false">IF($D1672="","",IFERROR(IF(INDEX(Hierarchy!$E$2:$E$1295,MATCH($D1672,Hierarchy!$A$2:$A$1295,0))="","",INDEX(Hierarchy!$E$2:$E$1295,MATCH($D1672,Hierarchy!$A$2:$A$1295,0))),"NODE NOT FOUND"))</f>
        <v>Southeast Asia (ASEAN)</v>
      </c>
      <c r="I1672" s="7" t="str">
        <f aca="false">IF($D1672="","",IFERROR(IF(INDEX(Hierarchy!$F$2:$F$1295,MATCH($D1672,Hierarchy!$A$2:$A$1295,0))="","",INDEX(Hierarchy!$F$2:$F$1295,MATCH($D1672,Hierarchy!$A$2:$A$1295,0))),"NODE NOT FOUND"))</f>
        <v>Indonesia</v>
      </c>
      <c r="J1672" s="7" t="str">
        <f aca="false">IF($D1672="","",IFERROR(IF(INDEX(Hierarchy!$G$2:$G$1295,MATCH($D1672,Hierarchy!$A$2:$A$1295,0))="","",INDEX(Hierarchy!$G$2:$G$1295,MATCH($D1672,Hierarchy!$A$2:$A$1295,0))),"NODE NOT FOUND"))</f>
        <v>IDN</v>
      </c>
      <c r="K1672" s="7" t="str">
        <f aca="false">IF($D1672="","",IFERROR(IF(INDEX(Hierarchy!$H$2:$H$1295,MATCH($D1672,Hierarchy!$A$2:$A$1295,0))="","",INDEX(Hierarchy!$H$2:$H$1295,MATCH($D1672,Hierarchy!$A$2:$A$1295,0))),"NODE NOT FOUND"))</f>
        <v>Southeast Sulawesi</v>
      </c>
      <c r="L1672" s="7" t="str">
        <f aca="false">IF($D1672="","",IFERROR(IF(INDEX(Hierarchy!$I$2:$I$1295,MATCH($D1672,Hierarchy!$A$2:$A$1295,0))="","",INDEX(Hierarchy!$I$2:$I$1295,MATCH($D1672,Hierarchy!$A$2:$A$1295,0))),"NODE NOT FOUND"))</f>
        <v/>
      </c>
      <c r="M1672" s="17" t="str">
        <f aca="false">IF(B1672="Pre-seeded","Pre-seeded",IF(B1672="Review 2026-09-16","Added from review",IF(C1672="","New",IF(C1672=D1672,"","Changed"))))</f>
        <v>Pre-seeded</v>
      </c>
      <c r="N1672" s="7" t="str">
        <f aca="false">TRIM(SUBSTITUTE(SUBSTITUTE(SUBSTITUTE(" "&amp;TRIM(SUBSTITUTE(SUBSTITUTE(SUBSTITUTE(SUBSTITUTE(SUBSTITUTE(SUBSTITUTE(SUBSTITUTE(SUBSTITUTE(SUBSTITUTE(SUBSTITUTE(SUBSTITUTE(SUBSTITUTE(SUBSTITUTE(SUBSTITUTE(SUBSTITUTE(UPPER(TRIM(A1672)),"[MEMBER]",""),"{MEMBER}",""),"[MEMBER}",""),"MEMBER]",""),"(A)",""),"""",""),"“",""),"”",""),".",""),":",""),",",""),"–"," "),"-"," "),"/"," "),"&amp;"," AND "))&amp;" "," THE "," ")," TOTAL "," ")," OPERATIONS "," "))</f>
        <v>SOUTHEAST SULAWESI</v>
      </c>
      <c r="O1672" s="17" t="str">
        <f aca="false">IF(COUNTIFS($N$2:$N$2000,N1672,$D$2:$D$2000,"&lt;&gt;"&amp;D1672)&gt;0,"CONFLICT","")</f>
        <v/>
      </c>
      <c r="P1672" s="7"/>
    </row>
    <row r="1673" customFormat="false" ht="15" hidden="false" customHeight="false" outlineLevel="0" collapsed="false">
      <c r="A1673" s="7" t="s">
        <v>2725</v>
      </c>
      <c r="B1673" s="7" t="s">
        <v>1882</v>
      </c>
      <c r="C1673" s="7" t="s">
        <v>2725</v>
      </c>
      <c r="D1673" s="6" t="s">
        <v>112</v>
      </c>
      <c r="E1673" s="6" t="s">
        <v>1880</v>
      </c>
      <c r="F1673" s="7" t="str">
        <f aca="false">IF($D1673="","",IFERROR(IF(INDEX(Hierarchy!$B$2:$B$1295,MATCH($D1673,Hierarchy!$A$2:$A$1295,0))="","",INDEX(Hierarchy!$B$2:$B$1295,MATCH($D1673,Hierarchy!$A$2:$A$1295,0))),"NODE NOT FOUND"))</f>
        <v>Sub-national region</v>
      </c>
      <c r="G1673" s="7" t="str">
        <f aca="false">IF($D1673="","",IFERROR(IF(INDEX(Hierarchy!$D$2:$D$1295,MATCH($D1673,Hierarchy!$A$2:$A$1295,0))="","",INDEX(Hierarchy!$D$2:$D$1295,MATCH($D1673,Hierarchy!$A$2:$A$1295,0))),"NODE NOT FOUND"))</f>
        <v>AMER</v>
      </c>
      <c r="H1673" s="7" t="str">
        <f aca="false">IF($D1673="","",IFERROR(IF(INDEX(Hierarchy!$E$2:$E$1295,MATCH($D1673,Hierarchy!$A$2:$A$1295,0))="","",INDEX(Hierarchy!$E$2:$E$1295,MATCH($D1673,Hierarchy!$A$2:$A$1295,0))),"NODE NOT FOUND"))</f>
        <v>North America (NORAM)</v>
      </c>
      <c r="I1673" s="7" t="str">
        <f aca="false">IF($D1673="","",IFERROR(IF(INDEX(Hierarchy!$F$2:$F$1295,MATCH($D1673,Hierarchy!$A$2:$A$1295,0))="","",INDEX(Hierarchy!$F$2:$F$1295,MATCH($D1673,Hierarchy!$A$2:$A$1295,0))),"NODE NOT FOUND"))</f>
        <v>United States</v>
      </c>
      <c r="J1673" s="7" t="str">
        <f aca="false">IF($D1673="","",IFERROR(IF(INDEX(Hierarchy!$G$2:$G$1295,MATCH($D1673,Hierarchy!$A$2:$A$1295,0))="","",INDEX(Hierarchy!$G$2:$G$1295,MATCH($D1673,Hierarchy!$A$2:$A$1295,0))),"NODE NOT FOUND"))</f>
        <v>USA</v>
      </c>
      <c r="K1673" s="7" t="str">
        <f aca="false">IF($D1673="","",IFERROR(IF(INDEX(Hierarchy!$H$2:$H$1295,MATCH($D1673,Hierarchy!$A$2:$A$1295,0))="","",INDEX(Hierarchy!$H$2:$H$1295,MATCH($D1673,Hierarchy!$A$2:$A$1295,0))),"NODE NOT FOUND"))</f>
        <v/>
      </c>
      <c r="L1673" s="7" t="str">
        <f aca="false">IF($D1673="","",IFERROR(IF(INDEX(Hierarchy!$I$2:$I$1295,MATCH($D1673,Hierarchy!$A$2:$A$1295,0))="","",INDEX(Hierarchy!$I$2:$I$1295,MATCH($D1673,Hierarchy!$A$2:$A$1295,0))),"NODE NOT FOUND"))</f>
        <v/>
      </c>
      <c r="M1673" s="17" t="str">
        <f aca="false">IF(B1673="Pre-seeded","Pre-seeded",IF(B1673="Review 2026-09-16","Added from review",IF(C1673="","New",IF(C1673=D1673,"","Changed"))))</f>
        <v>Changed</v>
      </c>
      <c r="N1673" s="7" t="str">
        <f aca="false">TRIM(SUBSTITUTE(SUBSTITUTE(SUBSTITUTE(" "&amp;TRIM(SUBSTITUTE(SUBSTITUTE(SUBSTITUTE(SUBSTITUTE(SUBSTITUTE(SUBSTITUTE(SUBSTITUTE(SUBSTITUTE(SUBSTITUTE(SUBSTITUTE(SUBSTITUTE(SUBSTITUTE(SUBSTITUTE(SUBSTITUTE(SUBSTITUTE(UPPER(TRIM(A1673)),"[MEMBER]",""),"{MEMBER}",""),"[MEMBER}",""),"MEMBER]",""),"(A)",""),"""",""),"“",""),"”",""),".",""),":",""),",",""),"–"," "),"-"," "),"/"," "),"&amp;"," AND "))&amp;" "," THE "," ")," TOTAL "," ")," OPERATIONS "," "))</f>
        <v>SOUTHERN</v>
      </c>
      <c r="O1673" s="17" t="str">
        <f aca="false">IF(COUNTIFS($N$2:$N$2000,N1673,$D$2:$D$2000,"&lt;&gt;"&amp;D1673)&gt;0,"CONFLICT","")</f>
        <v/>
      </c>
      <c r="P1673" s="7"/>
    </row>
    <row r="1674" customFormat="false" ht="15" hidden="false" customHeight="false" outlineLevel="0" collapsed="false">
      <c r="A1674" s="7" t="s">
        <v>1106</v>
      </c>
      <c r="B1674" s="7" t="s">
        <v>1879</v>
      </c>
      <c r="C1674" s="7"/>
      <c r="D1674" s="6" t="s">
        <v>1106</v>
      </c>
      <c r="E1674" s="6" t="s">
        <v>1880</v>
      </c>
      <c r="F1674" s="7" t="str">
        <f aca="false">IF($D1674="","",IFERROR(IF(INDEX(Hierarchy!$B$2:$B$1295,MATCH($D1674,Hierarchy!$A$2:$A$1295,0))="","",INDEX(Hierarchy!$B$2:$B$1295,MATCH($D1674,Hierarchy!$A$2:$A$1295,0))),"NODE NOT FOUND"))</f>
        <v>Sub-region component</v>
      </c>
      <c r="G1674" s="7" t="str">
        <f aca="false">IF($D1674="","",IFERROR(IF(INDEX(Hierarchy!$D$2:$D$1295,MATCH($D1674,Hierarchy!$A$2:$A$1295,0))="","",INDEX(Hierarchy!$D$2:$D$1295,MATCH($D1674,Hierarchy!$A$2:$A$1295,0))),"NODE NOT FOUND"))</f>
        <v>EMEA</v>
      </c>
      <c r="H1674" s="7" t="str">
        <f aca="false">IF($D1674="","",IFERROR(IF(INDEX(Hierarchy!$E$2:$E$1295,MATCH($D1674,Hierarchy!$A$2:$A$1295,0))="","",INDEX(Hierarchy!$E$2:$E$1295,MATCH($D1674,Hierarchy!$A$2:$A$1295,0))),"NODE NOT FOUND"))</f>
        <v>Africa</v>
      </c>
      <c r="I1674" s="7" t="str">
        <f aca="false">IF($D1674="","",IFERROR(IF(INDEX(Hierarchy!$F$2:$F$1295,MATCH($D1674,Hierarchy!$A$2:$A$1295,0))="","",INDEX(Hierarchy!$F$2:$F$1295,MATCH($D1674,Hierarchy!$A$2:$A$1295,0))),"NODE NOT FOUND"))</f>
        <v/>
      </c>
      <c r="J1674" s="7" t="str">
        <f aca="false">IF($D1674="","",IFERROR(IF(INDEX(Hierarchy!$G$2:$G$1295,MATCH($D1674,Hierarchy!$A$2:$A$1295,0))="","",INDEX(Hierarchy!$G$2:$G$1295,MATCH($D1674,Hierarchy!$A$2:$A$1295,0))),"NODE NOT FOUND"))</f>
        <v/>
      </c>
      <c r="K1674" s="7" t="str">
        <f aca="false">IF($D1674="","",IFERROR(IF(INDEX(Hierarchy!$H$2:$H$1295,MATCH($D1674,Hierarchy!$A$2:$A$1295,0))="","",INDEX(Hierarchy!$H$2:$H$1295,MATCH($D1674,Hierarchy!$A$2:$A$1295,0))),"NODE NOT FOUND"))</f>
        <v/>
      </c>
      <c r="L1674" s="7" t="str">
        <f aca="false">IF($D1674="","",IFERROR(IF(INDEX(Hierarchy!$I$2:$I$1295,MATCH($D1674,Hierarchy!$A$2:$A$1295,0))="","",INDEX(Hierarchy!$I$2:$I$1295,MATCH($D1674,Hierarchy!$A$2:$A$1295,0))),"NODE NOT FOUND"))</f>
        <v/>
      </c>
      <c r="M1674" s="17" t="str">
        <f aca="false">IF(B1674="Pre-seeded","Pre-seeded",IF(B1674="Review 2026-09-16","Added from review",IF(C1674="","New",IF(C1674=D1674,"","Changed"))))</f>
        <v>Pre-seeded</v>
      </c>
      <c r="N1674" s="7" t="str">
        <f aca="false">TRIM(SUBSTITUTE(SUBSTITUTE(SUBSTITUTE(" "&amp;TRIM(SUBSTITUTE(SUBSTITUTE(SUBSTITUTE(SUBSTITUTE(SUBSTITUTE(SUBSTITUTE(SUBSTITUTE(SUBSTITUTE(SUBSTITUTE(SUBSTITUTE(SUBSTITUTE(SUBSTITUTE(SUBSTITUTE(SUBSTITUTE(SUBSTITUTE(UPPER(TRIM(A1674)),"[MEMBER]",""),"{MEMBER}",""),"[MEMBER}",""),"MEMBER]",""),"(A)",""),"""",""),"“",""),"”",""),".",""),":",""),",",""),"–"," "),"-"," "),"/"," "),"&amp;"," AND "))&amp;" "," THE "," ")," TOTAL "," ")," OPERATIONS "," "))</f>
        <v>SOUTHERN AFRICA</v>
      </c>
      <c r="O1674" s="17" t="str">
        <f aca="false">IF(COUNTIFS($N$2:$N$2000,N1674,$D$2:$D$2000,"&lt;&gt;"&amp;D1674)&gt;0,"CONFLICT","")</f>
        <v/>
      </c>
      <c r="P1674" s="7"/>
    </row>
    <row r="1675" customFormat="false" ht="15" hidden="false" customHeight="false" outlineLevel="0" collapsed="false">
      <c r="A1675" s="7" t="s">
        <v>1068</v>
      </c>
      <c r="B1675" s="7" t="s">
        <v>1879</v>
      </c>
      <c r="C1675" s="7"/>
      <c r="D1675" s="6" t="s">
        <v>1854</v>
      </c>
      <c r="E1675" s="6" t="s">
        <v>1880</v>
      </c>
      <c r="F1675" s="7" t="str">
        <f aca="false">IF($D1675="","",IFERROR(IF(INDEX(Hierarchy!$B$2:$B$1295,MATCH($D1675,Hierarchy!$A$2:$A$1295,0))="","",INDEX(Hierarchy!$B$2:$B$1295,MATCH($D1675,Hierarchy!$A$2:$A$1295,0))),"NODE NOT FOUND"))</f>
        <v>Reference grouping</v>
      </c>
      <c r="G1675" s="7" t="str">
        <f aca="false">IF($D1675="","",IFERROR(IF(INDEX(Hierarchy!$D$2:$D$1295,MATCH($D1675,Hierarchy!$A$2:$A$1295,0))="","",INDEX(Hierarchy!$D$2:$D$1295,MATCH($D1675,Hierarchy!$A$2:$A$1295,0))),"NODE NOT FOUND"))</f>
        <v>Reference (UN / World Bank)</v>
      </c>
      <c r="H1675" s="7" t="str">
        <f aca="false">IF($D1675="","",IFERROR(IF(INDEX(Hierarchy!$E$2:$E$1295,MATCH($D1675,Hierarchy!$A$2:$A$1295,0))="","",INDEX(Hierarchy!$E$2:$E$1295,MATCH($D1675,Hierarchy!$A$2:$A$1295,0))),"NODE NOT FOUND"))</f>
        <v/>
      </c>
      <c r="I1675" s="7" t="str">
        <f aca="false">IF($D1675="","",IFERROR(IF(INDEX(Hierarchy!$F$2:$F$1295,MATCH($D1675,Hierarchy!$A$2:$A$1295,0))="","",INDEX(Hierarchy!$F$2:$F$1295,MATCH($D1675,Hierarchy!$A$2:$A$1295,0))),"NODE NOT FOUND"))</f>
        <v/>
      </c>
      <c r="J1675" s="7" t="str">
        <f aca="false">IF($D1675="","",IFERROR(IF(INDEX(Hierarchy!$G$2:$G$1295,MATCH($D1675,Hierarchy!$A$2:$A$1295,0))="","",INDEX(Hierarchy!$G$2:$G$1295,MATCH($D1675,Hierarchy!$A$2:$A$1295,0))),"NODE NOT FOUND"))</f>
        <v/>
      </c>
      <c r="K1675" s="7" t="str">
        <f aca="false">IF($D1675="","",IFERROR(IF(INDEX(Hierarchy!$H$2:$H$1295,MATCH($D1675,Hierarchy!$A$2:$A$1295,0))="","",INDEX(Hierarchy!$H$2:$H$1295,MATCH($D1675,Hierarchy!$A$2:$A$1295,0))),"NODE NOT FOUND"))</f>
        <v/>
      </c>
      <c r="L1675" s="7" t="str">
        <f aca="false">IF($D1675="","",IFERROR(IF(INDEX(Hierarchy!$I$2:$I$1295,MATCH($D1675,Hierarchy!$A$2:$A$1295,0))="","",INDEX(Hierarchy!$I$2:$I$1295,MATCH($D1675,Hierarchy!$A$2:$A$1295,0))),"NODE NOT FOUND"))</f>
        <v/>
      </c>
      <c r="M1675" s="17" t="str">
        <f aca="false">IF(B1675="Pre-seeded","Pre-seeded",IF(B1675="Review 2026-09-16","Added from review",IF(C1675="","New",IF(C1675=D1675,"","Changed"))))</f>
        <v>Pre-seeded</v>
      </c>
      <c r="N1675" s="7" t="str">
        <f aca="false">TRIM(SUBSTITUTE(SUBSTITUTE(SUBSTITUTE(" "&amp;TRIM(SUBSTITUTE(SUBSTITUTE(SUBSTITUTE(SUBSTITUTE(SUBSTITUTE(SUBSTITUTE(SUBSTITUTE(SUBSTITUTE(SUBSTITUTE(SUBSTITUTE(SUBSTITUTE(SUBSTITUTE(SUBSTITUTE(SUBSTITUTE(SUBSTITUTE(UPPER(TRIM(A1675)),"[MEMBER]",""),"{MEMBER}",""),"[MEMBER}",""),"MEMBER]",""),"(A)",""),"""",""),"“",""),"”",""),".",""),":",""),",",""),"–"," "),"-"," "),"/"," "),"&amp;"," AND "))&amp;" "," THE "," ")," TOTAL "," ")," OPERATIONS "," "))</f>
        <v>SOUTHERN ASIA</v>
      </c>
      <c r="O1675" s="17" t="str">
        <f aca="false">IF(COUNTIFS($N$2:$N$2000,N1675,$D$2:$D$2000,"&lt;&gt;"&amp;D1675)&gt;0,"CONFLICT","")</f>
        <v/>
      </c>
      <c r="P1675" s="7"/>
    </row>
    <row r="1676" customFormat="false" ht="15" hidden="false" customHeight="false" outlineLevel="0" collapsed="false">
      <c r="A1676" s="7" t="s">
        <v>1854</v>
      </c>
      <c r="B1676" s="7" t="s">
        <v>1879</v>
      </c>
      <c r="C1676" s="7"/>
      <c r="D1676" s="6" t="s">
        <v>1854</v>
      </c>
      <c r="E1676" s="6" t="s">
        <v>1880</v>
      </c>
      <c r="F1676" s="7" t="str">
        <f aca="false">IF($D1676="","",IFERROR(IF(INDEX(Hierarchy!$B$2:$B$1295,MATCH($D1676,Hierarchy!$A$2:$A$1295,0))="","",INDEX(Hierarchy!$B$2:$B$1295,MATCH($D1676,Hierarchy!$A$2:$A$1295,0))),"NODE NOT FOUND"))</f>
        <v>Reference grouping</v>
      </c>
      <c r="G1676" s="7" t="str">
        <f aca="false">IF($D1676="","",IFERROR(IF(INDEX(Hierarchy!$D$2:$D$1295,MATCH($D1676,Hierarchy!$A$2:$A$1295,0))="","",INDEX(Hierarchy!$D$2:$D$1295,MATCH($D1676,Hierarchy!$A$2:$A$1295,0))),"NODE NOT FOUND"))</f>
        <v>Reference (UN / World Bank)</v>
      </c>
      <c r="H1676" s="7" t="str">
        <f aca="false">IF($D1676="","",IFERROR(IF(INDEX(Hierarchy!$E$2:$E$1295,MATCH($D1676,Hierarchy!$A$2:$A$1295,0))="","",INDEX(Hierarchy!$E$2:$E$1295,MATCH($D1676,Hierarchy!$A$2:$A$1295,0))),"NODE NOT FOUND"))</f>
        <v/>
      </c>
      <c r="I1676" s="7" t="str">
        <f aca="false">IF($D1676="","",IFERROR(IF(INDEX(Hierarchy!$F$2:$F$1295,MATCH($D1676,Hierarchy!$A$2:$A$1295,0))="","",INDEX(Hierarchy!$F$2:$F$1295,MATCH($D1676,Hierarchy!$A$2:$A$1295,0))),"NODE NOT FOUND"))</f>
        <v/>
      </c>
      <c r="J1676" s="7" t="str">
        <f aca="false">IF($D1676="","",IFERROR(IF(INDEX(Hierarchy!$G$2:$G$1295,MATCH($D1676,Hierarchy!$A$2:$A$1295,0))="","",INDEX(Hierarchy!$G$2:$G$1295,MATCH($D1676,Hierarchy!$A$2:$A$1295,0))),"NODE NOT FOUND"))</f>
        <v/>
      </c>
      <c r="K1676" s="7" t="str">
        <f aca="false">IF($D1676="","",IFERROR(IF(INDEX(Hierarchy!$H$2:$H$1295,MATCH($D1676,Hierarchy!$A$2:$A$1295,0))="","",INDEX(Hierarchy!$H$2:$H$1295,MATCH($D1676,Hierarchy!$A$2:$A$1295,0))),"NODE NOT FOUND"))</f>
        <v/>
      </c>
      <c r="L1676" s="7" t="str">
        <f aca="false">IF($D1676="","",IFERROR(IF(INDEX(Hierarchy!$I$2:$I$1295,MATCH($D1676,Hierarchy!$A$2:$A$1295,0))="","",INDEX(Hierarchy!$I$2:$I$1295,MATCH($D1676,Hierarchy!$A$2:$A$1295,0))),"NODE NOT FOUND"))</f>
        <v/>
      </c>
      <c r="M1676" s="17" t="str">
        <f aca="false">IF(B1676="Pre-seeded","Pre-seeded",IF(B1676="Review 2026-09-16","Added from review",IF(C1676="","New",IF(C1676=D1676,"","Changed"))))</f>
        <v>Pre-seeded</v>
      </c>
      <c r="N1676" s="7" t="str">
        <f aca="false">TRIM(SUBSTITUTE(SUBSTITUTE(SUBSTITUTE(" "&amp;TRIM(SUBSTITUTE(SUBSTITUTE(SUBSTITUTE(SUBSTITUTE(SUBSTITUTE(SUBSTITUTE(SUBSTITUTE(SUBSTITUTE(SUBSTITUTE(SUBSTITUTE(SUBSTITUTE(SUBSTITUTE(SUBSTITUTE(SUBSTITUTE(SUBSTITUTE(UPPER(TRIM(A1676)),"[MEMBER]",""),"{MEMBER}",""),"[MEMBER}",""),"MEMBER]",""),"(A)",""),"""",""),"“",""),"”",""),".",""),":",""),",",""),"–"," "),"-"," "),"/"," "),"&amp;"," AND "))&amp;" "," THE "," ")," TOTAL "," ")," OPERATIONS "," "))</f>
        <v>SOUTHERN ASIA (UN M49)</v>
      </c>
      <c r="O1676" s="17" t="str">
        <f aca="false">IF(COUNTIFS($N$2:$N$2000,N1676,$D$2:$D$2000,"&lt;&gt;"&amp;D1676)&gt;0,"CONFLICT","")</f>
        <v/>
      </c>
      <c r="P1676" s="7"/>
    </row>
    <row r="1677" customFormat="false" ht="15" hidden="false" customHeight="false" outlineLevel="0" collapsed="false">
      <c r="A1677" s="7" t="s">
        <v>2726</v>
      </c>
      <c r="B1677" s="7" t="s">
        <v>1879</v>
      </c>
      <c r="C1677" s="7"/>
      <c r="D1677" s="6" t="s">
        <v>138</v>
      </c>
      <c r="E1677" s="6" t="s">
        <v>1891</v>
      </c>
      <c r="F1677" s="7" t="str">
        <f aca="false">IF($D1677="","",IFERROR(IF(INDEX(Hierarchy!$B$2:$B$1295,MATCH($D1677,Hierarchy!$A$2:$A$1295,0))="","",INDEX(Hierarchy!$B$2:$B$1295,MATCH($D1677,Hierarchy!$A$2:$A$1295,0))),"NODE NOT FOUND"))</f>
        <v>State/Province</v>
      </c>
      <c r="G1677" s="7" t="str">
        <f aca="false">IF($D1677="","",IFERROR(IF(INDEX(Hierarchy!$D$2:$D$1295,MATCH($D1677,Hierarchy!$A$2:$A$1295,0))="","",INDEX(Hierarchy!$D$2:$D$1295,MATCH($D1677,Hierarchy!$A$2:$A$1295,0))),"NODE NOT FOUND"))</f>
        <v>AMER</v>
      </c>
      <c r="H1677" s="7" t="str">
        <f aca="false">IF($D1677="","",IFERROR(IF(INDEX(Hierarchy!$E$2:$E$1295,MATCH($D1677,Hierarchy!$A$2:$A$1295,0))="","",INDEX(Hierarchy!$E$2:$E$1295,MATCH($D1677,Hierarchy!$A$2:$A$1295,0))),"NODE NOT FOUND"))</f>
        <v>North America (NORAM)</v>
      </c>
      <c r="I1677" s="7" t="str">
        <f aca="false">IF($D1677="","",IFERROR(IF(INDEX(Hierarchy!$F$2:$F$1295,MATCH($D1677,Hierarchy!$A$2:$A$1295,0))="","",INDEX(Hierarchy!$F$2:$F$1295,MATCH($D1677,Hierarchy!$A$2:$A$1295,0))),"NODE NOT FOUND"))</f>
        <v>United States</v>
      </c>
      <c r="J1677" s="7" t="str">
        <f aca="false">IF($D1677="","",IFERROR(IF(INDEX(Hierarchy!$G$2:$G$1295,MATCH($D1677,Hierarchy!$A$2:$A$1295,0))="","",INDEX(Hierarchy!$G$2:$G$1295,MATCH($D1677,Hierarchy!$A$2:$A$1295,0))),"NODE NOT FOUND"))</f>
        <v>USA</v>
      </c>
      <c r="K1677" s="7" t="str">
        <f aca="false">IF($D1677="","",IFERROR(IF(INDEX(Hierarchy!$H$2:$H$1295,MATCH($D1677,Hierarchy!$A$2:$A$1295,0))="","",INDEX(Hierarchy!$H$2:$H$1295,MATCH($D1677,Hierarchy!$A$2:$A$1295,0))),"NODE NOT FOUND"))</f>
        <v>California</v>
      </c>
      <c r="L1677" s="7" t="str">
        <f aca="false">IF($D1677="","",IFERROR(IF(INDEX(Hierarchy!$I$2:$I$1295,MATCH($D1677,Hierarchy!$A$2:$A$1295,0))="","",INDEX(Hierarchy!$I$2:$I$1295,MATCH($D1677,Hierarchy!$A$2:$A$1295,0))),"NODE NOT FOUND"))</f>
        <v/>
      </c>
      <c r="M1677" s="17" t="str">
        <f aca="false">IF(B1677="Pre-seeded","Pre-seeded",IF(B1677="Review 2026-09-16","Added from review",IF(C1677="","New",IF(C1677=D1677,"","Changed"))))</f>
        <v>Pre-seeded</v>
      </c>
      <c r="N1677" s="7" t="str">
        <f aca="false">TRIM(SUBSTITUTE(SUBSTITUTE(SUBSTITUTE(" "&amp;TRIM(SUBSTITUTE(SUBSTITUTE(SUBSTITUTE(SUBSTITUTE(SUBSTITUTE(SUBSTITUTE(SUBSTITUTE(SUBSTITUTE(SUBSTITUTE(SUBSTITUTE(SUBSTITUTE(SUBSTITUTE(SUBSTITUTE(SUBSTITUTE(SUBSTITUTE(UPPER(TRIM(A1677)),"[MEMBER]",""),"{MEMBER}",""),"[MEMBER}",""),"MEMBER]",""),"(A)",""),"""",""),"“",""),"”",""),".",""),":",""),",",""),"–"," "),"-"," "),"/"," "),"&amp;"," AND "))&amp;" "," THE "," ")," TOTAL "," ")," OPERATIONS "," "))</f>
        <v>SOUTHERN CALIFORNIA</v>
      </c>
      <c r="O1677" s="17" t="str">
        <f aca="false">IF(COUNTIFS($N$2:$N$2000,N1677,$D$2:$D$2000,"&lt;&gt;"&amp;D1677)&gt;0,"CONFLICT","")</f>
        <v/>
      </c>
      <c r="P1677" s="7"/>
    </row>
    <row r="1678" customFormat="false" ht="15" hidden="false" customHeight="false" outlineLevel="0" collapsed="false">
      <c r="A1678" s="7" t="s">
        <v>330</v>
      </c>
      <c r="B1678" s="7" t="s">
        <v>1879</v>
      </c>
      <c r="C1678" s="7"/>
      <c r="D1678" s="6" t="s">
        <v>330</v>
      </c>
      <c r="E1678" s="6" t="s">
        <v>1880</v>
      </c>
      <c r="F1678" s="7" t="str">
        <f aca="false">IF($D1678="","",IFERROR(IF(INDEX(Hierarchy!$B$2:$B$1295,MATCH($D1678,Hierarchy!$A$2:$A$1295,0))="","",INDEX(Hierarchy!$B$2:$B$1295,MATCH($D1678,Hierarchy!$A$2:$A$1295,0))),"NODE NOT FOUND"))</f>
        <v>Sub-region component</v>
      </c>
      <c r="G1678" s="7" t="str">
        <f aca="false">IF($D1678="","",IFERROR(IF(INDEX(Hierarchy!$D$2:$D$1295,MATCH($D1678,Hierarchy!$A$2:$A$1295,0))="","",INDEX(Hierarchy!$D$2:$D$1295,MATCH($D1678,Hierarchy!$A$2:$A$1295,0))),"NODE NOT FOUND"))</f>
        <v>AMER</v>
      </c>
      <c r="H1678" s="7" t="str">
        <f aca="false">IF($D1678="","",IFERROR(IF(INDEX(Hierarchy!$E$2:$E$1295,MATCH($D1678,Hierarchy!$A$2:$A$1295,0))="","",INDEX(Hierarchy!$E$2:$E$1295,MATCH($D1678,Hierarchy!$A$2:$A$1295,0))),"NODE NOT FOUND"))</f>
        <v>Latin America (LATAM)</v>
      </c>
      <c r="I1678" s="7" t="str">
        <f aca="false">IF($D1678="","",IFERROR(IF(INDEX(Hierarchy!$F$2:$F$1295,MATCH($D1678,Hierarchy!$A$2:$A$1295,0))="","",INDEX(Hierarchy!$F$2:$F$1295,MATCH($D1678,Hierarchy!$A$2:$A$1295,0))),"NODE NOT FOUND"))</f>
        <v/>
      </c>
      <c r="J1678" s="7" t="str">
        <f aca="false">IF($D1678="","",IFERROR(IF(INDEX(Hierarchy!$G$2:$G$1295,MATCH($D1678,Hierarchy!$A$2:$A$1295,0))="","",INDEX(Hierarchy!$G$2:$G$1295,MATCH($D1678,Hierarchy!$A$2:$A$1295,0))),"NODE NOT FOUND"))</f>
        <v/>
      </c>
      <c r="K1678" s="7" t="str">
        <f aca="false">IF($D1678="","",IFERROR(IF(INDEX(Hierarchy!$H$2:$H$1295,MATCH($D1678,Hierarchy!$A$2:$A$1295,0))="","",INDEX(Hierarchy!$H$2:$H$1295,MATCH($D1678,Hierarchy!$A$2:$A$1295,0))),"NODE NOT FOUND"))</f>
        <v/>
      </c>
      <c r="L1678" s="7" t="str">
        <f aca="false">IF($D1678="","",IFERROR(IF(INDEX(Hierarchy!$I$2:$I$1295,MATCH($D1678,Hierarchy!$A$2:$A$1295,0))="","",INDEX(Hierarchy!$I$2:$I$1295,MATCH($D1678,Hierarchy!$A$2:$A$1295,0))),"NODE NOT FOUND"))</f>
        <v/>
      </c>
      <c r="M1678" s="17" t="str">
        <f aca="false">IF(B1678="Pre-seeded","Pre-seeded",IF(B1678="Review 2026-09-16","Added from review",IF(C1678="","New",IF(C1678=D1678,"","Changed"))))</f>
        <v>Pre-seeded</v>
      </c>
      <c r="N1678" s="7" t="str">
        <f aca="false">TRIM(SUBSTITUTE(SUBSTITUTE(SUBSTITUTE(" "&amp;TRIM(SUBSTITUTE(SUBSTITUTE(SUBSTITUTE(SUBSTITUTE(SUBSTITUTE(SUBSTITUTE(SUBSTITUTE(SUBSTITUTE(SUBSTITUTE(SUBSTITUTE(SUBSTITUTE(SUBSTITUTE(SUBSTITUTE(SUBSTITUTE(SUBSTITUTE(UPPER(TRIM(A1678)),"[MEMBER]",""),"{MEMBER}",""),"[MEMBER}",""),"MEMBER]",""),"(A)",""),"""",""),"“",""),"”",""),".",""),":",""),",",""),"–"," "),"-"," "),"/"," "),"&amp;"," AND "))&amp;" "," THE "," ")," TOTAL "," ")," OPERATIONS "," "))</f>
        <v>SOUTHERN CONE</v>
      </c>
      <c r="O1678" s="17" t="str">
        <f aca="false">IF(COUNTIFS($N$2:$N$2000,N1678,$D$2:$D$2000,"&lt;&gt;"&amp;D1678)&gt;0,"CONFLICT","")</f>
        <v/>
      </c>
      <c r="P1678" s="7"/>
    </row>
    <row r="1679" customFormat="false" ht="15" hidden="false" customHeight="false" outlineLevel="0" collapsed="false">
      <c r="A1679" s="7" t="s">
        <v>656</v>
      </c>
      <c r="B1679" s="7" t="s">
        <v>1879</v>
      </c>
      <c r="C1679" s="7"/>
      <c r="D1679" s="6" t="s">
        <v>656</v>
      </c>
      <c r="E1679" s="6" t="s">
        <v>1880</v>
      </c>
      <c r="F1679" s="7" t="str">
        <f aca="false">IF($D1679="","",IFERROR(IF(INDEX(Hierarchy!$B$2:$B$1295,MATCH($D1679,Hierarchy!$A$2:$A$1295,0))="","",INDEX(Hierarchy!$B$2:$B$1295,MATCH($D1679,Hierarchy!$A$2:$A$1295,0))),"NODE NOT FOUND"))</f>
        <v>Sub-region component</v>
      </c>
      <c r="G1679" s="7" t="str">
        <f aca="false">IF($D1679="","",IFERROR(IF(INDEX(Hierarchy!$D$2:$D$1295,MATCH($D1679,Hierarchy!$A$2:$A$1295,0))="","",INDEX(Hierarchy!$D$2:$D$1295,MATCH($D1679,Hierarchy!$A$2:$A$1295,0))),"NODE NOT FOUND"))</f>
        <v>EMEA</v>
      </c>
      <c r="H1679" s="7" t="str">
        <f aca="false">IF($D1679="","",IFERROR(IF(INDEX(Hierarchy!$E$2:$E$1295,MATCH($D1679,Hierarchy!$A$2:$A$1295,0))="","",INDEX(Hierarchy!$E$2:$E$1295,MATCH($D1679,Hierarchy!$A$2:$A$1295,0))),"NODE NOT FOUND"))</f>
        <v>Europe</v>
      </c>
      <c r="I1679" s="7" t="str">
        <f aca="false">IF($D1679="","",IFERROR(IF(INDEX(Hierarchy!$F$2:$F$1295,MATCH($D1679,Hierarchy!$A$2:$A$1295,0))="","",INDEX(Hierarchy!$F$2:$F$1295,MATCH($D1679,Hierarchy!$A$2:$A$1295,0))),"NODE NOT FOUND"))</f>
        <v/>
      </c>
      <c r="J1679" s="7" t="str">
        <f aca="false">IF($D1679="","",IFERROR(IF(INDEX(Hierarchy!$G$2:$G$1295,MATCH($D1679,Hierarchy!$A$2:$A$1295,0))="","",INDEX(Hierarchy!$G$2:$G$1295,MATCH($D1679,Hierarchy!$A$2:$A$1295,0))),"NODE NOT FOUND"))</f>
        <v/>
      </c>
      <c r="K1679" s="7" t="str">
        <f aca="false">IF($D1679="","",IFERROR(IF(INDEX(Hierarchy!$H$2:$H$1295,MATCH($D1679,Hierarchy!$A$2:$A$1295,0))="","",INDEX(Hierarchy!$H$2:$H$1295,MATCH($D1679,Hierarchy!$A$2:$A$1295,0))),"NODE NOT FOUND"))</f>
        <v/>
      </c>
      <c r="L1679" s="7" t="str">
        <f aca="false">IF($D1679="","",IFERROR(IF(INDEX(Hierarchy!$I$2:$I$1295,MATCH($D1679,Hierarchy!$A$2:$A$1295,0))="","",INDEX(Hierarchy!$I$2:$I$1295,MATCH($D1679,Hierarchy!$A$2:$A$1295,0))),"NODE NOT FOUND"))</f>
        <v/>
      </c>
      <c r="M1679" s="17" t="str">
        <f aca="false">IF(B1679="Pre-seeded","Pre-seeded",IF(B1679="Review 2026-09-16","Added from review",IF(C1679="","New",IF(C1679=D1679,"","Changed"))))</f>
        <v>Pre-seeded</v>
      </c>
      <c r="N1679" s="7" t="str">
        <f aca="false">TRIM(SUBSTITUTE(SUBSTITUTE(SUBSTITUTE(" "&amp;TRIM(SUBSTITUTE(SUBSTITUTE(SUBSTITUTE(SUBSTITUTE(SUBSTITUTE(SUBSTITUTE(SUBSTITUTE(SUBSTITUTE(SUBSTITUTE(SUBSTITUTE(SUBSTITUTE(SUBSTITUTE(SUBSTITUTE(SUBSTITUTE(SUBSTITUTE(UPPER(TRIM(A1679)),"[MEMBER]",""),"{MEMBER}",""),"[MEMBER}",""),"MEMBER]",""),"(A)",""),"""",""),"“",""),"”",""),".",""),":",""),",",""),"–"," "),"-"," "),"/"," "),"&amp;"," AND "))&amp;" "," THE "," ")," TOTAL "," ")," OPERATIONS "," "))</f>
        <v>SOUTHERN EUROPE</v>
      </c>
      <c r="O1679" s="17" t="str">
        <f aca="false">IF(COUNTIFS($N$2:$N$2000,N1679,$D$2:$D$2000,"&lt;&gt;"&amp;D1679)&gt;0,"CONFLICT","")</f>
        <v/>
      </c>
      <c r="P1679" s="7"/>
    </row>
    <row r="1680" customFormat="false" ht="15" hidden="false" customHeight="false" outlineLevel="0" collapsed="false">
      <c r="A1680" s="7" t="s">
        <v>1856</v>
      </c>
      <c r="B1680" s="7" t="s">
        <v>1879</v>
      </c>
      <c r="C1680" s="7"/>
      <c r="D1680" s="6" t="s">
        <v>1856</v>
      </c>
      <c r="E1680" s="6" t="s">
        <v>1880</v>
      </c>
      <c r="F1680" s="7" t="str">
        <f aca="false">IF($D1680="","",IFERROR(IF(INDEX(Hierarchy!$B$2:$B$1295,MATCH($D1680,Hierarchy!$A$2:$A$1295,0))="","",INDEX(Hierarchy!$B$2:$B$1295,MATCH($D1680,Hierarchy!$A$2:$A$1295,0))),"NODE NOT FOUND"))</f>
        <v>Reference grouping</v>
      </c>
      <c r="G1680" s="7" t="str">
        <f aca="false">IF($D1680="","",IFERROR(IF(INDEX(Hierarchy!$D$2:$D$1295,MATCH($D1680,Hierarchy!$A$2:$A$1295,0))="","",INDEX(Hierarchy!$D$2:$D$1295,MATCH($D1680,Hierarchy!$A$2:$A$1295,0))),"NODE NOT FOUND"))</f>
        <v>Reference (UN / World Bank)</v>
      </c>
      <c r="H1680" s="7" t="str">
        <f aca="false">IF($D1680="","",IFERROR(IF(INDEX(Hierarchy!$E$2:$E$1295,MATCH($D1680,Hierarchy!$A$2:$A$1295,0))="","",INDEX(Hierarchy!$E$2:$E$1295,MATCH($D1680,Hierarchy!$A$2:$A$1295,0))),"NODE NOT FOUND"))</f>
        <v/>
      </c>
      <c r="I1680" s="7" t="str">
        <f aca="false">IF($D1680="","",IFERROR(IF(INDEX(Hierarchy!$F$2:$F$1295,MATCH($D1680,Hierarchy!$A$2:$A$1295,0))="","",INDEX(Hierarchy!$F$2:$F$1295,MATCH($D1680,Hierarchy!$A$2:$A$1295,0))),"NODE NOT FOUND"))</f>
        <v/>
      </c>
      <c r="J1680" s="7" t="str">
        <f aca="false">IF($D1680="","",IFERROR(IF(INDEX(Hierarchy!$G$2:$G$1295,MATCH($D1680,Hierarchy!$A$2:$A$1295,0))="","",INDEX(Hierarchy!$G$2:$G$1295,MATCH($D1680,Hierarchy!$A$2:$A$1295,0))),"NODE NOT FOUND"))</f>
        <v/>
      </c>
      <c r="K1680" s="7" t="str">
        <f aca="false">IF($D1680="","",IFERROR(IF(INDEX(Hierarchy!$H$2:$H$1295,MATCH($D1680,Hierarchy!$A$2:$A$1295,0))="","",INDEX(Hierarchy!$H$2:$H$1295,MATCH($D1680,Hierarchy!$A$2:$A$1295,0))),"NODE NOT FOUND"))</f>
        <v/>
      </c>
      <c r="L1680" s="7" t="str">
        <f aca="false">IF($D1680="","",IFERROR(IF(INDEX(Hierarchy!$I$2:$I$1295,MATCH($D1680,Hierarchy!$A$2:$A$1295,0))="","",INDEX(Hierarchy!$I$2:$I$1295,MATCH($D1680,Hierarchy!$A$2:$A$1295,0))),"NODE NOT FOUND"))</f>
        <v/>
      </c>
      <c r="M1680" s="17" t="str">
        <f aca="false">IF(B1680="Pre-seeded","Pre-seeded",IF(B1680="Review 2026-09-16","Added from review",IF(C1680="","New",IF(C1680=D1680,"","Changed"))))</f>
        <v>Pre-seeded</v>
      </c>
      <c r="N1680" s="7" t="str">
        <f aca="false">TRIM(SUBSTITUTE(SUBSTITUTE(SUBSTITUTE(" "&amp;TRIM(SUBSTITUTE(SUBSTITUTE(SUBSTITUTE(SUBSTITUTE(SUBSTITUTE(SUBSTITUTE(SUBSTITUTE(SUBSTITUTE(SUBSTITUTE(SUBSTITUTE(SUBSTITUTE(SUBSTITUTE(SUBSTITUTE(SUBSTITUTE(SUBSTITUTE(UPPER(TRIM(A1680)),"[MEMBER]",""),"{MEMBER}",""),"[MEMBER}",""),"MEMBER]",""),"(A)",""),"""",""),"“",""),"”",""),".",""),":",""),",",""),"–"," "),"-"," "),"/"," "),"&amp;"," AND "))&amp;" "," THE "," ")," TOTAL "," ")," OPERATIONS "," "))</f>
        <v>SOUTHERN EUROPE (UN M49)</v>
      </c>
      <c r="O1680" s="17" t="str">
        <f aca="false">IF(COUNTIFS($N$2:$N$2000,N1680,$D$2:$D$2000,"&lt;&gt;"&amp;D1680)&gt;0,"CONFLICT","")</f>
        <v/>
      </c>
      <c r="P1680" s="7"/>
    </row>
    <row r="1681" customFormat="false" ht="15" hidden="false" customHeight="false" outlineLevel="0" collapsed="false">
      <c r="A1681" s="7" t="s">
        <v>382</v>
      </c>
      <c r="B1681" s="7" t="s">
        <v>1879</v>
      </c>
      <c r="C1681" s="7"/>
      <c r="D1681" s="6" t="s">
        <v>382</v>
      </c>
      <c r="E1681" s="6" t="s">
        <v>1880</v>
      </c>
      <c r="F1681" s="7" t="str">
        <f aca="false">IF($D1681="","",IFERROR(IF(INDEX(Hierarchy!$B$2:$B$1295,MATCH($D1681,Hierarchy!$A$2:$A$1295,0))="","",INDEX(Hierarchy!$B$2:$B$1295,MATCH($D1681,Hierarchy!$A$2:$A$1295,0))),"NODE NOT FOUND"))</f>
        <v>Sub-national region</v>
      </c>
      <c r="G1681" s="7" t="str">
        <f aca="false">IF($D1681="","",IFERROR(IF(INDEX(Hierarchy!$D$2:$D$1295,MATCH($D1681,Hierarchy!$A$2:$A$1295,0))="","",INDEX(Hierarchy!$D$2:$D$1295,MATCH($D1681,Hierarchy!$A$2:$A$1295,0))),"NODE NOT FOUND"))</f>
        <v>AMER</v>
      </c>
      <c r="H1681" s="7" t="str">
        <f aca="false">IF($D1681="","",IFERROR(IF(INDEX(Hierarchy!$E$2:$E$1295,MATCH($D1681,Hierarchy!$A$2:$A$1295,0))="","",INDEX(Hierarchy!$E$2:$E$1295,MATCH($D1681,Hierarchy!$A$2:$A$1295,0))),"NODE NOT FOUND"))</f>
        <v>Latin America (LATAM)</v>
      </c>
      <c r="I1681" s="7" t="str">
        <f aca="false">IF($D1681="","",IFERROR(IF(INDEX(Hierarchy!$F$2:$F$1295,MATCH($D1681,Hierarchy!$A$2:$A$1295,0))="","",INDEX(Hierarchy!$F$2:$F$1295,MATCH($D1681,Hierarchy!$A$2:$A$1295,0))),"NODE NOT FOUND"))</f>
        <v>Mexico</v>
      </c>
      <c r="J1681" s="7" t="str">
        <f aca="false">IF($D1681="","",IFERROR(IF(INDEX(Hierarchy!$G$2:$G$1295,MATCH($D1681,Hierarchy!$A$2:$A$1295,0))="","",INDEX(Hierarchy!$G$2:$G$1295,MATCH($D1681,Hierarchy!$A$2:$A$1295,0))),"NODE NOT FOUND"))</f>
        <v>MEX</v>
      </c>
      <c r="K1681" s="7" t="str">
        <f aca="false">IF($D1681="","",IFERROR(IF(INDEX(Hierarchy!$H$2:$H$1295,MATCH($D1681,Hierarchy!$A$2:$A$1295,0))="","",INDEX(Hierarchy!$H$2:$H$1295,MATCH($D1681,Hierarchy!$A$2:$A$1295,0))),"NODE NOT FOUND"))</f>
        <v/>
      </c>
      <c r="L1681" s="7" t="str">
        <f aca="false">IF($D1681="","",IFERROR(IF(INDEX(Hierarchy!$I$2:$I$1295,MATCH($D1681,Hierarchy!$A$2:$A$1295,0))="","",INDEX(Hierarchy!$I$2:$I$1295,MATCH($D1681,Hierarchy!$A$2:$A$1295,0))),"NODE NOT FOUND"))</f>
        <v/>
      </c>
      <c r="M1681" s="17" t="str">
        <f aca="false">IF(B1681="Pre-seeded","Pre-seeded",IF(B1681="Review 2026-09-16","Added from review",IF(C1681="","New",IF(C1681=D1681,"","Changed"))))</f>
        <v>Pre-seeded</v>
      </c>
      <c r="N1681" s="7" t="str">
        <f aca="false">TRIM(SUBSTITUTE(SUBSTITUTE(SUBSTITUTE(" "&amp;TRIM(SUBSTITUTE(SUBSTITUTE(SUBSTITUTE(SUBSTITUTE(SUBSTITUTE(SUBSTITUTE(SUBSTITUTE(SUBSTITUTE(SUBSTITUTE(SUBSTITUTE(SUBSTITUTE(SUBSTITUTE(SUBSTITUTE(SUBSTITUTE(SUBSTITUTE(UPPER(TRIM(A1681)),"[MEMBER]",""),"{MEMBER}",""),"[MEMBER}",""),"MEMBER]",""),"(A)",""),"""",""),"“",""),"”",""),".",""),":",""),",",""),"–"," "),"-"," "),"/"," "),"&amp;"," AND "))&amp;" "," THE "," ")," TOTAL "," ")," OPERATIONS "," "))</f>
        <v>SOUTHERN MEXICO</v>
      </c>
      <c r="O1681" s="17" t="str">
        <f aca="false">IF(COUNTIFS($N$2:$N$2000,N1681,$D$2:$D$2000,"&lt;&gt;"&amp;D1681)&gt;0,"CONFLICT","")</f>
        <v/>
      </c>
      <c r="P1681" s="7"/>
    </row>
    <row r="1682" customFormat="false" ht="15" hidden="false" customHeight="false" outlineLevel="0" collapsed="false">
      <c r="A1682" s="7" t="s">
        <v>1415</v>
      </c>
      <c r="B1682" s="7" t="s">
        <v>1879</v>
      </c>
      <c r="C1682" s="7"/>
      <c r="D1682" s="6" t="s">
        <v>1415</v>
      </c>
      <c r="E1682" s="6" t="s">
        <v>1880</v>
      </c>
      <c r="F1682" s="7" t="str">
        <f aca="false">IF($D1682="","",IFERROR(IF(INDEX(Hierarchy!$B$2:$B$1295,MATCH($D1682,Hierarchy!$A$2:$A$1295,0))="","",INDEX(Hierarchy!$B$2:$B$1295,MATCH($D1682,Hierarchy!$A$2:$A$1295,0))),"NODE NOT FOUND"))</f>
        <v>State/Province</v>
      </c>
      <c r="G1682" s="7" t="str">
        <f aca="false">IF($D1682="","",IFERROR(IF(INDEX(Hierarchy!$D$2:$D$1295,MATCH($D1682,Hierarchy!$A$2:$A$1295,0))="","",INDEX(Hierarchy!$D$2:$D$1295,MATCH($D1682,Hierarchy!$A$2:$A$1295,0))),"NODE NOT FOUND"))</f>
        <v>APAC</v>
      </c>
      <c r="H1682" s="7" t="str">
        <f aca="false">IF($D1682="","",IFERROR(IF(INDEX(Hierarchy!$E$2:$E$1295,MATCH($D1682,Hierarchy!$A$2:$A$1295,0))="","",INDEX(Hierarchy!$E$2:$E$1295,MATCH($D1682,Hierarchy!$A$2:$A$1295,0))),"NODE NOT FOUND"))</f>
        <v>South Asia</v>
      </c>
      <c r="I1682" s="7" t="str">
        <f aca="false">IF($D1682="","",IFERROR(IF(INDEX(Hierarchy!$F$2:$F$1295,MATCH($D1682,Hierarchy!$A$2:$A$1295,0))="","",INDEX(Hierarchy!$F$2:$F$1295,MATCH($D1682,Hierarchy!$A$2:$A$1295,0))),"NODE NOT FOUND"))</f>
        <v>Sri Lanka</v>
      </c>
      <c r="J1682" s="7" t="str">
        <f aca="false">IF($D1682="","",IFERROR(IF(INDEX(Hierarchy!$G$2:$G$1295,MATCH($D1682,Hierarchy!$A$2:$A$1295,0))="","",INDEX(Hierarchy!$G$2:$G$1295,MATCH($D1682,Hierarchy!$A$2:$A$1295,0))),"NODE NOT FOUND"))</f>
        <v>LKA</v>
      </c>
      <c r="K1682" s="7" t="str">
        <f aca="false">IF($D1682="","",IFERROR(IF(INDEX(Hierarchy!$H$2:$H$1295,MATCH($D1682,Hierarchy!$A$2:$A$1295,0))="","",INDEX(Hierarchy!$H$2:$H$1295,MATCH($D1682,Hierarchy!$A$2:$A$1295,0))),"NODE NOT FOUND"))</f>
        <v>Southern Province (Sri Lanka)</v>
      </c>
      <c r="L1682" s="7" t="str">
        <f aca="false">IF($D1682="","",IFERROR(IF(INDEX(Hierarchy!$I$2:$I$1295,MATCH($D1682,Hierarchy!$A$2:$A$1295,0))="","",INDEX(Hierarchy!$I$2:$I$1295,MATCH($D1682,Hierarchy!$A$2:$A$1295,0))),"NODE NOT FOUND"))</f>
        <v/>
      </c>
      <c r="M1682" s="17" t="str">
        <f aca="false">IF(B1682="Pre-seeded","Pre-seeded",IF(B1682="Review 2026-09-16","Added from review",IF(C1682="","New",IF(C1682=D1682,"","Changed"))))</f>
        <v>Pre-seeded</v>
      </c>
      <c r="N1682" s="7" t="str">
        <f aca="false">TRIM(SUBSTITUTE(SUBSTITUTE(SUBSTITUTE(" "&amp;TRIM(SUBSTITUTE(SUBSTITUTE(SUBSTITUTE(SUBSTITUTE(SUBSTITUTE(SUBSTITUTE(SUBSTITUTE(SUBSTITUTE(SUBSTITUTE(SUBSTITUTE(SUBSTITUTE(SUBSTITUTE(SUBSTITUTE(SUBSTITUTE(SUBSTITUTE(UPPER(TRIM(A1682)),"[MEMBER]",""),"{MEMBER}",""),"[MEMBER}",""),"MEMBER]",""),"(A)",""),"""",""),"“",""),"”",""),".",""),":",""),",",""),"–"," "),"-"," "),"/"," "),"&amp;"," AND "))&amp;" "," THE "," ")," TOTAL "," ")," OPERATIONS "," "))</f>
        <v>SOUTHERN PROVINCE (SRI LANKA)</v>
      </c>
      <c r="O1682" s="17" t="str">
        <f aca="false">IF(COUNTIFS($N$2:$N$2000,N1682,$D$2:$D$2000,"&lt;&gt;"&amp;D1682)&gt;0,"CONFLICT","")</f>
        <v/>
      </c>
      <c r="P1682" s="7"/>
    </row>
    <row r="1683" customFormat="false" ht="15" hidden="false" customHeight="false" outlineLevel="0" collapsed="false">
      <c r="A1683" s="7" t="s">
        <v>1730</v>
      </c>
      <c r="B1683" s="7" t="s">
        <v>1879</v>
      </c>
      <c r="C1683" s="7"/>
      <c r="D1683" s="6" t="s">
        <v>1730</v>
      </c>
      <c r="E1683" s="6" t="s">
        <v>1880</v>
      </c>
      <c r="F1683" s="7" t="str">
        <f aca="false">IF($D1683="","",IFERROR(IF(INDEX(Hierarchy!$B$2:$B$1295,MATCH($D1683,Hierarchy!$A$2:$A$1295,0))="","",INDEX(Hierarchy!$B$2:$B$1295,MATCH($D1683,Hierarchy!$A$2:$A$1295,0))),"NODE NOT FOUND"))</f>
        <v>State/Province</v>
      </c>
      <c r="G1683" s="7" t="str">
        <f aca="false">IF($D1683="","",IFERROR(IF(INDEX(Hierarchy!$D$2:$D$1295,MATCH($D1683,Hierarchy!$A$2:$A$1295,0))="","",INDEX(Hierarchy!$D$2:$D$1295,MATCH($D1683,Hierarchy!$A$2:$A$1295,0))),"NODE NOT FOUND"))</f>
        <v>APAC</v>
      </c>
      <c r="H1683" s="7" t="str">
        <f aca="false">IF($D1683="","",IFERROR(IF(INDEX(Hierarchy!$E$2:$E$1295,MATCH($D1683,Hierarchy!$A$2:$A$1295,0))="","",INDEX(Hierarchy!$E$2:$E$1295,MATCH($D1683,Hierarchy!$A$2:$A$1295,0))),"NODE NOT FOUND"))</f>
        <v>Oceania (ANZ)</v>
      </c>
      <c r="I1683" s="7" t="str">
        <f aca="false">IF($D1683="","",IFERROR(IF(INDEX(Hierarchy!$F$2:$F$1295,MATCH($D1683,Hierarchy!$A$2:$A$1295,0))="","",INDEX(Hierarchy!$F$2:$F$1295,MATCH($D1683,Hierarchy!$A$2:$A$1295,0))),"NODE NOT FOUND"))</f>
        <v>New Zealand</v>
      </c>
      <c r="J1683" s="7" t="str">
        <f aca="false">IF($D1683="","",IFERROR(IF(INDEX(Hierarchy!$G$2:$G$1295,MATCH($D1683,Hierarchy!$A$2:$A$1295,0))="","",INDEX(Hierarchy!$G$2:$G$1295,MATCH($D1683,Hierarchy!$A$2:$A$1295,0))),"NODE NOT FOUND"))</f>
        <v>NZL</v>
      </c>
      <c r="K1683" s="7" t="str">
        <f aca="false">IF($D1683="","",IFERROR(IF(INDEX(Hierarchy!$H$2:$H$1295,MATCH($D1683,Hierarchy!$A$2:$A$1295,0))="","",INDEX(Hierarchy!$H$2:$H$1295,MATCH($D1683,Hierarchy!$A$2:$A$1295,0))),"NODE NOT FOUND"))</f>
        <v>Southland</v>
      </c>
      <c r="L1683" s="7" t="str">
        <f aca="false">IF($D1683="","",IFERROR(IF(INDEX(Hierarchy!$I$2:$I$1295,MATCH($D1683,Hierarchy!$A$2:$A$1295,0))="","",INDEX(Hierarchy!$I$2:$I$1295,MATCH($D1683,Hierarchy!$A$2:$A$1295,0))),"NODE NOT FOUND"))</f>
        <v/>
      </c>
      <c r="M1683" s="17" t="str">
        <f aca="false">IF(B1683="Pre-seeded","Pre-seeded",IF(B1683="Review 2026-09-16","Added from review",IF(C1683="","New",IF(C1683=D1683,"","Changed"))))</f>
        <v>Pre-seeded</v>
      </c>
      <c r="N1683" s="7" t="str">
        <f aca="false">TRIM(SUBSTITUTE(SUBSTITUTE(SUBSTITUTE(" "&amp;TRIM(SUBSTITUTE(SUBSTITUTE(SUBSTITUTE(SUBSTITUTE(SUBSTITUTE(SUBSTITUTE(SUBSTITUTE(SUBSTITUTE(SUBSTITUTE(SUBSTITUTE(SUBSTITUTE(SUBSTITUTE(SUBSTITUTE(SUBSTITUTE(SUBSTITUTE(UPPER(TRIM(A1683)),"[MEMBER]",""),"{MEMBER}",""),"[MEMBER}",""),"MEMBER]",""),"(A)",""),"""",""),"“",""),"”",""),".",""),":",""),",",""),"–"," "),"-"," "),"/"," "),"&amp;"," AND "))&amp;" "," THE "," ")," TOTAL "," ")," OPERATIONS "," "))</f>
        <v>SOUTHLAND</v>
      </c>
      <c r="O1683" s="17" t="str">
        <f aca="false">IF(COUNTIFS($N$2:$N$2000,N1683,$D$2:$D$2000,"&lt;&gt;"&amp;D1683)&gt;0,"CONFLICT","")</f>
        <v/>
      </c>
      <c r="P1683" s="7"/>
    </row>
    <row r="1684" customFormat="false" ht="15" hidden="false" customHeight="false" outlineLevel="0" collapsed="false">
      <c r="A1684" s="7" t="s">
        <v>2727</v>
      </c>
      <c r="B1684" s="7" t="s">
        <v>1885</v>
      </c>
      <c r="C1684" s="7" t="s">
        <v>2721</v>
      </c>
      <c r="D1684" s="6" t="s">
        <v>117</v>
      </c>
      <c r="E1684" s="6" t="s">
        <v>1880</v>
      </c>
      <c r="F1684" s="7" t="str">
        <f aca="false">IF($D1684="","",IFERROR(IF(INDEX(Hierarchy!$B$2:$B$1295,MATCH($D1684,Hierarchy!$A$2:$A$1295,0))="","",INDEX(Hierarchy!$B$2:$B$1295,MATCH($D1684,Hierarchy!$A$2:$A$1295,0))),"NODE NOT FOUND"))</f>
        <v>Sub-national region</v>
      </c>
      <c r="G1684" s="7" t="str">
        <f aca="false">IF($D1684="","",IFERROR(IF(INDEX(Hierarchy!$D$2:$D$1295,MATCH($D1684,Hierarchy!$A$2:$A$1295,0))="","",INDEX(Hierarchy!$D$2:$D$1295,MATCH($D1684,Hierarchy!$A$2:$A$1295,0))),"NODE NOT FOUND"))</f>
        <v>AMER</v>
      </c>
      <c r="H1684" s="7" t="str">
        <f aca="false">IF($D1684="","",IFERROR(IF(INDEX(Hierarchy!$E$2:$E$1295,MATCH($D1684,Hierarchy!$A$2:$A$1295,0))="","",INDEX(Hierarchy!$E$2:$E$1295,MATCH($D1684,Hierarchy!$A$2:$A$1295,0))),"NODE NOT FOUND"))</f>
        <v>North America (NORAM)</v>
      </c>
      <c r="I1684" s="7" t="str">
        <f aca="false">IF($D1684="","",IFERROR(IF(INDEX(Hierarchy!$F$2:$F$1295,MATCH($D1684,Hierarchy!$A$2:$A$1295,0))="","",INDEX(Hierarchy!$F$2:$F$1295,MATCH($D1684,Hierarchy!$A$2:$A$1295,0))),"NODE NOT FOUND"))</f>
        <v>United States</v>
      </c>
      <c r="J1684" s="7" t="str">
        <f aca="false">IF($D1684="","",IFERROR(IF(INDEX(Hierarchy!$G$2:$G$1295,MATCH($D1684,Hierarchy!$A$2:$A$1295,0))="","",INDEX(Hierarchy!$G$2:$G$1295,MATCH($D1684,Hierarchy!$A$2:$A$1295,0))),"NODE NOT FOUND"))</f>
        <v>USA</v>
      </c>
      <c r="K1684" s="7" t="str">
        <f aca="false">IF($D1684="","",IFERROR(IF(INDEX(Hierarchy!$H$2:$H$1295,MATCH($D1684,Hierarchy!$A$2:$A$1295,0))="","",INDEX(Hierarchy!$H$2:$H$1295,MATCH($D1684,Hierarchy!$A$2:$A$1295,0))),"NODE NOT FOUND"))</f>
        <v/>
      </c>
      <c r="L1684" s="7" t="str">
        <f aca="false">IF($D1684="","",IFERROR(IF(INDEX(Hierarchy!$I$2:$I$1295,MATCH($D1684,Hierarchy!$A$2:$A$1295,0))="","",INDEX(Hierarchy!$I$2:$I$1295,MATCH($D1684,Hierarchy!$A$2:$A$1295,0))),"NODE NOT FOUND"))</f>
        <v/>
      </c>
      <c r="M1684" s="17" t="str">
        <f aca="false">IF(B1684="Pre-seeded","Pre-seeded",IF(B1684="Review 2026-09-16","Added from review",IF(C1684="","New",IF(C1684=D1684,"","Changed"))))</f>
        <v>Changed</v>
      </c>
      <c r="N1684" s="7" t="str">
        <f aca="false">TRIM(SUBSTITUTE(SUBSTITUTE(SUBSTITUTE(" "&amp;TRIM(SUBSTITUTE(SUBSTITUTE(SUBSTITUTE(SUBSTITUTE(SUBSTITUTE(SUBSTITUTE(SUBSTITUTE(SUBSTITUTE(SUBSTITUTE(SUBSTITUTE(SUBSTITUTE(SUBSTITUTE(SUBSTITUTE(SUBSTITUTE(SUBSTITUTE(UPPER(TRIM(A1684)),"[MEMBER]",""),"{MEMBER}",""),"[MEMBER}",""),"MEMBER]",""),"(A)",""),"""",""),"“",""),"”",""),".",""),":",""),",",""),"–"," "),"-"," "),"/"," "),"&amp;"," AND "))&amp;" "," THE "," ")," TOTAL "," ")," OPERATIONS "," "))</f>
        <v>SOUTHWEST</v>
      </c>
      <c r="O1684" s="17" t="str">
        <f aca="false">IF(COUNTIFS($N$2:$N$2000,N1684,$D$2:$D$2000,"&lt;&gt;"&amp;D1684)&gt;0,"CONFLICT","")</f>
        <v/>
      </c>
      <c r="P1684" s="7" t="s">
        <v>2728</v>
      </c>
    </row>
    <row r="1685" customFormat="false" ht="15" hidden="false" customHeight="false" outlineLevel="0" collapsed="false">
      <c r="A1685" s="7" t="s">
        <v>1499</v>
      </c>
      <c r="B1685" s="7" t="s">
        <v>1879</v>
      </c>
      <c r="C1685" s="7"/>
      <c r="D1685" s="6" t="s">
        <v>1499</v>
      </c>
      <c r="E1685" s="6" t="s">
        <v>1880</v>
      </c>
      <c r="F1685" s="7" t="str">
        <f aca="false">IF($D1685="","",IFERROR(IF(INDEX(Hierarchy!$B$2:$B$1295,MATCH($D1685,Hierarchy!$A$2:$A$1295,0))="","",INDEX(Hierarchy!$B$2:$B$1295,MATCH($D1685,Hierarchy!$A$2:$A$1295,0))),"NODE NOT FOUND"))</f>
        <v>Sub-national region</v>
      </c>
      <c r="G1685" s="7" t="str">
        <f aca="false">IF($D1685="","",IFERROR(IF(INDEX(Hierarchy!$D$2:$D$1295,MATCH($D1685,Hierarchy!$A$2:$A$1295,0))="","",INDEX(Hierarchy!$D$2:$D$1295,MATCH($D1685,Hierarchy!$A$2:$A$1295,0))),"NODE NOT FOUND"))</f>
        <v>APAC</v>
      </c>
      <c r="H1685" s="7" t="str">
        <f aca="false">IF($D1685="","",IFERROR(IF(INDEX(Hierarchy!$E$2:$E$1295,MATCH($D1685,Hierarchy!$A$2:$A$1295,0))="","",INDEX(Hierarchy!$E$2:$E$1295,MATCH($D1685,Hierarchy!$A$2:$A$1295,0))),"NODE NOT FOUND"))</f>
        <v>East Asia</v>
      </c>
      <c r="I1685" s="7" t="str">
        <f aca="false">IF($D1685="","",IFERROR(IF(INDEX(Hierarchy!$F$2:$F$1295,MATCH($D1685,Hierarchy!$A$2:$A$1295,0))="","",INDEX(Hierarchy!$F$2:$F$1295,MATCH($D1685,Hierarchy!$A$2:$A$1295,0))),"NODE NOT FOUND"))</f>
        <v>China</v>
      </c>
      <c r="J1685" s="7" t="str">
        <f aca="false">IF($D1685="","",IFERROR(IF(INDEX(Hierarchy!$G$2:$G$1295,MATCH($D1685,Hierarchy!$A$2:$A$1295,0))="","",INDEX(Hierarchy!$G$2:$G$1295,MATCH($D1685,Hierarchy!$A$2:$A$1295,0))),"NODE NOT FOUND"))</f>
        <v>CHN</v>
      </c>
      <c r="K1685" s="7" t="str">
        <f aca="false">IF($D1685="","",IFERROR(IF(INDEX(Hierarchy!$H$2:$H$1295,MATCH($D1685,Hierarchy!$A$2:$A$1295,0))="","",INDEX(Hierarchy!$H$2:$H$1295,MATCH($D1685,Hierarchy!$A$2:$A$1295,0))),"NODE NOT FOUND"))</f>
        <v/>
      </c>
      <c r="L1685" s="7" t="str">
        <f aca="false">IF($D1685="","",IFERROR(IF(INDEX(Hierarchy!$I$2:$I$1295,MATCH($D1685,Hierarchy!$A$2:$A$1295,0))="","",INDEX(Hierarchy!$I$2:$I$1295,MATCH($D1685,Hierarchy!$A$2:$A$1295,0))),"NODE NOT FOUND"))</f>
        <v/>
      </c>
      <c r="M1685" s="17" t="str">
        <f aca="false">IF(B1685="Pre-seeded","Pre-seeded",IF(B1685="Review 2026-09-16","Added from review",IF(C1685="","New",IF(C1685=D1685,"","Changed"))))</f>
        <v>Pre-seeded</v>
      </c>
      <c r="N1685" s="7" t="str">
        <f aca="false">TRIM(SUBSTITUTE(SUBSTITUTE(SUBSTITUTE(" "&amp;TRIM(SUBSTITUTE(SUBSTITUTE(SUBSTITUTE(SUBSTITUTE(SUBSTITUTE(SUBSTITUTE(SUBSTITUTE(SUBSTITUTE(SUBSTITUTE(SUBSTITUTE(SUBSTITUTE(SUBSTITUTE(SUBSTITUTE(SUBSTITUTE(SUBSTITUTE(UPPER(TRIM(A1685)),"[MEMBER]",""),"{MEMBER}",""),"[MEMBER}",""),"MEMBER]",""),"(A)",""),"""",""),"“",""),"”",""),".",""),":",""),",",""),"–"," "),"-"," "),"/"," "),"&amp;"," AND "))&amp;" "," THE "," ")," TOTAL "," ")," OPERATIONS "," "))</f>
        <v>SOUTHWEST CHINA</v>
      </c>
      <c r="O1685" s="17" t="str">
        <f aca="false">IF(COUNTIFS($N$2:$N$2000,N1685,$D$2:$D$2000,"&lt;&gt;"&amp;D1685)&gt;0,"CONFLICT","")</f>
        <v/>
      </c>
      <c r="P1685" s="7"/>
    </row>
    <row r="1686" customFormat="false" ht="15" hidden="false" customHeight="false" outlineLevel="0" collapsed="false">
      <c r="A1686" s="7" t="s">
        <v>1622</v>
      </c>
      <c r="B1686" s="7" t="s">
        <v>1879</v>
      </c>
      <c r="C1686" s="7"/>
      <c r="D1686" s="6" t="s">
        <v>1622</v>
      </c>
      <c r="E1686" s="6" t="s">
        <v>1880</v>
      </c>
      <c r="F1686" s="7" t="str">
        <f aca="false">IF($D1686="","",IFERROR(IF(INDEX(Hierarchy!$B$2:$B$1295,MATCH($D1686,Hierarchy!$A$2:$A$1295,0))="","",INDEX(Hierarchy!$B$2:$B$1295,MATCH($D1686,Hierarchy!$A$2:$A$1295,0))),"NODE NOT FOUND"))</f>
        <v>State/Province</v>
      </c>
      <c r="G1686" s="7" t="str">
        <f aca="false">IF($D1686="","",IFERROR(IF(INDEX(Hierarchy!$D$2:$D$1295,MATCH($D1686,Hierarchy!$A$2:$A$1295,0))="","",INDEX(Hierarchy!$D$2:$D$1295,MATCH($D1686,Hierarchy!$A$2:$A$1295,0))),"NODE NOT FOUND"))</f>
        <v>APAC</v>
      </c>
      <c r="H1686" s="7" t="str">
        <f aca="false">IF($D1686="","",IFERROR(IF(INDEX(Hierarchy!$E$2:$E$1295,MATCH($D1686,Hierarchy!$A$2:$A$1295,0))="","",INDEX(Hierarchy!$E$2:$E$1295,MATCH($D1686,Hierarchy!$A$2:$A$1295,0))),"NODE NOT FOUND"))</f>
        <v>Southeast Asia (ASEAN)</v>
      </c>
      <c r="I1686" s="7" t="str">
        <f aca="false">IF($D1686="","",IFERROR(IF(INDEX(Hierarchy!$F$2:$F$1295,MATCH($D1686,Hierarchy!$A$2:$A$1295,0))="","",INDEX(Hierarchy!$F$2:$F$1295,MATCH($D1686,Hierarchy!$A$2:$A$1295,0))),"NODE NOT FOUND"))</f>
        <v>Indonesia</v>
      </c>
      <c r="J1686" s="7" t="str">
        <f aca="false">IF($D1686="","",IFERROR(IF(INDEX(Hierarchy!$G$2:$G$1295,MATCH($D1686,Hierarchy!$A$2:$A$1295,0))="","",INDEX(Hierarchy!$G$2:$G$1295,MATCH($D1686,Hierarchy!$A$2:$A$1295,0))),"NODE NOT FOUND"))</f>
        <v>IDN</v>
      </c>
      <c r="K1686" s="7" t="str">
        <f aca="false">IF($D1686="","",IFERROR(IF(INDEX(Hierarchy!$H$2:$H$1295,MATCH($D1686,Hierarchy!$A$2:$A$1295,0))="","",INDEX(Hierarchy!$H$2:$H$1295,MATCH($D1686,Hierarchy!$A$2:$A$1295,0))),"NODE NOT FOUND"))</f>
        <v>Southwest Papua</v>
      </c>
      <c r="L1686" s="7" t="str">
        <f aca="false">IF($D1686="","",IFERROR(IF(INDEX(Hierarchy!$I$2:$I$1295,MATCH($D1686,Hierarchy!$A$2:$A$1295,0))="","",INDEX(Hierarchy!$I$2:$I$1295,MATCH($D1686,Hierarchy!$A$2:$A$1295,0))),"NODE NOT FOUND"))</f>
        <v/>
      </c>
      <c r="M1686" s="17" t="str">
        <f aca="false">IF(B1686="Pre-seeded","Pre-seeded",IF(B1686="Review 2026-09-16","Added from review",IF(C1686="","New",IF(C1686=D1686,"","Changed"))))</f>
        <v>Pre-seeded</v>
      </c>
      <c r="N1686" s="7" t="str">
        <f aca="false">TRIM(SUBSTITUTE(SUBSTITUTE(SUBSTITUTE(" "&amp;TRIM(SUBSTITUTE(SUBSTITUTE(SUBSTITUTE(SUBSTITUTE(SUBSTITUTE(SUBSTITUTE(SUBSTITUTE(SUBSTITUTE(SUBSTITUTE(SUBSTITUTE(SUBSTITUTE(SUBSTITUTE(SUBSTITUTE(SUBSTITUTE(SUBSTITUTE(UPPER(TRIM(A1686)),"[MEMBER]",""),"{MEMBER}",""),"[MEMBER}",""),"MEMBER]",""),"(A)",""),"""",""),"“",""),"”",""),".",""),":",""),",",""),"–"," "),"-"," "),"/"," "),"&amp;"," AND "))&amp;" "," THE "," ")," TOTAL "," ")," OPERATIONS "," "))</f>
        <v>SOUTHWEST PAPUA</v>
      </c>
      <c r="O1686" s="17" t="str">
        <f aca="false">IF(COUNTIFS($N$2:$N$2000,N1686,$D$2:$D$2000,"&lt;&gt;"&amp;D1686)&gt;0,"CONFLICT","")</f>
        <v/>
      </c>
      <c r="P1686" s="7"/>
    </row>
    <row r="1687" customFormat="false" ht="15" hidden="false" customHeight="false" outlineLevel="0" collapsed="false">
      <c r="A1687" s="7" t="s">
        <v>949</v>
      </c>
      <c r="B1687" s="7" t="s">
        <v>1882</v>
      </c>
      <c r="C1687" s="7" t="s">
        <v>949</v>
      </c>
      <c r="D1687" s="6" t="s">
        <v>949</v>
      </c>
      <c r="E1687" s="6" t="s">
        <v>1880</v>
      </c>
      <c r="F1687" s="7" t="str">
        <f aca="false">IF($D1687="","",IFERROR(IF(INDEX(Hierarchy!$B$2:$B$1295,MATCH($D1687,Hierarchy!$A$2:$A$1295,0))="","",INDEX(Hierarchy!$B$2:$B$1295,MATCH($D1687,Hierarchy!$A$2:$A$1295,0))),"NODE NOT FOUND"))</f>
        <v>Country</v>
      </c>
      <c r="G1687" s="7" t="str">
        <f aca="false">IF($D1687="","",IFERROR(IF(INDEX(Hierarchy!$D$2:$D$1295,MATCH($D1687,Hierarchy!$A$2:$A$1295,0))="","",INDEX(Hierarchy!$D$2:$D$1295,MATCH($D1687,Hierarchy!$A$2:$A$1295,0))),"NODE NOT FOUND"))</f>
        <v>EMEA</v>
      </c>
      <c r="H1687" s="7" t="str">
        <f aca="false">IF($D1687="","",IFERROR(IF(INDEX(Hierarchy!$E$2:$E$1295,MATCH($D1687,Hierarchy!$A$2:$A$1295,0))="","",INDEX(Hierarchy!$E$2:$E$1295,MATCH($D1687,Hierarchy!$A$2:$A$1295,0))),"NODE NOT FOUND"))</f>
        <v>Europe</v>
      </c>
      <c r="I1687" s="7" t="str">
        <f aca="false">IF($D1687="","",IFERROR(IF(INDEX(Hierarchy!$F$2:$F$1295,MATCH($D1687,Hierarchy!$A$2:$A$1295,0))="","",INDEX(Hierarchy!$F$2:$F$1295,MATCH($D1687,Hierarchy!$A$2:$A$1295,0))),"NODE NOT FOUND"))</f>
        <v>Spain</v>
      </c>
      <c r="J1687" s="7" t="str">
        <f aca="false">IF($D1687="","",IFERROR(IF(INDEX(Hierarchy!$G$2:$G$1295,MATCH($D1687,Hierarchy!$A$2:$A$1295,0))="","",INDEX(Hierarchy!$G$2:$G$1295,MATCH($D1687,Hierarchy!$A$2:$A$1295,0))),"NODE NOT FOUND"))</f>
        <v>ESP</v>
      </c>
      <c r="K1687" s="7" t="str">
        <f aca="false">IF($D1687="","",IFERROR(IF(INDEX(Hierarchy!$H$2:$H$1295,MATCH($D1687,Hierarchy!$A$2:$A$1295,0))="","",INDEX(Hierarchy!$H$2:$H$1295,MATCH($D1687,Hierarchy!$A$2:$A$1295,0))),"NODE NOT FOUND"))</f>
        <v/>
      </c>
      <c r="L1687" s="7" t="str">
        <f aca="false">IF($D1687="","",IFERROR(IF(INDEX(Hierarchy!$I$2:$I$1295,MATCH($D1687,Hierarchy!$A$2:$A$1295,0))="","",INDEX(Hierarchy!$I$2:$I$1295,MATCH($D1687,Hierarchy!$A$2:$A$1295,0))),"NODE NOT FOUND"))</f>
        <v/>
      </c>
      <c r="M1687" s="17" t="str">
        <f aca="false">IF(B1687="Pre-seeded","Pre-seeded",IF(B1687="Review 2026-09-16","Added from review",IF(C1687="","New",IF(C1687=D1687,"","Changed"))))</f>
        <v/>
      </c>
      <c r="N1687" s="7" t="str">
        <f aca="false">TRIM(SUBSTITUTE(SUBSTITUTE(SUBSTITUTE(" "&amp;TRIM(SUBSTITUTE(SUBSTITUTE(SUBSTITUTE(SUBSTITUTE(SUBSTITUTE(SUBSTITUTE(SUBSTITUTE(SUBSTITUTE(SUBSTITUTE(SUBSTITUTE(SUBSTITUTE(SUBSTITUTE(SUBSTITUTE(SUBSTITUTE(SUBSTITUTE(UPPER(TRIM(A1687)),"[MEMBER]",""),"{MEMBER}",""),"[MEMBER}",""),"MEMBER]",""),"(A)",""),"""",""),"“",""),"”",""),".",""),":",""),",",""),"–"," "),"-"," "),"/"," "),"&amp;"," AND "))&amp;" "," THE "," ")," TOTAL "," ")," OPERATIONS "," "))</f>
        <v>SPAIN</v>
      </c>
      <c r="O1687" s="17" t="str">
        <f aca="false">IF(COUNTIFS($N$2:$N$2000,N1687,$D$2:$D$2000,"&lt;&gt;"&amp;D1687)&gt;0,"CONFLICT","")</f>
        <v/>
      </c>
      <c r="P1687" s="7"/>
    </row>
    <row r="1688" customFormat="false" ht="15" hidden="false" customHeight="false" outlineLevel="0" collapsed="false">
      <c r="A1688" s="7" t="s">
        <v>2729</v>
      </c>
      <c r="B1688" s="7" t="s">
        <v>1882</v>
      </c>
      <c r="C1688" s="7" t="s">
        <v>949</v>
      </c>
      <c r="D1688" s="6" t="s">
        <v>949</v>
      </c>
      <c r="E1688" s="6" t="s">
        <v>1880</v>
      </c>
      <c r="F1688" s="7" t="str">
        <f aca="false">IF($D1688="","",IFERROR(IF(INDEX(Hierarchy!$B$2:$B$1295,MATCH($D1688,Hierarchy!$A$2:$A$1295,0))="","",INDEX(Hierarchy!$B$2:$B$1295,MATCH($D1688,Hierarchy!$A$2:$A$1295,0))),"NODE NOT FOUND"))</f>
        <v>Country</v>
      </c>
      <c r="G1688" s="7" t="str">
        <f aca="false">IF($D1688="","",IFERROR(IF(INDEX(Hierarchy!$D$2:$D$1295,MATCH($D1688,Hierarchy!$A$2:$A$1295,0))="","",INDEX(Hierarchy!$D$2:$D$1295,MATCH($D1688,Hierarchy!$A$2:$A$1295,0))),"NODE NOT FOUND"))</f>
        <v>EMEA</v>
      </c>
      <c r="H1688" s="7" t="str">
        <f aca="false">IF($D1688="","",IFERROR(IF(INDEX(Hierarchy!$E$2:$E$1295,MATCH($D1688,Hierarchy!$A$2:$A$1295,0))="","",INDEX(Hierarchy!$E$2:$E$1295,MATCH($D1688,Hierarchy!$A$2:$A$1295,0))),"NODE NOT FOUND"))</f>
        <v>Europe</v>
      </c>
      <c r="I1688" s="7" t="str">
        <f aca="false">IF($D1688="","",IFERROR(IF(INDEX(Hierarchy!$F$2:$F$1295,MATCH($D1688,Hierarchy!$A$2:$A$1295,0))="","",INDEX(Hierarchy!$F$2:$F$1295,MATCH($D1688,Hierarchy!$A$2:$A$1295,0))),"NODE NOT FOUND"))</f>
        <v>Spain</v>
      </c>
      <c r="J1688" s="7" t="str">
        <f aca="false">IF($D1688="","",IFERROR(IF(INDEX(Hierarchy!$G$2:$G$1295,MATCH($D1688,Hierarchy!$A$2:$A$1295,0))="","",INDEX(Hierarchy!$G$2:$G$1295,MATCH($D1688,Hierarchy!$A$2:$A$1295,0))),"NODE NOT FOUND"))</f>
        <v>ESP</v>
      </c>
      <c r="K1688" s="7" t="str">
        <f aca="false">IF($D1688="","",IFERROR(IF(INDEX(Hierarchy!$H$2:$H$1295,MATCH($D1688,Hierarchy!$A$2:$A$1295,0))="","",INDEX(Hierarchy!$H$2:$H$1295,MATCH($D1688,Hierarchy!$A$2:$A$1295,0))),"NODE NOT FOUND"))</f>
        <v/>
      </c>
      <c r="L1688" s="7" t="str">
        <f aca="false">IF($D1688="","",IFERROR(IF(INDEX(Hierarchy!$I$2:$I$1295,MATCH($D1688,Hierarchy!$A$2:$A$1295,0))="","",INDEX(Hierarchy!$I$2:$I$1295,MATCH($D1688,Hierarchy!$A$2:$A$1295,0))),"NODE NOT FOUND"))</f>
        <v/>
      </c>
      <c r="M1688" s="17" t="str">
        <f aca="false">IF(B1688="Pre-seeded","Pre-seeded",IF(B1688="Review 2026-09-16","Added from review",IF(C1688="","New",IF(C1688=D1688,"","Changed"))))</f>
        <v/>
      </c>
      <c r="N1688" s="7" t="str">
        <f aca="false">TRIM(SUBSTITUTE(SUBSTITUTE(SUBSTITUTE(" "&amp;TRIM(SUBSTITUTE(SUBSTITUTE(SUBSTITUTE(SUBSTITUTE(SUBSTITUTE(SUBSTITUTE(SUBSTITUTE(SUBSTITUTE(SUBSTITUTE(SUBSTITUTE(SUBSTITUTE(SUBSTITUTE(SUBSTITUTE(SUBSTITUTE(SUBSTITUTE(UPPER(TRIM(A1688)),"[MEMBER]",""),"{MEMBER}",""),"[MEMBER}",""),"MEMBER]",""),"(A)",""),"""",""),"“",""),"”",""),".",""),":",""),",",""),"–"," "),"-"," "),"/"," "),"&amp;"," AND "))&amp;" "," THE "," ")," TOTAL "," ")," OPERATIONS "," "))</f>
        <v>SPAIN</v>
      </c>
      <c r="O1688" s="17" t="str">
        <f aca="false">IF(COUNTIFS($N$2:$N$2000,N1688,$D$2:$D$2000,"&lt;&gt;"&amp;D1688)&gt;0,"CONFLICT","")</f>
        <v/>
      </c>
      <c r="P1688" s="7"/>
    </row>
    <row r="1689" customFormat="false" ht="15" hidden="false" customHeight="false" outlineLevel="0" collapsed="false">
      <c r="A1689" s="7" t="s">
        <v>1407</v>
      </c>
      <c r="B1689" s="7" t="s">
        <v>1879</v>
      </c>
      <c r="C1689" s="7"/>
      <c r="D1689" s="6" t="s">
        <v>1407</v>
      </c>
      <c r="E1689" s="6" t="s">
        <v>1880</v>
      </c>
      <c r="F1689" s="7" t="str">
        <f aca="false">IF($D1689="","",IFERROR(IF(INDEX(Hierarchy!$B$2:$B$1295,MATCH($D1689,Hierarchy!$A$2:$A$1295,0))="","",INDEX(Hierarchy!$B$2:$B$1295,MATCH($D1689,Hierarchy!$A$2:$A$1295,0))),"NODE NOT FOUND"))</f>
        <v>Country</v>
      </c>
      <c r="G1689" s="7" t="str">
        <f aca="false">IF($D1689="","",IFERROR(IF(INDEX(Hierarchy!$D$2:$D$1295,MATCH($D1689,Hierarchy!$A$2:$A$1295,0))="","",INDEX(Hierarchy!$D$2:$D$1295,MATCH($D1689,Hierarchy!$A$2:$A$1295,0))),"NODE NOT FOUND"))</f>
        <v>APAC</v>
      </c>
      <c r="H1689" s="7" t="str">
        <f aca="false">IF($D1689="","",IFERROR(IF(INDEX(Hierarchy!$E$2:$E$1295,MATCH($D1689,Hierarchy!$A$2:$A$1295,0))="","",INDEX(Hierarchy!$E$2:$E$1295,MATCH($D1689,Hierarchy!$A$2:$A$1295,0))),"NODE NOT FOUND"))</f>
        <v>South Asia</v>
      </c>
      <c r="I1689" s="7" t="str">
        <f aca="false">IF($D1689="","",IFERROR(IF(INDEX(Hierarchy!$F$2:$F$1295,MATCH($D1689,Hierarchy!$A$2:$A$1295,0))="","",INDEX(Hierarchy!$F$2:$F$1295,MATCH($D1689,Hierarchy!$A$2:$A$1295,0))),"NODE NOT FOUND"))</f>
        <v>Sri Lanka</v>
      </c>
      <c r="J1689" s="7" t="str">
        <f aca="false">IF($D1689="","",IFERROR(IF(INDEX(Hierarchy!$G$2:$G$1295,MATCH($D1689,Hierarchy!$A$2:$A$1295,0))="","",INDEX(Hierarchy!$G$2:$G$1295,MATCH($D1689,Hierarchy!$A$2:$A$1295,0))),"NODE NOT FOUND"))</f>
        <v>LKA</v>
      </c>
      <c r="K1689" s="7" t="str">
        <f aca="false">IF($D1689="","",IFERROR(IF(INDEX(Hierarchy!$H$2:$H$1295,MATCH($D1689,Hierarchy!$A$2:$A$1295,0))="","",INDEX(Hierarchy!$H$2:$H$1295,MATCH($D1689,Hierarchy!$A$2:$A$1295,0))),"NODE NOT FOUND"))</f>
        <v/>
      </c>
      <c r="L1689" s="7" t="str">
        <f aca="false">IF($D1689="","",IFERROR(IF(INDEX(Hierarchy!$I$2:$I$1295,MATCH($D1689,Hierarchy!$A$2:$A$1295,0))="","",INDEX(Hierarchy!$I$2:$I$1295,MATCH($D1689,Hierarchy!$A$2:$A$1295,0))),"NODE NOT FOUND"))</f>
        <v/>
      </c>
      <c r="M1689" s="17" t="str">
        <f aca="false">IF(B1689="Pre-seeded","Pre-seeded",IF(B1689="Review 2026-09-16","Added from review",IF(C1689="","New",IF(C1689=D1689,"","Changed"))))</f>
        <v>Pre-seeded</v>
      </c>
      <c r="N1689" s="7" t="str">
        <f aca="false">TRIM(SUBSTITUTE(SUBSTITUTE(SUBSTITUTE(" "&amp;TRIM(SUBSTITUTE(SUBSTITUTE(SUBSTITUTE(SUBSTITUTE(SUBSTITUTE(SUBSTITUTE(SUBSTITUTE(SUBSTITUTE(SUBSTITUTE(SUBSTITUTE(SUBSTITUTE(SUBSTITUTE(SUBSTITUTE(SUBSTITUTE(SUBSTITUTE(UPPER(TRIM(A1689)),"[MEMBER]",""),"{MEMBER}",""),"[MEMBER}",""),"MEMBER]",""),"(A)",""),"""",""),"“",""),"”",""),".",""),":",""),",",""),"–"," "),"-"," "),"/"," "),"&amp;"," AND "))&amp;" "," THE "," ")," TOTAL "," ")," OPERATIONS "," "))</f>
        <v>SRI LANKA</v>
      </c>
      <c r="O1689" s="17" t="str">
        <f aca="false">IF(COUNTIFS($N$2:$N$2000,N1689,$D$2:$D$2000,"&lt;&gt;"&amp;D1689)&gt;0,"CONFLICT","")</f>
        <v/>
      </c>
      <c r="P1689" s="7"/>
    </row>
    <row r="1690" customFormat="false" ht="15" hidden="false" customHeight="false" outlineLevel="0" collapsed="false">
      <c r="A1690" s="7" t="s">
        <v>2730</v>
      </c>
      <c r="B1690" s="7" t="s">
        <v>1879</v>
      </c>
      <c r="C1690" s="7"/>
      <c r="D1690" s="6" t="s">
        <v>1098</v>
      </c>
      <c r="E1690" s="6" t="s">
        <v>1880</v>
      </c>
      <c r="F1690" s="7" t="str">
        <f aca="false">IF($D1690="","",IFERROR(IF(INDEX(Hierarchy!$B$2:$B$1295,MATCH($D1690,Hierarchy!$A$2:$A$1295,0))="","",INDEX(Hierarchy!$B$2:$B$1295,MATCH($D1690,Hierarchy!$A$2:$A$1295,0))),"NODE NOT FOUND"))</f>
        <v>Sub-region component</v>
      </c>
      <c r="G1690" s="7" t="str">
        <f aca="false">IF($D1690="","",IFERROR(IF(INDEX(Hierarchy!$D$2:$D$1295,MATCH($D1690,Hierarchy!$A$2:$A$1295,0))="","",INDEX(Hierarchy!$D$2:$D$1295,MATCH($D1690,Hierarchy!$A$2:$A$1295,0))),"NODE NOT FOUND"))</f>
        <v>EMEA</v>
      </c>
      <c r="H1690" s="7" t="str">
        <f aca="false">IF($D1690="","",IFERROR(IF(INDEX(Hierarchy!$E$2:$E$1295,MATCH($D1690,Hierarchy!$A$2:$A$1295,0))="","",INDEX(Hierarchy!$E$2:$E$1295,MATCH($D1690,Hierarchy!$A$2:$A$1295,0))),"NODE NOT FOUND"))</f>
        <v>Africa</v>
      </c>
      <c r="I1690" s="7" t="str">
        <f aca="false">IF($D1690="","",IFERROR(IF(INDEX(Hierarchy!$F$2:$F$1295,MATCH($D1690,Hierarchy!$A$2:$A$1295,0))="","",INDEX(Hierarchy!$F$2:$F$1295,MATCH($D1690,Hierarchy!$A$2:$A$1295,0))),"NODE NOT FOUND"))</f>
        <v/>
      </c>
      <c r="J1690" s="7" t="str">
        <f aca="false">IF($D1690="","",IFERROR(IF(INDEX(Hierarchy!$G$2:$G$1295,MATCH($D1690,Hierarchy!$A$2:$A$1295,0))="","",INDEX(Hierarchy!$G$2:$G$1295,MATCH($D1690,Hierarchy!$A$2:$A$1295,0))),"NODE NOT FOUND"))</f>
        <v/>
      </c>
      <c r="K1690" s="7" t="str">
        <f aca="false">IF($D1690="","",IFERROR(IF(INDEX(Hierarchy!$H$2:$H$1295,MATCH($D1690,Hierarchy!$A$2:$A$1295,0))="","",INDEX(Hierarchy!$H$2:$H$1295,MATCH($D1690,Hierarchy!$A$2:$A$1295,0))),"NODE NOT FOUND"))</f>
        <v/>
      </c>
      <c r="L1690" s="7" t="str">
        <f aca="false">IF($D1690="","",IFERROR(IF(INDEX(Hierarchy!$I$2:$I$1295,MATCH($D1690,Hierarchy!$A$2:$A$1295,0))="","",INDEX(Hierarchy!$I$2:$I$1295,MATCH($D1690,Hierarchy!$A$2:$A$1295,0))),"NODE NOT FOUND"))</f>
        <v/>
      </c>
      <c r="M1690" s="17" t="str">
        <f aca="false">IF(B1690="Pre-seeded","Pre-seeded",IF(B1690="Review 2026-09-16","Added from review",IF(C1690="","New",IF(C1690=D1690,"","Changed"))))</f>
        <v>Pre-seeded</v>
      </c>
      <c r="N1690" s="7" t="str">
        <f aca="false">TRIM(SUBSTITUTE(SUBSTITUTE(SUBSTITUTE(" "&amp;TRIM(SUBSTITUTE(SUBSTITUTE(SUBSTITUTE(SUBSTITUTE(SUBSTITUTE(SUBSTITUTE(SUBSTITUTE(SUBSTITUTE(SUBSTITUTE(SUBSTITUTE(SUBSTITUTE(SUBSTITUTE(SUBSTITUTE(SUBSTITUTE(SUBSTITUTE(UPPER(TRIM(A1690)),"[MEMBER]",""),"{MEMBER}",""),"[MEMBER}",""),"MEMBER]",""),"(A)",""),"""",""),"“",""),"”",""),".",""),":",""),",",""),"–"," "),"-"," "),"/"," "),"&amp;"," AND "))&amp;" "," THE "," ")," TOTAL "," ")," OPERATIONS "," "))</f>
        <v>SSA</v>
      </c>
      <c r="O1690" s="17" t="str">
        <f aca="false">IF(COUNTIFS($N$2:$N$2000,N1690,$D$2:$D$2000,"&lt;&gt;"&amp;D1690)&gt;0,"CONFLICT","")</f>
        <v/>
      </c>
      <c r="P1690" s="7"/>
    </row>
    <row r="1691" customFormat="false" ht="15" hidden="false" customHeight="false" outlineLevel="0" collapsed="false">
      <c r="A1691" s="7" t="s">
        <v>2731</v>
      </c>
      <c r="B1691" s="7" t="s">
        <v>1909</v>
      </c>
      <c r="C1691" s="7"/>
      <c r="D1691" s="6" t="s">
        <v>1803</v>
      </c>
      <c r="E1691" s="6" t="s">
        <v>1886</v>
      </c>
      <c r="F1691" s="7" t="str">
        <f aca="false">IF($D1691="","",IFERROR(IF(INDEX(Hierarchy!$B$2:$B$1295,MATCH($D1691,Hierarchy!$A$2:$A$1295,0))="","",INDEX(Hierarchy!$B$2:$B$1295,MATCH($D1691,Hierarchy!$A$2:$A$1295,0))),"NODE NOT FOUND"))</f>
        <v>Multi-region</v>
      </c>
      <c r="G1691" s="7" t="str">
        <f aca="false">IF($D1691="","",IFERROR(IF(INDEX(Hierarchy!$D$2:$D$1295,MATCH($D1691,Hierarchy!$A$2:$A$1295,0))="","",INDEX(Hierarchy!$D$2:$D$1295,MATCH($D1691,Hierarchy!$A$2:$A$1295,0))),"NODE NOT FOUND"))</f>
        <v>Multi-region</v>
      </c>
      <c r="H1691" s="7" t="str">
        <f aca="false">IF($D1691="","",IFERROR(IF(INDEX(Hierarchy!$E$2:$E$1295,MATCH($D1691,Hierarchy!$A$2:$A$1295,0))="","",INDEX(Hierarchy!$E$2:$E$1295,MATCH($D1691,Hierarchy!$A$2:$A$1295,0))),"NODE NOT FOUND"))</f>
        <v/>
      </c>
      <c r="I1691" s="7" t="str">
        <f aca="false">IF($D1691="","",IFERROR(IF(INDEX(Hierarchy!$F$2:$F$1295,MATCH($D1691,Hierarchy!$A$2:$A$1295,0))="","",INDEX(Hierarchy!$F$2:$F$1295,MATCH($D1691,Hierarchy!$A$2:$A$1295,0))),"NODE NOT FOUND"))</f>
        <v/>
      </c>
      <c r="J1691" s="7" t="str">
        <f aca="false">IF($D1691="","",IFERROR(IF(INDEX(Hierarchy!$G$2:$G$1295,MATCH($D1691,Hierarchy!$A$2:$A$1295,0))="","",INDEX(Hierarchy!$G$2:$G$1295,MATCH($D1691,Hierarchy!$A$2:$A$1295,0))),"NODE NOT FOUND"))</f>
        <v/>
      </c>
      <c r="K1691" s="7" t="str">
        <f aca="false">IF($D1691="","",IFERROR(IF(INDEX(Hierarchy!$H$2:$H$1295,MATCH($D1691,Hierarchy!$A$2:$A$1295,0))="","",INDEX(Hierarchy!$H$2:$H$1295,MATCH($D1691,Hierarchy!$A$2:$A$1295,0))),"NODE NOT FOUND"))</f>
        <v/>
      </c>
      <c r="L1691" s="7" t="str">
        <f aca="false">IF($D1691="","",IFERROR(IF(INDEX(Hierarchy!$I$2:$I$1295,MATCH($D1691,Hierarchy!$A$2:$A$1295,0))="","",INDEX(Hierarchy!$I$2:$I$1295,MATCH($D1691,Hierarchy!$A$2:$A$1295,0))),"NODE NOT FOUND"))</f>
        <v/>
      </c>
      <c r="M1691" s="17" t="str">
        <f aca="false">IF(B1691="Pre-seeded","Pre-seeded",IF(B1691="Review 2026-09-16","Added from review",IF(C1691="","New",IF(C1691=D1691,"","Changed"))))</f>
        <v>New</v>
      </c>
      <c r="N1691" s="7" t="str">
        <f aca="false">TRIM(SUBSTITUTE(SUBSTITUTE(SUBSTITUTE(" "&amp;TRIM(SUBSTITUTE(SUBSTITUTE(SUBSTITUTE(SUBSTITUTE(SUBSTITUTE(SUBSTITUTE(SUBSTITUTE(SUBSTITUTE(SUBSTITUTE(SUBSTITUTE(SUBSTITUTE(SUBSTITUTE(SUBSTITUTE(SUBSTITUTE(SUBSTITUTE(UPPER(TRIM(A1691)),"[MEMBER]",""),"{MEMBER}",""),"[MEMBER}",""),"MEMBER]",""),"(A)",""),"""",""),"“",""),"”",""),".",""),":",""),",",""),"–"," "),"-"," "),"/"," "),"&amp;"," AND "))&amp;" "," THE "," ")," TOTAL "," ")," OPERATIONS "," "))</f>
        <v>SSEA CIS AND MEA</v>
      </c>
      <c r="O1691" s="17" t="str">
        <f aca="false">IF(COUNTIFS($N$2:$N$2000,N1691,$D$2:$D$2000,"&lt;&gt;"&amp;D1691)&gt;0,"CONFLICT","")</f>
        <v/>
      </c>
      <c r="P1691" s="7" t="s">
        <v>2732</v>
      </c>
    </row>
    <row r="1692" customFormat="false" ht="15" hidden="false" customHeight="false" outlineLevel="0" collapsed="false">
      <c r="A1692" s="7" t="s">
        <v>1000</v>
      </c>
      <c r="B1692" s="7" t="s">
        <v>1879</v>
      </c>
      <c r="C1692" s="7"/>
      <c r="D1692" s="6" t="s">
        <v>1000</v>
      </c>
      <c r="E1692" s="6" t="s">
        <v>1880</v>
      </c>
      <c r="F1692" s="7" t="str">
        <f aca="false">IF($D1692="","",IFERROR(IF(INDEX(Hierarchy!$B$2:$B$1295,MATCH($D1692,Hierarchy!$A$2:$A$1295,0))="","",INDEX(Hierarchy!$B$2:$B$1295,MATCH($D1692,Hierarchy!$A$2:$A$1295,0))),"NODE NOT FOUND"))</f>
        <v>State/Province</v>
      </c>
      <c r="G1692" s="7" t="str">
        <f aca="false">IF($D1692="","",IFERROR(IF(INDEX(Hierarchy!$D$2:$D$1295,MATCH($D1692,Hierarchy!$A$2:$A$1295,0))="","",INDEX(Hierarchy!$D$2:$D$1295,MATCH($D1692,Hierarchy!$A$2:$A$1295,0))),"NODE NOT FOUND"))</f>
        <v>EMEA</v>
      </c>
      <c r="H1692" s="7" t="str">
        <f aca="false">IF($D1692="","",IFERROR(IF(INDEX(Hierarchy!$E$2:$E$1295,MATCH($D1692,Hierarchy!$A$2:$A$1295,0))="","",INDEX(Hierarchy!$E$2:$E$1295,MATCH($D1692,Hierarchy!$A$2:$A$1295,0))),"NODE NOT FOUND"))</f>
        <v>Europe</v>
      </c>
      <c r="I1692" s="7" t="str">
        <f aca="false">IF($D1692="","",IFERROR(IF(INDEX(Hierarchy!$F$2:$F$1295,MATCH($D1692,Hierarchy!$A$2:$A$1295,0))="","",INDEX(Hierarchy!$F$2:$F$1295,MATCH($D1692,Hierarchy!$A$2:$A$1295,0))),"NODE NOT FOUND"))</f>
        <v>Switzerland</v>
      </c>
      <c r="J1692" s="7" t="str">
        <f aca="false">IF($D1692="","",IFERROR(IF(INDEX(Hierarchy!$G$2:$G$1295,MATCH($D1692,Hierarchy!$A$2:$A$1295,0))="","",INDEX(Hierarchy!$G$2:$G$1295,MATCH($D1692,Hierarchy!$A$2:$A$1295,0))),"NODE NOT FOUND"))</f>
        <v>CHE</v>
      </c>
      <c r="K1692" s="7" t="str">
        <f aca="false">IF($D1692="","",IFERROR(IF(INDEX(Hierarchy!$H$2:$H$1295,MATCH($D1692,Hierarchy!$A$2:$A$1295,0))="","",INDEX(Hierarchy!$H$2:$H$1295,MATCH($D1692,Hierarchy!$A$2:$A$1295,0))),"NODE NOT FOUND"))</f>
        <v>St. Gallen</v>
      </c>
      <c r="L1692" s="7" t="str">
        <f aca="false">IF($D1692="","",IFERROR(IF(INDEX(Hierarchy!$I$2:$I$1295,MATCH($D1692,Hierarchy!$A$2:$A$1295,0))="","",INDEX(Hierarchy!$I$2:$I$1295,MATCH($D1692,Hierarchy!$A$2:$A$1295,0))),"NODE NOT FOUND"))</f>
        <v/>
      </c>
      <c r="M1692" s="17" t="str">
        <f aca="false">IF(B1692="Pre-seeded","Pre-seeded",IF(B1692="Review 2026-09-16","Added from review",IF(C1692="","New",IF(C1692=D1692,"","Changed"))))</f>
        <v>Pre-seeded</v>
      </c>
      <c r="N1692" s="7" t="str">
        <f aca="false">TRIM(SUBSTITUTE(SUBSTITUTE(SUBSTITUTE(" "&amp;TRIM(SUBSTITUTE(SUBSTITUTE(SUBSTITUTE(SUBSTITUTE(SUBSTITUTE(SUBSTITUTE(SUBSTITUTE(SUBSTITUTE(SUBSTITUTE(SUBSTITUTE(SUBSTITUTE(SUBSTITUTE(SUBSTITUTE(SUBSTITUTE(SUBSTITUTE(UPPER(TRIM(A1692)),"[MEMBER]",""),"{MEMBER}",""),"[MEMBER}",""),"MEMBER]",""),"(A)",""),"""",""),"“",""),"”",""),".",""),":",""),",",""),"–"," "),"-"," "),"/"," "),"&amp;"," AND "))&amp;" "," THE "," ")," TOTAL "," ")," OPERATIONS "," "))</f>
        <v>ST GALLEN</v>
      </c>
      <c r="O1692" s="17" t="str">
        <f aca="false">IF(COUNTIFS($N$2:$N$2000,N1692,$D$2:$D$2000,"&lt;&gt;"&amp;D1692)&gt;0,"CONFLICT","")</f>
        <v/>
      </c>
      <c r="P1692" s="7"/>
    </row>
    <row r="1693" customFormat="false" ht="15" hidden="false" customHeight="false" outlineLevel="0" collapsed="false">
      <c r="A1693" s="7" t="s">
        <v>2733</v>
      </c>
      <c r="B1693" s="7" t="s">
        <v>1879</v>
      </c>
      <c r="C1693" s="7"/>
      <c r="D1693" s="6" t="s">
        <v>593</v>
      </c>
      <c r="E1693" s="6" t="s">
        <v>1880</v>
      </c>
      <c r="F1693" s="7" t="str">
        <f aca="false">IF($D1693="","",IFERROR(IF(INDEX(Hierarchy!$B$2:$B$1295,MATCH($D1693,Hierarchy!$A$2:$A$1295,0))="","",INDEX(Hierarchy!$B$2:$B$1295,MATCH($D1693,Hierarchy!$A$2:$A$1295,0))),"NODE NOT FOUND"))</f>
        <v>Country</v>
      </c>
      <c r="G1693" s="7" t="str">
        <f aca="false">IF($D1693="","",IFERROR(IF(INDEX(Hierarchy!$D$2:$D$1295,MATCH($D1693,Hierarchy!$A$2:$A$1295,0))="","",INDEX(Hierarchy!$D$2:$D$1295,MATCH($D1693,Hierarchy!$A$2:$A$1295,0))),"NODE NOT FOUND"))</f>
        <v>AMER</v>
      </c>
      <c r="H1693" s="7" t="str">
        <f aca="false">IF($D1693="","",IFERROR(IF(INDEX(Hierarchy!$E$2:$E$1295,MATCH($D1693,Hierarchy!$A$2:$A$1295,0))="","",INDEX(Hierarchy!$E$2:$E$1295,MATCH($D1693,Hierarchy!$A$2:$A$1295,0))),"NODE NOT FOUND"))</f>
        <v>Latin America (LATAM)</v>
      </c>
      <c r="I1693" s="7" t="str">
        <f aca="false">IF($D1693="","",IFERROR(IF(INDEX(Hierarchy!$F$2:$F$1295,MATCH($D1693,Hierarchy!$A$2:$A$1295,0))="","",INDEX(Hierarchy!$F$2:$F$1295,MATCH($D1693,Hierarchy!$A$2:$A$1295,0))),"NODE NOT FOUND"))</f>
        <v>Saint Kitts and Nevis</v>
      </c>
      <c r="J1693" s="7" t="str">
        <f aca="false">IF($D1693="","",IFERROR(IF(INDEX(Hierarchy!$G$2:$G$1295,MATCH($D1693,Hierarchy!$A$2:$A$1295,0))="","",INDEX(Hierarchy!$G$2:$G$1295,MATCH($D1693,Hierarchy!$A$2:$A$1295,0))),"NODE NOT FOUND"))</f>
        <v>KNA</v>
      </c>
      <c r="K1693" s="7" t="str">
        <f aca="false">IF($D1693="","",IFERROR(IF(INDEX(Hierarchy!$H$2:$H$1295,MATCH($D1693,Hierarchy!$A$2:$A$1295,0))="","",INDEX(Hierarchy!$H$2:$H$1295,MATCH($D1693,Hierarchy!$A$2:$A$1295,0))),"NODE NOT FOUND"))</f>
        <v/>
      </c>
      <c r="L1693" s="7" t="str">
        <f aca="false">IF($D1693="","",IFERROR(IF(INDEX(Hierarchy!$I$2:$I$1295,MATCH($D1693,Hierarchy!$A$2:$A$1295,0))="","",INDEX(Hierarchy!$I$2:$I$1295,MATCH($D1693,Hierarchy!$A$2:$A$1295,0))),"NODE NOT FOUND"))</f>
        <v/>
      </c>
      <c r="M1693" s="17" t="str">
        <f aca="false">IF(B1693="Pre-seeded","Pre-seeded",IF(B1693="Review 2026-09-16","Added from review",IF(C1693="","New",IF(C1693=D1693,"","Changed"))))</f>
        <v>Pre-seeded</v>
      </c>
      <c r="N1693" s="7" t="str">
        <f aca="false">TRIM(SUBSTITUTE(SUBSTITUTE(SUBSTITUTE(" "&amp;TRIM(SUBSTITUTE(SUBSTITUTE(SUBSTITUTE(SUBSTITUTE(SUBSTITUTE(SUBSTITUTE(SUBSTITUTE(SUBSTITUTE(SUBSTITUTE(SUBSTITUTE(SUBSTITUTE(SUBSTITUTE(SUBSTITUTE(SUBSTITUTE(SUBSTITUTE(UPPER(TRIM(A1693)),"[MEMBER]",""),"{MEMBER}",""),"[MEMBER}",""),"MEMBER]",""),"(A)",""),"""",""),"“",""),"”",""),".",""),":",""),",",""),"–"," "),"-"," "),"/"," "),"&amp;"," AND "))&amp;" "," THE "," ")," TOTAL "," ")," OPERATIONS "," "))</f>
        <v>ST KITTS AND NEVIS</v>
      </c>
      <c r="O1693" s="17" t="str">
        <f aca="false">IF(COUNTIFS($N$2:$N$2000,N1693,$D$2:$D$2000,"&lt;&gt;"&amp;D1693)&gt;0,"CONFLICT","")</f>
        <v/>
      </c>
      <c r="P1693" s="7"/>
    </row>
    <row r="1694" customFormat="false" ht="15" hidden="false" customHeight="false" outlineLevel="0" collapsed="false">
      <c r="A1694" s="7" t="s">
        <v>2734</v>
      </c>
      <c r="B1694" s="7" t="s">
        <v>1879</v>
      </c>
      <c r="C1694" s="7"/>
      <c r="D1694" s="6" t="s">
        <v>595</v>
      </c>
      <c r="E1694" s="6" t="s">
        <v>1880</v>
      </c>
      <c r="F1694" s="7" t="str">
        <f aca="false">IF($D1694="","",IFERROR(IF(INDEX(Hierarchy!$B$2:$B$1295,MATCH($D1694,Hierarchy!$A$2:$A$1295,0))="","",INDEX(Hierarchy!$B$2:$B$1295,MATCH($D1694,Hierarchy!$A$2:$A$1295,0))),"NODE NOT FOUND"))</f>
        <v>Country</v>
      </c>
      <c r="G1694" s="7" t="str">
        <f aca="false">IF($D1694="","",IFERROR(IF(INDEX(Hierarchy!$D$2:$D$1295,MATCH($D1694,Hierarchy!$A$2:$A$1295,0))="","",INDEX(Hierarchy!$D$2:$D$1295,MATCH($D1694,Hierarchy!$A$2:$A$1295,0))),"NODE NOT FOUND"))</f>
        <v>AMER</v>
      </c>
      <c r="H1694" s="7" t="str">
        <f aca="false">IF($D1694="","",IFERROR(IF(INDEX(Hierarchy!$E$2:$E$1295,MATCH($D1694,Hierarchy!$A$2:$A$1295,0))="","",INDEX(Hierarchy!$E$2:$E$1295,MATCH($D1694,Hierarchy!$A$2:$A$1295,0))),"NODE NOT FOUND"))</f>
        <v>Latin America (LATAM)</v>
      </c>
      <c r="I1694" s="7" t="str">
        <f aca="false">IF($D1694="","",IFERROR(IF(INDEX(Hierarchy!$F$2:$F$1295,MATCH($D1694,Hierarchy!$A$2:$A$1295,0))="","",INDEX(Hierarchy!$F$2:$F$1295,MATCH($D1694,Hierarchy!$A$2:$A$1295,0))),"NODE NOT FOUND"))</f>
        <v>Saint Lucia</v>
      </c>
      <c r="J1694" s="7" t="str">
        <f aca="false">IF($D1694="","",IFERROR(IF(INDEX(Hierarchy!$G$2:$G$1295,MATCH($D1694,Hierarchy!$A$2:$A$1295,0))="","",INDEX(Hierarchy!$G$2:$G$1295,MATCH($D1694,Hierarchy!$A$2:$A$1295,0))),"NODE NOT FOUND"))</f>
        <v>LCA</v>
      </c>
      <c r="K1694" s="7" t="str">
        <f aca="false">IF($D1694="","",IFERROR(IF(INDEX(Hierarchy!$H$2:$H$1295,MATCH($D1694,Hierarchy!$A$2:$A$1295,0))="","",INDEX(Hierarchy!$H$2:$H$1295,MATCH($D1694,Hierarchy!$A$2:$A$1295,0))),"NODE NOT FOUND"))</f>
        <v/>
      </c>
      <c r="L1694" s="7" t="str">
        <f aca="false">IF($D1694="","",IFERROR(IF(INDEX(Hierarchy!$I$2:$I$1295,MATCH($D1694,Hierarchy!$A$2:$A$1295,0))="","",INDEX(Hierarchy!$I$2:$I$1295,MATCH($D1694,Hierarchy!$A$2:$A$1295,0))),"NODE NOT FOUND"))</f>
        <v/>
      </c>
      <c r="M1694" s="17" t="str">
        <f aca="false">IF(B1694="Pre-seeded","Pre-seeded",IF(B1694="Review 2026-09-16","Added from review",IF(C1694="","New",IF(C1694=D1694,"","Changed"))))</f>
        <v>Pre-seeded</v>
      </c>
      <c r="N1694" s="7" t="str">
        <f aca="false">TRIM(SUBSTITUTE(SUBSTITUTE(SUBSTITUTE(" "&amp;TRIM(SUBSTITUTE(SUBSTITUTE(SUBSTITUTE(SUBSTITUTE(SUBSTITUTE(SUBSTITUTE(SUBSTITUTE(SUBSTITUTE(SUBSTITUTE(SUBSTITUTE(SUBSTITUTE(SUBSTITUTE(SUBSTITUTE(SUBSTITUTE(SUBSTITUTE(UPPER(TRIM(A1694)),"[MEMBER]",""),"{MEMBER}",""),"[MEMBER}",""),"MEMBER]",""),"(A)",""),"""",""),"“",""),"”",""),".",""),":",""),",",""),"–"," "),"-"," "),"/"," "),"&amp;"," AND "))&amp;" "," THE "," ")," TOTAL "," ")," OPERATIONS "," "))</f>
        <v>ST LUCIA</v>
      </c>
      <c r="O1694" s="17" t="str">
        <f aca="false">IF(COUNTIFS($N$2:$N$2000,N1694,$D$2:$D$2000,"&lt;&gt;"&amp;D1694)&gt;0,"CONFLICT","")</f>
        <v/>
      </c>
      <c r="P1694" s="7"/>
    </row>
    <row r="1695" customFormat="false" ht="15" hidden="false" customHeight="false" outlineLevel="0" collapsed="false">
      <c r="A1695" s="7" t="s">
        <v>2735</v>
      </c>
      <c r="B1695" s="7" t="s">
        <v>1879</v>
      </c>
      <c r="C1695" s="7"/>
      <c r="D1695" s="6" t="s">
        <v>1071</v>
      </c>
      <c r="E1695" s="6" t="s">
        <v>1880</v>
      </c>
      <c r="F1695" s="7" t="str">
        <f aca="false">IF($D1695="","",IFERROR(IF(INDEX(Hierarchy!$B$2:$B$1295,MATCH($D1695,Hierarchy!$A$2:$A$1295,0))="","",INDEX(Hierarchy!$B$2:$B$1295,MATCH($D1695,Hierarchy!$A$2:$A$1295,0))),"NODE NOT FOUND"))</f>
        <v>Country</v>
      </c>
      <c r="G1695" s="7" t="str">
        <f aca="false">IF($D1695="","",IFERROR(IF(INDEX(Hierarchy!$D$2:$D$1295,MATCH($D1695,Hierarchy!$A$2:$A$1295,0))="","",INDEX(Hierarchy!$D$2:$D$1295,MATCH($D1695,Hierarchy!$A$2:$A$1295,0))),"NODE NOT FOUND"))</f>
        <v>EMEA</v>
      </c>
      <c r="H1695" s="7" t="str">
        <f aca="false">IF($D1695="","",IFERROR(IF(INDEX(Hierarchy!$E$2:$E$1295,MATCH($D1695,Hierarchy!$A$2:$A$1295,0))="","",INDEX(Hierarchy!$E$2:$E$1295,MATCH($D1695,Hierarchy!$A$2:$A$1295,0))),"NODE NOT FOUND"))</f>
        <v>Middle East</v>
      </c>
      <c r="I1695" s="7" t="str">
        <f aca="false">IF($D1695="","",IFERROR(IF(INDEX(Hierarchy!$F$2:$F$1295,MATCH($D1695,Hierarchy!$A$2:$A$1295,0))="","",INDEX(Hierarchy!$F$2:$F$1295,MATCH($D1695,Hierarchy!$A$2:$A$1295,0))),"NODE NOT FOUND"))</f>
        <v>Israel</v>
      </c>
      <c r="J1695" s="7" t="str">
        <f aca="false">IF($D1695="","",IFERROR(IF(INDEX(Hierarchy!$G$2:$G$1295,MATCH($D1695,Hierarchy!$A$2:$A$1295,0))="","",INDEX(Hierarchy!$G$2:$G$1295,MATCH($D1695,Hierarchy!$A$2:$A$1295,0))),"NODE NOT FOUND"))</f>
        <v>ISR</v>
      </c>
      <c r="K1695" s="7" t="str">
        <f aca="false">IF($D1695="","",IFERROR(IF(INDEX(Hierarchy!$H$2:$H$1295,MATCH($D1695,Hierarchy!$A$2:$A$1295,0))="","",INDEX(Hierarchy!$H$2:$H$1295,MATCH($D1695,Hierarchy!$A$2:$A$1295,0))),"NODE NOT FOUND"))</f>
        <v/>
      </c>
      <c r="L1695" s="7" t="str">
        <f aca="false">IF($D1695="","",IFERROR(IF(INDEX(Hierarchy!$I$2:$I$1295,MATCH($D1695,Hierarchy!$A$2:$A$1295,0))="","",INDEX(Hierarchy!$I$2:$I$1295,MATCH($D1695,Hierarchy!$A$2:$A$1295,0))),"NODE NOT FOUND"))</f>
        <v/>
      </c>
      <c r="M1695" s="17" t="str">
        <f aca="false">IF(B1695="Pre-seeded","Pre-seeded",IF(B1695="Review 2026-09-16","Added from review",IF(C1695="","New",IF(C1695=D1695,"","Changed"))))</f>
        <v>Pre-seeded</v>
      </c>
      <c r="N1695" s="7" t="str">
        <f aca="false">TRIM(SUBSTITUTE(SUBSTITUTE(SUBSTITUTE(" "&amp;TRIM(SUBSTITUTE(SUBSTITUTE(SUBSTITUTE(SUBSTITUTE(SUBSTITUTE(SUBSTITUTE(SUBSTITUTE(SUBSTITUTE(SUBSTITUTE(SUBSTITUTE(SUBSTITUTE(SUBSTITUTE(SUBSTITUTE(SUBSTITUTE(SUBSTITUTE(UPPER(TRIM(A1695)),"[MEMBER]",""),"{MEMBER}",""),"[MEMBER}",""),"MEMBER]",""),"(A)",""),"""",""),"“",""),"”",""),".",""),":",""),",",""),"–"," "),"-"," "),"/"," "),"&amp;"," AND "))&amp;" "," THE "," ")," TOTAL "," ")," OPERATIONS "," "))</f>
        <v>STATE OF ISRAEL</v>
      </c>
      <c r="O1695" s="17" t="str">
        <f aca="false">IF(COUNTIFS($N$2:$N$2000,N1695,$D$2:$D$2000,"&lt;&gt;"&amp;D1695)&gt;0,"CONFLICT","")</f>
        <v/>
      </c>
      <c r="P1695" s="7" t="s">
        <v>1936</v>
      </c>
    </row>
    <row r="1696" customFormat="false" ht="15" hidden="false" customHeight="false" outlineLevel="0" collapsed="false">
      <c r="A1696" s="7" t="s">
        <v>2736</v>
      </c>
      <c r="B1696" s="7" t="s">
        <v>1879</v>
      </c>
      <c r="C1696" s="7"/>
      <c r="D1696" s="6" t="s">
        <v>1078</v>
      </c>
      <c r="E1696" s="6" t="s">
        <v>1880</v>
      </c>
      <c r="F1696" s="7" t="str">
        <f aca="false">IF($D1696="","",IFERROR(IF(INDEX(Hierarchy!$B$2:$B$1295,MATCH($D1696,Hierarchy!$A$2:$A$1295,0))="","",INDEX(Hierarchy!$B$2:$B$1295,MATCH($D1696,Hierarchy!$A$2:$A$1295,0))),"NODE NOT FOUND"))</f>
        <v>Country</v>
      </c>
      <c r="G1696" s="7" t="str">
        <f aca="false">IF($D1696="","",IFERROR(IF(INDEX(Hierarchy!$D$2:$D$1295,MATCH($D1696,Hierarchy!$A$2:$A$1295,0))="","",INDEX(Hierarchy!$D$2:$D$1295,MATCH($D1696,Hierarchy!$A$2:$A$1295,0))),"NODE NOT FOUND"))</f>
        <v>EMEA</v>
      </c>
      <c r="H1696" s="7" t="str">
        <f aca="false">IF($D1696="","",IFERROR(IF(INDEX(Hierarchy!$E$2:$E$1295,MATCH($D1696,Hierarchy!$A$2:$A$1295,0))="","",INDEX(Hierarchy!$E$2:$E$1295,MATCH($D1696,Hierarchy!$A$2:$A$1295,0))),"NODE NOT FOUND"))</f>
        <v>Middle East</v>
      </c>
      <c r="I1696" s="7" t="str">
        <f aca="false">IF($D1696="","",IFERROR(IF(INDEX(Hierarchy!$F$2:$F$1295,MATCH($D1696,Hierarchy!$A$2:$A$1295,0))="","",INDEX(Hierarchy!$F$2:$F$1295,MATCH($D1696,Hierarchy!$A$2:$A$1295,0))),"NODE NOT FOUND"))</f>
        <v>Kuwait</v>
      </c>
      <c r="J1696" s="7" t="str">
        <f aca="false">IF($D1696="","",IFERROR(IF(INDEX(Hierarchy!$G$2:$G$1295,MATCH($D1696,Hierarchy!$A$2:$A$1295,0))="","",INDEX(Hierarchy!$G$2:$G$1295,MATCH($D1696,Hierarchy!$A$2:$A$1295,0))),"NODE NOT FOUND"))</f>
        <v>KWT</v>
      </c>
      <c r="K1696" s="7" t="str">
        <f aca="false">IF($D1696="","",IFERROR(IF(INDEX(Hierarchy!$H$2:$H$1295,MATCH($D1696,Hierarchy!$A$2:$A$1295,0))="","",INDEX(Hierarchy!$H$2:$H$1295,MATCH($D1696,Hierarchy!$A$2:$A$1295,0))),"NODE NOT FOUND"))</f>
        <v/>
      </c>
      <c r="L1696" s="7" t="str">
        <f aca="false">IF($D1696="","",IFERROR(IF(INDEX(Hierarchy!$I$2:$I$1295,MATCH($D1696,Hierarchy!$A$2:$A$1295,0))="","",INDEX(Hierarchy!$I$2:$I$1295,MATCH($D1696,Hierarchy!$A$2:$A$1295,0))),"NODE NOT FOUND"))</f>
        <v/>
      </c>
      <c r="M1696" s="17" t="str">
        <f aca="false">IF(B1696="Pre-seeded","Pre-seeded",IF(B1696="Review 2026-09-16","Added from review",IF(C1696="","New",IF(C1696=D1696,"","Changed"))))</f>
        <v>Pre-seeded</v>
      </c>
      <c r="N1696" s="7" t="str">
        <f aca="false">TRIM(SUBSTITUTE(SUBSTITUTE(SUBSTITUTE(" "&amp;TRIM(SUBSTITUTE(SUBSTITUTE(SUBSTITUTE(SUBSTITUTE(SUBSTITUTE(SUBSTITUTE(SUBSTITUTE(SUBSTITUTE(SUBSTITUTE(SUBSTITUTE(SUBSTITUTE(SUBSTITUTE(SUBSTITUTE(SUBSTITUTE(SUBSTITUTE(UPPER(TRIM(A1696)),"[MEMBER]",""),"{MEMBER}",""),"[MEMBER}",""),"MEMBER]",""),"(A)",""),"""",""),"“",""),"”",""),".",""),":",""),",",""),"–"," "),"-"," "),"/"," "),"&amp;"," AND "))&amp;" "," THE "," ")," TOTAL "," ")," OPERATIONS "," "))</f>
        <v>STATE OF KUWAIT</v>
      </c>
      <c r="O1696" s="17" t="str">
        <f aca="false">IF(COUNTIFS($N$2:$N$2000,N1696,$D$2:$D$2000,"&lt;&gt;"&amp;D1696)&gt;0,"CONFLICT","")</f>
        <v/>
      </c>
      <c r="P1696" s="7" t="s">
        <v>1936</v>
      </c>
    </row>
    <row r="1697" customFormat="false" ht="15" hidden="false" customHeight="false" outlineLevel="0" collapsed="false">
      <c r="A1697" s="7" t="s">
        <v>413</v>
      </c>
      <c r="B1697" s="7" t="s">
        <v>1879</v>
      </c>
      <c r="C1697" s="7"/>
      <c r="D1697" s="6" t="s">
        <v>413</v>
      </c>
      <c r="E1697" s="6" t="s">
        <v>1880</v>
      </c>
      <c r="F1697" s="7" t="str">
        <f aca="false">IF($D1697="","",IFERROR(IF(INDEX(Hierarchy!$B$2:$B$1295,MATCH($D1697,Hierarchy!$A$2:$A$1295,0))="","",INDEX(Hierarchy!$B$2:$B$1295,MATCH($D1697,Hierarchy!$A$2:$A$1295,0))),"NODE NOT FOUND"))</f>
        <v>State/Province</v>
      </c>
      <c r="G1697" s="7" t="str">
        <f aca="false">IF($D1697="","",IFERROR(IF(INDEX(Hierarchy!$D$2:$D$1295,MATCH($D1697,Hierarchy!$A$2:$A$1295,0))="","",INDEX(Hierarchy!$D$2:$D$1295,MATCH($D1697,Hierarchy!$A$2:$A$1295,0))),"NODE NOT FOUND"))</f>
        <v>AMER</v>
      </c>
      <c r="H1697" s="7" t="str">
        <f aca="false">IF($D1697="","",IFERROR(IF(INDEX(Hierarchy!$E$2:$E$1295,MATCH($D1697,Hierarchy!$A$2:$A$1295,0))="","",INDEX(Hierarchy!$E$2:$E$1295,MATCH($D1697,Hierarchy!$A$2:$A$1295,0))),"NODE NOT FOUND"))</f>
        <v>Latin America (LATAM)</v>
      </c>
      <c r="I1697" s="7" t="str">
        <f aca="false">IF($D1697="","",IFERROR(IF(INDEX(Hierarchy!$F$2:$F$1295,MATCH($D1697,Hierarchy!$A$2:$A$1295,0))="","",INDEX(Hierarchy!$F$2:$F$1295,MATCH($D1697,Hierarchy!$A$2:$A$1295,0))),"NODE NOT FOUND"))</f>
        <v>Mexico</v>
      </c>
      <c r="J1697" s="7" t="str">
        <f aca="false">IF($D1697="","",IFERROR(IF(INDEX(Hierarchy!$G$2:$G$1295,MATCH($D1697,Hierarchy!$A$2:$A$1295,0))="","",INDEX(Hierarchy!$G$2:$G$1295,MATCH($D1697,Hierarchy!$A$2:$A$1295,0))),"NODE NOT FOUND"))</f>
        <v>MEX</v>
      </c>
      <c r="K1697" s="7" t="str">
        <f aca="false">IF($D1697="","",IFERROR(IF(INDEX(Hierarchy!$H$2:$H$1295,MATCH($D1697,Hierarchy!$A$2:$A$1295,0))="","",INDEX(Hierarchy!$H$2:$H$1295,MATCH($D1697,Hierarchy!$A$2:$A$1295,0))),"NODE NOT FOUND"))</f>
        <v>State of Mexico</v>
      </c>
      <c r="L1697" s="7" t="str">
        <f aca="false">IF($D1697="","",IFERROR(IF(INDEX(Hierarchy!$I$2:$I$1295,MATCH($D1697,Hierarchy!$A$2:$A$1295,0))="","",INDEX(Hierarchy!$I$2:$I$1295,MATCH($D1697,Hierarchy!$A$2:$A$1295,0))),"NODE NOT FOUND"))</f>
        <v/>
      </c>
      <c r="M1697" s="17" t="str">
        <f aca="false">IF(B1697="Pre-seeded","Pre-seeded",IF(B1697="Review 2026-09-16","Added from review",IF(C1697="","New",IF(C1697=D1697,"","Changed"))))</f>
        <v>Pre-seeded</v>
      </c>
      <c r="N1697" s="7" t="str">
        <f aca="false">TRIM(SUBSTITUTE(SUBSTITUTE(SUBSTITUTE(" "&amp;TRIM(SUBSTITUTE(SUBSTITUTE(SUBSTITUTE(SUBSTITUTE(SUBSTITUTE(SUBSTITUTE(SUBSTITUTE(SUBSTITUTE(SUBSTITUTE(SUBSTITUTE(SUBSTITUTE(SUBSTITUTE(SUBSTITUTE(SUBSTITUTE(SUBSTITUTE(UPPER(TRIM(A1697)),"[MEMBER]",""),"{MEMBER}",""),"[MEMBER}",""),"MEMBER]",""),"(A)",""),"""",""),"“",""),"”",""),".",""),":",""),",",""),"–"," "),"-"," "),"/"," "),"&amp;"," AND "))&amp;" "," THE "," ")," TOTAL "," ")," OPERATIONS "," "))</f>
        <v>STATE OF MEXICO</v>
      </c>
      <c r="O1697" s="17" t="str">
        <f aca="false">IF(COUNTIFS($N$2:$N$2000,N1697,$D$2:$D$2000,"&lt;&gt;"&amp;D1697)&gt;0,"CONFLICT","")</f>
        <v/>
      </c>
      <c r="P1697" s="7"/>
    </row>
    <row r="1698" customFormat="false" ht="15" hidden="false" customHeight="false" outlineLevel="0" collapsed="false">
      <c r="A1698" s="7" t="s">
        <v>2737</v>
      </c>
      <c r="B1698" s="7" t="s">
        <v>1879</v>
      </c>
      <c r="C1698" s="7"/>
      <c r="D1698" s="6" t="s">
        <v>1087</v>
      </c>
      <c r="E1698" s="6" t="s">
        <v>1880</v>
      </c>
      <c r="F1698" s="7" t="str">
        <f aca="false">IF($D1698="","",IFERROR(IF(INDEX(Hierarchy!$B$2:$B$1295,MATCH($D1698,Hierarchy!$A$2:$A$1295,0))="","",INDEX(Hierarchy!$B$2:$B$1295,MATCH($D1698,Hierarchy!$A$2:$A$1295,0))),"NODE NOT FOUND"))</f>
        <v>Country</v>
      </c>
      <c r="G1698" s="7" t="str">
        <f aca="false">IF($D1698="","",IFERROR(IF(INDEX(Hierarchy!$D$2:$D$1295,MATCH($D1698,Hierarchy!$A$2:$A$1295,0))="","",INDEX(Hierarchy!$D$2:$D$1295,MATCH($D1698,Hierarchy!$A$2:$A$1295,0))),"NODE NOT FOUND"))</f>
        <v>EMEA</v>
      </c>
      <c r="H1698" s="7" t="str">
        <f aca="false">IF($D1698="","",IFERROR(IF(INDEX(Hierarchy!$E$2:$E$1295,MATCH($D1698,Hierarchy!$A$2:$A$1295,0))="","",INDEX(Hierarchy!$E$2:$E$1295,MATCH($D1698,Hierarchy!$A$2:$A$1295,0))),"NODE NOT FOUND"))</f>
        <v>Middle East</v>
      </c>
      <c r="I1698" s="7" t="str">
        <f aca="false">IF($D1698="","",IFERROR(IF(INDEX(Hierarchy!$F$2:$F$1295,MATCH($D1698,Hierarchy!$A$2:$A$1295,0))="","",INDEX(Hierarchy!$F$2:$F$1295,MATCH($D1698,Hierarchy!$A$2:$A$1295,0))),"NODE NOT FOUND"))</f>
        <v>Qatar</v>
      </c>
      <c r="J1698" s="7" t="str">
        <f aca="false">IF($D1698="","",IFERROR(IF(INDEX(Hierarchy!$G$2:$G$1295,MATCH($D1698,Hierarchy!$A$2:$A$1295,0))="","",INDEX(Hierarchy!$G$2:$G$1295,MATCH($D1698,Hierarchy!$A$2:$A$1295,0))),"NODE NOT FOUND"))</f>
        <v>QAT</v>
      </c>
      <c r="K1698" s="7" t="str">
        <f aca="false">IF($D1698="","",IFERROR(IF(INDEX(Hierarchy!$H$2:$H$1295,MATCH($D1698,Hierarchy!$A$2:$A$1295,0))="","",INDEX(Hierarchy!$H$2:$H$1295,MATCH($D1698,Hierarchy!$A$2:$A$1295,0))),"NODE NOT FOUND"))</f>
        <v/>
      </c>
      <c r="L1698" s="7" t="str">
        <f aca="false">IF($D1698="","",IFERROR(IF(INDEX(Hierarchy!$I$2:$I$1295,MATCH($D1698,Hierarchy!$A$2:$A$1295,0))="","",INDEX(Hierarchy!$I$2:$I$1295,MATCH($D1698,Hierarchy!$A$2:$A$1295,0))),"NODE NOT FOUND"))</f>
        <v/>
      </c>
      <c r="M1698" s="17" t="str">
        <f aca="false">IF(B1698="Pre-seeded","Pre-seeded",IF(B1698="Review 2026-09-16","Added from review",IF(C1698="","New",IF(C1698=D1698,"","Changed"))))</f>
        <v>Pre-seeded</v>
      </c>
      <c r="N1698" s="7" t="str">
        <f aca="false">TRIM(SUBSTITUTE(SUBSTITUTE(SUBSTITUTE(" "&amp;TRIM(SUBSTITUTE(SUBSTITUTE(SUBSTITUTE(SUBSTITUTE(SUBSTITUTE(SUBSTITUTE(SUBSTITUTE(SUBSTITUTE(SUBSTITUTE(SUBSTITUTE(SUBSTITUTE(SUBSTITUTE(SUBSTITUTE(SUBSTITUTE(SUBSTITUTE(UPPER(TRIM(A1698)),"[MEMBER]",""),"{MEMBER}",""),"[MEMBER}",""),"MEMBER]",""),"(A)",""),"""",""),"“",""),"”",""),".",""),":",""),",",""),"–"," "),"-"," "),"/"," "),"&amp;"," AND "))&amp;" "," THE "," ")," TOTAL "," ")," OPERATIONS "," "))</f>
        <v>STATE OF QATAR</v>
      </c>
      <c r="O1698" s="17" t="str">
        <f aca="false">IF(COUNTIFS($N$2:$N$2000,N1698,$D$2:$D$2000,"&lt;&gt;"&amp;D1698)&gt;0,"CONFLICT","")</f>
        <v/>
      </c>
      <c r="P1698" s="7" t="s">
        <v>1936</v>
      </c>
    </row>
    <row r="1699" customFormat="false" ht="15" hidden="false" customHeight="false" outlineLevel="0" collapsed="false">
      <c r="A1699" s="7" t="s">
        <v>2738</v>
      </c>
      <c r="B1699" s="7" t="s">
        <v>1879</v>
      </c>
      <c r="C1699" s="7"/>
      <c r="D1699" s="6" t="s">
        <v>753</v>
      </c>
      <c r="E1699" s="6" t="s">
        <v>1880</v>
      </c>
      <c r="F1699" s="7" t="str">
        <f aca="false">IF($D1699="","",IFERROR(IF(INDEX(Hierarchy!$B$2:$B$1295,MATCH($D1699,Hierarchy!$A$2:$A$1295,0))="","",INDEX(Hierarchy!$B$2:$B$1295,MATCH($D1699,Hierarchy!$A$2:$A$1295,0))),"NODE NOT FOUND"))</f>
        <v>State/Province</v>
      </c>
      <c r="G1699" s="7" t="str">
        <f aca="false">IF($D1699="","",IFERROR(IF(INDEX(Hierarchy!$D$2:$D$1295,MATCH($D1699,Hierarchy!$A$2:$A$1295,0))="","",INDEX(Hierarchy!$D$2:$D$1295,MATCH($D1699,Hierarchy!$A$2:$A$1295,0))),"NODE NOT FOUND"))</f>
        <v>EMEA</v>
      </c>
      <c r="H1699" s="7" t="str">
        <f aca="false">IF($D1699="","",IFERROR(IF(INDEX(Hierarchy!$E$2:$E$1295,MATCH($D1699,Hierarchy!$A$2:$A$1295,0))="","",INDEX(Hierarchy!$E$2:$E$1295,MATCH($D1699,Hierarchy!$A$2:$A$1295,0))),"NODE NOT FOUND"))</f>
        <v>Europe</v>
      </c>
      <c r="I1699" s="7" t="str">
        <f aca="false">IF($D1699="","",IFERROR(IF(INDEX(Hierarchy!$F$2:$F$1295,MATCH($D1699,Hierarchy!$A$2:$A$1295,0))="","",INDEX(Hierarchy!$F$2:$F$1295,MATCH($D1699,Hierarchy!$A$2:$A$1295,0))),"NODE NOT FOUND"))</f>
        <v>Austria</v>
      </c>
      <c r="J1699" s="7" t="str">
        <f aca="false">IF($D1699="","",IFERROR(IF(INDEX(Hierarchy!$G$2:$G$1295,MATCH($D1699,Hierarchy!$A$2:$A$1295,0))="","",INDEX(Hierarchy!$G$2:$G$1295,MATCH($D1699,Hierarchy!$A$2:$A$1295,0))),"NODE NOT FOUND"))</f>
        <v>AUT</v>
      </c>
      <c r="K1699" s="7" t="str">
        <f aca="false">IF($D1699="","",IFERROR(IF(INDEX(Hierarchy!$H$2:$H$1295,MATCH($D1699,Hierarchy!$A$2:$A$1295,0))="","",INDEX(Hierarchy!$H$2:$H$1295,MATCH($D1699,Hierarchy!$A$2:$A$1295,0))),"NODE NOT FOUND"))</f>
        <v>Styria</v>
      </c>
      <c r="L1699" s="7" t="str">
        <f aca="false">IF($D1699="","",IFERROR(IF(INDEX(Hierarchy!$I$2:$I$1295,MATCH($D1699,Hierarchy!$A$2:$A$1295,0))="","",INDEX(Hierarchy!$I$2:$I$1295,MATCH($D1699,Hierarchy!$A$2:$A$1295,0))),"NODE NOT FOUND"))</f>
        <v/>
      </c>
      <c r="M1699" s="17" t="str">
        <f aca="false">IF(B1699="Pre-seeded","Pre-seeded",IF(B1699="Review 2026-09-16","Added from review",IF(C1699="","New",IF(C1699=D1699,"","Changed"))))</f>
        <v>Pre-seeded</v>
      </c>
      <c r="N1699" s="7" t="str">
        <f aca="false">TRIM(SUBSTITUTE(SUBSTITUTE(SUBSTITUTE(" "&amp;TRIM(SUBSTITUTE(SUBSTITUTE(SUBSTITUTE(SUBSTITUTE(SUBSTITUTE(SUBSTITUTE(SUBSTITUTE(SUBSTITUTE(SUBSTITUTE(SUBSTITUTE(SUBSTITUTE(SUBSTITUTE(SUBSTITUTE(SUBSTITUTE(SUBSTITUTE(UPPER(TRIM(A1699)),"[MEMBER]",""),"{MEMBER}",""),"[MEMBER}",""),"MEMBER]",""),"(A)",""),"""",""),"“",""),"”",""),".",""),":",""),",",""),"–"," "),"-"," "),"/"," "),"&amp;"," AND "))&amp;" "," THE "," ")," TOTAL "," ")," OPERATIONS "," "))</f>
        <v>STEIERMARK</v>
      </c>
      <c r="O1699" s="17" t="str">
        <f aca="false">IF(COUNTIFS($N$2:$N$2000,N1699,$D$2:$D$2000,"&lt;&gt;"&amp;D1699)&gt;0,"CONFLICT","")</f>
        <v/>
      </c>
      <c r="P1699" s="7"/>
    </row>
    <row r="1700" customFormat="false" ht="15" hidden="false" customHeight="false" outlineLevel="0" collapsed="false">
      <c r="A1700" s="7" t="s">
        <v>753</v>
      </c>
      <c r="B1700" s="7" t="s">
        <v>1879</v>
      </c>
      <c r="C1700" s="7"/>
      <c r="D1700" s="6" t="s">
        <v>753</v>
      </c>
      <c r="E1700" s="6" t="s">
        <v>1880</v>
      </c>
      <c r="F1700" s="7" t="str">
        <f aca="false">IF($D1700="","",IFERROR(IF(INDEX(Hierarchy!$B$2:$B$1295,MATCH($D1700,Hierarchy!$A$2:$A$1295,0))="","",INDEX(Hierarchy!$B$2:$B$1295,MATCH($D1700,Hierarchy!$A$2:$A$1295,0))),"NODE NOT FOUND"))</f>
        <v>State/Province</v>
      </c>
      <c r="G1700" s="7" t="str">
        <f aca="false">IF($D1700="","",IFERROR(IF(INDEX(Hierarchy!$D$2:$D$1295,MATCH($D1700,Hierarchy!$A$2:$A$1295,0))="","",INDEX(Hierarchy!$D$2:$D$1295,MATCH($D1700,Hierarchy!$A$2:$A$1295,0))),"NODE NOT FOUND"))</f>
        <v>EMEA</v>
      </c>
      <c r="H1700" s="7" t="str">
        <f aca="false">IF($D1700="","",IFERROR(IF(INDEX(Hierarchy!$E$2:$E$1295,MATCH($D1700,Hierarchy!$A$2:$A$1295,0))="","",INDEX(Hierarchy!$E$2:$E$1295,MATCH($D1700,Hierarchy!$A$2:$A$1295,0))),"NODE NOT FOUND"))</f>
        <v>Europe</v>
      </c>
      <c r="I1700" s="7" t="str">
        <f aca="false">IF($D1700="","",IFERROR(IF(INDEX(Hierarchy!$F$2:$F$1295,MATCH($D1700,Hierarchy!$A$2:$A$1295,0))="","",INDEX(Hierarchy!$F$2:$F$1295,MATCH($D1700,Hierarchy!$A$2:$A$1295,0))),"NODE NOT FOUND"))</f>
        <v>Austria</v>
      </c>
      <c r="J1700" s="7" t="str">
        <f aca="false">IF($D1700="","",IFERROR(IF(INDEX(Hierarchy!$G$2:$G$1295,MATCH($D1700,Hierarchy!$A$2:$A$1295,0))="","",INDEX(Hierarchy!$G$2:$G$1295,MATCH($D1700,Hierarchy!$A$2:$A$1295,0))),"NODE NOT FOUND"))</f>
        <v>AUT</v>
      </c>
      <c r="K1700" s="7" t="str">
        <f aca="false">IF($D1700="","",IFERROR(IF(INDEX(Hierarchy!$H$2:$H$1295,MATCH($D1700,Hierarchy!$A$2:$A$1295,0))="","",INDEX(Hierarchy!$H$2:$H$1295,MATCH($D1700,Hierarchy!$A$2:$A$1295,0))),"NODE NOT FOUND"))</f>
        <v>Styria</v>
      </c>
      <c r="L1700" s="7" t="str">
        <f aca="false">IF($D1700="","",IFERROR(IF(INDEX(Hierarchy!$I$2:$I$1295,MATCH($D1700,Hierarchy!$A$2:$A$1295,0))="","",INDEX(Hierarchy!$I$2:$I$1295,MATCH($D1700,Hierarchy!$A$2:$A$1295,0))),"NODE NOT FOUND"))</f>
        <v/>
      </c>
      <c r="M1700" s="17" t="str">
        <f aca="false">IF(B1700="Pre-seeded","Pre-seeded",IF(B1700="Review 2026-09-16","Added from review",IF(C1700="","New",IF(C1700=D1700,"","Changed"))))</f>
        <v>Pre-seeded</v>
      </c>
      <c r="N1700" s="7" t="str">
        <f aca="false">TRIM(SUBSTITUTE(SUBSTITUTE(SUBSTITUTE(" "&amp;TRIM(SUBSTITUTE(SUBSTITUTE(SUBSTITUTE(SUBSTITUTE(SUBSTITUTE(SUBSTITUTE(SUBSTITUTE(SUBSTITUTE(SUBSTITUTE(SUBSTITUTE(SUBSTITUTE(SUBSTITUTE(SUBSTITUTE(SUBSTITUTE(SUBSTITUTE(UPPER(TRIM(A1700)),"[MEMBER]",""),"{MEMBER}",""),"[MEMBER}",""),"MEMBER]",""),"(A)",""),"""",""),"“",""),"”",""),".",""),":",""),",",""),"–"," "),"-"," "),"/"," "),"&amp;"," AND "))&amp;" "," THE "," ")," TOTAL "," ")," OPERATIONS "," "))</f>
        <v>STYRIA</v>
      </c>
      <c r="O1700" s="17" t="str">
        <f aca="false">IF(COUNTIFS($N$2:$N$2000,N1700,$D$2:$D$2000,"&lt;&gt;"&amp;D1700)&gt;0,"CONFLICT","")</f>
        <v/>
      </c>
      <c r="P1700" s="7"/>
    </row>
    <row r="1701" customFormat="false" ht="15" hidden="false" customHeight="false" outlineLevel="0" collapsed="false">
      <c r="A1701" s="7" t="s">
        <v>1114</v>
      </c>
      <c r="B1701" s="7" t="s">
        <v>1879</v>
      </c>
      <c r="C1701" s="7"/>
      <c r="D1701" s="6" t="s">
        <v>1098</v>
      </c>
      <c r="E1701" s="6" t="s">
        <v>1880</v>
      </c>
      <c r="F1701" s="7" t="str">
        <f aca="false">IF($D1701="","",IFERROR(IF(INDEX(Hierarchy!$B$2:$B$1295,MATCH($D1701,Hierarchy!$A$2:$A$1295,0))="","",INDEX(Hierarchy!$B$2:$B$1295,MATCH($D1701,Hierarchy!$A$2:$A$1295,0))),"NODE NOT FOUND"))</f>
        <v>Sub-region component</v>
      </c>
      <c r="G1701" s="7" t="str">
        <f aca="false">IF($D1701="","",IFERROR(IF(INDEX(Hierarchy!$D$2:$D$1295,MATCH($D1701,Hierarchy!$A$2:$A$1295,0))="","",INDEX(Hierarchy!$D$2:$D$1295,MATCH($D1701,Hierarchy!$A$2:$A$1295,0))),"NODE NOT FOUND"))</f>
        <v>EMEA</v>
      </c>
      <c r="H1701" s="7" t="str">
        <f aca="false">IF($D1701="","",IFERROR(IF(INDEX(Hierarchy!$E$2:$E$1295,MATCH($D1701,Hierarchy!$A$2:$A$1295,0))="","",INDEX(Hierarchy!$E$2:$E$1295,MATCH($D1701,Hierarchy!$A$2:$A$1295,0))),"NODE NOT FOUND"))</f>
        <v>Africa</v>
      </c>
      <c r="I1701" s="7" t="str">
        <f aca="false">IF($D1701="","",IFERROR(IF(INDEX(Hierarchy!$F$2:$F$1295,MATCH($D1701,Hierarchy!$A$2:$A$1295,0))="","",INDEX(Hierarchy!$F$2:$F$1295,MATCH($D1701,Hierarchy!$A$2:$A$1295,0))),"NODE NOT FOUND"))</f>
        <v/>
      </c>
      <c r="J1701" s="7" t="str">
        <f aca="false">IF($D1701="","",IFERROR(IF(INDEX(Hierarchy!$G$2:$G$1295,MATCH($D1701,Hierarchy!$A$2:$A$1295,0))="","",INDEX(Hierarchy!$G$2:$G$1295,MATCH($D1701,Hierarchy!$A$2:$A$1295,0))),"NODE NOT FOUND"))</f>
        <v/>
      </c>
      <c r="K1701" s="7" t="str">
        <f aca="false">IF($D1701="","",IFERROR(IF(INDEX(Hierarchy!$H$2:$H$1295,MATCH($D1701,Hierarchy!$A$2:$A$1295,0))="","",INDEX(Hierarchy!$H$2:$H$1295,MATCH($D1701,Hierarchy!$A$2:$A$1295,0))),"NODE NOT FOUND"))</f>
        <v/>
      </c>
      <c r="L1701" s="7" t="str">
        <f aca="false">IF($D1701="","",IFERROR(IF(INDEX(Hierarchy!$I$2:$I$1295,MATCH($D1701,Hierarchy!$A$2:$A$1295,0))="","",INDEX(Hierarchy!$I$2:$I$1295,MATCH($D1701,Hierarchy!$A$2:$A$1295,0))),"NODE NOT FOUND"))</f>
        <v/>
      </c>
      <c r="M1701" s="17" t="str">
        <f aca="false">IF(B1701="Pre-seeded","Pre-seeded",IF(B1701="Review 2026-09-16","Added from review",IF(C1701="","New",IF(C1701=D1701,"","Changed"))))</f>
        <v>Pre-seeded</v>
      </c>
      <c r="N1701" s="7" t="str">
        <f aca="false">TRIM(SUBSTITUTE(SUBSTITUTE(SUBSTITUTE(" "&amp;TRIM(SUBSTITUTE(SUBSTITUTE(SUBSTITUTE(SUBSTITUTE(SUBSTITUTE(SUBSTITUTE(SUBSTITUTE(SUBSTITUTE(SUBSTITUTE(SUBSTITUTE(SUBSTITUTE(SUBSTITUTE(SUBSTITUTE(SUBSTITUTE(SUBSTITUTE(UPPER(TRIM(A1701)),"[MEMBER]",""),"{MEMBER}",""),"[MEMBER}",""),"MEMBER]",""),"(A)",""),"""",""),"“",""),"”",""),".",""),":",""),",",""),"–"," "),"-"," "),"/"," "),"&amp;"," AND "))&amp;" "," THE "," ")," TOTAL "," ")," OPERATIONS "," "))</f>
        <v>SUB SAHARAN AFRICA</v>
      </c>
      <c r="O1701" s="17" t="str">
        <f aca="false">IF(COUNTIFS($N$2:$N$2000,N1701,$D$2:$D$2000,"&lt;&gt;"&amp;D1701)&gt;0,"CONFLICT","")</f>
        <v/>
      </c>
      <c r="P1701" s="7"/>
    </row>
    <row r="1702" customFormat="false" ht="15" hidden="false" customHeight="false" outlineLevel="0" collapsed="false">
      <c r="A1702" s="7" t="s">
        <v>1098</v>
      </c>
      <c r="B1702" s="7" t="s">
        <v>1879</v>
      </c>
      <c r="C1702" s="7"/>
      <c r="D1702" s="6" t="s">
        <v>1098</v>
      </c>
      <c r="E1702" s="6" t="s">
        <v>1880</v>
      </c>
      <c r="F1702" s="7" t="str">
        <f aca="false">IF($D1702="","",IFERROR(IF(INDEX(Hierarchy!$B$2:$B$1295,MATCH($D1702,Hierarchy!$A$2:$A$1295,0))="","",INDEX(Hierarchy!$B$2:$B$1295,MATCH($D1702,Hierarchy!$A$2:$A$1295,0))),"NODE NOT FOUND"))</f>
        <v>Sub-region component</v>
      </c>
      <c r="G1702" s="7" t="str">
        <f aca="false">IF($D1702="","",IFERROR(IF(INDEX(Hierarchy!$D$2:$D$1295,MATCH($D1702,Hierarchy!$A$2:$A$1295,0))="","",INDEX(Hierarchy!$D$2:$D$1295,MATCH($D1702,Hierarchy!$A$2:$A$1295,0))),"NODE NOT FOUND"))</f>
        <v>EMEA</v>
      </c>
      <c r="H1702" s="7" t="str">
        <f aca="false">IF($D1702="","",IFERROR(IF(INDEX(Hierarchy!$E$2:$E$1295,MATCH($D1702,Hierarchy!$A$2:$A$1295,0))="","",INDEX(Hierarchy!$E$2:$E$1295,MATCH($D1702,Hierarchy!$A$2:$A$1295,0))),"NODE NOT FOUND"))</f>
        <v>Africa</v>
      </c>
      <c r="I1702" s="7" t="str">
        <f aca="false">IF($D1702="","",IFERROR(IF(INDEX(Hierarchy!$F$2:$F$1295,MATCH($D1702,Hierarchy!$A$2:$A$1295,0))="","",INDEX(Hierarchy!$F$2:$F$1295,MATCH($D1702,Hierarchy!$A$2:$A$1295,0))),"NODE NOT FOUND"))</f>
        <v/>
      </c>
      <c r="J1702" s="7" t="str">
        <f aca="false">IF($D1702="","",IFERROR(IF(INDEX(Hierarchy!$G$2:$G$1295,MATCH($D1702,Hierarchy!$A$2:$A$1295,0))="","",INDEX(Hierarchy!$G$2:$G$1295,MATCH($D1702,Hierarchy!$A$2:$A$1295,0))),"NODE NOT FOUND"))</f>
        <v/>
      </c>
      <c r="K1702" s="7" t="str">
        <f aca="false">IF($D1702="","",IFERROR(IF(INDEX(Hierarchy!$H$2:$H$1295,MATCH($D1702,Hierarchy!$A$2:$A$1295,0))="","",INDEX(Hierarchy!$H$2:$H$1295,MATCH($D1702,Hierarchy!$A$2:$A$1295,0))),"NODE NOT FOUND"))</f>
        <v/>
      </c>
      <c r="L1702" s="7" t="str">
        <f aca="false">IF($D1702="","",IFERROR(IF(INDEX(Hierarchy!$I$2:$I$1295,MATCH($D1702,Hierarchy!$A$2:$A$1295,0))="","",INDEX(Hierarchy!$I$2:$I$1295,MATCH($D1702,Hierarchy!$A$2:$A$1295,0))),"NODE NOT FOUND"))</f>
        <v/>
      </c>
      <c r="M1702" s="17" t="str">
        <f aca="false">IF(B1702="Pre-seeded","Pre-seeded",IF(B1702="Review 2026-09-16","Added from review",IF(C1702="","New",IF(C1702=D1702,"","Changed"))))</f>
        <v>Pre-seeded</v>
      </c>
      <c r="N1702" s="7" t="str">
        <f aca="false">TRIM(SUBSTITUTE(SUBSTITUTE(SUBSTITUTE(" "&amp;TRIM(SUBSTITUTE(SUBSTITUTE(SUBSTITUTE(SUBSTITUTE(SUBSTITUTE(SUBSTITUTE(SUBSTITUTE(SUBSTITUTE(SUBSTITUTE(SUBSTITUTE(SUBSTITUTE(SUBSTITUTE(SUBSTITUTE(SUBSTITUTE(SUBSTITUTE(UPPER(TRIM(A1702)),"[MEMBER]",""),"{MEMBER}",""),"[MEMBER}",""),"MEMBER]",""),"(A)",""),"""",""),"“",""),"”",""),".",""),":",""),",",""),"–"," "),"-"," "),"/"," "),"&amp;"," AND "))&amp;" "," THE "," ")," TOTAL "," ")," OPERATIONS "," "))</f>
        <v>SUB SAHARAN AFRICA (SSA)</v>
      </c>
      <c r="O1702" s="17" t="str">
        <f aca="false">IF(COUNTIFS($N$2:$N$2000,N1702,$D$2:$D$2000,"&lt;&gt;"&amp;D1702)&gt;0,"CONFLICT","")</f>
        <v/>
      </c>
      <c r="P1702" s="7"/>
    </row>
    <row r="1703" customFormat="false" ht="15" hidden="false" customHeight="false" outlineLevel="0" collapsed="false">
      <c r="A1703" s="7" t="s">
        <v>1858</v>
      </c>
      <c r="B1703" s="7" t="s">
        <v>1879</v>
      </c>
      <c r="C1703" s="7"/>
      <c r="D1703" s="6" t="s">
        <v>1858</v>
      </c>
      <c r="E1703" s="6" t="s">
        <v>1880</v>
      </c>
      <c r="F1703" s="7" t="str">
        <f aca="false">IF($D1703="","",IFERROR(IF(INDEX(Hierarchy!$B$2:$B$1295,MATCH($D1703,Hierarchy!$A$2:$A$1295,0))="","",INDEX(Hierarchy!$B$2:$B$1295,MATCH($D1703,Hierarchy!$A$2:$A$1295,0))),"NODE NOT FOUND"))</f>
        <v>Reference grouping</v>
      </c>
      <c r="G1703" s="7" t="str">
        <f aca="false">IF($D1703="","",IFERROR(IF(INDEX(Hierarchy!$D$2:$D$1295,MATCH($D1703,Hierarchy!$A$2:$A$1295,0))="","",INDEX(Hierarchy!$D$2:$D$1295,MATCH($D1703,Hierarchy!$A$2:$A$1295,0))),"NODE NOT FOUND"))</f>
        <v>Reference (UN / World Bank)</v>
      </c>
      <c r="H1703" s="7" t="str">
        <f aca="false">IF($D1703="","",IFERROR(IF(INDEX(Hierarchy!$E$2:$E$1295,MATCH($D1703,Hierarchy!$A$2:$A$1295,0))="","",INDEX(Hierarchy!$E$2:$E$1295,MATCH($D1703,Hierarchy!$A$2:$A$1295,0))),"NODE NOT FOUND"))</f>
        <v/>
      </c>
      <c r="I1703" s="7" t="str">
        <f aca="false">IF($D1703="","",IFERROR(IF(INDEX(Hierarchy!$F$2:$F$1295,MATCH($D1703,Hierarchy!$A$2:$A$1295,0))="","",INDEX(Hierarchy!$F$2:$F$1295,MATCH($D1703,Hierarchy!$A$2:$A$1295,0))),"NODE NOT FOUND"))</f>
        <v/>
      </c>
      <c r="J1703" s="7" t="str">
        <f aca="false">IF($D1703="","",IFERROR(IF(INDEX(Hierarchy!$G$2:$G$1295,MATCH($D1703,Hierarchy!$A$2:$A$1295,0))="","",INDEX(Hierarchy!$G$2:$G$1295,MATCH($D1703,Hierarchy!$A$2:$A$1295,0))),"NODE NOT FOUND"))</f>
        <v/>
      </c>
      <c r="K1703" s="7" t="str">
        <f aca="false">IF($D1703="","",IFERROR(IF(INDEX(Hierarchy!$H$2:$H$1295,MATCH($D1703,Hierarchy!$A$2:$A$1295,0))="","",INDEX(Hierarchy!$H$2:$H$1295,MATCH($D1703,Hierarchy!$A$2:$A$1295,0))),"NODE NOT FOUND"))</f>
        <v/>
      </c>
      <c r="L1703" s="7" t="str">
        <f aca="false">IF($D1703="","",IFERROR(IF(INDEX(Hierarchy!$I$2:$I$1295,MATCH($D1703,Hierarchy!$A$2:$A$1295,0))="","",INDEX(Hierarchy!$I$2:$I$1295,MATCH($D1703,Hierarchy!$A$2:$A$1295,0))),"NODE NOT FOUND"))</f>
        <v/>
      </c>
      <c r="M1703" s="17" t="str">
        <f aca="false">IF(B1703="Pre-seeded","Pre-seeded",IF(B1703="Review 2026-09-16","Added from review",IF(C1703="","New",IF(C1703=D1703,"","Changed"))))</f>
        <v>Pre-seeded</v>
      </c>
      <c r="N1703" s="7" t="str">
        <f aca="false">TRIM(SUBSTITUTE(SUBSTITUTE(SUBSTITUTE(" "&amp;TRIM(SUBSTITUTE(SUBSTITUTE(SUBSTITUTE(SUBSTITUTE(SUBSTITUTE(SUBSTITUTE(SUBSTITUTE(SUBSTITUTE(SUBSTITUTE(SUBSTITUTE(SUBSTITUTE(SUBSTITUTE(SUBSTITUTE(SUBSTITUTE(SUBSTITUTE(UPPER(TRIM(A1703)),"[MEMBER]",""),"{MEMBER}",""),"[MEMBER}",""),"MEMBER]",""),"(A)",""),"""",""),"“",""),"”",""),".",""),":",""),",",""),"–"," "),"-"," "),"/"," "),"&amp;"," AND "))&amp;" "," THE "," ")," TOTAL "," ")," OPERATIONS "," "))</f>
        <v>SUB SAHARAN AFRICA (WORLD BANK)</v>
      </c>
      <c r="O1703" s="17" t="str">
        <f aca="false">IF(COUNTIFS($N$2:$N$2000,N1703,$D$2:$D$2000,"&lt;&gt;"&amp;D1703)&gt;0,"CONFLICT","")</f>
        <v/>
      </c>
      <c r="P1703" s="7"/>
    </row>
    <row r="1704" customFormat="false" ht="15" hidden="false" customHeight="false" outlineLevel="0" collapsed="false">
      <c r="A1704" s="7" t="s">
        <v>921</v>
      </c>
      <c r="B1704" s="7" t="s">
        <v>1879</v>
      </c>
      <c r="C1704" s="7"/>
      <c r="D1704" s="6" t="s">
        <v>921</v>
      </c>
      <c r="E1704" s="6" t="s">
        <v>1880</v>
      </c>
      <c r="F1704" s="7" t="str">
        <f aca="false">IF($D1704="","",IFERROR(IF(INDEX(Hierarchy!$B$2:$B$1295,MATCH($D1704,Hierarchy!$A$2:$A$1295,0))="","",INDEX(Hierarchy!$B$2:$B$1295,MATCH($D1704,Hierarchy!$A$2:$A$1295,0))),"NODE NOT FOUND"))</f>
        <v>State/Province</v>
      </c>
      <c r="G1704" s="7" t="str">
        <f aca="false">IF($D1704="","",IFERROR(IF(INDEX(Hierarchy!$D$2:$D$1295,MATCH($D1704,Hierarchy!$A$2:$A$1295,0))="","",INDEX(Hierarchy!$D$2:$D$1295,MATCH($D1704,Hierarchy!$A$2:$A$1295,0))),"NODE NOT FOUND"))</f>
        <v>EMEA</v>
      </c>
      <c r="H1704" s="7" t="str">
        <f aca="false">IF($D1704="","",IFERROR(IF(INDEX(Hierarchy!$E$2:$E$1295,MATCH($D1704,Hierarchy!$A$2:$A$1295,0))="","",INDEX(Hierarchy!$E$2:$E$1295,MATCH($D1704,Hierarchy!$A$2:$A$1295,0))),"NODE NOT FOUND"))</f>
        <v>Europe</v>
      </c>
      <c r="I1704" s="7" t="str">
        <f aca="false">IF($D1704="","",IFERROR(IF(INDEX(Hierarchy!$F$2:$F$1295,MATCH($D1704,Hierarchy!$A$2:$A$1295,0))="","",INDEX(Hierarchy!$F$2:$F$1295,MATCH($D1704,Hierarchy!$A$2:$A$1295,0))),"NODE NOT FOUND"))</f>
        <v>Poland</v>
      </c>
      <c r="J1704" s="7" t="str">
        <f aca="false">IF($D1704="","",IFERROR(IF(INDEX(Hierarchy!$G$2:$G$1295,MATCH($D1704,Hierarchy!$A$2:$A$1295,0))="","",INDEX(Hierarchy!$G$2:$G$1295,MATCH($D1704,Hierarchy!$A$2:$A$1295,0))),"NODE NOT FOUND"))</f>
        <v>POL</v>
      </c>
      <c r="K1704" s="7" t="str">
        <f aca="false">IF($D1704="","",IFERROR(IF(INDEX(Hierarchy!$H$2:$H$1295,MATCH($D1704,Hierarchy!$A$2:$A$1295,0))="","",INDEX(Hierarchy!$H$2:$H$1295,MATCH($D1704,Hierarchy!$A$2:$A$1295,0))),"NODE NOT FOUND"))</f>
        <v>Subcarpathian</v>
      </c>
      <c r="L1704" s="7" t="str">
        <f aca="false">IF($D1704="","",IFERROR(IF(INDEX(Hierarchy!$I$2:$I$1295,MATCH($D1704,Hierarchy!$A$2:$A$1295,0))="","",INDEX(Hierarchy!$I$2:$I$1295,MATCH($D1704,Hierarchy!$A$2:$A$1295,0))),"NODE NOT FOUND"))</f>
        <v/>
      </c>
      <c r="M1704" s="17" t="str">
        <f aca="false">IF(B1704="Pre-seeded","Pre-seeded",IF(B1704="Review 2026-09-16","Added from review",IF(C1704="","New",IF(C1704=D1704,"","Changed"))))</f>
        <v>Pre-seeded</v>
      </c>
      <c r="N1704" s="7" t="str">
        <f aca="false">TRIM(SUBSTITUTE(SUBSTITUTE(SUBSTITUTE(" "&amp;TRIM(SUBSTITUTE(SUBSTITUTE(SUBSTITUTE(SUBSTITUTE(SUBSTITUTE(SUBSTITUTE(SUBSTITUTE(SUBSTITUTE(SUBSTITUTE(SUBSTITUTE(SUBSTITUTE(SUBSTITUTE(SUBSTITUTE(SUBSTITUTE(SUBSTITUTE(UPPER(TRIM(A1704)),"[MEMBER]",""),"{MEMBER}",""),"[MEMBER}",""),"MEMBER]",""),"(A)",""),"""",""),"“",""),"”",""),".",""),":",""),",",""),"–"," "),"-"," "),"/"," "),"&amp;"," AND "))&amp;" "," THE "," ")," TOTAL "," ")," OPERATIONS "," "))</f>
        <v>SUBCARPATHIAN</v>
      </c>
      <c r="O1704" s="17" t="str">
        <f aca="false">IF(COUNTIFS($N$2:$N$2000,N1704,$D$2:$D$2000,"&lt;&gt;"&amp;D1704)&gt;0,"CONFLICT","")</f>
        <v/>
      </c>
      <c r="P1704" s="7"/>
    </row>
    <row r="1705" customFormat="false" ht="15" hidden="false" customHeight="false" outlineLevel="0" collapsed="false">
      <c r="A1705" s="7" t="s">
        <v>2739</v>
      </c>
      <c r="B1705" s="7" t="s">
        <v>1954</v>
      </c>
      <c r="C1705" s="7"/>
      <c r="D1705" s="6" t="s">
        <v>1784</v>
      </c>
      <c r="E1705" s="6" t="s">
        <v>1880</v>
      </c>
      <c r="F1705" s="7" t="str">
        <f aca="false">IF($D1705="","",IFERROR(IF(INDEX(Hierarchy!$B$2:$B$1295,MATCH($D1705,Hierarchy!$A$2:$A$1295,0))="","",INDEX(Hierarchy!$B$2:$B$1295,MATCH($D1705,Hierarchy!$A$2:$A$1295,0))),"NODE NOT FOUND"))</f>
        <v>Bucket</v>
      </c>
      <c r="G1705" s="7" t="str">
        <f aca="false">IF($D1705="","",IFERROR(IF(INDEX(Hierarchy!$D$2:$D$1295,MATCH($D1705,Hierarchy!$A$2:$A$1295,0))="","",INDEX(Hierarchy!$D$2:$D$1295,MATCH($D1705,Hierarchy!$A$2:$A$1295,0))),"NODE NOT FOUND"))</f>
        <v>Non-regional</v>
      </c>
      <c r="H1705" s="7" t="str">
        <f aca="false">IF($D1705="","",IFERROR(IF(INDEX(Hierarchy!$E$2:$E$1295,MATCH($D1705,Hierarchy!$A$2:$A$1295,0))="","",INDEX(Hierarchy!$E$2:$E$1295,MATCH($D1705,Hierarchy!$A$2:$A$1295,0))),"NODE NOT FOUND"))</f>
        <v/>
      </c>
      <c r="I1705" s="7" t="str">
        <f aca="false">IF($D1705="","",IFERROR(IF(INDEX(Hierarchy!$F$2:$F$1295,MATCH($D1705,Hierarchy!$A$2:$A$1295,0))="","",INDEX(Hierarchy!$F$2:$F$1295,MATCH($D1705,Hierarchy!$A$2:$A$1295,0))),"NODE NOT FOUND"))</f>
        <v/>
      </c>
      <c r="J1705" s="7" t="str">
        <f aca="false">IF($D1705="","",IFERROR(IF(INDEX(Hierarchy!$G$2:$G$1295,MATCH($D1705,Hierarchy!$A$2:$A$1295,0))="","",INDEX(Hierarchy!$G$2:$G$1295,MATCH($D1705,Hierarchy!$A$2:$A$1295,0))),"NODE NOT FOUND"))</f>
        <v/>
      </c>
      <c r="K1705" s="7" t="str">
        <f aca="false">IF($D1705="","",IFERROR(IF(INDEX(Hierarchy!$H$2:$H$1295,MATCH($D1705,Hierarchy!$A$2:$A$1295,0))="","",INDEX(Hierarchy!$H$2:$H$1295,MATCH($D1705,Hierarchy!$A$2:$A$1295,0))),"NODE NOT FOUND"))</f>
        <v/>
      </c>
      <c r="L1705" s="7" t="str">
        <f aca="false">IF($D1705="","",IFERROR(IF(INDEX(Hierarchy!$I$2:$I$1295,MATCH($D1705,Hierarchy!$A$2:$A$1295,0))="","",INDEX(Hierarchy!$I$2:$I$1295,MATCH($D1705,Hierarchy!$A$2:$A$1295,0))),"NODE NOT FOUND"))</f>
        <v/>
      </c>
      <c r="M1705" s="17" t="str">
        <f aca="false">IF(B1705="Pre-seeded","Pre-seeded",IF(B1705="Review 2026-09-16","Added from review",IF(C1705="","New",IF(C1705=D1705,"","Changed"))))</f>
        <v>Added from review</v>
      </c>
      <c r="N1705" s="7" t="str">
        <f aca="false">TRIM(SUBSTITUTE(SUBSTITUTE(SUBSTITUTE(" "&amp;TRIM(SUBSTITUTE(SUBSTITUTE(SUBSTITUTE(SUBSTITUTE(SUBSTITUTE(SUBSTITUTE(SUBSTITUTE(SUBSTITUTE(SUBSTITUTE(SUBSTITUTE(SUBSTITUTE(SUBSTITUTE(SUBSTITUTE(SUBSTITUTE(SUBSTITUTE(UPPER(TRIM(A1705)),"[MEMBER]",""),"{MEMBER}",""),"[MEMBER}",""),"MEMBER]",""),"(A)",""),"""",""),"“",""),"”",""),".",""),":",""),",",""),"–"," "),"-"," "),"/"," "),"&amp;"," AND "))&amp;" "," THE "," ")," TOTAL "," ")," OPERATIONS "," "))</f>
        <v>SUBTOTAL ALL FOREIGN COUNTRIES</v>
      </c>
      <c r="O1705" s="17" t="str">
        <f aca="false">IF(COUNTIFS($N$2:$N$2000,N1705,$D$2:$D$2000,"&lt;&gt;"&amp;D1705)&gt;0,"CONFLICT","")</f>
        <v/>
      </c>
      <c r="P1705" s="7" t="s">
        <v>1968</v>
      </c>
    </row>
    <row r="1706" customFormat="false" ht="15" hidden="false" customHeight="false" outlineLevel="0" collapsed="false">
      <c r="A1706" s="7" t="s">
        <v>2740</v>
      </c>
      <c r="B1706" s="7" t="s">
        <v>1885</v>
      </c>
      <c r="C1706" s="7" t="s">
        <v>1894</v>
      </c>
      <c r="D1706" s="6" t="s">
        <v>1784</v>
      </c>
      <c r="E1706" s="6" t="s">
        <v>1880</v>
      </c>
      <c r="F1706" s="7" t="str">
        <f aca="false">IF($D1706="","",IFERROR(IF(INDEX(Hierarchy!$B$2:$B$1295,MATCH($D1706,Hierarchy!$A$2:$A$1295,0))="","",INDEX(Hierarchy!$B$2:$B$1295,MATCH($D1706,Hierarchy!$A$2:$A$1295,0))),"NODE NOT FOUND"))</f>
        <v>Bucket</v>
      </c>
      <c r="G1706" s="7" t="str">
        <f aca="false">IF($D1706="","",IFERROR(IF(INDEX(Hierarchy!$D$2:$D$1295,MATCH($D1706,Hierarchy!$A$2:$A$1295,0))="","",INDEX(Hierarchy!$D$2:$D$1295,MATCH($D1706,Hierarchy!$A$2:$A$1295,0))),"NODE NOT FOUND"))</f>
        <v>Non-regional</v>
      </c>
      <c r="H1706" s="7" t="str">
        <f aca="false">IF($D1706="","",IFERROR(IF(INDEX(Hierarchy!$E$2:$E$1295,MATCH($D1706,Hierarchy!$A$2:$A$1295,0))="","",INDEX(Hierarchy!$E$2:$E$1295,MATCH($D1706,Hierarchy!$A$2:$A$1295,0))),"NODE NOT FOUND"))</f>
        <v/>
      </c>
      <c r="I1706" s="7" t="str">
        <f aca="false">IF($D1706="","",IFERROR(IF(INDEX(Hierarchy!$F$2:$F$1295,MATCH($D1706,Hierarchy!$A$2:$A$1295,0))="","",INDEX(Hierarchy!$F$2:$F$1295,MATCH($D1706,Hierarchy!$A$2:$A$1295,0))),"NODE NOT FOUND"))</f>
        <v/>
      </c>
      <c r="J1706" s="7" t="str">
        <f aca="false">IF($D1706="","",IFERROR(IF(INDEX(Hierarchy!$G$2:$G$1295,MATCH($D1706,Hierarchy!$A$2:$A$1295,0))="","",INDEX(Hierarchy!$G$2:$G$1295,MATCH($D1706,Hierarchy!$A$2:$A$1295,0))),"NODE NOT FOUND"))</f>
        <v/>
      </c>
      <c r="K1706" s="7" t="str">
        <f aca="false">IF($D1706="","",IFERROR(IF(INDEX(Hierarchy!$H$2:$H$1295,MATCH($D1706,Hierarchy!$A$2:$A$1295,0))="","",INDEX(Hierarchy!$H$2:$H$1295,MATCH($D1706,Hierarchy!$A$2:$A$1295,0))),"NODE NOT FOUND"))</f>
        <v/>
      </c>
      <c r="L1706" s="7" t="str">
        <f aca="false">IF($D1706="","",IFERROR(IF(INDEX(Hierarchy!$I$2:$I$1295,MATCH($D1706,Hierarchy!$A$2:$A$1295,0))="","",INDEX(Hierarchy!$I$2:$I$1295,MATCH($D1706,Hierarchy!$A$2:$A$1295,0))),"NODE NOT FOUND"))</f>
        <v/>
      </c>
      <c r="M1706" s="17" t="str">
        <f aca="false">IF(B1706="Pre-seeded","Pre-seeded",IF(B1706="Review 2026-09-16","Added from review",IF(C1706="","New",IF(C1706=D1706,"","Changed"))))</f>
        <v>Changed</v>
      </c>
      <c r="N1706" s="7" t="str">
        <f aca="false">TRIM(SUBSTITUTE(SUBSTITUTE(SUBSTITUTE(" "&amp;TRIM(SUBSTITUTE(SUBSTITUTE(SUBSTITUTE(SUBSTITUTE(SUBSTITUTE(SUBSTITUTE(SUBSTITUTE(SUBSTITUTE(SUBSTITUTE(SUBSTITUTE(SUBSTITUTE(SUBSTITUTE(SUBSTITUTE(SUBSTITUTE(SUBSTITUTE(UPPER(TRIM(A1706)),"[MEMBER]",""),"{MEMBER}",""),"[MEMBER}",""),"MEMBER]",""),"(A)",""),"""",""),"“",""),"”",""),".",""),":",""),",",""),"–"," "),"-"," "),"/"," "),"&amp;"," AND "))&amp;" "," THE "," ")," TOTAL "," ")," OPERATIONS "," "))</f>
        <v>SUBTOTAL ALL FOREIGN REGIONS</v>
      </c>
      <c r="O1706" s="17" t="str">
        <f aca="false">IF(COUNTIFS($N$2:$N$2000,N1706,$D$2:$D$2000,"&lt;&gt;"&amp;D1706)&gt;0,"CONFLICT","")</f>
        <v/>
      </c>
      <c r="P1706" s="7" t="s">
        <v>1895</v>
      </c>
    </row>
    <row r="1707" customFormat="false" ht="15" hidden="false" customHeight="false" outlineLevel="0" collapsed="false">
      <c r="A1707" s="7" t="s">
        <v>529</v>
      </c>
      <c r="B1707" s="7" t="s">
        <v>1879</v>
      </c>
      <c r="C1707" s="7"/>
      <c r="D1707" s="6" t="s">
        <v>529</v>
      </c>
      <c r="E1707" s="6" t="s">
        <v>1880</v>
      </c>
      <c r="F1707" s="7" t="str">
        <f aca="false">IF($D1707="","",IFERROR(IF(INDEX(Hierarchy!$B$2:$B$1295,MATCH($D1707,Hierarchy!$A$2:$A$1295,0))="","",INDEX(Hierarchy!$B$2:$B$1295,MATCH($D1707,Hierarchy!$A$2:$A$1295,0))),"NODE NOT FOUND"))</f>
        <v>State/Province</v>
      </c>
      <c r="G1707" s="7" t="str">
        <f aca="false">IF($D1707="","",IFERROR(IF(INDEX(Hierarchy!$D$2:$D$1295,MATCH($D1707,Hierarchy!$A$2:$A$1295,0))="","",INDEX(Hierarchy!$D$2:$D$1295,MATCH($D1707,Hierarchy!$A$2:$A$1295,0))),"NODE NOT FOUND"))</f>
        <v>AMER</v>
      </c>
      <c r="H1707" s="7" t="str">
        <f aca="false">IF($D1707="","",IFERROR(IF(INDEX(Hierarchy!$E$2:$E$1295,MATCH($D1707,Hierarchy!$A$2:$A$1295,0))="","",INDEX(Hierarchy!$E$2:$E$1295,MATCH($D1707,Hierarchy!$A$2:$A$1295,0))),"NODE NOT FOUND"))</f>
        <v>Latin America (LATAM)</v>
      </c>
      <c r="I1707" s="7" t="str">
        <f aca="false">IF($D1707="","",IFERROR(IF(INDEX(Hierarchy!$F$2:$F$1295,MATCH($D1707,Hierarchy!$A$2:$A$1295,0))="","",INDEX(Hierarchy!$F$2:$F$1295,MATCH($D1707,Hierarchy!$A$2:$A$1295,0))),"NODE NOT FOUND"))</f>
        <v>Colombia</v>
      </c>
      <c r="J1707" s="7" t="str">
        <f aca="false">IF($D1707="","",IFERROR(IF(INDEX(Hierarchy!$G$2:$G$1295,MATCH($D1707,Hierarchy!$A$2:$A$1295,0))="","",INDEX(Hierarchy!$G$2:$G$1295,MATCH($D1707,Hierarchy!$A$2:$A$1295,0))),"NODE NOT FOUND"))</f>
        <v>COL</v>
      </c>
      <c r="K1707" s="7" t="str">
        <f aca="false">IF($D1707="","",IFERROR(IF(INDEX(Hierarchy!$H$2:$H$1295,MATCH($D1707,Hierarchy!$A$2:$A$1295,0))="","",INDEX(Hierarchy!$H$2:$H$1295,MATCH($D1707,Hierarchy!$A$2:$A$1295,0))),"NODE NOT FOUND"))</f>
        <v>Sucre</v>
      </c>
      <c r="L1707" s="7" t="str">
        <f aca="false">IF($D1707="","",IFERROR(IF(INDEX(Hierarchy!$I$2:$I$1295,MATCH($D1707,Hierarchy!$A$2:$A$1295,0))="","",INDEX(Hierarchy!$I$2:$I$1295,MATCH($D1707,Hierarchy!$A$2:$A$1295,0))),"NODE NOT FOUND"))</f>
        <v/>
      </c>
      <c r="M1707" s="17" t="str">
        <f aca="false">IF(B1707="Pre-seeded","Pre-seeded",IF(B1707="Review 2026-09-16","Added from review",IF(C1707="","New",IF(C1707=D1707,"","Changed"))))</f>
        <v>Pre-seeded</v>
      </c>
      <c r="N1707" s="7" t="str">
        <f aca="false">TRIM(SUBSTITUTE(SUBSTITUTE(SUBSTITUTE(" "&amp;TRIM(SUBSTITUTE(SUBSTITUTE(SUBSTITUTE(SUBSTITUTE(SUBSTITUTE(SUBSTITUTE(SUBSTITUTE(SUBSTITUTE(SUBSTITUTE(SUBSTITUTE(SUBSTITUTE(SUBSTITUTE(SUBSTITUTE(SUBSTITUTE(SUBSTITUTE(UPPER(TRIM(A1707)),"[MEMBER]",""),"{MEMBER}",""),"[MEMBER}",""),"MEMBER]",""),"(A)",""),"""",""),"“",""),"”",""),".",""),":",""),",",""),"–"," "),"-"," "),"/"," "),"&amp;"," AND "))&amp;" "," THE "," ")," TOTAL "," ")," OPERATIONS "," "))</f>
        <v>SUCRE</v>
      </c>
      <c r="O1707" s="17" t="str">
        <f aca="false">IF(COUNTIFS($N$2:$N$2000,N1707,$D$2:$D$2000,"&lt;&gt;"&amp;D1707)&gt;0,"CONFLICT","")</f>
        <v/>
      </c>
      <c r="P1707" s="7"/>
    </row>
    <row r="1708" customFormat="false" ht="15" hidden="false" customHeight="false" outlineLevel="0" collapsed="false">
      <c r="A1708" s="7" t="s">
        <v>1293</v>
      </c>
      <c r="B1708" s="7" t="s">
        <v>1879</v>
      </c>
      <c r="C1708" s="7"/>
      <c r="D1708" s="6" t="s">
        <v>1293</v>
      </c>
      <c r="E1708" s="6" t="s">
        <v>1880</v>
      </c>
      <c r="F1708" s="7" t="str">
        <f aca="false">IF($D1708="","",IFERROR(IF(INDEX(Hierarchy!$B$2:$B$1295,MATCH($D1708,Hierarchy!$A$2:$A$1295,0))="","",INDEX(Hierarchy!$B$2:$B$1295,MATCH($D1708,Hierarchy!$A$2:$A$1295,0))),"NODE NOT FOUND"))</f>
        <v>Country</v>
      </c>
      <c r="G1708" s="7" t="str">
        <f aca="false">IF($D1708="","",IFERROR(IF(INDEX(Hierarchy!$D$2:$D$1295,MATCH($D1708,Hierarchy!$A$2:$A$1295,0))="","",INDEX(Hierarchy!$D$2:$D$1295,MATCH($D1708,Hierarchy!$A$2:$A$1295,0))),"NODE NOT FOUND"))</f>
        <v>EMEA</v>
      </c>
      <c r="H1708" s="7" t="str">
        <f aca="false">IF($D1708="","",IFERROR(IF(INDEX(Hierarchy!$E$2:$E$1295,MATCH($D1708,Hierarchy!$A$2:$A$1295,0))="","",INDEX(Hierarchy!$E$2:$E$1295,MATCH($D1708,Hierarchy!$A$2:$A$1295,0))),"NODE NOT FOUND"))</f>
        <v>Africa</v>
      </c>
      <c r="I1708" s="7" t="str">
        <f aca="false">IF($D1708="","",IFERROR(IF(INDEX(Hierarchy!$F$2:$F$1295,MATCH($D1708,Hierarchy!$A$2:$A$1295,0))="","",INDEX(Hierarchy!$F$2:$F$1295,MATCH($D1708,Hierarchy!$A$2:$A$1295,0))),"NODE NOT FOUND"))</f>
        <v>Sudan</v>
      </c>
      <c r="J1708" s="7" t="str">
        <f aca="false">IF($D1708="","",IFERROR(IF(INDEX(Hierarchy!$G$2:$G$1295,MATCH($D1708,Hierarchy!$A$2:$A$1295,0))="","",INDEX(Hierarchy!$G$2:$G$1295,MATCH($D1708,Hierarchy!$A$2:$A$1295,0))),"NODE NOT FOUND"))</f>
        <v>SDN</v>
      </c>
      <c r="K1708" s="7" t="str">
        <f aca="false">IF($D1708="","",IFERROR(IF(INDEX(Hierarchy!$H$2:$H$1295,MATCH($D1708,Hierarchy!$A$2:$A$1295,0))="","",INDEX(Hierarchy!$H$2:$H$1295,MATCH($D1708,Hierarchy!$A$2:$A$1295,0))),"NODE NOT FOUND"))</f>
        <v/>
      </c>
      <c r="L1708" s="7" t="str">
        <f aca="false">IF($D1708="","",IFERROR(IF(INDEX(Hierarchy!$I$2:$I$1295,MATCH($D1708,Hierarchy!$A$2:$A$1295,0))="","",INDEX(Hierarchy!$I$2:$I$1295,MATCH($D1708,Hierarchy!$A$2:$A$1295,0))),"NODE NOT FOUND"))</f>
        <v/>
      </c>
      <c r="M1708" s="17" t="str">
        <f aca="false">IF(B1708="Pre-seeded","Pre-seeded",IF(B1708="Review 2026-09-16","Added from review",IF(C1708="","New",IF(C1708=D1708,"","Changed"))))</f>
        <v>Pre-seeded</v>
      </c>
      <c r="N1708" s="7" t="str">
        <f aca="false">TRIM(SUBSTITUTE(SUBSTITUTE(SUBSTITUTE(" "&amp;TRIM(SUBSTITUTE(SUBSTITUTE(SUBSTITUTE(SUBSTITUTE(SUBSTITUTE(SUBSTITUTE(SUBSTITUTE(SUBSTITUTE(SUBSTITUTE(SUBSTITUTE(SUBSTITUTE(SUBSTITUTE(SUBSTITUTE(SUBSTITUTE(SUBSTITUTE(UPPER(TRIM(A1708)),"[MEMBER]",""),"{MEMBER}",""),"[MEMBER}",""),"MEMBER]",""),"(A)",""),"""",""),"“",""),"”",""),".",""),":",""),",",""),"–"," "),"-"," "),"/"," "),"&amp;"," AND "))&amp;" "," THE "," ")," TOTAL "," ")," OPERATIONS "," "))</f>
        <v>SUDAN</v>
      </c>
      <c r="O1708" s="17" t="str">
        <f aca="false">IF(COUNTIFS($N$2:$N$2000,N1708,$D$2:$D$2000,"&lt;&gt;"&amp;D1708)&gt;0,"CONFLICT","")</f>
        <v/>
      </c>
      <c r="P1708" s="7"/>
    </row>
    <row r="1709" customFormat="false" ht="15" hidden="false" customHeight="false" outlineLevel="0" collapsed="false">
      <c r="A1709" s="7" t="s">
        <v>2741</v>
      </c>
      <c r="B1709" s="7" t="s">
        <v>1879</v>
      </c>
      <c r="C1709" s="7"/>
      <c r="D1709" s="6" t="s">
        <v>1083</v>
      </c>
      <c r="E1709" s="6" t="s">
        <v>1880</v>
      </c>
      <c r="F1709" s="7" t="str">
        <f aca="false">IF($D1709="","",IFERROR(IF(INDEX(Hierarchy!$B$2:$B$1295,MATCH($D1709,Hierarchy!$A$2:$A$1295,0))="","",INDEX(Hierarchy!$B$2:$B$1295,MATCH($D1709,Hierarchy!$A$2:$A$1295,0))),"NODE NOT FOUND"))</f>
        <v>Country</v>
      </c>
      <c r="G1709" s="7" t="str">
        <f aca="false">IF($D1709="","",IFERROR(IF(INDEX(Hierarchy!$D$2:$D$1295,MATCH($D1709,Hierarchy!$A$2:$A$1295,0))="","",INDEX(Hierarchy!$D$2:$D$1295,MATCH($D1709,Hierarchy!$A$2:$A$1295,0))),"NODE NOT FOUND"))</f>
        <v>EMEA</v>
      </c>
      <c r="H1709" s="7" t="str">
        <f aca="false">IF($D1709="","",IFERROR(IF(INDEX(Hierarchy!$E$2:$E$1295,MATCH($D1709,Hierarchy!$A$2:$A$1295,0))="","",INDEX(Hierarchy!$E$2:$E$1295,MATCH($D1709,Hierarchy!$A$2:$A$1295,0))),"NODE NOT FOUND"))</f>
        <v>Middle East</v>
      </c>
      <c r="I1709" s="7" t="str">
        <f aca="false">IF($D1709="","",IFERROR(IF(INDEX(Hierarchy!$F$2:$F$1295,MATCH($D1709,Hierarchy!$A$2:$A$1295,0))="","",INDEX(Hierarchy!$F$2:$F$1295,MATCH($D1709,Hierarchy!$A$2:$A$1295,0))),"NODE NOT FOUND"))</f>
        <v>Oman</v>
      </c>
      <c r="J1709" s="7" t="str">
        <f aca="false">IF($D1709="","",IFERROR(IF(INDEX(Hierarchy!$G$2:$G$1295,MATCH($D1709,Hierarchy!$A$2:$A$1295,0))="","",INDEX(Hierarchy!$G$2:$G$1295,MATCH($D1709,Hierarchy!$A$2:$A$1295,0))),"NODE NOT FOUND"))</f>
        <v>OMN</v>
      </c>
      <c r="K1709" s="7" t="str">
        <f aca="false">IF($D1709="","",IFERROR(IF(INDEX(Hierarchy!$H$2:$H$1295,MATCH($D1709,Hierarchy!$A$2:$A$1295,0))="","",INDEX(Hierarchy!$H$2:$H$1295,MATCH($D1709,Hierarchy!$A$2:$A$1295,0))),"NODE NOT FOUND"))</f>
        <v/>
      </c>
      <c r="L1709" s="7" t="str">
        <f aca="false">IF($D1709="","",IFERROR(IF(INDEX(Hierarchy!$I$2:$I$1295,MATCH($D1709,Hierarchy!$A$2:$A$1295,0))="","",INDEX(Hierarchy!$I$2:$I$1295,MATCH($D1709,Hierarchy!$A$2:$A$1295,0))),"NODE NOT FOUND"))</f>
        <v/>
      </c>
      <c r="M1709" s="17" t="str">
        <f aca="false">IF(B1709="Pre-seeded","Pre-seeded",IF(B1709="Review 2026-09-16","Added from review",IF(C1709="","New",IF(C1709=D1709,"","Changed"))))</f>
        <v>Pre-seeded</v>
      </c>
      <c r="N1709" s="7" t="str">
        <f aca="false">TRIM(SUBSTITUTE(SUBSTITUTE(SUBSTITUTE(" "&amp;TRIM(SUBSTITUTE(SUBSTITUTE(SUBSTITUTE(SUBSTITUTE(SUBSTITUTE(SUBSTITUTE(SUBSTITUTE(SUBSTITUTE(SUBSTITUTE(SUBSTITUTE(SUBSTITUTE(SUBSTITUTE(SUBSTITUTE(SUBSTITUTE(SUBSTITUTE(UPPER(TRIM(A1709)),"[MEMBER]",""),"{MEMBER}",""),"[MEMBER}",""),"MEMBER]",""),"(A)",""),"""",""),"“",""),"”",""),".",""),":",""),",",""),"–"," "),"-"," "),"/"," "),"&amp;"," AND "))&amp;" "," THE "," ")," TOTAL "," ")," OPERATIONS "," "))</f>
        <v>SULTANATE OF OMAN</v>
      </c>
      <c r="O1709" s="17" t="str">
        <f aca="false">IF(COUNTIFS($N$2:$N$2000,N1709,$D$2:$D$2000,"&lt;&gt;"&amp;D1709)&gt;0,"CONFLICT","")</f>
        <v/>
      </c>
      <c r="P1709" s="7" t="s">
        <v>1936</v>
      </c>
    </row>
    <row r="1710" customFormat="false" ht="15" hidden="false" customHeight="false" outlineLevel="0" collapsed="false">
      <c r="A1710" s="7" t="s">
        <v>603</v>
      </c>
      <c r="B1710" s="7" t="s">
        <v>1879</v>
      </c>
      <c r="C1710" s="7"/>
      <c r="D1710" s="6" t="s">
        <v>603</v>
      </c>
      <c r="E1710" s="6" t="s">
        <v>1880</v>
      </c>
      <c r="F1710" s="7" t="str">
        <f aca="false">IF($D1710="","",IFERROR(IF(INDEX(Hierarchy!$B$2:$B$1295,MATCH($D1710,Hierarchy!$A$2:$A$1295,0))="","",INDEX(Hierarchy!$B$2:$B$1295,MATCH($D1710,Hierarchy!$A$2:$A$1295,0))),"NODE NOT FOUND"))</f>
        <v>Country</v>
      </c>
      <c r="G1710" s="7" t="str">
        <f aca="false">IF($D1710="","",IFERROR(IF(INDEX(Hierarchy!$D$2:$D$1295,MATCH($D1710,Hierarchy!$A$2:$A$1295,0))="","",INDEX(Hierarchy!$D$2:$D$1295,MATCH($D1710,Hierarchy!$A$2:$A$1295,0))),"NODE NOT FOUND"))</f>
        <v>AMER</v>
      </c>
      <c r="H1710" s="7" t="str">
        <f aca="false">IF($D1710="","",IFERROR(IF(INDEX(Hierarchy!$E$2:$E$1295,MATCH($D1710,Hierarchy!$A$2:$A$1295,0))="","",INDEX(Hierarchy!$E$2:$E$1295,MATCH($D1710,Hierarchy!$A$2:$A$1295,0))),"NODE NOT FOUND"))</f>
        <v>Latin America (LATAM)</v>
      </c>
      <c r="I1710" s="7" t="str">
        <f aca="false">IF($D1710="","",IFERROR(IF(INDEX(Hierarchy!$F$2:$F$1295,MATCH($D1710,Hierarchy!$A$2:$A$1295,0))="","",INDEX(Hierarchy!$F$2:$F$1295,MATCH($D1710,Hierarchy!$A$2:$A$1295,0))),"NODE NOT FOUND"))</f>
        <v>Suriname</v>
      </c>
      <c r="J1710" s="7" t="str">
        <f aca="false">IF($D1710="","",IFERROR(IF(INDEX(Hierarchy!$G$2:$G$1295,MATCH($D1710,Hierarchy!$A$2:$A$1295,0))="","",INDEX(Hierarchy!$G$2:$G$1295,MATCH($D1710,Hierarchy!$A$2:$A$1295,0))),"NODE NOT FOUND"))</f>
        <v>SUR</v>
      </c>
      <c r="K1710" s="7" t="str">
        <f aca="false">IF($D1710="","",IFERROR(IF(INDEX(Hierarchy!$H$2:$H$1295,MATCH($D1710,Hierarchy!$A$2:$A$1295,0))="","",INDEX(Hierarchy!$H$2:$H$1295,MATCH($D1710,Hierarchy!$A$2:$A$1295,0))),"NODE NOT FOUND"))</f>
        <v/>
      </c>
      <c r="L1710" s="7" t="str">
        <f aca="false">IF($D1710="","",IFERROR(IF(INDEX(Hierarchy!$I$2:$I$1295,MATCH($D1710,Hierarchy!$A$2:$A$1295,0))="","",INDEX(Hierarchy!$I$2:$I$1295,MATCH($D1710,Hierarchy!$A$2:$A$1295,0))),"NODE NOT FOUND"))</f>
        <v/>
      </c>
      <c r="M1710" s="17" t="str">
        <f aca="false">IF(B1710="Pre-seeded","Pre-seeded",IF(B1710="Review 2026-09-16","Added from review",IF(C1710="","New",IF(C1710=D1710,"","Changed"))))</f>
        <v>Pre-seeded</v>
      </c>
      <c r="N1710" s="7" t="str">
        <f aca="false">TRIM(SUBSTITUTE(SUBSTITUTE(SUBSTITUTE(" "&amp;TRIM(SUBSTITUTE(SUBSTITUTE(SUBSTITUTE(SUBSTITUTE(SUBSTITUTE(SUBSTITUTE(SUBSTITUTE(SUBSTITUTE(SUBSTITUTE(SUBSTITUTE(SUBSTITUTE(SUBSTITUTE(SUBSTITUTE(SUBSTITUTE(SUBSTITUTE(UPPER(TRIM(A1710)),"[MEMBER]",""),"{MEMBER}",""),"[MEMBER}",""),"MEMBER]",""),"(A)",""),"""",""),"“",""),"”",""),".",""),":",""),",",""),"–"," "),"-"," "),"/"," "),"&amp;"," AND "))&amp;" "," THE "," ")," TOTAL "," ")," OPERATIONS "," "))</f>
        <v>SURINAME</v>
      </c>
      <c r="O1710" s="17" t="str">
        <f aca="false">IF(COUNTIFS($N$2:$N$2000,N1710,$D$2:$D$2000,"&lt;&gt;"&amp;D1710)&gt;0,"CONFLICT","")</f>
        <v/>
      </c>
      <c r="P1710" s="7"/>
    </row>
    <row r="1711" customFormat="false" ht="15" hidden="false" customHeight="false" outlineLevel="0" collapsed="false">
      <c r="A1711" s="7" t="s">
        <v>1523</v>
      </c>
      <c r="B1711" s="7" t="s">
        <v>1882</v>
      </c>
      <c r="C1711" s="7" t="s">
        <v>1523</v>
      </c>
      <c r="D1711" s="6" t="s">
        <v>1523</v>
      </c>
      <c r="E1711" s="6" t="s">
        <v>1880</v>
      </c>
      <c r="F1711" s="7" t="str">
        <f aca="false">IF($D1711="","",IFERROR(IF(INDEX(Hierarchy!$B$2:$B$1295,MATCH($D1711,Hierarchy!$A$2:$A$1295,0))="","",INDEX(Hierarchy!$B$2:$B$1295,MATCH($D1711,Hierarchy!$A$2:$A$1295,0))),"NODE NOT FOUND"))</f>
        <v>City</v>
      </c>
      <c r="G1711" s="7" t="str">
        <f aca="false">IF($D1711="","",IFERROR(IF(INDEX(Hierarchy!$D$2:$D$1295,MATCH($D1711,Hierarchy!$A$2:$A$1295,0))="","",INDEX(Hierarchy!$D$2:$D$1295,MATCH($D1711,Hierarchy!$A$2:$A$1295,0))),"NODE NOT FOUND"))</f>
        <v>APAC</v>
      </c>
      <c r="H1711" s="7" t="str">
        <f aca="false">IF($D1711="","",IFERROR(IF(INDEX(Hierarchy!$E$2:$E$1295,MATCH($D1711,Hierarchy!$A$2:$A$1295,0))="","",INDEX(Hierarchy!$E$2:$E$1295,MATCH($D1711,Hierarchy!$A$2:$A$1295,0))),"NODE NOT FOUND"))</f>
        <v>East Asia</v>
      </c>
      <c r="I1711" s="7" t="str">
        <f aca="false">IF($D1711="","",IFERROR(IF(INDEX(Hierarchy!$F$2:$F$1295,MATCH($D1711,Hierarchy!$A$2:$A$1295,0))="","",INDEX(Hierarchy!$F$2:$F$1295,MATCH($D1711,Hierarchy!$A$2:$A$1295,0))),"NODE NOT FOUND"))</f>
        <v>China</v>
      </c>
      <c r="J1711" s="7" t="str">
        <f aca="false">IF($D1711="","",IFERROR(IF(INDEX(Hierarchy!$G$2:$G$1295,MATCH($D1711,Hierarchy!$A$2:$A$1295,0))="","",INDEX(Hierarchy!$G$2:$G$1295,MATCH($D1711,Hierarchy!$A$2:$A$1295,0))),"NODE NOT FOUND"))</f>
        <v>CHN</v>
      </c>
      <c r="K1711" s="7" t="str">
        <f aca="false">IF($D1711="","",IFERROR(IF(INDEX(Hierarchy!$H$2:$H$1295,MATCH($D1711,Hierarchy!$A$2:$A$1295,0))="","",INDEX(Hierarchy!$H$2:$H$1295,MATCH($D1711,Hierarchy!$A$2:$A$1295,0))),"NODE NOT FOUND"))</f>
        <v>Jiangsu</v>
      </c>
      <c r="L1711" s="7" t="str">
        <f aca="false">IF($D1711="","",IFERROR(IF(INDEX(Hierarchy!$I$2:$I$1295,MATCH($D1711,Hierarchy!$A$2:$A$1295,0))="","",INDEX(Hierarchy!$I$2:$I$1295,MATCH($D1711,Hierarchy!$A$2:$A$1295,0))),"NODE NOT FOUND"))</f>
        <v>Suzhou</v>
      </c>
      <c r="M1711" s="17" t="str">
        <f aca="false">IF(B1711="Pre-seeded","Pre-seeded",IF(B1711="Review 2026-09-16","Added from review",IF(C1711="","New",IF(C1711=D1711,"","Changed"))))</f>
        <v/>
      </c>
      <c r="N1711" s="7" t="str">
        <f aca="false">TRIM(SUBSTITUTE(SUBSTITUTE(SUBSTITUTE(" "&amp;TRIM(SUBSTITUTE(SUBSTITUTE(SUBSTITUTE(SUBSTITUTE(SUBSTITUTE(SUBSTITUTE(SUBSTITUTE(SUBSTITUTE(SUBSTITUTE(SUBSTITUTE(SUBSTITUTE(SUBSTITUTE(SUBSTITUTE(SUBSTITUTE(SUBSTITUTE(UPPER(TRIM(A1711)),"[MEMBER]",""),"{MEMBER}",""),"[MEMBER}",""),"MEMBER]",""),"(A)",""),"""",""),"“",""),"”",""),".",""),":",""),",",""),"–"," "),"-"," "),"/"," "),"&amp;"," AND "))&amp;" "," THE "," ")," TOTAL "," ")," OPERATIONS "," "))</f>
        <v>SUZHOU</v>
      </c>
      <c r="O1711" s="17" t="str">
        <f aca="false">IF(COUNTIFS($N$2:$N$2000,N1711,$D$2:$D$2000,"&lt;&gt;"&amp;D1711)&gt;0,"CONFLICT","")</f>
        <v/>
      </c>
      <c r="P1711" s="7"/>
    </row>
    <row r="1712" customFormat="false" ht="15" hidden="false" customHeight="false" outlineLevel="0" collapsed="false">
      <c r="A1712" s="7" t="s">
        <v>973</v>
      </c>
      <c r="B1712" s="7" t="s">
        <v>1879</v>
      </c>
      <c r="C1712" s="7"/>
      <c r="D1712" s="6" t="s">
        <v>973</v>
      </c>
      <c r="E1712" s="6" t="s">
        <v>1880</v>
      </c>
      <c r="F1712" s="7" t="str">
        <f aca="false">IF($D1712="","",IFERROR(IF(INDEX(Hierarchy!$B$2:$B$1295,MATCH($D1712,Hierarchy!$A$2:$A$1295,0))="","",INDEX(Hierarchy!$B$2:$B$1295,MATCH($D1712,Hierarchy!$A$2:$A$1295,0))),"NODE NOT FOUND"))</f>
        <v>Country</v>
      </c>
      <c r="G1712" s="7" t="str">
        <f aca="false">IF($D1712="","",IFERROR(IF(INDEX(Hierarchy!$D$2:$D$1295,MATCH($D1712,Hierarchy!$A$2:$A$1295,0))="","",INDEX(Hierarchy!$D$2:$D$1295,MATCH($D1712,Hierarchy!$A$2:$A$1295,0))),"NODE NOT FOUND"))</f>
        <v>EMEA</v>
      </c>
      <c r="H1712" s="7" t="str">
        <f aca="false">IF($D1712="","",IFERROR(IF(INDEX(Hierarchy!$E$2:$E$1295,MATCH($D1712,Hierarchy!$A$2:$A$1295,0))="","",INDEX(Hierarchy!$E$2:$E$1295,MATCH($D1712,Hierarchy!$A$2:$A$1295,0))),"NODE NOT FOUND"))</f>
        <v>Europe</v>
      </c>
      <c r="I1712" s="7" t="str">
        <f aca="false">IF($D1712="","",IFERROR(IF(INDEX(Hierarchy!$F$2:$F$1295,MATCH($D1712,Hierarchy!$A$2:$A$1295,0))="","",INDEX(Hierarchy!$F$2:$F$1295,MATCH($D1712,Hierarchy!$A$2:$A$1295,0))),"NODE NOT FOUND"))</f>
        <v>Svalbard and Jan Mayen</v>
      </c>
      <c r="J1712" s="7" t="str">
        <f aca="false">IF($D1712="","",IFERROR(IF(INDEX(Hierarchy!$G$2:$G$1295,MATCH($D1712,Hierarchy!$A$2:$A$1295,0))="","",INDEX(Hierarchy!$G$2:$G$1295,MATCH($D1712,Hierarchy!$A$2:$A$1295,0))),"NODE NOT FOUND"))</f>
        <v>SJM</v>
      </c>
      <c r="K1712" s="7" t="str">
        <f aca="false">IF($D1712="","",IFERROR(IF(INDEX(Hierarchy!$H$2:$H$1295,MATCH($D1712,Hierarchy!$A$2:$A$1295,0))="","",INDEX(Hierarchy!$H$2:$H$1295,MATCH($D1712,Hierarchy!$A$2:$A$1295,0))),"NODE NOT FOUND"))</f>
        <v/>
      </c>
      <c r="L1712" s="7" t="str">
        <f aca="false">IF($D1712="","",IFERROR(IF(INDEX(Hierarchy!$I$2:$I$1295,MATCH($D1712,Hierarchy!$A$2:$A$1295,0))="","",INDEX(Hierarchy!$I$2:$I$1295,MATCH($D1712,Hierarchy!$A$2:$A$1295,0))),"NODE NOT FOUND"))</f>
        <v/>
      </c>
      <c r="M1712" s="17" t="str">
        <f aca="false">IF(B1712="Pre-seeded","Pre-seeded",IF(B1712="Review 2026-09-16","Added from review",IF(C1712="","New",IF(C1712=D1712,"","Changed"))))</f>
        <v>Pre-seeded</v>
      </c>
      <c r="N1712" s="7" t="str">
        <f aca="false">TRIM(SUBSTITUTE(SUBSTITUTE(SUBSTITUTE(" "&amp;TRIM(SUBSTITUTE(SUBSTITUTE(SUBSTITUTE(SUBSTITUTE(SUBSTITUTE(SUBSTITUTE(SUBSTITUTE(SUBSTITUTE(SUBSTITUTE(SUBSTITUTE(SUBSTITUTE(SUBSTITUTE(SUBSTITUTE(SUBSTITUTE(SUBSTITUTE(UPPER(TRIM(A1712)),"[MEMBER]",""),"{MEMBER}",""),"[MEMBER}",""),"MEMBER]",""),"(A)",""),"""",""),"“",""),"”",""),".",""),":",""),",",""),"–"," "),"-"," "),"/"," "),"&amp;"," AND "))&amp;" "," THE "," ")," TOTAL "," ")," OPERATIONS "," "))</f>
        <v>SVALBARD AND JAN MAYEN</v>
      </c>
      <c r="O1712" s="17" t="str">
        <f aca="false">IF(COUNTIFS($N$2:$N$2000,N1712,$D$2:$D$2000,"&lt;&gt;"&amp;D1712)&gt;0,"CONFLICT","")</f>
        <v/>
      </c>
      <c r="P1712" s="7"/>
    </row>
    <row r="1713" customFormat="false" ht="15" hidden="false" customHeight="false" outlineLevel="0" collapsed="false">
      <c r="A1713" s="7" t="s">
        <v>2742</v>
      </c>
      <c r="B1713" s="7" t="s">
        <v>1879</v>
      </c>
      <c r="C1713" s="7"/>
      <c r="D1713" s="6" t="s">
        <v>1220</v>
      </c>
      <c r="E1713" s="6" t="s">
        <v>1880</v>
      </c>
      <c r="F1713" s="7" t="str">
        <f aca="false">IF($D1713="","",IFERROR(IF(INDEX(Hierarchy!$B$2:$B$1295,MATCH($D1713,Hierarchy!$A$2:$A$1295,0))="","",INDEX(Hierarchy!$B$2:$B$1295,MATCH($D1713,Hierarchy!$A$2:$A$1295,0))),"NODE NOT FOUND"))</f>
        <v>Country</v>
      </c>
      <c r="G1713" s="7" t="str">
        <f aca="false">IF($D1713="","",IFERROR(IF(INDEX(Hierarchy!$D$2:$D$1295,MATCH($D1713,Hierarchy!$A$2:$A$1295,0))="","",INDEX(Hierarchy!$D$2:$D$1295,MATCH($D1713,Hierarchy!$A$2:$A$1295,0))),"NODE NOT FOUND"))</f>
        <v>EMEA</v>
      </c>
      <c r="H1713" s="7" t="str">
        <f aca="false">IF($D1713="","",IFERROR(IF(INDEX(Hierarchy!$E$2:$E$1295,MATCH($D1713,Hierarchy!$A$2:$A$1295,0))="","",INDEX(Hierarchy!$E$2:$E$1295,MATCH($D1713,Hierarchy!$A$2:$A$1295,0))),"NODE NOT FOUND"))</f>
        <v>Africa</v>
      </c>
      <c r="I1713" s="7" t="str">
        <f aca="false">IF($D1713="","",IFERROR(IF(INDEX(Hierarchy!$F$2:$F$1295,MATCH($D1713,Hierarchy!$A$2:$A$1295,0))="","",INDEX(Hierarchy!$F$2:$F$1295,MATCH($D1713,Hierarchy!$A$2:$A$1295,0))),"NODE NOT FOUND"))</f>
        <v>Eswatini</v>
      </c>
      <c r="J1713" s="7" t="str">
        <f aca="false">IF($D1713="","",IFERROR(IF(INDEX(Hierarchy!$G$2:$G$1295,MATCH($D1713,Hierarchy!$A$2:$A$1295,0))="","",INDEX(Hierarchy!$G$2:$G$1295,MATCH($D1713,Hierarchy!$A$2:$A$1295,0))),"NODE NOT FOUND"))</f>
        <v>SWZ</v>
      </c>
      <c r="K1713" s="7" t="str">
        <f aca="false">IF($D1713="","",IFERROR(IF(INDEX(Hierarchy!$H$2:$H$1295,MATCH($D1713,Hierarchy!$A$2:$A$1295,0))="","",INDEX(Hierarchy!$H$2:$H$1295,MATCH($D1713,Hierarchy!$A$2:$A$1295,0))),"NODE NOT FOUND"))</f>
        <v/>
      </c>
      <c r="L1713" s="7" t="str">
        <f aca="false">IF($D1713="","",IFERROR(IF(INDEX(Hierarchy!$I$2:$I$1295,MATCH($D1713,Hierarchy!$A$2:$A$1295,0))="","",INDEX(Hierarchy!$I$2:$I$1295,MATCH($D1713,Hierarchy!$A$2:$A$1295,0))),"NODE NOT FOUND"))</f>
        <v/>
      </c>
      <c r="M1713" s="17" t="str">
        <f aca="false">IF(B1713="Pre-seeded","Pre-seeded",IF(B1713="Review 2026-09-16","Added from review",IF(C1713="","New",IF(C1713=D1713,"","Changed"))))</f>
        <v>Pre-seeded</v>
      </c>
      <c r="N1713" s="7" t="str">
        <f aca="false">TRIM(SUBSTITUTE(SUBSTITUTE(SUBSTITUTE(" "&amp;TRIM(SUBSTITUTE(SUBSTITUTE(SUBSTITUTE(SUBSTITUTE(SUBSTITUTE(SUBSTITUTE(SUBSTITUTE(SUBSTITUTE(SUBSTITUTE(SUBSTITUTE(SUBSTITUTE(SUBSTITUTE(SUBSTITUTE(SUBSTITUTE(SUBSTITUTE(UPPER(TRIM(A1713)),"[MEMBER]",""),"{MEMBER}",""),"[MEMBER}",""),"MEMBER]",""),"(A)",""),"""",""),"“",""),"”",""),".",""),":",""),",",""),"–"," "),"-"," "),"/"," "),"&amp;"," AND "))&amp;" "," THE "," ")," TOTAL "," ")," OPERATIONS "," "))</f>
        <v>SWAZILAND</v>
      </c>
      <c r="O1713" s="17" t="str">
        <f aca="false">IF(COUNTIFS($N$2:$N$2000,N1713,$D$2:$D$2000,"&lt;&gt;"&amp;D1713)&gt;0,"CONFLICT","")</f>
        <v/>
      </c>
      <c r="P1713" s="7"/>
    </row>
    <row r="1714" customFormat="false" ht="15" hidden="false" customHeight="false" outlineLevel="0" collapsed="false">
      <c r="A1714" s="7" t="s">
        <v>975</v>
      </c>
      <c r="B1714" s="7" t="s">
        <v>1882</v>
      </c>
      <c r="C1714" s="7" t="s">
        <v>975</v>
      </c>
      <c r="D1714" s="6" t="s">
        <v>975</v>
      </c>
      <c r="E1714" s="6" t="s">
        <v>1880</v>
      </c>
      <c r="F1714" s="7" t="str">
        <f aca="false">IF($D1714="","",IFERROR(IF(INDEX(Hierarchy!$B$2:$B$1295,MATCH($D1714,Hierarchy!$A$2:$A$1295,0))="","",INDEX(Hierarchy!$B$2:$B$1295,MATCH($D1714,Hierarchy!$A$2:$A$1295,0))),"NODE NOT FOUND"))</f>
        <v>Country</v>
      </c>
      <c r="G1714" s="7" t="str">
        <f aca="false">IF($D1714="","",IFERROR(IF(INDEX(Hierarchy!$D$2:$D$1295,MATCH($D1714,Hierarchy!$A$2:$A$1295,0))="","",INDEX(Hierarchy!$D$2:$D$1295,MATCH($D1714,Hierarchy!$A$2:$A$1295,0))),"NODE NOT FOUND"))</f>
        <v>EMEA</v>
      </c>
      <c r="H1714" s="7" t="str">
        <f aca="false">IF($D1714="","",IFERROR(IF(INDEX(Hierarchy!$E$2:$E$1295,MATCH($D1714,Hierarchy!$A$2:$A$1295,0))="","",INDEX(Hierarchy!$E$2:$E$1295,MATCH($D1714,Hierarchy!$A$2:$A$1295,0))),"NODE NOT FOUND"))</f>
        <v>Europe</v>
      </c>
      <c r="I1714" s="7" t="str">
        <f aca="false">IF($D1714="","",IFERROR(IF(INDEX(Hierarchy!$F$2:$F$1295,MATCH($D1714,Hierarchy!$A$2:$A$1295,0))="","",INDEX(Hierarchy!$F$2:$F$1295,MATCH($D1714,Hierarchy!$A$2:$A$1295,0))),"NODE NOT FOUND"))</f>
        <v>Sweden</v>
      </c>
      <c r="J1714" s="7" t="str">
        <f aca="false">IF($D1714="","",IFERROR(IF(INDEX(Hierarchy!$G$2:$G$1295,MATCH($D1714,Hierarchy!$A$2:$A$1295,0))="","",INDEX(Hierarchy!$G$2:$G$1295,MATCH($D1714,Hierarchy!$A$2:$A$1295,0))),"NODE NOT FOUND"))</f>
        <v>SWE</v>
      </c>
      <c r="K1714" s="7" t="str">
        <f aca="false">IF($D1714="","",IFERROR(IF(INDEX(Hierarchy!$H$2:$H$1295,MATCH($D1714,Hierarchy!$A$2:$A$1295,0))="","",INDEX(Hierarchy!$H$2:$H$1295,MATCH($D1714,Hierarchy!$A$2:$A$1295,0))),"NODE NOT FOUND"))</f>
        <v/>
      </c>
      <c r="L1714" s="7" t="str">
        <f aca="false">IF($D1714="","",IFERROR(IF(INDEX(Hierarchy!$I$2:$I$1295,MATCH($D1714,Hierarchy!$A$2:$A$1295,0))="","",INDEX(Hierarchy!$I$2:$I$1295,MATCH($D1714,Hierarchy!$A$2:$A$1295,0))),"NODE NOT FOUND"))</f>
        <v/>
      </c>
      <c r="M1714" s="17" t="str">
        <f aca="false">IF(B1714="Pre-seeded","Pre-seeded",IF(B1714="Review 2026-09-16","Added from review",IF(C1714="","New",IF(C1714=D1714,"","Changed"))))</f>
        <v/>
      </c>
      <c r="N1714" s="7" t="str">
        <f aca="false">TRIM(SUBSTITUTE(SUBSTITUTE(SUBSTITUTE(" "&amp;TRIM(SUBSTITUTE(SUBSTITUTE(SUBSTITUTE(SUBSTITUTE(SUBSTITUTE(SUBSTITUTE(SUBSTITUTE(SUBSTITUTE(SUBSTITUTE(SUBSTITUTE(SUBSTITUTE(SUBSTITUTE(SUBSTITUTE(SUBSTITUTE(SUBSTITUTE(UPPER(TRIM(A1714)),"[MEMBER]",""),"{MEMBER}",""),"[MEMBER}",""),"MEMBER]",""),"(A)",""),"""",""),"“",""),"”",""),".",""),":",""),",",""),"–"," "),"-"," "),"/"," "),"&amp;"," AND "))&amp;" "," THE "," ")," TOTAL "," ")," OPERATIONS "," "))</f>
        <v>SWEDEN</v>
      </c>
      <c r="O1714" s="17" t="str">
        <f aca="false">IF(COUNTIFS($N$2:$N$2000,N1714,$D$2:$D$2000,"&lt;&gt;"&amp;D1714)&gt;0,"CONFLICT","")</f>
        <v/>
      </c>
      <c r="P1714" s="7"/>
    </row>
    <row r="1715" customFormat="false" ht="15" hidden="false" customHeight="false" outlineLevel="0" collapsed="false">
      <c r="A1715" s="7" t="s">
        <v>2743</v>
      </c>
      <c r="B1715" s="7" t="s">
        <v>1882</v>
      </c>
      <c r="C1715" s="7" t="s">
        <v>975</v>
      </c>
      <c r="D1715" s="6" t="s">
        <v>975</v>
      </c>
      <c r="E1715" s="6" t="s">
        <v>1880</v>
      </c>
      <c r="F1715" s="7" t="str">
        <f aca="false">IF($D1715="","",IFERROR(IF(INDEX(Hierarchy!$B$2:$B$1295,MATCH($D1715,Hierarchy!$A$2:$A$1295,0))="","",INDEX(Hierarchy!$B$2:$B$1295,MATCH($D1715,Hierarchy!$A$2:$A$1295,0))),"NODE NOT FOUND"))</f>
        <v>Country</v>
      </c>
      <c r="G1715" s="7" t="str">
        <f aca="false">IF($D1715="","",IFERROR(IF(INDEX(Hierarchy!$D$2:$D$1295,MATCH($D1715,Hierarchy!$A$2:$A$1295,0))="","",INDEX(Hierarchy!$D$2:$D$1295,MATCH($D1715,Hierarchy!$A$2:$A$1295,0))),"NODE NOT FOUND"))</f>
        <v>EMEA</v>
      </c>
      <c r="H1715" s="7" t="str">
        <f aca="false">IF($D1715="","",IFERROR(IF(INDEX(Hierarchy!$E$2:$E$1295,MATCH($D1715,Hierarchy!$A$2:$A$1295,0))="","",INDEX(Hierarchy!$E$2:$E$1295,MATCH($D1715,Hierarchy!$A$2:$A$1295,0))),"NODE NOT FOUND"))</f>
        <v>Europe</v>
      </c>
      <c r="I1715" s="7" t="str">
        <f aca="false">IF($D1715="","",IFERROR(IF(INDEX(Hierarchy!$F$2:$F$1295,MATCH($D1715,Hierarchy!$A$2:$A$1295,0))="","",INDEX(Hierarchy!$F$2:$F$1295,MATCH($D1715,Hierarchy!$A$2:$A$1295,0))),"NODE NOT FOUND"))</f>
        <v>Sweden</v>
      </c>
      <c r="J1715" s="7" t="str">
        <f aca="false">IF($D1715="","",IFERROR(IF(INDEX(Hierarchy!$G$2:$G$1295,MATCH($D1715,Hierarchy!$A$2:$A$1295,0))="","",INDEX(Hierarchy!$G$2:$G$1295,MATCH($D1715,Hierarchy!$A$2:$A$1295,0))),"NODE NOT FOUND"))</f>
        <v>SWE</v>
      </c>
      <c r="K1715" s="7" t="str">
        <f aca="false">IF($D1715="","",IFERROR(IF(INDEX(Hierarchy!$H$2:$H$1295,MATCH($D1715,Hierarchy!$A$2:$A$1295,0))="","",INDEX(Hierarchy!$H$2:$H$1295,MATCH($D1715,Hierarchy!$A$2:$A$1295,0))),"NODE NOT FOUND"))</f>
        <v/>
      </c>
      <c r="L1715" s="7" t="str">
        <f aca="false">IF($D1715="","",IFERROR(IF(INDEX(Hierarchy!$I$2:$I$1295,MATCH($D1715,Hierarchy!$A$2:$A$1295,0))="","",INDEX(Hierarchy!$I$2:$I$1295,MATCH($D1715,Hierarchy!$A$2:$A$1295,0))),"NODE NOT FOUND"))</f>
        <v/>
      </c>
      <c r="M1715" s="17" t="str">
        <f aca="false">IF(B1715="Pre-seeded","Pre-seeded",IF(B1715="Review 2026-09-16","Added from review",IF(C1715="","New",IF(C1715=D1715,"","Changed"))))</f>
        <v/>
      </c>
      <c r="N1715" s="7" t="str">
        <f aca="false">TRIM(SUBSTITUTE(SUBSTITUTE(SUBSTITUTE(" "&amp;TRIM(SUBSTITUTE(SUBSTITUTE(SUBSTITUTE(SUBSTITUTE(SUBSTITUTE(SUBSTITUTE(SUBSTITUTE(SUBSTITUTE(SUBSTITUTE(SUBSTITUTE(SUBSTITUTE(SUBSTITUTE(SUBSTITUTE(SUBSTITUTE(SUBSTITUTE(UPPER(TRIM(A1715)),"[MEMBER]",""),"{MEMBER}",""),"[MEMBER}",""),"MEMBER]",""),"(A)",""),"""",""),"“",""),"”",""),".",""),":",""),",",""),"–"," "),"-"," "),"/"," "),"&amp;"," AND "))&amp;" "," THE "," ")," TOTAL "," ")," OPERATIONS "," "))</f>
        <v>SWEDEN</v>
      </c>
      <c r="O1715" s="17" t="str">
        <f aca="false">IF(COUNTIFS($N$2:$N$2000,N1715,$D$2:$D$2000,"&lt;&gt;"&amp;D1715)&gt;0,"CONFLICT","")</f>
        <v/>
      </c>
      <c r="P1715" s="7"/>
    </row>
    <row r="1716" customFormat="false" ht="15" hidden="false" customHeight="false" outlineLevel="0" collapsed="false">
      <c r="A1716" s="7" t="s">
        <v>2744</v>
      </c>
      <c r="B1716" s="7" t="s">
        <v>1879</v>
      </c>
      <c r="C1716" s="7"/>
      <c r="D1716" s="6" t="s">
        <v>978</v>
      </c>
      <c r="E1716" s="6" t="s">
        <v>1880</v>
      </c>
      <c r="F1716" s="7" t="str">
        <f aca="false">IF($D1716="","",IFERROR(IF(INDEX(Hierarchy!$B$2:$B$1295,MATCH($D1716,Hierarchy!$A$2:$A$1295,0))="","",INDEX(Hierarchy!$B$2:$B$1295,MATCH($D1716,Hierarchy!$A$2:$A$1295,0))),"NODE NOT FOUND"))</f>
        <v>Country</v>
      </c>
      <c r="G1716" s="7" t="str">
        <f aca="false">IF($D1716="","",IFERROR(IF(INDEX(Hierarchy!$D$2:$D$1295,MATCH($D1716,Hierarchy!$A$2:$A$1295,0))="","",INDEX(Hierarchy!$D$2:$D$1295,MATCH($D1716,Hierarchy!$A$2:$A$1295,0))),"NODE NOT FOUND"))</f>
        <v>EMEA</v>
      </c>
      <c r="H1716" s="7" t="str">
        <f aca="false">IF($D1716="","",IFERROR(IF(INDEX(Hierarchy!$E$2:$E$1295,MATCH($D1716,Hierarchy!$A$2:$A$1295,0))="","",INDEX(Hierarchy!$E$2:$E$1295,MATCH($D1716,Hierarchy!$A$2:$A$1295,0))),"NODE NOT FOUND"))</f>
        <v>Europe</v>
      </c>
      <c r="I1716" s="7" t="str">
        <f aca="false">IF($D1716="","",IFERROR(IF(INDEX(Hierarchy!$F$2:$F$1295,MATCH($D1716,Hierarchy!$A$2:$A$1295,0))="","",INDEX(Hierarchy!$F$2:$F$1295,MATCH($D1716,Hierarchy!$A$2:$A$1295,0))),"NODE NOT FOUND"))</f>
        <v>Switzerland</v>
      </c>
      <c r="J1716" s="7" t="str">
        <f aca="false">IF($D1716="","",IFERROR(IF(INDEX(Hierarchy!$G$2:$G$1295,MATCH($D1716,Hierarchy!$A$2:$A$1295,0))="","",INDEX(Hierarchy!$G$2:$G$1295,MATCH($D1716,Hierarchy!$A$2:$A$1295,0))),"NODE NOT FOUND"))</f>
        <v>CHE</v>
      </c>
      <c r="K1716" s="7" t="str">
        <f aca="false">IF($D1716="","",IFERROR(IF(INDEX(Hierarchy!$H$2:$H$1295,MATCH($D1716,Hierarchy!$A$2:$A$1295,0))="","",INDEX(Hierarchy!$H$2:$H$1295,MATCH($D1716,Hierarchy!$A$2:$A$1295,0))),"NODE NOT FOUND"))</f>
        <v/>
      </c>
      <c r="L1716" s="7" t="str">
        <f aca="false">IF($D1716="","",IFERROR(IF(INDEX(Hierarchy!$I$2:$I$1295,MATCH($D1716,Hierarchy!$A$2:$A$1295,0))="","",INDEX(Hierarchy!$I$2:$I$1295,MATCH($D1716,Hierarchy!$A$2:$A$1295,0))),"NODE NOT FOUND"))</f>
        <v/>
      </c>
      <c r="M1716" s="17" t="str">
        <f aca="false">IF(B1716="Pre-seeded","Pre-seeded",IF(B1716="Review 2026-09-16","Added from review",IF(C1716="","New",IF(C1716=D1716,"","Changed"))))</f>
        <v>Pre-seeded</v>
      </c>
      <c r="N1716" s="7" t="str">
        <f aca="false">TRIM(SUBSTITUTE(SUBSTITUTE(SUBSTITUTE(" "&amp;TRIM(SUBSTITUTE(SUBSTITUTE(SUBSTITUTE(SUBSTITUTE(SUBSTITUTE(SUBSTITUTE(SUBSTITUTE(SUBSTITUTE(SUBSTITUTE(SUBSTITUTE(SUBSTITUTE(SUBSTITUTE(SUBSTITUTE(SUBSTITUTE(SUBSTITUTE(UPPER(TRIM(A1716)),"[MEMBER]",""),"{MEMBER}",""),"[MEMBER}",""),"MEMBER]",""),"(A)",""),"""",""),"“",""),"”",""),".",""),":",""),",",""),"–"," "),"-"," "),"/"," "),"&amp;"," AND "))&amp;" "," THE "," ")," TOTAL "," ")," OPERATIONS "," "))</f>
        <v>SWISS CONFEDERATION</v>
      </c>
      <c r="O1716" s="17" t="str">
        <f aca="false">IF(COUNTIFS($N$2:$N$2000,N1716,$D$2:$D$2000,"&lt;&gt;"&amp;D1716)&gt;0,"CONFLICT","")</f>
        <v/>
      </c>
      <c r="P1716" s="7" t="s">
        <v>1936</v>
      </c>
    </row>
    <row r="1717" customFormat="false" ht="15" hidden="false" customHeight="false" outlineLevel="0" collapsed="false">
      <c r="A1717" s="7" t="s">
        <v>2745</v>
      </c>
      <c r="B1717" s="7" t="s">
        <v>1905</v>
      </c>
      <c r="C1717" s="7" t="s">
        <v>1906</v>
      </c>
      <c r="D1717" s="6" t="s">
        <v>978</v>
      </c>
      <c r="E1717" s="6" t="s">
        <v>1880</v>
      </c>
      <c r="F1717" s="7" t="str">
        <f aca="false">IF($D1717="","",IFERROR(IF(INDEX(Hierarchy!$B$2:$B$1295,MATCH($D1717,Hierarchy!$A$2:$A$1295,0))="","",INDEX(Hierarchy!$B$2:$B$1295,MATCH($D1717,Hierarchy!$A$2:$A$1295,0))),"NODE NOT FOUND"))</f>
        <v>Country</v>
      </c>
      <c r="G1717" s="7" t="str">
        <f aca="false">IF($D1717="","",IFERROR(IF(INDEX(Hierarchy!$D$2:$D$1295,MATCH($D1717,Hierarchy!$A$2:$A$1295,0))="","",INDEX(Hierarchy!$D$2:$D$1295,MATCH($D1717,Hierarchy!$A$2:$A$1295,0))),"NODE NOT FOUND"))</f>
        <v>EMEA</v>
      </c>
      <c r="H1717" s="7" t="str">
        <f aca="false">IF($D1717="","",IFERROR(IF(INDEX(Hierarchy!$E$2:$E$1295,MATCH($D1717,Hierarchy!$A$2:$A$1295,0))="","",INDEX(Hierarchy!$E$2:$E$1295,MATCH($D1717,Hierarchy!$A$2:$A$1295,0))),"NODE NOT FOUND"))</f>
        <v>Europe</v>
      </c>
      <c r="I1717" s="7" t="str">
        <f aca="false">IF($D1717="","",IFERROR(IF(INDEX(Hierarchy!$F$2:$F$1295,MATCH($D1717,Hierarchy!$A$2:$A$1295,0))="","",INDEX(Hierarchy!$F$2:$F$1295,MATCH($D1717,Hierarchy!$A$2:$A$1295,0))),"NODE NOT FOUND"))</f>
        <v>Switzerland</v>
      </c>
      <c r="J1717" s="7" t="str">
        <f aca="false">IF($D1717="","",IFERROR(IF(INDEX(Hierarchy!$G$2:$G$1295,MATCH($D1717,Hierarchy!$A$2:$A$1295,0))="","",INDEX(Hierarchy!$G$2:$G$1295,MATCH($D1717,Hierarchy!$A$2:$A$1295,0))),"NODE NOT FOUND"))</f>
        <v>CHE</v>
      </c>
      <c r="K1717" s="7" t="str">
        <f aca="false">IF($D1717="","",IFERROR(IF(INDEX(Hierarchy!$H$2:$H$1295,MATCH($D1717,Hierarchy!$A$2:$A$1295,0))="","",INDEX(Hierarchy!$H$2:$H$1295,MATCH($D1717,Hierarchy!$A$2:$A$1295,0))),"NODE NOT FOUND"))</f>
        <v/>
      </c>
      <c r="L1717" s="7" t="str">
        <f aca="false">IF($D1717="","",IFERROR(IF(INDEX(Hierarchy!$I$2:$I$1295,MATCH($D1717,Hierarchy!$A$2:$A$1295,0))="","",INDEX(Hierarchy!$I$2:$I$1295,MATCH($D1717,Hierarchy!$A$2:$A$1295,0))),"NODE NOT FOUND"))</f>
        <v/>
      </c>
      <c r="M1717" s="17" t="str">
        <f aca="false">IF(B1717="Pre-seeded","Pre-seeded",IF(B1717="Review 2026-09-16","Added from review",IF(C1717="","New",IF(C1717=D1717,"","Changed"))))</f>
        <v>Changed</v>
      </c>
      <c r="N1717" s="7" t="str">
        <f aca="false">TRIM(SUBSTITUTE(SUBSTITUTE(SUBSTITUTE(" "&amp;TRIM(SUBSTITUTE(SUBSTITUTE(SUBSTITUTE(SUBSTITUTE(SUBSTITUTE(SUBSTITUTE(SUBSTITUTE(SUBSTITUTE(SUBSTITUTE(SUBSTITUTE(SUBSTITUTE(SUBSTITUTE(SUBSTITUTE(SUBSTITUTE(SUBSTITUTE(UPPER(TRIM(A1717)),"[MEMBER]",""),"{MEMBER}",""),"[MEMBER}",""),"MEMBER]",""),"(A)",""),"""",""),"“",""),"”",""),".",""),":",""),",",""),"–"," "),"-"," "),"/"," "),"&amp;"," AND "))&amp;" "," THE "," ")," TOTAL "," ")," OPERATIONS "," "))</f>
        <v>SWISS SUBSIDIARY</v>
      </c>
      <c r="O1717" s="17" t="str">
        <f aca="false">IF(COUNTIFS($N$2:$N$2000,N1717,$D$2:$D$2000,"&lt;&gt;"&amp;D1717)&gt;0,"CONFLICT","")</f>
        <v/>
      </c>
      <c r="P1717" s="7" t="s">
        <v>2746</v>
      </c>
    </row>
    <row r="1718" customFormat="false" ht="15" hidden="false" customHeight="false" outlineLevel="0" collapsed="false">
      <c r="A1718" s="7" t="s">
        <v>978</v>
      </c>
      <c r="B1718" s="7" t="s">
        <v>1882</v>
      </c>
      <c r="C1718" s="7" t="s">
        <v>978</v>
      </c>
      <c r="D1718" s="6" t="s">
        <v>978</v>
      </c>
      <c r="E1718" s="6" t="s">
        <v>1880</v>
      </c>
      <c r="F1718" s="7" t="str">
        <f aca="false">IF($D1718="","",IFERROR(IF(INDEX(Hierarchy!$B$2:$B$1295,MATCH($D1718,Hierarchy!$A$2:$A$1295,0))="","",INDEX(Hierarchy!$B$2:$B$1295,MATCH($D1718,Hierarchy!$A$2:$A$1295,0))),"NODE NOT FOUND"))</f>
        <v>Country</v>
      </c>
      <c r="G1718" s="7" t="str">
        <f aca="false">IF($D1718="","",IFERROR(IF(INDEX(Hierarchy!$D$2:$D$1295,MATCH($D1718,Hierarchy!$A$2:$A$1295,0))="","",INDEX(Hierarchy!$D$2:$D$1295,MATCH($D1718,Hierarchy!$A$2:$A$1295,0))),"NODE NOT FOUND"))</f>
        <v>EMEA</v>
      </c>
      <c r="H1718" s="7" t="str">
        <f aca="false">IF($D1718="","",IFERROR(IF(INDEX(Hierarchy!$E$2:$E$1295,MATCH($D1718,Hierarchy!$A$2:$A$1295,0))="","",INDEX(Hierarchy!$E$2:$E$1295,MATCH($D1718,Hierarchy!$A$2:$A$1295,0))),"NODE NOT FOUND"))</f>
        <v>Europe</v>
      </c>
      <c r="I1718" s="7" t="str">
        <f aca="false">IF($D1718="","",IFERROR(IF(INDEX(Hierarchy!$F$2:$F$1295,MATCH($D1718,Hierarchy!$A$2:$A$1295,0))="","",INDEX(Hierarchy!$F$2:$F$1295,MATCH($D1718,Hierarchy!$A$2:$A$1295,0))),"NODE NOT FOUND"))</f>
        <v>Switzerland</v>
      </c>
      <c r="J1718" s="7" t="str">
        <f aca="false">IF($D1718="","",IFERROR(IF(INDEX(Hierarchy!$G$2:$G$1295,MATCH($D1718,Hierarchy!$A$2:$A$1295,0))="","",INDEX(Hierarchy!$G$2:$G$1295,MATCH($D1718,Hierarchy!$A$2:$A$1295,0))),"NODE NOT FOUND"))</f>
        <v>CHE</v>
      </c>
      <c r="K1718" s="7" t="str">
        <f aca="false">IF($D1718="","",IFERROR(IF(INDEX(Hierarchy!$H$2:$H$1295,MATCH($D1718,Hierarchy!$A$2:$A$1295,0))="","",INDEX(Hierarchy!$H$2:$H$1295,MATCH($D1718,Hierarchy!$A$2:$A$1295,0))),"NODE NOT FOUND"))</f>
        <v/>
      </c>
      <c r="L1718" s="7" t="str">
        <f aca="false">IF($D1718="","",IFERROR(IF(INDEX(Hierarchy!$I$2:$I$1295,MATCH($D1718,Hierarchy!$A$2:$A$1295,0))="","",INDEX(Hierarchy!$I$2:$I$1295,MATCH($D1718,Hierarchy!$A$2:$A$1295,0))),"NODE NOT FOUND"))</f>
        <v/>
      </c>
      <c r="M1718" s="17" t="str">
        <f aca="false">IF(B1718="Pre-seeded","Pre-seeded",IF(B1718="Review 2026-09-16","Added from review",IF(C1718="","New",IF(C1718=D1718,"","Changed"))))</f>
        <v/>
      </c>
      <c r="N1718" s="7" t="str">
        <f aca="false">TRIM(SUBSTITUTE(SUBSTITUTE(SUBSTITUTE(" "&amp;TRIM(SUBSTITUTE(SUBSTITUTE(SUBSTITUTE(SUBSTITUTE(SUBSTITUTE(SUBSTITUTE(SUBSTITUTE(SUBSTITUTE(SUBSTITUTE(SUBSTITUTE(SUBSTITUTE(SUBSTITUTE(SUBSTITUTE(SUBSTITUTE(SUBSTITUTE(UPPER(TRIM(A1718)),"[MEMBER]",""),"{MEMBER}",""),"[MEMBER}",""),"MEMBER]",""),"(A)",""),"""",""),"“",""),"”",""),".",""),":",""),",",""),"–"," "),"-"," "),"/"," "),"&amp;"," AND "))&amp;" "," THE "," ")," TOTAL "," ")," OPERATIONS "," "))</f>
        <v>SWITZERLAND</v>
      </c>
      <c r="O1718" s="17" t="str">
        <f aca="false">IF(COUNTIFS($N$2:$N$2000,N1718,$D$2:$D$2000,"&lt;&gt;"&amp;D1718)&gt;0,"CONFLICT","")</f>
        <v/>
      </c>
      <c r="P1718" s="7"/>
    </row>
    <row r="1719" customFormat="false" ht="15" hidden="false" customHeight="false" outlineLevel="0" collapsed="false">
      <c r="A1719" s="7" t="s">
        <v>2747</v>
      </c>
      <c r="B1719" s="7" t="s">
        <v>1882</v>
      </c>
      <c r="C1719" s="7" t="s">
        <v>978</v>
      </c>
      <c r="D1719" s="6" t="s">
        <v>978</v>
      </c>
      <c r="E1719" s="6" t="s">
        <v>1880</v>
      </c>
      <c r="F1719" s="7" t="str">
        <f aca="false">IF($D1719="","",IFERROR(IF(INDEX(Hierarchy!$B$2:$B$1295,MATCH($D1719,Hierarchy!$A$2:$A$1295,0))="","",INDEX(Hierarchy!$B$2:$B$1295,MATCH($D1719,Hierarchy!$A$2:$A$1295,0))),"NODE NOT FOUND"))</f>
        <v>Country</v>
      </c>
      <c r="G1719" s="7" t="str">
        <f aca="false">IF($D1719="","",IFERROR(IF(INDEX(Hierarchy!$D$2:$D$1295,MATCH($D1719,Hierarchy!$A$2:$A$1295,0))="","",INDEX(Hierarchy!$D$2:$D$1295,MATCH($D1719,Hierarchy!$A$2:$A$1295,0))),"NODE NOT FOUND"))</f>
        <v>EMEA</v>
      </c>
      <c r="H1719" s="7" t="str">
        <f aca="false">IF($D1719="","",IFERROR(IF(INDEX(Hierarchy!$E$2:$E$1295,MATCH($D1719,Hierarchy!$A$2:$A$1295,0))="","",INDEX(Hierarchy!$E$2:$E$1295,MATCH($D1719,Hierarchy!$A$2:$A$1295,0))),"NODE NOT FOUND"))</f>
        <v>Europe</v>
      </c>
      <c r="I1719" s="7" t="str">
        <f aca="false">IF($D1719="","",IFERROR(IF(INDEX(Hierarchy!$F$2:$F$1295,MATCH($D1719,Hierarchy!$A$2:$A$1295,0))="","",INDEX(Hierarchy!$F$2:$F$1295,MATCH($D1719,Hierarchy!$A$2:$A$1295,0))),"NODE NOT FOUND"))</f>
        <v>Switzerland</v>
      </c>
      <c r="J1719" s="7" t="str">
        <f aca="false">IF($D1719="","",IFERROR(IF(INDEX(Hierarchy!$G$2:$G$1295,MATCH($D1719,Hierarchy!$A$2:$A$1295,0))="","",INDEX(Hierarchy!$G$2:$G$1295,MATCH($D1719,Hierarchy!$A$2:$A$1295,0))),"NODE NOT FOUND"))</f>
        <v>CHE</v>
      </c>
      <c r="K1719" s="7" t="str">
        <f aca="false">IF($D1719="","",IFERROR(IF(INDEX(Hierarchy!$H$2:$H$1295,MATCH($D1719,Hierarchy!$A$2:$A$1295,0))="","",INDEX(Hierarchy!$H$2:$H$1295,MATCH($D1719,Hierarchy!$A$2:$A$1295,0))),"NODE NOT FOUND"))</f>
        <v/>
      </c>
      <c r="L1719" s="7" t="str">
        <f aca="false">IF($D1719="","",IFERROR(IF(INDEX(Hierarchy!$I$2:$I$1295,MATCH($D1719,Hierarchy!$A$2:$A$1295,0))="","",INDEX(Hierarchy!$I$2:$I$1295,MATCH($D1719,Hierarchy!$A$2:$A$1295,0))),"NODE NOT FOUND"))</f>
        <v/>
      </c>
      <c r="M1719" s="17" t="str">
        <f aca="false">IF(B1719="Pre-seeded","Pre-seeded",IF(B1719="Review 2026-09-16","Added from review",IF(C1719="","New",IF(C1719=D1719,"","Changed"))))</f>
        <v/>
      </c>
      <c r="N1719" s="7" t="str">
        <f aca="false">TRIM(SUBSTITUTE(SUBSTITUTE(SUBSTITUTE(" "&amp;TRIM(SUBSTITUTE(SUBSTITUTE(SUBSTITUTE(SUBSTITUTE(SUBSTITUTE(SUBSTITUTE(SUBSTITUTE(SUBSTITUTE(SUBSTITUTE(SUBSTITUTE(SUBSTITUTE(SUBSTITUTE(SUBSTITUTE(SUBSTITUTE(SUBSTITUTE(UPPER(TRIM(A1719)),"[MEMBER]",""),"{MEMBER}",""),"[MEMBER}",""),"MEMBER]",""),"(A)",""),"""",""),"“",""),"”",""),".",""),":",""),",",""),"–"," "),"-"," "),"/"," "),"&amp;"," AND "))&amp;" "," THE "," ")," TOTAL "," ")," OPERATIONS "," "))</f>
        <v>SWITZERLAND</v>
      </c>
      <c r="O1719" s="17" t="str">
        <f aca="false">IF(COUNTIFS($N$2:$N$2000,N1719,$D$2:$D$2000,"&lt;&gt;"&amp;D1719)&gt;0,"CONFLICT","")</f>
        <v/>
      </c>
      <c r="P1719" s="7"/>
    </row>
    <row r="1720" customFormat="false" ht="15" hidden="false" customHeight="false" outlineLevel="0" collapsed="false">
      <c r="A1720" s="7" t="s">
        <v>1385</v>
      </c>
      <c r="B1720" s="7" t="s">
        <v>1879</v>
      </c>
      <c r="C1720" s="7"/>
      <c r="D1720" s="6" t="s">
        <v>1385</v>
      </c>
      <c r="E1720" s="6" t="s">
        <v>1880</v>
      </c>
      <c r="F1720" s="7" t="str">
        <f aca="false">IF($D1720="","",IFERROR(IF(INDEX(Hierarchy!$B$2:$B$1295,MATCH($D1720,Hierarchy!$A$2:$A$1295,0))="","",INDEX(Hierarchy!$B$2:$B$1295,MATCH($D1720,Hierarchy!$A$2:$A$1295,0))),"NODE NOT FOUND"))</f>
        <v>State/Province</v>
      </c>
      <c r="G1720" s="7" t="str">
        <f aca="false">IF($D1720="","",IFERROR(IF(INDEX(Hierarchy!$D$2:$D$1295,MATCH($D1720,Hierarchy!$A$2:$A$1295,0))="","",INDEX(Hierarchy!$D$2:$D$1295,MATCH($D1720,Hierarchy!$A$2:$A$1295,0))),"NODE NOT FOUND"))</f>
        <v>APAC</v>
      </c>
      <c r="H1720" s="7" t="str">
        <f aca="false">IF($D1720="","",IFERROR(IF(INDEX(Hierarchy!$E$2:$E$1295,MATCH($D1720,Hierarchy!$A$2:$A$1295,0))="","",INDEX(Hierarchy!$E$2:$E$1295,MATCH($D1720,Hierarchy!$A$2:$A$1295,0))),"NODE NOT FOUND"))</f>
        <v>South Asia</v>
      </c>
      <c r="I1720" s="7" t="str">
        <f aca="false">IF($D1720="","",IFERROR(IF(INDEX(Hierarchy!$F$2:$F$1295,MATCH($D1720,Hierarchy!$A$2:$A$1295,0))="","",INDEX(Hierarchy!$F$2:$F$1295,MATCH($D1720,Hierarchy!$A$2:$A$1295,0))),"NODE NOT FOUND"))</f>
        <v>Bangladesh</v>
      </c>
      <c r="J1720" s="7" t="str">
        <f aca="false">IF($D1720="","",IFERROR(IF(INDEX(Hierarchy!$G$2:$G$1295,MATCH($D1720,Hierarchy!$A$2:$A$1295,0))="","",INDEX(Hierarchy!$G$2:$G$1295,MATCH($D1720,Hierarchy!$A$2:$A$1295,0))),"NODE NOT FOUND"))</f>
        <v>BGD</v>
      </c>
      <c r="K1720" s="7" t="str">
        <f aca="false">IF($D1720="","",IFERROR(IF(INDEX(Hierarchy!$H$2:$H$1295,MATCH($D1720,Hierarchy!$A$2:$A$1295,0))="","",INDEX(Hierarchy!$H$2:$H$1295,MATCH($D1720,Hierarchy!$A$2:$A$1295,0))),"NODE NOT FOUND"))</f>
        <v>Sylhet</v>
      </c>
      <c r="L1720" s="7" t="str">
        <f aca="false">IF($D1720="","",IFERROR(IF(INDEX(Hierarchy!$I$2:$I$1295,MATCH($D1720,Hierarchy!$A$2:$A$1295,0))="","",INDEX(Hierarchy!$I$2:$I$1295,MATCH($D1720,Hierarchy!$A$2:$A$1295,0))),"NODE NOT FOUND"))</f>
        <v/>
      </c>
      <c r="M1720" s="17" t="str">
        <f aca="false">IF(B1720="Pre-seeded","Pre-seeded",IF(B1720="Review 2026-09-16","Added from review",IF(C1720="","New",IF(C1720=D1720,"","Changed"))))</f>
        <v>Pre-seeded</v>
      </c>
      <c r="N1720" s="7" t="str">
        <f aca="false">TRIM(SUBSTITUTE(SUBSTITUTE(SUBSTITUTE(" "&amp;TRIM(SUBSTITUTE(SUBSTITUTE(SUBSTITUTE(SUBSTITUTE(SUBSTITUTE(SUBSTITUTE(SUBSTITUTE(SUBSTITUTE(SUBSTITUTE(SUBSTITUTE(SUBSTITUTE(SUBSTITUTE(SUBSTITUTE(SUBSTITUTE(SUBSTITUTE(UPPER(TRIM(A1720)),"[MEMBER]",""),"{MEMBER}",""),"[MEMBER}",""),"MEMBER]",""),"(A)",""),"""",""),"“",""),"”",""),".",""),":",""),",",""),"–"," "),"-"," "),"/"," "),"&amp;"," AND "))&amp;" "," THE "," ")," TOTAL "," ")," OPERATIONS "," "))</f>
        <v>SYLHET</v>
      </c>
      <c r="O1720" s="17" t="str">
        <f aca="false">IF(COUNTIFS($N$2:$N$2000,N1720,$D$2:$D$2000,"&lt;&gt;"&amp;D1720)&gt;0,"CONFLICT","")</f>
        <v/>
      </c>
      <c r="P1720" s="7"/>
    </row>
    <row r="1721" customFormat="false" ht="15" hidden="false" customHeight="false" outlineLevel="0" collapsed="false">
      <c r="A1721" s="7" t="s">
        <v>1090</v>
      </c>
      <c r="B1721" s="7" t="s">
        <v>1879</v>
      </c>
      <c r="C1721" s="7"/>
      <c r="D1721" s="6" t="s">
        <v>1090</v>
      </c>
      <c r="E1721" s="6" t="s">
        <v>1880</v>
      </c>
      <c r="F1721" s="7" t="str">
        <f aca="false">IF($D1721="","",IFERROR(IF(INDEX(Hierarchy!$B$2:$B$1295,MATCH($D1721,Hierarchy!$A$2:$A$1295,0))="","",INDEX(Hierarchy!$B$2:$B$1295,MATCH($D1721,Hierarchy!$A$2:$A$1295,0))),"NODE NOT FOUND"))</f>
        <v>Country</v>
      </c>
      <c r="G1721" s="7" t="str">
        <f aca="false">IF($D1721="","",IFERROR(IF(INDEX(Hierarchy!$D$2:$D$1295,MATCH($D1721,Hierarchy!$A$2:$A$1295,0))="","",INDEX(Hierarchy!$D$2:$D$1295,MATCH($D1721,Hierarchy!$A$2:$A$1295,0))),"NODE NOT FOUND"))</f>
        <v>EMEA</v>
      </c>
      <c r="H1721" s="7" t="str">
        <f aca="false">IF($D1721="","",IFERROR(IF(INDEX(Hierarchy!$E$2:$E$1295,MATCH($D1721,Hierarchy!$A$2:$A$1295,0))="","",INDEX(Hierarchy!$E$2:$E$1295,MATCH($D1721,Hierarchy!$A$2:$A$1295,0))),"NODE NOT FOUND"))</f>
        <v>Middle East</v>
      </c>
      <c r="I1721" s="7" t="str">
        <f aca="false">IF($D1721="","",IFERROR(IF(INDEX(Hierarchy!$F$2:$F$1295,MATCH($D1721,Hierarchy!$A$2:$A$1295,0))="","",INDEX(Hierarchy!$F$2:$F$1295,MATCH($D1721,Hierarchy!$A$2:$A$1295,0))),"NODE NOT FOUND"))</f>
        <v>Syria</v>
      </c>
      <c r="J1721" s="7" t="str">
        <f aca="false">IF($D1721="","",IFERROR(IF(INDEX(Hierarchy!$G$2:$G$1295,MATCH($D1721,Hierarchy!$A$2:$A$1295,0))="","",INDEX(Hierarchy!$G$2:$G$1295,MATCH($D1721,Hierarchy!$A$2:$A$1295,0))),"NODE NOT FOUND"))</f>
        <v>SYR</v>
      </c>
      <c r="K1721" s="7" t="str">
        <f aca="false">IF($D1721="","",IFERROR(IF(INDEX(Hierarchy!$H$2:$H$1295,MATCH($D1721,Hierarchy!$A$2:$A$1295,0))="","",INDEX(Hierarchy!$H$2:$H$1295,MATCH($D1721,Hierarchy!$A$2:$A$1295,0))),"NODE NOT FOUND"))</f>
        <v/>
      </c>
      <c r="L1721" s="7" t="str">
        <f aca="false">IF($D1721="","",IFERROR(IF(INDEX(Hierarchy!$I$2:$I$1295,MATCH($D1721,Hierarchy!$A$2:$A$1295,0))="","",INDEX(Hierarchy!$I$2:$I$1295,MATCH($D1721,Hierarchy!$A$2:$A$1295,0))),"NODE NOT FOUND"))</f>
        <v/>
      </c>
      <c r="M1721" s="17" t="str">
        <f aca="false">IF(B1721="Pre-seeded","Pre-seeded",IF(B1721="Review 2026-09-16","Added from review",IF(C1721="","New",IF(C1721=D1721,"","Changed"))))</f>
        <v>Pre-seeded</v>
      </c>
      <c r="N1721" s="7" t="str">
        <f aca="false">TRIM(SUBSTITUTE(SUBSTITUTE(SUBSTITUTE(" "&amp;TRIM(SUBSTITUTE(SUBSTITUTE(SUBSTITUTE(SUBSTITUTE(SUBSTITUTE(SUBSTITUTE(SUBSTITUTE(SUBSTITUTE(SUBSTITUTE(SUBSTITUTE(SUBSTITUTE(SUBSTITUTE(SUBSTITUTE(SUBSTITUTE(SUBSTITUTE(UPPER(TRIM(A1721)),"[MEMBER]",""),"{MEMBER}",""),"[MEMBER}",""),"MEMBER]",""),"(A)",""),"""",""),"“",""),"”",""),".",""),":",""),",",""),"–"," "),"-"," "),"/"," "),"&amp;"," AND "))&amp;" "," THE "," ")," TOTAL "," ")," OPERATIONS "," "))</f>
        <v>SYRIA</v>
      </c>
      <c r="O1721" s="17" t="str">
        <f aca="false">IF(COUNTIFS($N$2:$N$2000,N1721,$D$2:$D$2000,"&lt;&gt;"&amp;D1721)&gt;0,"CONFLICT","")</f>
        <v/>
      </c>
      <c r="P1721" s="7"/>
    </row>
    <row r="1722" customFormat="false" ht="15" hidden="false" customHeight="false" outlineLevel="0" collapsed="false">
      <c r="A1722" s="7" t="s">
        <v>2748</v>
      </c>
      <c r="B1722" s="7" t="s">
        <v>1879</v>
      </c>
      <c r="C1722" s="7"/>
      <c r="D1722" s="6" t="s">
        <v>1090</v>
      </c>
      <c r="E1722" s="6" t="s">
        <v>1880</v>
      </c>
      <c r="F1722" s="7" t="str">
        <f aca="false">IF($D1722="","",IFERROR(IF(INDEX(Hierarchy!$B$2:$B$1295,MATCH($D1722,Hierarchy!$A$2:$A$1295,0))="","",INDEX(Hierarchy!$B$2:$B$1295,MATCH($D1722,Hierarchy!$A$2:$A$1295,0))),"NODE NOT FOUND"))</f>
        <v>Country</v>
      </c>
      <c r="G1722" s="7" t="str">
        <f aca="false">IF($D1722="","",IFERROR(IF(INDEX(Hierarchy!$D$2:$D$1295,MATCH($D1722,Hierarchy!$A$2:$A$1295,0))="","",INDEX(Hierarchy!$D$2:$D$1295,MATCH($D1722,Hierarchy!$A$2:$A$1295,0))),"NODE NOT FOUND"))</f>
        <v>EMEA</v>
      </c>
      <c r="H1722" s="7" t="str">
        <f aca="false">IF($D1722="","",IFERROR(IF(INDEX(Hierarchy!$E$2:$E$1295,MATCH($D1722,Hierarchy!$A$2:$A$1295,0))="","",INDEX(Hierarchy!$E$2:$E$1295,MATCH($D1722,Hierarchy!$A$2:$A$1295,0))),"NODE NOT FOUND"))</f>
        <v>Middle East</v>
      </c>
      <c r="I1722" s="7" t="str">
        <f aca="false">IF($D1722="","",IFERROR(IF(INDEX(Hierarchy!$F$2:$F$1295,MATCH($D1722,Hierarchy!$A$2:$A$1295,0))="","",INDEX(Hierarchy!$F$2:$F$1295,MATCH($D1722,Hierarchy!$A$2:$A$1295,0))),"NODE NOT FOUND"))</f>
        <v>Syria</v>
      </c>
      <c r="J1722" s="7" t="str">
        <f aca="false">IF($D1722="","",IFERROR(IF(INDEX(Hierarchy!$G$2:$G$1295,MATCH($D1722,Hierarchy!$A$2:$A$1295,0))="","",INDEX(Hierarchy!$G$2:$G$1295,MATCH($D1722,Hierarchy!$A$2:$A$1295,0))),"NODE NOT FOUND"))</f>
        <v>SYR</v>
      </c>
      <c r="K1722" s="7" t="str">
        <f aca="false">IF($D1722="","",IFERROR(IF(INDEX(Hierarchy!$H$2:$H$1295,MATCH($D1722,Hierarchy!$A$2:$A$1295,0))="","",INDEX(Hierarchy!$H$2:$H$1295,MATCH($D1722,Hierarchy!$A$2:$A$1295,0))),"NODE NOT FOUND"))</f>
        <v/>
      </c>
      <c r="L1722" s="7" t="str">
        <f aca="false">IF($D1722="","",IFERROR(IF(INDEX(Hierarchy!$I$2:$I$1295,MATCH($D1722,Hierarchy!$A$2:$A$1295,0))="","",INDEX(Hierarchy!$I$2:$I$1295,MATCH($D1722,Hierarchy!$A$2:$A$1295,0))),"NODE NOT FOUND"))</f>
        <v/>
      </c>
      <c r="M1722" s="17" t="str">
        <f aca="false">IF(B1722="Pre-seeded","Pre-seeded",IF(B1722="Review 2026-09-16","Added from review",IF(C1722="","New",IF(C1722=D1722,"","Changed"))))</f>
        <v>Pre-seeded</v>
      </c>
      <c r="N1722" s="7" t="str">
        <f aca="false">TRIM(SUBSTITUTE(SUBSTITUTE(SUBSTITUTE(" "&amp;TRIM(SUBSTITUTE(SUBSTITUTE(SUBSTITUTE(SUBSTITUTE(SUBSTITUTE(SUBSTITUTE(SUBSTITUTE(SUBSTITUTE(SUBSTITUTE(SUBSTITUTE(SUBSTITUTE(SUBSTITUTE(SUBSTITUTE(SUBSTITUTE(SUBSTITUTE(UPPER(TRIM(A1722)),"[MEMBER]",""),"{MEMBER}",""),"[MEMBER}",""),"MEMBER]",""),"(A)",""),"""",""),"“",""),"”",""),".",""),":",""),",",""),"–"," "),"-"," "),"/"," "),"&amp;"," AND "))&amp;" "," THE "," ")," TOTAL "," ")," OPERATIONS "," "))</f>
        <v>SYRIAN ARAB REPUBLIC</v>
      </c>
      <c r="O1722" s="17" t="str">
        <f aca="false">IF(COUNTIFS($N$2:$N$2000,N1722,$D$2:$D$2000,"&lt;&gt;"&amp;D1722)&gt;0,"CONFLICT","")</f>
        <v/>
      </c>
      <c r="P1722" s="7" t="s">
        <v>1936</v>
      </c>
    </row>
    <row r="1723" customFormat="false" ht="15" hidden="false" customHeight="false" outlineLevel="0" collapsed="false">
      <c r="A1723" s="7" t="s">
        <v>373</v>
      </c>
      <c r="B1723" s="7" t="s">
        <v>1879</v>
      </c>
      <c r="C1723" s="7"/>
      <c r="D1723" s="6" t="s">
        <v>373</v>
      </c>
      <c r="E1723" s="6" t="s">
        <v>1880</v>
      </c>
      <c r="F1723" s="7" t="str">
        <f aca="false">IF($D1723="","",IFERROR(IF(INDEX(Hierarchy!$B$2:$B$1295,MATCH($D1723,Hierarchy!$A$2:$A$1295,0))="","",INDEX(Hierarchy!$B$2:$B$1295,MATCH($D1723,Hierarchy!$A$2:$A$1295,0))),"NODE NOT FOUND"))</f>
        <v>State/Province</v>
      </c>
      <c r="G1723" s="7" t="str">
        <f aca="false">IF($D1723="","",IFERROR(IF(INDEX(Hierarchy!$D$2:$D$1295,MATCH($D1723,Hierarchy!$A$2:$A$1295,0))="","",INDEX(Hierarchy!$D$2:$D$1295,MATCH($D1723,Hierarchy!$A$2:$A$1295,0))),"NODE NOT FOUND"))</f>
        <v>AMER</v>
      </c>
      <c r="H1723" s="7" t="str">
        <f aca="false">IF($D1723="","",IFERROR(IF(INDEX(Hierarchy!$E$2:$E$1295,MATCH($D1723,Hierarchy!$A$2:$A$1295,0))="","",INDEX(Hierarchy!$E$2:$E$1295,MATCH($D1723,Hierarchy!$A$2:$A$1295,0))),"NODE NOT FOUND"))</f>
        <v>Latin America (LATAM)</v>
      </c>
      <c r="I1723" s="7" t="str">
        <f aca="false">IF($D1723="","",IFERROR(IF(INDEX(Hierarchy!$F$2:$F$1295,MATCH($D1723,Hierarchy!$A$2:$A$1295,0))="","",INDEX(Hierarchy!$F$2:$F$1295,MATCH($D1723,Hierarchy!$A$2:$A$1295,0))),"NODE NOT FOUND"))</f>
        <v>Brazil</v>
      </c>
      <c r="J1723" s="7" t="str">
        <f aca="false">IF($D1723="","",IFERROR(IF(INDEX(Hierarchy!$G$2:$G$1295,MATCH($D1723,Hierarchy!$A$2:$A$1295,0))="","",INDEX(Hierarchy!$G$2:$G$1295,MATCH($D1723,Hierarchy!$A$2:$A$1295,0))),"NODE NOT FOUND"))</f>
        <v>BRA</v>
      </c>
      <c r="K1723" s="7" t="str">
        <f aca="false">IF($D1723="","",IFERROR(IF(INDEX(Hierarchy!$H$2:$H$1295,MATCH($D1723,Hierarchy!$A$2:$A$1295,0))="","",INDEX(Hierarchy!$H$2:$H$1295,MATCH($D1723,Hierarchy!$A$2:$A$1295,0))),"NODE NOT FOUND"))</f>
        <v>São Paulo</v>
      </c>
      <c r="L1723" s="7" t="str">
        <f aca="false">IF($D1723="","",IFERROR(IF(INDEX(Hierarchy!$I$2:$I$1295,MATCH($D1723,Hierarchy!$A$2:$A$1295,0))="","",INDEX(Hierarchy!$I$2:$I$1295,MATCH($D1723,Hierarchy!$A$2:$A$1295,0))),"NODE NOT FOUND"))</f>
        <v/>
      </c>
      <c r="M1723" s="17" t="str">
        <f aca="false">IF(B1723="Pre-seeded","Pre-seeded",IF(B1723="Review 2026-09-16","Added from review",IF(C1723="","New",IF(C1723=D1723,"","Changed"))))</f>
        <v>Pre-seeded</v>
      </c>
      <c r="N1723" s="7" t="str">
        <f aca="false">TRIM(SUBSTITUTE(SUBSTITUTE(SUBSTITUTE(" "&amp;TRIM(SUBSTITUTE(SUBSTITUTE(SUBSTITUTE(SUBSTITUTE(SUBSTITUTE(SUBSTITUTE(SUBSTITUTE(SUBSTITUTE(SUBSTITUTE(SUBSTITUTE(SUBSTITUTE(SUBSTITUTE(SUBSTITUTE(SUBSTITUTE(SUBSTITUTE(UPPER(TRIM(A1723)),"[MEMBER]",""),"{MEMBER}",""),"[MEMBER}",""),"MEMBER]",""),"(A)",""),"""",""),"“",""),"”",""),".",""),":",""),",",""),"–"," "),"-"," "),"/"," "),"&amp;"," AND "))&amp;" "," THE "," ")," TOTAL "," ")," OPERATIONS "," "))</f>
        <v>SÃO PAULO</v>
      </c>
      <c r="O1723" s="17" t="str">
        <f aca="false">IF(COUNTIFS($N$2:$N$2000,N1723,$D$2:$D$2000,"&lt;&gt;"&amp;D1723)&gt;0,"CONFLICT","")</f>
        <v/>
      </c>
      <c r="P1723" s="7"/>
    </row>
    <row r="1724" customFormat="false" ht="15" hidden="false" customHeight="false" outlineLevel="0" collapsed="false">
      <c r="A1724" s="7" t="s">
        <v>414</v>
      </c>
      <c r="B1724" s="7" t="s">
        <v>1879</v>
      </c>
      <c r="C1724" s="7"/>
      <c r="D1724" s="6" t="s">
        <v>414</v>
      </c>
      <c r="E1724" s="6" t="s">
        <v>1880</v>
      </c>
      <c r="F1724" s="7" t="str">
        <f aca="false">IF($D1724="","",IFERROR(IF(INDEX(Hierarchy!$B$2:$B$1295,MATCH($D1724,Hierarchy!$A$2:$A$1295,0))="","",INDEX(Hierarchy!$B$2:$B$1295,MATCH($D1724,Hierarchy!$A$2:$A$1295,0))),"NODE NOT FOUND"))</f>
        <v>State/Province</v>
      </c>
      <c r="G1724" s="7" t="str">
        <f aca="false">IF($D1724="","",IFERROR(IF(INDEX(Hierarchy!$D$2:$D$1295,MATCH($D1724,Hierarchy!$A$2:$A$1295,0))="","",INDEX(Hierarchy!$D$2:$D$1295,MATCH($D1724,Hierarchy!$A$2:$A$1295,0))),"NODE NOT FOUND"))</f>
        <v>AMER</v>
      </c>
      <c r="H1724" s="7" t="str">
        <f aca="false">IF($D1724="","",IFERROR(IF(INDEX(Hierarchy!$E$2:$E$1295,MATCH($D1724,Hierarchy!$A$2:$A$1295,0))="","",INDEX(Hierarchy!$E$2:$E$1295,MATCH($D1724,Hierarchy!$A$2:$A$1295,0))),"NODE NOT FOUND"))</f>
        <v>Latin America (LATAM)</v>
      </c>
      <c r="I1724" s="7" t="str">
        <f aca="false">IF($D1724="","",IFERROR(IF(INDEX(Hierarchy!$F$2:$F$1295,MATCH($D1724,Hierarchy!$A$2:$A$1295,0))="","",INDEX(Hierarchy!$F$2:$F$1295,MATCH($D1724,Hierarchy!$A$2:$A$1295,0))),"NODE NOT FOUND"))</f>
        <v>Mexico</v>
      </c>
      <c r="J1724" s="7" t="str">
        <f aca="false">IF($D1724="","",IFERROR(IF(INDEX(Hierarchy!$G$2:$G$1295,MATCH($D1724,Hierarchy!$A$2:$A$1295,0))="","",INDEX(Hierarchy!$G$2:$G$1295,MATCH($D1724,Hierarchy!$A$2:$A$1295,0))),"NODE NOT FOUND"))</f>
        <v>MEX</v>
      </c>
      <c r="K1724" s="7" t="str">
        <f aca="false">IF($D1724="","",IFERROR(IF(INDEX(Hierarchy!$H$2:$H$1295,MATCH($D1724,Hierarchy!$A$2:$A$1295,0))="","",INDEX(Hierarchy!$H$2:$H$1295,MATCH($D1724,Hierarchy!$A$2:$A$1295,0))),"NODE NOT FOUND"))</f>
        <v>Tabasco</v>
      </c>
      <c r="L1724" s="7" t="str">
        <f aca="false">IF($D1724="","",IFERROR(IF(INDEX(Hierarchy!$I$2:$I$1295,MATCH($D1724,Hierarchy!$A$2:$A$1295,0))="","",INDEX(Hierarchy!$I$2:$I$1295,MATCH($D1724,Hierarchy!$A$2:$A$1295,0))),"NODE NOT FOUND"))</f>
        <v/>
      </c>
      <c r="M1724" s="17" t="str">
        <f aca="false">IF(B1724="Pre-seeded","Pre-seeded",IF(B1724="Review 2026-09-16","Added from review",IF(C1724="","New",IF(C1724=D1724,"","Changed"))))</f>
        <v>Pre-seeded</v>
      </c>
      <c r="N1724" s="7" t="str">
        <f aca="false">TRIM(SUBSTITUTE(SUBSTITUTE(SUBSTITUTE(" "&amp;TRIM(SUBSTITUTE(SUBSTITUTE(SUBSTITUTE(SUBSTITUTE(SUBSTITUTE(SUBSTITUTE(SUBSTITUTE(SUBSTITUTE(SUBSTITUTE(SUBSTITUTE(SUBSTITUTE(SUBSTITUTE(SUBSTITUTE(SUBSTITUTE(SUBSTITUTE(UPPER(TRIM(A1724)),"[MEMBER]",""),"{MEMBER}",""),"[MEMBER}",""),"MEMBER]",""),"(A)",""),"""",""),"“",""),"”",""),".",""),":",""),",",""),"–"," "),"-"," "),"/"," "),"&amp;"," AND "))&amp;" "," THE "," ")," TOTAL "," ")," OPERATIONS "," "))</f>
        <v>TABASCO</v>
      </c>
      <c r="O1724" s="17" t="str">
        <f aca="false">IF(COUNTIFS($N$2:$N$2000,N1724,$D$2:$D$2000,"&lt;&gt;"&amp;D1724)&gt;0,"CONFLICT","")</f>
        <v/>
      </c>
      <c r="P1724" s="7"/>
    </row>
    <row r="1725" customFormat="false" ht="15" hidden="false" customHeight="false" outlineLevel="0" collapsed="false">
      <c r="A1725" s="7" t="s">
        <v>1062</v>
      </c>
      <c r="B1725" s="7" t="s">
        <v>1879</v>
      </c>
      <c r="C1725" s="7"/>
      <c r="D1725" s="6" t="s">
        <v>1062</v>
      </c>
      <c r="E1725" s="6" t="s">
        <v>1880</v>
      </c>
      <c r="F1725" s="7" t="str">
        <f aca="false">IF($D1725="","",IFERROR(IF(INDEX(Hierarchy!$B$2:$B$1295,MATCH($D1725,Hierarchy!$A$2:$A$1295,0))="","",INDEX(Hierarchy!$B$2:$B$1295,MATCH($D1725,Hierarchy!$A$2:$A$1295,0))),"NODE NOT FOUND"))</f>
        <v>State/Province</v>
      </c>
      <c r="G1725" s="7" t="str">
        <f aca="false">IF($D1725="","",IFERROR(IF(INDEX(Hierarchy!$D$2:$D$1295,MATCH($D1725,Hierarchy!$A$2:$A$1295,0))="","",INDEX(Hierarchy!$D$2:$D$1295,MATCH($D1725,Hierarchy!$A$2:$A$1295,0))),"NODE NOT FOUND"))</f>
        <v>EMEA</v>
      </c>
      <c r="H1725" s="7" t="str">
        <f aca="false">IF($D1725="","",IFERROR(IF(INDEX(Hierarchy!$E$2:$E$1295,MATCH($D1725,Hierarchy!$A$2:$A$1295,0))="","",INDEX(Hierarchy!$E$2:$E$1295,MATCH($D1725,Hierarchy!$A$2:$A$1295,0))),"NODE NOT FOUND"))</f>
        <v>Middle East</v>
      </c>
      <c r="I1725" s="7" t="str">
        <f aca="false">IF($D1725="","",IFERROR(IF(INDEX(Hierarchy!$F$2:$F$1295,MATCH($D1725,Hierarchy!$A$2:$A$1295,0))="","",INDEX(Hierarchy!$F$2:$F$1295,MATCH($D1725,Hierarchy!$A$2:$A$1295,0))),"NODE NOT FOUND"))</f>
        <v>Saudi Arabia</v>
      </c>
      <c r="J1725" s="7" t="str">
        <f aca="false">IF($D1725="","",IFERROR(IF(INDEX(Hierarchy!$G$2:$G$1295,MATCH($D1725,Hierarchy!$A$2:$A$1295,0))="","",INDEX(Hierarchy!$G$2:$G$1295,MATCH($D1725,Hierarchy!$A$2:$A$1295,0))),"NODE NOT FOUND"))</f>
        <v>SAU</v>
      </c>
      <c r="K1725" s="7" t="str">
        <f aca="false">IF($D1725="","",IFERROR(IF(INDEX(Hierarchy!$H$2:$H$1295,MATCH($D1725,Hierarchy!$A$2:$A$1295,0))="","",INDEX(Hierarchy!$H$2:$H$1295,MATCH($D1725,Hierarchy!$A$2:$A$1295,0))),"NODE NOT FOUND"))</f>
        <v>Tabuk Province</v>
      </c>
      <c r="L1725" s="7" t="str">
        <f aca="false">IF($D1725="","",IFERROR(IF(INDEX(Hierarchy!$I$2:$I$1295,MATCH($D1725,Hierarchy!$A$2:$A$1295,0))="","",INDEX(Hierarchy!$I$2:$I$1295,MATCH($D1725,Hierarchy!$A$2:$A$1295,0))),"NODE NOT FOUND"))</f>
        <v/>
      </c>
      <c r="M1725" s="17" t="str">
        <f aca="false">IF(B1725="Pre-seeded","Pre-seeded",IF(B1725="Review 2026-09-16","Added from review",IF(C1725="","New",IF(C1725=D1725,"","Changed"))))</f>
        <v>Pre-seeded</v>
      </c>
      <c r="N1725" s="7" t="str">
        <f aca="false">TRIM(SUBSTITUTE(SUBSTITUTE(SUBSTITUTE(" "&amp;TRIM(SUBSTITUTE(SUBSTITUTE(SUBSTITUTE(SUBSTITUTE(SUBSTITUTE(SUBSTITUTE(SUBSTITUTE(SUBSTITUTE(SUBSTITUTE(SUBSTITUTE(SUBSTITUTE(SUBSTITUTE(SUBSTITUTE(SUBSTITUTE(SUBSTITUTE(UPPER(TRIM(A1725)),"[MEMBER]",""),"{MEMBER}",""),"[MEMBER}",""),"MEMBER]",""),"(A)",""),"""",""),"“",""),"”",""),".",""),":",""),",",""),"–"," "),"-"," "),"/"," "),"&amp;"," AND "))&amp;" "," THE "," ")," TOTAL "," ")," OPERATIONS "," "))</f>
        <v>TABUK PROVINCE</v>
      </c>
      <c r="O1725" s="17" t="str">
        <f aca="false">IF(COUNTIFS($N$2:$N$2000,N1725,$D$2:$D$2000,"&lt;&gt;"&amp;D1725)&gt;0,"CONFLICT","")</f>
        <v/>
      </c>
      <c r="P1725" s="7"/>
    </row>
    <row r="1726" customFormat="false" ht="15" hidden="false" customHeight="false" outlineLevel="0" collapsed="false">
      <c r="A1726" s="7" t="s">
        <v>1582</v>
      </c>
      <c r="B1726" s="7" t="s">
        <v>1882</v>
      </c>
      <c r="C1726" s="7" t="s">
        <v>1582</v>
      </c>
      <c r="D1726" s="6" t="s">
        <v>1582</v>
      </c>
      <c r="E1726" s="6" t="s">
        <v>1880</v>
      </c>
      <c r="F1726" s="7" t="str">
        <f aca="false">IF($D1726="","",IFERROR(IF(INDEX(Hierarchy!$B$2:$B$1295,MATCH($D1726,Hierarchy!$A$2:$A$1295,0))="","",INDEX(Hierarchy!$B$2:$B$1295,MATCH($D1726,Hierarchy!$A$2:$A$1295,0))),"NODE NOT FOUND"))</f>
        <v>Country</v>
      </c>
      <c r="G1726" s="7" t="str">
        <f aca="false">IF($D1726="","",IFERROR(IF(INDEX(Hierarchy!$D$2:$D$1295,MATCH($D1726,Hierarchy!$A$2:$A$1295,0))="","",INDEX(Hierarchy!$D$2:$D$1295,MATCH($D1726,Hierarchy!$A$2:$A$1295,0))),"NODE NOT FOUND"))</f>
        <v>APAC</v>
      </c>
      <c r="H1726" s="7" t="str">
        <f aca="false">IF($D1726="","",IFERROR(IF(INDEX(Hierarchy!$E$2:$E$1295,MATCH($D1726,Hierarchy!$A$2:$A$1295,0))="","",INDEX(Hierarchy!$E$2:$E$1295,MATCH($D1726,Hierarchy!$A$2:$A$1295,0))),"NODE NOT FOUND"))</f>
        <v>East Asia</v>
      </c>
      <c r="I1726" s="7" t="str">
        <f aca="false">IF($D1726="","",IFERROR(IF(INDEX(Hierarchy!$F$2:$F$1295,MATCH($D1726,Hierarchy!$A$2:$A$1295,0))="","",INDEX(Hierarchy!$F$2:$F$1295,MATCH($D1726,Hierarchy!$A$2:$A$1295,0))),"NODE NOT FOUND"))</f>
        <v>Taiwan</v>
      </c>
      <c r="J1726" s="7" t="str">
        <f aca="false">IF($D1726="","",IFERROR(IF(INDEX(Hierarchy!$G$2:$G$1295,MATCH($D1726,Hierarchy!$A$2:$A$1295,0))="","",INDEX(Hierarchy!$G$2:$G$1295,MATCH($D1726,Hierarchy!$A$2:$A$1295,0))),"NODE NOT FOUND"))</f>
        <v>TWN</v>
      </c>
      <c r="K1726" s="7" t="str">
        <f aca="false">IF($D1726="","",IFERROR(IF(INDEX(Hierarchy!$H$2:$H$1295,MATCH($D1726,Hierarchy!$A$2:$A$1295,0))="","",INDEX(Hierarchy!$H$2:$H$1295,MATCH($D1726,Hierarchy!$A$2:$A$1295,0))),"NODE NOT FOUND"))</f>
        <v/>
      </c>
      <c r="L1726" s="7" t="str">
        <f aca="false">IF($D1726="","",IFERROR(IF(INDEX(Hierarchy!$I$2:$I$1295,MATCH($D1726,Hierarchy!$A$2:$A$1295,0))="","",INDEX(Hierarchy!$I$2:$I$1295,MATCH($D1726,Hierarchy!$A$2:$A$1295,0))),"NODE NOT FOUND"))</f>
        <v/>
      </c>
      <c r="M1726" s="17" t="str">
        <f aca="false">IF(B1726="Pre-seeded","Pre-seeded",IF(B1726="Review 2026-09-16","Added from review",IF(C1726="","New",IF(C1726=D1726,"","Changed"))))</f>
        <v/>
      </c>
      <c r="N1726" s="7" t="str">
        <f aca="false">TRIM(SUBSTITUTE(SUBSTITUTE(SUBSTITUTE(" "&amp;TRIM(SUBSTITUTE(SUBSTITUTE(SUBSTITUTE(SUBSTITUTE(SUBSTITUTE(SUBSTITUTE(SUBSTITUTE(SUBSTITUTE(SUBSTITUTE(SUBSTITUTE(SUBSTITUTE(SUBSTITUTE(SUBSTITUTE(SUBSTITUTE(SUBSTITUTE(UPPER(TRIM(A1726)),"[MEMBER]",""),"{MEMBER}",""),"[MEMBER}",""),"MEMBER]",""),"(A)",""),"""",""),"“",""),"”",""),".",""),":",""),",",""),"–"," "),"-"," "),"/"," "),"&amp;"," AND "))&amp;" "," THE "," ")," TOTAL "," ")," OPERATIONS "," "))</f>
        <v>TAIWAN</v>
      </c>
      <c r="O1726" s="17" t="str">
        <f aca="false">IF(COUNTIFS($N$2:$N$2000,N1726,$D$2:$D$2000,"&lt;&gt;"&amp;D1726)&gt;0,"CONFLICT","")</f>
        <v/>
      </c>
      <c r="P1726" s="7"/>
    </row>
    <row r="1727" customFormat="false" ht="15" hidden="false" customHeight="false" outlineLevel="0" collapsed="false">
      <c r="A1727" s="7" t="s">
        <v>2749</v>
      </c>
      <c r="B1727" s="7" t="s">
        <v>1882</v>
      </c>
      <c r="C1727" s="7" t="s">
        <v>1582</v>
      </c>
      <c r="D1727" s="6" t="s">
        <v>1582</v>
      </c>
      <c r="E1727" s="6" t="s">
        <v>1880</v>
      </c>
      <c r="F1727" s="7" t="str">
        <f aca="false">IF($D1727="","",IFERROR(IF(INDEX(Hierarchy!$B$2:$B$1295,MATCH($D1727,Hierarchy!$A$2:$A$1295,0))="","",INDEX(Hierarchy!$B$2:$B$1295,MATCH($D1727,Hierarchy!$A$2:$A$1295,0))),"NODE NOT FOUND"))</f>
        <v>Country</v>
      </c>
      <c r="G1727" s="7" t="str">
        <f aca="false">IF($D1727="","",IFERROR(IF(INDEX(Hierarchy!$D$2:$D$1295,MATCH($D1727,Hierarchy!$A$2:$A$1295,0))="","",INDEX(Hierarchy!$D$2:$D$1295,MATCH($D1727,Hierarchy!$A$2:$A$1295,0))),"NODE NOT FOUND"))</f>
        <v>APAC</v>
      </c>
      <c r="H1727" s="7" t="str">
        <f aca="false">IF($D1727="","",IFERROR(IF(INDEX(Hierarchy!$E$2:$E$1295,MATCH($D1727,Hierarchy!$A$2:$A$1295,0))="","",INDEX(Hierarchy!$E$2:$E$1295,MATCH($D1727,Hierarchy!$A$2:$A$1295,0))),"NODE NOT FOUND"))</f>
        <v>East Asia</v>
      </c>
      <c r="I1727" s="7" t="str">
        <f aca="false">IF($D1727="","",IFERROR(IF(INDEX(Hierarchy!$F$2:$F$1295,MATCH($D1727,Hierarchy!$A$2:$A$1295,0))="","",INDEX(Hierarchy!$F$2:$F$1295,MATCH($D1727,Hierarchy!$A$2:$A$1295,0))),"NODE NOT FOUND"))</f>
        <v>Taiwan</v>
      </c>
      <c r="J1727" s="7" t="str">
        <f aca="false">IF($D1727="","",IFERROR(IF(INDEX(Hierarchy!$G$2:$G$1295,MATCH($D1727,Hierarchy!$A$2:$A$1295,0))="","",INDEX(Hierarchy!$G$2:$G$1295,MATCH($D1727,Hierarchy!$A$2:$A$1295,0))),"NODE NOT FOUND"))</f>
        <v>TWN</v>
      </c>
      <c r="K1727" s="7" t="str">
        <f aca="false">IF($D1727="","",IFERROR(IF(INDEX(Hierarchy!$H$2:$H$1295,MATCH($D1727,Hierarchy!$A$2:$A$1295,0))="","",INDEX(Hierarchy!$H$2:$H$1295,MATCH($D1727,Hierarchy!$A$2:$A$1295,0))),"NODE NOT FOUND"))</f>
        <v/>
      </c>
      <c r="L1727" s="7" t="str">
        <f aca="false">IF($D1727="","",IFERROR(IF(INDEX(Hierarchy!$I$2:$I$1295,MATCH($D1727,Hierarchy!$A$2:$A$1295,0))="","",INDEX(Hierarchy!$I$2:$I$1295,MATCH($D1727,Hierarchy!$A$2:$A$1295,0))),"NODE NOT FOUND"))</f>
        <v/>
      </c>
      <c r="M1727" s="17" t="str">
        <f aca="false">IF(B1727="Pre-seeded","Pre-seeded",IF(B1727="Review 2026-09-16","Added from review",IF(C1727="","New",IF(C1727=D1727,"","Changed"))))</f>
        <v/>
      </c>
      <c r="N1727" s="7" t="str">
        <f aca="false">TRIM(SUBSTITUTE(SUBSTITUTE(SUBSTITUTE(" "&amp;TRIM(SUBSTITUTE(SUBSTITUTE(SUBSTITUTE(SUBSTITUTE(SUBSTITUTE(SUBSTITUTE(SUBSTITUTE(SUBSTITUTE(SUBSTITUTE(SUBSTITUTE(SUBSTITUTE(SUBSTITUTE(SUBSTITUTE(SUBSTITUTE(SUBSTITUTE(UPPER(TRIM(A1727)),"[MEMBER]",""),"{MEMBER}",""),"[MEMBER}",""),"MEMBER]",""),"(A)",""),"""",""),"“",""),"”",""),".",""),":",""),",",""),"–"," "),"-"," "),"/"," "),"&amp;"," AND "))&amp;" "," THE "," ")," TOTAL "," ")," OPERATIONS "," "))</f>
        <v>TAIWAN</v>
      </c>
      <c r="O1727" s="17" t="str">
        <f aca="false">IF(COUNTIFS($N$2:$N$2000,N1727,$D$2:$D$2000,"&lt;&gt;"&amp;D1727)&gt;0,"CONFLICT","")</f>
        <v/>
      </c>
      <c r="P1727" s="7"/>
    </row>
    <row r="1728" customFormat="false" ht="15" hidden="false" customHeight="false" outlineLevel="0" collapsed="false">
      <c r="A1728" s="7" t="s">
        <v>2750</v>
      </c>
      <c r="B1728" s="7" t="s">
        <v>1879</v>
      </c>
      <c r="C1728" s="7"/>
      <c r="D1728" s="6" t="s">
        <v>1582</v>
      </c>
      <c r="E1728" s="6" t="s">
        <v>1880</v>
      </c>
      <c r="F1728" s="7" t="str">
        <f aca="false">IF($D1728="","",IFERROR(IF(INDEX(Hierarchy!$B$2:$B$1295,MATCH($D1728,Hierarchy!$A$2:$A$1295,0))="","",INDEX(Hierarchy!$B$2:$B$1295,MATCH($D1728,Hierarchy!$A$2:$A$1295,0))),"NODE NOT FOUND"))</f>
        <v>Country</v>
      </c>
      <c r="G1728" s="7" t="str">
        <f aca="false">IF($D1728="","",IFERROR(IF(INDEX(Hierarchy!$D$2:$D$1295,MATCH($D1728,Hierarchy!$A$2:$A$1295,0))="","",INDEX(Hierarchy!$D$2:$D$1295,MATCH($D1728,Hierarchy!$A$2:$A$1295,0))),"NODE NOT FOUND"))</f>
        <v>APAC</v>
      </c>
      <c r="H1728" s="7" t="str">
        <f aca="false">IF($D1728="","",IFERROR(IF(INDEX(Hierarchy!$E$2:$E$1295,MATCH($D1728,Hierarchy!$A$2:$A$1295,0))="","",INDEX(Hierarchy!$E$2:$E$1295,MATCH($D1728,Hierarchy!$A$2:$A$1295,0))),"NODE NOT FOUND"))</f>
        <v>East Asia</v>
      </c>
      <c r="I1728" s="7" t="str">
        <f aca="false">IF($D1728="","",IFERROR(IF(INDEX(Hierarchy!$F$2:$F$1295,MATCH($D1728,Hierarchy!$A$2:$A$1295,0))="","",INDEX(Hierarchy!$F$2:$F$1295,MATCH($D1728,Hierarchy!$A$2:$A$1295,0))),"NODE NOT FOUND"))</f>
        <v>Taiwan</v>
      </c>
      <c r="J1728" s="7" t="str">
        <f aca="false">IF($D1728="","",IFERROR(IF(INDEX(Hierarchy!$G$2:$G$1295,MATCH($D1728,Hierarchy!$A$2:$A$1295,0))="","",INDEX(Hierarchy!$G$2:$G$1295,MATCH($D1728,Hierarchy!$A$2:$A$1295,0))),"NODE NOT FOUND"))</f>
        <v>TWN</v>
      </c>
      <c r="K1728" s="7" t="str">
        <f aca="false">IF($D1728="","",IFERROR(IF(INDEX(Hierarchy!$H$2:$H$1295,MATCH($D1728,Hierarchy!$A$2:$A$1295,0))="","",INDEX(Hierarchy!$H$2:$H$1295,MATCH($D1728,Hierarchy!$A$2:$A$1295,0))),"NODE NOT FOUND"))</f>
        <v/>
      </c>
      <c r="L1728" s="7" t="str">
        <f aca="false">IF($D1728="","",IFERROR(IF(INDEX(Hierarchy!$I$2:$I$1295,MATCH($D1728,Hierarchy!$A$2:$A$1295,0))="","",INDEX(Hierarchy!$I$2:$I$1295,MATCH($D1728,Hierarchy!$A$2:$A$1295,0))),"NODE NOT FOUND"))</f>
        <v/>
      </c>
      <c r="M1728" s="17" t="str">
        <f aca="false">IF(B1728="Pre-seeded","Pre-seeded",IF(B1728="Review 2026-09-16","Added from review",IF(C1728="","New",IF(C1728=D1728,"","Changed"))))</f>
        <v>Pre-seeded</v>
      </c>
      <c r="N1728" s="7" t="str">
        <f aca="false">TRIM(SUBSTITUTE(SUBSTITUTE(SUBSTITUTE(" "&amp;TRIM(SUBSTITUTE(SUBSTITUTE(SUBSTITUTE(SUBSTITUTE(SUBSTITUTE(SUBSTITUTE(SUBSTITUTE(SUBSTITUTE(SUBSTITUTE(SUBSTITUTE(SUBSTITUTE(SUBSTITUTE(SUBSTITUTE(SUBSTITUTE(SUBSTITUTE(UPPER(TRIM(A1728)),"[MEMBER]",""),"{MEMBER}",""),"[MEMBER}",""),"MEMBER]",""),"(A)",""),"""",""),"“",""),"”",""),".",""),":",""),",",""),"–"," "),"-"," "),"/"," "),"&amp;"," AND "))&amp;" "," THE "," ")," TOTAL "," ")," OPERATIONS "," "))</f>
        <v>TAIWAN CHINA</v>
      </c>
      <c r="O1728" s="17" t="str">
        <f aca="false">IF(COUNTIFS($N$2:$N$2000,N1728,$D$2:$D$2000,"&lt;&gt;"&amp;D1728)&gt;0,"CONFLICT","")</f>
        <v/>
      </c>
      <c r="P1728" s="7"/>
    </row>
    <row r="1729" customFormat="false" ht="15" hidden="false" customHeight="false" outlineLevel="0" collapsed="false">
      <c r="A1729" s="7" t="s">
        <v>2751</v>
      </c>
      <c r="B1729" s="7" t="s">
        <v>1882</v>
      </c>
      <c r="C1729" s="7" t="s">
        <v>1582</v>
      </c>
      <c r="D1729" s="6" t="s">
        <v>1582</v>
      </c>
      <c r="E1729" s="6" t="s">
        <v>1880</v>
      </c>
      <c r="F1729" s="7" t="str">
        <f aca="false">IF($D1729="","",IFERROR(IF(INDEX(Hierarchy!$B$2:$B$1295,MATCH($D1729,Hierarchy!$A$2:$A$1295,0))="","",INDEX(Hierarchy!$B$2:$B$1295,MATCH($D1729,Hierarchy!$A$2:$A$1295,0))),"NODE NOT FOUND"))</f>
        <v>Country</v>
      </c>
      <c r="G1729" s="7" t="str">
        <f aca="false">IF($D1729="","",IFERROR(IF(INDEX(Hierarchy!$D$2:$D$1295,MATCH($D1729,Hierarchy!$A$2:$A$1295,0))="","",INDEX(Hierarchy!$D$2:$D$1295,MATCH($D1729,Hierarchy!$A$2:$A$1295,0))),"NODE NOT FOUND"))</f>
        <v>APAC</v>
      </c>
      <c r="H1729" s="7" t="str">
        <f aca="false">IF($D1729="","",IFERROR(IF(INDEX(Hierarchy!$E$2:$E$1295,MATCH($D1729,Hierarchy!$A$2:$A$1295,0))="","",INDEX(Hierarchy!$E$2:$E$1295,MATCH($D1729,Hierarchy!$A$2:$A$1295,0))),"NODE NOT FOUND"))</f>
        <v>East Asia</v>
      </c>
      <c r="I1729" s="7" t="str">
        <f aca="false">IF($D1729="","",IFERROR(IF(INDEX(Hierarchy!$F$2:$F$1295,MATCH($D1729,Hierarchy!$A$2:$A$1295,0))="","",INDEX(Hierarchy!$F$2:$F$1295,MATCH($D1729,Hierarchy!$A$2:$A$1295,0))),"NODE NOT FOUND"))</f>
        <v>Taiwan</v>
      </c>
      <c r="J1729" s="7" t="str">
        <f aca="false">IF($D1729="","",IFERROR(IF(INDEX(Hierarchy!$G$2:$G$1295,MATCH($D1729,Hierarchy!$A$2:$A$1295,0))="","",INDEX(Hierarchy!$G$2:$G$1295,MATCH($D1729,Hierarchy!$A$2:$A$1295,0))),"NODE NOT FOUND"))</f>
        <v>TWN</v>
      </c>
      <c r="K1729" s="7" t="str">
        <f aca="false">IF($D1729="","",IFERROR(IF(INDEX(Hierarchy!$H$2:$H$1295,MATCH($D1729,Hierarchy!$A$2:$A$1295,0))="","",INDEX(Hierarchy!$H$2:$H$1295,MATCH($D1729,Hierarchy!$A$2:$A$1295,0))),"NODE NOT FOUND"))</f>
        <v/>
      </c>
      <c r="L1729" s="7" t="str">
        <f aca="false">IF($D1729="","",IFERROR(IF(INDEX(Hierarchy!$I$2:$I$1295,MATCH($D1729,Hierarchy!$A$2:$A$1295,0))="","",INDEX(Hierarchy!$I$2:$I$1295,MATCH($D1729,Hierarchy!$A$2:$A$1295,0))),"NODE NOT FOUND"))</f>
        <v/>
      </c>
      <c r="M1729" s="17" t="str">
        <f aca="false">IF(B1729="Pre-seeded","Pre-seeded",IF(B1729="Review 2026-09-16","Added from review",IF(C1729="","New",IF(C1729=D1729,"","Changed"))))</f>
        <v/>
      </c>
      <c r="N1729" s="7" t="str">
        <f aca="false">TRIM(SUBSTITUTE(SUBSTITUTE(SUBSTITUTE(" "&amp;TRIM(SUBSTITUTE(SUBSTITUTE(SUBSTITUTE(SUBSTITUTE(SUBSTITUTE(SUBSTITUTE(SUBSTITUTE(SUBSTITUTE(SUBSTITUTE(SUBSTITUTE(SUBSTITUTE(SUBSTITUTE(SUBSTITUTE(SUBSTITUTE(SUBSTITUTE(UPPER(TRIM(A1729)),"[MEMBER]",""),"{MEMBER}",""),"[MEMBER}",""),"MEMBER]",""),"(A)",""),"""",""),"“",""),"”",""),".",""),":",""),",",""),"–"," "),"-"," "),"/"," "),"&amp;"," AND "))&amp;" "," THE "," ")," TOTAL "," ")," OPERATIONS "," "))</f>
        <v>TAIWAN PROVINCE OF CHINA</v>
      </c>
      <c r="O1729" s="17" t="str">
        <f aca="false">IF(COUNTIFS($N$2:$N$2000,N1729,$D$2:$D$2000,"&lt;&gt;"&amp;D1729)&gt;0,"CONFLICT","")</f>
        <v/>
      </c>
      <c r="P1729" s="7"/>
    </row>
    <row r="1730" customFormat="false" ht="15" hidden="false" customHeight="false" outlineLevel="0" collapsed="false">
      <c r="A1730" s="7" t="s">
        <v>1010</v>
      </c>
      <c r="B1730" s="7" t="s">
        <v>1879</v>
      </c>
      <c r="C1730" s="7"/>
      <c r="D1730" s="6" t="s">
        <v>1010</v>
      </c>
      <c r="E1730" s="6" t="s">
        <v>1880</v>
      </c>
      <c r="F1730" s="7" t="str">
        <f aca="false">IF($D1730="","",IFERROR(IF(INDEX(Hierarchy!$B$2:$B$1295,MATCH($D1730,Hierarchy!$A$2:$A$1295,0))="","",INDEX(Hierarchy!$B$2:$B$1295,MATCH($D1730,Hierarchy!$A$2:$A$1295,0))),"NODE NOT FOUND"))</f>
        <v>Country</v>
      </c>
      <c r="G1730" s="7" t="str">
        <f aca="false">IF($D1730="","",IFERROR(IF(INDEX(Hierarchy!$D$2:$D$1295,MATCH($D1730,Hierarchy!$A$2:$A$1295,0))="","",INDEX(Hierarchy!$D$2:$D$1295,MATCH($D1730,Hierarchy!$A$2:$A$1295,0))),"NODE NOT FOUND"))</f>
        <v>EMEA</v>
      </c>
      <c r="H1730" s="7" t="str">
        <f aca="false">IF($D1730="","",IFERROR(IF(INDEX(Hierarchy!$E$2:$E$1295,MATCH($D1730,Hierarchy!$A$2:$A$1295,0))="","",INDEX(Hierarchy!$E$2:$E$1295,MATCH($D1730,Hierarchy!$A$2:$A$1295,0))),"NODE NOT FOUND"))</f>
        <v>Europe</v>
      </c>
      <c r="I1730" s="7" t="str">
        <f aca="false">IF($D1730="","",IFERROR(IF(INDEX(Hierarchy!$F$2:$F$1295,MATCH($D1730,Hierarchy!$A$2:$A$1295,0))="","",INDEX(Hierarchy!$F$2:$F$1295,MATCH($D1730,Hierarchy!$A$2:$A$1295,0))),"NODE NOT FOUND"))</f>
        <v>Tajikistan</v>
      </c>
      <c r="J1730" s="7" t="str">
        <f aca="false">IF($D1730="","",IFERROR(IF(INDEX(Hierarchy!$G$2:$G$1295,MATCH($D1730,Hierarchy!$A$2:$A$1295,0))="","",INDEX(Hierarchy!$G$2:$G$1295,MATCH($D1730,Hierarchy!$A$2:$A$1295,0))),"NODE NOT FOUND"))</f>
        <v>TJK</v>
      </c>
      <c r="K1730" s="7" t="str">
        <f aca="false">IF($D1730="","",IFERROR(IF(INDEX(Hierarchy!$H$2:$H$1295,MATCH($D1730,Hierarchy!$A$2:$A$1295,0))="","",INDEX(Hierarchy!$H$2:$H$1295,MATCH($D1730,Hierarchy!$A$2:$A$1295,0))),"NODE NOT FOUND"))</f>
        <v/>
      </c>
      <c r="L1730" s="7" t="str">
        <f aca="false">IF($D1730="","",IFERROR(IF(INDEX(Hierarchy!$I$2:$I$1295,MATCH($D1730,Hierarchy!$A$2:$A$1295,0))="","",INDEX(Hierarchy!$I$2:$I$1295,MATCH($D1730,Hierarchy!$A$2:$A$1295,0))),"NODE NOT FOUND"))</f>
        <v/>
      </c>
      <c r="M1730" s="17" t="str">
        <f aca="false">IF(B1730="Pre-seeded","Pre-seeded",IF(B1730="Review 2026-09-16","Added from review",IF(C1730="","New",IF(C1730=D1730,"","Changed"))))</f>
        <v>Pre-seeded</v>
      </c>
      <c r="N1730" s="7" t="str">
        <f aca="false">TRIM(SUBSTITUTE(SUBSTITUTE(SUBSTITUTE(" "&amp;TRIM(SUBSTITUTE(SUBSTITUTE(SUBSTITUTE(SUBSTITUTE(SUBSTITUTE(SUBSTITUTE(SUBSTITUTE(SUBSTITUTE(SUBSTITUTE(SUBSTITUTE(SUBSTITUTE(SUBSTITUTE(SUBSTITUTE(SUBSTITUTE(SUBSTITUTE(UPPER(TRIM(A1730)),"[MEMBER]",""),"{MEMBER}",""),"[MEMBER}",""),"MEMBER]",""),"(A)",""),"""",""),"“",""),"”",""),".",""),":",""),",",""),"–"," "),"-"," "),"/"," "),"&amp;"," AND "))&amp;" "," THE "," ")," TOTAL "," ")," OPERATIONS "," "))</f>
        <v>TAJIKISTAN</v>
      </c>
      <c r="O1730" s="17" t="str">
        <f aca="false">IF(COUNTIFS($N$2:$N$2000,N1730,$D$2:$D$2000,"&lt;&gt;"&amp;D1730)&gt;0,"CONFLICT","")</f>
        <v/>
      </c>
      <c r="P1730" s="7"/>
    </row>
    <row r="1731" customFormat="false" ht="15" hidden="false" customHeight="false" outlineLevel="0" collapsed="false">
      <c r="A1731" s="7" t="s">
        <v>415</v>
      </c>
      <c r="B1731" s="7" t="s">
        <v>1879</v>
      </c>
      <c r="C1731" s="7"/>
      <c r="D1731" s="6" t="s">
        <v>415</v>
      </c>
      <c r="E1731" s="6" t="s">
        <v>1880</v>
      </c>
      <c r="F1731" s="7" t="str">
        <f aca="false">IF($D1731="","",IFERROR(IF(INDEX(Hierarchy!$B$2:$B$1295,MATCH($D1731,Hierarchy!$A$2:$A$1295,0))="","",INDEX(Hierarchy!$B$2:$B$1295,MATCH($D1731,Hierarchy!$A$2:$A$1295,0))),"NODE NOT FOUND"))</f>
        <v>State/Province</v>
      </c>
      <c r="G1731" s="7" t="str">
        <f aca="false">IF($D1731="","",IFERROR(IF(INDEX(Hierarchy!$D$2:$D$1295,MATCH($D1731,Hierarchy!$A$2:$A$1295,0))="","",INDEX(Hierarchy!$D$2:$D$1295,MATCH($D1731,Hierarchy!$A$2:$A$1295,0))),"NODE NOT FOUND"))</f>
        <v>AMER</v>
      </c>
      <c r="H1731" s="7" t="str">
        <f aca="false">IF($D1731="","",IFERROR(IF(INDEX(Hierarchy!$E$2:$E$1295,MATCH($D1731,Hierarchy!$A$2:$A$1295,0))="","",INDEX(Hierarchy!$E$2:$E$1295,MATCH($D1731,Hierarchy!$A$2:$A$1295,0))),"NODE NOT FOUND"))</f>
        <v>Latin America (LATAM)</v>
      </c>
      <c r="I1731" s="7" t="str">
        <f aca="false">IF($D1731="","",IFERROR(IF(INDEX(Hierarchy!$F$2:$F$1295,MATCH($D1731,Hierarchy!$A$2:$A$1295,0))="","",INDEX(Hierarchy!$F$2:$F$1295,MATCH($D1731,Hierarchy!$A$2:$A$1295,0))),"NODE NOT FOUND"))</f>
        <v>Mexico</v>
      </c>
      <c r="J1731" s="7" t="str">
        <f aca="false">IF($D1731="","",IFERROR(IF(INDEX(Hierarchy!$G$2:$G$1295,MATCH($D1731,Hierarchy!$A$2:$A$1295,0))="","",INDEX(Hierarchy!$G$2:$G$1295,MATCH($D1731,Hierarchy!$A$2:$A$1295,0))),"NODE NOT FOUND"))</f>
        <v>MEX</v>
      </c>
      <c r="K1731" s="7" t="str">
        <f aca="false">IF($D1731="","",IFERROR(IF(INDEX(Hierarchy!$H$2:$H$1295,MATCH($D1731,Hierarchy!$A$2:$A$1295,0))="","",INDEX(Hierarchy!$H$2:$H$1295,MATCH($D1731,Hierarchy!$A$2:$A$1295,0))),"NODE NOT FOUND"))</f>
        <v>Tamaulipas</v>
      </c>
      <c r="L1731" s="7" t="str">
        <f aca="false">IF($D1731="","",IFERROR(IF(INDEX(Hierarchy!$I$2:$I$1295,MATCH($D1731,Hierarchy!$A$2:$A$1295,0))="","",INDEX(Hierarchy!$I$2:$I$1295,MATCH($D1731,Hierarchy!$A$2:$A$1295,0))),"NODE NOT FOUND"))</f>
        <v/>
      </c>
      <c r="M1731" s="17" t="str">
        <f aca="false">IF(B1731="Pre-seeded","Pre-seeded",IF(B1731="Review 2026-09-16","Added from review",IF(C1731="","New",IF(C1731=D1731,"","Changed"))))</f>
        <v>Pre-seeded</v>
      </c>
      <c r="N1731" s="7" t="str">
        <f aca="false">TRIM(SUBSTITUTE(SUBSTITUTE(SUBSTITUTE(" "&amp;TRIM(SUBSTITUTE(SUBSTITUTE(SUBSTITUTE(SUBSTITUTE(SUBSTITUTE(SUBSTITUTE(SUBSTITUTE(SUBSTITUTE(SUBSTITUTE(SUBSTITUTE(SUBSTITUTE(SUBSTITUTE(SUBSTITUTE(SUBSTITUTE(SUBSTITUTE(UPPER(TRIM(A1731)),"[MEMBER]",""),"{MEMBER}",""),"[MEMBER}",""),"MEMBER]",""),"(A)",""),"""",""),"“",""),"”",""),".",""),":",""),",",""),"–"," "),"-"," "),"/"," "),"&amp;"," AND "))&amp;" "," THE "," ")," TOTAL "," ")," OPERATIONS "," "))</f>
        <v>TAMAULIPAS</v>
      </c>
      <c r="O1731" s="17" t="str">
        <f aca="false">IF(COUNTIFS($N$2:$N$2000,N1731,$D$2:$D$2000,"&lt;&gt;"&amp;D1731)&gt;0,"CONFLICT","")</f>
        <v/>
      </c>
      <c r="P1731" s="7"/>
    </row>
    <row r="1732" customFormat="false" ht="15" hidden="false" customHeight="false" outlineLevel="0" collapsed="false">
      <c r="A1732" s="7" t="s">
        <v>1362</v>
      </c>
      <c r="B1732" s="7" t="s">
        <v>1879</v>
      </c>
      <c r="C1732" s="7"/>
      <c r="D1732" s="6" t="s">
        <v>1362</v>
      </c>
      <c r="E1732" s="6" t="s">
        <v>1880</v>
      </c>
      <c r="F1732" s="7" t="str">
        <f aca="false">IF($D1732="","",IFERROR(IF(INDEX(Hierarchy!$B$2:$B$1295,MATCH($D1732,Hierarchy!$A$2:$A$1295,0))="","",INDEX(Hierarchy!$B$2:$B$1295,MATCH($D1732,Hierarchy!$A$2:$A$1295,0))),"NODE NOT FOUND"))</f>
        <v>State/Province</v>
      </c>
      <c r="G1732" s="7" t="str">
        <f aca="false">IF($D1732="","",IFERROR(IF(INDEX(Hierarchy!$D$2:$D$1295,MATCH($D1732,Hierarchy!$A$2:$A$1295,0))="","",INDEX(Hierarchy!$D$2:$D$1295,MATCH($D1732,Hierarchy!$A$2:$A$1295,0))),"NODE NOT FOUND"))</f>
        <v>APAC</v>
      </c>
      <c r="H1732" s="7" t="str">
        <f aca="false">IF($D1732="","",IFERROR(IF(INDEX(Hierarchy!$E$2:$E$1295,MATCH($D1732,Hierarchy!$A$2:$A$1295,0))="","",INDEX(Hierarchy!$E$2:$E$1295,MATCH($D1732,Hierarchy!$A$2:$A$1295,0))),"NODE NOT FOUND"))</f>
        <v>South Asia</v>
      </c>
      <c r="I1732" s="7" t="str">
        <f aca="false">IF($D1732="","",IFERROR(IF(INDEX(Hierarchy!$F$2:$F$1295,MATCH($D1732,Hierarchy!$A$2:$A$1295,0))="","",INDEX(Hierarchy!$F$2:$F$1295,MATCH($D1732,Hierarchy!$A$2:$A$1295,0))),"NODE NOT FOUND"))</f>
        <v>India</v>
      </c>
      <c r="J1732" s="7" t="str">
        <f aca="false">IF($D1732="","",IFERROR(IF(INDEX(Hierarchy!$G$2:$G$1295,MATCH($D1732,Hierarchy!$A$2:$A$1295,0))="","",INDEX(Hierarchy!$G$2:$G$1295,MATCH($D1732,Hierarchy!$A$2:$A$1295,0))),"NODE NOT FOUND"))</f>
        <v>IND</v>
      </c>
      <c r="K1732" s="7" t="str">
        <f aca="false">IF($D1732="","",IFERROR(IF(INDEX(Hierarchy!$H$2:$H$1295,MATCH($D1732,Hierarchy!$A$2:$A$1295,0))="","",INDEX(Hierarchy!$H$2:$H$1295,MATCH($D1732,Hierarchy!$A$2:$A$1295,0))),"NODE NOT FOUND"))</f>
        <v>Tamil Nadu</v>
      </c>
      <c r="L1732" s="7" t="str">
        <f aca="false">IF($D1732="","",IFERROR(IF(INDEX(Hierarchy!$I$2:$I$1295,MATCH($D1732,Hierarchy!$A$2:$A$1295,0))="","",INDEX(Hierarchy!$I$2:$I$1295,MATCH($D1732,Hierarchy!$A$2:$A$1295,0))),"NODE NOT FOUND"))</f>
        <v/>
      </c>
      <c r="M1732" s="17" t="str">
        <f aca="false">IF(B1732="Pre-seeded","Pre-seeded",IF(B1732="Review 2026-09-16","Added from review",IF(C1732="","New",IF(C1732=D1732,"","Changed"))))</f>
        <v>Pre-seeded</v>
      </c>
      <c r="N1732" s="7" t="str">
        <f aca="false">TRIM(SUBSTITUTE(SUBSTITUTE(SUBSTITUTE(" "&amp;TRIM(SUBSTITUTE(SUBSTITUTE(SUBSTITUTE(SUBSTITUTE(SUBSTITUTE(SUBSTITUTE(SUBSTITUTE(SUBSTITUTE(SUBSTITUTE(SUBSTITUTE(SUBSTITUTE(SUBSTITUTE(SUBSTITUTE(SUBSTITUTE(SUBSTITUTE(UPPER(TRIM(A1732)),"[MEMBER]",""),"{MEMBER}",""),"[MEMBER}",""),"MEMBER]",""),"(A)",""),"""",""),"“",""),"”",""),".",""),":",""),",",""),"–"," "),"-"," "),"/"," "),"&amp;"," AND "))&amp;" "," THE "," ")," TOTAL "," ")," OPERATIONS "," "))</f>
        <v>TAMIL NADU</v>
      </c>
      <c r="O1732" s="17" t="str">
        <f aca="false">IF(COUNTIFS($N$2:$N$2000,N1732,$D$2:$D$2000,"&lt;&gt;"&amp;D1732)&gt;0,"CONFLICT","")</f>
        <v/>
      </c>
      <c r="P1732" s="7"/>
    </row>
    <row r="1733" customFormat="false" ht="15" hidden="false" customHeight="false" outlineLevel="0" collapsed="false">
      <c r="A1733" s="7" t="s">
        <v>169</v>
      </c>
      <c r="B1733" s="7" t="s">
        <v>1882</v>
      </c>
      <c r="C1733" s="7" t="s">
        <v>169</v>
      </c>
      <c r="D1733" s="6" t="s">
        <v>169</v>
      </c>
      <c r="E1733" s="6" t="s">
        <v>1880</v>
      </c>
      <c r="F1733" s="7" t="str">
        <f aca="false">IF($D1733="","",IFERROR(IF(INDEX(Hierarchy!$B$2:$B$1295,MATCH($D1733,Hierarchy!$A$2:$A$1295,0))="","",INDEX(Hierarchy!$B$2:$B$1295,MATCH($D1733,Hierarchy!$A$2:$A$1295,0))),"NODE NOT FOUND"))</f>
        <v>City</v>
      </c>
      <c r="G1733" s="7" t="str">
        <f aca="false">IF($D1733="","",IFERROR(IF(INDEX(Hierarchy!$D$2:$D$1295,MATCH($D1733,Hierarchy!$A$2:$A$1295,0))="","",INDEX(Hierarchy!$D$2:$D$1295,MATCH($D1733,Hierarchy!$A$2:$A$1295,0))),"NODE NOT FOUND"))</f>
        <v>AMER</v>
      </c>
      <c r="H1733" s="7" t="str">
        <f aca="false">IF($D1733="","",IFERROR(IF(INDEX(Hierarchy!$E$2:$E$1295,MATCH($D1733,Hierarchy!$A$2:$A$1295,0))="","",INDEX(Hierarchy!$E$2:$E$1295,MATCH($D1733,Hierarchy!$A$2:$A$1295,0))),"NODE NOT FOUND"))</f>
        <v>North America (NORAM)</v>
      </c>
      <c r="I1733" s="7" t="str">
        <f aca="false">IF($D1733="","",IFERROR(IF(INDEX(Hierarchy!$F$2:$F$1295,MATCH($D1733,Hierarchy!$A$2:$A$1295,0))="","",INDEX(Hierarchy!$F$2:$F$1295,MATCH($D1733,Hierarchy!$A$2:$A$1295,0))),"NODE NOT FOUND"))</f>
        <v>United States</v>
      </c>
      <c r="J1733" s="7" t="str">
        <f aca="false">IF($D1733="","",IFERROR(IF(INDEX(Hierarchy!$G$2:$G$1295,MATCH($D1733,Hierarchy!$A$2:$A$1295,0))="","",INDEX(Hierarchy!$G$2:$G$1295,MATCH($D1733,Hierarchy!$A$2:$A$1295,0))),"NODE NOT FOUND"))</f>
        <v>USA</v>
      </c>
      <c r="K1733" s="7" t="str">
        <f aca="false">IF($D1733="","",IFERROR(IF(INDEX(Hierarchy!$H$2:$H$1295,MATCH($D1733,Hierarchy!$A$2:$A$1295,0))="","",INDEX(Hierarchy!$H$2:$H$1295,MATCH($D1733,Hierarchy!$A$2:$A$1295,0))),"NODE NOT FOUND"))</f>
        <v>Florida</v>
      </c>
      <c r="L1733" s="7" t="str">
        <f aca="false">IF($D1733="","",IFERROR(IF(INDEX(Hierarchy!$I$2:$I$1295,MATCH($D1733,Hierarchy!$A$2:$A$1295,0))="","",INDEX(Hierarchy!$I$2:$I$1295,MATCH($D1733,Hierarchy!$A$2:$A$1295,0))),"NODE NOT FOUND"))</f>
        <v>Tampa</v>
      </c>
      <c r="M1733" s="17" t="str">
        <f aca="false">IF(B1733="Pre-seeded","Pre-seeded",IF(B1733="Review 2026-09-16","Added from review",IF(C1733="","New",IF(C1733=D1733,"","Changed"))))</f>
        <v/>
      </c>
      <c r="N1733" s="7" t="str">
        <f aca="false">TRIM(SUBSTITUTE(SUBSTITUTE(SUBSTITUTE(" "&amp;TRIM(SUBSTITUTE(SUBSTITUTE(SUBSTITUTE(SUBSTITUTE(SUBSTITUTE(SUBSTITUTE(SUBSTITUTE(SUBSTITUTE(SUBSTITUTE(SUBSTITUTE(SUBSTITUTE(SUBSTITUTE(SUBSTITUTE(SUBSTITUTE(SUBSTITUTE(UPPER(TRIM(A1733)),"[MEMBER]",""),"{MEMBER}",""),"[MEMBER}",""),"MEMBER]",""),"(A)",""),"""",""),"“",""),"”",""),".",""),":",""),",",""),"–"," "),"-"," "),"/"," "),"&amp;"," AND "))&amp;" "," THE "," ")," TOTAL "," ")," OPERATIONS "," "))</f>
        <v>TAMPA</v>
      </c>
      <c r="O1733" s="17" t="str">
        <f aca="false">IF(COUNTIFS($N$2:$N$2000,N1733,$D$2:$D$2000,"&lt;&gt;"&amp;D1733)&gt;0,"CONFLICT","")</f>
        <v/>
      </c>
      <c r="P1733" s="7"/>
    </row>
    <row r="1734" customFormat="false" ht="15" hidden="false" customHeight="false" outlineLevel="0" collapsed="false">
      <c r="A1734" s="7" t="s">
        <v>1296</v>
      </c>
      <c r="B1734" s="7" t="s">
        <v>1882</v>
      </c>
      <c r="C1734" s="7" t="s">
        <v>1296</v>
      </c>
      <c r="D1734" s="6" t="s">
        <v>1296</v>
      </c>
      <c r="E1734" s="6" t="s">
        <v>1880</v>
      </c>
      <c r="F1734" s="7" t="str">
        <f aca="false">IF($D1734="","",IFERROR(IF(INDEX(Hierarchy!$B$2:$B$1295,MATCH($D1734,Hierarchy!$A$2:$A$1295,0))="","",INDEX(Hierarchy!$B$2:$B$1295,MATCH($D1734,Hierarchy!$A$2:$A$1295,0))),"NODE NOT FOUND"))</f>
        <v>Country</v>
      </c>
      <c r="G1734" s="7" t="str">
        <f aca="false">IF($D1734="","",IFERROR(IF(INDEX(Hierarchy!$D$2:$D$1295,MATCH($D1734,Hierarchy!$A$2:$A$1295,0))="","",INDEX(Hierarchy!$D$2:$D$1295,MATCH($D1734,Hierarchy!$A$2:$A$1295,0))),"NODE NOT FOUND"))</f>
        <v>EMEA</v>
      </c>
      <c r="H1734" s="7" t="str">
        <f aca="false">IF($D1734="","",IFERROR(IF(INDEX(Hierarchy!$E$2:$E$1295,MATCH($D1734,Hierarchy!$A$2:$A$1295,0))="","",INDEX(Hierarchy!$E$2:$E$1295,MATCH($D1734,Hierarchy!$A$2:$A$1295,0))),"NODE NOT FOUND"))</f>
        <v>Africa</v>
      </c>
      <c r="I1734" s="7" t="str">
        <f aca="false">IF($D1734="","",IFERROR(IF(INDEX(Hierarchy!$F$2:$F$1295,MATCH($D1734,Hierarchy!$A$2:$A$1295,0))="","",INDEX(Hierarchy!$F$2:$F$1295,MATCH($D1734,Hierarchy!$A$2:$A$1295,0))),"NODE NOT FOUND"))</f>
        <v>Tanzania</v>
      </c>
      <c r="J1734" s="7" t="str">
        <f aca="false">IF($D1734="","",IFERROR(IF(INDEX(Hierarchy!$G$2:$G$1295,MATCH($D1734,Hierarchy!$A$2:$A$1295,0))="","",INDEX(Hierarchy!$G$2:$G$1295,MATCH($D1734,Hierarchy!$A$2:$A$1295,0))),"NODE NOT FOUND"))</f>
        <v>TZA</v>
      </c>
      <c r="K1734" s="7" t="str">
        <f aca="false">IF($D1734="","",IFERROR(IF(INDEX(Hierarchy!$H$2:$H$1295,MATCH($D1734,Hierarchy!$A$2:$A$1295,0))="","",INDEX(Hierarchy!$H$2:$H$1295,MATCH($D1734,Hierarchy!$A$2:$A$1295,0))),"NODE NOT FOUND"))</f>
        <v/>
      </c>
      <c r="L1734" s="7" t="str">
        <f aca="false">IF($D1734="","",IFERROR(IF(INDEX(Hierarchy!$I$2:$I$1295,MATCH($D1734,Hierarchy!$A$2:$A$1295,0))="","",INDEX(Hierarchy!$I$2:$I$1295,MATCH($D1734,Hierarchy!$A$2:$A$1295,0))),"NODE NOT FOUND"))</f>
        <v/>
      </c>
      <c r="M1734" s="17" t="str">
        <f aca="false">IF(B1734="Pre-seeded","Pre-seeded",IF(B1734="Review 2026-09-16","Added from review",IF(C1734="","New",IF(C1734=D1734,"","Changed"))))</f>
        <v/>
      </c>
      <c r="N1734" s="7" t="str">
        <f aca="false">TRIM(SUBSTITUTE(SUBSTITUTE(SUBSTITUTE(" "&amp;TRIM(SUBSTITUTE(SUBSTITUTE(SUBSTITUTE(SUBSTITUTE(SUBSTITUTE(SUBSTITUTE(SUBSTITUTE(SUBSTITUTE(SUBSTITUTE(SUBSTITUTE(SUBSTITUTE(SUBSTITUTE(SUBSTITUTE(SUBSTITUTE(SUBSTITUTE(UPPER(TRIM(A1734)),"[MEMBER]",""),"{MEMBER}",""),"[MEMBER}",""),"MEMBER]",""),"(A)",""),"""",""),"“",""),"”",""),".",""),":",""),",",""),"–"," "),"-"," "),"/"," "),"&amp;"," AND "))&amp;" "," THE "," ")," TOTAL "," ")," OPERATIONS "," "))</f>
        <v>TANZANIA</v>
      </c>
      <c r="O1734" s="17" t="str">
        <f aca="false">IF(COUNTIFS($N$2:$N$2000,N1734,$D$2:$D$2000,"&lt;&gt;"&amp;D1734)&gt;0,"CONFLICT","")</f>
        <v/>
      </c>
      <c r="P1734" s="7"/>
    </row>
    <row r="1735" customFormat="false" ht="15" hidden="false" customHeight="false" outlineLevel="0" collapsed="false">
      <c r="A1735" s="7" t="s">
        <v>2752</v>
      </c>
      <c r="B1735" s="7" t="s">
        <v>1879</v>
      </c>
      <c r="C1735" s="7"/>
      <c r="D1735" s="6" t="s">
        <v>1296</v>
      </c>
      <c r="E1735" s="6" t="s">
        <v>1880</v>
      </c>
      <c r="F1735" s="7" t="str">
        <f aca="false">IF($D1735="","",IFERROR(IF(INDEX(Hierarchy!$B$2:$B$1295,MATCH($D1735,Hierarchy!$A$2:$A$1295,0))="","",INDEX(Hierarchy!$B$2:$B$1295,MATCH($D1735,Hierarchy!$A$2:$A$1295,0))),"NODE NOT FOUND"))</f>
        <v>Country</v>
      </c>
      <c r="G1735" s="7" t="str">
        <f aca="false">IF($D1735="","",IFERROR(IF(INDEX(Hierarchy!$D$2:$D$1295,MATCH($D1735,Hierarchy!$A$2:$A$1295,0))="","",INDEX(Hierarchy!$D$2:$D$1295,MATCH($D1735,Hierarchy!$A$2:$A$1295,0))),"NODE NOT FOUND"))</f>
        <v>EMEA</v>
      </c>
      <c r="H1735" s="7" t="str">
        <f aca="false">IF($D1735="","",IFERROR(IF(INDEX(Hierarchy!$E$2:$E$1295,MATCH($D1735,Hierarchy!$A$2:$A$1295,0))="","",INDEX(Hierarchy!$E$2:$E$1295,MATCH($D1735,Hierarchy!$A$2:$A$1295,0))),"NODE NOT FOUND"))</f>
        <v>Africa</v>
      </c>
      <c r="I1735" s="7" t="str">
        <f aca="false">IF($D1735="","",IFERROR(IF(INDEX(Hierarchy!$F$2:$F$1295,MATCH($D1735,Hierarchy!$A$2:$A$1295,0))="","",INDEX(Hierarchy!$F$2:$F$1295,MATCH($D1735,Hierarchy!$A$2:$A$1295,0))),"NODE NOT FOUND"))</f>
        <v>Tanzania</v>
      </c>
      <c r="J1735" s="7" t="str">
        <f aca="false">IF($D1735="","",IFERROR(IF(INDEX(Hierarchy!$G$2:$G$1295,MATCH($D1735,Hierarchy!$A$2:$A$1295,0))="","",INDEX(Hierarchy!$G$2:$G$1295,MATCH($D1735,Hierarchy!$A$2:$A$1295,0))),"NODE NOT FOUND"))</f>
        <v>TZA</v>
      </c>
      <c r="K1735" s="7" t="str">
        <f aca="false">IF($D1735="","",IFERROR(IF(INDEX(Hierarchy!$H$2:$H$1295,MATCH($D1735,Hierarchy!$A$2:$A$1295,0))="","",INDEX(Hierarchy!$H$2:$H$1295,MATCH($D1735,Hierarchy!$A$2:$A$1295,0))),"NODE NOT FOUND"))</f>
        <v/>
      </c>
      <c r="L1735" s="7" t="str">
        <f aca="false">IF($D1735="","",IFERROR(IF(INDEX(Hierarchy!$I$2:$I$1295,MATCH($D1735,Hierarchy!$A$2:$A$1295,0))="","",INDEX(Hierarchy!$I$2:$I$1295,MATCH($D1735,Hierarchy!$A$2:$A$1295,0))),"NODE NOT FOUND"))</f>
        <v/>
      </c>
      <c r="M1735" s="17" t="str">
        <f aca="false">IF(B1735="Pre-seeded","Pre-seeded",IF(B1735="Review 2026-09-16","Added from review",IF(C1735="","New",IF(C1735=D1735,"","Changed"))))</f>
        <v>Pre-seeded</v>
      </c>
      <c r="N1735" s="7" t="str">
        <f aca="false">TRIM(SUBSTITUTE(SUBSTITUTE(SUBSTITUTE(" "&amp;TRIM(SUBSTITUTE(SUBSTITUTE(SUBSTITUTE(SUBSTITUTE(SUBSTITUTE(SUBSTITUTE(SUBSTITUTE(SUBSTITUTE(SUBSTITUTE(SUBSTITUTE(SUBSTITUTE(SUBSTITUTE(SUBSTITUTE(SUBSTITUTE(SUBSTITUTE(UPPER(TRIM(A1735)),"[MEMBER]",""),"{MEMBER}",""),"[MEMBER}",""),"MEMBER]",""),"(A)",""),"""",""),"“",""),"”",""),".",""),":",""),",",""),"–"," "),"-"," "),"/"," "),"&amp;"," AND "))&amp;" "," THE "," ")," TOTAL "," ")," OPERATIONS "," "))</f>
        <v>TANZANIA UNITED REPUBLIC OF</v>
      </c>
      <c r="O1735" s="17" t="str">
        <f aca="false">IF(COUNTIFS($N$2:$N$2000,N1735,$D$2:$D$2000,"&lt;&gt;"&amp;D1735)&gt;0,"CONFLICT","")</f>
        <v/>
      </c>
      <c r="P1735" s="7" t="s">
        <v>1936</v>
      </c>
    </row>
    <row r="1736" customFormat="false" ht="15" hidden="false" customHeight="false" outlineLevel="0" collapsed="false">
      <c r="A1736" s="7" t="s">
        <v>1167</v>
      </c>
      <c r="B1736" s="7" t="s">
        <v>1879</v>
      </c>
      <c r="C1736" s="7"/>
      <c r="D1736" s="6" t="s">
        <v>1167</v>
      </c>
      <c r="E1736" s="6" t="s">
        <v>1880</v>
      </c>
      <c r="F1736" s="7" t="str">
        <f aca="false">IF($D1736="","",IFERROR(IF(INDEX(Hierarchy!$B$2:$B$1295,MATCH($D1736,Hierarchy!$A$2:$A$1295,0))="","",INDEX(Hierarchy!$B$2:$B$1295,MATCH($D1736,Hierarchy!$A$2:$A$1295,0))),"NODE NOT FOUND"))</f>
        <v>State/Province</v>
      </c>
      <c r="G1736" s="7" t="str">
        <f aca="false">IF($D1736="","",IFERROR(IF(INDEX(Hierarchy!$D$2:$D$1295,MATCH($D1736,Hierarchy!$A$2:$A$1295,0))="","",INDEX(Hierarchy!$D$2:$D$1295,MATCH($D1736,Hierarchy!$A$2:$A$1295,0))),"NODE NOT FOUND"))</f>
        <v>EMEA</v>
      </c>
      <c r="H1736" s="7" t="str">
        <f aca="false">IF($D1736="","",IFERROR(IF(INDEX(Hierarchy!$E$2:$E$1295,MATCH($D1736,Hierarchy!$A$2:$A$1295,0))="","",INDEX(Hierarchy!$E$2:$E$1295,MATCH($D1736,Hierarchy!$A$2:$A$1295,0))),"NODE NOT FOUND"))</f>
        <v>Africa</v>
      </c>
      <c r="I1736" s="7" t="str">
        <f aca="false">IF($D1736="","",IFERROR(IF(INDEX(Hierarchy!$F$2:$F$1295,MATCH($D1736,Hierarchy!$A$2:$A$1295,0))="","",INDEX(Hierarchy!$F$2:$F$1295,MATCH($D1736,Hierarchy!$A$2:$A$1295,0))),"NODE NOT FOUND"))</f>
        <v>Nigeria</v>
      </c>
      <c r="J1736" s="7" t="str">
        <f aca="false">IF($D1736="","",IFERROR(IF(INDEX(Hierarchy!$G$2:$G$1295,MATCH($D1736,Hierarchy!$A$2:$A$1295,0))="","",INDEX(Hierarchy!$G$2:$G$1295,MATCH($D1736,Hierarchy!$A$2:$A$1295,0))),"NODE NOT FOUND"))</f>
        <v>NGA</v>
      </c>
      <c r="K1736" s="7" t="str">
        <f aca="false">IF($D1736="","",IFERROR(IF(INDEX(Hierarchy!$H$2:$H$1295,MATCH($D1736,Hierarchy!$A$2:$A$1295,0))="","",INDEX(Hierarchy!$H$2:$H$1295,MATCH($D1736,Hierarchy!$A$2:$A$1295,0))),"NODE NOT FOUND"))</f>
        <v>Taraba</v>
      </c>
      <c r="L1736" s="7" t="str">
        <f aca="false">IF($D1736="","",IFERROR(IF(INDEX(Hierarchy!$I$2:$I$1295,MATCH($D1736,Hierarchy!$A$2:$A$1295,0))="","",INDEX(Hierarchy!$I$2:$I$1295,MATCH($D1736,Hierarchy!$A$2:$A$1295,0))),"NODE NOT FOUND"))</f>
        <v/>
      </c>
      <c r="M1736" s="17" t="str">
        <f aca="false">IF(B1736="Pre-seeded","Pre-seeded",IF(B1736="Review 2026-09-16","Added from review",IF(C1736="","New",IF(C1736=D1736,"","Changed"))))</f>
        <v>Pre-seeded</v>
      </c>
      <c r="N1736" s="7" t="str">
        <f aca="false">TRIM(SUBSTITUTE(SUBSTITUTE(SUBSTITUTE(" "&amp;TRIM(SUBSTITUTE(SUBSTITUTE(SUBSTITUTE(SUBSTITUTE(SUBSTITUTE(SUBSTITUTE(SUBSTITUTE(SUBSTITUTE(SUBSTITUTE(SUBSTITUTE(SUBSTITUTE(SUBSTITUTE(SUBSTITUTE(SUBSTITUTE(SUBSTITUTE(UPPER(TRIM(A1736)),"[MEMBER]",""),"{MEMBER}",""),"[MEMBER}",""),"MEMBER]",""),"(A)",""),"""",""),"“",""),"”",""),".",""),":",""),",",""),"–"," "),"-"," "),"/"," "),"&amp;"," AND "))&amp;" "," THE "," ")," TOTAL "," ")," OPERATIONS "," "))</f>
        <v>TARABA</v>
      </c>
      <c r="O1736" s="17" t="str">
        <f aca="false">IF(COUNTIFS($N$2:$N$2000,N1736,$D$2:$D$2000,"&lt;&gt;"&amp;D1736)&gt;0,"CONFLICT","")</f>
        <v/>
      </c>
      <c r="P1736" s="7"/>
    </row>
    <row r="1737" customFormat="false" ht="15" hidden="false" customHeight="false" outlineLevel="0" collapsed="false">
      <c r="A1737" s="7" t="s">
        <v>1731</v>
      </c>
      <c r="B1737" s="7" t="s">
        <v>1879</v>
      </c>
      <c r="C1737" s="7"/>
      <c r="D1737" s="6" t="s">
        <v>1731</v>
      </c>
      <c r="E1737" s="6" t="s">
        <v>1880</v>
      </c>
      <c r="F1737" s="7" t="str">
        <f aca="false">IF($D1737="","",IFERROR(IF(INDEX(Hierarchy!$B$2:$B$1295,MATCH($D1737,Hierarchy!$A$2:$A$1295,0))="","",INDEX(Hierarchy!$B$2:$B$1295,MATCH($D1737,Hierarchy!$A$2:$A$1295,0))),"NODE NOT FOUND"))</f>
        <v>State/Province</v>
      </c>
      <c r="G1737" s="7" t="str">
        <f aca="false">IF($D1737="","",IFERROR(IF(INDEX(Hierarchy!$D$2:$D$1295,MATCH($D1737,Hierarchy!$A$2:$A$1295,0))="","",INDEX(Hierarchy!$D$2:$D$1295,MATCH($D1737,Hierarchy!$A$2:$A$1295,0))),"NODE NOT FOUND"))</f>
        <v>APAC</v>
      </c>
      <c r="H1737" s="7" t="str">
        <f aca="false">IF($D1737="","",IFERROR(IF(INDEX(Hierarchy!$E$2:$E$1295,MATCH($D1737,Hierarchy!$A$2:$A$1295,0))="","",INDEX(Hierarchy!$E$2:$E$1295,MATCH($D1737,Hierarchy!$A$2:$A$1295,0))),"NODE NOT FOUND"))</f>
        <v>Oceania (ANZ)</v>
      </c>
      <c r="I1737" s="7" t="str">
        <f aca="false">IF($D1737="","",IFERROR(IF(INDEX(Hierarchy!$F$2:$F$1295,MATCH($D1737,Hierarchy!$A$2:$A$1295,0))="","",INDEX(Hierarchy!$F$2:$F$1295,MATCH($D1737,Hierarchy!$A$2:$A$1295,0))),"NODE NOT FOUND"))</f>
        <v>New Zealand</v>
      </c>
      <c r="J1737" s="7" t="str">
        <f aca="false">IF($D1737="","",IFERROR(IF(INDEX(Hierarchy!$G$2:$G$1295,MATCH($D1737,Hierarchy!$A$2:$A$1295,0))="","",INDEX(Hierarchy!$G$2:$G$1295,MATCH($D1737,Hierarchy!$A$2:$A$1295,0))),"NODE NOT FOUND"))</f>
        <v>NZL</v>
      </c>
      <c r="K1737" s="7" t="str">
        <f aca="false">IF($D1737="","",IFERROR(IF(INDEX(Hierarchy!$H$2:$H$1295,MATCH($D1737,Hierarchy!$A$2:$A$1295,0))="","",INDEX(Hierarchy!$H$2:$H$1295,MATCH($D1737,Hierarchy!$A$2:$A$1295,0))),"NODE NOT FOUND"))</f>
        <v>Taranaki</v>
      </c>
      <c r="L1737" s="7" t="str">
        <f aca="false">IF($D1737="","",IFERROR(IF(INDEX(Hierarchy!$I$2:$I$1295,MATCH($D1737,Hierarchy!$A$2:$A$1295,0))="","",INDEX(Hierarchy!$I$2:$I$1295,MATCH($D1737,Hierarchy!$A$2:$A$1295,0))),"NODE NOT FOUND"))</f>
        <v/>
      </c>
      <c r="M1737" s="17" t="str">
        <f aca="false">IF(B1737="Pre-seeded","Pre-seeded",IF(B1737="Review 2026-09-16","Added from review",IF(C1737="","New",IF(C1737=D1737,"","Changed"))))</f>
        <v>Pre-seeded</v>
      </c>
      <c r="N1737" s="7" t="str">
        <f aca="false">TRIM(SUBSTITUTE(SUBSTITUTE(SUBSTITUTE(" "&amp;TRIM(SUBSTITUTE(SUBSTITUTE(SUBSTITUTE(SUBSTITUTE(SUBSTITUTE(SUBSTITUTE(SUBSTITUTE(SUBSTITUTE(SUBSTITUTE(SUBSTITUTE(SUBSTITUTE(SUBSTITUTE(SUBSTITUTE(SUBSTITUTE(SUBSTITUTE(UPPER(TRIM(A1737)),"[MEMBER]",""),"{MEMBER}",""),"[MEMBER}",""),"MEMBER]",""),"(A)",""),"""",""),"“",""),"”",""),".",""),":",""),",",""),"–"," "),"-"," "),"/"," "),"&amp;"," AND "))&amp;" "," THE "," ")," TOTAL "," ")," OPERATIONS "," "))</f>
        <v>TARANAKI</v>
      </c>
      <c r="O1737" s="17" t="str">
        <f aca="false">IF(COUNTIFS($N$2:$N$2000,N1737,$D$2:$D$2000,"&lt;&gt;"&amp;D1737)&gt;0,"CONFLICT","")</f>
        <v/>
      </c>
      <c r="P1737" s="7"/>
    </row>
    <row r="1738" customFormat="false" ht="15" hidden="false" customHeight="false" outlineLevel="0" collapsed="false">
      <c r="A1738" s="7" t="s">
        <v>492</v>
      </c>
      <c r="B1738" s="7" t="s">
        <v>1879</v>
      </c>
      <c r="C1738" s="7"/>
      <c r="D1738" s="6" t="s">
        <v>492</v>
      </c>
      <c r="E1738" s="6" t="s">
        <v>1880</v>
      </c>
      <c r="F1738" s="7" t="str">
        <f aca="false">IF($D1738="","",IFERROR(IF(INDEX(Hierarchy!$B$2:$B$1295,MATCH($D1738,Hierarchy!$A$2:$A$1295,0))="","",INDEX(Hierarchy!$B$2:$B$1295,MATCH($D1738,Hierarchy!$A$2:$A$1295,0))),"NODE NOT FOUND"))</f>
        <v>State/Province</v>
      </c>
      <c r="G1738" s="7" t="str">
        <f aca="false">IF($D1738="","",IFERROR(IF(INDEX(Hierarchy!$D$2:$D$1295,MATCH($D1738,Hierarchy!$A$2:$A$1295,0))="","",INDEX(Hierarchy!$D$2:$D$1295,MATCH($D1738,Hierarchy!$A$2:$A$1295,0))),"NODE NOT FOUND"))</f>
        <v>AMER</v>
      </c>
      <c r="H1738" s="7" t="str">
        <f aca="false">IF($D1738="","",IFERROR(IF(INDEX(Hierarchy!$E$2:$E$1295,MATCH($D1738,Hierarchy!$A$2:$A$1295,0))="","",INDEX(Hierarchy!$E$2:$E$1295,MATCH($D1738,Hierarchy!$A$2:$A$1295,0))),"NODE NOT FOUND"))</f>
        <v>Latin America (LATAM)</v>
      </c>
      <c r="I1738" s="7" t="str">
        <f aca="false">IF($D1738="","",IFERROR(IF(INDEX(Hierarchy!$F$2:$F$1295,MATCH($D1738,Hierarchy!$A$2:$A$1295,0))="","",INDEX(Hierarchy!$F$2:$F$1295,MATCH($D1738,Hierarchy!$A$2:$A$1295,0))),"NODE NOT FOUND"))</f>
        <v>Chile</v>
      </c>
      <c r="J1738" s="7" t="str">
        <f aca="false">IF($D1738="","",IFERROR(IF(INDEX(Hierarchy!$G$2:$G$1295,MATCH($D1738,Hierarchy!$A$2:$A$1295,0))="","",INDEX(Hierarchy!$G$2:$G$1295,MATCH($D1738,Hierarchy!$A$2:$A$1295,0))),"NODE NOT FOUND"))</f>
        <v>CHL</v>
      </c>
      <c r="K1738" s="7" t="str">
        <f aca="false">IF($D1738="","",IFERROR(IF(INDEX(Hierarchy!$H$2:$H$1295,MATCH($D1738,Hierarchy!$A$2:$A$1295,0))="","",INDEX(Hierarchy!$H$2:$H$1295,MATCH($D1738,Hierarchy!$A$2:$A$1295,0))),"NODE NOT FOUND"))</f>
        <v>Tarapacá</v>
      </c>
      <c r="L1738" s="7" t="str">
        <f aca="false">IF($D1738="","",IFERROR(IF(INDEX(Hierarchy!$I$2:$I$1295,MATCH($D1738,Hierarchy!$A$2:$A$1295,0))="","",INDEX(Hierarchy!$I$2:$I$1295,MATCH($D1738,Hierarchy!$A$2:$A$1295,0))),"NODE NOT FOUND"))</f>
        <v/>
      </c>
      <c r="M1738" s="17" t="str">
        <f aca="false">IF(B1738="Pre-seeded","Pre-seeded",IF(B1738="Review 2026-09-16","Added from review",IF(C1738="","New",IF(C1738=D1738,"","Changed"))))</f>
        <v>Pre-seeded</v>
      </c>
      <c r="N1738" s="7" t="str">
        <f aca="false">TRIM(SUBSTITUTE(SUBSTITUTE(SUBSTITUTE(" "&amp;TRIM(SUBSTITUTE(SUBSTITUTE(SUBSTITUTE(SUBSTITUTE(SUBSTITUTE(SUBSTITUTE(SUBSTITUTE(SUBSTITUTE(SUBSTITUTE(SUBSTITUTE(SUBSTITUTE(SUBSTITUTE(SUBSTITUTE(SUBSTITUTE(SUBSTITUTE(UPPER(TRIM(A1738)),"[MEMBER]",""),"{MEMBER}",""),"[MEMBER}",""),"MEMBER]",""),"(A)",""),"""",""),"“",""),"”",""),".",""),":",""),",",""),"–"," "),"-"," "),"/"," "),"&amp;"," AND "))&amp;" "," THE "," ")," TOTAL "," ")," OPERATIONS "," "))</f>
        <v>TARAPACÁ</v>
      </c>
      <c r="O1738" s="17" t="str">
        <f aca="false">IF(COUNTIFS($N$2:$N$2000,N1738,$D$2:$D$2000,"&lt;&gt;"&amp;D1738)&gt;0,"CONFLICT","")</f>
        <v/>
      </c>
      <c r="P1738" s="7"/>
    </row>
    <row r="1739" customFormat="false" ht="15" hidden="false" customHeight="false" outlineLevel="0" collapsed="false">
      <c r="A1739" s="7" t="s">
        <v>1732</v>
      </c>
      <c r="B1739" s="7" t="s">
        <v>1879</v>
      </c>
      <c r="C1739" s="7"/>
      <c r="D1739" s="6" t="s">
        <v>1732</v>
      </c>
      <c r="E1739" s="6" t="s">
        <v>1880</v>
      </c>
      <c r="F1739" s="7" t="str">
        <f aca="false">IF($D1739="","",IFERROR(IF(INDEX(Hierarchy!$B$2:$B$1295,MATCH($D1739,Hierarchy!$A$2:$A$1295,0))="","",INDEX(Hierarchy!$B$2:$B$1295,MATCH($D1739,Hierarchy!$A$2:$A$1295,0))),"NODE NOT FOUND"))</f>
        <v>State/Province</v>
      </c>
      <c r="G1739" s="7" t="str">
        <f aca="false">IF($D1739="","",IFERROR(IF(INDEX(Hierarchy!$D$2:$D$1295,MATCH($D1739,Hierarchy!$A$2:$A$1295,0))="","",INDEX(Hierarchy!$D$2:$D$1295,MATCH($D1739,Hierarchy!$A$2:$A$1295,0))),"NODE NOT FOUND"))</f>
        <v>APAC</v>
      </c>
      <c r="H1739" s="7" t="str">
        <f aca="false">IF($D1739="","",IFERROR(IF(INDEX(Hierarchy!$E$2:$E$1295,MATCH($D1739,Hierarchy!$A$2:$A$1295,0))="","",INDEX(Hierarchy!$E$2:$E$1295,MATCH($D1739,Hierarchy!$A$2:$A$1295,0))),"NODE NOT FOUND"))</f>
        <v>Oceania (ANZ)</v>
      </c>
      <c r="I1739" s="7" t="str">
        <f aca="false">IF($D1739="","",IFERROR(IF(INDEX(Hierarchy!$F$2:$F$1295,MATCH($D1739,Hierarchy!$A$2:$A$1295,0))="","",INDEX(Hierarchy!$F$2:$F$1295,MATCH($D1739,Hierarchy!$A$2:$A$1295,0))),"NODE NOT FOUND"))</f>
        <v>New Zealand</v>
      </c>
      <c r="J1739" s="7" t="str">
        <f aca="false">IF($D1739="","",IFERROR(IF(INDEX(Hierarchy!$G$2:$G$1295,MATCH($D1739,Hierarchy!$A$2:$A$1295,0))="","",INDEX(Hierarchy!$G$2:$G$1295,MATCH($D1739,Hierarchy!$A$2:$A$1295,0))),"NODE NOT FOUND"))</f>
        <v>NZL</v>
      </c>
      <c r="K1739" s="7" t="str">
        <f aca="false">IF($D1739="","",IFERROR(IF(INDEX(Hierarchy!$H$2:$H$1295,MATCH($D1739,Hierarchy!$A$2:$A$1295,0))="","",INDEX(Hierarchy!$H$2:$H$1295,MATCH($D1739,Hierarchy!$A$2:$A$1295,0))),"NODE NOT FOUND"))</f>
        <v>Tasman</v>
      </c>
      <c r="L1739" s="7" t="str">
        <f aca="false">IF($D1739="","",IFERROR(IF(INDEX(Hierarchy!$I$2:$I$1295,MATCH($D1739,Hierarchy!$A$2:$A$1295,0))="","",INDEX(Hierarchy!$I$2:$I$1295,MATCH($D1739,Hierarchy!$A$2:$A$1295,0))),"NODE NOT FOUND"))</f>
        <v/>
      </c>
      <c r="M1739" s="17" t="str">
        <f aca="false">IF(B1739="Pre-seeded","Pre-seeded",IF(B1739="Review 2026-09-16","Added from review",IF(C1739="","New",IF(C1739=D1739,"","Changed"))))</f>
        <v>Pre-seeded</v>
      </c>
      <c r="N1739" s="7" t="str">
        <f aca="false">TRIM(SUBSTITUTE(SUBSTITUTE(SUBSTITUTE(" "&amp;TRIM(SUBSTITUTE(SUBSTITUTE(SUBSTITUTE(SUBSTITUTE(SUBSTITUTE(SUBSTITUTE(SUBSTITUTE(SUBSTITUTE(SUBSTITUTE(SUBSTITUTE(SUBSTITUTE(SUBSTITUTE(SUBSTITUTE(SUBSTITUTE(SUBSTITUTE(UPPER(TRIM(A1739)),"[MEMBER]",""),"{MEMBER}",""),"[MEMBER}",""),"MEMBER]",""),"(A)",""),"""",""),"“",""),"”",""),".",""),":",""),",",""),"–"," "),"-"," "),"/"," "),"&amp;"," AND "))&amp;" "," THE "," ")," TOTAL "," ")," OPERATIONS "," "))</f>
        <v>TASMAN</v>
      </c>
      <c r="O1739" s="17" t="str">
        <f aca="false">IF(COUNTIFS($N$2:$N$2000,N1739,$D$2:$D$2000,"&lt;&gt;"&amp;D1739)&gt;0,"CONFLICT","")</f>
        <v/>
      </c>
      <c r="P1739" s="7"/>
    </row>
    <row r="1740" customFormat="false" ht="15" hidden="false" customHeight="false" outlineLevel="0" collapsed="false">
      <c r="A1740" s="7" t="s">
        <v>1710</v>
      </c>
      <c r="B1740" s="7" t="s">
        <v>1879</v>
      </c>
      <c r="C1740" s="7"/>
      <c r="D1740" s="6" t="s">
        <v>1710</v>
      </c>
      <c r="E1740" s="6" t="s">
        <v>1880</v>
      </c>
      <c r="F1740" s="7" t="str">
        <f aca="false">IF($D1740="","",IFERROR(IF(INDEX(Hierarchy!$B$2:$B$1295,MATCH($D1740,Hierarchy!$A$2:$A$1295,0))="","",INDEX(Hierarchy!$B$2:$B$1295,MATCH($D1740,Hierarchy!$A$2:$A$1295,0))),"NODE NOT FOUND"))</f>
        <v>State/Province</v>
      </c>
      <c r="G1740" s="7" t="str">
        <f aca="false">IF($D1740="","",IFERROR(IF(INDEX(Hierarchy!$D$2:$D$1295,MATCH($D1740,Hierarchy!$A$2:$A$1295,0))="","",INDEX(Hierarchy!$D$2:$D$1295,MATCH($D1740,Hierarchy!$A$2:$A$1295,0))),"NODE NOT FOUND"))</f>
        <v>APAC</v>
      </c>
      <c r="H1740" s="7" t="str">
        <f aca="false">IF($D1740="","",IFERROR(IF(INDEX(Hierarchy!$E$2:$E$1295,MATCH($D1740,Hierarchy!$A$2:$A$1295,0))="","",INDEX(Hierarchy!$E$2:$E$1295,MATCH($D1740,Hierarchy!$A$2:$A$1295,0))),"NODE NOT FOUND"))</f>
        <v>Oceania (ANZ)</v>
      </c>
      <c r="I1740" s="7" t="str">
        <f aca="false">IF($D1740="","",IFERROR(IF(INDEX(Hierarchy!$F$2:$F$1295,MATCH($D1740,Hierarchy!$A$2:$A$1295,0))="","",INDEX(Hierarchy!$F$2:$F$1295,MATCH($D1740,Hierarchy!$A$2:$A$1295,0))),"NODE NOT FOUND"))</f>
        <v>Australia</v>
      </c>
      <c r="J1740" s="7" t="str">
        <f aca="false">IF($D1740="","",IFERROR(IF(INDEX(Hierarchy!$G$2:$G$1295,MATCH($D1740,Hierarchy!$A$2:$A$1295,0))="","",INDEX(Hierarchy!$G$2:$G$1295,MATCH($D1740,Hierarchy!$A$2:$A$1295,0))),"NODE NOT FOUND"))</f>
        <v>AUS</v>
      </c>
      <c r="K1740" s="7" t="str">
        <f aca="false">IF($D1740="","",IFERROR(IF(INDEX(Hierarchy!$H$2:$H$1295,MATCH($D1740,Hierarchy!$A$2:$A$1295,0))="","",INDEX(Hierarchy!$H$2:$H$1295,MATCH($D1740,Hierarchy!$A$2:$A$1295,0))),"NODE NOT FOUND"))</f>
        <v>Tasmania</v>
      </c>
      <c r="L1740" s="7" t="str">
        <f aca="false">IF($D1740="","",IFERROR(IF(INDEX(Hierarchy!$I$2:$I$1295,MATCH($D1740,Hierarchy!$A$2:$A$1295,0))="","",INDEX(Hierarchy!$I$2:$I$1295,MATCH($D1740,Hierarchy!$A$2:$A$1295,0))),"NODE NOT FOUND"))</f>
        <v/>
      </c>
      <c r="M1740" s="17" t="str">
        <f aca="false">IF(B1740="Pre-seeded","Pre-seeded",IF(B1740="Review 2026-09-16","Added from review",IF(C1740="","New",IF(C1740=D1740,"","Changed"))))</f>
        <v>Pre-seeded</v>
      </c>
      <c r="N1740" s="7" t="str">
        <f aca="false">TRIM(SUBSTITUTE(SUBSTITUTE(SUBSTITUTE(" "&amp;TRIM(SUBSTITUTE(SUBSTITUTE(SUBSTITUTE(SUBSTITUTE(SUBSTITUTE(SUBSTITUTE(SUBSTITUTE(SUBSTITUTE(SUBSTITUTE(SUBSTITUTE(SUBSTITUTE(SUBSTITUTE(SUBSTITUTE(SUBSTITUTE(SUBSTITUTE(UPPER(TRIM(A1740)),"[MEMBER]",""),"{MEMBER}",""),"[MEMBER}",""),"MEMBER]",""),"(A)",""),"""",""),"“",""),"”",""),".",""),":",""),",",""),"–"," "),"-"," "),"/"," "),"&amp;"," AND "))&amp;" "," THE "," ")," TOTAL "," ")," OPERATIONS "," "))</f>
        <v>TASMANIA</v>
      </c>
      <c r="O1740" s="17" t="str">
        <f aca="false">IF(COUNTIFS($N$2:$N$2000,N1740,$D$2:$D$2000,"&lt;&gt;"&amp;D1740)&gt;0,"CONFLICT","")</f>
        <v/>
      </c>
      <c r="P1740" s="7"/>
    </row>
    <row r="1741" customFormat="false" ht="15" hidden="false" customHeight="false" outlineLevel="0" collapsed="false">
      <c r="A1741" s="7" t="s">
        <v>1364</v>
      </c>
      <c r="B1741" s="7" t="s">
        <v>1879</v>
      </c>
      <c r="C1741" s="7"/>
      <c r="D1741" s="6" t="s">
        <v>1364</v>
      </c>
      <c r="E1741" s="6" t="s">
        <v>1880</v>
      </c>
      <c r="F1741" s="7" t="str">
        <f aca="false">IF($D1741="","",IFERROR(IF(INDEX(Hierarchy!$B$2:$B$1295,MATCH($D1741,Hierarchy!$A$2:$A$1295,0))="","",INDEX(Hierarchy!$B$2:$B$1295,MATCH($D1741,Hierarchy!$A$2:$A$1295,0))),"NODE NOT FOUND"))</f>
        <v>State/Province</v>
      </c>
      <c r="G1741" s="7" t="str">
        <f aca="false">IF($D1741="","",IFERROR(IF(INDEX(Hierarchy!$D$2:$D$1295,MATCH($D1741,Hierarchy!$A$2:$A$1295,0))="","",INDEX(Hierarchy!$D$2:$D$1295,MATCH($D1741,Hierarchy!$A$2:$A$1295,0))),"NODE NOT FOUND"))</f>
        <v>APAC</v>
      </c>
      <c r="H1741" s="7" t="str">
        <f aca="false">IF($D1741="","",IFERROR(IF(INDEX(Hierarchy!$E$2:$E$1295,MATCH($D1741,Hierarchy!$A$2:$A$1295,0))="","",INDEX(Hierarchy!$E$2:$E$1295,MATCH($D1741,Hierarchy!$A$2:$A$1295,0))),"NODE NOT FOUND"))</f>
        <v>South Asia</v>
      </c>
      <c r="I1741" s="7" t="str">
        <f aca="false">IF($D1741="","",IFERROR(IF(INDEX(Hierarchy!$F$2:$F$1295,MATCH($D1741,Hierarchy!$A$2:$A$1295,0))="","",INDEX(Hierarchy!$F$2:$F$1295,MATCH($D1741,Hierarchy!$A$2:$A$1295,0))),"NODE NOT FOUND"))</f>
        <v>India</v>
      </c>
      <c r="J1741" s="7" t="str">
        <f aca="false">IF($D1741="","",IFERROR(IF(INDEX(Hierarchy!$G$2:$G$1295,MATCH($D1741,Hierarchy!$A$2:$A$1295,0))="","",INDEX(Hierarchy!$G$2:$G$1295,MATCH($D1741,Hierarchy!$A$2:$A$1295,0))),"NODE NOT FOUND"))</f>
        <v>IND</v>
      </c>
      <c r="K1741" s="7" t="str">
        <f aca="false">IF($D1741="","",IFERROR(IF(INDEX(Hierarchy!$H$2:$H$1295,MATCH($D1741,Hierarchy!$A$2:$A$1295,0))="","",INDEX(Hierarchy!$H$2:$H$1295,MATCH($D1741,Hierarchy!$A$2:$A$1295,0))),"NODE NOT FOUND"))</f>
        <v>Telangana</v>
      </c>
      <c r="L1741" s="7" t="str">
        <f aca="false">IF($D1741="","",IFERROR(IF(INDEX(Hierarchy!$I$2:$I$1295,MATCH($D1741,Hierarchy!$A$2:$A$1295,0))="","",INDEX(Hierarchy!$I$2:$I$1295,MATCH($D1741,Hierarchy!$A$2:$A$1295,0))),"NODE NOT FOUND"))</f>
        <v/>
      </c>
      <c r="M1741" s="17" t="str">
        <f aca="false">IF(B1741="Pre-seeded","Pre-seeded",IF(B1741="Review 2026-09-16","Added from review",IF(C1741="","New",IF(C1741=D1741,"","Changed"))))</f>
        <v>Pre-seeded</v>
      </c>
      <c r="N1741" s="7" t="str">
        <f aca="false">TRIM(SUBSTITUTE(SUBSTITUTE(SUBSTITUTE(" "&amp;TRIM(SUBSTITUTE(SUBSTITUTE(SUBSTITUTE(SUBSTITUTE(SUBSTITUTE(SUBSTITUTE(SUBSTITUTE(SUBSTITUTE(SUBSTITUTE(SUBSTITUTE(SUBSTITUTE(SUBSTITUTE(SUBSTITUTE(SUBSTITUTE(SUBSTITUTE(UPPER(TRIM(A1741)),"[MEMBER]",""),"{MEMBER}",""),"[MEMBER}",""),"MEMBER]",""),"(A)",""),"""",""),"“",""),"”",""),".",""),":",""),",",""),"–"," "),"-"," "),"/"," "),"&amp;"," AND "))&amp;" "," THE "," ")," TOTAL "," ")," OPERATIONS "," "))</f>
        <v>TELANGANA</v>
      </c>
      <c r="O1741" s="17" t="str">
        <f aca="false">IF(COUNTIFS($N$2:$N$2000,N1741,$D$2:$D$2000,"&lt;&gt;"&amp;D1741)&gt;0,"CONFLICT","")</f>
        <v/>
      </c>
      <c r="P1741" s="7"/>
    </row>
    <row r="1742" customFormat="false" ht="15" hidden="false" customHeight="false" outlineLevel="0" collapsed="false">
      <c r="A1742" s="7" t="s">
        <v>2753</v>
      </c>
      <c r="B1742" s="7" t="s">
        <v>1882</v>
      </c>
      <c r="C1742" s="7" t="s">
        <v>242</v>
      </c>
      <c r="D1742" s="6" t="s">
        <v>242</v>
      </c>
      <c r="E1742" s="6" t="s">
        <v>1880</v>
      </c>
      <c r="F1742" s="7" t="str">
        <f aca="false">IF($D1742="","",IFERROR(IF(INDEX(Hierarchy!$B$2:$B$1295,MATCH($D1742,Hierarchy!$A$2:$A$1295,0))="","",INDEX(Hierarchy!$B$2:$B$1295,MATCH($D1742,Hierarchy!$A$2:$A$1295,0))),"NODE NOT FOUND"))</f>
        <v>State/Province</v>
      </c>
      <c r="G1742" s="7" t="str">
        <f aca="false">IF($D1742="","",IFERROR(IF(INDEX(Hierarchy!$D$2:$D$1295,MATCH($D1742,Hierarchy!$A$2:$A$1295,0))="","",INDEX(Hierarchy!$D$2:$D$1295,MATCH($D1742,Hierarchy!$A$2:$A$1295,0))),"NODE NOT FOUND"))</f>
        <v>AMER</v>
      </c>
      <c r="H1742" s="7" t="str">
        <f aca="false">IF($D1742="","",IFERROR(IF(INDEX(Hierarchy!$E$2:$E$1295,MATCH($D1742,Hierarchy!$A$2:$A$1295,0))="","",INDEX(Hierarchy!$E$2:$E$1295,MATCH($D1742,Hierarchy!$A$2:$A$1295,0))),"NODE NOT FOUND"))</f>
        <v>North America (NORAM)</v>
      </c>
      <c r="I1742" s="7" t="str">
        <f aca="false">IF($D1742="","",IFERROR(IF(INDEX(Hierarchy!$F$2:$F$1295,MATCH($D1742,Hierarchy!$A$2:$A$1295,0))="","",INDEX(Hierarchy!$F$2:$F$1295,MATCH($D1742,Hierarchy!$A$2:$A$1295,0))),"NODE NOT FOUND"))</f>
        <v>United States</v>
      </c>
      <c r="J1742" s="7" t="str">
        <f aca="false">IF($D1742="","",IFERROR(IF(INDEX(Hierarchy!$G$2:$G$1295,MATCH($D1742,Hierarchy!$A$2:$A$1295,0))="","",INDEX(Hierarchy!$G$2:$G$1295,MATCH($D1742,Hierarchy!$A$2:$A$1295,0))),"NODE NOT FOUND"))</f>
        <v>USA</v>
      </c>
      <c r="K1742" s="7" t="str">
        <f aca="false">IF($D1742="","",IFERROR(IF(INDEX(Hierarchy!$H$2:$H$1295,MATCH($D1742,Hierarchy!$A$2:$A$1295,0))="","",INDEX(Hierarchy!$H$2:$H$1295,MATCH($D1742,Hierarchy!$A$2:$A$1295,0))),"NODE NOT FOUND"))</f>
        <v>Tennessee</v>
      </c>
      <c r="L1742" s="7" t="str">
        <f aca="false">IF($D1742="","",IFERROR(IF(INDEX(Hierarchy!$I$2:$I$1295,MATCH($D1742,Hierarchy!$A$2:$A$1295,0))="","",INDEX(Hierarchy!$I$2:$I$1295,MATCH($D1742,Hierarchy!$A$2:$A$1295,0))),"NODE NOT FOUND"))</f>
        <v/>
      </c>
      <c r="M1742" s="17" t="str">
        <f aca="false">IF(B1742="Pre-seeded","Pre-seeded",IF(B1742="Review 2026-09-16","Added from review",IF(C1742="","New",IF(C1742=D1742,"","Changed"))))</f>
        <v/>
      </c>
      <c r="N1742" s="7" t="str">
        <f aca="false">TRIM(SUBSTITUTE(SUBSTITUTE(SUBSTITUTE(" "&amp;TRIM(SUBSTITUTE(SUBSTITUTE(SUBSTITUTE(SUBSTITUTE(SUBSTITUTE(SUBSTITUTE(SUBSTITUTE(SUBSTITUTE(SUBSTITUTE(SUBSTITUTE(SUBSTITUTE(SUBSTITUTE(SUBSTITUTE(SUBSTITUTE(SUBSTITUTE(UPPER(TRIM(A1742)),"[MEMBER]",""),"{MEMBER}",""),"[MEMBER}",""),"MEMBER]",""),"(A)",""),"""",""),"“",""),"”",""),".",""),":",""),",",""),"–"," "),"-"," "),"/"," "),"&amp;"," AND "))&amp;" "," THE "," ")," TOTAL "," ")," OPERATIONS "," "))</f>
        <v>TENNESSE</v>
      </c>
      <c r="O1742" s="17" t="str">
        <f aca="false">IF(COUNTIFS($N$2:$N$2000,N1742,$D$2:$D$2000,"&lt;&gt;"&amp;D1742)&gt;0,"CONFLICT","")</f>
        <v/>
      </c>
      <c r="P1742" s="7"/>
    </row>
    <row r="1743" customFormat="false" ht="15" hidden="false" customHeight="false" outlineLevel="0" collapsed="false">
      <c r="A1743" s="7" t="s">
        <v>242</v>
      </c>
      <c r="B1743" s="7" t="s">
        <v>1882</v>
      </c>
      <c r="C1743" s="7" t="s">
        <v>242</v>
      </c>
      <c r="D1743" s="6" t="s">
        <v>242</v>
      </c>
      <c r="E1743" s="6" t="s">
        <v>1880</v>
      </c>
      <c r="F1743" s="7" t="str">
        <f aca="false">IF($D1743="","",IFERROR(IF(INDEX(Hierarchy!$B$2:$B$1295,MATCH($D1743,Hierarchy!$A$2:$A$1295,0))="","",INDEX(Hierarchy!$B$2:$B$1295,MATCH($D1743,Hierarchy!$A$2:$A$1295,0))),"NODE NOT FOUND"))</f>
        <v>State/Province</v>
      </c>
      <c r="G1743" s="7" t="str">
        <f aca="false">IF($D1743="","",IFERROR(IF(INDEX(Hierarchy!$D$2:$D$1295,MATCH($D1743,Hierarchy!$A$2:$A$1295,0))="","",INDEX(Hierarchy!$D$2:$D$1295,MATCH($D1743,Hierarchy!$A$2:$A$1295,0))),"NODE NOT FOUND"))</f>
        <v>AMER</v>
      </c>
      <c r="H1743" s="7" t="str">
        <f aca="false">IF($D1743="","",IFERROR(IF(INDEX(Hierarchy!$E$2:$E$1295,MATCH($D1743,Hierarchy!$A$2:$A$1295,0))="","",INDEX(Hierarchy!$E$2:$E$1295,MATCH($D1743,Hierarchy!$A$2:$A$1295,0))),"NODE NOT FOUND"))</f>
        <v>North America (NORAM)</v>
      </c>
      <c r="I1743" s="7" t="str">
        <f aca="false">IF($D1743="","",IFERROR(IF(INDEX(Hierarchy!$F$2:$F$1295,MATCH($D1743,Hierarchy!$A$2:$A$1295,0))="","",INDEX(Hierarchy!$F$2:$F$1295,MATCH($D1743,Hierarchy!$A$2:$A$1295,0))),"NODE NOT FOUND"))</f>
        <v>United States</v>
      </c>
      <c r="J1743" s="7" t="str">
        <f aca="false">IF($D1743="","",IFERROR(IF(INDEX(Hierarchy!$G$2:$G$1295,MATCH($D1743,Hierarchy!$A$2:$A$1295,0))="","",INDEX(Hierarchy!$G$2:$G$1295,MATCH($D1743,Hierarchy!$A$2:$A$1295,0))),"NODE NOT FOUND"))</f>
        <v>USA</v>
      </c>
      <c r="K1743" s="7" t="str">
        <f aca="false">IF($D1743="","",IFERROR(IF(INDEX(Hierarchy!$H$2:$H$1295,MATCH($D1743,Hierarchy!$A$2:$A$1295,0))="","",INDEX(Hierarchy!$H$2:$H$1295,MATCH($D1743,Hierarchy!$A$2:$A$1295,0))),"NODE NOT FOUND"))</f>
        <v>Tennessee</v>
      </c>
      <c r="L1743" s="7" t="str">
        <f aca="false">IF($D1743="","",IFERROR(IF(INDEX(Hierarchy!$I$2:$I$1295,MATCH($D1743,Hierarchy!$A$2:$A$1295,0))="","",INDEX(Hierarchy!$I$2:$I$1295,MATCH($D1743,Hierarchy!$A$2:$A$1295,0))),"NODE NOT FOUND"))</f>
        <v/>
      </c>
      <c r="M1743" s="17" t="str">
        <f aca="false">IF(B1743="Pre-seeded","Pre-seeded",IF(B1743="Review 2026-09-16","Added from review",IF(C1743="","New",IF(C1743=D1743,"","Changed"))))</f>
        <v/>
      </c>
      <c r="N1743" s="7" t="str">
        <f aca="false">TRIM(SUBSTITUTE(SUBSTITUTE(SUBSTITUTE(" "&amp;TRIM(SUBSTITUTE(SUBSTITUTE(SUBSTITUTE(SUBSTITUTE(SUBSTITUTE(SUBSTITUTE(SUBSTITUTE(SUBSTITUTE(SUBSTITUTE(SUBSTITUTE(SUBSTITUTE(SUBSTITUTE(SUBSTITUTE(SUBSTITUTE(SUBSTITUTE(UPPER(TRIM(A1743)),"[MEMBER]",""),"{MEMBER}",""),"[MEMBER}",""),"MEMBER]",""),"(A)",""),"""",""),"“",""),"”",""),".",""),":",""),",",""),"–"," "),"-"," "),"/"," "),"&amp;"," AND "))&amp;" "," THE "," ")," TOTAL "," ")," OPERATIONS "," "))</f>
        <v>TENNESSEE</v>
      </c>
      <c r="O1743" s="17" t="str">
        <f aca="false">IF(COUNTIFS($N$2:$N$2000,N1743,$D$2:$D$2000,"&lt;&gt;"&amp;D1743)&gt;0,"CONFLICT","")</f>
        <v/>
      </c>
      <c r="P1743" s="7"/>
    </row>
    <row r="1744" customFormat="false" ht="15" hidden="false" customHeight="false" outlineLevel="0" collapsed="false">
      <c r="A1744" s="7" t="s">
        <v>2754</v>
      </c>
      <c r="B1744" s="7" t="s">
        <v>1882</v>
      </c>
      <c r="C1744" s="7" t="s">
        <v>242</v>
      </c>
      <c r="D1744" s="6" t="s">
        <v>242</v>
      </c>
      <c r="E1744" s="6" t="s">
        <v>1880</v>
      </c>
      <c r="F1744" s="7" t="str">
        <f aca="false">IF($D1744="","",IFERROR(IF(INDEX(Hierarchy!$B$2:$B$1295,MATCH($D1744,Hierarchy!$A$2:$A$1295,0))="","",INDEX(Hierarchy!$B$2:$B$1295,MATCH($D1744,Hierarchy!$A$2:$A$1295,0))),"NODE NOT FOUND"))</f>
        <v>State/Province</v>
      </c>
      <c r="G1744" s="7" t="str">
        <f aca="false">IF($D1744="","",IFERROR(IF(INDEX(Hierarchy!$D$2:$D$1295,MATCH($D1744,Hierarchy!$A$2:$A$1295,0))="","",INDEX(Hierarchy!$D$2:$D$1295,MATCH($D1744,Hierarchy!$A$2:$A$1295,0))),"NODE NOT FOUND"))</f>
        <v>AMER</v>
      </c>
      <c r="H1744" s="7" t="str">
        <f aca="false">IF($D1744="","",IFERROR(IF(INDEX(Hierarchy!$E$2:$E$1295,MATCH($D1744,Hierarchy!$A$2:$A$1295,0))="","",INDEX(Hierarchy!$E$2:$E$1295,MATCH($D1744,Hierarchy!$A$2:$A$1295,0))),"NODE NOT FOUND"))</f>
        <v>North America (NORAM)</v>
      </c>
      <c r="I1744" s="7" t="str">
        <f aca="false">IF($D1744="","",IFERROR(IF(INDEX(Hierarchy!$F$2:$F$1295,MATCH($D1744,Hierarchy!$A$2:$A$1295,0))="","",INDEX(Hierarchy!$F$2:$F$1295,MATCH($D1744,Hierarchy!$A$2:$A$1295,0))),"NODE NOT FOUND"))</f>
        <v>United States</v>
      </c>
      <c r="J1744" s="7" t="str">
        <f aca="false">IF($D1744="","",IFERROR(IF(INDEX(Hierarchy!$G$2:$G$1295,MATCH($D1744,Hierarchy!$A$2:$A$1295,0))="","",INDEX(Hierarchy!$G$2:$G$1295,MATCH($D1744,Hierarchy!$A$2:$A$1295,0))),"NODE NOT FOUND"))</f>
        <v>USA</v>
      </c>
      <c r="K1744" s="7" t="str">
        <f aca="false">IF($D1744="","",IFERROR(IF(INDEX(Hierarchy!$H$2:$H$1295,MATCH($D1744,Hierarchy!$A$2:$A$1295,0))="","",INDEX(Hierarchy!$H$2:$H$1295,MATCH($D1744,Hierarchy!$A$2:$A$1295,0))),"NODE NOT FOUND"))</f>
        <v>Tennessee</v>
      </c>
      <c r="L1744" s="7" t="str">
        <f aca="false">IF($D1744="","",IFERROR(IF(INDEX(Hierarchy!$I$2:$I$1295,MATCH($D1744,Hierarchy!$A$2:$A$1295,0))="","",INDEX(Hierarchy!$I$2:$I$1295,MATCH($D1744,Hierarchy!$A$2:$A$1295,0))),"NODE NOT FOUND"))</f>
        <v/>
      </c>
      <c r="M1744" s="17" t="str">
        <f aca="false">IF(B1744="Pre-seeded","Pre-seeded",IF(B1744="Review 2026-09-16","Added from review",IF(C1744="","New",IF(C1744=D1744,"","Changed"))))</f>
        <v/>
      </c>
      <c r="N1744" s="7" t="str">
        <f aca="false">TRIM(SUBSTITUTE(SUBSTITUTE(SUBSTITUTE(" "&amp;TRIM(SUBSTITUTE(SUBSTITUTE(SUBSTITUTE(SUBSTITUTE(SUBSTITUTE(SUBSTITUTE(SUBSTITUTE(SUBSTITUTE(SUBSTITUTE(SUBSTITUTE(SUBSTITUTE(SUBSTITUTE(SUBSTITUTE(SUBSTITUTE(SUBSTITUTE(UPPER(TRIM(A1744)),"[MEMBER]",""),"{MEMBER}",""),"[MEMBER}",""),"MEMBER]",""),"(A)",""),"""",""),"“",""),"”",""),".",""),":",""),",",""),"–"," "),"-"," "),"/"," "),"&amp;"," AND "))&amp;" "," THE "," ")," TOTAL "," ")," OPERATIONS "," "))</f>
        <v>TENNESSEE</v>
      </c>
      <c r="O1744" s="17" t="str">
        <f aca="false">IF(COUNTIFS($N$2:$N$2000,N1744,$D$2:$D$2000,"&lt;&gt;"&amp;D1744)&gt;0,"CONFLICT","")</f>
        <v/>
      </c>
      <c r="P1744" s="7"/>
    </row>
    <row r="1745" customFormat="false" ht="15" hidden="false" customHeight="false" outlineLevel="0" collapsed="false">
      <c r="A1745" s="7" t="s">
        <v>1650</v>
      </c>
      <c r="B1745" s="7" t="s">
        <v>1879</v>
      </c>
      <c r="C1745" s="7"/>
      <c r="D1745" s="6" t="s">
        <v>1650</v>
      </c>
      <c r="E1745" s="6" t="s">
        <v>1880</v>
      </c>
      <c r="F1745" s="7" t="str">
        <f aca="false">IF($D1745="","",IFERROR(IF(INDEX(Hierarchy!$B$2:$B$1295,MATCH($D1745,Hierarchy!$A$2:$A$1295,0))="","",INDEX(Hierarchy!$B$2:$B$1295,MATCH($D1745,Hierarchy!$A$2:$A$1295,0))),"NODE NOT FOUND"))</f>
        <v>State/Province</v>
      </c>
      <c r="G1745" s="7" t="str">
        <f aca="false">IF($D1745="","",IFERROR(IF(INDEX(Hierarchy!$D$2:$D$1295,MATCH($D1745,Hierarchy!$A$2:$A$1295,0))="","",INDEX(Hierarchy!$D$2:$D$1295,MATCH($D1745,Hierarchy!$A$2:$A$1295,0))),"NODE NOT FOUND"))</f>
        <v>APAC</v>
      </c>
      <c r="H1745" s="7" t="str">
        <f aca="false">IF($D1745="","",IFERROR(IF(INDEX(Hierarchy!$E$2:$E$1295,MATCH($D1745,Hierarchy!$A$2:$A$1295,0))="","",INDEX(Hierarchy!$E$2:$E$1295,MATCH($D1745,Hierarchy!$A$2:$A$1295,0))),"NODE NOT FOUND"))</f>
        <v>Southeast Asia (ASEAN)</v>
      </c>
      <c r="I1745" s="7" t="str">
        <f aca="false">IF($D1745="","",IFERROR(IF(INDEX(Hierarchy!$F$2:$F$1295,MATCH($D1745,Hierarchy!$A$2:$A$1295,0))="","",INDEX(Hierarchy!$F$2:$F$1295,MATCH($D1745,Hierarchy!$A$2:$A$1295,0))),"NODE NOT FOUND"))</f>
        <v>Malaysia</v>
      </c>
      <c r="J1745" s="7" t="str">
        <f aca="false">IF($D1745="","",IFERROR(IF(INDEX(Hierarchy!$G$2:$G$1295,MATCH($D1745,Hierarchy!$A$2:$A$1295,0))="","",INDEX(Hierarchy!$G$2:$G$1295,MATCH($D1745,Hierarchy!$A$2:$A$1295,0))),"NODE NOT FOUND"))</f>
        <v>MYS</v>
      </c>
      <c r="K1745" s="7" t="str">
        <f aca="false">IF($D1745="","",IFERROR(IF(INDEX(Hierarchy!$H$2:$H$1295,MATCH($D1745,Hierarchy!$A$2:$A$1295,0))="","",INDEX(Hierarchy!$H$2:$H$1295,MATCH($D1745,Hierarchy!$A$2:$A$1295,0))),"NODE NOT FOUND"))</f>
        <v>Terengganu</v>
      </c>
      <c r="L1745" s="7" t="str">
        <f aca="false">IF($D1745="","",IFERROR(IF(INDEX(Hierarchy!$I$2:$I$1295,MATCH($D1745,Hierarchy!$A$2:$A$1295,0))="","",INDEX(Hierarchy!$I$2:$I$1295,MATCH($D1745,Hierarchy!$A$2:$A$1295,0))),"NODE NOT FOUND"))</f>
        <v/>
      </c>
      <c r="M1745" s="17" t="str">
        <f aca="false">IF(B1745="Pre-seeded","Pre-seeded",IF(B1745="Review 2026-09-16","Added from review",IF(C1745="","New",IF(C1745=D1745,"","Changed"))))</f>
        <v>Pre-seeded</v>
      </c>
      <c r="N1745" s="7" t="str">
        <f aca="false">TRIM(SUBSTITUTE(SUBSTITUTE(SUBSTITUTE(" "&amp;TRIM(SUBSTITUTE(SUBSTITUTE(SUBSTITUTE(SUBSTITUTE(SUBSTITUTE(SUBSTITUTE(SUBSTITUTE(SUBSTITUTE(SUBSTITUTE(SUBSTITUTE(SUBSTITUTE(SUBSTITUTE(SUBSTITUTE(SUBSTITUTE(SUBSTITUTE(UPPER(TRIM(A1745)),"[MEMBER]",""),"{MEMBER}",""),"[MEMBER}",""),"MEMBER]",""),"(A)",""),"""",""),"“",""),"”",""),".",""),":",""),",",""),"–"," "),"-"," "),"/"," "),"&amp;"," AND "))&amp;" "," THE "," ")," TOTAL "," ")," OPERATIONS "," "))</f>
        <v>TERENGGANU</v>
      </c>
      <c r="O1745" s="17" t="str">
        <f aca="false">IF(COUNTIFS($N$2:$N$2000,N1745,$D$2:$D$2000,"&lt;&gt;"&amp;D1745)&gt;0,"CONFLICT","")</f>
        <v/>
      </c>
      <c r="P1745" s="7"/>
    </row>
    <row r="1746" customFormat="false" ht="15" hidden="false" customHeight="false" outlineLevel="0" collapsed="false">
      <c r="A1746" s="7" t="s">
        <v>245</v>
      </c>
      <c r="B1746" s="7" t="s">
        <v>1882</v>
      </c>
      <c r="C1746" s="7" t="s">
        <v>245</v>
      </c>
      <c r="D1746" s="6" t="s">
        <v>245</v>
      </c>
      <c r="E1746" s="6" t="s">
        <v>1880</v>
      </c>
      <c r="F1746" s="7" t="str">
        <f aca="false">IF($D1746="","",IFERROR(IF(INDEX(Hierarchy!$B$2:$B$1295,MATCH($D1746,Hierarchy!$A$2:$A$1295,0))="","",INDEX(Hierarchy!$B$2:$B$1295,MATCH($D1746,Hierarchy!$A$2:$A$1295,0))),"NODE NOT FOUND"))</f>
        <v>State/Province</v>
      </c>
      <c r="G1746" s="7" t="str">
        <f aca="false">IF($D1746="","",IFERROR(IF(INDEX(Hierarchy!$D$2:$D$1295,MATCH($D1746,Hierarchy!$A$2:$A$1295,0))="","",INDEX(Hierarchy!$D$2:$D$1295,MATCH($D1746,Hierarchy!$A$2:$A$1295,0))),"NODE NOT FOUND"))</f>
        <v>AMER</v>
      </c>
      <c r="H1746" s="7" t="str">
        <f aca="false">IF($D1746="","",IFERROR(IF(INDEX(Hierarchy!$E$2:$E$1295,MATCH($D1746,Hierarchy!$A$2:$A$1295,0))="","",INDEX(Hierarchy!$E$2:$E$1295,MATCH($D1746,Hierarchy!$A$2:$A$1295,0))),"NODE NOT FOUND"))</f>
        <v>North America (NORAM)</v>
      </c>
      <c r="I1746" s="7" t="str">
        <f aca="false">IF($D1746="","",IFERROR(IF(INDEX(Hierarchy!$F$2:$F$1295,MATCH($D1746,Hierarchy!$A$2:$A$1295,0))="","",INDEX(Hierarchy!$F$2:$F$1295,MATCH($D1746,Hierarchy!$A$2:$A$1295,0))),"NODE NOT FOUND"))</f>
        <v>United States</v>
      </c>
      <c r="J1746" s="7" t="str">
        <f aca="false">IF($D1746="","",IFERROR(IF(INDEX(Hierarchy!$G$2:$G$1295,MATCH($D1746,Hierarchy!$A$2:$A$1295,0))="","",INDEX(Hierarchy!$G$2:$G$1295,MATCH($D1746,Hierarchy!$A$2:$A$1295,0))),"NODE NOT FOUND"))</f>
        <v>USA</v>
      </c>
      <c r="K1746" s="7" t="str">
        <f aca="false">IF($D1746="","",IFERROR(IF(INDEX(Hierarchy!$H$2:$H$1295,MATCH($D1746,Hierarchy!$A$2:$A$1295,0))="","",INDEX(Hierarchy!$H$2:$H$1295,MATCH($D1746,Hierarchy!$A$2:$A$1295,0))),"NODE NOT FOUND"))</f>
        <v>Texas</v>
      </c>
      <c r="L1746" s="7" t="str">
        <f aca="false">IF($D1746="","",IFERROR(IF(INDEX(Hierarchy!$I$2:$I$1295,MATCH($D1746,Hierarchy!$A$2:$A$1295,0))="","",INDEX(Hierarchy!$I$2:$I$1295,MATCH($D1746,Hierarchy!$A$2:$A$1295,0))),"NODE NOT FOUND"))</f>
        <v/>
      </c>
      <c r="M1746" s="17" t="str">
        <f aca="false">IF(B1746="Pre-seeded","Pre-seeded",IF(B1746="Review 2026-09-16","Added from review",IF(C1746="","New",IF(C1746=D1746,"","Changed"))))</f>
        <v/>
      </c>
      <c r="N1746" s="7" t="str">
        <f aca="false">TRIM(SUBSTITUTE(SUBSTITUTE(SUBSTITUTE(" "&amp;TRIM(SUBSTITUTE(SUBSTITUTE(SUBSTITUTE(SUBSTITUTE(SUBSTITUTE(SUBSTITUTE(SUBSTITUTE(SUBSTITUTE(SUBSTITUTE(SUBSTITUTE(SUBSTITUTE(SUBSTITUTE(SUBSTITUTE(SUBSTITUTE(SUBSTITUTE(UPPER(TRIM(A1746)),"[MEMBER]",""),"{MEMBER}",""),"[MEMBER}",""),"MEMBER]",""),"(A)",""),"""",""),"“",""),"”",""),".",""),":",""),",",""),"–"," "),"-"," "),"/"," "),"&amp;"," AND "))&amp;" "," THE "," ")," TOTAL "," ")," OPERATIONS "," "))</f>
        <v>TEXAS</v>
      </c>
      <c r="O1746" s="17" t="str">
        <f aca="false">IF(COUNTIFS($N$2:$N$2000,N1746,$D$2:$D$2000,"&lt;&gt;"&amp;D1746)&gt;0,"CONFLICT","")</f>
        <v/>
      </c>
      <c r="P1746" s="7"/>
    </row>
    <row r="1747" customFormat="false" ht="15" hidden="false" customHeight="false" outlineLevel="0" collapsed="false">
      <c r="A1747" s="7" t="s">
        <v>2755</v>
      </c>
      <c r="B1747" s="7" t="s">
        <v>1882</v>
      </c>
      <c r="C1747" s="7" t="s">
        <v>245</v>
      </c>
      <c r="D1747" s="6" t="s">
        <v>245</v>
      </c>
      <c r="E1747" s="6" t="s">
        <v>1880</v>
      </c>
      <c r="F1747" s="7" t="str">
        <f aca="false">IF($D1747="","",IFERROR(IF(INDEX(Hierarchy!$B$2:$B$1295,MATCH($D1747,Hierarchy!$A$2:$A$1295,0))="","",INDEX(Hierarchy!$B$2:$B$1295,MATCH($D1747,Hierarchy!$A$2:$A$1295,0))),"NODE NOT FOUND"))</f>
        <v>State/Province</v>
      </c>
      <c r="G1747" s="7" t="str">
        <f aca="false">IF($D1747="","",IFERROR(IF(INDEX(Hierarchy!$D$2:$D$1295,MATCH($D1747,Hierarchy!$A$2:$A$1295,0))="","",INDEX(Hierarchy!$D$2:$D$1295,MATCH($D1747,Hierarchy!$A$2:$A$1295,0))),"NODE NOT FOUND"))</f>
        <v>AMER</v>
      </c>
      <c r="H1747" s="7" t="str">
        <f aca="false">IF($D1747="","",IFERROR(IF(INDEX(Hierarchy!$E$2:$E$1295,MATCH($D1747,Hierarchy!$A$2:$A$1295,0))="","",INDEX(Hierarchy!$E$2:$E$1295,MATCH($D1747,Hierarchy!$A$2:$A$1295,0))),"NODE NOT FOUND"))</f>
        <v>North America (NORAM)</v>
      </c>
      <c r="I1747" s="7" t="str">
        <f aca="false">IF($D1747="","",IFERROR(IF(INDEX(Hierarchy!$F$2:$F$1295,MATCH($D1747,Hierarchy!$A$2:$A$1295,0))="","",INDEX(Hierarchy!$F$2:$F$1295,MATCH($D1747,Hierarchy!$A$2:$A$1295,0))),"NODE NOT FOUND"))</f>
        <v>United States</v>
      </c>
      <c r="J1747" s="7" t="str">
        <f aca="false">IF($D1747="","",IFERROR(IF(INDEX(Hierarchy!$G$2:$G$1295,MATCH($D1747,Hierarchy!$A$2:$A$1295,0))="","",INDEX(Hierarchy!$G$2:$G$1295,MATCH($D1747,Hierarchy!$A$2:$A$1295,0))),"NODE NOT FOUND"))</f>
        <v>USA</v>
      </c>
      <c r="K1747" s="7" t="str">
        <f aca="false">IF($D1747="","",IFERROR(IF(INDEX(Hierarchy!$H$2:$H$1295,MATCH($D1747,Hierarchy!$A$2:$A$1295,0))="","",INDEX(Hierarchy!$H$2:$H$1295,MATCH($D1747,Hierarchy!$A$2:$A$1295,0))),"NODE NOT FOUND"))</f>
        <v>Texas</v>
      </c>
      <c r="L1747" s="7" t="str">
        <f aca="false">IF($D1747="","",IFERROR(IF(INDEX(Hierarchy!$I$2:$I$1295,MATCH($D1747,Hierarchy!$A$2:$A$1295,0))="","",INDEX(Hierarchy!$I$2:$I$1295,MATCH($D1747,Hierarchy!$A$2:$A$1295,0))),"NODE NOT FOUND"))</f>
        <v/>
      </c>
      <c r="M1747" s="17" t="str">
        <f aca="false">IF(B1747="Pre-seeded","Pre-seeded",IF(B1747="Review 2026-09-16","Added from review",IF(C1747="","New",IF(C1747=D1747,"","Changed"))))</f>
        <v/>
      </c>
      <c r="N1747" s="7" t="str">
        <f aca="false">TRIM(SUBSTITUTE(SUBSTITUTE(SUBSTITUTE(" "&amp;TRIM(SUBSTITUTE(SUBSTITUTE(SUBSTITUTE(SUBSTITUTE(SUBSTITUTE(SUBSTITUTE(SUBSTITUTE(SUBSTITUTE(SUBSTITUTE(SUBSTITUTE(SUBSTITUTE(SUBSTITUTE(SUBSTITUTE(SUBSTITUTE(SUBSTITUTE(UPPER(TRIM(A1747)),"[MEMBER]",""),"{MEMBER}",""),"[MEMBER}",""),"MEMBER]",""),"(A)",""),"""",""),"“",""),"”",""),".",""),":",""),",",""),"–"," "),"-"," "),"/"," "),"&amp;"," AND "))&amp;" "," THE "," ")," TOTAL "," ")," OPERATIONS "," "))</f>
        <v>TEXAS</v>
      </c>
      <c r="O1747" s="17" t="str">
        <f aca="false">IF(COUNTIFS($N$2:$N$2000,N1747,$D$2:$D$2000,"&lt;&gt;"&amp;D1747)&gt;0,"CONFLICT","")</f>
        <v/>
      </c>
      <c r="P1747" s="7"/>
    </row>
    <row r="1748" customFormat="false" ht="15" hidden="false" customHeight="false" outlineLevel="0" collapsed="false">
      <c r="A1748" s="7" t="s">
        <v>1684</v>
      </c>
      <c r="B1748" s="7" t="s">
        <v>1882</v>
      </c>
      <c r="C1748" s="7" t="s">
        <v>1684</v>
      </c>
      <c r="D1748" s="6" t="s">
        <v>1684</v>
      </c>
      <c r="E1748" s="6" t="s">
        <v>1880</v>
      </c>
      <c r="F1748" s="7" t="str">
        <f aca="false">IF($D1748="","",IFERROR(IF(INDEX(Hierarchy!$B$2:$B$1295,MATCH($D1748,Hierarchy!$A$2:$A$1295,0))="","",INDEX(Hierarchy!$B$2:$B$1295,MATCH($D1748,Hierarchy!$A$2:$A$1295,0))),"NODE NOT FOUND"))</f>
        <v>Country</v>
      </c>
      <c r="G1748" s="7" t="str">
        <f aca="false">IF($D1748="","",IFERROR(IF(INDEX(Hierarchy!$D$2:$D$1295,MATCH($D1748,Hierarchy!$A$2:$A$1295,0))="","",INDEX(Hierarchy!$D$2:$D$1295,MATCH($D1748,Hierarchy!$A$2:$A$1295,0))),"NODE NOT FOUND"))</f>
        <v>APAC</v>
      </c>
      <c r="H1748" s="7" t="str">
        <f aca="false">IF($D1748="","",IFERROR(IF(INDEX(Hierarchy!$E$2:$E$1295,MATCH($D1748,Hierarchy!$A$2:$A$1295,0))="","",INDEX(Hierarchy!$E$2:$E$1295,MATCH($D1748,Hierarchy!$A$2:$A$1295,0))),"NODE NOT FOUND"))</f>
        <v>Southeast Asia (ASEAN)</v>
      </c>
      <c r="I1748" s="7" t="str">
        <f aca="false">IF($D1748="","",IFERROR(IF(INDEX(Hierarchy!$F$2:$F$1295,MATCH($D1748,Hierarchy!$A$2:$A$1295,0))="","",INDEX(Hierarchy!$F$2:$F$1295,MATCH($D1748,Hierarchy!$A$2:$A$1295,0))),"NODE NOT FOUND"))</f>
        <v>Thailand</v>
      </c>
      <c r="J1748" s="7" t="str">
        <f aca="false">IF($D1748="","",IFERROR(IF(INDEX(Hierarchy!$G$2:$G$1295,MATCH($D1748,Hierarchy!$A$2:$A$1295,0))="","",INDEX(Hierarchy!$G$2:$G$1295,MATCH($D1748,Hierarchy!$A$2:$A$1295,0))),"NODE NOT FOUND"))</f>
        <v>THA</v>
      </c>
      <c r="K1748" s="7" t="str">
        <f aca="false">IF($D1748="","",IFERROR(IF(INDEX(Hierarchy!$H$2:$H$1295,MATCH($D1748,Hierarchy!$A$2:$A$1295,0))="","",INDEX(Hierarchy!$H$2:$H$1295,MATCH($D1748,Hierarchy!$A$2:$A$1295,0))),"NODE NOT FOUND"))</f>
        <v/>
      </c>
      <c r="L1748" s="7" t="str">
        <f aca="false">IF($D1748="","",IFERROR(IF(INDEX(Hierarchy!$I$2:$I$1295,MATCH($D1748,Hierarchy!$A$2:$A$1295,0))="","",INDEX(Hierarchy!$I$2:$I$1295,MATCH($D1748,Hierarchy!$A$2:$A$1295,0))),"NODE NOT FOUND"))</f>
        <v/>
      </c>
      <c r="M1748" s="17" t="str">
        <f aca="false">IF(B1748="Pre-seeded","Pre-seeded",IF(B1748="Review 2026-09-16","Added from review",IF(C1748="","New",IF(C1748=D1748,"","Changed"))))</f>
        <v/>
      </c>
      <c r="N1748" s="7" t="str">
        <f aca="false">TRIM(SUBSTITUTE(SUBSTITUTE(SUBSTITUTE(" "&amp;TRIM(SUBSTITUTE(SUBSTITUTE(SUBSTITUTE(SUBSTITUTE(SUBSTITUTE(SUBSTITUTE(SUBSTITUTE(SUBSTITUTE(SUBSTITUTE(SUBSTITUTE(SUBSTITUTE(SUBSTITUTE(SUBSTITUTE(SUBSTITUTE(SUBSTITUTE(UPPER(TRIM(A1748)),"[MEMBER]",""),"{MEMBER}",""),"[MEMBER}",""),"MEMBER]",""),"(A)",""),"""",""),"“",""),"”",""),".",""),":",""),",",""),"–"," "),"-"," "),"/"," "),"&amp;"," AND "))&amp;" "," THE "," ")," TOTAL "," ")," OPERATIONS "," "))</f>
        <v>THAILAND</v>
      </c>
      <c r="O1748" s="17" t="str">
        <f aca="false">IF(COUNTIFS($N$2:$N$2000,N1748,$D$2:$D$2000,"&lt;&gt;"&amp;D1748)&gt;0,"CONFLICT","")</f>
        <v/>
      </c>
      <c r="P1748" s="7"/>
    </row>
    <row r="1749" customFormat="false" ht="15" hidden="false" customHeight="false" outlineLevel="0" collapsed="false">
      <c r="A1749" s="7" t="s">
        <v>2756</v>
      </c>
      <c r="B1749" s="7" t="s">
        <v>1882</v>
      </c>
      <c r="C1749" s="7" t="s">
        <v>1684</v>
      </c>
      <c r="D1749" s="6" t="s">
        <v>1684</v>
      </c>
      <c r="E1749" s="6" t="s">
        <v>1880</v>
      </c>
      <c r="F1749" s="7" t="str">
        <f aca="false">IF($D1749="","",IFERROR(IF(INDEX(Hierarchy!$B$2:$B$1295,MATCH($D1749,Hierarchy!$A$2:$A$1295,0))="","",INDEX(Hierarchy!$B$2:$B$1295,MATCH($D1749,Hierarchy!$A$2:$A$1295,0))),"NODE NOT FOUND"))</f>
        <v>Country</v>
      </c>
      <c r="G1749" s="7" t="str">
        <f aca="false">IF($D1749="","",IFERROR(IF(INDEX(Hierarchy!$D$2:$D$1295,MATCH($D1749,Hierarchy!$A$2:$A$1295,0))="","",INDEX(Hierarchy!$D$2:$D$1295,MATCH($D1749,Hierarchy!$A$2:$A$1295,0))),"NODE NOT FOUND"))</f>
        <v>APAC</v>
      </c>
      <c r="H1749" s="7" t="str">
        <f aca="false">IF($D1749="","",IFERROR(IF(INDEX(Hierarchy!$E$2:$E$1295,MATCH($D1749,Hierarchy!$A$2:$A$1295,0))="","",INDEX(Hierarchy!$E$2:$E$1295,MATCH($D1749,Hierarchy!$A$2:$A$1295,0))),"NODE NOT FOUND"))</f>
        <v>Southeast Asia (ASEAN)</v>
      </c>
      <c r="I1749" s="7" t="str">
        <f aca="false">IF($D1749="","",IFERROR(IF(INDEX(Hierarchy!$F$2:$F$1295,MATCH($D1749,Hierarchy!$A$2:$A$1295,0))="","",INDEX(Hierarchy!$F$2:$F$1295,MATCH($D1749,Hierarchy!$A$2:$A$1295,0))),"NODE NOT FOUND"))</f>
        <v>Thailand</v>
      </c>
      <c r="J1749" s="7" t="str">
        <f aca="false">IF($D1749="","",IFERROR(IF(INDEX(Hierarchy!$G$2:$G$1295,MATCH($D1749,Hierarchy!$A$2:$A$1295,0))="","",INDEX(Hierarchy!$G$2:$G$1295,MATCH($D1749,Hierarchy!$A$2:$A$1295,0))),"NODE NOT FOUND"))</f>
        <v>THA</v>
      </c>
      <c r="K1749" s="7" t="str">
        <f aca="false">IF($D1749="","",IFERROR(IF(INDEX(Hierarchy!$H$2:$H$1295,MATCH($D1749,Hierarchy!$A$2:$A$1295,0))="","",INDEX(Hierarchy!$H$2:$H$1295,MATCH($D1749,Hierarchy!$A$2:$A$1295,0))),"NODE NOT FOUND"))</f>
        <v/>
      </c>
      <c r="L1749" s="7" t="str">
        <f aca="false">IF($D1749="","",IFERROR(IF(INDEX(Hierarchy!$I$2:$I$1295,MATCH($D1749,Hierarchy!$A$2:$A$1295,0))="","",INDEX(Hierarchy!$I$2:$I$1295,MATCH($D1749,Hierarchy!$A$2:$A$1295,0))),"NODE NOT FOUND"))</f>
        <v/>
      </c>
      <c r="M1749" s="17" t="str">
        <f aca="false">IF(B1749="Pre-seeded","Pre-seeded",IF(B1749="Review 2026-09-16","Added from review",IF(C1749="","New",IF(C1749=D1749,"","Changed"))))</f>
        <v/>
      </c>
      <c r="N1749" s="7" t="str">
        <f aca="false">TRIM(SUBSTITUTE(SUBSTITUTE(SUBSTITUTE(" "&amp;TRIM(SUBSTITUTE(SUBSTITUTE(SUBSTITUTE(SUBSTITUTE(SUBSTITUTE(SUBSTITUTE(SUBSTITUTE(SUBSTITUTE(SUBSTITUTE(SUBSTITUTE(SUBSTITUTE(SUBSTITUTE(SUBSTITUTE(SUBSTITUTE(SUBSTITUTE(UPPER(TRIM(A1749)),"[MEMBER]",""),"{MEMBER}",""),"[MEMBER}",""),"MEMBER]",""),"(A)",""),"""",""),"“",""),"”",""),".",""),":",""),",",""),"–"," "),"-"," "),"/"," "),"&amp;"," AND "))&amp;" "," THE "," ")," TOTAL "," ")," OPERATIONS "," "))</f>
        <v>THAILAND</v>
      </c>
      <c r="O1749" s="17" t="str">
        <f aca="false">IF(COUNTIFS($N$2:$N$2000,N1749,$D$2:$D$2000,"&lt;&gt;"&amp;D1749)&gt;0,"CONFLICT","")</f>
        <v/>
      </c>
      <c r="P1749" s="7"/>
    </row>
    <row r="1750" customFormat="false" ht="15" hidden="false" customHeight="false" outlineLevel="0" collapsed="false">
      <c r="A1750" s="7" t="s">
        <v>2757</v>
      </c>
      <c r="B1750" s="7" t="s">
        <v>1882</v>
      </c>
      <c r="C1750" s="7" t="s">
        <v>84</v>
      </c>
      <c r="D1750" s="6" t="s">
        <v>74</v>
      </c>
      <c r="E1750" s="6" t="s">
        <v>1880</v>
      </c>
      <c r="F1750" s="7" t="str">
        <f aca="false">IF($D1750="","",IFERROR(IF(INDEX(Hierarchy!$B$2:$B$1295,MATCH($D1750,Hierarchy!$A$2:$A$1295,0))="","",INDEX(Hierarchy!$B$2:$B$1295,MATCH($D1750,Hierarchy!$A$2:$A$1295,0))),"NODE NOT FOUND"))</f>
        <v>Region</v>
      </c>
      <c r="G1750" s="7" t="str">
        <f aca="false">IF($D1750="","",IFERROR(IF(INDEX(Hierarchy!$D$2:$D$1295,MATCH($D1750,Hierarchy!$A$2:$A$1295,0))="","",INDEX(Hierarchy!$D$2:$D$1295,MATCH($D1750,Hierarchy!$A$2:$A$1295,0))),"NODE NOT FOUND"))</f>
        <v>AMER</v>
      </c>
      <c r="H1750" s="7" t="str">
        <f aca="false">IF($D1750="","",IFERROR(IF(INDEX(Hierarchy!$E$2:$E$1295,MATCH($D1750,Hierarchy!$A$2:$A$1295,0))="","",INDEX(Hierarchy!$E$2:$E$1295,MATCH($D1750,Hierarchy!$A$2:$A$1295,0))),"NODE NOT FOUND"))</f>
        <v/>
      </c>
      <c r="I1750" s="7" t="str">
        <f aca="false">IF($D1750="","",IFERROR(IF(INDEX(Hierarchy!$F$2:$F$1295,MATCH($D1750,Hierarchy!$A$2:$A$1295,0))="","",INDEX(Hierarchy!$F$2:$F$1295,MATCH($D1750,Hierarchy!$A$2:$A$1295,0))),"NODE NOT FOUND"))</f>
        <v/>
      </c>
      <c r="J1750" s="7" t="str">
        <f aca="false">IF($D1750="","",IFERROR(IF(INDEX(Hierarchy!$G$2:$G$1295,MATCH($D1750,Hierarchy!$A$2:$A$1295,0))="","",INDEX(Hierarchy!$G$2:$G$1295,MATCH($D1750,Hierarchy!$A$2:$A$1295,0))),"NODE NOT FOUND"))</f>
        <v/>
      </c>
      <c r="K1750" s="7" t="str">
        <f aca="false">IF($D1750="","",IFERROR(IF(INDEX(Hierarchy!$H$2:$H$1295,MATCH($D1750,Hierarchy!$A$2:$A$1295,0))="","",INDEX(Hierarchy!$H$2:$H$1295,MATCH($D1750,Hierarchy!$A$2:$A$1295,0))),"NODE NOT FOUND"))</f>
        <v/>
      </c>
      <c r="L1750" s="7" t="str">
        <f aca="false">IF($D1750="","",IFERROR(IF(INDEX(Hierarchy!$I$2:$I$1295,MATCH($D1750,Hierarchy!$A$2:$A$1295,0))="","",INDEX(Hierarchy!$I$2:$I$1295,MATCH($D1750,Hierarchy!$A$2:$A$1295,0))),"NODE NOT FOUND"))</f>
        <v/>
      </c>
      <c r="M1750" s="17" t="str">
        <f aca="false">IF(B1750="Pre-seeded","Pre-seeded",IF(B1750="Review 2026-09-16","Added from review",IF(C1750="","New",IF(C1750=D1750,"","Changed"))))</f>
        <v>Changed</v>
      </c>
      <c r="N1750" s="7" t="str">
        <f aca="false">TRIM(SUBSTITUTE(SUBSTITUTE(SUBSTITUTE(" "&amp;TRIM(SUBSTITUTE(SUBSTITUTE(SUBSTITUTE(SUBSTITUTE(SUBSTITUTE(SUBSTITUTE(SUBSTITUTE(SUBSTITUTE(SUBSTITUTE(SUBSTITUTE(SUBSTITUTE(SUBSTITUTE(SUBSTITUTE(SUBSTITUTE(SUBSTITUTE(UPPER(TRIM(A1750)),"[MEMBER]",""),"{MEMBER}",""),"[MEMBER}",""),"MEMBER]",""),"(A)",""),"""",""),"“",""),"”",""),".",""),":",""),",",""),"–"," "),"-"," "),"/"," "),"&amp;"," AND "))&amp;" "," THE "," ")," TOTAL "," ")," OPERATIONS "," "))</f>
        <v>AMERICAS</v>
      </c>
      <c r="O1750" s="17" t="str">
        <f aca="false">IF(COUNTIFS($N$2:$N$2000,N1750,$D$2:$D$2000,"&lt;&gt;"&amp;D1750)&gt;0,"CONFLICT","")</f>
        <v/>
      </c>
      <c r="P1750" s="7"/>
    </row>
    <row r="1751" customFormat="false" ht="15" hidden="false" customHeight="false" outlineLevel="0" collapsed="false">
      <c r="A1751" s="7" t="s">
        <v>2758</v>
      </c>
      <c r="B1751" s="7" t="s">
        <v>1885</v>
      </c>
      <c r="C1751" s="7" t="s">
        <v>84</v>
      </c>
      <c r="D1751" s="6" t="s">
        <v>74</v>
      </c>
      <c r="E1751" s="6" t="s">
        <v>1880</v>
      </c>
      <c r="F1751" s="7" t="str">
        <f aca="false">IF($D1751="","",IFERROR(IF(INDEX(Hierarchy!$B$2:$B$1295,MATCH($D1751,Hierarchy!$A$2:$A$1295,0))="","",INDEX(Hierarchy!$B$2:$B$1295,MATCH($D1751,Hierarchy!$A$2:$A$1295,0))),"NODE NOT FOUND"))</f>
        <v>Region</v>
      </c>
      <c r="G1751" s="7" t="str">
        <f aca="false">IF($D1751="","",IFERROR(IF(INDEX(Hierarchy!$D$2:$D$1295,MATCH($D1751,Hierarchy!$A$2:$A$1295,0))="","",INDEX(Hierarchy!$D$2:$D$1295,MATCH($D1751,Hierarchy!$A$2:$A$1295,0))),"NODE NOT FOUND"))</f>
        <v>AMER</v>
      </c>
      <c r="H1751" s="7" t="str">
        <f aca="false">IF($D1751="","",IFERROR(IF(INDEX(Hierarchy!$E$2:$E$1295,MATCH($D1751,Hierarchy!$A$2:$A$1295,0))="","",INDEX(Hierarchy!$E$2:$E$1295,MATCH($D1751,Hierarchy!$A$2:$A$1295,0))),"NODE NOT FOUND"))</f>
        <v/>
      </c>
      <c r="I1751" s="7" t="str">
        <f aca="false">IF($D1751="","",IFERROR(IF(INDEX(Hierarchy!$F$2:$F$1295,MATCH($D1751,Hierarchy!$A$2:$A$1295,0))="","",INDEX(Hierarchy!$F$2:$F$1295,MATCH($D1751,Hierarchy!$A$2:$A$1295,0))),"NODE NOT FOUND"))</f>
        <v/>
      </c>
      <c r="J1751" s="7" t="str">
        <f aca="false">IF($D1751="","",IFERROR(IF(INDEX(Hierarchy!$G$2:$G$1295,MATCH($D1751,Hierarchy!$A$2:$A$1295,0))="","",INDEX(Hierarchy!$G$2:$G$1295,MATCH($D1751,Hierarchy!$A$2:$A$1295,0))),"NODE NOT FOUND"))</f>
        <v/>
      </c>
      <c r="K1751" s="7" t="str">
        <f aca="false">IF($D1751="","",IFERROR(IF(INDEX(Hierarchy!$H$2:$H$1295,MATCH($D1751,Hierarchy!$A$2:$A$1295,0))="","",INDEX(Hierarchy!$H$2:$H$1295,MATCH($D1751,Hierarchy!$A$2:$A$1295,0))),"NODE NOT FOUND"))</f>
        <v/>
      </c>
      <c r="L1751" s="7" t="str">
        <f aca="false">IF($D1751="","",IFERROR(IF(INDEX(Hierarchy!$I$2:$I$1295,MATCH($D1751,Hierarchy!$A$2:$A$1295,0))="","",INDEX(Hierarchy!$I$2:$I$1295,MATCH($D1751,Hierarchy!$A$2:$A$1295,0))),"NODE NOT FOUND"))</f>
        <v/>
      </c>
      <c r="M1751" s="17" t="str">
        <f aca="false">IF(B1751="Pre-seeded","Pre-seeded",IF(B1751="Review 2026-09-16","Added from review",IF(C1751="","New",IF(C1751=D1751,"","Changed"))))</f>
        <v>Changed</v>
      </c>
      <c r="N1751" s="7" t="str">
        <f aca="false">TRIM(SUBSTITUTE(SUBSTITUTE(SUBSTITUTE(" "&amp;TRIM(SUBSTITUTE(SUBSTITUTE(SUBSTITUTE(SUBSTITUTE(SUBSTITUTE(SUBSTITUTE(SUBSTITUTE(SUBSTITUTE(SUBSTITUTE(SUBSTITUTE(SUBSTITUTE(SUBSTITUTE(SUBSTITUTE(SUBSTITUTE(SUBSTITUTE(UPPER(TRIM(A1751)),"[MEMBER]",""),"{MEMBER}",""),"[MEMBER}",""),"MEMBER]",""),"(A)",""),"""",""),"“",""),"”",""),".",""),":",""),",",""),"–"," "),"-"," "),"/"," "),"&amp;"," AND "))&amp;" "," THE "," ")," TOTAL "," ")," OPERATIONS "," "))</f>
        <v>AMERICAS GROUP</v>
      </c>
      <c r="O1751" s="17" t="str">
        <f aca="false">IF(COUNTIFS($N$2:$N$2000,N1751,$D$2:$D$2000,"&lt;&gt;"&amp;D1751)&gt;0,"CONFLICT","")</f>
        <v/>
      </c>
      <c r="P1751" s="7"/>
    </row>
    <row r="1752" customFormat="false" ht="15" hidden="false" customHeight="false" outlineLevel="0" collapsed="false">
      <c r="A1752" s="7" t="s">
        <v>2759</v>
      </c>
      <c r="B1752" s="7" t="s">
        <v>1882</v>
      </c>
      <c r="C1752" s="7" t="s">
        <v>883</v>
      </c>
      <c r="D1752" s="6" t="s">
        <v>883</v>
      </c>
      <c r="E1752" s="6" t="s">
        <v>1880</v>
      </c>
      <c r="F1752" s="7" t="str">
        <f aca="false">IF($D1752="","",IFERROR(IF(INDEX(Hierarchy!$B$2:$B$1295,MATCH($D1752,Hierarchy!$A$2:$A$1295,0))="","",INDEX(Hierarchy!$B$2:$B$1295,MATCH($D1752,Hierarchy!$A$2:$A$1295,0))),"NODE NOT FOUND"))</f>
        <v>Country</v>
      </c>
      <c r="G1752" s="7" t="str">
        <f aca="false">IF($D1752="","",IFERROR(IF(INDEX(Hierarchy!$D$2:$D$1295,MATCH($D1752,Hierarchy!$A$2:$A$1295,0))="","",INDEX(Hierarchy!$D$2:$D$1295,MATCH($D1752,Hierarchy!$A$2:$A$1295,0))),"NODE NOT FOUND"))</f>
        <v>EMEA</v>
      </c>
      <c r="H1752" s="7" t="str">
        <f aca="false">IF($D1752="","",IFERROR(IF(INDEX(Hierarchy!$E$2:$E$1295,MATCH($D1752,Hierarchy!$A$2:$A$1295,0))="","",INDEX(Hierarchy!$E$2:$E$1295,MATCH($D1752,Hierarchy!$A$2:$A$1295,0))),"NODE NOT FOUND"))</f>
        <v>Europe</v>
      </c>
      <c r="I1752" s="7" t="str">
        <f aca="false">IF($D1752="","",IFERROR(IF(INDEX(Hierarchy!$F$2:$F$1295,MATCH($D1752,Hierarchy!$A$2:$A$1295,0))="","",INDEX(Hierarchy!$F$2:$F$1295,MATCH($D1752,Hierarchy!$A$2:$A$1295,0))),"NODE NOT FOUND"))</f>
        <v>Netherlands</v>
      </c>
      <c r="J1752" s="7" t="str">
        <f aca="false">IF($D1752="","",IFERROR(IF(INDEX(Hierarchy!$G$2:$G$1295,MATCH($D1752,Hierarchy!$A$2:$A$1295,0))="","",INDEX(Hierarchy!$G$2:$G$1295,MATCH($D1752,Hierarchy!$A$2:$A$1295,0))),"NODE NOT FOUND"))</f>
        <v>NLD</v>
      </c>
      <c r="K1752" s="7" t="str">
        <f aca="false">IF($D1752="","",IFERROR(IF(INDEX(Hierarchy!$H$2:$H$1295,MATCH($D1752,Hierarchy!$A$2:$A$1295,0))="","",INDEX(Hierarchy!$H$2:$H$1295,MATCH($D1752,Hierarchy!$A$2:$A$1295,0))),"NODE NOT FOUND"))</f>
        <v/>
      </c>
      <c r="L1752" s="7" t="str">
        <f aca="false">IF($D1752="","",IFERROR(IF(INDEX(Hierarchy!$I$2:$I$1295,MATCH($D1752,Hierarchy!$A$2:$A$1295,0))="","",INDEX(Hierarchy!$I$2:$I$1295,MATCH($D1752,Hierarchy!$A$2:$A$1295,0))),"NODE NOT FOUND"))</f>
        <v/>
      </c>
      <c r="M1752" s="17" t="str">
        <f aca="false">IF(B1752="Pre-seeded","Pre-seeded",IF(B1752="Review 2026-09-16","Added from review",IF(C1752="","New",IF(C1752=D1752,"","Changed"))))</f>
        <v/>
      </c>
      <c r="N1752" s="7" t="str">
        <f aca="false">TRIM(SUBSTITUTE(SUBSTITUTE(SUBSTITUTE(" "&amp;TRIM(SUBSTITUTE(SUBSTITUTE(SUBSTITUTE(SUBSTITUTE(SUBSTITUTE(SUBSTITUTE(SUBSTITUTE(SUBSTITUTE(SUBSTITUTE(SUBSTITUTE(SUBSTITUTE(SUBSTITUTE(SUBSTITUTE(SUBSTITUTE(SUBSTITUTE(UPPER(TRIM(A1752)),"[MEMBER]",""),"{MEMBER}",""),"[MEMBER}",""),"MEMBER]",""),"(A)",""),"""",""),"“",""),"”",""),".",""),":",""),",",""),"–"," "),"-"," "),"/"," "),"&amp;"," AND "))&amp;" "," THE "," ")," TOTAL "," ")," OPERATIONS "," "))</f>
        <v>NETHERLANDS</v>
      </c>
      <c r="O1752" s="17" t="str">
        <f aca="false">IF(COUNTIFS($N$2:$N$2000,N1752,$D$2:$D$2000,"&lt;&gt;"&amp;D1752)&gt;0,"CONFLICT","")</f>
        <v/>
      </c>
      <c r="P1752" s="7"/>
    </row>
    <row r="1753" customFormat="false" ht="15" hidden="false" customHeight="false" outlineLevel="0" collapsed="false">
      <c r="A1753" s="7" t="s">
        <v>2760</v>
      </c>
      <c r="B1753" s="7" t="s">
        <v>1879</v>
      </c>
      <c r="C1753" s="7"/>
      <c r="D1753" s="6" t="s">
        <v>1218</v>
      </c>
      <c r="E1753" s="6" t="s">
        <v>1880</v>
      </c>
      <c r="F1753" s="7" t="str">
        <f aca="false">IF($D1753="","",IFERROR(IF(INDEX(Hierarchy!$B$2:$B$1295,MATCH($D1753,Hierarchy!$A$2:$A$1295,0))="","",INDEX(Hierarchy!$B$2:$B$1295,MATCH($D1753,Hierarchy!$A$2:$A$1295,0))),"NODE NOT FOUND"))</f>
        <v>Country</v>
      </c>
      <c r="G1753" s="7" t="str">
        <f aca="false">IF($D1753="","",IFERROR(IF(INDEX(Hierarchy!$D$2:$D$1295,MATCH($D1753,Hierarchy!$A$2:$A$1295,0))="","",INDEX(Hierarchy!$D$2:$D$1295,MATCH($D1753,Hierarchy!$A$2:$A$1295,0))),"NODE NOT FOUND"))</f>
        <v>EMEA</v>
      </c>
      <c r="H1753" s="7" t="str">
        <f aca="false">IF($D1753="","",IFERROR(IF(INDEX(Hierarchy!$E$2:$E$1295,MATCH($D1753,Hierarchy!$A$2:$A$1295,0))="","",INDEX(Hierarchy!$E$2:$E$1295,MATCH($D1753,Hierarchy!$A$2:$A$1295,0))),"NODE NOT FOUND"))</f>
        <v>Africa</v>
      </c>
      <c r="I1753" s="7" t="str">
        <f aca="false">IF($D1753="","",IFERROR(IF(INDEX(Hierarchy!$F$2:$F$1295,MATCH($D1753,Hierarchy!$A$2:$A$1295,0))="","",INDEX(Hierarchy!$F$2:$F$1295,MATCH($D1753,Hierarchy!$A$2:$A$1295,0))),"NODE NOT FOUND"))</f>
        <v>Eritrea</v>
      </c>
      <c r="J1753" s="7" t="str">
        <f aca="false">IF($D1753="","",IFERROR(IF(INDEX(Hierarchy!$G$2:$G$1295,MATCH($D1753,Hierarchy!$A$2:$A$1295,0))="","",INDEX(Hierarchy!$G$2:$G$1295,MATCH($D1753,Hierarchy!$A$2:$A$1295,0))),"NODE NOT FOUND"))</f>
        <v>ERI</v>
      </c>
      <c r="K1753" s="7" t="str">
        <f aca="false">IF($D1753="","",IFERROR(IF(INDEX(Hierarchy!$H$2:$H$1295,MATCH($D1753,Hierarchy!$A$2:$A$1295,0))="","",INDEX(Hierarchy!$H$2:$H$1295,MATCH($D1753,Hierarchy!$A$2:$A$1295,0))),"NODE NOT FOUND"))</f>
        <v/>
      </c>
      <c r="L1753" s="7" t="str">
        <f aca="false">IF($D1753="","",IFERROR(IF(INDEX(Hierarchy!$I$2:$I$1295,MATCH($D1753,Hierarchy!$A$2:$A$1295,0))="","",INDEX(Hierarchy!$I$2:$I$1295,MATCH($D1753,Hierarchy!$A$2:$A$1295,0))),"NODE NOT FOUND"))</f>
        <v/>
      </c>
      <c r="M1753" s="17" t="str">
        <f aca="false">IF(B1753="Pre-seeded","Pre-seeded",IF(B1753="Review 2026-09-16","Added from review",IF(C1753="","New",IF(C1753=D1753,"","Changed"))))</f>
        <v>Pre-seeded</v>
      </c>
      <c r="N1753" s="7" t="str">
        <f aca="false">TRIM(SUBSTITUTE(SUBSTITUTE(SUBSTITUTE(" "&amp;TRIM(SUBSTITUTE(SUBSTITUTE(SUBSTITUTE(SUBSTITUTE(SUBSTITUTE(SUBSTITUTE(SUBSTITUTE(SUBSTITUTE(SUBSTITUTE(SUBSTITUTE(SUBSTITUTE(SUBSTITUTE(SUBSTITUTE(SUBSTITUTE(SUBSTITUTE(UPPER(TRIM(A1753)),"[MEMBER]",""),"{MEMBER}",""),"[MEMBER}",""),"MEMBER]",""),"(A)",""),"""",""),"“",""),"”",""),".",""),":",""),",",""),"–"," "),"-"," "),"/"," "),"&amp;"," AND "))&amp;" "," THE "," ")," TOTAL "," ")," OPERATIONS "," "))</f>
        <v>STATE OF ERITREA</v>
      </c>
      <c r="O1753" s="17" t="str">
        <f aca="false">IF(COUNTIFS($N$2:$N$2000,N1753,$D$2:$D$2000,"&lt;&gt;"&amp;D1753)&gt;0,"CONFLICT","")</f>
        <v/>
      </c>
      <c r="P1753" s="7" t="s">
        <v>1936</v>
      </c>
    </row>
    <row r="1754" customFormat="false" ht="15" hidden="false" customHeight="false" outlineLevel="0" collapsed="false">
      <c r="A1754" s="7" t="s">
        <v>2761</v>
      </c>
      <c r="B1754" s="7" t="s">
        <v>1879</v>
      </c>
      <c r="C1754" s="7"/>
      <c r="D1754" s="6" t="s">
        <v>1085</v>
      </c>
      <c r="E1754" s="6" t="s">
        <v>1880</v>
      </c>
      <c r="F1754" s="7" t="str">
        <f aca="false">IF($D1754="","",IFERROR(IF(INDEX(Hierarchy!$B$2:$B$1295,MATCH($D1754,Hierarchy!$A$2:$A$1295,0))="","",INDEX(Hierarchy!$B$2:$B$1295,MATCH($D1754,Hierarchy!$A$2:$A$1295,0))),"NODE NOT FOUND"))</f>
        <v>Country</v>
      </c>
      <c r="G1754" s="7" t="str">
        <f aca="false">IF($D1754="","",IFERROR(IF(INDEX(Hierarchy!$D$2:$D$1295,MATCH($D1754,Hierarchy!$A$2:$A$1295,0))="","",INDEX(Hierarchy!$D$2:$D$1295,MATCH($D1754,Hierarchy!$A$2:$A$1295,0))),"NODE NOT FOUND"))</f>
        <v>EMEA</v>
      </c>
      <c r="H1754" s="7" t="str">
        <f aca="false">IF($D1754="","",IFERROR(IF(INDEX(Hierarchy!$E$2:$E$1295,MATCH($D1754,Hierarchy!$A$2:$A$1295,0))="","",INDEX(Hierarchy!$E$2:$E$1295,MATCH($D1754,Hierarchy!$A$2:$A$1295,0))),"NODE NOT FOUND"))</f>
        <v>Middle East</v>
      </c>
      <c r="I1754" s="7" t="str">
        <f aca="false">IF($D1754="","",IFERROR(IF(INDEX(Hierarchy!$F$2:$F$1295,MATCH($D1754,Hierarchy!$A$2:$A$1295,0))="","",INDEX(Hierarchy!$F$2:$F$1295,MATCH($D1754,Hierarchy!$A$2:$A$1295,0))),"NODE NOT FOUND"))</f>
        <v>Palestine</v>
      </c>
      <c r="J1754" s="7" t="str">
        <f aca="false">IF($D1754="","",IFERROR(IF(INDEX(Hierarchy!$G$2:$G$1295,MATCH($D1754,Hierarchy!$A$2:$A$1295,0))="","",INDEX(Hierarchy!$G$2:$G$1295,MATCH($D1754,Hierarchy!$A$2:$A$1295,0))),"NODE NOT FOUND"))</f>
        <v>PSE</v>
      </c>
      <c r="K1754" s="7" t="str">
        <f aca="false">IF($D1754="","",IFERROR(IF(INDEX(Hierarchy!$H$2:$H$1295,MATCH($D1754,Hierarchy!$A$2:$A$1295,0))="","",INDEX(Hierarchy!$H$2:$H$1295,MATCH($D1754,Hierarchy!$A$2:$A$1295,0))),"NODE NOT FOUND"))</f>
        <v/>
      </c>
      <c r="L1754" s="7" t="str">
        <f aca="false">IF($D1754="","",IFERROR(IF(INDEX(Hierarchy!$I$2:$I$1295,MATCH($D1754,Hierarchy!$A$2:$A$1295,0))="","",INDEX(Hierarchy!$I$2:$I$1295,MATCH($D1754,Hierarchy!$A$2:$A$1295,0))),"NODE NOT FOUND"))</f>
        <v/>
      </c>
      <c r="M1754" s="17" t="str">
        <f aca="false">IF(B1754="Pre-seeded","Pre-seeded",IF(B1754="Review 2026-09-16","Added from review",IF(C1754="","New",IF(C1754=D1754,"","Changed"))))</f>
        <v>Pre-seeded</v>
      </c>
      <c r="N1754" s="7" t="str">
        <f aca="false">TRIM(SUBSTITUTE(SUBSTITUTE(SUBSTITUTE(" "&amp;TRIM(SUBSTITUTE(SUBSTITUTE(SUBSTITUTE(SUBSTITUTE(SUBSTITUTE(SUBSTITUTE(SUBSTITUTE(SUBSTITUTE(SUBSTITUTE(SUBSTITUTE(SUBSTITUTE(SUBSTITUTE(SUBSTITUTE(SUBSTITUTE(SUBSTITUTE(UPPER(TRIM(A1754)),"[MEMBER]",""),"{MEMBER}",""),"[MEMBER}",""),"MEMBER]",""),"(A)",""),"""",""),"“",""),"”",""),".",""),":",""),",",""),"–"," "),"-"," "),"/"," "),"&amp;"," AND "))&amp;" "," THE "," ")," TOTAL "," ")," OPERATIONS "," "))</f>
        <v>STATE OF PALESTINE</v>
      </c>
      <c r="O1754" s="17" t="str">
        <f aca="false">IF(COUNTIFS($N$2:$N$2000,N1754,$D$2:$D$2000,"&lt;&gt;"&amp;D1754)&gt;0,"CONFLICT","")</f>
        <v/>
      </c>
      <c r="P1754" s="7" t="s">
        <v>1936</v>
      </c>
    </row>
    <row r="1755" customFormat="false" ht="15" hidden="false" customHeight="false" outlineLevel="0" collapsed="false">
      <c r="A1755" s="7" t="s">
        <v>1001</v>
      </c>
      <c r="B1755" s="7" t="s">
        <v>1879</v>
      </c>
      <c r="C1755" s="7"/>
      <c r="D1755" s="6" t="s">
        <v>1001</v>
      </c>
      <c r="E1755" s="6" t="s">
        <v>1880</v>
      </c>
      <c r="F1755" s="7" t="str">
        <f aca="false">IF($D1755="","",IFERROR(IF(INDEX(Hierarchy!$B$2:$B$1295,MATCH($D1755,Hierarchy!$A$2:$A$1295,0))="","",INDEX(Hierarchy!$B$2:$B$1295,MATCH($D1755,Hierarchy!$A$2:$A$1295,0))),"NODE NOT FOUND"))</f>
        <v>State/Province</v>
      </c>
      <c r="G1755" s="7" t="str">
        <f aca="false">IF($D1755="","",IFERROR(IF(INDEX(Hierarchy!$D$2:$D$1295,MATCH($D1755,Hierarchy!$A$2:$A$1295,0))="","",INDEX(Hierarchy!$D$2:$D$1295,MATCH($D1755,Hierarchy!$A$2:$A$1295,0))),"NODE NOT FOUND"))</f>
        <v>EMEA</v>
      </c>
      <c r="H1755" s="7" t="str">
        <f aca="false">IF($D1755="","",IFERROR(IF(INDEX(Hierarchy!$E$2:$E$1295,MATCH($D1755,Hierarchy!$A$2:$A$1295,0))="","",INDEX(Hierarchy!$E$2:$E$1295,MATCH($D1755,Hierarchy!$A$2:$A$1295,0))),"NODE NOT FOUND"))</f>
        <v>Europe</v>
      </c>
      <c r="I1755" s="7" t="str">
        <f aca="false">IF($D1755="","",IFERROR(IF(INDEX(Hierarchy!$F$2:$F$1295,MATCH($D1755,Hierarchy!$A$2:$A$1295,0))="","",INDEX(Hierarchy!$F$2:$F$1295,MATCH($D1755,Hierarchy!$A$2:$A$1295,0))),"NODE NOT FOUND"))</f>
        <v>Switzerland</v>
      </c>
      <c r="J1755" s="7" t="str">
        <f aca="false">IF($D1755="","",IFERROR(IF(INDEX(Hierarchy!$G$2:$G$1295,MATCH($D1755,Hierarchy!$A$2:$A$1295,0))="","",INDEX(Hierarchy!$G$2:$G$1295,MATCH($D1755,Hierarchy!$A$2:$A$1295,0))),"NODE NOT FOUND"))</f>
        <v>CHE</v>
      </c>
      <c r="K1755" s="7" t="str">
        <f aca="false">IF($D1755="","",IFERROR(IF(INDEX(Hierarchy!$H$2:$H$1295,MATCH($D1755,Hierarchy!$A$2:$A$1295,0))="","",INDEX(Hierarchy!$H$2:$H$1295,MATCH($D1755,Hierarchy!$A$2:$A$1295,0))),"NODE NOT FOUND"))</f>
        <v>Thurgau</v>
      </c>
      <c r="L1755" s="7" t="str">
        <f aca="false">IF($D1755="","",IFERROR(IF(INDEX(Hierarchy!$I$2:$I$1295,MATCH($D1755,Hierarchy!$A$2:$A$1295,0))="","",INDEX(Hierarchy!$I$2:$I$1295,MATCH($D1755,Hierarchy!$A$2:$A$1295,0))),"NODE NOT FOUND"))</f>
        <v/>
      </c>
      <c r="M1755" s="17" t="str">
        <f aca="false">IF(B1755="Pre-seeded","Pre-seeded",IF(B1755="Review 2026-09-16","Added from review",IF(C1755="","New",IF(C1755=D1755,"","Changed"))))</f>
        <v>Pre-seeded</v>
      </c>
      <c r="N1755" s="7" t="str">
        <f aca="false">TRIM(SUBSTITUTE(SUBSTITUTE(SUBSTITUTE(" "&amp;TRIM(SUBSTITUTE(SUBSTITUTE(SUBSTITUTE(SUBSTITUTE(SUBSTITUTE(SUBSTITUTE(SUBSTITUTE(SUBSTITUTE(SUBSTITUTE(SUBSTITUTE(SUBSTITUTE(SUBSTITUTE(SUBSTITUTE(SUBSTITUTE(SUBSTITUTE(UPPER(TRIM(A1755)),"[MEMBER]",""),"{MEMBER}",""),"[MEMBER}",""),"MEMBER]",""),"(A)",""),"""",""),"“",""),"”",""),".",""),":",""),",",""),"–"," "),"-"," "),"/"," "),"&amp;"," AND "))&amp;" "," THE "," ")," TOTAL "," ")," OPERATIONS "," "))</f>
        <v>THURGAU</v>
      </c>
      <c r="O1755" s="17" t="str">
        <f aca="false">IF(COUNTIFS($N$2:$N$2000,N1755,$D$2:$D$2000,"&lt;&gt;"&amp;D1755)&gt;0,"CONFLICT","")</f>
        <v/>
      </c>
      <c r="P1755" s="7"/>
    </row>
    <row r="1756" customFormat="false" ht="15" hidden="false" customHeight="false" outlineLevel="0" collapsed="false">
      <c r="A1756" s="7" t="s">
        <v>713</v>
      </c>
      <c r="B1756" s="7" t="s">
        <v>1879</v>
      </c>
      <c r="C1756" s="7"/>
      <c r="D1756" s="6" t="s">
        <v>713</v>
      </c>
      <c r="E1756" s="6" t="s">
        <v>1880</v>
      </c>
      <c r="F1756" s="7" t="str">
        <f aca="false">IF($D1756="","",IFERROR(IF(INDEX(Hierarchy!$B$2:$B$1295,MATCH($D1756,Hierarchy!$A$2:$A$1295,0))="","",INDEX(Hierarchy!$B$2:$B$1295,MATCH($D1756,Hierarchy!$A$2:$A$1295,0))),"NODE NOT FOUND"))</f>
        <v>State/Province</v>
      </c>
      <c r="G1756" s="7" t="str">
        <f aca="false">IF($D1756="","",IFERROR(IF(INDEX(Hierarchy!$D$2:$D$1295,MATCH($D1756,Hierarchy!$A$2:$A$1295,0))="","",INDEX(Hierarchy!$D$2:$D$1295,MATCH($D1756,Hierarchy!$A$2:$A$1295,0))),"NODE NOT FOUND"))</f>
        <v>EMEA</v>
      </c>
      <c r="H1756" s="7" t="str">
        <f aca="false">IF($D1756="","",IFERROR(IF(INDEX(Hierarchy!$E$2:$E$1295,MATCH($D1756,Hierarchy!$A$2:$A$1295,0))="","",INDEX(Hierarchy!$E$2:$E$1295,MATCH($D1756,Hierarchy!$A$2:$A$1295,0))),"NODE NOT FOUND"))</f>
        <v>Europe</v>
      </c>
      <c r="I1756" s="7" t="str">
        <f aca="false">IF($D1756="","",IFERROR(IF(INDEX(Hierarchy!$F$2:$F$1295,MATCH($D1756,Hierarchy!$A$2:$A$1295,0))="","",INDEX(Hierarchy!$F$2:$F$1295,MATCH($D1756,Hierarchy!$A$2:$A$1295,0))),"NODE NOT FOUND"))</f>
        <v>Germany</v>
      </c>
      <c r="J1756" s="7" t="str">
        <f aca="false">IF($D1756="","",IFERROR(IF(INDEX(Hierarchy!$G$2:$G$1295,MATCH($D1756,Hierarchy!$A$2:$A$1295,0))="","",INDEX(Hierarchy!$G$2:$G$1295,MATCH($D1756,Hierarchy!$A$2:$A$1295,0))),"NODE NOT FOUND"))</f>
        <v>DEU</v>
      </c>
      <c r="K1756" s="7" t="str">
        <f aca="false">IF($D1756="","",IFERROR(IF(INDEX(Hierarchy!$H$2:$H$1295,MATCH($D1756,Hierarchy!$A$2:$A$1295,0))="","",INDEX(Hierarchy!$H$2:$H$1295,MATCH($D1756,Hierarchy!$A$2:$A$1295,0))),"NODE NOT FOUND"))</f>
        <v>Thuringia</v>
      </c>
      <c r="L1756" s="7" t="str">
        <f aca="false">IF($D1756="","",IFERROR(IF(INDEX(Hierarchy!$I$2:$I$1295,MATCH($D1756,Hierarchy!$A$2:$A$1295,0))="","",INDEX(Hierarchy!$I$2:$I$1295,MATCH($D1756,Hierarchy!$A$2:$A$1295,0))),"NODE NOT FOUND"))</f>
        <v/>
      </c>
      <c r="M1756" s="17" t="str">
        <f aca="false">IF(B1756="Pre-seeded","Pre-seeded",IF(B1756="Review 2026-09-16","Added from review",IF(C1756="","New",IF(C1756=D1756,"","Changed"))))</f>
        <v>Pre-seeded</v>
      </c>
      <c r="N1756" s="7" t="str">
        <f aca="false">TRIM(SUBSTITUTE(SUBSTITUTE(SUBSTITUTE(" "&amp;TRIM(SUBSTITUTE(SUBSTITUTE(SUBSTITUTE(SUBSTITUTE(SUBSTITUTE(SUBSTITUTE(SUBSTITUTE(SUBSTITUTE(SUBSTITUTE(SUBSTITUTE(SUBSTITUTE(SUBSTITUTE(SUBSTITUTE(SUBSTITUTE(SUBSTITUTE(UPPER(TRIM(A1756)),"[MEMBER]",""),"{MEMBER}",""),"[MEMBER}",""),"MEMBER]",""),"(A)",""),"""",""),"“",""),"”",""),".",""),":",""),",",""),"–"," "),"-"," "),"/"," "),"&amp;"," AND "))&amp;" "," THE "," ")," TOTAL "," ")," OPERATIONS "," "))</f>
        <v>THURINGIA</v>
      </c>
      <c r="O1756" s="17" t="str">
        <f aca="false">IF(COUNTIFS($N$2:$N$2000,N1756,$D$2:$D$2000,"&lt;&gt;"&amp;D1756)&gt;0,"CONFLICT","")</f>
        <v/>
      </c>
      <c r="P1756" s="7"/>
    </row>
    <row r="1757" customFormat="false" ht="15" hidden="false" customHeight="false" outlineLevel="0" collapsed="false">
      <c r="A1757" s="7" t="s">
        <v>2762</v>
      </c>
      <c r="B1757" s="7" t="s">
        <v>1879</v>
      </c>
      <c r="C1757" s="7"/>
      <c r="D1757" s="6" t="s">
        <v>713</v>
      </c>
      <c r="E1757" s="6" t="s">
        <v>1880</v>
      </c>
      <c r="F1757" s="7" t="str">
        <f aca="false">IF($D1757="","",IFERROR(IF(INDEX(Hierarchy!$B$2:$B$1295,MATCH($D1757,Hierarchy!$A$2:$A$1295,0))="","",INDEX(Hierarchy!$B$2:$B$1295,MATCH($D1757,Hierarchy!$A$2:$A$1295,0))),"NODE NOT FOUND"))</f>
        <v>State/Province</v>
      </c>
      <c r="G1757" s="7" t="str">
        <f aca="false">IF($D1757="","",IFERROR(IF(INDEX(Hierarchy!$D$2:$D$1295,MATCH($D1757,Hierarchy!$A$2:$A$1295,0))="","",INDEX(Hierarchy!$D$2:$D$1295,MATCH($D1757,Hierarchy!$A$2:$A$1295,0))),"NODE NOT FOUND"))</f>
        <v>EMEA</v>
      </c>
      <c r="H1757" s="7" t="str">
        <f aca="false">IF($D1757="","",IFERROR(IF(INDEX(Hierarchy!$E$2:$E$1295,MATCH($D1757,Hierarchy!$A$2:$A$1295,0))="","",INDEX(Hierarchy!$E$2:$E$1295,MATCH($D1757,Hierarchy!$A$2:$A$1295,0))),"NODE NOT FOUND"))</f>
        <v>Europe</v>
      </c>
      <c r="I1757" s="7" t="str">
        <f aca="false">IF($D1757="","",IFERROR(IF(INDEX(Hierarchy!$F$2:$F$1295,MATCH($D1757,Hierarchy!$A$2:$A$1295,0))="","",INDEX(Hierarchy!$F$2:$F$1295,MATCH($D1757,Hierarchy!$A$2:$A$1295,0))),"NODE NOT FOUND"))</f>
        <v>Germany</v>
      </c>
      <c r="J1757" s="7" t="str">
        <f aca="false">IF($D1757="","",IFERROR(IF(INDEX(Hierarchy!$G$2:$G$1295,MATCH($D1757,Hierarchy!$A$2:$A$1295,0))="","",INDEX(Hierarchy!$G$2:$G$1295,MATCH($D1757,Hierarchy!$A$2:$A$1295,0))),"NODE NOT FOUND"))</f>
        <v>DEU</v>
      </c>
      <c r="K1757" s="7" t="str">
        <f aca="false">IF($D1757="","",IFERROR(IF(INDEX(Hierarchy!$H$2:$H$1295,MATCH($D1757,Hierarchy!$A$2:$A$1295,0))="","",INDEX(Hierarchy!$H$2:$H$1295,MATCH($D1757,Hierarchy!$A$2:$A$1295,0))),"NODE NOT FOUND"))</f>
        <v>Thuringia</v>
      </c>
      <c r="L1757" s="7" t="str">
        <f aca="false">IF($D1757="","",IFERROR(IF(INDEX(Hierarchy!$I$2:$I$1295,MATCH($D1757,Hierarchy!$A$2:$A$1295,0))="","",INDEX(Hierarchy!$I$2:$I$1295,MATCH($D1757,Hierarchy!$A$2:$A$1295,0))),"NODE NOT FOUND"))</f>
        <v/>
      </c>
      <c r="M1757" s="17" t="str">
        <f aca="false">IF(B1757="Pre-seeded","Pre-seeded",IF(B1757="Review 2026-09-16","Added from review",IF(C1757="","New",IF(C1757=D1757,"","Changed"))))</f>
        <v>Pre-seeded</v>
      </c>
      <c r="N1757" s="7" t="str">
        <f aca="false">TRIM(SUBSTITUTE(SUBSTITUTE(SUBSTITUTE(" "&amp;TRIM(SUBSTITUTE(SUBSTITUTE(SUBSTITUTE(SUBSTITUTE(SUBSTITUTE(SUBSTITUTE(SUBSTITUTE(SUBSTITUTE(SUBSTITUTE(SUBSTITUTE(SUBSTITUTE(SUBSTITUTE(SUBSTITUTE(SUBSTITUTE(SUBSTITUTE(UPPER(TRIM(A1757)),"[MEMBER]",""),"{MEMBER}",""),"[MEMBER}",""),"MEMBER]",""),"(A)",""),"""",""),"“",""),"”",""),".",""),":",""),",",""),"–"," "),"-"," "),"/"," "),"&amp;"," AND "))&amp;" "," THE "," ")," TOTAL "," ")," OPERATIONS "," "))</f>
        <v>THÜRINGEN</v>
      </c>
      <c r="O1757" s="17" t="str">
        <f aca="false">IF(COUNTIFS($N$2:$N$2000,N1757,$D$2:$D$2000,"&lt;&gt;"&amp;D1757)&gt;0,"CONFLICT","")</f>
        <v/>
      </c>
      <c r="P1757" s="7"/>
    </row>
    <row r="1758" customFormat="false" ht="15" hidden="false" customHeight="false" outlineLevel="0" collapsed="false">
      <c r="A1758" s="7" t="s">
        <v>1539</v>
      </c>
      <c r="B1758" s="7" t="s">
        <v>1879</v>
      </c>
      <c r="C1758" s="7"/>
      <c r="D1758" s="6" t="s">
        <v>1539</v>
      </c>
      <c r="E1758" s="6" t="s">
        <v>1880</v>
      </c>
      <c r="F1758" s="7" t="str">
        <f aca="false">IF($D1758="","",IFERROR(IF(INDEX(Hierarchy!$B$2:$B$1295,MATCH($D1758,Hierarchy!$A$2:$A$1295,0))="","",INDEX(Hierarchy!$B$2:$B$1295,MATCH($D1758,Hierarchy!$A$2:$A$1295,0))),"NODE NOT FOUND"))</f>
        <v>State/Province</v>
      </c>
      <c r="G1758" s="7" t="str">
        <f aca="false">IF($D1758="","",IFERROR(IF(INDEX(Hierarchy!$D$2:$D$1295,MATCH($D1758,Hierarchy!$A$2:$A$1295,0))="","",INDEX(Hierarchy!$D$2:$D$1295,MATCH($D1758,Hierarchy!$A$2:$A$1295,0))),"NODE NOT FOUND"))</f>
        <v>APAC</v>
      </c>
      <c r="H1758" s="7" t="str">
        <f aca="false">IF($D1758="","",IFERROR(IF(INDEX(Hierarchy!$E$2:$E$1295,MATCH($D1758,Hierarchy!$A$2:$A$1295,0))="","",INDEX(Hierarchy!$E$2:$E$1295,MATCH($D1758,Hierarchy!$A$2:$A$1295,0))),"NODE NOT FOUND"))</f>
        <v>East Asia</v>
      </c>
      <c r="I1758" s="7" t="str">
        <f aca="false">IF($D1758="","",IFERROR(IF(INDEX(Hierarchy!$F$2:$F$1295,MATCH($D1758,Hierarchy!$A$2:$A$1295,0))="","",INDEX(Hierarchy!$F$2:$F$1295,MATCH($D1758,Hierarchy!$A$2:$A$1295,0))),"NODE NOT FOUND"))</f>
        <v>China</v>
      </c>
      <c r="J1758" s="7" t="str">
        <f aca="false">IF($D1758="","",IFERROR(IF(INDEX(Hierarchy!$G$2:$G$1295,MATCH($D1758,Hierarchy!$A$2:$A$1295,0))="","",INDEX(Hierarchy!$G$2:$G$1295,MATCH($D1758,Hierarchy!$A$2:$A$1295,0))),"NODE NOT FOUND"))</f>
        <v>CHN</v>
      </c>
      <c r="K1758" s="7" t="str">
        <f aca="false">IF($D1758="","",IFERROR(IF(INDEX(Hierarchy!$H$2:$H$1295,MATCH($D1758,Hierarchy!$A$2:$A$1295,0))="","",INDEX(Hierarchy!$H$2:$H$1295,MATCH($D1758,Hierarchy!$A$2:$A$1295,0))),"NODE NOT FOUND"))</f>
        <v>Tibet</v>
      </c>
      <c r="L1758" s="7" t="str">
        <f aca="false">IF($D1758="","",IFERROR(IF(INDEX(Hierarchy!$I$2:$I$1295,MATCH($D1758,Hierarchy!$A$2:$A$1295,0))="","",INDEX(Hierarchy!$I$2:$I$1295,MATCH($D1758,Hierarchy!$A$2:$A$1295,0))),"NODE NOT FOUND"))</f>
        <v/>
      </c>
      <c r="M1758" s="17" t="str">
        <f aca="false">IF(B1758="Pre-seeded","Pre-seeded",IF(B1758="Review 2026-09-16","Added from review",IF(C1758="","New",IF(C1758=D1758,"","Changed"))))</f>
        <v>Pre-seeded</v>
      </c>
      <c r="N1758" s="7" t="str">
        <f aca="false">TRIM(SUBSTITUTE(SUBSTITUTE(SUBSTITUTE(" "&amp;TRIM(SUBSTITUTE(SUBSTITUTE(SUBSTITUTE(SUBSTITUTE(SUBSTITUTE(SUBSTITUTE(SUBSTITUTE(SUBSTITUTE(SUBSTITUTE(SUBSTITUTE(SUBSTITUTE(SUBSTITUTE(SUBSTITUTE(SUBSTITUTE(SUBSTITUTE(UPPER(TRIM(A1758)),"[MEMBER]",""),"{MEMBER}",""),"[MEMBER}",""),"MEMBER]",""),"(A)",""),"""",""),"“",""),"”",""),".",""),":",""),",",""),"–"," "),"-"," "),"/"," "),"&amp;"," AND "))&amp;" "," THE "," ")," TOTAL "," ")," OPERATIONS "," "))</f>
        <v>TIBET</v>
      </c>
      <c r="O1758" s="17" t="str">
        <f aca="false">IF(COUNTIFS($N$2:$N$2000,N1758,$D$2:$D$2000,"&lt;&gt;"&amp;D1758)&gt;0,"CONFLICT","")</f>
        <v/>
      </c>
      <c r="P1758" s="7"/>
    </row>
    <row r="1759" customFormat="false" ht="15" hidden="false" customHeight="false" outlineLevel="0" collapsed="false">
      <c r="A1759" s="7" t="s">
        <v>1002</v>
      </c>
      <c r="B1759" s="7" t="s">
        <v>1879</v>
      </c>
      <c r="C1759" s="7"/>
      <c r="D1759" s="6" t="s">
        <v>1002</v>
      </c>
      <c r="E1759" s="6" t="s">
        <v>1880</v>
      </c>
      <c r="F1759" s="7" t="str">
        <f aca="false">IF($D1759="","",IFERROR(IF(INDEX(Hierarchy!$B$2:$B$1295,MATCH($D1759,Hierarchy!$A$2:$A$1295,0))="","",INDEX(Hierarchy!$B$2:$B$1295,MATCH($D1759,Hierarchy!$A$2:$A$1295,0))),"NODE NOT FOUND"))</f>
        <v>State/Province</v>
      </c>
      <c r="G1759" s="7" t="str">
        <f aca="false">IF($D1759="","",IFERROR(IF(INDEX(Hierarchy!$D$2:$D$1295,MATCH($D1759,Hierarchy!$A$2:$A$1295,0))="","",INDEX(Hierarchy!$D$2:$D$1295,MATCH($D1759,Hierarchy!$A$2:$A$1295,0))),"NODE NOT FOUND"))</f>
        <v>EMEA</v>
      </c>
      <c r="H1759" s="7" t="str">
        <f aca="false">IF($D1759="","",IFERROR(IF(INDEX(Hierarchy!$E$2:$E$1295,MATCH($D1759,Hierarchy!$A$2:$A$1295,0))="","",INDEX(Hierarchy!$E$2:$E$1295,MATCH($D1759,Hierarchy!$A$2:$A$1295,0))),"NODE NOT FOUND"))</f>
        <v>Europe</v>
      </c>
      <c r="I1759" s="7" t="str">
        <f aca="false">IF($D1759="","",IFERROR(IF(INDEX(Hierarchy!$F$2:$F$1295,MATCH($D1759,Hierarchy!$A$2:$A$1295,0))="","",INDEX(Hierarchy!$F$2:$F$1295,MATCH($D1759,Hierarchy!$A$2:$A$1295,0))),"NODE NOT FOUND"))</f>
        <v>Switzerland</v>
      </c>
      <c r="J1759" s="7" t="str">
        <f aca="false">IF($D1759="","",IFERROR(IF(INDEX(Hierarchy!$G$2:$G$1295,MATCH($D1759,Hierarchy!$A$2:$A$1295,0))="","",INDEX(Hierarchy!$G$2:$G$1295,MATCH($D1759,Hierarchy!$A$2:$A$1295,0))),"NODE NOT FOUND"))</f>
        <v>CHE</v>
      </c>
      <c r="K1759" s="7" t="str">
        <f aca="false">IF($D1759="","",IFERROR(IF(INDEX(Hierarchy!$H$2:$H$1295,MATCH($D1759,Hierarchy!$A$2:$A$1295,0))="","",INDEX(Hierarchy!$H$2:$H$1295,MATCH($D1759,Hierarchy!$A$2:$A$1295,0))),"NODE NOT FOUND"))</f>
        <v>Ticino</v>
      </c>
      <c r="L1759" s="7" t="str">
        <f aca="false">IF($D1759="","",IFERROR(IF(INDEX(Hierarchy!$I$2:$I$1295,MATCH($D1759,Hierarchy!$A$2:$A$1295,0))="","",INDEX(Hierarchy!$I$2:$I$1295,MATCH($D1759,Hierarchy!$A$2:$A$1295,0))),"NODE NOT FOUND"))</f>
        <v/>
      </c>
      <c r="M1759" s="17" t="str">
        <f aca="false">IF(B1759="Pre-seeded","Pre-seeded",IF(B1759="Review 2026-09-16","Added from review",IF(C1759="","New",IF(C1759=D1759,"","Changed"))))</f>
        <v>Pre-seeded</v>
      </c>
      <c r="N1759" s="7" t="str">
        <f aca="false">TRIM(SUBSTITUTE(SUBSTITUTE(SUBSTITUTE(" "&amp;TRIM(SUBSTITUTE(SUBSTITUTE(SUBSTITUTE(SUBSTITUTE(SUBSTITUTE(SUBSTITUTE(SUBSTITUTE(SUBSTITUTE(SUBSTITUTE(SUBSTITUTE(SUBSTITUTE(SUBSTITUTE(SUBSTITUTE(SUBSTITUTE(SUBSTITUTE(UPPER(TRIM(A1759)),"[MEMBER]",""),"{MEMBER}",""),"[MEMBER}",""),"MEMBER]",""),"(A)",""),"""",""),"“",""),"”",""),".",""),":",""),",",""),"–"," "),"-"," "),"/"," "),"&amp;"," AND "))&amp;" "," THE "," ")," TOTAL "," ")," OPERATIONS "," "))</f>
        <v>TICINO</v>
      </c>
      <c r="O1759" s="17" t="str">
        <f aca="false">IF(COUNTIFS($N$2:$N$2000,N1759,$D$2:$D$2000,"&lt;&gt;"&amp;D1759)&gt;0,"CONFLICT","")</f>
        <v/>
      </c>
      <c r="P1759" s="7"/>
    </row>
    <row r="1760" customFormat="false" ht="15" hidden="false" customHeight="false" outlineLevel="0" collapsed="false">
      <c r="A1760" s="7" t="s">
        <v>451</v>
      </c>
      <c r="B1760" s="7" t="s">
        <v>1879</v>
      </c>
      <c r="C1760" s="7"/>
      <c r="D1760" s="6" t="s">
        <v>451</v>
      </c>
      <c r="E1760" s="6" t="s">
        <v>1880</v>
      </c>
      <c r="F1760" s="7" t="str">
        <f aca="false">IF($D1760="","",IFERROR(IF(INDEX(Hierarchy!$B$2:$B$1295,MATCH($D1760,Hierarchy!$A$2:$A$1295,0))="","",INDEX(Hierarchy!$B$2:$B$1295,MATCH($D1760,Hierarchy!$A$2:$A$1295,0))),"NODE NOT FOUND"))</f>
        <v>State/Province</v>
      </c>
      <c r="G1760" s="7" t="str">
        <f aca="false">IF($D1760="","",IFERROR(IF(INDEX(Hierarchy!$D$2:$D$1295,MATCH($D1760,Hierarchy!$A$2:$A$1295,0))="","",INDEX(Hierarchy!$D$2:$D$1295,MATCH($D1760,Hierarchy!$A$2:$A$1295,0))),"NODE NOT FOUND"))</f>
        <v>AMER</v>
      </c>
      <c r="H1760" s="7" t="str">
        <f aca="false">IF($D1760="","",IFERROR(IF(INDEX(Hierarchy!$E$2:$E$1295,MATCH($D1760,Hierarchy!$A$2:$A$1295,0))="","",INDEX(Hierarchy!$E$2:$E$1295,MATCH($D1760,Hierarchy!$A$2:$A$1295,0))),"NODE NOT FOUND"))</f>
        <v>Latin America (LATAM)</v>
      </c>
      <c r="I1760" s="7" t="str">
        <f aca="false">IF($D1760="","",IFERROR(IF(INDEX(Hierarchy!$F$2:$F$1295,MATCH($D1760,Hierarchy!$A$2:$A$1295,0))="","",INDEX(Hierarchy!$F$2:$F$1295,MATCH($D1760,Hierarchy!$A$2:$A$1295,0))),"NODE NOT FOUND"))</f>
        <v>Argentina</v>
      </c>
      <c r="J1760" s="7" t="str">
        <f aca="false">IF($D1760="","",IFERROR(IF(INDEX(Hierarchy!$G$2:$G$1295,MATCH($D1760,Hierarchy!$A$2:$A$1295,0))="","",INDEX(Hierarchy!$G$2:$G$1295,MATCH($D1760,Hierarchy!$A$2:$A$1295,0))),"NODE NOT FOUND"))</f>
        <v>ARG</v>
      </c>
      <c r="K1760" s="7" t="str">
        <f aca="false">IF($D1760="","",IFERROR(IF(INDEX(Hierarchy!$H$2:$H$1295,MATCH($D1760,Hierarchy!$A$2:$A$1295,0))="","",INDEX(Hierarchy!$H$2:$H$1295,MATCH($D1760,Hierarchy!$A$2:$A$1295,0))),"NODE NOT FOUND"))</f>
        <v>Tierra del Fuego</v>
      </c>
      <c r="L1760" s="7" t="str">
        <f aca="false">IF($D1760="","",IFERROR(IF(INDEX(Hierarchy!$I$2:$I$1295,MATCH($D1760,Hierarchy!$A$2:$A$1295,0))="","",INDEX(Hierarchy!$I$2:$I$1295,MATCH($D1760,Hierarchy!$A$2:$A$1295,0))),"NODE NOT FOUND"))</f>
        <v/>
      </c>
      <c r="M1760" s="17" t="str">
        <f aca="false">IF(B1760="Pre-seeded","Pre-seeded",IF(B1760="Review 2026-09-16","Added from review",IF(C1760="","New",IF(C1760=D1760,"","Changed"))))</f>
        <v>Pre-seeded</v>
      </c>
      <c r="N1760" s="7" t="str">
        <f aca="false">TRIM(SUBSTITUTE(SUBSTITUTE(SUBSTITUTE(" "&amp;TRIM(SUBSTITUTE(SUBSTITUTE(SUBSTITUTE(SUBSTITUTE(SUBSTITUTE(SUBSTITUTE(SUBSTITUTE(SUBSTITUTE(SUBSTITUTE(SUBSTITUTE(SUBSTITUTE(SUBSTITUTE(SUBSTITUTE(SUBSTITUTE(SUBSTITUTE(UPPER(TRIM(A1760)),"[MEMBER]",""),"{MEMBER}",""),"[MEMBER}",""),"MEMBER]",""),"(A)",""),"""",""),"“",""),"”",""),".",""),":",""),",",""),"–"," "),"-"," "),"/"," "),"&amp;"," AND "))&amp;" "," THE "," ")," TOTAL "," ")," OPERATIONS "," "))</f>
        <v>TIERRA DEL FUEGO</v>
      </c>
      <c r="O1760" s="17" t="str">
        <f aca="false">IF(COUNTIFS($N$2:$N$2000,N1760,$D$2:$D$2000,"&lt;&gt;"&amp;D1760)&gt;0,"CONFLICT","")</f>
        <v/>
      </c>
      <c r="P1760" s="7"/>
    </row>
    <row r="1761" customFormat="false" ht="15" hidden="false" customHeight="false" outlineLevel="0" collapsed="false">
      <c r="A1761" s="7" t="s">
        <v>1687</v>
      </c>
      <c r="B1761" s="7" t="s">
        <v>1879</v>
      </c>
      <c r="C1761" s="7"/>
      <c r="D1761" s="6" t="s">
        <v>1687</v>
      </c>
      <c r="E1761" s="6" t="s">
        <v>1880</v>
      </c>
      <c r="F1761" s="7" t="str">
        <f aca="false">IF($D1761="","",IFERROR(IF(INDEX(Hierarchy!$B$2:$B$1295,MATCH($D1761,Hierarchy!$A$2:$A$1295,0))="","",INDEX(Hierarchy!$B$2:$B$1295,MATCH($D1761,Hierarchy!$A$2:$A$1295,0))),"NODE NOT FOUND"))</f>
        <v>Country</v>
      </c>
      <c r="G1761" s="7" t="str">
        <f aca="false">IF($D1761="","",IFERROR(IF(INDEX(Hierarchy!$D$2:$D$1295,MATCH($D1761,Hierarchy!$A$2:$A$1295,0))="","",INDEX(Hierarchy!$D$2:$D$1295,MATCH($D1761,Hierarchy!$A$2:$A$1295,0))),"NODE NOT FOUND"))</f>
        <v>APAC</v>
      </c>
      <c r="H1761" s="7" t="str">
        <f aca="false">IF($D1761="","",IFERROR(IF(INDEX(Hierarchy!$E$2:$E$1295,MATCH($D1761,Hierarchy!$A$2:$A$1295,0))="","",INDEX(Hierarchy!$E$2:$E$1295,MATCH($D1761,Hierarchy!$A$2:$A$1295,0))),"NODE NOT FOUND"))</f>
        <v>Southeast Asia (ASEAN)</v>
      </c>
      <c r="I1761" s="7" t="str">
        <f aca="false">IF($D1761="","",IFERROR(IF(INDEX(Hierarchy!$F$2:$F$1295,MATCH($D1761,Hierarchy!$A$2:$A$1295,0))="","",INDEX(Hierarchy!$F$2:$F$1295,MATCH($D1761,Hierarchy!$A$2:$A$1295,0))),"NODE NOT FOUND"))</f>
        <v>Timor-Leste</v>
      </c>
      <c r="J1761" s="7" t="str">
        <f aca="false">IF($D1761="","",IFERROR(IF(INDEX(Hierarchy!$G$2:$G$1295,MATCH($D1761,Hierarchy!$A$2:$A$1295,0))="","",INDEX(Hierarchy!$G$2:$G$1295,MATCH($D1761,Hierarchy!$A$2:$A$1295,0))),"NODE NOT FOUND"))</f>
        <v>TLS</v>
      </c>
      <c r="K1761" s="7" t="str">
        <f aca="false">IF($D1761="","",IFERROR(IF(INDEX(Hierarchy!$H$2:$H$1295,MATCH($D1761,Hierarchy!$A$2:$A$1295,0))="","",INDEX(Hierarchy!$H$2:$H$1295,MATCH($D1761,Hierarchy!$A$2:$A$1295,0))),"NODE NOT FOUND"))</f>
        <v/>
      </c>
      <c r="L1761" s="7" t="str">
        <f aca="false">IF($D1761="","",IFERROR(IF(INDEX(Hierarchy!$I$2:$I$1295,MATCH($D1761,Hierarchy!$A$2:$A$1295,0))="","",INDEX(Hierarchy!$I$2:$I$1295,MATCH($D1761,Hierarchy!$A$2:$A$1295,0))),"NODE NOT FOUND"))</f>
        <v/>
      </c>
      <c r="M1761" s="17" t="str">
        <f aca="false">IF(B1761="Pre-seeded","Pre-seeded",IF(B1761="Review 2026-09-16","Added from review",IF(C1761="","New",IF(C1761=D1761,"","Changed"))))</f>
        <v>Pre-seeded</v>
      </c>
      <c r="N1761" s="7" t="str">
        <f aca="false">TRIM(SUBSTITUTE(SUBSTITUTE(SUBSTITUTE(" "&amp;TRIM(SUBSTITUTE(SUBSTITUTE(SUBSTITUTE(SUBSTITUTE(SUBSTITUTE(SUBSTITUTE(SUBSTITUTE(SUBSTITUTE(SUBSTITUTE(SUBSTITUTE(SUBSTITUTE(SUBSTITUTE(SUBSTITUTE(SUBSTITUTE(SUBSTITUTE(UPPER(TRIM(A1761)),"[MEMBER]",""),"{MEMBER}",""),"[MEMBER}",""),"MEMBER]",""),"(A)",""),"""",""),"“",""),"”",""),".",""),":",""),",",""),"–"," "),"-"," "),"/"," "),"&amp;"," AND "))&amp;" "," THE "," ")," TOTAL "," ")," OPERATIONS "," "))</f>
        <v>TIMOR LESTE</v>
      </c>
      <c r="O1761" s="17" t="str">
        <f aca="false">IF(COUNTIFS($N$2:$N$2000,N1761,$D$2:$D$2000,"&lt;&gt;"&amp;D1761)&gt;0,"CONFLICT","")</f>
        <v/>
      </c>
      <c r="P1761" s="7"/>
    </row>
    <row r="1762" customFormat="false" ht="15" hidden="false" customHeight="false" outlineLevel="0" collapsed="false">
      <c r="A1762" s="7" t="s">
        <v>2763</v>
      </c>
      <c r="B1762" s="7" t="s">
        <v>1879</v>
      </c>
      <c r="C1762" s="7"/>
      <c r="D1762" s="6" t="s">
        <v>754</v>
      </c>
      <c r="E1762" s="6" t="s">
        <v>1880</v>
      </c>
      <c r="F1762" s="7" t="str">
        <f aca="false">IF($D1762="","",IFERROR(IF(INDEX(Hierarchy!$B$2:$B$1295,MATCH($D1762,Hierarchy!$A$2:$A$1295,0))="","",INDEX(Hierarchy!$B$2:$B$1295,MATCH($D1762,Hierarchy!$A$2:$A$1295,0))),"NODE NOT FOUND"))</f>
        <v>State/Province</v>
      </c>
      <c r="G1762" s="7" t="str">
        <f aca="false">IF($D1762="","",IFERROR(IF(INDEX(Hierarchy!$D$2:$D$1295,MATCH($D1762,Hierarchy!$A$2:$A$1295,0))="","",INDEX(Hierarchy!$D$2:$D$1295,MATCH($D1762,Hierarchy!$A$2:$A$1295,0))),"NODE NOT FOUND"))</f>
        <v>EMEA</v>
      </c>
      <c r="H1762" s="7" t="str">
        <f aca="false">IF($D1762="","",IFERROR(IF(INDEX(Hierarchy!$E$2:$E$1295,MATCH($D1762,Hierarchy!$A$2:$A$1295,0))="","",INDEX(Hierarchy!$E$2:$E$1295,MATCH($D1762,Hierarchy!$A$2:$A$1295,0))),"NODE NOT FOUND"))</f>
        <v>Europe</v>
      </c>
      <c r="I1762" s="7" t="str">
        <f aca="false">IF($D1762="","",IFERROR(IF(INDEX(Hierarchy!$F$2:$F$1295,MATCH($D1762,Hierarchy!$A$2:$A$1295,0))="","",INDEX(Hierarchy!$F$2:$F$1295,MATCH($D1762,Hierarchy!$A$2:$A$1295,0))),"NODE NOT FOUND"))</f>
        <v>Austria</v>
      </c>
      <c r="J1762" s="7" t="str">
        <f aca="false">IF($D1762="","",IFERROR(IF(INDEX(Hierarchy!$G$2:$G$1295,MATCH($D1762,Hierarchy!$A$2:$A$1295,0))="","",INDEX(Hierarchy!$G$2:$G$1295,MATCH($D1762,Hierarchy!$A$2:$A$1295,0))),"NODE NOT FOUND"))</f>
        <v>AUT</v>
      </c>
      <c r="K1762" s="7" t="str">
        <f aca="false">IF($D1762="","",IFERROR(IF(INDEX(Hierarchy!$H$2:$H$1295,MATCH($D1762,Hierarchy!$A$2:$A$1295,0))="","",INDEX(Hierarchy!$H$2:$H$1295,MATCH($D1762,Hierarchy!$A$2:$A$1295,0))),"NODE NOT FOUND"))</f>
        <v>Tyrol</v>
      </c>
      <c r="L1762" s="7" t="str">
        <f aca="false">IF($D1762="","",IFERROR(IF(INDEX(Hierarchy!$I$2:$I$1295,MATCH($D1762,Hierarchy!$A$2:$A$1295,0))="","",INDEX(Hierarchy!$I$2:$I$1295,MATCH($D1762,Hierarchy!$A$2:$A$1295,0))),"NODE NOT FOUND"))</f>
        <v/>
      </c>
      <c r="M1762" s="17" t="str">
        <f aca="false">IF(B1762="Pre-seeded","Pre-seeded",IF(B1762="Review 2026-09-16","Added from review",IF(C1762="","New",IF(C1762=D1762,"","Changed"))))</f>
        <v>Pre-seeded</v>
      </c>
      <c r="N1762" s="7" t="str">
        <f aca="false">TRIM(SUBSTITUTE(SUBSTITUTE(SUBSTITUTE(" "&amp;TRIM(SUBSTITUTE(SUBSTITUTE(SUBSTITUTE(SUBSTITUTE(SUBSTITUTE(SUBSTITUTE(SUBSTITUTE(SUBSTITUTE(SUBSTITUTE(SUBSTITUTE(SUBSTITUTE(SUBSTITUTE(SUBSTITUTE(SUBSTITUTE(SUBSTITUTE(UPPER(TRIM(A1762)),"[MEMBER]",""),"{MEMBER}",""),"[MEMBER}",""),"MEMBER]",""),"(A)",""),"""",""),"“",""),"”",""),".",""),":",""),",",""),"–"," "),"-"," "),"/"," "),"&amp;"," AND "))&amp;" "," THE "," ")," TOTAL "," ")," OPERATIONS "," "))</f>
        <v>TIROL</v>
      </c>
      <c r="O1762" s="17" t="str">
        <f aca="false">IF(COUNTIFS($N$2:$N$2000,N1762,$D$2:$D$2000,"&lt;&gt;"&amp;D1762)&gt;0,"CONFLICT","")</f>
        <v/>
      </c>
      <c r="P1762" s="7"/>
    </row>
    <row r="1763" customFormat="false" ht="15" hidden="false" customHeight="false" outlineLevel="0" collapsed="false">
      <c r="A1763" s="7" t="s">
        <v>416</v>
      </c>
      <c r="B1763" s="7" t="s">
        <v>1879</v>
      </c>
      <c r="C1763" s="7"/>
      <c r="D1763" s="6" t="s">
        <v>416</v>
      </c>
      <c r="E1763" s="6" t="s">
        <v>1880</v>
      </c>
      <c r="F1763" s="7" t="str">
        <f aca="false">IF($D1763="","",IFERROR(IF(INDEX(Hierarchy!$B$2:$B$1295,MATCH($D1763,Hierarchy!$A$2:$A$1295,0))="","",INDEX(Hierarchy!$B$2:$B$1295,MATCH($D1763,Hierarchy!$A$2:$A$1295,0))),"NODE NOT FOUND"))</f>
        <v>State/Province</v>
      </c>
      <c r="G1763" s="7" t="str">
        <f aca="false">IF($D1763="","",IFERROR(IF(INDEX(Hierarchy!$D$2:$D$1295,MATCH($D1763,Hierarchy!$A$2:$A$1295,0))="","",INDEX(Hierarchy!$D$2:$D$1295,MATCH($D1763,Hierarchy!$A$2:$A$1295,0))),"NODE NOT FOUND"))</f>
        <v>AMER</v>
      </c>
      <c r="H1763" s="7" t="str">
        <f aca="false">IF($D1763="","",IFERROR(IF(INDEX(Hierarchy!$E$2:$E$1295,MATCH($D1763,Hierarchy!$A$2:$A$1295,0))="","",INDEX(Hierarchy!$E$2:$E$1295,MATCH($D1763,Hierarchy!$A$2:$A$1295,0))),"NODE NOT FOUND"))</f>
        <v>Latin America (LATAM)</v>
      </c>
      <c r="I1763" s="7" t="str">
        <f aca="false">IF($D1763="","",IFERROR(IF(INDEX(Hierarchy!$F$2:$F$1295,MATCH($D1763,Hierarchy!$A$2:$A$1295,0))="","",INDEX(Hierarchy!$F$2:$F$1295,MATCH($D1763,Hierarchy!$A$2:$A$1295,0))),"NODE NOT FOUND"))</f>
        <v>Mexico</v>
      </c>
      <c r="J1763" s="7" t="str">
        <f aca="false">IF($D1763="","",IFERROR(IF(INDEX(Hierarchy!$G$2:$G$1295,MATCH($D1763,Hierarchy!$A$2:$A$1295,0))="","",INDEX(Hierarchy!$G$2:$G$1295,MATCH($D1763,Hierarchy!$A$2:$A$1295,0))),"NODE NOT FOUND"))</f>
        <v>MEX</v>
      </c>
      <c r="K1763" s="7" t="str">
        <f aca="false">IF($D1763="","",IFERROR(IF(INDEX(Hierarchy!$H$2:$H$1295,MATCH($D1763,Hierarchy!$A$2:$A$1295,0))="","",INDEX(Hierarchy!$H$2:$H$1295,MATCH($D1763,Hierarchy!$A$2:$A$1295,0))),"NODE NOT FOUND"))</f>
        <v>Tlaxcala</v>
      </c>
      <c r="L1763" s="7" t="str">
        <f aca="false">IF($D1763="","",IFERROR(IF(INDEX(Hierarchy!$I$2:$I$1295,MATCH($D1763,Hierarchy!$A$2:$A$1295,0))="","",INDEX(Hierarchy!$I$2:$I$1295,MATCH($D1763,Hierarchy!$A$2:$A$1295,0))),"NODE NOT FOUND"))</f>
        <v/>
      </c>
      <c r="M1763" s="17" t="str">
        <f aca="false">IF(B1763="Pre-seeded","Pre-seeded",IF(B1763="Review 2026-09-16","Added from review",IF(C1763="","New",IF(C1763=D1763,"","Changed"))))</f>
        <v>Pre-seeded</v>
      </c>
      <c r="N1763" s="7" t="str">
        <f aca="false">TRIM(SUBSTITUTE(SUBSTITUTE(SUBSTITUTE(" "&amp;TRIM(SUBSTITUTE(SUBSTITUTE(SUBSTITUTE(SUBSTITUTE(SUBSTITUTE(SUBSTITUTE(SUBSTITUTE(SUBSTITUTE(SUBSTITUTE(SUBSTITUTE(SUBSTITUTE(SUBSTITUTE(SUBSTITUTE(SUBSTITUTE(SUBSTITUTE(UPPER(TRIM(A1763)),"[MEMBER]",""),"{MEMBER}",""),"[MEMBER}",""),"MEMBER]",""),"(A)",""),"""",""),"“",""),"”",""),".",""),":",""),",",""),"–"," "),"-"," "),"/"," "),"&amp;"," AND "))&amp;" "," THE "," ")," TOTAL "," ")," OPERATIONS "," "))</f>
        <v>TLAXCALA</v>
      </c>
      <c r="O1763" s="17" t="str">
        <f aca="false">IF(COUNTIFS($N$2:$N$2000,N1763,$D$2:$D$2000,"&lt;&gt;"&amp;D1763)&gt;0,"CONFLICT","")</f>
        <v/>
      </c>
      <c r="P1763" s="7"/>
    </row>
    <row r="1764" customFormat="false" ht="15" hidden="false" customHeight="false" outlineLevel="0" collapsed="false">
      <c r="A1764" s="7" t="s">
        <v>375</v>
      </c>
      <c r="B1764" s="7" t="s">
        <v>1879</v>
      </c>
      <c r="C1764" s="7"/>
      <c r="D1764" s="6" t="s">
        <v>375</v>
      </c>
      <c r="E1764" s="6" t="s">
        <v>1880</v>
      </c>
      <c r="F1764" s="7" t="str">
        <f aca="false">IF($D1764="","",IFERROR(IF(INDEX(Hierarchy!$B$2:$B$1295,MATCH($D1764,Hierarchy!$A$2:$A$1295,0))="","",INDEX(Hierarchy!$B$2:$B$1295,MATCH($D1764,Hierarchy!$A$2:$A$1295,0))),"NODE NOT FOUND"))</f>
        <v>State/Province</v>
      </c>
      <c r="G1764" s="7" t="str">
        <f aca="false">IF($D1764="","",IFERROR(IF(INDEX(Hierarchy!$D$2:$D$1295,MATCH($D1764,Hierarchy!$A$2:$A$1295,0))="","",INDEX(Hierarchy!$D$2:$D$1295,MATCH($D1764,Hierarchy!$A$2:$A$1295,0))),"NODE NOT FOUND"))</f>
        <v>AMER</v>
      </c>
      <c r="H1764" s="7" t="str">
        <f aca="false">IF($D1764="","",IFERROR(IF(INDEX(Hierarchy!$E$2:$E$1295,MATCH($D1764,Hierarchy!$A$2:$A$1295,0))="","",INDEX(Hierarchy!$E$2:$E$1295,MATCH($D1764,Hierarchy!$A$2:$A$1295,0))),"NODE NOT FOUND"))</f>
        <v>Latin America (LATAM)</v>
      </c>
      <c r="I1764" s="7" t="str">
        <f aca="false">IF($D1764="","",IFERROR(IF(INDEX(Hierarchy!$F$2:$F$1295,MATCH($D1764,Hierarchy!$A$2:$A$1295,0))="","",INDEX(Hierarchy!$F$2:$F$1295,MATCH($D1764,Hierarchy!$A$2:$A$1295,0))),"NODE NOT FOUND"))</f>
        <v>Brazil</v>
      </c>
      <c r="J1764" s="7" t="str">
        <f aca="false">IF($D1764="","",IFERROR(IF(INDEX(Hierarchy!$G$2:$G$1295,MATCH($D1764,Hierarchy!$A$2:$A$1295,0))="","",INDEX(Hierarchy!$G$2:$G$1295,MATCH($D1764,Hierarchy!$A$2:$A$1295,0))),"NODE NOT FOUND"))</f>
        <v>BRA</v>
      </c>
      <c r="K1764" s="7" t="str">
        <f aca="false">IF($D1764="","",IFERROR(IF(INDEX(Hierarchy!$H$2:$H$1295,MATCH($D1764,Hierarchy!$A$2:$A$1295,0))="","",INDEX(Hierarchy!$H$2:$H$1295,MATCH($D1764,Hierarchy!$A$2:$A$1295,0))),"NODE NOT FOUND"))</f>
        <v>Tocantins</v>
      </c>
      <c r="L1764" s="7" t="str">
        <f aca="false">IF($D1764="","",IFERROR(IF(INDEX(Hierarchy!$I$2:$I$1295,MATCH($D1764,Hierarchy!$A$2:$A$1295,0))="","",INDEX(Hierarchy!$I$2:$I$1295,MATCH($D1764,Hierarchy!$A$2:$A$1295,0))),"NODE NOT FOUND"))</f>
        <v/>
      </c>
      <c r="M1764" s="17" t="str">
        <f aca="false">IF(B1764="Pre-seeded","Pre-seeded",IF(B1764="Review 2026-09-16","Added from review",IF(C1764="","New",IF(C1764=D1764,"","Changed"))))</f>
        <v>Pre-seeded</v>
      </c>
      <c r="N1764" s="7" t="str">
        <f aca="false">TRIM(SUBSTITUTE(SUBSTITUTE(SUBSTITUTE(" "&amp;TRIM(SUBSTITUTE(SUBSTITUTE(SUBSTITUTE(SUBSTITUTE(SUBSTITUTE(SUBSTITUTE(SUBSTITUTE(SUBSTITUTE(SUBSTITUTE(SUBSTITUTE(SUBSTITUTE(SUBSTITUTE(SUBSTITUTE(SUBSTITUTE(SUBSTITUTE(UPPER(TRIM(A1764)),"[MEMBER]",""),"{MEMBER}",""),"[MEMBER}",""),"MEMBER]",""),"(A)",""),"""",""),"“",""),"”",""),".",""),":",""),",",""),"–"," "),"-"," "),"/"," "),"&amp;"," AND "))&amp;" "," THE "," ")," TOTAL "," ")," OPERATIONS "," "))</f>
        <v>TOCANTINS</v>
      </c>
      <c r="O1764" s="17" t="str">
        <f aca="false">IF(COUNTIFS($N$2:$N$2000,N1764,$D$2:$D$2000,"&lt;&gt;"&amp;D1764)&gt;0,"CONFLICT","")</f>
        <v/>
      </c>
      <c r="P1764" s="7"/>
    </row>
    <row r="1765" customFormat="false" ht="15" hidden="false" customHeight="false" outlineLevel="0" collapsed="false">
      <c r="A1765" s="7" t="s">
        <v>1479</v>
      </c>
      <c r="B1765" s="7" t="s">
        <v>1879</v>
      </c>
      <c r="C1765" s="7"/>
      <c r="D1765" s="6" t="s">
        <v>1479</v>
      </c>
      <c r="E1765" s="6" t="s">
        <v>1880</v>
      </c>
      <c r="F1765" s="7" t="str">
        <f aca="false">IF($D1765="","",IFERROR(IF(INDEX(Hierarchy!$B$2:$B$1295,MATCH($D1765,Hierarchy!$A$2:$A$1295,0))="","",INDEX(Hierarchy!$B$2:$B$1295,MATCH($D1765,Hierarchy!$A$2:$A$1295,0))),"NODE NOT FOUND"))</f>
        <v>State/Province</v>
      </c>
      <c r="G1765" s="7" t="str">
        <f aca="false">IF($D1765="","",IFERROR(IF(INDEX(Hierarchy!$D$2:$D$1295,MATCH($D1765,Hierarchy!$A$2:$A$1295,0))="","",INDEX(Hierarchy!$D$2:$D$1295,MATCH($D1765,Hierarchy!$A$2:$A$1295,0))),"NODE NOT FOUND"))</f>
        <v>APAC</v>
      </c>
      <c r="H1765" s="7" t="str">
        <f aca="false">IF($D1765="","",IFERROR(IF(INDEX(Hierarchy!$E$2:$E$1295,MATCH($D1765,Hierarchy!$A$2:$A$1295,0))="","",INDEX(Hierarchy!$E$2:$E$1295,MATCH($D1765,Hierarchy!$A$2:$A$1295,0))),"NODE NOT FOUND"))</f>
        <v>East Asia</v>
      </c>
      <c r="I1765" s="7" t="str">
        <f aca="false">IF($D1765="","",IFERROR(IF(INDEX(Hierarchy!$F$2:$F$1295,MATCH($D1765,Hierarchy!$A$2:$A$1295,0))="","",INDEX(Hierarchy!$F$2:$F$1295,MATCH($D1765,Hierarchy!$A$2:$A$1295,0))),"NODE NOT FOUND"))</f>
        <v>Japan</v>
      </c>
      <c r="J1765" s="7" t="str">
        <f aca="false">IF($D1765="","",IFERROR(IF(INDEX(Hierarchy!$G$2:$G$1295,MATCH($D1765,Hierarchy!$A$2:$A$1295,0))="","",INDEX(Hierarchy!$G$2:$G$1295,MATCH($D1765,Hierarchy!$A$2:$A$1295,0))),"NODE NOT FOUND"))</f>
        <v>JPN</v>
      </c>
      <c r="K1765" s="7" t="str">
        <f aca="false">IF($D1765="","",IFERROR(IF(INDEX(Hierarchy!$H$2:$H$1295,MATCH($D1765,Hierarchy!$A$2:$A$1295,0))="","",INDEX(Hierarchy!$H$2:$H$1295,MATCH($D1765,Hierarchy!$A$2:$A$1295,0))),"NODE NOT FOUND"))</f>
        <v>Tochigi</v>
      </c>
      <c r="L1765" s="7" t="str">
        <f aca="false">IF($D1765="","",IFERROR(IF(INDEX(Hierarchy!$I$2:$I$1295,MATCH($D1765,Hierarchy!$A$2:$A$1295,0))="","",INDEX(Hierarchy!$I$2:$I$1295,MATCH($D1765,Hierarchy!$A$2:$A$1295,0))),"NODE NOT FOUND"))</f>
        <v/>
      </c>
      <c r="M1765" s="17" t="str">
        <f aca="false">IF(B1765="Pre-seeded","Pre-seeded",IF(B1765="Review 2026-09-16","Added from review",IF(C1765="","New",IF(C1765=D1765,"","Changed"))))</f>
        <v>Pre-seeded</v>
      </c>
      <c r="N1765" s="7" t="str">
        <f aca="false">TRIM(SUBSTITUTE(SUBSTITUTE(SUBSTITUTE(" "&amp;TRIM(SUBSTITUTE(SUBSTITUTE(SUBSTITUTE(SUBSTITUTE(SUBSTITUTE(SUBSTITUTE(SUBSTITUTE(SUBSTITUTE(SUBSTITUTE(SUBSTITUTE(SUBSTITUTE(SUBSTITUTE(SUBSTITUTE(SUBSTITUTE(SUBSTITUTE(UPPER(TRIM(A1765)),"[MEMBER]",""),"{MEMBER}",""),"[MEMBER}",""),"MEMBER]",""),"(A)",""),"""",""),"“",""),"”",""),".",""),":",""),",",""),"–"," "),"-"," "),"/"," "),"&amp;"," AND "))&amp;" "," THE "," ")," TOTAL "," ")," OPERATIONS "," "))</f>
        <v>TOCHIGI</v>
      </c>
      <c r="O1765" s="17" t="str">
        <f aca="false">IF(COUNTIFS($N$2:$N$2000,N1765,$D$2:$D$2000,"&lt;&gt;"&amp;D1765)&gt;0,"CONFLICT","")</f>
        <v/>
      </c>
      <c r="P1765" s="7"/>
    </row>
    <row r="1766" customFormat="false" ht="15" hidden="false" customHeight="false" outlineLevel="0" collapsed="false">
      <c r="A1766" s="7" t="s">
        <v>1298</v>
      </c>
      <c r="B1766" s="7" t="s">
        <v>1879</v>
      </c>
      <c r="C1766" s="7"/>
      <c r="D1766" s="6" t="s">
        <v>1298</v>
      </c>
      <c r="E1766" s="6" t="s">
        <v>1880</v>
      </c>
      <c r="F1766" s="7" t="str">
        <f aca="false">IF($D1766="","",IFERROR(IF(INDEX(Hierarchy!$B$2:$B$1295,MATCH($D1766,Hierarchy!$A$2:$A$1295,0))="","",INDEX(Hierarchy!$B$2:$B$1295,MATCH($D1766,Hierarchy!$A$2:$A$1295,0))),"NODE NOT FOUND"))</f>
        <v>Country</v>
      </c>
      <c r="G1766" s="7" t="str">
        <f aca="false">IF($D1766="","",IFERROR(IF(INDEX(Hierarchy!$D$2:$D$1295,MATCH($D1766,Hierarchy!$A$2:$A$1295,0))="","",INDEX(Hierarchy!$D$2:$D$1295,MATCH($D1766,Hierarchy!$A$2:$A$1295,0))),"NODE NOT FOUND"))</f>
        <v>EMEA</v>
      </c>
      <c r="H1766" s="7" t="str">
        <f aca="false">IF($D1766="","",IFERROR(IF(INDEX(Hierarchy!$E$2:$E$1295,MATCH($D1766,Hierarchy!$A$2:$A$1295,0))="","",INDEX(Hierarchy!$E$2:$E$1295,MATCH($D1766,Hierarchy!$A$2:$A$1295,0))),"NODE NOT FOUND"))</f>
        <v>Africa</v>
      </c>
      <c r="I1766" s="7" t="str">
        <f aca="false">IF($D1766="","",IFERROR(IF(INDEX(Hierarchy!$F$2:$F$1295,MATCH($D1766,Hierarchy!$A$2:$A$1295,0))="","",INDEX(Hierarchy!$F$2:$F$1295,MATCH($D1766,Hierarchy!$A$2:$A$1295,0))),"NODE NOT FOUND"))</f>
        <v>Togo</v>
      </c>
      <c r="J1766" s="7" t="str">
        <f aca="false">IF($D1766="","",IFERROR(IF(INDEX(Hierarchy!$G$2:$G$1295,MATCH($D1766,Hierarchy!$A$2:$A$1295,0))="","",INDEX(Hierarchy!$G$2:$G$1295,MATCH($D1766,Hierarchy!$A$2:$A$1295,0))),"NODE NOT FOUND"))</f>
        <v>TGO</v>
      </c>
      <c r="K1766" s="7" t="str">
        <f aca="false">IF($D1766="","",IFERROR(IF(INDEX(Hierarchy!$H$2:$H$1295,MATCH($D1766,Hierarchy!$A$2:$A$1295,0))="","",INDEX(Hierarchy!$H$2:$H$1295,MATCH($D1766,Hierarchy!$A$2:$A$1295,0))),"NODE NOT FOUND"))</f>
        <v/>
      </c>
      <c r="L1766" s="7" t="str">
        <f aca="false">IF($D1766="","",IFERROR(IF(INDEX(Hierarchy!$I$2:$I$1295,MATCH($D1766,Hierarchy!$A$2:$A$1295,0))="","",INDEX(Hierarchy!$I$2:$I$1295,MATCH($D1766,Hierarchy!$A$2:$A$1295,0))),"NODE NOT FOUND"))</f>
        <v/>
      </c>
      <c r="M1766" s="17" t="str">
        <f aca="false">IF(B1766="Pre-seeded","Pre-seeded",IF(B1766="Review 2026-09-16","Added from review",IF(C1766="","New",IF(C1766=D1766,"","Changed"))))</f>
        <v>Pre-seeded</v>
      </c>
      <c r="N1766" s="7" t="str">
        <f aca="false">TRIM(SUBSTITUTE(SUBSTITUTE(SUBSTITUTE(" "&amp;TRIM(SUBSTITUTE(SUBSTITUTE(SUBSTITUTE(SUBSTITUTE(SUBSTITUTE(SUBSTITUTE(SUBSTITUTE(SUBSTITUTE(SUBSTITUTE(SUBSTITUTE(SUBSTITUTE(SUBSTITUTE(SUBSTITUTE(SUBSTITUTE(SUBSTITUTE(UPPER(TRIM(A1766)),"[MEMBER]",""),"{MEMBER}",""),"[MEMBER}",""),"MEMBER]",""),"(A)",""),"""",""),"“",""),"”",""),".",""),":",""),",",""),"–"," "),"-"," "),"/"," "),"&amp;"," AND "))&amp;" "," THE "," ")," TOTAL "," ")," OPERATIONS "," "))</f>
        <v>TOGO</v>
      </c>
      <c r="O1766" s="17" t="str">
        <f aca="false">IF(COUNTIFS($N$2:$N$2000,N1766,$D$2:$D$2000,"&lt;&gt;"&amp;D1766)&gt;0,"CONFLICT","")</f>
        <v/>
      </c>
      <c r="P1766" s="7"/>
    </row>
    <row r="1767" customFormat="false" ht="15" hidden="false" customHeight="false" outlineLevel="0" collapsed="false">
      <c r="A1767" s="7" t="s">
        <v>2764</v>
      </c>
      <c r="B1767" s="7" t="s">
        <v>1879</v>
      </c>
      <c r="C1767" s="7"/>
      <c r="D1767" s="6" t="s">
        <v>1298</v>
      </c>
      <c r="E1767" s="6" t="s">
        <v>1880</v>
      </c>
      <c r="F1767" s="7" t="str">
        <f aca="false">IF($D1767="","",IFERROR(IF(INDEX(Hierarchy!$B$2:$B$1295,MATCH($D1767,Hierarchy!$A$2:$A$1295,0))="","",INDEX(Hierarchy!$B$2:$B$1295,MATCH($D1767,Hierarchy!$A$2:$A$1295,0))),"NODE NOT FOUND"))</f>
        <v>Country</v>
      </c>
      <c r="G1767" s="7" t="str">
        <f aca="false">IF($D1767="","",IFERROR(IF(INDEX(Hierarchy!$D$2:$D$1295,MATCH($D1767,Hierarchy!$A$2:$A$1295,0))="","",INDEX(Hierarchy!$D$2:$D$1295,MATCH($D1767,Hierarchy!$A$2:$A$1295,0))),"NODE NOT FOUND"))</f>
        <v>EMEA</v>
      </c>
      <c r="H1767" s="7" t="str">
        <f aca="false">IF($D1767="","",IFERROR(IF(INDEX(Hierarchy!$E$2:$E$1295,MATCH($D1767,Hierarchy!$A$2:$A$1295,0))="","",INDEX(Hierarchy!$E$2:$E$1295,MATCH($D1767,Hierarchy!$A$2:$A$1295,0))),"NODE NOT FOUND"))</f>
        <v>Africa</v>
      </c>
      <c r="I1767" s="7" t="str">
        <f aca="false">IF($D1767="","",IFERROR(IF(INDEX(Hierarchy!$F$2:$F$1295,MATCH($D1767,Hierarchy!$A$2:$A$1295,0))="","",INDEX(Hierarchy!$F$2:$F$1295,MATCH($D1767,Hierarchy!$A$2:$A$1295,0))),"NODE NOT FOUND"))</f>
        <v>Togo</v>
      </c>
      <c r="J1767" s="7" t="str">
        <f aca="false">IF($D1767="","",IFERROR(IF(INDEX(Hierarchy!$G$2:$G$1295,MATCH($D1767,Hierarchy!$A$2:$A$1295,0))="","",INDEX(Hierarchy!$G$2:$G$1295,MATCH($D1767,Hierarchy!$A$2:$A$1295,0))),"NODE NOT FOUND"))</f>
        <v>TGO</v>
      </c>
      <c r="K1767" s="7" t="str">
        <f aca="false">IF($D1767="","",IFERROR(IF(INDEX(Hierarchy!$H$2:$H$1295,MATCH($D1767,Hierarchy!$A$2:$A$1295,0))="","",INDEX(Hierarchy!$H$2:$H$1295,MATCH($D1767,Hierarchy!$A$2:$A$1295,0))),"NODE NOT FOUND"))</f>
        <v/>
      </c>
      <c r="L1767" s="7" t="str">
        <f aca="false">IF($D1767="","",IFERROR(IF(INDEX(Hierarchy!$I$2:$I$1295,MATCH($D1767,Hierarchy!$A$2:$A$1295,0))="","",INDEX(Hierarchy!$I$2:$I$1295,MATCH($D1767,Hierarchy!$A$2:$A$1295,0))),"NODE NOT FOUND"))</f>
        <v/>
      </c>
      <c r="M1767" s="17" t="str">
        <f aca="false">IF(B1767="Pre-seeded","Pre-seeded",IF(B1767="Review 2026-09-16","Added from review",IF(C1767="","New",IF(C1767=D1767,"","Changed"))))</f>
        <v>Pre-seeded</v>
      </c>
      <c r="N1767" s="7" t="str">
        <f aca="false">TRIM(SUBSTITUTE(SUBSTITUTE(SUBSTITUTE(" "&amp;TRIM(SUBSTITUTE(SUBSTITUTE(SUBSTITUTE(SUBSTITUTE(SUBSTITUTE(SUBSTITUTE(SUBSTITUTE(SUBSTITUTE(SUBSTITUTE(SUBSTITUTE(SUBSTITUTE(SUBSTITUTE(SUBSTITUTE(SUBSTITUTE(SUBSTITUTE(UPPER(TRIM(A1767)),"[MEMBER]",""),"{MEMBER}",""),"[MEMBER}",""),"MEMBER]",""),"(A)",""),"""",""),"“",""),"”",""),".",""),":",""),",",""),"–"," "),"-"," "),"/"," "),"&amp;"," AND "))&amp;" "," THE "," ")," TOTAL "," ")," OPERATIONS "," "))</f>
        <v>TOGOLESE REPUBLIC</v>
      </c>
      <c r="O1767" s="17" t="str">
        <f aca="false">IF(COUNTIFS($N$2:$N$2000,N1767,$D$2:$D$2000,"&lt;&gt;"&amp;D1767)&gt;0,"CONFLICT","")</f>
        <v/>
      </c>
      <c r="P1767" s="7" t="s">
        <v>1936</v>
      </c>
    </row>
    <row r="1768" customFormat="false" ht="15" hidden="false" customHeight="false" outlineLevel="0" collapsed="false">
      <c r="A1768" s="7" t="s">
        <v>1436</v>
      </c>
      <c r="B1768" s="7" t="s">
        <v>1879</v>
      </c>
      <c r="C1768" s="7"/>
      <c r="D1768" s="6" t="s">
        <v>1436</v>
      </c>
      <c r="E1768" s="6" t="s">
        <v>1880</v>
      </c>
      <c r="F1768" s="7" t="str">
        <f aca="false">IF($D1768="","",IFERROR(IF(INDEX(Hierarchy!$B$2:$B$1295,MATCH($D1768,Hierarchy!$A$2:$A$1295,0))="","",INDEX(Hierarchy!$B$2:$B$1295,MATCH($D1768,Hierarchy!$A$2:$A$1295,0))),"NODE NOT FOUND"))</f>
        <v>Sub-national region</v>
      </c>
      <c r="G1768" s="7" t="str">
        <f aca="false">IF($D1768="","",IFERROR(IF(INDEX(Hierarchy!$D$2:$D$1295,MATCH($D1768,Hierarchy!$A$2:$A$1295,0))="","",INDEX(Hierarchy!$D$2:$D$1295,MATCH($D1768,Hierarchy!$A$2:$A$1295,0))),"NODE NOT FOUND"))</f>
        <v>APAC</v>
      </c>
      <c r="H1768" s="7" t="str">
        <f aca="false">IF($D1768="","",IFERROR(IF(INDEX(Hierarchy!$E$2:$E$1295,MATCH($D1768,Hierarchy!$A$2:$A$1295,0))="","",INDEX(Hierarchy!$E$2:$E$1295,MATCH($D1768,Hierarchy!$A$2:$A$1295,0))),"NODE NOT FOUND"))</f>
        <v>East Asia</v>
      </c>
      <c r="I1768" s="7" t="str">
        <f aca="false">IF($D1768="","",IFERROR(IF(INDEX(Hierarchy!$F$2:$F$1295,MATCH($D1768,Hierarchy!$A$2:$A$1295,0))="","",INDEX(Hierarchy!$F$2:$F$1295,MATCH($D1768,Hierarchy!$A$2:$A$1295,0))),"NODE NOT FOUND"))</f>
        <v>Japan</v>
      </c>
      <c r="J1768" s="7" t="str">
        <f aca="false">IF($D1768="","",IFERROR(IF(INDEX(Hierarchy!$G$2:$G$1295,MATCH($D1768,Hierarchy!$A$2:$A$1295,0))="","",INDEX(Hierarchy!$G$2:$G$1295,MATCH($D1768,Hierarchy!$A$2:$A$1295,0))),"NODE NOT FOUND"))</f>
        <v>JPN</v>
      </c>
      <c r="K1768" s="7" t="str">
        <f aca="false">IF($D1768="","",IFERROR(IF(INDEX(Hierarchy!$H$2:$H$1295,MATCH($D1768,Hierarchy!$A$2:$A$1295,0))="","",INDEX(Hierarchy!$H$2:$H$1295,MATCH($D1768,Hierarchy!$A$2:$A$1295,0))),"NODE NOT FOUND"))</f>
        <v/>
      </c>
      <c r="L1768" s="7" t="str">
        <f aca="false">IF($D1768="","",IFERROR(IF(INDEX(Hierarchy!$I$2:$I$1295,MATCH($D1768,Hierarchy!$A$2:$A$1295,0))="","",INDEX(Hierarchy!$I$2:$I$1295,MATCH($D1768,Hierarchy!$A$2:$A$1295,0))),"NODE NOT FOUND"))</f>
        <v/>
      </c>
      <c r="M1768" s="17" t="str">
        <f aca="false">IF(B1768="Pre-seeded","Pre-seeded",IF(B1768="Review 2026-09-16","Added from review",IF(C1768="","New",IF(C1768=D1768,"","Changed"))))</f>
        <v>Pre-seeded</v>
      </c>
      <c r="N1768" s="7" t="str">
        <f aca="false">TRIM(SUBSTITUTE(SUBSTITUTE(SUBSTITUTE(" "&amp;TRIM(SUBSTITUTE(SUBSTITUTE(SUBSTITUTE(SUBSTITUTE(SUBSTITUTE(SUBSTITUTE(SUBSTITUTE(SUBSTITUTE(SUBSTITUTE(SUBSTITUTE(SUBSTITUTE(SUBSTITUTE(SUBSTITUTE(SUBSTITUTE(SUBSTITUTE(UPPER(TRIM(A1768)),"[MEMBER]",""),"{MEMBER}",""),"[MEMBER}",""),"MEMBER]",""),"(A)",""),"""",""),"“",""),"”",""),".",""),":",""),",",""),"–"," "),"-"," "),"/"," "),"&amp;"," AND "))&amp;" "," THE "," ")," TOTAL "," ")," OPERATIONS "," "))</f>
        <v>TOHOKU REGION</v>
      </c>
      <c r="O1768" s="17" t="str">
        <f aca="false">IF(COUNTIFS($N$2:$N$2000,N1768,$D$2:$D$2000,"&lt;&gt;"&amp;D1768)&gt;0,"CONFLICT","")</f>
        <v/>
      </c>
      <c r="P1768" s="7"/>
    </row>
    <row r="1769" customFormat="false" ht="15" hidden="false" customHeight="false" outlineLevel="0" collapsed="false">
      <c r="A1769" s="7" t="s">
        <v>1774</v>
      </c>
      <c r="B1769" s="7" t="s">
        <v>1879</v>
      </c>
      <c r="C1769" s="7"/>
      <c r="D1769" s="6" t="s">
        <v>1774</v>
      </c>
      <c r="E1769" s="6" t="s">
        <v>1880</v>
      </c>
      <c r="F1769" s="7" t="str">
        <f aca="false">IF($D1769="","",IFERROR(IF(INDEX(Hierarchy!$B$2:$B$1295,MATCH($D1769,Hierarchy!$A$2:$A$1295,0))="","",INDEX(Hierarchy!$B$2:$B$1295,MATCH($D1769,Hierarchy!$A$2:$A$1295,0))),"NODE NOT FOUND"))</f>
        <v>Country</v>
      </c>
      <c r="G1769" s="7" t="str">
        <f aca="false">IF($D1769="","",IFERROR(IF(INDEX(Hierarchy!$D$2:$D$1295,MATCH($D1769,Hierarchy!$A$2:$A$1295,0))="","",INDEX(Hierarchy!$D$2:$D$1295,MATCH($D1769,Hierarchy!$A$2:$A$1295,0))),"NODE NOT FOUND"))</f>
        <v>APAC</v>
      </c>
      <c r="H1769" s="7" t="str">
        <f aca="false">IF($D1769="","",IFERROR(IF(INDEX(Hierarchy!$E$2:$E$1295,MATCH($D1769,Hierarchy!$A$2:$A$1295,0))="","",INDEX(Hierarchy!$E$2:$E$1295,MATCH($D1769,Hierarchy!$A$2:$A$1295,0))),"NODE NOT FOUND"))</f>
        <v>Oceania (ANZ)</v>
      </c>
      <c r="I1769" s="7" t="str">
        <f aca="false">IF($D1769="","",IFERROR(IF(INDEX(Hierarchy!$F$2:$F$1295,MATCH($D1769,Hierarchy!$A$2:$A$1295,0))="","",INDEX(Hierarchy!$F$2:$F$1295,MATCH($D1769,Hierarchy!$A$2:$A$1295,0))),"NODE NOT FOUND"))</f>
        <v>Tokelau</v>
      </c>
      <c r="J1769" s="7" t="str">
        <f aca="false">IF($D1769="","",IFERROR(IF(INDEX(Hierarchy!$G$2:$G$1295,MATCH($D1769,Hierarchy!$A$2:$A$1295,0))="","",INDEX(Hierarchy!$G$2:$G$1295,MATCH($D1769,Hierarchy!$A$2:$A$1295,0))),"NODE NOT FOUND"))</f>
        <v>TKL</v>
      </c>
      <c r="K1769" s="7" t="str">
        <f aca="false">IF($D1769="","",IFERROR(IF(INDEX(Hierarchy!$H$2:$H$1295,MATCH($D1769,Hierarchy!$A$2:$A$1295,0))="","",INDEX(Hierarchy!$H$2:$H$1295,MATCH($D1769,Hierarchy!$A$2:$A$1295,0))),"NODE NOT FOUND"))</f>
        <v/>
      </c>
      <c r="L1769" s="7" t="str">
        <f aca="false">IF($D1769="","",IFERROR(IF(INDEX(Hierarchy!$I$2:$I$1295,MATCH($D1769,Hierarchy!$A$2:$A$1295,0))="","",INDEX(Hierarchy!$I$2:$I$1295,MATCH($D1769,Hierarchy!$A$2:$A$1295,0))),"NODE NOT FOUND"))</f>
        <v/>
      </c>
      <c r="M1769" s="17" t="str">
        <f aca="false">IF(B1769="Pre-seeded","Pre-seeded",IF(B1769="Review 2026-09-16","Added from review",IF(C1769="","New",IF(C1769=D1769,"","Changed"))))</f>
        <v>Pre-seeded</v>
      </c>
      <c r="N1769" s="7" t="str">
        <f aca="false">TRIM(SUBSTITUTE(SUBSTITUTE(SUBSTITUTE(" "&amp;TRIM(SUBSTITUTE(SUBSTITUTE(SUBSTITUTE(SUBSTITUTE(SUBSTITUTE(SUBSTITUTE(SUBSTITUTE(SUBSTITUTE(SUBSTITUTE(SUBSTITUTE(SUBSTITUTE(SUBSTITUTE(SUBSTITUTE(SUBSTITUTE(SUBSTITUTE(UPPER(TRIM(A1769)),"[MEMBER]",""),"{MEMBER}",""),"[MEMBER}",""),"MEMBER]",""),"(A)",""),"""",""),"“",""),"”",""),".",""),":",""),",",""),"–"," "),"-"," "),"/"," "),"&amp;"," AND "))&amp;" "," THE "," ")," TOTAL "," ")," OPERATIONS "," "))</f>
        <v>TOKELAU</v>
      </c>
      <c r="O1769" s="17" t="str">
        <f aca="false">IF(COUNTIFS($N$2:$N$2000,N1769,$D$2:$D$2000,"&lt;&gt;"&amp;D1769)&gt;0,"CONFLICT","")</f>
        <v/>
      </c>
      <c r="P1769" s="7"/>
    </row>
    <row r="1770" customFormat="false" ht="15" hidden="false" customHeight="false" outlineLevel="0" collapsed="false">
      <c r="A1770" s="7" t="s">
        <v>1480</v>
      </c>
      <c r="B1770" s="7" t="s">
        <v>1879</v>
      </c>
      <c r="C1770" s="7"/>
      <c r="D1770" s="6" t="s">
        <v>1480</v>
      </c>
      <c r="E1770" s="6" t="s">
        <v>1880</v>
      </c>
      <c r="F1770" s="7" t="str">
        <f aca="false">IF($D1770="","",IFERROR(IF(INDEX(Hierarchy!$B$2:$B$1295,MATCH($D1770,Hierarchy!$A$2:$A$1295,0))="","",INDEX(Hierarchy!$B$2:$B$1295,MATCH($D1770,Hierarchy!$A$2:$A$1295,0))),"NODE NOT FOUND"))</f>
        <v>State/Province</v>
      </c>
      <c r="G1770" s="7" t="str">
        <f aca="false">IF($D1770="","",IFERROR(IF(INDEX(Hierarchy!$D$2:$D$1295,MATCH($D1770,Hierarchy!$A$2:$A$1295,0))="","",INDEX(Hierarchy!$D$2:$D$1295,MATCH($D1770,Hierarchy!$A$2:$A$1295,0))),"NODE NOT FOUND"))</f>
        <v>APAC</v>
      </c>
      <c r="H1770" s="7" t="str">
        <f aca="false">IF($D1770="","",IFERROR(IF(INDEX(Hierarchy!$E$2:$E$1295,MATCH($D1770,Hierarchy!$A$2:$A$1295,0))="","",INDEX(Hierarchy!$E$2:$E$1295,MATCH($D1770,Hierarchy!$A$2:$A$1295,0))),"NODE NOT FOUND"))</f>
        <v>East Asia</v>
      </c>
      <c r="I1770" s="7" t="str">
        <f aca="false">IF($D1770="","",IFERROR(IF(INDEX(Hierarchy!$F$2:$F$1295,MATCH($D1770,Hierarchy!$A$2:$A$1295,0))="","",INDEX(Hierarchy!$F$2:$F$1295,MATCH($D1770,Hierarchy!$A$2:$A$1295,0))),"NODE NOT FOUND"))</f>
        <v>Japan</v>
      </c>
      <c r="J1770" s="7" t="str">
        <f aca="false">IF($D1770="","",IFERROR(IF(INDEX(Hierarchy!$G$2:$G$1295,MATCH($D1770,Hierarchy!$A$2:$A$1295,0))="","",INDEX(Hierarchy!$G$2:$G$1295,MATCH($D1770,Hierarchy!$A$2:$A$1295,0))),"NODE NOT FOUND"))</f>
        <v>JPN</v>
      </c>
      <c r="K1770" s="7" t="str">
        <f aca="false">IF($D1770="","",IFERROR(IF(INDEX(Hierarchy!$H$2:$H$1295,MATCH($D1770,Hierarchy!$A$2:$A$1295,0))="","",INDEX(Hierarchy!$H$2:$H$1295,MATCH($D1770,Hierarchy!$A$2:$A$1295,0))),"NODE NOT FOUND"))</f>
        <v>Tokushima</v>
      </c>
      <c r="L1770" s="7" t="str">
        <f aca="false">IF($D1770="","",IFERROR(IF(INDEX(Hierarchy!$I$2:$I$1295,MATCH($D1770,Hierarchy!$A$2:$A$1295,0))="","",INDEX(Hierarchy!$I$2:$I$1295,MATCH($D1770,Hierarchy!$A$2:$A$1295,0))),"NODE NOT FOUND"))</f>
        <v/>
      </c>
      <c r="M1770" s="17" t="str">
        <f aca="false">IF(B1770="Pre-seeded","Pre-seeded",IF(B1770="Review 2026-09-16","Added from review",IF(C1770="","New",IF(C1770=D1770,"","Changed"))))</f>
        <v>Pre-seeded</v>
      </c>
      <c r="N1770" s="7" t="str">
        <f aca="false">TRIM(SUBSTITUTE(SUBSTITUTE(SUBSTITUTE(" "&amp;TRIM(SUBSTITUTE(SUBSTITUTE(SUBSTITUTE(SUBSTITUTE(SUBSTITUTE(SUBSTITUTE(SUBSTITUTE(SUBSTITUTE(SUBSTITUTE(SUBSTITUTE(SUBSTITUTE(SUBSTITUTE(SUBSTITUTE(SUBSTITUTE(SUBSTITUTE(UPPER(TRIM(A1770)),"[MEMBER]",""),"{MEMBER}",""),"[MEMBER}",""),"MEMBER]",""),"(A)",""),"""",""),"“",""),"”",""),".",""),":",""),",",""),"–"," "),"-"," "),"/"," "),"&amp;"," AND "))&amp;" "," THE "," ")," TOTAL "," ")," OPERATIONS "," "))</f>
        <v>TOKUSHIMA</v>
      </c>
      <c r="O1770" s="17" t="str">
        <f aca="false">IF(COUNTIFS($N$2:$N$2000,N1770,$D$2:$D$2000,"&lt;&gt;"&amp;D1770)&gt;0,"CONFLICT","")</f>
        <v/>
      </c>
      <c r="P1770" s="7"/>
    </row>
    <row r="1771" customFormat="false" ht="15" hidden="false" customHeight="false" outlineLevel="0" collapsed="false">
      <c r="A1771" s="7" t="s">
        <v>1481</v>
      </c>
      <c r="B1771" s="7" t="s">
        <v>1879</v>
      </c>
      <c r="C1771" s="7"/>
      <c r="D1771" s="6" t="s">
        <v>1481</v>
      </c>
      <c r="E1771" s="6" t="s">
        <v>1880</v>
      </c>
      <c r="F1771" s="7" t="str">
        <f aca="false">IF($D1771="","",IFERROR(IF(INDEX(Hierarchy!$B$2:$B$1295,MATCH($D1771,Hierarchy!$A$2:$A$1295,0))="","",INDEX(Hierarchy!$B$2:$B$1295,MATCH($D1771,Hierarchy!$A$2:$A$1295,0))),"NODE NOT FOUND"))</f>
        <v>State/Province</v>
      </c>
      <c r="G1771" s="7" t="str">
        <f aca="false">IF($D1771="","",IFERROR(IF(INDEX(Hierarchy!$D$2:$D$1295,MATCH($D1771,Hierarchy!$A$2:$A$1295,0))="","",INDEX(Hierarchy!$D$2:$D$1295,MATCH($D1771,Hierarchy!$A$2:$A$1295,0))),"NODE NOT FOUND"))</f>
        <v>APAC</v>
      </c>
      <c r="H1771" s="7" t="str">
        <f aca="false">IF($D1771="","",IFERROR(IF(INDEX(Hierarchy!$E$2:$E$1295,MATCH($D1771,Hierarchy!$A$2:$A$1295,0))="","",INDEX(Hierarchy!$E$2:$E$1295,MATCH($D1771,Hierarchy!$A$2:$A$1295,0))),"NODE NOT FOUND"))</f>
        <v>East Asia</v>
      </c>
      <c r="I1771" s="7" t="str">
        <f aca="false">IF($D1771="","",IFERROR(IF(INDEX(Hierarchy!$F$2:$F$1295,MATCH($D1771,Hierarchy!$A$2:$A$1295,0))="","",INDEX(Hierarchy!$F$2:$F$1295,MATCH($D1771,Hierarchy!$A$2:$A$1295,0))),"NODE NOT FOUND"))</f>
        <v>Japan</v>
      </c>
      <c r="J1771" s="7" t="str">
        <f aca="false">IF($D1771="","",IFERROR(IF(INDEX(Hierarchy!$G$2:$G$1295,MATCH($D1771,Hierarchy!$A$2:$A$1295,0))="","",INDEX(Hierarchy!$G$2:$G$1295,MATCH($D1771,Hierarchy!$A$2:$A$1295,0))),"NODE NOT FOUND"))</f>
        <v>JPN</v>
      </c>
      <c r="K1771" s="7" t="str">
        <f aca="false">IF($D1771="","",IFERROR(IF(INDEX(Hierarchy!$H$2:$H$1295,MATCH($D1771,Hierarchy!$A$2:$A$1295,0))="","",INDEX(Hierarchy!$H$2:$H$1295,MATCH($D1771,Hierarchy!$A$2:$A$1295,0))),"NODE NOT FOUND"))</f>
        <v>Tokyo</v>
      </c>
      <c r="L1771" s="7" t="str">
        <f aca="false">IF($D1771="","",IFERROR(IF(INDEX(Hierarchy!$I$2:$I$1295,MATCH($D1771,Hierarchy!$A$2:$A$1295,0))="","",INDEX(Hierarchy!$I$2:$I$1295,MATCH($D1771,Hierarchy!$A$2:$A$1295,0))),"NODE NOT FOUND"))</f>
        <v/>
      </c>
      <c r="M1771" s="17" t="str">
        <f aca="false">IF(B1771="Pre-seeded","Pre-seeded",IF(B1771="Review 2026-09-16","Added from review",IF(C1771="","New",IF(C1771=D1771,"","Changed"))))</f>
        <v>Pre-seeded</v>
      </c>
      <c r="N1771" s="7" t="str">
        <f aca="false">TRIM(SUBSTITUTE(SUBSTITUTE(SUBSTITUTE(" "&amp;TRIM(SUBSTITUTE(SUBSTITUTE(SUBSTITUTE(SUBSTITUTE(SUBSTITUTE(SUBSTITUTE(SUBSTITUTE(SUBSTITUTE(SUBSTITUTE(SUBSTITUTE(SUBSTITUTE(SUBSTITUTE(SUBSTITUTE(SUBSTITUTE(SUBSTITUTE(UPPER(TRIM(A1771)),"[MEMBER]",""),"{MEMBER}",""),"[MEMBER}",""),"MEMBER]",""),"(A)",""),"""",""),"“",""),"”",""),".",""),":",""),",",""),"–"," "),"-"," "),"/"," "),"&amp;"," AND "))&amp;" "," THE "," ")," TOTAL "," ")," OPERATIONS "," "))</f>
        <v>TOKYO</v>
      </c>
      <c r="O1771" s="17" t="str">
        <f aca="false">IF(COUNTIFS($N$2:$N$2000,N1771,$D$2:$D$2000,"&lt;&gt;"&amp;D1771)&gt;0,"CONFLICT","")</f>
        <v/>
      </c>
      <c r="P1771" s="7"/>
    </row>
    <row r="1772" customFormat="false" ht="15" hidden="false" customHeight="false" outlineLevel="0" collapsed="false">
      <c r="A1772" s="7" t="s">
        <v>530</v>
      </c>
      <c r="B1772" s="7" t="s">
        <v>1879</v>
      </c>
      <c r="C1772" s="7"/>
      <c r="D1772" s="6" t="s">
        <v>530</v>
      </c>
      <c r="E1772" s="6" t="s">
        <v>1880</v>
      </c>
      <c r="F1772" s="7" t="str">
        <f aca="false">IF($D1772="","",IFERROR(IF(INDEX(Hierarchy!$B$2:$B$1295,MATCH($D1772,Hierarchy!$A$2:$A$1295,0))="","",INDEX(Hierarchy!$B$2:$B$1295,MATCH($D1772,Hierarchy!$A$2:$A$1295,0))),"NODE NOT FOUND"))</f>
        <v>State/Province</v>
      </c>
      <c r="G1772" s="7" t="str">
        <f aca="false">IF($D1772="","",IFERROR(IF(INDEX(Hierarchy!$D$2:$D$1295,MATCH($D1772,Hierarchy!$A$2:$A$1295,0))="","",INDEX(Hierarchy!$D$2:$D$1295,MATCH($D1772,Hierarchy!$A$2:$A$1295,0))),"NODE NOT FOUND"))</f>
        <v>AMER</v>
      </c>
      <c r="H1772" s="7" t="str">
        <f aca="false">IF($D1772="","",IFERROR(IF(INDEX(Hierarchy!$E$2:$E$1295,MATCH($D1772,Hierarchy!$A$2:$A$1295,0))="","",INDEX(Hierarchy!$E$2:$E$1295,MATCH($D1772,Hierarchy!$A$2:$A$1295,0))),"NODE NOT FOUND"))</f>
        <v>Latin America (LATAM)</v>
      </c>
      <c r="I1772" s="7" t="str">
        <f aca="false">IF($D1772="","",IFERROR(IF(INDEX(Hierarchy!$F$2:$F$1295,MATCH($D1772,Hierarchy!$A$2:$A$1295,0))="","",INDEX(Hierarchy!$F$2:$F$1295,MATCH($D1772,Hierarchy!$A$2:$A$1295,0))),"NODE NOT FOUND"))</f>
        <v>Colombia</v>
      </c>
      <c r="J1772" s="7" t="str">
        <f aca="false">IF($D1772="","",IFERROR(IF(INDEX(Hierarchy!$G$2:$G$1295,MATCH($D1772,Hierarchy!$A$2:$A$1295,0))="","",INDEX(Hierarchy!$G$2:$G$1295,MATCH($D1772,Hierarchy!$A$2:$A$1295,0))),"NODE NOT FOUND"))</f>
        <v>COL</v>
      </c>
      <c r="K1772" s="7" t="str">
        <f aca="false">IF($D1772="","",IFERROR(IF(INDEX(Hierarchy!$H$2:$H$1295,MATCH($D1772,Hierarchy!$A$2:$A$1295,0))="","",INDEX(Hierarchy!$H$2:$H$1295,MATCH($D1772,Hierarchy!$A$2:$A$1295,0))),"NODE NOT FOUND"))</f>
        <v>Tolima</v>
      </c>
      <c r="L1772" s="7" t="str">
        <f aca="false">IF($D1772="","",IFERROR(IF(INDEX(Hierarchy!$I$2:$I$1295,MATCH($D1772,Hierarchy!$A$2:$A$1295,0))="","",INDEX(Hierarchy!$I$2:$I$1295,MATCH($D1772,Hierarchy!$A$2:$A$1295,0))),"NODE NOT FOUND"))</f>
        <v/>
      </c>
      <c r="M1772" s="17" t="str">
        <f aca="false">IF(B1772="Pre-seeded","Pre-seeded",IF(B1772="Review 2026-09-16","Added from review",IF(C1772="","New",IF(C1772=D1772,"","Changed"))))</f>
        <v>Pre-seeded</v>
      </c>
      <c r="N1772" s="7" t="str">
        <f aca="false">TRIM(SUBSTITUTE(SUBSTITUTE(SUBSTITUTE(" "&amp;TRIM(SUBSTITUTE(SUBSTITUTE(SUBSTITUTE(SUBSTITUTE(SUBSTITUTE(SUBSTITUTE(SUBSTITUTE(SUBSTITUTE(SUBSTITUTE(SUBSTITUTE(SUBSTITUTE(SUBSTITUTE(SUBSTITUTE(SUBSTITUTE(SUBSTITUTE(UPPER(TRIM(A1772)),"[MEMBER]",""),"{MEMBER}",""),"[MEMBER}",""),"MEMBER]",""),"(A)",""),"""",""),"“",""),"”",""),".",""),":",""),",",""),"–"," "),"-"," "),"/"," "),"&amp;"," AND "))&amp;" "," THE "," ")," TOTAL "," ")," OPERATIONS "," "))</f>
        <v>TOLIMA</v>
      </c>
      <c r="O1772" s="17" t="str">
        <f aca="false">IF(COUNTIFS($N$2:$N$2000,N1772,$D$2:$D$2000,"&lt;&gt;"&amp;D1772)&gt;0,"CONFLICT","")</f>
        <v/>
      </c>
      <c r="P1772" s="7"/>
    </row>
    <row r="1773" customFormat="false" ht="15" hidden="false" customHeight="false" outlineLevel="0" collapsed="false">
      <c r="A1773" s="7" t="s">
        <v>1776</v>
      </c>
      <c r="B1773" s="7" t="s">
        <v>1879</v>
      </c>
      <c r="C1773" s="7"/>
      <c r="D1773" s="6" t="s">
        <v>1776</v>
      </c>
      <c r="E1773" s="6" t="s">
        <v>1880</v>
      </c>
      <c r="F1773" s="7" t="str">
        <f aca="false">IF($D1773="","",IFERROR(IF(INDEX(Hierarchy!$B$2:$B$1295,MATCH($D1773,Hierarchy!$A$2:$A$1295,0))="","",INDEX(Hierarchy!$B$2:$B$1295,MATCH($D1773,Hierarchy!$A$2:$A$1295,0))),"NODE NOT FOUND"))</f>
        <v>Country</v>
      </c>
      <c r="G1773" s="7" t="str">
        <f aca="false">IF($D1773="","",IFERROR(IF(INDEX(Hierarchy!$D$2:$D$1295,MATCH($D1773,Hierarchy!$A$2:$A$1295,0))="","",INDEX(Hierarchy!$D$2:$D$1295,MATCH($D1773,Hierarchy!$A$2:$A$1295,0))),"NODE NOT FOUND"))</f>
        <v>APAC</v>
      </c>
      <c r="H1773" s="7" t="str">
        <f aca="false">IF($D1773="","",IFERROR(IF(INDEX(Hierarchy!$E$2:$E$1295,MATCH($D1773,Hierarchy!$A$2:$A$1295,0))="","",INDEX(Hierarchy!$E$2:$E$1295,MATCH($D1773,Hierarchy!$A$2:$A$1295,0))),"NODE NOT FOUND"))</f>
        <v>Oceania (ANZ)</v>
      </c>
      <c r="I1773" s="7" t="str">
        <f aca="false">IF($D1773="","",IFERROR(IF(INDEX(Hierarchy!$F$2:$F$1295,MATCH($D1773,Hierarchy!$A$2:$A$1295,0))="","",INDEX(Hierarchy!$F$2:$F$1295,MATCH($D1773,Hierarchy!$A$2:$A$1295,0))),"NODE NOT FOUND"))</f>
        <v>Tonga</v>
      </c>
      <c r="J1773" s="7" t="str">
        <f aca="false">IF($D1773="","",IFERROR(IF(INDEX(Hierarchy!$G$2:$G$1295,MATCH($D1773,Hierarchy!$A$2:$A$1295,0))="","",INDEX(Hierarchy!$G$2:$G$1295,MATCH($D1773,Hierarchy!$A$2:$A$1295,0))),"NODE NOT FOUND"))</f>
        <v>TON</v>
      </c>
      <c r="K1773" s="7" t="str">
        <f aca="false">IF($D1773="","",IFERROR(IF(INDEX(Hierarchy!$H$2:$H$1295,MATCH($D1773,Hierarchy!$A$2:$A$1295,0))="","",INDEX(Hierarchy!$H$2:$H$1295,MATCH($D1773,Hierarchy!$A$2:$A$1295,0))),"NODE NOT FOUND"))</f>
        <v/>
      </c>
      <c r="L1773" s="7" t="str">
        <f aca="false">IF($D1773="","",IFERROR(IF(INDEX(Hierarchy!$I$2:$I$1295,MATCH($D1773,Hierarchy!$A$2:$A$1295,0))="","",INDEX(Hierarchy!$I$2:$I$1295,MATCH($D1773,Hierarchy!$A$2:$A$1295,0))),"NODE NOT FOUND"))</f>
        <v/>
      </c>
      <c r="M1773" s="17" t="str">
        <f aca="false">IF(B1773="Pre-seeded","Pre-seeded",IF(B1773="Review 2026-09-16","Added from review",IF(C1773="","New",IF(C1773=D1773,"","Changed"))))</f>
        <v>Pre-seeded</v>
      </c>
      <c r="N1773" s="7" t="str">
        <f aca="false">TRIM(SUBSTITUTE(SUBSTITUTE(SUBSTITUTE(" "&amp;TRIM(SUBSTITUTE(SUBSTITUTE(SUBSTITUTE(SUBSTITUTE(SUBSTITUTE(SUBSTITUTE(SUBSTITUTE(SUBSTITUTE(SUBSTITUTE(SUBSTITUTE(SUBSTITUTE(SUBSTITUTE(SUBSTITUTE(SUBSTITUTE(SUBSTITUTE(UPPER(TRIM(A1773)),"[MEMBER]",""),"{MEMBER}",""),"[MEMBER}",""),"MEMBER]",""),"(A)",""),"""",""),"“",""),"”",""),".",""),":",""),",",""),"–"," "),"-"," "),"/"," "),"&amp;"," AND "))&amp;" "," THE "," ")," TOTAL "," ")," OPERATIONS "," "))</f>
        <v>TONGA</v>
      </c>
      <c r="O1773" s="17" t="str">
        <f aca="false">IF(COUNTIFS($N$2:$N$2000,N1773,$D$2:$D$2000,"&lt;&gt;"&amp;D1773)&gt;0,"CONFLICT","")</f>
        <v/>
      </c>
      <c r="P1773" s="7"/>
    </row>
    <row r="1774" customFormat="false" ht="15" hidden="false" customHeight="false" outlineLevel="0" collapsed="false">
      <c r="A1774" s="7" t="s">
        <v>2765</v>
      </c>
      <c r="B1774" s="7" t="s">
        <v>1879</v>
      </c>
      <c r="C1774" s="7"/>
      <c r="D1774" s="6" t="s">
        <v>849</v>
      </c>
      <c r="E1774" s="6" t="s">
        <v>1880</v>
      </c>
      <c r="F1774" s="7" t="str">
        <f aca="false">IF($D1774="","",IFERROR(IF(INDEX(Hierarchy!$B$2:$B$1295,MATCH($D1774,Hierarchy!$A$2:$A$1295,0))="","",INDEX(Hierarchy!$B$2:$B$1295,MATCH($D1774,Hierarchy!$A$2:$A$1295,0))),"NODE NOT FOUND"))</f>
        <v>State/Province</v>
      </c>
      <c r="G1774" s="7" t="str">
        <f aca="false">IF($D1774="","",IFERROR(IF(INDEX(Hierarchy!$D$2:$D$1295,MATCH($D1774,Hierarchy!$A$2:$A$1295,0))="","",INDEX(Hierarchy!$D$2:$D$1295,MATCH($D1774,Hierarchy!$A$2:$A$1295,0))),"NODE NOT FOUND"))</f>
        <v>EMEA</v>
      </c>
      <c r="H1774" s="7" t="str">
        <f aca="false">IF($D1774="","",IFERROR(IF(INDEX(Hierarchy!$E$2:$E$1295,MATCH($D1774,Hierarchy!$A$2:$A$1295,0))="","",INDEX(Hierarchy!$E$2:$E$1295,MATCH($D1774,Hierarchy!$A$2:$A$1295,0))),"NODE NOT FOUND"))</f>
        <v>Europe</v>
      </c>
      <c r="I1774" s="7" t="str">
        <f aca="false">IF($D1774="","",IFERROR(IF(INDEX(Hierarchy!$F$2:$F$1295,MATCH($D1774,Hierarchy!$A$2:$A$1295,0))="","",INDEX(Hierarchy!$F$2:$F$1295,MATCH($D1774,Hierarchy!$A$2:$A$1295,0))),"NODE NOT FOUND"))</f>
        <v>Italy</v>
      </c>
      <c r="J1774" s="7" t="str">
        <f aca="false">IF($D1774="","",IFERROR(IF(INDEX(Hierarchy!$G$2:$G$1295,MATCH($D1774,Hierarchy!$A$2:$A$1295,0))="","",INDEX(Hierarchy!$G$2:$G$1295,MATCH($D1774,Hierarchy!$A$2:$A$1295,0))),"NODE NOT FOUND"))</f>
        <v>ITA</v>
      </c>
      <c r="K1774" s="7" t="str">
        <f aca="false">IF($D1774="","",IFERROR(IF(INDEX(Hierarchy!$H$2:$H$1295,MATCH($D1774,Hierarchy!$A$2:$A$1295,0))="","",INDEX(Hierarchy!$H$2:$H$1295,MATCH($D1774,Hierarchy!$A$2:$A$1295,0))),"NODE NOT FOUND"))</f>
        <v>Tuscany</v>
      </c>
      <c r="L1774" s="7" t="str">
        <f aca="false">IF($D1774="","",IFERROR(IF(INDEX(Hierarchy!$I$2:$I$1295,MATCH($D1774,Hierarchy!$A$2:$A$1295,0))="","",INDEX(Hierarchy!$I$2:$I$1295,MATCH($D1774,Hierarchy!$A$2:$A$1295,0))),"NODE NOT FOUND"))</f>
        <v/>
      </c>
      <c r="M1774" s="17" t="str">
        <f aca="false">IF(B1774="Pre-seeded","Pre-seeded",IF(B1774="Review 2026-09-16","Added from review",IF(C1774="","New",IF(C1774=D1774,"","Changed"))))</f>
        <v>Pre-seeded</v>
      </c>
      <c r="N1774" s="7" t="str">
        <f aca="false">TRIM(SUBSTITUTE(SUBSTITUTE(SUBSTITUTE(" "&amp;TRIM(SUBSTITUTE(SUBSTITUTE(SUBSTITUTE(SUBSTITUTE(SUBSTITUTE(SUBSTITUTE(SUBSTITUTE(SUBSTITUTE(SUBSTITUTE(SUBSTITUTE(SUBSTITUTE(SUBSTITUTE(SUBSTITUTE(SUBSTITUTE(SUBSTITUTE(UPPER(TRIM(A1774)),"[MEMBER]",""),"{MEMBER}",""),"[MEMBER}",""),"MEMBER]",""),"(A)",""),"""",""),"“",""),"”",""),".",""),":",""),",",""),"–"," "),"-"," "),"/"," "),"&amp;"," AND "))&amp;" "," THE "," ")," TOTAL "," ")," OPERATIONS "," "))</f>
        <v>TOSCANA</v>
      </c>
      <c r="O1774" s="17" t="str">
        <f aca="false">IF(COUNTIFS($N$2:$N$2000,N1774,$D$2:$D$2000,"&lt;&gt;"&amp;D1774)&gt;0,"CONFLICT","")</f>
        <v/>
      </c>
      <c r="P1774" s="7"/>
    </row>
    <row r="1775" customFormat="false" ht="15" hidden="false" customHeight="false" outlineLevel="0" collapsed="false">
      <c r="A1775" s="7" t="s">
        <v>2766</v>
      </c>
      <c r="B1775" s="7" t="s">
        <v>1882</v>
      </c>
      <c r="C1775" s="7" t="s">
        <v>84</v>
      </c>
      <c r="D1775" s="6" t="s">
        <v>74</v>
      </c>
      <c r="E1775" s="6" t="s">
        <v>1880</v>
      </c>
      <c r="F1775" s="7" t="str">
        <f aca="false">IF($D1775="","",IFERROR(IF(INDEX(Hierarchy!$B$2:$B$1295,MATCH($D1775,Hierarchy!$A$2:$A$1295,0))="","",INDEX(Hierarchy!$B$2:$B$1295,MATCH($D1775,Hierarchy!$A$2:$A$1295,0))),"NODE NOT FOUND"))</f>
        <v>Region</v>
      </c>
      <c r="G1775" s="7" t="str">
        <f aca="false">IF($D1775="","",IFERROR(IF(INDEX(Hierarchy!$D$2:$D$1295,MATCH($D1775,Hierarchy!$A$2:$A$1295,0))="","",INDEX(Hierarchy!$D$2:$D$1295,MATCH($D1775,Hierarchy!$A$2:$A$1295,0))),"NODE NOT FOUND"))</f>
        <v>AMER</v>
      </c>
      <c r="H1775" s="7" t="str">
        <f aca="false">IF($D1775="","",IFERROR(IF(INDEX(Hierarchy!$E$2:$E$1295,MATCH($D1775,Hierarchy!$A$2:$A$1295,0))="","",INDEX(Hierarchy!$E$2:$E$1295,MATCH($D1775,Hierarchy!$A$2:$A$1295,0))),"NODE NOT FOUND"))</f>
        <v/>
      </c>
      <c r="I1775" s="7" t="str">
        <f aca="false">IF($D1775="","",IFERROR(IF(INDEX(Hierarchy!$F$2:$F$1295,MATCH($D1775,Hierarchy!$A$2:$A$1295,0))="","",INDEX(Hierarchy!$F$2:$F$1295,MATCH($D1775,Hierarchy!$A$2:$A$1295,0))),"NODE NOT FOUND"))</f>
        <v/>
      </c>
      <c r="J1775" s="7" t="str">
        <f aca="false">IF($D1775="","",IFERROR(IF(INDEX(Hierarchy!$G$2:$G$1295,MATCH($D1775,Hierarchy!$A$2:$A$1295,0))="","",INDEX(Hierarchy!$G$2:$G$1295,MATCH($D1775,Hierarchy!$A$2:$A$1295,0))),"NODE NOT FOUND"))</f>
        <v/>
      </c>
      <c r="K1775" s="7" t="str">
        <f aca="false">IF($D1775="","",IFERROR(IF(INDEX(Hierarchy!$H$2:$H$1295,MATCH($D1775,Hierarchy!$A$2:$A$1295,0))="","",INDEX(Hierarchy!$H$2:$H$1295,MATCH($D1775,Hierarchy!$A$2:$A$1295,0))),"NODE NOT FOUND"))</f>
        <v/>
      </c>
      <c r="L1775" s="7" t="str">
        <f aca="false">IF($D1775="","",IFERROR(IF(INDEX(Hierarchy!$I$2:$I$1295,MATCH($D1775,Hierarchy!$A$2:$A$1295,0))="","",INDEX(Hierarchy!$I$2:$I$1295,MATCH($D1775,Hierarchy!$A$2:$A$1295,0))),"NODE NOT FOUND"))</f>
        <v/>
      </c>
      <c r="M1775" s="17" t="str">
        <f aca="false">IF(B1775="Pre-seeded","Pre-seeded",IF(B1775="Review 2026-09-16","Added from review",IF(C1775="","New",IF(C1775=D1775,"","Changed"))))</f>
        <v>Changed</v>
      </c>
      <c r="N1775" s="7" t="str">
        <f aca="false">TRIM(SUBSTITUTE(SUBSTITUTE(SUBSTITUTE(" "&amp;TRIM(SUBSTITUTE(SUBSTITUTE(SUBSTITUTE(SUBSTITUTE(SUBSTITUTE(SUBSTITUTE(SUBSTITUTE(SUBSTITUTE(SUBSTITUTE(SUBSTITUTE(SUBSTITUTE(SUBSTITUTE(SUBSTITUTE(SUBSTITUTE(SUBSTITUTE(UPPER(TRIM(A1775)),"[MEMBER]",""),"{MEMBER}",""),"[MEMBER}",""),"MEMBER]",""),"(A)",""),"""",""),"“",""),"”",""),".",""),":",""),",",""),"–"," "),"-"," "),"/"," "),"&amp;"," AND "))&amp;" "," THE "," ")," TOTAL "," ")," OPERATIONS "," "))</f>
        <v>AMERICAS</v>
      </c>
      <c r="O1775" s="17" t="str">
        <f aca="false">IF(COUNTIFS($N$2:$N$2000,N1775,$D$2:$D$2000,"&lt;&gt;"&amp;D1775)&gt;0,"CONFLICT","")</f>
        <v/>
      </c>
      <c r="P1775" s="7"/>
    </row>
    <row r="1776" customFormat="false" ht="15" hidden="false" customHeight="false" outlineLevel="0" collapsed="false">
      <c r="A1776" s="7" t="s">
        <v>2767</v>
      </c>
      <c r="B1776" s="7" t="s">
        <v>1882</v>
      </c>
      <c r="C1776" s="7" t="s">
        <v>1973</v>
      </c>
      <c r="D1776" s="6" t="s">
        <v>613</v>
      </c>
      <c r="E1776" s="6" t="s">
        <v>1880</v>
      </c>
      <c r="F1776" s="7" t="str">
        <f aca="false">IF($D1776="","",IFERROR(IF(INDEX(Hierarchy!$B$2:$B$1295,MATCH($D1776,Hierarchy!$A$2:$A$1295,0))="","",INDEX(Hierarchy!$B$2:$B$1295,MATCH($D1776,Hierarchy!$A$2:$A$1295,0))),"NODE NOT FOUND"))</f>
        <v>Region</v>
      </c>
      <c r="G1776" s="7" t="str">
        <f aca="false">IF($D1776="","",IFERROR(IF(INDEX(Hierarchy!$D$2:$D$1295,MATCH($D1776,Hierarchy!$A$2:$A$1295,0))="","",INDEX(Hierarchy!$D$2:$D$1295,MATCH($D1776,Hierarchy!$A$2:$A$1295,0))),"NODE NOT FOUND"))</f>
        <v>EMEA</v>
      </c>
      <c r="H1776" s="7" t="str">
        <f aca="false">IF($D1776="","",IFERROR(IF(INDEX(Hierarchy!$E$2:$E$1295,MATCH($D1776,Hierarchy!$A$2:$A$1295,0))="","",INDEX(Hierarchy!$E$2:$E$1295,MATCH($D1776,Hierarchy!$A$2:$A$1295,0))),"NODE NOT FOUND"))</f>
        <v/>
      </c>
      <c r="I1776" s="7" t="str">
        <f aca="false">IF($D1776="","",IFERROR(IF(INDEX(Hierarchy!$F$2:$F$1295,MATCH($D1776,Hierarchy!$A$2:$A$1295,0))="","",INDEX(Hierarchy!$F$2:$F$1295,MATCH($D1776,Hierarchy!$A$2:$A$1295,0))),"NODE NOT FOUND"))</f>
        <v/>
      </c>
      <c r="J1776" s="7" t="str">
        <f aca="false">IF($D1776="","",IFERROR(IF(INDEX(Hierarchy!$G$2:$G$1295,MATCH($D1776,Hierarchy!$A$2:$A$1295,0))="","",INDEX(Hierarchy!$G$2:$G$1295,MATCH($D1776,Hierarchy!$A$2:$A$1295,0))),"NODE NOT FOUND"))</f>
        <v/>
      </c>
      <c r="K1776" s="7" t="str">
        <f aca="false">IF($D1776="","",IFERROR(IF(INDEX(Hierarchy!$H$2:$H$1295,MATCH($D1776,Hierarchy!$A$2:$A$1295,0))="","",INDEX(Hierarchy!$H$2:$H$1295,MATCH($D1776,Hierarchy!$A$2:$A$1295,0))),"NODE NOT FOUND"))</f>
        <v/>
      </c>
      <c r="L1776" s="7" t="str">
        <f aca="false">IF($D1776="","",IFERROR(IF(INDEX(Hierarchy!$I$2:$I$1295,MATCH($D1776,Hierarchy!$A$2:$A$1295,0))="","",INDEX(Hierarchy!$I$2:$I$1295,MATCH($D1776,Hierarchy!$A$2:$A$1295,0))),"NODE NOT FOUND"))</f>
        <v/>
      </c>
      <c r="M1776" s="17" t="str">
        <f aca="false">IF(B1776="Pre-seeded","Pre-seeded",IF(B1776="Review 2026-09-16","Added from review",IF(C1776="","New",IF(C1776=D1776,"","Changed"))))</f>
        <v>Changed</v>
      </c>
      <c r="N1776" s="7" t="str">
        <f aca="false">TRIM(SUBSTITUTE(SUBSTITUTE(SUBSTITUTE(" "&amp;TRIM(SUBSTITUTE(SUBSTITUTE(SUBSTITUTE(SUBSTITUTE(SUBSTITUTE(SUBSTITUTE(SUBSTITUTE(SUBSTITUTE(SUBSTITUTE(SUBSTITUTE(SUBSTITUTE(SUBSTITUTE(SUBSTITUTE(SUBSTITUTE(SUBSTITUTE(UPPER(TRIM(A1776)),"[MEMBER]",""),"{MEMBER}",""),"[MEMBER}",""),"MEMBER]",""),"(A)",""),"""",""),"“",""),"”",""),".",""),":",""),",",""),"–"," "),"-"," "),"/"," "),"&amp;"," AND "))&amp;" "," THE "," ")," TOTAL "," ")," OPERATIONS "," "))</f>
        <v>EMEA</v>
      </c>
      <c r="O1776" s="17" t="str">
        <f aca="false">IF(COUNTIFS($N$2:$N$2000,N1776,$D$2:$D$2000,"&lt;&gt;"&amp;D1776)&gt;0,"CONFLICT","")</f>
        <v/>
      </c>
      <c r="P1776" s="7"/>
    </row>
    <row r="1777" customFormat="false" ht="15" hidden="false" customHeight="false" outlineLevel="0" collapsed="false">
      <c r="A1777" s="7" t="s">
        <v>2768</v>
      </c>
      <c r="B1777" s="7" t="s">
        <v>1882</v>
      </c>
      <c r="C1777" s="7" t="s">
        <v>622</v>
      </c>
      <c r="D1777" s="6" t="s">
        <v>622</v>
      </c>
      <c r="E1777" s="6" t="s">
        <v>1880</v>
      </c>
      <c r="F1777" s="7" t="str">
        <f aca="false">IF($D1777="","",IFERROR(IF(INDEX(Hierarchy!$B$2:$B$1295,MATCH($D1777,Hierarchy!$A$2:$A$1295,0))="","",INDEX(Hierarchy!$B$2:$B$1295,MATCH($D1777,Hierarchy!$A$2:$A$1295,0))),"NODE NOT FOUND"))</f>
        <v>Sub-region</v>
      </c>
      <c r="G1777" s="7" t="str">
        <f aca="false">IF($D1777="","",IFERROR(IF(INDEX(Hierarchy!$D$2:$D$1295,MATCH($D1777,Hierarchy!$A$2:$A$1295,0))="","",INDEX(Hierarchy!$D$2:$D$1295,MATCH($D1777,Hierarchy!$A$2:$A$1295,0))),"NODE NOT FOUND"))</f>
        <v>EMEA</v>
      </c>
      <c r="H1777" s="7" t="str">
        <f aca="false">IF($D1777="","",IFERROR(IF(INDEX(Hierarchy!$E$2:$E$1295,MATCH($D1777,Hierarchy!$A$2:$A$1295,0))="","",INDEX(Hierarchy!$E$2:$E$1295,MATCH($D1777,Hierarchy!$A$2:$A$1295,0))),"NODE NOT FOUND"))</f>
        <v>Europe</v>
      </c>
      <c r="I1777" s="7" t="str">
        <f aca="false">IF($D1777="","",IFERROR(IF(INDEX(Hierarchy!$F$2:$F$1295,MATCH($D1777,Hierarchy!$A$2:$A$1295,0))="","",INDEX(Hierarchy!$F$2:$F$1295,MATCH($D1777,Hierarchy!$A$2:$A$1295,0))),"NODE NOT FOUND"))</f>
        <v/>
      </c>
      <c r="J1777" s="7" t="str">
        <f aca="false">IF($D1777="","",IFERROR(IF(INDEX(Hierarchy!$G$2:$G$1295,MATCH($D1777,Hierarchy!$A$2:$A$1295,0))="","",INDEX(Hierarchy!$G$2:$G$1295,MATCH($D1777,Hierarchy!$A$2:$A$1295,0))),"NODE NOT FOUND"))</f>
        <v/>
      </c>
      <c r="K1777" s="7" t="str">
        <f aca="false">IF($D1777="","",IFERROR(IF(INDEX(Hierarchy!$H$2:$H$1295,MATCH($D1777,Hierarchy!$A$2:$A$1295,0))="","",INDEX(Hierarchy!$H$2:$H$1295,MATCH($D1777,Hierarchy!$A$2:$A$1295,0))),"NODE NOT FOUND"))</f>
        <v/>
      </c>
      <c r="L1777" s="7" t="str">
        <f aca="false">IF($D1777="","",IFERROR(IF(INDEX(Hierarchy!$I$2:$I$1295,MATCH($D1777,Hierarchy!$A$2:$A$1295,0))="","",INDEX(Hierarchy!$I$2:$I$1295,MATCH($D1777,Hierarchy!$A$2:$A$1295,0))),"NODE NOT FOUND"))</f>
        <v/>
      </c>
      <c r="M1777" s="17" t="str">
        <f aca="false">IF(B1777="Pre-seeded","Pre-seeded",IF(B1777="Review 2026-09-16","Added from review",IF(C1777="","New",IF(C1777=D1777,"","Changed"))))</f>
        <v/>
      </c>
      <c r="N1777" s="7" t="str">
        <f aca="false">TRIM(SUBSTITUTE(SUBSTITUTE(SUBSTITUTE(" "&amp;TRIM(SUBSTITUTE(SUBSTITUTE(SUBSTITUTE(SUBSTITUTE(SUBSTITUTE(SUBSTITUTE(SUBSTITUTE(SUBSTITUTE(SUBSTITUTE(SUBSTITUTE(SUBSTITUTE(SUBSTITUTE(SUBSTITUTE(SUBSTITUTE(SUBSTITUTE(UPPER(TRIM(A1777)),"[MEMBER]",""),"{MEMBER}",""),"[MEMBER}",""),"MEMBER]",""),"(A)",""),"""",""),"“",""),"”",""),".",""),":",""),",",""),"–"," "),"-"," "),"/"," "),"&amp;"," AND "))&amp;" "," THE "," ")," TOTAL "," ")," OPERATIONS "," "))</f>
        <v>EUROPE</v>
      </c>
      <c r="O1777" s="17" t="str">
        <f aca="false">IF(COUNTIFS($N$2:$N$2000,N1777,$D$2:$D$2000,"&lt;&gt;"&amp;D1777)&gt;0,"CONFLICT","")</f>
        <v/>
      </c>
      <c r="P1777" s="7"/>
    </row>
    <row r="1778" customFormat="false" ht="15" hidden="false" customHeight="false" outlineLevel="0" collapsed="false">
      <c r="A1778" s="7" t="s">
        <v>2769</v>
      </c>
      <c r="B1778" s="7" t="s">
        <v>1882</v>
      </c>
      <c r="C1778" s="7" t="s">
        <v>1894</v>
      </c>
      <c r="D1778" s="6" t="s">
        <v>1784</v>
      </c>
      <c r="E1778" s="6" t="s">
        <v>1880</v>
      </c>
      <c r="F1778" s="7" t="str">
        <f aca="false">IF($D1778="","",IFERROR(IF(INDEX(Hierarchy!$B$2:$B$1295,MATCH($D1778,Hierarchy!$A$2:$A$1295,0))="","",INDEX(Hierarchy!$B$2:$B$1295,MATCH($D1778,Hierarchy!$A$2:$A$1295,0))),"NODE NOT FOUND"))</f>
        <v>Bucket</v>
      </c>
      <c r="G1778" s="7" t="str">
        <f aca="false">IF($D1778="","",IFERROR(IF(INDEX(Hierarchy!$D$2:$D$1295,MATCH($D1778,Hierarchy!$A$2:$A$1295,0))="","",INDEX(Hierarchy!$D$2:$D$1295,MATCH($D1778,Hierarchy!$A$2:$A$1295,0))),"NODE NOT FOUND"))</f>
        <v>Non-regional</v>
      </c>
      <c r="H1778" s="7" t="str">
        <f aca="false">IF($D1778="","",IFERROR(IF(INDEX(Hierarchy!$E$2:$E$1295,MATCH($D1778,Hierarchy!$A$2:$A$1295,0))="","",INDEX(Hierarchy!$E$2:$E$1295,MATCH($D1778,Hierarchy!$A$2:$A$1295,0))),"NODE NOT FOUND"))</f>
        <v/>
      </c>
      <c r="I1778" s="7" t="str">
        <f aca="false">IF($D1778="","",IFERROR(IF(INDEX(Hierarchy!$F$2:$F$1295,MATCH($D1778,Hierarchy!$A$2:$A$1295,0))="","",INDEX(Hierarchy!$F$2:$F$1295,MATCH($D1778,Hierarchy!$A$2:$A$1295,0))),"NODE NOT FOUND"))</f>
        <v/>
      </c>
      <c r="J1778" s="7" t="str">
        <f aca="false">IF($D1778="","",IFERROR(IF(INDEX(Hierarchy!$G$2:$G$1295,MATCH($D1778,Hierarchy!$A$2:$A$1295,0))="","",INDEX(Hierarchy!$G$2:$G$1295,MATCH($D1778,Hierarchy!$A$2:$A$1295,0))),"NODE NOT FOUND"))</f>
        <v/>
      </c>
      <c r="K1778" s="7" t="str">
        <f aca="false">IF($D1778="","",IFERROR(IF(INDEX(Hierarchy!$H$2:$H$1295,MATCH($D1778,Hierarchy!$A$2:$A$1295,0))="","",INDEX(Hierarchy!$H$2:$H$1295,MATCH($D1778,Hierarchy!$A$2:$A$1295,0))),"NODE NOT FOUND"))</f>
        <v/>
      </c>
      <c r="L1778" s="7" t="str">
        <f aca="false">IF($D1778="","",IFERROR(IF(INDEX(Hierarchy!$I$2:$I$1295,MATCH($D1778,Hierarchy!$A$2:$A$1295,0))="","",INDEX(Hierarchy!$I$2:$I$1295,MATCH($D1778,Hierarchy!$A$2:$A$1295,0))),"NODE NOT FOUND"))</f>
        <v/>
      </c>
      <c r="M1778" s="17" t="str">
        <f aca="false">IF(B1778="Pre-seeded","Pre-seeded",IF(B1778="Review 2026-09-16","Added from review",IF(C1778="","New",IF(C1778=D1778,"","Changed"))))</f>
        <v>Changed</v>
      </c>
      <c r="N1778" s="7" t="str">
        <f aca="false">TRIM(SUBSTITUTE(SUBSTITUTE(SUBSTITUTE(" "&amp;TRIM(SUBSTITUTE(SUBSTITUTE(SUBSTITUTE(SUBSTITUTE(SUBSTITUTE(SUBSTITUTE(SUBSTITUTE(SUBSTITUTE(SUBSTITUTE(SUBSTITUTE(SUBSTITUTE(SUBSTITUTE(SUBSTITUTE(SUBSTITUTE(SUBSTITUTE(UPPER(TRIM(A1778)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1778" s="17" t="str">
        <f aca="false">IF(COUNTIFS($N$2:$N$2000,N1778,$D$2:$D$2000,"&lt;&gt;"&amp;D1778)&gt;0,"CONFLICT","")</f>
        <v/>
      </c>
      <c r="P1778" s="7" t="s">
        <v>2190</v>
      </c>
    </row>
    <row r="1779" customFormat="false" ht="15" hidden="false" customHeight="false" outlineLevel="0" collapsed="false">
      <c r="A1779" s="7" t="s">
        <v>2770</v>
      </c>
      <c r="B1779" s="7" t="s">
        <v>1882</v>
      </c>
      <c r="C1779" s="7" t="s">
        <v>1894</v>
      </c>
      <c r="D1779" s="6" t="s">
        <v>1784</v>
      </c>
      <c r="E1779" s="6" t="s">
        <v>1880</v>
      </c>
      <c r="F1779" s="7" t="str">
        <f aca="false">IF($D1779="","",IFERROR(IF(INDEX(Hierarchy!$B$2:$B$1295,MATCH($D1779,Hierarchy!$A$2:$A$1295,0))="","",INDEX(Hierarchy!$B$2:$B$1295,MATCH($D1779,Hierarchy!$A$2:$A$1295,0))),"NODE NOT FOUND"))</f>
        <v>Bucket</v>
      </c>
      <c r="G1779" s="7" t="str">
        <f aca="false">IF($D1779="","",IFERROR(IF(INDEX(Hierarchy!$D$2:$D$1295,MATCH($D1779,Hierarchy!$A$2:$A$1295,0))="","",INDEX(Hierarchy!$D$2:$D$1295,MATCH($D1779,Hierarchy!$A$2:$A$1295,0))),"NODE NOT FOUND"))</f>
        <v>Non-regional</v>
      </c>
      <c r="H1779" s="7" t="str">
        <f aca="false">IF($D1779="","",IFERROR(IF(INDEX(Hierarchy!$E$2:$E$1295,MATCH($D1779,Hierarchy!$A$2:$A$1295,0))="","",INDEX(Hierarchy!$E$2:$E$1295,MATCH($D1779,Hierarchy!$A$2:$A$1295,0))),"NODE NOT FOUND"))</f>
        <v/>
      </c>
      <c r="I1779" s="7" t="str">
        <f aca="false">IF($D1779="","",IFERROR(IF(INDEX(Hierarchy!$F$2:$F$1295,MATCH($D1779,Hierarchy!$A$2:$A$1295,0))="","",INDEX(Hierarchy!$F$2:$F$1295,MATCH($D1779,Hierarchy!$A$2:$A$1295,0))),"NODE NOT FOUND"))</f>
        <v/>
      </c>
      <c r="J1779" s="7" t="str">
        <f aca="false">IF($D1779="","",IFERROR(IF(INDEX(Hierarchy!$G$2:$G$1295,MATCH($D1779,Hierarchy!$A$2:$A$1295,0))="","",INDEX(Hierarchy!$G$2:$G$1295,MATCH($D1779,Hierarchy!$A$2:$A$1295,0))),"NODE NOT FOUND"))</f>
        <v/>
      </c>
      <c r="K1779" s="7" t="str">
        <f aca="false">IF($D1779="","",IFERROR(IF(INDEX(Hierarchy!$H$2:$H$1295,MATCH($D1779,Hierarchy!$A$2:$A$1295,0))="","",INDEX(Hierarchy!$H$2:$H$1295,MATCH($D1779,Hierarchy!$A$2:$A$1295,0))),"NODE NOT FOUND"))</f>
        <v/>
      </c>
      <c r="L1779" s="7" t="str">
        <f aca="false">IF($D1779="","",IFERROR(IF(INDEX(Hierarchy!$I$2:$I$1295,MATCH($D1779,Hierarchy!$A$2:$A$1295,0))="","",INDEX(Hierarchy!$I$2:$I$1295,MATCH($D1779,Hierarchy!$A$2:$A$1295,0))),"NODE NOT FOUND"))</f>
        <v/>
      </c>
      <c r="M1779" s="17" t="str">
        <f aca="false">IF(B1779="Pre-seeded","Pre-seeded",IF(B1779="Review 2026-09-16","Added from review",IF(C1779="","New",IF(C1779=D1779,"","Changed"))))</f>
        <v>Changed</v>
      </c>
      <c r="N1779" s="7" t="str">
        <f aca="false">TRIM(SUBSTITUTE(SUBSTITUTE(SUBSTITUTE(" "&amp;TRIM(SUBSTITUTE(SUBSTITUTE(SUBSTITUTE(SUBSTITUTE(SUBSTITUTE(SUBSTITUTE(SUBSTITUTE(SUBSTITUTE(SUBSTITUTE(SUBSTITUTE(SUBSTITUTE(SUBSTITUTE(SUBSTITUTE(SUBSTITUTE(SUBSTITUTE(UPPER(TRIM(A1779)),"[MEMBER]",""),"{MEMBER}",""),"[MEMBER}",""),"MEMBER]",""),"(A)",""),"""",""),"“",""),"”",""),".",""),":",""),",",""),"–"," "),"-"," "),"/"," "),"&amp;"," AND "))&amp;" "," THE "," ")," TOTAL "," ")," OPERATIONS "," "))</f>
        <v>FOREIGN</v>
      </c>
      <c r="O1779" s="17" t="str">
        <f aca="false">IF(COUNTIFS($N$2:$N$2000,N1779,$D$2:$D$2000,"&lt;&gt;"&amp;D1779)&gt;0,"CONFLICT","")</f>
        <v/>
      </c>
      <c r="P1779" s="7" t="s">
        <v>2190</v>
      </c>
    </row>
    <row r="1780" customFormat="false" ht="15" hidden="false" customHeight="false" outlineLevel="0" collapsed="false">
      <c r="A1780" s="7" t="s">
        <v>2771</v>
      </c>
      <c r="B1780" s="7" t="s">
        <v>1882</v>
      </c>
      <c r="C1780" s="7" t="s">
        <v>1784</v>
      </c>
      <c r="D1780" s="6" t="s">
        <v>1784</v>
      </c>
      <c r="E1780" s="6" t="s">
        <v>1880</v>
      </c>
      <c r="F1780" s="7" t="str">
        <f aca="false">IF($D1780="","",IFERROR(IF(INDEX(Hierarchy!$B$2:$B$1295,MATCH($D1780,Hierarchy!$A$2:$A$1295,0))="","",INDEX(Hierarchy!$B$2:$B$1295,MATCH($D1780,Hierarchy!$A$2:$A$1295,0))),"NODE NOT FOUND"))</f>
        <v>Bucket</v>
      </c>
      <c r="G1780" s="7" t="str">
        <f aca="false">IF($D1780="","",IFERROR(IF(INDEX(Hierarchy!$D$2:$D$1295,MATCH($D1780,Hierarchy!$A$2:$A$1295,0))="","",INDEX(Hierarchy!$D$2:$D$1295,MATCH($D1780,Hierarchy!$A$2:$A$1295,0))),"NODE NOT FOUND"))</f>
        <v>Non-regional</v>
      </c>
      <c r="H1780" s="7" t="str">
        <f aca="false">IF($D1780="","",IFERROR(IF(INDEX(Hierarchy!$E$2:$E$1295,MATCH($D1780,Hierarchy!$A$2:$A$1295,0))="","",INDEX(Hierarchy!$E$2:$E$1295,MATCH($D1780,Hierarchy!$A$2:$A$1295,0))),"NODE NOT FOUND"))</f>
        <v/>
      </c>
      <c r="I1780" s="7" t="str">
        <f aca="false">IF($D1780="","",IFERROR(IF(INDEX(Hierarchy!$F$2:$F$1295,MATCH($D1780,Hierarchy!$A$2:$A$1295,0))="","",INDEX(Hierarchy!$F$2:$F$1295,MATCH($D1780,Hierarchy!$A$2:$A$1295,0))),"NODE NOT FOUND"))</f>
        <v/>
      </c>
      <c r="J1780" s="7" t="str">
        <f aca="false">IF($D1780="","",IFERROR(IF(INDEX(Hierarchy!$G$2:$G$1295,MATCH($D1780,Hierarchy!$A$2:$A$1295,0))="","",INDEX(Hierarchy!$G$2:$G$1295,MATCH($D1780,Hierarchy!$A$2:$A$1295,0))),"NODE NOT FOUND"))</f>
        <v/>
      </c>
      <c r="K1780" s="7" t="str">
        <f aca="false">IF($D1780="","",IFERROR(IF(INDEX(Hierarchy!$H$2:$H$1295,MATCH($D1780,Hierarchy!$A$2:$A$1295,0))="","",INDEX(Hierarchy!$H$2:$H$1295,MATCH($D1780,Hierarchy!$A$2:$A$1295,0))),"NODE NOT FOUND"))</f>
        <v/>
      </c>
      <c r="L1780" s="7" t="str">
        <f aca="false">IF($D1780="","",IFERROR(IF(INDEX(Hierarchy!$I$2:$I$1295,MATCH($D1780,Hierarchy!$A$2:$A$1295,0))="","",INDEX(Hierarchy!$I$2:$I$1295,MATCH($D1780,Hierarchy!$A$2:$A$1295,0))),"NODE NOT FOUND"))</f>
        <v/>
      </c>
      <c r="M1780" s="17" t="str">
        <f aca="false">IF(B1780="Pre-seeded","Pre-seeded",IF(B1780="Review 2026-09-16","Added from review",IF(C1780="","New",IF(C1780=D1780,"","Changed"))))</f>
        <v/>
      </c>
      <c r="N1780" s="7" t="str">
        <f aca="false">TRIM(SUBSTITUTE(SUBSTITUTE(SUBSTITUTE(" "&amp;TRIM(SUBSTITUTE(SUBSTITUTE(SUBSTITUTE(SUBSTITUTE(SUBSTITUTE(SUBSTITUTE(SUBSTITUTE(SUBSTITUTE(SUBSTITUTE(SUBSTITUTE(SUBSTITUTE(SUBSTITUTE(SUBSTITUTE(SUBSTITUTE(SUBSTITUTE(UPPER(TRIM(A1780)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1780" s="17" t="str">
        <f aca="false">IF(COUNTIFS($N$2:$N$2000,N1780,$D$2:$D$2000,"&lt;&gt;"&amp;D1780)&gt;0,"CONFLICT","")</f>
        <v/>
      </c>
      <c r="P1780" s="7"/>
    </row>
    <row r="1781" customFormat="false" ht="15" hidden="false" customHeight="false" outlineLevel="0" collapsed="false">
      <c r="A1781" s="7" t="s">
        <v>2772</v>
      </c>
      <c r="B1781" s="7" t="s">
        <v>1882</v>
      </c>
      <c r="C1781" s="7" t="s">
        <v>1784</v>
      </c>
      <c r="D1781" s="6" t="s">
        <v>1784</v>
      </c>
      <c r="E1781" s="6" t="s">
        <v>1880</v>
      </c>
      <c r="F1781" s="7" t="str">
        <f aca="false">IF($D1781="","",IFERROR(IF(INDEX(Hierarchy!$B$2:$B$1295,MATCH($D1781,Hierarchy!$A$2:$A$1295,0))="","",INDEX(Hierarchy!$B$2:$B$1295,MATCH($D1781,Hierarchy!$A$2:$A$1295,0))),"NODE NOT FOUND"))</f>
        <v>Bucket</v>
      </c>
      <c r="G1781" s="7" t="str">
        <f aca="false">IF($D1781="","",IFERROR(IF(INDEX(Hierarchy!$D$2:$D$1295,MATCH($D1781,Hierarchy!$A$2:$A$1295,0))="","",INDEX(Hierarchy!$D$2:$D$1295,MATCH($D1781,Hierarchy!$A$2:$A$1295,0))),"NODE NOT FOUND"))</f>
        <v>Non-regional</v>
      </c>
      <c r="H1781" s="7" t="str">
        <f aca="false">IF($D1781="","",IFERROR(IF(INDEX(Hierarchy!$E$2:$E$1295,MATCH($D1781,Hierarchy!$A$2:$A$1295,0))="","",INDEX(Hierarchy!$E$2:$E$1295,MATCH($D1781,Hierarchy!$A$2:$A$1295,0))),"NODE NOT FOUND"))</f>
        <v/>
      </c>
      <c r="I1781" s="7" t="str">
        <f aca="false">IF($D1781="","",IFERROR(IF(INDEX(Hierarchy!$F$2:$F$1295,MATCH($D1781,Hierarchy!$A$2:$A$1295,0))="","",INDEX(Hierarchy!$F$2:$F$1295,MATCH($D1781,Hierarchy!$A$2:$A$1295,0))),"NODE NOT FOUND"))</f>
        <v/>
      </c>
      <c r="J1781" s="7" t="str">
        <f aca="false">IF($D1781="","",IFERROR(IF(INDEX(Hierarchy!$G$2:$G$1295,MATCH($D1781,Hierarchy!$A$2:$A$1295,0))="","",INDEX(Hierarchy!$G$2:$G$1295,MATCH($D1781,Hierarchy!$A$2:$A$1295,0))),"NODE NOT FOUND"))</f>
        <v/>
      </c>
      <c r="K1781" s="7" t="str">
        <f aca="false">IF($D1781="","",IFERROR(IF(INDEX(Hierarchy!$H$2:$H$1295,MATCH($D1781,Hierarchy!$A$2:$A$1295,0))="","",INDEX(Hierarchy!$H$2:$H$1295,MATCH($D1781,Hierarchy!$A$2:$A$1295,0))),"NODE NOT FOUND"))</f>
        <v/>
      </c>
      <c r="L1781" s="7" t="str">
        <f aca="false">IF($D1781="","",IFERROR(IF(INDEX(Hierarchy!$I$2:$I$1295,MATCH($D1781,Hierarchy!$A$2:$A$1295,0))="","",INDEX(Hierarchy!$I$2:$I$1295,MATCH($D1781,Hierarchy!$A$2:$A$1295,0))),"NODE NOT FOUND"))</f>
        <v/>
      </c>
      <c r="M1781" s="17" t="str">
        <f aca="false">IF(B1781="Pre-seeded","Pre-seeded",IF(B1781="Review 2026-09-16","Added from review",IF(C1781="","New",IF(C1781=D1781,"","Changed"))))</f>
        <v/>
      </c>
      <c r="N1781" s="7" t="str">
        <f aca="false">TRIM(SUBSTITUTE(SUBSTITUTE(SUBSTITUTE(" "&amp;TRIM(SUBSTITUTE(SUBSTITUTE(SUBSTITUTE(SUBSTITUTE(SUBSTITUTE(SUBSTITUTE(SUBSTITUTE(SUBSTITUTE(SUBSTITUTE(SUBSTITUTE(SUBSTITUTE(SUBSTITUTE(SUBSTITUTE(SUBSTITUTE(SUBSTITUTE(UPPER(TRIM(A1781)),"[MEMBER]",""),"{MEMBER}",""),"[MEMBER}",""),"MEMBER]",""),"(A)",""),"""",""),"“",""),"”",""),".",""),":",""),",",""),"–"," "),"-"," "),"/"," "),"&amp;"," AND "))&amp;" "," THE "," ")," TOTAL "," ")," OPERATIONS "," "))</f>
        <v>INTERNATIONAL</v>
      </c>
      <c r="O1781" s="17" t="str">
        <f aca="false">IF(COUNTIFS($N$2:$N$2000,N1781,$D$2:$D$2000,"&lt;&gt;"&amp;D1781)&gt;0,"CONFLICT","")</f>
        <v/>
      </c>
      <c r="P1781" s="7"/>
    </row>
    <row r="1782" customFormat="false" ht="15" hidden="false" customHeight="false" outlineLevel="0" collapsed="false">
      <c r="A1782" s="7" t="s">
        <v>2773</v>
      </c>
      <c r="B1782" s="7" t="s">
        <v>1882</v>
      </c>
      <c r="C1782" s="7" t="s">
        <v>2207</v>
      </c>
      <c r="D1782" s="6" t="s">
        <v>1784</v>
      </c>
      <c r="E1782" s="6" t="s">
        <v>1880</v>
      </c>
      <c r="F1782" s="7" t="str">
        <f aca="false">IF($D1782="","",IFERROR(IF(INDEX(Hierarchy!$B$2:$B$1295,MATCH($D1782,Hierarchy!$A$2:$A$1295,0))="","",INDEX(Hierarchy!$B$2:$B$1295,MATCH($D1782,Hierarchy!$A$2:$A$1295,0))),"NODE NOT FOUND"))</f>
        <v>Bucket</v>
      </c>
      <c r="G1782" s="7" t="str">
        <f aca="false">IF($D1782="","",IFERROR(IF(INDEX(Hierarchy!$D$2:$D$1295,MATCH($D1782,Hierarchy!$A$2:$A$1295,0))="","",INDEX(Hierarchy!$D$2:$D$1295,MATCH($D1782,Hierarchy!$A$2:$A$1295,0))),"NODE NOT FOUND"))</f>
        <v>Non-regional</v>
      </c>
      <c r="H1782" s="7" t="str">
        <f aca="false">IF($D1782="","",IFERROR(IF(INDEX(Hierarchy!$E$2:$E$1295,MATCH($D1782,Hierarchy!$A$2:$A$1295,0))="","",INDEX(Hierarchy!$E$2:$E$1295,MATCH($D1782,Hierarchy!$A$2:$A$1295,0))),"NODE NOT FOUND"))</f>
        <v/>
      </c>
      <c r="I1782" s="7" t="str">
        <f aca="false">IF($D1782="","",IFERROR(IF(INDEX(Hierarchy!$F$2:$F$1295,MATCH($D1782,Hierarchy!$A$2:$A$1295,0))="","",INDEX(Hierarchy!$F$2:$F$1295,MATCH($D1782,Hierarchy!$A$2:$A$1295,0))),"NODE NOT FOUND"))</f>
        <v/>
      </c>
      <c r="J1782" s="7" t="str">
        <f aca="false">IF($D1782="","",IFERROR(IF(INDEX(Hierarchy!$G$2:$G$1295,MATCH($D1782,Hierarchy!$A$2:$A$1295,0))="","",INDEX(Hierarchy!$G$2:$G$1295,MATCH($D1782,Hierarchy!$A$2:$A$1295,0))),"NODE NOT FOUND"))</f>
        <v/>
      </c>
      <c r="K1782" s="7" t="str">
        <f aca="false">IF($D1782="","",IFERROR(IF(INDEX(Hierarchy!$H$2:$H$1295,MATCH($D1782,Hierarchy!$A$2:$A$1295,0))="","",INDEX(Hierarchy!$H$2:$H$1295,MATCH($D1782,Hierarchy!$A$2:$A$1295,0))),"NODE NOT FOUND"))</f>
        <v/>
      </c>
      <c r="L1782" s="7" t="str">
        <f aca="false">IF($D1782="","",IFERROR(IF(INDEX(Hierarchy!$I$2:$I$1295,MATCH($D1782,Hierarchy!$A$2:$A$1295,0))="","",INDEX(Hierarchy!$I$2:$I$1295,MATCH($D1782,Hierarchy!$A$2:$A$1295,0))),"NODE NOT FOUND"))</f>
        <v/>
      </c>
      <c r="M1782" s="17" t="str">
        <f aca="false">IF(B1782="Pre-seeded","Pre-seeded",IF(B1782="Review 2026-09-16","Added from review",IF(C1782="","New",IF(C1782=D1782,"","Changed"))))</f>
        <v>Changed</v>
      </c>
      <c r="N1782" s="7" t="str">
        <f aca="false">TRIM(SUBSTITUTE(SUBSTITUTE(SUBSTITUTE(" "&amp;TRIM(SUBSTITUTE(SUBSTITUTE(SUBSTITUTE(SUBSTITUTE(SUBSTITUTE(SUBSTITUTE(SUBSTITUTE(SUBSTITUTE(SUBSTITUTE(SUBSTITUTE(SUBSTITUTE(SUBSTITUTE(SUBSTITUTE(SUBSTITUTE(SUBSTITUTE(UPPER(TRIM(A1782)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782" s="17" t="str">
        <f aca="false">IF(COUNTIFS($N$2:$N$2000,N1782,$D$2:$D$2000,"&lt;&gt;"&amp;D1782)&gt;0,"CONFLICT","")</f>
        <v/>
      </c>
      <c r="P1782" s="7" t="s">
        <v>2208</v>
      </c>
    </row>
    <row r="1783" customFormat="false" ht="15" hidden="false" customHeight="false" outlineLevel="0" collapsed="false">
      <c r="A1783" s="7" t="s">
        <v>2774</v>
      </c>
      <c r="B1783" s="7" t="s">
        <v>1882</v>
      </c>
      <c r="C1783" s="7" t="s">
        <v>2207</v>
      </c>
      <c r="D1783" s="6" t="s">
        <v>1784</v>
      </c>
      <c r="E1783" s="6" t="s">
        <v>1880</v>
      </c>
      <c r="F1783" s="7" t="str">
        <f aca="false">IF($D1783="","",IFERROR(IF(INDEX(Hierarchy!$B$2:$B$1295,MATCH($D1783,Hierarchy!$A$2:$A$1295,0))="","",INDEX(Hierarchy!$B$2:$B$1295,MATCH($D1783,Hierarchy!$A$2:$A$1295,0))),"NODE NOT FOUND"))</f>
        <v>Bucket</v>
      </c>
      <c r="G1783" s="7" t="str">
        <f aca="false">IF($D1783="","",IFERROR(IF(INDEX(Hierarchy!$D$2:$D$1295,MATCH($D1783,Hierarchy!$A$2:$A$1295,0))="","",INDEX(Hierarchy!$D$2:$D$1295,MATCH($D1783,Hierarchy!$A$2:$A$1295,0))),"NODE NOT FOUND"))</f>
        <v>Non-regional</v>
      </c>
      <c r="H1783" s="7" t="str">
        <f aca="false">IF($D1783="","",IFERROR(IF(INDEX(Hierarchy!$E$2:$E$1295,MATCH($D1783,Hierarchy!$A$2:$A$1295,0))="","",INDEX(Hierarchy!$E$2:$E$1295,MATCH($D1783,Hierarchy!$A$2:$A$1295,0))),"NODE NOT FOUND"))</f>
        <v/>
      </c>
      <c r="I1783" s="7" t="str">
        <f aca="false">IF($D1783="","",IFERROR(IF(INDEX(Hierarchy!$F$2:$F$1295,MATCH($D1783,Hierarchy!$A$2:$A$1295,0))="","",INDEX(Hierarchy!$F$2:$F$1295,MATCH($D1783,Hierarchy!$A$2:$A$1295,0))),"NODE NOT FOUND"))</f>
        <v/>
      </c>
      <c r="J1783" s="7" t="str">
        <f aca="false">IF($D1783="","",IFERROR(IF(INDEX(Hierarchy!$G$2:$G$1295,MATCH($D1783,Hierarchy!$A$2:$A$1295,0))="","",INDEX(Hierarchy!$G$2:$G$1295,MATCH($D1783,Hierarchy!$A$2:$A$1295,0))),"NODE NOT FOUND"))</f>
        <v/>
      </c>
      <c r="K1783" s="7" t="str">
        <f aca="false">IF($D1783="","",IFERROR(IF(INDEX(Hierarchy!$H$2:$H$1295,MATCH($D1783,Hierarchy!$A$2:$A$1295,0))="","",INDEX(Hierarchy!$H$2:$H$1295,MATCH($D1783,Hierarchy!$A$2:$A$1295,0))),"NODE NOT FOUND"))</f>
        <v/>
      </c>
      <c r="L1783" s="7" t="str">
        <f aca="false">IF($D1783="","",IFERROR(IF(INDEX(Hierarchy!$I$2:$I$1295,MATCH($D1783,Hierarchy!$A$2:$A$1295,0))="","",INDEX(Hierarchy!$I$2:$I$1295,MATCH($D1783,Hierarchy!$A$2:$A$1295,0))),"NODE NOT FOUND"))</f>
        <v/>
      </c>
      <c r="M1783" s="17" t="str">
        <f aca="false">IF(B1783="Pre-seeded","Pre-seeded",IF(B1783="Review 2026-09-16","Added from review",IF(C1783="","New",IF(C1783=D1783,"","Changed"))))</f>
        <v>Changed</v>
      </c>
      <c r="N1783" s="7" t="str">
        <f aca="false">TRIM(SUBSTITUTE(SUBSTITUTE(SUBSTITUTE(" "&amp;TRIM(SUBSTITUTE(SUBSTITUTE(SUBSTITUTE(SUBSTITUTE(SUBSTITUTE(SUBSTITUTE(SUBSTITUTE(SUBSTITUTE(SUBSTITUTE(SUBSTITUTE(SUBSTITUTE(SUBSTITUTE(SUBSTITUTE(SUBSTITUTE(SUBSTITUTE(UPPER(TRIM(A1783)),"[MEMBER]",""),"{MEMBER}",""),"[MEMBER}",""),"MEMBER]",""),"(A)",""),"""",""),"“",""),"”",""),".",""),":",""),",",""),"–"," "),"-"," "),"/"," "),"&amp;"," AND "))&amp;" "," THE "," ")," TOTAL "," ")," OPERATIONS "," "))</f>
        <v>NON US</v>
      </c>
      <c r="O1783" s="17" t="str">
        <f aca="false">IF(COUNTIFS($N$2:$N$2000,N1783,$D$2:$D$2000,"&lt;&gt;"&amp;D1783)&gt;0,"CONFLICT","")</f>
        <v/>
      </c>
      <c r="P1783" s="7" t="s">
        <v>2208</v>
      </c>
    </row>
    <row r="1784" customFormat="false" ht="15" hidden="false" customHeight="false" outlineLevel="0" collapsed="false">
      <c r="A1784" s="7" t="s">
        <v>2775</v>
      </c>
      <c r="B1784" s="7" t="s">
        <v>1882</v>
      </c>
      <c r="C1784" s="7" t="s">
        <v>2207</v>
      </c>
      <c r="D1784" s="6" t="s">
        <v>1784</v>
      </c>
      <c r="E1784" s="6" t="s">
        <v>1880</v>
      </c>
      <c r="F1784" s="7" t="str">
        <f aca="false">IF($D1784="","",IFERROR(IF(INDEX(Hierarchy!$B$2:$B$1295,MATCH($D1784,Hierarchy!$A$2:$A$1295,0))="","",INDEX(Hierarchy!$B$2:$B$1295,MATCH($D1784,Hierarchy!$A$2:$A$1295,0))),"NODE NOT FOUND"))</f>
        <v>Bucket</v>
      </c>
      <c r="G1784" s="7" t="str">
        <f aca="false">IF($D1784="","",IFERROR(IF(INDEX(Hierarchy!$D$2:$D$1295,MATCH($D1784,Hierarchy!$A$2:$A$1295,0))="","",INDEX(Hierarchy!$D$2:$D$1295,MATCH($D1784,Hierarchy!$A$2:$A$1295,0))),"NODE NOT FOUND"))</f>
        <v>Non-regional</v>
      </c>
      <c r="H1784" s="7" t="str">
        <f aca="false">IF($D1784="","",IFERROR(IF(INDEX(Hierarchy!$E$2:$E$1295,MATCH($D1784,Hierarchy!$A$2:$A$1295,0))="","",INDEX(Hierarchy!$E$2:$E$1295,MATCH($D1784,Hierarchy!$A$2:$A$1295,0))),"NODE NOT FOUND"))</f>
        <v/>
      </c>
      <c r="I1784" s="7" t="str">
        <f aca="false">IF($D1784="","",IFERROR(IF(INDEX(Hierarchy!$F$2:$F$1295,MATCH($D1784,Hierarchy!$A$2:$A$1295,0))="","",INDEX(Hierarchy!$F$2:$F$1295,MATCH($D1784,Hierarchy!$A$2:$A$1295,0))),"NODE NOT FOUND"))</f>
        <v/>
      </c>
      <c r="J1784" s="7" t="str">
        <f aca="false">IF($D1784="","",IFERROR(IF(INDEX(Hierarchy!$G$2:$G$1295,MATCH($D1784,Hierarchy!$A$2:$A$1295,0))="","",INDEX(Hierarchy!$G$2:$G$1295,MATCH($D1784,Hierarchy!$A$2:$A$1295,0))),"NODE NOT FOUND"))</f>
        <v/>
      </c>
      <c r="K1784" s="7" t="str">
        <f aca="false">IF($D1784="","",IFERROR(IF(INDEX(Hierarchy!$H$2:$H$1295,MATCH($D1784,Hierarchy!$A$2:$A$1295,0))="","",INDEX(Hierarchy!$H$2:$H$1295,MATCH($D1784,Hierarchy!$A$2:$A$1295,0))),"NODE NOT FOUND"))</f>
        <v/>
      </c>
      <c r="L1784" s="7" t="str">
        <f aca="false">IF($D1784="","",IFERROR(IF(INDEX(Hierarchy!$I$2:$I$1295,MATCH($D1784,Hierarchy!$A$2:$A$1295,0))="","",INDEX(Hierarchy!$I$2:$I$1295,MATCH($D1784,Hierarchy!$A$2:$A$1295,0))),"NODE NOT FOUND"))</f>
        <v/>
      </c>
      <c r="M1784" s="17" t="str">
        <f aca="false">IF(B1784="Pre-seeded","Pre-seeded",IF(B1784="Review 2026-09-16","Added from review",IF(C1784="","New",IF(C1784=D1784,"","Changed"))))</f>
        <v>Changed</v>
      </c>
      <c r="N1784" s="7" t="str">
        <f aca="false">TRIM(SUBSTITUTE(SUBSTITUTE(SUBSTITUTE(" "&amp;TRIM(SUBSTITUTE(SUBSTITUTE(SUBSTITUTE(SUBSTITUTE(SUBSTITUTE(SUBSTITUTE(SUBSTITUTE(SUBSTITUTE(SUBSTITUTE(SUBSTITUTE(SUBSTITUTE(SUBSTITUTE(SUBSTITUTE(SUBSTITUTE(SUBSTITUTE(UPPER(TRIM(A1784)),"[MEMBER]",""),"{MEMBER}",""),"[MEMBER}",""),"MEMBER]",""),"(A)",""),"""",""),"“",""),"”",""),".",""),":",""),",",""),"–"," "),"-"," "),"/"," "),"&amp;"," AND "))&amp;" "," THE "," ")," TOTAL "," ")," OPERATIONS "," "))</f>
        <v>NON UNITED STATES</v>
      </c>
      <c r="O1784" s="17" t="str">
        <f aca="false">IF(COUNTIFS($N$2:$N$2000,N1784,$D$2:$D$2000,"&lt;&gt;"&amp;D1784)&gt;0,"CONFLICT","")</f>
        <v/>
      </c>
      <c r="P1784" s="7" t="s">
        <v>2208</v>
      </c>
    </row>
    <row r="1785" customFormat="false" ht="15" hidden="false" customHeight="false" outlineLevel="0" collapsed="false">
      <c r="A1785" s="7" t="s">
        <v>2776</v>
      </c>
      <c r="B1785" s="7" t="s">
        <v>1882</v>
      </c>
      <c r="C1785" s="7" t="s">
        <v>86</v>
      </c>
      <c r="D1785" s="6" t="s">
        <v>80</v>
      </c>
      <c r="E1785" s="6" t="s">
        <v>1880</v>
      </c>
      <c r="F1785" s="7" t="str">
        <f aca="false">IF($D1785="","",IFERROR(IF(INDEX(Hierarchy!$B$2:$B$1295,MATCH($D1785,Hierarchy!$A$2:$A$1295,0))="","",INDEX(Hierarchy!$B$2:$B$1295,MATCH($D1785,Hierarchy!$A$2:$A$1295,0))),"NODE NOT FOUND"))</f>
        <v>Sub-region</v>
      </c>
      <c r="G1785" s="7" t="str">
        <f aca="false">IF($D1785="","",IFERROR(IF(INDEX(Hierarchy!$D$2:$D$1295,MATCH($D1785,Hierarchy!$A$2:$A$1295,0))="","",INDEX(Hierarchy!$D$2:$D$1295,MATCH($D1785,Hierarchy!$A$2:$A$1295,0))),"NODE NOT FOUND"))</f>
        <v>AMER</v>
      </c>
      <c r="H1785" s="7" t="str">
        <f aca="false">IF($D1785="","",IFERROR(IF(INDEX(Hierarchy!$E$2:$E$1295,MATCH($D1785,Hierarchy!$A$2:$A$1295,0))="","",INDEX(Hierarchy!$E$2:$E$1295,MATCH($D1785,Hierarchy!$A$2:$A$1295,0))),"NODE NOT FOUND"))</f>
        <v>North America (NORAM)</v>
      </c>
      <c r="I1785" s="7" t="str">
        <f aca="false">IF($D1785="","",IFERROR(IF(INDEX(Hierarchy!$F$2:$F$1295,MATCH($D1785,Hierarchy!$A$2:$A$1295,0))="","",INDEX(Hierarchy!$F$2:$F$1295,MATCH($D1785,Hierarchy!$A$2:$A$1295,0))),"NODE NOT FOUND"))</f>
        <v/>
      </c>
      <c r="J1785" s="7" t="str">
        <f aca="false">IF($D1785="","",IFERROR(IF(INDEX(Hierarchy!$G$2:$G$1295,MATCH($D1785,Hierarchy!$A$2:$A$1295,0))="","",INDEX(Hierarchy!$G$2:$G$1295,MATCH($D1785,Hierarchy!$A$2:$A$1295,0))),"NODE NOT FOUND"))</f>
        <v/>
      </c>
      <c r="K1785" s="7" t="str">
        <f aca="false">IF($D1785="","",IFERROR(IF(INDEX(Hierarchy!$H$2:$H$1295,MATCH($D1785,Hierarchy!$A$2:$A$1295,0))="","",INDEX(Hierarchy!$H$2:$H$1295,MATCH($D1785,Hierarchy!$A$2:$A$1295,0))),"NODE NOT FOUND"))</f>
        <v/>
      </c>
      <c r="L1785" s="7" t="str">
        <f aca="false">IF($D1785="","",IFERROR(IF(INDEX(Hierarchy!$I$2:$I$1295,MATCH($D1785,Hierarchy!$A$2:$A$1295,0))="","",INDEX(Hierarchy!$I$2:$I$1295,MATCH($D1785,Hierarchy!$A$2:$A$1295,0))),"NODE NOT FOUND"))</f>
        <v/>
      </c>
      <c r="M1785" s="17" t="str">
        <f aca="false">IF(B1785="Pre-seeded","Pre-seeded",IF(B1785="Review 2026-09-16","Added from review",IF(C1785="","New",IF(C1785=D1785,"","Changed"))))</f>
        <v>Changed</v>
      </c>
      <c r="N1785" s="7" t="str">
        <f aca="false">TRIM(SUBSTITUTE(SUBSTITUTE(SUBSTITUTE(" "&amp;TRIM(SUBSTITUTE(SUBSTITUTE(SUBSTITUTE(SUBSTITUTE(SUBSTITUTE(SUBSTITUTE(SUBSTITUTE(SUBSTITUTE(SUBSTITUTE(SUBSTITUTE(SUBSTITUTE(SUBSTITUTE(SUBSTITUTE(SUBSTITUTE(SUBSTITUTE(UPPER(TRIM(A1785)),"[MEMBER]",""),"{MEMBER}",""),"[MEMBER}",""),"MEMBER]",""),"(A)",""),"""",""),"“",""),"”",""),".",""),":",""),",",""),"–"," "),"-"," "),"/"," "),"&amp;"," AND "))&amp;" "," THE "," ")," TOTAL "," ")," OPERATIONS "," "))</f>
        <v>NORTH AMERICA</v>
      </c>
      <c r="O1785" s="17" t="str">
        <f aca="false">IF(COUNTIFS($N$2:$N$2000,N1785,$D$2:$D$2000,"&lt;&gt;"&amp;D1785)&gt;0,"CONFLICT","")</f>
        <v/>
      </c>
      <c r="P1785" s="7"/>
    </row>
    <row r="1786" customFormat="false" ht="15" hidden="false" customHeight="false" outlineLevel="0" collapsed="false">
      <c r="A1786" s="7" t="s">
        <v>2777</v>
      </c>
      <c r="B1786" s="7" t="s">
        <v>1882</v>
      </c>
      <c r="C1786" s="7" t="s">
        <v>2207</v>
      </c>
      <c r="D1786" s="6" t="s">
        <v>1784</v>
      </c>
      <c r="E1786" s="6" t="s">
        <v>1880</v>
      </c>
      <c r="F1786" s="7" t="str">
        <f aca="false">IF($D1786="","",IFERROR(IF(INDEX(Hierarchy!$B$2:$B$1295,MATCH($D1786,Hierarchy!$A$2:$A$1295,0))="","",INDEX(Hierarchy!$B$2:$B$1295,MATCH($D1786,Hierarchy!$A$2:$A$1295,0))),"NODE NOT FOUND"))</f>
        <v>Bucket</v>
      </c>
      <c r="G1786" s="7" t="str">
        <f aca="false">IF($D1786="","",IFERROR(IF(INDEX(Hierarchy!$D$2:$D$1295,MATCH($D1786,Hierarchy!$A$2:$A$1295,0))="","",INDEX(Hierarchy!$D$2:$D$1295,MATCH($D1786,Hierarchy!$A$2:$A$1295,0))),"NODE NOT FOUND"))</f>
        <v>Non-regional</v>
      </c>
      <c r="H1786" s="7" t="str">
        <f aca="false">IF($D1786="","",IFERROR(IF(INDEX(Hierarchy!$E$2:$E$1295,MATCH($D1786,Hierarchy!$A$2:$A$1295,0))="","",INDEX(Hierarchy!$E$2:$E$1295,MATCH($D1786,Hierarchy!$A$2:$A$1295,0))),"NODE NOT FOUND"))</f>
        <v/>
      </c>
      <c r="I1786" s="7" t="str">
        <f aca="false">IF($D1786="","",IFERROR(IF(INDEX(Hierarchy!$F$2:$F$1295,MATCH($D1786,Hierarchy!$A$2:$A$1295,0))="","",INDEX(Hierarchy!$F$2:$F$1295,MATCH($D1786,Hierarchy!$A$2:$A$1295,0))),"NODE NOT FOUND"))</f>
        <v/>
      </c>
      <c r="J1786" s="7" t="str">
        <f aca="false">IF($D1786="","",IFERROR(IF(INDEX(Hierarchy!$G$2:$G$1295,MATCH($D1786,Hierarchy!$A$2:$A$1295,0))="","",INDEX(Hierarchy!$G$2:$G$1295,MATCH($D1786,Hierarchy!$A$2:$A$1295,0))),"NODE NOT FOUND"))</f>
        <v/>
      </c>
      <c r="K1786" s="7" t="str">
        <f aca="false">IF($D1786="","",IFERROR(IF(INDEX(Hierarchy!$H$2:$H$1295,MATCH($D1786,Hierarchy!$A$2:$A$1295,0))="","",INDEX(Hierarchy!$H$2:$H$1295,MATCH($D1786,Hierarchy!$A$2:$A$1295,0))),"NODE NOT FOUND"))</f>
        <v/>
      </c>
      <c r="L1786" s="7" t="str">
        <f aca="false">IF($D1786="","",IFERROR(IF(INDEX(Hierarchy!$I$2:$I$1295,MATCH($D1786,Hierarchy!$A$2:$A$1295,0))="","",INDEX(Hierarchy!$I$2:$I$1295,MATCH($D1786,Hierarchy!$A$2:$A$1295,0))),"NODE NOT FOUND"))</f>
        <v/>
      </c>
      <c r="M1786" s="17" t="str">
        <f aca="false">IF(B1786="Pre-seeded","Pre-seeded",IF(B1786="Review 2026-09-16","Added from review",IF(C1786="","New",IF(C1786=D1786,"","Changed"))))</f>
        <v>Changed</v>
      </c>
      <c r="N1786" s="7" t="str">
        <f aca="false">TRIM(SUBSTITUTE(SUBSTITUTE(SUBSTITUTE(" "&amp;TRIM(SUBSTITUTE(SUBSTITUTE(SUBSTITUTE(SUBSTITUTE(SUBSTITUTE(SUBSTITUTE(SUBSTITUTE(SUBSTITUTE(SUBSTITUTE(SUBSTITUTE(SUBSTITUTE(SUBSTITUTE(SUBSTITUTE(SUBSTITUTE(SUBSTITUTE(UPPER(TRIM(A1786)),"[MEMBER]",""),"{MEMBER}",""),"[MEMBER}",""),"MEMBER]",""),"(A)",""),"""",""),"“",""),"”",""),".",""),":",""),",",""),"–"," "),"-"," "),"/"," "),"&amp;"," AND "))&amp;" "," THE "," ")," TOTAL "," ")," OPERATIONS "," "))</f>
        <v>OUTSIDE UNITED STATES</v>
      </c>
      <c r="O1786" s="17" t="str">
        <f aca="false">IF(COUNTIFS($N$2:$N$2000,N1786,$D$2:$D$2000,"&lt;&gt;"&amp;D1786)&gt;0,"CONFLICT","")</f>
        <v/>
      </c>
      <c r="P1786" s="7" t="s">
        <v>2208</v>
      </c>
    </row>
    <row r="1787" customFormat="false" ht="15" hidden="false" customHeight="false" outlineLevel="0" collapsed="false">
      <c r="A1787" s="7" t="s">
        <v>2778</v>
      </c>
      <c r="B1787" s="7" t="s">
        <v>1882</v>
      </c>
      <c r="C1787" s="7" t="s">
        <v>81</v>
      </c>
      <c r="D1787" s="6" t="s">
        <v>81</v>
      </c>
      <c r="E1787" s="6" t="s">
        <v>1880</v>
      </c>
      <c r="F1787" s="7" t="str">
        <f aca="false">IF($D1787="","",IFERROR(IF(INDEX(Hierarchy!$B$2:$B$1295,MATCH($D1787,Hierarchy!$A$2:$A$1295,0))="","",INDEX(Hierarchy!$B$2:$B$1295,MATCH($D1787,Hierarchy!$A$2:$A$1295,0))),"NODE NOT FOUND"))</f>
        <v>Country</v>
      </c>
      <c r="G1787" s="7" t="str">
        <f aca="false">IF($D1787="","",IFERROR(IF(INDEX(Hierarchy!$D$2:$D$1295,MATCH($D1787,Hierarchy!$A$2:$A$1295,0))="","",INDEX(Hierarchy!$D$2:$D$1295,MATCH($D1787,Hierarchy!$A$2:$A$1295,0))),"NODE NOT FOUND"))</f>
        <v>AMER</v>
      </c>
      <c r="H1787" s="7" t="str">
        <f aca="false">IF($D1787="","",IFERROR(IF(INDEX(Hierarchy!$E$2:$E$1295,MATCH($D1787,Hierarchy!$A$2:$A$1295,0))="","",INDEX(Hierarchy!$E$2:$E$1295,MATCH($D1787,Hierarchy!$A$2:$A$1295,0))),"NODE NOT FOUND"))</f>
        <v>North America (NORAM)</v>
      </c>
      <c r="I1787" s="7" t="str">
        <f aca="false">IF($D1787="","",IFERROR(IF(INDEX(Hierarchy!$F$2:$F$1295,MATCH($D1787,Hierarchy!$A$2:$A$1295,0))="","",INDEX(Hierarchy!$F$2:$F$1295,MATCH($D1787,Hierarchy!$A$2:$A$1295,0))),"NODE NOT FOUND"))</f>
        <v>United States</v>
      </c>
      <c r="J1787" s="7" t="str">
        <f aca="false">IF($D1787="","",IFERROR(IF(INDEX(Hierarchy!$G$2:$G$1295,MATCH($D1787,Hierarchy!$A$2:$A$1295,0))="","",INDEX(Hierarchy!$G$2:$G$1295,MATCH($D1787,Hierarchy!$A$2:$A$1295,0))),"NODE NOT FOUND"))</f>
        <v>USA</v>
      </c>
      <c r="K1787" s="7" t="str">
        <f aca="false">IF($D1787="","",IFERROR(IF(INDEX(Hierarchy!$H$2:$H$1295,MATCH($D1787,Hierarchy!$A$2:$A$1295,0))="","",INDEX(Hierarchy!$H$2:$H$1295,MATCH($D1787,Hierarchy!$A$2:$A$1295,0))),"NODE NOT FOUND"))</f>
        <v/>
      </c>
      <c r="L1787" s="7" t="str">
        <f aca="false">IF($D1787="","",IFERROR(IF(INDEX(Hierarchy!$I$2:$I$1295,MATCH($D1787,Hierarchy!$A$2:$A$1295,0))="","",INDEX(Hierarchy!$I$2:$I$1295,MATCH($D1787,Hierarchy!$A$2:$A$1295,0))),"NODE NOT FOUND"))</f>
        <v/>
      </c>
      <c r="M1787" s="17" t="str">
        <f aca="false">IF(B1787="Pre-seeded","Pre-seeded",IF(B1787="Review 2026-09-16","Added from review",IF(C1787="","New",IF(C1787=D1787,"","Changed"))))</f>
        <v/>
      </c>
      <c r="N1787" s="7" t="str">
        <f aca="false">TRIM(SUBSTITUTE(SUBSTITUTE(SUBSTITUTE(" "&amp;TRIM(SUBSTITUTE(SUBSTITUTE(SUBSTITUTE(SUBSTITUTE(SUBSTITUTE(SUBSTITUTE(SUBSTITUTE(SUBSTITUTE(SUBSTITUTE(SUBSTITUTE(SUBSTITUTE(SUBSTITUTE(SUBSTITUTE(SUBSTITUTE(SUBSTITUTE(UPPER(TRIM(A1787)),"[MEMBER]",""),"{MEMBER}",""),"[MEMBER}",""),"MEMBER]",""),"(A)",""),"""",""),"“",""),"”",""),".",""),":",""),",",""),"–"," "),"-"," "),"/"," "),"&amp;"," AND "))&amp;" "," THE "," ")," TOTAL "," ")," OPERATIONS "," "))</f>
        <v>US</v>
      </c>
      <c r="O1787" s="17" t="str">
        <f aca="false">IF(COUNTIFS($N$2:$N$2000,N1787,$D$2:$D$2000,"&lt;&gt;"&amp;D1787)&gt;0,"CONFLICT","")</f>
        <v/>
      </c>
      <c r="P1787" s="7"/>
    </row>
    <row r="1788" customFormat="false" ht="15" hidden="false" customHeight="false" outlineLevel="0" collapsed="false">
      <c r="A1788" s="7" t="s">
        <v>1482</v>
      </c>
      <c r="B1788" s="7" t="s">
        <v>1879</v>
      </c>
      <c r="C1788" s="7"/>
      <c r="D1788" s="6" t="s">
        <v>1482</v>
      </c>
      <c r="E1788" s="6" t="s">
        <v>1880</v>
      </c>
      <c r="F1788" s="7" t="str">
        <f aca="false">IF($D1788="","",IFERROR(IF(INDEX(Hierarchy!$B$2:$B$1295,MATCH($D1788,Hierarchy!$A$2:$A$1295,0))="","",INDEX(Hierarchy!$B$2:$B$1295,MATCH($D1788,Hierarchy!$A$2:$A$1295,0))),"NODE NOT FOUND"))</f>
        <v>State/Province</v>
      </c>
      <c r="G1788" s="7" t="str">
        <f aca="false">IF($D1788="","",IFERROR(IF(INDEX(Hierarchy!$D$2:$D$1295,MATCH($D1788,Hierarchy!$A$2:$A$1295,0))="","",INDEX(Hierarchy!$D$2:$D$1295,MATCH($D1788,Hierarchy!$A$2:$A$1295,0))),"NODE NOT FOUND"))</f>
        <v>APAC</v>
      </c>
      <c r="H1788" s="7" t="str">
        <f aca="false">IF($D1788="","",IFERROR(IF(INDEX(Hierarchy!$E$2:$E$1295,MATCH($D1788,Hierarchy!$A$2:$A$1295,0))="","",INDEX(Hierarchy!$E$2:$E$1295,MATCH($D1788,Hierarchy!$A$2:$A$1295,0))),"NODE NOT FOUND"))</f>
        <v>East Asia</v>
      </c>
      <c r="I1788" s="7" t="str">
        <f aca="false">IF($D1788="","",IFERROR(IF(INDEX(Hierarchy!$F$2:$F$1295,MATCH($D1788,Hierarchy!$A$2:$A$1295,0))="","",INDEX(Hierarchy!$F$2:$F$1295,MATCH($D1788,Hierarchy!$A$2:$A$1295,0))),"NODE NOT FOUND"))</f>
        <v>Japan</v>
      </c>
      <c r="J1788" s="7" t="str">
        <f aca="false">IF($D1788="","",IFERROR(IF(INDEX(Hierarchy!$G$2:$G$1295,MATCH($D1788,Hierarchy!$A$2:$A$1295,0))="","",INDEX(Hierarchy!$G$2:$G$1295,MATCH($D1788,Hierarchy!$A$2:$A$1295,0))),"NODE NOT FOUND"))</f>
        <v>JPN</v>
      </c>
      <c r="K1788" s="7" t="str">
        <f aca="false">IF($D1788="","",IFERROR(IF(INDEX(Hierarchy!$H$2:$H$1295,MATCH($D1788,Hierarchy!$A$2:$A$1295,0))="","",INDEX(Hierarchy!$H$2:$H$1295,MATCH($D1788,Hierarchy!$A$2:$A$1295,0))),"NODE NOT FOUND"))</f>
        <v>Tottori</v>
      </c>
      <c r="L1788" s="7" t="str">
        <f aca="false">IF($D1788="","",IFERROR(IF(INDEX(Hierarchy!$I$2:$I$1295,MATCH($D1788,Hierarchy!$A$2:$A$1295,0))="","",INDEX(Hierarchy!$I$2:$I$1295,MATCH($D1788,Hierarchy!$A$2:$A$1295,0))),"NODE NOT FOUND"))</f>
        <v/>
      </c>
      <c r="M1788" s="17" t="str">
        <f aca="false">IF(B1788="Pre-seeded","Pre-seeded",IF(B1788="Review 2026-09-16","Added from review",IF(C1788="","New",IF(C1788=D1788,"","Changed"))))</f>
        <v>Pre-seeded</v>
      </c>
      <c r="N1788" s="7" t="str">
        <f aca="false">TRIM(SUBSTITUTE(SUBSTITUTE(SUBSTITUTE(" "&amp;TRIM(SUBSTITUTE(SUBSTITUTE(SUBSTITUTE(SUBSTITUTE(SUBSTITUTE(SUBSTITUTE(SUBSTITUTE(SUBSTITUTE(SUBSTITUTE(SUBSTITUTE(SUBSTITUTE(SUBSTITUTE(SUBSTITUTE(SUBSTITUTE(SUBSTITUTE(UPPER(TRIM(A1788)),"[MEMBER]",""),"{MEMBER}",""),"[MEMBER}",""),"MEMBER]",""),"(A)",""),"""",""),"“",""),"”",""),".",""),":",""),",",""),"–"," "),"-"," "),"/"," "),"&amp;"," AND "))&amp;" "," THE "," ")," TOTAL "," ")," OPERATIONS "," "))</f>
        <v>TOTTORI</v>
      </c>
      <c r="O1788" s="17" t="str">
        <f aca="false">IF(COUNTIFS($N$2:$N$2000,N1788,$D$2:$D$2000,"&lt;&gt;"&amp;D1788)&gt;0,"CONFLICT","")</f>
        <v/>
      </c>
      <c r="P1788" s="7"/>
    </row>
    <row r="1789" customFormat="false" ht="15" hidden="false" customHeight="false" outlineLevel="0" collapsed="false">
      <c r="A1789" s="7" t="s">
        <v>1483</v>
      </c>
      <c r="B1789" s="7" t="s">
        <v>1879</v>
      </c>
      <c r="C1789" s="7"/>
      <c r="D1789" s="6" t="s">
        <v>1483</v>
      </c>
      <c r="E1789" s="6" t="s">
        <v>1880</v>
      </c>
      <c r="F1789" s="7" t="str">
        <f aca="false">IF($D1789="","",IFERROR(IF(INDEX(Hierarchy!$B$2:$B$1295,MATCH($D1789,Hierarchy!$A$2:$A$1295,0))="","",INDEX(Hierarchy!$B$2:$B$1295,MATCH($D1789,Hierarchy!$A$2:$A$1295,0))),"NODE NOT FOUND"))</f>
        <v>State/Province</v>
      </c>
      <c r="G1789" s="7" t="str">
        <f aca="false">IF($D1789="","",IFERROR(IF(INDEX(Hierarchy!$D$2:$D$1295,MATCH($D1789,Hierarchy!$A$2:$A$1295,0))="","",INDEX(Hierarchy!$D$2:$D$1295,MATCH($D1789,Hierarchy!$A$2:$A$1295,0))),"NODE NOT FOUND"))</f>
        <v>APAC</v>
      </c>
      <c r="H1789" s="7" t="str">
        <f aca="false">IF($D1789="","",IFERROR(IF(INDEX(Hierarchy!$E$2:$E$1295,MATCH($D1789,Hierarchy!$A$2:$A$1295,0))="","",INDEX(Hierarchy!$E$2:$E$1295,MATCH($D1789,Hierarchy!$A$2:$A$1295,0))),"NODE NOT FOUND"))</f>
        <v>East Asia</v>
      </c>
      <c r="I1789" s="7" t="str">
        <f aca="false">IF($D1789="","",IFERROR(IF(INDEX(Hierarchy!$F$2:$F$1295,MATCH($D1789,Hierarchy!$A$2:$A$1295,0))="","",INDEX(Hierarchy!$F$2:$F$1295,MATCH($D1789,Hierarchy!$A$2:$A$1295,0))),"NODE NOT FOUND"))</f>
        <v>Japan</v>
      </c>
      <c r="J1789" s="7" t="str">
        <f aca="false">IF($D1789="","",IFERROR(IF(INDEX(Hierarchy!$G$2:$G$1295,MATCH($D1789,Hierarchy!$A$2:$A$1295,0))="","",INDEX(Hierarchy!$G$2:$G$1295,MATCH($D1789,Hierarchy!$A$2:$A$1295,0))),"NODE NOT FOUND"))</f>
        <v>JPN</v>
      </c>
      <c r="K1789" s="7" t="str">
        <f aca="false">IF($D1789="","",IFERROR(IF(INDEX(Hierarchy!$H$2:$H$1295,MATCH($D1789,Hierarchy!$A$2:$A$1295,0))="","",INDEX(Hierarchy!$H$2:$H$1295,MATCH($D1789,Hierarchy!$A$2:$A$1295,0))),"NODE NOT FOUND"))</f>
        <v>Toyama</v>
      </c>
      <c r="L1789" s="7" t="str">
        <f aca="false">IF($D1789="","",IFERROR(IF(INDEX(Hierarchy!$I$2:$I$1295,MATCH($D1789,Hierarchy!$A$2:$A$1295,0))="","",INDEX(Hierarchy!$I$2:$I$1295,MATCH($D1789,Hierarchy!$A$2:$A$1295,0))),"NODE NOT FOUND"))</f>
        <v/>
      </c>
      <c r="M1789" s="17" t="str">
        <f aca="false">IF(B1789="Pre-seeded","Pre-seeded",IF(B1789="Review 2026-09-16","Added from review",IF(C1789="","New",IF(C1789=D1789,"","Changed"))))</f>
        <v>Pre-seeded</v>
      </c>
      <c r="N1789" s="7" t="str">
        <f aca="false">TRIM(SUBSTITUTE(SUBSTITUTE(SUBSTITUTE(" "&amp;TRIM(SUBSTITUTE(SUBSTITUTE(SUBSTITUTE(SUBSTITUTE(SUBSTITUTE(SUBSTITUTE(SUBSTITUTE(SUBSTITUTE(SUBSTITUTE(SUBSTITUTE(SUBSTITUTE(SUBSTITUTE(SUBSTITUTE(SUBSTITUTE(SUBSTITUTE(UPPER(TRIM(A1789)),"[MEMBER]",""),"{MEMBER}",""),"[MEMBER}",""),"MEMBER]",""),"(A)",""),"""",""),"“",""),"”",""),".",""),":",""),",",""),"–"," "),"-"," "),"/"," "),"&amp;"," AND "))&amp;" "," THE "," ")," TOTAL "," ")," OPERATIONS "," "))</f>
        <v>TOYAMA</v>
      </c>
      <c r="O1789" s="17" t="str">
        <f aca="false">IF(COUNTIFS($N$2:$N$2000,N1789,$D$2:$D$2000,"&lt;&gt;"&amp;D1789)&gt;0,"CONFLICT","")</f>
        <v/>
      </c>
      <c r="P1789" s="7"/>
    </row>
    <row r="1790" customFormat="false" ht="15" hidden="false" customHeight="false" outlineLevel="0" collapsed="false">
      <c r="A1790" s="7" t="s">
        <v>848</v>
      </c>
      <c r="B1790" s="7" t="s">
        <v>1879</v>
      </c>
      <c r="C1790" s="7"/>
      <c r="D1790" s="6" t="s">
        <v>848</v>
      </c>
      <c r="E1790" s="6" t="s">
        <v>1880</v>
      </c>
      <c r="F1790" s="7" t="str">
        <f aca="false">IF($D1790="","",IFERROR(IF(INDEX(Hierarchy!$B$2:$B$1295,MATCH($D1790,Hierarchy!$A$2:$A$1295,0))="","",INDEX(Hierarchy!$B$2:$B$1295,MATCH($D1790,Hierarchy!$A$2:$A$1295,0))),"NODE NOT FOUND"))</f>
        <v>State/Province</v>
      </c>
      <c r="G1790" s="7" t="str">
        <f aca="false">IF($D1790="","",IFERROR(IF(INDEX(Hierarchy!$D$2:$D$1295,MATCH($D1790,Hierarchy!$A$2:$A$1295,0))="","",INDEX(Hierarchy!$D$2:$D$1295,MATCH($D1790,Hierarchy!$A$2:$A$1295,0))),"NODE NOT FOUND"))</f>
        <v>EMEA</v>
      </c>
      <c r="H1790" s="7" t="str">
        <f aca="false">IF($D1790="","",IFERROR(IF(INDEX(Hierarchy!$E$2:$E$1295,MATCH($D1790,Hierarchy!$A$2:$A$1295,0))="","",INDEX(Hierarchy!$E$2:$E$1295,MATCH($D1790,Hierarchy!$A$2:$A$1295,0))),"NODE NOT FOUND"))</f>
        <v>Europe</v>
      </c>
      <c r="I1790" s="7" t="str">
        <f aca="false">IF($D1790="","",IFERROR(IF(INDEX(Hierarchy!$F$2:$F$1295,MATCH($D1790,Hierarchy!$A$2:$A$1295,0))="","",INDEX(Hierarchy!$F$2:$F$1295,MATCH($D1790,Hierarchy!$A$2:$A$1295,0))),"NODE NOT FOUND"))</f>
        <v>Italy</v>
      </c>
      <c r="J1790" s="7" t="str">
        <f aca="false">IF($D1790="","",IFERROR(IF(INDEX(Hierarchy!$G$2:$G$1295,MATCH($D1790,Hierarchy!$A$2:$A$1295,0))="","",INDEX(Hierarchy!$G$2:$G$1295,MATCH($D1790,Hierarchy!$A$2:$A$1295,0))),"NODE NOT FOUND"))</f>
        <v>ITA</v>
      </c>
      <c r="K1790" s="7" t="str">
        <f aca="false">IF($D1790="","",IFERROR(IF(INDEX(Hierarchy!$H$2:$H$1295,MATCH($D1790,Hierarchy!$A$2:$A$1295,0))="","",INDEX(Hierarchy!$H$2:$H$1295,MATCH($D1790,Hierarchy!$A$2:$A$1295,0))),"NODE NOT FOUND"))</f>
        <v>Trentino-Alto Adige</v>
      </c>
      <c r="L1790" s="7" t="str">
        <f aca="false">IF($D1790="","",IFERROR(IF(INDEX(Hierarchy!$I$2:$I$1295,MATCH($D1790,Hierarchy!$A$2:$A$1295,0))="","",INDEX(Hierarchy!$I$2:$I$1295,MATCH($D1790,Hierarchy!$A$2:$A$1295,0))),"NODE NOT FOUND"))</f>
        <v/>
      </c>
      <c r="M1790" s="17" t="str">
        <f aca="false">IF(B1790="Pre-seeded","Pre-seeded",IF(B1790="Review 2026-09-16","Added from review",IF(C1790="","New",IF(C1790=D1790,"","Changed"))))</f>
        <v>Pre-seeded</v>
      </c>
      <c r="N1790" s="7" t="str">
        <f aca="false">TRIM(SUBSTITUTE(SUBSTITUTE(SUBSTITUTE(" "&amp;TRIM(SUBSTITUTE(SUBSTITUTE(SUBSTITUTE(SUBSTITUTE(SUBSTITUTE(SUBSTITUTE(SUBSTITUTE(SUBSTITUTE(SUBSTITUTE(SUBSTITUTE(SUBSTITUTE(SUBSTITUTE(SUBSTITUTE(SUBSTITUTE(SUBSTITUTE(UPPER(TRIM(A1790)),"[MEMBER]",""),"{MEMBER}",""),"[MEMBER}",""),"MEMBER]",""),"(A)",""),"""",""),"“",""),"”",""),".",""),":",""),",",""),"–"," "),"-"," "),"/"," "),"&amp;"," AND "))&amp;" "," THE "," ")," TOTAL "," ")," OPERATIONS "," "))</f>
        <v>TRENTINO ALTO ADIGE</v>
      </c>
      <c r="O1790" s="17" t="str">
        <f aca="false">IF(COUNTIFS($N$2:$N$2000,N1790,$D$2:$D$2000,"&lt;&gt;"&amp;D1790)&gt;0,"CONFLICT","")</f>
        <v/>
      </c>
      <c r="P1790" s="7"/>
    </row>
    <row r="1791" customFormat="false" ht="15" hidden="false" customHeight="false" outlineLevel="0" collapsed="false">
      <c r="A1791" s="7" t="s">
        <v>2779</v>
      </c>
      <c r="B1791" s="7" t="s">
        <v>1879</v>
      </c>
      <c r="C1791" s="7"/>
      <c r="D1791" s="6" t="s">
        <v>119</v>
      </c>
      <c r="E1791" s="6" t="s">
        <v>1880</v>
      </c>
      <c r="F1791" s="7" t="str">
        <f aca="false">IF($D1791="","",IFERROR(IF(INDEX(Hierarchy!$B$2:$B$1295,MATCH($D1791,Hierarchy!$A$2:$A$1295,0))="","",INDEX(Hierarchy!$B$2:$B$1295,MATCH($D1791,Hierarchy!$A$2:$A$1295,0))),"NODE NOT FOUND"))</f>
        <v>Sub-national region</v>
      </c>
      <c r="G1791" s="7" t="str">
        <f aca="false">IF($D1791="","",IFERROR(IF(INDEX(Hierarchy!$D$2:$D$1295,MATCH($D1791,Hierarchy!$A$2:$A$1295,0))="","",INDEX(Hierarchy!$D$2:$D$1295,MATCH($D1791,Hierarchy!$A$2:$A$1295,0))),"NODE NOT FOUND"))</f>
        <v>AMER</v>
      </c>
      <c r="H1791" s="7" t="str">
        <f aca="false">IF($D1791="","",IFERROR(IF(INDEX(Hierarchy!$E$2:$E$1295,MATCH($D1791,Hierarchy!$A$2:$A$1295,0))="","",INDEX(Hierarchy!$E$2:$E$1295,MATCH($D1791,Hierarchy!$A$2:$A$1295,0))),"NODE NOT FOUND"))</f>
        <v>North America (NORAM)</v>
      </c>
      <c r="I1791" s="7" t="str">
        <f aca="false">IF($D1791="","",IFERROR(IF(INDEX(Hierarchy!$F$2:$F$1295,MATCH($D1791,Hierarchy!$A$2:$A$1295,0))="","",INDEX(Hierarchy!$F$2:$F$1295,MATCH($D1791,Hierarchy!$A$2:$A$1295,0))),"NODE NOT FOUND"))</f>
        <v>United States</v>
      </c>
      <c r="J1791" s="7" t="str">
        <f aca="false">IF($D1791="","",IFERROR(IF(INDEX(Hierarchy!$G$2:$G$1295,MATCH($D1791,Hierarchy!$A$2:$A$1295,0))="","",INDEX(Hierarchy!$G$2:$G$1295,MATCH($D1791,Hierarchy!$A$2:$A$1295,0))),"NODE NOT FOUND"))</f>
        <v>USA</v>
      </c>
      <c r="K1791" s="7" t="str">
        <f aca="false">IF($D1791="","",IFERROR(IF(INDEX(Hierarchy!$H$2:$H$1295,MATCH($D1791,Hierarchy!$A$2:$A$1295,0))="","",INDEX(Hierarchy!$H$2:$H$1295,MATCH($D1791,Hierarchy!$A$2:$A$1295,0))),"NODE NOT FOUND"))</f>
        <v/>
      </c>
      <c r="L1791" s="7" t="str">
        <f aca="false">IF($D1791="","",IFERROR(IF(INDEX(Hierarchy!$I$2:$I$1295,MATCH($D1791,Hierarchy!$A$2:$A$1295,0))="","",INDEX(Hierarchy!$I$2:$I$1295,MATCH($D1791,Hierarchy!$A$2:$A$1295,0))),"NODE NOT FOUND"))</f>
        <v/>
      </c>
      <c r="M1791" s="17" t="str">
        <f aca="false">IF(B1791="Pre-seeded","Pre-seeded",IF(B1791="Review 2026-09-16","Added from review",IF(C1791="","New",IF(C1791=D1791,"","Changed"))))</f>
        <v>Pre-seeded</v>
      </c>
      <c r="N1791" s="7" t="str">
        <f aca="false">TRIM(SUBSTITUTE(SUBSTITUTE(SUBSTITUTE(" "&amp;TRIM(SUBSTITUTE(SUBSTITUTE(SUBSTITUTE(SUBSTITUTE(SUBSTITUTE(SUBSTITUTE(SUBSTITUTE(SUBSTITUTE(SUBSTITUTE(SUBSTITUTE(SUBSTITUTE(SUBSTITUTE(SUBSTITUTE(SUBSTITUTE(SUBSTITUTE(UPPER(TRIM(A1791)),"[MEMBER]",""),"{MEMBER}",""),"[MEMBER}",""),"MEMBER]",""),"(A)",""),"""",""),"“",""),"”",""),".",""),":",""),",",""),"–"," "),"-"," "),"/"," "),"&amp;"," AND "))&amp;" "," THE "," ")," TOTAL "," ")," OPERATIONS "," "))</f>
        <v>TRI STATE</v>
      </c>
      <c r="O1791" s="17" t="str">
        <f aca="false">IF(COUNTIFS($N$2:$N$2000,N1791,$D$2:$D$2000,"&lt;&gt;"&amp;D1791)&gt;0,"CONFLICT","")</f>
        <v/>
      </c>
      <c r="P1791" s="7"/>
    </row>
    <row r="1792" customFormat="false" ht="15" hidden="false" customHeight="false" outlineLevel="0" collapsed="false">
      <c r="A1792" s="7" t="s">
        <v>2780</v>
      </c>
      <c r="B1792" s="7" t="s">
        <v>1882</v>
      </c>
      <c r="C1792" s="7" t="s">
        <v>605</v>
      </c>
      <c r="D1792" s="6" t="s">
        <v>605</v>
      </c>
      <c r="E1792" s="6" t="s">
        <v>1880</v>
      </c>
      <c r="F1792" s="7" t="str">
        <f aca="false">IF($D1792="","",IFERROR(IF(INDEX(Hierarchy!$B$2:$B$1295,MATCH($D1792,Hierarchy!$A$2:$A$1295,0))="","",INDEX(Hierarchy!$B$2:$B$1295,MATCH($D1792,Hierarchy!$A$2:$A$1295,0))),"NODE NOT FOUND"))</f>
        <v>Country</v>
      </c>
      <c r="G1792" s="7" t="str">
        <f aca="false">IF($D1792="","",IFERROR(IF(INDEX(Hierarchy!$D$2:$D$1295,MATCH($D1792,Hierarchy!$A$2:$A$1295,0))="","",INDEX(Hierarchy!$D$2:$D$1295,MATCH($D1792,Hierarchy!$A$2:$A$1295,0))),"NODE NOT FOUND"))</f>
        <v>AMER</v>
      </c>
      <c r="H1792" s="7" t="str">
        <f aca="false">IF($D1792="","",IFERROR(IF(INDEX(Hierarchy!$E$2:$E$1295,MATCH($D1792,Hierarchy!$A$2:$A$1295,0))="","",INDEX(Hierarchy!$E$2:$E$1295,MATCH($D1792,Hierarchy!$A$2:$A$1295,0))),"NODE NOT FOUND"))</f>
        <v>Latin America (LATAM)</v>
      </c>
      <c r="I1792" s="7" t="str">
        <f aca="false">IF($D1792="","",IFERROR(IF(INDEX(Hierarchy!$F$2:$F$1295,MATCH($D1792,Hierarchy!$A$2:$A$1295,0))="","",INDEX(Hierarchy!$F$2:$F$1295,MATCH($D1792,Hierarchy!$A$2:$A$1295,0))),"NODE NOT FOUND"))</f>
        <v>Trinidad and Tobago</v>
      </c>
      <c r="J1792" s="7" t="str">
        <f aca="false">IF($D1792="","",IFERROR(IF(INDEX(Hierarchy!$G$2:$G$1295,MATCH($D1792,Hierarchy!$A$2:$A$1295,0))="","",INDEX(Hierarchy!$G$2:$G$1295,MATCH($D1792,Hierarchy!$A$2:$A$1295,0))),"NODE NOT FOUND"))</f>
        <v>TTO</v>
      </c>
      <c r="K1792" s="7" t="str">
        <f aca="false">IF($D1792="","",IFERROR(IF(INDEX(Hierarchy!$H$2:$H$1295,MATCH($D1792,Hierarchy!$A$2:$A$1295,0))="","",INDEX(Hierarchy!$H$2:$H$1295,MATCH($D1792,Hierarchy!$A$2:$A$1295,0))),"NODE NOT FOUND"))</f>
        <v/>
      </c>
      <c r="L1792" s="7" t="str">
        <f aca="false">IF($D1792="","",IFERROR(IF(INDEX(Hierarchy!$I$2:$I$1295,MATCH($D1792,Hierarchy!$A$2:$A$1295,0))="","",INDEX(Hierarchy!$I$2:$I$1295,MATCH($D1792,Hierarchy!$A$2:$A$1295,0))),"NODE NOT FOUND"))</f>
        <v/>
      </c>
      <c r="M1792" s="17" t="str">
        <f aca="false">IF(B1792="Pre-seeded","Pre-seeded",IF(B1792="Review 2026-09-16","Added from review",IF(C1792="","New",IF(C1792=D1792,"","Changed"))))</f>
        <v/>
      </c>
      <c r="N1792" s="7" t="str">
        <f aca="false">TRIM(SUBSTITUTE(SUBSTITUTE(SUBSTITUTE(" "&amp;TRIM(SUBSTITUTE(SUBSTITUTE(SUBSTITUTE(SUBSTITUTE(SUBSTITUTE(SUBSTITUTE(SUBSTITUTE(SUBSTITUTE(SUBSTITUTE(SUBSTITUTE(SUBSTITUTE(SUBSTITUTE(SUBSTITUTE(SUBSTITUTE(SUBSTITUTE(UPPER(TRIM(A1792)),"[MEMBER]",""),"{MEMBER}",""),"[MEMBER}",""),"MEMBER]",""),"(A)",""),"""",""),"“",""),"”",""),".",""),":",""),",",""),"–"," "),"-"," "),"/"," "),"&amp;"," AND "))&amp;" "," THE "," ")," TOTAL "," ")," OPERATIONS "," "))</f>
        <v>TRINIDAD</v>
      </c>
      <c r="O1792" s="17" t="str">
        <f aca="false">IF(COUNTIFS($N$2:$N$2000,N1792,$D$2:$D$2000,"&lt;&gt;"&amp;D1792)&gt;0,"CONFLICT","")</f>
        <v/>
      </c>
      <c r="P1792" s="7"/>
    </row>
    <row r="1793" customFormat="false" ht="15" hidden="false" customHeight="false" outlineLevel="0" collapsed="false">
      <c r="A1793" s="7" t="s">
        <v>605</v>
      </c>
      <c r="B1793" s="7" t="s">
        <v>1879</v>
      </c>
      <c r="C1793" s="7"/>
      <c r="D1793" s="6" t="s">
        <v>605</v>
      </c>
      <c r="E1793" s="6" t="s">
        <v>1880</v>
      </c>
      <c r="F1793" s="7" t="str">
        <f aca="false">IF($D1793="","",IFERROR(IF(INDEX(Hierarchy!$B$2:$B$1295,MATCH($D1793,Hierarchy!$A$2:$A$1295,0))="","",INDEX(Hierarchy!$B$2:$B$1295,MATCH($D1793,Hierarchy!$A$2:$A$1295,0))),"NODE NOT FOUND"))</f>
        <v>Country</v>
      </c>
      <c r="G1793" s="7" t="str">
        <f aca="false">IF($D1793="","",IFERROR(IF(INDEX(Hierarchy!$D$2:$D$1295,MATCH($D1793,Hierarchy!$A$2:$A$1295,0))="","",INDEX(Hierarchy!$D$2:$D$1295,MATCH($D1793,Hierarchy!$A$2:$A$1295,0))),"NODE NOT FOUND"))</f>
        <v>AMER</v>
      </c>
      <c r="H1793" s="7" t="str">
        <f aca="false">IF($D1793="","",IFERROR(IF(INDEX(Hierarchy!$E$2:$E$1295,MATCH($D1793,Hierarchy!$A$2:$A$1295,0))="","",INDEX(Hierarchy!$E$2:$E$1295,MATCH($D1793,Hierarchy!$A$2:$A$1295,0))),"NODE NOT FOUND"))</f>
        <v>Latin America (LATAM)</v>
      </c>
      <c r="I1793" s="7" t="str">
        <f aca="false">IF($D1793="","",IFERROR(IF(INDEX(Hierarchy!$F$2:$F$1295,MATCH($D1793,Hierarchy!$A$2:$A$1295,0))="","",INDEX(Hierarchy!$F$2:$F$1295,MATCH($D1793,Hierarchy!$A$2:$A$1295,0))),"NODE NOT FOUND"))</f>
        <v>Trinidad and Tobago</v>
      </c>
      <c r="J1793" s="7" t="str">
        <f aca="false">IF($D1793="","",IFERROR(IF(INDEX(Hierarchy!$G$2:$G$1295,MATCH($D1793,Hierarchy!$A$2:$A$1295,0))="","",INDEX(Hierarchy!$G$2:$G$1295,MATCH($D1793,Hierarchy!$A$2:$A$1295,0))),"NODE NOT FOUND"))</f>
        <v>TTO</v>
      </c>
      <c r="K1793" s="7" t="str">
        <f aca="false">IF($D1793="","",IFERROR(IF(INDEX(Hierarchy!$H$2:$H$1295,MATCH($D1793,Hierarchy!$A$2:$A$1295,0))="","",INDEX(Hierarchy!$H$2:$H$1295,MATCH($D1793,Hierarchy!$A$2:$A$1295,0))),"NODE NOT FOUND"))</f>
        <v/>
      </c>
      <c r="L1793" s="7" t="str">
        <f aca="false">IF($D1793="","",IFERROR(IF(INDEX(Hierarchy!$I$2:$I$1295,MATCH($D1793,Hierarchy!$A$2:$A$1295,0))="","",INDEX(Hierarchy!$I$2:$I$1295,MATCH($D1793,Hierarchy!$A$2:$A$1295,0))),"NODE NOT FOUND"))</f>
        <v/>
      </c>
      <c r="M1793" s="17" t="str">
        <f aca="false">IF(B1793="Pre-seeded","Pre-seeded",IF(B1793="Review 2026-09-16","Added from review",IF(C1793="","New",IF(C1793=D1793,"","Changed"))))</f>
        <v>Pre-seeded</v>
      </c>
      <c r="N1793" s="7" t="str">
        <f aca="false">TRIM(SUBSTITUTE(SUBSTITUTE(SUBSTITUTE(" "&amp;TRIM(SUBSTITUTE(SUBSTITUTE(SUBSTITUTE(SUBSTITUTE(SUBSTITUTE(SUBSTITUTE(SUBSTITUTE(SUBSTITUTE(SUBSTITUTE(SUBSTITUTE(SUBSTITUTE(SUBSTITUTE(SUBSTITUTE(SUBSTITUTE(SUBSTITUTE(UPPER(TRIM(A1793)),"[MEMBER]",""),"{MEMBER}",""),"[MEMBER}",""),"MEMBER]",""),"(A)",""),"""",""),"“",""),"”",""),".",""),":",""),",",""),"–"," "),"-"," "),"/"," "),"&amp;"," AND "))&amp;" "," THE "," ")," TOTAL "," ")," OPERATIONS "," "))</f>
        <v>TRINIDAD AND TOBAGO</v>
      </c>
      <c r="O1793" s="17" t="str">
        <f aca="false">IF(COUNTIFS($N$2:$N$2000,N1793,$D$2:$D$2000,"&lt;&gt;"&amp;D1793)&gt;0,"CONFLICT","")</f>
        <v/>
      </c>
      <c r="P1793" s="7"/>
    </row>
    <row r="1794" customFormat="false" ht="15" hidden="false" customHeight="false" outlineLevel="0" collapsed="false">
      <c r="A1794" s="7" t="s">
        <v>1366</v>
      </c>
      <c r="B1794" s="7" t="s">
        <v>1879</v>
      </c>
      <c r="C1794" s="7"/>
      <c r="D1794" s="6" t="s">
        <v>1366</v>
      </c>
      <c r="E1794" s="6" t="s">
        <v>1880</v>
      </c>
      <c r="F1794" s="7" t="str">
        <f aca="false">IF($D1794="","",IFERROR(IF(INDEX(Hierarchy!$B$2:$B$1295,MATCH($D1794,Hierarchy!$A$2:$A$1295,0))="","",INDEX(Hierarchy!$B$2:$B$1295,MATCH($D1794,Hierarchy!$A$2:$A$1295,0))),"NODE NOT FOUND"))</f>
        <v>State/Province</v>
      </c>
      <c r="G1794" s="7" t="str">
        <f aca="false">IF($D1794="","",IFERROR(IF(INDEX(Hierarchy!$D$2:$D$1295,MATCH($D1794,Hierarchy!$A$2:$A$1295,0))="","",INDEX(Hierarchy!$D$2:$D$1295,MATCH($D1794,Hierarchy!$A$2:$A$1295,0))),"NODE NOT FOUND"))</f>
        <v>APAC</v>
      </c>
      <c r="H1794" s="7" t="str">
        <f aca="false">IF($D1794="","",IFERROR(IF(INDEX(Hierarchy!$E$2:$E$1295,MATCH($D1794,Hierarchy!$A$2:$A$1295,0))="","",INDEX(Hierarchy!$E$2:$E$1295,MATCH($D1794,Hierarchy!$A$2:$A$1295,0))),"NODE NOT FOUND"))</f>
        <v>South Asia</v>
      </c>
      <c r="I1794" s="7" t="str">
        <f aca="false">IF($D1794="","",IFERROR(IF(INDEX(Hierarchy!$F$2:$F$1295,MATCH($D1794,Hierarchy!$A$2:$A$1295,0))="","",INDEX(Hierarchy!$F$2:$F$1295,MATCH($D1794,Hierarchy!$A$2:$A$1295,0))),"NODE NOT FOUND"))</f>
        <v>India</v>
      </c>
      <c r="J1794" s="7" t="str">
        <f aca="false">IF($D1794="","",IFERROR(IF(INDEX(Hierarchy!$G$2:$G$1295,MATCH($D1794,Hierarchy!$A$2:$A$1295,0))="","",INDEX(Hierarchy!$G$2:$G$1295,MATCH($D1794,Hierarchy!$A$2:$A$1295,0))),"NODE NOT FOUND"))</f>
        <v>IND</v>
      </c>
      <c r="K1794" s="7" t="str">
        <f aca="false">IF($D1794="","",IFERROR(IF(INDEX(Hierarchy!$H$2:$H$1295,MATCH($D1794,Hierarchy!$A$2:$A$1295,0))="","",INDEX(Hierarchy!$H$2:$H$1295,MATCH($D1794,Hierarchy!$A$2:$A$1295,0))),"NODE NOT FOUND"))</f>
        <v>Tripura</v>
      </c>
      <c r="L1794" s="7" t="str">
        <f aca="false">IF($D1794="","",IFERROR(IF(INDEX(Hierarchy!$I$2:$I$1295,MATCH($D1794,Hierarchy!$A$2:$A$1295,0))="","",INDEX(Hierarchy!$I$2:$I$1295,MATCH($D1794,Hierarchy!$A$2:$A$1295,0))),"NODE NOT FOUND"))</f>
        <v/>
      </c>
      <c r="M1794" s="17" t="str">
        <f aca="false">IF(B1794="Pre-seeded","Pre-seeded",IF(B1794="Review 2026-09-16","Added from review",IF(C1794="","New",IF(C1794=D1794,"","Changed"))))</f>
        <v>Pre-seeded</v>
      </c>
      <c r="N1794" s="7" t="str">
        <f aca="false">TRIM(SUBSTITUTE(SUBSTITUTE(SUBSTITUTE(" "&amp;TRIM(SUBSTITUTE(SUBSTITUTE(SUBSTITUTE(SUBSTITUTE(SUBSTITUTE(SUBSTITUTE(SUBSTITUTE(SUBSTITUTE(SUBSTITUTE(SUBSTITUTE(SUBSTITUTE(SUBSTITUTE(SUBSTITUTE(SUBSTITUTE(SUBSTITUTE(UPPER(TRIM(A1794)),"[MEMBER]",""),"{MEMBER}",""),"[MEMBER}",""),"MEMBER]",""),"(A)",""),"""",""),"“",""),"”",""),".",""),":",""),",",""),"–"," "),"-"," "),"/"," "),"&amp;"," AND "))&amp;" "," THE "," ")," TOTAL "," ")," OPERATIONS "," "))</f>
        <v>TRIPURA</v>
      </c>
      <c r="O1794" s="17" t="str">
        <f aca="false">IF(COUNTIFS($N$2:$N$2000,N1794,$D$2:$D$2000,"&lt;&gt;"&amp;D1794)&gt;0,"CONFLICT","")</f>
        <v/>
      </c>
      <c r="P1794" s="7"/>
    </row>
    <row r="1795" customFormat="false" ht="15" hidden="false" customHeight="false" outlineLevel="0" collapsed="false">
      <c r="A1795" s="7" t="s">
        <v>452</v>
      </c>
      <c r="B1795" s="7" t="s">
        <v>1879</v>
      </c>
      <c r="C1795" s="7"/>
      <c r="D1795" s="6" t="s">
        <v>452</v>
      </c>
      <c r="E1795" s="6" t="s">
        <v>1880</v>
      </c>
      <c r="F1795" s="7" t="str">
        <f aca="false">IF($D1795="","",IFERROR(IF(INDEX(Hierarchy!$B$2:$B$1295,MATCH($D1795,Hierarchy!$A$2:$A$1295,0))="","",INDEX(Hierarchy!$B$2:$B$1295,MATCH($D1795,Hierarchy!$A$2:$A$1295,0))),"NODE NOT FOUND"))</f>
        <v>State/Province</v>
      </c>
      <c r="G1795" s="7" t="str">
        <f aca="false">IF($D1795="","",IFERROR(IF(INDEX(Hierarchy!$D$2:$D$1295,MATCH($D1795,Hierarchy!$A$2:$A$1295,0))="","",INDEX(Hierarchy!$D$2:$D$1295,MATCH($D1795,Hierarchy!$A$2:$A$1295,0))),"NODE NOT FOUND"))</f>
        <v>AMER</v>
      </c>
      <c r="H1795" s="7" t="str">
        <f aca="false">IF($D1795="","",IFERROR(IF(INDEX(Hierarchy!$E$2:$E$1295,MATCH($D1795,Hierarchy!$A$2:$A$1295,0))="","",INDEX(Hierarchy!$E$2:$E$1295,MATCH($D1795,Hierarchy!$A$2:$A$1295,0))),"NODE NOT FOUND"))</f>
        <v>Latin America (LATAM)</v>
      </c>
      <c r="I1795" s="7" t="str">
        <f aca="false">IF($D1795="","",IFERROR(IF(INDEX(Hierarchy!$F$2:$F$1295,MATCH($D1795,Hierarchy!$A$2:$A$1295,0))="","",INDEX(Hierarchy!$F$2:$F$1295,MATCH($D1795,Hierarchy!$A$2:$A$1295,0))),"NODE NOT FOUND"))</f>
        <v>Argentina</v>
      </c>
      <c r="J1795" s="7" t="str">
        <f aca="false">IF($D1795="","",IFERROR(IF(INDEX(Hierarchy!$G$2:$G$1295,MATCH($D1795,Hierarchy!$A$2:$A$1295,0))="","",INDEX(Hierarchy!$G$2:$G$1295,MATCH($D1795,Hierarchy!$A$2:$A$1295,0))),"NODE NOT FOUND"))</f>
        <v>ARG</v>
      </c>
      <c r="K1795" s="7" t="str">
        <f aca="false">IF($D1795="","",IFERROR(IF(INDEX(Hierarchy!$H$2:$H$1295,MATCH($D1795,Hierarchy!$A$2:$A$1295,0))="","",INDEX(Hierarchy!$H$2:$H$1295,MATCH($D1795,Hierarchy!$A$2:$A$1295,0))),"NODE NOT FOUND"))</f>
        <v>Tucumán</v>
      </c>
      <c r="L1795" s="7" t="str">
        <f aca="false">IF($D1795="","",IFERROR(IF(INDEX(Hierarchy!$I$2:$I$1295,MATCH($D1795,Hierarchy!$A$2:$A$1295,0))="","",INDEX(Hierarchy!$I$2:$I$1295,MATCH($D1795,Hierarchy!$A$2:$A$1295,0))),"NODE NOT FOUND"))</f>
        <v/>
      </c>
      <c r="M1795" s="17" t="str">
        <f aca="false">IF(B1795="Pre-seeded","Pre-seeded",IF(B1795="Review 2026-09-16","Added from review",IF(C1795="","New",IF(C1795=D1795,"","Changed"))))</f>
        <v>Pre-seeded</v>
      </c>
      <c r="N1795" s="7" t="str">
        <f aca="false">TRIM(SUBSTITUTE(SUBSTITUTE(SUBSTITUTE(" "&amp;TRIM(SUBSTITUTE(SUBSTITUTE(SUBSTITUTE(SUBSTITUTE(SUBSTITUTE(SUBSTITUTE(SUBSTITUTE(SUBSTITUTE(SUBSTITUTE(SUBSTITUTE(SUBSTITUTE(SUBSTITUTE(SUBSTITUTE(SUBSTITUTE(SUBSTITUTE(UPPER(TRIM(A1795)),"[MEMBER]",""),"{MEMBER}",""),"[MEMBER}",""),"MEMBER]",""),"(A)",""),"""",""),"“",""),"”",""),".",""),":",""),",",""),"–"," "),"-"," "),"/"," "),"&amp;"," AND "))&amp;" "," THE "," ")," TOTAL "," ")," OPERATIONS "," "))</f>
        <v>TUCUMÁN</v>
      </c>
      <c r="O1795" s="17" t="str">
        <f aca="false">IF(COUNTIFS($N$2:$N$2000,N1795,$D$2:$D$2000,"&lt;&gt;"&amp;D1795)&gt;0,"CONFLICT","")</f>
        <v/>
      </c>
      <c r="P1795" s="7"/>
    </row>
    <row r="1796" customFormat="false" ht="15" hidden="false" customHeight="false" outlineLevel="0" collapsed="false">
      <c r="A1796" s="7" t="s">
        <v>1300</v>
      </c>
      <c r="B1796" s="7" t="s">
        <v>1879</v>
      </c>
      <c r="C1796" s="7"/>
      <c r="D1796" s="6" t="s">
        <v>1300</v>
      </c>
      <c r="E1796" s="6" t="s">
        <v>1880</v>
      </c>
      <c r="F1796" s="7" t="str">
        <f aca="false">IF($D1796="","",IFERROR(IF(INDEX(Hierarchy!$B$2:$B$1295,MATCH($D1796,Hierarchy!$A$2:$A$1295,0))="","",INDEX(Hierarchy!$B$2:$B$1295,MATCH($D1796,Hierarchy!$A$2:$A$1295,0))),"NODE NOT FOUND"))</f>
        <v>Country</v>
      </c>
      <c r="G1796" s="7" t="str">
        <f aca="false">IF($D1796="","",IFERROR(IF(INDEX(Hierarchy!$D$2:$D$1295,MATCH($D1796,Hierarchy!$A$2:$A$1295,0))="","",INDEX(Hierarchy!$D$2:$D$1295,MATCH($D1796,Hierarchy!$A$2:$A$1295,0))),"NODE NOT FOUND"))</f>
        <v>EMEA</v>
      </c>
      <c r="H1796" s="7" t="str">
        <f aca="false">IF($D1796="","",IFERROR(IF(INDEX(Hierarchy!$E$2:$E$1295,MATCH($D1796,Hierarchy!$A$2:$A$1295,0))="","",INDEX(Hierarchy!$E$2:$E$1295,MATCH($D1796,Hierarchy!$A$2:$A$1295,0))),"NODE NOT FOUND"))</f>
        <v>Africa</v>
      </c>
      <c r="I1796" s="7" t="str">
        <f aca="false">IF($D1796="","",IFERROR(IF(INDEX(Hierarchy!$F$2:$F$1295,MATCH($D1796,Hierarchy!$A$2:$A$1295,0))="","",INDEX(Hierarchy!$F$2:$F$1295,MATCH($D1796,Hierarchy!$A$2:$A$1295,0))),"NODE NOT FOUND"))</f>
        <v>Tunisia</v>
      </c>
      <c r="J1796" s="7" t="str">
        <f aca="false">IF($D1796="","",IFERROR(IF(INDEX(Hierarchy!$G$2:$G$1295,MATCH($D1796,Hierarchy!$A$2:$A$1295,0))="","",INDEX(Hierarchy!$G$2:$G$1295,MATCH($D1796,Hierarchy!$A$2:$A$1295,0))),"NODE NOT FOUND"))</f>
        <v>TUN</v>
      </c>
      <c r="K1796" s="7" t="str">
        <f aca="false">IF($D1796="","",IFERROR(IF(INDEX(Hierarchy!$H$2:$H$1295,MATCH($D1796,Hierarchy!$A$2:$A$1295,0))="","",INDEX(Hierarchy!$H$2:$H$1295,MATCH($D1796,Hierarchy!$A$2:$A$1295,0))),"NODE NOT FOUND"))</f>
        <v/>
      </c>
      <c r="L1796" s="7" t="str">
        <f aca="false">IF($D1796="","",IFERROR(IF(INDEX(Hierarchy!$I$2:$I$1295,MATCH($D1796,Hierarchy!$A$2:$A$1295,0))="","",INDEX(Hierarchy!$I$2:$I$1295,MATCH($D1796,Hierarchy!$A$2:$A$1295,0))),"NODE NOT FOUND"))</f>
        <v/>
      </c>
      <c r="M1796" s="17" t="str">
        <f aca="false">IF(B1796="Pre-seeded","Pre-seeded",IF(B1796="Review 2026-09-16","Added from review",IF(C1796="","New",IF(C1796=D1796,"","Changed"))))</f>
        <v>Pre-seeded</v>
      </c>
      <c r="N1796" s="7" t="str">
        <f aca="false">TRIM(SUBSTITUTE(SUBSTITUTE(SUBSTITUTE(" "&amp;TRIM(SUBSTITUTE(SUBSTITUTE(SUBSTITUTE(SUBSTITUTE(SUBSTITUTE(SUBSTITUTE(SUBSTITUTE(SUBSTITUTE(SUBSTITUTE(SUBSTITUTE(SUBSTITUTE(SUBSTITUTE(SUBSTITUTE(SUBSTITUTE(SUBSTITUTE(UPPER(TRIM(A1796)),"[MEMBER]",""),"{MEMBER}",""),"[MEMBER}",""),"MEMBER]",""),"(A)",""),"""",""),"“",""),"”",""),".",""),":",""),",",""),"–"," "),"-"," "),"/"," "),"&amp;"," AND "))&amp;" "," THE "," ")," TOTAL "," ")," OPERATIONS "," "))</f>
        <v>TUNISIA</v>
      </c>
      <c r="O1796" s="17" t="str">
        <f aca="false">IF(COUNTIFS($N$2:$N$2000,N1796,$D$2:$D$2000,"&lt;&gt;"&amp;D1796)&gt;0,"CONFLICT","")</f>
        <v/>
      </c>
      <c r="P1796" s="7"/>
    </row>
    <row r="1797" customFormat="false" ht="15" hidden="false" customHeight="false" outlineLevel="0" collapsed="false">
      <c r="A1797" s="7" t="s">
        <v>2781</v>
      </c>
      <c r="B1797" s="7" t="s">
        <v>1882</v>
      </c>
      <c r="C1797" s="7" t="s">
        <v>1015</v>
      </c>
      <c r="D1797" s="6" t="s">
        <v>1015</v>
      </c>
      <c r="E1797" s="6" t="s">
        <v>1880</v>
      </c>
      <c r="F1797" s="7" t="str">
        <f aca="false">IF($D1797="","",IFERROR(IF(INDEX(Hierarchy!$B$2:$B$1295,MATCH($D1797,Hierarchy!$A$2:$A$1295,0))="","",INDEX(Hierarchy!$B$2:$B$1295,MATCH($D1797,Hierarchy!$A$2:$A$1295,0))),"NODE NOT FOUND"))</f>
        <v>Country</v>
      </c>
      <c r="G1797" s="7" t="str">
        <f aca="false">IF($D1797="","",IFERROR(IF(INDEX(Hierarchy!$D$2:$D$1295,MATCH($D1797,Hierarchy!$A$2:$A$1295,0))="","",INDEX(Hierarchy!$D$2:$D$1295,MATCH($D1797,Hierarchy!$A$2:$A$1295,0))),"NODE NOT FOUND"))</f>
        <v>EMEA</v>
      </c>
      <c r="H1797" s="7" t="str">
        <f aca="false">IF($D1797="","",IFERROR(IF(INDEX(Hierarchy!$E$2:$E$1295,MATCH($D1797,Hierarchy!$A$2:$A$1295,0))="","",INDEX(Hierarchy!$E$2:$E$1295,MATCH($D1797,Hierarchy!$A$2:$A$1295,0))),"NODE NOT FOUND"))</f>
        <v>Europe</v>
      </c>
      <c r="I1797" s="7" t="str">
        <f aca="false">IF($D1797="","",IFERROR(IF(INDEX(Hierarchy!$F$2:$F$1295,MATCH($D1797,Hierarchy!$A$2:$A$1295,0))="","",INDEX(Hierarchy!$F$2:$F$1295,MATCH($D1797,Hierarchy!$A$2:$A$1295,0))),"NODE NOT FOUND"))</f>
        <v>Türkiye</v>
      </c>
      <c r="J1797" s="7" t="str">
        <f aca="false">IF($D1797="","",IFERROR(IF(INDEX(Hierarchy!$G$2:$G$1295,MATCH($D1797,Hierarchy!$A$2:$A$1295,0))="","",INDEX(Hierarchy!$G$2:$G$1295,MATCH($D1797,Hierarchy!$A$2:$A$1295,0))),"NODE NOT FOUND"))</f>
        <v>TUR</v>
      </c>
      <c r="K1797" s="7" t="str">
        <f aca="false">IF($D1797="","",IFERROR(IF(INDEX(Hierarchy!$H$2:$H$1295,MATCH($D1797,Hierarchy!$A$2:$A$1295,0))="","",INDEX(Hierarchy!$H$2:$H$1295,MATCH($D1797,Hierarchy!$A$2:$A$1295,0))),"NODE NOT FOUND"))</f>
        <v/>
      </c>
      <c r="L1797" s="7" t="str">
        <f aca="false">IF($D1797="","",IFERROR(IF(INDEX(Hierarchy!$I$2:$I$1295,MATCH($D1797,Hierarchy!$A$2:$A$1295,0))="","",INDEX(Hierarchy!$I$2:$I$1295,MATCH($D1797,Hierarchy!$A$2:$A$1295,0))),"NODE NOT FOUND"))</f>
        <v/>
      </c>
      <c r="M1797" s="17" t="str">
        <f aca="false">IF(B1797="Pre-seeded","Pre-seeded",IF(B1797="Review 2026-09-16","Added from review",IF(C1797="","New",IF(C1797=D1797,"","Changed"))))</f>
        <v/>
      </c>
      <c r="N1797" s="7" t="str">
        <f aca="false">TRIM(SUBSTITUTE(SUBSTITUTE(SUBSTITUTE(" "&amp;TRIM(SUBSTITUTE(SUBSTITUTE(SUBSTITUTE(SUBSTITUTE(SUBSTITUTE(SUBSTITUTE(SUBSTITUTE(SUBSTITUTE(SUBSTITUTE(SUBSTITUTE(SUBSTITUTE(SUBSTITUTE(SUBSTITUTE(SUBSTITUTE(SUBSTITUTE(UPPER(TRIM(A1797)),"[MEMBER]",""),"{MEMBER}",""),"[MEMBER}",""),"MEMBER]",""),"(A)",""),"""",""),"“",""),"”",""),".",""),":",""),",",""),"–"," "),"-"," "),"/"," "),"&amp;"," AND "))&amp;" "," THE "," ")," TOTAL "," ")," OPERATIONS "," "))</f>
        <v>TURKEY</v>
      </c>
      <c r="O1797" s="17" t="str">
        <f aca="false">IF(COUNTIFS($N$2:$N$2000,N1797,$D$2:$D$2000,"&lt;&gt;"&amp;D1797)&gt;0,"CONFLICT","")</f>
        <v/>
      </c>
      <c r="P1797" s="7"/>
    </row>
    <row r="1798" customFormat="false" ht="15" hidden="false" customHeight="false" outlineLevel="0" collapsed="false">
      <c r="A1798" s="7" t="s">
        <v>2782</v>
      </c>
      <c r="B1798" s="7" t="s">
        <v>1882</v>
      </c>
      <c r="C1798" s="7" t="s">
        <v>1015</v>
      </c>
      <c r="D1798" s="6" t="s">
        <v>1015</v>
      </c>
      <c r="E1798" s="6" t="s">
        <v>1880</v>
      </c>
      <c r="F1798" s="7" t="str">
        <f aca="false">IF($D1798="","",IFERROR(IF(INDEX(Hierarchy!$B$2:$B$1295,MATCH($D1798,Hierarchy!$A$2:$A$1295,0))="","",INDEX(Hierarchy!$B$2:$B$1295,MATCH($D1798,Hierarchy!$A$2:$A$1295,0))),"NODE NOT FOUND"))</f>
        <v>Country</v>
      </c>
      <c r="G1798" s="7" t="str">
        <f aca="false">IF($D1798="","",IFERROR(IF(INDEX(Hierarchy!$D$2:$D$1295,MATCH($D1798,Hierarchy!$A$2:$A$1295,0))="","",INDEX(Hierarchy!$D$2:$D$1295,MATCH($D1798,Hierarchy!$A$2:$A$1295,0))),"NODE NOT FOUND"))</f>
        <v>EMEA</v>
      </c>
      <c r="H1798" s="7" t="str">
        <f aca="false">IF($D1798="","",IFERROR(IF(INDEX(Hierarchy!$E$2:$E$1295,MATCH($D1798,Hierarchy!$A$2:$A$1295,0))="","",INDEX(Hierarchy!$E$2:$E$1295,MATCH($D1798,Hierarchy!$A$2:$A$1295,0))),"NODE NOT FOUND"))</f>
        <v>Europe</v>
      </c>
      <c r="I1798" s="7" t="str">
        <f aca="false">IF($D1798="","",IFERROR(IF(INDEX(Hierarchy!$F$2:$F$1295,MATCH($D1798,Hierarchy!$A$2:$A$1295,0))="","",INDEX(Hierarchy!$F$2:$F$1295,MATCH($D1798,Hierarchy!$A$2:$A$1295,0))),"NODE NOT FOUND"))</f>
        <v>Türkiye</v>
      </c>
      <c r="J1798" s="7" t="str">
        <f aca="false">IF($D1798="","",IFERROR(IF(INDEX(Hierarchy!$G$2:$G$1295,MATCH($D1798,Hierarchy!$A$2:$A$1295,0))="","",INDEX(Hierarchy!$G$2:$G$1295,MATCH($D1798,Hierarchy!$A$2:$A$1295,0))),"NODE NOT FOUND"))</f>
        <v>TUR</v>
      </c>
      <c r="K1798" s="7" t="str">
        <f aca="false">IF($D1798="","",IFERROR(IF(INDEX(Hierarchy!$H$2:$H$1295,MATCH($D1798,Hierarchy!$A$2:$A$1295,0))="","",INDEX(Hierarchy!$H$2:$H$1295,MATCH($D1798,Hierarchy!$A$2:$A$1295,0))),"NODE NOT FOUND"))</f>
        <v/>
      </c>
      <c r="L1798" s="7" t="str">
        <f aca="false">IF($D1798="","",IFERROR(IF(INDEX(Hierarchy!$I$2:$I$1295,MATCH($D1798,Hierarchy!$A$2:$A$1295,0))="","",INDEX(Hierarchy!$I$2:$I$1295,MATCH($D1798,Hierarchy!$A$2:$A$1295,0))),"NODE NOT FOUND"))</f>
        <v/>
      </c>
      <c r="M1798" s="17" t="str">
        <f aca="false">IF(B1798="Pre-seeded","Pre-seeded",IF(B1798="Review 2026-09-16","Added from review",IF(C1798="","New",IF(C1798=D1798,"","Changed"))))</f>
        <v/>
      </c>
      <c r="N1798" s="7" t="str">
        <f aca="false">TRIM(SUBSTITUTE(SUBSTITUTE(SUBSTITUTE(" "&amp;TRIM(SUBSTITUTE(SUBSTITUTE(SUBSTITUTE(SUBSTITUTE(SUBSTITUTE(SUBSTITUTE(SUBSTITUTE(SUBSTITUTE(SUBSTITUTE(SUBSTITUTE(SUBSTITUTE(SUBSTITUTE(SUBSTITUTE(SUBSTITUTE(SUBSTITUTE(UPPER(TRIM(A1798)),"[MEMBER]",""),"{MEMBER}",""),"[MEMBER}",""),"MEMBER]",""),"(A)",""),"""",""),"“",""),"”",""),".",""),":",""),",",""),"–"," "),"-"," "),"/"," "),"&amp;"," AND "))&amp;" "," THE "," ")," TOTAL "," ")," OPERATIONS "," "))</f>
        <v>TURKEY NEW LIRA</v>
      </c>
      <c r="O1798" s="17" t="str">
        <f aca="false">IF(COUNTIFS($N$2:$N$2000,N1798,$D$2:$D$2000,"&lt;&gt;"&amp;D1798)&gt;0,"CONFLICT","")</f>
        <v/>
      </c>
      <c r="P1798" s="7" t="s">
        <v>2783</v>
      </c>
    </row>
    <row r="1799" customFormat="false" ht="15" hidden="false" customHeight="false" outlineLevel="0" collapsed="false">
      <c r="A1799" s="7" t="s">
        <v>2784</v>
      </c>
      <c r="B1799" s="7" t="s">
        <v>1882</v>
      </c>
      <c r="C1799" s="7" t="s">
        <v>1015</v>
      </c>
      <c r="D1799" s="6" t="s">
        <v>1015</v>
      </c>
      <c r="E1799" s="6" t="s">
        <v>1880</v>
      </c>
      <c r="F1799" s="7" t="str">
        <f aca="false">IF($D1799="","",IFERROR(IF(INDEX(Hierarchy!$B$2:$B$1295,MATCH($D1799,Hierarchy!$A$2:$A$1295,0))="","",INDEX(Hierarchy!$B$2:$B$1295,MATCH($D1799,Hierarchy!$A$2:$A$1295,0))),"NODE NOT FOUND"))</f>
        <v>Country</v>
      </c>
      <c r="G1799" s="7" t="str">
        <f aca="false">IF($D1799="","",IFERROR(IF(INDEX(Hierarchy!$D$2:$D$1295,MATCH($D1799,Hierarchy!$A$2:$A$1295,0))="","",INDEX(Hierarchy!$D$2:$D$1295,MATCH($D1799,Hierarchy!$A$2:$A$1295,0))),"NODE NOT FOUND"))</f>
        <v>EMEA</v>
      </c>
      <c r="H1799" s="7" t="str">
        <f aca="false">IF($D1799="","",IFERROR(IF(INDEX(Hierarchy!$E$2:$E$1295,MATCH($D1799,Hierarchy!$A$2:$A$1295,0))="","",INDEX(Hierarchy!$E$2:$E$1295,MATCH($D1799,Hierarchy!$A$2:$A$1295,0))),"NODE NOT FOUND"))</f>
        <v>Europe</v>
      </c>
      <c r="I1799" s="7" t="str">
        <f aca="false">IF($D1799="","",IFERROR(IF(INDEX(Hierarchy!$F$2:$F$1295,MATCH($D1799,Hierarchy!$A$2:$A$1295,0))="","",INDEX(Hierarchy!$F$2:$F$1295,MATCH($D1799,Hierarchy!$A$2:$A$1295,0))),"NODE NOT FOUND"))</f>
        <v>Türkiye</v>
      </c>
      <c r="J1799" s="7" t="str">
        <f aca="false">IF($D1799="","",IFERROR(IF(INDEX(Hierarchy!$G$2:$G$1295,MATCH($D1799,Hierarchy!$A$2:$A$1295,0))="","",INDEX(Hierarchy!$G$2:$G$1295,MATCH($D1799,Hierarchy!$A$2:$A$1295,0))),"NODE NOT FOUND"))</f>
        <v>TUR</v>
      </c>
      <c r="K1799" s="7" t="str">
        <f aca="false">IF($D1799="","",IFERROR(IF(INDEX(Hierarchy!$H$2:$H$1295,MATCH($D1799,Hierarchy!$A$2:$A$1295,0))="","",INDEX(Hierarchy!$H$2:$H$1295,MATCH($D1799,Hierarchy!$A$2:$A$1295,0))),"NODE NOT FOUND"))</f>
        <v/>
      </c>
      <c r="L1799" s="7" t="str">
        <f aca="false">IF($D1799="","",IFERROR(IF(INDEX(Hierarchy!$I$2:$I$1295,MATCH($D1799,Hierarchy!$A$2:$A$1295,0))="","",INDEX(Hierarchy!$I$2:$I$1295,MATCH($D1799,Hierarchy!$A$2:$A$1295,0))),"NODE NOT FOUND"))</f>
        <v/>
      </c>
      <c r="M1799" s="17" t="str">
        <f aca="false">IF(B1799="Pre-seeded","Pre-seeded",IF(B1799="Review 2026-09-16","Added from review",IF(C1799="","New",IF(C1799=D1799,"","Changed"))))</f>
        <v/>
      </c>
      <c r="N1799" s="7" t="str">
        <f aca="false">TRIM(SUBSTITUTE(SUBSTITUTE(SUBSTITUTE(" "&amp;TRIM(SUBSTITUTE(SUBSTITUTE(SUBSTITUTE(SUBSTITUTE(SUBSTITUTE(SUBSTITUTE(SUBSTITUTE(SUBSTITUTE(SUBSTITUTE(SUBSTITUTE(SUBSTITUTE(SUBSTITUTE(SUBSTITUTE(SUBSTITUTE(SUBSTITUTE(UPPER(TRIM(A1799)),"[MEMBER]",""),"{MEMBER}",""),"[MEMBER}",""),"MEMBER]",""),"(A)",""),"""",""),"“",""),"”",""),".",""),":",""),",",""),"–"," "),"-"," "),"/"," "),"&amp;"," AND "))&amp;" "," THE "," ")," TOTAL "," ")," OPERATIONS "," "))</f>
        <v>TURKIYE</v>
      </c>
      <c r="O1799" s="17" t="str">
        <f aca="false">IF(COUNTIFS($N$2:$N$2000,N1799,$D$2:$D$2000,"&lt;&gt;"&amp;D1799)&gt;0,"CONFLICT","")</f>
        <v/>
      </c>
      <c r="P1799" s="7"/>
    </row>
    <row r="1800" customFormat="false" ht="15" hidden="false" customHeight="false" outlineLevel="0" collapsed="false">
      <c r="A1800" s="7" t="s">
        <v>1012</v>
      </c>
      <c r="B1800" s="7" t="s">
        <v>1879</v>
      </c>
      <c r="C1800" s="7"/>
      <c r="D1800" s="6" t="s">
        <v>1012</v>
      </c>
      <c r="E1800" s="6" t="s">
        <v>1880</v>
      </c>
      <c r="F1800" s="7" t="str">
        <f aca="false">IF($D1800="","",IFERROR(IF(INDEX(Hierarchy!$B$2:$B$1295,MATCH($D1800,Hierarchy!$A$2:$A$1295,0))="","",INDEX(Hierarchy!$B$2:$B$1295,MATCH($D1800,Hierarchy!$A$2:$A$1295,0))),"NODE NOT FOUND"))</f>
        <v>Country</v>
      </c>
      <c r="G1800" s="7" t="str">
        <f aca="false">IF($D1800="","",IFERROR(IF(INDEX(Hierarchy!$D$2:$D$1295,MATCH($D1800,Hierarchy!$A$2:$A$1295,0))="","",INDEX(Hierarchy!$D$2:$D$1295,MATCH($D1800,Hierarchy!$A$2:$A$1295,0))),"NODE NOT FOUND"))</f>
        <v>EMEA</v>
      </c>
      <c r="H1800" s="7" t="str">
        <f aca="false">IF($D1800="","",IFERROR(IF(INDEX(Hierarchy!$E$2:$E$1295,MATCH($D1800,Hierarchy!$A$2:$A$1295,0))="","",INDEX(Hierarchy!$E$2:$E$1295,MATCH($D1800,Hierarchy!$A$2:$A$1295,0))),"NODE NOT FOUND"))</f>
        <v>Europe</v>
      </c>
      <c r="I1800" s="7" t="str">
        <f aca="false">IF($D1800="","",IFERROR(IF(INDEX(Hierarchy!$F$2:$F$1295,MATCH($D1800,Hierarchy!$A$2:$A$1295,0))="","",INDEX(Hierarchy!$F$2:$F$1295,MATCH($D1800,Hierarchy!$A$2:$A$1295,0))),"NODE NOT FOUND"))</f>
        <v>Turkmenistan</v>
      </c>
      <c r="J1800" s="7" t="str">
        <f aca="false">IF($D1800="","",IFERROR(IF(INDEX(Hierarchy!$G$2:$G$1295,MATCH($D1800,Hierarchy!$A$2:$A$1295,0))="","",INDEX(Hierarchy!$G$2:$G$1295,MATCH($D1800,Hierarchy!$A$2:$A$1295,0))),"NODE NOT FOUND"))</f>
        <v>TKM</v>
      </c>
      <c r="K1800" s="7" t="str">
        <f aca="false">IF($D1800="","",IFERROR(IF(INDEX(Hierarchy!$H$2:$H$1295,MATCH($D1800,Hierarchy!$A$2:$A$1295,0))="","",INDEX(Hierarchy!$H$2:$H$1295,MATCH($D1800,Hierarchy!$A$2:$A$1295,0))),"NODE NOT FOUND"))</f>
        <v/>
      </c>
      <c r="L1800" s="7" t="str">
        <f aca="false">IF($D1800="","",IFERROR(IF(INDEX(Hierarchy!$I$2:$I$1295,MATCH($D1800,Hierarchy!$A$2:$A$1295,0))="","",INDEX(Hierarchy!$I$2:$I$1295,MATCH($D1800,Hierarchy!$A$2:$A$1295,0))),"NODE NOT FOUND"))</f>
        <v/>
      </c>
      <c r="M1800" s="17" t="str">
        <f aca="false">IF(B1800="Pre-seeded","Pre-seeded",IF(B1800="Review 2026-09-16","Added from review",IF(C1800="","New",IF(C1800=D1800,"","Changed"))))</f>
        <v>Pre-seeded</v>
      </c>
      <c r="N1800" s="7" t="str">
        <f aca="false">TRIM(SUBSTITUTE(SUBSTITUTE(SUBSTITUTE(" "&amp;TRIM(SUBSTITUTE(SUBSTITUTE(SUBSTITUTE(SUBSTITUTE(SUBSTITUTE(SUBSTITUTE(SUBSTITUTE(SUBSTITUTE(SUBSTITUTE(SUBSTITUTE(SUBSTITUTE(SUBSTITUTE(SUBSTITUTE(SUBSTITUTE(SUBSTITUTE(UPPER(TRIM(A1800)),"[MEMBER]",""),"{MEMBER}",""),"[MEMBER}",""),"MEMBER]",""),"(A)",""),"""",""),"“",""),"”",""),".",""),":",""),",",""),"–"," "),"-"," "),"/"," "),"&amp;"," AND "))&amp;" "," THE "," ")," TOTAL "," ")," OPERATIONS "," "))</f>
        <v>TURKMENISTAN</v>
      </c>
      <c r="O1800" s="17" t="str">
        <f aca="false">IF(COUNTIFS($N$2:$N$2000,N1800,$D$2:$D$2000,"&lt;&gt;"&amp;D1800)&gt;0,"CONFLICT","")</f>
        <v/>
      </c>
      <c r="P1800" s="7"/>
    </row>
    <row r="1801" customFormat="false" ht="15" hidden="false" customHeight="false" outlineLevel="0" collapsed="false">
      <c r="A1801" s="7" t="s">
        <v>607</v>
      </c>
      <c r="B1801" s="7" t="s">
        <v>1879</v>
      </c>
      <c r="C1801" s="7"/>
      <c r="D1801" s="6" t="s">
        <v>607</v>
      </c>
      <c r="E1801" s="6" t="s">
        <v>1880</v>
      </c>
      <c r="F1801" s="7" t="str">
        <f aca="false">IF($D1801="","",IFERROR(IF(INDEX(Hierarchy!$B$2:$B$1295,MATCH($D1801,Hierarchy!$A$2:$A$1295,0))="","",INDEX(Hierarchy!$B$2:$B$1295,MATCH($D1801,Hierarchy!$A$2:$A$1295,0))),"NODE NOT FOUND"))</f>
        <v>Country</v>
      </c>
      <c r="G1801" s="7" t="str">
        <f aca="false">IF($D1801="","",IFERROR(IF(INDEX(Hierarchy!$D$2:$D$1295,MATCH($D1801,Hierarchy!$A$2:$A$1295,0))="","",INDEX(Hierarchy!$D$2:$D$1295,MATCH($D1801,Hierarchy!$A$2:$A$1295,0))),"NODE NOT FOUND"))</f>
        <v>AMER</v>
      </c>
      <c r="H1801" s="7" t="str">
        <f aca="false">IF($D1801="","",IFERROR(IF(INDEX(Hierarchy!$E$2:$E$1295,MATCH($D1801,Hierarchy!$A$2:$A$1295,0))="","",INDEX(Hierarchy!$E$2:$E$1295,MATCH($D1801,Hierarchy!$A$2:$A$1295,0))),"NODE NOT FOUND"))</f>
        <v>Latin America (LATAM)</v>
      </c>
      <c r="I1801" s="7" t="str">
        <f aca="false">IF($D1801="","",IFERROR(IF(INDEX(Hierarchy!$F$2:$F$1295,MATCH($D1801,Hierarchy!$A$2:$A$1295,0))="","",INDEX(Hierarchy!$F$2:$F$1295,MATCH($D1801,Hierarchy!$A$2:$A$1295,0))),"NODE NOT FOUND"))</f>
        <v>Turks and Caicos Islands</v>
      </c>
      <c r="J1801" s="7" t="str">
        <f aca="false">IF($D1801="","",IFERROR(IF(INDEX(Hierarchy!$G$2:$G$1295,MATCH($D1801,Hierarchy!$A$2:$A$1295,0))="","",INDEX(Hierarchy!$G$2:$G$1295,MATCH($D1801,Hierarchy!$A$2:$A$1295,0))),"NODE NOT FOUND"))</f>
        <v>TCA</v>
      </c>
      <c r="K1801" s="7" t="str">
        <f aca="false">IF($D1801="","",IFERROR(IF(INDEX(Hierarchy!$H$2:$H$1295,MATCH($D1801,Hierarchy!$A$2:$A$1295,0))="","",INDEX(Hierarchy!$H$2:$H$1295,MATCH($D1801,Hierarchy!$A$2:$A$1295,0))),"NODE NOT FOUND"))</f>
        <v/>
      </c>
      <c r="L1801" s="7" t="str">
        <f aca="false">IF($D1801="","",IFERROR(IF(INDEX(Hierarchy!$I$2:$I$1295,MATCH($D1801,Hierarchy!$A$2:$A$1295,0))="","",INDEX(Hierarchy!$I$2:$I$1295,MATCH($D1801,Hierarchy!$A$2:$A$1295,0))),"NODE NOT FOUND"))</f>
        <v/>
      </c>
      <c r="M1801" s="17" t="str">
        <f aca="false">IF(B1801="Pre-seeded","Pre-seeded",IF(B1801="Review 2026-09-16","Added from review",IF(C1801="","New",IF(C1801=D1801,"","Changed"))))</f>
        <v>Pre-seeded</v>
      </c>
      <c r="N1801" s="7" t="str">
        <f aca="false">TRIM(SUBSTITUTE(SUBSTITUTE(SUBSTITUTE(" "&amp;TRIM(SUBSTITUTE(SUBSTITUTE(SUBSTITUTE(SUBSTITUTE(SUBSTITUTE(SUBSTITUTE(SUBSTITUTE(SUBSTITUTE(SUBSTITUTE(SUBSTITUTE(SUBSTITUTE(SUBSTITUTE(SUBSTITUTE(SUBSTITUTE(SUBSTITUTE(UPPER(TRIM(A1801)),"[MEMBER]",""),"{MEMBER}",""),"[MEMBER}",""),"MEMBER]",""),"(A)",""),"""",""),"“",""),"”",""),".",""),":",""),",",""),"–"," "),"-"," "),"/"," "),"&amp;"," AND "))&amp;" "," THE "," ")," TOTAL "," ")," OPERATIONS "," "))</f>
        <v>TURKS AND CAICOS ISLANDS</v>
      </c>
      <c r="O1801" s="17" t="str">
        <f aca="false">IF(COUNTIFS($N$2:$N$2000,N1801,$D$2:$D$2000,"&lt;&gt;"&amp;D1801)&gt;0,"CONFLICT","")</f>
        <v/>
      </c>
      <c r="P1801" s="7"/>
    </row>
    <row r="1802" customFormat="false" ht="15" hidden="false" customHeight="false" outlineLevel="0" collapsed="false">
      <c r="A1802" s="7" t="s">
        <v>849</v>
      </c>
      <c r="B1802" s="7" t="s">
        <v>1879</v>
      </c>
      <c r="C1802" s="7"/>
      <c r="D1802" s="6" t="s">
        <v>849</v>
      </c>
      <c r="E1802" s="6" t="s">
        <v>1880</v>
      </c>
      <c r="F1802" s="7" t="str">
        <f aca="false">IF($D1802="","",IFERROR(IF(INDEX(Hierarchy!$B$2:$B$1295,MATCH($D1802,Hierarchy!$A$2:$A$1295,0))="","",INDEX(Hierarchy!$B$2:$B$1295,MATCH($D1802,Hierarchy!$A$2:$A$1295,0))),"NODE NOT FOUND"))</f>
        <v>State/Province</v>
      </c>
      <c r="G1802" s="7" t="str">
        <f aca="false">IF($D1802="","",IFERROR(IF(INDEX(Hierarchy!$D$2:$D$1295,MATCH($D1802,Hierarchy!$A$2:$A$1295,0))="","",INDEX(Hierarchy!$D$2:$D$1295,MATCH($D1802,Hierarchy!$A$2:$A$1295,0))),"NODE NOT FOUND"))</f>
        <v>EMEA</v>
      </c>
      <c r="H1802" s="7" t="str">
        <f aca="false">IF($D1802="","",IFERROR(IF(INDEX(Hierarchy!$E$2:$E$1295,MATCH($D1802,Hierarchy!$A$2:$A$1295,0))="","",INDEX(Hierarchy!$E$2:$E$1295,MATCH($D1802,Hierarchy!$A$2:$A$1295,0))),"NODE NOT FOUND"))</f>
        <v>Europe</v>
      </c>
      <c r="I1802" s="7" t="str">
        <f aca="false">IF($D1802="","",IFERROR(IF(INDEX(Hierarchy!$F$2:$F$1295,MATCH($D1802,Hierarchy!$A$2:$A$1295,0))="","",INDEX(Hierarchy!$F$2:$F$1295,MATCH($D1802,Hierarchy!$A$2:$A$1295,0))),"NODE NOT FOUND"))</f>
        <v>Italy</v>
      </c>
      <c r="J1802" s="7" t="str">
        <f aca="false">IF($D1802="","",IFERROR(IF(INDEX(Hierarchy!$G$2:$G$1295,MATCH($D1802,Hierarchy!$A$2:$A$1295,0))="","",INDEX(Hierarchy!$G$2:$G$1295,MATCH($D1802,Hierarchy!$A$2:$A$1295,0))),"NODE NOT FOUND"))</f>
        <v>ITA</v>
      </c>
      <c r="K1802" s="7" t="str">
        <f aca="false">IF($D1802="","",IFERROR(IF(INDEX(Hierarchy!$H$2:$H$1295,MATCH($D1802,Hierarchy!$A$2:$A$1295,0))="","",INDEX(Hierarchy!$H$2:$H$1295,MATCH($D1802,Hierarchy!$A$2:$A$1295,0))),"NODE NOT FOUND"))</f>
        <v>Tuscany</v>
      </c>
      <c r="L1802" s="7" t="str">
        <f aca="false">IF($D1802="","",IFERROR(IF(INDEX(Hierarchy!$I$2:$I$1295,MATCH($D1802,Hierarchy!$A$2:$A$1295,0))="","",INDEX(Hierarchy!$I$2:$I$1295,MATCH($D1802,Hierarchy!$A$2:$A$1295,0))),"NODE NOT FOUND"))</f>
        <v/>
      </c>
      <c r="M1802" s="17" t="str">
        <f aca="false">IF(B1802="Pre-seeded","Pre-seeded",IF(B1802="Review 2026-09-16","Added from review",IF(C1802="","New",IF(C1802=D1802,"","Changed"))))</f>
        <v>Pre-seeded</v>
      </c>
      <c r="N1802" s="7" t="str">
        <f aca="false">TRIM(SUBSTITUTE(SUBSTITUTE(SUBSTITUTE(" "&amp;TRIM(SUBSTITUTE(SUBSTITUTE(SUBSTITUTE(SUBSTITUTE(SUBSTITUTE(SUBSTITUTE(SUBSTITUTE(SUBSTITUTE(SUBSTITUTE(SUBSTITUTE(SUBSTITUTE(SUBSTITUTE(SUBSTITUTE(SUBSTITUTE(SUBSTITUTE(UPPER(TRIM(A1802)),"[MEMBER]",""),"{MEMBER}",""),"[MEMBER}",""),"MEMBER]",""),"(A)",""),"""",""),"“",""),"”",""),".",""),":",""),",",""),"–"," "),"-"," "),"/"," "),"&amp;"," AND "))&amp;" "," THE "," ")," TOTAL "," ")," OPERATIONS "," "))</f>
        <v>TUSCANY</v>
      </c>
      <c r="O1802" s="17" t="str">
        <f aca="false">IF(COUNTIFS($N$2:$N$2000,N1802,$D$2:$D$2000,"&lt;&gt;"&amp;D1802)&gt;0,"CONFLICT","")</f>
        <v/>
      </c>
      <c r="P1802" s="7"/>
    </row>
    <row r="1803" customFormat="false" ht="15" hidden="false" customHeight="false" outlineLevel="0" collapsed="false">
      <c r="A1803" s="7" t="s">
        <v>1778</v>
      </c>
      <c r="B1803" s="7" t="s">
        <v>1879</v>
      </c>
      <c r="C1803" s="7"/>
      <c r="D1803" s="6" t="s">
        <v>1778</v>
      </c>
      <c r="E1803" s="6" t="s">
        <v>1880</v>
      </c>
      <c r="F1803" s="7" t="str">
        <f aca="false">IF($D1803="","",IFERROR(IF(INDEX(Hierarchy!$B$2:$B$1295,MATCH($D1803,Hierarchy!$A$2:$A$1295,0))="","",INDEX(Hierarchy!$B$2:$B$1295,MATCH($D1803,Hierarchy!$A$2:$A$1295,0))),"NODE NOT FOUND"))</f>
        <v>Country</v>
      </c>
      <c r="G1803" s="7" t="str">
        <f aca="false">IF($D1803="","",IFERROR(IF(INDEX(Hierarchy!$D$2:$D$1295,MATCH($D1803,Hierarchy!$A$2:$A$1295,0))="","",INDEX(Hierarchy!$D$2:$D$1295,MATCH($D1803,Hierarchy!$A$2:$A$1295,0))),"NODE NOT FOUND"))</f>
        <v>APAC</v>
      </c>
      <c r="H1803" s="7" t="str">
        <f aca="false">IF($D1803="","",IFERROR(IF(INDEX(Hierarchy!$E$2:$E$1295,MATCH($D1803,Hierarchy!$A$2:$A$1295,0))="","",INDEX(Hierarchy!$E$2:$E$1295,MATCH($D1803,Hierarchy!$A$2:$A$1295,0))),"NODE NOT FOUND"))</f>
        <v>Oceania (ANZ)</v>
      </c>
      <c r="I1803" s="7" t="str">
        <f aca="false">IF($D1803="","",IFERROR(IF(INDEX(Hierarchy!$F$2:$F$1295,MATCH($D1803,Hierarchy!$A$2:$A$1295,0))="","",INDEX(Hierarchy!$F$2:$F$1295,MATCH($D1803,Hierarchy!$A$2:$A$1295,0))),"NODE NOT FOUND"))</f>
        <v>Tuvalu</v>
      </c>
      <c r="J1803" s="7" t="str">
        <f aca="false">IF($D1803="","",IFERROR(IF(INDEX(Hierarchy!$G$2:$G$1295,MATCH($D1803,Hierarchy!$A$2:$A$1295,0))="","",INDEX(Hierarchy!$G$2:$G$1295,MATCH($D1803,Hierarchy!$A$2:$A$1295,0))),"NODE NOT FOUND"))</f>
        <v>TUV</v>
      </c>
      <c r="K1803" s="7" t="str">
        <f aca="false">IF($D1803="","",IFERROR(IF(INDEX(Hierarchy!$H$2:$H$1295,MATCH($D1803,Hierarchy!$A$2:$A$1295,0))="","",INDEX(Hierarchy!$H$2:$H$1295,MATCH($D1803,Hierarchy!$A$2:$A$1295,0))),"NODE NOT FOUND"))</f>
        <v/>
      </c>
      <c r="L1803" s="7" t="str">
        <f aca="false">IF($D1803="","",IFERROR(IF(INDEX(Hierarchy!$I$2:$I$1295,MATCH($D1803,Hierarchy!$A$2:$A$1295,0))="","",INDEX(Hierarchy!$I$2:$I$1295,MATCH($D1803,Hierarchy!$A$2:$A$1295,0))),"NODE NOT FOUND"))</f>
        <v/>
      </c>
      <c r="M1803" s="17" t="str">
        <f aca="false">IF(B1803="Pre-seeded","Pre-seeded",IF(B1803="Review 2026-09-16","Added from review",IF(C1803="","New",IF(C1803=D1803,"","Changed"))))</f>
        <v>Pre-seeded</v>
      </c>
      <c r="N1803" s="7" t="str">
        <f aca="false">TRIM(SUBSTITUTE(SUBSTITUTE(SUBSTITUTE(" "&amp;TRIM(SUBSTITUTE(SUBSTITUTE(SUBSTITUTE(SUBSTITUTE(SUBSTITUTE(SUBSTITUTE(SUBSTITUTE(SUBSTITUTE(SUBSTITUTE(SUBSTITUTE(SUBSTITUTE(SUBSTITUTE(SUBSTITUTE(SUBSTITUTE(SUBSTITUTE(UPPER(TRIM(A1803)),"[MEMBER]",""),"{MEMBER}",""),"[MEMBER}",""),"MEMBER]",""),"(A)",""),"""",""),"“",""),"”",""),".",""),":",""),",",""),"–"," "),"-"," "),"/"," "),"&amp;"," AND "))&amp;" "," THE "," ")," TOTAL "," ")," OPERATIONS "," "))</f>
        <v>TUVALU</v>
      </c>
      <c r="O1803" s="17" t="str">
        <f aca="false">IF(COUNTIFS($N$2:$N$2000,N1803,$D$2:$D$2000,"&lt;&gt;"&amp;D1803)&gt;0,"CONFLICT","")</f>
        <v/>
      </c>
      <c r="P1803" s="7"/>
    </row>
    <row r="1804" customFormat="false" ht="15" hidden="false" customHeight="false" outlineLevel="0" collapsed="false">
      <c r="A1804" s="7" t="s">
        <v>754</v>
      </c>
      <c r="B1804" s="7" t="s">
        <v>1879</v>
      </c>
      <c r="C1804" s="7"/>
      <c r="D1804" s="6" t="s">
        <v>754</v>
      </c>
      <c r="E1804" s="6" t="s">
        <v>1880</v>
      </c>
      <c r="F1804" s="7" t="str">
        <f aca="false">IF($D1804="","",IFERROR(IF(INDEX(Hierarchy!$B$2:$B$1295,MATCH($D1804,Hierarchy!$A$2:$A$1295,0))="","",INDEX(Hierarchy!$B$2:$B$1295,MATCH($D1804,Hierarchy!$A$2:$A$1295,0))),"NODE NOT FOUND"))</f>
        <v>State/Province</v>
      </c>
      <c r="G1804" s="7" t="str">
        <f aca="false">IF($D1804="","",IFERROR(IF(INDEX(Hierarchy!$D$2:$D$1295,MATCH($D1804,Hierarchy!$A$2:$A$1295,0))="","",INDEX(Hierarchy!$D$2:$D$1295,MATCH($D1804,Hierarchy!$A$2:$A$1295,0))),"NODE NOT FOUND"))</f>
        <v>EMEA</v>
      </c>
      <c r="H1804" s="7" t="str">
        <f aca="false">IF($D1804="","",IFERROR(IF(INDEX(Hierarchy!$E$2:$E$1295,MATCH($D1804,Hierarchy!$A$2:$A$1295,0))="","",INDEX(Hierarchy!$E$2:$E$1295,MATCH($D1804,Hierarchy!$A$2:$A$1295,0))),"NODE NOT FOUND"))</f>
        <v>Europe</v>
      </c>
      <c r="I1804" s="7" t="str">
        <f aca="false">IF($D1804="","",IFERROR(IF(INDEX(Hierarchy!$F$2:$F$1295,MATCH($D1804,Hierarchy!$A$2:$A$1295,0))="","",INDEX(Hierarchy!$F$2:$F$1295,MATCH($D1804,Hierarchy!$A$2:$A$1295,0))),"NODE NOT FOUND"))</f>
        <v>Austria</v>
      </c>
      <c r="J1804" s="7" t="str">
        <f aca="false">IF($D1804="","",IFERROR(IF(INDEX(Hierarchy!$G$2:$G$1295,MATCH($D1804,Hierarchy!$A$2:$A$1295,0))="","",INDEX(Hierarchy!$G$2:$G$1295,MATCH($D1804,Hierarchy!$A$2:$A$1295,0))),"NODE NOT FOUND"))</f>
        <v>AUT</v>
      </c>
      <c r="K1804" s="7" t="str">
        <f aca="false">IF($D1804="","",IFERROR(IF(INDEX(Hierarchy!$H$2:$H$1295,MATCH($D1804,Hierarchy!$A$2:$A$1295,0))="","",INDEX(Hierarchy!$H$2:$H$1295,MATCH($D1804,Hierarchy!$A$2:$A$1295,0))),"NODE NOT FOUND"))</f>
        <v>Tyrol</v>
      </c>
      <c r="L1804" s="7" t="str">
        <f aca="false">IF($D1804="","",IFERROR(IF(INDEX(Hierarchy!$I$2:$I$1295,MATCH($D1804,Hierarchy!$A$2:$A$1295,0))="","",INDEX(Hierarchy!$I$2:$I$1295,MATCH($D1804,Hierarchy!$A$2:$A$1295,0))),"NODE NOT FOUND"))</f>
        <v/>
      </c>
      <c r="M1804" s="17" t="str">
        <f aca="false">IF(B1804="Pre-seeded","Pre-seeded",IF(B1804="Review 2026-09-16","Added from review",IF(C1804="","New",IF(C1804=D1804,"","Changed"))))</f>
        <v>Pre-seeded</v>
      </c>
      <c r="N1804" s="7" t="str">
        <f aca="false">TRIM(SUBSTITUTE(SUBSTITUTE(SUBSTITUTE(" "&amp;TRIM(SUBSTITUTE(SUBSTITUTE(SUBSTITUTE(SUBSTITUTE(SUBSTITUTE(SUBSTITUTE(SUBSTITUTE(SUBSTITUTE(SUBSTITUTE(SUBSTITUTE(SUBSTITUTE(SUBSTITUTE(SUBSTITUTE(SUBSTITUTE(SUBSTITUTE(UPPER(TRIM(A1804)),"[MEMBER]",""),"{MEMBER}",""),"[MEMBER}",""),"MEMBER]",""),"(A)",""),"""",""),"“",""),"”",""),".",""),":",""),",",""),"–"," "),"-"," "),"/"," "),"&amp;"," AND "))&amp;" "," THE "," ")," TOTAL "," ")," OPERATIONS "," "))</f>
        <v>TYROL</v>
      </c>
      <c r="O1804" s="17" t="str">
        <f aca="false">IF(COUNTIFS($N$2:$N$2000,N1804,$D$2:$D$2000,"&lt;&gt;"&amp;D1804)&gt;0,"CONFLICT","")</f>
        <v/>
      </c>
      <c r="P1804" s="7"/>
    </row>
    <row r="1805" customFormat="false" ht="15" hidden="false" customHeight="false" outlineLevel="0" collapsed="false">
      <c r="A1805" s="7" t="s">
        <v>1015</v>
      </c>
      <c r="B1805" s="7" t="s">
        <v>1882</v>
      </c>
      <c r="C1805" s="7" t="s">
        <v>1015</v>
      </c>
      <c r="D1805" s="6" t="s">
        <v>1015</v>
      </c>
      <c r="E1805" s="6" t="s">
        <v>1880</v>
      </c>
      <c r="F1805" s="7" t="str">
        <f aca="false">IF($D1805="","",IFERROR(IF(INDEX(Hierarchy!$B$2:$B$1295,MATCH($D1805,Hierarchy!$A$2:$A$1295,0))="","",INDEX(Hierarchy!$B$2:$B$1295,MATCH($D1805,Hierarchy!$A$2:$A$1295,0))),"NODE NOT FOUND"))</f>
        <v>Country</v>
      </c>
      <c r="G1805" s="7" t="str">
        <f aca="false">IF($D1805="","",IFERROR(IF(INDEX(Hierarchy!$D$2:$D$1295,MATCH($D1805,Hierarchy!$A$2:$A$1295,0))="","",INDEX(Hierarchy!$D$2:$D$1295,MATCH($D1805,Hierarchy!$A$2:$A$1295,0))),"NODE NOT FOUND"))</f>
        <v>EMEA</v>
      </c>
      <c r="H1805" s="7" t="str">
        <f aca="false">IF($D1805="","",IFERROR(IF(INDEX(Hierarchy!$E$2:$E$1295,MATCH($D1805,Hierarchy!$A$2:$A$1295,0))="","",INDEX(Hierarchy!$E$2:$E$1295,MATCH($D1805,Hierarchy!$A$2:$A$1295,0))),"NODE NOT FOUND"))</f>
        <v>Europe</v>
      </c>
      <c r="I1805" s="7" t="str">
        <f aca="false">IF($D1805="","",IFERROR(IF(INDEX(Hierarchy!$F$2:$F$1295,MATCH($D1805,Hierarchy!$A$2:$A$1295,0))="","",INDEX(Hierarchy!$F$2:$F$1295,MATCH($D1805,Hierarchy!$A$2:$A$1295,0))),"NODE NOT FOUND"))</f>
        <v>Türkiye</v>
      </c>
      <c r="J1805" s="7" t="str">
        <f aca="false">IF($D1805="","",IFERROR(IF(INDEX(Hierarchy!$G$2:$G$1295,MATCH($D1805,Hierarchy!$A$2:$A$1295,0))="","",INDEX(Hierarchy!$G$2:$G$1295,MATCH($D1805,Hierarchy!$A$2:$A$1295,0))),"NODE NOT FOUND"))</f>
        <v>TUR</v>
      </c>
      <c r="K1805" s="7" t="str">
        <f aca="false">IF($D1805="","",IFERROR(IF(INDEX(Hierarchy!$H$2:$H$1295,MATCH($D1805,Hierarchy!$A$2:$A$1295,0))="","",INDEX(Hierarchy!$H$2:$H$1295,MATCH($D1805,Hierarchy!$A$2:$A$1295,0))),"NODE NOT FOUND"))</f>
        <v/>
      </c>
      <c r="L1805" s="7" t="str">
        <f aca="false">IF($D1805="","",IFERROR(IF(INDEX(Hierarchy!$I$2:$I$1295,MATCH($D1805,Hierarchy!$A$2:$A$1295,0))="","",INDEX(Hierarchy!$I$2:$I$1295,MATCH($D1805,Hierarchy!$A$2:$A$1295,0))),"NODE NOT FOUND"))</f>
        <v/>
      </c>
      <c r="M1805" s="17" t="str">
        <f aca="false">IF(B1805="Pre-seeded","Pre-seeded",IF(B1805="Review 2026-09-16","Added from review",IF(C1805="","New",IF(C1805=D1805,"","Changed"))))</f>
        <v/>
      </c>
      <c r="N1805" s="7" t="str">
        <f aca="false">TRIM(SUBSTITUTE(SUBSTITUTE(SUBSTITUTE(" "&amp;TRIM(SUBSTITUTE(SUBSTITUTE(SUBSTITUTE(SUBSTITUTE(SUBSTITUTE(SUBSTITUTE(SUBSTITUTE(SUBSTITUTE(SUBSTITUTE(SUBSTITUTE(SUBSTITUTE(SUBSTITUTE(SUBSTITUTE(SUBSTITUTE(SUBSTITUTE(UPPER(TRIM(A1805)),"[MEMBER]",""),"{MEMBER}",""),"[MEMBER}",""),"MEMBER]",""),"(A)",""),"""",""),"“",""),"”",""),".",""),":",""),",",""),"–"," "),"-"," "),"/"," "),"&amp;"," AND "))&amp;" "," THE "," ")," TOTAL "," ")," OPERATIONS "," "))</f>
        <v>TÜRKIYE</v>
      </c>
      <c r="O1805" s="17" t="str">
        <f aca="false">IF(COUNTIFS($N$2:$N$2000,N1805,$D$2:$D$2000,"&lt;&gt;"&amp;D1805)&gt;0,"CONFLICT","")</f>
        <v/>
      </c>
      <c r="P1805" s="7"/>
    </row>
    <row r="1806" customFormat="false" ht="15" hidden="false" customHeight="false" outlineLevel="0" collapsed="false">
      <c r="A1806" s="7" t="s">
        <v>2785</v>
      </c>
      <c r="B1806" s="7" t="s">
        <v>1882</v>
      </c>
      <c r="C1806" s="7" t="s">
        <v>81</v>
      </c>
      <c r="D1806" s="6" t="s">
        <v>81</v>
      </c>
      <c r="E1806" s="6" t="s">
        <v>1880</v>
      </c>
      <c r="F1806" s="7" t="str">
        <f aca="false">IF($D1806="","",IFERROR(IF(INDEX(Hierarchy!$B$2:$B$1295,MATCH($D1806,Hierarchy!$A$2:$A$1295,0))="","",INDEX(Hierarchy!$B$2:$B$1295,MATCH($D1806,Hierarchy!$A$2:$A$1295,0))),"NODE NOT FOUND"))</f>
        <v>Country</v>
      </c>
      <c r="G1806" s="7" t="str">
        <f aca="false">IF($D1806="","",IFERROR(IF(INDEX(Hierarchy!$D$2:$D$1295,MATCH($D1806,Hierarchy!$A$2:$A$1295,0))="","",INDEX(Hierarchy!$D$2:$D$1295,MATCH($D1806,Hierarchy!$A$2:$A$1295,0))),"NODE NOT FOUND"))</f>
        <v>AMER</v>
      </c>
      <c r="H1806" s="7" t="str">
        <f aca="false">IF($D1806="","",IFERROR(IF(INDEX(Hierarchy!$E$2:$E$1295,MATCH($D1806,Hierarchy!$A$2:$A$1295,0))="","",INDEX(Hierarchy!$E$2:$E$1295,MATCH($D1806,Hierarchy!$A$2:$A$1295,0))),"NODE NOT FOUND"))</f>
        <v>North America (NORAM)</v>
      </c>
      <c r="I1806" s="7" t="str">
        <f aca="false">IF($D1806="","",IFERROR(IF(INDEX(Hierarchy!$F$2:$F$1295,MATCH($D1806,Hierarchy!$A$2:$A$1295,0))="","",INDEX(Hierarchy!$F$2:$F$1295,MATCH($D1806,Hierarchy!$A$2:$A$1295,0))),"NODE NOT FOUND"))</f>
        <v>United States</v>
      </c>
      <c r="J1806" s="7" t="str">
        <f aca="false">IF($D1806="","",IFERROR(IF(INDEX(Hierarchy!$G$2:$G$1295,MATCH($D1806,Hierarchy!$A$2:$A$1295,0))="","",INDEX(Hierarchy!$G$2:$G$1295,MATCH($D1806,Hierarchy!$A$2:$A$1295,0))),"NODE NOT FOUND"))</f>
        <v>USA</v>
      </c>
      <c r="K1806" s="7" t="str">
        <f aca="false">IF($D1806="","",IFERROR(IF(INDEX(Hierarchy!$H$2:$H$1295,MATCH($D1806,Hierarchy!$A$2:$A$1295,0))="","",INDEX(Hierarchy!$H$2:$H$1295,MATCH($D1806,Hierarchy!$A$2:$A$1295,0))),"NODE NOT FOUND"))</f>
        <v/>
      </c>
      <c r="L1806" s="7" t="str">
        <f aca="false">IF($D1806="","",IFERROR(IF(INDEX(Hierarchy!$I$2:$I$1295,MATCH($D1806,Hierarchy!$A$2:$A$1295,0))="","",INDEX(Hierarchy!$I$2:$I$1295,MATCH($D1806,Hierarchy!$A$2:$A$1295,0))),"NODE NOT FOUND"))</f>
        <v/>
      </c>
      <c r="M1806" s="17" t="str">
        <f aca="false">IF(B1806="Pre-seeded","Pre-seeded",IF(B1806="Review 2026-09-16","Added from review",IF(C1806="","New",IF(C1806=D1806,"","Changed"))))</f>
        <v/>
      </c>
      <c r="N1806" s="7" t="str">
        <f aca="false">TRIM(SUBSTITUTE(SUBSTITUTE(SUBSTITUTE(" "&amp;TRIM(SUBSTITUTE(SUBSTITUTE(SUBSTITUTE(SUBSTITUTE(SUBSTITUTE(SUBSTITUTE(SUBSTITUTE(SUBSTITUTE(SUBSTITUTE(SUBSTITUTE(SUBSTITUTE(SUBSTITUTE(SUBSTITUTE(SUBSTITUTE(SUBSTITUTE(UPPER(TRIM(A1806)),"[MEMBER]",""),"{MEMBER}",""),"[MEMBER}",""),"MEMBER]",""),"(A)",""),"""",""),"“",""),"”",""),".",""),":",""),",",""),"–"," "),"-"," "),"/"," "),"&amp;"," AND "))&amp;" "," THE "," ")," TOTAL "," ")," OPERATIONS "," "))</f>
        <v>U S</v>
      </c>
      <c r="O1806" s="17" t="str">
        <f aca="false">IF(COUNTIFS($N$2:$N$2000,N1806,$D$2:$D$2000,"&lt;&gt;"&amp;D1806)&gt;0,"CONFLICT","")</f>
        <v/>
      </c>
      <c r="P1806" s="7"/>
    </row>
    <row r="1807" customFormat="false" ht="15" hidden="false" customHeight="false" outlineLevel="0" collapsed="false">
      <c r="A1807" s="7" t="s">
        <v>2786</v>
      </c>
      <c r="B1807" s="7" t="s">
        <v>1882</v>
      </c>
      <c r="C1807" s="7" t="s">
        <v>661</v>
      </c>
      <c r="D1807" s="6" t="s">
        <v>661</v>
      </c>
      <c r="E1807" s="6" t="s">
        <v>1880</v>
      </c>
      <c r="F1807" s="7" t="str">
        <f aca="false">IF($D1807="","",IFERROR(IF(INDEX(Hierarchy!$B$2:$B$1295,MATCH($D1807,Hierarchy!$A$2:$A$1295,0))="","",INDEX(Hierarchy!$B$2:$B$1295,MATCH($D1807,Hierarchy!$A$2:$A$1295,0))),"NODE NOT FOUND"))</f>
        <v>Country</v>
      </c>
      <c r="G1807" s="7" t="str">
        <f aca="false">IF($D1807="","",IFERROR(IF(INDEX(Hierarchy!$D$2:$D$1295,MATCH($D1807,Hierarchy!$A$2:$A$1295,0))="","",INDEX(Hierarchy!$D$2:$D$1295,MATCH($D1807,Hierarchy!$A$2:$A$1295,0))),"NODE NOT FOUND"))</f>
        <v>EMEA</v>
      </c>
      <c r="H1807" s="7" t="str">
        <f aca="false">IF($D1807="","",IFERROR(IF(INDEX(Hierarchy!$E$2:$E$1295,MATCH($D1807,Hierarchy!$A$2:$A$1295,0))="","",INDEX(Hierarchy!$E$2:$E$1295,MATCH($D1807,Hierarchy!$A$2:$A$1295,0))),"NODE NOT FOUND"))</f>
        <v>Europe</v>
      </c>
      <c r="I1807" s="7" t="str">
        <f aca="false">IF($D1807="","",IFERROR(IF(INDEX(Hierarchy!$F$2:$F$1295,MATCH($D1807,Hierarchy!$A$2:$A$1295,0))="","",INDEX(Hierarchy!$F$2:$F$1295,MATCH($D1807,Hierarchy!$A$2:$A$1295,0))),"NODE NOT FOUND"))</f>
        <v>United Kingdom</v>
      </c>
      <c r="J1807" s="7" t="str">
        <f aca="false">IF($D1807="","",IFERROR(IF(INDEX(Hierarchy!$G$2:$G$1295,MATCH($D1807,Hierarchy!$A$2:$A$1295,0))="","",INDEX(Hierarchy!$G$2:$G$1295,MATCH($D1807,Hierarchy!$A$2:$A$1295,0))),"NODE NOT FOUND"))</f>
        <v>GBR</v>
      </c>
      <c r="K1807" s="7" t="str">
        <f aca="false">IF($D1807="","",IFERROR(IF(INDEX(Hierarchy!$H$2:$H$1295,MATCH($D1807,Hierarchy!$A$2:$A$1295,0))="","",INDEX(Hierarchy!$H$2:$H$1295,MATCH($D1807,Hierarchy!$A$2:$A$1295,0))),"NODE NOT FOUND"))</f>
        <v/>
      </c>
      <c r="L1807" s="7" t="str">
        <f aca="false">IF($D1807="","",IFERROR(IF(INDEX(Hierarchy!$I$2:$I$1295,MATCH($D1807,Hierarchy!$A$2:$A$1295,0))="","",INDEX(Hierarchy!$I$2:$I$1295,MATCH($D1807,Hierarchy!$A$2:$A$1295,0))),"NODE NOT FOUND"))</f>
        <v/>
      </c>
      <c r="M1807" s="17" t="str">
        <f aca="false">IF(B1807="Pre-seeded","Pre-seeded",IF(B1807="Review 2026-09-16","Added from review",IF(C1807="","New",IF(C1807=D1807,"","Changed"))))</f>
        <v/>
      </c>
      <c r="N1807" s="7" t="str">
        <f aca="false">TRIM(SUBSTITUTE(SUBSTITUTE(SUBSTITUTE(" "&amp;TRIM(SUBSTITUTE(SUBSTITUTE(SUBSTITUTE(SUBSTITUTE(SUBSTITUTE(SUBSTITUTE(SUBSTITUTE(SUBSTITUTE(SUBSTITUTE(SUBSTITUTE(SUBSTITUTE(SUBSTITUTE(SUBSTITUTE(SUBSTITUTE(SUBSTITUTE(UPPER(TRIM(A1807)),"[MEMBER]",""),"{MEMBER}",""),"[MEMBER}",""),"MEMBER]",""),"(A)",""),"""",""),"“",""),"”",""),".",""),":",""),",",""),"–"," "),"-"," "),"/"," "),"&amp;"," AND "))&amp;" "," THE "," ")," TOTAL "," ")," OPERATIONS "," "))</f>
        <v>UK</v>
      </c>
      <c r="O1807" s="17" t="str">
        <f aca="false">IF(COUNTIFS($N$2:$N$2000,N1807,$D$2:$D$2000,"&lt;&gt;"&amp;D1807)&gt;0,"CONFLICT","")</f>
        <v/>
      </c>
      <c r="P1807" s="7"/>
    </row>
    <row r="1808" customFormat="false" ht="15" hidden="false" customHeight="false" outlineLevel="0" collapsed="false">
      <c r="A1808" s="7" t="s">
        <v>2787</v>
      </c>
      <c r="B1808" s="7" t="s">
        <v>1882</v>
      </c>
      <c r="C1808" s="7" t="s">
        <v>661</v>
      </c>
      <c r="D1808" s="6" t="s">
        <v>661</v>
      </c>
      <c r="E1808" s="6" t="s">
        <v>1880</v>
      </c>
      <c r="F1808" s="7" t="str">
        <f aca="false">IF($D1808="","",IFERROR(IF(INDEX(Hierarchy!$B$2:$B$1295,MATCH($D1808,Hierarchy!$A$2:$A$1295,0))="","",INDEX(Hierarchy!$B$2:$B$1295,MATCH($D1808,Hierarchy!$A$2:$A$1295,0))),"NODE NOT FOUND"))</f>
        <v>Country</v>
      </c>
      <c r="G1808" s="7" t="str">
        <f aca="false">IF($D1808="","",IFERROR(IF(INDEX(Hierarchy!$D$2:$D$1295,MATCH($D1808,Hierarchy!$A$2:$A$1295,0))="","",INDEX(Hierarchy!$D$2:$D$1295,MATCH($D1808,Hierarchy!$A$2:$A$1295,0))),"NODE NOT FOUND"))</f>
        <v>EMEA</v>
      </c>
      <c r="H1808" s="7" t="str">
        <f aca="false">IF($D1808="","",IFERROR(IF(INDEX(Hierarchy!$E$2:$E$1295,MATCH($D1808,Hierarchy!$A$2:$A$1295,0))="","",INDEX(Hierarchy!$E$2:$E$1295,MATCH($D1808,Hierarchy!$A$2:$A$1295,0))),"NODE NOT FOUND"))</f>
        <v>Europe</v>
      </c>
      <c r="I1808" s="7" t="str">
        <f aca="false">IF($D1808="","",IFERROR(IF(INDEX(Hierarchy!$F$2:$F$1295,MATCH($D1808,Hierarchy!$A$2:$A$1295,0))="","",INDEX(Hierarchy!$F$2:$F$1295,MATCH($D1808,Hierarchy!$A$2:$A$1295,0))),"NODE NOT FOUND"))</f>
        <v>United Kingdom</v>
      </c>
      <c r="J1808" s="7" t="str">
        <f aca="false">IF($D1808="","",IFERROR(IF(INDEX(Hierarchy!$G$2:$G$1295,MATCH($D1808,Hierarchy!$A$2:$A$1295,0))="","",INDEX(Hierarchy!$G$2:$G$1295,MATCH($D1808,Hierarchy!$A$2:$A$1295,0))),"NODE NOT FOUND"))</f>
        <v>GBR</v>
      </c>
      <c r="K1808" s="7" t="str">
        <f aca="false">IF($D1808="","",IFERROR(IF(INDEX(Hierarchy!$H$2:$H$1295,MATCH($D1808,Hierarchy!$A$2:$A$1295,0))="","",INDEX(Hierarchy!$H$2:$H$1295,MATCH($D1808,Hierarchy!$A$2:$A$1295,0))),"NODE NOT FOUND"))</f>
        <v/>
      </c>
      <c r="L1808" s="7" t="str">
        <f aca="false">IF($D1808="","",IFERROR(IF(INDEX(Hierarchy!$I$2:$I$1295,MATCH($D1808,Hierarchy!$A$2:$A$1295,0))="","",INDEX(Hierarchy!$I$2:$I$1295,MATCH($D1808,Hierarchy!$A$2:$A$1295,0))),"NODE NOT FOUND"))</f>
        <v/>
      </c>
      <c r="M1808" s="17" t="str">
        <f aca="false">IF(B1808="Pre-seeded","Pre-seeded",IF(B1808="Review 2026-09-16","Added from review",IF(C1808="","New",IF(C1808=D1808,"","Changed"))))</f>
        <v/>
      </c>
      <c r="N1808" s="7" t="str">
        <f aca="false">TRIM(SUBSTITUTE(SUBSTITUTE(SUBSTITUTE(" "&amp;TRIM(SUBSTITUTE(SUBSTITUTE(SUBSTITUTE(SUBSTITUTE(SUBSTITUTE(SUBSTITUTE(SUBSTITUTE(SUBSTITUTE(SUBSTITUTE(SUBSTITUTE(SUBSTITUTE(SUBSTITUTE(SUBSTITUTE(SUBSTITUTE(SUBSTITUTE(UPPER(TRIM(A1808)),"[MEMBER]",""),"{MEMBER}",""),"[MEMBER}",""),"MEMBER]",""),"(A)",""),"""",""),"“",""),"”",""),".",""),":",""),",",""),"–"," "),"-"," "),"/"," "),"&amp;"," AND "))&amp;" "," THE "," ")," TOTAL "," ")," OPERATIONS "," "))</f>
        <v>UK</v>
      </c>
      <c r="O1808" s="17" t="str">
        <f aca="false">IF(COUNTIFS($N$2:$N$2000,N1808,$D$2:$D$2000,"&lt;&gt;"&amp;D1808)&gt;0,"CONFLICT","")</f>
        <v/>
      </c>
      <c r="P1808" s="7"/>
    </row>
    <row r="1809" customFormat="false" ht="15" hidden="false" customHeight="false" outlineLevel="0" collapsed="false">
      <c r="A1809" s="7" t="s">
        <v>2788</v>
      </c>
      <c r="B1809" s="7" t="s">
        <v>1885</v>
      </c>
      <c r="C1809" s="7" t="s">
        <v>622</v>
      </c>
      <c r="D1809" s="6" t="s">
        <v>622</v>
      </c>
      <c r="E1809" s="6" t="s">
        <v>1880</v>
      </c>
      <c r="F1809" s="7" t="str">
        <f aca="false">IF($D1809="","",IFERROR(IF(INDEX(Hierarchy!$B$2:$B$1295,MATCH($D1809,Hierarchy!$A$2:$A$1295,0))="","",INDEX(Hierarchy!$B$2:$B$1295,MATCH($D1809,Hierarchy!$A$2:$A$1295,0))),"NODE NOT FOUND"))</f>
        <v>Sub-region</v>
      </c>
      <c r="G1809" s="7" t="str">
        <f aca="false">IF($D1809="","",IFERROR(IF(INDEX(Hierarchy!$D$2:$D$1295,MATCH($D1809,Hierarchy!$A$2:$A$1295,0))="","",INDEX(Hierarchy!$D$2:$D$1295,MATCH($D1809,Hierarchy!$A$2:$A$1295,0))),"NODE NOT FOUND"))</f>
        <v>EMEA</v>
      </c>
      <c r="H1809" s="7" t="str">
        <f aca="false">IF($D1809="","",IFERROR(IF(INDEX(Hierarchy!$E$2:$E$1295,MATCH($D1809,Hierarchy!$A$2:$A$1295,0))="","",INDEX(Hierarchy!$E$2:$E$1295,MATCH($D1809,Hierarchy!$A$2:$A$1295,0))),"NODE NOT FOUND"))</f>
        <v>Europe</v>
      </c>
      <c r="I1809" s="7" t="str">
        <f aca="false">IF($D1809="","",IFERROR(IF(INDEX(Hierarchy!$F$2:$F$1295,MATCH($D1809,Hierarchy!$A$2:$A$1295,0))="","",INDEX(Hierarchy!$F$2:$F$1295,MATCH($D1809,Hierarchy!$A$2:$A$1295,0))),"NODE NOT FOUND"))</f>
        <v/>
      </c>
      <c r="J1809" s="7" t="str">
        <f aca="false">IF($D1809="","",IFERROR(IF(INDEX(Hierarchy!$G$2:$G$1295,MATCH($D1809,Hierarchy!$A$2:$A$1295,0))="","",INDEX(Hierarchy!$G$2:$G$1295,MATCH($D1809,Hierarchy!$A$2:$A$1295,0))),"NODE NOT FOUND"))</f>
        <v/>
      </c>
      <c r="K1809" s="7" t="str">
        <f aca="false">IF($D1809="","",IFERROR(IF(INDEX(Hierarchy!$H$2:$H$1295,MATCH($D1809,Hierarchy!$A$2:$A$1295,0))="","",INDEX(Hierarchy!$H$2:$H$1295,MATCH($D1809,Hierarchy!$A$2:$A$1295,0))),"NODE NOT FOUND"))</f>
        <v/>
      </c>
      <c r="L1809" s="7" t="str">
        <f aca="false">IF($D1809="","",IFERROR(IF(INDEX(Hierarchy!$I$2:$I$1295,MATCH($D1809,Hierarchy!$A$2:$A$1295,0))="","",INDEX(Hierarchy!$I$2:$I$1295,MATCH($D1809,Hierarchy!$A$2:$A$1295,0))),"NODE NOT FOUND"))</f>
        <v/>
      </c>
      <c r="M1809" s="17" t="str">
        <f aca="false">IF(B1809="Pre-seeded","Pre-seeded",IF(B1809="Review 2026-09-16","Added from review",IF(C1809="","New",IF(C1809=D1809,"","Changed"))))</f>
        <v/>
      </c>
      <c r="N1809" s="7" t="str">
        <f aca="false">TRIM(SUBSTITUTE(SUBSTITUTE(SUBSTITUTE(" "&amp;TRIM(SUBSTITUTE(SUBSTITUTE(SUBSTITUTE(SUBSTITUTE(SUBSTITUTE(SUBSTITUTE(SUBSTITUTE(SUBSTITUTE(SUBSTITUTE(SUBSTITUTE(SUBSTITUTE(SUBSTITUTE(SUBSTITUTE(SUBSTITUTE(SUBSTITUTE(UPPER(TRIM(A1809)),"[MEMBER]",""),"{MEMBER}",""),"[MEMBER}",""),"MEMBER]",""),"(A)",""),"""",""),"“",""),"”",""),".",""),":",""),",",""),"–"," "),"-"," "),"/"," "),"&amp;"," AND "))&amp;" "," THE "," ")," TOTAL "," ")," OPERATIONS "," "))</f>
        <v>UK AND EUROPE</v>
      </c>
      <c r="O1809" s="17" t="str">
        <f aca="false">IF(COUNTIFS($N$2:$N$2000,N1809,$D$2:$D$2000,"&lt;&gt;"&amp;D1809)&gt;0,"CONFLICT","")</f>
        <v/>
      </c>
      <c r="P1809" s="7"/>
    </row>
    <row r="1810" customFormat="false" ht="15" hidden="false" customHeight="false" outlineLevel="0" collapsed="false">
      <c r="A1810" s="7" t="s">
        <v>2789</v>
      </c>
      <c r="B1810" s="7" t="s">
        <v>1882</v>
      </c>
      <c r="C1810" s="7" t="s">
        <v>81</v>
      </c>
      <c r="D1810" s="6" t="s">
        <v>81</v>
      </c>
      <c r="E1810" s="6" t="s">
        <v>1880</v>
      </c>
      <c r="F1810" s="7" t="str">
        <f aca="false">IF($D1810="","",IFERROR(IF(INDEX(Hierarchy!$B$2:$B$1295,MATCH($D1810,Hierarchy!$A$2:$A$1295,0))="","",INDEX(Hierarchy!$B$2:$B$1295,MATCH($D1810,Hierarchy!$A$2:$A$1295,0))),"NODE NOT FOUND"))</f>
        <v>Country</v>
      </c>
      <c r="G1810" s="7" t="str">
        <f aca="false">IF($D1810="","",IFERROR(IF(INDEX(Hierarchy!$D$2:$D$1295,MATCH($D1810,Hierarchy!$A$2:$A$1295,0))="","",INDEX(Hierarchy!$D$2:$D$1295,MATCH($D1810,Hierarchy!$A$2:$A$1295,0))),"NODE NOT FOUND"))</f>
        <v>AMER</v>
      </c>
      <c r="H1810" s="7" t="str">
        <f aca="false">IF($D1810="","",IFERROR(IF(INDEX(Hierarchy!$E$2:$E$1295,MATCH($D1810,Hierarchy!$A$2:$A$1295,0))="","",INDEX(Hierarchy!$E$2:$E$1295,MATCH($D1810,Hierarchy!$A$2:$A$1295,0))),"NODE NOT FOUND"))</f>
        <v>North America (NORAM)</v>
      </c>
      <c r="I1810" s="7" t="str">
        <f aca="false">IF($D1810="","",IFERROR(IF(INDEX(Hierarchy!$F$2:$F$1295,MATCH($D1810,Hierarchy!$A$2:$A$1295,0))="","",INDEX(Hierarchy!$F$2:$F$1295,MATCH($D1810,Hierarchy!$A$2:$A$1295,0))),"NODE NOT FOUND"))</f>
        <v>United States</v>
      </c>
      <c r="J1810" s="7" t="str">
        <f aca="false">IF($D1810="","",IFERROR(IF(INDEX(Hierarchy!$G$2:$G$1295,MATCH($D1810,Hierarchy!$A$2:$A$1295,0))="","",INDEX(Hierarchy!$G$2:$G$1295,MATCH($D1810,Hierarchy!$A$2:$A$1295,0))),"NODE NOT FOUND"))</f>
        <v>USA</v>
      </c>
      <c r="K1810" s="7" t="str">
        <f aca="false">IF($D1810="","",IFERROR(IF(INDEX(Hierarchy!$H$2:$H$1295,MATCH($D1810,Hierarchy!$A$2:$A$1295,0))="","",INDEX(Hierarchy!$H$2:$H$1295,MATCH($D1810,Hierarchy!$A$2:$A$1295,0))),"NODE NOT FOUND"))</f>
        <v/>
      </c>
      <c r="L1810" s="7" t="str">
        <f aca="false">IF($D1810="","",IFERROR(IF(INDEX(Hierarchy!$I$2:$I$1295,MATCH($D1810,Hierarchy!$A$2:$A$1295,0))="","",INDEX(Hierarchy!$I$2:$I$1295,MATCH($D1810,Hierarchy!$A$2:$A$1295,0))),"NODE NOT FOUND"))</f>
        <v/>
      </c>
      <c r="M1810" s="17" t="str">
        <f aca="false">IF(B1810="Pre-seeded","Pre-seeded",IF(B1810="Review 2026-09-16","Added from review",IF(C1810="","New",IF(C1810=D1810,"","Changed"))))</f>
        <v/>
      </c>
      <c r="N1810" s="7" t="str">
        <f aca="false">TRIM(SUBSTITUTE(SUBSTITUTE(SUBSTITUTE(" "&amp;TRIM(SUBSTITUTE(SUBSTITUTE(SUBSTITUTE(SUBSTITUTE(SUBSTITUTE(SUBSTITUTE(SUBSTITUTE(SUBSTITUTE(SUBSTITUTE(SUBSTITUTE(SUBSTITUTE(SUBSTITUTE(SUBSTITUTE(SUBSTITUTE(SUBSTITUTE(UPPER(TRIM(A1810)),"[MEMBER]",""),"{MEMBER}",""),"[MEMBER}",""),"MEMBER]",""),"(A)",""),"""",""),"“",""),"”",""),".",""),":",""),",",""),"–"," "),"-"," "),"/"," "),"&amp;"," AND "))&amp;" "," THE "," ")," TOTAL "," ")," OPERATIONS "," "))</f>
        <v>US</v>
      </c>
      <c r="O1810" s="17" t="str">
        <f aca="false">IF(COUNTIFS($N$2:$N$2000,N1810,$D$2:$D$2000,"&lt;&gt;"&amp;D1810)&gt;0,"CONFLICT","")</f>
        <v/>
      </c>
      <c r="P1810" s="7"/>
    </row>
    <row r="1811" customFormat="false" ht="15" hidden="false" customHeight="false" outlineLevel="0" collapsed="false">
      <c r="A1811" s="7" t="s">
        <v>2790</v>
      </c>
      <c r="B1811" s="7" t="s">
        <v>1882</v>
      </c>
      <c r="C1811" s="7" t="s">
        <v>81</v>
      </c>
      <c r="D1811" s="6" t="s">
        <v>81</v>
      </c>
      <c r="E1811" s="6" t="s">
        <v>1880</v>
      </c>
      <c r="F1811" s="7" t="str">
        <f aca="false">IF($D1811="","",IFERROR(IF(INDEX(Hierarchy!$B$2:$B$1295,MATCH($D1811,Hierarchy!$A$2:$A$1295,0))="","",INDEX(Hierarchy!$B$2:$B$1295,MATCH($D1811,Hierarchy!$A$2:$A$1295,0))),"NODE NOT FOUND"))</f>
        <v>Country</v>
      </c>
      <c r="G1811" s="7" t="str">
        <f aca="false">IF($D1811="","",IFERROR(IF(INDEX(Hierarchy!$D$2:$D$1295,MATCH($D1811,Hierarchy!$A$2:$A$1295,0))="","",INDEX(Hierarchy!$D$2:$D$1295,MATCH($D1811,Hierarchy!$A$2:$A$1295,0))),"NODE NOT FOUND"))</f>
        <v>AMER</v>
      </c>
      <c r="H1811" s="7" t="str">
        <f aca="false">IF($D1811="","",IFERROR(IF(INDEX(Hierarchy!$E$2:$E$1295,MATCH($D1811,Hierarchy!$A$2:$A$1295,0))="","",INDEX(Hierarchy!$E$2:$E$1295,MATCH($D1811,Hierarchy!$A$2:$A$1295,0))),"NODE NOT FOUND"))</f>
        <v>North America (NORAM)</v>
      </c>
      <c r="I1811" s="7" t="str">
        <f aca="false">IF($D1811="","",IFERROR(IF(INDEX(Hierarchy!$F$2:$F$1295,MATCH($D1811,Hierarchy!$A$2:$A$1295,0))="","",INDEX(Hierarchy!$F$2:$F$1295,MATCH($D1811,Hierarchy!$A$2:$A$1295,0))),"NODE NOT FOUND"))</f>
        <v>United States</v>
      </c>
      <c r="J1811" s="7" t="str">
        <f aca="false">IF($D1811="","",IFERROR(IF(INDEX(Hierarchy!$G$2:$G$1295,MATCH($D1811,Hierarchy!$A$2:$A$1295,0))="","",INDEX(Hierarchy!$G$2:$G$1295,MATCH($D1811,Hierarchy!$A$2:$A$1295,0))),"NODE NOT FOUND"))</f>
        <v>USA</v>
      </c>
      <c r="K1811" s="7" t="str">
        <f aca="false">IF($D1811="","",IFERROR(IF(INDEX(Hierarchy!$H$2:$H$1295,MATCH($D1811,Hierarchy!$A$2:$A$1295,0))="","",INDEX(Hierarchy!$H$2:$H$1295,MATCH($D1811,Hierarchy!$A$2:$A$1295,0))),"NODE NOT FOUND"))</f>
        <v/>
      </c>
      <c r="L1811" s="7" t="str">
        <f aca="false">IF($D1811="","",IFERROR(IF(INDEX(Hierarchy!$I$2:$I$1295,MATCH($D1811,Hierarchy!$A$2:$A$1295,0))="","",INDEX(Hierarchy!$I$2:$I$1295,MATCH($D1811,Hierarchy!$A$2:$A$1295,0))),"NODE NOT FOUND"))</f>
        <v/>
      </c>
      <c r="M1811" s="17" t="str">
        <f aca="false">IF(B1811="Pre-seeded","Pre-seeded",IF(B1811="Review 2026-09-16","Added from review",IF(C1811="","New",IF(C1811=D1811,"","Changed"))))</f>
        <v/>
      </c>
      <c r="N1811" s="7" t="str">
        <f aca="false">TRIM(SUBSTITUTE(SUBSTITUTE(SUBSTITUTE(" "&amp;TRIM(SUBSTITUTE(SUBSTITUTE(SUBSTITUTE(SUBSTITUTE(SUBSTITUTE(SUBSTITUTE(SUBSTITUTE(SUBSTITUTE(SUBSTITUTE(SUBSTITUTE(SUBSTITUTE(SUBSTITUTE(SUBSTITUTE(SUBSTITUTE(SUBSTITUTE(UPPER(TRIM(A1811)),"[MEMBER]",""),"{MEMBER}",""),"[MEMBER}",""),"MEMBER]",""),"(A)",""),"""",""),"“",""),"”",""),".",""),":",""),",",""),"–"," "),"-"," "),"/"," "),"&amp;"," AND "))&amp;" "," THE "," ")," TOTAL "," ")," OPERATIONS "," "))</f>
        <v>US</v>
      </c>
      <c r="O1811" s="17" t="str">
        <f aca="false">IF(COUNTIFS($N$2:$N$2000,N1811,$D$2:$D$2000,"&lt;&gt;"&amp;D1811)&gt;0,"CONFLICT","")</f>
        <v/>
      </c>
      <c r="P1811" s="7"/>
    </row>
    <row r="1812" customFormat="false" ht="15" hidden="false" customHeight="false" outlineLevel="0" collapsed="false">
      <c r="A1812" s="7" t="s">
        <v>2791</v>
      </c>
      <c r="B1812" s="7" t="s">
        <v>1905</v>
      </c>
      <c r="C1812" s="7" t="s">
        <v>1906</v>
      </c>
      <c r="D1812" s="6" t="s">
        <v>81</v>
      </c>
      <c r="E1812" s="6" t="s">
        <v>1880</v>
      </c>
      <c r="F1812" s="7" t="str">
        <f aca="false">IF($D1812="","",IFERROR(IF(INDEX(Hierarchy!$B$2:$B$1295,MATCH($D1812,Hierarchy!$A$2:$A$1295,0))="","",INDEX(Hierarchy!$B$2:$B$1295,MATCH($D1812,Hierarchy!$A$2:$A$1295,0))),"NODE NOT FOUND"))</f>
        <v>Country</v>
      </c>
      <c r="G1812" s="7" t="str">
        <f aca="false">IF($D1812="","",IFERROR(IF(INDEX(Hierarchy!$D$2:$D$1295,MATCH($D1812,Hierarchy!$A$2:$A$1295,0))="","",INDEX(Hierarchy!$D$2:$D$1295,MATCH($D1812,Hierarchy!$A$2:$A$1295,0))),"NODE NOT FOUND"))</f>
        <v>AMER</v>
      </c>
      <c r="H1812" s="7" t="str">
        <f aca="false">IF($D1812="","",IFERROR(IF(INDEX(Hierarchy!$E$2:$E$1295,MATCH($D1812,Hierarchy!$A$2:$A$1295,0))="","",INDEX(Hierarchy!$E$2:$E$1295,MATCH($D1812,Hierarchy!$A$2:$A$1295,0))),"NODE NOT FOUND"))</f>
        <v>North America (NORAM)</v>
      </c>
      <c r="I1812" s="7" t="str">
        <f aca="false">IF($D1812="","",IFERROR(IF(INDEX(Hierarchy!$F$2:$F$1295,MATCH($D1812,Hierarchy!$A$2:$A$1295,0))="","",INDEX(Hierarchy!$F$2:$F$1295,MATCH($D1812,Hierarchy!$A$2:$A$1295,0))),"NODE NOT FOUND"))</f>
        <v>United States</v>
      </c>
      <c r="J1812" s="7" t="str">
        <f aca="false">IF($D1812="","",IFERROR(IF(INDEX(Hierarchy!$G$2:$G$1295,MATCH($D1812,Hierarchy!$A$2:$A$1295,0))="","",INDEX(Hierarchy!$G$2:$G$1295,MATCH($D1812,Hierarchy!$A$2:$A$1295,0))),"NODE NOT FOUND"))</f>
        <v>USA</v>
      </c>
      <c r="K1812" s="7" t="str">
        <f aca="false">IF($D1812="","",IFERROR(IF(INDEX(Hierarchy!$H$2:$H$1295,MATCH($D1812,Hierarchy!$A$2:$A$1295,0))="","",INDEX(Hierarchy!$H$2:$H$1295,MATCH($D1812,Hierarchy!$A$2:$A$1295,0))),"NODE NOT FOUND"))</f>
        <v/>
      </c>
      <c r="L1812" s="7" t="str">
        <f aca="false">IF($D1812="","",IFERROR(IF(INDEX(Hierarchy!$I$2:$I$1295,MATCH($D1812,Hierarchy!$A$2:$A$1295,0))="","",INDEX(Hierarchy!$I$2:$I$1295,MATCH($D1812,Hierarchy!$A$2:$A$1295,0))),"NODE NOT FOUND"))</f>
        <v/>
      </c>
      <c r="M1812" s="17" t="str">
        <f aca="false">IF(B1812="Pre-seeded","Pre-seeded",IF(B1812="Review 2026-09-16","Added from review",IF(C1812="","New",IF(C1812=D1812,"","Changed"))))</f>
        <v>Changed</v>
      </c>
      <c r="N1812" s="7" t="str">
        <f aca="false">TRIM(SUBSTITUTE(SUBSTITUTE(SUBSTITUTE(" "&amp;TRIM(SUBSTITUTE(SUBSTITUTE(SUBSTITUTE(SUBSTITUTE(SUBSTITUTE(SUBSTITUTE(SUBSTITUTE(SUBSTITUTE(SUBSTITUTE(SUBSTITUTE(SUBSTITUTE(SUBSTITUTE(SUBSTITUTE(SUBSTITUTE(SUBSTITUTE(UPPER(TRIM(A1812)),"[MEMBER]",""),"{MEMBER}",""),"[MEMBER}",""),"MEMBER]",""),"(A)",""),"""",""),"“",""),"”",""),".",""),":",""),",",""),"–"," "),"-"," "),"/"," "),"&amp;"," AND "))&amp;" "," THE "," ")," TOTAL "," ")," OPERATIONS "," "))</f>
        <v>US FEDERAL</v>
      </c>
      <c r="O1812" s="17" t="str">
        <f aca="false">IF(COUNTIFS($N$2:$N$2000,N1812,$D$2:$D$2000,"&lt;&gt;"&amp;D1812)&gt;0,"CONFLICT","")</f>
        <v/>
      </c>
      <c r="P1812" s="7" t="s">
        <v>2792</v>
      </c>
    </row>
    <row r="1813" customFormat="false" ht="15" hidden="false" customHeight="false" outlineLevel="0" collapsed="false">
      <c r="A1813" s="7" t="s">
        <v>2793</v>
      </c>
      <c r="B1813" s="7" t="s">
        <v>1885</v>
      </c>
      <c r="C1813" s="7" t="s">
        <v>86</v>
      </c>
      <c r="D1813" s="6" t="s">
        <v>80</v>
      </c>
      <c r="E1813" s="6" t="s">
        <v>1880</v>
      </c>
      <c r="F1813" s="7" t="str">
        <f aca="false">IF($D1813="","",IFERROR(IF(INDEX(Hierarchy!$B$2:$B$1295,MATCH($D1813,Hierarchy!$A$2:$A$1295,0))="","",INDEX(Hierarchy!$B$2:$B$1295,MATCH($D1813,Hierarchy!$A$2:$A$1295,0))),"NODE NOT FOUND"))</f>
        <v>Sub-region</v>
      </c>
      <c r="G1813" s="7" t="str">
        <f aca="false">IF($D1813="","",IFERROR(IF(INDEX(Hierarchy!$D$2:$D$1295,MATCH($D1813,Hierarchy!$A$2:$A$1295,0))="","",INDEX(Hierarchy!$D$2:$D$1295,MATCH($D1813,Hierarchy!$A$2:$A$1295,0))),"NODE NOT FOUND"))</f>
        <v>AMER</v>
      </c>
      <c r="H1813" s="7" t="str">
        <f aca="false">IF($D1813="","",IFERROR(IF(INDEX(Hierarchy!$E$2:$E$1295,MATCH($D1813,Hierarchy!$A$2:$A$1295,0))="","",INDEX(Hierarchy!$E$2:$E$1295,MATCH($D1813,Hierarchy!$A$2:$A$1295,0))),"NODE NOT FOUND"))</f>
        <v>North America (NORAM)</v>
      </c>
      <c r="I1813" s="7" t="str">
        <f aca="false">IF($D1813="","",IFERROR(IF(INDEX(Hierarchy!$F$2:$F$1295,MATCH($D1813,Hierarchy!$A$2:$A$1295,0))="","",INDEX(Hierarchy!$F$2:$F$1295,MATCH($D1813,Hierarchy!$A$2:$A$1295,0))),"NODE NOT FOUND"))</f>
        <v/>
      </c>
      <c r="J1813" s="7" t="str">
        <f aca="false">IF($D1813="","",IFERROR(IF(INDEX(Hierarchy!$G$2:$G$1295,MATCH($D1813,Hierarchy!$A$2:$A$1295,0))="","",INDEX(Hierarchy!$G$2:$G$1295,MATCH($D1813,Hierarchy!$A$2:$A$1295,0))),"NODE NOT FOUND"))</f>
        <v/>
      </c>
      <c r="K1813" s="7" t="str">
        <f aca="false">IF($D1813="","",IFERROR(IF(INDEX(Hierarchy!$H$2:$H$1295,MATCH($D1813,Hierarchy!$A$2:$A$1295,0))="","",INDEX(Hierarchy!$H$2:$H$1295,MATCH($D1813,Hierarchy!$A$2:$A$1295,0))),"NODE NOT FOUND"))</f>
        <v/>
      </c>
      <c r="L1813" s="7" t="str">
        <f aca="false">IF($D1813="","",IFERROR(IF(INDEX(Hierarchy!$I$2:$I$1295,MATCH($D1813,Hierarchy!$A$2:$A$1295,0))="","",INDEX(Hierarchy!$I$2:$I$1295,MATCH($D1813,Hierarchy!$A$2:$A$1295,0))),"NODE NOT FOUND"))</f>
        <v/>
      </c>
      <c r="M1813" s="17" t="str">
        <f aca="false">IF(B1813="Pre-seeded","Pre-seeded",IF(B1813="Review 2026-09-16","Added from review",IF(C1813="","New",IF(C1813=D1813,"","Changed"))))</f>
        <v>Changed</v>
      </c>
      <c r="N1813" s="7" t="str">
        <f aca="false">TRIM(SUBSTITUTE(SUBSTITUTE(SUBSTITUTE(" "&amp;TRIM(SUBSTITUTE(SUBSTITUTE(SUBSTITUTE(SUBSTITUTE(SUBSTITUTE(SUBSTITUTE(SUBSTITUTE(SUBSTITUTE(SUBSTITUTE(SUBSTITUTE(SUBSTITUTE(SUBSTITUTE(SUBSTITUTE(SUBSTITUTE(SUBSTITUTE(UPPER(TRIM(A1813)),"[MEMBER]",""),"{MEMBER}",""),"[MEMBER}",""),"MEMBER]",""),"(A)",""),"""",""),"“",""),"”",""),".",""),":",""),",",""),"–"," "),"-"," "),"/"," "),"&amp;"," AND "))&amp;" "," THE "," ")," TOTAL "," ")," OPERATIONS "," "))</f>
        <v>US AND CANADA</v>
      </c>
      <c r="O1813" s="17" t="str">
        <f aca="false">IF(COUNTIFS($N$2:$N$2000,N1813,$D$2:$D$2000,"&lt;&gt;"&amp;D1813)&gt;0,"CONFLICT","")</f>
        <v/>
      </c>
      <c r="P1813" s="7"/>
    </row>
    <row r="1814" customFormat="false" ht="15" hidden="false" customHeight="false" outlineLevel="0" collapsed="false">
      <c r="A1814" s="7" t="s">
        <v>2794</v>
      </c>
      <c r="B1814" s="7" t="s">
        <v>1905</v>
      </c>
      <c r="C1814" s="7" t="s">
        <v>1906</v>
      </c>
      <c r="D1814" s="6" t="s">
        <v>81</v>
      </c>
      <c r="E1814" s="6" t="s">
        <v>1880</v>
      </c>
      <c r="F1814" s="7" t="str">
        <f aca="false">IF($D1814="","",IFERROR(IF(INDEX(Hierarchy!$B$2:$B$1295,MATCH($D1814,Hierarchy!$A$2:$A$1295,0))="","",INDEX(Hierarchy!$B$2:$B$1295,MATCH($D1814,Hierarchy!$A$2:$A$1295,0))),"NODE NOT FOUND"))</f>
        <v>Country</v>
      </c>
      <c r="G1814" s="7" t="str">
        <f aca="false">IF($D1814="","",IFERROR(IF(INDEX(Hierarchy!$D$2:$D$1295,MATCH($D1814,Hierarchy!$A$2:$A$1295,0))="","",INDEX(Hierarchy!$D$2:$D$1295,MATCH($D1814,Hierarchy!$A$2:$A$1295,0))),"NODE NOT FOUND"))</f>
        <v>AMER</v>
      </c>
      <c r="H1814" s="7" t="str">
        <f aca="false">IF($D1814="","",IFERROR(IF(INDEX(Hierarchy!$E$2:$E$1295,MATCH($D1814,Hierarchy!$A$2:$A$1295,0))="","",INDEX(Hierarchy!$E$2:$E$1295,MATCH($D1814,Hierarchy!$A$2:$A$1295,0))),"NODE NOT FOUND"))</f>
        <v>North America (NORAM)</v>
      </c>
      <c r="I1814" s="7" t="str">
        <f aca="false">IF($D1814="","",IFERROR(IF(INDEX(Hierarchy!$F$2:$F$1295,MATCH($D1814,Hierarchy!$A$2:$A$1295,0))="","",INDEX(Hierarchy!$F$2:$F$1295,MATCH($D1814,Hierarchy!$A$2:$A$1295,0))),"NODE NOT FOUND"))</f>
        <v>United States</v>
      </c>
      <c r="J1814" s="7" t="str">
        <f aca="false">IF($D1814="","",IFERROR(IF(INDEX(Hierarchy!$G$2:$G$1295,MATCH($D1814,Hierarchy!$A$2:$A$1295,0))="","",INDEX(Hierarchy!$G$2:$G$1295,MATCH($D1814,Hierarchy!$A$2:$A$1295,0))),"NODE NOT FOUND"))</f>
        <v>USA</v>
      </c>
      <c r="K1814" s="7" t="str">
        <f aca="false">IF($D1814="","",IFERROR(IF(INDEX(Hierarchy!$H$2:$H$1295,MATCH($D1814,Hierarchy!$A$2:$A$1295,0))="","",INDEX(Hierarchy!$H$2:$H$1295,MATCH($D1814,Hierarchy!$A$2:$A$1295,0))),"NODE NOT FOUND"))</f>
        <v/>
      </c>
      <c r="L1814" s="7" t="str">
        <f aca="false">IF($D1814="","",IFERROR(IF(INDEX(Hierarchy!$I$2:$I$1295,MATCH($D1814,Hierarchy!$A$2:$A$1295,0))="","",INDEX(Hierarchy!$I$2:$I$1295,MATCH($D1814,Hierarchy!$A$2:$A$1295,0))),"NODE NOT FOUND"))</f>
        <v/>
      </c>
      <c r="M1814" s="17" t="str">
        <f aca="false">IF(B1814="Pre-seeded","Pre-seeded",IF(B1814="Review 2026-09-16","Added from review",IF(C1814="","New",IF(C1814=D1814,"","Changed"))))</f>
        <v>Changed</v>
      </c>
      <c r="N1814" s="7" t="str">
        <f aca="false">TRIM(SUBSTITUTE(SUBSTITUTE(SUBSTITUTE(" "&amp;TRIM(SUBSTITUTE(SUBSTITUTE(SUBSTITUTE(SUBSTITUTE(SUBSTITUTE(SUBSTITUTE(SUBSTITUTE(SUBSTITUTE(SUBSTITUTE(SUBSTITUTE(SUBSTITUTE(SUBSTITUTE(SUBSTITUTE(SUBSTITUTE(SUBSTITUTE(UPPER(TRIM(A1814)),"[MEMBER]",""),"{MEMBER}",""),"[MEMBER}",""),"MEMBER]",""),"(A)",""),"""",""),"“",""),"”",""),".",""),":",""),",",""),"–"," "),"-"," "),"/"," "),"&amp;"," AND "))&amp;" "," THE "," ")," TOTAL "," ")," OPERATIONS "," "))</f>
        <v>US FACILITIES</v>
      </c>
      <c r="O1814" s="17" t="str">
        <f aca="false">IF(COUNTIFS($N$2:$N$2000,N1814,$D$2:$D$2000,"&lt;&gt;"&amp;D1814)&gt;0,"CONFLICT","")</f>
        <v/>
      </c>
      <c r="P1814" s="7" t="s">
        <v>2795</v>
      </c>
    </row>
    <row r="1815" customFormat="false" ht="15" hidden="false" customHeight="false" outlineLevel="0" collapsed="false">
      <c r="A1815" s="7" t="s">
        <v>2796</v>
      </c>
      <c r="B1815" s="7" t="s">
        <v>1905</v>
      </c>
      <c r="C1815" s="7" t="s">
        <v>1906</v>
      </c>
      <c r="D1815" s="6" t="s">
        <v>81</v>
      </c>
      <c r="E1815" s="6" t="s">
        <v>1880</v>
      </c>
      <c r="F1815" s="7" t="str">
        <f aca="false">IF($D1815="","",IFERROR(IF(INDEX(Hierarchy!$B$2:$B$1295,MATCH($D1815,Hierarchy!$A$2:$A$1295,0))="","",INDEX(Hierarchy!$B$2:$B$1295,MATCH($D1815,Hierarchy!$A$2:$A$1295,0))),"NODE NOT FOUND"))</f>
        <v>Country</v>
      </c>
      <c r="G1815" s="7" t="str">
        <f aca="false">IF($D1815="","",IFERROR(IF(INDEX(Hierarchy!$D$2:$D$1295,MATCH($D1815,Hierarchy!$A$2:$A$1295,0))="","",INDEX(Hierarchy!$D$2:$D$1295,MATCH($D1815,Hierarchy!$A$2:$A$1295,0))),"NODE NOT FOUND"))</f>
        <v>AMER</v>
      </c>
      <c r="H1815" s="7" t="str">
        <f aca="false">IF($D1815="","",IFERROR(IF(INDEX(Hierarchy!$E$2:$E$1295,MATCH($D1815,Hierarchy!$A$2:$A$1295,0))="","",INDEX(Hierarchy!$E$2:$E$1295,MATCH($D1815,Hierarchy!$A$2:$A$1295,0))),"NODE NOT FOUND"))</f>
        <v>North America (NORAM)</v>
      </c>
      <c r="I1815" s="7" t="str">
        <f aca="false">IF($D1815="","",IFERROR(IF(INDEX(Hierarchy!$F$2:$F$1295,MATCH($D1815,Hierarchy!$A$2:$A$1295,0))="","",INDEX(Hierarchy!$F$2:$F$1295,MATCH($D1815,Hierarchy!$A$2:$A$1295,0))),"NODE NOT FOUND"))</f>
        <v>United States</v>
      </c>
      <c r="J1815" s="7" t="str">
        <f aca="false">IF($D1815="","",IFERROR(IF(INDEX(Hierarchy!$G$2:$G$1295,MATCH($D1815,Hierarchy!$A$2:$A$1295,0))="","",INDEX(Hierarchy!$G$2:$G$1295,MATCH($D1815,Hierarchy!$A$2:$A$1295,0))),"NODE NOT FOUND"))</f>
        <v>USA</v>
      </c>
      <c r="K1815" s="7" t="str">
        <f aca="false">IF($D1815="","",IFERROR(IF(INDEX(Hierarchy!$H$2:$H$1295,MATCH($D1815,Hierarchy!$A$2:$A$1295,0))="","",INDEX(Hierarchy!$H$2:$H$1295,MATCH($D1815,Hierarchy!$A$2:$A$1295,0))),"NODE NOT FOUND"))</f>
        <v/>
      </c>
      <c r="L1815" s="7" t="str">
        <f aca="false">IF($D1815="","",IFERROR(IF(INDEX(Hierarchy!$I$2:$I$1295,MATCH($D1815,Hierarchy!$A$2:$A$1295,0))="","",INDEX(Hierarchy!$I$2:$I$1295,MATCH($D1815,Hierarchy!$A$2:$A$1295,0))),"NODE NOT FOUND"))</f>
        <v/>
      </c>
      <c r="M1815" s="17" t="str">
        <f aca="false">IF(B1815="Pre-seeded","Pre-seeded",IF(B1815="Review 2026-09-16","Added from review",IF(C1815="","New",IF(C1815=D1815,"","Changed"))))</f>
        <v>Changed</v>
      </c>
      <c r="N1815" s="7" t="str">
        <f aca="false">TRIM(SUBSTITUTE(SUBSTITUTE(SUBSTITUTE(" "&amp;TRIM(SUBSTITUTE(SUBSTITUTE(SUBSTITUTE(SUBSTITUTE(SUBSTITUTE(SUBSTITUTE(SUBSTITUTE(SUBSTITUTE(SUBSTITUTE(SUBSTITUTE(SUBSTITUTE(SUBSTITUTE(SUBSTITUTE(SUBSTITUTE(SUBSTITUTE(UPPER(TRIM(A1815)),"[MEMBER]",""),"{MEMBER}",""),"[MEMBER}",""),"MEMBER]",""),"(A)",""),"""",""),"“",""),"”",""),".",""),":",""),",",""),"–"," "),"-"," "),"/"," "),"&amp;"," AND "))&amp;" "," THE "," ")," TOTAL "," ")," OPERATIONS "," "))</f>
        <v>US FEDERAL</v>
      </c>
      <c r="O1815" s="17" t="str">
        <f aca="false">IF(COUNTIFS($N$2:$N$2000,N1815,$D$2:$D$2000,"&lt;&gt;"&amp;D1815)&gt;0,"CONFLICT","")</f>
        <v/>
      </c>
      <c r="P1815" s="7" t="s">
        <v>2797</v>
      </c>
    </row>
    <row r="1816" customFormat="false" ht="15" hidden="false" customHeight="false" outlineLevel="0" collapsed="false">
      <c r="A1816" s="7" t="s">
        <v>2798</v>
      </c>
      <c r="B1816" s="7" t="s">
        <v>1905</v>
      </c>
      <c r="C1816" s="7" t="s">
        <v>1906</v>
      </c>
      <c r="D1816" s="6" t="s">
        <v>81</v>
      </c>
      <c r="E1816" s="6" t="s">
        <v>1880</v>
      </c>
      <c r="F1816" s="7" t="str">
        <f aca="false">IF($D1816="","",IFERROR(IF(INDEX(Hierarchy!$B$2:$B$1295,MATCH($D1816,Hierarchy!$A$2:$A$1295,0))="","",INDEX(Hierarchy!$B$2:$B$1295,MATCH($D1816,Hierarchy!$A$2:$A$1295,0))),"NODE NOT FOUND"))</f>
        <v>Country</v>
      </c>
      <c r="G1816" s="7" t="str">
        <f aca="false">IF($D1816="","",IFERROR(IF(INDEX(Hierarchy!$D$2:$D$1295,MATCH($D1816,Hierarchy!$A$2:$A$1295,0))="","",INDEX(Hierarchy!$D$2:$D$1295,MATCH($D1816,Hierarchy!$A$2:$A$1295,0))),"NODE NOT FOUND"))</f>
        <v>AMER</v>
      </c>
      <c r="H1816" s="7" t="str">
        <f aca="false">IF($D1816="","",IFERROR(IF(INDEX(Hierarchy!$E$2:$E$1295,MATCH($D1816,Hierarchy!$A$2:$A$1295,0))="","",INDEX(Hierarchy!$E$2:$E$1295,MATCH($D1816,Hierarchy!$A$2:$A$1295,0))),"NODE NOT FOUND"))</f>
        <v>North America (NORAM)</v>
      </c>
      <c r="I1816" s="7" t="str">
        <f aca="false">IF($D1816="","",IFERROR(IF(INDEX(Hierarchy!$F$2:$F$1295,MATCH($D1816,Hierarchy!$A$2:$A$1295,0))="","",INDEX(Hierarchy!$F$2:$F$1295,MATCH($D1816,Hierarchy!$A$2:$A$1295,0))),"NODE NOT FOUND"))</f>
        <v>United States</v>
      </c>
      <c r="J1816" s="7" t="str">
        <f aca="false">IF($D1816="","",IFERROR(IF(INDEX(Hierarchy!$G$2:$G$1295,MATCH($D1816,Hierarchy!$A$2:$A$1295,0))="","",INDEX(Hierarchy!$G$2:$G$1295,MATCH($D1816,Hierarchy!$A$2:$A$1295,0))),"NODE NOT FOUND"))</f>
        <v>USA</v>
      </c>
      <c r="K1816" s="7" t="str">
        <f aca="false">IF($D1816="","",IFERROR(IF(INDEX(Hierarchy!$H$2:$H$1295,MATCH($D1816,Hierarchy!$A$2:$A$1295,0))="","",INDEX(Hierarchy!$H$2:$H$1295,MATCH($D1816,Hierarchy!$A$2:$A$1295,0))),"NODE NOT FOUND"))</f>
        <v/>
      </c>
      <c r="L1816" s="7" t="str">
        <f aca="false">IF($D1816="","",IFERROR(IF(INDEX(Hierarchy!$I$2:$I$1295,MATCH($D1816,Hierarchy!$A$2:$A$1295,0))="","",INDEX(Hierarchy!$I$2:$I$1295,MATCH($D1816,Hierarchy!$A$2:$A$1295,0))),"NODE NOT FOUND"))</f>
        <v/>
      </c>
      <c r="M1816" s="17" t="str">
        <f aca="false">IF(B1816="Pre-seeded","Pre-seeded",IF(B1816="Review 2026-09-16","Added from review",IF(C1816="","New",IF(C1816=D1816,"","Changed"))))</f>
        <v>Changed</v>
      </c>
      <c r="N1816" s="7" t="str">
        <f aca="false">TRIM(SUBSTITUTE(SUBSTITUTE(SUBSTITUTE(" "&amp;TRIM(SUBSTITUTE(SUBSTITUTE(SUBSTITUTE(SUBSTITUTE(SUBSTITUTE(SUBSTITUTE(SUBSTITUTE(SUBSTITUTE(SUBSTITUTE(SUBSTITUTE(SUBSTITUTE(SUBSTITUTE(SUBSTITUTE(SUBSTITUTE(SUBSTITUTE(UPPER(TRIM(A1816)),"[MEMBER]",""),"{MEMBER}",""),"[MEMBER}",""),"MEMBER]",""),"(A)",""),"""",""),"“",""),"”",""),".",""),":",""),",",""),"–"," "),"-"," "),"/"," "),"&amp;"," AND "))&amp;" "," THE "," ")," TOTAL "," ")," OPERATIONS "," "))</f>
        <v>US FEDERAL</v>
      </c>
      <c r="O1816" s="17" t="str">
        <f aca="false">IF(COUNTIFS($N$2:$N$2000,N1816,$D$2:$D$2000,"&lt;&gt;"&amp;D1816)&gt;0,"CONFLICT","")</f>
        <v/>
      </c>
      <c r="P1816" s="7" t="s">
        <v>2797</v>
      </c>
    </row>
    <row r="1817" customFormat="false" ht="15" hidden="false" customHeight="false" outlineLevel="0" collapsed="false">
      <c r="A1817" s="7" t="s">
        <v>2799</v>
      </c>
      <c r="B1817" s="7" t="s">
        <v>1905</v>
      </c>
      <c r="C1817" s="7" t="s">
        <v>1906</v>
      </c>
      <c r="D1817" s="6" t="s">
        <v>81</v>
      </c>
      <c r="E1817" s="6" t="s">
        <v>1880</v>
      </c>
      <c r="F1817" s="7" t="str">
        <f aca="false">IF($D1817="","",IFERROR(IF(INDEX(Hierarchy!$B$2:$B$1295,MATCH($D1817,Hierarchy!$A$2:$A$1295,0))="","",INDEX(Hierarchy!$B$2:$B$1295,MATCH($D1817,Hierarchy!$A$2:$A$1295,0))),"NODE NOT FOUND"))</f>
        <v>Country</v>
      </c>
      <c r="G1817" s="7" t="str">
        <f aca="false">IF($D1817="","",IFERROR(IF(INDEX(Hierarchy!$D$2:$D$1295,MATCH($D1817,Hierarchy!$A$2:$A$1295,0))="","",INDEX(Hierarchy!$D$2:$D$1295,MATCH($D1817,Hierarchy!$A$2:$A$1295,0))),"NODE NOT FOUND"))</f>
        <v>AMER</v>
      </c>
      <c r="H1817" s="7" t="str">
        <f aca="false">IF($D1817="","",IFERROR(IF(INDEX(Hierarchy!$E$2:$E$1295,MATCH($D1817,Hierarchy!$A$2:$A$1295,0))="","",INDEX(Hierarchy!$E$2:$E$1295,MATCH($D1817,Hierarchy!$A$2:$A$1295,0))),"NODE NOT FOUND"))</f>
        <v>North America (NORAM)</v>
      </c>
      <c r="I1817" s="7" t="str">
        <f aca="false">IF($D1817="","",IFERROR(IF(INDEX(Hierarchy!$F$2:$F$1295,MATCH($D1817,Hierarchy!$A$2:$A$1295,0))="","",INDEX(Hierarchy!$F$2:$F$1295,MATCH($D1817,Hierarchy!$A$2:$A$1295,0))),"NODE NOT FOUND"))</f>
        <v>United States</v>
      </c>
      <c r="J1817" s="7" t="str">
        <f aca="false">IF($D1817="","",IFERROR(IF(INDEX(Hierarchy!$G$2:$G$1295,MATCH($D1817,Hierarchy!$A$2:$A$1295,0))="","",INDEX(Hierarchy!$G$2:$G$1295,MATCH($D1817,Hierarchy!$A$2:$A$1295,0))),"NODE NOT FOUND"))</f>
        <v>USA</v>
      </c>
      <c r="K1817" s="7" t="str">
        <f aca="false">IF($D1817="","",IFERROR(IF(INDEX(Hierarchy!$H$2:$H$1295,MATCH($D1817,Hierarchy!$A$2:$A$1295,0))="","",INDEX(Hierarchy!$H$2:$H$1295,MATCH($D1817,Hierarchy!$A$2:$A$1295,0))),"NODE NOT FOUND"))</f>
        <v/>
      </c>
      <c r="L1817" s="7" t="str">
        <f aca="false">IF($D1817="","",IFERROR(IF(INDEX(Hierarchy!$I$2:$I$1295,MATCH($D1817,Hierarchy!$A$2:$A$1295,0))="","",INDEX(Hierarchy!$I$2:$I$1295,MATCH($D1817,Hierarchy!$A$2:$A$1295,0))),"NODE NOT FOUND"))</f>
        <v/>
      </c>
      <c r="M1817" s="17" t="str">
        <f aca="false">IF(B1817="Pre-seeded","Pre-seeded",IF(B1817="Review 2026-09-16","Added from review",IF(C1817="","New",IF(C1817=D1817,"","Changed"))))</f>
        <v>Changed</v>
      </c>
      <c r="N1817" s="7" t="str">
        <f aca="false">TRIM(SUBSTITUTE(SUBSTITUTE(SUBSTITUTE(" "&amp;TRIM(SUBSTITUTE(SUBSTITUTE(SUBSTITUTE(SUBSTITUTE(SUBSTITUTE(SUBSTITUTE(SUBSTITUTE(SUBSTITUTE(SUBSTITUTE(SUBSTITUTE(SUBSTITUTE(SUBSTITUTE(SUBSTITUTE(SUBSTITUTE(SUBSTITUTE(UPPER(TRIM(A1817)),"[MEMBER]",""),"{MEMBER}",""),"[MEMBER}",""),"MEMBER]",""),"(A)",""),"""",""),"“",""),"”",""),".",""),":",""),",",""),"–"," "),"-"," "),"/"," "),"&amp;"," AND "))&amp;" "," THE "," ")," TOTAL "," ")," OPERATIONS "," "))</f>
        <v>US FEDERAL NOL'S</v>
      </c>
      <c r="O1817" s="17" t="str">
        <f aca="false">IF(COUNTIFS($N$2:$N$2000,N1817,$D$2:$D$2000,"&lt;&gt;"&amp;D1817)&gt;0,"CONFLICT","")</f>
        <v/>
      </c>
      <c r="P1817" s="7" t="s">
        <v>2800</v>
      </c>
    </row>
    <row r="1818" customFormat="false" ht="15" hidden="false" customHeight="false" outlineLevel="0" collapsed="false">
      <c r="A1818" s="7" t="s">
        <v>2801</v>
      </c>
      <c r="B1818" s="7" t="s">
        <v>1882</v>
      </c>
      <c r="C1818" s="7" t="s">
        <v>81</v>
      </c>
      <c r="D1818" s="6" t="s">
        <v>81</v>
      </c>
      <c r="E1818" s="6" t="s">
        <v>1880</v>
      </c>
      <c r="F1818" s="7" t="str">
        <f aca="false">IF($D1818="","",IFERROR(IF(INDEX(Hierarchy!$B$2:$B$1295,MATCH($D1818,Hierarchy!$A$2:$A$1295,0))="","",INDEX(Hierarchy!$B$2:$B$1295,MATCH($D1818,Hierarchy!$A$2:$A$1295,0))),"NODE NOT FOUND"))</f>
        <v>Country</v>
      </c>
      <c r="G1818" s="7" t="str">
        <f aca="false">IF($D1818="","",IFERROR(IF(INDEX(Hierarchy!$D$2:$D$1295,MATCH($D1818,Hierarchy!$A$2:$A$1295,0))="","",INDEX(Hierarchy!$D$2:$D$1295,MATCH($D1818,Hierarchy!$A$2:$A$1295,0))),"NODE NOT FOUND"))</f>
        <v>AMER</v>
      </c>
      <c r="H1818" s="7" t="str">
        <f aca="false">IF($D1818="","",IFERROR(IF(INDEX(Hierarchy!$E$2:$E$1295,MATCH($D1818,Hierarchy!$A$2:$A$1295,0))="","",INDEX(Hierarchy!$E$2:$E$1295,MATCH($D1818,Hierarchy!$A$2:$A$1295,0))),"NODE NOT FOUND"))</f>
        <v>North America (NORAM)</v>
      </c>
      <c r="I1818" s="7" t="str">
        <f aca="false">IF($D1818="","",IFERROR(IF(INDEX(Hierarchy!$F$2:$F$1295,MATCH($D1818,Hierarchy!$A$2:$A$1295,0))="","",INDEX(Hierarchy!$F$2:$F$1295,MATCH($D1818,Hierarchy!$A$2:$A$1295,0))),"NODE NOT FOUND"))</f>
        <v>United States</v>
      </c>
      <c r="J1818" s="7" t="str">
        <f aca="false">IF($D1818="","",IFERROR(IF(INDEX(Hierarchy!$G$2:$G$1295,MATCH($D1818,Hierarchy!$A$2:$A$1295,0))="","",INDEX(Hierarchy!$G$2:$G$1295,MATCH($D1818,Hierarchy!$A$2:$A$1295,0))),"NODE NOT FOUND"))</f>
        <v>USA</v>
      </c>
      <c r="K1818" s="7" t="str">
        <f aca="false">IF($D1818="","",IFERROR(IF(INDEX(Hierarchy!$H$2:$H$1295,MATCH($D1818,Hierarchy!$A$2:$A$1295,0))="","",INDEX(Hierarchy!$H$2:$H$1295,MATCH($D1818,Hierarchy!$A$2:$A$1295,0))),"NODE NOT FOUND"))</f>
        <v/>
      </c>
      <c r="L1818" s="7" t="str">
        <f aca="false">IF($D1818="","",IFERROR(IF(INDEX(Hierarchy!$I$2:$I$1295,MATCH($D1818,Hierarchy!$A$2:$A$1295,0))="","",INDEX(Hierarchy!$I$2:$I$1295,MATCH($D1818,Hierarchy!$A$2:$A$1295,0))),"NODE NOT FOUND"))</f>
        <v/>
      </c>
      <c r="M1818" s="17" t="str">
        <f aca="false">IF(B1818="Pre-seeded","Pre-seeded",IF(B1818="Review 2026-09-16","Added from review",IF(C1818="","New",IF(C1818=D1818,"","Changed"))))</f>
        <v/>
      </c>
      <c r="N1818" s="7" t="str">
        <f aca="false">TRIM(SUBSTITUTE(SUBSTITUTE(SUBSTITUTE(" "&amp;TRIM(SUBSTITUTE(SUBSTITUTE(SUBSTITUTE(SUBSTITUTE(SUBSTITUTE(SUBSTITUTE(SUBSTITUTE(SUBSTITUTE(SUBSTITUTE(SUBSTITUTE(SUBSTITUTE(SUBSTITUTE(SUBSTITUTE(SUBSTITUTE(SUBSTITUTE(UPPER(TRIM(A1818)),"[MEMBER]",""),"{MEMBER}",""),"[MEMBER}",""),"MEMBER]",""),"(A)",""),"""",""),"“",""),"”",""),".",""),":",""),",",""),"–"," "),"-"," "),"/"," "),"&amp;"," AND "))&amp;" "," THE "," ")," TOTAL "," ")," OPERATIONS "," "))</f>
        <v>US</v>
      </c>
      <c r="O1818" s="17" t="str">
        <f aca="false">IF(COUNTIFS($N$2:$N$2000,N1818,$D$2:$D$2000,"&lt;&gt;"&amp;D1818)&gt;0,"CONFLICT","")</f>
        <v/>
      </c>
      <c r="P1818" s="7"/>
    </row>
    <row r="1819" customFormat="false" ht="15" hidden="false" customHeight="false" outlineLevel="0" collapsed="false">
      <c r="A1819" s="7" t="s">
        <v>2802</v>
      </c>
      <c r="B1819" s="7" t="s">
        <v>1882</v>
      </c>
      <c r="C1819" s="7" t="s">
        <v>81</v>
      </c>
      <c r="D1819" s="6" t="s">
        <v>81</v>
      </c>
      <c r="E1819" s="6" t="s">
        <v>1880</v>
      </c>
      <c r="F1819" s="7" t="str">
        <f aca="false">IF($D1819="","",IFERROR(IF(INDEX(Hierarchy!$B$2:$B$1295,MATCH($D1819,Hierarchy!$A$2:$A$1295,0))="","",INDEX(Hierarchy!$B$2:$B$1295,MATCH($D1819,Hierarchy!$A$2:$A$1295,0))),"NODE NOT FOUND"))</f>
        <v>Country</v>
      </c>
      <c r="G1819" s="7" t="str">
        <f aca="false">IF($D1819="","",IFERROR(IF(INDEX(Hierarchy!$D$2:$D$1295,MATCH($D1819,Hierarchy!$A$2:$A$1295,0))="","",INDEX(Hierarchy!$D$2:$D$1295,MATCH($D1819,Hierarchy!$A$2:$A$1295,0))),"NODE NOT FOUND"))</f>
        <v>AMER</v>
      </c>
      <c r="H1819" s="7" t="str">
        <f aca="false">IF($D1819="","",IFERROR(IF(INDEX(Hierarchy!$E$2:$E$1295,MATCH($D1819,Hierarchy!$A$2:$A$1295,0))="","",INDEX(Hierarchy!$E$2:$E$1295,MATCH($D1819,Hierarchy!$A$2:$A$1295,0))),"NODE NOT FOUND"))</f>
        <v>North America (NORAM)</v>
      </c>
      <c r="I1819" s="7" t="str">
        <f aca="false">IF($D1819="","",IFERROR(IF(INDEX(Hierarchy!$F$2:$F$1295,MATCH($D1819,Hierarchy!$A$2:$A$1295,0))="","",INDEX(Hierarchy!$F$2:$F$1295,MATCH($D1819,Hierarchy!$A$2:$A$1295,0))),"NODE NOT FOUND"))</f>
        <v>United States</v>
      </c>
      <c r="J1819" s="7" t="str">
        <f aca="false">IF($D1819="","",IFERROR(IF(INDEX(Hierarchy!$G$2:$G$1295,MATCH($D1819,Hierarchy!$A$2:$A$1295,0))="","",INDEX(Hierarchy!$G$2:$G$1295,MATCH($D1819,Hierarchy!$A$2:$A$1295,0))),"NODE NOT FOUND"))</f>
        <v>USA</v>
      </c>
      <c r="K1819" s="7" t="str">
        <f aca="false">IF($D1819="","",IFERROR(IF(INDEX(Hierarchy!$H$2:$H$1295,MATCH($D1819,Hierarchy!$A$2:$A$1295,0))="","",INDEX(Hierarchy!$H$2:$H$1295,MATCH($D1819,Hierarchy!$A$2:$A$1295,0))),"NODE NOT FOUND"))</f>
        <v/>
      </c>
      <c r="L1819" s="7" t="str">
        <f aca="false">IF($D1819="","",IFERROR(IF(INDEX(Hierarchy!$I$2:$I$1295,MATCH($D1819,Hierarchy!$A$2:$A$1295,0))="","",INDEX(Hierarchy!$I$2:$I$1295,MATCH($D1819,Hierarchy!$A$2:$A$1295,0))),"NODE NOT FOUND"))</f>
        <v/>
      </c>
      <c r="M1819" s="17" t="str">
        <f aca="false">IF(B1819="Pre-seeded","Pre-seeded",IF(B1819="Review 2026-09-16","Added from review",IF(C1819="","New",IF(C1819=D1819,"","Changed"))))</f>
        <v/>
      </c>
      <c r="N1819" s="7" t="str">
        <f aca="false">TRIM(SUBSTITUTE(SUBSTITUTE(SUBSTITUTE(" "&amp;TRIM(SUBSTITUTE(SUBSTITUTE(SUBSTITUTE(SUBSTITUTE(SUBSTITUTE(SUBSTITUTE(SUBSTITUTE(SUBSTITUTE(SUBSTITUTE(SUBSTITUTE(SUBSTITUTE(SUBSTITUTE(SUBSTITUTE(SUBSTITUTE(SUBSTITUTE(UPPER(TRIM(A1819)),"[MEMBER]",""),"{MEMBER}",""),"[MEMBER}",""),"MEMBER]",""),"(A)",""),"""",""),"“",""),"”",""),".",""),":",""),",",""),"–"," "),"-"," "),"/"," "),"&amp;"," AND "))&amp;" "," THE "," ")," TOTAL "," ")," OPERATIONS "," "))</f>
        <v>US</v>
      </c>
      <c r="O1819" s="17" t="str">
        <f aca="false">IF(COUNTIFS($N$2:$N$2000,N1819,$D$2:$D$2000,"&lt;&gt;"&amp;D1819)&gt;0,"CONFLICT","")</f>
        <v/>
      </c>
      <c r="P1819" s="7"/>
    </row>
    <row r="1820" customFormat="false" ht="15" hidden="false" customHeight="false" outlineLevel="0" collapsed="false">
      <c r="A1820" s="7" t="s">
        <v>2803</v>
      </c>
      <c r="B1820" s="7" t="s">
        <v>1954</v>
      </c>
      <c r="C1820" s="7"/>
      <c r="D1820" s="6" t="s">
        <v>81</v>
      </c>
      <c r="E1820" s="6" t="s">
        <v>1880</v>
      </c>
      <c r="F1820" s="7" t="str">
        <f aca="false">IF($D1820="","",IFERROR(IF(INDEX(Hierarchy!$B$2:$B$1295,MATCH($D1820,Hierarchy!$A$2:$A$1295,0))="","",INDEX(Hierarchy!$B$2:$B$1295,MATCH($D1820,Hierarchy!$A$2:$A$1295,0))),"NODE NOT FOUND"))</f>
        <v>Country</v>
      </c>
      <c r="G1820" s="7" t="str">
        <f aca="false">IF($D1820="","",IFERROR(IF(INDEX(Hierarchy!$D$2:$D$1295,MATCH($D1820,Hierarchy!$A$2:$A$1295,0))="","",INDEX(Hierarchy!$D$2:$D$1295,MATCH($D1820,Hierarchy!$A$2:$A$1295,0))),"NODE NOT FOUND"))</f>
        <v>AMER</v>
      </c>
      <c r="H1820" s="7" t="str">
        <f aca="false">IF($D1820="","",IFERROR(IF(INDEX(Hierarchy!$E$2:$E$1295,MATCH($D1820,Hierarchy!$A$2:$A$1295,0))="","",INDEX(Hierarchy!$E$2:$E$1295,MATCH($D1820,Hierarchy!$A$2:$A$1295,0))),"NODE NOT FOUND"))</f>
        <v>North America (NORAM)</v>
      </c>
      <c r="I1820" s="7" t="str">
        <f aca="false">IF($D1820="","",IFERROR(IF(INDEX(Hierarchy!$F$2:$F$1295,MATCH($D1820,Hierarchy!$A$2:$A$1295,0))="","",INDEX(Hierarchy!$F$2:$F$1295,MATCH($D1820,Hierarchy!$A$2:$A$1295,0))),"NODE NOT FOUND"))</f>
        <v>United States</v>
      </c>
      <c r="J1820" s="7" t="str">
        <f aca="false">IF($D1820="","",IFERROR(IF(INDEX(Hierarchy!$G$2:$G$1295,MATCH($D1820,Hierarchy!$A$2:$A$1295,0))="","",INDEX(Hierarchy!$G$2:$G$1295,MATCH($D1820,Hierarchy!$A$2:$A$1295,0))),"NODE NOT FOUND"))</f>
        <v>USA</v>
      </c>
      <c r="K1820" s="7" t="str">
        <f aca="false">IF($D1820="","",IFERROR(IF(INDEX(Hierarchy!$H$2:$H$1295,MATCH($D1820,Hierarchy!$A$2:$A$1295,0))="","",INDEX(Hierarchy!$H$2:$H$1295,MATCH($D1820,Hierarchy!$A$2:$A$1295,0))),"NODE NOT FOUND"))</f>
        <v/>
      </c>
      <c r="L1820" s="7" t="str">
        <f aca="false">IF($D1820="","",IFERROR(IF(INDEX(Hierarchy!$I$2:$I$1295,MATCH($D1820,Hierarchy!$A$2:$A$1295,0))="","",INDEX(Hierarchy!$I$2:$I$1295,MATCH($D1820,Hierarchy!$A$2:$A$1295,0))),"NODE NOT FOUND"))</f>
        <v/>
      </c>
      <c r="M1820" s="17" t="str">
        <f aca="false">IF(B1820="Pre-seeded","Pre-seeded",IF(B1820="Review 2026-09-16","Added from review",IF(C1820="","New",IF(C1820=D1820,"","Changed"))))</f>
        <v>Added from review</v>
      </c>
      <c r="N1820" s="7" t="str">
        <f aca="false">TRIM(SUBSTITUTE(SUBSTITUTE(SUBSTITUTE(" "&amp;TRIM(SUBSTITUTE(SUBSTITUTE(SUBSTITUTE(SUBSTITUTE(SUBSTITUTE(SUBSTITUTE(SUBSTITUTE(SUBSTITUTE(SUBSTITUTE(SUBSTITUTE(SUBSTITUTE(SUBSTITUTE(SUBSTITUTE(SUBSTITUTE(SUBSTITUTE(UPPER(TRIM(A1820)),"[MEMBER]",""),"{MEMBER}",""),"[MEMBER}",""),"MEMBER]",""),"(A)",""),"""",""),"“",""),"”",""),".",""),":",""),",",""),"–"," "),"-"," "),"/"," "),"&amp;"," AND "))&amp;" "," THE "," ")," TOTAL "," ")," OPERATIONS "," "))</f>
        <v>US PENSION BENEFITS</v>
      </c>
      <c r="O1820" s="17" t="str">
        <f aca="false">IF(COUNTIFS($N$2:$N$2000,N1820,$D$2:$D$2000,"&lt;&gt;"&amp;D1820)&gt;0,"CONFLICT","")</f>
        <v/>
      </c>
      <c r="P1820" s="7" t="s">
        <v>2178</v>
      </c>
    </row>
    <row r="1821" customFormat="false" ht="15" hidden="false" customHeight="false" outlineLevel="0" collapsed="false">
      <c r="A1821" s="7" t="s">
        <v>2804</v>
      </c>
      <c r="B1821" s="7" t="s">
        <v>1954</v>
      </c>
      <c r="C1821" s="7"/>
      <c r="D1821" s="6" t="s">
        <v>81</v>
      </c>
      <c r="E1821" s="6" t="s">
        <v>1880</v>
      </c>
      <c r="F1821" s="7" t="str">
        <f aca="false">IF($D1821="","",IFERROR(IF(INDEX(Hierarchy!$B$2:$B$1295,MATCH($D1821,Hierarchy!$A$2:$A$1295,0))="","",INDEX(Hierarchy!$B$2:$B$1295,MATCH($D1821,Hierarchy!$A$2:$A$1295,0))),"NODE NOT FOUND"))</f>
        <v>Country</v>
      </c>
      <c r="G1821" s="7" t="str">
        <f aca="false">IF($D1821="","",IFERROR(IF(INDEX(Hierarchy!$D$2:$D$1295,MATCH($D1821,Hierarchy!$A$2:$A$1295,0))="","",INDEX(Hierarchy!$D$2:$D$1295,MATCH($D1821,Hierarchy!$A$2:$A$1295,0))),"NODE NOT FOUND"))</f>
        <v>AMER</v>
      </c>
      <c r="H1821" s="7" t="str">
        <f aca="false">IF($D1821="","",IFERROR(IF(INDEX(Hierarchy!$E$2:$E$1295,MATCH($D1821,Hierarchy!$A$2:$A$1295,0))="","",INDEX(Hierarchy!$E$2:$E$1295,MATCH($D1821,Hierarchy!$A$2:$A$1295,0))),"NODE NOT FOUND"))</f>
        <v>North America (NORAM)</v>
      </c>
      <c r="I1821" s="7" t="str">
        <f aca="false">IF($D1821="","",IFERROR(IF(INDEX(Hierarchy!$F$2:$F$1295,MATCH($D1821,Hierarchy!$A$2:$A$1295,0))="","",INDEX(Hierarchy!$F$2:$F$1295,MATCH($D1821,Hierarchy!$A$2:$A$1295,0))),"NODE NOT FOUND"))</f>
        <v>United States</v>
      </c>
      <c r="J1821" s="7" t="str">
        <f aca="false">IF($D1821="","",IFERROR(IF(INDEX(Hierarchy!$G$2:$G$1295,MATCH($D1821,Hierarchy!$A$2:$A$1295,0))="","",INDEX(Hierarchy!$G$2:$G$1295,MATCH($D1821,Hierarchy!$A$2:$A$1295,0))),"NODE NOT FOUND"))</f>
        <v>USA</v>
      </c>
      <c r="K1821" s="7" t="str">
        <f aca="false">IF($D1821="","",IFERROR(IF(INDEX(Hierarchy!$H$2:$H$1295,MATCH($D1821,Hierarchy!$A$2:$A$1295,0))="","",INDEX(Hierarchy!$H$2:$H$1295,MATCH($D1821,Hierarchy!$A$2:$A$1295,0))),"NODE NOT FOUND"))</f>
        <v/>
      </c>
      <c r="L1821" s="7" t="str">
        <f aca="false">IF($D1821="","",IFERROR(IF(INDEX(Hierarchy!$I$2:$I$1295,MATCH($D1821,Hierarchy!$A$2:$A$1295,0))="","",INDEX(Hierarchy!$I$2:$I$1295,MATCH($D1821,Hierarchy!$A$2:$A$1295,0))),"NODE NOT FOUND"))</f>
        <v/>
      </c>
      <c r="M1821" s="17" t="str">
        <f aca="false">IF(B1821="Pre-seeded","Pre-seeded",IF(B1821="Review 2026-09-16","Added from review",IF(C1821="","New",IF(C1821=D1821,"","Changed"))))</f>
        <v>Added from review</v>
      </c>
      <c r="N1821" s="7" t="str">
        <f aca="false">TRIM(SUBSTITUTE(SUBSTITUTE(SUBSTITUTE(" "&amp;TRIM(SUBSTITUTE(SUBSTITUTE(SUBSTITUTE(SUBSTITUTE(SUBSTITUTE(SUBSTITUTE(SUBSTITUTE(SUBSTITUTE(SUBSTITUTE(SUBSTITUTE(SUBSTITUTE(SUBSTITUTE(SUBSTITUTE(SUBSTITUTE(SUBSTITUTE(UPPER(TRIM(A1821)),"[MEMBER]",""),"{MEMBER}",""),"[MEMBER}",""),"MEMBER]",""),"(A)",""),"""",""),"“",""),"”",""),".",""),":",""),",",""),"–"," "),"-"," "),"/"," "),"&amp;"," AND "))&amp;" "," THE "," ")," TOTAL "," ")," OPERATIONS "," "))</f>
        <v>US PENSIONS</v>
      </c>
      <c r="O1821" s="17" t="str">
        <f aca="false">IF(COUNTIFS($N$2:$N$2000,N1821,$D$2:$D$2000,"&lt;&gt;"&amp;D1821)&gt;0,"CONFLICT","")</f>
        <v/>
      </c>
      <c r="P1821" s="7" t="s">
        <v>2178</v>
      </c>
    </row>
    <row r="1822" customFormat="false" ht="15" hidden="false" customHeight="false" outlineLevel="0" collapsed="false">
      <c r="A1822" s="7" t="s">
        <v>2805</v>
      </c>
      <c r="B1822" s="7" t="s">
        <v>1882</v>
      </c>
      <c r="C1822" s="7" t="s">
        <v>81</v>
      </c>
      <c r="D1822" s="6" t="s">
        <v>81</v>
      </c>
      <c r="E1822" s="6" t="s">
        <v>1880</v>
      </c>
      <c r="F1822" s="7" t="str">
        <f aca="false">IF($D1822="","",IFERROR(IF(INDEX(Hierarchy!$B$2:$B$1295,MATCH($D1822,Hierarchy!$A$2:$A$1295,0))="","",INDEX(Hierarchy!$B$2:$B$1295,MATCH($D1822,Hierarchy!$A$2:$A$1295,0))),"NODE NOT FOUND"))</f>
        <v>Country</v>
      </c>
      <c r="G1822" s="7" t="str">
        <f aca="false">IF($D1822="","",IFERROR(IF(INDEX(Hierarchy!$D$2:$D$1295,MATCH($D1822,Hierarchy!$A$2:$A$1295,0))="","",INDEX(Hierarchy!$D$2:$D$1295,MATCH($D1822,Hierarchy!$A$2:$A$1295,0))),"NODE NOT FOUND"))</f>
        <v>AMER</v>
      </c>
      <c r="H1822" s="7" t="str">
        <f aca="false">IF($D1822="","",IFERROR(IF(INDEX(Hierarchy!$E$2:$E$1295,MATCH($D1822,Hierarchy!$A$2:$A$1295,0))="","",INDEX(Hierarchy!$E$2:$E$1295,MATCH($D1822,Hierarchy!$A$2:$A$1295,0))),"NODE NOT FOUND"))</f>
        <v>North America (NORAM)</v>
      </c>
      <c r="I1822" s="7" t="str">
        <f aca="false">IF($D1822="","",IFERROR(IF(INDEX(Hierarchy!$F$2:$F$1295,MATCH($D1822,Hierarchy!$A$2:$A$1295,0))="","",INDEX(Hierarchy!$F$2:$F$1295,MATCH($D1822,Hierarchy!$A$2:$A$1295,0))),"NODE NOT FOUND"))</f>
        <v>United States</v>
      </c>
      <c r="J1822" s="7" t="str">
        <f aca="false">IF($D1822="","",IFERROR(IF(INDEX(Hierarchy!$G$2:$G$1295,MATCH($D1822,Hierarchy!$A$2:$A$1295,0))="","",INDEX(Hierarchy!$G$2:$G$1295,MATCH($D1822,Hierarchy!$A$2:$A$1295,0))),"NODE NOT FOUND"))</f>
        <v>USA</v>
      </c>
      <c r="K1822" s="7" t="str">
        <f aca="false">IF($D1822="","",IFERROR(IF(INDEX(Hierarchy!$H$2:$H$1295,MATCH($D1822,Hierarchy!$A$2:$A$1295,0))="","",INDEX(Hierarchy!$H$2:$H$1295,MATCH($D1822,Hierarchy!$A$2:$A$1295,0))),"NODE NOT FOUND"))</f>
        <v/>
      </c>
      <c r="L1822" s="7" t="str">
        <f aca="false">IF($D1822="","",IFERROR(IF(INDEX(Hierarchy!$I$2:$I$1295,MATCH($D1822,Hierarchy!$A$2:$A$1295,0))="","",INDEX(Hierarchy!$I$2:$I$1295,MATCH($D1822,Hierarchy!$A$2:$A$1295,0))),"NODE NOT FOUND"))</f>
        <v/>
      </c>
      <c r="M1822" s="17" t="str">
        <f aca="false">IF(B1822="Pre-seeded","Pre-seeded",IF(B1822="Review 2026-09-16","Added from review",IF(C1822="","New",IF(C1822=D1822,"","Changed"))))</f>
        <v/>
      </c>
      <c r="N1822" s="7" t="str">
        <f aca="false">TRIM(SUBSTITUTE(SUBSTITUTE(SUBSTITUTE(" "&amp;TRIM(SUBSTITUTE(SUBSTITUTE(SUBSTITUTE(SUBSTITUTE(SUBSTITUTE(SUBSTITUTE(SUBSTITUTE(SUBSTITUTE(SUBSTITUTE(SUBSTITUTE(SUBSTITUTE(SUBSTITUTE(SUBSTITUTE(SUBSTITUTE(SUBSTITUTE(UPPER(TRIM(A1822)),"[MEMBER]",""),"{MEMBER}",""),"[MEMBER}",""),"MEMBER]",""),"(A)",""),"""",""),"“",""),"”",""),".",""),":",""),",",""),"–"," "),"-"," "),"/"," "),"&amp;"," AND "))&amp;" "," THE "," ")," TOTAL "," ")," OPERATIONS "," "))</f>
        <v>US SEGMENT</v>
      </c>
      <c r="O1822" s="17" t="str">
        <f aca="false">IF(COUNTIFS($N$2:$N$2000,N1822,$D$2:$D$2000,"&lt;&gt;"&amp;D1822)&gt;0,"CONFLICT","")</f>
        <v/>
      </c>
      <c r="P1822" s="7"/>
    </row>
    <row r="1823" customFormat="false" ht="15" hidden="false" customHeight="false" outlineLevel="0" collapsed="false">
      <c r="A1823" s="7" t="s">
        <v>2806</v>
      </c>
      <c r="B1823" s="7" t="s">
        <v>1905</v>
      </c>
      <c r="C1823" s="7" t="s">
        <v>1906</v>
      </c>
      <c r="D1823" s="6" t="s">
        <v>81</v>
      </c>
      <c r="E1823" s="6" t="s">
        <v>1880</v>
      </c>
      <c r="F1823" s="7" t="str">
        <f aca="false">IF($D1823="","",IFERROR(IF(INDEX(Hierarchy!$B$2:$B$1295,MATCH($D1823,Hierarchy!$A$2:$A$1295,0))="","",INDEX(Hierarchy!$B$2:$B$1295,MATCH($D1823,Hierarchy!$A$2:$A$1295,0))),"NODE NOT FOUND"))</f>
        <v>Country</v>
      </c>
      <c r="G1823" s="7" t="str">
        <f aca="false">IF($D1823="","",IFERROR(IF(INDEX(Hierarchy!$D$2:$D$1295,MATCH($D1823,Hierarchy!$A$2:$A$1295,0))="","",INDEX(Hierarchy!$D$2:$D$1295,MATCH($D1823,Hierarchy!$A$2:$A$1295,0))),"NODE NOT FOUND"))</f>
        <v>AMER</v>
      </c>
      <c r="H1823" s="7" t="str">
        <f aca="false">IF($D1823="","",IFERROR(IF(INDEX(Hierarchy!$E$2:$E$1295,MATCH($D1823,Hierarchy!$A$2:$A$1295,0))="","",INDEX(Hierarchy!$E$2:$E$1295,MATCH($D1823,Hierarchy!$A$2:$A$1295,0))),"NODE NOT FOUND"))</f>
        <v>North America (NORAM)</v>
      </c>
      <c r="I1823" s="7" t="str">
        <f aca="false">IF($D1823="","",IFERROR(IF(INDEX(Hierarchy!$F$2:$F$1295,MATCH($D1823,Hierarchy!$A$2:$A$1295,0))="","",INDEX(Hierarchy!$F$2:$F$1295,MATCH($D1823,Hierarchy!$A$2:$A$1295,0))),"NODE NOT FOUND"))</f>
        <v>United States</v>
      </c>
      <c r="J1823" s="7" t="str">
        <f aca="false">IF($D1823="","",IFERROR(IF(INDEX(Hierarchy!$G$2:$G$1295,MATCH($D1823,Hierarchy!$A$2:$A$1295,0))="","",INDEX(Hierarchy!$G$2:$G$1295,MATCH($D1823,Hierarchy!$A$2:$A$1295,0))),"NODE NOT FOUND"))</f>
        <v>USA</v>
      </c>
      <c r="K1823" s="7" t="str">
        <f aca="false">IF($D1823="","",IFERROR(IF(INDEX(Hierarchy!$H$2:$H$1295,MATCH($D1823,Hierarchy!$A$2:$A$1295,0))="","",INDEX(Hierarchy!$H$2:$H$1295,MATCH($D1823,Hierarchy!$A$2:$A$1295,0))),"NODE NOT FOUND"))</f>
        <v/>
      </c>
      <c r="L1823" s="7" t="str">
        <f aca="false">IF($D1823="","",IFERROR(IF(INDEX(Hierarchy!$I$2:$I$1295,MATCH($D1823,Hierarchy!$A$2:$A$1295,0))="","",INDEX(Hierarchy!$I$2:$I$1295,MATCH($D1823,Hierarchy!$A$2:$A$1295,0))),"NODE NOT FOUND"))</f>
        <v/>
      </c>
      <c r="M1823" s="17" t="str">
        <f aca="false">IF(B1823="Pre-seeded","Pre-seeded",IF(B1823="Review 2026-09-16","Added from review",IF(C1823="","New",IF(C1823=D1823,"","Changed"))))</f>
        <v>Changed</v>
      </c>
      <c r="N1823" s="7" t="str">
        <f aca="false">TRIM(SUBSTITUTE(SUBSTITUTE(SUBSTITUTE(" "&amp;TRIM(SUBSTITUTE(SUBSTITUTE(SUBSTITUTE(SUBSTITUTE(SUBSTITUTE(SUBSTITUTE(SUBSTITUTE(SUBSTITUTE(SUBSTITUTE(SUBSTITUTE(SUBSTITUTE(SUBSTITUTE(SUBSTITUTE(SUBSTITUTE(SUBSTITUTE(UPPER(TRIM(A1823)),"[MEMBER]",""),"{MEMBER}",""),"[MEMBER}",""),"MEMBER]",""),"(A)",""),"""",""),"“",""),"”",""),".",""),":",""),",",""),"–"," "),"-"," "),"/"," "),"&amp;"," AND "))&amp;" "," THE "," ")," TOTAL "," ")," OPERATIONS "," "))</f>
        <v>US STOCK FUNDS</v>
      </c>
      <c r="O1823" s="17" t="str">
        <f aca="false">IF(COUNTIFS($N$2:$N$2000,N1823,$D$2:$D$2000,"&lt;&gt;"&amp;D1823)&gt;0,"CONFLICT","")</f>
        <v/>
      </c>
      <c r="P1823" s="7" t="s">
        <v>2807</v>
      </c>
    </row>
    <row r="1824" customFormat="false" ht="15" hidden="false" customHeight="false" outlineLevel="0" collapsed="false">
      <c r="A1824" s="7" t="s">
        <v>2808</v>
      </c>
      <c r="B1824" s="7" t="s">
        <v>1882</v>
      </c>
      <c r="C1824" s="7" t="s">
        <v>1035</v>
      </c>
      <c r="D1824" s="6" t="s">
        <v>1035</v>
      </c>
      <c r="E1824" s="6" t="s">
        <v>1880</v>
      </c>
      <c r="F1824" s="7" t="str">
        <f aca="false">IF($D1824="","",IFERROR(IF(INDEX(Hierarchy!$B$2:$B$1295,MATCH($D1824,Hierarchy!$A$2:$A$1295,0))="","",INDEX(Hierarchy!$B$2:$B$1295,MATCH($D1824,Hierarchy!$A$2:$A$1295,0))),"NODE NOT FOUND"))</f>
        <v>Country</v>
      </c>
      <c r="G1824" s="7" t="str">
        <f aca="false">IF($D1824="","",IFERROR(IF(INDEX(Hierarchy!$D$2:$D$1295,MATCH($D1824,Hierarchy!$A$2:$A$1295,0))="","",INDEX(Hierarchy!$D$2:$D$1295,MATCH($D1824,Hierarchy!$A$2:$A$1295,0))),"NODE NOT FOUND"))</f>
        <v>EMEA</v>
      </c>
      <c r="H1824" s="7" t="str">
        <f aca="false">IF($D1824="","",IFERROR(IF(INDEX(Hierarchy!$E$2:$E$1295,MATCH($D1824,Hierarchy!$A$2:$A$1295,0))="","",INDEX(Hierarchy!$E$2:$E$1295,MATCH($D1824,Hierarchy!$A$2:$A$1295,0))),"NODE NOT FOUND"))</f>
        <v>Middle East</v>
      </c>
      <c r="I1824" s="7" t="str">
        <f aca="false">IF($D1824="","",IFERROR(IF(INDEX(Hierarchy!$F$2:$F$1295,MATCH($D1824,Hierarchy!$A$2:$A$1295,0))="","",INDEX(Hierarchy!$F$2:$F$1295,MATCH($D1824,Hierarchy!$A$2:$A$1295,0))),"NODE NOT FOUND"))</f>
        <v>United Arab Emirates</v>
      </c>
      <c r="J1824" s="7" t="str">
        <f aca="false">IF($D1824="","",IFERROR(IF(INDEX(Hierarchy!$G$2:$G$1295,MATCH($D1824,Hierarchy!$A$2:$A$1295,0))="","",INDEX(Hierarchy!$G$2:$G$1295,MATCH($D1824,Hierarchy!$A$2:$A$1295,0))),"NODE NOT FOUND"))</f>
        <v>ARE</v>
      </c>
      <c r="K1824" s="7" t="str">
        <f aca="false">IF($D1824="","",IFERROR(IF(INDEX(Hierarchy!$H$2:$H$1295,MATCH($D1824,Hierarchy!$A$2:$A$1295,0))="","",INDEX(Hierarchy!$H$2:$H$1295,MATCH($D1824,Hierarchy!$A$2:$A$1295,0))),"NODE NOT FOUND"))</f>
        <v/>
      </c>
      <c r="L1824" s="7" t="str">
        <f aca="false">IF($D1824="","",IFERROR(IF(INDEX(Hierarchy!$I$2:$I$1295,MATCH($D1824,Hierarchy!$A$2:$A$1295,0))="","",INDEX(Hierarchy!$I$2:$I$1295,MATCH($D1824,Hierarchy!$A$2:$A$1295,0))),"NODE NOT FOUND"))</f>
        <v/>
      </c>
      <c r="M1824" s="17" t="str">
        <f aca="false">IF(B1824="Pre-seeded","Pre-seeded",IF(B1824="Review 2026-09-16","Added from review",IF(C1824="","New",IF(C1824=D1824,"","Changed"))))</f>
        <v/>
      </c>
      <c r="N1824" s="7" t="str">
        <f aca="false">TRIM(SUBSTITUTE(SUBSTITUTE(SUBSTITUTE(" "&amp;TRIM(SUBSTITUTE(SUBSTITUTE(SUBSTITUTE(SUBSTITUTE(SUBSTITUTE(SUBSTITUTE(SUBSTITUTE(SUBSTITUTE(SUBSTITUTE(SUBSTITUTE(SUBSTITUTE(SUBSTITUTE(SUBSTITUTE(SUBSTITUTE(SUBSTITUTE(UPPER(TRIM(A1824)),"[MEMBER]",""),"{MEMBER}",""),"[MEMBER}",""),"MEMBER]",""),"(A)",""),"""",""),"“",""),"”",""),".",""),":",""),",",""),"–"," "),"-"," "),"/"," "),"&amp;"," AND "))&amp;" "," THE "," ")," TOTAL "," ")," OPERATIONS "," "))</f>
        <v>UAE</v>
      </c>
      <c r="O1824" s="17" t="str">
        <f aca="false">IF(COUNTIFS($N$2:$N$2000,N1824,$D$2:$D$2000,"&lt;&gt;"&amp;D1824)&gt;0,"CONFLICT","")</f>
        <v/>
      </c>
      <c r="P1824" s="7"/>
    </row>
    <row r="1825" customFormat="false" ht="15" hidden="false" customHeight="false" outlineLevel="0" collapsed="false">
      <c r="A1825" s="7" t="s">
        <v>1302</v>
      </c>
      <c r="B1825" s="7" t="s">
        <v>1879</v>
      </c>
      <c r="C1825" s="7"/>
      <c r="D1825" s="6" t="s">
        <v>1302</v>
      </c>
      <c r="E1825" s="6" t="s">
        <v>1880</v>
      </c>
      <c r="F1825" s="7" t="str">
        <f aca="false">IF($D1825="","",IFERROR(IF(INDEX(Hierarchy!$B$2:$B$1295,MATCH($D1825,Hierarchy!$A$2:$A$1295,0))="","",INDEX(Hierarchy!$B$2:$B$1295,MATCH($D1825,Hierarchy!$A$2:$A$1295,0))),"NODE NOT FOUND"))</f>
        <v>Country</v>
      </c>
      <c r="G1825" s="7" t="str">
        <f aca="false">IF($D1825="","",IFERROR(IF(INDEX(Hierarchy!$D$2:$D$1295,MATCH($D1825,Hierarchy!$A$2:$A$1295,0))="","",INDEX(Hierarchy!$D$2:$D$1295,MATCH($D1825,Hierarchy!$A$2:$A$1295,0))),"NODE NOT FOUND"))</f>
        <v>EMEA</v>
      </c>
      <c r="H1825" s="7" t="str">
        <f aca="false">IF($D1825="","",IFERROR(IF(INDEX(Hierarchy!$E$2:$E$1295,MATCH($D1825,Hierarchy!$A$2:$A$1295,0))="","",INDEX(Hierarchy!$E$2:$E$1295,MATCH($D1825,Hierarchy!$A$2:$A$1295,0))),"NODE NOT FOUND"))</f>
        <v>Africa</v>
      </c>
      <c r="I1825" s="7" t="str">
        <f aca="false">IF($D1825="","",IFERROR(IF(INDEX(Hierarchy!$F$2:$F$1295,MATCH($D1825,Hierarchy!$A$2:$A$1295,0))="","",INDEX(Hierarchy!$F$2:$F$1295,MATCH($D1825,Hierarchy!$A$2:$A$1295,0))),"NODE NOT FOUND"))</f>
        <v>Uganda</v>
      </c>
      <c r="J1825" s="7" t="str">
        <f aca="false">IF($D1825="","",IFERROR(IF(INDEX(Hierarchy!$G$2:$G$1295,MATCH($D1825,Hierarchy!$A$2:$A$1295,0))="","",INDEX(Hierarchy!$G$2:$G$1295,MATCH($D1825,Hierarchy!$A$2:$A$1295,0))),"NODE NOT FOUND"))</f>
        <v>UGA</v>
      </c>
      <c r="K1825" s="7" t="str">
        <f aca="false">IF($D1825="","",IFERROR(IF(INDEX(Hierarchy!$H$2:$H$1295,MATCH($D1825,Hierarchy!$A$2:$A$1295,0))="","",INDEX(Hierarchy!$H$2:$H$1295,MATCH($D1825,Hierarchy!$A$2:$A$1295,0))),"NODE NOT FOUND"))</f>
        <v/>
      </c>
      <c r="L1825" s="7" t="str">
        <f aca="false">IF($D1825="","",IFERROR(IF(INDEX(Hierarchy!$I$2:$I$1295,MATCH($D1825,Hierarchy!$A$2:$A$1295,0))="","",INDEX(Hierarchy!$I$2:$I$1295,MATCH($D1825,Hierarchy!$A$2:$A$1295,0))),"NODE NOT FOUND"))</f>
        <v/>
      </c>
      <c r="M1825" s="17" t="str">
        <f aca="false">IF(B1825="Pre-seeded","Pre-seeded",IF(B1825="Review 2026-09-16","Added from review",IF(C1825="","New",IF(C1825=D1825,"","Changed"))))</f>
        <v>Pre-seeded</v>
      </c>
      <c r="N1825" s="7" t="str">
        <f aca="false">TRIM(SUBSTITUTE(SUBSTITUTE(SUBSTITUTE(" "&amp;TRIM(SUBSTITUTE(SUBSTITUTE(SUBSTITUTE(SUBSTITUTE(SUBSTITUTE(SUBSTITUTE(SUBSTITUTE(SUBSTITUTE(SUBSTITUTE(SUBSTITUTE(SUBSTITUTE(SUBSTITUTE(SUBSTITUTE(SUBSTITUTE(SUBSTITUTE(UPPER(TRIM(A1825)),"[MEMBER]",""),"{MEMBER}",""),"[MEMBER}",""),"MEMBER]",""),"(A)",""),"""",""),"“",""),"”",""),".",""),":",""),",",""),"–"," "),"-"," "),"/"," "),"&amp;"," AND "))&amp;" "," THE "," ")," TOTAL "," ")," OPERATIONS "," "))</f>
        <v>UGANDA</v>
      </c>
      <c r="O1825" s="17" t="str">
        <f aca="false">IF(COUNTIFS($N$2:$N$2000,N1825,$D$2:$D$2000,"&lt;&gt;"&amp;D1825)&gt;0,"CONFLICT","")</f>
        <v/>
      </c>
      <c r="P1825" s="7"/>
    </row>
    <row r="1826" customFormat="false" ht="15" hidden="false" customHeight="false" outlineLevel="0" collapsed="false">
      <c r="A1826" s="7" t="s">
        <v>2809</v>
      </c>
      <c r="B1826" s="7" t="s">
        <v>1882</v>
      </c>
      <c r="C1826" s="7" t="s">
        <v>661</v>
      </c>
      <c r="D1826" s="6" t="s">
        <v>661</v>
      </c>
      <c r="E1826" s="6" t="s">
        <v>1880</v>
      </c>
      <c r="F1826" s="7" t="str">
        <f aca="false">IF($D1826="","",IFERROR(IF(INDEX(Hierarchy!$B$2:$B$1295,MATCH($D1826,Hierarchy!$A$2:$A$1295,0))="","",INDEX(Hierarchy!$B$2:$B$1295,MATCH($D1826,Hierarchy!$A$2:$A$1295,0))),"NODE NOT FOUND"))</f>
        <v>Country</v>
      </c>
      <c r="G1826" s="7" t="str">
        <f aca="false">IF($D1826="","",IFERROR(IF(INDEX(Hierarchy!$D$2:$D$1295,MATCH($D1826,Hierarchy!$A$2:$A$1295,0))="","",INDEX(Hierarchy!$D$2:$D$1295,MATCH($D1826,Hierarchy!$A$2:$A$1295,0))),"NODE NOT FOUND"))</f>
        <v>EMEA</v>
      </c>
      <c r="H1826" s="7" t="str">
        <f aca="false">IF($D1826="","",IFERROR(IF(INDEX(Hierarchy!$E$2:$E$1295,MATCH($D1826,Hierarchy!$A$2:$A$1295,0))="","",INDEX(Hierarchy!$E$2:$E$1295,MATCH($D1826,Hierarchy!$A$2:$A$1295,0))),"NODE NOT FOUND"))</f>
        <v>Europe</v>
      </c>
      <c r="I1826" s="7" t="str">
        <f aca="false">IF($D1826="","",IFERROR(IF(INDEX(Hierarchy!$F$2:$F$1295,MATCH($D1826,Hierarchy!$A$2:$A$1295,0))="","",INDEX(Hierarchy!$F$2:$F$1295,MATCH($D1826,Hierarchy!$A$2:$A$1295,0))),"NODE NOT FOUND"))</f>
        <v>United Kingdom</v>
      </c>
      <c r="J1826" s="7" t="str">
        <f aca="false">IF($D1826="","",IFERROR(IF(INDEX(Hierarchy!$G$2:$G$1295,MATCH($D1826,Hierarchy!$A$2:$A$1295,0))="","",INDEX(Hierarchy!$G$2:$G$1295,MATCH($D1826,Hierarchy!$A$2:$A$1295,0))),"NODE NOT FOUND"))</f>
        <v>GBR</v>
      </c>
      <c r="K1826" s="7" t="str">
        <f aca="false">IF($D1826="","",IFERROR(IF(INDEX(Hierarchy!$H$2:$H$1295,MATCH($D1826,Hierarchy!$A$2:$A$1295,0))="","",INDEX(Hierarchy!$H$2:$H$1295,MATCH($D1826,Hierarchy!$A$2:$A$1295,0))),"NODE NOT FOUND"))</f>
        <v/>
      </c>
      <c r="L1826" s="7" t="str">
        <f aca="false">IF($D1826="","",IFERROR(IF(INDEX(Hierarchy!$I$2:$I$1295,MATCH($D1826,Hierarchy!$A$2:$A$1295,0))="","",INDEX(Hierarchy!$I$2:$I$1295,MATCH($D1826,Hierarchy!$A$2:$A$1295,0))),"NODE NOT FOUND"))</f>
        <v/>
      </c>
      <c r="M1826" s="17" t="str">
        <f aca="false">IF(B1826="Pre-seeded","Pre-seeded",IF(B1826="Review 2026-09-16","Added from review",IF(C1826="","New",IF(C1826=D1826,"","Changed"))))</f>
        <v/>
      </c>
      <c r="N1826" s="7" t="str">
        <f aca="false">TRIM(SUBSTITUTE(SUBSTITUTE(SUBSTITUTE(" "&amp;TRIM(SUBSTITUTE(SUBSTITUTE(SUBSTITUTE(SUBSTITUTE(SUBSTITUTE(SUBSTITUTE(SUBSTITUTE(SUBSTITUTE(SUBSTITUTE(SUBSTITUTE(SUBSTITUTE(SUBSTITUTE(SUBSTITUTE(SUBSTITUTE(SUBSTITUTE(UPPER(TRIM(A1826)),"[MEMBER]",""),"{MEMBER}",""),"[MEMBER}",""),"MEMBER]",""),"(A)",""),"""",""),"“",""),"”",""),".",""),":",""),",",""),"–"," "),"-"," "),"/"," "),"&amp;"," AND "))&amp;" "," THE "," ")," TOTAL "," ")," OPERATIONS "," "))</f>
        <v>UK</v>
      </c>
      <c r="O1826" s="17" t="str">
        <f aca="false">IF(COUNTIFS($N$2:$N$2000,N1826,$D$2:$D$2000,"&lt;&gt;"&amp;D1826)&gt;0,"CONFLICT","")</f>
        <v/>
      </c>
      <c r="P1826" s="7"/>
    </row>
    <row r="1827" customFormat="false" ht="15" hidden="false" customHeight="false" outlineLevel="0" collapsed="false">
      <c r="A1827" s="7" t="s">
        <v>658</v>
      </c>
      <c r="B1827" s="7" t="s">
        <v>1879</v>
      </c>
      <c r="C1827" s="7"/>
      <c r="D1827" s="6" t="s">
        <v>658</v>
      </c>
      <c r="E1827" s="6" t="s">
        <v>1880</v>
      </c>
      <c r="F1827" s="7" t="str">
        <f aca="false">IF($D1827="","",IFERROR(IF(INDEX(Hierarchy!$B$2:$B$1295,MATCH($D1827,Hierarchy!$A$2:$A$1295,0))="","",INDEX(Hierarchy!$B$2:$B$1295,MATCH($D1827,Hierarchy!$A$2:$A$1295,0))),"NODE NOT FOUND"))</f>
        <v>Sub-region component</v>
      </c>
      <c r="G1827" s="7" t="str">
        <f aca="false">IF($D1827="","",IFERROR(IF(INDEX(Hierarchy!$D$2:$D$1295,MATCH($D1827,Hierarchy!$A$2:$A$1295,0))="","",INDEX(Hierarchy!$D$2:$D$1295,MATCH($D1827,Hierarchy!$A$2:$A$1295,0))),"NODE NOT FOUND"))</f>
        <v>EMEA</v>
      </c>
      <c r="H1827" s="7" t="str">
        <f aca="false">IF($D1827="","",IFERROR(IF(INDEX(Hierarchy!$E$2:$E$1295,MATCH($D1827,Hierarchy!$A$2:$A$1295,0))="","",INDEX(Hierarchy!$E$2:$E$1295,MATCH($D1827,Hierarchy!$A$2:$A$1295,0))),"NODE NOT FOUND"))</f>
        <v>Europe</v>
      </c>
      <c r="I1827" s="7" t="str">
        <f aca="false">IF($D1827="","",IFERROR(IF(INDEX(Hierarchy!$F$2:$F$1295,MATCH($D1827,Hierarchy!$A$2:$A$1295,0))="","",INDEX(Hierarchy!$F$2:$F$1295,MATCH($D1827,Hierarchy!$A$2:$A$1295,0))),"NODE NOT FOUND"))</f>
        <v/>
      </c>
      <c r="J1827" s="7" t="str">
        <f aca="false">IF($D1827="","",IFERROR(IF(INDEX(Hierarchy!$G$2:$G$1295,MATCH($D1827,Hierarchy!$A$2:$A$1295,0))="","",INDEX(Hierarchy!$G$2:$G$1295,MATCH($D1827,Hierarchy!$A$2:$A$1295,0))),"NODE NOT FOUND"))</f>
        <v/>
      </c>
      <c r="K1827" s="7" t="str">
        <f aca="false">IF($D1827="","",IFERROR(IF(INDEX(Hierarchy!$H$2:$H$1295,MATCH($D1827,Hierarchy!$A$2:$A$1295,0))="","",INDEX(Hierarchy!$H$2:$H$1295,MATCH($D1827,Hierarchy!$A$2:$A$1295,0))),"NODE NOT FOUND"))</f>
        <v/>
      </c>
      <c r="L1827" s="7" t="str">
        <f aca="false">IF($D1827="","",IFERROR(IF(INDEX(Hierarchy!$I$2:$I$1295,MATCH($D1827,Hierarchy!$A$2:$A$1295,0))="","",INDEX(Hierarchy!$I$2:$I$1295,MATCH($D1827,Hierarchy!$A$2:$A$1295,0))),"NODE NOT FOUND"))</f>
        <v/>
      </c>
      <c r="M1827" s="17" t="str">
        <f aca="false">IF(B1827="Pre-seeded","Pre-seeded",IF(B1827="Review 2026-09-16","Added from review",IF(C1827="","New",IF(C1827=D1827,"","Changed"))))</f>
        <v>Pre-seeded</v>
      </c>
      <c r="N1827" s="7" t="str">
        <f aca="false">TRIM(SUBSTITUTE(SUBSTITUTE(SUBSTITUTE(" "&amp;TRIM(SUBSTITUTE(SUBSTITUTE(SUBSTITUTE(SUBSTITUTE(SUBSTITUTE(SUBSTITUTE(SUBSTITUTE(SUBSTITUTE(SUBSTITUTE(SUBSTITUTE(SUBSTITUTE(SUBSTITUTE(SUBSTITUTE(SUBSTITUTE(SUBSTITUTE(UPPER(TRIM(A1827)),"[MEMBER]",""),"{MEMBER}",""),"[MEMBER}",""),"MEMBER]",""),"(A)",""),"""",""),"“",""),"”",""),".",""),":",""),",",""),"–"," "),"-"," "),"/"," "),"&amp;"," AND "))&amp;" "," THE "," ")," TOTAL "," ")," OPERATIONS "," "))</f>
        <v>UK AND IRELAND</v>
      </c>
      <c r="O1827" s="17" t="str">
        <f aca="false">IF(COUNTIFS($N$2:$N$2000,N1827,$D$2:$D$2000,"&lt;&gt;"&amp;D1827)&gt;0,"CONFLICT","")</f>
        <v/>
      </c>
      <c r="P1827" s="7"/>
    </row>
    <row r="1828" customFormat="false" ht="15" hidden="false" customHeight="false" outlineLevel="0" collapsed="false">
      <c r="A1828" s="7" t="s">
        <v>2810</v>
      </c>
      <c r="B1828" s="7" t="s">
        <v>1879</v>
      </c>
      <c r="C1828" s="7"/>
      <c r="D1828" s="6" t="s">
        <v>658</v>
      </c>
      <c r="E1828" s="6" t="s">
        <v>1880</v>
      </c>
      <c r="F1828" s="7" t="str">
        <f aca="false">IF($D1828="","",IFERROR(IF(INDEX(Hierarchy!$B$2:$B$1295,MATCH($D1828,Hierarchy!$A$2:$A$1295,0))="","",INDEX(Hierarchy!$B$2:$B$1295,MATCH($D1828,Hierarchy!$A$2:$A$1295,0))),"NODE NOT FOUND"))</f>
        <v>Sub-region component</v>
      </c>
      <c r="G1828" s="7" t="str">
        <f aca="false">IF($D1828="","",IFERROR(IF(INDEX(Hierarchy!$D$2:$D$1295,MATCH($D1828,Hierarchy!$A$2:$A$1295,0))="","",INDEX(Hierarchy!$D$2:$D$1295,MATCH($D1828,Hierarchy!$A$2:$A$1295,0))),"NODE NOT FOUND"))</f>
        <v>EMEA</v>
      </c>
      <c r="H1828" s="7" t="str">
        <f aca="false">IF($D1828="","",IFERROR(IF(INDEX(Hierarchy!$E$2:$E$1295,MATCH($D1828,Hierarchy!$A$2:$A$1295,0))="","",INDEX(Hierarchy!$E$2:$E$1295,MATCH($D1828,Hierarchy!$A$2:$A$1295,0))),"NODE NOT FOUND"))</f>
        <v>Europe</v>
      </c>
      <c r="I1828" s="7" t="str">
        <f aca="false">IF($D1828="","",IFERROR(IF(INDEX(Hierarchy!$F$2:$F$1295,MATCH($D1828,Hierarchy!$A$2:$A$1295,0))="","",INDEX(Hierarchy!$F$2:$F$1295,MATCH($D1828,Hierarchy!$A$2:$A$1295,0))),"NODE NOT FOUND"))</f>
        <v/>
      </c>
      <c r="J1828" s="7" t="str">
        <f aca="false">IF($D1828="","",IFERROR(IF(INDEX(Hierarchy!$G$2:$G$1295,MATCH($D1828,Hierarchy!$A$2:$A$1295,0))="","",INDEX(Hierarchy!$G$2:$G$1295,MATCH($D1828,Hierarchy!$A$2:$A$1295,0))),"NODE NOT FOUND"))</f>
        <v/>
      </c>
      <c r="K1828" s="7" t="str">
        <f aca="false">IF($D1828="","",IFERROR(IF(INDEX(Hierarchy!$H$2:$H$1295,MATCH($D1828,Hierarchy!$A$2:$A$1295,0))="","",INDEX(Hierarchy!$H$2:$H$1295,MATCH($D1828,Hierarchy!$A$2:$A$1295,0))),"NODE NOT FOUND"))</f>
        <v/>
      </c>
      <c r="L1828" s="7" t="str">
        <f aca="false">IF($D1828="","",IFERROR(IF(INDEX(Hierarchy!$I$2:$I$1295,MATCH($D1828,Hierarchy!$A$2:$A$1295,0))="","",INDEX(Hierarchy!$I$2:$I$1295,MATCH($D1828,Hierarchy!$A$2:$A$1295,0))),"NODE NOT FOUND"))</f>
        <v/>
      </c>
      <c r="M1828" s="17" t="str">
        <f aca="false">IF(B1828="Pre-seeded","Pre-seeded",IF(B1828="Review 2026-09-16","Added from review",IF(C1828="","New",IF(C1828=D1828,"","Changed"))))</f>
        <v>Pre-seeded</v>
      </c>
      <c r="N1828" s="7" t="str">
        <f aca="false">TRIM(SUBSTITUTE(SUBSTITUTE(SUBSTITUTE(" "&amp;TRIM(SUBSTITUTE(SUBSTITUTE(SUBSTITUTE(SUBSTITUTE(SUBSTITUTE(SUBSTITUTE(SUBSTITUTE(SUBSTITUTE(SUBSTITUTE(SUBSTITUTE(SUBSTITUTE(SUBSTITUTE(SUBSTITUTE(SUBSTITUTE(SUBSTITUTE(UPPER(TRIM(A1828)),"[MEMBER]",""),"{MEMBER}",""),"[MEMBER}",""),"MEMBER]",""),"(A)",""),"""",""),"“",""),"”",""),".",""),":",""),",",""),"–"," "),"-"," "),"/"," "),"&amp;"," AND "))&amp;" "," THE "," ")," TOTAL "," ")," OPERATIONS "," "))</f>
        <v>UKI</v>
      </c>
      <c r="O1828" s="17" t="str">
        <f aca="false">IF(COUNTIFS($N$2:$N$2000,N1828,$D$2:$D$2000,"&lt;&gt;"&amp;D1828)&gt;0,"CONFLICT","")</f>
        <v/>
      </c>
      <c r="P1828" s="7"/>
    </row>
    <row r="1829" customFormat="false" ht="15" hidden="false" customHeight="false" outlineLevel="0" collapsed="false">
      <c r="A1829" s="7" t="s">
        <v>2811</v>
      </c>
      <c r="B1829" s="7" t="s">
        <v>1882</v>
      </c>
      <c r="C1829" s="7" t="s">
        <v>1020</v>
      </c>
      <c r="D1829" s="6" t="s">
        <v>1020</v>
      </c>
      <c r="E1829" s="6" t="s">
        <v>1880</v>
      </c>
      <c r="F1829" s="7" t="str">
        <f aca="false">IF($D1829="","",IFERROR(IF(INDEX(Hierarchy!$B$2:$B$1295,MATCH($D1829,Hierarchy!$A$2:$A$1295,0))="","",INDEX(Hierarchy!$B$2:$B$1295,MATCH($D1829,Hierarchy!$A$2:$A$1295,0))),"NODE NOT FOUND"))</f>
        <v>Country</v>
      </c>
      <c r="G1829" s="7" t="str">
        <f aca="false">IF($D1829="","",IFERROR(IF(INDEX(Hierarchy!$D$2:$D$1295,MATCH($D1829,Hierarchy!$A$2:$A$1295,0))="","",INDEX(Hierarchy!$D$2:$D$1295,MATCH($D1829,Hierarchy!$A$2:$A$1295,0))),"NODE NOT FOUND"))</f>
        <v>EMEA</v>
      </c>
      <c r="H1829" s="7" t="str">
        <f aca="false">IF($D1829="","",IFERROR(IF(INDEX(Hierarchy!$E$2:$E$1295,MATCH($D1829,Hierarchy!$A$2:$A$1295,0))="","",INDEX(Hierarchy!$E$2:$E$1295,MATCH($D1829,Hierarchy!$A$2:$A$1295,0))),"NODE NOT FOUND"))</f>
        <v>Europe</v>
      </c>
      <c r="I1829" s="7" t="str">
        <f aca="false">IF($D1829="","",IFERROR(IF(INDEX(Hierarchy!$F$2:$F$1295,MATCH($D1829,Hierarchy!$A$2:$A$1295,0))="","",INDEX(Hierarchy!$F$2:$F$1295,MATCH($D1829,Hierarchy!$A$2:$A$1295,0))),"NODE NOT FOUND"))</f>
        <v>Ukraine</v>
      </c>
      <c r="J1829" s="7" t="str">
        <f aca="false">IF($D1829="","",IFERROR(IF(INDEX(Hierarchy!$G$2:$G$1295,MATCH($D1829,Hierarchy!$A$2:$A$1295,0))="","",INDEX(Hierarchy!$G$2:$G$1295,MATCH($D1829,Hierarchy!$A$2:$A$1295,0))),"NODE NOT FOUND"))</f>
        <v>UKR</v>
      </c>
      <c r="K1829" s="7" t="str">
        <f aca="false">IF($D1829="","",IFERROR(IF(INDEX(Hierarchy!$H$2:$H$1295,MATCH($D1829,Hierarchy!$A$2:$A$1295,0))="","",INDEX(Hierarchy!$H$2:$H$1295,MATCH($D1829,Hierarchy!$A$2:$A$1295,0))),"NODE NOT FOUND"))</f>
        <v/>
      </c>
      <c r="L1829" s="7" t="str">
        <f aca="false">IF($D1829="","",IFERROR(IF(INDEX(Hierarchy!$I$2:$I$1295,MATCH($D1829,Hierarchy!$A$2:$A$1295,0))="","",INDEX(Hierarchy!$I$2:$I$1295,MATCH($D1829,Hierarchy!$A$2:$A$1295,0))),"NODE NOT FOUND"))</f>
        <v/>
      </c>
      <c r="M1829" s="17" t="str">
        <f aca="false">IF(B1829="Pre-seeded","Pre-seeded",IF(B1829="Review 2026-09-16","Added from review",IF(C1829="","New",IF(C1829=D1829,"","Changed"))))</f>
        <v/>
      </c>
      <c r="N1829" s="7" t="str">
        <f aca="false">TRIM(SUBSTITUTE(SUBSTITUTE(SUBSTITUTE(" "&amp;TRIM(SUBSTITUTE(SUBSTITUTE(SUBSTITUTE(SUBSTITUTE(SUBSTITUTE(SUBSTITUTE(SUBSTITUTE(SUBSTITUTE(SUBSTITUTE(SUBSTITUTE(SUBSTITUTE(SUBSTITUTE(SUBSTITUTE(SUBSTITUTE(SUBSTITUTE(UPPER(TRIM(A1829)),"[MEMBER]",""),"{MEMBER}",""),"[MEMBER}",""),"MEMBER]",""),"(A)",""),"""",""),"“",""),"”",""),".",""),":",""),",",""),"–"," "),"-"," "),"/"," "),"&amp;"," AND "))&amp;" "," THE "," ")," TOTAL "," ")," OPERATIONS "," "))</f>
        <v>UKRAINE</v>
      </c>
      <c r="O1829" s="17" t="str">
        <f aca="false">IF(COUNTIFS($N$2:$N$2000,N1829,$D$2:$D$2000,"&lt;&gt;"&amp;D1829)&gt;0,"CONFLICT","")</f>
        <v/>
      </c>
      <c r="P1829" s="7"/>
    </row>
    <row r="1830" customFormat="false" ht="15" hidden="false" customHeight="false" outlineLevel="0" collapsed="false">
      <c r="A1830" s="7" t="s">
        <v>1020</v>
      </c>
      <c r="B1830" s="7" t="s">
        <v>1882</v>
      </c>
      <c r="C1830" s="7" t="s">
        <v>1020</v>
      </c>
      <c r="D1830" s="6" t="s">
        <v>1020</v>
      </c>
      <c r="E1830" s="6" t="s">
        <v>1880</v>
      </c>
      <c r="F1830" s="7" t="str">
        <f aca="false">IF($D1830="","",IFERROR(IF(INDEX(Hierarchy!$B$2:$B$1295,MATCH($D1830,Hierarchy!$A$2:$A$1295,0))="","",INDEX(Hierarchy!$B$2:$B$1295,MATCH($D1830,Hierarchy!$A$2:$A$1295,0))),"NODE NOT FOUND"))</f>
        <v>Country</v>
      </c>
      <c r="G1830" s="7" t="str">
        <f aca="false">IF($D1830="","",IFERROR(IF(INDEX(Hierarchy!$D$2:$D$1295,MATCH($D1830,Hierarchy!$A$2:$A$1295,0))="","",INDEX(Hierarchy!$D$2:$D$1295,MATCH($D1830,Hierarchy!$A$2:$A$1295,0))),"NODE NOT FOUND"))</f>
        <v>EMEA</v>
      </c>
      <c r="H1830" s="7" t="str">
        <f aca="false">IF($D1830="","",IFERROR(IF(INDEX(Hierarchy!$E$2:$E$1295,MATCH($D1830,Hierarchy!$A$2:$A$1295,0))="","",INDEX(Hierarchy!$E$2:$E$1295,MATCH($D1830,Hierarchy!$A$2:$A$1295,0))),"NODE NOT FOUND"))</f>
        <v>Europe</v>
      </c>
      <c r="I1830" s="7" t="str">
        <f aca="false">IF($D1830="","",IFERROR(IF(INDEX(Hierarchy!$F$2:$F$1295,MATCH($D1830,Hierarchy!$A$2:$A$1295,0))="","",INDEX(Hierarchy!$F$2:$F$1295,MATCH($D1830,Hierarchy!$A$2:$A$1295,0))),"NODE NOT FOUND"))</f>
        <v>Ukraine</v>
      </c>
      <c r="J1830" s="7" t="str">
        <f aca="false">IF($D1830="","",IFERROR(IF(INDEX(Hierarchy!$G$2:$G$1295,MATCH($D1830,Hierarchy!$A$2:$A$1295,0))="","",INDEX(Hierarchy!$G$2:$G$1295,MATCH($D1830,Hierarchy!$A$2:$A$1295,0))),"NODE NOT FOUND"))</f>
        <v>UKR</v>
      </c>
      <c r="K1830" s="7" t="str">
        <f aca="false">IF($D1830="","",IFERROR(IF(INDEX(Hierarchy!$H$2:$H$1295,MATCH($D1830,Hierarchy!$A$2:$A$1295,0))="","",INDEX(Hierarchy!$H$2:$H$1295,MATCH($D1830,Hierarchy!$A$2:$A$1295,0))),"NODE NOT FOUND"))</f>
        <v/>
      </c>
      <c r="L1830" s="7" t="str">
        <f aca="false">IF($D1830="","",IFERROR(IF(INDEX(Hierarchy!$I$2:$I$1295,MATCH($D1830,Hierarchy!$A$2:$A$1295,0))="","",INDEX(Hierarchy!$I$2:$I$1295,MATCH($D1830,Hierarchy!$A$2:$A$1295,0))),"NODE NOT FOUND"))</f>
        <v/>
      </c>
      <c r="M1830" s="17" t="str">
        <f aca="false">IF(B1830="Pre-seeded","Pre-seeded",IF(B1830="Review 2026-09-16","Added from review",IF(C1830="","New",IF(C1830=D1830,"","Changed"))))</f>
        <v/>
      </c>
      <c r="N1830" s="7" t="str">
        <f aca="false">TRIM(SUBSTITUTE(SUBSTITUTE(SUBSTITUTE(" "&amp;TRIM(SUBSTITUTE(SUBSTITUTE(SUBSTITUTE(SUBSTITUTE(SUBSTITUTE(SUBSTITUTE(SUBSTITUTE(SUBSTITUTE(SUBSTITUTE(SUBSTITUTE(SUBSTITUTE(SUBSTITUTE(SUBSTITUTE(SUBSTITUTE(SUBSTITUTE(UPPER(TRIM(A1830)),"[MEMBER]",""),"{MEMBER}",""),"[MEMBER}",""),"MEMBER]",""),"(A)",""),"""",""),"“",""),"”",""),".",""),":",""),",",""),"–"," "),"-"," "),"/"," "),"&amp;"," AND "))&amp;" "," THE "," ")," TOTAL "," ")," OPERATIONS "," "))</f>
        <v>UKRAINE</v>
      </c>
      <c r="O1830" s="17" t="str">
        <f aca="false">IF(COUNTIFS($N$2:$N$2000,N1830,$D$2:$D$2000,"&lt;&gt;"&amp;D1830)&gt;0,"CONFLICT","")</f>
        <v/>
      </c>
      <c r="P1830" s="7"/>
    </row>
    <row r="1831" customFormat="false" ht="15" hidden="false" customHeight="false" outlineLevel="0" collapsed="false">
      <c r="A1831" s="7" t="s">
        <v>1579</v>
      </c>
      <c r="B1831" s="7" t="s">
        <v>1879</v>
      </c>
      <c r="C1831" s="7"/>
      <c r="D1831" s="6" t="s">
        <v>1579</v>
      </c>
      <c r="E1831" s="6" t="s">
        <v>1880</v>
      </c>
      <c r="F1831" s="7" t="str">
        <f aca="false">IF($D1831="","",IFERROR(IF(INDEX(Hierarchy!$B$2:$B$1295,MATCH($D1831,Hierarchy!$A$2:$A$1295,0))="","",INDEX(Hierarchy!$B$2:$B$1295,MATCH($D1831,Hierarchy!$A$2:$A$1295,0))),"NODE NOT FOUND"))</f>
        <v>State/Province</v>
      </c>
      <c r="G1831" s="7" t="str">
        <f aca="false">IF($D1831="","",IFERROR(IF(INDEX(Hierarchy!$D$2:$D$1295,MATCH($D1831,Hierarchy!$A$2:$A$1295,0))="","",INDEX(Hierarchy!$D$2:$D$1295,MATCH($D1831,Hierarchy!$A$2:$A$1295,0))),"NODE NOT FOUND"))</f>
        <v>APAC</v>
      </c>
      <c r="H1831" s="7" t="str">
        <f aca="false">IF($D1831="","",IFERROR(IF(INDEX(Hierarchy!$E$2:$E$1295,MATCH($D1831,Hierarchy!$A$2:$A$1295,0))="","",INDEX(Hierarchy!$E$2:$E$1295,MATCH($D1831,Hierarchy!$A$2:$A$1295,0))),"NODE NOT FOUND"))</f>
        <v>East Asia</v>
      </c>
      <c r="I1831" s="7" t="str">
        <f aca="false">IF($D1831="","",IFERROR(IF(INDEX(Hierarchy!$F$2:$F$1295,MATCH($D1831,Hierarchy!$A$2:$A$1295,0))="","",INDEX(Hierarchy!$F$2:$F$1295,MATCH($D1831,Hierarchy!$A$2:$A$1295,0))),"NODE NOT FOUND"))</f>
        <v>South Korea</v>
      </c>
      <c r="J1831" s="7" t="str">
        <f aca="false">IF($D1831="","",IFERROR(IF(INDEX(Hierarchy!$G$2:$G$1295,MATCH($D1831,Hierarchy!$A$2:$A$1295,0))="","",INDEX(Hierarchy!$G$2:$G$1295,MATCH($D1831,Hierarchy!$A$2:$A$1295,0))),"NODE NOT FOUND"))</f>
        <v>KOR</v>
      </c>
      <c r="K1831" s="7" t="str">
        <f aca="false">IF($D1831="","",IFERROR(IF(INDEX(Hierarchy!$H$2:$H$1295,MATCH($D1831,Hierarchy!$A$2:$A$1295,0))="","",INDEX(Hierarchy!$H$2:$H$1295,MATCH($D1831,Hierarchy!$A$2:$A$1295,0))),"NODE NOT FOUND"))</f>
        <v>Ulsan</v>
      </c>
      <c r="L1831" s="7" t="str">
        <f aca="false">IF($D1831="","",IFERROR(IF(INDEX(Hierarchy!$I$2:$I$1295,MATCH($D1831,Hierarchy!$A$2:$A$1295,0))="","",INDEX(Hierarchy!$I$2:$I$1295,MATCH($D1831,Hierarchy!$A$2:$A$1295,0))),"NODE NOT FOUND"))</f>
        <v/>
      </c>
      <c r="M1831" s="17" t="str">
        <f aca="false">IF(B1831="Pre-seeded","Pre-seeded",IF(B1831="Review 2026-09-16","Added from review",IF(C1831="","New",IF(C1831=D1831,"","Changed"))))</f>
        <v>Pre-seeded</v>
      </c>
      <c r="N1831" s="7" t="str">
        <f aca="false">TRIM(SUBSTITUTE(SUBSTITUTE(SUBSTITUTE(" "&amp;TRIM(SUBSTITUTE(SUBSTITUTE(SUBSTITUTE(SUBSTITUTE(SUBSTITUTE(SUBSTITUTE(SUBSTITUTE(SUBSTITUTE(SUBSTITUTE(SUBSTITUTE(SUBSTITUTE(SUBSTITUTE(SUBSTITUTE(SUBSTITUTE(SUBSTITUTE(UPPER(TRIM(A1831)),"[MEMBER]",""),"{MEMBER}",""),"[MEMBER}",""),"MEMBER]",""),"(A)",""),"""",""),"“",""),"”",""),".",""),":",""),",",""),"–"," "),"-"," "),"/"," "),"&amp;"," AND "))&amp;" "," THE "," ")," TOTAL "," ")," OPERATIONS "," "))</f>
        <v>ULSAN</v>
      </c>
      <c r="O1831" s="17" t="str">
        <f aca="false">IF(COUNTIFS($N$2:$N$2000,N1831,$D$2:$D$2000,"&lt;&gt;"&amp;D1831)&gt;0,"CONFLICT","")</f>
        <v/>
      </c>
      <c r="P1831" s="7"/>
    </row>
    <row r="1832" customFormat="false" ht="15" hidden="false" customHeight="false" outlineLevel="0" collapsed="false">
      <c r="A1832" s="7" t="s">
        <v>825</v>
      </c>
      <c r="B1832" s="7" t="s">
        <v>1879</v>
      </c>
      <c r="C1832" s="7"/>
      <c r="D1832" s="6" t="s">
        <v>825</v>
      </c>
      <c r="E1832" s="6" t="s">
        <v>1880</v>
      </c>
      <c r="F1832" s="7" t="str">
        <f aca="false">IF($D1832="","",IFERROR(IF(INDEX(Hierarchy!$B$2:$B$1295,MATCH($D1832,Hierarchy!$A$2:$A$1295,0))="","",INDEX(Hierarchy!$B$2:$B$1295,MATCH($D1832,Hierarchy!$A$2:$A$1295,0))),"NODE NOT FOUND"))</f>
        <v>State/Province</v>
      </c>
      <c r="G1832" s="7" t="str">
        <f aca="false">IF($D1832="","",IFERROR(IF(INDEX(Hierarchy!$D$2:$D$1295,MATCH($D1832,Hierarchy!$A$2:$A$1295,0))="","",INDEX(Hierarchy!$D$2:$D$1295,MATCH($D1832,Hierarchy!$A$2:$A$1295,0))),"NODE NOT FOUND"))</f>
        <v>EMEA</v>
      </c>
      <c r="H1832" s="7" t="str">
        <f aca="false">IF($D1832="","",IFERROR(IF(INDEX(Hierarchy!$E$2:$E$1295,MATCH($D1832,Hierarchy!$A$2:$A$1295,0))="","",INDEX(Hierarchy!$E$2:$E$1295,MATCH($D1832,Hierarchy!$A$2:$A$1295,0))),"NODE NOT FOUND"))</f>
        <v>Europe</v>
      </c>
      <c r="I1832" s="7" t="str">
        <f aca="false">IF($D1832="","",IFERROR(IF(INDEX(Hierarchy!$F$2:$F$1295,MATCH($D1832,Hierarchy!$A$2:$A$1295,0))="","",INDEX(Hierarchy!$F$2:$F$1295,MATCH($D1832,Hierarchy!$A$2:$A$1295,0))),"NODE NOT FOUND"))</f>
        <v>Ireland</v>
      </c>
      <c r="J1832" s="7" t="str">
        <f aca="false">IF($D1832="","",IFERROR(IF(INDEX(Hierarchy!$G$2:$G$1295,MATCH($D1832,Hierarchy!$A$2:$A$1295,0))="","",INDEX(Hierarchy!$G$2:$G$1295,MATCH($D1832,Hierarchy!$A$2:$A$1295,0))),"NODE NOT FOUND"))</f>
        <v>IRL</v>
      </c>
      <c r="K1832" s="7" t="str">
        <f aca="false">IF($D1832="","",IFERROR(IF(INDEX(Hierarchy!$H$2:$H$1295,MATCH($D1832,Hierarchy!$A$2:$A$1295,0))="","",INDEX(Hierarchy!$H$2:$H$1295,MATCH($D1832,Hierarchy!$A$2:$A$1295,0))),"NODE NOT FOUND"))</f>
        <v>Ulster (Ireland)</v>
      </c>
      <c r="L1832" s="7" t="str">
        <f aca="false">IF($D1832="","",IFERROR(IF(INDEX(Hierarchy!$I$2:$I$1295,MATCH($D1832,Hierarchy!$A$2:$A$1295,0))="","",INDEX(Hierarchy!$I$2:$I$1295,MATCH($D1832,Hierarchy!$A$2:$A$1295,0))),"NODE NOT FOUND"))</f>
        <v/>
      </c>
      <c r="M1832" s="17" t="str">
        <f aca="false">IF(B1832="Pre-seeded","Pre-seeded",IF(B1832="Review 2026-09-16","Added from review",IF(C1832="","New",IF(C1832=D1832,"","Changed"))))</f>
        <v>Pre-seeded</v>
      </c>
      <c r="N1832" s="7" t="str">
        <f aca="false">TRIM(SUBSTITUTE(SUBSTITUTE(SUBSTITUTE(" "&amp;TRIM(SUBSTITUTE(SUBSTITUTE(SUBSTITUTE(SUBSTITUTE(SUBSTITUTE(SUBSTITUTE(SUBSTITUTE(SUBSTITUTE(SUBSTITUTE(SUBSTITUTE(SUBSTITUTE(SUBSTITUTE(SUBSTITUTE(SUBSTITUTE(SUBSTITUTE(UPPER(TRIM(A1832)),"[MEMBER]",""),"{MEMBER}",""),"[MEMBER}",""),"MEMBER]",""),"(A)",""),"""",""),"“",""),"”",""),".",""),":",""),",",""),"–"," "),"-"," "),"/"," "),"&amp;"," AND "))&amp;" "," THE "," ")," TOTAL "," ")," OPERATIONS "," "))</f>
        <v>ULSTER (IRELAND)</v>
      </c>
      <c r="O1832" s="17" t="str">
        <f aca="false">IF(COUNTIFS($N$2:$N$2000,N1832,$D$2:$D$2000,"&lt;&gt;"&amp;D1832)&gt;0,"CONFLICT","")</f>
        <v/>
      </c>
      <c r="P1832" s="7"/>
    </row>
    <row r="1833" customFormat="false" ht="15" hidden="false" customHeight="false" outlineLevel="0" collapsed="false">
      <c r="A1833" s="7" t="s">
        <v>850</v>
      </c>
      <c r="B1833" s="7" t="s">
        <v>1879</v>
      </c>
      <c r="C1833" s="7"/>
      <c r="D1833" s="6" t="s">
        <v>850</v>
      </c>
      <c r="E1833" s="6" t="s">
        <v>1880</v>
      </c>
      <c r="F1833" s="7" t="str">
        <f aca="false">IF($D1833="","",IFERROR(IF(INDEX(Hierarchy!$B$2:$B$1295,MATCH($D1833,Hierarchy!$A$2:$A$1295,0))="","",INDEX(Hierarchy!$B$2:$B$1295,MATCH($D1833,Hierarchy!$A$2:$A$1295,0))),"NODE NOT FOUND"))</f>
        <v>State/Province</v>
      </c>
      <c r="G1833" s="7" t="str">
        <f aca="false">IF($D1833="","",IFERROR(IF(INDEX(Hierarchy!$D$2:$D$1295,MATCH($D1833,Hierarchy!$A$2:$A$1295,0))="","",INDEX(Hierarchy!$D$2:$D$1295,MATCH($D1833,Hierarchy!$A$2:$A$1295,0))),"NODE NOT FOUND"))</f>
        <v>EMEA</v>
      </c>
      <c r="H1833" s="7" t="str">
        <f aca="false">IF($D1833="","",IFERROR(IF(INDEX(Hierarchy!$E$2:$E$1295,MATCH($D1833,Hierarchy!$A$2:$A$1295,0))="","",INDEX(Hierarchy!$E$2:$E$1295,MATCH($D1833,Hierarchy!$A$2:$A$1295,0))),"NODE NOT FOUND"))</f>
        <v>Europe</v>
      </c>
      <c r="I1833" s="7" t="str">
        <f aca="false">IF($D1833="","",IFERROR(IF(INDEX(Hierarchy!$F$2:$F$1295,MATCH($D1833,Hierarchy!$A$2:$A$1295,0))="","",INDEX(Hierarchy!$F$2:$F$1295,MATCH($D1833,Hierarchy!$A$2:$A$1295,0))),"NODE NOT FOUND"))</f>
        <v>Italy</v>
      </c>
      <c r="J1833" s="7" t="str">
        <f aca="false">IF($D1833="","",IFERROR(IF(INDEX(Hierarchy!$G$2:$G$1295,MATCH($D1833,Hierarchy!$A$2:$A$1295,0))="","",INDEX(Hierarchy!$G$2:$G$1295,MATCH($D1833,Hierarchy!$A$2:$A$1295,0))),"NODE NOT FOUND"))</f>
        <v>ITA</v>
      </c>
      <c r="K1833" s="7" t="str">
        <f aca="false">IF($D1833="","",IFERROR(IF(INDEX(Hierarchy!$H$2:$H$1295,MATCH($D1833,Hierarchy!$A$2:$A$1295,0))="","",INDEX(Hierarchy!$H$2:$H$1295,MATCH($D1833,Hierarchy!$A$2:$A$1295,0))),"NODE NOT FOUND"))</f>
        <v>Umbria</v>
      </c>
      <c r="L1833" s="7" t="str">
        <f aca="false">IF($D1833="","",IFERROR(IF(INDEX(Hierarchy!$I$2:$I$1295,MATCH($D1833,Hierarchy!$A$2:$A$1295,0))="","",INDEX(Hierarchy!$I$2:$I$1295,MATCH($D1833,Hierarchy!$A$2:$A$1295,0))),"NODE NOT FOUND"))</f>
        <v/>
      </c>
      <c r="M1833" s="17" t="str">
        <f aca="false">IF(B1833="Pre-seeded","Pre-seeded",IF(B1833="Review 2026-09-16","Added from review",IF(C1833="","New",IF(C1833=D1833,"","Changed"))))</f>
        <v>Pre-seeded</v>
      </c>
      <c r="N1833" s="7" t="str">
        <f aca="false">TRIM(SUBSTITUTE(SUBSTITUTE(SUBSTITUTE(" "&amp;TRIM(SUBSTITUTE(SUBSTITUTE(SUBSTITUTE(SUBSTITUTE(SUBSTITUTE(SUBSTITUTE(SUBSTITUTE(SUBSTITUTE(SUBSTITUTE(SUBSTITUTE(SUBSTITUTE(SUBSTITUTE(SUBSTITUTE(SUBSTITUTE(SUBSTITUTE(UPPER(TRIM(A1833)),"[MEMBER]",""),"{MEMBER}",""),"[MEMBER}",""),"MEMBER]",""),"(A)",""),"""",""),"“",""),"”",""),".",""),":",""),",",""),"–"," "),"-"," "),"/"," "),"&amp;"," AND "))&amp;" "," THE "," ")," TOTAL "," ")," OPERATIONS "," "))</f>
        <v>UMBRIA</v>
      </c>
      <c r="O1833" s="17" t="str">
        <f aca="false">IF(COUNTIFS($N$2:$N$2000,N1833,$D$2:$D$2000,"&lt;&gt;"&amp;D1833)&gt;0,"CONFLICT","")</f>
        <v/>
      </c>
      <c r="P1833" s="7"/>
    </row>
    <row r="1834" customFormat="false" ht="15" hidden="false" customHeight="false" outlineLevel="0" collapsed="false">
      <c r="A1834" s="7" t="s">
        <v>1045</v>
      </c>
      <c r="B1834" s="7" t="s">
        <v>1879</v>
      </c>
      <c r="C1834" s="7"/>
      <c r="D1834" s="6" t="s">
        <v>1045</v>
      </c>
      <c r="E1834" s="6" t="s">
        <v>1880</v>
      </c>
      <c r="F1834" s="7" t="str">
        <f aca="false">IF($D1834="","",IFERROR(IF(INDEX(Hierarchy!$B$2:$B$1295,MATCH($D1834,Hierarchy!$A$2:$A$1295,0))="","",INDEX(Hierarchy!$B$2:$B$1295,MATCH($D1834,Hierarchy!$A$2:$A$1295,0))),"NODE NOT FOUND"))</f>
        <v>State/Province</v>
      </c>
      <c r="G1834" s="7" t="str">
        <f aca="false">IF($D1834="","",IFERROR(IF(INDEX(Hierarchy!$D$2:$D$1295,MATCH($D1834,Hierarchy!$A$2:$A$1295,0))="","",INDEX(Hierarchy!$D$2:$D$1295,MATCH($D1834,Hierarchy!$A$2:$A$1295,0))),"NODE NOT FOUND"))</f>
        <v>EMEA</v>
      </c>
      <c r="H1834" s="7" t="str">
        <f aca="false">IF($D1834="","",IFERROR(IF(INDEX(Hierarchy!$E$2:$E$1295,MATCH($D1834,Hierarchy!$A$2:$A$1295,0))="","",INDEX(Hierarchy!$E$2:$E$1295,MATCH($D1834,Hierarchy!$A$2:$A$1295,0))),"NODE NOT FOUND"))</f>
        <v>Middle East</v>
      </c>
      <c r="I1834" s="7" t="str">
        <f aca="false">IF($D1834="","",IFERROR(IF(INDEX(Hierarchy!$F$2:$F$1295,MATCH($D1834,Hierarchy!$A$2:$A$1295,0))="","",INDEX(Hierarchy!$F$2:$F$1295,MATCH($D1834,Hierarchy!$A$2:$A$1295,0))),"NODE NOT FOUND"))</f>
        <v>United Arab Emirates</v>
      </c>
      <c r="J1834" s="7" t="str">
        <f aca="false">IF($D1834="","",IFERROR(IF(INDEX(Hierarchy!$G$2:$G$1295,MATCH($D1834,Hierarchy!$A$2:$A$1295,0))="","",INDEX(Hierarchy!$G$2:$G$1295,MATCH($D1834,Hierarchy!$A$2:$A$1295,0))),"NODE NOT FOUND"))</f>
        <v>ARE</v>
      </c>
      <c r="K1834" s="7" t="str">
        <f aca="false">IF($D1834="","",IFERROR(IF(INDEX(Hierarchy!$H$2:$H$1295,MATCH($D1834,Hierarchy!$A$2:$A$1295,0))="","",INDEX(Hierarchy!$H$2:$H$1295,MATCH($D1834,Hierarchy!$A$2:$A$1295,0))),"NODE NOT FOUND"))</f>
        <v>Umm Al Quwain</v>
      </c>
      <c r="L1834" s="7" t="str">
        <f aca="false">IF($D1834="","",IFERROR(IF(INDEX(Hierarchy!$I$2:$I$1295,MATCH($D1834,Hierarchy!$A$2:$A$1295,0))="","",INDEX(Hierarchy!$I$2:$I$1295,MATCH($D1834,Hierarchy!$A$2:$A$1295,0))),"NODE NOT FOUND"))</f>
        <v/>
      </c>
      <c r="M1834" s="17" t="str">
        <f aca="false">IF(B1834="Pre-seeded","Pre-seeded",IF(B1834="Review 2026-09-16","Added from review",IF(C1834="","New",IF(C1834=D1834,"","Changed"))))</f>
        <v>Pre-seeded</v>
      </c>
      <c r="N1834" s="7" t="str">
        <f aca="false">TRIM(SUBSTITUTE(SUBSTITUTE(SUBSTITUTE(" "&amp;TRIM(SUBSTITUTE(SUBSTITUTE(SUBSTITUTE(SUBSTITUTE(SUBSTITUTE(SUBSTITUTE(SUBSTITUTE(SUBSTITUTE(SUBSTITUTE(SUBSTITUTE(SUBSTITUTE(SUBSTITUTE(SUBSTITUTE(SUBSTITUTE(SUBSTITUTE(UPPER(TRIM(A1834)),"[MEMBER]",""),"{MEMBER}",""),"[MEMBER}",""),"MEMBER]",""),"(A)",""),"""",""),"“",""),"”",""),".",""),":",""),",",""),"–"," "),"-"," "),"/"," "),"&amp;"," AND "))&amp;" "," THE "," ")," TOTAL "," ")," OPERATIONS "," "))</f>
        <v>UMM AL QUWAIN</v>
      </c>
      <c r="O1834" s="17" t="str">
        <f aca="false">IF(COUNTIFS($N$2:$N$2000,N1834,$D$2:$D$2000,"&lt;&gt;"&amp;D1834)&gt;0,"CONFLICT","")</f>
        <v/>
      </c>
      <c r="P1834" s="7"/>
    </row>
    <row r="1835" customFormat="false" ht="15" hidden="false" customHeight="false" outlineLevel="0" collapsed="false">
      <c r="A1835" s="7" t="s">
        <v>2812</v>
      </c>
      <c r="B1835" s="7" t="s">
        <v>1879</v>
      </c>
      <c r="C1835" s="7"/>
      <c r="D1835" s="6" t="s">
        <v>1791</v>
      </c>
      <c r="E1835" s="6" t="s">
        <v>1898</v>
      </c>
      <c r="F1835" s="7" t="str">
        <f aca="false">IF($D1835="","",IFERROR(IF(INDEX(Hierarchy!$B$2:$B$1295,MATCH($D1835,Hierarchy!$A$2:$A$1295,0))="","",INDEX(Hierarchy!$B$2:$B$1295,MATCH($D1835,Hierarchy!$A$2:$A$1295,0))),"NODE NOT FOUND"))</f>
        <v>Bucket</v>
      </c>
      <c r="G1835" s="7" t="str">
        <f aca="false">IF($D1835="","",IFERROR(IF(INDEX(Hierarchy!$D$2:$D$1295,MATCH($D1835,Hierarchy!$A$2:$A$1295,0))="","",INDEX(Hierarchy!$D$2:$D$1295,MATCH($D1835,Hierarchy!$A$2:$A$1295,0))),"NODE NOT FOUND"))</f>
        <v>Non-regional</v>
      </c>
      <c r="H1835" s="7" t="str">
        <f aca="false">IF($D1835="","",IFERROR(IF(INDEX(Hierarchy!$E$2:$E$1295,MATCH($D1835,Hierarchy!$A$2:$A$1295,0))="","",INDEX(Hierarchy!$E$2:$E$1295,MATCH($D1835,Hierarchy!$A$2:$A$1295,0))),"NODE NOT FOUND"))</f>
        <v/>
      </c>
      <c r="I1835" s="7" t="str">
        <f aca="false">IF($D1835="","",IFERROR(IF(INDEX(Hierarchy!$F$2:$F$1295,MATCH($D1835,Hierarchy!$A$2:$A$1295,0))="","",INDEX(Hierarchy!$F$2:$F$1295,MATCH($D1835,Hierarchy!$A$2:$A$1295,0))),"NODE NOT FOUND"))</f>
        <v/>
      </c>
      <c r="J1835" s="7" t="str">
        <f aca="false">IF($D1835="","",IFERROR(IF(INDEX(Hierarchy!$G$2:$G$1295,MATCH($D1835,Hierarchy!$A$2:$A$1295,0))="","",INDEX(Hierarchy!$G$2:$G$1295,MATCH($D1835,Hierarchy!$A$2:$A$1295,0))),"NODE NOT FOUND"))</f>
        <v/>
      </c>
      <c r="K1835" s="7" t="str">
        <f aca="false">IF($D1835="","",IFERROR(IF(INDEX(Hierarchy!$H$2:$H$1295,MATCH($D1835,Hierarchy!$A$2:$A$1295,0))="","",INDEX(Hierarchy!$H$2:$H$1295,MATCH($D1835,Hierarchy!$A$2:$A$1295,0))),"NODE NOT FOUND"))</f>
        <v/>
      </c>
      <c r="L1835" s="7" t="str">
        <f aca="false">IF($D1835="","",IFERROR(IF(INDEX(Hierarchy!$I$2:$I$1295,MATCH($D1835,Hierarchy!$A$2:$A$1295,0))="","",INDEX(Hierarchy!$I$2:$I$1295,MATCH($D1835,Hierarchy!$A$2:$A$1295,0))),"NODE NOT FOUND"))</f>
        <v/>
      </c>
      <c r="M1835" s="17" t="str">
        <f aca="false">IF(B1835="Pre-seeded","Pre-seeded",IF(B1835="Review 2026-09-16","Added from review",IF(C1835="","New",IF(C1835=D1835,"","Changed"))))</f>
        <v>Pre-seeded</v>
      </c>
      <c r="N1835" s="7" t="str">
        <f aca="false">TRIM(SUBSTITUTE(SUBSTITUTE(SUBSTITUTE(" "&amp;TRIM(SUBSTITUTE(SUBSTITUTE(SUBSTITUTE(SUBSTITUTE(SUBSTITUTE(SUBSTITUTE(SUBSTITUTE(SUBSTITUTE(SUBSTITUTE(SUBSTITUTE(SUBSTITUTE(SUBSTITUTE(SUBSTITUTE(SUBSTITUTE(SUBSTITUTE(UPPER(TRIM(A1835)),"[MEMBER]",""),"{MEMBER}",""),"[MEMBER}",""),"MEMBER]",""),"(A)",""),"""",""),"“",""),"”",""),".",""),":",""),",",""),"–"," "),"-"," "),"/"," "),"&amp;"," AND "))&amp;" "," THE "," ")," TOTAL "," ")," OPERATIONS "," "))</f>
        <v>UNALLOCATED</v>
      </c>
      <c r="O1835" s="17" t="str">
        <f aca="false">IF(COUNTIFS($N$2:$N$2000,N1835,$D$2:$D$2000,"&lt;&gt;"&amp;D1835)&gt;0,"CONFLICT","")</f>
        <v/>
      </c>
      <c r="P1835" s="7"/>
    </row>
    <row r="1836" customFormat="false" ht="15" hidden="false" customHeight="false" outlineLevel="0" collapsed="false">
      <c r="A1836" s="7" t="s">
        <v>269</v>
      </c>
      <c r="B1836" s="7" t="s">
        <v>1882</v>
      </c>
      <c r="C1836" s="7" t="s">
        <v>269</v>
      </c>
      <c r="D1836" s="6" t="s">
        <v>269</v>
      </c>
      <c r="E1836" s="6" t="s">
        <v>1880</v>
      </c>
      <c r="F1836" s="7" t="str">
        <f aca="false">IF($D1836="","",IFERROR(IF(INDEX(Hierarchy!$B$2:$B$1295,MATCH($D1836,Hierarchy!$A$2:$A$1295,0))="","",INDEX(Hierarchy!$B$2:$B$1295,MATCH($D1836,Hierarchy!$A$2:$A$1295,0))),"NODE NOT FOUND"))</f>
        <v>City</v>
      </c>
      <c r="G1836" s="7" t="str">
        <f aca="false">IF($D1836="","",IFERROR(IF(INDEX(Hierarchy!$D$2:$D$1295,MATCH($D1836,Hierarchy!$A$2:$A$1295,0))="","",INDEX(Hierarchy!$D$2:$D$1295,MATCH($D1836,Hierarchy!$A$2:$A$1295,0))),"NODE NOT FOUND"))</f>
        <v>AMER</v>
      </c>
      <c r="H1836" s="7" t="str">
        <f aca="false">IF($D1836="","",IFERROR(IF(INDEX(Hierarchy!$E$2:$E$1295,MATCH($D1836,Hierarchy!$A$2:$A$1295,0))="","",INDEX(Hierarchy!$E$2:$E$1295,MATCH($D1836,Hierarchy!$A$2:$A$1295,0))),"NODE NOT FOUND"))</f>
        <v>North America (NORAM)</v>
      </c>
      <c r="I1836" s="7" t="str">
        <f aca="false">IF($D1836="","",IFERROR(IF(INDEX(Hierarchy!$F$2:$F$1295,MATCH($D1836,Hierarchy!$A$2:$A$1295,0))="","",INDEX(Hierarchy!$F$2:$F$1295,MATCH($D1836,Hierarchy!$A$2:$A$1295,0))),"NODE NOT FOUND"))</f>
        <v>United States</v>
      </c>
      <c r="J1836" s="7" t="str">
        <f aca="false">IF($D1836="","",IFERROR(IF(INDEX(Hierarchy!$G$2:$G$1295,MATCH($D1836,Hierarchy!$A$2:$A$1295,0))="","",INDEX(Hierarchy!$G$2:$G$1295,MATCH($D1836,Hierarchy!$A$2:$A$1295,0))),"NODE NOT FOUND"))</f>
        <v>USA</v>
      </c>
      <c r="K1836" s="7" t="str">
        <f aca="false">IF($D1836="","",IFERROR(IF(INDEX(Hierarchy!$H$2:$H$1295,MATCH($D1836,Hierarchy!$A$2:$A$1295,0))="","",INDEX(Hierarchy!$H$2:$H$1295,MATCH($D1836,Hierarchy!$A$2:$A$1295,0))),"NODE NOT FOUND"))</f>
        <v/>
      </c>
      <c r="L1836" s="7" t="str">
        <f aca="false">IF($D1836="","",IFERROR(IF(INDEX(Hierarchy!$I$2:$I$1295,MATCH($D1836,Hierarchy!$A$2:$A$1295,0))="","",INDEX(Hierarchy!$I$2:$I$1295,MATCH($D1836,Hierarchy!$A$2:$A$1295,0))),"NODE NOT FOUND"))</f>
        <v>Union City</v>
      </c>
      <c r="M1836" s="17" t="str">
        <f aca="false">IF(B1836="Pre-seeded","Pre-seeded",IF(B1836="Review 2026-09-16","Added from review",IF(C1836="","New",IF(C1836=D1836,"","Changed"))))</f>
        <v/>
      </c>
      <c r="N1836" s="7" t="str">
        <f aca="false">TRIM(SUBSTITUTE(SUBSTITUTE(SUBSTITUTE(" "&amp;TRIM(SUBSTITUTE(SUBSTITUTE(SUBSTITUTE(SUBSTITUTE(SUBSTITUTE(SUBSTITUTE(SUBSTITUTE(SUBSTITUTE(SUBSTITUTE(SUBSTITUTE(SUBSTITUTE(SUBSTITUTE(SUBSTITUTE(SUBSTITUTE(SUBSTITUTE(UPPER(TRIM(A1836)),"[MEMBER]",""),"{MEMBER}",""),"[MEMBER}",""),"MEMBER]",""),"(A)",""),"""",""),"“",""),"”",""),".",""),":",""),",",""),"–"," "),"-"," "),"/"," "),"&amp;"," AND "))&amp;" "," THE "," ")," TOTAL "," ")," OPERATIONS "," "))</f>
        <v>UNION CITY</v>
      </c>
      <c r="O1836" s="17" t="str">
        <f aca="false">IF(COUNTIFS($N$2:$N$2000,N1836,$D$2:$D$2000,"&lt;&gt;"&amp;D1836)&gt;0,"CONFLICT","")</f>
        <v/>
      </c>
      <c r="P1836" s="7"/>
    </row>
    <row r="1837" customFormat="false" ht="15" hidden="false" customHeight="false" outlineLevel="0" collapsed="false">
      <c r="A1837" s="7" t="s">
        <v>2813</v>
      </c>
      <c r="B1837" s="7" t="s">
        <v>1879</v>
      </c>
      <c r="C1837" s="7"/>
      <c r="D1837" s="6" t="s">
        <v>1202</v>
      </c>
      <c r="E1837" s="6" t="s">
        <v>1880</v>
      </c>
      <c r="F1837" s="7" t="str">
        <f aca="false">IF($D1837="","",IFERROR(IF(INDEX(Hierarchy!$B$2:$B$1295,MATCH($D1837,Hierarchy!$A$2:$A$1295,0))="","",INDEX(Hierarchy!$B$2:$B$1295,MATCH($D1837,Hierarchy!$A$2:$A$1295,0))),"NODE NOT FOUND"))</f>
        <v>Country</v>
      </c>
      <c r="G1837" s="7" t="str">
        <f aca="false">IF($D1837="","",IFERROR(IF(INDEX(Hierarchy!$D$2:$D$1295,MATCH($D1837,Hierarchy!$A$2:$A$1295,0))="","",INDEX(Hierarchy!$D$2:$D$1295,MATCH($D1837,Hierarchy!$A$2:$A$1295,0))),"NODE NOT FOUND"))</f>
        <v>EMEA</v>
      </c>
      <c r="H1837" s="7" t="str">
        <f aca="false">IF($D1837="","",IFERROR(IF(INDEX(Hierarchy!$E$2:$E$1295,MATCH($D1837,Hierarchy!$A$2:$A$1295,0))="","",INDEX(Hierarchy!$E$2:$E$1295,MATCH($D1837,Hierarchy!$A$2:$A$1295,0))),"NODE NOT FOUND"))</f>
        <v>Africa</v>
      </c>
      <c r="I1837" s="7" t="str">
        <f aca="false">IF($D1837="","",IFERROR(IF(INDEX(Hierarchy!$F$2:$F$1295,MATCH($D1837,Hierarchy!$A$2:$A$1295,0))="","",INDEX(Hierarchy!$F$2:$F$1295,MATCH($D1837,Hierarchy!$A$2:$A$1295,0))),"NODE NOT FOUND"))</f>
        <v>Comoros</v>
      </c>
      <c r="J1837" s="7" t="str">
        <f aca="false">IF($D1837="","",IFERROR(IF(INDEX(Hierarchy!$G$2:$G$1295,MATCH($D1837,Hierarchy!$A$2:$A$1295,0))="","",INDEX(Hierarchy!$G$2:$G$1295,MATCH($D1837,Hierarchy!$A$2:$A$1295,0))),"NODE NOT FOUND"))</f>
        <v>COM</v>
      </c>
      <c r="K1837" s="7" t="str">
        <f aca="false">IF($D1837="","",IFERROR(IF(INDEX(Hierarchy!$H$2:$H$1295,MATCH($D1837,Hierarchy!$A$2:$A$1295,0))="","",INDEX(Hierarchy!$H$2:$H$1295,MATCH($D1837,Hierarchy!$A$2:$A$1295,0))),"NODE NOT FOUND"))</f>
        <v/>
      </c>
      <c r="L1837" s="7" t="str">
        <f aca="false">IF($D1837="","",IFERROR(IF(INDEX(Hierarchy!$I$2:$I$1295,MATCH($D1837,Hierarchy!$A$2:$A$1295,0))="","",INDEX(Hierarchy!$I$2:$I$1295,MATCH($D1837,Hierarchy!$A$2:$A$1295,0))),"NODE NOT FOUND"))</f>
        <v/>
      </c>
      <c r="M1837" s="17" t="str">
        <f aca="false">IF(B1837="Pre-seeded","Pre-seeded",IF(B1837="Review 2026-09-16","Added from review",IF(C1837="","New",IF(C1837=D1837,"","Changed"))))</f>
        <v>Pre-seeded</v>
      </c>
      <c r="N1837" s="7" t="str">
        <f aca="false">TRIM(SUBSTITUTE(SUBSTITUTE(SUBSTITUTE(" "&amp;TRIM(SUBSTITUTE(SUBSTITUTE(SUBSTITUTE(SUBSTITUTE(SUBSTITUTE(SUBSTITUTE(SUBSTITUTE(SUBSTITUTE(SUBSTITUTE(SUBSTITUTE(SUBSTITUTE(SUBSTITUTE(SUBSTITUTE(SUBSTITUTE(SUBSTITUTE(UPPER(TRIM(A1837)),"[MEMBER]",""),"{MEMBER}",""),"[MEMBER}",""),"MEMBER]",""),"(A)",""),"""",""),"“",""),"”",""),".",""),":",""),",",""),"–"," "),"-"," "),"/"," "),"&amp;"," AND "))&amp;" "," THE "," ")," TOTAL "," ")," OPERATIONS "," "))</f>
        <v>UNION OF COMOROS</v>
      </c>
      <c r="O1837" s="17" t="str">
        <f aca="false">IF(COUNTIFS($N$2:$N$2000,N1837,$D$2:$D$2000,"&lt;&gt;"&amp;D1837)&gt;0,"CONFLICT","")</f>
        <v/>
      </c>
      <c r="P1837" s="7" t="s">
        <v>1936</v>
      </c>
    </row>
    <row r="1838" customFormat="false" ht="15" hidden="false" customHeight="false" outlineLevel="0" collapsed="false">
      <c r="A1838" s="7" t="s">
        <v>1035</v>
      </c>
      <c r="B1838" s="7" t="s">
        <v>1882</v>
      </c>
      <c r="C1838" s="7" t="s">
        <v>1035</v>
      </c>
      <c r="D1838" s="6" t="s">
        <v>1035</v>
      </c>
      <c r="E1838" s="6" t="s">
        <v>1880</v>
      </c>
      <c r="F1838" s="7" t="str">
        <f aca="false">IF($D1838="","",IFERROR(IF(INDEX(Hierarchy!$B$2:$B$1295,MATCH($D1838,Hierarchy!$A$2:$A$1295,0))="","",INDEX(Hierarchy!$B$2:$B$1295,MATCH($D1838,Hierarchy!$A$2:$A$1295,0))),"NODE NOT FOUND"))</f>
        <v>Country</v>
      </c>
      <c r="G1838" s="7" t="str">
        <f aca="false">IF($D1838="","",IFERROR(IF(INDEX(Hierarchy!$D$2:$D$1295,MATCH($D1838,Hierarchy!$A$2:$A$1295,0))="","",INDEX(Hierarchy!$D$2:$D$1295,MATCH($D1838,Hierarchy!$A$2:$A$1295,0))),"NODE NOT FOUND"))</f>
        <v>EMEA</v>
      </c>
      <c r="H1838" s="7" t="str">
        <f aca="false">IF($D1838="","",IFERROR(IF(INDEX(Hierarchy!$E$2:$E$1295,MATCH($D1838,Hierarchy!$A$2:$A$1295,0))="","",INDEX(Hierarchy!$E$2:$E$1295,MATCH($D1838,Hierarchy!$A$2:$A$1295,0))),"NODE NOT FOUND"))</f>
        <v>Middle East</v>
      </c>
      <c r="I1838" s="7" t="str">
        <f aca="false">IF($D1838="","",IFERROR(IF(INDEX(Hierarchy!$F$2:$F$1295,MATCH($D1838,Hierarchy!$A$2:$A$1295,0))="","",INDEX(Hierarchy!$F$2:$F$1295,MATCH($D1838,Hierarchy!$A$2:$A$1295,0))),"NODE NOT FOUND"))</f>
        <v>United Arab Emirates</v>
      </c>
      <c r="J1838" s="7" t="str">
        <f aca="false">IF($D1838="","",IFERROR(IF(INDEX(Hierarchy!$G$2:$G$1295,MATCH($D1838,Hierarchy!$A$2:$A$1295,0))="","",INDEX(Hierarchy!$G$2:$G$1295,MATCH($D1838,Hierarchy!$A$2:$A$1295,0))),"NODE NOT FOUND"))</f>
        <v>ARE</v>
      </c>
      <c r="K1838" s="7" t="str">
        <f aca="false">IF($D1838="","",IFERROR(IF(INDEX(Hierarchy!$H$2:$H$1295,MATCH($D1838,Hierarchy!$A$2:$A$1295,0))="","",INDEX(Hierarchy!$H$2:$H$1295,MATCH($D1838,Hierarchy!$A$2:$A$1295,0))),"NODE NOT FOUND"))</f>
        <v/>
      </c>
      <c r="L1838" s="7" t="str">
        <f aca="false">IF($D1838="","",IFERROR(IF(INDEX(Hierarchy!$I$2:$I$1295,MATCH($D1838,Hierarchy!$A$2:$A$1295,0))="","",INDEX(Hierarchy!$I$2:$I$1295,MATCH($D1838,Hierarchy!$A$2:$A$1295,0))),"NODE NOT FOUND"))</f>
        <v/>
      </c>
      <c r="M1838" s="17" t="str">
        <f aca="false">IF(B1838="Pre-seeded","Pre-seeded",IF(B1838="Review 2026-09-16","Added from review",IF(C1838="","New",IF(C1838=D1838,"","Changed"))))</f>
        <v/>
      </c>
      <c r="N1838" s="7" t="str">
        <f aca="false">TRIM(SUBSTITUTE(SUBSTITUTE(SUBSTITUTE(" "&amp;TRIM(SUBSTITUTE(SUBSTITUTE(SUBSTITUTE(SUBSTITUTE(SUBSTITUTE(SUBSTITUTE(SUBSTITUTE(SUBSTITUTE(SUBSTITUTE(SUBSTITUTE(SUBSTITUTE(SUBSTITUTE(SUBSTITUTE(SUBSTITUTE(SUBSTITUTE(UPPER(TRIM(A1838)),"[MEMBER]",""),"{MEMBER}",""),"[MEMBER}",""),"MEMBER]",""),"(A)",""),"""",""),"“",""),"”",""),".",""),":",""),",",""),"–"," "),"-"," "),"/"," "),"&amp;"," AND "))&amp;" "," THE "," ")," TOTAL "," ")," OPERATIONS "," "))</f>
        <v>UNITED ARAB EMIRATES</v>
      </c>
      <c r="O1838" s="17" t="str">
        <f aca="false">IF(COUNTIFS($N$2:$N$2000,N1838,$D$2:$D$2000,"&lt;&gt;"&amp;D1838)&gt;0,"CONFLICT","")</f>
        <v/>
      </c>
      <c r="P1838" s="7"/>
    </row>
    <row r="1839" customFormat="false" ht="15" hidden="false" customHeight="false" outlineLevel="0" collapsed="false">
      <c r="A1839" s="7" t="s">
        <v>2814</v>
      </c>
      <c r="B1839" s="7" t="s">
        <v>1882</v>
      </c>
      <c r="C1839" s="7" t="s">
        <v>1035</v>
      </c>
      <c r="D1839" s="6" t="s">
        <v>1035</v>
      </c>
      <c r="E1839" s="6" t="s">
        <v>1880</v>
      </c>
      <c r="F1839" s="7" t="str">
        <f aca="false">IF($D1839="","",IFERROR(IF(INDEX(Hierarchy!$B$2:$B$1295,MATCH($D1839,Hierarchy!$A$2:$A$1295,0))="","",INDEX(Hierarchy!$B$2:$B$1295,MATCH($D1839,Hierarchy!$A$2:$A$1295,0))),"NODE NOT FOUND"))</f>
        <v>Country</v>
      </c>
      <c r="G1839" s="7" t="str">
        <f aca="false">IF($D1839="","",IFERROR(IF(INDEX(Hierarchy!$D$2:$D$1295,MATCH($D1839,Hierarchy!$A$2:$A$1295,0))="","",INDEX(Hierarchy!$D$2:$D$1295,MATCH($D1839,Hierarchy!$A$2:$A$1295,0))),"NODE NOT FOUND"))</f>
        <v>EMEA</v>
      </c>
      <c r="H1839" s="7" t="str">
        <f aca="false">IF($D1839="","",IFERROR(IF(INDEX(Hierarchy!$E$2:$E$1295,MATCH($D1839,Hierarchy!$A$2:$A$1295,0))="","",INDEX(Hierarchy!$E$2:$E$1295,MATCH($D1839,Hierarchy!$A$2:$A$1295,0))),"NODE NOT FOUND"))</f>
        <v>Middle East</v>
      </c>
      <c r="I1839" s="7" t="str">
        <f aca="false">IF($D1839="","",IFERROR(IF(INDEX(Hierarchy!$F$2:$F$1295,MATCH($D1839,Hierarchy!$A$2:$A$1295,0))="","",INDEX(Hierarchy!$F$2:$F$1295,MATCH($D1839,Hierarchy!$A$2:$A$1295,0))),"NODE NOT FOUND"))</f>
        <v>United Arab Emirates</v>
      </c>
      <c r="J1839" s="7" t="str">
        <f aca="false">IF($D1839="","",IFERROR(IF(INDEX(Hierarchy!$G$2:$G$1295,MATCH($D1839,Hierarchy!$A$2:$A$1295,0))="","",INDEX(Hierarchy!$G$2:$G$1295,MATCH($D1839,Hierarchy!$A$2:$A$1295,0))),"NODE NOT FOUND"))</f>
        <v>ARE</v>
      </c>
      <c r="K1839" s="7" t="str">
        <f aca="false">IF($D1839="","",IFERROR(IF(INDEX(Hierarchy!$H$2:$H$1295,MATCH($D1839,Hierarchy!$A$2:$A$1295,0))="","",INDEX(Hierarchy!$H$2:$H$1295,MATCH($D1839,Hierarchy!$A$2:$A$1295,0))),"NODE NOT FOUND"))</f>
        <v/>
      </c>
      <c r="L1839" s="7" t="str">
        <f aca="false">IF($D1839="","",IFERROR(IF(INDEX(Hierarchy!$I$2:$I$1295,MATCH($D1839,Hierarchy!$A$2:$A$1295,0))="","",INDEX(Hierarchy!$I$2:$I$1295,MATCH($D1839,Hierarchy!$A$2:$A$1295,0))),"NODE NOT FOUND"))</f>
        <v/>
      </c>
      <c r="M1839" s="17" t="str">
        <f aca="false">IF(B1839="Pre-seeded","Pre-seeded",IF(B1839="Review 2026-09-16","Added from review",IF(C1839="","New",IF(C1839=D1839,"","Changed"))))</f>
        <v/>
      </c>
      <c r="N1839" s="7" t="str">
        <f aca="false">TRIM(SUBSTITUTE(SUBSTITUTE(SUBSTITUTE(" "&amp;TRIM(SUBSTITUTE(SUBSTITUTE(SUBSTITUTE(SUBSTITUTE(SUBSTITUTE(SUBSTITUTE(SUBSTITUTE(SUBSTITUTE(SUBSTITUTE(SUBSTITUTE(SUBSTITUTE(SUBSTITUTE(SUBSTITUTE(SUBSTITUTE(SUBSTITUTE(UPPER(TRIM(A1839)),"[MEMBER]",""),"{MEMBER}",""),"[MEMBER}",""),"MEMBER]",""),"(A)",""),"""",""),"“",""),"”",""),".",""),":",""),",",""),"–"," "),"-"," "),"/"," "),"&amp;"," AND "))&amp;" "," THE "," ")," TOTAL "," ")," OPERATIONS "," "))</f>
        <v>UNITED ARAB EMIRATES</v>
      </c>
      <c r="O1839" s="17" t="str">
        <f aca="false">IF(COUNTIFS($N$2:$N$2000,N1839,$D$2:$D$2000,"&lt;&gt;"&amp;D1839)&gt;0,"CONFLICT","")</f>
        <v/>
      </c>
      <c r="P1839" s="7"/>
    </row>
    <row r="1840" customFormat="false" ht="15" hidden="false" customHeight="false" outlineLevel="0" collapsed="false">
      <c r="A1840" s="7" t="s">
        <v>661</v>
      </c>
      <c r="B1840" s="7" t="s">
        <v>1882</v>
      </c>
      <c r="C1840" s="7" t="s">
        <v>661</v>
      </c>
      <c r="D1840" s="6" t="s">
        <v>661</v>
      </c>
      <c r="E1840" s="6" t="s">
        <v>1880</v>
      </c>
      <c r="F1840" s="7" t="str">
        <f aca="false">IF($D1840="","",IFERROR(IF(INDEX(Hierarchy!$B$2:$B$1295,MATCH($D1840,Hierarchy!$A$2:$A$1295,0))="","",INDEX(Hierarchy!$B$2:$B$1295,MATCH($D1840,Hierarchy!$A$2:$A$1295,0))),"NODE NOT FOUND"))</f>
        <v>Country</v>
      </c>
      <c r="G1840" s="7" t="str">
        <f aca="false">IF($D1840="","",IFERROR(IF(INDEX(Hierarchy!$D$2:$D$1295,MATCH($D1840,Hierarchy!$A$2:$A$1295,0))="","",INDEX(Hierarchy!$D$2:$D$1295,MATCH($D1840,Hierarchy!$A$2:$A$1295,0))),"NODE NOT FOUND"))</f>
        <v>EMEA</v>
      </c>
      <c r="H1840" s="7" t="str">
        <f aca="false">IF($D1840="","",IFERROR(IF(INDEX(Hierarchy!$E$2:$E$1295,MATCH($D1840,Hierarchy!$A$2:$A$1295,0))="","",INDEX(Hierarchy!$E$2:$E$1295,MATCH($D1840,Hierarchy!$A$2:$A$1295,0))),"NODE NOT FOUND"))</f>
        <v>Europe</v>
      </c>
      <c r="I1840" s="7" t="str">
        <f aca="false">IF($D1840="","",IFERROR(IF(INDEX(Hierarchy!$F$2:$F$1295,MATCH($D1840,Hierarchy!$A$2:$A$1295,0))="","",INDEX(Hierarchy!$F$2:$F$1295,MATCH($D1840,Hierarchy!$A$2:$A$1295,0))),"NODE NOT FOUND"))</f>
        <v>United Kingdom</v>
      </c>
      <c r="J1840" s="7" t="str">
        <f aca="false">IF($D1840="","",IFERROR(IF(INDEX(Hierarchy!$G$2:$G$1295,MATCH($D1840,Hierarchy!$A$2:$A$1295,0))="","",INDEX(Hierarchy!$G$2:$G$1295,MATCH($D1840,Hierarchy!$A$2:$A$1295,0))),"NODE NOT FOUND"))</f>
        <v>GBR</v>
      </c>
      <c r="K1840" s="7" t="str">
        <f aca="false">IF($D1840="","",IFERROR(IF(INDEX(Hierarchy!$H$2:$H$1295,MATCH($D1840,Hierarchy!$A$2:$A$1295,0))="","",INDEX(Hierarchy!$H$2:$H$1295,MATCH($D1840,Hierarchy!$A$2:$A$1295,0))),"NODE NOT FOUND"))</f>
        <v/>
      </c>
      <c r="L1840" s="7" t="str">
        <f aca="false">IF($D1840="","",IFERROR(IF(INDEX(Hierarchy!$I$2:$I$1295,MATCH($D1840,Hierarchy!$A$2:$A$1295,0))="","",INDEX(Hierarchy!$I$2:$I$1295,MATCH($D1840,Hierarchy!$A$2:$A$1295,0))),"NODE NOT FOUND"))</f>
        <v/>
      </c>
      <c r="M1840" s="17" t="str">
        <f aca="false">IF(B1840="Pre-seeded","Pre-seeded",IF(B1840="Review 2026-09-16","Added from review",IF(C1840="","New",IF(C1840=D1840,"","Changed"))))</f>
        <v/>
      </c>
      <c r="N1840" s="7" t="str">
        <f aca="false">TRIM(SUBSTITUTE(SUBSTITUTE(SUBSTITUTE(" "&amp;TRIM(SUBSTITUTE(SUBSTITUTE(SUBSTITUTE(SUBSTITUTE(SUBSTITUTE(SUBSTITUTE(SUBSTITUTE(SUBSTITUTE(SUBSTITUTE(SUBSTITUTE(SUBSTITUTE(SUBSTITUTE(SUBSTITUTE(SUBSTITUTE(SUBSTITUTE(UPPER(TRIM(A1840)),"[MEMBER]",""),"{MEMBER}",""),"[MEMBER}",""),"MEMBER]",""),"(A)",""),"""",""),"“",""),"”",""),".",""),":",""),",",""),"–"," "),"-"," "),"/"," "),"&amp;"," AND "))&amp;" "," THE "," ")," TOTAL "," ")," OPERATIONS "," "))</f>
        <v>UNITED KINGDOM</v>
      </c>
      <c r="O1840" s="17" t="str">
        <f aca="false">IF(COUNTIFS($N$2:$N$2000,N1840,$D$2:$D$2000,"&lt;&gt;"&amp;D1840)&gt;0,"CONFLICT","")</f>
        <v/>
      </c>
      <c r="P1840" s="7"/>
    </row>
    <row r="1841" customFormat="false" ht="15" hidden="false" customHeight="false" outlineLevel="0" collapsed="false">
      <c r="A1841" s="7" t="s">
        <v>2815</v>
      </c>
      <c r="B1841" s="7" t="s">
        <v>1882</v>
      </c>
      <c r="C1841" s="7" t="s">
        <v>661</v>
      </c>
      <c r="D1841" s="6" t="s">
        <v>661</v>
      </c>
      <c r="E1841" s="6" t="s">
        <v>1880</v>
      </c>
      <c r="F1841" s="7" t="str">
        <f aca="false">IF($D1841="","",IFERROR(IF(INDEX(Hierarchy!$B$2:$B$1295,MATCH($D1841,Hierarchy!$A$2:$A$1295,0))="","",INDEX(Hierarchy!$B$2:$B$1295,MATCH($D1841,Hierarchy!$A$2:$A$1295,0))),"NODE NOT FOUND"))</f>
        <v>Country</v>
      </c>
      <c r="G1841" s="7" t="str">
        <f aca="false">IF($D1841="","",IFERROR(IF(INDEX(Hierarchy!$D$2:$D$1295,MATCH($D1841,Hierarchy!$A$2:$A$1295,0))="","",INDEX(Hierarchy!$D$2:$D$1295,MATCH($D1841,Hierarchy!$A$2:$A$1295,0))),"NODE NOT FOUND"))</f>
        <v>EMEA</v>
      </c>
      <c r="H1841" s="7" t="str">
        <f aca="false">IF($D1841="","",IFERROR(IF(INDEX(Hierarchy!$E$2:$E$1295,MATCH($D1841,Hierarchy!$A$2:$A$1295,0))="","",INDEX(Hierarchy!$E$2:$E$1295,MATCH($D1841,Hierarchy!$A$2:$A$1295,0))),"NODE NOT FOUND"))</f>
        <v>Europe</v>
      </c>
      <c r="I1841" s="7" t="str">
        <f aca="false">IF($D1841="","",IFERROR(IF(INDEX(Hierarchy!$F$2:$F$1295,MATCH($D1841,Hierarchy!$A$2:$A$1295,0))="","",INDEX(Hierarchy!$F$2:$F$1295,MATCH($D1841,Hierarchy!$A$2:$A$1295,0))),"NODE NOT FOUND"))</f>
        <v>United Kingdom</v>
      </c>
      <c r="J1841" s="7" t="str">
        <f aca="false">IF($D1841="","",IFERROR(IF(INDEX(Hierarchy!$G$2:$G$1295,MATCH($D1841,Hierarchy!$A$2:$A$1295,0))="","",INDEX(Hierarchy!$G$2:$G$1295,MATCH($D1841,Hierarchy!$A$2:$A$1295,0))),"NODE NOT FOUND"))</f>
        <v>GBR</v>
      </c>
      <c r="K1841" s="7" t="str">
        <f aca="false">IF($D1841="","",IFERROR(IF(INDEX(Hierarchy!$H$2:$H$1295,MATCH($D1841,Hierarchy!$A$2:$A$1295,0))="","",INDEX(Hierarchy!$H$2:$H$1295,MATCH($D1841,Hierarchy!$A$2:$A$1295,0))),"NODE NOT FOUND"))</f>
        <v/>
      </c>
      <c r="L1841" s="7" t="str">
        <f aca="false">IF($D1841="","",IFERROR(IF(INDEX(Hierarchy!$I$2:$I$1295,MATCH($D1841,Hierarchy!$A$2:$A$1295,0))="","",INDEX(Hierarchy!$I$2:$I$1295,MATCH($D1841,Hierarchy!$A$2:$A$1295,0))),"NODE NOT FOUND"))</f>
        <v/>
      </c>
      <c r="M1841" s="17" t="str">
        <f aca="false">IF(B1841="Pre-seeded","Pre-seeded",IF(B1841="Review 2026-09-16","Added from review",IF(C1841="","New",IF(C1841=D1841,"","Changed"))))</f>
        <v/>
      </c>
      <c r="N1841" s="7" t="str">
        <f aca="false">TRIM(SUBSTITUTE(SUBSTITUTE(SUBSTITUTE(" "&amp;TRIM(SUBSTITUTE(SUBSTITUTE(SUBSTITUTE(SUBSTITUTE(SUBSTITUTE(SUBSTITUTE(SUBSTITUTE(SUBSTITUTE(SUBSTITUTE(SUBSTITUTE(SUBSTITUTE(SUBSTITUTE(SUBSTITUTE(SUBSTITUTE(SUBSTITUTE(UPPER(TRIM(A1841)),"[MEMBER]",""),"{MEMBER}",""),"[MEMBER}",""),"MEMBER]",""),"(A)",""),"""",""),"“",""),"”",""),".",""),":",""),",",""),"–"," "),"-"," "),"/"," "),"&amp;"," AND "))&amp;" "," THE "," ")," TOTAL "," ")," OPERATIONS "," "))</f>
        <v>UNITED KINGDOM</v>
      </c>
      <c r="O1841" s="17" t="str">
        <f aca="false">IF(COUNTIFS($N$2:$N$2000,N1841,$D$2:$D$2000,"&lt;&gt;"&amp;D1841)&gt;0,"CONFLICT","")</f>
        <v/>
      </c>
      <c r="P1841" s="7"/>
    </row>
    <row r="1842" customFormat="false" ht="15" hidden="false" customHeight="false" outlineLevel="0" collapsed="false">
      <c r="A1842" s="7" t="s">
        <v>2816</v>
      </c>
      <c r="B1842" s="7" t="s">
        <v>1882</v>
      </c>
      <c r="C1842" s="7" t="s">
        <v>661</v>
      </c>
      <c r="D1842" s="6" t="s">
        <v>661</v>
      </c>
      <c r="E1842" s="6" t="s">
        <v>1880</v>
      </c>
      <c r="F1842" s="7" t="str">
        <f aca="false">IF($D1842="","",IFERROR(IF(INDEX(Hierarchy!$B$2:$B$1295,MATCH($D1842,Hierarchy!$A$2:$A$1295,0))="","",INDEX(Hierarchy!$B$2:$B$1295,MATCH($D1842,Hierarchy!$A$2:$A$1295,0))),"NODE NOT FOUND"))</f>
        <v>Country</v>
      </c>
      <c r="G1842" s="7" t="str">
        <f aca="false">IF($D1842="","",IFERROR(IF(INDEX(Hierarchy!$D$2:$D$1295,MATCH($D1842,Hierarchy!$A$2:$A$1295,0))="","",INDEX(Hierarchy!$D$2:$D$1295,MATCH($D1842,Hierarchy!$A$2:$A$1295,0))),"NODE NOT FOUND"))</f>
        <v>EMEA</v>
      </c>
      <c r="H1842" s="7" t="str">
        <f aca="false">IF($D1842="","",IFERROR(IF(INDEX(Hierarchy!$E$2:$E$1295,MATCH($D1842,Hierarchy!$A$2:$A$1295,0))="","",INDEX(Hierarchy!$E$2:$E$1295,MATCH($D1842,Hierarchy!$A$2:$A$1295,0))),"NODE NOT FOUND"))</f>
        <v>Europe</v>
      </c>
      <c r="I1842" s="7" t="str">
        <f aca="false">IF($D1842="","",IFERROR(IF(INDEX(Hierarchy!$F$2:$F$1295,MATCH($D1842,Hierarchy!$A$2:$A$1295,0))="","",INDEX(Hierarchy!$F$2:$F$1295,MATCH($D1842,Hierarchy!$A$2:$A$1295,0))),"NODE NOT FOUND"))</f>
        <v>United Kingdom</v>
      </c>
      <c r="J1842" s="7" t="str">
        <f aca="false">IF($D1842="","",IFERROR(IF(INDEX(Hierarchy!$G$2:$G$1295,MATCH($D1842,Hierarchy!$A$2:$A$1295,0))="","",INDEX(Hierarchy!$G$2:$G$1295,MATCH($D1842,Hierarchy!$A$2:$A$1295,0))),"NODE NOT FOUND"))</f>
        <v>GBR</v>
      </c>
      <c r="K1842" s="7" t="str">
        <f aca="false">IF($D1842="","",IFERROR(IF(INDEX(Hierarchy!$H$2:$H$1295,MATCH($D1842,Hierarchy!$A$2:$A$1295,0))="","",INDEX(Hierarchy!$H$2:$H$1295,MATCH($D1842,Hierarchy!$A$2:$A$1295,0))),"NODE NOT FOUND"))</f>
        <v/>
      </c>
      <c r="L1842" s="7" t="str">
        <f aca="false">IF($D1842="","",IFERROR(IF(INDEX(Hierarchy!$I$2:$I$1295,MATCH($D1842,Hierarchy!$A$2:$A$1295,0))="","",INDEX(Hierarchy!$I$2:$I$1295,MATCH($D1842,Hierarchy!$A$2:$A$1295,0))),"NODE NOT FOUND"))</f>
        <v/>
      </c>
      <c r="M1842" s="17" t="str">
        <f aca="false">IF(B1842="Pre-seeded","Pre-seeded",IF(B1842="Review 2026-09-16","Added from review",IF(C1842="","New",IF(C1842=D1842,"","Changed"))))</f>
        <v/>
      </c>
      <c r="N1842" s="7" t="str">
        <f aca="false">TRIM(SUBSTITUTE(SUBSTITUTE(SUBSTITUTE(" "&amp;TRIM(SUBSTITUTE(SUBSTITUTE(SUBSTITUTE(SUBSTITUTE(SUBSTITUTE(SUBSTITUTE(SUBSTITUTE(SUBSTITUTE(SUBSTITUTE(SUBSTITUTE(SUBSTITUTE(SUBSTITUTE(SUBSTITUTE(SUBSTITUTE(SUBSTITUTE(UPPER(TRIM(A1842)),"[MEMBER]",""),"{MEMBER}",""),"[MEMBER}",""),"MEMBER]",""),"(A)",""),"""",""),"“",""),"”",""),".",""),":",""),",",""),"–"," "),"-"," "),"/"," "),"&amp;"," AND "))&amp;" "," THE "," ")," TOTAL "," ")," OPERATIONS "," "))</f>
        <v>UNITED KINGDOM (UK)</v>
      </c>
      <c r="O1842" s="17" t="str">
        <f aca="false">IF(COUNTIFS($N$2:$N$2000,N1842,$D$2:$D$2000,"&lt;&gt;"&amp;D1842)&gt;0,"CONFLICT","")</f>
        <v/>
      </c>
      <c r="P1842" s="7"/>
    </row>
    <row r="1843" customFormat="false" ht="15" hidden="false" customHeight="false" outlineLevel="0" collapsed="false">
      <c r="A1843" s="7" t="s">
        <v>2817</v>
      </c>
      <c r="B1843" s="7" t="s">
        <v>1882</v>
      </c>
      <c r="C1843" s="7" t="s">
        <v>661</v>
      </c>
      <c r="D1843" s="6" t="s">
        <v>661</v>
      </c>
      <c r="E1843" s="6" t="s">
        <v>1880</v>
      </c>
      <c r="F1843" s="7" t="str">
        <f aca="false">IF($D1843="","",IFERROR(IF(INDEX(Hierarchy!$B$2:$B$1295,MATCH($D1843,Hierarchy!$A$2:$A$1295,0))="","",INDEX(Hierarchy!$B$2:$B$1295,MATCH($D1843,Hierarchy!$A$2:$A$1295,0))),"NODE NOT FOUND"))</f>
        <v>Country</v>
      </c>
      <c r="G1843" s="7" t="str">
        <f aca="false">IF($D1843="","",IFERROR(IF(INDEX(Hierarchy!$D$2:$D$1295,MATCH($D1843,Hierarchy!$A$2:$A$1295,0))="","",INDEX(Hierarchy!$D$2:$D$1295,MATCH($D1843,Hierarchy!$A$2:$A$1295,0))),"NODE NOT FOUND"))</f>
        <v>EMEA</v>
      </c>
      <c r="H1843" s="7" t="str">
        <f aca="false">IF($D1843="","",IFERROR(IF(INDEX(Hierarchy!$E$2:$E$1295,MATCH($D1843,Hierarchy!$A$2:$A$1295,0))="","",INDEX(Hierarchy!$E$2:$E$1295,MATCH($D1843,Hierarchy!$A$2:$A$1295,0))),"NODE NOT FOUND"))</f>
        <v>Europe</v>
      </c>
      <c r="I1843" s="7" t="str">
        <f aca="false">IF($D1843="","",IFERROR(IF(INDEX(Hierarchy!$F$2:$F$1295,MATCH($D1843,Hierarchy!$A$2:$A$1295,0))="","",INDEX(Hierarchy!$F$2:$F$1295,MATCH($D1843,Hierarchy!$A$2:$A$1295,0))),"NODE NOT FOUND"))</f>
        <v>United Kingdom</v>
      </c>
      <c r="J1843" s="7" t="str">
        <f aca="false">IF($D1843="","",IFERROR(IF(INDEX(Hierarchy!$G$2:$G$1295,MATCH($D1843,Hierarchy!$A$2:$A$1295,0))="","",INDEX(Hierarchy!$G$2:$G$1295,MATCH($D1843,Hierarchy!$A$2:$A$1295,0))),"NODE NOT FOUND"))</f>
        <v>GBR</v>
      </c>
      <c r="K1843" s="7" t="str">
        <f aca="false">IF($D1843="","",IFERROR(IF(INDEX(Hierarchy!$H$2:$H$1295,MATCH($D1843,Hierarchy!$A$2:$A$1295,0))="","",INDEX(Hierarchy!$H$2:$H$1295,MATCH($D1843,Hierarchy!$A$2:$A$1295,0))),"NODE NOT FOUND"))</f>
        <v/>
      </c>
      <c r="L1843" s="7" t="str">
        <f aca="false">IF($D1843="","",IFERROR(IF(INDEX(Hierarchy!$I$2:$I$1295,MATCH($D1843,Hierarchy!$A$2:$A$1295,0))="","",INDEX(Hierarchy!$I$2:$I$1295,MATCH($D1843,Hierarchy!$A$2:$A$1295,0))),"NODE NOT FOUND"))</f>
        <v/>
      </c>
      <c r="M1843" s="17" t="str">
        <f aca="false">IF(B1843="Pre-seeded","Pre-seeded",IF(B1843="Review 2026-09-16","Added from review",IF(C1843="","New",IF(C1843=D1843,"","Changed"))))</f>
        <v/>
      </c>
      <c r="N1843" s="7" t="str">
        <f aca="false">TRIM(SUBSTITUTE(SUBSTITUTE(SUBSTITUTE(" "&amp;TRIM(SUBSTITUTE(SUBSTITUTE(SUBSTITUTE(SUBSTITUTE(SUBSTITUTE(SUBSTITUTE(SUBSTITUTE(SUBSTITUTE(SUBSTITUTE(SUBSTITUTE(SUBSTITUTE(SUBSTITUTE(SUBSTITUTE(SUBSTITUTE(SUBSTITUTE(UPPER(TRIM(A1843)),"[MEMBER]",""),"{MEMBER}",""),"[MEMBER}",""),"MEMBER]",""),"(A)",""),"""",""),"“",""),"”",""),".",""),":",""),",",""),"–"," "),"-"," "),"/"," "),"&amp;"," AND "))&amp;" "," THE "," ")," TOTAL "," ")," OPERATIONS "," "))</f>
        <v>UNITED KINGDOM (UK)</v>
      </c>
      <c r="O1843" s="17" t="str">
        <f aca="false">IF(COUNTIFS($N$2:$N$2000,N1843,$D$2:$D$2000,"&lt;&gt;"&amp;D1843)&gt;0,"CONFLICT","")</f>
        <v/>
      </c>
      <c r="P1843" s="7"/>
    </row>
    <row r="1844" customFormat="false" ht="15" hidden="false" customHeight="false" outlineLevel="0" collapsed="false">
      <c r="A1844" s="7" t="s">
        <v>2818</v>
      </c>
      <c r="B1844" s="7" t="s">
        <v>1879</v>
      </c>
      <c r="C1844" s="7"/>
      <c r="D1844" s="6" t="s">
        <v>661</v>
      </c>
      <c r="E1844" s="6" t="s">
        <v>1880</v>
      </c>
      <c r="F1844" s="7" t="str">
        <f aca="false">IF($D1844="","",IFERROR(IF(INDEX(Hierarchy!$B$2:$B$1295,MATCH($D1844,Hierarchy!$A$2:$A$1295,0))="","",INDEX(Hierarchy!$B$2:$B$1295,MATCH($D1844,Hierarchy!$A$2:$A$1295,0))),"NODE NOT FOUND"))</f>
        <v>Country</v>
      </c>
      <c r="G1844" s="7" t="str">
        <f aca="false">IF($D1844="","",IFERROR(IF(INDEX(Hierarchy!$D$2:$D$1295,MATCH($D1844,Hierarchy!$A$2:$A$1295,0))="","",INDEX(Hierarchy!$D$2:$D$1295,MATCH($D1844,Hierarchy!$A$2:$A$1295,0))),"NODE NOT FOUND"))</f>
        <v>EMEA</v>
      </c>
      <c r="H1844" s="7" t="str">
        <f aca="false">IF($D1844="","",IFERROR(IF(INDEX(Hierarchy!$E$2:$E$1295,MATCH($D1844,Hierarchy!$A$2:$A$1295,0))="","",INDEX(Hierarchy!$E$2:$E$1295,MATCH($D1844,Hierarchy!$A$2:$A$1295,0))),"NODE NOT FOUND"))</f>
        <v>Europe</v>
      </c>
      <c r="I1844" s="7" t="str">
        <f aca="false">IF($D1844="","",IFERROR(IF(INDEX(Hierarchy!$F$2:$F$1295,MATCH($D1844,Hierarchy!$A$2:$A$1295,0))="","",INDEX(Hierarchy!$F$2:$F$1295,MATCH($D1844,Hierarchy!$A$2:$A$1295,0))),"NODE NOT FOUND"))</f>
        <v>United Kingdom</v>
      </c>
      <c r="J1844" s="7" t="str">
        <f aca="false">IF($D1844="","",IFERROR(IF(INDEX(Hierarchy!$G$2:$G$1295,MATCH($D1844,Hierarchy!$A$2:$A$1295,0))="","",INDEX(Hierarchy!$G$2:$G$1295,MATCH($D1844,Hierarchy!$A$2:$A$1295,0))),"NODE NOT FOUND"))</f>
        <v>GBR</v>
      </c>
      <c r="K1844" s="7" t="str">
        <f aca="false">IF($D1844="","",IFERROR(IF(INDEX(Hierarchy!$H$2:$H$1295,MATCH($D1844,Hierarchy!$A$2:$A$1295,0))="","",INDEX(Hierarchy!$H$2:$H$1295,MATCH($D1844,Hierarchy!$A$2:$A$1295,0))),"NODE NOT FOUND"))</f>
        <v/>
      </c>
      <c r="L1844" s="7" t="str">
        <f aca="false">IF($D1844="","",IFERROR(IF(INDEX(Hierarchy!$I$2:$I$1295,MATCH($D1844,Hierarchy!$A$2:$A$1295,0))="","",INDEX(Hierarchy!$I$2:$I$1295,MATCH($D1844,Hierarchy!$A$2:$A$1295,0))),"NODE NOT FOUND"))</f>
        <v/>
      </c>
      <c r="M1844" s="17" t="str">
        <f aca="false">IF(B1844="Pre-seeded","Pre-seeded",IF(B1844="Review 2026-09-16","Added from review",IF(C1844="","New",IF(C1844=D1844,"","Changed"))))</f>
        <v>Pre-seeded</v>
      </c>
      <c r="N1844" s="7" t="str">
        <f aca="false">TRIM(SUBSTITUTE(SUBSTITUTE(SUBSTITUTE(" "&amp;TRIM(SUBSTITUTE(SUBSTITUTE(SUBSTITUTE(SUBSTITUTE(SUBSTITUTE(SUBSTITUTE(SUBSTITUTE(SUBSTITUTE(SUBSTITUTE(SUBSTITUTE(SUBSTITUTE(SUBSTITUTE(SUBSTITUTE(SUBSTITUTE(SUBSTITUTE(UPPER(TRIM(A1844)),"[MEMBER]",""),"{MEMBER}",""),"[MEMBER}",""),"MEMBER]",""),"(A)",""),"""",""),"“",""),"”",""),".",""),":",""),",",""),"–"," "),"-"," "),"/"," "),"&amp;"," AND "))&amp;" "," THE "," ")," TOTAL "," ")," OPERATIONS "," "))</f>
        <v>UNITED KINGDOM OF GREAT BRITAIN AND NORTHERN IRELAND</v>
      </c>
      <c r="O1844" s="17" t="str">
        <f aca="false">IF(COUNTIFS($N$2:$N$2000,N1844,$D$2:$D$2000,"&lt;&gt;"&amp;D1844)&gt;0,"CONFLICT","")</f>
        <v/>
      </c>
      <c r="P1844" s="7" t="s">
        <v>1936</v>
      </c>
    </row>
    <row r="1845" customFormat="false" ht="15" hidden="false" customHeight="false" outlineLevel="0" collapsed="false">
      <c r="A1845" s="7" t="s">
        <v>2819</v>
      </c>
      <c r="B1845" s="7" t="s">
        <v>1879</v>
      </c>
      <c r="C1845" s="7"/>
      <c r="D1845" s="6" t="s">
        <v>376</v>
      </c>
      <c r="E1845" s="6" t="s">
        <v>1880</v>
      </c>
      <c r="F1845" s="7" t="str">
        <f aca="false">IF($D1845="","",IFERROR(IF(INDEX(Hierarchy!$B$2:$B$1295,MATCH($D1845,Hierarchy!$A$2:$A$1295,0))="","",INDEX(Hierarchy!$B$2:$B$1295,MATCH($D1845,Hierarchy!$A$2:$A$1295,0))),"NODE NOT FOUND"))</f>
        <v>Country</v>
      </c>
      <c r="G1845" s="7" t="str">
        <f aca="false">IF($D1845="","",IFERROR(IF(INDEX(Hierarchy!$D$2:$D$1295,MATCH($D1845,Hierarchy!$A$2:$A$1295,0))="","",INDEX(Hierarchy!$D$2:$D$1295,MATCH($D1845,Hierarchy!$A$2:$A$1295,0))),"NODE NOT FOUND"))</f>
        <v>AMER</v>
      </c>
      <c r="H1845" s="7" t="str">
        <f aca="false">IF($D1845="","",IFERROR(IF(INDEX(Hierarchy!$E$2:$E$1295,MATCH($D1845,Hierarchy!$A$2:$A$1295,0))="","",INDEX(Hierarchy!$E$2:$E$1295,MATCH($D1845,Hierarchy!$A$2:$A$1295,0))),"NODE NOT FOUND"))</f>
        <v>Latin America (LATAM)</v>
      </c>
      <c r="I1845" s="7" t="str">
        <f aca="false">IF($D1845="","",IFERROR(IF(INDEX(Hierarchy!$F$2:$F$1295,MATCH($D1845,Hierarchy!$A$2:$A$1295,0))="","",INDEX(Hierarchy!$F$2:$F$1295,MATCH($D1845,Hierarchy!$A$2:$A$1295,0))),"NODE NOT FOUND"))</f>
        <v>Mexico</v>
      </c>
      <c r="J1845" s="7" t="str">
        <f aca="false">IF($D1845="","",IFERROR(IF(INDEX(Hierarchy!$G$2:$G$1295,MATCH($D1845,Hierarchy!$A$2:$A$1295,0))="","",INDEX(Hierarchy!$G$2:$G$1295,MATCH($D1845,Hierarchy!$A$2:$A$1295,0))),"NODE NOT FOUND"))</f>
        <v>MEX</v>
      </c>
      <c r="K1845" s="7" t="str">
        <f aca="false">IF($D1845="","",IFERROR(IF(INDEX(Hierarchy!$H$2:$H$1295,MATCH($D1845,Hierarchy!$A$2:$A$1295,0))="","",INDEX(Hierarchy!$H$2:$H$1295,MATCH($D1845,Hierarchy!$A$2:$A$1295,0))),"NODE NOT FOUND"))</f>
        <v/>
      </c>
      <c r="L1845" s="7" t="str">
        <f aca="false">IF($D1845="","",IFERROR(IF(INDEX(Hierarchy!$I$2:$I$1295,MATCH($D1845,Hierarchy!$A$2:$A$1295,0))="","",INDEX(Hierarchy!$I$2:$I$1295,MATCH($D1845,Hierarchy!$A$2:$A$1295,0))),"NODE NOT FOUND"))</f>
        <v/>
      </c>
      <c r="M1845" s="17" t="str">
        <f aca="false">IF(B1845="Pre-seeded","Pre-seeded",IF(B1845="Review 2026-09-16","Added from review",IF(C1845="","New",IF(C1845=D1845,"","Changed"))))</f>
        <v>Pre-seeded</v>
      </c>
      <c r="N1845" s="7" t="str">
        <f aca="false">TRIM(SUBSTITUTE(SUBSTITUTE(SUBSTITUTE(" "&amp;TRIM(SUBSTITUTE(SUBSTITUTE(SUBSTITUTE(SUBSTITUTE(SUBSTITUTE(SUBSTITUTE(SUBSTITUTE(SUBSTITUTE(SUBSTITUTE(SUBSTITUTE(SUBSTITUTE(SUBSTITUTE(SUBSTITUTE(SUBSTITUTE(SUBSTITUTE(UPPER(TRIM(A1845)),"[MEMBER]",""),"{MEMBER}",""),"[MEMBER}",""),"MEMBER]",""),"(A)",""),"""",""),"“",""),"”",""),".",""),":",""),",",""),"–"," "),"-"," "),"/"," "),"&amp;"," AND "))&amp;" "," THE "," ")," TOTAL "," ")," OPERATIONS "," "))</f>
        <v>UNITED MEXICAN STATES</v>
      </c>
      <c r="O1845" s="17" t="str">
        <f aca="false">IF(COUNTIFS($N$2:$N$2000,N1845,$D$2:$D$2000,"&lt;&gt;"&amp;D1845)&gt;0,"CONFLICT","")</f>
        <v/>
      </c>
      <c r="P1845" s="7" t="s">
        <v>1936</v>
      </c>
    </row>
    <row r="1846" customFormat="false" ht="15" hidden="false" customHeight="false" outlineLevel="0" collapsed="false">
      <c r="A1846" s="7" t="s">
        <v>2820</v>
      </c>
      <c r="B1846" s="7" t="s">
        <v>1879</v>
      </c>
      <c r="C1846" s="7"/>
      <c r="D1846" s="6" t="s">
        <v>1296</v>
      </c>
      <c r="E1846" s="6" t="s">
        <v>1880</v>
      </c>
      <c r="F1846" s="7" t="str">
        <f aca="false">IF($D1846="","",IFERROR(IF(INDEX(Hierarchy!$B$2:$B$1295,MATCH($D1846,Hierarchy!$A$2:$A$1295,0))="","",INDEX(Hierarchy!$B$2:$B$1295,MATCH($D1846,Hierarchy!$A$2:$A$1295,0))),"NODE NOT FOUND"))</f>
        <v>Country</v>
      </c>
      <c r="G1846" s="7" t="str">
        <f aca="false">IF($D1846="","",IFERROR(IF(INDEX(Hierarchy!$D$2:$D$1295,MATCH($D1846,Hierarchy!$A$2:$A$1295,0))="","",INDEX(Hierarchy!$D$2:$D$1295,MATCH($D1846,Hierarchy!$A$2:$A$1295,0))),"NODE NOT FOUND"))</f>
        <v>EMEA</v>
      </c>
      <c r="H1846" s="7" t="str">
        <f aca="false">IF($D1846="","",IFERROR(IF(INDEX(Hierarchy!$E$2:$E$1295,MATCH($D1846,Hierarchy!$A$2:$A$1295,0))="","",INDEX(Hierarchy!$E$2:$E$1295,MATCH($D1846,Hierarchy!$A$2:$A$1295,0))),"NODE NOT FOUND"))</f>
        <v>Africa</v>
      </c>
      <c r="I1846" s="7" t="str">
        <f aca="false">IF($D1846="","",IFERROR(IF(INDEX(Hierarchy!$F$2:$F$1295,MATCH($D1846,Hierarchy!$A$2:$A$1295,0))="","",INDEX(Hierarchy!$F$2:$F$1295,MATCH($D1846,Hierarchy!$A$2:$A$1295,0))),"NODE NOT FOUND"))</f>
        <v>Tanzania</v>
      </c>
      <c r="J1846" s="7" t="str">
        <f aca="false">IF($D1846="","",IFERROR(IF(INDEX(Hierarchy!$G$2:$G$1295,MATCH($D1846,Hierarchy!$A$2:$A$1295,0))="","",INDEX(Hierarchy!$G$2:$G$1295,MATCH($D1846,Hierarchy!$A$2:$A$1295,0))),"NODE NOT FOUND"))</f>
        <v>TZA</v>
      </c>
      <c r="K1846" s="7" t="str">
        <f aca="false">IF($D1846="","",IFERROR(IF(INDEX(Hierarchy!$H$2:$H$1295,MATCH($D1846,Hierarchy!$A$2:$A$1295,0))="","",INDEX(Hierarchy!$H$2:$H$1295,MATCH($D1846,Hierarchy!$A$2:$A$1295,0))),"NODE NOT FOUND"))</f>
        <v/>
      </c>
      <c r="L1846" s="7" t="str">
        <f aca="false">IF($D1846="","",IFERROR(IF(INDEX(Hierarchy!$I$2:$I$1295,MATCH($D1846,Hierarchy!$A$2:$A$1295,0))="","",INDEX(Hierarchy!$I$2:$I$1295,MATCH($D1846,Hierarchy!$A$2:$A$1295,0))),"NODE NOT FOUND"))</f>
        <v/>
      </c>
      <c r="M1846" s="17" t="str">
        <f aca="false">IF(B1846="Pre-seeded","Pre-seeded",IF(B1846="Review 2026-09-16","Added from review",IF(C1846="","New",IF(C1846=D1846,"","Changed"))))</f>
        <v>Pre-seeded</v>
      </c>
      <c r="N1846" s="7" t="str">
        <f aca="false">TRIM(SUBSTITUTE(SUBSTITUTE(SUBSTITUTE(" "&amp;TRIM(SUBSTITUTE(SUBSTITUTE(SUBSTITUTE(SUBSTITUTE(SUBSTITUTE(SUBSTITUTE(SUBSTITUTE(SUBSTITUTE(SUBSTITUTE(SUBSTITUTE(SUBSTITUTE(SUBSTITUTE(SUBSTITUTE(SUBSTITUTE(SUBSTITUTE(UPPER(TRIM(A1846)),"[MEMBER]",""),"{MEMBER}",""),"[MEMBER}",""),"MEMBER]",""),"(A)",""),"""",""),"“",""),"”",""),".",""),":",""),",",""),"–"," "),"-"," "),"/"," "),"&amp;"," AND "))&amp;" "," THE "," ")," TOTAL "," ")," OPERATIONS "," "))</f>
        <v>UNITED REPUBLIC OF TANZANIA</v>
      </c>
      <c r="O1846" s="17" t="str">
        <f aca="false">IF(COUNTIFS($N$2:$N$2000,N1846,$D$2:$D$2000,"&lt;&gt;"&amp;D1846)&gt;0,"CONFLICT","")</f>
        <v/>
      </c>
      <c r="P1846" s="7" t="s">
        <v>1936</v>
      </c>
    </row>
    <row r="1847" customFormat="false" ht="15" hidden="false" customHeight="false" outlineLevel="0" collapsed="false">
      <c r="A1847" s="7" t="s">
        <v>2821</v>
      </c>
      <c r="B1847" s="7" t="s">
        <v>1882</v>
      </c>
      <c r="C1847" s="7" t="s">
        <v>81</v>
      </c>
      <c r="D1847" s="6" t="s">
        <v>81</v>
      </c>
      <c r="E1847" s="6" t="s">
        <v>1880</v>
      </c>
      <c r="F1847" s="7" t="str">
        <f aca="false">IF($D1847="","",IFERROR(IF(INDEX(Hierarchy!$B$2:$B$1295,MATCH($D1847,Hierarchy!$A$2:$A$1295,0))="","",INDEX(Hierarchy!$B$2:$B$1295,MATCH($D1847,Hierarchy!$A$2:$A$1295,0))),"NODE NOT FOUND"))</f>
        <v>Country</v>
      </c>
      <c r="G1847" s="7" t="str">
        <f aca="false">IF($D1847="","",IFERROR(IF(INDEX(Hierarchy!$D$2:$D$1295,MATCH($D1847,Hierarchy!$A$2:$A$1295,0))="","",INDEX(Hierarchy!$D$2:$D$1295,MATCH($D1847,Hierarchy!$A$2:$A$1295,0))),"NODE NOT FOUND"))</f>
        <v>AMER</v>
      </c>
      <c r="H1847" s="7" t="str">
        <f aca="false">IF($D1847="","",IFERROR(IF(INDEX(Hierarchy!$E$2:$E$1295,MATCH($D1847,Hierarchy!$A$2:$A$1295,0))="","",INDEX(Hierarchy!$E$2:$E$1295,MATCH($D1847,Hierarchy!$A$2:$A$1295,0))),"NODE NOT FOUND"))</f>
        <v>North America (NORAM)</v>
      </c>
      <c r="I1847" s="7" t="str">
        <f aca="false">IF($D1847="","",IFERROR(IF(INDEX(Hierarchy!$F$2:$F$1295,MATCH($D1847,Hierarchy!$A$2:$A$1295,0))="","",INDEX(Hierarchy!$F$2:$F$1295,MATCH($D1847,Hierarchy!$A$2:$A$1295,0))),"NODE NOT FOUND"))</f>
        <v>United States</v>
      </c>
      <c r="J1847" s="7" t="str">
        <f aca="false">IF($D1847="","",IFERROR(IF(INDEX(Hierarchy!$G$2:$G$1295,MATCH($D1847,Hierarchy!$A$2:$A$1295,0))="","",INDEX(Hierarchy!$G$2:$G$1295,MATCH($D1847,Hierarchy!$A$2:$A$1295,0))),"NODE NOT FOUND"))</f>
        <v>USA</v>
      </c>
      <c r="K1847" s="7" t="str">
        <f aca="false">IF($D1847="","",IFERROR(IF(INDEX(Hierarchy!$H$2:$H$1295,MATCH($D1847,Hierarchy!$A$2:$A$1295,0))="","",INDEX(Hierarchy!$H$2:$H$1295,MATCH($D1847,Hierarchy!$A$2:$A$1295,0))),"NODE NOT FOUND"))</f>
        <v/>
      </c>
      <c r="L1847" s="7" t="str">
        <f aca="false">IF($D1847="","",IFERROR(IF(INDEX(Hierarchy!$I$2:$I$1295,MATCH($D1847,Hierarchy!$A$2:$A$1295,0))="","",INDEX(Hierarchy!$I$2:$I$1295,MATCH($D1847,Hierarchy!$A$2:$A$1295,0))),"NODE NOT FOUND"))</f>
        <v/>
      </c>
      <c r="M1847" s="17" t="str">
        <f aca="false">IF(B1847="Pre-seeded","Pre-seeded",IF(B1847="Review 2026-09-16","Added from review",IF(C1847="","New",IF(C1847=D1847,"","Changed"))))</f>
        <v/>
      </c>
      <c r="N1847" s="7" t="str">
        <f aca="false">TRIM(SUBSTITUTE(SUBSTITUTE(SUBSTITUTE(" "&amp;TRIM(SUBSTITUTE(SUBSTITUTE(SUBSTITUTE(SUBSTITUTE(SUBSTITUTE(SUBSTITUTE(SUBSTITUTE(SUBSTITUTE(SUBSTITUTE(SUBSTITUTE(SUBSTITUTE(SUBSTITUTE(SUBSTITUTE(SUBSTITUTE(SUBSTITUTE(UPPER(TRIM(A1847)),"[MEMBER]",""),"{MEMBER}",""),"[MEMBER}",""),"MEMBER]",""),"(A)",""),"""",""),"“",""),"”",""),".",""),":",""),",",""),"–"," "),"-"," "),"/"," "),"&amp;"," AND "))&amp;" "," THE "," ")," TOTAL "," ")," OPERATIONS "," "))</f>
        <v>UNITED STATE</v>
      </c>
      <c r="O1847" s="17" t="str">
        <f aca="false">IF(COUNTIFS($N$2:$N$2000,N1847,$D$2:$D$2000,"&lt;&gt;"&amp;D1847)&gt;0,"CONFLICT","")</f>
        <v/>
      </c>
      <c r="P1847" s="7"/>
    </row>
    <row r="1848" customFormat="false" ht="15" hidden="false" customHeight="false" outlineLevel="0" collapsed="false">
      <c r="A1848" s="7" t="s">
        <v>81</v>
      </c>
      <c r="B1848" s="7" t="s">
        <v>1882</v>
      </c>
      <c r="C1848" s="7" t="s">
        <v>81</v>
      </c>
      <c r="D1848" s="6" t="s">
        <v>81</v>
      </c>
      <c r="E1848" s="6" t="s">
        <v>1880</v>
      </c>
      <c r="F1848" s="7" t="str">
        <f aca="false">IF($D1848="","",IFERROR(IF(INDEX(Hierarchy!$B$2:$B$1295,MATCH($D1848,Hierarchy!$A$2:$A$1295,0))="","",INDEX(Hierarchy!$B$2:$B$1295,MATCH($D1848,Hierarchy!$A$2:$A$1295,0))),"NODE NOT FOUND"))</f>
        <v>Country</v>
      </c>
      <c r="G1848" s="7" t="str">
        <f aca="false">IF($D1848="","",IFERROR(IF(INDEX(Hierarchy!$D$2:$D$1295,MATCH($D1848,Hierarchy!$A$2:$A$1295,0))="","",INDEX(Hierarchy!$D$2:$D$1295,MATCH($D1848,Hierarchy!$A$2:$A$1295,0))),"NODE NOT FOUND"))</f>
        <v>AMER</v>
      </c>
      <c r="H1848" s="7" t="str">
        <f aca="false">IF($D1848="","",IFERROR(IF(INDEX(Hierarchy!$E$2:$E$1295,MATCH($D1848,Hierarchy!$A$2:$A$1295,0))="","",INDEX(Hierarchy!$E$2:$E$1295,MATCH($D1848,Hierarchy!$A$2:$A$1295,0))),"NODE NOT FOUND"))</f>
        <v>North America (NORAM)</v>
      </c>
      <c r="I1848" s="7" t="str">
        <f aca="false">IF($D1848="","",IFERROR(IF(INDEX(Hierarchy!$F$2:$F$1295,MATCH($D1848,Hierarchy!$A$2:$A$1295,0))="","",INDEX(Hierarchy!$F$2:$F$1295,MATCH($D1848,Hierarchy!$A$2:$A$1295,0))),"NODE NOT FOUND"))</f>
        <v>United States</v>
      </c>
      <c r="J1848" s="7" t="str">
        <f aca="false">IF($D1848="","",IFERROR(IF(INDEX(Hierarchy!$G$2:$G$1295,MATCH($D1848,Hierarchy!$A$2:$A$1295,0))="","",INDEX(Hierarchy!$G$2:$G$1295,MATCH($D1848,Hierarchy!$A$2:$A$1295,0))),"NODE NOT FOUND"))</f>
        <v>USA</v>
      </c>
      <c r="K1848" s="7" t="str">
        <f aca="false">IF($D1848="","",IFERROR(IF(INDEX(Hierarchy!$H$2:$H$1295,MATCH($D1848,Hierarchy!$A$2:$A$1295,0))="","",INDEX(Hierarchy!$H$2:$H$1295,MATCH($D1848,Hierarchy!$A$2:$A$1295,0))),"NODE NOT FOUND"))</f>
        <v/>
      </c>
      <c r="L1848" s="7" t="str">
        <f aca="false">IF($D1848="","",IFERROR(IF(INDEX(Hierarchy!$I$2:$I$1295,MATCH($D1848,Hierarchy!$A$2:$A$1295,0))="","",INDEX(Hierarchy!$I$2:$I$1295,MATCH($D1848,Hierarchy!$A$2:$A$1295,0))),"NODE NOT FOUND"))</f>
        <v/>
      </c>
      <c r="M1848" s="17" t="str">
        <f aca="false">IF(B1848="Pre-seeded","Pre-seeded",IF(B1848="Review 2026-09-16","Added from review",IF(C1848="","New",IF(C1848=D1848,"","Changed"))))</f>
        <v/>
      </c>
      <c r="N1848" s="7" t="str">
        <f aca="false">TRIM(SUBSTITUTE(SUBSTITUTE(SUBSTITUTE(" "&amp;TRIM(SUBSTITUTE(SUBSTITUTE(SUBSTITUTE(SUBSTITUTE(SUBSTITUTE(SUBSTITUTE(SUBSTITUTE(SUBSTITUTE(SUBSTITUTE(SUBSTITUTE(SUBSTITUTE(SUBSTITUTE(SUBSTITUTE(SUBSTITUTE(SUBSTITUTE(UPPER(TRIM(A1848)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48" s="17" t="str">
        <f aca="false">IF(COUNTIFS($N$2:$N$2000,N1848,$D$2:$D$2000,"&lt;&gt;"&amp;D1848)&gt;0,"CONFLICT","")</f>
        <v/>
      </c>
      <c r="P1848" s="7"/>
    </row>
    <row r="1849" customFormat="false" ht="15" hidden="false" customHeight="false" outlineLevel="0" collapsed="false">
      <c r="A1849" s="7" t="s">
        <v>2822</v>
      </c>
      <c r="B1849" s="7" t="s">
        <v>1882</v>
      </c>
      <c r="C1849" s="7" t="s">
        <v>81</v>
      </c>
      <c r="D1849" s="6" t="s">
        <v>81</v>
      </c>
      <c r="E1849" s="6" t="s">
        <v>1880</v>
      </c>
      <c r="F1849" s="7" t="str">
        <f aca="false">IF($D1849="","",IFERROR(IF(INDEX(Hierarchy!$B$2:$B$1295,MATCH($D1849,Hierarchy!$A$2:$A$1295,0))="","",INDEX(Hierarchy!$B$2:$B$1295,MATCH($D1849,Hierarchy!$A$2:$A$1295,0))),"NODE NOT FOUND"))</f>
        <v>Country</v>
      </c>
      <c r="G1849" s="7" t="str">
        <f aca="false">IF($D1849="","",IFERROR(IF(INDEX(Hierarchy!$D$2:$D$1295,MATCH($D1849,Hierarchy!$A$2:$A$1295,0))="","",INDEX(Hierarchy!$D$2:$D$1295,MATCH($D1849,Hierarchy!$A$2:$A$1295,0))),"NODE NOT FOUND"))</f>
        <v>AMER</v>
      </c>
      <c r="H1849" s="7" t="str">
        <f aca="false">IF($D1849="","",IFERROR(IF(INDEX(Hierarchy!$E$2:$E$1295,MATCH($D1849,Hierarchy!$A$2:$A$1295,0))="","",INDEX(Hierarchy!$E$2:$E$1295,MATCH($D1849,Hierarchy!$A$2:$A$1295,0))),"NODE NOT FOUND"))</f>
        <v>North America (NORAM)</v>
      </c>
      <c r="I1849" s="7" t="str">
        <f aca="false">IF($D1849="","",IFERROR(IF(INDEX(Hierarchy!$F$2:$F$1295,MATCH($D1849,Hierarchy!$A$2:$A$1295,0))="","",INDEX(Hierarchy!$F$2:$F$1295,MATCH($D1849,Hierarchy!$A$2:$A$1295,0))),"NODE NOT FOUND"))</f>
        <v>United States</v>
      </c>
      <c r="J1849" s="7" t="str">
        <f aca="false">IF($D1849="","",IFERROR(IF(INDEX(Hierarchy!$G$2:$G$1295,MATCH($D1849,Hierarchy!$A$2:$A$1295,0))="","",INDEX(Hierarchy!$G$2:$G$1295,MATCH($D1849,Hierarchy!$A$2:$A$1295,0))),"NODE NOT FOUND"))</f>
        <v>USA</v>
      </c>
      <c r="K1849" s="7" t="str">
        <f aca="false">IF($D1849="","",IFERROR(IF(INDEX(Hierarchy!$H$2:$H$1295,MATCH($D1849,Hierarchy!$A$2:$A$1295,0))="","",INDEX(Hierarchy!$H$2:$H$1295,MATCH($D1849,Hierarchy!$A$2:$A$1295,0))),"NODE NOT FOUND"))</f>
        <v/>
      </c>
      <c r="L1849" s="7" t="str">
        <f aca="false">IF($D1849="","",IFERROR(IF(INDEX(Hierarchy!$I$2:$I$1295,MATCH($D1849,Hierarchy!$A$2:$A$1295,0))="","",INDEX(Hierarchy!$I$2:$I$1295,MATCH($D1849,Hierarchy!$A$2:$A$1295,0))),"NODE NOT FOUND"))</f>
        <v/>
      </c>
      <c r="M1849" s="17" t="str">
        <f aca="false">IF(B1849="Pre-seeded","Pre-seeded",IF(B1849="Review 2026-09-16","Added from review",IF(C1849="","New",IF(C1849=D1849,"","Changed"))))</f>
        <v/>
      </c>
      <c r="N1849" s="7" t="str">
        <f aca="false">TRIM(SUBSTITUTE(SUBSTITUTE(SUBSTITUTE(" "&amp;TRIM(SUBSTITUTE(SUBSTITUTE(SUBSTITUTE(SUBSTITUTE(SUBSTITUTE(SUBSTITUTE(SUBSTITUTE(SUBSTITUTE(SUBSTITUTE(SUBSTITUTE(SUBSTITUTE(SUBSTITUTE(SUBSTITUTE(SUBSTITUTE(SUBSTITUTE(UPPER(TRIM(A1849)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49" s="17" t="str">
        <f aca="false">IF(COUNTIFS($N$2:$N$2000,N1849,$D$2:$D$2000,"&lt;&gt;"&amp;D1849)&gt;0,"CONFLICT","")</f>
        <v/>
      </c>
      <c r="P1849" s="7"/>
    </row>
    <row r="1850" customFormat="false" ht="15" hidden="false" customHeight="false" outlineLevel="0" collapsed="false">
      <c r="A1850" s="7" t="s">
        <v>2823</v>
      </c>
      <c r="B1850" s="7" t="s">
        <v>1882</v>
      </c>
      <c r="C1850" s="7" t="s">
        <v>81</v>
      </c>
      <c r="D1850" s="6" t="s">
        <v>81</v>
      </c>
      <c r="E1850" s="6" t="s">
        <v>1880</v>
      </c>
      <c r="F1850" s="7" t="str">
        <f aca="false">IF($D1850="","",IFERROR(IF(INDEX(Hierarchy!$B$2:$B$1295,MATCH($D1850,Hierarchy!$A$2:$A$1295,0))="","",INDEX(Hierarchy!$B$2:$B$1295,MATCH($D1850,Hierarchy!$A$2:$A$1295,0))),"NODE NOT FOUND"))</f>
        <v>Country</v>
      </c>
      <c r="G1850" s="7" t="str">
        <f aca="false">IF($D1850="","",IFERROR(IF(INDEX(Hierarchy!$D$2:$D$1295,MATCH($D1850,Hierarchy!$A$2:$A$1295,0))="","",INDEX(Hierarchy!$D$2:$D$1295,MATCH($D1850,Hierarchy!$A$2:$A$1295,0))),"NODE NOT FOUND"))</f>
        <v>AMER</v>
      </c>
      <c r="H1850" s="7" t="str">
        <f aca="false">IF($D1850="","",IFERROR(IF(INDEX(Hierarchy!$E$2:$E$1295,MATCH($D1850,Hierarchy!$A$2:$A$1295,0))="","",INDEX(Hierarchy!$E$2:$E$1295,MATCH($D1850,Hierarchy!$A$2:$A$1295,0))),"NODE NOT FOUND"))</f>
        <v>North America (NORAM)</v>
      </c>
      <c r="I1850" s="7" t="str">
        <f aca="false">IF($D1850="","",IFERROR(IF(INDEX(Hierarchy!$F$2:$F$1295,MATCH($D1850,Hierarchy!$A$2:$A$1295,0))="","",INDEX(Hierarchy!$F$2:$F$1295,MATCH($D1850,Hierarchy!$A$2:$A$1295,0))),"NODE NOT FOUND"))</f>
        <v>United States</v>
      </c>
      <c r="J1850" s="7" t="str">
        <f aca="false">IF($D1850="","",IFERROR(IF(INDEX(Hierarchy!$G$2:$G$1295,MATCH($D1850,Hierarchy!$A$2:$A$1295,0))="","",INDEX(Hierarchy!$G$2:$G$1295,MATCH($D1850,Hierarchy!$A$2:$A$1295,0))),"NODE NOT FOUND"))</f>
        <v>USA</v>
      </c>
      <c r="K1850" s="7" t="str">
        <f aca="false">IF($D1850="","",IFERROR(IF(INDEX(Hierarchy!$H$2:$H$1295,MATCH($D1850,Hierarchy!$A$2:$A$1295,0))="","",INDEX(Hierarchy!$H$2:$H$1295,MATCH($D1850,Hierarchy!$A$2:$A$1295,0))),"NODE NOT FOUND"))</f>
        <v/>
      </c>
      <c r="L1850" s="7" t="str">
        <f aca="false">IF($D1850="","",IFERROR(IF(INDEX(Hierarchy!$I$2:$I$1295,MATCH($D1850,Hierarchy!$A$2:$A$1295,0))="","",INDEX(Hierarchy!$I$2:$I$1295,MATCH($D1850,Hierarchy!$A$2:$A$1295,0))),"NODE NOT FOUND"))</f>
        <v/>
      </c>
      <c r="M1850" s="17" t="str">
        <f aca="false">IF(B1850="Pre-seeded","Pre-seeded",IF(B1850="Review 2026-09-16","Added from review",IF(C1850="","New",IF(C1850=D1850,"","Changed"))))</f>
        <v/>
      </c>
      <c r="N1850" s="7" t="str">
        <f aca="false">TRIM(SUBSTITUTE(SUBSTITUTE(SUBSTITUTE(" "&amp;TRIM(SUBSTITUTE(SUBSTITUTE(SUBSTITUTE(SUBSTITUTE(SUBSTITUTE(SUBSTITUTE(SUBSTITUTE(SUBSTITUTE(SUBSTITUTE(SUBSTITUTE(SUBSTITUTE(SUBSTITUTE(SUBSTITUTE(SUBSTITUTE(SUBSTITUTE(UPPER(TRIM(A1850)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50" s="17" t="str">
        <f aca="false">IF(COUNTIFS($N$2:$N$2000,N1850,$D$2:$D$2000,"&lt;&gt;"&amp;D1850)&gt;0,"CONFLICT","")</f>
        <v/>
      </c>
      <c r="P1850" s="7"/>
    </row>
    <row r="1851" customFormat="false" ht="15" hidden="false" customHeight="false" outlineLevel="0" collapsed="false">
      <c r="A1851" s="7" t="s">
        <v>2824</v>
      </c>
      <c r="B1851" s="7" t="s">
        <v>1954</v>
      </c>
      <c r="C1851" s="7"/>
      <c r="D1851" s="6" t="s">
        <v>80</v>
      </c>
      <c r="E1851" s="6" t="s">
        <v>1880</v>
      </c>
      <c r="F1851" s="7" t="str">
        <f aca="false">IF($D1851="","",IFERROR(IF(INDEX(Hierarchy!$B$2:$B$1295,MATCH($D1851,Hierarchy!$A$2:$A$1295,0))="","",INDEX(Hierarchy!$B$2:$B$1295,MATCH($D1851,Hierarchy!$A$2:$A$1295,0))),"NODE NOT FOUND"))</f>
        <v>Sub-region</v>
      </c>
      <c r="G1851" s="7" t="str">
        <f aca="false">IF($D1851="","",IFERROR(IF(INDEX(Hierarchy!$D$2:$D$1295,MATCH($D1851,Hierarchy!$A$2:$A$1295,0))="","",INDEX(Hierarchy!$D$2:$D$1295,MATCH($D1851,Hierarchy!$A$2:$A$1295,0))),"NODE NOT FOUND"))</f>
        <v>AMER</v>
      </c>
      <c r="H1851" s="7" t="str">
        <f aca="false">IF($D1851="","",IFERROR(IF(INDEX(Hierarchy!$E$2:$E$1295,MATCH($D1851,Hierarchy!$A$2:$A$1295,0))="","",INDEX(Hierarchy!$E$2:$E$1295,MATCH($D1851,Hierarchy!$A$2:$A$1295,0))),"NODE NOT FOUND"))</f>
        <v>North America (NORAM)</v>
      </c>
      <c r="I1851" s="7" t="str">
        <f aca="false">IF($D1851="","",IFERROR(IF(INDEX(Hierarchy!$F$2:$F$1295,MATCH($D1851,Hierarchy!$A$2:$A$1295,0))="","",INDEX(Hierarchy!$F$2:$F$1295,MATCH($D1851,Hierarchy!$A$2:$A$1295,0))),"NODE NOT FOUND"))</f>
        <v/>
      </c>
      <c r="J1851" s="7" t="str">
        <f aca="false">IF($D1851="","",IFERROR(IF(INDEX(Hierarchy!$G$2:$G$1295,MATCH($D1851,Hierarchy!$A$2:$A$1295,0))="","",INDEX(Hierarchy!$G$2:$G$1295,MATCH($D1851,Hierarchy!$A$2:$A$1295,0))),"NODE NOT FOUND"))</f>
        <v/>
      </c>
      <c r="K1851" s="7" t="str">
        <f aca="false">IF($D1851="","",IFERROR(IF(INDEX(Hierarchy!$H$2:$H$1295,MATCH($D1851,Hierarchy!$A$2:$A$1295,0))="","",INDEX(Hierarchy!$H$2:$H$1295,MATCH($D1851,Hierarchy!$A$2:$A$1295,0))),"NODE NOT FOUND"))</f>
        <v/>
      </c>
      <c r="L1851" s="7" t="str">
        <f aca="false">IF($D1851="","",IFERROR(IF(INDEX(Hierarchy!$I$2:$I$1295,MATCH($D1851,Hierarchy!$A$2:$A$1295,0))="","",INDEX(Hierarchy!$I$2:$I$1295,MATCH($D1851,Hierarchy!$A$2:$A$1295,0))),"NODE NOT FOUND"))</f>
        <v/>
      </c>
      <c r="M1851" s="17" t="str">
        <f aca="false">IF(B1851="Pre-seeded","Pre-seeded",IF(B1851="Review 2026-09-16","Added from review",IF(C1851="","New",IF(C1851=D1851,"","Changed"))))</f>
        <v>Added from review</v>
      </c>
      <c r="N1851" s="7" t="str">
        <f aca="false">TRIM(SUBSTITUTE(SUBSTITUTE(SUBSTITUTE(" "&amp;TRIM(SUBSTITUTE(SUBSTITUTE(SUBSTITUTE(SUBSTITUTE(SUBSTITUTE(SUBSTITUTE(SUBSTITUTE(SUBSTITUTE(SUBSTITUTE(SUBSTITUTE(SUBSTITUTE(SUBSTITUTE(SUBSTITUTE(SUBSTITUTE(SUBSTITUTE(UPPER(TRIM(A1851)),"[MEMBER]",""),"{MEMBER}",""),"[MEMBER}",""),"MEMBER]",""),"(A)",""),"""",""),"“",""),"”",""),".",""),":",""),",",""),"–"," "),"-"," "),"/"," "),"&amp;"," AND "))&amp;" "," THE "," ")," TOTAL "," ")," OPERATIONS "," "))</f>
        <v>UNITED STATES AND CANADA</v>
      </c>
      <c r="O1851" s="17" t="str">
        <f aca="false">IF(COUNTIFS($N$2:$N$2000,N1851,$D$2:$D$2000,"&lt;&gt;"&amp;D1851)&gt;0,"CONFLICT","")</f>
        <v/>
      </c>
      <c r="P1851" s="7" t="s">
        <v>1955</v>
      </c>
    </row>
    <row r="1852" customFormat="false" ht="15" hidden="false" customHeight="false" outlineLevel="0" collapsed="false">
      <c r="A1852" s="7" t="s">
        <v>2825</v>
      </c>
      <c r="B1852" s="7" t="s">
        <v>1882</v>
      </c>
      <c r="C1852" s="7" t="s">
        <v>81</v>
      </c>
      <c r="D1852" s="6" t="s">
        <v>81</v>
      </c>
      <c r="E1852" s="6" t="s">
        <v>1880</v>
      </c>
      <c r="F1852" s="7" t="str">
        <f aca="false">IF($D1852="","",IFERROR(IF(INDEX(Hierarchy!$B$2:$B$1295,MATCH($D1852,Hierarchy!$A$2:$A$1295,0))="","",INDEX(Hierarchy!$B$2:$B$1295,MATCH($D1852,Hierarchy!$A$2:$A$1295,0))),"NODE NOT FOUND"))</f>
        <v>Country</v>
      </c>
      <c r="G1852" s="7" t="str">
        <f aca="false">IF($D1852="","",IFERROR(IF(INDEX(Hierarchy!$D$2:$D$1295,MATCH($D1852,Hierarchy!$A$2:$A$1295,0))="","",INDEX(Hierarchy!$D$2:$D$1295,MATCH($D1852,Hierarchy!$A$2:$A$1295,0))),"NODE NOT FOUND"))</f>
        <v>AMER</v>
      </c>
      <c r="H1852" s="7" t="str">
        <f aca="false">IF($D1852="","",IFERROR(IF(INDEX(Hierarchy!$E$2:$E$1295,MATCH($D1852,Hierarchy!$A$2:$A$1295,0))="","",INDEX(Hierarchy!$E$2:$E$1295,MATCH($D1852,Hierarchy!$A$2:$A$1295,0))),"NODE NOT FOUND"))</f>
        <v>North America (NORAM)</v>
      </c>
      <c r="I1852" s="7" t="str">
        <f aca="false">IF($D1852="","",IFERROR(IF(INDEX(Hierarchy!$F$2:$F$1295,MATCH($D1852,Hierarchy!$A$2:$A$1295,0))="","",INDEX(Hierarchy!$F$2:$F$1295,MATCH($D1852,Hierarchy!$A$2:$A$1295,0))),"NODE NOT FOUND"))</f>
        <v>United States</v>
      </c>
      <c r="J1852" s="7" t="str">
        <f aca="false">IF($D1852="","",IFERROR(IF(INDEX(Hierarchy!$G$2:$G$1295,MATCH($D1852,Hierarchy!$A$2:$A$1295,0))="","",INDEX(Hierarchy!$G$2:$G$1295,MATCH($D1852,Hierarchy!$A$2:$A$1295,0))),"NODE NOT FOUND"))</f>
        <v>USA</v>
      </c>
      <c r="K1852" s="7" t="str">
        <f aca="false">IF($D1852="","",IFERROR(IF(INDEX(Hierarchy!$H$2:$H$1295,MATCH($D1852,Hierarchy!$A$2:$A$1295,0))="","",INDEX(Hierarchy!$H$2:$H$1295,MATCH($D1852,Hierarchy!$A$2:$A$1295,0))),"NODE NOT FOUND"))</f>
        <v/>
      </c>
      <c r="L1852" s="7" t="str">
        <f aca="false">IF($D1852="","",IFERROR(IF(INDEX(Hierarchy!$I$2:$I$1295,MATCH($D1852,Hierarchy!$A$2:$A$1295,0))="","",INDEX(Hierarchy!$I$2:$I$1295,MATCH($D1852,Hierarchy!$A$2:$A$1295,0))),"NODE NOT FOUND"))</f>
        <v/>
      </c>
      <c r="M1852" s="17" t="str">
        <f aca="false">IF(B1852="Pre-seeded","Pre-seeded",IF(B1852="Review 2026-09-16","Added from review",IF(C1852="","New",IF(C1852=D1852,"","Changed"))))</f>
        <v/>
      </c>
      <c r="N1852" s="7" t="str">
        <f aca="false">TRIM(SUBSTITUTE(SUBSTITUTE(SUBSTITUTE(" "&amp;TRIM(SUBSTITUTE(SUBSTITUTE(SUBSTITUTE(SUBSTITUTE(SUBSTITUTE(SUBSTITUTE(SUBSTITUTE(SUBSTITUTE(SUBSTITUTE(SUBSTITUTE(SUBSTITUTE(SUBSTITUTE(SUBSTITUTE(SUBSTITUTE(SUBSTITUTE(UPPER(TRIM(A1852)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52" s="17" t="str">
        <f aca="false">IF(COUNTIFS($N$2:$N$2000,N1852,$D$2:$D$2000,"&lt;&gt;"&amp;D1852)&gt;0,"CONFLICT","")</f>
        <v/>
      </c>
      <c r="P1852" s="7"/>
    </row>
    <row r="1853" customFormat="false" ht="15" hidden="false" customHeight="false" outlineLevel="0" collapsed="false">
      <c r="A1853" s="7" t="s">
        <v>2826</v>
      </c>
      <c r="B1853" s="7" t="s">
        <v>1882</v>
      </c>
      <c r="C1853" s="7" t="s">
        <v>81</v>
      </c>
      <c r="D1853" s="6" t="s">
        <v>81</v>
      </c>
      <c r="E1853" s="6" t="s">
        <v>1880</v>
      </c>
      <c r="F1853" s="7" t="str">
        <f aca="false">IF($D1853="","",IFERROR(IF(INDEX(Hierarchy!$B$2:$B$1295,MATCH($D1853,Hierarchy!$A$2:$A$1295,0))="","",INDEX(Hierarchy!$B$2:$B$1295,MATCH($D1853,Hierarchy!$A$2:$A$1295,0))),"NODE NOT FOUND"))</f>
        <v>Country</v>
      </c>
      <c r="G1853" s="7" t="str">
        <f aca="false">IF($D1853="","",IFERROR(IF(INDEX(Hierarchy!$D$2:$D$1295,MATCH($D1853,Hierarchy!$A$2:$A$1295,0))="","",INDEX(Hierarchy!$D$2:$D$1295,MATCH($D1853,Hierarchy!$A$2:$A$1295,0))),"NODE NOT FOUND"))</f>
        <v>AMER</v>
      </c>
      <c r="H1853" s="7" t="str">
        <f aca="false">IF($D1853="","",IFERROR(IF(INDEX(Hierarchy!$E$2:$E$1295,MATCH($D1853,Hierarchy!$A$2:$A$1295,0))="","",INDEX(Hierarchy!$E$2:$E$1295,MATCH($D1853,Hierarchy!$A$2:$A$1295,0))),"NODE NOT FOUND"))</f>
        <v>North America (NORAM)</v>
      </c>
      <c r="I1853" s="7" t="str">
        <f aca="false">IF($D1853="","",IFERROR(IF(INDEX(Hierarchy!$F$2:$F$1295,MATCH($D1853,Hierarchy!$A$2:$A$1295,0))="","",INDEX(Hierarchy!$F$2:$F$1295,MATCH($D1853,Hierarchy!$A$2:$A$1295,0))),"NODE NOT FOUND"))</f>
        <v>United States</v>
      </c>
      <c r="J1853" s="7" t="str">
        <f aca="false">IF($D1853="","",IFERROR(IF(INDEX(Hierarchy!$G$2:$G$1295,MATCH($D1853,Hierarchy!$A$2:$A$1295,0))="","",INDEX(Hierarchy!$G$2:$G$1295,MATCH($D1853,Hierarchy!$A$2:$A$1295,0))),"NODE NOT FOUND"))</f>
        <v>USA</v>
      </c>
      <c r="K1853" s="7" t="str">
        <f aca="false">IF($D1853="","",IFERROR(IF(INDEX(Hierarchy!$H$2:$H$1295,MATCH($D1853,Hierarchy!$A$2:$A$1295,0))="","",INDEX(Hierarchy!$H$2:$H$1295,MATCH($D1853,Hierarchy!$A$2:$A$1295,0))),"NODE NOT FOUND"))</f>
        <v/>
      </c>
      <c r="L1853" s="7" t="str">
        <f aca="false">IF($D1853="","",IFERROR(IF(INDEX(Hierarchy!$I$2:$I$1295,MATCH($D1853,Hierarchy!$A$2:$A$1295,0))="","",INDEX(Hierarchy!$I$2:$I$1295,MATCH($D1853,Hierarchy!$A$2:$A$1295,0))),"NODE NOT FOUND"))</f>
        <v/>
      </c>
      <c r="M1853" s="17" t="str">
        <f aca="false">IF(B1853="Pre-seeded","Pre-seeded",IF(B1853="Review 2026-09-16","Added from review",IF(C1853="","New",IF(C1853=D1853,"","Changed"))))</f>
        <v/>
      </c>
      <c r="N1853" s="7" t="str">
        <f aca="false">TRIM(SUBSTITUTE(SUBSTITUTE(SUBSTITUTE(" "&amp;TRIM(SUBSTITUTE(SUBSTITUTE(SUBSTITUTE(SUBSTITUTE(SUBSTITUTE(SUBSTITUTE(SUBSTITUTE(SUBSTITUTE(SUBSTITUTE(SUBSTITUTE(SUBSTITUTE(SUBSTITUTE(SUBSTITUTE(SUBSTITUTE(SUBSTITUTE(UPPER(TRIM(A1853)),"[MEMBER]",""),"{MEMBER}",""),"[MEMBER}",""),"MEMBER]",""),"(A)",""),"""",""),"“",""),"”",""),".",""),":",""),",",""),"–"," "),"-"," "),"/"," "),"&amp;"," AND "))&amp;" "," THE "," ")," TOTAL "," ")," OPERATIONS "," "))</f>
        <v>UNITED STATES (US)</v>
      </c>
      <c r="O1853" s="17" t="str">
        <f aca="false">IF(COUNTIFS($N$2:$N$2000,N1853,$D$2:$D$2000,"&lt;&gt;"&amp;D1853)&gt;0,"CONFLICT","")</f>
        <v/>
      </c>
      <c r="P1853" s="7"/>
    </row>
    <row r="1854" customFormat="false" ht="15" hidden="false" customHeight="false" outlineLevel="0" collapsed="false">
      <c r="A1854" s="7" t="s">
        <v>2827</v>
      </c>
      <c r="B1854" s="7" t="s">
        <v>1882</v>
      </c>
      <c r="C1854" s="7" t="s">
        <v>81</v>
      </c>
      <c r="D1854" s="6" t="s">
        <v>81</v>
      </c>
      <c r="E1854" s="6" t="s">
        <v>1880</v>
      </c>
      <c r="F1854" s="7" t="str">
        <f aca="false">IF($D1854="","",IFERROR(IF(INDEX(Hierarchy!$B$2:$B$1295,MATCH($D1854,Hierarchy!$A$2:$A$1295,0))="","",INDEX(Hierarchy!$B$2:$B$1295,MATCH($D1854,Hierarchy!$A$2:$A$1295,0))),"NODE NOT FOUND"))</f>
        <v>Country</v>
      </c>
      <c r="G1854" s="7" t="str">
        <f aca="false">IF($D1854="","",IFERROR(IF(INDEX(Hierarchy!$D$2:$D$1295,MATCH($D1854,Hierarchy!$A$2:$A$1295,0))="","",INDEX(Hierarchy!$D$2:$D$1295,MATCH($D1854,Hierarchy!$A$2:$A$1295,0))),"NODE NOT FOUND"))</f>
        <v>AMER</v>
      </c>
      <c r="H1854" s="7" t="str">
        <f aca="false">IF($D1854="","",IFERROR(IF(INDEX(Hierarchy!$E$2:$E$1295,MATCH($D1854,Hierarchy!$A$2:$A$1295,0))="","",INDEX(Hierarchy!$E$2:$E$1295,MATCH($D1854,Hierarchy!$A$2:$A$1295,0))),"NODE NOT FOUND"))</f>
        <v>North America (NORAM)</v>
      </c>
      <c r="I1854" s="7" t="str">
        <f aca="false">IF($D1854="","",IFERROR(IF(INDEX(Hierarchy!$F$2:$F$1295,MATCH($D1854,Hierarchy!$A$2:$A$1295,0))="","",INDEX(Hierarchy!$F$2:$F$1295,MATCH($D1854,Hierarchy!$A$2:$A$1295,0))),"NODE NOT FOUND"))</f>
        <v>United States</v>
      </c>
      <c r="J1854" s="7" t="str">
        <f aca="false">IF($D1854="","",IFERROR(IF(INDEX(Hierarchy!$G$2:$G$1295,MATCH($D1854,Hierarchy!$A$2:$A$1295,0))="","",INDEX(Hierarchy!$G$2:$G$1295,MATCH($D1854,Hierarchy!$A$2:$A$1295,0))),"NODE NOT FOUND"))</f>
        <v>USA</v>
      </c>
      <c r="K1854" s="7" t="str">
        <f aca="false">IF($D1854="","",IFERROR(IF(INDEX(Hierarchy!$H$2:$H$1295,MATCH($D1854,Hierarchy!$A$2:$A$1295,0))="","",INDEX(Hierarchy!$H$2:$H$1295,MATCH($D1854,Hierarchy!$A$2:$A$1295,0))),"NODE NOT FOUND"))</f>
        <v/>
      </c>
      <c r="L1854" s="7" t="str">
        <f aca="false">IF($D1854="","",IFERROR(IF(INDEX(Hierarchy!$I$2:$I$1295,MATCH($D1854,Hierarchy!$A$2:$A$1295,0))="","",INDEX(Hierarchy!$I$2:$I$1295,MATCH($D1854,Hierarchy!$A$2:$A$1295,0))),"NODE NOT FOUND"))</f>
        <v/>
      </c>
      <c r="M1854" s="17" t="str">
        <f aca="false">IF(B1854="Pre-seeded","Pre-seeded",IF(B1854="Review 2026-09-16","Added from review",IF(C1854="","New",IF(C1854=D1854,"","Changed"))))</f>
        <v/>
      </c>
      <c r="N1854" s="7" t="str">
        <f aca="false">TRIM(SUBSTITUTE(SUBSTITUTE(SUBSTITUTE(" "&amp;TRIM(SUBSTITUTE(SUBSTITUTE(SUBSTITUTE(SUBSTITUTE(SUBSTITUTE(SUBSTITUTE(SUBSTITUTE(SUBSTITUTE(SUBSTITUTE(SUBSTITUTE(SUBSTITUTE(SUBSTITUTE(SUBSTITUTE(SUBSTITUTE(SUBSTITUTE(UPPER(TRIM(A1854)),"[MEMBER]",""),"{MEMBER}",""),"[MEMBER}",""),"MEMBER]",""),"(A)",""),"""",""),"“",""),"”",""),".",""),":",""),",",""),"–"," "),"-"," "),"/"," "),"&amp;"," AND "))&amp;" "," THE "," ")," TOTAL "," ")," OPERATIONS "," "))</f>
        <v>UNITED STATES (US)</v>
      </c>
      <c r="O1854" s="17" t="str">
        <f aca="false">IF(COUNTIFS($N$2:$N$2000,N1854,$D$2:$D$2000,"&lt;&gt;"&amp;D1854)&gt;0,"CONFLICT","")</f>
        <v/>
      </c>
      <c r="P1854" s="7"/>
    </row>
    <row r="1855" customFormat="false" ht="15" hidden="false" customHeight="false" outlineLevel="0" collapsed="false">
      <c r="A1855" s="7" t="s">
        <v>2828</v>
      </c>
      <c r="B1855" s="7" t="s">
        <v>1882</v>
      </c>
      <c r="C1855" s="7" t="s">
        <v>81</v>
      </c>
      <c r="D1855" s="6" t="s">
        <v>81</v>
      </c>
      <c r="E1855" s="6" t="s">
        <v>1880</v>
      </c>
      <c r="F1855" s="7" t="str">
        <f aca="false">IF($D1855="","",IFERROR(IF(INDEX(Hierarchy!$B$2:$B$1295,MATCH($D1855,Hierarchy!$A$2:$A$1295,0))="","",INDEX(Hierarchy!$B$2:$B$1295,MATCH($D1855,Hierarchy!$A$2:$A$1295,0))),"NODE NOT FOUND"))</f>
        <v>Country</v>
      </c>
      <c r="G1855" s="7" t="str">
        <f aca="false">IF($D1855="","",IFERROR(IF(INDEX(Hierarchy!$D$2:$D$1295,MATCH($D1855,Hierarchy!$A$2:$A$1295,0))="","",INDEX(Hierarchy!$D$2:$D$1295,MATCH($D1855,Hierarchy!$A$2:$A$1295,0))),"NODE NOT FOUND"))</f>
        <v>AMER</v>
      </c>
      <c r="H1855" s="7" t="str">
        <f aca="false">IF($D1855="","",IFERROR(IF(INDEX(Hierarchy!$E$2:$E$1295,MATCH($D1855,Hierarchy!$A$2:$A$1295,0))="","",INDEX(Hierarchy!$E$2:$E$1295,MATCH($D1855,Hierarchy!$A$2:$A$1295,0))),"NODE NOT FOUND"))</f>
        <v>North America (NORAM)</v>
      </c>
      <c r="I1855" s="7" t="str">
        <f aca="false">IF($D1855="","",IFERROR(IF(INDEX(Hierarchy!$F$2:$F$1295,MATCH($D1855,Hierarchy!$A$2:$A$1295,0))="","",INDEX(Hierarchy!$F$2:$F$1295,MATCH($D1855,Hierarchy!$A$2:$A$1295,0))),"NODE NOT FOUND"))</f>
        <v>United States</v>
      </c>
      <c r="J1855" s="7" t="str">
        <f aca="false">IF($D1855="","",IFERROR(IF(INDEX(Hierarchy!$G$2:$G$1295,MATCH($D1855,Hierarchy!$A$2:$A$1295,0))="","",INDEX(Hierarchy!$G$2:$G$1295,MATCH($D1855,Hierarchy!$A$2:$A$1295,0))),"NODE NOT FOUND"))</f>
        <v>USA</v>
      </c>
      <c r="K1855" s="7" t="str">
        <f aca="false">IF($D1855="","",IFERROR(IF(INDEX(Hierarchy!$H$2:$H$1295,MATCH($D1855,Hierarchy!$A$2:$A$1295,0))="","",INDEX(Hierarchy!$H$2:$H$1295,MATCH($D1855,Hierarchy!$A$2:$A$1295,0))),"NODE NOT FOUND"))</f>
        <v/>
      </c>
      <c r="L1855" s="7" t="str">
        <f aca="false">IF($D1855="","",IFERROR(IF(INDEX(Hierarchy!$I$2:$I$1295,MATCH($D1855,Hierarchy!$A$2:$A$1295,0))="","",INDEX(Hierarchy!$I$2:$I$1295,MATCH($D1855,Hierarchy!$A$2:$A$1295,0))),"NODE NOT FOUND"))</f>
        <v/>
      </c>
      <c r="M1855" s="17" t="str">
        <f aca="false">IF(B1855="Pre-seeded","Pre-seeded",IF(B1855="Review 2026-09-16","Added from review",IF(C1855="","New",IF(C1855=D1855,"","Changed"))))</f>
        <v/>
      </c>
      <c r="N1855" s="7" t="str">
        <f aca="false">TRIM(SUBSTITUTE(SUBSTITUTE(SUBSTITUTE(" "&amp;TRIM(SUBSTITUTE(SUBSTITUTE(SUBSTITUTE(SUBSTITUTE(SUBSTITUTE(SUBSTITUTE(SUBSTITUTE(SUBSTITUTE(SUBSTITUTE(SUBSTITUTE(SUBSTITUTE(SUBSTITUTE(SUBSTITUTE(SUBSTITUTE(SUBSTITUTE(UPPER(TRIM(A1855)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55" s="17" t="str">
        <f aca="false">IF(COUNTIFS($N$2:$N$2000,N1855,$D$2:$D$2000,"&lt;&gt;"&amp;D1855)&gt;0,"CONFLICT","")</f>
        <v/>
      </c>
      <c r="P1855" s="7"/>
    </row>
    <row r="1856" customFormat="false" ht="15" hidden="false" customHeight="false" outlineLevel="0" collapsed="false">
      <c r="A1856" s="7" t="s">
        <v>2829</v>
      </c>
      <c r="B1856" s="7" t="s">
        <v>1885</v>
      </c>
      <c r="C1856" s="7" t="s">
        <v>86</v>
      </c>
      <c r="D1856" s="6" t="s">
        <v>80</v>
      </c>
      <c r="E1856" s="6" t="s">
        <v>1880</v>
      </c>
      <c r="F1856" s="7" t="str">
        <f aca="false">IF($D1856="","",IFERROR(IF(INDEX(Hierarchy!$B$2:$B$1295,MATCH($D1856,Hierarchy!$A$2:$A$1295,0))="","",INDEX(Hierarchy!$B$2:$B$1295,MATCH($D1856,Hierarchy!$A$2:$A$1295,0))),"NODE NOT FOUND"))</f>
        <v>Sub-region</v>
      </c>
      <c r="G1856" s="7" t="str">
        <f aca="false">IF($D1856="","",IFERROR(IF(INDEX(Hierarchy!$D$2:$D$1295,MATCH($D1856,Hierarchy!$A$2:$A$1295,0))="","",INDEX(Hierarchy!$D$2:$D$1295,MATCH($D1856,Hierarchy!$A$2:$A$1295,0))),"NODE NOT FOUND"))</f>
        <v>AMER</v>
      </c>
      <c r="H1856" s="7" t="str">
        <f aca="false">IF($D1856="","",IFERROR(IF(INDEX(Hierarchy!$E$2:$E$1295,MATCH($D1856,Hierarchy!$A$2:$A$1295,0))="","",INDEX(Hierarchy!$E$2:$E$1295,MATCH($D1856,Hierarchy!$A$2:$A$1295,0))),"NODE NOT FOUND"))</f>
        <v>North America (NORAM)</v>
      </c>
      <c r="I1856" s="7" t="str">
        <f aca="false">IF($D1856="","",IFERROR(IF(INDEX(Hierarchy!$F$2:$F$1295,MATCH($D1856,Hierarchy!$A$2:$A$1295,0))="","",INDEX(Hierarchy!$F$2:$F$1295,MATCH($D1856,Hierarchy!$A$2:$A$1295,0))),"NODE NOT FOUND"))</f>
        <v/>
      </c>
      <c r="J1856" s="7" t="str">
        <f aca="false">IF($D1856="","",IFERROR(IF(INDEX(Hierarchy!$G$2:$G$1295,MATCH($D1856,Hierarchy!$A$2:$A$1295,0))="","",INDEX(Hierarchy!$G$2:$G$1295,MATCH($D1856,Hierarchy!$A$2:$A$1295,0))),"NODE NOT FOUND"))</f>
        <v/>
      </c>
      <c r="K1856" s="7" t="str">
        <f aca="false">IF($D1856="","",IFERROR(IF(INDEX(Hierarchy!$H$2:$H$1295,MATCH($D1856,Hierarchy!$A$2:$A$1295,0))="","",INDEX(Hierarchy!$H$2:$H$1295,MATCH($D1856,Hierarchy!$A$2:$A$1295,0))),"NODE NOT FOUND"))</f>
        <v/>
      </c>
      <c r="L1856" s="7" t="str">
        <f aca="false">IF($D1856="","",IFERROR(IF(INDEX(Hierarchy!$I$2:$I$1295,MATCH($D1856,Hierarchy!$A$2:$A$1295,0))="","",INDEX(Hierarchy!$I$2:$I$1295,MATCH($D1856,Hierarchy!$A$2:$A$1295,0))),"NODE NOT FOUND"))</f>
        <v/>
      </c>
      <c r="M1856" s="17" t="str">
        <f aca="false">IF(B1856="Pre-seeded","Pre-seeded",IF(B1856="Review 2026-09-16","Added from review",IF(C1856="","New",IF(C1856=D1856,"","Changed"))))</f>
        <v>Changed</v>
      </c>
      <c r="N1856" s="7" t="str">
        <f aca="false">TRIM(SUBSTITUTE(SUBSTITUTE(SUBSTITUTE(" "&amp;TRIM(SUBSTITUTE(SUBSTITUTE(SUBSTITUTE(SUBSTITUTE(SUBSTITUTE(SUBSTITUTE(SUBSTITUTE(SUBSTITUTE(SUBSTITUTE(SUBSTITUTE(SUBSTITUTE(SUBSTITUTE(SUBSTITUTE(SUBSTITUTE(SUBSTITUTE(UPPER(TRIM(A1856)),"[MEMBER]",""),"{MEMBER}",""),"[MEMBER}",""),"MEMBER]",""),"(A)",""),"""",""),"“",""),"”",""),".",""),":",""),",",""),"–"," "),"-"," "),"/"," "),"&amp;"," AND "))&amp;" "," THE "," ")," TOTAL "," ")," OPERATIONS "," "))</f>
        <v>UNITED STATES AND CANADA</v>
      </c>
      <c r="O1856" s="17" t="str">
        <f aca="false">IF(COUNTIFS($N$2:$N$2000,N1856,$D$2:$D$2000,"&lt;&gt;"&amp;D1856)&gt;0,"CONFLICT","")</f>
        <v/>
      </c>
      <c r="P1856" s="7"/>
    </row>
    <row r="1857" customFormat="false" ht="15" hidden="false" customHeight="false" outlineLevel="0" collapsed="false">
      <c r="A1857" s="7" t="s">
        <v>2830</v>
      </c>
      <c r="B1857" s="7" t="s">
        <v>1954</v>
      </c>
      <c r="C1857" s="7"/>
      <c r="D1857" s="6" t="s">
        <v>80</v>
      </c>
      <c r="E1857" s="6" t="s">
        <v>1880</v>
      </c>
      <c r="F1857" s="7" t="str">
        <f aca="false">IF($D1857="","",IFERROR(IF(INDEX(Hierarchy!$B$2:$B$1295,MATCH($D1857,Hierarchy!$A$2:$A$1295,0))="","",INDEX(Hierarchy!$B$2:$B$1295,MATCH($D1857,Hierarchy!$A$2:$A$1295,0))),"NODE NOT FOUND"))</f>
        <v>Sub-region</v>
      </c>
      <c r="G1857" s="7" t="str">
        <f aca="false">IF($D1857="","",IFERROR(IF(INDEX(Hierarchy!$D$2:$D$1295,MATCH($D1857,Hierarchy!$A$2:$A$1295,0))="","",INDEX(Hierarchy!$D$2:$D$1295,MATCH($D1857,Hierarchy!$A$2:$A$1295,0))),"NODE NOT FOUND"))</f>
        <v>AMER</v>
      </c>
      <c r="H1857" s="7" t="str">
        <f aca="false">IF($D1857="","",IFERROR(IF(INDEX(Hierarchy!$E$2:$E$1295,MATCH($D1857,Hierarchy!$A$2:$A$1295,0))="","",INDEX(Hierarchy!$E$2:$E$1295,MATCH($D1857,Hierarchy!$A$2:$A$1295,0))),"NODE NOT FOUND"))</f>
        <v>North America (NORAM)</v>
      </c>
      <c r="I1857" s="7" t="str">
        <f aca="false">IF($D1857="","",IFERROR(IF(INDEX(Hierarchy!$F$2:$F$1295,MATCH($D1857,Hierarchy!$A$2:$A$1295,0))="","",INDEX(Hierarchy!$F$2:$F$1295,MATCH($D1857,Hierarchy!$A$2:$A$1295,0))),"NODE NOT FOUND"))</f>
        <v/>
      </c>
      <c r="J1857" s="7" t="str">
        <f aca="false">IF($D1857="","",IFERROR(IF(INDEX(Hierarchy!$G$2:$G$1295,MATCH($D1857,Hierarchy!$A$2:$A$1295,0))="","",INDEX(Hierarchy!$G$2:$G$1295,MATCH($D1857,Hierarchy!$A$2:$A$1295,0))),"NODE NOT FOUND"))</f>
        <v/>
      </c>
      <c r="K1857" s="7" t="str">
        <f aca="false">IF($D1857="","",IFERROR(IF(INDEX(Hierarchy!$H$2:$H$1295,MATCH($D1857,Hierarchy!$A$2:$A$1295,0))="","",INDEX(Hierarchy!$H$2:$H$1295,MATCH($D1857,Hierarchy!$A$2:$A$1295,0))),"NODE NOT FOUND"))</f>
        <v/>
      </c>
      <c r="L1857" s="7" t="str">
        <f aca="false">IF($D1857="","",IFERROR(IF(INDEX(Hierarchy!$I$2:$I$1295,MATCH($D1857,Hierarchy!$A$2:$A$1295,0))="","",INDEX(Hierarchy!$I$2:$I$1295,MATCH($D1857,Hierarchy!$A$2:$A$1295,0))),"NODE NOT FOUND"))</f>
        <v/>
      </c>
      <c r="M1857" s="17" t="str">
        <f aca="false">IF(B1857="Pre-seeded","Pre-seeded",IF(B1857="Review 2026-09-16","Added from review",IF(C1857="","New",IF(C1857=D1857,"","Changed"))))</f>
        <v>Added from review</v>
      </c>
      <c r="N1857" s="7" t="str">
        <f aca="false">TRIM(SUBSTITUTE(SUBSTITUTE(SUBSTITUTE(" "&amp;TRIM(SUBSTITUTE(SUBSTITUTE(SUBSTITUTE(SUBSTITUTE(SUBSTITUTE(SUBSTITUTE(SUBSTITUTE(SUBSTITUTE(SUBSTITUTE(SUBSTITUTE(SUBSTITUTE(SUBSTITUTE(SUBSTITUTE(SUBSTITUTE(SUBSTITUTE(UPPER(TRIM(A1857)),"[MEMBER]",""),"{MEMBER}",""),"[MEMBER}",""),"MEMBER]",""),"(A)",""),"""",""),"“",""),"”",""),".",""),":",""),",",""),"–"," "),"-"," "),"/"," "),"&amp;"," AND "))&amp;" "," THE "," ")," TOTAL "," ")," OPERATIONS "," "))</f>
        <v>UNITED STATES AND CANADA (US AND CAN)</v>
      </c>
      <c r="O1857" s="17" t="str">
        <f aca="false">IF(COUNTIFS($N$2:$N$2000,N1857,$D$2:$D$2000,"&lt;&gt;"&amp;D1857)&gt;0,"CONFLICT","")</f>
        <v/>
      </c>
      <c r="P1857" s="7" t="s">
        <v>1968</v>
      </c>
    </row>
    <row r="1858" customFormat="false" ht="15" hidden="false" customHeight="false" outlineLevel="0" collapsed="false">
      <c r="A1858" s="7" t="s">
        <v>2831</v>
      </c>
      <c r="B1858" s="7" t="s">
        <v>1905</v>
      </c>
      <c r="C1858" s="7" t="s">
        <v>1906</v>
      </c>
      <c r="D1858" s="6" t="s">
        <v>81</v>
      </c>
      <c r="E1858" s="6" t="s">
        <v>1880</v>
      </c>
      <c r="F1858" s="7" t="str">
        <f aca="false">IF($D1858="","",IFERROR(IF(INDEX(Hierarchy!$B$2:$B$1295,MATCH($D1858,Hierarchy!$A$2:$A$1295,0))="","",INDEX(Hierarchy!$B$2:$B$1295,MATCH($D1858,Hierarchy!$A$2:$A$1295,0))),"NODE NOT FOUND"))</f>
        <v>Country</v>
      </c>
      <c r="G1858" s="7" t="str">
        <f aca="false">IF($D1858="","",IFERROR(IF(INDEX(Hierarchy!$D$2:$D$1295,MATCH($D1858,Hierarchy!$A$2:$A$1295,0))="","",INDEX(Hierarchy!$D$2:$D$1295,MATCH($D1858,Hierarchy!$A$2:$A$1295,0))),"NODE NOT FOUND"))</f>
        <v>AMER</v>
      </c>
      <c r="H1858" s="7" t="str">
        <f aca="false">IF($D1858="","",IFERROR(IF(INDEX(Hierarchy!$E$2:$E$1295,MATCH($D1858,Hierarchy!$A$2:$A$1295,0))="","",INDEX(Hierarchy!$E$2:$E$1295,MATCH($D1858,Hierarchy!$A$2:$A$1295,0))),"NODE NOT FOUND"))</f>
        <v>North America (NORAM)</v>
      </c>
      <c r="I1858" s="7" t="str">
        <f aca="false">IF($D1858="","",IFERROR(IF(INDEX(Hierarchy!$F$2:$F$1295,MATCH($D1858,Hierarchy!$A$2:$A$1295,0))="","",INDEX(Hierarchy!$F$2:$F$1295,MATCH($D1858,Hierarchy!$A$2:$A$1295,0))),"NODE NOT FOUND"))</f>
        <v>United States</v>
      </c>
      <c r="J1858" s="7" t="str">
        <f aca="false">IF($D1858="","",IFERROR(IF(INDEX(Hierarchy!$G$2:$G$1295,MATCH($D1858,Hierarchy!$A$2:$A$1295,0))="","",INDEX(Hierarchy!$G$2:$G$1295,MATCH($D1858,Hierarchy!$A$2:$A$1295,0))),"NODE NOT FOUND"))</f>
        <v>USA</v>
      </c>
      <c r="K1858" s="7" t="str">
        <f aca="false">IF($D1858="","",IFERROR(IF(INDEX(Hierarchy!$H$2:$H$1295,MATCH($D1858,Hierarchy!$A$2:$A$1295,0))="","",INDEX(Hierarchy!$H$2:$H$1295,MATCH($D1858,Hierarchy!$A$2:$A$1295,0))),"NODE NOT FOUND"))</f>
        <v/>
      </c>
      <c r="L1858" s="7" t="str">
        <f aca="false">IF($D1858="","",IFERROR(IF(INDEX(Hierarchy!$I$2:$I$1295,MATCH($D1858,Hierarchy!$A$2:$A$1295,0))="","",INDEX(Hierarchy!$I$2:$I$1295,MATCH($D1858,Hierarchy!$A$2:$A$1295,0))),"NODE NOT FOUND"))</f>
        <v/>
      </c>
      <c r="M1858" s="17" t="str">
        <f aca="false">IF(B1858="Pre-seeded","Pre-seeded",IF(B1858="Review 2026-09-16","Added from review",IF(C1858="","New",IF(C1858=D1858,"","Changed"))))</f>
        <v>Changed</v>
      </c>
      <c r="N1858" s="7" t="str">
        <f aca="false">TRIM(SUBSTITUTE(SUBSTITUTE(SUBSTITUTE(" "&amp;TRIM(SUBSTITUTE(SUBSTITUTE(SUBSTITUTE(SUBSTITUTE(SUBSTITUTE(SUBSTITUTE(SUBSTITUTE(SUBSTITUTE(SUBSTITUTE(SUBSTITUTE(SUBSTITUTE(SUBSTITUTE(SUBSTITUTE(SUBSTITUTE(SUBSTITUTE(UPPER(TRIM(A1858)),"[MEMBER]",""),"{MEMBER}",""),"[MEMBER}",""),"MEMBER]",""),"(A)",""),"""",""),"“",""),"”",""),".",""),":",""),",",""),"–"," "),"-"," "),"/"," "),"&amp;"," AND "))&amp;" "," THE "," ")," TOTAL "," ")," OPERATIONS "," "))</f>
        <v>UNITED STATES FEDERAL</v>
      </c>
      <c r="O1858" s="17" t="str">
        <f aca="false">IF(COUNTIFS($N$2:$N$2000,N1858,$D$2:$D$2000,"&lt;&gt;"&amp;D1858)&gt;0,"CONFLICT","")</f>
        <v/>
      </c>
      <c r="P1858" s="7" t="s">
        <v>2792</v>
      </c>
    </row>
    <row r="1859" customFormat="false" ht="15" hidden="false" customHeight="false" outlineLevel="0" collapsed="false">
      <c r="A1859" s="7" t="s">
        <v>2832</v>
      </c>
      <c r="B1859" s="7" t="s">
        <v>1882</v>
      </c>
      <c r="C1859" s="7" t="s">
        <v>81</v>
      </c>
      <c r="D1859" s="6" t="s">
        <v>81</v>
      </c>
      <c r="E1859" s="6" t="s">
        <v>1880</v>
      </c>
      <c r="F1859" s="7" t="str">
        <f aca="false">IF($D1859="","",IFERROR(IF(INDEX(Hierarchy!$B$2:$B$1295,MATCH($D1859,Hierarchy!$A$2:$A$1295,0))="","",INDEX(Hierarchy!$B$2:$B$1295,MATCH($D1859,Hierarchy!$A$2:$A$1295,0))),"NODE NOT FOUND"))</f>
        <v>Country</v>
      </c>
      <c r="G1859" s="7" t="str">
        <f aca="false">IF($D1859="","",IFERROR(IF(INDEX(Hierarchy!$D$2:$D$1295,MATCH($D1859,Hierarchy!$A$2:$A$1295,0))="","",INDEX(Hierarchy!$D$2:$D$1295,MATCH($D1859,Hierarchy!$A$2:$A$1295,0))),"NODE NOT FOUND"))</f>
        <v>AMER</v>
      </c>
      <c r="H1859" s="7" t="str">
        <f aca="false">IF($D1859="","",IFERROR(IF(INDEX(Hierarchy!$E$2:$E$1295,MATCH($D1859,Hierarchy!$A$2:$A$1295,0))="","",INDEX(Hierarchy!$E$2:$E$1295,MATCH($D1859,Hierarchy!$A$2:$A$1295,0))),"NODE NOT FOUND"))</f>
        <v>North America (NORAM)</v>
      </c>
      <c r="I1859" s="7" t="str">
        <f aca="false">IF($D1859="","",IFERROR(IF(INDEX(Hierarchy!$F$2:$F$1295,MATCH($D1859,Hierarchy!$A$2:$A$1295,0))="","",INDEX(Hierarchy!$F$2:$F$1295,MATCH($D1859,Hierarchy!$A$2:$A$1295,0))),"NODE NOT FOUND"))</f>
        <v>United States</v>
      </c>
      <c r="J1859" s="7" t="str">
        <f aca="false">IF($D1859="","",IFERROR(IF(INDEX(Hierarchy!$G$2:$G$1295,MATCH($D1859,Hierarchy!$A$2:$A$1295,0))="","",INDEX(Hierarchy!$G$2:$G$1295,MATCH($D1859,Hierarchy!$A$2:$A$1295,0))),"NODE NOT FOUND"))</f>
        <v>USA</v>
      </c>
      <c r="K1859" s="7" t="str">
        <f aca="false">IF($D1859="","",IFERROR(IF(INDEX(Hierarchy!$H$2:$H$1295,MATCH($D1859,Hierarchy!$A$2:$A$1295,0))="","",INDEX(Hierarchy!$H$2:$H$1295,MATCH($D1859,Hierarchy!$A$2:$A$1295,0))),"NODE NOT FOUND"))</f>
        <v/>
      </c>
      <c r="L1859" s="7" t="str">
        <f aca="false">IF($D1859="","",IFERROR(IF(INDEX(Hierarchy!$I$2:$I$1295,MATCH($D1859,Hierarchy!$A$2:$A$1295,0))="","",INDEX(Hierarchy!$I$2:$I$1295,MATCH($D1859,Hierarchy!$A$2:$A$1295,0))),"NODE NOT FOUND"))</f>
        <v/>
      </c>
      <c r="M1859" s="17" t="str">
        <f aca="false">IF(B1859="Pre-seeded","Pre-seeded",IF(B1859="Review 2026-09-16","Added from review",IF(C1859="","New",IF(C1859=D1859,"","Changed"))))</f>
        <v/>
      </c>
      <c r="N1859" s="7" t="str">
        <f aca="false">TRIM(SUBSTITUTE(SUBSTITUTE(SUBSTITUTE(" "&amp;TRIM(SUBSTITUTE(SUBSTITUTE(SUBSTITUTE(SUBSTITUTE(SUBSTITUTE(SUBSTITUTE(SUBSTITUTE(SUBSTITUTE(SUBSTITUTE(SUBSTITUTE(SUBSTITUTE(SUBSTITUTE(SUBSTITUTE(SUBSTITUTE(SUBSTITUTE(UPPER(TRIM(A1859)),"[MEMBER]",""),"{MEMBER}",""),"[MEMBER}",""),"MEMBER]",""),"(A)",""),"""",""),"“",""),"”",""),".",""),":",""),",",""),"–"," "),"-"," "),"/"," "),"&amp;"," AND "))&amp;" "," THE "," ")," TOTAL "," ")," OPERATIONS "," "))</f>
        <v>UNITED STATES GEOGRAPHIC REGION</v>
      </c>
      <c r="O1859" s="17" t="str">
        <f aca="false">IF(COUNTIFS($N$2:$N$2000,N1859,$D$2:$D$2000,"&lt;&gt;"&amp;D1859)&gt;0,"CONFLICT","")</f>
        <v/>
      </c>
      <c r="P1859" s="7"/>
    </row>
    <row r="1860" customFormat="false" ht="15" hidden="false" customHeight="false" outlineLevel="0" collapsed="false">
      <c r="A1860" s="7" t="s">
        <v>2833</v>
      </c>
      <c r="B1860" s="7" t="s">
        <v>1882</v>
      </c>
      <c r="C1860" s="7" t="s">
        <v>81</v>
      </c>
      <c r="D1860" s="6" t="s">
        <v>81</v>
      </c>
      <c r="E1860" s="6" t="s">
        <v>1880</v>
      </c>
      <c r="F1860" s="7" t="str">
        <f aca="false">IF($D1860="","",IFERROR(IF(INDEX(Hierarchy!$B$2:$B$1295,MATCH($D1860,Hierarchy!$A$2:$A$1295,0))="","",INDEX(Hierarchy!$B$2:$B$1295,MATCH($D1860,Hierarchy!$A$2:$A$1295,0))),"NODE NOT FOUND"))</f>
        <v>Country</v>
      </c>
      <c r="G1860" s="7" t="str">
        <f aca="false">IF($D1860="","",IFERROR(IF(INDEX(Hierarchy!$D$2:$D$1295,MATCH($D1860,Hierarchy!$A$2:$A$1295,0))="","",INDEX(Hierarchy!$D$2:$D$1295,MATCH($D1860,Hierarchy!$A$2:$A$1295,0))),"NODE NOT FOUND"))</f>
        <v>AMER</v>
      </c>
      <c r="H1860" s="7" t="str">
        <f aca="false">IF($D1860="","",IFERROR(IF(INDEX(Hierarchy!$E$2:$E$1295,MATCH($D1860,Hierarchy!$A$2:$A$1295,0))="","",INDEX(Hierarchy!$E$2:$E$1295,MATCH($D1860,Hierarchy!$A$2:$A$1295,0))),"NODE NOT FOUND"))</f>
        <v>North America (NORAM)</v>
      </c>
      <c r="I1860" s="7" t="str">
        <f aca="false">IF($D1860="","",IFERROR(IF(INDEX(Hierarchy!$F$2:$F$1295,MATCH($D1860,Hierarchy!$A$2:$A$1295,0))="","",INDEX(Hierarchy!$F$2:$F$1295,MATCH($D1860,Hierarchy!$A$2:$A$1295,0))),"NODE NOT FOUND"))</f>
        <v>United States</v>
      </c>
      <c r="J1860" s="7" t="str">
        <f aca="false">IF($D1860="","",IFERROR(IF(INDEX(Hierarchy!$G$2:$G$1295,MATCH($D1860,Hierarchy!$A$2:$A$1295,0))="","",INDEX(Hierarchy!$G$2:$G$1295,MATCH($D1860,Hierarchy!$A$2:$A$1295,0))),"NODE NOT FOUND"))</f>
        <v>USA</v>
      </c>
      <c r="K1860" s="7" t="str">
        <f aca="false">IF($D1860="","",IFERROR(IF(INDEX(Hierarchy!$H$2:$H$1295,MATCH($D1860,Hierarchy!$A$2:$A$1295,0))="","",INDEX(Hierarchy!$H$2:$H$1295,MATCH($D1860,Hierarchy!$A$2:$A$1295,0))),"NODE NOT FOUND"))</f>
        <v/>
      </c>
      <c r="L1860" s="7" t="str">
        <f aca="false">IF($D1860="","",IFERROR(IF(INDEX(Hierarchy!$I$2:$I$1295,MATCH($D1860,Hierarchy!$A$2:$A$1295,0))="","",INDEX(Hierarchy!$I$2:$I$1295,MATCH($D1860,Hierarchy!$A$2:$A$1295,0))),"NODE NOT FOUND"))</f>
        <v/>
      </c>
      <c r="M1860" s="17" t="str">
        <f aca="false">IF(B1860="Pre-seeded","Pre-seeded",IF(B1860="Review 2026-09-16","Added from review",IF(C1860="","New",IF(C1860=D1860,"","Changed"))))</f>
        <v/>
      </c>
      <c r="N1860" s="7" t="str">
        <f aca="false">TRIM(SUBSTITUTE(SUBSTITUTE(SUBSTITUTE(" "&amp;TRIM(SUBSTITUTE(SUBSTITUTE(SUBSTITUTE(SUBSTITUTE(SUBSTITUTE(SUBSTITUTE(SUBSTITUTE(SUBSTITUTE(SUBSTITUTE(SUBSTITUTE(SUBSTITUTE(SUBSTITUTE(SUBSTITUTE(SUBSTITUTE(SUBSTITUTE(UPPER(TRIM(A1860)),"[MEMBER]",""),"{MEMBER}",""),"[MEMBER}",""),"MEMBER]",""),"(A)",""),"""",""),"“",""),"”",""),".",""),":",""),",",""),"–"," "),"-"," "),"/"," "),"&amp;"," AND "))&amp;" "," THE "," ")," TOTAL "," ")," OPERATIONS "," "))</f>
        <v>UNITED STATES OF AMERICA</v>
      </c>
      <c r="O1860" s="17" t="str">
        <f aca="false">IF(COUNTIFS($N$2:$N$2000,N1860,$D$2:$D$2000,"&lt;&gt;"&amp;D1860)&gt;0,"CONFLICT","")</f>
        <v/>
      </c>
      <c r="P1860" s="7"/>
    </row>
    <row r="1861" customFormat="false" ht="15" hidden="false" customHeight="false" outlineLevel="0" collapsed="false">
      <c r="A1861" s="7" t="s">
        <v>2834</v>
      </c>
      <c r="B1861" s="7" t="s">
        <v>1882</v>
      </c>
      <c r="C1861" s="7" t="s">
        <v>81</v>
      </c>
      <c r="D1861" s="6" t="s">
        <v>81</v>
      </c>
      <c r="E1861" s="6" t="s">
        <v>1880</v>
      </c>
      <c r="F1861" s="7" t="str">
        <f aca="false">IF($D1861="","",IFERROR(IF(INDEX(Hierarchy!$B$2:$B$1295,MATCH($D1861,Hierarchy!$A$2:$A$1295,0))="","",INDEX(Hierarchy!$B$2:$B$1295,MATCH($D1861,Hierarchy!$A$2:$A$1295,0))),"NODE NOT FOUND"))</f>
        <v>Country</v>
      </c>
      <c r="G1861" s="7" t="str">
        <f aca="false">IF($D1861="","",IFERROR(IF(INDEX(Hierarchy!$D$2:$D$1295,MATCH($D1861,Hierarchy!$A$2:$A$1295,0))="","",INDEX(Hierarchy!$D$2:$D$1295,MATCH($D1861,Hierarchy!$A$2:$A$1295,0))),"NODE NOT FOUND"))</f>
        <v>AMER</v>
      </c>
      <c r="H1861" s="7" t="str">
        <f aca="false">IF($D1861="","",IFERROR(IF(INDEX(Hierarchy!$E$2:$E$1295,MATCH($D1861,Hierarchy!$A$2:$A$1295,0))="","",INDEX(Hierarchy!$E$2:$E$1295,MATCH($D1861,Hierarchy!$A$2:$A$1295,0))),"NODE NOT FOUND"))</f>
        <v>North America (NORAM)</v>
      </c>
      <c r="I1861" s="7" t="str">
        <f aca="false">IF($D1861="","",IFERROR(IF(INDEX(Hierarchy!$F$2:$F$1295,MATCH($D1861,Hierarchy!$A$2:$A$1295,0))="","",INDEX(Hierarchy!$F$2:$F$1295,MATCH($D1861,Hierarchy!$A$2:$A$1295,0))),"NODE NOT FOUND"))</f>
        <v>United States</v>
      </c>
      <c r="J1861" s="7" t="str">
        <f aca="false">IF($D1861="","",IFERROR(IF(INDEX(Hierarchy!$G$2:$G$1295,MATCH($D1861,Hierarchy!$A$2:$A$1295,0))="","",INDEX(Hierarchy!$G$2:$G$1295,MATCH($D1861,Hierarchy!$A$2:$A$1295,0))),"NODE NOT FOUND"))</f>
        <v>USA</v>
      </c>
      <c r="K1861" s="7" t="str">
        <f aca="false">IF($D1861="","",IFERROR(IF(INDEX(Hierarchy!$H$2:$H$1295,MATCH($D1861,Hierarchy!$A$2:$A$1295,0))="","",INDEX(Hierarchy!$H$2:$H$1295,MATCH($D1861,Hierarchy!$A$2:$A$1295,0))),"NODE NOT FOUND"))</f>
        <v/>
      </c>
      <c r="L1861" s="7" t="str">
        <f aca="false">IF($D1861="","",IFERROR(IF(INDEX(Hierarchy!$I$2:$I$1295,MATCH($D1861,Hierarchy!$A$2:$A$1295,0))="","",INDEX(Hierarchy!$I$2:$I$1295,MATCH($D1861,Hierarchy!$A$2:$A$1295,0))),"NODE NOT FOUND"))</f>
        <v/>
      </c>
      <c r="M1861" s="17" t="str">
        <f aca="false">IF(B1861="Pre-seeded","Pre-seeded",IF(B1861="Review 2026-09-16","Added from review",IF(C1861="","New",IF(C1861=D1861,"","Changed"))))</f>
        <v/>
      </c>
      <c r="N1861" s="7" t="str">
        <f aca="false">TRIM(SUBSTITUTE(SUBSTITUTE(SUBSTITUTE(" "&amp;TRIM(SUBSTITUTE(SUBSTITUTE(SUBSTITUTE(SUBSTITUTE(SUBSTITUTE(SUBSTITUTE(SUBSTITUTE(SUBSTITUTE(SUBSTITUTE(SUBSTITUTE(SUBSTITUTE(SUBSTITUTE(SUBSTITUTE(SUBSTITUTE(SUBSTITUTE(UPPER(TRIM(A1861)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61" s="17" t="str">
        <f aca="false">IF(COUNTIFS($N$2:$N$2000,N1861,$D$2:$D$2000,"&lt;&gt;"&amp;D1861)&gt;0,"CONFLICT","")</f>
        <v/>
      </c>
      <c r="P1861" s="7"/>
    </row>
    <row r="1862" customFormat="false" ht="15" hidden="false" customHeight="false" outlineLevel="0" collapsed="false">
      <c r="A1862" s="7" t="s">
        <v>2835</v>
      </c>
      <c r="B1862" s="7" t="s">
        <v>1885</v>
      </c>
      <c r="C1862" s="7" t="s">
        <v>84</v>
      </c>
      <c r="D1862" s="6" t="s">
        <v>74</v>
      </c>
      <c r="E1862" s="6" t="s">
        <v>1880</v>
      </c>
      <c r="F1862" s="7" t="str">
        <f aca="false">IF($D1862="","",IFERROR(IF(INDEX(Hierarchy!$B$2:$B$1295,MATCH($D1862,Hierarchy!$A$2:$A$1295,0))="","",INDEX(Hierarchy!$B$2:$B$1295,MATCH($D1862,Hierarchy!$A$2:$A$1295,0))),"NODE NOT FOUND"))</f>
        <v>Region</v>
      </c>
      <c r="G1862" s="7" t="str">
        <f aca="false">IF($D1862="","",IFERROR(IF(INDEX(Hierarchy!$D$2:$D$1295,MATCH($D1862,Hierarchy!$A$2:$A$1295,0))="","",INDEX(Hierarchy!$D$2:$D$1295,MATCH($D1862,Hierarchy!$A$2:$A$1295,0))),"NODE NOT FOUND"))</f>
        <v>AMER</v>
      </c>
      <c r="H1862" s="7" t="str">
        <f aca="false">IF($D1862="","",IFERROR(IF(INDEX(Hierarchy!$E$2:$E$1295,MATCH($D1862,Hierarchy!$A$2:$A$1295,0))="","",INDEX(Hierarchy!$E$2:$E$1295,MATCH($D1862,Hierarchy!$A$2:$A$1295,0))),"NODE NOT FOUND"))</f>
        <v/>
      </c>
      <c r="I1862" s="7" t="str">
        <f aca="false">IF($D1862="","",IFERROR(IF(INDEX(Hierarchy!$F$2:$F$1295,MATCH($D1862,Hierarchy!$A$2:$A$1295,0))="","",INDEX(Hierarchy!$F$2:$F$1295,MATCH($D1862,Hierarchy!$A$2:$A$1295,0))),"NODE NOT FOUND"))</f>
        <v/>
      </c>
      <c r="J1862" s="7" t="str">
        <f aca="false">IF($D1862="","",IFERROR(IF(INDEX(Hierarchy!$G$2:$G$1295,MATCH($D1862,Hierarchy!$A$2:$A$1295,0))="","",INDEX(Hierarchy!$G$2:$G$1295,MATCH($D1862,Hierarchy!$A$2:$A$1295,0))),"NODE NOT FOUND"))</f>
        <v/>
      </c>
      <c r="K1862" s="7" t="str">
        <f aca="false">IF($D1862="","",IFERROR(IF(INDEX(Hierarchy!$H$2:$H$1295,MATCH($D1862,Hierarchy!$A$2:$A$1295,0))="","",INDEX(Hierarchy!$H$2:$H$1295,MATCH($D1862,Hierarchy!$A$2:$A$1295,0))),"NODE NOT FOUND"))</f>
        <v/>
      </c>
      <c r="L1862" s="7" t="str">
        <f aca="false">IF($D1862="","",IFERROR(IF(INDEX(Hierarchy!$I$2:$I$1295,MATCH($D1862,Hierarchy!$A$2:$A$1295,0))="","",INDEX(Hierarchy!$I$2:$I$1295,MATCH($D1862,Hierarchy!$A$2:$A$1295,0))),"NODE NOT FOUND"))</f>
        <v/>
      </c>
      <c r="M1862" s="17" t="str">
        <f aca="false">IF(B1862="Pre-seeded","Pre-seeded",IF(B1862="Review 2026-09-16","Added from review",IF(C1862="","New",IF(C1862=D1862,"","Changed"))))</f>
        <v>Changed</v>
      </c>
      <c r="N1862" s="7" t="str">
        <f aca="false">TRIM(SUBSTITUTE(SUBSTITUTE(SUBSTITUTE(" "&amp;TRIM(SUBSTITUTE(SUBSTITUTE(SUBSTITUTE(SUBSTITUTE(SUBSTITUTE(SUBSTITUTE(SUBSTITUTE(SUBSTITUTE(SUBSTITUTE(SUBSTITUTE(SUBSTITUTE(SUBSTITUTE(SUBSTITUTE(SUBSTITUTE(SUBSTITUTE(UPPER(TRIM(A1862)),"[MEMBER]",""),"{MEMBER}",""),"[MEMBER}",""),"MEMBER]",""),"(A)",""),"""",""),"“",""),"”",""),".",""),":",""),",",""),"–"," "),"-"," "),"/"," "),"&amp;"," AND "))&amp;" "," THE "," ")," TOTAL "," ")," OPERATIONS "," "))</f>
        <v>UNITED STATES CANADA AND LATIN AMERICA (AMERICAS)</v>
      </c>
      <c r="O1862" s="17" t="str">
        <f aca="false">IF(COUNTIFS($N$2:$N$2000,N1862,$D$2:$D$2000,"&lt;&gt;"&amp;D1862)&gt;0,"CONFLICT","")</f>
        <v/>
      </c>
      <c r="P1862" s="7"/>
    </row>
    <row r="1863" customFormat="false" ht="15" hidden="false" customHeight="false" outlineLevel="0" collapsed="false">
      <c r="A1863" s="7" t="s">
        <v>2836</v>
      </c>
      <c r="B1863" s="7" t="s">
        <v>1882</v>
      </c>
      <c r="C1863" s="7" t="s">
        <v>81</v>
      </c>
      <c r="D1863" s="6" t="s">
        <v>81</v>
      </c>
      <c r="E1863" s="6" t="s">
        <v>1880</v>
      </c>
      <c r="F1863" s="7" t="str">
        <f aca="false">IF($D1863="","",IFERROR(IF(INDEX(Hierarchy!$B$2:$B$1295,MATCH($D1863,Hierarchy!$A$2:$A$1295,0))="","",INDEX(Hierarchy!$B$2:$B$1295,MATCH($D1863,Hierarchy!$A$2:$A$1295,0))),"NODE NOT FOUND"))</f>
        <v>Country</v>
      </c>
      <c r="G1863" s="7" t="str">
        <f aca="false">IF($D1863="","",IFERROR(IF(INDEX(Hierarchy!$D$2:$D$1295,MATCH($D1863,Hierarchy!$A$2:$A$1295,0))="","",INDEX(Hierarchy!$D$2:$D$1295,MATCH($D1863,Hierarchy!$A$2:$A$1295,0))),"NODE NOT FOUND"))</f>
        <v>AMER</v>
      </c>
      <c r="H1863" s="7" t="str">
        <f aca="false">IF($D1863="","",IFERROR(IF(INDEX(Hierarchy!$E$2:$E$1295,MATCH($D1863,Hierarchy!$A$2:$A$1295,0))="","",INDEX(Hierarchy!$E$2:$E$1295,MATCH($D1863,Hierarchy!$A$2:$A$1295,0))),"NODE NOT FOUND"))</f>
        <v>North America (NORAM)</v>
      </c>
      <c r="I1863" s="7" t="str">
        <f aca="false">IF($D1863="","",IFERROR(IF(INDEX(Hierarchy!$F$2:$F$1295,MATCH($D1863,Hierarchy!$A$2:$A$1295,0))="","",INDEX(Hierarchy!$F$2:$F$1295,MATCH($D1863,Hierarchy!$A$2:$A$1295,0))),"NODE NOT FOUND"))</f>
        <v>United States</v>
      </c>
      <c r="J1863" s="7" t="str">
        <f aca="false">IF($D1863="","",IFERROR(IF(INDEX(Hierarchy!$G$2:$G$1295,MATCH($D1863,Hierarchy!$A$2:$A$1295,0))="","",INDEX(Hierarchy!$G$2:$G$1295,MATCH($D1863,Hierarchy!$A$2:$A$1295,0))),"NODE NOT FOUND"))</f>
        <v>USA</v>
      </c>
      <c r="K1863" s="7" t="str">
        <f aca="false">IF($D1863="","",IFERROR(IF(INDEX(Hierarchy!$H$2:$H$1295,MATCH($D1863,Hierarchy!$A$2:$A$1295,0))="","",INDEX(Hierarchy!$H$2:$H$1295,MATCH($D1863,Hierarchy!$A$2:$A$1295,0))),"NODE NOT FOUND"))</f>
        <v/>
      </c>
      <c r="L1863" s="7" t="str">
        <f aca="false">IF($D1863="","",IFERROR(IF(INDEX(Hierarchy!$I$2:$I$1295,MATCH($D1863,Hierarchy!$A$2:$A$1295,0))="","",INDEX(Hierarchy!$I$2:$I$1295,MATCH($D1863,Hierarchy!$A$2:$A$1295,0))),"NODE NOT FOUND"))</f>
        <v/>
      </c>
      <c r="M1863" s="17" t="str">
        <f aca="false">IF(B1863="Pre-seeded","Pre-seeded",IF(B1863="Review 2026-09-16","Added from review",IF(C1863="","New",IF(C1863=D1863,"","Changed"))))</f>
        <v/>
      </c>
      <c r="N1863" s="7" t="str">
        <f aca="false">TRIM(SUBSTITUTE(SUBSTITUTE(SUBSTITUTE(" "&amp;TRIM(SUBSTITUTE(SUBSTITUTE(SUBSTITUTE(SUBSTITUTE(SUBSTITUTE(SUBSTITUTE(SUBSTITUTE(SUBSTITUTE(SUBSTITUTE(SUBSTITUTE(SUBSTITUTE(SUBSTITUTE(SUBSTITUTE(SUBSTITUTE(SUBSTITUTE(UPPER(TRIM(A1863)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63" s="17" t="str">
        <f aca="false">IF(COUNTIFS($N$2:$N$2000,N1863,$D$2:$D$2000,"&lt;&gt;"&amp;D1863)&gt;0,"CONFLICT","")</f>
        <v/>
      </c>
      <c r="P1863" s="7"/>
    </row>
    <row r="1864" customFormat="false" ht="15" hidden="false" customHeight="false" outlineLevel="0" collapsed="false">
      <c r="A1864" s="7" t="s">
        <v>2837</v>
      </c>
      <c r="B1864" s="7" t="s">
        <v>1882</v>
      </c>
      <c r="C1864" s="7" t="s">
        <v>81</v>
      </c>
      <c r="D1864" s="6" t="s">
        <v>81</v>
      </c>
      <c r="E1864" s="6" t="s">
        <v>1880</v>
      </c>
      <c r="F1864" s="7" t="str">
        <f aca="false">IF($D1864="","",IFERROR(IF(INDEX(Hierarchy!$B$2:$B$1295,MATCH($D1864,Hierarchy!$A$2:$A$1295,0))="","",INDEX(Hierarchy!$B$2:$B$1295,MATCH($D1864,Hierarchy!$A$2:$A$1295,0))),"NODE NOT FOUND"))</f>
        <v>Country</v>
      </c>
      <c r="G1864" s="7" t="str">
        <f aca="false">IF($D1864="","",IFERROR(IF(INDEX(Hierarchy!$D$2:$D$1295,MATCH($D1864,Hierarchy!$A$2:$A$1295,0))="","",INDEX(Hierarchy!$D$2:$D$1295,MATCH($D1864,Hierarchy!$A$2:$A$1295,0))),"NODE NOT FOUND"))</f>
        <v>AMER</v>
      </c>
      <c r="H1864" s="7" t="str">
        <f aca="false">IF($D1864="","",IFERROR(IF(INDEX(Hierarchy!$E$2:$E$1295,MATCH($D1864,Hierarchy!$A$2:$A$1295,0))="","",INDEX(Hierarchy!$E$2:$E$1295,MATCH($D1864,Hierarchy!$A$2:$A$1295,0))),"NODE NOT FOUND"))</f>
        <v>North America (NORAM)</v>
      </c>
      <c r="I1864" s="7" t="str">
        <f aca="false">IF($D1864="","",IFERROR(IF(INDEX(Hierarchy!$F$2:$F$1295,MATCH($D1864,Hierarchy!$A$2:$A$1295,0))="","",INDEX(Hierarchy!$F$2:$F$1295,MATCH($D1864,Hierarchy!$A$2:$A$1295,0))),"NODE NOT FOUND"))</f>
        <v>United States</v>
      </c>
      <c r="J1864" s="7" t="str">
        <f aca="false">IF($D1864="","",IFERROR(IF(INDEX(Hierarchy!$G$2:$G$1295,MATCH($D1864,Hierarchy!$A$2:$A$1295,0))="","",INDEX(Hierarchy!$G$2:$G$1295,MATCH($D1864,Hierarchy!$A$2:$A$1295,0))),"NODE NOT FOUND"))</f>
        <v>USA</v>
      </c>
      <c r="K1864" s="7" t="str">
        <f aca="false">IF($D1864="","",IFERROR(IF(INDEX(Hierarchy!$H$2:$H$1295,MATCH($D1864,Hierarchy!$A$2:$A$1295,0))="","",INDEX(Hierarchy!$H$2:$H$1295,MATCH($D1864,Hierarchy!$A$2:$A$1295,0))),"NODE NOT FOUND"))</f>
        <v/>
      </c>
      <c r="L1864" s="7" t="str">
        <f aca="false">IF($D1864="","",IFERROR(IF(INDEX(Hierarchy!$I$2:$I$1295,MATCH($D1864,Hierarchy!$A$2:$A$1295,0))="","",INDEX(Hierarchy!$I$2:$I$1295,MATCH($D1864,Hierarchy!$A$2:$A$1295,0))),"NODE NOT FOUND"))</f>
        <v/>
      </c>
      <c r="M1864" s="17" t="str">
        <f aca="false">IF(B1864="Pre-seeded","Pre-seeded",IF(B1864="Review 2026-09-16","Added from review",IF(C1864="","New",IF(C1864=D1864,"","Changed"))))</f>
        <v/>
      </c>
      <c r="N1864" s="7" t="str">
        <f aca="false">TRIM(SUBSTITUTE(SUBSTITUTE(SUBSTITUTE(" "&amp;TRIM(SUBSTITUTE(SUBSTITUTE(SUBSTITUTE(SUBSTITUTE(SUBSTITUTE(SUBSTITUTE(SUBSTITUTE(SUBSTITUTE(SUBSTITUTE(SUBSTITUTE(SUBSTITUTE(SUBSTITUTE(SUBSTITUTE(SUBSTITUTE(SUBSTITUTE(UPPER(TRIM(A1864)),"[MEMBER]",""),"{MEMBER}",""),"[MEMBER}",""),"MEMBER]",""),"(A)",""),"""",""),"“",""),"”",""),".",""),":",""),",",""),"–"," "),"-"," "),"/"," "),"&amp;"," AND "))&amp;" "," THE "," ")," TOTAL "," ")," OPERATIONS "," "))</f>
        <v>UNITED STATES</v>
      </c>
      <c r="O1864" s="17" t="str">
        <f aca="false">IF(COUNTIFS($N$2:$N$2000,N1864,$D$2:$D$2000,"&lt;&gt;"&amp;D1864)&gt;0,"CONFLICT","")</f>
        <v/>
      </c>
      <c r="P1864" s="7"/>
    </row>
    <row r="1865" customFormat="false" ht="15" hidden="false" customHeight="false" outlineLevel="0" collapsed="false">
      <c r="A1865" s="7" t="s">
        <v>755</v>
      </c>
      <c r="B1865" s="7" t="s">
        <v>1879</v>
      </c>
      <c r="C1865" s="7"/>
      <c r="D1865" s="6" t="s">
        <v>755</v>
      </c>
      <c r="E1865" s="6" t="s">
        <v>1880</v>
      </c>
      <c r="F1865" s="7" t="str">
        <f aca="false">IF($D1865="","",IFERROR(IF(INDEX(Hierarchy!$B$2:$B$1295,MATCH($D1865,Hierarchy!$A$2:$A$1295,0))="","",INDEX(Hierarchy!$B$2:$B$1295,MATCH($D1865,Hierarchy!$A$2:$A$1295,0))),"NODE NOT FOUND"))</f>
        <v>State/Province</v>
      </c>
      <c r="G1865" s="7" t="str">
        <f aca="false">IF($D1865="","",IFERROR(IF(INDEX(Hierarchy!$D$2:$D$1295,MATCH($D1865,Hierarchy!$A$2:$A$1295,0))="","",INDEX(Hierarchy!$D$2:$D$1295,MATCH($D1865,Hierarchy!$A$2:$A$1295,0))),"NODE NOT FOUND"))</f>
        <v>EMEA</v>
      </c>
      <c r="H1865" s="7" t="str">
        <f aca="false">IF($D1865="","",IFERROR(IF(INDEX(Hierarchy!$E$2:$E$1295,MATCH($D1865,Hierarchy!$A$2:$A$1295,0))="","",INDEX(Hierarchy!$E$2:$E$1295,MATCH($D1865,Hierarchy!$A$2:$A$1295,0))),"NODE NOT FOUND"))</f>
        <v>Europe</v>
      </c>
      <c r="I1865" s="7" t="str">
        <f aca="false">IF($D1865="","",IFERROR(IF(INDEX(Hierarchy!$F$2:$F$1295,MATCH($D1865,Hierarchy!$A$2:$A$1295,0))="","",INDEX(Hierarchy!$F$2:$F$1295,MATCH($D1865,Hierarchy!$A$2:$A$1295,0))),"NODE NOT FOUND"))</f>
        <v>Austria</v>
      </c>
      <c r="J1865" s="7" t="str">
        <f aca="false">IF($D1865="","",IFERROR(IF(INDEX(Hierarchy!$G$2:$G$1295,MATCH($D1865,Hierarchy!$A$2:$A$1295,0))="","",INDEX(Hierarchy!$G$2:$G$1295,MATCH($D1865,Hierarchy!$A$2:$A$1295,0))),"NODE NOT FOUND"))</f>
        <v>AUT</v>
      </c>
      <c r="K1865" s="7" t="str">
        <f aca="false">IF($D1865="","",IFERROR(IF(INDEX(Hierarchy!$H$2:$H$1295,MATCH($D1865,Hierarchy!$A$2:$A$1295,0))="","",INDEX(Hierarchy!$H$2:$H$1295,MATCH($D1865,Hierarchy!$A$2:$A$1295,0))),"NODE NOT FOUND"))</f>
        <v>Upper Austria</v>
      </c>
      <c r="L1865" s="7" t="str">
        <f aca="false">IF($D1865="","",IFERROR(IF(INDEX(Hierarchy!$I$2:$I$1295,MATCH($D1865,Hierarchy!$A$2:$A$1295,0))="","",INDEX(Hierarchy!$I$2:$I$1295,MATCH($D1865,Hierarchy!$A$2:$A$1295,0))),"NODE NOT FOUND"))</f>
        <v/>
      </c>
      <c r="M1865" s="17" t="str">
        <f aca="false">IF(B1865="Pre-seeded","Pre-seeded",IF(B1865="Review 2026-09-16","Added from review",IF(C1865="","New",IF(C1865=D1865,"","Changed"))))</f>
        <v>Pre-seeded</v>
      </c>
      <c r="N1865" s="7" t="str">
        <f aca="false">TRIM(SUBSTITUTE(SUBSTITUTE(SUBSTITUTE(" "&amp;TRIM(SUBSTITUTE(SUBSTITUTE(SUBSTITUTE(SUBSTITUTE(SUBSTITUTE(SUBSTITUTE(SUBSTITUTE(SUBSTITUTE(SUBSTITUTE(SUBSTITUTE(SUBSTITUTE(SUBSTITUTE(SUBSTITUTE(SUBSTITUTE(SUBSTITUTE(UPPER(TRIM(A1865)),"[MEMBER]",""),"{MEMBER}",""),"[MEMBER}",""),"MEMBER]",""),"(A)",""),"""",""),"“",""),"”",""),".",""),":",""),",",""),"–"," "),"-"," "),"/"," "),"&amp;"," AND "))&amp;" "," THE "," ")," TOTAL "," ")," OPERATIONS "," "))</f>
        <v>UPPER AUSTRIA</v>
      </c>
      <c r="O1865" s="17" t="str">
        <f aca="false">IF(COUNTIFS($N$2:$N$2000,N1865,$D$2:$D$2000,"&lt;&gt;"&amp;D1865)&gt;0,"CONFLICT","")</f>
        <v/>
      </c>
      <c r="P1865" s="7"/>
    </row>
    <row r="1866" customFormat="false" ht="15" hidden="false" customHeight="false" outlineLevel="0" collapsed="false">
      <c r="A1866" s="7" t="s">
        <v>2838</v>
      </c>
      <c r="B1866" s="7" t="s">
        <v>1879</v>
      </c>
      <c r="C1866" s="7"/>
      <c r="D1866" s="6" t="s">
        <v>1860</v>
      </c>
      <c r="E1866" s="6" t="s">
        <v>1880</v>
      </c>
      <c r="F1866" s="7" t="str">
        <f aca="false">IF($D1866="","",IFERROR(IF(INDEX(Hierarchy!$B$2:$B$1295,MATCH($D1866,Hierarchy!$A$2:$A$1295,0))="","",INDEX(Hierarchy!$B$2:$B$1295,MATCH($D1866,Hierarchy!$A$2:$A$1295,0))),"NODE NOT FOUND"))</f>
        <v>Reference grouping</v>
      </c>
      <c r="G1866" s="7" t="str">
        <f aca="false">IF($D1866="","",IFERROR(IF(INDEX(Hierarchy!$D$2:$D$1295,MATCH($D1866,Hierarchy!$A$2:$A$1295,0))="","",INDEX(Hierarchy!$D$2:$D$1295,MATCH($D1866,Hierarchy!$A$2:$A$1295,0))),"NODE NOT FOUND"))</f>
        <v>Reference (UN / World Bank)</v>
      </c>
      <c r="H1866" s="7" t="str">
        <f aca="false">IF($D1866="","",IFERROR(IF(INDEX(Hierarchy!$E$2:$E$1295,MATCH($D1866,Hierarchy!$A$2:$A$1295,0))="","",INDEX(Hierarchy!$E$2:$E$1295,MATCH($D1866,Hierarchy!$A$2:$A$1295,0))),"NODE NOT FOUND"))</f>
        <v/>
      </c>
      <c r="I1866" s="7" t="str">
        <f aca="false">IF($D1866="","",IFERROR(IF(INDEX(Hierarchy!$F$2:$F$1295,MATCH($D1866,Hierarchy!$A$2:$A$1295,0))="","",INDEX(Hierarchy!$F$2:$F$1295,MATCH($D1866,Hierarchy!$A$2:$A$1295,0))),"NODE NOT FOUND"))</f>
        <v/>
      </c>
      <c r="J1866" s="7" t="str">
        <f aca="false">IF($D1866="","",IFERROR(IF(INDEX(Hierarchy!$G$2:$G$1295,MATCH($D1866,Hierarchy!$A$2:$A$1295,0))="","",INDEX(Hierarchy!$G$2:$G$1295,MATCH($D1866,Hierarchy!$A$2:$A$1295,0))),"NODE NOT FOUND"))</f>
        <v/>
      </c>
      <c r="K1866" s="7" t="str">
        <f aca="false">IF($D1866="","",IFERROR(IF(INDEX(Hierarchy!$H$2:$H$1295,MATCH($D1866,Hierarchy!$A$2:$A$1295,0))="","",INDEX(Hierarchy!$H$2:$H$1295,MATCH($D1866,Hierarchy!$A$2:$A$1295,0))),"NODE NOT FOUND"))</f>
        <v/>
      </c>
      <c r="L1866" s="7" t="str">
        <f aca="false">IF($D1866="","",IFERROR(IF(INDEX(Hierarchy!$I$2:$I$1295,MATCH($D1866,Hierarchy!$A$2:$A$1295,0))="","",INDEX(Hierarchy!$I$2:$I$1295,MATCH($D1866,Hierarchy!$A$2:$A$1295,0))),"NODE NOT FOUND"))</f>
        <v/>
      </c>
      <c r="M1866" s="17" t="str">
        <f aca="false">IF(B1866="Pre-seeded","Pre-seeded",IF(B1866="Review 2026-09-16","Added from review",IF(C1866="","New",IF(C1866=D1866,"","Changed"))))</f>
        <v>Pre-seeded</v>
      </c>
      <c r="N1866" s="7" t="str">
        <f aca="false">TRIM(SUBSTITUTE(SUBSTITUTE(SUBSTITUTE(" "&amp;TRIM(SUBSTITUTE(SUBSTITUTE(SUBSTITUTE(SUBSTITUTE(SUBSTITUTE(SUBSTITUTE(SUBSTITUTE(SUBSTITUTE(SUBSTITUTE(SUBSTITUTE(SUBSTITUTE(SUBSTITUTE(SUBSTITUTE(SUBSTITUTE(SUBSTITUTE(UPPER(TRIM(A1866)),"[MEMBER]",""),"{MEMBER}",""),"[MEMBER}",""),"MEMBER]",""),"(A)",""),"""",""),"“",""),"”",""),".",""),":",""),",",""),"–"," "),"-"," "),"/"," "),"&amp;"," AND "))&amp;" "," THE "," ")," TOTAL "," ")," OPERATIONS "," "))</f>
        <v>UPPER MIDDLE INCOME</v>
      </c>
      <c r="O1866" s="17" t="str">
        <f aca="false">IF(COUNTIFS($N$2:$N$2000,N1866,$D$2:$D$2000,"&lt;&gt;"&amp;D1866)&gt;0,"CONFLICT","")</f>
        <v/>
      </c>
      <c r="P1866" s="7"/>
    </row>
    <row r="1867" customFormat="false" ht="15" hidden="false" customHeight="false" outlineLevel="0" collapsed="false">
      <c r="A1867" s="7" t="s">
        <v>1860</v>
      </c>
      <c r="B1867" s="7" t="s">
        <v>1879</v>
      </c>
      <c r="C1867" s="7"/>
      <c r="D1867" s="6" t="s">
        <v>1860</v>
      </c>
      <c r="E1867" s="6" t="s">
        <v>1880</v>
      </c>
      <c r="F1867" s="7" t="str">
        <f aca="false">IF($D1867="","",IFERROR(IF(INDEX(Hierarchy!$B$2:$B$1295,MATCH($D1867,Hierarchy!$A$2:$A$1295,0))="","",INDEX(Hierarchy!$B$2:$B$1295,MATCH($D1867,Hierarchy!$A$2:$A$1295,0))),"NODE NOT FOUND"))</f>
        <v>Reference grouping</v>
      </c>
      <c r="G1867" s="7" t="str">
        <f aca="false">IF($D1867="","",IFERROR(IF(INDEX(Hierarchy!$D$2:$D$1295,MATCH($D1867,Hierarchy!$A$2:$A$1295,0))="","",INDEX(Hierarchy!$D$2:$D$1295,MATCH($D1867,Hierarchy!$A$2:$A$1295,0))),"NODE NOT FOUND"))</f>
        <v>Reference (UN / World Bank)</v>
      </c>
      <c r="H1867" s="7" t="str">
        <f aca="false">IF($D1867="","",IFERROR(IF(INDEX(Hierarchy!$E$2:$E$1295,MATCH($D1867,Hierarchy!$A$2:$A$1295,0))="","",INDEX(Hierarchy!$E$2:$E$1295,MATCH($D1867,Hierarchy!$A$2:$A$1295,0))),"NODE NOT FOUND"))</f>
        <v/>
      </c>
      <c r="I1867" s="7" t="str">
        <f aca="false">IF($D1867="","",IFERROR(IF(INDEX(Hierarchy!$F$2:$F$1295,MATCH($D1867,Hierarchy!$A$2:$A$1295,0))="","",INDEX(Hierarchy!$F$2:$F$1295,MATCH($D1867,Hierarchy!$A$2:$A$1295,0))),"NODE NOT FOUND"))</f>
        <v/>
      </c>
      <c r="J1867" s="7" t="str">
        <f aca="false">IF($D1867="","",IFERROR(IF(INDEX(Hierarchy!$G$2:$G$1295,MATCH($D1867,Hierarchy!$A$2:$A$1295,0))="","",INDEX(Hierarchy!$G$2:$G$1295,MATCH($D1867,Hierarchy!$A$2:$A$1295,0))),"NODE NOT FOUND"))</f>
        <v/>
      </c>
      <c r="K1867" s="7" t="str">
        <f aca="false">IF($D1867="","",IFERROR(IF(INDEX(Hierarchy!$H$2:$H$1295,MATCH($D1867,Hierarchy!$A$2:$A$1295,0))="","",INDEX(Hierarchy!$H$2:$H$1295,MATCH($D1867,Hierarchy!$A$2:$A$1295,0))),"NODE NOT FOUND"))</f>
        <v/>
      </c>
      <c r="L1867" s="7" t="str">
        <f aca="false">IF($D1867="","",IFERROR(IF(INDEX(Hierarchy!$I$2:$I$1295,MATCH($D1867,Hierarchy!$A$2:$A$1295,0))="","",INDEX(Hierarchy!$I$2:$I$1295,MATCH($D1867,Hierarchy!$A$2:$A$1295,0))),"NODE NOT FOUND"))</f>
        <v/>
      </c>
      <c r="M1867" s="17" t="str">
        <f aca="false">IF(B1867="Pre-seeded","Pre-seeded",IF(B1867="Review 2026-09-16","Added from review",IF(C1867="","New",IF(C1867=D1867,"","Changed"))))</f>
        <v>Pre-seeded</v>
      </c>
      <c r="N1867" s="7" t="str">
        <f aca="false">TRIM(SUBSTITUTE(SUBSTITUTE(SUBSTITUTE(" "&amp;TRIM(SUBSTITUTE(SUBSTITUTE(SUBSTITUTE(SUBSTITUTE(SUBSTITUTE(SUBSTITUTE(SUBSTITUTE(SUBSTITUTE(SUBSTITUTE(SUBSTITUTE(SUBSTITUTE(SUBSTITUTE(SUBSTITUTE(SUBSTITUTE(SUBSTITUTE(UPPER(TRIM(A1867)),"[MEMBER]",""),"{MEMBER}",""),"[MEMBER}",""),"MEMBER]",""),"(A)",""),"""",""),"“",""),"”",""),".",""),":",""),",",""),"–"," "),"-"," "),"/"," "),"&amp;"," AND "))&amp;" "," THE "," ")," TOTAL "," ")," OPERATIONS "," "))</f>
        <v>UPPER MIDDLE INCOME ECONOMIES (WORLD BANK)</v>
      </c>
      <c r="O1867" s="17" t="str">
        <f aca="false">IF(COUNTIFS($N$2:$N$2000,N1867,$D$2:$D$2000,"&lt;&gt;"&amp;D1867)&gt;0,"CONFLICT","")</f>
        <v/>
      </c>
      <c r="P1867" s="7"/>
    </row>
    <row r="1868" customFormat="false" ht="15" hidden="false" customHeight="false" outlineLevel="0" collapsed="false">
      <c r="A1868" s="7" t="s">
        <v>1003</v>
      </c>
      <c r="B1868" s="7" t="s">
        <v>1879</v>
      </c>
      <c r="C1868" s="7"/>
      <c r="D1868" s="6" t="s">
        <v>1003</v>
      </c>
      <c r="E1868" s="6" t="s">
        <v>1880</v>
      </c>
      <c r="F1868" s="7" t="str">
        <f aca="false">IF($D1868="","",IFERROR(IF(INDEX(Hierarchy!$B$2:$B$1295,MATCH($D1868,Hierarchy!$A$2:$A$1295,0))="","",INDEX(Hierarchy!$B$2:$B$1295,MATCH($D1868,Hierarchy!$A$2:$A$1295,0))),"NODE NOT FOUND"))</f>
        <v>State/Province</v>
      </c>
      <c r="G1868" s="7" t="str">
        <f aca="false">IF($D1868="","",IFERROR(IF(INDEX(Hierarchy!$D$2:$D$1295,MATCH($D1868,Hierarchy!$A$2:$A$1295,0))="","",INDEX(Hierarchy!$D$2:$D$1295,MATCH($D1868,Hierarchy!$A$2:$A$1295,0))),"NODE NOT FOUND"))</f>
        <v>EMEA</v>
      </c>
      <c r="H1868" s="7" t="str">
        <f aca="false">IF($D1868="","",IFERROR(IF(INDEX(Hierarchy!$E$2:$E$1295,MATCH($D1868,Hierarchy!$A$2:$A$1295,0))="","",INDEX(Hierarchy!$E$2:$E$1295,MATCH($D1868,Hierarchy!$A$2:$A$1295,0))),"NODE NOT FOUND"))</f>
        <v>Europe</v>
      </c>
      <c r="I1868" s="7" t="str">
        <f aca="false">IF($D1868="","",IFERROR(IF(INDEX(Hierarchy!$F$2:$F$1295,MATCH($D1868,Hierarchy!$A$2:$A$1295,0))="","",INDEX(Hierarchy!$F$2:$F$1295,MATCH($D1868,Hierarchy!$A$2:$A$1295,0))),"NODE NOT FOUND"))</f>
        <v>Switzerland</v>
      </c>
      <c r="J1868" s="7" t="str">
        <f aca="false">IF($D1868="","",IFERROR(IF(INDEX(Hierarchy!$G$2:$G$1295,MATCH($D1868,Hierarchy!$A$2:$A$1295,0))="","",INDEX(Hierarchy!$G$2:$G$1295,MATCH($D1868,Hierarchy!$A$2:$A$1295,0))),"NODE NOT FOUND"))</f>
        <v>CHE</v>
      </c>
      <c r="K1868" s="7" t="str">
        <f aca="false">IF($D1868="","",IFERROR(IF(INDEX(Hierarchy!$H$2:$H$1295,MATCH($D1868,Hierarchy!$A$2:$A$1295,0))="","",INDEX(Hierarchy!$H$2:$H$1295,MATCH($D1868,Hierarchy!$A$2:$A$1295,0))),"NODE NOT FOUND"))</f>
        <v>Uri</v>
      </c>
      <c r="L1868" s="7" t="str">
        <f aca="false">IF($D1868="","",IFERROR(IF(INDEX(Hierarchy!$I$2:$I$1295,MATCH($D1868,Hierarchy!$A$2:$A$1295,0))="","",INDEX(Hierarchy!$I$2:$I$1295,MATCH($D1868,Hierarchy!$A$2:$A$1295,0))),"NODE NOT FOUND"))</f>
        <v/>
      </c>
      <c r="M1868" s="17" t="str">
        <f aca="false">IF(B1868="Pre-seeded","Pre-seeded",IF(B1868="Review 2026-09-16","Added from review",IF(C1868="","New",IF(C1868=D1868,"","Changed"))))</f>
        <v>Pre-seeded</v>
      </c>
      <c r="N1868" s="7" t="str">
        <f aca="false">TRIM(SUBSTITUTE(SUBSTITUTE(SUBSTITUTE(" "&amp;TRIM(SUBSTITUTE(SUBSTITUTE(SUBSTITUTE(SUBSTITUTE(SUBSTITUTE(SUBSTITUTE(SUBSTITUTE(SUBSTITUTE(SUBSTITUTE(SUBSTITUTE(SUBSTITUTE(SUBSTITUTE(SUBSTITUTE(SUBSTITUTE(SUBSTITUTE(UPPER(TRIM(A1868)),"[MEMBER]",""),"{MEMBER}",""),"[MEMBER}",""),"MEMBER]",""),"(A)",""),"""",""),"“",""),"”",""),".",""),":",""),",",""),"–"," "),"-"," "),"/"," "),"&amp;"," AND "))&amp;" "," THE "," ")," TOTAL "," ")," OPERATIONS "," "))</f>
        <v>URI</v>
      </c>
      <c r="O1868" s="17" t="str">
        <f aca="false">IF(COUNTIFS($N$2:$N$2000,N1868,$D$2:$D$2000,"&lt;&gt;"&amp;D1868)&gt;0,"CONFLICT","")</f>
        <v/>
      </c>
      <c r="P1868" s="7"/>
    </row>
    <row r="1869" customFormat="false" ht="15" hidden="false" customHeight="false" outlineLevel="0" collapsed="false">
      <c r="A1869" s="7" t="s">
        <v>609</v>
      </c>
      <c r="B1869" s="7" t="s">
        <v>1882</v>
      </c>
      <c r="C1869" s="7" t="s">
        <v>609</v>
      </c>
      <c r="D1869" s="6" t="s">
        <v>609</v>
      </c>
      <c r="E1869" s="6" t="s">
        <v>1880</v>
      </c>
      <c r="F1869" s="7" t="str">
        <f aca="false">IF($D1869="","",IFERROR(IF(INDEX(Hierarchy!$B$2:$B$1295,MATCH($D1869,Hierarchy!$A$2:$A$1295,0))="","",INDEX(Hierarchy!$B$2:$B$1295,MATCH($D1869,Hierarchy!$A$2:$A$1295,0))),"NODE NOT FOUND"))</f>
        <v>Country</v>
      </c>
      <c r="G1869" s="7" t="str">
        <f aca="false">IF($D1869="","",IFERROR(IF(INDEX(Hierarchy!$D$2:$D$1295,MATCH($D1869,Hierarchy!$A$2:$A$1295,0))="","",INDEX(Hierarchy!$D$2:$D$1295,MATCH($D1869,Hierarchy!$A$2:$A$1295,0))),"NODE NOT FOUND"))</f>
        <v>AMER</v>
      </c>
      <c r="H1869" s="7" t="str">
        <f aca="false">IF($D1869="","",IFERROR(IF(INDEX(Hierarchy!$E$2:$E$1295,MATCH($D1869,Hierarchy!$A$2:$A$1295,0))="","",INDEX(Hierarchy!$E$2:$E$1295,MATCH($D1869,Hierarchy!$A$2:$A$1295,0))),"NODE NOT FOUND"))</f>
        <v>Latin America (LATAM)</v>
      </c>
      <c r="I1869" s="7" t="str">
        <f aca="false">IF($D1869="","",IFERROR(IF(INDEX(Hierarchy!$F$2:$F$1295,MATCH($D1869,Hierarchy!$A$2:$A$1295,0))="","",INDEX(Hierarchy!$F$2:$F$1295,MATCH($D1869,Hierarchy!$A$2:$A$1295,0))),"NODE NOT FOUND"))</f>
        <v>Uruguay</v>
      </c>
      <c r="J1869" s="7" t="str">
        <f aca="false">IF($D1869="","",IFERROR(IF(INDEX(Hierarchy!$G$2:$G$1295,MATCH($D1869,Hierarchy!$A$2:$A$1295,0))="","",INDEX(Hierarchy!$G$2:$G$1295,MATCH($D1869,Hierarchy!$A$2:$A$1295,0))),"NODE NOT FOUND"))</f>
        <v>URY</v>
      </c>
      <c r="K1869" s="7" t="str">
        <f aca="false">IF($D1869="","",IFERROR(IF(INDEX(Hierarchy!$H$2:$H$1295,MATCH($D1869,Hierarchy!$A$2:$A$1295,0))="","",INDEX(Hierarchy!$H$2:$H$1295,MATCH($D1869,Hierarchy!$A$2:$A$1295,0))),"NODE NOT FOUND"))</f>
        <v/>
      </c>
      <c r="L1869" s="7" t="str">
        <f aca="false">IF($D1869="","",IFERROR(IF(INDEX(Hierarchy!$I$2:$I$1295,MATCH($D1869,Hierarchy!$A$2:$A$1295,0))="","",INDEX(Hierarchy!$I$2:$I$1295,MATCH($D1869,Hierarchy!$A$2:$A$1295,0))),"NODE NOT FOUND"))</f>
        <v/>
      </c>
      <c r="M1869" s="17" t="str">
        <f aca="false">IF(B1869="Pre-seeded","Pre-seeded",IF(B1869="Review 2026-09-16","Added from review",IF(C1869="","New",IF(C1869=D1869,"","Changed"))))</f>
        <v/>
      </c>
      <c r="N1869" s="7" t="str">
        <f aca="false">TRIM(SUBSTITUTE(SUBSTITUTE(SUBSTITUTE(" "&amp;TRIM(SUBSTITUTE(SUBSTITUTE(SUBSTITUTE(SUBSTITUTE(SUBSTITUTE(SUBSTITUTE(SUBSTITUTE(SUBSTITUTE(SUBSTITUTE(SUBSTITUTE(SUBSTITUTE(SUBSTITUTE(SUBSTITUTE(SUBSTITUTE(SUBSTITUTE(UPPER(TRIM(A1869)),"[MEMBER]",""),"{MEMBER}",""),"[MEMBER}",""),"MEMBER]",""),"(A)",""),"""",""),"“",""),"”",""),".",""),":",""),",",""),"–"," "),"-"," "),"/"," "),"&amp;"," AND "))&amp;" "," THE "," ")," TOTAL "," ")," OPERATIONS "," "))</f>
        <v>URUGUAY</v>
      </c>
      <c r="O1869" s="17" t="str">
        <f aca="false">IF(COUNTIFS($N$2:$N$2000,N1869,$D$2:$D$2000,"&lt;&gt;"&amp;D1869)&gt;0,"CONFLICT","")</f>
        <v/>
      </c>
      <c r="P1869" s="7"/>
    </row>
    <row r="1870" customFormat="false" ht="15" hidden="false" customHeight="false" outlineLevel="0" collapsed="false">
      <c r="A1870" s="7" t="s">
        <v>2839</v>
      </c>
      <c r="B1870" s="7" t="s">
        <v>1882</v>
      </c>
      <c r="C1870" s="7" t="s">
        <v>81</v>
      </c>
      <c r="D1870" s="6" t="s">
        <v>81</v>
      </c>
      <c r="E1870" s="6" t="s">
        <v>1880</v>
      </c>
      <c r="F1870" s="7" t="str">
        <f aca="false">IF($D1870="","",IFERROR(IF(INDEX(Hierarchy!$B$2:$B$1295,MATCH($D1870,Hierarchy!$A$2:$A$1295,0))="","",INDEX(Hierarchy!$B$2:$B$1295,MATCH($D1870,Hierarchy!$A$2:$A$1295,0))),"NODE NOT FOUND"))</f>
        <v>Country</v>
      </c>
      <c r="G1870" s="7" t="str">
        <f aca="false">IF($D1870="","",IFERROR(IF(INDEX(Hierarchy!$D$2:$D$1295,MATCH($D1870,Hierarchy!$A$2:$A$1295,0))="","",INDEX(Hierarchy!$D$2:$D$1295,MATCH($D1870,Hierarchy!$A$2:$A$1295,0))),"NODE NOT FOUND"))</f>
        <v>AMER</v>
      </c>
      <c r="H1870" s="7" t="str">
        <f aca="false">IF($D1870="","",IFERROR(IF(INDEX(Hierarchy!$E$2:$E$1295,MATCH($D1870,Hierarchy!$A$2:$A$1295,0))="","",INDEX(Hierarchy!$E$2:$E$1295,MATCH($D1870,Hierarchy!$A$2:$A$1295,0))),"NODE NOT FOUND"))</f>
        <v>North America (NORAM)</v>
      </c>
      <c r="I1870" s="7" t="str">
        <f aca="false">IF($D1870="","",IFERROR(IF(INDEX(Hierarchy!$F$2:$F$1295,MATCH($D1870,Hierarchy!$A$2:$A$1295,0))="","",INDEX(Hierarchy!$F$2:$F$1295,MATCH($D1870,Hierarchy!$A$2:$A$1295,0))),"NODE NOT FOUND"))</f>
        <v>United States</v>
      </c>
      <c r="J1870" s="7" t="str">
        <f aca="false">IF($D1870="","",IFERROR(IF(INDEX(Hierarchy!$G$2:$G$1295,MATCH($D1870,Hierarchy!$A$2:$A$1295,0))="","",INDEX(Hierarchy!$G$2:$G$1295,MATCH($D1870,Hierarchy!$A$2:$A$1295,0))),"NODE NOT FOUND"))</f>
        <v>USA</v>
      </c>
      <c r="K1870" s="7" t="str">
        <f aca="false">IF($D1870="","",IFERROR(IF(INDEX(Hierarchy!$H$2:$H$1295,MATCH($D1870,Hierarchy!$A$2:$A$1295,0))="","",INDEX(Hierarchy!$H$2:$H$1295,MATCH($D1870,Hierarchy!$A$2:$A$1295,0))),"NODE NOT FOUND"))</f>
        <v/>
      </c>
      <c r="L1870" s="7" t="str">
        <f aca="false">IF($D1870="","",IFERROR(IF(INDEX(Hierarchy!$I$2:$I$1295,MATCH($D1870,Hierarchy!$A$2:$A$1295,0))="","",INDEX(Hierarchy!$I$2:$I$1295,MATCH($D1870,Hierarchy!$A$2:$A$1295,0))),"NODE NOT FOUND"))</f>
        <v/>
      </c>
      <c r="M1870" s="17" t="str">
        <f aca="false">IF(B1870="Pre-seeded","Pre-seeded",IF(B1870="Review 2026-09-16","Added from review",IF(C1870="","New",IF(C1870=D1870,"","Changed"))))</f>
        <v/>
      </c>
      <c r="N1870" s="7" t="str">
        <f aca="false">TRIM(SUBSTITUTE(SUBSTITUTE(SUBSTITUTE(" "&amp;TRIM(SUBSTITUTE(SUBSTITUTE(SUBSTITUTE(SUBSTITUTE(SUBSTITUTE(SUBSTITUTE(SUBSTITUTE(SUBSTITUTE(SUBSTITUTE(SUBSTITUTE(SUBSTITUTE(SUBSTITUTE(SUBSTITUTE(SUBSTITUTE(SUBSTITUTE(UPPER(TRIM(A1870)),"[MEMBER]",""),"{MEMBER}",""),"[MEMBER}",""),"MEMBER]",""),"(A)",""),"""",""),"“",""),"”",""),".",""),":",""),",",""),"–"," "),"-"," "),"/"," "),"&amp;"," AND "))&amp;" "," THE "," ")," TOTAL "," ")," OPERATIONS "," "))</f>
        <v>US</v>
      </c>
      <c r="O1870" s="17" t="str">
        <f aca="false">IF(COUNTIFS($N$2:$N$2000,N1870,$D$2:$D$2000,"&lt;&gt;"&amp;D1870)&gt;0,"CONFLICT","")</f>
        <v/>
      </c>
      <c r="P1870" s="7"/>
    </row>
    <row r="1871" customFormat="false" ht="15" hidden="false" customHeight="false" outlineLevel="0" collapsed="false">
      <c r="A1871" s="7" t="s">
        <v>2840</v>
      </c>
      <c r="B1871" s="7" t="s">
        <v>1954</v>
      </c>
      <c r="C1871" s="7"/>
      <c r="D1871" s="6" t="s">
        <v>80</v>
      </c>
      <c r="E1871" s="6" t="s">
        <v>1880</v>
      </c>
      <c r="F1871" s="7" t="str">
        <f aca="false">IF($D1871="","",IFERROR(IF(INDEX(Hierarchy!$B$2:$B$1295,MATCH($D1871,Hierarchy!$A$2:$A$1295,0))="","",INDEX(Hierarchy!$B$2:$B$1295,MATCH($D1871,Hierarchy!$A$2:$A$1295,0))),"NODE NOT FOUND"))</f>
        <v>Sub-region</v>
      </c>
      <c r="G1871" s="7" t="str">
        <f aca="false">IF($D1871="","",IFERROR(IF(INDEX(Hierarchy!$D$2:$D$1295,MATCH($D1871,Hierarchy!$A$2:$A$1295,0))="","",INDEX(Hierarchy!$D$2:$D$1295,MATCH($D1871,Hierarchy!$A$2:$A$1295,0))),"NODE NOT FOUND"))</f>
        <v>AMER</v>
      </c>
      <c r="H1871" s="7" t="str">
        <f aca="false">IF($D1871="","",IFERROR(IF(INDEX(Hierarchy!$E$2:$E$1295,MATCH($D1871,Hierarchy!$A$2:$A$1295,0))="","",INDEX(Hierarchy!$E$2:$E$1295,MATCH($D1871,Hierarchy!$A$2:$A$1295,0))),"NODE NOT FOUND"))</f>
        <v>North America (NORAM)</v>
      </c>
      <c r="I1871" s="7" t="str">
        <f aca="false">IF($D1871="","",IFERROR(IF(INDEX(Hierarchy!$F$2:$F$1295,MATCH($D1871,Hierarchy!$A$2:$A$1295,0))="","",INDEX(Hierarchy!$F$2:$F$1295,MATCH($D1871,Hierarchy!$A$2:$A$1295,0))),"NODE NOT FOUND"))</f>
        <v/>
      </c>
      <c r="J1871" s="7" t="str">
        <f aca="false">IF($D1871="","",IFERROR(IF(INDEX(Hierarchy!$G$2:$G$1295,MATCH($D1871,Hierarchy!$A$2:$A$1295,0))="","",INDEX(Hierarchy!$G$2:$G$1295,MATCH($D1871,Hierarchy!$A$2:$A$1295,0))),"NODE NOT FOUND"))</f>
        <v/>
      </c>
      <c r="K1871" s="7" t="str">
        <f aca="false">IF($D1871="","",IFERROR(IF(INDEX(Hierarchy!$H$2:$H$1295,MATCH($D1871,Hierarchy!$A$2:$A$1295,0))="","",INDEX(Hierarchy!$H$2:$H$1295,MATCH($D1871,Hierarchy!$A$2:$A$1295,0))),"NODE NOT FOUND"))</f>
        <v/>
      </c>
      <c r="L1871" s="7" t="str">
        <f aca="false">IF($D1871="","",IFERROR(IF(INDEX(Hierarchy!$I$2:$I$1295,MATCH($D1871,Hierarchy!$A$2:$A$1295,0))="","",INDEX(Hierarchy!$I$2:$I$1295,MATCH($D1871,Hierarchy!$A$2:$A$1295,0))),"NODE NOT FOUND"))</f>
        <v/>
      </c>
      <c r="M1871" s="17" t="str">
        <f aca="false">IF(B1871="Pre-seeded","Pre-seeded",IF(B1871="Review 2026-09-16","Added from review",IF(C1871="","New",IF(C1871=D1871,"","Changed"))))</f>
        <v>Added from review</v>
      </c>
      <c r="N1871" s="7" t="str">
        <f aca="false">TRIM(SUBSTITUTE(SUBSTITUTE(SUBSTITUTE(" "&amp;TRIM(SUBSTITUTE(SUBSTITUTE(SUBSTITUTE(SUBSTITUTE(SUBSTITUTE(SUBSTITUTE(SUBSTITUTE(SUBSTITUTE(SUBSTITUTE(SUBSTITUTE(SUBSTITUTE(SUBSTITUTE(SUBSTITUTE(SUBSTITUTE(SUBSTITUTE(UPPER(TRIM(A1871)),"[MEMBER]",""),"{MEMBER}",""),"[MEMBER}",""),"MEMBER]",""),"(A)",""),"""",""),"“",""),"”",""),".",""),":",""),",",""),"–"," "),"-"," "),"/"," "),"&amp;"," AND "))&amp;" "," THE "," ")," TOTAL "," ")," OPERATIONS "," "))</f>
        <v>US AND CANADA</v>
      </c>
      <c r="O1871" s="17" t="str">
        <f aca="false">IF(COUNTIFS($N$2:$N$2000,N1871,$D$2:$D$2000,"&lt;&gt;"&amp;D1871)&gt;0,"CONFLICT","")</f>
        <v/>
      </c>
      <c r="P1871" s="7" t="s">
        <v>1955</v>
      </c>
    </row>
    <row r="1872" customFormat="false" ht="15" hidden="false" customHeight="false" outlineLevel="0" collapsed="false">
      <c r="A1872" s="7" t="s">
        <v>88</v>
      </c>
      <c r="B1872" s="7" t="s">
        <v>1879</v>
      </c>
      <c r="C1872" s="7"/>
      <c r="D1872" s="6" t="s">
        <v>88</v>
      </c>
      <c r="E1872" s="6" t="s">
        <v>1880</v>
      </c>
      <c r="F1872" s="7" t="str">
        <f aca="false">IF($D1872="","",IFERROR(IF(INDEX(Hierarchy!$B$2:$B$1295,MATCH($D1872,Hierarchy!$A$2:$A$1295,0))="","",INDEX(Hierarchy!$B$2:$B$1295,MATCH($D1872,Hierarchy!$A$2:$A$1295,0))),"NODE NOT FOUND"))</f>
        <v>Sub-national region</v>
      </c>
      <c r="G1872" s="7" t="str">
        <f aca="false">IF($D1872="","",IFERROR(IF(INDEX(Hierarchy!$D$2:$D$1295,MATCH($D1872,Hierarchy!$A$2:$A$1295,0))="","",INDEX(Hierarchy!$D$2:$D$1295,MATCH($D1872,Hierarchy!$A$2:$A$1295,0))),"NODE NOT FOUND"))</f>
        <v>AMER</v>
      </c>
      <c r="H1872" s="7" t="str">
        <f aca="false">IF($D1872="","",IFERROR(IF(INDEX(Hierarchy!$E$2:$E$1295,MATCH($D1872,Hierarchy!$A$2:$A$1295,0))="","",INDEX(Hierarchy!$E$2:$E$1295,MATCH($D1872,Hierarchy!$A$2:$A$1295,0))),"NODE NOT FOUND"))</f>
        <v>North America (NORAM)</v>
      </c>
      <c r="I1872" s="7" t="str">
        <f aca="false">IF($D1872="","",IFERROR(IF(INDEX(Hierarchy!$F$2:$F$1295,MATCH($D1872,Hierarchy!$A$2:$A$1295,0))="","",INDEX(Hierarchy!$F$2:$F$1295,MATCH($D1872,Hierarchy!$A$2:$A$1295,0))),"NODE NOT FOUND"))</f>
        <v>United States</v>
      </c>
      <c r="J1872" s="7" t="str">
        <f aca="false">IF($D1872="","",IFERROR(IF(INDEX(Hierarchy!$G$2:$G$1295,MATCH($D1872,Hierarchy!$A$2:$A$1295,0))="","",INDEX(Hierarchy!$G$2:$G$1295,MATCH($D1872,Hierarchy!$A$2:$A$1295,0))),"NODE NOT FOUND"))</f>
        <v>USA</v>
      </c>
      <c r="K1872" s="7" t="str">
        <f aca="false">IF($D1872="","",IFERROR(IF(INDEX(Hierarchy!$H$2:$H$1295,MATCH($D1872,Hierarchy!$A$2:$A$1295,0))="","",INDEX(Hierarchy!$H$2:$H$1295,MATCH($D1872,Hierarchy!$A$2:$A$1295,0))),"NODE NOT FOUND"))</f>
        <v/>
      </c>
      <c r="L1872" s="7" t="str">
        <f aca="false">IF($D1872="","",IFERROR(IF(INDEX(Hierarchy!$I$2:$I$1295,MATCH($D1872,Hierarchy!$A$2:$A$1295,0))="","",INDEX(Hierarchy!$I$2:$I$1295,MATCH($D1872,Hierarchy!$A$2:$A$1295,0))),"NODE NOT FOUND"))</f>
        <v/>
      </c>
      <c r="M1872" s="17" t="str">
        <f aca="false">IF(B1872="Pre-seeded","Pre-seeded",IF(B1872="Review 2026-09-16","Added from review",IF(C1872="","New",IF(C1872=D1872,"","Changed"))))</f>
        <v>Pre-seeded</v>
      </c>
      <c r="N1872" s="7" t="str">
        <f aca="false">TRIM(SUBSTITUTE(SUBSTITUTE(SUBSTITUTE(" "&amp;TRIM(SUBSTITUTE(SUBSTITUTE(SUBSTITUTE(SUBSTITUTE(SUBSTITUTE(SUBSTITUTE(SUBSTITUTE(SUBSTITUTE(SUBSTITUTE(SUBSTITUTE(SUBSTITUTE(SUBSTITUTE(SUBSTITUTE(SUBSTITUTE(SUBSTITUTE(UPPER(TRIM(A1872)),"[MEMBER]",""),"{MEMBER}",""),"[MEMBER}",""),"MEMBER]",""),"(A)",""),"""",""),"“",""),"”",""),".",""),":",""),",",""),"–"," "),"-"," "),"/"," "),"&amp;"," AND "))&amp;" "," THE "," ")," TOTAL "," ")," OPERATIONS "," "))</f>
        <v>US CAROLINAS</v>
      </c>
      <c r="O1872" s="17" t="str">
        <f aca="false">IF(COUNTIFS($N$2:$N$2000,N1872,$D$2:$D$2000,"&lt;&gt;"&amp;D1872)&gt;0,"CONFLICT","")</f>
        <v/>
      </c>
      <c r="P1872" s="7"/>
    </row>
    <row r="1873" customFormat="false" ht="15" hidden="false" customHeight="false" outlineLevel="0" collapsed="false">
      <c r="A1873" s="7" t="s">
        <v>91</v>
      </c>
      <c r="B1873" s="7" t="s">
        <v>1879</v>
      </c>
      <c r="C1873" s="7"/>
      <c r="D1873" s="6" t="s">
        <v>91</v>
      </c>
      <c r="E1873" s="6" t="s">
        <v>1880</v>
      </c>
      <c r="F1873" s="7" t="str">
        <f aca="false">IF($D1873="","",IFERROR(IF(INDEX(Hierarchy!$B$2:$B$1295,MATCH($D1873,Hierarchy!$A$2:$A$1295,0))="","",INDEX(Hierarchy!$B$2:$B$1295,MATCH($D1873,Hierarchy!$A$2:$A$1295,0))),"NODE NOT FOUND"))</f>
        <v>Sub-national region</v>
      </c>
      <c r="G1873" s="7" t="str">
        <f aca="false">IF($D1873="","",IFERROR(IF(INDEX(Hierarchy!$D$2:$D$1295,MATCH($D1873,Hierarchy!$A$2:$A$1295,0))="","",INDEX(Hierarchy!$D$2:$D$1295,MATCH($D1873,Hierarchy!$A$2:$A$1295,0))),"NODE NOT FOUND"))</f>
        <v>AMER</v>
      </c>
      <c r="H1873" s="7" t="str">
        <f aca="false">IF($D1873="","",IFERROR(IF(INDEX(Hierarchy!$E$2:$E$1295,MATCH($D1873,Hierarchy!$A$2:$A$1295,0))="","",INDEX(Hierarchy!$E$2:$E$1295,MATCH($D1873,Hierarchy!$A$2:$A$1295,0))),"NODE NOT FOUND"))</f>
        <v>North America (NORAM)</v>
      </c>
      <c r="I1873" s="7" t="str">
        <f aca="false">IF($D1873="","",IFERROR(IF(INDEX(Hierarchy!$F$2:$F$1295,MATCH($D1873,Hierarchy!$A$2:$A$1295,0))="","",INDEX(Hierarchy!$F$2:$F$1295,MATCH($D1873,Hierarchy!$A$2:$A$1295,0))),"NODE NOT FOUND"))</f>
        <v>United States</v>
      </c>
      <c r="J1873" s="7" t="str">
        <f aca="false">IF($D1873="","",IFERROR(IF(INDEX(Hierarchy!$G$2:$G$1295,MATCH($D1873,Hierarchy!$A$2:$A$1295,0))="","",INDEX(Hierarchy!$G$2:$G$1295,MATCH($D1873,Hierarchy!$A$2:$A$1295,0))),"NODE NOT FOUND"))</f>
        <v>USA</v>
      </c>
      <c r="K1873" s="7" t="str">
        <f aca="false">IF($D1873="","",IFERROR(IF(INDEX(Hierarchy!$H$2:$H$1295,MATCH($D1873,Hierarchy!$A$2:$A$1295,0))="","",INDEX(Hierarchy!$H$2:$H$1295,MATCH($D1873,Hierarchy!$A$2:$A$1295,0))),"NODE NOT FOUND"))</f>
        <v/>
      </c>
      <c r="L1873" s="7" t="str">
        <f aca="false">IF($D1873="","",IFERROR(IF(INDEX(Hierarchy!$I$2:$I$1295,MATCH($D1873,Hierarchy!$A$2:$A$1295,0))="","",INDEX(Hierarchy!$I$2:$I$1295,MATCH($D1873,Hierarchy!$A$2:$A$1295,0))),"NODE NOT FOUND"))</f>
        <v/>
      </c>
      <c r="M1873" s="17" t="str">
        <f aca="false">IF(B1873="Pre-seeded","Pre-seeded",IF(B1873="Review 2026-09-16","Added from review",IF(C1873="","New",IF(C1873=D1873,"","Changed"))))</f>
        <v>Pre-seeded</v>
      </c>
      <c r="N1873" s="7" t="str">
        <f aca="false">TRIM(SUBSTITUTE(SUBSTITUTE(SUBSTITUTE(" "&amp;TRIM(SUBSTITUTE(SUBSTITUTE(SUBSTITUTE(SUBSTITUTE(SUBSTITUTE(SUBSTITUTE(SUBSTITUTE(SUBSTITUTE(SUBSTITUTE(SUBSTITUTE(SUBSTITUTE(SUBSTITUTE(SUBSTITUTE(SUBSTITUTE(SUBSTITUTE(UPPER(TRIM(A1873)),"[MEMBER]",""),"{MEMBER}",""),"[MEMBER}",""),"MEMBER]",""),"(A)",""),"""",""),"“",""),"”",""),".",""),":",""),",",""),"–"," "),"-"," "),"/"," "),"&amp;"," AND "))&amp;" "," THE "," ")," TOTAL "," ")," OPERATIONS "," "))</f>
        <v>US CENTRAL</v>
      </c>
      <c r="O1873" s="17" t="str">
        <f aca="false">IF(COUNTIFS($N$2:$N$2000,N1873,$D$2:$D$2000,"&lt;&gt;"&amp;D1873)&gt;0,"CONFLICT","")</f>
        <v/>
      </c>
      <c r="P1873" s="7"/>
    </row>
    <row r="1874" customFormat="false" ht="15" hidden="false" customHeight="false" outlineLevel="0" collapsed="false">
      <c r="A1874" s="7" t="s">
        <v>92</v>
      </c>
      <c r="B1874" s="7" t="s">
        <v>1879</v>
      </c>
      <c r="C1874" s="7"/>
      <c r="D1874" s="6" t="s">
        <v>92</v>
      </c>
      <c r="E1874" s="6" t="s">
        <v>1880</v>
      </c>
      <c r="F1874" s="7" t="str">
        <f aca="false">IF($D1874="","",IFERROR(IF(INDEX(Hierarchy!$B$2:$B$1295,MATCH($D1874,Hierarchy!$A$2:$A$1295,0))="","",INDEX(Hierarchy!$B$2:$B$1295,MATCH($D1874,Hierarchy!$A$2:$A$1295,0))),"NODE NOT FOUND"))</f>
        <v>Sub-national region</v>
      </c>
      <c r="G1874" s="7" t="str">
        <f aca="false">IF($D1874="","",IFERROR(IF(INDEX(Hierarchy!$D$2:$D$1295,MATCH($D1874,Hierarchy!$A$2:$A$1295,0))="","",INDEX(Hierarchy!$D$2:$D$1295,MATCH($D1874,Hierarchy!$A$2:$A$1295,0))),"NODE NOT FOUND"))</f>
        <v>AMER</v>
      </c>
      <c r="H1874" s="7" t="str">
        <f aca="false">IF($D1874="","",IFERROR(IF(INDEX(Hierarchy!$E$2:$E$1295,MATCH($D1874,Hierarchy!$A$2:$A$1295,0))="","",INDEX(Hierarchy!$E$2:$E$1295,MATCH($D1874,Hierarchy!$A$2:$A$1295,0))),"NODE NOT FOUND"))</f>
        <v>North America (NORAM)</v>
      </c>
      <c r="I1874" s="7" t="str">
        <f aca="false">IF($D1874="","",IFERROR(IF(INDEX(Hierarchy!$F$2:$F$1295,MATCH($D1874,Hierarchy!$A$2:$A$1295,0))="","",INDEX(Hierarchy!$F$2:$F$1295,MATCH($D1874,Hierarchy!$A$2:$A$1295,0))),"NODE NOT FOUND"))</f>
        <v>United States</v>
      </c>
      <c r="J1874" s="7" t="str">
        <f aca="false">IF($D1874="","",IFERROR(IF(INDEX(Hierarchy!$G$2:$G$1295,MATCH($D1874,Hierarchy!$A$2:$A$1295,0))="","",INDEX(Hierarchy!$G$2:$G$1295,MATCH($D1874,Hierarchy!$A$2:$A$1295,0))),"NODE NOT FOUND"))</f>
        <v>USA</v>
      </c>
      <c r="K1874" s="7" t="str">
        <f aca="false">IF($D1874="","",IFERROR(IF(INDEX(Hierarchy!$H$2:$H$1295,MATCH($D1874,Hierarchy!$A$2:$A$1295,0))="","",INDEX(Hierarchy!$H$2:$H$1295,MATCH($D1874,Hierarchy!$A$2:$A$1295,0))),"NODE NOT FOUND"))</f>
        <v/>
      </c>
      <c r="L1874" s="7" t="str">
        <f aca="false">IF($D1874="","",IFERROR(IF(INDEX(Hierarchy!$I$2:$I$1295,MATCH($D1874,Hierarchy!$A$2:$A$1295,0))="","",INDEX(Hierarchy!$I$2:$I$1295,MATCH($D1874,Hierarchy!$A$2:$A$1295,0))),"NODE NOT FOUND"))</f>
        <v/>
      </c>
      <c r="M1874" s="17" t="str">
        <f aca="false">IF(B1874="Pre-seeded","Pre-seeded",IF(B1874="Review 2026-09-16","Added from review",IF(C1874="","New",IF(C1874=D1874,"","Changed"))))</f>
        <v>Pre-seeded</v>
      </c>
      <c r="N1874" s="7" t="str">
        <f aca="false">TRIM(SUBSTITUTE(SUBSTITUTE(SUBSTITUTE(" "&amp;TRIM(SUBSTITUTE(SUBSTITUTE(SUBSTITUTE(SUBSTITUTE(SUBSTITUTE(SUBSTITUTE(SUBSTITUTE(SUBSTITUTE(SUBSTITUTE(SUBSTITUTE(SUBSTITUTE(SUBSTITUTE(SUBSTITUTE(SUBSTITUTE(SUBSTITUTE(UPPER(TRIM(A1874)),"[MEMBER]",""),"{MEMBER}",""),"[MEMBER}",""),"MEMBER]",""),"(A)",""),"""",""),"“",""),"”",""),".",""),":",""),",",""),"–"," "),"-"," "),"/"," "),"&amp;"," AND "))&amp;" "," THE "," ")," TOTAL "," ")," OPERATIONS "," "))</f>
        <v>US EAST</v>
      </c>
      <c r="O1874" s="17" t="str">
        <f aca="false">IF(COUNTIFS($N$2:$N$2000,N1874,$D$2:$D$2000,"&lt;&gt;"&amp;D1874)&gt;0,"CONFLICT","")</f>
        <v/>
      </c>
      <c r="P1874" s="7"/>
    </row>
    <row r="1875" customFormat="false" ht="15" hidden="false" customHeight="false" outlineLevel="0" collapsed="false">
      <c r="A1875" s="7" t="s">
        <v>93</v>
      </c>
      <c r="B1875" s="7" t="s">
        <v>1879</v>
      </c>
      <c r="C1875" s="7"/>
      <c r="D1875" s="6" t="s">
        <v>93</v>
      </c>
      <c r="E1875" s="6" t="s">
        <v>1880</v>
      </c>
      <c r="F1875" s="7" t="str">
        <f aca="false">IF($D1875="","",IFERROR(IF(INDEX(Hierarchy!$B$2:$B$1295,MATCH($D1875,Hierarchy!$A$2:$A$1295,0))="","",INDEX(Hierarchy!$B$2:$B$1295,MATCH($D1875,Hierarchy!$A$2:$A$1295,0))),"NODE NOT FOUND"))</f>
        <v>Sub-national region</v>
      </c>
      <c r="G1875" s="7" t="str">
        <f aca="false">IF($D1875="","",IFERROR(IF(INDEX(Hierarchy!$D$2:$D$1295,MATCH($D1875,Hierarchy!$A$2:$A$1295,0))="","",INDEX(Hierarchy!$D$2:$D$1295,MATCH($D1875,Hierarchy!$A$2:$A$1295,0))),"NODE NOT FOUND"))</f>
        <v>AMER</v>
      </c>
      <c r="H1875" s="7" t="str">
        <f aca="false">IF($D1875="","",IFERROR(IF(INDEX(Hierarchy!$E$2:$E$1295,MATCH($D1875,Hierarchy!$A$2:$A$1295,0))="","",INDEX(Hierarchy!$E$2:$E$1295,MATCH($D1875,Hierarchy!$A$2:$A$1295,0))),"NODE NOT FOUND"))</f>
        <v>North America (NORAM)</v>
      </c>
      <c r="I1875" s="7" t="str">
        <f aca="false">IF($D1875="","",IFERROR(IF(INDEX(Hierarchy!$F$2:$F$1295,MATCH($D1875,Hierarchy!$A$2:$A$1295,0))="","",INDEX(Hierarchy!$F$2:$F$1295,MATCH($D1875,Hierarchy!$A$2:$A$1295,0))),"NODE NOT FOUND"))</f>
        <v>United States</v>
      </c>
      <c r="J1875" s="7" t="str">
        <f aca="false">IF($D1875="","",IFERROR(IF(INDEX(Hierarchy!$G$2:$G$1295,MATCH($D1875,Hierarchy!$A$2:$A$1295,0))="","",INDEX(Hierarchy!$G$2:$G$1295,MATCH($D1875,Hierarchy!$A$2:$A$1295,0))),"NODE NOT FOUND"))</f>
        <v>USA</v>
      </c>
      <c r="K1875" s="7" t="str">
        <f aca="false">IF($D1875="","",IFERROR(IF(INDEX(Hierarchy!$H$2:$H$1295,MATCH($D1875,Hierarchy!$A$2:$A$1295,0))="","",INDEX(Hierarchy!$H$2:$H$1295,MATCH($D1875,Hierarchy!$A$2:$A$1295,0))),"NODE NOT FOUND"))</f>
        <v/>
      </c>
      <c r="L1875" s="7" t="str">
        <f aca="false">IF($D1875="","",IFERROR(IF(INDEX(Hierarchy!$I$2:$I$1295,MATCH($D1875,Hierarchy!$A$2:$A$1295,0))="","",INDEX(Hierarchy!$I$2:$I$1295,MATCH($D1875,Hierarchy!$A$2:$A$1295,0))),"NODE NOT FOUND"))</f>
        <v/>
      </c>
      <c r="M1875" s="17" t="str">
        <f aca="false">IF(B1875="Pre-seeded","Pre-seeded",IF(B1875="Review 2026-09-16","Added from review",IF(C1875="","New",IF(C1875=D1875,"","Changed"))))</f>
        <v>Pre-seeded</v>
      </c>
      <c r="N1875" s="7" t="str">
        <f aca="false">TRIM(SUBSTITUTE(SUBSTITUTE(SUBSTITUTE(" "&amp;TRIM(SUBSTITUTE(SUBSTITUTE(SUBSTITUTE(SUBSTITUTE(SUBSTITUTE(SUBSTITUTE(SUBSTITUTE(SUBSTITUTE(SUBSTITUTE(SUBSTITUTE(SUBSTITUTE(SUBSTITUTE(SUBSTITUTE(SUBSTITUTE(SUBSTITUTE(UPPER(TRIM(A1875)),"[MEMBER]",""),"{MEMBER}",""),"[MEMBER}",""),"MEMBER]",""),"(A)",""),"""",""),"“",""),"”",""),".",""),":",""),",",""),"–"," "),"-"," "),"/"," "),"&amp;"," AND "))&amp;" "," THE "," ")," TOTAL "," ")," OPERATIONS "," "))</f>
        <v>US EAST NORTH CENTRAL</v>
      </c>
      <c r="O1875" s="17" t="str">
        <f aca="false">IF(COUNTIFS($N$2:$N$2000,N1875,$D$2:$D$2000,"&lt;&gt;"&amp;D1875)&gt;0,"CONFLICT","")</f>
        <v/>
      </c>
      <c r="P1875" s="7"/>
    </row>
    <row r="1876" customFormat="false" ht="15" hidden="false" customHeight="false" outlineLevel="0" collapsed="false">
      <c r="A1876" s="7" t="s">
        <v>95</v>
      </c>
      <c r="B1876" s="7" t="s">
        <v>1879</v>
      </c>
      <c r="C1876" s="7"/>
      <c r="D1876" s="6" t="s">
        <v>95</v>
      </c>
      <c r="E1876" s="6" t="s">
        <v>1880</v>
      </c>
      <c r="F1876" s="7" t="str">
        <f aca="false">IF($D1876="","",IFERROR(IF(INDEX(Hierarchy!$B$2:$B$1295,MATCH($D1876,Hierarchy!$A$2:$A$1295,0))="","",INDEX(Hierarchy!$B$2:$B$1295,MATCH($D1876,Hierarchy!$A$2:$A$1295,0))),"NODE NOT FOUND"))</f>
        <v>Sub-national region</v>
      </c>
      <c r="G1876" s="7" t="str">
        <f aca="false">IF($D1876="","",IFERROR(IF(INDEX(Hierarchy!$D$2:$D$1295,MATCH($D1876,Hierarchy!$A$2:$A$1295,0))="","",INDEX(Hierarchy!$D$2:$D$1295,MATCH($D1876,Hierarchy!$A$2:$A$1295,0))),"NODE NOT FOUND"))</f>
        <v>AMER</v>
      </c>
      <c r="H1876" s="7" t="str">
        <f aca="false">IF($D1876="","",IFERROR(IF(INDEX(Hierarchy!$E$2:$E$1295,MATCH($D1876,Hierarchy!$A$2:$A$1295,0))="","",INDEX(Hierarchy!$E$2:$E$1295,MATCH($D1876,Hierarchy!$A$2:$A$1295,0))),"NODE NOT FOUND"))</f>
        <v>North America (NORAM)</v>
      </c>
      <c r="I1876" s="7" t="str">
        <f aca="false">IF($D1876="","",IFERROR(IF(INDEX(Hierarchy!$F$2:$F$1295,MATCH($D1876,Hierarchy!$A$2:$A$1295,0))="","",INDEX(Hierarchy!$F$2:$F$1295,MATCH($D1876,Hierarchy!$A$2:$A$1295,0))),"NODE NOT FOUND"))</f>
        <v>United States</v>
      </c>
      <c r="J1876" s="7" t="str">
        <f aca="false">IF($D1876="","",IFERROR(IF(INDEX(Hierarchy!$G$2:$G$1295,MATCH($D1876,Hierarchy!$A$2:$A$1295,0))="","",INDEX(Hierarchy!$G$2:$G$1295,MATCH($D1876,Hierarchy!$A$2:$A$1295,0))),"NODE NOT FOUND"))</f>
        <v>USA</v>
      </c>
      <c r="K1876" s="7" t="str">
        <f aca="false">IF($D1876="","",IFERROR(IF(INDEX(Hierarchy!$H$2:$H$1295,MATCH($D1876,Hierarchy!$A$2:$A$1295,0))="","",INDEX(Hierarchy!$H$2:$H$1295,MATCH($D1876,Hierarchy!$A$2:$A$1295,0))),"NODE NOT FOUND"))</f>
        <v/>
      </c>
      <c r="L1876" s="7" t="str">
        <f aca="false">IF($D1876="","",IFERROR(IF(INDEX(Hierarchy!$I$2:$I$1295,MATCH($D1876,Hierarchy!$A$2:$A$1295,0))="","",INDEX(Hierarchy!$I$2:$I$1295,MATCH($D1876,Hierarchy!$A$2:$A$1295,0))),"NODE NOT FOUND"))</f>
        <v/>
      </c>
      <c r="M1876" s="17" t="str">
        <f aca="false">IF(B1876="Pre-seeded","Pre-seeded",IF(B1876="Review 2026-09-16","Added from review",IF(C1876="","New",IF(C1876=D1876,"","Changed"))))</f>
        <v>Pre-seeded</v>
      </c>
      <c r="N1876" s="7" t="str">
        <f aca="false">TRIM(SUBSTITUTE(SUBSTITUTE(SUBSTITUTE(" "&amp;TRIM(SUBSTITUTE(SUBSTITUTE(SUBSTITUTE(SUBSTITUTE(SUBSTITUTE(SUBSTITUTE(SUBSTITUTE(SUBSTITUTE(SUBSTITUTE(SUBSTITUTE(SUBSTITUTE(SUBSTITUTE(SUBSTITUTE(SUBSTITUTE(SUBSTITUTE(UPPER(TRIM(A1876)),"[MEMBER]",""),"{MEMBER}",""),"[MEMBER}",""),"MEMBER]",""),"(A)",""),"""",""),"“",""),"”",""),".",""),":",""),",",""),"–"," "),"-"," "),"/"," "),"&amp;"," AND "))&amp;" "," THE "," ")," TOTAL "," ")," OPERATIONS "," "))</f>
        <v>US EAST SOUTH CENTRAL</v>
      </c>
      <c r="O1876" s="17" t="str">
        <f aca="false">IF(COUNTIFS($N$2:$N$2000,N1876,$D$2:$D$2000,"&lt;&gt;"&amp;D1876)&gt;0,"CONFLICT","")</f>
        <v/>
      </c>
      <c r="P1876" s="7"/>
    </row>
    <row r="1877" customFormat="false" ht="15" hidden="false" customHeight="false" outlineLevel="0" collapsed="false">
      <c r="A1877" s="7" t="s">
        <v>96</v>
      </c>
      <c r="B1877" s="7" t="s">
        <v>1879</v>
      </c>
      <c r="C1877" s="7"/>
      <c r="D1877" s="6" t="s">
        <v>96</v>
      </c>
      <c r="E1877" s="6" t="s">
        <v>1880</v>
      </c>
      <c r="F1877" s="7" t="str">
        <f aca="false">IF($D1877="","",IFERROR(IF(INDEX(Hierarchy!$B$2:$B$1295,MATCH($D1877,Hierarchy!$A$2:$A$1295,0))="","",INDEX(Hierarchy!$B$2:$B$1295,MATCH($D1877,Hierarchy!$A$2:$A$1295,0))),"NODE NOT FOUND"))</f>
        <v>Sub-national region</v>
      </c>
      <c r="G1877" s="7" t="str">
        <f aca="false">IF($D1877="","",IFERROR(IF(INDEX(Hierarchy!$D$2:$D$1295,MATCH($D1877,Hierarchy!$A$2:$A$1295,0))="","",INDEX(Hierarchy!$D$2:$D$1295,MATCH($D1877,Hierarchy!$A$2:$A$1295,0))),"NODE NOT FOUND"))</f>
        <v>AMER</v>
      </c>
      <c r="H1877" s="7" t="str">
        <f aca="false">IF($D1877="","",IFERROR(IF(INDEX(Hierarchy!$E$2:$E$1295,MATCH($D1877,Hierarchy!$A$2:$A$1295,0))="","",INDEX(Hierarchy!$E$2:$E$1295,MATCH($D1877,Hierarchy!$A$2:$A$1295,0))),"NODE NOT FOUND"))</f>
        <v>North America (NORAM)</v>
      </c>
      <c r="I1877" s="7" t="str">
        <f aca="false">IF($D1877="","",IFERROR(IF(INDEX(Hierarchy!$F$2:$F$1295,MATCH($D1877,Hierarchy!$A$2:$A$1295,0))="","",INDEX(Hierarchy!$F$2:$F$1295,MATCH($D1877,Hierarchy!$A$2:$A$1295,0))),"NODE NOT FOUND"))</f>
        <v>United States</v>
      </c>
      <c r="J1877" s="7" t="str">
        <f aca="false">IF($D1877="","",IFERROR(IF(INDEX(Hierarchy!$G$2:$G$1295,MATCH($D1877,Hierarchy!$A$2:$A$1295,0))="","",INDEX(Hierarchy!$G$2:$G$1295,MATCH($D1877,Hierarchy!$A$2:$A$1295,0))),"NODE NOT FOUND"))</f>
        <v>USA</v>
      </c>
      <c r="K1877" s="7" t="str">
        <f aca="false">IF($D1877="","",IFERROR(IF(INDEX(Hierarchy!$H$2:$H$1295,MATCH($D1877,Hierarchy!$A$2:$A$1295,0))="","",INDEX(Hierarchy!$H$2:$H$1295,MATCH($D1877,Hierarchy!$A$2:$A$1295,0))),"NODE NOT FOUND"))</f>
        <v/>
      </c>
      <c r="L1877" s="7" t="str">
        <f aca="false">IF($D1877="","",IFERROR(IF(INDEX(Hierarchy!$I$2:$I$1295,MATCH($D1877,Hierarchy!$A$2:$A$1295,0))="","",INDEX(Hierarchy!$I$2:$I$1295,MATCH($D1877,Hierarchy!$A$2:$A$1295,0))),"NODE NOT FOUND"))</f>
        <v/>
      </c>
      <c r="M1877" s="17" t="str">
        <f aca="false">IF(B1877="Pre-seeded","Pre-seeded",IF(B1877="Review 2026-09-16","Added from review",IF(C1877="","New",IF(C1877=D1877,"","Changed"))))</f>
        <v>Pre-seeded</v>
      </c>
      <c r="N1877" s="7" t="str">
        <f aca="false">TRIM(SUBSTITUTE(SUBSTITUTE(SUBSTITUTE(" "&amp;TRIM(SUBSTITUTE(SUBSTITUTE(SUBSTITUTE(SUBSTITUTE(SUBSTITUTE(SUBSTITUTE(SUBSTITUTE(SUBSTITUTE(SUBSTITUTE(SUBSTITUTE(SUBSTITUTE(SUBSTITUTE(SUBSTITUTE(SUBSTITUTE(SUBSTITUTE(UPPER(TRIM(A1877)),"[MEMBER]",""),"{MEMBER}",""),"[MEMBER}",""),"MEMBER]",""),"(A)",""),"""",""),"“",""),"”",""),".",""),":",""),",",""),"–"," "),"-"," "),"/"," "),"&amp;"," AND "))&amp;" "," THE "," ")," TOTAL "," ")," OPERATIONS "," "))</f>
        <v>US GREAT LAKES</v>
      </c>
      <c r="O1877" s="17" t="str">
        <f aca="false">IF(COUNTIFS($N$2:$N$2000,N1877,$D$2:$D$2000,"&lt;&gt;"&amp;D1877)&gt;0,"CONFLICT","")</f>
        <v/>
      </c>
      <c r="P1877" s="7"/>
    </row>
    <row r="1878" customFormat="false" ht="15" hidden="false" customHeight="false" outlineLevel="0" collapsed="false">
      <c r="A1878" s="7" t="s">
        <v>97</v>
      </c>
      <c r="B1878" s="7" t="s">
        <v>1879</v>
      </c>
      <c r="C1878" s="7"/>
      <c r="D1878" s="6" t="s">
        <v>97</v>
      </c>
      <c r="E1878" s="6" t="s">
        <v>1880</v>
      </c>
      <c r="F1878" s="7" t="str">
        <f aca="false">IF($D1878="","",IFERROR(IF(INDEX(Hierarchy!$B$2:$B$1295,MATCH($D1878,Hierarchy!$A$2:$A$1295,0))="","",INDEX(Hierarchy!$B$2:$B$1295,MATCH($D1878,Hierarchy!$A$2:$A$1295,0))),"NODE NOT FOUND"))</f>
        <v>Sub-national region</v>
      </c>
      <c r="G1878" s="7" t="str">
        <f aca="false">IF($D1878="","",IFERROR(IF(INDEX(Hierarchy!$D$2:$D$1295,MATCH($D1878,Hierarchy!$A$2:$A$1295,0))="","",INDEX(Hierarchy!$D$2:$D$1295,MATCH($D1878,Hierarchy!$A$2:$A$1295,0))),"NODE NOT FOUND"))</f>
        <v>AMER</v>
      </c>
      <c r="H1878" s="7" t="str">
        <f aca="false">IF($D1878="","",IFERROR(IF(INDEX(Hierarchy!$E$2:$E$1295,MATCH($D1878,Hierarchy!$A$2:$A$1295,0))="","",INDEX(Hierarchy!$E$2:$E$1295,MATCH($D1878,Hierarchy!$A$2:$A$1295,0))),"NODE NOT FOUND"))</f>
        <v>North America (NORAM)</v>
      </c>
      <c r="I1878" s="7" t="str">
        <f aca="false">IF($D1878="","",IFERROR(IF(INDEX(Hierarchy!$F$2:$F$1295,MATCH($D1878,Hierarchy!$A$2:$A$1295,0))="","",INDEX(Hierarchy!$F$2:$F$1295,MATCH($D1878,Hierarchy!$A$2:$A$1295,0))),"NODE NOT FOUND"))</f>
        <v>United States</v>
      </c>
      <c r="J1878" s="7" t="str">
        <f aca="false">IF($D1878="","",IFERROR(IF(INDEX(Hierarchy!$G$2:$G$1295,MATCH($D1878,Hierarchy!$A$2:$A$1295,0))="","",INDEX(Hierarchy!$G$2:$G$1295,MATCH($D1878,Hierarchy!$A$2:$A$1295,0))),"NODE NOT FOUND"))</f>
        <v>USA</v>
      </c>
      <c r="K1878" s="7" t="str">
        <f aca="false">IF($D1878="","",IFERROR(IF(INDEX(Hierarchy!$H$2:$H$1295,MATCH($D1878,Hierarchy!$A$2:$A$1295,0))="","",INDEX(Hierarchy!$H$2:$H$1295,MATCH($D1878,Hierarchy!$A$2:$A$1295,0))),"NODE NOT FOUND"))</f>
        <v/>
      </c>
      <c r="L1878" s="7" t="str">
        <f aca="false">IF($D1878="","",IFERROR(IF(INDEX(Hierarchy!$I$2:$I$1295,MATCH($D1878,Hierarchy!$A$2:$A$1295,0))="","",INDEX(Hierarchy!$I$2:$I$1295,MATCH($D1878,Hierarchy!$A$2:$A$1295,0))),"NODE NOT FOUND"))</f>
        <v/>
      </c>
      <c r="M1878" s="17" t="str">
        <f aca="false">IF(B1878="Pre-seeded","Pre-seeded",IF(B1878="Review 2026-09-16","Added from review",IF(C1878="","New",IF(C1878=D1878,"","Changed"))))</f>
        <v>Pre-seeded</v>
      </c>
      <c r="N1878" s="7" t="str">
        <f aca="false">TRIM(SUBSTITUTE(SUBSTITUTE(SUBSTITUTE(" "&amp;TRIM(SUBSTITUTE(SUBSTITUTE(SUBSTITUTE(SUBSTITUTE(SUBSTITUTE(SUBSTITUTE(SUBSTITUTE(SUBSTITUTE(SUBSTITUTE(SUBSTITUTE(SUBSTITUTE(SUBSTITUTE(SUBSTITUTE(SUBSTITUTE(SUBSTITUTE(UPPER(TRIM(A1878)),"[MEMBER]",""),"{MEMBER}",""),"[MEMBER}",""),"MEMBER]",""),"(A)",""),"""",""),"“",""),"”",""),".",""),":",""),",",""),"–"," "),"-"," "),"/"," "),"&amp;"," AND "))&amp;" "," THE "," ")," TOTAL "," ")," OPERATIONS "," "))</f>
        <v>US GULF COAST</v>
      </c>
      <c r="O1878" s="17" t="str">
        <f aca="false">IF(COUNTIFS($N$2:$N$2000,N1878,$D$2:$D$2000,"&lt;&gt;"&amp;D1878)&gt;0,"CONFLICT","")</f>
        <v/>
      </c>
      <c r="P1878" s="7"/>
    </row>
    <row r="1879" customFormat="false" ht="15" hidden="false" customHeight="false" outlineLevel="0" collapsed="false">
      <c r="A1879" s="7" t="s">
        <v>98</v>
      </c>
      <c r="B1879" s="7" t="s">
        <v>1879</v>
      </c>
      <c r="C1879" s="7"/>
      <c r="D1879" s="6" t="s">
        <v>98</v>
      </c>
      <c r="E1879" s="6" t="s">
        <v>1880</v>
      </c>
      <c r="F1879" s="7" t="str">
        <f aca="false">IF($D1879="","",IFERROR(IF(INDEX(Hierarchy!$B$2:$B$1295,MATCH($D1879,Hierarchy!$A$2:$A$1295,0))="","",INDEX(Hierarchy!$B$2:$B$1295,MATCH($D1879,Hierarchy!$A$2:$A$1295,0))),"NODE NOT FOUND"))</f>
        <v>Sub-national region</v>
      </c>
      <c r="G1879" s="7" t="str">
        <f aca="false">IF($D1879="","",IFERROR(IF(INDEX(Hierarchy!$D$2:$D$1295,MATCH($D1879,Hierarchy!$A$2:$A$1295,0))="","",INDEX(Hierarchy!$D$2:$D$1295,MATCH($D1879,Hierarchy!$A$2:$A$1295,0))),"NODE NOT FOUND"))</f>
        <v>AMER</v>
      </c>
      <c r="H1879" s="7" t="str">
        <f aca="false">IF($D1879="","",IFERROR(IF(INDEX(Hierarchy!$E$2:$E$1295,MATCH($D1879,Hierarchy!$A$2:$A$1295,0))="","",INDEX(Hierarchy!$E$2:$E$1295,MATCH($D1879,Hierarchy!$A$2:$A$1295,0))),"NODE NOT FOUND"))</f>
        <v>North America (NORAM)</v>
      </c>
      <c r="I1879" s="7" t="str">
        <f aca="false">IF($D1879="","",IFERROR(IF(INDEX(Hierarchy!$F$2:$F$1295,MATCH($D1879,Hierarchy!$A$2:$A$1295,0))="","",INDEX(Hierarchy!$F$2:$F$1295,MATCH($D1879,Hierarchy!$A$2:$A$1295,0))),"NODE NOT FOUND"))</f>
        <v>United States</v>
      </c>
      <c r="J1879" s="7" t="str">
        <f aca="false">IF($D1879="","",IFERROR(IF(INDEX(Hierarchy!$G$2:$G$1295,MATCH($D1879,Hierarchy!$A$2:$A$1295,0))="","",INDEX(Hierarchy!$G$2:$G$1295,MATCH($D1879,Hierarchy!$A$2:$A$1295,0))),"NODE NOT FOUND"))</f>
        <v>USA</v>
      </c>
      <c r="K1879" s="7" t="str">
        <f aca="false">IF($D1879="","",IFERROR(IF(INDEX(Hierarchy!$H$2:$H$1295,MATCH($D1879,Hierarchy!$A$2:$A$1295,0))="","",INDEX(Hierarchy!$H$2:$H$1295,MATCH($D1879,Hierarchy!$A$2:$A$1295,0))),"NODE NOT FOUND"))</f>
        <v/>
      </c>
      <c r="L1879" s="7" t="str">
        <f aca="false">IF($D1879="","",IFERROR(IF(INDEX(Hierarchy!$I$2:$I$1295,MATCH($D1879,Hierarchy!$A$2:$A$1295,0))="","",INDEX(Hierarchy!$I$2:$I$1295,MATCH($D1879,Hierarchy!$A$2:$A$1295,0))),"NODE NOT FOUND"))</f>
        <v/>
      </c>
      <c r="M1879" s="17" t="str">
        <f aca="false">IF(B1879="Pre-seeded","Pre-seeded",IF(B1879="Review 2026-09-16","Added from review",IF(C1879="","New",IF(C1879=D1879,"","Changed"))))</f>
        <v>Pre-seeded</v>
      </c>
      <c r="N1879" s="7" t="str">
        <f aca="false">TRIM(SUBSTITUTE(SUBSTITUTE(SUBSTITUTE(" "&amp;TRIM(SUBSTITUTE(SUBSTITUTE(SUBSTITUTE(SUBSTITUTE(SUBSTITUTE(SUBSTITUTE(SUBSTITUTE(SUBSTITUTE(SUBSTITUTE(SUBSTITUTE(SUBSTITUTE(SUBSTITUTE(SUBSTITUTE(SUBSTITUTE(SUBSTITUTE(UPPER(TRIM(A1879)),"[MEMBER]",""),"{MEMBER}",""),"[MEMBER}",""),"MEMBER]",""),"(A)",""),"""",""),"“",""),"”",""),".",""),":",""),",",""),"–"," "),"-"," "),"/"," "),"&amp;"," AND "))&amp;" "," THE "," ")," TOTAL "," ")," OPERATIONS "," "))</f>
        <v>US MID ATLANTIC</v>
      </c>
      <c r="O1879" s="17" t="str">
        <f aca="false">IF(COUNTIFS($N$2:$N$2000,N1879,$D$2:$D$2000,"&lt;&gt;"&amp;D1879)&gt;0,"CONFLICT","")</f>
        <v/>
      </c>
      <c r="P1879" s="7"/>
    </row>
    <row r="1880" customFormat="false" ht="15" hidden="false" customHeight="false" outlineLevel="0" collapsed="false">
      <c r="A1880" s="7" t="s">
        <v>99</v>
      </c>
      <c r="B1880" s="7" t="s">
        <v>1879</v>
      </c>
      <c r="C1880" s="7"/>
      <c r="D1880" s="6" t="s">
        <v>99</v>
      </c>
      <c r="E1880" s="6" t="s">
        <v>1880</v>
      </c>
      <c r="F1880" s="7" t="str">
        <f aca="false">IF($D1880="","",IFERROR(IF(INDEX(Hierarchy!$B$2:$B$1295,MATCH($D1880,Hierarchy!$A$2:$A$1295,0))="","",INDEX(Hierarchy!$B$2:$B$1295,MATCH($D1880,Hierarchy!$A$2:$A$1295,0))),"NODE NOT FOUND"))</f>
        <v>Sub-national region</v>
      </c>
      <c r="G1880" s="7" t="str">
        <f aca="false">IF($D1880="","",IFERROR(IF(INDEX(Hierarchy!$D$2:$D$1295,MATCH($D1880,Hierarchy!$A$2:$A$1295,0))="","",INDEX(Hierarchy!$D$2:$D$1295,MATCH($D1880,Hierarchy!$A$2:$A$1295,0))),"NODE NOT FOUND"))</f>
        <v>AMER</v>
      </c>
      <c r="H1880" s="7" t="str">
        <f aca="false">IF($D1880="","",IFERROR(IF(INDEX(Hierarchy!$E$2:$E$1295,MATCH($D1880,Hierarchy!$A$2:$A$1295,0))="","",INDEX(Hierarchy!$E$2:$E$1295,MATCH($D1880,Hierarchy!$A$2:$A$1295,0))),"NODE NOT FOUND"))</f>
        <v>North America (NORAM)</v>
      </c>
      <c r="I1880" s="7" t="str">
        <f aca="false">IF($D1880="","",IFERROR(IF(INDEX(Hierarchy!$F$2:$F$1295,MATCH($D1880,Hierarchy!$A$2:$A$1295,0))="","",INDEX(Hierarchy!$F$2:$F$1295,MATCH($D1880,Hierarchy!$A$2:$A$1295,0))),"NODE NOT FOUND"))</f>
        <v>United States</v>
      </c>
      <c r="J1880" s="7" t="str">
        <f aca="false">IF($D1880="","",IFERROR(IF(INDEX(Hierarchy!$G$2:$G$1295,MATCH($D1880,Hierarchy!$A$2:$A$1295,0))="","",INDEX(Hierarchy!$G$2:$G$1295,MATCH($D1880,Hierarchy!$A$2:$A$1295,0))),"NODE NOT FOUND"))</f>
        <v>USA</v>
      </c>
      <c r="K1880" s="7" t="str">
        <f aca="false">IF($D1880="","",IFERROR(IF(INDEX(Hierarchy!$H$2:$H$1295,MATCH($D1880,Hierarchy!$A$2:$A$1295,0))="","",INDEX(Hierarchy!$H$2:$H$1295,MATCH($D1880,Hierarchy!$A$2:$A$1295,0))),"NODE NOT FOUND"))</f>
        <v/>
      </c>
      <c r="L1880" s="7" t="str">
        <f aca="false">IF($D1880="","",IFERROR(IF(INDEX(Hierarchy!$I$2:$I$1295,MATCH($D1880,Hierarchy!$A$2:$A$1295,0))="","",INDEX(Hierarchy!$I$2:$I$1295,MATCH($D1880,Hierarchy!$A$2:$A$1295,0))),"NODE NOT FOUND"))</f>
        <v/>
      </c>
      <c r="M1880" s="17" t="str">
        <f aca="false">IF(B1880="Pre-seeded","Pre-seeded",IF(B1880="Review 2026-09-16","Added from review",IF(C1880="","New",IF(C1880=D1880,"","Changed"))))</f>
        <v>Pre-seeded</v>
      </c>
      <c r="N1880" s="7" t="str">
        <f aca="false">TRIM(SUBSTITUTE(SUBSTITUTE(SUBSTITUTE(" "&amp;TRIM(SUBSTITUTE(SUBSTITUTE(SUBSTITUTE(SUBSTITUTE(SUBSTITUTE(SUBSTITUTE(SUBSTITUTE(SUBSTITUTE(SUBSTITUTE(SUBSTITUTE(SUBSTITUTE(SUBSTITUTE(SUBSTITUTE(SUBSTITUTE(SUBSTITUTE(UPPER(TRIM(A1880)),"[MEMBER]",""),"{MEMBER}",""),"[MEMBER}",""),"MEMBER]",""),"(A)",""),"""",""),"“",""),"”",""),".",""),":",""),",",""),"–"," "),"-"," "),"/"," "),"&amp;"," AND "))&amp;" "," THE "," ")," TOTAL "," ")," OPERATIONS "," "))</f>
        <v>US MID SOUTH</v>
      </c>
      <c r="O1880" s="17" t="str">
        <f aca="false">IF(COUNTIFS($N$2:$N$2000,N1880,$D$2:$D$2000,"&lt;&gt;"&amp;D1880)&gt;0,"CONFLICT","")</f>
        <v/>
      </c>
      <c r="P1880" s="7"/>
    </row>
    <row r="1881" customFormat="false" ht="15" hidden="false" customHeight="false" outlineLevel="0" collapsed="false">
      <c r="A1881" s="7" t="s">
        <v>100</v>
      </c>
      <c r="B1881" s="7" t="s">
        <v>1879</v>
      </c>
      <c r="C1881" s="7"/>
      <c r="D1881" s="6" t="s">
        <v>100</v>
      </c>
      <c r="E1881" s="6" t="s">
        <v>1880</v>
      </c>
      <c r="F1881" s="7" t="str">
        <f aca="false">IF($D1881="","",IFERROR(IF(INDEX(Hierarchy!$B$2:$B$1295,MATCH($D1881,Hierarchy!$A$2:$A$1295,0))="","",INDEX(Hierarchy!$B$2:$B$1295,MATCH($D1881,Hierarchy!$A$2:$A$1295,0))),"NODE NOT FOUND"))</f>
        <v>Sub-national region</v>
      </c>
      <c r="G1881" s="7" t="str">
        <f aca="false">IF($D1881="","",IFERROR(IF(INDEX(Hierarchy!$D$2:$D$1295,MATCH($D1881,Hierarchy!$A$2:$A$1295,0))="","",INDEX(Hierarchy!$D$2:$D$1295,MATCH($D1881,Hierarchy!$A$2:$A$1295,0))),"NODE NOT FOUND"))</f>
        <v>AMER</v>
      </c>
      <c r="H1881" s="7" t="str">
        <f aca="false">IF($D1881="","",IFERROR(IF(INDEX(Hierarchy!$E$2:$E$1295,MATCH($D1881,Hierarchy!$A$2:$A$1295,0))="","",INDEX(Hierarchy!$E$2:$E$1295,MATCH($D1881,Hierarchy!$A$2:$A$1295,0))),"NODE NOT FOUND"))</f>
        <v>North America (NORAM)</v>
      </c>
      <c r="I1881" s="7" t="str">
        <f aca="false">IF($D1881="","",IFERROR(IF(INDEX(Hierarchy!$F$2:$F$1295,MATCH($D1881,Hierarchy!$A$2:$A$1295,0))="","",INDEX(Hierarchy!$F$2:$F$1295,MATCH($D1881,Hierarchy!$A$2:$A$1295,0))),"NODE NOT FOUND"))</f>
        <v>United States</v>
      </c>
      <c r="J1881" s="7" t="str">
        <f aca="false">IF($D1881="","",IFERROR(IF(INDEX(Hierarchy!$G$2:$G$1295,MATCH($D1881,Hierarchy!$A$2:$A$1295,0))="","",INDEX(Hierarchy!$G$2:$G$1295,MATCH($D1881,Hierarchy!$A$2:$A$1295,0))),"NODE NOT FOUND"))</f>
        <v>USA</v>
      </c>
      <c r="K1881" s="7" t="str">
        <f aca="false">IF($D1881="","",IFERROR(IF(INDEX(Hierarchy!$H$2:$H$1295,MATCH($D1881,Hierarchy!$A$2:$A$1295,0))="","",INDEX(Hierarchy!$H$2:$H$1295,MATCH($D1881,Hierarchy!$A$2:$A$1295,0))),"NODE NOT FOUND"))</f>
        <v/>
      </c>
      <c r="L1881" s="7" t="str">
        <f aca="false">IF($D1881="","",IFERROR(IF(INDEX(Hierarchy!$I$2:$I$1295,MATCH($D1881,Hierarchy!$A$2:$A$1295,0))="","",INDEX(Hierarchy!$I$2:$I$1295,MATCH($D1881,Hierarchy!$A$2:$A$1295,0))),"NODE NOT FOUND"))</f>
        <v/>
      </c>
      <c r="M1881" s="17" t="str">
        <f aca="false">IF(B1881="Pre-seeded","Pre-seeded",IF(B1881="Review 2026-09-16","Added from review",IF(C1881="","New",IF(C1881=D1881,"","Changed"))))</f>
        <v>Pre-seeded</v>
      </c>
      <c r="N1881" s="7" t="str">
        <f aca="false">TRIM(SUBSTITUTE(SUBSTITUTE(SUBSTITUTE(" "&amp;TRIM(SUBSTITUTE(SUBSTITUTE(SUBSTITUTE(SUBSTITUTE(SUBSTITUTE(SUBSTITUTE(SUBSTITUTE(SUBSTITUTE(SUBSTITUTE(SUBSTITUTE(SUBSTITUTE(SUBSTITUTE(SUBSTITUTE(SUBSTITUTE(SUBSTITUTE(UPPER(TRIM(A1881)),"[MEMBER]",""),"{MEMBER}",""),"[MEMBER}",""),"MEMBER]",""),"(A)",""),"""",""),"“",""),"”",""),".",""),":",""),",",""),"–"," "),"-"," "),"/"," "),"&amp;"," AND "))&amp;" "," THE "," ")," TOTAL "," ")," OPERATIONS "," "))</f>
        <v>US MIDWEST</v>
      </c>
      <c r="O1881" s="17" t="str">
        <f aca="false">IF(COUNTIFS($N$2:$N$2000,N1881,$D$2:$D$2000,"&lt;&gt;"&amp;D1881)&gt;0,"CONFLICT","")</f>
        <v/>
      </c>
      <c r="P1881" s="7"/>
    </row>
    <row r="1882" customFormat="false" ht="15" hidden="false" customHeight="false" outlineLevel="0" collapsed="false">
      <c r="A1882" s="7" t="s">
        <v>101</v>
      </c>
      <c r="B1882" s="7" t="s">
        <v>1879</v>
      </c>
      <c r="C1882" s="7"/>
      <c r="D1882" s="6" t="s">
        <v>101</v>
      </c>
      <c r="E1882" s="6" t="s">
        <v>1880</v>
      </c>
      <c r="F1882" s="7" t="str">
        <f aca="false">IF($D1882="","",IFERROR(IF(INDEX(Hierarchy!$B$2:$B$1295,MATCH($D1882,Hierarchy!$A$2:$A$1295,0))="","",INDEX(Hierarchy!$B$2:$B$1295,MATCH($D1882,Hierarchy!$A$2:$A$1295,0))),"NODE NOT FOUND"))</f>
        <v>Sub-national region</v>
      </c>
      <c r="G1882" s="7" t="str">
        <f aca="false">IF($D1882="","",IFERROR(IF(INDEX(Hierarchy!$D$2:$D$1295,MATCH($D1882,Hierarchy!$A$2:$A$1295,0))="","",INDEX(Hierarchy!$D$2:$D$1295,MATCH($D1882,Hierarchy!$A$2:$A$1295,0))),"NODE NOT FOUND"))</f>
        <v>AMER</v>
      </c>
      <c r="H1882" s="7" t="str">
        <f aca="false">IF($D1882="","",IFERROR(IF(INDEX(Hierarchy!$E$2:$E$1295,MATCH($D1882,Hierarchy!$A$2:$A$1295,0))="","",INDEX(Hierarchy!$E$2:$E$1295,MATCH($D1882,Hierarchy!$A$2:$A$1295,0))),"NODE NOT FOUND"))</f>
        <v>North America (NORAM)</v>
      </c>
      <c r="I1882" s="7" t="str">
        <f aca="false">IF($D1882="","",IFERROR(IF(INDEX(Hierarchy!$F$2:$F$1295,MATCH($D1882,Hierarchy!$A$2:$A$1295,0))="","",INDEX(Hierarchy!$F$2:$F$1295,MATCH($D1882,Hierarchy!$A$2:$A$1295,0))),"NODE NOT FOUND"))</f>
        <v>United States</v>
      </c>
      <c r="J1882" s="7" t="str">
        <f aca="false">IF($D1882="","",IFERROR(IF(INDEX(Hierarchy!$G$2:$G$1295,MATCH($D1882,Hierarchy!$A$2:$A$1295,0))="","",INDEX(Hierarchy!$G$2:$G$1295,MATCH($D1882,Hierarchy!$A$2:$A$1295,0))),"NODE NOT FOUND"))</f>
        <v>USA</v>
      </c>
      <c r="K1882" s="7" t="str">
        <f aca="false">IF($D1882="","",IFERROR(IF(INDEX(Hierarchy!$H$2:$H$1295,MATCH($D1882,Hierarchy!$A$2:$A$1295,0))="","",INDEX(Hierarchy!$H$2:$H$1295,MATCH($D1882,Hierarchy!$A$2:$A$1295,0))),"NODE NOT FOUND"))</f>
        <v/>
      </c>
      <c r="L1882" s="7" t="str">
        <f aca="false">IF($D1882="","",IFERROR(IF(INDEX(Hierarchy!$I$2:$I$1295,MATCH($D1882,Hierarchy!$A$2:$A$1295,0))="","",INDEX(Hierarchy!$I$2:$I$1295,MATCH($D1882,Hierarchy!$A$2:$A$1295,0))),"NODE NOT FOUND"))</f>
        <v/>
      </c>
      <c r="M1882" s="17" t="str">
        <f aca="false">IF(B1882="Pre-seeded","Pre-seeded",IF(B1882="Review 2026-09-16","Added from review",IF(C1882="","New",IF(C1882=D1882,"","Changed"))))</f>
        <v>Pre-seeded</v>
      </c>
      <c r="N1882" s="7" t="str">
        <f aca="false">TRIM(SUBSTITUTE(SUBSTITUTE(SUBSTITUTE(" "&amp;TRIM(SUBSTITUTE(SUBSTITUTE(SUBSTITUTE(SUBSTITUTE(SUBSTITUTE(SUBSTITUTE(SUBSTITUTE(SUBSTITUTE(SUBSTITUTE(SUBSTITUTE(SUBSTITUTE(SUBSTITUTE(SUBSTITUTE(SUBSTITUTE(SUBSTITUTE(UPPER(TRIM(A1882)),"[MEMBER]",""),"{MEMBER}",""),"[MEMBER}",""),"MEMBER]",""),"(A)",""),"""",""),"“",""),"”",""),".",""),":",""),",",""),"–"," "),"-"," "),"/"," "),"&amp;"," AND "))&amp;" "," THE "," ")," TOTAL "," ")," OPERATIONS "," "))</f>
        <v>US MOUNTAIN</v>
      </c>
      <c r="O1882" s="17" t="str">
        <f aca="false">IF(COUNTIFS($N$2:$N$2000,N1882,$D$2:$D$2000,"&lt;&gt;"&amp;D1882)&gt;0,"CONFLICT","")</f>
        <v/>
      </c>
      <c r="P1882" s="7"/>
    </row>
    <row r="1883" customFormat="false" ht="15" hidden="false" customHeight="false" outlineLevel="0" collapsed="false">
      <c r="A1883" s="7" t="s">
        <v>102</v>
      </c>
      <c r="B1883" s="7" t="s">
        <v>1879</v>
      </c>
      <c r="C1883" s="7"/>
      <c r="D1883" s="6" t="s">
        <v>102</v>
      </c>
      <c r="E1883" s="6" t="s">
        <v>1880</v>
      </c>
      <c r="F1883" s="7" t="str">
        <f aca="false">IF($D1883="","",IFERROR(IF(INDEX(Hierarchy!$B$2:$B$1295,MATCH($D1883,Hierarchy!$A$2:$A$1295,0))="","",INDEX(Hierarchy!$B$2:$B$1295,MATCH($D1883,Hierarchy!$A$2:$A$1295,0))),"NODE NOT FOUND"))</f>
        <v>Sub-national region</v>
      </c>
      <c r="G1883" s="7" t="str">
        <f aca="false">IF($D1883="","",IFERROR(IF(INDEX(Hierarchy!$D$2:$D$1295,MATCH($D1883,Hierarchy!$A$2:$A$1295,0))="","",INDEX(Hierarchy!$D$2:$D$1295,MATCH($D1883,Hierarchy!$A$2:$A$1295,0))),"NODE NOT FOUND"))</f>
        <v>AMER</v>
      </c>
      <c r="H1883" s="7" t="str">
        <f aca="false">IF($D1883="","",IFERROR(IF(INDEX(Hierarchy!$E$2:$E$1295,MATCH($D1883,Hierarchy!$A$2:$A$1295,0))="","",INDEX(Hierarchy!$E$2:$E$1295,MATCH($D1883,Hierarchy!$A$2:$A$1295,0))),"NODE NOT FOUND"))</f>
        <v>North America (NORAM)</v>
      </c>
      <c r="I1883" s="7" t="str">
        <f aca="false">IF($D1883="","",IFERROR(IF(INDEX(Hierarchy!$F$2:$F$1295,MATCH($D1883,Hierarchy!$A$2:$A$1295,0))="","",INDEX(Hierarchy!$F$2:$F$1295,MATCH($D1883,Hierarchy!$A$2:$A$1295,0))),"NODE NOT FOUND"))</f>
        <v>United States</v>
      </c>
      <c r="J1883" s="7" t="str">
        <f aca="false">IF($D1883="","",IFERROR(IF(INDEX(Hierarchy!$G$2:$G$1295,MATCH($D1883,Hierarchy!$A$2:$A$1295,0))="","",INDEX(Hierarchy!$G$2:$G$1295,MATCH($D1883,Hierarchy!$A$2:$A$1295,0))),"NODE NOT FOUND"))</f>
        <v>USA</v>
      </c>
      <c r="K1883" s="7" t="str">
        <f aca="false">IF($D1883="","",IFERROR(IF(INDEX(Hierarchy!$H$2:$H$1295,MATCH($D1883,Hierarchy!$A$2:$A$1295,0))="","",INDEX(Hierarchy!$H$2:$H$1295,MATCH($D1883,Hierarchy!$A$2:$A$1295,0))),"NODE NOT FOUND"))</f>
        <v/>
      </c>
      <c r="L1883" s="7" t="str">
        <f aca="false">IF($D1883="","",IFERROR(IF(INDEX(Hierarchy!$I$2:$I$1295,MATCH($D1883,Hierarchy!$A$2:$A$1295,0))="","",INDEX(Hierarchy!$I$2:$I$1295,MATCH($D1883,Hierarchy!$A$2:$A$1295,0))),"NODE NOT FOUND"))</f>
        <v/>
      </c>
      <c r="M1883" s="17" t="str">
        <f aca="false">IF(B1883="Pre-seeded","Pre-seeded",IF(B1883="Review 2026-09-16","Added from review",IF(C1883="","New",IF(C1883=D1883,"","Changed"))))</f>
        <v>Pre-seeded</v>
      </c>
      <c r="N1883" s="7" t="str">
        <f aca="false">TRIM(SUBSTITUTE(SUBSTITUTE(SUBSTITUTE(" "&amp;TRIM(SUBSTITUTE(SUBSTITUTE(SUBSTITUTE(SUBSTITUTE(SUBSTITUTE(SUBSTITUTE(SUBSTITUTE(SUBSTITUTE(SUBSTITUTE(SUBSTITUTE(SUBSTITUTE(SUBSTITUTE(SUBSTITUTE(SUBSTITUTE(SUBSTITUTE(UPPER(TRIM(A1883)),"[MEMBER]",""),"{MEMBER}",""),"[MEMBER}",""),"MEMBER]",""),"(A)",""),"""",""),"“",""),"”",""),".",""),":",""),",",""),"–"," "),"-"," "),"/"," "),"&amp;"," AND "))&amp;" "," THE "," ")," TOTAL "," ")," OPERATIONS "," "))</f>
        <v>US NEW ENGLAND</v>
      </c>
      <c r="O1883" s="17" t="str">
        <f aca="false">IF(COUNTIFS($N$2:$N$2000,N1883,$D$2:$D$2000,"&lt;&gt;"&amp;D1883)&gt;0,"CONFLICT","")</f>
        <v/>
      </c>
      <c r="P1883" s="7"/>
    </row>
    <row r="1884" customFormat="false" ht="15" hidden="false" customHeight="false" outlineLevel="0" collapsed="false">
      <c r="A1884" s="7" t="s">
        <v>103</v>
      </c>
      <c r="B1884" s="7" t="s">
        <v>1879</v>
      </c>
      <c r="C1884" s="7"/>
      <c r="D1884" s="6" t="s">
        <v>103</v>
      </c>
      <c r="E1884" s="6" t="s">
        <v>1880</v>
      </c>
      <c r="F1884" s="7" t="str">
        <f aca="false">IF($D1884="","",IFERROR(IF(INDEX(Hierarchy!$B$2:$B$1295,MATCH($D1884,Hierarchy!$A$2:$A$1295,0))="","",INDEX(Hierarchy!$B$2:$B$1295,MATCH($D1884,Hierarchy!$A$2:$A$1295,0))),"NODE NOT FOUND"))</f>
        <v>Sub-national region</v>
      </c>
      <c r="G1884" s="7" t="str">
        <f aca="false">IF($D1884="","",IFERROR(IF(INDEX(Hierarchy!$D$2:$D$1295,MATCH($D1884,Hierarchy!$A$2:$A$1295,0))="","",INDEX(Hierarchy!$D$2:$D$1295,MATCH($D1884,Hierarchy!$A$2:$A$1295,0))),"NODE NOT FOUND"))</f>
        <v>AMER</v>
      </c>
      <c r="H1884" s="7" t="str">
        <f aca="false">IF($D1884="","",IFERROR(IF(INDEX(Hierarchy!$E$2:$E$1295,MATCH($D1884,Hierarchy!$A$2:$A$1295,0))="","",INDEX(Hierarchy!$E$2:$E$1295,MATCH($D1884,Hierarchy!$A$2:$A$1295,0))),"NODE NOT FOUND"))</f>
        <v>North America (NORAM)</v>
      </c>
      <c r="I1884" s="7" t="str">
        <f aca="false">IF($D1884="","",IFERROR(IF(INDEX(Hierarchy!$F$2:$F$1295,MATCH($D1884,Hierarchy!$A$2:$A$1295,0))="","",INDEX(Hierarchy!$F$2:$F$1295,MATCH($D1884,Hierarchy!$A$2:$A$1295,0))),"NODE NOT FOUND"))</f>
        <v>United States</v>
      </c>
      <c r="J1884" s="7" t="str">
        <f aca="false">IF($D1884="","",IFERROR(IF(INDEX(Hierarchy!$G$2:$G$1295,MATCH($D1884,Hierarchy!$A$2:$A$1295,0))="","",INDEX(Hierarchy!$G$2:$G$1295,MATCH($D1884,Hierarchy!$A$2:$A$1295,0))),"NODE NOT FOUND"))</f>
        <v>USA</v>
      </c>
      <c r="K1884" s="7" t="str">
        <f aca="false">IF($D1884="","",IFERROR(IF(INDEX(Hierarchy!$H$2:$H$1295,MATCH($D1884,Hierarchy!$A$2:$A$1295,0))="","",INDEX(Hierarchy!$H$2:$H$1295,MATCH($D1884,Hierarchy!$A$2:$A$1295,0))),"NODE NOT FOUND"))</f>
        <v/>
      </c>
      <c r="L1884" s="7" t="str">
        <f aca="false">IF($D1884="","",IFERROR(IF(INDEX(Hierarchy!$I$2:$I$1295,MATCH($D1884,Hierarchy!$A$2:$A$1295,0))="","",INDEX(Hierarchy!$I$2:$I$1295,MATCH($D1884,Hierarchy!$A$2:$A$1295,0))),"NODE NOT FOUND"))</f>
        <v/>
      </c>
      <c r="M1884" s="17" t="str">
        <f aca="false">IF(B1884="Pre-seeded","Pre-seeded",IF(B1884="Review 2026-09-16","Added from review",IF(C1884="","New",IF(C1884=D1884,"","Changed"))))</f>
        <v>Pre-seeded</v>
      </c>
      <c r="N1884" s="7" t="str">
        <f aca="false">TRIM(SUBSTITUTE(SUBSTITUTE(SUBSTITUTE(" "&amp;TRIM(SUBSTITUTE(SUBSTITUTE(SUBSTITUTE(SUBSTITUTE(SUBSTITUTE(SUBSTITUTE(SUBSTITUTE(SUBSTITUTE(SUBSTITUTE(SUBSTITUTE(SUBSTITUTE(SUBSTITUTE(SUBSTITUTE(SUBSTITUTE(SUBSTITUTE(UPPER(TRIM(A1884)),"[MEMBER]",""),"{MEMBER}",""),"[MEMBER}",""),"MEMBER]",""),"(A)",""),"""",""),"“",""),"”",""),".",""),":",""),",",""),"–"," "),"-"," "),"/"," "),"&amp;"," AND "))&amp;" "," THE "," ")," TOTAL "," ")," OPERATIONS "," "))</f>
        <v>US NORTH</v>
      </c>
      <c r="O1884" s="17" t="str">
        <f aca="false">IF(COUNTIFS($N$2:$N$2000,N1884,$D$2:$D$2000,"&lt;&gt;"&amp;D1884)&gt;0,"CONFLICT","")</f>
        <v/>
      </c>
      <c r="P1884" s="7"/>
    </row>
    <row r="1885" customFormat="false" ht="15" hidden="false" customHeight="false" outlineLevel="0" collapsed="false">
      <c r="A1885" s="7" t="s">
        <v>104</v>
      </c>
      <c r="B1885" s="7" t="s">
        <v>1879</v>
      </c>
      <c r="C1885" s="7"/>
      <c r="D1885" s="6" t="s">
        <v>104</v>
      </c>
      <c r="E1885" s="6" t="s">
        <v>1880</v>
      </c>
      <c r="F1885" s="7" t="str">
        <f aca="false">IF($D1885="","",IFERROR(IF(INDEX(Hierarchy!$B$2:$B$1295,MATCH($D1885,Hierarchy!$A$2:$A$1295,0))="","",INDEX(Hierarchy!$B$2:$B$1295,MATCH($D1885,Hierarchy!$A$2:$A$1295,0))),"NODE NOT FOUND"))</f>
        <v>Sub-national region</v>
      </c>
      <c r="G1885" s="7" t="str">
        <f aca="false">IF($D1885="","",IFERROR(IF(INDEX(Hierarchy!$D$2:$D$1295,MATCH($D1885,Hierarchy!$A$2:$A$1295,0))="","",INDEX(Hierarchy!$D$2:$D$1295,MATCH($D1885,Hierarchy!$A$2:$A$1295,0))),"NODE NOT FOUND"))</f>
        <v>AMER</v>
      </c>
      <c r="H1885" s="7" t="str">
        <f aca="false">IF($D1885="","",IFERROR(IF(INDEX(Hierarchy!$E$2:$E$1295,MATCH($D1885,Hierarchy!$A$2:$A$1295,0))="","",INDEX(Hierarchy!$E$2:$E$1295,MATCH($D1885,Hierarchy!$A$2:$A$1295,0))),"NODE NOT FOUND"))</f>
        <v>North America (NORAM)</v>
      </c>
      <c r="I1885" s="7" t="str">
        <f aca="false">IF($D1885="","",IFERROR(IF(INDEX(Hierarchy!$F$2:$F$1295,MATCH($D1885,Hierarchy!$A$2:$A$1295,0))="","",INDEX(Hierarchy!$F$2:$F$1295,MATCH($D1885,Hierarchy!$A$2:$A$1295,0))),"NODE NOT FOUND"))</f>
        <v>United States</v>
      </c>
      <c r="J1885" s="7" t="str">
        <f aca="false">IF($D1885="","",IFERROR(IF(INDEX(Hierarchy!$G$2:$G$1295,MATCH($D1885,Hierarchy!$A$2:$A$1295,0))="","",INDEX(Hierarchy!$G$2:$G$1295,MATCH($D1885,Hierarchy!$A$2:$A$1295,0))),"NODE NOT FOUND"))</f>
        <v>USA</v>
      </c>
      <c r="K1885" s="7" t="str">
        <f aca="false">IF($D1885="","",IFERROR(IF(INDEX(Hierarchy!$H$2:$H$1295,MATCH($D1885,Hierarchy!$A$2:$A$1295,0))="","",INDEX(Hierarchy!$H$2:$H$1295,MATCH($D1885,Hierarchy!$A$2:$A$1295,0))),"NODE NOT FOUND"))</f>
        <v/>
      </c>
      <c r="L1885" s="7" t="str">
        <f aca="false">IF($D1885="","",IFERROR(IF(INDEX(Hierarchy!$I$2:$I$1295,MATCH($D1885,Hierarchy!$A$2:$A$1295,0))="","",INDEX(Hierarchy!$I$2:$I$1295,MATCH($D1885,Hierarchy!$A$2:$A$1295,0))),"NODE NOT FOUND"))</f>
        <v/>
      </c>
      <c r="M1885" s="17" t="str">
        <f aca="false">IF(B1885="Pre-seeded","Pre-seeded",IF(B1885="Review 2026-09-16","Added from review",IF(C1885="","New",IF(C1885=D1885,"","Changed"))))</f>
        <v>Pre-seeded</v>
      </c>
      <c r="N1885" s="7" t="str">
        <f aca="false">TRIM(SUBSTITUTE(SUBSTITUTE(SUBSTITUTE(" "&amp;TRIM(SUBSTITUTE(SUBSTITUTE(SUBSTITUTE(SUBSTITUTE(SUBSTITUTE(SUBSTITUTE(SUBSTITUTE(SUBSTITUTE(SUBSTITUTE(SUBSTITUTE(SUBSTITUTE(SUBSTITUTE(SUBSTITUTE(SUBSTITUTE(SUBSTITUTE(UPPER(TRIM(A1885)),"[MEMBER]",""),"{MEMBER}",""),"[MEMBER}",""),"MEMBER]",""),"(A)",""),"""",""),"“",""),"”",""),".",""),":",""),",",""),"–"," "),"-"," "),"/"," "),"&amp;"," AND "))&amp;" "," THE "," ")," TOTAL "," ")," OPERATIONS "," "))</f>
        <v>US NORTHEAST</v>
      </c>
      <c r="O1885" s="17" t="str">
        <f aca="false">IF(COUNTIFS($N$2:$N$2000,N1885,$D$2:$D$2000,"&lt;&gt;"&amp;D1885)&gt;0,"CONFLICT","")</f>
        <v/>
      </c>
      <c r="P1885" s="7"/>
    </row>
    <row r="1886" customFormat="false" ht="15" hidden="false" customHeight="false" outlineLevel="0" collapsed="false">
      <c r="A1886" s="7" t="s">
        <v>105</v>
      </c>
      <c r="B1886" s="7" t="s">
        <v>1879</v>
      </c>
      <c r="C1886" s="7"/>
      <c r="D1886" s="6" t="s">
        <v>105</v>
      </c>
      <c r="E1886" s="6" t="s">
        <v>1880</v>
      </c>
      <c r="F1886" s="7" t="str">
        <f aca="false">IF($D1886="","",IFERROR(IF(INDEX(Hierarchy!$B$2:$B$1295,MATCH($D1886,Hierarchy!$A$2:$A$1295,0))="","",INDEX(Hierarchy!$B$2:$B$1295,MATCH($D1886,Hierarchy!$A$2:$A$1295,0))),"NODE NOT FOUND"))</f>
        <v>Sub-national region</v>
      </c>
      <c r="G1886" s="7" t="str">
        <f aca="false">IF($D1886="","",IFERROR(IF(INDEX(Hierarchy!$D$2:$D$1295,MATCH($D1886,Hierarchy!$A$2:$A$1295,0))="","",INDEX(Hierarchy!$D$2:$D$1295,MATCH($D1886,Hierarchy!$A$2:$A$1295,0))),"NODE NOT FOUND"))</f>
        <v>AMER</v>
      </c>
      <c r="H1886" s="7" t="str">
        <f aca="false">IF($D1886="","",IFERROR(IF(INDEX(Hierarchy!$E$2:$E$1295,MATCH($D1886,Hierarchy!$A$2:$A$1295,0))="","",INDEX(Hierarchy!$E$2:$E$1295,MATCH($D1886,Hierarchy!$A$2:$A$1295,0))),"NODE NOT FOUND"))</f>
        <v>North America (NORAM)</v>
      </c>
      <c r="I1886" s="7" t="str">
        <f aca="false">IF($D1886="","",IFERROR(IF(INDEX(Hierarchy!$F$2:$F$1295,MATCH($D1886,Hierarchy!$A$2:$A$1295,0))="","",INDEX(Hierarchy!$F$2:$F$1295,MATCH($D1886,Hierarchy!$A$2:$A$1295,0))),"NODE NOT FOUND"))</f>
        <v>United States</v>
      </c>
      <c r="J1886" s="7" t="str">
        <f aca="false">IF($D1886="","",IFERROR(IF(INDEX(Hierarchy!$G$2:$G$1295,MATCH($D1886,Hierarchy!$A$2:$A$1295,0))="","",INDEX(Hierarchy!$G$2:$G$1295,MATCH($D1886,Hierarchy!$A$2:$A$1295,0))),"NODE NOT FOUND"))</f>
        <v>USA</v>
      </c>
      <c r="K1886" s="7" t="str">
        <f aca="false">IF($D1886="","",IFERROR(IF(INDEX(Hierarchy!$H$2:$H$1295,MATCH($D1886,Hierarchy!$A$2:$A$1295,0))="","",INDEX(Hierarchy!$H$2:$H$1295,MATCH($D1886,Hierarchy!$A$2:$A$1295,0))),"NODE NOT FOUND"))</f>
        <v/>
      </c>
      <c r="L1886" s="7" t="str">
        <f aca="false">IF($D1886="","",IFERROR(IF(INDEX(Hierarchy!$I$2:$I$1295,MATCH($D1886,Hierarchy!$A$2:$A$1295,0))="","",INDEX(Hierarchy!$I$2:$I$1295,MATCH($D1886,Hierarchy!$A$2:$A$1295,0))),"NODE NOT FOUND"))</f>
        <v/>
      </c>
      <c r="M1886" s="17" t="str">
        <f aca="false">IF(B1886="Pre-seeded","Pre-seeded",IF(B1886="Review 2026-09-16","Added from review",IF(C1886="","New",IF(C1886=D1886,"","Changed"))))</f>
        <v>Pre-seeded</v>
      </c>
      <c r="N1886" s="7" t="str">
        <f aca="false">TRIM(SUBSTITUTE(SUBSTITUTE(SUBSTITUTE(" "&amp;TRIM(SUBSTITUTE(SUBSTITUTE(SUBSTITUTE(SUBSTITUTE(SUBSTITUTE(SUBSTITUTE(SUBSTITUTE(SUBSTITUTE(SUBSTITUTE(SUBSTITUTE(SUBSTITUTE(SUBSTITUTE(SUBSTITUTE(SUBSTITUTE(SUBSTITUTE(UPPER(TRIM(A1886)),"[MEMBER]",""),"{MEMBER}",""),"[MEMBER}",""),"MEMBER]",""),"(A)",""),"""",""),"“",""),"”",""),".",""),":",""),",",""),"–"," "),"-"," "),"/"," "),"&amp;"," AND "))&amp;" "," THE "," ")," TOTAL "," ")," OPERATIONS "," "))</f>
        <v>US NORTHEAST CORRIDOR</v>
      </c>
      <c r="O1886" s="17" t="str">
        <f aca="false">IF(COUNTIFS($N$2:$N$2000,N1886,$D$2:$D$2000,"&lt;&gt;"&amp;D1886)&gt;0,"CONFLICT","")</f>
        <v/>
      </c>
      <c r="P1886" s="7"/>
    </row>
    <row r="1887" customFormat="false" ht="15" hidden="false" customHeight="false" outlineLevel="0" collapsed="false">
      <c r="A1887" s="7" t="s">
        <v>107</v>
      </c>
      <c r="B1887" s="7" t="s">
        <v>1879</v>
      </c>
      <c r="C1887" s="7"/>
      <c r="D1887" s="6" t="s">
        <v>107</v>
      </c>
      <c r="E1887" s="6" t="s">
        <v>1880</v>
      </c>
      <c r="F1887" s="7" t="str">
        <f aca="false">IF($D1887="","",IFERROR(IF(INDEX(Hierarchy!$B$2:$B$1295,MATCH($D1887,Hierarchy!$A$2:$A$1295,0))="","",INDEX(Hierarchy!$B$2:$B$1295,MATCH($D1887,Hierarchy!$A$2:$A$1295,0))),"NODE NOT FOUND"))</f>
        <v>Sub-national region</v>
      </c>
      <c r="G1887" s="7" t="str">
        <f aca="false">IF($D1887="","",IFERROR(IF(INDEX(Hierarchy!$D$2:$D$1295,MATCH($D1887,Hierarchy!$A$2:$A$1295,0))="","",INDEX(Hierarchy!$D$2:$D$1295,MATCH($D1887,Hierarchy!$A$2:$A$1295,0))),"NODE NOT FOUND"))</f>
        <v>AMER</v>
      </c>
      <c r="H1887" s="7" t="str">
        <f aca="false">IF($D1887="","",IFERROR(IF(INDEX(Hierarchy!$E$2:$E$1295,MATCH($D1887,Hierarchy!$A$2:$A$1295,0))="","",INDEX(Hierarchy!$E$2:$E$1295,MATCH($D1887,Hierarchy!$A$2:$A$1295,0))),"NODE NOT FOUND"))</f>
        <v>North America (NORAM)</v>
      </c>
      <c r="I1887" s="7" t="str">
        <f aca="false">IF($D1887="","",IFERROR(IF(INDEX(Hierarchy!$F$2:$F$1295,MATCH($D1887,Hierarchy!$A$2:$A$1295,0))="","",INDEX(Hierarchy!$F$2:$F$1295,MATCH($D1887,Hierarchy!$A$2:$A$1295,0))),"NODE NOT FOUND"))</f>
        <v>United States</v>
      </c>
      <c r="J1887" s="7" t="str">
        <f aca="false">IF($D1887="","",IFERROR(IF(INDEX(Hierarchy!$G$2:$G$1295,MATCH($D1887,Hierarchy!$A$2:$A$1295,0))="","",INDEX(Hierarchy!$G$2:$G$1295,MATCH($D1887,Hierarchy!$A$2:$A$1295,0))),"NODE NOT FOUND"))</f>
        <v>USA</v>
      </c>
      <c r="K1887" s="7" t="str">
        <f aca="false">IF($D1887="","",IFERROR(IF(INDEX(Hierarchy!$H$2:$H$1295,MATCH($D1887,Hierarchy!$A$2:$A$1295,0))="","",INDEX(Hierarchy!$H$2:$H$1295,MATCH($D1887,Hierarchy!$A$2:$A$1295,0))),"NODE NOT FOUND"))</f>
        <v/>
      </c>
      <c r="L1887" s="7" t="str">
        <f aca="false">IF($D1887="","",IFERROR(IF(INDEX(Hierarchy!$I$2:$I$1295,MATCH($D1887,Hierarchy!$A$2:$A$1295,0))="","",INDEX(Hierarchy!$I$2:$I$1295,MATCH($D1887,Hierarchy!$A$2:$A$1295,0))),"NODE NOT FOUND"))</f>
        <v/>
      </c>
      <c r="M1887" s="17" t="str">
        <f aca="false">IF(B1887="Pre-seeded","Pre-seeded",IF(B1887="Review 2026-09-16","Added from review",IF(C1887="","New",IF(C1887=D1887,"","Changed"))))</f>
        <v>Pre-seeded</v>
      </c>
      <c r="N1887" s="7" t="str">
        <f aca="false">TRIM(SUBSTITUTE(SUBSTITUTE(SUBSTITUTE(" "&amp;TRIM(SUBSTITUTE(SUBSTITUTE(SUBSTITUTE(SUBSTITUTE(SUBSTITUTE(SUBSTITUTE(SUBSTITUTE(SUBSTITUTE(SUBSTITUTE(SUBSTITUTE(SUBSTITUTE(SUBSTITUTE(SUBSTITUTE(SUBSTITUTE(SUBSTITUTE(UPPER(TRIM(A1887)),"[MEMBER]",""),"{MEMBER}",""),"[MEMBER}",""),"MEMBER]",""),"(A)",""),"""",""),"“",""),"”",""),".",""),":",""),",",""),"–"," "),"-"," "),"/"," "),"&amp;"," AND "))&amp;" "," THE "," ")," TOTAL "," ")," OPERATIONS "," "))</f>
        <v>US NORTHWEST</v>
      </c>
      <c r="O1887" s="17" t="str">
        <f aca="false">IF(COUNTIFS($N$2:$N$2000,N1887,$D$2:$D$2000,"&lt;&gt;"&amp;D1887)&gt;0,"CONFLICT","")</f>
        <v/>
      </c>
      <c r="P1887" s="7"/>
    </row>
    <row r="1888" customFormat="false" ht="15" hidden="false" customHeight="false" outlineLevel="0" collapsed="false">
      <c r="A1888" s="7" t="s">
        <v>108</v>
      </c>
      <c r="B1888" s="7" t="s">
        <v>1879</v>
      </c>
      <c r="C1888" s="7"/>
      <c r="D1888" s="6" t="s">
        <v>108</v>
      </c>
      <c r="E1888" s="6" t="s">
        <v>1880</v>
      </c>
      <c r="F1888" s="7" t="str">
        <f aca="false">IF($D1888="","",IFERROR(IF(INDEX(Hierarchy!$B$2:$B$1295,MATCH($D1888,Hierarchy!$A$2:$A$1295,0))="","",INDEX(Hierarchy!$B$2:$B$1295,MATCH($D1888,Hierarchy!$A$2:$A$1295,0))),"NODE NOT FOUND"))</f>
        <v>Sub-national region</v>
      </c>
      <c r="G1888" s="7" t="str">
        <f aca="false">IF($D1888="","",IFERROR(IF(INDEX(Hierarchy!$D$2:$D$1295,MATCH($D1888,Hierarchy!$A$2:$A$1295,0))="","",INDEX(Hierarchy!$D$2:$D$1295,MATCH($D1888,Hierarchy!$A$2:$A$1295,0))),"NODE NOT FOUND"))</f>
        <v>AMER</v>
      </c>
      <c r="H1888" s="7" t="str">
        <f aca="false">IF($D1888="","",IFERROR(IF(INDEX(Hierarchy!$E$2:$E$1295,MATCH($D1888,Hierarchy!$A$2:$A$1295,0))="","",INDEX(Hierarchy!$E$2:$E$1295,MATCH($D1888,Hierarchy!$A$2:$A$1295,0))),"NODE NOT FOUND"))</f>
        <v>North America (NORAM)</v>
      </c>
      <c r="I1888" s="7" t="str">
        <f aca="false">IF($D1888="","",IFERROR(IF(INDEX(Hierarchy!$F$2:$F$1295,MATCH($D1888,Hierarchy!$A$2:$A$1295,0))="","",INDEX(Hierarchy!$F$2:$F$1295,MATCH($D1888,Hierarchy!$A$2:$A$1295,0))),"NODE NOT FOUND"))</f>
        <v>United States</v>
      </c>
      <c r="J1888" s="7" t="str">
        <f aca="false">IF($D1888="","",IFERROR(IF(INDEX(Hierarchy!$G$2:$G$1295,MATCH($D1888,Hierarchy!$A$2:$A$1295,0))="","",INDEX(Hierarchy!$G$2:$G$1295,MATCH($D1888,Hierarchy!$A$2:$A$1295,0))),"NODE NOT FOUND"))</f>
        <v>USA</v>
      </c>
      <c r="K1888" s="7" t="str">
        <f aca="false">IF($D1888="","",IFERROR(IF(INDEX(Hierarchy!$H$2:$H$1295,MATCH($D1888,Hierarchy!$A$2:$A$1295,0))="","",INDEX(Hierarchy!$H$2:$H$1295,MATCH($D1888,Hierarchy!$A$2:$A$1295,0))),"NODE NOT FOUND"))</f>
        <v/>
      </c>
      <c r="L1888" s="7" t="str">
        <f aca="false">IF($D1888="","",IFERROR(IF(INDEX(Hierarchy!$I$2:$I$1295,MATCH($D1888,Hierarchy!$A$2:$A$1295,0))="","",INDEX(Hierarchy!$I$2:$I$1295,MATCH($D1888,Hierarchy!$A$2:$A$1295,0))),"NODE NOT FOUND"))</f>
        <v/>
      </c>
      <c r="M1888" s="17" t="str">
        <f aca="false">IF(B1888="Pre-seeded","Pre-seeded",IF(B1888="Review 2026-09-16","Added from review",IF(C1888="","New",IF(C1888=D1888,"","Changed"))))</f>
        <v>Pre-seeded</v>
      </c>
      <c r="N1888" s="7" t="str">
        <f aca="false">TRIM(SUBSTITUTE(SUBSTITUTE(SUBSTITUTE(" "&amp;TRIM(SUBSTITUTE(SUBSTITUTE(SUBSTITUTE(SUBSTITUTE(SUBSTITUTE(SUBSTITUTE(SUBSTITUTE(SUBSTITUTE(SUBSTITUTE(SUBSTITUTE(SUBSTITUTE(SUBSTITUTE(SUBSTITUTE(SUBSTITUTE(SUBSTITUTE(UPPER(TRIM(A1888)),"[MEMBER]",""),"{MEMBER}",""),"[MEMBER}",""),"MEMBER]",""),"(A)",""),"""",""),"“",""),"”",""),".",""),":",""),",",""),"–"," "),"-"," "),"/"," "),"&amp;"," AND "))&amp;" "," THE "," ")," TOTAL "," ")," OPERATIONS "," "))</f>
        <v>US PACIFIC</v>
      </c>
      <c r="O1888" s="17" t="str">
        <f aca="false">IF(COUNTIFS($N$2:$N$2000,N1888,$D$2:$D$2000,"&lt;&gt;"&amp;D1888)&gt;0,"CONFLICT","")</f>
        <v/>
      </c>
      <c r="P1888" s="7"/>
    </row>
    <row r="1889" customFormat="false" ht="15" hidden="false" customHeight="false" outlineLevel="0" collapsed="false">
      <c r="A1889" s="7" t="s">
        <v>110</v>
      </c>
      <c r="B1889" s="7" t="s">
        <v>1879</v>
      </c>
      <c r="C1889" s="7"/>
      <c r="D1889" s="6" t="s">
        <v>110</v>
      </c>
      <c r="E1889" s="6" t="s">
        <v>1880</v>
      </c>
      <c r="F1889" s="7" t="str">
        <f aca="false">IF($D1889="","",IFERROR(IF(INDEX(Hierarchy!$B$2:$B$1295,MATCH($D1889,Hierarchy!$A$2:$A$1295,0))="","",INDEX(Hierarchy!$B$2:$B$1295,MATCH($D1889,Hierarchy!$A$2:$A$1295,0))),"NODE NOT FOUND"))</f>
        <v>Sub-national region</v>
      </c>
      <c r="G1889" s="7" t="str">
        <f aca="false">IF($D1889="","",IFERROR(IF(INDEX(Hierarchy!$D$2:$D$1295,MATCH($D1889,Hierarchy!$A$2:$A$1295,0))="","",INDEX(Hierarchy!$D$2:$D$1295,MATCH($D1889,Hierarchy!$A$2:$A$1295,0))),"NODE NOT FOUND"))</f>
        <v>AMER</v>
      </c>
      <c r="H1889" s="7" t="str">
        <f aca="false">IF($D1889="","",IFERROR(IF(INDEX(Hierarchy!$E$2:$E$1295,MATCH($D1889,Hierarchy!$A$2:$A$1295,0))="","",INDEX(Hierarchy!$E$2:$E$1295,MATCH($D1889,Hierarchy!$A$2:$A$1295,0))),"NODE NOT FOUND"))</f>
        <v>North America (NORAM)</v>
      </c>
      <c r="I1889" s="7" t="str">
        <f aca="false">IF($D1889="","",IFERROR(IF(INDEX(Hierarchy!$F$2:$F$1295,MATCH($D1889,Hierarchy!$A$2:$A$1295,0))="","",INDEX(Hierarchy!$F$2:$F$1295,MATCH($D1889,Hierarchy!$A$2:$A$1295,0))),"NODE NOT FOUND"))</f>
        <v>United States</v>
      </c>
      <c r="J1889" s="7" t="str">
        <f aca="false">IF($D1889="","",IFERROR(IF(INDEX(Hierarchy!$G$2:$G$1295,MATCH($D1889,Hierarchy!$A$2:$A$1295,0))="","",INDEX(Hierarchy!$G$2:$G$1295,MATCH($D1889,Hierarchy!$A$2:$A$1295,0))),"NODE NOT FOUND"))</f>
        <v>USA</v>
      </c>
      <c r="K1889" s="7" t="str">
        <f aca="false">IF($D1889="","",IFERROR(IF(INDEX(Hierarchy!$H$2:$H$1295,MATCH($D1889,Hierarchy!$A$2:$A$1295,0))="","",INDEX(Hierarchy!$H$2:$H$1295,MATCH($D1889,Hierarchy!$A$2:$A$1295,0))),"NODE NOT FOUND"))</f>
        <v/>
      </c>
      <c r="L1889" s="7" t="str">
        <f aca="false">IF($D1889="","",IFERROR(IF(INDEX(Hierarchy!$I$2:$I$1295,MATCH($D1889,Hierarchy!$A$2:$A$1295,0))="","",INDEX(Hierarchy!$I$2:$I$1295,MATCH($D1889,Hierarchy!$A$2:$A$1295,0))),"NODE NOT FOUND"))</f>
        <v/>
      </c>
      <c r="M1889" s="17" t="str">
        <f aca="false">IF(B1889="Pre-seeded","Pre-seeded",IF(B1889="Review 2026-09-16","Added from review",IF(C1889="","New",IF(C1889=D1889,"","Changed"))))</f>
        <v>Pre-seeded</v>
      </c>
      <c r="N1889" s="7" t="str">
        <f aca="false">TRIM(SUBSTITUTE(SUBSTITUTE(SUBSTITUTE(" "&amp;TRIM(SUBSTITUTE(SUBSTITUTE(SUBSTITUTE(SUBSTITUTE(SUBSTITUTE(SUBSTITUTE(SUBSTITUTE(SUBSTITUTE(SUBSTITUTE(SUBSTITUTE(SUBSTITUTE(SUBSTITUTE(SUBSTITUTE(SUBSTITUTE(SUBSTITUTE(UPPER(TRIM(A1889)),"[MEMBER]",""),"{MEMBER}",""),"[MEMBER}",""),"MEMBER]",""),"(A)",""),"""",""),"“",""),"”",""),".",""),":",""),",",""),"–"," "),"-"," "),"/"," "),"&amp;"," AND "))&amp;" "," THE "," ")," TOTAL "," ")," OPERATIONS "," "))</f>
        <v>US PACIFIC NORTHWEST</v>
      </c>
      <c r="O1889" s="17" t="str">
        <f aca="false">IF(COUNTIFS($N$2:$N$2000,N1889,$D$2:$D$2000,"&lt;&gt;"&amp;D1889)&gt;0,"CONFLICT","")</f>
        <v/>
      </c>
      <c r="P1889" s="7"/>
    </row>
    <row r="1890" customFormat="false" ht="15" hidden="false" customHeight="false" outlineLevel="0" collapsed="false">
      <c r="A1890" s="7" t="s">
        <v>111</v>
      </c>
      <c r="B1890" s="7" t="s">
        <v>1879</v>
      </c>
      <c r="C1890" s="7"/>
      <c r="D1890" s="6" t="s">
        <v>111</v>
      </c>
      <c r="E1890" s="6" t="s">
        <v>1880</v>
      </c>
      <c r="F1890" s="7" t="str">
        <f aca="false">IF($D1890="","",IFERROR(IF(INDEX(Hierarchy!$B$2:$B$1295,MATCH($D1890,Hierarchy!$A$2:$A$1295,0))="","",INDEX(Hierarchy!$B$2:$B$1295,MATCH($D1890,Hierarchy!$A$2:$A$1295,0))),"NODE NOT FOUND"))</f>
        <v>Sub-national region</v>
      </c>
      <c r="G1890" s="7" t="str">
        <f aca="false">IF($D1890="","",IFERROR(IF(INDEX(Hierarchy!$D$2:$D$1295,MATCH($D1890,Hierarchy!$A$2:$A$1295,0))="","",INDEX(Hierarchy!$D$2:$D$1295,MATCH($D1890,Hierarchy!$A$2:$A$1295,0))),"NODE NOT FOUND"))</f>
        <v>AMER</v>
      </c>
      <c r="H1890" s="7" t="str">
        <f aca="false">IF($D1890="","",IFERROR(IF(INDEX(Hierarchy!$E$2:$E$1295,MATCH($D1890,Hierarchy!$A$2:$A$1295,0))="","",INDEX(Hierarchy!$E$2:$E$1295,MATCH($D1890,Hierarchy!$A$2:$A$1295,0))),"NODE NOT FOUND"))</f>
        <v>North America (NORAM)</v>
      </c>
      <c r="I1890" s="7" t="str">
        <f aca="false">IF($D1890="","",IFERROR(IF(INDEX(Hierarchy!$F$2:$F$1295,MATCH($D1890,Hierarchy!$A$2:$A$1295,0))="","",INDEX(Hierarchy!$F$2:$F$1295,MATCH($D1890,Hierarchy!$A$2:$A$1295,0))),"NODE NOT FOUND"))</f>
        <v>United States</v>
      </c>
      <c r="J1890" s="7" t="str">
        <f aca="false">IF($D1890="","",IFERROR(IF(INDEX(Hierarchy!$G$2:$G$1295,MATCH($D1890,Hierarchy!$A$2:$A$1295,0))="","",INDEX(Hierarchy!$G$2:$G$1295,MATCH($D1890,Hierarchy!$A$2:$A$1295,0))),"NODE NOT FOUND"))</f>
        <v>USA</v>
      </c>
      <c r="K1890" s="7" t="str">
        <f aca="false">IF($D1890="","",IFERROR(IF(INDEX(Hierarchy!$H$2:$H$1295,MATCH($D1890,Hierarchy!$A$2:$A$1295,0))="","",INDEX(Hierarchy!$H$2:$H$1295,MATCH($D1890,Hierarchy!$A$2:$A$1295,0))),"NODE NOT FOUND"))</f>
        <v/>
      </c>
      <c r="L1890" s="7" t="str">
        <f aca="false">IF($D1890="","",IFERROR(IF(INDEX(Hierarchy!$I$2:$I$1295,MATCH($D1890,Hierarchy!$A$2:$A$1295,0))="","",INDEX(Hierarchy!$I$2:$I$1295,MATCH($D1890,Hierarchy!$A$2:$A$1295,0))),"NODE NOT FOUND"))</f>
        <v/>
      </c>
      <c r="M1890" s="17" t="str">
        <f aca="false">IF(B1890="Pre-seeded","Pre-seeded",IF(B1890="Review 2026-09-16","Added from review",IF(C1890="","New",IF(C1890=D1890,"","Changed"))))</f>
        <v>Pre-seeded</v>
      </c>
      <c r="N1890" s="7" t="str">
        <f aca="false">TRIM(SUBSTITUTE(SUBSTITUTE(SUBSTITUTE(" "&amp;TRIM(SUBSTITUTE(SUBSTITUTE(SUBSTITUTE(SUBSTITUTE(SUBSTITUTE(SUBSTITUTE(SUBSTITUTE(SUBSTITUTE(SUBSTITUTE(SUBSTITUTE(SUBSTITUTE(SUBSTITUTE(SUBSTITUTE(SUBSTITUTE(SUBSTITUTE(UPPER(TRIM(A1890)),"[MEMBER]",""),"{MEMBER}",""),"[MEMBER}",""),"MEMBER]",""),"(A)",""),"""",""),"“",""),"”",""),".",""),":",""),",",""),"–"," "),"-"," "),"/"," "),"&amp;"," AND "))&amp;" "," THE "," ")," TOTAL "," ")," OPERATIONS "," "))</f>
        <v>US RUST BELT</v>
      </c>
      <c r="O1890" s="17" t="str">
        <f aca="false">IF(COUNTIFS($N$2:$N$2000,N1890,$D$2:$D$2000,"&lt;&gt;"&amp;D1890)&gt;0,"CONFLICT","")</f>
        <v/>
      </c>
      <c r="P1890" s="7"/>
    </row>
    <row r="1891" customFormat="false" ht="15" hidden="false" customHeight="false" outlineLevel="0" collapsed="false">
      <c r="A1891" s="7" t="s">
        <v>112</v>
      </c>
      <c r="B1891" s="7" t="s">
        <v>1879</v>
      </c>
      <c r="C1891" s="7"/>
      <c r="D1891" s="6" t="s">
        <v>112</v>
      </c>
      <c r="E1891" s="6" t="s">
        <v>1880</v>
      </c>
      <c r="F1891" s="7" t="str">
        <f aca="false">IF($D1891="","",IFERROR(IF(INDEX(Hierarchy!$B$2:$B$1295,MATCH($D1891,Hierarchy!$A$2:$A$1295,0))="","",INDEX(Hierarchy!$B$2:$B$1295,MATCH($D1891,Hierarchy!$A$2:$A$1295,0))),"NODE NOT FOUND"))</f>
        <v>Sub-national region</v>
      </c>
      <c r="G1891" s="7" t="str">
        <f aca="false">IF($D1891="","",IFERROR(IF(INDEX(Hierarchy!$D$2:$D$1295,MATCH($D1891,Hierarchy!$A$2:$A$1295,0))="","",INDEX(Hierarchy!$D$2:$D$1295,MATCH($D1891,Hierarchy!$A$2:$A$1295,0))),"NODE NOT FOUND"))</f>
        <v>AMER</v>
      </c>
      <c r="H1891" s="7" t="str">
        <f aca="false">IF($D1891="","",IFERROR(IF(INDEX(Hierarchy!$E$2:$E$1295,MATCH($D1891,Hierarchy!$A$2:$A$1295,0))="","",INDEX(Hierarchy!$E$2:$E$1295,MATCH($D1891,Hierarchy!$A$2:$A$1295,0))),"NODE NOT FOUND"))</f>
        <v>North America (NORAM)</v>
      </c>
      <c r="I1891" s="7" t="str">
        <f aca="false">IF($D1891="","",IFERROR(IF(INDEX(Hierarchy!$F$2:$F$1295,MATCH($D1891,Hierarchy!$A$2:$A$1295,0))="","",INDEX(Hierarchy!$F$2:$F$1295,MATCH($D1891,Hierarchy!$A$2:$A$1295,0))),"NODE NOT FOUND"))</f>
        <v>United States</v>
      </c>
      <c r="J1891" s="7" t="str">
        <f aca="false">IF($D1891="","",IFERROR(IF(INDEX(Hierarchy!$G$2:$G$1295,MATCH($D1891,Hierarchy!$A$2:$A$1295,0))="","",INDEX(Hierarchy!$G$2:$G$1295,MATCH($D1891,Hierarchy!$A$2:$A$1295,0))),"NODE NOT FOUND"))</f>
        <v>USA</v>
      </c>
      <c r="K1891" s="7" t="str">
        <f aca="false">IF($D1891="","",IFERROR(IF(INDEX(Hierarchy!$H$2:$H$1295,MATCH($D1891,Hierarchy!$A$2:$A$1295,0))="","",INDEX(Hierarchy!$H$2:$H$1295,MATCH($D1891,Hierarchy!$A$2:$A$1295,0))),"NODE NOT FOUND"))</f>
        <v/>
      </c>
      <c r="L1891" s="7" t="str">
        <f aca="false">IF($D1891="","",IFERROR(IF(INDEX(Hierarchy!$I$2:$I$1295,MATCH($D1891,Hierarchy!$A$2:$A$1295,0))="","",INDEX(Hierarchy!$I$2:$I$1295,MATCH($D1891,Hierarchy!$A$2:$A$1295,0))),"NODE NOT FOUND"))</f>
        <v/>
      </c>
      <c r="M1891" s="17" t="str">
        <f aca="false">IF(B1891="Pre-seeded","Pre-seeded",IF(B1891="Review 2026-09-16","Added from review",IF(C1891="","New",IF(C1891=D1891,"","Changed"))))</f>
        <v>Pre-seeded</v>
      </c>
      <c r="N1891" s="7" t="str">
        <f aca="false">TRIM(SUBSTITUTE(SUBSTITUTE(SUBSTITUTE(" "&amp;TRIM(SUBSTITUTE(SUBSTITUTE(SUBSTITUTE(SUBSTITUTE(SUBSTITUTE(SUBSTITUTE(SUBSTITUTE(SUBSTITUTE(SUBSTITUTE(SUBSTITUTE(SUBSTITUTE(SUBSTITUTE(SUBSTITUTE(SUBSTITUTE(SUBSTITUTE(UPPER(TRIM(A1891)),"[MEMBER]",""),"{MEMBER}",""),"[MEMBER}",""),"MEMBER]",""),"(A)",""),"""",""),"“",""),"”",""),".",""),":",""),",",""),"–"," "),"-"," "),"/"," "),"&amp;"," AND "))&amp;" "," THE "," ")," TOTAL "," ")," OPERATIONS "," "))</f>
        <v>US SOUTH</v>
      </c>
      <c r="O1891" s="17" t="str">
        <f aca="false">IF(COUNTIFS($N$2:$N$2000,N1891,$D$2:$D$2000,"&lt;&gt;"&amp;D1891)&gt;0,"CONFLICT","")</f>
        <v/>
      </c>
      <c r="P1891" s="7"/>
    </row>
    <row r="1892" customFormat="false" ht="15" hidden="false" customHeight="false" outlineLevel="0" collapsed="false">
      <c r="A1892" s="7" t="s">
        <v>113</v>
      </c>
      <c r="B1892" s="7" t="s">
        <v>1879</v>
      </c>
      <c r="C1892" s="7"/>
      <c r="D1892" s="6" t="s">
        <v>113</v>
      </c>
      <c r="E1892" s="6" t="s">
        <v>1880</v>
      </c>
      <c r="F1892" s="7" t="str">
        <f aca="false">IF($D1892="","",IFERROR(IF(INDEX(Hierarchy!$B$2:$B$1295,MATCH($D1892,Hierarchy!$A$2:$A$1295,0))="","",INDEX(Hierarchy!$B$2:$B$1295,MATCH($D1892,Hierarchy!$A$2:$A$1295,0))),"NODE NOT FOUND"))</f>
        <v>Sub-national region</v>
      </c>
      <c r="G1892" s="7" t="str">
        <f aca="false">IF($D1892="","",IFERROR(IF(INDEX(Hierarchy!$D$2:$D$1295,MATCH($D1892,Hierarchy!$A$2:$A$1295,0))="","",INDEX(Hierarchy!$D$2:$D$1295,MATCH($D1892,Hierarchy!$A$2:$A$1295,0))),"NODE NOT FOUND"))</f>
        <v>AMER</v>
      </c>
      <c r="H1892" s="7" t="str">
        <f aca="false">IF($D1892="","",IFERROR(IF(INDEX(Hierarchy!$E$2:$E$1295,MATCH($D1892,Hierarchy!$A$2:$A$1295,0))="","",INDEX(Hierarchy!$E$2:$E$1295,MATCH($D1892,Hierarchy!$A$2:$A$1295,0))),"NODE NOT FOUND"))</f>
        <v>North America (NORAM)</v>
      </c>
      <c r="I1892" s="7" t="str">
        <f aca="false">IF($D1892="","",IFERROR(IF(INDEX(Hierarchy!$F$2:$F$1295,MATCH($D1892,Hierarchy!$A$2:$A$1295,0))="","",INDEX(Hierarchy!$F$2:$F$1295,MATCH($D1892,Hierarchy!$A$2:$A$1295,0))),"NODE NOT FOUND"))</f>
        <v>United States</v>
      </c>
      <c r="J1892" s="7" t="str">
        <f aca="false">IF($D1892="","",IFERROR(IF(INDEX(Hierarchy!$G$2:$G$1295,MATCH($D1892,Hierarchy!$A$2:$A$1295,0))="","",INDEX(Hierarchy!$G$2:$G$1295,MATCH($D1892,Hierarchy!$A$2:$A$1295,0))),"NODE NOT FOUND"))</f>
        <v>USA</v>
      </c>
      <c r="K1892" s="7" t="str">
        <f aca="false">IF($D1892="","",IFERROR(IF(INDEX(Hierarchy!$H$2:$H$1295,MATCH($D1892,Hierarchy!$A$2:$A$1295,0))="","",INDEX(Hierarchy!$H$2:$H$1295,MATCH($D1892,Hierarchy!$A$2:$A$1295,0))),"NODE NOT FOUND"))</f>
        <v/>
      </c>
      <c r="L1892" s="7" t="str">
        <f aca="false">IF($D1892="","",IFERROR(IF(INDEX(Hierarchy!$I$2:$I$1295,MATCH($D1892,Hierarchy!$A$2:$A$1295,0))="","",INDEX(Hierarchy!$I$2:$I$1295,MATCH($D1892,Hierarchy!$A$2:$A$1295,0))),"NODE NOT FOUND"))</f>
        <v/>
      </c>
      <c r="M1892" s="17" t="str">
        <f aca="false">IF(B1892="Pre-seeded","Pre-seeded",IF(B1892="Review 2026-09-16","Added from review",IF(C1892="","New",IF(C1892=D1892,"","Changed"))))</f>
        <v>Pre-seeded</v>
      </c>
      <c r="N1892" s="7" t="str">
        <f aca="false">TRIM(SUBSTITUTE(SUBSTITUTE(SUBSTITUTE(" "&amp;TRIM(SUBSTITUTE(SUBSTITUTE(SUBSTITUTE(SUBSTITUTE(SUBSTITUTE(SUBSTITUTE(SUBSTITUTE(SUBSTITUTE(SUBSTITUTE(SUBSTITUTE(SUBSTITUTE(SUBSTITUTE(SUBSTITUTE(SUBSTITUTE(SUBSTITUTE(UPPER(TRIM(A1892)),"[MEMBER]",""),"{MEMBER}",""),"[MEMBER}",""),"MEMBER]",""),"(A)",""),"""",""),"“",""),"”",""),".",""),":",""),",",""),"–"," "),"-"," "),"/"," "),"&amp;"," AND "))&amp;" "," THE "," ")," TOTAL "," ")," OPERATIONS "," "))</f>
        <v>US SOUTH ATLANTIC</v>
      </c>
      <c r="O1892" s="17" t="str">
        <f aca="false">IF(COUNTIFS($N$2:$N$2000,N1892,$D$2:$D$2000,"&lt;&gt;"&amp;D1892)&gt;0,"CONFLICT","")</f>
        <v/>
      </c>
      <c r="P1892" s="7"/>
    </row>
    <row r="1893" customFormat="false" ht="15" hidden="false" customHeight="false" outlineLevel="0" collapsed="false">
      <c r="A1893" s="7" t="s">
        <v>114</v>
      </c>
      <c r="B1893" s="7" t="s">
        <v>1879</v>
      </c>
      <c r="C1893" s="7"/>
      <c r="D1893" s="6" t="s">
        <v>114</v>
      </c>
      <c r="E1893" s="6" t="s">
        <v>1880</v>
      </c>
      <c r="F1893" s="7" t="str">
        <f aca="false">IF($D1893="","",IFERROR(IF(INDEX(Hierarchy!$B$2:$B$1295,MATCH($D1893,Hierarchy!$A$2:$A$1295,0))="","",INDEX(Hierarchy!$B$2:$B$1295,MATCH($D1893,Hierarchy!$A$2:$A$1295,0))),"NODE NOT FOUND"))</f>
        <v>Sub-national region</v>
      </c>
      <c r="G1893" s="7" t="str">
        <f aca="false">IF($D1893="","",IFERROR(IF(INDEX(Hierarchy!$D$2:$D$1295,MATCH($D1893,Hierarchy!$A$2:$A$1295,0))="","",INDEX(Hierarchy!$D$2:$D$1295,MATCH($D1893,Hierarchy!$A$2:$A$1295,0))),"NODE NOT FOUND"))</f>
        <v>AMER</v>
      </c>
      <c r="H1893" s="7" t="str">
        <f aca="false">IF($D1893="","",IFERROR(IF(INDEX(Hierarchy!$E$2:$E$1295,MATCH($D1893,Hierarchy!$A$2:$A$1295,0))="","",INDEX(Hierarchy!$E$2:$E$1295,MATCH($D1893,Hierarchy!$A$2:$A$1295,0))),"NODE NOT FOUND"))</f>
        <v>North America (NORAM)</v>
      </c>
      <c r="I1893" s="7" t="str">
        <f aca="false">IF($D1893="","",IFERROR(IF(INDEX(Hierarchy!$F$2:$F$1295,MATCH($D1893,Hierarchy!$A$2:$A$1295,0))="","",INDEX(Hierarchy!$F$2:$F$1295,MATCH($D1893,Hierarchy!$A$2:$A$1295,0))),"NODE NOT FOUND"))</f>
        <v>United States</v>
      </c>
      <c r="J1893" s="7" t="str">
        <f aca="false">IF($D1893="","",IFERROR(IF(INDEX(Hierarchy!$G$2:$G$1295,MATCH($D1893,Hierarchy!$A$2:$A$1295,0))="","",INDEX(Hierarchy!$G$2:$G$1295,MATCH($D1893,Hierarchy!$A$2:$A$1295,0))),"NODE NOT FOUND"))</f>
        <v>USA</v>
      </c>
      <c r="K1893" s="7" t="str">
        <f aca="false">IF($D1893="","",IFERROR(IF(INDEX(Hierarchy!$H$2:$H$1295,MATCH($D1893,Hierarchy!$A$2:$A$1295,0))="","",INDEX(Hierarchy!$H$2:$H$1295,MATCH($D1893,Hierarchy!$A$2:$A$1295,0))),"NODE NOT FOUND"))</f>
        <v/>
      </c>
      <c r="L1893" s="7" t="str">
        <f aca="false">IF($D1893="","",IFERROR(IF(INDEX(Hierarchy!$I$2:$I$1295,MATCH($D1893,Hierarchy!$A$2:$A$1295,0))="","",INDEX(Hierarchy!$I$2:$I$1295,MATCH($D1893,Hierarchy!$A$2:$A$1295,0))),"NODE NOT FOUND"))</f>
        <v/>
      </c>
      <c r="M1893" s="17" t="str">
        <f aca="false">IF(B1893="Pre-seeded","Pre-seeded",IF(B1893="Review 2026-09-16","Added from review",IF(C1893="","New",IF(C1893=D1893,"","Changed"))))</f>
        <v>Pre-seeded</v>
      </c>
      <c r="N1893" s="7" t="str">
        <f aca="false">TRIM(SUBSTITUTE(SUBSTITUTE(SUBSTITUTE(" "&amp;TRIM(SUBSTITUTE(SUBSTITUTE(SUBSTITUTE(SUBSTITUTE(SUBSTITUTE(SUBSTITUTE(SUBSTITUTE(SUBSTITUTE(SUBSTITUTE(SUBSTITUTE(SUBSTITUTE(SUBSTITUTE(SUBSTITUTE(SUBSTITUTE(SUBSTITUTE(UPPER(TRIM(A1893)),"[MEMBER]",""),"{MEMBER}",""),"[MEMBER}",""),"MEMBER]",""),"(A)",""),"""",""),"“",""),"”",""),".",""),":",""),",",""),"–"," "),"-"," "),"/"," "),"&amp;"," AND "))&amp;" "," THE "," ")," TOTAL "," ")," OPERATIONS "," "))</f>
        <v>US SOUTH CENTRAL</v>
      </c>
      <c r="O1893" s="17" t="str">
        <f aca="false">IF(COUNTIFS($N$2:$N$2000,N1893,$D$2:$D$2000,"&lt;&gt;"&amp;D1893)&gt;0,"CONFLICT","")</f>
        <v/>
      </c>
      <c r="P1893" s="7"/>
    </row>
    <row r="1894" customFormat="false" ht="15" hidden="false" customHeight="false" outlineLevel="0" collapsed="false">
      <c r="A1894" s="7" t="s">
        <v>116</v>
      </c>
      <c r="B1894" s="7" t="s">
        <v>1879</v>
      </c>
      <c r="C1894" s="7"/>
      <c r="D1894" s="6" t="s">
        <v>116</v>
      </c>
      <c r="E1894" s="6" t="s">
        <v>1880</v>
      </c>
      <c r="F1894" s="7" t="str">
        <f aca="false">IF($D1894="","",IFERROR(IF(INDEX(Hierarchy!$B$2:$B$1295,MATCH($D1894,Hierarchy!$A$2:$A$1295,0))="","",INDEX(Hierarchy!$B$2:$B$1295,MATCH($D1894,Hierarchy!$A$2:$A$1295,0))),"NODE NOT FOUND"))</f>
        <v>Sub-national region</v>
      </c>
      <c r="G1894" s="7" t="str">
        <f aca="false">IF($D1894="","",IFERROR(IF(INDEX(Hierarchy!$D$2:$D$1295,MATCH($D1894,Hierarchy!$A$2:$A$1295,0))="","",INDEX(Hierarchy!$D$2:$D$1295,MATCH($D1894,Hierarchy!$A$2:$A$1295,0))),"NODE NOT FOUND"))</f>
        <v>AMER</v>
      </c>
      <c r="H1894" s="7" t="str">
        <f aca="false">IF($D1894="","",IFERROR(IF(INDEX(Hierarchy!$E$2:$E$1295,MATCH($D1894,Hierarchy!$A$2:$A$1295,0))="","",INDEX(Hierarchy!$E$2:$E$1295,MATCH($D1894,Hierarchy!$A$2:$A$1295,0))),"NODE NOT FOUND"))</f>
        <v>North America (NORAM)</v>
      </c>
      <c r="I1894" s="7" t="str">
        <f aca="false">IF($D1894="","",IFERROR(IF(INDEX(Hierarchy!$F$2:$F$1295,MATCH($D1894,Hierarchy!$A$2:$A$1295,0))="","",INDEX(Hierarchy!$F$2:$F$1295,MATCH($D1894,Hierarchy!$A$2:$A$1295,0))),"NODE NOT FOUND"))</f>
        <v>United States</v>
      </c>
      <c r="J1894" s="7" t="str">
        <f aca="false">IF($D1894="","",IFERROR(IF(INDEX(Hierarchy!$G$2:$G$1295,MATCH($D1894,Hierarchy!$A$2:$A$1295,0))="","",INDEX(Hierarchy!$G$2:$G$1295,MATCH($D1894,Hierarchy!$A$2:$A$1295,0))),"NODE NOT FOUND"))</f>
        <v>USA</v>
      </c>
      <c r="K1894" s="7" t="str">
        <f aca="false">IF($D1894="","",IFERROR(IF(INDEX(Hierarchy!$H$2:$H$1295,MATCH($D1894,Hierarchy!$A$2:$A$1295,0))="","",INDEX(Hierarchy!$H$2:$H$1295,MATCH($D1894,Hierarchy!$A$2:$A$1295,0))),"NODE NOT FOUND"))</f>
        <v/>
      </c>
      <c r="L1894" s="7" t="str">
        <f aca="false">IF($D1894="","",IFERROR(IF(INDEX(Hierarchy!$I$2:$I$1295,MATCH($D1894,Hierarchy!$A$2:$A$1295,0))="","",INDEX(Hierarchy!$I$2:$I$1295,MATCH($D1894,Hierarchy!$A$2:$A$1295,0))),"NODE NOT FOUND"))</f>
        <v/>
      </c>
      <c r="M1894" s="17" t="str">
        <f aca="false">IF(B1894="Pre-seeded","Pre-seeded",IF(B1894="Review 2026-09-16","Added from review",IF(C1894="","New",IF(C1894=D1894,"","Changed"))))</f>
        <v>Pre-seeded</v>
      </c>
      <c r="N1894" s="7" t="str">
        <f aca="false">TRIM(SUBSTITUTE(SUBSTITUTE(SUBSTITUTE(" "&amp;TRIM(SUBSTITUTE(SUBSTITUTE(SUBSTITUTE(SUBSTITUTE(SUBSTITUTE(SUBSTITUTE(SUBSTITUTE(SUBSTITUTE(SUBSTITUTE(SUBSTITUTE(SUBSTITUTE(SUBSTITUTE(SUBSTITUTE(SUBSTITUTE(SUBSTITUTE(UPPER(TRIM(A1894)),"[MEMBER]",""),"{MEMBER}",""),"[MEMBER}",""),"MEMBER]",""),"(A)",""),"""",""),"“",""),"”",""),".",""),":",""),",",""),"–"," "),"-"," "),"/"," "),"&amp;"," AND "))&amp;" "," THE "," ")," TOTAL "," ")," OPERATIONS "," "))</f>
        <v>US SOUTHEAST</v>
      </c>
      <c r="O1894" s="17" t="str">
        <f aca="false">IF(COUNTIFS($N$2:$N$2000,N1894,$D$2:$D$2000,"&lt;&gt;"&amp;D1894)&gt;0,"CONFLICT","")</f>
        <v/>
      </c>
      <c r="P1894" s="7"/>
    </row>
    <row r="1895" customFormat="false" ht="15" hidden="false" customHeight="false" outlineLevel="0" collapsed="false">
      <c r="A1895" s="7" t="s">
        <v>117</v>
      </c>
      <c r="B1895" s="7" t="s">
        <v>1879</v>
      </c>
      <c r="C1895" s="7"/>
      <c r="D1895" s="6" t="s">
        <v>117</v>
      </c>
      <c r="E1895" s="6" t="s">
        <v>1880</v>
      </c>
      <c r="F1895" s="7" t="str">
        <f aca="false">IF($D1895="","",IFERROR(IF(INDEX(Hierarchy!$B$2:$B$1295,MATCH($D1895,Hierarchy!$A$2:$A$1295,0))="","",INDEX(Hierarchy!$B$2:$B$1295,MATCH($D1895,Hierarchy!$A$2:$A$1295,0))),"NODE NOT FOUND"))</f>
        <v>Sub-national region</v>
      </c>
      <c r="G1895" s="7" t="str">
        <f aca="false">IF($D1895="","",IFERROR(IF(INDEX(Hierarchy!$D$2:$D$1295,MATCH($D1895,Hierarchy!$A$2:$A$1295,0))="","",INDEX(Hierarchy!$D$2:$D$1295,MATCH($D1895,Hierarchy!$A$2:$A$1295,0))),"NODE NOT FOUND"))</f>
        <v>AMER</v>
      </c>
      <c r="H1895" s="7" t="str">
        <f aca="false">IF($D1895="","",IFERROR(IF(INDEX(Hierarchy!$E$2:$E$1295,MATCH($D1895,Hierarchy!$A$2:$A$1295,0))="","",INDEX(Hierarchy!$E$2:$E$1295,MATCH($D1895,Hierarchy!$A$2:$A$1295,0))),"NODE NOT FOUND"))</f>
        <v>North America (NORAM)</v>
      </c>
      <c r="I1895" s="7" t="str">
        <f aca="false">IF($D1895="","",IFERROR(IF(INDEX(Hierarchy!$F$2:$F$1295,MATCH($D1895,Hierarchy!$A$2:$A$1295,0))="","",INDEX(Hierarchy!$F$2:$F$1295,MATCH($D1895,Hierarchy!$A$2:$A$1295,0))),"NODE NOT FOUND"))</f>
        <v>United States</v>
      </c>
      <c r="J1895" s="7" t="str">
        <f aca="false">IF($D1895="","",IFERROR(IF(INDEX(Hierarchy!$G$2:$G$1295,MATCH($D1895,Hierarchy!$A$2:$A$1295,0))="","",INDEX(Hierarchy!$G$2:$G$1295,MATCH($D1895,Hierarchy!$A$2:$A$1295,0))),"NODE NOT FOUND"))</f>
        <v>USA</v>
      </c>
      <c r="K1895" s="7" t="str">
        <f aca="false">IF($D1895="","",IFERROR(IF(INDEX(Hierarchy!$H$2:$H$1295,MATCH($D1895,Hierarchy!$A$2:$A$1295,0))="","",INDEX(Hierarchy!$H$2:$H$1295,MATCH($D1895,Hierarchy!$A$2:$A$1295,0))),"NODE NOT FOUND"))</f>
        <v/>
      </c>
      <c r="L1895" s="7" t="str">
        <f aca="false">IF($D1895="","",IFERROR(IF(INDEX(Hierarchy!$I$2:$I$1295,MATCH($D1895,Hierarchy!$A$2:$A$1295,0))="","",INDEX(Hierarchy!$I$2:$I$1295,MATCH($D1895,Hierarchy!$A$2:$A$1295,0))),"NODE NOT FOUND"))</f>
        <v/>
      </c>
      <c r="M1895" s="17" t="str">
        <f aca="false">IF(B1895="Pre-seeded","Pre-seeded",IF(B1895="Review 2026-09-16","Added from review",IF(C1895="","New",IF(C1895=D1895,"","Changed"))))</f>
        <v>Pre-seeded</v>
      </c>
      <c r="N1895" s="7" t="str">
        <f aca="false">TRIM(SUBSTITUTE(SUBSTITUTE(SUBSTITUTE(" "&amp;TRIM(SUBSTITUTE(SUBSTITUTE(SUBSTITUTE(SUBSTITUTE(SUBSTITUTE(SUBSTITUTE(SUBSTITUTE(SUBSTITUTE(SUBSTITUTE(SUBSTITUTE(SUBSTITUTE(SUBSTITUTE(SUBSTITUTE(SUBSTITUTE(SUBSTITUTE(UPPER(TRIM(A1895)),"[MEMBER]",""),"{MEMBER}",""),"[MEMBER}",""),"MEMBER]",""),"(A)",""),"""",""),"“",""),"”",""),".",""),":",""),",",""),"–"," "),"-"," "),"/"," "),"&amp;"," AND "))&amp;" "," THE "," ")," TOTAL "," ")," OPERATIONS "," "))</f>
        <v>US SOUTHWEST</v>
      </c>
      <c r="O1895" s="17" t="str">
        <f aca="false">IF(COUNTIFS($N$2:$N$2000,N1895,$D$2:$D$2000,"&lt;&gt;"&amp;D1895)&gt;0,"CONFLICT","")</f>
        <v/>
      </c>
      <c r="P1895" s="7"/>
    </row>
    <row r="1896" customFormat="false" ht="15" hidden="false" customHeight="false" outlineLevel="0" collapsed="false">
      <c r="A1896" s="7" t="s">
        <v>118</v>
      </c>
      <c r="B1896" s="7" t="s">
        <v>1879</v>
      </c>
      <c r="C1896" s="7"/>
      <c r="D1896" s="6" t="s">
        <v>118</v>
      </c>
      <c r="E1896" s="6" t="s">
        <v>1880</v>
      </c>
      <c r="F1896" s="7" t="str">
        <f aca="false">IF($D1896="","",IFERROR(IF(INDEX(Hierarchy!$B$2:$B$1295,MATCH($D1896,Hierarchy!$A$2:$A$1295,0))="","",INDEX(Hierarchy!$B$2:$B$1295,MATCH($D1896,Hierarchy!$A$2:$A$1295,0))),"NODE NOT FOUND"))</f>
        <v>Sub-national region</v>
      </c>
      <c r="G1896" s="7" t="str">
        <f aca="false">IF($D1896="","",IFERROR(IF(INDEX(Hierarchy!$D$2:$D$1295,MATCH($D1896,Hierarchy!$A$2:$A$1295,0))="","",INDEX(Hierarchy!$D$2:$D$1295,MATCH($D1896,Hierarchy!$A$2:$A$1295,0))),"NODE NOT FOUND"))</f>
        <v>AMER</v>
      </c>
      <c r="H1896" s="7" t="str">
        <f aca="false">IF($D1896="","",IFERROR(IF(INDEX(Hierarchy!$E$2:$E$1295,MATCH($D1896,Hierarchy!$A$2:$A$1295,0))="","",INDEX(Hierarchy!$E$2:$E$1295,MATCH($D1896,Hierarchy!$A$2:$A$1295,0))),"NODE NOT FOUND"))</f>
        <v>North America (NORAM)</v>
      </c>
      <c r="I1896" s="7" t="str">
        <f aca="false">IF($D1896="","",IFERROR(IF(INDEX(Hierarchy!$F$2:$F$1295,MATCH($D1896,Hierarchy!$A$2:$A$1295,0))="","",INDEX(Hierarchy!$F$2:$F$1295,MATCH($D1896,Hierarchy!$A$2:$A$1295,0))),"NODE NOT FOUND"))</f>
        <v>United States</v>
      </c>
      <c r="J1896" s="7" t="str">
        <f aca="false">IF($D1896="","",IFERROR(IF(INDEX(Hierarchy!$G$2:$G$1295,MATCH($D1896,Hierarchy!$A$2:$A$1295,0))="","",INDEX(Hierarchy!$G$2:$G$1295,MATCH($D1896,Hierarchy!$A$2:$A$1295,0))),"NODE NOT FOUND"))</f>
        <v>USA</v>
      </c>
      <c r="K1896" s="7" t="str">
        <f aca="false">IF($D1896="","",IFERROR(IF(INDEX(Hierarchy!$H$2:$H$1295,MATCH($D1896,Hierarchy!$A$2:$A$1295,0))="","",INDEX(Hierarchy!$H$2:$H$1295,MATCH($D1896,Hierarchy!$A$2:$A$1295,0))),"NODE NOT FOUND"))</f>
        <v/>
      </c>
      <c r="L1896" s="7" t="str">
        <f aca="false">IF($D1896="","",IFERROR(IF(INDEX(Hierarchy!$I$2:$I$1295,MATCH($D1896,Hierarchy!$A$2:$A$1295,0))="","",INDEX(Hierarchy!$I$2:$I$1295,MATCH($D1896,Hierarchy!$A$2:$A$1295,0))),"NODE NOT FOUND"))</f>
        <v/>
      </c>
      <c r="M1896" s="17" t="str">
        <f aca="false">IF(B1896="Pre-seeded","Pre-seeded",IF(B1896="Review 2026-09-16","Added from review",IF(C1896="","New",IF(C1896=D1896,"","Changed"))))</f>
        <v>Pre-seeded</v>
      </c>
      <c r="N1896" s="7" t="str">
        <f aca="false">TRIM(SUBSTITUTE(SUBSTITUTE(SUBSTITUTE(" "&amp;TRIM(SUBSTITUTE(SUBSTITUTE(SUBSTITUTE(SUBSTITUTE(SUBSTITUTE(SUBSTITUTE(SUBSTITUTE(SUBSTITUTE(SUBSTITUTE(SUBSTITUTE(SUBSTITUTE(SUBSTITUTE(SUBSTITUTE(SUBSTITUTE(SUBSTITUTE(UPPER(TRIM(A1896)),"[MEMBER]",""),"{MEMBER}",""),"[MEMBER}",""),"MEMBER]",""),"(A)",""),"""",""),"“",""),"”",""),".",""),":",""),",",""),"–"," "),"-"," "),"/"," "),"&amp;"," AND "))&amp;" "," THE "," ")," TOTAL "," ")," OPERATIONS "," "))</f>
        <v>US SUN BELT</v>
      </c>
      <c r="O1896" s="17" t="str">
        <f aca="false">IF(COUNTIFS($N$2:$N$2000,N1896,$D$2:$D$2000,"&lt;&gt;"&amp;D1896)&gt;0,"CONFLICT","")</f>
        <v/>
      </c>
      <c r="P1896" s="7"/>
    </row>
    <row r="1897" customFormat="false" ht="15" hidden="false" customHeight="false" outlineLevel="0" collapsed="false">
      <c r="A1897" s="7" t="s">
        <v>119</v>
      </c>
      <c r="B1897" s="7" t="s">
        <v>1879</v>
      </c>
      <c r="C1897" s="7"/>
      <c r="D1897" s="6" t="s">
        <v>119</v>
      </c>
      <c r="E1897" s="6" t="s">
        <v>1880</v>
      </c>
      <c r="F1897" s="7" t="str">
        <f aca="false">IF($D1897="","",IFERROR(IF(INDEX(Hierarchy!$B$2:$B$1295,MATCH($D1897,Hierarchy!$A$2:$A$1295,0))="","",INDEX(Hierarchy!$B$2:$B$1295,MATCH($D1897,Hierarchy!$A$2:$A$1295,0))),"NODE NOT FOUND"))</f>
        <v>Sub-national region</v>
      </c>
      <c r="G1897" s="7" t="str">
        <f aca="false">IF($D1897="","",IFERROR(IF(INDEX(Hierarchy!$D$2:$D$1295,MATCH($D1897,Hierarchy!$A$2:$A$1295,0))="","",INDEX(Hierarchy!$D$2:$D$1295,MATCH($D1897,Hierarchy!$A$2:$A$1295,0))),"NODE NOT FOUND"))</f>
        <v>AMER</v>
      </c>
      <c r="H1897" s="7" t="str">
        <f aca="false">IF($D1897="","",IFERROR(IF(INDEX(Hierarchy!$E$2:$E$1295,MATCH($D1897,Hierarchy!$A$2:$A$1295,0))="","",INDEX(Hierarchy!$E$2:$E$1295,MATCH($D1897,Hierarchy!$A$2:$A$1295,0))),"NODE NOT FOUND"))</f>
        <v>North America (NORAM)</v>
      </c>
      <c r="I1897" s="7" t="str">
        <f aca="false">IF($D1897="","",IFERROR(IF(INDEX(Hierarchy!$F$2:$F$1295,MATCH($D1897,Hierarchy!$A$2:$A$1295,0))="","",INDEX(Hierarchy!$F$2:$F$1295,MATCH($D1897,Hierarchy!$A$2:$A$1295,0))),"NODE NOT FOUND"))</f>
        <v>United States</v>
      </c>
      <c r="J1897" s="7" t="str">
        <f aca="false">IF($D1897="","",IFERROR(IF(INDEX(Hierarchy!$G$2:$G$1295,MATCH($D1897,Hierarchy!$A$2:$A$1295,0))="","",INDEX(Hierarchy!$G$2:$G$1295,MATCH($D1897,Hierarchy!$A$2:$A$1295,0))),"NODE NOT FOUND"))</f>
        <v>USA</v>
      </c>
      <c r="K1897" s="7" t="str">
        <f aca="false">IF($D1897="","",IFERROR(IF(INDEX(Hierarchy!$H$2:$H$1295,MATCH($D1897,Hierarchy!$A$2:$A$1295,0))="","",INDEX(Hierarchy!$H$2:$H$1295,MATCH($D1897,Hierarchy!$A$2:$A$1295,0))),"NODE NOT FOUND"))</f>
        <v/>
      </c>
      <c r="L1897" s="7" t="str">
        <f aca="false">IF($D1897="","",IFERROR(IF(INDEX(Hierarchy!$I$2:$I$1295,MATCH($D1897,Hierarchy!$A$2:$A$1295,0))="","",INDEX(Hierarchy!$I$2:$I$1295,MATCH($D1897,Hierarchy!$A$2:$A$1295,0))),"NODE NOT FOUND"))</f>
        <v/>
      </c>
      <c r="M1897" s="17" t="str">
        <f aca="false">IF(B1897="Pre-seeded","Pre-seeded",IF(B1897="Review 2026-09-16","Added from review",IF(C1897="","New",IF(C1897=D1897,"","Changed"))))</f>
        <v>Pre-seeded</v>
      </c>
      <c r="N1897" s="7" t="str">
        <f aca="false">TRIM(SUBSTITUTE(SUBSTITUTE(SUBSTITUTE(" "&amp;TRIM(SUBSTITUTE(SUBSTITUTE(SUBSTITUTE(SUBSTITUTE(SUBSTITUTE(SUBSTITUTE(SUBSTITUTE(SUBSTITUTE(SUBSTITUTE(SUBSTITUTE(SUBSTITUTE(SUBSTITUTE(SUBSTITUTE(SUBSTITUTE(SUBSTITUTE(UPPER(TRIM(A1897)),"[MEMBER]",""),"{MEMBER}",""),"[MEMBER}",""),"MEMBER]",""),"(A)",""),"""",""),"“",""),"”",""),".",""),":",""),",",""),"–"," "),"-"," "),"/"," "),"&amp;"," AND "))&amp;" "," THE "," ")," TOTAL "," ")," OPERATIONS "," "))</f>
        <v>US TRI STATE AREA</v>
      </c>
      <c r="O1897" s="17" t="str">
        <f aca="false">IF(COUNTIFS($N$2:$N$2000,N1897,$D$2:$D$2000,"&lt;&gt;"&amp;D1897)&gt;0,"CONFLICT","")</f>
        <v/>
      </c>
      <c r="P1897" s="7"/>
    </row>
    <row r="1898" customFormat="false" ht="15" hidden="false" customHeight="false" outlineLevel="0" collapsed="false">
      <c r="A1898" s="7" t="s">
        <v>121</v>
      </c>
      <c r="B1898" s="7" t="s">
        <v>1879</v>
      </c>
      <c r="C1898" s="7"/>
      <c r="D1898" s="6" t="s">
        <v>121</v>
      </c>
      <c r="E1898" s="6" t="s">
        <v>1880</v>
      </c>
      <c r="F1898" s="7" t="str">
        <f aca="false">IF($D1898="","",IFERROR(IF(INDEX(Hierarchy!$B$2:$B$1295,MATCH($D1898,Hierarchy!$A$2:$A$1295,0))="","",INDEX(Hierarchy!$B$2:$B$1295,MATCH($D1898,Hierarchy!$A$2:$A$1295,0))),"NODE NOT FOUND"))</f>
        <v>Sub-national region</v>
      </c>
      <c r="G1898" s="7" t="str">
        <f aca="false">IF($D1898="","",IFERROR(IF(INDEX(Hierarchy!$D$2:$D$1295,MATCH($D1898,Hierarchy!$A$2:$A$1295,0))="","",INDEX(Hierarchy!$D$2:$D$1295,MATCH($D1898,Hierarchy!$A$2:$A$1295,0))),"NODE NOT FOUND"))</f>
        <v>AMER</v>
      </c>
      <c r="H1898" s="7" t="str">
        <f aca="false">IF($D1898="","",IFERROR(IF(INDEX(Hierarchy!$E$2:$E$1295,MATCH($D1898,Hierarchy!$A$2:$A$1295,0))="","",INDEX(Hierarchy!$E$2:$E$1295,MATCH($D1898,Hierarchy!$A$2:$A$1295,0))),"NODE NOT FOUND"))</f>
        <v>North America (NORAM)</v>
      </c>
      <c r="I1898" s="7" t="str">
        <f aca="false">IF($D1898="","",IFERROR(IF(INDEX(Hierarchy!$F$2:$F$1295,MATCH($D1898,Hierarchy!$A$2:$A$1295,0))="","",INDEX(Hierarchy!$F$2:$F$1295,MATCH($D1898,Hierarchy!$A$2:$A$1295,0))),"NODE NOT FOUND"))</f>
        <v>United States</v>
      </c>
      <c r="J1898" s="7" t="str">
        <f aca="false">IF($D1898="","",IFERROR(IF(INDEX(Hierarchy!$G$2:$G$1295,MATCH($D1898,Hierarchy!$A$2:$A$1295,0))="","",INDEX(Hierarchy!$G$2:$G$1295,MATCH($D1898,Hierarchy!$A$2:$A$1295,0))),"NODE NOT FOUND"))</f>
        <v>USA</v>
      </c>
      <c r="K1898" s="7" t="str">
        <f aca="false">IF($D1898="","",IFERROR(IF(INDEX(Hierarchy!$H$2:$H$1295,MATCH($D1898,Hierarchy!$A$2:$A$1295,0))="","",INDEX(Hierarchy!$H$2:$H$1295,MATCH($D1898,Hierarchy!$A$2:$A$1295,0))),"NODE NOT FOUND"))</f>
        <v/>
      </c>
      <c r="L1898" s="7" t="str">
        <f aca="false">IF($D1898="","",IFERROR(IF(INDEX(Hierarchy!$I$2:$I$1295,MATCH($D1898,Hierarchy!$A$2:$A$1295,0))="","",INDEX(Hierarchy!$I$2:$I$1295,MATCH($D1898,Hierarchy!$A$2:$A$1295,0))),"NODE NOT FOUND"))</f>
        <v/>
      </c>
      <c r="M1898" s="17" t="str">
        <f aca="false">IF(B1898="Pre-seeded","Pre-seeded",IF(B1898="Review 2026-09-16","Added from review",IF(C1898="","New",IF(C1898=D1898,"","Changed"))))</f>
        <v>Pre-seeded</v>
      </c>
      <c r="N1898" s="7" t="str">
        <f aca="false">TRIM(SUBSTITUTE(SUBSTITUTE(SUBSTITUTE(" "&amp;TRIM(SUBSTITUTE(SUBSTITUTE(SUBSTITUTE(SUBSTITUTE(SUBSTITUTE(SUBSTITUTE(SUBSTITUTE(SUBSTITUTE(SUBSTITUTE(SUBSTITUTE(SUBSTITUTE(SUBSTITUTE(SUBSTITUTE(SUBSTITUTE(SUBSTITUTE(UPPER(TRIM(A1898)),"[MEMBER]",""),"{MEMBER}",""),"[MEMBER}",""),"MEMBER]",""),"(A)",""),"""",""),"“",""),"”",""),".",""),":",""),",",""),"–"," "),"-"," "),"/"," "),"&amp;"," AND "))&amp;" "," THE "," ")," TOTAL "," ")," OPERATIONS "," "))</f>
        <v>US UPPER MIDWEST</v>
      </c>
      <c r="O1898" s="17" t="str">
        <f aca="false">IF(COUNTIFS($N$2:$N$2000,N1898,$D$2:$D$2000,"&lt;&gt;"&amp;D1898)&gt;0,"CONFLICT","")</f>
        <v/>
      </c>
      <c r="P1898" s="7"/>
    </row>
    <row r="1899" customFormat="false" ht="15" hidden="false" customHeight="false" outlineLevel="0" collapsed="false">
      <c r="A1899" s="7" t="s">
        <v>253</v>
      </c>
      <c r="B1899" s="7" t="s">
        <v>1879</v>
      </c>
      <c r="C1899" s="7"/>
      <c r="D1899" s="6" t="s">
        <v>253</v>
      </c>
      <c r="E1899" s="6" t="s">
        <v>1880</v>
      </c>
      <c r="F1899" s="7" t="str">
        <f aca="false">IF($D1899="","",IFERROR(IF(INDEX(Hierarchy!$B$2:$B$1295,MATCH($D1899,Hierarchy!$A$2:$A$1295,0))="","",INDEX(Hierarchy!$B$2:$B$1295,MATCH($D1899,Hierarchy!$A$2:$A$1295,0))),"NODE NOT FOUND"))</f>
        <v>State/Province</v>
      </c>
      <c r="G1899" s="7" t="str">
        <f aca="false">IF($D1899="","",IFERROR(IF(INDEX(Hierarchy!$D$2:$D$1295,MATCH($D1899,Hierarchy!$A$2:$A$1295,0))="","",INDEX(Hierarchy!$D$2:$D$1295,MATCH($D1899,Hierarchy!$A$2:$A$1295,0))),"NODE NOT FOUND"))</f>
        <v>AMER</v>
      </c>
      <c r="H1899" s="7" t="str">
        <f aca="false">IF($D1899="","",IFERROR(IF(INDEX(Hierarchy!$E$2:$E$1295,MATCH($D1899,Hierarchy!$A$2:$A$1295,0))="","",INDEX(Hierarchy!$E$2:$E$1295,MATCH($D1899,Hierarchy!$A$2:$A$1295,0))),"NODE NOT FOUND"))</f>
        <v>North America (NORAM)</v>
      </c>
      <c r="I1899" s="7" t="str">
        <f aca="false">IF($D1899="","",IFERROR(IF(INDEX(Hierarchy!$F$2:$F$1295,MATCH($D1899,Hierarchy!$A$2:$A$1295,0))="","",INDEX(Hierarchy!$F$2:$F$1295,MATCH($D1899,Hierarchy!$A$2:$A$1295,0))),"NODE NOT FOUND"))</f>
        <v>United States</v>
      </c>
      <c r="J1899" s="7" t="str">
        <f aca="false">IF($D1899="","",IFERROR(IF(INDEX(Hierarchy!$G$2:$G$1295,MATCH($D1899,Hierarchy!$A$2:$A$1295,0))="","",INDEX(Hierarchy!$G$2:$G$1295,MATCH($D1899,Hierarchy!$A$2:$A$1295,0))),"NODE NOT FOUND"))</f>
        <v>USA</v>
      </c>
      <c r="K1899" s="7" t="str">
        <f aca="false">IF($D1899="","",IFERROR(IF(INDEX(Hierarchy!$H$2:$H$1295,MATCH($D1899,Hierarchy!$A$2:$A$1295,0))="","",INDEX(Hierarchy!$H$2:$H$1295,MATCH($D1899,Hierarchy!$A$2:$A$1295,0))),"NODE NOT FOUND"))</f>
        <v>US Virgin Islands</v>
      </c>
      <c r="L1899" s="7" t="str">
        <f aca="false">IF($D1899="","",IFERROR(IF(INDEX(Hierarchy!$I$2:$I$1295,MATCH($D1899,Hierarchy!$A$2:$A$1295,0))="","",INDEX(Hierarchy!$I$2:$I$1295,MATCH($D1899,Hierarchy!$A$2:$A$1295,0))),"NODE NOT FOUND"))</f>
        <v/>
      </c>
      <c r="M1899" s="17" t="str">
        <f aca="false">IF(B1899="Pre-seeded","Pre-seeded",IF(B1899="Review 2026-09-16","Added from review",IF(C1899="","New",IF(C1899=D1899,"","Changed"))))</f>
        <v>Pre-seeded</v>
      </c>
      <c r="N1899" s="7" t="str">
        <f aca="false">TRIM(SUBSTITUTE(SUBSTITUTE(SUBSTITUTE(" "&amp;TRIM(SUBSTITUTE(SUBSTITUTE(SUBSTITUTE(SUBSTITUTE(SUBSTITUTE(SUBSTITUTE(SUBSTITUTE(SUBSTITUTE(SUBSTITUTE(SUBSTITUTE(SUBSTITUTE(SUBSTITUTE(SUBSTITUTE(SUBSTITUTE(SUBSTITUTE(UPPER(TRIM(A1899)),"[MEMBER]",""),"{MEMBER}",""),"[MEMBER}",""),"MEMBER]",""),"(A)",""),"""",""),"“",""),"”",""),".",""),":",""),",",""),"–"," "),"-"," "),"/"," "),"&amp;"," AND "))&amp;" "," THE "," ")," TOTAL "," ")," OPERATIONS "," "))</f>
        <v>US VIRGIN ISLANDS</v>
      </c>
      <c r="O1899" s="17" t="str">
        <f aca="false">IF(COUNTIFS($N$2:$N$2000,N1899,$D$2:$D$2000,"&lt;&gt;"&amp;D1899)&gt;0,"CONFLICT","")</f>
        <v/>
      </c>
      <c r="P1899" s="7"/>
    </row>
    <row r="1900" customFormat="false" ht="15" hidden="false" customHeight="false" outlineLevel="0" collapsed="false">
      <c r="A1900" s="7" t="s">
        <v>122</v>
      </c>
      <c r="B1900" s="7" t="s">
        <v>1879</v>
      </c>
      <c r="C1900" s="7"/>
      <c r="D1900" s="6" t="s">
        <v>122</v>
      </c>
      <c r="E1900" s="6" t="s">
        <v>1880</v>
      </c>
      <c r="F1900" s="7" t="str">
        <f aca="false">IF($D1900="","",IFERROR(IF(INDEX(Hierarchy!$B$2:$B$1295,MATCH($D1900,Hierarchy!$A$2:$A$1295,0))="","",INDEX(Hierarchy!$B$2:$B$1295,MATCH($D1900,Hierarchy!$A$2:$A$1295,0))),"NODE NOT FOUND"))</f>
        <v>Sub-national region</v>
      </c>
      <c r="G1900" s="7" t="str">
        <f aca="false">IF($D1900="","",IFERROR(IF(INDEX(Hierarchy!$D$2:$D$1295,MATCH($D1900,Hierarchy!$A$2:$A$1295,0))="","",INDEX(Hierarchy!$D$2:$D$1295,MATCH($D1900,Hierarchy!$A$2:$A$1295,0))),"NODE NOT FOUND"))</f>
        <v>AMER</v>
      </c>
      <c r="H1900" s="7" t="str">
        <f aca="false">IF($D1900="","",IFERROR(IF(INDEX(Hierarchy!$E$2:$E$1295,MATCH($D1900,Hierarchy!$A$2:$A$1295,0))="","",INDEX(Hierarchy!$E$2:$E$1295,MATCH($D1900,Hierarchy!$A$2:$A$1295,0))),"NODE NOT FOUND"))</f>
        <v>North America (NORAM)</v>
      </c>
      <c r="I1900" s="7" t="str">
        <f aca="false">IF($D1900="","",IFERROR(IF(INDEX(Hierarchy!$F$2:$F$1295,MATCH($D1900,Hierarchy!$A$2:$A$1295,0))="","",INDEX(Hierarchy!$F$2:$F$1295,MATCH($D1900,Hierarchy!$A$2:$A$1295,0))),"NODE NOT FOUND"))</f>
        <v>United States</v>
      </c>
      <c r="J1900" s="7" t="str">
        <f aca="false">IF($D1900="","",IFERROR(IF(INDEX(Hierarchy!$G$2:$G$1295,MATCH($D1900,Hierarchy!$A$2:$A$1295,0))="","",INDEX(Hierarchy!$G$2:$G$1295,MATCH($D1900,Hierarchy!$A$2:$A$1295,0))),"NODE NOT FOUND"))</f>
        <v>USA</v>
      </c>
      <c r="K1900" s="7" t="str">
        <f aca="false">IF($D1900="","",IFERROR(IF(INDEX(Hierarchy!$H$2:$H$1295,MATCH($D1900,Hierarchy!$A$2:$A$1295,0))="","",INDEX(Hierarchy!$H$2:$H$1295,MATCH($D1900,Hierarchy!$A$2:$A$1295,0))),"NODE NOT FOUND"))</f>
        <v/>
      </c>
      <c r="L1900" s="7" t="str">
        <f aca="false">IF($D1900="","",IFERROR(IF(INDEX(Hierarchy!$I$2:$I$1295,MATCH($D1900,Hierarchy!$A$2:$A$1295,0))="","",INDEX(Hierarchy!$I$2:$I$1295,MATCH($D1900,Hierarchy!$A$2:$A$1295,0))),"NODE NOT FOUND"))</f>
        <v/>
      </c>
      <c r="M1900" s="17" t="str">
        <f aca="false">IF(B1900="Pre-seeded","Pre-seeded",IF(B1900="Review 2026-09-16","Added from review",IF(C1900="","New",IF(C1900=D1900,"","Changed"))))</f>
        <v>Pre-seeded</v>
      </c>
      <c r="N1900" s="7" t="str">
        <f aca="false">TRIM(SUBSTITUTE(SUBSTITUTE(SUBSTITUTE(" "&amp;TRIM(SUBSTITUTE(SUBSTITUTE(SUBSTITUTE(SUBSTITUTE(SUBSTITUTE(SUBSTITUTE(SUBSTITUTE(SUBSTITUTE(SUBSTITUTE(SUBSTITUTE(SUBSTITUTE(SUBSTITUTE(SUBSTITUTE(SUBSTITUTE(SUBSTITUTE(UPPER(TRIM(A1900)),"[MEMBER]",""),"{MEMBER}",""),"[MEMBER}",""),"MEMBER]",""),"(A)",""),"""",""),"“",""),"”",""),".",""),":",""),",",""),"–"," "),"-"," "),"/"," "),"&amp;"," AND "))&amp;" "," THE "," ")," TOTAL "," ")," OPERATIONS "," "))</f>
        <v>US WASHINGTON METRO (DMV)</v>
      </c>
      <c r="O1900" s="17" t="str">
        <f aca="false">IF(COUNTIFS($N$2:$N$2000,N1900,$D$2:$D$2000,"&lt;&gt;"&amp;D1900)&gt;0,"CONFLICT","")</f>
        <v/>
      </c>
      <c r="P1900" s="7"/>
    </row>
    <row r="1901" customFormat="false" ht="15" hidden="false" customHeight="false" outlineLevel="0" collapsed="false">
      <c r="A1901" s="7" t="s">
        <v>124</v>
      </c>
      <c r="B1901" s="7" t="s">
        <v>1879</v>
      </c>
      <c r="C1901" s="7"/>
      <c r="D1901" s="6" t="s">
        <v>124</v>
      </c>
      <c r="E1901" s="6" t="s">
        <v>1880</v>
      </c>
      <c r="F1901" s="7" t="str">
        <f aca="false">IF($D1901="","",IFERROR(IF(INDEX(Hierarchy!$B$2:$B$1295,MATCH($D1901,Hierarchy!$A$2:$A$1295,0))="","",INDEX(Hierarchy!$B$2:$B$1295,MATCH($D1901,Hierarchy!$A$2:$A$1295,0))),"NODE NOT FOUND"))</f>
        <v>Sub-national region</v>
      </c>
      <c r="G1901" s="7" t="str">
        <f aca="false">IF($D1901="","",IFERROR(IF(INDEX(Hierarchy!$D$2:$D$1295,MATCH($D1901,Hierarchy!$A$2:$A$1295,0))="","",INDEX(Hierarchy!$D$2:$D$1295,MATCH($D1901,Hierarchy!$A$2:$A$1295,0))),"NODE NOT FOUND"))</f>
        <v>AMER</v>
      </c>
      <c r="H1901" s="7" t="str">
        <f aca="false">IF($D1901="","",IFERROR(IF(INDEX(Hierarchy!$E$2:$E$1295,MATCH($D1901,Hierarchy!$A$2:$A$1295,0))="","",INDEX(Hierarchy!$E$2:$E$1295,MATCH($D1901,Hierarchy!$A$2:$A$1295,0))),"NODE NOT FOUND"))</f>
        <v>North America (NORAM)</v>
      </c>
      <c r="I1901" s="7" t="str">
        <f aca="false">IF($D1901="","",IFERROR(IF(INDEX(Hierarchy!$F$2:$F$1295,MATCH($D1901,Hierarchy!$A$2:$A$1295,0))="","",INDEX(Hierarchy!$F$2:$F$1295,MATCH($D1901,Hierarchy!$A$2:$A$1295,0))),"NODE NOT FOUND"))</f>
        <v>United States</v>
      </c>
      <c r="J1901" s="7" t="str">
        <f aca="false">IF($D1901="","",IFERROR(IF(INDEX(Hierarchy!$G$2:$G$1295,MATCH($D1901,Hierarchy!$A$2:$A$1295,0))="","",INDEX(Hierarchy!$G$2:$G$1295,MATCH($D1901,Hierarchy!$A$2:$A$1295,0))),"NODE NOT FOUND"))</f>
        <v>USA</v>
      </c>
      <c r="K1901" s="7" t="str">
        <f aca="false">IF($D1901="","",IFERROR(IF(INDEX(Hierarchy!$H$2:$H$1295,MATCH($D1901,Hierarchy!$A$2:$A$1295,0))="","",INDEX(Hierarchy!$H$2:$H$1295,MATCH($D1901,Hierarchy!$A$2:$A$1295,0))),"NODE NOT FOUND"))</f>
        <v/>
      </c>
      <c r="L1901" s="7" t="str">
        <f aca="false">IF($D1901="","",IFERROR(IF(INDEX(Hierarchy!$I$2:$I$1295,MATCH($D1901,Hierarchy!$A$2:$A$1295,0))="","",INDEX(Hierarchy!$I$2:$I$1295,MATCH($D1901,Hierarchy!$A$2:$A$1295,0))),"NODE NOT FOUND"))</f>
        <v/>
      </c>
      <c r="M1901" s="17" t="str">
        <f aca="false">IF(B1901="Pre-seeded","Pre-seeded",IF(B1901="Review 2026-09-16","Added from review",IF(C1901="","New",IF(C1901=D1901,"","Changed"))))</f>
        <v>Pre-seeded</v>
      </c>
      <c r="N1901" s="7" t="str">
        <f aca="false">TRIM(SUBSTITUTE(SUBSTITUTE(SUBSTITUTE(" "&amp;TRIM(SUBSTITUTE(SUBSTITUTE(SUBSTITUTE(SUBSTITUTE(SUBSTITUTE(SUBSTITUTE(SUBSTITUTE(SUBSTITUTE(SUBSTITUTE(SUBSTITUTE(SUBSTITUTE(SUBSTITUTE(SUBSTITUTE(SUBSTITUTE(SUBSTITUTE(UPPER(TRIM(A1901)),"[MEMBER]",""),"{MEMBER}",""),"[MEMBER}",""),"MEMBER]",""),"(A)",""),"""",""),"“",""),"”",""),".",""),":",""),",",""),"–"," "),"-"," "),"/"," "),"&amp;"," AND "))&amp;" "," THE "," ")," TOTAL "," ")," OPERATIONS "," "))</f>
        <v>US WEST</v>
      </c>
      <c r="O1901" s="17" t="str">
        <f aca="false">IF(COUNTIFS($N$2:$N$2000,N1901,$D$2:$D$2000,"&lt;&gt;"&amp;D1901)&gt;0,"CONFLICT","")</f>
        <v/>
      </c>
      <c r="P1901" s="7"/>
    </row>
    <row r="1902" customFormat="false" ht="15" hidden="false" customHeight="false" outlineLevel="0" collapsed="false">
      <c r="A1902" s="7" t="s">
        <v>125</v>
      </c>
      <c r="B1902" s="7" t="s">
        <v>1879</v>
      </c>
      <c r="C1902" s="7"/>
      <c r="D1902" s="6" t="s">
        <v>125</v>
      </c>
      <c r="E1902" s="6" t="s">
        <v>1880</v>
      </c>
      <c r="F1902" s="7" t="str">
        <f aca="false">IF($D1902="","",IFERROR(IF(INDEX(Hierarchy!$B$2:$B$1295,MATCH($D1902,Hierarchy!$A$2:$A$1295,0))="","",INDEX(Hierarchy!$B$2:$B$1295,MATCH($D1902,Hierarchy!$A$2:$A$1295,0))),"NODE NOT FOUND"))</f>
        <v>Sub-national region</v>
      </c>
      <c r="G1902" s="7" t="str">
        <f aca="false">IF($D1902="","",IFERROR(IF(INDEX(Hierarchy!$D$2:$D$1295,MATCH($D1902,Hierarchy!$A$2:$A$1295,0))="","",INDEX(Hierarchy!$D$2:$D$1295,MATCH($D1902,Hierarchy!$A$2:$A$1295,0))),"NODE NOT FOUND"))</f>
        <v>AMER</v>
      </c>
      <c r="H1902" s="7" t="str">
        <f aca="false">IF($D1902="","",IFERROR(IF(INDEX(Hierarchy!$E$2:$E$1295,MATCH($D1902,Hierarchy!$A$2:$A$1295,0))="","",INDEX(Hierarchy!$E$2:$E$1295,MATCH($D1902,Hierarchy!$A$2:$A$1295,0))),"NODE NOT FOUND"))</f>
        <v>North America (NORAM)</v>
      </c>
      <c r="I1902" s="7" t="str">
        <f aca="false">IF($D1902="","",IFERROR(IF(INDEX(Hierarchy!$F$2:$F$1295,MATCH($D1902,Hierarchy!$A$2:$A$1295,0))="","",INDEX(Hierarchy!$F$2:$F$1295,MATCH($D1902,Hierarchy!$A$2:$A$1295,0))),"NODE NOT FOUND"))</f>
        <v>United States</v>
      </c>
      <c r="J1902" s="7" t="str">
        <f aca="false">IF($D1902="","",IFERROR(IF(INDEX(Hierarchy!$G$2:$G$1295,MATCH($D1902,Hierarchy!$A$2:$A$1295,0))="","",INDEX(Hierarchy!$G$2:$G$1295,MATCH($D1902,Hierarchy!$A$2:$A$1295,0))),"NODE NOT FOUND"))</f>
        <v>USA</v>
      </c>
      <c r="K1902" s="7" t="str">
        <f aca="false">IF($D1902="","",IFERROR(IF(INDEX(Hierarchy!$H$2:$H$1295,MATCH($D1902,Hierarchy!$A$2:$A$1295,0))="","",INDEX(Hierarchy!$H$2:$H$1295,MATCH($D1902,Hierarchy!$A$2:$A$1295,0))),"NODE NOT FOUND"))</f>
        <v/>
      </c>
      <c r="L1902" s="7" t="str">
        <f aca="false">IF($D1902="","",IFERROR(IF(INDEX(Hierarchy!$I$2:$I$1295,MATCH($D1902,Hierarchy!$A$2:$A$1295,0))="","",INDEX(Hierarchy!$I$2:$I$1295,MATCH($D1902,Hierarchy!$A$2:$A$1295,0))),"NODE NOT FOUND"))</f>
        <v/>
      </c>
      <c r="M1902" s="17" t="str">
        <f aca="false">IF(B1902="Pre-seeded","Pre-seeded",IF(B1902="Review 2026-09-16","Added from review",IF(C1902="","New",IF(C1902=D1902,"","Changed"))))</f>
        <v>Pre-seeded</v>
      </c>
      <c r="N1902" s="7" t="str">
        <f aca="false">TRIM(SUBSTITUTE(SUBSTITUTE(SUBSTITUTE(" "&amp;TRIM(SUBSTITUTE(SUBSTITUTE(SUBSTITUTE(SUBSTITUTE(SUBSTITUTE(SUBSTITUTE(SUBSTITUTE(SUBSTITUTE(SUBSTITUTE(SUBSTITUTE(SUBSTITUTE(SUBSTITUTE(SUBSTITUTE(SUBSTITUTE(SUBSTITUTE(UPPER(TRIM(A1902)),"[MEMBER]",""),"{MEMBER}",""),"[MEMBER}",""),"MEMBER]",""),"(A)",""),"""",""),"“",""),"”",""),".",""),":",""),",",""),"–"," "),"-"," "),"/"," "),"&amp;"," AND "))&amp;" "," THE "," ")," TOTAL "," ")," OPERATIONS "," "))</f>
        <v>US WEST COAST</v>
      </c>
      <c r="O1902" s="17" t="str">
        <f aca="false">IF(COUNTIFS($N$2:$N$2000,N1902,$D$2:$D$2000,"&lt;&gt;"&amp;D1902)&gt;0,"CONFLICT","")</f>
        <v/>
      </c>
      <c r="P1902" s="7"/>
    </row>
    <row r="1903" customFormat="false" ht="15" hidden="false" customHeight="false" outlineLevel="0" collapsed="false">
      <c r="A1903" s="7" t="s">
        <v>126</v>
      </c>
      <c r="B1903" s="7" t="s">
        <v>1879</v>
      </c>
      <c r="C1903" s="7"/>
      <c r="D1903" s="6" t="s">
        <v>126</v>
      </c>
      <c r="E1903" s="6" t="s">
        <v>1880</v>
      </c>
      <c r="F1903" s="7" t="str">
        <f aca="false">IF($D1903="","",IFERROR(IF(INDEX(Hierarchy!$B$2:$B$1295,MATCH($D1903,Hierarchy!$A$2:$A$1295,0))="","",INDEX(Hierarchy!$B$2:$B$1295,MATCH($D1903,Hierarchy!$A$2:$A$1295,0))),"NODE NOT FOUND"))</f>
        <v>Sub-national region</v>
      </c>
      <c r="G1903" s="7" t="str">
        <f aca="false">IF($D1903="","",IFERROR(IF(INDEX(Hierarchy!$D$2:$D$1295,MATCH($D1903,Hierarchy!$A$2:$A$1295,0))="","",INDEX(Hierarchy!$D$2:$D$1295,MATCH($D1903,Hierarchy!$A$2:$A$1295,0))),"NODE NOT FOUND"))</f>
        <v>AMER</v>
      </c>
      <c r="H1903" s="7" t="str">
        <f aca="false">IF($D1903="","",IFERROR(IF(INDEX(Hierarchy!$E$2:$E$1295,MATCH($D1903,Hierarchy!$A$2:$A$1295,0))="","",INDEX(Hierarchy!$E$2:$E$1295,MATCH($D1903,Hierarchy!$A$2:$A$1295,0))),"NODE NOT FOUND"))</f>
        <v>North America (NORAM)</v>
      </c>
      <c r="I1903" s="7" t="str">
        <f aca="false">IF($D1903="","",IFERROR(IF(INDEX(Hierarchy!$F$2:$F$1295,MATCH($D1903,Hierarchy!$A$2:$A$1295,0))="","",INDEX(Hierarchy!$F$2:$F$1295,MATCH($D1903,Hierarchy!$A$2:$A$1295,0))),"NODE NOT FOUND"))</f>
        <v>United States</v>
      </c>
      <c r="J1903" s="7" t="str">
        <f aca="false">IF($D1903="","",IFERROR(IF(INDEX(Hierarchy!$G$2:$G$1295,MATCH($D1903,Hierarchy!$A$2:$A$1295,0))="","",INDEX(Hierarchy!$G$2:$G$1295,MATCH($D1903,Hierarchy!$A$2:$A$1295,0))),"NODE NOT FOUND"))</f>
        <v>USA</v>
      </c>
      <c r="K1903" s="7" t="str">
        <f aca="false">IF($D1903="","",IFERROR(IF(INDEX(Hierarchy!$H$2:$H$1295,MATCH($D1903,Hierarchy!$A$2:$A$1295,0))="","",INDEX(Hierarchy!$H$2:$H$1295,MATCH($D1903,Hierarchy!$A$2:$A$1295,0))),"NODE NOT FOUND"))</f>
        <v/>
      </c>
      <c r="L1903" s="7" t="str">
        <f aca="false">IF($D1903="","",IFERROR(IF(INDEX(Hierarchy!$I$2:$I$1295,MATCH($D1903,Hierarchy!$A$2:$A$1295,0))="","",INDEX(Hierarchy!$I$2:$I$1295,MATCH($D1903,Hierarchy!$A$2:$A$1295,0))),"NODE NOT FOUND"))</f>
        <v/>
      </c>
      <c r="M1903" s="17" t="str">
        <f aca="false">IF(B1903="Pre-seeded","Pre-seeded",IF(B1903="Review 2026-09-16","Added from review",IF(C1903="","New",IF(C1903=D1903,"","Changed"))))</f>
        <v>Pre-seeded</v>
      </c>
      <c r="N1903" s="7" t="str">
        <f aca="false">TRIM(SUBSTITUTE(SUBSTITUTE(SUBSTITUTE(" "&amp;TRIM(SUBSTITUTE(SUBSTITUTE(SUBSTITUTE(SUBSTITUTE(SUBSTITUTE(SUBSTITUTE(SUBSTITUTE(SUBSTITUTE(SUBSTITUTE(SUBSTITUTE(SUBSTITUTE(SUBSTITUTE(SUBSTITUTE(SUBSTITUTE(SUBSTITUTE(UPPER(TRIM(A1903)),"[MEMBER]",""),"{MEMBER}",""),"[MEMBER}",""),"MEMBER]",""),"(A)",""),"""",""),"“",""),"”",""),".",""),":",""),",",""),"–"," "),"-"," "),"/"," "),"&amp;"," AND "))&amp;" "," THE "," ")," TOTAL "," ")," OPERATIONS "," "))</f>
        <v>US WEST NORTH CENTRAL</v>
      </c>
      <c r="O1903" s="17" t="str">
        <f aca="false">IF(COUNTIFS($N$2:$N$2000,N1903,$D$2:$D$2000,"&lt;&gt;"&amp;D1903)&gt;0,"CONFLICT","")</f>
        <v/>
      </c>
      <c r="P1903" s="7"/>
    </row>
    <row r="1904" customFormat="false" ht="15" hidden="false" customHeight="false" outlineLevel="0" collapsed="false">
      <c r="A1904" s="7" t="s">
        <v>127</v>
      </c>
      <c r="B1904" s="7" t="s">
        <v>1879</v>
      </c>
      <c r="C1904" s="7"/>
      <c r="D1904" s="6" t="s">
        <v>127</v>
      </c>
      <c r="E1904" s="6" t="s">
        <v>1880</v>
      </c>
      <c r="F1904" s="7" t="str">
        <f aca="false">IF($D1904="","",IFERROR(IF(INDEX(Hierarchy!$B$2:$B$1295,MATCH($D1904,Hierarchy!$A$2:$A$1295,0))="","",INDEX(Hierarchy!$B$2:$B$1295,MATCH($D1904,Hierarchy!$A$2:$A$1295,0))),"NODE NOT FOUND"))</f>
        <v>Sub-national region</v>
      </c>
      <c r="G1904" s="7" t="str">
        <f aca="false">IF($D1904="","",IFERROR(IF(INDEX(Hierarchy!$D$2:$D$1295,MATCH($D1904,Hierarchy!$A$2:$A$1295,0))="","",INDEX(Hierarchy!$D$2:$D$1295,MATCH($D1904,Hierarchy!$A$2:$A$1295,0))),"NODE NOT FOUND"))</f>
        <v>AMER</v>
      </c>
      <c r="H1904" s="7" t="str">
        <f aca="false">IF($D1904="","",IFERROR(IF(INDEX(Hierarchy!$E$2:$E$1295,MATCH($D1904,Hierarchy!$A$2:$A$1295,0))="","",INDEX(Hierarchy!$E$2:$E$1295,MATCH($D1904,Hierarchy!$A$2:$A$1295,0))),"NODE NOT FOUND"))</f>
        <v>North America (NORAM)</v>
      </c>
      <c r="I1904" s="7" t="str">
        <f aca="false">IF($D1904="","",IFERROR(IF(INDEX(Hierarchy!$F$2:$F$1295,MATCH($D1904,Hierarchy!$A$2:$A$1295,0))="","",INDEX(Hierarchy!$F$2:$F$1295,MATCH($D1904,Hierarchy!$A$2:$A$1295,0))),"NODE NOT FOUND"))</f>
        <v>United States</v>
      </c>
      <c r="J1904" s="7" t="str">
        <f aca="false">IF($D1904="","",IFERROR(IF(INDEX(Hierarchy!$G$2:$G$1295,MATCH($D1904,Hierarchy!$A$2:$A$1295,0))="","",INDEX(Hierarchy!$G$2:$G$1295,MATCH($D1904,Hierarchy!$A$2:$A$1295,0))),"NODE NOT FOUND"))</f>
        <v>USA</v>
      </c>
      <c r="K1904" s="7" t="str">
        <f aca="false">IF($D1904="","",IFERROR(IF(INDEX(Hierarchy!$H$2:$H$1295,MATCH($D1904,Hierarchy!$A$2:$A$1295,0))="","",INDEX(Hierarchy!$H$2:$H$1295,MATCH($D1904,Hierarchy!$A$2:$A$1295,0))),"NODE NOT FOUND"))</f>
        <v/>
      </c>
      <c r="L1904" s="7" t="str">
        <f aca="false">IF($D1904="","",IFERROR(IF(INDEX(Hierarchy!$I$2:$I$1295,MATCH($D1904,Hierarchy!$A$2:$A$1295,0))="","",INDEX(Hierarchy!$I$2:$I$1295,MATCH($D1904,Hierarchy!$A$2:$A$1295,0))),"NODE NOT FOUND"))</f>
        <v/>
      </c>
      <c r="M1904" s="17" t="str">
        <f aca="false">IF(B1904="Pre-seeded","Pre-seeded",IF(B1904="Review 2026-09-16","Added from review",IF(C1904="","New",IF(C1904=D1904,"","Changed"))))</f>
        <v>Pre-seeded</v>
      </c>
      <c r="N1904" s="7" t="str">
        <f aca="false">TRIM(SUBSTITUTE(SUBSTITUTE(SUBSTITUTE(" "&amp;TRIM(SUBSTITUTE(SUBSTITUTE(SUBSTITUTE(SUBSTITUTE(SUBSTITUTE(SUBSTITUTE(SUBSTITUTE(SUBSTITUTE(SUBSTITUTE(SUBSTITUTE(SUBSTITUTE(SUBSTITUTE(SUBSTITUTE(SUBSTITUTE(SUBSTITUTE(UPPER(TRIM(A1904)),"[MEMBER]",""),"{MEMBER}",""),"[MEMBER}",""),"MEMBER]",""),"(A)",""),"""",""),"“",""),"”",""),".",""),":",""),",",""),"–"," "),"-"," "),"/"," "),"&amp;"," AND "))&amp;" "," THE "," ")," TOTAL "," ")," OPERATIONS "," "))</f>
        <v>US WEST SOUTH CENTRAL</v>
      </c>
      <c r="O1904" s="17" t="str">
        <f aca="false">IF(COUNTIFS($N$2:$N$2000,N1904,$D$2:$D$2000,"&lt;&gt;"&amp;D1904)&gt;0,"CONFLICT","")</f>
        <v/>
      </c>
      <c r="P1904" s="7"/>
    </row>
    <row r="1905" customFormat="false" ht="15" hidden="false" customHeight="false" outlineLevel="0" collapsed="false">
      <c r="A1905" s="7" t="s">
        <v>2841</v>
      </c>
      <c r="B1905" s="7" t="s">
        <v>1879</v>
      </c>
      <c r="C1905" s="7"/>
      <c r="D1905" s="6" t="s">
        <v>77</v>
      </c>
      <c r="E1905" s="6" t="s">
        <v>1880</v>
      </c>
      <c r="F1905" s="7" t="str">
        <f aca="false">IF($D1905="","",IFERROR(IF(INDEX(Hierarchy!$B$2:$B$1295,MATCH($D1905,Hierarchy!$A$2:$A$1295,0))="","",INDEX(Hierarchy!$B$2:$B$1295,MATCH($D1905,Hierarchy!$A$2:$A$1295,0))),"NODE NOT FOUND"))</f>
        <v>Sub-region group</v>
      </c>
      <c r="G1905" s="7" t="str">
        <f aca="false">IF($D1905="","",IFERROR(IF(INDEX(Hierarchy!$D$2:$D$1295,MATCH($D1905,Hierarchy!$A$2:$A$1295,0))="","",INDEX(Hierarchy!$D$2:$D$1295,MATCH($D1905,Hierarchy!$A$2:$A$1295,0))),"NODE NOT FOUND"))</f>
        <v>AMER</v>
      </c>
      <c r="H1905" s="7" t="str">
        <f aca="false">IF($D1905="","",IFERROR(IF(INDEX(Hierarchy!$E$2:$E$1295,MATCH($D1905,Hierarchy!$A$2:$A$1295,0))="","",INDEX(Hierarchy!$E$2:$E$1295,MATCH($D1905,Hierarchy!$A$2:$A$1295,0))),"NODE NOT FOUND"))</f>
        <v/>
      </c>
      <c r="I1905" s="7" t="str">
        <f aca="false">IF($D1905="","",IFERROR(IF(INDEX(Hierarchy!$F$2:$F$1295,MATCH($D1905,Hierarchy!$A$2:$A$1295,0))="","",INDEX(Hierarchy!$F$2:$F$1295,MATCH($D1905,Hierarchy!$A$2:$A$1295,0))),"NODE NOT FOUND"))</f>
        <v/>
      </c>
      <c r="J1905" s="7" t="str">
        <f aca="false">IF($D1905="","",IFERROR(IF(INDEX(Hierarchy!$G$2:$G$1295,MATCH($D1905,Hierarchy!$A$2:$A$1295,0))="","",INDEX(Hierarchy!$G$2:$G$1295,MATCH($D1905,Hierarchy!$A$2:$A$1295,0))),"NODE NOT FOUND"))</f>
        <v/>
      </c>
      <c r="K1905" s="7" t="str">
        <f aca="false">IF($D1905="","",IFERROR(IF(INDEX(Hierarchy!$H$2:$H$1295,MATCH($D1905,Hierarchy!$A$2:$A$1295,0))="","",INDEX(Hierarchy!$H$2:$H$1295,MATCH($D1905,Hierarchy!$A$2:$A$1295,0))),"NODE NOT FOUND"))</f>
        <v/>
      </c>
      <c r="L1905" s="7" t="str">
        <f aca="false">IF($D1905="","",IFERROR(IF(INDEX(Hierarchy!$I$2:$I$1295,MATCH($D1905,Hierarchy!$A$2:$A$1295,0))="","",INDEX(Hierarchy!$I$2:$I$1295,MATCH($D1905,Hierarchy!$A$2:$A$1295,0))),"NODE NOT FOUND"))</f>
        <v/>
      </c>
      <c r="M1905" s="17" t="str">
        <f aca="false">IF(B1905="Pre-seeded","Pre-seeded",IF(B1905="Review 2026-09-16","Added from review",IF(C1905="","New",IF(C1905=D1905,"","Changed"))))</f>
        <v>Pre-seeded</v>
      </c>
      <c r="N1905" s="7" t="str">
        <f aca="false">TRIM(SUBSTITUTE(SUBSTITUTE(SUBSTITUTE(" "&amp;TRIM(SUBSTITUTE(SUBSTITUTE(SUBSTITUTE(SUBSTITUTE(SUBSTITUTE(SUBSTITUTE(SUBSTITUTE(SUBSTITUTE(SUBSTITUTE(SUBSTITUTE(SUBSTITUTE(SUBSTITUTE(SUBSTITUTE(SUBSTITUTE(SUBSTITUTE(UPPER(TRIM(A1905)),"[MEMBER]",""),"{MEMBER}",""),"[MEMBER}",""),"MEMBER]",""),"(A)",""),"""",""),"“",""),"”",""),".",""),":",""),",",""),"–"," "),"-"," "),"/"," "),"&amp;"," AND "))&amp;" "," THE "," ")," TOTAL "," ")," OPERATIONS "," "))</f>
        <v>US CANADA AND MEXICO</v>
      </c>
      <c r="O1905" s="17" t="str">
        <f aca="false">IF(COUNTIFS($N$2:$N$2000,N1905,$D$2:$D$2000,"&lt;&gt;"&amp;D1905)&gt;0,"CONFLICT","")</f>
        <v/>
      </c>
      <c r="P1905" s="7"/>
    </row>
    <row r="1906" customFormat="false" ht="15" hidden="false" customHeight="false" outlineLevel="0" collapsed="false">
      <c r="A1906" s="7" t="s">
        <v>82</v>
      </c>
      <c r="B1906" s="7" t="s">
        <v>1882</v>
      </c>
      <c r="C1906" s="7" t="s">
        <v>81</v>
      </c>
      <c r="D1906" s="6" t="s">
        <v>81</v>
      </c>
      <c r="E1906" s="6" t="s">
        <v>1880</v>
      </c>
      <c r="F1906" s="7" t="str">
        <f aca="false">IF($D1906="","",IFERROR(IF(INDEX(Hierarchy!$B$2:$B$1295,MATCH($D1906,Hierarchy!$A$2:$A$1295,0))="","",INDEX(Hierarchy!$B$2:$B$1295,MATCH($D1906,Hierarchy!$A$2:$A$1295,0))),"NODE NOT FOUND"))</f>
        <v>Country</v>
      </c>
      <c r="G1906" s="7" t="str">
        <f aca="false">IF($D1906="","",IFERROR(IF(INDEX(Hierarchy!$D$2:$D$1295,MATCH($D1906,Hierarchy!$A$2:$A$1295,0))="","",INDEX(Hierarchy!$D$2:$D$1295,MATCH($D1906,Hierarchy!$A$2:$A$1295,0))),"NODE NOT FOUND"))</f>
        <v>AMER</v>
      </c>
      <c r="H1906" s="7" t="str">
        <f aca="false">IF($D1906="","",IFERROR(IF(INDEX(Hierarchy!$E$2:$E$1295,MATCH($D1906,Hierarchy!$A$2:$A$1295,0))="","",INDEX(Hierarchy!$E$2:$E$1295,MATCH($D1906,Hierarchy!$A$2:$A$1295,0))),"NODE NOT FOUND"))</f>
        <v>North America (NORAM)</v>
      </c>
      <c r="I1906" s="7" t="str">
        <f aca="false">IF($D1906="","",IFERROR(IF(INDEX(Hierarchy!$F$2:$F$1295,MATCH($D1906,Hierarchy!$A$2:$A$1295,0))="","",INDEX(Hierarchy!$F$2:$F$1295,MATCH($D1906,Hierarchy!$A$2:$A$1295,0))),"NODE NOT FOUND"))</f>
        <v>United States</v>
      </c>
      <c r="J1906" s="7" t="str">
        <f aca="false">IF($D1906="","",IFERROR(IF(INDEX(Hierarchy!$G$2:$G$1295,MATCH($D1906,Hierarchy!$A$2:$A$1295,0))="","",INDEX(Hierarchy!$G$2:$G$1295,MATCH($D1906,Hierarchy!$A$2:$A$1295,0))),"NODE NOT FOUND"))</f>
        <v>USA</v>
      </c>
      <c r="K1906" s="7" t="str">
        <f aca="false">IF($D1906="","",IFERROR(IF(INDEX(Hierarchy!$H$2:$H$1295,MATCH($D1906,Hierarchy!$A$2:$A$1295,0))="","",INDEX(Hierarchy!$H$2:$H$1295,MATCH($D1906,Hierarchy!$A$2:$A$1295,0))),"NODE NOT FOUND"))</f>
        <v/>
      </c>
      <c r="L1906" s="7" t="str">
        <f aca="false">IF($D1906="","",IFERROR(IF(INDEX(Hierarchy!$I$2:$I$1295,MATCH($D1906,Hierarchy!$A$2:$A$1295,0))="","",INDEX(Hierarchy!$I$2:$I$1295,MATCH($D1906,Hierarchy!$A$2:$A$1295,0))),"NODE NOT FOUND"))</f>
        <v/>
      </c>
      <c r="M1906" s="17" t="str">
        <f aca="false">IF(B1906="Pre-seeded","Pre-seeded",IF(B1906="Review 2026-09-16","Added from review",IF(C1906="","New",IF(C1906=D1906,"","Changed"))))</f>
        <v/>
      </c>
      <c r="N1906" s="7" t="str">
        <f aca="false">TRIM(SUBSTITUTE(SUBSTITUTE(SUBSTITUTE(" "&amp;TRIM(SUBSTITUTE(SUBSTITUTE(SUBSTITUTE(SUBSTITUTE(SUBSTITUTE(SUBSTITUTE(SUBSTITUTE(SUBSTITUTE(SUBSTITUTE(SUBSTITUTE(SUBSTITUTE(SUBSTITUTE(SUBSTITUTE(SUBSTITUTE(SUBSTITUTE(UPPER(TRIM(A1906)),"[MEMBER]",""),"{MEMBER}",""),"[MEMBER}",""),"MEMBER]",""),"(A)",""),"""",""),"“",""),"”",""),".",""),":",""),",",""),"–"," "),"-"," "),"/"," "),"&amp;"," AND "))&amp;" "," THE "," ")," TOTAL "," ")," OPERATIONS "," "))</f>
        <v>USA</v>
      </c>
      <c r="O1906" s="17" t="str">
        <f aca="false">IF(COUNTIFS($N$2:$N$2000,N1906,$D$2:$D$2000,"&lt;&gt;"&amp;D1906)&gt;0,"CONFLICT","")</f>
        <v/>
      </c>
      <c r="P1906" s="7"/>
    </row>
    <row r="1907" customFormat="false" ht="15" hidden="false" customHeight="false" outlineLevel="0" collapsed="false">
      <c r="A1907" s="7" t="s">
        <v>2842</v>
      </c>
      <c r="B1907" s="7" t="s">
        <v>1879</v>
      </c>
      <c r="C1907" s="7"/>
      <c r="D1907" s="6" t="s">
        <v>77</v>
      </c>
      <c r="E1907" s="6" t="s">
        <v>1880</v>
      </c>
      <c r="F1907" s="7" t="str">
        <f aca="false">IF($D1907="","",IFERROR(IF(INDEX(Hierarchy!$B$2:$B$1295,MATCH($D1907,Hierarchy!$A$2:$A$1295,0))="","",INDEX(Hierarchy!$B$2:$B$1295,MATCH($D1907,Hierarchy!$A$2:$A$1295,0))),"NODE NOT FOUND"))</f>
        <v>Sub-region group</v>
      </c>
      <c r="G1907" s="7" t="str">
        <f aca="false">IF($D1907="","",IFERROR(IF(INDEX(Hierarchy!$D$2:$D$1295,MATCH($D1907,Hierarchy!$A$2:$A$1295,0))="","",INDEX(Hierarchy!$D$2:$D$1295,MATCH($D1907,Hierarchy!$A$2:$A$1295,0))),"NODE NOT FOUND"))</f>
        <v>AMER</v>
      </c>
      <c r="H1907" s="7" t="str">
        <f aca="false">IF($D1907="","",IFERROR(IF(INDEX(Hierarchy!$E$2:$E$1295,MATCH($D1907,Hierarchy!$A$2:$A$1295,0))="","",INDEX(Hierarchy!$E$2:$E$1295,MATCH($D1907,Hierarchy!$A$2:$A$1295,0))),"NODE NOT FOUND"))</f>
        <v/>
      </c>
      <c r="I1907" s="7" t="str">
        <f aca="false">IF($D1907="","",IFERROR(IF(INDEX(Hierarchy!$F$2:$F$1295,MATCH($D1907,Hierarchy!$A$2:$A$1295,0))="","",INDEX(Hierarchy!$F$2:$F$1295,MATCH($D1907,Hierarchy!$A$2:$A$1295,0))),"NODE NOT FOUND"))</f>
        <v/>
      </c>
      <c r="J1907" s="7" t="str">
        <f aca="false">IF($D1907="","",IFERROR(IF(INDEX(Hierarchy!$G$2:$G$1295,MATCH($D1907,Hierarchy!$A$2:$A$1295,0))="","",INDEX(Hierarchy!$G$2:$G$1295,MATCH($D1907,Hierarchy!$A$2:$A$1295,0))),"NODE NOT FOUND"))</f>
        <v/>
      </c>
      <c r="K1907" s="7" t="str">
        <f aca="false">IF($D1907="","",IFERROR(IF(INDEX(Hierarchy!$H$2:$H$1295,MATCH($D1907,Hierarchy!$A$2:$A$1295,0))="","",INDEX(Hierarchy!$H$2:$H$1295,MATCH($D1907,Hierarchy!$A$2:$A$1295,0))),"NODE NOT FOUND"))</f>
        <v/>
      </c>
      <c r="L1907" s="7" t="str">
        <f aca="false">IF($D1907="","",IFERROR(IF(INDEX(Hierarchy!$I$2:$I$1295,MATCH($D1907,Hierarchy!$A$2:$A$1295,0))="","",INDEX(Hierarchy!$I$2:$I$1295,MATCH($D1907,Hierarchy!$A$2:$A$1295,0))),"NODE NOT FOUND"))</f>
        <v/>
      </c>
      <c r="M1907" s="17" t="str">
        <f aca="false">IF(B1907="Pre-seeded","Pre-seeded",IF(B1907="Review 2026-09-16","Added from review",IF(C1907="","New",IF(C1907=D1907,"","Changed"))))</f>
        <v>Pre-seeded</v>
      </c>
      <c r="N1907" s="7" t="str">
        <f aca="false">TRIM(SUBSTITUTE(SUBSTITUTE(SUBSTITUTE(" "&amp;TRIM(SUBSTITUTE(SUBSTITUTE(SUBSTITUTE(SUBSTITUTE(SUBSTITUTE(SUBSTITUTE(SUBSTITUTE(SUBSTITUTE(SUBSTITUTE(SUBSTITUTE(SUBSTITUTE(SUBSTITUTE(SUBSTITUTE(SUBSTITUTE(SUBSTITUTE(UPPER(TRIM(A1907)),"[MEMBER]",""),"{MEMBER}",""),"[MEMBER}",""),"MEMBER]",""),"(A)",""),"""",""),"“",""),"”",""),".",""),":",""),",",""),"–"," "),"-"," "),"/"," "),"&amp;"," AND "))&amp;" "," THE "," ")," TOTAL "," ")," OPERATIONS "," "))</f>
        <v>USMCA</v>
      </c>
      <c r="O1907" s="17" t="str">
        <f aca="false">IF(COUNTIFS($N$2:$N$2000,N1907,$D$2:$D$2000,"&lt;&gt;"&amp;D1907)&gt;0,"CONFLICT","")</f>
        <v/>
      </c>
      <c r="P1907" s="7"/>
    </row>
    <row r="1908" customFormat="false" ht="15" hidden="false" customHeight="false" outlineLevel="0" collapsed="false">
      <c r="A1908" s="7" t="s">
        <v>2843</v>
      </c>
      <c r="B1908" s="7" t="s">
        <v>1879</v>
      </c>
      <c r="C1908" s="7"/>
      <c r="D1908" s="6" t="s">
        <v>253</v>
      </c>
      <c r="E1908" s="6" t="s">
        <v>1880</v>
      </c>
      <c r="F1908" s="7" t="str">
        <f aca="false">IF($D1908="","",IFERROR(IF(INDEX(Hierarchy!$B$2:$B$1295,MATCH($D1908,Hierarchy!$A$2:$A$1295,0))="","",INDEX(Hierarchy!$B$2:$B$1295,MATCH($D1908,Hierarchy!$A$2:$A$1295,0))),"NODE NOT FOUND"))</f>
        <v>State/Province</v>
      </c>
      <c r="G1908" s="7" t="str">
        <f aca="false">IF($D1908="","",IFERROR(IF(INDEX(Hierarchy!$D$2:$D$1295,MATCH($D1908,Hierarchy!$A$2:$A$1295,0))="","",INDEX(Hierarchy!$D$2:$D$1295,MATCH($D1908,Hierarchy!$A$2:$A$1295,0))),"NODE NOT FOUND"))</f>
        <v>AMER</v>
      </c>
      <c r="H1908" s="7" t="str">
        <f aca="false">IF($D1908="","",IFERROR(IF(INDEX(Hierarchy!$E$2:$E$1295,MATCH($D1908,Hierarchy!$A$2:$A$1295,0))="","",INDEX(Hierarchy!$E$2:$E$1295,MATCH($D1908,Hierarchy!$A$2:$A$1295,0))),"NODE NOT FOUND"))</f>
        <v>North America (NORAM)</v>
      </c>
      <c r="I1908" s="7" t="str">
        <f aca="false">IF($D1908="","",IFERROR(IF(INDEX(Hierarchy!$F$2:$F$1295,MATCH($D1908,Hierarchy!$A$2:$A$1295,0))="","",INDEX(Hierarchy!$F$2:$F$1295,MATCH($D1908,Hierarchy!$A$2:$A$1295,0))),"NODE NOT FOUND"))</f>
        <v>United States</v>
      </c>
      <c r="J1908" s="7" t="str">
        <f aca="false">IF($D1908="","",IFERROR(IF(INDEX(Hierarchy!$G$2:$G$1295,MATCH($D1908,Hierarchy!$A$2:$A$1295,0))="","",INDEX(Hierarchy!$G$2:$G$1295,MATCH($D1908,Hierarchy!$A$2:$A$1295,0))),"NODE NOT FOUND"))</f>
        <v>USA</v>
      </c>
      <c r="K1908" s="7" t="str">
        <f aca="false">IF($D1908="","",IFERROR(IF(INDEX(Hierarchy!$H$2:$H$1295,MATCH($D1908,Hierarchy!$A$2:$A$1295,0))="","",INDEX(Hierarchy!$H$2:$H$1295,MATCH($D1908,Hierarchy!$A$2:$A$1295,0))),"NODE NOT FOUND"))</f>
        <v>US Virgin Islands</v>
      </c>
      <c r="L1908" s="7" t="str">
        <f aca="false">IF($D1908="","",IFERROR(IF(INDEX(Hierarchy!$I$2:$I$1295,MATCH($D1908,Hierarchy!$A$2:$A$1295,0))="","",INDEX(Hierarchy!$I$2:$I$1295,MATCH($D1908,Hierarchy!$A$2:$A$1295,0))),"NODE NOT FOUND"))</f>
        <v/>
      </c>
      <c r="M1908" s="17" t="str">
        <f aca="false">IF(B1908="Pre-seeded","Pre-seeded",IF(B1908="Review 2026-09-16","Added from review",IF(C1908="","New",IF(C1908=D1908,"","Changed"))))</f>
        <v>Pre-seeded</v>
      </c>
      <c r="N1908" s="7" t="str">
        <f aca="false">TRIM(SUBSTITUTE(SUBSTITUTE(SUBSTITUTE(" "&amp;TRIM(SUBSTITUTE(SUBSTITUTE(SUBSTITUTE(SUBSTITUTE(SUBSTITUTE(SUBSTITUTE(SUBSTITUTE(SUBSTITUTE(SUBSTITUTE(SUBSTITUTE(SUBSTITUTE(SUBSTITUTE(SUBSTITUTE(SUBSTITUTE(SUBSTITUTE(UPPER(TRIM(A1908)),"[MEMBER]",""),"{MEMBER}",""),"[MEMBER}",""),"MEMBER]",""),"(A)",""),"""",""),"“",""),"”",""),".",""),":",""),",",""),"–"," "),"-"," "),"/"," "),"&amp;"," AND "))&amp;" "," THE "," ")," TOTAL "," ")," OPERATIONS "," "))</f>
        <v>USVI</v>
      </c>
      <c r="O1908" s="17" t="str">
        <f aca="false">IF(COUNTIFS($N$2:$N$2000,N1908,$D$2:$D$2000,"&lt;&gt;"&amp;D1908)&gt;0,"CONFLICT","")</f>
        <v/>
      </c>
      <c r="P1908" s="7"/>
    </row>
    <row r="1909" customFormat="false" ht="15" hidden="false" customHeight="false" outlineLevel="0" collapsed="false">
      <c r="A1909" s="7" t="s">
        <v>254</v>
      </c>
      <c r="B1909" s="7" t="s">
        <v>1882</v>
      </c>
      <c r="C1909" s="7" t="s">
        <v>254</v>
      </c>
      <c r="D1909" s="6" t="s">
        <v>254</v>
      </c>
      <c r="E1909" s="6" t="s">
        <v>1880</v>
      </c>
      <c r="F1909" s="7" t="str">
        <f aca="false">IF($D1909="","",IFERROR(IF(INDEX(Hierarchy!$B$2:$B$1295,MATCH($D1909,Hierarchy!$A$2:$A$1295,0))="","",INDEX(Hierarchy!$B$2:$B$1295,MATCH($D1909,Hierarchy!$A$2:$A$1295,0))),"NODE NOT FOUND"))</f>
        <v>State/Province</v>
      </c>
      <c r="G1909" s="7" t="str">
        <f aca="false">IF($D1909="","",IFERROR(IF(INDEX(Hierarchy!$D$2:$D$1295,MATCH($D1909,Hierarchy!$A$2:$A$1295,0))="","",INDEX(Hierarchy!$D$2:$D$1295,MATCH($D1909,Hierarchy!$A$2:$A$1295,0))),"NODE NOT FOUND"))</f>
        <v>AMER</v>
      </c>
      <c r="H1909" s="7" t="str">
        <f aca="false">IF($D1909="","",IFERROR(IF(INDEX(Hierarchy!$E$2:$E$1295,MATCH($D1909,Hierarchy!$A$2:$A$1295,0))="","",INDEX(Hierarchy!$E$2:$E$1295,MATCH($D1909,Hierarchy!$A$2:$A$1295,0))),"NODE NOT FOUND"))</f>
        <v>North America (NORAM)</v>
      </c>
      <c r="I1909" s="7" t="str">
        <f aca="false">IF($D1909="","",IFERROR(IF(INDEX(Hierarchy!$F$2:$F$1295,MATCH($D1909,Hierarchy!$A$2:$A$1295,0))="","",INDEX(Hierarchy!$F$2:$F$1295,MATCH($D1909,Hierarchy!$A$2:$A$1295,0))),"NODE NOT FOUND"))</f>
        <v>United States</v>
      </c>
      <c r="J1909" s="7" t="str">
        <f aca="false">IF($D1909="","",IFERROR(IF(INDEX(Hierarchy!$G$2:$G$1295,MATCH($D1909,Hierarchy!$A$2:$A$1295,0))="","",INDEX(Hierarchy!$G$2:$G$1295,MATCH($D1909,Hierarchy!$A$2:$A$1295,0))),"NODE NOT FOUND"))</f>
        <v>USA</v>
      </c>
      <c r="K1909" s="7" t="str">
        <f aca="false">IF($D1909="","",IFERROR(IF(INDEX(Hierarchy!$H$2:$H$1295,MATCH($D1909,Hierarchy!$A$2:$A$1295,0))="","",INDEX(Hierarchy!$H$2:$H$1295,MATCH($D1909,Hierarchy!$A$2:$A$1295,0))),"NODE NOT FOUND"))</f>
        <v>Utah</v>
      </c>
      <c r="L1909" s="7" t="str">
        <f aca="false">IF($D1909="","",IFERROR(IF(INDEX(Hierarchy!$I$2:$I$1295,MATCH($D1909,Hierarchy!$A$2:$A$1295,0))="","",INDEX(Hierarchy!$I$2:$I$1295,MATCH($D1909,Hierarchy!$A$2:$A$1295,0))),"NODE NOT FOUND"))</f>
        <v/>
      </c>
      <c r="M1909" s="17" t="str">
        <f aca="false">IF(B1909="Pre-seeded","Pre-seeded",IF(B1909="Review 2026-09-16","Added from review",IF(C1909="","New",IF(C1909=D1909,"","Changed"))))</f>
        <v/>
      </c>
      <c r="N1909" s="7" t="str">
        <f aca="false">TRIM(SUBSTITUTE(SUBSTITUTE(SUBSTITUTE(" "&amp;TRIM(SUBSTITUTE(SUBSTITUTE(SUBSTITUTE(SUBSTITUTE(SUBSTITUTE(SUBSTITUTE(SUBSTITUTE(SUBSTITUTE(SUBSTITUTE(SUBSTITUTE(SUBSTITUTE(SUBSTITUTE(SUBSTITUTE(SUBSTITUTE(SUBSTITUTE(UPPER(TRIM(A1909)),"[MEMBER]",""),"{MEMBER}",""),"[MEMBER}",""),"MEMBER]",""),"(A)",""),"""",""),"“",""),"”",""),".",""),":",""),",",""),"–"," "),"-"," "),"/"," "),"&amp;"," AND "))&amp;" "," THE "," ")," TOTAL "," ")," OPERATIONS "," "))</f>
        <v>UTAH</v>
      </c>
      <c r="O1909" s="17" t="str">
        <f aca="false">IF(COUNTIFS($N$2:$N$2000,N1909,$D$2:$D$2000,"&lt;&gt;"&amp;D1909)&gt;0,"CONFLICT","")</f>
        <v/>
      </c>
      <c r="P1909" s="7"/>
    </row>
    <row r="1910" customFormat="false" ht="15" hidden="false" customHeight="false" outlineLevel="0" collapsed="false">
      <c r="A1910" s="7" t="s">
        <v>2844</v>
      </c>
      <c r="B1910" s="7" t="s">
        <v>1882</v>
      </c>
      <c r="C1910" s="7" t="s">
        <v>254</v>
      </c>
      <c r="D1910" s="6" t="s">
        <v>254</v>
      </c>
      <c r="E1910" s="6" t="s">
        <v>1880</v>
      </c>
      <c r="F1910" s="7" t="str">
        <f aca="false">IF($D1910="","",IFERROR(IF(INDEX(Hierarchy!$B$2:$B$1295,MATCH($D1910,Hierarchy!$A$2:$A$1295,0))="","",INDEX(Hierarchy!$B$2:$B$1295,MATCH($D1910,Hierarchy!$A$2:$A$1295,0))),"NODE NOT FOUND"))</f>
        <v>State/Province</v>
      </c>
      <c r="G1910" s="7" t="str">
        <f aca="false">IF($D1910="","",IFERROR(IF(INDEX(Hierarchy!$D$2:$D$1295,MATCH($D1910,Hierarchy!$A$2:$A$1295,0))="","",INDEX(Hierarchy!$D$2:$D$1295,MATCH($D1910,Hierarchy!$A$2:$A$1295,0))),"NODE NOT FOUND"))</f>
        <v>AMER</v>
      </c>
      <c r="H1910" s="7" t="str">
        <f aca="false">IF($D1910="","",IFERROR(IF(INDEX(Hierarchy!$E$2:$E$1295,MATCH($D1910,Hierarchy!$A$2:$A$1295,0))="","",INDEX(Hierarchy!$E$2:$E$1295,MATCH($D1910,Hierarchy!$A$2:$A$1295,0))),"NODE NOT FOUND"))</f>
        <v>North America (NORAM)</v>
      </c>
      <c r="I1910" s="7" t="str">
        <f aca="false">IF($D1910="","",IFERROR(IF(INDEX(Hierarchy!$F$2:$F$1295,MATCH($D1910,Hierarchy!$A$2:$A$1295,0))="","",INDEX(Hierarchy!$F$2:$F$1295,MATCH($D1910,Hierarchy!$A$2:$A$1295,0))),"NODE NOT FOUND"))</f>
        <v>United States</v>
      </c>
      <c r="J1910" s="7" t="str">
        <f aca="false">IF($D1910="","",IFERROR(IF(INDEX(Hierarchy!$G$2:$G$1295,MATCH($D1910,Hierarchy!$A$2:$A$1295,0))="","",INDEX(Hierarchy!$G$2:$G$1295,MATCH($D1910,Hierarchy!$A$2:$A$1295,0))),"NODE NOT FOUND"))</f>
        <v>USA</v>
      </c>
      <c r="K1910" s="7" t="str">
        <f aca="false">IF($D1910="","",IFERROR(IF(INDEX(Hierarchy!$H$2:$H$1295,MATCH($D1910,Hierarchy!$A$2:$A$1295,0))="","",INDEX(Hierarchy!$H$2:$H$1295,MATCH($D1910,Hierarchy!$A$2:$A$1295,0))),"NODE NOT FOUND"))</f>
        <v>Utah</v>
      </c>
      <c r="L1910" s="7" t="str">
        <f aca="false">IF($D1910="","",IFERROR(IF(INDEX(Hierarchy!$I$2:$I$1295,MATCH($D1910,Hierarchy!$A$2:$A$1295,0))="","",INDEX(Hierarchy!$I$2:$I$1295,MATCH($D1910,Hierarchy!$A$2:$A$1295,0))),"NODE NOT FOUND"))</f>
        <v/>
      </c>
      <c r="M1910" s="17" t="str">
        <f aca="false">IF(B1910="Pre-seeded","Pre-seeded",IF(B1910="Review 2026-09-16","Added from review",IF(C1910="","New",IF(C1910=D1910,"","Changed"))))</f>
        <v/>
      </c>
      <c r="N1910" s="7" t="str">
        <f aca="false">TRIM(SUBSTITUTE(SUBSTITUTE(SUBSTITUTE(" "&amp;TRIM(SUBSTITUTE(SUBSTITUTE(SUBSTITUTE(SUBSTITUTE(SUBSTITUTE(SUBSTITUTE(SUBSTITUTE(SUBSTITUTE(SUBSTITUTE(SUBSTITUTE(SUBSTITUTE(SUBSTITUTE(SUBSTITUTE(SUBSTITUTE(SUBSTITUTE(UPPER(TRIM(A1910)),"[MEMBER]",""),"{MEMBER}",""),"[MEMBER}",""),"MEMBER]",""),"(A)",""),"""",""),"“",""),"”",""),".",""),":",""),",",""),"–"," "),"-"," "),"/"," "),"&amp;"," AND "))&amp;" "," THE "," ")," TOTAL "," ")," OPERATIONS "," "))</f>
        <v>UTAH</v>
      </c>
      <c r="O1910" s="17" t="str">
        <f aca="false">IF(COUNTIFS($N$2:$N$2000,N1910,$D$2:$D$2000,"&lt;&gt;"&amp;D1910)&gt;0,"CONFLICT","")</f>
        <v/>
      </c>
      <c r="P1910" s="7"/>
    </row>
    <row r="1911" customFormat="false" ht="15" hidden="false" customHeight="false" outlineLevel="0" collapsed="false">
      <c r="A1911" s="7" t="s">
        <v>895</v>
      </c>
      <c r="B1911" s="7" t="s">
        <v>1879</v>
      </c>
      <c r="C1911" s="7"/>
      <c r="D1911" s="6" t="s">
        <v>895</v>
      </c>
      <c r="E1911" s="6" t="s">
        <v>1880</v>
      </c>
      <c r="F1911" s="7" t="str">
        <f aca="false">IF($D1911="","",IFERROR(IF(INDEX(Hierarchy!$B$2:$B$1295,MATCH($D1911,Hierarchy!$A$2:$A$1295,0))="","",INDEX(Hierarchy!$B$2:$B$1295,MATCH($D1911,Hierarchy!$A$2:$A$1295,0))),"NODE NOT FOUND"))</f>
        <v>State/Province</v>
      </c>
      <c r="G1911" s="7" t="str">
        <f aca="false">IF($D1911="","",IFERROR(IF(INDEX(Hierarchy!$D$2:$D$1295,MATCH($D1911,Hierarchy!$A$2:$A$1295,0))="","",INDEX(Hierarchy!$D$2:$D$1295,MATCH($D1911,Hierarchy!$A$2:$A$1295,0))),"NODE NOT FOUND"))</f>
        <v>EMEA</v>
      </c>
      <c r="H1911" s="7" t="str">
        <f aca="false">IF($D1911="","",IFERROR(IF(INDEX(Hierarchy!$E$2:$E$1295,MATCH($D1911,Hierarchy!$A$2:$A$1295,0))="","",INDEX(Hierarchy!$E$2:$E$1295,MATCH($D1911,Hierarchy!$A$2:$A$1295,0))),"NODE NOT FOUND"))</f>
        <v>Europe</v>
      </c>
      <c r="I1911" s="7" t="str">
        <f aca="false">IF($D1911="","",IFERROR(IF(INDEX(Hierarchy!$F$2:$F$1295,MATCH($D1911,Hierarchy!$A$2:$A$1295,0))="","",INDEX(Hierarchy!$F$2:$F$1295,MATCH($D1911,Hierarchy!$A$2:$A$1295,0))),"NODE NOT FOUND"))</f>
        <v>Netherlands</v>
      </c>
      <c r="J1911" s="7" t="str">
        <f aca="false">IF($D1911="","",IFERROR(IF(INDEX(Hierarchy!$G$2:$G$1295,MATCH($D1911,Hierarchy!$A$2:$A$1295,0))="","",INDEX(Hierarchy!$G$2:$G$1295,MATCH($D1911,Hierarchy!$A$2:$A$1295,0))),"NODE NOT FOUND"))</f>
        <v>NLD</v>
      </c>
      <c r="K1911" s="7" t="str">
        <f aca="false">IF($D1911="","",IFERROR(IF(INDEX(Hierarchy!$H$2:$H$1295,MATCH($D1911,Hierarchy!$A$2:$A$1295,0))="","",INDEX(Hierarchy!$H$2:$H$1295,MATCH($D1911,Hierarchy!$A$2:$A$1295,0))),"NODE NOT FOUND"))</f>
        <v>Utrecht</v>
      </c>
      <c r="L1911" s="7" t="str">
        <f aca="false">IF($D1911="","",IFERROR(IF(INDEX(Hierarchy!$I$2:$I$1295,MATCH($D1911,Hierarchy!$A$2:$A$1295,0))="","",INDEX(Hierarchy!$I$2:$I$1295,MATCH($D1911,Hierarchy!$A$2:$A$1295,0))),"NODE NOT FOUND"))</f>
        <v/>
      </c>
      <c r="M1911" s="17" t="str">
        <f aca="false">IF(B1911="Pre-seeded","Pre-seeded",IF(B1911="Review 2026-09-16","Added from review",IF(C1911="","New",IF(C1911=D1911,"","Changed"))))</f>
        <v>Pre-seeded</v>
      </c>
      <c r="N1911" s="7" t="str">
        <f aca="false">TRIM(SUBSTITUTE(SUBSTITUTE(SUBSTITUTE(" "&amp;TRIM(SUBSTITUTE(SUBSTITUTE(SUBSTITUTE(SUBSTITUTE(SUBSTITUTE(SUBSTITUTE(SUBSTITUTE(SUBSTITUTE(SUBSTITUTE(SUBSTITUTE(SUBSTITUTE(SUBSTITUTE(SUBSTITUTE(SUBSTITUTE(SUBSTITUTE(UPPER(TRIM(A1911)),"[MEMBER]",""),"{MEMBER}",""),"[MEMBER}",""),"MEMBER]",""),"(A)",""),"""",""),"“",""),"”",""),".",""),":",""),",",""),"–"," "),"-"," "),"/"," "),"&amp;"," AND "))&amp;" "," THE "," ")," TOTAL "," ")," OPERATIONS "," "))</f>
        <v>UTRECHT</v>
      </c>
      <c r="O1911" s="17" t="str">
        <f aca="false">IF(COUNTIFS($N$2:$N$2000,N1911,$D$2:$D$2000,"&lt;&gt;"&amp;D1911)&gt;0,"CONFLICT","")</f>
        <v/>
      </c>
      <c r="P1911" s="7"/>
    </row>
    <row r="1912" customFormat="false" ht="15" hidden="false" customHeight="false" outlineLevel="0" collapsed="false">
      <c r="A1912" s="7" t="s">
        <v>1367</v>
      </c>
      <c r="B1912" s="7" t="s">
        <v>1879</v>
      </c>
      <c r="C1912" s="7"/>
      <c r="D1912" s="6" t="s">
        <v>1367</v>
      </c>
      <c r="E1912" s="6" t="s">
        <v>1880</v>
      </c>
      <c r="F1912" s="7" t="str">
        <f aca="false">IF($D1912="","",IFERROR(IF(INDEX(Hierarchy!$B$2:$B$1295,MATCH($D1912,Hierarchy!$A$2:$A$1295,0))="","",INDEX(Hierarchy!$B$2:$B$1295,MATCH($D1912,Hierarchy!$A$2:$A$1295,0))),"NODE NOT FOUND"))</f>
        <v>State/Province</v>
      </c>
      <c r="G1912" s="7" t="str">
        <f aca="false">IF($D1912="","",IFERROR(IF(INDEX(Hierarchy!$D$2:$D$1295,MATCH($D1912,Hierarchy!$A$2:$A$1295,0))="","",INDEX(Hierarchy!$D$2:$D$1295,MATCH($D1912,Hierarchy!$A$2:$A$1295,0))),"NODE NOT FOUND"))</f>
        <v>APAC</v>
      </c>
      <c r="H1912" s="7" t="str">
        <f aca="false">IF($D1912="","",IFERROR(IF(INDEX(Hierarchy!$E$2:$E$1295,MATCH($D1912,Hierarchy!$A$2:$A$1295,0))="","",INDEX(Hierarchy!$E$2:$E$1295,MATCH($D1912,Hierarchy!$A$2:$A$1295,0))),"NODE NOT FOUND"))</f>
        <v>South Asia</v>
      </c>
      <c r="I1912" s="7" t="str">
        <f aca="false">IF($D1912="","",IFERROR(IF(INDEX(Hierarchy!$F$2:$F$1295,MATCH($D1912,Hierarchy!$A$2:$A$1295,0))="","",INDEX(Hierarchy!$F$2:$F$1295,MATCH($D1912,Hierarchy!$A$2:$A$1295,0))),"NODE NOT FOUND"))</f>
        <v>India</v>
      </c>
      <c r="J1912" s="7" t="str">
        <f aca="false">IF($D1912="","",IFERROR(IF(INDEX(Hierarchy!$G$2:$G$1295,MATCH($D1912,Hierarchy!$A$2:$A$1295,0))="","",INDEX(Hierarchy!$G$2:$G$1295,MATCH($D1912,Hierarchy!$A$2:$A$1295,0))),"NODE NOT FOUND"))</f>
        <v>IND</v>
      </c>
      <c r="K1912" s="7" t="str">
        <f aca="false">IF($D1912="","",IFERROR(IF(INDEX(Hierarchy!$H$2:$H$1295,MATCH($D1912,Hierarchy!$A$2:$A$1295,0))="","",INDEX(Hierarchy!$H$2:$H$1295,MATCH($D1912,Hierarchy!$A$2:$A$1295,0))),"NODE NOT FOUND"))</f>
        <v>Uttar Pradesh</v>
      </c>
      <c r="L1912" s="7" t="str">
        <f aca="false">IF($D1912="","",IFERROR(IF(INDEX(Hierarchy!$I$2:$I$1295,MATCH($D1912,Hierarchy!$A$2:$A$1295,0))="","",INDEX(Hierarchy!$I$2:$I$1295,MATCH($D1912,Hierarchy!$A$2:$A$1295,0))),"NODE NOT FOUND"))</f>
        <v/>
      </c>
      <c r="M1912" s="17" t="str">
        <f aca="false">IF(B1912="Pre-seeded","Pre-seeded",IF(B1912="Review 2026-09-16","Added from review",IF(C1912="","New",IF(C1912=D1912,"","Changed"))))</f>
        <v>Pre-seeded</v>
      </c>
      <c r="N1912" s="7" t="str">
        <f aca="false">TRIM(SUBSTITUTE(SUBSTITUTE(SUBSTITUTE(" "&amp;TRIM(SUBSTITUTE(SUBSTITUTE(SUBSTITUTE(SUBSTITUTE(SUBSTITUTE(SUBSTITUTE(SUBSTITUTE(SUBSTITUTE(SUBSTITUTE(SUBSTITUTE(SUBSTITUTE(SUBSTITUTE(SUBSTITUTE(SUBSTITUTE(SUBSTITUTE(UPPER(TRIM(A1912)),"[MEMBER]",""),"{MEMBER}",""),"[MEMBER}",""),"MEMBER]",""),"(A)",""),"""",""),"“",""),"”",""),".",""),":",""),",",""),"–"," "),"-"," "),"/"," "),"&amp;"," AND "))&amp;" "," THE "," ")," TOTAL "," ")," OPERATIONS "," "))</f>
        <v>UTTAR PRADESH</v>
      </c>
      <c r="O1912" s="17" t="str">
        <f aca="false">IF(COUNTIFS($N$2:$N$2000,N1912,$D$2:$D$2000,"&lt;&gt;"&amp;D1912)&gt;0,"CONFLICT","")</f>
        <v/>
      </c>
      <c r="P1912" s="7"/>
    </row>
    <row r="1913" customFormat="false" ht="15" hidden="false" customHeight="false" outlineLevel="0" collapsed="false">
      <c r="A1913" s="7" t="s">
        <v>1369</v>
      </c>
      <c r="B1913" s="7" t="s">
        <v>1879</v>
      </c>
      <c r="C1913" s="7"/>
      <c r="D1913" s="6" t="s">
        <v>1369</v>
      </c>
      <c r="E1913" s="6" t="s">
        <v>1880</v>
      </c>
      <c r="F1913" s="7" t="str">
        <f aca="false">IF($D1913="","",IFERROR(IF(INDEX(Hierarchy!$B$2:$B$1295,MATCH($D1913,Hierarchy!$A$2:$A$1295,0))="","",INDEX(Hierarchy!$B$2:$B$1295,MATCH($D1913,Hierarchy!$A$2:$A$1295,0))),"NODE NOT FOUND"))</f>
        <v>State/Province</v>
      </c>
      <c r="G1913" s="7" t="str">
        <f aca="false">IF($D1913="","",IFERROR(IF(INDEX(Hierarchy!$D$2:$D$1295,MATCH($D1913,Hierarchy!$A$2:$A$1295,0))="","",INDEX(Hierarchy!$D$2:$D$1295,MATCH($D1913,Hierarchy!$A$2:$A$1295,0))),"NODE NOT FOUND"))</f>
        <v>APAC</v>
      </c>
      <c r="H1913" s="7" t="str">
        <f aca="false">IF($D1913="","",IFERROR(IF(INDEX(Hierarchy!$E$2:$E$1295,MATCH($D1913,Hierarchy!$A$2:$A$1295,0))="","",INDEX(Hierarchy!$E$2:$E$1295,MATCH($D1913,Hierarchy!$A$2:$A$1295,0))),"NODE NOT FOUND"))</f>
        <v>South Asia</v>
      </c>
      <c r="I1913" s="7" t="str">
        <f aca="false">IF($D1913="","",IFERROR(IF(INDEX(Hierarchy!$F$2:$F$1295,MATCH($D1913,Hierarchy!$A$2:$A$1295,0))="","",INDEX(Hierarchy!$F$2:$F$1295,MATCH($D1913,Hierarchy!$A$2:$A$1295,0))),"NODE NOT FOUND"))</f>
        <v>India</v>
      </c>
      <c r="J1913" s="7" t="str">
        <f aca="false">IF($D1913="","",IFERROR(IF(INDEX(Hierarchy!$G$2:$G$1295,MATCH($D1913,Hierarchy!$A$2:$A$1295,0))="","",INDEX(Hierarchy!$G$2:$G$1295,MATCH($D1913,Hierarchy!$A$2:$A$1295,0))),"NODE NOT FOUND"))</f>
        <v>IND</v>
      </c>
      <c r="K1913" s="7" t="str">
        <f aca="false">IF($D1913="","",IFERROR(IF(INDEX(Hierarchy!$H$2:$H$1295,MATCH($D1913,Hierarchy!$A$2:$A$1295,0))="","",INDEX(Hierarchy!$H$2:$H$1295,MATCH($D1913,Hierarchy!$A$2:$A$1295,0))),"NODE NOT FOUND"))</f>
        <v>Uttarakhand</v>
      </c>
      <c r="L1913" s="7" t="str">
        <f aca="false">IF($D1913="","",IFERROR(IF(INDEX(Hierarchy!$I$2:$I$1295,MATCH($D1913,Hierarchy!$A$2:$A$1295,0))="","",INDEX(Hierarchy!$I$2:$I$1295,MATCH($D1913,Hierarchy!$A$2:$A$1295,0))),"NODE NOT FOUND"))</f>
        <v/>
      </c>
      <c r="M1913" s="17" t="str">
        <f aca="false">IF(B1913="Pre-seeded","Pre-seeded",IF(B1913="Review 2026-09-16","Added from review",IF(C1913="","New",IF(C1913=D1913,"","Changed"))))</f>
        <v>Pre-seeded</v>
      </c>
      <c r="N1913" s="7" t="str">
        <f aca="false">TRIM(SUBSTITUTE(SUBSTITUTE(SUBSTITUTE(" "&amp;TRIM(SUBSTITUTE(SUBSTITUTE(SUBSTITUTE(SUBSTITUTE(SUBSTITUTE(SUBSTITUTE(SUBSTITUTE(SUBSTITUTE(SUBSTITUTE(SUBSTITUTE(SUBSTITUTE(SUBSTITUTE(SUBSTITUTE(SUBSTITUTE(SUBSTITUTE(UPPER(TRIM(A1913)),"[MEMBER]",""),"{MEMBER}",""),"[MEMBER}",""),"MEMBER]",""),"(A)",""),"""",""),"“",""),"”",""),".",""),":",""),",",""),"–"," "),"-"," "),"/"," "),"&amp;"," AND "))&amp;" "," THE "," ")," TOTAL "," ")," OPERATIONS "," "))</f>
        <v>UTTARAKHAND</v>
      </c>
      <c r="O1913" s="17" t="str">
        <f aca="false">IF(COUNTIFS($N$2:$N$2000,N1913,$D$2:$D$2000,"&lt;&gt;"&amp;D1913)&gt;0,"CONFLICT","")</f>
        <v/>
      </c>
      <c r="P1913" s="7"/>
    </row>
    <row r="1914" customFormat="false" ht="15" hidden="false" customHeight="false" outlineLevel="0" collapsed="false">
      <c r="A1914" s="7" t="s">
        <v>1416</v>
      </c>
      <c r="B1914" s="7" t="s">
        <v>1879</v>
      </c>
      <c r="C1914" s="7"/>
      <c r="D1914" s="6" t="s">
        <v>1416</v>
      </c>
      <c r="E1914" s="6" t="s">
        <v>1880</v>
      </c>
      <c r="F1914" s="7" t="str">
        <f aca="false">IF($D1914="","",IFERROR(IF(INDEX(Hierarchy!$B$2:$B$1295,MATCH($D1914,Hierarchy!$A$2:$A$1295,0))="","",INDEX(Hierarchy!$B$2:$B$1295,MATCH($D1914,Hierarchy!$A$2:$A$1295,0))),"NODE NOT FOUND"))</f>
        <v>State/Province</v>
      </c>
      <c r="G1914" s="7" t="str">
        <f aca="false">IF($D1914="","",IFERROR(IF(INDEX(Hierarchy!$D$2:$D$1295,MATCH($D1914,Hierarchy!$A$2:$A$1295,0))="","",INDEX(Hierarchy!$D$2:$D$1295,MATCH($D1914,Hierarchy!$A$2:$A$1295,0))),"NODE NOT FOUND"))</f>
        <v>APAC</v>
      </c>
      <c r="H1914" s="7" t="str">
        <f aca="false">IF($D1914="","",IFERROR(IF(INDEX(Hierarchy!$E$2:$E$1295,MATCH($D1914,Hierarchy!$A$2:$A$1295,0))="","",INDEX(Hierarchy!$E$2:$E$1295,MATCH($D1914,Hierarchy!$A$2:$A$1295,0))),"NODE NOT FOUND"))</f>
        <v>South Asia</v>
      </c>
      <c r="I1914" s="7" t="str">
        <f aca="false">IF($D1914="","",IFERROR(IF(INDEX(Hierarchy!$F$2:$F$1295,MATCH($D1914,Hierarchy!$A$2:$A$1295,0))="","",INDEX(Hierarchy!$F$2:$F$1295,MATCH($D1914,Hierarchy!$A$2:$A$1295,0))),"NODE NOT FOUND"))</f>
        <v>Sri Lanka</v>
      </c>
      <c r="J1914" s="7" t="str">
        <f aca="false">IF($D1914="","",IFERROR(IF(INDEX(Hierarchy!$G$2:$G$1295,MATCH($D1914,Hierarchy!$A$2:$A$1295,0))="","",INDEX(Hierarchy!$G$2:$G$1295,MATCH($D1914,Hierarchy!$A$2:$A$1295,0))),"NODE NOT FOUND"))</f>
        <v>LKA</v>
      </c>
      <c r="K1914" s="7" t="str">
        <f aca="false">IF($D1914="","",IFERROR(IF(INDEX(Hierarchy!$H$2:$H$1295,MATCH($D1914,Hierarchy!$A$2:$A$1295,0))="","",INDEX(Hierarchy!$H$2:$H$1295,MATCH($D1914,Hierarchy!$A$2:$A$1295,0))),"NODE NOT FOUND"))</f>
        <v>Uva Province (Sri Lanka)</v>
      </c>
      <c r="L1914" s="7" t="str">
        <f aca="false">IF($D1914="","",IFERROR(IF(INDEX(Hierarchy!$I$2:$I$1295,MATCH($D1914,Hierarchy!$A$2:$A$1295,0))="","",INDEX(Hierarchy!$I$2:$I$1295,MATCH($D1914,Hierarchy!$A$2:$A$1295,0))),"NODE NOT FOUND"))</f>
        <v/>
      </c>
      <c r="M1914" s="17" t="str">
        <f aca="false">IF(B1914="Pre-seeded","Pre-seeded",IF(B1914="Review 2026-09-16","Added from review",IF(C1914="","New",IF(C1914=D1914,"","Changed"))))</f>
        <v>Pre-seeded</v>
      </c>
      <c r="N1914" s="7" t="str">
        <f aca="false">TRIM(SUBSTITUTE(SUBSTITUTE(SUBSTITUTE(" "&amp;TRIM(SUBSTITUTE(SUBSTITUTE(SUBSTITUTE(SUBSTITUTE(SUBSTITUTE(SUBSTITUTE(SUBSTITUTE(SUBSTITUTE(SUBSTITUTE(SUBSTITUTE(SUBSTITUTE(SUBSTITUTE(SUBSTITUTE(SUBSTITUTE(SUBSTITUTE(UPPER(TRIM(A1914)),"[MEMBER]",""),"{MEMBER}",""),"[MEMBER}",""),"MEMBER]",""),"(A)",""),"""",""),"“",""),"”",""),".",""),":",""),",",""),"–"," "),"-"," "),"/"," "),"&amp;"," AND "))&amp;" "," THE "," ")," TOTAL "," ")," OPERATIONS "," "))</f>
        <v>UVA PROVINCE (SRI LANKA)</v>
      </c>
      <c r="O1914" s="17" t="str">
        <f aca="false">IF(COUNTIFS($N$2:$N$2000,N1914,$D$2:$D$2000,"&lt;&gt;"&amp;D1914)&gt;0,"CONFLICT","")</f>
        <v/>
      </c>
      <c r="P1914" s="7"/>
    </row>
    <row r="1915" customFormat="false" ht="15" hidden="false" customHeight="false" outlineLevel="0" collapsed="false">
      <c r="A1915" s="7" t="s">
        <v>1024</v>
      </c>
      <c r="B1915" s="7" t="s">
        <v>1879</v>
      </c>
      <c r="C1915" s="7"/>
      <c r="D1915" s="6" t="s">
        <v>1024</v>
      </c>
      <c r="E1915" s="6" t="s">
        <v>1880</v>
      </c>
      <c r="F1915" s="7" t="str">
        <f aca="false">IF($D1915="","",IFERROR(IF(INDEX(Hierarchy!$B$2:$B$1295,MATCH($D1915,Hierarchy!$A$2:$A$1295,0))="","",INDEX(Hierarchy!$B$2:$B$1295,MATCH($D1915,Hierarchy!$A$2:$A$1295,0))),"NODE NOT FOUND"))</f>
        <v>Country</v>
      </c>
      <c r="G1915" s="7" t="str">
        <f aca="false">IF($D1915="","",IFERROR(IF(INDEX(Hierarchy!$D$2:$D$1295,MATCH($D1915,Hierarchy!$A$2:$A$1295,0))="","",INDEX(Hierarchy!$D$2:$D$1295,MATCH($D1915,Hierarchy!$A$2:$A$1295,0))),"NODE NOT FOUND"))</f>
        <v>EMEA</v>
      </c>
      <c r="H1915" s="7" t="str">
        <f aca="false">IF($D1915="","",IFERROR(IF(INDEX(Hierarchy!$E$2:$E$1295,MATCH($D1915,Hierarchy!$A$2:$A$1295,0))="","",INDEX(Hierarchy!$E$2:$E$1295,MATCH($D1915,Hierarchy!$A$2:$A$1295,0))),"NODE NOT FOUND"))</f>
        <v>Europe</v>
      </c>
      <c r="I1915" s="7" t="str">
        <f aca="false">IF($D1915="","",IFERROR(IF(INDEX(Hierarchy!$F$2:$F$1295,MATCH($D1915,Hierarchy!$A$2:$A$1295,0))="","",INDEX(Hierarchy!$F$2:$F$1295,MATCH($D1915,Hierarchy!$A$2:$A$1295,0))),"NODE NOT FOUND"))</f>
        <v>Uzbekistan</v>
      </c>
      <c r="J1915" s="7" t="str">
        <f aca="false">IF($D1915="","",IFERROR(IF(INDEX(Hierarchy!$G$2:$G$1295,MATCH($D1915,Hierarchy!$A$2:$A$1295,0))="","",INDEX(Hierarchy!$G$2:$G$1295,MATCH($D1915,Hierarchy!$A$2:$A$1295,0))),"NODE NOT FOUND"))</f>
        <v>UZB</v>
      </c>
      <c r="K1915" s="7" t="str">
        <f aca="false">IF($D1915="","",IFERROR(IF(INDEX(Hierarchy!$H$2:$H$1295,MATCH($D1915,Hierarchy!$A$2:$A$1295,0))="","",INDEX(Hierarchy!$H$2:$H$1295,MATCH($D1915,Hierarchy!$A$2:$A$1295,0))),"NODE NOT FOUND"))</f>
        <v/>
      </c>
      <c r="L1915" s="7" t="str">
        <f aca="false">IF($D1915="","",IFERROR(IF(INDEX(Hierarchy!$I$2:$I$1295,MATCH($D1915,Hierarchy!$A$2:$A$1295,0))="","",INDEX(Hierarchy!$I$2:$I$1295,MATCH($D1915,Hierarchy!$A$2:$A$1295,0))),"NODE NOT FOUND"))</f>
        <v/>
      </c>
      <c r="M1915" s="17" t="str">
        <f aca="false">IF(B1915="Pre-seeded","Pre-seeded",IF(B1915="Review 2026-09-16","Added from review",IF(C1915="","New",IF(C1915=D1915,"","Changed"))))</f>
        <v>Pre-seeded</v>
      </c>
      <c r="N1915" s="7" t="str">
        <f aca="false">TRIM(SUBSTITUTE(SUBSTITUTE(SUBSTITUTE(" "&amp;TRIM(SUBSTITUTE(SUBSTITUTE(SUBSTITUTE(SUBSTITUTE(SUBSTITUTE(SUBSTITUTE(SUBSTITUTE(SUBSTITUTE(SUBSTITUTE(SUBSTITUTE(SUBSTITUTE(SUBSTITUTE(SUBSTITUTE(SUBSTITUTE(SUBSTITUTE(UPPER(TRIM(A1915)),"[MEMBER]",""),"{MEMBER}",""),"[MEMBER}",""),"MEMBER]",""),"(A)",""),"""",""),"“",""),"”",""),".",""),":",""),",",""),"–"," "),"-"," "),"/"," "),"&amp;"," AND "))&amp;" "," THE "," ")," TOTAL "," ")," OPERATIONS "," "))</f>
        <v>UZBEKISTAN</v>
      </c>
      <c r="O1915" s="17" t="str">
        <f aca="false">IF(COUNTIFS($N$2:$N$2000,N1915,$D$2:$D$2000,"&lt;&gt;"&amp;D1915)&gt;0,"CONFLICT","")</f>
        <v/>
      </c>
      <c r="P1915" s="7"/>
    </row>
    <row r="1916" customFormat="false" ht="15" hidden="false" customHeight="false" outlineLevel="0" collapsed="false">
      <c r="A1916" s="7" t="s">
        <v>1004</v>
      </c>
      <c r="B1916" s="7" t="s">
        <v>1879</v>
      </c>
      <c r="C1916" s="7"/>
      <c r="D1916" s="6" t="s">
        <v>1004</v>
      </c>
      <c r="E1916" s="6" t="s">
        <v>1880</v>
      </c>
      <c r="F1916" s="7" t="str">
        <f aca="false">IF($D1916="","",IFERROR(IF(INDEX(Hierarchy!$B$2:$B$1295,MATCH($D1916,Hierarchy!$A$2:$A$1295,0))="","",INDEX(Hierarchy!$B$2:$B$1295,MATCH($D1916,Hierarchy!$A$2:$A$1295,0))),"NODE NOT FOUND"))</f>
        <v>State/Province</v>
      </c>
      <c r="G1916" s="7" t="str">
        <f aca="false">IF($D1916="","",IFERROR(IF(INDEX(Hierarchy!$D$2:$D$1295,MATCH($D1916,Hierarchy!$A$2:$A$1295,0))="","",INDEX(Hierarchy!$D$2:$D$1295,MATCH($D1916,Hierarchy!$A$2:$A$1295,0))),"NODE NOT FOUND"))</f>
        <v>EMEA</v>
      </c>
      <c r="H1916" s="7" t="str">
        <f aca="false">IF($D1916="","",IFERROR(IF(INDEX(Hierarchy!$E$2:$E$1295,MATCH($D1916,Hierarchy!$A$2:$A$1295,0))="","",INDEX(Hierarchy!$E$2:$E$1295,MATCH($D1916,Hierarchy!$A$2:$A$1295,0))),"NODE NOT FOUND"))</f>
        <v>Europe</v>
      </c>
      <c r="I1916" s="7" t="str">
        <f aca="false">IF($D1916="","",IFERROR(IF(INDEX(Hierarchy!$F$2:$F$1295,MATCH($D1916,Hierarchy!$A$2:$A$1295,0))="","",INDEX(Hierarchy!$F$2:$F$1295,MATCH($D1916,Hierarchy!$A$2:$A$1295,0))),"NODE NOT FOUND"))</f>
        <v>Switzerland</v>
      </c>
      <c r="J1916" s="7" t="str">
        <f aca="false">IF($D1916="","",IFERROR(IF(INDEX(Hierarchy!$G$2:$G$1295,MATCH($D1916,Hierarchy!$A$2:$A$1295,0))="","",INDEX(Hierarchy!$G$2:$G$1295,MATCH($D1916,Hierarchy!$A$2:$A$1295,0))),"NODE NOT FOUND"))</f>
        <v>CHE</v>
      </c>
      <c r="K1916" s="7" t="str">
        <f aca="false">IF($D1916="","",IFERROR(IF(INDEX(Hierarchy!$H$2:$H$1295,MATCH($D1916,Hierarchy!$A$2:$A$1295,0))="","",INDEX(Hierarchy!$H$2:$H$1295,MATCH($D1916,Hierarchy!$A$2:$A$1295,0))),"NODE NOT FOUND"))</f>
        <v>Valais</v>
      </c>
      <c r="L1916" s="7" t="str">
        <f aca="false">IF($D1916="","",IFERROR(IF(INDEX(Hierarchy!$I$2:$I$1295,MATCH($D1916,Hierarchy!$A$2:$A$1295,0))="","",INDEX(Hierarchy!$I$2:$I$1295,MATCH($D1916,Hierarchy!$A$2:$A$1295,0))),"NODE NOT FOUND"))</f>
        <v/>
      </c>
      <c r="M1916" s="17" t="str">
        <f aca="false">IF(B1916="Pre-seeded","Pre-seeded",IF(B1916="Review 2026-09-16","Added from review",IF(C1916="","New",IF(C1916=D1916,"","Changed"))))</f>
        <v>Pre-seeded</v>
      </c>
      <c r="N1916" s="7" t="str">
        <f aca="false">TRIM(SUBSTITUTE(SUBSTITUTE(SUBSTITUTE(" "&amp;TRIM(SUBSTITUTE(SUBSTITUTE(SUBSTITUTE(SUBSTITUTE(SUBSTITUTE(SUBSTITUTE(SUBSTITUTE(SUBSTITUTE(SUBSTITUTE(SUBSTITUTE(SUBSTITUTE(SUBSTITUTE(SUBSTITUTE(SUBSTITUTE(SUBSTITUTE(UPPER(TRIM(A1916)),"[MEMBER]",""),"{MEMBER}",""),"[MEMBER}",""),"MEMBER]",""),"(A)",""),"""",""),"“",""),"”",""),".",""),":",""),",",""),"–"," "),"-"," "),"/"," "),"&amp;"," AND "))&amp;" "," THE "," ")," TOTAL "," ")," OPERATIONS "," "))</f>
        <v>VALAIS</v>
      </c>
      <c r="O1916" s="17" t="str">
        <f aca="false">IF(COUNTIFS($N$2:$N$2000,N1916,$D$2:$D$2000,"&lt;&gt;"&amp;D1916)&gt;0,"CONFLICT","")</f>
        <v/>
      </c>
      <c r="P1916" s="7"/>
    </row>
    <row r="1917" customFormat="false" ht="15" hidden="false" customHeight="false" outlineLevel="0" collapsed="false">
      <c r="A1917" s="7" t="s">
        <v>970</v>
      </c>
      <c r="B1917" s="7" t="s">
        <v>1879</v>
      </c>
      <c r="C1917" s="7"/>
      <c r="D1917" s="6" t="s">
        <v>970</v>
      </c>
      <c r="E1917" s="6" t="s">
        <v>1880</v>
      </c>
      <c r="F1917" s="7" t="str">
        <f aca="false">IF($D1917="","",IFERROR(IF(INDEX(Hierarchy!$B$2:$B$1295,MATCH($D1917,Hierarchy!$A$2:$A$1295,0))="","",INDEX(Hierarchy!$B$2:$B$1295,MATCH($D1917,Hierarchy!$A$2:$A$1295,0))),"NODE NOT FOUND"))</f>
        <v>State/Province</v>
      </c>
      <c r="G1917" s="7" t="str">
        <f aca="false">IF($D1917="","",IFERROR(IF(INDEX(Hierarchy!$D$2:$D$1295,MATCH($D1917,Hierarchy!$A$2:$A$1295,0))="","",INDEX(Hierarchy!$D$2:$D$1295,MATCH($D1917,Hierarchy!$A$2:$A$1295,0))),"NODE NOT FOUND"))</f>
        <v>EMEA</v>
      </c>
      <c r="H1917" s="7" t="str">
        <f aca="false">IF($D1917="","",IFERROR(IF(INDEX(Hierarchy!$E$2:$E$1295,MATCH($D1917,Hierarchy!$A$2:$A$1295,0))="","",INDEX(Hierarchy!$E$2:$E$1295,MATCH($D1917,Hierarchy!$A$2:$A$1295,0))),"NODE NOT FOUND"))</f>
        <v>Europe</v>
      </c>
      <c r="I1917" s="7" t="str">
        <f aca="false">IF($D1917="","",IFERROR(IF(INDEX(Hierarchy!$F$2:$F$1295,MATCH($D1917,Hierarchy!$A$2:$A$1295,0))="","",INDEX(Hierarchy!$F$2:$F$1295,MATCH($D1917,Hierarchy!$A$2:$A$1295,0))),"NODE NOT FOUND"))</f>
        <v>Spain</v>
      </c>
      <c r="J1917" s="7" t="str">
        <f aca="false">IF($D1917="","",IFERROR(IF(INDEX(Hierarchy!$G$2:$G$1295,MATCH($D1917,Hierarchy!$A$2:$A$1295,0))="","",INDEX(Hierarchy!$G$2:$G$1295,MATCH($D1917,Hierarchy!$A$2:$A$1295,0))),"NODE NOT FOUND"))</f>
        <v>ESP</v>
      </c>
      <c r="K1917" s="7" t="str">
        <f aca="false">IF($D1917="","",IFERROR(IF(INDEX(Hierarchy!$H$2:$H$1295,MATCH($D1917,Hierarchy!$A$2:$A$1295,0))="","",INDEX(Hierarchy!$H$2:$H$1295,MATCH($D1917,Hierarchy!$A$2:$A$1295,0))),"NODE NOT FOUND"))</f>
        <v>Valencian Community</v>
      </c>
      <c r="L1917" s="7" t="str">
        <f aca="false">IF($D1917="","",IFERROR(IF(INDEX(Hierarchy!$I$2:$I$1295,MATCH($D1917,Hierarchy!$A$2:$A$1295,0))="","",INDEX(Hierarchy!$I$2:$I$1295,MATCH($D1917,Hierarchy!$A$2:$A$1295,0))),"NODE NOT FOUND"))</f>
        <v/>
      </c>
      <c r="M1917" s="17" t="str">
        <f aca="false">IF(B1917="Pre-seeded","Pre-seeded",IF(B1917="Review 2026-09-16","Added from review",IF(C1917="","New",IF(C1917=D1917,"","Changed"))))</f>
        <v>Pre-seeded</v>
      </c>
      <c r="N1917" s="7" t="str">
        <f aca="false">TRIM(SUBSTITUTE(SUBSTITUTE(SUBSTITUTE(" "&amp;TRIM(SUBSTITUTE(SUBSTITUTE(SUBSTITUTE(SUBSTITUTE(SUBSTITUTE(SUBSTITUTE(SUBSTITUTE(SUBSTITUTE(SUBSTITUTE(SUBSTITUTE(SUBSTITUTE(SUBSTITUTE(SUBSTITUTE(SUBSTITUTE(SUBSTITUTE(UPPER(TRIM(A1917)),"[MEMBER]",""),"{MEMBER}",""),"[MEMBER}",""),"MEMBER]",""),"(A)",""),"""",""),"“",""),"”",""),".",""),":",""),",",""),"–"," "),"-"," "),"/"," "),"&amp;"," AND "))&amp;" "," THE "," ")," TOTAL "," ")," OPERATIONS "," "))</f>
        <v>VALENCIAN COMMUNITY</v>
      </c>
      <c r="O1917" s="17" t="str">
        <f aca="false">IF(COUNTIFS($N$2:$N$2000,N1917,$D$2:$D$2000,"&lt;&gt;"&amp;D1917)&gt;0,"CONFLICT","")</f>
        <v/>
      </c>
      <c r="P1917" s="7"/>
    </row>
    <row r="1918" customFormat="false" ht="15" hidden="false" customHeight="false" outlineLevel="0" collapsed="false">
      <c r="A1918" s="7" t="s">
        <v>531</v>
      </c>
      <c r="B1918" s="7" t="s">
        <v>1879</v>
      </c>
      <c r="C1918" s="7"/>
      <c r="D1918" s="6" t="s">
        <v>531</v>
      </c>
      <c r="E1918" s="6" t="s">
        <v>1880</v>
      </c>
      <c r="F1918" s="7" t="str">
        <f aca="false">IF($D1918="","",IFERROR(IF(INDEX(Hierarchy!$B$2:$B$1295,MATCH($D1918,Hierarchy!$A$2:$A$1295,0))="","",INDEX(Hierarchy!$B$2:$B$1295,MATCH($D1918,Hierarchy!$A$2:$A$1295,0))),"NODE NOT FOUND"))</f>
        <v>State/Province</v>
      </c>
      <c r="G1918" s="7" t="str">
        <f aca="false">IF($D1918="","",IFERROR(IF(INDEX(Hierarchy!$D$2:$D$1295,MATCH($D1918,Hierarchy!$A$2:$A$1295,0))="","",INDEX(Hierarchy!$D$2:$D$1295,MATCH($D1918,Hierarchy!$A$2:$A$1295,0))),"NODE NOT FOUND"))</f>
        <v>AMER</v>
      </c>
      <c r="H1918" s="7" t="str">
        <f aca="false">IF($D1918="","",IFERROR(IF(INDEX(Hierarchy!$E$2:$E$1295,MATCH($D1918,Hierarchy!$A$2:$A$1295,0))="","",INDEX(Hierarchy!$E$2:$E$1295,MATCH($D1918,Hierarchy!$A$2:$A$1295,0))),"NODE NOT FOUND"))</f>
        <v>Latin America (LATAM)</v>
      </c>
      <c r="I1918" s="7" t="str">
        <f aca="false">IF($D1918="","",IFERROR(IF(INDEX(Hierarchy!$F$2:$F$1295,MATCH($D1918,Hierarchy!$A$2:$A$1295,0))="","",INDEX(Hierarchy!$F$2:$F$1295,MATCH($D1918,Hierarchy!$A$2:$A$1295,0))),"NODE NOT FOUND"))</f>
        <v>Colombia</v>
      </c>
      <c r="J1918" s="7" t="str">
        <f aca="false">IF($D1918="","",IFERROR(IF(INDEX(Hierarchy!$G$2:$G$1295,MATCH($D1918,Hierarchy!$A$2:$A$1295,0))="","",INDEX(Hierarchy!$G$2:$G$1295,MATCH($D1918,Hierarchy!$A$2:$A$1295,0))),"NODE NOT FOUND"))</f>
        <v>COL</v>
      </c>
      <c r="K1918" s="7" t="str">
        <f aca="false">IF($D1918="","",IFERROR(IF(INDEX(Hierarchy!$H$2:$H$1295,MATCH($D1918,Hierarchy!$A$2:$A$1295,0))="","",INDEX(Hierarchy!$H$2:$H$1295,MATCH($D1918,Hierarchy!$A$2:$A$1295,0))),"NODE NOT FOUND"))</f>
        <v>Valle del Cauca</v>
      </c>
      <c r="L1918" s="7" t="str">
        <f aca="false">IF($D1918="","",IFERROR(IF(INDEX(Hierarchy!$I$2:$I$1295,MATCH($D1918,Hierarchy!$A$2:$A$1295,0))="","",INDEX(Hierarchy!$I$2:$I$1295,MATCH($D1918,Hierarchy!$A$2:$A$1295,0))),"NODE NOT FOUND"))</f>
        <v/>
      </c>
      <c r="M1918" s="17" t="str">
        <f aca="false">IF(B1918="Pre-seeded","Pre-seeded",IF(B1918="Review 2026-09-16","Added from review",IF(C1918="","New",IF(C1918=D1918,"","Changed"))))</f>
        <v>Pre-seeded</v>
      </c>
      <c r="N1918" s="7" t="str">
        <f aca="false">TRIM(SUBSTITUTE(SUBSTITUTE(SUBSTITUTE(" "&amp;TRIM(SUBSTITUTE(SUBSTITUTE(SUBSTITUTE(SUBSTITUTE(SUBSTITUTE(SUBSTITUTE(SUBSTITUTE(SUBSTITUTE(SUBSTITUTE(SUBSTITUTE(SUBSTITUTE(SUBSTITUTE(SUBSTITUTE(SUBSTITUTE(SUBSTITUTE(UPPER(TRIM(A1918)),"[MEMBER]",""),"{MEMBER}",""),"[MEMBER}",""),"MEMBER]",""),"(A)",""),"""",""),"“",""),"”",""),".",""),":",""),",",""),"–"," "),"-"," "),"/"," "),"&amp;"," AND "))&amp;" "," THE "," ")," TOTAL "," ")," OPERATIONS "," "))</f>
        <v>VALLE DEL CAUCA</v>
      </c>
      <c r="O1918" s="17" t="str">
        <f aca="false">IF(COUNTIFS($N$2:$N$2000,N1918,$D$2:$D$2000,"&lt;&gt;"&amp;D1918)&gt;0,"CONFLICT","")</f>
        <v/>
      </c>
      <c r="P1918" s="7"/>
    </row>
    <row r="1919" customFormat="false" ht="15" hidden="false" customHeight="false" outlineLevel="0" collapsed="false">
      <c r="A1919" s="7" t="s">
        <v>493</v>
      </c>
      <c r="B1919" s="7" t="s">
        <v>1879</v>
      </c>
      <c r="C1919" s="7"/>
      <c r="D1919" s="6" t="s">
        <v>493</v>
      </c>
      <c r="E1919" s="6" t="s">
        <v>1880</v>
      </c>
      <c r="F1919" s="7" t="str">
        <f aca="false">IF($D1919="","",IFERROR(IF(INDEX(Hierarchy!$B$2:$B$1295,MATCH($D1919,Hierarchy!$A$2:$A$1295,0))="","",INDEX(Hierarchy!$B$2:$B$1295,MATCH($D1919,Hierarchy!$A$2:$A$1295,0))),"NODE NOT FOUND"))</f>
        <v>State/Province</v>
      </c>
      <c r="G1919" s="7" t="str">
        <f aca="false">IF($D1919="","",IFERROR(IF(INDEX(Hierarchy!$D$2:$D$1295,MATCH($D1919,Hierarchy!$A$2:$A$1295,0))="","",INDEX(Hierarchy!$D$2:$D$1295,MATCH($D1919,Hierarchy!$A$2:$A$1295,0))),"NODE NOT FOUND"))</f>
        <v>AMER</v>
      </c>
      <c r="H1919" s="7" t="str">
        <f aca="false">IF($D1919="","",IFERROR(IF(INDEX(Hierarchy!$E$2:$E$1295,MATCH($D1919,Hierarchy!$A$2:$A$1295,0))="","",INDEX(Hierarchy!$E$2:$E$1295,MATCH($D1919,Hierarchy!$A$2:$A$1295,0))),"NODE NOT FOUND"))</f>
        <v>Latin America (LATAM)</v>
      </c>
      <c r="I1919" s="7" t="str">
        <f aca="false">IF($D1919="","",IFERROR(IF(INDEX(Hierarchy!$F$2:$F$1295,MATCH($D1919,Hierarchy!$A$2:$A$1295,0))="","",INDEX(Hierarchy!$F$2:$F$1295,MATCH($D1919,Hierarchy!$A$2:$A$1295,0))),"NODE NOT FOUND"))</f>
        <v>Chile</v>
      </c>
      <c r="J1919" s="7" t="str">
        <f aca="false">IF($D1919="","",IFERROR(IF(INDEX(Hierarchy!$G$2:$G$1295,MATCH($D1919,Hierarchy!$A$2:$A$1295,0))="","",INDEX(Hierarchy!$G$2:$G$1295,MATCH($D1919,Hierarchy!$A$2:$A$1295,0))),"NODE NOT FOUND"))</f>
        <v>CHL</v>
      </c>
      <c r="K1919" s="7" t="str">
        <f aca="false">IF($D1919="","",IFERROR(IF(INDEX(Hierarchy!$H$2:$H$1295,MATCH($D1919,Hierarchy!$A$2:$A$1295,0))="","",INDEX(Hierarchy!$H$2:$H$1295,MATCH($D1919,Hierarchy!$A$2:$A$1295,0))),"NODE NOT FOUND"))</f>
        <v>Valparaíso</v>
      </c>
      <c r="L1919" s="7" t="str">
        <f aca="false">IF($D1919="","",IFERROR(IF(INDEX(Hierarchy!$I$2:$I$1295,MATCH($D1919,Hierarchy!$A$2:$A$1295,0))="","",INDEX(Hierarchy!$I$2:$I$1295,MATCH($D1919,Hierarchy!$A$2:$A$1295,0))),"NODE NOT FOUND"))</f>
        <v/>
      </c>
      <c r="M1919" s="17" t="str">
        <f aca="false">IF(B1919="Pre-seeded","Pre-seeded",IF(B1919="Review 2026-09-16","Added from review",IF(C1919="","New",IF(C1919=D1919,"","Changed"))))</f>
        <v>Pre-seeded</v>
      </c>
      <c r="N1919" s="7" t="str">
        <f aca="false">TRIM(SUBSTITUTE(SUBSTITUTE(SUBSTITUTE(" "&amp;TRIM(SUBSTITUTE(SUBSTITUTE(SUBSTITUTE(SUBSTITUTE(SUBSTITUTE(SUBSTITUTE(SUBSTITUTE(SUBSTITUTE(SUBSTITUTE(SUBSTITUTE(SUBSTITUTE(SUBSTITUTE(SUBSTITUTE(SUBSTITUTE(SUBSTITUTE(UPPER(TRIM(A1919)),"[MEMBER]",""),"{MEMBER}",""),"[MEMBER}",""),"MEMBER]",""),"(A)",""),"""",""),"“",""),"”",""),".",""),":",""),",",""),"–"," "),"-"," "),"/"," "),"&amp;"," AND "))&amp;" "," THE "," ")," TOTAL "," ")," OPERATIONS "," "))</f>
        <v>VALPARAÍSO</v>
      </c>
      <c r="O1919" s="17" t="str">
        <f aca="false">IF(COUNTIFS($N$2:$N$2000,N1919,$D$2:$D$2000,"&lt;&gt;"&amp;D1919)&gt;0,"CONFLICT","")</f>
        <v/>
      </c>
      <c r="P1919" s="7"/>
    </row>
    <row r="1920" customFormat="false" ht="15" hidden="false" customHeight="false" outlineLevel="0" collapsed="false">
      <c r="A1920" s="7" t="s">
        <v>1780</v>
      </c>
      <c r="B1920" s="7" t="s">
        <v>1879</v>
      </c>
      <c r="C1920" s="7"/>
      <c r="D1920" s="6" t="s">
        <v>1780</v>
      </c>
      <c r="E1920" s="6" t="s">
        <v>1880</v>
      </c>
      <c r="F1920" s="7" t="str">
        <f aca="false">IF($D1920="","",IFERROR(IF(INDEX(Hierarchy!$B$2:$B$1295,MATCH($D1920,Hierarchy!$A$2:$A$1295,0))="","",INDEX(Hierarchy!$B$2:$B$1295,MATCH($D1920,Hierarchy!$A$2:$A$1295,0))),"NODE NOT FOUND"))</f>
        <v>Country</v>
      </c>
      <c r="G1920" s="7" t="str">
        <f aca="false">IF($D1920="","",IFERROR(IF(INDEX(Hierarchy!$D$2:$D$1295,MATCH($D1920,Hierarchy!$A$2:$A$1295,0))="","",INDEX(Hierarchy!$D$2:$D$1295,MATCH($D1920,Hierarchy!$A$2:$A$1295,0))),"NODE NOT FOUND"))</f>
        <v>APAC</v>
      </c>
      <c r="H1920" s="7" t="str">
        <f aca="false">IF($D1920="","",IFERROR(IF(INDEX(Hierarchy!$E$2:$E$1295,MATCH($D1920,Hierarchy!$A$2:$A$1295,0))="","",INDEX(Hierarchy!$E$2:$E$1295,MATCH($D1920,Hierarchy!$A$2:$A$1295,0))),"NODE NOT FOUND"))</f>
        <v>Oceania (ANZ)</v>
      </c>
      <c r="I1920" s="7" t="str">
        <f aca="false">IF($D1920="","",IFERROR(IF(INDEX(Hierarchy!$F$2:$F$1295,MATCH($D1920,Hierarchy!$A$2:$A$1295,0))="","",INDEX(Hierarchy!$F$2:$F$1295,MATCH($D1920,Hierarchy!$A$2:$A$1295,0))),"NODE NOT FOUND"))</f>
        <v>Vanuatu</v>
      </c>
      <c r="J1920" s="7" t="str">
        <f aca="false">IF($D1920="","",IFERROR(IF(INDEX(Hierarchy!$G$2:$G$1295,MATCH($D1920,Hierarchy!$A$2:$A$1295,0))="","",INDEX(Hierarchy!$G$2:$G$1295,MATCH($D1920,Hierarchy!$A$2:$A$1295,0))),"NODE NOT FOUND"))</f>
        <v>VUT</v>
      </c>
      <c r="K1920" s="7" t="str">
        <f aca="false">IF($D1920="","",IFERROR(IF(INDEX(Hierarchy!$H$2:$H$1295,MATCH($D1920,Hierarchy!$A$2:$A$1295,0))="","",INDEX(Hierarchy!$H$2:$H$1295,MATCH($D1920,Hierarchy!$A$2:$A$1295,0))),"NODE NOT FOUND"))</f>
        <v/>
      </c>
      <c r="L1920" s="7" t="str">
        <f aca="false">IF($D1920="","",IFERROR(IF(INDEX(Hierarchy!$I$2:$I$1295,MATCH($D1920,Hierarchy!$A$2:$A$1295,0))="","",INDEX(Hierarchy!$I$2:$I$1295,MATCH($D1920,Hierarchy!$A$2:$A$1295,0))),"NODE NOT FOUND"))</f>
        <v/>
      </c>
      <c r="M1920" s="17" t="str">
        <f aca="false">IF(B1920="Pre-seeded","Pre-seeded",IF(B1920="Review 2026-09-16","Added from review",IF(C1920="","New",IF(C1920=D1920,"","Changed"))))</f>
        <v>Pre-seeded</v>
      </c>
      <c r="N1920" s="7" t="str">
        <f aca="false">TRIM(SUBSTITUTE(SUBSTITUTE(SUBSTITUTE(" "&amp;TRIM(SUBSTITUTE(SUBSTITUTE(SUBSTITUTE(SUBSTITUTE(SUBSTITUTE(SUBSTITUTE(SUBSTITUTE(SUBSTITUTE(SUBSTITUTE(SUBSTITUTE(SUBSTITUTE(SUBSTITUTE(SUBSTITUTE(SUBSTITUTE(SUBSTITUTE(UPPER(TRIM(A1920)),"[MEMBER]",""),"{MEMBER}",""),"[MEMBER}",""),"MEMBER]",""),"(A)",""),"""",""),"“",""),"”",""),".",""),":",""),",",""),"–"," "),"-"," "),"/"," "),"&amp;"," AND "))&amp;" "," THE "," ")," TOTAL "," ")," OPERATIONS "," "))</f>
        <v>VANUATU</v>
      </c>
      <c r="O1920" s="17" t="str">
        <f aca="false">IF(COUNTIFS($N$2:$N$2000,N1920,$D$2:$D$2000,"&lt;&gt;"&amp;D1920)&gt;0,"CONFLICT","")</f>
        <v/>
      </c>
      <c r="P1920" s="7"/>
    </row>
    <row r="1921" customFormat="false" ht="15" hidden="false" customHeight="false" outlineLevel="0" collapsed="false">
      <c r="A1921" s="7" t="s">
        <v>2845</v>
      </c>
      <c r="B1921" s="7" t="s">
        <v>1879</v>
      </c>
      <c r="C1921" s="7"/>
      <c r="D1921" s="6" t="s">
        <v>1026</v>
      </c>
      <c r="E1921" s="6" t="s">
        <v>1880</v>
      </c>
      <c r="F1921" s="7" t="str">
        <f aca="false">IF($D1921="","",IFERROR(IF(INDEX(Hierarchy!$B$2:$B$1295,MATCH($D1921,Hierarchy!$A$2:$A$1295,0))="","",INDEX(Hierarchy!$B$2:$B$1295,MATCH($D1921,Hierarchy!$A$2:$A$1295,0))),"NODE NOT FOUND"))</f>
        <v>Country</v>
      </c>
      <c r="G1921" s="7" t="str">
        <f aca="false">IF($D1921="","",IFERROR(IF(INDEX(Hierarchy!$D$2:$D$1295,MATCH($D1921,Hierarchy!$A$2:$A$1295,0))="","",INDEX(Hierarchy!$D$2:$D$1295,MATCH($D1921,Hierarchy!$A$2:$A$1295,0))),"NODE NOT FOUND"))</f>
        <v>EMEA</v>
      </c>
      <c r="H1921" s="7" t="str">
        <f aca="false">IF($D1921="","",IFERROR(IF(INDEX(Hierarchy!$E$2:$E$1295,MATCH($D1921,Hierarchy!$A$2:$A$1295,0))="","",INDEX(Hierarchy!$E$2:$E$1295,MATCH($D1921,Hierarchy!$A$2:$A$1295,0))),"NODE NOT FOUND"))</f>
        <v>Europe</v>
      </c>
      <c r="I1921" s="7" t="str">
        <f aca="false">IF($D1921="","",IFERROR(IF(INDEX(Hierarchy!$F$2:$F$1295,MATCH($D1921,Hierarchy!$A$2:$A$1295,0))="","",INDEX(Hierarchy!$F$2:$F$1295,MATCH($D1921,Hierarchy!$A$2:$A$1295,0))),"NODE NOT FOUND"))</f>
        <v>Vatican City</v>
      </c>
      <c r="J1921" s="7" t="str">
        <f aca="false">IF($D1921="","",IFERROR(IF(INDEX(Hierarchy!$G$2:$G$1295,MATCH($D1921,Hierarchy!$A$2:$A$1295,0))="","",INDEX(Hierarchy!$G$2:$G$1295,MATCH($D1921,Hierarchy!$A$2:$A$1295,0))),"NODE NOT FOUND"))</f>
        <v>VAT</v>
      </c>
      <c r="K1921" s="7" t="str">
        <f aca="false">IF($D1921="","",IFERROR(IF(INDEX(Hierarchy!$H$2:$H$1295,MATCH($D1921,Hierarchy!$A$2:$A$1295,0))="","",INDEX(Hierarchy!$H$2:$H$1295,MATCH($D1921,Hierarchy!$A$2:$A$1295,0))),"NODE NOT FOUND"))</f>
        <v/>
      </c>
      <c r="L1921" s="7" t="str">
        <f aca="false">IF($D1921="","",IFERROR(IF(INDEX(Hierarchy!$I$2:$I$1295,MATCH($D1921,Hierarchy!$A$2:$A$1295,0))="","",INDEX(Hierarchy!$I$2:$I$1295,MATCH($D1921,Hierarchy!$A$2:$A$1295,0))),"NODE NOT FOUND"))</f>
        <v/>
      </c>
      <c r="M1921" s="17" t="str">
        <f aca="false">IF(B1921="Pre-seeded","Pre-seeded",IF(B1921="Review 2026-09-16","Added from review",IF(C1921="","New",IF(C1921=D1921,"","Changed"))))</f>
        <v>Pre-seeded</v>
      </c>
      <c r="N1921" s="7" t="str">
        <f aca="false">TRIM(SUBSTITUTE(SUBSTITUTE(SUBSTITUTE(" "&amp;TRIM(SUBSTITUTE(SUBSTITUTE(SUBSTITUTE(SUBSTITUTE(SUBSTITUTE(SUBSTITUTE(SUBSTITUTE(SUBSTITUTE(SUBSTITUTE(SUBSTITUTE(SUBSTITUTE(SUBSTITUTE(SUBSTITUTE(SUBSTITUTE(SUBSTITUTE(UPPER(TRIM(A1921)),"[MEMBER]",""),"{MEMBER}",""),"[MEMBER}",""),"MEMBER]",""),"(A)",""),"""",""),"“",""),"”",""),".",""),":",""),",",""),"–"," "),"-"," "),"/"," "),"&amp;"," AND "))&amp;" "," THE "," ")," TOTAL "," ")," OPERATIONS "," "))</f>
        <v>VATICAN</v>
      </c>
      <c r="O1921" s="17" t="str">
        <f aca="false">IF(COUNTIFS($N$2:$N$2000,N1921,$D$2:$D$2000,"&lt;&gt;"&amp;D1921)&gt;0,"CONFLICT","")</f>
        <v/>
      </c>
      <c r="P1921" s="7"/>
    </row>
    <row r="1922" customFormat="false" ht="15" hidden="false" customHeight="false" outlineLevel="0" collapsed="false">
      <c r="A1922" s="7" t="s">
        <v>1026</v>
      </c>
      <c r="B1922" s="7" t="s">
        <v>1879</v>
      </c>
      <c r="C1922" s="7"/>
      <c r="D1922" s="6" t="s">
        <v>1026</v>
      </c>
      <c r="E1922" s="6" t="s">
        <v>1880</v>
      </c>
      <c r="F1922" s="7" t="str">
        <f aca="false">IF($D1922="","",IFERROR(IF(INDEX(Hierarchy!$B$2:$B$1295,MATCH($D1922,Hierarchy!$A$2:$A$1295,0))="","",INDEX(Hierarchy!$B$2:$B$1295,MATCH($D1922,Hierarchy!$A$2:$A$1295,0))),"NODE NOT FOUND"))</f>
        <v>Country</v>
      </c>
      <c r="G1922" s="7" t="str">
        <f aca="false">IF($D1922="","",IFERROR(IF(INDEX(Hierarchy!$D$2:$D$1295,MATCH($D1922,Hierarchy!$A$2:$A$1295,0))="","",INDEX(Hierarchy!$D$2:$D$1295,MATCH($D1922,Hierarchy!$A$2:$A$1295,0))),"NODE NOT FOUND"))</f>
        <v>EMEA</v>
      </c>
      <c r="H1922" s="7" t="str">
        <f aca="false">IF($D1922="","",IFERROR(IF(INDEX(Hierarchy!$E$2:$E$1295,MATCH($D1922,Hierarchy!$A$2:$A$1295,0))="","",INDEX(Hierarchy!$E$2:$E$1295,MATCH($D1922,Hierarchy!$A$2:$A$1295,0))),"NODE NOT FOUND"))</f>
        <v>Europe</v>
      </c>
      <c r="I1922" s="7" t="str">
        <f aca="false">IF($D1922="","",IFERROR(IF(INDEX(Hierarchy!$F$2:$F$1295,MATCH($D1922,Hierarchy!$A$2:$A$1295,0))="","",INDEX(Hierarchy!$F$2:$F$1295,MATCH($D1922,Hierarchy!$A$2:$A$1295,0))),"NODE NOT FOUND"))</f>
        <v>Vatican City</v>
      </c>
      <c r="J1922" s="7" t="str">
        <f aca="false">IF($D1922="","",IFERROR(IF(INDEX(Hierarchy!$G$2:$G$1295,MATCH($D1922,Hierarchy!$A$2:$A$1295,0))="","",INDEX(Hierarchy!$G$2:$G$1295,MATCH($D1922,Hierarchy!$A$2:$A$1295,0))),"NODE NOT FOUND"))</f>
        <v>VAT</v>
      </c>
      <c r="K1922" s="7" t="str">
        <f aca="false">IF($D1922="","",IFERROR(IF(INDEX(Hierarchy!$H$2:$H$1295,MATCH($D1922,Hierarchy!$A$2:$A$1295,0))="","",INDEX(Hierarchy!$H$2:$H$1295,MATCH($D1922,Hierarchy!$A$2:$A$1295,0))),"NODE NOT FOUND"))</f>
        <v/>
      </c>
      <c r="L1922" s="7" t="str">
        <f aca="false">IF($D1922="","",IFERROR(IF(INDEX(Hierarchy!$I$2:$I$1295,MATCH($D1922,Hierarchy!$A$2:$A$1295,0))="","",INDEX(Hierarchy!$I$2:$I$1295,MATCH($D1922,Hierarchy!$A$2:$A$1295,0))),"NODE NOT FOUND"))</f>
        <v/>
      </c>
      <c r="M1922" s="17" t="str">
        <f aca="false">IF(B1922="Pre-seeded","Pre-seeded",IF(B1922="Review 2026-09-16","Added from review",IF(C1922="","New",IF(C1922=D1922,"","Changed"))))</f>
        <v>Pre-seeded</v>
      </c>
      <c r="N1922" s="7" t="str">
        <f aca="false">TRIM(SUBSTITUTE(SUBSTITUTE(SUBSTITUTE(" "&amp;TRIM(SUBSTITUTE(SUBSTITUTE(SUBSTITUTE(SUBSTITUTE(SUBSTITUTE(SUBSTITUTE(SUBSTITUTE(SUBSTITUTE(SUBSTITUTE(SUBSTITUTE(SUBSTITUTE(SUBSTITUTE(SUBSTITUTE(SUBSTITUTE(SUBSTITUTE(UPPER(TRIM(A1922)),"[MEMBER]",""),"{MEMBER}",""),"[MEMBER}",""),"MEMBER]",""),"(A)",""),"""",""),"“",""),"”",""),".",""),":",""),",",""),"–"," "),"-"," "),"/"," "),"&amp;"," AND "))&amp;" "," THE "," ")," TOTAL "," ")," OPERATIONS "," "))</f>
        <v>VATICAN CITY</v>
      </c>
      <c r="O1922" s="17" t="str">
        <f aca="false">IF(COUNTIFS($N$2:$N$2000,N1922,$D$2:$D$2000,"&lt;&gt;"&amp;D1922)&gt;0,"CONFLICT","")</f>
        <v/>
      </c>
      <c r="P1922" s="7"/>
    </row>
    <row r="1923" customFormat="false" ht="15" hidden="false" customHeight="false" outlineLevel="0" collapsed="false">
      <c r="A1923" s="7" t="s">
        <v>1005</v>
      </c>
      <c r="B1923" s="7" t="s">
        <v>1879</v>
      </c>
      <c r="C1923" s="7"/>
      <c r="D1923" s="6" t="s">
        <v>1005</v>
      </c>
      <c r="E1923" s="6" t="s">
        <v>1880</v>
      </c>
      <c r="F1923" s="7" t="str">
        <f aca="false">IF($D1923="","",IFERROR(IF(INDEX(Hierarchy!$B$2:$B$1295,MATCH($D1923,Hierarchy!$A$2:$A$1295,0))="","",INDEX(Hierarchy!$B$2:$B$1295,MATCH($D1923,Hierarchy!$A$2:$A$1295,0))),"NODE NOT FOUND"))</f>
        <v>State/Province</v>
      </c>
      <c r="G1923" s="7" t="str">
        <f aca="false">IF($D1923="","",IFERROR(IF(INDEX(Hierarchy!$D$2:$D$1295,MATCH($D1923,Hierarchy!$A$2:$A$1295,0))="","",INDEX(Hierarchy!$D$2:$D$1295,MATCH($D1923,Hierarchy!$A$2:$A$1295,0))),"NODE NOT FOUND"))</f>
        <v>EMEA</v>
      </c>
      <c r="H1923" s="7" t="str">
        <f aca="false">IF($D1923="","",IFERROR(IF(INDEX(Hierarchy!$E$2:$E$1295,MATCH($D1923,Hierarchy!$A$2:$A$1295,0))="","",INDEX(Hierarchy!$E$2:$E$1295,MATCH($D1923,Hierarchy!$A$2:$A$1295,0))),"NODE NOT FOUND"))</f>
        <v>Europe</v>
      </c>
      <c r="I1923" s="7" t="str">
        <f aca="false">IF($D1923="","",IFERROR(IF(INDEX(Hierarchy!$F$2:$F$1295,MATCH($D1923,Hierarchy!$A$2:$A$1295,0))="","",INDEX(Hierarchy!$F$2:$F$1295,MATCH($D1923,Hierarchy!$A$2:$A$1295,0))),"NODE NOT FOUND"))</f>
        <v>Switzerland</v>
      </c>
      <c r="J1923" s="7" t="str">
        <f aca="false">IF($D1923="","",IFERROR(IF(INDEX(Hierarchy!$G$2:$G$1295,MATCH($D1923,Hierarchy!$A$2:$A$1295,0))="","",INDEX(Hierarchy!$G$2:$G$1295,MATCH($D1923,Hierarchy!$A$2:$A$1295,0))),"NODE NOT FOUND"))</f>
        <v>CHE</v>
      </c>
      <c r="K1923" s="7" t="str">
        <f aca="false">IF($D1923="","",IFERROR(IF(INDEX(Hierarchy!$H$2:$H$1295,MATCH($D1923,Hierarchy!$A$2:$A$1295,0))="","",INDEX(Hierarchy!$H$2:$H$1295,MATCH($D1923,Hierarchy!$A$2:$A$1295,0))),"NODE NOT FOUND"))</f>
        <v>Vaud</v>
      </c>
      <c r="L1923" s="7" t="str">
        <f aca="false">IF($D1923="","",IFERROR(IF(INDEX(Hierarchy!$I$2:$I$1295,MATCH($D1923,Hierarchy!$A$2:$A$1295,0))="","",INDEX(Hierarchy!$I$2:$I$1295,MATCH($D1923,Hierarchy!$A$2:$A$1295,0))),"NODE NOT FOUND"))</f>
        <v/>
      </c>
      <c r="M1923" s="17" t="str">
        <f aca="false">IF(B1923="Pre-seeded","Pre-seeded",IF(B1923="Review 2026-09-16","Added from review",IF(C1923="","New",IF(C1923=D1923,"","Changed"))))</f>
        <v>Pre-seeded</v>
      </c>
      <c r="N1923" s="7" t="str">
        <f aca="false">TRIM(SUBSTITUTE(SUBSTITUTE(SUBSTITUTE(" "&amp;TRIM(SUBSTITUTE(SUBSTITUTE(SUBSTITUTE(SUBSTITUTE(SUBSTITUTE(SUBSTITUTE(SUBSTITUTE(SUBSTITUTE(SUBSTITUTE(SUBSTITUTE(SUBSTITUTE(SUBSTITUTE(SUBSTITUTE(SUBSTITUTE(SUBSTITUTE(UPPER(TRIM(A1923)),"[MEMBER]",""),"{MEMBER}",""),"[MEMBER}",""),"MEMBER]",""),"(A)",""),"""",""),"“",""),"”",""),".",""),":",""),",",""),"–"," "),"-"," "),"/"," "),"&amp;"," AND "))&amp;" "," THE "," ")," TOTAL "," ")," OPERATIONS "," "))</f>
        <v>VAUD</v>
      </c>
      <c r="O1923" s="17" t="str">
        <f aca="false">IF(COUNTIFS($N$2:$N$2000,N1923,$D$2:$D$2000,"&lt;&gt;"&amp;D1923)&gt;0,"CONFLICT","")</f>
        <v/>
      </c>
      <c r="P1923" s="7"/>
    </row>
    <row r="1924" customFormat="false" ht="15" hidden="false" customHeight="false" outlineLevel="0" collapsed="false">
      <c r="A1924" s="7" t="s">
        <v>532</v>
      </c>
      <c r="B1924" s="7" t="s">
        <v>1879</v>
      </c>
      <c r="C1924" s="7"/>
      <c r="D1924" s="6" t="s">
        <v>532</v>
      </c>
      <c r="E1924" s="6" t="s">
        <v>1880</v>
      </c>
      <c r="F1924" s="7" t="str">
        <f aca="false">IF($D1924="","",IFERROR(IF(INDEX(Hierarchy!$B$2:$B$1295,MATCH($D1924,Hierarchy!$A$2:$A$1295,0))="","",INDEX(Hierarchy!$B$2:$B$1295,MATCH($D1924,Hierarchy!$A$2:$A$1295,0))),"NODE NOT FOUND"))</f>
        <v>State/Province</v>
      </c>
      <c r="G1924" s="7" t="str">
        <f aca="false">IF($D1924="","",IFERROR(IF(INDEX(Hierarchy!$D$2:$D$1295,MATCH($D1924,Hierarchy!$A$2:$A$1295,0))="","",INDEX(Hierarchy!$D$2:$D$1295,MATCH($D1924,Hierarchy!$A$2:$A$1295,0))),"NODE NOT FOUND"))</f>
        <v>AMER</v>
      </c>
      <c r="H1924" s="7" t="str">
        <f aca="false">IF($D1924="","",IFERROR(IF(INDEX(Hierarchy!$E$2:$E$1295,MATCH($D1924,Hierarchy!$A$2:$A$1295,0))="","",INDEX(Hierarchy!$E$2:$E$1295,MATCH($D1924,Hierarchy!$A$2:$A$1295,0))),"NODE NOT FOUND"))</f>
        <v>Latin America (LATAM)</v>
      </c>
      <c r="I1924" s="7" t="str">
        <f aca="false">IF($D1924="","",IFERROR(IF(INDEX(Hierarchy!$F$2:$F$1295,MATCH($D1924,Hierarchy!$A$2:$A$1295,0))="","",INDEX(Hierarchy!$F$2:$F$1295,MATCH($D1924,Hierarchy!$A$2:$A$1295,0))),"NODE NOT FOUND"))</f>
        <v>Colombia</v>
      </c>
      <c r="J1924" s="7" t="str">
        <f aca="false">IF($D1924="","",IFERROR(IF(INDEX(Hierarchy!$G$2:$G$1295,MATCH($D1924,Hierarchy!$A$2:$A$1295,0))="","",INDEX(Hierarchy!$G$2:$G$1295,MATCH($D1924,Hierarchy!$A$2:$A$1295,0))),"NODE NOT FOUND"))</f>
        <v>COL</v>
      </c>
      <c r="K1924" s="7" t="str">
        <f aca="false">IF($D1924="","",IFERROR(IF(INDEX(Hierarchy!$H$2:$H$1295,MATCH($D1924,Hierarchy!$A$2:$A$1295,0))="","",INDEX(Hierarchy!$H$2:$H$1295,MATCH($D1924,Hierarchy!$A$2:$A$1295,0))),"NODE NOT FOUND"))</f>
        <v>Vaupés</v>
      </c>
      <c r="L1924" s="7" t="str">
        <f aca="false">IF($D1924="","",IFERROR(IF(INDEX(Hierarchy!$I$2:$I$1295,MATCH($D1924,Hierarchy!$A$2:$A$1295,0))="","",INDEX(Hierarchy!$I$2:$I$1295,MATCH($D1924,Hierarchy!$A$2:$A$1295,0))),"NODE NOT FOUND"))</f>
        <v/>
      </c>
      <c r="M1924" s="17" t="str">
        <f aca="false">IF(B1924="Pre-seeded","Pre-seeded",IF(B1924="Review 2026-09-16","Added from review",IF(C1924="","New",IF(C1924=D1924,"","Changed"))))</f>
        <v>Pre-seeded</v>
      </c>
      <c r="N1924" s="7" t="str">
        <f aca="false">TRIM(SUBSTITUTE(SUBSTITUTE(SUBSTITUTE(" "&amp;TRIM(SUBSTITUTE(SUBSTITUTE(SUBSTITUTE(SUBSTITUTE(SUBSTITUTE(SUBSTITUTE(SUBSTITUTE(SUBSTITUTE(SUBSTITUTE(SUBSTITUTE(SUBSTITUTE(SUBSTITUTE(SUBSTITUTE(SUBSTITUTE(SUBSTITUTE(UPPER(TRIM(A1924)),"[MEMBER]",""),"{MEMBER}",""),"[MEMBER}",""),"MEMBER]",""),"(A)",""),"""",""),"“",""),"”",""),".",""),":",""),",",""),"–"," "),"-"," "),"/"," "),"&amp;"," AND "))&amp;" "," THE "," ")," TOTAL "," ")," OPERATIONS "," "))</f>
        <v>VAUPÉS</v>
      </c>
      <c r="O1924" s="17" t="str">
        <f aca="false">IF(COUNTIFS($N$2:$N$2000,N1924,$D$2:$D$2000,"&lt;&gt;"&amp;D1924)&gt;0,"CONFLICT","")</f>
        <v/>
      </c>
      <c r="P1924" s="7"/>
    </row>
    <row r="1925" customFormat="false" ht="15" hidden="false" customHeight="false" outlineLevel="0" collapsed="false">
      <c r="A1925" s="7" t="s">
        <v>851</v>
      </c>
      <c r="B1925" s="7" t="s">
        <v>1879</v>
      </c>
      <c r="C1925" s="7"/>
      <c r="D1925" s="6" t="s">
        <v>851</v>
      </c>
      <c r="E1925" s="6" t="s">
        <v>1880</v>
      </c>
      <c r="F1925" s="7" t="str">
        <f aca="false">IF($D1925="","",IFERROR(IF(INDEX(Hierarchy!$B$2:$B$1295,MATCH($D1925,Hierarchy!$A$2:$A$1295,0))="","",INDEX(Hierarchy!$B$2:$B$1295,MATCH($D1925,Hierarchy!$A$2:$A$1295,0))),"NODE NOT FOUND"))</f>
        <v>State/Province</v>
      </c>
      <c r="G1925" s="7" t="str">
        <f aca="false">IF($D1925="","",IFERROR(IF(INDEX(Hierarchy!$D$2:$D$1295,MATCH($D1925,Hierarchy!$A$2:$A$1295,0))="","",INDEX(Hierarchy!$D$2:$D$1295,MATCH($D1925,Hierarchy!$A$2:$A$1295,0))),"NODE NOT FOUND"))</f>
        <v>EMEA</v>
      </c>
      <c r="H1925" s="7" t="str">
        <f aca="false">IF($D1925="","",IFERROR(IF(INDEX(Hierarchy!$E$2:$E$1295,MATCH($D1925,Hierarchy!$A$2:$A$1295,0))="","",INDEX(Hierarchy!$E$2:$E$1295,MATCH($D1925,Hierarchy!$A$2:$A$1295,0))),"NODE NOT FOUND"))</f>
        <v>Europe</v>
      </c>
      <c r="I1925" s="7" t="str">
        <f aca="false">IF($D1925="","",IFERROR(IF(INDEX(Hierarchy!$F$2:$F$1295,MATCH($D1925,Hierarchy!$A$2:$A$1295,0))="","",INDEX(Hierarchy!$F$2:$F$1295,MATCH($D1925,Hierarchy!$A$2:$A$1295,0))),"NODE NOT FOUND"))</f>
        <v>Italy</v>
      </c>
      <c r="J1925" s="7" t="str">
        <f aca="false">IF($D1925="","",IFERROR(IF(INDEX(Hierarchy!$G$2:$G$1295,MATCH($D1925,Hierarchy!$A$2:$A$1295,0))="","",INDEX(Hierarchy!$G$2:$G$1295,MATCH($D1925,Hierarchy!$A$2:$A$1295,0))),"NODE NOT FOUND"))</f>
        <v>ITA</v>
      </c>
      <c r="K1925" s="7" t="str">
        <f aca="false">IF($D1925="","",IFERROR(IF(INDEX(Hierarchy!$H$2:$H$1295,MATCH($D1925,Hierarchy!$A$2:$A$1295,0))="","",INDEX(Hierarchy!$H$2:$H$1295,MATCH($D1925,Hierarchy!$A$2:$A$1295,0))),"NODE NOT FOUND"))</f>
        <v>Veneto</v>
      </c>
      <c r="L1925" s="7" t="str">
        <f aca="false">IF($D1925="","",IFERROR(IF(INDEX(Hierarchy!$I$2:$I$1295,MATCH($D1925,Hierarchy!$A$2:$A$1295,0))="","",INDEX(Hierarchy!$I$2:$I$1295,MATCH($D1925,Hierarchy!$A$2:$A$1295,0))),"NODE NOT FOUND"))</f>
        <v/>
      </c>
      <c r="M1925" s="17" t="str">
        <f aca="false">IF(B1925="Pre-seeded","Pre-seeded",IF(B1925="Review 2026-09-16","Added from review",IF(C1925="","New",IF(C1925=D1925,"","Changed"))))</f>
        <v>Pre-seeded</v>
      </c>
      <c r="N1925" s="7" t="str">
        <f aca="false">TRIM(SUBSTITUTE(SUBSTITUTE(SUBSTITUTE(" "&amp;TRIM(SUBSTITUTE(SUBSTITUTE(SUBSTITUTE(SUBSTITUTE(SUBSTITUTE(SUBSTITUTE(SUBSTITUTE(SUBSTITUTE(SUBSTITUTE(SUBSTITUTE(SUBSTITUTE(SUBSTITUTE(SUBSTITUTE(SUBSTITUTE(SUBSTITUTE(UPPER(TRIM(A1925)),"[MEMBER]",""),"{MEMBER}",""),"[MEMBER}",""),"MEMBER]",""),"(A)",""),"""",""),"“",""),"”",""),".",""),":",""),",",""),"–"," "),"-"," "),"/"," "),"&amp;"," AND "))&amp;" "," THE "," ")," TOTAL "," ")," OPERATIONS "," "))</f>
        <v>VENETO</v>
      </c>
      <c r="O1925" s="17" t="str">
        <f aca="false">IF(COUNTIFS($N$2:$N$2000,N1925,$D$2:$D$2000,"&lt;&gt;"&amp;D1925)&gt;0,"CONFLICT","")</f>
        <v/>
      </c>
      <c r="P1925" s="7"/>
    </row>
    <row r="1926" customFormat="false" ht="15" hidden="false" customHeight="false" outlineLevel="0" collapsed="false">
      <c r="A1926" s="7" t="s">
        <v>611</v>
      </c>
      <c r="B1926" s="7" t="s">
        <v>1882</v>
      </c>
      <c r="C1926" s="7" t="s">
        <v>611</v>
      </c>
      <c r="D1926" s="6" t="s">
        <v>611</v>
      </c>
      <c r="E1926" s="6" t="s">
        <v>1880</v>
      </c>
      <c r="F1926" s="7" t="str">
        <f aca="false">IF($D1926="","",IFERROR(IF(INDEX(Hierarchy!$B$2:$B$1295,MATCH($D1926,Hierarchy!$A$2:$A$1295,0))="","",INDEX(Hierarchy!$B$2:$B$1295,MATCH($D1926,Hierarchy!$A$2:$A$1295,0))),"NODE NOT FOUND"))</f>
        <v>Country</v>
      </c>
      <c r="G1926" s="7" t="str">
        <f aca="false">IF($D1926="","",IFERROR(IF(INDEX(Hierarchy!$D$2:$D$1295,MATCH($D1926,Hierarchy!$A$2:$A$1295,0))="","",INDEX(Hierarchy!$D$2:$D$1295,MATCH($D1926,Hierarchy!$A$2:$A$1295,0))),"NODE NOT FOUND"))</f>
        <v>AMER</v>
      </c>
      <c r="H1926" s="7" t="str">
        <f aca="false">IF($D1926="","",IFERROR(IF(INDEX(Hierarchy!$E$2:$E$1295,MATCH($D1926,Hierarchy!$A$2:$A$1295,0))="","",INDEX(Hierarchy!$E$2:$E$1295,MATCH($D1926,Hierarchy!$A$2:$A$1295,0))),"NODE NOT FOUND"))</f>
        <v>Latin America (LATAM)</v>
      </c>
      <c r="I1926" s="7" t="str">
        <f aca="false">IF($D1926="","",IFERROR(IF(INDEX(Hierarchy!$F$2:$F$1295,MATCH($D1926,Hierarchy!$A$2:$A$1295,0))="","",INDEX(Hierarchy!$F$2:$F$1295,MATCH($D1926,Hierarchy!$A$2:$A$1295,0))),"NODE NOT FOUND"))</f>
        <v>Venezuela</v>
      </c>
      <c r="J1926" s="7" t="str">
        <f aca="false">IF($D1926="","",IFERROR(IF(INDEX(Hierarchy!$G$2:$G$1295,MATCH($D1926,Hierarchy!$A$2:$A$1295,0))="","",INDEX(Hierarchy!$G$2:$G$1295,MATCH($D1926,Hierarchy!$A$2:$A$1295,0))),"NODE NOT FOUND"))</f>
        <v>VEN</v>
      </c>
      <c r="K1926" s="7" t="str">
        <f aca="false">IF($D1926="","",IFERROR(IF(INDEX(Hierarchy!$H$2:$H$1295,MATCH($D1926,Hierarchy!$A$2:$A$1295,0))="","",INDEX(Hierarchy!$H$2:$H$1295,MATCH($D1926,Hierarchy!$A$2:$A$1295,0))),"NODE NOT FOUND"))</f>
        <v/>
      </c>
      <c r="L1926" s="7" t="str">
        <f aca="false">IF($D1926="","",IFERROR(IF(INDEX(Hierarchy!$I$2:$I$1295,MATCH($D1926,Hierarchy!$A$2:$A$1295,0))="","",INDEX(Hierarchy!$I$2:$I$1295,MATCH($D1926,Hierarchy!$A$2:$A$1295,0))),"NODE NOT FOUND"))</f>
        <v/>
      </c>
      <c r="M1926" s="17" t="str">
        <f aca="false">IF(B1926="Pre-seeded","Pre-seeded",IF(B1926="Review 2026-09-16","Added from review",IF(C1926="","New",IF(C1926=D1926,"","Changed"))))</f>
        <v/>
      </c>
      <c r="N1926" s="7" t="str">
        <f aca="false">TRIM(SUBSTITUTE(SUBSTITUTE(SUBSTITUTE(" "&amp;TRIM(SUBSTITUTE(SUBSTITUTE(SUBSTITUTE(SUBSTITUTE(SUBSTITUTE(SUBSTITUTE(SUBSTITUTE(SUBSTITUTE(SUBSTITUTE(SUBSTITUTE(SUBSTITUTE(SUBSTITUTE(SUBSTITUTE(SUBSTITUTE(SUBSTITUTE(UPPER(TRIM(A1926)),"[MEMBER]",""),"{MEMBER}",""),"[MEMBER}",""),"MEMBER]",""),"(A)",""),"""",""),"“",""),"”",""),".",""),":",""),",",""),"–"," "),"-"," "),"/"," "),"&amp;"," AND "))&amp;" "," THE "," ")," TOTAL "," ")," OPERATIONS "," "))</f>
        <v>VENEZUELA</v>
      </c>
      <c r="O1926" s="17" t="str">
        <f aca="false">IF(COUNTIFS($N$2:$N$2000,N1926,$D$2:$D$2000,"&lt;&gt;"&amp;D1926)&gt;0,"CONFLICT","")</f>
        <v/>
      </c>
      <c r="P1926" s="7"/>
    </row>
    <row r="1927" customFormat="false" ht="15" hidden="false" customHeight="false" outlineLevel="0" collapsed="false">
      <c r="A1927" s="7" t="s">
        <v>2846</v>
      </c>
      <c r="B1927" s="7" t="s">
        <v>1882</v>
      </c>
      <c r="C1927" s="7" t="s">
        <v>611</v>
      </c>
      <c r="D1927" s="6" t="s">
        <v>611</v>
      </c>
      <c r="E1927" s="6" t="s">
        <v>1880</v>
      </c>
      <c r="F1927" s="7" t="str">
        <f aca="false">IF($D1927="","",IFERROR(IF(INDEX(Hierarchy!$B$2:$B$1295,MATCH($D1927,Hierarchy!$A$2:$A$1295,0))="","",INDEX(Hierarchy!$B$2:$B$1295,MATCH($D1927,Hierarchy!$A$2:$A$1295,0))),"NODE NOT FOUND"))</f>
        <v>Country</v>
      </c>
      <c r="G1927" s="7" t="str">
        <f aca="false">IF($D1927="","",IFERROR(IF(INDEX(Hierarchy!$D$2:$D$1295,MATCH($D1927,Hierarchy!$A$2:$A$1295,0))="","",INDEX(Hierarchy!$D$2:$D$1295,MATCH($D1927,Hierarchy!$A$2:$A$1295,0))),"NODE NOT FOUND"))</f>
        <v>AMER</v>
      </c>
      <c r="H1927" s="7" t="str">
        <f aca="false">IF($D1927="","",IFERROR(IF(INDEX(Hierarchy!$E$2:$E$1295,MATCH($D1927,Hierarchy!$A$2:$A$1295,0))="","",INDEX(Hierarchy!$E$2:$E$1295,MATCH($D1927,Hierarchy!$A$2:$A$1295,0))),"NODE NOT FOUND"))</f>
        <v>Latin America (LATAM)</v>
      </c>
      <c r="I1927" s="7" t="str">
        <f aca="false">IF($D1927="","",IFERROR(IF(INDEX(Hierarchy!$F$2:$F$1295,MATCH($D1927,Hierarchy!$A$2:$A$1295,0))="","",INDEX(Hierarchy!$F$2:$F$1295,MATCH($D1927,Hierarchy!$A$2:$A$1295,0))),"NODE NOT FOUND"))</f>
        <v>Venezuela</v>
      </c>
      <c r="J1927" s="7" t="str">
        <f aca="false">IF($D1927="","",IFERROR(IF(INDEX(Hierarchy!$G$2:$G$1295,MATCH($D1927,Hierarchy!$A$2:$A$1295,0))="","",INDEX(Hierarchy!$G$2:$G$1295,MATCH($D1927,Hierarchy!$A$2:$A$1295,0))),"NODE NOT FOUND"))</f>
        <v>VEN</v>
      </c>
      <c r="K1927" s="7" t="str">
        <f aca="false">IF($D1927="","",IFERROR(IF(INDEX(Hierarchy!$H$2:$H$1295,MATCH($D1927,Hierarchy!$A$2:$A$1295,0))="","",INDEX(Hierarchy!$H$2:$H$1295,MATCH($D1927,Hierarchy!$A$2:$A$1295,0))),"NODE NOT FOUND"))</f>
        <v/>
      </c>
      <c r="L1927" s="7" t="str">
        <f aca="false">IF($D1927="","",IFERROR(IF(INDEX(Hierarchy!$I$2:$I$1295,MATCH($D1927,Hierarchy!$A$2:$A$1295,0))="","",INDEX(Hierarchy!$I$2:$I$1295,MATCH($D1927,Hierarchy!$A$2:$A$1295,0))),"NODE NOT FOUND"))</f>
        <v/>
      </c>
      <c r="M1927" s="17" t="str">
        <f aca="false">IF(B1927="Pre-seeded","Pre-seeded",IF(B1927="Review 2026-09-16","Added from review",IF(C1927="","New",IF(C1927=D1927,"","Changed"))))</f>
        <v/>
      </c>
      <c r="N1927" s="7" t="str">
        <f aca="false">TRIM(SUBSTITUTE(SUBSTITUTE(SUBSTITUTE(" "&amp;TRIM(SUBSTITUTE(SUBSTITUTE(SUBSTITUTE(SUBSTITUTE(SUBSTITUTE(SUBSTITUTE(SUBSTITUTE(SUBSTITUTE(SUBSTITUTE(SUBSTITUTE(SUBSTITUTE(SUBSTITUTE(SUBSTITUTE(SUBSTITUTE(SUBSTITUTE(UPPER(TRIM(A1927)),"[MEMBER]",""),"{MEMBER}",""),"[MEMBER}",""),"MEMBER]",""),"(A)",""),"""",""),"“",""),"”",""),".",""),":",""),",",""),"–"," "),"-"," "),"/"," "),"&amp;"," AND "))&amp;" "," THE "," ")," TOTAL "," ")," OPERATIONS "," "))</f>
        <v>VENEZUELA</v>
      </c>
      <c r="O1927" s="17" t="str">
        <f aca="false">IF(COUNTIFS($N$2:$N$2000,N1927,$D$2:$D$2000,"&lt;&gt;"&amp;D1927)&gt;0,"CONFLICT","")</f>
        <v/>
      </c>
      <c r="P1927" s="7"/>
    </row>
    <row r="1928" customFormat="false" ht="15" hidden="false" customHeight="false" outlineLevel="0" collapsed="false">
      <c r="A1928" s="7" t="s">
        <v>2847</v>
      </c>
      <c r="B1928" s="7" t="s">
        <v>1879</v>
      </c>
      <c r="C1928" s="7"/>
      <c r="D1928" s="6" t="s">
        <v>611</v>
      </c>
      <c r="E1928" s="6" t="s">
        <v>1880</v>
      </c>
      <c r="F1928" s="7" t="str">
        <f aca="false">IF($D1928="","",IFERROR(IF(INDEX(Hierarchy!$B$2:$B$1295,MATCH($D1928,Hierarchy!$A$2:$A$1295,0))="","",INDEX(Hierarchy!$B$2:$B$1295,MATCH($D1928,Hierarchy!$A$2:$A$1295,0))),"NODE NOT FOUND"))</f>
        <v>Country</v>
      </c>
      <c r="G1928" s="7" t="str">
        <f aca="false">IF($D1928="","",IFERROR(IF(INDEX(Hierarchy!$D$2:$D$1295,MATCH($D1928,Hierarchy!$A$2:$A$1295,0))="","",INDEX(Hierarchy!$D$2:$D$1295,MATCH($D1928,Hierarchy!$A$2:$A$1295,0))),"NODE NOT FOUND"))</f>
        <v>AMER</v>
      </c>
      <c r="H1928" s="7" t="str">
        <f aca="false">IF($D1928="","",IFERROR(IF(INDEX(Hierarchy!$E$2:$E$1295,MATCH($D1928,Hierarchy!$A$2:$A$1295,0))="","",INDEX(Hierarchy!$E$2:$E$1295,MATCH($D1928,Hierarchy!$A$2:$A$1295,0))),"NODE NOT FOUND"))</f>
        <v>Latin America (LATAM)</v>
      </c>
      <c r="I1928" s="7" t="str">
        <f aca="false">IF($D1928="","",IFERROR(IF(INDEX(Hierarchy!$F$2:$F$1295,MATCH($D1928,Hierarchy!$A$2:$A$1295,0))="","",INDEX(Hierarchy!$F$2:$F$1295,MATCH($D1928,Hierarchy!$A$2:$A$1295,0))),"NODE NOT FOUND"))</f>
        <v>Venezuela</v>
      </c>
      <c r="J1928" s="7" t="str">
        <f aca="false">IF($D1928="","",IFERROR(IF(INDEX(Hierarchy!$G$2:$G$1295,MATCH($D1928,Hierarchy!$A$2:$A$1295,0))="","",INDEX(Hierarchy!$G$2:$G$1295,MATCH($D1928,Hierarchy!$A$2:$A$1295,0))),"NODE NOT FOUND"))</f>
        <v>VEN</v>
      </c>
      <c r="K1928" s="7" t="str">
        <f aca="false">IF($D1928="","",IFERROR(IF(INDEX(Hierarchy!$H$2:$H$1295,MATCH($D1928,Hierarchy!$A$2:$A$1295,0))="","",INDEX(Hierarchy!$H$2:$H$1295,MATCH($D1928,Hierarchy!$A$2:$A$1295,0))),"NODE NOT FOUND"))</f>
        <v/>
      </c>
      <c r="L1928" s="7" t="str">
        <f aca="false">IF($D1928="","",IFERROR(IF(INDEX(Hierarchy!$I$2:$I$1295,MATCH($D1928,Hierarchy!$A$2:$A$1295,0))="","",INDEX(Hierarchy!$I$2:$I$1295,MATCH($D1928,Hierarchy!$A$2:$A$1295,0))),"NODE NOT FOUND"))</f>
        <v/>
      </c>
      <c r="M1928" s="17" t="str">
        <f aca="false">IF(B1928="Pre-seeded","Pre-seeded",IF(B1928="Review 2026-09-16","Added from review",IF(C1928="","New",IF(C1928=D1928,"","Changed"))))</f>
        <v>Pre-seeded</v>
      </c>
      <c r="N1928" s="7" t="str">
        <f aca="false">TRIM(SUBSTITUTE(SUBSTITUTE(SUBSTITUTE(" "&amp;TRIM(SUBSTITUTE(SUBSTITUTE(SUBSTITUTE(SUBSTITUTE(SUBSTITUTE(SUBSTITUTE(SUBSTITUTE(SUBSTITUTE(SUBSTITUTE(SUBSTITUTE(SUBSTITUTE(SUBSTITUTE(SUBSTITUTE(SUBSTITUTE(SUBSTITUTE(UPPER(TRIM(A1928)),"[MEMBER]",""),"{MEMBER}",""),"[MEMBER}",""),"MEMBER]",""),"(A)",""),"""",""),"“",""),"”",""),".",""),":",""),",",""),"–"," "),"-"," "),"/"," "),"&amp;"," AND "))&amp;" "," THE "," ")," TOTAL "," ")," OPERATIONS "," "))</f>
        <v>VENEZUELA BOLIVARIAN REPUBLIC OF</v>
      </c>
      <c r="O1928" s="17" t="str">
        <f aca="false">IF(COUNTIFS($N$2:$N$2000,N1928,$D$2:$D$2000,"&lt;&gt;"&amp;D1928)&gt;0,"CONFLICT","")</f>
        <v/>
      </c>
      <c r="P1928" s="7" t="s">
        <v>1936</v>
      </c>
    </row>
    <row r="1929" customFormat="false" ht="15" hidden="false" customHeight="false" outlineLevel="0" collapsed="false">
      <c r="A1929" s="7" t="s">
        <v>417</v>
      </c>
      <c r="B1929" s="7" t="s">
        <v>1879</v>
      </c>
      <c r="C1929" s="7"/>
      <c r="D1929" s="6" t="s">
        <v>417</v>
      </c>
      <c r="E1929" s="6" t="s">
        <v>1880</v>
      </c>
      <c r="F1929" s="7" t="str">
        <f aca="false">IF($D1929="","",IFERROR(IF(INDEX(Hierarchy!$B$2:$B$1295,MATCH($D1929,Hierarchy!$A$2:$A$1295,0))="","",INDEX(Hierarchy!$B$2:$B$1295,MATCH($D1929,Hierarchy!$A$2:$A$1295,0))),"NODE NOT FOUND"))</f>
        <v>State/Province</v>
      </c>
      <c r="G1929" s="7" t="str">
        <f aca="false">IF($D1929="","",IFERROR(IF(INDEX(Hierarchy!$D$2:$D$1295,MATCH($D1929,Hierarchy!$A$2:$A$1295,0))="","",INDEX(Hierarchy!$D$2:$D$1295,MATCH($D1929,Hierarchy!$A$2:$A$1295,0))),"NODE NOT FOUND"))</f>
        <v>AMER</v>
      </c>
      <c r="H1929" s="7" t="str">
        <f aca="false">IF($D1929="","",IFERROR(IF(INDEX(Hierarchy!$E$2:$E$1295,MATCH($D1929,Hierarchy!$A$2:$A$1295,0))="","",INDEX(Hierarchy!$E$2:$E$1295,MATCH($D1929,Hierarchy!$A$2:$A$1295,0))),"NODE NOT FOUND"))</f>
        <v>Latin America (LATAM)</v>
      </c>
      <c r="I1929" s="7" t="str">
        <f aca="false">IF($D1929="","",IFERROR(IF(INDEX(Hierarchy!$F$2:$F$1295,MATCH($D1929,Hierarchy!$A$2:$A$1295,0))="","",INDEX(Hierarchy!$F$2:$F$1295,MATCH($D1929,Hierarchy!$A$2:$A$1295,0))),"NODE NOT FOUND"))</f>
        <v>Mexico</v>
      </c>
      <c r="J1929" s="7" t="str">
        <f aca="false">IF($D1929="","",IFERROR(IF(INDEX(Hierarchy!$G$2:$G$1295,MATCH($D1929,Hierarchy!$A$2:$A$1295,0))="","",INDEX(Hierarchy!$G$2:$G$1295,MATCH($D1929,Hierarchy!$A$2:$A$1295,0))),"NODE NOT FOUND"))</f>
        <v>MEX</v>
      </c>
      <c r="K1929" s="7" t="str">
        <f aca="false">IF($D1929="","",IFERROR(IF(INDEX(Hierarchy!$H$2:$H$1295,MATCH($D1929,Hierarchy!$A$2:$A$1295,0))="","",INDEX(Hierarchy!$H$2:$H$1295,MATCH($D1929,Hierarchy!$A$2:$A$1295,0))),"NODE NOT FOUND"))</f>
        <v>Veracruz</v>
      </c>
      <c r="L1929" s="7" t="str">
        <f aca="false">IF($D1929="","",IFERROR(IF(INDEX(Hierarchy!$I$2:$I$1295,MATCH($D1929,Hierarchy!$A$2:$A$1295,0))="","",INDEX(Hierarchy!$I$2:$I$1295,MATCH($D1929,Hierarchy!$A$2:$A$1295,0))),"NODE NOT FOUND"))</f>
        <v/>
      </c>
      <c r="M1929" s="17" t="str">
        <f aca="false">IF(B1929="Pre-seeded","Pre-seeded",IF(B1929="Review 2026-09-16","Added from review",IF(C1929="","New",IF(C1929=D1929,"","Changed"))))</f>
        <v>Pre-seeded</v>
      </c>
      <c r="N1929" s="7" t="str">
        <f aca="false">TRIM(SUBSTITUTE(SUBSTITUTE(SUBSTITUTE(" "&amp;TRIM(SUBSTITUTE(SUBSTITUTE(SUBSTITUTE(SUBSTITUTE(SUBSTITUTE(SUBSTITUTE(SUBSTITUTE(SUBSTITUTE(SUBSTITUTE(SUBSTITUTE(SUBSTITUTE(SUBSTITUTE(SUBSTITUTE(SUBSTITUTE(SUBSTITUTE(UPPER(TRIM(A1929)),"[MEMBER]",""),"{MEMBER}",""),"[MEMBER}",""),"MEMBER]",""),"(A)",""),"""",""),"“",""),"”",""),".",""),":",""),",",""),"–"," "),"-"," "),"/"," "),"&amp;"," AND "))&amp;" "," THE "," ")," TOTAL "," ")," OPERATIONS "," "))</f>
        <v>VERACRUZ</v>
      </c>
      <c r="O1929" s="17" t="str">
        <f aca="false">IF(COUNTIFS($N$2:$N$2000,N1929,$D$2:$D$2000,"&lt;&gt;"&amp;D1929)&gt;0,"CONFLICT","")</f>
        <v/>
      </c>
      <c r="P1929" s="7"/>
    </row>
    <row r="1930" customFormat="false" ht="15" hidden="false" customHeight="false" outlineLevel="0" collapsed="false">
      <c r="A1930" s="7" t="s">
        <v>256</v>
      </c>
      <c r="B1930" s="7" t="s">
        <v>1882</v>
      </c>
      <c r="C1930" s="7" t="s">
        <v>256</v>
      </c>
      <c r="D1930" s="6" t="s">
        <v>256</v>
      </c>
      <c r="E1930" s="6" t="s">
        <v>1880</v>
      </c>
      <c r="F1930" s="7" t="str">
        <f aca="false">IF($D1930="","",IFERROR(IF(INDEX(Hierarchy!$B$2:$B$1295,MATCH($D1930,Hierarchy!$A$2:$A$1295,0))="","",INDEX(Hierarchy!$B$2:$B$1295,MATCH($D1930,Hierarchy!$A$2:$A$1295,0))),"NODE NOT FOUND"))</f>
        <v>State/Province</v>
      </c>
      <c r="G1930" s="7" t="str">
        <f aca="false">IF($D1930="","",IFERROR(IF(INDEX(Hierarchy!$D$2:$D$1295,MATCH($D1930,Hierarchy!$A$2:$A$1295,0))="","",INDEX(Hierarchy!$D$2:$D$1295,MATCH($D1930,Hierarchy!$A$2:$A$1295,0))),"NODE NOT FOUND"))</f>
        <v>AMER</v>
      </c>
      <c r="H1930" s="7" t="str">
        <f aca="false">IF($D1930="","",IFERROR(IF(INDEX(Hierarchy!$E$2:$E$1295,MATCH($D1930,Hierarchy!$A$2:$A$1295,0))="","",INDEX(Hierarchy!$E$2:$E$1295,MATCH($D1930,Hierarchy!$A$2:$A$1295,0))),"NODE NOT FOUND"))</f>
        <v>North America (NORAM)</v>
      </c>
      <c r="I1930" s="7" t="str">
        <f aca="false">IF($D1930="","",IFERROR(IF(INDEX(Hierarchy!$F$2:$F$1295,MATCH($D1930,Hierarchy!$A$2:$A$1295,0))="","",INDEX(Hierarchy!$F$2:$F$1295,MATCH($D1930,Hierarchy!$A$2:$A$1295,0))),"NODE NOT FOUND"))</f>
        <v>United States</v>
      </c>
      <c r="J1930" s="7" t="str">
        <f aca="false">IF($D1930="","",IFERROR(IF(INDEX(Hierarchy!$G$2:$G$1295,MATCH($D1930,Hierarchy!$A$2:$A$1295,0))="","",INDEX(Hierarchy!$G$2:$G$1295,MATCH($D1930,Hierarchy!$A$2:$A$1295,0))),"NODE NOT FOUND"))</f>
        <v>USA</v>
      </c>
      <c r="K1930" s="7" t="str">
        <f aca="false">IF($D1930="","",IFERROR(IF(INDEX(Hierarchy!$H$2:$H$1295,MATCH($D1930,Hierarchy!$A$2:$A$1295,0))="","",INDEX(Hierarchy!$H$2:$H$1295,MATCH($D1930,Hierarchy!$A$2:$A$1295,0))),"NODE NOT FOUND"))</f>
        <v>Vermont</v>
      </c>
      <c r="L1930" s="7" t="str">
        <f aca="false">IF($D1930="","",IFERROR(IF(INDEX(Hierarchy!$I$2:$I$1295,MATCH($D1930,Hierarchy!$A$2:$A$1295,0))="","",INDEX(Hierarchy!$I$2:$I$1295,MATCH($D1930,Hierarchy!$A$2:$A$1295,0))),"NODE NOT FOUND"))</f>
        <v/>
      </c>
      <c r="M1930" s="17" t="str">
        <f aca="false">IF(B1930="Pre-seeded","Pre-seeded",IF(B1930="Review 2026-09-16","Added from review",IF(C1930="","New",IF(C1930=D1930,"","Changed"))))</f>
        <v/>
      </c>
      <c r="N1930" s="7" t="str">
        <f aca="false">TRIM(SUBSTITUTE(SUBSTITUTE(SUBSTITUTE(" "&amp;TRIM(SUBSTITUTE(SUBSTITUTE(SUBSTITUTE(SUBSTITUTE(SUBSTITUTE(SUBSTITUTE(SUBSTITUTE(SUBSTITUTE(SUBSTITUTE(SUBSTITUTE(SUBSTITUTE(SUBSTITUTE(SUBSTITUTE(SUBSTITUTE(SUBSTITUTE(UPPER(TRIM(A1930)),"[MEMBER]",""),"{MEMBER}",""),"[MEMBER}",""),"MEMBER]",""),"(A)",""),"""",""),"“",""),"”",""),".",""),":",""),",",""),"–"," "),"-"," "),"/"," "),"&amp;"," AND "))&amp;" "," THE "," ")," TOTAL "," ")," OPERATIONS "," "))</f>
        <v>VERMONT</v>
      </c>
      <c r="O1930" s="17" t="str">
        <f aca="false">IF(COUNTIFS($N$2:$N$2000,N1930,$D$2:$D$2000,"&lt;&gt;"&amp;D1930)&gt;0,"CONFLICT","")</f>
        <v/>
      </c>
      <c r="P1930" s="7"/>
    </row>
    <row r="1931" customFormat="false" ht="15" hidden="false" customHeight="false" outlineLevel="0" collapsed="false">
      <c r="A1931" s="7" t="s">
        <v>533</v>
      </c>
      <c r="B1931" s="7" t="s">
        <v>1879</v>
      </c>
      <c r="C1931" s="7"/>
      <c r="D1931" s="6" t="s">
        <v>533</v>
      </c>
      <c r="E1931" s="6" t="s">
        <v>1880</v>
      </c>
      <c r="F1931" s="7" t="str">
        <f aca="false">IF($D1931="","",IFERROR(IF(INDEX(Hierarchy!$B$2:$B$1295,MATCH($D1931,Hierarchy!$A$2:$A$1295,0))="","",INDEX(Hierarchy!$B$2:$B$1295,MATCH($D1931,Hierarchy!$A$2:$A$1295,0))),"NODE NOT FOUND"))</f>
        <v>State/Province</v>
      </c>
      <c r="G1931" s="7" t="str">
        <f aca="false">IF($D1931="","",IFERROR(IF(INDEX(Hierarchy!$D$2:$D$1295,MATCH($D1931,Hierarchy!$A$2:$A$1295,0))="","",INDEX(Hierarchy!$D$2:$D$1295,MATCH($D1931,Hierarchy!$A$2:$A$1295,0))),"NODE NOT FOUND"))</f>
        <v>AMER</v>
      </c>
      <c r="H1931" s="7" t="str">
        <f aca="false">IF($D1931="","",IFERROR(IF(INDEX(Hierarchy!$E$2:$E$1295,MATCH($D1931,Hierarchy!$A$2:$A$1295,0))="","",INDEX(Hierarchy!$E$2:$E$1295,MATCH($D1931,Hierarchy!$A$2:$A$1295,0))),"NODE NOT FOUND"))</f>
        <v>Latin America (LATAM)</v>
      </c>
      <c r="I1931" s="7" t="str">
        <f aca="false">IF($D1931="","",IFERROR(IF(INDEX(Hierarchy!$F$2:$F$1295,MATCH($D1931,Hierarchy!$A$2:$A$1295,0))="","",INDEX(Hierarchy!$F$2:$F$1295,MATCH($D1931,Hierarchy!$A$2:$A$1295,0))),"NODE NOT FOUND"))</f>
        <v>Colombia</v>
      </c>
      <c r="J1931" s="7" t="str">
        <f aca="false">IF($D1931="","",IFERROR(IF(INDEX(Hierarchy!$G$2:$G$1295,MATCH($D1931,Hierarchy!$A$2:$A$1295,0))="","",INDEX(Hierarchy!$G$2:$G$1295,MATCH($D1931,Hierarchy!$A$2:$A$1295,0))),"NODE NOT FOUND"))</f>
        <v>COL</v>
      </c>
      <c r="K1931" s="7" t="str">
        <f aca="false">IF($D1931="","",IFERROR(IF(INDEX(Hierarchy!$H$2:$H$1295,MATCH($D1931,Hierarchy!$A$2:$A$1295,0))="","",INDEX(Hierarchy!$H$2:$H$1295,MATCH($D1931,Hierarchy!$A$2:$A$1295,0))),"NODE NOT FOUND"))</f>
        <v>Vichada</v>
      </c>
      <c r="L1931" s="7" t="str">
        <f aca="false">IF($D1931="","",IFERROR(IF(INDEX(Hierarchy!$I$2:$I$1295,MATCH($D1931,Hierarchy!$A$2:$A$1295,0))="","",INDEX(Hierarchy!$I$2:$I$1295,MATCH($D1931,Hierarchy!$A$2:$A$1295,0))),"NODE NOT FOUND"))</f>
        <v/>
      </c>
      <c r="M1931" s="17" t="str">
        <f aca="false">IF(B1931="Pre-seeded","Pre-seeded",IF(B1931="Review 2026-09-16","Added from review",IF(C1931="","New",IF(C1931=D1931,"","Changed"))))</f>
        <v>Pre-seeded</v>
      </c>
      <c r="N1931" s="7" t="str">
        <f aca="false">TRIM(SUBSTITUTE(SUBSTITUTE(SUBSTITUTE(" "&amp;TRIM(SUBSTITUTE(SUBSTITUTE(SUBSTITUTE(SUBSTITUTE(SUBSTITUTE(SUBSTITUTE(SUBSTITUTE(SUBSTITUTE(SUBSTITUTE(SUBSTITUTE(SUBSTITUTE(SUBSTITUTE(SUBSTITUTE(SUBSTITUTE(SUBSTITUTE(UPPER(TRIM(A1931)),"[MEMBER]",""),"{MEMBER}",""),"[MEMBER}",""),"MEMBER]",""),"(A)",""),"""",""),"“",""),"”",""),".",""),":",""),",",""),"–"," "),"-"," "),"/"," "),"&amp;"," AND "))&amp;" "," THE "," ")," TOTAL "," ")," OPERATIONS "," "))</f>
        <v>VICHADA</v>
      </c>
      <c r="O1931" s="17" t="str">
        <f aca="false">IF(COUNTIFS($N$2:$N$2000,N1931,$D$2:$D$2000,"&lt;&gt;"&amp;D1931)&gt;0,"CONFLICT","")</f>
        <v/>
      </c>
      <c r="P1931" s="7"/>
    </row>
    <row r="1932" customFormat="false" ht="15" hidden="false" customHeight="false" outlineLevel="0" collapsed="false">
      <c r="A1932" s="7" t="s">
        <v>1711</v>
      </c>
      <c r="B1932" s="7" t="s">
        <v>1879</v>
      </c>
      <c r="C1932" s="7"/>
      <c r="D1932" s="6" t="s">
        <v>1711</v>
      </c>
      <c r="E1932" s="6" t="s">
        <v>1880</v>
      </c>
      <c r="F1932" s="7" t="str">
        <f aca="false">IF($D1932="","",IFERROR(IF(INDEX(Hierarchy!$B$2:$B$1295,MATCH($D1932,Hierarchy!$A$2:$A$1295,0))="","",INDEX(Hierarchy!$B$2:$B$1295,MATCH($D1932,Hierarchy!$A$2:$A$1295,0))),"NODE NOT FOUND"))</f>
        <v>State/Province</v>
      </c>
      <c r="G1932" s="7" t="str">
        <f aca="false">IF($D1932="","",IFERROR(IF(INDEX(Hierarchy!$D$2:$D$1295,MATCH($D1932,Hierarchy!$A$2:$A$1295,0))="","",INDEX(Hierarchy!$D$2:$D$1295,MATCH($D1932,Hierarchy!$A$2:$A$1295,0))),"NODE NOT FOUND"))</f>
        <v>APAC</v>
      </c>
      <c r="H1932" s="7" t="str">
        <f aca="false">IF($D1932="","",IFERROR(IF(INDEX(Hierarchy!$E$2:$E$1295,MATCH($D1932,Hierarchy!$A$2:$A$1295,0))="","",INDEX(Hierarchy!$E$2:$E$1295,MATCH($D1932,Hierarchy!$A$2:$A$1295,0))),"NODE NOT FOUND"))</f>
        <v>Oceania (ANZ)</v>
      </c>
      <c r="I1932" s="7" t="str">
        <f aca="false">IF($D1932="","",IFERROR(IF(INDEX(Hierarchy!$F$2:$F$1295,MATCH($D1932,Hierarchy!$A$2:$A$1295,0))="","",INDEX(Hierarchy!$F$2:$F$1295,MATCH($D1932,Hierarchy!$A$2:$A$1295,0))),"NODE NOT FOUND"))</f>
        <v>Australia</v>
      </c>
      <c r="J1932" s="7" t="str">
        <f aca="false">IF($D1932="","",IFERROR(IF(INDEX(Hierarchy!$G$2:$G$1295,MATCH($D1932,Hierarchy!$A$2:$A$1295,0))="","",INDEX(Hierarchy!$G$2:$G$1295,MATCH($D1932,Hierarchy!$A$2:$A$1295,0))),"NODE NOT FOUND"))</f>
        <v>AUS</v>
      </c>
      <c r="K1932" s="7" t="str">
        <f aca="false">IF($D1932="","",IFERROR(IF(INDEX(Hierarchy!$H$2:$H$1295,MATCH($D1932,Hierarchy!$A$2:$A$1295,0))="","",INDEX(Hierarchy!$H$2:$H$1295,MATCH($D1932,Hierarchy!$A$2:$A$1295,0))),"NODE NOT FOUND"))</f>
        <v>Victoria</v>
      </c>
      <c r="L1932" s="7" t="str">
        <f aca="false">IF($D1932="","",IFERROR(IF(INDEX(Hierarchy!$I$2:$I$1295,MATCH($D1932,Hierarchy!$A$2:$A$1295,0))="","",INDEX(Hierarchy!$I$2:$I$1295,MATCH($D1932,Hierarchy!$A$2:$A$1295,0))),"NODE NOT FOUND"))</f>
        <v/>
      </c>
      <c r="M1932" s="17" t="str">
        <f aca="false">IF(B1932="Pre-seeded","Pre-seeded",IF(B1932="Review 2026-09-16","Added from review",IF(C1932="","New",IF(C1932=D1932,"","Changed"))))</f>
        <v>Pre-seeded</v>
      </c>
      <c r="N1932" s="7" t="str">
        <f aca="false">TRIM(SUBSTITUTE(SUBSTITUTE(SUBSTITUTE(" "&amp;TRIM(SUBSTITUTE(SUBSTITUTE(SUBSTITUTE(SUBSTITUTE(SUBSTITUTE(SUBSTITUTE(SUBSTITUTE(SUBSTITUTE(SUBSTITUTE(SUBSTITUTE(SUBSTITUTE(SUBSTITUTE(SUBSTITUTE(SUBSTITUTE(SUBSTITUTE(UPPER(TRIM(A1932)),"[MEMBER]",""),"{MEMBER}",""),"[MEMBER}",""),"MEMBER]",""),"(A)",""),"""",""),"“",""),"”",""),".",""),":",""),",",""),"–"," "),"-"," "),"/"," "),"&amp;"," AND "))&amp;" "," THE "," ")," TOTAL "," ")," OPERATIONS "," "))</f>
        <v>VICTORIA</v>
      </c>
      <c r="O1932" s="17" t="str">
        <f aca="false">IF(COUNTIFS($N$2:$N$2000,N1932,$D$2:$D$2000,"&lt;&gt;"&amp;D1932)&gt;0,"CONFLICT","")</f>
        <v/>
      </c>
      <c r="P1932" s="7"/>
    </row>
    <row r="1933" customFormat="false" ht="15" hidden="false" customHeight="false" outlineLevel="0" collapsed="false">
      <c r="A1933" s="7" t="s">
        <v>756</v>
      </c>
      <c r="B1933" s="7" t="s">
        <v>1879</v>
      </c>
      <c r="C1933" s="7"/>
      <c r="D1933" s="6" t="s">
        <v>756</v>
      </c>
      <c r="E1933" s="6" t="s">
        <v>1880</v>
      </c>
      <c r="F1933" s="7" t="str">
        <f aca="false">IF($D1933="","",IFERROR(IF(INDEX(Hierarchy!$B$2:$B$1295,MATCH($D1933,Hierarchy!$A$2:$A$1295,0))="","",INDEX(Hierarchy!$B$2:$B$1295,MATCH($D1933,Hierarchy!$A$2:$A$1295,0))),"NODE NOT FOUND"))</f>
        <v>State/Province</v>
      </c>
      <c r="G1933" s="7" t="str">
        <f aca="false">IF($D1933="","",IFERROR(IF(INDEX(Hierarchy!$D$2:$D$1295,MATCH($D1933,Hierarchy!$A$2:$A$1295,0))="","",INDEX(Hierarchy!$D$2:$D$1295,MATCH($D1933,Hierarchy!$A$2:$A$1295,0))),"NODE NOT FOUND"))</f>
        <v>EMEA</v>
      </c>
      <c r="H1933" s="7" t="str">
        <f aca="false">IF($D1933="","",IFERROR(IF(INDEX(Hierarchy!$E$2:$E$1295,MATCH($D1933,Hierarchy!$A$2:$A$1295,0))="","",INDEX(Hierarchy!$E$2:$E$1295,MATCH($D1933,Hierarchy!$A$2:$A$1295,0))),"NODE NOT FOUND"))</f>
        <v>Europe</v>
      </c>
      <c r="I1933" s="7" t="str">
        <f aca="false">IF($D1933="","",IFERROR(IF(INDEX(Hierarchy!$F$2:$F$1295,MATCH($D1933,Hierarchy!$A$2:$A$1295,0))="","",INDEX(Hierarchy!$F$2:$F$1295,MATCH($D1933,Hierarchy!$A$2:$A$1295,0))),"NODE NOT FOUND"))</f>
        <v>Austria</v>
      </c>
      <c r="J1933" s="7" t="str">
        <f aca="false">IF($D1933="","",IFERROR(IF(INDEX(Hierarchy!$G$2:$G$1295,MATCH($D1933,Hierarchy!$A$2:$A$1295,0))="","",INDEX(Hierarchy!$G$2:$G$1295,MATCH($D1933,Hierarchy!$A$2:$A$1295,0))),"NODE NOT FOUND"))</f>
        <v>AUT</v>
      </c>
      <c r="K1933" s="7" t="str">
        <f aca="false">IF($D1933="","",IFERROR(IF(INDEX(Hierarchy!$H$2:$H$1295,MATCH($D1933,Hierarchy!$A$2:$A$1295,0))="","",INDEX(Hierarchy!$H$2:$H$1295,MATCH($D1933,Hierarchy!$A$2:$A$1295,0))),"NODE NOT FOUND"))</f>
        <v>Vienna (state)</v>
      </c>
      <c r="L1933" s="7" t="str">
        <f aca="false">IF($D1933="","",IFERROR(IF(INDEX(Hierarchy!$I$2:$I$1295,MATCH($D1933,Hierarchy!$A$2:$A$1295,0))="","",INDEX(Hierarchy!$I$2:$I$1295,MATCH($D1933,Hierarchy!$A$2:$A$1295,0))),"NODE NOT FOUND"))</f>
        <v/>
      </c>
      <c r="M1933" s="17" t="str">
        <f aca="false">IF(B1933="Pre-seeded","Pre-seeded",IF(B1933="Review 2026-09-16","Added from review",IF(C1933="","New",IF(C1933=D1933,"","Changed"))))</f>
        <v>Pre-seeded</v>
      </c>
      <c r="N1933" s="7" t="str">
        <f aca="false">TRIM(SUBSTITUTE(SUBSTITUTE(SUBSTITUTE(" "&amp;TRIM(SUBSTITUTE(SUBSTITUTE(SUBSTITUTE(SUBSTITUTE(SUBSTITUTE(SUBSTITUTE(SUBSTITUTE(SUBSTITUTE(SUBSTITUTE(SUBSTITUTE(SUBSTITUTE(SUBSTITUTE(SUBSTITUTE(SUBSTITUTE(SUBSTITUTE(UPPER(TRIM(A1933)),"[MEMBER]",""),"{MEMBER}",""),"[MEMBER}",""),"MEMBER]",""),"(A)",""),"""",""),"“",""),"”",""),".",""),":",""),",",""),"–"," "),"-"," "),"/"," "),"&amp;"," AND "))&amp;" "," THE "," ")," TOTAL "," ")," OPERATIONS "," "))</f>
        <v>VIENNA (STATE)</v>
      </c>
      <c r="O1933" s="17" t="str">
        <f aca="false">IF(COUNTIFS($N$2:$N$2000,N1933,$D$2:$D$2000,"&lt;&gt;"&amp;D1933)&gt;0,"CONFLICT","")</f>
        <v/>
      </c>
      <c r="P1933" s="7"/>
    </row>
    <row r="1934" customFormat="false" ht="15" hidden="false" customHeight="false" outlineLevel="0" collapsed="false">
      <c r="A1934" s="7" t="s">
        <v>2848</v>
      </c>
      <c r="B1934" s="7" t="s">
        <v>1882</v>
      </c>
      <c r="C1934" s="7" t="s">
        <v>1690</v>
      </c>
      <c r="D1934" s="6" t="s">
        <v>1690</v>
      </c>
      <c r="E1934" s="6" t="s">
        <v>1880</v>
      </c>
      <c r="F1934" s="7" t="str">
        <f aca="false">IF($D1934="","",IFERROR(IF(INDEX(Hierarchy!$B$2:$B$1295,MATCH($D1934,Hierarchy!$A$2:$A$1295,0))="","",INDEX(Hierarchy!$B$2:$B$1295,MATCH($D1934,Hierarchy!$A$2:$A$1295,0))),"NODE NOT FOUND"))</f>
        <v>Country</v>
      </c>
      <c r="G1934" s="7" t="str">
        <f aca="false">IF($D1934="","",IFERROR(IF(INDEX(Hierarchy!$D$2:$D$1295,MATCH($D1934,Hierarchy!$A$2:$A$1295,0))="","",INDEX(Hierarchy!$D$2:$D$1295,MATCH($D1934,Hierarchy!$A$2:$A$1295,0))),"NODE NOT FOUND"))</f>
        <v>APAC</v>
      </c>
      <c r="H1934" s="7" t="str">
        <f aca="false">IF($D1934="","",IFERROR(IF(INDEX(Hierarchy!$E$2:$E$1295,MATCH($D1934,Hierarchy!$A$2:$A$1295,0))="","",INDEX(Hierarchy!$E$2:$E$1295,MATCH($D1934,Hierarchy!$A$2:$A$1295,0))),"NODE NOT FOUND"))</f>
        <v>Southeast Asia (ASEAN)</v>
      </c>
      <c r="I1934" s="7" t="str">
        <f aca="false">IF($D1934="","",IFERROR(IF(INDEX(Hierarchy!$F$2:$F$1295,MATCH($D1934,Hierarchy!$A$2:$A$1295,0))="","",INDEX(Hierarchy!$F$2:$F$1295,MATCH($D1934,Hierarchy!$A$2:$A$1295,0))),"NODE NOT FOUND"))</f>
        <v>Vietnam</v>
      </c>
      <c r="J1934" s="7" t="str">
        <f aca="false">IF($D1934="","",IFERROR(IF(INDEX(Hierarchy!$G$2:$G$1295,MATCH($D1934,Hierarchy!$A$2:$A$1295,0))="","",INDEX(Hierarchy!$G$2:$G$1295,MATCH($D1934,Hierarchy!$A$2:$A$1295,0))),"NODE NOT FOUND"))</f>
        <v>VNM</v>
      </c>
      <c r="K1934" s="7" t="str">
        <f aca="false">IF($D1934="","",IFERROR(IF(INDEX(Hierarchy!$H$2:$H$1295,MATCH($D1934,Hierarchy!$A$2:$A$1295,0))="","",INDEX(Hierarchy!$H$2:$H$1295,MATCH($D1934,Hierarchy!$A$2:$A$1295,0))),"NODE NOT FOUND"))</f>
        <v/>
      </c>
      <c r="L1934" s="7" t="str">
        <f aca="false">IF($D1934="","",IFERROR(IF(INDEX(Hierarchy!$I$2:$I$1295,MATCH($D1934,Hierarchy!$A$2:$A$1295,0))="","",INDEX(Hierarchy!$I$2:$I$1295,MATCH($D1934,Hierarchy!$A$2:$A$1295,0))),"NODE NOT FOUND"))</f>
        <v/>
      </c>
      <c r="M1934" s="17" t="str">
        <f aca="false">IF(B1934="Pre-seeded","Pre-seeded",IF(B1934="Review 2026-09-16","Added from review",IF(C1934="","New",IF(C1934=D1934,"","Changed"))))</f>
        <v/>
      </c>
      <c r="N1934" s="7" t="str">
        <f aca="false">TRIM(SUBSTITUTE(SUBSTITUTE(SUBSTITUTE(" "&amp;TRIM(SUBSTITUTE(SUBSTITUTE(SUBSTITUTE(SUBSTITUTE(SUBSTITUTE(SUBSTITUTE(SUBSTITUTE(SUBSTITUTE(SUBSTITUTE(SUBSTITUTE(SUBSTITUTE(SUBSTITUTE(SUBSTITUTE(SUBSTITUTE(SUBSTITUTE(UPPER(TRIM(A1934)),"[MEMBER]",""),"{MEMBER}",""),"[MEMBER}",""),"MEMBER]",""),"(A)",""),"""",""),"“",""),"”",""),".",""),":",""),",",""),"–"," "),"-"," "),"/"," "),"&amp;"," AND "))&amp;" "," THE "," ")," TOTAL "," ")," OPERATIONS "," "))</f>
        <v>VIET NAM</v>
      </c>
      <c r="O1934" s="17" t="str">
        <f aca="false">IF(COUNTIFS($N$2:$N$2000,N1934,$D$2:$D$2000,"&lt;&gt;"&amp;D1934)&gt;0,"CONFLICT","")</f>
        <v/>
      </c>
      <c r="P1934" s="7"/>
    </row>
    <row r="1935" customFormat="false" ht="15" hidden="false" customHeight="false" outlineLevel="0" collapsed="false">
      <c r="A1935" s="7" t="s">
        <v>1690</v>
      </c>
      <c r="B1935" s="7" t="s">
        <v>1882</v>
      </c>
      <c r="C1935" s="7" t="s">
        <v>1690</v>
      </c>
      <c r="D1935" s="6" t="s">
        <v>1690</v>
      </c>
      <c r="E1935" s="6" t="s">
        <v>1880</v>
      </c>
      <c r="F1935" s="7" t="str">
        <f aca="false">IF($D1935="","",IFERROR(IF(INDEX(Hierarchy!$B$2:$B$1295,MATCH($D1935,Hierarchy!$A$2:$A$1295,0))="","",INDEX(Hierarchy!$B$2:$B$1295,MATCH($D1935,Hierarchy!$A$2:$A$1295,0))),"NODE NOT FOUND"))</f>
        <v>Country</v>
      </c>
      <c r="G1935" s="7" t="str">
        <f aca="false">IF($D1935="","",IFERROR(IF(INDEX(Hierarchy!$D$2:$D$1295,MATCH($D1935,Hierarchy!$A$2:$A$1295,0))="","",INDEX(Hierarchy!$D$2:$D$1295,MATCH($D1935,Hierarchy!$A$2:$A$1295,0))),"NODE NOT FOUND"))</f>
        <v>APAC</v>
      </c>
      <c r="H1935" s="7" t="str">
        <f aca="false">IF($D1935="","",IFERROR(IF(INDEX(Hierarchy!$E$2:$E$1295,MATCH($D1935,Hierarchy!$A$2:$A$1295,0))="","",INDEX(Hierarchy!$E$2:$E$1295,MATCH($D1935,Hierarchy!$A$2:$A$1295,0))),"NODE NOT FOUND"))</f>
        <v>Southeast Asia (ASEAN)</v>
      </c>
      <c r="I1935" s="7" t="str">
        <f aca="false">IF($D1935="","",IFERROR(IF(INDEX(Hierarchy!$F$2:$F$1295,MATCH($D1935,Hierarchy!$A$2:$A$1295,0))="","",INDEX(Hierarchy!$F$2:$F$1295,MATCH($D1935,Hierarchy!$A$2:$A$1295,0))),"NODE NOT FOUND"))</f>
        <v>Vietnam</v>
      </c>
      <c r="J1935" s="7" t="str">
        <f aca="false">IF($D1935="","",IFERROR(IF(INDEX(Hierarchy!$G$2:$G$1295,MATCH($D1935,Hierarchy!$A$2:$A$1295,0))="","",INDEX(Hierarchy!$G$2:$G$1295,MATCH($D1935,Hierarchy!$A$2:$A$1295,0))),"NODE NOT FOUND"))</f>
        <v>VNM</v>
      </c>
      <c r="K1935" s="7" t="str">
        <f aca="false">IF($D1935="","",IFERROR(IF(INDEX(Hierarchy!$H$2:$H$1295,MATCH($D1935,Hierarchy!$A$2:$A$1295,0))="","",INDEX(Hierarchy!$H$2:$H$1295,MATCH($D1935,Hierarchy!$A$2:$A$1295,0))),"NODE NOT FOUND"))</f>
        <v/>
      </c>
      <c r="L1935" s="7" t="str">
        <f aca="false">IF($D1935="","",IFERROR(IF(INDEX(Hierarchy!$I$2:$I$1295,MATCH($D1935,Hierarchy!$A$2:$A$1295,0))="","",INDEX(Hierarchy!$I$2:$I$1295,MATCH($D1935,Hierarchy!$A$2:$A$1295,0))),"NODE NOT FOUND"))</f>
        <v/>
      </c>
      <c r="M1935" s="17" t="str">
        <f aca="false">IF(B1935="Pre-seeded","Pre-seeded",IF(B1935="Review 2026-09-16","Added from review",IF(C1935="","New",IF(C1935=D1935,"","Changed"))))</f>
        <v/>
      </c>
      <c r="N1935" s="7" t="str">
        <f aca="false">TRIM(SUBSTITUTE(SUBSTITUTE(SUBSTITUTE(" "&amp;TRIM(SUBSTITUTE(SUBSTITUTE(SUBSTITUTE(SUBSTITUTE(SUBSTITUTE(SUBSTITUTE(SUBSTITUTE(SUBSTITUTE(SUBSTITUTE(SUBSTITUTE(SUBSTITUTE(SUBSTITUTE(SUBSTITUTE(SUBSTITUTE(SUBSTITUTE(UPPER(TRIM(A1935)),"[MEMBER]",""),"{MEMBER}",""),"[MEMBER}",""),"MEMBER]",""),"(A)",""),"""",""),"“",""),"”",""),".",""),":",""),",",""),"–"," "),"-"," "),"/"," "),"&amp;"," AND "))&amp;" "," THE "," ")," TOTAL "," ")," OPERATIONS "," "))</f>
        <v>VIETNAM</v>
      </c>
      <c r="O1935" s="17" t="str">
        <f aca="false">IF(COUNTIFS($N$2:$N$2000,N1935,$D$2:$D$2000,"&lt;&gt;"&amp;D1935)&gt;0,"CONFLICT","")</f>
        <v/>
      </c>
      <c r="P1935" s="7"/>
    </row>
    <row r="1936" customFormat="false" ht="15" hidden="false" customHeight="false" outlineLevel="0" collapsed="false">
      <c r="A1936" s="7" t="s">
        <v>2849</v>
      </c>
      <c r="B1936" s="7" t="s">
        <v>1882</v>
      </c>
      <c r="C1936" s="7" t="s">
        <v>1690</v>
      </c>
      <c r="D1936" s="6" t="s">
        <v>1690</v>
      </c>
      <c r="E1936" s="6" t="s">
        <v>1880</v>
      </c>
      <c r="F1936" s="7" t="str">
        <f aca="false">IF($D1936="","",IFERROR(IF(INDEX(Hierarchy!$B$2:$B$1295,MATCH($D1936,Hierarchy!$A$2:$A$1295,0))="","",INDEX(Hierarchy!$B$2:$B$1295,MATCH($D1936,Hierarchy!$A$2:$A$1295,0))),"NODE NOT FOUND"))</f>
        <v>Country</v>
      </c>
      <c r="G1936" s="7" t="str">
        <f aca="false">IF($D1936="","",IFERROR(IF(INDEX(Hierarchy!$D$2:$D$1295,MATCH($D1936,Hierarchy!$A$2:$A$1295,0))="","",INDEX(Hierarchy!$D$2:$D$1295,MATCH($D1936,Hierarchy!$A$2:$A$1295,0))),"NODE NOT FOUND"))</f>
        <v>APAC</v>
      </c>
      <c r="H1936" s="7" t="str">
        <f aca="false">IF($D1936="","",IFERROR(IF(INDEX(Hierarchy!$E$2:$E$1295,MATCH($D1936,Hierarchy!$A$2:$A$1295,0))="","",INDEX(Hierarchy!$E$2:$E$1295,MATCH($D1936,Hierarchy!$A$2:$A$1295,0))),"NODE NOT FOUND"))</f>
        <v>Southeast Asia (ASEAN)</v>
      </c>
      <c r="I1936" s="7" t="str">
        <f aca="false">IF($D1936="","",IFERROR(IF(INDEX(Hierarchy!$F$2:$F$1295,MATCH($D1936,Hierarchy!$A$2:$A$1295,0))="","",INDEX(Hierarchy!$F$2:$F$1295,MATCH($D1936,Hierarchy!$A$2:$A$1295,0))),"NODE NOT FOUND"))</f>
        <v>Vietnam</v>
      </c>
      <c r="J1936" s="7" t="str">
        <f aca="false">IF($D1936="","",IFERROR(IF(INDEX(Hierarchy!$G$2:$G$1295,MATCH($D1936,Hierarchy!$A$2:$A$1295,0))="","",INDEX(Hierarchy!$G$2:$G$1295,MATCH($D1936,Hierarchy!$A$2:$A$1295,0))),"NODE NOT FOUND"))</f>
        <v>VNM</v>
      </c>
      <c r="K1936" s="7" t="str">
        <f aca="false">IF($D1936="","",IFERROR(IF(INDEX(Hierarchy!$H$2:$H$1295,MATCH($D1936,Hierarchy!$A$2:$A$1295,0))="","",INDEX(Hierarchy!$H$2:$H$1295,MATCH($D1936,Hierarchy!$A$2:$A$1295,0))),"NODE NOT FOUND"))</f>
        <v/>
      </c>
      <c r="L1936" s="7" t="str">
        <f aca="false">IF($D1936="","",IFERROR(IF(INDEX(Hierarchy!$I$2:$I$1295,MATCH($D1936,Hierarchy!$A$2:$A$1295,0))="","",INDEX(Hierarchy!$I$2:$I$1295,MATCH($D1936,Hierarchy!$A$2:$A$1295,0))),"NODE NOT FOUND"))</f>
        <v/>
      </c>
      <c r="M1936" s="17" t="str">
        <f aca="false">IF(B1936="Pre-seeded","Pre-seeded",IF(B1936="Review 2026-09-16","Added from review",IF(C1936="","New",IF(C1936=D1936,"","Changed"))))</f>
        <v/>
      </c>
      <c r="N1936" s="7" t="str">
        <f aca="false">TRIM(SUBSTITUTE(SUBSTITUTE(SUBSTITUTE(" "&amp;TRIM(SUBSTITUTE(SUBSTITUTE(SUBSTITUTE(SUBSTITUTE(SUBSTITUTE(SUBSTITUTE(SUBSTITUTE(SUBSTITUTE(SUBSTITUTE(SUBSTITUTE(SUBSTITUTE(SUBSTITUTE(SUBSTITUTE(SUBSTITUTE(SUBSTITUTE(UPPER(TRIM(A1936)),"[MEMBER]",""),"{MEMBER}",""),"[MEMBER}",""),"MEMBER]",""),"(A)",""),"""",""),"“",""),"”",""),".",""),":",""),",",""),"–"," "),"-"," "),"/"," "),"&amp;"," AND "))&amp;" "," THE "," ")," TOTAL "," ")," OPERATIONS "," "))</f>
        <v>VIETNAM</v>
      </c>
      <c r="O1936" s="17" t="str">
        <f aca="false">IF(COUNTIFS($N$2:$N$2000,N1936,$D$2:$D$2000,"&lt;&gt;"&amp;D1936)&gt;0,"CONFLICT","")</f>
        <v/>
      </c>
      <c r="P1936" s="7"/>
    </row>
    <row r="1937" customFormat="false" ht="15" hidden="false" customHeight="false" outlineLevel="0" collapsed="false">
      <c r="A1937" s="7" t="s">
        <v>2850</v>
      </c>
      <c r="B1937" s="7" t="s">
        <v>1879</v>
      </c>
      <c r="C1937" s="7"/>
      <c r="D1937" s="6" t="s">
        <v>471</v>
      </c>
      <c r="E1937" s="6" t="s">
        <v>1880</v>
      </c>
      <c r="F1937" s="7" t="str">
        <f aca="false">IF($D1937="","",IFERROR(IF(INDEX(Hierarchy!$B$2:$B$1295,MATCH($D1937,Hierarchy!$A$2:$A$1295,0))="","",INDEX(Hierarchy!$B$2:$B$1295,MATCH($D1937,Hierarchy!$A$2:$A$1295,0))),"NODE NOT FOUND"))</f>
        <v>Country</v>
      </c>
      <c r="G1937" s="7" t="str">
        <f aca="false">IF($D1937="","",IFERROR(IF(INDEX(Hierarchy!$D$2:$D$1295,MATCH($D1937,Hierarchy!$A$2:$A$1295,0))="","",INDEX(Hierarchy!$D$2:$D$1295,MATCH($D1937,Hierarchy!$A$2:$A$1295,0))),"NODE NOT FOUND"))</f>
        <v>AMER</v>
      </c>
      <c r="H1937" s="7" t="str">
        <f aca="false">IF($D1937="","",IFERROR(IF(INDEX(Hierarchy!$E$2:$E$1295,MATCH($D1937,Hierarchy!$A$2:$A$1295,0))="","",INDEX(Hierarchy!$E$2:$E$1295,MATCH($D1937,Hierarchy!$A$2:$A$1295,0))),"NODE NOT FOUND"))</f>
        <v>Latin America (LATAM)</v>
      </c>
      <c r="I1937" s="7" t="str">
        <f aca="false">IF($D1937="","",IFERROR(IF(INDEX(Hierarchy!$F$2:$F$1295,MATCH($D1937,Hierarchy!$A$2:$A$1295,0))="","",INDEX(Hierarchy!$F$2:$F$1295,MATCH($D1937,Hierarchy!$A$2:$A$1295,0))),"NODE NOT FOUND"))</f>
        <v>British Virgin Islands</v>
      </c>
      <c r="J1937" s="7" t="str">
        <f aca="false">IF($D1937="","",IFERROR(IF(INDEX(Hierarchy!$G$2:$G$1295,MATCH($D1937,Hierarchy!$A$2:$A$1295,0))="","",INDEX(Hierarchy!$G$2:$G$1295,MATCH($D1937,Hierarchy!$A$2:$A$1295,0))),"NODE NOT FOUND"))</f>
        <v>VGB</v>
      </c>
      <c r="K1937" s="7" t="str">
        <f aca="false">IF($D1937="","",IFERROR(IF(INDEX(Hierarchy!$H$2:$H$1295,MATCH($D1937,Hierarchy!$A$2:$A$1295,0))="","",INDEX(Hierarchy!$H$2:$H$1295,MATCH($D1937,Hierarchy!$A$2:$A$1295,0))),"NODE NOT FOUND"))</f>
        <v/>
      </c>
      <c r="L1937" s="7" t="str">
        <f aca="false">IF($D1937="","",IFERROR(IF(INDEX(Hierarchy!$I$2:$I$1295,MATCH($D1937,Hierarchy!$A$2:$A$1295,0))="","",INDEX(Hierarchy!$I$2:$I$1295,MATCH($D1937,Hierarchy!$A$2:$A$1295,0))),"NODE NOT FOUND"))</f>
        <v/>
      </c>
      <c r="M1937" s="17" t="str">
        <f aca="false">IF(B1937="Pre-seeded","Pre-seeded",IF(B1937="Review 2026-09-16","Added from review",IF(C1937="","New",IF(C1937=D1937,"","Changed"))))</f>
        <v>Pre-seeded</v>
      </c>
      <c r="N1937" s="7" t="str">
        <f aca="false">TRIM(SUBSTITUTE(SUBSTITUTE(SUBSTITUTE(" "&amp;TRIM(SUBSTITUTE(SUBSTITUTE(SUBSTITUTE(SUBSTITUTE(SUBSTITUTE(SUBSTITUTE(SUBSTITUTE(SUBSTITUTE(SUBSTITUTE(SUBSTITUTE(SUBSTITUTE(SUBSTITUTE(SUBSTITUTE(SUBSTITUTE(SUBSTITUTE(UPPER(TRIM(A1937)),"[MEMBER]",""),"{MEMBER}",""),"[MEMBER}",""),"MEMBER]",""),"(A)",""),"""",""),"“",""),"”",""),".",""),":",""),",",""),"–"," "),"-"," "),"/"," "),"&amp;"," AND "))&amp;" "," THE "," ")," TOTAL "," ")," OPERATIONS "," "))</f>
        <v>VIRGIN ISLANDS BRITISH</v>
      </c>
      <c r="O1937" s="17" t="str">
        <f aca="false">IF(COUNTIFS($N$2:$N$2000,N1937,$D$2:$D$2000,"&lt;&gt;"&amp;D1937)&gt;0,"CONFLICT","")</f>
        <v/>
      </c>
      <c r="P1937" s="7" t="s">
        <v>1936</v>
      </c>
    </row>
    <row r="1938" customFormat="false" ht="15" hidden="false" customHeight="false" outlineLevel="0" collapsed="false">
      <c r="A1938" s="7" t="s">
        <v>257</v>
      </c>
      <c r="B1938" s="7" t="s">
        <v>1882</v>
      </c>
      <c r="C1938" s="7" t="s">
        <v>257</v>
      </c>
      <c r="D1938" s="6" t="s">
        <v>257</v>
      </c>
      <c r="E1938" s="6" t="s">
        <v>1880</v>
      </c>
      <c r="F1938" s="7" t="str">
        <f aca="false">IF($D1938="","",IFERROR(IF(INDEX(Hierarchy!$B$2:$B$1295,MATCH($D1938,Hierarchy!$A$2:$A$1295,0))="","",INDEX(Hierarchy!$B$2:$B$1295,MATCH($D1938,Hierarchy!$A$2:$A$1295,0))),"NODE NOT FOUND"))</f>
        <v>State/Province</v>
      </c>
      <c r="G1938" s="7" t="str">
        <f aca="false">IF($D1938="","",IFERROR(IF(INDEX(Hierarchy!$D$2:$D$1295,MATCH($D1938,Hierarchy!$A$2:$A$1295,0))="","",INDEX(Hierarchy!$D$2:$D$1295,MATCH($D1938,Hierarchy!$A$2:$A$1295,0))),"NODE NOT FOUND"))</f>
        <v>AMER</v>
      </c>
      <c r="H1938" s="7" t="str">
        <f aca="false">IF($D1938="","",IFERROR(IF(INDEX(Hierarchy!$E$2:$E$1295,MATCH($D1938,Hierarchy!$A$2:$A$1295,0))="","",INDEX(Hierarchy!$E$2:$E$1295,MATCH($D1938,Hierarchy!$A$2:$A$1295,0))),"NODE NOT FOUND"))</f>
        <v>North America (NORAM)</v>
      </c>
      <c r="I1938" s="7" t="str">
        <f aca="false">IF($D1938="","",IFERROR(IF(INDEX(Hierarchy!$F$2:$F$1295,MATCH($D1938,Hierarchy!$A$2:$A$1295,0))="","",INDEX(Hierarchy!$F$2:$F$1295,MATCH($D1938,Hierarchy!$A$2:$A$1295,0))),"NODE NOT FOUND"))</f>
        <v>United States</v>
      </c>
      <c r="J1938" s="7" t="str">
        <f aca="false">IF($D1938="","",IFERROR(IF(INDEX(Hierarchy!$G$2:$G$1295,MATCH($D1938,Hierarchy!$A$2:$A$1295,0))="","",INDEX(Hierarchy!$G$2:$G$1295,MATCH($D1938,Hierarchy!$A$2:$A$1295,0))),"NODE NOT FOUND"))</f>
        <v>USA</v>
      </c>
      <c r="K1938" s="7" t="str">
        <f aca="false">IF($D1938="","",IFERROR(IF(INDEX(Hierarchy!$H$2:$H$1295,MATCH($D1938,Hierarchy!$A$2:$A$1295,0))="","",INDEX(Hierarchy!$H$2:$H$1295,MATCH($D1938,Hierarchy!$A$2:$A$1295,0))),"NODE NOT FOUND"))</f>
        <v>Virginia</v>
      </c>
      <c r="L1938" s="7" t="str">
        <f aca="false">IF($D1938="","",IFERROR(IF(INDEX(Hierarchy!$I$2:$I$1295,MATCH($D1938,Hierarchy!$A$2:$A$1295,0))="","",INDEX(Hierarchy!$I$2:$I$1295,MATCH($D1938,Hierarchy!$A$2:$A$1295,0))),"NODE NOT FOUND"))</f>
        <v/>
      </c>
      <c r="M1938" s="17" t="str">
        <f aca="false">IF(B1938="Pre-seeded","Pre-seeded",IF(B1938="Review 2026-09-16","Added from review",IF(C1938="","New",IF(C1938=D1938,"","Changed"))))</f>
        <v/>
      </c>
      <c r="N1938" s="7" t="str">
        <f aca="false">TRIM(SUBSTITUTE(SUBSTITUTE(SUBSTITUTE(" "&amp;TRIM(SUBSTITUTE(SUBSTITUTE(SUBSTITUTE(SUBSTITUTE(SUBSTITUTE(SUBSTITUTE(SUBSTITUTE(SUBSTITUTE(SUBSTITUTE(SUBSTITUTE(SUBSTITUTE(SUBSTITUTE(SUBSTITUTE(SUBSTITUTE(SUBSTITUTE(UPPER(TRIM(A1938)),"[MEMBER]",""),"{MEMBER}",""),"[MEMBER}",""),"MEMBER]",""),"(A)",""),"""",""),"“",""),"”",""),".",""),":",""),",",""),"–"," "),"-"," "),"/"," "),"&amp;"," AND "))&amp;" "," THE "," ")," TOTAL "," ")," OPERATIONS "," "))</f>
        <v>VIRGINIA</v>
      </c>
      <c r="O1938" s="17" t="str">
        <f aca="false">IF(COUNTIFS($N$2:$N$2000,N1938,$D$2:$D$2000,"&lt;&gt;"&amp;D1938)&gt;0,"CONFLICT","")</f>
        <v/>
      </c>
      <c r="P1938" s="7"/>
    </row>
    <row r="1939" customFormat="false" ht="15" hidden="false" customHeight="false" outlineLevel="0" collapsed="false">
      <c r="A1939" s="7" t="s">
        <v>2851</v>
      </c>
      <c r="B1939" s="7" t="s">
        <v>1882</v>
      </c>
      <c r="C1939" s="7" t="s">
        <v>257</v>
      </c>
      <c r="D1939" s="6" t="s">
        <v>257</v>
      </c>
      <c r="E1939" s="6" t="s">
        <v>1880</v>
      </c>
      <c r="F1939" s="7" t="str">
        <f aca="false">IF($D1939="","",IFERROR(IF(INDEX(Hierarchy!$B$2:$B$1295,MATCH($D1939,Hierarchy!$A$2:$A$1295,0))="","",INDEX(Hierarchy!$B$2:$B$1295,MATCH($D1939,Hierarchy!$A$2:$A$1295,0))),"NODE NOT FOUND"))</f>
        <v>State/Province</v>
      </c>
      <c r="G1939" s="7" t="str">
        <f aca="false">IF($D1939="","",IFERROR(IF(INDEX(Hierarchy!$D$2:$D$1295,MATCH($D1939,Hierarchy!$A$2:$A$1295,0))="","",INDEX(Hierarchy!$D$2:$D$1295,MATCH($D1939,Hierarchy!$A$2:$A$1295,0))),"NODE NOT FOUND"))</f>
        <v>AMER</v>
      </c>
      <c r="H1939" s="7" t="str">
        <f aca="false">IF($D1939="","",IFERROR(IF(INDEX(Hierarchy!$E$2:$E$1295,MATCH($D1939,Hierarchy!$A$2:$A$1295,0))="","",INDEX(Hierarchy!$E$2:$E$1295,MATCH($D1939,Hierarchy!$A$2:$A$1295,0))),"NODE NOT FOUND"))</f>
        <v>North America (NORAM)</v>
      </c>
      <c r="I1939" s="7" t="str">
        <f aca="false">IF($D1939="","",IFERROR(IF(INDEX(Hierarchy!$F$2:$F$1295,MATCH($D1939,Hierarchy!$A$2:$A$1295,0))="","",INDEX(Hierarchy!$F$2:$F$1295,MATCH($D1939,Hierarchy!$A$2:$A$1295,0))),"NODE NOT FOUND"))</f>
        <v>United States</v>
      </c>
      <c r="J1939" s="7" t="str">
        <f aca="false">IF($D1939="","",IFERROR(IF(INDEX(Hierarchy!$G$2:$G$1295,MATCH($D1939,Hierarchy!$A$2:$A$1295,0))="","",INDEX(Hierarchy!$G$2:$G$1295,MATCH($D1939,Hierarchy!$A$2:$A$1295,0))),"NODE NOT FOUND"))</f>
        <v>USA</v>
      </c>
      <c r="K1939" s="7" t="str">
        <f aca="false">IF($D1939="","",IFERROR(IF(INDEX(Hierarchy!$H$2:$H$1295,MATCH($D1939,Hierarchy!$A$2:$A$1295,0))="","",INDEX(Hierarchy!$H$2:$H$1295,MATCH($D1939,Hierarchy!$A$2:$A$1295,0))),"NODE NOT FOUND"))</f>
        <v>Virginia</v>
      </c>
      <c r="L1939" s="7" t="str">
        <f aca="false">IF($D1939="","",IFERROR(IF(INDEX(Hierarchy!$I$2:$I$1295,MATCH($D1939,Hierarchy!$A$2:$A$1295,0))="","",INDEX(Hierarchy!$I$2:$I$1295,MATCH($D1939,Hierarchy!$A$2:$A$1295,0))),"NODE NOT FOUND"))</f>
        <v/>
      </c>
      <c r="M1939" s="17" t="str">
        <f aca="false">IF(B1939="Pre-seeded","Pre-seeded",IF(B1939="Review 2026-09-16","Added from review",IF(C1939="","New",IF(C1939=D1939,"","Changed"))))</f>
        <v/>
      </c>
      <c r="N1939" s="7" t="str">
        <f aca="false">TRIM(SUBSTITUTE(SUBSTITUTE(SUBSTITUTE(" "&amp;TRIM(SUBSTITUTE(SUBSTITUTE(SUBSTITUTE(SUBSTITUTE(SUBSTITUTE(SUBSTITUTE(SUBSTITUTE(SUBSTITUTE(SUBSTITUTE(SUBSTITUTE(SUBSTITUTE(SUBSTITUTE(SUBSTITUTE(SUBSTITUTE(SUBSTITUTE(UPPER(TRIM(A1939)),"[MEMBER]",""),"{MEMBER}",""),"[MEMBER}",""),"MEMBER]",""),"(A)",""),"""",""),"“",""),"”",""),".",""),":",""),",",""),"–"," "),"-"," "),"/"," "),"&amp;"," AND "))&amp;" "," THE "," ")," TOTAL "," ")," OPERATIONS "," "))</f>
        <v>VIRGINIA</v>
      </c>
      <c r="O1939" s="17" t="str">
        <f aca="false">IF(COUNTIFS($N$2:$N$2000,N1939,$D$2:$D$2000,"&lt;&gt;"&amp;D1939)&gt;0,"CONFLICT","")</f>
        <v/>
      </c>
      <c r="P1939" s="7"/>
    </row>
    <row r="1940" customFormat="false" ht="15" hidden="false" customHeight="false" outlineLevel="0" collapsed="false">
      <c r="A1940" s="7" t="s">
        <v>2852</v>
      </c>
      <c r="B1940" s="7" t="s">
        <v>1879</v>
      </c>
      <c r="C1940" s="7"/>
      <c r="D1940" s="6" t="s">
        <v>768</v>
      </c>
      <c r="E1940" s="6" t="s">
        <v>1880</v>
      </c>
      <c r="F1940" s="7" t="str">
        <f aca="false">IF($D1940="","",IFERROR(IF(INDEX(Hierarchy!$B$2:$B$1295,MATCH($D1940,Hierarchy!$A$2:$A$1295,0))="","",INDEX(Hierarchy!$B$2:$B$1295,MATCH($D1940,Hierarchy!$A$2:$A$1295,0))),"NODE NOT FOUND"))</f>
        <v>State/Province</v>
      </c>
      <c r="G1940" s="7" t="str">
        <f aca="false">IF($D1940="","",IFERROR(IF(INDEX(Hierarchy!$D$2:$D$1295,MATCH($D1940,Hierarchy!$A$2:$A$1295,0))="","",INDEX(Hierarchy!$D$2:$D$1295,MATCH($D1940,Hierarchy!$A$2:$A$1295,0))),"NODE NOT FOUND"))</f>
        <v>EMEA</v>
      </c>
      <c r="H1940" s="7" t="str">
        <f aca="false">IF($D1940="","",IFERROR(IF(INDEX(Hierarchy!$E$2:$E$1295,MATCH($D1940,Hierarchy!$A$2:$A$1295,0))="","",INDEX(Hierarchy!$E$2:$E$1295,MATCH($D1940,Hierarchy!$A$2:$A$1295,0))),"NODE NOT FOUND"))</f>
        <v>Europe</v>
      </c>
      <c r="I1940" s="7" t="str">
        <f aca="false">IF($D1940="","",IFERROR(IF(INDEX(Hierarchy!$F$2:$F$1295,MATCH($D1940,Hierarchy!$A$2:$A$1295,0))="","",INDEX(Hierarchy!$F$2:$F$1295,MATCH($D1940,Hierarchy!$A$2:$A$1295,0))),"NODE NOT FOUND"))</f>
        <v>Belgium</v>
      </c>
      <c r="J1940" s="7" t="str">
        <f aca="false">IF($D1940="","",IFERROR(IF(INDEX(Hierarchy!$G$2:$G$1295,MATCH($D1940,Hierarchy!$A$2:$A$1295,0))="","",INDEX(Hierarchy!$G$2:$G$1295,MATCH($D1940,Hierarchy!$A$2:$A$1295,0))),"NODE NOT FOUND"))</f>
        <v>BEL</v>
      </c>
      <c r="K1940" s="7" t="str">
        <f aca="false">IF($D1940="","",IFERROR(IF(INDEX(Hierarchy!$H$2:$H$1295,MATCH($D1940,Hierarchy!$A$2:$A$1295,0))="","",INDEX(Hierarchy!$H$2:$H$1295,MATCH($D1940,Hierarchy!$A$2:$A$1295,0))),"NODE NOT FOUND"))</f>
        <v>Flanders</v>
      </c>
      <c r="L1940" s="7" t="str">
        <f aca="false">IF($D1940="","",IFERROR(IF(INDEX(Hierarchy!$I$2:$I$1295,MATCH($D1940,Hierarchy!$A$2:$A$1295,0))="","",INDEX(Hierarchy!$I$2:$I$1295,MATCH($D1940,Hierarchy!$A$2:$A$1295,0))),"NODE NOT FOUND"))</f>
        <v/>
      </c>
      <c r="M1940" s="17" t="str">
        <f aca="false">IF(B1940="Pre-seeded","Pre-seeded",IF(B1940="Review 2026-09-16","Added from review",IF(C1940="","New",IF(C1940=D1940,"","Changed"))))</f>
        <v>Pre-seeded</v>
      </c>
      <c r="N1940" s="7" t="str">
        <f aca="false">TRIM(SUBSTITUTE(SUBSTITUTE(SUBSTITUTE(" "&amp;TRIM(SUBSTITUTE(SUBSTITUTE(SUBSTITUTE(SUBSTITUTE(SUBSTITUTE(SUBSTITUTE(SUBSTITUTE(SUBSTITUTE(SUBSTITUTE(SUBSTITUTE(SUBSTITUTE(SUBSTITUTE(SUBSTITUTE(SUBSTITUTE(SUBSTITUTE(UPPER(TRIM(A1940)),"[MEMBER]",""),"{MEMBER}",""),"[MEMBER}",""),"MEMBER]",""),"(A)",""),"""",""),"“",""),"”",""),".",""),":",""),",",""),"–"," "),"-"," "),"/"," "),"&amp;"," AND "))&amp;" "," THE "," ")," TOTAL "," ")," OPERATIONS "," "))</f>
        <v>VLAANDEREN</v>
      </c>
      <c r="O1940" s="17" t="str">
        <f aca="false">IF(COUNTIFS($N$2:$N$2000,N1940,$D$2:$D$2000,"&lt;&gt;"&amp;D1940)&gt;0,"CONFLICT","")</f>
        <v/>
      </c>
      <c r="P1940" s="7"/>
    </row>
    <row r="1941" customFormat="false" ht="15" hidden="false" customHeight="false" outlineLevel="0" collapsed="false">
      <c r="A1941" s="7" t="s">
        <v>757</v>
      </c>
      <c r="B1941" s="7" t="s">
        <v>1879</v>
      </c>
      <c r="C1941" s="7"/>
      <c r="D1941" s="6" t="s">
        <v>757</v>
      </c>
      <c r="E1941" s="6" t="s">
        <v>1880</v>
      </c>
      <c r="F1941" s="7" t="str">
        <f aca="false">IF($D1941="","",IFERROR(IF(INDEX(Hierarchy!$B$2:$B$1295,MATCH($D1941,Hierarchy!$A$2:$A$1295,0))="","",INDEX(Hierarchy!$B$2:$B$1295,MATCH($D1941,Hierarchy!$A$2:$A$1295,0))),"NODE NOT FOUND"))</f>
        <v>State/Province</v>
      </c>
      <c r="G1941" s="7" t="str">
        <f aca="false">IF($D1941="","",IFERROR(IF(INDEX(Hierarchy!$D$2:$D$1295,MATCH($D1941,Hierarchy!$A$2:$A$1295,0))="","",INDEX(Hierarchy!$D$2:$D$1295,MATCH($D1941,Hierarchy!$A$2:$A$1295,0))),"NODE NOT FOUND"))</f>
        <v>EMEA</v>
      </c>
      <c r="H1941" s="7" t="str">
        <f aca="false">IF($D1941="","",IFERROR(IF(INDEX(Hierarchy!$E$2:$E$1295,MATCH($D1941,Hierarchy!$A$2:$A$1295,0))="","",INDEX(Hierarchy!$E$2:$E$1295,MATCH($D1941,Hierarchy!$A$2:$A$1295,0))),"NODE NOT FOUND"))</f>
        <v>Europe</v>
      </c>
      <c r="I1941" s="7" t="str">
        <f aca="false">IF($D1941="","",IFERROR(IF(INDEX(Hierarchy!$F$2:$F$1295,MATCH($D1941,Hierarchy!$A$2:$A$1295,0))="","",INDEX(Hierarchy!$F$2:$F$1295,MATCH($D1941,Hierarchy!$A$2:$A$1295,0))),"NODE NOT FOUND"))</f>
        <v>Austria</v>
      </c>
      <c r="J1941" s="7" t="str">
        <f aca="false">IF($D1941="","",IFERROR(IF(INDEX(Hierarchy!$G$2:$G$1295,MATCH($D1941,Hierarchy!$A$2:$A$1295,0))="","",INDEX(Hierarchy!$G$2:$G$1295,MATCH($D1941,Hierarchy!$A$2:$A$1295,0))),"NODE NOT FOUND"))</f>
        <v>AUT</v>
      </c>
      <c r="K1941" s="7" t="str">
        <f aca="false">IF($D1941="","",IFERROR(IF(INDEX(Hierarchy!$H$2:$H$1295,MATCH($D1941,Hierarchy!$A$2:$A$1295,0))="","",INDEX(Hierarchy!$H$2:$H$1295,MATCH($D1941,Hierarchy!$A$2:$A$1295,0))),"NODE NOT FOUND"))</f>
        <v>Vorarlberg</v>
      </c>
      <c r="L1941" s="7" t="str">
        <f aca="false">IF($D1941="","",IFERROR(IF(INDEX(Hierarchy!$I$2:$I$1295,MATCH($D1941,Hierarchy!$A$2:$A$1295,0))="","",INDEX(Hierarchy!$I$2:$I$1295,MATCH($D1941,Hierarchy!$A$2:$A$1295,0))),"NODE NOT FOUND"))</f>
        <v/>
      </c>
      <c r="M1941" s="17" t="str">
        <f aca="false">IF(B1941="Pre-seeded","Pre-seeded",IF(B1941="Review 2026-09-16","Added from review",IF(C1941="","New",IF(C1941=D1941,"","Changed"))))</f>
        <v>Pre-seeded</v>
      </c>
      <c r="N1941" s="7" t="str">
        <f aca="false">TRIM(SUBSTITUTE(SUBSTITUTE(SUBSTITUTE(" "&amp;TRIM(SUBSTITUTE(SUBSTITUTE(SUBSTITUTE(SUBSTITUTE(SUBSTITUTE(SUBSTITUTE(SUBSTITUTE(SUBSTITUTE(SUBSTITUTE(SUBSTITUTE(SUBSTITUTE(SUBSTITUTE(SUBSTITUTE(SUBSTITUTE(SUBSTITUTE(UPPER(TRIM(A1941)),"[MEMBER]",""),"{MEMBER}",""),"[MEMBER}",""),"MEMBER]",""),"(A)",""),"""",""),"“",""),"”",""),".",""),":",""),",",""),"–"," "),"-"," "),"/"," "),"&amp;"," AND "))&amp;" "," THE "," ")," TOTAL "," ")," OPERATIONS "," "))</f>
        <v>VORARLBERG</v>
      </c>
      <c r="O1941" s="17" t="str">
        <f aca="false">IF(COUNTIFS($N$2:$N$2000,N1941,$D$2:$D$2000,"&lt;&gt;"&amp;D1941)&gt;0,"CONFLICT","")</f>
        <v/>
      </c>
      <c r="P1941" s="7"/>
    </row>
    <row r="1942" customFormat="false" ht="15" hidden="false" customHeight="false" outlineLevel="0" collapsed="false">
      <c r="A1942" s="7" t="s">
        <v>1733</v>
      </c>
      <c r="B1942" s="7" t="s">
        <v>1879</v>
      </c>
      <c r="C1942" s="7"/>
      <c r="D1942" s="6" t="s">
        <v>1733</v>
      </c>
      <c r="E1942" s="6" t="s">
        <v>1880</v>
      </c>
      <c r="F1942" s="7" t="str">
        <f aca="false">IF($D1942="","",IFERROR(IF(INDEX(Hierarchy!$B$2:$B$1295,MATCH($D1942,Hierarchy!$A$2:$A$1295,0))="","",INDEX(Hierarchy!$B$2:$B$1295,MATCH($D1942,Hierarchy!$A$2:$A$1295,0))),"NODE NOT FOUND"))</f>
        <v>State/Province</v>
      </c>
      <c r="G1942" s="7" t="str">
        <f aca="false">IF($D1942="","",IFERROR(IF(INDEX(Hierarchy!$D$2:$D$1295,MATCH($D1942,Hierarchy!$A$2:$A$1295,0))="","",INDEX(Hierarchy!$D$2:$D$1295,MATCH($D1942,Hierarchy!$A$2:$A$1295,0))),"NODE NOT FOUND"))</f>
        <v>APAC</v>
      </c>
      <c r="H1942" s="7" t="str">
        <f aca="false">IF($D1942="","",IFERROR(IF(INDEX(Hierarchy!$E$2:$E$1295,MATCH($D1942,Hierarchy!$A$2:$A$1295,0))="","",INDEX(Hierarchy!$E$2:$E$1295,MATCH($D1942,Hierarchy!$A$2:$A$1295,0))),"NODE NOT FOUND"))</f>
        <v>Oceania (ANZ)</v>
      </c>
      <c r="I1942" s="7" t="str">
        <f aca="false">IF($D1942="","",IFERROR(IF(INDEX(Hierarchy!$F$2:$F$1295,MATCH($D1942,Hierarchy!$A$2:$A$1295,0))="","",INDEX(Hierarchy!$F$2:$F$1295,MATCH($D1942,Hierarchy!$A$2:$A$1295,0))),"NODE NOT FOUND"))</f>
        <v>New Zealand</v>
      </c>
      <c r="J1942" s="7" t="str">
        <f aca="false">IF($D1942="","",IFERROR(IF(INDEX(Hierarchy!$G$2:$G$1295,MATCH($D1942,Hierarchy!$A$2:$A$1295,0))="","",INDEX(Hierarchy!$G$2:$G$1295,MATCH($D1942,Hierarchy!$A$2:$A$1295,0))),"NODE NOT FOUND"))</f>
        <v>NZL</v>
      </c>
      <c r="K1942" s="7" t="str">
        <f aca="false">IF($D1942="","",IFERROR(IF(INDEX(Hierarchy!$H$2:$H$1295,MATCH($D1942,Hierarchy!$A$2:$A$1295,0))="","",INDEX(Hierarchy!$H$2:$H$1295,MATCH($D1942,Hierarchy!$A$2:$A$1295,0))),"NODE NOT FOUND"))</f>
        <v>Waikato</v>
      </c>
      <c r="L1942" s="7" t="str">
        <f aca="false">IF($D1942="","",IFERROR(IF(INDEX(Hierarchy!$I$2:$I$1295,MATCH($D1942,Hierarchy!$A$2:$A$1295,0))="","",INDEX(Hierarchy!$I$2:$I$1295,MATCH($D1942,Hierarchy!$A$2:$A$1295,0))),"NODE NOT FOUND"))</f>
        <v/>
      </c>
      <c r="M1942" s="17" t="str">
        <f aca="false">IF(B1942="Pre-seeded","Pre-seeded",IF(B1942="Review 2026-09-16","Added from review",IF(C1942="","New",IF(C1942=D1942,"","Changed"))))</f>
        <v>Pre-seeded</v>
      </c>
      <c r="N1942" s="7" t="str">
        <f aca="false">TRIM(SUBSTITUTE(SUBSTITUTE(SUBSTITUTE(" "&amp;TRIM(SUBSTITUTE(SUBSTITUTE(SUBSTITUTE(SUBSTITUTE(SUBSTITUTE(SUBSTITUTE(SUBSTITUTE(SUBSTITUTE(SUBSTITUTE(SUBSTITUTE(SUBSTITUTE(SUBSTITUTE(SUBSTITUTE(SUBSTITUTE(SUBSTITUTE(UPPER(TRIM(A1942)),"[MEMBER]",""),"{MEMBER}",""),"[MEMBER}",""),"MEMBER]",""),"(A)",""),"""",""),"“",""),"”",""),".",""),":",""),",",""),"–"," "),"-"," "),"/"," "),"&amp;"," AND "))&amp;" "," THE "," ")," TOTAL "," ")," OPERATIONS "," "))</f>
        <v>WAIKATO</v>
      </c>
      <c r="O1942" s="17" t="str">
        <f aca="false">IF(COUNTIFS($N$2:$N$2000,N1942,$D$2:$D$2000,"&lt;&gt;"&amp;D1942)&gt;0,"CONFLICT","")</f>
        <v/>
      </c>
      <c r="P1942" s="7"/>
    </row>
    <row r="1943" customFormat="false" ht="15" hidden="false" customHeight="false" outlineLevel="0" collapsed="false">
      <c r="A1943" s="7" t="s">
        <v>1484</v>
      </c>
      <c r="B1943" s="7" t="s">
        <v>1879</v>
      </c>
      <c r="C1943" s="7"/>
      <c r="D1943" s="6" t="s">
        <v>1484</v>
      </c>
      <c r="E1943" s="6" t="s">
        <v>1880</v>
      </c>
      <c r="F1943" s="7" t="str">
        <f aca="false">IF($D1943="","",IFERROR(IF(INDEX(Hierarchy!$B$2:$B$1295,MATCH($D1943,Hierarchy!$A$2:$A$1295,0))="","",INDEX(Hierarchy!$B$2:$B$1295,MATCH($D1943,Hierarchy!$A$2:$A$1295,0))),"NODE NOT FOUND"))</f>
        <v>State/Province</v>
      </c>
      <c r="G1943" s="7" t="str">
        <f aca="false">IF($D1943="","",IFERROR(IF(INDEX(Hierarchy!$D$2:$D$1295,MATCH($D1943,Hierarchy!$A$2:$A$1295,0))="","",INDEX(Hierarchy!$D$2:$D$1295,MATCH($D1943,Hierarchy!$A$2:$A$1295,0))),"NODE NOT FOUND"))</f>
        <v>APAC</v>
      </c>
      <c r="H1943" s="7" t="str">
        <f aca="false">IF($D1943="","",IFERROR(IF(INDEX(Hierarchy!$E$2:$E$1295,MATCH($D1943,Hierarchy!$A$2:$A$1295,0))="","",INDEX(Hierarchy!$E$2:$E$1295,MATCH($D1943,Hierarchy!$A$2:$A$1295,0))),"NODE NOT FOUND"))</f>
        <v>East Asia</v>
      </c>
      <c r="I1943" s="7" t="str">
        <f aca="false">IF($D1943="","",IFERROR(IF(INDEX(Hierarchy!$F$2:$F$1295,MATCH($D1943,Hierarchy!$A$2:$A$1295,0))="","",INDEX(Hierarchy!$F$2:$F$1295,MATCH($D1943,Hierarchy!$A$2:$A$1295,0))),"NODE NOT FOUND"))</f>
        <v>Japan</v>
      </c>
      <c r="J1943" s="7" t="str">
        <f aca="false">IF($D1943="","",IFERROR(IF(INDEX(Hierarchy!$G$2:$G$1295,MATCH($D1943,Hierarchy!$A$2:$A$1295,0))="","",INDEX(Hierarchy!$G$2:$G$1295,MATCH($D1943,Hierarchy!$A$2:$A$1295,0))),"NODE NOT FOUND"))</f>
        <v>JPN</v>
      </c>
      <c r="K1943" s="7" t="str">
        <f aca="false">IF($D1943="","",IFERROR(IF(INDEX(Hierarchy!$H$2:$H$1295,MATCH($D1943,Hierarchy!$A$2:$A$1295,0))="","",INDEX(Hierarchy!$H$2:$H$1295,MATCH($D1943,Hierarchy!$A$2:$A$1295,0))),"NODE NOT FOUND"))</f>
        <v>Wakayama</v>
      </c>
      <c r="L1943" s="7" t="str">
        <f aca="false">IF($D1943="","",IFERROR(IF(INDEX(Hierarchy!$I$2:$I$1295,MATCH($D1943,Hierarchy!$A$2:$A$1295,0))="","",INDEX(Hierarchy!$I$2:$I$1295,MATCH($D1943,Hierarchy!$A$2:$A$1295,0))),"NODE NOT FOUND"))</f>
        <v/>
      </c>
      <c r="M1943" s="17" t="str">
        <f aca="false">IF(B1943="Pre-seeded","Pre-seeded",IF(B1943="Review 2026-09-16","Added from review",IF(C1943="","New",IF(C1943=D1943,"","Changed"))))</f>
        <v>Pre-seeded</v>
      </c>
      <c r="N1943" s="7" t="str">
        <f aca="false">TRIM(SUBSTITUTE(SUBSTITUTE(SUBSTITUTE(" "&amp;TRIM(SUBSTITUTE(SUBSTITUTE(SUBSTITUTE(SUBSTITUTE(SUBSTITUTE(SUBSTITUTE(SUBSTITUTE(SUBSTITUTE(SUBSTITUTE(SUBSTITUTE(SUBSTITUTE(SUBSTITUTE(SUBSTITUTE(SUBSTITUTE(SUBSTITUTE(UPPER(TRIM(A1943)),"[MEMBER]",""),"{MEMBER}",""),"[MEMBER}",""),"MEMBER]",""),"(A)",""),"""",""),"“",""),"”",""),".",""),":",""),",",""),"–"," "),"-"," "),"/"," "),"&amp;"," AND "))&amp;" "," THE "," ")," TOTAL "," ")," OPERATIONS "," "))</f>
        <v>WAKAYAMA</v>
      </c>
      <c r="O1943" s="17" t="str">
        <f aca="false">IF(COUNTIFS($N$2:$N$2000,N1943,$D$2:$D$2000,"&lt;&gt;"&amp;D1943)&gt;0,"CONFLICT","")</f>
        <v/>
      </c>
      <c r="P1943" s="7"/>
    </row>
    <row r="1944" customFormat="false" ht="15" hidden="false" customHeight="false" outlineLevel="0" collapsed="false">
      <c r="A1944" s="7" t="s">
        <v>687</v>
      </c>
      <c r="B1944" s="7" t="s">
        <v>1879</v>
      </c>
      <c r="C1944" s="7"/>
      <c r="D1944" s="6" t="s">
        <v>687</v>
      </c>
      <c r="E1944" s="6" t="s">
        <v>1880</v>
      </c>
      <c r="F1944" s="7" t="str">
        <f aca="false">IF($D1944="","",IFERROR(IF(INDEX(Hierarchy!$B$2:$B$1295,MATCH($D1944,Hierarchy!$A$2:$A$1295,0))="","",INDEX(Hierarchy!$B$2:$B$1295,MATCH($D1944,Hierarchy!$A$2:$A$1295,0))),"NODE NOT FOUND"))</f>
        <v>State/Province</v>
      </c>
      <c r="G1944" s="7" t="str">
        <f aca="false">IF($D1944="","",IFERROR(IF(INDEX(Hierarchy!$D$2:$D$1295,MATCH($D1944,Hierarchy!$A$2:$A$1295,0))="","",INDEX(Hierarchy!$D$2:$D$1295,MATCH($D1944,Hierarchy!$A$2:$A$1295,0))),"NODE NOT FOUND"))</f>
        <v>EMEA</v>
      </c>
      <c r="H1944" s="7" t="str">
        <f aca="false">IF($D1944="","",IFERROR(IF(INDEX(Hierarchy!$E$2:$E$1295,MATCH($D1944,Hierarchy!$A$2:$A$1295,0))="","",INDEX(Hierarchy!$E$2:$E$1295,MATCH($D1944,Hierarchy!$A$2:$A$1295,0))),"NODE NOT FOUND"))</f>
        <v>Europe</v>
      </c>
      <c r="I1944" s="7" t="str">
        <f aca="false">IF($D1944="","",IFERROR(IF(INDEX(Hierarchy!$F$2:$F$1295,MATCH($D1944,Hierarchy!$A$2:$A$1295,0))="","",INDEX(Hierarchy!$F$2:$F$1295,MATCH($D1944,Hierarchy!$A$2:$A$1295,0))),"NODE NOT FOUND"))</f>
        <v>United Kingdom</v>
      </c>
      <c r="J1944" s="7" t="str">
        <f aca="false">IF($D1944="","",IFERROR(IF(INDEX(Hierarchy!$G$2:$G$1295,MATCH($D1944,Hierarchy!$A$2:$A$1295,0))="","",INDEX(Hierarchy!$G$2:$G$1295,MATCH($D1944,Hierarchy!$A$2:$A$1295,0))),"NODE NOT FOUND"))</f>
        <v>GBR</v>
      </c>
      <c r="K1944" s="7" t="str">
        <f aca="false">IF($D1944="","",IFERROR(IF(INDEX(Hierarchy!$H$2:$H$1295,MATCH($D1944,Hierarchy!$A$2:$A$1295,0))="","",INDEX(Hierarchy!$H$2:$H$1295,MATCH($D1944,Hierarchy!$A$2:$A$1295,0))),"NODE NOT FOUND"))</f>
        <v>Wales</v>
      </c>
      <c r="L1944" s="7" t="str">
        <f aca="false">IF($D1944="","",IFERROR(IF(INDEX(Hierarchy!$I$2:$I$1295,MATCH($D1944,Hierarchy!$A$2:$A$1295,0))="","",INDEX(Hierarchy!$I$2:$I$1295,MATCH($D1944,Hierarchy!$A$2:$A$1295,0))),"NODE NOT FOUND"))</f>
        <v/>
      </c>
      <c r="M1944" s="17" t="str">
        <f aca="false">IF(B1944="Pre-seeded","Pre-seeded",IF(B1944="Review 2026-09-16","Added from review",IF(C1944="","New",IF(C1944=D1944,"","Changed"))))</f>
        <v>Pre-seeded</v>
      </c>
      <c r="N1944" s="7" t="str">
        <f aca="false">TRIM(SUBSTITUTE(SUBSTITUTE(SUBSTITUTE(" "&amp;TRIM(SUBSTITUTE(SUBSTITUTE(SUBSTITUTE(SUBSTITUTE(SUBSTITUTE(SUBSTITUTE(SUBSTITUTE(SUBSTITUTE(SUBSTITUTE(SUBSTITUTE(SUBSTITUTE(SUBSTITUTE(SUBSTITUTE(SUBSTITUTE(SUBSTITUTE(UPPER(TRIM(A1944)),"[MEMBER]",""),"{MEMBER}",""),"[MEMBER}",""),"MEMBER]",""),"(A)",""),"""",""),"“",""),"”",""),".",""),":",""),",",""),"–"," "),"-"," "),"/"," "),"&amp;"," AND "))&amp;" "," THE "," ")," TOTAL "," ")," OPERATIONS "," "))</f>
        <v>WALES</v>
      </c>
      <c r="O1944" s="17" t="str">
        <f aca="false">IF(COUNTIFS($N$2:$N$2000,N1944,$D$2:$D$2000,"&lt;&gt;"&amp;D1944)&gt;0,"CONFLICT","")</f>
        <v/>
      </c>
      <c r="P1944" s="7"/>
    </row>
    <row r="1945" customFormat="false" ht="15" hidden="false" customHeight="false" outlineLevel="0" collapsed="false">
      <c r="A1945" s="7" t="s">
        <v>1782</v>
      </c>
      <c r="B1945" s="7" t="s">
        <v>1879</v>
      </c>
      <c r="C1945" s="7"/>
      <c r="D1945" s="6" t="s">
        <v>1782</v>
      </c>
      <c r="E1945" s="6" t="s">
        <v>1880</v>
      </c>
      <c r="F1945" s="7" t="str">
        <f aca="false">IF($D1945="","",IFERROR(IF(INDEX(Hierarchy!$B$2:$B$1295,MATCH($D1945,Hierarchy!$A$2:$A$1295,0))="","",INDEX(Hierarchy!$B$2:$B$1295,MATCH($D1945,Hierarchy!$A$2:$A$1295,0))),"NODE NOT FOUND"))</f>
        <v>Country</v>
      </c>
      <c r="G1945" s="7" t="str">
        <f aca="false">IF($D1945="","",IFERROR(IF(INDEX(Hierarchy!$D$2:$D$1295,MATCH($D1945,Hierarchy!$A$2:$A$1295,0))="","",INDEX(Hierarchy!$D$2:$D$1295,MATCH($D1945,Hierarchy!$A$2:$A$1295,0))),"NODE NOT FOUND"))</f>
        <v>APAC</v>
      </c>
      <c r="H1945" s="7" t="str">
        <f aca="false">IF($D1945="","",IFERROR(IF(INDEX(Hierarchy!$E$2:$E$1295,MATCH($D1945,Hierarchy!$A$2:$A$1295,0))="","",INDEX(Hierarchy!$E$2:$E$1295,MATCH($D1945,Hierarchy!$A$2:$A$1295,0))),"NODE NOT FOUND"))</f>
        <v>Oceania (ANZ)</v>
      </c>
      <c r="I1945" s="7" t="str">
        <f aca="false">IF($D1945="","",IFERROR(IF(INDEX(Hierarchy!$F$2:$F$1295,MATCH($D1945,Hierarchy!$A$2:$A$1295,0))="","",INDEX(Hierarchy!$F$2:$F$1295,MATCH($D1945,Hierarchy!$A$2:$A$1295,0))),"NODE NOT FOUND"))</f>
        <v>Wallis and Futuna</v>
      </c>
      <c r="J1945" s="7" t="str">
        <f aca="false">IF($D1945="","",IFERROR(IF(INDEX(Hierarchy!$G$2:$G$1295,MATCH($D1945,Hierarchy!$A$2:$A$1295,0))="","",INDEX(Hierarchy!$G$2:$G$1295,MATCH($D1945,Hierarchy!$A$2:$A$1295,0))),"NODE NOT FOUND"))</f>
        <v>WLF</v>
      </c>
      <c r="K1945" s="7" t="str">
        <f aca="false">IF($D1945="","",IFERROR(IF(INDEX(Hierarchy!$H$2:$H$1295,MATCH($D1945,Hierarchy!$A$2:$A$1295,0))="","",INDEX(Hierarchy!$H$2:$H$1295,MATCH($D1945,Hierarchy!$A$2:$A$1295,0))),"NODE NOT FOUND"))</f>
        <v/>
      </c>
      <c r="L1945" s="7" t="str">
        <f aca="false">IF($D1945="","",IFERROR(IF(INDEX(Hierarchy!$I$2:$I$1295,MATCH($D1945,Hierarchy!$A$2:$A$1295,0))="","",INDEX(Hierarchy!$I$2:$I$1295,MATCH($D1945,Hierarchy!$A$2:$A$1295,0))),"NODE NOT FOUND"))</f>
        <v/>
      </c>
      <c r="M1945" s="17" t="str">
        <f aca="false">IF(B1945="Pre-seeded","Pre-seeded",IF(B1945="Review 2026-09-16","Added from review",IF(C1945="","New",IF(C1945=D1945,"","Changed"))))</f>
        <v>Pre-seeded</v>
      </c>
      <c r="N1945" s="7" t="str">
        <f aca="false">TRIM(SUBSTITUTE(SUBSTITUTE(SUBSTITUTE(" "&amp;TRIM(SUBSTITUTE(SUBSTITUTE(SUBSTITUTE(SUBSTITUTE(SUBSTITUTE(SUBSTITUTE(SUBSTITUTE(SUBSTITUTE(SUBSTITUTE(SUBSTITUTE(SUBSTITUTE(SUBSTITUTE(SUBSTITUTE(SUBSTITUTE(SUBSTITUTE(UPPER(TRIM(A1945)),"[MEMBER]",""),"{MEMBER}",""),"[MEMBER}",""),"MEMBER]",""),"(A)",""),"""",""),"“",""),"”",""),".",""),":",""),",",""),"–"," "),"-"," "),"/"," "),"&amp;"," AND "))&amp;" "," THE "," ")," TOTAL "," ")," OPERATIONS "," "))</f>
        <v>WALLIS AND FUTUNA</v>
      </c>
      <c r="O1945" s="17" t="str">
        <f aca="false">IF(COUNTIFS($N$2:$N$2000,N1945,$D$2:$D$2000,"&lt;&gt;"&amp;D1945)&gt;0,"CONFLICT","")</f>
        <v/>
      </c>
      <c r="P1945" s="7"/>
    </row>
    <row r="1946" customFormat="false" ht="15" hidden="false" customHeight="false" outlineLevel="0" collapsed="false">
      <c r="A1946" s="7" t="s">
        <v>769</v>
      </c>
      <c r="B1946" s="7" t="s">
        <v>1879</v>
      </c>
      <c r="C1946" s="7"/>
      <c r="D1946" s="6" t="s">
        <v>769</v>
      </c>
      <c r="E1946" s="6" t="s">
        <v>1880</v>
      </c>
      <c r="F1946" s="7" t="str">
        <f aca="false">IF($D1946="","",IFERROR(IF(INDEX(Hierarchy!$B$2:$B$1295,MATCH($D1946,Hierarchy!$A$2:$A$1295,0))="","",INDEX(Hierarchy!$B$2:$B$1295,MATCH($D1946,Hierarchy!$A$2:$A$1295,0))),"NODE NOT FOUND"))</f>
        <v>State/Province</v>
      </c>
      <c r="G1946" s="7" t="str">
        <f aca="false">IF($D1946="","",IFERROR(IF(INDEX(Hierarchy!$D$2:$D$1295,MATCH($D1946,Hierarchy!$A$2:$A$1295,0))="","",INDEX(Hierarchy!$D$2:$D$1295,MATCH($D1946,Hierarchy!$A$2:$A$1295,0))),"NODE NOT FOUND"))</f>
        <v>EMEA</v>
      </c>
      <c r="H1946" s="7" t="str">
        <f aca="false">IF($D1946="","",IFERROR(IF(INDEX(Hierarchy!$E$2:$E$1295,MATCH($D1946,Hierarchy!$A$2:$A$1295,0))="","",INDEX(Hierarchy!$E$2:$E$1295,MATCH($D1946,Hierarchy!$A$2:$A$1295,0))),"NODE NOT FOUND"))</f>
        <v>Europe</v>
      </c>
      <c r="I1946" s="7" t="str">
        <f aca="false">IF($D1946="","",IFERROR(IF(INDEX(Hierarchy!$F$2:$F$1295,MATCH($D1946,Hierarchy!$A$2:$A$1295,0))="","",INDEX(Hierarchy!$F$2:$F$1295,MATCH($D1946,Hierarchy!$A$2:$A$1295,0))),"NODE NOT FOUND"))</f>
        <v>Belgium</v>
      </c>
      <c r="J1946" s="7" t="str">
        <f aca="false">IF($D1946="","",IFERROR(IF(INDEX(Hierarchy!$G$2:$G$1295,MATCH($D1946,Hierarchy!$A$2:$A$1295,0))="","",INDEX(Hierarchy!$G$2:$G$1295,MATCH($D1946,Hierarchy!$A$2:$A$1295,0))),"NODE NOT FOUND"))</f>
        <v>BEL</v>
      </c>
      <c r="K1946" s="7" t="str">
        <f aca="false">IF($D1946="","",IFERROR(IF(INDEX(Hierarchy!$H$2:$H$1295,MATCH($D1946,Hierarchy!$A$2:$A$1295,0))="","",INDEX(Hierarchy!$H$2:$H$1295,MATCH($D1946,Hierarchy!$A$2:$A$1295,0))),"NODE NOT FOUND"))</f>
        <v>Wallonia</v>
      </c>
      <c r="L1946" s="7" t="str">
        <f aca="false">IF($D1946="","",IFERROR(IF(INDEX(Hierarchy!$I$2:$I$1295,MATCH($D1946,Hierarchy!$A$2:$A$1295,0))="","",INDEX(Hierarchy!$I$2:$I$1295,MATCH($D1946,Hierarchy!$A$2:$A$1295,0))),"NODE NOT FOUND"))</f>
        <v/>
      </c>
      <c r="M1946" s="17" t="str">
        <f aca="false">IF(B1946="Pre-seeded","Pre-seeded",IF(B1946="Review 2026-09-16","Added from review",IF(C1946="","New",IF(C1946=D1946,"","Changed"))))</f>
        <v>Pre-seeded</v>
      </c>
      <c r="N1946" s="7" t="str">
        <f aca="false">TRIM(SUBSTITUTE(SUBSTITUTE(SUBSTITUTE(" "&amp;TRIM(SUBSTITUTE(SUBSTITUTE(SUBSTITUTE(SUBSTITUTE(SUBSTITUTE(SUBSTITUTE(SUBSTITUTE(SUBSTITUTE(SUBSTITUTE(SUBSTITUTE(SUBSTITUTE(SUBSTITUTE(SUBSTITUTE(SUBSTITUTE(SUBSTITUTE(UPPER(TRIM(A1946)),"[MEMBER]",""),"{MEMBER}",""),"[MEMBER}",""),"MEMBER]",""),"(A)",""),"""",""),"“",""),"”",""),".",""),":",""),",",""),"–"," "),"-"," "),"/"," "),"&amp;"," AND "))&amp;" "," THE "," ")," TOTAL "," ")," OPERATIONS "," "))</f>
        <v>WALLONIA</v>
      </c>
      <c r="O1946" s="17" t="str">
        <f aca="false">IF(COUNTIFS($N$2:$N$2000,N1946,$D$2:$D$2000,"&lt;&gt;"&amp;D1946)&gt;0,"CONFLICT","")</f>
        <v/>
      </c>
      <c r="P1946" s="7"/>
    </row>
    <row r="1947" customFormat="false" ht="15" hidden="false" customHeight="false" outlineLevel="0" collapsed="false">
      <c r="A1947" s="7" t="s">
        <v>2853</v>
      </c>
      <c r="B1947" s="7" t="s">
        <v>1879</v>
      </c>
      <c r="C1947" s="7"/>
      <c r="D1947" s="6" t="s">
        <v>769</v>
      </c>
      <c r="E1947" s="6" t="s">
        <v>1880</v>
      </c>
      <c r="F1947" s="7" t="str">
        <f aca="false">IF($D1947="","",IFERROR(IF(INDEX(Hierarchy!$B$2:$B$1295,MATCH($D1947,Hierarchy!$A$2:$A$1295,0))="","",INDEX(Hierarchy!$B$2:$B$1295,MATCH($D1947,Hierarchy!$A$2:$A$1295,0))),"NODE NOT FOUND"))</f>
        <v>State/Province</v>
      </c>
      <c r="G1947" s="7" t="str">
        <f aca="false">IF($D1947="","",IFERROR(IF(INDEX(Hierarchy!$D$2:$D$1295,MATCH($D1947,Hierarchy!$A$2:$A$1295,0))="","",INDEX(Hierarchy!$D$2:$D$1295,MATCH($D1947,Hierarchy!$A$2:$A$1295,0))),"NODE NOT FOUND"))</f>
        <v>EMEA</v>
      </c>
      <c r="H1947" s="7" t="str">
        <f aca="false">IF($D1947="","",IFERROR(IF(INDEX(Hierarchy!$E$2:$E$1295,MATCH($D1947,Hierarchy!$A$2:$A$1295,0))="","",INDEX(Hierarchy!$E$2:$E$1295,MATCH($D1947,Hierarchy!$A$2:$A$1295,0))),"NODE NOT FOUND"))</f>
        <v>Europe</v>
      </c>
      <c r="I1947" s="7" t="str">
        <f aca="false">IF($D1947="","",IFERROR(IF(INDEX(Hierarchy!$F$2:$F$1295,MATCH($D1947,Hierarchy!$A$2:$A$1295,0))="","",INDEX(Hierarchy!$F$2:$F$1295,MATCH($D1947,Hierarchy!$A$2:$A$1295,0))),"NODE NOT FOUND"))</f>
        <v>Belgium</v>
      </c>
      <c r="J1947" s="7" t="str">
        <f aca="false">IF($D1947="","",IFERROR(IF(INDEX(Hierarchy!$G$2:$G$1295,MATCH($D1947,Hierarchy!$A$2:$A$1295,0))="","",INDEX(Hierarchy!$G$2:$G$1295,MATCH($D1947,Hierarchy!$A$2:$A$1295,0))),"NODE NOT FOUND"))</f>
        <v>BEL</v>
      </c>
      <c r="K1947" s="7" t="str">
        <f aca="false">IF($D1947="","",IFERROR(IF(INDEX(Hierarchy!$H$2:$H$1295,MATCH($D1947,Hierarchy!$A$2:$A$1295,0))="","",INDEX(Hierarchy!$H$2:$H$1295,MATCH($D1947,Hierarchy!$A$2:$A$1295,0))),"NODE NOT FOUND"))</f>
        <v>Wallonia</v>
      </c>
      <c r="L1947" s="7" t="str">
        <f aca="false">IF($D1947="","",IFERROR(IF(INDEX(Hierarchy!$I$2:$I$1295,MATCH($D1947,Hierarchy!$A$2:$A$1295,0))="","",INDEX(Hierarchy!$I$2:$I$1295,MATCH($D1947,Hierarchy!$A$2:$A$1295,0))),"NODE NOT FOUND"))</f>
        <v/>
      </c>
      <c r="M1947" s="17" t="str">
        <f aca="false">IF(B1947="Pre-seeded","Pre-seeded",IF(B1947="Review 2026-09-16","Added from review",IF(C1947="","New",IF(C1947=D1947,"","Changed"))))</f>
        <v>Pre-seeded</v>
      </c>
      <c r="N1947" s="7" t="str">
        <f aca="false">TRIM(SUBSTITUTE(SUBSTITUTE(SUBSTITUTE(" "&amp;TRIM(SUBSTITUTE(SUBSTITUTE(SUBSTITUTE(SUBSTITUTE(SUBSTITUTE(SUBSTITUTE(SUBSTITUTE(SUBSTITUTE(SUBSTITUTE(SUBSTITUTE(SUBSTITUTE(SUBSTITUTE(SUBSTITUTE(SUBSTITUTE(SUBSTITUTE(UPPER(TRIM(A1947)),"[MEMBER]",""),"{MEMBER}",""),"[MEMBER}",""),"MEMBER]",""),"(A)",""),"""",""),"“",""),"”",""),".",""),":",""),",",""),"–"," "),"-"," "),"/"," "),"&amp;"," AND "))&amp;" "," THE "," ")," TOTAL "," ")," OPERATIONS "," "))</f>
        <v>WALLONIE</v>
      </c>
      <c r="O1947" s="17" t="str">
        <f aca="false">IF(COUNTIFS($N$2:$N$2000,N1947,$D$2:$D$2000,"&lt;&gt;"&amp;D1947)&gt;0,"CONFLICT","")</f>
        <v/>
      </c>
      <c r="P1947" s="7"/>
    </row>
    <row r="1948" customFormat="false" ht="15" hidden="false" customHeight="false" outlineLevel="0" collapsed="false">
      <c r="A1948" s="7" t="s">
        <v>922</v>
      </c>
      <c r="B1948" s="7" t="s">
        <v>1879</v>
      </c>
      <c r="C1948" s="7"/>
      <c r="D1948" s="6" t="s">
        <v>922</v>
      </c>
      <c r="E1948" s="6" t="s">
        <v>1880</v>
      </c>
      <c r="F1948" s="7" t="str">
        <f aca="false">IF($D1948="","",IFERROR(IF(INDEX(Hierarchy!$B$2:$B$1295,MATCH($D1948,Hierarchy!$A$2:$A$1295,0))="","",INDEX(Hierarchy!$B$2:$B$1295,MATCH($D1948,Hierarchy!$A$2:$A$1295,0))),"NODE NOT FOUND"))</f>
        <v>State/Province</v>
      </c>
      <c r="G1948" s="7" t="str">
        <f aca="false">IF($D1948="","",IFERROR(IF(INDEX(Hierarchy!$D$2:$D$1295,MATCH($D1948,Hierarchy!$A$2:$A$1295,0))="","",INDEX(Hierarchy!$D$2:$D$1295,MATCH($D1948,Hierarchy!$A$2:$A$1295,0))),"NODE NOT FOUND"))</f>
        <v>EMEA</v>
      </c>
      <c r="H1948" s="7" t="str">
        <f aca="false">IF($D1948="","",IFERROR(IF(INDEX(Hierarchy!$E$2:$E$1295,MATCH($D1948,Hierarchy!$A$2:$A$1295,0))="","",INDEX(Hierarchy!$E$2:$E$1295,MATCH($D1948,Hierarchy!$A$2:$A$1295,0))),"NODE NOT FOUND"))</f>
        <v>Europe</v>
      </c>
      <c r="I1948" s="7" t="str">
        <f aca="false">IF($D1948="","",IFERROR(IF(INDEX(Hierarchy!$F$2:$F$1295,MATCH($D1948,Hierarchy!$A$2:$A$1295,0))="","",INDEX(Hierarchy!$F$2:$F$1295,MATCH($D1948,Hierarchy!$A$2:$A$1295,0))),"NODE NOT FOUND"))</f>
        <v>Poland</v>
      </c>
      <c r="J1948" s="7" t="str">
        <f aca="false">IF($D1948="","",IFERROR(IF(INDEX(Hierarchy!$G$2:$G$1295,MATCH($D1948,Hierarchy!$A$2:$A$1295,0))="","",INDEX(Hierarchy!$G$2:$G$1295,MATCH($D1948,Hierarchy!$A$2:$A$1295,0))),"NODE NOT FOUND"))</f>
        <v>POL</v>
      </c>
      <c r="K1948" s="7" t="str">
        <f aca="false">IF($D1948="","",IFERROR(IF(INDEX(Hierarchy!$H$2:$H$1295,MATCH($D1948,Hierarchy!$A$2:$A$1295,0))="","",INDEX(Hierarchy!$H$2:$H$1295,MATCH($D1948,Hierarchy!$A$2:$A$1295,0))),"NODE NOT FOUND"))</f>
        <v>Warmian-Masurian</v>
      </c>
      <c r="L1948" s="7" t="str">
        <f aca="false">IF($D1948="","",IFERROR(IF(INDEX(Hierarchy!$I$2:$I$1295,MATCH($D1948,Hierarchy!$A$2:$A$1295,0))="","",INDEX(Hierarchy!$I$2:$I$1295,MATCH($D1948,Hierarchy!$A$2:$A$1295,0))),"NODE NOT FOUND"))</f>
        <v/>
      </c>
      <c r="M1948" s="17" t="str">
        <f aca="false">IF(B1948="Pre-seeded","Pre-seeded",IF(B1948="Review 2026-09-16","Added from review",IF(C1948="","New",IF(C1948=D1948,"","Changed"))))</f>
        <v>Pre-seeded</v>
      </c>
      <c r="N1948" s="7" t="str">
        <f aca="false">TRIM(SUBSTITUTE(SUBSTITUTE(SUBSTITUTE(" "&amp;TRIM(SUBSTITUTE(SUBSTITUTE(SUBSTITUTE(SUBSTITUTE(SUBSTITUTE(SUBSTITUTE(SUBSTITUTE(SUBSTITUTE(SUBSTITUTE(SUBSTITUTE(SUBSTITUTE(SUBSTITUTE(SUBSTITUTE(SUBSTITUTE(SUBSTITUTE(UPPER(TRIM(A1948)),"[MEMBER]",""),"{MEMBER}",""),"[MEMBER}",""),"MEMBER]",""),"(A)",""),"""",""),"“",""),"”",""),".",""),":",""),",",""),"–"," "),"-"," "),"/"," "),"&amp;"," AND "))&amp;" "," THE "," ")," TOTAL "," ")," OPERATIONS "," "))</f>
        <v>WARMIAN MASURIAN</v>
      </c>
      <c r="O1948" s="17" t="str">
        <f aca="false">IF(COUNTIFS($N$2:$N$2000,N1948,$D$2:$D$2000,"&lt;&gt;"&amp;D1948)&gt;0,"CONFLICT","")</f>
        <v/>
      </c>
      <c r="P1948" s="7"/>
    </row>
    <row r="1949" customFormat="false" ht="15" hidden="false" customHeight="false" outlineLevel="0" collapsed="false">
      <c r="A1949" s="7" t="s">
        <v>258</v>
      </c>
      <c r="B1949" s="7" t="s">
        <v>1882</v>
      </c>
      <c r="C1949" s="7" t="s">
        <v>258</v>
      </c>
      <c r="D1949" s="6" t="s">
        <v>258</v>
      </c>
      <c r="E1949" s="6" t="s">
        <v>1880</v>
      </c>
      <c r="F1949" s="7" t="str">
        <f aca="false">IF($D1949="","",IFERROR(IF(INDEX(Hierarchy!$B$2:$B$1295,MATCH($D1949,Hierarchy!$A$2:$A$1295,0))="","",INDEX(Hierarchy!$B$2:$B$1295,MATCH($D1949,Hierarchy!$A$2:$A$1295,0))),"NODE NOT FOUND"))</f>
        <v>State/Province</v>
      </c>
      <c r="G1949" s="7" t="str">
        <f aca="false">IF($D1949="","",IFERROR(IF(INDEX(Hierarchy!$D$2:$D$1295,MATCH($D1949,Hierarchy!$A$2:$A$1295,0))="","",INDEX(Hierarchy!$D$2:$D$1295,MATCH($D1949,Hierarchy!$A$2:$A$1295,0))),"NODE NOT FOUND"))</f>
        <v>AMER</v>
      </c>
      <c r="H1949" s="7" t="str">
        <f aca="false">IF($D1949="","",IFERROR(IF(INDEX(Hierarchy!$E$2:$E$1295,MATCH($D1949,Hierarchy!$A$2:$A$1295,0))="","",INDEX(Hierarchy!$E$2:$E$1295,MATCH($D1949,Hierarchy!$A$2:$A$1295,0))),"NODE NOT FOUND"))</f>
        <v>North America (NORAM)</v>
      </c>
      <c r="I1949" s="7" t="str">
        <f aca="false">IF($D1949="","",IFERROR(IF(INDEX(Hierarchy!$F$2:$F$1295,MATCH($D1949,Hierarchy!$A$2:$A$1295,0))="","",INDEX(Hierarchy!$F$2:$F$1295,MATCH($D1949,Hierarchy!$A$2:$A$1295,0))),"NODE NOT FOUND"))</f>
        <v>United States</v>
      </c>
      <c r="J1949" s="7" t="str">
        <f aca="false">IF($D1949="","",IFERROR(IF(INDEX(Hierarchy!$G$2:$G$1295,MATCH($D1949,Hierarchy!$A$2:$A$1295,0))="","",INDEX(Hierarchy!$G$2:$G$1295,MATCH($D1949,Hierarchy!$A$2:$A$1295,0))),"NODE NOT FOUND"))</f>
        <v>USA</v>
      </c>
      <c r="K1949" s="7" t="str">
        <f aca="false">IF($D1949="","",IFERROR(IF(INDEX(Hierarchy!$H$2:$H$1295,MATCH($D1949,Hierarchy!$A$2:$A$1295,0))="","",INDEX(Hierarchy!$H$2:$H$1295,MATCH($D1949,Hierarchy!$A$2:$A$1295,0))),"NODE NOT FOUND"))</f>
        <v>Washington</v>
      </c>
      <c r="L1949" s="7" t="str">
        <f aca="false">IF($D1949="","",IFERROR(IF(INDEX(Hierarchy!$I$2:$I$1295,MATCH($D1949,Hierarchy!$A$2:$A$1295,0))="","",INDEX(Hierarchy!$I$2:$I$1295,MATCH($D1949,Hierarchy!$A$2:$A$1295,0))),"NODE NOT FOUND"))</f>
        <v/>
      </c>
      <c r="M1949" s="17" t="str">
        <f aca="false">IF(B1949="Pre-seeded","Pre-seeded",IF(B1949="Review 2026-09-16","Added from review",IF(C1949="","New",IF(C1949=D1949,"","Changed"))))</f>
        <v/>
      </c>
      <c r="N1949" s="7" t="str">
        <f aca="false">TRIM(SUBSTITUTE(SUBSTITUTE(SUBSTITUTE(" "&amp;TRIM(SUBSTITUTE(SUBSTITUTE(SUBSTITUTE(SUBSTITUTE(SUBSTITUTE(SUBSTITUTE(SUBSTITUTE(SUBSTITUTE(SUBSTITUTE(SUBSTITUTE(SUBSTITUTE(SUBSTITUTE(SUBSTITUTE(SUBSTITUTE(SUBSTITUTE(UPPER(TRIM(A1949)),"[MEMBER]",""),"{MEMBER}",""),"[MEMBER}",""),"MEMBER]",""),"(A)",""),"""",""),"“",""),"”",""),".",""),":",""),",",""),"–"," "),"-"," "),"/"," "),"&amp;"," AND "))&amp;" "," THE "," ")," TOTAL "," ")," OPERATIONS "," "))</f>
        <v>WASHINGTON</v>
      </c>
      <c r="O1949" s="17" t="str">
        <f aca="false">IF(COUNTIFS($N$2:$N$2000,N1949,$D$2:$D$2000,"&lt;&gt;"&amp;D1949)&gt;0,"CONFLICT","")</f>
        <v/>
      </c>
      <c r="P1949" s="7"/>
    </row>
    <row r="1950" customFormat="false" ht="15" hidden="false" customHeight="false" outlineLevel="0" collapsed="false">
      <c r="A1950" s="7" t="s">
        <v>2854</v>
      </c>
      <c r="B1950" s="7" t="s">
        <v>1882</v>
      </c>
      <c r="C1950" s="7" t="s">
        <v>258</v>
      </c>
      <c r="D1950" s="6" t="s">
        <v>258</v>
      </c>
      <c r="E1950" s="6" t="s">
        <v>1880</v>
      </c>
      <c r="F1950" s="7" t="str">
        <f aca="false">IF($D1950="","",IFERROR(IF(INDEX(Hierarchy!$B$2:$B$1295,MATCH($D1950,Hierarchy!$A$2:$A$1295,0))="","",INDEX(Hierarchy!$B$2:$B$1295,MATCH($D1950,Hierarchy!$A$2:$A$1295,0))),"NODE NOT FOUND"))</f>
        <v>State/Province</v>
      </c>
      <c r="G1950" s="7" t="str">
        <f aca="false">IF($D1950="","",IFERROR(IF(INDEX(Hierarchy!$D$2:$D$1295,MATCH($D1950,Hierarchy!$A$2:$A$1295,0))="","",INDEX(Hierarchy!$D$2:$D$1295,MATCH($D1950,Hierarchy!$A$2:$A$1295,0))),"NODE NOT FOUND"))</f>
        <v>AMER</v>
      </c>
      <c r="H1950" s="7" t="str">
        <f aca="false">IF($D1950="","",IFERROR(IF(INDEX(Hierarchy!$E$2:$E$1295,MATCH($D1950,Hierarchy!$A$2:$A$1295,0))="","",INDEX(Hierarchy!$E$2:$E$1295,MATCH($D1950,Hierarchy!$A$2:$A$1295,0))),"NODE NOT FOUND"))</f>
        <v>North America (NORAM)</v>
      </c>
      <c r="I1950" s="7" t="str">
        <f aca="false">IF($D1950="","",IFERROR(IF(INDEX(Hierarchy!$F$2:$F$1295,MATCH($D1950,Hierarchy!$A$2:$A$1295,0))="","",INDEX(Hierarchy!$F$2:$F$1295,MATCH($D1950,Hierarchy!$A$2:$A$1295,0))),"NODE NOT FOUND"))</f>
        <v>United States</v>
      </c>
      <c r="J1950" s="7" t="str">
        <f aca="false">IF($D1950="","",IFERROR(IF(INDEX(Hierarchy!$G$2:$G$1295,MATCH($D1950,Hierarchy!$A$2:$A$1295,0))="","",INDEX(Hierarchy!$G$2:$G$1295,MATCH($D1950,Hierarchy!$A$2:$A$1295,0))),"NODE NOT FOUND"))</f>
        <v>USA</v>
      </c>
      <c r="K1950" s="7" t="str">
        <f aca="false">IF($D1950="","",IFERROR(IF(INDEX(Hierarchy!$H$2:$H$1295,MATCH($D1950,Hierarchy!$A$2:$A$1295,0))="","",INDEX(Hierarchy!$H$2:$H$1295,MATCH($D1950,Hierarchy!$A$2:$A$1295,0))),"NODE NOT FOUND"))</f>
        <v>Washington</v>
      </c>
      <c r="L1950" s="7" t="str">
        <f aca="false">IF($D1950="","",IFERROR(IF(INDEX(Hierarchy!$I$2:$I$1295,MATCH($D1950,Hierarchy!$A$2:$A$1295,0))="","",INDEX(Hierarchy!$I$2:$I$1295,MATCH($D1950,Hierarchy!$A$2:$A$1295,0))),"NODE NOT FOUND"))</f>
        <v/>
      </c>
      <c r="M1950" s="17" t="str">
        <f aca="false">IF(B1950="Pre-seeded","Pre-seeded",IF(B1950="Review 2026-09-16","Added from review",IF(C1950="","New",IF(C1950=D1950,"","Changed"))))</f>
        <v/>
      </c>
      <c r="N1950" s="7" t="str">
        <f aca="false">TRIM(SUBSTITUTE(SUBSTITUTE(SUBSTITUTE(" "&amp;TRIM(SUBSTITUTE(SUBSTITUTE(SUBSTITUTE(SUBSTITUTE(SUBSTITUTE(SUBSTITUTE(SUBSTITUTE(SUBSTITUTE(SUBSTITUTE(SUBSTITUTE(SUBSTITUTE(SUBSTITUTE(SUBSTITUTE(SUBSTITUTE(SUBSTITUTE(UPPER(TRIM(A1950)),"[MEMBER]",""),"{MEMBER}",""),"[MEMBER}",""),"MEMBER]",""),"(A)",""),"""",""),"“",""),"”",""),".",""),":",""),",",""),"–"," "),"-"," "),"/"," "),"&amp;"," AND "))&amp;" "," THE "," ")," TOTAL "," ")," OPERATIONS "," "))</f>
        <v>WASHINGTON</v>
      </c>
      <c r="O1950" s="17" t="str">
        <f aca="false">IF(COUNTIFS($N$2:$N$2000,N1950,$D$2:$D$2000,"&lt;&gt;"&amp;D1950)&gt;0,"CONFLICT","")</f>
        <v/>
      </c>
      <c r="P1950" s="7"/>
    </row>
    <row r="1951" customFormat="false" ht="15" hidden="false" customHeight="false" outlineLevel="0" collapsed="false">
      <c r="A1951" s="7" t="s">
        <v>2855</v>
      </c>
      <c r="B1951" s="7" t="s">
        <v>1882</v>
      </c>
      <c r="C1951" s="7" t="s">
        <v>2855</v>
      </c>
      <c r="D1951" s="6" t="s">
        <v>161</v>
      </c>
      <c r="E1951" s="6" t="s">
        <v>1880</v>
      </c>
      <c r="F1951" s="7" t="str">
        <f aca="false">IF($D1951="","",IFERROR(IF(INDEX(Hierarchy!$B$2:$B$1295,MATCH($D1951,Hierarchy!$A$2:$A$1295,0))="","",INDEX(Hierarchy!$B$2:$B$1295,MATCH($D1951,Hierarchy!$A$2:$A$1295,0))),"NODE NOT FOUND"))</f>
        <v>State/Province</v>
      </c>
      <c r="G1951" s="7" t="str">
        <f aca="false">IF($D1951="","",IFERROR(IF(INDEX(Hierarchy!$D$2:$D$1295,MATCH($D1951,Hierarchy!$A$2:$A$1295,0))="","",INDEX(Hierarchy!$D$2:$D$1295,MATCH($D1951,Hierarchy!$A$2:$A$1295,0))),"NODE NOT FOUND"))</f>
        <v>AMER</v>
      </c>
      <c r="H1951" s="7" t="str">
        <f aca="false">IF($D1951="","",IFERROR(IF(INDEX(Hierarchy!$E$2:$E$1295,MATCH($D1951,Hierarchy!$A$2:$A$1295,0))="","",INDEX(Hierarchy!$E$2:$E$1295,MATCH($D1951,Hierarchy!$A$2:$A$1295,0))),"NODE NOT FOUND"))</f>
        <v>North America (NORAM)</v>
      </c>
      <c r="I1951" s="7" t="str">
        <f aca="false">IF($D1951="","",IFERROR(IF(INDEX(Hierarchy!$F$2:$F$1295,MATCH($D1951,Hierarchy!$A$2:$A$1295,0))="","",INDEX(Hierarchy!$F$2:$F$1295,MATCH($D1951,Hierarchy!$A$2:$A$1295,0))),"NODE NOT FOUND"))</f>
        <v>United States</v>
      </c>
      <c r="J1951" s="7" t="str">
        <f aca="false">IF($D1951="","",IFERROR(IF(INDEX(Hierarchy!$G$2:$G$1295,MATCH($D1951,Hierarchy!$A$2:$A$1295,0))="","",INDEX(Hierarchy!$G$2:$G$1295,MATCH($D1951,Hierarchy!$A$2:$A$1295,0))),"NODE NOT FOUND"))</f>
        <v>USA</v>
      </c>
      <c r="K1951" s="7" t="str">
        <f aca="false">IF($D1951="","",IFERROR(IF(INDEX(Hierarchy!$H$2:$H$1295,MATCH($D1951,Hierarchy!$A$2:$A$1295,0))="","",INDEX(Hierarchy!$H$2:$H$1295,MATCH($D1951,Hierarchy!$A$2:$A$1295,0))),"NODE NOT FOUND"))</f>
        <v>District of Columbia</v>
      </c>
      <c r="L1951" s="7" t="str">
        <f aca="false">IF($D1951="","",IFERROR(IF(INDEX(Hierarchy!$I$2:$I$1295,MATCH($D1951,Hierarchy!$A$2:$A$1295,0))="","",INDEX(Hierarchy!$I$2:$I$1295,MATCH($D1951,Hierarchy!$A$2:$A$1295,0))),"NODE NOT FOUND"))</f>
        <v/>
      </c>
      <c r="M1951" s="17" t="str">
        <f aca="false">IF(B1951="Pre-seeded","Pre-seeded",IF(B1951="Review 2026-09-16","Added from review",IF(C1951="","New",IF(C1951=D1951,"","Changed"))))</f>
        <v>Changed</v>
      </c>
      <c r="N1951" s="7" t="str">
        <f aca="false">TRIM(SUBSTITUTE(SUBSTITUTE(SUBSTITUTE(" "&amp;TRIM(SUBSTITUTE(SUBSTITUTE(SUBSTITUTE(SUBSTITUTE(SUBSTITUTE(SUBSTITUTE(SUBSTITUTE(SUBSTITUTE(SUBSTITUTE(SUBSTITUTE(SUBSTITUTE(SUBSTITUTE(SUBSTITUTE(SUBSTITUTE(SUBSTITUTE(UPPER(TRIM(A1951)),"[MEMBER]",""),"{MEMBER}",""),"[MEMBER}",""),"MEMBER]",""),"(A)",""),"""",""),"“",""),"”",""),".",""),":",""),",",""),"–"," "),"-"," "),"/"," "),"&amp;"," AND "))&amp;" "," THE "," ")," TOTAL "," ")," OPERATIONS "," "))</f>
        <v>WASHINGTON DC</v>
      </c>
      <c r="O1951" s="17" t="str">
        <f aca="false">IF(COUNTIFS($N$2:$N$2000,N1951,$D$2:$D$2000,"&lt;&gt;"&amp;D1951)&gt;0,"CONFLICT","")</f>
        <v/>
      </c>
      <c r="P1951" s="7"/>
    </row>
    <row r="1952" customFormat="false" ht="15" hidden="false" customHeight="false" outlineLevel="0" collapsed="false">
      <c r="A1952" s="7" t="s">
        <v>1734</v>
      </c>
      <c r="B1952" s="7" t="s">
        <v>1879</v>
      </c>
      <c r="C1952" s="7"/>
      <c r="D1952" s="6" t="s">
        <v>1734</v>
      </c>
      <c r="E1952" s="6" t="s">
        <v>1880</v>
      </c>
      <c r="F1952" s="7" t="str">
        <f aca="false">IF($D1952="","",IFERROR(IF(INDEX(Hierarchy!$B$2:$B$1295,MATCH($D1952,Hierarchy!$A$2:$A$1295,0))="","",INDEX(Hierarchy!$B$2:$B$1295,MATCH($D1952,Hierarchy!$A$2:$A$1295,0))),"NODE NOT FOUND"))</f>
        <v>State/Province</v>
      </c>
      <c r="G1952" s="7" t="str">
        <f aca="false">IF($D1952="","",IFERROR(IF(INDEX(Hierarchy!$D$2:$D$1295,MATCH($D1952,Hierarchy!$A$2:$A$1295,0))="","",INDEX(Hierarchy!$D$2:$D$1295,MATCH($D1952,Hierarchy!$A$2:$A$1295,0))),"NODE NOT FOUND"))</f>
        <v>APAC</v>
      </c>
      <c r="H1952" s="7" t="str">
        <f aca="false">IF($D1952="","",IFERROR(IF(INDEX(Hierarchy!$E$2:$E$1295,MATCH($D1952,Hierarchy!$A$2:$A$1295,0))="","",INDEX(Hierarchy!$E$2:$E$1295,MATCH($D1952,Hierarchy!$A$2:$A$1295,0))),"NODE NOT FOUND"))</f>
        <v>Oceania (ANZ)</v>
      </c>
      <c r="I1952" s="7" t="str">
        <f aca="false">IF($D1952="","",IFERROR(IF(INDEX(Hierarchy!$F$2:$F$1295,MATCH($D1952,Hierarchy!$A$2:$A$1295,0))="","",INDEX(Hierarchy!$F$2:$F$1295,MATCH($D1952,Hierarchy!$A$2:$A$1295,0))),"NODE NOT FOUND"))</f>
        <v>New Zealand</v>
      </c>
      <c r="J1952" s="7" t="str">
        <f aca="false">IF($D1952="","",IFERROR(IF(INDEX(Hierarchy!$G$2:$G$1295,MATCH($D1952,Hierarchy!$A$2:$A$1295,0))="","",INDEX(Hierarchy!$G$2:$G$1295,MATCH($D1952,Hierarchy!$A$2:$A$1295,0))),"NODE NOT FOUND"))</f>
        <v>NZL</v>
      </c>
      <c r="K1952" s="7" t="str">
        <f aca="false">IF($D1952="","",IFERROR(IF(INDEX(Hierarchy!$H$2:$H$1295,MATCH($D1952,Hierarchy!$A$2:$A$1295,0))="","",INDEX(Hierarchy!$H$2:$H$1295,MATCH($D1952,Hierarchy!$A$2:$A$1295,0))),"NODE NOT FOUND"))</f>
        <v>Wellington</v>
      </c>
      <c r="L1952" s="7" t="str">
        <f aca="false">IF($D1952="","",IFERROR(IF(INDEX(Hierarchy!$I$2:$I$1295,MATCH($D1952,Hierarchy!$A$2:$A$1295,0))="","",INDEX(Hierarchy!$I$2:$I$1295,MATCH($D1952,Hierarchy!$A$2:$A$1295,0))),"NODE NOT FOUND"))</f>
        <v/>
      </c>
      <c r="M1952" s="17" t="str">
        <f aca="false">IF(B1952="Pre-seeded","Pre-seeded",IF(B1952="Review 2026-09-16","Added from review",IF(C1952="","New",IF(C1952=D1952,"","Changed"))))</f>
        <v>Pre-seeded</v>
      </c>
      <c r="N1952" s="7" t="str">
        <f aca="false">TRIM(SUBSTITUTE(SUBSTITUTE(SUBSTITUTE(" "&amp;TRIM(SUBSTITUTE(SUBSTITUTE(SUBSTITUTE(SUBSTITUTE(SUBSTITUTE(SUBSTITUTE(SUBSTITUTE(SUBSTITUTE(SUBSTITUTE(SUBSTITUTE(SUBSTITUTE(SUBSTITUTE(SUBSTITUTE(SUBSTITUTE(SUBSTITUTE(UPPER(TRIM(A1952)),"[MEMBER]",""),"{MEMBER}",""),"[MEMBER}",""),"MEMBER]",""),"(A)",""),"""",""),"“",""),"”",""),".",""),":",""),",",""),"–"," "),"-"," "),"/"," "),"&amp;"," AND "))&amp;" "," THE "," ")," TOTAL "," ")," OPERATIONS "," "))</f>
        <v>WELLINGTON</v>
      </c>
      <c r="O1952" s="17" t="str">
        <f aca="false">IF(COUNTIFS($N$2:$N$2000,N1952,$D$2:$D$2000,"&lt;&gt;"&amp;D1952)&gt;0,"CONFLICT","")</f>
        <v/>
      </c>
      <c r="P1952" s="7"/>
    </row>
    <row r="1953" customFormat="false" ht="15" hidden="false" customHeight="false" outlineLevel="0" collapsed="false">
      <c r="A1953" s="7" t="s">
        <v>2409</v>
      </c>
      <c r="B1953" s="7" t="s">
        <v>1882</v>
      </c>
      <c r="C1953" s="7" t="s">
        <v>2409</v>
      </c>
      <c r="D1953" s="6" t="s">
        <v>124</v>
      </c>
      <c r="E1953" s="6" t="s">
        <v>1880</v>
      </c>
      <c r="F1953" s="7" t="str">
        <f aca="false">IF($D1953="","",IFERROR(IF(INDEX(Hierarchy!$B$2:$B$1295,MATCH($D1953,Hierarchy!$A$2:$A$1295,0))="","",INDEX(Hierarchy!$B$2:$B$1295,MATCH($D1953,Hierarchy!$A$2:$A$1295,0))),"NODE NOT FOUND"))</f>
        <v>Sub-national region</v>
      </c>
      <c r="G1953" s="7" t="str">
        <f aca="false">IF($D1953="","",IFERROR(IF(INDEX(Hierarchy!$D$2:$D$1295,MATCH($D1953,Hierarchy!$A$2:$A$1295,0))="","",INDEX(Hierarchy!$D$2:$D$1295,MATCH($D1953,Hierarchy!$A$2:$A$1295,0))),"NODE NOT FOUND"))</f>
        <v>AMER</v>
      </c>
      <c r="H1953" s="7" t="str">
        <f aca="false">IF($D1953="","",IFERROR(IF(INDEX(Hierarchy!$E$2:$E$1295,MATCH($D1953,Hierarchy!$A$2:$A$1295,0))="","",INDEX(Hierarchy!$E$2:$E$1295,MATCH($D1953,Hierarchy!$A$2:$A$1295,0))),"NODE NOT FOUND"))</f>
        <v>North America (NORAM)</v>
      </c>
      <c r="I1953" s="7" t="str">
        <f aca="false">IF($D1953="","",IFERROR(IF(INDEX(Hierarchy!$F$2:$F$1295,MATCH($D1953,Hierarchy!$A$2:$A$1295,0))="","",INDEX(Hierarchy!$F$2:$F$1295,MATCH($D1953,Hierarchy!$A$2:$A$1295,0))),"NODE NOT FOUND"))</f>
        <v>United States</v>
      </c>
      <c r="J1953" s="7" t="str">
        <f aca="false">IF($D1953="","",IFERROR(IF(INDEX(Hierarchy!$G$2:$G$1295,MATCH($D1953,Hierarchy!$A$2:$A$1295,0))="","",INDEX(Hierarchy!$G$2:$G$1295,MATCH($D1953,Hierarchy!$A$2:$A$1295,0))),"NODE NOT FOUND"))</f>
        <v>USA</v>
      </c>
      <c r="K1953" s="7" t="str">
        <f aca="false">IF($D1953="","",IFERROR(IF(INDEX(Hierarchy!$H$2:$H$1295,MATCH($D1953,Hierarchy!$A$2:$A$1295,0))="","",INDEX(Hierarchy!$H$2:$H$1295,MATCH($D1953,Hierarchy!$A$2:$A$1295,0))),"NODE NOT FOUND"))</f>
        <v/>
      </c>
      <c r="L1953" s="7" t="str">
        <f aca="false">IF($D1953="","",IFERROR(IF(INDEX(Hierarchy!$I$2:$I$1295,MATCH($D1953,Hierarchy!$A$2:$A$1295,0))="","",INDEX(Hierarchy!$I$2:$I$1295,MATCH($D1953,Hierarchy!$A$2:$A$1295,0))),"NODE NOT FOUND"))</f>
        <v/>
      </c>
      <c r="M1953" s="17" t="str">
        <f aca="false">IF(B1953="Pre-seeded","Pre-seeded",IF(B1953="Review 2026-09-16","Added from review",IF(C1953="","New",IF(C1953=D1953,"","Changed"))))</f>
        <v>Changed</v>
      </c>
      <c r="N1953" s="7" t="str">
        <f aca="false">TRIM(SUBSTITUTE(SUBSTITUTE(SUBSTITUTE(" "&amp;TRIM(SUBSTITUTE(SUBSTITUTE(SUBSTITUTE(SUBSTITUTE(SUBSTITUTE(SUBSTITUTE(SUBSTITUTE(SUBSTITUTE(SUBSTITUTE(SUBSTITUTE(SUBSTITUTE(SUBSTITUTE(SUBSTITUTE(SUBSTITUTE(SUBSTITUTE(UPPER(TRIM(A1953)),"[MEMBER]",""),"{MEMBER}",""),"[MEMBER}",""),"MEMBER]",""),"(A)",""),"""",""),"“",""),"”",""),".",""),":",""),",",""),"–"," "),"-"," "),"/"," "),"&amp;"," AND "))&amp;" "," THE "," ")," TOTAL "," ")," OPERATIONS "," "))</f>
        <v>WEST</v>
      </c>
      <c r="O1953" s="17" t="str">
        <f aca="false">IF(COUNTIFS($N$2:$N$2000,N1953,$D$2:$D$2000,"&lt;&gt;"&amp;D1953)&gt;0,"CONFLICT","")</f>
        <v/>
      </c>
      <c r="P1953" s="7"/>
    </row>
    <row r="1954" customFormat="false" ht="15" hidden="false" customHeight="false" outlineLevel="0" collapsed="false">
      <c r="A1954" s="7" t="s">
        <v>1109</v>
      </c>
      <c r="B1954" s="7" t="s">
        <v>1879</v>
      </c>
      <c r="C1954" s="7"/>
      <c r="D1954" s="6" t="s">
        <v>1109</v>
      </c>
      <c r="E1954" s="6" t="s">
        <v>1880</v>
      </c>
      <c r="F1954" s="7" t="str">
        <f aca="false">IF($D1954="","",IFERROR(IF(INDEX(Hierarchy!$B$2:$B$1295,MATCH($D1954,Hierarchy!$A$2:$A$1295,0))="","",INDEX(Hierarchy!$B$2:$B$1295,MATCH($D1954,Hierarchy!$A$2:$A$1295,0))),"NODE NOT FOUND"))</f>
        <v>Sub-region component</v>
      </c>
      <c r="G1954" s="7" t="str">
        <f aca="false">IF($D1954="","",IFERROR(IF(INDEX(Hierarchy!$D$2:$D$1295,MATCH($D1954,Hierarchy!$A$2:$A$1295,0))="","",INDEX(Hierarchy!$D$2:$D$1295,MATCH($D1954,Hierarchy!$A$2:$A$1295,0))),"NODE NOT FOUND"))</f>
        <v>EMEA</v>
      </c>
      <c r="H1954" s="7" t="str">
        <f aca="false">IF($D1954="","",IFERROR(IF(INDEX(Hierarchy!$E$2:$E$1295,MATCH($D1954,Hierarchy!$A$2:$A$1295,0))="","",INDEX(Hierarchy!$E$2:$E$1295,MATCH($D1954,Hierarchy!$A$2:$A$1295,0))),"NODE NOT FOUND"))</f>
        <v>Africa</v>
      </c>
      <c r="I1954" s="7" t="str">
        <f aca="false">IF($D1954="","",IFERROR(IF(INDEX(Hierarchy!$F$2:$F$1295,MATCH($D1954,Hierarchy!$A$2:$A$1295,0))="","",INDEX(Hierarchy!$F$2:$F$1295,MATCH($D1954,Hierarchy!$A$2:$A$1295,0))),"NODE NOT FOUND"))</f>
        <v/>
      </c>
      <c r="J1954" s="7" t="str">
        <f aca="false">IF($D1954="","",IFERROR(IF(INDEX(Hierarchy!$G$2:$G$1295,MATCH($D1954,Hierarchy!$A$2:$A$1295,0))="","",INDEX(Hierarchy!$G$2:$G$1295,MATCH($D1954,Hierarchy!$A$2:$A$1295,0))),"NODE NOT FOUND"))</f>
        <v/>
      </c>
      <c r="K1954" s="7" t="str">
        <f aca="false">IF($D1954="","",IFERROR(IF(INDEX(Hierarchy!$H$2:$H$1295,MATCH($D1954,Hierarchy!$A$2:$A$1295,0))="","",INDEX(Hierarchy!$H$2:$H$1295,MATCH($D1954,Hierarchy!$A$2:$A$1295,0))),"NODE NOT FOUND"))</f>
        <v/>
      </c>
      <c r="L1954" s="7" t="str">
        <f aca="false">IF($D1954="","",IFERROR(IF(INDEX(Hierarchy!$I$2:$I$1295,MATCH($D1954,Hierarchy!$A$2:$A$1295,0))="","",INDEX(Hierarchy!$I$2:$I$1295,MATCH($D1954,Hierarchy!$A$2:$A$1295,0))),"NODE NOT FOUND"))</f>
        <v/>
      </c>
      <c r="M1954" s="17" t="str">
        <f aca="false">IF(B1954="Pre-seeded","Pre-seeded",IF(B1954="Review 2026-09-16","Added from review",IF(C1954="","New",IF(C1954=D1954,"","Changed"))))</f>
        <v>Pre-seeded</v>
      </c>
      <c r="N1954" s="7" t="str">
        <f aca="false">TRIM(SUBSTITUTE(SUBSTITUTE(SUBSTITUTE(" "&amp;TRIM(SUBSTITUTE(SUBSTITUTE(SUBSTITUTE(SUBSTITUTE(SUBSTITUTE(SUBSTITUTE(SUBSTITUTE(SUBSTITUTE(SUBSTITUTE(SUBSTITUTE(SUBSTITUTE(SUBSTITUTE(SUBSTITUTE(SUBSTITUTE(SUBSTITUTE(UPPER(TRIM(A1954)),"[MEMBER]",""),"{MEMBER}",""),"[MEMBER}",""),"MEMBER]",""),"(A)",""),"""",""),"“",""),"”",""),".",""),":",""),",",""),"–"," "),"-"," "),"/"," "),"&amp;"," AND "))&amp;" "," THE "," ")," TOTAL "," ")," OPERATIONS "," "))</f>
        <v>WEST AFRICA</v>
      </c>
      <c r="O1954" s="17" t="str">
        <f aca="false">IF(COUNTIFS($N$2:$N$2000,N1954,$D$2:$D$2000,"&lt;&gt;"&amp;D1954)&gt;0,"CONFLICT","")</f>
        <v/>
      </c>
      <c r="P1954" s="7"/>
    </row>
    <row r="1955" customFormat="false" ht="15" hidden="false" customHeight="false" outlineLevel="0" collapsed="false">
      <c r="A1955" s="7" t="s">
        <v>1370</v>
      </c>
      <c r="B1955" s="7" t="s">
        <v>1879</v>
      </c>
      <c r="C1955" s="7"/>
      <c r="D1955" s="6" t="s">
        <v>1370</v>
      </c>
      <c r="E1955" s="6" t="s">
        <v>1880</v>
      </c>
      <c r="F1955" s="7" t="str">
        <f aca="false">IF($D1955="","",IFERROR(IF(INDEX(Hierarchy!$B$2:$B$1295,MATCH($D1955,Hierarchy!$A$2:$A$1295,0))="","",INDEX(Hierarchy!$B$2:$B$1295,MATCH($D1955,Hierarchy!$A$2:$A$1295,0))),"NODE NOT FOUND"))</f>
        <v>State/Province</v>
      </c>
      <c r="G1955" s="7" t="str">
        <f aca="false">IF($D1955="","",IFERROR(IF(INDEX(Hierarchy!$D$2:$D$1295,MATCH($D1955,Hierarchy!$A$2:$A$1295,0))="","",INDEX(Hierarchy!$D$2:$D$1295,MATCH($D1955,Hierarchy!$A$2:$A$1295,0))),"NODE NOT FOUND"))</f>
        <v>APAC</v>
      </c>
      <c r="H1955" s="7" t="str">
        <f aca="false">IF($D1955="","",IFERROR(IF(INDEX(Hierarchy!$E$2:$E$1295,MATCH($D1955,Hierarchy!$A$2:$A$1295,0))="","",INDEX(Hierarchy!$E$2:$E$1295,MATCH($D1955,Hierarchy!$A$2:$A$1295,0))),"NODE NOT FOUND"))</f>
        <v>South Asia</v>
      </c>
      <c r="I1955" s="7" t="str">
        <f aca="false">IF($D1955="","",IFERROR(IF(INDEX(Hierarchy!$F$2:$F$1295,MATCH($D1955,Hierarchy!$A$2:$A$1295,0))="","",INDEX(Hierarchy!$F$2:$F$1295,MATCH($D1955,Hierarchy!$A$2:$A$1295,0))),"NODE NOT FOUND"))</f>
        <v>India</v>
      </c>
      <c r="J1955" s="7" t="str">
        <f aca="false">IF($D1955="","",IFERROR(IF(INDEX(Hierarchy!$G$2:$G$1295,MATCH($D1955,Hierarchy!$A$2:$A$1295,0))="","",INDEX(Hierarchy!$G$2:$G$1295,MATCH($D1955,Hierarchy!$A$2:$A$1295,0))),"NODE NOT FOUND"))</f>
        <v>IND</v>
      </c>
      <c r="K1955" s="7" t="str">
        <f aca="false">IF($D1955="","",IFERROR(IF(INDEX(Hierarchy!$H$2:$H$1295,MATCH($D1955,Hierarchy!$A$2:$A$1295,0))="","",INDEX(Hierarchy!$H$2:$H$1295,MATCH($D1955,Hierarchy!$A$2:$A$1295,0))),"NODE NOT FOUND"))</f>
        <v>West Bengal</v>
      </c>
      <c r="L1955" s="7" t="str">
        <f aca="false">IF($D1955="","",IFERROR(IF(INDEX(Hierarchy!$I$2:$I$1295,MATCH($D1955,Hierarchy!$A$2:$A$1295,0))="","",INDEX(Hierarchy!$I$2:$I$1295,MATCH($D1955,Hierarchy!$A$2:$A$1295,0))),"NODE NOT FOUND"))</f>
        <v/>
      </c>
      <c r="M1955" s="17" t="str">
        <f aca="false">IF(B1955="Pre-seeded","Pre-seeded",IF(B1955="Review 2026-09-16","Added from review",IF(C1955="","New",IF(C1955=D1955,"","Changed"))))</f>
        <v>Pre-seeded</v>
      </c>
      <c r="N1955" s="7" t="str">
        <f aca="false">TRIM(SUBSTITUTE(SUBSTITUTE(SUBSTITUTE(" "&amp;TRIM(SUBSTITUTE(SUBSTITUTE(SUBSTITUTE(SUBSTITUTE(SUBSTITUTE(SUBSTITUTE(SUBSTITUTE(SUBSTITUTE(SUBSTITUTE(SUBSTITUTE(SUBSTITUTE(SUBSTITUTE(SUBSTITUTE(SUBSTITUTE(SUBSTITUTE(UPPER(TRIM(A1955)),"[MEMBER]",""),"{MEMBER}",""),"[MEMBER}",""),"MEMBER]",""),"(A)",""),"""",""),"“",""),"”",""),".",""),":",""),",",""),"–"," "),"-"," "),"/"," "),"&amp;"," AND "))&amp;" "," THE "," ")," TOTAL "," ")," OPERATIONS "," "))</f>
        <v>WEST BENGAL</v>
      </c>
      <c r="O1955" s="17" t="str">
        <f aca="false">IF(COUNTIFS($N$2:$N$2000,N1955,$D$2:$D$2000,"&lt;&gt;"&amp;D1955)&gt;0,"CONFLICT","")</f>
        <v/>
      </c>
      <c r="P1955" s="7"/>
    </row>
    <row r="1956" customFormat="false" ht="15" hidden="false" customHeight="false" outlineLevel="0" collapsed="false">
      <c r="A1956" s="7" t="s">
        <v>2856</v>
      </c>
      <c r="B1956" s="7" t="s">
        <v>1882</v>
      </c>
      <c r="C1956" s="7" t="s">
        <v>2856</v>
      </c>
      <c r="D1956" s="6" t="s">
        <v>125</v>
      </c>
      <c r="E1956" s="6" t="s">
        <v>1880</v>
      </c>
      <c r="F1956" s="7" t="str">
        <f aca="false">IF($D1956="","",IFERROR(IF(INDEX(Hierarchy!$B$2:$B$1295,MATCH($D1956,Hierarchy!$A$2:$A$1295,0))="","",INDEX(Hierarchy!$B$2:$B$1295,MATCH($D1956,Hierarchy!$A$2:$A$1295,0))),"NODE NOT FOUND"))</f>
        <v>Sub-national region</v>
      </c>
      <c r="G1956" s="7" t="str">
        <f aca="false">IF($D1956="","",IFERROR(IF(INDEX(Hierarchy!$D$2:$D$1295,MATCH($D1956,Hierarchy!$A$2:$A$1295,0))="","",INDEX(Hierarchy!$D$2:$D$1295,MATCH($D1956,Hierarchy!$A$2:$A$1295,0))),"NODE NOT FOUND"))</f>
        <v>AMER</v>
      </c>
      <c r="H1956" s="7" t="str">
        <f aca="false">IF($D1956="","",IFERROR(IF(INDEX(Hierarchy!$E$2:$E$1295,MATCH($D1956,Hierarchy!$A$2:$A$1295,0))="","",INDEX(Hierarchy!$E$2:$E$1295,MATCH($D1956,Hierarchy!$A$2:$A$1295,0))),"NODE NOT FOUND"))</f>
        <v>North America (NORAM)</v>
      </c>
      <c r="I1956" s="7" t="str">
        <f aca="false">IF($D1956="","",IFERROR(IF(INDEX(Hierarchy!$F$2:$F$1295,MATCH($D1956,Hierarchy!$A$2:$A$1295,0))="","",INDEX(Hierarchy!$F$2:$F$1295,MATCH($D1956,Hierarchy!$A$2:$A$1295,0))),"NODE NOT FOUND"))</f>
        <v>United States</v>
      </c>
      <c r="J1956" s="7" t="str">
        <f aca="false">IF($D1956="","",IFERROR(IF(INDEX(Hierarchy!$G$2:$G$1295,MATCH($D1956,Hierarchy!$A$2:$A$1295,0))="","",INDEX(Hierarchy!$G$2:$G$1295,MATCH($D1956,Hierarchy!$A$2:$A$1295,0))),"NODE NOT FOUND"))</f>
        <v>USA</v>
      </c>
      <c r="K1956" s="7" t="str">
        <f aca="false">IF($D1956="","",IFERROR(IF(INDEX(Hierarchy!$H$2:$H$1295,MATCH($D1956,Hierarchy!$A$2:$A$1295,0))="","",INDEX(Hierarchy!$H$2:$H$1295,MATCH($D1956,Hierarchy!$A$2:$A$1295,0))),"NODE NOT FOUND"))</f>
        <v/>
      </c>
      <c r="L1956" s="7" t="str">
        <f aca="false">IF($D1956="","",IFERROR(IF(INDEX(Hierarchy!$I$2:$I$1295,MATCH($D1956,Hierarchy!$A$2:$A$1295,0))="","",INDEX(Hierarchy!$I$2:$I$1295,MATCH($D1956,Hierarchy!$A$2:$A$1295,0))),"NODE NOT FOUND"))</f>
        <v/>
      </c>
      <c r="M1956" s="17" t="str">
        <f aca="false">IF(B1956="Pre-seeded","Pre-seeded",IF(B1956="Review 2026-09-16","Added from review",IF(C1956="","New",IF(C1956=D1956,"","Changed"))))</f>
        <v>Changed</v>
      </c>
      <c r="N1956" s="7" t="str">
        <f aca="false">TRIM(SUBSTITUTE(SUBSTITUTE(SUBSTITUTE(" "&amp;TRIM(SUBSTITUTE(SUBSTITUTE(SUBSTITUTE(SUBSTITUTE(SUBSTITUTE(SUBSTITUTE(SUBSTITUTE(SUBSTITUTE(SUBSTITUTE(SUBSTITUTE(SUBSTITUTE(SUBSTITUTE(SUBSTITUTE(SUBSTITUTE(SUBSTITUTE(UPPER(TRIM(A1956)),"[MEMBER]",""),"{MEMBER}",""),"[MEMBER}",""),"MEMBER]",""),"(A)",""),"""",""),"“",""),"”",""),".",""),":",""),",",""),"–"," "),"-"," "),"/"," "),"&amp;"," AND "))&amp;" "," THE "," ")," TOTAL "," ")," OPERATIONS "," "))</f>
        <v>WEST COAST</v>
      </c>
      <c r="O1956" s="17" t="str">
        <f aca="false">IF(COUNTIFS($N$2:$N$2000,N1956,$D$2:$D$2000,"&lt;&gt;"&amp;D1956)&gt;0,"CONFLICT","")</f>
        <v/>
      </c>
      <c r="P1956" s="7"/>
    </row>
    <row r="1957" customFormat="false" ht="15" hidden="false" customHeight="false" outlineLevel="0" collapsed="false">
      <c r="A1957" s="7" t="s">
        <v>1735</v>
      </c>
      <c r="B1957" s="7" t="s">
        <v>1879</v>
      </c>
      <c r="C1957" s="7"/>
      <c r="D1957" s="6" t="s">
        <v>1735</v>
      </c>
      <c r="E1957" s="6" t="s">
        <v>1880</v>
      </c>
      <c r="F1957" s="7" t="str">
        <f aca="false">IF($D1957="","",IFERROR(IF(INDEX(Hierarchy!$B$2:$B$1295,MATCH($D1957,Hierarchy!$A$2:$A$1295,0))="","",INDEX(Hierarchy!$B$2:$B$1295,MATCH($D1957,Hierarchy!$A$2:$A$1295,0))),"NODE NOT FOUND"))</f>
        <v>State/Province</v>
      </c>
      <c r="G1957" s="7" t="str">
        <f aca="false">IF($D1957="","",IFERROR(IF(INDEX(Hierarchy!$D$2:$D$1295,MATCH($D1957,Hierarchy!$A$2:$A$1295,0))="","",INDEX(Hierarchy!$D$2:$D$1295,MATCH($D1957,Hierarchy!$A$2:$A$1295,0))),"NODE NOT FOUND"))</f>
        <v>APAC</v>
      </c>
      <c r="H1957" s="7" t="str">
        <f aca="false">IF($D1957="","",IFERROR(IF(INDEX(Hierarchy!$E$2:$E$1295,MATCH($D1957,Hierarchy!$A$2:$A$1295,0))="","",INDEX(Hierarchy!$E$2:$E$1295,MATCH($D1957,Hierarchy!$A$2:$A$1295,0))),"NODE NOT FOUND"))</f>
        <v>Oceania (ANZ)</v>
      </c>
      <c r="I1957" s="7" t="str">
        <f aca="false">IF($D1957="","",IFERROR(IF(INDEX(Hierarchy!$F$2:$F$1295,MATCH($D1957,Hierarchy!$A$2:$A$1295,0))="","",INDEX(Hierarchy!$F$2:$F$1295,MATCH($D1957,Hierarchy!$A$2:$A$1295,0))),"NODE NOT FOUND"))</f>
        <v>New Zealand</v>
      </c>
      <c r="J1957" s="7" t="str">
        <f aca="false">IF($D1957="","",IFERROR(IF(INDEX(Hierarchy!$G$2:$G$1295,MATCH($D1957,Hierarchy!$A$2:$A$1295,0))="","",INDEX(Hierarchy!$G$2:$G$1295,MATCH($D1957,Hierarchy!$A$2:$A$1295,0))),"NODE NOT FOUND"))</f>
        <v>NZL</v>
      </c>
      <c r="K1957" s="7" t="str">
        <f aca="false">IF($D1957="","",IFERROR(IF(INDEX(Hierarchy!$H$2:$H$1295,MATCH($D1957,Hierarchy!$A$2:$A$1295,0))="","",INDEX(Hierarchy!$H$2:$H$1295,MATCH($D1957,Hierarchy!$A$2:$A$1295,0))),"NODE NOT FOUND"))</f>
        <v>West Coast (NZ)</v>
      </c>
      <c r="L1957" s="7" t="str">
        <f aca="false">IF($D1957="","",IFERROR(IF(INDEX(Hierarchy!$I$2:$I$1295,MATCH($D1957,Hierarchy!$A$2:$A$1295,0))="","",INDEX(Hierarchy!$I$2:$I$1295,MATCH($D1957,Hierarchy!$A$2:$A$1295,0))),"NODE NOT FOUND"))</f>
        <v/>
      </c>
      <c r="M1957" s="17" t="str">
        <f aca="false">IF(B1957="Pre-seeded","Pre-seeded",IF(B1957="Review 2026-09-16","Added from review",IF(C1957="","New",IF(C1957=D1957,"","Changed"))))</f>
        <v>Pre-seeded</v>
      </c>
      <c r="N1957" s="7" t="str">
        <f aca="false">TRIM(SUBSTITUTE(SUBSTITUTE(SUBSTITUTE(" "&amp;TRIM(SUBSTITUTE(SUBSTITUTE(SUBSTITUTE(SUBSTITUTE(SUBSTITUTE(SUBSTITUTE(SUBSTITUTE(SUBSTITUTE(SUBSTITUTE(SUBSTITUTE(SUBSTITUTE(SUBSTITUTE(SUBSTITUTE(SUBSTITUTE(SUBSTITUTE(UPPER(TRIM(A1957)),"[MEMBER]",""),"{MEMBER}",""),"[MEMBER}",""),"MEMBER]",""),"(A)",""),"""",""),"“",""),"”",""),".",""),":",""),",",""),"–"," "),"-"," "),"/"," "),"&amp;"," AND "))&amp;" "," THE "," ")," TOTAL "," ")," OPERATIONS "," "))</f>
        <v>WEST COAST (NZ)</v>
      </c>
      <c r="O1957" s="17" t="str">
        <f aca="false">IF(COUNTIFS($N$2:$N$2000,N1957,$D$2:$D$2000,"&lt;&gt;"&amp;D1957)&gt;0,"CONFLICT","")</f>
        <v/>
      </c>
      <c r="P1957" s="7"/>
    </row>
    <row r="1958" customFormat="false" ht="15" hidden="false" customHeight="false" outlineLevel="0" collapsed="false">
      <c r="A1958" s="7" t="s">
        <v>1324</v>
      </c>
      <c r="B1958" s="7" t="s">
        <v>1879</v>
      </c>
      <c r="C1958" s="7"/>
      <c r="D1958" s="6" t="s">
        <v>1324</v>
      </c>
      <c r="E1958" s="6" t="s">
        <v>1880</v>
      </c>
      <c r="F1958" s="7" t="str">
        <f aca="false">IF($D1958="","",IFERROR(IF(INDEX(Hierarchy!$B$2:$B$1295,MATCH($D1958,Hierarchy!$A$2:$A$1295,0))="","",INDEX(Hierarchy!$B$2:$B$1295,MATCH($D1958,Hierarchy!$A$2:$A$1295,0))),"NODE NOT FOUND"))</f>
        <v>Sub-national region</v>
      </c>
      <c r="G1958" s="7" t="str">
        <f aca="false">IF($D1958="","",IFERROR(IF(INDEX(Hierarchy!$D$2:$D$1295,MATCH($D1958,Hierarchy!$A$2:$A$1295,0))="","",INDEX(Hierarchy!$D$2:$D$1295,MATCH($D1958,Hierarchy!$A$2:$A$1295,0))),"NODE NOT FOUND"))</f>
        <v>APAC</v>
      </c>
      <c r="H1958" s="7" t="str">
        <f aca="false">IF($D1958="","",IFERROR(IF(INDEX(Hierarchy!$E$2:$E$1295,MATCH($D1958,Hierarchy!$A$2:$A$1295,0))="","",INDEX(Hierarchy!$E$2:$E$1295,MATCH($D1958,Hierarchy!$A$2:$A$1295,0))),"NODE NOT FOUND"))</f>
        <v>South Asia</v>
      </c>
      <c r="I1958" s="7" t="str">
        <f aca="false">IF($D1958="","",IFERROR(IF(INDEX(Hierarchy!$F$2:$F$1295,MATCH($D1958,Hierarchy!$A$2:$A$1295,0))="","",INDEX(Hierarchy!$F$2:$F$1295,MATCH($D1958,Hierarchy!$A$2:$A$1295,0))),"NODE NOT FOUND"))</f>
        <v>India</v>
      </c>
      <c r="J1958" s="7" t="str">
        <f aca="false">IF($D1958="","",IFERROR(IF(INDEX(Hierarchy!$G$2:$G$1295,MATCH($D1958,Hierarchy!$A$2:$A$1295,0))="","",INDEX(Hierarchy!$G$2:$G$1295,MATCH($D1958,Hierarchy!$A$2:$A$1295,0))),"NODE NOT FOUND"))</f>
        <v>IND</v>
      </c>
      <c r="K1958" s="7" t="str">
        <f aca="false">IF($D1958="","",IFERROR(IF(INDEX(Hierarchy!$H$2:$H$1295,MATCH($D1958,Hierarchy!$A$2:$A$1295,0))="","",INDEX(Hierarchy!$H$2:$H$1295,MATCH($D1958,Hierarchy!$A$2:$A$1295,0))),"NODE NOT FOUND"))</f>
        <v/>
      </c>
      <c r="L1958" s="7" t="str">
        <f aca="false">IF($D1958="","",IFERROR(IF(INDEX(Hierarchy!$I$2:$I$1295,MATCH($D1958,Hierarchy!$A$2:$A$1295,0))="","",INDEX(Hierarchy!$I$2:$I$1295,MATCH($D1958,Hierarchy!$A$2:$A$1295,0))),"NODE NOT FOUND"))</f>
        <v/>
      </c>
      <c r="M1958" s="17" t="str">
        <f aca="false">IF(B1958="Pre-seeded","Pre-seeded",IF(B1958="Review 2026-09-16","Added from review",IF(C1958="","New",IF(C1958=D1958,"","Changed"))))</f>
        <v>Pre-seeded</v>
      </c>
      <c r="N1958" s="7" t="str">
        <f aca="false">TRIM(SUBSTITUTE(SUBSTITUTE(SUBSTITUTE(" "&amp;TRIM(SUBSTITUTE(SUBSTITUTE(SUBSTITUTE(SUBSTITUTE(SUBSTITUTE(SUBSTITUTE(SUBSTITUTE(SUBSTITUTE(SUBSTITUTE(SUBSTITUTE(SUBSTITUTE(SUBSTITUTE(SUBSTITUTE(SUBSTITUTE(SUBSTITUTE(UPPER(TRIM(A1958)),"[MEMBER]",""),"{MEMBER}",""),"[MEMBER}",""),"MEMBER]",""),"(A)",""),"""",""),"“",""),"”",""),".",""),":",""),",",""),"–"," "),"-"," "),"/"," "),"&amp;"," AND "))&amp;" "," THE "," ")," TOTAL "," ")," OPERATIONS "," "))</f>
        <v>WEST INDIA</v>
      </c>
      <c r="O1958" s="17" t="str">
        <f aca="false">IF(COUNTIFS($N$2:$N$2000,N1958,$D$2:$D$2000,"&lt;&gt;"&amp;D1958)&gt;0,"CONFLICT","")</f>
        <v/>
      </c>
      <c r="P1958" s="7"/>
    </row>
    <row r="1959" customFormat="false" ht="15" hidden="false" customHeight="false" outlineLevel="0" collapsed="false">
      <c r="A1959" s="7" t="s">
        <v>1623</v>
      </c>
      <c r="B1959" s="7" t="s">
        <v>1879</v>
      </c>
      <c r="C1959" s="7"/>
      <c r="D1959" s="6" t="s">
        <v>1623</v>
      </c>
      <c r="E1959" s="6" t="s">
        <v>1880</v>
      </c>
      <c r="F1959" s="7" t="str">
        <f aca="false">IF($D1959="","",IFERROR(IF(INDEX(Hierarchy!$B$2:$B$1295,MATCH($D1959,Hierarchy!$A$2:$A$1295,0))="","",INDEX(Hierarchy!$B$2:$B$1295,MATCH($D1959,Hierarchy!$A$2:$A$1295,0))),"NODE NOT FOUND"))</f>
        <v>State/Province</v>
      </c>
      <c r="G1959" s="7" t="str">
        <f aca="false">IF($D1959="","",IFERROR(IF(INDEX(Hierarchy!$D$2:$D$1295,MATCH($D1959,Hierarchy!$A$2:$A$1295,0))="","",INDEX(Hierarchy!$D$2:$D$1295,MATCH($D1959,Hierarchy!$A$2:$A$1295,0))),"NODE NOT FOUND"))</f>
        <v>APAC</v>
      </c>
      <c r="H1959" s="7" t="str">
        <f aca="false">IF($D1959="","",IFERROR(IF(INDEX(Hierarchy!$E$2:$E$1295,MATCH($D1959,Hierarchy!$A$2:$A$1295,0))="","",INDEX(Hierarchy!$E$2:$E$1295,MATCH($D1959,Hierarchy!$A$2:$A$1295,0))),"NODE NOT FOUND"))</f>
        <v>Southeast Asia (ASEAN)</v>
      </c>
      <c r="I1959" s="7" t="str">
        <f aca="false">IF($D1959="","",IFERROR(IF(INDEX(Hierarchy!$F$2:$F$1295,MATCH($D1959,Hierarchy!$A$2:$A$1295,0))="","",INDEX(Hierarchy!$F$2:$F$1295,MATCH($D1959,Hierarchy!$A$2:$A$1295,0))),"NODE NOT FOUND"))</f>
        <v>Indonesia</v>
      </c>
      <c r="J1959" s="7" t="str">
        <f aca="false">IF($D1959="","",IFERROR(IF(INDEX(Hierarchy!$G$2:$G$1295,MATCH($D1959,Hierarchy!$A$2:$A$1295,0))="","",INDEX(Hierarchy!$G$2:$G$1295,MATCH($D1959,Hierarchy!$A$2:$A$1295,0))),"NODE NOT FOUND"))</f>
        <v>IDN</v>
      </c>
      <c r="K1959" s="7" t="str">
        <f aca="false">IF($D1959="","",IFERROR(IF(INDEX(Hierarchy!$H$2:$H$1295,MATCH($D1959,Hierarchy!$A$2:$A$1295,0))="","",INDEX(Hierarchy!$H$2:$H$1295,MATCH($D1959,Hierarchy!$A$2:$A$1295,0))),"NODE NOT FOUND"))</f>
        <v>West Java</v>
      </c>
      <c r="L1959" s="7" t="str">
        <f aca="false">IF($D1959="","",IFERROR(IF(INDEX(Hierarchy!$I$2:$I$1295,MATCH($D1959,Hierarchy!$A$2:$A$1295,0))="","",INDEX(Hierarchy!$I$2:$I$1295,MATCH($D1959,Hierarchy!$A$2:$A$1295,0))),"NODE NOT FOUND"))</f>
        <v/>
      </c>
      <c r="M1959" s="17" t="str">
        <f aca="false">IF(B1959="Pre-seeded","Pre-seeded",IF(B1959="Review 2026-09-16","Added from review",IF(C1959="","New",IF(C1959=D1959,"","Changed"))))</f>
        <v>Pre-seeded</v>
      </c>
      <c r="N1959" s="7" t="str">
        <f aca="false">TRIM(SUBSTITUTE(SUBSTITUTE(SUBSTITUTE(" "&amp;TRIM(SUBSTITUTE(SUBSTITUTE(SUBSTITUTE(SUBSTITUTE(SUBSTITUTE(SUBSTITUTE(SUBSTITUTE(SUBSTITUTE(SUBSTITUTE(SUBSTITUTE(SUBSTITUTE(SUBSTITUTE(SUBSTITUTE(SUBSTITUTE(SUBSTITUTE(UPPER(TRIM(A1959)),"[MEMBER]",""),"{MEMBER}",""),"[MEMBER}",""),"MEMBER]",""),"(A)",""),"""",""),"“",""),"”",""),".",""),":",""),",",""),"–"," "),"-"," "),"/"," "),"&amp;"," AND "))&amp;" "," THE "," ")," TOTAL "," ")," OPERATIONS "," "))</f>
        <v>WEST JAVA</v>
      </c>
      <c r="O1959" s="17" t="str">
        <f aca="false">IF(COUNTIFS($N$2:$N$2000,N1959,$D$2:$D$2000,"&lt;&gt;"&amp;D1959)&gt;0,"CONFLICT","")</f>
        <v/>
      </c>
      <c r="P1959" s="7"/>
    </row>
    <row r="1960" customFormat="false" ht="15" hidden="false" customHeight="false" outlineLevel="0" collapsed="false">
      <c r="A1960" s="7" t="s">
        <v>1625</v>
      </c>
      <c r="B1960" s="7" t="s">
        <v>1879</v>
      </c>
      <c r="C1960" s="7"/>
      <c r="D1960" s="6" t="s">
        <v>1625</v>
      </c>
      <c r="E1960" s="6" t="s">
        <v>1880</v>
      </c>
      <c r="F1960" s="7" t="str">
        <f aca="false">IF($D1960="","",IFERROR(IF(INDEX(Hierarchy!$B$2:$B$1295,MATCH($D1960,Hierarchy!$A$2:$A$1295,0))="","",INDEX(Hierarchy!$B$2:$B$1295,MATCH($D1960,Hierarchy!$A$2:$A$1295,0))),"NODE NOT FOUND"))</f>
        <v>State/Province</v>
      </c>
      <c r="G1960" s="7" t="str">
        <f aca="false">IF($D1960="","",IFERROR(IF(INDEX(Hierarchy!$D$2:$D$1295,MATCH($D1960,Hierarchy!$A$2:$A$1295,0))="","",INDEX(Hierarchy!$D$2:$D$1295,MATCH($D1960,Hierarchy!$A$2:$A$1295,0))),"NODE NOT FOUND"))</f>
        <v>APAC</v>
      </c>
      <c r="H1960" s="7" t="str">
        <f aca="false">IF($D1960="","",IFERROR(IF(INDEX(Hierarchy!$E$2:$E$1295,MATCH($D1960,Hierarchy!$A$2:$A$1295,0))="","",INDEX(Hierarchy!$E$2:$E$1295,MATCH($D1960,Hierarchy!$A$2:$A$1295,0))),"NODE NOT FOUND"))</f>
        <v>Southeast Asia (ASEAN)</v>
      </c>
      <c r="I1960" s="7" t="str">
        <f aca="false">IF($D1960="","",IFERROR(IF(INDEX(Hierarchy!$F$2:$F$1295,MATCH($D1960,Hierarchy!$A$2:$A$1295,0))="","",INDEX(Hierarchy!$F$2:$F$1295,MATCH($D1960,Hierarchy!$A$2:$A$1295,0))),"NODE NOT FOUND"))</f>
        <v>Indonesia</v>
      </c>
      <c r="J1960" s="7" t="str">
        <f aca="false">IF($D1960="","",IFERROR(IF(INDEX(Hierarchy!$G$2:$G$1295,MATCH($D1960,Hierarchy!$A$2:$A$1295,0))="","",INDEX(Hierarchy!$G$2:$G$1295,MATCH($D1960,Hierarchy!$A$2:$A$1295,0))),"NODE NOT FOUND"))</f>
        <v>IDN</v>
      </c>
      <c r="K1960" s="7" t="str">
        <f aca="false">IF($D1960="","",IFERROR(IF(INDEX(Hierarchy!$H$2:$H$1295,MATCH($D1960,Hierarchy!$A$2:$A$1295,0))="","",INDEX(Hierarchy!$H$2:$H$1295,MATCH($D1960,Hierarchy!$A$2:$A$1295,0))),"NODE NOT FOUND"))</f>
        <v>West Kalimantan</v>
      </c>
      <c r="L1960" s="7" t="str">
        <f aca="false">IF($D1960="","",IFERROR(IF(INDEX(Hierarchy!$I$2:$I$1295,MATCH($D1960,Hierarchy!$A$2:$A$1295,0))="","",INDEX(Hierarchy!$I$2:$I$1295,MATCH($D1960,Hierarchy!$A$2:$A$1295,0))),"NODE NOT FOUND"))</f>
        <v/>
      </c>
      <c r="M1960" s="17" t="str">
        <f aca="false">IF(B1960="Pre-seeded","Pre-seeded",IF(B1960="Review 2026-09-16","Added from review",IF(C1960="","New",IF(C1960=D1960,"","Changed"))))</f>
        <v>Pre-seeded</v>
      </c>
      <c r="N1960" s="7" t="str">
        <f aca="false">TRIM(SUBSTITUTE(SUBSTITUTE(SUBSTITUTE(" "&amp;TRIM(SUBSTITUTE(SUBSTITUTE(SUBSTITUTE(SUBSTITUTE(SUBSTITUTE(SUBSTITUTE(SUBSTITUTE(SUBSTITUTE(SUBSTITUTE(SUBSTITUTE(SUBSTITUTE(SUBSTITUTE(SUBSTITUTE(SUBSTITUTE(SUBSTITUTE(UPPER(TRIM(A1960)),"[MEMBER]",""),"{MEMBER}",""),"[MEMBER}",""),"MEMBER]",""),"(A)",""),"""",""),"“",""),"”",""),".",""),":",""),",",""),"–"," "),"-"," "),"/"," "),"&amp;"," AND "))&amp;" "," THE "," ")," TOTAL "," ")," OPERATIONS "," "))</f>
        <v>WEST KALIMANTAN</v>
      </c>
      <c r="O1960" s="17" t="str">
        <f aca="false">IF(COUNTIFS($N$2:$N$2000,N1960,$D$2:$D$2000,"&lt;&gt;"&amp;D1960)&gt;0,"CONFLICT","")</f>
        <v/>
      </c>
      <c r="P1960" s="7"/>
    </row>
    <row r="1961" customFormat="false" ht="15" hidden="false" customHeight="false" outlineLevel="0" collapsed="false">
      <c r="A1961" s="7" t="s">
        <v>674</v>
      </c>
      <c r="B1961" s="7" t="s">
        <v>1879</v>
      </c>
      <c r="C1961" s="7"/>
      <c r="D1961" s="6" t="s">
        <v>674</v>
      </c>
      <c r="E1961" s="6" t="s">
        <v>1880</v>
      </c>
      <c r="F1961" s="7" t="str">
        <f aca="false">IF($D1961="","",IFERROR(IF(INDEX(Hierarchy!$B$2:$B$1295,MATCH($D1961,Hierarchy!$A$2:$A$1295,0))="","",INDEX(Hierarchy!$B$2:$B$1295,MATCH($D1961,Hierarchy!$A$2:$A$1295,0))),"NODE NOT FOUND"))</f>
        <v>Sub-national region</v>
      </c>
      <c r="G1961" s="7" t="str">
        <f aca="false">IF($D1961="","",IFERROR(IF(INDEX(Hierarchy!$D$2:$D$1295,MATCH($D1961,Hierarchy!$A$2:$A$1295,0))="","",INDEX(Hierarchy!$D$2:$D$1295,MATCH($D1961,Hierarchy!$A$2:$A$1295,0))),"NODE NOT FOUND"))</f>
        <v>EMEA</v>
      </c>
      <c r="H1961" s="7" t="str">
        <f aca="false">IF($D1961="","",IFERROR(IF(INDEX(Hierarchy!$E$2:$E$1295,MATCH($D1961,Hierarchy!$A$2:$A$1295,0))="","",INDEX(Hierarchy!$E$2:$E$1295,MATCH($D1961,Hierarchy!$A$2:$A$1295,0))),"NODE NOT FOUND"))</f>
        <v>Europe</v>
      </c>
      <c r="I1961" s="7" t="str">
        <f aca="false">IF($D1961="","",IFERROR(IF(INDEX(Hierarchy!$F$2:$F$1295,MATCH($D1961,Hierarchy!$A$2:$A$1295,0))="","",INDEX(Hierarchy!$F$2:$F$1295,MATCH($D1961,Hierarchy!$A$2:$A$1295,0))),"NODE NOT FOUND"))</f>
        <v>United Kingdom</v>
      </c>
      <c r="J1961" s="7" t="str">
        <f aca="false">IF($D1961="","",IFERROR(IF(INDEX(Hierarchy!$G$2:$G$1295,MATCH($D1961,Hierarchy!$A$2:$A$1295,0))="","",INDEX(Hierarchy!$G$2:$G$1295,MATCH($D1961,Hierarchy!$A$2:$A$1295,0))),"NODE NOT FOUND"))</f>
        <v>GBR</v>
      </c>
      <c r="K1961" s="7" t="str">
        <f aca="false">IF($D1961="","",IFERROR(IF(INDEX(Hierarchy!$H$2:$H$1295,MATCH($D1961,Hierarchy!$A$2:$A$1295,0))="","",INDEX(Hierarchy!$H$2:$H$1295,MATCH($D1961,Hierarchy!$A$2:$A$1295,0))),"NODE NOT FOUND"))</f>
        <v>England</v>
      </c>
      <c r="L1961" s="7" t="str">
        <f aca="false">IF($D1961="","",IFERROR(IF(INDEX(Hierarchy!$I$2:$I$1295,MATCH($D1961,Hierarchy!$A$2:$A$1295,0))="","",INDEX(Hierarchy!$I$2:$I$1295,MATCH($D1961,Hierarchy!$A$2:$A$1295,0))),"NODE NOT FOUND"))</f>
        <v/>
      </c>
      <c r="M1961" s="17" t="str">
        <f aca="false">IF(B1961="Pre-seeded","Pre-seeded",IF(B1961="Review 2026-09-16","Added from review",IF(C1961="","New",IF(C1961=D1961,"","Changed"))))</f>
        <v>Pre-seeded</v>
      </c>
      <c r="N1961" s="7" t="str">
        <f aca="false">TRIM(SUBSTITUTE(SUBSTITUTE(SUBSTITUTE(" "&amp;TRIM(SUBSTITUTE(SUBSTITUTE(SUBSTITUTE(SUBSTITUTE(SUBSTITUTE(SUBSTITUTE(SUBSTITUTE(SUBSTITUTE(SUBSTITUTE(SUBSTITUTE(SUBSTITUTE(SUBSTITUTE(SUBSTITUTE(SUBSTITUTE(SUBSTITUTE(UPPER(TRIM(A1961)),"[MEMBER]",""),"{MEMBER}",""),"[MEMBER}",""),"MEMBER]",""),"(A)",""),"""",""),"“",""),"”",""),".",""),":",""),",",""),"–"," "),"-"," "),"/"," "),"&amp;"," AND "))&amp;" "," THE "," ")," TOTAL "," ")," OPERATIONS "," "))</f>
        <v>WEST MIDLANDS</v>
      </c>
      <c r="O1961" s="17" t="str">
        <f aca="false">IF(COUNTIFS($N$2:$N$2000,N1961,$D$2:$D$2000,"&lt;&gt;"&amp;D1961)&gt;0,"CONFLICT","")</f>
        <v/>
      </c>
      <c r="P1961" s="7"/>
    </row>
    <row r="1962" customFormat="false" ht="15" hidden="false" customHeight="false" outlineLevel="0" collapsed="false">
      <c r="A1962" s="7" t="s">
        <v>2857</v>
      </c>
      <c r="B1962" s="7" t="s">
        <v>1879</v>
      </c>
      <c r="C1962" s="7"/>
      <c r="D1962" s="6" t="s">
        <v>126</v>
      </c>
      <c r="E1962" s="6" t="s">
        <v>1880</v>
      </c>
      <c r="F1962" s="7" t="str">
        <f aca="false">IF($D1962="","",IFERROR(IF(INDEX(Hierarchy!$B$2:$B$1295,MATCH($D1962,Hierarchy!$A$2:$A$1295,0))="","",INDEX(Hierarchy!$B$2:$B$1295,MATCH($D1962,Hierarchy!$A$2:$A$1295,0))),"NODE NOT FOUND"))</f>
        <v>Sub-national region</v>
      </c>
      <c r="G1962" s="7" t="str">
        <f aca="false">IF($D1962="","",IFERROR(IF(INDEX(Hierarchy!$D$2:$D$1295,MATCH($D1962,Hierarchy!$A$2:$A$1295,0))="","",INDEX(Hierarchy!$D$2:$D$1295,MATCH($D1962,Hierarchy!$A$2:$A$1295,0))),"NODE NOT FOUND"))</f>
        <v>AMER</v>
      </c>
      <c r="H1962" s="7" t="str">
        <f aca="false">IF($D1962="","",IFERROR(IF(INDEX(Hierarchy!$E$2:$E$1295,MATCH($D1962,Hierarchy!$A$2:$A$1295,0))="","",INDEX(Hierarchy!$E$2:$E$1295,MATCH($D1962,Hierarchy!$A$2:$A$1295,0))),"NODE NOT FOUND"))</f>
        <v>North America (NORAM)</v>
      </c>
      <c r="I1962" s="7" t="str">
        <f aca="false">IF($D1962="","",IFERROR(IF(INDEX(Hierarchy!$F$2:$F$1295,MATCH($D1962,Hierarchy!$A$2:$A$1295,0))="","",INDEX(Hierarchy!$F$2:$F$1295,MATCH($D1962,Hierarchy!$A$2:$A$1295,0))),"NODE NOT FOUND"))</f>
        <v>United States</v>
      </c>
      <c r="J1962" s="7" t="str">
        <f aca="false">IF($D1962="","",IFERROR(IF(INDEX(Hierarchy!$G$2:$G$1295,MATCH($D1962,Hierarchy!$A$2:$A$1295,0))="","",INDEX(Hierarchy!$G$2:$G$1295,MATCH($D1962,Hierarchy!$A$2:$A$1295,0))),"NODE NOT FOUND"))</f>
        <v>USA</v>
      </c>
      <c r="K1962" s="7" t="str">
        <f aca="false">IF($D1962="","",IFERROR(IF(INDEX(Hierarchy!$H$2:$H$1295,MATCH($D1962,Hierarchy!$A$2:$A$1295,0))="","",INDEX(Hierarchy!$H$2:$H$1295,MATCH($D1962,Hierarchy!$A$2:$A$1295,0))),"NODE NOT FOUND"))</f>
        <v/>
      </c>
      <c r="L1962" s="7" t="str">
        <f aca="false">IF($D1962="","",IFERROR(IF(INDEX(Hierarchy!$I$2:$I$1295,MATCH($D1962,Hierarchy!$A$2:$A$1295,0))="","",INDEX(Hierarchy!$I$2:$I$1295,MATCH($D1962,Hierarchy!$A$2:$A$1295,0))),"NODE NOT FOUND"))</f>
        <v/>
      </c>
      <c r="M1962" s="17" t="str">
        <f aca="false">IF(B1962="Pre-seeded","Pre-seeded",IF(B1962="Review 2026-09-16","Added from review",IF(C1962="","New",IF(C1962=D1962,"","Changed"))))</f>
        <v>Pre-seeded</v>
      </c>
      <c r="N1962" s="7" t="str">
        <f aca="false">TRIM(SUBSTITUTE(SUBSTITUTE(SUBSTITUTE(" "&amp;TRIM(SUBSTITUTE(SUBSTITUTE(SUBSTITUTE(SUBSTITUTE(SUBSTITUTE(SUBSTITUTE(SUBSTITUTE(SUBSTITUTE(SUBSTITUTE(SUBSTITUTE(SUBSTITUTE(SUBSTITUTE(SUBSTITUTE(SUBSTITUTE(SUBSTITUTE(UPPER(TRIM(A1962)),"[MEMBER]",""),"{MEMBER}",""),"[MEMBER}",""),"MEMBER]",""),"(A)",""),"""",""),"“",""),"”",""),".",""),":",""),",",""),"–"," "),"-"," "),"/"," "),"&amp;"," AND "))&amp;" "," THE "," ")," TOTAL "," ")," OPERATIONS "," "))</f>
        <v>WEST NORTH CENTRAL</v>
      </c>
      <c r="O1962" s="17" t="str">
        <f aca="false">IF(COUNTIFS($N$2:$N$2000,N1962,$D$2:$D$2000,"&lt;&gt;"&amp;D1962)&gt;0,"CONFLICT","")</f>
        <v/>
      </c>
      <c r="P1962" s="7"/>
    </row>
    <row r="1963" customFormat="false" ht="15" hidden="false" customHeight="false" outlineLevel="0" collapsed="false">
      <c r="A1963" s="7" t="s">
        <v>1626</v>
      </c>
      <c r="B1963" s="7" t="s">
        <v>1879</v>
      </c>
      <c r="C1963" s="7"/>
      <c r="D1963" s="6" t="s">
        <v>1626</v>
      </c>
      <c r="E1963" s="6" t="s">
        <v>1880</v>
      </c>
      <c r="F1963" s="7" t="str">
        <f aca="false">IF($D1963="","",IFERROR(IF(INDEX(Hierarchy!$B$2:$B$1295,MATCH($D1963,Hierarchy!$A$2:$A$1295,0))="","",INDEX(Hierarchy!$B$2:$B$1295,MATCH($D1963,Hierarchy!$A$2:$A$1295,0))),"NODE NOT FOUND"))</f>
        <v>State/Province</v>
      </c>
      <c r="G1963" s="7" t="str">
        <f aca="false">IF($D1963="","",IFERROR(IF(INDEX(Hierarchy!$D$2:$D$1295,MATCH($D1963,Hierarchy!$A$2:$A$1295,0))="","",INDEX(Hierarchy!$D$2:$D$1295,MATCH($D1963,Hierarchy!$A$2:$A$1295,0))),"NODE NOT FOUND"))</f>
        <v>APAC</v>
      </c>
      <c r="H1963" s="7" t="str">
        <f aca="false">IF($D1963="","",IFERROR(IF(INDEX(Hierarchy!$E$2:$E$1295,MATCH($D1963,Hierarchy!$A$2:$A$1295,0))="","",INDEX(Hierarchy!$E$2:$E$1295,MATCH($D1963,Hierarchy!$A$2:$A$1295,0))),"NODE NOT FOUND"))</f>
        <v>Southeast Asia (ASEAN)</v>
      </c>
      <c r="I1963" s="7" t="str">
        <f aca="false">IF($D1963="","",IFERROR(IF(INDEX(Hierarchy!$F$2:$F$1295,MATCH($D1963,Hierarchy!$A$2:$A$1295,0))="","",INDEX(Hierarchy!$F$2:$F$1295,MATCH($D1963,Hierarchy!$A$2:$A$1295,0))),"NODE NOT FOUND"))</f>
        <v>Indonesia</v>
      </c>
      <c r="J1963" s="7" t="str">
        <f aca="false">IF($D1963="","",IFERROR(IF(INDEX(Hierarchy!$G$2:$G$1295,MATCH($D1963,Hierarchy!$A$2:$A$1295,0))="","",INDEX(Hierarchy!$G$2:$G$1295,MATCH($D1963,Hierarchy!$A$2:$A$1295,0))),"NODE NOT FOUND"))</f>
        <v>IDN</v>
      </c>
      <c r="K1963" s="7" t="str">
        <f aca="false">IF($D1963="","",IFERROR(IF(INDEX(Hierarchy!$H$2:$H$1295,MATCH($D1963,Hierarchy!$A$2:$A$1295,0))="","",INDEX(Hierarchy!$H$2:$H$1295,MATCH($D1963,Hierarchy!$A$2:$A$1295,0))),"NODE NOT FOUND"))</f>
        <v>West Nusa Tenggara</v>
      </c>
      <c r="L1963" s="7" t="str">
        <f aca="false">IF($D1963="","",IFERROR(IF(INDEX(Hierarchy!$I$2:$I$1295,MATCH($D1963,Hierarchy!$A$2:$A$1295,0))="","",INDEX(Hierarchy!$I$2:$I$1295,MATCH($D1963,Hierarchy!$A$2:$A$1295,0))),"NODE NOT FOUND"))</f>
        <v/>
      </c>
      <c r="M1963" s="17" t="str">
        <f aca="false">IF(B1963="Pre-seeded","Pre-seeded",IF(B1963="Review 2026-09-16","Added from review",IF(C1963="","New",IF(C1963=D1963,"","Changed"))))</f>
        <v>Pre-seeded</v>
      </c>
      <c r="N1963" s="7" t="str">
        <f aca="false">TRIM(SUBSTITUTE(SUBSTITUTE(SUBSTITUTE(" "&amp;TRIM(SUBSTITUTE(SUBSTITUTE(SUBSTITUTE(SUBSTITUTE(SUBSTITUTE(SUBSTITUTE(SUBSTITUTE(SUBSTITUTE(SUBSTITUTE(SUBSTITUTE(SUBSTITUTE(SUBSTITUTE(SUBSTITUTE(SUBSTITUTE(SUBSTITUTE(UPPER(TRIM(A1963)),"[MEMBER]",""),"{MEMBER}",""),"[MEMBER}",""),"MEMBER]",""),"(A)",""),"""",""),"“",""),"”",""),".",""),":",""),",",""),"–"," "),"-"," "),"/"," "),"&amp;"," AND "))&amp;" "," THE "," ")," TOTAL "," ")," OPERATIONS "," "))</f>
        <v>WEST NUSA TENGGARA</v>
      </c>
      <c r="O1963" s="17" t="str">
        <f aca="false">IF(COUNTIFS($N$2:$N$2000,N1963,$D$2:$D$2000,"&lt;&gt;"&amp;D1963)&gt;0,"CONFLICT","")</f>
        <v/>
      </c>
      <c r="P1963" s="7"/>
    </row>
    <row r="1964" customFormat="false" ht="15" hidden="false" customHeight="false" outlineLevel="0" collapsed="false">
      <c r="A1964" s="7" t="s">
        <v>1627</v>
      </c>
      <c r="B1964" s="7" t="s">
        <v>1879</v>
      </c>
      <c r="C1964" s="7"/>
      <c r="D1964" s="6" t="s">
        <v>1627</v>
      </c>
      <c r="E1964" s="6" t="s">
        <v>1880</v>
      </c>
      <c r="F1964" s="7" t="str">
        <f aca="false">IF($D1964="","",IFERROR(IF(INDEX(Hierarchy!$B$2:$B$1295,MATCH($D1964,Hierarchy!$A$2:$A$1295,0))="","",INDEX(Hierarchy!$B$2:$B$1295,MATCH($D1964,Hierarchy!$A$2:$A$1295,0))),"NODE NOT FOUND"))</f>
        <v>State/Province</v>
      </c>
      <c r="G1964" s="7" t="str">
        <f aca="false">IF($D1964="","",IFERROR(IF(INDEX(Hierarchy!$D$2:$D$1295,MATCH($D1964,Hierarchy!$A$2:$A$1295,0))="","",INDEX(Hierarchy!$D$2:$D$1295,MATCH($D1964,Hierarchy!$A$2:$A$1295,0))),"NODE NOT FOUND"))</f>
        <v>APAC</v>
      </c>
      <c r="H1964" s="7" t="str">
        <f aca="false">IF($D1964="","",IFERROR(IF(INDEX(Hierarchy!$E$2:$E$1295,MATCH($D1964,Hierarchy!$A$2:$A$1295,0))="","",INDEX(Hierarchy!$E$2:$E$1295,MATCH($D1964,Hierarchy!$A$2:$A$1295,0))),"NODE NOT FOUND"))</f>
        <v>Southeast Asia (ASEAN)</v>
      </c>
      <c r="I1964" s="7" t="str">
        <f aca="false">IF($D1964="","",IFERROR(IF(INDEX(Hierarchy!$F$2:$F$1295,MATCH($D1964,Hierarchy!$A$2:$A$1295,0))="","",INDEX(Hierarchy!$F$2:$F$1295,MATCH($D1964,Hierarchy!$A$2:$A$1295,0))),"NODE NOT FOUND"))</f>
        <v>Indonesia</v>
      </c>
      <c r="J1964" s="7" t="str">
        <f aca="false">IF($D1964="","",IFERROR(IF(INDEX(Hierarchy!$G$2:$G$1295,MATCH($D1964,Hierarchy!$A$2:$A$1295,0))="","",INDEX(Hierarchy!$G$2:$G$1295,MATCH($D1964,Hierarchy!$A$2:$A$1295,0))),"NODE NOT FOUND"))</f>
        <v>IDN</v>
      </c>
      <c r="K1964" s="7" t="str">
        <f aca="false">IF($D1964="","",IFERROR(IF(INDEX(Hierarchy!$H$2:$H$1295,MATCH($D1964,Hierarchy!$A$2:$A$1295,0))="","",INDEX(Hierarchy!$H$2:$H$1295,MATCH($D1964,Hierarchy!$A$2:$A$1295,0))),"NODE NOT FOUND"))</f>
        <v>West Papua</v>
      </c>
      <c r="L1964" s="7" t="str">
        <f aca="false">IF($D1964="","",IFERROR(IF(INDEX(Hierarchy!$I$2:$I$1295,MATCH($D1964,Hierarchy!$A$2:$A$1295,0))="","",INDEX(Hierarchy!$I$2:$I$1295,MATCH($D1964,Hierarchy!$A$2:$A$1295,0))),"NODE NOT FOUND"))</f>
        <v/>
      </c>
      <c r="M1964" s="17" t="str">
        <f aca="false">IF(B1964="Pre-seeded","Pre-seeded",IF(B1964="Review 2026-09-16","Added from review",IF(C1964="","New",IF(C1964=D1964,"","Changed"))))</f>
        <v>Pre-seeded</v>
      </c>
      <c r="N1964" s="7" t="str">
        <f aca="false">TRIM(SUBSTITUTE(SUBSTITUTE(SUBSTITUTE(" "&amp;TRIM(SUBSTITUTE(SUBSTITUTE(SUBSTITUTE(SUBSTITUTE(SUBSTITUTE(SUBSTITUTE(SUBSTITUTE(SUBSTITUTE(SUBSTITUTE(SUBSTITUTE(SUBSTITUTE(SUBSTITUTE(SUBSTITUTE(SUBSTITUTE(SUBSTITUTE(UPPER(TRIM(A1964)),"[MEMBER]",""),"{MEMBER}",""),"[MEMBER}",""),"MEMBER]",""),"(A)",""),"""",""),"“",""),"”",""),".",""),":",""),",",""),"–"," "),"-"," "),"/"," "),"&amp;"," AND "))&amp;" "," THE "," ")," TOTAL "," ")," OPERATIONS "," "))</f>
        <v>WEST PAPUA</v>
      </c>
      <c r="O1964" s="17" t="str">
        <f aca="false">IF(COUNTIFS($N$2:$N$2000,N1964,$D$2:$D$2000,"&lt;&gt;"&amp;D1964)&gt;0,"CONFLICT","")</f>
        <v/>
      </c>
      <c r="P1964" s="7"/>
    </row>
    <row r="1965" customFormat="false" ht="15" hidden="false" customHeight="false" outlineLevel="0" collapsed="false">
      <c r="A1965" s="7" t="s">
        <v>923</v>
      </c>
      <c r="B1965" s="7" t="s">
        <v>1879</v>
      </c>
      <c r="C1965" s="7"/>
      <c r="D1965" s="6" t="s">
        <v>923</v>
      </c>
      <c r="E1965" s="6" t="s">
        <v>1880</v>
      </c>
      <c r="F1965" s="7" t="str">
        <f aca="false">IF($D1965="","",IFERROR(IF(INDEX(Hierarchy!$B$2:$B$1295,MATCH($D1965,Hierarchy!$A$2:$A$1295,0))="","",INDEX(Hierarchy!$B$2:$B$1295,MATCH($D1965,Hierarchy!$A$2:$A$1295,0))),"NODE NOT FOUND"))</f>
        <v>State/Province</v>
      </c>
      <c r="G1965" s="7" t="str">
        <f aca="false">IF($D1965="","",IFERROR(IF(INDEX(Hierarchy!$D$2:$D$1295,MATCH($D1965,Hierarchy!$A$2:$A$1295,0))="","",INDEX(Hierarchy!$D$2:$D$1295,MATCH($D1965,Hierarchy!$A$2:$A$1295,0))),"NODE NOT FOUND"))</f>
        <v>EMEA</v>
      </c>
      <c r="H1965" s="7" t="str">
        <f aca="false">IF($D1965="","",IFERROR(IF(INDEX(Hierarchy!$E$2:$E$1295,MATCH($D1965,Hierarchy!$A$2:$A$1295,0))="","",INDEX(Hierarchy!$E$2:$E$1295,MATCH($D1965,Hierarchy!$A$2:$A$1295,0))),"NODE NOT FOUND"))</f>
        <v>Europe</v>
      </c>
      <c r="I1965" s="7" t="str">
        <f aca="false">IF($D1965="","",IFERROR(IF(INDEX(Hierarchy!$F$2:$F$1295,MATCH($D1965,Hierarchy!$A$2:$A$1295,0))="","",INDEX(Hierarchy!$F$2:$F$1295,MATCH($D1965,Hierarchy!$A$2:$A$1295,0))),"NODE NOT FOUND"))</f>
        <v>Poland</v>
      </c>
      <c r="J1965" s="7" t="str">
        <f aca="false">IF($D1965="","",IFERROR(IF(INDEX(Hierarchy!$G$2:$G$1295,MATCH($D1965,Hierarchy!$A$2:$A$1295,0))="","",INDEX(Hierarchy!$G$2:$G$1295,MATCH($D1965,Hierarchy!$A$2:$A$1295,0))),"NODE NOT FOUND"))</f>
        <v>POL</v>
      </c>
      <c r="K1965" s="7" t="str">
        <f aca="false">IF($D1965="","",IFERROR(IF(INDEX(Hierarchy!$H$2:$H$1295,MATCH($D1965,Hierarchy!$A$2:$A$1295,0))="","",INDEX(Hierarchy!$H$2:$H$1295,MATCH($D1965,Hierarchy!$A$2:$A$1295,0))),"NODE NOT FOUND"))</f>
        <v>West Pomeranian</v>
      </c>
      <c r="L1965" s="7" t="str">
        <f aca="false">IF($D1965="","",IFERROR(IF(INDEX(Hierarchy!$I$2:$I$1295,MATCH($D1965,Hierarchy!$A$2:$A$1295,0))="","",INDEX(Hierarchy!$I$2:$I$1295,MATCH($D1965,Hierarchy!$A$2:$A$1295,0))),"NODE NOT FOUND"))</f>
        <v/>
      </c>
      <c r="M1965" s="17" t="str">
        <f aca="false">IF(B1965="Pre-seeded","Pre-seeded",IF(B1965="Review 2026-09-16","Added from review",IF(C1965="","New",IF(C1965=D1965,"","Changed"))))</f>
        <v>Pre-seeded</v>
      </c>
      <c r="N1965" s="7" t="str">
        <f aca="false">TRIM(SUBSTITUTE(SUBSTITUTE(SUBSTITUTE(" "&amp;TRIM(SUBSTITUTE(SUBSTITUTE(SUBSTITUTE(SUBSTITUTE(SUBSTITUTE(SUBSTITUTE(SUBSTITUTE(SUBSTITUTE(SUBSTITUTE(SUBSTITUTE(SUBSTITUTE(SUBSTITUTE(SUBSTITUTE(SUBSTITUTE(SUBSTITUTE(UPPER(TRIM(A1965)),"[MEMBER]",""),"{MEMBER}",""),"[MEMBER}",""),"MEMBER]",""),"(A)",""),"""",""),"“",""),"”",""),".",""),":",""),",",""),"–"," "),"-"," "),"/"," "),"&amp;"," AND "))&amp;" "," THE "," ")," TOTAL "," ")," OPERATIONS "," "))</f>
        <v>WEST POMERANIAN</v>
      </c>
      <c r="O1965" s="17" t="str">
        <f aca="false">IF(COUNTIFS($N$2:$N$2000,N1965,$D$2:$D$2000,"&lt;&gt;"&amp;D1965)&gt;0,"CONFLICT","")</f>
        <v/>
      </c>
      <c r="P1965" s="7"/>
    </row>
    <row r="1966" customFormat="false" ht="15" hidden="false" customHeight="false" outlineLevel="0" collapsed="false">
      <c r="A1966" s="7" t="s">
        <v>2858</v>
      </c>
      <c r="B1966" s="7" t="s">
        <v>1879</v>
      </c>
      <c r="C1966" s="7"/>
      <c r="D1966" s="6" t="s">
        <v>127</v>
      </c>
      <c r="E1966" s="6" t="s">
        <v>1880</v>
      </c>
      <c r="F1966" s="7" t="str">
        <f aca="false">IF($D1966="","",IFERROR(IF(INDEX(Hierarchy!$B$2:$B$1295,MATCH($D1966,Hierarchy!$A$2:$A$1295,0))="","",INDEX(Hierarchy!$B$2:$B$1295,MATCH($D1966,Hierarchy!$A$2:$A$1295,0))),"NODE NOT FOUND"))</f>
        <v>Sub-national region</v>
      </c>
      <c r="G1966" s="7" t="str">
        <f aca="false">IF($D1966="","",IFERROR(IF(INDEX(Hierarchy!$D$2:$D$1295,MATCH($D1966,Hierarchy!$A$2:$A$1295,0))="","",INDEX(Hierarchy!$D$2:$D$1295,MATCH($D1966,Hierarchy!$A$2:$A$1295,0))),"NODE NOT FOUND"))</f>
        <v>AMER</v>
      </c>
      <c r="H1966" s="7" t="str">
        <f aca="false">IF($D1966="","",IFERROR(IF(INDEX(Hierarchy!$E$2:$E$1295,MATCH($D1966,Hierarchy!$A$2:$A$1295,0))="","",INDEX(Hierarchy!$E$2:$E$1295,MATCH($D1966,Hierarchy!$A$2:$A$1295,0))),"NODE NOT FOUND"))</f>
        <v>North America (NORAM)</v>
      </c>
      <c r="I1966" s="7" t="str">
        <f aca="false">IF($D1966="","",IFERROR(IF(INDEX(Hierarchy!$F$2:$F$1295,MATCH($D1966,Hierarchy!$A$2:$A$1295,0))="","",INDEX(Hierarchy!$F$2:$F$1295,MATCH($D1966,Hierarchy!$A$2:$A$1295,0))),"NODE NOT FOUND"))</f>
        <v>United States</v>
      </c>
      <c r="J1966" s="7" t="str">
        <f aca="false">IF($D1966="","",IFERROR(IF(INDEX(Hierarchy!$G$2:$G$1295,MATCH($D1966,Hierarchy!$A$2:$A$1295,0))="","",INDEX(Hierarchy!$G$2:$G$1295,MATCH($D1966,Hierarchy!$A$2:$A$1295,0))),"NODE NOT FOUND"))</f>
        <v>USA</v>
      </c>
      <c r="K1966" s="7" t="str">
        <f aca="false">IF($D1966="","",IFERROR(IF(INDEX(Hierarchy!$H$2:$H$1295,MATCH($D1966,Hierarchy!$A$2:$A$1295,0))="","",INDEX(Hierarchy!$H$2:$H$1295,MATCH($D1966,Hierarchy!$A$2:$A$1295,0))),"NODE NOT FOUND"))</f>
        <v/>
      </c>
      <c r="L1966" s="7" t="str">
        <f aca="false">IF($D1966="","",IFERROR(IF(INDEX(Hierarchy!$I$2:$I$1295,MATCH($D1966,Hierarchy!$A$2:$A$1295,0))="","",INDEX(Hierarchy!$I$2:$I$1295,MATCH($D1966,Hierarchy!$A$2:$A$1295,0))),"NODE NOT FOUND"))</f>
        <v/>
      </c>
      <c r="M1966" s="17" t="str">
        <f aca="false">IF(B1966="Pre-seeded","Pre-seeded",IF(B1966="Review 2026-09-16","Added from review",IF(C1966="","New",IF(C1966=D1966,"","Changed"))))</f>
        <v>Pre-seeded</v>
      </c>
      <c r="N1966" s="7" t="str">
        <f aca="false">TRIM(SUBSTITUTE(SUBSTITUTE(SUBSTITUTE(" "&amp;TRIM(SUBSTITUTE(SUBSTITUTE(SUBSTITUTE(SUBSTITUTE(SUBSTITUTE(SUBSTITUTE(SUBSTITUTE(SUBSTITUTE(SUBSTITUTE(SUBSTITUTE(SUBSTITUTE(SUBSTITUTE(SUBSTITUTE(SUBSTITUTE(SUBSTITUTE(UPPER(TRIM(A1966)),"[MEMBER]",""),"{MEMBER}",""),"[MEMBER}",""),"MEMBER]",""),"(A)",""),"""",""),"“",""),"”",""),".",""),":",""),",",""),"–"," "),"-"," "),"/"," "),"&amp;"," AND "))&amp;" "," THE "," ")," TOTAL "," ")," OPERATIONS "," "))</f>
        <v>WEST SOUTH CENTRAL</v>
      </c>
      <c r="O1966" s="17" t="str">
        <f aca="false">IF(COUNTIFS($N$2:$N$2000,N1966,$D$2:$D$2000,"&lt;&gt;"&amp;D1966)&gt;0,"CONFLICT","")</f>
        <v/>
      </c>
      <c r="P1966" s="7"/>
    </row>
    <row r="1967" customFormat="false" ht="15" hidden="false" customHeight="false" outlineLevel="0" collapsed="false">
      <c r="A1967" s="7" t="s">
        <v>1628</v>
      </c>
      <c r="B1967" s="7" t="s">
        <v>1879</v>
      </c>
      <c r="C1967" s="7"/>
      <c r="D1967" s="6" t="s">
        <v>1628</v>
      </c>
      <c r="E1967" s="6" t="s">
        <v>1880</v>
      </c>
      <c r="F1967" s="7" t="str">
        <f aca="false">IF($D1967="","",IFERROR(IF(INDEX(Hierarchy!$B$2:$B$1295,MATCH($D1967,Hierarchy!$A$2:$A$1295,0))="","",INDEX(Hierarchy!$B$2:$B$1295,MATCH($D1967,Hierarchy!$A$2:$A$1295,0))),"NODE NOT FOUND"))</f>
        <v>State/Province</v>
      </c>
      <c r="G1967" s="7" t="str">
        <f aca="false">IF($D1967="","",IFERROR(IF(INDEX(Hierarchy!$D$2:$D$1295,MATCH($D1967,Hierarchy!$A$2:$A$1295,0))="","",INDEX(Hierarchy!$D$2:$D$1295,MATCH($D1967,Hierarchy!$A$2:$A$1295,0))),"NODE NOT FOUND"))</f>
        <v>APAC</v>
      </c>
      <c r="H1967" s="7" t="str">
        <f aca="false">IF($D1967="","",IFERROR(IF(INDEX(Hierarchy!$E$2:$E$1295,MATCH($D1967,Hierarchy!$A$2:$A$1295,0))="","",INDEX(Hierarchy!$E$2:$E$1295,MATCH($D1967,Hierarchy!$A$2:$A$1295,0))),"NODE NOT FOUND"))</f>
        <v>Southeast Asia (ASEAN)</v>
      </c>
      <c r="I1967" s="7" t="str">
        <f aca="false">IF($D1967="","",IFERROR(IF(INDEX(Hierarchy!$F$2:$F$1295,MATCH($D1967,Hierarchy!$A$2:$A$1295,0))="","",INDEX(Hierarchy!$F$2:$F$1295,MATCH($D1967,Hierarchy!$A$2:$A$1295,0))),"NODE NOT FOUND"))</f>
        <v>Indonesia</v>
      </c>
      <c r="J1967" s="7" t="str">
        <f aca="false">IF($D1967="","",IFERROR(IF(INDEX(Hierarchy!$G$2:$G$1295,MATCH($D1967,Hierarchy!$A$2:$A$1295,0))="","",INDEX(Hierarchy!$G$2:$G$1295,MATCH($D1967,Hierarchy!$A$2:$A$1295,0))),"NODE NOT FOUND"))</f>
        <v>IDN</v>
      </c>
      <c r="K1967" s="7" t="str">
        <f aca="false">IF($D1967="","",IFERROR(IF(INDEX(Hierarchy!$H$2:$H$1295,MATCH($D1967,Hierarchy!$A$2:$A$1295,0))="","",INDEX(Hierarchy!$H$2:$H$1295,MATCH($D1967,Hierarchy!$A$2:$A$1295,0))),"NODE NOT FOUND"))</f>
        <v>West Sulawesi</v>
      </c>
      <c r="L1967" s="7" t="str">
        <f aca="false">IF($D1967="","",IFERROR(IF(INDEX(Hierarchy!$I$2:$I$1295,MATCH($D1967,Hierarchy!$A$2:$A$1295,0))="","",INDEX(Hierarchy!$I$2:$I$1295,MATCH($D1967,Hierarchy!$A$2:$A$1295,0))),"NODE NOT FOUND"))</f>
        <v/>
      </c>
      <c r="M1967" s="17" t="str">
        <f aca="false">IF(B1967="Pre-seeded","Pre-seeded",IF(B1967="Review 2026-09-16","Added from review",IF(C1967="","New",IF(C1967=D1967,"","Changed"))))</f>
        <v>Pre-seeded</v>
      </c>
      <c r="N1967" s="7" t="str">
        <f aca="false">TRIM(SUBSTITUTE(SUBSTITUTE(SUBSTITUTE(" "&amp;TRIM(SUBSTITUTE(SUBSTITUTE(SUBSTITUTE(SUBSTITUTE(SUBSTITUTE(SUBSTITUTE(SUBSTITUTE(SUBSTITUTE(SUBSTITUTE(SUBSTITUTE(SUBSTITUTE(SUBSTITUTE(SUBSTITUTE(SUBSTITUTE(SUBSTITUTE(UPPER(TRIM(A1967)),"[MEMBER]",""),"{MEMBER}",""),"[MEMBER}",""),"MEMBER]",""),"(A)",""),"""",""),"“",""),"”",""),".",""),":",""),",",""),"–"," "),"-"," "),"/"," "),"&amp;"," AND "))&amp;" "," THE "," ")," TOTAL "," ")," OPERATIONS "," "))</f>
        <v>WEST SULAWESI</v>
      </c>
      <c r="O1967" s="17" t="str">
        <f aca="false">IF(COUNTIFS($N$2:$N$2000,N1967,$D$2:$D$2000,"&lt;&gt;"&amp;D1967)&gt;0,"CONFLICT","")</f>
        <v/>
      </c>
      <c r="P1967" s="7"/>
    </row>
    <row r="1968" customFormat="false" ht="15" hidden="false" customHeight="false" outlineLevel="0" collapsed="false">
      <c r="A1968" s="7" t="s">
        <v>1629</v>
      </c>
      <c r="B1968" s="7" t="s">
        <v>1879</v>
      </c>
      <c r="C1968" s="7"/>
      <c r="D1968" s="6" t="s">
        <v>1629</v>
      </c>
      <c r="E1968" s="6" t="s">
        <v>1880</v>
      </c>
      <c r="F1968" s="7" t="str">
        <f aca="false">IF($D1968="","",IFERROR(IF(INDEX(Hierarchy!$B$2:$B$1295,MATCH($D1968,Hierarchy!$A$2:$A$1295,0))="","",INDEX(Hierarchy!$B$2:$B$1295,MATCH($D1968,Hierarchy!$A$2:$A$1295,0))),"NODE NOT FOUND"))</f>
        <v>State/Province</v>
      </c>
      <c r="G1968" s="7" t="str">
        <f aca="false">IF($D1968="","",IFERROR(IF(INDEX(Hierarchy!$D$2:$D$1295,MATCH($D1968,Hierarchy!$A$2:$A$1295,0))="","",INDEX(Hierarchy!$D$2:$D$1295,MATCH($D1968,Hierarchy!$A$2:$A$1295,0))),"NODE NOT FOUND"))</f>
        <v>APAC</v>
      </c>
      <c r="H1968" s="7" t="str">
        <f aca="false">IF($D1968="","",IFERROR(IF(INDEX(Hierarchy!$E$2:$E$1295,MATCH($D1968,Hierarchy!$A$2:$A$1295,0))="","",INDEX(Hierarchy!$E$2:$E$1295,MATCH($D1968,Hierarchy!$A$2:$A$1295,0))),"NODE NOT FOUND"))</f>
        <v>Southeast Asia (ASEAN)</v>
      </c>
      <c r="I1968" s="7" t="str">
        <f aca="false">IF($D1968="","",IFERROR(IF(INDEX(Hierarchy!$F$2:$F$1295,MATCH($D1968,Hierarchy!$A$2:$A$1295,0))="","",INDEX(Hierarchy!$F$2:$F$1295,MATCH($D1968,Hierarchy!$A$2:$A$1295,0))),"NODE NOT FOUND"))</f>
        <v>Indonesia</v>
      </c>
      <c r="J1968" s="7" t="str">
        <f aca="false">IF($D1968="","",IFERROR(IF(INDEX(Hierarchy!$G$2:$G$1295,MATCH($D1968,Hierarchy!$A$2:$A$1295,0))="","",INDEX(Hierarchy!$G$2:$G$1295,MATCH($D1968,Hierarchy!$A$2:$A$1295,0))),"NODE NOT FOUND"))</f>
        <v>IDN</v>
      </c>
      <c r="K1968" s="7" t="str">
        <f aca="false">IF($D1968="","",IFERROR(IF(INDEX(Hierarchy!$H$2:$H$1295,MATCH($D1968,Hierarchy!$A$2:$A$1295,0))="","",INDEX(Hierarchy!$H$2:$H$1295,MATCH($D1968,Hierarchy!$A$2:$A$1295,0))),"NODE NOT FOUND"))</f>
        <v>West Sumatra</v>
      </c>
      <c r="L1968" s="7" t="str">
        <f aca="false">IF($D1968="","",IFERROR(IF(INDEX(Hierarchy!$I$2:$I$1295,MATCH($D1968,Hierarchy!$A$2:$A$1295,0))="","",INDEX(Hierarchy!$I$2:$I$1295,MATCH($D1968,Hierarchy!$A$2:$A$1295,0))),"NODE NOT FOUND"))</f>
        <v/>
      </c>
      <c r="M1968" s="17" t="str">
        <f aca="false">IF(B1968="Pre-seeded","Pre-seeded",IF(B1968="Review 2026-09-16","Added from review",IF(C1968="","New",IF(C1968=D1968,"","Changed"))))</f>
        <v>Pre-seeded</v>
      </c>
      <c r="N1968" s="7" t="str">
        <f aca="false">TRIM(SUBSTITUTE(SUBSTITUTE(SUBSTITUTE(" "&amp;TRIM(SUBSTITUTE(SUBSTITUTE(SUBSTITUTE(SUBSTITUTE(SUBSTITUTE(SUBSTITUTE(SUBSTITUTE(SUBSTITUTE(SUBSTITUTE(SUBSTITUTE(SUBSTITUTE(SUBSTITUTE(SUBSTITUTE(SUBSTITUTE(SUBSTITUTE(UPPER(TRIM(A1968)),"[MEMBER]",""),"{MEMBER}",""),"[MEMBER}",""),"MEMBER]",""),"(A)",""),"""",""),"“",""),"”",""),".",""),":",""),",",""),"–"," "),"-"," "),"/"," "),"&amp;"," AND "))&amp;" "," THE "," ")," TOTAL "," ")," OPERATIONS "," "))</f>
        <v>WEST SUMATRA</v>
      </c>
      <c r="O1968" s="17" t="str">
        <f aca="false">IF(COUNTIFS($N$2:$N$2000,N1968,$D$2:$D$2000,"&lt;&gt;"&amp;D1968)&gt;0,"CONFLICT","")</f>
        <v/>
      </c>
      <c r="P1968" s="7"/>
    </row>
    <row r="1969" customFormat="false" ht="15" hidden="false" customHeight="false" outlineLevel="0" collapsed="false">
      <c r="A1969" s="7" t="s">
        <v>263</v>
      </c>
      <c r="B1969" s="7" t="s">
        <v>1882</v>
      </c>
      <c r="C1969" s="7" t="s">
        <v>263</v>
      </c>
      <c r="D1969" s="6" t="s">
        <v>263</v>
      </c>
      <c r="E1969" s="6" t="s">
        <v>1880</v>
      </c>
      <c r="F1969" s="7" t="str">
        <f aca="false">IF($D1969="","",IFERROR(IF(INDEX(Hierarchy!$B$2:$B$1295,MATCH($D1969,Hierarchy!$A$2:$A$1295,0))="","",INDEX(Hierarchy!$B$2:$B$1295,MATCH($D1969,Hierarchy!$A$2:$A$1295,0))),"NODE NOT FOUND"))</f>
        <v>State/Province</v>
      </c>
      <c r="G1969" s="7" t="str">
        <f aca="false">IF($D1969="","",IFERROR(IF(INDEX(Hierarchy!$D$2:$D$1295,MATCH($D1969,Hierarchy!$A$2:$A$1295,0))="","",INDEX(Hierarchy!$D$2:$D$1295,MATCH($D1969,Hierarchy!$A$2:$A$1295,0))),"NODE NOT FOUND"))</f>
        <v>AMER</v>
      </c>
      <c r="H1969" s="7" t="str">
        <f aca="false">IF($D1969="","",IFERROR(IF(INDEX(Hierarchy!$E$2:$E$1295,MATCH($D1969,Hierarchy!$A$2:$A$1295,0))="","",INDEX(Hierarchy!$E$2:$E$1295,MATCH($D1969,Hierarchy!$A$2:$A$1295,0))),"NODE NOT FOUND"))</f>
        <v>North America (NORAM)</v>
      </c>
      <c r="I1969" s="7" t="str">
        <f aca="false">IF($D1969="","",IFERROR(IF(INDEX(Hierarchy!$F$2:$F$1295,MATCH($D1969,Hierarchy!$A$2:$A$1295,0))="","",INDEX(Hierarchy!$F$2:$F$1295,MATCH($D1969,Hierarchy!$A$2:$A$1295,0))),"NODE NOT FOUND"))</f>
        <v>United States</v>
      </c>
      <c r="J1969" s="7" t="str">
        <f aca="false">IF($D1969="","",IFERROR(IF(INDEX(Hierarchy!$G$2:$G$1295,MATCH($D1969,Hierarchy!$A$2:$A$1295,0))="","",INDEX(Hierarchy!$G$2:$G$1295,MATCH($D1969,Hierarchy!$A$2:$A$1295,0))),"NODE NOT FOUND"))</f>
        <v>USA</v>
      </c>
      <c r="K1969" s="7" t="str">
        <f aca="false">IF($D1969="","",IFERROR(IF(INDEX(Hierarchy!$H$2:$H$1295,MATCH($D1969,Hierarchy!$A$2:$A$1295,0))="","",INDEX(Hierarchy!$H$2:$H$1295,MATCH($D1969,Hierarchy!$A$2:$A$1295,0))),"NODE NOT FOUND"))</f>
        <v>West Virginia</v>
      </c>
      <c r="L1969" s="7" t="str">
        <f aca="false">IF($D1969="","",IFERROR(IF(INDEX(Hierarchy!$I$2:$I$1295,MATCH($D1969,Hierarchy!$A$2:$A$1295,0))="","",INDEX(Hierarchy!$I$2:$I$1295,MATCH($D1969,Hierarchy!$A$2:$A$1295,0))),"NODE NOT FOUND"))</f>
        <v/>
      </c>
      <c r="M1969" s="17" t="str">
        <f aca="false">IF(B1969="Pre-seeded","Pre-seeded",IF(B1969="Review 2026-09-16","Added from review",IF(C1969="","New",IF(C1969=D1969,"","Changed"))))</f>
        <v/>
      </c>
      <c r="N1969" s="7" t="str">
        <f aca="false">TRIM(SUBSTITUTE(SUBSTITUTE(SUBSTITUTE(" "&amp;TRIM(SUBSTITUTE(SUBSTITUTE(SUBSTITUTE(SUBSTITUTE(SUBSTITUTE(SUBSTITUTE(SUBSTITUTE(SUBSTITUTE(SUBSTITUTE(SUBSTITUTE(SUBSTITUTE(SUBSTITUTE(SUBSTITUTE(SUBSTITUTE(SUBSTITUTE(UPPER(TRIM(A1969)),"[MEMBER]",""),"{MEMBER}",""),"[MEMBER}",""),"MEMBER]",""),"(A)",""),"""",""),"“",""),"”",""),".",""),":",""),",",""),"–"," "),"-"," "),"/"," "),"&amp;"," AND "))&amp;" "," THE "," ")," TOTAL "," ")," OPERATIONS "," "))</f>
        <v>WEST VIRGINIA</v>
      </c>
      <c r="O1969" s="17" t="str">
        <f aca="false">IF(COUNTIFS($N$2:$N$2000,N1969,$D$2:$D$2000,"&lt;&gt;"&amp;D1969)&gt;0,"CONFLICT","")</f>
        <v/>
      </c>
      <c r="P1969" s="7"/>
    </row>
    <row r="1970" customFormat="false" ht="15" hidden="false" customHeight="false" outlineLevel="0" collapsed="false">
      <c r="A1970" s="7" t="s">
        <v>1131</v>
      </c>
      <c r="B1970" s="7" t="s">
        <v>1879</v>
      </c>
      <c r="C1970" s="7"/>
      <c r="D1970" s="6" t="s">
        <v>1109</v>
      </c>
      <c r="E1970" s="6" t="s">
        <v>1880</v>
      </c>
      <c r="F1970" s="7" t="str">
        <f aca="false">IF($D1970="","",IFERROR(IF(INDEX(Hierarchy!$B$2:$B$1295,MATCH($D1970,Hierarchy!$A$2:$A$1295,0))="","",INDEX(Hierarchy!$B$2:$B$1295,MATCH($D1970,Hierarchy!$A$2:$A$1295,0))),"NODE NOT FOUND"))</f>
        <v>Sub-region component</v>
      </c>
      <c r="G1970" s="7" t="str">
        <f aca="false">IF($D1970="","",IFERROR(IF(INDEX(Hierarchy!$D$2:$D$1295,MATCH($D1970,Hierarchy!$A$2:$A$1295,0))="","",INDEX(Hierarchy!$D$2:$D$1295,MATCH($D1970,Hierarchy!$A$2:$A$1295,0))),"NODE NOT FOUND"))</f>
        <v>EMEA</v>
      </c>
      <c r="H1970" s="7" t="str">
        <f aca="false">IF($D1970="","",IFERROR(IF(INDEX(Hierarchy!$E$2:$E$1295,MATCH($D1970,Hierarchy!$A$2:$A$1295,0))="","",INDEX(Hierarchy!$E$2:$E$1295,MATCH($D1970,Hierarchy!$A$2:$A$1295,0))),"NODE NOT FOUND"))</f>
        <v>Africa</v>
      </c>
      <c r="I1970" s="7" t="str">
        <f aca="false">IF($D1970="","",IFERROR(IF(INDEX(Hierarchy!$F$2:$F$1295,MATCH($D1970,Hierarchy!$A$2:$A$1295,0))="","",INDEX(Hierarchy!$F$2:$F$1295,MATCH($D1970,Hierarchy!$A$2:$A$1295,0))),"NODE NOT FOUND"))</f>
        <v/>
      </c>
      <c r="J1970" s="7" t="str">
        <f aca="false">IF($D1970="","",IFERROR(IF(INDEX(Hierarchy!$G$2:$G$1295,MATCH($D1970,Hierarchy!$A$2:$A$1295,0))="","",INDEX(Hierarchy!$G$2:$G$1295,MATCH($D1970,Hierarchy!$A$2:$A$1295,0))),"NODE NOT FOUND"))</f>
        <v/>
      </c>
      <c r="K1970" s="7" t="str">
        <f aca="false">IF($D1970="","",IFERROR(IF(INDEX(Hierarchy!$H$2:$H$1295,MATCH($D1970,Hierarchy!$A$2:$A$1295,0))="","",INDEX(Hierarchy!$H$2:$H$1295,MATCH($D1970,Hierarchy!$A$2:$A$1295,0))),"NODE NOT FOUND"))</f>
        <v/>
      </c>
      <c r="L1970" s="7" t="str">
        <f aca="false">IF($D1970="","",IFERROR(IF(INDEX(Hierarchy!$I$2:$I$1295,MATCH($D1970,Hierarchy!$A$2:$A$1295,0))="","",INDEX(Hierarchy!$I$2:$I$1295,MATCH($D1970,Hierarchy!$A$2:$A$1295,0))),"NODE NOT FOUND"))</f>
        <v/>
      </c>
      <c r="M1970" s="17" t="str">
        <f aca="false">IF(B1970="Pre-seeded","Pre-seeded",IF(B1970="Review 2026-09-16","Added from review",IF(C1970="","New",IF(C1970=D1970,"","Changed"))))</f>
        <v>Pre-seeded</v>
      </c>
      <c r="N1970" s="7" t="str">
        <f aca="false">TRIM(SUBSTITUTE(SUBSTITUTE(SUBSTITUTE(" "&amp;TRIM(SUBSTITUTE(SUBSTITUTE(SUBSTITUTE(SUBSTITUTE(SUBSTITUTE(SUBSTITUTE(SUBSTITUTE(SUBSTITUTE(SUBSTITUTE(SUBSTITUTE(SUBSTITUTE(SUBSTITUTE(SUBSTITUTE(SUBSTITUTE(SUBSTITUTE(UPPER(TRIM(A1970)),"[MEMBER]",""),"{MEMBER}",""),"[MEMBER}",""),"MEMBER]",""),"(A)",""),"""",""),"“",""),"”",""),".",""),":",""),",",""),"–"," "),"-"," "),"/"," "),"&amp;"," AND "))&amp;" "," THE "," ")," TOTAL "," ")," OPERATIONS "," "))</f>
        <v>WESTERN AFRICA</v>
      </c>
      <c r="O1970" s="17" t="str">
        <f aca="false">IF(COUNTIFS($N$2:$N$2000,N1970,$D$2:$D$2000,"&lt;&gt;"&amp;D1970)&gt;0,"CONFLICT","")</f>
        <v/>
      </c>
      <c r="P1970" s="7"/>
    </row>
    <row r="1971" customFormat="false" ht="15" hidden="false" customHeight="false" outlineLevel="0" collapsed="false">
      <c r="A1971" s="7" t="s">
        <v>745</v>
      </c>
      <c r="B1971" s="7" t="s">
        <v>1879</v>
      </c>
      <c r="C1971" s="7"/>
      <c r="D1971" s="6" t="s">
        <v>1862</v>
      </c>
      <c r="E1971" s="6" t="s">
        <v>1880</v>
      </c>
      <c r="F1971" s="7" t="str">
        <f aca="false">IF($D1971="","",IFERROR(IF(INDEX(Hierarchy!$B$2:$B$1295,MATCH($D1971,Hierarchy!$A$2:$A$1295,0))="","",INDEX(Hierarchy!$B$2:$B$1295,MATCH($D1971,Hierarchy!$A$2:$A$1295,0))),"NODE NOT FOUND"))</f>
        <v>Reference grouping</v>
      </c>
      <c r="G1971" s="7" t="str">
        <f aca="false">IF($D1971="","",IFERROR(IF(INDEX(Hierarchy!$D$2:$D$1295,MATCH($D1971,Hierarchy!$A$2:$A$1295,0))="","",INDEX(Hierarchy!$D$2:$D$1295,MATCH($D1971,Hierarchy!$A$2:$A$1295,0))),"NODE NOT FOUND"))</f>
        <v>Reference (UN / World Bank)</v>
      </c>
      <c r="H1971" s="7" t="str">
        <f aca="false">IF($D1971="","",IFERROR(IF(INDEX(Hierarchy!$E$2:$E$1295,MATCH($D1971,Hierarchy!$A$2:$A$1295,0))="","",INDEX(Hierarchy!$E$2:$E$1295,MATCH($D1971,Hierarchy!$A$2:$A$1295,0))),"NODE NOT FOUND"))</f>
        <v/>
      </c>
      <c r="I1971" s="7" t="str">
        <f aca="false">IF($D1971="","",IFERROR(IF(INDEX(Hierarchy!$F$2:$F$1295,MATCH($D1971,Hierarchy!$A$2:$A$1295,0))="","",INDEX(Hierarchy!$F$2:$F$1295,MATCH($D1971,Hierarchy!$A$2:$A$1295,0))),"NODE NOT FOUND"))</f>
        <v/>
      </c>
      <c r="J1971" s="7" t="str">
        <f aca="false">IF($D1971="","",IFERROR(IF(INDEX(Hierarchy!$G$2:$G$1295,MATCH($D1971,Hierarchy!$A$2:$A$1295,0))="","",INDEX(Hierarchy!$G$2:$G$1295,MATCH($D1971,Hierarchy!$A$2:$A$1295,0))),"NODE NOT FOUND"))</f>
        <v/>
      </c>
      <c r="K1971" s="7" t="str">
        <f aca="false">IF($D1971="","",IFERROR(IF(INDEX(Hierarchy!$H$2:$H$1295,MATCH($D1971,Hierarchy!$A$2:$A$1295,0))="","",INDEX(Hierarchy!$H$2:$H$1295,MATCH($D1971,Hierarchy!$A$2:$A$1295,0))),"NODE NOT FOUND"))</f>
        <v/>
      </c>
      <c r="L1971" s="7" t="str">
        <f aca="false">IF($D1971="","",IFERROR(IF(INDEX(Hierarchy!$I$2:$I$1295,MATCH($D1971,Hierarchy!$A$2:$A$1295,0))="","",INDEX(Hierarchy!$I$2:$I$1295,MATCH($D1971,Hierarchy!$A$2:$A$1295,0))),"NODE NOT FOUND"))</f>
        <v/>
      </c>
      <c r="M1971" s="17" t="str">
        <f aca="false">IF(B1971="Pre-seeded","Pre-seeded",IF(B1971="Review 2026-09-16","Added from review",IF(C1971="","New",IF(C1971=D1971,"","Changed"))))</f>
        <v>Pre-seeded</v>
      </c>
      <c r="N1971" s="7" t="str">
        <f aca="false">TRIM(SUBSTITUTE(SUBSTITUTE(SUBSTITUTE(" "&amp;TRIM(SUBSTITUTE(SUBSTITUTE(SUBSTITUTE(SUBSTITUTE(SUBSTITUTE(SUBSTITUTE(SUBSTITUTE(SUBSTITUTE(SUBSTITUTE(SUBSTITUTE(SUBSTITUTE(SUBSTITUTE(SUBSTITUTE(SUBSTITUTE(SUBSTITUTE(UPPER(TRIM(A1971)),"[MEMBER]",""),"{MEMBER}",""),"[MEMBER}",""),"MEMBER]",""),"(A)",""),"""",""),"“",""),"”",""),".",""),":",""),",",""),"–"," "),"-"," "),"/"," "),"&amp;"," AND "))&amp;" "," THE "," ")," TOTAL "," ")," OPERATIONS "," "))</f>
        <v>WESTERN ASIA</v>
      </c>
      <c r="O1971" s="17" t="str">
        <f aca="false">IF(COUNTIFS($N$2:$N$2000,N1971,$D$2:$D$2000,"&lt;&gt;"&amp;D1971)&gt;0,"CONFLICT","")</f>
        <v/>
      </c>
      <c r="P1971" s="7"/>
    </row>
    <row r="1972" customFormat="false" ht="15" hidden="false" customHeight="false" outlineLevel="0" collapsed="false">
      <c r="A1972" s="7" t="s">
        <v>1862</v>
      </c>
      <c r="B1972" s="7" t="s">
        <v>1879</v>
      </c>
      <c r="C1972" s="7"/>
      <c r="D1972" s="6" t="s">
        <v>1862</v>
      </c>
      <c r="E1972" s="6" t="s">
        <v>1880</v>
      </c>
      <c r="F1972" s="7" t="str">
        <f aca="false">IF($D1972="","",IFERROR(IF(INDEX(Hierarchy!$B$2:$B$1295,MATCH($D1972,Hierarchy!$A$2:$A$1295,0))="","",INDEX(Hierarchy!$B$2:$B$1295,MATCH($D1972,Hierarchy!$A$2:$A$1295,0))),"NODE NOT FOUND"))</f>
        <v>Reference grouping</v>
      </c>
      <c r="G1972" s="7" t="str">
        <f aca="false">IF($D1972="","",IFERROR(IF(INDEX(Hierarchy!$D$2:$D$1295,MATCH($D1972,Hierarchy!$A$2:$A$1295,0))="","",INDEX(Hierarchy!$D$2:$D$1295,MATCH($D1972,Hierarchy!$A$2:$A$1295,0))),"NODE NOT FOUND"))</f>
        <v>Reference (UN / World Bank)</v>
      </c>
      <c r="H1972" s="7" t="str">
        <f aca="false">IF($D1972="","",IFERROR(IF(INDEX(Hierarchy!$E$2:$E$1295,MATCH($D1972,Hierarchy!$A$2:$A$1295,0))="","",INDEX(Hierarchy!$E$2:$E$1295,MATCH($D1972,Hierarchy!$A$2:$A$1295,0))),"NODE NOT FOUND"))</f>
        <v/>
      </c>
      <c r="I1972" s="7" t="str">
        <f aca="false">IF($D1972="","",IFERROR(IF(INDEX(Hierarchy!$F$2:$F$1295,MATCH($D1972,Hierarchy!$A$2:$A$1295,0))="","",INDEX(Hierarchy!$F$2:$F$1295,MATCH($D1972,Hierarchy!$A$2:$A$1295,0))),"NODE NOT FOUND"))</f>
        <v/>
      </c>
      <c r="J1972" s="7" t="str">
        <f aca="false">IF($D1972="","",IFERROR(IF(INDEX(Hierarchy!$G$2:$G$1295,MATCH($D1972,Hierarchy!$A$2:$A$1295,0))="","",INDEX(Hierarchy!$G$2:$G$1295,MATCH($D1972,Hierarchy!$A$2:$A$1295,0))),"NODE NOT FOUND"))</f>
        <v/>
      </c>
      <c r="K1972" s="7" t="str">
        <f aca="false">IF($D1972="","",IFERROR(IF(INDEX(Hierarchy!$H$2:$H$1295,MATCH($D1972,Hierarchy!$A$2:$A$1295,0))="","",INDEX(Hierarchy!$H$2:$H$1295,MATCH($D1972,Hierarchy!$A$2:$A$1295,0))),"NODE NOT FOUND"))</f>
        <v/>
      </c>
      <c r="L1972" s="7" t="str">
        <f aca="false">IF($D1972="","",IFERROR(IF(INDEX(Hierarchy!$I$2:$I$1295,MATCH($D1972,Hierarchy!$A$2:$A$1295,0))="","",INDEX(Hierarchy!$I$2:$I$1295,MATCH($D1972,Hierarchy!$A$2:$A$1295,0))),"NODE NOT FOUND"))</f>
        <v/>
      </c>
      <c r="M1972" s="17" t="str">
        <f aca="false">IF(B1972="Pre-seeded","Pre-seeded",IF(B1972="Review 2026-09-16","Added from review",IF(C1972="","New",IF(C1972=D1972,"","Changed"))))</f>
        <v>Pre-seeded</v>
      </c>
      <c r="N1972" s="7" t="str">
        <f aca="false">TRIM(SUBSTITUTE(SUBSTITUTE(SUBSTITUTE(" "&amp;TRIM(SUBSTITUTE(SUBSTITUTE(SUBSTITUTE(SUBSTITUTE(SUBSTITUTE(SUBSTITUTE(SUBSTITUTE(SUBSTITUTE(SUBSTITUTE(SUBSTITUTE(SUBSTITUTE(SUBSTITUTE(SUBSTITUTE(SUBSTITUTE(SUBSTITUTE(UPPER(TRIM(A1972)),"[MEMBER]",""),"{MEMBER}",""),"[MEMBER}",""),"MEMBER]",""),"(A)",""),"""",""),"“",""),"”",""),".",""),":",""),",",""),"–"," "),"-"," "),"/"," "),"&amp;"," AND "))&amp;" "," THE "," ")," TOTAL "," ")," OPERATIONS "," "))</f>
        <v>WESTERN ASIA (UN M49)</v>
      </c>
      <c r="O1972" s="17" t="str">
        <f aca="false">IF(COUNTIFS($N$2:$N$2000,N1972,$D$2:$D$2000,"&lt;&gt;"&amp;D1972)&gt;0,"CONFLICT","")</f>
        <v/>
      </c>
      <c r="P1972" s="7"/>
    </row>
    <row r="1973" customFormat="false" ht="15" hidden="false" customHeight="false" outlineLevel="0" collapsed="false">
      <c r="A1973" s="7" t="s">
        <v>1713</v>
      </c>
      <c r="B1973" s="7" t="s">
        <v>1879</v>
      </c>
      <c r="C1973" s="7"/>
      <c r="D1973" s="6" t="s">
        <v>1713</v>
      </c>
      <c r="E1973" s="6" t="s">
        <v>1880</v>
      </c>
      <c r="F1973" s="7" t="str">
        <f aca="false">IF($D1973="","",IFERROR(IF(INDEX(Hierarchy!$B$2:$B$1295,MATCH($D1973,Hierarchy!$A$2:$A$1295,0))="","",INDEX(Hierarchy!$B$2:$B$1295,MATCH($D1973,Hierarchy!$A$2:$A$1295,0))),"NODE NOT FOUND"))</f>
        <v>State/Province</v>
      </c>
      <c r="G1973" s="7" t="str">
        <f aca="false">IF($D1973="","",IFERROR(IF(INDEX(Hierarchy!$D$2:$D$1295,MATCH($D1973,Hierarchy!$A$2:$A$1295,0))="","",INDEX(Hierarchy!$D$2:$D$1295,MATCH($D1973,Hierarchy!$A$2:$A$1295,0))),"NODE NOT FOUND"))</f>
        <v>APAC</v>
      </c>
      <c r="H1973" s="7" t="str">
        <f aca="false">IF($D1973="","",IFERROR(IF(INDEX(Hierarchy!$E$2:$E$1295,MATCH($D1973,Hierarchy!$A$2:$A$1295,0))="","",INDEX(Hierarchy!$E$2:$E$1295,MATCH($D1973,Hierarchy!$A$2:$A$1295,0))),"NODE NOT FOUND"))</f>
        <v>Oceania (ANZ)</v>
      </c>
      <c r="I1973" s="7" t="str">
        <f aca="false">IF($D1973="","",IFERROR(IF(INDEX(Hierarchy!$F$2:$F$1295,MATCH($D1973,Hierarchy!$A$2:$A$1295,0))="","",INDEX(Hierarchy!$F$2:$F$1295,MATCH($D1973,Hierarchy!$A$2:$A$1295,0))),"NODE NOT FOUND"))</f>
        <v>Australia</v>
      </c>
      <c r="J1973" s="7" t="str">
        <f aca="false">IF($D1973="","",IFERROR(IF(INDEX(Hierarchy!$G$2:$G$1295,MATCH($D1973,Hierarchy!$A$2:$A$1295,0))="","",INDEX(Hierarchy!$G$2:$G$1295,MATCH($D1973,Hierarchy!$A$2:$A$1295,0))),"NODE NOT FOUND"))</f>
        <v>AUS</v>
      </c>
      <c r="K1973" s="7" t="str">
        <f aca="false">IF($D1973="","",IFERROR(IF(INDEX(Hierarchy!$H$2:$H$1295,MATCH($D1973,Hierarchy!$A$2:$A$1295,0))="","",INDEX(Hierarchy!$H$2:$H$1295,MATCH($D1973,Hierarchy!$A$2:$A$1295,0))),"NODE NOT FOUND"))</f>
        <v>Western Australia</v>
      </c>
      <c r="L1973" s="7" t="str">
        <f aca="false">IF($D1973="","",IFERROR(IF(INDEX(Hierarchy!$I$2:$I$1295,MATCH($D1973,Hierarchy!$A$2:$A$1295,0))="","",INDEX(Hierarchy!$I$2:$I$1295,MATCH($D1973,Hierarchy!$A$2:$A$1295,0))),"NODE NOT FOUND"))</f>
        <v/>
      </c>
      <c r="M1973" s="17" t="str">
        <f aca="false">IF(B1973="Pre-seeded","Pre-seeded",IF(B1973="Review 2026-09-16","Added from review",IF(C1973="","New",IF(C1973=D1973,"","Changed"))))</f>
        <v>Pre-seeded</v>
      </c>
      <c r="N1973" s="7" t="str">
        <f aca="false">TRIM(SUBSTITUTE(SUBSTITUTE(SUBSTITUTE(" "&amp;TRIM(SUBSTITUTE(SUBSTITUTE(SUBSTITUTE(SUBSTITUTE(SUBSTITUTE(SUBSTITUTE(SUBSTITUTE(SUBSTITUTE(SUBSTITUTE(SUBSTITUTE(SUBSTITUTE(SUBSTITUTE(SUBSTITUTE(SUBSTITUTE(SUBSTITUTE(UPPER(TRIM(A1973)),"[MEMBER]",""),"{MEMBER}",""),"[MEMBER}",""),"MEMBER]",""),"(A)",""),"""",""),"“",""),"”",""),".",""),":",""),",",""),"–"," "),"-"," "),"/"," "),"&amp;"," AND "))&amp;" "," THE "," ")," TOTAL "," ")," OPERATIONS "," "))</f>
        <v>WESTERN AUSTRALIA</v>
      </c>
      <c r="O1973" s="17" t="str">
        <f aca="false">IF(COUNTIFS($N$2:$N$2000,N1973,$D$2:$D$2000,"&lt;&gt;"&amp;D1973)&gt;0,"CONFLICT","")</f>
        <v/>
      </c>
      <c r="P1973" s="7"/>
    </row>
    <row r="1974" customFormat="false" ht="15" hidden="false" customHeight="false" outlineLevel="0" collapsed="false">
      <c r="A1974" s="7" t="s">
        <v>2859</v>
      </c>
      <c r="B1974" s="7" t="s">
        <v>1879</v>
      </c>
      <c r="C1974" s="7"/>
      <c r="D1974" s="6" t="s">
        <v>623</v>
      </c>
      <c r="E1974" s="6" t="s">
        <v>1891</v>
      </c>
      <c r="F1974" s="7" t="str">
        <f aca="false">IF($D1974="","",IFERROR(IF(INDEX(Hierarchy!$B$2:$B$1295,MATCH($D1974,Hierarchy!$A$2:$A$1295,0))="","",INDEX(Hierarchy!$B$2:$B$1295,MATCH($D1974,Hierarchy!$A$2:$A$1295,0))),"NODE NOT FOUND"))</f>
        <v>Sub-region component</v>
      </c>
      <c r="G1974" s="7" t="str">
        <f aca="false">IF($D1974="","",IFERROR(IF(INDEX(Hierarchy!$D$2:$D$1295,MATCH($D1974,Hierarchy!$A$2:$A$1295,0))="","",INDEX(Hierarchy!$D$2:$D$1295,MATCH($D1974,Hierarchy!$A$2:$A$1295,0))),"NODE NOT FOUND"))</f>
        <v>EMEA</v>
      </c>
      <c r="H1974" s="7" t="str">
        <f aca="false">IF($D1974="","",IFERROR(IF(INDEX(Hierarchy!$E$2:$E$1295,MATCH($D1974,Hierarchy!$A$2:$A$1295,0))="","",INDEX(Hierarchy!$E$2:$E$1295,MATCH($D1974,Hierarchy!$A$2:$A$1295,0))),"NODE NOT FOUND"))</f>
        <v>Europe</v>
      </c>
      <c r="I1974" s="7" t="str">
        <f aca="false">IF($D1974="","",IFERROR(IF(INDEX(Hierarchy!$F$2:$F$1295,MATCH($D1974,Hierarchy!$A$2:$A$1295,0))="","",INDEX(Hierarchy!$F$2:$F$1295,MATCH($D1974,Hierarchy!$A$2:$A$1295,0))),"NODE NOT FOUND"))</f>
        <v/>
      </c>
      <c r="J1974" s="7" t="str">
        <f aca="false">IF($D1974="","",IFERROR(IF(INDEX(Hierarchy!$G$2:$G$1295,MATCH($D1974,Hierarchy!$A$2:$A$1295,0))="","",INDEX(Hierarchy!$G$2:$G$1295,MATCH($D1974,Hierarchy!$A$2:$A$1295,0))),"NODE NOT FOUND"))</f>
        <v/>
      </c>
      <c r="K1974" s="7" t="str">
        <f aca="false">IF($D1974="","",IFERROR(IF(INDEX(Hierarchy!$H$2:$H$1295,MATCH($D1974,Hierarchy!$A$2:$A$1295,0))="","",INDEX(Hierarchy!$H$2:$H$1295,MATCH($D1974,Hierarchy!$A$2:$A$1295,0))),"NODE NOT FOUND"))</f>
        <v/>
      </c>
      <c r="L1974" s="7" t="str">
        <f aca="false">IF($D1974="","",IFERROR(IF(INDEX(Hierarchy!$I$2:$I$1295,MATCH($D1974,Hierarchy!$A$2:$A$1295,0))="","",INDEX(Hierarchy!$I$2:$I$1295,MATCH($D1974,Hierarchy!$A$2:$A$1295,0))),"NODE NOT FOUND"))</f>
        <v/>
      </c>
      <c r="M1974" s="17" t="str">
        <f aca="false">IF(B1974="Pre-seeded","Pre-seeded",IF(B1974="Review 2026-09-16","Added from review",IF(C1974="","New",IF(C1974=D1974,"","Changed"))))</f>
        <v>Pre-seeded</v>
      </c>
      <c r="N1974" s="7" t="str">
        <f aca="false">TRIM(SUBSTITUTE(SUBSTITUTE(SUBSTITUTE(" "&amp;TRIM(SUBSTITUTE(SUBSTITUTE(SUBSTITUTE(SUBSTITUTE(SUBSTITUTE(SUBSTITUTE(SUBSTITUTE(SUBSTITUTE(SUBSTITUTE(SUBSTITUTE(SUBSTITUTE(SUBSTITUTE(SUBSTITUTE(SUBSTITUTE(SUBSTITUTE(UPPER(TRIM(A1974)),"[MEMBER]",""),"{MEMBER}",""),"[MEMBER}",""),"MEMBER]",""),"(A)",""),"""",""),"“",""),"”",""),".",""),":",""),",",""),"–"," "),"-"," "),"/"," "),"&amp;"," AND "))&amp;" "," THE "," ")," TOTAL "," ")," OPERATIONS "," "))</f>
        <v>WESTERN BALKANS</v>
      </c>
      <c r="O1974" s="17" t="str">
        <f aca="false">IF(COUNTIFS($N$2:$N$2000,N1974,$D$2:$D$2000,"&lt;&gt;"&amp;D1974)&gt;0,"CONFLICT","")</f>
        <v/>
      </c>
      <c r="P1974" s="7"/>
    </row>
    <row r="1975" customFormat="false" ht="15" hidden="false" customHeight="false" outlineLevel="0" collapsed="false">
      <c r="A1975" s="7" t="s">
        <v>278</v>
      </c>
      <c r="B1975" s="7" t="s">
        <v>1879</v>
      </c>
      <c r="C1975" s="7"/>
      <c r="D1975" s="6" t="s">
        <v>278</v>
      </c>
      <c r="E1975" s="6" t="s">
        <v>1880</v>
      </c>
      <c r="F1975" s="7" t="str">
        <f aca="false">IF($D1975="","",IFERROR(IF(INDEX(Hierarchy!$B$2:$B$1295,MATCH($D1975,Hierarchy!$A$2:$A$1295,0))="","",INDEX(Hierarchy!$B$2:$B$1295,MATCH($D1975,Hierarchy!$A$2:$A$1295,0))),"NODE NOT FOUND"))</f>
        <v>Sub-national region</v>
      </c>
      <c r="G1975" s="7" t="str">
        <f aca="false">IF($D1975="","",IFERROR(IF(INDEX(Hierarchy!$D$2:$D$1295,MATCH($D1975,Hierarchy!$A$2:$A$1295,0))="","",INDEX(Hierarchy!$D$2:$D$1295,MATCH($D1975,Hierarchy!$A$2:$A$1295,0))),"NODE NOT FOUND"))</f>
        <v>AMER</v>
      </c>
      <c r="H1975" s="7" t="str">
        <f aca="false">IF($D1975="","",IFERROR(IF(INDEX(Hierarchy!$E$2:$E$1295,MATCH($D1975,Hierarchy!$A$2:$A$1295,0))="","",INDEX(Hierarchy!$E$2:$E$1295,MATCH($D1975,Hierarchy!$A$2:$A$1295,0))),"NODE NOT FOUND"))</f>
        <v>North America (NORAM)</v>
      </c>
      <c r="I1975" s="7" t="str">
        <f aca="false">IF($D1975="","",IFERROR(IF(INDEX(Hierarchy!$F$2:$F$1295,MATCH($D1975,Hierarchy!$A$2:$A$1295,0))="","",INDEX(Hierarchy!$F$2:$F$1295,MATCH($D1975,Hierarchy!$A$2:$A$1295,0))),"NODE NOT FOUND"))</f>
        <v>Canada</v>
      </c>
      <c r="J1975" s="7" t="str">
        <f aca="false">IF($D1975="","",IFERROR(IF(INDEX(Hierarchy!$G$2:$G$1295,MATCH($D1975,Hierarchy!$A$2:$A$1295,0))="","",INDEX(Hierarchy!$G$2:$G$1295,MATCH($D1975,Hierarchy!$A$2:$A$1295,0))),"NODE NOT FOUND"))</f>
        <v>CAN</v>
      </c>
      <c r="K1975" s="7" t="str">
        <f aca="false">IF($D1975="","",IFERROR(IF(INDEX(Hierarchy!$H$2:$H$1295,MATCH($D1975,Hierarchy!$A$2:$A$1295,0))="","",INDEX(Hierarchy!$H$2:$H$1295,MATCH($D1975,Hierarchy!$A$2:$A$1295,0))),"NODE NOT FOUND"))</f>
        <v/>
      </c>
      <c r="L1975" s="7" t="str">
        <f aca="false">IF($D1975="","",IFERROR(IF(INDEX(Hierarchy!$I$2:$I$1295,MATCH($D1975,Hierarchy!$A$2:$A$1295,0))="","",INDEX(Hierarchy!$I$2:$I$1295,MATCH($D1975,Hierarchy!$A$2:$A$1295,0))),"NODE NOT FOUND"))</f>
        <v/>
      </c>
      <c r="M1975" s="17" t="str">
        <f aca="false">IF(B1975="Pre-seeded","Pre-seeded",IF(B1975="Review 2026-09-16","Added from review",IF(C1975="","New",IF(C1975=D1975,"","Changed"))))</f>
        <v>Pre-seeded</v>
      </c>
      <c r="N1975" s="7" t="str">
        <f aca="false">TRIM(SUBSTITUTE(SUBSTITUTE(SUBSTITUTE(" "&amp;TRIM(SUBSTITUTE(SUBSTITUTE(SUBSTITUTE(SUBSTITUTE(SUBSTITUTE(SUBSTITUTE(SUBSTITUTE(SUBSTITUTE(SUBSTITUTE(SUBSTITUTE(SUBSTITUTE(SUBSTITUTE(SUBSTITUTE(SUBSTITUTE(SUBSTITUTE(UPPER(TRIM(A1975)),"[MEMBER]",""),"{MEMBER}",""),"[MEMBER}",""),"MEMBER]",""),"(A)",""),"""",""),"“",""),"”",""),".",""),":",""),",",""),"–"," "),"-"," "),"/"," "),"&amp;"," AND "))&amp;" "," THE "," ")," TOTAL "," ")," OPERATIONS "," "))</f>
        <v>WESTERN CANADA</v>
      </c>
      <c r="O1975" s="17" t="str">
        <f aca="false">IF(COUNTIFS($N$2:$N$2000,N1975,$D$2:$D$2000,"&lt;&gt;"&amp;D1975)&gt;0,"CONFLICT","")</f>
        <v/>
      </c>
      <c r="P1975" s="7"/>
    </row>
    <row r="1976" customFormat="false" ht="15" hidden="false" customHeight="false" outlineLevel="0" collapsed="false">
      <c r="A1976" s="7" t="s">
        <v>1126</v>
      </c>
      <c r="B1976" s="7" t="s">
        <v>1879</v>
      </c>
      <c r="C1976" s="7"/>
      <c r="D1976" s="6" t="s">
        <v>1126</v>
      </c>
      <c r="E1976" s="6" t="s">
        <v>1880</v>
      </c>
      <c r="F1976" s="7" t="str">
        <f aca="false">IF($D1976="","",IFERROR(IF(INDEX(Hierarchy!$B$2:$B$1295,MATCH($D1976,Hierarchy!$A$2:$A$1295,0))="","",INDEX(Hierarchy!$B$2:$B$1295,MATCH($D1976,Hierarchy!$A$2:$A$1295,0))),"NODE NOT FOUND"))</f>
        <v>State/Province</v>
      </c>
      <c r="G1976" s="7" t="str">
        <f aca="false">IF($D1976="","",IFERROR(IF(INDEX(Hierarchy!$D$2:$D$1295,MATCH($D1976,Hierarchy!$A$2:$A$1295,0))="","",INDEX(Hierarchy!$D$2:$D$1295,MATCH($D1976,Hierarchy!$A$2:$A$1295,0))),"NODE NOT FOUND"))</f>
        <v>EMEA</v>
      </c>
      <c r="H1976" s="7" t="str">
        <f aca="false">IF($D1976="","",IFERROR(IF(INDEX(Hierarchy!$E$2:$E$1295,MATCH($D1976,Hierarchy!$A$2:$A$1295,0))="","",INDEX(Hierarchy!$E$2:$E$1295,MATCH($D1976,Hierarchy!$A$2:$A$1295,0))),"NODE NOT FOUND"))</f>
        <v>Africa</v>
      </c>
      <c r="I1976" s="7" t="str">
        <f aca="false">IF($D1976="","",IFERROR(IF(INDEX(Hierarchy!$F$2:$F$1295,MATCH($D1976,Hierarchy!$A$2:$A$1295,0))="","",INDEX(Hierarchy!$F$2:$F$1295,MATCH($D1976,Hierarchy!$A$2:$A$1295,0))),"NODE NOT FOUND"))</f>
        <v>South Africa</v>
      </c>
      <c r="J1976" s="7" t="str">
        <f aca="false">IF($D1976="","",IFERROR(IF(INDEX(Hierarchy!$G$2:$G$1295,MATCH($D1976,Hierarchy!$A$2:$A$1295,0))="","",INDEX(Hierarchy!$G$2:$G$1295,MATCH($D1976,Hierarchy!$A$2:$A$1295,0))),"NODE NOT FOUND"))</f>
        <v>ZAF</v>
      </c>
      <c r="K1976" s="7" t="str">
        <f aca="false">IF($D1976="","",IFERROR(IF(INDEX(Hierarchy!$H$2:$H$1295,MATCH($D1976,Hierarchy!$A$2:$A$1295,0))="","",INDEX(Hierarchy!$H$2:$H$1295,MATCH($D1976,Hierarchy!$A$2:$A$1295,0))),"NODE NOT FOUND"))</f>
        <v>Western Cape</v>
      </c>
      <c r="L1976" s="7" t="str">
        <f aca="false">IF($D1976="","",IFERROR(IF(INDEX(Hierarchy!$I$2:$I$1295,MATCH($D1976,Hierarchy!$A$2:$A$1295,0))="","",INDEX(Hierarchy!$I$2:$I$1295,MATCH($D1976,Hierarchy!$A$2:$A$1295,0))),"NODE NOT FOUND"))</f>
        <v/>
      </c>
      <c r="M1976" s="17" t="str">
        <f aca="false">IF(B1976="Pre-seeded","Pre-seeded",IF(B1976="Review 2026-09-16","Added from review",IF(C1976="","New",IF(C1976=D1976,"","Changed"))))</f>
        <v>Pre-seeded</v>
      </c>
      <c r="N1976" s="7" t="str">
        <f aca="false">TRIM(SUBSTITUTE(SUBSTITUTE(SUBSTITUTE(" "&amp;TRIM(SUBSTITUTE(SUBSTITUTE(SUBSTITUTE(SUBSTITUTE(SUBSTITUTE(SUBSTITUTE(SUBSTITUTE(SUBSTITUTE(SUBSTITUTE(SUBSTITUTE(SUBSTITUTE(SUBSTITUTE(SUBSTITUTE(SUBSTITUTE(SUBSTITUTE(UPPER(TRIM(A1976)),"[MEMBER]",""),"{MEMBER}",""),"[MEMBER}",""),"MEMBER]",""),"(A)",""),"""",""),"“",""),"”",""),".",""),":",""),",",""),"–"," "),"-"," "),"/"," "),"&amp;"," AND "))&amp;" "," THE "," ")," TOTAL "," ")," OPERATIONS "," "))</f>
        <v>WESTERN CAPE</v>
      </c>
      <c r="O1976" s="17" t="str">
        <f aca="false">IF(COUNTIFS($N$2:$N$2000,N1976,$D$2:$D$2000,"&lt;&gt;"&amp;D1976)&gt;0,"CONFLICT","")</f>
        <v/>
      </c>
      <c r="P1976" s="7"/>
    </row>
    <row r="1977" customFormat="false" ht="15" hidden="false" customHeight="false" outlineLevel="0" collapsed="false">
      <c r="A1977" s="7" t="s">
        <v>629</v>
      </c>
      <c r="B1977" s="7" t="s">
        <v>1882</v>
      </c>
      <c r="C1977" s="7" t="s">
        <v>629</v>
      </c>
      <c r="D1977" s="6" t="s">
        <v>629</v>
      </c>
      <c r="E1977" s="6" t="s">
        <v>1880</v>
      </c>
      <c r="F1977" s="7" t="str">
        <f aca="false">IF($D1977="","",IFERROR(IF(INDEX(Hierarchy!$B$2:$B$1295,MATCH($D1977,Hierarchy!$A$2:$A$1295,0))="","",INDEX(Hierarchy!$B$2:$B$1295,MATCH($D1977,Hierarchy!$A$2:$A$1295,0))),"NODE NOT FOUND"))</f>
        <v>Sub-region component</v>
      </c>
      <c r="G1977" s="7" t="str">
        <f aca="false">IF($D1977="","",IFERROR(IF(INDEX(Hierarchy!$D$2:$D$1295,MATCH($D1977,Hierarchy!$A$2:$A$1295,0))="","",INDEX(Hierarchy!$D$2:$D$1295,MATCH($D1977,Hierarchy!$A$2:$A$1295,0))),"NODE NOT FOUND"))</f>
        <v>EMEA</v>
      </c>
      <c r="H1977" s="7" t="str">
        <f aca="false">IF($D1977="","",IFERROR(IF(INDEX(Hierarchy!$E$2:$E$1295,MATCH($D1977,Hierarchy!$A$2:$A$1295,0))="","",INDEX(Hierarchy!$E$2:$E$1295,MATCH($D1977,Hierarchy!$A$2:$A$1295,0))),"NODE NOT FOUND"))</f>
        <v>Europe</v>
      </c>
      <c r="I1977" s="7" t="str">
        <f aca="false">IF($D1977="","",IFERROR(IF(INDEX(Hierarchy!$F$2:$F$1295,MATCH($D1977,Hierarchy!$A$2:$A$1295,0))="","",INDEX(Hierarchy!$F$2:$F$1295,MATCH($D1977,Hierarchy!$A$2:$A$1295,0))),"NODE NOT FOUND"))</f>
        <v/>
      </c>
      <c r="J1977" s="7" t="str">
        <f aca="false">IF($D1977="","",IFERROR(IF(INDEX(Hierarchy!$G$2:$G$1295,MATCH($D1977,Hierarchy!$A$2:$A$1295,0))="","",INDEX(Hierarchy!$G$2:$G$1295,MATCH($D1977,Hierarchy!$A$2:$A$1295,0))),"NODE NOT FOUND"))</f>
        <v/>
      </c>
      <c r="K1977" s="7" t="str">
        <f aca="false">IF($D1977="","",IFERROR(IF(INDEX(Hierarchy!$H$2:$H$1295,MATCH($D1977,Hierarchy!$A$2:$A$1295,0))="","",INDEX(Hierarchy!$H$2:$H$1295,MATCH($D1977,Hierarchy!$A$2:$A$1295,0))),"NODE NOT FOUND"))</f>
        <v/>
      </c>
      <c r="L1977" s="7" t="str">
        <f aca="false">IF($D1977="","",IFERROR(IF(INDEX(Hierarchy!$I$2:$I$1295,MATCH($D1977,Hierarchy!$A$2:$A$1295,0))="","",INDEX(Hierarchy!$I$2:$I$1295,MATCH($D1977,Hierarchy!$A$2:$A$1295,0))),"NODE NOT FOUND"))</f>
        <v/>
      </c>
      <c r="M1977" s="17" t="str">
        <f aca="false">IF(B1977="Pre-seeded","Pre-seeded",IF(B1977="Review 2026-09-16","Added from review",IF(C1977="","New",IF(C1977=D1977,"","Changed"))))</f>
        <v/>
      </c>
      <c r="N1977" s="7" t="str">
        <f aca="false">TRIM(SUBSTITUTE(SUBSTITUTE(SUBSTITUTE(" "&amp;TRIM(SUBSTITUTE(SUBSTITUTE(SUBSTITUTE(SUBSTITUTE(SUBSTITUTE(SUBSTITUTE(SUBSTITUTE(SUBSTITUTE(SUBSTITUTE(SUBSTITUTE(SUBSTITUTE(SUBSTITUTE(SUBSTITUTE(SUBSTITUTE(SUBSTITUTE(UPPER(TRIM(A1977)),"[MEMBER]",""),"{MEMBER}",""),"[MEMBER}",""),"MEMBER]",""),"(A)",""),"""",""),"“",""),"”",""),".",""),":",""),",",""),"–"," "),"-"," "),"/"," "),"&amp;"," AND "))&amp;" "," THE "," ")," TOTAL "," ")," OPERATIONS "," "))</f>
        <v>WESTERN EUROPE</v>
      </c>
      <c r="O1977" s="17" t="str">
        <f aca="false">IF(COUNTIFS($N$2:$N$2000,N1977,$D$2:$D$2000,"&lt;&gt;"&amp;D1977)&gt;0,"CONFLICT","")</f>
        <v/>
      </c>
      <c r="P1977" s="7"/>
    </row>
    <row r="1978" customFormat="false" ht="15" hidden="false" customHeight="false" outlineLevel="0" collapsed="false">
      <c r="A1978" s="7" t="s">
        <v>1864</v>
      </c>
      <c r="B1978" s="7" t="s">
        <v>1879</v>
      </c>
      <c r="C1978" s="7"/>
      <c r="D1978" s="6" t="s">
        <v>1864</v>
      </c>
      <c r="E1978" s="6" t="s">
        <v>1880</v>
      </c>
      <c r="F1978" s="7" t="str">
        <f aca="false">IF($D1978="","",IFERROR(IF(INDEX(Hierarchy!$B$2:$B$1295,MATCH($D1978,Hierarchy!$A$2:$A$1295,0))="","",INDEX(Hierarchy!$B$2:$B$1295,MATCH($D1978,Hierarchy!$A$2:$A$1295,0))),"NODE NOT FOUND"))</f>
        <v>Reference grouping</v>
      </c>
      <c r="G1978" s="7" t="str">
        <f aca="false">IF($D1978="","",IFERROR(IF(INDEX(Hierarchy!$D$2:$D$1295,MATCH($D1978,Hierarchy!$A$2:$A$1295,0))="","",INDEX(Hierarchy!$D$2:$D$1295,MATCH($D1978,Hierarchy!$A$2:$A$1295,0))),"NODE NOT FOUND"))</f>
        <v>Reference (UN / World Bank)</v>
      </c>
      <c r="H1978" s="7" t="str">
        <f aca="false">IF($D1978="","",IFERROR(IF(INDEX(Hierarchy!$E$2:$E$1295,MATCH($D1978,Hierarchy!$A$2:$A$1295,0))="","",INDEX(Hierarchy!$E$2:$E$1295,MATCH($D1978,Hierarchy!$A$2:$A$1295,0))),"NODE NOT FOUND"))</f>
        <v/>
      </c>
      <c r="I1978" s="7" t="str">
        <f aca="false">IF($D1978="","",IFERROR(IF(INDEX(Hierarchy!$F$2:$F$1295,MATCH($D1978,Hierarchy!$A$2:$A$1295,0))="","",INDEX(Hierarchy!$F$2:$F$1295,MATCH($D1978,Hierarchy!$A$2:$A$1295,0))),"NODE NOT FOUND"))</f>
        <v/>
      </c>
      <c r="J1978" s="7" t="str">
        <f aca="false">IF($D1978="","",IFERROR(IF(INDEX(Hierarchy!$G$2:$G$1295,MATCH($D1978,Hierarchy!$A$2:$A$1295,0))="","",INDEX(Hierarchy!$G$2:$G$1295,MATCH($D1978,Hierarchy!$A$2:$A$1295,0))),"NODE NOT FOUND"))</f>
        <v/>
      </c>
      <c r="K1978" s="7" t="str">
        <f aca="false">IF($D1978="","",IFERROR(IF(INDEX(Hierarchy!$H$2:$H$1295,MATCH($D1978,Hierarchy!$A$2:$A$1295,0))="","",INDEX(Hierarchy!$H$2:$H$1295,MATCH($D1978,Hierarchy!$A$2:$A$1295,0))),"NODE NOT FOUND"))</f>
        <v/>
      </c>
      <c r="L1978" s="7" t="str">
        <f aca="false">IF($D1978="","",IFERROR(IF(INDEX(Hierarchy!$I$2:$I$1295,MATCH($D1978,Hierarchy!$A$2:$A$1295,0))="","",INDEX(Hierarchy!$I$2:$I$1295,MATCH($D1978,Hierarchy!$A$2:$A$1295,0))),"NODE NOT FOUND"))</f>
        <v/>
      </c>
      <c r="M1978" s="17" t="str">
        <f aca="false">IF(B1978="Pre-seeded","Pre-seeded",IF(B1978="Review 2026-09-16","Added from review",IF(C1978="","New",IF(C1978=D1978,"","Changed"))))</f>
        <v>Pre-seeded</v>
      </c>
      <c r="N1978" s="7" t="str">
        <f aca="false">TRIM(SUBSTITUTE(SUBSTITUTE(SUBSTITUTE(" "&amp;TRIM(SUBSTITUTE(SUBSTITUTE(SUBSTITUTE(SUBSTITUTE(SUBSTITUTE(SUBSTITUTE(SUBSTITUTE(SUBSTITUTE(SUBSTITUTE(SUBSTITUTE(SUBSTITUTE(SUBSTITUTE(SUBSTITUTE(SUBSTITUTE(SUBSTITUTE(UPPER(TRIM(A1978)),"[MEMBER]",""),"{MEMBER}",""),"[MEMBER}",""),"MEMBER]",""),"(A)",""),"""",""),"“",""),"”",""),".",""),":",""),",",""),"–"," "),"-"," "),"/"," "),"&amp;"," AND "))&amp;" "," THE "," ")," TOTAL "," ")," OPERATIONS "," "))</f>
        <v>WESTERN EUROPE (UN M49)</v>
      </c>
      <c r="O1978" s="17" t="str">
        <f aca="false">IF(COUNTIFS($N$2:$N$2000,N1978,$D$2:$D$2000,"&lt;&gt;"&amp;D1978)&gt;0,"CONFLICT","")</f>
        <v/>
      </c>
      <c r="P1978" s="7"/>
    </row>
    <row r="1979" customFormat="false" ht="15" hidden="false" customHeight="false" outlineLevel="0" collapsed="false">
      <c r="A1979" s="7" t="s">
        <v>2860</v>
      </c>
      <c r="B1979" s="7" t="s">
        <v>1879</v>
      </c>
      <c r="C1979" s="7"/>
      <c r="D1979" s="6" t="s">
        <v>74</v>
      </c>
      <c r="E1979" s="6" t="s">
        <v>1880</v>
      </c>
      <c r="F1979" s="7" t="str">
        <f aca="false">IF($D1979="","",IFERROR(IF(INDEX(Hierarchy!$B$2:$B$1295,MATCH($D1979,Hierarchy!$A$2:$A$1295,0))="","",INDEX(Hierarchy!$B$2:$B$1295,MATCH($D1979,Hierarchy!$A$2:$A$1295,0))),"NODE NOT FOUND"))</f>
        <v>Region</v>
      </c>
      <c r="G1979" s="7" t="str">
        <f aca="false">IF($D1979="","",IFERROR(IF(INDEX(Hierarchy!$D$2:$D$1295,MATCH($D1979,Hierarchy!$A$2:$A$1295,0))="","",INDEX(Hierarchy!$D$2:$D$1295,MATCH($D1979,Hierarchy!$A$2:$A$1295,0))),"NODE NOT FOUND"))</f>
        <v>AMER</v>
      </c>
      <c r="H1979" s="7" t="str">
        <f aca="false">IF($D1979="","",IFERROR(IF(INDEX(Hierarchy!$E$2:$E$1295,MATCH($D1979,Hierarchy!$A$2:$A$1295,0))="","",INDEX(Hierarchy!$E$2:$E$1295,MATCH($D1979,Hierarchy!$A$2:$A$1295,0))),"NODE NOT FOUND"))</f>
        <v/>
      </c>
      <c r="I1979" s="7" t="str">
        <f aca="false">IF($D1979="","",IFERROR(IF(INDEX(Hierarchy!$F$2:$F$1295,MATCH($D1979,Hierarchy!$A$2:$A$1295,0))="","",INDEX(Hierarchy!$F$2:$F$1295,MATCH($D1979,Hierarchy!$A$2:$A$1295,0))),"NODE NOT FOUND"))</f>
        <v/>
      </c>
      <c r="J1979" s="7" t="str">
        <f aca="false">IF($D1979="","",IFERROR(IF(INDEX(Hierarchy!$G$2:$G$1295,MATCH($D1979,Hierarchy!$A$2:$A$1295,0))="","",INDEX(Hierarchy!$G$2:$G$1295,MATCH($D1979,Hierarchy!$A$2:$A$1295,0))),"NODE NOT FOUND"))</f>
        <v/>
      </c>
      <c r="K1979" s="7" t="str">
        <f aca="false">IF($D1979="","",IFERROR(IF(INDEX(Hierarchy!$H$2:$H$1295,MATCH($D1979,Hierarchy!$A$2:$A$1295,0))="","",INDEX(Hierarchy!$H$2:$H$1295,MATCH($D1979,Hierarchy!$A$2:$A$1295,0))),"NODE NOT FOUND"))</f>
        <v/>
      </c>
      <c r="L1979" s="7" t="str">
        <f aca="false">IF($D1979="","",IFERROR(IF(INDEX(Hierarchy!$I$2:$I$1295,MATCH($D1979,Hierarchy!$A$2:$A$1295,0))="","",INDEX(Hierarchy!$I$2:$I$1295,MATCH($D1979,Hierarchy!$A$2:$A$1295,0))),"NODE NOT FOUND"))</f>
        <v/>
      </c>
      <c r="M1979" s="17" t="str">
        <f aca="false">IF(B1979="Pre-seeded","Pre-seeded",IF(B1979="Review 2026-09-16","Added from review",IF(C1979="","New",IF(C1979=D1979,"","Changed"))))</f>
        <v>Pre-seeded</v>
      </c>
      <c r="N1979" s="7" t="str">
        <f aca="false">TRIM(SUBSTITUTE(SUBSTITUTE(SUBSTITUTE(" "&amp;TRIM(SUBSTITUTE(SUBSTITUTE(SUBSTITUTE(SUBSTITUTE(SUBSTITUTE(SUBSTITUTE(SUBSTITUTE(SUBSTITUTE(SUBSTITUTE(SUBSTITUTE(SUBSTITUTE(SUBSTITUTE(SUBSTITUTE(SUBSTITUTE(SUBSTITUTE(UPPER(TRIM(A1979)),"[MEMBER]",""),"{MEMBER}",""),"[MEMBER}",""),"MEMBER]",""),"(A)",""),"""",""),"“",""),"”",""),".",""),":",""),",",""),"–"," "),"-"," "),"/"," "),"&amp;"," AND "))&amp;" "," THE "," ")," TOTAL "," ")," OPERATIONS "," "))</f>
        <v>WESTERN HEMISPHERE</v>
      </c>
      <c r="O1979" s="17" t="str">
        <f aca="false">IF(COUNTIFS($N$2:$N$2000,N1979,$D$2:$D$2000,"&lt;&gt;"&amp;D1979)&gt;0,"CONFLICT","")</f>
        <v/>
      </c>
      <c r="P1979" s="7"/>
    </row>
    <row r="1980" customFormat="false" ht="15" hidden="false" customHeight="false" outlineLevel="0" collapsed="false">
      <c r="A1980" s="7" t="s">
        <v>1417</v>
      </c>
      <c r="B1980" s="7" t="s">
        <v>1879</v>
      </c>
      <c r="C1980" s="7"/>
      <c r="D1980" s="6" t="s">
        <v>1417</v>
      </c>
      <c r="E1980" s="6" t="s">
        <v>1880</v>
      </c>
      <c r="F1980" s="7" t="str">
        <f aca="false">IF($D1980="","",IFERROR(IF(INDEX(Hierarchy!$B$2:$B$1295,MATCH($D1980,Hierarchy!$A$2:$A$1295,0))="","",INDEX(Hierarchy!$B$2:$B$1295,MATCH($D1980,Hierarchy!$A$2:$A$1295,0))),"NODE NOT FOUND"))</f>
        <v>State/Province</v>
      </c>
      <c r="G1980" s="7" t="str">
        <f aca="false">IF($D1980="","",IFERROR(IF(INDEX(Hierarchy!$D$2:$D$1295,MATCH($D1980,Hierarchy!$A$2:$A$1295,0))="","",INDEX(Hierarchy!$D$2:$D$1295,MATCH($D1980,Hierarchy!$A$2:$A$1295,0))),"NODE NOT FOUND"))</f>
        <v>APAC</v>
      </c>
      <c r="H1980" s="7" t="str">
        <f aca="false">IF($D1980="","",IFERROR(IF(INDEX(Hierarchy!$E$2:$E$1295,MATCH($D1980,Hierarchy!$A$2:$A$1295,0))="","",INDEX(Hierarchy!$E$2:$E$1295,MATCH($D1980,Hierarchy!$A$2:$A$1295,0))),"NODE NOT FOUND"))</f>
        <v>South Asia</v>
      </c>
      <c r="I1980" s="7" t="str">
        <f aca="false">IF($D1980="","",IFERROR(IF(INDEX(Hierarchy!$F$2:$F$1295,MATCH($D1980,Hierarchy!$A$2:$A$1295,0))="","",INDEX(Hierarchy!$F$2:$F$1295,MATCH($D1980,Hierarchy!$A$2:$A$1295,0))),"NODE NOT FOUND"))</f>
        <v>Sri Lanka</v>
      </c>
      <c r="J1980" s="7" t="str">
        <f aca="false">IF($D1980="","",IFERROR(IF(INDEX(Hierarchy!$G$2:$G$1295,MATCH($D1980,Hierarchy!$A$2:$A$1295,0))="","",INDEX(Hierarchy!$G$2:$G$1295,MATCH($D1980,Hierarchy!$A$2:$A$1295,0))),"NODE NOT FOUND"))</f>
        <v>LKA</v>
      </c>
      <c r="K1980" s="7" t="str">
        <f aca="false">IF($D1980="","",IFERROR(IF(INDEX(Hierarchy!$H$2:$H$1295,MATCH($D1980,Hierarchy!$A$2:$A$1295,0))="","",INDEX(Hierarchy!$H$2:$H$1295,MATCH($D1980,Hierarchy!$A$2:$A$1295,0))),"NODE NOT FOUND"))</f>
        <v>Western Province (Sri Lanka)</v>
      </c>
      <c r="L1980" s="7" t="str">
        <f aca="false">IF($D1980="","",IFERROR(IF(INDEX(Hierarchy!$I$2:$I$1295,MATCH($D1980,Hierarchy!$A$2:$A$1295,0))="","",INDEX(Hierarchy!$I$2:$I$1295,MATCH($D1980,Hierarchy!$A$2:$A$1295,0))),"NODE NOT FOUND"))</f>
        <v/>
      </c>
      <c r="M1980" s="17" t="str">
        <f aca="false">IF(B1980="Pre-seeded","Pre-seeded",IF(B1980="Review 2026-09-16","Added from review",IF(C1980="","New",IF(C1980=D1980,"","Changed"))))</f>
        <v>Pre-seeded</v>
      </c>
      <c r="N1980" s="7" t="str">
        <f aca="false">TRIM(SUBSTITUTE(SUBSTITUTE(SUBSTITUTE(" "&amp;TRIM(SUBSTITUTE(SUBSTITUTE(SUBSTITUTE(SUBSTITUTE(SUBSTITUTE(SUBSTITUTE(SUBSTITUTE(SUBSTITUTE(SUBSTITUTE(SUBSTITUTE(SUBSTITUTE(SUBSTITUTE(SUBSTITUTE(SUBSTITUTE(SUBSTITUTE(UPPER(TRIM(A1980)),"[MEMBER]",""),"{MEMBER}",""),"[MEMBER}",""),"MEMBER]",""),"(A)",""),"""",""),"“",""),"”",""),".",""),":",""),",",""),"–"," "),"-"," "),"/"," "),"&amp;"," AND "))&amp;" "," THE "," ")," TOTAL "," ")," OPERATIONS "," "))</f>
        <v>WESTERN PROVINCE (SRI LANKA)</v>
      </c>
      <c r="O1980" s="17" t="str">
        <f aca="false">IF(COUNTIFS($N$2:$N$2000,N1980,$D$2:$D$2000,"&lt;&gt;"&amp;D1980)&gt;0,"CONFLICT","")</f>
        <v/>
      </c>
      <c r="P1980" s="7"/>
    </row>
    <row r="1981" customFormat="false" ht="15" hidden="false" customHeight="false" outlineLevel="0" collapsed="false">
      <c r="A1981" s="7" t="s">
        <v>2861</v>
      </c>
      <c r="B1981" s="7" t="s">
        <v>1882</v>
      </c>
      <c r="C1981" s="7" t="s">
        <v>2861</v>
      </c>
      <c r="D1981" s="6" t="s">
        <v>124</v>
      </c>
      <c r="E1981" s="6" t="s">
        <v>1880</v>
      </c>
      <c r="F1981" s="7" t="str">
        <f aca="false">IF($D1981="","",IFERROR(IF(INDEX(Hierarchy!$B$2:$B$1295,MATCH($D1981,Hierarchy!$A$2:$A$1295,0))="","",INDEX(Hierarchy!$B$2:$B$1295,MATCH($D1981,Hierarchy!$A$2:$A$1295,0))),"NODE NOT FOUND"))</f>
        <v>Sub-national region</v>
      </c>
      <c r="G1981" s="7" t="str">
        <f aca="false">IF($D1981="","",IFERROR(IF(INDEX(Hierarchy!$D$2:$D$1295,MATCH($D1981,Hierarchy!$A$2:$A$1295,0))="","",INDEX(Hierarchy!$D$2:$D$1295,MATCH($D1981,Hierarchy!$A$2:$A$1295,0))),"NODE NOT FOUND"))</f>
        <v>AMER</v>
      </c>
      <c r="H1981" s="7" t="str">
        <f aca="false">IF($D1981="","",IFERROR(IF(INDEX(Hierarchy!$E$2:$E$1295,MATCH($D1981,Hierarchy!$A$2:$A$1295,0))="","",INDEX(Hierarchy!$E$2:$E$1295,MATCH($D1981,Hierarchy!$A$2:$A$1295,0))),"NODE NOT FOUND"))</f>
        <v>North America (NORAM)</v>
      </c>
      <c r="I1981" s="7" t="str">
        <f aca="false">IF($D1981="","",IFERROR(IF(INDEX(Hierarchy!$F$2:$F$1295,MATCH($D1981,Hierarchy!$A$2:$A$1295,0))="","",INDEX(Hierarchy!$F$2:$F$1295,MATCH($D1981,Hierarchy!$A$2:$A$1295,0))),"NODE NOT FOUND"))</f>
        <v>United States</v>
      </c>
      <c r="J1981" s="7" t="str">
        <f aca="false">IF($D1981="","",IFERROR(IF(INDEX(Hierarchy!$G$2:$G$1295,MATCH($D1981,Hierarchy!$A$2:$A$1295,0))="","",INDEX(Hierarchy!$G$2:$G$1295,MATCH($D1981,Hierarchy!$A$2:$A$1295,0))),"NODE NOT FOUND"))</f>
        <v>USA</v>
      </c>
      <c r="K1981" s="7" t="str">
        <f aca="false">IF($D1981="","",IFERROR(IF(INDEX(Hierarchy!$H$2:$H$1295,MATCH($D1981,Hierarchy!$A$2:$A$1295,0))="","",INDEX(Hierarchy!$H$2:$H$1295,MATCH($D1981,Hierarchy!$A$2:$A$1295,0))),"NODE NOT FOUND"))</f>
        <v/>
      </c>
      <c r="L1981" s="7" t="str">
        <f aca="false">IF($D1981="","",IFERROR(IF(INDEX(Hierarchy!$I$2:$I$1295,MATCH($D1981,Hierarchy!$A$2:$A$1295,0))="","",INDEX(Hierarchy!$I$2:$I$1295,MATCH($D1981,Hierarchy!$A$2:$A$1295,0))),"NODE NOT FOUND"))</f>
        <v/>
      </c>
      <c r="M1981" s="17" t="str">
        <f aca="false">IF(B1981="Pre-seeded","Pre-seeded",IF(B1981="Review 2026-09-16","Added from review",IF(C1981="","New",IF(C1981=D1981,"","Changed"))))</f>
        <v>Changed</v>
      </c>
      <c r="N1981" s="7" t="str">
        <f aca="false">TRIM(SUBSTITUTE(SUBSTITUTE(SUBSTITUTE(" "&amp;TRIM(SUBSTITUTE(SUBSTITUTE(SUBSTITUTE(SUBSTITUTE(SUBSTITUTE(SUBSTITUTE(SUBSTITUTE(SUBSTITUTE(SUBSTITUTE(SUBSTITUTE(SUBSTITUTE(SUBSTITUTE(SUBSTITUTE(SUBSTITUTE(SUBSTITUTE(UPPER(TRIM(A1981)),"[MEMBER]",""),"{MEMBER}",""),"[MEMBER}",""),"MEMBER]",""),"(A)",""),"""",""),"“",""),"”",""),".",""),":",""),",",""),"–"," "),"-"," "),"/"," "),"&amp;"," AND "))&amp;" "," THE "," ")," TOTAL "," ")," OPERATIONS "," "))</f>
        <v>WESTERN REGION</v>
      </c>
      <c r="O1981" s="17" t="str">
        <f aca="false">IF(COUNTIFS($N$2:$N$2000,N1981,$D$2:$D$2000,"&lt;&gt;"&amp;D1981)&gt;0,"CONFLICT","")</f>
        <v/>
      </c>
      <c r="P1981" s="7"/>
    </row>
    <row r="1982" customFormat="false" ht="15" hidden="false" customHeight="false" outlineLevel="0" collapsed="false">
      <c r="A1982" s="7" t="s">
        <v>1304</v>
      </c>
      <c r="B1982" s="7" t="s">
        <v>1879</v>
      </c>
      <c r="C1982" s="7"/>
      <c r="D1982" s="6" t="s">
        <v>1304</v>
      </c>
      <c r="E1982" s="6" t="s">
        <v>1880</v>
      </c>
      <c r="F1982" s="7" t="str">
        <f aca="false">IF($D1982="","",IFERROR(IF(INDEX(Hierarchy!$B$2:$B$1295,MATCH($D1982,Hierarchy!$A$2:$A$1295,0))="","",INDEX(Hierarchy!$B$2:$B$1295,MATCH($D1982,Hierarchy!$A$2:$A$1295,0))),"NODE NOT FOUND"))</f>
        <v>Country</v>
      </c>
      <c r="G1982" s="7" t="str">
        <f aca="false">IF($D1982="","",IFERROR(IF(INDEX(Hierarchy!$D$2:$D$1295,MATCH($D1982,Hierarchy!$A$2:$A$1295,0))="","",INDEX(Hierarchy!$D$2:$D$1295,MATCH($D1982,Hierarchy!$A$2:$A$1295,0))),"NODE NOT FOUND"))</f>
        <v>EMEA</v>
      </c>
      <c r="H1982" s="7" t="str">
        <f aca="false">IF($D1982="","",IFERROR(IF(INDEX(Hierarchy!$E$2:$E$1295,MATCH($D1982,Hierarchy!$A$2:$A$1295,0))="","",INDEX(Hierarchy!$E$2:$E$1295,MATCH($D1982,Hierarchy!$A$2:$A$1295,0))),"NODE NOT FOUND"))</f>
        <v>Africa</v>
      </c>
      <c r="I1982" s="7" t="str">
        <f aca="false">IF($D1982="","",IFERROR(IF(INDEX(Hierarchy!$F$2:$F$1295,MATCH($D1982,Hierarchy!$A$2:$A$1295,0))="","",INDEX(Hierarchy!$F$2:$F$1295,MATCH($D1982,Hierarchy!$A$2:$A$1295,0))),"NODE NOT FOUND"))</f>
        <v>Western Sahara</v>
      </c>
      <c r="J1982" s="7" t="str">
        <f aca="false">IF($D1982="","",IFERROR(IF(INDEX(Hierarchy!$G$2:$G$1295,MATCH($D1982,Hierarchy!$A$2:$A$1295,0))="","",INDEX(Hierarchy!$G$2:$G$1295,MATCH($D1982,Hierarchy!$A$2:$A$1295,0))),"NODE NOT FOUND"))</f>
        <v>ESH</v>
      </c>
      <c r="K1982" s="7" t="str">
        <f aca="false">IF($D1982="","",IFERROR(IF(INDEX(Hierarchy!$H$2:$H$1295,MATCH($D1982,Hierarchy!$A$2:$A$1295,0))="","",INDEX(Hierarchy!$H$2:$H$1295,MATCH($D1982,Hierarchy!$A$2:$A$1295,0))),"NODE NOT FOUND"))</f>
        <v/>
      </c>
      <c r="L1982" s="7" t="str">
        <f aca="false">IF($D1982="","",IFERROR(IF(INDEX(Hierarchy!$I$2:$I$1295,MATCH($D1982,Hierarchy!$A$2:$A$1295,0))="","",INDEX(Hierarchy!$I$2:$I$1295,MATCH($D1982,Hierarchy!$A$2:$A$1295,0))),"NODE NOT FOUND"))</f>
        <v/>
      </c>
      <c r="M1982" s="17" t="str">
        <f aca="false">IF(B1982="Pre-seeded","Pre-seeded",IF(B1982="Review 2026-09-16","Added from review",IF(C1982="","New",IF(C1982=D1982,"","Changed"))))</f>
        <v>Pre-seeded</v>
      </c>
      <c r="N1982" s="7" t="str">
        <f aca="false">TRIM(SUBSTITUTE(SUBSTITUTE(SUBSTITUTE(" "&amp;TRIM(SUBSTITUTE(SUBSTITUTE(SUBSTITUTE(SUBSTITUTE(SUBSTITUTE(SUBSTITUTE(SUBSTITUTE(SUBSTITUTE(SUBSTITUTE(SUBSTITUTE(SUBSTITUTE(SUBSTITUTE(SUBSTITUTE(SUBSTITUTE(SUBSTITUTE(UPPER(TRIM(A1982)),"[MEMBER]",""),"{MEMBER}",""),"[MEMBER}",""),"MEMBER]",""),"(A)",""),"""",""),"“",""),"”",""),".",""),":",""),",",""),"–"," "),"-"," "),"/"," "),"&amp;"," AND "))&amp;" "," THE "," ")," TOTAL "," ")," OPERATIONS "," "))</f>
        <v>WESTERN SAHARA</v>
      </c>
      <c r="O1982" s="17" t="str">
        <f aca="false">IF(COUNTIFS($N$2:$N$2000,N1982,$D$2:$D$2000,"&lt;&gt;"&amp;D1982)&gt;0,"CONFLICT","")</f>
        <v/>
      </c>
      <c r="P1982" s="7"/>
    </row>
    <row r="1983" customFormat="false" ht="15" hidden="false" customHeight="false" outlineLevel="0" collapsed="false">
      <c r="A1983" s="7" t="s">
        <v>1679</v>
      </c>
      <c r="B1983" s="7" t="s">
        <v>1879</v>
      </c>
      <c r="C1983" s="7"/>
      <c r="D1983" s="6" t="s">
        <v>1679</v>
      </c>
      <c r="E1983" s="6" t="s">
        <v>1880</v>
      </c>
      <c r="F1983" s="7" t="str">
        <f aca="false">IF($D1983="","",IFERROR(IF(INDEX(Hierarchy!$B$2:$B$1295,MATCH($D1983,Hierarchy!$A$2:$A$1295,0))="","",INDEX(Hierarchy!$B$2:$B$1295,MATCH($D1983,Hierarchy!$A$2:$A$1295,0))),"NODE NOT FOUND"))</f>
        <v>State/Province</v>
      </c>
      <c r="G1983" s="7" t="str">
        <f aca="false">IF($D1983="","",IFERROR(IF(INDEX(Hierarchy!$D$2:$D$1295,MATCH($D1983,Hierarchy!$A$2:$A$1295,0))="","",INDEX(Hierarchy!$D$2:$D$1295,MATCH($D1983,Hierarchy!$A$2:$A$1295,0))),"NODE NOT FOUND"))</f>
        <v>APAC</v>
      </c>
      <c r="H1983" s="7" t="str">
        <f aca="false">IF($D1983="","",IFERROR(IF(INDEX(Hierarchy!$E$2:$E$1295,MATCH($D1983,Hierarchy!$A$2:$A$1295,0))="","",INDEX(Hierarchy!$E$2:$E$1295,MATCH($D1983,Hierarchy!$A$2:$A$1295,0))),"NODE NOT FOUND"))</f>
        <v>Southeast Asia (ASEAN)</v>
      </c>
      <c r="I1983" s="7" t="str">
        <f aca="false">IF($D1983="","",IFERROR(IF(INDEX(Hierarchy!$F$2:$F$1295,MATCH($D1983,Hierarchy!$A$2:$A$1295,0))="","",INDEX(Hierarchy!$F$2:$F$1295,MATCH($D1983,Hierarchy!$A$2:$A$1295,0))),"NODE NOT FOUND"))</f>
        <v>Philippines</v>
      </c>
      <c r="J1983" s="7" t="str">
        <f aca="false">IF($D1983="","",IFERROR(IF(INDEX(Hierarchy!$G$2:$G$1295,MATCH($D1983,Hierarchy!$A$2:$A$1295,0))="","",INDEX(Hierarchy!$G$2:$G$1295,MATCH($D1983,Hierarchy!$A$2:$A$1295,0))),"NODE NOT FOUND"))</f>
        <v>PHL</v>
      </c>
      <c r="K1983" s="7" t="str">
        <f aca="false">IF($D1983="","",IFERROR(IF(INDEX(Hierarchy!$H$2:$H$1295,MATCH($D1983,Hierarchy!$A$2:$A$1295,0))="","",INDEX(Hierarchy!$H$2:$H$1295,MATCH($D1983,Hierarchy!$A$2:$A$1295,0))),"NODE NOT FOUND"))</f>
        <v>Western Visayas</v>
      </c>
      <c r="L1983" s="7" t="str">
        <f aca="false">IF($D1983="","",IFERROR(IF(INDEX(Hierarchy!$I$2:$I$1295,MATCH($D1983,Hierarchy!$A$2:$A$1295,0))="","",INDEX(Hierarchy!$I$2:$I$1295,MATCH($D1983,Hierarchy!$A$2:$A$1295,0))),"NODE NOT FOUND"))</f>
        <v/>
      </c>
      <c r="M1983" s="17" t="str">
        <f aca="false">IF(B1983="Pre-seeded","Pre-seeded",IF(B1983="Review 2026-09-16","Added from review",IF(C1983="","New",IF(C1983=D1983,"","Changed"))))</f>
        <v>Pre-seeded</v>
      </c>
      <c r="N1983" s="7" t="str">
        <f aca="false">TRIM(SUBSTITUTE(SUBSTITUTE(SUBSTITUTE(" "&amp;TRIM(SUBSTITUTE(SUBSTITUTE(SUBSTITUTE(SUBSTITUTE(SUBSTITUTE(SUBSTITUTE(SUBSTITUTE(SUBSTITUTE(SUBSTITUTE(SUBSTITUTE(SUBSTITUTE(SUBSTITUTE(SUBSTITUTE(SUBSTITUTE(SUBSTITUTE(UPPER(TRIM(A1983)),"[MEMBER]",""),"{MEMBER}",""),"[MEMBER}",""),"MEMBER]",""),"(A)",""),"""",""),"“",""),"”",""),".",""),":",""),",",""),"–"," "),"-"," "),"/"," "),"&amp;"," AND "))&amp;" "," THE "," ")," TOTAL "," ")," OPERATIONS "," "))</f>
        <v>WESTERN VISAYAS</v>
      </c>
      <c r="O1983" s="17" t="str">
        <f aca="false">IF(COUNTIFS($N$2:$N$2000,N1983,$D$2:$D$2000,"&lt;&gt;"&amp;D1983)&gt;0,"CONFLICT","")</f>
        <v/>
      </c>
      <c r="P1983" s="7"/>
    </row>
    <row r="1984" customFormat="false" ht="15" hidden="false" customHeight="false" outlineLevel="0" collapsed="false">
      <c r="A1984" s="7" t="s">
        <v>264</v>
      </c>
      <c r="B1984" s="7" t="s">
        <v>1882</v>
      </c>
      <c r="C1984" s="7" t="s">
        <v>264</v>
      </c>
      <c r="D1984" s="6" t="s">
        <v>264</v>
      </c>
      <c r="E1984" s="6" t="s">
        <v>1880</v>
      </c>
      <c r="F1984" s="7" t="str">
        <f aca="false">IF($D1984="","",IFERROR(IF(INDEX(Hierarchy!$B$2:$B$1295,MATCH($D1984,Hierarchy!$A$2:$A$1295,0))="","",INDEX(Hierarchy!$B$2:$B$1295,MATCH($D1984,Hierarchy!$A$2:$A$1295,0))),"NODE NOT FOUND"))</f>
        <v>State/Province</v>
      </c>
      <c r="G1984" s="7" t="str">
        <f aca="false">IF($D1984="","",IFERROR(IF(INDEX(Hierarchy!$D$2:$D$1295,MATCH($D1984,Hierarchy!$A$2:$A$1295,0))="","",INDEX(Hierarchy!$D$2:$D$1295,MATCH($D1984,Hierarchy!$A$2:$A$1295,0))),"NODE NOT FOUND"))</f>
        <v>AMER</v>
      </c>
      <c r="H1984" s="7" t="str">
        <f aca="false">IF($D1984="","",IFERROR(IF(INDEX(Hierarchy!$E$2:$E$1295,MATCH($D1984,Hierarchy!$A$2:$A$1295,0))="","",INDEX(Hierarchy!$E$2:$E$1295,MATCH($D1984,Hierarchy!$A$2:$A$1295,0))),"NODE NOT FOUND"))</f>
        <v>North America (NORAM)</v>
      </c>
      <c r="I1984" s="7" t="str">
        <f aca="false">IF($D1984="","",IFERROR(IF(INDEX(Hierarchy!$F$2:$F$1295,MATCH($D1984,Hierarchy!$A$2:$A$1295,0))="","",INDEX(Hierarchy!$F$2:$F$1295,MATCH($D1984,Hierarchy!$A$2:$A$1295,0))),"NODE NOT FOUND"))</f>
        <v>United States</v>
      </c>
      <c r="J1984" s="7" t="str">
        <f aca="false">IF($D1984="","",IFERROR(IF(INDEX(Hierarchy!$G$2:$G$1295,MATCH($D1984,Hierarchy!$A$2:$A$1295,0))="","",INDEX(Hierarchy!$G$2:$G$1295,MATCH($D1984,Hierarchy!$A$2:$A$1295,0))),"NODE NOT FOUND"))</f>
        <v>USA</v>
      </c>
      <c r="K1984" s="7" t="str">
        <f aca="false">IF($D1984="","",IFERROR(IF(INDEX(Hierarchy!$H$2:$H$1295,MATCH($D1984,Hierarchy!$A$2:$A$1295,0))="","",INDEX(Hierarchy!$H$2:$H$1295,MATCH($D1984,Hierarchy!$A$2:$A$1295,0))),"NODE NOT FOUND"))</f>
        <v>Wisconsin</v>
      </c>
      <c r="L1984" s="7" t="str">
        <f aca="false">IF($D1984="","",IFERROR(IF(INDEX(Hierarchy!$I$2:$I$1295,MATCH($D1984,Hierarchy!$A$2:$A$1295,0))="","",INDEX(Hierarchy!$I$2:$I$1295,MATCH($D1984,Hierarchy!$A$2:$A$1295,0))),"NODE NOT FOUND"))</f>
        <v/>
      </c>
      <c r="M1984" s="17" t="str">
        <f aca="false">IF(B1984="Pre-seeded","Pre-seeded",IF(B1984="Review 2026-09-16","Added from review",IF(C1984="","New",IF(C1984=D1984,"","Changed"))))</f>
        <v/>
      </c>
      <c r="N1984" s="7" t="str">
        <f aca="false">TRIM(SUBSTITUTE(SUBSTITUTE(SUBSTITUTE(" "&amp;TRIM(SUBSTITUTE(SUBSTITUTE(SUBSTITUTE(SUBSTITUTE(SUBSTITUTE(SUBSTITUTE(SUBSTITUTE(SUBSTITUTE(SUBSTITUTE(SUBSTITUTE(SUBSTITUTE(SUBSTITUTE(SUBSTITUTE(SUBSTITUTE(SUBSTITUTE(UPPER(TRIM(A1984)),"[MEMBER]",""),"{MEMBER}",""),"[MEMBER}",""),"MEMBER]",""),"(A)",""),"""",""),"“",""),"”",""),".",""),":",""),",",""),"–"," "),"-"," "),"/"," "),"&amp;"," AND "))&amp;" "," THE "," ")," TOTAL "," ")," OPERATIONS "," "))</f>
        <v>WISCONSIN</v>
      </c>
      <c r="O1984" s="17" t="str">
        <f aca="false">IF(COUNTIFS($N$2:$N$2000,N1984,$D$2:$D$2000,"&lt;&gt;"&amp;D1984)&gt;0,"CONFLICT","")</f>
        <v/>
      </c>
      <c r="P1984" s="7"/>
    </row>
    <row r="1985" customFormat="false" ht="15" hidden="false" customHeight="false" outlineLevel="0" collapsed="false">
      <c r="A1985" s="7" t="s">
        <v>2862</v>
      </c>
      <c r="B1985" s="7" t="s">
        <v>1882</v>
      </c>
      <c r="C1985" s="7" t="s">
        <v>264</v>
      </c>
      <c r="D1985" s="6" t="s">
        <v>264</v>
      </c>
      <c r="E1985" s="6" t="s">
        <v>1880</v>
      </c>
      <c r="F1985" s="7" t="str">
        <f aca="false">IF($D1985="","",IFERROR(IF(INDEX(Hierarchy!$B$2:$B$1295,MATCH($D1985,Hierarchy!$A$2:$A$1295,0))="","",INDEX(Hierarchy!$B$2:$B$1295,MATCH($D1985,Hierarchy!$A$2:$A$1295,0))),"NODE NOT FOUND"))</f>
        <v>State/Province</v>
      </c>
      <c r="G1985" s="7" t="str">
        <f aca="false">IF($D1985="","",IFERROR(IF(INDEX(Hierarchy!$D$2:$D$1295,MATCH($D1985,Hierarchy!$A$2:$A$1295,0))="","",INDEX(Hierarchy!$D$2:$D$1295,MATCH($D1985,Hierarchy!$A$2:$A$1295,0))),"NODE NOT FOUND"))</f>
        <v>AMER</v>
      </c>
      <c r="H1985" s="7" t="str">
        <f aca="false">IF($D1985="","",IFERROR(IF(INDEX(Hierarchy!$E$2:$E$1295,MATCH($D1985,Hierarchy!$A$2:$A$1295,0))="","",INDEX(Hierarchy!$E$2:$E$1295,MATCH($D1985,Hierarchy!$A$2:$A$1295,0))),"NODE NOT FOUND"))</f>
        <v>North America (NORAM)</v>
      </c>
      <c r="I1985" s="7" t="str">
        <f aca="false">IF($D1985="","",IFERROR(IF(INDEX(Hierarchy!$F$2:$F$1295,MATCH($D1985,Hierarchy!$A$2:$A$1295,0))="","",INDEX(Hierarchy!$F$2:$F$1295,MATCH($D1985,Hierarchy!$A$2:$A$1295,0))),"NODE NOT FOUND"))</f>
        <v>United States</v>
      </c>
      <c r="J1985" s="7" t="str">
        <f aca="false">IF($D1985="","",IFERROR(IF(INDEX(Hierarchy!$G$2:$G$1295,MATCH($D1985,Hierarchy!$A$2:$A$1295,0))="","",INDEX(Hierarchy!$G$2:$G$1295,MATCH($D1985,Hierarchy!$A$2:$A$1295,0))),"NODE NOT FOUND"))</f>
        <v>USA</v>
      </c>
      <c r="K1985" s="7" t="str">
        <f aca="false">IF($D1985="","",IFERROR(IF(INDEX(Hierarchy!$H$2:$H$1295,MATCH($D1985,Hierarchy!$A$2:$A$1295,0))="","",INDEX(Hierarchy!$H$2:$H$1295,MATCH($D1985,Hierarchy!$A$2:$A$1295,0))),"NODE NOT FOUND"))</f>
        <v>Wisconsin</v>
      </c>
      <c r="L1985" s="7" t="str">
        <f aca="false">IF($D1985="","",IFERROR(IF(INDEX(Hierarchy!$I$2:$I$1295,MATCH($D1985,Hierarchy!$A$2:$A$1295,0))="","",INDEX(Hierarchy!$I$2:$I$1295,MATCH($D1985,Hierarchy!$A$2:$A$1295,0))),"NODE NOT FOUND"))</f>
        <v/>
      </c>
      <c r="M1985" s="17" t="str">
        <f aca="false">IF(B1985="Pre-seeded","Pre-seeded",IF(B1985="Review 2026-09-16","Added from review",IF(C1985="","New",IF(C1985=D1985,"","Changed"))))</f>
        <v/>
      </c>
      <c r="N1985" s="7" t="str">
        <f aca="false">TRIM(SUBSTITUTE(SUBSTITUTE(SUBSTITUTE(" "&amp;TRIM(SUBSTITUTE(SUBSTITUTE(SUBSTITUTE(SUBSTITUTE(SUBSTITUTE(SUBSTITUTE(SUBSTITUTE(SUBSTITUTE(SUBSTITUTE(SUBSTITUTE(SUBSTITUTE(SUBSTITUTE(SUBSTITUTE(SUBSTITUTE(SUBSTITUTE(UPPER(TRIM(A1985)),"[MEMBER]",""),"{MEMBER}",""),"[MEMBER}",""),"MEMBER]",""),"(A)",""),"""",""),"“",""),"”",""),".",""),":",""),",",""),"–"," "),"-"," "),"/"," "),"&amp;"," AND "))&amp;" "," THE "," ")," TOTAL "," ")," OPERATIONS "," "))</f>
        <v>WISCONSIN</v>
      </c>
      <c r="O1985" s="17" t="str">
        <f aca="false">IF(COUNTIFS($N$2:$N$2000,N1985,$D$2:$D$2000,"&lt;&gt;"&amp;D1985)&gt;0,"CONFLICT","")</f>
        <v/>
      </c>
      <c r="P1985" s="7"/>
    </row>
    <row r="1986" customFormat="false" ht="15" hidden="false" customHeight="false" outlineLevel="0" collapsed="false">
      <c r="A1986" s="7" t="s">
        <v>2863</v>
      </c>
      <c r="B1986" s="7" t="s">
        <v>1879</v>
      </c>
      <c r="C1986" s="7"/>
      <c r="D1986" s="6" t="s">
        <v>3</v>
      </c>
      <c r="E1986" s="6" t="s">
        <v>1880</v>
      </c>
      <c r="F1986" s="7" t="str">
        <f aca="false">IF($D1986="","",IFERROR(IF(INDEX(Hierarchy!$B$2:$B$1295,MATCH($D1986,Hierarchy!$A$2:$A$1295,0))="","",INDEX(Hierarchy!$B$2:$B$1295,MATCH($D1986,Hierarchy!$A$2:$A$1295,0))),"NODE NOT FOUND"))</f>
        <v>Global</v>
      </c>
      <c r="G1986" s="7" t="str">
        <f aca="false">IF($D1986="","",IFERROR(IF(INDEX(Hierarchy!$D$2:$D$1295,MATCH($D1986,Hierarchy!$A$2:$A$1295,0))="","",INDEX(Hierarchy!$D$2:$D$1295,MATCH($D1986,Hierarchy!$A$2:$A$1295,0))),"NODE NOT FOUND"))</f>
        <v>Global</v>
      </c>
      <c r="H1986" s="7" t="str">
        <f aca="false">IF($D1986="","",IFERROR(IF(INDEX(Hierarchy!$E$2:$E$1295,MATCH($D1986,Hierarchy!$A$2:$A$1295,0))="","",INDEX(Hierarchy!$E$2:$E$1295,MATCH($D1986,Hierarchy!$A$2:$A$1295,0))),"NODE NOT FOUND"))</f>
        <v/>
      </c>
      <c r="I1986" s="7" t="str">
        <f aca="false">IF($D1986="","",IFERROR(IF(INDEX(Hierarchy!$F$2:$F$1295,MATCH($D1986,Hierarchy!$A$2:$A$1295,0))="","",INDEX(Hierarchy!$F$2:$F$1295,MATCH($D1986,Hierarchy!$A$2:$A$1295,0))),"NODE NOT FOUND"))</f>
        <v/>
      </c>
      <c r="J1986" s="7" t="str">
        <f aca="false">IF($D1986="","",IFERROR(IF(INDEX(Hierarchy!$G$2:$G$1295,MATCH($D1986,Hierarchy!$A$2:$A$1295,0))="","",INDEX(Hierarchy!$G$2:$G$1295,MATCH($D1986,Hierarchy!$A$2:$A$1295,0))),"NODE NOT FOUND"))</f>
        <v/>
      </c>
      <c r="K1986" s="7" t="str">
        <f aca="false">IF($D1986="","",IFERROR(IF(INDEX(Hierarchy!$H$2:$H$1295,MATCH($D1986,Hierarchy!$A$2:$A$1295,0))="","",INDEX(Hierarchy!$H$2:$H$1295,MATCH($D1986,Hierarchy!$A$2:$A$1295,0))),"NODE NOT FOUND"))</f>
        <v/>
      </c>
      <c r="L1986" s="7" t="str">
        <f aca="false">IF($D1986="","",IFERROR(IF(INDEX(Hierarchy!$I$2:$I$1295,MATCH($D1986,Hierarchy!$A$2:$A$1295,0))="","",INDEX(Hierarchy!$I$2:$I$1295,MATCH($D1986,Hierarchy!$A$2:$A$1295,0))),"NODE NOT FOUND"))</f>
        <v/>
      </c>
      <c r="M1986" s="17" t="str">
        <f aca="false">IF(B1986="Pre-seeded","Pre-seeded",IF(B1986="Review 2026-09-16","Added from review",IF(C1986="","New",IF(C1986=D1986,"","Changed"))))</f>
        <v>Pre-seeded</v>
      </c>
      <c r="N1986" s="7" t="str">
        <f aca="false">TRIM(SUBSTITUTE(SUBSTITUTE(SUBSTITUTE(" "&amp;TRIM(SUBSTITUTE(SUBSTITUTE(SUBSTITUTE(SUBSTITUTE(SUBSTITUTE(SUBSTITUTE(SUBSTITUTE(SUBSTITUTE(SUBSTITUTE(SUBSTITUTE(SUBSTITUTE(SUBSTITUTE(SUBSTITUTE(SUBSTITUTE(SUBSTITUTE(UPPER(TRIM(A1986)),"[MEMBER]",""),"{MEMBER}",""),"[MEMBER}",""),"MEMBER]",""),"(A)",""),"""",""),"“",""),"”",""),".",""),":",""),",",""),"–"," "),"-"," "),"/"," "),"&amp;"," AND "))&amp;" "," THE "," ")," TOTAL "," ")," OPERATIONS "," "))</f>
        <v>WORLDWIDE</v>
      </c>
      <c r="O1986" s="17" t="str">
        <f aca="false">IF(COUNTIFS($N$2:$N$2000,N1986,$D$2:$D$2000,"&lt;&gt;"&amp;D1986)&gt;0,"CONFLICT","")</f>
        <v/>
      </c>
      <c r="P1986" s="7"/>
    </row>
    <row r="1987" customFormat="false" ht="15" hidden="false" customHeight="false" outlineLevel="0" collapsed="false">
      <c r="A1987" s="7" t="s">
        <v>1524</v>
      </c>
      <c r="B1987" s="7" t="s">
        <v>1882</v>
      </c>
      <c r="C1987" s="7" t="s">
        <v>1524</v>
      </c>
      <c r="D1987" s="6" t="s">
        <v>1524</v>
      </c>
      <c r="E1987" s="6" t="s">
        <v>1880</v>
      </c>
      <c r="F1987" s="7" t="str">
        <f aca="false">IF($D1987="","",IFERROR(IF(INDEX(Hierarchy!$B$2:$B$1295,MATCH($D1987,Hierarchy!$A$2:$A$1295,0))="","",INDEX(Hierarchy!$B$2:$B$1295,MATCH($D1987,Hierarchy!$A$2:$A$1295,0))),"NODE NOT FOUND"))</f>
        <v>City</v>
      </c>
      <c r="G1987" s="7" t="str">
        <f aca="false">IF($D1987="","",IFERROR(IF(INDEX(Hierarchy!$D$2:$D$1295,MATCH($D1987,Hierarchy!$A$2:$A$1295,0))="","",INDEX(Hierarchy!$D$2:$D$1295,MATCH($D1987,Hierarchy!$A$2:$A$1295,0))),"NODE NOT FOUND"))</f>
        <v>APAC</v>
      </c>
      <c r="H1987" s="7" t="str">
        <f aca="false">IF($D1987="","",IFERROR(IF(INDEX(Hierarchy!$E$2:$E$1295,MATCH($D1987,Hierarchy!$A$2:$A$1295,0))="","",INDEX(Hierarchy!$E$2:$E$1295,MATCH($D1987,Hierarchy!$A$2:$A$1295,0))),"NODE NOT FOUND"))</f>
        <v>East Asia</v>
      </c>
      <c r="I1987" s="7" t="str">
        <f aca="false">IF($D1987="","",IFERROR(IF(INDEX(Hierarchy!$F$2:$F$1295,MATCH($D1987,Hierarchy!$A$2:$A$1295,0))="","",INDEX(Hierarchy!$F$2:$F$1295,MATCH($D1987,Hierarchy!$A$2:$A$1295,0))),"NODE NOT FOUND"))</f>
        <v>China</v>
      </c>
      <c r="J1987" s="7" t="str">
        <f aca="false">IF($D1987="","",IFERROR(IF(INDEX(Hierarchy!$G$2:$G$1295,MATCH($D1987,Hierarchy!$A$2:$A$1295,0))="","",INDEX(Hierarchy!$G$2:$G$1295,MATCH($D1987,Hierarchy!$A$2:$A$1295,0))),"NODE NOT FOUND"))</f>
        <v>CHN</v>
      </c>
      <c r="K1987" s="7" t="str">
        <f aca="false">IF($D1987="","",IFERROR(IF(INDEX(Hierarchy!$H$2:$H$1295,MATCH($D1987,Hierarchy!$A$2:$A$1295,0))="","",INDEX(Hierarchy!$H$2:$H$1295,MATCH($D1987,Hierarchy!$A$2:$A$1295,0))),"NODE NOT FOUND"))</f>
        <v>Jiangsu</v>
      </c>
      <c r="L1987" s="7" t="str">
        <f aca="false">IF($D1987="","",IFERROR(IF(INDEX(Hierarchy!$I$2:$I$1295,MATCH($D1987,Hierarchy!$A$2:$A$1295,0))="","",INDEX(Hierarchy!$I$2:$I$1295,MATCH($D1987,Hierarchy!$A$2:$A$1295,0))),"NODE NOT FOUND"))</f>
        <v>Wuxi</v>
      </c>
      <c r="M1987" s="17" t="str">
        <f aca="false">IF(B1987="Pre-seeded","Pre-seeded",IF(B1987="Review 2026-09-16","Added from review",IF(C1987="","New",IF(C1987=D1987,"","Changed"))))</f>
        <v/>
      </c>
      <c r="N1987" s="7" t="str">
        <f aca="false">TRIM(SUBSTITUTE(SUBSTITUTE(SUBSTITUTE(" "&amp;TRIM(SUBSTITUTE(SUBSTITUTE(SUBSTITUTE(SUBSTITUTE(SUBSTITUTE(SUBSTITUTE(SUBSTITUTE(SUBSTITUTE(SUBSTITUTE(SUBSTITUTE(SUBSTITUTE(SUBSTITUTE(SUBSTITUTE(SUBSTITUTE(SUBSTITUTE(UPPER(TRIM(A1987)),"[MEMBER]",""),"{MEMBER}",""),"[MEMBER}",""),"MEMBER]",""),"(A)",""),"""",""),"“",""),"”",""),".",""),":",""),",",""),"–"," "),"-"," "),"/"," "),"&amp;"," AND "))&amp;" "," THE "," ")," TOTAL "," ")," OPERATIONS "," "))</f>
        <v>WUXI</v>
      </c>
      <c r="O1987" s="17" t="str">
        <f aca="false">IF(COUNTIFS($N$2:$N$2000,N1987,$D$2:$D$2000,"&lt;&gt;"&amp;D1987)&gt;0,"CONFLICT","")</f>
        <v/>
      </c>
      <c r="P1987" s="7"/>
    </row>
    <row r="1988" customFormat="false" ht="15" hidden="false" customHeight="false" outlineLevel="0" collapsed="false">
      <c r="A1988" s="7" t="s">
        <v>266</v>
      </c>
      <c r="B1988" s="7" t="s">
        <v>1882</v>
      </c>
      <c r="C1988" s="7" t="s">
        <v>266</v>
      </c>
      <c r="D1988" s="6" t="s">
        <v>266</v>
      </c>
      <c r="E1988" s="6" t="s">
        <v>1880</v>
      </c>
      <c r="F1988" s="7" t="str">
        <f aca="false">IF($D1988="","",IFERROR(IF(INDEX(Hierarchy!$B$2:$B$1295,MATCH($D1988,Hierarchy!$A$2:$A$1295,0))="","",INDEX(Hierarchy!$B$2:$B$1295,MATCH($D1988,Hierarchy!$A$2:$A$1295,0))),"NODE NOT FOUND"))</f>
        <v>State/Province</v>
      </c>
      <c r="G1988" s="7" t="str">
        <f aca="false">IF($D1988="","",IFERROR(IF(INDEX(Hierarchy!$D$2:$D$1295,MATCH($D1988,Hierarchy!$A$2:$A$1295,0))="","",INDEX(Hierarchy!$D$2:$D$1295,MATCH($D1988,Hierarchy!$A$2:$A$1295,0))),"NODE NOT FOUND"))</f>
        <v>AMER</v>
      </c>
      <c r="H1988" s="7" t="str">
        <f aca="false">IF($D1988="","",IFERROR(IF(INDEX(Hierarchy!$E$2:$E$1295,MATCH($D1988,Hierarchy!$A$2:$A$1295,0))="","",INDEX(Hierarchy!$E$2:$E$1295,MATCH($D1988,Hierarchy!$A$2:$A$1295,0))),"NODE NOT FOUND"))</f>
        <v>North America (NORAM)</v>
      </c>
      <c r="I1988" s="7" t="str">
        <f aca="false">IF($D1988="","",IFERROR(IF(INDEX(Hierarchy!$F$2:$F$1295,MATCH($D1988,Hierarchy!$A$2:$A$1295,0))="","",INDEX(Hierarchy!$F$2:$F$1295,MATCH($D1988,Hierarchy!$A$2:$A$1295,0))),"NODE NOT FOUND"))</f>
        <v>United States</v>
      </c>
      <c r="J1988" s="7" t="str">
        <f aca="false">IF($D1988="","",IFERROR(IF(INDEX(Hierarchy!$G$2:$G$1295,MATCH($D1988,Hierarchy!$A$2:$A$1295,0))="","",INDEX(Hierarchy!$G$2:$G$1295,MATCH($D1988,Hierarchy!$A$2:$A$1295,0))),"NODE NOT FOUND"))</f>
        <v>USA</v>
      </c>
      <c r="K1988" s="7" t="str">
        <f aca="false">IF($D1988="","",IFERROR(IF(INDEX(Hierarchy!$H$2:$H$1295,MATCH($D1988,Hierarchy!$A$2:$A$1295,0))="","",INDEX(Hierarchy!$H$2:$H$1295,MATCH($D1988,Hierarchy!$A$2:$A$1295,0))),"NODE NOT FOUND"))</f>
        <v>Wyoming</v>
      </c>
      <c r="L1988" s="7" t="str">
        <f aca="false">IF($D1988="","",IFERROR(IF(INDEX(Hierarchy!$I$2:$I$1295,MATCH($D1988,Hierarchy!$A$2:$A$1295,0))="","",INDEX(Hierarchy!$I$2:$I$1295,MATCH($D1988,Hierarchy!$A$2:$A$1295,0))),"NODE NOT FOUND"))</f>
        <v/>
      </c>
      <c r="M1988" s="17" t="str">
        <f aca="false">IF(B1988="Pre-seeded","Pre-seeded",IF(B1988="Review 2026-09-16","Added from review",IF(C1988="","New",IF(C1988=D1988,"","Changed"))))</f>
        <v/>
      </c>
      <c r="N1988" s="7" t="str">
        <f aca="false">TRIM(SUBSTITUTE(SUBSTITUTE(SUBSTITUTE(" "&amp;TRIM(SUBSTITUTE(SUBSTITUTE(SUBSTITUTE(SUBSTITUTE(SUBSTITUTE(SUBSTITUTE(SUBSTITUTE(SUBSTITUTE(SUBSTITUTE(SUBSTITUTE(SUBSTITUTE(SUBSTITUTE(SUBSTITUTE(SUBSTITUTE(SUBSTITUTE(UPPER(TRIM(A1988)),"[MEMBER]",""),"{MEMBER}",""),"[MEMBER}",""),"MEMBER]",""),"(A)",""),"""",""),"“",""),"”",""),".",""),":",""),",",""),"–"," "),"-"," "),"/"," "),"&amp;"," AND "))&amp;" "," THE "," ")," TOTAL "," ")," OPERATIONS "," "))</f>
        <v>WYOMING</v>
      </c>
      <c r="O1988" s="17" t="str">
        <f aca="false">IF(COUNTIFS($N$2:$N$2000,N1988,$D$2:$D$2000,"&lt;&gt;"&amp;D1988)&gt;0,"CONFLICT","")</f>
        <v/>
      </c>
      <c r="P1988" s="7"/>
    </row>
    <row r="1989" customFormat="false" ht="15" hidden="false" customHeight="false" outlineLevel="0" collapsed="false">
      <c r="A1989" s="7" t="s">
        <v>1540</v>
      </c>
      <c r="B1989" s="7" t="s">
        <v>1879</v>
      </c>
      <c r="C1989" s="7"/>
      <c r="D1989" s="6" t="s">
        <v>1540</v>
      </c>
      <c r="E1989" s="6" t="s">
        <v>1880</v>
      </c>
      <c r="F1989" s="7" t="str">
        <f aca="false">IF($D1989="","",IFERROR(IF(INDEX(Hierarchy!$B$2:$B$1295,MATCH($D1989,Hierarchy!$A$2:$A$1295,0))="","",INDEX(Hierarchy!$B$2:$B$1295,MATCH($D1989,Hierarchy!$A$2:$A$1295,0))),"NODE NOT FOUND"))</f>
        <v>State/Province</v>
      </c>
      <c r="G1989" s="7" t="str">
        <f aca="false">IF($D1989="","",IFERROR(IF(INDEX(Hierarchy!$D$2:$D$1295,MATCH($D1989,Hierarchy!$A$2:$A$1295,0))="","",INDEX(Hierarchy!$D$2:$D$1295,MATCH($D1989,Hierarchy!$A$2:$A$1295,0))),"NODE NOT FOUND"))</f>
        <v>APAC</v>
      </c>
      <c r="H1989" s="7" t="str">
        <f aca="false">IF($D1989="","",IFERROR(IF(INDEX(Hierarchy!$E$2:$E$1295,MATCH($D1989,Hierarchy!$A$2:$A$1295,0))="","",INDEX(Hierarchy!$E$2:$E$1295,MATCH($D1989,Hierarchy!$A$2:$A$1295,0))),"NODE NOT FOUND"))</f>
        <v>East Asia</v>
      </c>
      <c r="I1989" s="7" t="str">
        <f aca="false">IF($D1989="","",IFERROR(IF(INDEX(Hierarchy!$F$2:$F$1295,MATCH($D1989,Hierarchy!$A$2:$A$1295,0))="","",INDEX(Hierarchy!$F$2:$F$1295,MATCH($D1989,Hierarchy!$A$2:$A$1295,0))),"NODE NOT FOUND"))</f>
        <v>China</v>
      </c>
      <c r="J1989" s="7" t="str">
        <f aca="false">IF($D1989="","",IFERROR(IF(INDEX(Hierarchy!$G$2:$G$1295,MATCH($D1989,Hierarchy!$A$2:$A$1295,0))="","",INDEX(Hierarchy!$G$2:$G$1295,MATCH($D1989,Hierarchy!$A$2:$A$1295,0))),"NODE NOT FOUND"))</f>
        <v>CHN</v>
      </c>
      <c r="K1989" s="7" t="str">
        <f aca="false">IF($D1989="","",IFERROR(IF(INDEX(Hierarchy!$H$2:$H$1295,MATCH($D1989,Hierarchy!$A$2:$A$1295,0))="","",INDEX(Hierarchy!$H$2:$H$1295,MATCH($D1989,Hierarchy!$A$2:$A$1295,0))),"NODE NOT FOUND"))</f>
        <v>Xinjiang</v>
      </c>
      <c r="L1989" s="7" t="str">
        <f aca="false">IF($D1989="","",IFERROR(IF(INDEX(Hierarchy!$I$2:$I$1295,MATCH($D1989,Hierarchy!$A$2:$A$1295,0))="","",INDEX(Hierarchy!$I$2:$I$1295,MATCH($D1989,Hierarchy!$A$2:$A$1295,0))),"NODE NOT FOUND"))</f>
        <v/>
      </c>
      <c r="M1989" s="17" t="str">
        <f aca="false">IF(B1989="Pre-seeded","Pre-seeded",IF(B1989="Review 2026-09-16","Added from review",IF(C1989="","New",IF(C1989=D1989,"","Changed"))))</f>
        <v>Pre-seeded</v>
      </c>
      <c r="N1989" s="7" t="str">
        <f aca="false">TRIM(SUBSTITUTE(SUBSTITUTE(SUBSTITUTE(" "&amp;TRIM(SUBSTITUTE(SUBSTITUTE(SUBSTITUTE(SUBSTITUTE(SUBSTITUTE(SUBSTITUTE(SUBSTITUTE(SUBSTITUTE(SUBSTITUTE(SUBSTITUTE(SUBSTITUTE(SUBSTITUTE(SUBSTITUTE(SUBSTITUTE(SUBSTITUTE(UPPER(TRIM(A1989)),"[MEMBER]",""),"{MEMBER}",""),"[MEMBER}",""),"MEMBER]",""),"(A)",""),"""",""),"“",""),"”",""),".",""),":",""),",",""),"–"," "),"-"," "),"/"," "),"&amp;"," AND "))&amp;" "," THE "," ")," TOTAL "," ")," OPERATIONS "," "))</f>
        <v>XINJIANG</v>
      </c>
      <c r="O1989" s="17" t="str">
        <f aca="false">IF(COUNTIFS($N$2:$N$2000,N1989,$D$2:$D$2000,"&lt;&gt;"&amp;D1989)&gt;0,"CONFLICT","")</f>
        <v/>
      </c>
      <c r="P1989" s="7"/>
    </row>
    <row r="1990" customFormat="false" ht="15" hidden="false" customHeight="false" outlineLevel="0" collapsed="false">
      <c r="A1990" s="7" t="s">
        <v>1485</v>
      </c>
      <c r="B1990" s="7" t="s">
        <v>1879</v>
      </c>
      <c r="C1990" s="7"/>
      <c r="D1990" s="6" t="s">
        <v>1485</v>
      </c>
      <c r="E1990" s="6" t="s">
        <v>1880</v>
      </c>
      <c r="F1990" s="7" t="str">
        <f aca="false">IF($D1990="","",IFERROR(IF(INDEX(Hierarchy!$B$2:$B$1295,MATCH($D1990,Hierarchy!$A$2:$A$1295,0))="","",INDEX(Hierarchy!$B$2:$B$1295,MATCH($D1990,Hierarchy!$A$2:$A$1295,0))),"NODE NOT FOUND"))</f>
        <v>State/Province</v>
      </c>
      <c r="G1990" s="7" t="str">
        <f aca="false">IF($D1990="","",IFERROR(IF(INDEX(Hierarchy!$D$2:$D$1295,MATCH($D1990,Hierarchy!$A$2:$A$1295,0))="","",INDEX(Hierarchy!$D$2:$D$1295,MATCH($D1990,Hierarchy!$A$2:$A$1295,0))),"NODE NOT FOUND"))</f>
        <v>APAC</v>
      </c>
      <c r="H1990" s="7" t="str">
        <f aca="false">IF($D1990="","",IFERROR(IF(INDEX(Hierarchy!$E$2:$E$1295,MATCH($D1990,Hierarchy!$A$2:$A$1295,0))="","",INDEX(Hierarchy!$E$2:$E$1295,MATCH($D1990,Hierarchy!$A$2:$A$1295,0))),"NODE NOT FOUND"))</f>
        <v>East Asia</v>
      </c>
      <c r="I1990" s="7" t="str">
        <f aca="false">IF($D1990="","",IFERROR(IF(INDEX(Hierarchy!$F$2:$F$1295,MATCH($D1990,Hierarchy!$A$2:$A$1295,0))="","",INDEX(Hierarchy!$F$2:$F$1295,MATCH($D1990,Hierarchy!$A$2:$A$1295,0))),"NODE NOT FOUND"))</f>
        <v>Japan</v>
      </c>
      <c r="J1990" s="7" t="str">
        <f aca="false">IF($D1990="","",IFERROR(IF(INDEX(Hierarchy!$G$2:$G$1295,MATCH($D1990,Hierarchy!$A$2:$A$1295,0))="","",INDEX(Hierarchy!$G$2:$G$1295,MATCH($D1990,Hierarchy!$A$2:$A$1295,0))),"NODE NOT FOUND"))</f>
        <v>JPN</v>
      </c>
      <c r="K1990" s="7" t="str">
        <f aca="false">IF($D1990="","",IFERROR(IF(INDEX(Hierarchy!$H$2:$H$1295,MATCH($D1990,Hierarchy!$A$2:$A$1295,0))="","",INDEX(Hierarchy!$H$2:$H$1295,MATCH($D1990,Hierarchy!$A$2:$A$1295,0))),"NODE NOT FOUND"))</f>
        <v>Yamagata</v>
      </c>
      <c r="L1990" s="7" t="str">
        <f aca="false">IF($D1990="","",IFERROR(IF(INDEX(Hierarchy!$I$2:$I$1295,MATCH($D1990,Hierarchy!$A$2:$A$1295,0))="","",INDEX(Hierarchy!$I$2:$I$1295,MATCH($D1990,Hierarchy!$A$2:$A$1295,0))),"NODE NOT FOUND"))</f>
        <v/>
      </c>
      <c r="M1990" s="17" t="str">
        <f aca="false">IF(B1990="Pre-seeded","Pre-seeded",IF(B1990="Review 2026-09-16","Added from review",IF(C1990="","New",IF(C1990=D1990,"","Changed"))))</f>
        <v>Pre-seeded</v>
      </c>
      <c r="N1990" s="7" t="str">
        <f aca="false">TRIM(SUBSTITUTE(SUBSTITUTE(SUBSTITUTE(" "&amp;TRIM(SUBSTITUTE(SUBSTITUTE(SUBSTITUTE(SUBSTITUTE(SUBSTITUTE(SUBSTITUTE(SUBSTITUTE(SUBSTITUTE(SUBSTITUTE(SUBSTITUTE(SUBSTITUTE(SUBSTITUTE(SUBSTITUTE(SUBSTITUTE(SUBSTITUTE(UPPER(TRIM(A1990)),"[MEMBER]",""),"{MEMBER}",""),"[MEMBER}",""),"MEMBER]",""),"(A)",""),"""",""),"“",""),"”",""),".",""),":",""),",",""),"–"," "),"-"," "),"/"," "),"&amp;"," AND "))&amp;" "," THE "," ")," TOTAL "," ")," OPERATIONS "," "))</f>
        <v>YAMAGATA</v>
      </c>
      <c r="O1990" s="17" t="str">
        <f aca="false">IF(COUNTIFS($N$2:$N$2000,N1990,$D$2:$D$2000,"&lt;&gt;"&amp;D1990)&gt;0,"CONFLICT","")</f>
        <v/>
      </c>
      <c r="P1990" s="7"/>
    </row>
    <row r="1991" customFormat="false" ht="15" hidden="false" customHeight="false" outlineLevel="0" collapsed="false">
      <c r="A1991" s="7" t="s">
        <v>1486</v>
      </c>
      <c r="B1991" s="7" t="s">
        <v>1879</v>
      </c>
      <c r="C1991" s="7"/>
      <c r="D1991" s="6" t="s">
        <v>1486</v>
      </c>
      <c r="E1991" s="6" t="s">
        <v>1880</v>
      </c>
      <c r="F1991" s="7" t="str">
        <f aca="false">IF($D1991="","",IFERROR(IF(INDEX(Hierarchy!$B$2:$B$1295,MATCH($D1991,Hierarchy!$A$2:$A$1295,0))="","",INDEX(Hierarchy!$B$2:$B$1295,MATCH($D1991,Hierarchy!$A$2:$A$1295,0))),"NODE NOT FOUND"))</f>
        <v>State/Province</v>
      </c>
      <c r="G1991" s="7" t="str">
        <f aca="false">IF($D1991="","",IFERROR(IF(INDEX(Hierarchy!$D$2:$D$1295,MATCH($D1991,Hierarchy!$A$2:$A$1295,0))="","",INDEX(Hierarchy!$D$2:$D$1295,MATCH($D1991,Hierarchy!$A$2:$A$1295,0))),"NODE NOT FOUND"))</f>
        <v>APAC</v>
      </c>
      <c r="H1991" s="7" t="str">
        <f aca="false">IF($D1991="","",IFERROR(IF(INDEX(Hierarchy!$E$2:$E$1295,MATCH($D1991,Hierarchy!$A$2:$A$1295,0))="","",INDEX(Hierarchy!$E$2:$E$1295,MATCH($D1991,Hierarchy!$A$2:$A$1295,0))),"NODE NOT FOUND"))</f>
        <v>East Asia</v>
      </c>
      <c r="I1991" s="7" t="str">
        <f aca="false">IF($D1991="","",IFERROR(IF(INDEX(Hierarchy!$F$2:$F$1295,MATCH($D1991,Hierarchy!$A$2:$A$1295,0))="","",INDEX(Hierarchy!$F$2:$F$1295,MATCH($D1991,Hierarchy!$A$2:$A$1295,0))),"NODE NOT FOUND"))</f>
        <v>Japan</v>
      </c>
      <c r="J1991" s="7" t="str">
        <f aca="false">IF($D1991="","",IFERROR(IF(INDEX(Hierarchy!$G$2:$G$1295,MATCH($D1991,Hierarchy!$A$2:$A$1295,0))="","",INDEX(Hierarchy!$G$2:$G$1295,MATCH($D1991,Hierarchy!$A$2:$A$1295,0))),"NODE NOT FOUND"))</f>
        <v>JPN</v>
      </c>
      <c r="K1991" s="7" t="str">
        <f aca="false">IF($D1991="","",IFERROR(IF(INDEX(Hierarchy!$H$2:$H$1295,MATCH($D1991,Hierarchy!$A$2:$A$1295,0))="","",INDEX(Hierarchy!$H$2:$H$1295,MATCH($D1991,Hierarchy!$A$2:$A$1295,0))),"NODE NOT FOUND"))</f>
        <v>Yamaguchi</v>
      </c>
      <c r="L1991" s="7" t="str">
        <f aca="false">IF($D1991="","",IFERROR(IF(INDEX(Hierarchy!$I$2:$I$1295,MATCH($D1991,Hierarchy!$A$2:$A$1295,0))="","",INDEX(Hierarchy!$I$2:$I$1295,MATCH($D1991,Hierarchy!$A$2:$A$1295,0))),"NODE NOT FOUND"))</f>
        <v/>
      </c>
      <c r="M1991" s="17" t="str">
        <f aca="false">IF(B1991="Pre-seeded","Pre-seeded",IF(B1991="Review 2026-09-16","Added from review",IF(C1991="","New",IF(C1991=D1991,"","Changed"))))</f>
        <v>Pre-seeded</v>
      </c>
      <c r="N1991" s="7" t="str">
        <f aca="false">TRIM(SUBSTITUTE(SUBSTITUTE(SUBSTITUTE(" "&amp;TRIM(SUBSTITUTE(SUBSTITUTE(SUBSTITUTE(SUBSTITUTE(SUBSTITUTE(SUBSTITUTE(SUBSTITUTE(SUBSTITUTE(SUBSTITUTE(SUBSTITUTE(SUBSTITUTE(SUBSTITUTE(SUBSTITUTE(SUBSTITUTE(SUBSTITUTE(UPPER(TRIM(A1991)),"[MEMBER]",""),"{MEMBER}",""),"[MEMBER}",""),"MEMBER]",""),"(A)",""),"""",""),"“",""),"”",""),".",""),":",""),",",""),"–"," "),"-"," "),"/"," "),"&amp;"," AND "))&amp;" "," THE "," ")," TOTAL "," ")," OPERATIONS "," "))</f>
        <v>YAMAGUCHI</v>
      </c>
      <c r="O1991" s="17" t="str">
        <f aca="false">IF(COUNTIFS($N$2:$N$2000,N1991,$D$2:$D$2000,"&lt;&gt;"&amp;D1991)&gt;0,"CONFLICT","")</f>
        <v/>
      </c>
      <c r="P1991" s="7"/>
    </row>
    <row r="1992" customFormat="false" ht="15" hidden="false" customHeight="false" outlineLevel="0" collapsed="false">
      <c r="A1992" s="7" t="s">
        <v>1487</v>
      </c>
      <c r="B1992" s="7" t="s">
        <v>1879</v>
      </c>
      <c r="C1992" s="7"/>
      <c r="D1992" s="6" t="s">
        <v>1487</v>
      </c>
      <c r="E1992" s="6" t="s">
        <v>1880</v>
      </c>
      <c r="F1992" s="7" t="str">
        <f aca="false">IF($D1992="","",IFERROR(IF(INDEX(Hierarchy!$B$2:$B$1295,MATCH($D1992,Hierarchy!$A$2:$A$1295,0))="","",INDEX(Hierarchy!$B$2:$B$1295,MATCH($D1992,Hierarchy!$A$2:$A$1295,0))),"NODE NOT FOUND"))</f>
        <v>State/Province</v>
      </c>
      <c r="G1992" s="7" t="str">
        <f aca="false">IF($D1992="","",IFERROR(IF(INDEX(Hierarchy!$D$2:$D$1295,MATCH($D1992,Hierarchy!$A$2:$A$1295,0))="","",INDEX(Hierarchy!$D$2:$D$1295,MATCH($D1992,Hierarchy!$A$2:$A$1295,0))),"NODE NOT FOUND"))</f>
        <v>APAC</v>
      </c>
      <c r="H1992" s="7" t="str">
        <f aca="false">IF($D1992="","",IFERROR(IF(INDEX(Hierarchy!$E$2:$E$1295,MATCH($D1992,Hierarchy!$A$2:$A$1295,0))="","",INDEX(Hierarchy!$E$2:$E$1295,MATCH($D1992,Hierarchy!$A$2:$A$1295,0))),"NODE NOT FOUND"))</f>
        <v>East Asia</v>
      </c>
      <c r="I1992" s="7" t="str">
        <f aca="false">IF($D1992="","",IFERROR(IF(INDEX(Hierarchy!$F$2:$F$1295,MATCH($D1992,Hierarchy!$A$2:$A$1295,0))="","",INDEX(Hierarchy!$F$2:$F$1295,MATCH($D1992,Hierarchy!$A$2:$A$1295,0))),"NODE NOT FOUND"))</f>
        <v>Japan</v>
      </c>
      <c r="J1992" s="7" t="str">
        <f aca="false">IF($D1992="","",IFERROR(IF(INDEX(Hierarchy!$G$2:$G$1295,MATCH($D1992,Hierarchy!$A$2:$A$1295,0))="","",INDEX(Hierarchy!$G$2:$G$1295,MATCH($D1992,Hierarchy!$A$2:$A$1295,0))),"NODE NOT FOUND"))</f>
        <v>JPN</v>
      </c>
      <c r="K1992" s="7" t="str">
        <f aca="false">IF($D1992="","",IFERROR(IF(INDEX(Hierarchy!$H$2:$H$1295,MATCH($D1992,Hierarchy!$A$2:$A$1295,0))="","",INDEX(Hierarchy!$H$2:$H$1295,MATCH($D1992,Hierarchy!$A$2:$A$1295,0))),"NODE NOT FOUND"))</f>
        <v>Yamanashi</v>
      </c>
      <c r="L1992" s="7" t="str">
        <f aca="false">IF($D1992="","",IFERROR(IF(INDEX(Hierarchy!$I$2:$I$1295,MATCH($D1992,Hierarchy!$A$2:$A$1295,0))="","",INDEX(Hierarchy!$I$2:$I$1295,MATCH($D1992,Hierarchy!$A$2:$A$1295,0))),"NODE NOT FOUND"))</f>
        <v/>
      </c>
      <c r="M1992" s="17" t="str">
        <f aca="false">IF(B1992="Pre-seeded","Pre-seeded",IF(B1992="Review 2026-09-16","Added from review",IF(C1992="","New",IF(C1992=D1992,"","Changed"))))</f>
        <v>Pre-seeded</v>
      </c>
      <c r="N1992" s="7" t="str">
        <f aca="false">TRIM(SUBSTITUTE(SUBSTITUTE(SUBSTITUTE(" "&amp;TRIM(SUBSTITUTE(SUBSTITUTE(SUBSTITUTE(SUBSTITUTE(SUBSTITUTE(SUBSTITUTE(SUBSTITUTE(SUBSTITUTE(SUBSTITUTE(SUBSTITUTE(SUBSTITUTE(SUBSTITUTE(SUBSTITUTE(SUBSTITUTE(SUBSTITUTE(UPPER(TRIM(A1992)),"[MEMBER]",""),"{MEMBER}",""),"[MEMBER}",""),"MEMBER]",""),"(A)",""),"""",""),"“",""),"”",""),".",""),":",""),",",""),"–"," "),"-"," "),"/"," "),"&amp;"," AND "))&amp;" "," THE "," ")," TOTAL "," ")," OPERATIONS "," "))</f>
        <v>YAMANASHI</v>
      </c>
      <c r="O1992" s="17" t="str">
        <f aca="false">IF(COUNTIFS($N$2:$N$2000,N1992,$D$2:$D$2000,"&lt;&gt;"&amp;D1992)&gt;0,"CONFLICT","")</f>
        <v/>
      </c>
      <c r="P1992" s="7"/>
    </row>
    <row r="1993" customFormat="false" ht="15" hidden="false" customHeight="false" outlineLevel="0" collapsed="false">
      <c r="A1993" s="7" t="s">
        <v>1500</v>
      </c>
      <c r="B1993" s="7" t="s">
        <v>1879</v>
      </c>
      <c r="C1993" s="7"/>
      <c r="D1993" s="6" t="s">
        <v>1500</v>
      </c>
      <c r="E1993" s="6" t="s">
        <v>1880</v>
      </c>
      <c r="F1993" s="7" t="str">
        <f aca="false">IF($D1993="","",IFERROR(IF(INDEX(Hierarchy!$B$2:$B$1295,MATCH($D1993,Hierarchy!$A$2:$A$1295,0))="","",INDEX(Hierarchy!$B$2:$B$1295,MATCH($D1993,Hierarchy!$A$2:$A$1295,0))),"NODE NOT FOUND"))</f>
        <v>Sub-national region</v>
      </c>
      <c r="G1993" s="7" t="str">
        <f aca="false">IF($D1993="","",IFERROR(IF(INDEX(Hierarchy!$D$2:$D$1295,MATCH($D1993,Hierarchy!$A$2:$A$1295,0))="","",INDEX(Hierarchy!$D$2:$D$1295,MATCH($D1993,Hierarchy!$A$2:$A$1295,0))),"NODE NOT FOUND"))</f>
        <v>APAC</v>
      </c>
      <c r="H1993" s="7" t="str">
        <f aca="false">IF($D1993="","",IFERROR(IF(INDEX(Hierarchy!$E$2:$E$1295,MATCH($D1993,Hierarchy!$A$2:$A$1295,0))="","",INDEX(Hierarchy!$E$2:$E$1295,MATCH($D1993,Hierarchy!$A$2:$A$1295,0))),"NODE NOT FOUND"))</f>
        <v>East Asia</v>
      </c>
      <c r="I1993" s="7" t="str">
        <f aca="false">IF($D1993="","",IFERROR(IF(INDEX(Hierarchy!$F$2:$F$1295,MATCH($D1993,Hierarchy!$A$2:$A$1295,0))="","",INDEX(Hierarchy!$F$2:$F$1295,MATCH($D1993,Hierarchy!$A$2:$A$1295,0))),"NODE NOT FOUND"))</f>
        <v>China</v>
      </c>
      <c r="J1993" s="7" t="str">
        <f aca="false">IF($D1993="","",IFERROR(IF(INDEX(Hierarchy!$G$2:$G$1295,MATCH($D1993,Hierarchy!$A$2:$A$1295,0))="","",INDEX(Hierarchy!$G$2:$G$1295,MATCH($D1993,Hierarchy!$A$2:$A$1295,0))),"NODE NOT FOUND"))</f>
        <v>CHN</v>
      </c>
      <c r="K1993" s="7" t="str">
        <f aca="false">IF($D1993="","",IFERROR(IF(INDEX(Hierarchy!$H$2:$H$1295,MATCH($D1993,Hierarchy!$A$2:$A$1295,0))="","",INDEX(Hierarchy!$H$2:$H$1295,MATCH($D1993,Hierarchy!$A$2:$A$1295,0))),"NODE NOT FOUND"))</f>
        <v/>
      </c>
      <c r="L1993" s="7" t="str">
        <f aca="false">IF($D1993="","",IFERROR(IF(INDEX(Hierarchy!$I$2:$I$1295,MATCH($D1993,Hierarchy!$A$2:$A$1295,0))="","",INDEX(Hierarchy!$I$2:$I$1295,MATCH($D1993,Hierarchy!$A$2:$A$1295,0))),"NODE NOT FOUND"))</f>
        <v/>
      </c>
      <c r="M1993" s="17" t="str">
        <f aca="false">IF(B1993="Pre-seeded","Pre-seeded",IF(B1993="Review 2026-09-16","Added from review",IF(C1993="","New",IF(C1993=D1993,"","Changed"))))</f>
        <v>Pre-seeded</v>
      </c>
      <c r="N1993" s="7" t="str">
        <f aca="false">TRIM(SUBSTITUTE(SUBSTITUTE(SUBSTITUTE(" "&amp;TRIM(SUBSTITUTE(SUBSTITUTE(SUBSTITUTE(SUBSTITUTE(SUBSTITUTE(SUBSTITUTE(SUBSTITUTE(SUBSTITUTE(SUBSTITUTE(SUBSTITUTE(SUBSTITUTE(SUBSTITUTE(SUBSTITUTE(SUBSTITUTE(SUBSTITUTE(UPPER(TRIM(A1993)),"[MEMBER]",""),"{MEMBER}",""),"[MEMBER}",""),"MEMBER]",""),"(A)",""),"""",""),"“",""),"”",""),".",""),":",""),",",""),"–"," "),"-"," "),"/"," "),"&amp;"," AND "))&amp;" "," THE "," ")," TOTAL "," ")," OPERATIONS "," "))</f>
        <v>YANGTZE RIVER DELTA</v>
      </c>
      <c r="O1993" s="17" t="str">
        <f aca="false">IF(COUNTIFS($N$2:$N$2000,N1993,$D$2:$D$2000,"&lt;&gt;"&amp;D1993)&gt;0,"CONFLICT","")</f>
        <v/>
      </c>
      <c r="P1993" s="7"/>
    </row>
    <row r="1994" customFormat="false" ht="15" hidden="false" customHeight="false" outlineLevel="0" collapsed="false">
      <c r="A1994" s="7" t="s">
        <v>1093</v>
      </c>
      <c r="B1994" s="7" t="s">
        <v>1879</v>
      </c>
      <c r="C1994" s="7"/>
      <c r="D1994" s="6" t="s">
        <v>1093</v>
      </c>
      <c r="E1994" s="6" t="s">
        <v>1880</v>
      </c>
      <c r="F1994" s="7" t="str">
        <f aca="false">IF($D1994="","",IFERROR(IF(INDEX(Hierarchy!$B$2:$B$1295,MATCH($D1994,Hierarchy!$A$2:$A$1295,0))="","",INDEX(Hierarchy!$B$2:$B$1295,MATCH($D1994,Hierarchy!$A$2:$A$1295,0))),"NODE NOT FOUND"))</f>
        <v>Country</v>
      </c>
      <c r="G1994" s="7" t="str">
        <f aca="false">IF($D1994="","",IFERROR(IF(INDEX(Hierarchy!$D$2:$D$1295,MATCH($D1994,Hierarchy!$A$2:$A$1295,0))="","",INDEX(Hierarchy!$D$2:$D$1295,MATCH($D1994,Hierarchy!$A$2:$A$1295,0))),"NODE NOT FOUND"))</f>
        <v>EMEA</v>
      </c>
      <c r="H1994" s="7" t="str">
        <f aca="false">IF($D1994="","",IFERROR(IF(INDEX(Hierarchy!$E$2:$E$1295,MATCH($D1994,Hierarchy!$A$2:$A$1295,0))="","",INDEX(Hierarchy!$E$2:$E$1295,MATCH($D1994,Hierarchy!$A$2:$A$1295,0))),"NODE NOT FOUND"))</f>
        <v>Middle East</v>
      </c>
      <c r="I1994" s="7" t="str">
        <f aca="false">IF($D1994="","",IFERROR(IF(INDEX(Hierarchy!$F$2:$F$1295,MATCH($D1994,Hierarchy!$A$2:$A$1295,0))="","",INDEX(Hierarchy!$F$2:$F$1295,MATCH($D1994,Hierarchy!$A$2:$A$1295,0))),"NODE NOT FOUND"))</f>
        <v>Yemen</v>
      </c>
      <c r="J1994" s="7" t="str">
        <f aca="false">IF($D1994="","",IFERROR(IF(INDEX(Hierarchy!$G$2:$G$1295,MATCH($D1994,Hierarchy!$A$2:$A$1295,0))="","",INDEX(Hierarchy!$G$2:$G$1295,MATCH($D1994,Hierarchy!$A$2:$A$1295,0))),"NODE NOT FOUND"))</f>
        <v>YEM</v>
      </c>
      <c r="K1994" s="7" t="str">
        <f aca="false">IF($D1994="","",IFERROR(IF(INDEX(Hierarchy!$H$2:$H$1295,MATCH($D1994,Hierarchy!$A$2:$A$1295,0))="","",INDEX(Hierarchy!$H$2:$H$1295,MATCH($D1994,Hierarchy!$A$2:$A$1295,0))),"NODE NOT FOUND"))</f>
        <v/>
      </c>
      <c r="L1994" s="7" t="str">
        <f aca="false">IF($D1994="","",IFERROR(IF(INDEX(Hierarchy!$I$2:$I$1295,MATCH($D1994,Hierarchy!$A$2:$A$1295,0))="","",INDEX(Hierarchy!$I$2:$I$1295,MATCH($D1994,Hierarchy!$A$2:$A$1295,0))),"NODE NOT FOUND"))</f>
        <v/>
      </c>
      <c r="M1994" s="17" t="str">
        <f aca="false">IF(B1994="Pre-seeded","Pre-seeded",IF(B1994="Review 2026-09-16","Added from review",IF(C1994="","New",IF(C1994=D1994,"","Changed"))))</f>
        <v>Pre-seeded</v>
      </c>
      <c r="N1994" s="7" t="str">
        <f aca="false">TRIM(SUBSTITUTE(SUBSTITUTE(SUBSTITUTE(" "&amp;TRIM(SUBSTITUTE(SUBSTITUTE(SUBSTITUTE(SUBSTITUTE(SUBSTITUTE(SUBSTITUTE(SUBSTITUTE(SUBSTITUTE(SUBSTITUTE(SUBSTITUTE(SUBSTITUTE(SUBSTITUTE(SUBSTITUTE(SUBSTITUTE(SUBSTITUTE(UPPER(TRIM(A1994)),"[MEMBER]",""),"{MEMBER}",""),"[MEMBER}",""),"MEMBER]",""),"(A)",""),"""",""),"“",""),"”",""),".",""),":",""),",",""),"–"," "),"-"," "),"/"," "),"&amp;"," AND "))&amp;" "," THE "," ")," TOTAL "," ")," OPERATIONS "," "))</f>
        <v>YEMEN</v>
      </c>
      <c r="O1994" s="17" t="str">
        <f aca="false">IF(COUNTIFS($N$2:$N$2000,N1994,$D$2:$D$2000,"&lt;&gt;"&amp;D1994)&gt;0,"CONFLICT","")</f>
        <v/>
      </c>
      <c r="P1994" s="7"/>
    </row>
    <row r="1995" customFormat="false" ht="15" hidden="false" customHeight="false" outlineLevel="0" collapsed="false">
      <c r="A1995" s="7" t="s">
        <v>1168</v>
      </c>
      <c r="B1995" s="7" t="s">
        <v>1879</v>
      </c>
      <c r="C1995" s="7"/>
      <c r="D1995" s="6" t="s">
        <v>1168</v>
      </c>
      <c r="E1995" s="6" t="s">
        <v>1880</v>
      </c>
      <c r="F1995" s="7" t="str">
        <f aca="false">IF($D1995="","",IFERROR(IF(INDEX(Hierarchy!$B$2:$B$1295,MATCH($D1995,Hierarchy!$A$2:$A$1295,0))="","",INDEX(Hierarchy!$B$2:$B$1295,MATCH($D1995,Hierarchy!$A$2:$A$1295,0))),"NODE NOT FOUND"))</f>
        <v>State/Province</v>
      </c>
      <c r="G1995" s="7" t="str">
        <f aca="false">IF($D1995="","",IFERROR(IF(INDEX(Hierarchy!$D$2:$D$1295,MATCH($D1995,Hierarchy!$A$2:$A$1295,0))="","",INDEX(Hierarchy!$D$2:$D$1295,MATCH($D1995,Hierarchy!$A$2:$A$1295,0))),"NODE NOT FOUND"))</f>
        <v>EMEA</v>
      </c>
      <c r="H1995" s="7" t="str">
        <f aca="false">IF($D1995="","",IFERROR(IF(INDEX(Hierarchy!$E$2:$E$1295,MATCH($D1995,Hierarchy!$A$2:$A$1295,0))="","",INDEX(Hierarchy!$E$2:$E$1295,MATCH($D1995,Hierarchy!$A$2:$A$1295,0))),"NODE NOT FOUND"))</f>
        <v>Africa</v>
      </c>
      <c r="I1995" s="7" t="str">
        <f aca="false">IF($D1995="","",IFERROR(IF(INDEX(Hierarchy!$F$2:$F$1295,MATCH($D1995,Hierarchy!$A$2:$A$1295,0))="","",INDEX(Hierarchy!$F$2:$F$1295,MATCH($D1995,Hierarchy!$A$2:$A$1295,0))),"NODE NOT FOUND"))</f>
        <v>Nigeria</v>
      </c>
      <c r="J1995" s="7" t="str">
        <f aca="false">IF($D1995="","",IFERROR(IF(INDEX(Hierarchy!$G$2:$G$1295,MATCH($D1995,Hierarchy!$A$2:$A$1295,0))="","",INDEX(Hierarchy!$G$2:$G$1295,MATCH($D1995,Hierarchy!$A$2:$A$1295,0))),"NODE NOT FOUND"))</f>
        <v>NGA</v>
      </c>
      <c r="K1995" s="7" t="str">
        <f aca="false">IF($D1995="","",IFERROR(IF(INDEX(Hierarchy!$H$2:$H$1295,MATCH($D1995,Hierarchy!$A$2:$A$1295,0))="","",INDEX(Hierarchy!$H$2:$H$1295,MATCH($D1995,Hierarchy!$A$2:$A$1295,0))),"NODE NOT FOUND"))</f>
        <v>Yobe</v>
      </c>
      <c r="L1995" s="7" t="str">
        <f aca="false">IF($D1995="","",IFERROR(IF(INDEX(Hierarchy!$I$2:$I$1295,MATCH($D1995,Hierarchy!$A$2:$A$1295,0))="","",INDEX(Hierarchy!$I$2:$I$1295,MATCH($D1995,Hierarchy!$A$2:$A$1295,0))),"NODE NOT FOUND"))</f>
        <v/>
      </c>
      <c r="M1995" s="17" t="str">
        <f aca="false">IF(B1995="Pre-seeded","Pre-seeded",IF(B1995="Review 2026-09-16","Added from review",IF(C1995="","New",IF(C1995=D1995,"","Changed"))))</f>
        <v>Pre-seeded</v>
      </c>
      <c r="N1995" s="7" t="str">
        <f aca="false">TRIM(SUBSTITUTE(SUBSTITUTE(SUBSTITUTE(" "&amp;TRIM(SUBSTITUTE(SUBSTITUTE(SUBSTITUTE(SUBSTITUTE(SUBSTITUTE(SUBSTITUTE(SUBSTITUTE(SUBSTITUTE(SUBSTITUTE(SUBSTITUTE(SUBSTITUTE(SUBSTITUTE(SUBSTITUTE(SUBSTITUTE(SUBSTITUTE(UPPER(TRIM(A1995)),"[MEMBER]",""),"{MEMBER}",""),"[MEMBER}",""),"MEMBER]",""),"(A)",""),"""",""),"“",""),"”",""),".",""),":",""),",",""),"–"," "),"-"," "),"/"," "),"&amp;"," AND "))&amp;" "," THE "," ")," TOTAL "," ")," OPERATIONS "," "))</f>
        <v>YOBE</v>
      </c>
      <c r="O1995" s="17" t="str">
        <f aca="false">IF(COUNTIFS($N$2:$N$2000,N1995,$D$2:$D$2000,"&lt;&gt;"&amp;D1995)&gt;0,"CONFLICT","")</f>
        <v/>
      </c>
      <c r="P1995" s="7"/>
    </row>
    <row r="1996" customFormat="false" ht="15" hidden="false" customHeight="false" outlineLevel="0" collapsed="false">
      <c r="A1996" s="7" t="s">
        <v>1630</v>
      </c>
      <c r="B1996" s="7" t="s">
        <v>1879</v>
      </c>
      <c r="C1996" s="7"/>
      <c r="D1996" s="6" t="s">
        <v>1630</v>
      </c>
      <c r="E1996" s="6" t="s">
        <v>1880</v>
      </c>
      <c r="F1996" s="7" t="str">
        <f aca="false">IF($D1996="","",IFERROR(IF(INDEX(Hierarchy!$B$2:$B$1295,MATCH($D1996,Hierarchy!$A$2:$A$1295,0))="","",INDEX(Hierarchy!$B$2:$B$1295,MATCH($D1996,Hierarchy!$A$2:$A$1295,0))),"NODE NOT FOUND"))</f>
        <v>State/Province</v>
      </c>
      <c r="G1996" s="7" t="str">
        <f aca="false">IF($D1996="","",IFERROR(IF(INDEX(Hierarchy!$D$2:$D$1295,MATCH($D1996,Hierarchy!$A$2:$A$1295,0))="","",INDEX(Hierarchy!$D$2:$D$1295,MATCH($D1996,Hierarchy!$A$2:$A$1295,0))),"NODE NOT FOUND"))</f>
        <v>APAC</v>
      </c>
      <c r="H1996" s="7" t="str">
        <f aca="false">IF($D1996="","",IFERROR(IF(INDEX(Hierarchy!$E$2:$E$1295,MATCH($D1996,Hierarchy!$A$2:$A$1295,0))="","",INDEX(Hierarchy!$E$2:$E$1295,MATCH($D1996,Hierarchy!$A$2:$A$1295,0))),"NODE NOT FOUND"))</f>
        <v>Southeast Asia (ASEAN)</v>
      </c>
      <c r="I1996" s="7" t="str">
        <f aca="false">IF($D1996="","",IFERROR(IF(INDEX(Hierarchy!$F$2:$F$1295,MATCH($D1996,Hierarchy!$A$2:$A$1295,0))="","",INDEX(Hierarchy!$F$2:$F$1295,MATCH($D1996,Hierarchy!$A$2:$A$1295,0))),"NODE NOT FOUND"))</f>
        <v>Indonesia</v>
      </c>
      <c r="J1996" s="7" t="str">
        <f aca="false">IF($D1996="","",IFERROR(IF(INDEX(Hierarchy!$G$2:$G$1295,MATCH($D1996,Hierarchy!$A$2:$A$1295,0))="","",INDEX(Hierarchy!$G$2:$G$1295,MATCH($D1996,Hierarchy!$A$2:$A$1295,0))),"NODE NOT FOUND"))</f>
        <v>IDN</v>
      </c>
      <c r="K1996" s="7" t="str">
        <f aca="false">IF($D1996="","",IFERROR(IF(INDEX(Hierarchy!$H$2:$H$1295,MATCH($D1996,Hierarchy!$A$2:$A$1295,0))="","",INDEX(Hierarchy!$H$2:$H$1295,MATCH($D1996,Hierarchy!$A$2:$A$1295,0))),"NODE NOT FOUND"))</f>
        <v>Yogyakarta</v>
      </c>
      <c r="L1996" s="7" t="str">
        <f aca="false">IF($D1996="","",IFERROR(IF(INDEX(Hierarchy!$I$2:$I$1295,MATCH($D1996,Hierarchy!$A$2:$A$1295,0))="","",INDEX(Hierarchy!$I$2:$I$1295,MATCH($D1996,Hierarchy!$A$2:$A$1295,0))),"NODE NOT FOUND"))</f>
        <v/>
      </c>
      <c r="M1996" s="17" t="str">
        <f aca="false">IF(B1996="Pre-seeded","Pre-seeded",IF(B1996="Review 2026-09-16","Added from review",IF(C1996="","New",IF(C1996=D1996,"","Changed"))))</f>
        <v>Pre-seeded</v>
      </c>
      <c r="N1996" s="7" t="str">
        <f aca="false">TRIM(SUBSTITUTE(SUBSTITUTE(SUBSTITUTE(" "&amp;TRIM(SUBSTITUTE(SUBSTITUTE(SUBSTITUTE(SUBSTITUTE(SUBSTITUTE(SUBSTITUTE(SUBSTITUTE(SUBSTITUTE(SUBSTITUTE(SUBSTITUTE(SUBSTITUTE(SUBSTITUTE(SUBSTITUTE(SUBSTITUTE(SUBSTITUTE(UPPER(TRIM(A1996)),"[MEMBER]",""),"{MEMBER}",""),"[MEMBER}",""),"MEMBER]",""),"(A)",""),"""",""),"“",""),"”",""),".",""),":",""),",",""),"–"," "),"-"," "),"/"," "),"&amp;"," AND "))&amp;" "," THE "," ")," TOTAL "," ")," OPERATIONS "," "))</f>
        <v>YOGYAKARTA</v>
      </c>
      <c r="O1996" s="17" t="str">
        <f aca="false">IF(COUNTIFS($N$2:$N$2000,N1996,$D$2:$D$2000,"&lt;&gt;"&amp;D1996)&gt;0,"CONFLICT","")</f>
        <v/>
      </c>
      <c r="P1996" s="7"/>
    </row>
    <row r="1997" customFormat="false" ht="15" hidden="false" customHeight="false" outlineLevel="0" collapsed="false">
      <c r="A1997" s="7" t="s">
        <v>675</v>
      </c>
      <c r="B1997" s="7" t="s">
        <v>1879</v>
      </c>
      <c r="C1997" s="7"/>
      <c r="D1997" s="6" t="s">
        <v>675</v>
      </c>
      <c r="E1997" s="6" t="s">
        <v>1880</v>
      </c>
      <c r="F1997" s="7" t="str">
        <f aca="false">IF($D1997="","",IFERROR(IF(INDEX(Hierarchy!$B$2:$B$1295,MATCH($D1997,Hierarchy!$A$2:$A$1295,0))="","",INDEX(Hierarchy!$B$2:$B$1295,MATCH($D1997,Hierarchy!$A$2:$A$1295,0))),"NODE NOT FOUND"))</f>
        <v>Sub-national region</v>
      </c>
      <c r="G1997" s="7" t="str">
        <f aca="false">IF($D1997="","",IFERROR(IF(INDEX(Hierarchy!$D$2:$D$1295,MATCH($D1997,Hierarchy!$A$2:$A$1295,0))="","",INDEX(Hierarchy!$D$2:$D$1295,MATCH($D1997,Hierarchy!$A$2:$A$1295,0))),"NODE NOT FOUND"))</f>
        <v>EMEA</v>
      </c>
      <c r="H1997" s="7" t="str">
        <f aca="false">IF($D1997="","",IFERROR(IF(INDEX(Hierarchy!$E$2:$E$1295,MATCH($D1997,Hierarchy!$A$2:$A$1295,0))="","",INDEX(Hierarchy!$E$2:$E$1295,MATCH($D1997,Hierarchy!$A$2:$A$1295,0))),"NODE NOT FOUND"))</f>
        <v>Europe</v>
      </c>
      <c r="I1997" s="7" t="str">
        <f aca="false">IF($D1997="","",IFERROR(IF(INDEX(Hierarchy!$F$2:$F$1295,MATCH($D1997,Hierarchy!$A$2:$A$1295,0))="","",INDEX(Hierarchy!$F$2:$F$1295,MATCH($D1997,Hierarchy!$A$2:$A$1295,0))),"NODE NOT FOUND"))</f>
        <v>United Kingdom</v>
      </c>
      <c r="J1997" s="7" t="str">
        <f aca="false">IF($D1997="","",IFERROR(IF(INDEX(Hierarchy!$G$2:$G$1295,MATCH($D1997,Hierarchy!$A$2:$A$1295,0))="","",INDEX(Hierarchy!$G$2:$G$1295,MATCH($D1997,Hierarchy!$A$2:$A$1295,0))),"NODE NOT FOUND"))</f>
        <v>GBR</v>
      </c>
      <c r="K1997" s="7" t="str">
        <f aca="false">IF($D1997="","",IFERROR(IF(INDEX(Hierarchy!$H$2:$H$1295,MATCH($D1997,Hierarchy!$A$2:$A$1295,0))="","",INDEX(Hierarchy!$H$2:$H$1295,MATCH($D1997,Hierarchy!$A$2:$A$1295,0))),"NODE NOT FOUND"))</f>
        <v>England</v>
      </c>
      <c r="L1997" s="7" t="str">
        <f aca="false">IF($D1997="","",IFERROR(IF(INDEX(Hierarchy!$I$2:$I$1295,MATCH($D1997,Hierarchy!$A$2:$A$1295,0))="","",INDEX(Hierarchy!$I$2:$I$1295,MATCH($D1997,Hierarchy!$A$2:$A$1295,0))),"NODE NOT FOUND"))</f>
        <v/>
      </c>
      <c r="M1997" s="17" t="str">
        <f aca="false">IF(B1997="Pre-seeded","Pre-seeded",IF(B1997="Review 2026-09-16","Added from review",IF(C1997="","New",IF(C1997=D1997,"","Changed"))))</f>
        <v>Pre-seeded</v>
      </c>
      <c r="N1997" s="7" t="str">
        <f aca="false">TRIM(SUBSTITUTE(SUBSTITUTE(SUBSTITUTE(" "&amp;TRIM(SUBSTITUTE(SUBSTITUTE(SUBSTITUTE(SUBSTITUTE(SUBSTITUTE(SUBSTITUTE(SUBSTITUTE(SUBSTITUTE(SUBSTITUTE(SUBSTITUTE(SUBSTITUTE(SUBSTITUTE(SUBSTITUTE(SUBSTITUTE(SUBSTITUTE(UPPER(TRIM(A1997)),"[MEMBER]",""),"{MEMBER}",""),"[MEMBER}",""),"MEMBER]",""),"(A)",""),"""",""),"“",""),"”",""),".",""),":",""),",",""),"–"," "),"-"," "),"/"," "),"&amp;"," AND "))&amp;" "," THE "," ")," TOTAL "," ")," OPERATIONS "," "))</f>
        <v>YORKSHIRE AND HUMBER</v>
      </c>
      <c r="O1997" s="17" t="str">
        <f aca="false">IF(COUNTIFS($N$2:$N$2000,N1997,$D$2:$D$2000,"&lt;&gt;"&amp;D1997)&gt;0,"CONFLICT","")</f>
        <v/>
      </c>
      <c r="P1997" s="7"/>
    </row>
    <row r="1998" customFormat="false" ht="15" hidden="false" customHeight="false" outlineLevel="0" collapsed="false">
      <c r="A1998" s="7" t="s">
        <v>418</v>
      </c>
      <c r="B1998" s="7" t="s">
        <v>1879</v>
      </c>
      <c r="C1998" s="7"/>
      <c r="D1998" s="6" t="s">
        <v>418</v>
      </c>
      <c r="E1998" s="6" t="s">
        <v>1880</v>
      </c>
      <c r="F1998" s="7" t="str">
        <f aca="false">IF($D1998="","",IFERROR(IF(INDEX(Hierarchy!$B$2:$B$1295,MATCH($D1998,Hierarchy!$A$2:$A$1295,0))="","",INDEX(Hierarchy!$B$2:$B$1295,MATCH($D1998,Hierarchy!$A$2:$A$1295,0))),"NODE NOT FOUND"))</f>
        <v>State/Province</v>
      </c>
      <c r="G1998" s="7" t="str">
        <f aca="false">IF($D1998="","",IFERROR(IF(INDEX(Hierarchy!$D$2:$D$1295,MATCH($D1998,Hierarchy!$A$2:$A$1295,0))="","",INDEX(Hierarchy!$D$2:$D$1295,MATCH($D1998,Hierarchy!$A$2:$A$1295,0))),"NODE NOT FOUND"))</f>
        <v>AMER</v>
      </c>
      <c r="H1998" s="7" t="str">
        <f aca="false">IF($D1998="","",IFERROR(IF(INDEX(Hierarchy!$E$2:$E$1295,MATCH($D1998,Hierarchy!$A$2:$A$1295,0))="","",INDEX(Hierarchy!$E$2:$E$1295,MATCH($D1998,Hierarchy!$A$2:$A$1295,0))),"NODE NOT FOUND"))</f>
        <v>Latin America (LATAM)</v>
      </c>
      <c r="I1998" s="7" t="str">
        <f aca="false">IF($D1998="","",IFERROR(IF(INDEX(Hierarchy!$F$2:$F$1295,MATCH($D1998,Hierarchy!$A$2:$A$1295,0))="","",INDEX(Hierarchy!$F$2:$F$1295,MATCH($D1998,Hierarchy!$A$2:$A$1295,0))),"NODE NOT FOUND"))</f>
        <v>Mexico</v>
      </c>
      <c r="J1998" s="7" t="str">
        <f aca="false">IF($D1998="","",IFERROR(IF(INDEX(Hierarchy!$G$2:$G$1295,MATCH($D1998,Hierarchy!$A$2:$A$1295,0))="","",INDEX(Hierarchy!$G$2:$G$1295,MATCH($D1998,Hierarchy!$A$2:$A$1295,0))),"NODE NOT FOUND"))</f>
        <v>MEX</v>
      </c>
      <c r="K1998" s="7" t="str">
        <f aca="false">IF($D1998="","",IFERROR(IF(INDEX(Hierarchy!$H$2:$H$1295,MATCH($D1998,Hierarchy!$A$2:$A$1295,0))="","",INDEX(Hierarchy!$H$2:$H$1295,MATCH($D1998,Hierarchy!$A$2:$A$1295,0))),"NODE NOT FOUND"))</f>
        <v>Yucatán</v>
      </c>
      <c r="L1998" s="7" t="str">
        <f aca="false">IF($D1998="","",IFERROR(IF(INDEX(Hierarchy!$I$2:$I$1295,MATCH($D1998,Hierarchy!$A$2:$A$1295,0))="","",INDEX(Hierarchy!$I$2:$I$1295,MATCH($D1998,Hierarchy!$A$2:$A$1295,0))),"NODE NOT FOUND"))</f>
        <v/>
      </c>
      <c r="M1998" s="17" t="str">
        <f aca="false">IF(B1998="Pre-seeded","Pre-seeded",IF(B1998="Review 2026-09-16","Added from review",IF(C1998="","New",IF(C1998=D1998,"","Changed"))))</f>
        <v>Pre-seeded</v>
      </c>
      <c r="N1998" s="7" t="str">
        <f aca="false">TRIM(SUBSTITUTE(SUBSTITUTE(SUBSTITUTE(" "&amp;TRIM(SUBSTITUTE(SUBSTITUTE(SUBSTITUTE(SUBSTITUTE(SUBSTITUTE(SUBSTITUTE(SUBSTITUTE(SUBSTITUTE(SUBSTITUTE(SUBSTITUTE(SUBSTITUTE(SUBSTITUTE(SUBSTITUTE(SUBSTITUTE(SUBSTITUTE(UPPER(TRIM(A1998)),"[MEMBER]",""),"{MEMBER}",""),"[MEMBER}",""),"MEMBER]",""),"(A)",""),"""",""),"“",""),"”",""),".",""),":",""),",",""),"–"," "),"-"," "),"/"," "),"&amp;"," AND "))&amp;" "," THE "," ")," TOTAL "," ")," OPERATIONS "," "))</f>
        <v>YUCATÁN</v>
      </c>
      <c r="O1998" s="17" t="str">
        <f aca="false">IF(COUNTIFS($N$2:$N$2000,N1998,$D$2:$D$2000,"&lt;&gt;"&amp;D1998)&gt;0,"CONFLICT","")</f>
        <v/>
      </c>
      <c r="P1998" s="7"/>
    </row>
    <row r="1999" customFormat="false" ht="15" hidden="false" customHeight="false" outlineLevel="0" collapsed="false">
      <c r="A1999" s="7" t="s">
        <v>302</v>
      </c>
      <c r="B1999" s="7" t="s">
        <v>1879</v>
      </c>
      <c r="C1999" s="7"/>
      <c r="D1999" s="6" t="s">
        <v>302</v>
      </c>
      <c r="E1999" s="6" t="s">
        <v>1880</v>
      </c>
      <c r="F1999" s="7" t="str">
        <f aca="false">IF($D1999="","",IFERROR(IF(INDEX(Hierarchy!$B$2:$B$1295,MATCH($D1999,Hierarchy!$A$2:$A$1295,0))="","",INDEX(Hierarchy!$B$2:$B$1295,MATCH($D1999,Hierarchy!$A$2:$A$1295,0))),"NODE NOT FOUND"))</f>
        <v>State/Province</v>
      </c>
      <c r="G1999" s="7" t="str">
        <f aca="false">IF($D1999="","",IFERROR(IF(INDEX(Hierarchy!$D$2:$D$1295,MATCH($D1999,Hierarchy!$A$2:$A$1295,0))="","",INDEX(Hierarchy!$D$2:$D$1295,MATCH($D1999,Hierarchy!$A$2:$A$1295,0))),"NODE NOT FOUND"))</f>
        <v>AMER</v>
      </c>
      <c r="H1999" s="7" t="str">
        <f aca="false">IF($D1999="","",IFERROR(IF(INDEX(Hierarchy!$E$2:$E$1295,MATCH($D1999,Hierarchy!$A$2:$A$1295,0))="","",INDEX(Hierarchy!$E$2:$E$1295,MATCH($D1999,Hierarchy!$A$2:$A$1295,0))),"NODE NOT FOUND"))</f>
        <v>North America (NORAM)</v>
      </c>
      <c r="I1999" s="7" t="str">
        <f aca="false">IF($D1999="","",IFERROR(IF(INDEX(Hierarchy!$F$2:$F$1295,MATCH($D1999,Hierarchy!$A$2:$A$1295,0))="","",INDEX(Hierarchy!$F$2:$F$1295,MATCH($D1999,Hierarchy!$A$2:$A$1295,0))),"NODE NOT FOUND"))</f>
        <v>Canada</v>
      </c>
      <c r="J1999" s="7" t="str">
        <f aca="false">IF($D1999="","",IFERROR(IF(INDEX(Hierarchy!$G$2:$G$1295,MATCH($D1999,Hierarchy!$A$2:$A$1295,0))="","",INDEX(Hierarchy!$G$2:$G$1295,MATCH($D1999,Hierarchy!$A$2:$A$1295,0))),"NODE NOT FOUND"))</f>
        <v>CAN</v>
      </c>
      <c r="K1999" s="7" t="str">
        <f aca="false">IF($D1999="","",IFERROR(IF(INDEX(Hierarchy!$H$2:$H$1295,MATCH($D1999,Hierarchy!$A$2:$A$1295,0))="","",INDEX(Hierarchy!$H$2:$H$1295,MATCH($D1999,Hierarchy!$A$2:$A$1295,0))),"NODE NOT FOUND"))</f>
        <v>Yukon</v>
      </c>
      <c r="L1999" s="7" t="str">
        <f aca="false">IF($D1999="","",IFERROR(IF(INDEX(Hierarchy!$I$2:$I$1295,MATCH($D1999,Hierarchy!$A$2:$A$1295,0))="","",INDEX(Hierarchy!$I$2:$I$1295,MATCH($D1999,Hierarchy!$A$2:$A$1295,0))),"NODE NOT FOUND"))</f>
        <v/>
      </c>
      <c r="M1999" s="17" t="str">
        <f aca="false">IF(B1999="Pre-seeded","Pre-seeded",IF(B1999="Review 2026-09-16","Added from review",IF(C1999="","New",IF(C1999=D1999,"","Changed"))))</f>
        <v>Pre-seeded</v>
      </c>
      <c r="N1999" s="7" t="str">
        <f aca="false">TRIM(SUBSTITUTE(SUBSTITUTE(SUBSTITUTE(" "&amp;TRIM(SUBSTITUTE(SUBSTITUTE(SUBSTITUTE(SUBSTITUTE(SUBSTITUTE(SUBSTITUTE(SUBSTITUTE(SUBSTITUTE(SUBSTITUTE(SUBSTITUTE(SUBSTITUTE(SUBSTITUTE(SUBSTITUTE(SUBSTITUTE(SUBSTITUTE(UPPER(TRIM(A1999)),"[MEMBER]",""),"{MEMBER}",""),"[MEMBER}",""),"MEMBER]",""),"(A)",""),"""",""),"“",""),"”",""),".",""),":",""),",",""),"–"," "),"-"," "),"/"," "),"&amp;"," AND "))&amp;" "," THE "," ")," TOTAL "," ")," OPERATIONS "," "))</f>
        <v>YUKON</v>
      </c>
      <c r="O1999" s="17" t="str">
        <f aca="false">IF(COUNTIFS($N$2:$N$2000,N1999,$D$2:$D$2000,"&lt;&gt;"&amp;D1999)&gt;0,"CONFLICT","")</f>
        <v/>
      </c>
      <c r="P1999" s="7"/>
    </row>
    <row r="2000" customFormat="false" ht="15" hidden="false" customHeight="false" outlineLevel="0" collapsed="false">
      <c r="A2000" s="7" t="s">
        <v>1541</v>
      </c>
      <c r="B2000" s="7" t="s">
        <v>1879</v>
      </c>
      <c r="C2000" s="7"/>
      <c r="D2000" s="6" t="s">
        <v>1541</v>
      </c>
      <c r="E2000" s="6" t="s">
        <v>1880</v>
      </c>
      <c r="F2000" s="7" t="str">
        <f aca="false">IF($D2000="","",IFERROR(IF(INDEX(Hierarchy!$B$2:$B$1295,MATCH($D2000,Hierarchy!$A$2:$A$1295,0))="","",INDEX(Hierarchy!$B$2:$B$1295,MATCH($D2000,Hierarchy!$A$2:$A$1295,0))),"NODE NOT FOUND"))</f>
        <v>State/Province</v>
      </c>
      <c r="G2000" s="7" t="str">
        <f aca="false">IF($D2000="","",IFERROR(IF(INDEX(Hierarchy!$D$2:$D$1295,MATCH($D2000,Hierarchy!$A$2:$A$1295,0))="","",INDEX(Hierarchy!$D$2:$D$1295,MATCH($D2000,Hierarchy!$A$2:$A$1295,0))),"NODE NOT FOUND"))</f>
        <v>APAC</v>
      </c>
      <c r="H2000" s="7" t="str">
        <f aca="false">IF($D2000="","",IFERROR(IF(INDEX(Hierarchy!$E$2:$E$1295,MATCH($D2000,Hierarchy!$A$2:$A$1295,0))="","",INDEX(Hierarchy!$E$2:$E$1295,MATCH($D2000,Hierarchy!$A$2:$A$1295,0))),"NODE NOT FOUND"))</f>
        <v>East Asia</v>
      </c>
      <c r="I2000" s="7" t="str">
        <f aca="false">IF($D2000="","",IFERROR(IF(INDEX(Hierarchy!$F$2:$F$1295,MATCH($D2000,Hierarchy!$A$2:$A$1295,0))="","",INDEX(Hierarchy!$F$2:$F$1295,MATCH($D2000,Hierarchy!$A$2:$A$1295,0))),"NODE NOT FOUND"))</f>
        <v>China</v>
      </c>
      <c r="J2000" s="7" t="str">
        <f aca="false">IF($D2000="","",IFERROR(IF(INDEX(Hierarchy!$G$2:$G$1295,MATCH($D2000,Hierarchy!$A$2:$A$1295,0))="","",INDEX(Hierarchy!$G$2:$G$1295,MATCH($D2000,Hierarchy!$A$2:$A$1295,0))),"NODE NOT FOUND"))</f>
        <v>CHN</v>
      </c>
      <c r="K2000" s="7" t="str">
        <f aca="false">IF($D2000="","",IFERROR(IF(INDEX(Hierarchy!$H$2:$H$1295,MATCH($D2000,Hierarchy!$A$2:$A$1295,0))="","",INDEX(Hierarchy!$H$2:$H$1295,MATCH($D2000,Hierarchy!$A$2:$A$1295,0))),"NODE NOT FOUND"))</f>
        <v>Yunnan</v>
      </c>
      <c r="L2000" s="7" t="str">
        <f aca="false">IF($D2000="","",IFERROR(IF(INDEX(Hierarchy!$I$2:$I$1295,MATCH($D2000,Hierarchy!$A$2:$A$1295,0))="","",INDEX(Hierarchy!$I$2:$I$1295,MATCH($D2000,Hierarchy!$A$2:$A$1295,0))),"NODE NOT FOUND"))</f>
        <v/>
      </c>
      <c r="M2000" s="17" t="str">
        <f aca="false">IF(B2000="Pre-seeded","Pre-seeded",IF(B2000="Review 2026-09-16","Added from review",IF(C2000="","New",IF(C2000=D2000,"","Changed"))))</f>
        <v>Pre-seeded</v>
      </c>
      <c r="N2000" s="7" t="str">
        <f aca="false">TRIM(SUBSTITUTE(SUBSTITUTE(SUBSTITUTE(" "&amp;TRIM(SUBSTITUTE(SUBSTITUTE(SUBSTITUTE(SUBSTITUTE(SUBSTITUTE(SUBSTITUTE(SUBSTITUTE(SUBSTITUTE(SUBSTITUTE(SUBSTITUTE(SUBSTITUTE(SUBSTITUTE(SUBSTITUTE(SUBSTITUTE(SUBSTITUTE(UPPER(TRIM(A2000)),"[MEMBER]",""),"{MEMBER}",""),"[MEMBER}",""),"MEMBER]",""),"(A)",""),"""",""),"“",""),"”",""),".",""),":",""),",",""),"–"," "),"-"," "),"/"," "),"&amp;"," AND "))&amp;" "," THE "," ")," TOTAL "," ")," OPERATIONS "," "))</f>
        <v>YUNNAN</v>
      </c>
      <c r="O2000" s="17" t="str">
        <f aca="false">IF(COUNTIFS($N$2:$N$2000,N2000,$D$2:$D$2000,"&lt;&gt;"&amp;D2000)&gt;0,"CONFLICT","")</f>
        <v/>
      </c>
      <c r="P2000" s="7"/>
    </row>
    <row r="2001" customFormat="false" ht="15" hidden="false" customHeight="false" outlineLevel="0" collapsed="false">
      <c r="A2001" s="7" t="s">
        <v>419</v>
      </c>
      <c r="B2001" s="7" t="s">
        <v>1879</v>
      </c>
      <c r="C2001" s="7"/>
      <c r="D2001" s="6" t="s">
        <v>419</v>
      </c>
      <c r="E2001" s="6" t="s">
        <v>1880</v>
      </c>
      <c r="F2001" s="7" t="str">
        <f aca="false">IF($D2001="","",IFERROR(IF(INDEX(Hierarchy!$B$2:$B$1295,MATCH($D2001,Hierarchy!$A$2:$A$1295,0))="","",INDEX(Hierarchy!$B$2:$B$1295,MATCH($D2001,Hierarchy!$A$2:$A$1295,0))),"NODE NOT FOUND"))</f>
        <v>State/Province</v>
      </c>
      <c r="G2001" s="7" t="str">
        <f aca="false">IF($D2001="","",IFERROR(IF(INDEX(Hierarchy!$D$2:$D$1295,MATCH($D2001,Hierarchy!$A$2:$A$1295,0))="","",INDEX(Hierarchy!$D$2:$D$1295,MATCH($D2001,Hierarchy!$A$2:$A$1295,0))),"NODE NOT FOUND"))</f>
        <v>AMER</v>
      </c>
      <c r="H2001" s="7" t="str">
        <f aca="false">IF($D2001="","",IFERROR(IF(INDEX(Hierarchy!$E$2:$E$1295,MATCH($D2001,Hierarchy!$A$2:$A$1295,0))="","",INDEX(Hierarchy!$E$2:$E$1295,MATCH($D2001,Hierarchy!$A$2:$A$1295,0))),"NODE NOT FOUND"))</f>
        <v>Latin America (LATAM)</v>
      </c>
      <c r="I2001" s="7" t="str">
        <f aca="false">IF($D2001="","",IFERROR(IF(INDEX(Hierarchy!$F$2:$F$1295,MATCH($D2001,Hierarchy!$A$2:$A$1295,0))="","",INDEX(Hierarchy!$F$2:$F$1295,MATCH($D2001,Hierarchy!$A$2:$A$1295,0))),"NODE NOT FOUND"))</f>
        <v>Mexico</v>
      </c>
      <c r="J2001" s="7" t="str">
        <f aca="false">IF($D2001="","",IFERROR(IF(INDEX(Hierarchy!$G$2:$G$1295,MATCH($D2001,Hierarchy!$A$2:$A$1295,0))="","",INDEX(Hierarchy!$G$2:$G$1295,MATCH($D2001,Hierarchy!$A$2:$A$1295,0))),"NODE NOT FOUND"))</f>
        <v>MEX</v>
      </c>
      <c r="K2001" s="7" t="str">
        <f aca="false">IF($D2001="","",IFERROR(IF(INDEX(Hierarchy!$H$2:$H$1295,MATCH($D2001,Hierarchy!$A$2:$A$1295,0))="","",INDEX(Hierarchy!$H$2:$H$1295,MATCH($D2001,Hierarchy!$A$2:$A$1295,0))),"NODE NOT FOUND"))</f>
        <v>Zacatecas</v>
      </c>
      <c r="L2001" s="7" t="str">
        <f aca="false">IF($D2001="","",IFERROR(IF(INDEX(Hierarchy!$I$2:$I$1295,MATCH($D2001,Hierarchy!$A$2:$A$1295,0))="","",INDEX(Hierarchy!$I$2:$I$1295,MATCH($D2001,Hierarchy!$A$2:$A$1295,0))),"NODE NOT FOUND"))</f>
        <v/>
      </c>
      <c r="M2001" s="17" t="str">
        <f aca="false">IF(B2001="Pre-seeded","Pre-seeded",IF(B2001="Review 2026-09-16","Added from review",IF(C2001="","New",IF(C2001=D2001,"","Changed"))))</f>
        <v>Pre-seeded</v>
      </c>
      <c r="N2001" s="7" t="str">
        <f aca="false">TRIM(SUBSTITUTE(SUBSTITUTE(SUBSTITUTE(" "&amp;TRIM(SUBSTITUTE(SUBSTITUTE(SUBSTITUTE(SUBSTITUTE(SUBSTITUTE(SUBSTITUTE(SUBSTITUTE(SUBSTITUTE(SUBSTITUTE(SUBSTITUTE(SUBSTITUTE(SUBSTITUTE(SUBSTITUTE(SUBSTITUTE(SUBSTITUTE(UPPER(TRIM(A2001)),"[MEMBER]",""),"{MEMBER}",""),"[MEMBER}",""),"MEMBER]",""),"(A)",""),"""",""),"“",""),"”",""),".",""),":",""),",",""),"–"," "),"-"," "),"/"," "),"&amp;"," AND "))&amp;" "," THE "," ")," TOTAL "," ")," OPERATIONS "," "))</f>
        <v>ZACATECAS</v>
      </c>
      <c r="O2001" s="17" t="str">
        <f aca="false">IF(COUNTIFS($N$2:$N$2000,N2001,$D$2:$D$2000,"&lt;&gt;"&amp;D2001)&gt;0,"CONFLICT","")</f>
        <v/>
      </c>
      <c r="P2001" s="7"/>
    </row>
    <row r="2002" customFormat="false" ht="15" hidden="false" customHeight="false" outlineLevel="0" collapsed="false">
      <c r="A2002" s="7" t="s">
        <v>1306</v>
      </c>
      <c r="B2002" s="7" t="s">
        <v>1882</v>
      </c>
      <c r="C2002" s="7" t="s">
        <v>1306</v>
      </c>
      <c r="D2002" s="6" t="s">
        <v>1306</v>
      </c>
      <c r="E2002" s="6" t="s">
        <v>1880</v>
      </c>
      <c r="F2002" s="7" t="str">
        <f aca="false">IF($D2002="","",IFERROR(IF(INDEX(Hierarchy!$B$2:$B$1295,MATCH($D2002,Hierarchy!$A$2:$A$1295,0))="","",INDEX(Hierarchy!$B$2:$B$1295,MATCH($D2002,Hierarchy!$A$2:$A$1295,0))),"NODE NOT FOUND"))</f>
        <v>Country</v>
      </c>
      <c r="G2002" s="7" t="str">
        <f aca="false">IF($D2002="","",IFERROR(IF(INDEX(Hierarchy!$D$2:$D$1295,MATCH($D2002,Hierarchy!$A$2:$A$1295,0))="","",INDEX(Hierarchy!$D$2:$D$1295,MATCH($D2002,Hierarchy!$A$2:$A$1295,0))),"NODE NOT FOUND"))</f>
        <v>EMEA</v>
      </c>
      <c r="H2002" s="7" t="str">
        <f aca="false">IF($D2002="","",IFERROR(IF(INDEX(Hierarchy!$E$2:$E$1295,MATCH($D2002,Hierarchy!$A$2:$A$1295,0))="","",INDEX(Hierarchy!$E$2:$E$1295,MATCH($D2002,Hierarchy!$A$2:$A$1295,0))),"NODE NOT FOUND"))</f>
        <v>Africa</v>
      </c>
      <c r="I2002" s="7" t="str">
        <f aca="false">IF($D2002="","",IFERROR(IF(INDEX(Hierarchy!$F$2:$F$1295,MATCH($D2002,Hierarchy!$A$2:$A$1295,0))="","",INDEX(Hierarchy!$F$2:$F$1295,MATCH($D2002,Hierarchy!$A$2:$A$1295,0))),"NODE NOT FOUND"))</f>
        <v>Zambia</v>
      </c>
      <c r="J2002" s="7" t="str">
        <f aca="false">IF($D2002="","",IFERROR(IF(INDEX(Hierarchy!$G$2:$G$1295,MATCH($D2002,Hierarchy!$A$2:$A$1295,0))="","",INDEX(Hierarchy!$G$2:$G$1295,MATCH($D2002,Hierarchy!$A$2:$A$1295,0))),"NODE NOT FOUND"))</f>
        <v>ZMB</v>
      </c>
      <c r="K2002" s="7" t="str">
        <f aca="false">IF($D2002="","",IFERROR(IF(INDEX(Hierarchy!$H$2:$H$1295,MATCH($D2002,Hierarchy!$A$2:$A$1295,0))="","",INDEX(Hierarchy!$H$2:$H$1295,MATCH($D2002,Hierarchy!$A$2:$A$1295,0))),"NODE NOT FOUND"))</f>
        <v/>
      </c>
      <c r="L2002" s="7" t="str">
        <f aca="false">IF($D2002="","",IFERROR(IF(INDEX(Hierarchy!$I$2:$I$1295,MATCH($D2002,Hierarchy!$A$2:$A$1295,0))="","",INDEX(Hierarchy!$I$2:$I$1295,MATCH($D2002,Hierarchy!$A$2:$A$1295,0))),"NODE NOT FOUND"))</f>
        <v/>
      </c>
      <c r="M2002" s="17" t="str">
        <f aca="false">IF(B2002="Pre-seeded","Pre-seeded",IF(B2002="Review 2026-09-16","Added from review",IF(C2002="","New",IF(C2002=D2002,"","Changed"))))</f>
        <v/>
      </c>
      <c r="N2002" s="7" t="str">
        <f aca="false">TRIM(SUBSTITUTE(SUBSTITUTE(SUBSTITUTE(" "&amp;TRIM(SUBSTITUTE(SUBSTITUTE(SUBSTITUTE(SUBSTITUTE(SUBSTITUTE(SUBSTITUTE(SUBSTITUTE(SUBSTITUTE(SUBSTITUTE(SUBSTITUTE(SUBSTITUTE(SUBSTITUTE(SUBSTITUTE(SUBSTITUTE(SUBSTITUTE(UPPER(TRIM(A2002)),"[MEMBER]",""),"{MEMBER}",""),"[MEMBER}",""),"MEMBER]",""),"(A)",""),"""",""),"“",""),"”",""),".",""),":",""),",",""),"–"," "),"-"," "),"/"," "),"&amp;"," AND "))&amp;" "," THE "," ")," TOTAL "," ")," OPERATIONS "," "))</f>
        <v>ZAMBIA</v>
      </c>
      <c r="O2002" s="17" t="str">
        <f aca="false">IF(COUNTIFS($N$2:$N$2000,N2002,$D$2:$D$2000,"&lt;&gt;"&amp;D2002)&gt;0,"CONFLICT","")</f>
        <v/>
      </c>
      <c r="P2002" s="7"/>
    </row>
    <row r="2003" customFormat="false" ht="15" hidden="false" customHeight="false" outlineLevel="0" collapsed="false">
      <c r="A2003" s="7" t="s">
        <v>1680</v>
      </c>
      <c r="B2003" s="7" t="s">
        <v>1879</v>
      </c>
      <c r="C2003" s="7"/>
      <c r="D2003" s="6" t="s">
        <v>1680</v>
      </c>
      <c r="E2003" s="6" t="s">
        <v>1880</v>
      </c>
      <c r="F2003" s="7" t="str">
        <f aca="false">IF($D2003="","",IFERROR(IF(INDEX(Hierarchy!$B$2:$B$1295,MATCH($D2003,Hierarchy!$A$2:$A$1295,0))="","",INDEX(Hierarchy!$B$2:$B$1295,MATCH($D2003,Hierarchy!$A$2:$A$1295,0))),"NODE NOT FOUND"))</f>
        <v>State/Province</v>
      </c>
      <c r="G2003" s="7" t="str">
        <f aca="false">IF($D2003="","",IFERROR(IF(INDEX(Hierarchy!$D$2:$D$1295,MATCH($D2003,Hierarchy!$A$2:$A$1295,0))="","",INDEX(Hierarchy!$D$2:$D$1295,MATCH($D2003,Hierarchy!$A$2:$A$1295,0))),"NODE NOT FOUND"))</f>
        <v>APAC</v>
      </c>
      <c r="H2003" s="7" t="str">
        <f aca="false">IF($D2003="","",IFERROR(IF(INDEX(Hierarchy!$E$2:$E$1295,MATCH($D2003,Hierarchy!$A$2:$A$1295,0))="","",INDEX(Hierarchy!$E$2:$E$1295,MATCH($D2003,Hierarchy!$A$2:$A$1295,0))),"NODE NOT FOUND"))</f>
        <v>Southeast Asia (ASEAN)</v>
      </c>
      <c r="I2003" s="7" t="str">
        <f aca="false">IF($D2003="","",IFERROR(IF(INDEX(Hierarchy!$F$2:$F$1295,MATCH($D2003,Hierarchy!$A$2:$A$1295,0))="","",INDEX(Hierarchy!$F$2:$F$1295,MATCH($D2003,Hierarchy!$A$2:$A$1295,0))),"NODE NOT FOUND"))</f>
        <v>Philippines</v>
      </c>
      <c r="J2003" s="7" t="str">
        <f aca="false">IF($D2003="","",IFERROR(IF(INDEX(Hierarchy!$G$2:$G$1295,MATCH($D2003,Hierarchy!$A$2:$A$1295,0))="","",INDEX(Hierarchy!$G$2:$G$1295,MATCH($D2003,Hierarchy!$A$2:$A$1295,0))),"NODE NOT FOUND"))</f>
        <v>PHL</v>
      </c>
      <c r="K2003" s="7" t="str">
        <f aca="false">IF($D2003="","",IFERROR(IF(INDEX(Hierarchy!$H$2:$H$1295,MATCH($D2003,Hierarchy!$A$2:$A$1295,0))="","",INDEX(Hierarchy!$H$2:$H$1295,MATCH($D2003,Hierarchy!$A$2:$A$1295,0))),"NODE NOT FOUND"))</f>
        <v>Zamboanga Peninsula</v>
      </c>
      <c r="L2003" s="7" t="str">
        <f aca="false">IF($D2003="","",IFERROR(IF(INDEX(Hierarchy!$I$2:$I$1295,MATCH($D2003,Hierarchy!$A$2:$A$1295,0))="","",INDEX(Hierarchy!$I$2:$I$1295,MATCH($D2003,Hierarchy!$A$2:$A$1295,0))),"NODE NOT FOUND"))</f>
        <v/>
      </c>
      <c r="M2003" s="17" t="str">
        <f aca="false">IF(B2003="Pre-seeded","Pre-seeded",IF(B2003="Review 2026-09-16","Added from review",IF(C2003="","New",IF(C2003=D2003,"","Changed"))))</f>
        <v>Pre-seeded</v>
      </c>
      <c r="N2003" s="7" t="str">
        <f aca="false">TRIM(SUBSTITUTE(SUBSTITUTE(SUBSTITUTE(" "&amp;TRIM(SUBSTITUTE(SUBSTITUTE(SUBSTITUTE(SUBSTITUTE(SUBSTITUTE(SUBSTITUTE(SUBSTITUTE(SUBSTITUTE(SUBSTITUTE(SUBSTITUTE(SUBSTITUTE(SUBSTITUTE(SUBSTITUTE(SUBSTITUTE(SUBSTITUTE(UPPER(TRIM(A2003)),"[MEMBER]",""),"{MEMBER}",""),"[MEMBER}",""),"MEMBER]",""),"(A)",""),"""",""),"“",""),"”",""),".",""),":",""),",",""),"–"," "),"-"," "),"/"," "),"&amp;"," AND "))&amp;" "," THE "," ")," TOTAL "," ")," OPERATIONS "," "))</f>
        <v>ZAMBOANGA PENINSULA</v>
      </c>
      <c r="O2003" s="17" t="str">
        <f aca="false">IF(COUNTIFS($N$2:$N$2000,N2003,$D$2:$D$2000,"&lt;&gt;"&amp;D2003)&gt;0,"CONFLICT","")</f>
        <v/>
      </c>
      <c r="P2003" s="7"/>
    </row>
    <row r="2004" customFormat="false" ht="15" hidden="false" customHeight="false" outlineLevel="0" collapsed="false">
      <c r="A2004" s="7" t="s">
        <v>1169</v>
      </c>
      <c r="B2004" s="7" t="s">
        <v>1879</v>
      </c>
      <c r="C2004" s="7"/>
      <c r="D2004" s="6" t="s">
        <v>1169</v>
      </c>
      <c r="E2004" s="6" t="s">
        <v>1880</v>
      </c>
      <c r="F2004" s="7" t="str">
        <f aca="false">IF($D2004="","",IFERROR(IF(INDEX(Hierarchy!$B$2:$B$1295,MATCH($D2004,Hierarchy!$A$2:$A$1295,0))="","",INDEX(Hierarchy!$B$2:$B$1295,MATCH($D2004,Hierarchy!$A$2:$A$1295,0))),"NODE NOT FOUND"))</f>
        <v>State/Province</v>
      </c>
      <c r="G2004" s="7" t="str">
        <f aca="false">IF($D2004="","",IFERROR(IF(INDEX(Hierarchy!$D$2:$D$1295,MATCH($D2004,Hierarchy!$A$2:$A$1295,0))="","",INDEX(Hierarchy!$D$2:$D$1295,MATCH($D2004,Hierarchy!$A$2:$A$1295,0))),"NODE NOT FOUND"))</f>
        <v>EMEA</v>
      </c>
      <c r="H2004" s="7" t="str">
        <f aca="false">IF($D2004="","",IFERROR(IF(INDEX(Hierarchy!$E$2:$E$1295,MATCH($D2004,Hierarchy!$A$2:$A$1295,0))="","",INDEX(Hierarchy!$E$2:$E$1295,MATCH($D2004,Hierarchy!$A$2:$A$1295,0))),"NODE NOT FOUND"))</f>
        <v>Africa</v>
      </c>
      <c r="I2004" s="7" t="str">
        <f aca="false">IF($D2004="","",IFERROR(IF(INDEX(Hierarchy!$F$2:$F$1295,MATCH($D2004,Hierarchy!$A$2:$A$1295,0))="","",INDEX(Hierarchy!$F$2:$F$1295,MATCH($D2004,Hierarchy!$A$2:$A$1295,0))),"NODE NOT FOUND"))</f>
        <v>Nigeria</v>
      </c>
      <c r="J2004" s="7" t="str">
        <f aca="false">IF($D2004="","",IFERROR(IF(INDEX(Hierarchy!$G$2:$G$1295,MATCH($D2004,Hierarchy!$A$2:$A$1295,0))="","",INDEX(Hierarchy!$G$2:$G$1295,MATCH($D2004,Hierarchy!$A$2:$A$1295,0))),"NODE NOT FOUND"))</f>
        <v>NGA</v>
      </c>
      <c r="K2004" s="7" t="str">
        <f aca="false">IF($D2004="","",IFERROR(IF(INDEX(Hierarchy!$H$2:$H$1295,MATCH($D2004,Hierarchy!$A$2:$A$1295,0))="","",INDEX(Hierarchy!$H$2:$H$1295,MATCH($D2004,Hierarchy!$A$2:$A$1295,0))),"NODE NOT FOUND"))</f>
        <v>Zamfara</v>
      </c>
      <c r="L2004" s="7" t="str">
        <f aca="false">IF($D2004="","",IFERROR(IF(INDEX(Hierarchy!$I$2:$I$1295,MATCH($D2004,Hierarchy!$A$2:$A$1295,0))="","",INDEX(Hierarchy!$I$2:$I$1295,MATCH($D2004,Hierarchy!$A$2:$A$1295,0))),"NODE NOT FOUND"))</f>
        <v/>
      </c>
      <c r="M2004" s="17" t="str">
        <f aca="false">IF(B2004="Pre-seeded","Pre-seeded",IF(B2004="Review 2026-09-16","Added from review",IF(C2004="","New",IF(C2004=D2004,"","Changed"))))</f>
        <v>Pre-seeded</v>
      </c>
      <c r="N2004" s="7" t="str">
        <f aca="false">TRIM(SUBSTITUTE(SUBSTITUTE(SUBSTITUTE(" "&amp;TRIM(SUBSTITUTE(SUBSTITUTE(SUBSTITUTE(SUBSTITUTE(SUBSTITUTE(SUBSTITUTE(SUBSTITUTE(SUBSTITUTE(SUBSTITUTE(SUBSTITUTE(SUBSTITUTE(SUBSTITUTE(SUBSTITUTE(SUBSTITUTE(SUBSTITUTE(UPPER(TRIM(A2004)),"[MEMBER]",""),"{MEMBER}",""),"[MEMBER}",""),"MEMBER]",""),"(A)",""),"""",""),"“",""),"”",""),".",""),":",""),",",""),"–"," "),"-"," "),"/"," "),"&amp;"," AND "))&amp;" "," THE "," ")," TOTAL "," ")," OPERATIONS "," "))</f>
        <v>ZAMFARA</v>
      </c>
      <c r="O2004" s="17" t="str">
        <f aca="false">IF(COUNTIFS($N$2:$N$2000,N2004,$D$2:$D$2000,"&lt;&gt;"&amp;D2004)&gt;0,"CONFLICT","")</f>
        <v/>
      </c>
      <c r="P2004" s="7"/>
    </row>
    <row r="2005" customFormat="false" ht="15" hidden="false" customHeight="false" outlineLevel="0" collapsed="false">
      <c r="A2005" s="7" t="s">
        <v>896</v>
      </c>
      <c r="B2005" s="7" t="s">
        <v>1879</v>
      </c>
      <c r="C2005" s="7"/>
      <c r="D2005" s="6" t="s">
        <v>896</v>
      </c>
      <c r="E2005" s="6" t="s">
        <v>1880</v>
      </c>
      <c r="F2005" s="7" t="str">
        <f aca="false">IF($D2005="","",IFERROR(IF(INDEX(Hierarchy!$B$2:$B$1295,MATCH($D2005,Hierarchy!$A$2:$A$1295,0))="","",INDEX(Hierarchy!$B$2:$B$1295,MATCH($D2005,Hierarchy!$A$2:$A$1295,0))),"NODE NOT FOUND"))</f>
        <v>State/Province</v>
      </c>
      <c r="G2005" s="7" t="str">
        <f aca="false">IF($D2005="","",IFERROR(IF(INDEX(Hierarchy!$D$2:$D$1295,MATCH($D2005,Hierarchy!$A$2:$A$1295,0))="","",INDEX(Hierarchy!$D$2:$D$1295,MATCH($D2005,Hierarchy!$A$2:$A$1295,0))),"NODE NOT FOUND"))</f>
        <v>EMEA</v>
      </c>
      <c r="H2005" s="7" t="str">
        <f aca="false">IF($D2005="","",IFERROR(IF(INDEX(Hierarchy!$E$2:$E$1295,MATCH($D2005,Hierarchy!$A$2:$A$1295,0))="","",INDEX(Hierarchy!$E$2:$E$1295,MATCH($D2005,Hierarchy!$A$2:$A$1295,0))),"NODE NOT FOUND"))</f>
        <v>Europe</v>
      </c>
      <c r="I2005" s="7" t="str">
        <f aca="false">IF($D2005="","",IFERROR(IF(INDEX(Hierarchy!$F$2:$F$1295,MATCH($D2005,Hierarchy!$A$2:$A$1295,0))="","",INDEX(Hierarchy!$F$2:$F$1295,MATCH($D2005,Hierarchy!$A$2:$A$1295,0))),"NODE NOT FOUND"))</f>
        <v>Netherlands</v>
      </c>
      <c r="J2005" s="7" t="str">
        <f aca="false">IF($D2005="","",IFERROR(IF(INDEX(Hierarchy!$G$2:$G$1295,MATCH($D2005,Hierarchy!$A$2:$A$1295,0))="","",INDEX(Hierarchy!$G$2:$G$1295,MATCH($D2005,Hierarchy!$A$2:$A$1295,0))),"NODE NOT FOUND"))</f>
        <v>NLD</v>
      </c>
      <c r="K2005" s="7" t="str">
        <f aca="false">IF($D2005="","",IFERROR(IF(INDEX(Hierarchy!$H$2:$H$1295,MATCH($D2005,Hierarchy!$A$2:$A$1295,0))="","",INDEX(Hierarchy!$H$2:$H$1295,MATCH($D2005,Hierarchy!$A$2:$A$1295,0))),"NODE NOT FOUND"))</f>
        <v>Zeeland</v>
      </c>
      <c r="L2005" s="7" t="str">
        <f aca="false">IF($D2005="","",IFERROR(IF(INDEX(Hierarchy!$I$2:$I$1295,MATCH($D2005,Hierarchy!$A$2:$A$1295,0))="","",INDEX(Hierarchy!$I$2:$I$1295,MATCH($D2005,Hierarchy!$A$2:$A$1295,0))),"NODE NOT FOUND"))</f>
        <v/>
      </c>
      <c r="M2005" s="17" t="str">
        <f aca="false">IF(B2005="Pre-seeded","Pre-seeded",IF(B2005="Review 2026-09-16","Added from review",IF(C2005="","New",IF(C2005=D2005,"","Changed"))))</f>
        <v>Pre-seeded</v>
      </c>
      <c r="N2005" s="7" t="str">
        <f aca="false">TRIM(SUBSTITUTE(SUBSTITUTE(SUBSTITUTE(" "&amp;TRIM(SUBSTITUTE(SUBSTITUTE(SUBSTITUTE(SUBSTITUTE(SUBSTITUTE(SUBSTITUTE(SUBSTITUTE(SUBSTITUTE(SUBSTITUTE(SUBSTITUTE(SUBSTITUTE(SUBSTITUTE(SUBSTITUTE(SUBSTITUTE(SUBSTITUTE(UPPER(TRIM(A2005)),"[MEMBER]",""),"{MEMBER}",""),"[MEMBER}",""),"MEMBER]",""),"(A)",""),"""",""),"“",""),"”",""),".",""),":",""),",",""),"–"," "),"-"," "),"/"," "),"&amp;"," AND "))&amp;" "," THE "," ")," TOTAL "," ")," OPERATIONS "," "))</f>
        <v>ZEELAND</v>
      </c>
      <c r="O2005" s="17" t="str">
        <f aca="false">IF(COUNTIFS($N$2:$N$2000,N2005,$D$2:$D$2000,"&lt;&gt;"&amp;D2005)&gt;0,"CONFLICT","")</f>
        <v/>
      </c>
      <c r="P2005" s="7"/>
    </row>
    <row r="2006" customFormat="false" ht="15" hidden="false" customHeight="false" outlineLevel="0" collapsed="false">
      <c r="A2006" s="7" t="s">
        <v>1542</v>
      </c>
      <c r="B2006" s="7" t="s">
        <v>1879</v>
      </c>
      <c r="C2006" s="7"/>
      <c r="D2006" s="6" t="s">
        <v>1542</v>
      </c>
      <c r="E2006" s="6" t="s">
        <v>1880</v>
      </c>
      <c r="F2006" s="7" t="str">
        <f aca="false">IF($D2006="","",IFERROR(IF(INDEX(Hierarchy!$B$2:$B$1295,MATCH($D2006,Hierarchy!$A$2:$A$1295,0))="","",INDEX(Hierarchy!$B$2:$B$1295,MATCH($D2006,Hierarchy!$A$2:$A$1295,0))),"NODE NOT FOUND"))</f>
        <v>State/Province</v>
      </c>
      <c r="G2006" s="7" t="str">
        <f aca="false">IF($D2006="","",IFERROR(IF(INDEX(Hierarchy!$D$2:$D$1295,MATCH($D2006,Hierarchy!$A$2:$A$1295,0))="","",INDEX(Hierarchy!$D$2:$D$1295,MATCH($D2006,Hierarchy!$A$2:$A$1295,0))),"NODE NOT FOUND"))</f>
        <v>APAC</v>
      </c>
      <c r="H2006" s="7" t="str">
        <f aca="false">IF($D2006="","",IFERROR(IF(INDEX(Hierarchy!$E$2:$E$1295,MATCH($D2006,Hierarchy!$A$2:$A$1295,0))="","",INDEX(Hierarchy!$E$2:$E$1295,MATCH($D2006,Hierarchy!$A$2:$A$1295,0))),"NODE NOT FOUND"))</f>
        <v>East Asia</v>
      </c>
      <c r="I2006" s="7" t="str">
        <f aca="false">IF($D2006="","",IFERROR(IF(INDEX(Hierarchy!$F$2:$F$1295,MATCH($D2006,Hierarchy!$A$2:$A$1295,0))="","",INDEX(Hierarchy!$F$2:$F$1295,MATCH($D2006,Hierarchy!$A$2:$A$1295,0))),"NODE NOT FOUND"))</f>
        <v>China</v>
      </c>
      <c r="J2006" s="7" t="str">
        <f aca="false">IF($D2006="","",IFERROR(IF(INDEX(Hierarchy!$G$2:$G$1295,MATCH($D2006,Hierarchy!$A$2:$A$1295,0))="","",INDEX(Hierarchy!$G$2:$G$1295,MATCH($D2006,Hierarchy!$A$2:$A$1295,0))),"NODE NOT FOUND"))</f>
        <v>CHN</v>
      </c>
      <c r="K2006" s="7" t="str">
        <f aca="false">IF($D2006="","",IFERROR(IF(INDEX(Hierarchy!$H$2:$H$1295,MATCH($D2006,Hierarchy!$A$2:$A$1295,0))="","",INDEX(Hierarchy!$H$2:$H$1295,MATCH($D2006,Hierarchy!$A$2:$A$1295,0))),"NODE NOT FOUND"))</f>
        <v>Zhejiang</v>
      </c>
      <c r="L2006" s="7" t="str">
        <f aca="false">IF($D2006="","",IFERROR(IF(INDEX(Hierarchy!$I$2:$I$1295,MATCH($D2006,Hierarchy!$A$2:$A$1295,0))="","",INDEX(Hierarchy!$I$2:$I$1295,MATCH($D2006,Hierarchy!$A$2:$A$1295,0))),"NODE NOT FOUND"))</f>
        <v/>
      </c>
      <c r="M2006" s="17" t="str">
        <f aca="false">IF(B2006="Pre-seeded","Pre-seeded",IF(B2006="Review 2026-09-16","Added from review",IF(C2006="","New",IF(C2006=D2006,"","Changed"))))</f>
        <v>Pre-seeded</v>
      </c>
      <c r="N2006" s="7" t="str">
        <f aca="false">TRIM(SUBSTITUTE(SUBSTITUTE(SUBSTITUTE(" "&amp;TRIM(SUBSTITUTE(SUBSTITUTE(SUBSTITUTE(SUBSTITUTE(SUBSTITUTE(SUBSTITUTE(SUBSTITUTE(SUBSTITUTE(SUBSTITUTE(SUBSTITUTE(SUBSTITUTE(SUBSTITUTE(SUBSTITUTE(SUBSTITUTE(SUBSTITUTE(UPPER(TRIM(A2006)),"[MEMBER]",""),"{MEMBER}",""),"[MEMBER}",""),"MEMBER]",""),"(A)",""),"""",""),"“",""),"”",""),".",""),":",""),",",""),"–"," "),"-"," "),"/"," "),"&amp;"," AND "))&amp;" "," THE "," ")," TOTAL "," ")," OPERATIONS "," "))</f>
        <v>ZHEJIANG</v>
      </c>
      <c r="O2006" s="17" t="str">
        <f aca="false">IF(COUNTIFS($N$2:$N$2000,N2006,$D$2:$D$2000,"&lt;&gt;"&amp;D2006)&gt;0,"CONFLICT","")</f>
        <v/>
      </c>
      <c r="P2006" s="7"/>
    </row>
    <row r="2007" customFormat="false" ht="15" hidden="false" customHeight="false" outlineLevel="0" collapsed="false">
      <c r="A2007" s="7" t="s">
        <v>1308</v>
      </c>
      <c r="B2007" s="7" t="s">
        <v>1879</v>
      </c>
      <c r="C2007" s="7"/>
      <c r="D2007" s="6" t="s">
        <v>1308</v>
      </c>
      <c r="E2007" s="6" t="s">
        <v>1880</v>
      </c>
      <c r="F2007" s="7" t="str">
        <f aca="false">IF($D2007="","",IFERROR(IF(INDEX(Hierarchy!$B$2:$B$1295,MATCH($D2007,Hierarchy!$A$2:$A$1295,0))="","",INDEX(Hierarchy!$B$2:$B$1295,MATCH($D2007,Hierarchy!$A$2:$A$1295,0))),"NODE NOT FOUND"))</f>
        <v>Country</v>
      </c>
      <c r="G2007" s="7" t="str">
        <f aca="false">IF($D2007="","",IFERROR(IF(INDEX(Hierarchy!$D$2:$D$1295,MATCH($D2007,Hierarchy!$A$2:$A$1295,0))="","",INDEX(Hierarchy!$D$2:$D$1295,MATCH($D2007,Hierarchy!$A$2:$A$1295,0))),"NODE NOT FOUND"))</f>
        <v>EMEA</v>
      </c>
      <c r="H2007" s="7" t="str">
        <f aca="false">IF($D2007="","",IFERROR(IF(INDEX(Hierarchy!$E$2:$E$1295,MATCH($D2007,Hierarchy!$A$2:$A$1295,0))="","",INDEX(Hierarchy!$E$2:$E$1295,MATCH($D2007,Hierarchy!$A$2:$A$1295,0))),"NODE NOT FOUND"))</f>
        <v>Africa</v>
      </c>
      <c r="I2007" s="7" t="str">
        <f aca="false">IF($D2007="","",IFERROR(IF(INDEX(Hierarchy!$F$2:$F$1295,MATCH($D2007,Hierarchy!$A$2:$A$1295,0))="","",INDEX(Hierarchy!$F$2:$F$1295,MATCH($D2007,Hierarchy!$A$2:$A$1295,0))),"NODE NOT FOUND"))</f>
        <v>Zimbabwe</v>
      </c>
      <c r="J2007" s="7" t="str">
        <f aca="false">IF($D2007="","",IFERROR(IF(INDEX(Hierarchy!$G$2:$G$1295,MATCH($D2007,Hierarchy!$A$2:$A$1295,0))="","",INDEX(Hierarchy!$G$2:$G$1295,MATCH($D2007,Hierarchy!$A$2:$A$1295,0))),"NODE NOT FOUND"))</f>
        <v>ZWE</v>
      </c>
      <c r="K2007" s="7" t="str">
        <f aca="false">IF($D2007="","",IFERROR(IF(INDEX(Hierarchy!$H$2:$H$1295,MATCH($D2007,Hierarchy!$A$2:$A$1295,0))="","",INDEX(Hierarchy!$H$2:$H$1295,MATCH($D2007,Hierarchy!$A$2:$A$1295,0))),"NODE NOT FOUND"))</f>
        <v/>
      </c>
      <c r="L2007" s="7" t="str">
        <f aca="false">IF($D2007="","",IFERROR(IF(INDEX(Hierarchy!$I$2:$I$1295,MATCH($D2007,Hierarchy!$A$2:$A$1295,0))="","",INDEX(Hierarchy!$I$2:$I$1295,MATCH($D2007,Hierarchy!$A$2:$A$1295,0))),"NODE NOT FOUND"))</f>
        <v/>
      </c>
      <c r="M2007" s="17" t="str">
        <f aca="false">IF(B2007="Pre-seeded","Pre-seeded",IF(B2007="Review 2026-09-16","Added from review",IF(C2007="","New",IF(C2007=D2007,"","Changed"))))</f>
        <v>Pre-seeded</v>
      </c>
      <c r="N2007" s="7" t="str">
        <f aca="false">TRIM(SUBSTITUTE(SUBSTITUTE(SUBSTITUTE(" "&amp;TRIM(SUBSTITUTE(SUBSTITUTE(SUBSTITUTE(SUBSTITUTE(SUBSTITUTE(SUBSTITUTE(SUBSTITUTE(SUBSTITUTE(SUBSTITUTE(SUBSTITUTE(SUBSTITUTE(SUBSTITUTE(SUBSTITUTE(SUBSTITUTE(SUBSTITUTE(UPPER(TRIM(A2007)),"[MEMBER]",""),"{MEMBER}",""),"[MEMBER}",""),"MEMBER]",""),"(A)",""),"""",""),"“",""),"”",""),".",""),":",""),",",""),"–"," "),"-"," "),"/"," "),"&amp;"," AND "))&amp;" "," THE "," ")," TOTAL "," ")," OPERATIONS "," "))</f>
        <v>ZIMBABWE</v>
      </c>
      <c r="O2007" s="17" t="str">
        <f aca="false">IF(COUNTIFS($N$2:$N$2000,N2007,$D$2:$D$2000,"&lt;&gt;"&amp;D2007)&gt;0,"CONFLICT","")</f>
        <v/>
      </c>
      <c r="P2007" s="7"/>
    </row>
    <row r="2008" customFormat="false" ht="15" hidden="false" customHeight="false" outlineLevel="0" collapsed="false">
      <c r="A2008" s="7" t="s">
        <v>1006</v>
      </c>
      <c r="B2008" s="7" t="s">
        <v>1879</v>
      </c>
      <c r="C2008" s="7"/>
      <c r="D2008" s="6" t="s">
        <v>1006</v>
      </c>
      <c r="E2008" s="6" t="s">
        <v>1880</v>
      </c>
      <c r="F2008" s="7" t="str">
        <f aca="false">IF($D2008="","",IFERROR(IF(INDEX(Hierarchy!$B$2:$B$1295,MATCH($D2008,Hierarchy!$A$2:$A$1295,0))="","",INDEX(Hierarchy!$B$2:$B$1295,MATCH($D2008,Hierarchy!$A$2:$A$1295,0))),"NODE NOT FOUND"))</f>
        <v>State/Province</v>
      </c>
      <c r="G2008" s="7" t="str">
        <f aca="false">IF($D2008="","",IFERROR(IF(INDEX(Hierarchy!$D$2:$D$1295,MATCH($D2008,Hierarchy!$A$2:$A$1295,0))="","",INDEX(Hierarchy!$D$2:$D$1295,MATCH($D2008,Hierarchy!$A$2:$A$1295,0))),"NODE NOT FOUND"))</f>
        <v>EMEA</v>
      </c>
      <c r="H2008" s="7" t="str">
        <f aca="false">IF($D2008="","",IFERROR(IF(INDEX(Hierarchy!$E$2:$E$1295,MATCH($D2008,Hierarchy!$A$2:$A$1295,0))="","",INDEX(Hierarchy!$E$2:$E$1295,MATCH($D2008,Hierarchy!$A$2:$A$1295,0))),"NODE NOT FOUND"))</f>
        <v>Europe</v>
      </c>
      <c r="I2008" s="7" t="str">
        <f aca="false">IF($D2008="","",IFERROR(IF(INDEX(Hierarchy!$F$2:$F$1295,MATCH($D2008,Hierarchy!$A$2:$A$1295,0))="","",INDEX(Hierarchy!$F$2:$F$1295,MATCH($D2008,Hierarchy!$A$2:$A$1295,0))),"NODE NOT FOUND"))</f>
        <v>Switzerland</v>
      </c>
      <c r="J2008" s="7" t="str">
        <f aca="false">IF($D2008="","",IFERROR(IF(INDEX(Hierarchy!$G$2:$G$1295,MATCH($D2008,Hierarchy!$A$2:$A$1295,0))="","",INDEX(Hierarchy!$G$2:$G$1295,MATCH($D2008,Hierarchy!$A$2:$A$1295,0))),"NODE NOT FOUND"))</f>
        <v>CHE</v>
      </c>
      <c r="K2008" s="7" t="str">
        <f aca="false">IF($D2008="","",IFERROR(IF(INDEX(Hierarchy!$H$2:$H$1295,MATCH($D2008,Hierarchy!$A$2:$A$1295,0))="","",INDEX(Hierarchy!$H$2:$H$1295,MATCH($D2008,Hierarchy!$A$2:$A$1295,0))),"NODE NOT FOUND"))</f>
        <v>Zug</v>
      </c>
      <c r="L2008" s="7" t="str">
        <f aca="false">IF($D2008="","",IFERROR(IF(INDEX(Hierarchy!$I$2:$I$1295,MATCH($D2008,Hierarchy!$A$2:$A$1295,0))="","",INDEX(Hierarchy!$I$2:$I$1295,MATCH($D2008,Hierarchy!$A$2:$A$1295,0))),"NODE NOT FOUND"))</f>
        <v/>
      </c>
      <c r="M2008" s="17" t="str">
        <f aca="false">IF(B2008="Pre-seeded","Pre-seeded",IF(B2008="Review 2026-09-16","Added from review",IF(C2008="","New",IF(C2008=D2008,"","Changed"))))</f>
        <v>Pre-seeded</v>
      </c>
      <c r="N2008" s="7" t="str">
        <f aca="false">TRIM(SUBSTITUTE(SUBSTITUTE(SUBSTITUTE(" "&amp;TRIM(SUBSTITUTE(SUBSTITUTE(SUBSTITUTE(SUBSTITUTE(SUBSTITUTE(SUBSTITUTE(SUBSTITUTE(SUBSTITUTE(SUBSTITUTE(SUBSTITUTE(SUBSTITUTE(SUBSTITUTE(SUBSTITUTE(SUBSTITUTE(SUBSTITUTE(UPPER(TRIM(A2008)),"[MEMBER]",""),"{MEMBER}",""),"[MEMBER}",""),"MEMBER]",""),"(A)",""),"""",""),"“",""),"”",""),".",""),":",""),",",""),"–"," "),"-"," "),"/"," "),"&amp;"," AND "))&amp;" "," THE "," ")," TOTAL "," ")," OPERATIONS "," "))</f>
        <v>ZUG</v>
      </c>
      <c r="O2008" s="17" t="str">
        <f aca="false">IF(COUNTIFS($N$2:$N$2000,N2008,$D$2:$D$2000,"&lt;&gt;"&amp;D2008)&gt;0,"CONFLICT","")</f>
        <v/>
      </c>
      <c r="P2008" s="7"/>
    </row>
    <row r="2009" customFormat="false" ht="15" hidden="false" customHeight="false" outlineLevel="0" collapsed="false">
      <c r="A2009" s="7" t="s">
        <v>2864</v>
      </c>
      <c r="B2009" s="7" t="s">
        <v>1879</v>
      </c>
      <c r="C2009" s="7"/>
      <c r="D2009" s="6" t="s">
        <v>894</v>
      </c>
      <c r="E2009" s="6" t="s">
        <v>1880</v>
      </c>
      <c r="F2009" s="7" t="str">
        <f aca="false">IF($D2009="","",IFERROR(IF(INDEX(Hierarchy!$B$2:$B$1295,MATCH($D2009,Hierarchy!$A$2:$A$1295,0))="","",INDEX(Hierarchy!$B$2:$B$1295,MATCH($D2009,Hierarchy!$A$2:$A$1295,0))),"NODE NOT FOUND"))</f>
        <v>State/Province</v>
      </c>
      <c r="G2009" s="7" t="str">
        <f aca="false">IF($D2009="","",IFERROR(IF(INDEX(Hierarchy!$D$2:$D$1295,MATCH($D2009,Hierarchy!$A$2:$A$1295,0))="","",INDEX(Hierarchy!$D$2:$D$1295,MATCH($D2009,Hierarchy!$A$2:$A$1295,0))),"NODE NOT FOUND"))</f>
        <v>EMEA</v>
      </c>
      <c r="H2009" s="7" t="str">
        <f aca="false">IF($D2009="","",IFERROR(IF(INDEX(Hierarchy!$E$2:$E$1295,MATCH($D2009,Hierarchy!$A$2:$A$1295,0))="","",INDEX(Hierarchy!$E$2:$E$1295,MATCH($D2009,Hierarchy!$A$2:$A$1295,0))),"NODE NOT FOUND"))</f>
        <v>Europe</v>
      </c>
      <c r="I2009" s="7" t="str">
        <f aca="false">IF($D2009="","",IFERROR(IF(INDEX(Hierarchy!$F$2:$F$1295,MATCH($D2009,Hierarchy!$A$2:$A$1295,0))="","",INDEX(Hierarchy!$F$2:$F$1295,MATCH($D2009,Hierarchy!$A$2:$A$1295,0))),"NODE NOT FOUND"))</f>
        <v>Netherlands</v>
      </c>
      <c r="J2009" s="7" t="str">
        <f aca="false">IF($D2009="","",IFERROR(IF(INDEX(Hierarchy!$G$2:$G$1295,MATCH($D2009,Hierarchy!$A$2:$A$1295,0))="","",INDEX(Hierarchy!$G$2:$G$1295,MATCH($D2009,Hierarchy!$A$2:$A$1295,0))),"NODE NOT FOUND"))</f>
        <v>NLD</v>
      </c>
      <c r="K2009" s="7" t="str">
        <f aca="false">IF($D2009="","",IFERROR(IF(INDEX(Hierarchy!$H$2:$H$1295,MATCH($D2009,Hierarchy!$A$2:$A$1295,0))="","",INDEX(Hierarchy!$H$2:$H$1295,MATCH($D2009,Hierarchy!$A$2:$A$1295,0))),"NODE NOT FOUND"))</f>
        <v>South Holland</v>
      </c>
      <c r="L2009" s="7" t="str">
        <f aca="false">IF($D2009="","",IFERROR(IF(INDEX(Hierarchy!$I$2:$I$1295,MATCH($D2009,Hierarchy!$A$2:$A$1295,0))="","",INDEX(Hierarchy!$I$2:$I$1295,MATCH($D2009,Hierarchy!$A$2:$A$1295,0))),"NODE NOT FOUND"))</f>
        <v/>
      </c>
      <c r="M2009" s="17" t="str">
        <f aca="false">IF(B2009="Pre-seeded","Pre-seeded",IF(B2009="Review 2026-09-16","Added from review",IF(C2009="","New",IF(C2009=D2009,"","Changed"))))</f>
        <v>Pre-seeded</v>
      </c>
      <c r="N2009" s="7" t="str">
        <f aca="false">TRIM(SUBSTITUTE(SUBSTITUTE(SUBSTITUTE(" "&amp;TRIM(SUBSTITUTE(SUBSTITUTE(SUBSTITUTE(SUBSTITUTE(SUBSTITUTE(SUBSTITUTE(SUBSTITUTE(SUBSTITUTE(SUBSTITUTE(SUBSTITUTE(SUBSTITUTE(SUBSTITUTE(SUBSTITUTE(SUBSTITUTE(SUBSTITUTE(UPPER(TRIM(A2009)),"[MEMBER]",""),"{MEMBER}",""),"[MEMBER}",""),"MEMBER]",""),"(A)",""),"""",""),"“",""),"”",""),".",""),":",""),",",""),"–"," "),"-"," "),"/"," "),"&amp;"," AND "))&amp;" "," THE "," ")," TOTAL "," ")," OPERATIONS "," "))</f>
        <v>ZUID HOLLAND</v>
      </c>
      <c r="O2009" s="17" t="str">
        <f aca="false">IF(COUNTIFS($N$2:$N$2000,N2009,$D$2:$D$2000,"&lt;&gt;"&amp;D2009)&gt;0,"CONFLICT","")</f>
        <v/>
      </c>
      <c r="P2009" s="7"/>
    </row>
    <row r="2010" customFormat="false" ht="15" hidden="false" customHeight="false" outlineLevel="0" collapsed="false">
      <c r="A2010" s="7" t="s">
        <v>1007</v>
      </c>
      <c r="B2010" s="7" t="s">
        <v>1879</v>
      </c>
      <c r="C2010" s="7"/>
      <c r="D2010" s="6" t="s">
        <v>1007</v>
      </c>
      <c r="E2010" s="6" t="s">
        <v>1880</v>
      </c>
      <c r="F2010" s="7" t="str">
        <f aca="false">IF($D2010="","",IFERROR(IF(INDEX(Hierarchy!$B$2:$B$1295,MATCH($D2010,Hierarchy!$A$2:$A$1295,0))="","",INDEX(Hierarchy!$B$2:$B$1295,MATCH($D2010,Hierarchy!$A$2:$A$1295,0))),"NODE NOT FOUND"))</f>
        <v>State/Province</v>
      </c>
      <c r="G2010" s="7" t="str">
        <f aca="false">IF($D2010="","",IFERROR(IF(INDEX(Hierarchy!$D$2:$D$1295,MATCH($D2010,Hierarchy!$A$2:$A$1295,0))="","",INDEX(Hierarchy!$D$2:$D$1295,MATCH($D2010,Hierarchy!$A$2:$A$1295,0))),"NODE NOT FOUND"))</f>
        <v>EMEA</v>
      </c>
      <c r="H2010" s="7" t="str">
        <f aca="false">IF($D2010="","",IFERROR(IF(INDEX(Hierarchy!$E$2:$E$1295,MATCH($D2010,Hierarchy!$A$2:$A$1295,0))="","",INDEX(Hierarchy!$E$2:$E$1295,MATCH($D2010,Hierarchy!$A$2:$A$1295,0))),"NODE NOT FOUND"))</f>
        <v>Europe</v>
      </c>
      <c r="I2010" s="7" t="str">
        <f aca="false">IF($D2010="","",IFERROR(IF(INDEX(Hierarchy!$F$2:$F$1295,MATCH($D2010,Hierarchy!$A$2:$A$1295,0))="","",INDEX(Hierarchy!$F$2:$F$1295,MATCH($D2010,Hierarchy!$A$2:$A$1295,0))),"NODE NOT FOUND"))</f>
        <v>Switzerland</v>
      </c>
      <c r="J2010" s="7" t="str">
        <f aca="false">IF($D2010="","",IFERROR(IF(INDEX(Hierarchy!$G$2:$G$1295,MATCH($D2010,Hierarchy!$A$2:$A$1295,0))="","",INDEX(Hierarchy!$G$2:$G$1295,MATCH($D2010,Hierarchy!$A$2:$A$1295,0))),"NODE NOT FOUND"))</f>
        <v>CHE</v>
      </c>
      <c r="K2010" s="7" t="str">
        <f aca="false">IF($D2010="","",IFERROR(IF(INDEX(Hierarchy!$H$2:$H$1295,MATCH($D2010,Hierarchy!$A$2:$A$1295,0))="","",INDEX(Hierarchy!$H$2:$H$1295,MATCH($D2010,Hierarchy!$A$2:$A$1295,0))),"NODE NOT FOUND"))</f>
        <v>Zurich (canton)</v>
      </c>
      <c r="L2010" s="7" t="str">
        <f aca="false">IF($D2010="","",IFERROR(IF(INDEX(Hierarchy!$I$2:$I$1295,MATCH($D2010,Hierarchy!$A$2:$A$1295,0))="","",INDEX(Hierarchy!$I$2:$I$1295,MATCH($D2010,Hierarchy!$A$2:$A$1295,0))),"NODE NOT FOUND"))</f>
        <v/>
      </c>
      <c r="M2010" s="17" t="str">
        <f aca="false">IF(B2010="Pre-seeded","Pre-seeded",IF(B2010="Review 2026-09-16","Added from review",IF(C2010="","New",IF(C2010=D2010,"","Changed"))))</f>
        <v>Pre-seeded</v>
      </c>
      <c r="N2010" s="7" t="str">
        <f aca="false">TRIM(SUBSTITUTE(SUBSTITUTE(SUBSTITUTE(" "&amp;TRIM(SUBSTITUTE(SUBSTITUTE(SUBSTITUTE(SUBSTITUTE(SUBSTITUTE(SUBSTITUTE(SUBSTITUTE(SUBSTITUTE(SUBSTITUTE(SUBSTITUTE(SUBSTITUTE(SUBSTITUTE(SUBSTITUTE(SUBSTITUTE(SUBSTITUTE(UPPER(TRIM(A2010)),"[MEMBER]",""),"{MEMBER}",""),"[MEMBER}",""),"MEMBER]",""),"(A)",""),"""",""),"“",""),"”",""),".",""),":",""),",",""),"–"," "),"-"," "),"/"," "),"&amp;"," AND "))&amp;" "," THE "," ")," TOTAL "," ")," OPERATIONS "," "))</f>
        <v>ZURICH (CANTON)</v>
      </c>
      <c r="O2010" s="17" t="str">
        <f aca="false">IF(COUNTIFS($N$2:$N$2000,N2010,$D$2:$D$2000,"&lt;&gt;"&amp;D2010)&gt;0,"CONFLICT","")</f>
        <v/>
      </c>
      <c r="P2010" s="7"/>
    </row>
    <row r="2011" customFormat="false" ht="15" hidden="false" customHeight="false" outlineLevel="0" collapsed="false">
      <c r="A2011" s="7" t="s">
        <v>2865</v>
      </c>
      <c r="B2011" s="7" t="s">
        <v>1879</v>
      </c>
      <c r="C2011" s="7"/>
      <c r="D2011" s="6" t="s">
        <v>1009</v>
      </c>
      <c r="E2011" s="6" t="s">
        <v>1880</v>
      </c>
      <c r="F2011" s="7" t="str">
        <f aca="false">IF($D2011="","",IFERROR(IF(INDEX(Hierarchy!$B$2:$B$1295,MATCH($D2011,Hierarchy!$A$2:$A$1295,0))="","",INDEX(Hierarchy!$B$2:$B$1295,MATCH($D2011,Hierarchy!$A$2:$A$1295,0))),"NODE NOT FOUND"))</f>
        <v>City</v>
      </c>
      <c r="G2011" s="7" t="str">
        <f aca="false">IF($D2011="","",IFERROR(IF(INDEX(Hierarchy!$D$2:$D$1295,MATCH($D2011,Hierarchy!$A$2:$A$1295,0))="","",INDEX(Hierarchy!$D$2:$D$1295,MATCH($D2011,Hierarchy!$A$2:$A$1295,0))),"NODE NOT FOUND"))</f>
        <v>EMEA</v>
      </c>
      <c r="H2011" s="7" t="str">
        <f aca="false">IF($D2011="","",IFERROR(IF(INDEX(Hierarchy!$E$2:$E$1295,MATCH($D2011,Hierarchy!$A$2:$A$1295,0))="","",INDEX(Hierarchy!$E$2:$E$1295,MATCH($D2011,Hierarchy!$A$2:$A$1295,0))),"NODE NOT FOUND"))</f>
        <v>Europe</v>
      </c>
      <c r="I2011" s="7" t="str">
        <f aca="false">IF($D2011="","",IFERROR(IF(INDEX(Hierarchy!$F$2:$F$1295,MATCH($D2011,Hierarchy!$A$2:$A$1295,0))="","",INDEX(Hierarchy!$F$2:$F$1295,MATCH($D2011,Hierarchy!$A$2:$A$1295,0))),"NODE NOT FOUND"))</f>
        <v>Switzerland</v>
      </c>
      <c r="J2011" s="7" t="str">
        <f aca="false">IF($D2011="","",IFERROR(IF(INDEX(Hierarchy!$G$2:$G$1295,MATCH($D2011,Hierarchy!$A$2:$A$1295,0))="","",INDEX(Hierarchy!$G$2:$G$1295,MATCH($D2011,Hierarchy!$A$2:$A$1295,0))),"NODE NOT FOUND"))</f>
        <v>CHE</v>
      </c>
      <c r="K2011" s="7" t="str">
        <f aca="false">IF($D2011="","",IFERROR(IF(INDEX(Hierarchy!$H$2:$H$1295,MATCH($D2011,Hierarchy!$A$2:$A$1295,0))="","",INDEX(Hierarchy!$H$2:$H$1295,MATCH($D2011,Hierarchy!$A$2:$A$1295,0))),"NODE NOT FOUND"))</f>
        <v/>
      </c>
      <c r="L2011" s="7" t="str">
        <f aca="false">IF($D2011="","",IFERROR(IF(INDEX(Hierarchy!$I$2:$I$1295,MATCH($D2011,Hierarchy!$A$2:$A$1295,0))="","",INDEX(Hierarchy!$I$2:$I$1295,MATCH($D2011,Hierarchy!$A$2:$A$1295,0))),"NODE NOT FOUND"))</f>
        <v>Zurich</v>
      </c>
      <c r="M2011" s="17" t="str">
        <f aca="false">IF(B2011="Pre-seeded","Pre-seeded",IF(B2011="Review 2026-09-16","Added from review",IF(C2011="","New",IF(C2011=D2011,"","Changed"))))</f>
        <v>Pre-seeded</v>
      </c>
      <c r="N2011" s="7" t="str">
        <f aca="false">TRIM(SUBSTITUTE(SUBSTITUTE(SUBSTITUTE(" "&amp;TRIM(SUBSTITUTE(SUBSTITUTE(SUBSTITUTE(SUBSTITUTE(SUBSTITUTE(SUBSTITUTE(SUBSTITUTE(SUBSTITUTE(SUBSTITUTE(SUBSTITUTE(SUBSTITUTE(SUBSTITUTE(SUBSTITUTE(SUBSTITUTE(SUBSTITUTE(UPPER(TRIM(A2011)),"[MEMBER]",""),"{MEMBER}",""),"[MEMBER}",""),"MEMBER]",""),"(A)",""),"""",""),"“",""),"”",""),".",""),":",""),",",""),"–"," "),"-"," "),"/"," "),"&amp;"," AND "))&amp;" "," THE "," ")," TOTAL "," ")," OPERATIONS "," "))</f>
        <v>ZÜRICH</v>
      </c>
      <c r="O2011" s="17" t="str">
        <f aca="false">IF(COUNTIFS($N$2:$N$2000,N2011,$D$2:$D$2000,"&lt;&gt;"&amp;D2011)&gt;0,"CONFLICT","")</f>
        <v/>
      </c>
      <c r="P2011" s="7"/>
    </row>
    <row r="2012" customFormat="false" ht="15" hidden="false" customHeight="false" outlineLevel="0" collapsed="false">
      <c r="A2012" s="7" t="s">
        <v>1028</v>
      </c>
      <c r="B2012" s="7" t="s">
        <v>1879</v>
      </c>
      <c r="C2012" s="7"/>
      <c r="D2012" s="6" t="s">
        <v>1028</v>
      </c>
      <c r="E2012" s="6" t="s">
        <v>1880</v>
      </c>
      <c r="F2012" s="7" t="str">
        <f aca="false">IF($D2012="","",IFERROR(IF(INDEX(Hierarchy!$B$2:$B$1295,MATCH($D2012,Hierarchy!$A$2:$A$1295,0))="","",INDEX(Hierarchy!$B$2:$B$1295,MATCH($D2012,Hierarchy!$A$2:$A$1295,0))),"NODE NOT FOUND"))</f>
        <v>Country</v>
      </c>
      <c r="G2012" s="7" t="str">
        <f aca="false">IF($D2012="","",IFERROR(IF(INDEX(Hierarchy!$D$2:$D$1295,MATCH($D2012,Hierarchy!$A$2:$A$1295,0))="","",INDEX(Hierarchy!$D$2:$D$1295,MATCH($D2012,Hierarchy!$A$2:$A$1295,0))),"NODE NOT FOUND"))</f>
        <v>EMEA</v>
      </c>
      <c r="H2012" s="7" t="str">
        <f aca="false">IF($D2012="","",IFERROR(IF(INDEX(Hierarchy!$E$2:$E$1295,MATCH($D2012,Hierarchy!$A$2:$A$1295,0))="","",INDEX(Hierarchy!$E$2:$E$1295,MATCH($D2012,Hierarchy!$A$2:$A$1295,0))),"NODE NOT FOUND"))</f>
        <v>Europe</v>
      </c>
      <c r="I2012" s="7" t="str">
        <f aca="false">IF($D2012="","",IFERROR(IF(INDEX(Hierarchy!$F$2:$F$1295,MATCH($D2012,Hierarchy!$A$2:$A$1295,0))="","",INDEX(Hierarchy!$F$2:$F$1295,MATCH($D2012,Hierarchy!$A$2:$A$1295,0))),"NODE NOT FOUND"))</f>
        <v>Åland Islands</v>
      </c>
      <c r="J2012" s="7" t="str">
        <f aca="false">IF($D2012="","",IFERROR(IF(INDEX(Hierarchy!$G$2:$G$1295,MATCH($D2012,Hierarchy!$A$2:$A$1295,0))="","",INDEX(Hierarchy!$G$2:$G$1295,MATCH($D2012,Hierarchy!$A$2:$A$1295,0))),"NODE NOT FOUND"))</f>
        <v>ALA</v>
      </c>
      <c r="K2012" s="7" t="str">
        <f aca="false">IF($D2012="","",IFERROR(IF(INDEX(Hierarchy!$H$2:$H$1295,MATCH($D2012,Hierarchy!$A$2:$A$1295,0))="","",INDEX(Hierarchy!$H$2:$H$1295,MATCH($D2012,Hierarchy!$A$2:$A$1295,0))),"NODE NOT FOUND"))</f>
        <v/>
      </c>
      <c r="L2012" s="7" t="str">
        <f aca="false">IF($D2012="","",IFERROR(IF(INDEX(Hierarchy!$I$2:$I$1295,MATCH($D2012,Hierarchy!$A$2:$A$1295,0))="","",INDEX(Hierarchy!$I$2:$I$1295,MATCH($D2012,Hierarchy!$A$2:$A$1295,0))),"NODE NOT FOUND"))</f>
        <v/>
      </c>
      <c r="M2012" s="17" t="str">
        <f aca="false">IF(B2012="Pre-seeded","Pre-seeded",IF(B2012="Review 2026-09-16","Added from review",IF(C2012="","New",IF(C2012=D2012,"","Changed"))))</f>
        <v>Pre-seeded</v>
      </c>
      <c r="N2012" s="7" t="str">
        <f aca="false">TRIM(SUBSTITUTE(SUBSTITUTE(SUBSTITUTE(" "&amp;TRIM(SUBSTITUTE(SUBSTITUTE(SUBSTITUTE(SUBSTITUTE(SUBSTITUTE(SUBSTITUTE(SUBSTITUTE(SUBSTITUTE(SUBSTITUTE(SUBSTITUTE(SUBSTITUTE(SUBSTITUTE(SUBSTITUTE(SUBSTITUTE(SUBSTITUTE(UPPER(TRIM(A2012)),"[MEMBER]",""),"{MEMBER}",""),"[MEMBER}",""),"MEMBER]",""),"(A)",""),"""",""),"“",""),"”",""),".",""),":",""),",",""),"–"," "),"-"," "),"/"," "),"&amp;"," AND "))&amp;" "," THE "," ")," TOTAL "," ")," OPERATIONS "," "))</f>
        <v>ÅLAND ISLANDS</v>
      </c>
      <c r="O2012" s="17" t="str">
        <f aca="false">IF(COUNTIFS($N$2:$N$2000,N2012,$D$2:$D$2000,"&lt;&gt;"&amp;D2012)&gt;0,"CONFLICT","")</f>
        <v/>
      </c>
      <c r="P2012" s="7"/>
    </row>
    <row r="2013" customFormat="false" ht="15" hidden="false" customHeight="false" outlineLevel="0" collapsed="false">
      <c r="A2013" s="7" t="s">
        <v>733</v>
      </c>
      <c r="B2013" s="7" t="s">
        <v>1879</v>
      </c>
      <c r="C2013" s="7"/>
      <c r="D2013" s="6" t="s">
        <v>733</v>
      </c>
      <c r="E2013" s="6" t="s">
        <v>1880</v>
      </c>
      <c r="F2013" s="7" t="str">
        <f aca="false">IF($D2013="","",IFERROR(IF(INDEX(Hierarchy!$B$2:$B$1295,MATCH($D2013,Hierarchy!$A$2:$A$1295,0))="","",INDEX(Hierarchy!$B$2:$B$1295,MATCH($D2013,Hierarchy!$A$2:$A$1295,0))),"NODE NOT FOUND"))</f>
        <v>State/Province</v>
      </c>
      <c r="G2013" s="7" t="str">
        <f aca="false">IF($D2013="","",IFERROR(IF(INDEX(Hierarchy!$D$2:$D$1295,MATCH($D2013,Hierarchy!$A$2:$A$1295,0))="","",INDEX(Hierarchy!$D$2:$D$1295,MATCH($D2013,Hierarchy!$A$2:$A$1295,0))),"NODE NOT FOUND"))</f>
        <v>EMEA</v>
      </c>
      <c r="H2013" s="7" t="str">
        <f aca="false">IF($D2013="","",IFERROR(IF(INDEX(Hierarchy!$E$2:$E$1295,MATCH($D2013,Hierarchy!$A$2:$A$1295,0))="","",INDEX(Hierarchy!$E$2:$E$1295,MATCH($D2013,Hierarchy!$A$2:$A$1295,0))),"NODE NOT FOUND"))</f>
        <v>Europe</v>
      </c>
      <c r="I2013" s="7" t="str">
        <f aca="false">IF($D2013="","",IFERROR(IF(INDEX(Hierarchy!$F$2:$F$1295,MATCH($D2013,Hierarchy!$A$2:$A$1295,0))="","",INDEX(Hierarchy!$F$2:$F$1295,MATCH($D2013,Hierarchy!$A$2:$A$1295,0))),"NODE NOT FOUND"))</f>
        <v>France</v>
      </c>
      <c r="J2013" s="7" t="str">
        <f aca="false">IF($D2013="","",IFERROR(IF(INDEX(Hierarchy!$G$2:$G$1295,MATCH($D2013,Hierarchy!$A$2:$A$1295,0))="","",INDEX(Hierarchy!$G$2:$G$1295,MATCH($D2013,Hierarchy!$A$2:$A$1295,0))),"NODE NOT FOUND"))</f>
        <v>FRA</v>
      </c>
      <c r="K2013" s="7" t="str">
        <f aca="false">IF($D2013="","",IFERROR(IF(INDEX(Hierarchy!$H$2:$H$1295,MATCH($D2013,Hierarchy!$A$2:$A$1295,0))="","",INDEX(Hierarchy!$H$2:$H$1295,MATCH($D2013,Hierarchy!$A$2:$A$1295,0))),"NODE NOT FOUND"))</f>
        <v>Île-de-France</v>
      </c>
      <c r="L2013" s="7" t="str">
        <f aca="false">IF($D2013="","",IFERROR(IF(INDEX(Hierarchy!$I$2:$I$1295,MATCH($D2013,Hierarchy!$A$2:$A$1295,0))="","",INDEX(Hierarchy!$I$2:$I$1295,MATCH($D2013,Hierarchy!$A$2:$A$1295,0))),"NODE NOT FOUND"))</f>
        <v/>
      </c>
      <c r="M2013" s="17" t="str">
        <f aca="false">IF(B2013="Pre-seeded","Pre-seeded",IF(B2013="Review 2026-09-16","Added from review",IF(C2013="","New",IF(C2013=D2013,"","Changed"))))</f>
        <v>Pre-seeded</v>
      </c>
      <c r="N2013" s="7" t="str">
        <f aca="false">TRIM(SUBSTITUTE(SUBSTITUTE(SUBSTITUTE(" "&amp;TRIM(SUBSTITUTE(SUBSTITUTE(SUBSTITUTE(SUBSTITUTE(SUBSTITUTE(SUBSTITUTE(SUBSTITUTE(SUBSTITUTE(SUBSTITUTE(SUBSTITUTE(SUBSTITUTE(SUBSTITUTE(SUBSTITUTE(SUBSTITUTE(SUBSTITUTE(UPPER(TRIM(A2013)),"[MEMBER]",""),"{MEMBER}",""),"[MEMBER}",""),"MEMBER]",""),"(A)",""),"""",""),"“",""),"”",""),".",""),":",""),",",""),"–"," "),"-"," "),"/"," "),"&amp;"," AND "))&amp;" "," THE "," ")," TOTAL "," ")," OPERATIONS "," "))</f>
        <v>ÎLE DE FRANCE</v>
      </c>
      <c r="O2013" s="17" t="str">
        <f aca="false">IF(COUNTIFS($N$2:$N$2000,N2013,$D$2:$D$2000,"&lt;&gt;"&amp;D2013)&gt;0,"CONFLICT","")</f>
        <v/>
      </c>
      <c r="P2013" s="7"/>
    </row>
    <row r="2014" customFormat="false" ht="15" hidden="false" customHeight="false" outlineLevel="0" collapsed="false">
      <c r="A2014" s="7" t="s">
        <v>495</v>
      </c>
      <c r="B2014" s="7" t="s">
        <v>1879</v>
      </c>
      <c r="C2014" s="7"/>
      <c r="D2014" s="6" t="s">
        <v>495</v>
      </c>
      <c r="E2014" s="6" t="s">
        <v>1880</v>
      </c>
      <c r="F2014" s="7" t="str">
        <f aca="false">IF($D2014="","",IFERROR(IF(INDEX(Hierarchy!$B$2:$B$1295,MATCH($D2014,Hierarchy!$A$2:$A$1295,0))="","",INDEX(Hierarchy!$B$2:$B$1295,MATCH($D2014,Hierarchy!$A$2:$A$1295,0))),"NODE NOT FOUND"))</f>
        <v>State/Province</v>
      </c>
      <c r="G2014" s="7" t="str">
        <f aca="false">IF($D2014="","",IFERROR(IF(INDEX(Hierarchy!$D$2:$D$1295,MATCH($D2014,Hierarchy!$A$2:$A$1295,0))="","",INDEX(Hierarchy!$D$2:$D$1295,MATCH($D2014,Hierarchy!$A$2:$A$1295,0))),"NODE NOT FOUND"))</f>
        <v>AMER</v>
      </c>
      <c r="H2014" s="7" t="str">
        <f aca="false">IF($D2014="","",IFERROR(IF(INDEX(Hierarchy!$E$2:$E$1295,MATCH($D2014,Hierarchy!$A$2:$A$1295,0))="","",INDEX(Hierarchy!$E$2:$E$1295,MATCH($D2014,Hierarchy!$A$2:$A$1295,0))),"NODE NOT FOUND"))</f>
        <v>Latin America (LATAM)</v>
      </c>
      <c r="I2014" s="7" t="str">
        <f aca="false">IF($D2014="","",IFERROR(IF(INDEX(Hierarchy!$F$2:$F$1295,MATCH($D2014,Hierarchy!$A$2:$A$1295,0))="","",INDEX(Hierarchy!$F$2:$F$1295,MATCH($D2014,Hierarchy!$A$2:$A$1295,0))),"NODE NOT FOUND"))</f>
        <v>Chile</v>
      </c>
      <c r="J2014" s="7" t="str">
        <f aca="false">IF($D2014="","",IFERROR(IF(INDEX(Hierarchy!$G$2:$G$1295,MATCH($D2014,Hierarchy!$A$2:$A$1295,0))="","",INDEX(Hierarchy!$G$2:$G$1295,MATCH($D2014,Hierarchy!$A$2:$A$1295,0))),"NODE NOT FOUND"))</f>
        <v>CHL</v>
      </c>
      <c r="K2014" s="7" t="str">
        <f aca="false">IF($D2014="","",IFERROR(IF(INDEX(Hierarchy!$H$2:$H$1295,MATCH($D2014,Hierarchy!$A$2:$A$1295,0))="","",INDEX(Hierarchy!$H$2:$H$1295,MATCH($D2014,Hierarchy!$A$2:$A$1295,0))),"NODE NOT FOUND"))</f>
        <v>Ñuble</v>
      </c>
      <c r="L2014" s="7" t="str">
        <f aca="false">IF($D2014="","",IFERROR(IF(INDEX(Hierarchy!$I$2:$I$1295,MATCH($D2014,Hierarchy!$A$2:$A$1295,0))="","",INDEX(Hierarchy!$I$2:$I$1295,MATCH($D2014,Hierarchy!$A$2:$A$1295,0))),"NODE NOT FOUND"))</f>
        <v/>
      </c>
      <c r="M2014" s="17" t="str">
        <f aca="false">IF(B2014="Pre-seeded","Pre-seeded",IF(B2014="Review 2026-09-16","Added from review",IF(C2014="","New",IF(C2014=D2014,"","Changed"))))</f>
        <v>Pre-seeded</v>
      </c>
      <c r="N2014" s="7" t="str">
        <f aca="false">TRIM(SUBSTITUTE(SUBSTITUTE(SUBSTITUTE(" "&amp;TRIM(SUBSTITUTE(SUBSTITUTE(SUBSTITUTE(SUBSTITUTE(SUBSTITUTE(SUBSTITUTE(SUBSTITUTE(SUBSTITUTE(SUBSTITUTE(SUBSTITUTE(SUBSTITUTE(SUBSTITUTE(SUBSTITUTE(SUBSTITUTE(SUBSTITUTE(UPPER(TRIM(A2014)),"[MEMBER]",""),"{MEMBER}",""),"[MEMBER}",""),"MEMBER]",""),"(A)",""),"""",""),"“",""),"”",""),".",""),":",""),",",""),"–"," "),"-"," "),"/"," "),"&amp;"," AND "))&amp;" "," THE "," ")," TOTAL "," ")," OPERATIONS "," "))</f>
        <v>ÑUBLE</v>
      </c>
      <c r="O2014" s="17" t="str">
        <f aca="false">IF(COUNTIFS($N$2:$N$2000,N2014,$D$2:$D$2000,"&lt;&gt;"&amp;D2014)&gt;0,"CONFLICT","")</f>
        <v/>
      </c>
      <c r="P2014" s="7"/>
    </row>
    <row r="2015" customFormat="false" ht="15" hidden="false" customHeight="false" outlineLevel="0" collapsed="false">
      <c r="A2015" s="7" t="s">
        <v>925</v>
      </c>
      <c r="B2015" s="7" t="s">
        <v>1879</v>
      </c>
      <c r="C2015" s="7"/>
      <c r="D2015" s="6" t="s">
        <v>925</v>
      </c>
      <c r="E2015" s="6" t="s">
        <v>1880</v>
      </c>
      <c r="F2015" s="7" t="str">
        <f aca="false">IF($D2015="","",IFERROR(IF(INDEX(Hierarchy!$B$2:$B$1295,MATCH($D2015,Hierarchy!$A$2:$A$1295,0))="","",INDEX(Hierarchy!$B$2:$B$1295,MATCH($D2015,Hierarchy!$A$2:$A$1295,0))),"NODE NOT FOUND"))</f>
        <v>State/Province</v>
      </c>
      <c r="G2015" s="7" t="str">
        <f aca="false">IF($D2015="","",IFERROR(IF(INDEX(Hierarchy!$D$2:$D$1295,MATCH($D2015,Hierarchy!$A$2:$A$1295,0))="","",INDEX(Hierarchy!$D$2:$D$1295,MATCH($D2015,Hierarchy!$A$2:$A$1295,0))),"NODE NOT FOUND"))</f>
        <v>EMEA</v>
      </c>
      <c r="H2015" s="7" t="str">
        <f aca="false">IF($D2015="","",IFERROR(IF(INDEX(Hierarchy!$E$2:$E$1295,MATCH($D2015,Hierarchy!$A$2:$A$1295,0))="","",INDEX(Hierarchy!$E$2:$E$1295,MATCH($D2015,Hierarchy!$A$2:$A$1295,0))),"NODE NOT FOUND"))</f>
        <v>Europe</v>
      </c>
      <c r="I2015" s="7" t="str">
        <f aca="false">IF($D2015="","",IFERROR(IF(INDEX(Hierarchy!$F$2:$F$1295,MATCH($D2015,Hierarchy!$A$2:$A$1295,0))="","",INDEX(Hierarchy!$F$2:$F$1295,MATCH($D2015,Hierarchy!$A$2:$A$1295,0))),"NODE NOT FOUND"))</f>
        <v>Poland</v>
      </c>
      <c r="J2015" s="7" t="str">
        <f aca="false">IF($D2015="","",IFERROR(IF(INDEX(Hierarchy!$G$2:$G$1295,MATCH($D2015,Hierarchy!$A$2:$A$1295,0))="","",INDEX(Hierarchy!$G$2:$G$1295,MATCH($D2015,Hierarchy!$A$2:$A$1295,0))),"NODE NOT FOUND"))</f>
        <v>POL</v>
      </c>
      <c r="K2015" s="7" t="str">
        <f aca="false">IF($D2015="","",IFERROR(IF(INDEX(Hierarchy!$H$2:$H$1295,MATCH($D2015,Hierarchy!$A$2:$A$1295,0))="","",INDEX(Hierarchy!$H$2:$H$1295,MATCH($D2015,Hierarchy!$A$2:$A$1295,0))),"NODE NOT FOUND"))</f>
        <v>Łódź</v>
      </c>
      <c r="L2015" s="7" t="str">
        <f aca="false">IF($D2015="","",IFERROR(IF(INDEX(Hierarchy!$I$2:$I$1295,MATCH($D2015,Hierarchy!$A$2:$A$1295,0))="","",INDEX(Hierarchy!$I$2:$I$1295,MATCH($D2015,Hierarchy!$A$2:$A$1295,0))),"NODE NOT FOUND"))</f>
        <v/>
      </c>
      <c r="M2015" s="17" t="str">
        <f aca="false">IF(B2015="Pre-seeded","Pre-seeded",IF(B2015="Review 2026-09-16","Added from review",IF(C2015="","New",IF(C2015=D2015,"","Changed"))))</f>
        <v>Pre-seeded</v>
      </c>
      <c r="N2015" s="7" t="str">
        <f aca="false">TRIM(SUBSTITUTE(SUBSTITUTE(SUBSTITUTE(" "&amp;TRIM(SUBSTITUTE(SUBSTITUTE(SUBSTITUTE(SUBSTITUTE(SUBSTITUTE(SUBSTITUTE(SUBSTITUTE(SUBSTITUTE(SUBSTITUTE(SUBSTITUTE(SUBSTITUTE(SUBSTITUTE(SUBSTITUTE(SUBSTITUTE(SUBSTITUTE(UPPER(TRIM(A2015)),"[MEMBER]",""),"{MEMBER}",""),"[MEMBER}",""),"MEMBER]",""),"(A)",""),"""",""),"“",""),"”",""),".",""),":",""),",",""),"–"," "),"-"," "),"/"," "),"&amp;"," AND "))&amp;" "," THE "," ")," TOTAL "," ")," OPERATIONS "," "))</f>
        <v>ŁÓDŹ</v>
      </c>
      <c r="O2015" s="17" t="str">
        <f aca="false">IF(COUNTIFS($N$2:$N$2000,N2015,$D$2:$D$2000,"&lt;&gt;"&amp;D2015)&gt;0,"CONFLICT","")</f>
        <v/>
      </c>
      <c r="P2015" s="7"/>
    </row>
    <row r="2016" customFormat="false" ht="15" hidden="false" customHeight="false" outlineLevel="0" collapsed="false">
      <c r="A2016" s="7" t="s">
        <v>2866</v>
      </c>
      <c r="B2016" s="7" t="s">
        <v>1882</v>
      </c>
      <c r="C2016" s="7" t="s">
        <v>714</v>
      </c>
      <c r="D2016" s="6" t="s">
        <v>714</v>
      </c>
      <c r="E2016" s="6" t="s">
        <v>1880</v>
      </c>
      <c r="F2016" s="7" t="str">
        <f aca="false">IF($D2016="","",IFERROR(IF(INDEX(Hierarchy!$B$2:$B$1295,MATCH($D2016,Hierarchy!$A$2:$A$1295,0))="","",INDEX(Hierarchy!$B$2:$B$1295,MATCH($D2016,Hierarchy!$A$2:$A$1295,0))),"NODE NOT FOUND"))</f>
        <v>Country</v>
      </c>
      <c r="G2016" s="7" t="str">
        <f aca="false">IF($D2016="","",IFERROR(IF(INDEX(Hierarchy!$D$2:$D$1295,MATCH($D2016,Hierarchy!$A$2:$A$1295,0))="","",INDEX(Hierarchy!$D$2:$D$1295,MATCH($D2016,Hierarchy!$A$2:$A$1295,0))),"NODE NOT FOUND"))</f>
        <v>EMEA</v>
      </c>
      <c r="H2016" s="7" t="str">
        <f aca="false">IF($D2016="","",IFERROR(IF(INDEX(Hierarchy!$E$2:$E$1295,MATCH($D2016,Hierarchy!$A$2:$A$1295,0))="","",INDEX(Hierarchy!$E$2:$E$1295,MATCH($D2016,Hierarchy!$A$2:$A$1295,0))),"NODE NOT FOUND"))</f>
        <v>Europe</v>
      </c>
      <c r="I2016" s="7" t="str">
        <f aca="false">IF($D2016="","",IFERROR(IF(INDEX(Hierarchy!$F$2:$F$1295,MATCH($D2016,Hierarchy!$A$2:$A$1295,0))="","",INDEX(Hierarchy!$F$2:$F$1295,MATCH($D2016,Hierarchy!$A$2:$A$1295,0))),"NODE NOT FOUND"))</f>
        <v>France</v>
      </c>
      <c r="J2016" s="7" t="str">
        <f aca="false">IF($D2016="","",IFERROR(IF(INDEX(Hierarchy!$G$2:$G$1295,MATCH($D2016,Hierarchy!$A$2:$A$1295,0))="","",INDEX(Hierarchy!$G$2:$G$1295,MATCH($D2016,Hierarchy!$A$2:$A$1295,0))),"NODE NOT FOUND"))</f>
        <v>FRA</v>
      </c>
      <c r="K2016" s="7" t="str">
        <f aca="false">IF($D2016="","",IFERROR(IF(INDEX(Hierarchy!$H$2:$H$1295,MATCH($D2016,Hierarchy!$A$2:$A$1295,0))="","",INDEX(Hierarchy!$H$2:$H$1295,MATCH($D2016,Hierarchy!$A$2:$A$1295,0))),"NODE NOT FOUND"))</f>
        <v/>
      </c>
      <c r="L2016" s="7" t="str">
        <f aca="false">IF($D2016="","",IFERROR(IF(INDEX(Hierarchy!$I$2:$I$1295,MATCH($D2016,Hierarchy!$A$2:$A$1295,0))="","",INDEX(Hierarchy!$I$2:$I$1295,MATCH($D2016,Hierarchy!$A$2:$A$1295,0))),"NODE NOT FOUND"))</f>
        <v/>
      </c>
      <c r="M2016" s="17" t="str">
        <f aca="false">IF(B2016="Pre-seeded","Pre-seeded",IF(B2016="Review 2026-09-16","Added from review",IF(C2016="","New",IF(C2016=D2016,"","Changed"))))</f>
        <v/>
      </c>
      <c r="N2016" s="7" t="str">
        <f aca="false">TRIM(SUBSTITUTE(SUBSTITUTE(SUBSTITUTE(" "&amp;TRIM(SUBSTITUTE(SUBSTITUTE(SUBSTITUTE(SUBSTITUTE(SUBSTITUTE(SUBSTITUTE(SUBSTITUTE(SUBSTITUTE(SUBSTITUTE(SUBSTITUTE(SUBSTITUTE(SUBSTITUTE(SUBSTITUTE(SUBSTITUTE(SUBSTITUTE(UPPER(TRIM(A2016)),"[MEMBER]",""),"{MEMBER}",""),"[MEMBER}",""),"MEMBER]",""),"(A)",""),"""",""),"“",""),"”",""),".",""),":",""),",",""),"–"," "),"-"," "),"/"," "),"&amp;"," AND "))&amp;" "," THE "," ")," TOTAL "," ")," OPERATIONS "," "))</f>
        <v>FRANCE</v>
      </c>
      <c r="O2016" s="17" t="str">
        <f aca="false">IF(COUNTIFS($N$2:$N$2000,N2016,$D$2:$D$2000,"&lt;&gt;"&amp;D2016)&gt;0,"CONFLICT","")</f>
        <v/>
      </c>
      <c r="P2016" s="7"/>
    </row>
    <row r="2017" customFormat="false" ht="15" hidden="false" customHeight="false" outlineLevel="0" collapsed="false">
      <c r="A2017" s="7" t="s">
        <v>2867</v>
      </c>
      <c r="B2017" s="7" t="s">
        <v>1882</v>
      </c>
      <c r="C2017" s="7" t="s">
        <v>1550</v>
      </c>
      <c r="D2017" s="6" t="s">
        <v>1550</v>
      </c>
      <c r="E2017" s="6" t="s">
        <v>1880</v>
      </c>
      <c r="F2017" s="7" t="str">
        <f aca="false">IF($D2017="","",IFERROR(IF(INDEX(Hierarchy!$B$2:$B$1295,MATCH($D2017,Hierarchy!$A$2:$A$1295,0))="","",INDEX(Hierarchy!$B$2:$B$1295,MATCH($D2017,Hierarchy!$A$2:$A$1295,0))),"NODE NOT FOUND"))</f>
        <v>Country</v>
      </c>
      <c r="G2017" s="7" t="str">
        <f aca="false">IF($D2017="","",IFERROR(IF(INDEX(Hierarchy!$D$2:$D$1295,MATCH($D2017,Hierarchy!$A$2:$A$1295,0))="","",INDEX(Hierarchy!$D$2:$D$1295,MATCH($D2017,Hierarchy!$A$2:$A$1295,0))),"NODE NOT FOUND"))</f>
        <v>APAC</v>
      </c>
      <c r="H2017" s="7" t="str">
        <f aca="false">IF($D2017="","",IFERROR(IF(INDEX(Hierarchy!$E$2:$E$1295,MATCH($D2017,Hierarchy!$A$2:$A$1295,0))="","",INDEX(Hierarchy!$E$2:$E$1295,MATCH($D2017,Hierarchy!$A$2:$A$1295,0))),"NODE NOT FOUND"))</f>
        <v>East Asia</v>
      </c>
      <c r="I2017" s="7" t="str">
        <f aca="false">IF($D2017="","",IFERROR(IF(INDEX(Hierarchy!$F$2:$F$1295,MATCH($D2017,Hierarchy!$A$2:$A$1295,0))="","",INDEX(Hierarchy!$F$2:$F$1295,MATCH($D2017,Hierarchy!$A$2:$A$1295,0))),"NODE NOT FOUND"))</f>
        <v>Hong Kong</v>
      </c>
      <c r="J2017" s="7" t="str">
        <f aca="false">IF($D2017="","",IFERROR(IF(INDEX(Hierarchy!$G$2:$G$1295,MATCH($D2017,Hierarchy!$A$2:$A$1295,0))="","",INDEX(Hierarchy!$G$2:$G$1295,MATCH($D2017,Hierarchy!$A$2:$A$1295,0))),"NODE NOT FOUND"))</f>
        <v>HKG</v>
      </c>
      <c r="K2017" s="7" t="str">
        <f aca="false">IF($D2017="","",IFERROR(IF(INDEX(Hierarchy!$H$2:$H$1295,MATCH($D2017,Hierarchy!$A$2:$A$1295,0))="","",INDEX(Hierarchy!$H$2:$H$1295,MATCH($D2017,Hierarchy!$A$2:$A$1295,0))),"NODE NOT FOUND"))</f>
        <v/>
      </c>
      <c r="L2017" s="7" t="str">
        <f aca="false">IF($D2017="","",IFERROR(IF(INDEX(Hierarchy!$I$2:$I$1295,MATCH($D2017,Hierarchy!$A$2:$A$1295,0))="","",INDEX(Hierarchy!$I$2:$I$1295,MATCH($D2017,Hierarchy!$A$2:$A$1295,0))),"NODE NOT FOUND"))</f>
        <v/>
      </c>
      <c r="M2017" s="17" t="str">
        <f aca="false">IF(B2017="Pre-seeded","Pre-seeded",IF(B2017="Review 2026-09-16","Added from review",IF(C2017="","New",IF(C2017=D2017,"","Changed"))))</f>
        <v/>
      </c>
      <c r="N2017" s="7" t="str">
        <f aca="false">TRIM(SUBSTITUTE(SUBSTITUTE(SUBSTITUTE(" "&amp;TRIM(SUBSTITUTE(SUBSTITUTE(SUBSTITUTE(SUBSTITUTE(SUBSTITUTE(SUBSTITUTE(SUBSTITUTE(SUBSTITUTE(SUBSTITUTE(SUBSTITUTE(SUBSTITUTE(SUBSTITUTE(SUBSTITUTE(SUBSTITUTE(SUBSTITUTE(UPPER(TRIM(A2017)),"[MEMBER]",""),"{MEMBER}",""),"[MEMBER}",""),"MEMBER]",""),"(A)",""),"""",""),"“",""),"”",""),".",""),":",""),",",""),"–"," "),"-"," "),"/"," "),"&amp;"," AND "))&amp;" "," THE "," ")," TOTAL "," ")," OPERATIONS "," "))</f>
        <v>HONG KONG</v>
      </c>
      <c r="O2017" s="17" t="str">
        <f aca="false">IF(COUNTIFS($N$2:$N$2000,N2017,$D$2:$D$2000,"&lt;&gt;"&amp;D2017)&gt;0,"CONFLICT","")</f>
        <v/>
      </c>
      <c r="P2017" s="7"/>
    </row>
    <row r="2018" customFormat="false" ht="15" hidden="false" customHeight="false" outlineLevel="0" collapsed="false">
      <c r="A2018" s="7" t="s">
        <v>2868</v>
      </c>
      <c r="B2018" s="7" t="s">
        <v>1882</v>
      </c>
      <c r="C2018" s="7" t="s">
        <v>661</v>
      </c>
      <c r="D2018" s="6" t="s">
        <v>661</v>
      </c>
      <c r="E2018" s="6" t="s">
        <v>1880</v>
      </c>
      <c r="F2018" s="7" t="str">
        <f aca="false">IF($D2018="","",IFERROR(IF(INDEX(Hierarchy!$B$2:$B$1295,MATCH($D2018,Hierarchy!$A$2:$A$1295,0))="","",INDEX(Hierarchy!$B$2:$B$1295,MATCH($D2018,Hierarchy!$A$2:$A$1295,0))),"NODE NOT FOUND"))</f>
        <v>Country</v>
      </c>
      <c r="G2018" s="7" t="str">
        <f aca="false">IF($D2018="","",IFERROR(IF(INDEX(Hierarchy!$D$2:$D$1295,MATCH($D2018,Hierarchy!$A$2:$A$1295,0))="","",INDEX(Hierarchy!$D$2:$D$1295,MATCH($D2018,Hierarchy!$A$2:$A$1295,0))),"NODE NOT FOUND"))</f>
        <v>EMEA</v>
      </c>
      <c r="H2018" s="7" t="str">
        <f aca="false">IF($D2018="","",IFERROR(IF(INDEX(Hierarchy!$E$2:$E$1295,MATCH($D2018,Hierarchy!$A$2:$A$1295,0))="","",INDEX(Hierarchy!$E$2:$E$1295,MATCH($D2018,Hierarchy!$A$2:$A$1295,0))),"NODE NOT FOUND"))</f>
        <v>Europe</v>
      </c>
      <c r="I2018" s="7" t="str">
        <f aca="false">IF($D2018="","",IFERROR(IF(INDEX(Hierarchy!$F$2:$F$1295,MATCH($D2018,Hierarchy!$A$2:$A$1295,0))="","",INDEX(Hierarchy!$F$2:$F$1295,MATCH($D2018,Hierarchy!$A$2:$A$1295,0))),"NODE NOT FOUND"))</f>
        <v>United Kingdom</v>
      </c>
      <c r="J2018" s="7" t="str">
        <f aca="false">IF($D2018="","",IFERROR(IF(INDEX(Hierarchy!$G$2:$G$1295,MATCH($D2018,Hierarchy!$A$2:$A$1295,0))="","",INDEX(Hierarchy!$G$2:$G$1295,MATCH($D2018,Hierarchy!$A$2:$A$1295,0))),"NODE NOT FOUND"))</f>
        <v>GBR</v>
      </c>
      <c r="K2018" s="7" t="str">
        <f aca="false">IF($D2018="","",IFERROR(IF(INDEX(Hierarchy!$H$2:$H$1295,MATCH($D2018,Hierarchy!$A$2:$A$1295,0))="","",INDEX(Hierarchy!$H$2:$H$1295,MATCH($D2018,Hierarchy!$A$2:$A$1295,0))),"NODE NOT FOUND"))</f>
        <v/>
      </c>
      <c r="L2018" s="7" t="str">
        <f aca="false">IF($D2018="","",IFERROR(IF(INDEX(Hierarchy!$I$2:$I$1295,MATCH($D2018,Hierarchy!$A$2:$A$1295,0))="","",INDEX(Hierarchy!$I$2:$I$1295,MATCH($D2018,Hierarchy!$A$2:$A$1295,0))),"NODE NOT FOUND"))</f>
        <v/>
      </c>
      <c r="M2018" s="17" t="str">
        <f aca="false">IF(B2018="Pre-seeded","Pre-seeded",IF(B2018="Review 2026-09-16","Added from review",IF(C2018="","New",IF(C2018=D2018,"","Changed"))))</f>
        <v/>
      </c>
      <c r="N2018" s="7" t="str">
        <f aca="false">TRIM(SUBSTITUTE(SUBSTITUTE(SUBSTITUTE(" "&amp;TRIM(SUBSTITUTE(SUBSTITUTE(SUBSTITUTE(SUBSTITUTE(SUBSTITUTE(SUBSTITUTE(SUBSTITUTE(SUBSTITUTE(SUBSTITUTE(SUBSTITUTE(SUBSTITUTE(SUBSTITUTE(SUBSTITUTE(SUBSTITUTE(SUBSTITUTE(UPPER(TRIM(A2018)),"[MEMBER]",""),"{MEMBER}",""),"[MEMBER}",""),"MEMBER]",""),"(A)",""),"""",""),"“",""),"”",""),".",""),":",""),",",""),"–"," "),"-"," "),"/"," "),"&amp;"," AND "))&amp;" "," THE "," ")," TOTAL "," ")," OPERATIONS "," "))</f>
        <v>UK</v>
      </c>
      <c r="O2018" s="17" t="str">
        <f aca="false">IF(COUNTIFS($N$2:$N$2000,N2018,$D$2:$D$2000,"&lt;&gt;"&amp;D2018)&gt;0,"CONFLICT","")</f>
        <v/>
      </c>
      <c r="P2018" s="7"/>
    </row>
    <row r="2019" customFormat="false" ht="15" hidden="false" customHeight="false" outlineLevel="0" collapsed="false">
      <c r="A2019" s="7" t="s">
        <v>2869</v>
      </c>
      <c r="B2019" s="7" t="s">
        <v>1882</v>
      </c>
      <c r="C2019" s="7" t="s">
        <v>81</v>
      </c>
      <c r="D2019" s="6" t="s">
        <v>81</v>
      </c>
      <c r="E2019" s="6" t="s">
        <v>1880</v>
      </c>
      <c r="F2019" s="7" t="str">
        <f aca="false">IF($D2019="","",IFERROR(IF(INDEX(Hierarchy!$B$2:$B$1295,MATCH($D2019,Hierarchy!$A$2:$A$1295,0))="","",INDEX(Hierarchy!$B$2:$B$1295,MATCH($D2019,Hierarchy!$A$2:$A$1295,0))),"NODE NOT FOUND"))</f>
        <v>Country</v>
      </c>
      <c r="G2019" s="7" t="str">
        <f aca="false">IF($D2019="","",IFERROR(IF(INDEX(Hierarchy!$D$2:$D$1295,MATCH($D2019,Hierarchy!$A$2:$A$1295,0))="","",INDEX(Hierarchy!$D$2:$D$1295,MATCH($D2019,Hierarchy!$A$2:$A$1295,0))),"NODE NOT FOUND"))</f>
        <v>AMER</v>
      </c>
      <c r="H2019" s="7" t="str">
        <f aca="false">IF($D2019="","",IFERROR(IF(INDEX(Hierarchy!$E$2:$E$1295,MATCH($D2019,Hierarchy!$A$2:$A$1295,0))="","",INDEX(Hierarchy!$E$2:$E$1295,MATCH($D2019,Hierarchy!$A$2:$A$1295,0))),"NODE NOT FOUND"))</f>
        <v>North America (NORAM)</v>
      </c>
      <c r="I2019" s="7" t="str">
        <f aca="false">IF($D2019="","",IFERROR(IF(INDEX(Hierarchy!$F$2:$F$1295,MATCH($D2019,Hierarchy!$A$2:$A$1295,0))="","",INDEX(Hierarchy!$F$2:$F$1295,MATCH($D2019,Hierarchy!$A$2:$A$1295,0))),"NODE NOT FOUND"))</f>
        <v>United States</v>
      </c>
      <c r="J2019" s="7" t="str">
        <f aca="false">IF($D2019="","",IFERROR(IF(INDEX(Hierarchy!$G$2:$G$1295,MATCH($D2019,Hierarchy!$A$2:$A$1295,0))="","",INDEX(Hierarchy!$G$2:$G$1295,MATCH($D2019,Hierarchy!$A$2:$A$1295,0))),"NODE NOT FOUND"))</f>
        <v>USA</v>
      </c>
      <c r="K2019" s="7" t="str">
        <f aca="false">IF($D2019="","",IFERROR(IF(INDEX(Hierarchy!$H$2:$H$1295,MATCH($D2019,Hierarchy!$A$2:$A$1295,0))="","",INDEX(Hierarchy!$H$2:$H$1295,MATCH($D2019,Hierarchy!$A$2:$A$1295,0))),"NODE NOT FOUND"))</f>
        <v/>
      </c>
      <c r="L2019" s="7" t="str">
        <f aca="false">IF($D2019="","",IFERROR(IF(INDEX(Hierarchy!$I$2:$I$1295,MATCH($D2019,Hierarchy!$A$2:$A$1295,0))="","",INDEX(Hierarchy!$I$2:$I$1295,MATCH($D2019,Hierarchy!$A$2:$A$1295,0))),"NODE NOT FOUND"))</f>
        <v/>
      </c>
      <c r="M2019" s="17" t="str">
        <f aca="false">IF(B2019="Pre-seeded","Pre-seeded",IF(B2019="Review 2026-09-16","Added from review",IF(C2019="","New",IF(C2019=D2019,"","Changed"))))</f>
        <v/>
      </c>
      <c r="N2019" s="7" t="str">
        <f aca="false">TRIM(SUBSTITUTE(SUBSTITUTE(SUBSTITUTE(" "&amp;TRIM(SUBSTITUTE(SUBSTITUTE(SUBSTITUTE(SUBSTITUTE(SUBSTITUTE(SUBSTITUTE(SUBSTITUTE(SUBSTITUTE(SUBSTITUTE(SUBSTITUTE(SUBSTITUTE(SUBSTITUTE(SUBSTITUTE(SUBSTITUTE(SUBSTITUTE(UPPER(TRIM(A2019)),"[MEMBER]",""),"{MEMBER}",""),"[MEMBER}",""),"MEMBER]",""),"(A)",""),"""",""),"“",""),"”",""),".",""),":",""),",",""),"–"," "),"-"," "),"/"," "),"&amp;"," AND "))&amp;" "," THE "," ")," TOTAL "," ")," OPERATIONS "," "))</f>
        <v>US</v>
      </c>
      <c r="O2019" s="17" t="str">
        <f aca="false">IF(COUNTIFS($N$2:$N$2000,N2019,$D$2:$D$2000,"&lt;&gt;"&amp;D2019)&gt;0,"CONFLICT","")</f>
        <v/>
      </c>
      <c r="P2019" s="7"/>
    </row>
  </sheetData>
  <autoFilter ref="A1:P2019"/>
  <conditionalFormatting sqref="M2:M2019">
    <cfRule type="expression" priority="2" aboveAverage="0" equalAverage="0" bottom="0" percent="0" rank="0" text="" dxfId="5">
      <formula>M2="Changed"</formula>
    </cfRule>
  </conditionalFormatting>
  <conditionalFormatting sqref="O2:O2019">
    <cfRule type="expression" priority="3" aboveAverage="0" equalAverage="0" bottom="0" percent="0" rank="0" text="" dxfId="6">
      <formula>O2="CONFLICT"</formula>
    </cfRule>
  </conditionalFormatting>
  <dataValidations count="2">
    <dataValidation allowBlank="true" errorStyle="stop" operator="between" showDropDown="false" showErrorMessage="false" showInputMessage="false" sqref="D2:D2000" type="list">
      <formula1>Hierarchy!$A$2:$A$1295</formula1>
      <formula2>0</formula2>
    </dataValidation>
    <dataValidation allowBlank="true" errorStyle="stop" operator="between" showDropDown="false" showErrorMessage="false" showInputMessage="false" sqref="E2:E2000" type="list">
      <formula1>"Exact,Partial,Residual,Combined"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5" t="s">
        <v>1871</v>
      </c>
      <c r="B1" s="5" t="s">
        <v>2870</v>
      </c>
      <c r="C1" s="5" t="s">
        <v>2871</v>
      </c>
      <c r="D1" s="5" t="s">
        <v>2872</v>
      </c>
      <c r="E1" s="5" t="s">
        <v>1876</v>
      </c>
    </row>
    <row r="2" customFormat="false" ht="15" hidden="false" customHeight="false" outlineLevel="0" collapsed="false">
      <c r="A2" s="7" t="s">
        <v>2873</v>
      </c>
      <c r="B2" s="7" t="s">
        <v>2874</v>
      </c>
      <c r="C2" s="7" t="s">
        <v>2875</v>
      </c>
      <c r="D2" s="7" t="s">
        <v>2876</v>
      </c>
      <c r="E2" s="7" t="str">
        <f aca="false">TRIM(SUBSTITUTE(SUBSTITUTE(SUBSTITUTE(" "&amp;TRIM(SUBSTITUTE(SUBSTITUTE(SUBSTITUTE(SUBSTITUTE(SUBSTITUTE(SUBSTITUTE(SUBSTITUTE(SUBSTITUTE(SUBSTITUTE(SUBSTITUTE(SUBSTITUTE(SUBSTITUTE(SUBSTITUTE(SUBSTITUTE(SUBSTITUTE(UPPER(TRIM(A2)),"[MEMBER]",""),"{MEMBER}",""),"[MEMBER}",""),"MEMBER]",""),"(A)",""),"""",""),"“",""),"”",""),".",""),":",""),",",""),"–"," "),"-"," "),"/"," "),"&amp;"," AND "))&amp;" "," THE "," ")," TOTAL "," ")," OPERATIONS "," "))</f>
        <v>CORPORATE SEGMENT</v>
      </c>
    </row>
    <row r="3" customFormat="false" ht="15" hidden="false" customHeight="false" outlineLevel="0" collapsed="false">
      <c r="A3" s="7" t="s">
        <v>2877</v>
      </c>
      <c r="B3" s="7" t="s">
        <v>2874</v>
      </c>
      <c r="C3" s="7" t="s">
        <v>2878</v>
      </c>
      <c r="D3" s="7" t="s">
        <v>2876</v>
      </c>
      <c r="E3" s="7" t="str">
        <f aca="false">TRIM(SUBSTITUTE(SUBSTITUTE(SUBSTITUTE(" "&amp;TRIM(SUBSTITUTE(SUBSTITUTE(SUBSTITUTE(SUBSTITUTE(SUBSTITUTE(SUBSTITUTE(SUBSTITUTE(SUBSTITUTE(SUBSTITUTE(SUBSTITUTE(SUBSTITUTE(SUBSTITUTE(SUBSTITUTE(SUBSTITUTE(SUBSTITUTE(UPPER(TRIM(A3)),"[MEMBER]",""),"{MEMBER}",""),"[MEMBER}",""),"MEMBER]",""),"(A)",""),"""",""),"“",""),"”",""),".",""),":",""),",",""),"–"," "),"-"," "),"/"," "),"&amp;"," AND "))&amp;" "," THE "," ")," TOTAL "," ")," OPERATIONS "," "))</f>
        <v>TRADITIONAL HOMEBUILDING</v>
      </c>
    </row>
    <row r="4" customFormat="false" ht="15" hidden="false" customHeight="false" outlineLevel="0" collapsed="false">
      <c r="A4" s="7" t="s">
        <v>2879</v>
      </c>
      <c r="B4" s="7" t="s">
        <v>2874</v>
      </c>
      <c r="C4" s="7" t="s">
        <v>2875</v>
      </c>
      <c r="D4" s="7" t="s">
        <v>2876</v>
      </c>
      <c r="E4" s="7" t="str">
        <f aca="false">TRIM(SUBSTITUTE(SUBSTITUTE(SUBSTITUTE(" "&amp;TRIM(SUBSTITUTE(SUBSTITUTE(SUBSTITUTE(SUBSTITUTE(SUBSTITUTE(SUBSTITUTE(SUBSTITUTE(SUBSTITUTE(SUBSTITUTE(SUBSTITUTE(SUBSTITUTE(SUBSTITUTE(SUBSTITUTE(SUBSTITUTE(SUBSTITUTE(UPPER(TRIM(A4)),"[MEMBER]",""),"{MEMBER}",""),"[MEMBER}",""),"MEMBER]",""),"(A)",""),"""",""),"“",""),"”",""),".",""),":",""),",",""),"–"," "),"-"," "),"/"," "),"&amp;"," AND "))&amp;" "," THE "," ")," TOTAL "," ")," OPERATIONS "," "))</f>
        <v>CORPORATE OTHER</v>
      </c>
    </row>
    <row r="5" customFormat="false" ht="15" hidden="false" customHeight="false" outlineLevel="0" collapsed="false">
      <c r="A5" s="7" t="s">
        <v>2880</v>
      </c>
      <c r="B5" s="7" t="s">
        <v>2874</v>
      </c>
      <c r="C5" s="7" t="s">
        <v>2881</v>
      </c>
      <c r="D5" s="7" t="s">
        <v>2876</v>
      </c>
      <c r="E5" s="7" t="str">
        <f aca="false">TRIM(SUBSTITUTE(SUBSTITUTE(SUBSTITUTE(" "&amp;TRIM(SUBSTITUTE(SUBSTITUTE(SUBSTITUTE(SUBSTITUTE(SUBSTITUTE(SUBSTITUTE(SUBSTITUTE(SUBSTITUTE(SUBSTITUTE(SUBSTITUTE(SUBSTITUTE(SUBSTITUTE(SUBSTITUTE(SUBSTITUTE(SUBSTITUTE(UPPER(TRIM(A5)),"[MEMBER]",""),"{MEMBER}",""),"[MEMBER}",""),"MEMBER]",""),"(A)",""),"""",""),"“",""),"”",""),".",""),":",""),",",""),"–"," "),"-"," "),"/"," "),"&amp;"," AND "))&amp;" "," THE "," ")," TOTAL "," ")," OPERATIONS "," "))</f>
        <v>CITY LIVING</v>
      </c>
    </row>
    <row r="6" customFormat="false" ht="15" hidden="false" customHeight="false" outlineLevel="0" collapsed="false">
      <c r="A6" s="7" t="s">
        <v>2882</v>
      </c>
      <c r="B6" s="7" t="s">
        <v>2874</v>
      </c>
      <c r="C6" s="7" t="s">
        <v>2883</v>
      </c>
      <c r="D6" s="7" t="s">
        <v>2876</v>
      </c>
      <c r="E6" s="7" t="str">
        <f aca="false">TRIM(SUBSTITUTE(SUBSTITUTE(SUBSTITUTE(" "&amp;TRIM(SUBSTITUTE(SUBSTITUTE(SUBSTITUTE(SUBSTITUTE(SUBSTITUTE(SUBSTITUTE(SUBSTITUTE(SUBSTITUTE(SUBSTITUTE(SUBSTITUTE(SUBSTITUTE(SUBSTITUTE(SUBSTITUTE(SUBSTITUTE(SUBSTITUTE(UPPER(TRIM(A6)),"[MEMBER]",""),"{MEMBER}",""),"[MEMBER}",""),"MEMBER]",""),"(A)",""),"""",""),"“",""),"”",""),".",""),":",""),",",""),"–"," "),"-"," "),"/"," "),"&amp;"," AND "))&amp;" "," THE "," ")," TOTAL "," ")," OPERATIONS "," "))</f>
        <v>NON BRANDED AND BULK</v>
      </c>
    </row>
    <row r="7" customFormat="false" ht="15" hidden="false" customHeight="false" outlineLevel="0" collapsed="false">
      <c r="A7" s="7" t="s">
        <v>2884</v>
      </c>
      <c r="B7" s="7" t="s">
        <v>2874</v>
      </c>
      <c r="C7" s="7" t="s">
        <v>2885</v>
      </c>
      <c r="D7" s="7" t="s">
        <v>2876</v>
      </c>
      <c r="E7" s="7" t="str">
        <f aca="false">TRIM(SUBSTITUTE(SUBSTITUTE(SUBSTITUTE(" "&amp;TRIM(SUBSTITUTE(SUBSTITUTE(SUBSTITUTE(SUBSTITUTE(SUBSTITUTE(SUBSTITUTE(SUBSTITUTE(SUBSTITUTE(SUBSTITUTE(SUBSTITUTE(SUBSTITUTE(SUBSTITUTE(SUBSTITUTE(SUBSTITUTE(SUBSTITUTE(UPPER(TRIM(A7)),"[MEMBER]",""),"{MEMBER}",""),"[MEMBER}",""),"MEMBER]",""),"(A)",""),"""",""),"“",""),"”",""),".",""),":",""),",",""),"–"," "),"-"," "),"/"," "),"&amp;"," AND "))&amp;" "," THE "," ")," TOTAL "," ")," OPERATIONS "," "))</f>
        <v>TRAVEL RETAIL</v>
      </c>
    </row>
    <row r="8" customFormat="false" ht="15" hidden="false" customHeight="false" outlineLevel="0" collapsed="false">
      <c r="A8" s="7" t="s">
        <v>2886</v>
      </c>
      <c r="B8" s="7" t="s">
        <v>2874</v>
      </c>
      <c r="C8" s="7" t="s">
        <v>2887</v>
      </c>
      <c r="D8" s="7" t="s">
        <v>2876</v>
      </c>
      <c r="E8" s="7" t="str">
        <f aca="false">TRIM(SUBSTITUTE(SUBSTITUTE(SUBSTITUTE(" "&amp;TRIM(SUBSTITUTE(SUBSTITUTE(SUBSTITUTE(SUBSTITUTE(SUBSTITUTE(SUBSTITUTE(SUBSTITUTE(SUBSTITUTE(SUBSTITUTE(SUBSTITUTE(SUBSTITUTE(SUBSTITUTE(SUBSTITUTE(SUBSTITUTE(SUBSTITUTE(UPPER(TRIM(A8)),"[MEMBER]",""),"{MEMBER}",""),"[MEMBER}",""),"MEMBER]",""),"(A)",""),"""",""),"“",""),"”",""),".",""),":",""),",",""),"–"," "),"-"," "),"/"," "),"&amp;"," AND "))&amp;" "," THE "," ")," TOTAL "," ")," OPERATIONS "," "))</f>
        <v>EXPORT</v>
      </c>
    </row>
    <row r="9" customFormat="false" ht="15" hidden="false" customHeight="false" outlineLevel="0" collapsed="false">
      <c r="A9" s="7" t="s">
        <v>2888</v>
      </c>
      <c r="B9" s="7" t="s">
        <v>2874</v>
      </c>
      <c r="C9" s="7" t="s">
        <v>2889</v>
      </c>
      <c r="D9" s="7" t="s">
        <v>2876</v>
      </c>
      <c r="E9" s="7" t="str">
        <f aca="false">TRIM(SUBSTITUTE(SUBSTITUTE(SUBSTITUTE(" "&amp;TRIM(SUBSTITUTE(SUBSTITUTE(SUBSTITUTE(SUBSTITUTE(SUBSTITUTE(SUBSTITUTE(SUBSTITUTE(SUBSTITUTE(SUBSTITUTE(SUBSTITUTE(SUBSTITUTE(SUBSTITUTE(SUBSTITUTE(SUBSTITUTE(SUBSTITUTE(UPPER(TRIM(A9)),"[MEMBER]",""),"{MEMBER}",""),"[MEMBER}",""),"MEMBER]",""),"(A)",""),"""",""),"“",""),"”",""),".",""),":",""),",",""),"–"," "),"-"," "),"/"," "),"&amp;"," AND "))&amp;" "," THE "," ")," TOTAL "," ")," OPERATIONS "," "))</f>
        <v>PARTS AND ACCESSORIES</v>
      </c>
    </row>
    <row r="10" customFormat="false" ht="15" hidden="false" customHeight="false" outlineLevel="0" collapsed="false">
      <c r="A10" s="7" t="s">
        <v>2890</v>
      </c>
      <c r="B10" s="7" t="s">
        <v>2874</v>
      </c>
      <c r="C10" s="7" t="s">
        <v>2891</v>
      </c>
      <c r="D10" s="7" t="s">
        <v>2876</v>
      </c>
      <c r="E10" s="7" t="str">
        <f aca="false">TRIM(SUBSTITUTE(SUBSTITUTE(SUBSTITUTE(" "&amp;TRIM(SUBSTITUTE(SUBSTITUTE(SUBSTITUTE(SUBSTITUTE(SUBSTITUTE(SUBSTITUTE(SUBSTITUTE(SUBSTITUTE(SUBSTITUTE(SUBSTITUTE(SUBSTITUTE(SUBSTITUTE(SUBSTITUTE(SUBSTITUTE(SUBSTITUTE(UPPER(TRIM(A10)),"[MEMBER]",""),"{MEMBER}",""),"[MEMBER}",""),"MEMBER]",""),"(A)",""),"""",""),"“",""),"”",""),".",""),":",""),",",""),"–"," "),"-"," "),"/"," "),"&amp;"," AND "))&amp;" "," THE "," ")," TOTAL "," ")," OPERATIONS "," "))</f>
        <v>FRESH</v>
      </c>
    </row>
    <row r="11" customFormat="false" ht="15" hidden="false" customHeight="false" outlineLevel="0" collapsed="false">
      <c r="A11" s="7" t="s">
        <v>2892</v>
      </c>
      <c r="B11" s="7" t="s">
        <v>2874</v>
      </c>
      <c r="C11" s="7" t="s">
        <v>2893</v>
      </c>
      <c r="D11" s="7" t="s">
        <v>2876</v>
      </c>
      <c r="E11" s="7" t="str">
        <f aca="false">TRIM(SUBSTITUTE(SUBSTITUTE(SUBSTITUTE(" "&amp;TRIM(SUBSTITUTE(SUBSTITUTE(SUBSTITUTE(SUBSTITUTE(SUBSTITUTE(SUBSTITUTE(SUBSTITUTE(SUBSTITUTE(SUBSTITUTE(SUBSTITUTE(SUBSTITUTE(SUBSTITUTE(SUBSTITUTE(SUBSTITUTE(SUBSTITUTE(UPPER(TRIM(A11)),"[MEMBER]",""),"{MEMBER}",""),"[MEMBER}",""),"MEMBER]",""),"(A)",""),"""",""),"“",""),"”",""),".",""),":",""),",",""),"–"," "),"-"," "),"/"," "),"&amp;"," AND "))&amp;" "," THE "," ")," TOTAL "," ")," OPERATIONS "," "))</f>
        <v>PREPARED</v>
      </c>
    </row>
    <row r="12" customFormat="false" ht="15" hidden="false" customHeight="false" outlineLevel="0" collapsed="false">
      <c r="A12" s="7" t="s">
        <v>2894</v>
      </c>
      <c r="B12" s="7" t="s">
        <v>2874</v>
      </c>
      <c r="C12" s="7" t="s">
        <v>2893</v>
      </c>
      <c r="D12" s="7" t="s">
        <v>2876</v>
      </c>
      <c r="E12" s="7" t="str">
        <f aca="false">TRIM(SUBSTITUTE(SUBSTITUTE(SUBSTITUTE(" "&amp;TRIM(SUBSTITUTE(SUBSTITUTE(SUBSTITUTE(SUBSTITUTE(SUBSTITUTE(SUBSTITUTE(SUBSTITUTE(SUBSTITUTE(SUBSTITUTE(SUBSTITUTE(SUBSTITUTE(SUBSTITUTE(SUBSTITUTE(SUBSTITUTE(SUBSTITUTE(UPPER(TRIM(A12)),"[MEMBER]",""),"{MEMBER}",""),"[MEMBER}",""),"MEMBER]",""),"(A)",""),"""",""),"“",""),"”",""),".",""),":",""),",",""),"–"," "),"-"," "),"/"," "),"&amp;"," AND "))&amp;" "," THE "," ")," TOTAL "," ")," OPERATIONS "," "))</f>
        <v>OTHER PRODUCTS</v>
      </c>
    </row>
    <row r="13" customFormat="false" ht="15" hidden="false" customHeight="false" outlineLevel="0" collapsed="false">
      <c r="A13" s="7" t="s">
        <v>2895</v>
      </c>
      <c r="B13" s="7" t="s">
        <v>2896</v>
      </c>
      <c r="C13" s="7" t="s">
        <v>2897</v>
      </c>
      <c r="D13" s="7" t="s">
        <v>2876</v>
      </c>
      <c r="E13" s="7" t="str">
        <f aca="false">TRIM(SUBSTITUTE(SUBSTITUTE(SUBSTITUTE(" "&amp;TRIM(SUBSTITUTE(SUBSTITUTE(SUBSTITUTE(SUBSTITUTE(SUBSTITUTE(SUBSTITUTE(SUBSTITUTE(SUBSTITUTE(SUBSTITUTE(SUBSTITUTE(SUBSTITUTE(SUBSTITUTE(SUBSTITUTE(SUBSTITUTE(SUBSTITUTE(UPPER(TRIM(A13)),"[MEMBER]",""),"{MEMBER}",""),"[MEMBER}",""),"MEMBER]",""),"(A)",""),"""",""),"“",""),"”",""),".",""),":",""),",",""),"–"," "),"-"," "),"/"," "),"&amp;"," AND "))&amp;" "," THE "," ")," TOTAL "," ")," OPERATIONS "," "))</f>
        <v>OTHER NET OF ELIMINATIONS</v>
      </c>
    </row>
    <row r="14" customFormat="false" ht="15" hidden="false" customHeight="false" outlineLevel="0" collapsed="false">
      <c r="A14" s="7" t="s">
        <v>2898</v>
      </c>
      <c r="B14" s="7" t="s">
        <v>2896</v>
      </c>
      <c r="C14" s="7" t="s">
        <v>2899</v>
      </c>
      <c r="D14" s="7" t="s">
        <v>2876</v>
      </c>
      <c r="E14" s="7" t="str">
        <f aca="false">TRIM(SUBSTITUTE(SUBSTITUTE(SUBSTITUTE(" "&amp;TRIM(SUBSTITUTE(SUBSTITUTE(SUBSTITUTE(SUBSTITUTE(SUBSTITUTE(SUBSTITUTE(SUBSTITUTE(SUBSTITUTE(SUBSTITUTE(SUBSTITUTE(SUBSTITUTE(SUBSTITUTE(SUBSTITUTE(SUBSTITUTE(SUBSTITUTE(UPPER(TRIM(A14)),"[MEMBER]",""),"{MEMBER}",""),"[MEMBER}",""),"MEMBER]",""),"(A)",""),"""",""),"“",""),"”",""),".",""),":",""),",",""),"–"," "),"-"," "),"/"," "),"&amp;"," AND "))&amp;" "," THE "," ")," TOTAL "," ")," OPERATIONS "," "))</f>
        <v>OTHER UNALLOCATED</v>
      </c>
    </row>
    <row r="15" customFormat="false" ht="15" hidden="false" customHeight="false" outlineLevel="0" collapsed="false">
      <c r="A15" s="7" t="s">
        <v>2900</v>
      </c>
      <c r="B15" s="7" t="s">
        <v>2896</v>
      </c>
      <c r="C15" s="7" t="s">
        <v>2901</v>
      </c>
      <c r="D15" s="7" t="s">
        <v>2876</v>
      </c>
      <c r="E15" s="7" t="str">
        <f aca="false">TRIM(SUBSTITUTE(SUBSTITUTE(SUBSTITUTE(" "&amp;TRIM(SUBSTITUTE(SUBSTITUTE(SUBSTITUTE(SUBSTITUTE(SUBSTITUTE(SUBSTITUTE(SUBSTITUTE(SUBSTITUTE(SUBSTITUTE(SUBSTITUTE(SUBSTITUTE(SUBSTITUTE(SUBSTITUTE(SUBSTITUTE(SUBSTITUTE(UPPER(TRIM(A15)),"[MEMBER]",""),"{MEMBER}",""),"[MEMBER}",""),"MEMBER]",""),"(A)",""),"""",""),"“",""),"”",""),".",""),":",""),",",""),"–"," "),"-"," "),"/"," "),"&amp;"," AND "))&amp;" "," THE "," ")," TOTAL "," ")," OPERATIONS "," "))</f>
        <v>STATE AND MUNICIPALITIES</v>
      </c>
    </row>
    <row r="16" customFormat="false" ht="15" hidden="false" customHeight="false" outlineLevel="0" collapsed="false">
      <c r="A16" s="7" t="s">
        <v>345</v>
      </c>
      <c r="B16" s="7" t="s">
        <v>2896</v>
      </c>
      <c r="C16" s="7" t="s">
        <v>2902</v>
      </c>
      <c r="D16" s="7" t="s">
        <v>2876</v>
      </c>
      <c r="E16" s="7" t="str">
        <f aca="false">TRIM(SUBSTITUTE(SUBSTITUTE(SUBSTITUTE(" "&amp;TRIM(SUBSTITUTE(SUBSTITUTE(SUBSTITUTE(SUBSTITUTE(SUBSTITUTE(SUBSTITUTE(SUBSTITUTE(SUBSTITUTE(SUBSTITUTE(SUBSTITUTE(SUBSTITUTE(SUBSTITUTE(SUBSTITUTE(SUBSTITUTE(SUBSTITUTE(UPPER(TRIM(A16)),"[MEMBER]",""),"{MEMBER}",""),"[MEMBER}",""),"MEMBER]",""),"(A)",""),"""",""),"“",""),"”",""),".",""),":",""),",",""),"–"," "),"-"," "),"/"," "),"&amp;"," AND "))&amp;" "," THE "," ")," TOTAL "," ")," OPERATIONS "," "))</f>
        <v>STATE</v>
      </c>
    </row>
    <row r="17" customFormat="false" ht="15" hidden="false" customHeight="false" outlineLevel="0" collapsed="false">
      <c r="A17" s="7" t="s">
        <v>2903</v>
      </c>
      <c r="B17" s="7" t="s">
        <v>2896</v>
      </c>
      <c r="C17" s="7" t="s">
        <v>2904</v>
      </c>
      <c r="D17" s="7" t="s">
        <v>2876</v>
      </c>
      <c r="E17" s="7" t="str">
        <f aca="false">TRIM(SUBSTITUTE(SUBSTITUTE(SUBSTITUTE(" "&amp;TRIM(SUBSTITUTE(SUBSTITUTE(SUBSTITUTE(SUBSTITUTE(SUBSTITUTE(SUBSTITUTE(SUBSTITUTE(SUBSTITUTE(SUBSTITUTE(SUBSTITUTE(SUBSTITUTE(SUBSTITUTE(SUBSTITUTE(SUBSTITUTE(SUBSTITUTE(UPPER(TRIM(A17)),"[MEMBER]",""),"{MEMBER}",""),"[MEMBER}",""),"MEMBER]",""),"(A)",""),"""",""),"“",""),"”",""),".",""),":",""),",",""),"–"," "),"-"," "),"/"," "),"&amp;"," AND "))&amp;" "," THE "," ")," TOTAL "," ")," OPERATIONS "," "))</f>
        <v>STATE AND LOCAL JURISDICTION</v>
      </c>
    </row>
    <row r="18" customFormat="false" ht="15" hidden="false" customHeight="false" outlineLevel="0" collapsed="false">
      <c r="A18" s="7" t="s">
        <v>2905</v>
      </c>
      <c r="B18" s="7" t="s">
        <v>2906</v>
      </c>
      <c r="C18" s="7" t="s">
        <v>2907</v>
      </c>
      <c r="D18" s="7" t="s">
        <v>2876</v>
      </c>
      <c r="E18" s="7" t="str">
        <f aca="false">TRIM(SUBSTITUTE(SUBSTITUTE(SUBSTITUTE(" "&amp;TRIM(SUBSTITUTE(SUBSTITUTE(SUBSTITUTE(SUBSTITUTE(SUBSTITUTE(SUBSTITUTE(SUBSTITUTE(SUBSTITUTE(SUBSTITUTE(SUBSTITUTE(SUBSTITUTE(SUBSTITUTE(SUBSTITUTE(SUBSTITUTE(SUBSTITUTE(UPPER(TRIM(A18)),"[MEMBER]",""),"{MEMBER}",""),"[MEMBER}",""),"MEMBER]",""),"(A)",""),"""",""),"“",""),"”",""),".",""),":",""),",",""),"–"," "),"-"," "),"/"," "),"&amp;"," AND "))&amp;" "," THE "," ")," TOTAL "," ")," OPERATIONS "," "))</f>
        <v>SRT_SEGMENTGEOGRAPHICALDOMAIN</v>
      </c>
    </row>
    <row r="19" customFormat="false" ht="15" hidden="false" customHeight="false" outlineLevel="0" collapsed="false">
      <c r="A19" s="7" t="s">
        <v>2908</v>
      </c>
      <c r="B19" s="7" t="s">
        <v>2906</v>
      </c>
      <c r="C19" s="7" t="s">
        <v>2909</v>
      </c>
      <c r="D19" s="7" t="s">
        <v>2876</v>
      </c>
      <c r="E19" s="7" t="str">
        <f aca="false">TRIM(SUBSTITUTE(SUBSTITUTE(SUBSTITUTE(" "&amp;TRIM(SUBSTITUTE(SUBSTITUTE(SUBSTITUTE(SUBSTITUTE(SUBSTITUTE(SUBSTITUTE(SUBSTITUTE(SUBSTITUTE(SUBSTITUTE(SUBSTITUTE(SUBSTITUTE(SUBSTITUTE(SUBSTITUTE(SUBSTITUTE(SUBSTITUTE(UPPER(TRIM(A19)),"[MEMBER]",""),"{MEMBER}",""),"[MEMBER}",""),"MEMBER]",""),"(A)",""),"""",""),"“",""),"”",""),".",""),":",""),",",""),"–"," "),"-"," "),"/"," "),"&amp;"," AND "))&amp;" "," THE "," ")," TOTAL "," ")," OPERATIONS "," "))</f>
        <v>TAB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8" t="s">
        <v>2910</v>
      </c>
      <c r="B1" s="18"/>
      <c r="C1" s="18"/>
      <c r="D1" s="18"/>
      <c r="E1" s="18"/>
      <c r="F1" s="18"/>
      <c r="G1" s="18"/>
      <c r="H1" s="18"/>
      <c r="I1" s="18"/>
    </row>
    <row r="3" customFormat="false" ht="15" hidden="false" customHeight="false" outlineLevel="0" collapsed="false">
      <c r="A3" s="9" t="s">
        <v>2911</v>
      </c>
      <c r="B3" s="9" t="s">
        <v>1876</v>
      </c>
      <c r="C3" s="9" t="s">
        <v>2912</v>
      </c>
      <c r="D3" s="9" t="s">
        <v>2913</v>
      </c>
      <c r="E3" s="9" t="s">
        <v>61</v>
      </c>
      <c r="F3" s="9" t="s">
        <v>5</v>
      </c>
      <c r="G3" s="9" t="s">
        <v>7</v>
      </c>
      <c r="H3" s="9" t="s">
        <v>9</v>
      </c>
      <c r="I3" s="9" t="s">
        <v>11</v>
      </c>
    </row>
    <row r="4" customFormat="false" ht="15" hidden="false" customHeight="false" outlineLevel="0" collapsed="false">
      <c r="A4" s="19" t="s">
        <v>2914</v>
      </c>
      <c r="B4" s="7" t="str">
        <f aca="false">IF(A4="","",TRIM(SUBSTITUTE(SUBSTITUTE(SUBSTITUTE(" "&amp;TRIM(SUBSTITUTE(SUBSTITUTE(SUBSTITUTE(SUBSTITUTE(SUBSTITUTE(SUBSTITUTE(SUBSTITUTE(SUBSTITUTE(SUBSTITUTE(SUBSTITUTE(SUBSTITUTE(SUBSTITUTE(SUBSTITUTE(SUBSTITUTE(SUBSTITUTE(UPPER(TRIM(A4)),"[MEMBER]",""),"{MEMBER}",""),"[MEMBER}",""),"MEMBER]",""),"(A)",""),"""",""),"“",""),"”",""),".",""),":",""),",",""),"–"," "),"-"," "),"/"," "),"&amp;"," AND "))&amp;" "," THE "," ")," TOTAL "," ")," OPERATIONS "," ")))</f>
        <v>ASIA PACIFIC</v>
      </c>
      <c r="C4" s="17" t="str">
        <f aca="false">IF(A4="","",IF(ISNUMBER(MATCH(B4,Excluded!$E$2:$E$19,0)),"Excluded (not a place)",IF(ISNUMBER(MATCH(B4,'Label Map'!$N$2:$N$2019,0)),"Auto-matched","UNMAPPED: add to Label Map")))</f>
        <v>Auto-matched</v>
      </c>
      <c r="D4" s="7" t="str">
        <f aca="false">IF(C4="Auto-matched",INDEX('Label Map'!$D$2:$D$2019,MATCH(B4,'Label Map'!$N$2:$N$2019,0)),"")</f>
        <v>APAC (Asia-Pacific)</v>
      </c>
      <c r="E4" s="7" t="str">
        <f aca="false">IF(D4="","",IF(INDEX(Hierarchy!$B$2:$B$1295,MATCH(D4,Hierarchy!$A$2:$A$1295,0))="","",INDEX(Hierarchy!$B$2:$B$1295,MATCH(D4,Hierarchy!$A$2:$A$1295,0))))</f>
        <v>Region</v>
      </c>
      <c r="F4" s="7" t="str">
        <f aca="false">IF(D4="","",IF(INDEX(Hierarchy!$D$2:$D$1295,MATCH(D4,Hierarchy!$A$2:$A$1295,0))="","",INDEX(Hierarchy!$D$2:$D$1295,MATCH(D4,Hierarchy!$A$2:$A$1295,0))))</f>
        <v>APAC</v>
      </c>
      <c r="G4" s="7" t="str">
        <f aca="false">IF(D4="","",IF(INDEX(Hierarchy!$E$2:$E$1295,MATCH(D4,Hierarchy!$A$2:$A$1295,0))="","",INDEX(Hierarchy!$E$2:$E$1295,MATCH(D4,Hierarchy!$A$2:$A$1295,0))))</f>
        <v/>
      </c>
      <c r="H4" s="7" t="str">
        <f aca="false">IF(D4="","",IF(INDEX(Hierarchy!$F$2:$F$1295,MATCH(D4,Hierarchy!$A$2:$A$1295,0))="","",INDEX(Hierarchy!$F$2:$F$1295,MATCH(D4,Hierarchy!$A$2:$A$1295,0))))</f>
        <v/>
      </c>
      <c r="I4" s="7" t="str">
        <f aca="false">IF(D4="","",IF(INDEX(Hierarchy!$H$2:$H$1295,MATCH(D4,Hierarchy!$A$2:$A$1295,0))="","",INDEX(Hierarchy!$H$2:$H$1295,MATCH(D4,Hierarchy!$A$2:$A$1295,0))))</f>
        <v/>
      </c>
    </row>
    <row r="5" customFormat="false" ht="15" hidden="false" customHeight="false" outlineLevel="0" collapsed="false">
      <c r="A5" s="19"/>
      <c r="B5" s="7" t="str">
        <f aca="false">IF(A5="","",TRIM(SUBSTITUTE(SUBSTITUTE(SUBSTITUTE(" "&amp;TRIM(SUBSTITUTE(SUBSTITUTE(SUBSTITUTE(SUBSTITUTE(SUBSTITUTE(SUBSTITUTE(SUBSTITUTE(SUBSTITUTE(SUBSTITUTE(SUBSTITUTE(SUBSTITUTE(SUBSTITUTE(SUBSTITUTE(SUBSTITUTE(SUBSTITUTE(UPPER(TRIM(A5)),"[MEMBER]",""),"{MEMBER}",""),"[MEMBER}",""),"MEMBER]",""),"(A)",""),"""",""),"“",""),"”",""),".",""),":",""),",",""),"–"," "),"-"," "),"/"," "),"&amp;"," AND "))&amp;" "," THE "," ")," TOTAL "," ")," OPERATIONS "," ")))</f>
        <v/>
      </c>
      <c r="C5" s="17" t="str">
        <f aca="false">IF(A5="","",IF(ISNUMBER(MATCH(B5,Excluded!$E$2:$E$19,0)),"Excluded (not a place)",IF(ISNUMBER(MATCH(B5,'Label Map'!$N$2:$N$2019,0)),"Auto-matched","UNMAPPED: add to Label Map")))</f>
        <v/>
      </c>
      <c r="D5" s="7" t="str">
        <f aca="false">IF(C5="Auto-matched",INDEX('Label Map'!$D$2:$D$2019,MATCH(B5,'Label Map'!$N$2:$N$2019,0)),"")</f>
        <v/>
      </c>
      <c r="E5" s="7" t="str">
        <f aca="false">IF(D5="","",IF(INDEX(Hierarchy!$B$2:$B$1295,MATCH(D5,Hierarchy!$A$2:$A$1295,0))="","",INDEX(Hierarchy!$B$2:$B$1295,MATCH(D5,Hierarchy!$A$2:$A$1295,0))))</f>
        <v/>
      </c>
      <c r="F5" s="7" t="str">
        <f aca="false">IF(D5="","",IF(INDEX(Hierarchy!$D$2:$D$1295,MATCH(D5,Hierarchy!$A$2:$A$1295,0))="","",INDEX(Hierarchy!$D$2:$D$1295,MATCH(D5,Hierarchy!$A$2:$A$1295,0))))</f>
        <v/>
      </c>
      <c r="G5" s="7" t="str">
        <f aca="false">IF(D5="","",IF(INDEX(Hierarchy!$E$2:$E$1295,MATCH(D5,Hierarchy!$A$2:$A$1295,0))="","",INDEX(Hierarchy!$E$2:$E$1295,MATCH(D5,Hierarchy!$A$2:$A$1295,0))))</f>
        <v/>
      </c>
      <c r="H5" s="7" t="str">
        <f aca="false">IF(D5="","",IF(INDEX(Hierarchy!$F$2:$F$1295,MATCH(D5,Hierarchy!$A$2:$A$1295,0))="","",INDEX(Hierarchy!$F$2:$F$1295,MATCH(D5,Hierarchy!$A$2:$A$1295,0))))</f>
        <v/>
      </c>
      <c r="I5" s="7" t="str">
        <f aca="false">IF(D5="","",IF(INDEX(Hierarchy!$H$2:$H$1295,MATCH(D5,Hierarchy!$A$2:$A$1295,0))="","",INDEX(Hierarchy!$H$2:$H$1295,MATCH(D5,Hierarchy!$A$2:$A$1295,0))))</f>
        <v/>
      </c>
    </row>
    <row r="6" customFormat="false" ht="15" hidden="false" customHeight="false" outlineLevel="0" collapsed="false">
      <c r="A6" s="19"/>
      <c r="B6" s="7" t="str">
        <f aca="false">IF(A6="","",TRIM(SUBSTITUTE(SUBSTITUTE(SUBSTITUTE(" "&amp;TRIM(SUBSTITUTE(SUBSTITUTE(SUBSTITUTE(SUBSTITUTE(SUBSTITUTE(SUBSTITUTE(SUBSTITUTE(SUBSTITUTE(SUBSTITUTE(SUBSTITUTE(SUBSTITUTE(SUBSTITUTE(SUBSTITUTE(SUBSTITUTE(SUBSTITUTE(UPPER(TRIM(A6)),"[MEMBER]",""),"{MEMBER}",""),"[MEMBER}",""),"MEMBER]",""),"(A)",""),"""",""),"“",""),"”",""),".",""),":",""),",",""),"–"," "),"-"," "),"/"," "),"&amp;"," AND "))&amp;" "," THE "," ")," TOTAL "," ")," OPERATIONS "," ")))</f>
        <v/>
      </c>
      <c r="C6" s="17" t="str">
        <f aca="false">IF(A6="","",IF(ISNUMBER(MATCH(B6,Excluded!$E$2:$E$19,0)),"Excluded (not a place)",IF(ISNUMBER(MATCH(B6,'Label Map'!$N$2:$N$2019,0)),"Auto-matched","UNMAPPED: add to Label Map")))</f>
        <v/>
      </c>
      <c r="D6" s="7" t="str">
        <f aca="false">IF(C6="Auto-matched",INDEX('Label Map'!$D$2:$D$2019,MATCH(B6,'Label Map'!$N$2:$N$2019,0)),"")</f>
        <v/>
      </c>
      <c r="E6" s="7" t="str">
        <f aca="false">IF(D6="","",IF(INDEX(Hierarchy!$B$2:$B$1295,MATCH(D6,Hierarchy!$A$2:$A$1295,0))="","",INDEX(Hierarchy!$B$2:$B$1295,MATCH(D6,Hierarchy!$A$2:$A$1295,0))))</f>
        <v/>
      </c>
      <c r="F6" s="7" t="str">
        <f aca="false">IF(D6="","",IF(INDEX(Hierarchy!$D$2:$D$1295,MATCH(D6,Hierarchy!$A$2:$A$1295,0))="","",INDEX(Hierarchy!$D$2:$D$1295,MATCH(D6,Hierarchy!$A$2:$A$1295,0))))</f>
        <v/>
      </c>
      <c r="G6" s="7" t="str">
        <f aca="false">IF(D6="","",IF(INDEX(Hierarchy!$E$2:$E$1295,MATCH(D6,Hierarchy!$A$2:$A$1295,0))="","",INDEX(Hierarchy!$E$2:$E$1295,MATCH(D6,Hierarchy!$A$2:$A$1295,0))))</f>
        <v/>
      </c>
      <c r="H6" s="7" t="str">
        <f aca="false">IF(D6="","",IF(INDEX(Hierarchy!$F$2:$F$1295,MATCH(D6,Hierarchy!$A$2:$A$1295,0))="","",INDEX(Hierarchy!$F$2:$F$1295,MATCH(D6,Hierarchy!$A$2:$A$1295,0))))</f>
        <v/>
      </c>
      <c r="I6" s="7" t="str">
        <f aca="false">IF(D6="","",IF(INDEX(Hierarchy!$H$2:$H$1295,MATCH(D6,Hierarchy!$A$2:$A$1295,0))="","",INDEX(Hierarchy!$H$2:$H$1295,MATCH(D6,Hierarchy!$A$2:$A$1295,0))))</f>
        <v/>
      </c>
    </row>
    <row r="7" customFormat="false" ht="15" hidden="false" customHeight="false" outlineLevel="0" collapsed="false">
      <c r="A7" s="19"/>
      <c r="B7" s="7" t="str">
        <f aca="false">IF(A7="","",TRIM(SUBSTITUTE(SUBSTITUTE(SUBSTITUTE(" "&amp;TRIM(SUBSTITUTE(SUBSTITUTE(SUBSTITUTE(SUBSTITUTE(SUBSTITUTE(SUBSTITUTE(SUBSTITUTE(SUBSTITUTE(SUBSTITUTE(SUBSTITUTE(SUBSTITUTE(SUBSTITUTE(SUBSTITUTE(SUBSTITUTE(SUBSTITUTE(UPPER(TRIM(A7)),"[MEMBER]",""),"{MEMBER}",""),"[MEMBER}",""),"MEMBER]",""),"(A)",""),"""",""),"“",""),"”",""),".",""),":",""),",",""),"–"," "),"-"," "),"/"," "),"&amp;"," AND "))&amp;" "," THE "," ")," TOTAL "," ")," OPERATIONS "," ")))</f>
        <v/>
      </c>
      <c r="C7" s="17" t="str">
        <f aca="false">IF(A7="","",IF(ISNUMBER(MATCH(B7,Excluded!$E$2:$E$19,0)),"Excluded (not a place)",IF(ISNUMBER(MATCH(B7,'Label Map'!$N$2:$N$2019,0)),"Auto-matched","UNMAPPED: add to Label Map")))</f>
        <v/>
      </c>
      <c r="D7" s="7" t="str">
        <f aca="false">IF(C7="Auto-matched",INDEX('Label Map'!$D$2:$D$2019,MATCH(B7,'Label Map'!$N$2:$N$2019,0)),"")</f>
        <v/>
      </c>
      <c r="E7" s="7" t="str">
        <f aca="false">IF(D7="","",IF(INDEX(Hierarchy!$B$2:$B$1295,MATCH(D7,Hierarchy!$A$2:$A$1295,0))="","",INDEX(Hierarchy!$B$2:$B$1295,MATCH(D7,Hierarchy!$A$2:$A$1295,0))))</f>
        <v/>
      </c>
      <c r="F7" s="7" t="str">
        <f aca="false">IF(D7="","",IF(INDEX(Hierarchy!$D$2:$D$1295,MATCH(D7,Hierarchy!$A$2:$A$1295,0))="","",INDEX(Hierarchy!$D$2:$D$1295,MATCH(D7,Hierarchy!$A$2:$A$1295,0))))</f>
        <v/>
      </c>
      <c r="G7" s="7" t="str">
        <f aca="false">IF(D7="","",IF(INDEX(Hierarchy!$E$2:$E$1295,MATCH(D7,Hierarchy!$A$2:$A$1295,0))="","",INDEX(Hierarchy!$E$2:$E$1295,MATCH(D7,Hierarchy!$A$2:$A$1295,0))))</f>
        <v/>
      </c>
      <c r="H7" s="7" t="str">
        <f aca="false">IF(D7="","",IF(INDEX(Hierarchy!$F$2:$F$1295,MATCH(D7,Hierarchy!$A$2:$A$1295,0))="","",INDEX(Hierarchy!$F$2:$F$1295,MATCH(D7,Hierarchy!$A$2:$A$1295,0))))</f>
        <v/>
      </c>
      <c r="I7" s="7" t="str">
        <f aca="false">IF(D7="","",IF(INDEX(Hierarchy!$H$2:$H$1295,MATCH(D7,Hierarchy!$A$2:$A$1295,0))="","",INDEX(Hierarchy!$H$2:$H$1295,MATCH(D7,Hierarchy!$A$2:$A$1295,0))))</f>
        <v/>
      </c>
    </row>
    <row r="8" customFormat="false" ht="15" hidden="false" customHeight="false" outlineLevel="0" collapsed="false">
      <c r="A8" s="19"/>
      <c r="B8" s="7" t="str">
        <f aca="false">IF(A8="","",TRIM(SUBSTITUTE(SUBSTITUTE(SUBSTITUTE(" "&amp;TRIM(SUBSTITUTE(SUBSTITUTE(SUBSTITUTE(SUBSTITUTE(SUBSTITUTE(SUBSTITUTE(SUBSTITUTE(SUBSTITUTE(SUBSTITUTE(SUBSTITUTE(SUBSTITUTE(SUBSTITUTE(SUBSTITUTE(SUBSTITUTE(SUBSTITUTE(UPPER(TRIM(A8)),"[MEMBER]",""),"{MEMBER}",""),"[MEMBER}",""),"MEMBER]",""),"(A)",""),"""",""),"“",""),"”",""),".",""),":",""),",",""),"–"," "),"-"," "),"/"," "),"&amp;"," AND "))&amp;" "," THE "," ")," TOTAL "," ")," OPERATIONS "," ")))</f>
        <v/>
      </c>
      <c r="C8" s="17" t="str">
        <f aca="false">IF(A8="","",IF(ISNUMBER(MATCH(B8,Excluded!$E$2:$E$19,0)),"Excluded (not a place)",IF(ISNUMBER(MATCH(B8,'Label Map'!$N$2:$N$2019,0)),"Auto-matched","UNMAPPED: add to Label Map")))</f>
        <v/>
      </c>
      <c r="D8" s="7" t="str">
        <f aca="false">IF(C8="Auto-matched",INDEX('Label Map'!$D$2:$D$2019,MATCH(B8,'Label Map'!$N$2:$N$2019,0)),"")</f>
        <v/>
      </c>
      <c r="E8" s="7" t="str">
        <f aca="false">IF(D8="","",IF(INDEX(Hierarchy!$B$2:$B$1295,MATCH(D8,Hierarchy!$A$2:$A$1295,0))="","",INDEX(Hierarchy!$B$2:$B$1295,MATCH(D8,Hierarchy!$A$2:$A$1295,0))))</f>
        <v/>
      </c>
      <c r="F8" s="7" t="str">
        <f aca="false">IF(D8="","",IF(INDEX(Hierarchy!$D$2:$D$1295,MATCH(D8,Hierarchy!$A$2:$A$1295,0))="","",INDEX(Hierarchy!$D$2:$D$1295,MATCH(D8,Hierarchy!$A$2:$A$1295,0))))</f>
        <v/>
      </c>
      <c r="G8" s="7" t="str">
        <f aca="false">IF(D8="","",IF(INDEX(Hierarchy!$E$2:$E$1295,MATCH(D8,Hierarchy!$A$2:$A$1295,0))="","",INDEX(Hierarchy!$E$2:$E$1295,MATCH(D8,Hierarchy!$A$2:$A$1295,0))))</f>
        <v/>
      </c>
      <c r="H8" s="7" t="str">
        <f aca="false">IF(D8="","",IF(INDEX(Hierarchy!$F$2:$F$1295,MATCH(D8,Hierarchy!$A$2:$A$1295,0))="","",INDEX(Hierarchy!$F$2:$F$1295,MATCH(D8,Hierarchy!$A$2:$A$1295,0))))</f>
        <v/>
      </c>
      <c r="I8" s="7" t="str">
        <f aca="false">IF(D8="","",IF(INDEX(Hierarchy!$H$2:$H$1295,MATCH(D8,Hierarchy!$A$2:$A$1295,0))="","",INDEX(Hierarchy!$H$2:$H$1295,MATCH(D8,Hierarchy!$A$2:$A$1295,0))))</f>
        <v/>
      </c>
    </row>
    <row r="9" customFormat="false" ht="15" hidden="false" customHeight="false" outlineLevel="0" collapsed="false">
      <c r="A9" s="19"/>
      <c r="B9" s="7" t="str">
        <f aca="false">IF(A9="","",TRIM(SUBSTITUTE(SUBSTITUTE(SUBSTITUTE(" "&amp;TRIM(SUBSTITUTE(SUBSTITUTE(SUBSTITUTE(SUBSTITUTE(SUBSTITUTE(SUBSTITUTE(SUBSTITUTE(SUBSTITUTE(SUBSTITUTE(SUBSTITUTE(SUBSTITUTE(SUBSTITUTE(SUBSTITUTE(SUBSTITUTE(SUBSTITUTE(UPPER(TRIM(A9)),"[MEMBER]",""),"{MEMBER}",""),"[MEMBER}",""),"MEMBER]",""),"(A)",""),"""",""),"“",""),"”",""),".",""),":",""),",",""),"–"," "),"-"," "),"/"," "),"&amp;"," AND "))&amp;" "," THE "," ")," TOTAL "," ")," OPERATIONS "," ")))</f>
        <v/>
      </c>
      <c r="C9" s="17" t="str">
        <f aca="false">IF(A9="","",IF(ISNUMBER(MATCH(B9,Excluded!$E$2:$E$19,0)),"Excluded (not a place)",IF(ISNUMBER(MATCH(B9,'Label Map'!$N$2:$N$2019,0)),"Auto-matched","UNMAPPED: add to Label Map")))</f>
        <v/>
      </c>
      <c r="D9" s="7" t="str">
        <f aca="false">IF(C9="Auto-matched",INDEX('Label Map'!$D$2:$D$2019,MATCH(B9,'Label Map'!$N$2:$N$2019,0)),"")</f>
        <v/>
      </c>
      <c r="E9" s="7" t="str">
        <f aca="false">IF(D9="","",IF(INDEX(Hierarchy!$B$2:$B$1295,MATCH(D9,Hierarchy!$A$2:$A$1295,0))="","",INDEX(Hierarchy!$B$2:$B$1295,MATCH(D9,Hierarchy!$A$2:$A$1295,0))))</f>
        <v/>
      </c>
      <c r="F9" s="7" t="str">
        <f aca="false">IF(D9="","",IF(INDEX(Hierarchy!$D$2:$D$1295,MATCH(D9,Hierarchy!$A$2:$A$1295,0))="","",INDEX(Hierarchy!$D$2:$D$1295,MATCH(D9,Hierarchy!$A$2:$A$1295,0))))</f>
        <v/>
      </c>
      <c r="G9" s="7" t="str">
        <f aca="false">IF(D9="","",IF(INDEX(Hierarchy!$E$2:$E$1295,MATCH(D9,Hierarchy!$A$2:$A$1295,0))="","",INDEX(Hierarchy!$E$2:$E$1295,MATCH(D9,Hierarchy!$A$2:$A$1295,0))))</f>
        <v/>
      </c>
      <c r="H9" s="7" t="str">
        <f aca="false">IF(D9="","",IF(INDEX(Hierarchy!$F$2:$F$1295,MATCH(D9,Hierarchy!$A$2:$A$1295,0))="","",INDEX(Hierarchy!$F$2:$F$1295,MATCH(D9,Hierarchy!$A$2:$A$1295,0))))</f>
        <v/>
      </c>
      <c r="I9" s="7" t="str">
        <f aca="false">IF(D9="","",IF(INDEX(Hierarchy!$H$2:$H$1295,MATCH(D9,Hierarchy!$A$2:$A$1295,0))="","",INDEX(Hierarchy!$H$2:$H$1295,MATCH(D9,Hierarchy!$A$2:$A$1295,0))))</f>
        <v/>
      </c>
    </row>
    <row r="10" customFormat="false" ht="15" hidden="false" customHeight="false" outlineLevel="0" collapsed="false">
      <c r="A10" s="19"/>
      <c r="B10" s="7" t="str">
        <f aca="false">IF(A10="","",TRIM(SUBSTITUTE(SUBSTITUTE(SUBSTITUTE(" "&amp;TRIM(SUBSTITUTE(SUBSTITUTE(SUBSTITUTE(SUBSTITUTE(SUBSTITUTE(SUBSTITUTE(SUBSTITUTE(SUBSTITUTE(SUBSTITUTE(SUBSTITUTE(SUBSTITUTE(SUBSTITUTE(SUBSTITUTE(SUBSTITUTE(SUBSTITUTE(UPPER(TRIM(A10)),"[MEMBER]",""),"{MEMBER}",""),"[MEMBER}",""),"MEMBER]",""),"(A)",""),"""",""),"“",""),"”",""),".",""),":",""),",",""),"–"," "),"-"," "),"/"," "),"&amp;"," AND "))&amp;" "," THE "," ")," TOTAL "," ")," OPERATIONS "," ")))</f>
        <v/>
      </c>
      <c r="C10" s="17" t="str">
        <f aca="false">IF(A10="","",IF(ISNUMBER(MATCH(B10,Excluded!$E$2:$E$19,0)),"Excluded (not a place)",IF(ISNUMBER(MATCH(B10,'Label Map'!$N$2:$N$2019,0)),"Auto-matched","UNMAPPED: add to Label Map")))</f>
        <v/>
      </c>
      <c r="D10" s="7" t="str">
        <f aca="false">IF(C10="Auto-matched",INDEX('Label Map'!$D$2:$D$2019,MATCH(B10,'Label Map'!$N$2:$N$2019,0)),"")</f>
        <v/>
      </c>
      <c r="E10" s="7" t="str">
        <f aca="false">IF(D10="","",IF(INDEX(Hierarchy!$B$2:$B$1295,MATCH(D10,Hierarchy!$A$2:$A$1295,0))="","",INDEX(Hierarchy!$B$2:$B$1295,MATCH(D10,Hierarchy!$A$2:$A$1295,0))))</f>
        <v/>
      </c>
      <c r="F10" s="7" t="str">
        <f aca="false">IF(D10="","",IF(INDEX(Hierarchy!$D$2:$D$1295,MATCH(D10,Hierarchy!$A$2:$A$1295,0))="","",INDEX(Hierarchy!$D$2:$D$1295,MATCH(D10,Hierarchy!$A$2:$A$1295,0))))</f>
        <v/>
      </c>
      <c r="G10" s="7" t="str">
        <f aca="false">IF(D10="","",IF(INDEX(Hierarchy!$E$2:$E$1295,MATCH(D10,Hierarchy!$A$2:$A$1295,0))="","",INDEX(Hierarchy!$E$2:$E$1295,MATCH(D10,Hierarchy!$A$2:$A$1295,0))))</f>
        <v/>
      </c>
      <c r="H10" s="7" t="str">
        <f aca="false">IF(D10="","",IF(INDEX(Hierarchy!$F$2:$F$1295,MATCH(D10,Hierarchy!$A$2:$A$1295,0))="","",INDEX(Hierarchy!$F$2:$F$1295,MATCH(D10,Hierarchy!$A$2:$A$1295,0))))</f>
        <v/>
      </c>
      <c r="I10" s="7" t="str">
        <f aca="false">IF(D10="","",IF(INDEX(Hierarchy!$H$2:$H$1295,MATCH(D10,Hierarchy!$A$2:$A$1295,0))="","",INDEX(Hierarchy!$H$2:$H$1295,MATCH(D10,Hierarchy!$A$2:$A$1295,0))))</f>
        <v/>
      </c>
    </row>
    <row r="11" customFormat="false" ht="15" hidden="false" customHeight="false" outlineLevel="0" collapsed="false">
      <c r="A11" s="19"/>
      <c r="B11" s="7" t="str">
        <f aca="false">IF(A11="","",TRIM(SUBSTITUTE(SUBSTITUTE(SUBSTITUTE(" "&amp;TRIM(SUBSTITUTE(SUBSTITUTE(SUBSTITUTE(SUBSTITUTE(SUBSTITUTE(SUBSTITUTE(SUBSTITUTE(SUBSTITUTE(SUBSTITUTE(SUBSTITUTE(SUBSTITUTE(SUBSTITUTE(SUBSTITUTE(SUBSTITUTE(SUBSTITUTE(UPPER(TRIM(A11)),"[MEMBER]",""),"{MEMBER}",""),"[MEMBER}",""),"MEMBER]",""),"(A)",""),"""",""),"“",""),"”",""),".",""),":",""),",",""),"–"," "),"-"," "),"/"," "),"&amp;"," AND "))&amp;" "," THE "," ")," TOTAL "," ")," OPERATIONS "," ")))</f>
        <v/>
      </c>
      <c r="C11" s="17" t="str">
        <f aca="false">IF(A11="","",IF(ISNUMBER(MATCH(B11,Excluded!$E$2:$E$19,0)),"Excluded (not a place)",IF(ISNUMBER(MATCH(B11,'Label Map'!$N$2:$N$2019,0)),"Auto-matched","UNMAPPED: add to Label Map")))</f>
        <v/>
      </c>
      <c r="D11" s="7" t="str">
        <f aca="false">IF(C11="Auto-matched",INDEX('Label Map'!$D$2:$D$2019,MATCH(B11,'Label Map'!$N$2:$N$2019,0)),"")</f>
        <v/>
      </c>
      <c r="E11" s="7" t="str">
        <f aca="false">IF(D11="","",IF(INDEX(Hierarchy!$B$2:$B$1295,MATCH(D11,Hierarchy!$A$2:$A$1295,0))="","",INDEX(Hierarchy!$B$2:$B$1295,MATCH(D11,Hierarchy!$A$2:$A$1295,0))))</f>
        <v/>
      </c>
      <c r="F11" s="7" t="str">
        <f aca="false">IF(D11="","",IF(INDEX(Hierarchy!$D$2:$D$1295,MATCH(D11,Hierarchy!$A$2:$A$1295,0))="","",INDEX(Hierarchy!$D$2:$D$1295,MATCH(D11,Hierarchy!$A$2:$A$1295,0))))</f>
        <v/>
      </c>
      <c r="G11" s="7" t="str">
        <f aca="false">IF(D11="","",IF(INDEX(Hierarchy!$E$2:$E$1295,MATCH(D11,Hierarchy!$A$2:$A$1295,0))="","",INDEX(Hierarchy!$E$2:$E$1295,MATCH(D11,Hierarchy!$A$2:$A$1295,0))))</f>
        <v/>
      </c>
      <c r="H11" s="7" t="str">
        <f aca="false">IF(D11="","",IF(INDEX(Hierarchy!$F$2:$F$1295,MATCH(D11,Hierarchy!$A$2:$A$1295,0))="","",INDEX(Hierarchy!$F$2:$F$1295,MATCH(D11,Hierarchy!$A$2:$A$1295,0))))</f>
        <v/>
      </c>
      <c r="I11" s="7" t="str">
        <f aca="false">IF(D11="","",IF(INDEX(Hierarchy!$H$2:$H$1295,MATCH(D11,Hierarchy!$A$2:$A$1295,0))="","",INDEX(Hierarchy!$H$2:$H$1295,MATCH(D11,Hierarchy!$A$2:$A$1295,0))))</f>
        <v/>
      </c>
    </row>
    <row r="12" customFormat="false" ht="15" hidden="false" customHeight="false" outlineLevel="0" collapsed="false">
      <c r="A12" s="19"/>
      <c r="B12" s="7" t="str">
        <f aca="false">IF(A12="","",TRIM(SUBSTITUTE(SUBSTITUTE(SUBSTITUTE(" "&amp;TRIM(SUBSTITUTE(SUBSTITUTE(SUBSTITUTE(SUBSTITUTE(SUBSTITUTE(SUBSTITUTE(SUBSTITUTE(SUBSTITUTE(SUBSTITUTE(SUBSTITUTE(SUBSTITUTE(SUBSTITUTE(SUBSTITUTE(SUBSTITUTE(SUBSTITUTE(UPPER(TRIM(A12)),"[MEMBER]",""),"{MEMBER}",""),"[MEMBER}",""),"MEMBER]",""),"(A)",""),"""",""),"“",""),"”",""),".",""),":",""),",",""),"–"," "),"-"," "),"/"," "),"&amp;"," AND "))&amp;" "," THE "," ")," TOTAL "," ")," OPERATIONS "," ")))</f>
        <v/>
      </c>
      <c r="C12" s="17" t="str">
        <f aca="false">IF(A12="","",IF(ISNUMBER(MATCH(B12,Excluded!$E$2:$E$19,0)),"Excluded (not a place)",IF(ISNUMBER(MATCH(B12,'Label Map'!$N$2:$N$2019,0)),"Auto-matched","UNMAPPED: add to Label Map")))</f>
        <v/>
      </c>
      <c r="D12" s="7" t="str">
        <f aca="false">IF(C12="Auto-matched",INDEX('Label Map'!$D$2:$D$2019,MATCH(B12,'Label Map'!$N$2:$N$2019,0)),"")</f>
        <v/>
      </c>
      <c r="E12" s="7" t="str">
        <f aca="false">IF(D12="","",IF(INDEX(Hierarchy!$B$2:$B$1295,MATCH(D12,Hierarchy!$A$2:$A$1295,0))="","",INDEX(Hierarchy!$B$2:$B$1295,MATCH(D12,Hierarchy!$A$2:$A$1295,0))))</f>
        <v/>
      </c>
      <c r="F12" s="7" t="str">
        <f aca="false">IF(D12="","",IF(INDEX(Hierarchy!$D$2:$D$1295,MATCH(D12,Hierarchy!$A$2:$A$1295,0))="","",INDEX(Hierarchy!$D$2:$D$1295,MATCH(D12,Hierarchy!$A$2:$A$1295,0))))</f>
        <v/>
      </c>
      <c r="G12" s="7" t="str">
        <f aca="false">IF(D12="","",IF(INDEX(Hierarchy!$E$2:$E$1295,MATCH(D12,Hierarchy!$A$2:$A$1295,0))="","",INDEX(Hierarchy!$E$2:$E$1295,MATCH(D12,Hierarchy!$A$2:$A$1295,0))))</f>
        <v/>
      </c>
      <c r="H12" s="7" t="str">
        <f aca="false">IF(D12="","",IF(INDEX(Hierarchy!$F$2:$F$1295,MATCH(D12,Hierarchy!$A$2:$A$1295,0))="","",INDEX(Hierarchy!$F$2:$F$1295,MATCH(D12,Hierarchy!$A$2:$A$1295,0))))</f>
        <v/>
      </c>
      <c r="I12" s="7" t="str">
        <f aca="false">IF(D12="","",IF(INDEX(Hierarchy!$H$2:$H$1295,MATCH(D12,Hierarchy!$A$2:$A$1295,0))="","",INDEX(Hierarchy!$H$2:$H$1295,MATCH(D12,Hierarchy!$A$2:$A$1295,0))))</f>
        <v/>
      </c>
    </row>
    <row r="13" customFormat="false" ht="15" hidden="false" customHeight="false" outlineLevel="0" collapsed="false">
      <c r="A13" s="19"/>
      <c r="B13" s="7" t="str">
        <f aca="false">IF(A13="","",TRIM(SUBSTITUTE(SUBSTITUTE(SUBSTITUTE(" "&amp;TRIM(SUBSTITUTE(SUBSTITUTE(SUBSTITUTE(SUBSTITUTE(SUBSTITUTE(SUBSTITUTE(SUBSTITUTE(SUBSTITUTE(SUBSTITUTE(SUBSTITUTE(SUBSTITUTE(SUBSTITUTE(SUBSTITUTE(SUBSTITUTE(SUBSTITUTE(UPPER(TRIM(A13)),"[MEMBER]",""),"{MEMBER}",""),"[MEMBER}",""),"MEMBER]",""),"(A)",""),"""",""),"“",""),"”",""),".",""),":",""),",",""),"–"," "),"-"," "),"/"," "),"&amp;"," AND "))&amp;" "," THE "," ")," TOTAL "," ")," OPERATIONS "," ")))</f>
        <v/>
      </c>
      <c r="C13" s="17" t="str">
        <f aca="false">IF(A13="","",IF(ISNUMBER(MATCH(B13,Excluded!$E$2:$E$19,0)),"Excluded (not a place)",IF(ISNUMBER(MATCH(B13,'Label Map'!$N$2:$N$2019,0)),"Auto-matched","UNMAPPED: add to Label Map")))</f>
        <v/>
      </c>
      <c r="D13" s="7" t="str">
        <f aca="false">IF(C13="Auto-matched",INDEX('Label Map'!$D$2:$D$2019,MATCH(B13,'Label Map'!$N$2:$N$2019,0)),"")</f>
        <v/>
      </c>
      <c r="E13" s="7" t="str">
        <f aca="false">IF(D13="","",IF(INDEX(Hierarchy!$B$2:$B$1295,MATCH(D13,Hierarchy!$A$2:$A$1295,0))="","",INDEX(Hierarchy!$B$2:$B$1295,MATCH(D13,Hierarchy!$A$2:$A$1295,0))))</f>
        <v/>
      </c>
      <c r="F13" s="7" t="str">
        <f aca="false">IF(D13="","",IF(INDEX(Hierarchy!$D$2:$D$1295,MATCH(D13,Hierarchy!$A$2:$A$1295,0))="","",INDEX(Hierarchy!$D$2:$D$1295,MATCH(D13,Hierarchy!$A$2:$A$1295,0))))</f>
        <v/>
      </c>
      <c r="G13" s="7" t="str">
        <f aca="false">IF(D13="","",IF(INDEX(Hierarchy!$E$2:$E$1295,MATCH(D13,Hierarchy!$A$2:$A$1295,0))="","",INDEX(Hierarchy!$E$2:$E$1295,MATCH(D13,Hierarchy!$A$2:$A$1295,0))))</f>
        <v/>
      </c>
      <c r="H13" s="7" t="str">
        <f aca="false">IF(D13="","",IF(INDEX(Hierarchy!$F$2:$F$1295,MATCH(D13,Hierarchy!$A$2:$A$1295,0))="","",INDEX(Hierarchy!$F$2:$F$1295,MATCH(D13,Hierarchy!$A$2:$A$1295,0))))</f>
        <v/>
      </c>
      <c r="I13" s="7" t="str">
        <f aca="false">IF(D13="","",IF(INDEX(Hierarchy!$H$2:$H$1295,MATCH(D13,Hierarchy!$A$2:$A$1295,0))="","",INDEX(Hierarchy!$H$2:$H$1295,MATCH(D13,Hierarchy!$A$2:$A$1295,0))))</f>
        <v/>
      </c>
    </row>
    <row r="14" customFormat="false" ht="15" hidden="false" customHeight="false" outlineLevel="0" collapsed="false">
      <c r="A14" s="19"/>
      <c r="B14" s="7" t="str">
        <f aca="false">IF(A14="","",TRIM(SUBSTITUTE(SUBSTITUTE(SUBSTITUTE(" "&amp;TRIM(SUBSTITUTE(SUBSTITUTE(SUBSTITUTE(SUBSTITUTE(SUBSTITUTE(SUBSTITUTE(SUBSTITUTE(SUBSTITUTE(SUBSTITUTE(SUBSTITUTE(SUBSTITUTE(SUBSTITUTE(SUBSTITUTE(SUBSTITUTE(SUBSTITUTE(UPPER(TRIM(A14)),"[MEMBER]",""),"{MEMBER}",""),"[MEMBER}",""),"MEMBER]",""),"(A)",""),"""",""),"“",""),"”",""),".",""),":",""),",",""),"–"," "),"-"," "),"/"," "),"&amp;"," AND "))&amp;" "," THE "," ")," TOTAL "," ")," OPERATIONS "," ")))</f>
        <v/>
      </c>
      <c r="C14" s="17" t="str">
        <f aca="false">IF(A14="","",IF(ISNUMBER(MATCH(B14,Excluded!$E$2:$E$19,0)),"Excluded (not a place)",IF(ISNUMBER(MATCH(B14,'Label Map'!$N$2:$N$2019,0)),"Auto-matched","UNMAPPED: add to Label Map")))</f>
        <v/>
      </c>
      <c r="D14" s="7" t="str">
        <f aca="false">IF(C14="Auto-matched",INDEX('Label Map'!$D$2:$D$2019,MATCH(B14,'Label Map'!$N$2:$N$2019,0)),"")</f>
        <v/>
      </c>
      <c r="E14" s="7" t="str">
        <f aca="false">IF(D14="","",IF(INDEX(Hierarchy!$B$2:$B$1295,MATCH(D14,Hierarchy!$A$2:$A$1295,0))="","",INDEX(Hierarchy!$B$2:$B$1295,MATCH(D14,Hierarchy!$A$2:$A$1295,0))))</f>
        <v/>
      </c>
      <c r="F14" s="7" t="str">
        <f aca="false">IF(D14="","",IF(INDEX(Hierarchy!$D$2:$D$1295,MATCH(D14,Hierarchy!$A$2:$A$1295,0))="","",INDEX(Hierarchy!$D$2:$D$1295,MATCH(D14,Hierarchy!$A$2:$A$1295,0))))</f>
        <v/>
      </c>
      <c r="G14" s="7" t="str">
        <f aca="false">IF(D14="","",IF(INDEX(Hierarchy!$E$2:$E$1295,MATCH(D14,Hierarchy!$A$2:$A$1295,0))="","",INDEX(Hierarchy!$E$2:$E$1295,MATCH(D14,Hierarchy!$A$2:$A$1295,0))))</f>
        <v/>
      </c>
      <c r="H14" s="7" t="str">
        <f aca="false">IF(D14="","",IF(INDEX(Hierarchy!$F$2:$F$1295,MATCH(D14,Hierarchy!$A$2:$A$1295,0))="","",INDEX(Hierarchy!$F$2:$F$1295,MATCH(D14,Hierarchy!$A$2:$A$1295,0))))</f>
        <v/>
      </c>
      <c r="I14" s="7" t="str">
        <f aca="false">IF(D14="","",IF(INDEX(Hierarchy!$H$2:$H$1295,MATCH(D14,Hierarchy!$A$2:$A$1295,0))="","",INDEX(Hierarchy!$H$2:$H$1295,MATCH(D14,Hierarchy!$A$2:$A$1295,0))))</f>
        <v/>
      </c>
    </row>
    <row r="15" customFormat="false" ht="15" hidden="false" customHeight="false" outlineLevel="0" collapsed="false">
      <c r="A15" s="19"/>
      <c r="B15" s="7" t="str">
        <f aca="false">IF(A15="","",TRIM(SUBSTITUTE(SUBSTITUTE(SUBSTITUTE(" "&amp;TRIM(SUBSTITUTE(SUBSTITUTE(SUBSTITUTE(SUBSTITUTE(SUBSTITUTE(SUBSTITUTE(SUBSTITUTE(SUBSTITUTE(SUBSTITUTE(SUBSTITUTE(SUBSTITUTE(SUBSTITUTE(SUBSTITUTE(SUBSTITUTE(SUBSTITUTE(UPPER(TRIM(A15)),"[MEMBER]",""),"{MEMBER}",""),"[MEMBER}",""),"MEMBER]",""),"(A)",""),"""",""),"“",""),"”",""),".",""),":",""),",",""),"–"," "),"-"," "),"/"," "),"&amp;"," AND "))&amp;" "," THE "," ")," TOTAL "," ")," OPERATIONS "," ")))</f>
        <v/>
      </c>
      <c r="C15" s="17" t="str">
        <f aca="false">IF(A15="","",IF(ISNUMBER(MATCH(B15,Excluded!$E$2:$E$19,0)),"Excluded (not a place)",IF(ISNUMBER(MATCH(B15,'Label Map'!$N$2:$N$2019,0)),"Auto-matched","UNMAPPED: add to Label Map")))</f>
        <v/>
      </c>
      <c r="D15" s="7" t="str">
        <f aca="false">IF(C15="Auto-matched",INDEX('Label Map'!$D$2:$D$2019,MATCH(B15,'Label Map'!$N$2:$N$2019,0)),"")</f>
        <v/>
      </c>
      <c r="E15" s="7" t="str">
        <f aca="false">IF(D15="","",IF(INDEX(Hierarchy!$B$2:$B$1295,MATCH(D15,Hierarchy!$A$2:$A$1295,0))="","",INDEX(Hierarchy!$B$2:$B$1295,MATCH(D15,Hierarchy!$A$2:$A$1295,0))))</f>
        <v/>
      </c>
      <c r="F15" s="7" t="str">
        <f aca="false">IF(D15="","",IF(INDEX(Hierarchy!$D$2:$D$1295,MATCH(D15,Hierarchy!$A$2:$A$1295,0))="","",INDEX(Hierarchy!$D$2:$D$1295,MATCH(D15,Hierarchy!$A$2:$A$1295,0))))</f>
        <v/>
      </c>
      <c r="G15" s="7" t="str">
        <f aca="false">IF(D15="","",IF(INDEX(Hierarchy!$E$2:$E$1295,MATCH(D15,Hierarchy!$A$2:$A$1295,0))="","",INDEX(Hierarchy!$E$2:$E$1295,MATCH(D15,Hierarchy!$A$2:$A$1295,0))))</f>
        <v/>
      </c>
      <c r="H15" s="7" t="str">
        <f aca="false">IF(D15="","",IF(INDEX(Hierarchy!$F$2:$F$1295,MATCH(D15,Hierarchy!$A$2:$A$1295,0))="","",INDEX(Hierarchy!$F$2:$F$1295,MATCH(D15,Hierarchy!$A$2:$A$1295,0))))</f>
        <v/>
      </c>
      <c r="I15" s="7" t="str">
        <f aca="false">IF(D15="","",IF(INDEX(Hierarchy!$H$2:$H$1295,MATCH(D15,Hierarchy!$A$2:$A$1295,0))="","",INDEX(Hierarchy!$H$2:$H$1295,MATCH(D15,Hierarchy!$A$2:$A$1295,0))))</f>
        <v/>
      </c>
    </row>
    <row r="16" customFormat="false" ht="15" hidden="false" customHeight="false" outlineLevel="0" collapsed="false">
      <c r="A16" s="19"/>
      <c r="B16" s="7" t="str">
        <f aca="false">IF(A16="","",TRIM(SUBSTITUTE(SUBSTITUTE(SUBSTITUTE(" "&amp;TRIM(SUBSTITUTE(SUBSTITUTE(SUBSTITUTE(SUBSTITUTE(SUBSTITUTE(SUBSTITUTE(SUBSTITUTE(SUBSTITUTE(SUBSTITUTE(SUBSTITUTE(SUBSTITUTE(SUBSTITUTE(SUBSTITUTE(SUBSTITUTE(SUBSTITUTE(UPPER(TRIM(A16)),"[MEMBER]",""),"{MEMBER}",""),"[MEMBER}",""),"MEMBER]",""),"(A)",""),"""",""),"“",""),"”",""),".",""),":",""),",",""),"–"," "),"-"," "),"/"," "),"&amp;"," AND "))&amp;" "," THE "," ")," TOTAL "," ")," OPERATIONS "," ")))</f>
        <v/>
      </c>
      <c r="C16" s="17" t="str">
        <f aca="false">IF(A16="","",IF(ISNUMBER(MATCH(B16,Excluded!$E$2:$E$19,0)),"Excluded (not a place)",IF(ISNUMBER(MATCH(B16,'Label Map'!$N$2:$N$2019,0)),"Auto-matched","UNMAPPED: add to Label Map")))</f>
        <v/>
      </c>
      <c r="D16" s="7" t="str">
        <f aca="false">IF(C16="Auto-matched",INDEX('Label Map'!$D$2:$D$2019,MATCH(B16,'Label Map'!$N$2:$N$2019,0)),"")</f>
        <v/>
      </c>
      <c r="E16" s="7" t="str">
        <f aca="false">IF(D16="","",IF(INDEX(Hierarchy!$B$2:$B$1295,MATCH(D16,Hierarchy!$A$2:$A$1295,0))="","",INDEX(Hierarchy!$B$2:$B$1295,MATCH(D16,Hierarchy!$A$2:$A$1295,0))))</f>
        <v/>
      </c>
      <c r="F16" s="7" t="str">
        <f aca="false">IF(D16="","",IF(INDEX(Hierarchy!$D$2:$D$1295,MATCH(D16,Hierarchy!$A$2:$A$1295,0))="","",INDEX(Hierarchy!$D$2:$D$1295,MATCH(D16,Hierarchy!$A$2:$A$1295,0))))</f>
        <v/>
      </c>
      <c r="G16" s="7" t="str">
        <f aca="false">IF(D16="","",IF(INDEX(Hierarchy!$E$2:$E$1295,MATCH(D16,Hierarchy!$A$2:$A$1295,0))="","",INDEX(Hierarchy!$E$2:$E$1295,MATCH(D16,Hierarchy!$A$2:$A$1295,0))))</f>
        <v/>
      </c>
      <c r="H16" s="7" t="str">
        <f aca="false">IF(D16="","",IF(INDEX(Hierarchy!$F$2:$F$1295,MATCH(D16,Hierarchy!$A$2:$A$1295,0))="","",INDEX(Hierarchy!$F$2:$F$1295,MATCH(D16,Hierarchy!$A$2:$A$1295,0))))</f>
        <v/>
      </c>
      <c r="I16" s="7" t="str">
        <f aca="false">IF(D16="","",IF(INDEX(Hierarchy!$H$2:$H$1295,MATCH(D16,Hierarchy!$A$2:$A$1295,0))="","",INDEX(Hierarchy!$H$2:$H$1295,MATCH(D16,Hierarchy!$A$2:$A$1295,0))))</f>
        <v/>
      </c>
    </row>
    <row r="17" customFormat="false" ht="15" hidden="false" customHeight="false" outlineLevel="0" collapsed="false">
      <c r="A17" s="19"/>
      <c r="B17" s="7" t="str">
        <f aca="false">IF(A17="","",TRIM(SUBSTITUTE(SUBSTITUTE(SUBSTITUTE(" "&amp;TRIM(SUBSTITUTE(SUBSTITUTE(SUBSTITUTE(SUBSTITUTE(SUBSTITUTE(SUBSTITUTE(SUBSTITUTE(SUBSTITUTE(SUBSTITUTE(SUBSTITUTE(SUBSTITUTE(SUBSTITUTE(SUBSTITUTE(SUBSTITUTE(SUBSTITUTE(UPPER(TRIM(A17)),"[MEMBER]",""),"{MEMBER}",""),"[MEMBER}",""),"MEMBER]",""),"(A)",""),"""",""),"“",""),"”",""),".",""),":",""),",",""),"–"," "),"-"," "),"/"," "),"&amp;"," AND "))&amp;" "," THE "," ")," TOTAL "," ")," OPERATIONS "," ")))</f>
        <v/>
      </c>
      <c r="C17" s="17" t="str">
        <f aca="false">IF(A17="","",IF(ISNUMBER(MATCH(B17,Excluded!$E$2:$E$19,0)),"Excluded (not a place)",IF(ISNUMBER(MATCH(B17,'Label Map'!$N$2:$N$2019,0)),"Auto-matched","UNMAPPED: add to Label Map")))</f>
        <v/>
      </c>
      <c r="D17" s="7" t="str">
        <f aca="false">IF(C17="Auto-matched",INDEX('Label Map'!$D$2:$D$2019,MATCH(B17,'Label Map'!$N$2:$N$2019,0)),"")</f>
        <v/>
      </c>
      <c r="E17" s="7" t="str">
        <f aca="false">IF(D17="","",IF(INDEX(Hierarchy!$B$2:$B$1295,MATCH(D17,Hierarchy!$A$2:$A$1295,0))="","",INDEX(Hierarchy!$B$2:$B$1295,MATCH(D17,Hierarchy!$A$2:$A$1295,0))))</f>
        <v/>
      </c>
      <c r="F17" s="7" t="str">
        <f aca="false">IF(D17="","",IF(INDEX(Hierarchy!$D$2:$D$1295,MATCH(D17,Hierarchy!$A$2:$A$1295,0))="","",INDEX(Hierarchy!$D$2:$D$1295,MATCH(D17,Hierarchy!$A$2:$A$1295,0))))</f>
        <v/>
      </c>
      <c r="G17" s="7" t="str">
        <f aca="false">IF(D17="","",IF(INDEX(Hierarchy!$E$2:$E$1295,MATCH(D17,Hierarchy!$A$2:$A$1295,0))="","",INDEX(Hierarchy!$E$2:$E$1295,MATCH(D17,Hierarchy!$A$2:$A$1295,0))))</f>
        <v/>
      </c>
      <c r="H17" s="7" t="str">
        <f aca="false">IF(D17="","",IF(INDEX(Hierarchy!$F$2:$F$1295,MATCH(D17,Hierarchy!$A$2:$A$1295,0))="","",INDEX(Hierarchy!$F$2:$F$1295,MATCH(D17,Hierarchy!$A$2:$A$1295,0))))</f>
        <v/>
      </c>
      <c r="I17" s="7" t="str">
        <f aca="false">IF(D17="","",IF(INDEX(Hierarchy!$H$2:$H$1295,MATCH(D17,Hierarchy!$A$2:$A$1295,0))="","",INDEX(Hierarchy!$H$2:$H$1295,MATCH(D17,Hierarchy!$A$2:$A$1295,0))))</f>
        <v/>
      </c>
    </row>
    <row r="18" customFormat="false" ht="15" hidden="false" customHeight="false" outlineLevel="0" collapsed="false">
      <c r="A18" s="19"/>
      <c r="B18" s="7" t="str">
        <f aca="false">IF(A18="","",TRIM(SUBSTITUTE(SUBSTITUTE(SUBSTITUTE(" "&amp;TRIM(SUBSTITUTE(SUBSTITUTE(SUBSTITUTE(SUBSTITUTE(SUBSTITUTE(SUBSTITUTE(SUBSTITUTE(SUBSTITUTE(SUBSTITUTE(SUBSTITUTE(SUBSTITUTE(SUBSTITUTE(SUBSTITUTE(SUBSTITUTE(SUBSTITUTE(UPPER(TRIM(A18)),"[MEMBER]",""),"{MEMBER}",""),"[MEMBER}",""),"MEMBER]",""),"(A)",""),"""",""),"“",""),"”",""),".",""),":",""),",",""),"–"," "),"-"," "),"/"," "),"&amp;"," AND "))&amp;" "," THE "," ")," TOTAL "," ")," OPERATIONS "," ")))</f>
        <v/>
      </c>
      <c r="C18" s="17" t="str">
        <f aca="false">IF(A18="","",IF(ISNUMBER(MATCH(B18,Excluded!$E$2:$E$19,0)),"Excluded (not a place)",IF(ISNUMBER(MATCH(B18,'Label Map'!$N$2:$N$2019,0)),"Auto-matched","UNMAPPED: add to Label Map")))</f>
        <v/>
      </c>
      <c r="D18" s="7" t="str">
        <f aca="false">IF(C18="Auto-matched",INDEX('Label Map'!$D$2:$D$2019,MATCH(B18,'Label Map'!$N$2:$N$2019,0)),"")</f>
        <v/>
      </c>
      <c r="E18" s="7" t="str">
        <f aca="false">IF(D18="","",IF(INDEX(Hierarchy!$B$2:$B$1295,MATCH(D18,Hierarchy!$A$2:$A$1295,0))="","",INDEX(Hierarchy!$B$2:$B$1295,MATCH(D18,Hierarchy!$A$2:$A$1295,0))))</f>
        <v/>
      </c>
      <c r="F18" s="7" t="str">
        <f aca="false">IF(D18="","",IF(INDEX(Hierarchy!$D$2:$D$1295,MATCH(D18,Hierarchy!$A$2:$A$1295,0))="","",INDEX(Hierarchy!$D$2:$D$1295,MATCH(D18,Hierarchy!$A$2:$A$1295,0))))</f>
        <v/>
      </c>
      <c r="G18" s="7" t="str">
        <f aca="false">IF(D18="","",IF(INDEX(Hierarchy!$E$2:$E$1295,MATCH(D18,Hierarchy!$A$2:$A$1295,0))="","",INDEX(Hierarchy!$E$2:$E$1295,MATCH(D18,Hierarchy!$A$2:$A$1295,0))))</f>
        <v/>
      </c>
      <c r="H18" s="7" t="str">
        <f aca="false">IF(D18="","",IF(INDEX(Hierarchy!$F$2:$F$1295,MATCH(D18,Hierarchy!$A$2:$A$1295,0))="","",INDEX(Hierarchy!$F$2:$F$1295,MATCH(D18,Hierarchy!$A$2:$A$1295,0))))</f>
        <v/>
      </c>
      <c r="I18" s="7" t="str">
        <f aca="false">IF(D18="","",IF(INDEX(Hierarchy!$H$2:$H$1295,MATCH(D18,Hierarchy!$A$2:$A$1295,0))="","",INDEX(Hierarchy!$H$2:$H$1295,MATCH(D18,Hierarchy!$A$2:$A$1295,0))))</f>
        <v/>
      </c>
    </row>
    <row r="19" customFormat="false" ht="15" hidden="false" customHeight="false" outlineLevel="0" collapsed="false">
      <c r="A19" s="19"/>
      <c r="B19" s="7" t="str">
        <f aca="false">IF(A19="","",TRIM(SUBSTITUTE(SUBSTITUTE(SUBSTITUTE(" "&amp;TRIM(SUBSTITUTE(SUBSTITUTE(SUBSTITUTE(SUBSTITUTE(SUBSTITUTE(SUBSTITUTE(SUBSTITUTE(SUBSTITUTE(SUBSTITUTE(SUBSTITUTE(SUBSTITUTE(SUBSTITUTE(SUBSTITUTE(SUBSTITUTE(SUBSTITUTE(UPPER(TRIM(A19)),"[MEMBER]",""),"{MEMBER}",""),"[MEMBER}",""),"MEMBER]",""),"(A)",""),"""",""),"“",""),"”",""),".",""),":",""),",",""),"–"," "),"-"," "),"/"," "),"&amp;"," AND "))&amp;" "," THE "," ")," TOTAL "," ")," OPERATIONS "," ")))</f>
        <v/>
      </c>
      <c r="C19" s="17" t="str">
        <f aca="false">IF(A19="","",IF(ISNUMBER(MATCH(B19,Excluded!$E$2:$E$19,0)),"Excluded (not a place)",IF(ISNUMBER(MATCH(B19,'Label Map'!$N$2:$N$2019,0)),"Auto-matched","UNMAPPED: add to Label Map")))</f>
        <v/>
      </c>
      <c r="D19" s="7" t="str">
        <f aca="false">IF(C19="Auto-matched",INDEX('Label Map'!$D$2:$D$2019,MATCH(B19,'Label Map'!$N$2:$N$2019,0)),"")</f>
        <v/>
      </c>
      <c r="E19" s="7" t="str">
        <f aca="false">IF(D19="","",IF(INDEX(Hierarchy!$B$2:$B$1295,MATCH(D19,Hierarchy!$A$2:$A$1295,0))="","",INDEX(Hierarchy!$B$2:$B$1295,MATCH(D19,Hierarchy!$A$2:$A$1295,0))))</f>
        <v/>
      </c>
      <c r="F19" s="7" t="str">
        <f aca="false">IF(D19="","",IF(INDEX(Hierarchy!$D$2:$D$1295,MATCH(D19,Hierarchy!$A$2:$A$1295,0))="","",INDEX(Hierarchy!$D$2:$D$1295,MATCH(D19,Hierarchy!$A$2:$A$1295,0))))</f>
        <v/>
      </c>
      <c r="G19" s="7" t="str">
        <f aca="false">IF(D19="","",IF(INDEX(Hierarchy!$E$2:$E$1295,MATCH(D19,Hierarchy!$A$2:$A$1295,0))="","",INDEX(Hierarchy!$E$2:$E$1295,MATCH(D19,Hierarchy!$A$2:$A$1295,0))))</f>
        <v/>
      </c>
      <c r="H19" s="7" t="str">
        <f aca="false">IF(D19="","",IF(INDEX(Hierarchy!$F$2:$F$1295,MATCH(D19,Hierarchy!$A$2:$A$1295,0))="","",INDEX(Hierarchy!$F$2:$F$1295,MATCH(D19,Hierarchy!$A$2:$A$1295,0))))</f>
        <v/>
      </c>
      <c r="I19" s="7" t="str">
        <f aca="false">IF(D19="","",IF(INDEX(Hierarchy!$H$2:$H$1295,MATCH(D19,Hierarchy!$A$2:$A$1295,0))="","",INDEX(Hierarchy!$H$2:$H$1295,MATCH(D19,Hierarchy!$A$2:$A$1295,0))))</f>
        <v/>
      </c>
    </row>
    <row r="20" customFormat="false" ht="15" hidden="false" customHeight="false" outlineLevel="0" collapsed="false">
      <c r="A20" s="19"/>
      <c r="B20" s="7" t="str">
        <f aca="false">IF(A20="","",TRIM(SUBSTITUTE(SUBSTITUTE(SUBSTITUTE(" "&amp;TRIM(SUBSTITUTE(SUBSTITUTE(SUBSTITUTE(SUBSTITUTE(SUBSTITUTE(SUBSTITUTE(SUBSTITUTE(SUBSTITUTE(SUBSTITUTE(SUBSTITUTE(SUBSTITUTE(SUBSTITUTE(SUBSTITUTE(SUBSTITUTE(SUBSTITUTE(UPPER(TRIM(A20)),"[MEMBER]",""),"{MEMBER}",""),"[MEMBER}",""),"MEMBER]",""),"(A)",""),"""",""),"“",""),"”",""),".",""),":",""),",",""),"–"," "),"-"," "),"/"," "),"&amp;"," AND "))&amp;" "," THE "," ")," TOTAL "," ")," OPERATIONS "," ")))</f>
        <v/>
      </c>
      <c r="C20" s="17" t="str">
        <f aca="false">IF(A20="","",IF(ISNUMBER(MATCH(B20,Excluded!$E$2:$E$19,0)),"Excluded (not a place)",IF(ISNUMBER(MATCH(B20,'Label Map'!$N$2:$N$2019,0)),"Auto-matched","UNMAPPED: add to Label Map")))</f>
        <v/>
      </c>
      <c r="D20" s="7" t="str">
        <f aca="false">IF(C20="Auto-matched",INDEX('Label Map'!$D$2:$D$2019,MATCH(B20,'Label Map'!$N$2:$N$2019,0)),"")</f>
        <v/>
      </c>
      <c r="E20" s="7" t="str">
        <f aca="false">IF(D20="","",IF(INDEX(Hierarchy!$B$2:$B$1295,MATCH(D20,Hierarchy!$A$2:$A$1295,0))="","",INDEX(Hierarchy!$B$2:$B$1295,MATCH(D20,Hierarchy!$A$2:$A$1295,0))))</f>
        <v/>
      </c>
      <c r="F20" s="7" t="str">
        <f aca="false">IF(D20="","",IF(INDEX(Hierarchy!$D$2:$D$1295,MATCH(D20,Hierarchy!$A$2:$A$1295,0))="","",INDEX(Hierarchy!$D$2:$D$1295,MATCH(D20,Hierarchy!$A$2:$A$1295,0))))</f>
        <v/>
      </c>
      <c r="G20" s="7" t="str">
        <f aca="false">IF(D20="","",IF(INDEX(Hierarchy!$E$2:$E$1295,MATCH(D20,Hierarchy!$A$2:$A$1295,0))="","",INDEX(Hierarchy!$E$2:$E$1295,MATCH(D20,Hierarchy!$A$2:$A$1295,0))))</f>
        <v/>
      </c>
      <c r="H20" s="7" t="str">
        <f aca="false">IF(D20="","",IF(INDEX(Hierarchy!$F$2:$F$1295,MATCH(D20,Hierarchy!$A$2:$A$1295,0))="","",INDEX(Hierarchy!$F$2:$F$1295,MATCH(D20,Hierarchy!$A$2:$A$1295,0))))</f>
        <v/>
      </c>
      <c r="I20" s="7" t="str">
        <f aca="false">IF(D20="","",IF(INDEX(Hierarchy!$H$2:$H$1295,MATCH(D20,Hierarchy!$A$2:$A$1295,0))="","",INDEX(Hierarchy!$H$2:$H$1295,MATCH(D20,Hierarchy!$A$2:$A$1295,0))))</f>
        <v/>
      </c>
    </row>
    <row r="21" customFormat="false" ht="15" hidden="false" customHeight="false" outlineLevel="0" collapsed="false">
      <c r="A21" s="19"/>
      <c r="B21" s="7" t="str">
        <f aca="false">IF(A21="","",TRIM(SUBSTITUTE(SUBSTITUTE(SUBSTITUTE(" "&amp;TRIM(SUBSTITUTE(SUBSTITUTE(SUBSTITUTE(SUBSTITUTE(SUBSTITUTE(SUBSTITUTE(SUBSTITUTE(SUBSTITUTE(SUBSTITUTE(SUBSTITUTE(SUBSTITUTE(SUBSTITUTE(SUBSTITUTE(SUBSTITUTE(SUBSTITUTE(UPPER(TRIM(A21)),"[MEMBER]",""),"{MEMBER}",""),"[MEMBER}",""),"MEMBER]",""),"(A)",""),"""",""),"“",""),"”",""),".",""),":",""),",",""),"–"," "),"-"," "),"/"," "),"&amp;"," AND "))&amp;" "," THE "," ")," TOTAL "," ")," OPERATIONS "," ")))</f>
        <v/>
      </c>
      <c r="C21" s="17" t="str">
        <f aca="false">IF(A21="","",IF(ISNUMBER(MATCH(B21,Excluded!$E$2:$E$19,0)),"Excluded (not a place)",IF(ISNUMBER(MATCH(B21,'Label Map'!$N$2:$N$2019,0)),"Auto-matched","UNMAPPED: add to Label Map")))</f>
        <v/>
      </c>
      <c r="D21" s="7" t="str">
        <f aca="false">IF(C21="Auto-matched",INDEX('Label Map'!$D$2:$D$2019,MATCH(B21,'Label Map'!$N$2:$N$2019,0)),"")</f>
        <v/>
      </c>
      <c r="E21" s="7" t="str">
        <f aca="false">IF(D21="","",IF(INDEX(Hierarchy!$B$2:$B$1295,MATCH(D21,Hierarchy!$A$2:$A$1295,0))="","",INDEX(Hierarchy!$B$2:$B$1295,MATCH(D21,Hierarchy!$A$2:$A$1295,0))))</f>
        <v/>
      </c>
      <c r="F21" s="7" t="str">
        <f aca="false">IF(D21="","",IF(INDEX(Hierarchy!$D$2:$D$1295,MATCH(D21,Hierarchy!$A$2:$A$1295,0))="","",INDEX(Hierarchy!$D$2:$D$1295,MATCH(D21,Hierarchy!$A$2:$A$1295,0))))</f>
        <v/>
      </c>
      <c r="G21" s="7" t="str">
        <f aca="false">IF(D21="","",IF(INDEX(Hierarchy!$E$2:$E$1295,MATCH(D21,Hierarchy!$A$2:$A$1295,0))="","",INDEX(Hierarchy!$E$2:$E$1295,MATCH(D21,Hierarchy!$A$2:$A$1295,0))))</f>
        <v/>
      </c>
      <c r="H21" s="7" t="str">
        <f aca="false">IF(D21="","",IF(INDEX(Hierarchy!$F$2:$F$1295,MATCH(D21,Hierarchy!$A$2:$A$1295,0))="","",INDEX(Hierarchy!$F$2:$F$1295,MATCH(D21,Hierarchy!$A$2:$A$1295,0))))</f>
        <v/>
      </c>
      <c r="I21" s="7" t="str">
        <f aca="false">IF(D21="","",IF(INDEX(Hierarchy!$H$2:$H$1295,MATCH(D21,Hierarchy!$A$2:$A$1295,0))="","",INDEX(Hierarchy!$H$2:$H$1295,MATCH(D21,Hierarchy!$A$2:$A$1295,0))))</f>
        <v/>
      </c>
    </row>
    <row r="22" customFormat="false" ht="15" hidden="false" customHeight="false" outlineLevel="0" collapsed="false">
      <c r="A22" s="19"/>
      <c r="B22" s="7" t="str">
        <f aca="false">IF(A22="","",TRIM(SUBSTITUTE(SUBSTITUTE(SUBSTITUTE(" "&amp;TRIM(SUBSTITUTE(SUBSTITUTE(SUBSTITUTE(SUBSTITUTE(SUBSTITUTE(SUBSTITUTE(SUBSTITUTE(SUBSTITUTE(SUBSTITUTE(SUBSTITUTE(SUBSTITUTE(SUBSTITUTE(SUBSTITUTE(SUBSTITUTE(SUBSTITUTE(UPPER(TRIM(A22)),"[MEMBER]",""),"{MEMBER}",""),"[MEMBER}",""),"MEMBER]",""),"(A)",""),"""",""),"“",""),"”",""),".",""),":",""),",",""),"–"," "),"-"," "),"/"," "),"&amp;"," AND "))&amp;" "," THE "," ")," TOTAL "," ")," OPERATIONS "," ")))</f>
        <v/>
      </c>
      <c r="C22" s="17" t="str">
        <f aca="false">IF(A22="","",IF(ISNUMBER(MATCH(B22,Excluded!$E$2:$E$19,0)),"Excluded (not a place)",IF(ISNUMBER(MATCH(B22,'Label Map'!$N$2:$N$2019,0)),"Auto-matched","UNMAPPED: add to Label Map")))</f>
        <v/>
      </c>
      <c r="D22" s="7" t="str">
        <f aca="false">IF(C22="Auto-matched",INDEX('Label Map'!$D$2:$D$2019,MATCH(B22,'Label Map'!$N$2:$N$2019,0)),"")</f>
        <v/>
      </c>
      <c r="E22" s="7" t="str">
        <f aca="false">IF(D22="","",IF(INDEX(Hierarchy!$B$2:$B$1295,MATCH(D22,Hierarchy!$A$2:$A$1295,0))="","",INDEX(Hierarchy!$B$2:$B$1295,MATCH(D22,Hierarchy!$A$2:$A$1295,0))))</f>
        <v/>
      </c>
      <c r="F22" s="7" t="str">
        <f aca="false">IF(D22="","",IF(INDEX(Hierarchy!$D$2:$D$1295,MATCH(D22,Hierarchy!$A$2:$A$1295,0))="","",INDEX(Hierarchy!$D$2:$D$1295,MATCH(D22,Hierarchy!$A$2:$A$1295,0))))</f>
        <v/>
      </c>
      <c r="G22" s="7" t="str">
        <f aca="false">IF(D22="","",IF(INDEX(Hierarchy!$E$2:$E$1295,MATCH(D22,Hierarchy!$A$2:$A$1295,0))="","",INDEX(Hierarchy!$E$2:$E$1295,MATCH(D22,Hierarchy!$A$2:$A$1295,0))))</f>
        <v/>
      </c>
      <c r="H22" s="7" t="str">
        <f aca="false">IF(D22="","",IF(INDEX(Hierarchy!$F$2:$F$1295,MATCH(D22,Hierarchy!$A$2:$A$1295,0))="","",INDEX(Hierarchy!$F$2:$F$1295,MATCH(D22,Hierarchy!$A$2:$A$1295,0))))</f>
        <v/>
      </c>
      <c r="I22" s="7" t="str">
        <f aca="false">IF(D22="","",IF(INDEX(Hierarchy!$H$2:$H$1295,MATCH(D22,Hierarchy!$A$2:$A$1295,0))="","",INDEX(Hierarchy!$H$2:$H$1295,MATCH(D22,Hierarchy!$A$2:$A$1295,0))))</f>
        <v/>
      </c>
    </row>
    <row r="23" customFormat="false" ht="15" hidden="false" customHeight="false" outlineLevel="0" collapsed="false">
      <c r="A23" s="19"/>
      <c r="B23" s="7" t="str">
        <f aca="false">IF(A23="","",TRIM(SUBSTITUTE(SUBSTITUTE(SUBSTITUTE(" "&amp;TRIM(SUBSTITUTE(SUBSTITUTE(SUBSTITUTE(SUBSTITUTE(SUBSTITUTE(SUBSTITUTE(SUBSTITUTE(SUBSTITUTE(SUBSTITUTE(SUBSTITUTE(SUBSTITUTE(SUBSTITUTE(SUBSTITUTE(SUBSTITUTE(SUBSTITUTE(UPPER(TRIM(A23)),"[MEMBER]",""),"{MEMBER}",""),"[MEMBER}",""),"MEMBER]",""),"(A)",""),"""",""),"“",""),"”",""),".",""),":",""),",",""),"–"," "),"-"," "),"/"," "),"&amp;"," AND "))&amp;" "," THE "," ")," TOTAL "," ")," OPERATIONS "," ")))</f>
        <v/>
      </c>
      <c r="C23" s="17" t="str">
        <f aca="false">IF(A23="","",IF(ISNUMBER(MATCH(B23,Excluded!$E$2:$E$19,0)),"Excluded (not a place)",IF(ISNUMBER(MATCH(B23,'Label Map'!$N$2:$N$2019,0)),"Auto-matched","UNMAPPED: add to Label Map")))</f>
        <v/>
      </c>
      <c r="D23" s="7" t="str">
        <f aca="false">IF(C23="Auto-matched",INDEX('Label Map'!$D$2:$D$2019,MATCH(B23,'Label Map'!$N$2:$N$2019,0)),"")</f>
        <v/>
      </c>
      <c r="E23" s="7" t="str">
        <f aca="false">IF(D23="","",IF(INDEX(Hierarchy!$B$2:$B$1295,MATCH(D23,Hierarchy!$A$2:$A$1295,0))="","",INDEX(Hierarchy!$B$2:$B$1295,MATCH(D23,Hierarchy!$A$2:$A$1295,0))))</f>
        <v/>
      </c>
      <c r="F23" s="7" t="str">
        <f aca="false">IF(D23="","",IF(INDEX(Hierarchy!$D$2:$D$1295,MATCH(D23,Hierarchy!$A$2:$A$1295,0))="","",INDEX(Hierarchy!$D$2:$D$1295,MATCH(D23,Hierarchy!$A$2:$A$1295,0))))</f>
        <v/>
      </c>
      <c r="G23" s="7" t="str">
        <f aca="false">IF(D23="","",IF(INDEX(Hierarchy!$E$2:$E$1295,MATCH(D23,Hierarchy!$A$2:$A$1295,0))="","",INDEX(Hierarchy!$E$2:$E$1295,MATCH(D23,Hierarchy!$A$2:$A$1295,0))))</f>
        <v/>
      </c>
      <c r="H23" s="7" t="str">
        <f aca="false">IF(D23="","",IF(INDEX(Hierarchy!$F$2:$F$1295,MATCH(D23,Hierarchy!$A$2:$A$1295,0))="","",INDEX(Hierarchy!$F$2:$F$1295,MATCH(D23,Hierarchy!$A$2:$A$1295,0))))</f>
        <v/>
      </c>
      <c r="I23" s="7" t="str">
        <f aca="false">IF(D23="","",IF(INDEX(Hierarchy!$H$2:$H$1295,MATCH(D23,Hierarchy!$A$2:$A$1295,0))="","",INDEX(Hierarchy!$H$2:$H$1295,MATCH(D23,Hierarchy!$A$2:$A$1295,0))))</f>
        <v/>
      </c>
    </row>
    <row r="24" customFormat="false" ht="15" hidden="false" customHeight="false" outlineLevel="0" collapsed="false">
      <c r="A24" s="19"/>
      <c r="B24" s="7" t="str">
        <f aca="false">IF(A24="","",TRIM(SUBSTITUTE(SUBSTITUTE(SUBSTITUTE(" "&amp;TRIM(SUBSTITUTE(SUBSTITUTE(SUBSTITUTE(SUBSTITUTE(SUBSTITUTE(SUBSTITUTE(SUBSTITUTE(SUBSTITUTE(SUBSTITUTE(SUBSTITUTE(SUBSTITUTE(SUBSTITUTE(SUBSTITUTE(SUBSTITUTE(SUBSTITUTE(UPPER(TRIM(A24)),"[MEMBER]",""),"{MEMBER}",""),"[MEMBER}",""),"MEMBER]",""),"(A)",""),"""",""),"“",""),"”",""),".",""),":",""),",",""),"–"," "),"-"," "),"/"," "),"&amp;"," AND "))&amp;" "," THE "," ")," TOTAL "," ")," OPERATIONS "," ")))</f>
        <v/>
      </c>
      <c r="C24" s="17" t="str">
        <f aca="false">IF(A24="","",IF(ISNUMBER(MATCH(B24,Excluded!$E$2:$E$19,0)),"Excluded (not a place)",IF(ISNUMBER(MATCH(B24,'Label Map'!$N$2:$N$2019,0)),"Auto-matched","UNMAPPED: add to Label Map")))</f>
        <v/>
      </c>
      <c r="D24" s="7" t="str">
        <f aca="false">IF(C24="Auto-matched",INDEX('Label Map'!$D$2:$D$2019,MATCH(B24,'Label Map'!$N$2:$N$2019,0)),"")</f>
        <v/>
      </c>
      <c r="E24" s="7" t="str">
        <f aca="false">IF(D24="","",IF(INDEX(Hierarchy!$B$2:$B$1295,MATCH(D24,Hierarchy!$A$2:$A$1295,0))="","",INDEX(Hierarchy!$B$2:$B$1295,MATCH(D24,Hierarchy!$A$2:$A$1295,0))))</f>
        <v/>
      </c>
      <c r="F24" s="7" t="str">
        <f aca="false">IF(D24="","",IF(INDEX(Hierarchy!$D$2:$D$1295,MATCH(D24,Hierarchy!$A$2:$A$1295,0))="","",INDEX(Hierarchy!$D$2:$D$1295,MATCH(D24,Hierarchy!$A$2:$A$1295,0))))</f>
        <v/>
      </c>
      <c r="G24" s="7" t="str">
        <f aca="false">IF(D24="","",IF(INDEX(Hierarchy!$E$2:$E$1295,MATCH(D24,Hierarchy!$A$2:$A$1295,0))="","",INDEX(Hierarchy!$E$2:$E$1295,MATCH(D24,Hierarchy!$A$2:$A$1295,0))))</f>
        <v/>
      </c>
      <c r="H24" s="7" t="str">
        <f aca="false">IF(D24="","",IF(INDEX(Hierarchy!$F$2:$F$1295,MATCH(D24,Hierarchy!$A$2:$A$1295,0))="","",INDEX(Hierarchy!$F$2:$F$1295,MATCH(D24,Hierarchy!$A$2:$A$1295,0))))</f>
        <v/>
      </c>
      <c r="I24" s="7" t="str">
        <f aca="false">IF(D24="","",IF(INDEX(Hierarchy!$H$2:$H$1295,MATCH(D24,Hierarchy!$A$2:$A$1295,0))="","",INDEX(Hierarchy!$H$2:$H$1295,MATCH(D24,Hierarchy!$A$2:$A$1295,0))))</f>
        <v/>
      </c>
    </row>
    <row r="25" customFormat="false" ht="15" hidden="false" customHeight="false" outlineLevel="0" collapsed="false">
      <c r="A25" s="19"/>
      <c r="B25" s="7" t="str">
        <f aca="false">IF(A25="","",TRIM(SUBSTITUTE(SUBSTITUTE(SUBSTITUTE(" "&amp;TRIM(SUBSTITUTE(SUBSTITUTE(SUBSTITUTE(SUBSTITUTE(SUBSTITUTE(SUBSTITUTE(SUBSTITUTE(SUBSTITUTE(SUBSTITUTE(SUBSTITUTE(SUBSTITUTE(SUBSTITUTE(SUBSTITUTE(SUBSTITUTE(SUBSTITUTE(UPPER(TRIM(A25)),"[MEMBER]",""),"{MEMBER}",""),"[MEMBER}",""),"MEMBER]",""),"(A)",""),"""",""),"“",""),"”",""),".",""),":",""),",",""),"–"," "),"-"," "),"/"," "),"&amp;"," AND "))&amp;" "," THE "," ")," TOTAL "," ")," OPERATIONS "," ")))</f>
        <v/>
      </c>
      <c r="C25" s="17" t="str">
        <f aca="false">IF(A25="","",IF(ISNUMBER(MATCH(B25,Excluded!$E$2:$E$19,0)),"Excluded (not a place)",IF(ISNUMBER(MATCH(B25,'Label Map'!$N$2:$N$2019,0)),"Auto-matched","UNMAPPED: add to Label Map")))</f>
        <v/>
      </c>
      <c r="D25" s="7" t="str">
        <f aca="false">IF(C25="Auto-matched",INDEX('Label Map'!$D$2:$D$2019,MATCH(B25,'Label Map'!$N$2:$N$2019,0)),"")</f>
        <v/>
      </c>
      <c r="E25" s="7" t="str">
        <f aca="false">IF(D25="","",IF(INDEX(Hierarchy!$B$2:$B$1295,MATCH(D25,Hierarchy!$A$2:$A$1295,0))="","",INDEX(Hierarchy!$B$2:$B$1295,MATCH(D25,Hierarchy!$A$2:$A$1295,0))))</f>
        <v/>
      </c>
      <c r="F25" s="7" t="str">
        <f aca="false">IF(D25="","",IF(INDEX(Hierarchy!$D$2:$D$1295,MATCH(D25,Hierarchy!$A$2:$A$1295,0))="","",INDEX(Hierarchy!$D$2:$D$1295,MATCH(D25,Hierarchy!$A$2:$A$1295,0))))</f>
        <v/>
      </c>
      <c r="G25" s="7" t="str">
        <f aca="false">IF(D25="","",IF(INDEX(Hierarchy!$E$2:$E$1295,MATCH(D25,Hierarchy!$A$2:$A$1295,0))="","",INDEX(Hierarchy!$E$2:$E$1295,MATCH(D25,Hierarchy!$A$2:$A$1295,0))))</f>
        <v/>
      </c>
      <c r="H25" s="7" t="str">
        <f aca="false">IF(D25="","",IF(INDEX(Hierarchy!$F$2:$F$1295,MATCH(D25,Hierarchy!$A$2:$A$1295,0))="","",INDEX(Hierarchy!$F$2:$F$1295,MATCH(D25,Hierarchy!$A$2:$A$1295,0))))</f>
        <v/>
      </c>
      <c r="I25" s="7" t="str">
        <f aca="false">IF(D25="","",IF(INDEX(Hierarchy!$H$2:$H$1295,MATCH(D25,Hierarchy!$A$2:$A$1295,0))="","",INDEX(Hierarchy!$H$2:$H$1295,MATCH(D25,Hierarchy!$A$2:$A$1295,0))))</f>
        <v/>
      </c>
    </row>
    <row r="26" customFormat="false" ht="15" hidden="false" customHeight="false" outlineLevel="0" collapsed="false">
      <c r="A26" s="19"/>
      <c r="B26" s="7" t="str">
        <f aca="false">IF(A26="","",TRIM(SUBSTITUTE(SUBSTITUTE(SUBSTITUTE(" "&amp;TRIM(SUBSTITUTE(SUBSTITUTE(SUBSTITUTE(SUBSTITUTE(SUBSTITUTE(SUBSTITUTE(SUBSTITUTE(SUBSTITUTE(SUBSTITUTE(SUBSTITUTE(SUBSTITUTE(SUBSTITUTE(SUBSTITUTE(SUBSTITUTE(SUBSTITUTE(UPPER(TRIM(A26)),"[MEMBER]",""),"{MEMBER}",""),"[MEMBER}",""),"MEMBER]",""),"(A)",""),"""",""),"“",""),"”",""),".",""),":",""),",",""),"–"," "),"-"," "),"/"," "),"&amp;"," AND "))&amp;" "," THE "," ")," TOTAL "," ")," OPERATIONS "," ")))</f>
        <v/>
      </c>
      <c r="C26" s="17" t="str">
        <f aca="false">IF(A26="","",IF(ISNUMBER(MATCH(B26,Excluded!$E$2:$E$19,0)),"Excluded (not a place)",IF(ISNUMBER(MATCH(B26,'Label Map'!$N$2:$N$2019,0)),"Auto-matched","UNMAPPED: add to Label Map")))</f>
        <v/>
      </c>
      <c r="D26" s="7" t="str">
        <f aca="false">IF(C26="Auto-matched",INDEX('Label Map'!$D$2:$D$2019,MATCH(B26,'Label Map'!$N$2:$N$2019,0)),"")</f>
        <v/>
      </c>
      <c r="E26" s="7" t="str">
        <f aca="false">IF(D26="","",IF(INDEX(Hierarchy!$B$2:$B$1295,MATCH(D26,Hierarchy!$A$2:$A$1295,0))="","",INDEX(Hierarchy!$B$2:$B$1295,MATCH(D26,Hierarchy!$A$2:$A$1295,0))))</f>
        <v/>
      </c>
      <c r="F26" s="7" t="str">
        <f aca="false">IF(D26="","",IF(INDEX(Hierarchy!$D$2:$D$1295,MATCH(D26,Hierarchy!$A$2:$A$1295,0))="","",INDEX(Hierarchy!$D$2:$D$1295,MATCH(D26,Hierarchy!$A$2:$A$1295,0))))</f>
        <v/>
      </c>
      <c r="G26" s="7" t="str">
        <f aca="false">IF(D26="","",IF(INDEX(Hierarchy!$E$2:$E$1295,MATCH(D26,Hierarchy!$A$2:$A$1295,0))="","",INDEX(Hierarchy!$E$2:$E$1295,MATCH(D26,Hierarchy!$A$2:$A$1295,0))))</f>
        <v/>
      </c>
      <c r="H26" s="7" t="str">
        <f aca="false">IF(D26="","",IF(INDEX(Hierarchy!$F$2:$F$1295,MATCH(D26,Hierarchy!$A$2:$A$1295,0))="","",INDEX(Hierarchy!$F$2:$F$1295,MATCH(D26,Hierarchy!$A$2:$A$1295,0))))</f>
        <v/>
      </c>
      <c r="I26" s="7" t="str">
        <f aca="false">IF(D26="","",IF(INDEX(Hierarchy!$H$2:$H$1295,MATCH(D26,Hierarchy!$A$2:$A$1295,0))="","",INDEX(Hierarchy!$H$2:$H$1295,MATCH(D26,Hierarchy!$A$2:$A$1295,0))))</f>
        <v/>
      </c>
    </row>
    <row r="27" customFormat="false" ht="15" hidden="false" customHeight="false" outlineLevel="0" collapsed="false">
      <c r="A27" s="19"/>
      <c r="B27" s="7" t="str">
        <f aca="false">IF(A27="","",TRIM(SUBSTITUTE(SUBSTITUTE(SUBSTITUTE(" "&amp;TRIM(SUBSTITUTE(SUBSTITUTE(SUBSTITUTE(SUBSTITUTE(SUBSTITUTE(SUBSTITUTE(SUBSTITUTE(SUBSTITUTE(SUBSTITUTE(SUBSTITUTE(SUBSTITUTE(SUBSTITUTE(SUBSTITUTE(SUBSTITUTE(SUBSTITUTE(UPPER(TRIM(A27)),"[MEMBER]",""),"{MEMBER}",""),"[MEMBER}",""),"MEMBER]",""),"(A)",""),"""",""),"“",""),"”",""),".",""),":",""),",",""),"–"," "),"-"," "),"/"," "),"&amp;"," AND "))&amp;" "," THE "," ")," TOTAL "," ")," OPERATIONS "," ")))</f>
        <v/>
      </c>
      <c r="C27" s="17" t="str">
        <f aca="false">IF(A27="","",IF(ISNUMBER(MATCH(B27,Excluded!$E$2:$E$19,0)),"Excluded (not a place)",IF(ISNUMBER(MATCH(B27,'Label Map'!$N$2:$N$2019,0)),"Auto-matched","UNMAPPED: add to Label Map")))</f>
        <v/>
      </c>
      <c r="D27" s="7" t="str">
        <f aca="false">IF(C27="Auto-matched",INDEX('Label Map'!$D$2:$D$2019,MATCH(B27,'Label Map'!$N$2:$N$2019,0)),"")</f>
        <v/>
      </c>
      <c r="E27" s="7" t="str">
        <f aca="false">IF(D27="","",IF(INDEX(Hierarchy!$B$2:$B$1295,MATCH(D27,Hierarchy!$A$2:$A$1295,0))="","",INDEX(Hierarchy!$B$2:$B$1295,MATCH(D27,Hierarchy!$A$2:$A$1295,0))))</f>
        <v/>
      </c>
      <c r="F27" s="7" t="str">
        <f aca="false">IF(D27="","",IF(INDEX(Hierarchy!$D$2:$D$1295,MATCH(D27,Hierarchy!$A$2:$A$1295,0))="","",INDEX(Hierarchy!$D$2:$D$1295,MATCH(D27,Hierarchy!$A$2:$A$1295,0))))</f>
        <v/>
      </c>
      <c r="G27" s="7" t="str">
        <f aca="false">IF(D27="","",IF(INDEX(Hierarchy!$E$2:$E$1295,MATCH(D27,Hierarchy!$A$2:$A$1295,0))="","",INDEX(Hierarchy!$E$2:$E$1295,MATCH(D27,Hierarchy!$A$2:$A$1295,0))))</f>
        <v/>
      </c>
      <c r="H27" s="7" t="str">
        <f aca="false">IF(D27="","",IF(INDEX(Hierarchy!$F$2:$F$1295,MATCH(D27,Hierarchy!$A$2:$A$1295,0))="","",INDEX(Hierarchy!$F$2:$F$1295,MATCH(D27,Hierarchy!$A$2:$A$1295,0))))</f>
        <v/>
      </c>
      <c r="I27" s="7" t="str">
        <f aca="false">IF(D27="","",IF(INDEX(Hierarchy!$H$2:$H$1295,MATCH(D27,Hierarchy!$A$2:$A$1295,0))="","",INDEX(Hierarchy!$H$2:$H$1295,MATCH(D27,Hierarchy!$A$2:$A$1295,0))))</f>
        <v/>
      </c>
    </row>
    <row r="28" customFormat="false" ht="15" hidden="false" customHeight="false" outlineLevel="0" collapsed="false">
      <c r="A28" s="19"/>
      <c r="B28" s="7" t="str">
        <f aca="false">IF(A28="","",TRIM(SUBSTITUTE(SUBSTITUTE(SUBSTITUTE(" "&amp;TRIM(SUBSTITUTE(SUBSTITUTE(SUBSTITUTE(SUBSTITUTE(SUBSTITUTE(SUBSTITUTE(SUBSTITUTE(SUBSTITUTE(SUBSTITUTE(SUBSTITUTE(SUBSTITUTE(SUBSTITUTE(SUBSTITUTE(SUBSTITUTE(SUBSTITUTE(UPPER(TRIM(A28)),"[MEMBER]",""),"{MEMBER}",""),"[MEMBER}",""),"MEMBER]",""),"(A)",""),"""",""),"“",""),"”",""),".",""),":",""),",",""),"–"," "),"-"," "),"/"," "),"&amp;"," AND "))&amp;" "," THE "," ")," TOTAL "," ")," OPERATIONS "," ")))</f>
        <v/>
      </c>
      <c r="C28" s="17" t="str">
        <f aca="false">IF(A28="","",IF(ISNUMBER(MATCH(B28,Excluded!$E$2:$E$19,0)),"Excluded (not a place)",IF(ISNUMBER(MATCH(B28,'Label Map'!$N$2:$N$2019,0)),"Auto-matched","UNMAPPED: add to Label Map")))</f>
        <v/>
      </c>
      <c r="D28" s="7" t="str">
        <f aca="false">IF(C28="Auto-matched",INDEX('Label Map'!$D$2:$D$2019,MATCH(B28,'Label Map'!$N$2:$N$2019,0)),"")</f>
        <v/>
      </c>
      <c r="E28" s="7" t="str">
        <f aca="false">IF(D28="","",IF(INDEX(Hierarchy!$B$2:$B$1295,MATCH(D28,Hierarchy!$A$2:$A$1295,0))="","",INDEX(Hierarchy!$B$2:$B$1295,MATCH(D28,Hierarchy!$A$2:$A$1295,0))))</f>
        <v/>
      </c>
      <c r="F28" s="7" t="str">
        <f aca="false">IF(D28="","",IF(INDEX(Hierarchy!$D$2:$D$1295,MATCH(D28,Hierarchy!$A$2:$A$1295,0))="","",INDEX(Hierarchy!$D$2:$D$1295,MATCH(D28,Hierarchy!$A$2:$A$1295,0))))</f>
        <v/>
      </c>
      <c r="G28" s="7" t="str">
        <f aca="false">IF(D28="","",IF(INDEX(Hierarchy!$E$2:$E$1295,MATCH(D28,Hierarchy!$A$2:$A$1295,0))="","",INDEX(Hierarchy!$E$2:$E$1295,MATCH(D28,Hierarchy!$A$2:$A$1295,0))))</f>
        <v/>
      </c>
      <c r="H28" s="7" t="str">
        <f aca="false">IF(D28="","",IF(INDEX(Hierarchy!$F$2:$F$1295,MATCH(D28,Hierarchy!$A$2:$A$1295,0))="","",INDEX(Hierarchy!$F$2:$F$1295,MATCH(D28,Hierarchy!$A$2:$A$1295,0))))</f>
        <v/>
      </c>
      <c r="I28" s="7" t="str">
        <f aca="false">IF(D28="","",IF(INDEX(Hierarchy!$H$2:$H$1295,MATCH(D28,Hierarchy!$A$2:$A$1295,0))="","",INDEX(Hierarchy!$H$2:$H$1295,MATCH(D28,Hierarchy!$A$2:$A$1295,0))))</f>
        <v/>
      </c>
    </row>
    <row r="29" customFormat="false" ht="15" hidden="false" customHeight="false" outlineLevel="0" collapsed="false">
      <c r="A29" s="19"/>
      <c r="B29" s="7" t="str">
        <f aca="false">IF(A29="","",TRIM(SUBSTITUTE(SUBSTITUTE(SUBSTITUTE(" "&amp;TRIM(SUBSTITUTE(SUBSTITUTE(SUBSTITUTE(SUBSTITUTE(SUBSTITUTE(SUBSTITUTE(SUBSTITUTE(SUBSTITUTE(SUBSTITUTE(SUBSTITUTE(SUBSTITUTE(SUBSTITUTE(SUBSTITUTE(SUBSTITUTE(SUBSTITUTE(UPPER(TRIM(A29)),"[MEMBER]",""),"{MEMBER}",""),"[MEMBER}",""),"MEMBER]",""),"(A)",""),"""",""),"“",""),"”",""),".",""),":",""),",",""),"–"," "),"-"," "),"/"," "),"&amp;"," AND "))&amp;" "," THE "," ")," TOTAL "," ")," OPERATIONS "," ")))</f>
        <v/>
      </c>
      <c r="C29" s="17" t="str">
        <f aca="false">IF(A29="","",IF(ISNUMBER(MATCH(B29,Excluded!$E$2:$E$19,0)),"Excluded (not a place)",IF(ISNUMBER(MATCH(B29,'Label Map'!$N$2:$N$2019,0)),"Auto-matched","UNMAPPED: add to Label Map")))</f>
        <v/>
      </c>
      <c r="D29" s="7" t="str">
        <f aca="false">IF(C29="Auto-matched",INDEX('Label Map'!$D$2:$D$2019,MATCH(B29,'Label Map'!$N$2:$N$2019,0)),"")</f>
        <v/>
      </c>
      <c r="E29" s="7" t="str">
        <f aca="false">IF(D29="","",IF(INDEX(Hierarchy!$B$2:$B$1295,MATCH(D29,Hierarchy!$A$2:$A$1295,0))="","",INDEX(Hierarchy!$B$2:$B$1295,MATCH(D29,Hierarchy!$A$2:$A$1295,0))))</f>
        <v/>
      </c>
      <c r="F29" s="7" t="str">
        <f aca="false">IF(D29="","",IF(INDEX(Hierarchy!$D$2:$D$1295,MATCH(D29,Hierarchy!$A$2:$A$1295,0))="","",INDEX(Hierarchy!$D$2:$D$1295,MATCH(D29,Hierarchy!$A$2:$A$1295,0))))</f>
        <v/>
      </c>
      <c r="G29" s="7" t="str">
        <f aca="false">IF(D29="","",IF(INDEX(Hierarchy!$E$2:$E$1295,MATCH(D29,Hierarchy!$A$2:$A$1295,0))="","",INDEX(Hierarchy!$E$2:$E$1295,MATCH(D29,Hierarchy!$A$2:$A$1295,0))))</f>
        <v/>
      </c>
      <c r="H29" s="7" t="str">
        <f aca="false">IF(D29="","",IF(INDEX(Hierarchy!$F$2:$F$1295,MATCH(D29,Hierarchy!$A$2:$A$1295,0))="","",INDEX(Hierarchy!$F$2:$F$1295,MATCH(D29,Hierarchy!$A$2:$A$1295,0))))</f>
        <v/>
      </c>
      <c r="I29" s="7" t="str">
        <f aca="false">IF(D29="","",IF(INDEX(Hierarchy!$H$2:$H$1295,MATCH(D29,Hierarchy!$A$2:$A$1295,0))="","",INDEX(Hierarchy!$H$2:$H$1295,MATCH(D29,Hierarchy!$A$2:$A$1295,0))))</f>
        <v/>
      </c>
    </row>
    <row r="30" customFormat="false" ht="15" hidden="false" customHeight="false" outlineLevel="0" collapsed="false">
      <c r="A30" s="19"/>
      <c r="B30" s="7" t="str">
        <f aca="false">IF(A30="","",TRIM(SUBSTITUTE(SUBSTITUTE(SUBSTITUTE(" "&amp;TRIM(SUBSTITUTE(SUBSTITUTE(SUBSTITUTE(SUBSTITUTE(SUBSTITUTE(SUBSTITUTE(SUBSTITUTE(SUBSTITUTE(SUBSTITUTE(SUBSTITUTE(SUBSTITUTE(SUBSTITUTE(SUBSTITUTE(SUBSTITUTE(SUBSTITUTE(UPPER(TRIM(A30)),"[MEMBER]",""),"{MEMBER}",""),"[MEMBER}",""),"MEMBER]",""),"(A)",""),"""",""),"“",""),"”",""),".",""),":",""),",",""),"–"," "),"-"," "),"/"," "),"&amp;"," AND "))&amp;" "," THE "," ")," TOTAL "," ")," OPERATIONS "," ")))</f>
        <v/>
      </c>
      <c r="C30" s="17" t="str">
        <f aca="false">IF(A30="","",IF(ISNUMBER(MATCH(B30,Excluded!$E$2:$E$19,0)),"Excluded (not a place)",IF(ISNUMBER(MATCH(B30,'Label Map'!$N$2:$N$2019,0)),"Auto-matched","UNMAPPED: add to Label Map")))</f>
        <v/>
      </c>
      <c r="D30" s="7" t="str">
        <f aca="false">IF(C30="Auto-matched",INDEX('Label Map'!$D$2:$D$2019,MATCH(B30,'Label Map'!$N$2:$N$2019,0)),"")</f>
        <v/>
      </c>
      <c r="E30" s="7" t="str">
        <f aca="false">IF(D30="","",IF(INDEX(Hierarchy!$B$2:$B$1295,MATCH(D30,Hierarchy!$A$2:$A$1295,0))="","",INDEX(Hierarchy!$B$2:$B$1295,MATCH(D30,Hierarchy!$A$2:$A$1295,0))))</f>
        <v/>
      </c>
      <c r="F30" s="7" t="str">
        <f aca="false">IF(D30="","",IF(INDEX(Hierarchy!$D$2:$D$1295,MATCH(D30,Hierarchy!$A$2:$A$1295,0))="","",INDEX(Hierarchy!$D$2:$D$1295,MATCH(D30,Hierarchy!$A$2:$A$1295,0))))</f>
        <v/>
      </c>
      <c r="G30" s="7" t="str">
        <f aca="false">IF(D30="","",IF(INDEX(Hierarchy!$E$2:$E$1295,MATCH(D30,Hierarchy!$A$2:$A$1295,0))="","",INDEX(Hierarchy!$E$2:$E$1295,MATCH(D30,Hierarchy!$A$2:$A$1295,0))))</f>
        <v/>
      </c>
      <c r="H30" s="7" t="str">
        <f aca="false">IF(D30="","",IF(INDEX(Hierarchy!$F$2:$F$1295,MATCH(D30,Hierarchy!$A$2:$A$1295,0))="","",INDEX(Hierarchy!$F$2:$F$1295,MATCH(D30,Hierarchy!$A$2:$A$1295,0))))</f>
        <v/>
      </c>
      <c r="I30" s="7" t="str">
        <f aca="false">IF(D30="","",IF(INDEX(Hierarchy!$H$2:$H$1295,MATCH(D30,Hierarchy!$A$2:$A$1295,0))="","",INDEX(Hierarchy!$H$2:$H$1295,MATCH(D30,Hierarchy!$A$2:$A$1295,0))))</f>
        <v/>
      </c>
    </row>
    <row r="31" customFormat="false" ht="15" hidden="false" customHeight="false" outlineLevel="0" collapsed="false">
      <c r="A31" s="19"/>
      <c r="B31" s="7" t="str">
        <f aca="false">IF(A31="","",TRIM(SUBSTITUTE(SUBSTITUTE(SUBSTITUTE(" "&amp;TRIM(SUBSTITUTE(SUBSTITUTE(SUBSTITUTE(SUBSTITUTE(SUBSTITUTE(SUBSTITUTE(SUBSTITUTE(SUBSTITUTE(SUBSTITUTE(SUBSTITUTE(SUBSTITUTE(SUBSTITUTE(SUBSTITUTE(SUBSTITUTE(SUBSTITUTE(UPPER(TRIM(A31)),"[MEMBER]",""),"{MEMBER}",""),"[MEMBER}",""),"MEMBER]",""),"(A)",""),"""",""),"“",""),"”",""),".",""),":",""),",",""),"–"," "),"-"," "),"/"," "),"&amp;"," AND "))&amp;" "," THE "," ")," TOTAL "," ")," OPERATIONS "," ")))</f>
        <v/>
      </c>
      <c r="C31" s="17" t="str">
        <f aca="false">IF(A31="","",IF(ISNUMBER(MATCH(B31,Excluded!$E$2:$E$19,0)),"Excluded (not a place)",IF(ISNUMBER(MATCH(B31,'Label Map'!$N$2:$N$2019,0)),"Auto-matched","UNMAPPED: add to Label Map")))</f>
        <v/>
      </c>
      <c r="D31" s="7" t="str">
        <f aca="false">IF(C31="Auto-matched",INDEX('Label Map'!$D$2:$D$2019,MATCH(B31,'Label Map'!$N$2:$N$2019,0)),"")</f>
        <v/>
      </c>
      <c r="E31" s="7" t="str">
        <f aca="false">IF(D31="","",IF(INDEX(Hierarchy!$B$2:$B$1295,MATCH(D31,Hierarchy!$A$2:$A$1295,0))="","",INDEX(Hierarchy!$B$2:$B$1295,MATCH(D31,Hierarchy!$A$2:$A$1295,0))))</f>
        <v/>
      </c>
      <c r="F31" s="7" t="str">
        <f aca="false">IF(D31="","",IF(INDEX(Hierarchy!$D$2:$D$1295,MATCH(D31,Hierarchy!$A$2:$A$1295,0))="","",INDEX(Hierarchy!$D$2:$D$1295,MATCH(D31,Hierarchy!$A$2:$A$1295,0))))</f>
        <v/>
      </c>
      <c r="G31" s="7" t="str">
        <f aca="false">IF(D31="","",IF(INDEX(Hierarchy!$E$2:$E$1295,MATCH(D31,Hierarchy!$A$2:$A$1295,0))="","",INDEX(Hierarchy!$E$2:$E$1295,MATCH(D31,Hierarchy!$A$2:$A$1295,0))))</f>
        <v/>
      </c>
      <c r="H31" s="7" t="str">
        <f aca="false">IF(D31="","",IF(INDEX(Hierarchy!$F$2:$F$1295,MATCH(D31,Hierarchy!$A$2:$A$1295,0))="","",INDEX(Hierarchy!$F$2:$F$1295,MATCH(D31,Hierarchy!$A$2:$A$1295,0))))</f>
        <v/>
      </c>
      <c r="I31" s="7" t="str">
        <f aca="false">IF(D31="","",IF(INDEX(Hierarchy!$H$2:$H$1295,MATCH(D31,Hierarchy!$A$2:$A$1295,0))="","",INDEX(Hierarchy!$H$2:$H$1295,MATCH(D31,Hierarchy!$A$2:$A$1295,0))))</f>
        <v/>
      </c>
    </row>
    <row r="32" customFormat="false" ht="15" hidden="false" customHeight="false" outlineLevel="0" collapsed="false">
      <c r="A32" s="19"/>
      <c r="B32" s="7" t="str">
        <f aca="false">IF(A32="","",TRIM(SUBSTITUTE(SUBSTITUTE(SUBSTITUTE(" "&amp;TRIM(SUBSTITUTE(SUBSTITUTE(SUBSTITUTE(SUBSTITUTE(SUBSTITUTE(SUBSTITUTE(SUBSTITUTE(SUBSTITUTE(SUBSTITUTE(SUBSTITUTE(SUBSTITUTE(SUBSTITUTE(SUBSTITUTE(SUBSTITUTE(SUBSTITUTE(UPPER(TRIM(A32)),"[MEMBER]",""),"{MEMBER}",""),"[MEMBER}",""),"MEMBER]",""),"(A)",""),"""",""),"“",""),"”",""),".",""),":",""),",",""),"–"," "),"-"," "),"/"," "),"&amp;"," AND "))&amp;" "," THE "," ")," TOTAL "," ")," OPERATIONS "," ")))</f>
        <v/>
      </c>
      <c r="C32" s="17" t="str">
        <f aca="false">IF(A32="","",IF(ISNUMBER(MATCH(B32,Excluded!$E$2:$E$19,0)),"Excluded (not a place)",IF(ISNUMBER(MATCH(B32,'Label Map'!$N$2:$N$2019,0)),"Auto-matched","UNMAPPED: add to Label Map")))</f>
        <v/>
      </c>
      <c r="D32" s="7" t="str">
        <f aca="false">IF(C32="Auto-matched",INDEX('Label Map'!$D$2:$D$2019,MATCH(B32,'Label Map'!$N$2:$N$2019,0)),"")</f>
        <v/>
      </c>
      <c r="E32" s="7" t="str">
        <f aca="false">IF(D32="","",IF(INDEX(Hierarchy!$B$2:$B$1295,MATCH(D32,Hierarchy!$A$2:$A$1295,0))="","",INDEX(Hierarchy!$B$2:$B$1295,MATCH(D32,Hierarchy!$A$2:$A$1295,0))))</f>
        <v/>
      </c>
      <c r="F32" s="7" t="str">
        <f aca="false">IF(D32="","",IF(INDEX(Hierarchy!$D$2:$D$1295,MATCH(D32,Hierarchy!$A$2:$A$1295,0))="","",INDEX(Hierarchy!$D$2:$D$1295,MATCH(D32,Hierarchy!$A$2:$A$1295,0))))</f>
        <v/>
      </c>
      <c r="G32" s="7" t="str">
        <f aca="false">IF(D32="","",IF(INDEX(Hierarchy!$E$2:$E$1295,MATCH(D32,Hierarchy!$A$2:$A$1295,0))="","",INDEX(Hierarchy!$E$2:$E$1295,MATCH(D32,Hierarchy!$A$2:$A$1295,0))))</f>
        <v/>
      </c>
      <c r="H32" s="7" t="str">
        <f aca="false">IF(D32="","",IF(INDEX(Hierarchy!$F$2:$F$1295,MATCH(D32,Hierarchy!$A$2:$A$1295,0))="","",INDEX(Hierarchy!$F$2:$F$1295,MATCH(D32,Hierarchy!$A$2:$A$1295,0))))</f>
        <v/>
      </c>
      <c r="I32" s="7" t="str">
        <f aca="false">IF(D32="","",IF(INDEX(Hierarchy!$H$2:$H$1295,MATCH(D32,Hierarchy!$A$2:$A$1295,0))="","",INDEX(Hierarchy!$H$2:$H$1295,MATCH(D32,Hierarchy!$A$2:$A$1295,0))))</f>
        <v/>
      </c>
    </row>
    <row r="33" customFormat="false" ht="15" hidden="false" customHeight="false" outlineLevel="0" collapsed="false">
      <c r="A33" s="19"/>
      <c r="B33" s="7" t="str">
        <f aca="false">IF(A33="","",TRIM(SUBSTITUTE(SUBSTITUTE(SUBSTITUTE(" "&amp;TRIM(SUBSTITUTE(SUBSTITUTE(SUBSTITUTE(SUBSTITUTE(SUBSTITUTE(SUBSTITUTE(SUBSTITUTE(SUBSTITUTE(SUBSTITUTE(SUBSTITUTE(SUBSTITUTE(SUBSTITUTE(SUBSTITUTE(SUBSTITUTE(SUBSTITUTE(UPPER(TRIM(A33)),"[MEMBER]",""),"{MEMBER}",""),"[MEMBER}",""),"MEMBER]",""),"(A)",""),"""",""),"“",""),"”",""),".",""),":",""),",",""),"–"," "),"-"," "),"/"," "),"&amp;"," AND "))&amp;" "," THE "," ")," TOTAL "," ")," OPERATIONS "," ")))</f>
        <v/>
      </c>
      <c r="C33" s="17" t="str">
        <f aca="false">IF(A33="","",IF(ISNUMBER(MATCH(B33,Excluded!$E$2:$E$19,0)),"Excluded (not a place)",IF(ISNUMBER(MATCH(B33,'Label Map'!$N$2:$N$2019,0)),"Auto-matched","UNMAPPED: add to Label Map")))</f>
        <v/>
      </c>
      <c r="D33" s="7" t="str">
        <f aca="false">IF(C33="Auto-matched",INDEX('Label Map'!$D$2:$D$2019,MATCH(B33,'Label Map'!$N$2:$N$2019,0)),"")</f>
        <v/>
      </c>
      <c r="E33" s="7" t="str">
        <f aca="false">IF(D33="","",IF(INDEX(Hierarchy!$B$2:$B$1295,MATCH(D33,Hierarchy!$A$2:$A$1295,0))="","",INDEX(Hierarchy!$B$2:$B$1295,MATCH(D33,Hierarchy!$A$2:$A$1295,0))))</f>
        <v/>
      </c>
      <c r="F33" s="7" t="str">
        <f aca="false">IF(D33="","",IF(INDEX(Hierarchy!$D$2:$D$1295,MATCH(D33,Hierarchy!$A$2:$A$1295,0))="","",INDEX(Hierarchy!$D$2:$D$1295,MATCH(D33,Hierarchy!$A$2:$A$1295,0))))</f>
        <v/>
      </c>
      <c r="G33" s="7" t="str">
        <f aca="false">IF(D33="","",IF(INDEX(Hierarchy!$E$2:$E$1295,MATCH(D33,Hierarchy!$A$2:$A$1295,0))="","",INDEX(Hierarchy!$E$2:$E$1295,MATCH(D33,Hierarchy!$A$2:$A$1295,0))))</f>
        <v/>
      </c>
      <c r="H33" s="7" t="str">
        <f aca="false">IF(D33="","",IF(INDEX(Hierarchy!$F$2:$F$1295,MATCH(D33,Hierarchy!$A$2:$A$1295,0))="","",INDEX(Hierarchy!$F$2:$F$1295,MATCH(D33,Hierarchy!$A$2:$A$1295,0))))</f>
        <v/>
      </c>
      <c r="I33" s="7" t="str">
        <f aca="false">IF(D33="","",IF(INDEX(Hierarchy!$H$2:$H$1295,MATCH(D33,Hierarchy!$A$2:$A$1295,0))="","",INDEX(Hierarchy!$H$2:$H$1295,MATCH(D33,Hierarchy!$A$2:$A$1295,0))))</f>
        <v/>
      </c>
    </row>
    <row r="34" customFormat="false" ht="15" hidden="false" customHeight="false" outlineLevel="0" collapsed="false">
      <c r="A34" s="19"/>
      <c r="B34" s="7" t="str">
        <f aca="false">IF(A34="","",TRIM(SUBSTITUTE(SUBSTITUTE(SUBSTITUTE(" "&amp;TRIM(SUBSTITUTE(SUBSTITUTE(SUBSTITUTE(SUBSTITUTE(SUBSTITUTE(SUBSTITUTE(SUBSTITUTE(SUBSTITUTE(SUBSTITUTE(SUBSTITUTE(SUBSTITUTE(SUBSTITUTE(SUBSTITUTE(SUBSTITUTE(SUBSTITUTE(UPPER(TRIM(A34)),"[MEMBER]",""),"{MEMBER}",""),"[MEMBER}",""),"MEMBER]",""),"(A)",""),"""",""),"“",""),"”",""),".",""),":",""),",",""),"–"," "),"-"," "),"/"," "),"&amp;"," AND "))&amp;" "," THE "," ")," TOTAL "," ")," OPERATIONS "," ")))</f>
        <v/>
      </c>
      <c r="C34" s="17" t="str">
        <f aca="false">IF(A34="","",IF(ISNUMBER(MATCH(B34,Excluded!$E$2:$E$19,0)),"Excluded (not a place)",IF(ISNUMBER(MATCH(B34,'Label Map'!$N$2:$N$2019,0)),"Auto-matched","UNMAPPED: add to Label Map")))</f>
        <v/>
      </c>
      <c r="D34" s="7" t="str">
        <f aca="false">IF(C34="Auto-matched",INDEX('Label Map'!$D$2:$D$2019,MATCH(B34,'Label Map'!$N$2:$N$2019,0)),"")</f>
        <v/>
      </c>
      <c r="E34" s="7" t="str">
        <f aca="false">IF(D34="","",IF(INDEX(Hierarchy!$B$2:$B$1295,MATCH(D34,Hierarchy!$A$2:$A$1295,0))="","",INDEX(Hierarchy!$B$2:$B$1295,MATCH(D34,Hierarchy!$A$2:$A$1295,0))))</f>
        <v/>
      </c>
      <c r="F34" s="7" t="str">
        <f aca="false">IF(D34="","",IF(INDEX(Hierarchy!$D$2:$D$1295,MATCH(D34,Hierarchy!$A$2:$A$1295,0))="","",INDEX(Hierarchy!$D$2:$D$1295,MATCH(D34,Hierarchy!$A$2:$A$1295,0))))</f>
        <v/>
      </c>
      <c r="G34" s="7" t="str">
        <f aca="false">IF(D34="","",IF(INDEX(Hierarchy!$E$2:$E$1295,MATCH(D34,Hierarchy!$A$2:$A$1295,0))="","",INDEX(Hierarchy!$E$2:$E$1295,MATCH(D34,Hierarchy!$A$2:$A$1295,0))))</f>
        <v/>
      </c>
      <c r="H34" s="7" t="str">
        <f aca="false">IF(D34="","",IF(INDEX(Hierarchy!$F$2:$F$1295,MATCH(D34,Hierarchy!$A$2:$A$1295,0))="","",INDEX(Hierarchy!$F$2:$F$1295,MATCH(D34,Hierarchy!$A$2:$A$1295,0))))</f>
        <v/>
      </c>
      <c r="I34" s="7" t="str">
        <f aca="false">IF(D34="","",IF(INDEX(Hierarchy!$H$2:$H$1295,MATCH(D34,Hierarchy!$A$2:$A$1295,0))="","",INDEX(Hierarchy!$H$2:$H$1295,MATCH(D34,Hierarchy!$A$2:$A$1295,0))))</f>
        <v/>
      </c>
    </row>
    <row r="35" customFormat="false" ht="15" hidden="false" customHeight="false" outlineLevel="0" collapsed="false">
      <c r="A35" s="19"/>
      <c r="B35" s="7" t="str">
        <f aca="false">IF(A35="","",TRIM(SUBSTITUTE(SUBSTITUTE(SUBSTITUTE(" "&amp;TRIM(SUBSTITUTE(SUBSTITUTE(SUBSTITUTE(SUBSTITUTE(SUBSTITUTE(SUBSTITUTE(SUBSTITUTE(SUBSTITUTE(SUBSTITUTE(SUBSTITUTE(SUBSTITUTE(SUBSTITUTE(SUBSTITUTE(SUBSTITUTE(SUBSTITUTE(UPPER(TRIM(A35)),"[MEMBER]",""),"{MEMBER}",""),"[MEMBER}",""),"MEMBER]",""),"(A)",""),"""",""),"“",""),"”",""),".",""),":",""),",",""),"–"," "),"-"," "),"/"," "),"&amp;"," AND "))&amp;" "," THE "," ")," TOTAL "," ")," OPERATIONS "," ")))</f>
        <v/>
      </c>
      <c r="C35" s="17" t="str">
        <f aca="false">IF(A35="","",IF(ISNUMBER(MATCH(B35,Excluded!$E$2:$E$19,0)),"Excluded (not a place)",IF(ISNUMBER(MATCH(B35,'Label Map'!$N$2:$N$2019,0)),"Auto-matched","UNMAPPED: add to Label Map")))</f>
        <v/>
      </c>
      <c r="D35" s="7" t="str">
        <f aca="false">IF(C35="Auto-matched",INDEX('Label Map'!$D$2:$D$2019,MATCH(B35,'Label Map'!$N$2:$N$2019,0)),"")</f>
        <v/>
      </c>
      <c r="E35" s="7" t="str">
        <f aca="false">IF(D35="","",IF(INDEX(Hierarchy!$B$2:$B$1295,MATCH(D35,Hierarchy!$A$2:$A$1295,0))="","",INDEX(Hierarchy!$B$2:$B$1295,MATCH(D35,Hierarchy!$A$2:$A$1295,0))))</f>
        <v/>
      </c>
      <c r="F35" s="7" t="str">
        <f aca="false">IF(D35="","",IF(INDEX(Hierarchy!$D$2:$D$1295,MATCH(D35,Hierarchy!$A$2:$A$1295,0))="","",INDEX(Hierarchy!$D$2:$D$1295,MATCH(D35,Hierarchy!$A$2:$A$1295,0))))</f>
        <v/>
      </c>
      <c r="G35" s="7" t="str">
        <f aca="false">IF(D35="","",IF(INDEX(Hierarchy!$E$2:$E$1295,MATCH(D35,Hierarchy!$A$2:$A$1295,0))="","",INDEX(Hierarchy!$E$2:$E$1295,MATCH(D35,Hierarchy!$A$2:$A$1295,0))))</f>
        <v/>
      </c>
      <c r="H35" s="7" t="str">
        <f aca="false">IF(D35="","",IF(INDEX(Hierarchy!$F$2:$F$1295,MATCH(D35,Hierarchy!$A$2:$A$1295,0))="","",INDEX(Hierarchy!$F$2:$F$1295,MATCH(D35,Hierarchy!$A$2:$A$1295,0))))</f>
        <v/>
      </c>
      <c r="I35" s="7" t="str">
        <f aca="false">IF(D35="","",IF(INDEX(Hierarchy!$H$2:$H$1295,MATCH(D35,Hierarchy!$A$2:$A$1295,0))="","",INDEX(Hierarchy!$H$2:$H$1295,MATCH(D35,Hierarchy!$A$2:$A$1295,0))))</f>
        <v/>
      </c>
    </row>
    <row r="36" customFormat="false" ht="15" hidden="false" customHeight="false" outlineLevel="0" collapsed="false">
      <c r="A36" s="19"/>
      <c r="B36" s="7" t="str">
        <f aca="false">IF(A36="","",TRIM(SUBSTITUTE(SUBSTITUTE(SUBSTITUTE(" "&amp;TRIM(SUBSTITUTE(SUBSTITUTE(SUBSTITUTE(SUBSTITUTE(SUBSTITUTE(SUBSTITUTE(SUBSTITUTE(SUBSTITUTE(SUBSTITUTE(SUBSTITUTE(SUBSTITUTE(SUBSTITUTE(SUBSTITUTE(SUBSTITUTE(SUBSTITUTE(UPPER(TRIM(A36)),"[MEMBER]",""),"{MEMBER}",""),"[MEMBER}",""),"MEMBER]",""),"(A)",""),"""",""),"“",""),"”",""),".",""),":",""),",",""),"–"," "),"-"," "),"/"," "),"&amp;"," AND "))&amp;" "," THE "," ")," TOTAL "," ")," OPERATIONS "," ")))</f>
        <v/>
      </c>
      <c r="C36" s="17" t="str">
        <f aca="false">IF(A36="","",IF(ISNUMBER(MATCH(B36,Excluded!$E$2:$E$19,0)),"Excluded (not a place)",IF(ISNUMBER(MATCH(B36,'Label Map'!$N$2:$N$2019,0)),"Auto-matched","UNMAPPED: add to Label Map")))</f>
        <v/>
      </c>
      <c r="D36" s="7" t="str">
        <f aca="false">IF(C36="Auto-matched",INDEX('Label Map'!$D$2:$D$2019,MATCH(B36,'Label Map'!$N$2:$N$2019,0)),"")</f>
        <v/>
      </c>
      <c r="E36" s="7" t="str">
        <f aca="false">IF(D36="","",IF(INDEX(Hierarchy!$B$2:$B$1295,MATCH(D36,Hierarchy!$A$2:$A$1295,0))="","",INDEX(Hierarchy!$B$2:$B$1295,MATCH(D36,Hierarchy!$A$2:$A$1295,0))))</f>
        <v/>
      </c>
      <c r="F36" s="7" t="str">
        <f aca="false">IF(D36="","",IF(INDEX(Hierarchy!$D$2:$D$1295,MATCH(D36,Hierarchy!$A$2:$A$1295,0))="","",INDEX(Hierarchy!$D$2:$D$1295,MATCH(D36,Hierarchy!$A$2:$A$1295,0))))</f>
        <v/>
      </c>
      <c r="G36" s="7" t="str">
        <f aca="false">IF(D36="","",IF(INDEX(Hierarchy!$E$2:$E$1295,MATCH(D36,Hierarchy!$A$2:$A$1295,0))="","",INDEX(Hierarchy!$E$2:$E$1295,MATCH(D36,Hierarchy!$A$2:$A$1295,0))))</f>
        <v/>
      </c>
      <c r="H36" s="7" t="str">
        <f aca="false">IF(D36="","",IF(INDEX(Hierarchy!$F$2:$F$1295,MATCH(D36,Hierarchy!$A$2:$A$1295,0))="","",INDEX(Hierarchy!$F$2:$F$1295,MATCH(D36,Hierarchy!$A$2:$A$1295,0))))</f>
        <v/>
      </c>
      <c r="I36" s="7" t="str">
        <f aca="false">IF(D36="","",IF(INDEX(Hierarchy!$H$2:$H$1295,MATCH(D36,Hierarchy!$A$2:$A$1295,0))="","",INDEX(Hierarchy!$H$2:$H$1295,MATCH(D36,Hierarchy!$A$2:$A$1295,0))))</f>
        <v/>
      </c>
    </row>
    <row r="37" customFormat="false" ht="15" hidden="false" customHeight="false" outlineLevel="0" collapsed="false">
      <c r="A37" s="19"/>
      <c r="B37" s="7" t="str">
        <f aca="false">IF(A37="","",TRIM(SUBSTITUTE(SUBSTITUTE(SUBSTITUTE(" "&amp;TRIM(SUBSTITUTE(SUBSTITUTE(SUBSTITUTE(SUBSTITUTE(SUBSTITUTE(SUBSTITUTE(SUBSTITUTE(SUBSTITUTE(SUBSTITUTE(SUBSTITUTE(SUBSTITUTE(SUBSTITUTE(SUBSTITUTE(SUBSTITUTE(SUBSTITUTE(UPPER(TRIM(A37)),"[MEMBER]",""),"{MEMBER}",""),"[MEMBER}",""),"MEMBER]",""),"(A)",""),"""",""),"“",""),"”",""),".",""),":",""),",",""),"–"," "),"-"," "),"/"," "),"&amp;"," AND "))&amp;" "," THE "," ")," TOTAL "," ")," OPERATIONS "," ")))</f>
        <v/>
      </c>
      <c r="C37" s="17" t="str">
        <f aca="false">IF(A37="","",IF(ISNUMBER(MATCH(B37,Excluded!$E$2:$E$19,0)),"Excluded (not a place)",IF(ISNUMBER(MATCH(B37,'Label Map'!$N$2:$N$2019,0)),"Auto-matched","UNMAPPED: add to Label Map")))</f>
        <v/>
      </c>
      <c r="D37" s="7" t="str">
        <f aca="false">IF(C37="Auto-matched",INDEX('Label Map'!$D$2:$D$2019,MATCH(B37,'Label Map'!$N$2:$N$2019,0)),"")</f>
        <v/>
      </c>
      <c r="E37" s="7" t="str">
        <f aca="false">IF(D37="","",IF(INDEX(Hierarchy!$B$2:$B$1295,MATCH(D37,Hierarchy!$A$2:$A$1295,0))="","",INDEX(Hierarchy!$B$2:$B$1295,MATCH(D37,Hierarchy!$A$2:$A$1295,0))))</f>
        <v/>
      </c>
      <c r="F37" s="7" t="str">
        <f aca="false">IF(D37="","",IF(INDEX(Hierarchy!$D$2:$D$1295,MATCH(D37,Hierarchy!$A$2:$A$1295,0))="","",INDEX(Hierarchy!$D$2:$D$1295,MATCH(D37,Hierarchy!$A$2:$A$1295,0))))</f>
        <v/>
      </c>
      <c r="G37" s="7" t="str">
        <f aca="false">IF(D37="","",IF(INDEX(Hierarchy!$E$2:$E$1295,MATCH(D37,Hierarchy!$A$2:$A$1295,0))="","",INDEX(Hierarchy!$E$2:$E$1295,MATCH(D37,Hierarchy!$A$2:$A$1295,0))))</f>
        <v/>
      </c>
      <c r="H37" s="7" t="str">
        <f aca="false">IF(D37="","",IF(INDEX(Hierarchy!$F$2:$F$1295,MATCH(D37,Hierarchy!$A$2:$A$1295,0))="","",INDEX(Hierarchy!$F$2:$F$1295,MATCH(D37,Hierarchy!$A$2:$A$1295,0))))</f>
        <v/>
      </c>
      <c r="I37" s="7" t="str">
        <f aca="false">IF(D37="","",IF(INDEX(Hierarchy!$H$2:$H$1295,MATCH(D37,Hierarchy!$A$2:$A$1295,0))="","",INDEX(Hierarchy!$H$2:$H$1295,MATCH(D37,Hierarchy!$A$2:$A$1295,0))))</f>
        <v/>
      </c>
    </row>
    <row r="38" customFormat="false" ht="15" hidden="false" customHeight="false" outlineLevel="0" collapsed="false">
      <c r="A38" s="19"/>
      <c r="B38" s="7" t="str">
        <f aca="false">IF(A38="","",TRIM(SUBSTITUTE(SUBSTITUTE(SUBSTITUTE(" "&amp;TRIM(SUBSTITUTE(SUBSTITUTE(SUBSTITUTE(SUBSTITUTE(SUBSTITUTE(SUBSTITUTE(SUBSTITUTE(SUBSTITUTE(SUBSTITUTE(SUBSTITUTE(SUBSTITUTE(SUBSTITUTE(SUBSTITUTE(SUBSTITUTE(SUBSTITUTE(UPPER(TRIM(A38)),"[MEMBER]",""),"{MEMBER}",""),"[MEMBER}",""),"MEMBER]",""),"(A)",""),"""",""),"“",""),"”",""),".",""),":",""),",",""),"–"," "),"-"," "),"/"," "),"&amp;"," AND "))&amp;" "," THE "," ")," TOTAL "," ")," OPERATIONS "," ")))</f>
        <v/>
      </c>
      <c r="C38" s="17" t="str">
        <f aca="false">IF(A38="","",IF(ISNUMBER(MATCH(B38,Excluded!$E$2:$E$19,0)),"Excluded (not a place)",IF(ISNUMBER(MATCH(B38,'Label Map'!$N$2:$N$2019,0)),"Auto-matched","UNMAPPED: add to Label Map")))</f>
        <v/>
      </c>
      <c r="D38" s="7" t="str">
        <f aca="false">IF(C38="Auto-matched",INDEX('Label Map'!$D$2:$D$2019,MATCH(B38,'Label Map'!$N$2:$N$2019,0)),"")</f>
        <v/>
      </c>
      <c r="E38" s="7" t="str">
        <f aca="false">IF(D38="","",IF(INDEX(Hierarchy!$B$2:$B$1295,MATCH(D38,Hierarchy!$A$2:$A$1295,0))="","",INDEX(Hierarchy!$B$2:$B$1295,MATCH(D38,Hierarchy!$A$2:$A$1295,0))))</f>
        <v/>
      </c>
      <c r="F38" s="7" t="str">
        <f aca="false">IF(D38="","",IF(INDEX(Hierarchy!$D$2:$D$1295,MATCH(D38,Hierarchy!$A$2:$A$1295,0))="","",INDEX(Hierarchy!$D$2:$D$1295,MATCH(D38,Hierarchy!$A$2:$A$1295,0))))</f>
        <v/>
      </c>
      <c r="G38" s="7" t="str">
        <f aca="false">IF(D38="","",IF(INDEX(Hierarchy!$E$2:$E$1295,MATCH(D38,Hierarchy!$A$2:$A$1295,0))="","",INDEX(Hierarchy!$E$2:$E$1295,MATCH(D38,Hierarchy!$A$2:$A$1295,0))))</f>
        <v/>
      </c>
      <c r="H38" s="7" t="str">
        <f aca="false">IF(D38="","",IF(INDEX(Hierarchy!$F$2:$F$1295,MATCH(D38,Hierarchy!$A$2:$A$1295,0))="","",INDEX(Hierarchy!$F$2:$F$1295,MATCH(D38,Hierarchy!$A$2:$A$1295,0))))</f>
        <v/>
      </c>
      <c r="I38" s="7" t="str">
        <f aca="false">IF(D38="","",IF(INDEX(Hierarchy!$H$2:$H$1295,MATCH(D38,Hierarchy!$A$2:$A$1295,0))="","",INDEX(Hierarchy!$H$2:$H$1295,MATCH(D38,Hierarchy!$A$2:$A$1295,0))))</f>
        <v/>
      </c>
    </row>
    <row r="39" customFormat="false" ht="15" hidden="false" customHeight="false" outlineLevel="0" collapsed="false">
      <c r="A39" s="19"/>
      <c r="B39" s="7" t="str">
        <f aca="false">IF(A39="","",TRIM(SUBSTITUTE(SUBSTITUTE(SUBSTITUTE(" "&amp;TRIM(SUBSTITUTE(SUBSTITUTE(SUBSTITUTE(SUBSTITUTE(SUBSTITUTE(SUBSTITUTE(SUBSTITUTE(SUBSTITUTE(SUBSTITUTE(SUBSTITUTE(SUBSTITUTE(SUBSTITUTE(SUBSTITUTE(SUBSTITUTE(SUBSTITUTE(UPPER(TRIM(A39)),"[MEMBER]",""),"{MEMBER}",""),"[MEMBER}",""),"MEMBER]",""),"(A)",""),"""",""),"“",""),"”",""),".",""),":",""),",",""),"–"," "),"-"," "),"/"," "),"&amp;"," AND "))&amp;" "," THE "," ")," TOTAL "," ")," OPERATIONS "," ")))</f>
        <v/>
      </c>
      <c r="C39" s="17" t="str">
        <f aca="false">IF(A39="","",IF(ISNUMBER(MATCH(B39,Excluded!$E$2:$E$19,0)),"Excluded (not a place)",IF(ISNUMBER(MATCH(B39,'Label Map'!$N$2:$N$2019,0)),"Auto-matched","UNMAPPED: add to Label Map")))</f>
        <v/>
      </c>
      <c r="D39" s="7" t="str">
        <f aca="false">IF(C39="Auto-matched",INDEX('Label Map'!$D$2:$D$2019,MATCH(B39,'Label Map'!$N$2:$N$2019,0)),"")</f>
        <v/>
      </c>
      <c r="E39" s="7" t="str">
        <f aca="false">IF(D39="","",IF(INDEX(Hierarchy!$B$2:$B$1295,MATCH(D39,Hierarchy!$A$2:$A$1295,0))="","",INDEX(Hierarchy!$B$2:$B$1295,MATCH(D39,Hierarchy!$A$2:$A$1295,0))))</f>
        <v/>
      </c>
      <c r="F39" s="7" t="str">
        <f aca="false">IF(D39="","",IF(INDEX(Hierarchy!$D$2:$D$1295,MATCH(D39,Hierarchy!$A$2:$A$1295,0))="","",INDEX(Hierarchy!$D$2:$D$1295,MATCH(D39,Hierarchy!$A$2:$A$1295,0))))</f>
        <v/>
      </c>
      <c r="G39" s="7" t="str">
        <f aca="false">IF(D39="","",IF(INDEX(Hierarchy!$E$2:$E$1295,MATCH(D39,Hierarchy!$A$2:$A$1295,0))="","",INDEX(Hierarchy!$E$2:$E$1295,MATCH(D39,Hierarchy!$A$2:$A$1295,0))))</f>
        <v/>
      </c>
      <c r="H39" s="7" t="str">
        <f aca="false">IF(D39="","",IF(INDEX(Hierarchy!$F$2:$F$1295,MATCH(D39,Hierarchy!$A$2:$A$1295,0))="","",INDEX(Hierarchy!$F$2:$F$1295,MATCH(D39,Hierarchy!$A$2:$A$1295,0))))</f>
        <v/>
      </c>
      <c r="I39" s="7" t="str">
        <f aca="false">IF(D39="","",IF(INDEX(Hierarchy!$H$2:$H$1295,MATCH(D39,Hierarchy!$A$2:$A$1295,0))="","",INDEX(Hierarchy!$H$2:$H$1295,MATCH(D39,Hierarchy!$A$2:$A$1295,0))))</f>
        <v/>
      </c>
    </row>
    <row r="40" customFormat="false" ht="15" hidden="false" customHeight="false" outlineLevel="0" collapsed="false">
      <c r="A40" s="19"/>
      <c r="B40" s="7" t="str">
        <f aca="false">IF(A40="","",TRIM(SUBSTITUTE(SUBSTITUTE(SUBSTITUTE(" "&amp;TRIM(SUBSTITUTE(SUBSTITUTE(SUBSTITUTE(SUBSTITUTE(SUBSTITUTE(SUBSTITUTE(SUBSTITUTE(SUBSTITUTE(SUBSTITUTE(SUBSTITUTE(SUBSTITUTE(SUBSTITUTE(SUBSTITUTE(SUBSTITUTE(SUBSTITUTE(UPPER(TRIM(A40)),"[MEMBER]",""),"{MEMBER}",""),"[MEMBER}",""),"MEMBER]",""),"(A)",""),"""",""),"“",""),"”",""),".",""),":",""),",",""),"–"," "),"-"," "),"/"," "),"&amp;"," AND "))&amp;" "," THE "," ")," TOTAL "," ")," OPERATIONS "," ")))</f>
        <v/>
      </c>
      <c r="C40" s="17" t="str">
        <f aca="false">IF(A40="","",IF(ISNUMBER(MATCH(B40,Excluded!$E$2:$E$19,0)),"Excluded (not a place)",IF(ISNUMBER(MATCH(B40,'Label Map'!$N$2:$N$2019,0)),"Auto-matched","UNMAPPED: add to Label Map")))</f>
        <v/>
      </c>
      <c r="D40" s="7" t="str">
        <f aca="false">IF(C40="Auto-matched",INDEX('Label Map'!$D$2:$D$2019,MATCH(B40,'Label Map'!$N$2:$N$2019,0)),"")</f>
        <v/>
      </c>
      <c r="E40" s="7" t="str">
        <f aca="false">IF(D40="","",IF(INDEX(Hierarchy!$B$2:$B$1295,MATCH(D40,Hierarchy!$A$2:$A$1295,0))="","",INDEX(Hierarchy!$B$2:$B$1295,MATCH(D40,Hierarchy!$A$2:$A$1295,0))))</f>
        <v/>
      </c>
      <c r="F40" s="7" t="str">
        <f aca="false">IF(D40="","",IF(INDEX(Hierarchy!$D$2:$D$1295,MATCH(D40,Hierarchy!$A$2:$A$1295,0))="","",INDEX(Hierarchy!$D$2:$D$1295,MATCH(D40,Hierarchy!$A$2:$A$1295,0))))</f>
        <v/>
      </c>
      <c r="G40" s="7" t="str">
        <f aca="false">IF(D40="","",IF(INDEX(Hierarchy!$E$2:$E$1295,MATCH(D40,Hierarchy!$A$2:$A$1295,0))="","",INDEX(Hierarchy!$E$2:$E$1295,MATCH(D40,Hierarchy!$A$2:$A$1295,0))))</f>
        <v/>
      </c>
      <c r="H40" s="7" t="str">
        <f aca="false">IF(D40="","",IF(INDEX(Hierarchy!$F$2:$F$1295,MATCH(D40,Hierarchy!$A$2:$A$1295,0))="","",INDEX(Hierarchy!$F$2:$F$1295,MATCH(D40,Hierarchy!$A$2:$A$1295,0))))</f>
        <v/>
      </c>
      <c r="I40" s="7" t="str">
        <f aca="false">IF(D40="","",IF(INDEX(Hierarchy!$H$2:$H$1295,MATCH(D40,Hierarchy!$A$2:$A$1295,0))="","",INDEX(Hierarchy!$H$2:$H$1295,MATCH(D40,Hierarchy!$A$2:$A$1295,0))))</f>
        <v/>
      </c>
    </row>
    <row r="41" customFormat="false" ht="15" hidden="false" customHeight="false" outlineLevel="0" collapsed="false">
      <c r="A41" s="19"/>
      <c r="B41" s="7" t="str">
        <f aca="false">IF(A41="","",TRIM(SUBSTITUTE(SUBSTITUTE(SUBSTITUTE(" "&amp;TRIM(SUBSTITUTE(SUBSTITUTE(SUBSTITUTE(SUBSTITUTE(SUBSTITUTE(SUBSTITUTE(SUBSTITUTE(SUBSTITUTE(SUBSTITUTE(SUBSTITUTE(SUBSTITUTE(SUBSTITUTE(SUBSTITUTE(SUBSTITUTE(SUBSTITUTE(UPPER(TRIM(A41)),"[MEMBER]",""),"{MEMBER}",""),"[MEMBER}",""),"MEMBER]",""),"(A)",""),"""",""),"“",""),"”",""),".",""),":",""),",",""),"–"," "),"-"," "),"/"," "),"&amp;"," AND "))&amp;" "," THE "," ")," TOTAL "," ")," OPERATIONS "," ")))</f>
        <v/>
      </c>
      <c r="C41" s="17" t="str">
        <f aca="false">IF(A41="","",IF(ISNUMBER(MATCH(B41,Excluded!$E$2:$E$19,0)),"Excluded (not a place)",IF(ISNUMBER(MATCH(B41,'Label Map'!$N$2:$N$2019,0)),"Auto-matched","UNMAPPED: add to Label Map")))</f>
        <v/>
      </c>
      <c r="D41" s="7" t="str">
        <f aca="false">IF(C41="Auto-matched",INDEX('Label Map'!$D$2:$D$2019,MATCH(B41,'Label Map'!$N$2:$N$2019,0)),"")</f>
        <v/>
      </c>
      <c r="E41" s="7" t="str">
        <f aca="false">IF(D41="","",IF(INDEX(Hierarchy!$B$2:$B$1295,MATCH(D41,Hierarchy!$A$2:$A$1295,0))="","",INDEX(Hierarchy!$B$2:$B$1295,MATCH(D41,Hierarchy!$A$2:$A$1295,0))))</f>
        <v/>
      </c>
      <c r="F41" s="7" t="str">
        <f aca="false">IF(D41="","",IF(INDEX(Hierarchy!$D$2:$D$1295,MATCH(D41,Hierarchy!$A$2:$A$1295,0))="","",INDEX(Hierarchy!$D$2:$D$1295,MATCH(D41,Hierarchy!$A$2:$A$1295,0))))</f>
        <v/>
      </c>
      <c r="G41" s="7" t="str">
        <f aca="false">IF(D41="","",IF(INDEX(Hierarchy!$E$2:$E$1295,MATCH(D41,Hierarchy!$A$2:$A$1295,0))="","",INDEX(Hierarchy!$E$2:$E$1295,MATCH(D41,Hierarchy!$A$2:$A$1295,0))))</f>
        <v/>
      </c>
      <c r="H41" s="7" t="str">
        <f aca="false">IF(D41="","",IF(INDEX(Hierarchy!$F$2:$F$1295,MATCH(D41,Hierarchy!$A$2:$A$1295,0))="","",INDEX(Hierarchy!$F$2:$F$1295,MATCH(D41,Hierarchy!$A$2:$A$1295,0))))</f>
        <v/>
      </c>
      <c r="I41" s="7" t="str">
        <f aca="false">IF(D41="","",IF(INDEX(Hierarchy!$H$2:$H$1295,MATCH(D41,Hierarchy!$A$2:$A$1295,0))="","",INDEX(Hierarchy!$H$2:$H$1295,MATCH(D41,Hierarchy!$A$2:$A$1295,0))))</f>
        <v/>
      </c>
    </row>
    <row r="42" customFormat="false" ht="15" hidden="false" customHeight="false" outlineLevel="0" collapsed="false">
      <c r="A42" s="19"/>
      <c r="B42" s="7" t="str">
        <f aca="false">IF(A42="","",TRIM(SUBSTITUTE(SUBSTITUTE(SUBSTITUTE(" "&amp;TRIM(SUBSTITUTE(SUBSTITUTE(SUBSTITUTE(SUBSTITUTE(SUBSTITUTE(SUBSTITUTE(SUBSTITUTE(SUBSTITUTE(SUBSTITUTE(SUBSTITUTE(SUBSTITUTE(SUBSTITUTE(SUBSTITUTE(SUBSTITUTE(SUBSTITUTE(UPPER(TRIM(A42)),"[MEMBER]",""),"{MEMBER}",""),"[MEMBER}",""),"MEMBER]",""),"(A)",""),"""",""),"“",""),"”",""),".",""),":",""),",",""),"–"," "),"-"," "),"/"," "),"&amp;"," AND "))&amp;" "," THE "," ")," TOTAL "," ")," OPERATIONS "," ")))</f>
        <v/>
      </c>
      <c r="C42" s="17" t="str">
        <f aca="false">IF(A42="","",IF(ISNUMBER(MATCH(B42,Excluded!$E$2:$E$19,0)),"Excluded (not a place)",IF(ISNUMBER(MATCH(B42,'Label Map'!$N$2:$N$2019,0)),"Auto-matched","UNMAPPED: add to Label Map")))</f>
        <v/>
      </c>
      <c r="D42" s="7" t="str">
        <f aca="false">IF(C42="Auto-matched",INDEX('Label Map'!$D$2:$D$2019,MATCH(B42,'Label Map'!$N$2:$N$2019,0)),"")</f>
        <v/>
      </c>
      <c r="E42" s="7" t="str">
        <f aca="false">IF(D42="","",IF(INDEX(Hierarchy!$B$2:$B$1295,MATCH(D42,Hierarchy!$A$2:$A$1295,0))="","",INDEX(Hierarchy!$B$2:$B$1295,MATCH(D42,Hierarchy!$A$2:$A$1295,0))))</f>
        <v/>
      </c>
      <c r="F42" s="7" t="str">
        <f aca="false">IF(D42="","",IF(INDEX(Hierarchy!$D$2:$D$1295,MATCH(D42,Hierarchy!$A$2:$A$1295,0))="","",INDEX(Hierarchy!$D$2:$D$1295,MATCH(D42,Hierarchy!$A$2:$A$1295,0))))</f>
        <v/>
      </c>
      <c r="G42" s="7" t="str">
        <f aca="false">IF(D42="","",IF(INDEX(Hierarchy!$E$2:$E$1295,MATCH(D42,Hierarchy!$A$2:$A$1295,0))="","",INDEX(Hierarchy!$E$2:$E$1295,MATCH(D42,Hierarchy!$A$2:$A$1295,0))))</f>
        <v/>
      </c>
      <c r="H42" s="7" t="str">
        <f aca="false">IF(D42="","",IF(INDEX(Hierarchy!$F$2:$F$1295,MATCH(D42,Hierarchy!$A$2:$A$1295,0))="","",INDEX(Hierarchy!$F$2:$F$1295,MATCH(D42,Hierarchy!$A$2:$A$1295,0))))</f>
        <v/>
      </c>
      <c r="I42" s="7" t="str">
        <f aca="false">IF(D42="","",IF(INDEX(Hierarchy!$H$2:$H$1295,MATCH(D42,Hierarchy!$A$2:$A$1295,0))="","",INDEX(Hierarchy!$H$2:$H$1295,MATCH(D42,Hierarchy!$A$2:$A$1295,0))))</f>
        <v/>
      </c>
    </row>
    <row r="43" customFormat="false" ht="15" hidden="false" customHeight="false" outlineLevel="0" collapsed="false">
      <c r="A43" s="19"/>
      <c r="B43" s="7" t="str">
        <f aca="false">IF(A43="","",TRIM(SUBSTITUTE(SUBSTITUTE(SUBSTITUTE(" "&amp;TRIM(SUBSTITUTE(SUBSTITUTE(SUBSTITUTE(SUBSTITUTE(SUBSTITUTE(SUBSTITUTE(SUBSTITUTE(SUBSTITUTE(SUBSTITUTE(SUBSTITUTE(SUBSTITUTE(SUBSTITUTE(SUBSTITUTE(SUBSTITUTE(SUBSTITUTE(UPPER(TRIM(A43)),"[MEMBER]",""),"{MEMBER}",""),"[MEMBER}",""),"MEMBER]",""),"(A)",""),"""",""),"“",""),"”",""),".",""),":",""),",",""),"–"," "),"-"," "),"/"," "),"&amp;"," AND "))&amp;" "," THE "," ")," TOTAL "," ")," OPERATIONS "," ")))</f>
        <v/>
      </c>
      <c r="C43" s="17" t="str">
        <f aca="false">IF(A43="","",IF(ISNUMBER(MATCH(B43,Excluded!$E$2:$E$19,0)),"Excluded (not a place)",IF(ISNUMBER(MATCH(B43,'Label Map'!$N$2:$N$2019,0)),"Auto-matched","UNMAPPED: add to Label Map")))</f>
        <v/>
      </c>
      <c r="D43" s="7" t="str">
        <f aca="false">IF(C43="Auto-matched",INDEX('Label Map'!$D$2:$D$2019,MATCH(B43,'Label Map'!$N$2:$N$2019,0)),"")</f>
        <v/>
      </c>
      <c r="E43" s="7" t="str">
        <f aca="false">IF(D43="","",IF(INDEX(Hierarchy!$B$2:$B$1295,MATCH(D43,Hierarchy!$A$2:$A$1295,0))="","",INDEX(Hierarchy!$B$2:$B$1295,MATCH(D43,Hierarchy!$A$2:$A$1295,0))))</f>
        <v/>
      </c>
      <c r="F43" s="7" t="str">
        <f aca="false">IF(D43="","",IF(INDEX(Hierarchy!$D$2:$D$1295,MATCH(D43,Hierarchy!$A$2:$A$1295,0))="","",INDEX(Hierarchy!$D$2:$D$1295,MATCH(D43,Hierarchy!$A$2:$A$1295,0))))</f>
        <v/>
      </c>
      <c r="G43" s="7" t="str">
        <f aca="false">IF(D43="","",IF(INDEX(Hierarchy!$E$2:$E$1295,MATCH(D43,Hierarchy!$A$2:$A$1295,0))="","",INDEX(Hierarchy!$E$2:$E$1295,MATCH(D43,Hierarchy!$A$2:$A$1295,0))))</f>
        <v/>
      </c>
      <c r="H43" s="7" t="str">
        <f aca="false">IF(D43="","",IF(INDEX(Hierarchy!$F$2:$F$1295,MATCH(D43,Hierarchy!$A$2:$A$1295,0))="","",INDEX(Hierarchy!$F$2:$F$1295,MATCH(D43,Hierarchy!$A$2:$A$1295,0))))</f>
        <v/>
      </c>
      <c r="I43" s="7" t="str">
        <f aca="false">IF(D43="","",IF(INDEX(Hierarchy!$H$2:$H$1295,MATCH(D43,Hierarchy!$A$2:$A$1295,0))="","",INDEX(Hierarchy!$H$2:$H$1295,MATCH(D43,Hierarchy!$A$2:$A$1295,0))))</f>
        <v/>
      </c>
    </row>
    <row r="44" customFormat="false" ht="15" hidden="false" customHeight="false" outlineLevel="0" collapsed="false">
      <c r="A44" s="19"/>
      <c r="B44" s="7" t="str">
        <f aca="false">IF(A44="","",TRIM(SUBSTITUTE(SUBSTITUTE(SUBSTITUTE(" "&amp;TRIM(SUBSTITUTE(SUBSTITUTE(SUBSTITUTE(SUBSTITUTE(SUBSTITUTE(SUBSTITUTE(SUBSTITUTE(SUBSTITUTE(SUBSTITUTE(SUBSTITUTE(SUBSTITUTE(SUBSTITUTE(SUBSTITUTE(SUBSTITUTE(SUBSTITUTE(UPPER(TRIM(A44)),"[MEMBER]",""),"{MEMBER}",""),"[MEMBER}",""),"MEMBER]",""),"(A)",""),"""",""),"“",""),"”",""),".",""),":",""),",",""),"–"," "),"-"," "),"/"," "),"&amp;"," AND "))&amp;" "," THE "," ")," TOTAL "," ")," OPERATIONS "," ")))</f>
        <v/>
      </c>
      <c r="C44" s="17" t="str">
        <f aca="false">IF(A44="","",IF(ISNUMBER(MATCH(B44,Excluded!$E$2:$E$19,0)),"Excluded (not a place)",IF(ISNUMBER(MATCH(B44,'Label Map'!$N$2:$N$2019,0)),"Auto-matched","UNMAPPED: add to Label Map")))</f>
        <v/>
      </c>
      <c r="D44" s="7" t="str">
        <f aca="false">IF(C44="Auto-matched",INDEX('Label Map'!$D$2:$D$2019,MATCH(B44,'Label Map'!$N$2:$N$2019,0)),"")</f>
        <v/>
      </c>
      <c r="E44" s="7" t="str">
        <f aca="false">IF(D44="","",IF(INDEX(Hierarchy!$B$2:$B$1295,MATCH(D44,Hierarchy!$A$2:$A$1295,0))="","",INDEX(Hierarchy!$B$2:$B$1295,MATCH(D44,Hierarchy!$A$2:$A$1295,0))))</f>
        <v/>
      </c>
      <c r="F44" s="7" t="str">
        <f aca="false">IF(D44="","",IF(INDEX(Hierarchy!$D$2:$D$1295,MATCH(D44,Hierarchy!$A$2:$A$1295,0))="","",INDEX(Hierarchy!$D$2:$D$1295,MATCH(D44,Hierarchy!$A$2:$A$1295,0))))</f>
        <v/>
      </c>
      <c r="G44" s="7" t="str">
        <f aca="false">IF(D44="","",IF(INDEX(Hierarchy!$E$2:$E$1295,MATCH(D44,Hierarchy!$A$2:$A$1295,0))="","",INDEX(Hierarchy!$E$2:$E$1295,MATCH(D44,Hierarchy!$A$2:$A$1295,0))))</f>
        <v/>
      </c>
      <c r="H44" s="7" t="str">
        <f aca="false">IF(D44="","",IF(INDEX(Hierarchy!$F$2:$F$1295,MATCH(D44,Hierarchy!$A$2:$A$1295,0))="","",INDEX(Hierarchy!$F$2:$F$1295,MATCH(D44,Hierarchy!$A$2:$A$1295,0))))</f>
        <v/>
      </c>
      <c r="I44" s="7" t="str">
        <f aca="false">IF(D44="","",IF(INDEX(Hierarchy!$H$2:$H$1295,MATCH(D44,Hierarchy!$A$2:$A$1295,0))="","",INDEX(Hierarchy!$H$2:$H$1295,MATCH(D44,Hierarchy!$A$2:$A$1295,0))))</f>
        <v/>
      </c>
    </row>
    <row r="45" customFormat="false" ht="15" hidden="false" customHeight="false" outlineLevel="0" collapsed="false">
      <c r="A45" s="19"/>
      <c r="B45" s="7" t="str">
        <f aca="false">IF(A45="","",TRIM(SUBSTITUTE(SUBSTITUTE(SUBSTITUTE(" "&amp;TRIM(SUBSTITUTE(SUBSTITUTE(SUBSTITUTE(SUBSTITUTE(SUBSTITUTE(SUBSTITUTE(SUBSTITUTE(SUBSTITUTE(SUBSTITUTE(SUBSTITUTE(SUBSTITUTE(SUBSTITUTE(SUBSTITUTE(SUBSTITUTE(SUBSTITUTE(UPPER(TRIM(A45)),"[MEMBER]",""),"{MEMBER}",""),"[MEMBER}",""),"MEMBER]",""),"(A)",""),"""",""),"“",""),"”",""),".",""),":",""),",",""),"–"," "),"-"," "),"/"," "),"&amp;"," AND "))&amp;" "," THE "," ")," TOTAL "," ")," OPERATIONS "," ")))</f>
        <v/>
      </c>
      <c r="C45" s="17" t="str">
        <f aca="false">IF(A45="","",IF(ISNUMBER(MATCH(B45,Excluded!$E$2:$E$19,0)),"Excluded (not a place)",IF(ISNUMBER(MATCH(B45,'Label Map'!$N$2:$N$2019,0)),"Auto-matched","UNMAPPED: add to Label Map")))</f>
        <v/>
      </c>
      <c r="D45" s="7" t="str">
        <f aca="false">IF(C45="Auto-matched",INDEX('Label Map'!$D$2:$D$2019,MATCH(B45,'Label Map'!$N$2:$N$2019,0)),"")</f>
        <v/>
      </c>
      <c r="E45" s="7" t="str">
        <f aca="false">IF(D45="","",IF(INDEX(Hierarchy!$B$2:$B$1295,MATCH(D45,Hierarchy!$A$2:$A$1295,0))="","",INDEX(Hierarchy!$B$2:$B$1295,MATCH(D45,Hierarchy!$A$2:$A$1295,0))))</f>
        <v/>
      </c>
      <c r="F45" s="7" t="str">
        <f aca="false">IF(D45="","",IF(INDEX(Hierarchy!$D$2:$D$1295,MATCH(D45,Hierarchy!$A$2:$A$1295,0))="","",INDEX(Hierarchy!$D$2:$D$1295,MATCH(D45,Hierarchy!$A$2:$A$1295,0))))</f>
        <v/>
      </c>
      <c r="G45" s="7" t="str">
        <f aca="false">IF(D45="","",IF(INDEX(Hierarchy!$E$2:$E$1295,MATCH(D45,Hierarchy!$A$2:$A$1295,0))="","",INDEX(Hierarchy!$E$2:$E$1295,MATCH(D45,Hierarchy!$A$2:$A$1295,0))))</f>
        <v/>
      </c>
      <c r="H45" s="7" t="str">
        <f aca="false">IF(D45="","",IF(INDEX(Hierarchy!$F$2:$F$1295,MATCH(D45,Hierarchy!$A$2:$A$1295,0))="","",INDEX(Hierarchy!$F$2:$F$1295,MATCH(D45,Hierarchy!$A$2:$A$1295,0))))</f>
        <v/>
      </c>
      <c r="I45" s="7" t="str">
        <f aca="false">IF(D45="","",IF(INDEX(Hierarchy!$H$2:$H$1295,MATCH(D45,Hierarchy!$A$2:$A$1295,0))="","",INDEX(Hierarchy!$H$2:$H$1295,MATCH(D45,Hierarchy!$A$2:$A$1295,0))))</f>
        <v/>
      </c>
    </row>
    <row r="46" customFormat="false" ht="15" hidden="false" customHeight="false" outlineLevel="0" collapsed="false">
      <c r="A46" s="19"/>
      <c r="B46" s="7" t="str">
        <f aca="false">IF(A46="","",TRIM(SUBSTITUTE(SUBSTITUTE(SUBSTITUTE(" "&amp;TRIM(SUBSTITUTE(SUBSTITUTE(SUBSTITUTE(SUBSTITUTE(SUBSTITUTE(SUBSTITUTE(SUBSTITUTE(SUBSTITUTE(SUBSTITUTE(SUBSTITUTE(SUBSTITUTE(SUBSTITUTE(SUBSTITUTE(SUBSTITUTE(SUBSTITUTE(UPPER(TRIM(A46)),"[MEMBER]",""),"{MEMBER}",""),"[MEMBER}",""),"MEMBER]",""),"(A)",""),"""",""),"“",""),"”",""),".",""),":",""),",",""),"–"," "),"-"," "),"/"," "),"&amp;"," AND "))&amp;" "," THE "," ")," TOTAL "," ")," OPERATIONS "," ")))</f>
        <v/>
      </c>
      <c r="C46" s="17" t="str">
        <f aca="false">IF(A46="","",IF(ISNUMBER(MATCH(B46,Excluded!$E$2:$E$19,0)),"Excluded (not a place)",IF(ISNUMBER(MATCH(B46,'Label Map'!$N$2:$N$2019,0)),"Auto-matched","UNMAPPED: add to Label Map")))</f>
        <v/>
      </c>
      <c r="D46" s="7" t="str">
        <f aca="false">IF(C46="Auto-matched",INDEX('Label Map'!$D$2:$D$2019,MATCH(B46,'Label Map'!$N$2:$N$2019,0)),"")</f>
        <v/>
      </c>
      <c r="E46" s="7" t="str">
        <f aca="false">IF(D46="","",IF(INDEX(Hierarchy!$B$2:$B$1295,MATCH(D46,Hierarchy!$A$2:$A$1295,0))="","",INDEX(Hierarchy!$B$2:$B$1295,MATCH(D46,Hierarchy!$A$2:$A$1295,0))))</f>
        <v/>
      </c>
      <c r="F46" s="7" t="str">
        <f aca="false">IF(D46="","",IF(INDEX(Hierarchy!$D$2:$D$1295,MATCH(D46,Hierarchy!$A$2:$A$1295,0))="","",INDEX(Hierarchy!$D$2:$D$1295,MATCH(D46,Hierarchy!$A$2:$A$1295,0))))</f>
        <v/>
      </c>
      <c r="G46" s="7" t="str">
        <f aca="false">IF(D46="","",IF(INDEX(Hierarchy!$E$2:$E$1295,MATCH(D46,Hierarchy!$A$2:$A$1295,0))="","",INDEX(Hierarchy!$E$2:$E$1295,MATCH(D46,Hierarchy!$A$2:$A$1295,0))))</f>
        <v/>
      </c>
      <c r="H46" s="7" t="str">
        <f aca="false">IF(D46="","",IF(INDEX(Hierarchy!$F$2:$F$1295,MATCH(D46,Hierarchy!$A$2:$A$1295,0))="","",INDEX(Hierarchy!$F$2:$F$1295,MATCH(D46,Hierarchy!$A$2:$A$1295,0))))</f>
        <v/>
      </c>
      <c r="I46" s="7" t="str">
        <f aca="false">IF(D46="","",IF(INDEX(Hierarchy!$H$2:$H$1295,MATCH(D46,Hierarchy!$A$2:$A$1295,0))="","",INDEX(Hierarchy!$H$2:$H$1295,MATCH(D46,Hierarchy!$A$2:$A$1295,0))))</f>
        <v/>
      </c>
    </row>
    <row r="47" customFormat="false" ht="15" hidden="false" customHeight="false" outlineLevel="0" collapsed="false">
      <c r="A47" s="19"/>
      <c r="B47" s="7" t="str">
        <f aca="false">IF(A47="","",TRIM(SUBSTITUTE(SUBSTITUTE(SUBSTITUTE(" "&amp;TRIM(SUBSTITUTE(SUBSTITUTE(SUBSTITUTE(SUBSTITUTE(SUBSTITUTE(SUBSTITUTE(SUBSTITUTE(SUBSTITUTE(SUBSTITUTE(SUBSTITUTE(SUBSTITUTE(SUBSTITUTE(SUBSTITUTE(SUBSTITUTE(SUBSTITUTE(UPPER(TRIM(A47)),"[MEMBER]",""),"{MEMBER}",""),"[MEMBER}",""),"MEMBER]",""),"(A)",""),"""",""),"“",""),"”",""),".",""),":",""),",",""),"–"," "),"-"," "),"/"," "),"&amp;"," AND "))&amp;" "," THE "," ")," TOTAL "," ")," OPERATIONS "," ")))</f>
        <v/>
      </c>
      <c r="C47" s="17" t="str">
        <f aca="false">IF(A47="","",IF(ISNUMBER(MATCH(B47,Excluded!$E$2:$E$19,0)),"Excluded (not a place)",IF(ISNUMBER(MATCH(B47,'Label Map'!$N$2:$N$2019,0)),"Auto-matched","UNMAPPED: add to Label Map")))</f>
        <v/>
      </c>
      <c r="D47" s="7" t="str">
        <f aca="false">IF(C47="Auto-matched",INDEX('Label Map'!$D$2:$D$2019,MATCH(B47,'Label Map'!$N$2:$N$2019,0)),"")</f>
        <v/>
      </c>
      <c r="E47" s="7" t="str">
        <f aca="false">IF(D47="","",IF(INDEX(Hierarchy!$B$2:$B$1295,MATCH(D47,Hierarchy!$A$2:$A$1295,0))="","",INDEX(Hierarchy!$B$2:$B$1295,MATCH(D47,Hierarchy!$A$2:$A$1295,0))))</f>
        <v/>
      </c>
      <c r="F47" s="7" t="str">
        <f aca="false">IF(D47="","",IF(INDEX(Hierarchy!$D$2:$D$1295,MATCH(D47,Hierarchy!$A$2:$A$1295,0))="","",INDEX(Hierarchy!$D$2:$D$1295,MATCH(D47,Hierarchy!$A$2:$A$1295,0))))</f>
        <v/>
      </c>
      <c r="G47" s="7" t="str">
        <f aca="false">IF(D47="","",IF(INDEX(Hierarchy!$E$2:$E$1295,MATCH(D47,Hierarchy!$A$2:$A$1295,0))="","",INDEX(Hierarchy!$E$2:$E$1295,MATCH(D47,Hierarchy!$A$2:$A$1295,0))))</f>
        <v/>
      </c>
      <c r="H47" s="7" t="str">
        <f aca="false">IF(D47="","",IF(INDEX(Hierarchy!$F$2:$F$1295,MATCH(D47,Hierarchy!$A$2:$A$1295,0))="","",INDEX(Hierarchy!$F$2:$F$1295,MATCH(D47,Hierarchy!$A$2:$A$1295,0))))</f>
        <v/>
      </c>
      <c r="I47" s="7" t="str">
        <f aca="false">IF(D47="","",IF(INDEX(Hierarchy!$H$2:$H$1295,MATCH(D47,Hierarchy!$A$2:$A$1295,0))="","",INDEX(Hierarchy!$H$2:$H$1295,MATCH(D47,Hierarchy!$A$2:$A$1295,0))))</f>
        <v/>
      </c>
    </row>
    <row r="48" customFormat="false" ht="15" hidden="false" customHeight="false" outlineLevel="0" collapsed="false">
      <c r="A48" s="19"/>
      <c r="B48" s="7" t="str">
        <f aca="false">IF(A48="","",TRIM(SUBSTITUTE(SUBSTITUTE(SUBSTITUTE(" "&amp;TRIM(SUBSTITUTE(SUBSTITUTE(SUBSTITUTE(SUBSTITUTE(SUBSTITUTE(SUBSTITUTE(SUBSTITUTE(SUBSTITUTE(SUBSTITUTE(SUBSTITUTE(SUBSTITUTE(SUBSTITUTE(SUBSTITUTE(SUBSTITUTE(SUBSTITUTE(UPPER(TRIM(A48)),"[MEMBER]",""),"{MEMBER}",""),"[MEMBER}",""),"MEMBER]",""),"(A)",""),"""",""),"“",""),"”",""),".",""),":",""),",",""),"–"," "),"-"," "),"/"," "),"&amp;"," AND "))&amp;" "," THE "," ")," TOTAL "," ")," OPERATIONS "," ")))</f>
        <v/>
      </c>
      <c r="C48" s="17" t="str">
        <f aca="false">IF(A48="","",IF(ISNUMBER(MATCH(B48,Excluded!$E$2:$E$19,0)),"Excluded (not a place)",IF(ISNUMBER(MATCH(B48,'Label Map'!$N$2:$N$2019,0)),"Auto-matched","UNMAPPED: add to Label Map")))</f>
        <v/>
      </c>
      <c r="D48" s="7" t="str">
        <f aca="false">IF(C48="Auto-matched",INDEX('Label Map'!$D$2:$D$2019,MATCH(B48,'Label Map'!$N$2:$N$2019,0)),"")</f>
        <v/>
      </c>
      <c r="E48" s="7" t="str">
        <f aca="false">IF(D48="","",IF(INDEX(Hierarchy!$B$2:$B$1295,MATCH(D48,Hierarchy!$A$2:$A$1295,0))="","",INDEX(Hierarchy!$B$2:$B$1295,MATCH(D48,Hierarchy!$A$2:$A$1295,0))))</f>
        <v/>
      </c>
      <c r="F48" s="7" t="str">
        <f aca="false">IF(D48="","",IF(INDEX(Hierarchy!$D$2:$D$1295,MATCH(D48,Hierarchy!$A$2:$A$1295,0))="","",INDEX(Hierarchy!$D$2:$D$1295,MATCH(D48,Hierarchy!$A$2:$A$1295,0))))</f>
        <v/>
      </c>
      <c r="G48" s="7" t="str">
        <f aca="false">IF(D48="","",IF(INDEX(Hierarchy!$E$2:$E$1295,MATCH(D48,Hierarchy!$A$2:$A$1295,0))="","",INDEX(Hierarchy!$E$2:$E$1295,MATCH(D48,Hierarchy!$A$2:$A$1295,0))))</f>
        <v/>
      </c>
      <c r="H48" s="7" t="str">
        <f aca="false">IF(D48="","",IF(INDEX(Hierarchy!$F$2:$F$1295,MATCH(D48,Hierarchy!$A$2:$A$1295,0))="","",INDEX(Hierarchy!$F$2:$F$1295,MATCH(D48,Hierarchy!$A$2:$A$1295,0))))</f>
        <v/>
      </c>
      <c r="I48" s="7" t="str">
        <f aca="false">IF(D48="","",IF(INDEX(Hierarchy!$H$2:$H$1295,MATCH(D48,Hierarchy!$A$2:$A$1295,0))="","",INDEX(Hierarchy!$H$2:$H$1295,MATCH(D48,Hierarchy!$A$2:$A$1295,0))))</f>
        <v/>
      </c>
    </row>
    <row r="49" customFormat="false" ht="15" hidden="false" customHeight="false" outlineLevel="0" collapsed="false">
      <c r="A49" s="19"/>
      <c r="B49" s="7" t="str">
        <f aca="false">IF(A49="","",TRIM(SUBSTITUTE(SUBSTITUTE(SUBSTITUTE(" "&amp;TRIM(SUBSTITUTE(SUBSTITUTE(SUBSTITUTE(SUBSTITUTE(SUBSTITUTE(SUBSTITUTE(SUBSTITUTE(SUBSTITUTE(SUBSTITUTE(SUBSTITUTE(SUBSTITUTE(SUBSTITUTE(SUBSTITUTE(SUBSTITUTE(SUBSTITUTE(UPPER(TRIM(A49)),"[MEMBER]",""),"{MEMBER}",""),"[MEMBER}",""),"MEMBER]",""),"(A)",""),"""",""),"“",""),"”",""),".",""),":",""),",",""),"–"," "),"-"," "),"/"," "),"&amp;"," AND "))&amp;" "," THE "," ")," TOTAL "," ")," OPERATIONS "," ")))</f>
        <v/>
      </c>
      <c r="C49" s="17" t="str">
        <f aca="false">IF(A49="","",IF(ISNUMBER(MATCH(B49,Excluded!$E$2:$E$19,0)),"Excluded (not a place)",IF(ISNUMBER(MATCH(B49,'Label Map'!$N$2:$N$2019,0)),"Auto-matched","UNMAPPED: add to Label Map")))</f>
        <v/>
      </c>
      <c r="D49" s="7" t="str">
        <f aca="false">IF(C49="Auto-matched",INDEX('Label Map'!$D$2:$D$2019,MATCH(B49,'Label Map'!$N$2:$N$2019,0)),"")</f>
        <v/>
      </c>
      <c r="E49" s="7" t="str">
        <f aca="false">IF(D49="","",IF(INDEX(Hierarchy!$B$2:$B$1295,MATCH(D49,Hierarchy!$A$2:$A$1295,0))="","",INDEX(Hierarchy!$B$2:$B$1295,MATCH(D49,Hierarchy!$A$2:$A$1295,0))))</f>
        <v/>
      </c>
      <c r="F49" s="7" t="str">
        <f aca="false">IF(D49="","",IF(INDEX(Hierarchy!$D$2:$D$1295,MATCH(D49,Hierarchy!$A$2:$A$1295,0))="","",INDEX(Hierarchy!$D$2:$D$1295,MATCH(D49,Hierarchy!$A$2:$A$1295,0))))</f>
        <v/>
      </c>
      <c r="G49" s="7" t="str">
        <f aca="false">IF(D49="","",IF(INDEX(Hierarchy!$E$2:$E$1295,MATCH(D49,Hierarchy!$A$2:$A$1295,0))="","",INDEX(Hierarchy!$E$2:$E$1295,MATCH(D49,Hierarchy!$A$2:$A$1295,0))))</f>
        <v/>
      </c>
      <c r="H49" s="7" t="str">
        <f aca="false">IF(D49="","",IF(INDEX(Hierarchy!$F$2:$F$1295,MATCH(D49,Hierarchy!$A$2:$A$1295,0))="","",INDEX(Hierarchy!$F$2:$F$1295,MATCH(D49,Hierarchy!$A$2:$A$1295,0))))</f>
        <v/>
      </c>
      <c r="I49" s="7" t="str">
        <f aca="false">IF(D49="","",IF(INDEX(Hierarchy!$H$2:$H$1295,MATCH(D49,Hierarchy!$A$2:$A$1295,0))="","",INDEX(Hierarchy!$H$2:$H$1295,MATCH(D49,Hierarchy!$A$2:$A$1295,0))))</f>
        <v/>
      </c>
    </row>
    <row r="50" customFormat="false" ht="15" hidden="false" customHeight="false" outlineLevel="0" collapsed="false">
      <c r="A50" s="19"/>
      <c r="B50" s="7" t="str">
        <f aca="false">IF(A50="","",TRIM(SUBSTITUTE(SUBSTITUTE(SUBSTITUTE(" "&amp;TRIM(SUBSTITUTE(SUBSTITUTE(SUBSTITUTE(SUBSTITUTE(SUBSTITUTE(SUBSTITUTE(SUBSTITUTE(SUBSTITUTE(SUBSTITUTE(SUBSTITUTE(SUBSTITUTE(SUBSTITUTE(SUBSTITUTE(SUBSTITUTE(SUBSTITUTE(UPPER(TRIM(A50)),"[MEMBER]",""),"{MEMBER}",""),"[MEMBER}",""),"MEMBER]",""),"(A)",""),"""",""),"“",""),"”",""),".",""),":",""),",",""),"–"," "),"-"," "),"/"," "),"&amp;"," AND "))&amp;" "," THE "," ")," TOTAL "," ")," OPERATIONS "," ")))</f>
        <v/>
      </c>
      <c r="C50" s="17" t="str">
        <f aca="false">IF(A50="","",IF(ISNUMBER(MATCH(B50,Excluded!$E$2:$E$19,0)),"Excluded (not a place)",IF(ISNUMBER(MATCH(B50,'Label Map'!$N$2:$N$2019,0)),"Auto-matched","UNMAPPED: add to Label Map")))</f>
        <v/>
      </c>
      <c r="D50" s="7" t="str">
        <f aca="false">IF(C50="Auto-matched",INDEX('Label Map'!$D$2:$D$2019,MATCH(B50,'Label Map'!$N$2:$N$2019,0)),"")</f>
        <v/>
      </c>
      <c r="E50" s="7" t="str">
        <f aca="false">IF(D50="","",IF(INDEX(Hierarchy!$B$2:$B$1295,MATCH(D50,Hierarchy!$A$2:$A$1295,0))="","",INDEX(Hierarchy!$B$2:$B$1295,MATCH(D50,Hierarchy!$A$2:$A$1295,0))))</f>
        <v/>
      </c>
      <c r="F50" s="7" t="str">
        <f aca="false">IF(D50="","",IF(INDEX(Hierarchy!$D$2:$D$1295,MATCH(D50,Hierarchy!$A$2:$A$1295,0))="","",INDEX(Hierarchy!$D$2:$D$1295,MATCH(D50,Hierarchy!$A$2:$A$1295,0))))</f>
        <v/>
      </c>
      <c r="G50" s="7" t="str">
        <f aca="false">IF(D50="","",IF(INDEX(Hierarchy!$E$2:$E$1295,MATCH(D50,Hierarchy!$A$2:$A$1295,0))="","",INDEX(Hierarchy!$E$2:$E$1295,MATCH(D50,Hierarchy!$A$2:$A$1295,0))))</f>
        <v/>
      </c>
      <c r="H50" s="7" t="str">
        <f aca="false">IF(D50="","",IF(INDEX(Hierarchy!$F$2:$F$1295,MATCH(D50,Hierarchy!$A$2:$A$1295,0))="","",INDEX(Hierarchy!$F$2:$F$1295,MATCH(D50,Hierarchy!$A$2:$A$1295,0))))</f>
        <v/>
      </c>
      <c r="I50" s="7" t="str">
        <f aca="false">IF(D50="","",IF(INDEX(Hierarchy!$H$2:$H$1295,MATCH(D50,Hierarchy!$A$2:$A$1295,0))="","",INDEX(Hierarchy!$H$2:$H$1295,MATCH(D50,Hierarchy!$A$2:$A$1295,0))))</f>
        <v/>
      </c>
    </row>
    <row r="51" customFormat="false" ht="15" hidden="false" customHeight="false" outlineLevel="0" collapsed="false">
      <c r="A51" s="19"/>
      <c r="B51" s="7" t="str">
        <f aca="false">IF(A51="","",TRIM(SUBSTITUTE(SUBSTITUTE(SUBSTITUTE(" "&amp;TRIM(SUBSTITUTE(SUBSTITUTE(SUBSTITUTE(SUBSTITUTE(SUBSTITUTE(SUBSTITUTE(SUBSTITUTE(SUBSTITUTE(SUBSTITUTE(SUBSTITUTE(SUBSTITUTE(SUBSTITUTE(SUBSTITUTE(SUBSTITUTE(SUBSTITUTE(UPPER(TRIM(A51)),"[MEMBER]",""),"{MEMBER}",""),"[MEMBER}",""),"MEMBER]",""),"(A)",""),"""",""),"“",""),"”",""),".",""),":",""),",",""),"–"," "),"-"," "),"/"," "),"&amp;"," AND "))&amp;" "," THE "," ")," TOTAL "," ")," OPERATIONS "," ")))</f>
        <v/>
      </c>
      <c r="C51" s="17" t="str">
        <f aca="false">IF(A51="","",IF(ISNUMBER(MATCH(B51,Excluded!$E$2:$E$19,0)),"Excluded (not a place)",IF(ISNUMBER(MATCH(B51,'Label Map'!$N$2:$N$2019,0)),"Auto-matched","UNMAPPED: add to Label Map")))</f>
        <v/>
      </c>
      <c r="D51" s="7" t="str">
        <f aca="false">IF(C51="Auto-matched",INDEX('Label Map'!$D$2:$D$2019,MATCH(B51,'Label Map'!$N$2:$N$2019,0)),"")</f>
        <v/>
      </c>
      <c r="E51" s="7" t="str">
        <f aca="false">IF(D51="","",IF(INDEX(Hierarchy!$B$2:$B$1295,MATCH(D51,Hierarchy!$A$2:$A$1295,0))="","",INDEX(Hierarchy!$B$2:$B$1295,MATCH(D51,Hierarchy!$A$2:$A$1295,0))))</f>
        <v/>
      </c>
      <c r="F51" s="7" t="str">
        <f aca="false">IF(D51="","",IF(INDEX(Hierarchy!$D$2:$D$1295,MATCH(D51,Hierarchy!$A$2:$A$1295,0))="","",INDEX(Hierarchy!$D$2:$D$1295,MATCH(D51,Hierarchy!$A$2:$A$1295,0))))</f>
        <v/>
      </c>
      <c r="G51" s="7" t="str">
        <f aca="false">IF(D51="","",IF(INDEX(Hierarchy!$E$2:$E$1295,MATCH(D51,Hierarchy!$A$2:$A$1295,0))="","",INDEX(Hierarchy!$E$2:$E$1295,MATCH(D51,Hierarchy!$A$2:$A$1295,0))))</f>
        <v/>
      </c>
      <c r="H51" s="7" t="str">
        <f aca="false">IF(D51="","",IF(INDEX(Hierarchy!$F$2:$F$1295,MATCH(D51,Hierarchy!$A$2:$A$1295,0))="","",INDEX(Hierarchy!$F$2:$F$1295,MATCH(D51,Hierarchy!$A$2:$A$1295,0))))</f>
        <v/>
      </c>
      <c r="I51" s="7" t="str">
        <f aca="false">IF(D51="","",IF(INDEX(Hierarchy!$H$2:$H$1295,MATCH(D51,Hierarchy!$A$2:$A$1295,0))="","",INDEX(Hierarchy!$H$2:$H$1295,MATCH(D51,Hierarchy!$A$2:$A$1295,0))))</f>
        <v/>
      </c>
    </row>
    <row r="52" customFormat="false" ht="15" hidden="false" customHeight="false" outlineLevel="0" collapsed="false">
      <c r="A52" s="19"/>
      <c r="B52" s="7" t="str">
        <f aca="false">IF(A52="","",TRIM(SUBSTITUTE(SUBSTITUTE(SUBSTITUTE(" "&amp;TRIM(SUBSTITUTE(SUBSTITUTE(SUBSTITUTE(SUBSTITUTE(SUBSTITUTE(SUBSTITUTE(SUBSTITUTE(SUBSTITUTE(SUBSTITUTE(SUBSTITUTE(SUBSTITUTE(SUBSTITUTE(SUBSTITUTE(SUBSTITUTE(SUBSTITUTE(UPPER(TRIM(A52)),"[MEMBER]",""),"{MEMBER}",""),"[MEMBER}",""),"MEMBER]",""),"(A)",""),"""",""),"“",""),"”",""),".",""),":",""),",",""),"–"," "),"-"," "),"/"," "),"&amp;"," AND "))&amp;" "," THE "," ")," TOTAL "," ")," OPERATIONS "," ")))</f>
        <v/>
      </c>
      <c r="C52" s="17" t="str">
        <f aca="false">IF(A52="","",IF(ISNUMBER(MATCH(B52,Excluded!$E$2:$E$19,0)),"Excluded (not a place)",IF(ISNUMBER(MATCH(B52,'Label Map'!$N$2:$N$2019,0)),"Auto-matched","UNMAPPED: add to Label Map")))</f>
        <v/>
      </c>
      <c r="D52" s="7" t="str">
        <f aca="false">IF(C52="Auto-matched",INDEX('Label Map'!$D$2:$D$2019,MATCH(B52,'Label Map'!$N$2:$N$2019,0)),"")</f>
        <v/>
      </c>
      <c r="E52" s="7" t="str">
        <f aca="false">IF(D52="","",IF(INDEX(Hierarchy!$B$2:$B$1295,MATCH(D52,Hierarchy!$A$2:$A$1295,0))="","",INDEX(Hierarchy!$B$2:$B$1295,MATCH(D52,Hierarchy!$A$2:$A$1295,0))))</f>
        <v/>
      </c>
      <c r="F52" s="7" t="str">
        <f aca="false">IF(D52="","",IF(INDEX(Hierarchy!$D$2:$D$1295,MATCH(D52,Hierarchy!$A$2:$A$1295,0))="","",INDEX(Hierarchy!$D$2:$D$1295,MATCH(D52,Hierarchy!$A$2:$A$1295,0))))</f>
        <v/>
      </c>
      <c r="G52" s="7" t="str">
        <f aca="false">IF(D52="","",IF(INDEX(Hierarchy!$E$2:$E$1295,MATCH(D52,Hierarchy!$A$2:$A$1295,0))="","",INDEX(Hierarchy!$E$2:$E$1295,MATCH(D52,Hierarchy!$A$2:$A$1295,0))))</f>
        <v/>
      </c>
      <c r="H52" s="7" t="str">
        <f aca="false">IF(D52="","",IF(INDEX(Hierarchy!$F$2:$F$1295,MATCH(D52,Hierarchy!$A$2:$A$1295,0))="","",INDEX(Hierarchy!$F$2:$F$1295,MATCH(D52,Hierarchy!$A$2:$A$1295,0))))</f>
        <v/>
      </c>
      <c r="I52" s="7" t="str">
        <f aca="false">IF(D52="","",IF(INDEX(Hierarchy!$H$2:$H$1295,MATCH(D52,Hierarchy!$A$2:$A$1295,0))="","",INDEX(Hierarchy!$H$2:$H$1295,MATCH(D52,Hierarchy!$A$2:$A$1295,0))))</f>
        <v/>
      </c>
    </row>
    <row r="53" customFormat="false" ht="15" hidden="false" customHeight="false" outlineLevel="0" collapsed="false">
      <c r="A53" s="19"/>
      <c r="B53" s="7" t="str">
        <f aca="false">IF(A53="","",TRIM(SUBSTITUTE(SUBSTITUTE(SUBSTITUTE(" "&amp;TRIM(SUBSTITUTE(SUBSTITUTE(SUBSTITUTE(SUBSTITUTE(SUBSTITUTE(SUBSTITUTE(SUBSTITUTE(SUBSTITUTE(SUBSTITUTE(SUBSTITUTE(SUBSTITUTE(SUBSTITUTE(SUBSTITUTE(SUBSTITUTE(SUBSTITUTE(UPPER(TRIM(A53)),"[MEMBER]",""),"{MEMBER}",""),"[MEMBER}",""),"MEMBER]",""),"(A)",""),"""",""),"“",""),"”",""),".",""),":",""),",",""),"–"," "),"-"," "),"/"," "),"&amp;"," AND "))&amp;" "," THE "," ")," TOTAL "," ")," OPERATIONS "," ")))</f>
        <v/>
      </c>
      <c r="C53" s="17" t="str">
        <f aca="false">IF(A53="","",IF(ISNUMBER(MATCH(B53,Excluded!$E$2:$E$19,0)),"Excluded (not a place)",IF(ISNUMBER(MATCH(B53,'Label Map'!$N$2:$N$2019,0)),"Auto-matched","UNMAPPED: add to Label Map")))</f>
        <v/>
      </c>
      <c r="D53" s="7" t="str">
        <f aca="false">IF(C53="Auto-matched",INDEX('Label Map'!$D$2:$D$2019,MATCH(B53,'Label Map'!$N$2:$N$2019,0)),"")</f>
        <v/>
      </c>
      <c r="E53" s="7" t="str">
        <f aca="false">IF(D53="","",IF(INDEX(Hierarchy!$B$2:$B$1295,MATCH(D53,Hierarchy!$A$2:$A$1295,0))="","",INDEX(Hierarchy!$B$2:$B$1295,MATCH(D53,Hierarchy!$A$2:$A$1295,0))))</f>
        <v/>
      </c>
      <c r="F53" s="7" t="str">
        <f aca="false">IF(D53="","",IF(INDEX(Hierarchy!$D$2:$D$1295,MATCH(D53,Hierarchy!$A$2:$A$1295,0))="","",INDEX(Hierarchy!$D$2:$D$1295,MATCH(D53,Hierarchy!$A$2:$A$1295,0))))</f>
        <v/>
      </c>
      <c r="G53" s="7" t="str">
        <f aca="false">IF(D53="","",IF(INDEX(Hierarchy!$E$2:$E$1295,MATCH(D53,Hierarchy!$A$2:$A$1295,0))="","",INDEX(Hierarchy!$E$2:$E$1295,MATCH(D53,Hierarchy!$A$2:$A$1295,0))))</f>
        <v/>
      </c>
      <c r="H53" s="7" t="str">
        <f aca="false">IF(D53="","",IF(INDEX(Hierarchy!$F$2:$F$1295,MATCH(D53,Hierarchy!$A$2:$A$1295,0))="","",INDEX(Hierarchy!$F$2:$F$1295,MATCH(D53,Hierarchy!$A$2:$A$1295,0))))</f>
        <v/>
      </c>
      <c r="I53" s="7" t="str">
        <f aca="false">IF(D53="","",IF(INDEX(Hierarchy!$H$2:$H$1295,MATCH(D53,Hierarchy!$A$2:$A$1295,0))="","",INDEX(Hierarchy!$H$2:$H$1295,MATCH(D53,Hierarchy!$A$2:$A$1295,0))))</f>
        <v/>
      </c>
    </row>
    <row r="54" customFormat="false" ht="15" hidden="false" customHeight="false" outlineLevel="0" collapsed="false">
      <c r="A54" s="19"/>
      <c r="B54" s="7" t="str">
        <f aca="false">IF(A54="","",TRIM(SUBSTITUTE(SUBSTITUTE(SUBSTITUTE(" "&amp;TRIM(SUBSTITUTE(SUBSTITUTE(SUBSTITUTE(SUBSTITUTE(SUBSTITUTE(SUBSTITUTE(SUBSTITUTE(SUBSTITUTE(SUBSTITUTE(SUBSTITUTE(SUBSTITUTE(SUBSTITUTE(SUBSTITUTE(SUBSTITUTE(SUBSTITUTE(UPPER(TRIM(A54)),"[MEMBER]",""),"{MEMBER}",""),"[MEMBER}",""),"MEMBER]",""),"(A)",""),"""",""),"“",""),"”",""),".",""),":",""),",",""),"–"," "),"-"," "),"/"," "),"&amp;"," AND "))&amp;" "," THE "," ")," TOTAL "," ")," OPERATIONS "," ")))</f>
        <v/>
      </c>
      <c r="C54" s="17" t="str">
        <f aca="false">IF(A54="","",IF(ISNUMBER(MATCH(B54,Excluded!$E$2:$E$19,0)),"Excluded (not a place)",IF(ISNUMBER(MATCH(B54,'Label Map'!$N$2:$N$2019,0)),"Auto-matched","UNMAPPED: add to Label Map")))</f>
        <v/>
      </c>
      <c r="D54" s="7" t="str">
        <f aca="false">IF(C54="Auto-matched",INDEX('Label Map'!$D$2:$D$2019,MATCH(B54,'Label Map'!$N$2:$N$2019,0)),"")</f>
        <v/>
      </c>
      <c r="E54" s="7" t="str">
        <f aca="false">IF(D54="","",IF(INDEX(Hierarchy!$B$2:$B$1295,MATCH(D54,Hierarchy!$A$2:$A$1295,0))="","",INDEX(Hierarchy!$B$2:$B$1295,MATCH(D54,Hierarchy!$A$2:$A$1295,0))))</f>
        <v/>
      </c>
      <c r="F54" s="7" t="str">
        <f aca="false">IF(D54="","",IF(INDEX(Hierarchy!$D$2:$D$1295,MATCH(D54,Hierarchy!$A$2:$A$1295,0))="","",INDEX(Hierarchy!$D$2:$D$1295,MATCH(D54,Hierarchy!$A$2:$A$1295,0))))</f>
        <v/>
      </c>
      <c r="G54" s="7" t="str">
        <f aca="false">IF(D54="","",IF(INDEX(Hierarchy!$E$2:$E$1295,MATCH(D54,Hierarchy!$A$2:$A$1295,0))="","",INDEX(Hierarchy!$E$2:$E$1295,MATCH(D54,Hierarchy!$A$2:$A$1295,0))))</f>
        <v/>
      </c>
      <c r="H54" s="7" t="str">
        <f aca="false">IF(D54="","",IF(INDEX(Hierarchy!$F$2:$F$1295,MATCH(D54,Hierarchy!$A$2:$A$1295,0))="","",INDEX(Hierarchy!$F$2:$F$1295,MATCH(D54,Hierarchy!$A$2:$A$1295,0))))</f>
        <v/>
      </c>
      <c r="I54" s="7" t="str">
        <f aca="false">IF(D54="","",IF(INDEX(Hierarchy!$H$2:$H$1295,MATCH(D54,Hierarchy!$A$2:$A$1295,0))="","",INDEX(Hierarchy!$H$2:$H$1295,MATCH(D54,Hierarchy!$A$2:$A$1295,0))))</f>
        <v/>
      </c>
    </row>
    <row r="55" customFormat="false" ht="15" hidden="false" customHeight="false" outlineLevel="0" collapsed="false">
      <c r="A55" s="19"/>
      <c r="B55" s="7" t="str">
        <f aca="false">IF(A55="","",TRIM(SUBSTITUTE(SUBSTITUTE(SUBSTITUTE(" "&amp;TRIM(SUBSTITUTE(SUBSTITUTE(SUBSTITUTE(SUBSTITUTE(SUBSTITUTE(SUBSTITUTE(SUBSTITUTE(SUBSTITUTE(SUBSTITUTE(SUBSTITUTE(SUBSTITUTE(SUBSTITUTE(SUBSTITUTE(SUBSTITUTE(SUBSTITUTE(UPPER(TRIM(A55)),"[MEMBER]",""),"{MEMBER}",""),"[MEMBER}",""),"MEMBER]",""),"(A)",""),"""",""),"“",""),"”",""),".",""),":",""),",",""),"–"," "),"-"," "),"/"," "),"&amp;"," AND "))&amp;" "," THE "," ")," TOTAL "," ")," OPERATIONS "," ")))</f>
        <v/>
      </c>
      <c r="C55" s="17" t="str">
        <f aca="false">IF(A55="","",IF(ISNUMBER(MATCH(B55,Excluded!$E$2:$E$19,0)),"Excluded (not a place)",IF(ISNUMBER(MATCH(B55,'Label Map'!$N$2:$N$2019,0)),"Auto-matched","UNMAPPED: add to Label Map")))</f>
        <v/>
      </c>
      <c r="D55" s="7" t="str">
        <f aca="false">IF(C55="Auto-matched",INDEX('Label Map'!$D$2:$D$2019,MATCH(B55,'Label Map'!$N$2:$N$2019,0)),"")</f>
        <v/>
      </c>
      <c r="E55" s="7" t="str">
        <f aca="false">IF(D55="","",IF(INDEX(Hierarchy!$B$2:$B$1295,MATCH(D55,Hierarchy!$A$2:$A$1295,0))="","",INDEX(Hierarchy!$B$2:$B$1295,MATCH(D55,Hierarchy!$A$2:$A$1295,0))))</f>
        <v/>
      </c>
      <c r="F55" s="7" t="str">
        <f aca="false">IF(D55="","",IF(INDEX(Hierarchy!$D$2:$D$1295,MATCH(D55,Hierarchy!$A$2:$A$1295,0))="","",INDEX(Hierarchy!$D$2:$D$1295,MATCH(D55,Hierarchy!$A$2:$A$1295,0))))</f>
        <v/>
      </c>
      <c r="G55" s="7" t="str">
        <f aca="false">IF(D55="","",IF(INDEX(Hierarchy!$E$2:$E$1295,MATCH(D55,Hierarchy!$A$2:$A$1295,0))="","",INDEX(Hierarchy!$E$2:$E$1295,MATCH(D55,Hierarchy!$A$2:$A$1295,0))))</f>
        <v/>
      </c>
      <c r="H55" s="7" t="str">
        <f aca="false">IF(D55="","",IF(INDEX(Hierarchy!$F$2:$F$1295,MATCH(D55,Hierarchy!$A$2:$A$1295,0))="","",INDEX(Hierarchy!$F$2:$F$1295,MATCH(D55,Hierarchy!$A$2:$A$1295,0))))</f>
        <v/>
      </c>
      <c r="I55" s="7" t="str">
        <f aca="false">IF(D55="","",IF(INDEX(Hierarchy!$H$2:$H$1295,MATCH(D55,Hierarchy!$A$2:$A$1295,0))="","",INDEX(Hierarchy!$H$2:$H$1295,MATCH(D55,Hierarchy!$A$2:$A$1295,0))))</f>
        <v/>
      </c>
    </row>
    <row r="56" customFormat="false" ht="15" hidden="false" customHeight="false" outlineLevel="0" collapsed="false">
      <c r="A56" s="19"/>
      <c r="B56" s="7" t="str">
        <f aca="false">IF(A56="","",TRIM(SUBSTITUTE(SUBSTITUTE(SUBSTITUTE(" "&amp;TRIM(SUBSTITUTE(SUBSTITUTE(SUBSTITUTE(SUBSTITUTE(SUBSTITUTE(SUBSTITUTE(SUBSTITUTE(SUBSTITUTE(SUBSTITUTE(SUBSTITUTE(SUBSTITUTE(SUBSTITUTE(SUBSTITUTE(SUBSTITUTE(SUBSTITUTE(UPPER(TRIM(A56)),"[MEMBER]",""),"{MEMBER}",""),"[MEMBER}",""),"MEMBER]",""),"(A)",""),"""",""),"“",""),"”",""),".",""),":",""),",",""),"–"," "),"-"," "),"/"," "),"&amp;"," AND "))&amp;" "," THE "," ")," TOTAL "," ")," OPERATIONS "," ")))</f>
        <v/>
      </c>
      <c r="C56" s="17" t="str">
        <f aca="false">IF(A56="","",IF(ISNUMBER(MATCH(B56,Excluded!$E$2:$E$19,0)),"Excluded (not a place)",IF(ISNUMBER(MATCH(B56,'Label Map'!$N$2:$N$2019,0)),"Auto-matched","UNMAPPED: add to Label Map")))</f>
        <v/>
      </c>
      <c r="D56" s="7" t="str">
        <f aca="false">IF(C56="Auto-matched",INDEX('Label Map'!$D$2:$D$2019,MATCH(B56,'Label Map'!$N$2:$N$2019,0)),"")</f>
        <v/>
      </c>
      <c r="E56" s="7" t="str">
        <f aca="false">IF(D56="","",IF(INDEX(Hierarchy!$B$2:$B$1295,MATCH(D56,Hierarchy!$A$2:$A$1295,0))="","",INDEX(Hierarchy!$B$2:$B$1295,MATCH(D56,Hierarchy!$A$2:$A$1295,0))))</f>
        <v/>
      </c>
      <c r="F56" s="7" t="str">
        <f aca="false">IF(D56="","",IF(INDEX(Hierarchy!$D$2:$D$1295,MATCH(D56,Hierarchy!$A$2:$A$1295,0))="","",INDEX(Hierarchy!$D$2:$D$1295,MATCH(D56,Hierarchy!$A$2:$A$1295,0))))</f>
        <v/>
      </c>
      <c r="G56" s="7" t="str">
        <f aca="false">IF(D56="","",IF(INDEX(Hierarchy!$E$2:$E$1295,MATCH(D56,Hierarchy!$A$2:$A$1295,0))="","",INDEX(Hierarchy!$E$2:$E$1295,MATCH(D56,Hierarchy!$A$2:$A$1295,0))))</f>
        <v/>
      </c>
      <c r="H56" s="7" t="str">
        <f aca="false">IF(D56="","",IF(INDEX(Hierarchy!$F$2:$F$1295,MATCH(D56,Hierarchy!$A$2:$A$1295,0))="","",INDEX(Hierarchy!$F$2:$F$1295,MATCH(D56,Hierarchy!$A$2:$A$1295,0))))</f>
        <v/>
      </c>
      <c r="I56" s="7" t="str">
        <f aca="false">IF(D56="","",IF(INDEX(Hierarchy!$H$2:$H$1295,MATCH(D56,Hierarchy!$A$2:$A$1295,0))="","",INDEX(Hierarchy!$H$2:$H$1295,MATCH(D56,Hierarchy!$A$2:$A$1295,0))))</f>
        <v/>
      </c>
    </row>
    <row r="57" customFormat="false" ht="15" hidden="false" customHeight="false" outlineLevel="0" collapsed="false">
      <c r="A57" s="19"/>
      <c r="B57" s="7" t="str">
        <f aca="false">IF(A57="","",TRIM(SUBSTITUTE(SUBSTITUTE(SUBSTITUTE(" "&amp;TRIM(SUBSTITUTE(SUBSTITUTE(SUBSTITUTE(SUBSTITUTE(SUBSTITUTE(SUBSTITUTE(SUBSTITUTE(SUBSTITUTE(SUBSTITUTE(SUBSTITUTE(SUBSTITUTE(SUBSTITUTE(SUBSTITUTE(SUBSTITUTE(SUBSTITUTE(UPPER(TRIM(A57)),"[MEMBER]",""),"{MEMBER}",""),"[MEMBER}",""),"MEMBER]",""),"(A)",""),"""",""),"“",""),"”",""),".",""),":",""),",",""),"–"," "),"-"," "),"/"," "),"&amp;"," AND "))&amp;" "," THE "," ")," TOTAL "," ")," OPERATIONS "," ")))</f>
        <v/>
      </c>
      <c r="C57" s="17" t="str">
        <f aca="false">IF(A57="","",IF(ISNUMBER(MATCH(B57,Excluded!$E$2:$E$19,0)),"Excluded (not a place)",IF(ISNUMBER(MATCH(B57,'Label Map'!$N$2:$N$2019,0)),"Auto-matched","UNMAPPED: add to Label Map")))</f>
        <v/>
      </c>
      <c r="D57" s="7" t="str">
        <f aca="false">IF(C57="Auto-matched",INDEX('Label Map'!$D$2:$D$2019,MATCH(B57,'Label Map'!$N$2:$N$2019,0)),"")</f>
        <v/>
      </c>
      <c r="E57" s="7" t="str">
        <f aca="false">IF(D57="","",IF(INDEX(Hierarchy!$B$2:$B$1295,MATCH(D57,Hierarchy!$A$2:$A$1295,0))="","",INDEX(Hierarchy!$B$2:$B$1295,MATCH(D57,Hierarchy!$A$2:$A$1295,0))))</f>
        <v/>
      </c>
      <c r="F57" s="7" t="str">
        <f aca="false">IF(D57="","",IF(INDEX(Hierarchy!$D$2:$D$1295,MATCH(D57,Hierarchy!$A$2:$A$1295,0))="","",INDEX(Hierarchy!$D$2:$D$1295,MATCH(D57,Hierarchy!$A$2:$A$1295,0))))</f>
        <v/>
      </c>
      <c r="G57" s="7" t="str">
        <f aca="false">IF(D57="","",IF(INDEX(Hierarchy!$E$2:$E$1295,MATCH(D57,Hierarchy!$A$2:$A$1295,0))="","",INDEX(Hierarchy!$E$2:$E$1295,MATCH(D57,Hierarchy!$A$2:$A$1295,0))))</f>
        <v/>
      </c>
      <c r="H57" s="7" t="str">
        <f aca="false">IF(D57="","",IF(INDEX(Hierarchy!$F$2:$F$1295,MATCH(D57,Hierarchy!$A$2:$A$1295,0))="","",INDEX(Hierarchy!$F$2:$F$1295,MATCH(D57,Hierarchy!$A$2:$A$1295,0))))</f>
        <v/>
      </c>
      <c r="I57" s="7" t="str">
        <f aca="false">IF(D57="","",IF(INDEX(Hierarchy!$H$2:$H$1295,MATCH(D57,Hierarchy!$A$2:$A$1295,0))="","",INDEX(Hierarchy!$H$2:$H$1295,MATCH(D57,Hierarchy!$A$2:$A$1295,0))))</f>
        <v/>
      </c>
    </row>
    <row r="58" customFormat="false" ht="15" hidden="false" customHeight="false" outlineLevel="0" collapsed="false">
      <c r="A58" s="19"/>
      <c r="B58" s="7" t="str">
        <f aca="false">IF(A58="","",TRIM(SUBSTITUTE(SUBSTITUTE(SUBSTITUTE(" "&amp;TRIM(SUBSTITUTE(SUBSTITUTE(SUBSTITUTE(SUBSTITUTE(SUBSTITUTE(SUBSTITUTE(SUBSTITUTE(SUBSTITUTE(SUBSTITUTE(SUBSTITUTE(SUBSTITUTE(SUBSTITUTE(SUBSTITUTE(SUBSTITUTE(SUBSTITUTE(UPPER(TRIM(A58)),"[MEMBER]",""),"{MEMBER}",""),"[MEMBER}",""),"MEMBER]",""),"(A)",""),"""",""),"“",""),"”",""),".",""),":",""),",",""),"–"," "),"-"," "),"/"," "),"&amp;"," AND "))&amp;" "," THE "," ")," TOTAL "," ")," OPERATIONS "," ")))</f>
        <v/>
      </c>
      <c r="C58" s="17" t="str">
        <f aca="false">IF(A58="","",IF(ISNUMBER(MATCH(B58,Excluded!$E$2:$E$19,0)),"Excluded (not a place)",IF(ISNUMBER(MATCH(B58,'Label Map'!$N$2:$N$2019,0)),"Auto-matched","UNMAPPED: add to Label Map")))</f>
        <v/>
      </c>
      <c r="D58" s="7" t="str">
        <f aca="false">IF(C58="Auto-matched",INDEX('Label Map'!$D$2:$D$2019,MATCH(B58,'Label Map'!$N$2:$N$2019,0)),"")</f>
        <v/>
      </c>
      <c r="E58" s="7" t="str">
        <f aca="false">IF(D58="","",IF(INDEX(Hierarchy!$B$2:$B$1295,MATCH(D58,Hierarchy!$A$2:$A$1295,0))="","",INDEX(Hierarchy!$B$2:$B$1295,MATCH(D58,Hierarchy!$A$2:$A$1295,0))))</f>
        <v/>
      </c>
      <c r="F58" s="7" t="str">
        <f aca="false">IF(D58="","",IF(INDEX(Hierarchy!$D$2:$D$1295,MATCH(D58,Hierarchy!$A$2:$A$1295,0))="","",INDEX(Hierarchy!$D$2:$D$1295,MATCH(D58,Hierarchy!$A$2:$A$1295,0))))</f>
        <v/>
      </c>
      <c r="G58" s="7" t="str">
        <f aca="false">IF(D58="","",IF(INDEX(Hierarchy!$E$2:$E$1295,MATCH(D58,Hierarchy!$A$2:$A$1295,0))="","",INDEX(Hierarchy!$E$2:$E$1295,MATCH(D58,Hierarchy!$A$2:$A$1295,0))))</f>
        <v/>
      </c>
      <c r="H58" s="7" t="str">
        <f aca="false">IF(D58="","",IF(INDEX(Hierarchy!$F$2:$F$1295,MATCH(D58,Hierarchy!$A$2:$A$1295,0))="","",INDEX(Hierarchy!$F$2:$F$1295,MATCH(D58,Hierarchy!$A$2:$A$1295,0))))</f>
        <v/>
      </c>
      <c r="I58" s="7" t="str">
        <f aca="false">IF(D58="","",IF(INDEX(Hierarchy!$H$2:$H$1295,MATCH(D58,Hierarchy!$A$2:$A$1295,0))="","",INDEX(Hierarchy!$H$2:$H$1295,MATCH(D58,Hierarchy!$A$2:$A$1295,0))))</f>
        <v/>
      </c>
    </row>
    <row r="59" customFormat="false" ht="15" hidden="false" customHeight="false" outlineLevel="0" collapsed="false">
      <c r="A59" s="19"/>
      <c r="B59" s="7" t="str">
        <f aca="false">IF(A59="","",TRIM(SUBSTITUTE(SUBSTITUTE(SUBSTITUTE(" "&amp;TRIM(SUBSTITUTE(SUBSTITUTE(SUBSTITUTE(SUBSTITUTE(SUBSTITUTE(SUBSTITUTE(SUBSTITUTE(SUBSTITUTE(SUBSTITUTE(SUBSTITUTE(SUBSTITUTE(SUBSTITUTE(SUBSTITUTE(SUBSTITUTE(SUBSTITUTE(UPPER(TRIM(A59)),"[MEMBER]",""),"{MEMBER}",""),"[MEMBER}",""),"MEMBER]",""),"(A)",""),"""",""),"“",""),"”",""),".",""),":",""),",",""),"–"," "),"-"," "),"/"," "),"&amp;"," AND "))&amp;" "," THE "," ")," TOTAL "," ")," OPERATIONS "," ")))</f>
        <v/>
      </c>
      <c r="C59" s="17" t="str">
        <f aca="false">IF(A59="","",IF(ISNUMBER(MATCH(B59,Excluded!$E$2:$E$19,0)),"Excluded (not a place)",IF(ISNUMBER(MATCH(B59,'Label Map'!$N$2:$N$2019,0)),"Auto-matched","UNMAPPED: add to Label Map")))</f>
        <v/>
      </c>
      <c r="D59" s="7" t="str">
        <f aca="false">IF(C59="Auto-matched",INDEX('Label Map'!$D$2:$D$2019,MATCH(B59,'Label Map'!$N$2:$N$2019,0)),"")</f>
        <v/>
      </c>
      <c r="E59" s="7" t="str">
        <f aca="false">IF(D59="","",IF(INDEX(Hierarchy!$B$2:$B$1295,MATCH(D59,Hierarchy!$A$2:$A$1295,0))="","",INDEX(Hierarchy!$B$2:$B$1295,MATCH(D59,Hierarchy!$A$2:$A$1295,0))))</f>
        <v/>
      </c>
      <c r="F59" s="7" t="str">
        <f aca="false">IF(D59="","",IF(INDEX(Hierarchy!$D$2:$D$1295,MATCH(D59,Hierarchy!$A$2:$A$1295,0))="","",INDEX(Hierarchy!$D$2:$D$1295,MATCH(D59,Hierarchy!$A$2:$A$1295,0))))</f>
        <v/>
      </c>
      <c r="G59" s="7" t="str">
        <f aca="false">IF(D59="","",IF(INDEX(Hierarchy!$E$2:$E$1295,MATCH(D59,Hierarchy!$A$2:$A$1295,0))="","",INDEX(Hierarchy!$E$2:$E$1295,MATCH(D59,Hierarchy!$A$2:$A$1295,0))))</f>
        <v/>
      </c>
      <c r="H59" s="7" t="str">
        <f aca="false">IF(D59="","",IF(INDEX(Hierarchy!$F$2:$F$1295,MATCH(D59,Hierarchy!$A$2:$A$1295,0))="","",INDEX(Hierarchy!$F$2:$F$1295,MATCH(D59,Hierarchy!$A$2:$A$1295,0))))</f>
        <v/>
      </c>
      <c r="I59" s="7" t="str">
        <f aca="false">IF(D59="","",IF(INDEX(Hierarchy!$H$2:$H$1295,MATCH(D59,Hierarchy!$A$2:$A$1295,0))="","",INDEX(Hierarchy!$H$2:$H$1295,MATCH(D59,Hierarchy!$A$2:$A$1295,0))))</f>
        <v/>
      </c>
    </row>
    <row r="60" customFormat="false" ht="15" hidden="false" customHeight="false" outlineLevel="0" collapsed="false">
      <c r="A60" s="19"/>
      <c r="B60" s="7" t="str">
        <f aca="false">IF(A60="","",TRIM(SUBSTITUTE(SUBSTITUTE(SUBSTITUTE(" "&amp;TRIM(SUBSTITUTE(SUBSTITUTE(SUBSTITUTE(SUBSTITUTE(SUBSTITUTE(SUBSTITUTE(SUBSTITUTE(SUBSTITUTE(SUBSTITUTE(SUBSTITUTE(SUBSTITUTE(SUBSTITUTE(SUBSTITUTE(SUBSTITUTE(SUBSTITUTE(UPPER(TRIM(A60)),"[MEMBER]",""),"{MEMBER}",""),"[MEMBER}",""),"MEMBER]",""),"(A)",""),"""",""),"“",""),"”",""),".",""),":",""),",",""),"–"," "),"-"," "),"/"," "),"&amp;"," AND "))&amp;" "," THE "," ")," TOTAL "," ")," OPERATIONS "," ")))</f>
        <v/>
      </c>
      <c r="C60" s="17" t="str">
        <f aca="false">IF(A60="","",IF(ISNUMBER(MATCH(B60,Excluded!$E$2:$E$19,0)),"Excluded (not a place)",IF(ISNUMBER(MATCH(B60,'Label Map'!$N$2:$N$2019,0)),"Auto-matched","UNMAPPED: add to Label Map")))</f>
        <v/>
      </c>
      <c r="D60" s="7" t="str">
        <f aca="false">IF(C60="Auto-matched",INDEX('Label Map'!$D$2:$D$2019,MATCH(B60,'Label Map'!$N$2:$N$2019,0)),"")</f>
        <v/>
      </c>
      <c r="E60" s="7" t="str">
        <f aca="false">IF(D60="","",IF(INDEX(Hierarchy!$B$2:$B$1295,MATCH(D60,Hierarchy!$A$2:$A$1295,0))="","",INDEX(Hierarchy!$B$2:$B$1295,MATCH(D60,Hierarchy!$A$2:$A$1295,0))))</f>
        <v/>
      </c>
      <c r="F60" s="7" t="str">
        <f aca="false">IF(D60="","",IF(INDEX(Hierarchy!$D$2:$D$1295,MATCH(D60,Hierarchy!$A$2:$A$1295,0))="","",INDEX(Hierarchy!$D$2:$D$1295,MATCH(D60,Hierarchy!$A$2:$A$1295,0))))</f>
        <v/>
      </c>
      <c r="G60" s="7" t="str">
        <f aca="false">IF(D60="","",IF(INDEX(Hierarchy!$E$2:$E$1295,MATCH(D60,Hierarchy!$A$2:$A$1295,0))="","",INDEX(Hierarchy!$E$2:$E$1295,MATCH(D60,Hierarchy!$A$2:$A$1295,0))))</f>
        <v/>
      </c>
      <c r="H60" s="7" t="str">
        <f aca="false">IF(D60="","",IF(INDEX(Hierarchy!$F$2:$F$1295,MATCH(D60,Hierarchy!$A$2:$A$1295,0))="","",INDEX(Hierarchy!$F$2:$F$1295,MATCH(D60,Hierarchy!$A$2:$A$1295,0))))</f>
        <v/>
      </c>
      <c r="I60" s="7" t="str">
        <f aca="false">IF(D60="","",IF(INDEX(Hierarchy!$H$2:$H$1295,MATCH(D60,Hierarchy!$A$2:$A$1295,0))="","",INDEX(Hierarchy!$H$2:$H$1295,MATCH(D60,Hierarchy!$A$2:$A$1295,0))))</f>
        <v/>
      </c>
    </row>
    <row r="61" customFormat="false" ht="15" hidden="false" customHeight="false" outlineLevel="0" collapsed="false">
      <c r="A61" s="19"/>
      <c r="B61" s="7" t="str">
        <f aca="false">IF(A61="","",TRIM(SUBSTITUTE(SUBSTITUTE(SUBSTITUTE(" "&amp;TRIM(SUBSTITUTE(SUBSTITUTE(SUBSTITUTE(SUBSTITUTE(SUBSTITUTE(SUBSTITUTE(SUBSTITUTE(SUBSTITUTE(SUBSTITUTE(SUBSTITUTE(SUBSTITUTE(SUBSTITUTE(SUBSTITUTE(SUBSTITUTE(SUBSTITUTE(UPPER(TRIM(A61)),"[MEMBER]",""),"{MEMBER}",""),"[MEMBER}",""),"MEMBER]",""),"(A)",""),"""",""),"“",""),"”",""),".",""),":",""),",",""),"–"," "),"-"," "),"/"," "),"&amp;"," AND "))&amp;" "," THE "," ")," TOTAL "," ")," OPERATIONS "," ")))</f>
        <v/>
      </c>
      <c r="C61" s="17" t="str">
        <f aca="false">IF(A61="","",IF(ISNUMBER(MATCH(B61,Excluded!$E$2:$E$19,0)),"Excluded (not a place)",IF(ISNUMBER(MATCH(B61,'Label Map'!$N$2:$N$2019,0)),"Auto-matched","UNMAPPED: add to Label Map")))</f>
        <v/>
      </c>
      <c r="D61" s="7" t="str">
        <f aca="false">IF(C61="Auto-matched",INDEX('Label Map'!$D$2:$D$2019,MATCH(B61,'Label Map'!$N$2:$N$2019,0)),"")</f>
        <v/>
      </c>
      <c r="E61" s="7" t="str">
        <f aca="false">IF(D61="","",IF(INDEX(Hierarchy!$B$2:$B$1295,MATCH(D61,Hierarchy!$A$2:$A$1295,0))="","",INDEX(Hierarchy!$B$2:$B$1295,MATCH(D61,Hierarchy!$A$2:$A$1295,0))))</f>
        <v/>
      </c>
      <c r="F61" s="7" t="str">
        <f aca="false">IF(D61="","",IF(INDEX(Hierarchy!$D$2:$D$1295,MATCH(D61,Hierarchy!$A$2:$A$1295,0))="","",INDEX(Hierarchy!$D$2:$D$1295,MATCH(D61,Hierarchy!$A$2:$A$1295,0))))</f>
        <v/>
      </c>
      <c r="G61" s="7" t="str">
        <f aca="false">IF(D61="","",IF(INDEX(Hierarchy!$E$2:$E$1295,MATCH(D61,Hierarchy!$A$2:$A$1295,0))="","",INDEX(Hierarchy!$E$2:$E$1295,MATCH(D61,Hierarchy!$A$2:$A$1295,0))))</f>
        <v/>
      </c>
      <c r="H61" s="7" t="str">
        <f aca="false">IF(D61="","",IF(INDEX(Hierarchy!$F$2:$F$1295,MATCH(D61,Hierarchy!$A$2:$A$1295,0))="","",INDEX(Hierarchy!$F$2:$F$1295,MATCH(D61,Hierarchy!$A$2:$A$1295,0))))</f>
        <v/>
      </c>
      <c r="I61" s="7" t="str">
        <f aca="false">IF(D61="","",IF(INDEX(Hierarchy!$H$2:$H$1295,MATCH(D61,Hierarchy!$A$2:$A$1295,0))="","",INDEX(Hierarchy!$H$2:$H$1295,MATCH(D61,Hierarchy!$A$2:$A$1295,0))))</f>
        <v/>
      </c>
    </row>
    <row r="62" customFormat="false" ht="15" hidden="false" customHeight="false" outlineLevel="0" collapsed="false">
      <c r="A62" s="19"/>
      <c r="B62" s="7" t="str">
        <f aca="false">IF(A62="","",TRIM(SUBSTITUTE(SUBSTITUTE(SUBSTITUTE(" "&amp;TRIM(SUBSTITUTE(SUBSTITUTE(SUBSTITUTE(SUBSTITUTE(SUBSTITUTE(SUBSTITUTE(SUBSTITUTE(SUBSTITUTE(SUBSTITUTE(SUBSTITUTE(SUBSTITUTE(SUBSTITUTE(SUBSTITUTE(SUBSTITUTE(SUBSTITUTE(UPPER(TRIM(A62)),"[MEMBER]",""),"{MEMBER}",""),"[MEMBER}",""),"MEMBER]",""),"(A)",""),"""",""),"“",""),"”",""),".",""),":",""),",",""),"–"," "),"-"," "),"/"," "),"&amp;"," AND "))&amp;" "," THE "," ")," TOTAL "," ")," OPERATIONS "," ")))</f>
        <v/>
      </c>
      <c r="C62" s="17" t="str">
        <f aca="false">IF(A62="","",IF(ISNUMBER(MATCH(B62,Excluded!$E$2:$E$19,0)),"Excluded (not a place)",IF(ISNUMBER(MATCH(B62,'Label Map'!$N$2:$N$2019,0)),"Auto-matched","UNMAPPED: add to Label Map")))</f>
        <v/>
      </c>
      <c r="D62" s="7" t="str">
        <f aca="false">IF(C62="Auto-matched",INDEX('Label Map'!$D$2:$D$2019,MATCH(B62,'Label Map'!$N$2:$N$2019,0)),"")</f>
        <v/>
      </c>
      <c r="E62" s="7" t="str">
        <f aca="false">IF(D62="","",IF(INDEX(Hierarchy!$B$2:$B$1295,MATCH(D62,Hierarchy!$A$2:$A$1295,0))="","",INDEX(Hierarchy!$B$2:$B$1295,MATCH(D62,Hierarchy!$A$2:$A$1295,0))))</f>
        <v/>
      </c>
      <c r="F62" s="7" t="str">
        <f aca="false">IF(D62="","",IF(INDEX(Hierarchy!$D$2:$D$1295,MATCH(D62,Hierarchy!$A$2:$A$1295,0))="","",INDEX(Hierarchy!$D$2:$D$1295,MATCH(D62,Hierarchy!$A$2:$A$1295,0))))</f>
        <v/>
      </c>
      <c r="G62" s="7" t="str">
        <f aca="false">IF(D62="","",IF(INDEX(Hierarchy!$E$2:$E$1295,MATCH(D62,Hierarchy!$A$2:$A$1295,0))="","",INDEX(Hierarchy!$E$2:$E$1295,MATCH(D62,Hierarchy!$A$2:$A$1295,0))))</f>
        <v/>
      </c>
      <c r="H62" s="7" t="str">
        <f aca="false">IF(D62="","",IF(INDEX(Hierarchy!$F$2:$F$1295,MATCH(D62,Hierarchy!$A$2:$A$1295,0))="","",INDEX(Hierarchy!$F$2:$F$1295,MATCH(D62,Hierarchy!$A$2:$A$1295,0))))</f>
        <v/>
      </c>
      <c r="I62" s="7" t="str">
        <f aca="false">IF(D62="","",IF(INDEX(Hierarchy!$H$2:$H$1295,MATCH(D62,Hierarchy!$A$2:$A$1295,0))="","",INDEX(Hierarchy!$H$2:$H$1295,MATCH(D62,Hierarchy!$A$2:$A$1295,0))))</f>
        <v/>
      </c>
    </row>
    <row r="63" customFormat="false" ht="15" hidden="false" customHeight="false" outlineLevel="0" collapsed="false">
      <c r="A63" s="19"/>
      <c r="B63" s="7" t="str">
        <f aca="false">IF(A63="","",TRIM(SUBSTITUTE(SUBSTITUTE(SUBSTITUTE(" "&amp;TRIM(SUBSTITUTE(SUBSTITUTE(SUBSTITUTE(SUBSTITUTE(SUBSTITUTE(SUBSTITUTE(SUBSTITUTE(SUBSTITUTE(SUBSTITUTE(SUBSTITUTE(SUBSTITUTE(SUBSTITUTE(SUBSTITUTE(SUBSTITUTE(SUBSTITUTE(UPPER(TRIM(A63)),"[MEMBER]",""),"{MEMBER}",""),"[MEMBER}",""),"MEMBER]",""),"(A)",""),"""",""),"“",""),"”",""),".",""),":",""),",",""),"–"," "),"-"," "),"/"," "),"&amp;"," AND "))&amp;" "," THE "," ")," TOTAL "," ")," OPERATIONS "," ")))</f>
        <v/>
      </c>
      <c r="C63" s="17" t="str">
        <f aca="false">IF(A63="","",IF(ISNUMBER(MATCH(B63,Excluded!$E$2:$E$19,0)),"Excluded (not a place)",IF(ISNUMBER(MATCH(B63,'Label Map'!$N$2:$N$2019,0)),"Auto-matched","UNMAPPED: add to Label Map")))</f>
        <v/>
      </c>
      <c r="D63" s="7" t="str">
        <f aca="false">IF(C63="Auto-matched",INDEX('Label Map'!$D$2:$D$2019,MATCH(B63,'Label Map'!$N$2:$N$2019,0)),"")</f>
        <v/>
      </c>
      <c r="E63" s="7" t="str">
        <f aca="false">IF(D63="","",IF(INDEX(Hierarchy!$B$2:$B$1295,MATCH(D63,Hierarchy!$A$2:$A$1295,0))="","",INDEX(Hierarchy!$B$2:$B$1295,MATCH(D63,Hierarchy!$A$2:$A$1295,0))))</f>
        <v/>
      </c>
      <c r="F63" s="7" t="str">
        <f aca="false">IF(D63="","",IF(INDEX(Hierarchy!$D$2:$D$1295,MATCH(D63,Hierarchy!$A$2:$A$1295,0))="","",INDEX(Hierarchy!$D$2:$D$1295,MATCH(D63,Hierarchy!$A$2:$A$1295,0))))</f>
        <v/>
      </c>
      <c r="G63" s="7" t="str">
        <f aca="false">IF(D63="","",IF(INDEX(Hierarchy!$E$2:$E$1295,MATCH(D63,Hierarchy!$A$2:$A$1295,0))="","",INDEX(Hierarchy!$E$2:$E$1295,MATCH(D63,Hierarchy!$A$2:$A$1295,0))))</f>
        <v/>
      </c>
      <c r="H63" s="7" t="str">
        <f aca="false">IF(D63="","",IF(INDEX(Hierarchy!$F$2:$F$1295,MATCH(D63,Hierarchy!$A$2:$A$1295,0))="","",INDEX(Hierarchy!$F$2:$F$1295,MATCH(D63,Hierarchy!$A$2:$A$1295,0))))</f>
        <v/>
      </c>
      <c r="I63" s="7" t="str">
        <f aca="false">IF(D63="","",IF(INDEX(Hierarchy!$H$2:$H$1295,MATCH(D63,Hierarchy!$A$2:$A$1295,0))="","",INDEX(Hierarchy!$H$2:$H$1295,MATCH(D63,Hierarchy!$A$2:$A$1295,0))))</f>
        <v/>
      </c>
    </row>
    <row r="64" customFormat="false" ht="15" hidden="false" customHeight="false" outlineLevel="0" collapsed="false">
      <c r="A64" s="19"/>
      <c r="B64" s="7" t="str">
        <f aca="false">IF(A64="","",TRIM(SUBSTITUTE(SUBSTITUTE(SUBSTITUTE(" "&amp;TRIM(SUBSTITUTE(SUBSTITUTE(SUBSTITUTE(SUBSTITUTE(SUBSTITUTE(SUBSTITUTE(SUBSTITUTE(SUBSTITUTE(SUBSTITUTE(SUBSTITUTE(SUBSTITUTE(SUBSTITUTE(SUBSTITUTE(SUBSTITUTE(SUBSTITUTE(UPPER(TRIM(A64)),"[MEMBER]",""),"{MEMBER}",""),"[MEMBER}",""),"MEMBER]",""),"(A)",""),"""",""),"“",""),"”",""),".",""),":",""),",",""),"–"," "),"-"," "),"/"," "),"&amp;"," AND "))&amp;" "," THE "," ")," TOTAL "," ")," OPERATIONS "," ")))</f>
        <v/>
      </c>
      <c r="C64" s="17" t="str">
        <f aca="false">IF(A64="","",IF(ISNUMBER(MATCH(B64,Excluded!$E$2:$E$19,0)),"Excluded (not a place)",IF(ISNUMBER(MATCH(B64,'Label Map'!$N$2:$N$2019,0)),"Auto-matched","UNMAPPED: add to Label Map")))</f>
        <v/>
      </c>
      <c r="D64" s="7" t="str">
        <f aca="false">IF(C64="Auto-matched",INDEX('Label Map'!$D$2:$D$2019,MATCH(B64,'Label Map'!$N$2:$N$2019,0)),"")</f>
        <v/>
      </c>
      <c r="E64" s="7" t="str">
        <f aca="false">IF(D64="","",IF(INDEX(Hierarchy!$B$2:$B$1295,MATCH(D64,Hierarchy!$A$2:$A$1295,0))="","",INDEX(Hierarchy!$B$2:$B$1295,MATCH(D64,Hierarchy!$A$2:$A$1295,0))))</f>
        <v/>
      </c>
      <c r="F64" s="7" t="str">
        <f aca="false">IF(D64="","",IF(INDEX(Hierarchy!$D$2:$D$1295,MATCH(D64,Hierarchy!$A$2:$A$1295,0))="","",INDEX(Hierarchy!$D$2:$D$1295,MATCH(D64,Hierarchy!$A$2:$A$1295,0))))</f>
        <v/>
      </c>
      <c r="G64" s="7" t="str">
        <f aca="false">IF(D64="","",IF(INDEX(Hierarchy!$E$2:$E$1295,MATCH(D64,Hierarchy!$A$2:$A$1295,0))="","",INDEX(Hierarchy!$E$2:$E$1295,MATCH(D64,Hierarchy!$A$2:$A$1295,0))))</f>
        <v/>
      </c>
      <c r="H64" s="7" t="str">
        <f aca="false">IF(D64="","",IF(INDEX(Hierarchy!$F$2:$F$1295,MATCH(D64,Hierarchy!$A$2:$A$1295,0))="","",INDEX(Hierarchy!$F$2:$F$1295,MATCH(D64,Hierarchy!$A$2:$A$1295,0))))</f>
        <v/>
      </c>
      <c r="I64" s="7" t="str">
        <f aca="false">IF(D64="","",IF(INDEX(Hierarchy!$H$2:$H$1295,MATCH(D64,Hierarchy!$A$2:$A$1295,0))="","",INDEX(Hierarchy!$H$2:$H$1295,MATCH(D64,Hierarchy!$A$2:$A$1295,0))))</f>
        <v/>
      </c>
    </row>
    <row r="65" customFormat="false" ht="15" hidden="false" customHeight="false" outlineLevel="0" collapsed="false">
      <c r="A65" s="19"/>
      <c r="B65" s="7" t="str">
        <f aca="false">IF(A65="","",TRIM(SUBSTITUTE(SUBSTITUTE(SUBSTITUTE(" "&amp;TRIM(SUBSTITUTE(SUBSTITUTE(SUBSTITUTE(SUBSTITUTE(SUBSTITUTE(SUBSTITUTE(SUBSTITUTE(SUBSTITUTE(SUBSTITUTE(SUBSTITUTE(SUBSTITUTE(SUBSTITUTE(SUBSTITUTE(SUBSTITUTE(SUBSTITUTE(UPPER(TRIM(A65)),"[MEMBER]",""),"{MEMBER}",""),"[MEMBER}",""),"MEMBER]",""),"(A)",""),"""",""),"“",""),"”",""),".",""),":",""),",",""),"–"," "),"-"," "),"/"," "),"&amp;"," AND "))&amp;" "," THE "," ")," TOTAL "," ")," OPERATIONS "," ")))</f>
        <v/>
      </c>
      <c r="C65" s="17" t="str">
        <f aca="false">IF(A65="","",IF(ISNUMBER(MATCH(B65,Excluded!$E$2:$E$19,0)),"Excluded (not a place)",IF(ISNUMBER(MATCH(B65,'Label Map'!$N$2:$N$2019,0)),"Auto-matched","UNMAPPED: add to Label Map")))</f>
        <v/>
      </c>
      <c r="D65" s="7" t="str">
        <f aca="false">IF(C65="Auto-matched",INDEX('Label Map'!$D$2:$D$2019,MATCH(B65,'Label Map'!$N$2:$N$2019,0)),"")</f>
        <v/>
      </c>
      <c r="E65" s="7" t="str">
        <f aca="false">IF(D65="","",IF(INDEX(Hierarchy!$B$2:$B$1295,MATCH(D65,Hierarchy!$A$2:$A$1295,0))="","",INDEX(Hierarchy!$B$2:$B$1295,MATCH(D65,Hierarchy!$A$2:$A$1295,0))))</f>
        <v/>
      </c>
      <c r="F65" s="7" t="str">
        <f aca="false">IF(D65="","",IF(INDEX(Hierarchy!$D$2:$D$1295,MATCH(D65,Hierarchy!$A$2:$A$1295,0))="","",INDEX(Hierarchy!$D$2:$D$1295,MATCH(D65,Hierarchy!$A$2:$A$1295,0))))</f>
        <v/>
      </c>
      <c r="G65" s="7" t="str">
        <f aca="false">IF(D65="","",IF(INDEX(Hierarchy!$E$2:$E$1295,MATCH(D65,Hierarchy!$A$2:$A$1295,0))="","",INDEX(Hierarchy!$E$2:$E$1295,MATCH(D65,Hierarchy!$A$2:$A$1295,0))))</f>
        <v/>
      </c>
      <c r="H65" s="7" t="str">
        <f aca="false">IF(D65="","",IF(INDEX(Hierarchy!$F$2:$F$1295,MATCH(D65,Hierarchy!$A$2:$A$1295,0))="","",INDEX(Hierarchy!$F$2:$F$1295,MATCH(D65,Hierarchy!$A$2:$A$1295,0))))</f>
        <v/>
      </c>
      <c r="I65" s="7" t="str">
        <f aca="false">IF(D65="","",IF(INDEX(Hierarchy!$H$2:$H$1295,MATCH(D65,Hierarchy!$A$2:$A$1295,0))="","",INDEX(Hierarchy!$H$2:$H$1295,MATCH(D65,Hierarchy!$A$2:$A$1295,0))))</f>
        <v/>
      </c>
    </row>
    <row r="66" customFormat="false" ht="15" hidden="false" customHeight="false" outlineLevel="0" collapsed="false">
      <c r="A66" s="19"/>
      <c r="B66" s="7" t="str">
        <f aca="false">IF(A66="","",TRIM(SUBSTITUTE(SUBSTITUTE(SUBSTITUTE(" "&amp;TRIM(SUBSTITUTE(SUBSTITUTE(SUBSTITUTE(SUBSTITUTE(SUBSTITUTE(SUBSTITUTE(SUBSTITUTE(SUBSTITUTE(SUBSTITUTE(SUBSTITUTE(SUBSTITUTE(SUBSTITUTE(SUBSTITUTE(SUBSTITUTE(SUBSTITUTE(UPPER(TRIM(A66)),"[MEMBER]",""),"{MEMBER}",""),"[MEMBER}",""),"MEMBER]",""),"(A)",""),"""",""),"“",""),"”",""),".",""),":",""),",",""),"–"," "),"-"," "),"/"," "),"&amp;"," AND "))&amp;" "," THE "," ")," TOTAL "," ")," OPERATIONS "," ")))</f>
        <v/>
      </c>
      <c r="C66" s="17" t="str">
        <f aca="false">IF(A66="","",IF(ISNUMBER(MATCH(B66,Excluded!$E$2:$E$19,0)),"Excluded (not a place)",IF(ISNUMBER(MATCH(B66,'Label Map'!$N$2:$N$2019,0)),"Auto-matched","UNMAPPED: add to Label Map")))</f>
        <v/>
      </c>
      <c r="D66" s="7" t="str">
        <f aca="false">IF(C66="Auto-matched",INDEX('Label Map'!$D$2:$D$2019,MATCH(B66,'Label Map'!$N$2:$N$2019,0)),"")</f>
        <v/>
      </c>
      <c r="E66" s="7" t="str">
        <f aca="false">IF(D66="","",IF(INDEX(Hierarchy!$B$2:$B$1295,MATCH(D66,Hierarchy!$A$2:$A$1295,0))="","",INDEX(Hierarchy!$B$2:$B$1295,MATCH(D66,Hierarchy!$A$2:$A$1295,0))))</f>
        <v/>
      </c>
      <c r="F66" s="7" t="str">
        <f aca="false">IF(D66="","",IF(INDEX(Hierarchy!$D$2:$D$1295,MATCH(D66,Hierarchy!$A$2:$A$1295,0))="","",INDEX(Hierarchy!$D$2:$D$1295,MATCH(D66,Hierarchy!$A$2:$A$1295,0))))</f>
        <v/>
      </c>
      <c r="G66" s="7" t="str">
        <f aca="false">IF(D66="","",IF(INDEX(Hierarchy!$E$2:$E$1295,MATCH(D66,Hierarchy!$A$2:$A$1295,0))="","",INDEX(Hierarchy!$E$2:$E$1295,MATCH(D66,Hierarchy!$A$2:$A$1295,0))))</f>
        <v/>
      </c>
      <c r="H66" s="7" t="str">
        <f aca="false">IF(D66="","",IF(INDEX(Hierarchy!$F$2:$F$1295,MATCH(D66,Hierarchy!$A$2:$A$1295,0))="","",INDEX(Hierarchy!$F$2:$F$1295,MATCH(D66,Hierarchy!$A$2:$A$1295,0))))</f>
        <v/>
      </c>
      <c r="I66" s="7" t="str">
        <f aca="false">IF(D66="","",IF(INDEX(Hierarchy!$H$2:$H$1295,MATCH(D66,Hierarchy!$A$2:$A$1295,0))="","",INDEX(Hierarchy!$H$2:$H$1295,MATCH(D66,Hierarchy!$A$2:$A$1295,0))))</f>
        <v/>
      </c>
    </row>
    <row r="67" customFormat="false" ht="15" hidden="false" customHeight="false" outlineLevel="0" collapsed="false">
      <c r="A67" s="19"/>
      <c r="B67" s="7" t="str">
        <f aca="false">IF(A67="","",TRIM(SUBSTITUTE(SUBSTITUTE(SUBSTITUTE(" "&amp;TRIM(SUBSTITUTE(SUBSTITUTE(SUBSTITUTE(SUBSTITUTE(SUBSTITUTE(SUBSTITUTE(SUBSTITUTE(SUBSTITUTE(SUBSTITUTE(SUBSTITUTE(SUBSTITUTE(SUBSTITUTE(SUBSTITUTE(SUBSTITUTE(SUBSTITUTE(UPPER(TRIM(A67)),"[MEMBER]",""),"{MEMBER}",""),"[MEMBER}",""),"MEMBER]",""),"(A)",""),"""",""),"“",""),"”",""),".",""),":",""),",",""),"–"," "),"-"," "),"/"," "),"&amp;"," AND "))&amp;" "," THE "," ")," TOTAL "," ")," OPERATIONS "," ")))</f>
        <v/>
      </c>
      <c r="C67" s="17" t="str">
        <f aca="false">IF(A67="","",IF(ISNUMBER(MATCH(B67,Excluded!$E$2:$E$19,0)),"Excluded (not a place)",IF(ISNUMBER(MATCH(B67,'Label Map'!$N$2:$N$2019,0)),"Auto-matched","UNMAPPED: add to Label Map")))</f>
        <v/>
      </c>
      <c r="D67" s="7" t="str">
        <f aca="false">IF(C67="Auto-matched",INDEX('Label Map'!$D$2:$D$2019,MATCH(B67,'Label Map'!$N$2:$N$2019,0)),"")</f>
        <v/>
      </c>
      <c r="E67" s="7" t="str">
        <f aca="false">IF(D67="","",IF(INDEX(Hierarchy!$B$2:$B$1295,MATCH(D67,Hierarchy!$A$2:$A$1295,0))="","",INDEX(Hierarchy!$B$2:$B$1295,MATCH(D67,Hierarchy!$A$2:$A$1295,0))))</f>
        <v/>
      </c>
      <c r="F67" s="7" t="str">
        <f aca="false">IF(D67="","",IF(INDEX(Hierarchy!$D$2:$D$1295,MATCH(D67,Hierarchy!$A$2:$A$1295,0))="","",INDEX(Hierarchy!$D$2:$D$1295,MATCH(D67,Hierarchy!$A$2:$A$1295,0))))</f>
        <v/>
      </c>
      <c r="G67" s="7" t="str">
        <f aca="false">IF(D67="","",IF(INDEX(Hierarchy!$E$2:$E$1295,MATCH(D67,Hierarchy!$A$2:$A$1295,0))="","",INDEX(Hierarchy!$E$2:$E$1295,MATCH(D67,Hierarchy!$A$2:$A$1295,0))))</f>
        <v/>
      </c>
      <c r="H67" s="7" t="str">
        <f aca="false">IF(D67="","",IF(INDEX(Hierarchy!$F$2:$F$1295,MATCH(D67,Hierarchy!$A$2:$A$1295,0))="","",INDEX(Hierarchy!$F$2:$F$1295,MATCH(D67,Hierarchy!$A$2:$A$1295,0))))</f>
        <v/>
      </c>
      <c r="I67" s="7" t="str">
        <f aca="false">IF(D67="","",IF(INDEX(Hierarchy!$H$2:$H$1295,MATCH(D67,Hierarchy!$A$2:$A$1295,0))="","",INDEX(Hierarchy!$H$2:$H$1295,MATCH(D67,Hierarchy!$A$2:$A$1295,0))))</f>
        <v/>
      </c>
    </row>
    <row r="68" customFormat="false" ht="15" hidden="false" customHeight="false" outlineLevel="0" collapsed="false">
      <c r="A68" s="19"/>
      <c r="B68" s="7" t="str">
        <f aca="false">IF(A68="","",TRIM(SUBSTITUTE(SUBSTITUTE(SUBSTITUTE(" "&amp;TRIM(SUBSTITUTE(SUBSTITUTE(SUBSTITUTE(SUBSTITUTE(SUBSTITUTE(SUBSTITUTE(SUBSTITUTE(SUBSTITUTE(SUBSTITUTE(SUBSTITUTE(SUBSTITUTE(SUBSTITUTE(SUBSTITUTE(SUBSTITUTE(SUBSTITUTE(UPPER(TRIM(A68)),"[MEMBER]",""),"{MEMBER}",""),"[MEMBER}",""),"MEMBER]",""),"(A)",""),"""",""),"“",""),"”",""),".",""),":",""),",",""),"–"," "),"-"," "),"/"," "),"&amp;"," AND "))&amp;" "," THE "," ")," TOTAL "," ")," OPERATIONS "," ")))</f>
        <v/>
      </c>
      <c r="C68" s="17" t="str">
        <f aca="false">IF(A68="","",IF(ISNUMBER(MATCH(B68,Excluded!$E$2:$E$19,0)),"Excluded (not a place)",IF(ISNUMBER(MATCH(B68,'Label Map'!$N$2:$N$2019,0)),"Auto-matched","UNMAPPED: add to Label Map")))</f>
        <v/>
      </c>
      <c r="D68" s="7" t="str">
        <f aca="false">IF(C68="Auto-matched",INDEX('Label Map'!$D$2:$D$2019,MATCH(B68,'Label Map'!$N$2:$N$2019,0)),"")</f>
        <v/>
      </c>
      <c r="E68" s="7" t="str">
        <f aca="false">IF(D68="","",IF(INDEX(Hierarchy!$B$2:$B$1295,MATCH(D68,Hierarchy!$A$2:$A$1295,0))="","",INDEX(Hierarchy!$B$2:$B$1295,MATCH(D68,Hierarchy!$A$2:$A$1295,0))))</f>
        <v/>
      </c>
      <c r="F68" s="7" t="str">
        <f aca="false">IF(D68="","",IF(INDEX(Hierarchy!$D$2:$D$1295,MATCH(D68,Hierarchy!$A$2:$A$1295,0))="","",INDEX(Hierarchy!$D$2:$D$1295,MATCH(D68,Hierarchy!$A$2:$A$1295,0))))</f>
        <v/>
      </c>
      <c r="G68" s="7" t="str">
        <f aca="false">IF(D68="","",IF(INDEX(Hierarchy!$E$2:$E$1295,MATCH(D68,Hierarchy!$A$2:$A$1295,0))="","",INDEX(Hierarchy!$E$2:$E$1295,MATCH(D68,Hierarchy!$A$2:$A$1295,0))))</f>
        <v/>
      </c>
      <c r="H68" s="7" t="str">
        <f aca="false">IF(D68="","",IF(INDEX(Hierarchy!$F$2:$F$1295,MATCH(D68,Hierarchy!$A$2:$A$1295,0))="","",INDEX(Hierarchy!$F$2:$F$1295,MATCH(D68,Hierarchy!$A$2:$A$1295,0))))</f>
        <v/>
      </c>
      <c r="I68" s="7" t="str">
        <f aca="false">IF(D68="","",IF(INDEX(Hierarchy!$H$2:$H$1295,MATCH(D68,Hierarchy!$A$2:$A$1295,0))="","",INDEX(Hierarchy!$H$2:$H$1295,MATCH(D68,Hierarchy!$A$2:$A$1295,0))))</f>
        <v/>
      </c>
    </row>
    <row r="69" customFormat="false" ht="15" hidden="false" customHeight="false" outlineLevel="0" collapsed="false">
      <c r="A69" s="19"/>
      <c r="B69" s="7" t="str">
        <f aca="false">IF(A69="","",TRIM(SUBSTITUTE(SUBSTITUTE(SUBSTITUTE(" "&amp;TRIM(SUBSTITUTE(SUBSTITUTE(SUBSTITUTE(SUBSTITUTE(SUBSTITUTE(SUBSTITUTE(SUBSTITUTE(SUBSTITUTE(SUBSTITUTE(SUBSTITUTE(SUBSTITUTE(SUBSTITUTE(SUBSTITUTE(SUBSTITUTE(SUBSTITUTE(UPPER(TRIM(A69)),"[MEMBER]",""),"{MEMBER}",""),"[MEMBER}",""),"MEMBER]",""),"(A)",""),"""",""),"“",""),"”",""),".",""),":",""),",",""),"–"," "),"-"," "),"/"," "),"&amp;"," AND "))&amp;" "," THE "," ")," TOTAL "," ")," OPERATIONS "," ")))</f>
        <v/>
      </c>
      <c r="C69" s="17" t="str">
        <f aca="false">IF(A69="","",IF(ISNUMBER(MATCH(B69,Excluded!$E$2:$E$19,0)),"Excluded (not a place)",IF(ISNUMBER(MATCH(B69,'Label Map'!$N$2:$N$2019,0)),"Auto-matched","UNMAPPED: add to Label Map")))</f>
        <v/>
      </c>
      <c r="D69" s="7" t="str">
        <f aca="false">IF(C69="Auto-matched",INDEX('Label Map'!$D$2:$D$2019,MATCH(B69,'Label Map'!$N$2:$N$2019,0)),"")</f>
        <v/>
      </c>
      <c r="E69" s="7" t="str">
        <f aca="false">IF(D69="","",IF(INDEX(Hierarchy!$B$2:$B$1295,MATCH(D69,Hierarchy!$A$2:$A$1295,0))="","",INDEX(Hierarchy!$B$2:$B$1295,MATCH(D69,Hierarchy!$A$2:$A$1295,0))))</f>
        <v/>
      </c>
      <c r="F69" s="7" t="str">
        <f aca="false">IF(D69="","",IF(INDEX(Hierarchy!$D$2:$D$1295,MATCH(D69,Hierarchy!$A$2:$A$1295,0))="","",INDEX(Hierarchy!$D$2:$D$1295,MATCH(D69,Hierarchy!$A$2:$A$1295,0))))</f>
        <v/>
      </c>
      <c r="G69" s="7" t="str">
        <f aca="false">IF(D69="","",IF(INDEX(Hierarchy!$E$2:$E$1295,MATCH(D69,Hierarchy!$A$2:$A$1295,0))="","",INDEX(Hierarchy!$E$2:$E$1295,MATCH(D69,Hierarchy!$A$2:$A$1295,0))))</f>
        <v/>
      </c>
      <c r="H69" s="7" t="str">
        <f aca="false">IF(D69="","",IF(INDEX(Hierarchy!$F$2:$F$1295,MATCH(D69,Hierarchy!$A$2:$A$1295,0))="","",INDEX(Hierarchy!$F$2:$F$1295,MATCH(D69,Hierarchy!$A$2:$A$1295,0))))</f>
        <v/>
      </c>
      <c r="I69" s="7" t="str">
        <f aca="false">IF(D69="","",IF(INDEX(Hierarchy!$H$2:$H$1295,MATCH(D69,Hierarchy!$A$2:$A$1295,0))="","",INDEX(Hierarchy!$H$2:$H$1295,MATCH(D69,Hierarchy!$A$2:$A$1295,0))))</f>
        <v/>
      </c>
    </row>
    <row r="70" customFormat="false" ht="15" hidden="false" customHeight="false" outlineLevel="0" collapsed="false">
      <c r="A70" s="19"/>
      <c r="B70" s="7" t="str">
        <f aca="false">IF(A70="","",TRIM(SUBSTITUTE(SUBSTITUTE(SUBSTITUTE(" "&amp;TRIM(SUBSTITUTE(SUBSTITUTE(SUBSTITUTE(SUBSTITUTE(SUBSTITUTE(SUBSTITUTE(SUBSTITUTE(SUBSTITUTE(SUBSTITUTE(SUBSTITUTE(SUBSTITUTE(SUBSTITUTE(SUBSTITUTE(SUBSTITUTE(SUBSTITUTE(UPPER(TRIM(A70)),"[MEMBER]",""),"{MEMBER}",""),"[MEMBER}",""),"MEMBER]",""),"(A)",""),"""",""),"“",""),"”",""),".",""),":",""),",",""),"–"," "),"-"," "),"/"," "),"&amp;"," AND "))&amp;" "," THE "," ")," TOTAL "," ")," OPERATIONS "," ")))</f>
        <v/>
      </c>
      <c r="C70" s="17" t="str">
        <f aca="false">IF(A70="","",IF(ISNUMBER(MATCH(B70,Excluded!$E$2:$E$19,0)),"Excluded (not a place)",IF(ISNUMBER(MATCH(B70,'Label Map'!$N$2:$N$2019,0)),"Auto-matched","UNMAPPED: add to Label Map")))</f>
        <v/>
      </c>
      <c r="D70" s="7" t="str">
        <f aca="false">IF(C70="Auto-matched",INDEX('Label Map'!$D$2:$D$2019,MATCH(B70,'Label Map'!$N$2:$N$2019,0)),"")</f>
        <v/>
      </c>
      <c r="E70" s="7" t="str">
        <f aca="false">IF(D70="","",IF(INDEX(Hierarchy!$B$2:$B$1295,MATCH(D70,Hierarchy!$A$2:$A$1295,0))="","",INDEX(Hierarchy!$B$2:$B$1295,MATCH(D70,Hierarchy!$A$2:$A$1295,0))))</f>
        <v/>
      </c>
      <c r="F70" s="7" t="str">
        <f aca="false">IF(D70="","",IF(INDEX(Hierarchy!$D$2:$D$1295,MATCH(D70,Hierarchy!$A$2:$A$1295,0))="","",INDEX(Hierarchy!$D$2:$D$1295,MATCH(D70,Hierarchy!$A$2:$A$1295,0))))</f>
        <v/>
      </c>
      <c r="G70" s="7" t="str">
        <f aca="false">IF(D70="","",IF(INDEX(Hierarchy!$E$2:$E$1295,MATCH(D70,Hierarchy!$A$2:$A$1295,0))="","",INDEX(Hierarchy!$E$2:$E$1295,MATCH(D70,Hierarchy!$A$2:$A$1295,0))))</f>
        <v/>
      </c>
      <c r="H70" s="7" t="str">
        <f aca="false">IF(D70="","",IF(INDEX(Hierarchy!$F$2:$F$1295,MATCH(D70,Hierarchy!$A$2:$A$1295,0))="","",INDEX(Hierarchy!$F$2:$F$1295,MATCH(D70,Hierarchy!$A$2:$A$1295,0))))</f>
        <v/>
      </c>
      <c r="I70" s="7" t="str">
        <f aca="false">IF(D70="","",IF(INDEX(Hierarchy!$H$2:$H$1295,MATCH(D70,Hierarchy!$A$2:$A$1295,0))="","",INDEX(Hierarchy!$H$2:$H$1295,MATCH(D70,Hierarchy!$A$2:$A$1295,0))))</f>
        <v/>
      </c>
    </row>
    <row r="71" customFormat="false" ht="15" hidden="false" customHeight="false" outlineLevel="0" collapsed="false">
      <c r="A71" s="19"/>
      <c r="B71" s="7" t="str">
        <f aca="false">IF(A71="","",TRIM(SUBSTITUTE(SUBSTITUTE(SUBSTITUTE(" "&amp;TRIM(SUBSTITUTE(SUBSTITUTE(SUBSTITUTE(SUBSTITUTE(SUBSTITUTE(SUBSTITUTE(SUBSTITUTE(SUBSTITUTE(SUBSTITUTE(SUBSTITUTE(SUBSTITUTE(SUBSTITUTE(SUBSTITUTE(SUBSTITUTE(SUBSTITUTE(UPPER(TRIM(A71)),"[MEMBER]",""),"{MEMBER}",""),"[MEMBER}",""),"MEMBER]",""),"(A)",""),"""",""),"“",""),"”",""),".",""),":",""),",",""),"–"," "),"-"," "),"/"," "),"&amp;"," AND "))&amp;" "," THE "," ")," TOTAL "," ")," OPERATIONS "," ")))</f>
        <v/>
      </c>
      <c r="C71" s="17" t="str">
        <f aca="false">IF(A71="","",IF(ISNUMBER(MATCH(B71,Excluded!$E$2:$E$19,0)),"Excluded (not a place)",IF(ISNUMBER(MATCH(B71,'Label Map'!$N$2:$N$2019,0)),"Auto-matched","UNMAPPED: add to Label Map")))</f>
        <v/>
      </c>
      <c r="D71" s="7" t="str">
        <f aca="false">IF(C71="Auto-matched",INDEX('Label Map'!$D$2:$D$2019,MATCH(B71,'Label Map'!$N$2:$N$2019,0)),"")</f>
        <v/>
      </c>
      <c r="E71" s="7" t="str">
        <f aca="false">IF(D71="","",IF(INDEX(Hierarchy!$B$2:$B$1295,MATCH(D71,Hierarchy!$A$2:$A$1295,0))="","",INDEX(Hierarchy!$B$2:$B$1295,MATCH(D71,Hierarchy!$A$2:$A$1295,0))))</f>
        <v/>
      </c>
      <c r="F71" s="7" t="str">
        <f aca="false">IF(D71="","",IF(INDEX(Hierarchy!$D$2:$D$1295,MATCH(D71,Hierarchy!$A$2:$A$1295,0))="","",INDEX(Hierarchy!$D$2:$D$1295,MATCH(D71,Hierarchy!$A$2:$A$1295,0))))</f>
        <v/>
      </c>
      <c r="G71" s="7" t="str">
        <f aca="false">IF(D71="","",IF(INDEX(Hierarchy!$E$2:$E$1295,MATCH(D71,Hierarchy!$A$2:$A$1295,0))="","",INDEX(Hierarchy!$E$2:$E$1295,MATCH(D71,Hierarchy!$A$2:$A$1295,0))))</f>
        <v/>
      </c>
      <c r="H71" s="7" t="str">
        <f aca="false">IF(D71="","",IF(INDEX(Hierarchy!$F$2:$F$1295,MATCH(D71,Hierarchy!$A$2:$A$1295,0))="","",INDEX(Hierarchy!$F$2:$F$1295,MATCH(D71,Hierarchy!$A$2:$A$1295,0))))</f>
        <v/>
      </c>
      <c r="I71" s="7" t="str">
        <f aca="false">IF(D71="","",IF(INDEX(Hierarchy!$H$2:$H$1295,MATCH(D71,Hierarchy!$A$2:$A$1295,0))="","",INDEX(Hierarchy!$H$2:$H$1295,MATCH(D71,Hierarchy!$A$2:$A$1295,0))))</f>
        <v/>
      </c>
    </row>
    <row r="72" customFormat="false" ht="15" hidden="false" customHeight="false" outlineLevel="0" collapsed="false">
      <c r="A72" s="19"/>
      <c r="B72" s="7" t="str">
        <f aca="false">IF(A72="","",TRIM(SUBSTITUTE(SUBSTITUTE(SUBSTITUTE(" "&amp;TRIM(SUBSTITUTE(SUBSTITUTE(SUBSTITUTE(SUBSTITUTE(SUBSTITUTE(SUBSTITUTE(SUBSTITUTE(SUBSTITUTE(SUBSTITUTE(SUBSTITUTE(SUBSTITUTE(SUBSTITUTE(SUBSTITUTE(SUBSTITUTE(SUBSTITUTE(UPPER(TRIM(A72)),"[MEMBER]",""),"{MEMBER}",""),"[MEMBER}",""),"MEMBER]",""),"(A)",""),"""",""),"“",""),"”",""),".",""),":",""),",",""),"–"," "),"-"," "),"/"," "),"&amp;"," AND "))&amp;" "," THE "," ")," TOTAL "," ")," OPERATIONS "," ")))</f>
        <v/>
      </c>
      <c r="C72" s="17" t="str">
        <f aca="false">IF(A72="","",IF(ISNUMBER(MATCH(B72,Excluded!$E$2:$E$19,0)),"Excluded (not a place)",IF(ISNUMBER(MATCH(B72,'Label Map'!$N$2:$N$2019,0)),"Auto-matched","UNMAPPED: add to Label Map")))</f>
        <v/>
      </c>
      <c r="D72" s="7" t="str">
        <f aca="false">IF(C72="Auto-matched",INDEX('Label Map'!$D$2:$D$2019,MATCH(B72,'Label Map'!$N$2:$N$2019,0)),"")</f>
        <v/>
      </c>
      <c r="E72" s="7" t="str">
        <f aca="false">IF(D72="","",IF(INDEX(Hierarchy!$B$2:$B$1295,MATCH(D72,Hierarchy!$A$2:$A$1295,0))="","",INDEX(Hierarchy!$B$2:$B$1295,MATCH(D72,Hierarchy!$A$2:$A$1295,0))))</f>
        <v/>
      </c>
      <c r="F72" s="7" t="str">
        <f aca="false">IF(D72="","",IF(INDEX(Hierarchy!$D$2:$D$1295,MATCH(D72,Hierarchy!$A$2:$A$1295,0))="","",INDEX(Hierarchy!$D$2:$D$1295,MATCH(D72,Hierarchy!$A$2:$A$1295,0))))</f>
        <v/>
      </c>
      <c r="G72" s="7" t="str">
        <f aca="false">IF(D72="","",IF(INDEX(Hierarchy!$E$2:$E$1295,MATCH(D72,Hierarchy!$A$2:$A$1295,0))="","",INDEX(Hierarchy!$E$2:$E$1295,MATCH(D72,Hierarchy!$A$2:$A$1295,0))))</f>
        <v/>
      </c>
      <c r="H72" s="7" t="str">
        <f aca="false">IF(D72="","",IF(INDEX(Hierarchy!$F$2:$F$1295,MATCH(D72,Hierarchy!$A$2:$A$1295,0))="","",INDEX(Hierarchy!$F$2:$F$1295,MATCH(D72,Hierarchy!$A$2:$A$1295,0))))</f>
        <v/>
      </c>
      <c r="I72" s="7" t="str">
        <f aca="false">IF(D72="","",IF(INDEX(Hierarchy!$H$2:$H$1295,MATCH(D72,Hierarchy!$A$2:$A$1295,0))="","",INDEX(Hierarchy!$H$2:$H$1295,MATCH(D72,Hierarchy!$A$2:$A$1295,0))))</f>
        <v/>
      </c>
    </row>
    <row r="73" customFormat="false" ht="15" hidden="false" customHeight="false" outlineLevel="0" collapsed="false">
      <c r="A73" s="19"/>
      <c r="B73" s="7" t="str">
        <f aca="false">IF(A73="","",TRIM(SUBSTITUTE(SUBSTITUTE(SUBSTITUTE(" "&amp;TRIM(SUBSTITUTE(SUBSTITUTE(SUBSTITUTE(SUBSTITUTE(SUBSTITUTE(SUBSTITUTE(SUBSTITUTE(SUBSTITUTE(SUBSTITUTE(SUBSTITUTE(SUBSTITUTE(SUBSTITUTE(SUBSTITUTE(SUBSTITUTE(SUBSTITUTE(UPPER(TRIM(A73)),"[MEMBER]",""),"{MEMBER}",""),"[MEMBER}",""),"MEMBER]",""),"(A)",""),"""",""),"“",""),"”",""),".",""),":",""),",",""),"–"," "),"-"," "),"/"," "),"&amp;"," AND "))&amp;" "," THE "," ")," TOTAL "," ")," OPERATIONS "," ")))</f>
        <v/>
      </c>
      <c r="C73" s="17" t="str">
        <f aca="false">IF(A73="","",IF(ISNUMBER(MATCH(B73,Excluded!$E$2:$E$19,0)),"Excluded (not a place)",IF(ISNUMBER(MATCH(B73,'Label Map'!$N$2:$N$2019,0)),"Auto-matched","UNMAPPED: add to Label Map")))</f>
        <v/>
      </c>
      <c r="D73" s="7" t="str">
        <f aca="false">IF(C73="Auto-matched",INDEX('Label Map'!$D$2:$D$2019,MATCH(B73,'Label Map'!$N$2:$N$2019,0)),"")</f>
        <v/>
      </c>
      <c r="E73" s="7" t="str">
        <f aca="false">IF(D73="","",IF(INDEX(Hierarchy!$B$2:$B$1295,MATCH(D73,Hierarchy!$A$2:$A$1295,0))="","",INDEX(Hierarchy!$B$2:$B$1295,MATCH(D73,Hierarchy!$A$2:$A$1295,0))))</f>
        <v/>
      </c>
      <c r="F73" s="7" t="str">
        <f aca="false">IF(D73="","",IF(INDEX(Hierarchy!$D$2:$D$1295,MATCH(D73,Hierarchy!$A$2:$A$1295,0))="","",INDEX(Hierarchy!$D$2:$D$1295,MATCH(D73,Hierarchy!$A$2:$A$1295,0))))</f>
        <v/>
      </c>
      <c r="G73" s="7" t="str">
        <f aca="false">IF(D73="","",IF(INDEX(Hierarchy!$E$2:$E$1295,MATCH(D73,Hierarchy!$A$2:$A$1295,0))="","",INDEX(Hierarchy!$E$2:$E$1295,MATCH(D73,Hierarchy!$A$2:$A$1295,0))))</f>
        <v/>
      </c>
      <c r="H73" s="7" t="str">
        <f aca="false">IF(D73="","",IF(INDEX(Hierarchy!$F$2:$F$1295,MATCH(D73,Hierarchy!$A$2:$A$1295,0))="","",INDEX(Hierarchy!$F$2:$F$1295,MATCH(D73,Hierarchy!$A$2:$A$1295,0))))</f>
        <v/>
      </c>
      <c r="I73" s="7" t="str">
        <f aca="false">IF(D73="","",IF(INDEX(Hierarchy!$H$2:$H$1295,MATCH(D73,Hierarchy!$A$2:$A$1295,0))="","",INDEX(Hierarchy!$H$2:$H$1295,MATCH(D73,Hierarchy!$A$2:$A$1295,0))))</f>
        <v/>
      </c>
    </row>
    <row r="74" customFormat="false" ht="15" hidden="false" customHeight="false" outlineLevel="0" collapsed="false">
      <c r="A74" s="19"/>
      <c r="B74" s="7" t="str">
        <f aca="false">IF(A74="","",TRIM(SUBSTITUTE(SUBSTITUTE(SUBSTITUTE(" "&amp;TRIM(SUBSTITUTE(SUBSTITUTE(SUBSTITUTE(SUBSTITUTE(SUBSTITUTE(SUBSTITUTE(SUBSTITUTE(SUBSTITUTE(SUBSTITUTE(SUBSTITUTE(SUBSTITUTE(SUBSTITUTE(SUBSTITUTE(SUBSTITUTE(SUBSTITUTE(UPPER(TRIM(A74)),"[MEMBER]",""),"{MEMBER}",""),"[MEMBER}",""),"MEMBER]",""),"(A)",""),"""",""),"“",""),"”",""),".",""),":",""),",",""),"–"," "),"-"," "),"/"," "),"&amp;"," AND "))&amp;" "," THE "," ")," TOTAL "," ")," OPERATIONS "," ")))</f>
        <v/>
      </c>
      <c r="C74" s="17" t="str">
        <f aca="false">IF(A74="","",IF(ISNUMBER(MATCH(B74,Excluded!$E$2:$E$19,0)),"Excluded (not a place)",IF(ISNUMBER(MATCH(B74,'Label Map'!$N$2:$N$2019,0)),"Auto-matched","UNMAPPED: add to Label Map")))</f>
        <v/>
      </c>
      <c r="D74" s="7" t="str">
        <f aca="false">IF(C74="Auto-matched",INDEX('Label Map'!$D$2:$D$2019,MATCH(B74,'Label Map'!$N$2:$N$2019,0)),"")</f>
        <v/>
      </c>
      <c r="E74" s="7" t="str">
        <f aca="false">IF(D74="","",IF(INDEX(Hierarchy!$B$2:$B$1295,MATCH(D74,Hierarchy!$A$2:$A$1295,0))="","",INDEX(Hierarchy!$B$2:$B$1295,MATCH(D74,Hierarchy!$A$2:$A$1295,0))))</f>
        <v/>
      </c>
      <c r="F74" s="7" t="str">
        <f aca="false">IF(D74="","",IF(INDEX(Hierarchy!$D$2:$D$1295,MATCH(D74,Hierarchy!$A$2:$A$1295,0))="","",INDEX(Hierarchy!$D$2:$D$1295,MATCH(D74,Hierarchy!$A$2:$A$1295,0))))</f>
        <v/>
      </c>
      <c r="G74" s="7" t="str">
        <f aca="false">IF(D74="","",IF(INDEX(Hierarchy!$E$2:$E$1295,MATCH(D74,Hierarchy!$A$2:$A$1295,0))="","",INDEX(Hierarchy!$E$2:$E$1295,MATCH(D74,Hierarchy!$A$2:$A$1295,0))))</f>
        <v/>
      </c>
      <c r="H74" s="7" t="str">
        <f aca="false">IF(D74="","",IF(INDEX(Hierarchy!$F$2:$F$1295,MATCH(D74,Hierarchy!$A$2:$A$1295,0))="","",INDEX(Hierarchy!$F$2:$F$1295,MATCH(D74,Hierarchy!$A$2:$A$1295,0))))</f>
        <v/>
      </c>
      <c r="I74" s="7" t="str">
        <f aca="false">IF(D74="","",IF(INDEX(Hierarchy!$H$2:$H$1295,MATCH(D74,Hierarchy!$A$2:$A$1295,0))="","",INDEX(Hierarchy!$H$2:$H$1295,MATCH(D74,Hierarchy!$A$2:$A$1295,0))))</f>
        <v/>
      </c>
    </row>
    <row r="75" customFormat="false" ht="15" hidden="false" customHeight="false" outlineLevel="0" collapsed="false">
      <c r="A75" s="19"/>
      <c r="B75" s="7" t="str">
        <f aca="false">IF(A75="","",TRIM(SUBSTITUTE(SUBSTITUTE(SUBSTITUTE(" "&amp;TRIM(SUBSTITUTE(SUBSTITUTE(SUBSTITUTE(SUBSTITUTE(SUBSTITUTE(SUBSTITUTE(SUBSTITUTE(SUBSTITUTE(SUBSTITUTE(SUBSTITUTE(SUBSTITUTE(SUBSTITUTE(SUBSTITUTE(SUBSTITUTE(SUBSTITUTE(UPPER(TRIM(A75)),"[MEMBER]",""),"{MEMBER}",""),"[MEMBER}",""),"MEMBER]",""),"(A)",""),"""",""),"“",""),"”",""),".",""),":",""),",",""),"–"," "),"-"," "),"/"," "),"&amp;"," AND "))&amp;" "," THE "," ")," TOTAL "," ")," OPERATIONS "," ")))</f>
        <v/>
      </c>
      <c r="C75" s="17" t="str">
        <f aca="false">IF(A75="","",IF(ISNUMBER(MATCH(B75,Excluded!$E$2:$E$19,0)),"Excluded (not a place)",IF(ISNUMBER(MATCH(B75,'Label Map'!$N$2:$N$2019,0)),"Auto-matched","UNMAPPED: add to Label Map")))</f>
        <v/>
      </c>
      <c r="D75" s="7" t="str">
        <f aca="false">IF(C75="Auto-matched",INDEX('Label Map'!$D$2:$D$2019,MATCH(B75,'Label Map'!$N$2:$N$2019,0)),"")</f>
        <v/>
      </c>
      <c r="E75" s="7" t="str">
        <f aca="false">IF(D75="","",IF(INDEX(Hierarchy!$B$2:$B$1295,MATCH(D75,Hierarchy!$A$2:$A$1295,0))="","",INDEX(Hierarchy!$B$2:$B$1295,MATCH(D75,Hierarchy!$A$2:$A$1295,0))))</f>
        <v/>
      </c>
      <c r="F75" s="7" t="str">
        <f aca="false">IF(D75="","",IF(INDEX(Hierarchy!$D$2:$D$1295,MATCH(D75,Hierarchy!$A$2:$A$1295,0))="","",INDEX(Hierarchy!$D$2:$D$1295,MATCH(D75,Hierarchy!$A$2:$A$1295,0))))</f>
        <v/>
      </c>
      <c r="G75" s="7" t="str">
        <f aca="false">IF(D75="","",IF(INDEX(Hierarchy!$E$2:$E$1295,MATCH(D75,Hierarchy!$A$2:$A$1295,0))="","",INDEX(Hierarchy!$E$2:$E$1295,MATCH(D75,Hierarchy!$A$2:$A$1295,0))))</f>
        <v/>
      </c>
      <c r="H75" s="7" t="str">
        <f aca="false">IF(D75="","",IF(INDEX(Hierarchy!$F$2:$F$1295,MATCH(D75,Hierarchy!$A$2:$A$1295,0))="","",INDEX(Hierarchy!$F$2:$F$1295,MATCH(D75,Hierarchy!$A$2:$A$1295,0))))</f>
        <v/>
      </c>
      <c r="I75" s="7" t="str">
        <f aca="false">IF(D75="","",IF(INDEX(Hierarchy!$H$2:$H$1295,MATCH(D75,Hierarchy!$A$2:$A$1295,0))="","",INDEX(Hierarchy!$H$2:$H$1295,MATCH(D75,Hierarchy!$A$2:$A$1295,0))))</f>
        <v/>
      </c>
    </row>
    <row r="76" customFormat="false" ht="15" hidden="false" customHeight="false" outlineLevel="0" collapsed="false">
      <c r="A76" s="19"/>
      <c r="B76" s="7" t="str">
        <f aca="false">IF(A76="","",TRIM(SUBSTITUTE(SUBSTITUTE(SUBSTITUTE(" "&amp;TRIM(SUBSTITUTE(SUBSTITUTE(SUBSTITUTE(SUBSTITUTE(SUBSTITUTE(SUBSTITUTE(SUBSTITUTE(SUBSTITUTE(SUBSTITUTE(SUBSTITUTE(SUBSTITUTE(SUBSTITUTE(SUBSTITUTE(SUBSTITUTE(SUBSTITUTE(UPPER(TRIM(A76)),"[MEMBER]",""),"{MEMBER}",""),"[MEMBER}",""),"MEMBER]",""),"(A)",""),"""",""),"“",""),"”",""),".",""),":",""),",",""),"–"," "),"-"," "),"/"," "),"&amp;"," AND "))&amp;" "," THE "," ")," TOTAL "," ")," OPERATIONS "," ")))</f>
        <v/>
      </c>
      <c r="C76" s="17" t="str">
        <f aca="false">IF(A76="","",IF(ISNUMBER(MATCH(B76,Excluded!$E$2:$E$19,0)),"Excluded (not a place)",IF(ISNUMBER(MATCH(B76,'Label Map'!$N$2:$N$2019,0)),"Auto-matched","UNMAPPED: add to Label Map")))</f>
        <v/>
      </c>
      <c r="D76" s="7" t="str">
        <f aca="false">IF(C76="Auto-matched",INDEX('Label Map'!$D$2:$D$2019,MATCH(B76,'Label Map'!$N$2:$N$2019,0)),"")</f>
        <v/>
      </c>
      <c r="E76" s="7" t="str">
        <f aca="false">IF(D76="","",IF(INDEX(Hierarchy!$B$2:$B$1295,MATCH(D76,Hierarchy!$A$2:$A$1295,0))="","",INDEX(Hierarchy!$B$2:$B$1295,MATCH(D76,Hierarchy!$A$2:$A$1295,0))))</f>
        <v/>
      </c>
      <c r="F76" s="7" t="str">
        <f aca="false">IF(D76="","",IF(INDEX(Hierarchy!$D$2:$D$1295,MATCH(D76,Hierarchy!$A$2:$A$1295,0))="","",INDEX(Hierarchy!$D$2:$D$1295,MATCH(D76,Hierarchy!$A$2:$A$1295,0))))</f>
        <v/>
      </c>
      <c r="G76" s="7" t="str">
        <f aca="false">IF(D76="","",IF(INDEX(Hierarchy!$E$2:$E$1295,MATCH(D76,Hierarchy!$A$2:$A$1295,0))="","",INDEX(Hierarchy!$E$2:$E$1295,MATCH(D76,Hierarchy!$A$2:$A$1295,0))))</f>
        <v/>
      </c>
      <c r="H76" s="7" t="str">
        <f aca="false">IF(D76="","",IF(INDEX(Hierarchy!$F$2:$F$1295,MATCH(D76,Hierarchy!$A$2:$A$1295,0))="","",INDEX(Hierarchy!$F$2:$F$1295,MATCH(D76,Hierarchy!$A$2:$A$1295,0))))</f>
        <v/>
      </c>
      <c r="I76" s="7" t="str">
        <f aca="false">IF(D76="","",IF(INDEX(Hierarchy!$H$2:$H$1295,MATCH(D76,Hierarchy!$A$2:$A$1295,0))="","",INDEX(Hierarchy!$H$2:$H$1295,MATCH(D76,Hierarchy!$A$2:$A$1295,0))))</f>
        <v/>
      </c>
    </row>
    <row r="77" customFormat="false" ht="15" hidden="false" customHeight="false" outlineLevel="0" collapsed="false">
      <c r="A77" s="19"/>
      <c r="B77" s="7" t="str">
        <f aca="false">IF(A77="","",TRIM(SUBSTITUTE(SUBSTITUTE(SUBSTITUTE(" "&amp;TRIM(SUBSTITUTE(SUBSTITUTE(SUBSTITUTE(SUBSTITUTE(SUBSTITUTE(SUBSTITUTE(SUBSTITUTE(SUBSTITUTE(SUBSTITUTE(SUBSTITUTE(SUBSTITUTE(SUBSTITUTE(SUBSTITUTE(SUBSTITUTE(SUBSTITUTE(UPPER(TRIM(A77)),"[MEMBER]",""),"{MEMBER}",""),"[MEMBER}",""),"MEMBER]",""),"(A)",""),"""",""),"“",""),"”",""),".",""),":",""),",",""),"–"," "),"-"," "),"/"," "),"&amp;"," AND "))&amp;" "," THE "," ")," TOTAL "," ")," OPERATIONS "," ")))</f>
        <v/>
      </c>
      <c r="C77" s="17" t="str">
        <f aca="false">IF(A77="","",IF(ISNUMBER(MATCH(B77,Excluded!$E$2:$E$19,0)),"Excluded (not a place)",IF(ISNUMBER(MATCH(B77,'Label Map'!$N$2:$N$2019,0)),"Auto-matched","UNMAPPED: add to Label Map")))</f>
        <v/>
      </c>
      <c r="D77" s="7" t="str">
        <f aca="false">IF(C77="Auto-matched",INDEX('Label Map'!$D$2:$D$2019,MATCH(B77,'Label Map'!$N$2:$N$2019,0)),"")</f>
        <v/>
      </c>
      <c r="E77" s="7" t="str">
        <f aca="false">IF(D77="","",IF(INDEX(Hierarchy!$B$2:$B$1295,MATCH(D77,Hierarchy!$A$2:$A$1295,0))="","",INDEX(Hierarchy!$B$2:$B$1295,MATCH(D77,Hierarchy!$A$2:$A$1295,0))))</f>
        <v/>
      </c>
      <c r="F77" s="7" t="str">
        <f aca="false">IF(D77="","",IF(INDEX(Hierarchy!$D$2:$D$1295,MATCH(D77,Hierarchy!$A$2:$A$1295,0))="","",INDEX(Hierarchy!$D$2:$D$1295,MATCH(D77,Hierarchy!$A$2:$A$1295,0))))</f>
        <v/>
      </c>
      <c r="G77" s="7" t="str">
        <f aca="false">IF(D77="","",IF(INDEX(Hierarchy!$E$2:$E$1295,MATCH(D77,Hierarchy!$A$2:$A$1295,0))="","",INDEX(Hierarchy!$E$2:$E$1295,MATCH(D77,Hierarchy!$A$2:$A$1295,0))))</f>
        <v/>
      </c>
      <c r="H77" s="7" t="str">
        <f aca="false">IF(D77="","",IF(INDEX(Hierarchy!$F$2:$F$1295,MATCH(D77,Hierarchy!$A$2:$A$1295,0))="","",INDEX(Hierarchy!$F$2:$F$1295,MATCH(D77,Hierarchy!$A$2:$A$1295,0))))</f>
        <v/>
      </c>
      <c r="I77" s="7" t="str">
        <f aca="false">IF(D77="","",IF(INDEX(Hierarchy!$H$2:$H$1295,MATCH(D77,Hierarchy!$A$2:$A$1295,0))="","",INDEX(Hierarchy!$H$2:$H$1295,MATCH(D77,Hierarchy!$A$2:$A$1295,0))))</f>
        <v/>
      </c>
    </row>
    <row r="78" customFormat="false" ht="15" hidden="false" customHeight="false" outlineLevel="0" collapsed="false">
      <c r="A78" s="19"/>
      <c r="B78" s="7" t="str">
        <f aca="false">IF(A78="","",TRIM(SUBSTITUTE(SUBSTITUTE(SUBSTITUTE(" "&amp;TRIM(SUBSTITUTE(SUBSTITUTE(SUBSTITUTE(SUBSTITUTE(SUBSTITUTE(SUBSTITUTE(SUBSTITUTE(SUBSTITUTE(SUBSTITUTE(SUBSTITUTE(SUBSTITUTE(SUBSTITUTE(SUBSTITUTE(SUBSTITUTE(SUBSTITUTE(UPPER(TRIM(A78)),"[MEMBER]",""),"{MEMBER}",""),"[MEMBER}",""),"MEMBER]",""),"(A)",""),"""",""),"“",""),"”",""),".",""),":",""),",",""),"–"," "),"-"," "),"/"," "),"&amp;"," AND "))&amp;" "," THE "," ")," TOTAL "," ")," OPERATIONS "," ")))</f>
        <v/>
      </c>
      <c r="C78" s="17" t="str">
        <f aca="false">IF(A78="","",IF(ISNUMBER(MATCH(B78,Excluded!$E$2:$E$19,0)),"Excluded (not a place)",IF(ISNUMBER(MATCH(B78,'Label Map'!$N$2:$N$2019,0)),"Auto-matched","UNMAPPED: add to Label Map")))</f>
        <v/>
      </c>
      <c r="D78" s="7" t="str">
        <f aca="false">IF(C78="Auto-matched",INDEX('Label Map'!$D$2:$D$2019,MATCH(B78,'Label Map'!$N$2:$N$2019,0)),"")</f>
        <v/>
      </c>
      <c r="E78" s="7" t="str">
        <f aca="false">IF(D78="","",IF(INDEX(Hierarchy!$B$2:$B$1295,MATCH(D78,Hierarchy!$A$2:$A$1295,0))="","",INDEX(Hierarchy!$B$2:$B$1295,MATCH(D78,Hierarchy!$A$2:$A$1295,0))))</f>
        <v/>
      </c>
      <c r="F78" s="7" t="str">
        <f aca="false">IF(D78="","",IF(INDEX(Hierarchy!$D$2:$D$1295,MATCH(D78,Hierarchy!$A$2:$A$1295,0))="","",INDEX(Hierarchy!$D$2:$D$1295,MATCH(D78,Hierarchy!$A$2:$A$1295,0))))</f>
        <v/>
      </c>
      <c r="G78" s="7" t="str">
        <f aca="false">IF(D78="","",IF(INDEX(Hierarchy!$E$2:$E$1295,MATCH(D78,Hierarchy!$A$2:$A$1295,0))="","",INDEX(Hierarchy!$E$2:$E$1295,MATCH(D78,Hierarchy!$A$2:$A$1295,0))))</f>
        <v/>
      </c>
      <c r="H78" s="7" t="str">
        <f aca="false">IF(D78="","",IF(INDEX(Hierarchy!$F$2:$F$1295,MATCH(D78,Hierarchy!$A$2:$A$1295,0))="","",INDEX(Hierarchy!$F$2:$F$1295,MATCH(D78,Hierarchy!$A$2:$A$1295,0))))</f>
        <v/>
      </c>
      <c r="I78" s="7" t="str">
        <f aca="false">IF(D78="","",IF(INDEX(Hierarchy!$H$2:$H$1295,MATCH(D78,Hierarchy!$A$2:$A$1295,0))="","",INDEX(Hierarchy!$H$2:$H$1295,MATCH(D78,Hierarchy!$A$2:$A$1295,0))))</f>
        <v/>
      </c>
    </row>
    <row r="79" customFormat="false" ht="15" hidden="false" customHeight="false" outlineLevel="0" collapsed="false">
      <c r="A79" s="19"/>
      <c r="B79" s="7" t="str">
        <f aca="false">IF(A79="","",TRIM(SUBSTITUTE(SUBSTITUTE(SUBSTITUTE(" "&amp;TRIM(SUBSTITUTE(SUBSTITUTE(SUBSTITUTE(SUBSTITUTE(SUBSTITUTE(SUBSTITUTE(SUBSTITUTE(SUBSTITUTE(SUBSTITUTE(SUBSTITUTE(SUBSTITUTE(SUBSTITUTE(SUBSTITUTE(SUBSTITUTE(SUBSTITUTE(UPPER(TRIM(A79)),"[MEMBER]",""),"{MEMBER}",""),"[MEMBER}",""),"MEMBER]",""),"(A)",""),"""",""),"“",""),"”",""),".",""),":",""),",",""),"–"," "),"-"," "),"/"," "),"&amp;"," AND "))&amp;" "," THE "," ")," TOTAL "," ")," OPERATIONS "," ")))</f>
        <v/>
      </c>
      <c r="C79" s="17" t="str">
        <f aca="false">IF(A79="","",IF(ISNUMBER(MATCH(B79,Excluded!$E$2:$E$19,0)),"Excluded (not a place)",IF(ISNUMBER(MATCH(B79,'Label Map'!$N$2:$N$2019,0)),"Auto-matched","UNMAPPED: add to Label Map")))</f>
        <v/>
      </c>
      <c r="D79" s="7" t="str">
        <f aca="false">IF(C79="Auto-matched",INDEX('Label Map'!$D$2:$D$2019,MATCH(B79,'Label Map'!$N$2:$N$2019,0)),"")</f>
        <v/>
      </c>
      <c r="E79" s="7" t="str">
        <f aca="false">IF(D79="","",IF(INDEX(Hierarchy!$B$2:$B$1295,MATCH(D79,Hierarchy!$A$2:$A$1295,0))="","",INDEX(Hierarchy!$B$2:$B$1295,MATCH(D79,Hierarchy!$A$2:$A$1295,0))))</f>
        <v/>
      </c>
      <c r="F79" s="7" t="str">
        <f aca="false">IF(D79="","",IF(INDEX(Hierarchy!$D$2:$D$1295,MATCH(D79,Hierarchy!$A$2:$A$1295,0))="","",INDEX(Hierarchy!$D$2:$D$1295,MATCH(D79,Hierarchy!$A$2:$A$1295,0))))</f>
        <v/>
      </c>
      <c r="G79" s="7" t="str">
        <f aca="false">IF(D79="","",IF(INDEX(Hierarchy!$E$2:$E$1295,MATCH(D79,Hierarchy!$A$2:$A$1295,0))="","",INDEX(Hierarchy!$E$2:$E$1295,MATCH(D79,Hierarchy!$A$2:$A$1295,0))))</f>
        <v/>
      </c>
      <c r="H79" s="7" t="str">
        <f aca="false">IF(D79="","",IF(INDEX(Hierarchy!$F$2:$F$1295,MATCH(D79,Hierarchy!$A$2:$A$1295,0))="","",INDEX(Hierarchy!$F$2:$F$1295,MATCH(D79,Hierarchy!$A$2:$A$1295,0))))</f>
        <v/>
      </c>
      <c r="I79" s="7" t="str">
        <f aca="false">IF(D79="","",IF(INDEX(Hierarchy!$H$2:$H$1295,MATCH(D79,Hierarchy!$A$2:$A$1295,0))="","",INDEX(Hierarchy!$H$2:$H$1295,MATCH(D79,Hierarchy!$A$2:$A$1295,0))))</f>
        <v/>
      </c>
    </row>
    <row r="80" customFormat="false" ht="15" hidden="false" customHeight="false" outlineLevel="0" collapsed="false">
      <c r="A80" s="19"/>
      <c r="B80" s="7" t="str">
        <f aca="false">IF(A80="","",TRIM(SUBSTITUTE(SUBSTITUTE(SUBSTITUTE(" "&amp;TRIM(SUBSTITUTE(SUBSTITUTE(SUBSTITUTE(SUBSTITUTE(SUBSTITUTE(SUBSTITUTE(SUBSTITUTE(SUBSTITUTE(SUBSTITUTE(SUBSTITUTE(SUBSTITUTE(SUBSTITUTE(SUBSTITUTE(SUBSTITUTE(SUBSTITUTE(UPPER(TRIM(A80)),"[MEMBER]",""),"{MEMBER}",""),"[MEMBER}",""),"MEMBER]",""),"(A)",""),"""",""),"“",""),"”",""),".",""),":",""),",",""),"–"," "),"-"," "),"/"," "),"&amp;"," AND "))&amp;" "," THE "," ")," TOTAL "," ")," OPERATIONS "," ")))</f>
        <v/>
      </c>
      <c r="C80" s="17" t="str">
        <f aca="false">IF(A80="","",IF(ISNUMBER(MATCH(B80,Excluded!$E$2:$E$19,0)),"Excluded (not a place)",IF(ISNUMBER(MATCH(B80,'Label Map'!$N$2:$N$2019,0)),"Auto-matched","UNMAPPED: add to Label Map")))</f>
        <v/>
      </c>
      <c r="D80" s="7" t="str">
        <f aca="false">IF(C80="Auto-matched",INDEX('Label Map'!$D$2:$D$2019,MATCH(B80,'Label Map'!$N$2:$N$2019,0)),"")</f>
        <v/>
      </c>
      <c r="E80" s="7" t="str">
        <f aca="false">IF(D80="","",IF(INDEX(Hierarchy!$B$2:$B$1295,MATCH(D80,Hierarchy!$A$2:$A$1295,0))="","",INDEX(Hierarchy!$B$2:$B$1295,MATCH(D80,Hierarchy!$A$2:$A$1295,0))))</f>
        <v/>
      </c>
      <c r="F80" s="7" t="str">
        <f aca="false">IF(D80="","",IF(INDEX(Hierarchy!$D$2:$D$1295,MATCH(D80,Hierarchy!$A$2:$A$1295,0))="","",INDEX(Hierarchy!$D$2:$D$1295,MATCH(D80,Hierarchy!$A$2:$A$1295,0))))</f>
        <v/>
      </c>
      <c r="G80" s="7" t="str">
        <f aca="false">IF(D80="","",IF(INDEX(Hierarchy!$E$2:$E$1295,MATCH(D80,Hierarchy!$A$2:$A$1295,0))="","",INDEX(Hierarchy!$E$2:$E$1295,MATCH(D80,Hierarchy!$A$2:$A$1295,0))))</f>
        <v/>
      </c>
      <c r="H80" s="7" t="str">
        <f aca="false">IF(D80="","",IF(INDEX(Hierarchy!$F$2:$F$1295,MATCH(D80,Hierarchy!$A$2:$A$1295,0))="","",INDEX(Hierarchy!$F$2:$F$1295,MATCH(D80,Hierarchy!$A$2:$A$1295,0))))</f>
        <v/>
      </c>
      <c r="I80" s="7" t="str">
        <f aca="false">IF(D80="","",IF(INDEX(Hierarchy!$H$2:$H$1295,MATCH(D80,Hierarchy!$A$2:$A$1295,0))="","",INDEX(Hierarchy!$H$2:$H$1295,MATCH(D80,Hierarchy!$A$2:$A$1295,0))))</f>
        <v/>
      </c>
    </row>
    <row r="81" customFormat="false" ht="15" hidden="false" customHeight="false" outlineLevel="0" collapsed="false">
      <c r="A81" s="19"/>
      <c r="B81" s="7" t="str">
        <f aca="false">IF(A81="","",TRIM(SUBSTITUTE(SUBSTITUTE(SUBSTITUTE(" "&amp;TRIM(SUBSTITUTE(SUBSTITUTE(SUBSTITUTE(SUBSTITUTE(SUBSTITUTE(SUBSTITUTE(SUBSTITUTE(SUBSTITUTE(SUBSTITUTE(SUBSTITUTE(SUBSTITUTE(SUBSTITUTE(SUBSTITUTE(SUBSTITUTE(SUBSTITUTE(UPPER(TRIM(A81)),"[MEMBER]",""),"{MEMBER}",""),"[MEMBER}",""),"MEMBER]",""),"(A)",""),"""",""),"“",""),"”",""),".",""),":",""),",",""),"–"," "),"-"," "),"/"," "),"&amp;"," AND "))&amp;" "," THE "," ")," TOTAL "," ")," OPERATIONS "," ")))</f>
        <v/>
      </c>
      <c r="C81" s="17" t="str">
        <f aca="false">IF(A81="","",IF(ISNUMBER(MATCH(B81,Excluded!$E$2:$E$19,0)),"Excluded (not a place)",IF(ISNUMBER(MATCH(B81,'Label Map'!$N$2:$N$2019,0)),"Auto-matched","UNMAPPED: add to Label Map")))</f>
        <v/>
      </c>
      <c r="D81" s="7" t="str">
        <f aca="false">IF(C81="Auto-matched",INDEX('Label Map'!$D$2:$D$2019,MATCH(B81,'Label Map'!$N$2:$N$2019,0)),"")</f>
        <v/>
      </c>
      <c r="E81" s="7" t="str">
        <f aca="false">IF(D81="","",IF(INDEX(Hierarchy!$B$2:$B$1295,MATCH(D81,Hierarchy!$A$2:$A$1295,0))="","",INDEX(Hierarchy!$B$2:$B$1295,MATCH(D81,Hierarchy!$A$2:$A$1295,0))))</f>
        <v/>
      </c>
      <c r="F81" s="7" t="str">
        <f aca="false">IF(D81="","",IF(INDEX(Hierarchy!$D$2:$D$1295,MATCH(D81,Hierarchy!$A$2:$A$1295,0))="","",INDEX(Hierarchy!$D$2:$D$1295,MATCH(D81,Hierarchy!$A$2:$A$1295,0))))</f>
        <v/>
      </c>
      <c r="G81" s="7" t="str">
        <f aca="false">IF(D81="","",IF(INDEX(Hierarchy!$E$2:$E$1295,MATCH(D81,Hierarchy!$A$2:$A$1295,0))="","",INDEX(Hierarchy!$E$2:$E$1295,MATCH(D81,Hierarchy!$A$2:$A$1295,0))))</f>
        <v/>
      </c>
      <c r="H81" s="7" t="str">
        <f aca="false">IF(D81="","",IF(INDEX(Hierarchy!$F$2:$F$1295,MATCH(D81,Hierarchy!$A$2:$A$1295,0))="","",INDEX(Hierarchy!$F$2:$F$1295,MATCH(D81,Hierarchy!$A$2:$A$1295,0))))</f>
        <v/>
      </c>
      <c r="I81" s="7" t="str">
        <f aca="false">IF(D81="","",IF(INDEX(Hierarchy!$H$2:$H$1295,MATCH(D81,Hierarchy!$A$2:$A$1295,0))="","",INDEX(Hierarchy!$H$2:$H$1295,MATCH(D81,Hierarchy!$A$2:$A$1295,0))))</f>
        <v/>
      </c>
    </row>
    <row r="82" customFormat="false" ht="15" hidden="false" customHeight="false" outlineLevel="0" collapsed="false">
      <c r="A82" s="19"/>
      <c r="B82" s="7" t="str">
        <f aca="false">IF(A82="","",TRIM(SUBSTITUTE(SUBSTITUTE(SUBSTITUTE(" "&amp;TRIM(SUBSTITUTE(SUBSTITUTE(SUBSTITUTE(SUBSTITUTE(SUBSTITUTE(SUBSTITUTE(SUBSTITUTE(SUBSTITUTE(SUBSTITUTE(SUBSTITUTE(SUBSTITUTE(SUBSTITUTE(SUBSTITUTE(SUBSTITUTE(SUBSTITUTE(UPPER(TRIM(A82)),"[MEMBER]",""),"{MEMBER}",""),"[MEMBER}",""),"MEMBER]",""),"(A)",""),"""",""),"“",""),"”",""),".",""),":",""),",",""),"–"," "),"-"," "),"/"," "),"&amp;"," AND "))&amp;" "," THE "," ")," TOTAL "," ")," OPERATIONS "," ")))</f>
        <v/>
      </c>
      <c r="C82" s="17" t="str">
        <f aca="false">IF(A82="","",IF(ISNUMBER(MATCH(B82,Excluded!$E$2:$E$19,0)),"Excluded (not a place)",IF(ISNUMBER(MATCH(B82,'Label Map'!$N$2:$N$2019,0)),"Auto-matched","UNMAPPED: add to Label Map")))</f>
        <v/>
      </c>
      <c r="D82" s="7" t="str">
        <f aca="false">IF(C82="Auto-matched",INDEX('Label Map'!$D$2:$D$2019,MATCH(B82,'Label Map'!$N$2:$N$2019,0)),"")</f>
        <v/>
      </c>
      <c r="E82" s="7" t="str">
        <f aca="false">IF(D82="","",IF(INDEX(Hierarchy!$B$2:$B$1295,MATCH(D82,Hierarchy!$A$2:$A$1295,0))="","",INDEX(Hierarchy!$B$2:$B$1295,MATCH(D82,Hierarchy!$A$2:$A$1295,0))))</f>
        <v/>
      </c>
      <c r="F82" s="7" t="str">
        <f aca="false">IF(D82="","",IF(INDEX(Hierarchy!$D$2:$D$1295,MATCH(D82,Hierarchy!$A$2:$A$1295,0))="","",INDEX(Hierarchy!$D$2:$D$1295,MATCH(D82,Hierarchy!$A$2:$A$1295,0))))</f>
        <v/>
      </c>
      <c r="G82" s="7" t="str">
        <f aca="false">IF(D82="","",IF(INDEX(Hierarchy!$E$2:$E$1295,MATCH(D82,Hierarchy!$A$2:$A$1295,0))="","",INDEX(Hierarchy!$E$2:$E$1295,MATCH(D82,Hierarchy!$A$2:$A$1295,0))))</f>
        <v/>
      </c>
      <c r="H82" s="7" t="str">
        <f aca="false">IF(D82="","",IF(INDEX(Hierarchy!$F$2:$F$1295,MATCH(D82,Hierarchy!$A$2:$A$1295,0))="","",INDEX(Hierarchy!$F$2:$F$1295,MATCH(D82,Hierarchy!$A$2:$A$1295,0))))</f>
        <v/>
      </c>
      <c r="I82" s="7" t="str">
        <f aca="false">IF(D82="","",IF(INDEX(Hierarchy!$H$2:$H$1295,MATCH(D82,Hierarchy!$A$2:$A$1295,0))="","",INDEX(Hierarchy!$H$2:$H$1295,MATCH(D82,Hierarchy!$A$2:$A$1295,0))))</f>
        <v/>
      </c>
    </row>
    <row r="83" customFormat="false" ht="15" hidden="false" customHeight="false" outlineLevel="0" collapsed="false">
      <c r="A83" s="19"/>
      <c r="B83" s="7" t="str">
        <f aca="false">IF(A83="","",TRIM(SUBSTITUTE(SUBSTITUTE(SUBSTITUTE(" "&amp;TRIM(SUBSTITUTE(SUBSTITUTE(SUBSTITUTE(SUBSTITUTE(SUBSTITUTE(SUBSTITUTE(SUBSTITUTE(SUBSTITUTE(SUBSTITUTE(SUBSTITUTE(SUBSTITUTE(SUBSTITUTE(SUBSTITUTE(SUBSTITUTE(SUBSTITUTE(UPPER(TRIM(A83)),"[MEMBER]",""),"{MEMBER}",""),"[MEMBER}",""),"MEMBER]",""),"(A)",""),"""",""),"“",""),"”",""),".",""),":",""),",",""),"–"," "),"-"," "),"/"," "),"&amp;"," AND "))&amp;" "," THE "," ")," TOTAL "," ")," OPERATIONS "," ")))</f>
        <v/>
      </c>
      <c r="C83" s="17" t="str">
        <f aca="false">IF(A83="","",IF(ISNUMBER(MATCH(B83,Excluded!$E$2:$E$19,0)),"Excluded (not a place)",IF(ISNUMBER(MATCH(B83,'Label Map'!$N$2:$N$2019,0)),"Auto-matched","UNMAPPED: add to Label Map")))</f>
        <v/>
      </c>
      <c r="D83" s="7" t="str">
        <f aca="false">IF(C83="Auto-matched",INDEX('Label Map'!$D$2:$D$2019,MATCH(B83,'Label Map'!$N$2:$N$2019,0)),"")</f>
        <v/>
      </c>
      <c r="E83" s="7" t="str">
        <f aca="false">IF(D83="","",IF(INDEX(Hierarchy!$B$2:$B$1295,MATCH(D83,Hierarchy!$A$2:$A$1295,0))="","",INDEX(Hierarchy!$B$2:$B$1295,MATCH(D83,Hierarchy!$A$2:$A$1295,0))))</f>
        <v/>
      </c>
      <c r="F83" s="7" t="str">
        <f aca="false">IF(D83="","",IF(INDEX(Hierarchy!$D$2:$D$1295,MATCH(D83,Hierarchy!$A$2:$A$1295,0))="","",INDEX(Hierarchy!$D$2:$D$1295,MATCH(D83,Hierarchy!$A$2:$A$1295,0))))</f>
        <v/>
      </c>
      <c r="G83" s="7" t="str">
        <f aca="false">IF(D83="","",IF(INDEX(Hierarchy!$E$2:$E$1295,MATCH(D83,Hierarchy!$A$2:$A$1295,0))="","",INDEX(Hierarchy!$E$2:$E$1295,MATCH(D83,Hierarchy!$A$2:$A$1295,0))))</f>
        <v/>
      </c>
      <c r="H83" s="7" t="str">
        <f aca="false">IF(D83="","",IF(INDEX(Hierarchy!$F$2:$F$1295,MATCH(D83,Hierarchy!$A$2:$A$1295,0))="","",INDEX(Hierarchy!$F$2:$F$1295,MATCH(D83,Hierarchy!$A$2:$A$1295,0))))</f>
        <v/>
      </c>
      <c r="I83" s="7" t="str">
        <f aca="false">IF(D83="","",IF(INDEX(Hierarchy!$H$2:$H$1295,MATCH(D83,Hierarchy!$A$2:$A$1295,0))="","",INDEX(Hierarchy!$H$2:$H$1295,MATCH(D83,Hierarchy!$A$2:$A$1295,0))))</f>
        <v/>
      </c>
    </row>
    <row r="84" customFormat="false" ht="15" hidden="false" customHeight="false" outlineLevel="0" collapsed="false">
      <c r="A84" s="19"/>
      <c r="B84" s="7" t="str">
        <f aca="false">IF(A84="","",TRIM(SUBSTITUTE(SUBSTITUTE(SUBSTITUTE(" "&amp;TRIM(SUBSTITUTE(SUBSTITUTE(SUBSTITUTE(SUBSTITUTE(SUBSTITUTE(SUBSTITUTE(SUBSTITUTE(SUBSTITUTE(SUBSTITUTE(SUBSTITUTE(SUBSTITUTE(SUBSTITUTE(SUBSTITUTE(SUBSTITUTE(SUBSTITUTE(UPPER(TRIM(A84)),"[MEMBER]",""),"{MEMBER}",""),"[MEMBER}",""),"MEMBER]",""),"(A)",""),"""",""),"“",""),"”",""),".",""),":",""),",",""),"–"," "),"-"," "),"/"," "),"&amp;"," AND "))&amp;" "," THE "," ")," TOTAL "," ")," OPERATIONS "," ")))</f>
        <v/>
      </c>
      <c r="C84" s="17" t="str">
        <f aca="false">IF(A84="","",IF(ISNUMBER(MATCH(B84,Excluded!$E$2:$E$19,0)),"Excluded (not a place)",IF(ISNUMBER(MATCH(B84,'Label Map'!$N$2:$N$2019,0)),"Auto-matched","UNMAPPED: add to Label Map")))</f>
        <v/>
      </c>
      <c r="D84" s="7" t="str">
        <f aca="false">IF(C84="Auto-matched",INDEX('Label Map'!$D$2:$D$2019,MATCH(B84,'Label Map'!$N$2:$N$2019,0)),"")</f>
        <v/>
      </c>
      <c r="E84" s="7" t="str">
        <f aca="false">IF(D84="","",IF(INDEX(Hierarchy!$B$2:$B$1295,MATCH(D84,Hierarchy!$A$2:$A$1295,0))="","",INDEX(Hierarchy!$B$2:$B$1295,MATCH(D84,Hierarchy!$A$2:$A$1295,0))))</f>
        <v/>
      </c>
      <c r="F84" s="7" t="str">
        <f aca="false">IF(D84="","",IF(INDEX(Hierarchy!$D$2:$D$1295,MATCH(D84,Hierarchy!$A$2:$A$1295,0))="","",INDEX(Hierarchy!$D$2:$D$1295,MATCH(D84,Hierarchy!$A$2:$A$1295,0))))</f>
        <v/>
      </c>
      <c r="G84" s="7" t="str">
        <f aca="false">IF(D84="","",IF(INDEX(Hierarchy!$E$2:$E$1295,MATCH(D84,Hierarchy!$A$2:$A$1295,0))="","",INDEX(Hierarchy!$E$2:$E$1295,MATCH(D84,Hierarchy!$A$2:$A$1295,0))))</f>
        <v/>
      </c>
      <c r="H84" s="7" t="str">
        <f aca="false">IF(D84="","",IF(INDEX(Hierarchy!$F$2:$F$1295,MATCH(D84,Hierarchy!$A$2:$A$1295,0))="","",INDEX(Hierarchy!$F$2:$F$1295,MATCH(D84,Hierarchy!$A$2:$A$1295,0))))</f>
        <v/>
      </c>
      <c r="I84" s="7" t="str">
        <f aca="false">IF(D84="","",IF(INDEX(Hierarchy!$H$2:$H$1295,MATCH(D84,Hierarchy!$A$2:$A$1295,0))="","",INDEX(Hierarchy!$H$2:$H$1295,MATCH(D84,Hierarchy!$A$2:$A$1295,0))))</f>
        <v/>
      </c>
    </row>
    <row r="85" customFormat="false" ht="15" hidden="false" customHeight="false" outlineLevel="0" collapsed="false">
      <c r="A85" s="19"/>
      <c r="B85" s="7" t="str">
        <f aca="false">IF(A85="","",TRIM(SUBSTITUTE(SUBSTITUTE(SUBSTITUTE(" "&amp;TRIM(SUBSTITUTE(SUBSTITUTE(SUBSTITUTE(SUBSTITUTE(SUBSTITUTE(SUBSTITUTE(SUBSTITUTE(SUBSTITUTE(SUBSTITUTE(SUBSTITUTE(SUBSTITUTE(SUBSTITUTE(SUBSTITUTE(SUBSTITUTE(SUBSTITUTE(UPPER(TRIM(A85)),"[MEMBER]",""),"{MEMBER}",""),"[MEMBER}",""),"MEMBER]",""),"(A)",""),"""",""),"“",""),"”",""),".",""),":",""),",",""),"–"," "),"-"," "),"/"," "),"&amp;"," AND "))&amp;" "," THE "," ")," TOTAL "," ")," OPERATIONS "," ")))</f>
        <v/>
      </c>
      <c r="C85" s="17" t="str">
        <f aca="false">IF(A85="","",IF(ISNUMBER(MATCH(B85,Excluded!$E$2:$E$19,0)),"Excluded (not a place)",IF(ISNUMBER(MATCH(B85,'Label Map'!$N$2:$N$2019,0)),"Auto-matched","UNMAPPED: add to Label Map")))</f>
        <v/>
      </c>
      <c r="D85" s="7" t="str">
        <f aca="false">IF(C85="Auto-matched",INDEX('Label Map'!$D$2:$D$2019,MATCH(B85,'Label Map'!$N$2:$N$2019,0)),"")</f>
        <v/>
      </c>
      <c r="E85" s="7" t="str">
        <f aca="false">IF(D85="","",IF(INDEX(Hierarchy!$B$2:$B$1295,MATCH(D85,Hierarchy!$A$2:$A$1295,0))="","",INDEX(Hierarchy!$B$2:$B$1295,MATCH(D85,Hierarchy!$A$2:$A$1295,0))))</f>
        <v/>
      </c>
      <c r="F85" s="7" t="str">
        <f aca="false">IF(D85="","",IF(INDEX(Hierarchy!$D$2:$D$1295,MATCH(D85,Hierarchy!$A$2:$A$1295,0))="","",INDEX(Hierarchy!$D$2:$D$1295,MATCH(D85,Hierarchy!$A$2:$A$1295,0))))</f>
        <v/>
      </c>
      <c r="G85" s="7" t="str">
        <f aca="false">IF(D85="","",IF(INDEX(Hierarchy!$E$2:$E$1295,MATCH(D85,Hierarchy!$A$2:$A$1295,0))="","",INDEX(Hierarchy!$E$2:$E$1295,MATCH(D85,Hierarchy!$A$2:$A$1295,0))))</f>
        <v/>
      </c>
      <c r="H85" s="7" t="str">
        <f aca="false">IF(D85="","",IF(INDEX(Hierarchy!$F$2:$F$1295,MATCH(D85,Hierarchy!$A$2:$A$1295,0))="","",INDEX(Hierarchy!$F$2:$F$1295,MATCH(D85,Hierarchy!$A$2:$A$1295,0))))</f>
        <v/>
      </c>
      <c r="I85" s="7" t="str">
        <f aca="false">IF(D85="","",IF(INDEX(Hierarchy!$H$2:$H$1295,MATCH(D85,Hierarchy!$A$2:$A$1295,0))="","",INDEX(Hierarchy!$H$2:$H$1295,MATCH(D85,Hierarchy!$A$2:$A$1295,0))))</f>
        <v/>
      </c>
    </row>
    <row r="86" customFormat="false" ht="15" hidden="false" customHeight="false" outlineLevel="0" collapsed="false">
      <c r="A86" s="19"/>
      <c r="B86" s="7" t="str">
        <f aca="false">IF(A86="","",TRIM(SUBSTITUTE(SUBSTITUTE(SUBSTITUTE(" "&amp;TRIM(SUBSTITUTE(SUBSTITUTE(SUBSTITUTE(SUBSTITUTE(SUBSTITUTE(SUBSTITUTE(SUBSTITUTE(SUBSTITUTE(SUBSTITUTE(SUBSTITUTE(SUBSTITUTE(SUBSTITUTE(SUBSTITUTE(SUBSTITUTE(SUBSTITUTE(UPPER(TRIM(A86)),"[MEMBER]",""),"{MEMBER}",""),"[MEMBER}",""),"MEMBER]",""),"(A)",""),"""",""),"“",""),"”",""),".",""),":",""),",",""),"–"," "),"-"," "),"/"," "),"&amp;"," AND "))&amp;" "," THE "," ")," TOTAL "," ")," OPERATIONS "," ")))</f>
        <v/>
      </c>
      <c r="C86" s="17" t="str">
        <f aca="false">IF(A86="","",IF(ISNUMBER(MATCH(B86,Excluded!$E$2:$E$19,0)),"Excluded (not a place)",IF(ISNUMBER(MATCH(B86,'Label Map'!$N$2:$N$2019,0)),"Auto-matched","UNMAPPED: add to Label Map")))</f>
        <v/>
      </c>
      <c r="D86" s="7" t="str">
        <f aca="false">IF(C86="Auto-matched",INDEX('Label Map'!$D$2:$D$2019,MATCH(B86,'Label Map'!$N$2:$N$2019,0)),"")</f>
        <v/>
      </c>
      <c r="E86" s="7" t="str">
        <f aca="false">IF(D86="","",IF(INDEX(Hierarchy!$B$2:$B$1295,MATCH(D86,Hierarchy!$A$2:$A$1295,0))="","",INDEX(Hierarchy!$B$2:$B$1295,MATCH(D86,Hierarchy!$A$2:$A$1295,0))))</f>
        <v/>
      </c>
      <c r="F86" s="7" t="str">
        <f aca="false">IF(D86="","",IF(INDEX(Hierarchy!$D$2:$D$1295,MATCH(D86,Hierarchy!$A$2:$A$1295,0))="","",INDEX(Hierarchy!$D$2:$D$1295,MATCH(D86,Hierarchy!$A$2:$A$1295,0))))</f>
        <v/>
      </c>
      <c r="G86" s="7" t="str">
        <f aca="false">IF(D86="","",IF(INDEX(Hierarchy!$E$2:$E$1295,MATCH(D86,Hierarchy!$A$2:$A$1295,0))="","",INDEX(Hierarchy!$E$2:$E$1295,MATCH(D86,Hierarchy!$A$2:$A$1295,0))))</f>
        <v/>
      </c>
      <c r="H86" s="7" t="str">
        <f aca="false">IF(D86="","",IF(INDEX(Hierarchy!$F$2:$F$1295,MATCH(D86,Hierarchy!$A$2:$A$1295,0))="","",INDEX(Hierarchy!$F$2:$F$1295,MATCH(D86,Hierarchy!$A$2:$A$1295,0))))</f>
        <v/>
      </c>
      <c r="I86" s="7" t="str">
        <f aca="false">IF(D86="","",IF(INDEX(Hierarchy!$H$2:$H$1295,MATCH(D86,Hierarchy!$A$2:$A$1295,0))="","",INDEX(Hierarchy!$H$2:$H$1295,MATCH(D86,Hierarchy!$A$2:$A$1295,0))))</f>
        <v/>
      </c>
    </row>
    <row r="87" customFormat="false" ht="15" hidden="false" customHeight="false" outlineLevel="0" collapsed="false">
      <c r="A87" s="19"/>
      <c r="B87" s="7" t="str">
        <f aca="false">IF(A87="","",TRIM(SUBSTITUTE(SUBSTITUTE(SUBSTITUTE(" "&amp;TRIM(SUBSTITUTE(SUBSTITUTE(SUBSTITUTE(SUBSTITUTE(SUBSTITUTE(SUBSTITUTE(SUBSTITUTE(SUBSTITUTE(SUBSTITUTE(SUBSTITUTE(SUBSTITUTE(SUBSTITUTE(SUBSTITUTE(SUBSTITUTE(SUBSTITUTE(UPPER(TRIM(A87)),"[MEMBER]",""),"{MEMBER}",""),"[MEMBER}",""),"MEMBER]",""),"(A)",""),"""",""),"“",""),"”",""),".",""),":",""),",",""),"–"," "),"-"," "),"/"," "),"&amp;"," AND "))&amp;" "," THE "," ")," TOTAL "," ")," OPERATIONS "," ")))</f>
        <v/>
      </c>
      <c r="C87" s="17" t="str">
        <f aca="false">IF(A87="","",IF(ISNUMBER(MATCH(B87,Excluded!$E$2:$E$19,0)),"Excluded (not a place)",IF(ISNUMBER(MATCH(B87,'Label Map'!$N$2:$N$2019,0)),"Auto-matched","UNMAPPED: add to Label Map")))</f>
        <v/>
      </c>
      <c r="D87" s="7" t="str">
        <f aca="false">IF(C87="Auto-matched",INDEX('Label Map'!$D$2:$D$2019,MATCH(B87,'Label Map'!$N$2:$N$2019,0)),"")</f>
        <v/>
      </c>
      <c r="E87" s="7" t="str">
        <f aca="false">IF(D87="","",IF(INDEX(Hierarchy!$B$2:$B$1295,MATCH(D87,Hierarchy!$A$2:$A$1295,0))="","",INDEX(Hierarchy!$B$2:$B$1295,MATCH(D87,Hierarchy!$A$2:$A$1295,0))))</f>
        <v/>
      </c>
      <c r="F87" s="7" t="str">
        <f aca="false">IF(D87="","",IF(INDEX(Hierarchy!$D$2:$D$1295,MATCH(D87,Hierarchy!$A$2:$A$1295,0))="","",INDEX(Hierarchy!$D$2:$D$1295,MATCH(D87,Hierarchy!$A$2:$A$1295,0))))</f>
        <v/>
      </c>
      <c r="G87" s="7" t="str">
        <f aca="false">IF(D87="","",IF(INDEX(Hierarchy!$E$2:$E$1295,MATCH(D87,Hierarchy!$A$2:$A$1295,0))="","",INDEX(Hierarchy!$E$2:$E$1295,MATCH(D87,Hierarchy!$A$2:$A$1295,0))))</f>
        <v/>
      </c>
      <c r="H87" s="7" t="str">
        <f aca="false">IF(D87="","",IF(INDEX(Hierarchy!$F$2:$F$1295,MATCH(D87,Hierarchy!$A$2:$A$1295,0))="","",INDEX(Hierarchy!$F$2:$F$1295,MATCH(D87,Hierarchy!$A$2:$A$1295,0))))</f>
        <v/>
      </c>
      <c r="I87" s="7" t="str">
        <f aca="false">IF(D87="","",IF(INDEX(Hierarchy!$H$2:$H$1295,MATCH(D87,Hierarchy!$A$2:$A$1295,0))="","",INDEX(Hierarchy!$H$2:$H$1295,MATCH(D87,Hierarchy!$A$2:$A$1295,0))))</f>
        <v/>
      </c>
    </row>
    <row r="88" customFormat="false" ht="15" hidden="false" customHeight="false" outlineLevel="0" collapsed="false">
      <c r="A88" s="19"/>
      <c r="B88" s="7" t="str">
        <f aca="false">IF(A88="","",TRIM(SUBSTITUTE(SUBSTITUTE(SUBSTITUTE(" "&amp;TRIM(SUBSTITUTE(SUBSTITUTE(SUBSTITUTE(SUBSTITUTE(SUBSTITUTE(SUBSTITUTE(SUBSTITUTE(SUBSTITUTE(SUBSTITUTE(SUBSTITUTE(SUBSTITUTE(SUBSTITUTE(SUBSTITUTE(SUBSTITUTE(SUBSTITUTE(UPPER(TRIM(A88)),"[MEMBER]",""),"{MEMBER}",""),"[MEMBER}",""),"MEMBER]",""),"(A)",""),"""",""),"“",""),"”",""),".",""),":",""),",",""),"–"," "),"-"," "),"/"," "),"&amp;"," AND "))&amp;" "," THE "," ")," TOTAL "," ")," OPERATIONS "," ")))</f>
        <v/>
      </c>
      <c r="C88" s="17" t="str">
        <f aca="false">IF(A88="","",IF(ISNUMBER(MATCH(B88,Excluded!$E$2:$E$19,0)),"Excluded (not a place)",IF(ISNUMBER(MATCH(B88,'Label Map'!$N$2:$N$2019,0)),"Auto-matched","UNMAPPED: add to Label Map")))</f>
        <v/>
      </c>
      <c r="D88" s="7" t="str">
        <f aca="false">IF(C88="Auto-matched",INDEX('Label Map'!$D$2:$D$2019,MATCH(B88,'Label Map'!$N$2:$N$2019,0)),"")</f>
        <v/>
      </c>
      <c r="E88" s="7" t="str">
        <f aca="false">IF(D88="","",IF(INDEX(Hierarchy!$B$2:$B$1295,MATCH(D88,Hierarchy!$A$2:$A$1295,0))="","",INDEX(Hierarchy!$B$2:$B$1295,MATCH(D88,Hierarchy!$A$2:$A$1295,0))))</f>
        <v/>
      </c>
      <c r="F88" s="7" t="str">
        <f aca="false">IF(D88="","",IF(INDEX(Hierarchy!$D$2:$D$1295,MATCH(D88,Hierarchy!$A$2:$A$1295,0))="","",INDEX(Hierarchy!$D$2:$D$1295,MATCH(D88,Hierarchy!$A$2:$A$1295,0))))</f>
        <v/>
      </c>
      <c r="G88" s="7" t="str">
        <f aca="false">IF(D88="","",IF(INDEX(Hierarchy!$E$2:$E$1295,MATCH(D88,Hierarchy!$A$2:$A$1295,0))="","",INDEX(Hierarchy!$E$2:$E$1295,MATCH(D88,Hierarchy!$A$2:$A$1295,0))))</f>
        <v/>
      </c>
      <c r="H88" s="7" t="str">
        <f aca="false">IF(D88="","",IF(INDEX(Hierarchy!$F$2:$F$1295,MATCH(D88,Hierarchy!$A$2:$A$1295,0))="","",INDEX(Hierarchy!$F$2:$F$1295,MATCH(D88,Hierarchy!$A$2:$A$1295,0))))</f>
        <v/>
      </c>
      <c r="I88" s="7" t="str">
        <f aca="false">IF(D88="","",IF(INDEX(Hierarchy!$H$2:$H$1295,MATCH(D88,Hierarchy!$A$2:$A$1295,0))="","",INDEX(Hierarchy!$H$2:$H$1295,MATCH(D88,Hierarchy!$A$2:$A$1295,0))))</f>
        <v/>
      </c>
    </row>
    <row r="89" customFormat="false" ht="15" hidden="false" customHeight="false" outlineLevel="0" collapsed="false">
      <c r="A89" s="19"/>
      <c r="B89" s="7" t="str">
        <f aca="false">IF(A89="","",TRIM(SUBSTITUTE(SUBSTITUTE(SUBSTITUTE(" "&amp;TRIM(SUBSTITUTE(SUBSTITUTE(SUBSTITUTE(SUBSTITUTE(SUBSTITUTE(SUBSTITUTE(SUBSTITUTE(SUBSTITUTE(SUBSTITUTE(SUBSTITUTE(SUBSTITUTE(SUBSTITUTE(SUBSTITUTE(SUBSTITUTE(SUBSTITUTE(UPPER(TRIM(A89)),"[MEMBER]",""),"{MEMBER}",""),"[MEMBER}",""),"MEMBER]",""),"(A)",""),"""",""),"“",""),"”",""),".",""),":",""),",",""),"–"," "),"-"," "),"/"," "),"&amp;"," AND "))&amp;" "," THE "," ")," TOTAL "," ")," OPERATIONS "," ")))</f>
        <v/>
      </c>
      <c r="C89" s="17" t="str">
        <f aca="false">IF(A89="","",IF(ISNUMBER(MATCH(B89,Excluded!$E$2:$E$19,0)),"Excluded (not a place)",IF(ISNUMBER(MATCH(B89,'Label Map'!$N$2:$N$2019,0)),"Auto-matched","UNMAPPED: add to Label Map")))</f>
        <v/>
      </c>
      <c r="D89" s="7" t="str">
        <f aca="false">IF(C89="Auto-matched",INDEX('Label Map'!$D$2:$D$2019,MATCH(B89,'Label Map'!$N$2:$N$2019,0)),"")</f>
        <v/>
      </c>
      <c r="E89" s="7" t="str">
        <f aca="false">IF(D89="","",IF(INDEX(Hierarchy!$B$2:$B$1295,MATCH(D89,Hierarchy!$A$2:$A$1295,0))="","",INDEX(Hierarchy!$B$2:$B$1295,MATCH(D89,Hierarchy!$A$2:$A$1295,0))))</f>
        <v/>
      </c>
      <c r="F89" s="7" t="str">
        <f aca="false">IF(D89="","",IF(INDEX(Hierarchy!$D$2:$D$1295,MATCH(D89,Hierarchy!$A$2:$A$1295,0))="","",INDEX(Hierarchy!$D$2:$D$1295,MATCH(D89,Hierarchy!$A$2:$A$1295,0))))</f>
        <v/>
      </c>
      <c r="G89" s="7" t="str">
        <f aca="false">IF(D89="","",IF(INDEX(Hierarchy!$E$2:$E$1295,MATCH(D89,Hierarchy!$A$2:$A$1295,0))="","",INDEX(Hierarchy!$E$2:$E$1295,MATCH(D89,Hierarchy!$A$2:$A$1295,0))))</f>
        <v/>
      </c>
      <c r="H89" s="7" t="str">
        <f aca="false">IF(D89="","",IF(INDEX(Hierarchy!$F$2:$F$1295,MATCH(D89,Hierarchy!$A$2:$A$1295,0))="","",INDEX(Hierarchy!$F$2:$F$1295,MATCH(D89,Hierarchy!$A$2:$A$1295,0))))</f>
        <v/>
      </c>
      <c r="I89" s="7" t="str">
        <f aca="false">IF(D89="","",IF(INDEX(Hierarchy!$H$2:$H$1295,MATCH(D89,Hierarchy!$A$2:$A$1295,0))="","",INDEX(Hierarchy!$H$2:$H$1295,MATCH(D89,Hierarchy!$A$2:$A$1295,0))))</f>
        <v/>
      </c>
    </row>
    <row r="90" customFormat="false" ht="15" hidden="false" customHeight="false" outlineLevel="0" collapsed="false">
      <c r="A90" s="19"/>
      <c r="B90" s="7" t="str">
        <f aca="false">IF(A90="","",TRIM(SUBSTITUTE(SUBSTITUTE(SUBSTITUTE(" "&amp;TRIM(SUBSTITUTE(SUBSTITUTE(SUBSTITUTE(SUBSTITUTE(SUBSTITUTE(SUBSTITUTE(SUBSTITUTE(SUBSTITUTE(SUBSTITUTE(SUBSTITUTE(SUBSTITUTE(SUBSTITUTE(SUBSTITUTE(SUBSTITUTE(SUBSTITUTE(UPPER(TRIM(A90)),"[MEMBER]",""),"{MEMBER}",""),"[MEMBER}",""),"MEMBER]",""),"(A)",""),"""",""),"“",""),"”",""),".",""),":",""),",",""),"–"," "),"-"," "),"/"," "),"&amp;"," AND "))&amp;" "," THE "," ")," TOTAL "," ")," OPERATIONS "," ")))</f>
        <v/>
      </c>
      <c r="C90" s="17" t="str">
        <f aca="false">IF(A90="","",IF(ISNUMBER(MATCH(B90,Excluded!$E$2:$E$19,0)),"Excluded (not a place)",IF(ISNUMBER(MATCH(B90,'Label Map'!$N$2:$N$2019,0)),"Auto-matched","UNMAPPED: add to Label Map")))</f>
        <v/>
      </c>
      <c r="D90" s="7" t="str">
        <f aca="false">IF(C90="Auto-matched",INDEX('Label Map'!$D$2:$D$2019,MATCH(B90,'Label Map'!$N$2:$N$2019,0)),"")</f>
        <v/>
      </c>
      <c r="E90" s="7" t="str">
        <f aca="false">IF(D90="","",IF(INDEX(Hierarchy!$B$2:$B$1295,MATCH(D90,Hierarchy!$A$2:$A$1295,0))="","",INDEX(Hierarchy!$B$2:$B$1295,MATCH(D90,Hierarchy!$A$2:$A$1295,0))))</f>
        <v/>
      </c>
      <c r="F90" s="7" t="str">
        <f aca="false">IF(D90="","",IF(INDEX(Hierarchy!$D$2:$D$1295,MATCH(D90,Hierarchy!$A$2:$A$1295,0))="","",INDEX(Hierarchy!$D$2:$D$1295,MATCH(D90,Hierarchy!$A$2:$A$1295,0))))</f>
        <v/>
      </c>
      <c r="G90" s="7" t="str">
        <f aca="false">IF(D90="","",IF(INDEX(Hierarchy!$E$2:$E$1295,MATCH(D90,Hierarchy!$A$2:$A$1295,0))="","",INDEX(Hierarchy!$E$2:$E$1295,MATCH(D90,Hierarchy!$A$2:$A$1295,0))))</f>
        <v/>
      </c>
      <c r="H90" s="7" t="str">
        <f aca="false">IF(D90="","",IF(INDEX(Hierarchy!$F$2:$F$1295,MATCH(D90,Hierarchy!$A$2:$A$1295,0))="","",INDEX(Hierarchy!$F$2:$F$1295,MATCH(D90,Hierarchy!$A$2:$A$1295,0))))</f>
        <v/>
      </c>
      <c r="I90" s="7" t="str">
        <f aca="false">IF(D90="","",IF(INDEX(Hierarchy!$H$2:$H$1295,MATCH(D90,Hierarchy!$A$2:$A$1295,0))="","",INDEX(Hierarchy!$H$2:$H$1295,MATCH(D90,Hierarchy!$A$2:$A$1295,0))))</f>
        <v/>
      </c>
    </row>
    <row r="91" customFormat="false" ht="15" hidden="false" customHeight="false" outlineLevel="0" collapsed="false">
      <c r="A91" s="19"/>
      <c r="B91" s="7" t="str">
        <f aca="false">IF(A91="","",TRIM(SUBSTITUTE(SUBSTITUTE(SUBSTITUTE(" "&amp;TRIM(SUBSTITUTE(SUBSTITUTE(SUBSTITUTE(SUBSTITUTE(SUBSTITUTE(SUBSTITUTE(SUBSTITUTE(SUBSTITUTE(SUBSTITUTE(SUBSTITUTE(SUBSTITUTE(SUBSTITUTE(SUBSTITUTE(SUBSTITUTE(SUBSTITUTE(UPPER(TRIM(A91)),"[MEMBER]",""),"{MEMBER}",""),"[MEMBER}",""),"MEMBER]",""),"(A)",""),"""",""),"“",""),"”",""),".",""),":",""),",",""),"–"," "),"-"," "),"/"," "),"&amp;"," AND "))&amp;" "," THE "," ")," TOTAL "," ")," OPERATIONS "," ")))</f>
        <v/>
      </c>
      <c r="C91" s="17" t="str">
        <f aca="false">IF(A91="","",IF(ISNUMBER(MATCH(B91,Excluded!$E$2:$E$19,0)),"Excluded (not a place)",IF(ISNUMBER(MATCH(B91,'Label Map'!$N$2:$N$2019,0)),"Auto-matched","UNMAPPED: add to Label Map")))</f>
        <v/>
      </c>
      <c r="D91" s="7" t="str">
        <f aca="false">IF(C91="Auto-matched",INDEX('Label Map'!$D$2:$D$2019,MATCH(B91,'Label Map'!$N$2:$N$2019,0)),"")</f>
        <v/>
      </c>
      <c r="E91" s="7" t="str">
        <f aca="false">IF(D91="","",IF(INDEX(Hierarchy!$B$2:$B$1295,MATCH(D91,Hierarchy!$A$2:$A$1295,0))="","",INDEX(Hierarchy!$B$2:$B$1295,MATCH(D91,Hierarchy!$A$2:$A$1295,0))))</f>
        <v/>
      </c>
      <c r="F91" s="7" t="str">
        <f aca="false">IF(D91="","",IF(INDEX(Hierarchy!$D$2:$D$1295,MATCH(D91,Hierarchy!$A$2:$A$1295,0))="","",INDEX(Hierarchy!$D$2:$D$1295,MATCH(D91,Hierarchy!$A$2:$A$1295,0))))</f>
        <v/>
      </c>
      <c r="G91" s="7" t="str">
        <f aca="false">IF(D91="","",IF(INDEX(Hierarchy!$E$2:$E$1295,MATCH(D91,Hierarchy!$A$2:$A$1295,0))="","",INDEX(Hierarchy!$E$2:$E$1295,MATCH(D91,Hierarchy!$A$2:$A$1295,0))))</f>
        <v/>
      </c>
      <c r="H91" s="7" t="str">
        <f aca="false">IF(D91="","",IF(INDEX(Hierarchy!$F$2:$F$1295,MATCH(D91,Hierarchy!$A$2:$A$1295,0))="","",INDEX(Hierarchy!$F$2:$F$1295,MATCH(D91,Hierarchy!$A$2:$A$1295,0))))</f>
        <v/>
      </c>
      <c r="I91" s="7" t="str">
        <f aca="false">IF(D91="","",IF(INDEX(Hierarchy!$H$2:$H$1295,MATCH(D91,Hierarchy!$A$2:$A$1295,0))="","",INDEX(Hierarchy!$H$2:$H$1295,MATCH(D91,Hierarchy!$A$2:$A$1295,0))))</f>
        <v/>
      </c>
    </row>
    <row r="92" customFormat="false" ht="15" hidden="false" customHeight="false" outlineLevel="0" collapsed="false">
      <c r="A92" s="19"/>
      <c r="B92" s="7" t="str">
        <f aca="false">IF(A92="","",TRIM(SUBSTITUTE(SUBSTITUTE(SUBSTITUTE(" "&amp;TRIM(SUBSTITUTE(SUBSTITUTE(SUBSTITUTE(SUBSTITUTE(SUBSTITUTE(SUBSTITUTE(SUBSTITUTE(SUBSTITUTE(SUBSTITUTE(SUBSTITUTE(SUBSTITUTE(SUBSTITUTE(SUBSTITUTE(SUBSTITUTE(SUBSTITUTE(UPPER(TRIM(A92)),"[MEMBER]",""),"{MEMBER}",""),"[MEMBER}",""),"MEMBER]",""),"(A)",""),"""",""),"“",""),"”",""),".",""),":",""),",",""),"–"," "),"-"," "),"/"," "),"&amp;"," AND "))&amp;" "," THE "," ")," TOTAL "," ")," OPERATIONS "," ")))</f>
        <v/>
      </c>
      <c r="C92" s="17" t="str">
        <f aca="false">IF(A92="","",IF(ISNUMBER(MATCH(B92,Excluded!$E$2:$E$19,0)),"Excluded (not a place)",IF(ISNUMBER(MATCH(B92,'Label Map'!$N$2:$N$2019,0)),"Auto-matched","UNMAPPED: add to Label Map")))</f>
        <v/>
      </c>
      <c r="D92" s="7" t="str">
        <f aca="false">IF(C92="Auto-matched",INDEX('Label Map'!$D$2:$D$2019,MATCH(B92,'Label Map'!$N$2:$N$2019,0)),"")</f>
        <v/>
      </c>
      <c r="E92" s="7" t="str">
        <f aca="false">IF(D92="","",IF(INDEX(Hierarchy!$B$2:$B$1295,MATCH(D92,Hierarchy!$A$2:$A$1295,0))="","",INDEX(Hierarchy!$B$2:$B$1295,MATCH(D92,Hierarchy!$A$2:$A$1295,0))))</f>
        <v/>
      </c>
      <c r="F92" s="7" t="str">
        <f aca="false">IF(D92="","",IF(INDEX(Hierarchy!$D$2:$D$1295,MATCH(D92,Hierarchy!$A$2:$A$1295,0))="","",INDEX(Hierarchy!$D$2:$D$1295,MATCH(D92,Hierarchy!$A$2:$A$1295,0))))</f>
        <v/>
      </c>
      <c r="G92" s="7" t="str">
        <f aca="false">IF(D92="","",IF(INDEX(Hierarchy!$E$2:$E$1295,MATCH(D92,Hierarchy!$A$2:$A$1295,0))="","",INDEX(Hierarchy!$E$2:$E$1295,MATCH(D92,Hierarchy!$A$2:$A$1295,0))))</f>
        <v/>
      </c>
      <c r="H92" s="7" t="str">
        <f aca="false">IF(D92="","",IF(INDEX(Hierarchy!$F$2:$F$1295,MATCH(D92,Hierarchy!$A$2:$A$1295,0))="","",INDEX(Hierarchy!$F$2:$F$1295,MATCH(D92,Hierarchy!$A$2:$A$1295,0))))</f>
        <v/>
      </c>
      <c r="I92" s="7" t="str">
        <f aca="false">IF(D92="","",IF(INDEX(Hierarchy!$H$2:$H$1295,MATCH(D92,Hierarchy!$A$2:$A$1295,0))="","",INDEX(Hierarchy!$H$2:$H$1295,MATCH(D92,Hierarchy!$A$2:$A$1295,0))))</f>
        <v/>
      </c>
    </row>
    <row r="93" customFormat="false" ht="15" hidden="false" customHeight="false" outlineLevel="0" collapsed="false">
      <c r="A93" s="19"/>
      <c r="B93" s="7" t="str">
        <f aca="false">IF(A93="","",TRIM(SUBSTITUTE(SUBSTITUTE(SUBSTITUTE(" "&amp;TRIM(SUBSTITUTE(SUBSTITUTE(SUBSTITUTE(SUBSTITUTE(SUBSTITUTE(SUBSTITUTE(SUBSTITUTE(SUBSTITUTE(SUBSTITUTE(SUBSTITUTE(SUBSTITUTE(SUBSTITUTE(SUBSTITUTE(SUBSTITUTE(SUBSTITUTE(UPPER(TRIM(A93)),"[MEMBER]",""),"{MEMBER}",""),"[MEMBER}",""),"MEMBER]",""),"(A)",""),"""",""),"“",""),"”",""),".",""),":",""),",",""),"–"," "),"-"," "),"/"," "),"&amp;"," AND "))&amp;" "," THE "," ")," TOTAL "," ")," OPERATIONS "," ")))</f>
        <v/>
      </c>
      <c r="C93" s="17" t="str">
        <f aca="false">IF(A93="","",IF(ISNUMBER(MATCH(B93,Excluded!$E$2:$E$19,0)),"Excluded (not a place)",IF(ISNUMBER(MATCH(B93,'Label Map'!$N$2:$N$2019,0)),"Auto-matched","UNMAPPED: add to Label Map")))</f>
        <v/>
      </c>
      <c r="D93" s="7" t="str">
        <f aca="false">IF(C93="Auto-matched",INDEX('Label Map'!$D$2:$D$2019,MATCH(B93,'Label Map'!$N$2:$N$2019,0)),"")</f>
        <v/>
      </c>
      <c r="E93" s="7" t="str">
        <f aca="false">IF(D93="","",IF(INDEX(Hierarchy!$B$2:$B$1295,MATCH(D93,Hierarchy!$A$2:$A$1295,0))="","",INDEX(Hierarchy!$B$2:$B$1295,MATCH(D93,Hierarchy!$A$2:$A$1295,0))))</f>
        <v/>
      </c>
      <c r="F93" s="7" t="str">
        <f aca="false">IF(D93="","",IF(INDEX(Hierarchy!$D$2:$D$1295,MATCH(D93,Hierarchy!$A$2:$A$1295,0))="","",INDEX(Hierarchy!$D$2:$D$1295,MATCH(D93,Hierarchy!$A$2:$A$1295,0))))</f>
        <v/>
      </c>
      <c r="G93" s="7" t="str">
        <f aca="false">IF(D93="","",IF(INDEX(Hierarchy!$E$2:$E$1295,MATCH(D93,Hierarchy!$A$2:$A$1295,0))="","",INDEX(Hierarchy!$E$2:$E$1295,MATCH(D93,Hierarchy!$A$2:$A$1295,0))))</f>
        <v/>
      </c>
      <c r="H93" s="7" t="str">
        <f aca="false">IF(D93="","",IF(INDEX(Hierarchy!$F$2:$F$1295,MATCH(D93,Hierarchy!$A$2:$A$1295,0))="","",INDEX(Hierarchy!$F$2:$F$1295,MATCH(D93,Hierarchy!$A$2:$A$1295,0))))</f>
        <v/>
      </c>
      <c r="I93" s="7" t="str">
        <f aca="false">IF(D93="","",IF(INDEX(Hierarchy!$H$2:$H$1295,MATCH(D93,Hierarchy!$A$2:$A$1295,0))="","",INDEX(Hierarchy!$H$2:$H$1295,MATCH(D93,Hierarchy!$A$2:$A$1295,0))))</f>
        <v/>
      </c>
    </row>
    <row r="94" customFormat="false" ht="15" hidden="false" customHeight="false" outlineLevel="0" collapsed="false">
      <c r="A94" s="19"/>
      <c r="B94" s="7" t="str">
        <f aca="false">IF(A94="","",TRIM(SUBSTITUTE(SUBSTITUTE(SUBSTITUTE(" "&amp;TRIM(SUBSTITUTE(SUBSTITUTE(SUBSTITUTE(SUBSTITUTE(SUBSTITUTE(SUBSTITUTE(SUBSTITUTE(SUBSTITUTE(SUBSTITUTE(SUBSTITUTE(SUBSTITUTE(SUBSTITUTE(SUBSTITUTE(SUBSTITUTE(SUBSTITUTE(UPPER(TRIM(A94)),"[MEMBER]",""),"{MEMBER}",""),"[MEMBER}",""),"MEMBER]",""),"(A)",""),"""",""),"“",""),"”",""),".",""),":",""),",",""),"–"," "),"-"," "),"/"," "),"&amp;"," AND "))&amp;" "," THE "," ")," TOTAL "," ")," OPERATIONS "," ")))</f>
        <v/>
      </c>
      <c r="C94" s="17" t="str">
        <f aca="false">IF(A94="","",IF(ISNUMBER(MATCH(B94,Excluded!$E$2:$E$19,0)),"Excluded (not a place)",IF(ISNUMBER(MATCH(B94,'Label Map'!$N$2:$N$2019,0)),"Auto-matched","UNMAPPED: add to Label Map")))</f>
        <v/>
      </c>
      <c r="D94" s="7" t="str">
        <f aca="false">IF(C94="Auto-matched",INDEX('Label Map'!$D$2:$D$2019,MATCH(B94,'Label Map'!$N$2:$N$2019,0)),"")</f>
        <v/>
      </c>
      <c r="E94" s="7" t="str">
        <f aca="false">IF(D94="","",IF(INDEX(Hierarchy!$B$2:$B$1295,MATCH(D94,Hierarchy!$A$2:$A$1295,0))="","",INDEX(Hierarchy!$B$2:$B$1295,MATCH(D94,Hierarchy!$A$2:$A$1295,0))))</f>
        <v/>
      </c>
      <c r="F94" s="7" t="str">
        <f aca="false">IF(D94="","",IF(INDEX(Hierarchy!$D$2:$D$1295,MATCH(D94,Hierarchy!$A$2:$A$1295,0))="","",INDEX(Hierarchy!$D$2:$D$1295,MATCH(D94,Hierarchy!$A$2:$A$1295,0))))</f>
        <v/>
      </c>
      <c r="G94" s="7" t="str">
        <f aca="false">IF(D94="","",IF(INDEX(Hierarchy!$E$2:$E$1295,MATCH(D94,Hierarchy!$A$2:$A$1295,0))="","",INDEX(Hierarchy!$E$2:$E$1295,MATCH(D94,Hierarchy!$A$2:$A$1295,0))))</f>
        <v/>
      </c>
      <c r="H94" s="7" t="str">
        <f aca="false">IF(D94="","",IF(INDEX(Hierarchy!$F$2:$F$1295,MATCH(D94,Hierarchy!$A$2:$A$1295,0))="","",INDEX(Hierarchy!$F$2:$F$1295,MATCH(D94,Hierarchy!$A$2:$A$1295,0))))</f>
        <v/>
      </c>
      <c r="I94" s="7" t="str">
        <f aca="false">IF(D94="","",IF(INDEX(Hierarchy!$H$2:$H$1295,MATCH(D94,Hierarchy!$A$2:$A$1295,0))="","",INDEX(Hierarchy!$H$2:$H$1295,MATCH(D94,Hierarchy!$A$2:$A$1295,0))))</f>
        <v/>
      </c>
    </row>
    <row r="95" customFormat="false" ht="15" hidden="false" customHeight="false" outlineLevel="0" collapsed="false">
      <c r="A95" s="19"/>
      <c r="B95" s="7" t="str">
        <f aca="false">IF(A95="","",TRIM(SUBSTITUTE(SUBSTITUTE(SUBSTITUTE(" "&amp;TRIM(SUBSTITUTE(SUBSTITUTE(SUBSTITUTE(SUBSTITUTE(SUBSTITUTE(SUBSTITUTE(SUBSTITUTE(SUBSTITUTE(SUBSTITUTE(SUBSTITUTE(SUBSTITUTE(SUBSTITUTE(SUBSTITUTE(SUBSTITUTE(SUBSTITUTE(UPPER(TRIM(A95)),"[MEMBER]",""),"{MEMBER}",""),"[MEMBER}",""),"MEMBER]",""),"(A)",""),"""",""),"“",""),"”",""),".",""),":",""),",",""),"–"," "),"-"," "),"/"," "),"&amp;"," AND "))&amp;" "," THE "," ")," TOTAL "," ")," OPERATIONS "," ")))</f>
        <v/>
      </c>
      <c r="C95" s="17" t="str">
        <f aca="false">IF(A95="","",IF(ISNUMBER(MATCH(B95,Excluded!$E$2:$E$19,0)),"Excluded (not a place)",IF(ISNUMBER(MATCH(B95,'Label Map'!$N$2:$N$2019,0)),"Auto-matched","UNMAPPED: add to Label Map")))</f>
        <v/>
      </c>
      <c r="D95" s="7" t="str">
        <f aca="false">IF(C95="Auto-matched",INDEX('Label Map'!$D$2:$D$2019,MATCH(B95,'Label Map'!$N$2:$N$2019,0)),"")</f>
        <v/>
      </c>
      <c r="E95" s="7" t="str">
        <f aca="false">IF(D95="","",IF(INDEX(Hierarchy!$B$2:$B$1295,MATCH(D95,Hierarchy!$A$2:$A$1295,0))="","",INDEX(Hierarchy!$B$2:$B$1295,MATCH(D95,Hierarchy!$A$2:$A$1295,0))))</f>
        <v/>
      </c>
      <c r="F95" s="7" t="str">
        <f aca="false">IF(D95="","",IF(INDEX(Hierarchy!$D$2:$D$1295,MATCH(D95,Hierarchy!$A$2:$A$1295,0))="","",INDEX(Hierarchy!$D$2:$D$1295,MATCH(D95,Hierarchy!$A$2:$A$1295,0))))</f>
        <v/>
      </c>
      <c r="G95" s="7" t="str">
        <f aca="false">IF(D95="","",IF(INDEX(Hierarchy!$E$2:$E$1295,MATCH(D95,Hierarchy!$A$2:$A$1295,0))="","",INDEX(Hierarchy!$E$2:$E$1295,MATCH(D95,Hierarchy!$A$2:$A$1295,0))))</f>
        <v/>
      </c>
      <c r="H95" s="7" t="str">
        <f aca="false">IF(D95="","",IF(INDEX(Hierarchy!$F$2:$F$1295,MATCH(D95,Hierarchy!$A$2:$A$1295,0))="","",INDEX(Hierarchy!$F$2:$F$1295,MATCH(D95,Hierarchy!$A$2:$A$1295,0))))</f>
        <v/>
      </c>
      <c r="I95" s="7" t="str">
        <f aca="false">IF(D95="","",IF(INDEX(Hierarchy!$H$2:$H$1295,MATCH(D95,Hierarchy!$A$2:$A$1295,0))="","",INDEX(Hierarchy!$H$2:$H$1295,MATCH(D95,Hierarchy!$A$2:$A$1295,0))))</f>
        <v/>
      </c>
    </row>
    <row r="96" customFormat="false" ht="15" hidden="false" customHeight="false" outlineLevel="0" collapsed="false">
      <c r="A96" s="19"/>
      <c r="B96" s="7" t="str">
        <f aca="false">IF(A96="","",TRIM(SUBSTITUTE(SUBSTITUTE(SUBSTITUTE(" "&amp;TRIM(SUBSTITUTE(SUBSTITUTE(SUBSTITUTE(SUBSTITUTE(SUBSTITUTE(SUBSTITUTE(SUBSTITUTE(SUBSTITUTE(SUBSTITUTE(SUBSTITUTE(SUBSTITUTE(SUBSTITUTE(SUBSTITUTE(SUBSTITUTE(SUBSTITUTE(UPPER(TRIM(A96)),"[MEMBER]",""),"{MEMBER}",""),"[MEMBER}",""),"MEMBER]",""),"(A)",""),"""",""),"“",""),"”",""),".",""),":",""),",",""),"–"," "),"-"," "),"/"," "),"&amp;"," AND "))&amp;" "," THE "," ")," TOTAL "," ")," OPERATIONS "," ")))</f>
        <v/>
      </c>
      <c r="C96" s="17" t="str">
        <f aca="false">IF(A96="","",IF(ISNUMBER(MATCH(B96,Excluded!$E$2:$E$19,0)),"Excluded (not a place)",IF(ISNUMBER(MATCH(B96,'Label Map'!$N$2:$N$2019,0)),"Auto-matched","UNMAPPED: add to Label Map")))</f>
        <v/>
      </c>
      <c r="D96" s="7" t="str">
        <f aca="false">IF(C96="Auto-matched",INDEX('Label Map'!$D$2:$D$2019,MATCH(B96,'Label Map'!$N$2:$N$2019,0)),"")</f>
        <v/>
      </c>
      <c r="E96" s="7" t="str">
        <f aca="false">IF(D96="","",IF(INDEX(Hierarchy!$B$2:$B$1295,MATCH(D96,Hierarchy!$A$2:$A$1295,0))="","",INDEX(Hierarchy!$B$2:$B$1295,MATCH(D96,Hierarchy!$A$2:$A$1295,0))))</f>
        <v/>
      </c>
      <c r="F96" s="7" t="str">
        <f aca="false">IF(D96="","",IF(INDEX(Hierarchy!$D$2:$D$1295,MATCH(D96,Hierarchy!$A$2:$A$1295,0))="","",INDEX(Hierarchy!$D$2:$D$1295,MATCH(D96,Hierarchy!$A$2:$A$1295,0))))</f>
        <v/>
      </c>
      <c r="G96" s="7" t="str">
        <f aca="false">IF(D96="","",IF(INDEX(Hierarchy!$E$2:$E$1295,MATCH(D96,Hierarchy!$A$2:$A$1295,0))="","",INDEX(Hierarchy!$E$2:$E$1295,MATCH(D96,Hierarchy!$A$2:$A$1295,0))))</f>
        <v/>
      </c>
      <c r="H96" s="7" t="str">
        <f aca="false">IF(D96="","",IF(INDEX(Hierarchy!$F$2:$F$1295,MATCH(D96,Hierarchy!$A$2:$A$1295,0))="","",INDEX(Hierarchy!$F$2:$F$1295,MATCH(D96,Hierarchy!$A$2:$A$1295,0))))</f>
        <v/>
      </c>
      <c r="I96" s="7" t="str">
        <f aca="false">IF(D96="","",IF(INDEX(Hierarchy!$H$2:$H$1295,MATCH(D96,Hierarchy!$A$2:$A$1295,0))="","",INDEX(Hierarchy!$H$2:$H$1295,MATCH(D96,Hierarchy!$A$2:$A$1295,0))))</f>
        <v/>
      </c>
    </row>
    <row r="97" customFormat="false" ht="15" hidden="false" customHeight="false" outlineLevel="0" collapsed="false">
      <c r="A97" s="19"/>
      <c r="B97" s="7" t="str">
        <f aca="false">IF(A97="","",TRIM(SUBSTITUTE(SUBSTITUTE(SUBSTITUTE(" "&amp;TRIM(SUBSTITUTE(SUBSTITUTE(SUBSTITUTE(SUBSTITUTE(SUBSTITUTE(SUBSTITUTE(SUBSTITUTE(SUBSTITUTE(SUBSTITUTE(SUBSTITUTE(SUBSTITUTE(SUBSTITUTE(SUBSTITUTE(SUBSTITUTE(SUBSTITUTE(UPPER(TRIM(A97)),"[MEMBER]",""),"{MEMBER}",""),"[MEMBER}",""),"MEMBER]",""),"(A)",""),"""",""),"“",""),"”",""),".",""),":",""),",",""),"–"," "),"-"," "),"/"," "),"&amp;"," AND "))&amp;" "," THE "," ")," TOTAL "," ")," OPERATIONS "," ")))</f>
        <v/>
      </c>
      <c r="C97" s="17" t="str">
        <f aca="false">IF(A97="","",IF(ISNUMBER(MATCH(B97,Excluded!$E$2:$E$19,0)),"Excluded (not a place)",IF(ISNUMBER(MATCH(B97,'Label Map'!$N$2:$N$2019,0)),"Auto-matched","UNMAPPED: add to Label Map")))</f>
        <v/>
      </c>
      <c r="D97" s="7" t="str">
        <f aca="false">IF(C97="Auto-matched",INDEX('Label Map'!$D$2:$D$2019,MATCH(B97,'Label Map'!$N$2:$N$2019,0)),"")</f>
        <v/>
      </c>
      <c r="E97" s="7" t="str">
        <f aca="false">IF(D97="","",IF(INDEX(Hierarchy!$B$2:$B$1295,MATCH(D97,Hierarchy!$A$2:$A$1295,0))="","",INDEX(Hierarchy!$B$2:$B$1295,MATCH(D97,Hierarchy!$A$2:$A$1295,0))))</f>
        <v/>
      </c>
      <c r="F97" s="7" t="str">
        <f aca="false">IF(D97="","",IF(INDEX(Hierarchy!$D$2:$D$1295,MATCH(D97,Hierarchy!$A$2:$A$1295,0))="","",INDEX(Hierarchy!$D$2:$D$1295,MATCH(D97,Hierarchy!$A$2:$A$1295,0))))</f>
        <v/>
      </c>
      <c r="G97" s="7" t="str">
        <f aca="false">IF(D97="","",IF(INDEX(Hierarchy!$E$2:$E$1295,MATCH(D97,Hierarchy!$A$2:$A$1295,0))="","",INDEX(Hierarchy!$E$2:$E$1295,MATCH(D97,Hierarchy!$A$2:$A$1295,0))))</f>
        <v/>
      </c>
      <c r="H97" s="7" t="str">
        <f aca="false">IF(D97="","",IF(INDEX(Hierarchy!$F$2:$F$1295,MATCH(D97,Hierarchy!$A$2:$A$1295,0))="","",INDEX(Hierarchy!$F$2:$F$1295,MATCH(D97,Hierarchy!$A$2:$A$1295,0))))</f>
        <v/>
      </c>
      <c r="I97" s="7" t="str">
        <f aca="false">IF(D97="","",IF(INDEX(Hierarchy!$H$2:$H$1295,MATCH(D97,Hierarchy!$A$2:$A$1295,0))="","",INDEX(Hierarchy!$H$2:$H$1295,MATCH(D97,Hierarchy!$A$2:$A$1295,0))))</f>
        <v/>
      </c>
    </row>
    <row r="98" customFormat="false" ht="15" hidden="false" customHeight="false" outlineLevel="0" collapsed="false">
      <c r="A98" s="19"/>
      <c r="B98" s="7" t="str">
        <f aca="false">IF(A98="","",TRIM(SUBSTITUTE(SUBSTITUTE(SUBSTITUTE(" "&amp;TRIM(SUBSTITUTE(SUBSTITUTE(SUBSTITUTE(SUBSTITUTE(SUBSTITUTE(SUBSTITUTE(SUBSTITUTE(SUBSTITUTE(SUBSTITUTE(SUBSTITUTE(SUBSTITUTE(SUBSTITUTE(SUBSTITUTE(SUBSTITUTE(SUBSTITUTE(UPPER(TRIM(A98)),"[MEMBER]",""),"{MEMBER}",""),"[MEMBER}",""),"MEMBER]",""),"(A)",""),"""",""),"“",""),"”",""),".",""),":",""),",",""),"–"," "),"-"," "),"/"," "),"&amp;"," AND "))&amp;" "," THE "," ")," TOTAL "," ")," OPERATIONS "," ")))</f>
        <v/>
      </c>
      <c r="C98" s="17" t="str">
        <f aca="false">IF(A98="","",IF(ISNUMBER(MATCH(B98,Excluded!$E$2:$E$19,0)),"Excluded (not a place)",IF(ISNUMBER(MATCH(B98,'Label Map'!$N$2:$N$2019,0)),"Auto-matched","UNMAPPED: add to Label Map")))</f>
        <v/>
      </c>
      <c r="D98" s="7" t="str">
        <f aca="false">IF(C98="Auto-matched",INDEX('Label Map'!$D$2:$D$2019,MATCH(B98,'Label Map'!$N$2:$N$2019,0)),"")</f>
        <v/>
      </c>
      <c r="E98" s="7" t="str">
        <f aca="false">IF(D98="","",IF(INDEX(Hierarchy!$B$2:$B$1295,MATCH(D98,Hierarchy!$A$2:$A$1295,0))="","",INDEX(Hierarchy!$B$2:$B$1295,MATCH(D98,Hierarchy!$A$2:$A$1295,0))))</f>
        <v/>
      </c>
      <c r="F98" s="7" t="str">
        <f aca="false">IF(D98="","",IF(INDEX(Hierarchy!$D$2:$D$1295,MATCH(D98,Hierarchy!$A$2:$A$1295,0))="","",INDEX(Hierarchy!$D$2:$D$1295,MATCH(D98,Hierarchy!$A$2:$A$1295,0))))</f>
        <v/>
      </c>
      <c r="G98" s="7" t="str">
        <f aca="false">IF(D98="","",IF(INDEX(Hierarchy!$E$2:$E$1295,MATCH(D98,Hierarchy!$A$2:$A$1295,0))="","",INDEX(Hierarchy!$E$2:$E$1295,MATCH(D98,Hierarchy!$A$2:$A$1295,0))))</f>
        <v/>
      </c>
      <c r="H98" s="7" t="str">
        <f aca="false">IF(D98="","",IF(INDEX(Hierarchy!$F$2:$F$1295,MATCH(D98,Hierarchy!$A$2:$A$1295,0))="","",INDEX(Hierarchy!$F$2:$F$1295,MATCH(D98,Hierarchy!$A$2:$A$1295,0))))</f>
        <v/>
      </c>
      <c r="I98" s="7" t="str">
        <f aca="false">IF(D98="","",IF(INDEX(Hierarchy!$H$2:$H$1295,MATCH(D98,Hierarchy!$A$2:$A$1295,0))="","",INDEX(Hierarchy!$H$2:$H$1295,MATCH(D98,Hierarchy!$A$2:$A$1295,0))))</f>
        <v/>
      </c>
    </row>
    <row r="99" customFormat="false" ht="15" hidden="false" customHeight="false" outlineLevel="0" collapsed="false">
      <c r="A99" s="19"/>
      <c r="B99" s="7" t="str">
        <f aca="false">IF(A99="","",TRIM(SUBSTITUTE(SUBSTITUTE(SUBSTITUTE(" "&amp;TRIM(SUBSTITUTE(SUBSTITUTE(SUBSTITUTE(SUBSTITUTE(SUBSTITUTE(SUBSTITUTE(SUBSTITUTE(SUBSTITUTE(SUBSTITUTE(SUBSTITUTE(SUBSTITUTE(SUBSTITUTE(SUBSTITUTE(SUBSTITUTE(SUBSTITUTE(UPPER(TRIM(A99)),"[MEMBER]",""),"{MEMBER}",""),"[MEMBER}",""),"MEMBER]",""),"(A)",""),"""",""),"“",""),"”",""),".",""),":",""),",",""),"–"," "),"-"," "),"/"," "),"&amp;"," AND "))&amp;" "," THE "," ")," TOTAL "," ")," OPERATIONS "," ")))</f>
        <v/>
      </c>
      <c r="C99" s="17" t="str">
        <f aca="false">IF(A99="","",IF(ISNUMBER(MATCH(B99,Excluded!$E$2:$E$19,0)),"Excluded (not a place)",IF(ISNUMBER(MATCH(B99,'Label Map'!$N$2:$N$2019,0)),"Auto-matched","UNMAPPED: add to Label Map")))</f>
        <v/>
      </c>
      <c r="D99" s="7" t="str">
        <f aca="false">IF(C99="Auto-matched",INDEX('Label Map'!$D$2:$D$2019,MATCH(B99,'Label Map'!$N$2:$N$2019,0)),"")</f>
        <v/>
      </c>
      <c r="E99" s="7" t="str">
        <f aca="false">IF(D99="","",IF(INDEX(Hierarchy!$B$2:$B$1295,MATCH(D99,Hierarchy!$A$2:$A$1295,0))="","",INDEX(Hierarchy!$B$2:$B$1295,MATCH(D99,Hierarchy!$A$2:$A$1295,0))))</f>
        <v/>
      </c>
      <c r="F99" s="7" t="str">
        <f aca="false">IF(D99="","",IF(INDEX(Hierarchy!$D$2:$D$1295,MATCH(D99,Hierarchy!$A$2:$A$1295,0))="","",INDEX(Hierarchy!$D$2:$D$1295,MATCH(D99,Hierarchy!$A$2:$A$1295,0))))</f>
        <v/>
      </c>
      <c r="G99" s="7" t="str">
        <f aca="false">IF(D99="","",IF(INDEX(Hierarchy!$E$2:$E$1295,MATCH(D99,Hierarchy!$A$2:$A$1295,0))="","",INDEX(Hierarchy!$E$2:$E$1295,MATCH(D99,Hierarchy!$A$2:$A$1295,0))))</f>
        <v/>
      </c>
      <c r="H99" s="7" t="str">
        <f aca="false">IF(D99="","",IF(INDEX(Hierarchy!$F$2:$F$1295,MATCH(D99,Hierarchy!$A$2:$A$1295,0))="","",INDEX(Hierarchy!$F$2:$F$1295,MATCH(D99,Hierarchy!$A$2:$A$1295,0))))</f>
        <v/>
      </c>
      <c r="I99" s="7" t="str">
        <f aca="false">IF(D99="","",IF(INDEX(Hierarchy!$H$2:$H$1295,MATCH(D99,Hierarchy!$A$2:$A$1295,0))="","",INDEX(Hierarchy!$H$2:$H$1295,MATCH(D99,Hierarchy!$A$2:$A$1295,0))))</f>
        <v/>
      </c>
    </row>
    <row r="100" customFormat="false" ht="15" hidden="false" customHeight="false" outlineLevel="0" collapsed="false">
      <c r="A100" s="19"/>
      <c r="B100" s="7" t="str">
        <f aca="false">IF(A100="","",TRIM(SUBSTITUTE(SUBSTITUTE(SUBSTITUTE(" "&amp;TRIM(SUBSTITUTE(SUBSTITUTE(SUBSTITUTE(SUBSTITUTE(SUBSTITUTE(SUBSTITUTE(SUBSTITUTE(SUBSTITUTE(SUBSTITUTE(SUBSTITUTE(SUBSTITUTE(SUBSTITUTE(SUBSTITUTE(SUBSTITUTE(SUBSTITUTE(UPPER(TRIM(A100)),"[MEMBER]",""),"{MEMBER}",""),"[MEMBER}",""),"MEMBER]",""),"(A)",""),"""",""),"“",""),"”",""),".",""),":",""),",",""),"–"," "),"-"," "),"/"," "),"&amp;"," AND "))&amp;" "," THE "," ")," TOTAL "," ")," OPERATIONS "," ")))</f>
        <v/>
      </c>
      <c r="C100" s="17" t="str">
        <f aca="false">IF(A100="","",IF(ISNUMBER(MATCH(B100,Excluded!$E$2:$E$19,0)),"Excluded (not a place)",IF(ISNUMBER(MATCH(B100,'Label Map'!$N$2:$N$2019,0)),"Auto-matched","UNMAPPED: add to Label Map")))</f>
        <v/>
      </c>
      <c r="D100" s="7" t="str">
        <f aca="false">IF(C100="Auto-matched",INDEX('Label Map'!$D$2:$D$2019,MATCH(B100,'Label Map'!$N$2:$N$2019,0)),"")</f>
        <v/>
      </c>
      <c r="E100" s="7" t="str">
        <f aca="false">IF(D100="","",IF(INDEX(Hierarchy!$B$2:$B$1295,MATCH(D100,Hierarchy!$A$2:$A$1295,0))="","",INDEX(Hierarchy!$B$2:$B$1295,MATCH(D100,Hierarchy!$A$2:$A$1295,0))))</f>
        <v/>
      </c>
      <c r="F100" s="7" t="str">
        <f aca="false">IF(D100="","",IF(INDEX(Hierarchy!$D$2:$D$1295,MATCH(D100,Hierarchy!$A$2:$A$1295,0))="","",INDEX(Hierarchy!$D$2:$D$1295,MATCH(D100,Hierarchy!$A$2:$A$1295,0))))</f>
        <v/>
      </c>
      <c r="G100" s="7" t="str">
        <f aca="false">IF(D100="","",IF(INDEX(Hierarchy!$E$2:$E$1295,MATCH(D100,Hierarchy!$A$2:$A$1295,0))="","",INDEX(Hierarchy!$E$2:$E$1295,MATCH(D100,Hierarchy!$A$2:$A$1295,0))))</f>
        <v/>
      </c>
      <c r="H100" s="7" t="str">
        <f aca="false">IF(D100="","",IF(INDEX(Hierarchy!$F$2:$F$1295,MATCH(D100,Hierarchy!$A$2:$A$1295,0))="","",INDEX(Hierarchy!$F$2:$F$1295,MATCH(D100,Hierarchy!$A$2:$A$1295,0))))</f>
        <v/>
      </c>
      <c r="I100" s="7" t="str">
        <f aca="false">IF(D100="","",IF(INDEX(Hierarchy!$H$2:$H$1295,MATCH(D100,Hierarchy!$A$2:$A$1295,0))="","",INDEX(Hierarchy!$H$2:$H$1295,MATCH(D100,Hierarchy!$A$2:$A$1295,0))))</f>
        <v/>
      </c>
    </row>
    <row r="101" customFormat="false" ht="15" hidden="false" customHeight="false" outlineLevel="0" collapsed="false">
      <c r="A101" s="19"/>
      <c r="B101" s="7" t="str">
        <f aca="false">IF(A101="","",TRIM(SUBSTITUTE(SUBSTITUTE(SUBSTITUTE(" "&amp;TRIM(SUBSTITUTE(SUBSTITUTE(SUBSTITUTE(SUBSTITUTE(SUBSTITUTE(SUBSTITUTE(SUBSTITUTE(SUBSTITUTE(SUBSTITUTE(SUBSTITUTE(SUBSTITUTE(SUBSTITUTE(SUBSTITUTE(SUBSTITUTE(SUBSTITUTE(UPPER(TRIM(A101)),"[MEMBER]",""),"{MEMBER}",""),"[MEMBER}",""),"MEMBER]",""),"(A)",""),"""",""),"“",""),"”",""),".",""),":",""),",",""),"–"," "),"-"," "),"/"," "),"&amp;"," AND "))&amp;" "," THE "," ")," TOTAL "," ")," OPERATIONS "," ")))</f>
        <v/>
      </c>
      <c r="C101" s="17" t="str">
        <f aca="false">IF(A101="","",IF(ISNUMBER(MATCH(B101,Excluded!$E$2:$E$19,0)),"Excluded (not a place)",IF(ISNUMBER(MATCH(B101,'Label Map'!$N$2:$N$2019,0)),"Auto-matched","UNMAPPED: add to Label Map")))</f>
        <v/>
      </c>
      <c r="D101" s="7" t="str">
        <f aca="false">IF(C101="Auto-matched",INDEX('Label Map'!$D$2:$D$2019,MATCH(B101,'Label Map'!$N$2:$N$2019,0)),"")</f>
        <v/>
      </c>
      <c r="E101" s="7" t="str">
        <f aca="false">IF(D101="","",IF(INDEX(Hierarchy!$B$2:$B$1295,MATCH(D101,Hierarchy!$A$2:$A$1295,0))="","",INDEX(Hierarchy!$B$2:$B$1295,MATCH(D101,Hierarchy!$A$2:$A$1295,0))))</f>
        <v/>
      </c>
      <c r="F101" s="7" t="str">
        <f aca="false">IF(D101="","",IF(INDEX(Hierarchy!$D$2:$D$1295,MATCH(D101,Hierarchy!$A$2:$A$1295,0))="","",INDEX(Hierarchy!$D$2:$D$1295,MATCH(D101,Hierarchy!$A$2:$A$1295,0))))</f>
        <v/>
      </c>
      <c r="G101" s="7" t="str">
        <f aca="false">IF(D101="","",IF(INDEX(Hierarchy!$E$2:$E$1295,MATCH(D101,Hierarchy!$A$2:$A$1295,0))="","",INDEX(Hierarchy!$E$2:$E$1295,MATCH(D101,Hierarchy!$A$2:$A$1295,0))))</f>
        <v/>
      </c>
      <c r="H101" s="7" t="str">
        <f aca="false">IF(D101="","",IF(INDEX(Hierarchy!$F$2:$F$1295,MATCH(D101,Hierarchy!$A$2:$A$1295,0))="","",INDEX(Hierarchy!$F$2:$F$1295,MATCH(D101,Hierarchy!$A$2:$A$1295,0))))</f>
        <v/>
      </c>
      <c r="I101" s="7" t="str">
        <f aca="false">IF(D101="","",IF(INDEX(Hierarchy!$H$2:$H$1295,MATCH(D101,Hierarchy!$A$2:$A$1295,0))="","",INDEX(Hierarchy!$H$2:$H$1295,MATCH(D101,Hierarchy!$A$2:$A$1295,0))))</f>
        <v/>
      </c>
    </row>
    <row r="102" customFormat="false" ht="15" hidden="false" customHeight="false" outlineLevel="0" collapsed="false">
      <c r="A102" s="19"/>
      <c r="B102" s="7" t="str">
        <f aca="false">IF(A102="","",TRIM(SUBSTITUTE(SUBSTITUTE(SUBSTITUTE(" "&amp;TRIM(SUBSTITUTE(SUBSTITUTE(SUBSTITUTE(SUBSTITUTE(SUBSTITUTE(SUBSTITUTE(SUBSTITUTE(SUBSTITUTE(SUBSTITUTE(SUBSTITUTE(SUBSTITUTE(SUBSTITUTE(SUBSTITUTE(SUBSTITUTE(SUBSTITUTE(UPPER(TRIM(A102)),"[MEMBER]",""),"{MEMBER}",""),"[MEMBER}",""),"MEMBER]",""),"(A)",""),"""",""),"“",""),"”",""),".",""),":",""),",",""),"–"," "),"-"," "),"/"," "),"&amp;"," AND "))&amp;" "," THE "," ")," TOTAL "," ")," OPERATIONS "," ")))</f>
        <v/>
      </c>
      <c r="C102" s="17" t="str">
        <f aca="false">IF(A102="","",IF(ISNUMBER(MATCH(B102,Excluded!$E$2:$E$19,0)),"Excluded (not a place)",IF(ISNUMBER(MATCH(B102,'Label Map'!$N$2:$N$2019,0)),"Auto-matched","UNMAPPED: add to Label Map")))</f>
        <v/>
      </c>
      <c r="D102" s="7" t="str">
        <f aca="false">IF(C102="Auto-matched",INDEX('Label Map'!$D$2:$D$2019,MATCH(B102,'Label Map'!$N$2:$N$2019,0)),"")</f>
        <v/>
      </c>
      <c r="E102" s="7" t="str">
        <f aca="false">IF(D102="","",IF(INDEX(Hierarchy!$B$2:$B$1295,MATCH(D102,Hierarchy!$A$2:$A$1295,0))="","",INDEX(Hierarchy!$B$2:$B$1295,MATCH(D102,Hierarchy!$A$2:$A$1295,0))))</f>
        <v/>
      </c>
      <c r="F102" s="7" t="str">
        <f aca="false">IF(D102="","",IF(INDEX(Hierarchy!$D$2:$D$1295,MATCH(D102,Hierarchy!$A$2:$A$1295,0))="","",INDEX(Hierarchy!$D$2:$D$1295,MATCH(D102,Hierarchy!$A$2:$A$1295,0))))</f>
        <v/>
      </c>
      <c r="G102" s="7" t="str">
        <f aca="false">IF(D102="","",IF(INDEX(Hierarchy!$E$2:$E$1295,MATCH(D102,Hierarchy!$A$2:$A$1295,0))="","",INDEX(Hierarchy!$E$2:$E$1295,MATCH(D102,Hierarchy!$A$2:$A$1295,0))))</f>
        <v/>
      </c>
      <c r="H102" s="7" t="str">
        <f aca="false">IF(D102="","",IF(INDEX(Hierarchy!$F$2:$F$1295,MATCH(D102,Hierarchy!$A$2:$A$1295,0))="","",INDEX(Hierarchy!$F$2:$F$1295,MATCH(D102,Hierarchy!$A$2:$A$1295,0))))</f>
        <v/>
      </c>
      <c r="I102" s="7" t="str">
        <f aca="false">IF(D102="","",IF(INDEX(Hierarchy!$H$2:$H$1295,MATCH(D102,Hierarchy!$A$2:$A$1295,0))="","",INDEX(Hierarchy!$H$2:$H$1295,MATCH(D102,Hierarchy!$A$2:$A$1295,0))))</f>
        <v/>
      </c>
    </row>
    <row r="103" customFormat="false" ht="15" hidden="false" customHeight="false" outlineLevel="0" collapsed="false">
      <c r="A103" s="19"/>
      <c r="B103" s="7" t="str">
        <f aca="false">IF(A103="","",TRIM(SUBSTITUTE(SUBSTITUTE(SUBSTITUTE(" "&amp;TRIM(SUBSTITUTE(SUBSTITUTE(SUBSTITUTE(SUBSTITUTE(SUBSTITUTE(SUBSTITUTE(SUBSTITUTE(SUBSTITUTE(SUBSTITUTE(SUBSTITUTE(SUBSTITUTE(SUBSTITUTE(SUBSTITUTE(SUBSTITUTE(SUBSTITUTE(UPPER(TRIM(A103)),"[MEMBER]",""),"{MEMBER}",""),"[MEMBER}",""),"MEMBER]",""),"(A)",""),"""",""),"“",""),"”",""),".",""),":",""),",",""),"–"," "),"-"," "),"/"," "),"&amp;"," AND "))&amp;" "," THE "," ")," TOTAL "," ")," OPERATIONS "," ")))</f>
        <v/>
      </c>
      <c r="C103" s="17" t="str">
        <f aca="false">IF(A103="","",IF(ISNUMBER(MATCH(B103,Excluded!$E$2:$E$19,0)),"Excluded (not a place)",IF(ISNUMBER(MATCH(B103,'Label Map'!$N$2:$N$2019,0)),"Auto-matched","UNMAPPED: add to Label Map")))</f>
        <v/>
      </c>
      <c r="D103" s="7" t="str">
        <f aca="false">IF(C103="Auto-matched",INDEX('Label Map'!$D$2:$D$2019,MATCH(B103,'Label Map'!$N$2:$N$2019,0)),"")</f>
        <v/>
      </c>
      <c r="E103" s="7" t="str">
        <f aca="false">IF(D103="","",IF(INDEX(Hierarchy!$B$2:$B$1295,MATCH(D103,Hierarchy!$A$2:$A$1295,0))="","",INDEX(Hierarchy!$B$2:$B$1295,MATCH(D103,Hierarchy!$A$2:$A$1295,0))))</f>
        <v/>
      </c>
      <c r="F103" s="7" t="str">
        <f aca="false">IF(D103="","",IF(INDEX(Hierarchy!$D$2:$D$1295,MATCH(D103,Hierarchy!$A$2:$A$1295,0))="","",INDEX(Hierarchy!$D$2:$D$1295,MATCH(D103,Hierarchy!$A$2:$A$1295,0))))</f>
        <v/>
      </c>
      <c r="G103" s="7" t="str">
        <f aca="false">IF(D103="","",IF(INDEX(Hierarchy!$E$2:$E$1295,MATCH(D103,Hierarchy!$A$2:$A$1295,0))="","",INDEX(Hierarchy!$E$2:$E$1295,MATCH(D103,Hierarchy!$A$2:$A$1295,0))))</f>
        <v/>
      </c>
      <c r="H103" s="7" t="str">
        <f aca="false">IF(D103="","",IF(INDEX(Hierarchy!$F$2:$F$1295,MATCH(D103,Hierarchy!$A$2:$A$1295,0))="","",INDEX(Hierarchy!$F$2:$F$1295,MATCH(D103,Hierarchy!$A$2:$A$1295,0))))</f>
        <v/>
      </c>
      <c r="I103" s="7" t="str">
        <f aca="false">IF(D103="","",IF(INDEX(Hierarchy!$H$2:$H$1295,MATCH(D103,Hierarchy!$A$2:$A$1295,0))="","",INDEX(Hierarchy!$H$2:$H$1295,MATCH(D103,Hierarchy!$A$2:$A$1295,0))))</f>
        <v/>
      </c>
    </row>
    <row r="104" customFormat="false" ht="15" hidden="false" customHeight="false" outlineLevel="0" collapsed="false">
      <c r="A104" s="19"/>
      <c r="B104" s="7" t="str">
        <f aca="false">IF(A104="","",TRIM(SUBSTITUTE(SUBSTITUTE(SUBSTITUTE(" "&amp;TRIM(SUBSTITUTE(SUBSTITUTE(SUBSTITUTE(SUBSTITUTE(SUBSTITUTE(SUBSTITUTE(SUBSTITUTE(SUBSTITUTE(SUBSTITUTE(SUBSTITUTE(SUBSTITUTE(SUBSTITUTE(SUBSTITUTE(SUBSTITUTE(SUBSTITUTE(UPPER(TRIM(A104)),"[MEMBER]",""),"{MEMBER}",""),"[MEMBER}",""),"MEMBER]",""),"(A)",""),"""",""),"“",""),"”",""),".",""),":",""),",",""),"–"," "),"-"," "),"/"," "),"&amp;"," AND "))&amp;" "," THE "," ")," TOTAL "," ")," OPERATIONS "," ")))</f>
        <v/>
      </c>
      <c r="C104" s="17" t="str">
        <f aca="false">IF(A104="","",IF(ISNUMBER(MATCH(B104,Excluded!$E$2:$E$19,0)),"Excluded (not a place)",IF(ISNUMBER(MATCH(B104,'Label Map'!$N$2:$N$2019,0)),"Auto-matched","UNMAPPED: add to Label Map")))</f>
        <v/>
      </c>
      <c r="D104" s="7" t="str">
        <f aca="false">IF(C104="Auto-matched",INDEX('Label Map'!$D$2:$D$2019,MATCH(B104,'Label Map'!$N$2:$N$2019,0)),"")</f>
        <v/>
      </c>
      <c r="E104" s="7" t="str">
        <f aca="false">IF(D104="","",IF(INDEX(Hierarchy!$B$2:$B$1295,MATCH(D104,Hierarchy!$A$2:$A$1295,0))="","",INDEX(Hierarchy!$B$2:$B$1295,MATCH(D104,Hierarchy!$A$2:$A$1295,0))))</f>
        <v/>
      </c>
      <c r="F104" s="7" t="str">
        <f aca="false">IF(D104="","",IF(INDEX(Hierarchy!$D$2:$D$1295,MATCH(D104,Hierarchy!$A$2:$A$1295,0))="","",INDEX(Hierarchy!$D$2:$D$1295,MATCH(D104,Hierarchy!$A$2:$A$1295,0))))</f>
        <v/>
      </c>
      <c r="G104" s="7" t="str">
        <f aca="false">IF(D104="","",IF(INDEX(Hierarchy!$E$2:$E$1295,MATCH(D104,Hierarchy!$A$2:$A$1295,0))="","",INDEX(Hierarchy!$E$2:$E$1295,MATCH(D104,Hierarchy!$A$2:$A$1295,0))))</f>
        <v/>
      </c>
      <c r="H104" s="7" t="str">
        <f aca="false">IF(D104="","",IF(INDEX(Hierarchy!$F$2:$F$1295,MATCH(D104,Hierarchy!$A$2:$A$1295,0))="","",INDEX(Hierarchy!$F$2:$F$1295,MATCH(D104,Hierarchy!$A$2:$A$1295,0))))</f>
        <v/>
      </c>
      <c r="I104" s="7" t="str">
        <f aca="false">IF(D104="","",IF(INDEX(Hierarchy!$H$2:$H$1295,MATCH(D104,Hierarchy!$A$2:$A$1295,0))="","",INDEX(Hierarchy!$H$2:$H$1295,MATCH(D104,Hierarchy!$A$2:$A$1295,0))))</f>
        <v/>
      </c>
    </row>
    <row r="105" customFormat="false" ht="15" hidden="false" customHeight="false" outlineLevel="0" collapsed="false">
      <c r="A105" s="19"/>
      <c r="B105" s="7" t="str">
        <f aca="false">IF(A105="","",TRIM(SUBSTITUTE(SUBSTITUTE(SUBSTITUTE(" "&amp;TRIM(SUBSTITUTE(SUBSTITUTE(SUBSTITUTE(SUBSTITUTE(SUBSTITUTE(SUBSTITUTE(SUBSTITUTE(SUBSTITUTE(SUBSTITUTE(SUBSTITUTE(SUBSTITUTE(SUBSTITUTE(SUBSTITUTE(SUBSTITUTE(SUBSTITUTE(UPPER(TRIM(A105)),"[MEMBER]",""),"{MEMBER}",""),"[MEMBER}",""),"MEMBER]",""),"(A)",""),"""",""),"“",""),"”",""),".",""),":",""),",",""),"–"," "),"-"," "),"/"," "),"&amp;"," AND "))&amp;" "," THE "," ")," TOTAL "," ")," OPERATIONS "," ")))</f>
        <v/>
      </c>
      <c r="C105" s="17" t="str">
        <f aca="false">IF(A105="","",IF(ISNUMBER(MATCH(B105,Excluded!$E$2:$E$19,0)),"Excluded (not a place)",IF(ISNUMBER(MATCH(B105,'Label Map'!$N$2:$N$2019,0)),"Auto-matched","UNMAPPED: add to Label Map")))</f>
        <v/>
      </c>
      <c r="D105" s="7" t="str">
        <f aca="false">IF(C105="Auto-matched",INDEX('Label Map'!$D$2:$D$2019,MATCH(B105,'Label Map'!$N$2:$N$2019,0)),"")</f>
        <v/>
      </c>
      <c r="E105" s="7" t="str">
        <f aca="false">IF(D105="","",IF(INDEX(Hierarchy!$B$2:$B$1295,MATCH(D105,Hierarchy!$A$2:$A$1295,0))="","",INDEX(Hierarchy!$B$2:$B$1295,MATCH(D105,Hierarchy!$A$2:$A$1295,0))))</f>
        <v/>
      </c>
      <c r="F105" s="7" t="str">
        <f aca="false">IF(D105="","",IF(INDEX(Hierarchy!$D$2:$D$1295,MATCH(D105,Hierarchy!$A$2:$A$1295,0))="","",INDEX(Hierarchy!$D$2:$D$1295,MATCH(D105,Hierarchy!$A$2:$A$1295,0))))</f>
        <v/>
      </c>
      <c r="G105" s="7" t="str">
        <f aca="false">IF(D105="","",IF(INDEX(Hierarchy!$E$2:$E$1295,MATCH(D105,Hierarchy!$A$2:$A$1295,0))="","",INDEX(Hierarchy!$E$2:$E$1295,MATCH(D105,Hierarchy!$A$2:$A$1295,0))))</f>
        <v/>
      </c>
      <c r="H105" s="7" t="str">
        <f aca="false">IF(D105="","",IF(INDEX(Hierarchy!$F$2:$F$1295,MATCH(D105,Hierarchy!$A$2:$A$1295,0))="","",INDEX(Hierarchy!$F$2:$F$1295,MATCH(D105,Hierarchy!$A$2:$A$1295,0))))</f>
        <v/>
      </c>
      <c r="I105" s="7" t="str">
        <f aca="false">IF(D105="","",IF(INDEX(Hierarchy!$H$2:$H$1295,MATCH(D105,Hierarchy!$A$2:$A$1295,0))="","",INDEX(Hierarchy!$H$2:$H$1295,MATCH(D105,Hierarchy!$A$2:$A$1295,0))))</f>
        <v/>
      </c>
    </row>
    <row r="106" customFormat="false" ht="15" hidden="false" customHeight="false" outlineLevel="0" collapsed="false">
      <c r="A106" s="19"/>
      <c r="B106" s="7" t="str">
        <f aca="false">IF(A106="","",TRIM(SUBSTITUTE(SUBSTITUTE(SUBSTITUTE(" "&amp;TRIM(SUBSTITUTE(SUBSTITUTE(SUBSTITUTE(SUBSTITUTE(SUBSTITUTE(SUBSTITUTE(SUBSTITUTE(SUBSTITUTE(SUBSTITUTE(SUBSTITUTE(SUBSTITUTE(SUBSTITUTE(SUBSTITUTE(SUBSTITUTE(SUBSTITUTE(UPPER(TRIM(A106)),"[MEMBER]",""),"{MEMBER}",""),"[MEMBER}",""),"MEMBER]",""),"(A)",""),"""",""),"“",""),"”",""),".",""),":",""),",",""),"–"," "),"-"," "),"/"," "),"&amp;"," AND "))&amp;" "," THE "," ")," TOTAL "," ")," OPERATIONS "," ")))</f>
        <v/>
      </c>
      <c r="C106" s="17" t="str">
        <f aca="false">IF(A106="","",IF(ISNUMBER(MATCH(B106,Excluded!$E$2:$E$19,0)),"Excluded (not a place)",IF(ISNUMBER(MATCH(B106,'Label Map'!$N$2:$N$2019,0)),"Auto-matched","UNMAPPED: add to Label Map")))</f>
        <v/>
      </c>
      <c r="D106" s="7" t="str">
        <f aca="false">IF(C106="Auto-matched",INDEX('Label Map'!$D$2:$D$2019,MATCH(B106,'Label Map'!$N$2:$N$2019,0)),"")</f>
        <v/>
      </c>
      <c r="E106" s="7" t="str">
        <f aca="false">IF(D106="","",IF(INDEX(Hierarchy!$B$2:$B$1295,MATCH(D106,Hierarchy!$A$2:$A$1295,0))="","",INDEX(Hierarchy!$B$2:$B$1295,MATCH(D106,Hierarchy!$A$2:$A$1295,0))))</f>
        <v/>
      </c>
      <c r="F106" s="7" t="str">
        <f aca="false">IF(D106="","",IF(INDEX(Hierarchy!$D$2:$D$1295,MATCH(D106,Hierarchy!$A$2:$A$1295,0))="","",INDEX(Hierarchy!$D$2:$D$1295,MATCH(D106,Hierarchy!$A$2:$A$1295,0))))</f>
        <v/>
      </c>
      <c r="G106" s="7" t="str">
        <f aca="false">IF(D106="","",IF(INDEX(Hierarchy!$E$2:$E$1295,MATCH(D106,Hierarchy!$A$2:$A$1295,0))="","",INDEX(Hierarchy!$E$2:$E$1295,MATCH(D106,Hierarchy!$A$2:$A$1295,0))))</f>
        <v/>
      </c>
      <c r="H106" s="7" t="str">
        <f aca="false">IF(D106="","",IF(INDEX(Hierarchy!$F$2:$F$1295,MATCH(D106,Hierarchy!$A$2:$A$1295,0))="","",INDEX(Hierarchy!$F$2:$F$1295,MATCH(D106,Hierarchy!$A$2:$A$1295,0))))</f>
        <v/>
      </c>
      <c r="I106" s="7" t="str">
        <f aca="false">IF(D106="","",IF(INDEX(Hierarchy!$H$2:$H$1295,MATCH(D106,Hierarchy!$A$2:$A$1295,0))="","",INDEX(Hierarchy!$H$2:$H$1295,MATCH(D106,Hierarchy!$A$2:$A$1295,0))))</f>
        <v/>
      </c>
    </row>
    <row r="107" customFormat="false" ht="15" hidden="false" customHeight="false" outlineLevel="0" collapsed="false">
      <c r="A107" s="19"/>
      <c r="B107" s="7" t="str">
        <f aca="false">IF(A107="","",TRIM(SUBSTITUTE(SUBSTITUTE(SUBSTITUTE(" "&amp;TRIM(SUBSTITUTE(SUBSTITUTE(SUBSTITUTE(SUBSTITUTE(SUBSTITUTE(SUBSTITUTE(SUBSTITUTE(SUBSTITUTE(SUBSTITUTE(SUBSTITUTE(SUBSTITUTE(SUBSTITUTE(SUBSTITUTE(SUBSTITUTE(SUBSTITUTE(UPPER(TRIM(A107)),"[MEMBER]",""),"{MEMBER}",""),"[MEMBER}",""),"MEMBER]",""),"(A)",""),"""",""),"“",""),"”",""),".",""),":",""),",",""),"–"," "),"-"," "),"/"," "),"&amp;"," AND "))&amp;" "," THE "," ")," TOTAL "," ")," OPERATIONS "," ")))</f>
        <v/>
      </c>
      <c r="C107" s="17" t="str">
        <f aca="false">IF(A107="","",IF(ISNUMBER(MATCH(B107,Excluded!$E$2:$E$19,0)),"Excluded (not a place)",IF(ISNUMBER(MATCH(B107,'Label Map'!$N$2:$N$2019,0)),"Auto-matched","UNMAPPED: add to Label Map")))</f>
        <v/>
      </c>
      <c r="D107" s="7" t="str">
        <f aca="false">IF(C107="Auto-matched",INDEX('Label Map'!$D$2:$D$2019,MATCH(B107,'Label Map'!$N$2:$N$2019,0)),"")</f>
        <v/>
      </c>
      <c r="E107" s="7" t="str">
        <f aca="false">IF(D107="","",IF(INDEX(Hierarchy!$B$2:$B$1295,MATCH(D107,Hierarchy!$A$2:$A$1295,0))="","",INDEX(Hierarchy!$B$2:$B$1295,MATCH(D107,Hierarchy!$A$2:$A$1295,0))))</f>
        <v/>
      </c>
      <c r="F107" s="7" t="str">
        <f aca="false">IF(D107="","",IF(INDEX(Hierarchy!$D$2:$D$1295,MATCH(D107,Hierarchy!$A$2:$A$1295,0))="","",INDEX(Hierarchy!$D$2:$D$1295,MATCH(D107,Hierarchy!$A$2:$A$1295,0))))</f>
        <v/>
      </c>
      <c r="G107" s="7" t="str">
        <f aca="false">IF(D107="","",IF(INDEX(Hierarchy!$E$2:$E$1295,MATCH(D107,Hierarchy!$A$2:$A$1295,0))="","",INDEX(Hierarchy!$E$2:$E$1295,MATCH(D107,Hierarchy!$A$2:$A$1295,0))))</f>
        <v/>
      </c>
      <c r="H107" s="7" t="str">
        <f aca="false">IF(D107="","",IF(INDEX(Hierarchy!$F$2:$F$1295,MATCH(D107,Hierarchy!$A$2:$A$1295,0))="","",INDEX(Hierarchy!$F$2:$F$1295,MATCH(D107,Hierarchy!$A$2:$A$1295,0))))</f>
        <v/>
      </c>
      <c r="I107" s="7" t="str">
        <f aca="false">IF(D107="","",IF(INDEX(Hierarchy!$H$2:$H$1295,MATCH(D107,Hierarchy!$A$2:$A$1295,0))="","",INDEX(Hierarchy!$H$2:$H$1295,MATCH(D107,Hierarchy!$A$2:$A$1295,0))))</f>
        <v/>
      </c>
    </row>
    <row r="108" customFormat="false" ht="15" hidden="false" customHeight="false" outlineLevel="0" collapsed="false">
      <c r="A108" s="19"/>
      <c r="B108" s="7" t="str">
        <f aca="false">IF(A108="","",TRIM(SUBSTITUTE(SUBSTITUTE(SUBSTITUTE(" "&amp;TRIM(SUBSTITUTE(SUBSTITUTE(SUBSTITUTE(SUBSTITUTE(SUBSTITUTE(SUBSTITUTE(SUBSTITUTE(SUBSTITUTE(SUBSTITUTE(SUBSTITUTE(SUBSTITUTE(SUBSTITUTE(SUBSTITUTE(SUBSTITUTE(SUBSTITUTE(UPPER(TRIM(A108)),"[MEMBER]",""),"{MEMBER}",""),"[MEMBER}",""),"MEMBER]",""),"(A)",""),"""",""),"“",""),"”",""),".",""),":",""),",",""),"–"," "),"-"," "),"/"," "),"&amp;"," AND "))&amp;" "," THE "," ")," TOTAL "," ")," OPERATIONS "," ")))</f>
        <v/>
      </c>
      <c r="C108" s="17" t="str">
        <f aca="false">IF(A108="","",IF(ISNUMBER(MATCH(B108,Excluded!$E$2:$E$19,0)),"Excluded (not a place)",IF(ISNUMBER(MATCH(B108,'Label Map'!$N$2:$N$2019,0)),"Auto-matched","UNMAPPED: add to Label Map")))</f>
        <v/>
      </c>
      <c r="D108" s="7" t="str">
        <f aca="false">IF(C108="Auto-matched",INDEX('Label Map'!$D$2:$D$2019,MATCH(B108,'Label Map'!$N$2:$N$2019,0)),"")</f>
        <v/>
      </c>
      <c r="E108" s="7" t="str">
        <f aca="false">IF(D108="","",IF(INDEX(Hierarchy!$B$2:$B$1295,MATCH(D108,Hierarchy!$A$2:$A$1295,0))="","",INDEX(Hierarchy!$B$2:$B$1295,MATCH(D108,Hierarchy!$A$2:$A$1295,0))))</f>
        <v/>
      </c>
      <c r="F108" s="7" t="str">
        <f aca="false">IF(D108="","",IF(INDEX(Hierarchy!$D$2:$D$1295,MATCH(D108,Hierarchy!$A$2:$A$1295,0))="","",INDEX(Hierarchy!$D$2:$D$1295,MATCH(D108,Hierarchy!$A$2:$A$1295,0))))</f>
        <v/>
      </c>
      <c r="G108" s="7" t="str">
        <f aca="false">IF(D108="","",IF(INDEX(Hierarchy!$E$2:$E$1295,MATCH(D108,Hierarchy!$A$2:$A$1295,0))="","",INDEX(Hierarchy!$E$2:$E$1295,MATCH(D108,Hierarchy!$A$2:$A$1295,0))))</f>
        <v/>
      </c>
      <c r="H108" s="7" t="str">
        <f aca="false">IF(D108="","",IF(INDEX(Hierarchy!$F$2:$F$1295,MATCH(D108,Hierarchy!$A$2:$A$1295,0))="","",INDEX(Hierarchy!$F$2:$F$1295,MATCH(D108,Hierarchy!$A$2:$A$1295,0))))</f>
        <v/>
      </c>
      <c r="I108" s="7" t="str">
        <f aca="false">IF(D108="","",IF(INDEX(Hierarchy!$H$2:$H$1295,MATCH(D108,Hierarchy!$A$2:$A$1295,0))="","",INDEX(Hierarchy!$H$2:$H$1295,MATCH(D108,Hierarchy!$A$2:$A$1295,0))))</f>
        <v/>
      </c>
    </row>
    <row r="109" customFormat="false" ht="15" hidden="false" customHeight="false" outlineLevel="0" collapsed="false">
      <c r="A109" s="19"/>
      <c r="B109" s="7" t="str">
        <f aca="false">IF(A109="","",TRIM(SUBSTITUTE(SUBSTITUTE(SUBSTITUTE(" "&amp;TRIM(SUBSTITUTE(SUBSTITUTE(SUBSTITUTE(SUBSTITUTE(SUBSTITUTE(SUBSTITUTE(SUBSTITUTE(SUBSTITUTE(SUBSTITUTE(SUBSTITUTE(SUBSTITUTE(SUBSTITUTE(SUBSTITUTE(SUBSTITUTE(SUBSTITUTE(UPPER(TRIM(A109)),"[MEMBER]",""),"{MEMBER}",""),"[MEMBER}",""),"MEMBER]",""),"(A)",""),"""",""),"“",""),"”",""),".",""),":",""),",",""),"–"," "),"-"," "),"/"," "),"&amp;"," AND "))&amp;" "," THE "," ")," TOTAL "," ")," OPERATIONS "," ")))</f>
        <v/>
      </c>
      <c r="C109" s="17" t="str">
        <f aca="false">IF(A109="","",IF(ISNUMBER(MATCH(B109,Excluded!$E$2:$E$19,0)),"Excluded (not a place)",IF(ISNUMBER(MATCH(B109,'Label Map'!$N$2:$N$2019,0)),"Auto-matched","UNMAPPED: add to Label Map")))</f>
        <v/>
      </c>
      <c r="D109" s="7" t="str">
        <f aca="false">IF(C109="Auto-matched",INDEX('Label Map'!$D$2:$D$2019,MATCH(B109,'Label Map'!$N$2:$N$2019,0)),"")</f>
        <v/>
      </c>
      <c r="E109" s="7" t="str">
        <f aca="false">IF(D109="","",IF(INDEX(Hierarchy!$B$2:$B$1295,MATCH(D109,Hierarchy!$A$2:$A$1295,0))="","",INDEX(Hierarchy!$B$2:$B$1295,MATCH(D109,Hierarchy!$A$2:$A$1295,0))))</f>
        <v/>
      </c>
      <c r="F109" s="7" t="str">
        <f aca="false">IF(D109="","",IF(INDEX(Hierarchy!$D$2:$D$1295,MATCH(D109,Hierarchy!$A$2:$A$1295,0))="","",INDEX(Hierarchy!$D$2:$D$1295,MATCH(D109,Hierarchy!$A$2:$A$1295,0))))</f>
        <v/>
      </c>
      <c r="G109" s="7" t="str">
        <f aca="false">IF(D109="","",IF(INDEX(Hierarchy!$E$2:$E$1295,MATCH(D109,Hierarchy!$A$2:$A$1295,0))="","",INDEX(Hierarchy!$E$2:$E$1295,MATCH(D109,Hierarchy!$A$2:$A$1295,0))))</f>
        <v/>
      </c>
      <c r="H109" s="7" t="str">
        <f aca="false">IF(D109="","",IF(INDEX(Hierarchy!$F$2:$F$1295,MATCH(D109,Hierarchy!$A$2:$A$1295,0))="","",INDEX(Hierarchy!$F$2:$F$1295,MATCH(D109,Hierarchy!$A$2:$A$1295,0))))</f>
        <v/>
      </c>
      <c r="I109" s="7" t="str">
        <f aca="false">IF(D109="","",IF(INDEX(Hierarchy!$H$2:$H$1295,MATCH(D109,Hierarchy!$A$2:$A$1295,0))="","",INDEX(Hierarchy!$H$2:$H$1295,MATCH(D109,Hierarchy!$A$2:$A$1295,0))))</f>
        <v/>
      </c>
    </row>
    <row r="110" customFormat="false" ht="15" hidden="false" customHeight="false" outlineLevel="0" collapsed="false">
      <c r="A110" s="19"/>
      <c r="B110" s="7" t="str">
        <f aca="false">IF(A110="","",TRIM(SUBSTITUTE(SUBSTITUTE(SUBSTITUTE(" "&amp;TRIM(SUBSTITUTE(SUBSTITUTE(SUBSTITUTE(SUBSTITUTE(SUBSTITUTE(SUBSTITUTE(SUBSTITUTE(SUBSTITUTE(SUBSTITUTE(SUBSTITUTE(SUBSTITUTE(SUBSTITUTE(SUBSTITUTE(SUBSTITUTE(SUBSTITUTE(UPPER(TRIM(A110)),"[MEMBER]",""),"{MEMBER}",""),"[MEMBER}",""),"MEMBER]",""),"(A)",""),"""",""),"“",""),"”",""),".",""),":",""),",",""),"–"," "),"-"," "),"/"," "),"&amp;"," AND "))&amp;" "," THE "," ")," TOTAL "," ")," OPERATIONS "," ")))</f>
        <v/>
      </c>
      <c r="C110" s="17" t="str">
        <f aca="false">IF(A110="","",IF(ISNUMBER(MATCH(B110,Excluded!$E$2:$E$19,0)),"Excluded (not a place)",IF(ISNUMBER(MATCH(B110,'Label Map'!$N$2:$N$2019,0)),"Auto-matched","UNMAPPED: add to Label Map")))</f>
        <v/>
      </c>
      <c r="D110" s="7" t="str">
        <f aca="false">IF(C110="Auto-matched",INDEX('Label Map'!$D$2:$D$2019,MATCH(B110,'Label Map'!$N$2:$N$2019,0)),"")</f>
        <v/>
      </c>
      <c r="E110" s="7" t="str">
        <f aca="false">IF(D110="","",IF(INDEX(Hierarchy!$B$2:$B$1295,MATCH(D110,Hierarchy!$A$2:$A$1295,0))="","",INDEX(Hierarchy!$B$2:$B$1295,MATCH(D110,Hierarchy!$A$2:$A$1295,0))))</f>
        <v/>
      </c>
      <c r="F110" s="7" t="str">
        <f aca="false">IF(D110="","",IF(INDEX(Hierarchy!$D$2:$D$1295,MATCH(D110,Hierarchy!$A$2:$A$1295,0))="","",INDEX(Hierarchy!$D$2:$D$1295,MATCH(D110,Hierarchy!$A$2:$A$1295,0))))</f>
        <v/>
      </c>
      <c r="G110" s="7" t="str">
        <f aca="false">IF(D110="","",IF(INDEX(Hierarchy!$E$2:$E$1295,MATCH(D110,Hierarchy!$A$2:$A$1295,0))="","",INDEX(Hierarchy!$E$2:$E$1295,MATCH(D110,Hierarchy!$A$2:$A$1295,0))))</f>
        <v/>
      </c>
      <c r="H110" s="7" t="str">
        <f aca="false">IF(D110="","",IF(INDEX(Hierarchy!$F$2:$F$1295,MATCH(D110,Hierarchy!$A$2:$A$1295,0))="","",INDEX(Hierarchy!$F$2:$F$1295,MATCH(D110,Hierarchy!$A$2:$A$1295,0))))</f>
        <v/>
      </c>
      <c r="I110" s="7" t="str">
        <f aca="false">IF(D110="","",IF(INDEX(Hierarchy!$H$2:$H$1295,MATCH(D110,Hierarchy!$A$2:$A$1295,0))="","",INDEX(Hierarchy!$H$2:$H$1295,MATCH(D110,Hierarchy!$A$2:$A$1295,0))))</f>
        <v/>
      </c>
    </row>
    <row r="111" customFormat="false" ht="15" hidden="false" customHeight="false" outlineLevel="0" collapsed="false">
      <c r="A111" s="19"/>
      <c r="B111" s="7" t="str">
        <f aca="false">IF(A111="","",TRIM(SUBSTITUTE(SUBSTITUTE(SUBSTITUTE(" "&amp;TRIM(SUBSTITUTE(SUBSTITUTE(SUBSTITUTE(SUBSTITUTE(SUBSTITUTE(SUBSTITUTE(SUBSTITUTE(SUBSTITUTE(SUBSTITUTE(SUBSTITUTE(SUBSTITUTE(SUBSTITUTE(SUBSTITUTE(SUBSTITUTE(SUBSTITUTE(UPPER(TRIM(A111)),"[MEMBER]",""),"{MEMBER}",""),"[MEMBER}",""),"MEMBER]",""),"(A)",""),"""",""),"“",""),"”",""),".",""),":",""),",",""),"–"," "),"-"," "),"/"," "),"&amp;"," AND "))&amp;" "," THE "," ")," TOTAL "," ")," OPERATIONS "," ")))</f>
        <v/>
      </c>
      <c r="C111" s="17" t="str">
        <f aca="false">IF(A111="","",IF(ISNUMBER(MATCH(B111,Excluded!$E$2:$E$19,0)),"Excluded (not a place)",IF(ISNUMBER(MATCH(B111,'Label Map'!$N$2:$N$2019,0)),"Auto-matched","UNMAPPED: add to Label Map")))</f>
        <v/>
      </c>
      <c r="D111" s="7" t="str">
        <f aca="false">IF(C111="Auto-matched",INDEX('Label Map'!$D$2:$D$2019,MATCH(B111,'Label Map'!$N$2:$N$2019,0)),"")</f>
        <v/>
      </c>
      <c r="E111" s="7" t="str">
        <f aca="false">IF(D111="","",IF(INDEX(Hierarchy!$B$2:$B$1295,MATCH(D111,Hierarchy!$A$2:$A$1295,0))="","",INDEX(Hierarchy!$B$2:$B$1295,MATCH(D111,Hierarchy!$A$2:$A$1295,0))))</f>
        <v/>
      </c>
      <c r="F111" s="7" t="str">
        <f aca="false">IF(D111="","",IF(INDEX(Hierarchy!$D$2:$D$1295,MATCH(D111,Hierarchy!$A$2:$A$1295,0))="","",INDEX(Hierarchy!$D$2:$D$1295,MATCH(D111,Hierarchy!$A$2:$A$1295,0))))</f>
        <v/>
      </c>
      <c r="G111" s="7" t="str">
        <f aca="false">IF(D111="","",IF(INDEX(Hierarchy!$E$2:$E$1295,MATCH(D111,Hierarchy!$A$2:$A$1295,0))="","",INDEX(Hierarchy!$E$2:$E$1295,MATCH(D111,Hierarchy!$A$2:$A$1295,0))))</f>
        <v/>
      </c>
      <c r="H111" s="7" t="str">
        <f aca="false">IF(D111="","",IF(INDEX(Hierarchy!$F$2:$F$1295,MATCH(D111,Hierarchy!$A$2:$A$1295,0))="","",INDEX(Hierarchy!$F$2:$F$1295,MATCH(D111,Hierarchy!$A$2:$A$1295,0))))</f>
        <v/>
      </c>
      <c r="I111" s="7" t="str">
        <f aca="false">IF(D111="","",IF(INDEX(Hierarchy!$H$2:$H$1295,MATCH(D111,Hierarchy!$A$2:$A$1295,0))="","",INDEX(Hierarchy!$H$2:$H$1295,MATCH(D111,Hierarchy!$A$2:$A$1295,0))))</f>
        <v/>
      </c>
    </row>
    <row r="112" customFormat="false" ht="15" hidden="false" customHeight="false" outlineLevel="0" collapsed="false">
      <c r="A112" s="19"/>
      <c r="B112" s="7" t="str">
        <f aca="false">IF(A112="","",TRIM(SUBSTITUTE(SUBSTITUTE(SUBSTITUTE(" "&amp;TRIM(SUBSTITUTE(SUBSTITUTE(SUBSTITUTE(SUBSTITUTE(SUBSTITUTE(SUBSTITUTE(SUBSTITUTE(SUBSTITUTE(SUBSTITUTE(SUBSTITUTE(SUBSTITUTE(SUBSTITUTE(SUBSTITUTE(SUBSTITUTE(SUBSTITUTE(UPPER(TRIM(A112)),"[MEMBER]",""),"{MEMBER}",""),"[MEMBER}",""),"MEMBER]",""),"(A)",""),"""",""),"“",""),"”",""),".",""),":",""),",",""),"–"," "),"-"," "),"/"," "),"&amp;"," AND "))&amp;" "," THE "," ")," TOTAL "," ")," OPERATIONS "," ")))</f>
        <v/>
      </c>
      <c r="C112" s="17" t="str">
        <f aca="false">IF(A112="","",IF(ISNUMBER(MATCH(B112,Excluded!$E$2:$E$19,0)),"Excluded (not a place)",IF(ISNUMBER(MATCH(B112,'Label Map'!$N$2:$N$2019,0)),"Auto-matched","UNMAPPED: add to Label Map")))</f>
        <v/>
      </c>
      <c r="D112" s="7" t="str">
        <f aca="false">IF(C112="Auto-matched",INDEX('Label Map'!$D$2:$D$2019,MATCH(B112,'Label Map'!$N$2:$N$2019,0)),"")</f>
        <v/>
      </c>
      <c r="E112" s="7" t="str">
        <f aca="false">IF(D112="","",IF(INDEX(Hierarchy!$B$2:$B$1295,MATCH(D112,Hierarchy!$A$2:$A$1295,0))="","",INDEX(Hierarchy!$B$2:$B$1295,MATCH(D112,Hierarchy!$A$2:$A$1295,0))))</f>
        <v/>
      </c>
      <c r="F112" s="7" t="str">
        <f aca="false">IF(D112="","",IF(INDEX(Hierarchy!$D$2:$D$1295,MATCH(D112,Hierarchy!$A$2:$A$1295,0))="","",INDEX(Hierarchy!$D$2:$D$1295,MATCH(D112,Hierarchy!$A$2:$A$1295,0))))</f>
        <v/>
      </c>
      <c r="G112" s="7" t="str">
        <f aca="false">IF(D112="","",IF(INDEX(Hierarchy!$E$2:$E$1295,MATCH(D112,Hierarchy!$A$2:$A$1295,0))="","",INDEX(Hierarchy!$E$2:$E$1295,MATCH(D112,Hierarchy!$A$2:$A$1295,0))))</f>
        <v/>
      </c>
      <c r="H112" s="7" t="str">
        <f aca="false">IF(D112="","",IF(INDEX(Hierarchy!$F$2:$F$1295,MATCH(D112,Hierarchy!$A$2:$A$1295,0))="","",INDEX(Hierarchy!$F$2:$F$1295,MATCH(D112,Hierarchy!$A$2:$A$1295,0))))</f>
        <v/>
      </c>
      <c r="I112" s="7" t="str">
        <f aca="false">IF(D112="","",IF(INDEX(Hierarchy!$H$2:$H$1295,MATCH(D112,Hierarchy!$A$2:$A$1295,0))="","",INDEX(Hierarchy!$H$2:$H$1295,MATCH(D112,Hierarchy!$A$2:$A$1295,0))))</f>
        <v/>
      </c>
    </row>
    <row r="113" customFormat="false" ht="15" hidden="false" customHeight="false" outlineLevel="0" collapsed="false">
      <c r="A113" s="19"/>
      <c r="B113" s="7" t="str">
        <f aca="false">IF(A113="","",TRIM(SUBSTITUTE(SUBSTITUTE(SUBSTITUTE(" "&amp;TRIM(SUBSTITUTE(SUBSTITUTE(SUBSTITUTE(SUBSTITUTE(SUBSTITUTE(SUBSTITUTE(SUBSTITUTE(SUBSTITUTE(SUBSTITUTE(SUBSTITUTE(SUBSTITUTE(SUBSTITUTE(SUBSTITUTE(SUBSTITUTE(SUBSTITUTE(UPPER(TRIM(A113)),"[MEMBER]",""),"{MEMBER}",""),"[MEMBER}",""),"MEMBER]",""),"(A)",""),"""",""),"“",""),"”",""),".",""),":",""),",",""),"–"," "),"-"," "),"/"," "),"&amp;"," AND "))&amp;" "," THE "," ")," TOTAL "," ")," OPERATIONS "," ")))</f>
        <v/>
      </c>
      <c r="C113" s="17" t="str">
        <f aca="false">IF(A113="","",IF(ISNUMBER(MATCH(B113,Excluded!$E$2:$E$19,0)),"Excluded (not a place)",IF(ISNUMBER(MATCH(B113,'Label Map'!$N$2:$N$2019,0)),"Auto-matched","UNMAPPED: add to Label Map")))</f>
        <v/>
      </c>
      <c r="D113" s="7" t="str">
        <f aca="false">IF(C113="Auto-matched",INDEX('Label Map'!$D$2:$D$2019,MATCH(B113,'Label Map'!$N$2:$N$2019,0)),"")</f>
        <v/>
      </c>
      <c r="E113" s="7" t="str">
        <f aca="false">IF(D113="","",IF(INDEX(Hierarchy!$B$2:$B$1295,MATCH(D113,Hierarchy!$A$2:$A$1295,0))="","",INDEX(Hierarchy!$B$2:$B$1295,MATCH(D113,Hierarchy!$A$2:$A$1295,0))))</f>
        <v/>
      </c>
      <c r="F113" s="7" t="str">
        <f aca="false">IF(D113="","",IF(INDEX(Hierarchy!$D$2:$D$1295,MATCH(D113,Hierarchy!$A$2:$A$1295,0))="","",INDEX(Hierarchy!$D$2:$D$1295,MATCH(D113,Hierarchy!$A$2:$A$1295,0))))</f>
        <v/>
      </c>
      <c r="G113" s="7" t="str">
        <f aca="false">IF(D113="","",IF(INDEX(Hierarchy!$E$2:$E$1295,MATCH(D113,Hierarchy!$A$2:$A$1295,0))="","",INDEX(Hierarchy!$E$2:$E$1295,MATCH(D113,Hierarchy!$A$2:$A$1295,0))))</f>
        <v/>
      </c>
      <c r="H113" s="7" t="str">
        <f aca="false">IF(D113="","",IF(INDEX(Hierarchy!$F$2:$F$1295,MATCH(D113,Hierarchy!$A$2:$A$1295,0))="","",INDEX(Hierarchy!$F$2:$F$1295,MATCH(D113,Hierarchy!$A$2:$A$1295,0))))</f>
        <v/>
      </c>
      <c r="I113" s="7" t="str">
        <f aca="false">IF(D113="","",IF(INDEX(Hierarchy!$H$2:$H$1295,MATCH(D113,Hierarchy!$A$2:$A$1295,0))="","",INDEX(Hierarchy!$H$2:$H$1295,MATCH(D113,Hierarchy!$A$2:$A$1295,0))))</f>
        <v/>
      </c>
    </row>
    <row r="114" customFormat="false" ht="15" hidden="false" customHeight="false" outlineLevel="0" collapsed="false">
      <c r="A114" s="19"/>
      <c r="B114" s="7" t="str">
        <f aca="false">IF(A114="","",TRIM(SUBSTITUTE(SUBSTITUTE(SUBSTITUTE(" "&amp;TRIM(SUBSTITUTE(SUBSTITUTE(SUBSTITUTE(SUBSTITUTE(SUBSTITUTE(SUBSTITUTE(SUBSTITUTE(SUBSTITUTE(SUBSTITUTE(SUBSTITUTE(SUBSTITUTE(SUBSTITUTE(SUBSTITUTE(SUBSTITUTE(SUBSTITUTE(UPPER(TRIM(A114)),"[MEMBER]",""),"{MEMBER}",""),"[MEMBER}",""),"MEMBER]",""),"(A)",""),"""",""),"“",""),"”",""),".",""),":",""),",",""),"–"," "),"-"," "),"/"," "),"&amp;"," AND "))&amp;" "," THE "," ")," TOTAL "," ")," OPERATIONS "," ")))</f>
        <v/>
      </c>
      <c r="C114" s="17" t="str">
        <f aca="false">IF(A114="","",IF(ISNUMBER(MATCH(B114,Excluded!$E$2:$E$19,0)),"Excluded (not a place)",IF(ISNUMBER(MATCH(B114,'Label Map'!$N$2:$N$2019,0)),"Auto-matched","UNMAPPED: add to Label Map")))</f>
        <v/>
      </c>
      <c r="D114" s="7" t="str">
        <f aca="false">IF(C114="Auto-matched",INDEX('Label Map'!$D$2:$D$2019,MATCH(B114,'Label Map'!$N$2:$N$2019,0)),"")</f>
        <v/>
      </c>
      <c r="E114" s="7" t="str">
        <f aca="false">IF(D114="","",IF(INDEX(Hierarchy!$B$2:$B$1295,MATCH(D114,Hierarchy!$A$2:$A$1295,0))="","",INDEX(Hierarchy!$B$2:$B$1295,MATCH(D114,Hierarchy!$A$2:$A$1295,0))))</f>
        <v/>
      </c>
      <c r="F114" s="7" t="str">
        <f aca="false">IF(D114="","",IF(INDEX(Hierarchy!$D$2:$D$1295,MATCH(D114,Hierarchy!$A$2:$A$1295,0))="","",INDEX(Hierarchy!$D$2:$D$1295,MATCH(D114,Hierarchy!$A$2:$A$1295,0))))</f>
        <v/>
      </c>
      <c r="G114" s="7" t="str">
        <f aca="false">IF(D114="","",IF(INDEX(Hierarchy!$E$2:$E$1295,MATCH(D114,Hierarchy!$A$2:$A$1295,0))="","",INDEX(Hierarchy!$E$2:$E$1295,MATCH(D114,Hierarchy!$A$2:$A$1295,0))))</f>
        <v/>
      </c>
      <c r="H114" s="7" t="str">
        <f aca="false">IF(D114="","",IF(INDEX(Hierarchy!$F$2:$F$1295,MATCH(D114,Hierarchy!$A$2:$A$1295,0))="","",INDEX(Hierarchy!$F$2:$F$1295,MATCH(D114,Hierarchy!$A$2:$A$1295,0))))</f>
        <v/>
      </c>
      <c r="I114" s="7" t="str">
        <f aca="false">IF(D114="","",IF(INDEX(Hierarchy!$H$2:$H$1295,MATCH(D114,Hierarchy!$A$2:$A$1295,0))="","",INDEX(Hierarchy!$H$2:$H$1295,MATCH(D114,Hierarchy!$A$2:$A$1295,0))))</f>
        <v/>
      </c>
    </row>
    <row r="115" customFormat="false" ht="15" hidden="false" customHeight="false" outlineLevel="0" collapsed="false">
      <c r="A115" s="19"/>
      <c r="B115" s="7" t="str">
        <f aca="false">IF(A115="","",TRIM(SUBSTITUTE(SUBSTITUTE(SUBSTITUTE(" "&amp;TRIM(SUBSTITUTE(SUBSTITUTE(SUBSTITUTE(SUBSTITUTE(SUBSTITUTE(SUBSTITUTE(SUBSTITUTE(SUBSTITUTE(SUBSTITUTE(SUBSTITUTE(SUBSTITUTE(SUBSTITUTE(SUBSTITUTE(SUBSTITUTE(SUBSTITUTE(UPPER(TRIM(A115)),"[MEMBER]",""),"{MEMBER}",""),"[MEMBER}",""),"MEMBER]",""),"(A)",""),"""",""),"“",""),"”",""),".",""),":",""),",",""),"–"," "),"-"," "),"/"," "),"&amp;"," AND "))&amp;" "," THE "," ")," TOTAL "," ")," OPERATIONS "," ")))</f>
        <v/>
      </c>
      <c r="C115" s="17" t="str">
        <f aca="false">IF(A115="","",IF(ISNUMBER(MATCH(B115,Excluded!$E$2:$E$19,0)),"Excluded (not a place)",IF(ISNUMBER(MATCH(B115,'Label Map'!$N$2:$N$2019,0)),"Auto-matched","UNMAPPED: add to Label Map")))</f>
        <v/>
      </c>
      <c r="D115" s="7" t="str">
        <f aca="false">IF(C115="Auto-matched",INDEX('Label Map'!$D$2:$D$2019,MATCH(B115,'Label Map'!$N$2:$N$2019,0)),"")</f>
        <v/>
      </c>
      <c r="E115" s="7" t="str">
        <f aca="false">IF(D115="","",IF(INDEX(Hierarchy!$B$2:$B$1295,MATCH(D115,Hierarchy!$A$2:$A$1295,0))="","",INDEX(Hierarchy!$B$2:$B$1295,MATCH(D115,Hierarchy!$A$2:$A$1295,0))))</f>
        <v/>
      </c>
      <c r="F115" s="7" t="str">
        <f aca="false">IF(D115="","",IF(INDEX(Hierarchy!$D$2:$D$1295,MATCH(D115,Hierarchy!$A$2:$A$1295,0))="","",INDEX(Hierarchy!$D$2:$D$1295,MATCH(D115,Hierarchy!$A$2:$A$1295,0))))</f>
        <v/>
      </c>
      <c r="G115" s="7" t="str">
        <f aca="false">IF(D115="","",IF(INDEX(Hierarchy!$E$2:$E$1295,MATCH(D115,Hierarchy!$A$2:$A$1295,0))="","",INDEX(Hierarchy!$E$2:$E$1295,MATCH(D115,Hierarchy!$A$2:$A$1295,0))))</f>
        <v/>
      </c>
      <c r="H115" s="7" t="str">
        <f aca="false">IF(D115="","",IF(INDEX(Hierarchy!$F$2:$F$1295,MATCH(D115,Hierarchy!$A$2:$A$1295,0))="","",INDEX(Hierarchy!$F$2:$F$1295,MATCH(D115,Hierarchy!$A$2:$A$1295,0))))</f>
        <v/>
      </c>
      <c r="I115" s="7" t="str">
        <f aca="false">IF(D115="","",IF(INDEX(Hierarchy!$H$2:$H$1295,MATCH(D115,Hierarchy!$A$2:$A$1295,0))="","",INDEX(Hierarchy!$H$2:$H$1295,MATCH(D115,Hierarchy!$A$2:$A$1295,0))))</f>
        <v/>
      </c>
    </row>
    <row r="116" customFormat="false" ht="15" hidden="false" customHeight="false" outlineLevel="0" collapsed="false">
      <c r="A116" s="19"/>
      <c r="B116" s="7" t="str">
        <f aca="false">IF(A116="","",TRIM(SUBSTITUTE(SUBSTITUTE(SUBSTITUTE(" "&amp;TRIM(SUBSTITUTE(SUBSTITUTE(SUBSTITUTE(SUBSTITUTE(SUBSTITUTE(SUBSTITUTE(SUBSTITUTE(SUBSTITUTE(SUBSTITUTE(SUBSTITUTE(SUBSTITUTE(SUBSTITUTE(SUBSTITUTE(SUBSTITUTE(SUBSTITUTE(UPPER(TRIM(A116)),"[MEMBER]",""),"{MEMBER}",""),"[MEMBER}",""),"MEMBER]",""),"(A)",""),"""",""),"“",""),"”",""),".",""),":",""),",",""),"–"," "),"-"," "),"/"," "),"&amp;"," AND "))&amp;" "," THE "," ")," TOTAL "," ")," OPERATIONS "," ")))</f>
        <v/>
      </c>
      <c r="C116" s="17" t="str">
        <f aca="false">IF(A116="","",IF(ISNUMBER(MATCH(B116,Excluded!$E$2:$E$19,0)),"Excluded (not a place)",IF(ISNUMBER(MATCH(B116,'Label Map'!$N$2:$N$2019,0)),"Auto-matched","UNMAPPED: add to Label Map")))</f>
        <v/>
      </c>
      <c r="D116" s="7" t="str">
        <f aca="false">IF(C116="Auto-matched",INDEX('Label Map'!$D$2:$D$2019,MATCH(B116,'Label Map'!$N$2:$N$2019,0)),"")</f>
        <v/>
      </c>
      <c r="E116" s="7" t="str">
        <f aca="false">IF(D116="","",IF(INDEX(Hierarchy!$B$2:$B$1295,MATCH(D116,Hierarchy!$A$2:$A$1295,0))="","",INDEX(Hierarchy!$B$2:$B$1295,MATCH(D116,Hierarchy!$A$2:$A$1295,0))))</f>
        <v/>
      </c>
      <c r="F116" s="7" t="str">
        <f aca="false">IF(D116="","",IF(INDEX(Hierarchy!$D$2:$D$1295,MATCH(D116,Hierarchy!$A$2:$A$1295,0))="","",INDEX(Hierarchy!$D$2:$D$1295,MATCH(D116,Hierarchy!$A$2:$A$1295,0))))</f>
        <v/>
      </c>
      <c r="G116" s="7" t="str">
        <f aca="false">IF(D116="","",IF(INDEX(Hierarchy!$E$2:$E$1295,MATCH(D116,Hierarchy!$A$2:$A$1295,0))="","",INDEX(Hierarchy!$E$2:$E$1295,MATCH(D116,Hierarchy!$A$2:$A$1295,0))))</f>
        <v/>
      </c>
      <c r="H116" s="7" t="str">
        <f aca="false">IF(D116="","",IF(INDEX(Hierarchy!$F$2:$F$1295,MATCH(D116,Hierarchy!$A$2:$A$1295,0))="","",INDEX(Hierarchy!$F$2:$F$1295,MATCH(D116,Hierarchy!$A$2:$A$1295,0))))</f>
        <v/>
      </c>
      <c r="I116" s="7" t="str">
        <f aca="false">IF(D116="","",IF(INDEX(Hierarchy!$H$2:$H$1295,MATCH(D116,Hierarchy!$A$2:$A$1295,0))="","",INDEX(Hierarchy!$H$2:$H$1295,MATCH(D116,Hierarchy!$A$2:$A$1295,0))))</f>
        <v/>
      </c>
    </row>
    <row r="117" customFormat="false" ht="15" hidden="false" customHeight="false" outlineLevel="0" collapsed="false">
      <c r="A117" s="19"/>
      <c r="B117" s="7" t="str">
        <f aca="false">IF(A117="","",TRIM(SUBSTITUTE(SUBSTITUTE(SUBSTITUTE(" "&amp;TRIM(SUBSTITUTE(SUBSTITUTE(SUBSTITUTE(SUBSTITUTE(SUBSTITUTE(SUBSTITUTE(SUBSTITUTE(SUBSTITUTE(SUBSTITUTE(SUBSTITUTE(SUBSTITUTE(SUBSTITUTE(SUBSTITUTE(SUBSTITUTE(SUBSTITUTE(UPPER(TRIM(A117)),"[MEMBER]",""),"{MEMBER}",""),"[MEMBER}",""),"MEMBER]",""),"(A)",""),"""",""),"“",""),"”",""),".",""),":",""),",",""),"–"," "),"-"," "),"/"," "),"&amp;"," AND "))&amp;" "," THE "," ")," TOTAL "," ")," OPERATIONS "," ")))</f>
        <v/>
      </c>
      <c r="C117" s="17" t="str">
        <f aca="false">IF(A117="","",IF(ISNUMBER(MATCH(B117,Excluded!$E$2:$E$19,0)),"Excluded (not a place)",IF(ISNUMBER(MATCH(B117,'Label Map'!$N$2:$N$2019,0)),"Auto-matched","UNMAPPED: add to Label Map")))</f>
        <v/>
      </c>
      <c r="D117" s="7" t="str">
        <f aca="false">IF(C117="Auto-matched",INDEX('Label Map'!$D$2:$D$2019,MATCH(B117,'Label Map'!$N$2:$N$2019,0)),"")</f>
        <v/>
      </c>
      <c r="E117" s="7" t="str">
        <f aca="false">IF(D117="","",IF(INDEX(Hierarchy!$B$2:$B$1295,MATCH(D117,Hierarchy!$A$2:$A$1295,0))="","",INDEX(Hierarchy!$B$2:$B$1295,MATCH(D117,Hierarchy!$A$2:$A$1295,0))))</f>
        <v/>
      </c>
      <c r="F117" s="7" t="str">
        <f aca="false">IF(D117="","",IF(INDEX(Hierarchy!$D$2:$D$1295,MATCH(D117,Hierarchy!$A$2:$A$1295,0))="","",INDEX(Hierarchy!$D$2:$D$1295,MATCH(D117,Hierarchy!$A$2:$A$1295,0))))</f>
        <v/>
      </c>
      <c r="G117" s="7" t="str">
        <f aca="false">IF(D117="","",IF(INDEX(Hierarchy!$E$2:$E$1295,MATCH(D117,Hierarchy!$A$2:$A$1295,0))="","",INDEX(Hierarchy!$E$2:$E$1295,MATCH(D117,Hierarchy!$A$2:$A$1295,0))))</f>
        <v/>
      </c>
      <c r="H117" s="7" t="str">
        <f aca="false">IF(D117="","",IF(INDEX(Hierarchy!$F$2:$F$1295,MATCH(D117,Hierarchy!$A$2:$A$1295,0))="","",INDEX(Hierarchy!$F$2:$F$1295,MATCH(D117,Hierarchy!$A$2:$A$1295,0))))</f>
        <v/>
      </c>
      <c r="I117" s="7" t="str">
        <f aca="false">IF(D117="","",IF(INDEX(Hierarchy!$H$2:$H$1295,MATCH(D117,Hierarchy!$A$2:$A$1295,0))="","",INDEX(Hierarchy!$H$2:$H$1295,MATCH(D117,Hierarchy!$A$2:$A$1295,0))))</f>
        <v/>
      </c>
    </row>
    <row r="118" customFormat="false" ht="15" hidden="false" customHeight="false" outlineLevel="0" collapsed="false">
      <c r="A118" s="19"/>
      <c r="B118" s="7" t="str">
        <f aca="false">IF(A118="","",TRIM(SUBSTITUTE(SUBSTITUTE(SUBSTITUTE(" "&amp;TRIM(SUBSTITUTE(SUBSTITUTE(SUBSTITUTE(SUBSTITUTE(SUBSTITUTE(SUBSTITUTE(SUBSTITUTE(SUBSTITUTE(SUBSTITUTE(SUBSTITUTE(SUBSTITUTE(SUBSTITUTE(SUBSTITUTE(SUBSTITUTE(SUBSTITUTE(UPPER(TRIM(A118)),"[MEMBER]",""),"{MEMBER}",""),"[MEMBER}",""),"MEMBER]",""),"(A)",""),"""",""),"“",""),"”",""),".",""),":",""),",",""),"–"," "),"-"," "),"/"," "),"&amp;"," AND "))&amp;" "," THE "," ")," TOTAL "," ")," OPERATIONS "," ")))</f>
        <v/>
      </c>
      <c r="C118" s="17" t="str">
        <f aca="false">IF(A118="","",IF(ISNUMBER(MATCH(B118,Excluded!$E$2:$E$19,0)),"Excluded (not a place)",IF(ISNUMBER(MATCH(B118,'Label Map'!$N$2:$N$2019,0)),"Auto-matched","UNMAPPED: add to Label Map")))</f>
        <v/>
      </c>
      <c r="D118" s="7" t="str">
        <f aca="false">IF(C118="Auto-matched",INDEX('Label Map'!$D$2:$D$2019,MATCH(B118,'Label Map'!$N$2:$N$2019,0)),"")</f>
        <v/>
      </c>
      <c r="E118" s="7" t="str">
        <f aca="false">IF(D118="","",IF(INDEX(Hierarchy!$B$2:$B$1295,MATCH(D118,Hierarchy!$A$2:$A$1295,0))="","",INDEX(Hierarchy!$B$2:$B$1295,MATCH(D118,Hierarchy!$A$2:$A$1295,0))))</f>
        <v/>
      </c>
      <c r="F118" s="7" t="str">
        <f aca="false">IF(D118="","",IF(INDEX(Hierarchy!$D$2:$D$1295,MATCH(D118,Hierarchy!$A$2:$A$1295,0))="","",INDEX(Hierarchy!$D$2:$D$1295,MATCH(D118,Hierarchy!$A$2:$A$1295,0))))</f>
        <v/>
      </c>
      <c r="G118" s="7" t="str">
        <f aca="false">IF(D118="","",IF(INDEX(Hierarchy!$E$2:$E$1295,MATCH(D118,Hierarchy!$A$2:$A$1295,0))="","",INDEX(Hierarchy!$E$2:$E$1295,MATCH(D118,Hierarchy!$A$2:$A$1295,0))))</f>
        <v/>
      </c>
      <c r="H118" s="7" t="str">
        <f aca="false">IF(D118="","",IF(INDEX(Hierarchy!$F$2:$F$1295,MATCH(D118,Hierarchy!$A$2:$A$1295,0))="","",INDEX(Hierarchy!$F$2:$F$1295,MATCH(D118,Hierarchy!$A$2:$A$1295,0))))</f>
        <v/>
      </c>
      <c r="I118" s="7" t="str">
        <f aca="false">IF(D118="","",IF(INDEX(Hierarchy!$H$2:$H$1295,MATCH(D118,Hierarchy!$A$2:$A$1295,0))="","",INDEX(Hierarchy!$H$2:$H$1295,MATCH(D118,Hierarchy!$A$2:$A$1295,0))))</f>
        <v/>
      </c>
    </row>
    <row r="119" customFormat="false" ht="15" hidden="false" customHeight="false" outlineLevel="0" collapsed="false">
      <c r="A119" s="19"/>
      <c r="B119" s="7" t="str">
        <f aca="false">IF(A119="","",TRIM(SUBSTITUTE(SUBSTITUTE(SUBSTITUTE(" "&amp;TRIM(SUBSTITUTE(SUBSTITUTE(SUBSTITUTE(SUBSTITUTE(SUBSTITUTE(SUBSTITUTE(SUBSTITUTE(SUBSTITUTE(SUBSTITUTE(SUBSTITUTE(SUBSTITUTE(SUBSTITUTE(SUBSTITUTE(SUBSTITUTE(SUBSTITUTE(UPPER(TRIM(A119)),"[MEMBER]",""),"{MEMBER}",""),"[MEMBER}",""),"MEMBER]",""),"(A)",""),"""",""),"“",""),"”",""),".",""),":",""),",",""),"–"," "),"-"," "),"/"," "),"&amp;"," AND "))&amp;" "," THE "," ")," TOTAL "," ")," OPERATIONS "," ")))</f>
        <v/>
      </c>
      <c r="C119" s="17" t="str">
        <f aca="false">IF(A119="","",IF(ISNUMBER(MATCH(B119,Excluded!$E$2:$E$19,0)),"Excluded (not a place)",IF(ISNUMBER(MATCH(B119,'Label Map'!$N$2:$N$2019,0)),"Auto-matched","UNMAPPED: add to Label Map")))</f>
        <v/>
      </c>
      <c r="D119" s="7" t="str">
        <f aca="false">IF(C119="Auto-matched",INDEX('Label Map'!$D$2:$D$2019,MATCH(B119,'Label Map'!$N$2:$N$2019,0)),"")</f>
        <v/>
      </c>
      <c r="E119" s="7" t="str">
        <f aca="false">IF(D119="","",IF(INDEX(Hierarchy!$B$2:$B$1295,MATCH(D119,Hierarchy!$A$2:$A$1295,0))="","",INDEX(Hierarchy!$B$2:$B$1295,MATCH(D119,Hierarchy!$A$2:$A$1295,0))))</f>
        <v/>
      </c>
      <c r="F119" s="7" t="str">
        <f aca="false">IF(D119="","",IF(INDEX(Hierarchy!$D$2:$D$1295,MATCH(D119,Hierarchy!$A$2:$A$1295,0))="","",INDEX(Hierarchy!$D$2:$D$1295,MATCH(D119,Hierarchy!$A$2:$A$1295,0))))</f>
        <v/>
      </c>
      <c r="G119" s="7" t="str">
        <f aca="false">IF(D119="","",IF(INDEX(Hierarchy!$E$2:$E$1295,MATCH(D119,Hierarchy!$A$2:$A$1295,0))="","",INDEX(Hierarchy!$E$2:$E$1295,MATCH(D119,Hierarchy!$A$2:$A$1295,0))))</f>
        <v/>
      </c>
      <c r="H119" s="7" t="str">
        <f aca="false">IF(D119="","",IF(INDEX(Hierarchy!$F$2:$F$1295,MATCH(D119,Hierarchy!$A$2:$A$1295,0))="","",INDEX(Hierarchy!$F$2:$F$1295,MATCH(D119,Hierarchy!$A$2:$A$1295,0))))</f>
        <v/>
      </c>
      <c r="I119" s="7" t="str">
        <f aca="false">IF(D119="","",IF(INDEX(Hierarchy!$H$2:$H$1295,MATCH(D119,Hierarchy!$A$2:$A$1295,0))="","",INDEX(Hierarchy!$H$2:$H$1295,MATCH(D119,Hierarchy!$A$2:$A$1295,0))))</f>
        <v/>
      </c>
    </row>
    <row r="120" customFormat="false" ht="15" hidden="false" customHeight="false" outlineLevel="0" collapsed="false">
      <c r="A120" s="19"/>
      <c r="B120" s="7" t="str">
        <f aca="false">IF(A120="","",TRIM(SUBSTITUTE(SUBSTITUTE(SUBSTITUTE(" "&amp;TRIM(SUBSTITUTE(SUBSTITUTE(SUBSTITUTE(SUBSTITUTE(SUBSTITUTE(SUBSTITUTE(SUBSTITUTE(SUBSTITUTE(SUBSTITUTE(SUBSTITUTE(SUBSTITUTE(SUBSTITUTE(SUBSTITUTE(SUBSTITUTE(SUBSTITUTE(UPPER(TRIM(A120)),"[MEMBER]",""),"{MEMBER}",""),"[MEMBER}",""),"MEMBER]",""),"(A)",""),"""",""),"“",""),"”",""),".",""),":",""),",",""),"–"," "),"-"," "),"/"," "),"&amp;"," AND "))&amp;" "," THE "," ")," TOTAL "," ")," OPERATIONS "," ")))</f>
        <v/>
      </c>
      <c r="C120" s="17" t="str">
        <f aca="false">IF(A120="","",IF(ISNUMBER(MATCH(B120,Excluded!$E$2:$E$19,0)),"Excluded (not a place)",IF(ISNUMBER(MATCH(B120,'Label Map'!$N$2:$N$2019,0)),"Auto-matched","UNMAPPED: add to Label Map")))</f>
        <v/>
      </c>
      <c r="D120" s="7" t="str">
        <f aca="false">IF(C120="Auto-matched",INDEX('Label Map'!$D$2:$D$2019,MATCH(B120,'Label Map'!$N$2:$N$2019,0)),"")</f>
        <v/>
      </c>
      <c r="E120" s="7" t="str">
        <f aca="false">IF(D120="","",IF(INDEX(Hierarchy!$B$2:$B$1295,MATCH(D120,Hierarchy!$A$2:$A$1295,0))="","",INDEX(Hierarchy!$B$2:$B$1295,MATCH(D120,Hierarchy!$A$2:$A$1295,0))))</f>
        <v/>
      </c>
      <c r="F120" s="7" t="str">
        <f aca="false">IF(D120="","",IF(INDEX(Hierarchy!$D$2:$D$1295,MATCH(D120,Hierarchy!$A$2:$A$1295,0))="","",INDEX(Hierarchy!$D$2:$D$1295,MATCH(D120,Hierarchy!$A$2:$A$1295,0))))</f>
        <v/>
      </c>
      <c r="G120" s="7" t="str">
        <f aca="false">IF(D120="","",IF(INDEX(Hierarchy!$E$2:$E$1295,MATCH(D120,Hierarchy!$A$2:$A$1295,0))="","",INDEX(Hierarchy!$E$2:$E$1295,MATCH(D120,Hierarchy!$A$2:$A$1295,0))))</f>
        <v/>
      </c>
      <c r="H120" s="7" t="str">
        <f aca="false">IF(D120="","",IF(INDEX(Hierarchy!$F$2:$F$1295,MATCH(D120,Hierarchy!$A$2:$A$1295,0))="","",INDEX(Hierarchy!$F$2:$F$1295,MATCH(D120,Hierarchy!$A$2:$A$1295,0))))</f>
        <v/>
      </c>
      <c r="I120" s="7" t="str">
        <f aca="false">IF(D120="","",IF(INDEX(Hierarchy!$H$2:$H$1295,MATCH(D120,Hierarchy!$A$2:$A$1295,0))="","",INDEX(Hierarchy!$H$2:$H$1295,MATCH(D120,Hierarchy!$A$2:$A$1295,0))))</f>
        <v/>
      </c>
    </row>
    <row r="121" customFormat="false" ht="15" hidden="false" customHeight="false" outlineLevel="0" collapsed="false">
      <c r="A121" s="19"/>
      <c r="B121" s="7" t="str">
        <f aca="false">IF(A121="","",TRIM(SUBSTITUTE(SUBSTITUTE(SUBSTITUTE(" "&amp;TRIM(SUBSTITUTE(SUBSTITUTE(SUBSTITUTE(SUBSTITUTE(SUBSTITUTE(SUBSTITUTE(SUBSTITUTE(SUBSTITUTE(SUBSTITUTE(SUBSTITUTE(SUBSTITUTE(SUBSTITUTE(SUBSTITUTE(SUBSTITUTE(SUBSTITUTE(UPPER(TRIM(A121)),"[MEMBER]",""),"{MEMBER}",""),"[MEMBER}",""),"MEMBER]",""),"(A)",""),"""",""),"“",""),"”",""),".",""),":",""),",",""),"–"," "),"-"," "),"/"," "),"&amp;"," AND "))&amp;" "," THE "," ")," TOTAL "," ")," OPERATIONS "," ")))</f>
        <v/>
      </c>
      <c r="C121" s="17" t="str">
        <f aca="false">IF(A121="","",IF(ISNUMBER(MATCH(B121,Excluded!$E$2:$E$19,0)),"Excluded (not a place)",IF(ISNUMBER(MATCH(B121,'Label Map'!$N$2:$N$2019,0)),"Auto-matched","UNMAPPED: add to Label Map")))</f>
        <v/>
      </c>
      <c r="D121" s="7" t="str">
        <f aca="false">IF(C121="Auto-matched",INDEX('Label Map'!$D$2:$D$2019,MATCH(B121,'Label Map'!$N$2:$N$2019,0)),"")</f>
        <v/>
      </c>
      <c r="E121" s="7" t="str">
        <f aca="false">IF(D121="","",IF(INDEX(Hierarchy!$B$2:$B$1295,MATCH(D121,Hierarchy!$A$2:$A$1295,0))="","",INDEX(Hierarchy!$B$2:$B$1295,MATCH(D121,Hierarchy!$A$2:$A$1295,0))))</f>
        <v/>
      </c>
      <c r="F121" s="7" t="str">
        <f aca="false">IF(D121="","",IF(INDEX(Hierarchy!$D$2:$D$1295,MATCH(D121,Hierarchy!$A$2:$A$1295,0))="","",INDEX(Hierarchy!$D$2:$D$1295,MATCH(D121,Hierarchy!$A$2:$A$1295,0))))</f>
        <v/>
      </c>
      <c r="G121" s="7" t="str">
        <f aca="false">IF(D121="","",IF(INDEX(Hierarchy!$E$2:$E$1295,MATCH(D121,Hierarchy!$A$2:$A$1295,0))="","",INDEX(Hierarchy!$E$2:$E$1295,MATCH(D121,Hierarchy!$A$2:$A$1295,0))))</f>
        <v/>
      </c>
      <c r="H121" s="7" t="str">
        <f aca="false">IF(D121="","",IF(INDEX(Hierarchy!$F$2:$F$1295,MATCH(D121,Hierarchy!$A$2:$A$1295,0))="","",INDEX(Hierarchy!$F$2:$F$1295,MATCH(D121,Hierarchy!$A$2:$A$1295,0))))</f>
        <v/>
      </c>
      <c r="I121" s="7" t="str">
        <f aca="false">IF(D121="","",IF(INDEX(Hierarchy!$H$2:$H$1295,MATCH(D121,Hierarchy!$A$2:$A$1295,0))="","",INDEX(Hierarchy!$H$2:$H$1295,MATCH(D121,Hierarchy!$A$2:$A$1295,0))))</f>
        <v/>
      </c>
    </row>
    <row r="122" customFormat="false" ht="15" hidden="false" customHeight="false" outlineLevel="0" collapsed="false">
      <c r="A122" s="19"/>
      <c r="B122" s="7" t="str">
        <f aca="false">IF(A122="","",TRIM(SUBSTITUTE(SUBSTITUTE(SUBSTITUTE(" "&amp;TRIM(SUBSTITUTE(SUBSTITUTE(SUBSTITUTE(SUBSTITUTE(SUBSTITUTE(SUBSTITUTE(SUBSTITUTE(SUBSTITUTE(SUBSTITUTE(SUBSTITUTE(SUBSTITUTE(SUBSTITUTE(SUBSTITUTE(SUBSTITUTE(SUBSTITUTE(UPPER(TRIM(A122)),"[MEMBER]",""),"{MEMBER}",""),"[MEMBER}",""),"MEMBER]",""),"(A)",""),"""",""),"“",""),"”",""),".",""),":",""),",",""),"–"," "),"-"," "),"/"," "),"&amp;"," AND "))&amp;" "," THE "," ")," TOTAL "," ")," OPERATIONS "," ")))</f>
        <v/>
      </c>
      <c r="C122" s="17" t="str">
        <f aca="false">IF(A122="","",IF(ISNUMBER(MATCH(B122,Excluded!$E$2:$E$19,0)),"Excluded (not a place)",IF(ISNUMBER(MATCH(B122,'Label Map'!$N$2:$N$2019,0)),"Auto-matched","UNMAPPED: add to Label Map")))</f>
        <v/>
      </c>
      <c r="D122" s="7" t="str">
        <f aca="false">IF(C122="Auto-matched",INDEX('Label Map'!$D$2:$D$2019,MATCH(B122,'Label Map'!$N$2:$N$2019,0)),"")</f>
        <v/>
      </c>
      <c r="E122" s="7" t="str">
        <f aca="false">IF(D122="","",IF(INDEX(Hierarchy!$B$2:$B$1295,MATCH(D122,Hierarchy!$A$2:$A$1295,0))="","",INDEX(Hierarchy!$B$2:$B$1295,MATCH(D122,Hierarchy!$A$2:$A$1295,0))))</f>
        <v/>
      </c>
      <c r="F122" s="7" t="str">
        <f aca="false">IF(D122="","",IF(INDEX(Hierarchy!$D$2:$D$1295,MATCH(D122,Hierarchy!$A$2:$A$1295,0))="","",INDEX(Hierarchy!$D$2:$D$1295,MATCH(D122,Hierarchy!$A$2:$A$1295,0))))</f>
        <v/>
      </c>
      <c r="G122" s="7" t="str">
        <f aca="false">IF(D122="","",IF(INDEX(Hierarchy!$E$2:$E$1295,MATCH(D122,Hierarchy!$A$2:$A$1295,0))="","",INDEX(Hierarchy!$E$2:$E$1295,MATCH(D122,Hierarchy!$A$2:$A$1295,0))))</f>
        <v/>
      </c>
      <c r="H122" s="7" t="str">
        <f aca="false">IF(D122="","",IF(INDEX(Hierarchy!$F$2:$F$1295,MATCH(D122,Hierarchy!$A$2:$A$1295,0))="","",INDEX(Hierarchy!$F$2:$F$1295,MATCH(D122,Hierarchy!$A$2:$A$1295,0))))</f>
        <v/>
      </c>
      <c r="I122" s="7" t="str">
        <f aca="false">IF(D122="","",IF(INDEX(Hierarchy!$H$2:$H$1295,MATCH(D122,Hierarchy!$A$2:$A$1295,0))="","",INDEX(Hierarchy!$H$2:$H$1295,MATCH(D122,Hierarchy!$A$2:$A$1295,0))))</f>
        <v/>
      </c>
    </row>
    <row r="123" customFormat="false" ht="15" hidden="false" customHeight="false" outlineLevel="0" collapsed="false">
      <c r="A123" s="19"/>
      <c r="B123" s="7" t="str">
        <f aca="false">IF(A123="","",TRIM(SUBSTITUTE(SUBSTITUTE(SUBSTITUTE(" "&amp;TRIM(SUBSTITUTE(SUBSTITUTE(SUBSTITUTE(SUBSTITUTE(SUBSTITUTE(SUBSTITUTE(SUBSTITUTE(SUBSTITUTE(SUBSTITUTE(SUBSTITUTE(SUBSTITUTE(SUBSTITUTE(SUBSTITUTE(SUBSTITUTE(SUBSTITUTE(UPPER(TRIM(A123)),"[MEMBER]",""),"{MEMBER}",""),"[MEMBER}",""),"MEMBER]",""),"(A)",""),"""",""),"“",""),"”",""),".",""),":",""),",",""),"–"," "),"-"," "),"/"," "),"&amp;"," AND "))&amp;" "," THE "," ")," TOTAL "," ")," OPERATIONS "," ")))</f>
        <v/>
      </c>
      <c r="C123" s="17" t="str">
        <f aca="false">IF(A123="","",IF(ISNUMBER(MATCH(B123,Excluded!$E$2:$E$19,0)),"Excluded (not a place)",IF(ISNUMBER(MATCH(B123,'Label Map'!$N$2:$N$2019,0)),"Auto-matched","UNMAPPED: add to Label Map")))</f>
        <v/>
      </c>
      <c r="D123" s="7" t="str">
        <f aca="false">IF(C123="Auto-matched",INDEX('Label Map'!$D$2:$D$2019,MATCH(B123,'Label Map'!$N$2:$N$2019,0)),"")</f>
        <v/>
      </c>
      <c r="E123" s="7" t="str">
        <f aca="false">IF(D123="","",IF(INDEX(Hierarchy!$B$2:$B$1295,MATCH(D123,Hierarchy!$A$2:$A$1295,0))="","",INDEX(Hierarchy!$B$2:$B$1295,MATCH(D123,Hierarchy!$A$2:$A$1295,0))))</f>
        <v/>
      </c>
      <c r="F123" s="7" t="str">
        <f aca="false">IF(D123="","",IF(INDEX(Hierarchy!$D$2:$D$1295,MATCH(D123,Hierarchy!$A$2:$A$1295,0))="","",INDEX(Hierarchy!$D$2:$D$1295,MATCH(D123,Hierarchy!$A$2:$A$1295,0))))</f>
        <v/>
      </c>
      <c r="G123" s="7" t="str">
        <f aca="false">IF(D123="","",IF(INDEX(Hierarchy!$E$2:$E$1295,MATCH(D123,Hierarchy!$A$2:$A$1295,0))="","",INDEX(Hierarchy!$E$2:$E$1295,MATCH(D123,Hierarchy!$A$2:$A$1295,0))))</f>
        <v/>
      </c>
      <c r="H123" s="7" t="str">
        <f aca="false">IF(D123="","",IF(INDEX(Hierarchy!$F$2:$F$1295,MATCH(D123,Hierarchy!$A$2:$A$1295,0))="","",INDEX(Hierarchy!$F$2:$F$1295,MATCH(D123,Hierarchy!$A$2:$A$1295,0))))</f>
        <v/>
      </c>
      <c r="I123" s="7" t="str">
        <f aca="false">IF(D123="","",IF(INDEX(Hierarchy!$H$2:$H$1295,MATCH(D123,Hierarchy!$A$2:$A$1295,0))="","",INDEX(Hierarchy!$H$2:$H$1295,MATCH(D123,Hierarchy!$A$2:$A$1295,0))))</f>
        <v/>
      </c>
    </row>
    <row r="124" customFormat="false" ht="15" hidden="false" customHeight="false" outlineLevel="0" collapsed="false">
      <c r="A124" s="19"/>
      <c r="B124" s="7" t="str">
        <f aca="false">IF(A124="","",TRIM(SUBSTITUTE(SUBSTITUTE(SUBSTITUTE(" "&amp;TRIM(SUBSTITUTE(SUBSTITUTE(SUBSTITUTE(SUBSTITUTE(SUBSTITUTE(SUBSTITUTE(SUBSTITUTE(SUBSTITUTE(SUBSTITUTE(SUBSTITUTE(SUBSTITUTE(SUBSTITUTE(SUBSTITUTE(SUBSTITUTE(SUBSTITUTE(UPPER(TRIM(A124)),"[MEMBER]",""),"{MEMBER}",""),"[MEMBER}",""),"MEMBER]",""),"(A)",""),"""",""),"“",""),"”",""),".",""),":",""),",",""),"–"," "),"-"," "),"/"," "),"&amp;"," AND "))&amp;" "," THE "," ")," TOTAL "," ")," OPERATIONS "," ")))</f>
        <v/>
      </c>
      <c r="C124" s="17" t="str">
        <f aca="false">IF(A124="","",IF(ISNUMBER(MATCH(B124,Excluded!$E$2:$E$19,0)),"Excluded (not a place)",IF(ISNUMBER(MATCH(B124,'Label Map'!$N$2:$N$2019,0)),"Auto-matched","UNMAPPED: add to Label Map")))</f>
        <v/>
      </c>
      <c r="D124" s="7" t="str">
        <f aca="false">IF(C124="Auto-matched",INDEX('Label Map'!$D$2:$D$2019,MATCH(B124,'Label Map'!$N$2:$N$2019,0)),"")</f>
        <v/>
      </c>
      <c r="E124" s="7" t="str">
        <f aca="false">IF(D124="","",IF(INDEX(Hierarchy!$B$2:$B$1295,MATCH(D124,Hierarchy!$A$2:$A$1295,0))="","",INDEX(Hierarchy!$B$2:$B$1295,MATCH(D124,Hierarchy!$A$2:$A$1295,0))))</f>
        <v/>
      </c>
      <c r="F124" s="7" t="str">
        <f aca="false">IF(D124="","",IF(INDEX(Hierarchy!$D$2:$D$1295,MATCH(D124,Hierarchy!$A$2:$A$1295,0))="","",INDEX(Hierarchy!$D$2:$D$1295,MATCH(D124,Hierarchy!$A$2:$A$1295,0))))</f>
        <v/>
      </c>
      <c r="G124" s="7" t="str">
        <f aca="false">IF(D124="","",IF(INDEX(Hierarchy!$E$2:$E$1295,MATCH(D124,Hierarchy!$A$2:$A$1295,0))="","",INDEX(Hierarchy!$E$2:$E$1295,MATCH(D124,Hierarchy!$A$2:$A$1295,0))))</f>
        <v/>
      </c>
      <c r="H124" s="7" t="str">
        <f aca="false">IF(D124="","",IF(INDEX(Hierarchy!$F$2:$F$1295,MATCH(D124,Hierarchy!$A$2:$A$1295,0))="","",INDEX(Hierarchy!$F$2:$F$1295,MATCH(D124,Hierarchy!$A$2:$A$1295,0))))</f>
        <v/>
      </c>
      <c r="I124" s="7" t="str">
        <f aca="false">IF(D124="","",IF(INDEX(Hierarchy!$H$2:$H$1295,MATCH(D124,Hierarchy!$A$2:$A$1295,0))="","",INDEX(Hierarchy!$H$2:$H$1295,MATCH(D124,Hierarchy!$A$2:$A$1295,0))))</f>
        <v/>
      </c>
    </row>
    <row r="125" customFormat="false" ht="15" hidden="false" customHeight="false" outlineLevel="0" collapsed="false">
      <c r="A125" s="19"/>
      <c r="B125" s="7" t="str">
        <f aca="false">IF(A125="","",TRIM(SUBSTITUTE(SUBSTITUTE(SUBSTITUTE(" "&amp;TRIM(SUBSTITUTE(SUBSTITUTE(SUBSTITUTE(SUBSTITUTE(SUBSTITUTE(SUBSTITUTE(SUBSTITUTE(SUBSTITUTE(SUBSTITUTE(SUBSTITUTE(SUBSTITUTE(SUBSTITUTE(SUBSTITUTE(SUBSTITUTE(SUBSTITUTE(UPPER(TRIM(A125)),"[MEMBER]",""),"{MEMBER}",""),"[MEMBER}",""),"MEMBER]",""),"(A)",""),"""",""),"“",""),"”",""),".",""),":",""),",",""),"–"," "),"-"," "),"/"," "),"&amp;"," AND "))&amp;" "," THE "," ")," TOTAL "," ")," OPERATIONS "," ")))</f>
        <v/>
      </c>
      <c r="C125" s="17" t="str">
        <f aca="false">IF(A125="","",IF(ISNUMBER(MATCH(B125,Excluded!$E$2:$E$19,0)),"Excluded (not a place)",IF(ISNUMBER(MATCH(B125,'Label Map'!$N$2:$N$2019,0)),"Auto-matched","UNMAPPED: add to Label Map")))</f>
        <v/>
      </c>
      <c r="D125" s="7" t="str">
        <f aca="false">IF(C125="Auto-matched",INDEX('Label Map'!$D$2:$D$2019,MATCH(B125,'Label Map'!$N$2:$N$2019,0)),"")</f>
        <v/>
      </c>
      <c r="E125" s="7" t="str">
        <f aca="false">IF(D125="","",IF(INDEX(Hierarchy!$B$2:$B$1295,MATCH(D125,Hierarchy!$A$2:$A$1295,0))="","",INDEX(Hierarchy!$B$2:$B$1295,MATCH(D125,Hierarchy!$A$2:$A$1295,0))))</f>
        <v/>
      </c>
      <c r="F125" s="7" t="str">
        <f aca="false">IF(D125="","",IF(INDEX(Hierarchy!$D$2:$D$1295,MATCH(D125,Hierarchy!$A$2:$A$1295,0))="","",INDEX(Hierarchy!$D$2:$D$1295,MATCH(D125,Hierarchy!$A$2:$A$1295,0))))</f>
        <v/>
      </c>
      <c r="G125" s="7" t="str">
        <f aca="false">IF(D125="","",IF(INDEX(Hierarchy!$E$2:$E$1295,MATCH(D125,Hierarchy!$A$2:$A$1295,0))="","",INDEX(Hierarchy!$E$2:$E$1295,MATCH(D125,Hierarchy!$A$2:$A$1295,0))))</f>
        <v/>
      </c>
      <c r="H125" s="7" t="str">
        <f aca="false">IF(D125="","",IF(INDEX(Hierarchy!$F$2:$F$1295,MATCH(D125,Hierarchy!$A$2:$A$1295,0))="","",INDEX(Hierarchy!$F$2:$F$1295,MATCH(D125,Hierarchy!$A$2:$A$1295,0))))</f>
        <v/>
      </c>
      <c r="I125" s="7" t="str">
        <f aca="false">IF(D125="","",IF(INDEX(Hierarchy!$H$2:$H$1295,MATCH(D125,Hierarchy!$A$2:$A$1295,0))="","",INDEX(Hierarchy!$H$2:$H$1295,MATCH(D125,Hierarchy!$A$2:$A$1295,0))))</f>
        <v/>
      </c>
    </row>
    <row r="126" customFormat="false" ht="15" hidden="false" customHeight="false" outlineLevel="0" collapsed="false">
      <c r="A126" s="19"/>
      <c r="B126" s="7" t="str">
        <f aca="false">IF(A126="","",TRIM(SUBSTITUTE(SUBSTITUTE(SUBSTITUTE(" "&amp;TRIM(SUBSTITUTE(SUBSTITUTE(SUBSTITUTE(SUBSTITUTE(SUBSTITUTE(SUBSTITUTE(SUBSTITUTE(SUBSTITUTE(SUBSTITUTE(SUBSTITUTE(SUBSTITUTE(SUBSTITUTE(SUBSTITUTE(SUBSTITUTE(SUBSTITUTE(UPPER(TRIM(A126)),"[MEMBER]",""),"{MEMBER}",""),"[MEMBER}",""),"MEMBER]",""),"(A)",""),"""",""),"“",""),"”",""),".",""),":",""),",",""),"–"," "),"-"," "),"/"," "),"&amp;"," AND "))&amp;" "," THE "," ")," TOTAL "," ")," OPERATIONS "," ")))</f>
        <v/>
      </c>
      <c r="C126" s="17" t="str">
        <f aca="false">IF(A126="","",IF(ISNUMBER(MATCH(B126,Excluded!$E$2:$E$19,0)),"Excluded (not a place)",IF(ISNUMBER(MATCH(B126,'Label Map'!$N$2:$N$2019,0)),"Auto-matched","UNMAPPED: add to Label Map")))</f>
        <v/>
      </c>
      <c r="D126" s="7" t="str">
        <f aca="false">IF(C126="Auto-matched",INDEX('Label Map'!$D$2:$D$2019,MATCH(B126,'Label Map'!$N$2:$N$2019,0)),"")</f>
        <v/>
      </c>
      <c r="E126" s="7" t="str">
        <f aca="false">IF(D126="","",IF(INDEX(Hierarchy!$B$2:$B$1295,MATCH(D126,Hierarchy!$A$2:$A$1295,0))="","",INDEX(Hierarchy!$B$2:$B$1295,MATCH(D126,Hierarchy!$A$2:$A$1295,0))))</f>
        <v/>
      </c>
      <c r="F126" s="7" t="str">
        <f aca="false">IF(D126="","",IF(INDEX(Hierarchy!$D$2:$D$1295,MATCH(D126,Hierarchy!$A$2:$A$1295,0))="","",INDEX(Hierarchy!$D$2:$D$1295,MATCH(D126,Hierarchy!$A$2:$A$1295,0))))</f>
        <v/>
      </c>
      <c r="G126" s="7" t="str">
        <f aca="false">IF(D126="","",IF(INDEX(Hierarchy!$E$2:$E$1295,MATCH(D126,Hierarchy!$A$2:$A$1295,0))="","",INDEX(Hierarchy!$E$2:$E$1295,MATCH(D126,Hierarchy!$A$2:$A$1295,0))))</f>
        <v/>
      </c>
      <c r="H126" s="7" t="str">
        <f aca="false">IF(D126="","",IF(INDEX(Hierarchy!$F$2:$F$1295,MATCH(D126,Hierarchy!$A$2:$A$1295,0))="","",INDEX(Hierarchy!$F$2:$F$1295,MATCH(D126,Hierarchy!$A$2:$A$1295,0))))</f>
        <v/>
      </c>
      <c r="I126" s="7" t="str">
        <f aca="false">IF(D126="","",IF(INDEX(Hierarchy!$H$2:$H$1295,MATCH(D126,Hierarchy!$A$2:$A$1295,0))="","",INDEX(Hierarchy!$H$2:$H$1295,MATCH(D126,Hierarchy!$A$2:$A$1295,0))))</f>
        <v/>
      </c>
    </row>
    <row r="127" customFormat="false" ht="15" hidden="false" customHeight="false" outlineLevel="0" collapsed="false">
      <c r="A127" s="19"/>
      <c r="B127" s="7" t="str">
        <f aca="false">IF(A127="","",TRIM(SUBSTITUTE(SUBSTITUTE(SUBSTITUTE(" "&amp;TRIM(SUBSTITUTE(SUBSTITUTE(SUBSTITUTE(SUBSTITUTE(SUBSTITUTE(SUBSTITUTE(SUBSTITUTE(SUBSTITUTE(SUBSTITUTE(SUBSTITUTE(SUBSTITUTE(SUBSTITUTE(SUBSTITUTE(SUBSTITUTE(SUBSTITUTE(UPPER(TRIM(A127)),"[MEMBER]",""),"{MEMBER}",""),"[MEMBER}",""),"MEMBER]",""),"(A)",""),"""",""),"“",""),"”",""),".",""),":",""),",",""),"–"," "),"-"," "),"/"," "),"&amp;"," AND "))&amp;" "," THE "," ")," TOTAL "," ")," OPERATIONS "," ")))</f>
        <v/>
      </c>
      <c r="C127" s="17" t="str">
        <f aca="false">IF(A127="","",IF(ISNUMBER(MATCH(B127,Excluded!$E$2:$E$19,0)),"Excluded (not a place)",IF(ISNUMBER(MATCH(B127,'Label Map'!$N$2:$N$2019,0)),"Auto-matched","UNMAPPED: add to Label Map")))</f>
        <v/>
      </c>
      <c r="D127" s="7" t="str">
        <f aca="false">IF(C127="Auto-matched",INDEX('Label Map'!$D$2:$D$2019,MATCH(B127,'Label Map'!$N$2:$N$2019,0)),"")</f>
        <v/>
      </c>
      <c r="E127" s="7" t="str">
        <f aca="false">IF(D127="","",IF(INDEX(Hierarchy!$B$2:$B$1295,MATCH(D127,Hierarchy!$A$2:$A$1295,0))="","",INDEX(Hierarchy!$B$2:$B$1295,MATCH(D127,Hierarchy!$A$2:$A$1295,0))))</f>
        <v/>
      </c>
      <c r="F127" s="7" t="str">
        <f aca="false">IF(D127="","",IF(INDEX(Hierarchy!$D$2:$D$1295,MATCH(D127,Hierarchy!$A$2:$A$1295,0))="","",INDEX(Hierarchy!$D$2:$D$1295,MATCH(D127,Hierarchy!$A$2:$A$1295,0))))</f>
        <v/>
      </c>
      <c r="G127" s="7" t="str">
        <f aca="false">IF(D127="","",IF(INDEX(Hierarchy!$E$2:$E$1295,MATCH(D127,Hierarchy!$A$2:$A$1295,0))="","",INDEX(Hierarchy!$E$2:$E$1295,MATCH(D127,Hierarchy!$A$2:$A$1295,0))))</f>
        <v/>
      </c>
      <c r="H127" s="7" t="str">
        <f aca="false">IF(D127="","",IF(INDEX(Hierarchy!$F$2:$F$1295,MATCH(D127,Hierarchy!$A$2:$A$1295,0))="","",INDEX(Hierarchy!$F$2:$F$1295,MATCH(D127,Hierarchy!$A$2:$A$1295,0))))</f>
        <v/>
      </c>
      <c r="I127" s="7" t="str">
        <f aca="false">IF(D127="","",IF(INDEX(Hierarchy!$H$2:$H$1295,MATCH(D127,Hierarchy!$A$2:$A$1295,0))="","",INDEX(Hierarchy!$H$2:$H$1295,MATCH(D127,Hierarchy!$A$2:$A$1295,0))))</f>
        <v/>
      </c>
    </row>
    <row r="128" customFormat="false" ht="15" hidden="false" customHeight="false" outlineLevel="0" collapsed="false">
      <c r="A128" s="19"/>
      <c r="B128" s="7" t="str">
        <f aca="false">IF(A128="","",TRIM(SUBSTITUTE(SUBSTITUTE(SUBSTITUTE(" "&amp;TRIM(SUBSTITUTE(SUBSTITUTE(SUBSTITUTE(SUBSTITUTE(SUBSTITUTE(SUBSTITUTE(SUBSTITUTE(SUBSTITUTE(SUBSTITUTE(SUBSTITUTE(SUBSTITUTE(SUBSTITUTE(SUBSTITUTE(SUBSTITUTE(SUBSTITUTE(UPPER(TRIM(A128)),"[MEMBER]",""),"{MEMBER}",""),"[MEMBER}",""),"MEMBER]",""),"(A)",""),"""",""),"“",""),"”",""),".",""),":",""),",",""),"–"," "),"-"," "),"/"," "),"&amp;"," AND "))&amp;" "," THE "," ")," TOTAL "," ")," OPERATIONS "," ")))</f>
        <v/>
      </c>
      <c r="C128" s="17" t="str">
        <f aca="false">IF(A128="","",IF(ISNUMBER(MATCH(B128,Excluded!$E$2:$E$19,0)),"Excluded (not a place)",IF(ISNUMBER(MATCH(B128,'Label Map'!$N$2:$N$2019,0)),"Auto-matched","UNMAPPED: add to Label Map")))</f>
        <v/>
      </c>
      <c r="D128" s="7" t="str">
        <f aca="false">IF(C128="Auto-matched",INDEX('Label Map'!$D$2:$D$2019,MATCH(B128,'Label Map'!$N$2:$N$2019,0)),"")</f>
        <v/>
      </c>
      <c r="E128" s="7" t="str">
        <f aca="false">IF(D128="","",IF(INDEX(Hierarchy!$B$2:$B$1295,MATCH(D128,Hierarchy!$A$2:$A$1295,0))="","",INDEX(Hierarchy!$B$2:$B$1295,MATCH(D128,Hierarchy!$A$2:$A$1295,0))))</f>
        <v/>
      </c>
      <c r="F128" s="7" t="str">
        <f aca="false">IF(D128="","",IF(INDEX(Hierarchy!$D$2:$D$1295,MATCH(D128,Hierarchy!$A$2:$A$1295,0))="","",INDEX(Hierarchy!$D$2:$D$1295,MATCH(D128,Hierarchy!$A$2:$A$1295,0))))</f>
        <v/>
      </c>
      <c r="G128" s="7" t="str">
        <f aca="false">IF(D128="","",IF(INDEX(Hierarchy!$E$2:$E$1295,MATCH(D128,Hierarchy!$A$2:$A$1295,0))="","",INDEX(Hierarchy!$E$2:$E$1295,MATCH(D128,Hierarchy!$A$2:$A$1295,0))))</f>
        <v/>
      </c>
      <c r="H128" s="7" t="str">
        <f aca="false">IF(D128="","",IF(INDEX(Hierarchy!$F$2:$F$1295,MATCH(D128,Hierarchy!$A$2:$A$1295,0))="","",INDEX(Hierarchy!$F$2:$F$1295,MATCH(D128,Hierarchy!$A$2:$A$1295,0))))</f>
        <v/>
      </c>
      <c r="I128" s="7" t="str">
        <f aca="false">IF(D128="","",IF(INDEX(Hierarchy!$H$2:$H$1295,MATCH(D128,Hierarchy!$A$2:$A$1295,0))="","",INDEX(Hierarchy!$H$2:$H$1295,MATCH(D128,Hierarchy!$A$2:$A$1295,0))))</f>
        <v/>
      </c>
    </row>
    <row r="129" customFormat="false" ht="15" hidden="false" customHeight="false" outlineLevel="0" collapsed="false">
      <c r="A129" s="19"/>
      <c r="B129" s="7" t="str">
        <f aca="false">IF(A129="","",TRIM(SUBSTITUTE(SUBSTITUTE(SUBSTITUTE(" "&amp;TRIM(SUBSTITUTE(SUBSTITUTE(SUBSTITUTE(SUBSTITUTE(SUBSTITUTE(SUBSTITUTE(SUBSTITUTE(SUBSTITUTE(SUBSTITUTE(SUBSTITUTE(SUBSTITUTE(SUBSTITUTE(SUBSTITUTE(SUBSTITUTE(SUBSTITUTE(UPPER(TRIM(A129)),"[MEMBER]",""),"{MEMBER}",""),"[MEMBER}",""),"MEMBER]",""),"(A)",""),"""",""),"“",""),"”",""),".",""),":",""),",",""),"–"," "),"-"," "),"/"," "),"&amp;"," AND "))&amp;" "," THE "," ")," TOTAL "," ")," OPERATIONS "," ")))</f>
        <v/>
      </c>
      <c r="C129" s="17" t="str">
        <f aca="false">IF(A129="","",IF(ISNUMBER(MATCH(B129,Excluded!$E$2:$E$19,0)),"Excluded (not a place)",IF(ISNUMBER(MATCH(B129,'Label Map'!$N$2:$N$2019,0)),"Auto-matched","UNMAPPED: add to Label Map")))</f>
        <v/>
      </c>
      <c r="D129" s="7" t="str">
        <f aca="false">IF(C129="Auto-matched",INDEX('Label Map'!$D$2:$D$2019,MATCH(B129,'Label Map'!$N$2:$N$2019,0)),"")</f>
        <v/>
      </c>
      <c r="E129" s="7" t="str">
        <f aca="false">IF(D129="","",IF(INDEX(Hierarchy!$B$2:$B$1295,MATCH(D129,Hierarchy!$A$2:$A$1295,0))="","",INDEX(Hierarchy!$B$2:$B$1295,MATCH(D129,Hierarchy!$A$2:$A$1295,0))))</f>
        <v/>
      </c>
      <c r="F129" s="7" t="str">
        <f aca="false">IF(D129="","",IF(INDEX(Hierarchy!$D$2:$D$1295,MATCH(D129,Hierarchy!$A$2:$A$1295,0))="","",INDEX(Hierarchy!$D$2:$D$1295,MATCH(D129,Hierarchy!$A$2:$A$1295,0))))</f>
        <v/>
      </c>
      <c r="G129" s="7" t="str">
        <f aca="false">IF(D129="","",IF(INDEX(Hierarchy!$E$2:$E$1295,MATCH(D129,Hierarchy!$A$2:$A$1295,0))="","",INDEX(Hierarchy!$E$2:$E$1295,MATCH(D129,Hierarchy!$A$2:$A$1295,0))))</f>
        <v/>
      </c>
      <c r="H129" s="7" t="str">
        <f aca="false">IF(D129="","",IF(INDEX(Hierarchy!$F$2:$F$1295,MATCH(D129,Hierarchy!$A$2:$A$1295,0))="","",INDEX(Hierarchy!$F$2:$F$1295,MATCH(D129,Hierarchy!$A$2:$A$1295,0))))</f>
        <v/>
      </c>
      <c r="I129" s="7" t="str">
        <f aca="false">IF(D129="","",IF(INDEX(Hierarchy!$H$2:$H$1295,MATCH(D129,Hierarchy!$A$2:$A$1295,0))="","",INDEX(Hierarchy!$H$2:$H$1295,MATCH(D129,Hierarchy!$A$2:$A$1295,0))))</f>
        <v/>
      </c>
    </row>
    <row r="130" customFormat="false" ht="15" hidden="false" customHeight="false" outlineLevel="0" collapsed="false">
      <c r="A130" s="19"/>
      <c r="B130" s="7" t="str">
        <f aca="false">IF(A130="","",TRIM(SUBSTITUTE(SUBSTITUTE(SUBSTITUTE(" "&amp;TRIM(SUBSTITUTE(SUBSTITUTE(SUBSTITUTE(SUBSTITUTE(SUBSTITUTE(SUBSTITUTE(SUBSTITUTE(SUBSTITUTE(SUBSTITUTE(SUBSTITUTE(SUBSTITUTE(SUBSTITUTE(SUBSTITUTE(SUBSTITUTE(SUBSTITUTE(UPPER(TRIM(A130)),"[MEMBER]",""),"{MEMBER}",""),"[MEMBER}",""),"MEMBER]",""),"(A)",""),"""",""),"“",""),"”",""),".",""),":",""),",",""),"–"," "),"-"," "),"/"," "),"&amp;"," AND "))&amp;" "," THE "," ")," TOTAL "," ")," OPERATIONS "," ")))</f>
        <v/>
      </c>
      <c r="C130" s="17" t="str">
        <f aca="false">IF(A130="","",IF(ISNUMBER(MATCH(B130,Excluded!$E$2:$E$19,0)),"Excluded (not a place)",IF(ISNUMBER(MATCH(B130,'Label Map'!$N$2:$N$2019,0)),"Auto-matched","UNMAPPED: add to Label Map")))</f>
        <v/>
      </c>
      <c r="D130" s="7" t="str">
        <f aca="false">IF(C130="Auto-matched",INDEX('Label Map'!$D$2:$D$2019,MATCH(B130,'Label Map'!$N$2:$N$2019,0)),"")</f>
        <v/>
      </c>
      <c r="E130" s="7" t="str">
        <f aca="false">IF(D130="","",IF(INDEX(Hierarchy!$B$2:$B$1295,MATCH(D130,Hierarchy!$A$2:$A$1295,0))="","",INDEX(Hierarchy!$B$2:$B$1295,MATCH(D130,Hierarchy!$A$2:$A$1295,0))))</f>
        <v/>
      </c>
      <c r="F130" s="7" t="str">
        <f aca="false">IF(D130="","",IF(INDEX(Hierarchy!$D$2:$D$1295,MATCH(D130,Hierarchy!$A$2:$A$1295,0))="","",INDEX(Hierarchy!$D$2:$D$1295,MATCH(D130,Hierarchy!$A$2:$A$1295,0))))</f>
        <v/>
      </c>
      <c r="G130" s="7" t="str">
        <f aca="false">IF(D130="","",IF(INDEX(Hierarchy!$E$2:$E$1295,MATCH(D130,Hierarchy!$A$2:$A$1295,0))="","",INDEX(Hierarchy!$E$2:$E$1295,MATCH(D130,Hierarchy!$A$2:$A$1295,0))))</f>
        <v/>
      </c>
      <c r="H130" s="7" t="str">
        <f aca="false">IF(D130="","",IF(INDEX(Hierarchy!$F$2:$F$1295,MATCH(D130,Hierarchy!$A$2:$A$1295,0))="","",INDEX(Hierarchy!$F$2:$F$1295,MATCH(D130,Hierarchy!$A$2:$A$1295,0))))</f>
        <v/>
      </c>
      <c r="I130" s="7" t="str">
        <f aca="false">IF(D130="","",IF(INDEX(Hierarchy!$H$2:$H$1295,MATCH(D130,Hierarchy!$A$2:$A$1295,0))="","",INDEX(Hierarchy!$H$2:$H$1295,MATCH(D130,Hierarchy!$A$2:$A$1295,0))))</f>
        <v/>
      </c>
    </row>
    <row r="131" customFormat="false" ht="15" hidden="false" customHeight="false" outlineLevel="0" collapsed="false">
      <c r="A131" s="19"/>
      <c r="B131" s="7" t="str">
        <f aca="false">IF(A131="","",TRIM(SUBSTITUTE(SUBSTITUTE(SUBSTITUTE(" "&amp;TRIM(SUBSTITUTE(SUBSTITUTE(SUBSTITUTE(SUBSTITUTE(SUBSTITUTE(SUBSTITUTE(SUBSTITUTE(SUBSTITUTE(SUBSTITUTE(SUBSTITUTE(SUBSTITUTE(SUBSTITUTE(SUBSTITUTE(SUBSTITUTE(SUBSTITUTE(UPPER(TRIM(A131)),"[MEMBER]",""),"{MEMBER}",""),"[MEMBER}",""),"MEMBER]",""),"(A)",""),"""",""),"“",""),"”",""),".",""),":",""),",",""),"–"," "),"-"," "),"/"," "),"&amp;"," AND "))&amp;" "," THE "," ")," TOTAL "," ")," OPERATIONS "," ")))</f>
        <v/>
      </c>
      <c r="C131" s="17" t="str">
        <f aca="false">IF(A131="","",IF(ISNUMBER(MATCH(B131,Excluded!$E$2:$E$19,0)),"Excluded (not a place)",IF(ISNUMBER(MATCH(B131,'Label Map'!$N$2:$N$2019,0)),"Auto-matched","UNMAPPED: add to Label Map")))</f>
        <v/>
      </c>
      <c r="D131" s="7" t="str">
        <f aca="false">IF(C131="Auto-matched",INDEX('Label Map'!$D$2:$D$2019,MATCH(B131,'Label Map'!$N$2:$N$2019,0)),"")</f>
        <v/>
      </c>
      <c r="E131" s="7" t="str">
        <f aca="false">IF(D131="","",IF(INDEX(Hierarchy!$B$2:$B$1295,MATCH(D131,Hierarchy!$A$2:$A$1295,0))="","",INDEX(Hierarchy!$B$2:$B$1295,MATCH(D131,Hierarchy!$A$2:$A$1295,0))))</f>
        <v/>
      </c>
      <c r="F131" s="7" t="str">
        <f aca="false">IF(D131="","",IF(INDEX(Hierarchy!$D$2:$D$1295,MATCH(D131,Hierarchy!$A$2:$A$1295,0))="","",INDEX(Hierarchy!$D$2:$D$1295,MATCH(D131,Hierarchy!$A$2:$A$1295,0))))</f>
        <v/>
      </c>
      <c r="G131" s="7" t="str">
        <f aca="false">IF(D131="","",IF(INDEX(Hierarchy!$E$2:$E$1295,MATCH(D131,Hierarchy!$A$2:$A$1295,0))="","",INDEX(Hierarchy!$E$2:$E$1295,MATCH(D131,Hierarchy!$A$2:$A$1295,0))))</f>
        <v/>
      </c>
      <c r="H131" s="7" t="str">
        <f aca="false">IF(D131="","",IF(INDEX(Hierarchy!$F$2:$F$1295,MATCH(D131,Hierarchy!$A$2:$A$1295,0))="","",INDEX(Hierarchy!$F$2:$F$1295,MATCH(D131,Hierarchy!$A$2:$A$1295,0))))</f>
        <v/>
      </c>
      <c r="I131" s="7" t="str">
        <f aca="false">IF(D131="","",IF(INDEX(Hierarchy!$H$2:$H$1295,MATCH(D131,Hierarchy!$A$2:$A$1295,0))="","",INDEX(Hierarchy!$H$2:$H$1295,MATCH(D131,Hierarchy!$A$2:$A$1295,0))))</f>
        <v/>
      </c>
    </row>
    <row r="132" customFormat="false" ht="15" hidden="false" customHeight="false" outlineLevel="0" collapsed="false">
      <c r="A132" s="19"/>
      <c r="B132" s="7" t="str">
        <f aca="false">IF(A132="","",TRIM(SUBSTITUTE(SUBSTITUTE(SUBSTITUTE(" "&amp;TRIM(SUBSTITUTE(SUBSTITUTE(SUBSTITUTE(SUBSTITUTE(SUBSTITUTE(SUBSTITUTE(SUBSTITUTE(SUBSTITUTE(SUBSTITUTE(SUBSTITUTE(SUBSTITUTE(SUBSTITUTE(SUBSTITUTE(SUBSTITUTE(SUBSTITUTE(UPPER(TRIM(A132)),"[MEMBER]",""),"{MEMBER}",""),"[MEMBER}",""),"MEMBER]",""),"(A)",""),"""",""),"“",""),"”",""),".",""),":",""),",",""),"–"," "),"-"," "),"/"," "),"&amp;"," AND "))&amp;" "," THE "," ")," TOTAL "," ")," OPERATIONS "," ")))</f>
        <v/>
      </c>
      <c r="C132" s="17" t="str">
        <f aca="false">IF(A132="","",IF(ISNUMBER(MATCH(B132,Excluded!$E$2:$E$19,0)),"Excluded (not a place)",IF(ISNUMBER(MATCH(B132,'Label Map'!$N$2:$N$2019,0)),"Auto-matched","UNMAPPED: add to Label Map")))</f>
        <v/>
      </c>
      <c r="D132" s="7" t="str">
        <f aca="false">IF(C132="Auto-matched",INDEX('Label Map'!$D$2:$D$2019,MATCH(B132,'Label Map'!$N$2:$N$2019,0)),"")</f>
        <v/>
      </c>
      <c r="E132" s="7" t="str">
        <f aca="false">IF(D132="","",IF(INDEX(Hierarchy!$B$2:$B$1295,MATCH(D132,Hierarchy!$A$2:$A$1295,0))="","",INDEX(Hierarchy!$B$2:$B$1295,MATCH(D132,Hierarchy!$A$2:$A$1295,0))))</f>
        <v/>
      </c>
      <c r="F132" s="7" t="str">
        <f aca="false">IF(D132="","",IF(INDEX(Hierarchy!$D$2:$D$1295,MATCH(D132,Hierarchy!$A$2:$A$1295,0))="","",INDEX(Hierarchy!$D$2:$D$1295,MATCH(D132,Hierarchy!$A$2:$A$1295,0))))</f>
        <v/>
      </c>
      <c r="G132" s="7" t="str">
        <f aca="false">IF(D132="","",IF(INDEX(Hierarchy!$E$2:$E$1295,MATCH(D132,Hierarchy!$A$2:$A$1295,0))="","",INDEX(Hierarchy!$E$2:$E$1295,MATCH(D132,Hierarchy!$A$2:$A$1295,0))))</f>
        <v/>
      </c>
      <c r="H132" s="7" t="str">
        <f aca="false">IF(D132="","",IF(INDEX(Hierarchy!$F$2:$F$1295,MATCH(D132,Hierarchy!$A$2:$A$1295,0))="","",INDEX(Hierarchy!$F$2:$F$1295,MATCH(D132,Hierarchy!$A$2:$A$1295,0))))</f>
        <v/>
      </c>
      <c r="I132" s="7" t="str">
        <f aca="false">IF(D132="","",IF(INDEX(Hierarchy!$H$2:$H$1295,MATCH(D132,Hierarchy!$A$2:$A$1295,0))="","",INDEX(Hierarchy!$H$2:$H$1295,MATCH(D132,Hierarchy!$A$2:$A$1295,0))))</f>
        <v/>
      </c>
    </row>
    <row r="133" customFormat="false" ht="15" hidden="false" customHeight="false" outlineLevel="0" collapsed="false">
      <c r="A133" s="19"/>
      <c r="B133" s="7" t="str">
        <f aca="false">IF(A133="","",TRIM(SUBSTITUTE(SUBSTITUTE(SUBSTITUTE(" "&amp;TRIM(SUBSTITUTE(SUBSTITUTE(SUBSTITUTE(SUBSTITUTE(SUBSTITUTE(SUBSTITUTE(SUBSTITUTE(SUBSTITUTE(SUBSTITUTE(SUBSTITUTE(SUBSTITUTE(SUBSTITUTE(SUBSTITUTE(SUBSTITUTE(SUBSTITUTE(UPPER(TRIM(A133)),"[MEMBER]",""),"{MEMBER}",""),"[MEMBER}",""),"MEMBER]",""),"(A)",""),"""",""),"“",""),"”",""),".",""),":",""),",",""),"–"," "),"-"," "),"/"," "),"&amp;"," AND "))&amp;" "," THE "," ")," TOTAL "," ")," OPERATIONS "," ")))</f>
        <v/>
      </c>
      <c r="C133" s="17" t="str">
        <f aca="false">IF(A133="","",IF(ISNUMBER(MATCH(B133,Excluded!$E$2:$E$19,0)),"Excluded (not a place)",IF(ISNUMBER(MATCH(B133,'Label Map'!$N$2:$N$2019,0)),"Auto-matched","UNMAPPED: add to Label Map")))</f>
        <v/>
      </c>
      <c r="D133" s="7" t="str">
        <f aca="false">IF(C133="Auto-matched",INDEX('Label Map'!$D$2:$D$2019,MATCH(B133,'Label Map'!$N$2:$N$2019,0)),"")</f>
        <v/>
      </c>
      <c r="E133" s="7" t="str">
        <f aca="false">IF(D133="","",IF(INDEX(Hierarchy!$B$2:$B$1295,MATCH(D133,Hierarchy!$A$2:$A$1295,0))="","",INDEX(Hierarchy!$B$2:$B$1295,MATCH(D133,Hierarchy!$A$2:$A$1295,0))))</f>
        <v/>
      </c>
      <c r="F133" s="7" t="str">
        <f aca="false">IF(D133="","",IF(INDEX(Hierarchy!$D$2:$D$1295,MATCH(D133,Hierarchy!$A$2:$A$1295,0))="","",INDEX(Hierarchy!$D$2:$D$1295,MATCH(D133,Hierarchy!$A$2:$A$1295,0))))</f>
        <v/>
      </c>
      <c r="G133" s="7" t="str">
        <f aca="false">IF(D133="","",IF(INDEX(Hierarchy!$E$2:$E$1295,MATCH(D133,Hierarchy!$A$2:$A$1295,0))="","",INDEX(Hierarchy!$E$2:$E$1295,MATCH(D133,Hierarchy!$A$2:$A$1295,0))))</f>
        <v/>
      </c>
      <c r="H133" s="7" t="str">
        <f aca="false">IF(D133="","",IF(INDEX(Hierarchy!$F$2:$F$1295,MATCH(D133,Hierarchy!$A$2:$A$1295,0))="","",INDEX(Hierarchy!$F$2:$F$1295,MATCH(D133,Hierarchy!$A$2:$A$1295,0))))</f>
        <v/>
      </c>
      <c r="I133" s="7" t="str">
        <f aca="false">IF(D133="","",IF(INDEX(Hierarchy!$H$2:$H$1295,MATCH(D133,Hierarchy!$A$2:$A$1295,0))="","",INDEX(Hierarchy!$H$2:$H$1295,MATCH(D133,Hierarchy!$A$2:$A$1295,0))))</f>
        <v/>
      </c>
    </row>
    <row r="134" customFormat="false" ht="15" hidden="false" customHeight="false" outlineLevel="0" collapsed="false">
      <c r="A134" s="19"/>
      <c r="B134" s="7" t="str">
        <f aca="false">IF(A134="","",TRIM(SUBSTITUTE(SUBSTITUTE(SUBSTITUTE(" "&amp;TRIM(SUBSTITUTE(SUBSTITUTE(SUBSTITUTE(SUBSTITUTE(SUBSTITUTE(SUBSTITUTE(SUBSTITUTE(SUBSTITUTE(SUBSTITUTE(SUBSTITUTE(SUBSTITUTE(SUBSTITUTE(SUBSTITUTE(SUBSTITUTE(SUBSTITUTE(UPPER(TRIM(A134)),"[MEMBER]",""),"{MEMBER}",""),"[MEMBER}",""),"MEMBER]",""),"(A)",""),"""",""),"“",""),"”",""),".",""),":",""),",",""),"–"," "),"-"," "),"/"," "),"&amp;"," AND "))&amp;" "," THE "," ")," TOTAL "," ")," OPERATIONS "," ")))</f>
        <v/>
      </c>
      <c r="C134" s="17" t="str">
        <f aca="false">IF(A134="","",IF(ISNUMBER(MATCH(B134,Excluded!$E$2:$E$19,0)),"Excluded (not a place)",IF(ISNUMBER(MATCH(B134,'Label Map'!$N$2:$N$2019,0)),"Auto-matched","UNMAPPED: add to Label Map")))</f>
        <v/>
      </c>
      <c r="D134" s="7" t="str">
        <f aca="false">IF(C134="Auto-matched",INDEX('Label Map'!$D$2:$D$2019,MATCH(B134,'Label Map'!$N$2:$N$2019,0)),"")</f>
        <v/>
      </c>
      <c r="E134" s="7" t="str">
        <f aca="false">IF(D134="","",IF(INDEX(Hierarchy!$B$2:$B$1295,MATCH(D134,Hierarchy!$A$2:$A$1295,0))="","",INDEX(Hierarchy!$B$2:$B$1295,MATCH(D134,Hierarchy!$A$2:$A$1295,0))))</f>
        <v/>
      </c>
      <c r="F134" s="7" t="str">
        <f aca="false">IF(D134="","",IF(INDEX(Hierarchy!$D$2:$D$1295,MATCH(D134,Hierarchy!$A$2:$A$1295,0))="","",INDEX(Hierarchy!$D$2:$D$1295,MATCH(D134,Hierarchy!$A$2:$A$1295,0))))</f>
        <v/>
      </c>
      <c r="G134" s="7" t="str">
        <f aca="false">IF(D134="","",IF(INDEX(Hierarchy!$E$2:$E$1295,MATCH(D134,Hierarchy!$A$2:$A$1295,0))="","",INDEX(Hierarchy!$E$2:$E$1295,MATCH(D134,Hierarchy!$A$2:$A$1295,0))))</f>
        <v/>
      </c>
      <c r="H134" s="7" t="str">
        <f aca="false">IF(D134="","",IF(INDEX(Hierarchy!$F$2:$F$1295,MATCH(D134,Hierarchy!$A$2:$A$1295,0))="","",INDEX(Hierarchy!$F$2:$F$1295,MATCH(D134,Hierarchy!$A$2:$A$1295,0))))</f>
        <v/>
      </c>
      <c r="I134" s="7" t="str">
        <f aca="false">IF(D134="","",IF(INDEX(Hierarchy!$H$2:$H$1295,MATCH(D134,Hierarchy!$A$2:$A$1295,0))="","",INDEX(Hierarchy!$H$2:$H$1295,MATCH(D134,Hierarchy!$A$2:$A$1295,0))))</f>
        <v/>
      </c>
    </row>
    <row r="135" customFormat="false" ht="15" hidden="false" customHeight="false" outlineLevel="0" collapsed="false">
      <c r="A135" s="19"/>
      <c r="B135" s="7" t="str">
        <f aca="false">IF(A135="","",TRIM(SUBSTITUTE(SUBSTITUTE(SUBSTITUTE(" "&amp;TRIM(SUBSTITUTE(SUBSTITUTE(SUBSTITUTE(SUBSTITUTE(SUBSTITUTE(SUBSTITUTE(SUBSTITUTE(SUBSTITUTE(SUBSTITUTE(SUBSTITUTE(SUBSTITUTE(SUBSTITUTE(SUBSTITUTE(SUBSTITUTE(SUBSTITUTE(UPPER(TRIM(A135)),"[MEMBER]",""),"{MEMBER}",""),"[MEMBER}",""),"MEMBER]",""),"(A)",""),"""",""),"“",""),"”",""),".",""),":",""),",",""),"–"," "),"-"," "),"/"," "),"&amp;"," AND "))&amp;" "," THE "," ")," TOTAL "," ")," OPERATIONS "," ")))</f>
        <v/>
      </c>
      <c r="C135" s="17" t="str">
        <f aca="false">IF(A135="","",IF(ISNUMBER(MATCH(B135,Excluded!$E$2:$E$19,0)),"Excluded (not a place)",IF(ISNUMBER(MATCH(B135,'Label Map'!$N$2:$N$2019,0)),"Auto-matched","UNMAPPED: add to Label Map")))</f>
        <v/>
      </c>
      <c r="D135" s="7" t="str">
        <f aca="false">IF(C135="Auto-matched",INDEX('Label Map'!$D$2:$D$2019,MATCH(B135,'Label Map'!$N$2:$N$2019,0)),"")</f>
        <v/>
      </c>
      <c r="E135" s="7" t="str">
        <f aca="false">IF(D135="","",IF(INDEX(Hierarchy!$B$2:$B$1295,MATCH(D135,Hierarchy!$A$2:$A$1295,0))="","",INDEX(Hierarchy!$B$2:$B$1295,MATCH(D135,Hierarchy!$A$2:$A$1295,0))))</f>
        <v/>
      </c>
      <c r="F135" s="7" t="str">
        <f aca="false">IF(D135="","",IF(INDEX(Hierarchy!$D$2:$D$1295,MATCH(D135,Hierarchy!$A$2:$A$1295,0))="","",INDEX(Hierarchy!$D$2:$D$1295,MATCH(D135,Hierarchy!$A$2:$A$1295,0))))</f>
        <v/>
      </c>
      <c r="G135" s="7" t="str">
        <f aca="false">IF(D135="","",IF(INDEX(Hierarchy!$E$2:$E$1295,MATCH(D135,Hierarchy!$A$2:$A$1295,0))="","",INDEX(Hierarchy!$E$2:$E$1295,MATCH(D135,Hierarchy!$A$2:$A$1295,0))))</f>
        <v/>
      </c>
      <c r="H135" s="7" t="str">
        <f aca="false">IF(D135="","",IF(INDEX(Hierarchy!$F$2:$F$1295,MATCH(D135,Hierarchy!$A$2:$A$1295,0))="","",INDEX(Hierarchy!$F$2:$F$1295,MATCH(D135,Hierarchy!$A$2:$A$1295,0))))</f>
        <v/>
      </c>
      <c r="I135" s="7" t="str">
        <f aca="false">IF(D135="","",IF(INDEX(Hierarchy!$H$2:$H$1295,MATCH(D135,Hierarchy!$A$2:$A$1295,0))="","",INDEX(Hierarchy!$H$2:$H$1295,MATCH(D135,Hierarchy!$A$2:$A$1295,0))))</f>
        <v/>
      </c>
    </row>
    <row r="136" customFormat="false" ht="15" hidden="false" customHeight="false" outlineLevel="0" collapsed="false">
      <c r="A136" s="19"/>
      <c r="B136" s="7" t="str">
        <f aca="false">IF(A136="","",TRIM(SUBSTITUTE(SUBSTITUTE(SUBSTITUTE(" "&amp;TRIM(SUBSTITUTE(SUBSTITUTE(SUBSTITUTE(SUBSTITUTE(SUBSTITUTE(SUBSTITUTE(SUBSTITUTE(SUBSTITUTE(SUBSTITUTE(SUBSTITUTE(SUBSTITUTE(SUBSTITUTE(SUBSTITUTE(SUBSTITUTE(SUBSTITUTE(UPPER(TRIM(A136)),"[MEMBER]",""),"{MEMBER}",""),"[MEMBER}",""),"MEMBER]",""),"(A)",""),"""",""),"“",""),"”",""),".",""),":",""),",",""),"–"," "),"-"," "),"/"," "),"&amp;"," AND "))&amp;" "," THE "," ")," TOTAL "," ")," OPERATIONS "," ")))</f>
        <v/>
      </c>
      <c r="C136" s="17" t="str">
        <f aca="false">IF(A136="","",IF(ISNUMBER(MATCH(B136,Excluded!$E$2:$E$19,0)),"Excluded (not a place)",IF(ISNUMBER(MATCH(B136,'Label Map'!$N$2:$N$2019,0)),"Auto-matched","UNMAPPED: add to Label Map")))</f>
        <v/>
      </c>
      <c r="D136" s="7" t="str">
        <f aca="false">IF(C136="Auto-matched",INDEX('Label Map'!$D$2:$D$2019,MATCH(B136,'Label Map'!$N$2:$N$2019,0)),"")</f>
        <v/>
      </c>
      <c r="E136" s="7" t="str">
        <f aca="false">IF(D136="","",IF(INDEX(Hierarchy!$B$2:$B$1295,MATCH(D136,Hierarchy!$A$2:$A$1295,0))="","",INDEX(Hierarchy!$B$2:$B$1295,MATCH(D136,Hierarchy!$A$2:$A$1295,0))))</f>
        <v/>
      </c>
      <c r="F136" s="7" t="str">
        <f aca="false">IF(D136="","",IF(INDEX(Hierarchy!$D$2:$D$1295,MATCH(D136,Hierarchy!$A$2:$A$1295,0))="","",INDEX(Hierarchy!$D$2:$D$1295,MATCH(D136,Hierarchy!$A$2:$A$1295,0))))</f>
        <v/>
      </c>
      <c r="G136" s="7" t="str">
        <f aca="false">IF(D136="","",IF(INDEX(Hierarchy!$E$2:$E$1295,MATCH(D136,Hierarchy!$A$2:$A$1295,0))="","",INDEX(Hierarchy!$E$2:$E$1295,MATCH(D136,Hierarchy!$A$2:$A$1295,0))))</f>
        <v/>
      </c>
      <c r="H136" s="7" t="str">
        <f aca="false">IF(D136="","",IF(INDEX(Hierarchy!$F$2:$F$1295,MATCH(D136,Hierarchy!$A$2:$A$1295,0))="","",INDEX(Hierarchy!$F$2:$F$1295,MATCH(D136,Hierarchy!$A$2:$A$1295,0))))</f>
        <v/>
      </c>
      <c r="I136" s="7" t="str">
        <f aca="false">IF(D136="","",IF(INDEX(Hierarchy!$H$2:$H$1295,MATCH(D136,Hierarchy!$A$2:$A$1295,0))="","",INDEX(Hierarchy!$H$2:$H$1295,MATCH(D136,Hierarchy!$A$2:$A$1295,0))))</f>
        <v/>
      </c>
    </row>
    <row r="137" customFormat="false" ht="15" hidden="false" customHeight="false" outlineLevel="0" collapsed="false">
      <c r="A137" s="19"/>
      <c r="B137" s="7" t="str">
        <f aca="false">IF(A137="","",TRIM(SUBSTITUTE(SUBSTITUTE(SUBSTITUTE(" "&amp;TRIM(SUBSTITUTE(SUBSTITUTE(SUBSTITUTE(SUBSTITUTE(SUBSTITUTE(SUBSTITUTE(SUBSTITUTE(SUBSTITUTE(SUBSTITUTE(SUBSTITUTE(SUBSTITUTE(SUBSTITUTE(SUBSTITUTE(SUBSTITUTE(SUBSTITUTE(UPPER(TRIM(A137)),"[MEMBER]",""),"{MEMBER}",""),"[MEMBER}",""),"MEMBER]",""),"(A)",""),"""",""),"“",""),"”",""),".",""),":",""),",",""),"–"," "),"-"," "),"/"," "),"&amp;"," AND "))&amp;" "," THE "," ")," TOTAL "," ")," OPERATIONS "," ")))</f>
        <v/>
      </c>
      <c r="C137" s="17" t="str">
        <f aca="false">IF(A137="","",IF(ISNUMBER(MATCH(B137,Excluded!$E$2:$E$19,0)),"Excluded (not a place)",IF(ISNUMBER(MATCH(B137,'Label Map'!$N$2:$N$2019,0)),"Auto-matched","UNMAPPED: add to Label Map")))</f>
        <v/>
      </c>
      <c r="D137" s="7" t="str">
        <f aca="false">IF(C137="Auto-matched",INDEX('Label Map'!$D$2:$D$2019,MATCH(B137,'Label Map'!$N$2:$N$2019,0)),"")</f>
        <v/>
      </c>
      <c r="E137" s="7" t="str">
        <f aca="false">IF(D137="","",IF(INDEX(Hierarchy!$B$2:$B$1295,MATCH(D137,Hierarchy!$A$2:$A$1295,0))="","",INDEX(Hierarchy!$B$2:$B$1295,MATCH(D137,Hierarchy!$A$2:$A$1295,0))))</f>
        <v/>
      </c>
      <c r="F137" s="7" t="str">
        <f aca="false">IF(D137="","",IF(INDEX(Hierarchy!$D$2:$D$1295,MATCH(D137,Hierarchy!$A$2:$A$1295,0))="","",INDEX(Hierarchy!$D$2:$D$1295,MATCH(D137,Hierarchy!$A$2:$A$1295,0))))</f>
        <v/>
      </c>
      <c r="G137" s="7" t="str">
        <f aca="false">IF(D137="","",IF(INDEX(Hierarchy!$E$2:$E$1295,MATCH(D137,Hierarchy!$A$2:$A$1295,0))="","",INDEX(Hierarchy!$E$2:$E$1295,MATCH(D137,Hierarchy!$A$2:$A$1295,0))))</f>
        <v/>
      </c>
      <c r="H137" s="7" t="str">
        <f aca="false">IF(D137="","",IF(INDEX(Hierarchy!$F$2:$F$1295,MATCH(D137,Hierarchy!$A$2:$A$1295,0))="","",INDEX(Hierarchy!$F$2:$F$1295,MATCH(D137,Hierarchy!$A$2:$A$1295,0))))</f>
        <v/>
      </c>
      <c r="I137" s="7" t="str">
        <f aca="false">IF(D137="","",IF(INDEX(Hierarchy!$H$2:$H$1295,MATCH(D137,Hierarchy!$A$2:$A$1295,0))="","",INDEX(Hierarchy!$H$2:$H$1295,MATCH(D137,Hierarchy!$A$2:$A$1295,0))))</f>
        <v/>
      </c>
    </row>
    <row r="138" customFormat="false" ht="15" hidden="false" customHeight="false" outlineLevel="0" collapsed="false">
      <c r="A138" s="19"/>
      <c r="B138" s="7" t="str">
        <f aca="false">IF(A138="","",TRIM(SUBSTITUTE(SUBSTITUTE(SUBSTITUTE(" "&amp;TRIM(SUBSTITUTE(SUBSTITUTE(SUBSTITUTE(SUBSTITUTE(SUBSTITUTE(SUBSTITUTE(SUBSTITUTE(SUBSTITUTE(SUBSTITUTE(SUBSTITUTE(SUBSTITUTE(SUBSTITUTE(SUBSTITUTE(SUBSTITUTE(SUBSTITUTE(UPPER(TRIM(A138)),"[MEMBER]",""),"{MEMBER}",""),"[MEMBER}",""),"MEMBER]",""),"(A)",""),"""",""),"“",""),"”",""),".",""),":",""),",",""),"–"," "),"-"," "),"/"," "),"&amp;"," AND "))&amp;" "," THE "," ")," TOTAL "," ")," OPERATIONS "," ")))</f>
        <v/>
      </c>
      <c r="C138" s="17" t="str">
        <f aca="false">IF(A138="","",IF(ISNUMBER(MATCH(B138,Excluded!$E$2:$E$19,0)),"Excluded (not a place)",IF(ISNUMBER(MATCH(B138,'Label Map'!$N$2:$N$2019,0)),"Auto-matched","UNMAPPED: add to Label Map")))</f>
        <v/>
      </c>
      <c r="D138" s="7" t="str">
        <f aca="false">IF(C138="Auto-matched",INDEX('Label Map'!$D$2:$D$2019,MATCH(B138,'Label Map'!$N$2:$N$2019,0)),"")</f>
        <v/>
      </c>
      <c r="E138" s="7" t="str">
        <f aca="false">IF(D138="","",IF(INDEX(Hierarchy!$B$2:$B$1295,MATCH(D138,Hierarchy!$A$2:$A$1295,0))="","",INDEX(Hierarchy!$B$2:$B$1295,MATCH(D138,Hierarchy!$A$2:$A$1295,0))))</f>
        <v/>
      </c>
      <c r="F138" s="7" t="str">
        <f aca="false">IF(D138="","",IF(INDEX(Hierarchy!$D$2:$D$1295,MATCH(D138,Hierarchy!$A$2:$A$1295,0))="","",INDEX(Hierarchy!$D$2:$D$1295,MATCH(D138,Hierarchy!$A$2:$A$1295,0))))</f>
        <v/>
      </c>
      <c r="G138" s="7" t="str">
        <f aca="false">IF(D138="","",IF(INDEX(Hierarchy!$E$2:$E$1295,MATCH(D138,Hierarchy!$A$2:$A$1295,0))="","",INDEX(Hierarchy!$E$2:$E$1295,MATCH(D138,Hierarchy!$A$2:$A$1295,0))))</f>
        <v/>
      </c>
      <c r="H138" s="7" t="str">
        <f aca="false">IF(D138="","",IF(INDEX(Hierarchy!$F$2:$F$1295,MATCH(D138,Hierarchy!$A$2:$A$1295,0))="","",INDEX(Hierarchy!$F$2:$F$1295,MATCH(D138,Hierarchy!$A$2:$A$1295,0))))</f>
        <v/>
      </c>
      <c r="I138" s="7" t="str">
        <f aca="false">IF(D138="","",IF(INDEX(Hierarchy!$H$2:$H$1295,MATCH(D138,Hierarchy!$A$2:$A$1295,0))="","",INDEX(Hierarchy!$H$2:$H$1295,MATCH(D138,Hierarchy!$A$2:$A$1295,0))))</f>
        <v/>
      </c>
    </row>
    <row r="139" customFormat="false" ht="15" hidden="false" customHeight="false" outlineLevel="0" collapsed="false">
      <c r="A139" s="19"/>
      <c r="B139" s="7" t="str">
        <f aca="false">IF(A139="","",TRIM(SUBSTITUTE(SUBSTITUTE(SUBSTITUTE(" "&amp;TRIM(SUBSTITUTE(SUBSTITUTE(SUBSTITUTE(SUBSTITUTE(SUBSTITUTE(SUBSTITUTE(SUBSTITUTE(SUBSTITUTE(SUBSTITUTE(SUBSTITUTE(SUBSTITUTE(SUBSTITUTE(SUBSTITUTE(SUBSTITUTE(SUBSTITUTE(UPPER(TRIM(A139)),"[MEMBER]",""),"{MEMBER}",""),"[MEMBER}",""),"MEMBER]",""),"(A)",""),"""",""),"“",""),"”",""),".",""),":",""),",",""),"–"," "),"-"," "),"/"," "),"&amp;"," AND "))&amp;" "," THE "," ")," TOTAL "," ")," OPERATIONS "," ")))</f>
        <v/>
      </c>
      <c r="C139" s="17" t="str">
        <f aca="false">IF(A139="","",IF(ISNUMBER(MATCH(B139,Excluded!$E$2:$E$19,0)),"Excluded (not a place)",IF(ISNUMBER(MATCH(B139,'Label Map'!$N$2:$N$2019,0)),"Auto-matched","UNMAPPED: add to Label Map")))</f>
        <v/>
      </c>
      <c r="D139" s="7" t="str">
        <f aca="false">IF(C139="Auto-matched",INDEX('Label Map'!$D$2:$D$2019,MATCH(B139,'Label Map'!$N$2:$N$2019,0)),"")</f>
        <v/>
      </c>
      <c r="E139" s="7" t="str">
        <f aca="false">IF(D139="","",IF(INDEX(Hierarchy!$B$2:$B$1295,MATCH(D139,Hierarchy!$A$2:$A$1295,0))="","",INDEX(Hierarchy!$B$2:$B$1295,MATCH(D139,Hierarchy!$A$2:$A$1295,0))))</f>
        <v/>
      </c>
      <c r="F139" s="7" t="str">
        <f aca="false">IF(D139="","",IF(INDEX(Hierarchy!$D$2:$D$1295,MATCH(D139,Hierarchy!$A$2:$A$1295,0))="","",INDEX(Hierarchy!$D$2:$D$1295,MATCH(D139,Hierarchy!$A$2:$A$1295,0))))</f>
        <v/>
      </c>
      <c r="G139" s="7" t="str">
        <f aca="false">IF(D139="","",IF(INDEX(Hierarchy!$E$2:$E$1295,MATCH(D139,Hierarchy!$A$2:$A$1295,0))="","",INDEX(Hierarchy!$E$2:$E$1295,MATCH(D139,Hierarchy!$A$2:$A$1295,0))))</f>
        <v/>
      </c>
      <c r="H139" s="7" t="str">
        <f aca="false">IF(D139="","",IF(INDEX(Hierarchy!$F$2:$F$1295,MATCH(D139,Hierarchy!$A$2:$A$1295,0))="","",INDEX(Hierarchy!$F$2:$F$1295,MATCH(D139,Hierarchy!$A$2:$A$1295,0))))</f>
        <v/>
      </c>
      <c r="I139" s="7" t="str">
        <f aca="false">IF(D139="","",IF(INDEX(Hierarchy!$H$2:$H$1295,MATCH(D139,Hierarchy!$A$2:$A$1295,0))="","",INDEX(Hierarchy!$H$2:$H$1295,MATCH(D139,Hierarchy!$A$2:$A$1295,0))))</f>
        <v/>
      </c>
    </row>
    <row r="140" customFormat="false" ht="15" hidden="false" customHeight="false" outlineLevel="0" collapsed="false">
      <c r="A140" s="19"/>
      <c r="B140" s="7" t="str">
        <f aca="false">IF(A140="","",TRIM(SUBSTITUTE(SUBSTITUTE(SUBSTITUTE(" "&amp;TRIM(SUBSTITUTE(SUBSTITUTE(SUBSTITUTE(SUBSTITUTE(SUBSTITUTE(SUBSTITUTE(SUBSTITUTE(SUBSTITUTE(SUBSTITUTE(SUBSTITUTE(SUBSTITUTE(SUBSTITUTE(SUBSTITUTE(SUBSTITUTE(SUBSTITUTE(UPPER(TRIM(A140)),"[MEMBER]",""),"{MEMBER}",""),"[MEMBER}",""),"MEMBER]",""),"(A)",""),"""",""),"“",""),"”",""),".",""),":",""),",",""),"–"," "),"-"," "),"/"," "),"&amp;"," AND "))&amp;" "," THE "," ")," TOTAL "," ")," OPERATIONS "," ")))</f>
        <v/>
      </c>
      <c r="C140" s="17" t="str">
        <f aca="false">IF(A140="","",IF(ISNUMBER(MATCH(B140,Excluded!$E$2:$E$19,0)),"Excluded (not a place)",IF(ISNUMBER(MATCH(B140,'Label Map'!$N$2:$N$2019,0)),"Auto-matched","UNMAPPED: add to Label Map")))</f>
        <v/>
      </c>
      <c r="D140" s="7" t="str">
        <f aca="false">IF(C140="Auto-matched",INDEX('Label Map'!$D$2:$D$2019,MATCH(B140,'Label Map'!$N$2:$N$2019,0)),"")</f>
        <v/>
      </c>
      <c r="E140" s="7" t="str">
        <f aca="false">IF(D140="","",IF(INDEX(Hierarchy!$B$2:$B$1295,MATCH(D140,Hierarchy!$A$2:$A$1295,0))="","",INDEX(Hierarchy!$B$2:$B$1295,MATCH(D140,Hierarchy!$A$2:$A$1295,0))))</f>
        <v/>
      </c>
      <c r="F140" s="7" t="str">
        <f aca="false">IF(D140="","",IF(INDEX(Hierarchy!$D$2:$D$1295,MATCH(D140,Hierarchy!$A$2:$A$1295,0))="","",INDEX(Hierarchy!$D$2:$D$1295,MATCH(D140,Hierarchy!$A$2:$A$1295,0))))</f>
        <v/>
      </c>
      <c r="G140" s="7" t="str">
        <f aca="false">IF(D140="","",IF(INDEX(Hierarchy!$E$2:$E$1295,MATCH(D140,Hierarchy!$A$2:$A$1295,0))="","",INDEX(Hierarchy!$E$2:$E$1295,MATCH(D140,Hierarchy!$A$2:$A$1295,0))))</f>
        <v/>
      </c>
      <c r="H140" s="7" t="str">
        <f aca="false">IF(D140="","",IF(INDEX(Hierarchy!$F$2:$F$1295,MATCH(D140,Hierarchy!$A$2:$A$1295,0))="","",INDEX(Hierarchy!$F$2:$F$1295,MATCH(D140,Hierarchy!$A$2:$A$1295,0))))</f>
        <v/>
      </c>
      <c r="I140" s="7" t="str">
        <f aca="false">IF(D140="","",IF(INDEX(Hierarchy!$H$2:$H$1295,MATCH(D140,Hierarchy!$A$2:$A$1295,0))="","",INDEX(Hierarchy!$H$2:$H$1295,MATCH(D140,Hierarchy!$A$2:$A$1295,0))))</f>
        <v/>
      </c>
    </row>
    <row r="141" customFormat="false" ht="15" hidden="false" customHeight="false" outlineLevel="0" collapsed="false">
      <c r="A141" s="19"/>
      <c r="B141" s="7" t="str">
        <f aca="false">IF(A141="","",TRIM(SUBSTITUTE(SUBSTITUTE(SUBSTITUTE(" "&amp;TRIM(SUBSTITUTE(SUBSTITUTE(SUBSTITUTE(SUBSTITUTE(SUBSTITUTE(SUBSTITUTE(SUBSTITUTE(SUBSTITUTE(SUBSTITUTE(SUBSTITUTE(SUBSTITUTE(SUBSTITUTE(SUBSTITUTE(SUBSTITUTE(SUBSTITUTE(UPPER(TRIM(A141)),"[MEMBER]",""),"{MEMBER}",""),"[MEMBER}",""),"MEMBER]",""),"(A)",""),"""",""),"“",""),"”",""),".",""),":",""),",",""),"–"," "),"-"," "),"/"," "),"&amp;"," AND "))&amp;" "," THE "," ")," TOTAL "," ")," OPERATIONS "," ")))</f>
        <v/>
      </c>
      <c r="C141" s="17" t="str">
        <f aca="false">IF(A141="","",IF(ISNUMBER(MATCH(B141,Excluded!$E$2:$E$19,0)),"Excluded (not a place)",IF(ISNUMBER(MATCH(B141,'Label Map'!$N$2:$N$2019,0)),"Auto-matched","UNMAPPED: add to Label Map")))</f>
        <v/>
      </c>
      <c r="D141" s="7" t="str">
        <f aca="false">IF(C141="Auto-matched",INDEX('Label Map'!$D$2:$D$2019,MATCH(B141,'Label Map'!$N$2:$N$2019,0)),"")</f>
        <v/>
      </c>
      <c r="E141" s="7" t="str">
        <f aca="false">IF(D141="","",IF(INDEX(Hierarchy!$B$2:$B$1295,MATCH(D141,Hierarchy!$A$2:$A$1295,0))="","",INDEX(Hierarchy!$B$2:$B$1295,MATCH(D141,Hierarchy!$A$2:$A$1295,0))))</f>
        <v/>
      </c>
      <c r="F141" s="7" t="str">
        <f aca="false">IF(D141="","",IF(INDEX(Hierarchy!$D$2:$D$1295,MATCH(D141,Hierarchy!$A$2:$A$1295,0))="","",INDEX(Hierarchy!$D$2:$D$1295,MATCH(D141,Hierarchy!$A$2:$A$1295,0))))</f>
        <v/>
      </c>
      <c r="G141" s="7" t="str">
        <f aca="false">IF(D141="","",IF(INDEX(Hierarchy!$E$2:$E$1295,MATCH(D141,Hierarchy!$A$2:$A$1295,0))="","",INDEX(Hierarchy!$E$2:$E$1295,MATCH(D141,Hierarchy!$A$2:$A$1295,0))))</f>
        <v/>
      </c>
      <c r="H141" s="7" t="str">
        <f aca="false">IF(D141="","",IF(INDEX(Hierarchy!$F$2:$F$1295,MATCH(D141,Hierarchy!$A$2:$A$1295,0))="","",INDEX(Hierarchy!$F$2:$F$1295,MATCH(D141,Hierarchy!$A$2:$A$1295,0))))</f>
        <v/>
      </c>
      <c r="I141" s="7" t="str">
        <f aca="false">IF(D141="","",IF(INDEX(Hierarchy!$H$2:$H$1295,MATCH(D141,Hierarchy!$A$2:$A$1295,0))="","",INDEX(Hierarchy!$H$2:$H$1295,MATCH(D141,Hierarchy!$A$2:$A$1295,0))))</f>
        <v/>
      </c>
    </row>
    <row r="142" customFormat="false" ht="15" hidden="false" customHeight="false" outlineLevel="0" collapsed="false">
      <c r="A142" s="19"/>
      <c r="B142" s="7" t="str">
        <f aca="false">IF(A142="","",TRIM(SUBSTITUTE(SUBSTITUTE(SUBSTITUTE(" "&amp;TRIM(SUBSTITUTE(SUBSTITUTE(SUBSTITUTE(SUBSTITUTE(SUBSTITUTE(SUBSTITUTE(SUBSTITUTE(SUBSTITUTE(SUBSTITUTE(SUBSTITUTE(SUBSTITUTE(SUBSTITUTE(SUBSTITUTE(SUBSTITUTE(SUBSTITUTE(UPPER(TRIM(A142)),"[MEMBER]",""),"{MEMBER}",""),"[MEMBER}",""),"MEMBER]",""),"(A)",""),"""",""),"“",""),"”",""),".",""),":",""),",",""),"–"," "),"-"," "),"/"," "),"&amp;"," AND "))&amp;" "," THE "," ")," TOTAL "," ")," OPERATIONS "," ")))</f>
        <v/>
      </c>
      <c r="C142" s="17" t="str">
        <f aca="false">IF(A142="","",IF(ISNUMBER(MATCH(B142,Excluded!$E$2:$E$19,0)),"Excluded (not a place)",IF(ISNUMBER(MATCH(B142,'Label Map'!$N$2:$N$2019,0)),"Auto-matched","UNMAPPED: add to Label Map")))</f>
        <v/>
      </c>
      <c r="D142" s="7" t="str">
        <f aca="false">IF(C142="Auto-matched",INDEX('Label Map'!$D$2:$D$2019,MATCH(B142,'Label Map'!$N$2:$N$2019,0)),"")</f>
        <v/>
      </c>
      <c r="E142" s="7" t="str">
        <f aca="false">IF(D142="","",IF(INDEX(Hierarchy!$B$2:$B$1295,MATCH(D142,Hierarchy!$A$2:$A$1295,0))="","",INDEX(Hierarchy!$B$2:$B$1295,MATCH(D142,Hierarchy!$A$2:$A$1295,0))))</f>
        <v/>
      </c>
      <c r="F142" s="7" t="str">
        <f aca="false">IF(D142="","",IF(INDEX(Hierarchy!$D$2:$D$1295,MATCH(D142,Hierarchy!$A$2:$A$1295,0))="","",INDEX(Hierarchy!$D$2:$D$1295,MATCH(D142,Hierarchy!$A$2:$A$1295,0))))</f>
        <v/>
      </c>
      <c r="G142" s="7" t="str">
        <f aca="false">IF(D142="","",IF(INDEX(Hierarchy!$E$2:$E$1295,MATCH(D142,Hierarchy!$A$2:$A$1295,0))="","",INDEX(Hierarchy!$E$2:$E$1295,MATCH(D142,Hierarchy!$A$2:$A$1295,0))))</f>
        <v/>
      </c>
      <c r="H142" s="7" t="str">
        <f aca="false">IF(D142="","",IF(INDEX(Hierarchy!$F$2:$F$1295,MATCH(D142,Hierarchy!$A$2:$A$1295,0))="","",INDEX(Hierarchy!$F$2:$F$1295,MATCH(D142,Hierarchy!$A$2:$A$1295,0))))</f>
        <v/>
      </c>
      <c r="I142" s="7" t="str">
        <f aca="false">IF(D142="","",IF(INDEX(Hierarchy!$H$2:$H$1295,MATCH(D142,Hierarchy!$A$2:$A$1295,0))="","",INDEX(Hierarchy!$H$2:$H$1295,MATCH(D142,Hierarchy!$A$2:$A$1295,0))))</f>
        <v/>
      </c>
    </row>
    <row r="143" customFormat="false" ht="15" hidden="false" customHeight="false" outlineLevel="0" collapsed="false">
      <c r="A143" s="19"/>
      <c r="B143" s="7" t="str">
        <f aca="false">IF(A143="","",TRIM(SUBSTITUTE(SUBSTITUTE(SUBSTITUTE(" "&amp;TRIM(SUBSTITUTE(SUBSTITUTE(SUBSTITUTE(SUBSTITUTE(SUBSTITUTE(SUBSTITUTE(SUBSTITUTE(SUBSTITUTE(SUBSTITUTE(SUBSTITUTE(SUBSTITUTE(SUBSTITUTE(SUBSTITUTE(SUBSTITUTE(SUBSTITUTE(UPPER(TRIM(A143)),"[MEMBER]",""),"{MEMBER}",""),"[MEMBER}",""),"MEMBER]",""),"(A)",""),"""",""),"“",""),"”",""),".",""),":",""),",",""),"–"," "),"-"," "),"/"," "),"&amp;"," AND "))&amp;" "," THE "," ")," TOTAL "," ")," OPERATIONS "," ")))</f>
        <v/>
      </c>
      <c r="C143" s="17" t="str">
        <f aca="false">IF(A143="","",IF(ISNUMBER(MATCH(B143,Excluded!$E$2:$E$19,0)),"Excluded (not a place)",IF(ISNUMBER(MATCH(B143,'Label Map'!$N$2:$N$2019,0)),"Auto-matched","UNMAPPED: add to Label Map")))</f>
        <v/>
      </c>
      <c r="D143" s="7" t="str">
        <f aca="false">IF(C143="Auto-matched",INDEX('Label Map'!$D$2:$D$2019,MATCH(B143,'Label Map'!$N$2:$N$2019,0)),"")</f>
        <v/>
      </c>
      <c r="E143" s="7" t="str">
        <f aca="false">IF(D143="","",IF(INDEX(Hierarchy!$B$2:$B$1295,MATCH(D143,Hierarchy!$A$2:$A$1295,0))="","",INDEX(Hierarchy!$B$2:$B$1295,MATCH(D143,Hierarchy!$A$2:$A$1295,0))))</f>
        <v/>
      </c>
      <c r="F143" s="7" t="str">
        <f aca="false">IF(D143="","",IF(INDEX(Hierarchy!$D$2:$D$1295,MATCH(D143,Hierarchy!$A$2:$A$1295,0))="","",INDEX(Hierarchy!$D$2:$D$1295,MATCH(D143,Hierarchy!$A$2:$A$1295,0))))</f>
        <v/>
      </c>
      <c r="G143" s="7" t="str">
        <f aca="false">IF(D143="","",IF(INDEX(Hierarchy!$E$2:$E$1295,MATCH(D143,Hierarchy!$A$2:$A$1295,0))="","",INDEX(Hierarchy!$E$2:$E$1295,MATCH(D143,Hierarchy!$A$2:$A$1295,0))))</f>
        <v/>
      </c>
      <c r="H143" s="7" t="str">
        <f aca="false">IF(D143="","",IF(INDEX(Hierarchy!$F$2:$F$1295,MATCH(D143,Hierarchy!$A$2:$A$1295,0))="","",INDEX(Hierarchy!$F$2:$F$1295,MATCH(D143,Hierarchy!$A$2:$A$1295,0))))</f>
        <v/>
      </c>
      <c r="I143" s="7" t="str">
        <f aca="false">IF(D143="","",IF(INDEX(Hierarchy!$H$2:$H$1295,MATCH(D143,Hierarchy!$A$2:$A$1295,0))="","",INDEX(Hierarchy!$H$2:$H$1295,MATCH(D143,Hierarchy!$A$2:$A$1295,0))))</f>
        <v/>
      </c>
    </row>
    <row r="144" customFormat="false" ht="15" hidden="false" customHeight="false" outlineLevel="0" collapsed="false">
      <c r="A144" s="19"/>
      <c r="B144" s="7" t="str">
        <f aca="false">IF(A144="","",TRIM(SUBSTITUTE(SUBSTITUTE(SUBSTITUTE(" "&amp;TRIM(SUBSTITUTE(SUBSTITUTE(SUBSTITUTE(SUBSTITUTE(SUBSTITUTE(SUBSTITUTE(SUBSTITUTE(SUBSTITUTE(SUBSTITUTE(SUBSTITUTE(SUBSTITUTE(SUBSTITUTE(SUBSTITUTE(SUBSTITUTE(SUBSTITUTE(UPPER(TRIM(A144)),"[MEMBER]",""),"{MEMBER}",""),"[MEMBER}",""),"MEMBER]",""),"(A)",""),"""",""),"“",""),"”",""),".",""),":",""),",",""),"–"," "),"-"," "),"/"," "),"&amp;"," AND "))&amp;" "," THE "," ")," TOTAL "," ")," OPERATIONS "," ")))</f>
        <v/>
      </c>
      <c r="C144" s="17" t="str">
        <f aca="false">IF(A144="","",IF(ISNUMBER(MATCH(B144,Excluded!$E$2:$E$19,0)),"Excluded (not a place)",IF(ISNUMBER(MATCH(B144,'Label Map'!$N$2:$N$2019,0)),"Auto-matched","UNMAPPED: add to Label Map")))</f>
        <v/>
      </c>
      <c r="D144" s="7" t="str">
        <f aca="false">IF(C144="Auto-matched",INDEX('Label Map'!$D$2:$D$2019,MATCH(B144,'Label Map'!$N$2:$N$2019,0)),"")</f>
        <v/>
      </c>
      <c r="E144" s="7" t="str">
        <f aca="false">IF(D144="","",IF(INDEX(Hierarchy!$B$2:$B$1295,MATCH(D144,Hierarchy!$A$2:$A$1295,0))="","",INDEX(Hierarchy!$B$2:$B$1295,MATCH(D144,Hierarchy!$A$2:$A$1295,0))))</f>
        <v/>
      </c>
      <c r="F144" s="7" t="str">
        <f aca="false">IF(D144="","",IF(INDEX(Hierarchy!$D$2:$D$1295,MATCH(D144,Hierarchy!$A$2:$A$1295,0))="","",INDEX(Hierarchy!$D$2:$D$1295,MATCH(D144,Hierarchy!$A$2:$A$1295,0))))</f>
        <v/>
      </c>
      <c r="G144" s="7" t="str">
        <f aca="false">IF(D144="","",IF(INDEX(Hierarchy!$E$2:$E$1295,MATCH(D144,Hierarchy!$A$2:$A$1295,0))="","",INDEX(Hierarchy!$E$2:$E$1295,MATCH(D144,Hierarchy!$A$2:$A$1295,0))))</f>
        <v/>
      </c>
      <c r="H144" s="7" t="str">
        <f aca="false">IF(D144="","",IF(INDEX(Hierarchy!$F$2:$F$1295,MATCH(D144,Hierarchy!$A$2:$A$1295,0))="","",INDEX(Hierarchy!$F$2:$F$1295,MATCH(D144,Hierarchy!$A$2:$A$1295,0))))</f>
        <v/>
      </c>
      <c r="I144" s="7" t="str">
        <f aca="false">IF(D144="","",IF(INDEX(Hierarchy!$H$2:$H$1295,MATCH(D144,Hierarchy!$A$2:$A$1295,0))="","",INDEX(Hierarchy!$H$2:$H$1295,MATCH(D144,Hierarchy!$A$2:$A$1295,0))))</f>
        <v/>
      </c>
    </row>
    <row r="145" customFormat="false" ht="15" hidden="false" customHeight="false" outlineLevel="0" collapsed="false">
      <c r="A145" s="19"/>
      <c r="B145" s="7" t="str">
        <f aca="false">IF(A145="","",TRIM(SUBSTITUTE(SUBSTITUTE(SUBSTITUTE(" "&amp;TRIM(SUBSTITUTE(SUBSTITUTE(SUBSTITUTE(SUBSTITUTE(SUBSTITUTE(SUBSTITUTE(SUBSTITUTE(SUBSTITUTE(SUBSTITUTE(SUBSTITUTE(SUBSTITUTE(SUBSTITUTE(SUBSTITUTE(SUBSTITUTE(SUBSTITUTE(UPPER(TRIM(A145)),"[MEMBER]",""),"{MEMBER}",""),"[MEMBER}",""),"MEMBER]",""),"(A)",""),"""",""),"“",""),"”",""),".",""),":",""),",",""),"–"," "),"-"," "),"/"," "),"&amp;"," AND "))&amp;" "," THE "," ")," TOTAL "," ")," OPERATIONS "," ")))</f>
        <v/>
      </c>
      <c r="C145" s="17" t="str">
        <f aca="false">IF(A145="","",IF(ISNUMBER(MATCH(B145,Excluded!$E$2:$E$19,0)),"Excluded (not a place)",IF(ISNUMBER(MATCH(B145,'Label Map'!$N$2:$N$2019,0)),"Auto-matched","UNMAPPED: add to Label Map")))</f>
        <v/>
      </c>
      <c r="D145" s="7" t="str">
        <f aca="false">IF(C145="Auto-matched",INDEX('Label Map'!$D$2:$D$2019,MATCH(B145,'Label Map'!$N$2:$N$2019,0)),"")</f>
        <v/>
      </c>
      <c r="E145" s="7" t="str">
        <f aca="false">IF(D145="","",IF(INDEX(Hierarchy!$B$2:$B$1295,MATCH(D145,Hierarchy!$A$2:$A$1295,0))="","",INDEX(Hierarchy!$B$2:$B$1295,MATCH(D145,Hierarchy!$A$2:$A$1295,0))))</f>
        <v/>
      </c>
      <c r="F145" s="7" t="str">
        <f aca="false">IF(D145="","",IF(INDEX(Hierarchy!$D$2:$D$1295,MATCH(D145,Hierarchy!$A$2:$A$1295,0))="","",INDEX(Hierarchy!$D$2:$D$1295,MATCH(D145,Hierarchy!$A$2:$A$1295,0))))</f>
        <v/>
      </c>
      <c r="G145" s="7" t="str">
        <f aca="false">IF(D145="","",IF(INDEX(Hierarchy!$E$2:$E$1295,MATCH(D145,Hierarchy!$A$2:$A$1295,0))="","",INDEX(Hierarchy!$E$2:$E$1295,MATCH(D145,Hierarchy!$A$2:$A$1295,0))))</f>
        <v/>
      </c>
      <c r="H145" s="7" t="str">
        <f aca="false">IF(D145="","",IF(INDEX(Hierarchy!$F$2:$F$1295,MATCH(D145,Hierarchy!$A$2:$A$1295,0))="","",INDEX(Hierarchy!$F$2:$F$1295,MATCH(D145,Hierarchy!$A$2:$A$1295,0))))</f>
        <v/>
      </c>
      <c r="I145" s="7" t="str">
        <f aca="false">IF(D145="","",IF(INDEX(Hierarchy!$H$2:$H$1295,MATCH(D145,Hierarchy!$A$2:$A$1295,0))="","",INDEX(Hierarchy!$H$2:$H$1295,MATCH(D145,Hierarchy!$A$2:$A$1295,0))))</f>
        <v/>
      </c>
    </row>
    <row r="146" customFormat="false" ht="15" hidden="false" customHeight="false" outlineLevel="0" collapsed="false">
      <c r="A146" s="19"/>
      <c r="B146" s="7" t="str">
        <f aca="false">IF(A146="","",TRIM(SUBSTITUTE(SUBSTITUTE(SUBSTITUTE(" "&amp;TRIM(SUBSTITUTE(SUBSTITUTE(SUBSTITUTE(SUBSTITUTE(SUBSTITUTE(SUBSTITUTE(SUBSTITUTE(SUBSTITUTE(SUBSTITUTE(SUBSTITUTE(SUBSTITUTE(SUBSTITUTE(SUBSTITUTE(SUBSTITUTE(SUBSTITUTE(UPPER(TRIM(A146)),"[MEMBER]",""),"{MEMBER}",""),"[MEMBER}",""),"MEMBER]",""),"(A)",""),"""",""),"“",""),"”",""),".",""),":",""),",",""),"–"," "),"-"," "),"/"," "),"&amp;"," AND "))&amp;" "," THE "," ")," TOTAL "," ")," OPERATIONS "," ")))</f>
        <v/>
      </c>
      <c r="C146" s="17" t="str">
        <f aca="false">IF(A146="","",IF(ISNUMBER(MATCH(B146,Excluded!$E$2:$E$19,0)),"Excluded (not a place)",IF(ISNUMBER(MATCH(B146,'Label Map'!$N$2:$N$2019,0)),"Auto-matched","UNMAPPED: add to Label Map")))</f>
        <v/>
      </c>
      <c r="D146" s="7" t="str">
        <f aca="false">IF(C146="Auto-matched",INDEX('Label Map'!$D$2:$D$2019,MATCH(B146,'Label Map'!$N$2:$N$2019,0)),"")</f>
        <v/>
      </c>
      <c r="E146" s="7" t="str">
        <f aca="false">IF(D146="","",IF(INDEX(Hierarchy!$B$2:$B$1295,MATCH(D146,Hierarchy!$A$2:$A$1295,0))="","",INDEX(Hierarchy!$B$2:$B$1295,MATCH(D146,Hierarchy!$A$2:$A$1295,0))))</f>
        <v/>
      </c>
      <c r="F146" s="7" t="str">
        <f aca="false">IF(D146="","",IF(INDEX(Hierarchy!$D$2:$D$1295,MATCH(D146,Hierarchy!$A$2:$A$1295,0))="","",INDEX(Hierarchy!$D$2:$D$1295,MATCH(D146,Hierarchy!$A$2:$A$1295,0))))</f>
        <v/>
      </c>
      <c r="G146" s="7" t="str">
        <f aca="false">IF(D146="","",IF(INDEX(Hierarchy!$E$2:$E$1295,MATCH(D146,Hierarchy!$A$2:$A$1295,0))="","",INDEX(Hierarchy!$E$2:$E$1295,MATCH(D146,Hierarchy!$A$2:$A$1295,0))))</f>
        <v/>
      </c>
      <c r="H146" s="7" t="str">
        <f aca="false">IF(D146="","",IF(INDEX(Hierarchy!$F$2:$F$1295,MATCH(D146,Hierarchy!$A$2:$A$1295,0))="","",INDEX(Hierarchy!$F$2:$F$1295,MATCH(D146,Hierarchy!$A$2:$A$1295,0))))</f>
        <v/>
      </c>
      <c r="I146" s="7" t="str">
        <f aca="false">IF(D146="","",IF(INDEX(Hierarchy!$H$2:$H$1295,MATCH(D146,Hierarchy!$A$2:$A$1295,0))="","",INDEX(Hierarchy!$H$2:$H$1295,MATCH(D146,Hierarchy!$A$2:$A$1295,0))))</f>
        <v/>
      </c>
    </row>
    <row r="147" customFormat="false" ht="15" hidden="false" customHeight="false" outlineLevel="0" collapsed="false">
      <c r="A147" s="19"/>
      <c r="B147" s="7" t="str">
        <f aca="false">IF(A147="","",TRIM(SUBSTITUTE(SUBSTITUTE(SUBSTITUTE(" "&amp;TRIM(SUBSTITUTE(SUBSTITUTE(SUBSTITUTE(SUBSTITUTE(SUBSTITUTE(SUBSTITUTE(SUBSTITUTE(SUBSTITUTE(SUBSTITUTE(SUBSTITUTE(SUBSTITUTE(SUBSTITUTE(SUBSTITUTE(SUBSTITUTE(SUBSTITUTE(UPPER(TRIM(A147)),"[MEMBER]",""),"{MEMBER}",""),"[MEMBER}",""),"MEMBER]",""),"(A)",""),"""",""),"“",""),"”",""),".",""),":",""),",",""),"–"," "),"-"," "),"/"," "),"&amp;"," AND "))&amp;" "," THE "," ")," TOTAL "," ")," OPERATIONS "," ")))</f>
        <v/>
      </c>
      <c r="C147" s="17" t="str">
        <f aca="false">IF(A147="","",IF(ISNUMBER(MATCH(B147,Excluded!$E$2:$E$19,0)),"Excluded (not a place)",IF(ISNUMBER(MATCH(B147,'Label Map'!$N$2:$N$2019,0)),"Auto-matched","UNMAPPED: add to Label Map")))</f>
        <v/>
      </c>
      <c r="D147" s="7" t="str">
        <f aca="false">IF(C147="Auto-matched",INDEX('Label Map'!$D$2:$D$2019,MATCH(B147,'Label Map'!$N$2:$N$2019,0)),"")</f>
        <v/>
      </c>
      <c r="E147" s="7" t="str">
        <f aca="false">IF(D147="","",IF(INDEX(Hierarchy!$B$2:$B$1295,MATCH(D147,Hierarchy!$A$2:$A$1295,0))="","",INDEX(Hierarchy!$B$2:$B$1295,MATCH(D147,Hierarchy!$A$2:$A$1295,0))))</f>
        <v/>
      </c>
      <c r="F147" s="7" t="str">
        <f aca="false">IF(D147="","",IF(INDEX(Hierarchy!$D$2:$D$1295,MATCH(D147,Hierarchy!$A$2:$A$1295,0))="","",INDEX(Hierarchy!$D$2:$D$1295,MATCH(D147,Hierarchy!$A$2:$A$1295,0))))</f>
        <v/>
      </c>
      <c r="G147" s="7" t="str">
        <f aca="false">IF(D147="","",IF(INDEX(Hierarchy!$E$2:$E$1295,MATCH(D147,Hierarchy!$A$2:$A$1295,0))="","",INDEX(Hierarchy!$E$2:$E$1295,MATCH(D147,Hierarchy!$A$2:$A$1295,0))))</f>
        <v/>
      </c>
      <c r="H147" s="7" t="str">
        <f aca="false">IF(D147="","",IF(INDEX(Hierarchy!$F$2:$F$1295,MATCH(D147,Hierarchy!$A$2:$A$1295,0))="","",INDEX(Hierarchy!$F$2:$F$1295,MATCH(D147,Hierarchy!$A$2:$A$1295,0))))</f>
        <v/>
      </c>
      <c r="I147" s="7" t="str">
        <f aca="false">IF(D147="","",IF(INDEX(Hierarchy!$H$2:$H$1295,MATCH(D147,Hierarchy!$A$2:$A$1295,0))="","",INDEX(Hierarchy!$H$2:$H$1295,MATCH(D147,Hierarchy!$A$2:$A$1295,0))))</f>
        <v/>
      </c>
    </row>
    <row r="148" customFormat="false" ht="15" hidden="false" customHeight="false" outlineLevel="0" collapsed="false">
      <c r="A148" s="19"/>
      <c r="B148" s="7" t="str">
        <f aca="false">IF(A148="","",TRIM(SUBSTITUTE(SUBSTITUTE(SUBSTITUTE(" "&amp;TRIM(SUBSTITUTE(SUBSTITUTE(SUBSTITUTE(SUBSTITUTE(SUBSTITUTE(SUBSTITUTE(SUBSTITUTE(SUBSTITUTE(SUBSTITUTE(SUBSTITUTE(SUBSTITUTE(SUBSTITUTE(SUBSTITUTE(SUBSTITUTE(SUBSTITUTE(UPPER(TRIM(A148)),"[MEMBER]",""),"{MEMBER}",""),"[MEMBER}",""),"MEMBER]",""),"(A)",""),"""",""),"“",""),"”",""),".",""),":",""),",",""),"–"," "),"-"," "),"/"," "),"&amp;"," AND "))&amp;" "," THE "," ")," TOTAL "," ")," OPERATIONS "," ")))</f>
        <v/>
      </c>
      <c r="C148" s="17" t="str">
        <f aca="false">IF(A148="","",IF(ISNUMBER(MATCH(B148,Excluded!$E$2:$E$19,0)),"Excluded (not a place)",IF(ISNUMBER(MATCH(B148,'Label Map'!$N$2:$N$2019,0)),"Auto-matched","UNMAPPED: add to Label Map")))</f>
        <v/>
      </c>
      <c r="D148" s="7" t="str">
        <f aca="false">IF(C148="Auto-matched",INDEX('Label Map'!$D$2:$D$2019,MATCH(B148,'Label Map'!$N$2:$N$2019,0)),"")</f>
        <v/>
      </c>
      <c r="E148" s="7" t="str">
        <f aca="false">IF(D148="","",IF(INDEX(Hierarchy!$B$2:$B$1295,MATCH(D148,Hierarchy!$A$2:$A$1295,0))="","",INDEX(Hierarchy!$B$2:$B$1295,MATCH(D148,Hierarchy!$A$2:$A$1295,0))))</f>
        <v/>
      </c>
      <c r="F148" s="7" t="str">
        <f aca="false">IF(D148="","",IF(INDEX(Hierarchy!$D$2:$D$1295,MATCH(D148,Hierarchy!$A$2:$A$1295,0))="","",INDEX(Hierarchy!$D$2:$D$1295,MATCH(D148,Hierarchy!$A$2:$A$1295,0))))</f>
        <v/>
      </c>
      <c r="G148" s="7" t="str">
        <f aca="false">IF(D148="","",IF(INDEX(Hierarchy!$E$2:$E$1295,MATCH(D148,Hierarchy!$A$2:$A$1295,0))="","",INDEX(Hierarchy!$E$2:$E$1295,MATCH(D148,Hierarchy!$A$2:$A$1295,0))))</f>
        <v/>
      </c>
      <c r="H148" s="7" t="str">
        <f aca="false">IF(D148="","",IF(INDEX(Hierarchy!$F$2:$F$1295,MATCH(D148,Hierarchy!$A$2:$A$1295,0))="","",INDEX(Hierarchy!$F$2:$F$1295,MATCH(D148,Hierarchy!$A$2:$A$1295,0))))</f>
        <v/>
      </c>
      <c r="I148" s="7" t="str">
        <f aca="false">IF(D148="","",IF(INDEX(Hierarchy!$H$2:$H$1295,MATCH(D148,Hierarchy!$A$2:$A$1295,0))="","",INDEX(Hierarchy!$H$2:$H$1295,MATCH(D148,Hierarchy!$A$2:$A$1295,0))))</f>
        <v/>
      </c>
    </row>
    <row r="149" customFormat="false" ht="15" hidden="false" customHeight="false" outlineLevel="0" collapsed="false">
      <c r="A149" s="19"/>
      <c r="B149" s="7" t="str">
        <f aca="false">IF(A149="","",TRIM(SUBSTITUTE(SUBSTITUTE(SUBSTITUTE(" "&amp;TRIM(SUBSTITUTE(SUBSTITUTE(SUBSTITUTE(SUBSTITUTE(SUBSTITUTE(SUBSTITUTE(SUBSTITUTE(SUBSTITUTE(SUBSTITUTE(SUBSTITUTE(SUBSTITUTE(SUBSTITUTE(SUBSTITUTE(SUBSTITUTE(SUBSTITUTE(UPPER(TRIM(A149)),"[MEMBER]",""),"{MEMBER}",""),"[MEMBER}",""),"MEMBER]",""),"(A)",""),"""",""),"“",""),"”",""),".",""),":",""),",",""),"–"," "),"-"," "),"/"," "),"&amp;"," AND "))&amp;" "," THE "," ")," TOTAL "," ")," OPERATIONS "," ")))</f>
        <v/>
      </c>
      <c r="C149" s="17" t="str">
        <f aca="false">IF(A149="","",IF(ISNUMBER(MATCH(B149,Excluded!$E$2:$E$19,0)),"Excluded (not a place)",IF(ISNUMBER(MATCH(B149,'Label Map'!$N$2:$N$2019,0)),"Auto-matched","UNMAPPED: add to Label Map")))</f>
        <v/>
      </c>
      <c r="D149" s="7" t="str">
        <f aca="false">IF(C149="Auto-matched",INDEX('Label Map'!$D$2:$D$2019,MATCH(B149,'Label Map'!$N$2:$N$2019,0)),"")</f>
        <v/>
      </c>
      <c r="E149" s="7" t="str">
        <f aca="false">IF(D149="","",IF(INDEX(Hierarchy!$B$2:$B$1295,MATCH(D149,Hierarchy!$A$2:$A$1295,0))="","",INDEX(Hierarchy!$B$2:$B$1295,MATCH(D149,Hierarchy!$A$2:$A$1295,0))))</f>
        <v/>
      </c>
      <c r="F149" s="7" t="str">
        <f aca="false">IF(D149="","",IF(INDEX(Hierarchy!$D$2:$D$1295,MATCH(D149,Hierarchy!$A$2:$A$1295,0))="","",INDEX(Hierarchy!$D$2:$D$1295,MATCH(D149,Hierarchy!$A$2:$A$1295,0))))</f>
        <v/>
      </c>
      <c r="G149" s="7" t="str">
        <f aca="false">IF(D149="","",IF(INDEX(Hierarchy!$E$2:$E$1295,MATCH(D149,Hierarchy!$A$2:$A$1295,0))="","",INDEX(Hierarchy!$E$2:$E$1295,MATCH(D149,Hierarchy!$A$2:$A$1295,0))))</f>
        <v/>
      </c>
      <c r="H149" s="7" t="str">
        <f aca="false">IF(D149="","",IF(INDEX(Hierarchy!$F$2:$F$1295,MATCH(D149,Hierarchy!$A$2:$A$1295,0))="","",INDEX(Hierarchy!$F$2:$F$1295,MATCH(D149,Hierarchy!$A$2:$A$1295,0))))</f>
        <v/>
      </c>
      <c r="I149" s="7" t="str">
        <f aca="false">IF(D149="","",IF(INDEX(Hierarchy!$H$2:$H$1295,MATCH(D149,Hierarchy!$A$2:$A$1295,0))="","",INDEX(Hierarchy!$H$2:$H$1295,MATCH(D149,Hierarchy!$A$2:$A$1295,0))))</f>
        <v/>
      </c>
    </row>
    <row r="150" customFormat="false" ht="15" hidden="false" customHeight="false" outlineLevel="0" collapsed="false">
      <c r="A150" s="19"/>
      <c r="B150" s="7" t="str">
        <f aca="false">IF(A150="","",TRIM(SUBSTITUTE(SUBSTITUTE(SUBSTITUTE(" "&amp;TRIM(SUBSTITUTE(SUBSTITUTE(SUBSTITUTE(SUBSTITUTE(SUBSTITUTE(SUBSTITUTE(SUBSTITUTE(SUBSTITUTE(SUBSTITUTE(SUBSTITUTE(SUBSTITUTE(SUBSTITUTE(SUBSTITUTE(SUBSTITUTE(SUBSTITUTE(UPPER(TRIM(A150)),"[MEMBER]",""),"{MEMBER}",""),"[MEMBER}",""),"MEMBER]",""),"(A)",""),"""",""),"“",""),"”",""),".",""),":",""),",",""),"–"," "),"-"," "),"/"," "),"&amp;"," AND "))&amp;" "," THE "," ")," TOTAL "," ")," OPERATIONS "," ")))</f>
        <v/>
      </c>
      <c r="C150" s="17" t="str">
        <f aca="false">IF(A150="","",IF(ISNUMBER(MATCH(B150,Excluded!$E$2:$E$19,0)),"Excluded (not a place)",IF(ISNUMBER(MATCH(B150,'Label Map'!$N$2:$N$2019,0)),"Auto-matched","UNMAPPED: add to Label Map")))</f>
        <v/>
      </c>
      <c r="D150" s="7" t="str">
        <f aca="false">IF(C150="Auto-matched",INDEX('Label Map'!$D$2:$D$2019,MATCH(B150,'Label Map'!$N$2:$N$2019,0)),"")</f>
        <v/>
      </c>
      <c r="E150" s="7" t="str">
        <f aca="false">IF(D150="","",IF(INDEX(Hierarchy!$B$2:$B$1295,MATCH(D150,Hierarchy!$A$2:$A$1295,0))="","",INDEX(Hierarchy!$B$2:$B$1295,MATCH(D150,Hierarchy!$A$2:$A$1295,0))))</f>
        <v/>
      </c>
      <c r="F150" s="7" t="str">
        <f aca="false">IF(D150="","",IF(INDEX(Hierarchy!$D$2:$D$1295,MATCH(D150,Hierarchy!$A$2:$A$1295,0))="","",INDEX(Hierarchy!$D$2:$D$1295,MATCH(D150,Hierarchy!$A$2:$A$1295,0))))</f>
        <v/>
      </c>
      <c r="G150" s="7" t="str">
        <f aca="false">IF(D150="","",IF(INDEX(Hierarchy!$E$2:$E$1295,MATCH(D150,Hierarchy!$A$2:$A$1295,0))="","",INDEX(Hierarchy!$E$2:$E$1295,MATCH(D150,Hierarchy!$A$2:$A$1295,0))))</f>
        <v/>
      </c>
      <c r="H150" s="7" t="str">
        <f aca="false">IF(D150="","",IF(INDEX(Hierarchy!$F$2:$F$1295,MATCH(D150,Hierarchy!$A$2:$A$1295,0))="","",INDEX(Hierarchy!$F$2:$F$1295,MATCH(D150,Hierarchy!$A$2:$A$1295,0))))</f>
        <v/>
      </c>
      <c r="I150" s="7" t="str">
        <f aca="false">IF(D150="","",IF(INDEX(Hierarchy!$H$2:$H$1295,MATCH(D150,Hierarchy!$A$2:$A$1295,0))="","",INDEX(Hierarchy!$H$2:$H$1295,MATCH(D150,Hierarchy!$A$2:$A$1295,0))))</f>
        <v/>
      </c>
    </row>
    <row r="151" customFormat="false" ht="15" hidden="false" customHeight="false" outlineLevel="0" collapsed="false">
      <c r="A151" s="19"/>
      <c r="B151" s="7" t="str">
        <f aca="false">IF(A151="","",TRIM(SUBSTITUTE(SUBSTITUTE(SUBSTITUTE(" "&amp;TRIM(SUBSTITUTE(SUBSTITUTE(SUBSTITUTE(SUBSTITUTE(SUBSTITUTE(SUBSTITUTE(SUBSTITUTE(SUBSTITUTE(SUBSTITUTE(SUBSTITUTE(SUBSTITUTE(SUBSTITUTE(SUBSTITUTE(SUBSTITUTE(SUBSTITUTE(UPPER(TRIM(A151)),"[MEMBER]",""),"{MEMBER}",""),"[MEMBER}",""),"MEMBER]",""),"(A)",""),"""",""),"“",""),"”",""),".",""),":",""),",",""),"–"," "),"-"," "),"/"," "),"&amp;"," AND "))&amp;" "," THE "," ")," TOTAL "," ")," OPERATIONS "," ")))</f>
        <v/>
      </c>
      <c r="C151" s="17" t="str">
        <f aca="false">IF(A151="","",IF(ISNUMBER(MATCH(B151,Excluded!$E$2:$E$19,0)),"Excluded (not a place)",IF(ISNUMBER(MATCH(B151,'Label Map'!$N$2:$N$2019,0)),"Auto-matched","UNMAPPED: add to Label Map")))</f>
        <v/>
      </c>
      <c r="D151" s="7" t="str">
        <f aca="false">IF(C151="Auto-matched",INDEX('Label Map'!$D$2:$D$2019,MATCH(B151,'Label Map'!$N$2:$N$2019,0)),"")</f>
        <v/>
      </c>
      <c r="E151" s="7" t="str">
        <f aca="false">IF(D151="","",IF(INDEX(Hierarchy!$B$2:$B$1295,MATCH(D151,Hierarchy!$A$2:$A$1295,0))="","",INDEX(Hierarchy!$B$2:$B$1295,MATCH(D151,Hierarchy!$A$2:$A$1295,0))))</f>
        <v/>
      </c>
      <c r="F151" s="7" t="str">
        <f aca="false">IF(D151="","",IF(INDEX(Hierarchy!$D$2:$D$1295,MATCH(D151,Hierarchy!$A$2:$A$1295,0))="","",INDEX(Hierarchy!$D$2:$D$1295,MATCH(D151,Hierarchy!$A$2:$A$1295,0))))</f>
        <v/>
      </c>
      <c r="G151" s="7" t="str">
        <f aca="false">IF(D151="","",IF(INDEX(Hierarchy!$E$2:$E$1295,MATCH(D151,Hierarchy!$A$2:$A$1295,0))="","",INDEX(Hierarchy!$E$2:$E$1295,MATCH(D151,Hierarchy!$A$2:$A$1295,0))))</f>
        <v/>
      </c>
      <c r="H151" s="7" t="str">
        <f aca="false">IF(D151="","",IF(INDEX(Hierarchy!$F$2:$F$1295,MATCH(D151,Hierarchy!$A$2:$A$1295,0))="","",INDEX(Hierarchy!$F$2:$F$1295,MATCH(D151,Hierarchy!$A$2:$A$1295,0))))</f>
        <v/>
      </c>
      <c r="I151" s="7" t="str">
        <f aca="false">IF(D151="","",IF(INDEX(Hierarchy!$H$2:$H$1295,MATCH(D151,Hierarchy!$A$2:$A$1295,0))="","",INDEX(Hierarchy!$H$2:$H$1295,MATCH(D151,Hierarchy!$A$2:$A$1295,0))))</f>
        <v/>
      </c>
    </row>
    <row r="152" customFormat="false" ht="15" hidden="false" customHeight="false" outlineLevel="0" collapsed="false">
      <c r="A152" s="19"/>
      <c r="B152" s="7" t="str">
        <f aca="false">IF(A152="","",TRIM(SUBSTITUTE(SUBSTITUTE(SUBSTITUTE(" "&amp;TRIM(SUBSTITUTE(SUBSTITUTE(SUBSTITUTE(SUBSTITUTE(SUBSTITUTE(SUBSTITUTE(SUBSTITUTE(SUBSTITUTE(SUBSTITUTE(SUBSTITUTE(SUBSTITUTE(SUBSTITUTE(SUBSTITUTE(SUBSTITUTE(SUBSTITUTE(UPPER(TRIM(A152)),"[MEMBER]",""),"{MEMBER}",""),"[MEMBER}",""),"MEMBER]",""),"(A)",""),"""",""),"“",""),"”",""),".",""),":",""),",",""),"–"," "),"-"," "),"/"," "),"&amp;"," AND "))&amp;" "," THE "," ")," TOTAL "," ")," OPERATIONS "," ")))</f>
        <v/>
      </c>
      <c r="C152" s="17" t="str">
        <f aca="false">IF(A152="","",IF(ISNUMBER(MATCH(B152,Excluded!$E$2:$E$19,0)),"Excluded (not a place)",IF(ISNUMBER(MATCH(B152,'Label Map'!$N$2:$N$2019,0)),"Auto-matched","UNMAPPED: add to Label Map")))</f>
        <v/>
      </c>
      <c r="D152" s="7" t="str">
        <f aca="false">IF(C152="Auto-matched",INDEX('Label Map'!$D$2:$D$2019,MATCH(B152,'Label Map'!$N$2:$N$2019,0)),"")</f>
        <v/>
      </c>
      <c r="E152" s="7" t="str">
        <f aca="false">IF(D152="","",IF(INDEX(Hierarchy!$B$2:$B$1295,MATCH(D152,Hierarchy!$A$2:$A$1295,0))="","",INDEX(Hierarchy!$B$2:$B$1295,MATCH(D152,Hierarchy!$A$2:$A$1295,0))))</f>
        <v/>
      </c>
      <c r="F152" s="7" t="str">
        <f aca="false">IF(D152="","",IF(INDEX(Hierarchy!$D$2:$D$1295,MATCH(D152,Hierarchy!$A$2:$A$1295,0))="","",INDEX(Hierarchy!$D$2:$D$1295,MATCH(D152,Hierarchy!$A$2:$A$1295,0))))</f>
        <v/>
      </c>
      <c r="G152" s="7" t="str">
        <f aca="false">IF(D152="","",IF(INDEX(Hierarchy!$E$2:$E$1295,MATCH(D152,Hierarchy!$A$2:$A$1295,0))="","",INDEX(Hierarchy!$E$2:$E$1295,MATCH(D152,Hierarchy!$A$2:$A$1295,0))))</f>
        <v/>
      </c>
      <c r="H152" s="7" t="str">
        <f aca="false">IF(D152="","",IF(INDEX(Hierarchy!$F$2:$F$1295,MATCH(D152,Hierarchy!$A$2:$A$1295,0))="","",INDEX(Hierarchy!$F$2:$F$1295,MATCH(D152,Hierarchy!$A$2:$A$1295,0))))</f>
        <v/>
      </c>
      <c r="I152" s="7" t="str">
        <f aca="false">IF(D152="","",IF(INDEX(Hierarchy!$H$2:$H$1295,MATCH(D152,Hierarchy!$A$2:$A$1295,0))="","",INDEX(Hierarchy!$H$2:$H$1295,MATCH(D152,Hierarchy!$A$2:$A$1295,0))))</f>
        <v/>
      </c>
    </row>
    <row r="153" customFormat="false" ht="15" hidden="false" customHeight="false" outlineLevel="0" collapsed="false">
      <c r="A153" s="19"/>
      <c r="B153" s="7" t="str">
        <f aca="false">IF(A153="","",TRIM(SUBSTITUTE(SUBSTITUTE(SUBSTITUTE(" "&amp;TRIM(SUBSTITUTE(SUBSTITUTE(SUBSTITUTE(SUBSTITUTE(SUBSTITUTE(SUBSTITUTE(SUBSTITUTE(SUBSTITUTE(SUBSTITUTE(SUBSTITUTE(SUBSTITUTE(SUBSTITUTE(SUBSTITUTE(SUBSTITUTE(SUBSTITUTE(UPPER(TRIM(A153)),"[MEMBER]",""),"{MEMBER}",""),"[MEMBER}",""),"MEMBER]",""),"(A)",""),"""",""),"“",""),"”",""),".",""),":",""),",",""),"–"," "),"-"," "),"/"," "),"&amp;"," AND "))&amp;" "," THE "," ")," TOTAL "," ")," OPERATIONS "," ")))</f>
        <v/>
      </c>
      <c r="C153" s="17" t="str">
        <f aca="false">IF(A153="","",IF(ISNUMBER(MATCH(B153,Excluded!$E$2:$E$19,0)),"Excluded (not a place)",IF(ISNUMBER(MATCH(B153,'Label Map'!$N$2:$N$2019,0)),"Auto-matched","UNMAPPED: add to Label Map")))</f>
        <v/>
      </c>
      <c r="D153" s="7" t="str">
        <f aca="false">IF(C153="Auto-matched",INDEX('Label Map'!$D$2:$D$2019,MATCH(B153,'Label Map'!$N$2:$N$2019,0)),"")</f>
        <v/>
      </c>
      <c r="E153" s="7" t="str">
        <f aca="false">IF(D153="","",IF(INDEX(Hierarchy!$B$2:$B$1295,MATCH(D153,Hierarchy!$A$2:$A$1295,0))="","",INDEX(Hierarchy!$B$2:$B$1295,MATCH(D153,Hierarchy!$A$2:$A$1295,0))))</f>
        <v/>
      </c>
      <c r="F153" s="7" t="str">
        <f aca="false">IF(D153="","",IF(INDEX(Hierarchy!$D$2:$D$1295,MATCH(D153,Hierarchy!$A$2:$A$1295,0))="","",INDEX(Hierarchy!$D$2:$D$1295,MATCH(D153,Hierarchy!$A$2:$A$1295,0))))</f>
        <v/>
      </c>
      <c r="G153" s="7" t="str">
        <f aca="false">IF(D153="","",IF(INDEX(Hierarchy!$E$2:$E$1295,MATCH(D153,Hierarchy!$A$2:$A$1295,0))="","",INDEX(Hierarchy!$E$2:$E$1295,MATCH(D153,Hierarchy!$A$2:$A$1295,0))))</f>
        <v/>
      </c>
      <c r="H153" s="7" t="str">
        <f aca="false">IF(D153="","",IF(INDEX(Hierarchy!$F$2:$F$1295,MATCH(D153,Hierarchy!$A$2:$A$1295,0))="","",INDEX(Hierarchy!$F$2:$F$1295,MATCH(D153,Hierarchy!$A$2:$A$1295,0))))</f>
        <v/>
      </c>
      <c r="I153" s="7" t="str">
        <f aca="false">IF(D153="","",IF(INDEX(Hierarchy!$H$2:$H$1295,MATCH(D153,Hierarchy!$A$2:$A$1295,0))="","",INDEX(Hierarchy!$H$2:$H$1295,MATCH(D153,Hierarchy!$A$2:$A$1295,0))))</f>
        <v/>
      </c>
    </row>
    <row r="154" customFormat="false" ht="15" hidden="false" customHeight="false" outlineLevel="0" collapsed="false">
      <c r="A154" s="19"/>
      <c r="B154" s="7" t="str">
        <f aca="false">IF(A154="","",TRIM(SUBSTITUTE(SUBSTITUTE(SUBSTITUTE(" "&amp;TRIM(SUBSTITUTE(SUBSTITUTE(SUBSTITUTE(SUBSTITUTE(SUBSTITUTE(SUBSTITUTE(SUBSTITUTE(SUBSTITUTE(SUBSTITUTE(SUBSTITUTE(SUBSTITUTE(SUBSTITUTE(SUBSTITUTE(SUBSTITUTE(SUBSTITUTE(UPPER(TRIM(A154)),"[MEMBER]",""),"{MEMBER}",""),"[MEMBER}",""),"MEMBER]",""),"(A)",""),"""",""),"“",""),"”",""),".",""),":",""),",",""),"–"," "),"-"," "),"/"," "),"&amp;"," AND "))&amp;" "," THE "," ")," TOTAL "," ")," OPERATIONS "," ")))</f>
        <v/>
      </c>
      <c r="C154" s="17" t="str">
        <f aca="false">IF(A154="","",IF(ISNUMBER(MATCH(B154,Excluded!$E$2:$E$19,0)),"Excluded (not a place)",IF(ISNUMBER(MATCH(B154,'Label Map'!$N$2:$N$2019,0)),"Auto-matched","UNMAPPED: add to Label Map")))</f>
        <v/>
      </c>
      <c r="D154" s="7" t="str">
        <f aca="false">IF(C154="Auto-matched",INDEX('Label Map'!$D$2:$D$2019,MATCH(B154,'Label Map'!$N$2:$N$2019,0)),"")</f>
        <v/>
      </c>
      <c r="E154" s="7" t="str">
        <f aca="false">IF(D154="","",IF(INDEX(Hierarchy!$B$2:$B$1295,MATCH(D154,Hierarchy!$A$2:$A$1295,0))="","",INDEX(Hierarchy!$B$2:$B$1295,MATCH(D154,Hierarchy!$A$2:$A$1295,0))))</f>
        <v/>
      </c>
      <c r="F154" s="7" t="str">
        <f aca="false">IF(D154="","",IF(INDEX(Hierarchy!$D$2:$D$1295,MATCH(D154,Hierarchy!$A$2:$A$1295,0))="","",INDEX(Hierarchy!$D$2:$D$1295,MATCH(D154,Hierarchy!$A$2:$A$1295,0))))</f>
        <v/>
      </c>
      <c r="G154" s="7" t="str">
        <f aca="false">IF(D154="","",IF(INDEX(Hierarchy!$E$2:$E$1295,MATCH(D154,Hierarchy!$A$2:$A$1295,0))="","",INDEX(Hierarchy!$E$2:$E$1295,MATCH(D154,Hierarchy!$A$2:$A$1295,0))))</f>
        <v/>
      </c>
      <c r="H154" s="7" t="str">
        <f aca="false">IF(D154="","",IF(INDEX(Hierarchy!$F$2:$F$1295,MATCH(D154,Hierarchy!$A$2:$A$1295,0))="","",INDEX(Hierarchy!$F$2:$F$1295,MATCH(D154,Hierarchy!$A$2:$A$1295,0))))</f>
        <v/>
      </c>
      <c r="I154" s="7" t="str">
        <f aca="false">IF(D154="","",IF(INDEX(Hierarchy!$H$2:$H$1295,MATCH(D154,Hierarchy!$A$2:$A$1295,0))="","",INDEX(Hierarchy!$H$2:$H$1295,MATCH(D154,Hierarchy!$A$2:$A$1295,0))))</f>
        <v/>
      </c>
    </row>
    <row r="155" customFormat="false" ht="15" hidden="false" customHeight="false" outlineLevel="0" collapsed="false">
      <c r="A155" s="19"/>
      <c r="B155" s="7" t="str">
        <f aca="false">IF(A155="","",TRIM(SUBSTITUTE(SUBSTITUTE(SUBSTITUTE(" "&amp;TRIM(SUBSTITUTE(SUBSTITUTE(SUBSTITUTE(SUBSTITUTE(SUBSTITUTE(SUBSTITUTE(SUBSTITUTE(SUBSTITUTE(SUBSTITUTE(SUBSTITUTE(SUBSTITUTE(SUBSTITUTE(SUBSTITUTE(SUBSTITUTE(SUBSTITUTE(UPPER(TRIM(A155)),"[MEMBER]",""),"{MEMBER}",""),"[MEMBER}",""),"MEMBER]",""),"(A)",""),"""",""),"“",""),"”",""),".",""),":",""),",",""),"–"," "),"-"," "),"/"," "),"&amp;"," AND "))&amp;" "," THE "," ")," TOTAL "," ")," OPERATIONS "," ")))</f>
        <v/>
      </c>
      <c r="C155" s="17" t="str">
        <f aca="false">IF(A155="","",IF(ISNUMBER(MATCH(B155,Excluded!$E$2:$E$19,0)),"Excluded (not a place)",IF(ISNUMBER(MATCH(B155,'Label Map'!$N$2:$N$2019,0)),"Auto-matched","UNMAPPED: add to Label Map")))</f>
        <v/>
      </c>
      <c r="D155" s="7" t="str">
        <f aca="false">IF(C155="Auto-matched",INDEX('Label Map'!$D$2:$D$2019,MATCH(B155,'Label Map'!$N$2:$N$2019,0)),"")</f>
        <v/>
      </c>
      <c r="E155" s="7" t="str">
        <f aca="false">IF(D155="","",IF(INDEX(Hierarchy!$B$2:$B$1295,MATCH(D155,Hierarchy!$A$2:$A$1295,0))="","",INDEX(Hierarchy!$B$2:$B$1295,MATCH(D155,Hierarchy!$A$2:$A$1295,0))))</f>
        <v/>
      </c>
      <c r="F155" s="7" t="str">
        <f aca="false">IF(D155="","",IF(INDEX(Hierarchy!$D$2:$D$1295,MATCH(D155,Hierarchy!$A$2:$A$1295,0))="","",INDEX(Hierarchy!$D$2:$D$1295,MATCH(D155,Hierarchy!$A$2:$A$1295,0))))</f>
        <v/>
      </c>
      <c r="G155" s="7" t="str">
        <f aca="false">IF(D155="","",IF(INDEX(Hierarchy!$E$2:$E$1295,MATCH(D155,Hierarchy!$A$2:$A$1295,0))="","",INDEX(Hierarchy!$E$2:$E$1295,MATCH(D155,Hierarchy!$A$2:$A$1295,0))))</f>
        <v/>
      </c>
      <c r="H155" s="7" t="str">
        <f aca="false">IF(D155="","",IF(INDEX(Hierarchy!$F$2:$F$1295,MATCH(D155,Hierarchy!$A$2:$A$1295,0))="","",INDEX(Hierarchy!$F$2:$F$1295,MATCH(D155,Hierarchy!$A$2:$A$1295,0))))</f>
        <v/>
      </c>
      <c r="I155" s="7" t="str">
        <f aca="false">IF(D155="","",IF(INDEX(Hierarchy!$H$2:$H$1295,MATCH(D155,Hierarchy!$A$2:$A$1295,0))="","",INDEX(Hierarchy!$H$2:$H$1295,MATCH(D155,Hierarchy!$A$2:$A$1295,0))))</f>
        <v/>
      </c>
    </row>
    <row r="156" customFormat="false" ht="15" hidden="false" customHeight="false" outlineLevel="0" collapsed="false">
      <c r="A156" s="19"/>
      <c r="B156" s="7" t="str">
        <f aca="false">IF(A156="","",TRIM(SUBSTITUTE(SUBSTITUTE(SUBSTITUTE(" "&amp;TRIM(SUBSTITUTE(SUBSTITUTE(SUBSTITUTE(SUBSTITUTE(SUBSTITUTE(SUBSTITUTE(SUBSTITUTE(SUBSTITUTE(SUBSTITUTE(SUBSTITUTE(SUBSTITUTE(SUBSTITUTE(SUBSTITUTE(SUBSTITUTE(SUBSTITUTE(UPPER(TRIM(A156)),"[MEMBER]",""),"{MEMBER}",""),"[MEMBER}",""),"MEMBER]",""),"(A)",""),"""",""),"“",""),"”",""),".",""),":",""),",",""),"–"," "),"-"," "),"/"," "),"&amp;"," AND "))&amp;" "," THE "," ")," TOTAL "," ")," OPERATIONS "," ")))</f>
        <v/>
      </c>
      <c r="C156" s="17" t="str">
        <f aca="false">IF(A156="","",IF(ISNUMBER(MATCH(B156,Excluded!$E$2:$E$19,0)),"Excluded (not a place)",IF(ISNUMBER(MATCH(B156,'Label Map'!$N$2:$N$2019,0)),"Auto-matched","UNMAPPED: add to Label Map")))</f>
        <v/>
      </c>
      <c r="D156" s="7" t="str">
        <f aca="false">IF(C156="Auto-matched",INDEX('Label Map'!$D$2:$D$2019,MATCH(B156,'Label Map'!$N$2:$N$2019,0)),"")</f>
        <v/>
      </c>
      <c r="E156" s="7" t="str">
        <f aca="false">IF(D156="","",IF(INDEX(Hierarchy!$B$2:$B$1295,MATCH(D156,Hierarchy!$A$2:$A$1295,0))="","",INDEX(Hierarchy!$B$2:$B$1295,MATCH(D156,Hierarchy!$A$2:$A$1295,0))))</f>
        <v/>
      </c>
      <c r="F156" s="7" t="str">
        <f aca="false">IF(D156="","",IF(INDEX(Hierarchy!$D$2:$D$1295,MATCH(D156,Hierarchy!$A$2:$A$1295,0))="","",INDEX(Hierarchy!$D$2:$D$1295,MATCH(D156,Hierarchy!$A$2:$A$1295,0))))</f>
        <v/>
      </c>
      <c r="G156" s="7" t="str">
        <f aca="false">IF(D156="","",IF(INDEX(Hierarchy!$E$2:$E$1295,MATCH(D156,Hierarchy!$A$2:$A$1295,0))="","",INDEX(Hierarchy!$E$2:$E$1295,MATCH(D156,Hierarchy!$A$2:$A$1295,0))))</f>
        <v/>
      </c>
      <c r="H156" s="7" t="str">
        <f aca="false">IF(D156="","",IF(INDEX(Hierarchy!$F$2:$F$1295,MATCH(D156,Hierarchy!$A$2:$A$1295,0))="","",INDEX(Hierarchy!$F$2:$F$1295,MATCH(D156,Hierarchy!$A$2:$A$1295,0))))</f>
        <v/>
      </c>
      <c r="I156" s="7" t="str">
        <f aca="false">IF(D156="","",IF(INDEX(Hierarchy!$H$2:$H$1295,MATCH(D156,Hierarchy!$A$2:$A$1295,0))="","",INDEX(Hierarchy!$H$2:$H$1295,MATCH(D156,Hierarchy!$A$2:$A$1295,0))))</f>
        <v/>
      </c>
    </row>
    <row r="157" customFormat="false" ht="15" hidden="false" customHeight="false" outlineLevel="0" collapsed="false">
      <c r="A157" s="19"/>
      <c r="B157" s="7" t="str">
        <f aca="false">IF(A157="","",TRIM(SUBSTITUTE(SUBSTITUTE(SUBSTITUTE(" "&amp;TRIM(SUBSTITUTE(SUBSTITUTE(SUBSTITUTE(SUBSTITUTE(SUBSTITUTE(SUBSTITUTE(SUBSTITUTE(SUBSTITUTE(SUBSTITUTE(SUBSTITUTE(SUBSTITUTE(SUBSTITUTE(SUBSTITUTE(SUBSTITUTE(SUBSTITUTE(UPPER(TRIM(A157)),"[MEMBER]",""),"{MEMBER}",""),"[MEMBER}",""),"MEMBER]",""),"(A)",""),"""",""),"“",""),"”",""),".",""),":",""),",",""),"–"," "),"-"," "),"/"," "),"&amp;"," AND "))&amp;" "," THE "," ")," TOTAL "," ")," OPERATIONS "," ")))</f>
        <v/>
      </c>
      <c r="C157" s="17" t="str">
        <f aca="false">IF(A157="","",IF(ISNUMBER(MATCH(B157,Excluded!$E$2:$E$19,0)),"Excluded (not a place)",IF(ISNUMBER(MATCH(B157,'Label Map'!$N$2:$N$2019,0)),"Auto-matched","UNMAPPED: add to Label Map")))</f>
        <v/>
      </c>
      <c r="D157" s="7" t="str">
        <f aca="false">IF(C157="Auto-matched",INDEX('Label Map'!$D$2:$D$2019,MATCH(B157,'Label Map'!$N$2:$N$2019,0)),"")</f>
        <v/>
      </c>
      <c r="E157" s="7" t="str">
        <f aca="false">IF(D157="","",IF(INDEX(Hierarchy!$B$2:$B$1295,MATCH(D157,Hierarchy!$A$2:$A$1295,0))="","",INDEX(Hierarchy!$B$2:$B$1295,MATCH(D157,Hierarchy!$A$2:$A$1295,0))))</f>
        <v/>
      </c>
      <c r="F157" s="7" t="str">
        <f aca="false">IF(D157="","",IF(INDEX(Hierarchy!$D$2:$D$1295,MATCH(D157,Hierarchy!$A$2:$A$1295,0))="","",INDEX(Hierarchy!$D$2:$D$1295,MATCH(D157,Hierarchy!$A$2:$A$1295,0))))</f>
        <v/>
      </c>
      <c r="G157" s="7" t="str">
        <f aca="false">IF(D157="","",IF(INDEX(Hierarchy!$E$2:$E$1295,MATCH(D157,Hierarchy!$A$2:$A$1295,0))="","",INDEX(Hierarchy!$E$2:$E$1295,MATCH(D157,Hierarchy!$A$2:$A$1295,0))))</f>
        <v/>
      </c>
      <c r="H157" s="7" t="str">
        <f aca="false">IF(D157="","",IF(INDEX(Hierarchy!$F$2:$F$1295,MATCH(D157,Hierarchy!$A$2:$A$1295,0))="","",INDEX(Hierarchy!$F$2:$F$1295,MATCH(D157,Hierarchy!$A$2:$A$1295,0))))</f>
        <v/>
      </c>
      <c r="I157" s="7" t="str">
        <f aca="false">IF(D157="","",IF(INDEX(Hierarchy!$H$2:$H$1295,MATCH(D157,Hierarchy!$A$2:$A$1295,0))="","",INDEX(Hierarchy!$H$2:$H$1295,MATCH(D157,Hierarchy!$A$2:$A$1295,0))))</f>
        <v/>
      </c>
    </row>
    <row r="158" customFormat="false" ht="15" hidden="false" customHeight="false" outlineLevel="0" collapsed="false">
      <c r="A158" s="19"/>
      <c r="B158" s="7" t="str">
        <f aca="false">IF(A158="","",TRIM(SUBSTITUTE(SUBSTITUTE(SUBSTITUTE(" "&amp;TRIM(SUBSTITUTE(SUBSTITUTE(SUBSTITUTE(SUBSTITUTE(SUBSTITUTE(SUBSTITUTE(SUBSTITUTE(SUBSTITUTE(SUBSTITUTE(SUBSTITUTE(SUBSTITUTE(SUBSTITUTE(SUBSTITUTE(SUBSTITUTE(SUBSTITUTE(UPPER(TRIM(A158)),"[MEMBER]",""),"{MEMBER}",""),"[MEMBER}",""),"MEMBER]",""),"(A)",""),"""",""),"“",""),"”",""),".",""),":",""),",",""),"–"," "),"-"," "),"/"," "),"&amp;"," AND "))&amp;" "," THE "," ")," TOTAL "," ")," OPERATIONS "," ")))</f>
        <v/>
      </c>
      <c r="C158" s="17" t="str">
        <f aca="false">IF(A158="","",IF(ISNUMBER(MATCH(B158,Excluded!$E$2:$E$19,0)),"Excluded (not a place)",IF(ISNUMBER(MATCH(B158,'Label Map'!$N$2:$N$2019,0)),"Auto-matched","UNMAPPED: add to Label Map")))</f>
        <v/>
      </c>
      <c r="D158" s="7" t="str">
        <f aca="false">IF(C158="Auto-matched",INDEX('Label Map'!$D$2:$D$2019,MATCH(B158,'Label Map'!$N$2:$N$2019,0)),"")</f>
        <v/>
      </c>
      <c r="E158" s="7" t="str">
        <f aca="false">IF(D158="","",IF(INDEX(Hierarchy!$B$2:$B$1295,MATCH(D158,Hierarchy!$A$2:$A$1295,0))="","",INDEX(Hierarchy!$B$2:$B$1295,MATCH(D158,Hierarchy!$A$2:$A$1295,0))))</f>
        <v/>
      </c>
      <c r="F158" s="7" t="str">
        <f aca="false">IF(D158="","",IF(INDEX(Hierarchy!$D$2:$D$1295,MATCH(D158,Hierarchy!$A$2:$A$1295,0))="","",INDEX(Hierarchy!$D$2:$D$1295,MATCH(D158,Hierarchy!$A$2:$A$1295,0))))</f>
        <v/>
      </c>
      <c r="G158" s="7" t="str">
        <f aca="false">IF(D158="","",IF(INDEX(Hierarchy!$E$2:$E$1295,MATCH(D158,Hierarchy!$A$2:$A$1295,0))="","",INDEX(Hierarchy!$E$2:$E$1295,MATCH(D158,Hierarchy!$A$2:$A$1295,0))))</f>
        <v/>
      </c>
      <c r="H158" s="7" t="str">
        <f aca="false">IF(D158="","",IF(INDEX(Hierarchy!$F$2:$F$1295,MATCH(D158,Hierarchy!$A$2:$A$1295,0))="","",INDEX(Hierarchy!$F$2:$F$1295,MATCH(D158,Hierarchy!$A$2:$A$1295,0))))</f>
        <v/>
      </c>
      <c r="I158" s="7" t="str">
        <f aca="false">IF(D158="","",IF(INDEX(Hierarchy!$H$2:$H$1295,MATCH(D158,Hierarchy!$A$2:$A$1295,0))="","",INDEX(Hierarchy!$H$2:$H$1295,MATCH(D158,Hierarchy!$A$2:$A$1295,0))))</f>
        <v/>
      </c>
    </row>
    <row r="159" customFormat="false" ht="15" hidden="false" customHeight="false" outlineLevel="0" collapsed="false">
      <c r="A159" s="19"/>
      <c r="B159" s="7" t="str">
        <f aca="false">IF(A159="","",TRIM(SUBSTITUTE(SUBSTITUTE(SUBSTITUTE(" "&amp;TRIM(SUBSTITUTE(SUBSTITUTE(SUBSTITUTE(SUBSTITUTE(SUBSTITUTE(SUBSTITUTE(SUBSTITUTE(SUBSTITUTE(SUBSTITUTE(SUBSTITUTE(SUBSTITUTE(SUBSTITUTE(SUBSTITUTE(SUBSTITUTE(SUBSTITUTE(UPPER(TRIM(A159)),"[MEMBER]",""),"{MEMBER}",""),"[MEMBER}",""),"MEMBER]",""),"(A)",""),"""",""),"“",""),"”",""),".",""),":",""),",",""),"–"," "),"-"," "),"/"," "),"&amp;"," AND "))&amp;" "," THE "," ")," TOTAL "," ")," OPERATIONS "," ")))</f>
        <v/>
      </c>
      <c r="C159" s="17" t="str">
        <f aca="false">IF(A159="","",IF(ISNUMBER(MATCH(B159,Excluded!$E$2:$E$19,0)),"Excluded (not a place)",IF(ISNUMBER(MATCH(B159,'Label Map'!$N$2:$N$2019,0)),"Auto-matched","UNMAPPED: add to Label Map")))</f>
        <v/>
      </c>
      <c r="D159" s="7" t="str">
        <f aca="false">IF(C159="Auto-matched",INDEX('Label Map'!$D$2:$D$2019,MATCH(B159,'Label Map'!$N$2:$N$2019,0)),"")</f>
        <v/>
      </c>
      <c r="E159" s="7" t="str">
        <f aca="false">IF(D159="","",IF(INDEX(Hierarchy!$B$2:$B$1295,MATCH(D159,Hierarchy!$A$2:$A$1295,0))="","",INDEX(Hierarchy!$B$2:$B$1295,MATCH(D159,Hierarchy!$A$2:$A$1295,0))))</f>
        <v/>
      </c>
      <c r="F159" s="7" t="str">
        <f aca="false">IF(D159="","",IF(INDEX(Hierarchy!$D$2:$D$1295,MATCH(D159,Hierarchy!$A$2:$A$1295,0))="","",INDEX(Hierarchy!$D$2:$D$1295,MATCH(D159,Hierarchy!$A$2:$A$1295,0))))</f>
        <v/>
      </c>
      <c r="G159" s="7" t="str">
        <f aca="false">IF(D159="","",IF(INDEX(Hierarchy!$E$2:$E$1295,MATCH(D159,Hierarchy!$A$2:$A$1295,0))="","",INDEX(Hierarchy!$E$2:$E$1295,MATCH(D159,Hierarchy!$A$2:$A$1295,0))))</f>
        <v/>
      </c>
      <c r="H159" s="7" t="str">
        <f aca="false">IF(D159="","",IF(INDEX(Hierarchy!$F$2:$F$1295,MATCH(D159,Hierarchy!$A$2:$A$1295,0))="","",INDEX(Hierarchy!$F$2:$F$1295,MATCH(D159,Hierarchy!$A$2:$A$1295,0))))</f>
        <v/>
      </c>
      <c r="I159" s="7" t="str">
        <f aca="false">IF(D159="","",IF(INDEX(Hierarchy!$H$2:$H$1295,MATCH(D159,Hierarchy!$A$2:$A$1295,0))="","",INDEX(Hierarchy!$H$2:$H$1295,MATCH(D159,Hierarchy!$A$2:$A$1295,0))))</f>
        <v/>
      </c>
    </row>
    <row r="160" customFormat="false" ht="15" hidden="false" customHeight="false" outlineLevel="0" collapsed="false">
      <c r="A160" s="19"/>
      <c r="B160" s="7" t="str">
        <f aca="false">IF(A160="","",TRIM(SUBSTITUTE(SUBSTITUTE(SUBSTITUTE(" "&amp;TRIM(SUBSTITUTE(SUBSTITUTE(SUBSTITUTE(SUBSTITUTE(SUBSTITUTE(SUBSTITUTE(SUBSTITUTE(SUBSTITUTE(SUBSTITUTE(SUBSTITUTE(SUBSTITUTE(SUBSTITUTE(SUBSTITUTE(SUBSTITUTE(SUBSTITUTE(UPPER(TRIM(A160)),"[MEMBER]",""),"{MEMBER}",""),"[MEMBER}",""),"MEMBER]",""),"(A)",""),"""",""),"“",""),"”",""),".",""),":",""),",",""),"–"," "),"-"," "),"/"," "),"&amp;"," AND "))&amp;" "," THE "," ")," TOTAL "," ")," OPERATIONS "," ")))</f>
        <v/>
      </c>
      <c r="C160" s="17" t="str">
        <f aca="false">IF(A160="","",IF(ISNUMBER(MATCH(B160,Excluded!$E$2:$E$19,0)),"Excluded (not a place)",IF(ISNUMBER(MATCH(B160,'Label Map'!$N$2:$N$2019,0)),"Auto-matched","UNMAPPED: add to Label Map")))</f>
        <v/>
      </c>
      <c r="D160" s="7" t="str">
        <f aca="false">IF(C160="Auto-matched",INDEX('Label Map'!$D$2:$D$2019,MATCH(B160,'Label Map'!$N$2:$N$2019,0)),"")</f>
        <v/>
      </c>
      <c r="E160" s="7" t="str">
        <f aca="false">IF(D160="","",IF(INDEX(Hierarchy!$B$2:$B$1295,MATCH(D160,Hierarchy!$A$2:$A$1295,0))="","",INDEX(Hierarchy!$B$2:$B$1295,MATCH(D160,Hierarchy!$A$2:$A$1295,0))))</f>
        <v/>
      </c>
      <c r="F160" s="7" t="str">
        <f aca="false">IF(D160="","",IF(INDEX(Hierarchy!$D$2:$D$1295,MATCH(D160,Hierarchy!$A$2:$A$1295,0))="","",INDEX(Hierarchy!$D$2:$D$1295,MATCH(D160,Hierarchy!$A$2:$A$1295,0))))</f>
        <v/>
      </c>
      <c r="G160" s="7" t="str">
        <f aca="false">IF(D160="","",IF(INDEX(Hierarchy!$E$2:$E$1295,MATCH(D160,Hierarchy!$A$2:$A$1295,0))="","",INDEX(Hierarchy!$E$2:$E$1295,MATCH(D160,Hierarchy!$A$2:$A$1295,0))))</f>
        <v/>
      </c>
      <c r="H160" s="7" t="str">
        <f aca="false">IF(D160="","",IF(INDEX(Hierarchy!$F$2:$F$1295,MATCH(D160,Hierarchy!$A$2:$A$1295,0))="","",INDEX(Hierarchy!$F$2:$F$1295,MATCH(D160,Hierarchy!$A$2:$A$1295,0))))</f>
        <v/>
      </c>
      <c r="I160" s="7" t="str">
        <f aca="false">IF(D160="","",IF(INDEX(Hierarchy!$H$2:$H$1295,MATCH(D160,Hierarchy!$A$2:$A$1295,0))="","",INDEX(Hierarchy!$H$2:$H$1295,MATCH(D160,Hierarchy!$A$2:$A$1295,0))))</f>
        <v/>
      </c>
    </row>
    <row r="161" customFormat="false" ht="15" hidden="false" customHeight="false" outlineLevel="0" collapsed="false">
      <c r="A161" s="19"/>
      <c r="B161" s="7" t="str">
        <f aca="false">IF(A161="","",TRIM(SUBSTITUTE(SUBSTITUTE(SUBSTITUTE(" "&amp;TRIM(SUBSTITUTE(SUBSTITUTE(SUBSTITUTE(SUBSTITUTE(SUBSTITUTE(SUBSTITUTE(SUBSTITUTE(SUBSTITUTE(SUBSTITUTE(SUBSTITUTE(SUBSTITUTE(SUBSTITUTE(SUBSTITUTE(SUBSTITUTE(SUBSTITUTE(UPPER(TRIM(A161)),"[MEMBER]",""),"{MEMBER}",""),"[MEMBER}",""),"MEMBER]",""),"(A)",""),"""",""),"“",""),"”",""),".",""),":",""),",",""),"–"," "),"-"," "),"/"," "),"&amp;"," AND "))&amp;" "," THE "," ")," TOTAL "," ")," OPERATIONS "," ")))</f>
        <v/>
      </c>
      <c r="C161" s="17" t="str">
        <f aca="false">IF(A161="","",IF(ISNUMBER(MATCH(B161,Excluded!$E$2:$E$19,0)),"Excluded (not a place)",IF(ISNUMBER(MATCH(B161,'Label Map'!$N$2:$N$2019,0)),"Auto-matched","UNMAPPED: add to Label Map")))</f>
        <v/>
      </c>
      <c r="D161" s="7" t="str">
        <f aca="false">IF(C161="Auto-matched",INDEX('Label Map'!$D$2:$D$2019,MATCH(B161,'Label Map'!$N$2:$N$2019,0)),"")</f>
        <v/>
      </c>
      <c r="E161" s="7" t="str">
        <f aca="false">IF(D161="","",IF(INDEX(Hierarchy!$B$2:$B$1295,MATCH(D161,Hierarchy!$A$2:$A$1295,0))="","",INDEX(Hierarchy!$B$2:$B$1295,MATCH(D161,Hierarchy!$A$2:$A$1295,0))))</f>
        <v/>
      </c>
      <c r="F161" s="7" t="str">
        <f aca="false">IF(D161="","",IF(INDEX(Hierarchy!$D$2:$D$1295,MATCH(D161,Hierarchy!$A$2:$A$1295,0))="","",INDEX(Hierarchy!$D$2:$D$1295,MATCH(D161,Hierarchy!$A$2:$A$1295,0))))</f>
        <v/>
      </c>
      <c r="G161" s="7" t="str">
        <f aca="false">IF(D161="","",IF(INDEX(Hierarchy!$E$2:$E$1295,MATCH(D161,Hierarchy!$A$2:$A$1295,0))="","",INDEX(Hierarchy!$E$2:$E$1295,MATCH(D161,Hierarchy!$A$2:$A$1295,0))))</f>
        <v/>
      </c>
      <c r="H161" s="7" t="str">
        <f aca="false">IF(D161="","",IF(INDEX(Hierarchy!$F$2:$F$1295,MATCH(D161,Hierarchy!$A$2:$A$1295,0))="","",INDEX(Hierarchy!$F$2:$F$1295,MATCH(D161,Hierarchy!$A$2:$A$1295,0))))</f>
        <v/>
      </c>
      <c r="I161" s="7" t="str">
        <f aca="false">IF(D161="","",IF(INDEX(Hierarchy!$H$2:$H$1295,MATCH(D161,Hierarchy!$A$2:$A$1295,0))="","",INDEX(Hierarchy!$H$2:$H$1295,MATCH(D161,Hierarchy!$A$2:$A$1295,0))))</f>
        <v/>
      </c>
    </row>
    <row r="162" customFormat="false" ht="15" hidden="false" customHeight="false" outlineLevel="0" collapsed="false">
      <c r="A162" s="19"/>
      <c r="B162" s="7" t="str">
        <f aca="false">IF(A162="","",TRIM(SUBSTITUTE(SUBSTITUTE(SUBSTITUTE(" "&amp;TRIM(SUBSTITUTE(SUBSTITUTE(SUBSTITUTE(SUBSTITUTE(SUBSTITUTE(SUBSTITUTE(SUBSTITUTE(SUBSTITUTE(SUBSTITUTE(SUBSTITUTE(SUBSTITUTE(SUBSTITUTE(SUBSTITUTE(SUBSTITUTE(SUBSTITUTE(UPPER(TRIM(A162)),"[MEMBER]",""),"{MEMBER}",""),"[MEMBER}",""),"MEMBER]",""),"(A)",""),"""",""),"“",""),"”",""),".",""),":",""),",",""),"–"," "),"-"," "),"/"," "),"&amp;"," AND "))&amp;" "," THE "," ")," TOTAL "," ")," OPERATIONS "," ")))</f>
        <v/>
      </c>
      <c r="C162" s="17" t="str">
        <f aca="false">IF(A162="","",IF(ISNUMBER(MATCH(B162,Excluded!$E$2:$E$19,0)),"Excluded (not a place)",IF(ISNUMBER(MATCH(B162,'Label Map'!$N$2:$N$2019,0)),"Auto-matched","UNMAPPED: add to Label Map")))</f>
        <v/>
      </c>
      <c r="D162" s="7" t="str">
        <f aca="false">IF(C162="Auto-matched",INDEX('Label Map'!$D$2:$D$2019,MATCH(B162,'Label Map'!$N$2:$N$2019,0)),"")</f>
        <v/>
      </c>
      <c r="E162" s="7" t="str">
        <f aca="false">IF(D162="","",IF(INDEX(Hierarchy!$B$2:$B$1295,MATCH(D162,Hierarchy!$A$2:$A$1295,0))="","",INDEX(Hierarchy!$B$2:$B$1295,MATCH(D162,Hierarchy!$A$2:$A$1295,0))))</f>
        <v/>
      </c>
      <c r="F162" s="7" t="str">
        <f aca="false">IF(D162="","",IF(INDEX(Hierarchy!$D$2:$D$1295,MATCH(D162,Hierarchy!$A$2:$A$1295,0))="","",INDEX(Hierarchy!$D$2:$D$1295,MATCH(D162,Hierarchy!$A$2:$A$1295,0))))</f>
        <v/>
      </c>
      <c r="G162" s="7" t="str">
        <f aca="false">IF(D162="","",IF(INDEX(Hierarchy!$E$2:$E$1295,MATCH(D162,Hierarchy!$A$2:$A$1295,0))="","",INDEX(Hierarchy!$E$2:$E$1295,MATCH(D162,Hierarchy!$A$2:$A$1295,0))))</f>
        <v/>
      </c>
      <c r="H162" s="7" t="str">
        <f aca="false">IF(D162="","",IF(INDEX(Hierarchy!$F$2:$F$1295,MATCH(D162,Hierarchy!$A$2:$A$1295,0))="","",INDEX(Hierarchy!$F$2:$F$1295,MATCH(D162,Hierarchy!$A$2:$A$1295,0))))</f>
        <v/>
      </c>
      <c r="I162" s="7" t="str">
        <f aca="false">IF(D162="","",IF(INDEX(Hierarchy!$H$2:$H$1295,MATCH(D162,Hierarchy!$A$2:$A$1295,0))="","",INDEX(Hierarchy!$H$2:$H$1295,MATCH(D162,Hierarchy!$A$2:$A$1295,0))))</f>
        <v/>
      </c>
    </row>
    <row r="163" customFormat="false" ht="15" hidden="false" customHeight="false" outlineLevel="0" collapsed="false">
      <c r="A163" s="19"/>
      <c r="B163" s="7" t="str">
        <f aca="false">IF(A163="","",TRIM(SUBSTITUTE(SUBSTITUTE(SUBSTITUTE(" "&amp;TRIM(SUBSTITUTE(SUBSTITUTE(SUBSTITUTE(SUBSTITUTE(SUBSTITUTE(SUBSTITUTE(SUBSTITUTE(SUBSTITUTE(SUBSTITUTE(SUBSTITUTE(SUBSTITUTE(SUBSTITUTE(SUBSTITUTE(SUBSTITUTE(SUBSTITUTE(UPPER(TRIM(A163)),"[MEMBER]",""),"{MEMBER}",""),"[MEMBER}",""),"MEMBER]",""),"(A)",""),"""",""),"“",""),"”",""),".",""),":",""),",",""),"–"," "),"-"," "),"/"," "),"&amp;"," AND "))&amp;" "," THE "," ")," TOTAL "," ")," OPERATIONS "," ")))</f>
        <v/>
      </c>
      <c r="C163" s="17" t="str">
        <f aca="false">IF(A163="","",IF(ISNUMBER(MATCH(B163,Excluded!$E$2:$E$19,0)),"Excluded (not a place)",IF(ISNUMBER(MATCH(B163,'Label Map'!$N$2:$N$2019,0)),"Auto-matched","UNMAPPED: add to Label Map")))</f>
        <v/>
      </c>
      <c r="D163" s="7" t="str">
        <f aca="false">IF(C163="Auto-matched",INDEX('Label Map'!$D$2:$D$2019,MATCH(B163,'Label Map'!$N$2:$N$2019,0)),"")</f>
        <v/>
      </c>
      <c r="E163" s="7" t="str">
        <f aca="false">IF(D163="","",IF(INDEX(Hierarchy!$B$2:$B$1295,MATCH(D163,Hierarchy!$A$2:$A$1295,0))="","",INDEX(Hierarchy!$B$2:$B$1295,MATCH(D163,Hierarchy!$A$2:$A$1295,0))))</f>
        <v/>
      </c>
      <c r="F163" s="7" t="str">
        <f aca="false">IF(D163="","",IF(INDEX(Hierarchy!$D$2:$D$1295,MATCH(D163,Hierarchy!$A$2:$A$1295,0))="","",INDEX(Hierarchy!$D$2:$D$1295,MATCH(D163,Hierarchy!$A$2:$A$1295,0))))</f>
        <v/>
      </c>
      <c r="G163" s="7" t="str">
        <f aca="false">IF(D163="","",IF(INDEX(Hierarchy!$E$2:$E$1295,MATCH(D163,Hierarchy!$A$2:$A$1295,0))="","",INDEX(Hierarchy!$E$2:$E$1295,MATCH(D163,Hierarchy!$A$2:$A$1295,0))))</f>
        <v/>
      </c>
      <c r="H163" s="7" t="str">
        <f aca="false">IF(D163="","",IF(INDEX(Hierarchy!$F$2:$F$1295,MATCH(D163,Hierarchy!$A$2:$A$1295,0))="","",INDEX(Hierarchy!$F$2:$F$1295,MATCH(D163,Hierarchy!$A$2:$A$1295,0))))</f>
        <v/>
      </c>
      <c r="I163" s="7" t="str">
        <f aca="false">IF(D163="","",IF(INDEX(Hierarchy!$H$2:$H$1295,MATCH(D163,Hierarchy!$A$2:$A$1295,0))="","",INDEX(Hierarchy!$H$2:$H$1295,MATCH(D163,Hierarchy!$A$2:$A$1295,0))))</f>
        <v/>
      </c>
    </row>
    <row r="164" customFormat="false" ht="15" hidden="false" customHeight="false" outlineLevel="0" collapsed="false">
      <c r="A164" s="19"/>
      <c r="B164" s="7" t="str">
        <f aca="false">IF(A164="","",TRIM(SUBSTITUTE(SUBSTITUTE(SUBSTITUTE(" "&amp;TRIM(SUBSTITUTE(SUBSTITUTE(SUBSTITUTE(SUBSTITUTE(SUBSTITUTE(SUBSTITUTE(SUBSTITUTE(SUBSTITUTE(SUBSTITUTE(SUBSTITUTE(SUBSTITUTE(SUBSTITUTE(SUBSTITUTE(SUBSTITUTE(SUBSTITUTE(UPPER(TRIM(A164)),"[MEMBER]",""),"{MEMBER}",""),"[MEMBER}",""),"MEMBER]",""),"(A)",""),"""",""),"“",""),"”",""),".",""),":",""),",",""),"–"," "),"-"," "),"/"," "),"&amp;"," AND "))&amp;" "," THE "," ")," TOTAL "," ")," OPERATIONS "," ")))</f>
        <v/>
      </c>
      <c r="C164" s="17" t="str">
        <f aca="false">IF(A164="","",IF(ISNUMBER(MATCH(B164,Excluded!$E$2:$E$19,0)),"Excluded (not a place)",IF(ISNUMBER(MATCH(B164,'Label Map'!$N$2:$N$2019,0)),"Auto-matched","UNMAPPED: add to Label Map")))</f>
        <v/>
      </c>
      <c r="D164" s="7" t="str">
        <f aca="false">IF(C164="Auto-matched",INDEX('Label Map'!$D$2:$D$2019,MATCH(B164,'Label Map'!$N$2:$N$2019,0)),"")</f>
        <v/>
      </c>
      <c r="E164" s="7" t="str">
        <f aca="false">IF(D164="","",IF(INDEX(Hierarchy!$B$2:$B$1295,MATCH(D164,Hierarchy!$A$2:$A$1295,0))="","",INDEX(Hierarchy!$B$2:$B$1295,MATCH(D164,Hierarchy!$A$2:$A$1295,0))))</f>
        <v/>
      </c>
      <c r="F164" s="7" t="str">
        <f aca="false">IF(D164="","",IF(INDEX(Hierarchy!$D$2:$D$1295,MATCH(D164,Hierarchy!$A$2:$A$1295,0))="","",INDEX(Hierarchy!$D$2:$D$1295,MATCH(D164,Hierarchy!$A$2:$A$1295,0))))</f>
        <v/>
      </c>
      <c r="G164" s="7" t="str">
        <f aca="false">IF(D164="","",IF(INDEX(Hierarchy!$E$2:$E$1295,MATCH(D164,Hierarchy!$A$2:$A$1295,0))="","",INDEX(Hierarchy!$E$2:$E$1295,MATCH(D164,Hierarchy!$A$2:$A$1295,0))))</f>
        <v/>
      </c>
      <c r="H164" s="7" t="str">
        <f aca="false">IF(D164="","",IF(INDEX(Hierarchy!$F$2:$F$1295,MATCH(D164,Hierarchy!$A$2:$A$1295,0))="","",INDEX(Hierarchy!$F$2:$F$1295,MATCH(D164,Hierarchy!$A$2:$A$1295,0))))</f>
        <v/>
      </c>
      <c r="I164" s="7" t="str">
        <f aca="false">IF(D164="","",IF(INDEX(Hierarchy!$H$2:$H$1295,MATCH(D164,Hierarchy!$A$2:$A$1295,0))="","",INDEX(Hierarchy!$H$2:$H$1295,MATCH(D164,Hierarchy!$A$2:$A$1295,0))))</f>
        <v/>
      </c>
    </row>
    <row r="165" customFormat="false" ht="15" hidden="false" customHeight="false" outlineLevel="0" collapsed="false">
      <c r="A165" s="19"/>
      <c r="B165" s="7" t="str">
        <f aca="false">IF(A165="","",TRIM(SUBSTITUTE(SUBSTITUTE(SUBSTITUTE(" "&amp;TRIM(SUBSTITUTE(SUBSTITUTE(SUBSTITUTE(SUBSTITUTE(SUBSTITUTE(SUBSTITUTE(SUBSTITUTE(SUBSTITUTE(SUBSTITUTE(SUBSTITUTE(SUBSTITUTE(SUBSTITUTE(SUBSTITUTE(SUBSTITUTE(SUBSTITUTE(UPPER(TRIM(A165)),"[MEMBER]",""),"{MEMBER}",""),"[MEMBER}",""),"MEMBER]",""),"(A)",""),"""",""),"“",""),"”",""),".",""),":",""),",",""),"–"," "),"-"," "),"/"," "),"&amp;"," AND "))&amp;" "," THE "," ")," TOTAL "," ")," OPERATIONS "," ")))</f>
        <v/>
      </c>
      <c r="C165" s="17" t="str">
        <f aca="false">IF(A165="","",IF(ISNUMBER(MATCH(B165,Excluded!$E$2:$E$19,0)),"Excluded (not a place)",IF(ISNUMBER(MATCH(B165,'Label Map'!$N$2:$N$2019,0)),"Auto-matched","UNMAPPED: add to Label Map")))</f>
        <v/>
      </c>
      <c r="D165" s="7" t="str">
        <f aca="false">IF(C165="Auto-matched",INDEX('Label Map'!$D$2:$D$2019,MATCH(B165,'Label Map'!$N$2:$N$2019,0)),"")</f>
        <v/>
      </c>
      <c r="E165" s="7" t="str">
        <f aca="false">IF(D165="","",IF(INDEX(Hierarchy!$B$2:$B$1295,MATCH(D165,Hierarchy!$A$2:$A$1295,0))="","",INDEX(Hierarchy!$B$2:$B$1295,MATCH(D165,Hierarchy!$A$2:$A$1295,0))))</f>
        <v/>
      </c>
      <c r="F165" s="7" t="str">
        <f aca="false">IF(D165="","",IF(INDEX(Hierarchy!$D$2:$D$1295,MATCH(D165,Hierarchy!$A$2:$A$1295,0))="","",INDEX(Hierarchy!$D$2:$D$1295,MATCH(D165,Hierarchy!$A$2:$A$1295,0))))</f>
        <v/>
      </c>
      <c r="G165" s="7" t="str">
        <f aca="false">IF(D165="","",IF(INDEX(Hierarchy!$E$2:$E$1295,MATCH(D165,Hierarchy!$A$2:$A$1295,0))="","",INDEX(Hierarchy!$E$2:$E$1295,MATCH(D165,Hierarchy!$A$2:$A$1295,0))))</f>
        <v/>
      </c>
      <c r="H165" s="7" t="str">
        <f aca="false">IF(D165="","",IF(INDEX(Hierarchy!$F$2:$F$1295,MATCH(D165,Hierarchy!$A$2:$A$1295,0))="","",INDEX(Hierarchy!$F$2:$F$1295,MATCH(D165,Hierarchy!$A$2:$A$1295,0))))</f>
        <v/>
      </c>
      <c r="I165" s="7" t="str">
        <f aca="false">IF(D165="","",IF(INDEX(Hierarchy!$H$2:$H$1295,MATCH(D165,Hierarchy!$A$2:$A$1295,0))="","",INDEX(Hierarchy!$H$2:$H$1295,MATCH(D165,Hierarchy!$A$2:$A$1295,0))))</f>
        <v/>
      </c>
    </row>
    <row r="166" customFormat="false" ht="15" hidden="false" customHeight="false" outlineLevel="0" collapsed="false">
      <c r="A166" s="19"/>
      <c r="B166" s="7" t="str">
        <f aca="false">IF(A166="","",TRIM(SUBSTITUTE(SUBSTITUTE(SUBSTITUTE(" "&amp;TRIM(SUBSTITUTE(SUBSTITUTE(SUBSTITUTE(SUBSTITUTE(SUBSTITUTE(SUBSTITUTE(SUBSTITUTE(SUBSTITUTE(SUBSTITUTE(SUBSTITUTE(SUBSTITUTE(SUBSTITUTE(SUBSTITUTE(SUBSTITUTE(SUBSTITUTE(UPPER(TRIM(A166)),"[MEMBER]",""),"{MEMBER}",""),"[MEMBER}",""),"MEMBER]",""),"(A)",""),"""",""),"“",""),"”",""),".",""),":",""),",",""),"–"," "),"-"," "),"/"," "),"&amp;"," AND "))&amp;" "," THE "," ")," TOTAL "," ")," OPERATIONS "," ")))</f>
        <v/>
      </c>
      <c r="C166" s="17" t="str">
        <f aca="false">IF(A166="","",IF(ISNUMBER(MATCH(B166,Excluded!$E$2:$E$19,0)),"Excluded (not a place)",IF(ISNUMBER(MATCH(B166,'Label Map'!$N$2:$N$2019,0)),"Auto-matched","UNMAPPED: add to Label Map")))</f>
        <v/>
      </c>
      <c r="D166" s="7" t="str">
        <f aca="false">IF(C166="Auto-matched",INDEX('Label Map'!$D$2:$D$2019,MATCH(B166,'Label Map'!$N$2:$N$2019,0)),"")</f>
        <v/>
      </c>
      <c r="E166" s="7" t="str">
        <f aca="false">IF(D166="","",IF(INDEX(Hierarchy!$B$2:$B$1295,MATCH(D166,Hierarchy!$A$2:$A$1295,0))="","",INDEX(Hierarchy!$B$2:$B$1295,MATCH(D166,Hierarchy!$A$2:$A$1295,0))))</f>
        <v/>
      </c>
      <c r="F166" s="7" t="str">
        <f aca="false">IF(D166="","",IF(INDEX(Hierarchy!$D$2:$D$1295,MATCH(D166,Hierarchy!$A$2:$A$1295,0))="","",INDEX(Hierarchy!$D$2:$D$1295,MATCH(D166,Hierarchy!$A$2:$A$1295,0))))</f>
        <v/>
      </c>
      <c r="G166" s="7" t="str">
        <f aca="false">IF(D166="","",IF(INDEX(Hierarchy!$E$2:$E$1295,MATCH(D166,Hierarchy!$A$2:$A$1295,0))="","",INDEX(Hierarchy!$E$2:$E$1295,MATCH(D166,Hierarchy!$A$2:$A$1295,0))))</f>
        <v/>
      </c>
      <c r="H166" s="7" t="str">
        <f aca="false">IF(D166="","",IF(INDEX(Hierarchy!$F$2:$F$1295,MATCH(D166,Hierarchy!$A$2:$A$1295,0))="","",INDEX(Hierarchy!$F$2:$F$1295,MATCH(D166,Hierarchy!$A$2:$A$1295,0))))</f>
        <v/>
      </c>
      <c r="I166" s="7" t="str">
        <f aca="false">IF(D166="","",IF(INDEX(Hierarchy!$H$2:$H$1295,MATCH(D166,Hierarchy!$A$2:$A$1295,0))="","",INDEX(Hierarchy!$H$2:$H$1295,MATCH(D166,Hierarchy!$A$2:$A$1295,0))))</f>
        <v/>
      </c>
    </row>
    <row r="167" customFormat="false" ht="15" hidden="false" customHeight="false" outlineLevel="0" collapsed="false">
      <c r="A167" s="19"/>
      <c r="B167" s="7" t="str">
        <f aca="false">IF(A167="","",TRIM(SUBSTITUTE(SUBSTITUTE(SUBSTITUTE(" "&amp;TRIM(SUBSTITUTE(SUBSTITUTE(SUBSTITUTE(SUBSTITUTE(SUBSTITUTE(SUBSTITUTE(SUBSTITUTE(SUBSTITUTE(SUBSTITUTE(SUBSTITUTE(SUBSTITUTE(SUBSTITUTE(SUBSTITUTE(SUBSTITUTE(SUBSTITUTE(UPPER(TRIM(A167)),"[MEMBER]",""),"{MEMBER}",""),"[MEMBER}",""),"MEMBER]",""),"(A)",""),"""",""),"“",""),"”",""),".",""),":",""),",",""),"–"," "),"-"," "),"/"," "),"&amp;"," AND "))&amp;" "," THE "," ")," TOTAL "," ")," OPERATIONS "," ")))</f>
        <v/>
      </c>
      <c r="C167" s="17" t="str">
        <f aca="false">IF(A167="","",IF(ISNUMBER(MATCH(B167,Excluded!$E$2:$E$19,0)),"Excluded (not a place)",IF(ISNUMBER(MATCH(B167,'Label Map'!$N$2:$N$2019,0)),"Auto-matched","UNMAPPED: add to Label Map")))</f>
        <v/>
      </c>
      <c r="D167" s="7" t="str">
        <f aca="false">IF(C167="Auto-matched",INDEX('Label Map'!$D$2:$D$2019,MATCH(B167,'Label Map'!$N$2:$N$2019,0)),"")</f>
        <v/>
      </c>
      <c r="E167" s="7" t="str">
        <f aca="false">IF(D167="","",IF(INDEX(Hierarchy!$B$2:$B$1295,MATCH(D167,Hierarchy!$A$2:$A$1295,0))="","",INDEX(Hierarchy!$B$2:$B$1295,MATCH(D167,Hierarchy!$A$2:$A$1295,0))))</f>
        <v/>
      </c>
      <c r="F167" s="7" t="str">
        <f aca="false">IF(D167="","",IF(INDEX(Hierarchy!$D$2:$D$1295,MATCH(D167,Hierarchy!$A$2:$A$1295,0))="","",INDEX(Hierarchy!$D$2:$D$1295,MATCH(D167,Hierarchy!$A$2:$A$1295,0))))</f>
        <v/>
      </c>
      <c r="G167" s="7" t="str">
        <f aca="false">IF(D167="","",IF(INDEX(Hierarchy!$E$2:$E$1295,MATCH(D167,Hierarchy!$A$2:$A$1295,0))="","",INDEX(Hierarchy!$E$2:$E$1295,MATCH(D167,Hierarchy!$A$2:$A$1295,0))))</f>
        <v/>
      </c>
      <c r="H167" s="7" t="str">
        <f aca="false">IF(D167="","",IF(INDEX(Hierarchy!$F$2:$F$1295,MATCH(D167,Hierarchy!$A$2:$A$1295,0))="","",INDEX(Hierarchy!$F$2:$F$1295,MATCH(D167,Hierarchy!$A$2:$A$1295,0))))</f>
        <v/>
      </c>
      <c r="I167" s="7" t="str">
        <f aca="false">IF(D167="","",IF(INDEX(Hierarchy!$H$2:$H$1295,MATCH(D167,Hierarchy!$A$2:$A$1295,0))="","",INDEX(Hierarchy!$H$2:$H$1295,MATCH(D167,Hierarchy!$A$2:$A$1295,0))))</f>
        <v/>
      </c>
    </row>
    <row r="168" customFormat="false" ht="15" hidden="false" customHeight="false" outlineLevel="0" collapsed="false">
      <c r="A168" s="19"/>
      <c r="B168" s="7" t="str">
        <f aca="false">IF(A168="","",TRIM(SUBSTITUTE(SUBSTITUTE(SUBSTITUTE(" "&amp;TRIM(SUBSTITUTE(SUBSTITUTE(SUBSTITUTE(SUBSTITUTE(SUBSTITUTE(SUBSTITUTE(SUBSTITUTE(SUBSTITUTE(SUBSTITUTE(SUBSTITUTE(SUBSTITUTE(SUBSTITUTE(SUBSTITUTE(SUBSTITUTE(SUBSTITUTE(UPPER(TRIM(A168)),"[MEMBER]",""),"{MEMBER}",""),"[MEMBER}",""),"MEMBER]",""),"(A)",""),"""",""),"“",""),"”",""),".",""),":",""),",",""),"–"," "),"-"," "),"/"," "),"&amp;"," AND "))&amp;" "," THE "," ")," TOTAL "," ")," OPERATIONS "," ")))</f>
        <v/>
      </c>
      <c r="C168" s="17" t="str">
        <f aca="false">IF(A168="","",IF(ISNUMBER(MATCH(B168,Excluded!$E$2:$E$19,0)),"Excluded (not a place)",IF(ISNUMBER(MATCH(B168,'Label Map'!$N$2:$N$2019,0)),"Auto-matched","UNMAPPED: add to Label Map")))</f>
        <v/>
      </c>
      <c r="D168" s="7" t="str">
        <f aca="false">IF(C168="Auto-matched",INDEX('Label Map'!$D$2:$D$2019,MATCH(B168,'Label Map'!$N$2:$N$2019,0)),"")</f>
        <v/>
      </c>
      <c r="E168" s="7" t="str">
        <f aca="false">IF(D168="","",IF(INDEX(Hierarchy!$B$2:$B$1295,MATCH(D168,Hierarchy!$A$2:$A$1295,0))="","",INDEX(Hierarchy!$B$2:$B$1295,MATCH(D168,Hierarchy!$A$2:$A$1295,0))))</f>
        <v/>
      </c>
      <c r="F168" s="7" t="str">
        <f aca="false">IF(D168="","",IF(INDEX(Hierarchy!$D$2:$D$1295,MATCH(D168,Hierarchy!$A$2:$A$1295,0))="","",INDEX(Hierarchy!$D$2:$D$1295,MATCH(D168,Hierarchy!$A$2:$A$1295,0))))</f>
        <v/>
      </c>
      <c r="G168" s="7" t="str">
        <f aca="false">IF(D168="","",IF(INDEX(Hierarchy!$E$2:$E$1295,MATCH(D168,Hierarchy!$A$2:$A$1295,0))="","",INDEX(Hierarchy!$E$2:$E$1295,MATCH(D168,Hierarchy!$A$2:$A$1295,0))))</f>
        <v/>
      </c>
      <c r="H168" s="7" t="str">
        <f aca="false">IF(D168="","",IF(INDEX(Hierarchy!$F$2:$F$1295,MATCH(D168,Hierarchy!$A$2:$A$1295,0))="","",INDEX(Hierarchy!$F$2:$F$1295,MATCH(D168,Hierarchy!$A$2:$A$1295,0))))</f>
        <v/>
      </c>
      <c r="I168" s="7" t="str">
        <f aca="false">IF(D168="","",IF(INDEX(Hierarchy!$H$2:$H$1295,MATCH(D168,Hierarchy!$A$2:$A$1295,0))="","",INDEX(Hierarchy!$H$2:$H$1295,MATCH(D168,Hierarchy!$A$2:$A$1295,0))))</f>
        <v/>
      </c>
    </row>
    <row r="169" customFormat="false" ht="15" hidden="false" customHeight="false" outlineLevel="0" collapsed="false">
      <c r="A169" s="19"/>
      <c r="B169" s="7" t="str">
        <f aca="false">IF(A169="","",TRIM(SUBSTITUTE(SUBSTITUTE(SUBSTITUTE(" "&amp;TRIM(SUBSTITUTE(SUBSTITUTE(SUBSTITUTE(SUBSTITUTE(SUBSTITUTE(SUBSTITUTE(SUBSTITUTE(SUBSTITUTE(SUBSTITUTE(SUBSTITUTE(SUBSTITUTE(SUBSTITUTE(SUBSTITUTE(SUBSTITUTE(SUBSTITUTE(UPPER(TRIM(A169)),"[MEMBER]",""),"{MEMBER}",""),"[MEMBER}",""),"MEMBER]",""),"(A)",""),"""",""),"“",""),"”",""),".",""),":",""),",",""),"–"," "),"-"," "),"/"," "),"&amp;"," AND "))&amp;" "," THE "," ")," TOTAL "," ")," OPERATIONS "," ")))</f>
        <v/>
      </c>
      <c r="C169" s="17" t="str">
        <f aca="false">IF(A169="","",IF(ISNUMBER(MATCH(B169,Excluded!$E$2:$E$19,0)),"Excluded (not a place)",IF(ISNUMBER(MATCH(B169,'Label Map'!$N$2:$N$2019,0)),"Auto-matched","UNMAPPED: add to Label Map")))</f>
        <v/>
      </c>
      <c r="D169" s="7" t="str">
        <f aca="false">IF(C169="Auto-matched",INDEX('Label Map'!$D$2:$D$2019,MATCH(B169,'Label Map'!$N$2:$N$2019,0)),"")</f>
        <v/>
      </c>
      <c r="E169" s="7" t="str">
        <f aca="false">IF(D169="","",IF(INDEX(Hierarchy!$B$2:$B$1295,MATCH(D169,Hierarchy!$A$2:$A$1295,0))="","",INDEX(Hierarchy!$B$2:$B$1295,MATCH(D169,Hierarchy!$A$2:$A$1295,0))))</f>
        <v/>
      </c>
      <c r="F169" s="7" t="str">
        <f aca="false">IF(D169="","",IF(INDEX(Hierarchy!$D$2:$D$1295,MATCH(D169,Hierarchy!$A$2:$A$1295,0))="","",INDEX(Hierarchy!$D$2:$D$1295,MATCH(D169,Hierarchy!$A$2:$A$1295,0))))</f>
        <v/>
      </c>
      <c r="G169" s="7" t="str">
        <f aca="false">IF(D169="","",IF(INDEX(Hierarchy!$E$2:$E$1295,MATCH(D169,Hierarchy!$A$2:$A$1295,0))="","",INDEX(Hierarchy!$E$2:$E$1295,MATCH(D169,Hierarchy!$A$2:$A$1295,0))))</f>
        <v/>
      </c>
      <c r="H169" s="7" t="str">
        <f aca="false">IF(D169="","",IF(INDEX(Hierarchy!$F$2:$F$1295,MATCH(D169,Hierarchy!$A$2:$A$1295,0))="","",INDEX(Hierarchy!$F$2:$F$1295,MATCH(D169,Hierarchy!$A$2:$A$1295,0))))</f>
        <v/>
      </c>
      <c r="I169" s="7" t="str">
        <f aca="false">IF(D169="","",IF(INDEX(Hierarchy!$H$2:$H$1295,MATCH(D169,Hierarchy!$A$2:$A$1295,0))="","",INDEX(Hierarchy!$H$2:$H$1295,MATCH(D169,Hierarchy!$A$2:$A$1295,0))))</f>
        <v/>
      </c>
    </row>
    <row r="170" customFormat="false" ht="15" hidden="false" customHeight="false" outlineLevel="0" collapsed="false">
      <c r="A170" s="19"/>
      <c r="B170" s="7" t="str">
        <f aca="false">IF(A170="","",TRIM(SUBSTITUTE(SUBSTITUTE(SUBSTITUTE(" "&amp;TRIM(SUBSTITUTE(SUBSTITUTE(SUBSTITUTE(SUBSTITUTE(SUBSTITUTE(SUBSTITUTE(SUBSTITUTE(SUBSTITUTE(SUBSTITUTE(SUBSTITUTE(SUBSTITUTE(SUBSTITUTE(SUBSTITUTE(SUBSTITUTE(SUBSTITUTE(UPPER(TRIM(A170)),"[MEMBER]",""),"{MEMBER}",""),"[MEMBER}",""),"MEMBER]",""),"(A)",""),"""",""),"“",""),"”",""),".",""),":",""),",",""),"–"," "),"-"," "),"/"," "),"&amp;"," AND "))&amp;" "," THE "," ")," TOTAL "," ")," OPERATIONS "," ")))</f>
        <v/>
      </c>
      <c r="C170" s="17" t="str">
        <f aca="false">IF(A170="","",IF(ISNUMBER(MATCH(B170,Excluded!$E$2:$E$19,0)),"Excluded (not a place)",IF(ISNUMBER(MATCH(B170,'Label Map'!$N$2:$N$2019,0)),"Auto-matched","UNMAPPED: add to Label Map")))</f>
        <v/>
      </c>
      <c r="D170" s="7" t="str">
        <f aca="false">IF(C170="Auto-matched",INDEX('Label Map'!$D$2:$D$2019,MATCH(B170,'Label Map'!$N$2:$N$2019,0)),"")</f>
        <v/>
      </c>
      <c r="E170" s="7" t="str">
        <f aca="false">IF(D170="","",IF(INDEX(Hierarchy!$B$2:$B$1295,MATCH(D170,Hierarchy!$A$2:$A$1295,0))="","",INDEX(Hierarchy!$B$2:$B$1295,MATCH(D170,Hierarchy!$A$2:$A$1295,0))))</f>
        <v/>
      </c>
      <c r="F170" s="7" t="str">
        <f aca="false">IF(D170="","",IF(INDEX(Hierarchy!$D$2:$D$1295,MATCH(D170,Hierarchy!$A$2:$A$1295,0))="","",INDEX(Hierarchy!$D$2:$D$1295,MATCH(D170,Hierarchy!$A$2:$A$1295,0))))</f>
        <v/>
      </c>
      <c r="G170" s="7" t="str">
        <f aca="false">IF(D170="","",IF(INDEX(Hierarchy!$E$2:$E$1295,MATCH(D170,Hierarchy!$A$2:$A$1295,0))="","",INDEX(Hierarchy!$E$2:$E$1295,MATCH(D170,Hierarchy!$A$2:$A$1295,0))))</f>
        <v/>
      </c>
      <c r="H170" s="7" t="str">
        <f aca="false">IF(D170="","",IF(INDEX(Hierarchy!$F$2:$F$1295,MATCH(D170,Hierarchy!$A$2:$A$1295,0))="","",INDEX(Hierarchy!$F$2:$F$1295,MATCH(D170,Hierarchy!$A$2:$A$1295,0))))</f>
        <v/>
      </c>
      <c r="I170" s="7" t="str">
        <f aca="false">IF(D170="","",IF(INDEX(Hierarchy!$H$2:$H$1295,MATCH(D170,Hierarchy!$A$2:$A$1295,0))="","",INDEX(Hierarchy!$H$2:$H$1295,MATCH(D170,Hierarchy!$A$2:$A$1295,0))))</f>
        <v/>
      </c>
    </row>
    <row r="171" customFormat="false" ht="15" hidden="false" customHeight="false" outlineLevel="0" collapsed="false">
      <c r="A171" s="19"/>
      <c r="B171" s="7" t="str">
        <f aca="false">IF(A171="","",TRIM(SUBSTITUTE(SUBSTITUTE(SUBSTITUTE(" "&amp;TRIM(SUBSTITUTE(SUBSTITUTE(SUBSTITUTE(SUBSTITUTE(SUBSTITUTE(SUBSTITUTE(SUBSTITUTE(SUBSTITUTE(SUBSTITUTE(SUBSTITUTE(SUBSTITUTE(SUBSTITUTE(SUBSTITUTE(SUBSTITUTE(SUBSTITUTE(UPPER(TRIM(A171)),"[MEMBER]",""),"{MEMBER}",""),"[MEMBER}",""),"MEMBER]",""),"(A)",""),"""",""),"“",""),"”",""),".",""),":",""),",",""),"–"," "),"-"," "),"/"," "),"&amp;"," AND "))&amp;" "," THE "," ")," TOTAL "," ")," OPERATIONS "," ")))</f>
        <v/>
      </c>
      <c r="C171" s="17" t="str">
        <f aca="false">IF(A171="","",IF(ISNUMBER(MATCH(B171,Excluded!$E$2:$E$19,0)),"Excluded (not a place)",IF(ISNUMBER(MATCH(B171,'Label Map'!$N$2:$N$2019,0)),"Auto-matched","UNMAPPED: add to Label Map")))</f>
        <v/>
      </c>
      <c r="D171" s="7" t="str">
        <f aca="false">IF(C171="Auto-matched",INDEX('Label Map'!$D$2:$D$2019,MATCH(B171,'Label Map'!$N$2:$N$2019,0)),"")</f>
        <v/>
      </c>
      <c r="E171" s="7" t="str">
        <f aca="false">IF(D171="","",IF(INDEX(Hierarchy!$B$2:$B$1295,MATCH(D171,Hierarchy!$A$2:$A$1295,0))="","",INDEX(Hierarchy!$B$2:$B$1295,MATCH(D171,Hierarchy!$A$2:$A$1295,0))))</f>
        <v/>
      </c>
      <c r="F171" s="7" t="str">
        <f aca="false">IF(D171="","",IF(INDEX(Hierarchy!$D$2:$D$1295,MATCH(D171,Hierarchy!$A$2:$A$1295,0))="","",INDEX(Hierarchy!$D$2:$D$1295,MATCH(D171,Hierarchy!$A$2:$A$1295,0))))</f>
        <v/>
      </c>
      <c r="G171" s="7" t="str">
        <f aca="false">IF(D171="","",IF(INDEX(Hierarchy!$E$2:$E$1295,MATCH(D171,Hierarchy!$A$2:$A$1295,0))="","",INDEX(Hierarchy!$E$2:$E$1295,MATCH(D171,Hierarchy!$A$2:$A$1295,0))))</f>
        <v/>
      </c>
      <c r="H171" s="7" t="str">
        <f aca="false">IF(D171="","",IF(INDEX(Hierarchy!$F$2:$F$1295,MATCH(D171,Hierarchy!$A$2:$A$1295,0))="","",INDEX(Hierarchy!$F$2:$F$1295,MATCH(D171,Hierarchy!$A$2:$A$1295,0))))</f>
        <v/>
      </c>
      <c r="I171" s="7" t="str">
        <f aca="false">IF(D171="","",IF(INDEX(Hierarchy!$H$2:$H$1295,MATCH(D171,Hierarchy!$A$2:$A$1295,0))="","",INDEX(Hierarchy!$H$2:$H$1295,MATCH(D171,Hierarchy!$A$2:$A$1295,0))))</f>
        <v/>
      </c>
    </row>
    <row r="172" customFormat="false" ht="15" hidden="false" customHeight="false" outlineLevel="0" collapsed="false">
      <c r="A172" s="19"/>
      <c r="B172" s="7" t="str">
        <f aca="false">IF(A172="","",TRIM(SUBSTITUTE(SUBSTITUTE(SUBSTITUTE(" "&amp;TRIM(SUBSTITUTE(SUBSTITUTE(SUBSTITUTE(SUBSTITUTE(SUBSTITUTE(SUBSTITUTE(SUBSTITUTE(SUBSTITUTE(SUBSTITUTE(SUBSTITUTE(SUBSTITUTE(SUBSTITUTE(SUBSTITUTE(SUBSTITUTE(SUBSTITUTE(UPPER(TRIM(A172)),"[MEMBER]",""),"{MEMBER}",""),"[MEMBER}",""),"MEMBER]",""),"(A)",""),"""",""),"“",""),"”",""),".",""),":",""),",",""),"–"," "),"-"," "),"/"," "),"&amp;"," AND "))&amp;" "," THE "," ")," TOTAL "," ")," OPERATIONS "," ")))</f>
        <v/>
      </c>
      <c r="C172" s="17" t="str">
        <f aca="false">IF(A172="","",IF(ISNUMBER(MATCH(B172,Excluded!$E$2:$E$19,0)),"Excluded (not a place)",IF(ISNUMBER(MATCH(B172,'Label Map'!$N$2:$N$2019,0)),"Auto-matched","UNMAPPED: add to Label Map")))</f>
        <v/>
      </c>
      <c r="D172" s="7" t="str">
        <f aca="false">IF(C172="Auto-matched",INDEX('Label Map'!$D$2:$D$2019,MATCH(B172,'Label Map'!$N$2:$N$2019,0)),"")</f>
        <v/>
      </c>
      <c r="E172" s="7" t="str">
        <f aca="false">IF(D172="","",IF(INDEX(Hierarchy!$B$2:$B$1295,MATCH(D172,Hierarchy!$A$2:$A$1295,0))="","",INDEX(Hierarchy!$B$2:$B$1295,MATCH(D172,Hierarchy!$A$2:$A$1295,0))))</f>
        <v/>
      </c>
      <c r="F172" s="7" t="str">
        <f aca="false">IF(D172="","",IF(INDEX(Hierarchy!$D$2:$D$1295,MATCH(D172,Hierarchy!$A$2:$A$1295,0))="","",INDEX(Hierarchy!$D$2:$D$1295,MATCH(D172,Hierarchy!$A$2:$A$1295,0))))</f>
        <v/>
      </c>
      <c r="G172" s="7" t="str">
        <f aca="false">IF(D172="","",IF(INDEX(Hierarchy!$E$2:$E$1295,MATCH(D172,Hierarchy!$A$2:$A$1295,0))="","",INDEX(Hierarchy!$E$2:$E$1295,MATCH(D172,Hierarchy!$A$2:$A$1295,0))))</f>
        <v/>
      </c>
      <c r="H172" s="7" t="str">
        <f aca="false">IF(D172="","",IF(INDEX(Hierarchy!$F$2:$F$1295,MATCH(D172,Hierarchy!$A$2:$A$1295,0))="","",INDEX(Hierarchy!$F$2:$F$1295,MATCH(D172,Hierarchy!$A$2:$A$1295,0))))</f>
        <v/>
      </c>
      <c r="I172" s="7" t="str">
        <f aca="false">IF(D172="","",IF(INDEX(Hierarchy!$H$2:$H$1295,MATCH(D172,Hierarchy!$A$2:$A$1295,0))="","",INDEX(Hierarchy!$H$2:$H$1295,MATCH(D172,Hierarchy!$A$2:$A$1295,0))))</f>
        <v/>
      </c>
    </row>
    <row r="173" customFormat="false" ht="15" hidden="false" customHeight="false" outlineLevel="0" collapsed="false">
      <c r="A173" s="19"/>
      <c r="B173" s="7" t="str">
        <f aca="false">IF(A173="","",TRIM(SUBSTITUTE(SUBSTITUTE(SUBSTITUTE(" "&amp;TRIM(SUBSTITUTE(SUBSTITUTE(SUBSTITUTE(SUBSTITUTE(SUBSTITUTE(SUBSTITUTE(SUBSTITUTE(SUBSTITUTE(SUBSTITUTE(SUBSTITUTE(SUBSTITUTE(SUBSTITUTE(SUBSTITUTE(SUBSTITUTE(SUBSTITUTE(UPPER(TRIM(A173)),"[MEMBER]",""),"{MEMBER}",""),"[MEMBER}",""),"MEMBER]",""),"(A)",""),"""",""),"“",""),"”",""),".",""),":",""),",",""),"–"," "),"-"," "),"/"," "),"&amp;"," AND "))&amp;" "," THE "," ")," TOTAL "," ")," OPERATIONS "," ")))</f>
        <v/>
      </c>
      <c r="C173" s="17" t="str">
        <f aca="false">IF(A173="","",IF(ISNUMBER(MATCH(B173,Excluded!$E$2:$E$19,0)),"Excluded (not a place)",IF(ISNUMBER(MATCH(B173,'Label Map'!$N$2:$N$2019,0)),"Auto-matched","UNMAPPED: add to Label Map")))</f>
        <v/>
      </c>
      <c r="D173" s="7" t="str">
        <f aca="false">IF(C173="Auto-matched",INDEX('Label Map'!$D$2:$D$2019,MATCH(B173,'Label Map'!$N$2:$N$2019,0)),"")</f>
        <v/>
      </c>
      <c r="E173" s="7" t="str">
        <f aca="false">IF(D173="","",IF(INDEX(Hierarchy!$B$2:$B$1295,MATCH(D173,Hierarchy!$A$2:$A$1295,0))="","",INDEX(Hierarchy!$B$2:$B$1295,MATCH(D173,Hierarchy!$A$2:$A$1295,0))))</f>
        <v/>
      </c>
      <c r="F173" s="7" t="str">
        <f aca="false">IF(D173="","",IF(INDEX(Hierarchy!$D$2:$D$1295,MATCH(D173,Hierarchy!$A$2:$A$1295,0))="","",INDEX(Hierarchy!$D$2:$D$1295,MATCH(D173,Hierarchy!$A$2:$A$1295,0))))</f>
        <v/>
      </c>
      <c r="G173" s="7" t="str">
        <f aca="false">IF(D173="","",IF(INDEX(Hierarchy!$E$2:$E$1295,MATCH(D173,Hierarchy!$A$2:$A$1295,0))="","",INDEX(Hierarchy!$E$2:$E$1295,MATCH(D173,Hierarchy!$A$2:$A$1295,0))))</f>
        <v/>
      </c>
      <c r="H173" s="7" t="str">
        <f aca="false">IF(D173="","",IF(INDEX(Hierarchy!$F$2:$F$1295,MATCH(D173,Hierarchy!$A$2:$A$1295,0))="","",INDEX(Hierarchy!$F$2:$F$1295,MATCH(D173,Hierarchy!$A$2:$A$1295,0))))</f>
        <v/>
      </c>
      <c r="I173" s="7" t="str">
        <f aca="false">IF(D173="","",IF(INDEX(Hierarchy!$H$2:$H$1295,MATCH(D173,Hierarchy!$A$2:$A$1295,0))="","",INDEX(Hierarchy!$H$2:$H$1295,MATCH(D173,Hierarchy!$A$2:$A$1295,0))))</f>
        <v/>
      </c>
    </row>
    <row r="174" customFormat="false" ht="15" hidden="false" customHeight="false" outlineLevel="0" collapsed="false">
      <c r="A174" s="19"/>
      <c r="B174" s="7" t="str">
        <f aca="false">IF(A174="","",TRIM(SUBSTITUTE(SUBSTITUTE(SUBSTITUTE(" "&amp;TRIM(SUBSTITUTE(SUBSTITUTE(SUBSTITUTE(SUBSTITUTE(SUBSTITUTE(SUBSTITUTE(SUBSTITUTE(SUBSTITUTE(SUBSTITUTE(SUBSTITUTE(SUBSTITUTE(SUBSTITUTE(SUBSTITUTE(SUBSTITUTE(SUBSTITUTE(UPPER(TRIM(A174)),"[MEMBER]",""),"{MEMBER}",""),"[MEMBER}",""),"MEMBER]",""),"(A)",""),"""",""),"“",""),"”",""),".",""),":",""),",",""),"–"," "),"-"," "),"/"," "),"&amp;"," AND "))&amp;" "," THE "," ")," TOTAL "," ")," OPERATIONS "," ")))</f>
        <v/>
      </c>
      <c r="C174" s="17" t="str">
        <f aca="false">IF(A174="","",IF(ISNUMBER(MATCH(B174,Excluded!$E$2:$E$19,0)),"Excluded (not a place)",IF(ISNUMBER(MATCH(B174,'Label Map'!$N$2:$N$2019,0)),"Auto-matched","UNMAPPED: add to Label Map")))</f>
        <v/>
      </c>
      <c r="D174" s="7" t="str">
        <f aca="false">IF(C174="Auto-matched",INDEX('Label Map'!$D$2:$D$2019,MATCH(B174,'Label Map'!$N$2:$N$2019,0)),"")</f>
        <v/>
      </c>
      <c r="E174" s="7" t="str">
        <f aca="false">IF(D174="","",IF(INDEX(Hierarchy!$B$2:$B$1295,MATCH(D174,Hierarchy!$A$2:$A$1295,0))="","",INDEX(Hierarchy!$B$2:$B$1295,MATCH(D174,Hierarchy!$A$2:$A$1295,0))))</f>
        <v/>
      </c>
      <c r="F174" s="7" t="str">
        <f aca="false">IF(D174="","",IF(INDEX(Hierarchy!$D$2:$D$1295,MATCH(D174,Hierarchy!$A$2:$A$1295,0))="","",INDEX(Hierarchy!$D$2:$D$1295,MATCH(D174,Hierarchy!$A$2:$A$1295,0))))</f>
        <v/>
      </c>
      <c r="G174" s="7" t="str">
        <f aca="false">IF(D174="","",IF(INDEX(Hierarchy!$E$2:$E$1295,MATCH(D174,Hierarchy!$A$2:$A$1295,0))="","",INDEX(Hierarchy!$E$2:$E$1295,MATCH(D174,Hierarchy!$A$2:$A$1295,0))))</f>
        <v/>
      </c>
      <c r="H174" s="7" t="str">
        <f aca="false">IF(D174="","",IF(INDEX(Hierarchy!$F$2:$F$1295,MATCH(D174,Hierarchy!$A$2:$A$1295,0))="","",INDEX(Hierarchy!$F$2:$F$1295,MATCH(D174,Hierarchy!$A$2:$A$1295,0))))</f>
        <v/>
      </c>
      <c r="I174" s="7" t="str">
        <f aca="false">IF(D174="","",IF(INDEX(Hierarchy!$H$2:$H$1295,MATCH(D174,Hierarchy!$A$2:$A$1295,0))="","",INDEX(Hierarchy!$H$2:$H$1295,MATCH(D174,Hierarchy!$A$2:$A$1295,0))))</f>
        <v/>
      </c>
    </row>
    <row r="175" customFormat="false" ht="15" hidden="false" customHeight="false" outlineLevel="0" collapsed="false">
      <c r="A175" s="19"/>
      <c r="B175" s="7" t="str">
        <f aca="false">IF(A175="","",TRIM(SUBSTITUTE(SUBSTITUTE(SUBSTITUTE(" "&amp;TRIM(SUBSTITUTE(SUBSTITUTE(SUBSTITUTE(SUBSTITUTE(SUBSTITUTE(SUBSTITUTE(SUBSTITUTE(SUBSTITUTE(SUBSTITUTE(SUBSTITUTE(SUBSTITUTE(SUBSTITUTE(SUBSTITUTE(SUBSTITUTE(SUBSTITUTE(UPPER(TRIM(A175)),"[MEMBER]",""),"{MEMBER}",""),"[MEMBER}",""),"MEMBER]",""),"(A)",""),"""",""),"“",""),"”",""),".",""),":",""),",",""),"–"," "),"-"," "),"/"," "),"&amp;"," AND "))&amp;" "," THE "," ")," TOTAL "," ")," OPERATIONS "," ")))</f>
        <v/>
      </c>
      <c r="C175" s="17" t="str">
        <f aca="false">IF(A175="","",IF(ISNUMBER(MATCH(B175,Excluded!$E$2:$E$19,0)),"Excluded (not a place)",IF(ISNUMBER(MATCH(B175,'Label Map'!$N$2:$N$2019,0)),"Auto-matched","UNMAPPED: add to Label Map")))</f>
        <v/>
      </c>
      <c r="D175" s="7" t="str">
        <f aca="false">IF(C175="Auto-matched",INDEX('Label Map'!$D$2:$D$2019,MATCH(B175,'Label Map'!$N$2:$N$2019,0)),"")</f>
        <v/>
      </c>
      <c r="E175" s="7" t="str">
        <f aca="false">IF(D175="","",IF(INDEX(Hierarchy!$B$2:$B$1295,MATCH(D175,Hierarchy!$A$2:$A$1295,0))="","",INDEX(Hierarchy!$B$2:$B$1295,MATCH(D175,Hierarchy!$A$2:$A$1295,0))))</f>
        <v/>
      </c>
      <c r="F175" s="7" t="str">
        <f aca="false">IF(D175="","",IF(INDEX(Hierarchy!$D$2:$D$1295,MATCH(D175,Hierarchy!$A$2:$A$1295,0))="","",INDEX(Hierarchy!$D$2:$D$1295,MATCH(D175,Hierarchy!$A$2:$A$1295,0))))</f>
        <v/>
      </c>
      <c r="G175" s="7" t="str">
        <f aca="false">IF(D175="","",IF(INDEX(Hierarchy!$E$2:$E$1295,MATCH(D175,Hierarchy!$A$2:$A$1295,0))="","",INDEX(Hierarchy!$E$2:$E$1295,MATCH(D175,Hierarchy!$A$2:$A$1295,0))))</f>
        <v/>
      </c>
      <c r="H175" s="7" t="str">
        <f aca="false">IF(D175="","",IF(INDEX(Hierarchy!$F$2:$F$1295,MATCH(D175,Hierarchy!$A$2:$A$1295,0))="","",INDEX(Hierarchy!$F$2:$F$1295,MATCH(D175,Hierarchy!$A$2:$A$1295,0))))</f>
        <v/>
      </c>
      <c r="I175" s="7" t="str">
        <f aca="false">IF(D175="","",IF(INDEX(Hierarchy!$H$2:$H$1295,MATCH(D175,Hierarchy!$A$2:$A$1295,0))="","",INDEX(Hierarchy!$H$2:$H$1295,MATCH(D175,Hierarchy!$A$2:$A$1295,0))))</f>
        <v/>
      </c>
    </row>
    <row r="176" customFormat="false" ht="15" hidden="false" customHeight="false" outlineLevel="0" collapsed="false">
      <c r="A176" s="19"/>
      <c r="B176" s="7" t="str">
        <f aca="false">IF(A176="","",TRIM(SUBSTITUTE(SUBSTITUTE(SUBSTITUTE(" "&amp;TRIM(SUBSTITUTE(SUBSTITUTE(SUBSTITUTE(SUBSTITUTE(SUBSTITUTE(SUBSTITUTE(SUBSTITUTE(SUBSTITUTE(SUBSTITUTE(SUBSTITUTE(SUBSTITUTE(SUBSTITUTE(SUBSTITUTE(SUBSTITUTE(SUBSTITUTE(UPPER(TRIM(A176)),"[MEMBER]",""),"{MEMBER}",""),"[MEMBER}",""),"MEMBER]",""),"(A)",""),"""",""),"“",""),"”",""),".",""),":",""),",",""),"–"," "),"-"," "),"/"," "),"&amp;"," AND "))&amp;" "," THE "," ")," TOTAL "," ")," OPERATIONS "," ")))</f>
        <v/>
      </c>
      <c r="C176" s="17" t="str">
        <f aca="false">IF(A176="","",IF(ISNUMBER(MATCH(B176,Excluded!$E$2:$E$19,0)),"Excluded (not a place)",IF(ISNUMBER(MATCH(B176,'Label Map'!$N$2:$N$2019,0)),"Auto-matched","UNMAPPED: add to Label Map")))</f>
        <v/>
      </c>
      <c r="D176" s="7" t="str">
        <f aca="false">IF(C176="Auto-matched",INDEX('Label Map'!$D$2:$D$2019,MATCH(B176,'Label Map'!$N$2:$N$2019,0)),"")</f>
        <v/>
      </c>
      <c r="E176" s="7" t="str">
        <f aca="false">IF(D176="","",IF(INDEX(Hierarchy!$B$2:$B$1295,MATCH(D176,Hierarchy!$A$2:$A$1295,0))="","",INDEX(Hierarchy!$B$2:$B$1295,MATCH(D176,Hierarchy!$A$2:$A$1295,0))))</f>
        <v/>
      </c>
      <c r="F176" s="7" t="str">
        <f aca="false">IF(D176="","",IF(INDEX(Hierarchy!$D$2:$D$1295,MATCH(D176,Hierarchy!$A$2:$A$1295,0))="","",INDEX(Hierarchy!$D$2:$D$1295,MATCH(D176,Hierarchy!$A$2:$A$1295,0))))</f>
        <v/>
      </c>
      <c r="G176" s="7" t="str">
        <f aca="false">IF(D176="","",IF(INDEX(Hierarchy!$E$2:$E$1295,MATCH(D176,Hierarchy!$A$2:$A$1295,0))="","",INDEX(Hierarchy!$E$2:$E$1295,MATCH(D176,Hierarchy!$A$2:$A$1295,0))))</f>
        <v/>
      </c>
      <c r="H176" s="7" t="str">
        <f aca="false">IF(D176="","",IF(INDEX(Hierarchy!$F$2:$F$1295,MATCH(D176,Hierarchy!$A$2:$A$1295,0))="","",INDEX(Hierarchy!$F$2:$F$1295,MATCH(D176,Hierarchy!$A$2:$A$1295,0))))</f>
        <v/>
      </c>
      <c r="I176" s="7" t="str">
        <f aca="false">IF(D176="","",IF(INDEX(Hierarchy!$H$2:$H$1295,MATCH(D176,Hierarchy!$A$2:$A$1295,0))="","",INDEX(Hierarchy!$H$2:$H$1295,MATCH(D176,Hierarchy!$A$2:$A$1295,0))))</f>
        <v/>
      </c>
    </row>
    <row r="177" customFormat="false" ht="15" hidden="false" customHeight="false" outlineLevel="0" collapsed="false">
      <c r="A177" s="19"/>
      <c r="B177" s="7" t="str">
        <f aca="false">IF(A177="","",TRIM(SUBSTITUTE(SUBSTITUTE(SUBSTITUTE(" "&amp;TRIM(SUBSTITUTE(SUBSTITUTE(SUBSTITUTE(SUBSTITUTE(SUBSTITUTE(SUBSTITUTE(SUBSTITUTE(SUBSTITUTE(SUBSTITUTE(SUBSTITUTE(SUBSTITUTE(SUBSTITUTE(SUBSTITUTE(SUBSTITUTE(SUBSTITUTE(UPPER(TRIM(A177)),"[MEMBER]",""),"{MEMBER}",""),"[MEMBER}",""),"MEMBER]",""),"(A)",""),"""",""),"“",""),"”",""),".",""),":",""),",",""),"–"," "),"-"," "),"/"," "),"&amp;"," AND "))&amp;" "," THE "," ")," TOTAL "," ")," OPERATIONS "," ")))</f>
        <v/>
      </c>
      <c r="C177" s="17" t="str">
        <f aca="false">IF(A177="","",IF(ISNUMBER(MATCH(B177,Excluded!$E$2:$E$19,0)),"Excluded (not a place)",IF(ISNUMBER(MATCH(B177,'Label Map'!$N$2:$N$2019,0)),"Auto-matched","UNMAPPED: add to Label Map")))</f>
        <v/>
      </c>
      <c r="D177" s="7" t="str">
        <f aca="false">IF(C177="Auto-matched",INDEX('Label Map'!$D$2:$D$2019,MATCH(B177,'Label Map'!$N$2:$N$2019,0)),"")</f>
        <v/>
      </c>
      <c r="E177" s="7" t="str">
        <f aca="false">IF(D177="","",IF(INDEX(Hierarchy!$B$2:$B$1295,MATCH(D177,Hierarchy!$A$2:$A$1295,0))="","",INDEX(Hierarchy!$B$2:$B$1295,MATCH(D177,Hierarchy!$A$2:$A$1295,0))))</f>
        <v/>
      </c>
      <c r="F177" s="7" t="str">
        <f aca="false">IF(D177="","",IF(INDEX(Hierarchy!$D$2:$D$1295,MATCH(D177,Hierarchy!$A$2:$A$1295,0))="","",INDEX(Hierarchy!$D$2:$D$1295,MATCH(D177,Hierarchy!$A$2:$A$1295,0))))</f>
        <v/>
      </c>
      <c r="G177" s="7" t="str">
        <f aca="false">IF(D177="","",IF(INDEX(Hierarchy!$E$2:$E$1295,MATCH(D177,Hierarchy!$A$2:$A$1295,0))="","",INDEX(Hierarchy!$E$2:$E$1295,MATCH(D177,Hierarchy!$A$2:$A$1295,0))))</f>
        <v/>
      </c>
      <c r="H177" s="7" t="str">
        <f aca="false">IF(D177="","",IF(INDEX(Hierarchy!$F$2:$F$1295,MATCH(D177,Hierarchy!$A$2:$A$1295,0))="","",INDEX(Hierarchy!$F$2:$F$1295,MATCH(D177,Hierarchy!$A$2:$A$1295,0))))</f>
        <v/>
      </c>
      <c r="I177" s="7" t="str">
        <f aca="false">IF(D177="","",IF(INDEX(Hierarchy!$H$2:$H$1295,MATCH(D177,Hierarchy!$A$2:$A$1295,0))="","",INDEX(Hierarchy!$H$2:$H$1295,MATCH(D177,Hierarchy!$A$2:$A$1295,0))))</f>
        <v/>
      </c>
    </row>
    <row r="178" customFormat="false" ht="15" hidden="false" customHeight="false" outlineLevel="0" collapsed="false">
      <c r="A178" s="19"/>
      <c r="B178" s="7" t="str">
        <f aca="false">IF(A178="","",TRIM(SUBSTITUTE(SUBSTITUTE(SUBSTITUTE(" "&amp;TRIM(SUBSTITUTE(SUBSTITUTE(SUBSTITUTE(SUBSTITUTE(SUBSTITUTE(SUBSTITUTE(SUBSTITUTE(SUBSTITUTE(SUBSTITUTE(SUBSTITUTE(SUBSTITUTE(SUBSTITUTE(SUBSTITUTE(SUBSTITUTE(SUBSTITUTE(UPPER(TRIM(A178)),"[MEMBER]",""),"{MEMBER}",""),"[MEMBER}",""),"MEMBER]",""),"(A)",""),"""",""),"“",""),"”",""),".",""),":",""),",",""),"–"," "),"-"," "),"/"," "),"&amp;"," AND "))&amp;" "," THE "," ")," TOTAL "," ")," OPERATIONS "," ")))</f>
        <v/>
      </c>
      <c r="C178" s="17" t="str">
        <f aca="false">IF(A178="","",IF(ISNUMBER(MATCH(B178,Excluded!$E$2:$E$19,0)),"Excluded (not a place)",IF(ISNUMBER(MATCH(B178,'Label Map'!$N$2:$N$2019,0)),"Auto-matched","UNMAPPED: add to Label Map")))</f>
        <v/>
      </c>
      <c r="D178" s="7" t="str">
        <f aca="false">IF(C178="Auto-matched",INDEX('Label Map'!$D$2:$D$2019,MATCH(B178,'Label Map'!$N$2:$N$2019,0)),"")</f>
        <v/>
      </c>
      <c r="E178" s="7" t="str">
        <f aca="false">IF(D178="","",IF(INDEX(Hierarchy!$B$2:$B$1295,MATCH(D178,Hierarchy!$A$2:$A$1295,0))="","",INDEX(Hierarchy!$B$2:$B$1295,MATCH(D178,Hierarchy!$A$2:$A$1295,0))))</f>
        <v/>
      </c>
      <c r="F178" s="7" t="str">
        <f aca="false">IF(D178="","",IF(INDEX(Hierarchy!$D$2:$D$1295,MATCH(D178,Hierarchy!$A$2:$A$1295,0))="","",INDEX(Hierarchy!$D$2:$D$1295,MATCH(D178,Hierarchy!$A$2:$A$1295,0))))</f>
        <v/>
      </c>
      <c r="G178" s="7" t="str">
        <f aca="false">IF(D178="","",IF(INDEX(Hierarchy!$E$2:$E$1295,MATCH(D178,Hierarchy!$A$2:$A$1295,0))="","",INDEX(Hierarchy!$E$2:$E$1295,MATCH(D178,Hierarchy!$A$2:$A$1295,0))))</f>
        <v/>
      </c>
      <c r="H178" s="7" t="str">
        <f aca="false">IF(D178="","",IF(INDEX(Hierarchy!$F$2:$F$1295,MATCH(D178,Hierarchy!$A$2:$A$1295,0))="","",INDEX(Hierarchy!$F$2:$F$1295,MATCH(D178,Hierarchy!$A$2:$A$1295,0))))</f>
        <v/>
      </c>
      <c r="I178" s="7" t="str">
        <f aca="false">IF(D178="","",IF(INDEX(Hierarchy!$H$2:$H$1295,MATCH(D178,Hierarchy!$A$2:$A$1295,0))="","",INDEX(Hierarchy!$H$2:$H$1295,MATCH(D178,Hierarchy!$A$2:$A$1295,0))))</f>
        <v/>
      </c>
    </row>
    <row r="179" customFormat="false" ht="15" hidden="false" customHeight="false" outlineLevel="0" collapsed="false">
      <c r="A179" s="19"/>
      <c r="B179" s="7" t="str">
        <f aca="false">IF(A179="","",TRIM(SUBSTITUTE(SUBSTITUTE(SUBSTITUTE(" "&amp;TRIM(SUBSTITUTE(SUBSTITUTE(SUBSTITUTE(SUBSTITUTE(SUBSTITUTE(SUBSTITUTE(SUBSTITUTE(SUBSTITUTE(SUBSTITUTE(SUBSTITUTE(SUBSTITUTE(SUBSTITUTE(SUBSTITUTE(SUBSTITUTE(SUBSTITUTE(UPPER(TRIM(A179)),"[MEMBER]",""),"{MEMBER}",""),"[MEMBER}",""),"MEMBER]",""),"(A)",""),"""",""),"“",""),"”",""),".",""),":",""),",",""),"–"," "),"-"," "),"/"," "),"&amp;"," AND "))&amp;" "," THE "," ")," TOTAL "," ")," OPERATIONS "," ")))</f>
        <v/>
      </c>
      <c r="C179" s="17" t="str">
        <f aca="false">IF(A179="","",IF(ISNUMBER(MATCH(B179,Excluded!$E$2:$E$19,0)),"Excluded (not a place)",IF(ISNUMBER(MATCH(B179,'Label Map'!$N$2:$N$2019,0)),"Auto-matched","UNMAPPED: add to Label Map")))</f>
        <v/>
      </c>
      <c r="D179" s="7" t="str">
        <f aca="false">IF(C179="Auto-matched",INDEX('Label Map'!$D$2:$D$2019,MATCH(B179,'Label Map'!$N$2:$N$2019,0)),"")</f>
        <v/>
      </c>
      <c r="E179" s="7" t="str">
        <f aca="false">IF(D179="","",IF(INDEX(Hierarchy!$B$2:$B$1295,MATCH(D179,Hierarchy!$A$2:$A$1295,0))="","",INDEX(Hierarchy!$B$2:$B$1295,MATCH(D179,Hierarchy!$A$2:$A$1295,0))))</f>
        <v/>
      </c>
      <c r="F179" s="7" t="str">
        <f aca="false">IF(D179="","",IF(INDEX(Hierarchy!$D$2:$D$1295,MATCH(D179,Hierarchy!$A$2:$A$1295,0))="","",INDEX(Hierarchy!$D$2:$D$1295,MATCH(D179,Hierarchy!$A$2:$A$1295,0))))</f>
        <v/>
      </c>
      <c r="G179" s="7" t="str">
        <f aca="false">IF(D179="","",IF(INDEX(Hierarchy!$E$2:$E$1295,MATCH(D179,Hierarchy!$A$2:$A$1295,0))="","",INDEX(Hierarchy!$E$2:$E$1295,MATCH(D179,Hierarchy!$A$2:$A$1295,0))))</f>
        <v/>
      </c>
      <c r="H179" s="7" t="str">
        <f aca="false">IF(D179="","",IF(INDEX(Hierarchy!$F$2:$F$1295,MATCH(D179,Hierarchy!$A$2:$A$1295,0))="","",INDEX(Hierarchy!$F$2:$F$1295,MATCH(D179,Hierarchy!$A$2:$A$1295,0))))</f>
        <v/>
      </c>
      <c r="I179" s="7" t="str">
        <f aca="false">IF(D179="","",IF(INDEX(Hierarchy!$H$2:$H$1295,MATCH(D179,Hierarchy!$A$2:$A$1295,0))="","",INDEX(Hierarchy!$H$2:$H$1295,MATCH(D179,Hierarchy!$A$2:$A$1295,0))))</f>
        <v/>
      </c>
    </row>
    <row r="180" customFormat="false" ht="15" hidden="false" customHeight="false" outlineLevel="0" collapsed="false">
      <c r="A180" s="19"/>
      <c r="B180" s="7" t="str">
        <f aca="false">IF(A180="","",TRIM(SUBSTITUTE(SUBSTITUTE(SUBSTITUTE(" "&amp;TRIM(SUBSTITUTE(SUBSTITUTE(SUBSTITUTE(SUBSTITUTE(SUBSTITUTE(SUBSTITUTE(SUBSTITUTE(SUBSTITUTE(SUBSTITUTE(SUBSTITUTE(SUBSTITUTE(SUBSTITUTE(SUBSTITUTE(SUBSTITUTE(SUBSTITUTE(UPPER(TRIM(A180)),"[MEMBER]",""),"{MEMBER}",""),"[MEMBER}",""),"MEMBER]",""),"(A)",""),"""",""),"“",""),"”",""),".",""),":",""),",",""),"–"," "),"-"," "),"/"," "),"&amp;"," AND "))&amp;" "," THE "," ")," TOTAL "," ")," OPERATIONS "," ")))</f>
        <v/>
      </c>
      <c r="C180" s="17" t="str">
        <f aca="false">IF(A180="","",IF(ISNUMBER(MATCH(B180,Excluded!$E$2:$E$19,0)),"Excluded (not a place)",IF(ISNUMBER(MATCH(B180,'Label Map'!$N$2:$N$2019,0)),"Auto-matched","UNMAPPED: add to Label Map")))</f>
        <v/>
      </c>
      <c r="D180" s="7" t="str">
        <f aca="false">IF(C180="Auto-matched",INDEX('Label Map'!$D$2:$D$2019,MATCH(B180,'Label Map'!$N$2:$N$2019,0)),"")</f>
        <v/>
      </c>
      <c r="E180" s="7" t="str">
        <f aca="false">IF(D180="","",IF(INDEX(Hierarchy!$B$2:$B$1295,MATCH(D180,Hierarchy!$A$2:$A$1295,0))="","",INDEX(Hierarchy!$B$2:$B$1295,MATCH(D180,Hierarchy!$A$2:$A$1295,0))))</f>
        <v/>
      </c>
      <c r="F180" s="7" t="str">
        <f aca="false">IF(D180="","",IF(INDEX(Hierarchy!$D$2:$D$1295,MATCH(D180,Hierarchy!$A$2:$A$1295,0))="","",INDEX(Hierarchy!$D$2:$D$1295,MATCH(D180,Hierarchy!$A$2:$A$1295,0))))</f>
        <v/>
      </c>
      <c r="G180" s="7" t="str">
        <f aca="false">IF(D180="","",IF(INDEX(Hierarchy!$E$2:$E$1295,MATCH(D180,Hierarchy!$A$2:$A$1295,0))="","",INDEX(Hierarchy!$E$2:$E$1295,MATCH(D180,Hierarchy!$A$2:$A$1295,0))))</f>
        <v/>
      </c>
      <c r="H180" s="7" t="str">
        <f aca="false">IF(D180="","",IF(INDEX(Hierarchy!$F$2:$F$1295,MATCH(D180,Hierarchy!$A$2:$A$1295,0))="","",INDEX(Hierarchy!$F$2:$F$1295,MATCH(D180,Hierarchy!$A$2:$A$1295,0))))</f>
        <v/>
      </c>
      <c r="I180" s="7" t="str">
        <f aca="false">IF(D180="","",IF(INDEX(Hierarchy!$H$2:$H$1295,MATCH(D180,Hierarchy!$A$2:$A$1295,0))="","",INDEX(Hierarchy!$H$2:$H$1295,MATCH(D180,Hierarchy!$A$2:$A$1295,0))))</f>
        <v/>
      </c>
    </row>
    <row r="181" customFormat="false" ht="15" hidden="false" customHeight="false" outlineLevel="0" collapsed="false">
      <c r="A181" s="19"/>
      <c r="B181" s="7" t="str">
        <f aca="false">IF(A181="","",TRIM(SUBSTITUTE(SUBSTITUTE(SUBSTITUTE(" "&amp;TRIM(SUBSTITUTE(SUBSTITUTE(SUBSTITUTE(SUBSTITUTE(SUBSTITUTE(SUBSTITUTE(SUBSTITUTE(SUBSTITUTE(SUBSTITUTE(SUBSTITUTE(SUBSTITUTE(SUBSTITUTE(SUBSTITUTE(SUBSTITUTE(SUBSTITUTE(UPPER(TRIM(A181)),"[MEMBER]",""),"{MEMBER}",""),"[MEMBER}",""),"MEMBER]",""),"(A)",""),"""",""),"“",""),"”",""),".",""),":",""),",",""),"–"," "),"-"," "),"/"," "),"&amp;"," AND "))&amp;" "," THE "," ")," TOTAL "," ")," OPERATIONS "," ")))</f>
        <v/>
      </c>
      <c r="C181" s="17" t="str">
        <f aca="false">IF(A181="","",IF(ISNUMBER(MATCH(B181,Excluded!$E$2:$E$19,0)),"Excluded (not a place)",IF(ISNUMBER(MATCH(B181,'Label Map'!$N$2:$N$2019,0)),"Auto-matched","UNMAPPED: add to Label Map")))</f>
        <v/>
      </c>
      <c r="D181" s="7" t="str">
        <f aca="false">IF(C181="Auto-matched",INDEX('Label Map'!$D$2:$D$2019,MATCH(B181,'Label Map'!$N$2:$N$2019,0)),"")</f>
        <v/>
      </c>
      <c r="E181" s="7" t="str">
        <f aca="false">IF(D181="","",IF(INDEX(Hierarchy!$B$2:$B$1295,MATCH(D181,Hierarchy!$A$2:$A$1295,0))="","",INDEX(Hierarchy!$B$2:$B$1295,MATCH(D181,Hierarchy!$A$2:$A$1295,0))))</f>
        <v/>
      </c>
      <c r="F181" s="7" t="str">
        <f aca="false">IF(D181="","",IF(INDEX(Hierarchy!$D$2:$D$1295,MATCH(D181,Hierarchy!$A$2:$A$1295,0))="","",INDEX(Hierarchy!$D$2:$D$1295,MATCH(D181,Hierarchy!$A$2:$A$1295,0))))</f>
        <v/>
      </c>
      <c r="G181" s="7" t="str">
        <f aca="false">IF(D181="","",IF(INDEX(Hierarchy!$E$2:$E$1295,MATCH(D181,Hierarchy!$A$2:$A$1295,0))="","",INDEX(Hierarchy!$E$2:$E$1295,MATCH(D181,Hierarchy!$A$2:$A$1295,0))))</f>
        <v/>
      </c>
      <c r="H181" s="7" t="str">
        <f aca="false">IF(D181="","",IF(INDEX(Hierarchy!$F$2:$F$1295,MATCH(D181,Hierarchy!$A$2:$A$1295,0))="","",INDEX(Hierarchy!$F$2:$F$1295,MATCH(D181,Hierarchy!$A$2:$A$1295,0))))</f>
        <v/>
      </c>
      <c r="I181" s="7" t="str">
        <f aca="false">IF(D181="","",IF(INDEX(Hierarchy!$H$2:$H$1295,MATCH(D181,Hierarchy!$A$2:$A$1295,0))="","",INDEX(Hierarchy!$H$2:$H$1295,MATCH(D181,Hierarchy!$A$2:$A$1295,0))))</f>
        <v/>
      </c>
    </row>
    <row r="182" customFormat="false" ht="15" hidden="false" customHeight="false" outlineLevel="0" collapsed="false">
      <c r="A182" s="19"/>
      <c r="B182" s="7" t="str">
        <f aca="false">IF(A182="","",TRIM(SUBSTITUTE(SUBSTITUTE(SUBSTITUTE(" "&amp;TRIM(SUBSTITUTE(SUBSTITUTE(SUBSTITUTE(SUBSTITUTE(SUBSTITUTE(SUBSTITUTE(SUBSTITUTE(SUBSTITUTE(SUBSTITUTE(SUBSTITUTE(SUBSTITUTE(SUBSTITUTE(SUBSTITUTE(SUBSTITUTE(SUBSTITUTE(UPPER(TRIM(A182)),"[MEMBER]",""),"{MEMBER}",""),"[MEMBER}",""),"MEMBER]",""),"(A)",""),"""",""),"“",""),"”",""),".",""),":",""),",",""),"–"," "),"-"," "),"/"," "),"&amp;"," AND "))&amp;" "," THE "," ")," TOTAL "," ")," OPERATIONS "," ")))</f>
        <v/>
      </c>
      <c r="C182" s="17" t="str">
        <f aca="false">IF(A182="","",IF(ISNUMBER(MATCH(B182,Excluded!$E$2:$E$19,0)),"Excluded (not a place)",IF(ISNUMBER(MATCH(B182,'Label Map'!$N$2:$N$2019,0)),"Auto-matched","UNMAPPED: add to Label Map")))</f>
        <v/>
      </c>
      <c r="D182" s="7" t="str">
        <f aca="false">IF(C182="Auto-matched",INDEX('Label Map'!$D$2:$D$2019,MATCH(B182,'Label Map'!$N$2:$N$2019,0)),"")</f>
        <v/>
      </c>
      <c r="E182" s="7" t="str">
        <f aca="false">IF(D182="","",IF(INDEX(Hierarchy!$B$2:$B$1295,MATCH(D182,Hierarchy!$A$2:$A$1295,0))="","",INDEX(Hierarchy!$B$2:$B$1295,MATCH(D182,Hierarchy!$A$2:$A$1295,0))))</f>
        <v/>
      </c>
      <c r="F182" s="7" t="str">
        <f aca="false">IF(D182="","",IF(INDEX(Hierarchy!$D$2:$D$1295,MATCH(D182,Hierarchy!$A$2:$A$1295,0))="","",INDEX(Hierarchy!$D$2:$D$1295,MATCH(D182,Hierarchy!$A$2:$A$1295,0))))</f>
        <v/>
      </c>
      <c r="G182" s="7" t="str">
        <f aca="false">IF(D182="","",IF(INDEX(Hierarchy!$E$2:$E$1295,MATCH(D182,Hierarchy!$A$2:$A$1295,0))="","",INDEX(Hierarchy!$E$2:$E$1295,MATCH(D182,Hierarchy!$A$2:$A$1295,0))))</f>
        <v/>
      </c>
      <c r="H182" s="7" t="str">
        <f aca="false">IF(D182="","",IF(INDEX(Hierarchy!$F$2:$F$1295,MATCH(D182,Hierarchy!$A$2:$A$1295,0))="","",INDEX(Hierarchy!$F$2:$F$1295,MATCH(D182,Hierarchy!$A$2:$A$1295,0))))</f>
        <v/>
      </c>
      <c r="I182" s="7" t="str">
        <f aca="false">IF(D182="","",IF(INDEX(Hierarchy!$H$2:$H$1295,MATCH(D182,Hierarchy!$A$2:$A$1295,0))="","",INDEX(Hierarchy!$H$2:$H$1295,MATCH(D182,Hierarchy!$A$2:$A$1295,0))))</f>
        <v/>
      </c>
    </row>
    <row r="183" customFormat="false" ht="15" hidden="false" customHeight="false" outlineLevel="0" collapsed="false">
      <c r="A183" s="19"/>
      <c r="B183" s="7" t="str">
        <f aca="false">IF(A183="","",TRIM(SUBSTITUTE(SUBSTITUTE(SUBSTITUTE(" "&amp;TRIM(SUBSTITUTE(SUBSTITUTE(SUBSTITUTE(SUBSTITUTE(SUBSTITUTE(SUBSTITUTE(SUBSTITUTE(SUBSTITUTE(SUBSTITUTE(SUBSTITUTE(SUBSTITUTE(SUBSTITUTE(SUBSTITUTE(SUBSTITUTE(SUBSTITUTE(UPPER(TRIM(A183)),"[MEMBER]",""),"{MEMBER}",""),"[MEMBER}",""),"MEMBER]",""),"(A)",""),"""",""),"“",""),"”",""),".",""),":",""),",",""),"–"," "),"-"," "),"/"," "),"&amp;"," AND "))&amp;" "," THE "," ")," TOTAL "," ")," OPERATIONS "," ")))</f>
        <v/>
      </c>
      <c r="C183" s="17" t="str">
        <f aca="false">IF(A183="","",IF(ISNUMBER(MATCH(B183,Excluded!$E$2:$E$19,0)),"Excluded (not a place)",IF(ISNUMBER(MATCH(B183,'Label Map'!$N$2:$N$2019,0)),"Auto-matched","UNMAPPED: add to Label Map")))</f>
        <v/>
      </c>
      <c r="D183" s="7" t="str">
        <f aca="false">IF(C183="Auto-matched",INDEX('Label Map'!$D$2:$D$2019,MATCH(B183,'Label Map'!$N$2:$N$2019,0)),"")</f>
        <v/>
      </c>
      <c r="E183" s="7" t="str">
        <f aca="false">IF(D183="","",IF(INDEX(Hierarchy!$B$2:$B$1295,MATCH(D183,Hierarchy!$A$2:$A$1295,0))="","",INDEX(Hierarchy!$B$2:$B$1295,MATCH(D183,Hierarchy!$A$2:$A$1295,0))))</f>
        <v/>
      </c>
      <c r="F183" s="7" t="str">
        <f aca="false">IF(D183="","",IF(INDEX(Hierarchy!$D$2:$D$1295,MATCH(D183,Hierarchy!$A$2:$A$1295,0))="","",INDEX(Hierarchy!$D$2:$D$1295,MATCH(D183,Hierarchy!$A$2:$A$1295,0))))</f>
        <v/>
      </c>
      <c r="G183" s="7" t="str">
        <f aca="false">IF(D183="","",IF(INDEX(Hierarchy!$E$2:$E$1295,MATCH(D183,Hierarchy!$A$2:$A$1295,0))="","",INDEX(Hierarchy!$E$2:$E$1295,MATCH(D183,Hierarchy!$A$2:$A$1295,0))))</f>
        <v/>
      </c>
      <c r="H183" s="7" t="str">
        <f aca="false">IF(D183="","",IF(INDEX(Hierarchy!$F$2:$F$1295,MATCH(D183,Hierarchy!$A$2:$A$1295,0))="","",INDEX(Hierarchy!$F$2:$F$1295,MATCH(D183,Hierarchy!$A$2:$A$1295,0))))</f>
        <v/>
      </c>
      <c r="I183" s="7" t="str">
        <f aca="false">IF(D183="","",IF(INDEX(Hierarchy!$H$2:$H$1295,MATCH(D183,Hierarchy!$A$2:$A$1295,0))="","",INDEX(Hierarchy!$H$2:$H$1295,MATCH(D183,Hierarchy!$A$2:$A$1295,0))))</f>
        <v/>
      </c>
    </row>
    <row r="184" customFormat="false" ht="15" hidden="false" customHeight="false" outlineLevel="0" collapsed="false">
      <c r="A184" s="19"/>
      <c r="B184" s="7" t="str">
        <f aca="false">IF(A184="","",TRIM(SUBSTITUTE(SUBSTITUTE(SUBSTITUTE(" "&amp;TRIM(SUBSTITUTE(SUBSTITUTE(SUBSTITUTE(SUBSTITUTE(SUBSTITUTE(SUBSTITUTE(SUBSTITUTE(SUBSTITUTE(SUBSTITUTE(SUBSTITUTE(SUBSTITUTE(SUBSTITUTE(SUBSTITUTE(SUBSTITUTE(SUBSTITUTE(UPPER(TRIM(A184)),"[MEMBER]",""),"{MEMBER}",""),"[MEMBER}",""),"MEMBER]",""),"(A)",""),"""",""),"“",""),"”",""),".",""),":",""),",",""),"–"," "),"-"," "),"/"," "),"&amp;"," AND "))&amp;" "," THE "," ")," TOTAL "," ")," OPERATIONS "," ")))</f>
        <v/>
      </c>
      <c r="C184" s="17" t="str">
        <f aca="false">IF(A184="","",IF(ISNUMBER(MATCH(B184,Excluded!$E$2:$E$19,0)),"Excluded (not a place)",IF(ISNUMBER(MATCH(B184,'Label Map'!$N$2:$N$2019,0)),"Auto-matched","UNMAPPED: add to Label Map")))</f>
        <v/>
      </c>
      <c r="D184" s="7" t="str">
        <f aca="false">IF(C184="Auto-matched",INDEX('Label Map'!$D$2:$D$2019,MATCH(B184,'Label Map'!$N$2:$N$2019,0)),"")</f>
        <v/>
      </c>
      <c r="E184" s="7" t="str">
        <f aca="false">IF(D184="","",IF(INDEX(Hierarchy!$B$2:$B$1295,MATCH(D184,Hierarchy!$A$2:$A$1295,0))="","",INDEX(Hierarchy!$B$2:$B$1295,MATCH(D184,Hierarchy!$A$2:$A$1295,0))))</f>
        <v/>
      </c>
      <c r="F184" s="7" t="str">
        <f aca="false">IF(D184="","",IF(INDEX(Hierarchy!$D$2:$D$1295,MATCH(D184,Hierarchy!$A$2:$A$1295,0))="","",INDEX(Hierarchy!$D$2:$D$1295,MATCH(D184,Hierarchy!$A$2:$A$1295,0))))</f>
        <v/>
      </c>
      <c r="G184" s="7" t="str">
        <f aca="false">IF(D184="","",IF(INDEX(Hierarchy!$E$2:$E$1295,MATCH(D184,Hierarchy!$A$2:$A$1295,0))="","",INDEX(Hierarchy!$E$2:$E$1295,MATCH(D184,Hierarchy!$A$2:$A$1295,0))))</f>
        <v/>
      </c>
      <c r="H184" s="7" t="str">
        <f aca="false">IF(D184="","",IF(INDEX(Hierarchy!$F$2:$F$1295,MATCH(D184,Hierarchy!$A$2:$A$1295,0))="","",INDEX(Hierarchy!$F$2:$F$1295,MATCH(D184,Hierarchy!$A$2:$A$1295,0))))</f>
        <v/>
      </c>
      <c r="I184" s="7" t="str">
        <f aca="false">IF(D184="","",IF(INDEX(Hierarchy!$H$2:$H$1295,MATCH(D184,Hierarchy!$A$2:$A$1295,0))="","",INDEX(Hierarchy!$H$2:$H$1295,MATCH(D184,Hierarchy!$A$2:$A$1295,0))))</f>
        <v/>
      </c>
    </row>
    <row r="185" customFormat="false" ht="15" hidden="false" customHeight="false" outlineLevel="0" collapsed="false">
      <c r="A185" s="19"/>
      <c r="B185" s="7" t="str">
        <f aca="false">IF(A185="","",TRIM(SUBSTITUTE(SUBSTITUTE(SUBSTITUTE(" "&amp;TRIM(SUBSTITUTE(SUBSTITUTE(SUBSTITUTE(SUBSTITUTE(SUBSTITUTE(SUBSTITUTE(SUBSTITUTE(SUBSTITUTE(SUBSTITUTE(SUBSTITUTE(SUBSTITUTE(SUBSTITUTE(SUBSTITUTE(SUBSTITUTE(SUBSTITUTE(UPPER(TRIM(A185)),"[MEMBER]",""),"{MEMBER}",""),"[MEMBER}",""),"MEMBER]",""),"(A)",""),"""",""),"“",""),"”",""),".",""),":",""),",",""),"–"," "),"-"," "),"/"," "),"&amp;"," AND "))&amp;" "," THE "," ")," TOTAL "," ")," OPERATIONS "," ")))</f>
        <v/>
      </c>
      <c r="C185" s="17" t="str">
        <f aca="false">IF(A185="","",IF(ISNUMBER(MATCH(B185,Excluded!$E$2:$E$19,0)),"Excluded (not a place)",IF(ISNUMBER(MATCH(B185,'Label Map'!$N$2:$N$2019,0)),"Auto-matched","UNMAPPED: add to Label Map")))</f>
        <v/>
      </c>
      <c r="D185" s="7" t="str">
        <f aca="false">IF(C185="Auto-matched",INDEX('Label Map'!$D$2:$D$2019,MATCH(B185,'Label Map'!$N$2:$N$2019,0)),"")</f>
        <v/>
      </c>
      <c r="E185" s="7" t="str">
        <f aca="false">IF(D185="","",IF(INDEX(Hierarchy!$B$2:$B$1295,MATCH(D185,Hierarchy!$A$2:$A$1295,0))="","",INDEX(Hierarchy!$B$2:$B$1295,MATCH(D185,Hierarchy!$A$2:$A$1295,0))))</f>
        <v/>
      </c>
      <c r="F185" s="7" t="str">
        <f aca="false">IF(D185="","",IF(INDEX(Hierarchy!$D$2:$D$1295,MATCH(D185,Hierarchy!$A$2:$A$1295,0))="","",INDEX(Hierarchy!$D$2:$D$1295,MATCH(D185,Hierarchy!$A$2:$A$1295,0))))</f>
        <v/>
      </c>
      <c r="G185" s="7" t="str">
        <f aca="false">IF(D185="","",IF(INDEX(Hierarchy!$E$2:$E$1295,MATCH(D185,Hierarchy!$A$2:$A$1295,0))="","",INDEX(Hierarchy!$E$2:$E$1295,MATCH(D185,Hierarchy!$A$2:$A$1295,0))))</f>
        <v/>
      </c>
      <c r="H185" s="7" t="str">
        <f aca="false">IF(D185="","",IF(INDEX(Hierarchy!$F$2:$F$1295,MATCH(D185,Hierarchy!$A$2:$A$1295,0))="","",INDEX(Hierarchy!$F$2:$F$1295,MATCH(D185,Hierarchy!$A$2:$A$1295,0))))</f>
        <v/>
      </c>
      <c r="I185" s="7" t="str">
        <f aca="false">IF(D185="","",IF(INDEX(Hierarchy!$H$2:$H$1295,MATCH(D185,Hierarchy!$A$2:$A$1295,0))="","",INDEX(Hierarchy!$H$2:$H$1295,MATCH(D185,Hierarchy!$A$2:$A$1295,0))))</f>
        <v/>
      </c>
    </row>
    <row r="186" customFormat="false" ht="15" hidden="false" customHeight="false" outlineLevel="0" collapsed="false">
      <c r="A186" s="19"/>
      <c r="B186" s="7" t="str">
        <f aca="false">IF(A186="","",TRIM(SUBSTITUTE(SUBSTITUTE(SUBSTITUTE(" "&amp;TRIM(SUBSTITUTE(SUBSTITUTE(SUBSTITUTE(SUBSTITUTE(SUBSTITUTE(SUBSTITUTE(SUBSTITUTE(SUBSTITUTE(SUBSTITUTE(SUBSTITUTE(SUBSTITUTE(SUBSTITUTE(SUBSTITUTE(SUBSTITUTE(SUBSTITUTE(UPPER(TRIM(A186)),"[MEMBER]",""),"{MEMBER}",""),"[MEMBER}",""),"MEMBER]",""),"(A)",""),"""",""),"“",""),"”",""),".",""),":",""),",",""),"–"," "),"-"," "),"/"," "),"&amp;"," AND "))&amp;" "," THE "," ")," TOTAL "," ")," OPERATIONS "," ")))</f>
        <v/>
      </c>
      <c r="C186" s="17" t="str">
        <f aca="false">IF(A186="","",IF(ISNUMBER(MATCH(B186,Excluded!$E$2:$E$19,0)),"Excluded (not a place)",IF(ISNUMBER(MATCH(B186,'Label Map'!$N$2:$N$2019,0)),"Auto-matched","UNMAPPED: add to Label Map")))</f>
        <v/>
      </c>
      <c r="D186" s="7" t="str">
        <f aca="false">IF(C186="Auto-matched",INDEX('Label Map'!$D$2:$D$2019,MATCH(B186,'Label Map'!$N$2:$N$2019,0)),"")</f>
        <v/>
      </c>
      <c r="E186" s="7" t="str">
        <f aca="false">IF(D186="","",IF(INDEX(Hierarchy!$B$2:$B$1295,MATCH(D186,Hierarchy!$A$2:$A$1295,0))="","",INDEX(Hierarchy!$B$2:$B$1295,MATCH(D186,Hierarchy!$A$2:$A$1295,0))))</f>
        <v/>
      </c>
      <c r="F186" s="7" t="str">
        <f aca="false">IF(D186="","",IF(INDEX(Hierarchy!$D$2:$D$1295,MATCH(D186,Hierarchy!$A$2:$A$1295,0))="","",INDEX(Hierarchy!$D$2:$D$1295,MATCH(D186,Hierarchy!$A$2:$A$1295,0))))</f>
        <v/>
      </c>
      <c r="G186" s="7" t="str">
        <f aca="false">IF(D186="","",IF(INDEX(Hierarchy!$E$2:$E$1295,MATCH(D186,Hierarchy!$A$2:$A$1295,0))="","",INDEX(Hierarchy!$E$2:$E$1295,MATCH(D186,Hierarchy!$A$2:$A$1295,0))))</f>
        <v/>
      </c>
      <c r="H186" s="7" t="str">
        <f aca="false">IF(D186="","",IF(INDEX(Hierarchy!$F$2:$F$1295,MATCH(D186,Hierarchy!$A$2:$A$1295,0))="","",INDEX(Hierarchy!$F$2:$F$1295,MATCH(D186,Hierarchy!$A$2:$A$1295,0))))</f>
        <v/>
      </c>
      <c r="I186" s="7" t="str">
        <f aca="false">IF(D186="","",IF(INDEX(Hierarchy!$H$2:$H$1295,MATCH(D186,Hierarchy!$A$2:$A$1295,0))="","",INDEX(Hierarchy!$H$2:$H$1295,MATCH(D186,Hierarchy!$A$2:$A$1295,0))))</f>
        <v/>
      </c>
    </row>
    <row r="187" customFormat="false" ht="15" hidden="false" customHeight="false" outlineLevel="0" collapsed="false">
      <c r="A187" s="19"/>
      <c r="B187" s="7" t="str">
        <f aca="false">IF(A187="","",TRIM(SUBSTITUTE(SUBSTITUTE(SUBSTITUTE(" "&amp;TRIM(SUBSTITUTE(SUBSTITUTE(SUBSTITUTE(SUBSTITUTE(SUBSTITUTE(SUBSTITUTE(SUBSTITUTE(SUBSTITUTE(SUBSTITUTE(SUBSTITUTE(SUBSTITUTE(SUBSTITUTE(SUBSTITUTE(SUBSTITUTE(SUBSTITUTE(UPPER(TRIM(A187)),"[MEMBER]",""),"{MEMBER}",""),"[MEMBER}",""),"MEMBER]",""),"(A)",""),"""",""),"“",""),"”",""),".",""),":",""),",",""),"–"," "),"-"," "),"/"," "),"&amp;"," AND "))&amp;" "," THE "," ")," TOTAL "," ")," OPERATIONS "," ")))</f>
        <v/>
      </c>
      <c r="C187" s="17" t="str">
        <f aca="false">IF(A187="","",IF(ISNUMBER(MATCH(B187,Excluded!$E$2:$E$19,0)),"Excluded (not a place)",IF(ISNUMBER(MATCH(B187,'Label Map'!$N$2:$N$2019,0)),"Auto-matched","UNMAPPED: add to Label Map")))</f>
        <v/>
      </c>
      <c r="D187" s="7" t="str">
        <f aca="false">IF(C187="Auto-matched",INDEX('Label Map'!$D$2:$D$2019,MATCH(B187,'Label Map'!$N$2:$N$2019,0)),"")</f>
        <v/>
      </c>
      <c r="E187" s="7" t="str">
        <f aca="false">IF(D187="","",IF(INDEX(Hierarchy!$B$2:$B$1295,MATCH(D187,Hierarchy!$A$2:$A$1295,0))="","",INDEX(Hierarchy!$B$2:$B$1295,MATCH(D187,Hierarchy!$A$2:$A$1295,0))))</f>
        <v/>
      </c>
      <c r="F187" s="7" t="str">
        <f aca="false">IF(D187="","",IF(INDEX(Hierarchy!$D$2:$D$1295,MATCH(D187,Hierarchy!$A$2:$A$1295,0))="","",INDEX(Hierarchy!$D$2:$D$1295,MATCH(D187,Hierarchy!$A$2:$A$1295,0))))</f>
        <v/>
      </c>
      <c r="G187" s="7" t="str">
        <f aca="false">IF(D187="","",IF(INDEX(Hierarchy!$E$2:$E$1295,MATCH(D187,Hierarchy!$A$2:$A$1295,0))="","",INDEX(Hierarchy!$E$2:$E$1295,MATCH(D187,Hierarchy!$A$2:$A$1295,0))))</f>
        <v/>
      </c>
      <c r="H187" s="7" t="str">
        <f aca="false">IF(D187="","",IF(INDEX(Hierarchy!$F$2:$F$1295,MATCH(D187,Hierarchy!$A$2:$A$1295,0))="","",INDEX(Hierarchy!$F$2:$F$1295,MATCH(D187,Hierarchy!$A$2:$A$1295,0))))</f>
        <v/>
      </c>
      <c r="I187" s="7" t="str">
        <f aca="false">IF(D187="","",IF(INDEX(Hierarchy!$H$2:$H$1295,MATCH(D187,Hierarchy!$A$2:$A$1295,0))="","",INDEX(Hierarchy!$H$2:$H$1295,MATCH(D187,Hierarchy!$A$2:$A$1295,0))))</f>
        <v/>
      </c>
    </row>
    <row r="188" customFormat="false" ht="15" hidden="false" customHeight="false" outlineLevel="0" collapsed="false">
      <c r="A188" s="19"/>
      <c r="B188" s="7" t="str">
        <f aca="false">IF(A188="","",TRIM(SUBSTITUTE(SUBSTITUTE(SUBSTITUTE(" "&amp;TRIM(SUBSTITUTE(SUBSTITUTE(SUBSTITUTE(SUBSTITUTE(SUBSTITUTE(SUBSTITUTE(SUBSTITUTE(SUBSTITUTE(SUBSTITUTE(SUBSTITUTE(SUBSTITUTE(SUBSTITUTE(SUBSTITUTE(SUBSTITUTE(SUBSTITUTE(UPPER(TRIM(A188)),"[MEMBER]",""),"{MEMBER}",""),"[MEMBER}",""),"MEMBER]",""),"(A)",""),"""",""),"“",""),"”",""),".",""),":",""),",",""),"–"," "),"-"," "),"/"," "),"&amp;"," AND "))&amp;" "," THE "," ")," TOTAL "," ")," OPERATIONS "," ")))</f>
        <v/>
      </c>
      <c r="C188" s="17" t="str">
        <f aca="false">IF(A188="","",IF(ISNUMBER(MATCH(B188,Excluded!$E$2:$E$19,0)),"Excluded (not a place)",IF(ISNUMBER(MATCH(B188,'Label Map'!$N$2:$N$2019,0)),"Auto-matched","UNMAPPED: add to Label Map")))</f>
        <v/>
      </c>
      <c r="D188" s="7" t="str">
        <f aca="false">IF(C188="Auto-matched",INDEX('Label Map'!$D$2:$D$2019,MATCH(B188,'Label Map'!$N$2:$N$2019,0)),"")</f>
        <v/>
      </c>
      <c r="E188" s="7" t="str">
        <f aca="false">IF(D188="","",IF(INDEX(Hierarchy!$B$2:$B$1295,MATCH(D188,Hierarchy!$A$2:$A$1295,0))="","",INDEX(Hierarchy!$B$2:$B$1295,MATCH(D188,Hierarchy!$A$2:$A$1295,0))))</f>
        <v/>
      </c>
      <c r="F188" s="7" t="str">
        <f aca="false">IF(D188="","",IF(INDEX(Hierarchy!$D$2:$D$1295,MATCH(D188,Hierarchy!$A$2:$A$1295,0))="","",INDEX(Hierarchy!$D$2:$D$1295,MATCH(D188,Hierarchy!$A$2:$A$1295,0))))</f>
        <v/>
      </c>
      <c r="G188" s="7" t="str">
        <f aca="false">IF(D188="","",IF(INDEX(Hierarchy!$E$2:$E$1295,MATCH(D188,Hierarchy!$A$2:$A$1295,0))="","",INDEX(Hierarchy!$E$2:$E$1295,MATCH(D188,Hierarchy!$A$2:$A$1295,0))))</f>
        <v/>
      </c>
      <c r="H188" s="7" t="str">
        <f aca="false">IF(D188="","",IF(INDEX(Hierarchy!$F$2:$F$1295,MATCH(D188,Hierarchy!$A$2:$A$1295,0))="","",INDEX(Hierarchy!$F$2:$F$1295,MATCH(D188,Hierarchy!$A$2:$A$1295,0))))</f>
        <v/>
      </c>
      <c r="I188" s="7" t="str">
        <f aca="false">IF(D188="","",IF(INDEX(Hierarchy!$H$2:$H$1295,MATCH(D188,Hierarchy!$A$2:$A$1295,0))="","",INDEX(Hierarchy!$H$2:$H$1295,MATCH(D188,Hierarchy!$A$2:$A$1295,0))))</f>
        <v/>
      </c>
    </row>
    <row r="189" customFormat="false" ht="15" hidden="false" customHeight="false" outlineLevel="0" collapsed="false">
      <c r="A189" s="19"/>
      <c r="B189" s="7" t="str">
        <f aca="false">IF(A189="","",TRIM(SUBSTITUTE(SUBSTITUTE(SUBSTITUTE(" "&amp;TRIM(SUBSTITUTE(SUBSTITUTE(SUBSTITUTE(SUBSTITUTE(SUBSTITUTE(SUBSTITUTE(SUBSTITUTE(SUBSTITUTE(SUBSTITUTE(SUBSTITUTE(SUBSTITUTE(SUBSTITUTE(SUBSTITUTE(SUBSTITUTE(SUBSTITUTE(UPPER(TRIM(A189)),"[MEMBER]",""),"{MEMBER}",""),"[MEMBER}",""),"MEMBER]",""),"(A)",""),"""",""),"“",""),"”",""),".",""),":",""),",",""),"–"," "),"-"," "),"/"," "),"&amp;"," AND "))&amp;" "," THE "," ")," TOTAL "," ")," OPERATIONS "," ")))</f>
        <v/>
      </c>
      <c r="C189" s="17" t="str">
        <f aca="false">IF(A189="","",IF(ISNUMBER(MATCH(B189,Excluded!$E$2:$E$19,0)),"Excluded (not a place)",IF(ISNUMBER(MATCH(B189,'Label Map'!$N$2:$N$2019,0)),"Auto-matched","UNMAPPED: add to Label Map")))</f>
        <v/>
      </c>
      <c r="D189" s="7" t="str">
        <f aca="false">IF(C189="Auto-matched",INDEX('Label Map'!$D$2:$D$2019,MATCH(B189,'Label Map'!$N$2:$N$2019,0)),"")</f>
        <v/>
      </c>
      <c r="E189" s="7" t="str">
        <f aca="false">IF(D189="","",IF(INDEX(Hierarchy!$B$2:$B$1295,MATCH(D189,Hierarchy!$A$2:$A$1295,0))="","",INDEX(Hierarchy!$B$2:$B$1295,MATCH(D189,Hierarchy!$A$2:$A$1295,0))))</f>
        <v/>
      </c>
      <c r="F189" s="7" t="str">
        <f aca="false">IF(D189="","",IF(INDEX(Hierarchy!$D$2:$D$1295,MATCH(D189,Hierarchy!$A$2:$A$1295,0))="","",INDEX(Hierarchy!$D$2:$D$1295,MATCH(D189,Hierarchy!$A$2:$A$1295,0))))</f>
        <v/>
      </c>
      <c r="G189" s="7" t="str">
        <f aca="false">IF(D189="","",IF(INDEX(Hierarchy!$E$2:$E$1295,MATCH(D189,Hierarchy!$A$2:$A$1295,0))="","",INDEX(Hierarchy!$E$2:$E$1295,MATCH(D189,Hierarchy!$A$2:$A$1295,0))))</f>
        <v/>
      </c>
      <c r="H189" s="7" t="str">
        <f aca="false">IF(D189="","",IF(INDEX(Hierarchy!$F$2:$F$1295,MATCH(D189,Hierarchy!$A$2:$A$1295,0))="","",INDEX(Hierarchy!$F$2:$F$1295,MATCH(D189,Hierarchy!$A$2:$A$1295,0))))</f>
        <v/>
      </c>
      <c r="I189" s="7" t="str">
        <f aca="false">IF(D189="","",IF(INDEX(Hierarchy!$H$2:$H$1295,MATCH(D189,Hierarchy!$A$2:$A$1295,0))="","",INDEX(Hierarchy!$H$2:$H$1295,MATCH(D189,Hierarchy!$A$2:$A$1295,0))))</f>
        <v/>
      </c>
    </row>
    <row r="190" customFormat="false" ht="15" hidden="false" customHeight="false" outlineLevel="0" collapsed="false">
      <c r="A190" s="19"/>
      <c r="B190" s="7" t="str">
        <f aca="false">IF(A190="","",TRIM(SUBSTITUTE(SUBSTITUTE(SUBSTITUTE(" "&amp;TRIM(SUBSTITUTE(SUBSTITUTE(SUBSTITUTE(SUBSTITUTE(SUBSTITUTE(SUBSTITUTE(SUBSTITUTE(SUBSTITUTE(SUBSTITUTE(SUBSTITUTE(SUBSTITUTE(SUBSTITUTE(SUBSTITUTE(SUBSTITUTE(SUBSTITUTE(UPPER(TRIM(A190)),"[MEMBER]",""),"{MEMBER}",""),"[MEMBER}",""),"MEMBER]",""),"(A)",""),"""",""),"“",""),"”",""),".",""),":",""),",",""),"–"," "),"-"," "),"/"," "),"&amp;"," AND "))&amp;" "," THE "," ")," TOTAL "," ")," OPERATIONS "," ")))</f>
        <v/>
      </c>
      <c r="C190" s="17" t="str">
        <f aca="false">IF(A190="","",IF(ISNUMBER(MATCH(B190,Excluded!$E$2:$E$19,0)),"Excluded (not a place)",IF(ISNUMBER(MATCH(B190,'Label Map'!$N$2:$N$2019,0)),"Auto-matched","UNMAPPED: add to Label Map")))</f>
        <v/>
      </c>
      <c r="D190" s="7" t="str">
        <f aca="false">IF(C190="Auto-matched",INDEX('Label Map'!$D$2:$D$2019,MATCH(B190,'Label Map'!$N$2:$N$2019,0)),"")</f>
        <v/>
      </c>
      <c r="E190" s="7" t="str">
        <f aca="false">IF(D190="","",IF(INDEX(Hierarchy!$B$2:$B$1295,MATCH(D190,Hierarchy!$A$2:$A$1295,0))="","",INDEX(Hierarchy!$B$2:$B$1295,MATCH(D190,Hierarchy!$A$2:$A$1295,0))))</f>
        <v/>
      </c>
      <c r="F190" s="7" t="str">
        <f aca="false">IF(D190="","",IF(INDEX(Hierarchy!$D$2:$D$1295,MATCH(D190,Hierarchy!$A$2:$A$1295,0))="","",INDEX(Hierarchy!$D$2:$D$1295,MATCH(D190,Hierarchy!$A$2:$A$1295,0))))</f>
        <v/>
      </c>
      <c r="G190" s="7" t="str">
        <f aca="false">IF(D190="","",IF(INDEX(Hierarchy!$E$2:$E$1295,MATCH(D190,Hierarchy!$A$2:$A$1295,0))="","",INDEX(Hierarchy!$E$2:$E$1295,MATCH(D190,Hierarchy!$A$2:$A$1295,0))))</f>
        <v/>
      </c>
      <c r="H190" s="7" t="str">
        <f aca="false">IF(D190="","",IF(INDEX(Hierarchy!$F$2:$F$1295,MATCH(D190,Hierarchy!$A$2:$A$1295,0))="","",INDEX(Hierarchy!$F$2:$F$1295,MATCH(D190,Hierarchy!$A$2:$A$1295,0))))</f>
        <v/>
      </c>
      <c r="I190" s="7" t="str">
        <f aca="false">IF(D190="","",IF(INDEX(Hierarchy!$H$2:$H$1295,MATCH(D190,Hierarchy!$A$2:$A$1295,0))="","",INDEX(Hierarchy!$H$2:$H$1295,MATCH(D190,Hierarchy!$A$2:$A$1295,0))))</f>
        <v/>
      </c>
    </row>
    <row r="191" customFormat="false" ht="15" hidden="false" customHeight="false" outlineLevel="0" collapsed="false">
      <c r="A191" s="19"/>
      <c r="B191" s="7" t="str">
        <f aca="false">IF(A191="","",TRIM(SUBSTITUTE(SUBSTITUTE(SUBSTITUTE(" "&amp;TRIM(SUBSTITUTE(SUBSTITUTE(SUBSTITUTE(SUBSTITUTE(SUBSTITUTE(SUBSTITUTE(SUBSTITUTE(SUBSTITUTE(SUBSTITUTE(SUBSTITUTE(SUBSTITUTE(SUBSTITUTE(SUBSTITUTE(SUBSTITUTE(SUBSTITUTE(UPPER(TRIM(A191)),"[MEMBER]",""),"{MEMBER}",""),"[MEMBER}",""),"MEMBER]",""),"(A)",""),"""",""),"“",""),"”",""),".",""),":",""),",",""),"–"," "),"-"," "),"/"," "),"&amp;"," AND "))&amp;" "," THE "," ")," TOTAL "," ")," OPERATIONS "," ")))</f>
        <v/>
      </c>
      <c r="C191" s="17" t="str">
        <f aca="false">IF(A191="","",IF(ISNUMBER(MATCH(B191,Excluded!$E$2:$E$19,0)),"Excluded (not a place)",IF(ISNUMBER(MATCH(B191,'Label Map'!$N$2:$N$2019,0)),"Auto-matched","UNMAPPED: add to Label Map")))</f>
        <v/>
      </c>
      <c r="D191" s="7" t="str">
        <f aca="false">IF(C191="Auto-matched",INDEX('Label Map'!$D$2:$D$2019,MATCH(B191,'Label Map'!$N$2:$N$2019,0)),"")</f>
        <v/>
      </c>
      <c r="E191" s="7" t="str">
        <f aca="false">IF(D191="","",IF(INDEX(Hierarchy!$B$2:$B$1295,MATCH(D191,Hierarchy!$A$2:$A$1295,0))="","",INDEX(Hierarchy!$B$2:$B$1295,MATCH(D191,Hierarchy!$A$2:$A$1295,0))))</f>
        <v/>
      </c>
      <c r="F191" s="7" t="str">
        <f aca="false">IF(D191="","",IF(INDEX(Hierarchy!$D$2:$D$1295,MATCH(D191,Hierarchy!$A$2:$A$1295,0))="","",INDEX(Hierarchy!$D$2:$D$1295,MATCH(D191,Hierarchy!$A$2:$A$1295,0))))</f>
        <v/>
      </c>
      <c r="G191" s="7" t="str">
        <f aca="false">IF(D191="","",IF(INDEX(Hierarchy!$E$2:$E$1295,MATCH(D191,Hierarchy!$A$2:$A$1295,0))="","",INDEX(Hierarchy!$E$2:$E$1295,MATCH(D191,Hierarchy!$A$2:$A$1295,0))))</f>
        <v/>
      </c>
      <c r="H191" s="7" t="str">
        <f aca="false">IF(D191="","",IF(INDEX(Hierarchy!$F$2:$F$1295,MATCH(D191,Hierarchy!$A$2:$A$1295,0))="","",INDEX(Hierarchy!$F$2:$F$1295,MATCH(D191,Hierarchy!$A$2:$A$1295,0))))</f>
        <v/>
      </c>
      <c r="I191" s="7" t="str">
        <f aca="false">IF(D191="","",IF(INDEX(Hierarchy!$H$2:$H$1295,MATCH(D191,Hierarchy!$A$2:$A$1295,0))="","",INDEX(Hierarchy!$H$2:$H$1295,MATCH(D191,Hierarchy!$A$2:$A$1295,0))))</f>
        <v/>
      </c>
    </row>
    <row r="192" customFormat="false" ht="15" hidden="false" customHeight="false" outlineLevel="0" collapsed="false">
      <c r="A192" s="19"/>
      <c r="B192" s="7" t="str">
        <f aca="false">IF(A192="","",TRIM(SUBSTITUTE(SUBSTITUTE(SUBSTITUTE(" "&amp;TRIM(SUBSTITUTE(SUBSTITUTE(SUBSTITUTE(SUBSTITUTE(SUBSTITUTE(SUBSTITUTE(SUBSTITUTE(SUBSTITUTE(SUBSTITUTE(SUBSTITUTE(SUBSTITUTE(SUBSTITUTE(SUBSTITUTE(SUBSTITUTE(SUBSTITUTE(UPPER(TRIM(A192)),"[MEMBER]",""),"{MEMBER}",""),"[MEMBER}",""),"MEMBER]",""),"(A)",""),"""",""),"“",""),"”",""),".",""),":",""),",",""),"–"," "),"-"," "),"/"," "),"&amp;"," AND "))&amp;" "," THE "," ")," TOTAL "," ")," OPERATIONS "," ")))</f>
        <v/>
      </c>
      <c r="C192" s="17" t="str">
        <f aca="false">IF(A192="","",IF(ISNUMBER(MATCH(B192,Excluded!$E$2:$E$19,0)),"Excluded (not a place)",IF(ISNUMBER(MATCH(B192,'Label Map'!$N$2:$N$2019,0)),"Auto-matched","UNMAPPED: add to Label Map")))</f>
        <v/>
      </c>
      <c r="D192" s="7" t="str">
        <f aca="false">IF(C192="Auto-matched",INDEX('Label Map'!$D$2:$D$2019,MATCH(B192,'Label Map'!$N$2:$N$2019,0)),"")</f>
        <v/>
      </c>
      <c r="E192" s="7" t="str">
        <f aca="false">IF(D192="","",IF(INDEX(Hierarchy!$B$2:$B$1295,MATCH(D192,Hierarchy!$A$2:$A$1295,0))="","",INDEX(Hierarchy!$B$2:$B$1295,MATCH(D192,Hierarchy!$A$2:$A$1295,0))))</f>
        <v/>
      </c>
      <c r="F192" s="7" t="str">
        <f aca="false">IF(D192="","",IF(INDEX(Hierarchy!$D$2:$D$1295,MATCH(D192,Hierarchy!$A$2:$A$1295,0))="","",INDEX(Hierarchy!$D$2:$D$1295,MATCH(D192,Hierarchy!$A$2:$A$1295,0))))</f>
        <v/>
      </c>
      <c r="G192" s="7" t="str">
        <f aca="false">IF(D192="","",IF(INDEX(Hierarchy!$E$2:$E$1295,MATCH(D192,Hierarchy!$A$2:$A$1295,0))="","",INDEX(Hierarchy!$E$2:$E$1295,MATCH(D192,Hierarchy!$A$2:$A$1295,0))))</f>
        <v/>
      </c>
      <c r="H192" s="7" t="str">
        <f aca="false">IF(D192="","",IF(INDEX(Hierarchy!$F$2:$F$1295,MATCH(D192,Hierarchy!$A$2:$A$1295,0))="","",INDEX(Hierarchy!$F$2:$F$1295,MATCH(D192,Hierarchy!$A$2:$A$1295,0))))</f>
        <v/>
      </c>
      <c r="I192" s="7" t="str">
        <f aca="false">IF(D192="","",IF(INDEX(Hierarchy!$H$2:$H$1295,MATCH(D192,Hierarchy!$A$2:$A$1295,0))="","",INDEX(Hierarchy!$H$2:$H$1295,MATCH(D192,Hierarchy!$A$2:$A$1295,0))))</f>
        <v/>
      </c>
    </row>
    <row r="193" customFormat="false" ht="15" hidden="false" customHeight="false" outlineLevel="0" collapsed="false">
      <c r="A193" s="19"/>
      <c r="B193" s="7" t="str">
        <f aca="false">IF(A193="","",TRIM(SUBSTITUTE(SUBSTITUTE(SUBSTITUTE(" "&amp;TRIM(SUBSTITUTE(SUBSTITUTE(SUBSTITUTE(SUBSTITUTE(SUBSTITUTE(SUBSTITUTE(SUBSTITUTE(SUBSTITUTE(SUBSTITUTE(SUBSTITUTE(SUBSTITUTE(SUBSTITUTE(SUBSTITUTE(SUBSTITUTE(SUBSTITUTE(UPPER(TRIM(A193)),"[MEMBER]",""),"{MEMBER}",""),"[MEMBER}",""),"MEMBER]",""),"(A)",""),"""",""),"“",""),"”",""),".",""),":",""),",",""),"–"," "),"-"," "),"/"," "),"&amp;"," AND "))&amp;" "," THE "," ")," TOTAL "," ")," OPERATIONS "," ")))</f>
        <v/>
      </c>
      <c r="C193" s="17" t="str">
        <f aca="false">IF(A193="","",IF(ISNUMBER(MATCH(B193,Excluded!$E$2:$E$19,0)),"Excluded (not a place)",IF(ISNUMBER(MATCH(B193,'Label Map'!$N$2:$N$2019,0)),"Auto-matched","UNMAPPED: add to Label Map")))</f>
        <v/>
      </c>
      <c r="D193" s="7" t="str">
        <f aca="false">IF(C193="Auto-matched",INDEX('Label Map'!$D$2:$D$2019,MATCH(B193,'Label Map'!$N$2:$N$2019,0)),"")</f>
        <v/>
      </c>
      <c r="E193" s="7" t="str">
        <f aca="false">IF(D193="","",IF(INDEX(Hierarchy!$B$2:$B$1295,MATCH(D193,Hierarchy!$A$2:$A$1295,0))="","",INDEX(Hierarchy!$B$2:$B$1295,MATCH(D193,Hierarchy!$A$2:$A$1295,0))))</f>
        <v/>
      </c>
      <c r="F193" s="7" t="str">
        <f aca="false">IF(D193="","",IF(INDEX(Hierarchy!$D$2:$D$1295,MATCH(D193,Hierarchy!$A$2:$A$1295,0))="","",INDEX(Hierarchy!$D$2:$D$1295,MATCH(D193,Hierarchy!$A$2:$A$1295,0))))</f>
        <v/>
      </c>
      <c r="G193" s="7" t="str">
        <f aca="false">IF(D193="","",IF(INDEX(Hierarchy!$E$2:$E$1295,MATCH(D193,Hierarchy!$A$2:$A$1295,0))="","",INDEX(Hierarchy!$E$2:$E$1295,MATCH(D193,Hierarchy!$A$2:$A$1295,0))))</f>
        <v/>
      </c>
      <c r="H193" s="7" t="str">
        <f aca="false">IF(D193="","",IF(INDEX(Hierarchy!$F$2:$F$1295,MATCH(D193,Hierarchy!$A$2:$A$1295,0))="","",INDEX(Hierarchy!$F$2:$F$1295,MATCH(D193,Hierarchy!$A$2:$A$1295,0))))</f>
        <v/>
      </c>
      <c r="I193" s="7" t="str">
        <f aca="false">IF(D193="","",IF(INDEX(Hierarchy!$H$2:$H$1295,MATCH(D193,Hierarchy!$A$2:$A$1295,0))="","",INDEX(Hierarchy!$H$2:$H$1295,MATCH(D193,Hierarchy!$A$2:$A$1295,0))))</f>
        <v/>
      </c>
    </row>
    <row r="194" customFormat="false" ht="15" hidden="false" customHeight="false" outlineLevel="0" collapsed="false">
      <c r="A194" s="19"/>
      <c r="B194" s="7" t="str">
        <f aca="false">IF(A194="","",TRIM(SUBSTITUTE(SUBSTITUTE(SUBSTITUTE(" "&amp;TRIM(SUBSTITUTE(SUBSTITUTE(SUBSTITUTE(SUBSTITUTE(SUBSTITUTE(SUBSTITUTE(SUBSTITUTE(SUBSTITUTE(SUBSTITUTE(SUBSTITUTE(SUBSTITUTE(SUBSTITUTE(SUBSTITUTE(SUBSTITUTE(SUBSTITUTE(UPPER(TRIM(A194)),"[MEMBER]",""),"{MEMBER}",""),"[MEMBER}",""),"MEMBER]",""),"(A)",""),"""",""),"“",""),"”",""),".",""),":",""),",",""),"–"," "),"-"," "),"/"," "),"&amp;"," AND "))&amp;" "," THE "," ")," TOTAL "," ")," OPERATIONS "," ")))</f>
        <v/>
      </c>
      <c r="C194" s="17" t="str">
        <f aca="false">IF(A194="","",IF(ISNUMBER(MATCH(B194,Excluded!$E$2:$E$19,0)),"Excluded (not a place)",IF(ISNUMBER(MATCH(B194,'Label Map'!$N$2:$N$2019,0)),"Auto-matched","UNMAPPED: add to Label Map")))</f>
        <v/>
      </c>
      <c r="D194" s="7" t="str">
        <f aca="false">IF(C194="Auto-matched",INDEX('Label Map'!$D$2:$D$2019,MATCH(B194,'Label Map'!$N$2:$N$2019,0)),"")</f>
        <v/>
      </c>
      <c r="E194" s="7" t="str">
        <f aca="false">IF(D194="","",IF(INDEX(Hierarchy!$B$2:$B$1295,MATCH(D194,Hierarchy!$A$2:$A$1295,0))="","",INDEX(Hierarchy!$B$2:$B$1295,MATCH(D194,Hierarchy!$A$2:$A$1295,0))))</f>
        <v/>
      </c>
      <c r="F194" s="7" t="str">
        <f aca="false">IF(D194="","",IF(INDEX(Hierarchy!$D$2:$D$1295,MATCH(D194,Hierarchy!$A$2:$A$1295,0))="","",INDEX(Hierarchy!$D$2:$D$1295,MATCH(D194,Hierarchy!$A$2:$A$1295,0))))</f>
        <v/>
      </c>
      <c r="G194" s="7" t="str">
        <f aca="false">IF(D194="","",IF(INDEX(Hierarchy!$E$2:$E$1295,MATCH(D194,Hierarchy!$A$2:$A$1295,0))="","",INDEX(Hierarchy!$E$2:$E$1295,MATCH(D194,Hierarchy!$A$2:$A$1295,0))))</f>
        <v/>
      </c>
      <c r="H194" s="7" t="str">
        <f aca="false">IF(D194="","",IF(INDEX(Hierarchy!$F$2:$F$1295,MATCH(D194,Hierarchy!$A$2:$A$1295,0))="","",INDEX(Hierarchy!$F$2:$F$1295,MATCH(D194,Hierarchy!$A$2:$A$1295,0))))</f>
        <v/>
      </c>
      <c r="I194" s="7" t="str">
        <f aca="false">IF(D194="","",IF(INDEX(Hierarchy!$H$2:$H$1295,MATCH(D194,Hierarchy!$A$2:$A$1295,0))="","",INDEX(Hierarchy!$H$2:$H$1295,MATCH(D194,Hierarchy!$A$2:$A$1295,0))))</f>
        <v/>
      </c>
    </row>
    <row r="195" customFormat="false" ht="15" hidden="false" customHeight="false" outlineLevel="0" collapsed="false">
      <c r="A195" s="19"/>
      <c r="B195" s="7" t="str">
        <f aca="false">IF(A195="","",TRIM(SUBSTITUTE(SUBSTITUTE(SUBSTITUTE(" "&amp;TRIM(SUBSTITUTE(SUBSTITUTE(SUBSTITUTE(SUBSTITUTE(SUBSTITUTE(SUBSTITUTE(SUBSTITUTE(SUBSTITUTE(SUBSTITUTE(SUBSTITUTE(SUBSTITUTE(SUBSTITUTE(SUBSTITUTE(SUBSTITUTE(SUBSTITUTE(UPPER(TRIM(A195)),"[MEMBER]",""),"{MEMBER}",""),"[MEMBER}",""),"MEMBER]",""),"(A)",""),"""",""),"“",""),"”",""),".",""),":",""),",",""),"–"," "),"-"," "),"/"," "),"&amp;"," AND "))&amp;" "," THE "," ")," TOTAL "," ")," OPERATIONS "," ")))</f>
        <v/>
      </c>
      <c r="C195" s="17" t="str">
        <f aca="false">IF(A195="","",IF(ISNUMBER(MATCH(B195,Excluded!$E$2:$E$19,0)),"Excluded (not a place)",IF(ISNUMBER(MATCH(B195,'Label Map'!$N$2:$N$2019,0)),"Auto-matched","UNMAPPED: add to Label Map")))</f>
        <v/>
      </c>
      <c r="D195" s="7" t="str">
        <f aca="false">IF(C195="Auto-matched",INDEX('Label Map'!$D$2:$D$2019,MATCH(B195,'Label Map'!$N$2:$N$2019,0)),"")</f>
        <v/>
      </c>
      <c r="E195" s="7" t="str">
        <f aca="false">IF(D195="","",IF(INDEX(Hierarchy!$B$2:$B$1295,MATCH(D195,Hierarchy!$A$2:$A$1295,0))="","",INDEX(Hierarchy!$B$2:$B$1295,MATCH(D195,Hierarchy!$A$2:$A$1295,0))))</f>
        <v/>
      </c>
      <c r="F195" s="7" t="str">
        <f aca="false">IF(D195="","",IF(INDEX(Hierarchy!$D$2:$D$1295,MATCH(D195,Hierarchy!$A$2:$A$1295,0))="","",INDEX(Hierarchy!$D$2:$D$1295,MATCH(D195,Hierarchy!$A$2:$A$1295,0))))</f>
        <v/>
      </c>
      <c r="G195" s="7" t="str">
        <f aca="false">IF(D195="","",IF(INDEX(Hierarchy!$E$2:$E$1295,MATCH(D195,Hierarchy!$A$2:$A$1295,0))="","",INDEX(Hierarchy!$E$2:$E$1295,MATCH(D195,Hierarchy!$A$2:$A$1295,0))))</f>
        <v/>
      </c>
      <c r="H195" s="7" t="str">
        <f aca="false">IF(D195="","",IF(INDEX(Hierarchy!$F$2:$F$1295,MATCH(D195,Hierarchy!$A$2:$A$1295,0))="","",INDEX(Hierarchy!$F$2:$F$1295,MATCH(D195,Hierarchy!$A$2:$A$1295,0))))</f>
        <v/>
      </c>
      <c r="I195" s="7" t="str">
        <f aca="false">IF(D195="","",IF(INDEX(Hierarchy!$H$2:$H$1295,MATCH(D195,Hierarchy!$A$2:$A$1295,0))="","",INDEX(Hierarchy!$H$2:$H$1295,MATCH(D195,Hierarchy!$A$2:$A$1295,0))))</f>
        <v/>
      </c>
    </row>
    <row r="196" customFormat="false" ht="15" hidden="false" customHeight="false" outlineLevel="0" collapsed="false">
      <c r="A196" s="19"/>
      <c r="B196" s="7" t="str">
        <f aca="false">IF(A196="","",TRIM(SUBSTITUTE(SUBSTITUTE(SUBSTITUTE(" "&amp;TRIM(SUBSTITUTE(SUBSTITUTE(SUBSTITUTE(SUBSTITUTE(SUBSTITUTE(SUBSTITUTE(SUBSTITUTE(SUBSTITUTE(SUBSTITUTE(SUBSTITUTE(SUBSTITUTE(SUBSTITUTE(SUBSTITUTE(SUBSTITUTE(SUBSTITUTE(UPPER(TRIM(A196)),"[MEMBER]",""),"{MEMBER}",""),"[MEMBER}",""),"MEMBER]",""),"(A)",""),"""",""),"“",""),"”",""),".",""),":",""),",",""),"–"," "),"-"," "),"/"," "),"&amp;"," AND "))&amp;" "," THE "," ")," TOTAL "," ")," OPERATIONS "," ")))</f>
        <v/>
      </c>
      <c r="C196" s="17" t="str">
        <f aca="false">IF(A196="","",IF(ISNUMBER(MATCH(B196,Excluded!$E$2:$E$19,0)),"Excluded (not a place)",IF(ISNUMBER(MATCH(B196,'Label Map'!$N$2:$N$2019,0)),"Auto-matched","UNMAPPED: add to Label Map")))</f>
        <v/>
      </c>
      <c r="D196" s="7" t="str">
        <f aca="false">IF(C196="Auto-matched",INDEX('Label Map'!$D$2:$D$2019,MATCH(B196,'Label Map'!$N$2:$N$2019,0)),"")</f>
        <v/>
      </c>
      <c r="E196" s="7" t="str">
        <f aca="false">IF(D196="","",IF(INDEX(Hierarchy!$B$2:$B$1295,MATCH(D196,Hierarchy!$A$2:$A$1295,0))="","",INDEX(Hierarchy!$B$2:$B$1295,MATCH(D196,Hierarchy!$A$2:$A$1295,0))))</f>
        <v/>
      </c>
      <c r="F196" s="7" t="str">
        <f aca="false">IF(D196="","",IF(INDEX(Hierarchy!$D$2:$D$1295,MATCH(D196,Hierarchy!$A$2:$A$1295,0))="","",INDEX(Hierarchy!$D$2:$D$1295,MATCH(D196,Hierarchy!$A$2:$A$1295,0))))</f>
        <v/>
      </c>
      <c r="G196" s="7" t="str">
        <f aca="false">IF(D196="","",IF(INDEX(Hierarchy!$E$2:$E$1295,MATCH(D196,Hierarchy!$A$2:$A$1295,0))="","",INDEX(Hierarchy!$E$2:$E$1295,MATCH(D196,Hierarchy!$A$2:$A$1295,0))))</f>
        <v/>
      </c>
      <c r="H196" s="7" t="str">
        <f aca="false">IF(D196="","",IF(INDEX(Hierarchy!$F$2:$F$1295,MATCH(D196,Hierarchy!$A$2:$A$1295,0))="","",INDEX(Hierarchy!$F$2:$F$1295,MATCH(D196,Hierarchy!$A$2:$A$1295,0))))</f>
        <v/>
      </c>
      <c r="I196" s="7" t="str">
        <f aca="false">IF(D196="","",IF(INDEX(Hierarchy!$H$2:$H$1295,MATCH(D196,Hierarchy!$A$2:$A$1295,0))="","",INDEX(Hierarchy!$H$2:$H$1295,MATCH(D196,Hierarchy!$A$2:$A$1295,0))))</f>
        <v/>
      </c>
    </row>
    <row r="197" customFormat="false" ht="15" hidden="false" customHeight="false" outlineLevel="0" collapsed="false">
      <c r="A197" s="19"/>
      <c r="B197" s="7" t="str">
        <f aca="false">IF(A197="","",TRIM(SUBSTITUTE(SUBSTITUTE(SUBSTITUTE(" "&amp;TRIM(SUBSTITUTE(SUBSTITUTE(SUBSTITUTE(SUBSTITUTE(SUBSTITUTE(SUBSTITUTE(SUBSTITUTE(SUBSTITUTE(SUBSTITUTE(SUBSTITUTE(SUBSTITUTE(SUBSTITUTE(SUBSTITUTE(SUBSTITUTE(SUBSTITUTE(UPPER(TRIM(A197)),"[MEMBER]",""),"{MEMBER}",""),"[MEMBER}",""),"MEMBER]",""),"(A)",""),"""",""),"“",""),"”",""),".",""),":",""),",",""),"–"," "),"-"," "),"/"," "),"&amp;"," AND "))&amp;" "," THE "," ")," TOTAL "," ")," OPERATIONS "," ")))</f>
        <v/>
      </c>
      <c r="C197" s="17" t="str">
        <f aca="false">IF(A197="","",IF(ISNUMBER(MATCH(B197,Excluded!$E$2:$E$19,0)),"Excluded (not a place)",IF(ISNUMBER(MATCH(B197,'Label Map'!$N$2:$N$2019,0)),"Auto-matched","UNMAPPED: add to Label Map")))</f>
        <v/>
      </c>
      <c r="D197" s="7" t="str">
        <f aca="false">IF(C197="Auto-matched",INDEX('Label Map'!$D$2:$D$2019,MATCH(B197,'Label Map'!$N$2:$N$2019,0)),"")</f>
        <v/>
      </c>
      <c r="E197" s="7" t="str">
        <f aca="false">IF(D197="","",IF(INDEX(Hierarchy!$B$2:$B$1295,MATCH(D197,Hierarchy!$A$2:$A$1295,0))="","",INDEX(Hierarchy!$B$2:$B$1295,MATCH(D197,Hierarchy!$A$2:$A$1295,0))))</f>
        <v/>
      </c>
      <c r="F197" s="7" t="str">
        <f aca="false">IF(D197="","",IF(INDEX(Hierarchy!$D$2:$D$1295,MATCH(D197,Hierarchy!$A$2:$A$1295,0))="","",INDEX(Hierarchy!$D$2:$D$1295,MATCH(D197,Hierarchy!$A$2:$A$1295,0))))</f>
        <v/>
      </c>
      <c r="G197" s="7" t="str">
        <f aca="false">IF(D197="","",IF(INDEX(Hierarchy!$E$2:$E$1295,MATCH(D197,Hierarchy!$A$2:$A$1295,0))="","",INDEX(Hierarchy!$E$2:$E$1295,MATCH(D197,Hierarchy!$A$2:$A$1295,0))))</f>
        <v/>
      </c>
      <c r="H197" s="7" t="str">
        <f aca="false">IF(D197="","",IF(INDEX(Hierarchy!$F$2:$F$1295,MATCH(D197,Hierarchy!$A$2:$A$1295,0))="","",INDEX(Hierarchy!$F$2:$F$1295,MATCH(D197,Hierarchy!$A$2:$A$1295,0))))</f>
        <v/>
      </c>
      <c r="I197" s="7" t="str">
        <f aca="false">IF(D197="","",IF(INDEX(Hierarchy!$H$2:$H$1295,MATCH(D197,Hierarchy!$A$2:$A$1295,0))="","",INDEX(Hierarchy!$H$2:$H$1295,MATCH(D197,Hierarchy!$A$2:$A$1295,0))))</f>
        <v/>
      </c>
    </row>
    <row r="198" customFormat="false" ht="15" hidden="false" customHeight="false" outlineLevel="0" collapsed="false">
      <c r="A198" s="19"/>
      <c r="B198" s="7" t="str">
        <f aca="false">IF(A198="","",TRIM(SUBSTITUTE(SUBSTITUTE(SUBSTITUTE(" "&amp;TRIM(SUBSTITUTE(SUBSTITUTE(SUBSTITUTE(SUBSTITUTE(SUBSTITUTE(SUBSTITUTE(SUBSTITUTE(SUBSTITUTE(SUBSTITUTE(SUBSTITUTE(SUBSTITUTE(SUBSTITUTE(SUBSTITUTE(SUBSTITUTE(SUBSTITUTE(UPPER(TRIM(A198)),"[MEMBER]",""),"{MEMBER}",""),"[MEMBER}",""),"MEMBER]",""),"(A)",""),"""",""),"“",""),"”",""),".",""),":",""),",",""),"–"," "),"-"," "),"/"," "),"&amp;"," AND "))&amp;" "," THE "," ")," TOTAL "," ")," OPERATIONS "," ")))</f>
        <v/>
      </c>
      <c r="C198" s="17" t="str">
        <f aca="false">IF(A198="","",IF(ISNUMBER(MATCH(B198,Excluded!$E$2:$E$19,0)),"Excluded (not a place)",IF(ISNUMBER(MATCH(B198,'Label Map'!$N$2:$N$2019,0)),"Auto-matched","UNMAPPED: add to Label Map")))</f>
        <v/>
      </c>
      <c r="D198" s="7" t="str">
        <f aca="false">IF(C198="Auto-matched",INDEX('Label Map'!$D$2:$D$2019,MATCH(B198,'Label Map'!$N$2:$N$2019,0)),"")</f>
        <v/>
      </c>
      <c r="E198" s="7" t="str">
        <f aca="false">IF(D198="","",IF(INDEX(Hierarchy!$B$2:$B$1295,MATCH(D198,Hierarchy!$A$2:$A$1295,0))="","",INDEX(Hierarchy!$B$2:$B$1295,MATCH(D198,Hierarchy!$A$2:$A$1295,0))))</f>
        <v/>
      </c>
      <c r="F198" s="7" t="str">
        <f aca="false">IF(D198="","",IF(INDEX(Hierarchy!$D$2:$D$1295,MATCH(D198,Hierarchy!$A$2:$A$1295,0))="","",INDEX(Hierarchy!$D$2:$D$1295,MATCH(D198,Hierarchy!$A$2:$A$1295,0))))</f>
        <v/>
      </c>
      <c r="G198" s="7" t="str">
        <f aca="false">IF(D198="","",IF(INDEX(Hierarchy!$E$2:$E$1295,MATCH(D198,Hierarchy!$A$2:$A$1295,0))="","",INDEX(Hierarchy!$E$2:$E$1295,MATCH(D198,Hierarchy!$A$2:$A$1295,0))))</f>
        <v/>
      </c>
      <c r="H198" s="7" t="str">
        <f aca="false">IF(D198="","",IF(INDEX(Hierarchy!$F$2:$F$1295,MATCH(D198,Hierarchy!$A$2:$A$1295,0))="","",INDEX(Hierarchy!$F$2:$F$1295,MATCH(D198,Hierarchy!$A$2:$A$1295,0))))</f>
        <v/>
      </c>
      <c r="I198" s="7" t="str">
        <f aca="false">IF(D198="","",IF(INDEX(Hierarchy!$H$2:$H$1295,MATCH(D198,Hierarchy!$A$2:$A$1295,0))="","",INDEX(Hierarchy!$H$2:$H$1295,MATCH(D198,Hierarchy!$A$2:$A$1295,0))))</f>
        <v/>
      </c>
    </row>
    <row r="199" customFormat="false" ht="15" hidden="false" customHeight="false" outlineLevel="0" collapsed="false">
      <c r="A199" s="19"/>
      <c r="B199" s="7" t="str">
        <f aca="false">IF(A199="","",TRIM(SUBSTITUTE(SUBSTITUTE(SUBSTITUTE(" "&amp;TRIM(SUBSTITUTE(SUBSTITUTE(SUBSTITUTE(SUBSTITUTE(SUBSTITUTE(SUBSTITUTE(SUBSTITUTE(SUBSTITUTE(SUBSTITUTE(SUBSTITUTE(SUBSTITUTE(SUBSTITUTE(SUBSTITUTE(SUBSTITUTE(SUBSTITUTE(UPPER(TRIM(A199)),"[MEMBER]",""),"{MEMBER}",""),"[MEMBER}",""),"MEMBER]",""),"(A)",""),"""",""),"“",""),"”",""),".",""),":",""),",",""),"–"," "),"-"," "),"/"," "),"&amp;"," AND "))&amp;" "," THE "," ")," TOTAL "," ")," OPERATIONS "," ")))</f>
        <v/>
      </c>
      <c r="C199" s="17" t="str">
        <f aca="false">IF(A199="","",IF(ISNUMBER(MATCH(B199,Excluded!$E$2:$E$19,0)),"Excluded (not a place)",IF(ISNUMBER(MATCH(B199,'Label Map'!$N$2:$N$2019,0)),"Auto-matched","UNMAPPED: add to Label Map")))</f>
        <v/>
      </c>
      <c r="D199" s="7" t="str">
        <f aca="false">IF(C199="Auto-matched",INDEX('Label Map'!$D$2:$D$2019,MATCH(B199,'Label Map'!$N$2:$N$2019,0)),"")</f>
        <v/>
      </c>
      <c r="E199" s="7" t="str">
        <f aca="false">IF(D199="","",IF(INDEX(Hierarchy!$B$2:$B$1295,MATCH(D199,Hierarchy!$A$2:$A$1295,0))="","",INDEX(Hierarchy!$B$2:$B$1295,MATCH(D199,Hierarchy!$A$2:$A$1295,0))))</f>
        <v/>
      </c>
      <c r="F199" s="7" t="str">
        <f aca="false">IF(D199="","",IF(INDEX(Hierarchy!$D$2:$D$1295,MATCH(D199,Hierarchy!$A$2:$A$1295,0))="","",INDEX(Hierarchy!$D$2:$D$1295,MATCH(D199,Hierarchy!$A$2:$A$1295,0))))</f>
        <v/>
      </c>
      <c r="G199" s="7" t="str">
        <f aca="false">IF(D199="","",IF(INDEX(Hierarchy!$E$2:$E$1295,MATCH(D199,Hierarchy!$A$2:$A$1295,0))="","",INDEX(Hierarchy!$E$2:$E$1295,MATCH(D199,Hierarchy!$A$2:$A$1295,0))))</f>
        <v/>
      </c>
      <c r="H199" s="7" t="str">
        <f aca="false">IF(D199="","",IF(INDEX(Hierarchy!$F$2:$F$1295,MATCH(D199,Hierarchy!$A$2:$A$1295,0))="","",INDEX(Hierarchy!$F$2:$F$1295,MATCH(D199,Hierarchy!$A$2:$A$1295,0))))</f>
        <v/>
      </c>
      <c r="I199" s="7" t="str">
        <f aca="false">IF(D199="","",IF(INDEX(Hierarchy!$H$2:$H$1295,MATCH(D199,Hierarchy!$A$2:$A$1295,0))="","",INDEX(Hierarchy!$H$2:$H$1295,MATCH(D199,Hierarchy!$A$2:$A$1295,0))))</f>
        <v/>
      </c>
    </row>
    <row r="200" customFormat="false" ht="15" hidden="false" customHeight="false" outlineLevel="0" collapsed="false">
      <c r="A200" s="19"/>
      <c r="B200" s="7" t="str">
        <f aca="false">IF(A200="","",TRIM(SUBSTITUTE(SUBSTITUTE(SUBSTITUTE(" "&amp;TRIM(SUBSTITUTE(SUBSTITUTE(SUBSTITUTE(SUBSTITUTE(SUBSTITUTE(SUBSTITUTE(SUBSTITUTE(SUBSTITUTE(SUBSTITUTE(SUBSTITUTE(SUBSTITUTE(SUBSTITUTE(SUBSTITUTE(SUBSTITUTE(SUBSTITUTE(UPPER(TRIM(A200)),"[MEMBER]",""),"{MEMBER}",""),"[MEMBER}",""),"MEMBER]",""),"(A)",""),"""",""),"“",""),"”",""),".",""),":",""),",",""),"–"," "),"-"," "),"/"," "),"&amp;"," AND "))&amp;" "," THE "," ")," TOTAL "," ")," OPERATIONS "," ")))</f>
        <v/>
      </c>
      <c r="C200" s="17" t="str">
        <f aca="false">IF(A200="","",IF(ISNUMBER(MATCH(B200,Excluded!$E$2:$E$19,0)),"Excluded (not a place)",IF(ISNUMBER(MATCH(B200,'Label Map'!$N$2:$N$2019,0)),"Auto-matched","UNMAPPED: add to Label Map")))</f>
        <v/>
      </c>
      <c r="D200" s="7" t="str">
        <f aca="false">IF(C200="Auto-matched",INDEX('Label Map'!$D$2:$D$2019,MATCH(B200,'Label Map'!$N$2:$N$2019,0)),"")</f>
        <v/>
      </c>
      <c r="E200" s="7" t="str">
        <f aca="false">IF(D200="","",IF(INDEX(Hierarchy!$B$2:$B$1295,MATCH(D200,Hierarchy!$A$2:$A$1295,0))="","",INDEX(Hierarchy!$B$2:$B$1295,MATCH(D200,Hierarchy!$A$2:$A$1295,0))))</f>
        <v/>
      </c>
      <c r="F200" s="7" t="str">
        <f aca="false">IF(D200="","",IF(INDEX(Hierarchy!$D$2:$D$1295,MATCH(D200,Hierarchy!$A$2:$A$1295,0))="","",INDEX(Hierarchy!$D$2:$D$1295,MATCH(D200,Hierarchy!$A$2:$A$1295,0))))</f>
        <v/>
      </c>
      <c r="G200" s="7" t="str">
        <f aca="false">IF(D200="","",IF(INDEX(Hierarchy!$E$2:$E$1295,MATCH(D200,Hierarchy!$A$2:$A$1295,0))="","",INDEX(Hierarchy!$E$2:$E$1295,MATCH(D200,Hierarchy!$A$2:$A$1295,0))))</f>
        <v/>
      </c>
      <c r="H200" s="7" t="str">
        <f aca="false">IF(D200="","",IF(INDEX(Hierarchy!$F$2:$F$1295,MATCH(D200,Hierarchy!$A$2:$A$1295,0))="","",INDEX(Hierarchy!$F$2:$F$1295,MATCH(D200,Hierarchy!$A$2:$A$1295,0))))</f>
        <v/>
      </c>
      <c r="I200" s="7" t="str">
        <f aca="false">IF(D200="","",IF(INDEX(Hierarchy!$H$2:$H$1295,MATCH(D200,Hierarchy!$A$2:$A$1295,0))="","",INDEX(Hierarchy!$H$2:$H$1295,MATCH(D200,Hierarchy!$A$2:$A$1295,0))))</f>
        <v/>
      </c>
    </row>
    <row r="201" customFormat="false" ht="15" hidden="false" customHeight="false" outlineLevel="0" collapsed="false">
      <c r="A201" s="19"/>
      <c r="B201" s="7" t="str">
        <f aca="false">IF(A201="","",TRIM(SUBSTITUTE(SUBSTITUTE(SUBSTITUTE(" "&amp;TRIM(SUBSTITUTE(SUBSTITUTE(SUBSTITUTE(SUBSTITUTE(SUBSTITUTE(SUBSTITUTE(SUBSTITUTE(SUBSTITUTE(SUBSTITUTE(SUBSTITUTE(SUBSTITUTE(SUBSTITUTE(SUBSTITUTE(SUBSTITUTE(SUBSTITUTE(UPPER(TRIM(A201)),"[MEMBER]",""),"{MEMBER}",""),"[MEMBER}",""),"MEMBER]",""),"(A)",""),"""",""),"“",""),"”",""),".",""),":",""),",",""),"–"," "),"-"," "),"/"," "),"&amp;"," AND "))&amp;" "," THE "," ")," TOTAL "," ")," OPERATIONS "," ")))</f>
        <v/>
      </c>
      <c r="C201" s="17" t="str">
        <f aca="false">IF(A201="","",IF(ISNUMBER(MATCH(B201,Excluded!$E$2:$E$19,0)),"Excluded (not a place)",IF(ISNUMBER(MATCH(B201,'Label Map'!$N$2:$N$2019,0)),"Auto-matched","UNMAPPED: add to Label Map")))</f>
        <v/>
      </c>
      <c r="D201" s="7" t="str">
        <f aca="false">IF(C201="Auto-matched",INDEX('Label Map'!$D$2:$D$2019,MATCH(B201,'Label Map'!$N$2:$N$2019,0)),"")</f>
        <v/>
      </c>
      <c r="E201" s="7" t="str">
        <f aca="false">IF(D201="","",IF(INDEX(Hierarchy!$B$2:$B$1295,MATCH(D201,Hierarchy!$A$2:$A$1295,0))="","",INDEX(Hierarchy!$B$2:$B$1295,MATCH(D201,Hierarchy!$A$2:$A$1295,0))))</f>
        <v/>
      </c>
      <c r="F201" s="7" t="str">
        <f aca="false">IF(D201="","",IF(INDEX(Hierarchy!$D$2:$D$1295,MATCH(D201,Hierarchy!$A$2:$A$1295,0))="","",INDEX(Hierarchy!$D$2:$D$1295,MATCH(D201,Hierarchy!$A$2:$A$1295,0))))</f>
        <v/>
      </c>
      <c r="G201" s="7" t="str">
        <f aca="false">IF(D201="","",IF(INDEX(Hierarchy!$E$2:$E$1295,MATCH(D201,Hierarchy!$A$2:$A$1295,0))="","",INDEX(Hierarchy!$E$2:$E$1295,MATCH(D201,Hierarchy!$A$2:$A$1295,0))))</f>
        <v/>
      </c>
      <c r="H201" s="7" t="str">
        <f aca="false">IF(D201="","",IF(INDEX(Hierarchy!$F$2:$F$1295,MATCH(D201,Hierarchy!$A$2:$A$1295,0))="","",INDEX(Hierarchy!$F$2:$F$1295,MATCH(D201,Hierarchy!$A$2:$A$1295,0))))</f>
        <v/>
      </c>
      <c r="I201" s="7" t="str">
        <f aca="false">IF(D201="","",IF(INDEX(Hierarchy!$H$2:$H$1295,MATCH(D201,Hierarchy!$A$2:$A$1295,0))="","",INDEX(Hierarchy!$H$2:$H$1295,MATCH(D201,Hierarchy!$A$2:$A$1295,0))))</f>
        <v/>
      </c>
    </row>
    <row r="202" customFormat="false" ht="15" hidden="false" customHeight="false" outlineLevel="0" collapsed="false">
      <c r="A202" s="19"/>
      <c r="B202" s="7" t="str">
        <f aca="false">IF(A202="","",TRIM(SUBSTITUTE(SUBSTITUTE(SUBSTITUTE(" "&amp;TRIM(SUBSTITUTE(SUBSTITUTE(SUBSTITUTE(SUBSTITUTE(SUBSTITUTE(SUBSTITUTE(SUBSTITUTE(SUBSTITUTE(SUBSTITUTE(SUBSTITUTE(SUBSTITUTE(SUBSTITUTE(SUBSTITUTE(SUBSTITUTE(SUBSTITUTE(UPPER(TRIM(A202)),"[MEMBER]",""),"{MEMBER}",""),"[MEMBER}",""),"MEMBER]",""),"(A)",""),"""",""),"“",""),"”",""),".",""),":",""),",",""),"–"," "),"-"," "),"/"," "),"&amp;"," AND "))&amp;" "," THE "," ")," TOTAL "," ")," OPERATIONS "," ")))</f>
        <v/>
      </c>
      <c r="C202" s="17" t="str">
        <f aca="false">IF(A202="","",IF(ISNUMBER(MATCH(B202,Excluded!$E$2:$E$19,0)),"Excluded (not a place)",IF(ISNUMBER(MATCH(B202,'Label Map'!$N$2:$N$2019,0)),"Auto-matched","UNMAPPED: add to Label Map")))</f>
        <v/>
      </c>
      <c r="D202" s="7" t="str">
        <f aca="false">IF(C202="Auto-matched",INDEX('Label Map'!$D$2:$D$2019,MATCH(B202,'Label Map'!$N$2:$N$2019,0)),"")</f>
        <v/>
      </c>
      <c r="E202" s="7" t="str">
        <f aca="false">IF(D202="","",IF(INDEX(Hierarchy!$B$2:$B$1295,MATCH(D202,Hierarchy!$A$2:$A$1295,0))="","",INDEX(Hierarchy!$B$2:$B$1295,MATCH(D202,Hierarchy!$A$2:$A$1295,0))))</f>
        <v/>
      </c>
      <c r="F202" s="7" t="str">
        <f aca="false">IF(D202="","",IF(INDEX(Hierarchy!$D$2:$D$1295,MATCH(D202,Hierarchy!$A$2:$A$1295,0))="","",INDEX(Hierarchy!$D$2:$D$1295,MATCH(D202,Hierarchy!$A$2:$A$1295,0))))</f>
        <v/>
      </c>
      <c r="G202" s="7" t="str">
        <f aca="false">IF(D202="","",IF(INDEX(Hierarchy!$E$2:$E$1295,MATCH(D202,Hierarchy!$A$2:$A$1295,0))="","",INDEX(Hierarchy!$E$2:$E$1295,MATCH(D202,Hierarchy!$A$2:$A$1295,0))))</f>
        <v/>
      </c>
      <c r="H202" s="7" t="str">
        <f aca="false">IF(D202="","",IF(INDEX(Hierarchy!$F$2:$F$1295,MATCH(D202,Hierarchy!$A$2:$A$1295,0))="","",INDEX(Hierarchy!$F$2:$F$1295,MATCH(D202,Hierarchy!$A$2:$A$1295,0))))</f>
        <v/>
      </c>
      <c r="I202" s="7" t="str">
        <f aca="false">IF(D202="","",IF(INDEX(Hierarchy!$H$2:$H$1295,MATCH(D202,Hierarchy!$A$2:$A$1295,0))="","",INDEX(Hierarchy!$H$2:$H$1295,MATCH(D202,Hierarchy!$A$2:$A$1295,0))))</f>
        <v/>
      </c>
    </row>
    <row r="203" customFormat="false" ht="15" hidden="false" customHeight="false" outlineLevel="0" collapsed="false">
      <c r="A203" s="19"/>
      <c r="B203" s="7" t="str">
        <f aca="false">IF(A203="","",TRIM(SUBSTITUTE(SUBSTITUTE(SUBSTITUTE(" "&amp;TRIM(SUBSTITUTE(SUBSTITUTE(SUBSTITUTE(SUBSTITUTE(SUBSTITUTE(SUBSTITUTE(SUBSTITUTE(SUBSTITUTE(SUBSTITUTE(SUBSTITUTE(SUBSTITUTE(SUBSTITUTE(SUBSTITUTE(SUBSTITUTE(SUBSTITUTE(UPPER(TRIM(A203)),"[MEMBER]",""),"{MEMBER}",""),"[MEMBER}",""),"MEMBER]",""),"(A)",""),"""",""),"“",""),"”",""),".",""),":",""),",",""),"–"," "),"-"," "),"/"," "),"&amp;"," AND "))&amp;" "," THE "," ")," TOTAL "," ")," OPERATIONS "," ")))</f>
        <v/>
      </c>
      <c r="C203" s="17" t="str">
        <f aca="false">IF(A203="","",IF(ISNUMBER(MATCH(B203,Excluded!$E$2:$E$19,0)),"Excluded (not a place)",IF(ISNUMBER(MATCH(B203,'Label Map'!$N$2:$N$2019,0)),"Auto-matched","UNMAPPED: add to Label Map")))</f>
        <v/>
      </c>
      <c r="D203" s="7" t="str">
        <f aca="false">IF(C203="Auto-matched",INDEX('Label Map'!$D$2:$D$2019,MATCH(B203,'Label Map'!$N$2:$N$2019,0)),"")</f>
        <v/>
      </c>
      <c r="E203" s="7" t="str">
        <f aca="false">IF(D203="","",IF(INDEX(Hierarchy!$B$2:$B$1295,MATCH(D203,Hierarchy!$A$2:$A$1295,0))="","",INDEX(Hierarchy!$B$2:$B$1295,MATCH(D203,Hierarchy!$A$2:$A$1295,0))))</f>
        <v/>
      </c>
      <c r="F203" s="7" t="str">
        <f aca="false">IF(D203="","",IF(INDEX(Hierarchy!$D$2:$D$1295,MATCH(D203,Hierarchy!$A$2:$A$1295,0))="","",INDEX(Hierarchy!$D$2:$D$1295,MATCH(D203,Hierarchy!$A$2:$A$1295,0))))</f>
        <v/>
      </c>
      <c r="G203" s="7" t="str">
        <f aca="false">IF(D203="","",IF(INDEX(Hierarchy!$E$2:$E$1295,MATCH(D203,Hierarchy!$A$2:$A$1295,0))="","",INDEX(Hierarchy!$E$2:$E$1295,MATCH(D203,Hierarchy!$A$2:$A$1295,0))))</f>
        <v/>
      </c>
      <c r="H203" s="7" t="str">
        <f aca="false">IF(D203="","",IF(INDEX(Hierarchy!$F$2:$F$1295,MATCH(D203,Hierarchy!$A$2:$A$1295,0))="","",INDEX(Hierarchy!$F$2:$F$1295,MATCH(D203,Hierarchy!$A$2:$A$1295,0))))</f>
        <v/>
      </c>
      <c r="I203" s="7" t="str">
        <f aca="false">IF(D203="","",IF(INDEX(Hierarchy!$H$2:$H$1295,MATCH(D203,Hierarchy!$A$2:$A$1295,0))="","",INDEX(Hierarchy!$H$2:$H$1295,MATCH(D203,Hierarchy!$A$2:$A$1295,0))))</f>
        <v/>
      </c>
    </row>
  </sheetData>
  <mergeCells count="1">
    <mergeCell ref="A1:I1"/>
  </mergeCells>
  <conditionalFormatting sqref="C4:C203">
    <cfRule type="expression" priority="2" aboveAverage="0" equalAverage="0" bottom="0" percent="0" rank="0" text="" dxfId="6">
      <formula>LEFT(C4,8)="UNMAPPED"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5" t="s">
        <v>2915</v>
      </c>
      <c r="B1" s="5" t="s">
        <v>2916</v>
      </c>
      <c r="C1" s="5" t="s">
        <v>2917</v>
      </c>
      <c r="D1" s="5" t="s">
        <v>2918</v>
      </c>
      <c r="E1" s="5" t="s">
        <v>2919</v>
      </c>
      <c r="F1" s="5" t="s">
        <v>2920</v>
      </c>
    </row>
    <row r="2" customFormat="false" ht="52.2" hidden="false" customHeight="false" outlineLevel="0" collapsed="false">
      <c r="A2" s="7" t="n">
        <v>1</v>
      </c>
      <c r="B2" s="2" t="s">
        <v>2921</v>
      </c>
      <c r="C2" s="2" t="s">
        <v>2922</v>
      </c>
      <c r="D2" s="2" t="s">
        <v>2923</v>
      </c>
      <c r="E2" s="2" t="s">
        <v>2924</v>
      </c>
      <c r="F2" s="19"/>
    </row>
    <row r="3" customFormat="false" ht="64.9" hidden="false" customHeight="false" outlineLevel="0" collapsed="false">
      <c r="A3" s="7" t="n">
        <v>2</v>
      </c>
      <c r="B3" s="2" t="s">
        <v>2925</v>
      </c>
      <c r="C3" s="2" t="s">
        <v>2926</v>
      </c>
      <c r="D3" s="2" t="s">
        <v>2927</v>
      </c>
      <c r="E3" s="2" t="s">
        <v>2928</v>
      </c>
      <c r="F3" s="19"/>
    </row>
    <row r="4" customFormat="false" ht="52.2" hidden="false" customHeight="false" outlineLevel="0" collapsed="false">
      <c r="A4" s="7" t="n">
        <v>3</v>
      </c>
      <c r="B4" s="2" t="s">
        <v>2929</v>
      </c>
      <c r="C4" s="2" t="s">
        <v>2930</v>
      </c>
      <c r="D4" s="2" t="s">
        <v>2931</v>
      </c>
      <c r="E4" s="2" t="s">
        <v>2932</v>
      </c>
      <c r="F4" s="19"/>
    </row>
    <row r="5" customFormat="false" ht="26.85" hidden="false" customHeight="false" outlineLevel="0" collapsed="false">
      <c r="A5" s="7" t="n">
        <v>4</v>
      </c>
      <c r="B5" s="2" t="s">
        <v>2933</v>
      </c>
      <c r="C5" s="2" t="s">
        <v>2934</v>
      </c>
      <c r="D5" s="2" t="s">
        <v>2935</v>
      </c>
      <c r="E5" s="2" t="s">
        <v>2936</v>
      </c>
      <c r="F5" s="19"/>
    </row>
    <row r="6" customFormat="false" ht="26.85" hidden="false" customHeight="false" outlineLevel="0" collapsed="false">
      <c r="A6" s="7" t="n">
        <v>5</v>
      </c>
      <c r="B6" s="2" t="s">
        <v>2937</v>
      </c>
      <c r="C6" s="2" t="s">
        <v>2938</v>
      </c>
      <c r="D6" s="2" t="s">
        <v>2939</v>
      </c>
      <c r="E6" s="2" t="s">
        <v>2940</v>
      </c>
      <c r="F6" s="19"/>
    </row>
    <row r="7" customFormat="false" ht="26.85" hidden="false" customHeight="false" outlineLevel="0" collapsed="false">
      <c r="A7" s="7" t="n">
        <v>6</v>
      </c>
      <c r="B7" s="2" t="s">
        <v>2941</v>
      </c>
      <c r="C7" s="2" t="s">
        <v>2942</v>
      </c>
      <c r="D7" s="2" t="s">
        <v>2943</v>
      </c>
      <c r="E7" s="2" t="s">
        <v>2944</v>
      </c>
      <c r="F7" s="19"/>
    </row>
    <row r="8" customFormat="false" ht="26.85" hidden="false" customHeight="false" outlineLevel="0" collapsed="false">
      <c r="A8" s="7" t="n">
        <v>7</v>
      </c>
      <c r="B8" s="2" t="s">
        <v>2945</v>
      </c>
      <c r="C8" s="2" t="s">
        <v>2946</v>
      </c>
      <c r="D8" s="2" t="s">
        <v>2947</v>
      </c>
      <c r="E8" s="2" t="s">
        <v>2948</v>
      </c>
      <c r="F8" s="19"/>
    </row>
    <row r="9" customFormat="false" ht="26.85" hidden="false" customHeight="false" outlineLevel="0" collapsed="false">
      <c r="A9" s="7" t="n">
        <v>8</v>
      </c>
      <c r="B9" s="2" t="s">
        <v>2949</v>
      </c>
      <c r="C9" s="2" t="s">
        <v>2950</v>
      </c>
      <c r="D9" s="2" t="s">
        <v>2951</v>
      </c>
      <c r="E9" s="2" t="s">
        <v>2952</v>
      </c>
      <c r="F9" s="19"/>
    </row>
    <row r="10" customFormat="false" ht="26.85" hidden="false" customHeight="false" outlineLevel="0" collapsed="false">
      <c r="A10" s="7" t="n">
        <v>9</v>
      </c>
      <c r="B10" s="2" t="s">
        <v>2953</v>
      </c>
      <c r="C10" s="2" t="s">
        <v>2954</v>
      </c>
      <c r="D10" s="2" t="s">
        <v>2955</v>
      </c>
      <c r="E10" s="2" t="s">
        <v>2956</v>
      </c>
      <c r="F10" s="19"/>
    </row>
    <row r="11" customFormat="false" ht="15" hidden="false" customHeight="false" outlineLevel="0" collapsed="false">
      <c r="A11" s="7" t="n">
        <v>10</v>
      </c>
      <c r="B11" s="2" t="s">
        <v>2957</v>
      </c>
      <c r="C11" s="2" t="s">
        <v>2958</v>
      </c>
      <c r="D11" s="2" t="s">
        <v>2959</v>
      </c>
      <c r="E11" s="2" t="s">
        <v>2960</v>
      </c>
      <c r="F11" s="19"/>
    </row>
    <row r="12" customFormat="false" ht="39.55" hidden="false" customHeight="false" outlineLevel="0" collapsed="false">
      <c r="A12" s="7" t="n">
        <v>11</v>
      </c>
      <c r="B12" s="2" t="s">
        <v>2961</v>
      </c>
      <c r="C12" s="2" t="s">
        <v>2962</v>
      </c>
      <c r="D12" s="2" t="s">
        <v>2963</v>
      </c>
      <c r="E12" s="2" t="s">
        <v>2964</v>
      </c>
      <c r="F12" s="19"/>
    </row>
    <row r="13" customFormat="false" ht="77.6" hidden="false" customHeight="false" outlineLevel="0" collapsed="false">
      <c r="A13" s="7" t="n">
        <v>12</v>
      </c>
      <c r="B13" s="2" t="s">
        <v>2965</v>
      </c>
      <c r="C13" s="2" t="s">
        <v>2966</v>
      </c>
      <c r="D13" s="2" t="s">
        <v>2967</v>
      </c>
      <c r="E13" s="2" t="s">
        <v>2968</v>
      </c>
      <c r="F13" s="19"/>
    </row>
    <row r="14" customFormat="false" ht="102.95" hidden="false" customHeight="false" outlineLevel="0" collapsed="false">
      <c r="A14" s="7" t="n">
        <v>13</v>
      </c>
      <c r="B14" s="2" t="s">
        <v>2969</v>
      </c>
      <c r="C14" s="2" t="s">
        <v>2970</v>
      </c>
      <c r="D14" s="2" t="s">
        <v>2971</v>
      </c>
      <c r="E14" s="2" t="s">
        <v>2972</v>
      </c>
      <c r="F14" s="19"/>
    </row>
    <row r="15" customFormat="false" ht="26.85" hidden="false" customHeight="false" outlineLevel="0" collapsed="false">
      <c r="A15" s="7" t="n">
        <v>14</v>
      </c>
      <c r="B15" s="2" t="s">
        <v>2973</v>
      </c>
      <c r="C15" s="2" t="s">
        <v>2974</v>
      </c>
      <c r="D15" s="2" t="s">
        <v>2975</v>
      </c>
      <c r="E15" s="2" t="s">
        <v>2976</v>
      </c>
      <c r="F15" s="19"/>
    </row>
    <row r="16" customFormat="false" ht="39.55" hidden="false" customHeight="false" outlineLevel="0" collapsed="false">
      <c r="A16" s="7" t="n">
        <v>15</v>
      </c>
      <c r="B16" s="2" t="s">
        <v>2977</v>
      </c>
      <c r="C16" s="2" t="s">
        <v>2978</v>
      </c>
      <c r="D16" s="2" t="s">
        <v>2979</v>
      </c>
      <c r="E16" s="2" t="s">
        <v>2980</v>
      </c>
      <c r="F1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2026-09-25T06:30:26Z</dcterms:created>
  <dc:creator>openpyxl</dc:creator>
  <dc:description/>
  <dc:language>en-US</dc:language>
  <cp:lastModifiedBy/>
  <dcterms:modified xsi:type="dcterms:W3CDTF">2026-09-25T06:30:27Z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